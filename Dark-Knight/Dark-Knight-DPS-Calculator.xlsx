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Inputs" sheetId="2" state="visible" r:id="rId2"/>
    <sheet name="FactorTable" sheetId="3" state="visible" r:id="rId3"/>
    <sheet name="Skills" sheetId="4" state="visible" r:id="rId4"/>
    <sheet name="Artifacts" sheetId="5" state="visible" r:id="rId5"/>
    <sheet name="Calc" sheetId="6" state="visible" r:id="rId6"/>
    <sheet name="Summary" sheetId="7" state="visible" r:id="rId7"/>
    <sheet name="Sensitivity" sheetId="8" state="visible" r:id="rId8"/>
    <sheet name="Equipment Compare" sheetId="9" state="visible" r:id="rId9"/>
    <sheet name="CubeData" sheetId="10" state="visible" r:id="rId10"/>
    <sheet name="ArtifactsInput" sheetId="11" state="visible" r:id="rId11"/>
    <sheet name="PotentialCubes" sheetId="12" state="visible" r:id="rId12"/>
  </sheets>
  <definedNames/>
  <calcPr calcId="124519" fullCalcOnLoad="1"/>
</workbook>
</file>

<file path=xl/styles.xml><?xml version="1.0" encoding="utf-8"?>
<styleSheet xmlns="http://schemas.openxmlformats.org/spreadsheetml/2006/main">
  <numFmts count="2">
    <numFmt numFmtId="164" formatCode="0.00&quot;%&quot;"/>
    <numFmt numFmtId="165" formatCode="+0.00&quot;%&quot;;-0.00&quot;%&quot;;0.00&quot;%&quot;"/>
  </numFmts>
  <fonts count="6">
    <font>
      <name val="Calibri"/>
      <family val="2"/>
      <color theme="1"/>
      <sz val="11"/>
      <scheme val="minor"/>
    </font>
    <font>
      <b val="1"/>
      <sz val="14"/>
    </font>
    <font>
      <b val="1"/>
      <sz val="12"/>
    </font>
    <font>
      <b val="1"/>
      <color rgb="00FFFFFF"/>
    </font>
    <font>
      <b val="1"/>
    </font>
    <font>
      <b val="1"/>
      <sz val="13"/>
    </font>
  </fonts>
  <fills count="5">
    <fill>
      <patternFill/>
    </fill>
    <fill>
      <patternFill patternType="gray125"/>
    </fill>
    <fill>
      <patternFill patternType="solid">
        <fgColor rgb="001F4E78"/>
      </patternFill>
    </fill>
    <fill>
      <patternFill patternType="solid">
        <fgColor rgb="00FFF2CC"/>
      </patternFill>
    </fill>
    <fill>
      <patternFill patternType="solid">
        <fgColor rgb="00D9D9D9"/>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2" borderId="0" applyAlignment="1" pivotButton="0" quotePrefix="0" xfId="0">
      <alignment horizontal="center"/>
    </xf>
    <xf numFmtId="0" fontId="4" fillId="0" borderId="0" pivotButton="0" quotePrefix="0" xfId="0"/>
    <xf numFmtId="0" fontId="0" fillId="3" borderId="0" pivotButton="0" quotePrefix="0" xfId="0"/>
    <xf numFmtId="0" fontId="0" fillId="4" borderId="0" pivotButton="0" quotePrefix="0" xfId="0"/>
    <xf numFmtId="0" fontId="2" fillId="0" borderId="0" pivotButton="0" quotePrefix="0" xfId="0"/>
    <xf numFmtId="0" fontId="5" fillId="0" borderId="0" pivotButton="0" quotePrefix="0" xfId="0"/>
    <xf numFmtId="0" fontId="3" fillId="2" borderId="0" pivotButton="0" quotePrefix="0" xfId="0"/>
    <xf numFmtId="0" fontId="0" fillId="2" borderId="0" pivotButton="0" quotePrefix="0" xfId="0"/>
    <xf numFmtId="164" fontId="0" fillId="0" borderId="0" pivotButton="0" quotePrefix="0" xfId="0"/>
    <xf numFmtId="165"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s>
  <sheetData>
    <row r="1">
      <c r="A1" s="1" t="inlineStr">
        <is>
          <t>Dark Knight — DPS Calculator: How to Use This Workbook</t>
        </is>
      </c>
    </row>
    <row r="2">
      <c r="A2" s="2" t="n"/>
    </row>
    <row r="3">
      <c r="A3" s="3" t="inlineStr">
        <is>
          <t>How to use this workbook</t>
        </is>
      </c>
    </row>
    <row r="4">
      <c r="A4" s="2" t="inlineStr">
        <is>
          <t>Only edit the yellow-highlighted cells on the Inputs sheet — every other sheet is computed from those values and will be overwritten if you rebuild the workbook.</t>
        </is>
      </c>
    </row>
    <row r="5">
      <c r="A5" s="2" t="inlineStr">
        <is>
          <t>Summary shows Total DPS, a Per-Skill DPS Breakdown (damage-dealing skills only — buffs/passives that never deal their own damage are omitted), and a Marginal DPS &amp; Stat Value table showing the DPS gained per +1 of each stat.</t>
        </is>
      </c>
    </row>
    <row r="6">
      <c r="A6" s="2" t="inlineStr">
        <is>
          <t>Sensitivity has the full detail behind that marginal-value table — one self-contained block per stat, showing exactly how bumping that stat by +1 changes every downstream number.</t>
        </is>
      </c>
    </row>
    <row r="7">
      <c r="A7" s="2" t="inlineStr">
        <is>
          <t>CubeData/PotentialCubes model your current gear's Potential Cube lines and drive cube-reroll expected-value decisions. For the full standalone Potential Cube EV calculator (exact optimal-stopping math, works from this workbook alone), see tools/potential_cubes_ev.py in the project repo.</t>
        </is>
      </c>
    </row>
    <row r="8">
      <c r="A8" s="2" t="n"/>
    </row>
    <row r="9">
      <c r="A9" s="3" t="inlineStr">
        <is>
          <t>Design decisions &amp; assumptions</t>
        </is>
      </c>
    </row>
    <row r="10">
      <c r="A10" s="2" t="inlineStr">
        <is>
          <t>Weapon Acceleration, Weapon Mastery, Barricade Mastery, Power Stance's own Final Damage component, and Final Pact's own Final Damage component are always-on passives assumed to already be reflected in your own Inputs stat entries — only their Sensitivity marginal delta is modeled live, matching this project's established convention. Iron Wall (a level-scaling % of your total Defense as STR — 10% at Lv.1, growing with level, once Lv.38 unlocks) IS modeled live — Defense (flat) and Defense % are their own tracked Inputs, feeding STAT_DAMAGE directly, with their own Sensitivity marginal-value rows and PotentialCubes Defense % support. Warrior-Mastery-equivalent flat-stat passives have zero DPS-relevant mechanic and get no row at all. Dark Knight has NO Physical Training or Endure skill at all (confirmed absent from its own skill list, despite both being present on Hero's).</t>
        </is>
      </c>
    </row>
    <row r="11">
      <c r="A11" s="2" t="inlineStr">
        <is>
          <t>Evil Eye and Dark Resonance both drive the Global Monster Damage-Taken Bonus% bucket (the mechanism Hero's own Scaring Sword pioneered) — Evil Eye's own +15%-&gt;19.2% applies to all monster types (duty-cycle averaged, always-on while summoned, no proc-chance gate), Dark Resonance's patch-added +20% applies boss-only (monster_blend_expr-gated), both summed into the same bucket.</t>
        </is>
      </c>
    </row>
    <row r="12">
      <c r="A12" s="2" t="inlineStr">
        <is>
          <t>Evil Eye Shock, Evil Eye of Dominant, Hex of the Evil Eye, and Revenge of the Evil Eye all nominally require Evil Eye to be summoned first — this precondition is NOT modeled as a live gate (they're treated as always-castable once individually unlocked), a documented simplification consistent with this project not tracking buff-precondition chains elsewhere either.</t>
        </is>
      </c>
    </row>
    <row r="13">
      <c r="A13" s="2" t="inlineStr">
        <is>
          <t>Evil Eye of Dominant is modeled as a background DoT tied to Evil Eye's own cast cycle (Cooldown=30s/ActiveWindow=20s matching Evil Eye's own duration, ICD=1s) — same pattern as FP-Mage's own Poison Mist fog DoT tied to its parent skill.</t>
        </is>
      </c>
    </row>
    <row r="14">
      <c r="A14" s="2" t="inlineStr">
        <is>
          <t>Lord of Darkness is split into two rows (Crit Rate half, Crit Damage half) since this schema's BuffTargetStat column only holds one stat per row — same reason Hero's own Enrage is split. Both modeled as ProcChance% x duty-cycle uptime (Scaring-Sword-style simplification), not an exact per-attack RNG state machine. Its own HP-recovery component is not modeled.</t>
        </is>
      </c>
    </row>
    <row r="15">
      <c r="A15" s="2" t="inlineStr">
        <is>
          <t>Cross Over Chains and Gungnir's Descent both have an HP-conditional or mastery-driven mechanic: Cross Over Chains assumes steady-state HP&gt;50% (its own Attack% buff only, not the HP&lt;=50% damage-taken-reduction swap, still an unmodeled gap); Gungnir's Descent's own Lv.134 mastery ('base damage -50%, +4 strike count') is modeled directly as a level-gated flip of its own BaseDamage/HitsPerCast fields (net +50% total damage), not left unmodeled.</t>
        </is>
      </c>
    </row>
    <row r="16">
      <c r="A16" s="2" t="inlineStr">
        <is>
          <t>Revenge of the Evil Eye's own Lv.138 'Spectral Shadows' mastery is a raw unevaluated wikitext formula on the live wiki page ({{#expr:2200*(1+x*0.005)}}%) — resolved via the same curve-matching method already used for Marksman's own Snipe-Empowered mastery this session (sample the formula at several levels, match against the 24-column factor table): resolves cleanly to factorIndex 12/baseDamage 2200 tenths%, reusing Revenge's own factor lookup since it shares the same factorIndex.</t>
        </is>
      </c>
    </row>
    <row r="17">
      <c r="A17" s="2" t="inlineStr">
        <is>
          <t>Dark Impale (basic attack) reuses the universal 4th-job-basic-attack constant (baseDamage 2900, factorIndex 21) confirmed identical across every class in this project. Final Attack + Advanced Final Attack fold into its own coefficient exactly like Hero's own Raging Blow / Bowmaster's own Arrow Stream — both resolve to the identical tuples already established, confirming they're genuinely the same cross-tree shared skills. Unlike Hero, this class's own Mastery table has no 'Final Attack - Damage' tier at all (confirmed absent), so that helper row's own SkillMasteryBonus% stays 0 here.</t>
        </is>
      </c>
    </row>
    <row r="18">
      <c r="A18" s="2" t="inlineStr">
        <is>
          <t>Magic Crash is shared verbatim with Hero and Paladin (single wiki page) — patched targets 5-&gt;9 (effect range +50% not modeled). Its own Lv.126 'Magic Crash - Weaken' mastery (+15% damage taken to struck targets) is included here on both MasteryBossDamage%/MasteryNormalDamage% — Hero's own build happened to miss this same mastery on its own Magic Crash row, not fixed there (out of scope for this fork).</t>
        </is>
      </c>
    </row>
    <row r="19">
      <c r="A19" s="2" t="inlineStr">
        <is>
          <t>Content Type (Inputs) picks what you're fighting — Chapter Boss/Breakthrough/PvP/EXP Dungeon/Equipment Dungeon/Weapon Dungeon/Enhancement Dungeon/Hero Dungeon/World Boss/Chapter Hunt — and Monster Defense and Fixed Fight Duration are both auto-computed from it (plus Chapter/Stage for the chapter- and dungeon-based types); PvP still forces its own fixed 15-second window and uses your own Defense stat as the opponent's Defense estimate. See README.md's 'Content Type' section for the exact formulas.</t>
        </is>
      </c>
    </row>
    <row r="20">
      <c r="A20" s="2" t="inlineStr">
        <is>
          <t>Not modeled (out of scope): all forms of crowd control (Evil Eye Shock stun), Accuracy, Evasion, Defense, Max HP/MP recovery, movement speed, and Companion Summoning Time.</t>
        </is>
      </c>
    </row>
    <row r="21">
      <c r="A21"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5" customWidth="1" min="1" max="1"/>
    <col width="16"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hidden="1" width="13" customWidth="1" min="14" max="14"/>
  </cols>
  <sheetData>
    <row r="1">
      <c r="A1" s="4" t="inlineStr">
        <is>
          <t>Dark Knight — DPS Calculator Inputs</t>
        </is>
      </c>
      <c r="N1" t="inlineStr">
        <is>
          <t>(none)</t>
        </is>
      </c>
    </row>
    <row r="2">
      <c r="C2" s="5" t="inlineStr">
        <is>
          <t>Chapter Boss</t>
        </is>
      </c>
      <c r="D2" s="5" t="inlineStr">
        <is>
          <t>Breakthrough</t>
        </is>
      </c>
      <c r="E2" s="5" t="inlineStr">
        <is>
          <t>PvP</t>
        </is>
      </c>
      <c r="F2" s="5" t="inlineStr">
        <is>
          <t>EXP Dungeon</t>
        </is>
      </c>
      <c r="G2" s="5" t="inlineStr">
        <is>
          <t>Equipment Dungeon</t>
        </is>
      </c>
      <c r="H2" s="5" t="inlineStr">
        <is>
          <t>Weapon Dungeon</t>
        </is>
      </c>
      <c r="I2" s="5" t="inlineStr">
        <is>
          <t>Enhancement Dungeon</t>
        </is>
      </c>
      <c r="J2" s="5" t="inlineStr">
        <is>
          <t>Hero Dungeon</t>
        </is>
      </c>
      <c r="K2" s="5" t="inlineStr">
        <is>
          <t>World Boss</t>
        </is>
      </c>
      <c r="L2" s="5" t="inlineStr">
        <is>
          <t>Chapter Hunt</t>
        </is>
      </c>
      <c r="N2" t="inlineStr">
        <is>
          <t>Charm of the Undead</t>
        </is>
      </c>
    </row>
    <row r="3">
      <c r="A3" s="6" t="inlineStr">
        <is>
          <t>Character Level</t>
        </is>
      </c>
      <c r="B3" s="7" t="n">
        <v>200</v>
      </c>
      <c r="N3" t="inlineStr">
        <is>
          <t>Pig's Ribbon</t>
        </is>
      </c>
    </row>
    <row r="4">
      <c r="A4" s="6" t="inlineStr">
        <is>
          <t>Content Type</t>
        </is>
      </c>
      <c r="B4" s="7" t="inlineStr">
        <is>
          <t>Chapter Boss</t>
        </is>
      </c>
      <c r="N4" t="inlineStr">
        <is>
          <t>Shamaness Marble</t>
        </is>
      </c>
    </row>
    <row r="5">
      <c r="A5" s="6" t="inlineStr">
        <is>
          <t>Chapter-Stage — 'chapter-substage' (e.g. '28-9') for Breakthrough/Chapter Hunt, just the chapter number for Chapter Boss, or just the stage number for Weapon/Equipment/Enhancement/EXP/Hero Dungeon. Not applicable to World Boss/PvP.</t>
        </is>
      </c>
      <c r="B5" s="8">
        <f>INDEX($C$5:$L$5,MATCH($B$4,$C$2:$L$2,0))</f>
        <v/>
      </c>
      <c r="C5" s="7" t="inlineStr">
        <is>
          <t>28</t>
        </is>
      </c>
      <c r="D5" s="7" t="inlineStr">
        <is>
          <t>28-9</t>
        </is>
      </c>
      <c r="E5" s="8" t="n"/>
      <c r="F5" s="7" t="inlineStr">
        <is>
          <t>80</t>
        </is>
      </c>
      <c r="G5" s="7" t="inlineStr">
        <is>
          <t>80</t>
        </is>
      </c>
      <c r="H5" s="7" t="inlineStr">
        <is>
          <t>80</t>
        </is>
      </c>
      <c r="I5" s="7" t="inlineStr">
        <is>
          <t>80</t>
        </is>
      </c>
      <c r="J5" s="7" t="inlineStr">
        <is>
          <t>80</t>
        </is>
      </c>
      <c r="K5" s="8" t="n"/>
      <c r="L5" s="7" t="inlineStr">
        <is>
          <t>28-9</t>
        </is>
      </c>
      <c r="N5" t="inlineStr">
        <is>
          <t>The Contract of Darkness</t>
        </is>
      </c>
    </row>
    <row r="6">
      <c r="A6" s="6" t="inlineStr">
        <is>
          <t>Flat ATTACK</t>
        </is>
      </c>
      <c r="B6" s="8">
        <f>INDEX($C$6:$L$6,MATCH($B$4,$C$2:$L$2,0))</f>
        <v/>
      </c>
      <c r="C6" s="7" t="n">
        <v>10000</v>
      </c>
      <c r="D6" s="7" t="n">
        <v>10000</v>
      </c>
      <c r="E6" s="7" t="n">
        <v>10000</v>
      </c>
      <c r="F6" s="7" t="n">
        <v>10000</v>
      </c>
      <c r="G6" s="7" t="n">
        <v>10000</v>
      </c>
      <c r="H6" s="7" t="n">
        <v>10000</v>
      </c>
      <c r="I6" s="7" t="n">
        <v>10000</v>
      </c>
      <c r="J6" s="7" t="n">
        <v>10000</v>
      </c>
      <c r="K6" s="7" t="n">
        <v>10000</v>
      </c>
      <c r="L6" s="7" t="n">
        <v>10000</v>
      </c>
      <c r="N6" t="inlineStr">
        <is>
          <t>Rainbow-colored Snail Shell</t>
        </is>
      </c>
    </row>
    <row r="7">
      <c r="A7" s="6" t="inlineStr">
        <is>
          <t>ATTACK %</t>
        </is>
      </c>
      <c r="B7" s="8">
        <f>INDEX($C$7:$L$7,MATCH($B$4,$C$2:$L$2,0))</f>
        <v/>
      </c>
      <c r="C7" s="7" t="n">
        <v>0</v>
      </c>
      <c r="D7" s="7" t="n">
        <v>0</v>
      </c>
      <c r="E7" s="7" t="n">
        <v>0</v>
      </c>
      <c r="F7" s="7" t="n">
        <v>0</v>
      </c>
      <c r="G7" s="7" t="n">
        <v>0</v>
      </c>
      <c r="H7" s="7" t="n">
        <v>0</v>
      </c>
      <c r="I7" s="7" t="n">
        <v>0</v>
      </c>
      <c r="J7" s="7" t="n">
        <v>0</v>
      </c>
      <c r="K7" s="7" t="n">
        <v>0</v>
      </c>
      <c r="L7" s="7" t="n">
        <v>0</v>
      </c>
      <c r="N7" t="inlineStr">
        <is>
          <t>Hexagon Necklace</t>
        </is>
      </c>
    </row>
    <row r="8">
      <c r="A8" s="6" t="inlineStr">
        <is>
          <t>Defense (flat) — your own DEF stat; Iron Wall converts a level-scaling % (10% at Lv.1, growing with level) of it into STR, and PvP assumes the opponent has the same total Defense as you</t>
        </is>
      </c>
      <c r="B8" s="8">
        <f>INDEX($C$8:$L$8,MATCH($B$4,$C$2:$L$2,0))</f>
        <v/>
      </c>
      <c r="C8" s="7" t="n">
        <v>0</v>
      </c>
      <c r="D8" s="7" t="n">
        <v>0</v>
      </c>
      <c r="E8" s="7" t="n">
        <v>0</v>
      </c>
      <c r="F8" s="7" t="n">
        <v>0</v>
      </c>
      <c r="G8" s="7" t="n">
        <v>0</v>
      </c>
      <c r="H8" s="7" t="n">
        <v>0</v>
      </c>
      <c r="I8" s="7" t="n">
        <v>0</v>
      </c>
      <c r="J8" s="7" t="n">
        <v>0</v>
      </c>
      <c r="K8" s="7" t="n">
        <v>0</v>
      </c>
      <c r="L8" s="7" t="n">
        <v>0</v>
      </c>
      <c r="N8" t="inlineStr">
        <is>
          <t>Arwen's Glass Shoes</t>
        </is>
      </c>
    </row>
    <row r="9">
      <c r="A9" s="6" t="inlineStr">
        <is>
          <t>Defense % (Iron Wall converts total Defense, incl. this %, into STR, at a level-scaling rate)</t>
        </is>
      </c>
      <c r="B9" s="8">
        <f>INDEX($C$9:$L$9,MATCH($B$4,$C$2:$L$2,0))</f>
        <v/>
      </c>
      <c r="C9" s="7" t="n">
        <v>0</v>
      </c>
      <c r="D9" s="7" t="n">
        <v>0</v>
      </c>
      <c r="E9" s="7" t="n">
        <v>0</v>
      </c>
      <c r="F9" s="7" t="n">
        <v>0</v>
      </c>
      <c r="G9" s="7" t="n">
        <v>0</v>
      </c>
      <c r="H9" s="7" t="n">
        <v>0</v>
      </c>
      <c r="I9" s="7" t="n">
        <v>0</v>
      </c>
      <c r="J9" s="7" t="n">
        <v>0</v>
      </c>
      <c r="K9" s="7" t="n">
        <v>0</v>
      </c>
      <c r="L9" s="7" t="n">
        <v>0</v>
      </c>
      <c r="N9" t="inlineStr">
        <is>
          <t>Mushmom's Cap</t>
        </is>
      </c>
    </row>
    <row r="10">
      <c r="A10" s="6" t="inlineStr">
        <is>
          <t>CRIT_RATE %</t>
        </is>
      </c>
      <c r="B10" s="8">
        <f>INDEX($C$10:$L$10,MATCH($B$4,$C$2:$L$2,0))</f>
        <v/>
      </c>
      <c r="C10" s="7" t="n">
        <v>0</v>
      </c>
      <c r="D10" s="7" t="n">
        <v>0</v>
      </c>
      <c r="E10" s="7" t="n">
        <v>0</v>
      </c>
      <c r="F10" s="7" t="n">
        <v>0</v>
      </c>
      <c r="G10" s="7" t="n">
        <v>0</v>
      </c>
      <c r="H10" s="7" t="n">
        <v>0</v>
      </c>
      <c r="I10" s="7" t="n">
        <v>0</v>
      </c>
      <c r="J10" s="7" t="n">
        <v>0</v>
      </c>
      <c r="K10" s="7" t="n">
        <v>0</v>
      </c>
      <c r="L10" s="7" t="n">
        <v>0</v>
      </c>
      <c r="N10" t="inlineStr">
        <is>
          <t>Clear Spring Water</t>
        </is>
      </c>
    </row>
    <row r="11">
      <c r="A11" s="6" t="inlineStr">
        <is>
          <t>CRIT_DAMAGE %</t>
        </is>
      </c>
      <c r="B11" s="8">
        <f>INDEX($C$11:$L$11,MATCH($B$4,$C$2:$L$2,0))</f>
        <v/>
      </c>
      <c r="C11" s="7" t="n">
        <v>0</v>
      </c>
      <c r="D11" s="7" t="n">
        <v>0</v>
      </c>
      <c r="E11" s="7" t="n">
        <v>0</v>
      </c>
      <c r="F11" s="7" t="n">
        <v>0</v>
      </c>
      <c r="G11" s="7" t="n">
        <v>0</v>
      </c>
      <c r="H11" s="7" t="n">
        <v>0</v>
      </c>
      <c r="I11" s="7" t="n">
        <v>0</v>
      </c>
      <c r="J11" s="7" t="n">
        <v>0</v>
      </c>
      <c r="K11" s="7" t="n">
        <v>0</v>
      </c>
      <c r="L11" s="7" t="n">
        <v>0</v>
      </c>
      <c r="N11" t="inlineStr">
        <is>
          <t>Athena Pierce's Old Gloves</t>
        </is>
      </c>
    </row>
    <row r="12">
      <c r="A12" s="6" t="inlineStr">
        <is>
          <t>ATTACK_SPEED % (base, excludes Weapon Acceleration)</t>
        </is>
      </c>
      <c r="B12" s="8">
        <f>INDEX($C$12:$L$12,MATCH($B$4,$C$2:$L$2,0))</f>
        <v/>
      </c>
      <c r="C12" s="7" t="n">
        <v>0</v>
      </c>
      <c r="D12" s="7" t="n">
        <v>0</v>
      </c>
      <c r="E12" s="7" t="n">
        <v>0</v>
      </c>
      <c r="F12" s="7" t="n">
        <v>0</v>
      </c>
      <c r="G12" s="7" t="n">
        <v>0</v>
      </c>
      <c r="H12" s="7" t="n">
        <v>0</v>
      </c>
      <c r="I12" s="7" t="n">
        <v>0</v>
      </c>
      <c r="J12" s="7" t="n">
        <v>0</v>
      </c>
      <c r="K12" s="7" t="n">
        <v>0</v>
      </c>
      <c r="L12" s="7" t="n">
        <v>0</v>
      </c>
      <c r="N12" t="inlineStr">
        <is>
          <t>Zakum's Stone Piece</t>
        </is>
      </c>
    </row>
    <row r="13">
      <c r="A13" s="6" t="inlineStr">
        <is>
          <t>Flat STR</t>
        </is>
      </c>
      <c r="B13" s="8">
        <f>INDEX($C$13:$L$13,MATCH($B$4,$C$2:$L$2,0))</f>
        <v/>
      </c>
      <c r="C13" s="7" t="n">
        <v>0</v>
      </c>
      <c r="D13" s="7" t="n">
        <v>0</v>
      </c>
      <c r="E13" s="7" t="n">
        <v>0</v>
      </c>
      <c r="F13" s="7" t="n">
        <v>0</v>
      </c>
      <c r="G13" s="7" t="n">
        <v>0</v>
      </c>
      <c r="H13" s="7" t="n">
        <v>0</v>
      </c>
      <c r="I13" s="7" t="n">
        <v>0</v>
      </c>
      <c r="J13" s="7" t="n">
        <v>0</v>
      </c>
      <c r="K13" s="7" t="n">
        <v>0</v>
      </c>
      <c r="L13" s="7" t="n">
        <v>0</v>
      </c>
      <c r="N13" t="inlineStr">
        <is>
          <t>Horntail's Scale</t>
        </is>
      </c>
    </row>
    <row r="14">
      <c r="A14" s="6" t="inlineStr">
        <is>
          <t>STR %</t>
        </is>
      </c>
      <c r="B14" s="8">
        <f>INDEX($C$14:$L$14,MATCH($B$4,$C$2:$L$2,0))</f>
        <v/>
      </c>
      <c r="C14" s="7" t="n">
        <v>0</v>
      </c>
      <c r="D14" s="7" t="n">
        <v>0</v>
      </c>
      <c r="E14" s="7" t="n">
        <v>0</v>
      </c>
      <c r="F14" s="7" t="n">
        <v>0</v>
      </c>
      <c r="G14" s="7" t="n">
        <v>0</v>
      </c>
      <c r="H14" s="7" t="n">
        <v>0</v>
      </c>
      <c r="I14" s="7" t="n">
        <v>0</v>
      </c>
      <c r="J14" s="7" t="n">
        <v>0</v>
      </c>
      <c r="K14" s="7" t="n">
        <v>0</v>
      </c>
      <c r="L14" s="7" t="n">
        <v>0</v>
      </c>
      <c r="N14" t="inlineStr">
        <is>
          <t>Pink Bean's Giant Rib</t>
        </is>
      </c>
    </row>
    <row r="15">
      <c r="A15" s="6" t="inlineStr">
        <is>
          <t>DEX</t>
        </is>
      </c>
      <c r="B15" s="8">
        <f>INDEX($C$15:$L$15,MATCH($B$4,$C$2:$L$2,0))</f>
        <v/>
      </c>
      <c r="C15" s="7" t="n">
        <v>0</v>
      </c>
      <c r="D15" s="7" t="n">
        <v>0</v>
      </c>
      <c r="E15" s="7" t="n">
        <v>0</v>
      </c>
      <c r="F15" s="7" t="n">
        <v>0</v>
      </c>
      <c r="G15" s="7" t="n">
        <v>0</v>
      </c>
      <c r="H15" s="7" t="n">
        <v>0</v>
      </c>
      <c r="I15" s="7" t="n">
        <v>0</v>
      </c>
      <c r="J15" s="7" t="n">
        <v>0</v>
      </c>
      <c r="K15" s="7" t="n">
        <v>0</v>
      </c>
      <c r="L15" s="7" t="n">
        <v>0</v>
      </c>
      <c r="N15" t="inlineStr">
        <is>
          <t>Chalice</t>
        </is>
      </c>
    </row>
    <row r="16">
      <c r="A16" s="6" t="inlineStr">
        <is>
          <t>DAMAGE %</t>
        </is>
      </c>
      <c r="B16" s="8">
        <f>INDEX($C$16:$L$16,MATCH($B$4,$C$2:$L$2,0))</f>
        <v/>
      </c>
      <c r="C16" s="7" t="n">
        <v>0</v>
      </c>
      <c r="D16" s="7" t="n">
        <v>0</v>
      </c>
      <c r="E16" s="7" t="n">
        <v>0</v>
      </c>
      <c r="F16" s="7" t="n">
        <v>0</v>
      </c>
      <c r="G16" s="7" t="n">
        <v>0</v>
      </c>
      <c r="H16" s="7" t="n">
        <v>0</v>
      </c>
      <c r="I16" s="7" t="n">
        <v>0</v>
      </c>
      <c r="J16" s="7" t="n">
        <v>0</v>
      </c>
      <c r="K16" s="7" t="n">
        <v>0</v>
      </c>
      <c r="L16" s="7" t="n">
        <v>0</v>
      </c>
      <c r="N16" t="inlineStr">
        <is>
          <t>Old Music Box</t>
        </is>
      </c>
    </row>
    <row r="17">
      <c r="A17" s="6" t="inlineStr">
        <is>
          <t>DAMAGE_AMP %</t>
        </is>
      </c>
      <c r="B17" s="8">
        <f>INDEX($C$17:$L$17,MATCH($B$4,$C$2:$L$2,0))</f>
        <v/>
      </c>
      <c r="C17" s="7" t="n">
        <v>0</v>
      </c>
      <c r="D17" s="7" t="n">
        <v>0</v>
      </c>
      <c r="E17" s="7" t="n">
        <v>0</v>
      </c>
      <c r="F17" s="7" t="n">
        <v>0</v>
      </c>
      <c r="G17" s="7" t="n">
        <v>0</v>
      </c>
      <c r="H17" s="7" t="n">
        <v>0</v>
      </c>
      <c r="I17" s="7" t="n">
        <v>0</v>
      </c>
      <c r="J17" s="7" t="n">
        <v>0</v>
      </c>
      <c r="K17" s="7" t="n">
        <v>0</v>
      </c>
      <c r="L17" s="7" t="n">
        <v>0</v>
      </c>
      <c r="N17" t="inlineStr">
        <is>
          <t>Silver Pendant</t>
        </is>
      </c>
    </row>
    <row r="18">
      <c r="A18" s="6" t="inlineStr">
        <is>
          <t>BASIC_ATTACK_DAMAGE %</t>
        </is>
      </c>
      <c r="B18" s="8">
        <f>INDEX($C$18:$L$18,MATCH($B$4,$C$2:$L$2,0))</f>
        <v/>
      </c>
      <c r="C18" s="7" t="n">
        <v>0</v>
      </c>
      <c r="D18" s="7" t="n">
        <v>0</v>
      </c>
      <c r="E18" s="7" t="n">
        <v>0</v>
      </c>
      <c r="F18" s="7" t="n">
        <v>0</v>
      </c>
      <c r="G18" s="7" t="n">
        <v>0</v>
      </c>
      <c r="H18" s="7" t="n">
        <v>0</v>
      </c>
      <c r="I18" s="7" t="n">
        <v>0</v>
      </c>
      <c r="J18" s="7" t="n">
        <v>0</v>
      </c>
      <c r="K18" s="7" t="n">
        <v>0</v>
      </c>
      <c r="L18" s="7" t="n">
        <v>0</v>
      </c>
      <c r="N18" t="inlineStr">
        <is>
          <t>Star Rock</t>
        </is>
      </c>
    </row>
    <row r="19">
      <c r="A19" s="6" t="inlineStr">
        <is>
          <t>SKILL_DAMAGE %</t>
        </is>
      </c>
      <c r="B19" s="8">
        <f>INDEX($C$19:$L$19,MATCH($B$4,$C$2:$L$2,0))</f>
        <v/>
      </c>
      <c r="C19" s="7" t="n">
        <v>0</v>
      </c>
      <c r="D19" s="7" t="n">
        <v>0</v>
      </c>
      <c r="E19" s="7" t="n">
        <v>0</v>
      </c>
      <c r="F19" s="7" t="n">
        <v>0</v>
      </c>
      <c r="G19" s="7" t="n">
        <v>0</v>
      </c>
      <c r="H19" s="7" t="n">
        <v>0</v>
      </c>
      <c r="I19" s="7" t="n">
        <v>0</v>
      </c>
      <c r="J19" s="7" t="n">
        <v>0</v>
      </c>
      <c r="K19" s="7" t="n">
        <v>0</v>
      </c>
      <c r="L19" s="7" t="n">
        <v>0</v>
      </c>
      <c r="N19" t="inlineStr">
        <is>
          <t>Book of Ancient</t>
        </is>
      </c>
    </row>
    <row r="20">
      <c r="A20" s="6" t="inlineStr">
        <is>
          <t>DEF_PEN %</t>
        </is>
      </c>
      <c r="B20" s="8">
        <f>INDEX($C$20:$L$20,MATCH($B$4,$C$2:$L$2,0))</f>
        <v/>
      </c>
      <c r="C20" s="7" t="n">
        <v>0</v>
      </c>
      <c r="D20" s="7" t="n">
        <v>0</v>
      </c>
      <c r="E20" s="7" t="n">
        <v>0</v>
      </c>
      <c r="F20" s="7" t="n">
        <v>0</v>
      </c>
      <c r="G20" s="7" t="n">
        <v>0</v>
      </c>
      <c r="H20" s="7" t="n">
        <v>0</v>
      </c>
      <c r="I20" s="7" t="n">
        <v>0</v>
      </c>
      <c r="J20" s="7" t="n">
        <v>0</v>
      </c>
      <c r="K20" s="7" t="n">
        <v>0</v>
      </c>
      <c r="L20" s="7" t="n">
        <v>0</v>
      </c>
      <c r="N20" t="inlineStr">
        <is>
          <t>Lunar Dew</t>
        </is>
      </c>
    </row>
    <row r="21">
      <c r="A21" s="6" t="inlineStr">
        <is>
          <t>BOSS_DAMAGE %</t>
        </is>
      </c>
      <c r="B21" s="8">
        <f>INDEX($C$21:$L$21,MATCH($B$4,$C$2:$L$2,0))</f>
        <v/>
      </c>
      <c r="C21" s="7" t="n">
        <v>0</v>
      </c>
      <c r="D21" s="7" t="n">
        <v>0</v>
      </c>
      <c r="E21" s="7" t="n">
        <v>0</v>
      </c>
      <c r="F21" s="7" t="n">
        <v>0</v>
      </c>
      <c r="G21" s="7" t="n">
        <v>0</v>
      </c>
      <c r="H21" s="7" t="n">
        <v>0</v>
      </c>
      <c r="I21" s="7" t="n">
        <v>0</v>
      </c>
      <c r="J21" s="7" t="n">
        <v>0</v>
      </c>
      <c r="K21" s="7" t="n">
        <v>0</v>
      </c>
      <c r="L21" s="7" t="n">
        <v>0</v>
      </c>
      <c r="N21" t="inlineStr">
        <is>
          <t>Fire Flower</t>
        </is>
      </c>
    </row>
    <row r="22">
      <c r="A22" s="6" t="inlineStr">
        <is>
          <t>NORMAL_DAMAGE %</t>
        </is>
      </c>
      <c r="B22" s="8">
        <f>INDEX($C$22:$L$22,MATCH($B$4,$C$2:$L$2,0))</f>
        <v/>
      </c>
      <c r="C22" s="7" t="n">
        <v>0</v>
      </c>
      <c r="D22" s="7" t="n">
        <v>0</v>
      </c>
      <c r="E22" s="7" t="n">
        <v>0</v>
      </c>
      <c r="F22" s="7" t="n">
        <v>0</v>
      </c>
      <c r="G22" s="7" t="n">
        <v>0</v>
      </c>
      <c r="H22" s="7" t="n">
        <v>0</v>
      </c>
      <c r="I22" s="7" t="n">
        <v>0</v>
      </c>
      <c r="J22" s="7" t="n">
        <v>0</v>
      </c>
      <c r="K22" s="7" t="n">
        <v>0</v>
      </c>
      <c r="L22" s="7" t="n">
        <v>0</v>
      </c>
      <c r="N22" t="inlineStr">
        <is>
          <t>Soul Contract</t>
        </is>
      </c>
    </row>
    <row r="23">
      <c r="A23" s="6" t="inlineStr">
        <is>
          <t>MIN_DAMAGE %</t>
        </is>
      </c>
      <c r="B23" s="8">
        <f>INDEX($C$23:$L$23,MATCH($B$4,$C$2:$L$2,0))</f>
        <v/>
      </c>
      <c r="C23" s="7" t="n">
        <v>100</v>
      </c>
      <c r="D23" s="7" t="n">
        <v>100</v>
      </c>
      <c r="E23" s="7" t="n">
        <v>100</v>
      </c>
      <c r="F23" s="7" t="n">
        <v>100</v>
      </c>
      <c r="G23" s="7" t="n">
        <v>100</v>
      </c>
      <c r="H23" s="7" t="n">
        <v>100</v>
      </c>
      <c r="I23" s="7" t="n">
        <v>100</v>
      </c>
      <c r="J23" s="7" t="n">
        <v>100</v>
      </c>
      <c r="K23" s="7" t="n">
        <v>100</v>
      </c>
      <c r="L23" s="7" t="n">
        <v>100</v>
      </c>
      <c r="N23" t="inlineStr">
        <is>
          <t>Lit Lamp</t>
        </is>
      </c>
    </row>
    <row r="24">
      <c r="A24" s="6" t="inlineStr">
        <is>
          <t>MAX_DAMAGE %</t>
        </is>
      </c>
      <c r="B24" s="8">
        <f>INDEX($C$24:$L$24,MATCH($B$4,$C$2:$L$2,0))</f>
        <v/>
      </c>
      <c r="C24" s="7" t="n">
        <v>100</v>
      </c>
      <c r="D24" s="7" t="n">
        <v>100</v>
      </c>
      <c r="E24" s="7" t="n">
        <v>100</v>
      </c>
      <c r="F24" s="7" t="n">
        <v>100</v>
      </c>
      <c r="G24" s="7" t="n">
        <v>100</v>
      </c>
      <c r="H24" s="7" t="n">
        <v>100</v>
      </c>
      <c r="I24" s="7" t="n">
        <v>100</v>
      </c>
      <c r="J24" s="7" t="n">
        <v>100</v>
      </c>
      <c r="K24" s="7" t="n">
        <v>100</v>
      </c>
      <c r="L24" s="7" t="n">
        <v>100</v>
      </c>
      <c r="N24" t="inlineStr">
        <is>
          <t>Soul Pouch</t>
        </is>
      </c>
    </row>
    <row r="25">
      <c r="A25" s="6" t="inlineStr">
        <is>
          <t>FINAL_DAMAGE % (base)</t>
        </is>
      </c>
      <c r="B25" s="8">
        <f>INDEX($C$25:$L$25,MATCH($B$4,$C$2:$L$2,0))</f>
        <v/>
      </c>
      <c r="C25" s="7" t="n">
        <v>0</v>
      </c>
      <c r="D25" s="7" t="n">
        <v>0</v>
      </c>
      <c r="E25" s="7" t="n">
        <v>0</v>
      </c>
      <c r="F25" s="7" t="n">
        <v>0</v>
      </c>
      <c r="G25" s="7" t="n">
        <v>0</v>
      </c>
      <c r="H25" s="7" t="n">
        <v>0</v>
      </c>
      <c r="I25" s="7" t="n">
        <v>0</v>
      </c>
      <c r="J25" s="7" t="n">
        <v>0</v>
      </c>
      <c r="K25" s="7" t="n">
        <v>0</v>
      </c>
      <c r="L25" s="7" t="n">
        <v>0</v>
      </c>
      <c r="N25" t="inlineStr">
        <is>
          <t>Ancient Text Piece</t>
        </is>
      </c>
    </row>
    <row r="26">
      <c r="A26" s="6" t="inlineStr">
        <is>
          <t>Skill Level Bonus — 1st Job</t>
        </is>
      </c>
      <c r="B26" s="8">
        <f>INDEX($C$26:$L$26,MATCH($B$4,$C$2:$L$2,0))</f>
        <v/>
      </c>
      <c r="C26" s="7" t="n">
        <v>0</v>
      </c>
      <c r="D26" s="7" t="n">
        <v>0</v>
      </c>
      <c r="E26" s="7" t="n">
        <v>0</v>
      </c>
      <c r="F26" s="7" t="n">
        <v>0</v>
      </c>
      <c r="G26" s="7" t="n">
        <v>0</v>
      </c>
      <c r="H26" s="7" t="n">
        <v>0</v>
      </c>
      <c r="I26" s="7" t="n">
        <v>0</v>
      </c>
      <c r="J26" s="7" t="n">
        <v>0</v>
      </c>
      <c r="K26" s="7" t="n">
        <v>0</v>
      </c>
      <c r="L26" s="7" t="n">
        <v>0</v>
      </c>
      <c r="N26" t="inlineStr">
        <is>
          <t>Icy Soul Rock</t>
        </is>
      </c>
    </row>
    <row r="27">
      <c r="A27" s="6" t="inlineStr">
        <is>
          <t>Skill Level Bonus — 2nd Job</t>
        </is>
      </c>
      <c r="B27" s="8">
        <f>INDEX($C$27:$L$27,MATCH($B$4,$C$2:$L$2,0))</f>
        <v/>
      </c>
      <c r="C27" s="7" t="n">
        <v>0</v>
      </c>
      <c r="D27" s="7" t="n">
        <v>0</v>
      </c>
      <c r="E27" s="7" t="n">
        <v>0</v>
      </c>
      <c r="F27" s="7" t="n">
        <v>0</v>
      </c>
      <c r="G27" s="7" t="n">
        <v>0</v>
      </c>
      <c r="H27" s="7" t="n">
        <v>0</v>
      </c>
      <c r="I27" s="7" t="n">
        <v>0</v>
      </c>
      <c r="J27" s="7" t="n">
        <v>0</v>
      </c>
      <c r="K27" s="7" t="n">
        <v>0</v>
      </c>
      <c r="L27" s="7" t="n">
        <v>0</v>
      </c>
      <c r="N27" t="inlineStr">
        <is>
          <t>Flaming Lava</t>
        </is>
      </c>
    </row>
    <row r="28">
      <c r="A28" s="6" t="inlineStr">
        <is>
          <t>Skill Level Bonus — 3rd Job</t>
        </is>
      </c>
      <c r="B28" s="8">
        <f>INDEX($C$28:$L$28,MATCH($B$4,$C$2:$L$2,0))</f>
        <v/>
      </c>
      <c r="C28" s="7" t="n">
        <v>0</v>
      </c>
      <c r="D28" s="7" t="n">
        <v>0</v>
      </c>
      <c r="E28" s="7" t="n">
        <v>0</v>
      </c>
      <c r="F28" s="7" t="n">
        <v>0</v>
      </c>
      <c r="G28" s="7" t="n">
        <v>0</v>
      </c>
      <c r="H28" s="7" t="n">
        <v>0</v>
      </c>
      <c r="I28" s="7" t="n">
        <v>0</v>
      </c>
      <c r="J28" s="7" t="n">
        <v>0</v>
      </c>
      <c r="K28" s="7" t="n">
        <v>0</v>
      </c>
      <c r="L28" s="7" t="n">
        <v>0</v>
      </c>
      <c r="N28" t="inlineStr">
        <is>
          <t>Sayram's Necklace</t>
        </is>
      </c>
    </row>
    <row r="29">
      <c r="A29" s="6" t="inlineStr">
        <is>
          <t>Skill Level Bonus — 4th Job</t>
        </is>
      </c>
      <c r="B29" s="8">
        <f>INDEX($C$29:$L$29,MATCH($B$4,$C$2:$L$2,0))</f>
        <v/>
      </c>
      <c r="C29" s="7" t="n">
        <v>0</v>
      </c>
      <c r="D29" s="7" t="n">
        <v>0</v>
      </c>
      <c r="E29" s="7" t="n">
        <v>0</v>
      </c>
      <c r="F29" s="7" t="n">
        <v>0</v>
      </c>
      <c r="G29" s="7" t="n">
        <v>0</v>
      </c>
      <c r="H29" s="7" t="n">
        <v>0</v>
      </c>
      <c r="I29" s="7" t="n">
        <v>0</v>
      </c>
      <c r="J29" s="7" t="n">
        <v>0</v>
      </c>
      <c r="K29" s="7" t="n">
        <v>0</v>
      </c>
      <c r="L29" s="7" t="n">
        <v>0</v>
      </c>
      <c r="N29" t="inlineStr">
        <is>
          <t>Bottle of Emotion</t>
        </is>
      </c>
    </row>
    <row r="30">
      <c r="A30" s="6" t="inlineStr">
        <is>
          <t>Skill Level Bonus — All Skills</t>
        </is>
      </c>
      <c r="B30" s="8">
        <f>INDEX($C$30:$L$30,MATCH($B$4,$C$2:$L$2,0))</f>
        <v/>
      </c>
      <c r="C30" s="7" t="n">
        <v>0</v>
      </c>
      <c r="D30" s="7" t="n">
        <v>0</v>
      </c>
      <c r="E30" s="7" t="n">
        <v>0</v>
      </c>
      <c r="F30" s="7" t="n">
        <v>0</v>
      </c>
      <c r="G30" s="7" t="n">
        <v>0</v>
      </c>
      <c r="H30" s="7" t="n">
        <v>0</v>
      </c>
      <c r="I30" s="7" t="n">
        <v>0</v>
      </c>
      <c r="J30" s="7" t="n">
        <v>0</v>
      </c>
      <c r="K30" s="7" t="n">
        <v>0</v>
      </c>
      <c r="L30" s="7" t="n">
        <v>0</v>
      </c>
      <c r="N30" t="inlineStr">
        <is>
          <t>Peach Tree Herb Pouch</t>
        </is>
      </c>
    </row>
    <row r="31">
      <c r="N31" t="inlineStr">
        <is>
          <t>Candle</t>
        </is>
      </c>
    </row>
    <row r="32">
      <c r="A32" s="9" t="inlineStr">
        <is>
          <t>Additional Bonuses</t>
        </is>
      </c>
      <c r="N32" t="inlineStr">
        <is>
          <t>Alliance Badge</t>
        </is>
      </c>
    </row>
    <row r="33">
      <c r="A33" s="6" t="inlineStr">
        <is>
          <t>Skill Cooldown Decrease (seconds; applies to every cooldown — skills, buffs and passives)</t>
        </is>
      </c>
      <c r="B33" s="8">
        <f>INDEX($C$33:$L$33,MATCH($B$4,$C$2:$L$2,0))</f>
        <v/>
      </c>
      <c r="C33" s="7" t="n">
        <v>0</v>
      </c>
      <c r="D33" s="7" t="n">
        <v>0</v>
      </c>
      <c r="E33" s="7" t="n">
        <v>0</v>
      </c>
      <c r="F33" s="7" t="n">
        <v>0</v>
      </c>
      <c r="G33" s="7" t="n">
        <v>0</v>
      </c>
      <c r="H33" s="7" t="n">
        <v>0</v>
      </c>
      <c r="I33" s="7" t="n">
        <v>0</v>
      </c>
      <c r="J33" s="7" t="n">
        <v>0</v>
      </c>
      <c r="K33" s="7" t="n">
        <v>0</v>
      </c>
      <c r="L33" s="7" t="n">
        <v>0</v>
      </c>
      <c r="N33" t="inlineStr">
        <is>
          <t>Horn Flute</t>
        </is>
      </c>
    </row>
    <row r="34">
      <c r="A34" s="6" t="inlineStr">
        <is>
          <t>Basic Attack Target Increase (flat, adds to the 6-target normal-monster base)</t>
        </is>
      </c>
      <c r="B34" s="8">
        <f>INDEX($C$34:$L$34,MATCH($B$4,$C$2:$L$2,0))</f>
        <v/>
      </c>
      <c r="C34" s="7" t="n">
        <v>1</v>
      </c>
      <c r="D34" s="7" t="n">
        <v>1</v>
      </c>
      <c r="E34" s="7" t="n">
        <v>1</v>
      </c>
      <c r="F34" s="7" t="n">
        <v>1</v>
      </c>
      <c r="G34" s="7" t="n">
        <v>1</v>
      </c>
      <c r="H34" s="7" t="n">
        <v>1</v>
      </c>
      <c r="I34" s="7" t="n">
        <v>1</v>
      </c>
      <c r="J34" s="7" t="n">
        <v>1</v>
      </c>
      <c r="K34" s="7" t="n">
        <v>1</v>
      </c>
      <c r="L34" s="7" t="n">
        <v>1</v>
      </c>
      <c r="N34" t="inlineStr">
        <is>
          <t>Cursed Doll</t>
        </is>
      </c>
    </row>
    <row r="35">
      <c r="A35" s="6" t="inlineStr">
        <is>
          <t>Buff Duration Increase %</t>
        </is>
      </c>
      <c r="B35" s="8">
        <f>INDEX($C$35:$L$35,MATCH($B$4,$C$2:$L$2,0))</f>
        <v/>
      </c>
      <c r="C35" s="7" t="n">
        <v>0</v>
      </c>
      <c r="D35" s="7" t="n">
        <v>0</v>
      </c>
      <c r="E35" s="7" t="n">
        <v>0</v>
      </c>
      <c r="F35" s="7" t="n">
        <v>0</v>
      </c>
      <c r="G35" s="7" t="n">
        <v>0</v>
      </c>
      <c r="H35" s="7" t="n">
        <v>0</v>
      </c>
      <c r="I35" s="7" t="n">
        <v>0</v>
      </c>
      <c r="J35" s="7" t="n">
        <v>0</v>
      </c>
      <c r="K35" s="7" t="n">
        <v>0</v>
      </c>
      <c r="L35" s="7" t="n">
        <v>0</v>
      </c>
      <c r="N35" t="inlineStr">
        <is>
          <t>Reindeer's Spear</t>
        </is>
      </c>
    </row>
    <row r="36">
      <c r="A36" s="6" t="inlineStr">
        <is>
          <t>Companion Summoning Time Increase % (companions not modeled — always 0 DPS impact)</t>
        </is>
      </c>
      <c r="B36" s="8">
        <f>INDEX($C$36:$L$36,MATCH($B$4,$C$2:$L$2,0))</f>
        <v/>
      </c>
      <c r="C36" s="7" t="n">
        <v>0</v>
      </c>
      <c r="D36" s="7" t="n">
        <v>0</v>
      </c>
      <c r="E36" s="7" t="n">
        <v>0</v>
      </c>
      <c r="F36" s="7" t="n">
        <v>0</v>
      </c>
      <c r="G36" s="7" t="n">
        <v>0</v>
      </c>
      <c r="H36" s="7" t="n">
        <v>0</v>
      </c>
      <c r="I36" s="7" t="n">
        <v>0</v>
      </c>
      <c r="J36" s="7" t="n">
        <v>0</v>
      </c>
      <c r="K36" s="7" t="n">
        <v>0</v>
      </c>
      <c r="L36" s="7" t="n">
        <v>0</v>
      </c>
      <c r="N36" t="inlineStr">
        <is>
          <t>Secret Map</t>
        </is>
      </c>
    </row>
    <row r="37">
      <c r="A37" s="6" t="inlineStr">
        <is>
          <t>Boss/Normal Emphasis (Breakthrough/Hero Dungeon only)</t>
        </is>
      </c>
      <c r="B37" s="8">
        <f>INDEX($C$37:$L$37,MATCH($B$4,$C$2:$L$2,0))</f>
        <v/>
      </c>
      <c r="C37" s="8" t="n"/>
      <c r="D37" s="7" t="inlineStr">
        <is>
          <t>A Little More Normal</t>
        </is>
      </c>
      <c r="E37" s="8" t="n"/>
      <c r="F37" s="8" t="n"/>
      <c r="G37" s="8" t="n"/>
      <c r="H37" s="8" t="n"/>
      <c r="I37" s="8" t="n"/>
      <c r="J37" s="7" t="inlineStr">
        <is>
          <t>A Little More Normal</t>
        </is>
      </c>
      <c r="K37" s="8" t="n"/>
      <c r="L37" s="8" t="n"/>
      <c r="N37" t="inlineStr">
        <is>
          <t>Ring of Cycles</t>
        </is>
      </c>
    </row>
    <row r="38">
      <c r="A38" s="6" t="inlineStr">
        <is>
          <t>Max Enemies Actually In Range (normal-monster content only; default 999 = uncapped)</t>
        </is>
      </c>
      <c r="B38" s="8">
        <f>INDEX($C$38:$L$38,MATCH($B$4,$C$2:$L$2,0))</f>
        <v/>
      </c>
      <c r="C38" s="8" t="n"/>
      <c r="D38" s="7" t="n">
        <v>999</v>
      </c>
      <c r="E38" s="8" t="n"/>
      <c r="F38" s="7" t="n">
        <v>999</v>
      </c>
      <c r="G38" s="7" t="n">
        <v>999</v>
      </c>
      <c r="H38" s="8" t="n"/>
      <c r="I38" s="8" t="n"/>
      <c r="J38" s="7" t="n">
        <v>999</v>
      </c>
      <c r="K38" s="8" t="n"/>
      <c r="L38" s="7" t="n">
        <v>999</v>
      </c>
    </row>
    <row r="39" hidden="1">
      <c r="A39" s="6" t="inlineStr">
        <is>
          <t>Monster Type (auto-computed from Content Type) — computed, do not edit</t>
        </is>
      </c>
      <c r="B39" s="8">
        <f>IF(Inputs!$B$4="PvP","pvp",IF(OR(Inputs!$B$4="Breakthrough",Inputs!$B$4="Hero Dungeon"),"breakthrough",IF(OR(Inputs!$B$4="EXP Dungeon",Inputs!$B$4="Equipment Dungeon",Inputs!$B$4="Chapter Hunt"),"normal","boss")))</f>
        <v/>
      </c>
    </row>
    <row r="40" hidden="1">
      <c r="A40" s="6" t="inlineStr">
        <is>
          <t>Chapter (parsed from Chapter-Stage) — computed, do not edit</t>
        </is>
      </c>
      <c r="B40" s="8">
        <f>IFERROR(IF(ISNUMBER(FIND("-",Inputs!$B$5)),VALUE(LEFT(Inputs!$B$5,FIND("-",Inputs!$B$5)-1)),VALUE(Inputs!$B$5)),28)</f>
        <v/>
      </c>
    </row>
    <row r="41" hidden="1">
      <c r="A41" s="6" t="inlineStr">
        <is>
          <t>Stage (parsed from Chapter-Stage) — computed, do not edit</t>
        </is>
      </c>
      <c r="B41" s="8">
        <f>IFERROR(IF(ISNUMBER(FIND("-",Inputs!$B$5)),VALUE(MID(Inputs!$B$5,FIND("-",Inputs!$B$5)+1,50)),VALUE(Inputs!$B$5)),9)</f>
        <v/>
      </c>
    </row>
    <row r="42" hidden="1">
      <c r="A42" s="6" t="inlineStr">
        <is>
          <t>Breakthrough Global Stage Index (helper) — computed, do not edit</t>
        </is>
      </c>
      <c r="B42" s="8">
        <f>IF(Inputs!$B$40=28,Inputs!$B$41-9,Inputs!$B$41+14*MAX(0,MIN(Inputs!$B$40-1,38)-28)+19*MAX(0,Inputs!$B$40-39))</f>
        <v/>
      </c>
    </row>
    <row r="43" hidden="1">
      <c r="A43" s="6" t="inlineStr">
        <is>
          <t>Monster Defense (auto-computed from Content Type) — computed, do not edit</t>
        </is>
      </c>
      <c r="B43" s="8">
        <f>IF(Inputs!$B$4="Chapter Boss",3200+50*(Inputs!$B$40-28),IF(Inputs!$B$4="World Boss",62100,IF(Inputs!$B$4="Weapon Dungeon",Inputs!$B$41*50,IF(Inputs!$B$4="Enhancement Dungeon",950+Inputs!$B$41*50,IF(OR(Inputs!$B$4="EXP Dungeon",Inputs!$B$4="Equipment Dungeon"),250+Inputs!$B$41*50,IF(Inputs!$B$4="Hero Dungeon",650+Inputs!$B$41*50,IF(OR(Inputs!$B$4="Breakthrough",Inputs!$B$4="Chapter Hunt"),4860+20*Inputs!$B$42,(Inputs!$B$8*(1+Inputs!$B$9/100)))))))))</f>
        <v/>
      </c>
    </row>
    <row r="44" hidden="1">
      <c r="A44" s="6" t="inlineStr">
        <is>
          <t>Fixed Fight Duration (auto-computed from Content Type; 0 = steady-state) — computed, do not edit</t>
        </is>
      </c>
      <c r="B44" s="8">
        <f>IF(Inputs!$B$4="Chapter Hunt",0,IF(Inputs!$B$4="Weapon Dungeon",22,IF(Inputs!$B$4="Equipment Dungeon",40,IF(Inputs!$B$4="Enhancement Dungeon",25,IF(Inputs!$B$4="Hero Dungeon",50,IF(Inputs!$B$4="EXP Dungeon",40,IF(Inputs!$B$4="World Boss",75,IF(Inputs!$B$4="Chapter Boss",70,IF(Inputs!$B$4="Breakthrough",40,0)))))))))</f>
        <v/>
      </c>
    </row>
    <row r="45" hidden="1">
      <c r="A45" s="6" t="inlineStr">
        <is>
          <t>Boss/Normal Weight % (parsed from Boss/Normal Emphasis) — computed, do not edit</t>
        </is>
      </c>
      <c r="B45" s="8">
        <f>IF(Inputs!$B$37="More Normal",70,IF(Inputs!$B$37="A Little More Normal",60,IF(Inputs!$B$37="Equal",50,IF(Inputs!$B$37="A Little More Boss",40,IF(Inputs!$B$37="More Boss",30,60)))))</f>
        <v/>
      </c>
    </row>
    <row r="47">
      <c r="A47" s="9" t="inlineStr">
        <is>
          <t>Equipped Artifacts (up to 4)</t>
        </is>
      </c>
    </row>
    <row r="48">
      <c r="A48" s="6" t="inlineStr">
        <is>
          <t>Slot 1</t>
        </is>
      </c>
      <c r="B48" s="8">
        <f>INDEX($C$48:$L$48,MATCH($B$4,$C$2:$L$2,0))</f>
        <v/>
      </c>
      <c r="C48" s="7" t="inlineStr">
        <is>
          <t>(none)</t>
        </is>
      </c>
      <c r="D48" s="7" t="inlineStr">
        <is>
          <t>(none)</t>
        </is>
      </c>
      <c r="E48" s="7" t="inlineStr">
        <is>
          <t>(none)</t>
        </is>
      </c>
      <c r="F48" s="7" t="inlineStr">
        <is>
          <t>(none)</t>
        </is>
      </c>
      <c r="G48" s="7" t="inlineStr">
        <is>
          <t>(none)</t>
        </is>
      </c>
      <c r="H48" s="7" t="inlineStr">
        <is>
          <t>(none)</t>
        </is>
      </c>
      <c r="I48" s="7" t="inlineStr">
        <is>
          <t>(none)</t>
        </is>
      </c>
      <c r="J48" s="7" t="inlineStr">
        <is>
          <t>(none)</t>
        </is>
      </c>
      <c r="K48" s="7" t="inlineStr">
        <is>
          <t>(none)</t>
        </is>
      </c>
      <c r="L48" s="7" t="inlineStr">
        <is>
          <t>(none)</t>
        </is>
      </c>
    </row>
    <row r="49">
      <c r="A49" s="6" t="inlineStr">
        <is>
          <t>Slot 2</t>
        </is>
      </c>
      <c r="B49" s="8">
        <f>INDEX($C$49:$L$49,MATCH($B$4,$C$2:$L$2,0))</f>
        <v/>
      </c>
      <c r="C49" s="7" t="inlineStr">
        <is>
          <t>(none)</t>
        </is>
      </c>
      <c r="D49" s="7" t="inlineStr">
        <is>
          <t>(none)</t>
        </is>
      </c>
      <c r="E49" s="7" t="inlineStr">
        <is>
          <t>(none)</t>
        </is>
      </c>
      <c r="F49" s="7" t="inlineStr">
        <is>
          <t>(none)</t>
        </is>
      </c>
      <c r="G49" s="7" t="inlineStr">
        <is>
          <t>(none)</t>
        </is>
      </c>
      <c r="H49" s="7" t="inlineStr">
        <is>
          <t>(none)</t>
        </is>
      </c>
      <c r="I49" s="7" t="inlineStr">
        <is>
          <t>(none)</t>
        </is>
      </c>
      <c r="J49" s="7" t="inlineStr">
        <is>
          <t>(none)</t>
        </is>
      </c>
      <c r="K49" s="7" t="inlineStr">
        <is>
          <t>(none)</t>
        </is>
      </c>
      <c r="L49" s="7" t="inlineStr">
        <is>
          <t>(none)</t>
        </is>
      </c>
    </row>
    <row r="50">
      <c r="A50" s="6" t="inlineStr">
        <is>
          <t>Slot 3</t>
        </is>
      </c>
      <c r="B50" s="8">
        <f>INDEX($C$50:$L$50,MATCH($B$4,$C$2:$L$2,0))</f>
        <v/>
      </c>
      <c r="C50" s="7" t="inlineStr">
        <is>
          <t>(none)</t>
        </is>
      </c>
      <c r="D50" s="7" t="inlineStr">
        <is>
          <t>(none)</t>
        </is>
      </c>
      <c r="E50" s="7" t="inlineStr">
        <is>
          <t>(none)</t>
        </is>
      </c>
      <c r="F50" s="7" t="inlineStr">
        <is>
          <t>(none)</t>
        </is>
      </c>
      <c r="G50" s="7" t="inlineStr">
        <is>
          <t>(none)</t>
        </is>
      </c>
      <c r="H50" s="7" t="inlineStr">
        <is>
          <t>(none)</t>
        </is>
      </c>
      <c r="I50" s="7" t="inlineStr">
        <is>
          <t>(none)</t>
        </is>
      </c>
      <c r="J50" s="7" t="inlineStr">
        <is>
          <t>(none)</t>
        </is>
      </c>
      <c r="K50" s="7" t="inlineStr">
        <is>
          <t>(none)</t>
        </is>
      </c>
      <c r="L50" s="7" t="inlineStr">
        <is>
          <t>(none)</t>
        </is>
      </c>
    </row>
    <row r="51">
      <c r="A51" s="6" t="inlineStr">
        <is>
          <t>Slot 4</t>
        </is>
      </c>
      <c r="B51" s="8">
        <f>INDEX($C$51:$L$51,MATCH($B$4,$C$2:$L$2,0))</f>
        <v/>
      </c>
      <c r="C51" s="7" t="inlineStr">
        <is>
          <t>(none)</t>
        </is>
      </c>
      <c r="D51" s="7" t="inlineStr">
        <is>
          <t>(none)</t>
        </is>
      </c>
      <c r="E51" s="7" t="inlineStr">
        <is>
          <t>(none)</t>
        </is>
      </c>
      <c r="F51" s="7" t="inlineStr">
        <is>
          <t>(none)</t>
        </is>
      </c>
      <c r="G51" s="7" t="inlineStr">
        <is>
          <t>(none)</t>
        </is>
      </c>
      <c r="H51" s="7" t="inlineStr">
        <is>
          <t>(none)</t>
        </is>
      </c>
      <c r="I51" s="7" t="inlineStr">
        <is>
          <t>(none)</t>
        </is>
      </c>
      <c r="J51" s="7" t="inlineStr">
        <is>
          <t>(none)</t>
        </is>
      </c>
      <c r="K51" s="7" t="inlineStr">
        <is>
          <t>(none)</t>
        </is>
      </c>
      <c r="L51" s="7" t="inlineStr">
        <is>
          <t>(none)</t>
        </is>
      </c>
    </row>
  </sheetData>
  <dataValidations count="3">
    <dataValidation sqref="B4" showDropDown="0" showInputMessage="0" showErrorMessage="0" allowBlank="0" type="list">
      <formula1>"Chapter Boss,Breakthrough,PvP,EXP Dungeon,Equipment Dungeon,Weapon Dungeon,Enhancement Dungeon,Hero Dungeon,World Boss,Chapter Hunt"</formula1>
    </dataValidation>
    <dataValidation sqref="D37 J37" showDropDown="0" showInputMessage="0" showErrorMessage="0" allowBlank="0" type="list">
      <formula1>"More Normal,A Little More Normal,Equal,A Little More Boss,More Boss"</formula1>
    </dataValidation>
    <dataValidation sqref="C48 C49 C50 C51 D48 D49 D50 D51 E48 E49 E50 E51 F48 F49 F50 F51 G48 G49 G50 G51 H48 H49 H50 H51 I48 I49 I50 I51 J48 J49 J50 J51 K48 K49 K50 K51 L48 L49 L50 L51" showDropDown="0" showInputMessage="0" showErrorMessage="0" allowBlank="0" type="list">
      <formula1>=$N$1:$N$37</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s>
  <sheetData>
    <row r="1">
      <c r="A1" s="5" t="inlineStr">
        <is>
          <t>Level</t>
        </is>
      </c>
      <c r="B1" s="5" t="inlineStr">
        <is>
          <t>F0</t>
        </is>
      </c>
      <c r="C1" s="5" t="inlineStr">
        <is>
          <t>F1</t>
        </is>
      </c>
      <c r="D1" s="5" t="inlineStr">
        <is>
          <t>F2</t>
        </is>
      </c>
      <c r="E1" s="5" t="inlineStr">
        <is>
          <t>F3</t>
        </is>
      </c>
      <c r="F1" s="5" t="inlineStr">
        <is>
          <t>F4</t>
        </is>
      </c>
      <c r="G1" s="5" t="inlineStr">
        <is>
          <t>F5</t>
        </is>
      </c>
      <c r="H1" s="5" t="inlineStr">
        <is>
          <t>F6</t>
        </is>
      </c>
      <c r="I1" s="5" t="inlineStr">
        <is>
          <t>F7</t>
        </is>
      </c>
      <c r="J1" s="5" t="inlineStr">
        <is>
          <t>F8</t>
        </is>
      </c>
      <c r="K1" s="5" t="inlineStr">
        <is>
          <t>F9</t>
        </is>
      </c>
      <c r="L1" s="5" t="inlineStr">
        <is>
          <t>F10</t>
        </is>
      </c>
      <c r="M1" s="5" t="inlineStr">
        <is>
          <t>F11</t>
        </is>
      </c>
      <c r="N1" s="5" t="inlineStr">
        <is>
          <t>F12</t>
        </is>
      </c>
      <c r="O1" s="5" t="inlineStr">
        <is>
          <t>F13</t>
        </is>
      </c>
      <c r="P1" s="5" t="inlineStr">
        <is>
          <t>F14</t>
        </is>
      </c>
      <c r="Q1" s="5" t="inlineStr">
        <is>
          <t>F15</t>
        </is>
      </c>
      <c r="R1" s="5" t="inlineStr">
        <is>
          <t>F16</t>
        </is>
      </c>
      <c r="S1" s="5" t="inlineStr">
        <is>
          <t>F17</t>
        </is>
      </c>
      <c r="T1" s="5" t="inlineStr">
        <is>
          <t>F18</t>
        </is>
      </c>
      <c r="U1" s="5" t="inlineStr">
        <is>
          <t>F19</t>
        </is>
      </c>
      <c r="V1" s="5" t="inlineStr">
        <is>
          <t>F20</t>
        </is>
      </c>
      <c r="W1" s="5" t="inlineStr">
        <is>
          <t>F21</t>
        </is>
      </c>
      <c r="X1" s="5" t="inlineStr">
        <is>
          <t>F22</t>
        </is>
      </c>
      <c r="Y1" s="5" t="inlineStr">
        <is>
          <t>F23</t>
        </is>
      </c>
    </row>
    <row r="2">
      <c r="A2" t="n">
        <v>1</v>
      </c>
      <c r="B2" t="n">
        <v>0</v>
      </c>
      <c r="C2" t="n">
        <v>1000</v>
      </c>
      <c r="D2" t="n">
        <v>1000</v>
      </c>
      <c r="E2" t="n">
        <v>1000</v>
      </c>
      <c r="F2" t="n">
        <v>1000</v>
      </c>
      <c r="G2" t="n">
        <v>1000</v>
      </c>
      <c r="H2" t="n">
        <v>1000</v>
      </c>
      <c r="I2" t="n">
        <v>1000</v>
      </c>
      <c r="J2" t="n">
        <v>1000</v>
      </c>
      <c r="K2" t="n">
        <v>1000</v>
      </c>
      <c r="L2" t="n">
        <v>1000</v>
      </c>
      <c r="M2" t="n">
        <v>1000</v>
      </c>
      <c r="N2" t="n">
        <v>1000</v>
      </c>
      <c r="O2" t="n">
        <v>1000</v>
      </c>
      <c r="P2" t="n">
        <v>1000</v>
      </c>
      <c r="Q2" t="n">
        <v>1000</v>
      </c>
      <c r="R2" t="n">
        <v>1000</v>
      </c>
      <c r="S2" t="n">
        <v>1000</v>
      </c>
      <c r="T2" t="n">
        <v>1000</v>
      </c>
      <c r="U2" t="n">
        <v>1000</v>
      </c>
      <c r="V2" t="n">
        <v>1000</v>
      </c>
      <c r="W2" t="n">
        <v>1000</v>
      </c>
      <c r="X2" t="n">
        <v>1000</v>
      </c>
      <c r="Y2" t="n">
        <v>1000</v>
      </c>
    </row>
    <row r="3">
      <c r="A3" t="n">
        <v>2</v>
      </c>
      <c r="B3" t="n">
        <v>0</v>
      </c>
      <c r="C3" t="n">
        <v>1015</v>
      </c>
      <c r="D3" t="n">
        <v>1020</v>
      </c>
      <c r="E3" t="n">
        <v>1030</v>
      </c>
      <c r="F3" t="n">
        <v>1040</v>
      </c>
      <c r="G3" t="n">
        <v>1050</v>
      </c>
      <c r="H3" t="n">
        <v>1060</v>
      </c>
      <c r="I3" t="n">
        <v>1070</v>
      </c>
      <c r="J3" t="n">
        <v>1020</v>
      </c>
      <c r="K3" t="n">
        <v>1020</v>
      </c>
      <c r="L3" t="n">
        <v>1020</v>
      </c>
      <c r="M3" t="n">
        <v>1000</v>
      </c>
      <c r="N3" t="n">
        <v>1010</v>
      </c>
      <c r="O3" t="n">
        <v>1020</v>
      </c>
      <c r="P3" t="n">
        <v>1030</v>
      </c>
      <c r="Q3" t="n">
        <v>1040</v>
      </c>
      <c r="R3" t="n">
        <v>1050</v>
      </c>
      <c r="S3" t="n">
        <v>1060</v>
      </c>
      <c r="T3" t="n">
        <v>1070</v>
      </c>
      <c r="U3" t="n">
        <v>1080</v>
      </c>
      <c r="V3" t="n">
        <v>1010</v>
      </c>
      <c r="W3" t="n">
        <v>1008</v>
      </c>
      <c r="X3" t="n">
        <v>1006</v>
      </c>
      <c r="Y3" t="n">
        <v>1100</v>
      </c>
    </row>
    <row r="4">
      <c r="A4" t="n">
        <v>3</v>
      </c>
      <c r="B4" t="n">
        <v>0</v>
      </c>
      <c r="C4" t="n">
        <v>1031</v>
      </c>
      <c r="D4" t="n">
        <v>1041</v>
      </c>
      <c r="E4" t="n">
        <v>1061</v>
      </c>
      <c r="F4" t="n">
        <v>1082</v>
      </c>
      <c r="G4" t="n">
        <v>1103</v>
      </c>
      <c r="H4" t="n">
        <v>1124</v>
      </c>
      <c r="I4" t="n">
        <v>1145</v>
      </c>
      <c r="J4" t="n">
        <v>1030</v>
      </c>
      <c r="K4" t="n">
        <v>1041</v>
      </c>
      <c r="L4" t="n">
        <v>1030</v>
      </c>
      <c r="M4" t="n">
        <v>1000</v>
      </c>
      <c r="N4" t="n">
        <v>1015</v>
      </c>
      <c r="O4" t="n">
        <v>1030</v>
      </c>
      <c r="P4" t="n">
        <v>1045</v>
      </c>
      <c r="Q4" t="n">
        <v>1060</v>
      </c>
      <c r="R4" t="n">
        <v>1075</v>
      </c>
      <c r="S4" t="n">
        <v>1090</v>
      </c>
      <c r="T4" t="n">
        <v>1105</v>
      </c>
      <c r="U4" t="n">
        <v>1120</v>
      </c>
      <c r="V4" t="n">
        <v>1020</v>
      </c>
      <c r="W4" t="n">
        <v>1012</v>
      </c>
      <c r="X4" t="n">
        <v>1009</v>
      </c>
      <c r="Y4" t="n">
        <v>1150</v>
      </c>
    </row>
    <row r="5">
      <c r="A5" t="n">
        <v>4</v>
      </c>
      <c r="B5" t="n">
        <v>0</v>
      </c>
      <c r="C5" t="n">
        <v>1047</v>
      </c>
      <c r="D5" t="n">
        <v>1062</v>
      </c>
      <c r="E5" t="n">
        <v>1093</v>
      </c>
      <c r="F5" t="n">
        <v>1126</v>
      </c>
      <c r="G5" t="n">
        <v>1159</v>
      </c>
      <c r="H5" t="n">
        <v>1192</v>
      </c>
      <c r="I5" t="n">
        <v>1226</v>
      </c>
      <c r="J5" t="n">
        <v>1040</v>
      </c>
      <c r="K5" t="n">
        <v>1062</v>
      </c>
      <c r="L5" t="n">
        <v>1040</v>
      </c>
      <c r="M5" t="n">
        <v>1000</v>
      </c>
      <c r="N5" t="n">
        <v>1020</v>
      </c>
      <c r="O5" t="n">
        <v>1040</v>
      </c>
      <c r="P5" t="n">
        <v>1060</v>
      </c>
      <c r="Q5" t="n">
        <v>1080</v>
      </c>
      <c r="R5" t="n">
        <v>1100</v>
      </c>
      <c r="S5" t="n">
        <v>1120</v>
      </c>
      <c r="T5" t="n">
        <v>1140</v>
      </c>
      <c r="U5" t="n">
        <v>1160</v>
      </c>
      <c r="V5" t="n">
        <v>1030</v>
      </c>
      <c r="W5" t="n">
        <v>1016</v>
      </c>
      <c r="X5" t="n">
        <v>1012</v>
      </c>
      <c r="Y5" t="n">
        <v>1200</v>
      </c>
    </row>
    <row r="6">
      <c r="A6" t="n">
        <v>5</v>
      </c>
      <c r="B6" t="n">
        <v>0</v>
      </c>
      <c r="C6" t="n">
        <v>1063</v>
      </c>
      <c r="D6" t="n">
        <v>1084</v>
      </c>
      <c r="E6" t="n">
        <v>1126</v>
      </c>
      <c r="F6" t="n">
        <v>1172</v>
      </c>
      <c r="G6" t="n">
        <v>1217</v>
      </c>
      <c r="H6" t="n">
        <v>1264</v>
      </c>
      <c r="I6" t="n">
        <v>1312</v>
      </c>
      <c r="J6" t="n">
        <v>1050</v>
      </c>
      <c r="K6" t="n">
        <v>1084</v>
      </c>
      <c r="L6" t="n">
        <v>1050</v>
      </c>
      <c r="M6" t="n">
        <v>1000</v>
      </c>
      <c r="N6" t="n">
        <v>1025</v>
      </c>
      <c r="O6" t="n">
        <v>1050</v>
      </c>
      <c r="P6" t="n">
        <v>1075</v>
      </c>
      <c r="Q6" t="n">
        <v>1100</v>
      </c>
      <c r="R6" t="n">
        <v>1125</v>
      </c>
      <c r="S6" t="n">
        <v>1150</v>
      </c>
      <c r="T6" t="n">
        <v>1175</v>
      </c>
      <c r="U6" t="n">
        <v>1200</v>
      </c>
      <c r="V6" t="n">
        <v>1040</v>
      </c>
      <c r="W6" t="n">
        <v>1020</v>
      </c>
      <c r="X6" t="n">
        <v>1015</v>
      </c>
      <c r="Y6" t="n">
        <v>1250</v>
      </c>
    </row>
    <row r="7">
      <c r="A7" t="n">
        <v>6</v>
      </c>
      <c r="B7" t="n">
        <v>0</v>
      </c>
      <c r="C7" t="n">
        <v>1079</v>
      </c>
      <c r="D7" t="n">
        <v>1106</v>
      </c>
      <c r="E7" t="n">
        <v>1160</v>
      </c>
      <c r="F7" t="n">
        <v>1219</v>
      </c>
      <c r="G7" t="n">
        <v>1278</v>
      </c>
      <c r="H7" t="n">
        <v>1340</v>
      </c>
      <c r="I7" t="n">
        <v>1404</v>
      </c>
      <c r="J7" t="n">
        <v>1060</v>
      </c>
      <c r="K7" t="n">
        <v>1106</v>
      </c>
      <c r="L7" t="n">
        <v>1060</v>
      </c>
      <c r="M7" t="n">
        <v>1000</v>
      </c>
      <c r="N7" t="n">
        <v>1030</v>
      </c>
      <c r="O7" t="n">
        <v>1060</v>
      </c>
      <c r="P7" t="n">
        <v>1090</v>
      </c>
      <c r="Q7" t="n">
        <v>1120</v>
      </c>
      <c r="R7" t="n">
        <v>1150</v>
      </c>
      <c r="S7" t="n">
        <v>1180</v>
      </c>
      <c r="T7" t="n">
        <v>1210</v>
      </c>
      <c r="U7" t="n">
        <v>1240</v>
      </c>
      <c r="V7" t="n">
        <v>1050</v>
      </c>
      <c r="W7" t="n">
        <v>1024</v>
      </c>
      <c r="X7" t="n">
        <v>1018</v>
      </c>
      <c r="Y7" t="n">
        <v>1300</v>
      </c>
    </row>
    <row r="8">
      <c r="A8" t="n">
        <v>7</v>
      </c>
      <c r="B8" t="n">
        <v>0</v>
      </c>
      <c r="C8" t="n">
        <v>1096</v>
      </c>
      <c r="D8" t="n">
        <v>1129</v>
      </c>
      <c r="E8" t="n">
        <v>1195</v>
      </c>
      <c r="F8" t="n">
        <v>1268</v>
      </c>
      <c r="G8" t="n">
        <v>1342</v>
      </c>
      <c r="H8" t="n">
        <v>1421</v>
      </c>
      <c r="I8" t="n">
        <v>1503</v>
      </c>
      <c r="J8" t="n">
        <v>1070</v>
      </c>
      <c r="K8" t="n">
        <v>1129</v>
      </c>
      <c r="L8" t="n">
        <v>1070</v>
      </c>
      <c r="M8" t="n">
        <v>1000</v>
      </c>
      <c r="N8" t="n">
        <v>1035</v>
      </c>
      <c r="O8" t="n">
        <v>1070</v>
      </c>
      <c r="P8" t="n">
        <v>1105</v>
      </c>
      <c r="Q8" t="n">
        <v>1140</v>
      </c>
      <c r="R8" t="n">
        <v>1175</v>
      </c>
      <c r="S8" t="n">
        <v>1210</v>
      </c>
      <c r="T8" t="n">
        <v>1245</v>
      </c>
      <c r="U8" t="n">
        <v>1280</v>
      </c>
      <c r="V8" t="n">
        <v>1060</v>
      </c>
      <c r="W8" t="n">
        <v>1028</v>
      </c>
      <c r="X8" t="n">
        <v>1021</v>
      </c>
      <c r="Y8" t="n">
        <v>1350</v>
      </c>
    </row>
    <row r="9">
      <c r="A9" t="n">
        <v>8</v>
      </c>
      <c r="B9" t="n">
        <v>0</v>
      </c>
      <c r="C9" t="n">
        <v>1113</v>
      </c>
      <c r="D9" t="n">
        <v>1152</v>
      </c>
      <c r="E9" t="n">
        <v>1231</v>
      </c>
      <c r="F9" t="n">
        <v>1319</v>
      </c>
      <c r="G9" t="n">
        <v>1410</v>
      </c>
      <c r="H9" t="n">
        <v>1507</v>
      </c>
      <c r="I9" t="n">
        <v>1609</v>
      </c>
      <c r="J9" t="n">
        <v>1080</v>
      </c>
      <c r="K9" t="n">
        <v>1152</v>
      </c>
      <c r="L9" t="n">
        <v>1080</v>
      </c>
      <c r="M9" t="n">
        <v>1000</v>
      </c>
      <c r="N9" t="n">
        <v>1040</v>
      </c>
      <c r="O9" t="n">
        <v>1080</v>
      </c>
      <c r="P9" t="n">
        <v>1120</v>
      </c>
      <c r="Q9" t="n">
        <v>1160</v>
      </c>
      <c r="R9" t="n">
        <v>1200</v>
      </c>
      <c r="S9" t="n">
        <v>1240</v>
      </c>
      <c r="T9" t="n">
        <v>1280</v>
      </c>
      <c r="U9" t="n">
        <v>1320</v>
      </c>
      <c r="V9" t="n">
        <v>1070</v>
      </c>
      <c r="W9" t="n">
        <v>1032</v>
      </c>
      <c r="X9" t="n">
        <v>1024</v>
      </c>
      <c r="Y9" t="n">
        <v>1400</v>
      </c>
    </row>
    <row r="10">
      <c r="A10" t="n">
        <v>9</v>
      </c>
      <c r="B10" t="n">
        <v>0</v>
      </c>
      <c r="C10" t="n">
        <v>1130</v>
      </c>
      <c r="D10" t="n">
        <v>1176</v>
      </c>
      <c r="E10" t="n">
        <v>1268</v>
      </c>
      <c r="F10" t="n">
        <v>1372</v>
      </c>
      <c r="G10" t="n">
        <v>1481</v>
      </c>
      <c r="H10" t="n">
        <v>1598</v>
      </c>
      <c r="I10" t="n">
        <v>1722</v>
      </c>
      <c r="J10" t="n">
        <v>1090</v>
      </c>
      <c r="K10" t="n">
        <v>1176</v>
      </c>
      <c r="L10" t="n">
        <v>1090</v>
      </c>
      <c r="M10" t="n">
        <v>1000</v>
      </c>
      <c r="N10" t="n">
        <v>1045</v>
      </c>
      <c r="O10" t="n">
        <v>1090</v>
      </c>
      <c r="P10" t="n">
        <v>1135</v>
      </c>
      <c r="Q10" t="n">
        <v>1180</v>
      </c>
      <c r="R10" t="n">
        <v>1225</v>
      </c>
      <c r="S10" t="n">
        <v>1270</v>
      </c>
      <c r="T10" t="n">
        <v>1315</v>
      </c>
      <c r="U10" t="n">
        <v>1360</v>
      </c>
      <c r="V10" t="n">
        <v>1080</v>
      </c>
      <c r="W10" t="n">
        <v>1036</v>
      </c>
      <c r="X10" t="n">
        <v>1027</v>
      </c>
      <c r="Y10" t="n">
        <v>1450</v>
      </c>
    </row>
    <row r="11">
      <c r="A11" t="n">
        <v>10</v>
      </c>
      <c r="B11" t="n">
        <v>0</v>
      </c>
      <c r="C11" t="n">
        <v>1147</v>
      </c>
      <c r="D11" t="n">
        <v>1200</v>
      </c>
      <c r="E11" t="n">
        <v>1307</v>
      </c>
      <c r="F11" t="n">
        <v>1427</v>
      </c>
      <c r="G11" t="n">
        <v>1556</v>
      </c>
      <c r="H11" t="n">
        <v>1694</v>
      </c>
      <c r="I11" t="n">
        <v>1843</v>
      </c>
      <c r="J11" t="n">
        <v>1100</v>
      </c>
      <c r="K11" t="n">
        <v>1200</v>
      </c>
      <c r="L11" t="n">
        <v>1100</v>
      </c>
      <c r="M11" t="n">
        <v>1000</v>
      </c>
      <c r="N11" t="n">
        <v>1050</v>
      </c>
      <c r="O11" t="n">
        <v>1100</v>
      </c>
      <c r="P11" t="n">
        <v>1150</v>
      </c>
      <c r="Q11" t="n">
        <v>1200</v>
      </c>
      <c r="R11" t="n">
        <v>1250</v>
      </c>
      <c r="S11" t="n">
        <v>1300</v>
      </c>
      <c r="T11" t="n">
        <v>1350</v>
      </c>
      <c r="U11" t="n">
        <v>1400</v>
      </c>
      <c r="V11" t="n">
        <v>1090</v>
      </c>
      <c r="W11" t="n">
        <v>1040</v>
      </c>
      <c r="X11" t="n">
        <v>1030</v>
      </c>
      <c r="Y11" t="n">
        <v>1500</v>
      </c>
    </row>
    <row r="12">
      <c r="A12" t="n">
        <v>11</v>
      </c>
      <c r="B12" t="n">
        <v>0</v>
      </c>
      <c r="C12" t="n">
        <v>1165</v>
      </c>
      <c r="D12" t="n">
        <v>1224</v>
      </c>
      <c r="E12" t="n">
        <v>1347</v>
      </c>
      <c r="F12" t="n">
        <v>1485</v>
      </c>
      <c r="G12" t="n">
        <v>1634</v>
      </c>
      <c r="H12" t="n">
        <v>1796</v>
      </c>
      <c r="I12" t="n">
        <v>1973</v>
      </c>
      <c r="J12" t="n">
        <v>1110</v>
      </c>
      <c r="K12" t="n">
        <v>1224</v>
      </c>
      <c r="L12" t="n">
        <v>1110</v>
      </c>
      <c r="M12" t="n">
        <v>1000</v>
      </c>
      <c r="N12" t="n">
        <v>1055</v>
      </c>
      <c r="O12" t="n">
        <v>1110</v>
      </c>
      <c r="P12" t="n">
        <v>1165</v>
      </c>
      <c r="Q12" t="n">
        <v>1220</v>
      </c>
      <c r="R12" t="n">
        <v>1275</v>
      </c>
      <c r="S12" t="n">
        <v>1330</v>
      </c>
      <c r="T12" t="n">
        <v>1385</v>
      </c>
      <c r="U12" t="n">
        <v>1440</v>
      </c>
      <c r="V12" t="n">
        <v>1100</v>
      </c>
      <c r="W12" t="n">
        <v>1044</v>
      </c>
      <c r="X12" t="n">
        <v>1033</v>
      </c>
      <c r="Y12" t="n">
        <v>1550</v>
      </c>
    </row>
    <row r="13">
      <c r="A13" t="n">
        <v>12</v>
      </c>
      <c r="B13" t="n">
        <v>0</v>
      </c>
      <c r="C13" t="n">
        <v>1183</v>
      </c>
      <c r="D13" t="n">
        <v>1249</v>
      </c>
      <c r="E13" t="n">
        <v>1388</v>
      </c>
      <c r="F13" t="n">
        <v>1545</v>
      </c>
      <c r="G13" t="n">
        <v>1716</v>
      </c>
      <c r="H13" t="n">
        <v>1904</v>
      </c>
      <c r="I13" t="n">
        <v>2112</v>
      </c>
      <c r="J13" t="n">
        <v>1120</v>
      </c>
      <c r="K13" t="n">
        <v>1249</v>
      </c>
      <c r="L13" t="n">
        <v>1120</v>
      </c>
      <c r="M13" t="n">
        <v>1000</v>
      </c>
      <c r="N13" t="n">
        <v>1060</v>
      </c>
      <c r="O13" t="n">
        <v>1120</v>
      </c>
      <c r="P13" t="n">
        <v>1180</v>
      </c>
      <c r="Q13" t="n">
        <v>1240</v>
      </c>
      <c r="R13" t="n">
        <v>1300</v>
      </c>
      <c r="S13" t="n">
        <v>1360</v>
      </c>
      <c r="T13" t="n">
        <v>1420</v>
      </c>
      <c r="U13" t="n">
        <v>1480</v>
      </c>
      <c r="V13" t="n">
        <v>1110</v>
      </c>
      <c r="W13" t="n">
        <v>1048</v>
      </c>
      <c r="X13" t="n">
        <v>1036</v>
      </c>
      <c r="Y13" t="n">
        <v>1600</v>
      </c>
    </row>
    <row r="14">
      <c r="A14" t="n">
        <v>13</v>
      </c>
      <c r="B14" t="n">
        <v>0</v>
      </c>
      <c r="C14" t="n">
        <v>1201</v>
      </c>
      <c r="D14" t="n">
        <v>1274</v>
      </c>
      <c r="E14" t="n">
        <v>1430</v>
      </c>
      <c r="F14" t="n">
        <v>1607</v>
      </c>
      <c r="G14" t="n">
        <v>1802</v>
      </c>
      <c r="H14" t="n">
        <v>2019</v>
      </c>
      <c r="I14" t="n">
        <v>2260</v>
      </c>
      <c r="J14" t="n">
        <v>1130</v>
      </c>
      <c r="K14" t="n">
        <v>1274</v>
      </c>
      <c r="L14" t="n">
        <v>1130</v>
      </c>
      <c r="M14" t="n">
        <v>1000</v>
      </c>
      <c r="N14" t="n">
        <v>1065</v>
      </c>
      <c r="O14" t="n">
        <v>1130</v>
      </c>
      <c r="P14" t="n">
        <v>1195</v>
      </c>
      <c r="Q14" t="n">
        <v>1260</v>
      </c>
      <c r="R14" t="n">
        <v>1325</v>
      </c>
      <c r="S14" t="n">
        <v>1390</v>
      </c>
      <c r="T14" t="n">
        <v>1455</v>
      </c>
      <c r="U14" t="n">
        <v>1520</v>
      </c>
      <c r="V14" t="n">
        <v>1120</v>
      </c>
      <c r="W14" t="n">
        <v>1052</v>
      </c>
      <c r="X14" t="n">
        <v>1039</v>
      </c>
      <c r="Y14" t="n">
        <v>1650</v>
      </c>
    </row>
    <row r="15">
      <c r="A15" t="n">
        <v>14</v>
      </c>
      <c r="B15" t="n">
        <v>0</v>
      </c>
      <c r="C15" t="n">
        <v>1220</v>
      </c>
      <c r="D15" t="n">
        <v>1300</v>
      </c>
      <c r="E15" t="n">
        <v>1473</v>
      </c>
      <c r="F15" t="n">
        <v>1672</v>
      </c>
      <c r="G15" t="n">
        <v>1893</v>
      </c>
      <c r="H15" t="n">
        <v>2141</v>
      </c>
      <c r="I15" t="n">
        <v>2419</v>
      </c>
      <c r="J15" t="n">
        <v>1140</v>
      </c>
      <c r="K15" t="n">
        <v>1300</v>
      </c>
      <c r="L15" t="n">
        <v>1140</v>
      </c>
      <c r="M15" t="n">
        <v>1000</v>
      </c>
      <c r="N15" t="n">
        <v>1070</v>
      </c>
      <c r="O15" t="n">
        <v>1140</v>
      </c>
      <c r="P15" t="n">
        <v>1210</v>
      </c>
      <c r="Q15" t="n">
        <v>1280</v>
      </c>
      <c r="R15" t="n">
        <v>1350</v>
      </c>
      <c r="S15" t="n">
        <v>1420</v>
      </c>
      <c r="T15" t="n">
        <v>1490</v>
      </c>
      <c r="U15" t="n">
        <v>1560</v>
      </c>
      <c r="V15" t="n">
        <v>1130</v>
      </c>
      <c r="W15" t="n">
        <v>1056</v>
      </c>
      <c r="X15" t="n">
        <v>1042</v>
      </c>
      <c r="Y15" t="n">
        <v>1700</v>
      </c>
    </row>
    <row r="16">
      <c r="A16" t="n">
        <v>15</v>
      </c>
      <c r="B16" t="n">
        <v>0</v>
      </c>
      <c r="C16" t="n">
        <v>1239</v>
      </c>
      <c r="D16" t="n">
        <v>1326</v>
      </c>
      <c r="E16" t="n">
        <v>1518</v>
      </c>
      <c r="F16" t="n">
        <v>1739</v>
      </c>
      <c r="G16" t="n">
        <v>1988</v>
      </c>
      <c r="H16" t="n">
        <v>2270</v>
      </c>
      <c r="I16" t="n">
        <v>2589</v>
      </c>
      <c r="J16" t="n">
        <v>1150</v>
      </c>
      <c r="K16" t="n">
        <v>1326</v>
      </c>
      <c r="L16" t="n">
        <v>1150</v>
      </c>
      <c r="M16" t="n">
        <v>1000</v>
      </c>
      <c r="N16" t="n">
        <v>1075</v>
      </c>
      <c r="O16" t="n">
        <v>1150</v>
      </c>
      <c r="P16" t="n">
        <v>1225</v>
      </c>
      <c r="Q16" t="n">
        <v>1300</v>
      </c>
      <c r="R16" t="n">
        <v>1375</v>
      </c>
      <c r="S16" t="n">
        <v>1450</v>
      </c>
      <c r="T16" t="n">
        <v>1525</v>
      </c>
      <c r="U16" t="n">
        <v>1600</v>
      </c>
      <c r="V16" t="n">
        <v>1140</v>
      </c>
      <c r="W16" t="n">
        <v>1060</v>
      </c>
      <c r="X16" t="n">
        <v>1045</v>
      </c>
      <c r="Y16" t="n">
        <v>1750</v>
      </c>
    </row>
    <row r="17">
      <c r="A17" t="n">
        <v>16</v>
      </c>
      <c r="B17" t="n">
        <v>0</v>
      </c>
      <c r="C17" t="n">
        <v>1258</v>
      </c>
      <c r="D17" t="n">
        <v>1353</v>
      </c>
      <c r="E17" t="n">
        <v>1564</v>
      </c>
      <c r="F17" t="n">
        <v>1809</v>
      </c>
      <c r="G17" t="n">
        <v>2088</v>
      </c>
      <c r="H17" t="n">
        <v>2407</v>
      </c>
      <c r="I17" t="n">
        <v>2771</v>
      </c>
      <c r="J17" t="n">
        <v>1160</v>
      </c>
      <c r="K17" t="n">
        <v>1353</v>
      </c>
      <c r="L17" t="n">
        <v>1160</v>
      </c>
      <c r="M17" t="n">
        <v>1000</v>
      </c>
      <c r="N17" t="n">
        <v>1080</v>
      </c>
      <c r="O17" t="n">
        <v>1160</v>
      </c>
      <c r="P17" t="n">
        <v>1240</v>
      </c>
      <c r="Q17" t="n">
        <v>1320</v>
      </c>
      <c r="R17" t="n">
        <v>1400</v>
      </c>
      <c r="S17" t="n">
        <v>1480</v>
      </c>
      <c r="T17" t="n">
        <v>1560</v>
      </c>
      <c r="U17" t="n">
        <v>1640</v>
      </c>
      <c r="V17" t="n">
        <v>1150</v>
      </c>
      <c r="W17" t="n">
        <v>1064</v>
      </c>
      <c r="X17" t="n">
        <v>1048</v>
      </c>
      <c r="Y17" t="n">
        <v>1800</v>
      </c>
    </row>
    <row r="18">
      <c r="A18" t="n">
        <v>17</v>
      </c>
      <c r="B18" t="n">
        <v>0</v>
      </c>
      <c r="C18" t="n">
        <v>1277</v>
      </c>
      <c r="D18" t="n">
        <v>1381</v>
      </c>
      <c r="E18" t="n">
        <v>1611</v>
      </c>
      <c r="F18" t="n">
        <v>1882</v>
      </c>
      <c r="G18" t="n">
        <v>2193</v>
      </c>
      <c r="H18" t="n">
        <v>2552</v>
      </c>
      <c r="I18" t="n">
        <v>2965</v>
      </c>
      <c r="J18" t="n">
        <v>1170</v>
      </c>
      <c r="K18" t="n">
        <v>1381</v>
      </c>
      <c r="L18" t="n">
        <v>1170</v>
      </c>
      <c r="M18" t="n">
        <v>1000</v>
      </c>
      <c r="N18" t="n">
        <v>1085</v>
      </c>
      <c r="O18" t="n">
        <v>1170</v>
      </c>
      <c r="P18" t="n">
        <v>1255</v>
      </c>
      <c r="Q18" t="n">
        <v>1340</v>
      </c>
      <c r="R18" t="n">
        <v>1425</v>
      </c>
      <c r="S18" t="n">
        <v>1510</v>
      </c>
      <c r="T18" t="n">
        <v>1595</v>
      </c>
      <c r="U18" t="n">
        <v>1680</v>
      </c>
      <c r="V18" t="n">
        <v>1160</v>
      </c>
      <c r="W18" t="n">
        <v>1068</v>
      </c>
      <c r="X18" t="n">
        <v>1051</v>
      </c>
      <c r="Y18" t="n">
        <v>1850</v>
      </c>
    </row>
    <row r="19">
      <c r="A19" t="n">
        <v>18</v>
      </c>
      <c r="B19" t="n">
        <v>0</v>
      </c>
      <c r="C19" t="n">
        <v>1297</v>
      </c>
      <c r="D19" t="n">
        <v>1409</v>
      </c>
      <c r="E19" t="n">
        <v>1660</v>
      </c>
      <c r="F19" t="n">
        <v>1958</v>
      </c>
      <c r="G19" t="n">
        <v>2303</v>
      </c>
      <c r="H19" t="n">
        <v>2706</v>
      </c>
      <c r="I19" t="n">
        <v>3173</v>
      </c>
      <c r="J19" t="n">
        <v>1180</v>
      </c>
      <c r="K19" t="n">
        <v>1409</v>
      </c>
      <c r="L19" t="n">
        <v>1180</v>
      </c>
      <c r="M19" t="n">
        <v>1000</v>
      </c>
      <c r="N19" t="n">
        <v>1090</v>
      </c>
      <c r="O19" t="n">
        <v>1180</v>
      </c>
      <c r="P19" t="n">
        <v>1270</v>
      </c>
      <c r="Q19" t="n">
        <v>1360</v>
      </c>
      <c r="R19" t="n">
        <v>1450</v>
      </c>
      <c r="S19" t="n">
        <v>1540</v>
      </c>
      <c r="T19" t="n">
        <v>1630</v>
      </c>
      <c r="U19" t="n">
        <v>1720</v>
      </c>
      <c r="V19" t="n">
        <v>1170</v>
      </c>
      <c r="W19" t="n">
        <v>1072</v>
      </c>
      <c r="X19" t="n">
        <v>1054</v>
      </c>
      <c r="Y19" t="n">
        <v>1900</v>
      </c>
    </row>
    <row r="20">
      <c r="A20" t="n">
        <v>19</v>
      </c>
      <c r="B20" t="n">
        <v>0</v>
      </c>
      <c r="C20" t="n">
        <v>1317</v>
      </c>
      <c r="D20" t="n">
        <v>1438</v>
      </c>
      <c r="E20" t="n">
        <v>1710</v>
      </c>
      <c r="F20" t="n">
        <v>2037</v>
      </c>
      <c r="G20" t="n">
        <v>2419</v>
      </c>
      <c r="H20" t="n">
        <v>2869</v>
      </c>
      <c r="I20" t="n">
        <v>3396</v>
      </c>
      <c r="J20" t="n">
        <v>1190</v>
      </c>
      <c r="K20" t="n">
        <v>1438</v>
      </c>
      <c r="L20" t="n">
        <v>1190</v>
      </c>
      <c r="M20" t="n">
        <v>1000</v>
      </c>
      <c r="N20" t="n">
        <v>1095</v>
      </c>
      <c r="O20" t="n">
        <v>1190</v>
      </c>
      <c r="P20" t="n">
        <v>1285</v>
      </c>
      <c r="Q20" t="n">
        <v>1380</v>
      </c>
      <c r="R20" t="n">
        <v>1475</v>
      </c>
      <c r="S20" t="n">
        <v>1570</v>
      </c>
      <c r="T20" t="n">
        <v>1665</v>
      </c>
      <c r="U20" t="n">
        <v>1760</v>
      </c>
      <c r="V20" t="n">
        <v>1180</v>
      </c>
      <c r="W20" t="n">
        <v>1076</v>
      </c>
      <c r="X20" t="n">
        <v>1057</v>
      </c>
      <c r="Y20" t="n">
        <v>1950</v>
      </c>
    </row>
    <row r="21">
      <c r="A21" t="n">
        <v>20</v>
      </c>
      <c r="B21" t="n">
        <v>0</v>
      </c>
      <c r="C21" t="n">
        <v>1337</v>
      </c>
      <c r="D21" t="n">
        <v>1467</v>
      </c>
      <c r="E21" t="n">
        <v>1762</v>
      </c>
      <c r="F21" t="n">
        <v>2119</v>
      </c>
      <c r="G21" t="n">
        <v>2540</v>
      </c>
      <c r="H21" t="n">
        <v>3042</v>
      </c>
      <c r="I21" t="n">
        <v>3634</v>
      </c>
      <c r="J21" t="n">
        <v>1200</v>
      </c>
      <c r="K21" t="n">
        <v>1467</v>
      </c>
      <c r="L21" t="n">
        <v>1200</v>
      </c>
      <c r="M21" t="n">
        <v>1000</v>
      </c>
      <c r="N21" t="n">
        <v>1100</v>
      </c>
      <c r="O21" t="n">
        <v>1200</v>
      </c>
      <c r="P21" t="n">
        <v>1300</v>
      </c>
      <c r="Q21" t="n">
        <v>1400</v>
      </c>
      <c r="R21" t="n">
        <v>1500</v>
      </c>
      <c r="S21" t="n">
        <v>1600</v>
      </c>
      <c r="T21" t="n">
        <v>1700</v>
      </c>
      <c r="U21" t="n">
        <v>1800</v>
      </c>
      <c r="V21" t="n">
        <v>1190</v>
      </c>
      <c r="W21" t="n">
        <v>1080</v>
      </c>
      <c r="X21" t="n">
        <v>1060</v>
      </c>
      <c r="Y21" t="n">
        <v>2000</v>
      </c>
    </row>
    <row r="22">
      <c r="A22" t="n">
        <v>21</v>
      </c>
      <c r="B22" t="n">
        <v>0</v>
      </c>
      <c r="C22" t="n">
        <v>1358</v>
      </c>
      <c r="D22" t="n">
        <v>1497</v>
      </c>
      <c r="E22" t="n">
        <v>1815</v>
      </c>
      <c r="F22" t="n">
        <v>2204</v>
      </c>
      <c r="G22" t="n">
        <v>2667</v>
      </c>
      <c r="H22" t="n">
        <v>3225</v>
      </c>
      <c r="I22" t="n">
        <v>3889</v>
      </c>
      <c r="J22" t="n">
        <v>1210</v>
      </c>
      <c r="K22" t="n">
        <v>1497</v>
      </c>
      <c r="L22" t="n">
        <v>1210</v>
      </c>
      <c r="M22" t="n">
        <v>1000</v>
      </c>
      <c r="N22" t="n">
        <v>1105</v>
      </c>
      <c r="O22" t="n">
        <v>1210</v>
      </c>
      <c r="P22" t="n">
        <v>1315</v>
      </c>
      <c r="Q22" t="n">
        <v>1420</v>
      </c>
      <c r="R22" t="n">
        <v>1525</v>
      </c>
      <c r="S22" t="n">
        <v>1630</v>
      </c>
      <c r="T22" t="n">
        <v>1735</v>
      </c>
      <c r="U22" t="n">
        <v>1840</v>
      </c>
      <c r="V22" t="n">
        <v>1200</v>
      </c>
      <c r="W22" t="n">
        <v>1084</v>
      </c>
      <c r="X22" t="n">
        <v>1063</v>
      </c>
      <c r="Y22" t="n">
        <v>2050</v>
      </c>
    </row>
    <row r="23">
      <c r="A23" t="n">
        <v>22</v>
      </c>
      <c r="B23" t="n">
        <v>0</v>
      </c>
      <c r="C23" t="n">
        <v>1379</v>
      </c>
      <c r="D23" t="n">
        <v>1527</v>
      </c>
      <c r="E23" t="n">
        <v>1870</v>
      </c>
      <c r="F23" t="n">
        <v>2293</v>
      </c>
      <c r="G23" t="n">
        <v>2801</v>
      </c>
      <c r="H23" t="n">
        <v>3419</v>
      </c>
      <c r="I23" t="n">
        <v>4162</v>
      </c>
      <c r="J23" t="n">
        <v>1220</v>
      </c>
      <c r="K23" t="n">
        <v>1527</v>
      </c>
      <c r="L23" t="n">
        <v>1220</v>
      </c>
      <c r="M23" t="n">
        <v>1000</v>
      </c>
      <c r="N23" t="n">
        <v>1110</v>
      </c>
      <c r="O23" t="n">
        <v>1220</v>
      </c>
      <c r="P23" t="n">
        <v>1330</v>
      </c>
      <c r="Q23" t="n">
        <v>1440</v>
      </c>
      <c r="R23" t="n">
        <v>1550</v>
      </c>
      <c r="S23" t="n">
        <v>1660</v>
      </c>
      <c r="T23" t="n">
        <v>1770</v>
      </c>
      <c r="U23" t="n">
        <v>1880</v>
      </c>
      <c r="V23" t="n">
        <v>1211</v>
      </c>
      <c r="W23" t="n">
        <v>1088</v>
      </c>
      <c r="X23" t="n">
        <v>1066</v>
      </c>
      <c r="Y23" t="n">
        <v>2100</v>
      </c>
    </row>
    <row r="24">
      <c r="A24" t="n">
        <v>23</v>
      </c>
      <c r="B24" t="n">
        <v>0</v>
      </c>
      <c r="C24" t="n">
        <v>1400</v>
      </c>
      <c r="D24" t="n">
        <v>1558</v>
      </c>
      <c r="E24" t="n">
        <v>1927</v>
      </c>
      <c r="F24" t="n">
        <v>2385</v>
      </c>
      <c r="G24" t="n">
        <v>2942</v>
      </c>
      <c r="H24" t="n">
        <v>3625</v>
      </c>
      <c r="I24" t="n">
        <v>4454</v>
      </c>
      <c r="J24" t="n">
        <v>1230</v>
      </c>
      <c r="K24" t="n">
        <v>1558</v>
      </c>
      <c r="L24" t="n">
        <v>1230</v>
      </c>
      <c r="M24" t="n">
        <v>1000</v>
      </c>
      <c r="N24" t="n">
        <v>1115</v>
      </c>
      <c r="O24" t="n">
        <v>1230</v>
      </c>
      <c r="P24" t="n">
        <v>1345</v>
      </c>
      <c r="Q24" t="n">
        <v>1460</v>
      </c>
      <c r="R24" t="n">
        <v>1575</v>
      </c>
      <c r="S24" t="n">
        <v>1690</v>
      </c>
      <c r="T24" t="n">
        <v>1805</v>
      </c>
      <c r="U24" t="n">
        <v>1920</v>
      </c>
      <c r="V24" t="n">
        <v>1222</v>
      </c>
      <c r="W24" t="n">
        <v>1092</v>
      </c>
      <c r="X24" t="n">
        <v>1069</v>
      </c>
      <c r="Y24" t="n">
        <v>2150</v>
      </c>
    </row>
    <row r="25">
      <c r="A25" t="n">
        <v>24</v>
      </c>
      <c r="B25" t="n">
        <v>0</v>
      </c>
      <c r="C25" t="n">
        <v>1421</v>
      </c>
      <c r="D25" t="n">
        <v>1590</v>
      </c>
      <c r="E25" t="n">
        <v>1985</v>
      </c>
      <c r="F25" t="n">
        <v>2481</v>
      </c>
      <c r="G25" t="n">
        <v>3090</v>
      </c>
      <c r="H25" t="n">
        <v>3843</v>
      </c>
      <c r="I25" t="n">
        <v>4766</v>
      </c>
      <c r="J25" t="n">
        <v>1240</v>
      </c>
      <c r="K25" t="n">
        <v>1590</v>
      </c>
      <c r="L25" t="n">
        <v>1240</v>
      </c>
      <c r="M25" t="n">
        <v>1000</v>
      </c>
      <c r="N25" t="n">
        <v>1120</v>
      </c>
      <c r="O25" t="n">
        <v>1240</v>
      </c>
      <c r="P25" t="n">
        <v>1360</v>
      </c>
      <c r="Q25" t="n">
        <v>1480</v>
      </c>
      <c r="R25" t="n">
        <v>1600</v>
      </c>
      <c r="S25" t="n">
        <v>1720</v>
      </c>
      <c r="T25" t="n">
        <v>1840</v>
      </c>
      <c r="U25" t="n">
        <v>1960</v>
      </c>
      <c r="V25" t="n">
        <v>1233</v>
      </c>
      <c r="W25" t="n">
        <v>1096</v>
      </c>
      <c r="X25" t="n">
        <v>1072</v>
      </c>
      <c r="Y25" t="n">
        <v>2200</v>
      </c>
    </row>
    <row r="26">
      <c r="A26" t="n">
        <v>25</v>
      </c>
      <c r="B26" t="n">
        <v>0</v>
      </c>
      <c r="C26" t="n">
        <v>1443</v>
      </c>
      <c r="D26" t="n">
        <v>1622</v>
      </c>
      <c r="E26" t="n">
        <v>2045</v>
      </c>
      <c r="F26" t="n">
        <v>2581</v>
      </c>
      <c r="G26" t="n">
        <v>3245</v>
      </c>
      <c r="H26" t="n">
        <v>4074</v>
      </c>
      <c r="I26" t="n">
        <v>5100</v>
      </c>
      <c r="J26" t="n">
        <v>1250</v>
      </c>
      <c r="K26" t="n">
        <v>1622</v>
      </c>
      <c r="L26" t="n">
        <v>1250</v>
      </c>
      <c r="M26" t="n">
        <v>1000</v>
      </c>
      <c r="N26" t="n">
        <v>1125</v>
      </c>
      <c r="O26" t="n">
        <v>1250</v>
      </c>
      <c r="P26" t="n">
        <v>1375</v>
      </c>
      <c r="Q26" t="n">
        <v>1500</v>
      </c>
      <c r="R26" t="n">
        <v>1625</v>
      </c>
      <c r="S26" t="n">
        <v>1750</v>
      </c>
      <c r="T26" t="n">
        <v>1875</v>
      </c>
      <c r="U26" t="n">
        <v>2000</v>
      </c>
      <c r="V26" t="n">
        <v>1244</v>
      </c>
      <c r="W26" t="n">
        <v>1100</v>
      </c>
      <c r="X26" t="n">
        <v>1075</v>
      </c>
      <c r="Y26" t="n">
        <v>2250</v>
      </c>
    </row>
    <row r="27">
      <c r="A27" t="n">
        <v>26</v>
      </c>
      <c r="B27" t="n">
        <v>0</v>
      </c>
      <c r="C27" t="n">
        <v>1465</v>
      </c>
      <c r="D27" t="n">
        <v>1655</v>
      </c>
      <c r="E27" t="n">
        <v>2107</v>
      </c>
      <c r="F27" t="n">
        <v>2685</v>
      </c>
      <c r="G27" t="n">
        <v>3408</v>
      </c>
      <c r="H27" t="n">
        <v>4319</v>
      </c>
      <c r="I27" t="n">
        <v>5457</v>
      </c>
      <c r="J27" t="n">
        <v>1260</v>
      </c>
      <c r="K27" t="n">
        <v>1655</v>
      </c>
      <c r="L27" t="n">
        <v>1260</v>
      </c>
      <c r="M27" t="n">
        <v>1000</v>
      </c>
      <c r="N27" t="n">
        <v>1130</v>
      </c>
      <c r="O27" t="n">
        <v>1260</v>
      </c>
      <c r="P27" t="n">
        <v>1390</v>
      </c>
      <c r="Q27" t="n">
        <v>1520</v>
      </c>
      <c r="R27" t="n">
        <v>1650</v>
      </c>
      <c r="S27" t="n">
        <v>1780</v>
      </c>
      <c r="T27" t="n">
        <v>1910</v>
      </c>
      <c r="U27" t="n">
        <v>2040</v>
      </c>
      <c r="V27" t="n">
        <v>1255</v>
      </c>
      <c r="W27" t="n">
        <v>1104</v>
      </c>
      <c r="X27" t="n">
        <v>1078</v>
      </c>
      <c r="Y27" t="n">
        <v>2300</v>
      </c>
    </row>
    <row r="28">
      <c r="A28" t="n">
        <v>27</v>
      </c>
      <c r="B28" t="n">
        <v>0</v>
      </c>
      <c r="C28" t="n">
        <v>1487</v>
      </c>
      <c r="D28" t="n">
        <v>1689</v>
      </c>
      <c r="E28" t="n">
        <v>2171</v>
      </c>
      <c r="F28" t="n">
        <v>2793</v>
      </c>
      <c r="G28" t="n">
        <v>3579</v>
      </c>
      <c r="H28" t="n">
        <v>4579</v>
      </c>
      <c r="I28" t="n">
        <v>5839</v>
      </c>
      <c r="J28" t="n">
        <v>1270</v>
      </c>
      <c r="K28" t="n">
        <v>1689</v>
      </c>
      <c r="L28" t="n">
        <v>1270</v>
      </c>
      <c r="M28" t="n">
        <v>1000</v>
      </c>
      <c r="N28" t="n">
        <v>1135</v>
      </c>
      <c r="O28" t="n">
        <v>1270</v>
      </c>
      <c r="P28" t="n">
        <v>1405</v>
      </c>
      <c r="Q28" t="n">
        <v>1540</v>
      </c>
      <c r="R28" t="n">
        <v>1675</v>
      </c>
      <c r="S28" t="n">
        <v>1810</v>
      </c>
      <c r="T28" t="n">
        <v>1945</v>
      </c>
      <c r="U28" t="n">
        <v>2080</v>
      </c>
      <c r="V28" t="n">
        <v>1266</v>
      </c>
      <c r="W28" t="n">
        <v>1108</v>
      </c>
      <c r="X28" t="n">
        <v>1081</v>
      </c>
      <c r="Y28" t="n">
        <v>2350</v>
      </c>
    </row>
    <row r="29">
      <c r="A29" t="n">
        <v>28</v>
      </c>
      <c r="B29" t="n">
        <v>0</v>
      </c>
      <c r="C29" t="n">
        <v>1510</v>
      </c>
      <c r="D29" t="n">
        <v>1723</v>
      </c>
      <c r="E29" t="n">
        <v>2237</v>
      </c>
      <c r="F29" t="n">
        <v>2905</v>
      </c>
      <c r="G29" t="n">
        <v>3758</v>
      </c>
      <c r="H29" t="n">
        <v>4854</v>
      </c>
      <c r="I29" t="n">
        <v>6248</v>
      </c>
      <c r="J29" t="n">
        <v>1280</v>
      </c>
      <c r="K29" t="n">
        <v>1723</v>
      </c>
      <c r="L29" t="n">
        <v>1280</v>
      </c>
      <c r="M29" t="n">
        <v>1000</v>
      </c>
      <c r="N29" t="n">
        <v>1140</v>
      </c>
      <c r="O29" t="n">
        <v>1280</v>
      </c>
      <c r="P29" t="n">
        <v>1420</v>
      </c>
      <c r="Q29" t="n">
        <v>1560</v>
      </c>
      <c r="R29" t="n">
        <v>1700</v>
      </c>
      <c r="S29" t="n">
        <v>1840</v>
      </c>
      <c r="T29" t="n">
        <v>1980</v>
      </c>
      <c r="U29" t="n">
        <v>2120</v>
      </c>
      <c r="V29" t="n">
        <v>1277</v>
      </c>
      <c r="W29" t="n">
        <v>1112</v>
      </c>
      <c r="X29" t="n">
        <v>1084</v>
      </c>
      <c r="Y29" t="n">
        <v>2400</v>
      </c>
    </row>
    <row r="30">
      <c r="A30" t="n">
        <v>29</v>
      </c>
      <c r="B30" t="n">
        <v>0</v>
      </c>
      <c r="C30" t="n">
        <v>1533</v>
      </c>
      <c r="D30" t="n">
        <v>1758</v>
      </c>
      <c r="E30" t="n">
        <v>2305</v>
      </c>
      <c r="F30" t="n">
        <v>3022</v>
      </c>
      <c r="G30" t="n">
        <v>3946</v>
      </c>
      <c r="H30" t="n">
        <v>5146</v>
      </c>
      <c r="I30" t="n">
        <v>6686</v>
      </c>
      <c r="J30" t="n">
        <v>1290</v>
      </c>
      <c r="K30" t="n">
        <v>1758</v>
      </c>
      <c r="L30" t="n">
        <v>1290</v>
      </c>
      <c r="M30" t="n">
        <v>1000</v>
      </c>
      <c r="N30" t="n">
        <v>1145</v>
      </c>
      <c r="O30" t="n">
        <v>1290</v>
      </c>
      <c r="P30" t="n">
        <v>1435</v>
      </c>
      <c r="Q30" t="n">
        <v>1580</v>
      </c>
      <c r="R30" t="n">
        <v>1725</v>
      </c>
      <c r="S30" t="n">
        <v>1870</v>
      </c>
      <c r="T30" t="n">
        <v>2015</v>
      </c>
      <c r="U30" t="n">
        <v>2160</v>
      </c>
      <c r="V30" t="n">
        <v>1288</v>
      </c>
      <c r="W30" t="n">
        <v>1116</v>
      </c>
      <c r="X30" t="n">
        <v>1087</v>
      </c>
      <c r="Y30" t="n">
        <v>2450</v>
      </c>
    </row>
    <row r="31">
      <c r="A31" t="n">
        <v>30</v>
      </c>
      <c r="B31" t="n">
        <v>0</v>
      </c>
      <c r="C31" t="n">
        <v>1556</v>
      </c>
      <c r="D31" t="n">
        <v>1794</v>
      </c>
      <c r="E31" t="n">
        <v>2375</v>
      </c>
      <c r="F31" t="n">
        <v>3143</v>
      </c>
      <c r="G31" t="n">
        <v>4144</v>
      </c>
      <c r="H31" t="n">
        <v>5455</v>
      </c>
      <c r="I31" t="n">
        <v>7155</v>
      </c>
      <c r="J31" t="n">
        <v>1300</v>
      </c>
      <c r="K31" t="n">
        <v>1794</v>
      </c>
      <c r="L31" t="n">
        <v>1300</v>
      </c>
      <c r="M31" t="n">
        <v>1000</v>
      </c>
      <c r="N31" t="n">
        <v>1150</v>
      </c>
      <c r="O31" t="n">
        <v>1300</v>
      </c>
      <c r="P31" t="n">
        <v>1450</v>
      </c>
      <c r="Q31" t="n">
        <v>1600</v>
      </c>
      <c r="R31" t="n">
        <v>1750</v>
      </c>
      <c r="S31" t="n">
        <v>1900</v>
      </c>
      <c r="T31" t="n">
        <v>2050</v>
      </c>
      <c r="U31" t="n">
        <v>2200</v>
      </c>
      <c r="V31" t="n">
        <v>1299</v>
      </c>
      <c r="W31" t="n">
        <v>1120</v>
      </c>
      <c r="X31" t="n">
        <v>1090</v>
      </c>
      <c r="Y31" t="n">
        <v>2500</v>
      </c>
    </row>
    <row r="32">
      <c r="A32" t="n">
        <v>31</v>
      </c>
      <c r="B32" t="n">
        <v>0</v>
      </c>
      <c r="C32" t="n">
        <v>1580</v>
      </c>
      <c r="D32" t="n">
        <v>1830</v>
      </c>
      <c r="E32" t="n">
        <v>2447</v>
      </c>
      <c r="F32" t="n">
        <v>3269</v>
      </c>
      <c r="G32" t="n">
        <v>4352</v>
      </c>
      <c r="H32" t="n">
        <v>5783</v>
      </c>
      <c r="I32" t="n">
        <v>7656</v>
      </c>
      <c r="J32" t="n">
        <v>1310</v>
      </c>
      <c r="K32" t="n">
        <v>1830</v>
      </c>
      <c r="L32" t="n">
        <v>1310</v>
      </c>
      <c r="M32" t="n">
        <v>1000</v>
      </c>
      <c r="N32" t="n">
        <v>1155</v>
      </c>
      <c r="O32" t="n">
        <v>1310</v>
      </c>
      <c r="P32" t="n">
        <v>1465</v>
      </c>
      <c r="Q32" t="n">
        <v>1620</v>
      </c>
      <c r="R32" t="n">
        <v>1775</v>
      </c>
      <c r="S32" t="n">
        <v>1930</v>
      </c>
      <c r="T32" t="n">
        <v>2085</v>
      </c>
      <c r="U32" t="n">
        <v>2240</v>
      </c>
      <c r="V32" t="n">
        <v>1310</v>
      </c>
      <c r="W32" t="n">
        <v>1124</v>
      </c>
      <c r="X32" t="n">
        <v>1093</v>
      </c>
      <c r="Y32" t="n">
        <v>2550</v>
      </c>
    </row>
    <row r="33">
      <c r="A33" t="n">
        <v>32</v>
      </c>
      <c r="B33" t="n">
        <v>0</v>
      </c>
      <c r="C33" t="n">
        <v>1604</v>
      </c>
      <c r="D33" t="n">
        <v>1867</v>
      </c>
      <c r="E33" t="n">
        <v>2521</v>
      </c>
      <c r="F33" t="n">
        <v>3400</v>
      </c>
      <c r="G33" t="n">
        <v>4570</v>
      </c>
      <c r="H33" t="n">
        <v>6130</v>
      </c>
      <c r="I33" t="n">
        <v>8192</v>
      </c>
      <c r="J33" t="n">
        <v>1320</v>
      </c>
      <c r="K33" t="n">
        <v>1867</v>
      </c>
      <c r="L33" t="n">
        <v>1320</v>
      </c>
      <c r="M33" t="n">
        <v>1000</v>
      </c>
      <c r="N33" t="n">
        <v>1160</v>
      </c>
      <c r="O33" t="n">
        <v>1320</v>
      </c>
      <c r="P33" t="n">
        <v>1480</v>
      </c>
      <c r="Q33" t="n">
        <v>1640</v>
      </c>
      <c r="R33" t="n">
        <v>1800</v>
      </c>
      <c r="S33" t="n">
        <v>1960</v>
      </c>
      <c r="T33" t="n">
        <v>2120</v>
      </c>
      <c r="U33" t="n">
        <v>2280</v>
      </c>
      <c r="V33" t="n">
        <v>1321</v>
      </c>
      <c r="W33" t="n">
        <v>1128</v>
      </c>
      <c r="X33" t="n">
        <v>1096</v>
      </c>
      <c r="Y33" t="n">
        <v>2600</v>
      </c>
    </row>
    <row r="34">
      <c r="A34" t="n">
        <v>33</v>
      </c>
      <c r="B34" t="n">
        <v>0</v>
      </c>
      <c r="C34" t="n">
        <v>1629</v>
      </c>
      <c r="D34" t="n">
        <v>1905</v>
      </c>
      <c r="E34" t="n">
        <v>2597</v>
      </c>
      <c r="F34" t="n">
        <v>3536</v>
      </c>
      <c r="G34" t="n">
        <v>4799</v>
      </c>
      <c r="H34" t="n">
        <v>6498</v>
      </c>
      <c r="I34" t="n">
        <v>8766</v>
      </c>
      <c r="J34" t="n">
        <v>1330</v>
      </c>
      <c r="K34" t="n">
        <v>1905</v>
      </c>
      <c r="L34" t="n">
        <v>1330</v>
      </c>
      <c r="M34" t="n">
        <v>1000</v>
      </c>
      <c r="N34" t="n">
        <v>1165</v>
      </c>
      <c r="O34" t="n">
        <v>1330</v>
      </c>
      <c r="P34" t="n">
        <v>1495</v>
      </c>
      <c r="Q34" t="n">
        <v>1660</v>
      </c>
      <c r="R34" t="n">
        <v>1825</v>
      </c>
      <c r="S34" t="n">
        <v>1990</v>
      </c>
      <c r="T34" t="n">
        <v>2155</v>
      </c>
      <c r="U34" t="n">
        <v>2320</v>
      </c>
      <c r="V34" t="n">
        <v>1332</v>
      </c>
      <c r="W34" t="n">
        <v>1132</v>
      </c>
      <c r="X34" t="n">
        <v>1099</v>
      </c>
      <c r="Y34" t="n">
        <v>2650</v>
      </c>
    </row>
    <row r="35">
      <c r="A35" t="n">
        <v>34</v>
      </c>
      <c r="B35" t="n">
        <v>0</v>
      </c>
      <c r="C35" t="n">
        <v>1654</v>
      </c>
      <c r="D35" t="n">
        <v>1944</v>
      </c>
      <c r="E35" t="n">
        <v>2675</v>
      </c>
      <c r="F35" t="n">
        <v>3678</v>
      </c>
      <c r="G35" t="n">
        <v>5039</v>
      </c>
      <c r="H35" t="n">
        <v>6888</v>
      </c>
      <c r="I35" t="n">
        <v>9380</v>
      </c>
      <c r="J35" t="n">
        <v>1340</v>
      </c>
      <c r="K35" t="n">
        <v>1944</v>
      </c>
      <c r="L35" t="n">
        <v>1340</v>
      </c>
      <c r="M35" t="n">
        <v>1000</v>
      </c>
      <c r="N35" t="n">
        <v>1170</v>
      </c>
      <c r="O35" t="n">
        <v>1340</v>
      </c>
      <c r="P35" t="n">
        <v>1510</v>
      </c>
      <c r="Q35" t="n">
        <v>1680</v>
      </c>
      <c r="R35" t="n">
        <v>1850</v>
      </c>
      <c r="S35" t="n">
        <v>2020</v>
      </c>
      <c r="T35" t="n">
        <v>2190</v>
      </c>
      <c r="U35" t="n">
        <v>2360</v>
      </c>
      <c r="V35" t="n">
        <v>1343</v>
      </c>
      <c r="W35" t="n">
        <v>1136</v>
      </c>
      <c r="X35" t="n">
        <v>1102</v>
      </c>
      <c r="Y35" t="n">
        <v>2700</v>
      </c>
    </row>
    <row r="36">
      <c r="A36" t="n">
        <v>35</v>
      </c>
      <c r="B36" t="n">
        <v>0</v>
      </c>
      <c r="C36" t="n">
        <v>1679</v>
      </c>
      <c r="D36" t="n">
        <v>1983</v>
      </c>
      <c r="E36" t="n">
        <v>2756</v>
      </c>
      <c r="F36" t="n">
        <v>3826</v>
      </c>
      <c r="G36" t="n">
        <v>5291</v>
      </c>
      <c r="H36" t="n">
        <v>7302</v>
      </c>
      <c r="I36" t="n">
        <v>10037</v>
      </c>
      <c r="J36" t="n">
        <v>1350</v>
      </c>
      <c r="K36" t="n">
        <v>1983</v>
      </c>
      <c r="L36" t="n">
        <v>1350</v>
      </c>
      <c r="M36" t="n">
        <v>1000</v>
      </c>
      <c r="N36" t="n">
        <v>1175</v>
      </c>
      <c r="O36" t="n">
        <v>1350</v>
      </c>
      <c r="P36" t="n">
        <v>1525</v>
      </c>
      <c r="Q36" t="n">
        <v>1700</v>
      </c>
      <c r="R36" t="n">
        <v>1875</v>
      </c>
      <c r="S36" t="n">
        <v>2050</v>
      </c>
      <c r="T36" t="n">
        <v>2225</v>
      </c>
      <c r="U36" t="n">
        <v>2400</v>
      </c>
      <c r="V36" t="n">
        <v>1354</v>
      </c>
      <c r="W36" t="n">
        <v>1140</v>
      </c>
      <c r="X36" t="n">
        <v>1105</v>
      </c>
      <c r="Y36" t="n">
        <v>2750</v>
      </c>
    </row>
    <row r="37">
      <c r="A37" t="n">
        <v>36</v>
      </c>
      <c r="B37" t="n">
        <v>0</v>
      </c>
      <c r="C37" t="n">
        <v>1705</v>
      </c>
      <c r="D37" t="n">
        <v>2023</v>
      </c>
      <c r="E37" t="n">
        <v>2839</v>
      </c>
      <c r="F37" t="n">
        <v>3980</v>
      </c>
      <c r="G37" t="n">
        <v>5556</v>
      </c>
      <c r="H37" t="n">
        <v>7741</v>
      </c>
      <c r="I37" t="n">
        <v>10740</v>
      </c>
      <c r="J37" t="n">
        <v>1360</v>
      </c>
      <c r="K37" t="n">
        <v>2023</v>
      </c>
      <c r="L37" t="n">
        <v>1360</v>
      </c>
      <c r="M37" t="n">
        <v>1000</v>
      </c>
      <c r="N37" t="n">
        <v>1180</v>
      </c>
      <c r="O37" t="n">
        <v>1360</v>
      </c>
      <c r="P37" t="n">
        <v>1540</v>
      </c>
      <c r="Q37" t="n">
        <v>1720</v>
      </c>
      <c r="R37" t="n">
        <v>1900</v>
      </c>
      <c r="S37" t="n">
        <v>2080</v>
      </c>
      <c r="T37" t="n">
        <v>2260</v>
      </c>
      <c r="U37" t="n">
        <v>2440</v>
      </c>
      <c r="V37" t="n">
        <v>1365</v>
      </c>
      <c r="W37" t="n">
        <v>1144</v>
      </c>
      <c r="X37" t="n">
        <v>1108</v>
      </c>
      <c r="Y37" t="n">
        <v>2800</v>
      </c>
    </row>
    <row r="38">
      <c r="A38" t="n">
        <v>37</v>
      </c>
      <c r="B38" t="n">
        <v>0</v>
      </c>
      <c r="C38" t="n">
        <v>1731</v>
      </c>
      <c r="D38" t="n">
        <v>2064</v>
      </c>
      <c r="E38" t="n">
        <v>2925</v>
      </c>
      <c r="F38" t="n">
        <v>4140</v>
      </c>
      <c r="G38" t="n">
        <v>5834</v>
      </c>
      <c r="H38" t="n">
        <v>8206</v>
      </c>
      <c r="I38" t="n">
        <v>11492</v>
      </c>
      <c r="J38" t="n">
        <v>1370</v>
      </c>
      <c r="K38" t="n">
        <v>2064</v>
      </c>
      <c r="L38" t="n">
        <v>1370</v>
      </c>
      <c r="M38" t="n">
        <v>1000</v>
      </c>
      <c r="N38" t="n">
        <v>1185</v>
      </c>
      <c r="O38" t="n">
        <v>1370</v>
      </c>
      <c r="P38" t="n">
        <v>1555</v>
      </c>
      <c r="Q38" t="n">
        <v>1740</v>
      </c>
      <c r="R38" t="n">
        <v>1925</v>
      </c>
      <c r="S38" t="n">
        <v>2110</v>
      </c>
      <c r="T38" t="n">
        <v>2295</v>
      </c>
      <c r="U38" t="n">
        <v>2480</v>
      </c>
      <c r="V38" t="n">
        <v>1376</v>
      </c>
      <c r="W38" t="n">
        <v>1148</v>
      </c>
      <c r="X38" t="n">
        <v>1111</v>
      </c>
      <c r="Y38" t="n">
        <v>2850</v>
      </c>
    </row>
    <row r="39">
      <c r="A39" t="n">
        <v>38</v>
      </c>
      <c r="B39" t="n">
        <v>0</v>
      </c>
      <c r="C39" t="n">
        <v>1757</v>
      </c>
      <c r="D39" t="n">
        <v>2106</v>
      </c>
      <c r="E39" t="n">
        <v>3013</v>
      </c>
      <c r="F39" t="n">
        <v>4306</v>
      </c>
      <c r="G39" t="n">
        <v>6126</v>
      </c>
      <c r="H39" t="n">
        <v>8699</v>
      </c>
      <c r="I39" t="n">
        <v>12297</v>
      </c>
      <c r="J39" t="n">
        <v>1380</v>
      </c>
      <c r="K39" t="n">
        <v>2106</v>
      </c>
      <c r="L39" t="n">
        <v>1380</v>
      </c>
      <c r="M39" t="n">
        <v>1000</v>
      </c>
      <c r="N39" t="n">
        <v>1190</v>
      </c>
      <c r="O39" t="n">
        <v>1380</v>
      </c>
      <c r="P39" t="n">
        <v>1570</v>
      </c>
      <c r="Q39" t="n">
        <v>1760</v>
      </c>
      <c r="R39" t="n">
        <v>1950</v>
      </c>
      <c r="S39" t="n">
        <v>2140</v>
      </c>
      <c r="T39" t="n">
        <v>2330</v>
      </c>
      <c r="U39" t="n">
        <v>2520</v>
      </c>
      <c r="V39" t="n">
        <v>1387</v>
      </c>
      <c r="W39" t="n">
        <v>1152</v>
      </c>
      <c r="X39" t="n">
        <v>1114</v>
      </c>
      <c r="Y39" t="n">
        <v>2900</v>
      </c>
    </row>
    <row r="40">
      <c r="A40" t="n">
        <v>39</v>
      </c>
      <c r="B40" t="n">
        <v>0</v>
      </c>
      <c r="C40" t="n">
        <v>1784</v>
      </c>
      <c r="D40" t="n">
        <v>2149</v>
      </c>
      <c r="E40" t="n">
        <v>3104</v>
      </c>
      <c r="F40" t="n">
        <v>4479</v>
      </c>
      <c r="G40" t="n">
        <v>6433</v>
      </c>
      <c r="H40" t="n">
        <v>9221</v>
      </c>
      <c r="I40" t="n">
        <v>13158</v>
      </c>
      <c r="J40" t="n">
        <v>1390</v>
      </c>
      <c r="K40" t="n">
        <v>2149</v>
      </c>
      <c r="L40" t="n">
        <v>1390</v>
      </c>
      <c r="M40" t="n">
        <v>1000</v>
      </c>
      <c r="N40" t="n">
        <v>1195</v>
      </c>
      <c r="O40" t="n">
        <v>1390</v>
      </c>
      <c r="P40" t="n">
        <v>1585</v>
      </c>
      <c r="Q40" t="n">
        <v>1780</v>
      </c>
      <c r="R40" t="n">
        <v>1975</v>
      </c>
      <c r="S40" t="n">
        <v>2170</v>
      </c>
      <c r="T40" t="n">
        <v>2365</v>
      </c>
      <c r="U40" t="n">
        <v>2560</v>
      </c>
      <c r="V40" t="n">
        <v>1398</v>
      </c>
      <c r="W40" t="n">
        <v>1156</v>
      </c>
      <c r="X40" t="n">
        <v>1117</v>
      </c>
      <c r="Y40" t="n">
        <v>2950</v>
      </c>
    </row>
    <row r="41">
      <c r="A41" t="n">
        <v>40</v>
      </c>
      <c r="B41" t="n">
        <v>0</v>
      </c>
      <c r="C41" t="n">
        <v>1811</v>
      </c>
      <c r="D41" t="n">
        <v>2192</v>
      </c>
      <c r="E41" t="n">
        <v>3198</v>
      </c>
      <c r="F41" t="n">
        <v>4659</v>
      </c>
      <c r="G41" t="n">
        <v>6755</v>
      </c>
      <c r="H41" t="n">
        <v>9775</v>
      </c>
      <c r="I41" t="n">
        <v>14080</v>
      </c>
      <c r="J41" t="n">
        <v>1400</v>
      </c>
      <c r="K41" t="n">
        <v>2192</v>
      </c>
      <c r="L41" t="n">
        <v>1400</v>
      </c>
      <c r="M41" t="n">
        <v>1000</v>
      </c>
      <c r="N41" t="n">
        <v>1200</v>
      </c>
      <c r="O41" t="n">
        <v>1400</v>
      </c>
      <c r="P41" t="n">
        <v>1600</v>
      </c>
      <c r="Q41" t="n">
        <v>1800</v>
      </c>
      <c r="R41" t="n">
        <v>2000</v>
      </c>
      <c r="S41" t="n">
        <v>2200</v>
      </c>
      <c r="T41" t="n">
        <v>2400</v>
      </c>
      <c r="U41" t="n">
        <v>2600</v>
      </c>
      <c r="V41" t="n">
        <v>1410</v>
      </c>
      <c r="W41" t="n">
        <v>1160</v>
      </c>
      <c r="X41" t="n">
        <v>1120</v>
      </c>
      <c r="Y41" t="n">
        <v>3000</v>
      </c>
    </row>
    <row r="42">
      <c r="A42" t="n">
        <v>41</v>
      </c>
      <c r="B42" t="n">
        <v>0</v>
      </c>
      <c r="C42" t="n">
        <v>1839</v>
      </c>
      <c r="D42" t="n">
        <v>2236</v>
      </c>
      <c r="E42" t="n">
        <v>3294</v>
      </c>
      <c r="F42" t="n">
        <v>4846</v>
      </c>
      <c r="G42" t="n">
        <v>7093</v>
      </c>
      <c r="H42" t="n">
        <v>10362</v>
      </c>
      <c r="I42" t="n">
        <v>15066</v>
      </c>
      <c r="J42" t="n">
        <v>1410</v>
      </c>
      <c r="K42" t="n">
        <v>2236</v>
      </c>
      <c r="L42" t="n">
        <v>1410</v>
      </c>
      <c r="M42" t="n">
        <v>1000</v>
      </c>
      <c r="N42" t="n">
        <v>1205</v>
      </c>
      <c r="O42" t="n">
        <v>1410</v>
      </c>
      <c r="P42" t="n">
        <v>1615</v>
      </c>
      <c r="Q42" t="n">
        <v>1820</v>
      </c>
      <c r="R42" t="n">
        <v>2025</v>
      </c>
      <c r="S42" t="n">
        <v>2230</v>
      </c>
      <c r="T42" t="n">
        <v>2435</v>
      </c>
      <c r="U42" t="n">
        <v>2640</v>
      </c>
      <c r="V42" t="n">
        <v>1422</v>
      </c>
      <c r="W42" t="n">
        <v>1164</v>
      </c>
      <c r="X42" t="n">
        <v>1123</v>
      </c>
      <c r="Y42" t="n">
        <v>3050</v>
      </c>
    </row>
    <row r="43">
      <c r="A43" t="n">
        <v>42</v>
      </c>
      <c r="B43" t="n">
        <v>0</v>
      </c>
      <c r="C43" t="n">
        <v>1867</v>
      </c>
      <c r="D43" t="n">
        <v>2281</v>
      </c>
      <c r="E43" t="n">
        <v>3393</v>
      </c>
      <c r="F43" t="n">
        <v>5040</v>
      </c>
      <c r="G43" t="n">
        <v>7448</v>
      </c>
      <c r="H43" t="n">
        <v>10984</v>
      </c>
      <c r="I43" t="n">
        <v>16121</v>
      </c>
      <c r="J43" t="n">
        <v>1420</v>
      </c>
      <c r="K43" t="n">
        <v>2281</v>
      </c>
      <c r="L43" t="n">
        <v>1420</v>
      </c>
      <c r="M43" t="n">
        <v>1000</v>
      </c>
      <c r="N43" t="n">
        <v>1210</v>
      </c>
      <c r="O43" t="n">
        <v>1420</v>
      </c>
      <c r="P43" t="n">
        <v>1630</v>
      </c>
      <c r="Q43" t="n">
        <v>1840</v>
      </c>
      <c r="R43" t="n">
        <v>2050</v>
      </c>
      <c r="S43" t="n">
        <v>2260</v>
      </c>
      <c r="T43" t="n">
        <v>2470</v>
      </c>
      <c r="U43" t="n">
        <v>2680</v>
      </c>
      <c r="V43" t="n">
        <v>1434</v>
      </c>
      <c r="W43" t="n">
        <v>1168</v>
      </c>
      <c r="X43" t="n">
        <v>1126</v>
      </c>
      <c r="Y43" t="n">
        <v>3100</v>
      </c>
    </row>
    <row r="44">
      <c r="A44" t="n">
        <v>43</v>
      </c>
      <c r="B44" t="n">
        <v>0</v>
      </c>
      <c r="C44" t="n">
        <v>1896</v>
      </c>
      <c r="D44" t="n">
        <v>2327</v>
      </c>
      <c r="E44" t="n">
        <v>3495</v>
      </c>
      <c r="F44" t="n">
        <v>5242</v>
      </c>
      <c r="G44" t="n">
        <v>7821</v>
      </c>
      <c r="H44" t="n">
        <v>11644</v>
      </c>
      <c r="I44" t="n">
        <v>17250</v>
      </c>
      <c r="J44" t="n">
        <v>1430</v>
      </c>
      <c r="K44" t="n">
        <v>2327</v>
      </c>
      <c r="L44" t="n">
        <v>1430</v>
      </c>
      <c r="M44" t="n">
        <v>1000</v>
      </c>
      <c r="N44" t="n">
        <v>1215</v>
      </c>
      <c r="O44" t="n">
        <v>1430</v>
      </c>
      <c r="P44" t="n">
        <v>1645</v>
      </c>
      <c r="Q44" t="n">
        <v>1860</v>
      </c>
      <c r="R44" t="n">
        <v>2075</v>
      </c>
      <c r="S44" t="n">
        <v>2290</v>
      </c>
      <c r="T44" t="n">
        <v>2505</v>
      </c>
      <c r="U44" t="n">
        <v>2720</v>
      </c>
      <c r="V44" t="n">
        <v>1446</v>
      </c>
      <c r="W44" t="n">
        <v>1172</v>
      </c>
      <c r="X44" t="n">
        <v>1129</v>
      </c>
      <c r="Y44" t="n">
        <v>3150</v>
      </c>
    </row>
    <row r="45">
      <c r="A45" t="n">
        <v>44</v>
      </c>
      <c r="B45" t="n">
        <v>0</v>
      </c>
      <c r="C45" t="n">
        <v>1925</v>
      </c>
      <c r="D45" t="n">
        <v>2374</v>
      </c>
      <c r="E45" t="n">
        <v>3600</v>
      </c>
      <c r="F45" t="n">
        <v>5452</v>
      </c>
      <c r="G45" t="n">
        <v>8213</v>
      </c>
      <c r="H45" t="n">
        <v>12343</v>
      </c>
      <c r="I45" t="n">
        <v>18458</v>
      </c>
      <c r="J45" t="n">
        <v>1440</v>
      </c>
      <c r="K45" t="n">
        <v>2374</v>
      </c>
      <c r="L45" t="n">
        <v>1440</v>
      </c>
      <c r="M45" t="n">
        <v>1000</v>
      </c>
      <c r="N45" t="n">
        <v>1220</v>
      </c>
      <c r="O45" t="n">
        <v>1440</v>
      </c>
      <c r="P45" t="n">
        <v>1660</v>
      </c>
      <c r="Q45" t="n">
        <v>1880</v>
      </c>
      <c r="R45" t="n">
        <v>2100</v>
      </c>
      <c r="S45" t="n">
        <v>2320</v>
      </c>
      <c r="T45" t="n">
        <v>2540</v>
      </c>
      <c r="U45" t="n">
        <v>2760</v>
      </c>
      <c r="V45" t="n">
        <v>1458</v>
      </c>
      <c r="W45" t="n">
        <v>1176</v>
      </c>
      <c r="X45" t="n">
        <v>1132</v>
      </c>
      <c r="Y45" t="n">
        <v>3200</v>
      </c>
    </row>
    <row r="46">
      <c r="A46" t="n">
        <v>45</v>
      </c>
      <c r="B46" t="n">
        <v>0</v>
      </c>
      <c r="C46" t="n">
        <v>1954</v>
      </c>
      <c r="D46" t="n">
        <v>2422</v>
      </c>
      <c r="E46" t="n">
        <v>3708</v>
      </c>
      <c r="F46" t="n">
        <v>5671</v>
      </c>
      <c r="G46" t="n">
        <v>8624</v>
      </c>
      <c r="H46" t="n">
        <v>13084</v>
      </c>
      <c r="I46" t="n">
        <v>19751</v>
      </c>
      <c r="J46" t="n">
        <v>1450</v>
      </c>
      <c r="K46" t="n">
        <v>2422</v>
      </c>
      <c r="L46" t="n">
        <v>1450</v>
      </c>
      <c r="M46" t="n">
        <v>1000</v>
      </c>
      <c r="N46" t="n">
        <v>1225</v>
      </c>
      <c r="O46" t="n">
        <v>1450</v>
      </c>
      <c r="P46" t="n">
        <v>1675</v>
      </c>
      <c r="Q46" t="n">
        <v>1900</v>
      </c>
      <c r="R46" t="n">
        <v>2125</v>
      </c>
      <c r="S46" t="n">
        <v>2350</v>
      </c>
      <c r="T46" t="n">
        <v>2575</v>
      </c>
      <c r="U46" t="n">
        <v>2800</v>
      </c>
      <c r="V46" t="n">
        <v>1470</v>
      </c>
      <c r="W46" t="n">
        <v>1180</v>
      </c>
      <c r="X46" t="n">
        <v>1135</v>
      </c>
      <c r="Y46" t="n">
        <v>3250</v>
      </c>
    </row>
    <row r="47">
      <c r="A47" t="n">
        <v>46</v>
      </c>
      <c r="B47" t="n">
        <v>0</v>
      </c>
      <c r="C47" t="n">
        <v>1984</v>
      </c>
      <c r="D47" t="n">
        <v>2471</v>
      </c>
      <c r="E47" t="n">
        <v>3820</v>
      </c>
      <c r="F47" t="n">
        <v>5898</v>
      </c>
      <c r="G47" t="n">
        <v>9056</v>
      </c>
      <c r="H47" t="n">
        <v>13870</v>
      </c>
      <c r="I47" t="n">
        <v>21134</v>
      </c>
      <c r="J47" t="n">
        <v>1460</v>
      </c>
      <c r="K47" t="n">
        <v>2471</v>
      </c>
      <c r="L47" t="n">
        <v>1460</v>
      </c>
      <c r="M47" t="n">
        <v>1000</v>
      </c>
      <c r="N47" t="n">
        <v>1230</v>
      </c>
      <c r="O47" t="n">
        <v>1460</v>
      </c>
      <c r="P47" t="n">
        <v>1690</v>
      </c>
      <c r="Q47" t="n">
        <v>1920</v>
      </c>
      <c r="R47" t="n">
        <v>2150</v>
      </c>
      <c r="S47" t="n">
        <v>2380</v>
      </c>
      <c r="T47" t="n">
        <v>2610</v>
      </c>
      <c r="U47" t="n">
        <v>2840</v>
      </c>
      <c r="V47" t="n">
        <v>1482</v>
      </c>
      <c r="W47" t="n">
        <v>1184</v>
      </c>
      <c r="X47" t="n">
        <v>1138</v>
      </c>
      <c r="Y47" t="n">
        <v>3300</v>
      </c>
    </row>
    <row r="48">
      <c r="A48" t="n">
        <v>47</v>
      </c>
      <c r="B48" t="n">
        <v>0</v>
      </c>
      <c r="C48" t="n">
        <v>2014</v>
      </c>
      <c r="D48" t="n">
        <v>2521</v>
      </c>
      <c r="E48" t="n">
        <v>3935</v>
      </c>
      <c r="F48" t="n">
        <v>6134</v>
      </c>
      <c r="G48" t="n">
        <v>9509</v>
      </c>
      <c r="H48" t="n">
        <v>14703</v>
      </c>
      <c r="I48" t="n">
        <v>22614</v>
      </c>
      <c r="J48" t="n">
        <v>1470</v>
      </c>
      <c r="K48" t="n">
        <v>2521</v>
      </c>
      <c r="L48" t="n">
        <v>1470</v>
      </c>
      <c r="M48" t="n">
        <v>1000</v>
      </c>
      <c r="N48" t="n">
        <v>1235</v>
      </c>
      <c r="O48" t="n">
        <v>1470</v>
      </c>
      <c r="P48" t="n">
        <v>1705</v>
      </c>
      <c r="Q48" t="n">
        <v>1940</v>
      </c>
      <c r="R48" t="n">
        <v>2175</v>
      </c>
      <c r="S48" t="n">
        <v>2410</v>
      </c>
      <c r="T48" t="n">
        <v>2645</v>
      </c>
      <c r="U48" t="n">
        <v>2880</v>
      </c>
      <c r="V48" t="n">
        <v>1494</v>
      </c>
      <c r="W48" t="n">
        <v>1188</v>
      </c>
      <c r="X48" t="n">
        <v>1141</v>
      </c>
      <c r="Y48" t="n">
        <v>3350</v>
      </c>
    </row>
    <row r="49">
      <c r="A49" t="n">
        <v>48</v>
      </c>
      <c r="B49" t="n">
        <v>0</v>
      </c>
      <c r="C49" t="n">
        <v>2045</v>
      </c>
      <c r="D49" t="n">
        <v>2572</v>
      </c>
      <c r="E49" t="n">
        <v>4054</v>
      </c>
      <c r="F49" t="n">
        <v>6380</v>
      </c>
      <c r="G49" t="n">
        <v>9985</v>
      </c>
      <c r="H49" t="n">
        <v>15586</v>
      </c>
      <c r="I49" t="n">
        <v>24197</v>
      </c>
      <c r="J49" t="n">
        <v>1480</v>
      </c>
      <c r="K49" t="n">
        <v>2572</v>
      </c>
      <c r="L49" t="n">
        <v>1480</v>
      </c>
      <c r="M49" t="n">
        <v>1000</v>
      </c>
      <c r="N49" t="n">
        <v>1240</v>
      </c>
      <c r="O49" t="n">
        <v>1480</v>
      </c>
      <c r="P49" t="n">
        <v>1720</v>
      </c>
      <c r="Q49" t="n">
        <v>1960</v>
      </c>
      <c r="R49" t="n">
        <v>2200</v>
      </c>
      <c r="S49" t="n">
        <v>2440</v>
      </c>
      <c r="T49" t="n">
        <v>2680</v>
      </c>
      <c r="U49" t="n">
        <v>2920</v>
      </c>
      <c r="V49" t="n">
        <v>1506</v>
      </c>
      <c r="W49" t="n">
        <v>1192</v>
      </c>
      <c r="X49" t="n">
        <v>1144</v>
      </c>
      <c r="Y49" t="n">
        <v>3400</v>
      </c>
    </row>
    <row r="50">
      <c r="A50" t="n">
        <v>49</v>
      </c>
      <c r="B50" t="n">
        <v>0</v>
      </c>
      <c r="C50" t="n">
        <v>2076</v>
      </c>
      <c r="D50" t="n">
        <v>2624</v>
      </c>
      <c r="E50" t="n">
        <v>4176</v>
      </c>
      <c r="F50" t="n">
        <v>6636</v>
      </c>
      <c r="G50" t="n">
        <v>10485</v>
      </c>
      <c r="H50" t="n">
        <v>16522</v>
      </c>
      <c r="I50" t="n">
        <v>25891</v>
      </c>
      <c r="J50" t="n">
        <v>1490</v>
      </c>
      <c r="K50" t="n">
        <v>2624</v>
      </c>
      <c r="L50" t="n">
        <v>1490</v>
      </c>
      <c r="M50" t="n">
        <v>1000</v>
      </c>
      <c r="N50" t="n">
        <v>1245</v>
      </c>
      <c r="O50" t="n">
        <v>1490</v>
      </c>
      <c r="P50" t="n">
        <v>1735</v>
      </c>
      <c r="Q50" t="n">
        <v>1980</v>
      </c>
      <c r="R50" t="n">
        <v>2225</v>
      </c>
      <c r="S50" t="n">
        <v>2470</v>
      </c>
      <c r="T50" t="n">
        <v>2715</v>
      </c>
      <c r="U50" t="n">
        <v>2960</v>
      </c>
      <c r="V50" t="n">
        <v>1518</v>
      </c>
      <c r="W50" t="n">
        <v>1196</v>
      </c>
      <c r="X50" t="n">
        <v>1147</v>
      </c>
      <c r="Y50" t="n">
        <v>3450</v>
      </c>
    </row>
    <row r="51">
      <c r="A51" t="n">
        <v>50</v>
      </c>
      <c r="B51" t="n">
        <v>0</v>
      </c>
      <c r="C51" t="n">
        <v>2108</v>
      </c>
      <c r="D51" t="n">
        <v>2677</v>
      </c>
      <c r="E51" t="n">
        <v>4302</v>
      </c>
      <c r="F51" t="n">
        <v>6902</v>
      </c>
      <c r="G51" t="n">
        <v>11010</v>
      </c>
      <c r="H51" t="n">
        <v>17514</v>
      </c>
      <c r="I51" t="n">
        <v>27704</v>
      </c>
      <c r="J51" t="n">
        <v>1500</v>
      </c>
      <c r="K51" t="n">
        <v>2677</v>
      </c>
      <c r="L51" t="n">
        <v>1500</v>
      </c>
      <c r="M51" t="n">
        <v>1000</v>
      </c>
      <c r="N51" t="n">
        <v>1250</v>
      </c>
      <c r="O51" t="n">
        <v>1500</v>
      </c>
      <c r="P51" t="n">
        <v>1750</v>
      </c>
      <c r="Q51" t="n">
        <v>2000</v>
      </c>
      <c r="R51" t="n">
        <v>2250</v>
      </c>
      <c r="S51" t="n">
        <v>2500</v>
      </c>
      <c r="T51" t="n">
        <v>2750</v>
      </c>
      <c r="U51" t="n">
        <v>3000</v>
      </c>
      <c r="V51" t="n">
        <v>1530</v>
      </c>
      <c r="W51" t="n">
        <v>1200</v>
      </c>
      <c r="X51" t="n">
        <v>1150</v>
      </c>
      <c r="Y51" t="n">
        <v>3500</v>
      </c>
    </row>
    <row r="52">
      <c r="A52" t="n">
        <v>51</v>
      </c>
      <c r="B52" t="n">
        <v>0</v>
      </c>
      <c r="C52" t="n">
        <v>2140</v>
      </c>
      <c r="D52" t="n">
        <v>2731</v>
      </c>
      <c r="E52" t="n">
        <v>4432</v>
      </c>
      <c r="F52" t="n">
        <v>7179</v>
      </c>
      <c r="G52" t="n">
        <v>11561</v>
      </c>
      <c r="H52" t="n">
        <v>18565</v>
      </c>
      <c r="I52" t="n">
        <v>29644</v>
      </c>
      <c r="J52" t="n">
        <v>1510</v>
      </c>
      <c r="K52" t="n">
        <v>2731</v>
      </c>
      <c r="L52" t="n">
        <v>1510</v>
      </c>
      <c r="M52" t="n">
        <v>1000</v>
      </c>
      <c r="N52" t="n">
        <v>1255</v>
      </c>
      <c r="O52" t="n">
        <v>1510</v>
      </c>
      <c r="P52" t="n">
        <v>1765</v>
      </c>
      <c r="Q52" t="n">
        <v>2020</v>
      </c>
      <c r="R52" t="n">
        <v>2275</v>
      </c>
      <c r="S52" t="n">
        <v>2530</v>
      </c>
      <c r="T52" t="n">
        <v>2785</v>
      </c>
      <c r="U52" t="n">
        <v>3040</v>
      </c>
      <c r="V52" t="n">
        <v>1542</v>
      </c>
      <c r="W52" t="n">
        <v>1204</v>
      </c>
      <c r="X52" t="n">
        <v>1153</v>
      </c>
      <c r="Y52" t="n">
        <v>3550</v>
      </c>
    </row>
    <row r="53">
      <c r="A53" t="n">
        <v>52</v>
      </c>
      <c r="B53" t="n">
        <v>0</v>
      </c>
      <c r="C53" t="n">
        <v>2173</v>
      </c>
      <c r="D53" t="n">
        <v>2786</v>
      </c>
      <c r="E53" t="n">
        <v>4565</v>
      </c>
      <c r="F53" t="n">
        <v>7467</v>
      </c>
      <c r="G53" t="n">
        <v>12140</v>
      </c>
      <c r="H53" t="n">
        <v>19679</v>
      </c>
      <c r="I53" t="n">
        <v>31720</v>
      </c>
      <c r="J53" t="n">
        <v>1520</v>
      </c>
      <c r="K53" t="n">
        <v>2786</v>
      </c>
      <c r="L53" t="n">
        <v>1520</v>
      </c>
      <c r="M53" t="n">
        <v>1000</v>
      </c>
      <c r="N53" t="n">
        <v>1260</v>
      </c>
      <c r="O53" t="n">
        <v>1520</v>
      </c>
      <c r="P53" t="n">
        <v>1780</v>
      </c>
      <c r="Q53" t="n">
        <v>2040</v>
      </c>
      <c r="R53" t="n">
        <v>2300</v>
      </c>
      <c r="S53" t="n">
        <v>2560</v>
      </c>
      <c r="T53" t="n">
        <v>2820</v>
      </c>
      <c r="U53" t="n">
        <v>3080</v>
      </c>
      <c r="V53" t="n">
        <v>1554</v>
      </c>
      <c r="W53" t="n">
        <v>1208</v>
      </c>
      <c r="X53" t="n">
        <v>1156</v>
      </c>
      <c r="Y53" t="n">
        <v>3600</v>
      </c>
    </row>
    <row r="54">
      <c r="A54" t="n">
        <v>53</v>
      </c>
      <c r="B54" t="n">
        <v>0</v>
      </c>
      <c r="C54" t="n">
        <v>2206</v>
      </c>
      <c r="D54" t="n">
        <v>2842</v>
      </c>
      <c r="E54" t="n">
        <v>4702</v>
      </c>
      <c r="F54" t="n">
        <v>7766</v>
      </c>
      <c r="G54" t="n">
        <v>12747</v>
      </c>
      <c r="H54" t="n">
        <v>20860</v>
      </c>
      <c r="I54" t="n">
        <v>33941</v>
      </c>
      <c r="J54" t="n">
        <v>1530</v>
      </c>
      <c r="K54" t="n">
        <v>2842</v>
      </c>
      <c r="L54" t="n">
        <v>1530</v>
      </c>
      <c r="M54" t="n">
        <v>1000</v>
      </c>
      <c r="N54" t="n">
        <v>1265</v>
      </c>
      <c r="O54" t="n">
        <v>1530</v>
      </c>
      <c r="P54" t="n">
        <v>1795</v>
      </c>
      <c r="Q54" t="n">
        <v>2060</v>
      </c>
      <c r="R54" t="n">
        <v>2325</v>
      </c>
      <c r="S54" t="n">
        <v>2590</v>
      </c>
      <c r="T54" t="n">
        <v>2855</v>
      </c>
      <c r="U54" t="n">
        <v>3120</v>
      </c>
      <c r="V54" t="n">
        <v>1566</v>
      </c>
      <c r="W54" t="n">
        <v>1212</v>
      </c>
      <c r="X54" t="n">
        <v>1159</v>
      </c>
      <c r="Y54" t="n">
        <v>3650</v>
      </c>
    </row>
    <row r="55">
      <c r="A55" t="n">
        <v>54</v>
      </c>
      <c r="B55" t="n">
        <v>0</v>
      </c>
      <c r="C55" t="n">
        <v>2240</v>
      </c>
      <c r="D55" t="n">
        <v>2899</v>
      </c>
      <c r="E55" t="n">
        <v>4844</v>
      </c>
      <c r="F55" t="n">
        <v>8077</v>
      </c>
      <c r="G55" t="n">
        <v>13385</v>
      </c>
      <c r="H55" t="n">
        <v>22112</v>
      </c>
      <c r="I55" t="n">
        <v>36317</v>
      </c>
      <c r="J55" t="n">
        <v>1540</v>
      </c>
      <c r="K55" t="n">
        <v>2899</v>
      </c>
      <c r="L55" t="n">
        <v>1540</v>
      </c>
      <c r="M55" t="n">
        <v>1000</v>
      </c>
      <c r="N55" t="n">
        <v>1270</v>
      </c>
      <c r="O55" t="n">
        <v>1540</v>
      </c>
      <c r="P55" t="n">
        <v>1810</v>
      </c>
      <c r="Q55" t="n">
        <v>2080</v>
      </c>
      <c r="R55" t="n">
        <v>2350</v>
      </c>
      <c r="S55" t="n">
        <v>2620</v>
      </c>
      <c r="T55" t="n">
        <v>2890</v>
      </c>
      <c r="U55" t="n">
        <v>3160</v>
      </c>
      <c r="V55" t="n">
        <v>1578</v>
      </c>
      <c r="W55" t="n">
        <v>1216</v>
      </c>
      <c r="X55" t="n">
        <v>1162</v>
      </c>
      <c r="Y55" t="n">
        <v>3700</v>
      </c>
    </row>
    <row r="56">
      <c r="A56" t="n">
        <v>55</v>
      </c>
      <c r="B56" t="n">
        <v>0</v>
      </c>
      <c r="C56" t="n">
        <v>2274</v>
      </c>
      <c r="D56" t="n">
        <v>2957</v>
      </c>
      <c r="E56" t="n">
        <v>4990</v>
      </c>
      <c r="F56" t="n">
        <v>8401</v>
      </c>
      <c r="G56" t="n">
        <v>14055</v>
      </c>
      <c r="H56" t="n">
        <v>23439</v>
      </c>
      <c r="I56" t="n">
        <v>38860</v>
      </c>
      <c r="J56" t="n">
        <v>1550</v>
      </c>
      <c r="K56" t="n">
        <v>2957</v>
      </c>
      <c r="L56" t="n">
        <v>1550</v>
      </c>
      <c r="M56" t="n">
        <v>1000</v>
      </c>
      <c r="N56" t="n">
        <v>1275</v>
      </c>
      <c r="O56" t="n">
        <v>1550</v>
      </c>
      <c r="P56" t="n">
        <v>1825</v>
      </c>
      <c r="Q56" t="n">
        <v>2100</v>
      </c>
      <c r="R56" t="n">
        <v>2375</v>
      </c>
      <c r="S56" t="n">
        <v>2650</v>
      </c>
      <c r="T56" t="n">
        <v>2925</v>
      </c>
      <c r="U56" t="n">
        <v>3200</v>
      </c>
      <c r="V56" t="n">
        <v>1590</v>
      </c>
      <c r="W56" t="n">
        <v>1220</v>
      </c>
      <c r="X56" t="n">
        <v>1165</v>
      </c>
      <c r="Y56" t="n">
        <v>3750</v>
      </c>
    </row>
    <row r="57">
      <c r="A57" t="n">
        <v>56</v>
      </c>
      <c r="B57" t="n">
        <v>0</v>
      </c>
      <c r="C57" t="n">
        <v>2309</v>
      </c>
      <c r="D57" t="n">
        <v>3017</v>
      </c>
      <c r="E57" t="n">
        <v>5140</v>
      </c>
      <c r="F57" t="n">
        <v>8738</v>
      </c>
      <c r="G57" t="n">
        <v>14758</v>
      </c>
      <c r="H57" t="n">
        <v>24846</v>
      </c>
      <c r="I57" t="n">
        <v>41581</v>
      </c>
      <c r="J57" t="n">
        <v>1560</v>
      </c>
      <c r="K57" t="n">
        <v>3017</v>
      </c>
      <c r="L57" t="n">
        <v>1560</v>
      </c>
      <c r="M57" t="n">
        <v>1000</v>
      </c>
      <c r="N57" t="n">
        <v>1280</v>
      </c>
      <c r="O57" t="n">
        <v>1560</v>
      </c>
      <c r="P57" t="n">
        <v>1840</v>
      </c>
      <c r="Q57" t="n">
        <v>2120</v>
      </c>
      <c r="R57" t="n">
        <v>2400</v>
      </c>
      <c r="S57" t="n">
        <v>2680</v>
      </c>
      <c r="T57" t="n">
        <v>2960</v>
      </c>
      <c r="U57" t="n">
        <v>3240</v>
      </c>
      <c r="V57" t="n">
        <v>1602</v>
      </c>
      <c r="W57" t="n">
        <v>1224</v>
      </c>
      <c r="X57" t="n">
        <v>1168</v>
      </c>
      <c r="Y57" t="n">
        <v>3800</v>
      </c>
    </row>
    <row r="58">
      <c r="A58" t="n">
        <v>57</v>
      </c>
      <c r="B58" t="n">
        <v>0</v>
      </c>
      <c r="C58" t="n">
        <v>2344</v>
      </c>
      <c r="D58" t="n">
        <v>3078</v>
      </c>
      <c r="E58" t="n">
        <v>5295</v>
      </c>
      <c r="F58" t="n">
        <v>9088</v>
      </c>
      <c r="G58" t="n">
        <v>15496</v>
      </c>
      <c r="H58" t="n">
        <v>26337</v>
      </c>
      <c r="I58" t="n">
        <v>44492</v>
      </c>
      <c r="J58" t="n">
        <v>1570</v>
      </c>
      <c r="K58" t="n">
        <v>3078</v>
      </c>
      <c r="L58" t="n">
        <v>1570</v>
      </c>
      <c r="M58" t="n">
        <v>1000</v>
      </c>
      <c r="N58" t="n">
        <v>1285</v>
      </c>
      <c r="O58" t="n">
        <v>1570</v>
      </c>
      <c r="P58" t="n">
        <v>1855</v>
      </c>
      <c r="Q58" t="n">
        <v>2140</v>
      </c>
      <c r="R58" t="n">
        <v>2425</v>
      </c>
      <c r="S58" t="n">
        <v>2710</v>
      </c>
      <c r="T58" t="n">
        <v>2995</v>
      </c>
      <c r="U58" t="n">
        <v>3280</v>
      </c>
      <c r="V58" t="n">
        <v>1615</v>
      </c>
      <c r="W58" t="n">
        <v>1228</v>
      </c>
      <c r="X58" t="n">
        <v>1171</v>
      </c>
      <c r="Y58" t="n">
        <v>3850</v>
      </c>
    </row>
    <row r="59">
      <c r="A59" t="n">
        <v>58</v>
      </c>
      <c r="B59" t="n">
        <v>0</v>
      </c>
      <c r="C59" t="n">
        <v>2380</v>
      </c>
      <c r="D59" t="n">
        <v>3140</v>
      </c>
      <c r="E59" t="n">
        <v>5454</v>
      </c>
      <c r="F59" t="n">
        <v>9452</v>
      </c>
      <c r="G59" t="n">
        <v>16271</v>
      </c>
      <c r="H59" t="n">
        <v>27918</v>
      </c>
      <c r="I59" t="n">
        <v>47607</v>
      </c>
      <c r="J59" t="n">
        <v>1580</v>
      </c>
      <c r="K59" t="n">
        <v>3140</v>
      </c>
      <c r="L59" t="n">
        <v>1580</v>
      </c>
      <c r="M59" t="n">
        <v>1000</v>
      </c>
      <c r="N59" t="n">
        <v>1290</v>
      </c>
      <c r="O59" t="n">
        <v>1580</v>
      </c>
      <c r="P59" t="n">
        <v>1870</v>
      </c>
      <c r="Q59" t="n">
        <v>2160</v>
      </c>
      <c r="R59" t="n">
        <v>2450</v>
      </c>
      <c r="S59" t="n">
        <v>2740</v>
      </c>
      <c r="T59" t="n">
        <v>3030</v>
      </c>
      <c r="U59" t="n">
        <v>3320</v>
      </c>
      <c r="V59" t="n">
        <v>1628</v>
      </c>
      <c r="W59" t="n">
        <v>1232</v>
      </c>
      <c r="X59" t="n">
        <v>1174</v>
      </c>
      <c r="Y59" t="n">
        <v>3900</v>
      </c>
    </row>
    <row r="60">
      <c r="A60" t="n">
        <v>59</v>
      </c>
      <c r="B60" t="n">
        <v>0</v>
      </c>
      <c r="C60" t="n">
        <v>2416</v>
      </c>
      <c r="D60" t="n">
        <v>3203</v>
      </c>
      <c r="E60" t="n">
        <v>5618</v>
      </c>
      <c r="F60" t="n">
        <v>9831</v>
      </c>
      <c r="G60" t="n">
        <v>17085</v>
      </c>
      <c r="H60" t="n">
        <v>29594</v>
      </c>
      <c r="I60" t="n">
        <v>50940</v>
      </c>
      <c r="J60" t="n">
        <v>1590</v>
      </c>
      <c r="K60" t="n">
        <v>3203</v>
      </c>
      <c r="L60" t="n">
        <v>1590</v>
      </c>
      <c r="M60" t="n">
        <v>1000</v>
      </c>
      <c r="N60" t="n">
        <v>1295</v>
      </c>
      <c r="O60" t="n">
        <v>1590</v>
      </c>
      <c r="P60" t="n">
        <v>1885</v>
      </c>
      <c r="Q60" t="n">
        <v>2180</v>
      </c>
      <c r="R60" t="n">
        <v>2475</v>
      </c>
      <c r="S60" t="n">
        <v>2770</v>
      </c>
      <c r="T60" t="n">
        <v>3065</v>
      </c>
      <c r="U60" t="n">
        <v>3360</v>
      </c>
      <c r="V60" t="n">
        <v>1641</v>
      </c>
      <c r="W60" t="n">
        <v>1236</v>
      </c>
      <c r="X60" t="n">
        <v>1177</v>
      </c>
      <c r="Y60" t="n">
        <v>3950</v>
      </c>
    </row>
    <row r="61">
      <c r="A61" t="n">
        <v>60</v>
      </c>
      <c r="B61" t="n">
        <v>0</v>
      </c>
      <c r="C61" t="n">
        <v>2453</v>
      </c>
      <c r="D61" t="n">
        <v>3268</v>
      </c>
      <c r="E61" t="n">
        <v>5787</v>
      </c>
      <c r="F61" t="n">
        <v>10225</v>
      </c>
      <c r="G61" t="n">
        <v>17940</v>
      </c>
      <c r="H61" t="n">
        <v>31370</v>
      </c>
      <c r="I61" t="n">
        <v>54506</v>
      </c>
      <c r="J61" t="n">
        <v>1600</v>
      </c>
      <c r="K61" t="n">
        <v>3268</v>
      </c>
      <c r="L61" t="n">
        <v>1600</v>
      </c>
      <c r="M61" t="n">
        <v>1000</v>
      </c>
      <c r="N61" t="n">
        <v>1300</v>
      </c>
      <c r="O61" t="n">
        <v>1600</v>
      </c>
      <c r="P61" t="n">
        <v>1900</v>
      </c>
      <c r="Q61" t="n">
        <v>2200</v>
      </c>
      <c r="R61" t="n">
        <v>2500</v>
      </c>
      <c r="S61" t="n">
        <v>2800</v>
      </c>
      <c r="T61" t="n">
        <v>3100</v>
      </c>
      <c r="U61" t="n">
        <v>3400</v>
      </c>
      <c r="V61" t="n">
        <v>1654</v>
      </c>
      <c r="W61" t="n">
        <v>1240</v>
      </c>
      <c r="X61" t="n">
        <v>1180</v>
      </c>
      <c r="Y61" t="n">
        <v>4000</v>
      </c>
    </row>
    <row r="62">
      <c r="A62" t="n">
        <v>61</v>
      </c>
      <c r="B62" t="n">
        <v>0</v>
      </c>
      <c r="C62" t="n">
        <v>2490</v>
      </c>
      <c r="D62" t="n">
        <v>3334</v>
      </c>
      <c r="E62" t="n">
        <v>5961</v>
      </c>
      <c r="F62" t="n">
        <v>10634</v>
      </c>
      <c r="G62" t="n">
        <v>18837</v>
      </c>
      <c r="H62" t="n">
        <v>33253</v>
      </c>
      <c r="I62" t="n">
        <v>58322</v>
      </c>
      <c r="J62" t="n">
        <v>1610</v>
      </c>
      <c r="K62" t="n">
        <v>3334</v>
      </c>
      <c r="L62" t="n">
        <v>1610</v>
      </c>
      <c r="M62" t="n">
        <v>1000</v>
      </c>
      <c r="N62" t="n">
        <v>1305</v>
      </c>
      <c r="O62" t="n">
        <v>1610</v>
      </c>
      <c r="P62" t="n">
        <v>1915</v>
      </c>
      <c r="Q62" t="n">
        <v>2220</v>
      </c>
      <c r="R62" t="n">
        <v>2525</v>
      </c>
      <c r="S62" t="n">
        <v>2830</v>
      </c>
      <c r="T62" t="n">
        <v>3135</v>
      </c>
      <c r="U62" t="n">
        <v>3440</v>
      </c>
      <c r="V62" t="n">
        <v>1667</v>
      </c>
      <c r="W62" t="n">
        <v>1244</v>
      </c>
      <c r="X62" t="n">
        <v>1183</v>
      </c>
      <c r="Y62" t="n">
        <v>4050</v>
      </c>
    </row>
    <row r="63">
      <c r="A63" t="n">
        <v>62</v>
      </c>
      <c r="B63" t="n">
        <v>0</v>
      </c>
      <c r="C63" t="n">
        <v>2528</v>
      </c>
      <c r="D63" t="n">
        <v>3401</v>
      </c>
      <c r="E63" t="n">
        <v>6140</v>
      </c>
      <c r="F63" t="n">
        <v>11060</v>
      </c>
      <c r="G63" t="n">
        <v>19779</v>
      </c>
      <c r="H63" t="n">
        <v>35249</v>
      </c>
      <c r="I63" t="n">
        <v>62405</v>
      </c>
      <c r="J63" t="n">
        <v>1620</v>
      </c>
      <c r="K63" t="n">
        <v>3401</v>
      </c>
      <c r="L63" t="n">
        <v>1620</v>
      </c>
      <c r="M63" t="n">
        <v>1000</v>
      </c>
      <c r="N63" t="n">
        <v>1310</v>
      </c>
      <c r="O63" t="n">
        <v>1620</v>
      </c>
      <c r="P63" t="n">
        <v>1930</v>
      </c>
      <c r="Q63" t="n">
        <v>2240</v>
      </c>
      <c r="R63" t="n">
        <v>2550</v>
      </c>
      <c r="S63" t="n">
        <v>2860</v>
      </c>
      <c r="T63" t="n">
        <v>3170</v>
      </c>
      <c r="U63" t="n">
        <v>3480</v>
      </c>
      <c r="V63" t="n">
        <v>1680</v>
      </c>
      <c r="W63" t="n">
        <v>1248</v>
      </c>
      <c r="X63" t="n">
        <v>1186</v>
      </c>
      <c r="Y63" t="n">
        <v>4100</v>
      </c>
    </row>
    <row r="64">
      <c r="A64" t="n">
        <v>63</v>
      </c>
      <c r="B64" t="n">
        <v>0</v>
      </c>
      <c r="C64" t="n">
        <v>2566</v>
      </c>
      <c r="D64" t="n">
        <v>3470</v>
      </c>
      <c r="E64" t="n">
        <v>6325</v>
      </c>
      <c r="F64" t="n">
        <v>11503</v>
      </c>
      <c r="G64" t="n">
        <v>20768</v>
      </c>
      <c r="H64" t="n">
        <v>37364</v>
      </c>
      <c r="I64" t="n">
        <v>66774</v>
      </c>
      <c r="J64" t="n">
        <v>1630</v>
      </c>
      <c r="K64" t="n">
        <v>3470</v>
      </c>
      <c r="L64" t="n">
        <v>1630</v>
      </c>
      <c r="M64" t="n">
        <v>1000</v>
      </c>
      <c r="N64" t="n">
        <v>1315</v>
      </c>
      <c r="O64" t="n">
        <v>1630</v>
      </c>
      <c r="P64" t="n">
        <v>1945</v>
      </c>
      <c r="Q64" t="n">
        <v>2260</v>
      </c>
      <c r="R64" t="n">
        <v>2575</v>
      </c>
      <c r="S64" t="n">
        <v>2890</v>
      </c>
      <c r="T64" t="n">
        <v>3205</v>
      </c>
      <c r="U64" t="n">
        <v>3520</v>
      </c>
      <c r="V64" t="n">
        <v>1693</v>
      </c>
      <c r="W64" t="n">
        <v>1252</v>
      </c>
      <c r="X64" t="n">
        <v>1189</v>
      </c>
      <c r="Y64" t="n">
        <v>4150</v>
      </c>
    </row>
    <row r="65">
      <c r="A65" t="n">
        <v>64</v>
      </c>
      <c r="B65" t="n">
        <v>0</v>
      </c>
      <c r="C65" t="n">
        <v>2605</v>
      </c>
      <c r="D65" t="n">
        <v>3540</v>
      </c>
      <c r="E65" t="n">
        <v>6515</v>
      </c>
      <c r="F65" t="n">
        <v>11964</v>
      </c>
      <c r="G65" t="n">
        <v>21807</v>
      </c>
      <c r="H65" t="n">
        <v>39606</v>
      </c>
      <c r="I65" t="n">
        <v>71449</v>
      </c>
      <c r="J65" t="n">
        <v>1640</v>
      </c>
      <c r="K65" t="n">
        <v>3540</v>
      </c>
      <c r="L65" t="n">
        <v>1640</v>
      </c>
      <c r="M65" t="n">
        <v>1000</v>
      </c>
      <c r="N65" t="n">
        <v>1320</v>
      </c>
      <c r="O65" t="n">
        <v>1640</v>
      </c>
      <c r="P65" t="n">
        <v>1960</v>
      </c>
      <c r="Q65" t="n">
        <v>2280</v>
      </c>
      <c r="R65" t="n">
        <v>2600</v>
      </c>
      <c r="S65" t="n">
        <v>2920</v>
      </c>
      <c r="T65" t="n">
        <v>3240</v>
      </c>
      <c r="U65" t="n">
        <v>3560</v>
      </c>
      <c r="V65" t="n">
        <v>1706</v>
      </c>
      <c r="W65" t="n">
        <v>1256</v>
      </c>
      <c r="X65" t="n">
        <v>1192</v>
      </c>
      <c r="Y65" t="n">
        <v>4200</v>
      </c>
    </row>
    <row r="66">
      <c r="A66" t="n">
        <v>65</v>
      </c>
      <c r="B66" t="n">
        <v>0</v>
      </c>
      <c r="C66" t="n">
        <v>2645</v>
      </c>
      <c r="D66" t="n">
        <v>3611</v>
      </c>
      <c r="E66" t="n">
        <v>6711</v>
      </c>
      <c r="F66" t="n">
        <v>12443</v>
      </c>
      <c r="G66" t="n">
        <v>22898</v>
      </c>
      <c r="H66" t="n">
        <v>41983</v>
      </c>
      <c r="I66" t="n">
        <v>76451</v>
      </c>
      <c r="J66" t="n">
        <v>1650</v>
      </c>
      <c r="K66" t="n">
        <v>3611</v>
      </c>
      <c r="L66" t="n">
        <v>1650</v>
      </c>
      <c r="M66" t="n">
        <v>1000</v>
      </c>
      <c r="N66" t="n">
        <v>1325</v>
      </c>
      <c r="O66" t="n">
        <v>1650</v>
      </c>
      <c r="P66" t="n">
        <v>1975</v>
      </c>
      <c r="Q66" t="n">
        <v>2300</v>
      </c>
      <c r="R66" t="n">
        <v>2625</v>
      </c>
      <c r="S66" t="n">
        <v>2950</v>
      </c>
      <c r="T66" t="n">
        <v>3275</v>
      </c>
      <c r="U66" t="n">
        <v>3600</v>
      </c>
      <c r="V66" t="n">
        <v>1719</v>
      </c>
      <c r="W66" t="n">
        <v>1260</v>
      </c>
      <c r="X66" t="n">
        <v>1195</v>
      </c>
      <c r="Y66" t="n">
        <v>4250</v>
      </c>
    </row>
    <row r="67">
      <c r="A67" t="n">
        <v>66</v>
      </c>
      <c r="B67" t="n">
        <v>0</v>
      </c>
      <c r="C67" t="n">
        <v>2685</v>
      </c>
      <c r="D67" t="n">
        <v>3684</v>
      </c>
      <c r="E67" t="n">
        <v>6913</v>
      </c>
      <c r="F67" t="n">
        <v>12941</v>
      </c>
      <c r="G67" t="n">
        <v>24043</v>
      </c>
      <c r="H67" t="n">
        <v>44502</v>
      </c>
      <c r="I67" t="n">
        <v>81803</v>
      </c>
      <c r="J67" t="n">
        <v>1660</v>
      </c>
      <c r="K67" t="n">
        <v>3684</v>
      </c>
      <c r="L67" t="n">
        <v>1660</v>
      </c>
      <c r="M67" t="n">
        <v>1000</v>
      </c>
      <c r="N67" t="n">
        <v>1330</v>
      </c>
      <c r="O67" t="n">
        <v>1660</v>
      </c>
      <c r="P67" t="n">
        <v>1990</v>
      </c>
      <c r="Q67" t="n">
        <v>2320</v>
      </c>
      <c r="R67" t="n">
        <v>2650</v>
      </c>
      <c r="S67" t="n">
        <v>2980</v>
      </c>
      <c r="T67" t="n">
        <v>3310</v>
      </c>
      <c r="U67" t="n">
        <v>3640</v>
      </c>
      <c r="V67" t="n">
        <v>1732</v>
      </c>
      <c r="W67" t="n">
        <v>1264</v>
      </c>
      <c r="X67" t="n">
        <v>1198</v>
      </c>
      <c r="Y67" t="n">
        <v>4300</v>
      </c>
    </row>
    <row r="68">
      <c r="A68" t="n">
        <v>67</v>
      </c>
      <c r="B68" t="n">
        <v>0</v>
      </c>
      <c r="C68" t="n">
        <v>2726</v>
      </c>
      <c r="D68" t="n">
        <v>3758</v>
      </c>
      <c r="E68" t="n">
        <v>7121</v>
      </c>
      <c r="F68" t="n">
        <v>13459</v>
      </c>
      <c r="G68" t="n">
        <v>25246</v>
      </c>
      <c r="H68" t="n">
        <v>47173</v>
      </c>
      <c r="I68" t="n">
        <v>87530</v>
      </c>
      <c r="J68" t="n">
        <v>1670</v>
      </c>
      <c r="K68" t="n">
        <v>3758</v>
      </c>
      <c r="L68" t="n">
        <v>1670</v>
      </c>
      <c r="M68" t="n">
        <v>1000</v>
      </c>
      <c r="N68" t="n">
        <v>1335</v>
      </c>
      <c r="O68" t="n">
        <v>1670</v>
      </c>
      <c r="P68" t="n">
        <v>2005</v>
      </c>
      <c r="Q68" t="n">
        <v>2340</v>
      </c>
      <c r="R68" t="n">
        <v>2675</v>
      </c>
      <c r="S68" t="n">
        <v>3010</v>
      </c>
      <c r="T68" t="n">
        <v>3345</v>
      </c>
      <c r="U68" t="n">
        <v>3680</v>
      </c>
      <c r="V68" t="n">
        <v>1745</v>
      </c>
      <c r="W68" t="n">
        <v>1268</v>
      </c>
      <c r="X68" t="n">
        <v>1201</v>
      </c>
      <c r="Y68" t="n">
        <v>4350</v>
      </c>
    </row>
    <row r="69">
      <c r="A69" t="n">
        <v>68</v>
      </c>
      <c r="B69" t="n">
        <v>0</v>
      </c>
      <c r="C69" t="n">
        <v>2767</v>
      </c>
      <c r="D69" t="n">
        <v>3834</v>
      </c>
      <c r="E69" t="n">
        <v>7335</v>
      </c>
      <c r="F69" t="n">
        <v>13998</v>
      </c>
      <c r="G69" t="n">
        <v>26509</v>
      </c>
      <c r="H69" t="n">
        <v>50004</v>
      </c>
      <c r="I69" t="n">
        <v>93658</v>
      </c>
      <c r="J69" t="n">
        <v>1680</v>
      </c>
      <c r="K69" t="n">
        <v>3834</v>
      </c>
      <c r="L69" t="n">
        <v>1680</v>
      </c>
      <c r="M69" t="n">
        <v>1000</v>
      </c>
      <c r="N69" t="n">
        <v>1340</v>
      </c>
      <c r="O69" t="n">
        <v>1680</v>
      </c>
      <c r="P69" t="n">
        <v>2020</v>
      </c>
      <c r="Q69" t="n">
        <v>2360</v>
      </c>
      <c r="R69" t="n">
        <v>2700</v>
      </c>
      <c r="S69" t="n">
        <v>3040</v>
      </c>
      <c r="T69" t="n">
        <v>3380</v>
      </c>
      <c r="U69" t="n">
        <v>3720</v>
      </c>
      <c r="V69" t="n">
        <v>1758</v>
      </c>
      <c r="W69" t="n">
        <v>1272</v>
      </c>
      <c r="X69" t="n">
        <v>1204</v>
      </c>
      <c r="Y69" t="n">
        <v>4400</v>
      </c>
    </row>
    <row r="70">
      <c r="A70" t="n">
        <v>69</v>
      </c>
      <c r="B70" t="n">
        <v>0</v>
      </c>
      <c r="C70" t="n">
        <v>2809</v>
      </c>
      <c r="D70" t="n">
        <v>3911</v>
      </c>
      <c r="E70" t="n">
        <v>7556</v>
      </c>
      <c r="F70" t="n">
        <v>14558</v>
      </c>
      <c r="G70" t="n">
        <v>27835</v>
      </c>
      <c r="H70" t="n">
        <v>53005</v>
      </c>
      <c r="I70" t="n">
        <v>100215</v>
      </c>
      <c r="J70" t="n">
        <v>1690</v>
      </c>
      <c r="K70" t="n">
        <v>3911</v>
      </c>
      <c r="L70" t="n">
        <v>1690</v>
      </c>
      <c r="M70" t="n">
        <v>1000</v>
      </c>
      <c r="N70" t="n">
        <v>1345</v>
      </c>
      <c r="O70" t="n">
        <v>1690</v>
      </c>
      <c r="P70" t="n">
        <v>2035</v>
      </c>
      <c r="Q70" t="n">
        <v>2380</v>
      </c>
      <c r="R70" t="n">
        <v>2725</v>
      </c>
      <c r="S70" t="n">
        <v>3070</v>
      </c>
      <c r="T70" t="n">
        <v>3415</v>
      </c>
      <c r="U70" t="n">
        <v>3760</v>
      </c>
      <c r="V70" t="n">
        <v>1771</v>
      </c>
      <c r="W70" t="n">
        <v>1276</v>
      </c>
      <c r="X70" t="n">
        <v>1207</v>
      </c>
      <c r="Y70" t="n">
        <v>4450</v>
      </c>
    </row>
    <row r="71">
      <c r="A71" t="n">
        <v>70</v>
      </c>
      <c r="B71" t="n">
        <v>0</v>
      </c>
      <c r="C71" t="n">
        <v>2852</v>
      </c>
      <c r="D71" t="n">
        <v>3990</v>
      </c>
      <c r="E71" t="n">
        <v>7783</v>
      </c>
      <c r="F71" t="n">
        <v>15141</v>
      </c>
      <c r="G71" t="n">
        <v>29227</v>
      </c>
      <c r="H71" t="n">
        <v>56186</v>
      </c>
      <c r="I71" t="n">
        <v>107231</v>
      </c>
      <c r="J71" t="n">
        <v>1700</v>
      </c>
      <c r="K71" t="n">
        <v>3990</v>
      </c>
      <c r="L71" t="n">
        <v>1700</v>
      </c>
      <c r="M71" t="n">
        <v>1000</v>
      </c>
      <c r="N71" t="n">
        <v>1350</v>
      </c>
      <c r="O71" t="n">
        <v>1700</v>
      </c>
      <c r="P71" t="n">
        <v>2050</v>
      </c>
      <c r="Q71" t="n">
        <v>2400</v>
      </c>
      <c r="R71" t="n">
        <v>2750</v>
      </c>
      <c r="S71" t="n">
        <v>3100</v>
      </c>
      <c r="T71" t="n">
        <v>3450</v>
      </c>
      <c r="U71" t="n">
        <v>3800</v>
      </c>
      <c r="V71" t="n">
        <v>1784</v>
      </c>
      <c r="W71" t="n">
        <v>1280</v>
      </c>
      <c r="X71" t="n">
        <v>1210</v>
      </c>
      <c r="Y71" t="n">
        <v>4500</v>
      </c>
    </row>
    <row r="72">
      <c r="A72" t="n">
        <v>71</v>
      </c>
      <c r="B72" t="n">
        <v>0</v>
      </c>
      <c r="C72" t="n">
        <v>2895</v>
      </c>
      <c r="D72" t="n">
        <v>4070</v>
      </c>
      <c r="E72" t="n">
        <v>8017</v>
      </c>
      <c r="F72" t="n">
        <v>15747</v>
      </c>
      <c r="G72" t="n">
        <v>30689</v>
      </c>
      <c r="H72" t="n">
        <v>59558</v>
      </c>
      <c r="I72" t="n">
        <v>114738</v>
      </c>
      <c r="J72" t="n">
        <v>1710</v>
      </c>
      <c r="K72" t="n">
        <v>4070</v>
      </c>
      <c r="L72" t="n">
        <v>1710</v>
      </c>
      <c r="M72" t="n">
        <v>1000</v>
      </c>
      <c r="N72" t="n">
        <v>1355</v>
      </c>
      <c r="O72" t="n">
        <v>1710</v>
      </c>
      <c r="P72" t="n">
        <v>2065</v>
      </c>
      <c r="Q72" t="n">
        <v>2420</v>
      </c>
      <c r="R72" t="n">
        <v>2775</v>
      </c>
      <c r="S72" t="n">
        <v>3130</v>
      </c>
      <c r="T72" t="n">
        <v>3485</v>
      </c>
      <c r="U72" t="n">
        <v>3840</v>
      </c>
      <c r="V72" t="n">
        <v>1797</v>
      </c>
      <c r="W72" t="n">
        <v>1284</v>
      </c>
      <c r="X72" t="n">
        <v>1213</v>
      </c>
      <c r="Y72" t="n">
        <v>4550</v>
      </c>
    </row>
    <row r="73">
      <c r="A73" t="n">
        <v>72</v>
      </c>
      <c r="B73" t="n">
        <v>0</v>
      </c>
      <c r="C73" t="n">
        <v>2939</v>
      </c>
      <c r="D73" t="n">
        <v>4152</v>
      </c>
      <c r="E73" t="n">
        <v>8258</v>
      </c>
      <c r="F73" t="n">
        <v>16377</v>
      </c>
      <c r="G73" t="n">
        <v>32224</v>
      </c>
      <c r="H73" t="n">
        <v>63132</v>
      </c>
      <c r="I73" t="n">
        <v>122770</v>
      </c>
      <c r="J73" t="n">
        <v>1720</v>
      </c>
      <c r="K73" t="n">
        <v>4152</v>
      </c>
      <c r="L73" t="n">
        <v>1720</v>
      </c>
      <c r="M73" t="n">
        <v>1000</v>
      </c>
      <c r="N73" t="n">
        <v>1360</v>
      </c>
      <c r="O73" t="n">
        <v>1720</v>
      </c>
      <c r="P73" t="n">
        <v>2080</v>
      </c>
      <c r="Q73" t="n">
        <v>2440</v>
      </c>
      <c r="R73" t="n">
        <v>2800</v>
      </c>
      <c r="S73" t="n">
        <v>3160</v>
      </c>
      <c r="T73" t="n">
        <v>3520</v>
      </c>
      <c r="U73" t="n">
        <v>3880</v>
      </c>
      <c r="V73" t="n">
        <v>1811</v>
      </c>
      <c r="W73" t="n">
        <v>1288</v>
      </c>
      <c r="X73" t="n">
        <v>1216</v>
      </c>
      <c r="Y73" t="n">
        <v>4600</v>
      </c>
    </row>
    <row r="74">
      <c r="A74" t="n">
        <v>73</v>
      </c>
      <c r="B74" t="n">
        <v>0</v>
      </c>
      <c r="C74" t="n">
        <v>2984</v>
      </c>
      <c r="D74" t="n">
        <v>4236</v>
      </c>
      <c r="E74" t="n">
        <v>8506</v>
      </c>
      <c r="F74" t="n">
        <v>17033</v>
      </c>
      <c r="G74" t="n">
        <v>33836</v>
      </c>
      <c r="H74" t="n">
        <v>66920</v>
      </c>
      <c r="I74" t="n">
        <v>131364</v>
      </c>
      <c r="J74" t="n">
        <v>1730</v>
      </c>
      <c r="K74" t="n">
        <v>4236</v>
      </c>
      <c r="L74" t="n">
        <v>1730</v>
      </c>
      <c r="M74" t="n">
        <v>1000</v>
      </c>
      <c r="N74" t="n">
        <v>1365</v>
      </c>
      <c r="O74" t="n">
        <v>1730</v>
      </c>
      <c r="P74" t="n">
        <v>2095</v>
      </c>
      <c r="Q74" t="n">
        <v>2460</v>
      </c>
      <c r="R74" t="n">
        <v>2825</v>
      </c>
      <c r="S74" t="n">
        <v>3190</v>
      </c>
      <c r="T74" t="n">
        <v>3555</v>
      </c>
      <c r="U74" t="n">
        <v>3920</v>
      </c>
      <c r="V74" t="n">
        <v>1825</v>
      </c>
      <c r="W74" t="n">
        <v>1292</v>
      </c>
      <c r="X74" t="n">
        <v>1219</v>
      </c>
      <c r="Y74" t="n">
        <v>4650</v>
      </c>
    </row>
    <row r="75">
      <c r="A75" t="n">
        <v>74</v>
      </c>
      <c r="B75" t="n">
        <v>0</v>
      </c>
      <c r="C75" t="n">
        <v>3029</v>
      </c>
      <c r="D75" t="n">
        <v>4321</v>
      </c>
      <c r="E75" t="n">
        <v>8762</v>
      </c>
      <c r="F75" t="n">
        <v>17715</v>
      </c>
      <c r="G75" t="n">
        <v>35528</v>
      </c>
      <c r="H75" t="n">
        <v>70936</v>
      </c>
      <c r="I75" t="n">
        <v>140560</v>
      </c>
      <c r="J75" t="n">
        <v>1740</v>
      </c>
      <c r="K75" t="n">
        <v>4321</v>
      </c>
      <c r="L75" t="n">
        <v>1740</v>
      </c>
      <c r="M75" t="n">
        <v>1000</v>
      </c>
      <c r="N75" t="n">
        <v>1370</v>
      </c>
      <c r="O75" t="n">
        <v>1740</v>
      </c>
      <c r="P75" t="n">
        <v>2110</v>
      </c>
      <c r="Q75" t="n">
        <v>2480</v>
      </c>
      <c r="R75" t="n">
        <v>2850</v>
      </c>
      <c r="S75" t="n">
        <v>3220</v>
      </c>
      <c r="T75" t="n">
        <v>3590</v>
      </c>
      <c r="U75" t="n">
        <v>3960</v>
      </c>
      <c r="V75" t="n">
        <v>1839</v>
      </c>
      <c r="W75" t="n">
        <v>1296</v>
      </c>
      <c r="X75" t="n">
        <v>1222</v>
      </c>
      <c r="Y75" t="n">
        <v>4700</v>
      </c>
    </row>
    <row r="76">
      <c r="A76" t="n">
        <v>75</v>
      </c>
      <c r="B76" t="n">
        <v>0</v>
      </c>
      <c r="C76" t="n">
        <v>3075</v>
      </c>
      <c r="D76" t="n">
        <v>4408</v>
      </c>
      <c r="E76" t="n">
        <v>9025</v>
      </c>
      <c r="F76" t="n">
        <v>18424</v>
      </c>
      <c r="G76" t="n">
        <v>37305</v>
      </c>
      <c r="H76" t="n">
        <v>75193</v>
      </c>
      <c r="I76" t="n">
        <v>150400</v>
      </c>
      <c r="J76" t="n">
        <v>1750</v>
      </c>
      <c r="K76" t="n">
        <v>4408</v>
      </c>
      <c r="L76" t="n">
        <v>1750</v>
      </c>
      <c r="M76" t="n">
        <v>1000</v>
      </c>
      <c r="N76" t="n">
        <v>1375</v>
      </c>
      <c r="O76" t="n">
        <v>1750</v>
      </c>
      <c r="P76" t="n">
        <v>2125</v>
      </c>
      <c r="Q76" t="n">
        <v>2500</v>
      </c>
      <c r="R76" t="n">
        <v>2875</v>
      </c>
      <c r="S76" t="n">
        <v>3250</v>
      </c>
      <c r="T76" t="n">
        <v>3625</v>
      </c>
      <c r="U76" t="n">
        <v>4000</v>
      </c>
      <c r="V76" t="n">
        <v>1853</v>
      </c>
      <c r="W76" t="n">
        <v>1300</v>
      </c>
      <c r="X76" t="n">
        <v>1225</v>
      </c>
      <c r="Y76" t="n">
        <v>4750</v>
      </c>
    </row>
    <row r="77">
      <c r="A77" t="n">
        <v>76</v>
      </c>
      <c r="B77" t="n">
        <v>0</v>
      </c>
      <c r="C77" t="n">
        <v>3122</v>
      </c>
      <c r="D77" t="n">
        <v>4497</v>
      </c>
      <c r="E77" t="n">
        <v>9296</v>
      </c>
      <c r="F77" t="n">
        <v>19161</v>
      </c>
      <c r="G77" t="n">
        <v>39171</v>
      </c>
      <c r="H77" t="n">
        <v>79705</v>
      </c>
      <c r="I77" t="n">
        <v>160928</v>
      </c>
      <c r="J77" t="n">
        <v>1760</v>
      </c>
      <c r="K77" t="n">
        <v>4497</v>
      </c>
      <c r="L77" t="n">
        <v>1760</v>
      </c>
      <c r="M77" t="n">
        <v>1000</v>
      </c>
      <c r="N77" t="n">
        <v>1380</v>
      </c>
      <c r="O77" t="n">
        <v>1760</v>
      </c>
      <c r="P77" t="n">
        <v>2140</v>
      </c>
      <c r="Q77" t="n">
        <v>2520</v>
      </c>
      <c r="R77" t="n">
        <v>2900</v>
      </c>
      <c r="S77" t="n">
        <v>3280</v>
      </c>
      <c r="T77" t="n">
        <v>3660</v>
      </c>
      <c r="U77" t="n">
        <v>4040</v>
      </c>
      <c r="V77" t="n">
        <v>1867</v>
      </c>
      <c r="W77" t="n">
        <v>1304</v>
      </c>
      <c r="X77" t="n">
        <v>1228</v>
      </c>
      <c r="Y77" t="n">
        <v>4800</v>
      </c>
    </row>
    <row r="78">
      <c r="A78" t="n">
        <v>77</v>
      </c>
      <c r="B78" t="n">
        <v>0</v>
      </c>
      <c r="C78" t="n">
        <v>3169</v>
      </c>
      <c r="D78" t="n">
        <v>4587</v>
      </c>
      <c r="E78" t="n">
        <v>9575</v>
      </c>
      <c r="F78" t="n">
        <v>19928</v>
      </c>
      <c r="G78" t="n">
        <v>41130</v>
      </c>
      <c r="H78" t="n">
        <v>84488</v>
      </c>
      <c r="I78" t="n">
        <v>172193</v>
      </c>
      <c r="J78" t="n">
        <v>1770</v>
      </c>
      <c r="K78" t="n">
        <v>4587</v>
      </c>
      <c r="L78" t="n">
        <v>1770</v>
      </c>
      <c r="M78" t="n">
        <v>1000</v>
      </c>
      <c r="N78" t="n">
        <v>1385</v>
      </c>
      <c r="O78" t="n">
        <v>1770</v>
      </c>
      <c r="P78" t="n">
        <v>2155</v>
      </c>
      <c r="Q78" t="n">
        <v>2540</v>
      </c>
      <c r="R78" t="n">
        <v>2925</v>
      </c>
      <c r="S78" t="n">
        <v>3310</v>
      </c>
      <c r="T78" t="n">
        <v>3695</v>
      </c>
      <c r="U78" t="n">
        <v>4080</v>
      </c>
      <c r="V78" t="n">
        <v>1881</v>
      </c>
      <c r="W78" t="n">
        <v>1308</v>
      </c>
      <c r="X78" t="n">
        <v>1231</v>
      </c>
      <c r="Y78" t="n">
        <v>4850</v>
      </c>
    </row>
    <row r="79">
      <c r="A79" t="n">
        <v>78</v>
      </c>
      <c r="B79" t="n">
        <v>0</v>
      </c>
      <c r="C79" t="n">
        <v>3217</v>
      </c>
      <c r="D79" t="n">
        <v>4679</v>
      </c>
      <c r="E79" t="n">
        <v>9863</v>
      </c>
      <c r="F79" t="n">
        <v>20726</v>
      </c>
      <c r="G79" t="n">
        <v>43187</v>
      </c>
      <c r="H79" t="n">
        <v>89558</v>
      </c>
      <c r="I79" t="n">
        <v>184247</v>
      </c>
      <c r="J79" t="n">
        <v>1780</v>
      </c>
      <c r="K79" t="n">
        <v>4679</v>
      </c>
      <c r="L79" t="n">
        <v>1780</v>
      </c>
      <c r="M79" t="n">
        <v>1000</v>
      </c>
      <c r="N79" t="n">
        <v>1390</v>
      </c>
      <c r="O79" t="n">
        <v>1780</v>
      </c>
      <c r="P79" t="n">
        <v>2170</v>
      </c>
      <c r="Q79" t="n">
        <v>2560</v>
      </c>
      <c r="R79" t="n">
        <v>2950</v>
      </c>
      <c r="S79" t="n">
        <v>3340</v>
      </c>
      <c r="T79" t="n">
        <v>3730</v>
      </c>
      <c r="U79" t="n">
        <v>4120</v>
      </c>
      <c r="V79" t="n">
        <v>1895</v>
      </c>
      <c r="W79" t="n">
        <v>1312</v>
      </c>
      <c r="X79" t="n">
        <v>1234</v>
      </c>
      <c r="Y79" t="n">
        <v>4900</v>
      </c>
    </row>
    <row r="80">
      <c r="A80" t="n">
        <v>79</v>
      </c>
      <c r="B80" t="n">
        <v>0</v>
      </c>
      <c r="C80" t="n">
        <v>3266</v>
      </c>
      <c r="D80" t="n">
        <v>4773</v>
      </c>
      <c r="E80" t="n">
        <v>10159</v>
      </c>
      <c r="F80" t="n">
        <v>21556</v>
      </c>
      <c r="G80" t="n">
        <v>45347</v>
      </c>
      <c r="H80" t="n">
        <v>94932</v>
      </c>
      <c r="I80" t="n">
        <v>197145</v>
      </c>
      <c r="J80" t="n">
        <v>1790</v>
      </c>
      <c r="K80" t="n">
        <v>4773</v>
      </c>
      <c r="L80" t="n">
        <v>1790</v>
      </c>
      <c r="M80" t="n">
        <v>1000</v>
      </c>
      <c r="N80" t="n">
        <v>1395</v>
      </c>
      <c r="O80" t="n">
        <v>1790</v>
      </c>
      <c r="P80" t="n">
        <v>2185</v>
      </c>
      <c r="Q80" t="n">
        <v>2580</v>
      </c>
      <c r="R80" t="n">
        <v>2975</v>
      </c>
      <c r="S80" t="n">
        <v>3370</v>
      </c>
      <c r="T80" t="n">
        <v>3765</v>
      </c>
      <c r="U80" t="n">
        <v>4160</v>
      </c>
      <c r="V80" t="n">
        <v>1909</v>
      </c>
      <c r="W80" t="n">
        <v>1316</v>
      </c>
      <c r="X80" t="n">
        <v>1237</v>
      </c>
      <c r="Y80" t="n">
        <v>4950</v>
      </c>
    </row>
    <row r="81">
      <c r="A81" t="n">
        <v>80</v>
      </c>
      <c r="B81" t="n">
        <v>0</v>
      </c>
      <c r="C81" t="n">
        <v>3315</v>
      </c>
      <c r="D81" t="n">
        <v>4869</v>
      </c>
      <c r="E81" t="n">
        <v>10464</v>
      </c>
      <c r="F81" t="n">
        <v>22419</v>
      </c>
      <c r="G81" t="n">
        <v>47615</v>
      </c>
      <c r="H81" t="n">
        <v>100628</v>
      </c>
      <c r="I81" t="n">
        <v>210946</v>
      </c>
      <c r="J81" t="n">
        <v>1800</v>
      </c>
      <c r="K81" t="n">
        <v>4869</v>
      </c>
      <c r="L81" t="n">
        <v>1800</v>
      </c>
      <c r="M81" t="n">
        <v>1000</v>
      </c>
      <c r="N81" t="n">
        <v>1400</v>
      </c>
      <c r="O81" t="n">
        <v>1800</v>
      </c>
      <c r="P81" t="n">
        <v>2200</v>
      </c>
      <c r="Q81" t="n">
        <v>2600</v>
      </c>
      <c r="R81" t="n">
        <v>3000</v>
      </c>
      <c r="S81" t="n">
        <v>3400</v>
      </c>
      <c r="T81" t="n">
        <v>3800</v>
      </c>
      <c r="U81" t="n">
        <v>4200</v>
      </c>
      <c r="V81" t="n">
        <v>1923</v>
      </c>
      <c r="W81" t="n">
        <v>1320</v>
      </c>
      <c r="X81" t="n">
        <v>1240</v>
      </c>
      <c r="Y81" t="n">
        <v>5000</v>
      </c>
    </row>
    <row r="82">
      <c r="A82" t="n">
        <v>81</v>
      </c>
      <c r="B82" t="n">
        <v>0</v>
      </c>
      <c r="C82" t="n">
        <v>3365</v>
      </c>
      <c r="D82" t="n">
        <v>4967</v>
      </c>
      <c r="E82" t="n">
        <v>10778</v>
      </c>
      <c r="F82" t="n">
        <v>23316</v>
      </c>
      <c r="G82" t="n">
        <v>49996</v>
      </c>
      <c r="H82" t="n">
        <v>106666</v>
      </c>
      <c r="I82" t="n">
        <v>225713</v>
      </c>
      <c r="J82" t="n">
        <v>1810</v>
      </c>
      <c r="K82" t="n">
        <v>4967</v>
      </c>
      <c r="L82" t="n">
        <v>1810</v>
      </c>
      <c r="M82" t="n">
        <v>1000</v>
      </c>
      <c r="N82" t="n">
        <v>1405</v>
      </c>
      <c r="O82" t="n">
        <v>1810</v>
      </c>
      <c r="P82" t="n">
        <v>2215</v>
      </c>
      <c r="Q82" t="n">
        <v>2620</v>
      </c>
      <c r="R82" t="n">
        <v>3025</v>
      </c>
      <c r="S82" t="n">
        <v>3430</v>
      </c>
      <c r="T82" t="n">
        <v>3835</v>
      </c>
      <c r="U82" t="n">
        <v>4240</v>
      </c>
      <c r="V82" t="n">
        <v>1937</v>
      </c>
      <c r="W82" t="n">
        <v>1324</v>
      </c>
      <c r="X82" t="n">
        <v>1243</v>
      </c>
      <c r="Y82" t="n">
        <v>5050</v>
      </c>
    </row>
    <row r="83">
      <c r="A83" t="n">
        <v>82</v>
      </c>
      <c r="B83" t="n">
        <v>0</v>
      </c>
      <c r="C83" t="n">
        <v>3416</v>
      </c>
      <c r="D83" t="n">
        <v>5067</v>
      </c>
      <c r="E83" t="n">
        <v>11102</v>
      </c>
      <c r="F83" t="n">
        <v>24249</v>
      </c>
      <c r="G83" t="n">
        <v>52496</v>
      </c>
      <c r="H83" t="n">
        <v>113066</v>
      </c>
      <c r="I83" t="n">
        <v>241513</v>
      </c>
      <c r="J83" t="n">
        <v>1820</v>
      </c>
      <c r="K83" t="n">
        <v>5067</v>
      </c>
      <c r="L83" t="n">
        <v>1820</v>
      </c>
      <c r="M83" t="n">
        <v>1000</v>
      </c>
      <c r="N83" t="n">
        <v>1410</v>
      </c>
      <c r="O83" t="n">
        <v>1820</v>
      </c>
      <c r="P83" t="n">
        <v>2230</v>
      </c>
      <c r="Q83" t="n">
        <v>2640</v>
      </c>
      <c r="R83" t="n">
        <v>3050</v>
      </c>
      <c r="S83" t="n">
        <v>3460</v>
      </c>
      <c r="T83" t="n">
        <v>3870</v>
      </c>
      <c r="U83" t="n">
        <v>4280</v>
      </c>
      <c r="V83" t="n">
        <v>1951</v>
      </c>
      <c r="W83" t="n">
        <v>1328</v>
      </c>
      <c r="X83" t="n">
        <v>1246</v>
      </c>
      <c r="Y83" t="n">
        <v>5100</v>
      </c>
    </row>
    <row r="84">
      <c r="A84" t="n">
        <v>83</v>
      </c>
      <c r="B84" t="n">
        <v>0</v>
      </c>
      <c r="C84" t="n">
        <v>3468</v>
      </c>
      <c r="D84" t="n">
        <v>5169</v>
      </c>
      <c r="E84" t="n">
        <v>11436</v>
      </c>
      <c r="F84" t="n">
        <v>25219</v>
      </c>
      <c r="G84" t="n">
        <v>55121</v>
      </c>
      <c r="H84" t="n">
        <v>119850</v>
      </c>
      <c r="I84" t="n">
        <v>258419</v>
      </c>
      <c r="J84" t="n">
        <v>1830</v>
      </c>
      <c r="K84" t="n">
        <v>5169</v>
      </c>
      <c r="L84" t="n">
        <v>1830</v>
      </c>
      <c r="M84" t="n">
        <v>1000</v>
      </c>
      <c r="N84" t="n">
        <v>1415</v>
      </c>
      <c r="O84" t="n">
        <v>1830</v>
      </c>
      <c r="P84" t="n">
        <v>2245</v>
      </c>
      <c r="Q84" t="n">
        <v>2660</v>
      </c>
      <c r="R84" t="n">
        <v>3075</v>
      </c>
      <c r="S84" t="n">
        <v>3490</v>
      </c>
      <c r="T84" t="n">
        <v>3905</v>
      </c>
      <c r="U84" t="n">
        <v>4320</v>
      </c>
      <c r="V84" t="n">
        <v>1965</v>
      </c>
      <c r="W84" t="n">
        <v>1332</v>
      </c>
      <c r="X84" t="n">
        <v>1249</v>
      </c>
      <c r="Y84" t="n">
        <v>5150</v>
      </c>
    </row>
    <row r="85">
      <c r="A85" t="n">
        <v>84</v>
      </c>
      <c r="B85" t="n">
        <v>0</v>
      </c>
      <c r="C85" t="n">
        <v>3521</v>
      </c>
      <c r="D85" t="n">
        <v>5273</v>
      </c>
      <c r="E85" t="n">
        <v>11780</v>
      </c>
      <c r="F85" t="n">
        <v>26228</v>
      </c>
      <c r="G85" t="n">
        <v>57878</v>
      </c>
      <c r="H85" t="n">
        <v>127041</v>
      </c>
      <c r="I85" t="n">
        <v>276509</v>
      </c>
      <c r="J85" t="n">
        <v>1840</v>
      </c>
      <c r="K85" t="n">
        <v>5273</v>
      </c>
      <c r="L85" t="n">
        <v>1840</v>
      </c>
      <c r="M85" t="n">
        <v>1000</v>
      </c>
      <c r="N85" t="n">
        <v>1420</v>
      </c>
      <c r="O85" t="n">
        <v>1840</v>
      </c>
      <c r="P85" t="n">
        <v>2260</v>
      </c>
      <c r="Q85" t="n">
        <v>2680</v>
      </c>
      <c r="R85" t="n">
        <v>3100</v>
      </c>
      <c r="S85" t="n">
        <v>3520</v>
      </c>
      <c r="T85" t="n">
        <v>3940</v>
      </c>
      <c r="U85" t="n">
        <v>4360</v>
      </c>
      <c r="V85" t="n">
        <v>1979</v>
      </c>
      <c r="W85" t="n">
        <v>1336</v>
      </c>
      <c r="X85" t="n">
        <v>1252</v>
      </c>
      <c r="Y85" t="n">
        <v>5200</v>
      </c>
    </row>
    <row r="86">
      <c r="A86" t="n">
        <v>85</v>
      </c>
      <c r="B86" t="n">
        <v>0</v>
      </c>
      <c r="C86" t="n">
        <v>3574</v>
      </c>
      <c r="D86" t="n">
        <v>5379</v>
      </c>
      <c r="E86" t="n">
        <v>12134</v>
      </c>
      <c r="F86" t="n">
        <v>27278</v>
      </c>
      <c r="G86" t="n">
        <v>60772</v>
      </c>
      <c r="H86" t="n">
        <v>134664</v>
      </c>
      <c r="I86" t="n">
        <v>295865</v>
      </c>
      <c r="J86" t="n">
        <v>1850</v>
      </c>
      <c r="K86" t="n">
        <v>5379</v>
      </c>
      <c r="L86" t="n">
        <v>1850</v>
      </c>
      <c r="M86" t="n">
        <v>1000</v>
      </c>
      <c r="N86" t="n">
        <v>1425</v>
      </c>
      <c r="O86" t="n">
        <v>1850</v>
      </c>
      <c r="P86" t="n">
        <v>2275</v>
      </c>
      <c r="Q86" t="n">
        <v>2700</v>
      </c>
      <c r="R86" t="n">
        <v>3125</v>
      </c>
      <c r="S86" t="n">
        <v>3550</v>
      </c>
      <c r="T86" t="n">
        <v>3975</v>
      </c>
      <c r="U86" t="n">
        <v>4400</v>
      </c>
      <c r="V86" t="n">
        <v>1993</v>
      </c>
      <c r="W86" t="n">
        <v>1340</v>
      </c>
      <c r="X86" t="n">
        <v>1255</v>
      </c>
      <c r="Y86" t="n">
        <v>5250</v>
      </c>
    </row>
    <row r="87">
      <c r="A87" t="n">
        <v>86</v>
      </c>
      <c r="B87" t="n">
        <v>0</v>
      </c>
      <c r="C87" t="n">
        <v>3628</v>
      </c>
      <c r="D87" t="n">
        <v>5487</v>
      </c>
      <c r="E87" t="n">
        <v>12499</v>
      </c>
      <c r="F87" t="n">
        <v>28370</v>
      </c>
      <c r="G87" t="n">
        <v>63811</v>
      </c>
      <c r="H87" t="n">
        <v>142744</v>
      </c>
      <c r="I87" t="n">
        <v>316576</v>
      </c>
      <c r="J87" t="n">
        <v>1860</v>
      </c>
      <c r="K87" t="n">
        <v>5487</v>
      </c>
      <c r="L87" t="n">
        <v>1860</v>
      </c>
      <c r="M87" t="n">
        <v>1000</v>
      </c>
      <c r="N87" t="n">
        <v>1430</v>
      </c>
      <c r="O87" t="n">
        <v>1860</v>
      </c>
      <c r="P87" t="n">
        <v>2290</v>
      </c>
      <c r="Q87" t="n">
        <v>2720</v>
      </c>
      <c r="R87" t="n">
        <v>3150</v>
      </c>
      <c r="S87" t="n">
        <v>3580</v>
      </c>
      <c r="T87" t="n">
        <v>4010</v>
      </c>
      <c r="U87" t="n">
        <v>4440</v>
      </c>
      <c r="V87" t="n">
        <v>2007</v>
      </c>
      <c r="W87" t="n">
        <v>1344</v>
      </c>
      <c r="X87" t="n">
        <v>1258</v>
      </c>
      <c r="Y87" t="n">
        <v>5300</v>
      </c>
    </row>
    <row r="88">
      <c r="A88" t="n">
        <v>87</v>
      </c>
      <c r="B88" t="n">
        <v>0</v>
      </c>
      <c r="C88" t="n">
        <v>3683</v>
      </c>
      <c r="D88" t="n">
        <v>5597</v>
      </c>
      <c r="E88" t="n">
        <v>12874</v>
      </c>
      <c r="F88" t="n">
        <v>29505</v>
      </c>
      <c r="G88" t="n">
        <v>67002</v>
      </c>
      <c r="H88" t="n">
        <v>151309</v>
      </c>
      <c r="I88" t="n">
        <v>338737</v>
      </c>
      <c r="J88" t="n">
        <v>1870</v>
      </c>
      <c r="K88" t="n">
        <v>5597</v>
      </c>
      <c r="L88" t="n">
        <v>1870</v>
      </c>
      <c r="M88" t="n">
        <v>1000</v>
      </c>
      <c r="N88" t="n">
        <v>1435</v>
      </c>
      <c r="O88" t="n">
        <v>1870</v>
      </c>
      <c r="P88" t="n">
        <v>2305</v>
      </c>
      <c r="Q88" t="n">
        <v>2740</v>
      </c>
      <c r="R88" t="n">
        <v>3175</v>
      </c>
      <c r="S88" t="n">
        <v>3610</v>
      </c>
      <c r="T88" t="n">
        <v>4045</v>
      </c>
      <c r="U88" t="n">
        <v>4480</v>
      </c>
      <c r="V88" t="n">
        <v>2022</v>
      </c>
      <c r="W88" t="n">
        <v>1348</v>
      </c>
      <c r="X88" t="n">
        <v>1261</v>
      </c>
      <c r="Y88" t="n">
        <v>5350</v>
      </c>
    </row>
    <row r="89">
      <c r="A89" t="n">
        <v>88</v>
      </c>
      <c r="B89" t="n">
        <v>0</v>
      </c>
      <c r="C89" t="n">
        <v>3739</v>
      </c>
      <c r="D89" t="n">
        <v>5709</v>
      </c>
      <c r="E89" t="n">
        <v>13261</v>
      </c>
      <c r="F89" t="n">
        <v>30686</v>
      </c>
      <c r="G89" t="n">
        <v>70353</v>
      </c>
      <c r="H89" t="n">
        <v>160388</v>
      </c>
      <c r="I89" t="n">
        <v>362449</v>
      </c>
      <c r="J89" t="n">
        <v>1880</v>
      </c>
      <c r="K89" t="n">
        <v>5709</v>
      </c>
      <c r="L89" t="n">
        <v>1880</v>
      </c>
      <c r="M89" t="n">
        <v>1000</v>
      </c>
      <c r="N89" t="n">
        <v>1440</v>
      </c>
      <c r="O89" t="n">
        <v>1880</v>
      </c>
      <c r="P89" t="n">
        <v>2320</v>
      </c>
      <c r="Q89" t="n">
        <v>2760</v>
      </c>
      <c r="R89" t="n">
        <v>3200</v>
      </c>
      <c r="S89" t="n">
        <v>3640</v>
      </c>
      <c r="T89" t="n">
        <v>4080</v>
      </c>
      <c r="U89" t="n">
        <v>4520</v>
      </c>
      <c r="V89" t="n">
        <v>2037</v>
      </c>
      <c r="W89" t="n">
        <v>1352</v>
      </c>
      <c r="X89" t="n">
        <v>1264</v>
      </c>
      <c r="Y89" t="n">
        <v>5400</v>
      </c>
    </row>
    <row r="90">
      <c r="A90" t="n">
        <v>89</v>
      </c>
      <c r="B90" t="n">
        <v>0</v>
      </c>
      <c r="C90" t="n">
        <v>3796</v>
      </c>
      <c r="D90" t="n">
        <v>5824</v>
      </c>
      <c r="E90" t="n">
        <v>13659</v>
      </c>
      <c r="F90" t="n">
        <v>31914</v>
      </c>
      <c r="G90" t="n">
        <v>73871</v>
      </c>
      <c r="H90" t="n">
        <v>170012</v>
      </c>
      <c r="I90" t="n">
        <v>387821</v>
      </c>
      <c r="J90" t="n">
        <v>1890</v>
      </c>
      <c r="K90" t="n">
        <v>5824</v>
      </c>
      <c r="L90" t="n">
        <v>1890</v>
      </c>
      <c r="M90" t="n">
        <v>1000</v>
      </c>
      <c r="N90" t="n">
        <v>1445</v>
      </c>
      <c r="O90" t="n">
        <v>1890</v>
      </c>
      <c r="P90" t="n">
        <v>2335</v>
      </c>
      <c r="Q90" t="n">
        <v>2780</v>
      </c>
      <c r="R90" t="n">
        <v>3225</v>
      </c>
      <c r="S90" t="n">
        <v>3670</v>
      </c>
      <c r="T90" t="n">
        <v>4115</v>
      </c>
      <c r="U90" t="n">
        <v>4560</v>
      </c>
      <c r="V90" t="n">
        <v>2052</v>
      </c>
      <c r="W90" t="n">
        <v>1356</v>
      </c>
      <c r="X90" t="n">
        <v>1267</v>
      </c>
      <c r="Y90" t="n">
        <v>5450</v>
      </c>
    </row>
    <row r="91">
      <c r="A91" t="n">
        <v>90</v>
      </c>
      <c r="B91" t="n">
        <v>0</v>
      </c>
      <c r="C91" t="n">
        <v>3853</v>
      </c>
      <c r="D91" t="n">
        <v>5941</v>
      </c>
      <c r="E91" t="n">
        <v>14069</v>
      </c>
      <c r="F91" t="n">
        <v>33191</v>
      </c>
      <c r="G91" t="n">
        <v>77565</v>
      </c>
      <c r="H91" t="n">
        <v>180213</v>
      </c>
      <c r="I91" t="n">
        <v>414969</v>
      </c>
      <c r="J91" t="n">
        <v>1900</v>
      </c>
      <c r="K91" t="n">
        <v>5941</v>
      </c>
      <c r="L91" t="n">
        <v>1900</v>
      </c>
      <c r="M91" t="n">
        <v>1000</v>
      </c>
      <c r="N91" t="n">
        <v>1450</v>
      </c>
      <c r="O91" t="n">
        <v>1900</v>
      </c>
      <c r="P91" t="n">
        <v>2350</v>
      </c>
      <c r="Q91" t="n">
        <v>2800</v>
      </c>
      <c r="R91" t="n">
        <v>3250</v>
      </c>
      <c r="S91" t="n">
        <v>3700</v>
      </c>
      <c r="T91" t="n">
        <v>4150</v>
      </c>
      <c r="U91" t="n">
        <v>4600</v>
      </c>
      <c r="V91" t="n">
        <v>2067</v>
      </c>
      <c r="W91" t="n">
        <v>1360</v>
      </c>
      <c r="X91" t="n">
        <v>1270</v>
      </c>
      <c r="Y91" t="n">
        <v>5500</v>
      </c>
    </row>
    <row r="92">
      <c r="A92" t="n">
        <v>91</v>
      </c>
      <c r="B92" t="n">
        <v>0</v>
      </c>
      <c r="C92" t="n">
        <v>3911</v>
      </c>
      <c r="D92" t="n">
        <v>6060</v>
      </c>
      <c r="E92" t="n">
        <v>14492</v>
      </c>
      <c r="F92" t="n">
        <v>34519</v>
      </c>
      <c r="G92" t="n">
        <v>81444</v>
      </c>
      <c r="H92" t="n">
        <v>191026</v>
      </c>
      <c r="I92" t="n">
        <v>444017</v>
      </c>
      <c r="J92" t="n">
        <v>1910</v>
      </c>
      <c r="K92" t="n">
        <v>6060</v>
      </c>
      <c r="L92" t="n">
        <v>1910</v>
      </c>
      <c r="M92" t="n">
        <v>1000</v>
      </c>
      <c r="N92" t="n">
        <v>1455</v>
      </c>
      <c r="O92" t="n">
        <v>1910</v>
      </c>
      <c r="P92" t="n">
        <v>2365</v>
      </c>
      <c r="Q92" t="n">
        <v>2820</v>
      </c>
      <c r="R92" t="n">
        <v>3275</v>
      </c>
      <c r="S92" t="n">
        <v>3730</v>
      </c>
      <c r="T92" t="n">
        <v>4185</v>
      </c>
      <c r="U92" t="n">
        <v>4640</v>
      </c>
      <c r="V92" t="n">
        <v>2082</v>
      </c>
      <c r="W92" t="n">
        <v>1364</v>
      </c>
      <c r="X92" t="n">
        <v>1273</v>
      </c>
      <c r="Y92" t="n">
        <v>5550</v>
      </c>
    </row>
    <row r="93">
      <c r="A93" t="n">
        <v>92</v>
      </c>
      <c r="B93" t="n">
        <v>0</v>
      </c>
      <c r="C93" t="n">
        <v>3970</v>
      </c>
      <c r="D93" t="n">
        <v>6182</v>
      </c>
      <c r="E93" t="n">
        <v>14927</v>
      </c>
      <c r="F93" t="n">
        <v>35900</v>
      </c>
      <c r="G93" t="n">
        <v>85517</v>
      </c>
      <c r="H93" t="n">
        <v>202488</v>
      </c>
      <c r="I93" t="n">
        <v>475099</v>
      </c>
      <c r="J93" t="n">
        <v>1920</v>
      </c>
      <c r="K93" t="n">
        <v>6182</v>
      </c>
      <c r="L93" t="n">
        <v>1920</v>
      </c>
      <c r="M93" t="n">
        <v>1000</v>
      </c>
      <c r="N93" t="n">
        <v>1460</v>
      </c>
      <c r="O93" t="n">
        <v>1920</v>
      </c>
      <c r="P93" t="n">
        <v>2380</v>
      </c>
      <c r="Q93" t="n">
        <v>2840</v>
      </c>
      <c r="R93" t="n">
        <v>3300</v>
      </c>
      <c r="S93" t="n">
        <v>3760</v>
      </c>
      <c r="T93" t="n">
        <v>4220</v>
      </c>
      <c r="U93" t="n">
        <v>4680</v>
      </c>
      <c r="V93" t="n">
        <v>2097</v>
      </c>
      <c r="W93" t="n">
        <v>1368</v>
      </c>
      <c r="X93" t="n">
        <v>1276</v>
      </c>
      <c r="Y93" t="n">
        <v>5600</v>
      </c>
    </row>
    <row r="94">
      <c r="A94" t="n">
        <v>93</v>
      </c>
      <c r="B94" t="n">
        <v>0</v>
      </c>
      <c r="C94" t="n">
        <v>4030</v>
      </c>
      <c r="D94" t="n">
        <v>6306</v>
      </c>
      <c r="E94" t="n">
        <v>15375</v>
      </c>
      <c r="F94" t="n">
        <v>37336</v>
      </c>
      <c r="G94" t="n">
        <v>89793</v>
      </c>
      <c r="H94" t="n">
        <v>214638</v>
      </c>
      <c r="I94" t="n">
        <v>508356</v>
      </c>
      <c r="J94" t="n">
        <v>1930</v>
      </c>
      <c r="K94" t="n">
        <v>6306</v>
      </c>
      <c r="L94" t="n">
        <v>1930</v>
      </c>
      <c r="M94" t="n">
        <v>1000</v>
      </c>
      <c r="N94" t="n">
        <v>1465</v>
      </c>
      <c r="O94" t="n">
        <v>1930</v>
      </c>
      <c r="P94" t="n">
        <v>2395</v>
      </c>
      <c r="Q94" t="n">
        <v>2860</v>
      </c>
      <c r="R94" t="n">
        <v>3325</v>
      </c>
      <c r="S94" t="n">
        <v>3790</v>
      </c>
      <c r="T94" t="n">
        <v>4255</v>
      </c>
      <c r="U94" t="n">
        <v>4720</v>
      </c>
      <c r="V94" t="n">
        <v>2112</v>
      </c>
      <c r="W94" t="n">
        <v>1372</v>
      </c>
      <c r="X94" t="n">
        <v>1279</v>
      </c>
      <c r="Y94" t="n">
        <v>5650</v>
      </c>
    </row>
    <row r="95">
      <c r="A95" t="n">
        <v>94</v>
      </c>
      <c r="B95" t="n">
        <v>0</v>
      </c>
      <c r="C95" t="n">
        <v>4091</v>
      </c>
      <c r="D95" t="n">
        <v>6433</v>
      </c>
      <c r="E95" t="n">
        <v>15837</v>
      </c>
      <c r="F95" t="n">
        <v>38830</v>
      </c>
      <c r="G95" t="n">
        <v>94283</v>
      </c>
      <c r="H95" t="n">
        <v>227517</v>
      </c>
      <c r="I95" t="n">
        <v>543941</v>
      </c>
      <c r="J95" t="n">
        <v>1940</v>
      </c>
      <c r="K95" t="n">
        <v>6433</v>
      </c>
      <c r="L95" t="n">
        <v>1940</v>
      </c>
      <c r="M95" t="n">
        <v>1000</v>
      </c>
      <c r="N95" t="n">
        <v>1470</v>
      </c>
      <c r="O95" t="n">
        <v>1940</v>
      </c>
      <c r="P95" t="n">
        <v>2410</v>
      </c>
      <c r="Q95" t="n">
        <v>2880</v>
      </c>
      <c r="R95" t="n">
        <v>3350</v>
      </c>
      <c r="S95" t="n">
        <v>3820</v>
      </c>
      <c r="T95" t="n">
        <v>4290</v>
      </c>
      <c r="U95" t="n">
        <v>4760</v>
      </c>
      <c r="V95" t="n">
        <v>2127</v>
      </c>
      <c r="W95" t="n">
        <v>1376</v>
      </c>
      <c r="X95" t="n">
        <v>1282</v>
      </c>
      <c r="Y95" t="n">
        <v>5700</v>
      </c>
    </row>
    <row r="96">
      <c r="A96" t="n">
        <v>95</v>
      </c>
      <c r="B96" t="n">
        <v>0</v>
      </c>
      <c r="C96" t="n">
        <v>4153</v>
      </c>
      <c r="D96" t="n">
        <v>6562</v>
      </c>
      <c r="E96" t="n">
        <v>16313</v>
      </c>
      <c r="F96" t="n">
        <v>40384</v>
      </c>
      <c r="G96" t="n">
        <v>98998</v>
      </c>
      <c r="H96" t="n">
        <v>241169</v>
      </c>
      <c r="I96" t="n">
        <v>582017</v>
      </c>
      <c r="J96" t="n">
        <v>1950</v>
      </c>
      <c r="K96" t="n">
        <v>6562</v>
      </c>
      <c r="L96" t="n">
        <v>1950</v>
      </c>
      <c r="M96" t="n">
        <v>1000</v>
      </c>
      <c r="N96" t="n">
        <v>1475</v>
      </c>
      <c r="O96" t="n">
        <v>1950</v>
      </c>
      <c r="P96" t="n">
        <v>2425</v>
      </c>
      <c r="Q96" t="n">
        <v>2900</v>
      </c>
      <c r="R96" t="n">
        <v>3375</v>
      </c>
      <c r="S96" t="n">
        <v>3850</v>
      </c>
      <c r="T96" t="n">
        <v>4325</v>
      </c>
      <c r="U96" t="n">
        <v>4800</v>
      </c>
      <c r="V96" t="n">
        <v>2142</v>
      </c>
      <c r="W96" t="n">
        <v>1380</v>
      </c>
      <c r="X96" t="n">
        <v>1285</v>
      </c>
      <c r="Y96" t="n">
        <v>5750</v>
      </c>
    </row>
    <row r="97">
      <c r="A97" t="n">
        <v>96</v>
      </c>
      <c r="B97" t="n">
        <v>0</v>
      </c>
      <c r="C97" t="n">
        <v>4216</v>
      </c>
      <c r="D97" t="n">
        <v>6694</v>
      </c>
      <c r="E97" t="n">
        <v>16803</v>
      </c>
      <c r="F97" t="n">
        <v>42000</v>
      </c>
      <c r="G97" t="n">
        <v>103948</v>
      </c>
      <c r="H97" t="n">
        <v>255640</v>
      </c>
      <c r="I97" t="n">
        <v>622759</v>
      </c>
      <c r="J97" t="n">
        <v>1960</v>
      </c>
      <c r="K97" t="n">
        <v>6694</v>
      </c>
      <c r="L97" t="n">
        <v>1960</v>
      </c>
      <c r="M97" t="n">
        <v>1000</v>
      </c>
      <c r="N97" t="n">
        <v>1480</v>
      </c>
      <c r="O97" t="n">
        <v>1960</v>
      </c>
      <c r="P97" t="n">
        <v>2440</v>
      </c>
      <c r="Q97" t="n">
        <v>2920</v>
      </c>
      <c r="R97" t="n">
        <v>3400</v>
      </c>
      <c r="S97" t="n">
        <v>3880</v>
      </c>
      <c r="T97" t="n">
        <v>4360</v>
      </c>
      <c r="U97" t="n">
        <v>4840</v>
      </c>
      <c r="V97" t="n">
        <v>2157</v>
      </c>
      <c r="W97" t="n">
        <v>1384</v>
      </c>
      <c r="X97" t="n">
        <v>1288</v>
      </c>
      <c r="Y97" t="n">
        <v>5800</v>
      </c>
    </row>
    <row r="98">
      <c r="A98" t="n">
        <v>97</v>
      </c>
      <c r="B98" t="n">
        <v>0</v>
      </c>
      <c r="C98" t="n">
        <v>4280</v>
      </c>
      <c r="D98" t="n">
        <v>6828</v>
      </c>
      <c r="E98" t="n">
        <v>17308</v>
      </c>
      <c r="F98" t="n">
        <v>43680</v>
      </c>
      <c r="G98" t="n">
        <v>109146</v>
      </c>
      <c r="H98" t="n">
        <v>270979</v>
      </c>
      <c r="I98" t="n">
        <v>666353</v>
      </c>
      <c r="J98" t="n">
        <v>1970</v>
      </c>
      <c r="K98" t="n">
        <v>6828</v>
      </c>
      <c r="L98" t="n">
        <v>1970</v>
      </c>
      <c r="M98" t="n">
        <v>1000</v>
      </c>
      <c r="N98" t="n">
        <v>1485</v>
      </c>
      <c r="O98" t="n">
        <v>1970</v>
      </c>
      <c r="P98" t="n">
        <v>2455</v>
      </c>
      <c r="Q98" t="n">
        <v>2940</v>
      </c>
      <c r="R98" t="n">
        <v>3425</v>
      </c>
      <c r="S98" t="n">
        <v>3910</v>
      </c>
      <c r="T98" t="n">
        <v>4395</v>
      </c>
      <c r="U98" t="n">
        <v>4880</v>
      </c>
      <c r="V98" t="n">
        <v>2172</v>
      </c>
      <c r="W98" t="n">
        <v>1388</v>
      </c>
      <c r="X98" t="n">
        <v>1291</v>
      </c>
      <c r="Y98" t="n">
        <v>5850</v>
      </c>
    </row>
    <row r="99">
      <c r="A99" t="n">
        <v>98</v>
      </c>
      <c r="B99" t="n">
        <v>0</v>
      </c>
      <c r="C99" t="n">
        <v>4345</v>
      </c>
      <c r="D99" t="n">
        <v>6965</v>
      </c>
      <c r="E99" t="n">
        <v>17828</v>
      </c>
      <c r="F99" t="n">
        <v>45428</v>
      </c>
      <c r="G99" t="n">
        <v>114604</v>
      </c>
      <c r="H99" t="n">
        <v>287238</v>
      </c>
      <c r="I99" t="n">
        <v>712998</v>
      </c>
      <c r="J99" t="n">
        <v>1980</v>
      </c>
      <c r="K99" t="n">
        <v>6965</v>
      </c>
      <c r="L99" t="n">
        <v>1980</v>
      </c>
      <c r="M99" t="n">
        <v>1000</v>
      </c>
      <c r="N99" t="n">
        <v>1490</v>
      </c>
      <c r="O99" t="n">
        <v>1980</v>
      </c>
      <c r="P99" t="n">
        <v>2470</v>
      </c>
      <c r="Q99" t="n">
        <v>2960</v>
      </c>
      <c r="R99" t="n">
        <v>3450</v>
      </c>
      <c r="S99" t="n">
        <v>3940</v>
      </c>
      <c r="T99" t="n">
        <v>4430</v>
      </c>
      <c r="U99" t="n">
        <v>4920</v>
      </c>
      <c r="V99" t="n">
        <v>2187</v>
      </c>
      <c r="W99" t="n">
        <v>1392</v>
      </c>
      <c r="X99" t="n">
        <v>1294</v>
      </c>
      <c r="Y99" t="n">
        <v>5900</v>
      </c>
    </row>
    <row r="100">
      <c r="A100" t="n">
        <v>99</v>
      </c>
      <c r="B100" t="n">
        <v>0</v>
      </c>
      <c r="C100" t="n">
        <v>4411</v>
      </c>
      <c r="D100" t="n">
        <v>7105</v>
      </c>
      <c r="E100" t="n">
        <v>18363</v>
      </c>
      <c r="F100" t="n">
        <v>47246</v>
      </c>
      <c r="G100" t="n">
        <v>120335</v>
      </c>
      <c r="H100" t="n">
        <v>304473</v>
      </c>
      <c r="I100" t="n">
        <v>762908</v>
      </c>
      <c r="J100" t="n">
        <v>1990</v>
      </c>
      <c r="K100" t="n">
        <v>7105</v>
      </c>
      <c r="L100" t="n">
        <v>1990</v>
      </c>
      <c r="M100" t="n">
        <v>1000</v>
      </c>
      <c r="N100" t="n">
        <v>1495</v>
      </c>
      <c r="O100" t="n">
        <v>1990</v>
      </c>
      <c r="P100" t="n">
        <v>2485</v>
      </c>
      <c r="Q100" t="n">
        <v>2980</v>
      </c>
      <c r="R100" t="n">
        <v>3475</v>
      </c>
      <c r="S100" t="n">
        <v>3970</v>
      </c>
      <c r="T100" t="n">
        <v>4465</v>
      </c>
      <c r="U100" t="n">
        <v>4960</v>
      </c>
      <c r="V100" t="n">
        <v>2202</v>
      </c>
      <c r="W100" t="n">
        <v>1396</v>
      </c>
      <c r="X100" t="n">
        <v>1297</v>
      </c>
      <c r="Y100" t="n">
        <v>5950</v>
      </c>
    </row>
    <row r="101">
      <c r="A101" t="n">
        <v>100</v>
      </c>
      <c r="B101" t="n">
        <v>0</v>
      </c>
      <c r="C101" t="n">
        <v>4478</v>
      </c>
      <c r="D101" t="n">
        <v>7248</v>
      </c>
      <c r="E101" t="n">
        <v>18914</v>
      </c>
      <c r="F101" t="n">
        <v>49136</v>
      </c>
      <c r="G101" t="n">
        <v>126352</v>
      </c>
      <c r="H101" t="n">
        <v>322742</v>
      </c>
      <c r="I101" t="n">
        <v>816312</v>
      </c>
      <c r="J101" t="n">
        <v>2000</v>
      </c>
      <c r="K101" t="n">
        <v>7248</v>
      </c>
      <c r="L101" t="n">
        <v>2000</v>
      </c>
      <c r="M101" t="n">
        <v>1000</v>
      </c>
      <c r="N101" t="n">
        <v>1500</v>
      </c>
      <c r="O101" t="n">
        <v>2000</v>
      </c>
      <c r="P101" t="n">
        <v>2500</v>
      </c>
      <c r="Q101" t="n">
        <v>3000</v>
      </c>
      <c r="R101" t="n">
        <v>3500</v>
      </c>
      <c r="S101" t="n">
        <v>4000</v>
      </c>
      <c r="T101" t="n">
        <v>4500</v>
      </c>
      <c r="U101" t="n">
        <v>5000</v>
      </c>
      <c r="V101" t="n">
        <v>2218</v>
      </c>
      <c r="W101" t="n">
        <v>1400</v>
      </c>
      <c r="X101" t="n">
        <v>1300</v>
      </c>
      <c r="Y101" t="n">
        <v>6000</v>
      </c>
    </row>
    <row r="102">
      <c r="A102" t="n">
        <v>101</v>
      </c>
      <c r="B102" t="n">
        <v>0</v>
      </c>
      <c r="C102" t="n">
        <v>4546</v>
      </c>
      <c r="D102" t="n">
        <v>7393</v>
      </c>
      <c r="E102" t="n">
        <v>19482</v>
      </c>
      <c r="F102" t="n">
        <v>51102</v>
      </c>
      <c r="G102" t="n">
        <v>132670</v>
      </c>
      <c r="H102" t="n">
        <v>342107</v>
      </c>
      <c r="I102" t="n">
        <v>873454</v>
      </c>
      <c r="J102" t="n">
        <v>2000</v>
      </c>
      <c r="K102" t="n">
        <v>7321</v>
      </c>
      <c r="L102" t="n">
        <v>2010</v>
      </c>
      <c r="M102" t="n">
        <v>1001</v>
      </c>
      <c r="N102" t="n">
        <v>1505</v>
      </c>
      <c r="O102" t="n">
        <v>2010</v>
      </c>
      <c r="P102" t="n">
        <v>2515</v>
      </c>
      <c r="Q102" t="n">
        <v>3020</v>
      </c>
      <c r="R102" t="n">
        <v>3525</v>
      </c>
      <c r="S102" t="n">
        <v>4030</v>
      </c>
      <c r="T102" t="n">
        <v>4535</v>
      </c>
      <c r="U102" t="n">
        <v>5040</v>
      </c>
      <c r="V102" t="n">
        <v>2234</v>
      </c>
      <c r="W102" t="n">
        <v>1404</v>
      </c>
      <c r="X102" t="n">
        <v>1303</v>
      </c>
      <c r="Y102" t="n">
        <v>6050</v>
      </c>
    </row>
    <row r="103">
      <c r="A103" t="n">
        <v>102</v>
      </c>
      <c r="B103" t="n">
        <v>0</v>
      </c>
      <c r="C103" t="n">
        <v>4615</v>
      </c>
      <c r="D103" t="n">
        <v>7541</v>
      </c>
      <c r="E103" t="n">
        <v>20067</v>
      </c>
      <c r="F103" t="n">
        <v>53147</v>
      </c>
      <c r="G103" t="n">
        <v>139304</v>
      </c>
      <c r="H103" t="n">
        <v>362634</v>
      </c>
      <c r="I103" t="n">
        <v>934596</v>
      </c>
      <c r="J103" t="n">
        <v>2000</v>
      </c>
      <c r="K103" t="n">
        <v>7395</v>
      </c>
      <c r="L103" t="n">
        <v>2020</v>
      </c>
      <c r="M103" t="n">
        <v>1002</v>
      </c>
      <c r="N103" t="n">
        <v>1510</v>
      </c>
      <c r="O103" t="n">
        <v>2020</v>
      </c>
      <c r="P103" t="n">
        <v>2530</v>
      </c>
      <c r="Q103" t="n">
        <v>3040</v>
      </c>
      <c r="R103" t="n">
        <v>3550</v>
      </c>
      <c r="S103" t="n">
        <v>4060</v>
      </c>
      <c r="T103" t="n">
        <v>4570</v>
      </c>
      <c r="U103" t="n">
        <v>5080</v>
      </c>
      <c r="V103" t="n">
        <v>2250</v>
      </c>
      <c r="W103" t="n">
        <v>1408</v>
      </c>
      <c r="X103" t="n">
        <v>1306</v>
      </c>
      <c r="Y103" t="n">
        <v>6100</v>
      </c>
    </row>
    <row r="104">
      <c r="A104" t="n">
        <v>103</v>
      </c>
      <c r="B104" t="n">
        <v>0</v>
      </c>
      <c r="C104" t="n">
        <v>4685</v>
      </c>
      <c r="D104" t="n">
        <v>7692</v>
      </c>
      <c r="E104" t="n">
        <v>20670</v>
      </c>
      <c r="F104" t="n">
        <v>55273</v>
      </c>
      <c r="G104" t="n">
        <v>146270</v>
      </c>
      <c r="H104" t="n">
        <v>384393</v>
      </c>
      <c r="I104" t="n">
        <v>1000018</v>
      </c>
      <c r="J104" t="n">
        <v>2000</v>
      </c>
      <c r="K104" t="n">
        <v>7469</v>
      </c>
      <c r="L104" t="n">
        <v>2030</v>
      </c>
      <c r="M104" t="n">
        <v>1003</v>
      </c>
      <c r="N104" t="n">
        <v>1515</v>
      </c>
      <c r="O104" t="n">
        <v>2030</v>
      </c>
      <c r="P104" t="n">
        <v>2545</v>
      </c>
      <c r="Q104" t="n">
        <v>3060</v>
      </c>
      <c r="R104" t="n">
        <v>3575</v>
      </c>
      <c r="S104" t="n">
        <v>4090</v>
      </c>
      <c r="T104" t="n">
        <v>4605</v>
      </c>
      <c r="U104" t="n">
        <v>5120</v>
      </c>
      <c r="V104" t="n">
        <v>2266</v>
      </c>
      <c r="W104" t="n">
        <v>1412</v>
      </c>
      <c r="X104" t="n">
        <v>1309</v>
      </c>
      <c r="Y104" t="n">
        <v>6150</v>
      </c>
    </row>
    <row r="105">
      <c r="A105" t="n">
        <v>104</v>
      </c>
      <c r="B105" t="n">
        <v>0</v>
      </c>
      <c r="C105" t="n">
        <v>4756</v>
      </c>
      <c r="D105" t="n">
        <v>7846</v>
      </c>
      <c r="E105" t="n">
        <v>21291</v>
      </c>
      <c r="F105" t="n">
        <v>57484</v>
      </c>
      <c r="G105" t="n">
        <v>153584</v>
      </c>
      <c r="H105" t="n">
        <v>407457</v>
      </c>
      <c r="I105" t="n">
        <v>1070020</v>
      </c>
      <c r="J105" t="n">
        <v>2000</v>
      </c>
      <c r="K105" t="n">
        <v>7544</v>
      </c>
      <c r="L105" t="n">
        <v>2040</v>
      </c>
      <c r="M105" t="n">
        <v>1004</v>
      </c>
      <c r="N105" t="n">
        <v>1520</v>
      </c>
      <c r="O105" t="n">
        <v>2040</v>
      </c>
      <c r="P105" t="n">
        <v>2560</v>
      </c>
      <c r="Q105" t="n">
        <v>3080</v>
      </c>
      <c r="R105" t="n">
        <v>3600</v>
      </c>
      <c r="S105" t="n">
        <v>4120</v>
      </c>
      <c r="T105" t="n">
        <v>4640</v>
      </c>
      <c r="U105" t="n">
        <v>5160</v>
      </c>
      <c r="V105" t="n">
        <v>2282</v>
      </c>
      <c r="W105" t="n">
        <v>1416</v>
      </c>
      <c r="X105" t="n">
        <v>1312</v>
      </c>
      <c r="Y105" t="n">
        <v>6200</v>
      </c>
    </row>
    <row r="106">
      <c r="A106" t="n">
        <v>105</v>
      </c>
      <c r="B106" t="n">
        <v>0</v>
      </c>
      <c r="C106" t="n">
        <v>4828</v>
      </c>
      <c r="D106" t="n">
        <v>8003</v>
      </c>
      <c r="E106" t="n">
        <v>21930</v>
      </c>
      <c r="F106" t="n">
        <v>59784</v>
      </c>
      <c r="G106" t="n">
        <v>161264</v>
      </c>
      <c r="H106" t="n">
        <v>431905</v>
      </c>
      <c r="I106" t="n">
        <v>1144922</v>
      </c>
      <c r="J106" t="n">
        <v>2000</v>
      </c>
      <c r="K106" t="n">
        <v>7620</v>
      </c>
      <c r="L106" t="n">
        <v>2050</v>
      </c>
      <c r="M106" t="n">
        <v>1005</v>
      </c>
      <c r="N106" t="n">
        <v>1525</v>
      </c>
      <c r="O106" t="n">
        <v>2050</v>
      </c>
      <c r="P106" t="n">
        <v>2575</v>
      </c>
      <c r="Q106" t="n">
        <v>3100</v>
      </c>
      <c r="R106" t="n">
        <v>3625</v>
      </c>
      <c r="S106" t="n">
        <v>4150</v>
      </c>
      <c r="T106" t="n">
        <v>4675</v>
      </c>
      <c r="U106" t="n">
        <v>5200</v>
      </c>
      <c r="V106" t="n">
        <v>2298</v>
      </c>
      <c r="W106" t="n">
        <v>1420</v>
      </c>
      <c r="X106" t="n">
        <v>1315</v>
      </c>
      <c r="Y106" t="n">
        <v>6250</v>
      </c>
    </row>
    <row r="107">
      <c r="A107" t="n">
        <v>106</v>
      </c>
      <c r="B107" t="n">
        <v>0</v>
      </c>
      <c r="C107" t="n">
        <v>4901</v>
      </c>
      <c r="D107" t="n">
        <v>8164</v>
      </c>
      <c r="E107" t="n">
        <v>22588</v>
      </c>
      <c r="F107" t="n">
        <v>62176</v>
      </c>
      <c r="G107" t="n">
        <v>169328</v>
      </c>
      <c r="H107" t="n">
        <v>457820</v>
      </c>
      <c r="I107" t="n">
        <v>1225067</v>
      </c>
      <c r="J107" t="n">
        <v>2000</v>
      </c>
      <c r="K107" t="n">
        <v>7697</v>
      </c>
      <c r="L107" t="n">
        <v>2060</v>
      </c>
      <c r="M107" t="n">
        <v>1006</v>
      </c>
      <c r="N107" t="n">
        <v>1530</v>
      </c>
      <c r="O107" t="n">
        <v>2060</v>
      </c>
      <c r="P107" t="n">
        <v>2590</v>
      </c>
      <c r="Q107" t="n">
        <v>3120</v>
      </c>
      <c r="R107" t="n">
        <v>3650</v>
      </c>
      <c r="S107" t="n">
        <v>4180</v>
      </c>
      <c r="T107" t="n">
        <v>4710</v>
      </c>
      <c r="U107" t="n">
        <v>5240</v>
      </c>
      <c r="V107" t="n">
        <v>2314</v>
      </c>
      <c r="W107" t="n">
        <v>1424</v>
      </c>
      <c r="X107" t="n">
        <v>1318</v>
      </c>
      <c r="Y107" t="n">
        <v>6300</v>
      </c>
    </row>
    <row r="108">
      <c r="A108" t="n">
        <v>107</v>
      </c>
      <c r="B108" t="n">
        <v>0</v>
      </c>
      <c r="C108" t="n">
        <v>4975</v>
      </c>
      <c r="D108" t="n">
        <v>8328</v>
      </c>
      <c r="E108" t="n">
        <v>23266</v>
      </c>
      <c r="F108" t="n">
        <v>64664</v>
      </c>
      <c r="G108" t="n">
        <v>177795</v>
      </c>
      <c r="H108" t="n">
        <v>485290</v>
      </c>
      <c r="I108" t="n">
        <v>1310822</v>
      </c>
      <c r="J108" t="n">
        <v>2000</v>
      </c>
      <c r="K108" t="n">
        <v>7774</v>
      </c>
      <c r="L108" t="n">
        <v>2070</v>
      </c>
      <c r="M108" t="n">
        <v>1007</v>
      </c>
      <c r="N108" t="n">
        <v>1535</v>
      </c>
      <c r="O108" t="n">
        <v>2070</v>
      </c>
      <c r="P108" t="n">
        <v>2605</v>
      </c>
      <c r="Q108" t="n">
        <v>3140</v>
      </c>
      <c r="R108" t="n">
        <v>3675</v>
      </c>
      <c r="S108" t="n">
        <v>4210</v>
      </c>
      <c r="T108" t="n">
        <v>4745</v>
      </c>
      <c r="U108" t="n">
        <v>5280</v>
      </c>
      <c r="V108" t="n">
        <v>2330</v>
      </c>
      <c r="W108" t="n">
        <v>1428</v>
      </c>
      <c r="X108" t="n">
        <v>1321</v>
      </c>
      <c r="Y108" t="n">
        <v>6350</v>
      </c>
    </row>
    <row r="109">
      <c r="A109" t="n">
        <v>108</v>
      </c>
      <c r="B109" t="n">
        <v>0</v>
      </c>
      <c r="C109" t="n">
        <v>5050</v>
      </c>
      <c r="D109" t="n">
        <v>8495</v>
      </c>
      <c r="E109" t="n">
        <v>23964</v>
      </c>
      <c r="F109" t="n">
        <v>67251</v>
      </c>
      <c r="G109" t="n">
        <v>186685</v>
      </c>
      <c r="H109" t="n">
        <v>514408</v>
      </c>
      <c r="I109" t="n">
        <v>1402580</v>
      </c>
      <c r="J109" t="n">
        <v>2000</v>
      </c>
      <c r="K109" t="n">
        <v>7852</v>
      </c>
      <c r="L109" t="n">
        <v>2080</v>
      </c>
      <c r="M109" t="n">
        <v>1008</v>
      </c>
      <c r="N109" t="n">
        <v>1540</v>
      </c>
      <c r="O109" t="n">
        <v>2080</v>
      </c>
      <c r="P109" t="n">
        <v>2620</v>
      </c>
      <c r="Q109" t="n">
        <v>3160</v>
      </c>
      <c r="R109" t="n">
        <v>3700</v>
      </c>
      <c r="S109" t="n">
        <v>4240</v>
      </c>
      <c r="T109" t="n">
        <v>4780</v>
      </c>
      <c r="U109" t="n">
        <v>5320</v>
      </c>
      <c r="V109" t="n">
        <v>2346</v>
      </c>
      <c r="W109" t="n">
        <v>1432</v>
      </c>
      <c r="X109" t="n">
        <v>1324</v>
      </c>
      <c r="Y109" t="n">
        <v>6400</v>
      </c>
    </row>
    <row r="110">
      <c r="A110" t="n">
        <v>109</v>
      </c>
      <c r="B110" t="n">
        <v>0</v>
      </c>
      <c r="C110" t="n">
        <v>5126</v>
      </c>
      <c r="D110" t="n">
        <v>8665</v>
      </c>
      <c r="E110" t="n">
        <v>24683</v>
      </c>
      <c r="F110" t="n">
        <v>69942</v>
      </c>
      <c r="G110" t="n">
        <v>196020</v>
      </c>
      <c r="H110" t="n">
        <v>545273</v>
      </c>
      <c r="I110" t="n">
        <v>1500761</v>
      </c>
      <c r="J110" t="n">
        <v>2000</v>
      </c>
      <c r="K110" t="n">
        <v>7931</v>
      </c>
      <c r="L110" t="n">
        <v>2090</v>
      </c>
      <c r="M110" t="n">
        <v>1009</v>
      </c>
      <c r="N110" t="n">
        <v>1545</v>
      </c>
      <c r="O110" t="n">
        <v>2090</v>
      </c>
      <c r="P110" t="n">
        <v>2635</v>
      </c>
      <c r="Q110" t="n">
        <v>3180</v>
      </c>
      <c r="R110" t="n">
        <v>3725</v>
      </c>
      <c r="S110" t="n">
        <v>4270</v>
      </c>
      <c r="T110" t="n">
        <v>4815</v>
      </c>
      <c r="U110" t="n">
        <v>5360</v>
      </c>
      <c r="V110" t="n">
        <v>2362</v>
      </c>
      <c r="W110" t="n">
        <v>1436</v>
      </c>
      <c r="X110" t="n">
        <v>1327</v>
      </c>
      <c r="Y110" t="n">
        <v>6450</v>
      </c>
    </row>
    <row r="111">
      <c r="A111" t="n">
        <v>110</v>
      </c>
      <c r="B111" t="n">
        <v>0</v>
      </c>
      <c r="C111" t="n">
        <v>5203</v>
      </c>
      <c r="D111" t="n">
        <v>8839</v>
      </c>
      <c r="E111" t="n">
        <v>25424</v>
      </c>
      <c r="F111" t="n">
        <v>72740</v>
      </c>
      <c r="G111" t="n">
        <v>205821</v>
      </c>
      <c r="H111" t="n">
        <v>577990</v>
      </c>
      <c r="I111" t="n">
        <v>1605815</v>
      </c>
      <c r="J111" t="n">
        <v>2000</v>
      </c>
      <c r="K111" t="n">
        <v>8011</v>
      </c>
      <c r="L111" t="n">
        <v>2100</v>
      </c>
      <c r="M111" t="n">
        <v>1010</v>
      </c>
      <c r="N111" t="n">
        <v>1550</v>
      </c>
      <c r="O111" t="n">
        <v>2100</v>
      </c>
      <c r="P111" t="n">
        <v>2650</v>
      </c>
      <c r="Q111" t="n">
        <v>3200</v>
      </c>
      <c r="R111" t="n">
        <v>3750</v>
      </c>
      <c r="S111" t="n">
        <v>4300</v>
      </c>
      <c r="T111" t="n">
        <v>4850</v>
      </c>
      <c r="U111" t="n">
        <v>5400</v>
      </c>
      <c r="V111" t="n">
        <v>2378</v>
      </c>
      <c r="W111" t="n">
        <v>1440</v>
      </c>
      <c r="X111" t="n">
        <v>1330</v>
      </c>
      <c r="Y111" t="n">
        <v>6500</v>
      </c>
    </row>
    <row r="112">
      <c r="A112" t="n">
        <v>111</v>
      </c>
      <c r="B112" t="n">
        <v>0</v>
      </c>
      <c r="C112" t="n">
        <v>5282</v>
      </c>
      <c r="D112" t="n">
        <v>9016</v>
      </c>
      <c r="E112" t="n">
        <v>26187</v>
      </c>
      <c r="F112" t="n">
        <v>75650</v>
      </c>
      <c r="G112" t="n">
        <v>216113</v>
      </c>
      <c r="H112" t="n">
        <v>612670</v>
      </c>
      <c r="I112" t="n">
        <v>1718223</v>
      </c>
      <c r="J112" t="n">
        <v>2000</v>
      </c>
      <c r="K112" t="n">
        <v>8092</v>
      </c>
      <c r="L112" t="n">
        <v>2110</v>
      </c>
      <c r="M112" t="n">
        <v>1011</v>
      </c>
      <c r="N112" t="n">
        <v>1555</v>
      </c>
      <c r="O112" t="n">
        <v>2110</v>
      </c>
      <c r="P112" t="n">
        <v>2665</v>
      </c>
      <c r="Q112" t="n">
        <v>3220</v>
      </c>
      <c r="R112" t="n">
        <v>3775</v>
      </c>
      <c r="S112" t="n">
        <v>4330</v>
      </c>
      <c r="T112" t="n">
        <v>4885</v>
      </c>
      <c r="U112" t="n">
        <v>5440</v>
      </c>
      <c r="V112" t="n">
        <v>2394</v>
      </c>
      <c r="W112" t="n">
        <v>1444</v>
      </c>
      <c r="X112" t="n">
        <v>1333</v>
      </c>
      <c r="Y112" t="n">
        <v>6550</v>
      </c>
    </row>
    <row r="113">
      <c r="A113" t="n">
        <v>112</v>
      </c>
      <c r="B113" t="n">
        <v>0</v>
      </c>
      <c r="C113" t="n">
        <v>5362</v>
      </c>
      <c r="D113" t="n">
        <v>9197</v>
      </c>
      <c r="E113" t="n">
        <v>26973</v>
      </c>
      <c r="F113" t="n">
        <v>78676</v>
      </c>
      <c r="G113" t="n">
        <v>226919</v>
      </c>
      <c r="H113" t="n">
        <v>649431</v>
      </c>
      <c r="I113" t="n">
        <v>1838499</v>
      </c>
      <c r="J113" t="n">
        <v>2000</v>
      </c>
      <c r="K113" t="n">
        <v>8173</v>
      </c>
      <c r="L113" t="n">
        <v>2120</v>
      </c>
      <c r="M113" t="n">
        <v>1012</v>
      </c>
      <c r="N113" t="n">
        <v>1560</v>
      </c>
      <c r="O113" t="n">
        <v>2120</v>
      </c>
      <c r="P113" t="n">
        <v>2680</v>
      </c>
      <c r="Q113" t="n">
        <v>3240</v>
      </c>
      <c r="R113" t="n">
        <v>3800</v>
      </c>
      <c r="S113" t="n">
        <v>4360</v>
      </c>
      <c r="T113" t="n">
        <v>4920</v>
      </c>
      <c r="U113" t="n">
        <v>5480</v>
      </c>
      <c r="V113" t="n">
        <v>2410</v>
      </c>
      <c r="W113" t="n">
        <v>1448</v>
      </c>
      <c r="X113" t="n">
        <v>1336</v>
      </c>
      <c r="Y113" t="n">
        <v>6600</v>
      </c>
    </row>
    <row r="114">
      <c r="A114" t="n">
        <v>113</v>
      </c>
      <c r="B114" t="n">
        <v>0</v>
      </c>
      <c r="C114" t="n">
        <v>5443</v>
      </c>
      <c r="D114" t="n">
        <v>9381</v>
      </c>
      <c r="E114" t="n">
        <v>27783</v>
      </c>
      <c r="F114" t="n">
        <v>81824</v>
      </c>
      <c r="G114" t="n">
        <v>238265</v>
      </c>
      <c r="H114" t="n">
        <v>688397</v>
      </c>
      <c r="I114" t="n">
        <v>1967194</v>
      </c>
      <c r="J114" t="n">
        <v>2000</v>
      </c>
      <c r="K114" t="n">
        <v>8255</v>
      </c>
      <c r="L114" t="n">
        <v>2130</v>
      </c>
      <c r="M114" t="n">
        <v>1013</v>
      </c>
      <c r="N114" t="n">
        <v>1565</v>
      </c>
      <c r="O114" t="n">
        <v>2130</v>
      </c>
      <c r="P114" t="n">
        <v>2695</v>
      </c>
      <c r="Q114" t="n">
        <v>3260</v>
      </c>
      <c r="R114" t="n">
        <v>3825</v>
      </c>
      <c r="S114" t="n">
        <v>4390</v>
      </c>
      <c r="T114" t="n">
        <v>4955</v>
      </c>
      <c r="U114" t="n">
        <v>5520</v>
      </c>
      <c r="V114" t="n">
        <v>2427</v>
      </c>
      <c r="W114" t="n">
        <v>1452</v>
      </c>
      <c r="X114" t="n">
        <v>1339</v>
      </c>
      <c r="Y114" t="n">
        <v>6650</v>
      </c>
    </row>
    <row r="115">
      <c r="A115" t="n">
        <v>114</v>
      </c>
      <c r="B115" t="n">
        <v>0</v>
      </c>
      <c r="C115" t="n">
        <v>5525</v>
      </c>
      <c r="D115" t="n">
        <v>9569</v>
      </c>
      <c r="E115" t="n">
        <v>28617</v>
      </c>
      <c r="F115" t="n">
        <v>85097</v>
      </c>
      <c r="G115" t="n">
        <v>250179</v>
      </c>
      <c r="H115" t="n">
        <v>729701</v>
      </c>
      <c r="I115" t="n">
        <v>2104898</v>
      </c>
      <c r="J115" t="n">
        <v>2000</v>
      </c>
      <c r="K115" t="n">
        <v>8338</v>
      </c>
      <c r="L115" t="n">
        <v>2140</v>
      </c>
      <c r="M115" t="n">
        <v>1014</v>
      </c>
      <c r="N115" t="n">
        <v>1570</v>
      </c>
      <c r="O115" t="n">
        <v>2140</v>
      </c>
      <c r="P115" t="n">
        <v>2710</v>
      </c>
      <c r="Q115" t="n">
        <v>3280</v>
      </c>
      <c r="R115" t="n">
        <v>3850</v>
      </c>
      <c r="S115" t="n">
        <v>4420</v>
      </c>
      <c r="T115" t="n">
        <v>4990</v>
      </c>
      <c r="U115" t="n">
        <v>5560</v>
      </c>
      <c r="V115" t="n">
        <v>2444</v>
      </c>
      <c r="W115" t="n">
        <v>1456</v>
      </c>
      <c r="X115" t="n">
        <v>1342</v>
      </c>
      <c r="Y115" t="n">
        <v>6700</v>
      </c>
    </row>
    <row r="116">
      <c r="A116" t="n">
        <v>115</v>
      </c>
      <c r="B116" t="n">
        <v>0</v>
      </c>
      <c r="C116" t="n">
        <v>5608</v>
      </c>
      <c r="D116" t="n">
        <v>9761</v>
      </c>
      <c r="E116" t="n">
        <v>29476</v>
      </c>
      <c r="F116" t="n">
        <v>88501</v>
      </c>
      <c r="G116" t="n">
        <v>262688</v>
      </c>
      <c r="H116" t="n">
        <v>773484</v>
      </c>
      <c r="I116" t="n">
        <v>2252241</v>
      </c>
      <c r="J116" t="n">
        <v>2000</v>
      </c>
      <c r="K116" t="n">
        <v>8422</v>
      </c>
      <c r="L116" t="n">
        <v>2150</v>
      </c>
      <c r="M116" t="n">
        <v>1015</v>
      </c>
      <c r="N116" t="n">
        <v>1575</v>
      </c>
      <c r="O116" t="n">
        <v>2150</v>
      </c>
      <c r="P116" t="n">
        <v>2725</v>
      </c>
      <c r="Q116" t="n">
        <v>3300</v>
      </c>
      <c r="R116" t="n">
        <v>3875</v>
      </c>
      <c r="S116" t="n">
        <v>4450</v>
      </c>
      <c r="T116" t="n">
        <v>5025</v>
      </c>
      <c r="U116" t="n">
        <v>5600</v>
      </c>
      <c r="V116" t="n">
        <v>2461</v>
      </c>
      <c r="W116" t="n">
        <v>1460</v>
      </c>
      <c r="X116" t="n">
        <v>1345</v>
      </c>
      <c r="Y116" t="n">
        <v>6750</v>
      </c>
    </row>
    <row r="117">
      <c r="A117" t="n">
        <v>116</v>
      </c>
      <c r="B117" t="n">
        <v>0</v>
      </c>
      <c r="C117" t="n">
        <v>5693</v>
      </c>
      <c r="D117" t="n">
        <v>9957</v>
      </c>
      <c r="E117" t="n">
        <v>30361</v>
      </c>
      <c r="F117" t="n">
        <v>92042</v>
      </c>
      <c r="G117" t="n">
        <v>275823</v>
      </c>
      <c r="H117" t="n">
        <v>819894</v>
      </c>
      <c r="I117" t="n">
        <v>2409898</v>
      </c>
      <c r="J117" t="n">
        <v>2000</v>
      </c>
      <c r="K117" t="n">
        <v>8507</v>
      </c>
      <c r="L117" t="n">
        <v>2160</v>
      </c>
      <c r="M117" t="n">
        <v>1016</v>
      </c>
      <c r="N117" t="n">
        <v>1580</v>
      </c>
      <c r="O117" t="n">
        <v>2160</v>
      </c>
      <c r="P117" t="n">
        <v>2740</v>
      </c>
      <c r="Q117" t="n">
        <v>3320</v>
      </c>
      <c r="R117" t="n">
        <v>3900</v>
      </c>
      <c r="S117" t="n">
        <v>4480</v>
      </c>
      <c r="T117" t="n">
        <v>5060</v>
      </c>
      <c r="U117" t="n">
        <v>5640</v>
      </c>
      <c r="V117" t="n">
        <v>2478</v>
      </c>
      <c r="W117" t="n">
        <v>1464</v>
      </c>
      <c r="X117" t="n">
        <v>1348</v>
      </c>
      <c r="Y117" t="n">
        <v>6800</v>
      </c>
    </row>
    <row r="118">
      <c r="A118" t="n">
        <v>117</v>
      </c>
      <c r="B118" t="n">
        <v>0</v>
      </c>
      <c r="C118" t="n">
        <v>5779</v>
      </c>
      <c r="D118" t="n">
        <v>10157</v>
      </c>
      <c r="E118" t="n">
        <v>31272</v>
      </c>
      <c r="F118" t="n">
        <v>95724</v>
      </c>
      <c r="G118" t="n">
        <v>289615</v>
      </c>
      <c r="H118" t="n">
        <v>869088</v>
      </c>
      <c r="I118" t="n">
        <v>2578591</v>
      </c>
      <c r="J118" t="n">
        <v>2000</v>
      </c>
      <c r="K118" t="n">
        <v>8593</v>
      </c>
      <c r="L118" t="n">
        <v>2170</v>
      </c>
      <c r="M118" t="n">
        <v>1017</v>
      </c>
      <c r="N118" t="n">
        <v>1585</v>
      </c>
      <c r="O118" t="n">
        <v>2170</v>
      </c>
      <c r="P118" t="n">
        <v>2755</v>
      </c>
      <c r="Q118" t="n">
        <v>3340</v>
      </c>
      <c r="R118" t="n">
        <v>3925</v>
      </c>
      <c r="S118" t="n">
        <v>4510</v>
      </c>
      <c r="T118" t="n">
        <v>5095</v>
      </c>
      <c r="U118" t="n">
        <v>5680</v>
      </c>
      <c r="V118" t="n">
        <v>2495</v>
      </c>
      <c r="W118" t="n">
        <v>1468</v>
      </c>
      <c r="X118" t="n">
        <v>1351</v>
      </c>
      <c r="Y118" t="n">
        <v>6850</v>
      </c>
    </row>
    <row r="119">
      <c r="A119" t="n">
        <v>118</v>
      </c>
      <c r="B119" t="n">
        <v>0</v>
      </c>
      <c r="C119" t="n">
        <v>5866</v>
      </c>
      <c r="D119" t="n">
        <v>10361</v>
      </c>
      <c r="E119" t="n">
        <v>32211</v>
      </c>
      <c r="F119" t="n">
        <v>99553</v>
      </c>
      <c r="G119" t="n">
        <v>304096</v>
      </c>
      <c r="H119" t="n">
        <v>921234</v>
      </c>
      <c r="I119" t="n">
        <v>2759093</v>
      </c>
      <c r="J119" t="n">
        <v>2000</v>
      </c>
      <c r="K119" t="n">
        <v>8679</v>
      </c>
      <c r="L119" t="n">
        <v>2180</v>
      </c>
      <c r="M119" t="n">
        <v>1018</v>
      </c>
      <c r="N119" t="n">
        <v>1590</v>
      </c>
      <c r="O119" t="n">
        <v>2180</v>
      </c>
      <c r="P119" t="n">
        <v>2770</v>
      </c>
      <c r="Q119" t="n">
        <v>3360</v>
      </c>
      <c r="R119" t="n">
        <v>3950</v>
      </c>
      <c r="S119" t="n">
        <v>4540</v>
      </c>
      <c r="T119" t="n">
        <v>5130</v>
      </c>
      <c r="U119" t="n">
        <v>5720</v>
      </c>
      <c r="V119" t="n">
        <v>2512</v>
      </c>
      <c r="W119" t="n">
        <v>1472</v>
      </c>
      <c r="X119" t="n">
        <v>1354</v>
      </c>
      <c r="Y119" t="n">
        <v>6900</v>
      </c>
    </row>
    <row r="120">
      <c r="A120" t="n">
        <v>119</v>
      </c>
      <c r="B120" t="n">
        <v>0</v>
      </c>
      <c r="C120" t="n">
        <v>5954</v>
      </c>
      <c r="D120" t="n">
        <v>10569</v>
      </c>
      <c r="E120" t="n">
        <v>33178</v>
      </c>
      <c r="F120" t="n">
        <v>103536</v>
      </c>
      <c r="G120" t="n">
        <v>319301</v>
      </c>
      <c r="H120" t="n">
        <v>976509</v>
      </c>
      <c r="I120" t="n">
        <v>2952230</v>
      </c>
      <c r="J120" t="n">
        <v>2000</v>
      </c>
      <c r="K120" t="n">
        <v>8766</v>
      </c>
      <c r="L120" t="n">
        <v>2190</v>
      </c>
      <c r="M120" t="n">
        <v>1019</v>
      </c>
      <c r="N120" t="n">
        <v>1595</v>
      </c>
      <c r="O120" t="n">
        <v>2190</v>
      </c>
      <c r="P120" t="n">
        <v>2785</v>
      </c>
      <c r="Q120" t="n">
        <v>3380</v>
      </c>
      <c r="R120" t="n">
        <v>3975</v>
      </c>
      <c r="S120" t="n">
        <v>4570</v>
      </c>
      <c r="T120" t="n">
        <v>5165</v>
      </c>
      <c r="U120" t="n">
        <v>5760</v>
      </c>
      <c r="V120" t="n">
        <v>2529</v>
      </c>
      <c r="W120" t="n">
        <v>1476</v>
      </c>
      <c r="X120" t="n">
        <v>1357</v>
      </c>
      <c r="Y120" t="n">
        <v>6950</v>
      </c>
    </row>
    <row r="121">
      <c r="A121" t="n">
        <v>120</v>
      </c>
      <c r="B121" t="n">
        <v>0</v>
      </c>
      <c r="C121" t="n">
        <v>6044</v>
      </c>
      <c r="D121" t="n">
        <v>10781</v>
      </c>
      <c r="E121" t="n">
        <v>34174</v>
      </c>
      <c r="F121" t="n">
        <v>107678</v>
      </c>
      <c r="G121" t="n">
        <v>335267</v>
      </c>
      <c r="H121" t="n">
        <v>1035100</v>
      </c>
      <c r="I121" t="n">
        <v>3158887</v>
      </c>
      <c r="J121" t="n">
        <v>2000</v>
      </c>
      <c r="K121" t="n">
        <v>8854</v>
      </c>
      <c r="L121" t="n">
        <v>2200</v>
      </c>
      <c r="M121" t="n">
        <v>1020</v>
      </c>
      <c r="N121" t="n">
        <v>1600</v>
      </c>
      <c r="O121" t="n">
        <v>2200</v>
      </c>
      <c r="P121" t="n">
        <v>2800</v>
      </c>
      <c r="Q121" t="n">
        <v>3400</v>
      </c>
      <c r="R121" t="n">
        <v>4000</v>
      </c>
      <c r="S121" t="n">
        <v>4600</v>
      </c>
      <c r="T121" t="n">
        <v>5200</v>
      </c>
      <c r="U121" t="n">
        <v>5800</v>
      </c>
      <c r="V121" t="n">
        <v>2546</v>
      </c>
      <c r="W121" t="n">
        <v>1480</v>
      </c>
      <c r="X121" t="n">
        <v>1360</v>
      </c>
      <c r="Y121" t="n">
        <v>7000</v>
      </c>
    </row>
    <row r="122">
      <c r="A122" t="n">
        <v>121</v>
      </c>
      <c r="B122" t="n">
        <v>0</v>
      </c>
      <c r="C122" t="n">
        <v>6135</v>
      </c>
      <c r="D122" t="n">
        <v>10997</v>
      </c>
      <c r="E122" t="n">
        <v>35200</v>
      </c>
      <c r="F122" t="n">
        <v>111986</v>
      </c>
      <c r="G122" t="n">
        <v>352031</v>
      </c>
      <c r="H122" t="n">
        <v>1097206</v>
      </c>
      <c r="I122" t="n">
        <v>3380010</v>
      </c>
      <c r="J122" t="n">
        <v>2000</v>
      </c>
      <c r="K122" t="n">
        <v>8943</v>
      </c>
      <c r="L122" t="n">
        <v>2210</v>
      </c>
      <c r="M122" t="n">
        <v>1021</v>
      </c>
      <c r="N122" t="n">
        <v>1605</v>
      </c>
      <c r="O122" t="n">
        <v>2210</v>
      </c>
      <c r="P122" t="n">
        <v>2815</v>
      </c>
      <c r="Q122" t="n">
        <v>3420</v>
      </c>
      <c r="R122" t="n">
        <v>4025</v>
      </c>
      <c r="S122" t="n">
        <v>4630</v>
      </c>
      <c r="T122" t="n">
        <v>5235</v>
      </c>
      <c r="U122" t="n">
        <v>5840</v>
      </c>
      <c r="V122" t="n">
        <v>2563</v>
      </c>
      <c r="W122" t="n">
        <v>1484</v>
      </c>
      <c r="X122" t="n">
        <v>1363</v>
      </c>
      <c r="Y122" t="n">
        <v>7010</v>
      </c>
    </row>
    <row r="123">
      <c r="A123" t="n">
        <v>122</v>
      </c>
      <c r="B123" t="n">
        <v>0</v>
      </c>
      <c r="C123" t="n">
        <v>6228</v>
      </c>
      <c r="D123" t="n">
        <v>11217</v>
      </c>
      <c r="E123" t="n">
        <v>36256</v>
      </c>
      <c r="F123" t="n">
        <v>116466</v>
      </c>
      <c r="G123" t="n">
        <v>369633</v>
      </c>
      <c r="H123" t="n">
        <v>1163039</v>
      </c>
      <c r="I123" t="n">
        <v>3616611</v>
      </c>
      <c r="J123" t="n">
        <v>2000</v>
      </c>
      <c r="K123" t="n">
        <v>9033</v>
      </c>
      <c r="L123" t="n">
        <v>2220</v>
      </c>
      <c r="M123" t="n">
        <v>1022</v>
      </c>
      <c r="N123" t="n">
        <v>1610</v>
      </c>
      <c r="O123" t="n">
        <v>2220</v>
      </c>
      <c r="P123" t="n">
        <v>2830</v>
      </c>
      <c r="Q123" t="n">
        <v>3440</v>
      </c>
      <c r="R123" t="n">
        <v>4050</v>
      </c>
      <c r="S123" t="n">
        <v>4660</v>
      </c>
      <c r="T123" t="n">
        <v>5270</v>
      </c>
      <c r="U123" t="n">
        <v>5880</v>
      </c>
      <c r="V123" t="n">
        <v>2580</v>
      </c>
      <c r="W123" t="n">
        <v>1488</v>
      </c>
      <c r="X123" t="n">
        <v>1366</v>
      </c>
      <c r="Y123" t="n">
        <v>7020</v>
      </c>
    </row>
    <row r="124">
      <c r="A124" t="n">
        <v>123</v>
      </c>
      <c r="B124" t="n">
        <v>0</v>
      </c>
      <c r="C124" t="n">
        <v>6322</v>
      </c>
      <c r="D124" t="n">
        <v>11442</v>
      </c>
      <c r="E124" t="n">
        <v>37344</v>
      </c>
      <c r="F124" t="n">
        <v>121125</v>
      </c>
      <c r="G124" t="n">
        <v>388115</v>
      </c>
      <c r="H124" t="n">
        <v>1232822</v>
      </c>
      <c r="I124" t="n">
        <v>3869774</v>
      </c>
      <c r="J124" t="n">
        <v>2000</v>
      </c>
      <c r="K124" t="n">
        <v>9124</v>
      </c>
      <c r="L124" t="n">
        <v>2230</v>
      </c>
      <c r="M124" t="n">
        <v>1023</v>
      </c>
      <c r="N124" t="n">
        <v>1615</v>
      </c>
      <c r="O124" t="n">
        <v>2230</v>
      </c>
      <c r="P124" t="n">
        <v>2845</v>
      </c>
      <c r="Q124" t="n">
        <v>3460</v>
      </c>
      <c r="R124" t="n">
        <v>4075</v>
      </c>
      <c r="S124" t="n">
        <v>4690</v>
      </c>
      <c r="T124" t="n">
        <v>5305</v>
      </c>
      <c r="U124" t="n">
        <v>5920</v>
      </c>
      <c r="V124" t="n">
        <v>2597</v>
      </c>
      <c r="W124" t="n">
        <v>1492</v>
      </c>
      <c r="X124" t="n">
        <v>1369</v>
      </c>
      <c r="Y124" t="n">
        <v>7030</v>
      </c>
    </row>
    <row r="125">
      <c r="A125" t="n">
        <v>124</v>
      </c>
      <c r="B125" t="n">
        <v>0</v>
      </c>
      <c r="C125" t="n">
        <v>6417</v>
      </c>
      <c r="D125" t="n">
        <v>11671</v>
      </c>
      <c r="E125" t="n">
        <v>38465</v>
      </c>
      <c r="F125" t="n">
        <v>125970</v>
      </c>
      <c r="G125" t="n">
        <v>407521</v>
      </c>
      <c r="H125" t="n">
        <v>1306792</v>
      </c>
      <c r="I125" t="n">
        <v>4140659</v>
      </c>
      <c r="J125" t="n">
        <v>2000</v>
      </c>
      <c r="K125" t="n">
        <v>9216</v>
      </c>
      <c r="L125" t="n">
        <v>2240</v>
      </c>
      <c r="M125" t="n">
        <v>1024</v>
      </c>
      <c r="N125" t="n">
        <v>1620</v>
      </c>
      <c r="O125" t="n">
        <v>2240</v>
      </c>
      <c r="P125" t="n">
        <v>2860</v>
      </c>
      <c r="Q125" t="n">
        <v>3480</v>
      </c>
      <c r="R125" t="n">
        <v>4100</v>
      </c>
      <c r="S125" t="n">
        <v>4720</v>
      </c>
      <c r="T125" t="n">
        <v>5340</v>
      </c>
      <c r="U125" t="n">
        <v>5960</v>
      </c>
      <c r="V125" t="n">
        <v>2615</v>
      </c>
      <c r="W125" t="n">
        <v>1496</v>
      </c>
      <c r="X125" t="n">
        <v>1372</v>
      </c>
      <c r="Y125" t="n">
        <v>7040</v>
      </c>
    </row>
    <row r="126">
      <c r="A126" t="n">
        <v>125</v>
      </c>
      <c r="B126" t="n">
        <v>0</v>
      </c>
      <c r="C126" t="n">
        <v>6514</v>
      </c>
      <c r="D126" t="n">
        <v>11905</v>
      </c>
      <c r="E126" t="n">
        <v>39619</v>
      </c>
      <c r="F126" t="n">
        <v>131009</v>
      </c>
      <c r="G126" t="n">
        <v>427898</v>
      </c>
      <c r="H126" t="n">
        <v>1385200</v>
      </c>
      <c r="I126" t="n">
        <v>4430506</v>
      </c>
      <c r="J126" t="n">
        <v>2000</v>
      </c>
      <c r="K126" t="n">
        <v>9309</v>
      </c>
      <c r="L126" t="n">
        <v>2250</v>
      </c>
      <c r="M126" t="n">
        <v>1025</v>
      </c>
      <c r="N126" t="n">
        <v>1625</v>
      </c>
      <c r="O126" t="n">
        <v>2250</v>
      </c>
      <c r="P126" t="n">
        <v>2875</v>
      </c>
      <c r="Q126" t="n">
        <v>3500</v>
      </c>
      <c r="R126" t="n">
        <v>4125</v>
      </c>
      <c r="S126" t="n">
        <v>4750</v>
      </c>
      <c r="T126" t="n">
        <v>5375</v>
      </c>
      <c r="U126" t="n">
        <v>6000</v>
      </c>
      <c r="V126" t="n">
        <v>2633</v>
      </c>
      <c r="W126" t="n">
        <v>1500</v>
      </c>
      <c r="X126" t="n">
        <v>1375</v>
      </c>
      <c r="Y126" t="n">
        <v>7050</v>
      </c>
    </row>
    <row r="127">
      <c r="A127" t="n">
        <v>126</v>
      </c>
      <c r="B127" t="n">
        <v>0</v>
      </c>
      <c r="C127" t="n">
        <v>6612</v>
      </c>
      <c r="D127" t="n">
        <v>12144</v>
      </c>
      <c r="E127" t="n">
        <v>40808</v>
      </c>
      <c r="F127" t="n">
        <v>136250</v>
      </c>
      <c r="G127" t="n">
        <v>449293</v>
      </c>
      <c r="H127" t="n">
        <v>1468312</v>
      </c>
      <c r="I127" t="n">
        <v>4740642</v>
      </c>
      <c r="J127" t="n">
        <v>2000</v>
      </c>
      <c r="K127" t="n">
        <v>9403</v>
      </c>
      <c r="L127" t="n">
        <v>2260</v>
      </c>
      <c r="M127" t="n">
        <v>1026</v>
      </c>
      <c r="N127" t="n">
        <v>1630</v>
      </c>
      <c r="O127" t="n">
        <v>2260</v>
      </c>
      <c r="P127" t="n">
        <v>2890</v>
      </c>
      <c r="Q127" t="n">
        <v>3520</v>
      </c>
      <c r="R127" t="n">
        <v>4150</v>
      </c>
      <c r="S127" t="n">
        <v>4780</v>
      </c>
      <c r="T127" t="n">
        <v>5410</v>
      </c>
      <c r="U127" t="n">
        <v>6040</v>
      </c>
      <c r="V127" t="n">
        <v>2651</v>
      </c>
      <c r="W127" t="n">
        <v>1504</v>
      </c>
      <c r="X127" t="n">
        <v>1378</v>
      </c>
      <c r="Y127" t="n">
        <v>7060</v>
      </c>
    </row>
    <row r="128">
      <c r="A128" t="n">
        <v>127</v>
      </c>
      <c r="B128" t="n">
        <v>0</v>
      </c>
      <c r="C128" t="n">
        <v>6712</v>
      </c>
      <c r="D128" t="n">
        <v>12387</v>
      </c>
      <c r="E128" t="n">
        <v>42033</v>
      </c>
      <c r="F128" t="n">
        <v>141700</v>
      </c>
      <c r="G128" t="n">
        <v>471758</v>
      </c>
      <c r="H128" t="n">
        <v>1556411</v>
      </c>
      <c r="I128" t="n">
        <v>5072487</v>
      </c>
      <c r="J128" t="n">
        <v>2000</v>
      </c>
      <c r="K128" t="n">
        <v>9498</v>
      </c>
      <c r="L128" t="n">
        <v>2270</v>
      </c>
      <c r="M128" t="n">
        <v>1027</v>
      </c>
      <c r="N128" t="n">
        <v>1635</v>
      </c>
      <c r="O128" t="n">
        <v>2270</v>
      </c>
      <c r="P128" t="n">
        <v>2905</v>
      </c>
      <c r="Q128" t="n">
        <v>3540</v>
      </c>
      <c r="R128" t="n">
        <v>4175</v>
      </c>
      <c r="S128" t="n">
        <v>4810</v>
      </c>
      <c r="T128" t="n">
        <v>5445</v>
      </c>
      <c r="U128" t="n">
        <v>6080</v>
      </c>
      <c r="V128" t="n">
        <v>2669</v>
      </c>
      <c r="W128" t="n">
        <v>1508</v>
      </c>
      <c r="X128" t="n">
        <v>1381</v>
      </c>
      <c r="Y128" t="n">
        <v>7070</v>
      </c>
    </row>
    <row r="129">
      <c r="A129" t="n">
        <v>128</v>
      </c>
      <c r="B129" t="n">
        <v>0</v>
      </c>
      <c r="C129" t="n">
        <v>6813</v>
      </c>
      <c r="D129" t="n">
        <v>12635</v>
      </c>
      <c r="E129" t="n">
        <v>43294</v>
      </c>
      <c r="F129" t="n">
        <v>147368</v>
      </c>
      <c r="G129" t="n">
        <v>495346</v>
      </c>
      <c r="H129" t="n">
        <v>1649796</v>
      </c>
      <c r="I129" t="n">
        <v>5427562</v>
      </c>
      <c r="J129" t="n">
        <v>2000</v>
      </c>
      <c r="K129" t="n">
        <v>9593</v>
      </c>
      <c r="L129" t="n">
        <v>2280</v>
      </c>
      <c r="M129" t="n">
        <v>1028</v>
      </c>
      <c r="N129" t="n">
        <v>1640</v>
      </c>
      <c r="O129" t="n">
        <v>2280</v>
      </c>
      <c r="P129" t="n">
        <v>2920</v>
      </c>
      <c r="Q129" t="n">
        <v>3560</v>
      </c>
      <c r="R129" t="n">
        <v>4200</v>
      </c>
      <c r="S129" t="n">
        <v>4840</v>
      </c>
      <c r="T129" t="n">
        <v>5480</v>
      </c>
      <c r="U129" t="n">
        <v>6120</v>
      </c>
      <c r="V129" t="n">
        <v>2687</v>
      </c>
      <c r="W129" t="n">
        <v>1512</v>
      </c>
      <c r="X129" t="n">
        <v>1384</v>
      </c>
      <c r="Y129" t="n">
        <v>7080</v>
      </c>
    </row>
    <row r="130">
      <c r="A130" t="n">
        <v>129</v>
      </c>
      <c r="B130" t="n">
        <v>0</v>
      </c>
      <c r="C130" t="n">
        <v>6916</v>
      </c>
      <c r="D130" t="n">
        <v>12888</v>
      </c>
      <c r="E130" t="n">
        <v>44593</v>
      </c>
      <c r="F130" t="n">
        <v>153263</v>
      </c>
      <c r="G130" t="n">
        <v>520114</v>
      </c>
      <c r="H130" t="n">
        <v>1748784</v>
      </c>
      <c r="I130" t="n">
        <v>5807492</v>
      </c>
      <c r="J130" t="n">
        <v>2000</v>
      </c>
      <c r="K130" t="n">
        <v>9689</v>
      </c>
      <c r="L130" t="n">
        <v>2290</v>
      </c>
      <c r="M130" t="n">
        <v>1029</v>
      </c>
      <c r="N130" t="n">
        <v>1645</v>
      </c>
      <c r="O130" t="n">
        <v>2290</v>
      </c>
      <c r="P130" t="n">
        <v>2935</v>
      </c>
      <c r="Q130" t="n">
        <v>3580</v>
      </c>
      <c r="R130" t="n">
        <v>4225</v>
      </c>
      <c r="S130" t="n">
        <v>4870</v>
      </c>
      <c r="T130" t="n">
        <v>5515</v>
      </c>
      <c r="U130" t="n">
        <v>6160</v>
      </c>
      <c r="V130" t="n">
        <v>2705</v>
      </c>
      <c r="W130" t="n">
        <v>1516</v>
      </c>
      <c r="X130" t="n">
        <v>1387</v>
      </c>
      <c r="Y130" t="n">
        <v>7090</v>
      </c>
    </row>
    <row r="131">
      <c r="A131" t="n">
        <v>130</v>
      </c>
      <c r="B131" t="n">
        <v>0</v>
      </c>
      <c r="C131" t="n">
        <v>7020</v>
      </c>
      <c r="D131" t="n">
        <v>13146</v>
      </c>
      <c r="E131" t="n">
        <v>45931</v>
      </c>
      <c r="F131" t="n">
        <v>159394</v>
      </c>
      <c r="G131" t="n">
        <v>546120</v>
      </c>
      <c r="H131" t="n">
        <v>1853712</v>
      </c>
      <c r="I131" t="n">
        <v>6214017</v>
      </c>
      <c r="J131" t="n">
        <v>2000</v>
      </c>
      <c r="K131" t="n">
        <v>9786</v>
      </c>
      <c r="L131" t="n">
        <v>2300</v>
      </c>
      <c r="M131" t="n">
        <v>1030</v>
      </c>
      <c r="N131" t="n">
        <v>1650</v>
      </c>
      <c r="O131" t="n">
        <v>2300</v>
      </c>
      <c r="P131" t="n">
        <v>2950</v>
      </c>
      <c r="Q131" t="n">
        <v>3600</v>
      </c>
      <c r="R131" t="n">
        <v>4250</v>
      </c>
      <c r="S131" t="n">
        <v>4900</v>
      </c>
      <c r="T131" t="n">
        <v>5550</v>
      </c>
      <c r="U131" t="n">
        <v>6200</v>
      </c>
      <c r="V131" t="n">
        <v>2723</v>
      </c>
      <c r="W131" t="n">
        <v>1520</v>
      </c>
      <c r="X131" t="n">
        <v>1390</v>
      </c>
      <c r="Y131" t="n">
        <v>7100</v>
      </c>
    </row>
    <row r="132">
      <c r="A132" t="n">
        <v>131</v>
      </c>
      <c r="B132" t="n">
        <v>0</v>
      </c>
      <c r="C132" t="n">
        <v>7126</v>
      </c>
      <c r="D132" t="n">
        <v>13409</v>
      </c>
      <c r="E132" t="n">
        <v>47309</v>
      </c>
      <c r="F132" t="n">
        <v>165770</v>
      </c>
      <c r="G132" t="n">
        <v>573426</v>
      </c>
      <c r="H132" t="n">
        <v>1964935</v>
      </c>
      <c r="I132" t="n">
        <v>6648999</v>
      </c>
      <c r="J132" t="n">
        <v>2000</v>
      </c>
      <c r="K132" t="n">
        <v>9884</v>
      </c>
      <c r="L132" t="n">
        <v>2310</v>
      </c>
      <c r="M132" t="n">
        <v>1031</v>
      </c>
      <c r="N132" t="n">
        <v>1655</v>
      </c>
      <c r="O132" t="n">
        <v>2310</v>
      </c>
      <c r="P132" t="n">
        <v>2965</v>
      </c>
      <c r="Q132" t="n">
        <v>3620</v>
      </c>
      <c r="R132" t="n">
        <v>4275</v>
      </c>
      <c r="S132" t="n">
        <v>4930</v>
      </c>
      <c r="T132" t="n">
        <v>5585</v>
      </c>
      <c r="U132" t="n">
        <v>6240</v>
      </c>
      <c r="V132" t="n">
        <v>2741</v>
      </c>
      <c r="W132" t="n">
        <v>1524</v>
      </c>
      <c r="X132" t="n">
        <v>1393</v>
      </c>
      <c r="Y132" t="n">
        <v>7110</v>
      </c>
    </row>
    <row r="133">
      <c r="A133" t="n">
        <v>132</v>
      </c>
      <c r="B133" t="n">
        <v>0</v>
      </c>
      <c r="C133" t="n">
        <v>7233</v>
      </c>
      <c r="D133" t="n">
        <v>13678</v>
      </c>
      <c r="E133" t="n">
        <v>48729</v>
      </c>
      <c r="F133" t="n">
        <v>172401</v>
      </c>
      <c r="G133" t="n">
        <v>602098</v>
      </c>
      <c r="H133" t="n">
        <v>2082832</v>
      </c>
      <c r="I133" t="n">
        <v>7114429</v>
      </c>
      <c r="J133" t="n">
        <v>2000</v>
      </c>
      <c r="K133" t="n">
        <v>9983</v>
      </c>
      <c r="L133" t="n">
        <v>2320</v>
      </c>
      <c r="M133" t="n">
        <v>1032</v>
      </c>
      <c r="N133" t="n">
        <v>1660</v>
      </c>
      <c r="O133" t="n">
        <v>2320</v>
      </c>
      <c r="P133" t="n">
        <v>2980</v>
      </c>
      <c r="Q133" t="n">
        <v>3640</v>
      </c>
      <c r="R133" t="n">
        <v>4300</v>
      </c>
      <c r="S133" t="n">
        <v>4960</v>
      </c>
      <c r="T133" t="n">
        <v>5620</v>
      </c>
      <c r="U133" t="n">
        <v>6280</v>
      </c>
      <c r="V133" t="n">
        <v>2759</v>
      </c>
      <c r="W133" t="n">
        <v>1528</v>
      </c>
      <c r="X133" t="n">
        <v>1396</v>
      </c>
      <c r="Y133" t="n">
        <v>7120</v>
      </c>
    </row>
    <row r="134">
      <c r="A134" t="n">
        <v>133</v>
      </c>
      <c r="B134" t="n">
        <v>0</v>
      </c>
      <c r="C134" t="n">
        <v>7342</v>
      </c>
      <c r="D134" t="n">
        <v>13952</v>
      </c>
      <c r="E134" t="n">
        <v>50191</v>
      </c>
      <c r="F134" t="n">
        <v>179298</v>
      </c>
      <c r="G134" t="n">
        <v>632203</v>
      </c>
      <c r="H134" t="n">
        <v>2207802</v>
      </c>
      <c r="I134" t="n">
        <v>7612440</v>
      </c>
      <c r="J134" t="n">
        <v>2000</v>
      </c>
      <c r="K134" t="n">
        <v>10083</v>
      </c>
      <c r="L134" t="n">
        <v>2330</v>
      </c>
      <c r="M134" t="n">
        <v>1033</v>
      </c>
      <c r="N134" t="n">
        <v>1665</v>
      </c>
      <c r="O134" t="n">
        <v>2330</v>
      </c>
      <c r="P134" t="n">
        <v>2995</v>
      </c>
      <c r="Q134" t="n">
        <v>3660</v>
      </c>
      <c r="R134" t="n">
        <v>4325</v>
      </c>
      <c r="S134" t="n">
        <v>4990</v>
      </c>
      <c r="T134" t="n">
        <v>5655</v>
      </c>
      <c r="U134" t="n">
        <v>6320</v>
      </c>
      <c r="V134" t="n">
        <v>2777</v>
      </c>
      <c r="W134" t="n">
        <v>1532</v>
      </c>
      <c r="X134" t="n">
        <v>1399</v>
      </c>
      <c r="Y134" t="n">
        <v>7130</v>
      </c>
    </row>
    <row r="135">
      <c r="A135" t="n">
        <v>134</v>
      </c>
      <c r="B135" t="n">
        <v>0</v>
      </c>
      <c r="C135" t="n">
        <v>7453</v>
      </c>
      <c r="D135" t="n">
        <v>14232</v>
      </c>
      <c r="E135" t="n">
        <v>51697</v>
      </c>
      <c r="F135" t="n">
        <v>186470</v>
      </c>
      <c r="G135" t="n">
        <v>663814</v>
      </c>
      <c r="H135" t="n">
        <v>2340271</v>
      </c>
      <c r="I135" t="n">
        <v>8145311</v>
      </c>
      <c r="J135" t="n">
        <v>2000</v>
      </c>
      <c r="K135" t="n">
        <v>10184</v>
      </c>
      <c r="L135" t="n">
        <v>2340</v>
      </c>
      <c r="M135" t="n">
        <v>1034</v>
      </c>
      <c r="N135" t="n">
        <v>1670</v>
      </c>
      <c r="O135" t="n">
        <v>2340</v>
      </c>
      <c r="P135" t="n">
        <v>3010</v>
      </c>
      <c r="Q135" t="n">
        <v>3680</v>
      </c>
      <c r="R135" t="n">
        <v>4350</v>
      </c>
      <c r="S135" t="n">
        <v>5020</v>
      </c>
      <c r="T135" t="n">
        <v>5690</v>
      </c>
      <c r="U135" t="n">
        <v>6360</v>
      </c>
      <c r="V135" t="n">
        <v>2795</v>
      </c>
      <c r="W135" t="n">
        <v>1536</v>
      </c>
      <c r="X135" t="n">
        <v>1402</v>
      </c>
      <c r="Y135" t="n">
        <v>7140</v>
      </c>
    </row>
    <row r="136">
      <c r="A136" t="n">
        <v>135</v>
      </c>
      <c r="B136" t="n">
        <v>0</v>
      </c>
      <c r="C136" t="n">
        <v>7565</v>
      </c>
      <c r="D136" t="n">
        <v>14517</v>
      </c>
      <c r="E136" t="n">
        <v>53248</v>
      </c>
      <c r="F136" t="n">
        <v>193929</v>
      </c>
      <c r="G136" t="n">
        <v>697005</v>
      </c>
      <c r="H136" t="n">
        <v>2480688</v>
      </c>
      <c r="I136" t="n">
        <v>8715483</v>
      </c>
      <c r="J136" t="n">
        <v>2000</v>
      </c>
      <c r="K136" t="n">
        <v>10286</v>
      </c>
      <c r="L136" t="n">
        <v>2350</v>
      </c>
      <c r="M136" t="n">
        <v>1035</v>
      </c>
      <c r="N136" t="n">
        <v>1675</v>
      </c>
      <c r="O136" t="n">
        <v>2350</v>
      </c>
      <c r="P136" t="n">
        <v>3025</v>
      </c>
      <c r="Q136" t="n">
        <v>3700</v>
      </c>
      <c r="R136" t="n">
        <v>4375</v>
      </c>
      <c r="S136" t="n">
        <v>5050</v>
      </c>
      <c r="T136" t="n">
        <v>5725</v>
      </c>
      <c r="U136" t="n">
        <v>6400</v>
      </c>
      <c r="V136" t="n">
        <v>2813</v>
      </c>
      <c r="W136" t="n">
        <v>1540</v>
      </c>
      <c r="X136" t="n">
        <v>1405</v>
      </c>
      <c r="Y136" t="n">
        <v>7150</v>
      </c>
    </row>
    <row r="137">
      <c r="A137" t="n">
        <v>136</v>
      </c>
      <c r="B137" t="n">
        <v>0</v>
      </c>
      <c r="C137" t="n">
        <v>7679</v>
      </c>
      <c r="D137" t="n">
        <v>14808</v>
      </c>
      <c r="E137" t="n">
        <v>54846</v>
      </c>
      <c r="F137" t="n">
        <v>201687</v>
      </c>
      <c r="G137" t="n">
        <v>731856</v>
      </c>
      <c r="H137" t="n">
        <v>2629530</v>
      </c>
      <c r="I137" t="n">
        <v>9325567</v>
      </c>
      <c r="J137" t="n">
        <v>2000</v>
      </c>
      <c r="K137" t="n">
        <v>10389</v>
      </c>
      <c r="L137" t="n">
        <v>2360</v>
      </c>
      <c r="M137" t="n">
        <v>1036</v>
      </c>
      <c r="N137" t="n">
        <v>1680</v>
      </c>
      <c r="O137" t="n">
        <v>2360</v>
      </c>
      <c r="P137" t="n">
        <v>3040</v>
      </c>
      <c r="Q137" t="n">
        <v>3720</v>
      </c>
      <c r="R137" t="n">
        <v>4400</v>
      </c>
      <c r="S137" t="n">
        <v>5080</v>
      </c>
      <c r="T137" t="n">
        <v>5760</v>
      </c>
      <c r="U137" t="n">
        <v>6440</v>
      </c>
      <c r="V137" t="n">
        <v>2832</v>
      </c>
      <c r="W137" t="n">
        <v>1544</v>
      </c>
      <c r="X137" t="n">
        <v>1408</v>
      </c>
      <c r="Y137" t="n">
        <v>7160</v>
      </c>
    </row>
    <row r="138">
      <c r="A138" t="n">
        <v>137</v>
      </c>
      <c r="B138" t="n">
        <v>0</v>
      </c>
      <c r="C138" t="n">
        <v>7795</v>
      </c>
      <c r="D138" t="n">
        <v>15105</v>
      </c>
      <c r="E138" t="n">
        <v>56492</v>
      </c>
      <c r="F138" t="n">
        <v>209755</v>
      </c>
      <c r="G138" t="n">
        <v>768449</v>
      </c>
      <c r="H138" t="n">
        <v>2787302</v>
      </c>
      <c r="I138" t="n">
        <v>9978357</v>
      </c>
      <c r="J138" t="n">
        <v>2000</v>
      </c>
      <c r="K138" t="n">
        <v>10493</v>
      </c>
      <c r="L138" t="n">
        <v>2370</v>
      </c>
      <c r="M138" t="n">
        <v>1037</v>
      </c>
      <c r="N138" t="n">
        <v>1685</v>
      </c>
      <c r="O138" t="n">
        <v>2370</v>
      </c>
      <c r="P138" t="n">
        <v>3055</v>
      </c>
      <c r="Q138" t="n">
        <v>3740</v>
      </c>
      <c r="R138" t="n">
        <v>4425</v>
      </c>
      <c r="S138" t="n">
        <v>5110</v>
      </c>
      <c r="T138" t="n">
        <v>5795</v>
      </c>
      <c r="U138" t="n">
        <v>6480</v>
      </c>
      <c r="V138" t="n">
        <v>2851</v>
      </c>
      <c r="W138" t="n">
        <v>1548</v>
      </c>
      <c r="X138" t="n">
        <v>1411</v>
      </c>
      <c r="Y138" t="n">
        <v>7170</v>
      </c>
    </row>
    <row r="139">
      <c r="A139" t="n">
        <v>138</v>
      </c>
      <c r="B139" t="n">
        <v>0</v>
      </c>
      <c r="C139" t="n">
        <v>7912</v>
      </c>
      <c r="D139" t="n">
        <v>15408</v>
      </c>
      <c r="E139" t="n">
        <v>58187</v>
      </c>
      <c r="F139" t="n">
        <v>218146</v>
      </c>
      <c r="G139" t="n">
        <v>806872</v>
      </c>
      <c r="H139" t="n">
        <v>2954541</v>
      </c>
      <c r="I139" t="n">
        <v>10676842</v>
      </c>
      <c r="J139" t="n">
        <v>2000</v>
      </c>
      <c r="K139" t="n">
        <v>10598</v>
      </c>
      <c r="L139" t="n">
        <v>2380</v>
      </c>
      <c r="M139" t="n">
        <v>1038</v>
      </c>
      <c r="N139" t="n">
        <v>1690</v>
      </c>
      <c r="O139" t="n">
        <v>2380</v>
      </c>
      <c r="P139" t="n">
        <v>3070</v>
      </c>
      <c r="Q139" t="n">
        <v>3760</v>
      </c>
      <c r="R139" t="n">
        <v>4450</v>
      </c>
      <c r="S139" t="n">
        <v>5140</v>
      </c>
      <c r="T139" t="n">
        <v>5830</v>
      </c>
      <c r="U139" t="n">
        <v>6520</v>
      </c>
      <c r="V139" t="n">
        <v>2870</v>
      </c>
      <c r="W139" t="n">
        <v>1552</v>
      </c>
      <c r="X139" t="n">
        <v>1414</v>
      </c>
      <c r="Y139" t="n">
        <v>7180</v>
      </c>
    </row>
    <row r="140">
      <c r="A140" t="n">
        <v>139</v>
      </c>
      <c r="B140" t="n">
        <v>0</v>
      </c>
      <c r="C140" t="n">
        <v>8031</v>
      </c>
      <c r="D140" t="n">
        <v>15717</v>
      </c>
      <c r="E140" t="n">
        <v>59933</v>
      </c>
      <c r="F140" t="n">
        <v>226872</v>
      </c>
      <c r="G140" t="n">
        <v>847216</v>
      </c>
      <c r="H140" t="n">
        <v>3131814</v>
      </c>
      <c r="I140" t="n">
        <v>11424221</v>
      </c>
      <c r="J140" t="n">
        <v>2000</v>
      </c>
      <c r="K140" t="n">
        <v>10704</v>
      </c>
      <c r="L140" t="n">
        <v>2390</v>
      </c>
      <c r="M140" t="n">
        <v>1039</v>
      </c>
      <c r="N140" t="n">
        <v>1695</v>
      </c>
      <c r="O140" t="n">
        <v>2390</v>
      </c>
      <c r="P140" t="n">
        <v>3085</v>
      </c>
      <c r="Q140" t="n">
        <v>3780</v>
      </c>
      <c r="R140" t="n">
        <v>4475</v>
      </c>
      <c r="S140" t="n">
        <v>5170</v>
      </c>
      <c r="T140" t="n">
        <v>5865</v>
      </c>
      <c r="U140" t="n">
        <v>6560</v>
      </c>
      <c r="V140" t="n">
        <v>2889</v>
      </c>
      <c r="W140" t="n">
        <v>1556</v>
      </c>
      <c r="X140" t="n">
        <v>1417</v>
      </c>
      <c r="Y140" t="n">
        <v>7190</v>
      </c>
    </row>
    <row r="141">
      <c r="A141" t="n">
        <v>140</v>
      </c>
      <c r="B141" t="n">
        <v>0</v>
      </c>
      <c r="C141" t="n">
        <v>8152</v>
      </c>
      <c r="D141" t="n">
        <v>16032</v>
      </c>
      <c r="E141" t="n">
        <v>61731</v>
      </c>
      <c r="F141" t="n">
        <v>235947</v>
      </c>
      <c r="G141" t="n">
        <v>889577</v>
      </c>
      <c r="H141" t="n">
        <v>3319723</v>
      </c>
      <c r="I141" t="n">
        <v>12223917</v>
      </c>
      <c r="J141" t="n">
        <v>2000</v>
      </c>
      <c r="K141" t="n">
        <v>10812</v>
      </c>
      <c r="L141" t="n">
        <v>2400</v>
      </c>
      <c r="M141" t="n">
        <v>1040</v>
      </c>
      <c r="N141" t="n">
        <v>1700</v>
      </c>
      <c r="O141" t="n">
        <v>2400</v>
      </c>
      <c r="P141" t="n">
        <v>3100</v>
      </c>
      <c r="Q141" t="n">
        <v>3800</v>
      </c>
      <c r="R141" t="n">
        <v>4500</v>
      </c>
      <c r="S141" t="n">
        <v>5200</v>
      </c>
      <c r="T141" t="n">
        <v>5900</v>
      </c>
      <c r="U141" t="n">
        <v>6600</v>
      </c>
      <c r="V141" t="n">
        <v>2908</v>
      </c>
      <c r="W141" t="n">
        <v>1560</v>
      </c>
      <c r="X141" t="n">
        <v>1420</v>
      </c>
      <c r="Y141" t="n">
        <v>7200</v>
      </c>
    </row>
    <row r="142">
      <c r="A142" t="n">
        <v>141</v>
      </c>
      <c r="B142" t="n">
        <v>0</v>
      </c>
      <c r="C142" t="n">
        <v>8275</v>
      </c>
      <c r="D142" t="n">
        <v>16353</v>
      </c>
      <c r="E142" t="n">
        <v>63583</v>
      </c>
      <c r="F142" t="n">
        <v>245385</v>
      </c>
      <c r="G142" t="n">
        <v>934056</v>
      </c>
      <c r="H142" t="n">
        <v>3518907</v>
      </c>
      <c r="I142" t="n">
        <v>13079592</v>
      </c>
      <c r="J142" t="n">
        <v>2000</v>
      </c>
      <c r="K142" t="n">
        <v>10921</v>
      </c>
      <c r="L142" t="n">
        <v>2410</v>
      </c>
      <c r="M142" t="n">
        <v>1041</v>
      </c>
      <c r="N142" t="n">
        <v>1705</v>
      </c>
      <c r="O142" t="n">
        <v>2410</v>
      </c>
      <c r="P142" t="n">
        <v>3115</v>
      </c>
      <c r="Q142" t="n">
        <v>3820</v>
      </c>
      <c r="R142" t="n">
        <v>4525</v>
      </c>
      <c r="S142" t="n">
        <v>5230</v>
      </c>
      <c r="T142" t="n">
        <v>5935</v>
      </c>
      <c r="U142" t="n">
        <v>6640</v>
      </c>
      <c r="V142" t="n">
        <v>2927</v>
      </c>
      <c r="W142" t="n">
        <v>1564</v>
      </c>
      <c r="X142" t="n">
        <v>1423</v>
      </c>
      <c r="Y142" t="n">
        <v>7210</v>
      </c>
    </row>
    <row r="143">
      <c r="A143" t="n">
        <v>142</v>
      </c>
      <c r="B143" t="n">
        <v>0</v>
      </c>
      <c r="C143" t="n">
        <v>8400</v>
      </c>
      <c r="D143" t="n">
        <v>16681</v>
      </c>
      <c r="E143" t="n">
        <v>65491</v>
      </c>
      <c r="F143" t="n">
        <v>255201</v>
      </c>
      <c r="G143" t="n">
        <v>980759</v>
      </c>
      <c r="H143" t="n">
        <v>3730042</v>
      </c>
      <c r="I143" t="n">
        <v>13995164</v>
      </c>
      <c r="J143" t="n">
        <v>2000</v>
      </c>
      <c r="K143" t="n">
        <v>11031</v>
      </c>
      <c r="L143" t="n">
        <v>2420</v>
      </c>
      <c r="M143" t="n">
        <v>1042</v>
      </c>
      <c r="N143" t="n">
        <v>1710</v>
      </c>
      <c r="O143" t="n">
        <v>2420</v>
      </c>
      <c r="P143" t="n">
        <v>3130</v>
      </c>
      <c r="Q143" t="n">
        <v>3840</v>
      </c>
      <c r="R143" t="n">
        <v>4550</v>
      </c>
      <c r="S143" t="n">
        <v>5260</v>
      </c>
      <c r="T143" t="n">
        <v>5970</v>
      </c>
      <c r="U143" t="n">
        <v>6680</v>
      </c>
      <c r="V143" t="n">
        <v>2946</v>
      </c>
      <c r="W143" t="n">
        <v>1568</v>
      </c>
      <c r="X143" t="n">
        <v>1426</v>
      </c>
      <c r="Y143" t="n">
        <v>7220</v>
      </c>
    </row>
    <row r="144">
      <c r="A144" t="n">
        <v>143</v>
      </c>
      <c r="B144" t="n">
        <v>0</v>
      </c>
      <c r="C144" t="n">
        <v>8526</v>
      </c>
      <c r="D144" t="n">
        <v>17015</v>
      </c>
      <c r="E144" t="n">
        <v>67456</v>
      </c>
      <c r="F144" t="n">
        <v>265410</v>
      </c>
      <c r="G144" t="n">
        <v>1029797</v>
      </c>
      <c r="H144" t="n">
        <v>3953845</v>
      </c>
      <c r="I144" t="n">
        <v>14974826</v>
      </c>
      <c r="J144" t="n">
        <v>2000</v>
      </c>
      <c r="K144" t="n">
        <v>11142</v>
      </c>
      <c r="L144" t="n">
        <v>2430</v>
      </c>
      <c r="M144" t="n">
        <v>1043</v>
      </c>
      <c r="N144" t="n">
        <v>1715</v>
      </c>
      <c r="O144" t="n">
        <v>2430</v>
      </c>
      <c r="P144" t="n">
        <v>3145</v>
      </c>
      <c r="Q144" t="n">
        <v>3860</v>
      </c>
      <c r="R144" t="n">
        <v>4575</v>
      </c>
      <c r="S144" t="n">
        <v>5290</v>
      </c>
      <c r="T144" t="n">
        <v>6005</v>
      </c>
      <c r="U144" t="n">
        <v>6720</v>
      </c>
      <c r="V144" t="n">
        <v>2965</v>
      </c>
      <c r="W144" t="n">
        <v>1572</v>
      </c>
      <c r="X144" t="n">
        <v>1429</v>
      </c>
      <c r="Y144" t="n">
        <v>7230</v>
      </c>
    </row>
    <row r="145">
      <c r="A145" t="n">
        <v>144</v>
      </c>
      <c r="B145" t="n">
        <v>0</v>
      </c>
      <c r="C145" t="n">
        <v>8654</v>
      </c>
      <c r="D145" t="n">
        <v>17356</v>
      </c>
      <c r="E145" t="n">
        <v>69480</v>
      </c>
      <c r="F145" t="n">
        <v>276027</v>
      </c>
      <c r="G145" t="n">
        <v>1081287</v>
      </c>
      <c r="H145" t="n">
        <v>4191076</v>
      </c>
      <c r="I145" t="n">
        <v>16023064</v>
      </c>
      <c r="J145" t="n">
        <v>2000</v>
      </c>
      <c r="K145" t="n">
        <v>11254</v>
      </c>
      <c r="L145" t="n">
        <v>2440</v>
      </c>
      <c r="M145" t="n">
        <v>1044</v>
      </c>
      <c r="N145" t="n">
        <v>1720</v>
      </c>
      <c r="O145" t="n">
        <v>2440</v>
      </c>
      <c r="P145" t="n">
        <v>3160</v>
      </c>
      <c r="Q145" t="n">
        <v>3880</v>
      </c>
      <c r="R145" t="n">
        <v>4600</v>
      </c>
      <c r="S145" t="n">
        <v>5320</v>
      </c>
      <c r="T145" t="n">
        <v>6040</v>
      </c>
      <c r="U145" t="n">
        <v>6760</v>
      </c>
      <c r="V145" t="n">
        <v>2984</v>
      </c>
      <c r="W145" t="n">
        <v>1576</v>
      </c>
      <c r="X145" t="n">
        <v>1432</v>
      </c>
      <c r="Y145" t="n">
        <v>7240</v>
      </c>
    </row>
    <row r="146">
      <c r="A146" t="n">
        <v>145</v>
      </c>
      <c r="B146" t="n">
        <v>0</v>
      </c>
      <c r="C146" t="n">
        <v>8784</v>
      </c>
      <c r="D146" t="n">
        <v>17704</v>
      </c>
      <c r="E146" t="n">
        <v>71565</v>
      </c>
      <c r="F146" t="n">
        <v>287069</v>
      </c>
      <c r="G146" t="n">
        <v>1135352</v>
      </c>
      <c r="H146" t="n">
        <v>4442541</v>
      </c>
      <c r="I146" t="n">
        <v>17144679</v>
      </c>
      <c r="J146" t="n">
        <v>2000</v>
      </c>
      <c r="K146" t="n">
        <v>11367</v>
      </c>
      <c r="L146" t="n">
        <v>2450</v>
      </c>
      <c r="M146" t="n">
        <v>1045</v>
      </c>
      <c r="N146" t="n">
        <v>1725</v>
      </c>
      <c r="O146" t="n">
        <v>2450</v>
      </c>
      <c r="P146" t="n">
        <v>3175</v>
      </c>
      <c r="Q146" t="n">
        <v>3900</v>
      </c>
      <c r="R146" t="n">
        <v>4625</v>
      </c>
      <c r="S146" t="n">
        <v>5350</v>
      </c>
      <c r="T146" t="n">
        <v>6075</v>
      </c>
      <c r="U146" t="n">
        <v>6800</v>
      </c>
      <c r="V146" t="n">
        <v>3003</v>
      </c>
      <c r="W146" t="n">
        <v>1580</v>
      </c>
      <c r="X146" t="n">
        <v>1435</v>
      </c>
      <c r="Y146" t="n">
        <v>7250</v>
      </c>
    </row>
    <row r="147">
      <c r="A147" t="n">
        <v>146</v>
      </c>
      <c r="B147" t="n">
        <v>0</v>
      </c>
      <c r="C147" t="n">
        <v>8916</v>
      </c>
      <c r="D147" t="n">
        <v>18059</v>
      </c>
      <c r="E147" t="n">
        <v>73712</v>
      </c>
      <c r="F147" t="n">
        <v>298552</v>
      </c>
      <c r="G147" t="n">
        <v>1192120</v>
      </c>
      <c r="H147" t="n">
        <v>4709094</v>
      </c>
      <c r="I147" t="n">
        <v>18344807</v>
      </c>
      <c r="J147" t="n">
        <v>2000</v>
      </c>
      <c r="K147" t="n">
        <v>11481</v>
      </c>
      <c r="L147" t="n">
        <v>2460</v>
      </c>
      <c r="M147" t="n">
        <v>1046</v>
      </c>
      <c r="N147" t="n">
        <v>1730</v>
      </c>
      <c r="O147" t="n">
        <v>2460</v>
      </c>
      <c r="P147" t="n">
        <v>3190</v>
      </c>
      <c r="Q147" t="n">
        <v>3920</v>
      </c>
      <c r="R147" t="n">
        <v>4650</v>
      </c>
      <c r="S147" t="n">
        <v>5380</v>
      </c>
      <c r="T147" t="n">
        <v>6110</v>
      </c>
      <c r="U147" t="n">
        <v>6840</v>
      </c>
      <c r="V147" t="n">
        <v>3023</v>
      </c>
      <c r="W147" t="n">
        <v>1584</v>
      </c>
      <c r="X147" t="n">
        <v>1438</v>
      </c>
      <c r="Y147" t="n">
        <v>7260</v>
      </c>
    </row>
    <row r="148">
      <c r="A148" t="n">
        <v>147</v>
      </c>
      <c r="B148" t="n">
        <v>0</v>
      </c>
      <c r="C148" t="n">
        <v>9050</v>
      </c>
      <c r="D148" t="n">
        <v>18421</v>
      </c>
      <c r="E148" t="n">
        <v>75924</v>
      </c>
      <c r="F148" t="n">
        <v>310495</v>
      </c>
      <c r="G148" t="n">
        <v>1251726</v>
      </c>
      <c r="H148" t="n">
        <v>4991640</v>
      </c>
      <c r="I148" t="n">
        <v>19628944</v>
      </c>
      <c r="J148" t="n">
        <v>2000</v>
      </c>
      <c r="K148" t="n">
        <v>11596</v>
      </c>
      <c r="L148" t="n">
        <v>2470</v>
      </c>
      <c r="M148" t="n">
        <v>1047</v>
      </c>
      <c r="N148" t="n">
        <v>1735</v>
      </c>
      <c r="O148" t="n">
        <v>2470</v>
      </c>
      <c r="P148" t="n">
        <v>3205</v>
      </c>
      <c r="Q148" t="n">
        <v>3940</v>
      </c>
      <c r="R148" t="n">
        <v>4675</v>
      </c>
      <c r="S148" t="n">
        <v>5410</v>
      </c>
      <c r="T148" t="n">
        <v>6145</v>
      </c>
      <c r="U148" t="n">
        <v>6880</v>
      </c>
      <c r="V148" t="n">
        <v>3043</v>
      </c>
      <c r="W148" t="n">
        <v>1588</v>
      </c>
      <c r="X148" t="n">
        <v>1441</v>
      </c>
      <c r="Y148" t="n">
        <v>7270</v>
      </c>
    </row>
    <row r="149">
      <c r="A149" t="n">
        <v>148</v>
      </c>
      <c r="B149" t="n">
        <v>0</v>
      </c>
      <c r="C149" t="n">
        <v>9186</v>
      </c>
      <c r="D149" t="n">
        <v>18790</v>
      </c>
      <c r="E149" t="n">
        <v>78202</v>
      </c>
      <c r="F149" t="n">
        <v>322915</v>
      </c>
      <c r="G149" t="n">
        <v>1314313</v>
      </c>
      <c r="H149" t="n">
        <v>5291139</v>
      </c>
      <c r="I149" t="n">
        <v>21002971</v>
      </c>
      <c r="J149" t="n">
        <v>2000</v>
      </c>
      <c r="K149" t="n">
        <v>11712</v>
      </c>
      <c r="L149" t="n">
        <v>2480</v>
      </c>
      <c r="M149" t="n">
        <v>1048</v>
      </c>
      <c r="N149" t="n">
        <v>1740</v>
      </c>
      <c r="O149" t="n">
        <v>2480</v>
      </c>
      <c r="P149" t="n">
        <v>3220</v>
      </c>
      <c r="Q149" t="n">
        <v>3960</v>
      </c>
      <c r="R149" t="n">
        <v>4700</v>
      </c>
      <c r="S149" t="n">
        <v>5440</v>
      </c>
      <c r="T149" t="n">
        <v>6180</v>
      </c>
      <c r="U149" t="n">
        <v>6920</v>
      </c>
      <c r="V149" t="n">
        <v>3063</v>
      </c>
      <c r="W149" t="n">
        <v>1592</v>
      </c>
      <c r="X149" t="n">
        <v>1444</v>
      </c>
      <c r="Y149" t="n">
        <v>7280</v>
      </c>
    </row>
    <row r="150">
      <c r="A150" t="n">
        <v>149</v>
      </c>
      <c r="B150" t="n">
        <v>0</v>
      </c>
      <c r="C150" t="n">
        <v>9324</v>
      </c>
      <c r="D150" t="n">
        <v>19166</v>
      </c>
      <c r="E150" t="n">
        <v>80549</v>
      </c>
      <c r="F150" t="n">
        <v>335832</v>
      </c>
      <c r="G150" t="n">
        <v>1380029</v>
      </c>
      <c r="H150" t="n">
        <v>5608608</v>
      </c>
      <c r="I150" t="n">
        <v>22473179</v>
      </c>
      <c r="J150" t="n">
        <v>2000</v>
      </c>
      <c r="K150" t="n">
        <v>11830</v>
      </c>
      <c r="L150" t="n">
        <v>2490</v>
      </c>
      <c r="M150" t="n">
        <v>1049</v>
      </c>
      <c r="N150" t="n">
        <v>1745</v>
      </c>
      <c r="O150" t="n">
        <v>2490</v>
      </c>
      <c r="P150" t="n">
        <v>3235</v>
      </c>
      <c r="Q150" t="n">
        <v>3980</v>
      </c>
      <c r="R150" t="n">
        <v>4725</v>
      </c>
      <c r="S150" t="n">
        <v>5470</v>
      </c>
      <c r="T150" t="n">
        <v>6215</v>
      </c>
      <c r="U150" t="n">
        <v>6960</v>
      </c>
      <c r="V150" t="n">
        <v>3083</v>
      </c>
      <c r="W150" t="n">
        <v>1596</v>
      </c>
      <c r="X150" t="n">
        <v>1447</v>
      </c>
      <c r="Y150" t="n">
        <v>7290</v>
      </c>
    </row>
    <row r="151">
      <c r="A151" t="n">
        <v>150</v>
      </c>
      <c r="B151" t="n">
        <v>0</v>
      </c>
      <c r="C151" t="n">
        <v>9464</v>
      </c>
      <c r="D151" t="n">
        <v>19550</v>
      </c>
      <c r="E151" t="n">
        <v>82966</v>
      </c>
      <c r="F151" t="n">
        <v>349266</v>
      </c>
      <c r="G151" t="n">
        <v>1449031</v>
      </c>
      <c r="H151" t="n">
        <v>5945125</v>
      </c>
      <c r="I151" t="n">
        <v>24046302</v>
      </c>
      <c r="J151" t="n">
        <v>2000</v>
      </c>
      <c r="K151" t="n">
        <v>11949</v>
      </c>
      <c r="L151" t="n">
        <v>2500</v>
      </c>
      <c r="M151" t="n">
        <v>1050</v>
      </c>
      <c r="N151" t="n">
        <v>1750</v>
      </c>
      <c r="O151" t="n">
        <v>2500</v>
      </c>
      <c r="P151" t="n">
        <v>3250</v>
      </c>
      <c r="Q151" t="n">
        <v>4000</v>
      </c>
      <c r="R151" t="n">
        <v>4750</v>
      </c>
      <c r="S151" t="n">
        <v>5500</v>
      </c>
      <c r="T151" t="n">
        <v>6250</v>
      </c>
      <c r="U151" t="n">
        <v>7000</v>
      </c>
      <c r="V151" t="n">
        <v>3103</v>
      </c>
      <c r="W151" t="n">
        <v>1600</v>
      </c>
      <c r="X151" t="n">
        <v>1450</v>
      </c>
      <c r="Y151" t="n">
        <v>7300</v>
      </c>
    </row>
    <row r="152">
      <c r="A152" t="n">
        <v>151</v>
      </c>
      <c r="B152" t="n">
        <v>0</v>
      </c>
      <c r="C152" t="n">
        <v>9606</v>
      </c>
      <c r="D152" t="n">
        <v>19941</v>
      </c>
      <c r="E152" t="n">
        <v>85455</v>
      </c>
      <c r="F152" t="n">
        <v>363237</v>
      </c>
      <c r="G152" t="n">
        <v>1521483</v>
      </c>
      <c r="H152" t="n">
        <v>6301833</v>
      </c>
      <c r="I152" t="n">
        <v>25729544</v>
      </c>
      <c r="J152" t="n">
        <v>2000</v>
      </c>
      <c r="K152" t="n">
        <v>12069</v>
      </c>
      <c r="L152" t="n">
        <v>2500</v>
      </c>
      <c r="M152" t="n">
        <v>1051</v>
      </c>
      <c r="N152" t="n">
        <v>1755</v>
      </c>
      <c r="O152" t="n">
        <v>2510</v>
      </c>
      <c r="P152" t="n">
        <v>3265</v>
      </c>
      <c r="Q152" t="n">
        <v>4020</v>
      </c>
      <c r="R152" t="n">
        <v>4775</v>
      </c>
      <c r="S152" t="n">
        <v>5530</v>
      </c>
      <c r="T152" t="n">
        <v>6285</v>
      </c>
      <c r="U152" t="n">
        <v>7040</v>
      </c>
      <c r="V152" t="n">
        <v>3123</v>
      </c>
      <c r="W152" t="n">
        <v>1604</v>
      </c>
      <c r="X152" t="n">
        <v>1453</v>
      </c>
      <c r="Y152" t="n">
        <v>7310</v>
      </c>
    </row>
    <row r="153">
      <c r="A153" t="n">
        <v>152</v>
      </c>
      <c r="B153" t="n">
        <v>0</v>
      </c>
      <c r="C153" t="n">
        <v>9751</v>
      </c>
      <c r="D153" t="n">
        <v>20340</v>
      </c>
      <c r="E153" t="n">
        <v>88019</v>
      </c>
      <c r="F153" t="n">
        <v>377767</v>
      </c>
      <c r="G153" t="n">
        <v>1597558</v>
      </c>
      <c r="H153" t="n">
        <v>6679943</v>
      </c>
      <c r="I153" t="n">
        <v>27530613</v>
      </c>
      <c r="J153" t="n">
        <v>2000</v>
      </c>
      <c r="K153" t="n">
        <v>12190</v>
      </c>
      <c r="L153" t="n">
        <v>2500</v>
      </c>
      <c r="M153" t="n">
        <v>1052</v>
      </c>
      <c r="N153" t="n">
        <v>1760</v>
      </c>
      <c r="O153" t="n">
        <v>2520</v>
      </c>
      <c r="P153" t="n">
        <v>3280</v>
      </c>
      <c r="Q153" t="n">
        <v>4040</v>
      </c>
      <c r="R153" t="n">
        <v>4800</v>
      </c>
      <c r="S153" t="n">
        <v>5560</v>
      </c>
      <c r="T153" t="n">
        <v>6320</v>
      </c>
      <c r="U153" t="n">
        <v>7080</v>
      </c>
      <c r="V153" t="n">
        <v>3143</v>
      </c>
      <c r="W153" t="n">
        <v>1608</v>
      </c>
      <c r="X153" t="n">
        <v>1456</v>
      </c>
      <c r="Y153" t="n">
        <v>7320</v>
      </c>
    </row>
    <row r="154">
      <c r="A154" t="n">
        <v>153</v>
      </c>
      <c r="B154" t="n">
        <v>0</v>
      </c>
      <c r="C154" t="n">
        <v>9898</v>
      </c>
      <c r="D154" t="n">
        <v>20747</v>
      </c>
      <c r="E154" t="n">
        <v>90660</v>
      </c>
      <c r="F154" t="n">
        <v>392878</v>
      </c>
      <c r="G154" t="n">
        <v>1677436</v>
      </c>
      <c r="H154" t="n">
        <v>7080740</v>
      </c>
      <c r="I154" t="n">
        <v>29457756</v>
      </c>
      <c r="J154" t="n">
        <v>2000</v>
      </c>
      <c r="K154" t="n">
        <v>12312</v>
      </c>
      <c r="L154" t="n">
        <v>2500</v>
      </c>
      <c r="M154" t="n">
        <v>1053</v>
      </c>
      <c r="N154" t="n">
        <v>1765</v>
      </c>
      <c r="O154" t="n">
        <v>2530</v>
      </c>
      <c r="P154" t="n">
        <v>3295</v>
      </c>
      <c r="Q154" t="n">
        <v>4060</v>
      </c>
      <c r="R154" t="n">
        <v>4825</v>
      </c>
      <c r="S154" t="n">
        <v>5590</v>
      </c>
      <c r="T154" t="n">
        <v>6355</v>
      </c>
      <c r="U154" t="n">
        <v>7120</v>
      </c>
      <c r="V154" t="n">
        <v>3163</v>
      </c>
      <c r="W154" t="n">
        <v>1612</v>
      </c>
      <c r="X154" t="n">
        <v>1459</v>
      </c>
      <c r="Y154" t="n">
        <v>7330</v>
      </c>
    </row>
    <row r="155">
      <c r="A155" t="n">
        <v>154</v>
      </c>
      <c r="B155" t="n">
        <v>0</v>
      </c>
      <c r="C155" t="n">
        <v>10047</v>
      </c>
      <c r="D155" t="n">
        <v>21162</v>
      </c>
      <c r="E155" t="n">
        <v>93380</v>
      </c>
      <c r="F155" t="n">
        <v>408594</v>
      </c>
      <c r="G155" t="n">
        <v>1761308</v>
      </c>
      <c r="H155" t="n">
        <v>7505585</v>
      </c>
      <c r="I155" t="n">
        <v>31519799</v>
      </c>
      <c r="J155" t="n">
        <v>2000</v>
      </c>
      <c r="K155" t="n">
        <v>12436</v>
      </c>
      <c r="L155" t="n">
        <v>2500</v>
      </c>
      <c r="M155" t="n">
        <v>1054</v>
      </c>
      <c r="N155" t="n">
        <v>1770</v>
      </c>
      <c r="O155" t="n">
        <v>2540</v>
      </c>
      <c r="P155" t="n">
        <v>3310</v>
      </c>
      <c r="Q155" t="n">
        <v>4080</v>
      </c>
      <c r="R155" t="n">
        <v>4850</v>
      </c>
      <c r="S155" t="n">
        <v>5620</v>
      </c>
      <c r="T155" t="n">
        <v>6390</v>
      </c>
      <c r="U155" t="n">
        <v>7160</v>
      </c>
      <c r="V155" t="n">
        <v>3183</v>
      </c>
      <c r="W155" t="n">
        <v>1616</v>
      </c>
      <c r="X155" t="n">
        <v>1462</v>
      </c>
      <c r="Y155" t="n">
        <v>7340</v>
      </c>
    </row>
    <row r="156">
      <c r="A156" t="n">
        <v>155</v>
      </c>
      <c r="B156" t="n">
        <v>0</v>
      </c>
      <c r="C156" t="n">
        <v>10198</v>
      </c>
      <c r="D156" t="n">
        <v>21586</v>
      </c>
      <c r="E156" t="n">
        <v>96182</v>
      </c>
      <c r="F156" t="n">
        <v>424938</v>
      </c>
      <c r="G156" t="n">
        <v>1849374</v>
      </c>
      <c r="H156" t="n">
        <v>7955921</v>
      </c>
      <c r="I156" t="n">
        <v>33726185</v>
      </c>
      <c r="J156" t="n">
        <v>2000</v>
      </c>
      <c r="K156" t="n">
        <v>12561</v>
      </c>
      <c r="L156" t="n">
        <v>2500</v>
      </c>
      <c r="M156" t="n">
        <v>1055</v>
      </c>
      <c r="N156" t="n">
        <v>1775</v>
      </c>
      <c r="O156" t="n">
        <v>2550</v>
      </c>
      <c r="P156" t="n">
        <v>3325</v>
      </c>
      <c r="Q156" t="n">
        <v>4100</v>
      </c>
      <c r="R156" t="n">
        <v>4875</v>
      </c>
      <c r="S156" t="n">
        <v>5650</v>
      </c>
      <c r="T156" t="n">
        <v>6425</v>
      </c>
      <c r="U156" t="n">
        <v>7200</v>
      </c>
      <c r="V156" t="n">
        <v>3203</v>
      </c>
      <c r="W156" t="n">
        <v>1620</v>
      </c>
      <c r="X156" t="n">
        <v>1465</v>
      </c>
      <c r="Y156" t="n">
        <v>7350</v>
      </c>
    </row>
    <row r="157">
      <c r="A157" t="n">
        <v>156</v>
      </c>
      <c r="B157" t="n">
        <v>0</v>
      </c>
      <c r="C157" t="n">
        <v>10351</v>
      </c>
      <c r="D157" t="n">
        <v>22018</v>
      </c>
      <c r="E157" t="n">
        <v>99068</v>
      </c>
      <c r="F157" t="n">
        <v>441936</v>
      </c>
      <c r="G157" t="n">
        <v>1941843</v>
      </c>
      <c r="H157" t="n">
        <v>8433277</v>
      </c>
      <c r="I157" t="n">
        <v>36087018</v>
      </c>
      <c r="J157" t="n">
        <v>2000</v>
      </c>
      <c r="K157" t="n">
        <v>12687</v>
      </c>
      <c r="L157" t="n">
        <v>2500</v>
      </c>
      <c r="M157" t="n">
        <v>1056</v>
      </c>
      <c r="N157" t="n">
        <v>1780</v>
      </c>
      <c r="O157" t="n">
        <v>2560</v>
      </c>
      <c r="P157" t="n">
        <v>3340</v>
      </c>
      <c r="Q157" t="n">
        <v>4120</v>
      </c>
      <c r="R157" t="n">
        <v>4900</v>
      </c>
      <c r="S157" t="n">
        <v>5680</v>
      </c>
      <c r="T157" t="n">
        <v>6460</v>
      </c>
      <c r="U157" t="n">
        <v>7240</v>
      </c>
      <c r="V157" t="n">
        <v>3224</v>
      </c>
      <c r="W157" t="n">
        <v>1624</v>
      </c>
      <c r="X157" t="n">
        <v>1468</v>
      </c>
      <c r="Y157" t="n">
        <v>7360</v>
      </c>
    </row>
    <row r="158">
      <c r="A158" t="n">
        <v>157</v>
      </c>
      <c r="B158" t="n">
        <v>0</v>
      </c>
      <c r="C158" t="n">
        <v>10507</v>
      </c>
      <c r="D158" t="n">
        <v>22459</v>
      </c>
      <c r="E158" t="n">
        <v>102041</v>
      </c>
      <c r="F158" t="n">
        <v>459614</v>
      </c>
      <c r="G158" t="n">
        <v>2038936</v>
      </c>
      <c r="H158" t="n">
        <v>8939274</v>
      </c>
      <c r="I158" t="n">
        <v>38613110</v>
      </c>
      <c r="J158" t="n">
        <v>2000</v>
      </c>
      <c r="K158" t="n">
        <v>12814</v>
      </c>
      <c r="L158" t="n">
        <v>2500</v>
      </c>
      <c r="M158" t="n">
        <v>1057</v>
      </c>
      <c r="N158" t="n">
        <v>1785</v>
      </c>
      <c r="O158" t="n">
        <v>2570</v>
      </c>
      <c r="P158" t="n">
        <v>3355</v>
      </c>
      <c r="Q158" t="n">
        <v>4140</v>
      </c>
      <c r="R158" t="n">
        <v>4925</v>
      </c>
      <c r="S158" t="n">
        <v>5710</v>
      </c>
      <c r="T158" t="n">
        <v>6495</v>
      </c>
      <c r="U158" t="n">
        <v>7280</v>
      </c>
      <c r="V158" t="n">
        <v>3245</v>
      </c>
      <c r="W158" t="n">
        <v>1628</v>
      </c>
      <c r="X158" t="n">
        <v>1471</v>
      </c>
      <c r="Y158" t="n">
        <v>7370</v>
      </c>
    </row>
    <row r="159">
      <c r="A159" t="n">
        <v>158</v>
      </c>
      <c r="B159" t="n">
        <v>0</v>
      </c>
      <c r="C159" t="n">
        <v>10665</v>
      </c>
      <c r="D159" t="n">
        <v>22909</v>
      </c>
      <c r="E159" t="n">
        <v>105103</v>
      </c>
      <c r="F159" t="n">
        <v>477999</v>
      </c>
      <c r="G159" t="n">
        <v>2140883</v>
      </c>
      <c r="H159" t="n">
        <v>9475631</v>
      </c>
      <c r="I159" t="n">
        <v>41316028</v>
      </c>
      <c r="J159" t="n">
        <v>2000</v>
      </c>
      <c r="K159" t="n">
        <v>12943</v>
      </c>
      <c r="L159" t="n">
        <v>2500</v>
      </c>
      <c r="M159" t="n">
        <v>1058</v>
      </c>
      <c r="N159" t="n">
        <v>1790</v>
      </c>
      <c r="O159" t="n">
        <v>2580</v>
      </c>
      <c r="P159" t="n">
        <v>3370</v>
      </c>
      <c r="Q159" t="n">
        <v>4160</v>
      </c>
      <c r="R159" t="n">
        <v>4950</v>
      </c>
      <c r="S159" t="n">
        <v>5740</v>
      </c>
      <c r="T159" t="n">
        <v>6530</v>
      </c>
      <c r="U159" t="n">
        <v>7320</v>
      </c>
      <c r="V159" t="n">
        <v>3266</v>
      </c>
      <c r="W159" t="n">
        <v>1632</v>
      </c>
      <c r="X159" t="n">
        <v>1474</v>
      </c>
      <c r="Y159" t="n">
        <v>7380</v>
      </c>
    </row>
    <row r="160">
      <c r="A160" t="n">
        <v>159</v>
      </c>
      <c r="B160" t="n">
        <v>0</v>
      </c>
      <c r="C160" t="n">
        <v>10825</v>
      </c>
      <c r="D160" t="n">
        <v>23368</v>
      </c>
      <c r="E160" t="n">
        <v>108257</v>
      </c>
      <c r="F160" t="n">
        <v>497119</v>
      </c>
      <c r="G160" t="n">
        <v>2247928</v>
      </c>
      <c r="H160" t="n">
        <v>10044169</v>
      </c>
      <c r="I160" t="n">
        <v>44208150</v>
      </c>
      <c r="J160" t="n">
        <v>2000</v>
      </c>
      <c r="K160" t="n">
        <v>13073</v>
      </c>
      <c r="L160" t="n">
        <v>2500</v>
      </c>
      <c r="M160" t="n">
        <v>1059</v>
      </c>
      <c r="N160" t="n">
        <v>1795</v>
      </c>
      <c r="O160" t="n">
        <v>2590</v>
      </c>
      <c r="P160" t="n">
        <v>3385</v>
      </c>
      <c r="Q160" t="n">
        <v>4180</v>
      </c>
      <c r="R160" t="n">
        <v>4975</v>
      </c>
      <c r="S160" t="n">
        <v>5770</v>
      </c>
      <c r="T160" t="n">
        <v>6565</v>
      </c>
      <c r="U160" t="n">
        <v>7360</v>
      </c>
      <c r="V160" t="n">
        <v>3287</v>
      </c>
      <c r="W160" t="n">
        <v>1636</v>
      </c>
      <c r="X160" t="n">
        <v>1477</v>
      </c>
      <c r="Y160" t="n">
        <v>7390</v>
      </c>
    </row>
    <row r="161">
      <c r="A161" t="n">
        <v>160</v>
      </c>
      <c r="B161" t="n">
        <v>0</v>
      </c>
      <c r="C161" t="n">
        <v>10988</v>
      </c>
      <c r="D161" t="n">
        <v>23836</v>
      </c>
      <c r="E161" t="n">
        <v>111505</v>
      </c>
      <c r="F161" t="n">
        <v>517004</v>
      </c>
      <c r="G161" t="n">
        <v>2360325</v>
      </c>
      <c r="H161" t="n">
        <v>10646820</v>
      </c>
      <c r="I161" t="n">
        <v>47302721</v>
      </c>
      <c r="J161" t="n">
        <v>2000</v>
      </c>
      <c r="K161" t="n">
        <v>13204</v>
      </c>
      <c r="L161" t="n">
        <v>2500</v>
      </c>
      <c r="M161" t="n">
        <v>1060</v>
      </c>
      <c r="N161" t="n">
        <v>1800</v>
      </c>
      <c r="O161" t="n">
        <v>2600</v>
      </c>
      <c r="P161" t="n">
        <v>3400</v>
      </c>
      <c r="Q161" t="n">
        <v>4200</v>
      </c>
      <c r="R161" t="n">
        <v>5000</v>
      </c>
      <c r="S161" t="n">
        <v>5800</v>
      </c>
      <c r="T161" t="n">
        <v>6600</v>
      </c>
      <c r="U161" t="n">
        <v>7400</v>
      </c>
      <c r="V161" t="n">
        <v>3308</v>
      </c>
      <c r="W161" t="n">
        <v>1640</v>
      </c>
      <c r="X161" t="n">
        <v>1480</v>
      </c>
      <c r="Y161" t="n">
        <v>7400</v>
      </c>
    </row>
    <row r="162">
      <c r="A162" t="n">
        <v>161</v>
      </c>
      <c r="B162" t="n">
        <v>0</v>
      </c>
      <c r="C162" t="n">
        <v>11153</v>
      </c>
      <c r="D162" t="n">
        <v>24313</v>
      </c>
      <c r="E162" t="n">
        <v>114851</v>
      </c>
      <c r="F162" t="n">
        <v>537685</v>
      </c>
      <c r="G162" t="n">
        <v>2478342</v>
      </c>
      <c r="H162" t="n">
        <v>11285630</v>
      </c>
      <c r="I162" t="n">
        <v>50613912</v>
      </c>
      <c r="J162" t="n">
        <v>2000</v>
      </c>
      <c r="K162" t="n">
        <v>13337</v>
      </c>
      <c r="L162" t="n">
        <v>2500</v>
      </c>
      <c r="M162" t="n">
        <v>1061</v>
      </c>
      <c r="N162" t="n">
        <v>1805</v>
      </c>
      <c r="O162" t="n">
        <v>2610</v>
      </c>
      <c r="P162" t="n">
        <v>3415</v>
      </c>
      <c r="Q162" t="n">
        <v>4220</v>
      </c>
      <c r="R162" t="n">
        <v>5025</v>
      </c>
      <c r="S162" t="n">
        <v>5830</v>
      </c>
      <c r="T162" t="n">
        <v>6635</v>
      </c>
      <c r="U162" t="n">
        <v>7440</v>
      </c>
      <c r="V162" t="n">
        <v>3329</v>
      </c>
      <c r="W162" t="n">
        <v>1644</v>
      </c>
      <c r="X162" t="n">
        <v>1483</v>
      </c>
      <c r="Y162" t="n">
        <v>7410</v>
      </c>
    </row>
    <row r="163">
      <c r="A163" t="n">
        <v>162</v>
      </c>
      <c r="B163" t="n">
        <v>0</v>
      </c>
      <c r="C163" t="n">
        <v>11321</v>
      </c>
      <c r="D163" t="n">
        <v>24800</v>
      </c>
      <c r="E163" t="n">
        <v>118297</v>
      </c>
      <c r="F163" t="n">
        <v>559193</v>
      </c>
      <c r="G163" t="n">
        <v>2602260</v>
      </c>
      <c r="H163" t="n">
        <v>11962768</v>
      </c>
      <c r="I163" t="n">
        <v>54156886</v>
      </c>
      <c r="J163" t="n">
        <v>2000</v>
      </c>
      <c r="K163" t="n">
        <v>13471</v>
      </c>
      <c r="L163" t="n">
        <v>2500</v>
      </c>
      <c r="M163" t="n">
        <v>1062</v>
      </c>
      <c r="N163" t="n">
        <v>1810</v>
      </c>
      <c r="O163" t="n">
        <v>2620</v>
      </c>
      <c r="P163" t="n">
        <v>3430</v>
      </c>
      <c r="Q163" t="n">
        <v>4240</v>
      </c>
      <c r="R163" t="n">
        <v>5050</v>
      </c>
      <c r="S163" t="n">
        <v>5860</v>
      </c>
      <c r="T163" t="n">
        <v>6670</v>
      </c>
      <c r="U163" t="n">
        <v>7480</v>
      </c>
      <c r="V163" t="n">
        <v>3350</v>
      </c>
      <c r="W163" t="n">
        <v>1648</v>
      </c>
      <c r="X163" t="n">
        <v>1486</v>
      </c>
      <c r="Y163" t="n">
        <v>7420</v>
      </c>
    </row>
    <row r="164">
      <c r="A164" t="n">
        <v>163</v>
      </c>
      <c r="B164" t="n">
        <v>0</v>
      </c>
      <c r="C164" t="n">
        <v>11491</v>
      </c>
      <c r="D164" t="n">
        <v>25296</v>
      </c>
      <c r="E164" t="n">
        <v>121846</v>
      </c>
      <c r="F164" t="n">
        <v>581561</v>
      </c>
      <c r="G164" t="n">
        <v>2732373</v>
      </c>
      <c r="H164" t="n">
        <v>12680535</v>
      </c>
      <c r="I164" t="n">
        <v>57947869</v>
      </c>
      <c r="J164" t="n">
        <v>2000</v>
      </c>
      <c r="K164" t="n">
        <v>13606</v>
      </c>
      <c r="L164" t="n">
        <v>2500</v>
      </c>
      <c r="M164" t="n">
        <v>1063</v>
      </c>
      <c r="N164" t="n">
        <v>1815</v>
      </c>
      <c r="O164" t="n">
        <v>2630</v>
      </c>
      <c r="P164" t="n">
        <v>3445</v>
      </c>
      <c r="Q164" t="n">
        <v>4260</v>
      </c>
      <c r="R164" t="n">
        <v>5075</v>
      </c>
      <c r="S164" t="n">
        <v>5890</v>
      </c>
      <c r="T164" t="n">
        <v>6705</v>
      </c>
      <c r="U164" t="n">
        <v>7520</v>
      </c>
      <c r="V164" t="n">
        <v>3371</v>
      </c>
      <c r="W164" t="n">
        <v>1652</v>
      </c>
      <c r="X164" t="n">
        <v>1489</v>
      </c>
      <c r="Y164" t="n">
        <v>7430</v>
      </c>
    </row>
    <row r="165">
      <c r="A165" t="n">
        <v>164</v>
      </c>
      <c r="B165" t="n">
        <v>0</v>
      </c>
      <c r="C165" t="n">
        <v>11664</v>
      </c>
      <c r="D165" t="n">
        <v>25802</v>
      </c>
      <c r="E165" t="n">
        <v>125502</v>
      </c>
      <c r="F165" t="n">
        <v>604824</v>
      </c>
      <c r="G165" t="n">
        <v>2868992</v>
      </c>
      <c r="H165" t="n">
        <v>13441368</v>
      </c>
      <c r="I165" t="n">
        <v>62004220</v>
      </c>
      <c r="J165" t="n">
        <v>2000</v>
      </c>
      <c r="K165" t="n">
        <v>13743</v>
      </c>
      <c r="L165" t="n">
        <v>2500</v>
      </c>
      <c r="M165" t="n">
        <v>1064</v>
      </c>
      <c r="N165" t="n">
        <v>1820</v>
      </c>
      <c r="O165" t="n">
        <v>2640</v>
      </c>
      <c r="P165" t="n">
        <v>3460</v>
      </c>
      <c r="Q165" t="n">
        <v>4280</v>
      </c>
      <c r="R165" t="n">
        <v>5100</v>
      </c>
      <c r="S165" t="n">
        <v>5920</v>
      </c>
      <c r="T165" t="n">
        <v>6740</v>
      </c>
      <c r="U165" t="n">
        <v>7560</v>
      </c>
      <c r="V165" t="n">
        <v>3392</v>
      </c>
      <c r="W165" t="n">
        <v>1656</v>
      </c>
      <c r="X165" t="n">
        <v>1492</v>
      </c>
      <c r="Y165" t="n">
        <v>7440</v>
      </c>
    </row>
    <row r="166">
      <c r="A166" t="n">
        <v>165</v>
      </c>
      <c r="B166" t="n">
        <v>0</v>
      </c>
      <c r="C166" t="n">
        <v>11839</v>
      </c>
      <c r="D166" t="n">
        <v>26319</v>
      </c>
      <c r="E166" t="n">
        <v>129268</v>
      </c>
      <c r="F166" t="n">
        <v>629017</v>
      </c>
      <c r="G166" t="n">
        <v>3012442</v>
      </c>
      <c r="H166" t="n">
        <v>14247851</v>
      </c>
      <c r="I166" t="n">
        <v>66344516</v>
      </c>
      <c r="J166" t="n">
        <v>2000</v>
      </c>
      <c r="K166" t="n">
        <v>13881</v>
      </c>
      <c r="L166" t="n">
        <v>2500</v>
      </c>
      <c r="M166" t="n">
        <v>1065</v>
      </c>
      <c r="N166" t="n">
        <v>1825</v>
      </c>
      <c r="O166" t="n">
        <v>2650</v>
      </c>
      <c r="P166" t="n">
        <v>3475</v>
      </c>
      <c r="Q166" t="n">
        <v>4300</v>
      </c>
      <c r="R166" t="n">
        <v>5125</v>
      </c>
      <c r="S166" t="n">
        <v>5950</v>
      </c>
      <c r="T166" t="n">
        <v>6775</v>
      </c>
      <c r="U166" t="n">
        <v>7600</v>
      </c>
      <c r="V166" t="n">
        <v>3413</v>
      </c>
      <c r="W166" t="n">
        <v>1660</v>
      </c>
      <c r="X166" t="n">
        <v>1495</v>
      </c>
      <c r="Y166" t="n">
        <v>7450</v>
      </c>
    </row>
    <row r="167">
      <c r="A167" t="n">
        <v>166</v>
      </c>
      <c r="B167" t="n">
        <v>0</v>
      </c>
      <c r="C167" t="n">
        <v>12017</v>
      </c>
      <c r="D167" t="n">
        <v>26846</v>
      </c>
      <c r="E167" t="n">
        <v>133147</v>
      </c>
      <c r="F167" t="n">
        <v>654178</v>
      </c>
      <c r="G167" t="n">
        <v>3163065</v>
      </c>
      <c r="H167" t="n">
        <v>15102723</v>
      </c>
      <c r="I167" t="n">
        <v>70988633</v>
      </c>
      <c r="J167" t="n">
        <v>2000</v>
      </c>
      <c r="K167" t="n">
        <v>14020</v>
      </c>
      <c r="L167" t="n">
        <v>2500</v>
      </c>
      <c r="M167" t="n">
        <v>1066</v>
      </c>
      <c r="N167" t="n">
        <v>1830</v>
      </c>
      <c r="O167" t="n">
        <v>2660</v>
      </c>
      <c r="P167" t="n">
        <v>3490</v>
      </c>
      <c r="Q167" t="n">
        <v>4320</v>
      </c>
      <c r="R167" t="n">
        <v>5150</v>
      </c>
      <c r="S167" t="n">
        <v>5980</v>
      </c>
      <c r="T167" t="n">
        <v>6810</v>
      </c>
      <c r="U167" t="n">
        <v>7640</v>
      </c>
      <c r="V167" t="n">
        <v>3435</v>
      </c>
      <c r="W167" t="n">
        <v>1664</v>
      </c>
      <c r="X167" t="n">
        <v>1498</v>
      </c>
      <c r="Y167" t="n">
        <v>7460</v>
      </c>
    </row>
    <row r="168">
      <c r="A168" t="n">
        <v>167</v>
      </c>
      <c r="B168" t="n">
        <v>0</v>
      </c>
      <c r="C168" t="n">
        <v>12198</v>
      </c>
      <c r="D168" t="n">
        <v>27383</v>
      </c>
      <c r="E168" t="n">
        <v>137142</v>
      </c>
      <c r="F168" t="n">
        <v>680346</v>
      </c>
      <c r="G168" t="n">
        <v>3321219</v>
      </c>
      <c r="H168" t="n">
        <v>16008887</v>
      </c>
      <c r="I168" t="n">
        <v>75957838</v>
      </c>
      <c r="J168" t="n">
        <v>2000</v>
      </c>
      <c r="K168" t="n">
        <v>14161</v>
      </c>
      <c r="L168" t="n">
        <v>2500</v>
      </c>
      <c r="M168" t="n">
        <v>1067</v>
      </c>
      <c r="N168" t="n">
        <v>1835</v>
      </c>
      <c r="O168" t="n">
        <v>2670</v>
      </c>
      <c r="P168" t="n">
        <v>3505</v>
      </c>
      <c r="Q168" t="n">
        <v>4340</v>
      </c>
      <c r="R168" t="n">
        <v>5175</v>
      </c>
      <c r="S168" t="n">
        <v>6010</v>
      </c>
      <c r="T168" t="n">
        <v>6845</v>
      </c>
      <c r="U168" t="n">
        <v>7680</v>
      </c>
      <c r="V168" t="n">
        <v>3457</v>
      </c>
      <c r="W168" t="n">
        <v>1668</v>
      </c>
      <c r="X168" t="n">
        <v>1501</v>
      </c>
      <c r="Y168" t="n">
        <v>7470</v>
      </c>
    </row>
    <row r="169">
      <c r="A169" t="n">
        <v>168</v>
      </c>
      <c r="B169" t="n">
        <v>0</v>
      </c>
      <c r="C169" t="n">
        <v>12381</v>
      </c>
      <c r="D169" t="n">
        <v>27931</v>
      </c>
      <c r="E169" t="n">
        <v>141257</v>
      </c>
      <c r="F169" t="n">
        <v>707560</v>
      </c>
      <c r="G169" t="n">
        <v>3487280</v>
      </c>
      <c r="H169" t="n">
        <v>16969421</v>
      </c>
      <c r="I169" t="n">
        <v>81274887</v>
      </c>
      <c r="J169" t="n">
        <v>2000</v>
      </c>
      <c r="K169" t="n">
        <v>14303</v>
      </c>
      <c r="L169" t="n">
        <v>2500</v>
      </c>
      <c r="M169" t="n">
        <v>1068</v>
      </c>
      <c r="N169" t="n">
        <v>1840</v>
      </c>
      <c r="O169" t="n">
        <v>2680</v>
      </c>
      <c r="P169" t="n">
        <v>3520</v>
      </c>
      <c r="Q169" t="n">
        <v>4360</v>
      </c>
      <c r="R169" t="n">
        <v>5200</v>
      </c>
      <c r="S169" t="n">
        <v>6040</v>
      </c>
      <c r="T169" t="n">
        <v>6880</v>
      </c>
      <c r="U169" t="n">
        <v>7720</v>
      </c>
      <c r="V169" t="n">
        <v>3479</v>
      </c>
      <c r="W169" t="n">
        <v>1672</v>
      </c>
      <c r="X169" t="n">
        <v>1504</v>
      </c>
      <c r="Y169" t="n">
        <v>7480</v>
      </c>
    </row>
    <row r="170">
      <c r="A170" t="n">
        <v>169</v>
      </c>
      <c r="B170" t="n">
        <v>0</v>
      </c>
      <c r="C170" t="n">
        <v>12567</v>
      </c>
      <c r="D170" t="n">
        <v>28490</v>
      </c>
      <c r="E170" t="n">
        <v>145495</v>
      </c>
      <c r="F170" t="n">
        <v>735863</v>
      </c>
      <c r="G170" t="n">
        <v>3661644</v>
      </c>
      <c r="H170" t="n">
        <v>17987587</v>
      </c>
      <c r="I170" t="n">
        <v>86964130</v>
      </c>
      <c r="J170" t="n">
        <v>2000</v>
      </c>
      <c r="K170" t="n">
        <v>14447</v>
      </c>
      <c r="L170" t="n">
        <v>2500</v>
      </c>
      <c r="M170" t="n">
        <v>1069</v>
      </c>
      <c r="N170" t="n">
        <v>1845</v>
      </c>
      <c r="O170" t="n">
        <v>2690</v>
      </c>
      <c r="P170" t="n">
        <v>3535</v>
      </c>
      <c r="Q170" t="n">
        <v>4380</v>
      </c>
      <c r="R170" t="n">
        <v>5225</v>
      </c>
      <c r="S170" t="n">
        <v>6070</v>
      </c>
      <c r="T170" t="n">
        <v>6915</v>
      </c>
      <c r="U170" t="n">
        <v>7760</v>
      </c>
      <c r="V170" t="n">
        <v>3501</v>
      </c>
      <c r="W170" t="n">
        <v>1676</v>
      </c>
      <c r="X170" t="n">
        <v>1507</v>
      </c>
      <c r="Y170" t="n">
        <v>7490</v>
      </c>
    </row>
    <row r="171">
      <c r="A171" t="n">
        <v>170</v>
      </c>
      <c r="B171" t="n">
        <v>0</v>
      </c>
      <c r="C171" t="n">
        <v>12756</v>
      </c>
      <c r="D171" t="n">
        <v>29060</v>
      </c>
      <c r="E171" t="n">
        <v>149860</v>
      </c>
      <c r="F171" t="n">
        <v>765298</v>
      </c>
      <c r="G171" t="n">
        <v>3844727</v>
      </c>
      <c r="H171" t="n">
        <v>19066843</v>
      </c>
      <c r="I171" t="n">
        <v>93051620</v>
      </c>
      <c r="J171" t="n">
        <v>2000</v>
      </c>
      <c r="K171" t="n">
        <v>14592</v>
      </c>
      <c r="L171" t="n">
        <v>2500</v>
      </c>
      <c r="M171" t="n">
        <v>1070</v>
      </c>
      <c r="N171" t="n">
        <v>1850</v>
      </c>
      <c r="O171" t="n">
        <v>2700</v>
      </c>
      <c r="P171" t="n">
        <v>3550</v>
      </c>
      <c r="Q171" t="n">
        <v>4400</v>
      </c>
      <c r="R171" t="n">
        <v>5250</v>
      </c>
      <c r="S171" t="n">
        <v>6100</v>
      </c>
      <c r="T171" t="n">
        <v>6950</v>
      </c>
      <c r="U171" t="n">
        <v>7800</v>
      </c>
      <c r="V171" t="n">
        <v>3523</v>
      </c>
      <c r="W171" t="n">
        <v>1680</v>
      </c>
      <c r="X171" t="n">
        <v>1510</v>
      </c>
      <c r="Y171" t="n">
        <v>7500</v>
      </c>
    </row>
    <row r="172">
      <c r="A172" t="n">
        <v>171</v>
      </c>
      <c r="B172" t="n">
        <v>0</v>
      </c>
      <c r="C172" t="n">
        <v>12948</v>
      </c>
      <c r="D172" t="n">
        <v>29642</v>
      </c>
      <c r="E172" t="n">
        <v>154356</v>
      </c>
      <c r="F172" t="n">
        <v>795910</v>
      </c>
      <c r="G172" t="n">
        <v>4036964</v>
      </c>
      <c r="H172" t="n">
        <v>20210854</v>
      </c>
      <c r="I172" t="n">
        <v>99565234</v>
      </c>
      <c r="J172" t="n">
        <v>2000</v>
      </c>
      <c r="K172" t="n">
        <v>14738</v>
      </c>
      <c r="L172" t="n">
        <v>2500</v>
      </c>
      <c r="M172" t="n">
        <v>1071</v>
      </c>
      <c r="N172" t="n">
        <v>1855</v>
      </c>
      <c r="O172" t="n">
        <v>2710</v>
      </c>
      <c r="P172" t="n">
        <v>3565</v>
      </c>
      <c r="Q172" t="n">
        <v>4420</v>
      </c>
      <c r="R172" t="n">
        <v>5275</v>
      </c>
      <c r="S172" t="n">
        <v>6130</v>
      </c>
      <c r="T172" t="n">
        <v>6985</v>
      </c>
      <c r="U172" t="n">
        <v>7840</v>
      </c>
      <c r="V172" t="n">
        <v>3545</v>
      </c>
      <c r="W172" t="n">
        <v>1684</v>
      </c>
      <c r="X172" t="n">
        <v>1513</v>
      </c>
      <c r="Y172" t="n">
        <v>7510</v>
      </c>
    </row>
    <row r="173">
      <c r="A173" t="n">
        <v>172</v>
      </c>
      <c r="B173" t="n">
        <v>0</v>
      </c>
      <c r="C173" t="n">
        <v>13143</v>
      </c>
      <c r="D173" t="n">
        <v>30235</v>
      </c>
      <c r="E173" t="n">
        <v>158987</v>
      </c>
      <c r="F173" t="n">
        <v>827747</v>
      </c>
      <c r="G173" t="n">
        <v>4238813</v>
      </c>
      <c r="H173" t="n">
        <v>21423506</v>
      </c>
      <c r="I173" t="n">
        <v>106534801</v>
      </c>
      <c r="J173" t="n">
        <v>2000</v>
      </c>
      <c r="K173" t="n">
        <v>14886</v>
      </c>
      <c r="L173" t="n">
        <v>2500</v>
      </c>
      <c r="M173" t="n">
        <v>1072</v>
      </c>
      <c r="N173" t="n">
        <v>1860</v>
      </c>
      <c r="O173" t="n">
        <v>2720</v>
      </c>
      <c r="P173" t="n">
        <v>3580</v>
      </c>
      <c r="Q173" t="n">
        <v>4440</v>
      </c>
      <c r="R173" t="n">
        <v>5300</v>
      </c>
      <c r="S173" t="n">
        <v>6160</v>
      </c>
      <c r="T173" t="n">
        <v>7020</v>
      </c>
      <c r="U173" t="n">
        <v>7880</v>
      </c>
      <c r="V173" t="n">
        <v>3567</v>
      </c>
      <c r="W173" t="n">
        <v>1688</v>
      </c>
      <c r="X173" t="n">
        <v>1516</v>
      </c>
      <c r="Y173" t="n">
        <v>7520</v>
      </c>
    </row>
    <row r="174">
      <c r="A174" t="n">
        <v>173</v>
      </c>
      <c r="B174" t="n">
        <v>0</v>
      </c>
      <c r="C174" t="n">
        <v>13341</v>
      </c>
      <c r="D174" t="n">
        <v>30840</v>
      </c>
      <c r="E174" t="n">
        <v>163757</v>
      </c>
      <c r="F174" t="n">
        <v>860857</v>
      </c>
      <c r="G174" t="n">
        <v>4450754</v>
      </c>
      <c r="H174" t="n">
        <v>22708917</v>
      </c>
      <c r="I174" t="n">
        <v>113992238</v>
      </c>
      <c r="J174" t="n">
        <v>2000</v>
      </c>
      <c r="K174" t="n">
        <v>15035</v>
      </c>
      <c r="L174" t="n">
        <v>2500</v>
      </c>
      <c r="M174" t="n">
        <v>1073</v>
      </c>
      <c r="N174" t="n">
        <v>1865</v>
      </c>
      <c r="O174" t="n">
        <v>2730</v>
      </c>
      <c r="P174" t="n">
        <v>3595</v>
      </c>
      <c r="Q174" t="n">
        <v>4460</v>
      </c>
      <c r="R174" t="n">
        <v>5325</v>
      </c>
      <c r="S174" t="n">
        <v>6190</v>
      </c>
      <c r="T174" t="n">
        <v>7055</v>
      </c>
      <c r="U174" t="n">
        <v>7920</v>
      </c>
      <c r="V174" t="n">
        <v>3589</v>
      </c>
      <c r="W174" t="n">
        <v>1692</v>
      </c>
      <c r="X174" t="n">
        <v>1519</v>
      </c>
      <c r="Y174" t="n">
        <v>7530</v>
      </c>
    </row>
    <row r="175">
      <c r="A175" t="n">
        <v>174</v>
      </c>
      <c r="B175" t="n">
        <v>0</v>
      </c>
      <c r="C175" t="n">
        <v>13542</v>
      </c>
      <c r="D175" t="n">
        <v>31457</v>
      </c>
      <c r="E175" t="n">
        <v>168670</v>
      </c>
      <c r="F175" t="n">
        <v>895292</v>
      </c>
      <c r="G175" t="n">
        <v>4673292</v>
      </c>
      <c r="H175" t="n">
        <v>24071453</v>
      </c>
      <c r="I175" t="n">
        <v>121971695</v>
      </c>
      <c r="J175" t="n">
        <v>2000</v>
      </c>
      <c r="K175" t="n">
        <v>15186</v>
      </c>
      <c r="L175" t="n">
        <v>2500</v>
      </c>
      <c r="M175" t="n">
        <v>1074</v>
      </c>
      <c r="N175" t="n">
        <v>1870</v>
      </c>
      <c r="O175" t="n">
        <v>2740</v>
      </c>
      <c r="P175" t="n">
        <v>3610</v>
      </c>
      <c r="Q175" t="n">
        <v>4480</v>
      </c>
      <c r="R175" t="n">
        <v>5350</v>
      </c>
      <c r="S175" t="n">
        <v>6220</v>
      </c>
      <c r="T175" t="n">
        <v>7090</v>
      </c>
      <c r="U175" t="n">
        <v>7960</v>
      </c>
      <c r="V175" t="n">
        <v>3611</v>
      </c>
      <c r="W175" t="n">
        <v>1696</v>
      </c>
      <c r="X175" t="n">
        <v>1522</v>
      </c>
      <c r="Y175" t="n">
        <v>7540</v>
      </c>
    </row>
    <row r="176">
      <c r="A176" t="n">
        <v>175</v>
      </c>
      <c r="B176" t="n">
        <v>0</v>
      </c>
      <c r="C176" t="n">
        <v>13746</v>
      </c>
      <c r="D176" t="n">
        <v>32087</v>
      </c>
      <c r="E176" t="n">
        <v>173731</v>
      </c>
      <c r="F176" t="n">
        <v>931104</v>
      </c>
      <c r="G176" t="n">
        <v>4906957</v>
      </c>
      <c r="H176" t="n">
        <v>25515741</v>
      </c>
      <c r="I176" t="n">
        <v>130509714</v>
      </c>
      <c r="J176" t="n">
        <v>2000</v>
      </c>
      <c r="K176" t="n">
        <v>15338</v>
      </c>
      <c r="L176" t="n">
        <v>2500</v>
      </c>
      <c r="M176" t="n">
        <v>1075</v>
      </c>
      <c r="N176" t="n">
        <v>1875</v>
      </c>
      <c r="O176" t="n">
        <v>2750</v>
      </c>
      <c r="P176" t="n">
        <v>3625</v>
      </c>
      <c r="Q176" t="n">
        <v>4500</v>
      </c>
      <c r="R176" t="n">
        <v>5375</v>
      </c>
      <c r="S176" t="n">
        <v>6250</v>
      </c>
      <c r="T176" t="n">
        <v>7125</v>
      </c>
      <c r="U176" t="n">
        <v>8000</v>
      </c>
      <c r="V176" t="n">
        <v>3634</v>
      </c>
      <c r="W176" t="n">
        <v>1700</v>
      </c>
      <c r="X176" t="n">
        <v>1525</v>
      </c>
      <c r="Y176" t="n">
        <v>7550</v>
      </c>
    </row>
    <row r="177">
      <c r="A177" t="n">
        <v>176</v>
      </c>
      <c r="B177" t="n">
        <v>0</v>
      </c>
      <c r="C177" t="n">
        <v>13953</v>
      </c>
      <c r="D177" t="n">
        <v>32729</v>
      </c>
      <c r="E177" t="n">
        <v>178943</v>
      </c>
      <c r="F177" t="n">
        <v>968349</v>
      </c>
      <c r="G177" t="n">
        <v>5152305</v>
      </c>
      <c r="H177" t="n">
        <v>27046686</v>
      </c>
      <c r="I177" t="n">
        <v>139645394</v>
      </c>
      <c r="J177" t="n">
        <v>2000</v>
      </c>
      <c r="K177" t="n">
        <v>15492</v>
      </c>
      <c r="L177" t="n">
        <v>2500</v>
      </c>
      <c r="M177" t="n">
        <v>1076</v>
      </c>
      <c r="N177" t="n">
        <v>1880</v>
      </c>
      <c r="O177" t="n">
        <v>2760</v>
      </c>
      <c r="P177" t="n">
        <v>3640</v>
      </c>
      <c r="Q177" t="n">
        <v>4520</v>
      </c>
      <c r="R177" t="n">
        <v>5400</v>
      </c>
      <c r="S177" t="n">
        <v>6280</v>
      </c>
      <c r="T177" t="n">
        <v>7160</v>
      </c>
      <c r="U177" t="n">
        <v>8040</v>
      </c>
      <c r="V177" t="n">
        <v>3657</v>
      </c>
      <c r="W177" t="n">
        <v>1704</v>
      </c>
      <c r="X177" t="n">
        <v>1528</v>
      </c>
      <c r="Y177" t="n">
        <v>7560</v>
      </c>
    </row>
    <row r="178">
      <c r="A178" t="n">
        <v>177</v>
      </c>
      <c r="B178" t="n">
        <v>0</v>
      </c>
      <c r="C178" t="n">
        <v>14163</v>
      </c>
      <c r="D178" t="n">
        <v>33384</v>
      </c>
      <c r="E178" t="n">
        <v>184312</v>
      </c>
      <c r="F178" t="n">
        <v>1007083</v>
      </c>
      <c r="G178" t="n">
        <v>5409921</v>
      </c>
      <c r="H178" t="n">
        <v>28669488</v>
      </c>
      <c r="I178" t="n">
        <v>149420572</v>
      </c>
      <c r="J178" t="n">
        <v>2000</v>
      </c>
      <c r="K178" t="n">
        <v>15647</v>
      </c>
      <c r="L178" t="n">
        <v>2500</v>
      </c>
      <c r="M178" t="n">
        <v>1077</v>
      </c>
      <c r="N178" t="n">
        <v>1885</v>
      </c>
      <c r="O178" t="n">
        <v>2770</v>
      </c>
      <c r="P178" t="n">
        <v>3655</v>
      </c>
      <c r="Q178" t="n">
        <v>4540</v>
      </c>
      <c r="R178" t="n">
        <v>5425</v>
      </c>
      <c r="S178" t="n">
        <v>6310</v>
      </c>
      <c r="T178" t="n">
        <v>7195</v>
      </c>
      <c r="U178" t="n">
        <v>8080</v>
      </c>
      <c r="V178" t="n">
        <v>3680</v>
      </c>
      <c r="W178" t="n">
        <v>1708</v>
      </c>
      <c r="X178" t="n">
        <v>1531</v>
      </c>
      <c r="Y178" t="n">
        <v>7570</v>
      </c>
    </row>
    <row r="179">
      <c r="A179" t="n">
        <v>178</v>
      </c>
      <c r="B179" t="n">
        <v>0</v>
      </c>
      <c r="C179" t="n">
        <v>14376</v>
      </c>
      <c r="D179" t="n">
        <v>34052</v>
      </c>
      <c r="E179" t="n">
        <v>189842</v>
      </c>
      <c r="F179" t="n">
        <v>1047367</v>
      </c>
      <c r="G179" t="n">
        <v>5680418</v>
      </c>
      <c r="H179" t="n">
        <v>30389658</v>
      </c>
      <c r="I179" t="n">
        <v>159880013</v>
      </c>
      <c r="J179" t="n">
        <v>2000</v>
      </c>
      <c r="K179" t="n">
        <v>15804</v>
      </c>
      <c r="L179" t="n">
        <v>2500</v>
      </c>
      <c r="M179" t="n">
        <v>1078</v>
      </c>
      <c r="N179" t="n">
        <v>1890</v>
      </c>
      <c r="O179" t="n">
        <v>2780</v>
      </c>
      <c r="P179" t="n">
        <v>3670</v>
      </c>
      <c r="Q179" t="n">
        <v>4560</v>
      </c>
      <c r="R179" t="n">
        <v>5450</v>
      </c>
      <c r="S179" t="n">
        <v>6340</v>
      </c>
      <c r="T179" t="n">
        <v>7230</v>
      </c>
      <c r="U179" t="n">
        <v>8120</v>
      </c>
      <c r="V179" t="n">
        <v>3703</v>
      </c>
      <c r="W179" t="n">
        <v>1712</v>
      </c>
      <c r="X179" t="n">
        <v>1534</v>
      </c>
      <c r="Y179" t="n">
        <v>7580</v>
      </c>
    </row>
    <row r="180">
      <c r="A180" t="n">
        <v>179</v>
      </c>
      <c r="B180" t="n">
        <v>0</v>
      </c>
      <c r="C180" t="n">
        <v>14592</v>
      </c>
      <c r="D180" t="n">
        <v>34734</v>
      </c>
      <c r="E180" t="n">
        <v>195538</v>
      </c>
      <c r="F180" t="n">
        <v>1089262</v>
      </c>
      <c r="G180" t="n">
        <v>5964439</v>
      </c>
      <c r="H180" t="n">
        <v>32213038</v>
      </c>
      <c r="I180" t="n">
        <v>171071614</v>
      </c>
      <c r="J180" t="n">
        <v>2000</v>
      </c>
      <c r="K180" t="n">
        <v>15963</v>
      </c>
      <c r="L180" t="n">
        <v>2500</v>
      </c>
      <c r="M180" t="n">
        <v>1079</v>
      </c>
      <c r="N180" t="n">
        <v>1895</v>
      </c>
      <c r="O180" t="n">
        <v>2790</v>
      </c>
      <c r="P180" t="n">
        <v>3685</v>
      </c>
      <c r="Q180" t="n">
        <v>4580</v>
      </c>
      <c r="R180" t="n">
        <v>5475</v>
      </c>
      <c r="S180" t="n">
        <v>6370</v>
      </c>
      <c r="T180" t="n">
        <v>7265</v>
      </c>
      <c r="U180" t="n">
        <v>8160</v>
      </c>
      <c r="V180" t="n">
        <v>3726</v>
      </c>
      <c r="W180" t="n">
        <v>1716</v>
      </c>
      <c r="X180" t="n">
        <v>1537</v>
      </c>
      <c r="Y180" t="n">
        <v>7590</v>
      </c>
    </row>
    <row r="181">
      <c r="A181" t="n">
        <v>180</v>
      </c>
      <c r="B181" t="n">
        <v>0</v>
      </c>
      <c r="C181" t="n">
        <v>14811</v>
      </c>
      <c r="D181" t="n">
        <v>35429</v>
      </c>
      <c r="E181" t="n">
        <v>201405</v>
      </c>
      <c r="F181" t="n">
        <v>1132833</v>
      </c>
      <c r="G181" t="n">
        <v>6262661</v>
      </c>
      <c r="H181" t="n">
        <v>34145821</v>
      </c>
      <c r="I181" t="n">
        <v>183046627</v>
      </c>
      <c r="J181" t="n">
        <v>2000</v>
      </c>
      <c r="K181" t="n">
        <v>16123</v>
      </c>
      <c r="L181" t="n">
        <v>2500</v>
      </c>
      <c r="M181" t="n">
        <v>1080</v>
      </c>
      <c r="N181" t="n">
        <v>1900</v>
      </c>
      <c r="O181" t="n">
        <v>2800</v>
      </c>
      <c r="P181" t="n">
        <v>3700</v>
      </c>
      <c r="Q181" t="n">
        <v>4600</v>
      </c>
      <c r="R181" t="n">
        <v>5500</v>
      </c>
      <c r="S181" t="n">
        <v>6400</v>
      </c>
      <c r="T181" t="n">
        <v>7300</v>
      </c>
      <c r="U181" t="n">
        <v>8200</v>
      </c>
      <c r="V181" t="n">
        <v>3749</v>
      </c>
      <c r="W181" t="n">
        <v>1720</v>
      </c>
      <c r="X181" t="n">
        <v>1540</v>
      </c>
      <c r="Y181" t="n">
        <v>7600</v>
      </c>
    </row>
    <row r="182">
      <c r="A182" t="n">
        <v>181</v>
      </c>
      <c r="B182" t="n">
        <v>0</v>
      </c>
      <c r="C182" t="n">
        <v>15034</v>
      </c>
      <c r="D182" t="n">
        <v>36138</v>
      </c>
      <c r="E182" t="n">
        <v>207448</v>
      </c>
      <c r="F182" t="n">
        <v>1178147</v>
      </c>
      <c r="G182" t="n">
        <v>6575795</v>
      </c>
      <c r="H182" t="n">
        <v>36194571</v>
      </c>
      <c r="I182" t="n">
        <v>195859891</v>
      </c>
      <c r="J182" t="n">
        <v>2000</v>
      </c>
      <c r="K182" t="n">
        <v>16285</v>
      </c>
      <c r="L182" t="n">
        <v>2500</v>
      </c>
      <c r="M182" t="n">
        <v>1081</v>
      </c>
      <c r="N182" t="n">
        <v>1905</v>
      </c>
      <c r="O182" t="n">
        <v>2810</v>
      </c>
      <c r="P182" t="n">
        <v>3715</v>
      </c>
      <c r="Q182" t="n">
        <v>4620</v>
      </c>
      <c r="R182" t="n">
        <v>5525</v>
      </c>
      <c r="S182" t="n">
        <v>6430</v>
      </c>
      <c r="T182" t="n">
        <v>7335</v>
      </c>
      <c r="U182" t="n">
        <v>8240</v>
      </c>
      <c r="V182" t="n">
        <v>3772</v>
      </c>
      <c r="W182" t="n">
        <v>1724</v>
      </c>
      <c r="X182" t="n">
        <v>1543</v>
      </c>
      <c r="Y182" t="n">
        <v>7610</v>
      </c>
    </row>
    <row r="183">
      <c r="A183" t="n">
        <v>182</v>
      </c>
      <c r="B183" t="n">
        <v>0</v>
      </c>
      <c r="C183" t="n">
        <v>15260</v>
      </c>
      <c r="D183" t="n">
        <v>36861</v>
      </c>
      <c r="E183" t="n">
        <v>213672</v>
      </c>
      <c r="F183" t="n">
        <v>1225273</v>
      </c>
      <c r="G183" t="n">
        <v>6904585</v>
      </c>
      <c r="H183" t="n">
        <v>38366246</v>
      </c>
      <c r="I183" t="n">
        <v>209570084</v>
      </c>
      <c r="J183" t="n">
        <v>2000</v>
      </c>
      <c r="K183" t="n">
        <v>16448</v>
      </c>
      <c r="L183" t="n">
        <v>2500</v>
      </c>
      <c r="M183" t="n">
        <v>1082</v>
      </c>
      <c r="N183" t="n">
        <v>1910</v>
      </c>
      <c r="O183" t="n">
        <v>2820</v>
      </c>
      <c r="P183" t="n">
        <v>3730</v>
      </c>
      <c r="Q183" t="n">
        <v>4640</v>
      </c>
      <c r="R183" t="n">
        <v>5550</v>
      </c>
      <c r="S183" t="n">
        <v>6460</v>
      </c>
      <c r="T183" t="n">
        <v>7370</v>
      </c>
      <c r="U183" t="n">
        <v>8280</v>
      </c>
      <c r="V183" t="n">
        <v>3795</v>
      </c>
      <c r="W183" t="n">
        <v>1728</v>
      </c>
      <c r="X183" t="n">
        <v>1546</v>
      </c>
      <c r="Y183" t="n">
        <v>7620</v>
      </c>
    </row>
    <row r="184">
      <c r="A184" t="n">
        <v>183</v>
      </c>
      <c r="B184" t="n">
        <v>0</v>
      </c>
      <c r="C184" t="n">
        <v>15489</v>
      </c>
      <c r="D184" t="n">
        <v>37599</v>
      </c>
      <c r="E184" t="n">
        <v>220083</v>
      </c>
      <c r="F184" t="n">
        <v>1274284</v>
      </c>
      <c r="G184" t="n">
        <v>7249815</v>
      </c>
      <c r="H184" t="n">
        <v>40668221</v>
      </c>
      <c r="I184" t="n">
        <v>224239990</v>
      </c>
      <c r="J184" t="n">
        <v>2000</v>
      </c>
      <c r="K184" t="n">
        <v>16613</v>
      </c>
      <c r="L184" t="n">
        <v>2500</v>
      </c>
      <c r="M184" t="n">
        <v>1083</v>
      </c>
      <c r="N184" t="n">
        <v>1915</v>
      </c>
      <c r="O184" t="n">
        <v>2830</v>
      </c>
      <c r="P184" t="n">
        <v>3745</v>
      </c>
      <c r="Q184" t="n">
        <v>4660</v>
      </c>
      <c r="R184" t="n">
        <v>5575</v>
      </c>
      <c r="S184" t="n">
        <v>6490</v>
      </c>
      <c r="T184" t="n">
        <v>7405</v>
      </c>
      <c r="U184" t="n">
        <v>8320</v>
      </c>
      <c r="V184" t="n">
        <v>3818</v>
      </c>
      <c r="W184" t="n">
        <v>1732</v>
      </c>
      <c r="X184" t="n">
        <v>1549</v>
      </c>
      <c r="Y184" t="n">
        <v>7630</v>
      </c>
    </row>
    <row r="185">
      <c r="A185" t="n">
        <v>184</v>
      </c>
      <c r="B185" t="n">
        <v>0</v>
      </c>
      <c r="C185" t="n">
        <v>15722</v>
      </c>
      <c r="D185" t="n">
        <v>38351</v>
      </c>
      <c r="E185" t="n">
        <v>226686</v>
      </c>
      <c r="F185" t="n">
        <v>1325256</v>
      </c>
      <c r="G185" t="n">
        <v>7612306</v>
      </c>
      <c r="H185" t="n">
        <v>43108315</v>
      </c>
      <c r="I185" t="n">
        <v>239936790</v>
      </c>
      <c r="J185" t="n">
        <v>2000</v>
      </c>
      <c r="K185" t="n">
        <v>16780</v>
      </c>
      <c r="L185" t="n">
        <v>2500</v>
      </c>
      <c r="M185" t="n">
        <v>1084</v>
      </c>
      <c r="N185" t="n">
        <v>1920</v>
      </c>
      <c r="O185" t="n">
        <v>2840</v>
      </c>
      <c r="P185" t="n">
        <v>3760</v>
      </c>
      <c r="Q185" t="n">
        <v>4680</v>
      </c>
      <c r="R185" t="n">
        <v>5600</v>
      </c>
      <c r="S185" t="n">
        <v>6520</v>
      </c>
      <c r="T185" t="n">
        <v>7440</v>
      </c>
      <c r="U185" t="n">
        <v>8360</v>
      </c>
      <c r="V185" t="n">
        <v>3842</v>
      </c>
      <c r="W185" t="n">
        <v>1736</v>
      </c>
      <c r="X185" t="n">
        <v>1552</v>
      </c>
      <c r="Y185" t="n">
        <v>7640</v>
      </c>
    </row>
    <row r="186">
      <c r="A186" t="n">
        <v>185</v>
      </c>
      <c r="B186" t="n">
        <v>0</v>
      </c>
      <c r="C186" t="n">
        <v>15958</v>
      </c>
      <c r="D186" t="n">
        <v>39119</v>
      </c>
      <c r="E186" t="n">
        <v>233487</v>
      </c>
      <c r="F186" t="n">
        <v>1378267</v>
      </c>
      <c r="G186" t="n">
        <v>7992922</v>
      </c>
      <c r="H186" t="n">
        <v>45694814</v>
      </c>
      <c r="I186" t="n">
        <v>256732366</v>
      </c>
      <c r="J186" t="n">
        <v>2000</v>
      </c>
      <c r="K186" t="n">
        <v>16948</v>
      </c>
      <c r="L186" t="n">
        <v>2500</v>
      </c>
      <c r="M186" t="n">
        <v>1085</v>
      </c>
      <c r="N186" t="n">
        <v>1925</v>
      </c>
      <c r="O186" t="n">
        <v>2850</v>
      </c>
      <c r="P186" t="n">
        <v>3775</v>
      </c>
      <c r="Q186" t="n">
        <v>4700</v>
      </c>
      <c r="R186" t="n">
        <v>5625</v>
      </c>
      <c r="S186" t="n">
        <v>6550</v>
      </c>
      <c r="T186" t="n">
        <v>7475</v>
      </c>
      <c r="U186" t="n">
        <v>8400</v>
      </c>
      <c r="V186" t="n">
        <v>3866</v>
      </c>
      <c r="W186" t="n">
        <v>1740</v>
      </c>
      <c r="X186" t="n">
        <v>1555</v>
      </c>
      <c r="Y186" t="n">
        <v>7650</v>
      </c>
    </row>
    <row r="187">
      <c r="A187" t="n">
        <v>186</v>
      </c>
      <c r="B187" t="n">
        <v>0</v>
      </c>
      <c r="C187" t="n">
        <v>16198</v>
      </c>
      <c r="D187" t="n">
        <v>39902</v>
      </c>
      <c r="E187" t="n">
        <v>240492</v>
      </c>
      <c r="F187" t="n">
        <v>1433398</v>
      </c>
      <c r="G187" t="n">
        <v>8392569</v>
      </c>
      <c r="H187" t="n">
        <v>48436503</v>
      </c>
      <c r="I187" t="n">
        <v>274703632</v>
      </c>
      <c r="J187" t="n">
        <v>2000</v>
      </c>
      <c r="K187" t="n">
        <v>17118</v>
      </c>
      <c r="L187" t="n">
        <v>2500</v>
      </c>
      <c r="M187" t="n">
        <v>1086</v>
      </c>
      <c r="N187" t="n">
        <v>1930</v>
      </c>
      <c r="O187" t="n">
        <v>2860</v>
      </c>
      <c r="P187" t="n">
        <v>3790</v>
      </c>
      <c r="Q187" t="n">
        <v>4720</v>
      </c>
      <c r="R187" t="n">
        <v>5650</v>
      </c>
      <c r="S187" t="n">
        <v>6580</v>
      </c>
      <c r="T187" t="n">
        <v>7510</v>
      </c>
      <c r="U187" t="n">
        <v>8440</v>
      </c>
      <c r="V187" t="n">
        <v>3890</v>
      </c>
      <c r="W187" t="n">
        <v>1744</v>
      </c>
      <c r="X187" t="n">
        <v>1558</v>
      </c>
      <c r="Y187" t="n">
        <v>7660</v>
      </c>
    </row>
    <row r="188">
      <c r="A188" t="n">
        <v>187</v>
      </c>
      <c r="B188" t="n">
        <v>0</v>
      </c>
      <c r="C188" t="n">
        <v>16441</v>
      </c>
      <c r="D188" t="n">
        <v>40701</v>
      </c>
      <c r="E188" t="n">
        <v>247707</v>
      </c>
      <c r="F188" t="n">
        <v>1490734</v>
      </c>
      <c r="G188" t="n">
        <v>8812198</v>
      </c>
      <c r="H188" t="n">
        <v>51342694</v>
      </c>
      <c r="I188" t="n">
        <v>293932887</v>
      </c>
      <c r="J188" t="n">
        <v>2000</v>
      </c>
      <c r="K188" t="n">
        <v>17290</v>
      </c>
      <c r="L188" t="n">
        <v>2500</v>
      </c>
      <c r="M188" t="n">
        <v>1087</v>
      </c>
      <c r="N188" t="n">
        <v>1935</v>
      </c>
      <c r="O188" t="n">
        <v>2870</v>
      </c>
      <c r="P188" t="n">
        <v>3805</v>
      </c>
      <c r="Q188" t="n">
        <v>4740</v>
      </c>
      <c r="R188" t="n">
        <v>5675</v>
      </c>
      <c r="S188" t="n">
        <v>6610</v>
      </c>
      <c r="T188" t="n">
        <v>7545</v>
      </c>
      <c r="U188" t="n">
        <v>8480</v>
      </c>
      <c r="V188" t="n">
        <v>3914</v>
      </c>
      <c r="W188" t="n">
        <v>1748</v>
      </c>
      <c r="X188" t="n">
        <v>1561</v>
      </c>
      <c r="Y188" t="n">
        <v>7670</v>
      </c>
    </row>
    <row r="189">
      <c r="A189" t="n">
        <v>188</v>
      </c>
      <c r="B189" t="n">
        <v>0</v>
      </c>
      <c r="C189" t="n">
        <v>16688</v>
      </c>
      <c r="D189" t="n">
        <v>41516</v>
      </c>
      <c r="E189" t="n">
        <v>255139</v>
      </c>
      <c r="F189" t="n">
        <v>1550364</v>
      </c>
      <c r="G189" t="n">
        <v>9252808</v>
      </c>
      <c r="H189" t="n">
        <v>54423256</v>
      </c>
      <c r="I189" t="n">
        <v>314508190</v>
      </c>
      <c r="J189" t="n">
        <v>2000</v>
      </c>
      <c r="K189" t="n">
        <v>17463</v>
      </c>
      <c r="L189" t="n">
        <v>2500</v>
      </c>
      <c r="M189" t="n">
        <v>1088</v>
      </c>
      <c r="N189" t="n">
        <v>1940</v>
      </c>
      <c r="O189" t="n">
        <v>2880</v>
      </c>
      <c r="P189" t="n">
        <v>3820</v>
      </c>
      <c r="Q189" t="n">
        <v>4760</v>
      </c>
      <c r="R189" t="n">
        <v>5700</v>
      </c>
      <c r="S189" t="n">
        <v>6640</v>
      </c>
      <c r="T189" t="n">
        <v>7580</v>
      </c>
      <c r="U189" t="n">
        <v>8520</v>
      </c>
      <c r="V189" t="n">
        <v>3938</v>
      </c>
      <c r="W189" t="n">
        <v>1752</v>
      </c>
      <c r="X189" t="n">
        <v>1564</v>
      </c>
      <c r="Y189" t="n">
        <v>7680</v>
      </c>
    </row>
    <row r="190">
      <c r="A190" t="n">
        <v>189</v>
      </c>
      <c r="B190" t="n">
        <v>0</v>
      </c>
      <c r="C190" t="n">
        <v>16939</v>
      </c>
      <c r="D190" t="n">
        <v>42347</v>
      </c>
      <c r="E190" t="n">
        <v>262794</v>
      </c>
      <c r="F190" t="n">
        <v>1612379</v>
      </c>
      <c r="G190" t="n">
        <v>9715449</v>
      </c>
      <c r="H190" t="n">
        <v>57688652</v>
      </c>
      <c r="I190" t="n">
        <v>336523764</v>
      </c>
      <c r="J190" t="n">
        <v>2000</v>
      </c>
      <c r="K190" t="n">
        <v>17638</v>
      </c>
      <c r="L190" t="n">
        <v>2500</v>
      </c>
      <c r="M190" t="n">
        <v>1089</v>
      </c>
      <c r="N190" t="n">
        <v>1945</v>
      </c>
      <c r="O190" t="n">
        <v>2890</v>
      </c>
      <c r="P190" t="n">
        <v>3835</v>
      </c>
      <c r="Q190" t="n">
        <v>4780</v>
      </c>
      <c r="R190" t="n">
        <v>5725</v>
      </c>
      <c r="S190" t="n">
        <v>6670</v>
      </c>
      <c r="T190" t="n">
        <v>7615</v>
      </c>
      <c r="U190" t="n">
        <v>8560</v>
      </c>
      <c r="V190" t="n">
        <v>3962</v>
      </c>
      <c r="W190" t="n">
        <v>1756</v>
      </c>
      <c r="X190" t="n">
        <v>1567</v>
      </c>
      <c r="Y190" t="n">
        <v>7690</v>
      </c>
    </row>
    <row r="191">
      <c r="A191" t="n">
        <v>190</v>
      </c>
      <c r="B191" t="n">
        <v>0</v>
      </c>
      <c r="C191" t="n">
        <v>17194</v>
      </c>
      <c r="D191" t="n">
        <v>43194</v>
      </c>
      <c r="E191" t="n">
        <v>270678</v>
      </c>
      <c r="F191" t="n">
        <v>1676875</v>
      </c>
      <c r="G191" t="n">
        <v>10201222</v>
      </c>
      <c r="H191" t="n">
        <v>61149972</v>
      </c>
      <c r="I191" t="n">
        <v>360080428</v>
      </c>
      <c r="J191" t="n">
        <v>2000</v>
      </c>
      <c r="K191" t="n">
        <v>17815</v>
      </c>
      <c r="L191" t="n">
        <v>2500</v>
      </c>
      <c r="M191" t="n">
        <v>1090</v>
      </c>
      <c r="N191" t="n">
        <v>1950</v>
      </c>
      <c r="O191" t="n">
        <v>2900</v>
      </c>
      <c r="P191" t="n">
        <v>3850</v>
      </c>
      <c r="Q191" t="n">
        <v>4800</v>
      </c>
      <c r="R191" t="n">
        <v>5750</v>
      </c>
      <c r="S191" t="n">
        <v>6700</v>
      </c>
      <c r="T191" t="n">
        <v>7650</v>
      </c>
      <c r="U191" t="n">
        <v>8600</v>
      </c>
      <c r="V191" t="n">
        <v>3986</v>
      </c>
      <c r="W191" t="n">
        <v>1760</v>
      </c>
      <c r="X191" t="n">
        <v>1570</v>
      </c>
      <c r="Y191" t="n">
        <v>7700</v>
      </c>
    </row>
    <row r="192">
      <c r="A192" t="n">
        <v>191</v>
      </c>
      <c r="B192" t="n">
        <v>0</v>
      </c>
      <c r="C192" t="n">
        <v>17452</v>
      </c>
      <c r="D192" t="n">
        <v>44058</v>
      </c>
      <c r="E192" t="n">
        <v>278799</v>
      </c>
      <c r="F192" t="n">
        <v>1743950</v>
      </c>
      <c r="G192" t="n">
        <v>10711284</v>
      </c>
      <c r="H192" t="n">
        <v>64818971</v>
      </c>
      <c r="I192" t="n">
        <v>385286058</v>
      </c>
      <c r="J192" t="n">
        <v>2000</v>
      </c>
      <c r="K192" t="n">
        <v>17994</v>
      </c>
      <c r="L192" t="n">
        <v>2500</v>
      </c>
      <c r="M192" t="n">
        <v>1091</v>
      </c>
      <c r="N192" t="n">
        <v>1955</v>
      </c>
      <c r="O192" t="n">
        <v>2910</v>
      </c>
      <c r="P192" t="n">
        <v>3865</v>
      </c>
      <c r="Q192" t="n">
        <v>4820</v>
      </c>
      <c r="R192" t="n">
        <v>5775</v>
      </c>
      <c r="S192" t="n">
        <v>6730</v>
      </c>
      <c r="T192" t="n">
        <v>7685</v>
      </c>
      <c r="U192" t="n">
        <v>8640</v>
      </c>
      <c r="V192" t="n">
        <v>4010</v>
      </c>
      <c r="W192" t="n">
        <v>1764</v>
      </c>
      <c r="X192" t="n">
        <v>1573</v>
      </c>
      <c r="Y192" t="n">
        <v>7710</v>
      </c>
    </row>
    <row r="193">
      <c r="A193" t="n">
        <v>192</v>
      </c>
      <c r="B193" t="n">
        <v>0</v>
      </c>
      <c r="C193" t="n">
        <v>17714</v>
      </c>
      <c r="D193" t="n">
        <v>44940</v>
      </c>
      <c r="E193" t="n">
        <v>287163</v>
      </c>
      <c r="F193" t="n">
        <v>1813708</v>
      </c>
      <c r="G193" t="n">
        <v>11246849</v>
      </c>
      <c r="H193" t="n">
        <v>68708110</v>
      </c>
      <c r="I193" t="n">
        <v>412256083</v>
      </c>
      <c r="J193" t="n">
        <v>2000</v>
      </c>
      <c r="K193" t="n">
        <v>18174</v>
      </c>
      <c r="L193" t="n">
        <v>2500</v>
      </c>
      <c r="M193" t="n">
        <v>1092</v>
      </c>
      <c r="N193" t="n">
        <v>1960</v>
      </c>
      <c r="O193" t="n">
        <v>2920</v>
      </c>
      <c r="P193" t="n">
        <v>3880</v>
      </c>
      <c r="Q193" t="n">
        <v>4840</v>
      </c>
      <c r="R193" t="n">
        <v>5800</v>
      </c>
      <c r="S193" t="n">
        <v>6760</v>
      </c>
      <c r="T193" t="n">
        <v>7720</v>
      </c>
      <c r="U193" t="n">
        <v>8680</v>
      </c>
      <c r="V193" t="n">
        <v>4035</v>
      </c>
      <c r="W193" t="n">
        <v>1768</v>
      </c>
      <c r="X193" t="n">
        <v>1576</v>
      </c>
      <c r="Y193" t="n">
        <v>7720</v>
      </c>
    </row>
    <row r="194">
      <c r="A194" t="n">
        <v>193</v>
      </c>
      <c r="B194" t="n">
        <v>0</v>
      </c>
      <c r="C194" t="n">
        <v>17980</v>
      </c>
      <c r="D194" t="n">
        <v>45839</v>
      </c>
      <c r="E194" t="n">
        <v>295778</v>
      </c>
      <c r="F194" t="n">
        <v>1886257</v>
      </c>
      <c r="G194" t="n">
        <v>11809192</v>
      </c>
      <c r="H194" t="n">
        <v>72830597</v>
      </c>
      <c r="I194" t="n">
        <v>441114009</v>
      </c>
      <c r="J194" t="n">
        <v>2000</v>
      </c>
      <c r="K194" t="n">
        <v>18356</v>
      </c>
      <c r="L194" t="n">
        <v>2500</v>
      </c>
      <c r="M194" t="n">
        <v>1093</v>
      </c>
      <c r="N194" t="n">
        <v>1965</v>
      </c>
      <c r="O194" t="n">
        <v>2930</v>
      </c>
      <c r="P194" t="n">
        <v>3895</v>
      </c>
      <c r="Q194" t="n">
        <v>4860</v>
      </c>
      <c r="R194" t="n">
        <v>5825</v>
      </c>
      <c r="S194" t="n">
        <v>6790</v>
      </c>
      <c r="T194" t="n">
        <v>7755</v>
      </c>
      <c r="U194" t="n">
        <v>8720</v>
      </c>
      <c r="V194" t="n">
        <v>4060</v>
      </c>
      <c r="W194" t="n">
        <v>1772</v>
      </c>
      <c r="X194" t="n">
        <v>1579</v>
      </c>
      <c r="Y194" t="n">
        <v>7730</v>
      </c>
    </row>
    <row r="195">
      <c r="A195" t="n">
        <v>194</v>
      </c>
      <c r="B195" t="n">
        <v>0</v>
      </c>
      <c r="C195" t="n">
        <v>18250</v>
      </c>
      <c r="D195" t="n">
        <v>46756</v>
      </c>
      <c r="E195" t="n">
        <v>304652</v>
      </c>
      <c r="F195" t="n">
        <v>1961708</v>
      </c>
      <c r="G195" t="n">
        <v>12399652</v>
      </c>
      <c r="H195" t="n">
        <v>77200433</v>
      </c>
      <c r="I195" t="n">
        <v>471991990</v>
      </c>
      <c r="J195" t="n">
        <v>2000</v>
      </c>
      <c r="K195" t="n">
        <v>18540</v>
      </c>
      <c r="L195" t="n">
        <v>2500</v>
      </c>
      <c r="M195" t="n">
        <v>1094</v>
      </c>
      <c r="N195" t="n">
        <v>1970</v>
      </c>
      <c r="O195" t="n">
        <v>2940</v>
      </c>
      <c r="P195" t="n">
        <v>3910</v>
      </c>
      <c r="Q195" t="n">
        <v>4880</v>
      </c>
      <c r="R195" t="n">
        <v>5850</v>
      </c>
      <c r="S195" t="n">
        <v>6820</v>
      </c>
      <c r="T195" t="n">
        <v>7790</v>
      </c>
      <c r="U195" t="n">
        <v>8760</v>
      </c>
      <c r="V195" t="n">
        <v>4085</v>
      </c>
      <c r="W195" t="n">
        <v>1776</v>
      </c>
      <c r="X195" t="n">
        <v>1582</v>
      </c>
      <c r="Y195" t="n">
        <v>7740</v>
      </c>
    </row>
    <row r="196">
      <c r="A196" t="n">
        <v>195</v>
      </c>
      <c r="B196" t="n">
        <v>0</v>
      </c>
      <c r="C196" t="n">
        <v>18524</v>
      </c>
      <c r="D196" t="n">
        <v>47692</v>
      </c>
      <c r="E196" t="n">
        <v>313792</v>
      </c>
      <c r="F196" t="n">
        <v>2040177</v>
      </c>
      <c r="G196" t="n">
        <v>13019635</v>
      </c>
      <c r="H196" t="n">
        <v>81832459</v>
      </c>
      <c r="I196" t="n">
        <v>505031430</v>
      </c>
      <c r="J196" t="n">
        <v>2000</v>
      </c>
      <c r="K196" t="n">
        <v>18726</v>
      </c>
      <c r="L196" t="n">
        <v>2500</v>
      </c>
      <c r="M196" t="n">
        <v>1095</v>
      </c>
      <c r="N196" t="n">
        <v>1975</v>
      </c>
      <c r="O196" t="n">
        <v>2950</v>
      </c>
      <c r="P196" t="n">
        <v>3925</v>
      </c>
      <c r="Q196" t="n">
        <v>4900</v>
      </c>
      <c r="R196" t="n">
        <v>5875</v>
      </c>
      <c r="S196" t="n">
        <v>6850</v>
      </c>
      <c r="T196" t="n">
        <v>7825</v>
      </c>
      <c r="U196" t="n">
        <v>8800</v>
      </c>
      <c r="V196" t="n">
        <v>4110</v>
      </c>
      <c r="W196" t="n">
        <v>1780</v>
      </c>
      <c r="X196" t="n">
        <v>1585</v>
      </c>
      <c r="Y196" t="n">
        <v>7750</v>
      </c>
    </row>
    <row r="197">
      <c r="A197" t="n">
        <v>196</v>
      </c>
      <c r="B197" t="n">
        <v>0</v>
      </c>
      <c r="C197" t="n">
        <v>18802</v>
      </c>
      <c r="D197" t="n">
        <v>48646</v>
      </c>
      <c r="E197" t="n">
        <v>323206</v>
      </c>
      <c r="F197" t="n">
        <v>2121785</v>
      </c>
      <c r="G197" t="n">
        <v>13670617</v>
      </c>
      <c r="H197" t="n">
        <v>86742407</v>
      </c>
      <c r="I197" t="n">
        <v>540383631</v>
      </c>
      <c r="J197" t="n">
        <v>2000</v>
      </c>
      <c r="K197" t="n">
        <v>18914</v>
      </c>
      <c r="L197" t="n">
        <v>2500</v>
      </c>
      <c r="M197" t="n">
        <v>1096</v>
      </c>
      <c r="N197" t="n">
        <v>1980</v>
      </c>
      <c r="O197" t="n">
        <v>2960</v>
      </c>
      <c r="P197" t="n">
        <v>3940</v>
      </c>
      <c r="Q197" t="n">
        <v>4920</v>
      </c>
      <c r="R197" t="n">
        <v>5900</v>
      </c>
      <c r="S197" t="n">
        <v>6880</v>
      </c>
      <c r="T197" t="n">
        <v>7860</v>
      </c>
      <c r="U197" t="n">
        <v>8840</v>
      </c>
      <c r="V197" t="n">
        <v>4135</v>
      </c>
      <c r="W197" t="n">
        <v>1784</v>
      </c>
      <c r="X197" t="n">
        <v>1588</v>
      </c>
      <c r="Y197" t="n">
        <v>7760</v>
      </c>
    </row>
    <row r="198">
      <c r="A198" t="n">
        <v>197</v>
      </c>
      <c r="B198" t="n">
        <v>0</v>
      </c>
      <c r="C198" t="n">
        <v>19085</v>
      </c>
      <c r="D198" t="n">
        <v>49619</v>
      </c>
      <c r="E198" t="n">
        <v>332903</v>
      </c>
      <c r="F198" t="n">
        <v>2206657</v>
      </c>
      <c r="G198" t="n">
        <v>14354148</v>
      </c>
      <c r="H198" t="n">
        <v>91946952</v>
      </c>
      <c r="I198" t="n">
        <v>578210486</v>
      </c>
      <c r="J198" t="n">
        <v>2000</v>
      </c>
      <c r="K198" t="n">
        <v>19104</v>
      </c>
      <c r="L198" t="n">
        <v>2500</v>
      </c>
      <c r="M198" t="n">
        <v>1097</v>
      </c>
      <c r="N198" t="n">
        <v>1985</v>
      </c>
      <c r="O198" t="n">
        <v>2970</v>
      </c>
      <c r="P198" t="n">
        <v>3955</v>
      </c>
      <c r="Q198" t="n">
        <v>4940</v>
      </c>
      <c r="R198" t="n">
        <v>5925</v>
      </c>
      <c r="S198" t="n">
        <v>6910</v>
      </c>
      <c r="T198" t="n">
        <v>7895</v>
      </c>
      <c r="U198" t="n">
        <v>8880</v>
      </c>
      <c r="V198" t="n">
        <v>4160</v>
      </c>
      <c r="W198" t="n">
        <v>1788</v>
      </c>
      <c r="X198" t="n">
        <v>1591</v>
      </c>
      <c r="Y198" t="n">
        <v>7770</v>
      </c>
    </row>
    <row r="199">
      <c r="A199" t="n">
        <v>198</v>
      </c>
      <c r="B199" t="n">
        <v>0</v>
      </c>
      <c r="C199" t="n">
        <v>19372</v>
      </c>
      <c r="D199" t="n">
        <v>50612</v>
      </c>
      <c r="E199" t="n">
        <v>342891</v>
      </c>
      <c r="F199" t="n">
        <v>2294924</v>
      </c>
      <c r="G199" t="n">
        <v>15071856</v>
      </c>
      <c r="H199" t="n">
        <v>97463770</v>
      </c>
      <c r="I199" t="n">
        <v>618685221</v>
      </c>
      <c r="J199" t="n">
        <v>2000</v>
      </c>
      <c r="K199" t="n">
        <v>19296</v>
      </c>
      <c r="L199" t="n">
        <v>2500</v>
      </c>
      <c r="M199" t="n">
        <v>1098</v>
      </c>
      <c r="N199" t="n">
        <v>1990</v>
      </c>
      <c r="O199" t="n">
        <v>2980</v>
      </c>
      <c r="P199" t="n">
        <v>3970</v>
      </c>
      <c r="Q199" t="n">
        <v>4960</v>
      </c>
      <c r="R199" t="n">
        <v>5950</v>
      </c>
      <c r="S199" t="n">
        <v>6940</v>
      </c>
      <c r="T199" t="n">
        <v>7930</v>
      </c>
      <c r="U199" t="n">
        <v>8920</v>
      </c>
      <c r="V199" t="n">
        <v>4185</v>
      </c>
      <c r="W199" t="n">
        <v>1792</v>
      </c>
      <c r="X199" t="n">
        <v>1594</v>
      </c>
      <c r="Y199" t="n">
        <v>7780</v>
      </c>
    </row>
    <row r="200">
      <c r="A200" t="n">
        <v>199</v>
      </c>
      <c r="B200" t="n">
        <v>0</v>
      </c>
      <c r="C200" t="n">
        <v>19663</v>
      </c>
      <c r="D200" t="n">
        <v>51625</v>
      </c>
      <c r="E200" t="n">
        <v>353178</v>
      </c>
      <c r="F200" t="n">
        <v>2386721</v>
      </c>
      <c r="G200" t="n">
        <v>15825449</v>
      </c>
      <c r="H200" t="n">
        <v>103311597</v>
      </c>
      <c r="I200" t="n">
        <v>661993187</v>
      </c>
      <c r="J200" t="n">
        <v>2000</v>
      </c>
      <c r="K200" t="n">
        <v>19489</v>
      </c>
      <c r="L200" t="n">
        <v>2500</v>
      </c>
      <c r="M200" t="n">
        <v>1099</v>
      </c>
      <c r="N200" t="n">
        <v>1995</v>
      </c>
      <c r="O200" t="n">
        <v>2990</v>
      </c>
      <c r="P200" t="n">
        <v>3985</v>
      </c>
      <c r="Q200" t="n">
        <v>4980</v>
      </c>
      <c r="R200" t="n">
        <v>5975</v>
      </c>
      <c r="S200" t="n">
        <v>6970</v>
      </c>
      <c r="T200" t="n">
        <v>7965</v>
      </c>
      <c r="U200" t="n">
        <v>8960</v>
      </c>
      <c r="V200" t="n">
        <v>4210</v>
      </c>
      <c r="W200" t="n">
        <v>1796</v>
      </c>
      <c r="X200" t="n">
        <v>1597</v>
      </c>
      <c r="Y200" t="n">
        <v>7790</v>
      </c>
    </row>
    <row r="201">
      <c r="A201" t="n">
        <v>200</v>
      </c>
      <c r="B201" t="n">
        <v>0</v>
      </c>
      <c r="C201" t="n">
        <v>19958</v>
      </c>
      <c r="D201" t="n">
        <v>52658</v>
      </c>
      <c r="E201" t="n">
        <v>363774</v>
      </c>
      <c r="F201" t="n">
        <v>2482190</v>
      </c>
      <c r="G201" t="n">
        <v>16616722</v>
      </c>
      <c r="H201" t="n">
        <v>109510293</v>
      </c>
      <c r="I201" t="n">
        <v>708332711</v>
      </c>
      <c r="J201" t="n">
        <v>2000</v>
      </c>
      <c r="K201" t="n">
        <v>19684</v>
      </c>
      <c r="L201" t="n">
        <v>2500</v>
      </c>
      <c r="M201" t="n">
        <v>1100</v>
      </c>
      <c r="N201" t="n">
        <v>2000</v>
      </c>
      <c r="O201" t="n">
        <v>3000</v>
      </c>
      <c r="P201" t="n">
        <v>4000</v>
      </c>
      <c r="Q201" t="n">
        <v>5000</v>
      </c>
      <c r="R201" t="n">
        <v>6000</v>
      </c>
      <c r="S201" t="n">
        <v>7000</v>
      </c>
      <c r="T201" t="n">
        <v>8000</v>
      </c>
      <c r="U201" t="n">
        <v>9000</v>
      </c>
      <c r="V201" t="n">
        <v>4236</v>
      </c>
      <c r="W201" t="n">
        <v>1800</v>
      </c>
      <c r="X201" t="n">
        <v>1600</v>
      </c>
      <c r="Y201" t="n">
        <v>7800</v>
      </c>
    </row>
    <row r="202">
      <c r="A202" t="n">
        <v>201</v>
      </c>
      <c r="B202" t="n">
        <v>0</v>
      </c>
      <c r="C202" t="n">
        <v>20258</v>
      </c>
      <c r="D202" t="n">
        <v>53712</v>
      </c>
      <c r="E202" t="n">
        <v>374688</v>
      </c>
      <c r="F202" t="n">
        <v>2581478</v>
      </c>
      <c r="G202" t="n">
        <v>17447559</v>
      </c>
      <c r="H202" t="n">
        <v>116080911</v>
      </c>
      <c r="I202" t="n">
        <v>757916001</v>
      </c>
      <c r="J202" t="n">
        <v>2000</v>
      </c>
      <c r="K202" t="n">
        <v>19881</v>
      </c>
      <c r="L202" t="n">
        <v>2500</v>
      </c>
      <c r="M202" t="n">
        <v>1100</v>
      </c>
      <c r="N202" t="n">
        <v>2005</v>
      </c>
      <c r="O202" t="n">
        <v>3010</v>
      </c>
      <c r="P202" t="n">
        <v>4015</v>
      </c>
      <c r="Q202" t="n">
        <v>5020</v>
      </c>
      <c r="R202" t="n">
        <v>6025</v>
      </c>
      <c r="S202" t="n">
        <v>7030</v>
      </c>
      <c r="T202" t="n">
        <v>8035</v>
      </c>
      <c r="U202" t="n">
        <v>9040</v>
      </c>
      <c r="V202" t="n">
        <v>4262</v>
      </c>
      <c r="W202" t="n">
        <v>1804</v>
      </c>
      <c r="X202" t="n">
        <v>1603</v>
      </c>
      <c r="Y202" t="n">
        <v>7810</v>
      </c>
    </row>
    <row r="203">
      <c r="A203" t="n">
        <v>202</v>
      </c>
      <c r="B203" t="n">
        <v>0</v>
      </c>
      <c r="C203" t="n">
        <v>20562</v>
      </c>
      <c r="D203" t="n">
        <v>54787</v>
      </c>
      <c r="E203" t="n">
        <v>385929</v>
      </c>
      <c r="F203" t="n">
        <v>2684738</v>
      </c>
      <c r="G203" t="n">
        <v>18319937</v>
      </c>
      <c r="H203" t="n">
        <v>123045766</v>
      </c>
      <c r="I203" t="n">
        <v>810970122</v>
      </c>
      <c r="J203" t="n">
        <v>2000</v>
      </c>
      <c r="K203" t="n">
        <v>20080</v>
      </c>
      <c r="L203" t="n">
        <v>2500</v>
      </c>
      <c r="M203" t="n">
        <v>1100</v>
      </c>
      <c r="N203" t="n">
        <v>2010</v>
      </c>
      <c r="O203" t="n">
        <v>3020</v>
      </c>
      <c r="P203" t="n">
        <v>4030</v>
      </c>
      <c r="Q203" t="n">
        <v>5040</v>
      </c>
      <c r="R203" t="n">
        <v>6050</v>
      </c>
      <c r="S203" t="n">
        <v>7060</v>
      </c>
      <c r="T203" t="n">
        <v>8070</v>
      </c>
      <c r="U203" t="n">
        <v>9080</v>
      </c>
      <c r="V203" t="n">
        <v>4288</v>
      </c>
      <c r="W203" t="n">
        <v>1808</v>
      </c>
      <c r="X203" t="n">
        <v>1606</v>
      </c>
      <c r="Y203" t="n">
        <v>7820</v>
      </c>
    </row>
    <row r="204">
      <c r="A204" t="n">
        <v>203</v>
      </c>
      <c r="B204" t="n">
        <v>0</v>
      </c>
      <c r="C204" t="n">
        <v>20871</v>
      </c>
      <c r="D204" t="n">
        <v>55883</v>
      </c>
      <c r="E204" t="n">
        <v>397507</v>
      </c>
      <c r="F204" t="n">
        <v>2792128</v>
      </c>
      <c r="G204" t="n">
        <v>19235934</v>
      </c>
      <c r="H204" t="n">
        <v>130428512</v>
      </c>
      <c r="I204" t="n">
        <v>867738031</v>
      </c>
      <c r="J204" t="n">
        <v>2000</v>
      </c>
      <c r="K204" t="n">
        <v>20281</v>
      </c>
      <c r="L204" t="n">
        <v>2500</v>
      </c>
      <c r="M204" t="n">
        <v>1100</v>
      </c>
      <c r="N204" t="n">
        <v>2015</v>
      </c>
      <c r="O204" t="n">
        <v>3030</v>
      </c>
      <c r="P204" t="n">
        <v>4045</v>
      </c>
      <c r="Q204" t="n">
        <v>5060</v>
      </c>
      <c r="R204" t="n">
        <v>6075</v>
      </c>
      <c r="S204" t="n">
        <v>7090</v>
      </c>
      <c r="T204" t="n">
        <v>8105</v>
      </c>
      <c r="U204" t="n">
        <v>9120</v>
      </c>
      <c r="V204" t="n">
        <v>4314</v>
      </c>
      <c r="W204" t="n">
        <v>1812</v>
      </c>
      <c r="X204" t="n">
        <v>1609</v>
      </c>
      <c r="Y204" t="n">
        <v>7830</v>
      </c>
    </row>
    <row r="205">
      <c r="A205" t="n">
        <v>204</v>
      </c>
      <c r="B205" t="n">
        <v>0</v>
      </c>
      <c r="C205" t="n">
        <v>21185</v>
      </c>
      <c r="D205" t="n">
        <v>57001</v>
      </c>
      <c r="E205" t="n">
        <v>409433</v>
      </c>
      <c r="F205" t="n">
        <v>2903814</v>
      </c>
      <c r="G205" t="n">
        <v>20197731</v>
      </c>
      <c r="H205" t="n">
        <v>138254223</v>
      </c>
      <c r="I205" t="n">
        <v>928479694</v>
      </c>
      <c r="J205" t="n">
        <v>2000</v>
      </c>
      <c r="K205" t="n">
        <v>20484</v>
      </c>
      <c r="L205" t="n">
        <v>2500</v>
      </c>
      <c r="M205" t="n">
        <v>1100</v>
      </c>
      <c r="N205" t="n">
        <v>2020</v>
      </c>
      <c r="O205" t="n">
        <v>3040</v>
      </c>
      <c r="P205" t="n">
        <v>4060</v>
      </c>
      <c r="Q205" t="n">
        <v>5080</v>
      </c>
      <c r="R205" t="n">
        <v>6100</v>
      </c>
      <c r="S205" t="n">
        <v>7120</v>
      </c>
      <c r="T205" t="n">
        <v>8140</v>
      </c>
      <c r="U205" t="n">
        <v>9160</v>
      </c>
      <c r="V205" t="n">
        <v>4340</v>
      </c>
      <c r="W205" t="n">
        <v>1816</v>
      </c>
      <c r="X205" t="n">
        <v>1612</v>
      </c>
      <c r="Y205" t="n">
        <v>7840</v>
      </c>
    </row>
    <row r="206">
      <c r="A206" t="n">
        <v>205</v>
      </c>
      <c r="B206" t="n">
        <v>0</v>
      </c>
      <c r="C206" t="n">
        <v>21503</v>
      </c>
      <c r="D206" t="n">
        <v>58142</v>
      </c>
      <c r="E206" t="n">
        <v>421716</v>
      </c>
      <c r="F206" t="n">
        <v>3019967</v>
      </c>
      <c r="G206" t="n">
        <v>21207618</v>
      </c>
      <c r="H206" t="n">
        <v>146549477</v>
      </c>
      <c r="I206" t="n">
        <v>993473273</v>
      </c>
      <c r="J206" t="n">
        <v>2000</v>
      </c>
      <c r="K206" t="n">
        <v>20689</v>
      </c>
      <c r="L206" t="n">
        <v>2500</v>
      </c>
      <c r="M206" t="n">
        <v>1100</v>
      </c>
      <c r="N206" t="n">
        <v>2025</v>
      </c>
      <c r="O206" t="n">
        <v>3050</v>
      </c>
      <c r="P206" t="n">
        <v>4075</v>
      </c>
      <c r="Q206" t="n">
        <v>5100</v>
      </c>
      <c r="R206" t="n">
        <v>6125</v>
      </c>
      <c r="S206" t="n">
        <v>7150</v>
      </c>
      <c r="T206" t="n">
        <v>8175</v>
      </c>
      <c r="U206" t="n">
        <v>9200</v>
      </c>
      <c r="V206" t="n">
        <v>4366</v>
      </c>
      <c r="W206" t="n">
        <v>1820</v>
      </c>
      <c r="X206" t="n">
        <v>1615</v>
      </c>
      <c r="Y206" t="n">
        <v>7850</v>
      </c>
    </row>
    <row r="207">
      <c r="A207" t="n">
        <v>206</v>
      </c>
      <c r="B207" t="n">
        <v>0</v>
      </c>
      <c r="C207" t="n">
        <v>21826</v>
      </c>
      <c r="D207" t="n">
        <v>59305</v>
      </c>
      <c r="E207" t="n">
        <v>434368</v>
      </c>
      <c r="F207" t="n">
        <v>3140766</v>
      </c>
      <c r="G207" t="n">
        <v>22267999</v>
      </c>
      <c r="H207" t="n">
        <v>155342446</v>
      </c>
      <c r="I207" t="n">
        <v>1063016403</v>
      </c>
      <c r="J207" t="n">
        <v>2000</v>
      </c>
      <c r="K207" t="n">
        <v>20896</v>
      </c>
      <c r="L207" t="n">
        <v>2500</v>
      </c>
      <c r="M207" t="n">
        <v>1100</v>
      </c>
      <c r="N207" t="n">
        <v>2030</v>
      </c>
      <c r="O207" t="n">
        <v>3060</v>
      </c>
      <c r="P207" t="n">
        <v>4090</v>
      </c>
      <c r="Q207" t="n">
        <v>5120</v>
      </c>
      <c r="R207" t="n">
        <v>6150</v>
      </c>
      <c r="S207" t="n">
        <v>7180</v>
      </c>
      <c r="T207" t="n">
        <v>8210</v>
      </c>
      <c r="U207" t="n">
        <v>9240</v>
      </c>
      <c r="V207" t="n">
        <v>4392</v>
      </c>
      <c r="W207" t="n">
        <v>1824</v>
      </c>
      <c r="X207" t="n">
        <v>1618</v>
      </c>
      <c r="Y207" t="n">
        <v>7860</v>
      </c>
    </row>
    <row r="208">
      <c r="A208" t="n">
        <v>207</v>
      </c>
      <c r="B208" t="n">
        <v>0</v>
      </c>
      <c r="C208" t="n">
        <v>22154</v>
      </c>
      <c r="D208" t="n">
        <v>60492</v>
      </c>
      <c r="E208" t="n">
        <v>447400</v>
      </c>
      <c r="F208" t="n">
        <v>3266397</v>
      </c>
      <c r="G208" t="n">
        <v>23381399</v>
      </c>
      <c r="H208" t="n">
        <v>164662993</v>
      </c>
      <c r="I208" t="n">
        <v>1137427552</v>
      </c>
      <c r="J208" t="n">
        <v>2000</v>
      </c>
      <c r="K208" t="n">
        <v>21105</v>
      </c>
      <c r="L208" t="n">
        <v>2500</v>
      </c>
      <c r="M208" t="n">
        <v>1100</v>
      </c>
      <c r="N208" t="n">
        <v>2035</v>
      </c>
      <c r="O208" t="n">
        <v>3070</v>
      </c>
      <c r="P208" t="n">
        <v>4105</v>
      </c>
      <c r="Q208" t="n">
        <v>5140</v>
      </c>
      <c r="R208" t="n">
        <v>6175</v>
      </c>
      <c r="S208" t="n">
        <v>7210</v>
      </c>
      <c r="T208" t="n">
        <v>8245</v>
      </c>
      <c r="U208" t="n">
        <v>9280</v>
      </c>
      <c r="V208" t="n">
        <v>4418</v>
      </c>
      <c r="W208" t="n">
        <v>1828</v>
      </c>
      <c r="X208" t="n">
        <v>1621</v>
      </c>
      <c r="Y208" t="n">
        <v>7870</v>
      </c>
    </row>
    <row r="209">
      <c r="A209" t="n">
        <v>208</v>
      </c>
      <c r="B209" t="n">
        <v>0</v>
      </c>
      <c r="C209" t="n">
        <v>22487</v>
      </c>
      <c r="D209" t="n">
        <v>61702</v>
      </c>
      <c r="E209" t="n">
        <v>460822</v>
      </c>
      <c r="F209" t="n">
        <v>3397053</v>
      </c>
      <c r="G209" t="n">
        <v>24550469</v>
      </c>
      <c r="H209" t="n">
        <v>174542773</v>
      </c>
      <c r="I209" t="n">
        <v>1217047481</v>
      </c>
      <c r="J209" t="n">
        <v>2000</v>
      </c>
      <c r="K209" t="n">
        <v>21317</v>
      </c>
      <c r="L209" t="n">
        <v>2500</v>
      </c>
      <c r="M209" t="n">
        <v>1100</v>
      </c>
      <c r="N209" t="n">
        <v>2040</v>
      </c>
      <c r="O209" t="n">
        <v>3080</v>
      </c>
      <c r="P209" t="n">
        <v>4120</v>
      </c>
      <c r="Q209" t="n">
        <v>5160</v>
      </c>
      <c r="R209" t="n">
        <v>6200</v>
      </c>
      <c r="S209" t="n">
        <v>7240</v>
      </c>
      <c r="T209" t="n">
        <v>8280</v>
      </c>
      <c r="U209" t="n">
        <v>9320</v>
      </c>
      <c r="V209" t="n">
        <v>4445</v>
      </c>
      <c r="W209" t="n">
        <v>1832</v>
      </c>
      <c r="X209" t="n">
        <v>1624</v>
      </c>
      <c r="Y209" t="n">
        <v>7880</v>
      </c>
    </row>
    <row r="210">
      <c r="A210" t="n">
        <v>209</v>
      </c>
      <c r="B210" t="n">
        <v>0</v>
      </c>
      <c r="C210" t="n">
        <v>22825</v>
      </c>
      <c r="D210" t="n">
        <v>62937</v>
      </c>
      <c r="E210" t="n">
        <v>474647</v>
      </c>
      <c r="F210" t="n">
        <v>3532936</v>
      </c>
      <c r="G210" t="n">
        <v>25777993</v>
      </c>
      <c r="H210" t="n">
        <v>185015340</v>
      </c>
      <c r="I210" t="n">
        <v>1302240805</v>
      </c>
      <c r="J210" t="n">
        <v>2000</v>
      </c>
      <c r="K210" t="n">
        <v>21531</v>
      </c>
      <c r="L210" t="n">
        <v>2500</v>
      </c>
      <c r="M210" t="n">
        <v>1100</v>
      </c>
      <c r="N210" t="n">
        <v>2045</v>
      </c>
      <c r="O210" t="n">
        <v>3090</v>
      </c>
      <c r="P210" t="n">
        <v>4135</v>
      </c>
      <c r="Q210" t="n">
        <v>5180</v>
      </c>
      <c r="R210" t="n">
        <v>6225</v>
      </c>
      <c r="S210" t="n">
        <v>7270</v>
      </c>
      <c r="T210" t="n">
        <v>8315</v>
      </c>
      <c r="U210" t="n">
        <v>9360</v>
      </c>
      <c r="V210" t="n">
        <v>4472</v>
      </c>
      <c r="W210" t="n">
        <v>1836</v>
      </c>
      <c r="X210" t="n">
        <v>1627</v>
      </c>
      <c r="Y210" t="n">
        <v>7890</v>
      </c>
    </row>
    <row r="211">
      <c r="A211" t="n">
        <v>210</v>
      </c>
      <c r="B211" t="n">
        <v>0</v>
      </c>
      <c r="C211" t="n">
        <v>23168</v>
      </c>
      <c r="D211" t="n">
        <v>64196</v>
      </c>
      <c r="E211" t="n">
        <v>488887</v>
      </c>
      <c r="F211" t="n">
        <v>3674254</v>
      </c>
      <c r="G211" t="n">
        <v>27066893</v>
      </c>
      <c r="H211" t="n">
        <v>196116261</v>
      </c>
      <c r="I211" t="n">
        <v>1393397662</v>
      </c>
      <c r="J211" t="n">
        <v>2000</v>
      </c>
      <c r="K211" t="n">
        <v>21747</v>
      </c>
      <c r="L211" t="n">
        <v>2500</v>
      </c>
      <c r="M211" t="n">
        <v>1100</v>
      </c>
      <c r="N211" t="n">
        <v>2050</v>
      </c>
      <c r="O211" t="n">
        <v>3100</v>
      </c>
      <c r="P211" t="n">
        <v>4150</v>
      </c>
      <c r="Q211" t="n">
        <v>5200</v>
      </c>
      <c r="R211" t="n">
        <v>6250</v>
      </c>
      <c r="S211" t="n">
        <v>7300</v>
      </c>
      <c r="T211" t="n">
        <v>8350</v>
      </c>
      <c r="U211" t="n">
        <v>9400</v>
      </c>
      <c r="V211" t="n">
        <v>4499</v>
      </c>
      <c r="W211" t="n">
        <v>1840</v>
      </c>
      <c r="X211" t="n">
        <v>1630</v>
      </c>
      <c r="Y211" t="n">
        <v>7900</v>
      </c>
    </row>
    <row r="212">
      <c r="A212" t="n">
        <v>211</v>
      </c>
      <c r="B212" t="n">
        <v>0</v>
      </c>
      <c r="C212" t="n">
        <v>23516</v>
      </c>
      <c r="D212" t="n">
        <v>65480</v>
      </c>
      <c r="E212" t="n">
        <v>503554</v>
      </c>
      <c r="F212" t="n">
        <v>3821225</v>
      </c>
      <c r="G212" t="n">
        <v>28420238</v>
      </c>
      <c r="H212" t="n">
        <v>207883237</v>
      </c>
      <c r="I212" t="n">
        <v>1490935499</v>
      </c>
      <c r="J212" t="n">
        <v>2000</v>
      </c>
      <c r="K212" t="n">
        <v>21965</v>
      </c>
      <c r="L212" t="n">
        <v>2500</v>
      </c>
      <c r="M212" t="n">
        <v>1100</v>
      </c>
      <c r="N212" t="n">
        <v>2055</v>
      </c>
      <c r="O212" t="n">
        <v>3110</v>
      </c>
      <c r="P212" t="n">
        <v>4165</v>
      </c>
      <c r="Q212" t="n">
        <v>5220</v>
      </c>
      <c r="R212" t="n">
        <v>6275</v>
      </c>
      <c r="S212" t="n">
        <v>7330</v>
      </c>
      <c r="T212" t="n">
        <v>8385</v>
      </c>
      <c r="U212" t="n">
        <v>9440</v>
      </c>
      <c r="V212" t="n">
        <v>4526</v>
      </c>
      <c r="W212" t="n">
        <v>1844</v>
      </c>
      <c r="X212" t="n">
        <v>1633</v>
      </c>
      <c r="Y212" t="n">
        <v>7910</v>
      </c>
    </row>
    <row r="213">
      <c r="A213" t="n">
        <v>212</v>
      </c>
      <c r="B213" t="n">
        <v>0</v>
      </c>
      <c r="C213" t="n">
        <v>23869</v>
      </c>
      <c r="D213" t="n">
        <v>66790</v>
      </c>
      <c r="E213" t="n">
        <v>518661</v>
      </c>
      <c r="F213" t="n">
        <v>3974074</v>
      </c>
      <c r="G213" t="n">
        <v>29841250</v>
      </c>
      <c r="H213" t="n">
        <v>220356232</v>
      </c>
      <c r="I213" t="n">
        <v>1595300984</v>
      </c>
      <c r="J213" t="n">
        <v>2000</v>
      </c>
      <c r="K213" t="n">
        <v>22185</v>
      </c>
      <c r="L213" t="n">
        <v>2500</v>
      </c>
      <c r="M213" t="n">
        <v>1100</v>
      </c>
      <c r="N213" t="n">
        <v>2060</v>
      </c>
      <c r="O213" t="n">
        <v>3120</v>
      </c>
      <c r="P213" t="n">
        <v>4180</v>
      </c>
      <c r="Q213" t="n">
        <v>5240</v>
      </c>
      <c r="R213" t="n">
        <v>6300</v>
      </c>
      <c r="S213" t="n">
        <v>7360</v>
      </c>
      <c r="T213" t="n">
        <v>8420</v>
      </c>
      <c r="U213" t="n">
        <v>9480</v>
      </c>
      <c r="V213" t="n">
        <v>4553</v>
      </c>
      <c r="W213" t="n">
        <v>1848</v>
      </c>
      <c r="X213" t="n">
        <v>1636</v>
      </c>
      <c r="Y213" t="n">
        <v>7920</v>
      </c>
    </row>
    <row r="214">
      <c r="A214" t="n">
        <v>213</v>
      </c>
      <c r="B214" t="n">
        <v>0</v>
      </c>
      <c r="C214" t="n">
        <v>24228</v>
      </c>
      <c r="D214" t="n">
        <v>68126</v>
      </c>
      <c r="E214" t="n">
        <v>534221</v>
      </c>
      <c r="F214" t="n">
        <v>4133037</v>
      </c>
      <c r="G214" t="n">
        <v>31333313</v>
      </c>
      <c r="H214" t="n">
        <v>233577606</v>
      </c>
      <c r="I214" t="n">
        <v>1706972053</v>
      </c>
      <c r="J214" t="n">
        <v>2000</v>
      </c>
      <c r="K214" t="n">
        <v>22407</v>
      </c>
      <c r="L214" t="n">
        <v>2500</v>
      </c>
      <c r="M214" t="n">
        <v>1100</v>
      </c>
      <c r="N214" t="n">
        <v>2065</v>
      </c>
      <c r="O214" t="n">
        <v>3130</v>
      </c>
      <c r="P214" t="n">
        <v>4195</v>
      </c>
      <c r="Q214" t="n">
        <v>5260</v>
      </c>
      <c r="R214" t="n">
        <v>6325</v>
      </c>
      <c r="S214" t="n">
        <v>7390</v>
      </c>
      <c r="T214" t="n">
        <v>8455</v>
      </c>
      <c r="U214" t="n">
        <v>9520</v>
      </c>
      <c r="V214" t="n">
        <v>4580</v>
      </c>
      <c r="W214" t="n">
        <v>1852</v>
      </c>
      <c r="X214" t="n">
        <v>1639</v>
      </c>
      <c r="Y214" t="n">
        <v>7930</v>
      </c>
    </row>
    <row r="215">
      <c r="A215" t="n">
        <v>214</v>
      </c>
      <c r="B215" t="n">
        <v>0</v>
      </c>
      <c r="C215" t="n">
        <v>24592</v>
      </c>
      <c r="D215" t="n">
        <v>69489</v>
      </c>
      <c r="E215" t="n">
        <v>550248</v>
      </c>
      <c r="F215" t="n">
        <v>4298359</v>
      </c>
      <c r="G215" t="n">
        <v>32899979</v>
      </c>
      <c r="H215" t="n">
        <v>247592263</v>
      </c>
      <c r="I215" t="n">
        <v>1826460097</v>
      </c>
      <c r="J215" t="n">
        <v>2000</v>
      </c>
      <c r="K215" t="n">
        <v>22632</v>
      </c>
      <c r="L215" t="n">
        <v>2500</v>
      </c>
      <c r="M215" t="n">
        <v>1100</v>
      </c>
      <c r="N215" t="n">
        <v>2070</v>
      </c>
      <c r="O215" t="n">
        <v>3140</v>
      </c>
      <c r="P215" t="n">
        <v>4210</v>
      </c>
      <c r="Q215" t="n">
        <v>5280</v>
      </c>
      <c r="R215" t="n">
        <v>6350</v>
      </c>
      <c r="S215" t="n">
        <v>7420</v>
      </c>
      <c r="T215" t="n">
        <v>8490</v>
      </c>
      <c r="U215" t="n">
        <v>9560</v>
      </c>
      <c r="V215" t="n">
        <v>4607</v>
      </c>
      <c r="W215" t="n">
        <v>1856</v>
      </c>
      <c r="X215" t="n">
        <v>1642</v>
      </c>
      <c r="Y215" t="n">
        <v>7940</v>
      </c>
    </row>
    <row r="216">
      <c r="A216" t="n">
        <v>215</v>
      </c>
      <c r="B216" t="n">
        <v>0</v>
      </c>
      <c r="C216" t="n">
        <v>24961</v>
      </c>
      <c r="D216" t="n">
        <v>70879</v>
      </c>
      <c r="E216" t="n">
        <v>566756</v>
      </c>
      <c r="F216" t="n">
        <v>4470294</v>
      </c>
      <c r="G216" t="n">
        <v>34544978</v>
      </c>
      <c r="H216" t="n">
        <v>262447799</v>
      </c>
      <c r="I216" t="n">
        <v>1954312304</v>
      </c>
      <c r="J216" t="n">
        <v>2000</v>
      </c>
      <c r="K216" t="n">
        <v>22859</v>
      </c>
      <c r="L216" t="n">
        <v>2500</v>
      </c>
      <c r="M216" t="n">
        <v>1100</v>
      </c>
      <c r="N216" t="n">
        <v>2075</v>
      </c>
      <c r="O216" t="n">
        <v>3150</v>
      </c>
      <c r="P216" t="n">
        <v>4225</v>
      </c>
      <c r="Q216" t="n">
        <v>5300</v>
      </c>
      <c r="R216" t="n">
        <v>6375</v>
      </c>
      <c r="S216" t="n">
        <v>7450</v>
      </c>
      <c r="T216" t="n">
        <v>8525</v>
      </c>
      <c r="U216" t="n">
        <v>9600</v>
      </c>
      <c r="V216" t="n">
        <v>4635</v>
      </c>
      <c r="W216" t="n">
        <v>1860</v>
      </c>
      <c r="X216" t="n">
        <v>1645</v>
      </c>
      <c r="Y216" t="n">
        <v>7950</v>
      </c>
    </row>
    <row r="217">
      <c r="A217" t="n">
        <v>216</v>
      </c>
      <c r="B217" t="n">
        <v>0</v>
      </c>
      <c r="C217" t="n">
        <v>25336</v>
      </c>
      <c r="D217" t="n">
        <v>72297</v>
      </c>
      <c r="E217" t="n">
        <v>583759</v>
      </c>
      <c r="F217" t="n">
        <v>4649106</v>
      </c>
      <c r="G217" t="n">
        <v>36272227</v>
      </c>
      <c r="H217" t="n">
        <v>278194667</v>
      </c>
      <c r="I217" t="n">
        <v>2091114166</v>
      </c>
      <c r="J217" t="n">
        <v>2000</v>
      </c>
      <c r="K217" t="n">
        <v>23088</v>
      </c>
      <c r="L217" t="n">
        <v>2500</v>
      </c>
      <c r="M217" t="n">
        <v>1100</v>
      </c>
      <c r="N217" t="n">
        <v>2080</v>
      </c>
      <c r="O217" t="n">
        <v>3160</v>
      </c>
      <c r="P217" t="n">
        <v>4240</v>
      </c>
      <c r="Q217" t="n">
        <v>5320</v>
      </c>
      <c r="R217" t="n">
        <v>6400</v>
      </c>
      <c r="S217" t="n">
        <v>7480</v>
      </c>
      <c r="T217" t="n">
        <v>8560</v>
      </c>
      <c r="U217" t="n">
        <v>9640</v>
      </c>
      <c r="V217" t="n">
        <v>4663</v>
      </c>
      <c r="W217" t="n">
        <v>1864</v>
      </c>
      <c r="X217" t="n">
        <v>1648</v>
      </c>
      <c r="Y217" t="n">
        <v>7960</v>
      </c>
    </row>
    <row r="218">
      <c r="A218" t="n">
        <v>217</v>
      </c>
      <c r="B218" t="n">
        <v>0</v>
      </c>
      <c r="C218" t="n">
        <v>25717</v>
      </c>
      <c r="D218" t="n">
        <v>73743</v>
      </c>
      <c r="E218" t="n">
        <v>601272</v>
      </c>
      <c r="F218" t="n">
        <v>4835071</v>
      </c>
      <c r="G218" t="n">
        <v>38085839</v>
      </c>
      <c r="H218" t="n">
        <v>294886348</v>
      </c>
      <c r="I218" t="n">
        <v>2237492158</v>
      </c>
      <c r="J218" t="n">
        <v>2000</v>
      </c>
      <c r="K218" t="n">
        <v>23319</v>
      </c>
      <c r="L218" t="n">
        <v>2500</v>
      </c>
      <c r="M218" t="n">
        <v>1100</v>
      </c>
      <c r="N218" t="n">
        <v>2085</v>
      </c>
      <c r="O218" t="n">
        <v>3170</v>
      </c>
      <c r="P218" t="n">
        <v>4255</v>
      </c>
      <c r="Q218" t="n">
        <v>5340</v>
      </c>
      <c r="R218" t="n">
        <v>6425</v>
      </c>
      <c r="S218" t="n">
        <v>7510</v>
      </c>
      <c r="T218" t="n">
        <v>8595</v>
      </c>
      <c r="U218" t="n">
        <v>9680</v>
      </c>
      <c r="V218" t="n">
        <v>4691</v>
      </c>
      <c r="W218" t="n">
        <v>1868</v>
      </c>
      <c r="X218" t="n">
        <v>1651</v>
      </c>
      <c r="Y218" t="n">
        <v>7970</v>
      </c>
    </row>
    <row r="219">
      <c r="A219" t="n">
        <v>218</v>
      </c>
      <c r="B219" t="n">
        <v>0</v>
      </c>
      <c r="C219" t="n">
        <v>26103</v>
      </c>
      <c r="D219" t="n">
        <v>75218</v>
      </c>
      <c r="E219" t="n">
        <v>619311</v>
      </c>
      <c r="F219" t="n">
        <v>5028474</v>
      </c>
      <c r="G219" t="n">
        <v>39990131</v>
      </c>
      <c r="H219" t="n">
        <v>312579529</v>
      </c>
      <c r="I219" t="n">
        <v>2394116610</v>
      </c>
      <c r="J219" t="n">
        <v>2000</v>
      </c>
      <c r="K219" t="n">
        <v>23553</v>
      </c>
      <c r="L219" t="n">
        <v>2500</v>
      </c>
      <c r="M219" t="n">
        <v>1100</v>
      </c>
      <c r="N219" t="n">
        <v>2090</v>
      </c>
      <c r="O219" t="n">
        <v>3180</v>
      </c>
      <c r="P219" t="n">
        <v>4270</v>
      </c>
      <c r="Q219" t="n">
        <v>5360</v>
      </c>
      <c r="R219" t="n">
        <v>6450</v>
      </c>
      <c r="S219" t="n">
        <v>7540</v>
      </c>
      <c r="T219" t="n">
        <v>8630</v>
      </c>
      <c r="U219" t="n">
        <v>9720</v>
      </c>
      <c r="V219" t="n">
        <v>4719</v>
      </c>
      <c r="W219" t="n">
        <v>1872</v>
      </c>
      <c r="X219" t="n">
        <v>1654</v>
      </c>
      <c r="Y219" t="n">
        <v>7980</v>
      </c>
    </row>
    <row r="220">
      <c r="A220" t="n">
        <v>219</v>
      </c>
      <c r="B220" t="n">
        <v>0</v>
      </c>
      <c r="C220" t="n">
        <v>26495</v>
      </c>
      <c r="D220" t="n">
        <v>76723</v>
      </c>
      <c r="E220" t="n">
        <v>637891</v>
      </c>
      <c r="F220" t="n">
        <v>5229613</v>
      </c>
      <c r="G220" t="n">
        <v>41989638</v>
      </c>
      <c r="H220" t="n">
        <v>331334301</v>
      </c>
      <c r="I220" t="n">
        <v>2561704773</v>
      </c>
      <c r="J220" t="n">
        <v>2000</v>
      </c>
      <c r="K220" t="n">
        <v>23789</v>
      </c>
      <c r="L220" t="n">
        <v>2500</v>
      </c>
      <c r="M220" t="n">
        <v>1100</v>
      </c>
      <c r="N220" t="n">
        <v>2095</v>
      </c>
      <c r="O220" t="n">
        <v>3190</v>
      </c>
      <c r="P220" t="n">
        <v>4285</v>
      </c>
      <c r="Q220" t="n">
        <v>5380</v>
      </c>
      <c r="R220" t="n">
        <v>6475</v>
      </c>
      <c r="S220" t="n">
        <v>7570</v>
      </c>
      <c r="T220" t="n">
        <v>8665</v>
      </c>
      <c r="U220" t="n">
        <v>9760</v>
      </c>
      <c r="V220" t="n">
        <v>4747</v>
      </c>
      <c r="W220" t="n">
        <v>1876</v>
      </c>
      <c r="X220" t="n">
        <v>1657</v>
      </c>
      <c r="Y220" t="n">
        <v>7990</v>
      </c>
    </row>
    <row r="221">
      <c r="A221" t="n">
        <v>220</v>
      </c>
      <c r="B221" t="n">
        <v>0</v>
      </c>
      <c r="C221" t="n">
        <v>26893</v>
      </c>
      <c r="D221" t="n">
        <v>78258</v>
      </c>
      <c r="E221" t="n">
        <v>657028</v>
      </c>
      <c r="F221" t="n">
        <v>5438798</v>
      </c>
      <c r="G221" t="n">
        <v>44089120</v>
      </c>
      <c r="H221" t="n">
        <v>351214360</v>
      </c>
      <c r="I221" t="n">
        <v>2741024108</v>
      </c>
      <c r="J221" t="n">
        <v>2000</v>
      </c>
      <c r="K221" t="n">
        <v>24027</v>
      </c>
      <c r="L221" t="n">
        <v>2500</v>
      </c>
      <c r="M221" t="n">
        <v>1100</v>
      </c>
      <c r="N221" t="n">
        <v>2100</v>
      </c>
      <c r="O221" t="n">
        <v>3200</v>
      </c>
      <c r="P221" t="n">
        <v>4300</v>
      </c>
      <c r="Q221" t="n">
        <v>5400</v>
      </c>
      <c r="R221" t="n">
        <v>6500</v>
      </c>
      <c r="S221" t="n">
        <v>7600</v>
      </c>
      <c r="T221" t="n">
        <v>8700</v>
      </c>
      <c r="U221" t="n">
        <v>9800</v>
      </c>
      <c r="V221" t="n">
        <v>4775</v>
      </c>
      <c r="W221" t="n">
        <v>1880</v>
      </c>
      <c r="X221" t="n">
        <v>1660</v>
      </c>
      <c r="Y221" t="n">
        <v>8000</v>
      </c>
    </row>
    <row r="222">
      <c r="A222" t="n">
        <v>221</v>
      </c>
      <c r="B222" t="n">
        <v>0</v>
      </c>
      <c r="C222" t="n">
        <v>27297</v>
      </c>
      <c r="D222" t="n">
        <v>79824</v>
      </c>
      <c r="E222" t="n">
        <v>676739</v>
      </c>
      <c r="F222" t="n">
        <v>5656350</v>
      </c>
      <c r="G222" t="n">
        <v>46293576</v>
      </c>
      <c r="H222" t="n">
        <v>372287222</v>
      </c>
      <c r="I222" t="n">
        <v>2932895796</v>
      </c>
      <c r="J222" t="n">
        <v>2000</v>
      </c>
      <c r="K222" t="n">
        <v>24268</v>
      </c>
      <c r="L222" t="n">
        <v>2500</v>
      </c>
      <c r="M222" t="n">
        <v>1100</v>
      </c>
      <c r="N222" t="n">
        <v>2105</v>
      </c>
      <c r="O222" t="n">
        <v>3210</v>
      </c>
      <c r="P222" t="n">
        <v>4315</v>
      </c>
      <c r="Q222" t="n">
        <v>5420</v>
      </c>
      <c r="R222" t="n">
        <v>6525</v>
      </c>
      <c r="S222" t="n">
        <v>7630</v>
      </c>
      <c r="T222" t="n">
        <v>8735</v>
      </c>
      <c r="U222" t="n">
        <v>9840</v>
      </c>
      <c r="V222" t="n">
        <v>4803</v>
      </c>
      <c r="W222" t="n">
        <v>1884</v>
      </c>
      <c r="X222" t="n">
        <v>1663</v>
      </c>
      <c r="Y222" t="n">
        <v>8010</v>
      </c>
    </row>
    <row r="223">
      <c r="A223" t="n">
        <v>222</v>
      </c>
      <c r="B223" t="n">
        <v>0</v>
      </c>
      <c r="C223" t="n">
        <v>27707</v>
      </c>
      <c r="D223" t="n">
        <v>81421</v>
      </c>
      <c r="E223" t="n">
        <v>697042</v>
      </c>
      <c r="F223" t="n">
        <v>5882604</v>
      </c>
      <c r="G223" t="n">
        <v>48608255</v>
      </c>
      <c r="H223" t="n">
        <v>394624456</v>
      </c>
      <c r="I223" t="n">
        <v>3138198502</v>
      </c>
      <c r="J223" t="n">
        <v>2000</v>
      </c>
      <c r="K223" t="n">
        <v>24511</v>
      </c>
      <c r="L223" t="n">
        <v>2500</v>
      </c>
      <c r="M223" t="n">
        <v>1100</v>
      </c>
      <c r="N223" t="n">
        <v>2110</v>
      </c>
      <c r="O223" t="n">
        <v>3220</v>
      </c>
      <c r="P223" t="n">
        <v>4330</v>
      </c>
      <c r="Q223" t="n">
        <v>5440</v>
      </c>
      <c r="R223" t="n">
        <v>6550</v>
      </c>
      <c r="S223" t="n">
        <v>7660</v>
      </c>
      <c r="T223" t="n">
        <v>8770</v>
      </c>
      <c r="U223" t="n">
        <v>9880</v>
      </c>
      <c r="V223" t="n">
        <v>4832</v>
      </c>
      <c r="W223" t="n">
        <v>1888</v>
      </c>
      <c r="X223" t="n">
        <v>1666</v>
      </c>
      <c r="Y223" t="n">
        <v>8020</v>
      </c>
    </row>
    <row r="224">
      <c r="A224" t="n">
        <v>223</v>
      </c>
      <c r="B224" t="n">
        <v>0</v>
      </c>
      <c r="C224" t="n">
        <v>28123</v>
      </c>
      <c r="D224" t="n">
        <v>83050</v>
      </c>
      <c r="E224" t="n">
        <v>717954</v>
      </c>
      <c r="F224" t="n">
        <v>6117909</v>
      </c>
      <c r="G224" t="n">
        <v>51038668</v>
      </c>
      <c r="H224" t="n">
        <v>418301924</v>
      </c>
      <c r="I224" t="n">
        <v>3357872398</v>
      </c>
      <c r="J224" t="n">
        <v>2000</v>
      </c>
      <c r="K224" t="n">
        <v>24757</v>
      </c>
      <c r="L224" t="n">
        <v>2500</v>
      </c>
      <c r="M224" t="n">
        <v>1100</v>
      </c>
      <c r="N224" t="n">
        <v>2115</v>
      </c>
      <c r="O224" t="n">
        <v>3230</v>
      </c>
      <c r="P224" t="n">
        <v>4345</v>
      </c>
      <c r="Q224" t="n">
        <v>5460</v>
      </c>
      <c r="R224" t="n">
        <v>6575</v>
      </c>
      <c r="S224" t="n">
        <v>7690</v>
      </c>
      <c r="T224" t="n">
        <v>8805</v>
      </c>
      <c r="U224" t="n">
        <v>9920</v>
      </c>
      <c r="V224" t="n">
        <v>4861</v>
      </c>
      <c r="W224" t="n">
        <v>1892</v>
      </c>
      <c r="X224" t="n">
        <v>1669</v>
      </c>
      <c r="Y224" t="n">
        <v>8030</v>
      </c>
    </row>
    <row r="225">
      <c r="A225" t="n">
        <v>224</v>
      </c>
      <c r="B225" t="n">
        <v>0</v>
      </c>
      <c r="C225" t="n">
        <v>28545</v>
      </c>
      <c r="D225" t="n">
        <v>84711</v>
      </c>
      <c r="E225" t="n">
        <v>739493</v>
      </c>
      <c r="F225" t="n">
        <v>6362626</v>
      </c>
      <c r="G225" t="n">
        <v>53590602</v>
      </c>
      <c r="H225" t="n">
        <v>443400040</v>
      </c>
      <c r="I225" t="n">
        <v>3592923466</v>
      </c>
      <c r="J225" t="n">
        <v>2000</v>
      </c>
      <c r="K225" t="n">
        <v>25005</v>
      </c>
      <c r="L225" t="n">
        <v>2500</v>
      </c>
      <c r="M225" t="n">
        <v>1100</v>
      </c>
      <c r="N225" t="n">
        <v>2120</v>
      </c>
      <c r="O225" t="n">
        <v>3240</v>
      </c>
      <c r="P225" t="n">
        <v>4360</v>
      </c>
      <c r="Q225" t="n">
        <v>5480</v>
      </c>
      <c r="R225" t="n">
        <v>6600</v>
      </c>
      <c r="S225" t="n">
        <v>7720</v>
      </c>
      <c r="T225" t="n">
        <v>8840</v>
      </c>
      <c r="U225" t="n">
        <v>9960</v>
      </c>
      <c r="V225" t="n">
        <v>4890</v>
      </c>
      <c r="W225" t="n">
        <v>1896</v>
      </c>
      <c r="X225" t="n">
        <v>1672</v>
      </c>
      <c r="Y225" t="n">
        <v>8040</v>
      </c>
    </row>
    <row r="226">
      <c r="A226" t="n">
        <v>225</v>
      </c>
      <c r="B226" t="n">
        <v>0</v>
      </c>
      <c r="C226" t="n">
        <v>28974</v>
      </c>
      <c r="D226" t="n">
        <v>86406</v>
      </c>
      <c r="E226" t="n">
        <v>761678</v>
      </c>
      <c r="F226" t="n">
        <v>6617132</v>
      </c>
      <c r="G226" t="n">
        <v>56270133</v>
      </c>
      <c r="H226" t="n">
        <v>470004043</v>
      </c>
      <c r="I226" t="n">
        <v>3844428109</v>
      </c>
      <c r="J226" t="n">
        <v>2000</v>
      </c>
      <c r="K226" t="n">
        <v>25256</v>
      </c>
      <c r="L226" t="n">
        <v>2500</v>
      </c>
      <c r="M226" t="n">
        <v>1100</v>
      </c>
      <c r="N226" t="n">
        <v>2125</v>
      </c>
      <c r="O226" t="n">
        <v>3250</v>
      </c>
      <c r="P226" t="n">
        <v>4375</v>
      </c>
      <c r="Q226" t="n">
        <v>5500</v>
      </c>
      <c r="R226" t="n">
        <v>6625</v>
      </c>
      <c r="S226" t="n">
        <v>7750</v>
      </c>
      <c r="T226" t="n">
        <v>8875</v>
      </c>
      <c r="U226" t="n">
        <v>10000</v>
      </c>
      <c r="V226" t="n">
        <v>4919</v>
      </c>
      <c r="W226" t="n">
        <v>1900</v>
      </c>
      <c r="X226" t="n">
        <v>1675</v>
      </c>
      <c r="Y226" t="n">
        <v>8050</v>
      </c>
    </row>
    <row r="227">
      <c r="A227" t="n">
        <v>226</v>
      </c>
      <c r="B227" t="n">
        <v>0</v>
      </c>
      <c r="C227" t="n">
        <v>29409</v>
      </c>
      <c r="D227" t="n">
        <v>88135</v>
      </c>
      <c r="E227" t="n">
        <v>784529</v>
      </c>
      <c r="F227" t="n">
        <v>6881818</v>
      </c>
      <c r="G227" t="n">
        <v>59083640</v>
      </c>
      <c r="H227" t="n">
        <v>498204286</v>
      </c>
      <c r="I227" t="n">
        <v>4113538077</v>
      </c>
      <c r="J227" t="n">
        <v>2000</v>
      </c>
      <c r="K227" t="n">
        <v>25509</v>
      </c>
      <c r="L227" t="n">
        <v>2500</v>
      </c>
      <c r="M227" t="n">
        <v>1100</v>
      </c>
      <c r="N227" t="n">
        <v>2130</v>
      </c>
      <c r="O227" t="n">
        <v>3260</v>
      </c>
      <c r="P227" t="n">
        <v>4390</v>
      </c>
      <c r="Q227" t="n">
        <v>5520</v>
      </c>
      <c r="R227" t="n">
        <v>6650</v>
      </c>
      <c r="S227" t="n">
        <v>7780</v>
      </c>
      <c r="T227" t="n">
        <v>8910</v>
      </c>
      <c r="U227" t="n">
        <v>10040</v>
      </c>
      <c r="V227" t="n">
        <v>4948</v>
      </c>
      <c r="W227" t="n">
        <v>1904</v>
      </c>
      <c r="X227" t="n">
        <v>1678</v>
      </c>
      <c r="Y227" t="n">
        <v>8060</v>
      </c>
    </row>
    <row r="228">
      <c r="A228" t="n">
        <v>227</v>
      </c>
      <c r="B228" t="n">
        <v>0</v>
      </c>
      <c r="C228" t="n">
        <v>29851</v>
      </c>
      <c r="D228" t="n">
        <v>89898</v>
      </c>
      <c r="E228" t="n">
        <v>808065</v>
      </c>
      <c r="F228" t="n">
        <v>7157091</v>
      </c>
      <c r="G228" t="n">
        <v>62037822</v>
      </c>
      <c r="H228" t="n">
        <v>528096544</v>
      </c>
      <c r="I228" t="n">
        <v>4401485743</v>
      </c>
      <c r="J228" t="n">
        <v>2000</v>
      </c>
      <c r="K228" t="n">
        <v>25765</v>
      </c>
      <c r="L228" t="n">
        <v>2500</v>
      </c>
      <c r="M228" t="n">
        <v>1100</v>
      </c>
      <c r="N228" t="n">
        <v>2135</v>
      </c>
      <c r="O228" t="n">
        <v>3270</v>
      </c>
      <c r="P228" t="n">
        <v>4405</v>
      </c>
      <c r="Q228" t="n">
        <v>5540</v>
      </c>
      <c r="R228" t="n">
        <v>6675</v>
      </c>
      <c r="S228" t="n">
        <v>7810</v>
      </c>
      <c r="T228" t="n">
        <v>8945</v>
      </c>
      <c r="U228" t="n">
        <v>10080</v>
      </c>
      <c r="V228" t="n">
        <v>4977</v>
      </c>
      <c r="W228" t="n">
        <v>1908</v>
      </c>
      <c r="X228" t="n">
        <v>1681</v>
      </c>
      <c r="Y228" t="n">
        <v>8070</v>
      </c>
    </row>
    <row r="229">
      <c r="A229" t="n">
        <v>228</v>
      </c>
      <c r="B229" t="n">
        <v>0</v>
      </c>
      <c r="C229" t="n">
        <v>30299</v>
      </c>
      <c r="D229" t="n">
        <v>91696</v>
      </c>
      <c r="E229" t="n">
        <v>832307</v>
      </c>
      <c r="F229" t="n">
        <v>7443375</v>
      </c>
      <c r="G229" t="n">
        <v>65139714</v>
      </c>
      <c r="H229" t="n">
        <v>559782337</v>
      </c>
      <c r="I229" t="n">
        <v>4709589746</v>
      </c>
      <c r="J229" t="n">
        <v>2000</v>
      </c>
      <c r="K229" t="n">
        <v>26023</v>
      </c>
      <c r="L229" t="n">
        <v>2500</v>
      </c>
      <c r="M229" t="n">
        <v>1100</v>
      </c>
      <c r="N229" t="n">
        <v>2140</v>
      </c>
      <c r="O229" t="n">
        <v>3280</v>
      </c>
      <c r="P229" t="n">
        <v>4420</v>
      </c>
      <c r="Q229" t="n">
        <v>5560</v>
      </c>
      <c r="R229" t="n">
        <v>6700</v>
      </c>
      <c r="S229" t="n">
        <v>7840</v>
      </c>
      <c r="T229" t="n">
        <v>8980</v>
      </c>
      <c r="U229" t="n">
        <v>10120</v>
      </c>
      <c r="V229" t="n">
        <v>5006</v>
      </c>
      <c r="W229" t="n">
        <v>1912</v>
      </c>
      <c r="X229" t="n">
        <v>1684</v>
      </c>
      <c r="Y229" t="n">
        <v>8080</v>
      </c>
    </row>
    <row r="230">
      <c r="A230" t="n">
        <v>229</v>
      </c>
      <c r="B230" t="n">
        <v>0</v>
      </c>
      <c r="C230" t="n">
        <v>30754</v>
      </c>
      <c r="D230" t="n">
        <v>93530</v>
      </c>
      <c r="E230" t="n">
        <v>857277</v>
      </c>
      <c r="F230" t="n">
        <v>7741110</v>
      </c>
      <c r="G230" t="n">
        <v>68396700</v>
      </c>
      <c r="H230" t="n">
        <v>593369278</v>
      </c>
      <c r="I230" t="n">
        <v>5039261029</v>
      </c>
      <c r="J230" t="n">
        <v>2000</v>
      </c>
      <c r="K230" t="n">
        <v>26284</v>
      </c>
      <c r="L230" t="n">
        <v>2500</v>
      </c>
      <c r="M230" t="n">
        <v>1100</v>
      </c>
      <c r="N230" t="n">
        <v>2145</v>
      </c>
      <c r="O230" t="n">
        <v>3290</v>
      </c>
      <c r="P230" t="n">
        <v>4435</v>
      </c>
      <c r="Q230" t="n">
        <v>5580</v>
      </c>
      <c r="R230" t="n">
        <v>6725</v>
      </c>
      <c r="S230" t="n">
        <v>7870</v>
      </c>
      <c r="T230" t="n">
        <v>9015</v>
      </c>
      <c r="U230" t="n">
        <v>10160</v>
      </c>
      <c r="V230" t="n">
        <v>5036</v>
      </c>
      <c r="W230" t="n">
        <v>1916</v>
      </c>
      <c r="X230" t="n">
        <v>1687</v>
      </c>
      <c r="Y230" t="n">
        <v>8090</v>
      </c>
    </row>
    <row r="231">
      <c r="A231" t="n">
        <v>230</v>
      </c>
      <c r="B231" t="n">
        <v>0</v>
      </c>
      <c r="C231" t="n">
        <v>31216</v>
      </c>
      <c r="D231" t="n">
        <v>95401</v>
      </c>
      <c r="E231" t="n">
        <v>882996</v>
      </c>
      <c r="F231" t="n">
        <v>8050755</v>
      </c>
      <c r="G231" t="n">
        <v>71816535</v>
      </c>
      <c r="H231" t="n">
        <v>628971435</v>
      </c>
      <c r="I231" t="n">
        <v>5392009302</v>
      </c>
      <c r="J231" t="n">
        <v>2000</v>
      </c>
      <c r="K231" t="n">
        <v>26547</v>
      </c>
      <c r="L231" t="n">
        <v>2500</v>
      </c>
      <c r="M231" t="n">
        <v>1100</v>
      </c>
      <c r="N231" t="n">
        <v>2150</v>
      </c>
      <c r="O231" t="n">
        <v>3300</v>
      </c>
      <c r="P231" t="n">
        <v>4450</v>
      </c>
      <c r="Q231" t="n">
        <v>5600</v>
      </c>
      <c r="R231" t="n">
        <v>6750</v>
      </c>
      <c r="S231" t="n">
        <v>7900</v>
      </c>
      <c r="T231" t="n">
        <v>9050</v>
      </c>
      <c r="U231" t="n">
        <v>10200</v>
      </c>
      <c r="V231" t="n">
        <v>5066</v>
      </c>
      <c r="W231" t="n">
        <v>1920</v>
      </c>
      <c r="X231" t="n">
        <v>1690</v>
      </c>
      <c r="Y231" t="n">
        <v>8100</v>
      </c>
    </row>
    <row r="232">
      <c r="A232" t="n">
        <v>231</v>
      </c>
      <c r="B232" t="n">
        <v>0</v>
      </c>
      <c r="C232" t="n">
        <v>31685</v>
      </c>
      <c r="D232" t="n">
        <v>97310</v>
      </c>
      <c r="E232" t="n">
        <v>909486</v>
      </c>
      <c r="F232" t="n">
        <v>8372786</v>
      </c>
      <c r="G232" t="n">
        <v>75407362</v>
      </c>
      <c r="H232" t="n">
        <v>666709722</v>
      </c>
      <c r="I232" t="n">
        <v>5769449954</v>
      </c>
      <c r="J232" t="n">
        <v>2000</v>
      </c>
      <c r="K232" t="n">
        <v>26813</v>
      </c>
      <c r="L232" t="n">
        <v>2500</v>
      </c>
      <c r="M232" t="n">
        <v>1100</v>
      </c>
      <c r="N232" t="n">
        <v>2155</v>
      </c>
      <c r="O232" t="n">
        <v>3310</v>
      </c>
      <c r="P232" t="n">
        <v>4465</v>
      </c>
      <c r="Q232" t="n">
        <v>5620</v>
      </c>
      <c r="R232" t="n">
        <v>6775</v>
      </c>
      <c r="S232" t="n">
        <v>7930</v>
      </c>
      <c r="T232" t="n">
        <v>9085</v>
      </c>
      <c r="U232" t="n">
        <v>10240</v>
      </c>
      <c r="V232" t="n">
        <v>5096</v>
      </c>
      <c r="W232" t="n">
        <v>1924</v>
      </c>
      <c r="X232" t="n">
        <v>1693</v>
      </c>
      <c r="Y232" t="n">
        <v>8110</v>
      </c>
    </row>
    <row r="233">
      <c r="A233" t="n">
        <v>232</v>
      </c>
      <c r="B233" t="n">
        <v>0</v>
      </c>
      <c r="C233" t="n">
        <v>32161</v>
      </c>
      <c r="D233" t="n">
        <v>99257</v>
      </c>
      <c r="E233" t="n">
        <v>936771</v>
      </c>
      <c r="F233" t="n">
        <v>8707698</v>
      </c>
      <c r="G233" t="n">
        <v>79177731</v>
      </c>
      <c r="H233" t="n">
        <v>706712306</v>
      </c>
      <c r="I233" t="n">
        <v>6173311451</v>
      </c>
      <c r="J233" t="n">
        <v>2000</v>
      </c>
      <c r="K233" t="n">
        <v>27082</v>
      </c>
      <c r="L233" t="n">
        <v>2500</v>
      </c>
      <c r="M233" t="n">
        <v>1100</v>
      </c>
      <c r="N233" t="n">
        <v>2160</v>
      </c>
      <c r="O233" t="n">
        <v>3320</v>
      </c>
      <c r="P233" t="n">
        <v>4480</v>
      </c>
      <c r="Q233" t="n">
        <v>5640</v>
      </c>
      <c r="R233" t="n">
        <v>6800</v>
      </c>
      <c r="S233" t="n">
        <v>7960</v>
      </c>
      <c r="T233" t="n">
        <v>9120</v>
      </c>
      <c r="U233" t="n">
        <v>10280</v>
      </c>
      <c r="V233" t="n">
        <v>5126</v>
      </c>
      <c r="W233" t="n">
        <v>1928</v>
      </c>
      <c r="X233" t="n">
        <v>1696</v>
      </c>
      <c r="Y233" t="n">
        <v>8120</v>
      </c>
    </row>
    <row r="234">
      <c r="A234" t="n">
        <v>233</v>
      </c>
      <c r="B234" t="n">
        <v>0</v>
      </c>
      <c r="C234" t="n">
        <v>32644</v>
      </c>
      <c r="D234" t="n">
        <v>101243</v>
      </c>
      <c r="E234" t="n">
        <v>964875</v>
      </c>
      <c r="F234" t="n">
        <v>9056006</v>
      </c>
      <c r="G234" t="n">
        <v>83136618</v>
      </c>
      <c r="H234" t="n">
        <v>749115045</v>
      </c>
      <c r="I234" t="n">
        <v>6605443253</v>
      </c>
      <c r="J234" t="n">
        <v>2000</v>
      </c>
      <c r="K234" t="n">
        <v>27353</v>
      </c>
      <c r="L234" t="n">
        <v>2500</v>
      </c>
      <c r="M234" t="n">
        <v>1100</v>
      </c>
      <c r="N234" t="n">
        <v>2165</v>
      </c>
      <c r="O234" t="n">
        <v>3330</v>
      </c>
      <c r="P234" t="n">
        <v>4495</v>
      </c>
      <c r="Q234" t="n">
        <v>5660</v>
      </c>
      <c r="R234" t="n">
        <v>6825</v>
      </c>
      <c r="S234" t="n">
        <v>7990</v>
      </c>
      <c r="T234" t="n">
        <v>9155</v>
      </c>
      <c r="U234" t="n">
        <v>10320</v>
      </c>
      <c r="V234" t="n">
        <v>5156</v>
      </c>
      <c r="W234" t="n">
        <v>1932</v>
      </c>
      <c r="X234" t="n">
        <v>1699</v>
      </c>
      <c r="Y234" t="n">
        <v>8130</v>
      </c>
    </row>
    <row r="235">
      <c r="A235" t="n">
        <v>234</v>
      </c>
      <c r="B235" t="n">
        <v>0</v>
      </c>
      <c r="C235" t="n">
        <v>33134</v>
      </c>
      <c r="D235" t="n">
        <v>103268</v>
      </c>
      <c r="E235" t="n">
        <v>993822</v>
      </c>
      <c r="F235" t="n">
        <v>9418247</v>
      </c>
      <c r="G235" t="n">
        <v>87293449</v>
      </c>
      <c r="H235" t="n">
        <v>794061948</v>
      </c>
      <c r="I235" t="n">
        <v>7067824281</v>
      </c>
      <c r="J235" t="n">
        <v>2000</v>
      </c>
      <c r="K235" t="n">
        <v>27627</v>
      </c>
      <c r="L235" t="n">
        <v>2500</v>
      </c>
      <c r="M235" t="n">
        <v>1100</v>
      </c>
      <c r="N235" t="n">
        <v>2170</v>
      </c>
      <c r="O235" t="n">
        <v>3340</v>
      </c>
      <c r="P235" t="n">
        <v>4510</v>
      </c>
      <c r="Q235" t="n">
        <v>5680</v>
      </c>
      <c r="R235" t="n">
        <v>6850</v>
      </c>
      <c r="S235" t="n">
        <v>8020</v>
      </c>
      <c r="T235" t="n">
        <v>9190</v>
      </c>
      <c r="U235" t="n">
        <v>10360</v>
      </c>
      <c r="V235" t="n">
        <v>5186</v>
      </c>
      <c r="W235" t="n">
        <v>1936</v>
      </c>
      <c r="X235" t="n">
        <v>1702</v>
      </c>
      <c r="Y235" t="n">
        <v>8140</v>
      </c>
    </row>
    <row r="236">
      <c r="A236" t="n">
        <v>235</v>
      </c>
      <c r="B236" t="n">
        <v>0</v>
      </c>
      <c r="C236" t="n">
        <v>33632</v>
      </c>
      <c r="D236" t="n">
        <v>105334</v>
      </c>
      <c r="E236" t="n">
        <v>1023637</v>
      </c>
      <c r="F236" t="n">
        <v>9794977</v>
      </c>
      <c r="G236" t="n">
        <v>91658122</v>
      </c>
      <c r="H236" t="n">
        <v>841705665</v>
      </c>
      <c r="I236" t="n">
        <v>7562571981</v>
      </c>
      <c r="J236" t="n">
        <v>2000</v>
      </c>
      <c r="K236" t="n">
        <v>27904</v>
      </c>
      <c r="L236" t="n">
        <v>2500</v>
      </c>
      <c r="M236" t="n">
        <v>1100</v>
      </c>
      <c r="N236" t="n">
        <v>2175</v>
      </c>
      <c r="O236" t="n">
        <v>3350</v>
      </c>
      <c r="P236" t="n">
        <v>4525</v>
      </c>
      <c r="Q236" t="n">
        <v>5700</v>
      </c>
      <c r="R236" t="n">
        <v>6875</v>
      </c>
      <c r="S236" t="n">
        <v>8050</v>
      </c>
      <c r="T236" t="n">
        <v>9225</v>
      </c>
      <c r="U236" t="n">
        <v>10400</v>
      </c>
      <c r="V236" t="n">
        <v>5216</v>
      </c>
      <c r="W236" t="n">
        <v>1940</v>
      </c>
      <c r="X236" t="n">
        <v>1705</v>
      </c>
      <c r="Y236" t="n">
        <v>8150</v>
      </c>
    </row>
    <row r="237">
      <c r="A237" t="n">
        <v>236</v>
      </c>
      <c r="B237" t="n">
        <v>0</v>
      </c>
      <c r="C237" t="n">
        <v>34137</v>
      </c>
      <c r="D237" t="n">
        <v>107441</v>
      </c>
      <c r="E237" t="n">
        <v>1054347</v>
      </c>
      <c r="F237" t="n">
        <v>10186777</v>
      </c>
      <c r="G237" t="n">
        <v>96241029</v>
      </c>
      <c r="H237" t="n">
        <v>892208005</v>
      </c>
      <c r="I237" t="n">
        <v>8091952020</v>
      </c>
      <c r="J237" t="n">
        <v>2000</v>
      </c>
      <c r="K237" t="n">
        <v>28184</v>
      </c>
      <c r="L237" t="n">
        <v>2500</v>
      </c>
      <c r="M237" t="n">
        <v>1100</v>
      </c>
      <c r="N237" t="n">
        <v>2180</v>
      </c>
      <c r="O237" t="n">
        <v>3360</v>
      </c>
      <c r="P237" t="n">
        <v>4540</v>
      </c>
      <c r="Q237" t="n">
        <v>5720</v>
      </c>
      <c r="R237" t="n">
        <v>6900</v>
      </c>
      <c r="S237" t="n">
        <v>8080</v>
      </c>
      <c r="T237" t="n">
        <v>9260</v>
      </c>
      <c r="U237" t="n">
        <v>10440</v>
      </c>
      <c r="V237" t="n">
        <v>5247</v>
      </c>
      <c r="W237" t="n">
        <v>1944</v>
      </c>
      <c r="X237" t="n">
        <v>1708</v>
      </c>
      <c r="Y237" t="n">
        <v>8160</v>
      </c>
    </row>
    <row r="238">
      <c r="A238" t="n">
        <v>237</v>
      </c>
      <c r="B238" t="n">
        <v>0</v>
      </c>
      <c r="C238" t="n">
        <v>34650</v>
      </c>
      <c r="D238" t="n">
        <v>109590</v>
      </c>
      <c r="E238" t="n">
        <v>1085978</v>
      </c>
      <c r="F238" t="n">
        <v>10594249</v>
      </c>
      <c r="G238" t="n">
        <v>101053081</v>
      </c>
      <c r="H238" t="n">
        <v>945740486</v>
      </c>
      <c r="I238" t="n">
        <v>8658388662</v>
      </c>
      <c r="J238" t="n">
        <v>2000</v>
      </c>
      <c r="K238" t="n">
        <v>28466</v>
      </c>
      <c r="L238" t="n">
        <v>2500</v>
      </c>
      <c r="M238" t="n">
        <v>1100</v>
      </c>
      <c r="N238" t="n">
        <v>2185</v>
      </c>
      <c r="O238" t="n">
        <v>3370</v>
      </c>
      <c r="P238" t="n">
        <v>4555</v>
      </c>
      <c r="Q238" t="n">
        <v>5740</v>
      </c>
      <c r="R238" t="n">
        <v>6925</v>
      </c>
      <c r="S238" t="n">
        <v>8110</v>
      </c>
      <c r="T238" t="n">
        <v>9295</v>
      </c>
      <c r="U238" t="n">
        <v>10480</v>
      </c>
      <c r="V238" t="n">
        <v>5278</v>
      </c>
      <c r="W238" t="n">
        <v>1948</v>
      </c>
      <c r="X238" t="n">
        <v>1711</v>
      </c>
      <c r="Y238" t="n">
        <v>8170</v>
      </c>
    </row>
    <row r="239">
      <c r="A239" t="n">
        <v>238</v>
      </c>
      <c r="B239" t="n">
        <v>0</v>
      </c>
      <c r="C239" t="n">
        <v>35170</v>
      </c>
      <c r="D239" t="n">
        <v>111782</v>
      </c>
      <c r="E239" t="n">
        <v>1118558</v>
      </c>
      <c r="F239" t="n">
        <v>11018019</v>
      </c>
      <c r="G239" t="n">
        <v>106105736</v>
      </c>
      <c r="H239" t="n">
        <v>1002484916</v>
      </c>
      <c r="I239" t="n">
        <v>9264475869</v>
      </c>
      <c r="J239" t="n">
        <v>2000</v>
      </c>
      <c r="K239" t="n">
        <v>28751</v>
      </c>
      <c r="L239" t="n">
        <v>2500</v>
      </c>
      <c r="M239" t="n">
        <v>1100</v>
      </c>
      <c r="N239" t="n">
        <v>2190</v>
      </c>
      <c r="O239" t="n">
        <v>3380</v>
      </c>
      <c r="P239" t="n">
        <v>4570</v>
      </c>
      <c r="Q239" t="n">
        <v>5760</v>
      </c>
      <c r="R239" t="n">
        <v>6950</v>
      </c>
      <c r="S239" t="n">
        <v>8140</v>
      </c>
      <c r="T239" t="n">
        <v>9330</v>
      </c>
      <c r="U239" t="n">
        <v>10520</v>
      </c>
      <c r="V239" t="n">
        <v>5309</v>
      </c>
      <c r="W239" t="n">
        <v>1952</v>
      </c>
      <c r="X239" t="n">
        <v>1714</v>
      </c>
      <c r="Y239" t="n">
        <v>8180</v>
      </c>
    </row>
    <row r="240">
      <c r="A240" t="n">
        <v>239</v>
      </c>
      <c r="B240" t="n">
        <v>0</v>
      </c>
      <c r="C240" t="n">
        <v>35698</v>
      </c>
      <c r="D240" t="n">
        <v>114018</v>
      </c>
      <c r="E240" t="n">
        <v>1152115</v>
      </c>
      <c r="F240" t="n">
        <v>11458740</v>
      </c>
      <c r="G240" t="n">
        <v>111411023</v>
      </c>
      <c r="H240" t="n">
        <v>1062634011</v>
      </c>
      <c r="I240" t="n">
        <v>9912989180</v>
      </c>
      <c r="J240" t="n">
        <v>2000</v>
      </c>
      <c r="K240" t="n">
        <v>29039</v>
      </c>
      <c r="L240" t="n">
        <v>2500</v>
      </c>
      <c r="M240" t="n">
        <v>1100</v>
      </c>
      <c r="N240" t="n">
        <v>2195</v>
      </c>
      <c r="O240" t="n">
        <v>3390</v>
      </c>
      <c r="P240" t="n">
        <v>4585</v>
      </c>
      <c r="Q240" t="n">
        <v>5780</v>
      </c>
      <c r="R240" t="n">
        <v>6975</v>
      </c>
      <c r="S240" t="n">
        <v>8170</v>
      </c>
      <c r="T240" t="n">
        <v>9365</v>
      </c>
      <c r="U240" t="n">
        <v>10560</v>
      </c>
      <c r="V240" t="n">
        <v>5340</v>
      </c>
      <c r="W240" t="n">
        <v>1956</v>
      </c>
      <c r="X240" t="n">
        <v>1717</v>
      </c>
      <c r="Y240" t="n">
        <v>8190</v>
      </c>
    </row>
    <row r="241">
      <c r="A241" t="n">
        <v>240</v>
      </c>
      <c r="B241" t="n">
        <v>0</v>
      </c>
      <c r="C241" t="n">
        <v>36234</v>
      </c>
      <c r="D241" t="n">
        <v>116299</v>
      </c>
      <c r="E241" t="n">
        <v>1186679</v>
      </c>
      <c r="F241" t="n">
        <v>11917090</v>
      </c>
      <c r="G241" t="n">
        <v>116981575</v>
      </c>
      <c r="H241" t="n">
        <v>1126392052</v>
      </c>
      <c r="I241" t="n">
        <v>10606898423</v>
      </c>
      <c r="J241" t="n">
        <v>2000</v>
      </c>
      <c r="K241" t="n">
        <v>29330</v>
      </c>
      <c r="L241" t="n">
        <v>2500</v>
      </c>
      <c r="M241" t="n">
        <v>1100</v>
      </c>
      <c r="N241" t="n">
        <v>2200</v>
      </c>
      <c r="O241" t="n">
        <v>3400</v>
      </c>
      <c r="P241" t="n">
        <v>4600</v>
      </c>
      <c r="Q241" t="n">
        <v>5800</v>
      </c>
      <c r="R241" t="n">
        <v>7000</v>
      </c>
      <c r="S241" t="n">
        <v>8200</v>
      </c>
      <c r="T241" t="n">
        <v>9400</v>
      </c>
      <c r="U241" t="n">
        <v>10600</v>
      </c>
      <c r="V241" t="n">
        <v>5371</v>
      </c>
      <c r="W241" t="n">
        <v>1960</v>
      </c>
      <c r="X241" t="n">
        <v>1720</v>
      </c>
      <c r="Y241" t="n">
        <v>8200</v>
      </c>
    </row>
    <row r="242">
      <c r="A242" t="n">
        <v>241</v>
      </c>
      <c r="B242" t="n">
        <v>0</v>
      </c>
      <c r="C242" t="n">
        <v>36778</v>
      </c>
      <c r="D242" t="n">
        <v>118625</v>
      </c>
      <c r="E242" t="n">
        <v>1222280</v>
      </c>
      <c r="F242" t="n">
        <v>12393774</v>
      </c>
      <c r="G242" t="n">
        <v>122830654</v>
      </c>
      <c r="H242" t="n">
        <v>1193975576</v>
      </c>
      <c r="I242" t="n">
        <v>11349381313</v>
      </c>
      <c r="J242" t="n">
        <v>2000</v>
      </c>
      <c r="K242" t="n">
        <v>29624</v>
      </c>
      <c r="L242" t="n">
        <v>2500</v>
      </c>
      <c r="M242" t="n">
        <v>1100</v>
      </c>
      <c r="N242" t="n">
        <v>2205</v>
      </c>
      <c r="O242" t="n">
        <v>3410</v>
      </c>
      <c r="P242" t="n">
        <v>4615</v>
      </c>
      <c r="Q242" t="n">
        <v>5820</v>
      </c>
      <c r="R242" t="n">
        <v>7025</v>
      </c>
      <c r="S242" t="n">
        <v>8230</v>
      </c>
      <c r="T242" t="n">
        <v>9435</v>
      </c>
      <c r="U242" t="n">
        <v>10640</v>
      </c>
      <c r="V242" t="n">
        <v>5402</v>
      </c>
      <c r="W242" t="n">
        <v>1964</v>
      </c>
      <c r="X242" t="n">
        <v>1723</v>
      </c>
      <c r="Y242" t="n">
        <v>8210</v>
      </c>
    </row>
    <row r="243">
      <c r="A243" t="n">
        <v>242</v>
      </c>
      <c r="B243" t="n">
        <v>0</v>
      </c>
      <c r="C243" t="n">
        <v>37330</v>
      </c>
      <c r="D243" t="n">
        <v>120998</v>
      </c>
      <c r="E243" t="n">
        <v>1258949</v>
      </c>
      <c r="F243" t="n">
        <v>12889525</v>
      </c>
      <c r="G243" t="n">
        <v>128972187</v>
      </c>
      <c r="H243" t="n">
        <v>1265614111</v>
      </c>
      <c r="I243" t="n">
        <v>12143838005</v>
      </c>
      <c r="J243" t="n">
        <v>2000</v>
      </c>
      <c r="K243" t="n">
        <v>29921</v>
      </c>
      <c r="L243" t="n">
        <v>2500</v>
      </c>
      <c r="M243" t="n">
        <v>1100</v>
      </c>
      <c r="N243" t="n">
        <v>2210</v>
      </c>
      <c r="O243" t="n">
        <v>3420</v>
      </c>
      <c r="P243" t="n">
        <v>4630</v>
      </c>
      <c r="Q243" t="n">
        <v>5840</v>
      </c>
      <c r="R243" t="n">
        <v>7050</v>
      </c>
      <c r="S243" t="n">
        <v>8260</v>
      </c>
      <c r="T243" t="n">
        <v>9470</v>
      </c>
      <c r="U243" t="n">
        <v>10680</v>
      </c>
      <c r="V243" t="n">
        <v>5434</v>
      </c>
      <c r="W243" t="n">
        <v>1968</v>
      </c>
      <c r="X243" t="n">
        <v>1726</v>
      </c>
      <c r="Y243" t="n">
        <v>8220</v>
      </c>
    </row>
    <row r="244">
      <c r="A244" t="n">
        <v>243</v>
      </c>
      <c r="B244" t="n">
        <v>0</v>
      </c>
      <c r="C244" t="n">
        <v>37890</v>
      </c>
      <c r="D244" t="n">
        <v>123418</v>
      </c>
      <c r="E244" t="n">
        <v>1296718</v>
      </c>
      <c r="F244" t="n">
        <v>13405106</v>
      </c>
      <c r="G244" t="n">
        <v>135420797</v>
      </c>
      <c r="H244" t="n">
        <v>1341550958</v>
      </c>
      <c r="I244" t="n">
        <v>12993906666</v>
      </c>
      <c r="J244" t="n">
        <v>2000</v>
      </c>
      <c r="K244" t="n">
        <v>30221</v>
      </c>
      <c r="L244" t="n">
        <v>2500</v>
      </c>
      <c r="M244" t="n">
        <v>1100</v>
      </c>
      <c r="N244" t="n">
        <v>2215</v>
      </c>
      <c r="O244" t="n">
        <v>3430</v>
      </c>
      <c r="P244" t="n">
        <v>4645</v>
      </c>
      <c r="Q244" t="n">
        <v>5860</v>
      </c>
      <c r="R244" t="n">
        <v>7075</v>
      </c>
      <c r="S244" t="n">
        <v>8290</v>
      </c>
      <c r="T244" t="n">
        <v>9505</v>
      </c>
      <c r="U244" t="n">
        <v>10720</v>
      </c>
      <c r="V244" t="n">
        <v>5466</v>
      </c>
      <c r="W244" t="n">
        <v>1972</v>
      </c>
      <c r="X244" t="n">
        <v>1729</v>
      </c>
      <c r="Y244" t="n">
        <v>8230</v>
      </c>
    </row>
    <row r="245">
      <c r="A245" t="n">
        <v>244</v>
      </c>
      <c r="B245" t="n">
        <v>0</v>
      </c>
      <c r="C245" t="n">
        <v>38459</v>
      </c>
      <c r="D245" t="n">
        <v>125887</v>
      </c>
      <c r="E245" t="n">
        <v>1335620</v>
      </c>
      <c r="F245" t="n">
        <v>13941311</v>
      </c>
      <c r="G245" t="n">
        <v>142191837</v>
      </c>
      <c r="H245" t="n">
        <v>1422044016</v>
      </c>
      <c r="I245" t="n">
        <v>13903480133</v>
      </c>
      <c r="J245" t="n">
        <v>2000</v>
      </c>
      <c r="K245" t="n">
        <v>30524</v>
      </c>
      <c r="L245" t="n">
        <v>2500</v>
      </c>
      <c r="M245" t="n">
        <v>1100</v>
      </c>
      <c r="N245" t="n">
        <v>2220</v>
      </c>
      <c r="O245" t="n">
        <v>3440</v>
      </c>
      <c r="P245" t="n">
        <v>4660</v>
      </c>
      <c r="Q245" t="n">
        <v>5880</v>
      </c>
      <c r="R245" t="n">
        <v>7100</v>
      </c>
      <c r="S245" t="n">
        <v>8320</v>
      </c>
      <c r="T245" t="n">
        <v>9540</v>
      </c>
      <c r="U245" t="n">
        <v>10760</v>
      </c>
      <c r="V245" t="n">
        <v>5498</v>
      </c>
      <c r="W245" t="n">
        <v>1976</v>
      </c>
      <c r="X245" t="n">
        <v>1732</v>
      </c>
      <c r="Y245" t="n">
        <v>8240</v>
      </c>
    </row>
    <row r="246">
      <c r="A246" t="n">
        <v>245</v>
      </c>
      <c r="B246" t="n">
        <v>0</v>
      </c>
      <c r="C246" t="n">
        <v>39036</v>
      </c>
      <c r="D246" t="n">
        <v>128405</v>
      </c>
      <c r="E246" t="n">
        <v>1375689</v>
      </c>
      <c r="F246" t="n">
        <v>14498964</v>
      </c>
      <c r="G246" t="n">
        <v>149301429</v>
      </c>
      <c r="H246" t="n">
        <v>1507366657</v>
      </c>
      <c r="I246" t="n">
        <v>14876723743</v>
      </c>
      <c r="J246" t="n">
        <v>2000</v>
      </c>
      <c r="K246" t="n">
        <v>30830</v>
      </c>
      <c r="L246" t="n">
        <v>2500</v>
      </c>
      <c r="M246" t="n">
        <v>1100</v>
      </c>
      <c r="N246" t="n">
        <v>2225</v>
      </c>
      <c r="O246" t="n">
        <v>3450</v>
      </c>
      <c r="P246" t="n">
        <v>4675</v>
      </c>
      <c r="Q246" t="n">
        <v>5900</v>
      </c>
      <c r="R246" t="n">
        <v>7125</v>
      </c>
      <c r="S246" t="n">
        <v>8350</v>
      </c>
      <c r="T246" t="n">
        <v>9575</v>
      </c>
      <c r="U246" t="n">
        <v>10800</v>
      </c>
      <c r="V246" t="n">
        <v>5530</v>
      </c>
      <c r="W246" t="n">
        <v>1980</v>
      </c>
      <c r="X246" t="n">
        <v>1735</v>
      </c>
      <c r="Y246" t="n">
        <v>8250</v>
      </c>
    </row>
    <row r="247">
      <c r="A247" t="n">
        <v>246</v>
      </c>
      <c r="B247" t="n">
        <v>0</v>
      </c>
      <c r="C247" t="n">
        <v>39622</v>
      </c>
      <c r="D247" t="n">
        <v>130974</v>
      </c>
      <c r="E247" t="n">
        <v>1416960</v>
      </c>
      <c r="F247" t="n">
        <v>15078923</v>
      </c>
      <c r="G247" t="n">
        <v>156766501</v>
      </c>
      <c r="H247" t="n">
        <v>1597808657</v>
      </c>
      <c r="I247" t="n">
        <v>15918094406</v>
      </c>
      <c r="J247" t="n">
        <v>2000</v>
      </c>
      <c r="K247" t="n">
        <v>31139</v>
      </c>
      <c r="L247" t="n">
        <v>2500</v>
      </c>
      <c r="M247" t="n">
        <v>1100</v>
      </c>
      <c r="N247" t="n">
        <v>2230</v>
      </c>
      <c r="O247" t="n">
        <v>3460</v>
      </c>
      <c r="P247" t="n">
        <v>4690</v>
      </c>
      <c r="Q247" t="n">
        <v>5920</v>
      </c>
      <c r="R247" t="n">
        <v>7150</v>
      </c>
      <c r="S247" t="n">
        <v>8380</v>
      </c>
      <c r="T247" t="n">
        <v>9610</v>
      </c>
      <c r="U247" t="n">
        <v>10840</v>
      </c>
      <c r="V247" t="n">
        <v>5562</v>
      </c>
      <c r="W247" t="n">
        <v>1984</v>
      </c>
      <c r="X247" t="n">
        <v>1738</v>
      </c>
      <c r="Y247" t="n">
        <v>8260</v>
      </c>
    </row>
    <row r="248">
      <c r="A248" t="n">
        <v>247</v>
      </c>
      <c r="B248" t="n">
        <v>0</v>
      </c>
      <c r="C248" t="n">
        <v>40217</v>
      </c>
      <c r="D248" t="n">
        <v>133594</v>
      </c>
      <c r="E248" t="n">
        <v>1459469</v>
      </c>
      <c r="F248" t="n">
        <v>15682080</v>
      </c>
      <c r="G248" t="n">
        <v>164604827</v>
      </c>
      <c r="H248" t="n">
        <v>1693677177</v>
      </c>
      <c r="I248" t="n">
        <v>17032361015</v>
      </c>
      <c r="J248" t="n">
        <v>2000</v>
      </c>
      <c r="K248" t="n">
        <v>31451</v>
      </c>
      <c r="L248" t="n">
        <v>2500</v>
      </c>
      <c r="M248" t="n">
        <v>1100</v>
      </c>
      <c r="N248" t="n">
        <v>2235</v>
      </c>
      <c r="O248" t="n">
        <v>3470</v>
      </c>
      <c r="P248" t="n">
        <v>4705</v>
      </c>
      <c r="Q248" t="n">
        <v>5940</v>
      </c>
      <c r="R248" t="n">
        <v>7175</v>
      </c>
      <c r="S248" t="n">
        <v>8410</v>
      </c>
      <c r="T248" t="n">
        <v>9645</v>
      </c>
      <c r="U248" t="n">
        <v>10880</v>
      </c>
      <c r="V248" t="n">
        <v>5594</v>
      </c>
      <c r="W248" t="n">
        <v>1988</v>
      </c>
      <c r="X248" t="n">
        <v>1741</v>
      </c>
      <c r="Y248" t="n">
        <v>8270</v>
      </c>
    </row>
    <row r="249">
      <c r="A249" t="n">
        <v>248</v>
      </c>
      <c r="B249" t="n">
        <v>0</v>
      </c>
      <c r="C249" t="n">
        <v>40821</v>
      </c>
      <c r="D249" t="n">
        <v>136266</v>
      </c>
      <c r="E249" t="n">
        <v>1503254</v>
      </c>
      <c r="F249" t="n">
        <v>16309364</v>
      </c>
      <c r="G249" t="n">
        <v>172835069</v>
      </c>
      <c r="H249" t="n">
        <v>1795297808</v>
      </c>
      <c r="I249" t="n">
        <v>18224626287</v>
      </c>
      <c r="J249" t="n">
        <v>2000</v>
      </c>
      <c r="K249" t="n">
        <v>31766</v>
      </c>
      <c r="L249" t="n">
        <v>2500</v>
      </c>
      <c r="M249" t="n">
        <v>1100</v>
      </c>
      <c r="N249" t="n">
        <v>2240</v>
      </c>
      <c r="O249" t="n">
        <v>3480</v>
      </c>
      <c r="P249" t="n">
        <v>4720</v>
      </c>
      <c r="Q249" t="n">
        <v>5960</v>
      </c>
      <c r="R249" t="n">
        <v>7200</v>
      </c>
      <c r="S249" t="n">
        <v>8440</v>
      </c>
      <c r="T249" t="n">
        <v>9680</v>
      </c>
      <c r="U249" t="n">
        <v>10920</v>
      </c>
      <c r="V249" t="n">
        <v>5626</v>
      </c>
      <c r="W249" t="n">
        <v>1992</v>
      </c>
      <c r="X249" t="n">
        <v>1744</v>
      </c>
      <c r="Y249" t="n">
        <v>8280</v>
      </c>
    </row>
    <row r="250">
      <c r="A250" t="n">
        <v>249</v>
      </c>
      <c r="B250" t="n">
        <v>0</v>
      </c>
      <c r="C250" t="n">
        <v>41434</v>
      </c>
      <c r="D250" t="n">
        <v>138992</v>
      </c>
      <c r="E250" t="n">
        <v>1548352</v>
      </c>
      <c r="F250" t="n">
        <v>16961739</v>
      </c>
      <c r="G250" t="n">
        <v>181476823</v>
      </c>
      <c r="H250" t="n">
        <v>1903015677</v>
      </c>
      <c r="I250" t="n">
        <v>19500350128</v>
      </c>
      <c r="J250" t="n">
        <v>2000</v>
      </c>
      <c r="K250" t="n">
        <v>32084</v>
      </c>
      <c r="L250" t="n">
        <v>2500</v>
      </c>
      <c r="M250" t="n">
        <v>1100</v>
      </c>
      <c r="N250" t="n">
        <v>2245</v>
      </c>
      <c r="O250" t="n">
        <v>3490</v>
      </c>
      <c r="P250" t="n">
        <v>4735</v>
      </c>
      <c r="Q250" t="n">
        <v>5980</v>
      </c>
      <c r="R250" t="n">
        <v>7225</v>
      </c>
      <c r="S250" t="n">
        <v>8470</v>
      </c>
      <c r="T250" t="n">
        <v>9715</v>
      </c>
      <c r="U250" t="n">
        <v>10960</v>
      </c>
      <c r="V250" t="n">
        <v>5659</v>
      </c>
      <c r="W250" t="n">
        <v>1996</v>
      </c>
      <c r="X250" t="n">
        <v>1747</v>
      </c>
      <c r="Y250" t="n">
        <v>8290</v>
      </c>
    </row>
    <row r="251">
      <c r="A251" t="n">
        <v>250</v>
      </c>
      <c r="B251" t="n">
        <v>0</v>
      </c>
      <c r="C251" t="n">
        <v>42056</v>
      </c>
      <c r="D251" t="n">
        <v>141772</v>
      </c>
      <c r="E251" t="n">
        <v>1594803</v>
      </c>
      <c r="F251" t="n">
        <v>17640209</v>
      </c>
      <c r="G251" t="n">
        <v>190550665</v>
      </c>
      <c r="H251" t="n">
        <v>2017196618</v>
      </c>
      <c r="I251" t="n">
        <v>20865374637</v>
      </c>
      <c r="J251" t="n">
        <v>2000</v>
      </c>
      <c r="K251" t="n">
        <v>32405</v>
      </c>
      <c r="L251" t="n">
        <v>2500</v>
      </c>
      <c r="M251" t="n">
        <v>1100</v>
      </c>
      <c r="N251" t="n">
        <v>2250</v>
      </c>
      <c r="O251" t="n">
        <v>3500</v>
      </c>
      <c r="P251" t="n">
        <v>4750</v>
      </c>
      <c r="Q251" t="n">
        <v>6000</v>
      </c>
      <c r="R251" t="n">
        <v>7250</v>
      </c>
      <c r="S251" t="n">
        <v>8500</v>
      </c>
      <c r="T251" t="n">
        <v>9750</v>
      </c>
      <c r="U251" t="n">
        <v>11000</v>
      </c>
      <c r="V251" t="n">
        <v>5692</v>
      </c>
      <c r="W251" t="n">
        <v>2000</v>
      </c>
      <c r="X251" t="n">
        <v>1750</v>
      </c>
      <c r="Y251" t="n">
        <v>8300</v>
      </c>
    </row>
    <row r="252">
      <c r="A252" t="n">
        <v>251</v>
      </c>
      <c r="B252" t="n">
        <v>0</v>
      </c>
      <c r="C252" t="n">
        <v>42687</v>
      </c>
      <c r="D252" t="n">
        <v>144608</v>
      </c>
      <c r="E252" t="n">
        <v>1642648</v>
      </c>
      <c r="F252" t="n">
        <v>18345818</v>
      </c>
      <c r="G252" t="n">
        <v>200078199</v>
      </c>
      <c r="H252" t="n">
        <v>2138228416</v>
      </c>
      <c r="I252" t="n">
        <v>22325950862</v>
      </c>
      <c r="J252" t="n">
        <v>2000</v>
      </c>
      <c r="K252" t="n">
        <v>32730</v>
      </c>
      <c r="L252" t="n">
        <v>2500</v>
      </c>
      <c r="M252" t="n">
        <v>1100</v>
      </c>
      <c r="N252" t="n">
        <v>2255</v>
      </c>
      <c r="O252" t="n">
        <v>3510</v>
      </c>
      <c r="P252" t="n">
        <v>4765</v>
      </c>
      <c r="Q252" t="n">
        <v>6020</v>
      </c>
      <c r="R252" t="n">
        <v>7275</v>
      </c>
      <c r="S252" t="n">
        <v>8530</v>
      </c>
      <c r="T252" t="n">
        <v>9785</v>
      </c>
      <c r="U252" t="n">
        <v>11040</v>
      </c>
      <c r="V252" t="n">
        <v>5725</v>
      </c>
      <c r="W252" t="n">
        <v>2004</v>
      </c>
      <c r="X252" t="n">
        <v>1753</v>
      </c>
      <c r="Y252" t="n">
        <v>8310</v>
      </c>
    </row>
    <row r="253">
      <c r="A253" t="n">
        <v>252</v>
      </c>
      <c r="B253" t="n">
        <v>0</v>
      </c>
      <c r="C253" t="n">
        <v>43328</v>
      </c>
      <c r="D253" t="n">
        <v>147501</v>
      </c>
      <c r="E253" t="n">
        <v>1691928</v>
      </c>
      <c r="F253" t="n">
        <v>19079651</v>
      </c>
      <c r="G253" t="n">
        <v>210082109</v>
      </c>
      <c r="H253" t="n">
        <v>2266522121</v>
      </c>
      <c r="I253" t="n">
        <v>23888767423</v>
      </c>
      <c r="J253" t="n">
        <v>2000</v>
      </c>
      <c r="K253" t="n">
        <v>33058</v>
      </c>
      <c r="L253" t="n">
        <v>2500</v>
      </c>
      <c r="M253" t="n">
        <v>1100</v>
      </c>
      <c r="N253" t="n">
        <v>2260</v>
      </c>
      <c r="O253" t="n">
        <v>3520</v>
      </c>
      <c r="P253" t="n">
        <v>4780</v>
      </c>
      <c r="Q253" t="n">
        <v>6040</v>
      </c>
      <c r="R253" t="n">
        <v>7300</v>
      </c>
      <c r="S253" t="n">
        <v>8560</v>
      </c>
      <c r="T253" t="n">
        <v>9820</v>
      </c>
      <c r="U253" t="n">
        <v>11080</v>
      </c>
      <c r="V253" t="n">
        <v>5758</v>
      </c>
      <c r="W253" t="n">
        <v>2008</v>
      </c>
      <c r="X253" t="n">
        <v>1756</v>
      </c>
      <c r="Y253" t="n">
        <v>8320</v>
      </c>
    </row>
    <row r="254">
      <c r="A254" t="n">
        <v>253</v>
      </c>
      <c r="B254" t="n">
        <v>0</v>
      </c>
      <c r="C254" t="n">
        <v>43978</v>
      </c>
      <c r="D254" t="n">
        <v>150452</v>
      </c>
      <c r="E254" t="n">
        <v>1742686</v>
      </c>
      <c r="F254" t="n">
        <v>19842838</v>
      </c>
      <c r="G254" t="n">
        <v>220586215</v>
      </c>
      <c r="H254" t="n">
        <v>2402513449</v>
      </c>
      <c r="I254" t="n">
        <v>25560981143</v>
      </c>
      <c r="J254" t="n">
        <v>2000</v>
      </c>
      <c r="K254" t="n">
        <v>33389</v>
      </c>
      <c r="L254" t="n">
        <v>2500</v>
      </c>
      <c r="M254" t="n">
        <v>1100</v>
      </c>
      <c r="N254" t="n">
        <v>2265</v>
      </c>
      <c r="O254" t="n">
        <v>3530</v>
      </c>
      <c r="P254" t="n">
        <v>4795</v>
      </c>
      <c r="Q254" t="n">
        <v>6060</v>
      </c>
      <c r="R254" t="n">
        <v>7325</v>
      </c>
      <c r="S254" t="n">
        <v>8590</v>
      </c>
      <c r="T254" t="n">
        <v>9855</v>
      </c>
      <c r="U254" t="n">
        <v>11120</v>
      </c>
      <c r="V254" t="n">
        <v>5791</v>
      </c>
      <c r="W254" t="n">
        <v>2012</v>
      </c>
      <c r="X254" t="n">
        <v>1759</v>
      </c>
      <c r="Y254" t="n">
        <v>8330</v>
      </c>
    </row>
    <row r="255">
      <c r="A255" t="n">
        <v>254</v>
      </c>
      <c r="B255" t="n">
        <v>0</v>
      </c>
      <c r="C255" t="n">
        <v>44638</v>
      </c>
      <c r="D255" t="n">
        <v>153462</v>
      </c>
      <c r="E255" t="n">
        <v>1794967</v>
      </c>
      <c r="F255" t="n">
        <v>20636552</v>
      </c>
      <c r="G255" t="n">
        <v>231615526</v>
      </c>
      <c r="H255" t="n">
        <v>2546664256</v>
      </c>
      <c r="I255" t="n">
        <v>27350249824</v>
      </c>
      <c r="J255" t="n">
        <v>2000</v>
      </c>
      <c r="K255" t="n">
        <v>33723</v>
      </c>
      <c r="L255" t="n">
        <v>2500</v>
      </c>
      <c r="M255" t="n">
        <v>1100</v>
      </c>
      <c r="N255" t="n">
        <v>2270</v>
      </c>
      <c r="O255" t="n">
        <v>3540</v>
      </c>
      <c r="P255" t="n">
        <v>4810</v>
      </c>
      <c r="Q255" t="n">
        <v>6080</v>
      </c>
      <c r="R255" t="n">
        <v>7350</v>
      </c>
      <c r="S255" t="n">
        <v>8620</v>
      </c>
      <c r="T255" t="n">
        <v>9890</v>
      </c>
      <c r="U255" t="n">
        <v>11160</v>
      </c>
      <c r="V255" t="n">
        <v>5824</v>
      </c>
      <c r="W255" t="n">
        <v>2016</v>
      </c>
      <c r="X255" t="n">
        <v>1762</v>
      </c>
      <c r="Y255" t="n">
        <v>8340</v>
      </c>
    </row>
    <row r="256">
      <c r="A256" t="n">
        <v>255</v>
      </c>
      <c r="B256" t="n">
        <v>0</v>
      </c>
      <c r="C256" t="n">
        <v>45308</v>
      </c>
      <c r="D256" t="n">
        <v>156532</v>
      </c>
      <c r="E256" t="n">
        <v>1848817</v>
      </c>
      <c r="F256" t="n">
        <v>21462015</v>
      </c>
      <c r="G256" t="n">
        <v>243196303</v>
      </c>
      <c r="H256" t="n">
        <v>2699464112</v>
      </c>
      <c r="I256" t="n">
        <v>29264767312</v>
      </c>
      <c r="J256" t="n">
        <v>2000</v>
      </c>
      <c r="K256" t="n">
        <v>34061</v>
      </c>
      <c r="L256" t="n">
        <v>2500</v>
      </c>
      <c r="M256" t="n">
        <v>1100</v>
      </c>
      <c r="N256" t="n">
        <v>2275</v>
      </c>
      <c r="O256" t="n">
        <v>3550</v>
      </c>
      <c r="P256" t="n">
        <v>4825</v>
      </c>
      <c r="Q256" t="n">
        <v>6100</v>
      </c>
      <c r="R256" t="n">
        <v>7375</v>
      </c>
      <c r="S256" t="n">
        <v>8650</v>
      </c>
      <c r="T256" t="n">
        <v>9925</v>
      </c>
      <c r="U256" t="n">
        <v>11200</v>
      </c>
      <c r="V256" t="n">
        <v>5858</v>
      </c>
      <c r="W256" t="n">
        <v>2020</v>
      </c>
      <c r="X256" t="n">
        <v>1765</v>
      </c>
      <c r="Y256" t="n">
        <v>8350</v>
      </c>
    </row>
    <row r="257">
      <c r="A257" t="n">
        <v>256</v>
      </c>
      <c r="B257" t="n">
        <v>0</v>
      </c>
      <c r="C257" t="n">
        <v>45988</v>
      </c>
      <c r="D257" t="n">
        <v>159663</v>
      </c>
      <c r="E257" t="n">
        <v>1904282</v>
      </c>
      <c r="F257" t="n">
        <v>22320496</v>
      </c>
      <c r="G257" t="n">
        <v>255356119</v>
      </c>
      <c r="H257" t="n">
        <v>2861431959</v>
      </c>
      <c r="I257" t="n">
        <v>31313301024</v>
      </c>
      <c r="J257" t="n">
        <v>2000</v>
      </c>
      <c r="K257" t="n">
        <v>34402</v>
      </c>
      <c r="L257" t="n">
        <v>2500</v>
      </c>
      <c r="M257" t="n">
        <v>1100</v>
      </c>
      <c r="N257" t="n">
        <v>2280</v>
      </c>
      <c r="O257" t="n">
        <v>3560</v>
      </c>
      <c r="P257" t="n">
        <v>4840</v>
      </c>
      <c r="Q257" t="n">
        <v>6120</v>
      </c>
      <c r="R257" t="n">
        <v>7400</v>
      </c>
      <c r="S257" t="n">
        <v>8680</v>
      </c>
      <c r="T257" t="n">
        <v>9960</v>
      </c>
      <c r="U257" t="n">
        <v>11240</v>
      </c>
      <c r="V257" t="n">
        <v>5892</v>
      </c>
      <c r="W257" t="n">
        <v>2024</v>
      </c>
      <c r="X257" t="n">
        <v>1768</v>
      </c>
      <c r="Y257" t="n">
        <v>8360</v>
      </c>
    </row>
    <row r="258">
      <c r="A258" t="n">
        <v>257</v>
      </c>
      <c r="B258" t="n">
        <v>0</v>
      </c>
      <c r="C258" t="n">
        <v>46678</v>
      </c>
      <c r="D258" t="n">
        <v>162857</v>
      </c>
      <c r="E258" t="n">
        <v>1961411</v>
      </c>
      <c r="F258" t="n">
        <v>23213316</v>
      </c>
      <c r="G258" t="n">
        <v>268123925</v>
      </c>
      <c r="H258" t="n">
        <v>3033117877</v>
      </c>
      <c r="I258" t="n">
        <v>33505232096</v>
      </c>
      <c r="J258" t="n">
        <v>2000</v>
      </c>
      <c r="K258" t="n">
        <v>34747</v>
      </c>
      <c r="L258" t="n">
        <v>2500</v>
      </c>
      <c r="M258" t="n">
        <v>1100</v>
      </c>
      <c r="N258" t="n">
        <v>2285</v>
      </c>
      <c r="O258" t="n">
        <v>3570</v>
      </c>
      <c r="P258" t="n">
        <v>4855</v>
      </c>
      <c r="Q258" t="n">
        <v>6140</v>
      </c>
      <c r="R258" t="n">
        <v>7425</v>
      </c>
      <c r="S258" t="n">
        <v>8710</v>
      </c>
      <c r="T258" t="n">
        <v>9995</v>
      </c>
      <c r="U258" t="n">
        <v>11280</v>
      </c>
      <c r="V258" t="n">
        <v>5926</v>
      </c>
      <c r="W258" t="n">
        <v>2028</v>
      </c>
      <c r="X258" t="n">
        <v>1771</v>
      </c>
      <c r="Y258" t="n">
        <v>8370</v>
      </c>
    </row>
    <row r="259">
      <c r="A259" t="n">
        <v>258</v>
      </c>
      <c r="B259" t="n">
        <v>0</v>
      </c>
      <c r="C259" t="n">
        <v>47379</v>
      </c>
      <c r="D259" t="n">
        <v>166115</v>
      </c>
      <c r="E259" t="n">
        <v>2020254</v>
      </c>
      <c r="F259" t="n">
        <v>24141849</v>
      </c>
      <c r="G259" t="n">
        <v>281530122</v>
      </c>
      <c r="H259" t="n">
        <v>3215104950</v>
      </c>
      <c r="I259" t="n">
        <v>35850598343</v>
      </c>
      <c r="J259" t="n">
        <v>2000</v>
      </c>
      <c r="K259" t="n">
        <v>35095</v>
      </c>
      <c r="L259" t="n">
        <v>2500</v>
      </c>
      <c r="M259" t="n">
        <v>1100</v>
      </c>
      <c r="N259" t="n">
        <v>2290</v>
      </c>
      <c r="O259" t="n">
        <v>3580</v>
      </c>
      <c r="P259" t="n">
        <v>4870</v>
      </c>
      <c r="Q259" t="n">
        <v>6160</v>
      </c>
      <c r="R259" t="n">
        <v>7450</v>
      </c>
      <c r="S259" t="n">
        <v>8740</v>
      </c>
      <c r="T259" t="n">
        <v>10030</v>
      </c>
      <c r="U259" t="n">
        <v>11320</v>
      </c>
      <c r="V259" t="n">
        <v>5960</v>
      </c>
      <c r="W259" t="n">
        <v>2032</v>
      </c>
      <c r="X259" t="n">
        <v>1774</v>
      </c>
      <c r="Y259" t="n">
        <v>8380</v>
      </c>
    </row>
    <row r="260">
      <c r="A260" t="n">
        <v>259</v>
      </c>
      <c r="B260" t="n">
        <v>0</v>
      </c>
      <c r="C260" t="n">
        <v>48090</v>
      </c>
      <c r="D260" t="n">
        <v>169438</v>
      </c>
      <c r="E260" t="n">
        <v>2080862</v>
      </c>
      <c r="F260" t="n">
        <v>25107523</v>
      </c>
      <c r="G260" t="n">
        <v>295606629</v>
      </c>
      <c r="H260" t="n">
        <v>3408011247</v>
      </c>
      <c r="I260" t="n">
        <v>38360140228</v>
      </c>
      <c r="J260" t="n">
        <v>2000</v>
      </c>
      <c r="K260" t="n">
        <v>35446</v>
      </c>
      <c r="L260" t="n">
        <v>2500</v>
      </c>
      <c r="M260" t="n">
        <v>1100</v>
      </c>
      <c r="N260" t="n">
        <v>2295</v>
      </c>
      <c r="O260" t="n">
        <v>3590</v>
      </c>
      <c r="P260" t="n">
        <v>4885</v>
      </c>
      <c r="Q260" t="n">
        <v>6180</v>
      </c>
      <c r="R260" t="n">
        <v>7475</v>
      </c>
      <c r="S260" t="n">
        <v>8770</v>
      </c>
      <c r="T260" t="n">
        <v>10065</v>
      </c>
      <c r="U260" t="n">
        <v>11360</v>
      </c>
      <c r="V260" t="n">
        <v>5994</v>
      </c>
      <c r="W260" t="n">
        <v>2036</v>
      </c>
      <c r="X260" t="n">
        <v>1777</v>
      </c>
      <c r="Y260" t="n">
        <v>8390</v>
      </c>
    </row>
    <row r="261">
      <c r="A261" t="n">
        <v>260</v>
      </c>
      <c r="B261" t="n">
        <v>0</v>
      </c>
      <c r="C261" t="n">
        <v>48812</v>
      </c>
      <c r="D261" t="n">
        <v>172827</v>
      </c>
      <c r="E261" t="n">
        <v>2143288</v>
      </c>
      <c r="F261" t="n">
        <v>26111824</v>
      </c>
      <c r="G261" t="n">
        <v>310386961</v>
      </c>
      <c r="H261" t="n">
        <v>3612491922</v>
      </c>
      <c r="I261" t="n">
        <v>41045350044</v>
      </c>
      <c r="J261" t="n">
        <v>2000</v>
      </c>
      <c r="K261" t="n">
        <v>35801</v>
      </c>
      <c r="L261" t="n">
        <v>2500</v>
      </c>
      <c r="M261" t="n">
        <v>1100</v>
      </c>
      <c r="N261" t="n">
        <v>2300</v>
      </c>
      <c r="O261" t="n">
        <v>3600</v>
      </c>
      <c r="P261" t="n">
        <v>4900</v>
      </c>
      <c r="Q261" t="n">
        <v>6200</v>
      </c>
      <c r="R261" t="n">
        <v>7500</v>
      </c>
      <c r="S261" t="n">
        <v>8800</v>
      </c>
      <c r="T261" t="n">
        <v>10100</v>
      </c>
      <c r="U261" t="n">
        <v>11400</v>
      </c>
      <c r="V261" t="n">
        <v>6028</v>
      </c>
      <c r="W261" t="n">
        <v>2040</v>
      </c>
      <c r="X261" t="n">
        <v>1780</v>
      </c>
      <c r="Y261" t="n">
        <v>8400</v>
      </c>
    </row>
    <row r="262">
      <c r="A262" t="n">
        <v>261</v>
      </c>
      <c r="B262" t="n">
        <v>0</v>
      </c>
      <c r="C262" t="n">
        <v>49545</v>
      </c>
      <c r="D262" t="n">
        <v>176284</v>
      </c>
      <c r="E262" t="n">
        <v>2207587</v>
      </c>
      <c r="F262" t="n">
        <v>27156297</v>
      </c>
      <c r="G262" t="n">
        <v>325906310</v>
      </c>
      <c r="H262" t="n">
        <v>3829241438</v>
      </c>
      <c r="I262" t="n">
        <v>43918524548</v>
      </c>
      <c r="J262" t="n">
        <v>2000</v>
      </c>
      <c r="K262" t="n">
        <v>36160</v>
      </c>
      <c r="L262" t="n">
        <v>2500</v>
      </c>
      <c r="M262" t="n">
        <v>1100</v>
      </c>
      <c r="N262" t="n">
        <v>2305</v>
      </c>
      <c r="O262" t="n">
        <v>3610</v>
      </c>
      <c r="P262" t="n">
        <v>4915</v>
      </c>
      <c r="Q262" t="n">
        <v>6220</v>
      </c>
      <c r="R262" t="n">
        <v>7525</v>
      </c>
      <c r="S262" t="n">
        <v>8830</v>
      </c>
      <c r="T262" t="n">
        <v>10135</v>
      </c>
      <c r="U262" t="n">
        <v>11440</v>
      </c>
      <c r="V262" t="n">
        <v>6063</v>
      </c>
      <c r="W262" t="n">
        <v>2044</v>
      </c>
      <c r="X262" t="n">
        <v>1783</v>
      </c>
      <c r="Y262" t="n">
        <v>8410</v>
      </c>
    </row>
    <row r="263">
      <c r="A263" t="n">
        <v>262</v>
      </c>
      <c r="B263" t="n">
        <v>0</v>
      </c>
      <c r="C263" t="n">
        <v>50289</v>
      </c>
      <c r="D263" t="n">
        <v>179810</v>
      </c>
      <c r="E263" t="n">
        <v>2273815</v>
      </c>
      <c r="F263" t="n">
        <v>28242549</v>
      </c>
      <c r="G263" t="n">
        <v>342201626</v>
      </c>
      <c r="H263" t="n">
        <v>4058995925</v>
      </c>
      <c r="I263" t="n">
        <v>46992821267</v>
      </c>
      <c r="J263" t="n">
        <v>2000</v>
      </c>
      <c r="K263" t="n">
        <v>36522</v>
      </c>
      <c r="L263" t="n">
        <v>2500</v>
      </c>
      <c r="M263" t="n">
        <v>1100</v>
      </c>
      <c r="N263" t="n">
        <v>2310</v>
      </c>
      <c r="O263" t="n">
        <v>3620</v>
      </c>
      <c r="P263" t="n">
        <v>4930</v>
      </c>
      <c r="Q263" t="n">
        <v>6240</v>
      </c>
      <c r="R263" t="n">
        <v>7550</v>
      </c>
      <c r="S263" t="n">
        <v>8860</v>
      </c>
      <c r="T263" t="n">
        <v>10170</v>
      </c>
      <c r="U263" t="n">
        <v>11480</v>
      </c>
      <c r="V263" t="n">
        <v>6098</v>
      </c>
      <c r="W263" t="n">
        <v>2048</v>
      </c>
      <c r="X263" t="n">
        <v>1786</v>
      </c>
      <c r="Y263" t="n">
        <v>8420</v>
      </c>
    </row>
    <row r="264">
      <c r="A264" t="n">
        <v>263</v>
      </c>
      <c r="B264" t="n">
        <v>0</v>
      </c>
      <c r="C264" t="n">
        <v>51044</v>
      </c>
      <c r="D264" t="n">
        <v>183407</v>
      </c>
      <c r="E264" t="n">
        <v>2342030</v>
      </c>
      <c r="F264" t="n">
        <v>29372251</v>
      </c>
      <c r="G264" t="n">
        <v>359311708</v>
      </c>
      <c r="H264" t="n">
        <v>4302535681</v>
      </c>
      <c r="I264" t="n">
        <v>50282318756</v>
      </c>
      <c r="J264" t="n">
        <v>2000</v>
      </c>
      <c r="K264" t="n">
        <v>36888</v>
      </c>
      <c r="L264" t="n">
        <v>2500</v>
      </c>
      <c r="M264" t="n">
        <v>1100</v>
      </c>
      <c r="N264" t="n">
        <v>2315</v>
      </c>
      <c r="O264" t="n">
        <v>3630</v>
      </c>
      <c r="P264" t="n">
        <v>4945</v>
      </c>
      <c r="Q264" t="n">
        <v>6260</v>
      </c>
      <c r="R264" t="n">
        <v>7575</v>
      </c>
      <c r="S264" t="n">
        <v>8890</v>
      </c>
      <c r="T264" t="n">
        <v>10205</v>
      </c>
      <c r="U264" t="n">
        <v>11520</v>
      </c>
      <c r="V264" t="n">
        <v>6133</v>
      </c>
      <c r="W264" t="n">
        <v>2052</v>
      </c>
      <c r="X264" t="n">
        <v>1789</v>
      </c>
      <c r="Y264" t="n">
        <v>8430</v>
      </c>
    </row>
    <row r="265">
      <c r="A265" t="n">
        <v>264</v>
      </c>
      <c r="B265" t="n">
        <v>0</v>
      </c>
      <c r="C265" t="n">
        <v>51810</v>
      </c>
      <c r="D265" t="n">
        <v>187076</v>
      </c>
      <c r="E265" t="n">
        <v>2412291</v>
      </c>
      <c r="F265" t="n">
        <v>30547142</v>
      </c>
      <c r="G265" t="n">
        <v>377277294</v>
      </c>
      <c r="H265" t="n">
        <v>4560687822</v>
      </c>
      <c r="I265" t="n">
        <v>53802081069</v>
      </c>
      <c r="J265" t="n">
        <v>2000</v>
      </c>
      <c r="K265" t="n">
        <v>37257</v>
      </c>
      <c r="L265" t="n">
        <v>2500</v>
      </c>
      <c r="M265" t="n">
        <v>1100</v>
      </c>
      <c r="N265" t="n">
        <v>2320</v>
      </c>
      <c r="O265" t="n">
        <v>3640</v>
      </c>
      <c r="P265" t="n">
        <v>4960</v>
      </c>
      <c r="Q265" t="n">
        <v>6280</v>
      </c>
      <c r="R265" t="n">
        <v>7600</v>
      </c>
      <c r="S265" t="n">
        <v>8920</v>
      </c>
      <c r="T265" t="n">
        <v>10240</v>
      </c>
      <c r="U265" t="n">
        <v>11560</v>
      </c>
      <c r="V265" t="n">
        <v>6168</v>
      </c>
      <c r="W265" t="n">
        <v>2056</v>
      </c>
      <c r="X265" t="n">
        <v>1792</v>
      </c>
      <c r="Y265" t="n">
        <v>8440</v>
      </c>
    </row>
    <row r="266">
      <c r="A266" t="n">
        <v>265</v>
      </c>
      <c r="B266" t="n">
        <v>0</v>
      </c>
      <c r="C266" t="n">
        <v>52588</v>
      </c>
      <c r="D266" t="n">
        <v>190818</v>
      </c>
      <c r="E266" t="n">
        <v>2484660</v>
      </c>
      <c r="F266" t="n">
        <v>31769028</v>
      </c>
      <c r="G266" t="n">
        <v>396141159</v>
      </c>
      <c r="H266" t="n">
        <v>4834329092</v>
      </c>
      <c r="I266" t="n">
        <v>57568226744</v>
      </c>
      <c r="J266" t="n">
        <v>2000</v>
      </c>
      <c r="K266" t="n">
        <v>37630</v>
      </c>
      <c r="L266" t="n">
        <v>2500</v>
      </c>
      <c r="M266" t="n">
        <v>1100</v>
      </c>
      <c r="N266" t="n">
        <v>2325</v>
      </c>
      <c r="O266" t="n">
        <v>3650</v>
      </c>
      <c r="P266" t="n">
        <v>4975</v>
      </c>
      <c r="Q266" t="n">
        <v>6300</v>
      </c>
      <c r="R266" t="n">
        <v>7625</v>
      </c>
      <c r="S266" t="n">
        <v>8950</v>
      </c>
      <c r="T266" t="n">
        <v>10275</v>
      </c>
      <c r="U266" t="n">
        <v>11600</v>
      </c>
      <c r="V266" t="n">
        <v>6203</v>
      </c>
      <c r="W266" t="n">
        <v>2060</v>
      </c>
      <c r="X266" t="n">
        <v>1795</v>
      </c>
      <c r="Y266" t="n">
        <v>8450</v>
      </c>
    </row>
    <row r="267">
      <c r="A267" t="n">
        <v>266</v>
      </c>
      <c r="B267" t="n">
        <v>0</v>
      </c>
      <c r="C267" t="n">
        <v>53377</v>
      </c>
      <c r="D267" t="n">
        <v>194635</v>
      </c>
      <c r="E267" t="n">
        <v>2559200</v>
      </c>
      <c r="F267" t="n">
        <v>33039790</v>
      </c>
      <c r="G267" t="n">
        <v>415948217</v>
      </c>
      <c r="H267" t="n">
        <v>5124388838</v>
      </c>
      <c r="I267" t="n">
        <v>61598002617</v>
      </c>
      <c r="J267" t="n">
        <v>2000</v>
      </c>
      <c r="K267" t="n">
        <v>38007</v>
      </c>
      <c r="L267" t="n">
        <v>2500</v>
      </c>
      <c r="M267" t="n">
        <v>1100</v>
      </c>
      <c r="N267" t="n">
        <v>2330</v>
      </c>
      <c r="O267" t="n">
        <v>3660</v>
      </c>
      <c r="P267" t="n">
        <v>4990</v>
      </c>
      <c r="Q267" t="n">
        <v>6320</v>
      </c>
      <c r="R267" t="n">
        <v>7650</v>
      </c>
      <c r="S267" t="n">
        <v>8980</v>
      </c>
      <c r="T267" t="n">
        <v>10310</v>
      </c>
      <c r="U267" t="n">
        <v>11640</v>
      </c>
      <c r="V267" t="n">
        <v>6239</v>
      </c>
      <c r="W267" t="n">
        <v>2064</v>
      </c>
      <c r="X267" t="n">
        <v>1798</v>
      </c>
      <c r="Y267" t="n">
        <v>8460</v>
      </c>
    </row>
    <row r="268">
      <c r="A268" t="n">
        <v>267</v>
      </c>
      <c r="B268" t="n">
        <v>0</v>
      </c>
      <c r="C268" t="n">
        <v>54178</v>
      </c>
      <c r="D268" t="n">
        <v>198528</v>
      </c>
      <c r="E268" t="n">
        <v>2635976</v>
      </c>
      <c r="F268" t="n">
        <v>34361382</v>
      </c>
      <c r="G268" t="n">
        <v>436745628</v>
      </c>
      <c r="H268" t="n">
        <v>5431852169</v>
      </c>
      <c r="I268" t="n">
        <v>65909862801</v>
      </c>
      <c r="J268" t="n">
        <v>2000</v>
      </c>
      <c r="K268" t="n">
        <v>38388</v>
      </c>
      <c r="L268" t="n">
        <v>2500</v>
      </c>
      <c r="M268" t="n">
        <v>1100</v>
      </c>
      <c r="N268" t="n">
        <v>2335</v>
      </c>
      <c r="O268" t="n">
        <v>3670</v>
      </c>
      <c r="P268" t="n">
        <v>5005</v>
      </c>
      <c r="Q268" t="n">
        <v>6340</v>
      </c>
      <c r="R268" t="n">
        <v>7675</v>
      </c>
      <c r="S268" t="n">
        <v>9010</v>
      </c>
      <c r="T268" t="n">
        <v>10345</v>
      </c>
      <c r="U268" t="n">
        <v>11680</v>
      </c>
      <c r="V268" t="n">
        <v>6275</v>
      </c>
      <c r="W268" t="n">
        <v>2068</v>
      </c>
      <c r="X268" t="n">
        <v>1801</v>
      </c>
      <c r="Y268" t="n">
        <v>8470</v>
      </c>
    </row>
    <row r="269">
      <c r="A269" t="n">
        <v>268</v>
      </c>
      <c r="B269" t="n">
        <v>0</v>
      </c>
      <c r="C269" t="n">
        <v>54991</v>
      </c>
      <c r="D269" t="n">
        <v>202499</v>
      </c>
      <c r="E269" t="n">
        <v>2715056</v>
      </c>
      <c r="F269" t="n">
        <v>35735838</v>
      </c>
      <c r="G269" t="n">
        <v>458582910</v>
      </c>
      <c r="H269" t="n">
        <v>5757763300</v>
      </c>
      <c r="I269" t="n">
        <v>70523553198</v>
      </c>
      <c r="J269" t="n">
        <v>2000</v>
      </c>
      <c r="K269" t="n">
        <v>38772</v>
      </c>
      <c r="L269" t="n">
        <v>2500</v>
      </c>
      <c r="M269" t="n">
        <v>1100</v>
      </c>
      <c r="N269" t="n">
        <v>2340</v>
      </c>
      <c r="O269" t="n">
        <v>3680</v>
      </c>
      <c r="P269" t="n">
        <v>5020</v>
      </c>
      <c r="Q269" t="n">
        <v>6360</v>
      </c>
      <c r="R269" t="n">
        <v>7700</v>
      </c>
      <c r="S269" t="n">
        <v>9040</v>
      </c>
      <c r="T269" t="n">
        <v>10380</v>
      </c>
      <c r="U269" t="n">
        <v>11720</v>
      </c>
      <c r="V269" t="n">
        <v>6311</v>
      </c>
      <c r="W269" t="n">
        <v>2072</v>
      </c>
      <c r="X269" t="n">
        <v>1804</v>
      </c>
      <c r="Y269" t="n">
        <v>8480</v>
      </c>
    </row>
    <row r="270">
      <c r="A270" t="n">
        <v>269</v>
      </c>
      <c r="B270" t="n">
        <v>0</v>
      </c>
      <c r="C270" t="n">
        <v>55816</v>
      </c>
      <c r="D270" t="n">
        <v>206549</v>
      </c>
      <c r="E270" t="n">
        <v>2796508</v>
      </c>
      <c r="F270" t="n">
        <v>37165272</v>
      </c>
      <c r="G270" t="n">
        <v>481512056</v>
      </c>
      <c r="H270" t="n">
        <v>6103229098</v>
      </c>
      <c r="I270" t="n">
        <v>75460201922</v>
      </c>
      <c r="J270" t="n">
        <v>2000</v>
      </c>
      <c r="K270" t="n">
        <v>39160</v>
      </c>
      <c r="L270" t="n">
        <v>2500</v>
      </c>
      <c r="M270" t="n">
        <v>1100</v>
      </c>
      <c r="N270" t="n">
        <v>2345</v>
      </c>
      <c r="O270" t="n">
        <v>3690</v>
      </c>
      <c r="P270" t="n">
        <v>5035</v>
      </c>
      <c r="Q270" t="n">
        <v>6380</v>
      </c>
      <c r="R270" t="n">
        <v>7725</v>
      </c>
      <c r="S270" t="n">
        <v>9070</v>
      </c>
      <c r="T270" t="n">
        <v>10415</v>
      </c>
      <c r="U270" t="n">
        <v>11760</v>
      </c>
      <c r="V270" t="n">
        <v>6347</v>
      </c>
      <c r="W270" t="n">
        <v>2076</v>
      </c>
      <c r="X270" t="n">
        <v>1807</v>
      </c>
      <c r="Y270" t="n">
        <v>8490</v>
      </c>
    </row>
    <row r="271">
      <c r="A271" t="n">
        <v>270</v>
      </c>
      <c r="B271" t="n">
        <v>0</v>
      </c>
      <c r="C271" t="n">
        <v>56654</v>
      </c>
      <c r="D271" t="n">
        <v>210680</v>
      </c>
      <c r="E271" t="n">
        <v>2880404</v>
      </c>
      <c r="F271" t="n">
        <v>38651883</v>
      </c>
      <c r="G271" t="n">
        <v>505587659</v>
      </c>
      <c r="H271" t="n">
        <v>6469422844</v>
      </c>
      <c r="I271" t="n">
        <v>80742416057</v>
      </c>
      <c r="J271" t="n">
        <v>2000</v>
      </c>
      <c r="K271" t="n">
        <v>39552</v>
      </c>
      <c r="L271" t="n">
        <v>2500</v>
      </c>
      <c r="M271" t="n">
        <v>1100</v>
      </c>
      <c r="N271" t="n">
        <v>2350</v>
      </c>
      <c r="O271" t="n">
        <v>3700</v>
      </c>
      <c r="P271" t="n">
        <v>5050</v>
      </c>
      <c r="Q271" t="n">
        <v>6400</v>
      </c>
      <c r="R271" t="n">
        <v>7750</v>
      </c>
      <c r="S271" t="n">
        <v>9100</v>
      </c>
      <c r="T271" t="n">
        <v>10450</v>
      </c>
      <c r="U271" t="n">
        <v>11800</v>
      </c>
      <c r="V271" t="n">
        <v>6383</v>
      </c>
      <c r="W271" t="n">
        <v>2080</v>
      </c>
      <c r="X271" t="n">
        <v>1810</v>
      </c>
      <c r="Y271" t="n">
        <v>8500</v>
      </c>
    </row>
    <row r="272">
      <c r="A272" t="n">
        <v>271</v>
      </c>
      <c r="B272" t="n">
        <v>0</v>
      </c>
      <c r="C272" t="n">
        <v>57504</v>
      </c>
      <c r="D272" t="n">
        <v>214894</v>
      </c>
      <c r="E272" t="n">
        <v>2966817</v>
      </c>
      <c r="F272" t="n">
        <v>40197959</v>
      </c>
      <c r="G272" t="n">
        <v>530867042</v>
      </c>
      <c r="H272" t="n">
        <v>6857588215</v>
      </c>
      <c r="I272" t="n">
        <v>86394385181</v>
      </c>
      <c r="J272" t="n">
        <v>2000</v>
      </c>
      <c r="K272" t="n">
        <v>39948</v>
      </c>
      <c r="L272" t="n">
        <v>2500</v>
      </c>
      <c r="M272" t="n">
        <v>1100</v>
      </c>
      <c r="N272" t="n">
        <v>2355</v>
      </c>
      <c r="O272" t="n">
        <v>3710</v>
      </c>
      <c r="P272" t="n">
        <v>5065</v>
      </c>
      <c r="Q272" t="n">
        <v>6420</v>
      </c>
      <c r="R272" t="n">
        <v>7775</v>
      </c>
      <c r="S272" t="n">
        <v>9130</v>
      </c>
      <c r="T272" t="n">
        <v>10485</v>
      </c>
      <c r="U272" t="n">
        <v>11840</v>
      </c>
      <c r="V272" t="n">
        <v>6419</v>
      </c>
      <c r="W272" t="n">
        <v>2084</v>
      </c>
      <c r="X272" t="n">
        <v>1813</v>
      </c>
      <c r="Y272" t="n">
        <v>8510</v>
      </c>
    </row>
    <row r="273">
      <c r="A273" t="n">
        <v>272</v>
      </c>
      <c r="B273" t="n">
        <v>0</v>
      </c>
      <c r="C273" t="n">
        <v>58367</v>
      </c>
      <c r="D273" t="n">
        <v>219192</v>
      </c>
      <c r="E273" t="n">
        <v>3055822</v>
      </c>
      <c r="F273" t="n">
        <v>41805878</v>
      </c>
      <c r="G273" t="n">
        <v>557410395</v>
      </c>
      <c r="H273" t="n">
        <v>7269043508</v>
      </c>
      <c r="I273" t="n">
        <v>92441992144</v>
      </c>
      <c r="J273" t="n">
        <v>2000</v>
      </c>
      <c r="K273" t="n">
        <v>40348</v>
      </c>
      <c r="L273" t="n">
        <v>2500</v>
      </c>
      <c r="M273" t="n">
        <v>1100</v>
      </c>
      <c r="N273" t="n">
        <v>2360</v>
      </c>
      <c r="O273" t="n">
        <v>3720</v>
      </c>
      <c r="P273" t="n">
        <v>5080</v>
      </c>
      <c r="Q273" t="n">
        <v>6440</v>
      </c>
      <c r="R273" t="n">
        <v>7800</v>
      </c>
      <c r="S273" t="n">
        <v>9160</v>
      </c>
      <c r="T273" t="n">
        <v>10520</v>
      </c>
      <c r="U273" t="n">
        <v>11880</v>
      </c>
      <c r="V273" t="n">
        <v>6456</v>
      </c>
      <c r="W273" t="n">
        <v>2088</v>
      </c>
      <c r="X273" t="n">
        <v>1816</v>
      </c>
      <c r="Y273" t="n">
        <v>8520</v>
      </c>
    </row>
    <row r="274">
      <c r="A274" t="n">
        <v>273</v>
      </c>
      <c r="B274" t="n">
        <v>0</v>
      </c>
      <c r="C274" t="n">
        <v>59243</v>
      </c>
      <c r="D274" t="n">
        <v>223576</v>
      </c>
      <c r="E274" t="n">
        <v>3147497</v>
      </c>
      <c r="F274" t="n">
        <v>43478114</v>
      </c>
      <c r="G274" t="n">
        <v>585280915</v>
      </c>
      <c r="H274" t="n">
        <v>7705186119</v>
      </c>
      <c r="I274" t="n">
        <v>98912931595</v>
      </c>
      <c r="J274" t="n">
        <v>2000</v>
      </c>
      <c r="K274" t="n">
        <v>40752</v>
      </c>
      <c r="L274" t="n">
        <v>2500</v>
      </c>
      <c r="M274" t="n">
        <v>1100</v>
      </c>
      <c r="N274" t="n">
        <v>2365</v>
      </c>
      <c r="O274" t="n">
        <v>3730</v>
      </c>
      <c r="P274" t="n">
        <v>5095</v>
      </c>
      <c r="Q274" t="n">
        <v>6460</v>
      </c>
      <c r="R274" t="n">
        <v>7825</v>
      </c>
      <c r="S274" t="n">
        <v>9190</v>
      </c>
      <c r="T274" t="n">
        <v>10555</v>
      </c>
      <c r="U274" t="n">
        <v>11920</v>
      </c>
      <c r="V274" t="n">
        <v>6493</v>
      </c>
      <c r="W274" t="n">
        <v>2092</v>
      </c>
      <c r="X274" t="n">
        <v>1819</v>
      </c>
      <c r="Y274" t="n">
        <v>8530</v>
      </c>
    </row>
    <row r="275">
      <c r="A275" t="n">
        <v>274</v>
      </c>
      <c r="B275" t="n">
        <v>0</v>
      </c>
      <c r="C275" t="n">
        <v>60132</v>
      </c>
      <c r="D275" t="n">
        <v>228048</v>
      </c>
      <c r="E275" t="n">
        <v>3241922</v>
      </c>
      <c r="F275" t="n">
        <v>45217239</v>
      </c>
      <c r="G275" t="n">
        <v>614544961</v>
      </c>
      <c r="H275" t="n">
        <v>8167497287</v>
      </c>
      <c r="I275" t="n">
        <v>105836836807</v>
      </c>
      <c r="J275" t="n">
        <v>2000</v>
      </c>
      <c r="K275" t="n">
        <v>41160</v>
      </c>
      <c r="L275" t="n">
        <v>2500</v>
      </c>
      <c r="M275" t="n">
        <v>1100</v>
      </c>
      <c r="N275" t="n">
        <v>2370</v>
      </c>
      <c r="O275" t="n">
        <v>3740</v>
      </c>
      <c r="P275" t="n">
        <v>5110</v>
      </c>
      <c r="Q275" t="n">
        <v>6480</v>
      </c>
      <c r="R275" t="n">
        <v>7850</v>
      </c>
      <c r="S275" t="n">
        <v>9220</v>
      </c>
      <c r="T275" t="n">
        <v>10590</v>
      </c>
      <c r="U275" t="n">
        <v>11960</v>
      </c>
      <c r="V275" t="n">
        <v>6530</v>
      </c>
      <c r="W275" t="n">
        <v>2096</v>
      </c>
      <c r="X275" t="n">
        <v>1822</v>
      </c>
      <c r="Y275" t="n">
        <v>8540</v>
      </c>
    </row>
    <row r="276">
      <c r="A276" t="n">
        <v>275</v>
      </c>
      <c r="B276" t="n">
        <v>0</v>
      </c>
      <c r="C276" t="n">
        <v>61034</v>
      </c>
      <c r="D276" t="n">
        <v>232609</v>
      </c>
      <c r="E276" t="n">
        <v>3339180</v>
      </c>
      <c r="F276" t="n">
        <v>47025929</v>
      </c>
      <c r="G276" t="n">
        <v>645272210</v>
      </c>
      <c r="H276" t="n">
        <v>8657547125</v>
      </c>
      <c r="I276" t="n">
        <v>113245415384</v>
      </c>
      <c r="J276" t="n">
        <v>2000</v>
      </c>
      <c r="K276" t="n">
        <v>41572</v>
      </c>
      <c r="L276" t="n">
        <v>2500</v>
      </c>
      <c r="M276" t="n">
        <v>1100</v>
      </c>
      <c r="N276" t="n">
        <v>2375</v>
      </c>
      <c r="O276" t="n">
        <v>3750</v>
      </c>
      <c r="P276" t="n">
        <v>5125</v>
      </c>
      <c r="Q276" t="n">
        <v>6500</v>
      </c>
      <c r="R276" t="n">
        <v>7875</v>
      </c>
      <c r="S276" t="n">
        <v>9250</v>
      </c>
      <c r="T276" t="n">
        <v>10625</v>
      </c>
      <c r="U276" t="n">
        <v>12000</v>
      </c>
      <c r="V276" t="n">
        <v>6567</v>
      </c>
      <c r="W276" t="n">
        <v>2100</v>
      </c>
      <c r="X276" t="n">
        <v>1825</v>
      </c>
      <c r="Y276" t="n">
        <v>8550</v>
      </c>
    </row>
    <row r="277">
      <c r="A277" t="n">
        <v>276</v>
      </c>
      <c r="B277" t="n">
        <v>0</v>
      </c>
      <c r="C277" t="n">
        <v>61950</v>
      </c>
      <c r="D277" t="n">
        <v>237262</v>
      </c>
      <c r="E277" t="n">
        <v>3439356</v>
      </c>
      <c r="F277" t="n">
        <v>48906967</v>
      </c>
      <c r="G277" t="n">
        <v>677535821</v>
      </c>
      <c r="H277" t="n">
        <v>9176999953</v>
      </c>
      <c r="I277" t="n">
        <v>121172594461</v>
      </c>
      <c r="J277" t="n">
        <v>2000</v>
      </c>
      <c r="K277" t="n">
        <v>41988</v>
      </c>
      <c r="L277" t="n">
        <v>2500</v>
      </c>
      <c r="M277" t="n">
        <v>1100</v>
      </c>
      <c r="N277" t="n">
        <v>2380</v>
      </c>
      <c r="O277" t="n">
        <v>3760</v>
      </c>
      <c r="P277" t="n">
        <v>5140</v>
      </c>
      <c r="Q277" t="n">
        <v>6520</v>
      </c>
      <c r="R277" t="n">
        <v>7900</v>
      </c>
      <c r="S277" t="n">
        <v>9280</v>
      </c>
      <c r="T277" t="n">
        <v>10660</v>
      </c>
      <c r="U277" t="n">
        <v>12040</v>
      </c>
      <c r="V277" t="n">
        <v>6604</v>
      </c>
      <c r="W277" t="n">
        <v>2104</v>
      </c>
      <c r="X277" t="n">
        <v>1828</v>
      </c>
      <c r="Y277" t="n">
        <v>8560</v>
      </c>
    </row>
    <row r="278">
      <c r="A278" t="n">
        <v>277</v>
      </c>
      <c r="B278" t="n">
        <v>0</v>
      </c>
      <c r="C278" t="n">
        <v>62880</v>
      </c>
      <c r="D278" t="n">
        <v>242008</v>
      </c>
      <c r="E278" t="n">
        <v>3542537</v>
      </c>
      <c r="F278" t="n">
        <v>50863246</v>
      </c>
      <c r="G278" t="n">
        <v>711412613</v>
      </c>
      <c r="H278" t="n">
        <v>9727619951</v>
      </c>
      <c r="I278" t="n">
        <v>129654676074</v>
      </c>
      <c r="J278" t="n">
        <v>2000</v>
      </c>
      <c r="K278" t="n">
        <v>42408</v>
      </c>
      <c r="L278" t="n">
        <v>2500</v>
      </c>
      <c r="M278" t="n">
        <v>1100</v>
      </c>
      <c r="N278" t="n">
        <v>2385</v>
      </c>
      <c r="O278" t="n">
        <v>3770</v>
      </c>
      <c r="P278" t="n">
        <v>5155</v>
      </c>
      <c r="Q278" t="n">
        <v>6540</v>
      </c>
      <c r="R278" t="n">
        <v>7925</v>
      </c>
      <c r="S278" t="n">
        <v>9310</v>
      </c>
      <c r="T278" t="n">
        <v>10695</v>
      </c>
      <c r="U278" t="n">
        <v>12080</v>
      </c>
      <c r="V278" t="n">
        <v>6642</v>
      </c>
      <c r="W278" t="n">
        <v>2108</v>
      </c>
      <c r="X278" t="n">
        <v>1831</v>
      </c>
      <c r="Y278" t="n">
        <v>8570</v>
      </c>
    </row>
    <row r="279">
      <c r="A279" t="n">
        <v>278</v>
      </c>
      <c r="B279" t="n">
        <v>0</v>
      </c>
      <c r="C279" t="n">
        <v>63824</v>
      </c>
      <c r="D279" t="n">
        <v>246849</v>
      </c>
      <c r="E279" t="n">
        <v>3648814</v>
      </c>
      <c r="F279" t="n">
        <v>52897776</v>
      </c>
      <c r="G279" t="n">
        <v>746983244</v>
      </c>
      <c r="H279" t="n">
        <v>10311277149</v>
      </c>
      <c r="I279" t="n">
        <v>138730503400</v>
      </c>
      <c r="J279" t="n">
        <v>2000</v>
      </c>
      <c r="K279" t="n">
        <v>42833</v>
      </c>
      <c r="L279" t="n">
        <v>2500</v>
      </c>
      <c r="M279" t="n">
        <v>1100</v>
      </c>
      <c r="N279" t="n">
        <v>2390</v>
      </c>
      <c r="O279" t="n">
        <v>3780</v>
      </c>
      <c r="P279" t="n">
        <v>5170</v>
      </c>
      <c r="Q279" t="n">
        <v>6560</v>
      </c>
      <c r="R279" t="n">
        <v>7950</v>
      </c>
      <c r="S279" t="n">
        <v>9340</v>
      </c>
      <c r="T279" t="n">
        <v>10730</v>
      </c>
      <c r="U279" t="n">
        <v>12120</v>
      </c>
      <c r="V279" t="n">
        <v>6680</v>
      </c>
      <c r="W279" t="n">
        <v>2112</v>
      </c>
      <c r="X279" t="n">
        <v>1834</v>
      </c>
      <c r="Y279" t="n">
        <v>8580</v>
      </c>
    </row>
    <row r="280">
      <c r="A280" t="n">
        <v>279</v>
      </c>
      <c r="B280" t="n">
        <v>0</v>
      </c>
      <c r="C280" t="n">
        <v>64782</v>
      </c>
      <c r="D280" t="n">
        <v>251786</v>
      </c>
      <c r="E280" t="n">
        <v>3758279</v>
      </c>
      <c r="F280" t="n">
        <v>55013688</v>
      </c>
      <c r="G280" t="n">
        <v>784332407</v>
      </c>
      <c r="H280" t="n">
        <v>10929953778</v>
      </c>
      <c r="I280" t="n">
        <v>148441638638</v>
      </c>
      <c r="J280" t="n">
        <v>2000</v>
      </c>
      <c r="K280" t="n">
        <v>43262</v>
      </c>
      <c r="L280" t="n">
        <v>2500</v>
      </c>
      <c r="M280" t="n">
        <v>1100</v>
      </c>
      <c r="N280" t="n">
        <v>2395</v>
      </c>
      <c r="O280" t="n">
        <v>3790</v>
      </c>
      <c r="P280" t="n">
        <v>5185</v>
      </c>
      <c r="Q280" t="n">
        <v>6580</v>
      </c>
      <c r="R280" t="n">
        <v>7975</v>
      </c>
      <c r="S280" t="n">
        <v>9370</v>
      </c>
      <c r="T280" t="n">
        <v>10765</v>
      </c>
      <c r="U280" t="n">
        <v>12160</v>
      </c>
      <c r="V280" t="n">
        <v>6718</v>
      </c>
      <c r="W280" t="n">
        <v>2116</v>
      </c>
      <c r="X280" t="n">
        <v>1837</v>
      </c>
      <c r="Y280" t="n">
        <v>8590</v>
      </c>
    </row>
    <row r="281">
      <c r="A281" t="n">
        <v>280</v>
      </c>
      <c r="B281" t="n">
        <v>0</v>
      </c>
      <c r="C281" t="n">
        <v>65754</v>
      </c>
      <c r="D281" t="n">
        <v>256822</v>
      </c>
      <c r="E281" t="n">
        <v>3871028</v>
      </c>
      <c r="F281" t="n">
        <v>57214236</v>
      </c>
      <c r="G281" t="n">
        <v>823549028</v>
      </c>
      <c r="H281" t="n">
        <v>11585751005</v>
      </c>
      <c r="I281" t="n">
        <v>158832553343</v>
      </c>
      <c r="J281" t="n">
        <v>2000</v>
      </c>
      <c r="K281" t="n">
        <v>43695</v>
      </c>
      <c r="L281" t="n">
        <v>2500</v>
      </c>
      <c r="M281" t="n">
        <v>1100</v>
      </c>
      <c r="N281" t="n">
        <v>2400</v>
      </c>
      <c r="O281" t="n">
        <v>3800</v>
      </c>
      <c r="P281" t="n">
        <v>5200</v>
      </c>
      <c r="Q281" t="n">
        <v>6600</v>
      </c>
      <c r="R281" t="n">
        <v>8000</v>
      </c>
      <c r="S281" t="n">
        <v>9400</v>
      </c>
      <c r="T281" t="n">
        <v>10800</v>
      </c>
      <c r="U281" t="n">
        <v>12200</v>
      </c>
      <c r="V281" t="n">
        <v>6756</v>
      </c>
      <c r="W281" t="n">
        <v>2120</v>
      </c>
      <c r="X281" t="n">
        <v>1840</v>
      </c>
      <c r="Y281" t="n">
        <v>8600</v>
      </c>
    </row>
    <row r="282">
      <c r="A282" t="n">
        <v>281</v>
      </c>
      <c r="B282" t="n">
        <v>0</v>
      </c>
      <c r="C282" t="n">
        <v>66741</v>
      </c>
      <c r="D282" t="n">
        <v>261959</v>
      </c>
      <c r="E282" t="n">
        <v>3987159</v>
      </c>
      <c r="F282" t="n">
        <v>59502806</v>
      </c>
      <c r="G282" t="n">
        <v>864726480</v>
      </c>
      <c r="H282" t="n">
        <v>12280896066</v>
      </c>
      <c r="I282" t="n">
        <v>169950832078</v>
      </c>
      <c r="J282" t="n">
        <v>2000</v>
      </c>
      <c r="K282" t="n">
        <v>44132</v>
      </c>
      <c r="L282" t="n">
        <v>2500</v>
      </c>
      <c r="M282" t="n">
        <v>1100</v>
      </c>
      <c r="N282" t="n">
        <v>2405</v>
      </c>
      <c r="O282" t="n">
        <v>3810</v>
      </c>
      <c r="P282" t="n">
        <v>5215</v>
      </c>
      <c r="Q282" t="n">
        <v>6620</v>
      </c>
      <c r="R282" t="n">
        <v>8025</v>
      </c>
      <c r="S282" t="n">
        <v>9430</v>
      </c>
      <c r="T282" t="n">
        <v>10835</v>
      </c>
      <c r="U282" t="n">
        <v>12240</v>
      </c>
      <c r="V282" t="n">
        <v>6794</v>
      </c>
      <c r="W282" t="n">
        <v>2124</v>
      </c>
      <c r="X282" t="n">
        <v>1843</v>
      </c>
      <c r="Y282" t="n">
        <v>8610</v>
      </c>
    </row>
    <row r="283">
      <c r="A283" t="n">
        <v>282</v>
      </c>
      <c r="B283" t="n">
        <v>0</v>
      </c>
      <c r="C283" t="n">
        <v>67743</v>
      </c>
      <c r="D283" t="n">
        <v>267199</v>
      </c>
      <c r="E283" t="n">
        <v>4106774</v>
      </c>
      <c r="F283" t="n">
        <v>61882919</v>
      </c>
      <c r="G283" t="n">
        <v>907962804</v>
      </c>
      <c r="H283" t="n">
        <v>13017749830</v>
      </c>
      <c r="I283" t="n">
        <v>181847390324</v>
      </c>
      <c r="J283" t="n">
        <v>2000</v>
      </c>
      <c r="K283" t="n">
        <v>44574</v>
      </c>
      <c r="L283" t="n">
        <v>2500</v>
      </c>
      <c r="M283" t="n">
        <v>1100</v>
      </c>
      <c r="N283" t="n">
        <v>2410</v>
      </c>
      <c r="O283" t="n">
        <v>3820</v>
      </c>
      <c r="P283" t="n">
        <v>5230</v>
      </c>
      <c r="Q283" t="n">
        <v>6640</v>
      </c>
      <c r="R283" t="n">
        <v>8050</v>
      </c>
      <c r="S283" t="n">
        <v>9460</v>
      </c>
      <c r="T283" t="n">
        <v>10870</v>
      </c>
      <c r="U283" t="n">
        <v>12280</v>
      </c>
      <c r="V283" t="n">
        <v>6832</v>
      </c>
      <c r="W283" t="n">
        <v>2128</v>
      </c>
      <c r="X283" t="n">
        <v>1846</v>
      </c>
      <c r="Y283" t="n">
        <v>8620</v>
      </c>
    </row>
    <row r="284">
      <c r="A284" t="n">
        <v>283</v>
      </c>
      <c r="B284" t="n">
        <v>0</v>
      </c>
      <c r="C284" t="n">
        <v>68760</v>
      </c>
      <c r="D284" t="n">
        <v>272543</v>
      </c>
      <c r="E284" t="n">
        <v>4229978</v>
      </c>
      <c r="F284" t="n">
        <v>64358236</v>
      </c>
      <c r="G284" t="n">
        <v>953360945</v>
      </c>
      <c r="H284" t="n">
        <v>13798814820</v>
      </c>
      <c r="I284" t="n">
        <v>194576707647</v>
      </c>
      <c r="J284" t="n">
        <v>2000</v>
      </c>
      <c r="K284" t="n">
        <v>45020</v>
      </c>
      <c r="L284" t="n">
        <v>2500</v>
      </c>
      <c r="M284" t="n">
        <v>1100</v>
      </c>
      <c r="N284" t="n">
        <v>2415</v>
      </c>
      <c r="O284" t="n">
        <v>3830</v>
      </c>
      <c r="P284" t="n">
        <v>5245</v>
      </c>
      <c r="Q284" t="n">
        <v>6660</v>
      </c>
      <c r="R284" t="n">
        <v>8075</v>
      </c>
      <c r="S284" t="n">
        <v>9490</v>
      </c>
      <c r="T284" t="n">
        <v>10905</v>
      </c>
      <c r="U284" t="n">
        <v>12320</v>
      </c>
      <c r="V284" t="n">
        <v>6871</v>
      </c>
      <c r="W284" t="n">
        <v>2132</v>
      </c>
      <c r="X284" t="n">
        <v>1849</v>
      </c>
      <c r="Y284" t="n">
        <v>8630</v>
      </c>
    </row>
    <row r="285">
      <c r="A285" t="n">
        <v>284</v>
      </c>
      <c r="B285" t="n">
        <v>0</v>
      </c>
      <c r="C285" t="n">
        <v>69792</v>
      </c>
      <c r="D285" t="n">
        <v>277994</v>
      </c>
      <c r="E285" t="n">
        <v>4356878</v>
      </c>
      <c r="F285" t="n">
        <v>66932566</v>
      </c>
      <c r="G285" t="n">
        <v>1001028993</v>
      </c>
      <c r="H285" t="n">
        <v>14626743710</v>
      </c>
      <c r="I285" t="n">
        <v>208197077183</v>
      </c>
      <c r="J285" t="n">
        <v>2000</v>
      </c>
      <c r="K285" t="n">
        <v>45471</v>
      </c>
      <c r="L285" t="n">
        <v>2500</v>
      </c>
      <c r="M285" t="n">
        <v>1100</v>
      </c>
      <c r="N285" t="n">
        <v>2420</v>
      </c>
      <c r="O285" t="n">
        <v>3840</v>
      </c>
      <c r="P285" t="n">
        <v>5260</v>
      </c>
      <c r="Q285" t="n">
        <v>6680</v>
      </c>
      <c r="R285" t="n">
        <v>8100</v>
      </c>
      <c r="S285" t="n">
        <v>9520</v>
      </c>
      <c r="T285" t="n">
        <v>10940</v>
      </c>
      <c r="U285" t="n">
        <v>12360</v>
      </c>
      <c r="V285" t="n">
        <v>6910</v>
      </c>
      <c r="W285" t="n">
        <v>2136</v>
      </c>
      <c r="X285" t="n">
        <v>1852</v>
      </c>
      <c r="Y285" t="n">
        <v>8640</v>
      </c>
    </row>
    <row r="286">
      <c r="A286" t="n">
        <v>285</v>
      </c>
      <c r="B286" t="n">
        <v>0</v>
      </c>
      <c r="C286" t="n">
        <v>70839</v>
      </c>
      <c r="D286" t="n">
        <v>283554</v>
      </c>
      <c r="E286" t="n">
        <v>4487585</v>
      </c>
      <c r="F286" t="n">
        <v>69609869</v>
      </c>
      <c r="G286" t="n">
        <v>1051080443</v>
      </c>
      <c r="H286" t="n">
        <v>15504348333</v>
      </c>
      <c r="I286" t="n">
        <v>222770872586</v>
      </c>
      <c r="J286" t="n">
        <v>2000</v>
      </c>
      <c r="K286" t="n">
        <v>45926</v>
      </c>
      <c r="L286" t="n">
        <v>2500</v>
      </c>
      <c r="M286" t="n">
        <v>1100</v>
      </c>
      <c r="N286" t="n">
        <v>2425</v>
      </c>
      <c r="O286" t="n">
        <v>3850</v>
      </c>
      <c r="P286" t="n">
        <v>5275</v>
      </c>
      <c r="Q286" t="n">
        <v>6700</v>
      </c>
      <c r="R286" t="n">
        <v>8125</v>
      </c>
      <c r="S286" t="n">
        <v>9550</v>
      </c>
      <c r="T286" t="n">
        <v>10975</v>
      </c>
      <c r="U286" t="n">
        <v>12400</v>
      </c>
      <c r="V286" t="n">
        <v>6949</v>
      </c>
      <c r="W286" t="n">
        <v>2140</v>
      </c>
      <c r="X286" t="n">
        <v>1855</v>
      </c>
      <c r="Y286" t="n">
        <v>8650</v>
      </c>
    </row>
    <row r="287">
      <c r="A287" t="n">
        <v>286</v>
      </c>
      <c r="B287" t="n">
        <v>0</v>
      </c>
      <c r="C287" t="n">
        <v>71902</v>
      </c>
      <c r="D287" t="n">
        <v>289226</v>
      </c>
      <c r="E287" t="n">
        <v>4622213</v>
      </c>
      <c r="F287" t="n">
        <v>72394264</v>
      </c>
      <c r="G287" t="n">
        <v>1103634466</v>
      </c>
      <c r="H287" t="n">
        <v>16434609233</v>
      </c>
      <c r="I287" t="n">
        <v>238364833668</v>
      </c>
      <c r="J287" t="n">
        <v>2000</v>
      </c>
      <c r="K287" t="n">
        <v>46386</v>
      </c>
      <c r="L287" t="n">
        <v>2500</v>
      </c>
      <c r="M287" t="n">
        <v>1100</v>
      </c>
      <c r="N287" t="n">
        <v>2430</v>
      </c>
      <c r="O287" t="n">
        <v>3860</v>
      </c>
      <c r="P287" t="n">
        <v>5290</v>
      </c>
      <c r="Q287" t="n">
        <v>6720</v>
      </c>
      <c r="R287" t="n">
        <v>8150</v>
      </c>
      <c r="S287" t="n">
        <v>9580</v>
      </c>
      <c r="T287" t="n">
        <v>11010</v>
      </c>
      <c r="U287" t="n">
        <v>12440</v>
      </c>
      <c r="V287" t="n">
        <v>6988</v>
      </c>
      <c r="W287" t="n">
        <v>2144</v>
      </c>
      <c r="X287" t="n">
        <v>1858</v>
      </c>
      <c r="Y287" t="n">
        <v>8660</v>
      </c>
    </row>
    <row r="288">
      <c r="A288" t="n">
        <v>287</v>
      </c>
      <c r="B288" t="n">
        <v>0</v>
      </c>
      <c r="C288" t="n">
        <v>72981</v>
      </c>
      <c r="D288" t="n">
        <v>295011</v>
      </c>
      <c r="E288" t="n">
        <v>4760880</v>
      </c>
      <c r="F288" t="n">
        <v>75290035</v>
      </c>
      <c r="G288" t="n">
        <v>1158816190</v>
      </c>
      <c r="H288" t="n">
        <v>17420685787</v>
      </c>
      <c r="I288" t="n">
        <v>255050372025</v>
      </c>
      <c r="J288" t="n">
        <v>2000</v>
      </c>
      <c r="K288" t="n">
        <v>46850</v>
      </c>
      <c r="L288" t="n">
        <v>2500</v>
      </c>
      <c r="M288" t="n">
        <v>1100</v>
      </c>
      <c r="N288" t="n">
        <v>2435</v>
      </c>
      <c r="O288" t="n">
        <v>3870</v>
      </c>
      <c r="P288" t="n">
        <v>5305</v>
      </c>
      <c r="Q288" t="n">
        <v>6740</v>
      </c>
      <c r="R288" t="n">
        <v>8175</v>
      </c>
      <c r="S288" t="n">
        <v>9610</v>
      </c>
      <c r="T288" t="n">
        <v>11045</v>
      </c>
      <c r="U288" t="n">
        <v>12480</v>
      </c>
      <c r="V288" t="n">
        <v>7027</v>
      </c>
      <c r="W288" t="n">
        <v>2148</v>
      </c>
      <c r="X288" t="n">
        <v>1861</v>
      </c>
      <c r="Y288" t="n">
        <v>8670</v>
      </c>
    </row>
    <row r="289">
      <c r="A289" t="n">
        <v>288</v>
      </c>
      <c r="B289" t="n">
        <v>0</v>
      </c>
      <c r="C289" t="n">
        <v>74076</v>
      </c>
      <c r="D289" t="n">
        <v>300912</v>
      </c>
      <c r="E289" t="n">
        <v>4903707</v>
      </c>
      <c r="F289" t="n">
        <v>78301637</v>
      </c>
      <c r="G289" t="n">
        <v>1216757000</v>
      </c>
      <c r="H289" t="n">
        <v>18465926935</v>
      </c>
      <c r="I289" t="n">
        <v>272903898067</v>
      </c>
      <c r="J289" t="n">
        <v>2000</v>
      </c>
      <c r="K289" t="n">
        <v>47319</v>
      </c>
      <c r="L289" t="n">
        <v>2500</v>
      </c>
      <c r="M289" t="n">
        <v>1100</v>
      </c>
      <c r="N289" t="n">
        <v>2440</v>
      </c>
      <c r="O289" t="n">
        <v>3880</v>
      </c>
      <c r="P289" t="n">
        <v>5320</v>
      </c>
      <c r="Q289" t="n">
        <v>6760</v>
      </c>
      <c r="R289" t="n">
        <v>8200</v>
      </c>
      <c r="S289" t="n">
        <v>9640</v>
      </c>
      <c r="T289" t="n">
        <v>11080</v>
      </c>
      <c r="U289" t="n">
        <v>12520</v>
      </c>
      <c r="V289" t="n">
        <v>7067</v>
      </c>
      <c r="W289" t="n">
        <v>2152</v>
      </c>
      <c r="X289" t="n">
        <v>1864</v>
      </c>
      <c r="Y289" t="n">
        <v>8680</v>
      </c>
    </row>
    <row r="290">
      <c r="A290" t="n">
        <v>289</v>
      </c>
      <c r="B290" t="n">
        <v>0</v>
      </c>
      <c r="C290" t="n">
        <v>75188</v>
      </c>
      <c r="D290" t="n">
        <v>306931</v>
      </c>
      <c r="E290" t="n">
        <v>5050819</v>
      </c>
      <c r="F290" t="n">
        <v>81433703</v>
      </c>
      <c r="G290" t="n">
        <v>1277594850</v>
      </c>
      <c r="H290" t="n">
        <v>19573882552</v>
      </c>
      <c r="I290" t="n">
        <v>292007170932</v>
      </c>
      <c r="J290" t="n">
        <v>2000</v>
      </c>
      <c r="K290" t="n">
        <v>47793</v>
      </c>
      <c r="L290" t="n">
        <v>2500</v>
      </c>
      <c r="M290" t="n">
        <v>1100</v>
      </c>
      <c r="N290" t="n">
        <v>2445</v>
      </c>
      <c r="O290" t="n">
        <v>3890</v>
      </c>
      <c r="P290" t="n">
        <v>5335</v>
      </c>
      <c r="Q290" t="n">
        <v>6780</v>
      </c>
      <c r="R290" t="n">
        <v>8225</v>
      </c>
      <c r="S290" t="n">
        <v>9670</v>
      </c>
      <c r="T290" t="n">
        <v>11115</v>
      </c>
      <c r="U290" t="n">
        <v>12560</v>
      </c>
      <c r="V290" t="n">
        <v>7107</v>
      </c>
      <c r="W290" t="n">
        <v>2156</v>
      </c>
      <c r="X290" t="n">
        <v>1867</v>
      </c>
      <c r="Y290" t="n">
        <v>8690</v>
      </c>
    </row>
    <row r="291">
      <c r="A291" t="n">
        <v>290</v>
      </c>
      <c r="B291" t="n">
        <v>0</v>
      </c>
      <c r="C291" t="n">
        <v>76316</v>
      </c>
      <c r="D291" t="n">
        <v>313070</v>
      </c>
      <c r="E291" t="n">
        <v>5202344</v>
      </c>
      <c r="F291" t="n">
        <v>84691052</v>
      </c>
      <c r="G291" t="n">
        <v>1341474593</v>
      </c>
      <c r="H291" t="n">
        <v>20748315506</v>
      </c>
      <c r="I291" t="n">
        <v>312447672898</v>
      </c>
      <c r="J291" t="n">
        <v>2000</v>
      </c>
      <c r="K291" t="n">
        <v>48271</v>
      </c>
      <c r="L291" t="n">
        <v>2500</v>
      </c>
      <c r="M291" t="n">
        <v>1100</v>
      </c>
      <c r="N291" t="n">
        <v>2450</v>
      </c>
      <c r="O291" t="n">
        <v>3900</v>
      </c>
      <c r="P291" t="n">
        <v>5350</v>
      </c>
      <c r="Q291" t="n">
        <v>6800</v>
      </c>
      <c r="R291" t="n">
        <v>8250</v>
      </c>
      <c r="S291" t="n">
        <v>9700</v>
      </c>
      <c r="T291" t="n">
        <v>11150</v>
      </c>
      <c r="U291" t="n">
        <v>12600</v>
      </c>
      <c r="V291" t="n">
        <v>7147</v>
      </c>
      <c r="W291" t="n">
        <v>2160</v>
      </c>
      <c r="X291" t="n">
        <v>1870</v>
      </c>
      <c r="Y291" t="n">
        <v>8700</v>
      </c>
    </row>
    <row r="292">
      <c r="A292" t="n">
        <v>291</v>
      </c>
      <c r="B292" t="n">
        <v>0</v>
      </c>
      <c r="C292" t="n">
        <v>77461</v>
      </c>
      <c r="D292" t="n">
        <v>319332</v>
      </c>
      <c r="E292" t="n">
        <v>5358415</v>
      </c>
      <c r="F292" t="n">
        <v>88078695</v>
      </c>
      <c r="G292" t="n">
        <v>1408548323</v>
      </c>
      <c r="H292" t="n">
        <v>21993214437</v>
      </c>
      <c r="I292" t="n">
        <v>334319010001</v>
      </c>
      <c r="J292" t="n">
        <v>2000</v>
      </c>
      <c r="K292" t="n">
        <v>48754</v>
      </c>
      <c r="L292" t="n">
        <v>2500</v>
      </c>
      <c r="M292" t="n">
        <v>1100</v>
      </c>
      <c r="N292" t="n">
        <v>2455</v>
      </c>
      <c r="O292" t="n">
        <v>3910</v>
      </c>
      <c r="P292" t="n">
        <v>5365</v>
      </c>
      <c r="Q292" t="n">
        <v>6820</v>
      </c>
      <c r="R292" t="n">
        <v>8275</v>
      </c>
      <c r="S292" t="n">
        <v>9730</v>
      </c>
      <c r="T292" t="n">
        <v>11185</v>
      </c>
      <c r="U292" t="n">
        <v>12640</v>
      </c>
      <c r="V292" t="n">
        <v>7187</v>
      </c>
      <c r="W292" t="n">
        <v>2164</v>
      </c>
      <c r="X292" t="n">
        <v>1873</v>
      </c>
      <c r="Y292" t="n">
        <v>8710</v>
      </c>
    </row>
    <row r="293">
      <c r="A293" t="n">
        <v>292</v>
      </c>
      <c r="B293" t="n">
        <v>0</v>
      </c>
      <c r="C293" t="n">
        <v>78623</v>
      </c>
      <c r="D293" t="n">
        <v>325719</v>
      </c>
      <c r="E293" t="n">
        <v>5519168</v>
      </c>
      <c r="F293" t="n">
        <v>91601843</v>
      </c>
      <c r="G293" t="n">
        <v>1478975740</v>
      </c>
      <c r="H293" t="n">
        <v>23312807304</v>
      </c>
      <c r="I293" t="n">
        <v>357721340702</v>
      </c>
      <c r="J293" t="n">
        <v>2000</v>
      </c>
      <c r="K293" t="n">
        <v>49242</v>
      </c>
      <c r="L293" t="n">
        <v>2500</v>
      </c>
      <c r="M293" t="n">
        <v>1100</v>
      </c>
      <c r="N293" t="n">
        <v>2460</v>
      </c>
      <c r="O293" t="n">
        <v>3920</v>
      </c>
      <c r="P293" t="n">
        <v>5380</v>
      </c>
      <c r="Q293" t="n">
        <v>6840</v>
      </c>
      <c r="R293" t="n">
        <v>8300</v>
      </c>
      <c r="S293" t="n">
        <v>9760</v>
      </c>
      <c r="T293" t="n">
        <v>11220</v>
      </c>
      <c r="U293" t="n">
        <v>12680</v>
      </c>
      <c r="V293" t="n">
        <v>7227</v>
      </c>
      <c r="W293" t="n">
        <v>2168</v>
      </c>
      <c r="X293" t="n">
        <v>1876</v>
      </c>
      <c r="Y293" t="n">
        <v>8720</v>
      </c>
    </row>
    <row r="294">
      <c r="A294" t="n">
        <v>293</v>
      </c>
      <c r="B294" t="n">
        <v>0</v>
      </c>
      <c r="C294" t="n">
        <v>79803</v>
      </c>
      <c r="D294" t="n">
        <v>332234</v>
      </c>
      <c r="E294" t="n">
        <v>5684744</v>
      </c>
      <c r="F294" t="n">
        <v>95265917</v>
      </c>
      <c r="G294" t="n">
        <v>1552924527</v>
      </c>
      <c r="H294" t="n">
        <v>24711575743</v>
      </c>
      <c r="I294" t="n">
        <v>382761834552</v>
      </c>
      <c r="J294" t="n">
        <v>2000</v>
      </c>
      <c r="K294" t="n">
        <v>49735</v>
      </c>
      <c r="L294" t="n">
        <v>2500</v>
      </c>
      <c r="M294" t="n">
        <v>1100</v>
      </c>
      <c r="N294" t="n">
        <v>2465</v>
      </c>
      <c r="O294" t="n">
        <v>3930</v>
      </c>
      <c r="P294" t="n">
        <v>5395</v>
      </c>
      <c r="Q294" t="n">
        <v>6860</v>
      </c>
      <c r="R294" t="n">
        <v>8325</v>
      </c>
      <c r="S294" t="n">
        <v>9790</v>
      </c>
      <c r="T294" t="n">
        <v>11255</v>
      </c>
      <c r="U294" t="n">
        <v>12720</v>
      </c>
      <c r="V294" t="n">
        <v>7268</v>
      </c>
      <c r="W294" t="n">
        <v>2172</v>
      </c>
      <c r="X294" t="n">
        <v>1879</v>
      </c>
      <c r="Y294" t="n">
        <v>8730</v>
      </c>
    </row>
    <row r="295">
      <c r="A295" t="n">
        <v>294</v>
      </c>
      <c r="B295" t="n">
        <v>0</v>
      </c>
      <c r="C295" t="n">
        <v>81001</v>
      </c>
      <c r="D295" t="n">
        <v>338879</v>
      </c>
      <c r="E295" t="n">
        <v>5855287</v>
      </c>
      <c r="F295" t="n">
        <v>99076554</v>
      </c>
      <c r="G295" t="n">
        <v>1630570754</v>
      </c>
      <c r="H295" t="n">
        <v>26194270288</v>
      </c>
      <c r="I295" t="n">
        <v>409555162971</v>
      </c>
      <c r="J295" t="n">
        <v>2000</v>
      </c>
      <c r="K295" t="n">
        <v>50233</v>
      </c>
      <c r="L295" t="n">
        <v>2500</v>
      </c>
      <c r="M295" t="n">
        <v>1100</v>
      </c>
      <c r="N295" t="n">
        <v>2470</v>
      </c>
      <c r="O295" t="n">
        <v>3940</v>
      </c>
      <c r="P295" t="n">
        <v>5410</v>
      </c>
      <c r="Q295" t="n">
        <v>6880</v>
      </c>
      <c r="R295" t="n">
        <v>8350</v>
      </c>
      <c r="S295" t="n">
        <v>9820</v>
      </c>
      <c r="T295" t="n">
        <v>11290</v>
      </c>
      <c r="U295" t="n">
        <v>12760</v>
      </c>
      <c r="V295" t="n">
        <v>7309</v>
      </c>
      <c r="W295" t="n">
        <v>2176</v>
      </c>
      <c r="X295" t="n">
        <v>1882</v>
      </c>
      <c r="Y295" t="n">
        <v>8740</v>
      </c>
    </row>
    <row r="296">
      <c r="A296" t="n">
        <v>295</v>
      </c>
      <c r="B296" t="n">
        <v>0</v>
      </c>
      <c r="C296" t="n">
        <v>82217</v>
      </c>
      <c r="D296" t="n">
        <v>345657</v>
      </c>
      <c r="E296" t="n">
        <v>6030946</v>
      </c>
      <c r="F296" t="n">
        <v>103039617</v>
      </c>
      <c r="G296" t="n">
        <v>1712099292</v>
      </c>
      <c r="H296" t="n">
        <v>27765926506</v>
      </c>
      <c r="I296" t="n">
        <v>438224024379</v>
      </c>
      <c r="J296" t="n">
        <v>2000</v>
      </c>
      <c r="K296" t="n">
        <v>50736</v>
      </c>
      <c r="L296" t="n">
        <v>2500</v>
      </c>
      <c r="M296" t="n">
        <v>1100</v>
      </c>
      <c r="N296" t="n">
        <v>2475</v>
      </c>
      <c r="O296" t="n">
        <v>3950</v>
      </c>
      <c r="P296" t="n">
        <v>5425</v>
      </c>
      <c r="Q296" t="n">
        <v>6900</v>
      </c>
      <c r="R296" t="n">
        <v>8375</v>
      </c>
      <c r="S296" t="n">
        <v>9850</v>
      </c>
      <c r="T296" t="n">
        <v>11325</v>
      </c>
      <c r="U296" t="n">
        <v>12800</v>
      </c>
      <c r="V296" t="n">
        <v>7350</v>
      </c>
      <c r="W296" t="n">
        <v>2180</v>
      </c>
      <c r="X296" t="n">
        <v>1885</v>
      </c>
      <c r="Y296" t="n">
        <v>8750</v>
      </c>
    </row>
    <row r="297">
      <c r="A297" t="n">
        <v>296</v>
      </c>
      <c r="B297" t="n">
        <v>0</v>
      </c>
      <c r="C297" t="n">
        <v>83451</v>
      </c>
      <c r="D297" t="n">
        <v>352571</v>
      </c>
      <c r="E297" t="n">
        <v>6211875</v>
      </c>
      <c r="F297" t="n">
        <v>107161202</v>
      </c>
      <c r="G297" t="n">
        <v>1797704257</v>
      </c>
      <c r="H297" t="n">
        <v>29431882097</v>
      </c>
      <c r="I297" t="n">
        <v>468899706086</v>
      </c>
      <c r="J297" t="n">
        <v>2000</v>
      </c>
      <c r="K297" t="n">
        <v>51244</v>
      </c>
      <c r="L297" t="n">
        <v>2500</v>
      </c>
      <c r="M297" t="n">
        <v>1100</v>
      </c>
      <c r="N297" t="n">
        <v>2480</v>
      </c>
      <c r="O297" t="n">
        <v>3960</v>
      </c>
      <c r="P297" t="n">
        <v>5440</v>
      </c>
      <c r="Q297" t="n">
        <v>6920</v>
      </c>
      <c r="R297" t="n">
        <v>8400</v>
      </c>
      <c r="S297" t="n">
        <v>9880</v>
      </c>
      <c r="T297" t="n">
        <v>11360</v>
      </c>
      <c r="U297" t="n">
        <v>12840</v>
      </c>
      <c r="V297" t="n">
        <v>7391</v>
      </c>
      <c r="W297" t="n">
        <v>2184</v>
      </c>
      <c r="X297" t="n">
        <v>1888</v>
      </c>
      <c r="Y297" t="n">
        <v>8760</v>
      </c>
    </row>
    <row r="298">
      <c r="A298" t="n">
        <v>297</v>
      </c>
      <c r="B298" t="n">
        <v>0</v>
      </c>
      <c r="C298" t="n">
        <v>84703</v>
      </c>
      <c r="D298" t="n">
        <v>359623</v>
      </c>
      <c r="E298" t="n">
        <v>6398232</v>
      </c>
      <c r="F298" t="n">
        <v>111447651</v>
      </c>
      <c r="G298" t="n">
        <v>1887589470</v>
      </c>
      <c r="H298" t="n">
        <v>31197795023</v>
      </c>
      <c r="I298" t="n">
        <v>501722685513</v>
      </c>
      <c r="J298" t="n">
        <v>2000</v>
      </c>
      <c r="K298" t="n">
        <v>51757</v>
      </c>
      <c r="L298" t="n">
        <v>2500</v>
      </c>
      <c r="M298" t="n">
        <v>1100</v>
      </c>
      <c r="N298" t="n">
        <v>2485</v>
      </c>
      <c r="O298" t="n">
        <v>3970</v>
      </c>
      <c r="P298" t="n">
        <v>5455</v>
      </c>
      <c r="Q298" t="n">
        <v>6940</v>
      </c>
      <c r="R298" t="n">
        <v>8425</v>
      </c>
      <c r="S298" t="n">
        <v>9910</v>
      </c>
      <c r="T298" t="n">
        <v>11395</v>
      </c>
      <c r="U298" t="n">
        <v>12880</v>
      </c>
      <c r="V298" t="n">
        <v>7432</v>
      </c>
      <c r="W298" t="n">
        <v>2188</v>
      </c>
      <c r="X298" t="n">
        <v>1891</v>
      </c>
      <c r="Y298" t="n">
        <v>8770</v>
      </c>
    </row>
    <row r="299">
      <c r="A299" t="n">
        <v>298</v>
      </c>
      <c r="B299" t="n">
        <v>0</v>
      </c>
      <c r="C299" t="n">
        <v>85974</v>
      </c>
      <c r="D299" t="n">
        <v>366816</v>
      </c>
      <c r="E299" t="n">
        <v>6590179</v>
      </c>
      <c r="F299" t="n">
        <v>115905558</v>
      </c>
      <c r="G299" t="n">
        <v>1981968944</v>
      </c>
      <c r="H299" t="n">
        <v>33069662725</v>
      </c>
      <c r="I299" t="n">
        <v>536843273499</v>
      </c>
      <c r="J299" t="n">
        <v>2000</v>
      </c>
      <c r="K299" t="n">
        <v>52275</v>
      </c>
      <c r="L299" t="n">
        <v>2500</v>
      </c>
      <c r="M299" t="n">
        <v>1100</v>
      </c>
      <c r="N299" t="n">
        <v>2490</v>
      </c>
      <c r="O299" t="n">
        <v>3980</v>
      </c>
      <c r="P299" t="n">
        <v>5470</v>
      </c>
      <c r="Q299" t="n">
        <v>6960</v>
      </c>
      <c r="R299" t="n">
        <v>8450</v>
      </c>
      <c r="S299" t="n">
        <v>9940</v>
      </c>
      <c r="T299" t="n">
        <v>11430</v>
      </c>
      <c r="U299" t="n">
        <v>12920</v>
      </c>
      <c r="V299" t="n">
        <v>7474</v>
      </c>
      <c r="W299" t="n">
        <v>2192</v>
      </c>
      <c r="X299" t="n">
        <v>1894</v>
      </c>
      <c r="Y299" t="n">
        <v>8780</v>
      </c>
    </row>
    <row r="300">
      <c r="A300" t="n">
        <v>299</v>
      </c>
      <c r="B300" t="n">
        <v>0</v>
      </c>
      <c r="C300" t="n">
        <v>87264</v>
      </c>
      <c r="D300" t="n">
        <v>374153</v>
      </c>
      <c r="E300" t="n">
        <v>6787885</v>
      </c>
      <c r="F300" t="n">
        <v>120541781</v>
      </c>
      <c r="G300" t="n">
        <v>2081067392</v>
      </c>
      <c r="H300" t="n">
        <v>35053842489</v>
      </c>
      <c r="I300" t="n">
        <v>574422302644</v>
      </c>
      <c r="J300" t="n">
        <v>2000</v>
      </c>
      <c r="K300" t="n">
        <v>52798</v>
      </c>
      <c r="L300" t="n">
        <v>2500</v>
      </c>
      <c r="M300" t="n">
        <v>1100</v>
      </c>
      <c r="N300" t="n">
        <v>2495</v>
      </c>
      <c r="O300" t="n">
        <v>3990</v>
      </c>
      <c r="P300" t="n">
        <v>5485</v>
      </c>
      <c r="Q300" t="n">
        <v>6980</v>
      </c>
      <c r="R300" t="n">
        <v>8475</v>
      </c>
      <c r="S300" t="n">
        <v>9970</v>
      </c>
      <c r="T300" t="n">
        <v>11465</v>
      </c>
      <c r="U300" t="n">
        <v>12960</v>
      </c>
      <c r="V300" t="n">
        <v>7516</v>
      </c>
      <c r="W300" t="n">
        <v>2196</v>
      </c>
      <c r="X300" t="n">
        <v>1897</v>
      </c>
      <c r="Y300" t="n">
        <v>8790</v>
      </c>
    </row>
    <row r="301">
      <c r="A301" t="n">
        <v>300</v>
      </c>
      <c r="B301" t="n">
        <v>0</v>
      </c>
      <c r="C301" t="n">
        <v>88573</v>
      </c>
      <c r="D301" t="n">
        <v>381637</v>
      </c>
      <c r="E301" t="n">
        <v>6991522</v>
      </c>
      <c r="F301" t="n">
        <v>125363453</v>
      </c>
      <c r="G301" t="n">
        <v>2185120762</v>
      </c>
      <c r="H301" t="n">
        <v>37157073039</v>
      </c>
      <c r="I301" t="n">
        <v>614631863830</v>
      </c>
      <c r="J301" t="n">
        <v>2000</v>
      </c>
      <c r="K301" t="n">
        <v>53326</v>
      </c>
      <c r="L301" t="n">
        <v>2500</v>
      </c>
      <c r="M301" t="n">
        <v>1100</v>
      </c>
      <c r="N301" t="n">
        <v>2500</v>
      </c>
      <c r="O301" t="n">
        <v>4000</v>
      </c>
      <c r="P301" t="n">
        <v>5500</v>
      </c>
      <c r="Q301" t="n">
        <v>7000</v>
      </c>
      <c r="R301" t="n">
        <v>8500</v>
      </c>
      <c r="S301" t="n">
        <v>10000</v>
      </c>
      <c r="T301" t="n">
        <v>11500</v>
      </c>
      <c r="U301" t="n">
        <v>13000</v>
      </c>
      <c r="V301" t="n">
        <v>7558</v>
      </c>
      <c r="W301" t="n">
        <v>2200</v>
      </c>
      <c r="X301" t="n">
        <v>1900</v>
      </c>
      <c r="Y301" t="n">
        <v>8800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6"/>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8" customWidth="1" min="3" max="3"/>
    <col width="11" customWidth="1" min="4" max="4"/>
    <col width="15" customWidth="1" min="5" max="5"/>
    <col width="13" customWidth="1" min="6" max="6"/>
    <col width="11" customWidth="1" min="7" max="7"/>
    <col width="8" customWidth="1" min="8" max="8"/>
    <col width="13" customWidth="1" min="9" max="9"/>
    <col width="11" customWidth="1" min="10" max="10"/>
    <col width="12" customWidth="1" min="11" max="11"/>
    <col width="18" customWidth="1" min="12" max="12"/>
    <col width="11" customWidth="1" min="13" max="13"/>
    <col width="14" customWidth="1" min="14" max="14"/>
    <col width="17" customWidth="1" min="15" max="15"/>
    <col width="16" customWidth="1" min="16" max="16"/>
    <col width="18" customWidth="1" min="17" max="17"/>
    <col width="20" customWidth="1" min="18" max="18"/>
    <col width="18" customWidth="1" min="19" max="19"/>
    <col width="15" customWidth="1" min="20" max="20"/>
    <col width="20" customWidth="1" min="21" max="21"/>
    <col width="20" customWidth="1" min="22" max="22"/>
    <col width="60" customWidth="1" min="23" max="23"/>
  </cols>
  <sheetData>
    <row r="1">
      <c r="A1" s="5" t="inlineStr">
        <is>
          <t>Key</t>
        </is>
      </c>
      <c r="B1" s="5" t="inlineStr">
        <is>
          <t>Name</t>
        </is>
      </c>
      <c r="C1" s="5" t="inlineStr">
        <is>
          <t>JobStep</t>
        </is>
      </c>
      <c r="D1" s="5" t="inlineStr">
        <is>
          <t>Cooldown(s)</t>
        </is>
      </c>
      <c r="E1" s="5" t="inlineStr">
        <is>
          <t>CostsActionSlot</t>
        </is>
      </c>
      <c r="F1" s="5" t="inlineStr">
        <is>
          <t>ActionsPerCast</t>
        </is>
      </c>
      <c r="G1" s="5" t="inlineStr">
        <is>
          <t>HitsPerCast</t>
        </is>
      </c>
      <c r="H1" s="5" t="inlineStr">
        <is>
          <t>ICD(s)</t>
        </is>
      </c>
      <c r="I1" s="5" t="inlineStr">
        <is>
          <t>ActiveWindow(s)</t>
        </is>
      </c>
      <c r="J1" s="5" t="inlineStr">
        <is>
          <t>ProcChance%</t>
        </is>
      </c>
      <c r="K1" s="5" t="inlineStr">
        <is>
          <t>RollsPerCast</t>
        </is>
      </c>
      <c r="L1" s="5" t="inlineStr">
        <is>
          <t>BaseDamage(tenths%)</t>
        </is>
      </c>
      <c r="M1" s="5" t="inlineStr">
        <is>
          <t>FactorIndex</t>
        </is>
      </c>
      <c r="N1" s="5" t="inlineStr">
        <is>
          <t>ScalesWithLevel</t>
        </is>
      </c>
      <c r="O1" s="5" t="inlineStr">
        <is>
          <t>SkillMasteryBonus%</t>
        </is>
      </c>
      <c r="P1" s="5" t="inlineStr">
        <is>
          <t>MasteryBossDamage%</t>
        </is>
      </c>
      <c r="Q1" s="5" t="inlineStr">
        <is>
          <t>MasteryNormalDamage%</t>
        </is>
      </c>
      <c r="R1" s="5" t="inlineStr">
        <is>
          <t>NormalMonsterTargets</t>
        </is>
      </c>
      <c r="S1" s="5" t="inlineStr">
        <is>
          <t>BuffTargetStat</t>
        </is>
      </c>
      <c r="T1" s="5" t="inlineStr">
        <is>
          <t>BuffDuration(s)</t>
        </is>
      </c>
      <c r="U1" s="5" t="inlineStr">
        <is>
          <t>MapleHeroBase(tenths%)</t>
        </is>
      </c>
      <c r="V1" s="5" t="inlineStr">
        <is>
          <t>MapleHeroFactorIndex</t>
        </is>
      </c>
      <c r="W1" s="5" t="inlineStr">
        <is>
          <t>Note</t>
        </is>
      </c>
    </row>
    <row r="2">
      <c r="A2" t="inlineStr">
        <is>
          <t>DARK_IMPALE</t>
        </is>
      </c>
      <c r="B2" t="inlineStr">
        <is>
          <t>Dark Impale</t>
        </is>
      </c>
      <c r="C2" t="n">
        <v>4</v>
      </c>
      <c r="D2" t="inlineStr"/>
      <c r="E2" t="b">
        <v>0</v>
      </c>
      <c r="F2" t="n">
        <v>1</v>
      </c>
      <c r="G2">
        <f>IF(Inputs!$B$3&gt;=136,6,5)</f>
        <v/>
      </c>
      <c r="H2" t="n">
        <v>0</v>
      </c>
      <c r="I2" t="n">
        <v>0</v>
      </c>
      <c r="J2" t="n">
        <v>100</v>
      </c>
      <c r="K2" t="n">
        <v>1</v>
      </c>
      <c r="L2" t="n">
        <v>2900</v>
      </c>
      <c r="M2" t="n">
        <v>21</v>
      </c>
      <c r="N2" t="b">
        <v>1</v>
      </c>
      <c r="O2">
        <f>Calc!F3*IF(Calc!C3=TRUE,1,0)/100*(1+Calc!F4*IF(Calc!C4=TRUE,1,0)/100)*25+SUMPRODUCT((Inputs!$B$3&gt;={102,106,116,120,128,132})*{10,11,12,13,14,15})</f>
        <v/>
      </c>
      <c r="P2">
        <f>SUMPRODUCT((Inputs!$B$3&gt;={111,124})*{10,10})</f>
        <v/>
      </c>
      <c r="Q2" t="n">
        <v>0</v>
      </c>
      <c r="R2">
        <f>6+Inputs!$B$34</f>
        <v/>
      </c>
      <c r="S2" t="inlineStr"/>
      <c r="T2" t="n">
        <v>0</v>
      </c>
      <c r="U2" t="inlineStr"/>
      <c r="V2" t="inlineStr"/>
      <c r="W2" t="inlineStr">
        <is>
          <t>4th-job basic-attack effect (supersedes Slash Blast/Spear Sweep/La Mancha Spear, confirmed identical wiki wording — 290% damage to 6 target(s) in front 5 time(s) — to every other class's own 4th-job basic attack). factorIndex 21, baseDamage 2900 tenths%. HitsPerCast=5, bumping to 6 once Mastery Lv.136 'Dark Impale - Strike' unlocks (same level as Hero's own equivalent, confirmed independently from Dark Knight/Mastery). SkillMasteryBonus% is Final Attack + Advanced Final Attack's own combined steady-state contribution (same folding mechanism as Hero's own Raging Blow) PLUS the real Dark Impale - Damage mastery chain (102/106/116/120/128/132, cumulative +10/11/12/13/14/15% — summed as DELTAS, not the raw displayed values). MasteryBossDamage% is the real 2-tier Dark Impale - Boss Monster Damage chain (111/124, +10% each, +20% total).</t>
        </is>
      </c>
    </row>
    <row r="3">
      <c r="A3" t="inlineStr">
        <is>
          <t>FINAL_ATTACK_HELPER</t>
        </is>
      </c>
      <c r="B3" t="inlineStr">
        <is>
          <t>Final Attack (helper)</t>
        </is>
      </c>
      <c r="C3" t="n">
        <v>2</v>
      </c>
      <c r="D3" t="inlineStr"/>
      <c r="E3" t="b">
        <v>0</v>
      </c>
      <c r="F3" t="n">
        <v>1</v>
      </c>
      <c r="G3" t="n">
        <v>1</v>
      </c>
      <c r="H3" t="n">
        <v>0</v>
      </c>
      <c r="I3" t="n">
        <v>0</v>
      </c>
      <c r="J3" t="n">
        <v>100</v>
      </c>
      <c r="K3" t="n">
        <v>1</v>
      </c>
      <c r="L3" t="n">
        <v>350</v>
      </c>
      <c r="M3" t="n">
        <v>21</v>
      </c>
      <c r="N3" t="b">
        <v>1</v>
      </c>
      <c r="O3">
        <f>SUMPRODUCT((Inputs!$B$3&gt;={54})*{50})</f>
        <v/>
      </c>
      <c r="P3" t="n">
        <v>0</v>
      </c>
      <c r="Q3" t="n">
        <v>0</v>
      </c>
      <c r="R3" t="n">
        <v>0</v>
      </c>
      <c r="S3" t="inlineStr"/>
      <c r="T3" t="n">
        <v>0</v>
      </c>
      <c r="U3" t="inlineStr"/>
      <c r="V3" t="inlineStr"/>
      <c r="W3" t="inlineStr">
        <is>
          <t>AUDIT 2026-10-21: Dark Knight DOES have 'Final Attack - Damage' +50% at Lv54 (wiki Mastery rows + site) - the statement below that the tier is absent was wrong. Helper row only — feeds Dark Impale's own coefficient. 25% chance, 35%-&gt;49% additional damage (levels 1-100), factorIndex 21/baseDamage 350 tenths% — resolves to the IDENTICAL tuple Hero's/Bowmaster's own Final Attack helper uses, confirming this is genuinely the same cross-tree shared skill. Unlike Hero, Dark Knight's own Mastery table has NO 'Final Attack - Damage' tier at all (confirmed absent) — SkillMasteryBonus% stays 0 here.</t>
        </is>
      </c>
    </row>
    <row r="4">
      <c r="A4" t="inlineStr">
        <is>
          <t>ADVANCED_FINAL_ATTACK_HELPER</t>
        </is>
      </c>
      <c r="B4" t="inlineStr">
        <is>
          <t>Advanced Final Attack (helper)</t>
        </is>
      </c>
      <c r="C4" t="n">
        <v>4</v>
      </c>
      <c r="D4" t="inlineStr"/>
      <c r="E4" t="b">
        <v>0</v>
      </c>
      <c r="F4" t="n">
        <v>1</v>
      </c>
      <c r="G4" t="n">
        <v>1</v>
      </c>
      <c r="H4" t="n">
        <v>0</v>
      </c>
      <c r="I4" t="n">
        <v>0</v>
      </c>
      <c r="J4" t="n">
        <v>100</v>
      </c>
      <c r="K4" t="n">
        <v>1</v>
      </c>
      <c r="L4" t="n">
        <v>5000</v>
      </c>
      <c r="M4" t="n">
        <v>21</v>
      </c>
      <c r="N4" t="b">
        <v>1</v>
      </c>
      <c r="O4">
        <f>SUMPRODUCT((Inputs!$B$3&gt;={113})*{50})</f>
        <v/>
      </c>
      <c r="P4" t="n">
        <v>0</v>
      </c>
      <c r="Q4" t="n">
        <v>0</v>
      </c>
      <c r="R4" t="n">
        <v>0</v>
      </c>
      <c r="S4" t="inlineStr"/>
      <c r="T4" t="n">
        <v>0</v>
      </c>
      <c r="U4" t="inlineStr"/>
      <c r="V4" t="inlineStr"/>
      <c r="W4" t="inlineStr">
        <is>
          <t>Helper row only — feeds Dark Impale's own coefficient (Final Attack's own Final Damage bonus). +500%-&gt;900% FD (levels 1-200), factorIndex 21/baseDamage 5000 tenths% — resolves to the IDENTICAL tuple Hero's/Bowmaster's own Advanced Final Attack helper uses. Mastery Lv.113 'Advanced Final Attack - Enhance' +50% (real SkillMasteryBonus%, same level as Hero's own).</t>
        </is>
      </c>
    </row>
    <row r="5">
      <c r="A5" t="inlineStr">
        <is>
          <t>MAGIC_CRASH</t>
        </is>
      </c>
      <c r="B5" t="inlineStr">
        <is>
          <t>Magic Crash</t>
        </is>
      </c>
      <c r="C5" t="n">
        <v>4</v>
      </c>
      <c r="D5" t="n">
        <v>28</v>
      </c>
      <c r="E5" t="b">
        <v>1</v>
      </c>
      <c r="F5" t="n">
        <v>1</v>
      </c>
      <c r="G5" t="n">
        <v>1</v>
      </c>
      <c r="H5" t="n">
        <v>0</v>
      </c>
      <c r="I5" t="n">
        <v>0</v>
      </c>
      <c r="J5" t="n">
        <v>100</v>
      </c>
      <c r="K5" t="n">
        <v>1</v>
      </c>
      <c r="L5" t="n">
        <v>48000</v>
      </c>
      <c r="M5" t="n">
        <v>12</v>
      </c>
      <c r="N5" t="b">
        <v>1</v>
      </c>
      <c r="O5" t="n">
        <v>0</v>
      </c>
      <c r="P5" t="n">
        <v>0</v>
      </c>
      <c r="Q5" t="n">
        <v>0</v>
      </c>
      <c r="R5">
        <f>5+IF(Inputs!$B$3&gt;=100,4,0)</f>
        <v/>
      </c>
      <c r="S5" t="inlineStr"/>
      <c r="T5" t="n">
        <v>0</v>
      </c>
      <c r="U5" t="inlineStr"/>
      <c r="V5" t="inlineStr"/>
      <c r="W5" t="inlineStr">
        <is>
          <t>AUDIT 2026-10-21: Lv126 'Magic Crash - Weaken' is +10% damage taken (site + game table; the wiki said 15%) for 15s on struck targets - now a global duty-cycled Monster-Damage-Taken term (all hits benefit), no longer folded into this row's own buckets. Summons a rock at the target's location, removing 1 buff and dealing 4800%-&gt;9600% damage to 5 nearby target(s), 1 time. factorIndex 12, baseDamage 48000 tenths% — resolves to the IDENTICAL tuple Hero's own Magic Crash uses (shared verbatim, single wiki page, /w/Magic_Crash). PATCHED: targets 5-&gt;9 (effect range +50% not modeled, no such mechanic exists). Mastery Lv.126 'Magic Crash - Weaken' (+15% damage taken to struck targets) baked into SkillMasteryBonus%/MasteryBossDamage%/MasteryNormalDamage% alike (a real mastery Hero's own build happened to miss on its own Magic Crash row — not fixed there, out of scope for this fork).</t>
        </is>
      </c>
    </row>
    <row r="6">
      <c r="A6" t="inlineStr">
        <is>
          <t>GUNGNIRS_DESCENT</t>
        </is>
      </c>
      <c r="B6" t="inlineStr">
        <is>
          <t>Gungnir's Descent</t>
        </is>
      </c>
      <c r="C6" t="n">
        <v>4</v>
      </c>
      <c r="D6" t="n">
        <v>13</v>
      </c>
      <c r="E6" t="b">
        <v>1</v>
      </c>
      <c r="F6" t="n">
        <v>1</v>
      </c>
      <c r="G6">
        <f>IF(Inputs!$B$3&gt;=134,6,2)</f>
        <v/>
      </c>
      <c r="H6" t="n">
        <v>0</v>
      </c>
      <c r="I6" t="n">
        <v>0</v>
      </c>
      <c r="J6" t="n">
        <v>100</v>
      </c>
      <c r="K6" t="n">
        <v>1</v>
      </c>
      <c r="L6">
        <f>IF(Inputs!$B$3&gt;=134,9000,18000)</f>
        <v/>
      </c>
      <c r="M6" t="n">
        <v>12</v>
      </c>
      <c r="N6" t="b">
        <v>1</v>
      </c>
      <c r="O6">
        <f>SUMPRODUCT((Inputs!$B$3&gt;={108})*{50})</f>
        <v/>
      </c>
      <c r="P6" t="n">
        <v>0</v>
      </c>
      <c r="Q6" t="n">
        <v>0</v>
      </c>
      <c r="R6" t="n">
        <v>1</v>
      </c>
      <c r="S6" t="inlineStr"/>
      <c r="T6" t="n">
        <v>0</v>
      </c>
      <c r="U6" t="inlineStr"/>
      <c r="V6" t="inlineStr"/>
      <c r="W6" t="inlineStr">
        <is>
          <t>AUDIT 2026-10-21: Mastery Lv108 'Gungnir's Descent - Damage' +50% added (was missing). Throws a mythical spear at the target to deal 1800%-&gt;3600% damage, 2 times. factorIndex 12, baseDamage 18000 tenths%, 13s cooldown. Single-target (NormalMonsterTargets=1). Mastery Lv.134 'Gungnir's Descent - Strike' ('base damage -50%, +4 strike count') is modeled directly as a level-gated rebalance of this row's own BaseDamage (18000-&gt;9000 tenths%) and HitsPerCast (2-&gt;6) once Lv.134 unlocks — net +50% total damage (6*0.5 vs 2*1.0), same 'flip two fields at a level threshold' pattern already used elsewhere in this project for Strike-mastery hit-count bumps, just applied to both BaseDamage and HitsPerCast simultaneously instead of HitsPerCast alone. An earlier version of this row left this mastery completely unmodeled, documented as an under-estimate at high level — fixed.</t>
        </is>
      </c>
    </row>
    <row r="7">
      <c r="A7" t="inlineStr">
        <is>
          <t>EVIL_EYE_SHOCK</t>
        </is>
      </c>
      <c r="B7" t="inlineStr">
        <is>
          <t>Evil Eye Shock</t>
        </is>
      </c>
      <c r="C7" t="n">
        <v>2</v>
      </c>
      <c r="D7" t="n">
        <v>18</v>
      </c>
      <c r="E7" t="b">
        <v>1</v>
      </c>
      <c r="F7" t="n">
        <v>1</v>
      </c>
      <c r="G7" t="n">
        <v>6</v>
      </c>
      <c r="H7" t="n">
        <v>0</v>
      </c>
      <c r="I7" t="n">
        <v>0</v>
      </c>
      <c r="J7" t="n">
        <v>100</v>
      </c>
      <c r="K7" t="n">
        <v>1</v>
      </c>
      <c r="L7" t="n">
        <v>700</v>
      </c>
      <c r="M7" t="n">
        <v>12</v>
      </c>
      <c r="N7" t="b">
        <v>1</v>
      </c>
      <c r="O7">
        <f>SUMPRODUCT((Inputs!$B$3&gt;={44})*{50})+IF(Inputs!$B$3&gt;=75,Calc!F8*IF(Calc!C8=TRUE,1,0),0)</f>
        <v/>
      </c>
      <c r="P7" t="n">
        <v>0</v>
      </c>
      <c r="Q7" t="n">
        <v>0</v>
      </c>
      <c r="R7">
        <f>6+IF(Inputs!$B$3&gt;=75,3,0)</f>
        <v/>
      </c>
      <c r="S7" t="inlineStr"/>
      <c r="T7" t="n">
        <v>0</v>
      </c>
      <c r="U7" t="n">
        <v>400</v>
      </c>
      <c r="V7" t="n">
        <v>23</v>
      </c>
      <c r="W7" t="inlineStr">
        <is>
          <t>[Must Summon Evil Eye — precondition not modeled as a live gate, treated as always-castable once unlocked] The Evil Eye attacks 6 (then 9 once Lv.75's Evil Eye Shock Enhancement unlocks) nearby target(s), dealing 70%-&gt;105% damage (levels 1-100, 2nd-job capped), 6 times, 18s cooldown, stun 1.5s not modeled. factorIndex 12, baseDamage 700 tenths%. Mastery Lv.44 'Evil Eye Shock - Damage' +50% real. Evil Eye Shock Enhancement's own +100%-&gt;127% Final Damage curve is folded directly into this row's own SkillMasteryBonus% as an additive coefficient bonus (a documented approximation — true Final Damage multiplies after the crit/defense pipeline, this applies it pre-pipeline instead — same simplification tier as folding Final Attack's own proc into a basic attack's coefficient elsewhere in this project). Maple Hero target (0.75x share) — see MAPLE_HERO_RATIOS.</t>
        </is>
      </c>
    </row>
    <row r="8">
      <c r="A8" t="inlineStr">
        <is>
          <t>EVIL_EYE_SHOCK_ENH</t>
        </is>
      </c>
      <c r="B8" t="inlineStr">
        <is>
          <t>Evil Eye Shock Enhancement (helper)</t>
        </is>
      </c>
      <c r="C8" t="n">
        <v>3</v>
      </c>
      <c r="D8" t="inlineStr"/>
      <c r="E8" t="b">
        <v>0</v>
      </c>
      <c r="F8" t="n">
        <v>1</v>
      </c>
      <c r="G8" t="n">
        <v>1</v>
      </c>
      <c r="H8" t="n">
        <v>0</v>
      </c>
      <c r="I8" t="n">
        <v>0</v>
      </c>
      <c r="J8" t="n">
        <v>100</v>
      </c>
      <c r="K8" t="n">
        <v>1</v>
      </c>
      <c r="L8" t="n">
        <v>1000</v>
      </c>
      <c r="M8" t="n">
        <v>22</v>
      </c>
      <c r="N8" t="b">
        <v>1</v>
      </c>
      <c r="O8" t="n">
        <v>0</v>
      </c>
      <c r="P8" t="n">
        <v>0</v>
      </c>
      <c r="Q8" t="n">
        <v>0</v>
      </c>
      <c r="R8" t="n">
        <v>0</v>
      </c>
      <c r="S8" t="inlineStr"/>
      <c r="T8" t="n">
        <v>0</v>
      </c>
      <c r="U8" t="inlineStr"/>
      <c r="V8" t="inlineStr"/>
      <c r="W8" t="inlineStr">
        <is>
          <t>Helper row only (no independent O-column DPS) — feeds Evil Eye Shock's own K-column extra Final Damage term (target-count bump baked directly into EVIL_EYE_SHOCK's own NormalMonsterTargets formula instead). 'Target count changes to 9, Final Damage +100%-&gt;127%' (levels 1-100, own curve). factorIndex 22, baseDamage 1000 tenths%.</t>
        </is>
      </c>
    </row>
    <row r="9">
      <c r="A9" t="inlineStr">
        <is>
          <t>EVIL_EYE_OF_DOMINANT</t>
        </is>
      </c>
      <c r="B9" t="inlineStr">
        <is>
          <t>Evil Eye of Dominant</t>
        </is>
      </c>
      <c r="C9" t="n">
        <v>3</v>
      </c>
      <c r="D9">
        <f>IF(Inputs!$B$3&gt;=104,30*0.7,30)</f>
        <v/>
      </c>
      <c r="E9" t="b">
        <v>0</v>
      </c>
      <c r="F9" t="n">
        <v>1</v>
      </c>
      <c r="G9" t="n">
        <v>1</v>
      </c>
      <c r="H9" t="n">
        <v>1</v>
      </c>
      <c r="I9" t="n">
        <v>20</v>
      </c>
      <c r="J9" t="n">
        <v>100</v>
      </c>
      <c r="K9" t="n">
        <v>1</v>
      </c>
      <c r="L9" t="n">
        <v>600</v>
      </c>
      <c r="M9" t="n">
        <v>21</v>
      </c>
      <c r="N9" t="b">
        <v>1</v>
      </c>
      <c r="O9">
        <f>SUMPRODUCT((Inputs!$B$3&gt;={78})*{50})</f>
        <v/>
      </c>
      <c r="P9" t="n">
        <v>0</v>
      </c>
      <c r="Q9" t="n">
        <v>0</v>
      </c>
      <c r="R9">
        <f>6+IF(Inputs!$B$3&gt;=94,3,0)</f>
        <v/>
      </c>
      <c r="S9" t="inlineStr"/>
      <c r="T9" t="n">
        <v>0</v>
      </c>
      <c r="U9" t="n">
        <v>400</v>
      </c>
      <c r="V9" t="n">
        <v>23</v>
      </c>
      <c r="W9" t="inlineStr">
        <is>
          <t>[Must Summon Evil Eye] Background DoT tied to Evil Eye's own cast cycle (CostsActionSlot=False, Cooldown=30s/ActiveWindow=20s matching Evil Eye's own duration, ICD=1s — EffectiveHits = ActiveWindow/ICD = 20 ticks/cast, same FP-Mage Poison-Mist-DoT-tied-to-a-parent-skill pattern): 'deals 60%-&gt;84% continuous damage to 6 nearby targets every 1 sec' (levels 1-200). factorIndex 21, baseDamage 600 tenths%. Mastery Lv.78 'Evil Eye of Dominant - Damage' +50% and Lv.94 'Evil Eye of Dominant - Target' +3 (6-&gt;9) both real. Maple Hero target (1x share, biggest) — see MAPLE_HERO_RATIOS.</t>
        </is>
      </c>
    </row>
    <row r="10">
      <c r="A10" t="inlineStr">
        <is>
          <t>REVENGE_OF_THE_EVIL_EYE</t>
        </is>
      </c>
      <c r="B10" t="inlineStr">
        <is>
          <t>Revenge of the Evil Eye</t>
        </is>
      </c>
      <c r="C10" t="n">
        <v>4</v>
      </c>
      <c r="D10" t="n">
        <v>5</v>
      </c>
      <c r="E10" t="b">
        <v>0</v>
      </c>
      <c r="F10" t="n">
        <v>1</v>
      </c>
      <c r="G10" t="n">
        <v>2</v>
      </c>
      <c r="H10" t="n">
        <v>0</v>
      </c>
      <c r="I10" t="n">
        <v>0</v>
      </c>
      <c r="J10" t="n">
        <v>100</v>
      </c>
      <c r="K10" t="n">
        <v>1</v>
      </c>
      <c r="L10" t="n">
        <v>8500</v>
      </c>
      <c r="M10" t="n">
        <v>12</v>
      </c>
      <c r="N10" t="b">
        <v>1</v>
      </c>
      <c r="O10">
        <f>SUMPRODUCT((Inputs!$B$3&gt;={122})*{50})+IF(Inputs!$B$3&gt;=138,2200*(Calc!E10/1000),0)</f>
        <v/>
      </c>
      <c r="P10" t="n">
        <v>0</v>
      </c>
      <c r="Q10" t="n">
        <v>0</v>
      </c>
      <c r="R10" t="n">
        <v>1</v>
      </c>
      <c r="S10" t="inlineStr"/>
      <c r="T10" t="n">
        <v>0</v>
      </c>
      <c r="U10" t="inlineStr"/>
      <c r="V10" t="inlineStr"/>
      <c r="W10" t="inlineStr">
        <is>
          <t>[Must Summon Evil Eye] Self-triggered proc-shaped row (Cooldown=5s, CostsActionSlot=False — same treatment as Marksman's own Bolt Surplus): 'engraves a vengeful brand dealing 850%-&gt;1700% additional damage, 2 times' (levels 1-200). factorIndex 12, baseDamage 8500 tenths%. Mastery Lv.122 'Revenge of the Evil Eye - Damage' +50% real. Mastery Lv.138 'Spectral Shadows' is a raw unevaluated wikitext formula on the live wiki page ({{#expr:2200*(1+x*0.005)}}%) — resolved via the same curve-matching method already used for Marksman's own Snipe-Empowered mastery this session (sample the formula at several levels treating x=character level, match against the 24-column factor table): resolves cleanly to factorIndex 12/baseDamage 2200 tenths% (0.44% max deviation) — since it shares the SAME factorIndex as this row's own base curve, it reuses this row's own Calc!E factor lookup directly rather than needing a separate FactorTable lookup (same trick as Snipe's own Empowered mastery).</t>
        </is>
      </c>
    </row>
    <row r="11">
      <c r="A11" t="inlineStr">
        <is>
          <t>MAPLE_HERO_HELPER</t>
        </is>
      </c>
      <c r="B11" t="inlineStr">
        <is>
          <t>Maple Hero (helper)</t>
        </is>
      </c>
      <c r="C11" t="n">
        <v>4</v>
      </c>
      <c r="D11" t="inlineStr"/>
      <c r="E11" t="b">
        <v>0</v>
      </c>
      <c r="F11" t="n">
        <v>1</v>
      </c>
      <c r="G11" t="n">
        <v>1</v>
      </c>
      <c r="H11" t="n">
        <v>0</v>
      </c>
      <c r="I11" t="n">
        <v>0</v>
      </c>
      <c r="J11" t="n">
        <v>100</v>
      </c>
      <c r="K11" t="n">
        <v>1</v>
      </c>
      <c r="L11" t="n">
        <v>400</v>
      </c>
      <c r="M11" t="n">
        <v>23</v>
      </c>
      <c r="N11" t="b">
        <v>1</v>
      </c>
      <c r="O11" t="n">
        <v>0</v>
      </c>
      <c r="P11" t="n">
        <v>0</v>
      </c>
      <c r="Q11" t="n">
        <v>0</v>
      </c>
      <c r="R11" t="n">
        <v>0</v>
      </c>
      <c r="S11" t="inlineStr"/>
      <c r="T11" t="n">
        <v>0</v>
      </c>
      <c r="U11" t="inlineStr"/>
      <c r="V11" t="inlineStr"/>
      <c r="W11" t="inlineStr">
        <is>
          <t>Shared ratio-feeder row (see MAPLE_HERO_RATIOS) for Evil Eye of Dominant/Rush/Evil Eye Shock's own Final Damage chains — mirrors Hero/Shadower/Bowmaster's own Maple Hero mechanism. Confirmed via idle.maplestorywiki.net/w/Maple_Hero_(Dark_Knight) (full level 1-200 curve, resolves cleanly to factorIndex 23/baseDamage 400 tenths%, 0% residual, same '80%-growth-reduction after Lv.120' kink already confirmed on Hero/Bowmaster's own Maple Hero curves). No independent DPS row of its own (Calc columns J-N blank/0, only D/E/F computed, read directly by each target row's own K-column formula).</t>
        </is>
      </c>
    </row>
    <row r="12">
      <c r="A12" t="inlineStr">
        <is>
          <t>RUSH</t>
        </is>
      </c>
      <c r="B12" t="inlineStr">
        <is>
          <t>Rush</t>
        </is>
      </c>
      <c r="C12" t="n">
        <v>3</v>
      </c>
      <c r="D12">
        <f>IF(Inputs!$B$3&gt;=90,22*0.7,22)</f>
        <v/>
      </c>
      <c r="E12" t="b">
        <v>1</v>
      </c>
      <c r="F12" t="n">
        <v>1</v>
      </c>
      <c r="G12" t="n">
        <v>1</v>
      </c>
      <c r="H12" t="n">
        <v>0</v>
      </c>
      <c r="I12" t="n">
        <v>0</v>
      </c>
      <c r="J12" t="n">
        <v>100</v>
      </c>
      <c r="K12" t="n">
        <v>1</v>
      </c>
      <c r="L12" t="n">
        <v>6000</v>
      </c>
      <c r="M12" t="n">
        <v>12</v>
      </c>
      <c r="N12" t="b">
        <v>1</v>
      </c>
      <c r="O12">
        <f>SUMPRODUCT((Inputs!$B$3&gt;={68})*{80})</f>
        <v/>
      </c>
      <c r="P12" t="n">
        <v>0</v>
      </c>
      <c r="Q12" t="n">
        <v>0</v>
      </c>
      <c r="R12" t="n">
        <v>12</v>
      </c>
      <c r="S12" t="inlineStr"/>
      <c r="T12" t="n">
        <v>0</v>
      </c>
      <c r="U12" t="n">
        <v>300</v>
      </c>
      <c r="V12" t="n">
        <v>23</v>
      </c>
      <c r="W12" t="inlineStr">
        <is>
          <t>AUDIT 2026-10-21: previously-missing masteries added: Damage +80% @68, Reuse -30% cooldown @90. Charges to the front to deal 600%-&gt;1200% damage to 12 target(s) (stun 2.5s not modeled). factorIndex 12, baseDamage 6000 tenths%, 22s cooldown — resolves to the IDENTICAL tuple Hero's own Rush uses (shared verbatim, confirmed identical wiki page). Not patched (Mastery Lv.68/90 own damage/cooldown tiers not separately modeled here, same treatment as Hero's own Rush row — kept consistent for this genuinely shared skill). Maple Hero target (0.75x share) — see MAPLE_HERO_RATIOS.</t>
        </is>
      </c>
    </row>
    <row r="13">
      <c r="A13" t="inlineStr">
        <is>
          <t>HEX_OF_THE_EVIL_EYE</t>
        </is>
      </c>
      <c r="B13" t="inlineStr">
        <is>
          <t>Hex of the Evil Eye</t>
        </is>
      </c>
      <c r="C13" t="n">
        <v>3</v>
      </c>
      <c r="D13">
        <f>IF(Inputs!$B$3&gt;=104,30*0.7,30)</f>
        <v/>
      </c>
      <c r="E13" t="b">
        <v>0</v>
      </c>
      <c r="F13" t="n">
        <v>1</v>
      </c>
      <c r="G13" t="n">
        <v>1</v>
      </c>
      <c r="H13" t="n">
        <v>0</v>
      </c>
      <c r="I13" t="n">
        <v>0</v>
      </c>
      <c r="J13" t="n">
        <v>100</v>
      </c>
      <c r="K13" t="n">
        <v>1</v>
      </c>
      <c r="L13" t="n">
        <v>150</v>
      </c>
      <c r="M13" t="n">
        <v>22</v>
      </c>
      <c r="N13" t="b">
        <v>1</v>
      </c>
      <c r="O13">
        <f>SUMPRODUCT((Inputs!$B$3&gt;={98})*{50})</f>
        <v/>
      </c>
      <c r="P13" t="n">
        <v>0</v>
      </c>
      <c r="Q13" t="n">
        <v>0</v>
      </c>
      <c r="R13" t="n">
        <v>0</v>
      </c>
      <c r="S13" t="inlineStr">
        <is>
          <t>ATTACK</t>
        </is>
      </c>
      <c r="T13" t="n">
        <v>20</v>
      </c>
      <c r="U13" t="inlineStr"/>
      <c r="V13" t="inlineStr"/>
      <c r="W13" t="inlineStr">
        <is>
          <t>[Must Summon Evil Eye] Self-inclusive ally buff (matches Hero's own Spirit Blade / Bishop's own 'allied players' precedent), tied to Evil Eye's own duty cycle (Cooldown=30s/BuffDuration=20s matching Evil Eye's own): '+15%-&gt;18.6% Attack to allied players for the summoning duration' (levels 1-100, 3rd-job capped). factorIndex 22, baseDamage 150 tenths%. Mastery Lv.98 'Hex of the Evil Eye - Attack' +50% additionally, real. Lv.82's own '+20 Accuracy to allies' not modeled (no Accuracy mechanic exists).</t>
        </is>
      </c>
    </row>
    <row r="14">
      <c r="A14" t="inlineStr">
        <is>
          <t>DARK_RESONANCE</t>
        </is>
      </c>
      <c r="B14" t="inlineStr">
        <is>
          <t>Dark Resonance</t>
        </is>
      </c>
      <c r="C14" t="n">
        <v>4</v>
      </c>
      <c r="D14" t="n">
        <v>32</v>
      </c>
      <c r="E14" t="b">
        <v>1</v>
      </c>
      <c r="F14" t="n">
        <v>1</v>
      </c>
      <c r="G14" t="n">
        <v>1</v>
      </c>
      <c r="H14" t="n">
        <v>0</v>
      </c>
      <c r="I14" t="n">
        <v>0</v>
      </c>
      <c r="J14" t="n">
        <v>100</v>
      </c>
      <c r="K14" t="n">
        <v>1</v>
      </c>
      <c r="L14" t="n">
        <v>300</v>
      </c>
      <c r="M14" t="n">
        <v>21</v>
      </c>
      <c r="N14" t="b">
        <v>1</v>
      </c>
      <c r="O14" t="n">
        <v>0</v>
      </c>
      <c r="P14" t="n">
        <v>0</v>
      </c>
      <c r="Q14" t="n">
        <v>0</v>
      </c>
      <c r="R14" t="n">
        <v>0</v>
      </c>
      <c r="S14" t="inlineStr">
        <is>
          <t>ATTACK</t>
        </is>
      </c>
      <c r="T14">
        <f>IF(Inputs!$B$3&gt;=130,20*1.4,20)</f>
        <v/>
      </c>
      <c r="U14" t="inlineStr"/>
      <c r="V14" t="inlineStr"/>
      <c r="W14" t="inlineStr">
        <is>
          <t>'Unlocks the power of pure darkness to increase Attack by 30%-&gt;44.4% for 20s' (levels 1-200). factorIndex 21, baseDamage 300 tenths% (curve rescaled 300/240=1.25x from the pre-patch 8%-at-Lv1 baseline... actually: PATCHED level-1 Attack 30%-&gt;still 30% per the patch notes, own cooldown 35-&gt;32s — this row models the CURRENT/patched Attack% curve directly since the wiki's own level-1 value (30%) already matched the patch notes' stated Attack% exactly, only cooldown/boss-bonus needed patching). PATCHED: cooldown 35-&gt;32s (baked into Cooldown(s)), new '+20% boss monster damage while active' clause added — folded into the Global Monster Damage-Taken Bonus% bucket (boss-only via monster_blend_expr), duty-cycle averaged by this row's own uptime, alongside Evil Eye's own contribution (see Summary sheet). Mastery Lv.130 'Dark Resonance - Persistence' +40% duration (real, BuffDuration becomes 20*1.4=28s once unlocked).</t>
        </is>
      </c>
    </row>
    <row r="15">
      <c r="A15" t="inlineStr">
        <is>
          <t>CROSS_OVER_CHAINS</t>
        </is>
      </c>
      <c r="B15" t="inlineStr">
        <is>
          <t>Cross Over Chains</t>
        </is>
      </c>
      <c r="C15" t="n">
        <v>3</v>
      </c>
      <c r="D15" t="n">
        <v>30</v>
      </c>
      <c r="E15" t="b">
        <v>1</v>
      </c>
      <c r="F15" t="n">
        <v>1</v>
      </c>
      <c r="G15" t="n">
        <v>1</v>
      </c>
      <c r="H15" t="n">
        <v>0</v>
      </c>
      <c r="I15" t="n">
        <v>0</v>
      </c>
      <c r="J15" t="n">
        <v>100</v>
      </c>
      <c r="K15" t="n">
        <v>1</v>
      </c>
      <c r="L15" t="n">
        <v>150</v>
      </c>
      <c r="M15" t="n">
        <v>21</v>
      </c>
      <c r="N15" t="b">
        <v>1</v>
      </c>
      <c r="O15">
        <f>SUMPRODUCT((Inputs!$B$3&gt;={73})*{100})</f>
        <v/>
      </c>
      <c r="P15" t="n">
        <v>0</v>
      </c>
      <c r="Q15" t="n">
        <v>0</v>
      </c>
      <c r="R15" t="n">
        <v>0</v>
      </c>
      <c r="S15" t="inlineStr">
        <is>
          <t>ATTACK</t>
        </is>
      </c>
      <c r="T15" t="n">
        <v>15</v>
      </c>
      <c r="U15" t="inlineStr"/>
      <c r="V15" t="inlineStr"/>
      <c r="W15" t="inlineStr">
        <is>
          <t>'Increases Attack by 15%-&gt;18.6% for 15 sec (levels 1-60, own curve). If current HP is 50% or lower, the Attack increase effect disappears and damage taken is decreased by 10%-&gt;12% instead' — modeled assuming steady-state HP&gt;50% (Attack% component only; the HP&lt;=50% swap-to-defensive branch not modeled, matches this project's general non-modeling of the character's own damage-taken). factorIndex 21, baseDamage 150 tenths%, 30s cooldown. Mastery Lv.73 'Cross Over Chains - Attack' +100% additionally (real, taken literally as +100 percentage points per this project's established additive-mastery convention).</t>
        </is>
      </c>
    </row>
    <row r="16">
      <c r="A16" t="inlineStr">
        <is>
          <t>HYPER_BODY</t>
        </is>
      </c>
      <c r="B16" t="inlineStr">
        <is>
          <t>Hyper Body</t>
        </is>
      </c>
      <c r="C16" t="n">
        <v>2</v>
      </c>
      <c r="D16" t="n">
        <v>30</v>
      </c>
      <c r="E16" t="b">
        <v>1</v>
      </c>
      <c r="F16" t="n">
        <v>1</v>
      </c>
      <c r="G16" t="n">
        <v>1</v>
      </c>
      <c r="H16" t="n">
        <v>0</v>
      </c>
      <c r="I16" t="n">
        <v>0</v>
      </c>
      <c r="J16" t="n">
        <v>100</v>
      </c>
      <c r="K16" t="n">
        <v>1</v>
      </c>
      <c r="L16" t="n">
        <v>120</v>
      </c>
      <c r="M16" t="n">
        <v>21</v>
      </c>
      <c r="N16" t="b">
        <v>1</v>
      </c>
      <c r="O16">
        <f>SUMPRODUCT((Inputs!$B$3&gt;={49})*{50})</f>
        <v/>
      </c>
      <c r="P16" t="n">
        <v>0</v>
      </c>
      <c r="Q16" t="n">
        <v>0</v>
      </c>
      <c r="R16" t="n">
        <v>0</v>
      </c>
      <c r="S16" t="inlineStr">
        <is>
          <t>ATTACK</t>
        </is>
      </c>
      <c r="T16" t="n">
        <v>15</v>
      </c>
      <c r="U16" t="inlineStr"/>
      <c r="V16" t="inlineStr"/>
      <c r="W16" t="inlineStr">
        <is>
          <t>'Increases Attack by 12%-&gt;16.8% for 15 sec (levels 1-100, 2nd-job capped), and the Defense of allied players by 15%-&gt;21%' (Defense-of-allies component not modeled — no Defense mechanic exists). factorIndex 21, baseDamage 120 tenths%, 30s cooldown. Mastery Lv.49 'Hyper Body - Persistence' +50% duration (real, applied as a SkillMasteryBonus%-style percentage addition since this schema has no separate duration-mastery mechanism — treated as a documented approximation).</t>
        </is>
      </c>
    </row>
    <row r="17">
      <c r="A17" t="inlineStr">
        <is>
          <t>EVIL_EYE</t>
        </is>
      </c>
      <c r="B17" t="inlineStr">
        <is>
          <t>Evil Eye</t>
        </is>
      </c>
      <c r="C17" t="n">
        <v>2</v>
      </c>
      <c r="D17">
        <f>IF(Inputs!$B$3&gt;=104,30*0.7,30)</f>
        <v/>
      </c>
      <c r="E17" t="b">
        <v>1</v>
      </c>
      <c r="F17" t="n">
        <v>1</v>
      </c>
      <c r="G17" t="n">
        <v>1</v>
      </c>
      <c r="H17" t="n">
        <v>0</v>
      </c>
      <c r="I17" t="n">
        <v>0</v>
      </c>
      <c r="J17" t="n">
        <v>100</v>
      </c>
      <c r="K17" t="n">
        <v>1</v>
      </c>
      <c r="L17" t="n">
        <v>150</v>
      </c>
      <c r="M17" t="n">
        <v>21</v>
      </c>
      <c r="N17" t="b">
        <v>1</v>
      </c>
      <c r="O17">
        <f>SUMPRODUCT((Inputs!$B$3&gt;={39})*{10})</f>
        <v/>
      </c>
      <c r="P17" t="n">
        <v>0</v>
      </c>
      <c r="Q17" t="n">
        <v>0</v>
      </c>
      <c r="R17" t="n">
        <v>0</v>
      </c>
      <c r="S17" t="inlineStr">
        <is>
          <t>MONSTER_DMG</t>
        </is>
      </c>
      <c r="T17" t="n">
        <v>20</v>
      </c>
      <c r="U17" t="inlineStr"/>
      <c r="V17" t="inlineStr"/>
      <c r="W17" t="inlineStr">
        <is>
          <t>'Summons Evil Eye. Evil Eye follows you for 20 sec and increases the damage taken by 6 nearby target(s) by 15%-&gt;19.2%' (levels 1-100, 2nd-job capped) — drives the Global Monster Damage-Taken Bonus% bucket (Hero's own Scaring-Sword-pioneered mechanism), duty-cycle averaged, no proc-chance gate (always-on while summoned, unlike Scaring Sword's proc). factorIndex 21, baseDamage 150 tenths%, 30s cooldown. Mastery Lv.39 'Evil Eye - Damage Taken' +10 percentage points, real, flat add once unlocked.</t>
        </is>
      </c>
    </row>
    <row r="18">
      <c r="A18" t="inlineStr">
        <is>
          <t>LORD_OF_DARKNESS_CRITRATE</t>
        </is>
      </c>
      <c r="B18" t="inlineStr">
        <is>
          <t>Lord of Darkness (Crit Rate half)</t>
        </is>
      </c>
      <c r="C18" t="n">
        <v>3</v>
      </c>
      <c r="D18" t="n">
        <v>3</v>
      </c>
      <c r="E18" t="b">
        <v>0</v>
      </c>
      <c r="F18" t="n">
        <v>1</v>
      </c>
      <c r="G18" t="n">
        <v>1</v>
      </c>
      <c r="H18" t="n">
        <v>0</v>
      </c>
      <c r="I18" t="n">
        <v>0</v>
      </c>
      <c r="J18" t="n">
        <v>30</v>
      </c>
      <c r="K18" t="n">
        <v>1</v>
      </c>
      <c r="L18" t="n">
        <v>100</v>
      </c>
      <c r="M18" t="n">
        <v>22</v>
      </c>
      <c r="N18" t="b">
        <v>1</v>
      </c>
      <c r="O18" t="n">
        <v>0</v>
      </c>
      <c r="P18" t="n">
        <v>0</v>
      </c>
      <c r="Q18" t="n">
        <v>0</v>
      </c>
      <c r="R18" t="n">
        <v>0</v>
      </c>
      <c r="S18" t="inlineStr">
        <is>
          <t>CRIT_RATE</t>
        </is>
      </c>
      <c r="T18" t="n">
        <v>8</v>
      </c>
      <c r="U18" t="inlineStr"/>
      <c r="V18" t="inlineStr"/>
      <c r="W18" t="inlineStr">
        <is>
          <t>On-attack proc (30% chance, own internal cooldown) granting +Crit Rate/+Crit Damage for a duration (HP-recovery component not modeled) — split into two rows since this schema's BuffTargetStat column only holds one stat per row (same reason as Hero's own Enrage split). Modeled as ProcChance% x duty-cycle uptime (Scaring-Sword-style simplification), not an exact per-attack RNG state machine. PATCHED: duration 5-&gt;8s (baked into BuffDuration(s)), Crit Rate 8%-&gt;10% (curve rescaled 10/8=1.25x, giving the 100 stored here vs. the pre-patch curve's own 80), cooldown 2-&gt;3s (baked into Cooldown(s)).</t>
        </is>
      </c>
    </row>
    <row r="19">
      <c r="A19" t="inlineStr">
        <is>
          <t>LORD_OF_DARKNESS_CRITDMG</t>
        </is>
      </c>
      <c r="B19" t="inlineStr">
        <is>
          <t>Lord of Darkness (Crit Damage half)</t>
        </is>
      </c>
      <c r="C19" t="n">
        <v>3</v>
      </c>
      <c r="D19" t="n">
        <v>3</v>
      </c>
      <c r="E19" t="b">
        <v>0</v>
      </c>
      <c r="F19" t="n">
        <v>1</v>
      </c>
      <c r="G19" t="n">
        <v>1</v>
      </c>
      <c r="H19" t="n">
        <v>0</v>
      </c>
      <c r="I19" t="n">
        <v>0</v>
      </c>
      <c r="J19" t="n">
        <v>30</v>
      </c>
      <c r="K19" t="n">
        <v>1</v>
      </c>
      <c r="L19" t="n">
        <v>400</v>
      </c>
      <c r="M19" t="n">
        <v>22</v>
      </c>
      <c r="N19" t="b">
        <v>1</v>
      </c>
      <c r="O19" t="n">
        <v>0</v>
      </c>
      <c r="P19" t="n">
        <v>0</v>
      </c>
      <c r="Q19" t="n">
        <v>0</v>
      </c>
      <c r="R19" t="n">
        <v>0</v>
      </c>
      <c r="S19" t="inlineStr">
        <is>
          <t>CRIT_DAMAGE</t>
        </is>
      </c>
      <c r="T19" t="n">
        <v>8</v>
      </c>
      <c r="U19" t="inlineStr"/>
      <c r="V19" t="inlineStr"/>
      <c r="W19" t="inlineStr">
        <is>
          <t>Crit Damage half of Lord of Darkness — same proc-chance/cooldown/duration as LORD_OF_DARKNESS_CRITRATE. PATCHED: Crit Damage 30%-&gt;40% (curve rescaled 40/30=1.3333x, giving the 400 stored here vs. the pre-patch curve's own 300).</t>
        </is>
      </c>
    </row>
    <row r="20">
      <c r="A20" t="inlineStr">
        <is>
          <t>NIMBLE_FEET</t>
        </is>
      </c>
      <c r="B20" t="inlineStr">
        <is>
          <t>Nimble Feet</t>
        </is>
      </c>
      <c r="C20" t="n">
        <v>1</v>
      </c>
      <c r="D20" t="n">
        <v>60</v>
      </c>
      <c r="E20" t="b">
        <v>1</v>
      </c>
      <c r="F20" t="n">
        <v>1</v>
      </c>
      <c r="G20" t="n">
        <v>1</v>
      </c>
      <c r="H20" t="n">
        <v>0</v>
      </c>
      <c r="I20" t="n">
        <v>0</v>
      </c>
      <c r="J20" t="n">
        <v>100</v>
      </c>
      <c r="K20" t="n">
        <v>1</v>
      </c>
      <c r="L20" t="n">
        <v>150</v>
      </c>
      <c r="M20" t="n">
        <v>0</v>
      </c>
      <c r="N20" t="b">
        <v>0</v>
      </c>
      <c r="O20" t="n">
        <v>0</v>
      </c>
      <c r="P20" t="n">
        <v>0</v>
      </c>
      <c r="Q20" t="n">
        <v>0</v>
      </c>
      <c r="R20" t="n">
        <v>1</v>
      </c>
      <c r="S20" t="inlineStr">
        <is>
          <t>ATTACK_SPEED</t>
        </is>
      </c>
      <c r="T20" t="n">
        <v>15</v>
      </c>
      <c r="U20" t="inlineStr"/>
      <c r="V20" t="inlineStr"/>
      <c r="W20" t="inlineStr">
        <is>
          <t>Shared cross-tree verbatim w/ every class in this project (byte-identical wiki wording — '+15% Attack Speed, +10% Speed for 15 sec'). Flat +15% Attack Speed / +10% Speed for 15s, 60s cooldown, non-scaling. FactorIndex unused placeholder.</t>
        </is>
      </c>
    </row>
    <row r="21">
      <c r="A21" t="inlineStr">
        <is>
          <t>WEAPON_ACCELERATION</t>
        </is>
      </c>
      <c r="B21" t="inlineStr">
        <is>
          <t>Weapon Acceleration</t>
        </is>
      </c>
      <c r="C21" t="n">
        <v>2</v>
      </c>
      <c r="D21" t="inlineStr"/>
      <c r="E21" t="b">
        <v>0</v>
      </c>
      <c r="F21" t="n">
        <v>1</v>
      </c>
      <c r="G21" t="n">
        <v>1</v>
      </c>
      <c r="H21" t="n">
        <v>0</v>
      </c>
      <c r="I21" t="n">
        <v>0</v>
      </c>
      <c r="J21" t="n">
        <v>100</v>
      </c>
      <c r="K21" t="n">
        <v>1</v>
      </c>
      <c r="L21" t="n">
        <v>50</v>
      </c>
      <c r="M21" t="n">
        <v>22</v>
      </c>
      <c r="N21" t="b">
        <v>1</v>
      </c>
      <c r="O21" t="n">
        <v>0</v>
      </c>
      <c r="P21" t="n">
        <v>0</v>
      </c>
      <c r="Q21" t="n">
        <v>0</v>
      </c>
      <c r="R21" t="n">
        <v>0</v>
      </c>
      <c r="S21" t="inlineStr">
        <is>
          <t>ATTACK_SPEED</t>
        </is>
      </c>
      <c r="T21" t="n">
        <v>0</v>
      </c>
      <c r="U21" t="inlineStr"/>
      <c r="V21" t="inlineStr"/>
      <c r="W21" t="inlineStr">
        <is>
          <t>Magic Critical pattern — already baked into Inputs!ATTACK_SPEED%; feeds the 2nd-Job Skill Level Bonus delta. Reuses Hero's/Bowmaster's own tuple directly (shared-value-different-key, byte-identical wiki wording — '+5% Attack Speed'). factorIndex 22, baseDamage 50 tenths% (5%-&gt;6.5%, levels 1-100).</t>
        </is>
      </c>
    </row>
    <row r="22">
      <c r="A22" t="inlineStr">
        <is>
          <t>WEAPON_MASTERY</t>
        </is>
      </c>
      <c r="B22" t="inlineStr">
        <is>
          <t>Weapon Mastery</t>
        </is>
      </c>
      <c r="C22" t="n">
        <v>2</v>
      </c>
      <c r="D22" t="inlineStr"/>
      <c r="E22" t="b">
        <v>0</v>
      </c>
      <c r="F22" t="n">
        <v>1</v>
      </c>
      <c r="G22" t="n">
        <v>1</v>
      </c>
      <c r="H22" t="n">
        <v>0</v>
      </c>
      <c r="I22" t="n">
        <v>0</v>
      </c>
      <c r="J22" t="n">
        <v>100</v>
      </c>
      <c r="K22" t="n">
        <v>1</v>
      </c>
      <c r="L22" t="n">
        <v>150</v>
      </c>
      <c r="M22" t="n">
        <v>22</v>
      </c>
      <c r="N22" t="b">
        <v>1</v>
      </c>
      <c r="O22" t="n">
        <v>0</v>
      </c>
      <c r="P22" t="n">
        <v>0</v>
      </c>
      <c r="Q22" t="n">
        <v>0</v>
      </c>
      <c r="R22" t="n">
        <v>0</v>
      </c>
      <c r="S22" t="inlineStr">
        <is>
          <t>MIN_DAMAGE</t>
        </is>
      </c>
      <c r="T22" t="n">
        <v>0</v>
      </c>
      <c r="U22" t="inlineStr"/>
      <c r="V22" t="inlineStr"/>
      <c r="W22" t="inlineStr">
        <is>
          <t>Magic Critical pattern — already baked into Inputs!MIN_DAMAGE%; feeds the 2nd-Job Skill Level Bonus delta. factorIndex 22, baseDamage 150 tenths% (15%-&gt;19.5%, levels 1-100).</t>
        </is>
      </c>
    </row>
    <row r="23">
      <c r="A23" t="inlineStr">
        <is>
          <t>BARRICADE_SKILL_DMG</t>
        </is>
      </c>
      <c r="B23" t="inlineStr">
        <is>
          <t>Barricade Mastery (Skill Damage)</t>
        </is>
      </c>
      <c r="C23" t="n">
        <v>4</v>
      </c>
      <c r="D23" t="inlineStr"/>
      <c r="E23" t="b">
        <v>0</v>
      </c>
      <c r="F23" t="n">
        <v>1</v>
      </c>
      <c r="G23" t="n">
        <v>1</v>
      </c>
      <c r="H23" t="n">
        <v>0</v>
      </c>
      <c r="I23" t="n">
        <v>0</v>
      </c>
      <c r="J23" t="n">
        <v>100</v>
      </c>
      <c r="K23" t="n">
        <v>1</v>
      </c>
      <c r="L23" t="n">
        <v>150</v>
      </c>
      <c r="M23" t="n">
        <v>22</v>
      </c>
      <c r="N23" t="b">
        <v>1</v>
      </c>
      <c r="O23" t="n">
        <v>0</v>
      </c>
      <c r="P23" t="n">
        <v>0</v>
      </c>
      <c r="Q23" t="n">
        <v>0</v>
      </c>
      <c r="R23" t="n">
        <v>0</v>
      </c>
      <c r="S23" t="inlineStr">
        <is>
          <t>SKILL_DAMAGE</t>
        </is>
      </c>
      <c r="T23" t="n">
        <v>0</v>
      </c>
      <c r="U23" t="inlineStr"/>
      <c r="V23" t="inlineStr"/>
      <c r="W23" t="inlineStr">
        <is>
          <t>Magic Critical pattern — already baked into Inputs!SKILL_DAMAGE%; feeds the 4th-Job Skill Level Bonus delta (Skill Damage side). Same slot as Hero's own Combat Mastery, just renamed. factorIndex 22, baseDamage 150 tenths% (15%-&gt;21.3% at Lv140, own curve).</t>
        </is>
      </c>
    </row>
    <row r="24">
      <c r="A24" t="inlineStr">
        <is>
          <t>BARRICADE_MAXDMG</t>
        </is>
      </c>
      <c r="B24" t="inlineStr">
        <is>
          <t>Barricade Mastery (Max Damage Multiplier)</t>
        </is>
      </c>
      <c r="C24" t="n">
        <v>4</v>
      </c>
      <c r="D24" t="inlineStr"/>
      <c r="E24" t="b">
        <v>0</v>
      </c>
      <c r="F24" t="n">
        <v>1</v>
      </c>
      <c r="G24" t="n">
        <v>1</v>
      </c>
      <c r="H24" t="n">
        <v>0</v>
      </c>
      <c r="I24" t="n">
        <v>0</v>
      </c>
      <c r="J24" t="n">
        <v>100</v>
      </c>
      <c r="K24" t="n">
        <v>1</v>
      </c>
      <c r="L24" t="n">
        <v>200</v>
      </c>
      <c r="M24" t="n">
        <v>22</v>
      </c>
      <c r="N24" t="b">
        <v>1</v>
      </c>
      <c r="O24" t="n">
        <v>0</v>
      </c>
      <c r="P24" t="n">
        <v>0</v>
      </c>
      <c r="Q24" t="n">
        <v>0</v>
      </c>
      <c r="R24" t="n">
        <v>0</v>
      </c>
      <c r="S24" t="inlineStr">
        <is>
          <t>MAX_DAMAGE</t>
        </is>
      </c>
      <c r="T24" t="n">
        <v>0</v>
      </c>
      <c r="U24" t="inlineStr"/>
      <c r="V24" t="inlineStr"/>
      <c r="W24" t="inlineStr">
        <is>
          <t>Same skill as Barricade Mastery (Skill Damage) above, +20%-&gt;27.8% Max Damage Multiplier (at Lv140, own curve). Magic Critical pattern — already baked into Inputs!MAX_DAMAGE%; feeds the 4th-Job Skill Level Bonus delta (Max Damage Multiplier side). factorIndex 22, baseDamage 200 tenths%.</t>
        </is>
      </c>
    </row>
    <row r="25">
      <c r="A25" t="inlineStr">
        <is>
          <t>POWER_STANCE_FD</t>
        </is>
      </c>
      <c r="B25" t="inlineStr">
        <is>
          <t>Power Stance (Final Damage)</t>
        </is>
      </c>
      <c r="C25" t="n">
        <v>4</v>
      </c>
      <c r="D25" t="inlineStr"/>
      <c r="E25" t="b">
        <v>0</v>
      </c>
      <c r="F25" t="n">
        <v>1</v>
      </c>
      <c r="G25" t="n">
        <v>1</v>
      </c>
      <c r="H25" t="n">
        <v>0</v>
      </c>
      <c r="I25" t="n">
        <v>0</v>
      </c>
      <c r="J25" t="n">
        <v>100</v>
      </c>
      <c r="K25" t="n">
        <v>1</v>
      </c>
      <c r="L25" t="n">
        <v>150</v>
      </c>
      <c r="M25" t="n">
        <v>22</v>
      </c>
      <c r="N25" t="b">
        <v>1</v>
      </c>
      <c r="O25" t="n">
        <v>0</v>
      </c>
      <c r="P25" t="n">
        <v>0</v>
      </c>
      <c r="Q25" t="n">
        <v>0</v>
      </c>
      <c r="R25" t="n">
        <v>0</v>
      </c>
      <c r="S25" t="inlineStr">
        <is>
          <t>FINAL_DAMAGE</t>
        </is>
      </c>
      <c r="T25" t="n">
        <v>0</v>
      </c>
      <c r="U25" t="inlineStr"/>
      <c r="V25" t="inlineStr"/>
      <c r="W25" t="inlineStr">
        <is>
          <t>Own damage-taken-reduction component (5%-&gt;8%) not modeled (no such mechanic exists). Byte-identical wiki wording to Hero's own Power Stance — reuses that tuple directly. Magic Critical pattern — already baked into Inputs!FINAL_DAMAGE%; feeds the 4th-Job Skill Level Bonus delta. factorIndex 22, baseDamage 150 tenths% (15%-&gt;24%, levels 1-200).</t>
        </is>
      </c>
    </row>
    <row r="26">
      <c r="A26" t="inlineStr">
        <is>
          <t>FINAL_PACT</t>
        </is>
      </c>
      <c r="B26" t="inlineStr">
        <is>
          <t>Final Pact</t>
        </is>
      </c>
      <c r="C26" t="n">
        <v>4</v>
      </c>
      <c r="D26" t="inlineStr"/>
      <c r="E26" t="b">
        <v>0</v>
      </c>
      <c r="F26" t="n">
        <v>1</v>
      </c>
      <c r="G26" t="n">
        <v>1</v>
      </c>
      <c r="H26" t="n">
        <v>0</v>
      </c>
      <c r="I26" t="n">
        <v>0</v>
      </c>
      <c r="J26" t="n">
        <v>100</v>
      </c>
      <c r="K26" t="n">
        <v>1</v>
      </c>
      <c r="L26" t="n">
        <v>100</v>
      </c>
      <c r="M26" t="n">
        <v>22</v>
      </c>
      <c r="N26" t="b">
        <v>1</v>
      </c>
      <c r="O26">
        <f>SUMPRODUCT((Inputs!$B$3&gt;={118})*{100})</f>
        <v/>
      </c>
      <c r="P26" t="n">
        <v>0</v>
      </c>
      <c r="Q26" t="n">
        <v>0</v>
      </c>
      <c r="R26" t="n">
        <v>0</v>
      </c>
      <c r="S26" t="inlineStr">
        <is>
          <t>FINAL_DAMAGE</t>
        </is>
      </c>
      <c r="T26" t="n">
        <v>0</v>
      </c>
      <c r="U26" t="inlineStr"/>
      <c r="V26" t="inlineStr"/>
      <c r="W26" t="inlineStr">
        <is>
          <t>'Increases Final Damage by 10%-&gt;13% (levels 1-200, own curve). When HP falls below 1%, the Final Damage increase disappears and you become immune to damage for 2 sec (once per battle, prevents death)' — death-prevention mechanic not modeled. Magic Critical pattern — already baked into Inputs!FINAL_DAMAGE%; feeds the 4th-Job Skill Level Bonus delta (Sensitivity-only, same as every other Magic-Critical-pattern row). factorIndex 22, baseDamage 100 tenths%. Mastery Lv.118 'Final Pact - Recovery' +100% Final Damage boost (real, +100 percentage points, Sensitivity-delta only since the whole row is a passive assumed reflected in Inputs).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1"/>
  <sheetViews>
    <sheetView workbookViewId="0">
      <selection activeCell="A1" sqref="A1"/>
    </sheetView>
  </sheetViews>
  <sheetFormatPr baseColWidth="8" defaultRowHeight="15"/>
  <cols>
    <col width="55" customWidth="1" min="1" max="1"/>
    <col width="16" customWidth="1" min="2" max="2"/>
  </cols>
  <sheetData>
    <row r="1">
      <c r="A1" s="4" t="inlineStr">
        <is>
          <t>Dark Knight — Artifacts (Equip Effect)</t>
        </is>
      </c>
    </row>
    <row r="3">
      <c r="A3" t="inlineStr">
        <is>
          <t>Book of Ancient — Crit Damage (from Crit Rate, reference only)</t>
        </is>
      </c>
      <c r="B3">
        <f>IF(ArtifactsInput!$M$24,CHOOSE(ArtifactsInput!$N$24+1,30,36,42,48,54,60)/100*(Inputs!$B$10+Summary!$B$14+B5+B29),0)</f>
        <v/>
      </c>
    </row>
    <row r="4">
      <c r="A4" t="inlineStr">
        <is>
          <t>Ring of Cycles — Threshold Crit Rate (excl. self)</t>
        </is>
      </c>
      <c r="B4">
        <f>Inputs!$B$10+Summary!$B$14+B29</f>
        <v/>
      </c>
    </row>
    <row r="5">
      <c r="A5" t="inlineStr">
        <is>
          <t>Ring of Cycles — Crit Rate (if threshold &lt; 100%)</t>
        </is>
      </c>
      <c r="B5">
        <f>IF(AND(Inputs!$B$39&lt;&gt;"pvp",Inputs!$B$44=0),1,IF(IF(Inputs!$B$39="pvp",15,Inputs!$B$44)-(Summary!$B$23)&lt;=0,1,MAX(0,IF(Inputs!$B$39="pvp",15,Inputs!$B$44)-MAX(5,Summary!$B$23))/(IF(Inputs!$B$39="pvp",15,Inputs!$B$44)-(Summary!$B$23))))*IF(AND(ArtifactsInput!$M$42,B4&lt;100),CHOOSE(ArtifactsInput!$N$42+1,30,36,42,48,54,60),0)</f>
        <v/>
      </c>
    </row>
    <row r="6">
      <c r="A6" t="inlineStr">
        <is>
          <t>Ring of Cycles — Skill Damage (if threshold &gt;= 100%)</t>
        </is>
      </c>
      <c r="B6">
        <f>IF(AND(Inputs!$B$39&lt;&gt;"pvp",Inputs!$B$44=0),1,IF(IF(Inputs!$B$39="pvp",15,Inputs!$B$44)-(Summary!$B$23)&lt;=0,1,MAX(0,IF(Inputs!$B$39="pvp",15,Inputs!$B$44)-MAX(5,Summary!$B$23))/(IF(Inputs!$B$39="pvp",15,Inputs!$B$44)-(Summary!$B$23))))*IF(AND(ArtifactsInput!$M$42,B4&gt;=100),CHOOSE(ArtifactsInput!$N$42+1,40,48,56,64,72,80),0)</f>
        <v/>
      </c>
    </row>
    <row r="7">
      <c r="A7" t="inlineStr">
        <is>
          <t>Ring of Cycles — Excess-100% Points (capped at 100)</t>
        </is>
      </c>
      <c r="B7">
        <f>IF(AND(ArtifactsInput!$M$42,B4&gt;=100),MIN(100,B4-100),0)</f>
        <v/>
      </c>
    </row>
    <row r="8">
      <c r="A8" t="inlineStr">
        <is>
          <t>Ring of Cycles — Basic Attack Damage (excess points x per-point)</t>
        </is>
      </c>
      <c r="B8">
        <f>IF(AND(Inputs!$B$39&lt;&gt;"pvp",Inputs!$B$44=0),1,IF(IF(Inputs!$B$39="pvp",15,Inputs!$B$44)-(Summary!$B$23)&lt;=0,1,MAX(0,IF(Inputs!$B$39="pvp",15,Inputs!$B$44)-MAX(5,Summary!$B$23))/(IF(Inputs!$B$39="pvp",15,Inputs!$B$44)-(Summary!$B$23))))*B7*CHOOSE(ArtifactsInput!$N$42+1,0.6,0.72,0.84,0.96,1.08,1.2)</f>
        <v/>
      </c>
    </row>
    <row r="9">
      <c r="A9" t="inlineStr">
        <is>
          <t>Candle — Effective Fight Duration</t>
        </is>
      </c>
      <c r="B9">
        <f>IF(Inputs!$B$39="pvp",15,Inputs!$B$44)</f>
        <v/>
      </c>
    </row>
    <row r="10">
      <c r="A10" t="inlineStr">
        <is>
          <t>Candle — Effective Active (fixed-duration or PvP)</t>
        </is>
      </c>
      <c r="B10">
        <f>IF(Inputs!$B$39="pvp",TRUE,AND(Inputs!$B$39&lt;&gt;"pvp",Inputs!$B$44&gt;0))</f>
        <v/>
      </c>
    </row>
    <row r="11">
      <c r="A11" t="inlineStr">
        <is>
          <t>Candle — Final Damage (100% uptime, patched)</t>
        </is>
      </c>
      <c r="B11">
        <f>IF(AND(ArtifactsInput!$M$36,B10),CHOOSE(ArtifactsInput!$N$36+1,8,9.6,11.2,12.8,14.4,16),0)</f>
        <v/>
      </c>
    </row>
    <row r="12">
      <c r="A12" t="inlineStr">
        <is>
          <t>Candle — Boss Monster Damage (20-40s window / boss-present-time uptime, patched)</t>
        </is>
      </c>
      <c r="B12">
        <f>IF(AND(ArtifactsInput!$M$36,B10),MAX(0,MIN(40,B9)-MAX(20,B41))/(B9-B41)*CHOOSE(ArtifactsInput!$N$36+1,30,36,42,48,54,60),0)</f>
        <v/>
      </c>
    </row>
    <row r="13">
      <c r="A13" t="inlineStr">
        <is>
          <t>Peach Tree Herb Pouch — Proc Rate (per second)</t>
        </is>
      </c>
      <c r="B13">
        <f>0.2*Summary!$B$17</f>
        <v/>
      </c>
    </row>
    <row r="14">
      <c r="A14" t="inlineStr">
        <is>
          <t>Peach Tree Herb Pouch — Uptime (refreshing 5s timer)</t>
        </is>
      </c>
      <c r="B14">
        <f>1-EXP(-B13*5)</f>
        <v/>
      </c>
    </row>
    <row r="15">
      <c r="A15" t="inlineStr">
        <is>
          <t>Peach Tree Herb Pouch — Enemy Damage Taken</t>
        </is>
      </c>
      <c r="B15">
        <f>IF(AND(ArtifactsInput!$M$35,Inputs!$B$4&lt;&gt;"Chapter Hunt"),CHOOSE(ArtifactsInput!$N$35+1,15,18,21,24,27,30)*B14,0)</f>
        <v/>
      </c>
    </row>
    <row r="16">
      <c r="A16" t="inlineStr">
        <is>
          <t>Silver Pendant — Offered Load (rho = lambda x duration)</t>
        </is>
      </c>
      <c r="B16">
        <f>0.15*Summary!$B$17*5</f>
        <v/>
      </c>
    </row>
    <row r="17">
      <c r="A17" t="inlineStr">
        <is>
          <t>Silver Pendant — Erlang Loss Weight (n=0)</t>
        </is>
      </c>
      <c r="B17">
        <f>B16^0/1</f>
        <v/>
      </c>
    </row>
    <row r="18">
      <c r="A18" t="inlineStr">
        <is>
          <t>Silver Pendant — Erlang Loss Weight (n=1)</t>
        </is>
      </c>
      <c r="B18">
        <f>B16^1/1</f>
        <v/>
      </c>
    </row>
    <row r="19">
      <c r="A19" t="inlineStr">
        <is>
          <t>Silver Pendant — Erlang Loss Weight (n=2)</t>
        </is>
      </c>
      <c r="B19">
        <f>B16^2/2</f>
        <v/>
      </c>
    </row>
    <row r="20">
      <c r="A20" t="inlineStr">
        <is>
          <t>Silver Pendant — Erlang Loss Weight (n=3)</t>
        </is>
      </c>
      <c r="B20">
        <f>B16^3/6</f>
        <v/>
      </c>
    </row>
    <row r="21">
      <c r="A21" t="inlineStr">
        <is>
          <t>Silver Pendant — Erlang Loss Weight (n=4)</t>
        </is>
      </c>
      <c r="B21">
        <f>B16^4/24</f>
        <v/>
      </c>
    </row>
    <row r="22">
      <c r="A22" t="inlineStr">
        <is>
          <t>Silver Pendant — Erlang Loss Weight (n=5)</t>
        </is>
      </c>
      <c r="B22">
        <f>B16^5/120</f>
        <v/>
      </c>
    </row>
    <row r="23">
      <c r="A23" t="inlineStr">
        <is>
          <t>Silver Pendant — Average Stacks (Erlang-loss mean)</t>
        </is>
      </c>
      <c r="B23">
        <f>(0*B17+1*B18+2*B19+3*B20+4*B21+5*B22)/(B17+B18+B19+B20+B21+B22)</f>
        <v/>
      </c>
    </row>
    <row r="24">
      <c r="A24" t="inlineStr">
        <is>
          <t>Silver Pendant — Enemy Damage Taken</t>
        </is>
      </c>
      <c r="B24">
        <f>IF(AND(ArtifactsInput!$M$22,Inputs!$B$4&lt;&gt;"Chapter Hunt"),CHOOSE(ArtifactsInput!$N$22+1,10,12,14,16,18,20)*B23,0)</f>
        <v/>
      </c>
    </row>
    <row r="25">
      <c r="A25" t="inlineStr">
        <is>
          <t>Athena Pierce's Old Gloves — Max Damage (from Attack Speed, reference only)</t>
        </is>
      </c>
      <c r="B25">
        <f>IF(ArtifactsInput!$M$15,CHOOSE(ArtifactsInput!$N$15+1,25,30,35,40,45,50)/100*Inputs!$B$12,0)</f>
        <v/>
      </c>
    </row>
    <row r="26">
      <c r="A26" t="inlineStr">
        <is>
          <t>Hexagon Necklace — Average Stacks</t>
        </is>
      </c>
      <c r="B26">
        <f>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f>
        <v/>
      </c>
    </row>
    <row r="27">
      <c r="A27" t="inlineStr">
        <is>
          <t>Hexagon Necklace — Damage %</t>
        </is>
      </c>
      <c r="B27">
        <f>IF(ArtifactsInput!$M$11,CHOOSE(ArtifactsInput!$N$11+1,15,18,21,24,27,30)*B26,0)</f>
        <v/>
      </c>
    </row>
    <row r="28">
      <c r="A28" t="inlineStr">
        <is>
          <t>Rainbow-colored Snail Shell — Uptime (0-15s window)</t>
        </is>
      </c>
      <c r="B28">
        <f>IF(Inputs!$B$39="pvp",MIN(15,15)/15,IF(AND(Inputs!$B$39&lt;&gt;"pvp",Inputs!$B$44&gt;0),MIN(15,Inputs!$B$44)/Inputs!$B$44,0))</f>
        <v/>
      </c>
    </row>
    <row r="29">
      <c r="A29" t="inlineStr">
        <is>
          <t>Rainbow-colored Snail Shell — Crit Rate</t>
        </is>
      </c>
      <c r="B29">
        <f>IF(ArtifactsInput!$M$10,CHOOSE(ArtifactsInput!$N$10+1,15,18,21,24,27,30)*B28,0)</f>
        <v/>
      </c>
    </row>
    <row r="30">
      <c r="A30" t="inlineStr">
        <is>
          <t>Rainbow-colored Snail Shell — Crit Damage</t>
        </is>
      </c>
      <c r="B30">
        <f>IF(ArtifactsInput!$M$10,CHOOSE(ArtifactsInput!$N$10+1,20,24,28,32,36,40)*B28,0)</f>
        <v/>
      </c>
    </row>
    <row r="32">
      <c r="A32" s="6" t="inlineStr">
        <is>
          <t>TOTAL — Artifact Crit Rate Bonus</t>
        </is>
      </c>
      <c r="B32" s="6">
        <f>B5+B29</f>
        <v/>
      </c>
    </row>
    <row r="33">
      <c r="A33" s="6" t="inlineStr">
        <is>
          <t>TOTAL — Artifact Crit Damage Bonus</t>
        </is>
      </c>
      <c r="B33" s="6">
        <f>B30+B47</f>
        <v/>
      </c>
    </row>
    <row r="34">
      <c r="A34" s="6" t="inlineStr">
        <is>
          <t>TOTAL — Artifact Final Damage Bonus (equivalent %, each real source combines MULTIPLICATIVELY — Candle x Flaming Lava x Horn Flute, not summed)</t>
        </is>
      </c>
      <c r="B34" s="6">
        <f>((1+B11/100)*(1+B46/100)*(1+B55/100)-1)*100</f>
        <v/>
      </c>
    </row>
    <row r="35">
      <c r="A35" s="6" t="inlineStr">
        <is>
          <t>TOTAL — Artifact Boss Monster Damage Bonus</t>
        </is>
      </c>
      <c r="B35" s="6">
        <f>B12+B60</f>
        <v/>
      </c>
    </row>
    <row r="36">
      <c r="A36" s="6" t="inlineStr">
        <is>
          <t>TOTAL — Artifact Enemy Damage Taken Bonus</t>
        </is>
      </c>
      <c r="B36" s="6">
        <f>B15+B24</f>
        <v/>
      </c>
    </row>
    <row r="38">
      <c r="A38" s="6" t="inlineStr">
        <is>
          <t>TOTAL — Artifact Damage Bonus (own separate final multiplier, like Magic Guard/Meditation's Average Buff Multiplier — not blended into Inputs!DAMAGE%)</t>
        </is>
      </c>
      <c r="B38" s="6">
        <f>B27</f>
        <v/>
      </c>
    </row>
    <row r="39">
      <c r="A39" s="6" t="inlineStr">
        <is>
          <t>TOTAL — Artifact Skill Damage Bonus</t>
        </is>
      </c>
      <c r="B39" s="6">
        <f>B6</f>
        <v/>
      </c>
    </row>
    <row r="40">
      <c r="A40" s="6" t="inlineStr">
        <is>
          <t>TOTAL — Artifact Basic Attack Damage Bonus</t>
        </is>
      </c>
      <c r="B40" s="6">
        <f>B8</f>
        <v/>
      </c>
    </row>
    <row r="41">
      <c r="A41" t="inlineStr">
        <is>
          <t>Candle — Boss Appear Time (Breakthrough/Hero Dungeon only)</t>
        </is>
      </c>
      <c r="B41">
        <f>IF(Inputs!$B$4="Breakthrough",20,IF(Inputs!$B$4="Hero Dungeon",30,0))</f>
        <v/>
      </c>
    </row>
    <row r="42">
      <c r="A42" t="inlineStr">
        <is>
          <t>Clear Spring Water — Final Damage (reference only, Growth Dungeon types)</t>
        </is>
      </c>
      <c r="B42">
        <f>IF(AND(ArtifactsInput!$M$14,OR(Inputs!$B$4="Weapon Dungeon",Inputs!$B$4="Equipment Dungeon",Inputs!$B$4="Enhancement Dungeon",Inputs!$B$4="EXP Dungeon",Inputs!$B$4="Hero Dungeon")),CHOOSE(ArtifactsInput!$N$14+1,10,12,14,16,18,20),0)</f>
        <v/>
      </c>
    </row>
    <row r="43">
      <c r="A43" t="inlineStr">
        <is>
          <t>Old Music Box — Attack % (content-type uptime assumption)</t>
        </is>
      </c>
      <c r="B43">
        <f>IF(ArtifactsInput!$M$21,CHOOSE(ArtifactsInput!$N$21+1,25,30,35,40,45,50)*(IF(OR(Inputs!$B$4="Chapter Hunt",Inputs!$B$4="Breakthrough",Inputs!$B$4="Weapon Dungeon",Inputs!$B$4="Equipment Dungeon",Inputs!$B$4="Enhancement Dungeon",Inputs!$B$4="EXP Dungeon",Inputs!$B$4="Hero Dungeon"),0,IF(OR(Inputs!$B$4="World Boss",Inputs!$B$4="PvP"),1,IF(Inputs!$B$4="Chapter Boss",60/70,0)))),0)</f>
        <v/>
      </c>
    </row>
    <row r="44">
      <c r="A44" t="inlineStr">
        <is>
          <t>Soul Contract — Skill Cooldown Decrease % (Chapter Hunt only)</t>
        </is>
      </c>
      <c r="B44">
        <f>IF(AND(ArtifactsInput!$M$27,Inputs!$B$4="Chapter Hunt"),CHOOSE(ArtifactsInput!$N$27+1,20,24,28,32,36,40),0)</f>
        <v/>
      </c>
    </row>
    <row r="45">
      <c r="A45" t="inlineStr">
        <is>
          <t>Soul Pouch — Final Damage (reference only, PvP/"Arena")</t>
        </is>
      </c>
      <c r="B45">
        <f>IF(AND(ArtifactsInput!$M$29,Inputs!$B$39="pvp"),CHOOSE(ArtifactsInput!$N$29+1,20,24,28,32,36,40),0)</f>
        <v/>
      </c>
    </row>
    <row r="46">
      <c r="A46" t="inlineStr">
        <is>
          <t>Flaming Lava — Final Damage (always assumes target is debuffed)</t>
        </is>
      </c>
      <c r="B46">
        <f>IF(AND(ArtifactsInput!$M$32,Inputs!$B$4&lt;&gt;"Chapter Hunt"),CHOOSE(ArtifactsInput!$N$32+1,8,9.6,11.2,12.8,14.4,16),0)</f>
        <v/>
      </c>
    </row>
    <row r="47">
      <c r="A47" t="inlineStr">
        <is>
          <t>Icy Soul Rock — Crit Damage (1.5x-averaged, MP not modeled)</t>
        </is>
      </c>
      <c r="B47">
        <f>IF(ArtifactsInput!$M$31,1.5*CHOOSE(ArtifactsInput!$N$31+1,20,24,28,32,36,40),0)</f>
        <v/>
      </c>
    </row>
    <row r="48">
      <c r="A48" t="inlineStr">
        <is>
          <t>Secret Map — Attack %</t>
        </is>
      </c>
      <c r="B48">
        <f>IF(ArtifactsInput!$M$41,CHOOSE(ArtifactsInput!$N$41+1,5,6,7,8,9,10),0)</f>
        <v/>
      </c>
    </row>
    <row r="49">
      <c r="A49" t="inlineStr">
        <is>
          <t>Secret Map — Final Damage (normal-monster branch only)</t>
        </is>
      </c>
      <c r="B49">
        <f>IF(AND(ArtifactsInput!$M$41,Inputs!$B$39&lt;&gt;"pvp"),CHOOSE(ArtifactsInput!$N$41+1,5,6,7,8,9,10)*IF(OR(Inputs!$B$4="Weapon Dungeon",Inputs!$B$4="Equipment Dungeon",Inputs!$B$4="Enhancement Dungeon",Inputs!$B$4="EXP Dungeon",Inputs!$B$4="Hero Dungeon"),3,1),0)</f>
        <v/>
      </c>
    </row>
    <row r="50">
      <c r="A50" t="inlineStr">
        <is>
          <t>Reindeer's Spear — Attack %</t>
        </is>
      </c>
      <c r="B50">
        <f>IF(ArtifactsInput!$M$40,CHOOSE(ArtifactsInput!$N$40+1,5,6,7,8,9,10),0)</f>
        <v/>
      </c>
    </row>
    <row r="51">
      <c r="A51" t="inlineStr">
        <is>
          <t>Reindeer's Spear — Base (1x) Defense Penetration (reference only)</t>
        </is>
      </c>
      <c r="B51">
        <f>IF(ArtifactsInput!$M$40,CHOOSE(ArtifactsInput!$N$40+1,5,6,7,8,9,10),0)</f>
        <v/>
      </c>
    </row>
    <row r="52">
      <c r="A52" s="6" t="inlineStr">
        <is>
          <t>TOTAL — Artifact Attack % Bonus (Old Music Box/Secret Map/Reindeer's Spear/Alliance Badge/Bottle of Emotion/Charm of the Undead — additive into the same bucket as Magic Guard/Meditation's Average Buff Multiplier)</t>
        </is>
      </c>
      <c r="B52" s="6">
        <f>B43+B48+B50+B58+B56+B71</f>
        <v/>
      </c>
    </row>
    <row r="53">
      <c r="A53" s="6" t="inlineStr">
        <is>
          <t>TOTAL — Artifact Final Damage Bonus, NORMAL-MONSTER BRANCH ONLY (Secret Map/Fire Flower/Chalice)</t>
        </is>
      </c>
      <c r="B53" s="6">
        <f>B49+B62+B65</f>
        <v/>
      </c>
    </row>
    <row r="54">
      <c r="A54" t="inlineStr">
        <is>
          <t>Cursed Doll — Final Damage (reference only)</t>
        </is>
      </c>
      <c r="B54">
        <f>IF(ArtifactsInput!$M$39,CHOOSE(ArtifactsInput!$N$39+1,7,8.4,9.8,11.2,12.6,14),0)</f>
        <v/>
      </c>
    </row>
    <row r="55">
      <c r="A55" t="inlineStr">
        <is>
          <t>Horn Flute — Final Damage (character's own portion only)</t>
        </is>
      </c>
      <c r="B55">
        <f>IF(AND(ArtifactsInput!$M$38,Inputs!$B$39&lt;&gt;"pvp",Inputs!$B$44&gt;0),CHOOSE(ArtifactsInput!$N$38+1,10,12,14,16,18,20)*(MIN(30,MAX(0,Inputs!$B$44-7))/Inputs!$B$44)*IF(Inputs!$B$4="Chapter Boss",2,1),0)</f>
        <v/>
      </c>
    </row>
    <row r="56">
      <c r="A56" t="inlineStr">
        <is>
          <t>Bottle of Emotion — Attack %</t>
        </is>
      </c>
      <c r="B56">
        <f>IF(ArtifactsInput!$M$34,CHOOSE(ArtifactsInput!$N$34+1,15,18,21,24,27,30),0)</f>
        <v/>
      </c>
    </row>
    <row r="57">
      <c r="A57" t="inlineStr">
        <is>
          <t>Bottle of Emotion — Final Damage from Attack Speed (reference only)</t>
        </is>
      </c>
      <c r="B57">
        <f>IF(ArtifactsInput!$M$34,MIN(CHOOSE(ArtifactsInput!$N$34+1,10,12,14,16,18,20),MAX(0,(CHOOSE(ArtifactsInput!$N$34+1,0.5,0.6,0.7,0.8,0.9,1)/3)*(Inputs!$B$12-60))),0)</f>
        <v/>
      </c>
    </row>
    <row r="58">
      <c r="A58" t="inlineStr">
        <is>
          <t>Alliance Badge — Attack %</t>
        </is>
      </c>
      <c r="B58">
        <f>IF(ArtifactsInput!$M$37,CHOOSE(ArtifactsInput!$N$37+1,10,12,14,16,18,20),0)</f>
        <v/>
      </c>
    </row>
    <row r="59">
      <c r="A59" t="inlineStr">
        <is>
          <t>Sayram's Necklace — Normal Monster Damage</t>
        </is>
      </c>
      <c r="B59">
        <f>IF(ArtifactsInput!$M$33,CHOOSE(ArtifactsInput!$N$33+1,30,36,42,48,54,60),0)</f>
        <v/>
      </c>
    </row>
    <row r="60">
      <c r="A60" t="inlineStr">
        <is>
          <t>Sayram's Necklace — Boss Monster Damage</t>
        </is>
      </c>
      <c r="B60">
        <f>IF(ArtifactsInput!$M$33,CHOOSE(ArtifactsInput!$N$33+1,10,12,14,16,18,20),0)</f>
        <v/>
      </c>
    </row>
    <row r="61">
      <c r="A61" t="inlineStr">
        <is>
          <t>Lit Lamp — Final Damage (reference only, World Boss)</t>
        </is>
      </c>
      <c r="B61">
        <f>IF(AND(ArtifactsInput!$M$28,Inputs!$B$4="World Boss"),CHOOSE(ArtifactsInput!$N$28+1,20,24,28,32,36,40),0)</f>
        <v/>
      </c>
    </row>
    <row r="62">
      <c r="A62" t="inlineStr">
        <is>
          <t>Fire Flower — Final Damage (normal-monster branch, 10 targets assumed)</t>
        </is>
      </c>
      <c r="B62">
        <f>IF(ArtifactsInput!$M$26,10*CHOOSE(ArtifactsInput!$N$26+1,1,1.2,1.4,1.6,1.8,2),0)</f>
        <v/>
      </c>
    </row>
    <row r="63">
      <c r="A63" t="inlineStr">
        <is>
          <t>Fire Flower — Final Damage (boss/PvP branch, 1 target assumed)</t>
        </is>
      </c>
      <c r="B63">
        <f>IF(ArtifactsInput!$M$26,1*CHOOSE(ArtifactsInput!$N$26+1,1,1.2,1.4,1.6,1.8,2),0)</f>
        <v/>
      </c>
    </row>
    <row r="64">
      <c r="A64" t="inlineStr">
        <is>
          <t>Star Rock — Boss Monster Damage (reference only)</t>
        </is>
      </c>
      <c r="B64">
        <f>IF(ArtifactsInput!$M$23,CHOOSE(ArtifactsInput!$N$23+1,50,60,70,80,90,100),0)</f>
        <v/>
      </c>
    </row>
    <row r="65">
      <c r="A65" t="inlineStr">
        <is>
          <t>Chalice — Final Damage (normal-monster branch)</t>
        </is>
      </c>
      <c r="B65">
        <f>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f>
        <v/>
      </c>
    </row>
    <row r="66">
      <c r="A66" t="inlineStr">
        <is>
          <t>Chalice — Final Damage (boss branch)</t>
        </is>
      </c>
      <c r="B66">
        <f>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f>
        <v/>
      </c>
    </row>
    <row r="69">
      <c r="A69" t="inlineStr">
        <is>
          <t>The Contract of Darkness — Crit Rate (boss branch only)</t>
        </is>
      </c>
      <c r="B69">
        <f>IF(AND(ArtifactsInput!$M$8,Inputs!$B$39&lt;&gt;"pvp"),CHOOSE(ArtifactsInput!$N$8+1,8,9.6,11.2,12.8,14.4,16),0)</f>
        <v/>
      </c>
    </row>
    <row r="70">
      <c r="A70" t="inlineStr">
        <is>
          <t>Shamaness Marble — Buff Duration Increase % (reference only)</t>
        </is>
      </c>
      <c r="B70">
        <f>IF(ArtifactsInput!$M$7,CHOOSE(ArtifactsInput!$N$7+1,6,7.2,8.4,9.6,10.8,12),0)</f>
        <v/>
      </c>
    </row>
    <row r="71">
      <c r="A71" t="inlineStr">
        <is>
          <t>Charm of the Undead — Attack % (periodic uptime)</t>
        </is>
      </c>
      <c r="B71">
        <f>IF(ArtifactsInput!$M$5,CHOOSE(ArtifactsInput!$N$5+1,10,12,14,16,18,20)*(IF(AND(Inputs!$B$39&lt;&gt;"pvp",Inputs!$B$44=0),0.5,(5*INT(MAX(0,IF(Inputs!$B$39="pvp",15,Inputs!$B$44)-10)/10)+MIN((MAX(0,IF(Inputs!$B$39="pvp",15,Inputs!$B$44)-10)-10*INT(MAX(0,IF(Inputs!$B$39="pvp",15,Inputs!$B$44)-10)/10)),5))/IF(Inputs!$B$39="pvp",15,Inputs!$B$44))),0)</f>
        <v/>
      </c>
    </row>
    <row r="72">
      <c r="A72" t="inlineStr">
        <is>
          <t>Ancient Text Piece — always 0 (Guild Conquest not modeled)</t>
        </is>
      </c>
      <c r="B72" t="n">
        <v>0</v>
      </c>
    </row>
    <row r="73">
      <c r="A73" t="inlineStr">
        <is>
          <t>Lunar Dew — always 0 (no attacking effect)</t>
        </is>
      </c>
      <c r="B73" t="n">
        <v>0</v>
      </c>
    </row>
    <row r="74">
      <c r="A74" t="inlineStr">
        <is>
          <t>Pink Bean's Giant Rib — always 0 (raid content not modeled)</t>
        </is>
      </c>
      <c r="B74" t="n">
        <v>0</v>
      </c>
    </row>
    <row r="75">
      <c r="A75" t="inlineStr">
        <is>
          <t>Horntail's Scale — always 0 (raid content not modeled)</t>
        </is>
      </c>
      <c r="B75" t="n">
        <v>0</v>
      </c>
    </row>
    <row r="76">
      <c r="A76" t="inlineStr">
        <is>
          <t>Zakum's Stone Piece — always 0 (raid content not modeled)</t>
        </is>
      </c>
      <c r="B76" t="n">
        <v>0</v>
      </c>
    </row>
    <row r="77">
      <c r="A77" t="inlineStr">
        <is>
          <t>Mushmom's Cap — always 0 (Accuracy-vs-Evasion not modeled)</t>
        </is>
      </c>
      <c r="B77" t="n">
        <v>0</v>
      </c>
    </row>
    <row r="78">
      <c r="A78" t="inlineStr">
        <is>
          <t>Arwen's Glass Shoes — always 0 (companions not modeled)</t>
        </is>
      </c>
      <c r="B78" t="n">
        <v>0</v>
      </c>
    </row>
    <row r="79">
      <c r="A79" t="inlineStr">
        <is>
          <t>Pig's Ribbon — always 0 (no attacking effect)</t>
        </is>
      </c>
      <c r="B79" t="n">
        <v>0</v>
      </c>
    </row>
    <row r="80">
      <c r="A80" s="6" t="inlineStr">
        <is>
          <t>TOTAL — Artifact Normal Monster Damage Bonus</t>
        </is>
      </c>
      <c r="B80" s="6">
        <f>B59</f>
        <v/>
      </c>
    </row>
    <row r="81">
      <c r="A81" s="6" t="inlineStr">
        <is>
          <t>TOTAL — Artifact Final Damage Bonus, BOSS BRANCH ONLY (Fire Flower/Chalice)</t>
        </is>
      </c>
      <c r="B81" s="6">
        <f>B63+B66</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4" customWidth="1" min="2" max="2"/>
    <col width="10" customWidth="1" min="3" max="3"/>
    <col width="12" customWidth="1" min="4" max="4"/>
    <col width="9" customWidth="1" min="5" max="5"/>
    <col width="15" customWidth="1" min="6" max="6"/>
    <col width="13" customWidth="1" min="7" max="7"/>
    <col width="14" customWidth="1" min="8" max="8"/>
    <col width="17" customWidth="1" min="9" max="9"/>
    <col width="13" customWidth="1" min="10" max="10"/>
    <col width="15" customWidth="1" min="11" max="11"/>
    <col width="12" customWidth="1" min="12" max="12"/>
    <col width="12" customWidth="1" min="13" max="13"/>
    <col width="17" customWidth="1" min="14" max="14"/>
    <col width="12" customWidth="1" min="15" max="15"/>
    <col width="10" customWidth="1" min="16" max="16"/>
    <col width="12" customWidth="1" min="17" max="17"/>
    <col width="12" customWidth="1" min="18" max="18"/>
    <col width="14" customWidth="1" min="19" max="19"/>
  </cols>
  <sheetData>
    <row r="1">
      <c r="A1" s="5" t="inlineStr">
        <is>
          <t>Key</t>
        </is>
      </c>
      <c r="B1" s="5" t="inlineStr">
        <is>
          <t>Name</t>
        </is>
      </c>
      <c r="C1" s="5" t="inlineStr">
        <is>
          <t>Unlocked</t>
        </is>
      </c>
      <c r="D1" s="5" t="inlineStr">
        <is>
          <t>InputLevel</t>
        </is>
      </c>
      <c r="E1" s="5" t="inlineStr">
        <is>
          <t>Factor</t>
        </is>
      </c>
      <c r="F1" s="5" t="inlineStr">
        <is>
          <t>CoefficientPercent</t>
        </is>
      </c>
      <c r="G1" s="5" t="inlineStr">
        <is>
          <t>EffectiveHits</t>
        </is>
      </c>
      <c r="H1" s="5" t="inlineStr">
        <is>
          <t>ProcProbability</t>
        </is>
      </c>
      <c r="I1" s="5" t="inlineStr">
        <is>
          <t>MapleHeroMultiplier</t>
        </is>
      </c>
      <c r="J1" s="5" t="inlineStr">
        <is>
          <t>BaseDamage</t>
        </is>
      </c>
      <c r="K1" s="5" t="inlineStr">
        <is>
          <t>BaseHitDamage</t>
        </is>
      </c>
      <c r="L1" s="5" t="inlineStr">
        <is>
          <t>NonCritAvg</t>
        </is>
      </c>
      <c r="M1" s="5" t="inlineStr">
        <is>
          <t>CritAvg</t>
        </is>
      </c>
      <c r="N1" s="5" t="inlineStr">
        <is>
          <t>ExpectedDamage(perHit)</t>
        </is>
      </c>
      <c r="O1" s="5" t="inlineStr">
        <is>
          <t>DPS</t>
        </is>
      </c>
      <c r="P1" s="5" t="inlineStr">
        <is>
          <t>% of Total</t>
        </is>
      </c>
      <c r="Q1" s="5" t="inlineStr">
        <is>
          <t>InvCooldown</t>
        </is>
      </c>
      <c r="R1" s="5" t="inlineStr">
        <is>
          <t>CastsInFight</t>
        </is>
      </c>
      <c r="S1" s="5" t="inlineStr">
        <is>
          <t>HitRate(perSec)</t>
        </is>
      </c>
      <c r="T1" t="inlineStr">
        <is>
          <t>BossOnlyDPS</t>
        </is>
      </c>
      <c r="V1" t="inlineStr">
        <is>
          <t>NormalOnlyDPS</t>
        </is>
      </c>
    </row>
    <row r="2">
      <c r="A2">
        <f>Skills!A2</f>
        <v/>
      </c>
      <c r="B2">
        <f>Skills!B2</f>
        <v/>
      </c>
      <c r="C2">
        <f>Inputs!$B$3&gt;=100</f>
        <v/>
      </c>
      <c r="D2" t="inlineStr"/>
      <c r="E2" t="inlineStr"/>
      <c r="F2">
        <f>Summary!$B$10+Skills!O2</f>
        <v/>
      </c>
      <c r="G2">
        <f>Skills!G2*IF(Skills!H2&gt;0,INT(IF(Inputs!$B$39="pvp",MIN(Skills!I2,15),Skills!I2)/Skills!H2+0.000000001),1)</f>
        <v/>
      </c>
      <c r="H2">
        <f>1-(1-Skills!J2/100)^Skills!K2</f>
        <v/>
      </c>
      <c r="I2" t="inlineStr">
        <is>
          <t>1</t>
        </is>
      </c>
      <c r="J2">
        <f>Summary!$B$6*(F2/100)</f>
        <v/>
      </c>
      <c r="K2">
        <f>J2*(1+Summary!$B$7/100)*(1+Inputs!$B$16/100)*(1+Inputs!$B$17/100)*(5000/(6000+Inputs!$B$43*(1-Inputs!$B$20/100)))*(1+(Inputs!$B$25+Summary!$B$21)/100)*(1+Artifacts!$B$34/100)*(1+(IF(Skills!A2="DARK_IMPALE",Inputs!$B$18+Artifacts!$B$40,Inputs!$B$19+Artifacts!$B$39))/100)*(Summary!$B$13*(1+Artifacts!$B$38/100)*I2)</f>
        <v/>
      </c>
      <c r="L2">
        <f>K2*(MIN(Inputs!$B$23,Inputs!$B$24)/100+Inputs!$B$24/100)/2</f>
        <v/>
      </c>
      <c r="M2">
        <f>L2*(1+(Inputs!$B$11+Summary!$B$20+Artifacts!$B$33)/100)</f>
        <v/>
      </c>
      <c r="N2">
        <f>L2*(1-MIN((Inputs!$B$10+Summary!$B$14+Artifacts!$B$32),100)/100)+M2*(MIN((Inputs!$B$10+Summary!$B$14+Artifacts!$B$32),100)/100)</f>
        <v/>
      </c>
      <c r="O2">
        <f>(1-Summary!$B$11)*T2+Summary!$B$11*V2</f>
        <v/>
      </c>
      <c r="P2">
        <f>IF(Summary!$B$3=0,0,O2/Summary!$B$3)</f>
        <v/>
      </c>
      <c r="Q2" t="n">
        <v>0</v>
      </c>
      <c r="R2" t="n">
        <v>0</v>
      </c>
      <c r="S2">
        <f>IFERROR(O2/N2,0)</f>
        <v/>
      </c>
      <c r="T2">
        <f>IF(C2,(Skills!G2*N2*Summary!$B$19)*IF(Inputs!$B$39="pvp",1,1+(Inputs!$B$21+Skills!P2+Summary!$B$15+Artifacts!$B$35)/100)*((((5000/(6000+Inputs!$B$43*(1-(100*(1-(1-Inputs!$B$20/100)*(1-Artifacts!$B$51/100)^IF(Inputs!$B$39="pvp",1,2)))/100)))/(5000/(6000+Inputs!$B$43*(1-Inputs!$B$20/100))))*((L2*(1-MIN(100,(Inputs!$B$10+Summary!$B$14+Artifacts!$B$32)+Artifacts!$B$69)/100)+M2*(MIN(100,(Inputs!$B$10+Summary!$B$14+Artifacts!$B$32)+Artifacts!$B$69)/100))/(L2*(1-MIN(100,(Inputs!$B$10+Summary!$B$14+Artifacts!$B$32))/100)+M2*(MIN(100,(Inputs!$B$10+Summary!$B$14+Artifacts!$B$32))/100)))*(1+Artifacts!$B$81/100))),0)</f>
        <v/>
      </c>
      <c r="V2">
        <f>IF(C2,(Skills!G2*N2*Summary!$B$19)*IF(Inputs!$B$39="pvp",1,(1+(Inputs!$B$22+Skills!Q2+Summary!$B$15+Artifacts!$B$80)/100)*(MIN(Skills!R2,Inputs!$B$38)))*((1+Artifacts!$B$53/100)),0)</f>
        <v/>
      </c>
    </row>
    <row r="3">
      <c r="A3">
        <f>Skills!A3</f>
        <v/>
      </c>
      <c r="B3">
        <f>Skills!B3</f>
        <v/>
      </c>
      <c r="C3">
        <f>Inputs!$B$3&gt;=50</f>
        <v/>
      </c>
      <c r="D3">
        <f>IF(Skills!C3=1,60+Inputs!$B$26+Inputs!$B$30,IF(Skills!C3=2,90+Inputs!$B$27+Inputs!$B$30,IF(Skills!C3=3,120+Inputs!$B$28+Inputs!$B$30,MAX(0,(Inputs!$B$3-100)*3)+Inputs!$B$29+Inputs!$B$30)))</f>
        <v/>
      </c>
      <c r="E3">
        <f>INDEX(FactorTable!$B$2:$Y$301, MATCH(ROUND(MIN(300,MAX(1,D3)),0), FactorTable!$A$2:$A$301,0), Skills!M3+1)</f>
        <v/>
      </c>
      <c r="F3">
        <f>IF(Skills!N3=TRUE,(Skills!L3/10)*(E3/1000),Skills!L3/10)+Skills!O3</f>
        <v/>
      </c>
      <c r="G3" t="inlineStr"/>
      <c r="H3" t="inlineStr"/>
      <c r="I3" t="inlineStr">
        <is>
          <t>1</t>
        </is>
      </c>
      <c r="J3" t="inlineStr"/>
      <c r="K3" t="inlineStr"/>
      <c r="L3" t="inlineStr"/>
      <c r="M3" t="inlineStr"/>
      <c r="N3" t="inlineStr"/>
      <c r="O3" t="inlineStr"/>
      <c r="P3" t="inlineStr"/>
      <c r="Q3" t="inlineStr"/>
      <c r="R3" t="inlineStr"/>
      <c r="S3" t="inlineStr"/>
    </row>
    <row r="4">
      <c r="A4">
        <f>Skills!A4</f>
        <v/>
      </c>
      <c r="B4">
        <f>Skills!B4</f>
        <v/>
      </c>
      <c r="C4">
        <f>Inputs!$B$3&gt;=105</f>
        <v/>
      </c>
      <c r="D4">
        <f>IF(Skills!C4=1,60+Inputs!$B$26+Inputs!$B$30,IF(Skills!C4=2,90+Inputs!$B$27+Inputs!$B$30,IF(Skills!C4=3,120+Inputs!$B$28+Inputs!$B$30,MAX(0,(Inputs!$B$3-100)*3)+Inputs!$B$29+Inputs!$B$30)))</f>
        <v/>
      </c>
      <c r="E4">
        <f>INDEX(FactorTable!$B$2:$Y$301, MATCH(ROUND(MIN(300,MAX(1,D4)),0), FactorTable!$A$2:$A$301,0), Skills!M4+1)</f>
        <v/>
      </c>
      <c r="F4">
        <f>IF(Skills!N4=TRUE,(Skills!L4/10)*(E4/1000),Skills!L4/10)+Skills!O4</f>
        <v/>
      </c>
      <c r="G4" t="inlineStr"/>
      <c r="H4" t="inlineStr"/>
      <c r="I4" t="inlineStr">
        <is>
          <t>1</t>
        </is>
      </c>
      <c r="J4" t="inlineStr"/>
      <c r="K4" t="inlineStr"/>
      <c r="L4" t="inlineStr"/>
      <c r="M4" t="inlineStr"/>
      <c r="N4" t="inlineStr"/>
      <c r="O4" t="inlineStr"/>
      <c r="P4" t="inlineStr"/>
      <c r="Q4" t="inlineStr"/>
      <c r="R4" t="inlineStr"/>
      <c r="S4" t="inlineStr"/>
    </row>
    <row r="5">
      <c r="A5">
        <f>Skills!A5</f>
        <v/>
      </c>
      <c r="B5">
        <f>Skills!B5</f>
        <v/>
      </c>
      <c r="C5">
        <f>Inputs!$B$3&gt;=117</f>
        <v/>
      </c>
      <c r="D5">
        <f>IF(Skills!C5=1,60+Inputs!$B$26+Inputs!$B$30,IF(Skills!C5=2,90+Inputs!$B$27+Inputs!$B$30,IF(Skills!C5=3,120+Inputs!$B$28+Inputs!$B$30,MAX(0,(Inputs!$B$3-100)*3)+Inputs!$B$29+Inputs!$B$30)))</f>
        <v/>
      </c>
      <c r="E5">
        <f>INDEX(FactorTable!$B$2:$Y$301, MATCH(ROUND(MIN(300,MAX(1,D5)),0), FactorTable!$A$2:$A$301,0), Skills!M5+1)</f>
        <v/>
      </c>
      <c r="F5">
        <f>IF(Skills!N5=TRUE,(Skills!L5/10)*(E5/1000),Skills!L5/10)+Skills!O5</f>
        <v/>
      </c>
      <c r="G5">
        <f>Skills!G5*IF(Skills!H5&gt;0,INT(IF(Inputs!$B$39="pvp",MIN(Skills!I5,15),Skills!I5)/Skills!H5+0.000000001),1)</f>
        <v/>
      </c>
      <c r="H5">
        <f>1-(1-Skills!J5/100)^Skills!K5</f>
        <v/>
      </c>
      <c r="I5" t="inlineStr">
        <is>
          <t>1</t>
        </is>
      </c>
      <c r="J5">
        <f>Summary!$B$6*(F5/100)</f>
        <v/>
      </c>
      <c r="K5">
        <f>J5*(1+Summary!$B$7/100)*(1+Inputs!$B$16/100)*(1+Inputs!$B$17/100)*(5000/(6000+Inputs!$B$43*(1-Inputs!$B$20/100)))*(1+(Inputs!$B$25+Summary!$B$21)/100)*(1+Artifacts!$B$34/100)*(1+(IF(Skills!A5="DARK_IMPALE",Inputs!$B$18+Artifacts!$B$40,Inputs!$B$19+Artifacts!$B$39))/100)*(Summary!$B$13*(1+Artifacts!$B$38/100)*I5)</f>
        <v/>
      </c>
      <c r="L5">
        <f>K5*(MIN(Inputs!$B$23,Inputs!$B$24)/100+Inputs!$B$24/100)/2</f>
        <v/>
      </c>
      <c r="M5">
        <f>L5*(1+(Inputs!$B$11+Summary!$B$20+Artifacts!$B$33)/100)</f>
        <v/>
      </c>
      <c r="N5">
        <f>L5*(1-MIN((Inputs!$B$10+Summary!$B$14+Artifacts!$B$32),100)/100)+M5*(MIN((Inputs!$B$10+Summary!$B$14+Artifacts!$B$32),100)/100)</f>
        <v/>
      </c>
      <c r="O5">
        <f>(1-Summary!$B$11)*T5+Summary!$B$11*V5</f>
        <v/>
      </c>
      <c r="P5">
        <f>IF(Summary!$B$3=0,0,O5/Summary!$B$3)</f>
        <v/>
      </c>
      <c r="Q5">
        <f>IFERROR(1/IF(Inputs!$B$39="pvp",15,MAX(0.1,Skills!D5-IF(TRUE=TRUE,Inputs!$B$33,0))),0)</f>
        <v/>
      </c>
      <c r="R5">
        <f>IF(AND(Inputs!$B$39&lt;&gt;"pvp",Inputs!$B$44&gt;0),IF(MAX(0,Inputs!$B$44-Summary!$B$23)&lt;=0,0,(INT(MAX(0,Inputs!$B$44-Summary!$B$23)/IF(Inputs!$B$39="pvp",15,MAX(0.1,Skills!D5-IF(TRUE=TRUE,Inputs!$B$33,0))))+1)),0)</f>
        <v/>
      </c>
      <c r="S5">
        <f>IFERROR(O5/N5,0)</f>
        <v/>
      </c>
      <c r="T5">
        <f>IF(C5,(H5*N5*IF(AND(Inputs!$B$39&lt;&gt;"pvp",Inputs!$B$44&gt;0),((Skills!G5*((R5-1)*IF(Skills!H5&gt;0,INT(Skills!I5/Skills!H5+0.000000001),1)+IF(Skills!H5&gt;0,INT(MIN(Skills!I5,MAX(0,MAX(0,Inputs!$B$44-Summary!$B$23)-((R5-1)*IF(Inputs!$B$39="pvp",15,MAX(0.1,Skills!D5-IF(TRUE=TRUE,Inputs!$B$33,0))))))/Skills!H5+0.000000001),1)))/Inputs!$B$44),G5*Q5))*IF(Inputs!$B$39="pvp",1,1+(Inputs!$B$21+Skills!P5+Summary!$B$15+Artifacts!$B$35)/100)*((((5000/(6000+Inputs!$B$43*(1-(100*(1-(1-Inputs!$B$20/100)*(1-Artifacts!$B$51/100)^IF(Inputs!$B$39="pvp",1,2)))/100)))/(5000/(6000+Inputs!$B$43*(1-Inputs!$B$20/100))))*((L5*(1-MIN(100,(Inputs!$B$10+Summary!$B$14+Artifacts!$B$32)+Artifacts!$B$69)/100)+M5*(MIN(100,(Inputs!$B$10+Summary!$B$14+Artifacts!$B$32)+Artifacts!$B$69)/100))/(L5*(1-MIN(100,(Inputs!$B$10+Summary!$B$14+Artifacts!$B$32))/100)+M5*(MIN(100,(Inputs!$B$10+Summary!$B$14+Artifacts!$B$32))/100)))*(1+Artifacts!$B$81/100))),0)</f>
        <v/>
      </c>
      <c r="V5">
        <f>IF(C5,(H5*N5*IF(AND(Inputs!$B$39&lt;&gt;"pvp",Inputs!$B$44&gt;0),((Skills!G5*((R5-1)*IF(Skills!H5&gt;0,INT(Skills!I5/Skills!H5+0.000000001),1)+IF(Skills!H5&gt;0,INT(MIN(Skills!I5,MAX(0,MAX(0,Inputs!$B$44-Summary!$B$23)-((R5-1)*IF(Inputs!$B$39="pvp",15,MAX(0.1,Skills!D5-IF(TRUE=TRUE,Inputs!$B$33,0))))))/Skills!H5+0.000000001),1)))/Inputs!$B$44),G5*Q5))*IF(Inputs!$B$39="pvp",1,(1+(Inputs!$B$22+Skills!Q5+Summary!$B$15+Artifacts!$B$80)/100)*(MIN(Skills!R5,Inputs!$B$38)))*((1+Artifacts!$B$53/100)),0)</f>
        <v/>
      </c>
    </row>
    <row r="6">
      <c r="A6">
        <f>Skills!A6</f>
        <v/>
      </c>
      <c r="B6">
        <f>Skills!B6</f>
        <v/>
      </c>
      <c r="C6">
        <f>Inputs!$B$3&gt;=103</f>
        <v/>
      </c>
      <c r="D6">
        <f>IF(Skills!C6=1,60+Inputs!$B$26+Inputs!$B$30,IF(Skills!C6=2,90+Inputs!$B$27+Inputs!$B$30,IF(Skills!C6=3,120+Inputs!$B$28+Inputs!$B$30,MAX(0,(Inputs!$B$3-100)*3)+Inputs!$B$29+Inputs!$B$30)))</f>
        <v/>
      </c>
      <c r="E6">
        <f>INDEX(FactorTable!$B$2:$Y$301, MATCH(ROUND(MIN(300,MAX(1,D6)),0), FactorTable!$A$2:$A$301,0), Skills!M6+1)</f>
        <v/>
      </c>
      <c r="F6">
        <f>IF(Skills!N6=TRUE,(Skills!L6/10)*(E6/1000),Skills!L6/10)+Skills!O6</f>
        <v/>
      </c>
      <c r="G6">
        <f>Skills!G6*IF(Skills!H6&gt;0,INT(IF(Inputs!$B$39="pvp",MIN(Skills!I6,15),Skills!I6)/Skills!H6+0.000000001),1)</f>
        <v/>
      </c>
      <c r="H6">
        <f>1-(1-Skills!J6/100)^Skills!K6</f>
        <v/>
      </c>
      <c r="I6" t="inlineStr">
        <is>
          <t>1</t>
        </is>
      </c>
      <c r="J6">
        <f>Summary!$B$6*(F6/100)</f>
        <v/>
      </c>
      <c r="K6">
        <f>J6*(1+Summary!$B$7/100)*(1+Inputs!$B$16/100)*(1+Inputs!$B$17/100)*(5000/(6000+Inputs!$B$43*(1-Inputs!$B$20/100)))*(1+(Inputs!$B$25+Summary!$B$21)/100)*(1+Artifacts!$B$34/100)*(1+(IF(Skills!A6="DARK_IMPALE",Inputs!$B$18+Artifacts!$B$40,Inputs!$B$19+Artifacts!$B$39))/100)*(Summary!$B$13*(1+Artifacts!$B$38/100)*I6)</f>
        <v/>
      </c>
      <c r="L6">
        <f>K6*(MIN(Inputs!$B$23,Inputs!$B$24)/100+Inputs!$B$24/100)/2</f>
        <v/>
      </c>
      <c r="M6">
        <f>L6*(1+(Inputs!$B$11+Summary!$B$20+Artifacts!$B$33)/100)</f>
        <v/>
      </c>
      <c r="N6">
        <f>L6*(1-MIN((Inputs!$B$10+Summary!$B$14+Artifacts!$B$32),100)/100)+M6*(MIN((Inputs!$B$10+Summary!$B$14+Artifacts!$B$32),100)/100)</f>
        <v/>
      </c>
      <c r="O6">
        <f>(1-Summary!$B$11)*T6+Summary!$B$11*V6</f>
        <v/>
      </c>
      <c r="P6">
        <f>IF(Summary!$B$3=0,0,O6/Summary!$B$3)</f>
        <v/>
      </c>
      <c r="Q6">
        <f>IFERROR(1/IF(Inputs!$B$39="pvp",15,MAX(0.1,Skills!D6-IF(TRUE=TRUE,Inputs!$B$33,0))),0)</f>
        <v/>
      </c>
      <c r="R6">
        <f>IF(AND(Inputs!$B$39&lt;&gt;"pvp",Inputs!$B$44&gt;0),IF(MAX(0,Inputs!$B$44-Summary!$B$23)&lt;=0,0,(INT(MAX(0,Inputs!$B$44-Summary!$B$23)/IF(Inputs!$B$39="pvp",15,MAX(0.1,Skills!D6-IF(TRUE=TRUE,Inputs!$B$33,0))))+1)),0)</f>
        <v/>
      </c>
      <c r="S6">
        <f>IFERROR(O6/N6,0)</f>
        <v/>
      </c>
      <c r="T6">
        <f>IF(C6,(H6*N6*IF(AND(Inputs!$B$39&lt;&gt;"pvp",Inputs!$B$44&gt;0),((Skills!G6*((R6-1)*IF(Skills!H6&gt;0,INT(Skills!I6/Skills!H6+0.000000001),1)+IF(Skills!H6&gt;0,INT(MIN(Skills!I6,MAX(0,MAX(0,Inputs!$B$44-Summary!$B$23)-((R6-1)*IF(Inputs!$B$39="pvp",15,MAX(0.1,Skills!D6-IF(TRUE=TRUE,Inputs!$B$33,0))))))/Skills!H6+0.000000001),1)))/Inputs!$B$44),G6*Q6))*IF(Inputs!$B$39="pvp",1,1+(Inputs!$B$21+Skills!P6+Summary!$B$15+Artifacts!$B$35)/100)*((((5000/(6000+Inputs!$B$43*(1-(100*(1-(1-Inputs!$B$20/100)*(1-Artifacts!$B$51/100)^IF(Inputs!$B$39="pvp",1,2)))/100)))/(5000/(6000+Inputs!$B$43*(1-Inputs!$B$20/100))))*((L6*(1-MIN(100,(Inputs!$B$10+Summary!$B$14+Artifacts!$B$32)+Artifacts!$B$69)/100)+M6*(MIN(100,(Inputs!$B$10+Summary!$B$14+Artifacts!$B$32)+Artifacts!$B$69)/100))/(L6*(1-MIN(100,(Inputs!$B$10+Summary!$B$14+Artifacts!$B$32))/100)+M6*(MIN(100,(Inputs!$B$10+Summary!$B$14+Artifacts!$B$32))/100)))*(1+Artifacts!$B$81/100))),0)</f>
        <v/>
      </c>
      <c r="V6">
        <f>IF(C6,(H6*N6*IF(AND(Inputs!$B$39&lt;&gt;"pvp",Inputs!$B$44&gt;0),((Skills!G6*((R6-1)*IF(Skills!H6&gt;0,INT(Skills!I6/Skills!H6+0.000000001),1)+IF(Skills!H6&gt;0,INT(MIN(Skills!I6,MAX(0,MAX(0,Inputs!$B$44-Summary!$B$23)-((R6-1)*IF(Inputs!$B$39="pvp",15,MAX(0.1,Skills!D6-IF(TRUE=TRUE,Inputs!$B$33,0))))))/Skills!H6+0.000000001),1)))/Inputs!$B$44),G6*Q6))*IF(Inputs!$B$39="pvp",1,(1+(Inputs!$B$22+Skills!Q6+Summary!$B$15+Artifacts!$B$80)/100)*(MIN(Skills!R6,Inputs!$B$38)))*((1+Artifacts!$B$53/100)),0)</f>
        <v/>
      </c>
    </row>
    <row r="7">
      <c r="A7">
        <f>Skills!A7</f>
        <v/>
      </c>
      <c r="B7">
        <f>Skills!B7</f>
        <v/>
      </c>
      <c r="C7">
        <f>Inputs!$B$3&gt;=40</f>
        <v/>
      </c>
      <c r="D7">
        <f>IF(Skills!C7=1,60+Inputs!$B$26+Inputs!$B$30,IF(Skills!C7=2,90+Inputs!$B$27+Inputs!$B$30,IF(Skills!C7=3,120+Inputs!$B$28+Inputs!$B$30,MAX(0,(Inputs!$B$3-100)*3)+Inputs!$B$29+Inputs!$B$30)))</f>
        <v/>
      </c>
      <c r="E7">
        <f>INDEX(FactorTable!$B$2:$Y$301, MATCH(ROUND(MIN(300,MAX(1,D7)),0), FactorTable!$A$2:$A$301,0), Skills!M7+1)</f>
        <v/>
      </c>
      <c r="F7">
        <f>IF(Skills!N7=TRUE,(Skills!L7/10)*(E7/1000),Skills!L7/10)+Skills!O7</f>
        <v/>
      </c>
      <c r="G7">
        <f>Skills!G7*IF(Skills!H7&gt;0,INT(IF(Inputs!$B$39="pvp",MIN(Skills!I7,15),Skills!I7)/Skills!H7+0.000000001),1)</f>
        <v/>
      </c>
      <c r="H7">
        <f>1-(1-Skills!J7/100)^Skills!K7</f>
        <v/>
      </c>
      <c r="I7" t="inlineStr">
        <is>
          <t>1</t>
        </is>
      </c>
      <c r="J7">
        <f>Summary!$B$6*(F7/100)</f>
        <v/>
      </c>
      <c r="K7">
        <f>J7*(1+Summary!$B$7/100)*(1+Inputs!$B$16/100)*(1+Inputs!$B$17/100)*(5000/(6000+Inputs!$B$43*(1-Inputs!$B$20/100)))*(1+(Inputs!$B$25+Summary!$B$21)/100)*(1+Artifacts!$B$34/100)*(1+0.75*IF(C11=TRUE,F11,0)/100)*(1+(IF(Skills!A7="DARK_IMPALE",Inputs!$B$18+Artifacts!$B$40,Inputs!$B$19+Artifacts!$B$39))/100)*(Summary!$B$13*(1+Artifacts!$B$38/100)*I7)</f>
        <v/>
      </c>
      <c r="L7">
        <f>K7*(MIN(Inputs!$B$23,Inputs!$B$24)/100+Inputs!$B$24/100)/2</f>
        <v/>
      </c>
      <c r="M7">
        <f>L7*(1+(Inputs!$B$11+Summary!$B$20+Artifacts!$B$33)/100)</f>
        <v/>
      </c>
      <c r="N7">
        <f>L7*(1-MIN((Inputs!$B$10+Summary!$B$14+Artifacts!$B$32),100)/100)+M7*(MIN((Inputs!$B$10+Summary!$B$14+Artifacts!$B$32),100)/100)</f>
        <v/>
      </c>
      <c r="O7">
        <f>(1-Summary!$B$11)*T7+Summary!$B$11*V7</f>
        <v/>
      </c>
      <c r="P7">
        <f>IF(Summary!$B$3=0,0,O7/Summary!$B$3)</f>
        <v/>
      </c>
      <c r="Q7">
        <f>IFERROR(1/IF(Inputs!$B$39="pvp",15,MAX(0.1,Skills!D7-IF(TRUE=TRUE,Inputs!$B$33,0))),0)</f>
        <v/>
      </c>
      <c r="R7">
        <f>IF(AND(Inputs!$B$39&lt;&gt;"pvp",Inputs!$B$44&gt;0),IF(MAX(0,Inputs!$B$44-Summary!$B$23)&lt;=0,0,(INT(MAX(0,Inputs!$B$44-Summary!$B$23)/IF(Inputs!$B$39="pvp",15,MAX(0.1,Skills!D7-IF(TRUE=TRUE,Inputs!$B$33,0))))+1)),0)</f>
        <v/>
      </c>
      <c r="S7">
        <f>IFERROR(O7/N7,0)</f>
        <v/>
      </c>
      <c r="T7">
        <f>IF(C7,(H7*N7*IF(AND(Inputs!$B$39&lt;&gt;"pvp",Inputs!$B$44&gt;0),((Skills!G7*((R7-1)*IF(Skills!H7&gt;0,INT(Skills!I7/Skills!H7+0.000000001),1)+IF(Skills!H7&gt;0,INT(MIN(Skills!I7,MAX(0,MAX(0,Inputs!$B$44-Summary!$B$23)-((R7-1)*IF(Inputs!$B$39="pvp",15,MAX(0.1,Skills!D7-IF(TRUE=TRUE,Inputs!$B$33,0))))))/Skills!H7+0.000000001),1)))/Inputs!$B$44),G7*Q7))*IF(Inputs!$B$39="pvp",1,1+(Inputs!$B$21+Skills!P7+Summary!$B$15+Artifacts!$B$35)/100)*((((5000/(6000+Inputs!$B$43*(1-(100*(1-(1-Inputs!$B$20/100)*(1-Artifacts!$B$51/100)^IF(Inputs!$B$39="pvp",1,2)))/100)))/(5000/(6000+Inputs!$B$43*(1-Inputs!$B$20/100))))*((L7*(1-MIN(100,(Inputs!$B$10+Summary!$B$14+Artifacts!$B$32)+Artifacts!$B$69)/100)+M7*(MIN(100,(Inputs!$B$10+Summary!$B$14+Artifacts!$B$32)+Artifacts!$B$69)/100))/(L7*(1-MIN(100,(Inputs!$B$10+Summary!$B$14+Artifacts!$B$32))/100)+M7*(MIN(100,(Inputs!$B$10+Summary!$B$14+Artifacts!$B$32))/100)))*(1+Artifacts!$B$81/100))),0)</f>
        <v/>
      </c>
      <c r="V7">
        <f>IF(C7,(H7*N7*IF(AND(Inputs!$B$39&lt;&gt;"pvp",Inputs!$B$44&gt;0),((Skills!G7*((R7-1)*IF(Skills!H7&gt;0,INT(Skills!I7/Skills!H7+0.000000001),1)+IF(Skills!H7&gt;0,INT(MIN(Skills!I7,MAX(0,MAX(0,Inputs!$B$44-Summary!$B$23)-((R7-1)*IF(Inputs!$B$39="pvp",15,MAX(0.1,Skills!D7-IF(TRUE=TRUE,Inputs!$B$33,0))))))/Skills!H7+0.000000001),1)))/Inputs!$B$44),G7*Q7))*IF(Inputs!$B$39="pvp",1,(1+(Inputs!$B$22+Skills!Q7+Summary!$B$15+Artifacts!$B$80)/100)*(MIN(Skills!R7,Inputs!$B$38)))*((1+Artifacts!$B$53/100)),0)</f>
        <v/>
      </c>
    </row>
    <row r="8">
      <c r="A8">
        <f>Skills!A8</f>
        <v/>
      </c>
      <c r="B8">
        <f>Skills!B8</f>
        <v/>
      </c>
      <c r="C8">
        <f>Inputs!$B$3&gt;=75</f>
        <v/>
      </c>
      <c r="D8">
        <f>IF(Skills!C8=1,60+Inputs!$B$26+Inputs!$B$30,IF(Skills!C8=2,90+Inputs!$B$27+Inputs!$B$30,IF(Skills!C8=3,120+Inputs!$B$28+Inputs!$B$30,MAX(0,(Inputs!$B$3-100)*3)+Inputs!$B$29+Inputs!$B$30)))</f>
        <v/>
      </c>
      <c r="E8">
        <f>INDEX(FactorTable!$B$2:$Y$301, MATCH(ROUND(MIN(300,MAX(1,D8)),0), FactorTable!$A$2:$A$301,0), Skills!M8+1)</f>
        <v/>
      </c>
      <c r="F8">
        <f>IF(Skills!N8=TRUE,(Skills!L8/10)*(E8/1000),Skills!L8/10)+Skills!O8</f>
        <v/>
      </c>
      <c r="G8" t="inlineStr"/>
      <c r="H8" t="inlineStr"/>
      <c r="I8" t="inlineStr">
        <is>
          <t>1</t>
        </is>
      </c>
      <c r="J8" t="inlineStr"/>
      <c r="K8" t="inlineStr"/>
      <c r="L8" t="inlineStr"/>
      <c r="M8" t="inlineStr"/>
      <c r="N8" t="inlineStr"/>
      <c r="O8" t="inlineStr"/>
      <c r="P8" t="inlineStr"/>
      <c r="Q8" t="inlineStr"/>
      <c r="R8" t="inlineStr"/>
      <c r="S8" t="inlineStr"/>
    </row>
    <row r="9">
      <c r="A9">
        <f>Skills!A9</f>
        <v/>
      </c>
      <c r="B9">
        <f>Skills!B9</f>
        <v/>
      </c>
      <c r="C9">
        <f>Inputs!$B$3&gt;=60</f>
        <v/>
      </c>
      <c r="D9">
        <f>IF(Skills!C9=1,60+Inputs!$B$26+Inputs!$B$30,IF(Skills!C9=2,90+Inputs!$B$27+Inputs!$B$30,IF(Skills!C9=3,120+Inputs!$B$28+Inputs!$B$30,MAX(0,(Inputs!$B$3-100)*3)+Inputs!$B$29+Inputs!$B$30)))</f>
        <v/>
      </c>
      <c r="E9">
        <f>INDEX(FactorTable!$B$2:$Y$301, MATCH(ROUND(MIN(300,MAX(1,D9)),0), FactorTable!$A$2:$A$301,0), Skills!M9+1)</f>
        <v/>
      </c>
      <c r="F9">
        <f>IF(Skills!N9=TRUE,(Skills!L9/10)*(E9/1000),Skills!L9/10)+Skills!O9</f>
        <v/>
      </c>
      <c r="G9">
        <f>Skills!G9*IF(Skills!H9&gt;0,INT(IF(Inputs!$B$39="pvp",MIN(Skills!I9,15),Skills!I9)/Skills!H9+0.000000001),1)</f>
        <v/>
      </c>
      <c r="H9">
        <f>1-(1-Skills!J9/100)^Skills!K9</f>
        <v/>
      </c>
      <c r="I9" t="inlineStr">
        <is>
          <t>1</t>
        </is>
      </c>
      <c r="J9">
        <f>Summary!$B$6*(F9/100)</f>
        <v/>
      </c>
      <c r="K9">
        <f>J9*(1+Summary!$B$7/100)*(1+Inputs!$B$16/100)*(1+Inputs!$B$17/100)*(5000/(6000+Inputs!$B$43*(1-Inputs!$B$20/100)))*(1+(Inputs!$B$25+Summary!$B$21)/100)*(1+Artifacts!$B$34/100)*(1+1.0*IF(C11=TRUE,F11,0)/100)*(1+(IF(Skills!A9="DARK_IMPALE",Inputs!$B$18+Artifacts!$B$40,Inputs!$B$19+Artifacts!$B$39))/100)*(Summary!$B$13*(1+Artifacts!$B$38/100)*I9)</f>
        <v/>
      </c>
      <c r="L9">
        <f>K9*(MIN(Inputs!$B$23,Inputs!$B$24)/100+Inputs!$B$24/100)/2</f>
        <v/>
      </c>
      <c r="M9">
        <f>L9*(1+(Inputs!$B$11+Summary!$B$20+Artifacts!$B$33)/100)</f>
        <v/>
      </c>
      <c r="N9">
        <f>L9*(1-MIN((Inputs!$B$10+Summary!$B$14+Artifacts!$B$32),100)/100)+M9*(MIN((Inputs!$B$10+Summary!$B$14+Artifacts!$B$32),100)/100)</f>
        <v/>
      </c>
      <c r="O9">
        <f>(1-Summary!$B$11)*T9+Summary!$B$11*V9</f>
        <v/>
      </c>
      <c r="P9">
        <f>IF(Summary!$B$3=0,0,O9/Summary!$B$3)</f>
        <v/>
      </c>
      <c r="Q9">
        <f>IFERROR(1/IF(Inputs!$B$39="pvp",15,MAX(0.1,Skills!D9-IF(TRUE=TRUE,Inputs!$B$33,0))),0)</f>
        <v/>
      </c>
      <c r="R9">
        <f>IF(AND(Inputs!$B$39&lt;&gt;"pvp",Inputs!$B$44&gt;0),IF(MAX(0,Inputs!$B$44-Summary!$B$23)&lt;=0,0,(INT(MAX(0,Inputs!$B$44-Summary!$B$23)/IF(Inputs!$B$39="pvp",15,MAX(0.1,Skills!D9-IF(TRUE=TRUE,Inputs!$B$33,0))))+1)),0)</f>
        <v/>
      </c>
      <c r="S9">
        <f>IFERROR(O9/N9,0)</f>
        <v/>
      </c>
      <c r="T9">
        <f>IF(C9,(H9*N9*IF(AND(Inputs!$B$39&lt;&gt;"pvp",Inputs!$B$44&gt;0),((Skills!G9*((R9-1)*IF(Skills!H9&gt;0,INT(Skills!I9/Skills!H9+0.000000001),1)+IF(Skills!H9&gt;0,INT(MIN(Skills!I9,MAX(0,MAX(0,Inputs!$B$44-Summary!$B$23)-((R9-1)*IF(Inputs!$B$39="pvp",15,MAX(0.1,Skills!D9-IF(TRUE=TRUE,Inputs!$B$33,0))))))/Skills!H9+0.000000001),1)))/Inputs!$B$44),G9*Q9))*IF(Inputs!$B$39="pvp",1,1+(Inputs!$B$21+Skills!P9+Summary!$B$15+Artifacts!$B$35)/100)*((((5000/(6000+Inputs!$B$43*(1-(100*(1-(1-Inputs!$B$20/100)*(1-Artifacts!$B$51/100)^IF(Inputs!$B$39="pvp",1,2)))/100)))/(5000/(6000+Inputs!$B$43*(1-Inputs!$B$20/100))))*((L9*(1-MIN(100,(Inputs!$B$10+Summary!$B$14+Artifacts!$B$32)+Artifacts!$B$69)/100)+M9*(MIN(100,(Inputs!$B$10+Summary!$B$14+Artifacts!$B$32)+Artifacts!$B$69)/100))/(L9*(1-MIN(100,(Inputs!$B$10+Summary!$B$14+Artifacts!$B$32))/100)+M9*(MIN(100,(Inputs!$B$10+Summary!$B$14+Artifacts!$B$32))/100)))*(1+Artifacts!$B$81/100))),0)</f>
        <v/>
      </c>
      <c r="V9">
        <f>IF(C9,(H9*N9*IF(AND(Inputs!$B$39&lt;&gt;"pvp",Inputs!$B$44&gt;0),((Skills!G9*((R9-1)*IF(Skills!H9&gt;0,INT(Skills!I9/Skills!H9+0.000000001),1)+IF(Skills!H9&gt;0,INT(MIN(Skills!I9,MAX(0,MAX(0,Inputs!$B$44-Summary!$B$23)-((R9-1)*IF(Inputs!$B$39="pvp",15,MAX(0.1,Skills!D9-IF(TRUE=TRUE,Inputs!$B$33,0))))))/Skills!H9+0.000000001),1)))/Inputs!$B$44),G9*Q9))*IF(Inputs!$B$39="pvp",1,(1+(Inputs!$B$22+Skills!Q9+Summary!$B$15+Artifacts!$B$80)/100)*(MIN(Skills!R9,Inputs!$B$38)))*((1+Artifacts!$B$53/100)),0)</f>
        <v/>
      </c>
    </row>
    <row r="10">
      <c r="A10">
        <f>Skills!A10</f>
        <v/>
      </c>
      <c r="B10">
        <f>Skills!B10</f>
        <v/>
      </c>
      <c r="C10">
        <f>Inputs!$B$3&gt;=110</f>
        <v/>
      </c>
      <c r="D10">
        <f>IF(Skills!C10=1,60+Inputs!$B$26+Inputs!$B$30,IF(Skills!C10=2,90+Inputs!$B$27+Inputs!$B$30,IF(Skills!C10=3,120+Inputs!$B$28+Inputs!$B$30,MAX(0,(Inputs!$B$3-100)*3)+Inputs!$B$29+Inputs!$B$30)))</f>
        <v/>
      </c>
      <c r="E10">
        <f>INDEX(FactorTable!$B$2:$Y$301, MATCH(ROUND(MIN(300,MAX(1,D10)),0), FactorTable!$A$2:$A$301,0), Skills!M10+1)</f>
        <v/>
      </c>
      <c r="F10">
        <f>IF(Skills!N10=TRUE,(Skills!L10/10)*(E10/1000),Skills!L10/10)+Skills!O10</f>
        <v/>
      </c>
      <c r="G10">
        <f>Skills!G10*IF(Skills!H10&gt;0,INT(IF(Inputs!$B$39="pvp",MIN(Skills!I10,15),Skills!I10)/Skills!H10+0.000000001),1)</f>
        <v/>
      </c>
      <c r="H10">
        <f>1-(1-Skills!J10/100)^Skills!K10</f>
        <v/>
      </c>
      <c r="I10" t="inlineStr">
        <is>
          <t>1</t>
        </is>
      </c>
      <c r="J10">
        <f>Summary!$B$6*(F10/100)</f>
        <v/>
      </c>
      <c r="K10">
        <f>J10*(1+Summary!$B$7/100)*(1+Inputs!$B$16/100)*(1+Inputs!$B$17/100)*(5000/(6000+Inputs!$B$43*(1-Inputs!$B$20/100)))*(1+(Inputs!$B$25+Summary!$B$21)/100)*(1+Artifacts!$B$34/100)*(1+(IF(Skills!A10="DARK_IMPALE",Inputs!$B$18+Artifacts!$B$40,Inputs!$B$19+Artifacts!$B$39))/100)*(Summary!$B$13*(1+Artifacts!$B$38/100)*I10)</f>
        <v/>
      </c>
      <c r="L10">
        <f>K10*(MIN(Inputs!$B$23,Inputs!$B$24)/100+Inputs!$B$24/100)/2</f>
        <v/>
      </c>
      <c r="M10">
        <f>L10*(1+(Inputs!$B$11+Summary!$B$20+Artifacts!$B$33)/100)</f>
        <v/>
      </c>
      <c r="N10">
        <f>L10*(1-MIN((Inputs!$B$10+Summary!$B$14+Artifacts!$B$32),100)/100)+M10*(MIN((Inputs!$B$10+Summary!$B$14+Artifacts!$B$32),100)/100)</f>
        <v/>
      </c>
      <c r="O10">
        <f>(1-Summary!$B$11)*T10+Summary!$B$11*V10</f>
        <v/>
      </c>
      <c r="P10">
        <f>IF(Summary!$B$3=0,0,O10/Summary!$B$3)</f>
        <v/>
      </c>
      <c r="Q10">
        <f>IFERROR(1/IF(Inputs!$B$39="pvp",15,MAX(0.1,Skills!D10-IF(TRUE=TRUE,Inputs!$B$33,0))),0)</f>
        <v/>
      </c>
      <c r="R10">
        <f>IF(AND(Inputs!$B$39&lt;&gt;"pvp",Inputs!$B$44&gt;0),IF(MAX(0,Inputs!$B$44-Summary!$B$23)&lt;=0,0,(INT(MAX(0,Inputs!$B$44-Summary!$B$23)/IF(Inputs!$B$39="pvp",15,MAX(0.1,Skills!D10-IF(TRUE=TRUE,Inputs!$B$33,0))))+1)),0)</f>
        <v/>
      </c>
      <c r="S10">
        <f>IFERROR(O10/N10,0)</f>
        <v/>
      </c>
      <c r="T10">
        <f>IF(C10,(H10*N10*IF(AND(Inputs!$B$39&lt;&gt;"pvp",Inputs!$B$44&gt;0),((Skills!G10*((R10-1)*IF(Skills!H10&gt;0,INT(Skills!I10/Skills!H10+0.000000001),1)+IF(Skills!H10&gt;0,INT(MIN(Skills!I10,MAX(0,MAX(0,Inputs!$B$44-Summary!$B$23)-((R10-1)*IF(Inputs!$B$39="pvp",15,MAX(0.1,Skills!D10-IF(TRUE=TRUE,Inputs!$B$33,0))))))/Skills!H10+0.000000001),1)))/Inputs!$B$44),G10*Q10))*IF(Inputs!$B$39="pvp",1,1+(Inputs!$B$21+Skills!P10+Summary!$B$15+Artifacts!$B$35)/100)*((((5000/(6000+Inputs!$B$43*(1-(100*(1-(1-Inputs!$B$20/100)*(1-Artifacts!$B$51/100)^IF(Inputs!$B$39="pvp",1,2)))/100)))/(5000/(6000+Inputs!$B$43*(1-Inputs!$B$20/100))))*((L10*(1-MIN(100,(Inputs!$B$10+Summary!$B$14+Artifacts!$B$32)+Artifacts!$B$69)/100)+M10*(MIN(100,(Inputs!$B$10+Summary!$B$14+Artifacts!$B$32)+Artifacts!$B$69)/100))/(L10*(1-MIN(100,(Inputs!$B$10+Summary!$B$14+Artifacts!$B$32))/100)+M10*(MIN(100,(Inputs!$B$10+Summary!$B$14+Artifacts!$B$32))/100)))*(1+Artifacts!$B$81/100))),0)</f>
        <v/>
      </c>
      <c r="V10">
        <f>IF(C10,(H10*N10*IF(AND(Inputs!$B$39&lt;&gt;"pvp",Inputs!$B$44&gt;0),((Skills!G10*((R10-1)*IF(Skills!H10&gt;0,INT(Skills!I10/Skills!H10+0.000000001),1)+IF(Skills!H10&gt;0,INT(MIN(Skills!I10,MAX(0,MAX(0,Inputs!$B$44-Summary!$B$23)-((R10-1)*IF(Inputs!$B$39="pvp",15,MAX(0.1,Skills!D10-IF(TRUE=TRUE,Inputs!$B$33,0))))))/Skills!H10+0.000000001),1)))/Inputs!$B$44),G10*Q10))*IF(Inputs!$B$39="pvp",1,(1+(Inputs!$B$22+Skills!Q10+Summary!$B$15+Artifacts!$B$80)/100)*(MIN(Skills!R10,Inputs!$B$38)))*((1+Artifacts!$B$53/100)),0)</f>
        <v/>
      </c>
    </row>
    <row r="11">
      <c r="A11">
        <f>Skills!A11</f>
        <v/>
      </c>
      <c r="B11">
        <f>Skills!B11</f>
        <v/>
      </c>
      <c r="C11">
        <f>Inputs!$B$3&gt;=100</f>
        <v/>
      </c>
      <c r="D11">
        <f>IF(Skills!C11=1,60+Inputs!$B$26+Inputs!$B$30,IF(Skills!C11=2,90+Inputs!$B$27+Inputs!$B$30,IF(Skills!C11=3,120+Inputs!$B$28+Inputs!$B$30,MAX(0,(Inputs!$B$3-100)*3)+Inputs!$B$29+Inputs!$B$30)))</f>
        <v/>
      </c>
      <c r="E11">
        <f>INDEX(FactorTable!$B$2:$Y$301, MATCH(ROUND(MIN(300,MAX(1,D11)),0), FactorTable!$A$2:$A$301,0), Skills!M11+1)</f>
        <v/>
      </c>
      <c r="F11">
        <f>IF(Skills!N11=TRUE,(Skills!L11/10)*(E11/1000),Skills!L11/10)+Skills!O11</f>
        <v/>
      </c>
      <c r="G11" t="inlineStr"/>
      <c r="H11" t="inlineStr"/>
      <c r="I11" t="inlineStr">
        <is>
          <t>1</t>
        </is>
      </c>
      <c r="J11" t="inlineStr"/>
      <c r="K11" t="inlineStr"/>
      <c r="L11" t="inlineStr"/>
      <c r="M11" t="inlineStr"/>
      <c r="N11" t="inlineStr"/>
      <c r="O11" t="inlineStr"/>
      <c r="P11" t="inlineStr"/>
      <c r="Q11" t="inlineStr"/>
      <c r="R11" t="inlineStr"/>
      <c r="S11" t="inlineStr"/>
    </row>
    <row r="12">
      <c r="A12">
        <f>Skills!A12</f>
        <v/>
      </c>
      <c r="B12">
        <f>Skills!B12</f>
        <v/>
      </c>
      <c r="C12">
        <f>Inputs!$B$3&gt;=63</f>
        <v/>
      </c>
      <c r="D12">
        <f>IF(Skills!C12=1,60+Inputs!$B$26+Inputs!$B$30,IF(Skills!C12=2,90+Inputs!$B$27+Inputs!$B$30,IF(Skills!C12=3,120+Inputs!$B$28+Inputs!$B$30,MAX(0,(Inputs!$B$3-100)*3)+Inputs!$B$29+Inputs!$B$30)))</f>
        <v/>
      </c>
      <c r="E12">
        <f>INDEX(FactorTable!$B$2:$Y$301, MATCH(ROUND(MIN(300,MAX(1,D12)),0), FactorTable!$A$2:$A$301,0), Skills!M12+1)</f>
        <v/>
      </c>
      <c r="F12">
        <f>IF(Skills!N12=TRUE,(Skills!L12/10)*(E12/1000),Skills!L12/10)+Skills!O12</f>
        <v/>
      </c>
      <c r="G12">
        <f>Skills!G12*IF(Skills!H12&gt;0,INT(IF(Inputs!$B$39="pvp",MIN(Skills!I12,15),Skills!I12)/Skills!H12+0.000000001),1)</f>
        <v/>
      </c>
      <c r="H12">
        <f>1-(1-Skills!J12/100)^Skills!K12</f>
        <v/>
      </c>
      <c r="I12" t="inlineStr">
        <is>
          <t>1</t>
        </is>
      </c>
      <c r="J12">
        <f>Summary!$B$6*(F12/100)</f>
        <v/>
      </c>
      <c r="K12">
        <f>J12*(1+Summary!$B$7/100)*(1+Inputs!$B$16/100)*(1+Inputs!$B$17/100)*(5000/(6000+Inputs!$B$43*(1-Inputs!$B$20/100)))*(1+(Inputs!$B$25+Summary!$B$21)/100)*(1+Artifacts!$B$34/100)*(1+0.75*IF(C11=TRUE,F11,0)/100)*(1+(IF(Skills!A12="DARK_IMPALE",Inputs!$B$18+Artifacts!$B$40,Inputs!$B$19+Artifacts!$B$39))/100)*(Summary!$B$13*(1+Artifacts!$B$38/100)*I12)</f>
        <v/>
      </c>
      <c r="L12">
        <f>K12*(MIN(Inputs!$B$23,Inputs!$B$24)/100+Inputs!$B$24/100)/2</f>
        <v/>
      </c>
      <c r="M12">
        <f>L12*(1+(Inputs!$B$11+Summary!$B$20+Artifacts!$B$33)/100)</f>
        <v/>
      </c>
      <c r="N12">
        <f>L12*(1-MIN((Inputs!$B$10+Summary!$B$14+Artifacts!$B$32),100)/100)+M12*(MIN((Inputs!$B$10+Summary!$B$14+Artifacts!$B$32),100)/100)</f>
        <v/>
      </c>
      <c r="O12">
        <f>(1-Summary!$B$11)*T12+Summary!$B$11*V12</f>
        <v/>
      </c>
      <c r="P12">
        <f>IF(Summary!$B$3=0,0,O12/Summary!$B$3)</f>
        <v/>
      </c>
      <c r="Q12">
        <f>IFERROR(1/IF(Inputs!$B$39="pvp",15,MAX(0.1,Skills!D12-IF(TRUE=TRUE,Inputs!$B$33,0))),0)</f>
        <v/>
      </c>
      <c r="R12">
        <f>IF(AND(Inputs!$B$39&lt;&gt;"pvp",Inputs!$B$44&gt;0),IF(MAX(0,Inputs!$B$44-Summary!$B$23)&lt;=0,0,(INT(MAX(0,Inputs!$B$44-Summary!$B$23)/IF(Inputs!$B$39="pvp",15,MAX(0.1,Skills!D12-IF(TRUE=TRUE,Inputs!$B$33,0))))+1)),0)</f>
        <v/>
      </c>
      <c r="S12">
        <f>IFERROR(O12/N12,0)</f>
        <v/>
      </c>
      <c r="T12">
        <f>IF(C12,(H12*N12*IF(AND(Inputs!$B$39&lt;&gt;"pvp",Inputs!$B$44&gt;0),((Skills!G12*((R12-1)*IF(Skills!H12&gt;0,INT(Skills!I12/Skills!H12+0.000000001),1)+IF(Skills!H12&gt;0,INT(MIN(Skills!I12,MAX(0,MAX(0,Inputs!$B$44-Summary!$B$23)-((R12-1)*IF(Inputs!$B$39="pvp",15,MAX(0.1,Skills!D12-IF(TRUE=TRUE,Inputs!$B$33,0))))))/Skills!H12+0.000000001),1)))/Inputs!$B$44),G12*Q12))*IF(Inputs!$B$39="pvp",1,1+(Inputs!$B$21+Skills!P12+Summary!$B$15+Artifacts!$B$35)/100)*((((5000/(6000+Inputs!$B$43*(1-(100*(1-(1-Inputs!$B$20/100)*(1-Artifacts!$B$51/100)^IF(Inputs!$B$39="pvp",1,2)))/100)))/(5000/(6000+Inputs!$B$43*(1-Inputs!$B$20/100))))*((L12*(1-MIN(100,(Inputs!$B$10+Summary!$B$14+Artifacts!$B$32)+Artifacts!$B$69)/100)+M12*(MIN(100,(Inputs!$B$10+Summary!$B$14+Artifacts!$B$32)+Artifacts!$B$69)/100))/(L12*(1-MIN(100,(Inputs!$B$10+Summary!$B$14+Artifacts!$B$32))/100)+M12*(MIN(100,(Inputs!$B$10+Summary!$B$14+Artifacts!$B$32))/100)))*(1+Artifacts!$B$81/100))),0)</f>
        <v/>
      </c>
      <c r="V12">
        <f>IF(C12,(H12*N12*IF(AND(Inputs!$B$39&lt;&gt;"pvp",Inputs!$B$44&gt;0),((Skills!G12*((R12-1)*IF(Skills!H12&gt;0,INT(Skills!I12/Skills!H12+0.000000001),1)+IF(Skills!H12&gt;0,INT(MIN(Skills!I12,MAX(0,MAX(0,Inputs!$B$44-Summary!$B$23)-((R12-1)*IF(Inputs!$B$39="pvp",15,MAX(0.1,Skills!D12-IF(TRUE=TRUE,Inputs!$B$33,0))))))/Skills!H12+0.000000001),1)))/Inputs!$B$44),G12*Q12))*IF(Inputs!$B$39="pvp",1,(1+(Inputs!$B$22+Skills!Q12+Summary!$B$15+Artifacts!$B$80)/100)*(MIN(Skills!R12,Inputs!$B$38)))*((1+Artifacts!$B$53/100)),0)</f>
        <v/>
      </c>
    </row>
    <row r="13">
      <c r="A13">
        <f>Skills!A13</f>
        <v/>
      </c>
      <c r="B13">
        <f>Skills!B13</f>
        <v/>
      </c>
      <c r="C13">
        <f>Inputs!$B$3&gt;=69</f>
        <v/>
      </c>
      <c r="D13">
        <f>IF(Skills!C13=1,60+Inputs!$B$26+Inputs!$B$30,IF(Skills!C13=2,90+Inputs!$B$27+Inputs!$B$30,IF(Skills!C13=3,120+Inputs!$B$28+Inputs!$B$30,MAX(0,(Inputs!$B$3-100)*3)+Inputs!$B$29+Inputs!$B$30)))</f>
        <v/>
      </c>
      <c r="E13">
        <f>INDEX(FactorTable!$B$2:$Y$301, MATCH(ROUND(MIN(300,MAX(1,D13)),0), FactorTable!$A$2:$A$301,0), Skills!M13+1)</f>
        <v/>
      </c>
      <c r="F13">
        <f>IF(Skills!N13=TRUE,(Skills!L13/10)*(E13/1000),Skills!L13/10)+Skills!O13</f>
        <v/>
      </c>
      <c r="G13">
        <f>Skills!G13*IF(Skills!H13&gt;0,INT(IF(Inputs!$B$39="pvp",MIN(Skills!I13,15),Skills!I13)/Skills!H13+0.000000001),1)</f>
        <v/>
      </c>
      <c r="H13">
        <f>1-(1-Skills!J13/100)^Skills!K13</f>
        <v/>
      </c>
      <c r="I13" t="inlineStr">
        <is>
          <t>1</t>
        </is>
      </c>
      <c r="J13" t="inlineStr"/>
      <c r="K13" t="inlineStr"/>
      <c r="L13" t="inlineStr"/>
      <c r="M13" t="inlineStr"/>
      <c r="N13" t="inlineStr"/>
      <c r="O13">
        <f>(1-Summary!$B$11)*T13+Summary!$B$11*V13</f>
        <v/>
      </c>
      <c r="P13">
        <f>IF(Summary!$B$3=0,0,O13/Summary!$B$3)</f>
        <v/>
      </c>
      <c r="Q13">
        <f>IFERROR(1/IF(Inputs!$B$39="pvp",15,MAX(0.1,Skills!D13-IF(TRUE=TRUE,Inputs!$B$33,0))),0)</f>
        <v/>
      </c>
      <c r="R13">
        <f>IF(AND(Inputs!$B$39&lt;&gt;"pvp",Inputs!$B$44&gt;0),IF(Inputs!$B$44&lt;=0,0,(INT(Inputs!$B$44/IF(Inputs!$B$39="pvp",15,MAX(0.1,Skills!D13-IF(TRUE=TRUE,Inputs!$B$33,0))))+1)),0)</f>
        <v/>
      </c>
      <c r="S13">
        <f>IFERROR(O13/N13,0)</f>
        <v/>
      </c>
      <c r="T13" t="n">
        <v>0</v>
      </c>
      <c r="V13" t="n">
        <v>0</v>
      </c>
    </row>
    <row r="14">
      <c r="A14">
        <f>Skills!A14</f>
        <v/>
      </c>
      <c r="B14">
        <f>Skills!B14</f>
        <v/>
      </c>
      <c r="C14">
        <f>Inputs!$B$3&gt;=115</f>
        <v/>
      </c>
      <c r="D14">
        <f>IF(Skills!C14=1,60+Inputs!$B$26+Inputs!$B$30,IF(Skills!C14=2,90+Inputs!$B$27+Inputs!$B$30,IF(Skills!C14=3,120+Inputs!$B$28+Inputs!$B$30,MAX(0,(Inputs!$B$3-100)*3)+Inputs!$B$29+Inputs!$B$30)))</f>
        <v/>
      </c>
      <c r="E14">
        <f>INDEX(FactorTable!$B$2:$Y$301, MATCH(ROUND(MIN(300,MAX(1,D14)),0), FactorTable!$A$2:$A$301,0), Skills!M14+1)</f>
        <v/>
      </c>
      <c r="F14">
        <f>IF(Skills!N14=TRUE,(Skills!L14/10)*(E14/1000),Skills!L14/10)+Skills!O14</f>
        <v/>
      </c>
      <c r="G14">
        <f>Skills!G14*IF(Skills!H14&gt;0,INT(IF(Inputs!$B$39="pvp",MIN(Skills!I14,15),Skills!I14)/Skills!H14+0.000000001),1)</f>
        <v/>
      </c>
      <c r="H14">
        <f>1-(1-Skills!J14/100)^Skills!K14</f>
        <v/>
      </c>
      <c r="I14" t="inlineStr">
        <is>
          <t>1</t>
        </is>
      </c>
      <c r="J14" t="inlineStr"/>
      <c r="K14" t="inlineStr"/>
      <c r="L14" t="inlineStr"/>
      <c r="M14" t="inlineStr"/>
      <c r="N14" t="inlineStr"/>
      <c r="O14">
        <f>(1-Summary!$B$11)*T14+Summary!$B$11*V14</f>
        <v/>
      </c>
      <c r="P14">
        <f>IF(Summary!$B$3=0,0,O14/Summary!$B$3)</f>
        <v/>
      </c>
      <c r="Q14">
        <f>IFERROR(1/IF(Inputs!$B$39="pvp",15,MAX(0.1,Skills!D14-IF(TRUE=TRUE,Inputs!$B$33,0))),0)</f>
        <v/>
      </c>
      <c r="R14">
        <f>IF(AND(Inputs!$B$39&lt;&gt;"pvp",Inputs!$B$44&gt;0),IF(Inputs!$B$44&lt;=0,0,(INT(Inputs!$B$44/IF(Inputs!$B$39="pvp",15,MAX(0.1,Skills!D14-IF(TRUE=TRUE,Inputs!$B$33,0))))+1)),0)</f>
        <v/>
      </c>
      <c r="S14">
        <f>IFERROR(O14/N14,0)</f>
        <v/>
      </c>
      <c r="T14" t="n">
        <v>0</v>
      </c>
      <c r="V14" t="n">
        <v>0</v>
      </c>
    </row>
    <row r="15">
      <c r="A15">
        <f>Skills!A15</f>
        <v/>
      </c>
      <c r="B15">
        <f>Skills!B15</f>
        <v/>
      </c>
      <c r="C15">
        <f>Inputs!$B$3&gt;=66</f>
        <v/>
      </c>
      <c r="D15">
        <f>IF(Skills!C15=1,60+Inputs!$B$26+Inputs!$B$30,IF(Skills!C15=2,90+Inputs!$B$27+Inputs!$B$30,IF(Skills!C15=3,120+Inputs!$B$28+Inputs!$B$30,MAX(0,(Inputs!$B$3-100)*3)+Inputs!$B$29+Inputs!$B$30)))</f>
        <v/>
      </c>
      <c r="E15">
        <f>INDEX(FactorTable!$B$2:$Y$301, MATCH(ROUND(MIN(300,MAX(1,D15)),0), FactorTable!$A$2:$A$301,0), Skills!M15+1)</f>
        <v/>
      </c>
      <c r="F15">
        <f>IF(Skills!N15=TRUE,(Skills!L15/10)*(E15/1000),Skills!L15/10)+Skills!O15</f>
        <v/>
      </c>
      <c r="G15">
        <f>Skills!G15*IF(Skills!H15&gt;0,INT(IF(Inputs!$B$39="pvp",MIN(Skills!I15,15),Skills!I15)/Skills!H15+0.000000001),1)</f>
        <v/>
      </c>
      <c r="H15">
        <f>1-(1-Skills!J15/100)^Skills!K15</f>
        <v/>
      </c>
      <c r="I15" t="inlineStr">
        <is>
          <t>1</t>
        </is>
      </c>
      <c r="J15" t="inlineStr"/>
      <c r="K15" t="inlineStr"/>
      <c r="L15" t="inlineStr"/>
      <c r="M15" t="inlineStr"/>
      <c r="N15" t="inlineStr"/>
      <c r="O15">
        <f>(1-Summary!$B$11)*T15+Summary!$B$11*V15</f>
        <v/>
      </c>
      <c r="P15">
        <f>IF(Summary!$B$3=0,0,O15/Summary!$B$3)</f>
        <v/>
      </c>
      <c r="Q15">
        <f>IFERROR(1/IF(Inputs!$B$39="pvp",15,MAX(0.1,Skills!D15-IF(TRUE=TRUE,Inputs!$B$33,0))),0)</f>
        <v/>
      </c>
      <c r="R15">
        <f>IF(AND(Inputs!$B$39&lt;&gt;"pvp",Inputs!$B$44&gt;0),IF(Inputs!$B$44&lt;=0,0,(INT(Inputs!$B$44/IF(Inputs!$B$39="pvp",15,MAX(0.1,Skills!D15-IF(TRUE=TRUE,Inputs!$B$33,0))))+1)),0)</f>
        <v/>
      </c>
      <c r="S15">
        <f>IFERROR(O15/N15,0)</f>
        <v/>
      </c>
      <c r="T15" t="n">
        <v>0</v>
      </c>
      <c r="V15" t="n">
        <v>0</v>
      </c>
    </row>
    <row r="16">
      <c r="A16">
        <f>Skills!A16</f>
        <v/>
      </c>
      <c r="B16">
        <f>Skills!B16</f>
        <v/>
      </c>
      <c r="C16">
        <f>Inputs!$B$3&gt;=45</f>
        <v/>
      </c>
      <c r="D16">
        <f>IF(Skills!C16=1,60+Inputs!$B$26+Inputs!$B$30,IF(Skills!C16=2,90+Inputs!$B$27+Inputs!$B$30,IF(Skills!C16=3,120+Inputs!$B$28+Inputs!$B$30,MAX(0,(Inputs!$B$3-100)*3)+Inputs!$B$29+Inputs!$B$30)))</f>
        <v/>
      </c>
      <c r="E16">
        <f>INDEX(FactorTable!$B$2:$Y$301, MATCH(ROUND(MIN(300,MAX(1,D16)),0), FactorTable!$A$2:$A$301,0), Skills!M16+1)</f>
        <v/>
      </c>
      <c r="F16">
        <f>IF(Skills!N16=TRUE,(Skills!L16/10)*(E16/1000),Skills!L16/10)+Skills!O16</f>
        <v/>
      </c>
      <c r="G16">
        <f>Skills!G16*IF(Skills!H16&gt;0,INT(IF(Inputs!$B$39="pvp",MIN(Skills!I16,15),Skills!I16)/Skills!H16+0.000000001),1)</f>
        <v/>
      </c>
      <c r="H16">
        <f>1-(1-Skills!J16/100)^Skills!K16</f>
        <v/>
      </c>
      <c r="I16" t="inlineStr">
        <is>
          <t>1</t>
        </is>
      </c>
      <c r="J16" t="inlineStr"/>
      <c r="K16" t="inlineStr"/>
      <c r="L16" t="inlineStr"/>
      <c r="M16" t="inlineStr"/>
      <c r="N16" t="inlineStr"/>
      <c r="O16">
        <f>(1-Summary!$B$11)*T16+Summary!$B$11*V16</f>
        <v/>
      </c>
      <c r="P16">
        <f>IF(Summary!$B$3=0,0,O16/Summary!$B$3)</f>
        <v/>
      </c>
      <c r="Q16">
        <f>IFERROR(1/IF(Inputs!$B$39="pvp",15,MAX(0.1,Skills!D16-IF(TRUE=TRUE,Inputs!$B$33,0))),0)</f>
        <v/>
      </c>
      <c r="R16">
        <f>IF(AND(Inputs!$B$39&lt;&gt;"pvp",Inputs!$B$44&gt;0),IF(Inputs!$B$44&lt;=0,0,(INT(Inputs!$B$44/IF(Inputs!$B$39="pvp",15,MAX(0.1,Skills!D16-IF(TRUE=TRUE,Inputs!$B$33,0))))+1)),0)</f>
        <v/>
      </c>
      <c r="S16">
        <f>IFERROR(O16/N16,0)</f>
        <v/>
      </c>
      <c r="T16" t="n">
        <v>0</v>
      </c>
      <c r="V16" t="n">
        <v>0</v>
      </c>
    </row>
    <row r="17">
      <c r="A17">
        <f>Skills!A17</f>
        <v/>
      </c>
      <c r="B17">
        <f>Skills!B17</f>
        <v/>
      </c>
      <c r="C17">
        <f>Inputs!$B$3&gt;=35</f>
        <v/>
      </c>
      <c r="D17">
        <f>IF(Skills!C17=1,60+Inputs!$B$26+Inputs!$B$30,IF(Skills!C17=2,90+Inputs!$B$27+Inputs!$B$30,IF(Skills!C17=3,120+Inputs!$B$28+Inputs!$B$30,MAX(0,(Inputs!$B$3-100)*3)+Inputs!$B$29+Inputs!$B$30)))</f>
        <v/>
      </c>
      <c r="E17">
        <f>INDEX(FactorTable!$B$2:$Y$301, MATCH(ROUND(MIN(300,MAX(1,D17)),0), FactorTable!$A$2:$A$301,0), Skills!M17+1)</f>
        <v/>
      </c>
      <c r="F17">
        <f>IF(Skills!N17=TRUE,(Skills!L17/10)*(E17/1000),Skills!L17/10)+Skills!O17</f>
        <v/>
      </c>
      <c r="G17">
        <f>Skills!G17*IF(Skills!H17&gt;0,INT(IF(Inputs!$B$39="pvp",MIN(Skills!I17,15),Skills!I17)/Skills!H17+0.000000001),1)</f>
        <v/>
      </c>
      <c r="H17">
        <f>1-(1-Skills!J17/100)^Skills!K17</f>
        <v/>
      </c>
      <c r="I17" t="inlineStr">
        <is>
          <t>1</t>
        </is>
      </c>
      <c r="J17" t="inlineStr"/>
      <c r="K17" t="inlineStr"/>
      <c r="L17" t="inlineStr"/>
      <c r="M17" t="inlineStr"/>
      <c r="N17" t="inlineStr"/>
      <c r="O17">
        <f>(1-Summary!$B$11)*T17+Summary!$B$11*V17</f>
        <v/>
      </c>
      <c r="P17">
        <f>IF(Summary!$B$3=0,0,O17/Summary!$B$3)</f>
        <v/>
      </c>
      <c r="Q17">
        <f>IFERROR(1/IF(Inputs!$B$39="pvp",15,MAX(0.1,Skills!D17-IF(TRUE=TRUE,Inputs!$B$33,0))),0)</f>
        <v/>
      </c>
      <c r="R17">
        <f>IF(AND(Inputs!$B$39&lt;&gt;"pvp",Inputs!$B$44&gt;0),IF(Inputs!$B$44&lt;=0,0,(INT(Inputs!$B$44/IF(Inputs!$B$39="pvp",15,MAX(0.1,Skills!D17-IF(TRUE=TRUE,Inputs!$B$33,0))))+1)),0)</f>
        <v/>
      </c>
      <c r="S17">
        <f>IFERROR(O17/N17,0)</f>
        <v/>
      </c>
      <c r="T17" t="n">
        <v>0</v>
      </c>
      <c r="V17" t="n">
        <v>0</v>
      </c>
    </row>
    <row r="18">
      <c r="A18">
        <f>Skills!A18</f>
        <v/>
      </c>
      <c r="B18">
        <f>Skills!B18</f>
        <v/>
      </c>
      <c r="C18">
        <f>Inputs!$B$3&gt;=72</f>
        <v/>
      </c>
      <c r="D18">
        <f>IF(Skills!C18=1,60+Inputs!$B$26+Inputs!$B$30,IF(Skills!C18=2,90+Inputs!$B$27+Inputs!$B$30,IF(Skills!C18=3,120+Inputs!$B$28+Inputs!$B$30,MAX(0,(Inputs!$B$3-100)*3)+Inputs!$B$29+Inputs!$B$30)))</f>
        <v/>
      </c>
      <c r="E18">
        <f>INDEX(FactorTable!$B$2:$Y$301, MATCH(ROUND(MIN(300,MAX(1,D18)),0), FactorTable!$A$2:$A$301,0), Skills!M18+1)</f>
        <v/>
      </c>
      <c r="F18">
        <f>IF(Skills!N18=TRUE,(Skills!L18/10)*(E18/1000),Skills!L18/10)+Skills!O18</f>
        <v/>
      </c>
      <c r="G18">
        <f>Skills!G18*IF(Skills!H18&gt;0,INT(IF(Inputs!$B$39="pvp",MIN(Skills!I18,15),Skills!I18)/Skills!H18+0.000000001),1)</f>
        <v/>
      </c>
      <c r="H18">
        <f>1-(1-Skills!J18/100)^Skills!K18</f>
        <v/>
      </c>
      <c r="I18" t="inlineStr">
        <is>
          <t>1</t>
        </is>
      </c>
      <c r="J18" t="inlineStr"/>
      <c r="K18" t="inlineStr"/>
      <c r="L18" t="inlineStr"/>
      <c r="M18" t="inlineStr"/>
      <c r="N18" t="inlineStr"/>
      <c r="O18">
        <f>(1-Summary!$B$11)*T18+Summary!$B$11*V18</f>
        <v/>
      </c>
      <c r="P18">
        <f>IF(Summary!$B$3=0,0,O18/Summary!$B$3)</f>
        <v/>
      </c>
      <c r="Q18">
        <f>IFERROR(1/IF(Inputs!$B$39="pvp",15,MAX(0.1,Skills!D18-IF(TRUE=TRUE,Inputs!$B$33,0))),0)</f>
        <v/>
      </c>
      <c r="R18">
        <f>IF(AND(Inputs!$B$39&lt;&gt;"pvp",Inputs!$B$44&gt;0),IF(Inputs!$B$44&lt;=0,0,(INT(Inputs!$B$44/IF(Inputs!$B$39="pvp",15,MAX(0.1,Skills!D18-IF(TRUE=TRUE,Inputs!$B$33,0))))+1)),0)</f>
        <v/>
      </c>
      <c r="S18">
        <f>IFERROR(O18/N18,0)</f>
        <v/>
      </c>
      <c r="T18" t="n">
        <v>0</v>
      </c>
      <c r="V18" t="n">
        <v>0</v>
      </c>
    </row>
    <row r="19">
      <c r="A19">
        <f>Skills!A19</f>
        <v/>
      </c>
      <c r="B19">
        <f>Skills!B19</f>
        <v/>
      </c>
      <c r="C19">
        <f>Inputs!$B$3&gt;=72</f>
        <v/>
      </c>
      <c r="D19">
        <f>IF(Skills!C19=1,60+Inputs!$B$26+Inputs!$B$30,IF(Skills!C19=2,90+Inputs!$B$27+Inputs!$B$30,IF(Skills!C19=3,120+Inputs!$B$28+Inputs!$B$30,MAX(0,(Inputs!$B$3-100)*3)+Inputs!$B$29+Inputs!$B$30)))</f>
        <v/>
      </c>
      <c r="E19">
        <f>INDEX(FactorTable!$B$2:$Y$301, MATCH(ROUND(MIN(300,MAX(1,D19)),0), FactorTable!$A$2:$A$301,0), Skills!M19+1)</f>
        <v/>
      </c>
      <c r="F19">
        <f>IF(Skills!N19=TRUE,(Skills!L19/10)*(E19/1000),Skills!L19/10)+Skills!O19</f>
        <v/>
      </c>
      <c r="G19">
        <f>Skills!G19*IF(Skills!H19&gt;0,INT(IF(Inputs!$B$39="pvp",MIN(Skills!I19,15),Skills!I19)/Skills!H19+0.000000001),1)</f>
        <v/>
      </c>
      <c r="H19">
        <f>1-(1-Skills!J19/100)^Skills!K19</f>
        <v/>
      </c>
      <c r="I19" t="inlineStr">
        <is>
          <t>1</t>
        </is>
      </c>
      <c r="J19" t="inlineStr"/>
      <c r="K19" t="inlineStr"/>
      <c r="L19" t="inlineStr"/>
      <c r="M19" t="inlineStr"/>
      <c r="N19" t="inlineStr"/>
      <c r="O19">
        <f>(1-Summary!$B$11)*T19+Summary!$B$11*V19</f>
        <v/>
      </c>
      <c r="P19">
        <f>IF(Summary!$B$3=0,0,O19/Summary!$B$3)</f>
        <v/>
      </c>
      <c r="Q19">
        <f>IFERROR(1/IF(Inputs!$B$39="pvp",15,MAX(0.1,Skills!D19-IF(TRUE=TRUE,Inputs!$B$33,0))),0)</f>
        <v/>
      </c>
      <c r="R19">
        <f>IF(AND(Inputs!$B$39&lt;&gt;"pvp",Inputs!$B$44&gt;0),IF(Inputs!$B$44&lt;=0,0,(INT(Inputs!$B$44/IF(Inputs!$B$39="pvp",15,MAX(0.1,Skills!D19-IF(TRUE=TRUE,Inputs!$B$33,0))))+1)),0)</f>
        <v/>
      </c>
      <c r="S19">
        <f>IFERROR(O19/N19,0)</f>
        <v/>
      </c>
      <c r="T19" t="n">
        <v>0</v>
      </c>
      <c r="V19" t="n">
        <v>0</v>
      </c>
    </row>
    <row r="20">
      <c r="A20">
        <f>Skills!A20</f>
        <v/>
      </c>
      <c r="B20">
        <f>Skills!B20</f>
        <v/>
      </c>
      <c r="C20">
        <f>TRUE</f>
        <v/>
      </c>
      <c r="D20">
        <f>IF(Skills!C20=1,60+Inputs!$B$26+Inputs!$B$30,IF(Skills!C20=2,90+Inputs!$B$27+Inputs!$B$30,IF(Skills!C20=3,120+Inputs!$B$28+Inputs!$B$30,MAX(0,(Inputs!$B$3-100)*3)+Inputs!$B$29+Inputs!$B$30)))</f>
        <v/>
      </c>
      <c r="E20">
        <f>INDEX(FactorTable!$B$2:$Y$301, MATCH(ROUND(MIN(300,MAX(1,D20)),0), FactorTable!$A$2:$A$301,0), Skills!M20+1)</f>
        <v/>
      </c>
      <c r="F20">
        <f>IF(Skills!N20=TRUE,(Skills!L20/10)*(E20/1000),Skills!L20/10)+Skills!O20</f>
        <v/>
      </c>
      <c r="G20">
        <f>Skills!G20*IF(Skills!H20&gt;0,INT(IF(Inputs!$B$39="pvp",MIN(Skills!I20,15),Skills!I20)/Skills!H20+0.000000001),1)</f>
        <v/>
      </c>
      <c r="H20">
        <f>1-(1-Skills!J20/100)^Skills!K20</f>
        <v/>
      </c>
      <c r="I20" t="inlineStr">
        <is>
          <t>1</t>
        </is>
      </c>
      <c r="J20" t="inlineStr"/>
      <c r="K20" t="inlineStr"/>
      <c r="L20" t="inlineStr"/>
      <c r="M20" t="inlineStr"/>
      <c r="N20" t="inlineStr"/>
      <c r="O20">
        <f>(1-Summary!$B$11)*T20+Summary!$B$11*V20</f>
        <v/>
      </c>
      <c r="P20">
        <f>IF(Summary!$B$3=0,0,O20/Summary!$B$3)</f>
        <v/>
      </c>
      <c r="Q20">
        <f>IFERROR(1/IF(Inputs!$B$39="pvp",15,MAX(0.1,Skills!D20-IF(TRUE=TRUE,Inputs!$B$33,0))),0)</f>
        <v/>
      </c>
      <c r="R20">
        <f>IF(AND(Inputs!$B$39&lt;&gt;"pvp",Inputs!$B$44&gt;0),IF(Inputs!$B$44&lt;=0,0,(INT(Inputs!$B$44/IF(Inputs!$B$39="pvp",15,MAX(0.1,Skills!D20-IF(TRUE=TRUE,Inputs!$B$33,0))))+1)),0)</f>
        <v/>
      </c>
      <c r="S20">
        <f>IFERROR(O20/N20,0)</f>
        <v/>
      </c>
      <c r="T20" t="n">
        <v>0</v>
      </c>
      <c r="V20" t="n">
        <v>0</v>
      </c>
    </row>
    <row r="21">
      <c r="A21">
        <f>Skills!A21</f>
        <v/>
      </c>
      <c r="B21">
        <f>Skills!B21</f>
        <v/>
      </c>
      <c r="C21">
        <f>Inputs!$B$3&gt;=33</f>
        <v/>
      </c>
      <c r="D21">
        <f>IF(Skills!C21=1,60+Inputs!$B$26+Inputs!$B$30,IF(Skills!C21=2,90+Inputs!$B$27+Inputs!$B$30,IF(Skills!C21=3,120+Inputs!$B$28+Inputs!$B$30,MAX(0,(Inputs!$B$3-100)*3)+Inputs!$B$29+Inputs!$B$30)))</f>
        <v/>
      </c>
      <c r="E21">
        <f>INDEX(FactorTable!$B$2:$Y$301, MATCH(ROUND(MIN(300,MAX(1,D21)),0), FactorTable!$A$2:$A$301,0), Skills!M21+1)</f>
        <v/>
      </c>
      <c r="F21">
        <f>IF(Skills!N21=TRUE,(Skills!L21/10)*(E21/1000),Skills!L21/10)+Skills!O21</f>
        <v/>
      </c>
      <c r="G21">
        <f>Skills!G21*IF(Skills!H21&gt;0,INT(IF(Inputs!$B$39="pvp",MIN(Skills!I21,15),Skills!I21)/Skills!H21+0.000000001),1)</f>
        <v/>
      </c>
      <c r="H21">
        <f>1-(1-Skills!J21/100)^Skills!K21</f>
        <v/>
      </c>
      <c r="I21" t="inlineStr">
        <is>
          <t>1</t>
        </is>
      </c>
      <c r="J21" t="inlineStr"/>
      <c r="K21" t="inlineStr"/>
      <c r="L21" t="inlineStr"/>
      <c r="M21" t="inlineStr"/>
      <c r="N21" t="inlineStr"/>
      <c r="O21">
        <f>(1-Summary!$B$11)*T21+Summary!$B$11*V21</f>
        <v/>
      </c>
      <c r="P21">
        <f>IF(Summary!$B$3=0,0,O21/Summary!$B$3)</f>
        <v/>
      </c>
      <c r="Q21" t="n">
        <v>0</v>
      </c>
      <c r="R21" t="n">
        <v>0</v>
      </c>
      <c r="S21">
        <f>IFERROR(O21/N21,0)</f>
        <v/>
      </c>
      <c r="T21" t="n">
        <v>0</v>
      </c>
      <c r="V21" t="n">
        <v>0</v>
      </c>
    </row>
    <row r="22">
      <c r="A22">
        <f>Skills!A22</f>
        <v/>
      </c>
      <c r="B22">
        <f>Skills!B22</f>
        <v/>
      </c>
      <c r="C22">
        <f>Inputs!$B$3&gt;=43</f>
        <v/>
      </c>
      <c r="D22">
        <f>IF(Skills!C22=1,60+Inputs!$B$26+Inputs!$B$30,IF(Skills!C22=2,90+Inputs!$B$27+Inputs!$B$30,IF(Skills!C22=3,120+Inputs!$B$28+Inputs!$B$30,MAX(0,(Inputs!$B$3-100)*3)+Inputs!$B$29+Inputs!$B$30)))</f>
        <v/>
      </c>
      <c r="E22">
        <f>INDEX(FactorTable!$B$2:$Y$301, MATCH(ROUND(MIN(300,MAX(1,D22)),0), FactorTable!$A$2:$A$301,0), Skills!M22+1)</f>
        <v/>
      </c>
      <c r="F22">
        <f>IF(Skills!N22=TRUE,(Skills!L22/10)*(E22/1000),Skills!L22/10)+Skills!O22</f>
        <v/>
      </c>
      <c r="G22">
        <f>Skills!G22*IF(Skills!H22&gt;0,INT(IF(Inputs!$B$39="pvp",MIN(Skills!I22,15),Skills!I22)/Skills!H22+0.000000001),1)</f>
        <v/>
      </c>
      <c r="H22">
        <f>1-(1-Skills!J22/100)^Skills!K22</f>
        <v/>
      </c>
      <c r="I22" t="inlineStr">
        <is>
          <t>1</t>
        </is>
      </c>
      <c r="J22" t="inlineStr"/>
      <c r="K22" t="inlineStr"/>
      <c r="L22" t="inlineStr"/>
      <c r="M22" t="inlineStr"/>
      <c r="N22" t="inlineStr"/>
      <c r="O22">
        <f>(1-Summary!$B$11)*T22+Summary!$B$11*V22</f>
        <v/>
      </c>
      <c r="P22">
        <f>IF(Summary!$B$3=0,0,O22/Summary!$B$3)</f>
        <v/>
      </c>
      <c r="Q22" t="n">
        <v>0</v>
      </c>
      <c r="R22" t="n">
        <v>0</v>
      </c>
      <c r="S22">
        <f>IFERROR(O22/N22,0)</f>
        <v/>
      </c>
      <c r="T22" t="n">
        <v>0</v>
      </c>
      <c r="V22" t="n">
        <v>0</v>
      </c>
    </row>
    <row r="23">
      <c r="A23">
        <f>Skills!A23</f>
        <v/>
      </c>
      <c r="B23">
        <f>Skills!B23</f>
        <v/>
      </c>
      <c r="C23">
        <f>Inputs!$B$3&gt;=120</f>
        <v/>
      </c>
      <c r="D23">
        <f>IF(Skills!C23=1,60+Inputs!$B$26+Inputs!$B$30,IF(Skills!C23=2,90+Inputs!$B$27+Inputs!$B$30,IF(Skills!C23=3,120+Inputs!$B$28+Inputs!$B$30,MAX(0,(Inputs!$B$3-100)*3)+Inputs!$B$29+Inputs!$B$30)))</f>
        <v/>
      </c>
      <c r="E23">
        <f>INDEX(FactorTable!$B$2:$Y$301, MATCH(ROUND(MIN(300,MAX(1,D23)),0), FactorTable!$A$2:$A$301,0), Skills!M23+1)</f>
        <v/>
      </c>
      <c r="F23">
        <f>IF(Skills!N23=TRUE,(Skills!L23/10)*(E23/1000),Skills!L23/10)+Skills!O23</f>
        <v/>
      </c>
      <c r="G23">
        <f>Skills!G23*IF(Skills!H23&gt;0,INT(IF(Inputs!$B$39="pvp",MIN(Skills!I23,15),Skills!I23)/Skills!H23+0.000000001),1)</f>
        <v/>
      </c>
      <c r="H23">
        <f>1-(1-Skills!J23/100)^Skills!K23</f>
        <v/>
      </c>
      <c r="I23" t="inlineStr">
        <is>
          <t>1</t>
        </is>
      </c>
      <c r="J23" t="inlineStr"/>
      <c r="K23" t="inlineStr"/>
      <c r="L23" t="inlineStr"/>
      <c r="M23" t="inlineStr"/>
      <c r="N23" t="inlineStr"/>
      <c r="O23">
        <f>(1-Summary!$B$11)*T23+Summary!$B$11*V23</f>
        <v/>
      </c>
      <c r="P23">
        <f>IF(Summary!$B$3=0,0,O23/Summary!$B$3)</f>
        <v/>
      </c>
      <c r="Q23" t="n">
        <v>0</v>
      </c>
      <c r="R23" t="n">
        <v>0</v>
      </c>
      <c r="S23">
        <f>IFERROR(O23/N23,0)</f>
        <v/>
      </c>
      <c r="T23" t="n">
        <v>0</v>
      </c>
      <c r="V23" t="n">
        <v>0</v>
      </c>
    </row>
    <row r="24">
      <c r="A24">
        <f>Skills!A24</f>
        <v/>
      </c>
      <c r="B24">
        <f>Skills!B24</f>
        <v/>
      </c>
      <c r="C24">
        <f>Inputs!$B$3&gt;=120</f>
        <v/>
      </c>
      <c r="D24">
        <f>IF(Skills!C24=1,60+Inputs!$B$26+Inputs!$B$30,IF(Skills!C24=2,90+Inputs!$B$27+Inputs!$B$30,IF(Skills!C24=3,120+Inputs!$B$28+Inputs!$B$30,MAX(0,(Inputs!$B$3-100)*3)+Inputs!$B$29+Inputs!$B$30)))</f>
        <v/>
      </c>
      <c r="E24">
        <f>INDEX(FactorTable!$B$2:$Y$301, MATCH(ROUND(MIN(300,MAX(1,D24)),0), FactorTable!$A$2:$A$301,0), Skills!M24+1)</f>
        <v/>
      </c>
      <c r="F24">
        <f>IF(Skills!N24=TRUE,(Skills!L24/10)*(E24/1000),Skills!L24/10)+Skills!O24</f>
        <v/>
      </c>
      <c r="G24">
        <f>Skills!G24*IF(Skills!H24&gt;0,INT(IF(Inputs!$B$39="pvp",MIN(Skills!I24,15),Skills!I24)/Skills!H24+0.000000001),1)</f>
        <v/>
      </c>
      <c r="H24">
        <f>1-(1-Skills!J24/100)^Skills!K24</f>
        <v/>
      </c>
      <c r="I24" t="inlineStr">
        <is>
          <t>1</t>
        </is>
      </c>
      <c r="J24" t="inlineStr"/>
      <c r="K24" t="inlineStr"/>
      <c r="L24" t="inlineStr"/>
      <c r="M24" t="inlineStr"/>
      <c r="N24" t="inlineStr"/>
      <c r="O24">
        <f>(1-Summary!$B$11)*T24+Summary!$B$11*V24</f>
        <v/>
      </c>
      <c r="P24">
        <f>IF(Summary!$B$3=0,0,O24/Summary!$B$3)</f>
        <v/>
      </c>
      <c r="Q24" t="n">
        <v>0</v>
      </c>
      <c r="R24" t="n">
        <v>0</v>
      </c>
      <c r="S24">
        <f>IFERROR(O24/N24,0)</f>
        <v/>
      </c>
      <c r="T24" t="n">
        <v>0</v>
      </c>
      <c r="V24" t="n">
        <v>0</v>
      </c>
    </row>
    <row r="25">
      <c r="A25">
        <f>Skills!A25</f>
        <v/>
      </c>
      <c r="B25">
        <f>Skills!B25</f>
        <v/>
      </c>
      <c r="C25">
        <f>Inputs!$B$3&gt;=125</f>
        <v/>
      </c>
      <c r="D25">
        <f>IF(Skills!C25=1,60+Inputs!$B$26+Inputs!$B$30,IF(Skills!C25=2,90+Inputs!$B$27+Inputs!$B$30,IF(Skills!C25=3,120+Inputs!$B$28+Inputs!$B$30,MAX(0,(Inputs!$B$3-100)*3)+Inputs!$B$29+Inputs!$B$30)))</f>
        <v/>
      </c>
      <c r="E25">
        <f>INDEX(FactorTable!$B$2:$Y$301, MATCH(ROUND(MIN(300,MAX(1,D25)),0), FactorTable!$A$2:$A$301,0), Skills!M25+1)</f>
        <v/>
      </c>
      <c r="F25">
        <f>IF(Skills!N25=TRUE,(Skills!L25/10)*(E25/1000),Skills!L25/10)+Skills!O25</f>
        <v/>
      </c>
      <c r="G25">
        <f>Skills!G25*IF(Skills!H25&gt;0,INT(IF(Inputs!$B$39="pvp",MIN(Skills!I25,15),Skills!I25)/Skills!H25+0.000000001),1)</f>
        <v/>
      </c>
      <c r="H25">
        <f>1-(1-Skills!J25/100)^Skills!K25</f>
        <v/>
      </c>
      <c r="I25" t="inlineStr">
        <is>
          <t>1</t>
        </is>
      </c>
      <c r="J25" t="inlineStr"/>
      <c r="K25" t="inlineStr"/>
      <c r="L25" t="inlineStr"/>
      <c r="M25" t="inlineStr"/>
      <c r="N25" t="inlineStr"/>
      <c r="O25">
        <f>(1-Summary!$B$11)*T25+Summary!$B$11*V25</f>
        <v/>
      </c>
      <c r="P25">
        <f>IF(Summary!$B$3=0,0,O25/Summary!$B$3)</f>
        <v/>
      </c>
      <c r="Q25" t="n">
        <v>0</v>
      </c>
      <c r="R25" t="n">
        <v>0</v>
      </c>
      <c r="S25">
        <f>IFERROR(O25/N25,0)</f>
        <v/>
      </c>
      <c r="T25" t="n">
        <v>0</v>
      </c>
      <c r="V25" t="n">
        <v>0</v>
      </c>
    </row>
    <row r="26">
      <c r="A26">
        <f>Skills!A26</f>
        <v/>
      </c>
      <c r="B26">
        <f>Skills!B26</f>
        <v/>
      </c>
      <c r="C26">
        <f>Inputs!$B$3&gt;=107</f>
        <v/>
      </c>
      <c r="D26">
        <f>IF(Skills!C26=1,60+Inputs!$B$26+Inputs!$B$30,IF(Skills!C26=2,90+Inputs!$B$27+Inputs!$B$30,IF(Skills!C26=3,120+Inputs!$B$28+Inputs!$B$30,MAX(0,(Inputs!$B$3-100)*3)+Inputs!$B$29+Inputs!$B$30)))</f>
        <v/>
      </c>
      <c r="E26">
        <f>INDEX(FactorTable!$B$2:$Y$301, MATCH(ROUND(MIN(300,MAX(1,D26)),0), FactorTable!$A$2:$A$301,0), Skills!M26+1)</f>
        <v/>
      </c>
      <c r="F26">
        <f>IF(Skills!N26=TRUE,(Skills!L26/10)*(E26/1000),Skills!L26/10)+Skills!O26</f>
        <v/>
      </c>
      <c r="G26">
        <f>Skills!G26*IF(Skills!H26&gt;0,INT(IF(Inputs!$B$39="pvp",MIN(Skills!I26,15),Skills!I26)/Skills!H26+0.000000001),1)</f>
        <v/>
      </c>
      <c r="H26">
        <f>1-(1-Skills!J26/100)^Skills!K26</f>
        <v/>
      </c>
      <c r="I26" t="inlineStr">
        <is>
          <t>1</t>
        </is>
      </c>
      <c r="J26" t="inlineStr"/>
      <c r="K26" t="inlineStr"/>
      <c r="L26" t="inlineStr"/>
      <c r="M26" t="inlineStr"/>
      <c r="N26" t="inlineStr"/>
      <c r="O26">
        <f>(1-Summary!$B$11)*T26+Summary!$B$11*V26</f>
        <v/>
      </c>
      <c r="P26">
        <f>IF(Summary!$B$3=0,0,O26/Summary!$B$3)</f>
        <v/>
      </c>
      <c r="Q26" t="n">
        <v>0</v>
      </c>
      <c r="R26" t="n">
        <v>0</v>
      </c>
      <c r="S26">
        <f>IFERROR(O26/N26,0)</f>
        <v/>
      </c>
      <c r="T26" t="n">
        <v>0</v>
      </c>
      <c r="V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5"/>
  <sheetViews>
    <sheetView workbookViewId="0">
      <selection activeCell="A1" sqref="A1"/>
    </sheetView>
  </sheetViews>
  <sheetFormatPr baseColWidth="8" defaultRowHeight="15"/>
  <cols>
    <col width="65" customWidth="1" min="1" max="1"/>
    <col width="16" customWidth="1" min="2" max="2"/>
    <col width="12" customWidth="1" min="3" max="3"/>
  </cols>
  <sheetData>
    <row r="1">
      <c r="A1" s="4" t="inlineStr">
        <is>
          <t>Dark Knight — DPS Summary</t>
        </is>
      </c>
    </row>
    <row r="3">
      <c r="A3" s="10" t="inlineStr">
        <is>
          <t>TOTAL DPS</t>
        </is>
      </c>
      <c r="B3" s="10">
        <f>SUM(Calc!O2:O26)</f>
        <v/>
      </c>
    </row>
    <row r="5">
      <c r="A5" s="9" t="inlineStr">
        <is>
          <t>Derived Values (read-only, computed from Inputs)</t>
        </is>
      </c>
    </row>
    <row r="6">
      <c r="A6" t="inlineStr">
        <is>
          <t>ATTACK (= Flat ATTACK x (1+ATTACK%/100))</t>
        </is>
      </c>
      <c r="B6">
        <f>Inputs!$B$6*(1+Inputs!$B$7/100)</f>
        <v/>
      </c>
    </row>
    <row r="7">
      <c r="A7" t="inlineStr">
        <is>
          <t>STAT_DAMAGE % (= 1% of total STR [incl. Iron Wall's Defense-&gt; STR] + 0.25% of DEX)</t>
        </is>
      </c>
      <c r="B7">
        <f>((Inputs!$B$13+IF(Inputs!$B$3&gt;=38,(10*INDEX(FactorTable!$B$2:$Y$301, MATCH(ROUND(MIN(300,MAX(1,Inputs!$B$3)),0), FactorTable!$A$2:$A$301,0), 23)/1000)/100*(Inputs!$B$8*(1+Inputs!$B$9/100)),0))*(1+Inputs!$B$14/100))*0.01+Inputs!$B$15*0.0025</f>
        <v/>
      </c>
    </row>
    <row r="8">
      <c r="A8" t="inlineStr">
        <is>
          <t>Basic Attack (Dark Impale) Input Level (4th job formula)</t>
        </is>
      </c>
      <c r="B8">
        <f>MAX(0,(Inputs!$B$3-100)*3)+Inputs!$B$29+Inputs!$B$30</f>
        <v/>
      </c>
    </row>
    <row r="9">
      <c r="A9" t="inlineStr">
        <is>
          <t>Basic Attack Factor (factorIndex 21, universal 4th-job basic attack)</t>
        </is>
      </c>
      <c r="B9">
        <f>INDEX(FactorTable!$B$2:$Y$301, MATCH(ROUND(MIN(300,MAX(1,Summary!$B$8)),0), FactorTable!$A$2:$A$301,0), 22)</f>
        <v/>
      </c>
    </row>
    <row r="10">
      <c r="A10" t="inlineStr">
        <is>
          <t>SKILL_COEFFICIENT — Dark Impale base coefficient % (before bonuses)</t>
        </is>
      </c>
      <c r="B10">
        <f>290*Summary!$B$9/1000</f>
        <v/>
      </c>
    </row>
    <row r="11">
      <c r="A11" t="inlineStr">
        <is>
          <t>Normal-Monster Weight (= 0 for boss, 1 for normal, Breakthrough Normal Weight % for breakthrough, 0 for pvp)</t>
        </is>
      </c>
      <c r="B11">
        <f>IF(Inputs!$B$39="normal",1,IF(Inputs!$B$39="breakthrough",Inputs!$B$45/100,0))</f>
        <v/>
      </c>
    </row>
    <row r="13">
      <c r="A13" t="inlineStr">
        <is>
          <t>Attack%% Bucket Multiplier (Hex of the Evil Eye + Dark Resonance + Cross Over Chains + Hyper Body + Artifact Attack%, summed additively)</t>
        </is>
      </c>
      <c r="B13">
        <f>1+(((Calc!C13=TRUE)*Calc!F13*IF(AND(Inputs!$B$39&lt;&gt;"pvp",Inputs!$B$44&gt;0),(((Calc!R13-1)*MIN((Skills!T13*(1+Inputs!$B$35/100)),(1/Calc!Q13))+MIN((Skills!T13*(1+Inputs!$B$35/100)),MAX(0,Inputs!$B$44-((Calc!R13-1)*(1/Calc!Q13)))))/Inputs!$B$44),IF(Inputs!$B$39="pvp",MIN((Skills!T13*(1+Inputs!$B$35/100)),15)/15,MIN(1,(Skills!T13*(1+Inputs!$B$35/100))/(1/Calc!Q13)))))+((Calc!C14=TRUE)*Calc!F14*IF(AND(Inputs!$B$39&lt;&gt;"pvp",Inputs!$B$44&gt;0),(((Calc!R14-1)*MIN((Skills!T14*(1+Inputs!$B$35/100)),(1/Calc!Q14))+MIN((Skills!T14*(1+Inputs!$B$35/100)),MAX(0,Inputs!$B$44-((Calc!R14-1)*(1/Calc!Q14)))))/Inputs!$B$44),IF(Inputs!$B$39="pvp",MIN((Skills!T14*(1+Inputs!$B$35/100)),15)/15,MIN(1,(Skills!T14*(1+Inputs!$B$35/100))/(1/Calc!Q14)))))+((Calc!C15=TRUE)*Calc!F15*IF(AND(Inputs!$B$39&lt;&gt;"pvp",Inputs!$B$44&gt;0),(((Calc!R15-1)*MIN((Skills!T15*(1+Inputs!$B$35/100)),(1/Calc!Q15))+MIN((Skills!T15*(1+Inputs!$B$35/100)),MAX(0,Inputs!$B$44-((Calc!R15-1)*(1/Calc!Q15)))))/Inputs!$B$44),IF(Inputs!$B$39="pvp",MIN((Skills!T15*(1+Inputs!$B$35/100)),15)/15,MIN(1,(Skills!T15*(1+Inputs!$B$35/100))/(1/Calc!Q15)))))+((Calc!C16=TRUE)*Calc!F16*IF(AND(Inputs!$B$39&lt;&gt;"pvp",Inputs!$B$44&gt;0),(((Calc!R16-1)*MIN((Skills!T16*(1+Inputs!$B$35/100)),(1/Calc!Q16))+MIN((Skills!T16*(1+Inputs!$B$35/100)),MAX(0,Inputs!$B$44-((Calc!R16-1)*(1/Calc!Q16)))))/Inputs!$B$44),IF(Inputs!$B$39="pvp",MIN((Skills!T16*(1+Inputs!$B$35/100)),15)/15,MIN(1,(Skills!T16*(1+Inputs!$B$35/100))/(1/Calc!Q16)))))+Artifacts!$B$52)/100</f>
        <v/>
      </c>
    </row>
    <row r="14">
      <c r="A14" t="inlineStr">
        <is>
          <t>Global Crit Rate Bonus % (Lord of Darkness, proc-chance x duty-cycle)</t>
        </is>
      </c>
      <c r="B14">
        <f>((Calc!C18=TRUE)*Calc!F18*(Skills!J18/100)*IF(AND(Inputs!$B$39&lt;&gt;"pvp",Inputs!$B$44&gt;0),(((Calc!R18-1)*MIN((Skills!T18*(1+Inputs!$B$35/100)),(1/Calc!Q18))+MIN((Skills!T18*(1+Inputs!$B$35/100)),MAX(0,Inputs!$B$44-((Calc!R18-1)*(1/Calc!Q18)))))/Inputs!$B$44),IF(Inputs!$B$39="pvp",MIN((Skills!T18*(1+Inputs!$B$35/100)),15)/15,MIN(1,(Skills!T18*(1+Inputs!$B$35/100))/(1/Calc!Q18)))))</f>
        <v/>
      </c>
    </row>
    <row r="15">
      <c r="A15" t="inlineStr">
        <is>
          <t>Global Monster Damage-Taken Bonus % (Evil Eye, all types + Dark Resonance, boss-only + Artifact Enemy Damage Taken Bonus)</t>
        </is>
      </c>
      <c r="B15">
        <f>((Calc!C17=TRUE)*Calc!F17*IF(AND(Inputs!$B$39&lt;&gt;"pvp",Inputs!$B$44&gt;0),(((Calc!R17-1)*MIN((Skills!T17*(1+Inputs!$B$35/100)),(1/Calc!Q17))+MIN((Skills!T17*(1+Inputs!$B$35/100)),MAX(0,Inputs!$B$44-((Calc!R17-1)*(1/Calc!Q17)))))/Inputs!$B$44),IF(Inputs!$B$39="pvp",MIN((Skills!T17*(1+Inputs!$B$35/100)),15)/15,MIN(1,(Skills!T17*(1+Inputs!$B$35/100))/(1/Calc!Q17)))))+((Calc!C5=TRUE)*IF(Inputs!$B$3&gt;=126,10*MIN(1,15*Calc!Q5),0))+((Calc!C14=TRUE)*IF(Inputs!$B$39="pvp",20,(1-Summary!$B$11)*(20)+Summary!$B$11*(0))*IF(AND(Inputs!$B$39&lt;&gt;"pvp",Inputs!$B$44&gt;0),(((Calc!R14-1)*MIN((Skills!T14*(1+Inputs!$B$35/100)),(1/Calc!Q14))+MIN((Skills!T14*(1+Inputs!$B$35/100)),MAX(0,Inputs!$B$44-((Calc!R14-1)*(1/Calc!Q14)))))/Inputs!$B$44),IF(Inputs!$B$39="pvp",MIN((Skills!T14*(1+Inputs!$B$35/100)),15)/15,MIN(1,(Skills!T14*(1+Inputs!$B$35/100))/(1/Calc!Q14)))))+((Calc!C13=TRUE)*IF(Inputs!$B$3&gt;=82,IF(Inputs!$B$39="pvp",20,(1-Summary!$B$11)*(20)+Summary!$B$11*(0)),0)*IF(AND(Inputs!$B$39&lt;&gt;"pvp",Inputs!$B$44&gt;0),(((Calc!R13-1)*MIN((Skills!T13*(1+Inputs!$B$35/100)),(1/Calc!Q13))+MIN((Skills!T13*(1+Inputs!$B$35/100)),MAX(0,Inputs!$B$44-((Calc!R13-1)*(1/Calc!Q13)))))/Inputs!$B$44),IF(Inputs!$B$39="pvp",MIN((Skills!T13*(1+Inputs!$B$35/100)),15)/15,MIN(1,(Skills!T13*(1+Inputs!$B$35/100))/(1/Calc!Q13)))))+Artifacts!$B$36</f>
        <v/>
      </c>
    </row>
    <row r="16">
      <c r="A16" t="inlineStr">
        <is>
          <t>Attack Speed Buff Bonus % (Nimble Feet, duty-cycle averaged)</t>
        </is>
      </c>
      <c r="B16">
        <f>((Calc!C20=TRUE)*Calc!F20*IF(AND(Inputs!$B$39&lt;&gt;"pvp",Inputs!$B$44&gt;0),(((Calc!R20-1)*MIN((Skills!T20*(1+Inputs!$B$35/100)),(1/Calc!Q20))+MIN((Skills!T20*(1+Inputs!$B$35/100)),MAX(0,Inputs!$B$44-((Calc!R20-1)*(1/Calc!Q20)))))/Inputs!$B$44),IF(Inputs!$B$39="pvp",MIN((Skills!T20*(1+Inputs!$B$35/100)),15)/15,MIN(1,(Skills!T20*(1+Inputs!$B$35/100))/(1/Calc!Q20)))))</f>
        <v/>
      </c>
    </row>
    <row r="17">
      <c r="A17" t="inlineStr">
        <is>
          <t>Actions Per Second</t>
        </is>
      </c>
      <c r="B17">
        <f>1+MIN(150,150*(1-(1-Inputs!$B$12/150)*(1-B16/150)))/100</f>
        <v/>
      </c>
    </row>
    <row r="18">
      <c r="A18" t="inlineStr">
        <is>
          <t>Skill + Buff Cast Rate (subtracted from Dark Impale, 1/s)</t>
        </is>
      </c>
      <c r="B18">
        <f>IF(AND(Inputs!$B$39&lt;&gt;"pvp",Inputs!$B$44&gt;0),SUMPRODUCT((Skills!E2:E26=TRUE)*(Calc!C2:C26=TRUE)*Calc!R2:R26*Skills!F2:F26)/Inputs!$B$44,SUMPRODUCT((Skills!E2:E26=TRUE)*(Calc!C2:C26=TRUE)*Calc!Q2:Q26*Skills!F2:F26))</f>
        <v/>
      </c>
    </row>
    <row r="19">
      <c r="A19" t="inlineStr">
        <is>
          <t>Dark Impale (Basic Attack) Casts Per Second</t>
        </is>
      </c>
      <c r="B19">
        <f>MAX(0,B17-B18)</f>
        <v/>
      </c>
    </row>
    <row r="20">
      <c r="A20" t="inlineStr">
        <is>
          <t>Global Critical Damage Bonus % (Lord of Darkness, proc-chance x duty-cycle)</t>
        </is>
      </c>
      <c r="B20">
        <f>((Calc!C19=TRUE)*Calc!F19*(Skills!J19/100)*IF(AND(Inputs!$B$39&lt;&gt;"pvp",Inputs!$B$44&gt;0),(((Calc!R19-1)*MIN((Skills!T19*(1+Inputs!$B$35/100)),(1/Calc!Q19))+MIN((Skills!T19*(1+Inputs!$B$35/100)),MAX(0,Inputs!$B$44-((Calc!R19-1)*(1/Calc!Q19)))))/Inputs!$B$44),IF(Inputs!$B$39="pvp",MIN((Skills!T19*(1+Inputs!$B$35/100)),15)/15,MIN(1,(Skills!T19*(1+Inputs!$B$35/100))/(1/Calc!Q19)))))</f>
        <v/>
      </c>
    </row>
    <row r="21">
      <c r="A21" t="inlineStr">
        <is>
          <t>Global Final Damage Bonus % (unused — no live Final-Damage-buff source exists in this kit)</t>
        </is>
      </c>
      <c r="B21" t="n">
        <v>0</v>
      </c>
    </row>
    <row r="22">
      <c r="A22" t="inlineStr">
        <is>
          <t>Dark Impale (Basic Attack) DPS</t>
        </is>
      </c>
      <c r="B22">
        <f>Calc!O2</f>
        <v/>
      </c>
    </row>
    <row r="23">
      <c r="A23" t="inlineStr">
        <is>
          <t>Buff-Casting Startup Delay (s, before first damage-skill cast; fixed-duration only)</t>
        </is>
      </c>
      <c r="B23">
        <f>IF(AND(Inputs!$B$39&lt;&gt;"pvp",Inputs!$B$44&gt;0),SUMPRODUCT((Skills!T2:T26&gt;0)*(Skills!E2:E26=TRUE)*(Calc!C2:C26=TRUE))/B17,0)</f>
        <v/>
      </c>
    </row>
    <row r="24">
      <c r="A24" t="inlineStr">
        <is>
          <t>Boss-Only Total DPS (Sensitivity baseline)</t>
        </is>
      </c>
      <c r="B24">
        <f>SUM(Calc!T2:T26)</f>
        <v/>
      </c>
    </row>
    <row r="25">
      <c r="A25" t="inlineStr">
        <is>
          <t>Normal-Only Total DPS (Sensitivity baseline)</t>
        </is>
      </c>
      <c r="B25">
        <f>SUM(Calc!V2:V26)</f>
        <v/>
      </c>
    </row>
    <row r="27">
      <c r="A27" s="9" t="inlineStr">
        <is>
          <t>Per-Skill DPS Breakdown</t>
        </is>
      </c>
    </row>
    <row r="28">
      <c r="A28" s="5" t="inlineStr">
        <is>
          <t>Skill</t>
        </is>
      </c>
      <c r="B28" s="5" t="inlineStr">
        <is>
          <t>DPS</t>
        </is>
      </c>
      <c r="C28" s="5" t="inlineStr">
        <is>
          <t>% of Total</t>
        </is>
      </c>
    </row>
    <row r="29">
      <c r="A29">
        <f>Calc!B2</f>
        <v/>
      </c>
      <c r="B29">
        <f>Calc!O2</f>
        <v/>
      </c>
      <c r="C29">
        <f>Calc!P2*100</f>
        <v/>
      </c>
    </row>
    <row r="30">
      <c r="A30">
        <f>Calc!B5</f>
        <v/>
      </c>
      <c r="B30">
        <f>Calc!O5</f>
        <v/>
      </c>
      <c r="C30">
        <f>Calc!P5*100</f>
        <v/>
      </c>
    </row>
    <row r="31">
      <c r="A31">
        <f>Calc!B6</f>
        <v/>
      </c>
      <c r="B31">
        <f>Calc!O6</f>
        <v/>
      </c>
      <c r="C31">
        <f>Calc!P6*100</f>
        <v/>
      </c>
    </row>
    <row r="32">
      <c r="A32">
        <f>Calc!B7</f>
        <v/>
      </c>
      <c r="B32">
        <f>Calc!O7</f>
        <v/>
      </c>
      <c r="C32">
        <f>Calc!P7*100</f>
        <v/>
      </c>
    </row>
    <row r="33">
      <c r="A33">
        <f>Calc!B9</f>
        <v/>
      </c>
      <c r="B33">
        <f>Calc!O9</f>
        <v/>
      </c>
      <c r="C33">
        <f>Calc!P9*100</f>
        <v/>
      </c>
    </row>
    <row r="34">
      <c r="A34">
        <f>Calc!B10</f>
        <v/>
      </c>
      <c r="B34">
        <f>Calc!O10</f>
        <v/>
      </c>
      <c r="C34">
        <f>Calc!P10*100</f>
        <v/>
      </c>
    </row>
    <row r="35">
      <c r="A35">
        <f>Calc!B12</f>
        <v/>
      </c>
      <c r="B35">
        <f>Calc!O12</f>
        <v/>
      </c>
      <c r="C35">
        <f>Calc!P12*100</f>
        <v/>
      </c>
    </row>
    <row r="36">
      <c r="A36" s="9" t="inlineStr">
        <is>
          <t>Marginal DPS &amp; Stat Value (see Sensitivity for full detail)</t>
        </is>
      </c>
    </row>
    <row r="38">
      <c r="A38" s="5" t="inlineStr">
        <is>
          <t>Stat</t>
        </is>
      </c>
      <c r="B38" s="5" t="inlineStr">
        <is>
          <t>DPS per +1</t>
        </is>
      </c>
      <c r="C38" s="5" t="inlineStr">
        <is>
          <t>Units per +1% DPS</t>
        </is>
      </c>
    </row>
    <row r="39">
      <c r="A39">
        <f>Sensitivity!A5</f>
        <v/>
      </c>
      <c r="B39">
        <f>Sensitivity!H5</f>
        <v/>
      </c>
      <c r="C39">
        <f>Sensitivity!B5</f>
        <v/>
      </c>
    </row>
    <row r="40">
      <c r="A40">
        <f>Sensitivity!A6</f>
        <v/>
      </c>
      <c r="B40">
        <f>Sensitivity!H6</f>
        <v/>
      </c>
      <c r="C40">
        <f>Sensitivity!B6</f>
        <v/>
      </c>
    </row>
    <row r="41">
      <c r="A41">
        <f>Sensitivity!A7</f>
        <v/>
      </c>
      <c r="B41">
        <f>Sensitivity!H7</f>
        <v/>
      </c>
      <c r="C41">
        <f>Sensitivity!B7</f>
        <v/>
      </c>
    </row>
    <row r="42">
      <c r="A42">
        <f>Sensitivity!A8</f>
        <v/>
      </c>
      <c r="B42">
        <f>Sensitivity!H8</f>
        <v/>
      </c>
      <c r="C42">
        <f>Sensitivity!B8</f>
        <v/>
      </c>
    </row>
    <row r="43">
      <c r="A43">
        <f>Sensitivity!A9</f>
        <v/>
      </c>
      <c r="B43">
        <f>Sensitivity!H9</f>
        <v/>
      </c>
      <c r="C43">
        <f>Sensitivity!B9</f>
        <v/>
      </c>
    </row>
    <row r="44">
      <c r="A44">
        <f>Sensitivity!A10</f>
        <v/>
      </c>
      <c r="B44">
        <f>Sensitivity!H10</f>
        <v/>
      </c>
      <c r="C44">
        <f>Sensitivity!B10</f>
        <v/>
      </c>
    </row>
    <row r="45">
      <c r="A45">
        <f>Sensitivity!A11</f>
        <v/>
      </c>
      <c r="B45">
        <f>Sensitivity!H11</f>
        <v/>
      </c>
      <c r="C45">
        <f>Sensitivity!B11</f>
        <v/>
      </c>
    </row>
    <row r="46">
      <c r="A46">
        <f>Sensitivity!A12</f>
        <v/>
      </c>
      <c r="B46">
        <f>Sensitivity!H12</f>
        <v/>
      </c>
      <c r="C46">
        <f>Sensitivity!B12</f>
        <v/>
      </c>
    </row>
    <row r="47">
      <c r="A47">
        <f>Sensitivity!A13</f>
        <v/>
      </c>
      <c r="B47">
        <f>Sensitivity!H13</f>
        <v/>
      </c>
      <c r="C47">
        <f>Sensitivity!B13</f>
        <v/>
      </c>
    </row>
    <row r="48">
      <c r="A48">
        <f>Sensitivity!A14</f>
        <v/>
      </c>
      <c r="B48">
        <f>Sensitivity!H14</f>
        <v/>
      </c>
      <c r="C48">
        <f>Sensitivity!B14</f>
        <v/>
      </c>
    </row>
    <row r="49">
      <c r="A49">
        <f>Sensitivity!A15</f>
        <v/>
      </c>
      <c r="B49">
        <f>Sensitivity!H15</f>
        <v/>
      </c>
      <c r="C49">
        <f>Sensitivity!B15</f>
        <v/>
      </c>
    </row>
    <row r="50">
      <c r="A50">
        <f>Sensitivity!A16</f>
        <v/>
      </c>
      <c r="B50">
        <f>Sensitivity!H16</f>
        <v/>
      </c>
      <c r="C50">
        <f>Sensitivity!B16</f>
        <v/>
      </c>
    </row>
    <row r="51">
      <c r="A51">
        <f>Sensitivity!A17</f>
        <v/>
      </c>
      <c r="B51">
        <f>Sensitivity!H17</f>
        <v/>
      </c>
      <c r="C51">
        <f>Sensitivity!B17</f>
        <v/>
      </c>
    </row>
    <row r="52">
      <c r="A52">
        <f>Sensitivity!A18</f>
        <v/>
      </c>
      <c r="B52">
        <f>Sensitivity!H18</f>
        <v/>
      </c>
      <c r="C52">
        <f>Sensitivity!B18</f>
        <v/>
      </c>
    </row>
    <row r="53">
      <c r="A53">
        <f>Sensitivity!A19</f>
        <v/>
      </c>
      <c r="B53">
        <f>Sensitivity!H19</f>
        <v/>
      </c>
      <c r="C53">
        <f>Sensitivity!B19</f>
        <v/>
      </c>
    </row>
    <row r="54">
      <c r="A54">
        <f>Sensitivity!A20</f>
        <v/>
      </c>
      <c r="B54">
        <f>Sensitivity!H20</f>
        <v/>
      </c>
      <c r="C54">
        <f>Sensitivity!B20</f>
        <v/>
      </c>
    </row>
    <row r="55">
      <c r="A55">
        <f>Sensitivity!A21</f>
        <v/>
      </c>
      <c r="B55">
        <f>Sensitivity!H21</f>
        <v/>
      </c>
      <c r="C55">
        <f>Sensitivity!B21</f>
        <v/>
      </c>
    </row>
    <row r="56">
      <c r="A56">
        <f>Sensitivity!A22</f>
        <v/>
      </c>
      <c r="B56">
        <f>Sensitivity!H22</f>
        <v/>
      </c>
      <c r="C56">
        <f>Sensitivity!B22</f>
        <v/>
      </c>
    </row>
    <row r="57">
      <c r="A57">
        <f>Sensitivity!A23</f>
        <v/>
      </c>
      <c r="B57">
        <f>Sensitivity!H23</f>
        <v/>
      </c>
      <c r="C57">
        <f>Sensitivity!B23</f>
        <v/>
      </c>
    </row>
    <row r="58">
      <c r="A58">
        <f>Sensitivity!A24</f>
        <v/>
      </c>
      <c r="B58">
        <f>Sensitivity!H24</f>
        <v/>
      </c>
      <c r="C58">
        <f>Sensitivity!B24</f>
        <v/>
      </c>
    </row>
    <row r="59">
      <c r="A59">
        <f>Sensitivity!A25</f>
        <v/>
      </c>
      <c r="B59">
        <f>Sensitivity!H25</f>
        <v/>
      </c>
      <c r="C59">
        <f>Sensitivity!B25</f>
        <v/>
      </c>
    </row>
    <row r="60">
      <c r="A60">
        <f>Sensitivity!A26</f>
        <v/>
      </c>
      <c r="B60">
        <f>Sensitivity!H26</f>
        <v/>
      </c>
      <c r="C60">
        <f>Sensitivity!B26</f>
        <v/>
      </c>
    </row>
    <row r="61">
      <c r="A61">
        <f>Sensitivity!A27</f>
        <v/>
      </c>
      <c r="B61">
        <f>Sensitivity!H27</f>
        <v/>
      </c>
      <c r="C61">
        <f>Sensitivity!B27</f>
        <v/>
      </c>
    </row>
    <row r="62">
      <c r="A62">
        <f>Sensitivity!A28</f>
        <v/>
      </c>
      <c r="B62">
        <f>Sensitivity!H28</f>
        <v/>
      </c>
      <c r="C62">
        <f>Sensitivity!B28</f>
        <v/>
      </c>
    </row>
    <row r="63">
      <c r="A63">
        <f>Sensitivity!A29</f>
        <v/>
      </c>
      <c r="B63">
        <f>Sensitivity!H29</f>
        <v/>
      </c>
      <c r="C63">
        <f>Sensitivity!B29</f>
        <v/>
      </c>
    </row>
    <row r="64">
      <c r="A64">
        <f>Sensitivity!A30</f>
        <v/>
      </c>
      <c r="B64">
        <f>Sensitivity!H30</f>
        <v/>
      </c>
      <c r="C64">
        <f>Sensitivity!B30</f>
        <v/>
      </c>
    </row>
    <row r="65">
      <c r="A65">
        <f>Sensitivity!A31</f>
        <v/>
      </c>
      <c r="B65">
        <f>Sensitivity!H31</f>
        <v/>
      </c>
      <c r="C65">
        <f>Sensitivity!B31</f>
        <v/>
      </c>
    </row>
    <row r="66">
      <c r="A66">
        <f>Sensitivity!A32</f>
        <v/>
      </c>
      <c r="B66">
        <f>Sensitivity!H32</f>
        <v/>
      </c>
      <c r="C66">
        <f>Sensitivity!B32</f>
        <v/>
      </c>
    </row>
    <row r="67">
      <c r="A67" s="9" t="inlineStr">
        <is>
          <t>Artifact Equip-Toggle DPS Gain, best to worst (see Sensitivity for full detail)</t>
        </is>
      </c>
    </row>
    <row r="69">
      <c r="A69" s="5" t="inlineStr">
        <is>
          <t>Artifact</t>
        </is>
      </c>
      <c r="B69" s="5" t="inlineStr">
        <is>
          <t>DPS Gain</t>
        </is>
      </c>
      <c r="C69" s="5" t="inlineStr">
        <is>
          <t>% Gain</t>
        </is>
      </c>
    </row>
    <row r="70">
      <c r="A70">
        <f>Sensitivity!A35</f>
        <v/>
      </c>
      <c r="B70">
        <f>Sensitivity!B35</f>
        <v/>
      </c>
      <c r="C70">
        <f>Sensitivity!C35</f>
        <v/>
      </c>
    </row>
    <row r="71">
      <c r="A71">
        <f>Sensitivity!A36</f>
        <v/>
      </c>
      <c r="B71">
        <f>Sensitivity!B36</f>
        <v/>
      </c>
      <c r="C71">
        <f>Sensitivity!C36</f>
        <v/>
      </c>
    </row>
    <row r="72">
      <c r="A72">
        <f>Sensitivity!A37</f>
        <v/>
      </c>
      <c r="B72">
        <f>Sensitivity!B37</f>
        <v/>
      </c>
      <c r="C72">
        <f>Sensitivity!C37</f>
        <v/>
      </c>
    </row>
    <row r="73">
      <c r="A73">
        <f>Sensitivity!A38</f>
        <v/>
      </c>
      <c r="B73">
        <f>Sensitivity!B38</f>
        <v/>
      </c>
      <c r="C73">
        <f>Sensitivity!C38</f>
        <v/>
      </c>
    </row>
    <row r="74">
      <c r="A74">
        <f>Sensitivity!A39</f>
        <v/>
      </c>
      <c r="B74">
        <f>Sensitivity!B39</f>
        <v/>
      </c>
      <c r="C74">
        <f>Sensitivity!C39</f>
        <v/>
      </c>
    </row>
    <row r="75">
      <c r="A75">
        <f>Sensitivity!A40</f>
        <v/>
      </c>
      <c r="B75">
        <f>Sensitivity!B40</f>
        <v/>
      </c>
      <c r="C75">
        <f>Sensitivity!C40</f>
        <v/>
      </c>
    </row>
    <row r="76">
      <c r="A76">
        <f>Sensitivity!A41</f>
        <v/>
      </c>
      <c r="B76">
        <f>Sensitivity!B41</f>
        <v/>
      </c>
      <c r="C76">
        <f>Sensitivity!C41</f>
        <v/>
      </c>
    </row>
    <row r="77">
      <c r="A77">
        <f>Sensitivity!A42</f>
        <v/>
      </c>
      <c r="B77">
        <f>Sensitivity!B42</f>
        <v/>
      </c>
      <c r="C77">
        <f>Sensitivity!C42</f>
        <v/>
      </c>
    </row>
    <row r="78">
      <c r="A78">
        <f>Sensitivity!A43</f>
        <v/>
      </c>
      <c r="B78">
        <f>Sensitivity!B43</f>
        <v/>
      </c>
      <c r="C78">
        <f>Sensitivity!C43</f>
        <v/>
      </c>
    </row>
    <row r="79">
      <c r="A79">
        <f>Sensitivity!A44</f>
        <v/>
      </c>
      <c r="B79">
        <f>Sensitivity!B44</f>
        <v/>
      </c>
      <c r="C79">
        <f>Sensitivity!C44</f>
        <v/>
      </c>
    </row>
    <row r="80">
      <c r="A80">
        <f>Sensitivity!A45</f>
        <v/>
      </c>
      <c r="B80">
        <f>Sensitivity!B45</f>
        <v/>
      </c>
      <c r="C80">
        <f>Sensitivity!C45</f>
        <v/>
      </c>
    </row>
    <row r="81">
      <c r="A81">
        <f>Sensitivity!A46</f>
        <v/>
      </c>
      <c r="B81">
        <f>Sensitivity!B46</f>
        <v/>
      </c>
      <c r="C81">
        <f>Sensitivity!C46</f>
        <v/>
      </c>
    </row>
    <row r="82">
      <c r="A82">
        <f>Sensitivity!A47</f>
        <v/>
      </c>
      <c r="B82">
        <f>Sensitivity!B47</f>
        <v/>
      </c>
      <c r="C82">
        <f>Sensitivity!C47</f>
        <v/>
      </c>
    </row>
    <row r="83">
      <c r="A83">
        <f>Sensitivity!A48</f>
        <v/>
      </c>
      <c r="B83">
        <f>Sensitivity!B48</f>
        <v/>
      </c>
      <c r="C83">
        <f>Sensitivity!C48</f>
        <v/>
      </c>
    </row>
    <row r="84">
      <c r="A84">
        <f>Sensitivity!A49</f>
        <v/>
      </c>
      <c r="B84">
        <f>Sensitivity!B49</f>
        <v/>
      </c>
      <c r="C84">
        <f>Sensitivity!C49</f>
        <v/>
      </c>
    </row>
    <row r="85">
      <c r="A85">
        <f>Sensitivity!A50</f>
        <v/>
      </c>
      <c r="B85">
        <f>Sensitivity!B50</f>
        <v/>
      </c>
      <c r="C85">
        <f>Sensitivity!C50</f>
        <v/>
      </c>
    </row>
    <row r="86">
      <c r="A86">
        <f>Sensitivity!A51</f>
        <v/>
      </c>
      <c r="B86">
        <f>Sensitivity!B51</f>
        <v/>
      </c>
      <c r="C86">
        <f>Sensitivity!C51</f>
        <v/>
      </c>
    </row>
    <row r="87">
      <c r="A87">
        <f>Sensitivity!A52</f>
        <v/>
      </c>
      <c r="B87">
        <f>Sensitivity!B52</f>
        <v/>
      </c>
      <c r="C87">
        <f>Sensitivity!C52</f>
        <v/>
      </c>
    </row>
    <row r="88">
      <c r="A88">
        <f>Sensitivity!A53</f>
        <v/>
      </c>
      <c r="B88">
        <f>Sensitivity!B53</f>
        <v/>
      </c>
      <c r="C88">
        <f>Sensitivity!C53</f>
        <v/>
      </c>
    </row>
    <row r="89">
      <c r="A89">
        <f>Sensitivity!A54</f>
        <v/>
      </c>
      <c r="B89">
        <f>Sensitivity!B54</f>
        <v/>
      </c>
      <c r="C89">
        <f>Sensitivity!C54</f>
        <v/>
      </c>
    </row>
    <row r="90">
      <c r="A90">
        <f>Sensitivity!A55</f>
        <v/>
      </c>
      <c r="B90">
        <f>Sensitivity!B55</f>
        <v/>
      </c>
      <c r="C90">
        <f>Sensitivity!C55</f>
        <v/>
      </c>
    </row>
    <row r="91">
      <c r="A91">
        <f>Sensitivity!A56</f>
        <v/>
      </c>
      <c r="B91">
        <f>Sensitivity!B56</f>
        <v/>
      </c>
      <c r="C91">
        <f>Sensitivity!C56</f>
        <v/>
      </c>
    </row>
    <row r="92">
      <c r="A92">
        <f>Sensitivity!A57</f>
        <v/>
      </c>
      <c r="B92">
        <f>Sensitivity!B57</f>
        <v/>
      </c>
      <c r="C92">
        <f>Sensitivity!C57</f>
        <v/>
      </c>
    </row>
    <row r="93">
      <c r="A93">
        <f>Sensitivity!A58</f>
        <v/>
      </c>
      <c r="B93">
        <f>Sensitivity!B58</f>
        <v/>
      </c>
      <c r="C93">
        <f>Sensitivity!C58</f>
        <v/>
      </c>
    </row>
    <row r="94">
      <c r="A94">
        <f>Sensitivity!A59</f>
        <v/>
      </c>
      <c r="B94">
        <f>Sensitivity!B59</f>
        <v/>
      </c>
      <c r="C94">
        <f>Sensitivity!C59</f>
        <v/>
      </c>
    </row>
    <row r="95">
      <c r="A95">
        <f>Sensitivity!A60</f>
        <v/>
      </c>
      <c r="B95">
        <f>Sensitivity!B60</f>
        <v/>
      </c>
      <c r="C95">
        <f>Sensitivity!C60</f>
        <v/>
      </c>
    </row>
    <row r="96">
      <c r="A96">
        <f>Sensitivity!A61</f>
        <v/>
      </c>
      <c r="B96">
        <f>Sensitivity!B61</f>
        <v/>
      </c>
      <c r="C96">
        <f>Sensitivity!C61</f>
        <v/>
      </c>
    </row>
    <row r="97">
      <c r="A97">
        <f>Sensitivity!A62</f>
        <v/>
      </c>
      <c r="B97">
        <f>Sensitivity!B62</f>
        <v/>
      </c>
      <c r="C97">
        <f>Sensitivity!C62</f>
        <v/>
      </c>
    </row>
    <row r="98">
      <c r="A98">
        <f>Sensitivity!A63</f>
        <v/>
      </c>
      <c r="B98">
        <f>Sensitivity!B63</f>
        <v/>
      </c>
      <c r="C98">
        <f>Sensitivity!C63</f>
        <v/>
      </c>
    </row>
    <row r="99">
      <c r="A99">
        <f>Sensitivity!A64</f>
        <v/>
      </c>
      <c r="B99">
        <f>Sensitivity!B64</f>
        <v/>
      </c>
      <c r="C99">
        <f>Sensitivity!C64</f>
        <v/>
      </c>
    </row>
    <row r="100">
      <c r="A100">
        <f>Sensitivity!A65</f>
        <v/>
      </c>
      <c r="B100">
        <f>Sensitivity!B65</f>
        <v/>
      </c>
      <c r="C100">
        <f>Sensitivity!C65</f>
        <v/>
      </c>
    </row>
    <row r="101">
      <c r="A101">
        <f>Sensitivity!A66</f>
        <v/>
      </c>
      <c r="B101">
        <f>Sensitivity!B66</f>
        <v/>
      </c>
      <c r="C101">
        <f>Sensitivity!C66</f>
        <v/>
      </c>
    </row>
    <row r="102">
      <c r="A102">
        <f>Sensitivity!A67</f>
        <v/>
      </c>
      <c r="B102">
        <f>Sensitivity!B67</f>
        <v/>
      </c>
      <c r="C102">
        <f>Sensitivity!C67</f>
        <v/>
      </c>
    </row>
    <row r="103">
      <c r="A103">
        <f>Sensitivity!A68</f>
        <v/>
      </c>
      <c r="B103">
        <f>Sensitivity!B68</f>
        <v/>
      </c>
      <c r="C103">
        <f>Sensitivity!C68</f>
        <v/>
      </c>
    </row>
    <row r="104">
      <c r="A104">
        <f>Sensitivity!A69</f>
        <v/>
      </c>
      <c r="B104">
        <f>Sensitivity!B69</f>
        <v/>
      </c>
      <c r="C104">
        <f>Sensitivity!C69</f>
        <v/>
      </c>
    </row>
    <row r="105">
      <c r="A105">
        <f>Sensitivity!A70</f>
        <v/>
      </c>
      <c r="B105">
        <f>Sensitivity!B70</f>
        <v/>
      </c>
      <c r="C105">
        <f>Sensitivity!C70</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E3192"/>
  <sheetViews>
    <sheetView workbookViewId="0">
      <pane ySplit="4" topLeftCell="A5" activePane="bottomLeft" state="frozen"/>
      <selection pane="bottomLeft" activeCell="A1" sqref="A1"/>
    </sheetView>
  </sheetViews>
  <sheetFormatPr baseColWidth="8" defaultRowHeight="15"/>
  <cols>
    <col width="40" customWidth="1" min="1" max="1"/>
    <col width="16" customWidth="1" min="2" max="2"/>
    <col width="8" customWidth="1" min="3" max="3"/>
    <col width="14" customWidth="1" min="4" max="4"/>
    <col width="14" customWidth="1" min="5" max="5"/>
    <col width="16" customWidth="1" min="6" max="6"/>
    <col width="14" customWidth="1" min="7" max="7"/>
    <col width="12" customWidth="1" min="8" max="8"/>
    <col width="10" customWidth="1" min="9" max="9"/>
    <col hidden="1" width="13" customWidth="1" min="27" max="27"/>
    <col hidden="1" width="13" customWidth="1" min="28" max="28"/>
    <col hidden="1" width="13" customWidth="1" min="29" max="29"/>
    <col hidden="1" width="13" customWidth="1" min="30" max="30"/>
    <col hidden="1" width="13" customWidth="1" min="31" max="31"/>
  </cols>
  <sheetData>
    <row r="1">
      <c r="A1" s="4" t="inlineStr">
        <is>
          <t>Marginal DPS per +1 (percentage point / skill level / flat point)</t>
        </is>
      </c>
    </row>
    <row r="2">
      <c r="A2" t="inlineStr">
        <is>
          <t>Attack Speed and Def Pen combine their +1 via the diminishing-returns formula (new = (1-(1-old/factor)*(1-1/factor))*factor), not a flat add.</t>
        </is>
      </c>
    </row>
    <row r="4">
      <c r="A4" s="5" t="inlineStr">
        <is>
          <t>Stat</t>
        </is>
      </c>
      <c r="B4" s="5" t="inlineStr">
        <is>
          <t>Units per +1% DPS</t>
        </is>
      </c>
      <c r="C4" s="5" t="inlineStr">
        <is>
          <t>Type</t>
        </is>
      </c>
      <c r="D4" s="5" t="inlineStr">
        <is>
          <t>Current Value</t>
        </is>
      </c>
      <c r="E4" s="5" t="inlineStr">
        <is>
          <t>New Value</t>
        </is>
      </c>
      <c r="F4" s="5" t="inlineStr">
        <is>
          <t>Baseline Total DPS</t>
        </is>
      </c>
      <c r="G4" s="5" t="inlineStr">
        <is>
          <t>New Total DPS</t>
        </is>
      </c>
      <c r="H4" s="5" t="inlineStr">
        <is>
          <t>DPS Gain</t>
        </is>
      </c>
      <c r="I4" s="5" t="inlineStr">
        <is>
          <t>% Gain</t>
        </is>
      </c>
    </row>
    <row r="5">
      <c r="A5" t="inlineStr">
        <is>
          <t>Flat STR</t>
        </is>
      </c>
      <c r="B5">
        <f>IFERROR(1/(I5-100),"n/a")</f>
        <v/>
      </c>
      <c r="C5" t="inlineStr">
        <is>
          <t>flat</t>
        </is>
      </c>
      <c r="D5">
        <f>Inputs!$B$13</f>
        <v/>
      </c>
      <c r="E5">
        <f>(Inputs!$B$13+1)</f>
        <v/>
      </c>
      <c r="F5">
        <f>Summary!$B$3</f>
        <v/>
      </c>
      <c r="G5">
        <f>B112</f>
        <v/>
      </c>
      <c r="H5">
        <f>Summary!$B$3*(((1-Summary!$B$11)*IFERROR(B110/Summary!$B$24,1)+Summary!$B$11*IFERROR(B111/Summary!$B$25,1))-1)</f>
        <v/>
      </c>
      <c r="I5">
        <f>((1-Summary!$B$11)*IFERROR(B110/Summary!$B$24,1)+Summary!$B$11*IFERROR(B111/Summary!$B$25,1))*100</f>
        <v/>
      </c>
    </row>
    <row r="6">
      <c r="A6" t="inlineStr">
        <is>
          <t>STR %</t>
        </is>
      </c>
      <c r="B6">
        <f>IFERROR(1/(I6-100),"n/a")</f>
        <v/>
      </c>
      <c r="C6" t="inlineStr">
        <is>
          <t>pct</t>
        </is>
      </c>
      <c r="D6">
        <f>Inputs!$B$14</f>
        <v/>
      </c>
      <c r="E6">
        <f>(Inputs!$B$14+1)</f>
        <v/>
      </c>
      <c r="F6">
        <f>Summary!$B$3</f>
        <v/>
      </c>
      <c r="G6">
        <f>B154</f>
        <v/>
      </c>
      <c r="H6">
        <f>Summary!$B$3*(((1-Summary!$B$11)*IFERROR(B152/Summary!$B$24,1)+Summary!$B$11*IFERROR(B153/Summary!$B$25,1))-1)</f>
        <v/>
      </c>
      <c r="I6">
        <f>((1-Summary!$B$11)*IFERROR(B152/Summary!$B$24,1)+Summary!$B$11*IFERROR(B153/Summary!$B$25,1))*100</f>
        <v/>
      </c>
    </row>
    <row r="7">
      <c r="A7" t="inlineStr">
        <is>
          <t>DEX</t>
        </is>
      </c>
      <c r="B7">
        <f>IFERROR(1/(I7-100),"n/a")</f>
        <v/>
      </c>
      <c r="C7" t="inlineStr">
        <is>
          <t>flat</t>
        </is>
      </c>
      <c r="D7">
        <f>Inputs!$B$15</f>
        <v/>
      </c>
      <c r="E7">
        <f>(Inputs!$B$15+1)</f>
        <v/>
      </c>
      <c r="F7">
        <f>Summary!$B$3</f>
        <v/>
      </c>
      <c r="G7">
        <f>B196</f>
        <v/>
      </c>
      <c r="H7">
        <f>Summary!$B$3*(((1-Summary!$B$11)*IFERROR(B194/Summary!$B$24,1)+Summary!$B$11*IFERROR(B195/Summary!$B$25,1))-1)</f>
        <v/>
      </c>
      <c r="I7">
        <f>((1-Summary!$B$11)*IFERROR(B194/Summary!$B$24,1)+Summary!$B$11*IFERROR(B195/Summary!$B$25,1))*100</f>
        <v/>
      </c>
    </row>
    <row r="8">
      <c r="A8" t="inlineStr">
        <is>
          <t>Defense (flat) — Iron Wall converts a level-scaling % (10%+) into STR</t>
        </is>
      </c>
      <c r="B8">
        <f>IFERROR(1/(I8-100),"n/a")</f>
        <v/>
      </c>
      <c r="C8" t="inlineStr">
        <is>
          <t>flat</t>
        </is>
      </c>
      <c r="D8">
        <f>Inputs!$B$8</f>
        <v/>
      </c>
      <c r="E8">
        <f>(Inputs!$B$8+1)</f>
        <v/>
      </c>
      <c r="F8">
        <f>Summary!$B$3</f>
        <v/>
      </c>
      <c r="G8">
        <f>B238</f>
        <v/>
      </c>
      <c r="H8">
        <f>Summary!$B$3*(((1-Summary!$B$11)*IFERROR(B236/Summary!$B$24,1)+Summary!$B$11*IFERROR(B237/Summary!$B$25,1))-1)</f>
        <v/>
      </c>
      <c r="I8">
        <f>((1-Summary!$B$11)*IFERROR(B236/Summary!$B$24,1)+Summary!$B$11*IFERROR(B237/Summary!$B$25,1))*100</f>
        <v/>
      </c>
    </row>
    <row r="9">
      <c r="A9" t="inlineStr">
        <is>
          <t>Defense %</t>
        </is>
      </c>
      <c r="B9">
        <f>IFERROR(1/(I9-100),"n/a")</f>
        <v/>
      </c>
      <c r="C9" t="inlineStr">
        <is>
          <t>pct</t>
        </is>
      </c>
      <c r="D9">
        <f>Inputs!$B$9</f>
        <v/>
      </c>
      <c r="E9">
        <f>(Inputs!$B$9+1)</f>
        <v/>
      </c>
      <c r="F9">
        <f>Summary!$B$3</f>
        <v/>
      </c>
      <c r="G9">
        <f>B280</f>
        <v/>
      </c>
      <c r="H9">
        <f>Summary!$B$3*(((1-Summary!$B$11)*IFERROR(B278/Summary!$B$24,1)+Summary!$B$11*IFERROR(B279/Summary!$B$25,1))-1)</f>
        <v/>
      </c>
      <c r="I9">
        <f>((1-Summary!$B$11)*IFERROR(B278/Summary!$B$24,1)+Summary!$B$11*IFERROR(B279/Summary!$B$25,1))*100</f>
        <v/>
      </c>
    </row>
    <row r="10">
      <c r="A10" t="inlineStr">
        <is>
          <t>DAMAGE %</t>
        </is>
      </c>
      <c r="B10">
        <f>IFERROR(1/(I10-100),"n/a")</f>
        <v/>
      </c>
      <c r="C10" t="inlineStr">
        <is>
          <t>pct</t>
        </is>
      </c>
      <c r="D10">
        <f>Inputs!$B$16</f>
        <v/>
      </c>
      <c r="E10">
        <f>(Inputs!$B$16+1)</f>
        <v/>
      </c>
      <c r="F10">
        <f>Summary!$B$3</f>
        <v/>
      </c>
      <c r="G10">
        <f>B322</f>
        <v/>
      </c>
      <c r="H10">
        <f>Summary!$B$3*(((1-Summary!$B$11)*IFERROR(B320/Summary!$B$24,1)+Summary!$B$11*IFERROR(B321/Summary!$B$25,1))-1)</f>
        <v/>
      </c>
      <c r="I10">
        <f>((1-Summary!$B$11)*IFERROR(B320/Summary!$B$24,1)+Summary!$B$11*IFERROR(B321/Summary!$B$25,1))*100</f>
        <v/>
      </c>
    </row>
    <row r="11">
      <c r="A11" t="inlineStr">
        <is>
          <t>DAMAGE_AMP %</t>
        </is>
      </c>
      <c r="B11">
        <f>IFERROR(1/(I11-100),"n/a")</f>
        <v/>
      </c>
      <c r="C11" t="inlineStr">
        <is>
          <t>pct</t>
        </is>
      </c>
      <c r="D11">
        <f>Inputs!$B$17</f>
        <v/>
      </c>
      <c r="E11">
        <f>(Inputs!$B$17+1)</f>
        <v/>
      </c>
      <c r="F11">
        <f>Summary!$B$3</f>
        <v/>
      </c>
      <c r="G11">
        <f>B364</f>
        <v/>
      </c>
      <c r="H11">
        <f>Summary!$B$3*(((1-Summary!$B$11)*IFERROR(B362/Summary!$B$24,1)+Summary!$B$11*IFERROR(B363/Summary!$B$25,1))-1)</f>
        <v/>
      </c>
      <c r="I11">
        <f>((1-Summary!$B$11)*IFERROR(B362/Summary!$B$24,1)+Summary!$B$11*IFERROR(B363/Summary!$B$25,1))*100</f>
        <v/>
      </c>
    </row>
    <row r="12">
      <c r="A12" t="inlineStr">
        <is>
          <t>BOSS_DAMAGE %</t>
        </is>
      </c>
      <c r="B12">
        <f>IFERROR(1/(I12-100),"n/a")</f>
        <v/>
      </c>
      <c r="C12" t="inlineStr">
        <is>
          <t>pct</t>
        </is>
      </c>
      <c r="D12">
        <f>Inputs!$B$21</f>
        <v/>
      </c>
      <c r="E12">
        <f>(Inputs!$B$21+1)</f>
        <v/>
      </c>
      <c r="F12">
        <f>Summary!$B$3</f>
        <v/>
      </c>
      <c r="G12">
        <f>B406</f>
        <v/>
      </c>
      <c r="H12">
        <f>Summary!$B$3*(((1-Summary!$B$11)*IFERROR(B404/Summary!$B$24,1)+Summary!$B$11*IFERROR(B405/Summary!$B$25,1))-1)</f>
        <v/>
      </c>
      <c r="I12">
        <f>((1-Summary!$B$11)*IFERROR(B404/Summary!$B$24,1)+Summary!$B$11*IFERROR(B405/Summary!$B$25,1))*100</f>
        <v/>
      </c>
    </row>
    <row r="13">
      <c r="A13" t="inlineStr">
        <is>
          <t>NORMAL_DAMAGE %</t>
        </is>
      </c>
      <c r="B13">
        <f>IFERROR(1/(I13-100),"n/a")</f>
        <v/>
      </c>
      <c r="C13" t="inlineStr">
        <is>
          <t>pct</t>
        </is>
      </c>
      <c r="D13">
        <f>Inputs!$B$22</f>
        <v/>
      </c>
      <c r="E13">
        <f>(Inputs!$B$22+1)</f>
        <v/>
      </c>
      <c r="F13">
        <f>Summary!$B$3</f>
        <v/>
      </c>
      <c r="G13">
        <f>B448</f>
        <v/>
      </c>
      <c r="H13">
        <f>Summary!$B$3*(((1-Summary!$B$11)*IFERROR(B446/Summary!$B$24,1)+Summary!$B$11*IFERROR(B447/Summary!$B$25,1))-1)</f>
        <v/>
      </c>
      <c r="I13">
        <f>((1-Summary!$B$11)*IFERROR(B446/Summary!$B$24,1)+Summary!$B$11*IFERROR(B447/Summary!$B$25,1))*100</f>
        <v/>
      </c>
    </row>
    <row r="14">
      <c r="A14" t="inlineStr">
        <is>
          <t>FINAL_DAMAGE % (multiplicative source)</t>
        </is>
      </c>
      <c r="B14">
        <f>IFERROR(1/(I14-100),"n/a")</f>
        <v/>
      </c>
      <c r="C14" t="inlineStr">
        <is>
          <t>mult</t>
        </is>
      </c>
      <c r="D14">
        <f>Inputs!$B$25</f>
        <v/>
      </c>
      <c r="E14">
        <f>((((1+Inputs!$B$25/100)*(1.01))-1)*100)</f>
        <v/>
      </c>
      <c r="F14">
        <f>Summary!$B$3</f>
        <v/>
      </c>
      <c r="G14">
        <f>B490</f>
        <v/>
      </c>
      <c r="H14">
        <f>Summary!$B$3*(((1-Summary!$B$11)*IFERROR(B488/Summary!$B$24,1)+Summary!$B$11*IFERROR(B489/Summary!$B$25,1))-1)</f>
        <v/>
      </c>
      <c r="I14">
        <f>((1-Summary!$B$11)*IFERROR(B488/Summary!$B$24,1)+Summary!$B$11*IFERROR(B489/Summary!$B$25,1))*100</f>
        <v/>
      </c>
    </row>
    <row r="15">
      <c r="A15" t="inlineStr">
        <is>
          <t>MIN_DAMAGE %</t>
        </is>
      </c>
      <c r="B15">
        <f>IFERROR(1/(I15-100),"n/a")</f>
        <v/>
      </c>
      <c r="C15" t="inlineStr">
        <is>
          <t>pct</t>
        </is>
      </c>
      <c r="D15">
        <f>Inputs!$B$23</f>
        <v/>
      </c>
      <c r="E15">
        <f>(Inputs!$B$23+1)</f>
        <v/>
      </c>
      <c r="F15">
        <f>Summary!$B$3</f>
        <v/>
      </c>
      <c r="G15">
        <f>B532</f>
        <v/>
      </c>
      <c r="H15">
        <f>Summary!$B$3*(((1-Summary!$B$11)*IFERROR(B530/Summary!$B$24,1)+Summary!$B$11*IFERROR(B531/Summary!$B$25,1))-1)</f>
        <v/>
      </c>
      <c r="I15">
        <f>((1-Summary!$B$11)*IFERROR(B530/Summary!$B$24,1)+Summary!$B$11*IFERROR(B531/Summary!$B$25,1))*100</f>
        <v/>
      </c>
    </row>
    <row r="16">
      <c r="A16" t="inlineStr">
        <is>
          <t>MAX_DAMAGE %</t>
        </is>
      </c>
      <c r="B16">
        <f>IFERROR(1/(I16-100),"n/a")</f>
        <v/>
      </c>
      <c r="C16" t="inlineStr">
        <is>
          <t>pct</t>
        </is>
      </c>
      <c r="D16">
        <f>Inputs!$B$24</f>
        <v/>
      </c>
      <c r="E16">
        <f>(Inputs!$B$24+1)</f>
        <v/>
      </c>
      <c r="F16">
        <f>Summary!$B$3</f>
        <v/>
      </c>
      <c r="G16">
        <f>B574</f>
        <v/>
      </c>
      <c r="H16">
        <f>Summary!$B$3*(((1-Summary!$B$11)*IFERROR(B572/Summary!$B$24,1)+Summary!$B$11*IFERROR(B573/Summary!$B$25,1))-1)</f>
        <v/>
      </c>
      <c r="I16">
        <f>((1-Summary!$B$11)*IFERROR(B572/Summary!$B$24,1)+Summary!$B$11*IFERROR(B573/Summary!$B$25,1))*100</f>
        <v/>
      </c>
    </row>
    <row r="17">
      <c r="A17" t="inlineStr">
        <is>
          <t>CRIT_RATE %</t>
        </is>
      </c>
      <c r="B17">
        <f>IFERROR(1/(I17-100),"n/a")</f>
        <v/>
      </c>
      <c r="C17" t="inlineStr">
        <is>
          <t>pct</t>
        </is>
      </c>
      <c r="D17">
        <f>Inputs!$B$10</f>
        <v/>
      </c>
      <c r="E17">
        <f>(Inputs!$B$10+1)</f>
        <v/>
      </c>
      <c r="F17">
        <f>Summary!$B$3</f>
        <v/>
      </c>
      <c r="G17">
        <f>B616</f>
        <v/>
      </c>
      <c r="H17">
        <f>Summary!$B$3*(((1-Summary!$B$11)*IFERROR(B614/Summary!$B$24,1)+Summary!$B$11*IFERROR(B615/Summary!$B$25,1))-1)</f>
        <v/>
      </c>
      <c r="I17">
        <f>((1-Summary!$B$11)*IFERROR(B614/Summary!$B$24,1)+Summary!$B$11*IFERROR(B615/Summary!$B$25,1))*100</f>
        <v/>
      </c>
    </row>
    <row r="18">
      <c r="A18" t="inlineStr">
        <is>
          <t>CRIT_DAMAGE %</t>
        </is>
      </c>
      <c r="B18">
        <f>IFERROR(1/(I18-100),"n/a")</f>
        <v/>
      </c>
      <c r="C18" t="inlineStr">
        <is>
          <t>pct</t>
        </is>
      </c>
      <c r="D18">
        <f>Inputs!$B$11</f>
        <v/>
      </c>
      <c r="E18">
        <f>(Inputs!$B$11+1)</f>
        <v/>
      </c>
      <c r="F18">
        <f>Summary!$B$3</f>
        <v/>
      </c>
      <c r="G18">
        <f>B658</f>
        <v/>
      </c>
      <c r="H18">
        <f>Summary!$B$3*(((1-Summary!$B$11)*IFERROR(B656/Summary!$B$24,1)+Summary!$B$11*IFERROR(B657/Summary!$B$25,1))-1)</f>
        <v/>
      </c>
      <c r="I18">
        <f>((1-Summary!$B$11)*IFERROR(B656/Summary!$B$24,1)+Summary!$B$11*IFERROR(B657/Summary!$B$25,1))*100</f>
        <v/>
      </c>
    </row>
    <row r="19">
      <c r="A19" t="inlineStr">
        <is>
          <t>ATTACK_SPEED % (diminishing returns, factor 150)</t>
        </is>
      </c>
      <c r="B19">
        <f>IFERROR(1/(I19-100),"n/a")</f>
        <v/>
      </c>
      <c r="C19" t="inlineStr">
        <is>
          <t>dr150</t>
        </is>
      </c>
      <c r="D19">
        <f>Inputs!$B$12</f>
        <v/>
      </c>
      <c r="E19">
        <f>((1-(1-Inputs!$B$12/150)*(1-1/150))*150)</f>
        <v/>
      </c>
      <c r="F19">
        <f>Summary!$B$3</f>
        <v/>
      </c>
      <c r="G19">
        <f>B700</f>
        <v/>
      </c>
      <c r="H19">
        <f>Summary!$B$3*(((1-Summary!$B$11)*IFERROR(B698/Summary!$B$24,1)+Summary!$B$11*IFERROR(B699/Summary!$B$25,1))-1)</f>
        <v/>
      </c>
      <c r="I19">
        <f>((1-Summary!$B$11)*IFERROR(B698/Summary!$B$24,1)+Summary!$B$11*IFERROR(B699/Summary!$B$25,1))*100</f>
        <v/>
      </c>
    </row>
    <row r="20">
      <c r="A20" t="inlineStr">
        <is>
          <t>DEF_PEN % (diminishing returns, factor 100)</t>
        </is>
      </c>
      <c r="B20">
        <f>IFERROR(1/(I20-100),"n/a")</f>
        <v/>
      </c>
      <c r="C20" t="inlineStr">
        <is>
          <t>dr100</t>
        </is>
      </c>
      <c r="D20">
        <f>Inputs!$B$20</f>
        <v/>
      </c>
      <c r="E20">
        <f>((1-(1-Inputs!$B$20/100)*(1-1/100))*100)</f>
        <v/>
      </c>
      <c r="F20">
        <f>Summary!$B$3</f>
        <v/>
      </c>
      <c r="G20">
        <f>B742</f>
        <v/>
      </c>
      <c r="H20">
        <f>Summary!$B$3*(((1-Summary!$B$11)*IFERROR(B740/Summary!$B$24,1)+Summary!$B$11*IFERROR(B741/Summary!$B$25,1))-1)</f>
        <v/>
      </c>
      <c r="I20">
        <f>((1-Summary!$B$11)*IFERROR(B740/Summary!$B$24,1)+Summary!$B$11*IFERROR(B741/Summary!$B$25,1))*100</f>
        <v/>
      </c>
    </row>
    <row r="21">
      <c r="A21" t="inlineStr">
        <is>
          <t>BASIC_ATTACK_DAMAGE %</t>
        </is>
      </c>
      <c r="B21">
        <f>IFERROR(1/(I21-100),"n/a")</f>
        <v/>
      </c>
      <c r="C21" t="inlineStr">
        <is>
          <t>pct</t>
        </is>
      </c>
      <c r="D21">
        <f>Inputs!$B$18</f>
        <v/>
      </c>
      <c r="E21">
        <f>(Inputs!$B$18+1)</f>
        <v/>
      </c>
      <c r="F21">
        <f>Summary!$B$3</f>
        <v/>
      </c>
      <c r="G21">
        <f>B784</f>
        <v/>
      </c>
      <c r="H21">
        <f>Summary!$B$3*(((1-Summary!$B$11)*IFERROR(B782/Summary!$B$24,1)+Summary!$B$11*IFERROR(B783/Summary!$B$25,1))-1)</f>
        <v/>
      </c>
      <c r="I21">
        <f>((1-Summary!$B$11)*IFERROR(B782/Summary!$B$24,1)+Summary!$B$11*IFERROR(B783/Summary!$B$25,1))*100</f>
        <v/>
      </c>
    </row>
    <row r="22">
      <c r="A22" t="inlineStr">
        <is>
          <t>SKILL_DAMAGE %</t>
        </is>
      </c>
      <c r="B22">
        <f>IFERROR(1/(I22-100),"n/a")</f>
        <v/>
      </c>
      <c r="C22" t="inlineStr">
        <is>
          <t>pct</t>
        </is>
      </c>
      <c r="D22">
        <f>Inputs!$B$19</f>
        <v/>
      </c>
      <c r="E22">
        <f>(Inputs!$B$19+1)</f>
        <v/>
      </c>
      <c r="F22">
        <f>Summary!$B$3</f>
        <v/>
      </c>
      <c r="G22">
        <f>B826</f>
        <v/>
      </c>
      <c r="H22">
        <f>Summary!$B$3*(((1-Summary!$B$11)*IFERROR(B824/Summary!$B$24,1)+Summary!$B$11*IFERROR(B825/Summary!$B$25,1))-1)</f>
        <v/>
      </c>
      <c r="I22">
        <f>((1-Summary!$B$11)*IFERROR(B824/Summary!$B$24,1)+Summary!$B$11*IFERROR(B825/Summary!$B$25,1))*100</f>
        <v/>
      </c>
    </row>
    <row r="23">
      <c r="A23" t="inlineStr">
        <is>
          <t>Skill Level Bonus — 1st Job</t>
        </is>
      </c>
      <c r="B23">
        <f>IFERROR(1/(I23-100),"n/a")</f>
        <v/>
      </c>
      <c r="C23" t="inlineStr">
        <is>
          <t>level</t>
        </is>
      </c>
      <c r="D23">
        <f>Inputs!$B$26</f>
        <v/>
      </c>
      <c r="E23">
        <f>(Inputs!$B$26+1)</f>
        <v/>
      </c>
      <c r="F23">
        <f>Summary!$B$3</f>
        <v/>
      </c>
      <c r="G23">
        <f>B868</f>
        <v/>
      </c>
      <c r="H23">
        <f>Summary!$B$3*(((1-Summary!$B$11)*IFERROR(B866/Summary!$B$24,1)+Summary!$B$11*IFERROR(B867/Summary!$B$25,1))-1)</f>
        <v/>
      </c>
      <c r="I23">
        <f>((1-Summary!$B$11)*IFERROR(B866/Summary!$B$24,1)+Summary!$B$11*IFERROR(B867/Summary!$B$25,1))*100</f>
        <v/>
      </c>
    </row>
    <row r="24">
      <c r="A24" t="inlineStr">
        <is>
          <t>Skill Level Bonus — 2nd Job</t>
        </is>
      </c>
      <c r="B24">
        <f>IFERROR(1/(I24-100),"n/a")</f>
        <v/>
      </c>
      <c r="C24" t="inlineStr">
        <is>
          <t>level</t>
        </is>
      </c>
      <c r="D24">
        <f>Inputs!$B$27</f>
        <v/>
      </c>
      <c r="E24">
        <f>(Inputs!$B$27+1)</f>
        <v/>
      </c>
      <c r="F24">
        <f>Summary!$B$3</f>
        <v/>
      </c>
      <c r="G24">
        <f>B910</f>
        <v/>
      </c>
      <c r="H24">
        <f>Summary!$B$3*(((1-Summary!$B$11)*IFERROR(B908/Summary!$B$24,1)+Summary!$B$11*IFERROR(B909/Summary!$B$25,1))-1)</f>
        <v/>
      </c>
      <c r="I24">
        <f>((1-Summary!$B$11)*IFERROR(B908/Summary!$B$24,1)+Summary!$B$11*IFERROR(B909/Summary!$B$25,1))*100</f>
        <v/>
      </c>
    </row>
    <row r="25">
      <c r="A25" t="inlineStr">
        <is>
          <t>Skill Level Bonus — 3rd Job</t>
        </is>
      </c>
      <c r="B25">
        <f>IFERROR(1/(I25-100),"n/a")</f>
        <v/>
      </c>
      <c r="C25" t="inlineStr">
        <is>
          <t>level</t>
        </is>
      </c>
      <c r="D25">
        <f>Inputs!$B$28</f>
        <v/>
      </c>
      <c r="E25">
        <f>(Inputs!$B$28+1)</f>
        <v/>
      </c>
      <c r="F25">
        <f>Summary!$B$3</f>
        <v/>
      </c>
      <c r="G25">
        <f>B952</f>
        <v/>
      </c>
      <c r="H25">
        <f>Summary!$B$3*(((1-Summary!$B$11)*IFERROR(B950/Summary!$B$24,1)+Summary!$B$11*IFERROR(B951/Summary!$B$25,1))-1)</f>
        <v/>
      </c>
      <c r="I25">
        <f>((1-Summary!$B$11)*IFERROR(B950/Summary!$B$24,1)+Summary!$B$11*IFERROR(B951/Summary!$B$25,1))*100</f>
        <v/>
      </c>
    </row>
    <row r="26">
      <c r="A26" t="inlineStr">
        <is>
          <t>Skill Level Bonus — 4th Job</t>
        </is>
      </c>
      <c r="B26">
        <f>IFERROR(1/(I26-100),"n/a")</f>
        <v/>
      </c>
      <c r="C26" t="inlineStr">
        <is>
          <t>level</t>
        </is>
      </c>
      <c r="D26">
        <f>Inputs!$B$29</f>
        <v/>
      </c>
      <c r="E26">
        <f>(Inputs!$B$29+1)</f>
        <v/>
      </c>
      <c r="F26">
        <f>Summary!$B$3</f>
        <v/>
      </c>
      <c r="G26">
        <f>B994</f>
        <v/>
      </c>
      <c r="H26">
        <f>Summary!$B$3*(((1-Summary!$B$11)*IFERROR(B992/Summary!$B$24,1)+Summary!$B$11*IFERROR(B993/Summary!$B$25,1))-1)</f>
        <v/>
      </c>
      <c r="I26">
        <f>((1-Summary!$B$11)*IFERROR(B992/Summary!$B$24,1)+Summary!$B$11*IFERROR(B993/Summary!$B$25,1))*100</f>
        <v/>
      </c>
    </row>
    <row r="27">
      <c r="A27" t="inlineStr">
        <is>
          <t>Skill Level Bonus — All Skills</t>
        </is>
      </c>
      <c r="B27">
        <f>IFERROR(1/(I27-100),"n/a")</f>
        <v/>
      </c>
      <c r="C27" t="inlineStr">
        <is>
          <t>level</t>
        </is>
      </c>
      <c r="D27">
        <f>Inputs!$B$30</f>
        <v/>
      </c>
      <c r="E27">
        <f>(Inputs!$B$30+1)</f>
        <v/>
      </c>
      <c r="F27">
        <f>Summary!$B$3</f>
        <v/>
      </c>
      <c r="G27">
        <f>B1036</f>
        <v/>
      </c>
      <c r="H27">
        <f>Summary!$B$3*(((1-Summary!$B$11)*IFERROR(B1034/Summary!$B$24,1)+Summary!$B$11*IFERROR(B1035/Summary!$B$25,1))-1)</f>
        <v/>
      </c>
      <c r="I27">
        <f>((1-Summary!$B$11)*IFERROR(B1034/Summary!$B$24,1)+Summary!$B$11*IFERROR(B1035/Summary!$B$25,1))*100</f>
        <v/>
      </c>
    </row>
    <row r="28">
      <c r="A28" t="inlineStr">
        <is>
          <t>Flat ATTACK</t>
        </is>
      </c>
      <c r="B28">
        <f>IFERROR(1/(I28-100),"n/a")</f>
        <v/>
      </c>
      <c r="C28" t="inlineStr">
        <is>
          <t>flat</t>
        </is>
      </c>
      <c r="D28">
        <f>Inputs!$B$6</f>
        <v/>
      </c>
      <c r="E28">
        <f>(Inputs!$B$6+1)</f>
        <v/>
      </c>
      <c r="F28">
        <f>Summary!$B$3</f>
        <v/>
      </c>
      <c r="G28">
        <f>B1078</f>
        <v/>
      </c>
      <c r="H28">
        <f>Summary!$B$3*(((1-Summary!$B$11)*IFERROR(B1076/Summary!$B$24,1)+Summary!$B$11*IFERROR(B1077/Summary!$B$25,1))-1)</f>
        <v/>
      </c>
      <c r="I28">
        <f>((1-Summary!$B$11)*IFERROR(B1076/Summary!$B$24,1)+Summary!$B$11*IFERROR(B1077/Summary!$B$25,1))*100</f>
        <v/>
      </c>
    </row>
    <row r="29">
      <c r="A29" t="inlineStr">
        <is>
          <t>ATTACK %</t>
        </is>
      </c>
      <c r="B29">
        <f>IFERROR(1/(I29-100),"n/a")</f>
        <v/>
      </c>
      <c r="C29" t="inlineStr">
        <is>
          <t>pct</t>
        </is>
      </c>
      <c r="D29">
        <f>Inputs!$B$7</f>
        <v/>
      </c>
      <c r="E29">
        <f>(Inputs!$B$7+1)</f>
        <v/>
      </c>
      <c r="F29">
        <f>Summary!$B$3</f>
        <v/>
      </c>
      <c r="G29">
        <f>B1120</f>
        <v/>
      </c>
      <c r="H29">
        <f>Summary!$B$3*(((1-Summary!$B$11)*IFERROR(B1118/Summary!$B$24,1)+Summary!$B$11*IFERROR(B1119/Summary!$B$25,1))-1)</f>
        <v/>
      </c>
      <c r="I29">
        <f>((1-Summary!$B$11)*IFERROR(B1118/Summary!$B$24,1)+Summary!$B$11*IFERROR(B1119/Summary!$B$25,1))*100</f>
        <v/>
      </c>
    </row>
    <row r="30">
      <c r="A30" t="inlineStr">
        <is>
          <t>Skill Cooldown Decrease (seconds)</t>
        </is>
      </c>
      <c r="B30">
        <f>IFERROR(1/(I30-100),"n/a")</f>
        <v/>
      </c>
      <c r="C30" t="inlineStr">
        <is>
          <t>flat</t>
        </is>
      </c>
      <c r="D30">
        <f>Inputs!$B$33</f>
        <v/>
      </c>
      <c r="E30">
        <f>(Inputs!$B$33+1)</f>
        <v/>
      </c>
      <c r="F30">
        <f>Summary!$B$3</f>
        <v/>
      </c>
      <c r="G30">
        <f>B1162</f>
        <v/>
      </c>
      <c r="H30">
        <f>Summary!$B$3*(((1-Summary!$B$11)*IFERROR(B1160/Summary!$B$24,1)+Summary!$B$11*IFERROR(B1161/Summary!$B$25,1))-1)</f>
        <v/>
      </c>
      <c r="I30">
        <f>((1-Summary!$B$11)*IFERROR(B1160/Summary!$B$24,1)+Summary!$B$11*IFERROR(B1161/Summary!$B$25,1))*100</f>
        <v/>
      </c>
    </row>
    <row r="31">
      <c r="A31" t="inlineStr">
        <is>
          <t>Basic Attack Target Increase (flat)</t>
        </is>
      </c>
      <c r="B31">
        <f>IFERROR(1/(I31-100),"n/a")</f>
        <v/>
      </c>
      <c r="C31" t="inlineStr">
        <is>
          <t>flat</t>
        </is>
      </c>
      <c r="D31">
        <f>Inputs!$B$34</f>
        <v/>
      </c>
      <c r="E31">
        <f>(Inputs!$B$34+1)</f>
        <v/>
      </c>
      <c r="F31">
        <f>Summary!$B$3</f>
        <v/>
      </c>
      <c r="G31">
        <f>B1204</f>
        <v/>
      </c>
      <c r="H31">
        <f>Summary!$B$3*(((1-Summary!$B$11)*IFERROR(B1202/Summary!$B$24,1)+Summary!$B$11*IFERROR(B1203/Summary!$B$25,1))-1)</f>
        <v/>
      </c>
      <c r="I31">
        <f>((1-Summary!$B$11)*IFERROR(B1202/Summary!$B$24,1)+Summary!$B$11*IFERROR(B1203/Summary!$B$25,1))*100</f>
        <v/>
      </c>
    </row>
    <row r="32">
      <c r="A32" t="inlineStr">
        <is>
          <t>Buff Duration Increase %</t>
        </is>
      </c>
      <c r="B32">
        <f>IFERROR(1/(I32-100),"n/a")</f>
        <v/>
      </c>
      <c r="C32" t="inlineStr">
        <is>
          <t>pct</t>
        </is>
      </c>
      <c r="D32">
        <f>Inputs!$B$35</f>
        <v/>
      </c>
      <c r="E32">
        <f>(Inputs!$B$35+1)</f>
        <v/>
      </c>
      <c r="F32">
        <f>Summary!$B$3</f>
        <v/>
      </c>
      <c r="G32">
        <f>B1246</f>
        <v/>
      </c>
      <c r="H32">
        <f>Summary!$B$3*(((1-Summary!$B$11)*IFERROR(B1244/Summary!$B$24,1)+Summary!$B$11*IFERROR(B1245/Summary!$B$25,1))-1)</f>
        <v/>
      </c>
      <c r="I32">
        <f>((1-Summary!$B$11)*IFERROR(B1244/Summary!$B$24,1)+Summary!$B$11*IFERROR(B1245/Summary!$B$25,1))*100</f>
        <v/>
      </c>
    </row>
    <row r="33">
      <c r="A33" s="9" t="inlineStr">
        <is>
          <t>Artifact Equip-Toggle DPS Gain</t>
        </is>
      </c>
    </row>
    <row r="34">
      <c r="A34" s="5" t="inlineStr">
        <is>
          <t>Artifact</t>
        </is>
      </c>
      <c r="B34" s="5" t="inlineStr">
        <is>
          <t>DPS Gain</t>
        </is>
      </c>
      <c r="C34" s="5" t="inlineStr">
        <is>
          <t>% Gain</t>
        </is>
      </c>
    </row>
    <row r="35">
      <c r="A35">
        <f>IF(1&gt;COUNTIF($AD$35:$AD$70,TRUE),"",INDEX($AA$35:$AA$70,MATCH(1,$AE$35:$AE$70,0)))</f>
        <v/>
      </c>
      <c r="B35">
        <f>IF(1&gt;COUNTIF($AD$35:$AD$70,TRUE),"",INDEX($AB$35:$AB$70,MATCH(1,$AE$35:$AE$70,0)))</f>
        <v/>
      </c>
      <c r="C35">
        <f>IF(1&gt;COUNTIF($AD$35:$AD$70,TRUE),"",INDEX($AC$35:$AC$70,MATCH(1,$AE$35:$AE$70,0)))</f>
        <v/>
      </c>
      <c r="AA35" t="inlineStr">
        <is>
          <t>Charm of the Undead (Equip)</t>
        </is>
      </c>
      <c r="AB35">
        <f>(IF(ArtifactsInput!$M$5,-1,1)*Summary!$B$3*(((1-Summary!$B$11)*IFERROR(B1286/Summary!$B$24,1)+Summary!$B$11*IFERROR(B1287/Summary!$B$25,1))-1)+ArtifactsInput!$L$5)</f>
        <v/>
      </c>
      <c r="AC35">
        <f>IF(ArtifactsInput!$M$5,Summary!$B$3/(Summary!$B$3-(IF(ArtifactsInput!$M$5,-1,1)*Summary!$B$3*(((1-Summary!$B$11)*IFERROR(B1286/Summary!$B$24,1)+Summary!$B$11*IFERROR(B1287/Summary!$B$25,1))-1)+ArtifactsInput!$L$5))*100,(Summary!$B$3+(IF(ArtifactsInput!$M$5,-1,1)*Summary!$B$3*(((1-Summary!$B$11)*IFERROR(B1286/Summary!$B$24,1)+Summary!$B$11*IFERROR(B1287/Summary!$B$25,1))-1)+ArtifactsInput!$L$5))/Summary!$B$3*100)</f>
        <v/>
      </c>
      <c r="AD35">
        <f>ArtifactsInput!$B$5&lt;&gt;"Not Unlocked"</f>
        <v/>
      </c>
      <c r="AE35">
        <f>IF(AD35,SUMPRODUCT(($AD$35:$AD$70)*($AC$35:$AC$70&gt;AC35))+COUNTIFS($AD$35:AD35,TRUE,$AC$35:AC35,AC35),"")</f>
        <v/>
      </c>
    </row>
    <row r="36">
      <c r="A36">
        <f>IF(2&gt;COUNTIF($AD$35:$AD$70,TRUE),"",INDEX($AA$35:$AA$70,MATCH(2,$AE$35:$AE$70,0)))</f>
        <v/>
      </c>
      <c r="B36">
        <f>IF(2&gt;COUNTIF($AD$35:$AD$70,TRUE),"",INDEX($AB$35:$AB$70,MATCH(2,$AE$35:$AE$70,0)))</f>
        <v/>
      </c>
      <c r="C36">
        <f>IF(2&gt;COUNTIF($AD$35:$AD$70,TRUE),"",INDEX($AC$35:$AC$70,MATCH(2,$AE$35:$AE$70,0)))</f>
        <v/>
      </c>
      <c r="AA36" t="inlineStr">
        <is>
          <t>Pig's Ribbon (Equip)</t>
        </is>
      </c>
      <c r="AB36">
        <f>(IF(ArtifactsInput!$M$6,-1,1)*Summary!$B$3*(((1-Summary!$B$11)*IFERROR(B1328/Summary!$B$24,1)+Summary!$B$11*IFERROR(B1329/Summary!$B$25,1))-1)+ArtifactsInput!$L$6)</f>
        <v/>
      </c>
      <c r="AC36">
        <f>IF(ArtifactsInput!$M$6,Summary!$B$3/(Summary!$B$3-(IF(ArtifactsInput!$M$6,-1,1)*Summary!$B$3*(((1-Summary!$B$11)*IFERROR(B1328/Summary!$B$24,1)+Summary!$B$11*IFERROR(B1329/Summary!$B$25,1))-1)+ArtifactsInput!$L$6))*100,(Summary!$B$3+(IF(ArtifactsInput!$M$6,-1,1)*Summary!$B$3*(((1-Summary!$B$11)*IFERROR(B1328/Summary!$B$24,1)+Summary!$B$11*IFERROR(B1329/Summary!$B$25,1))-1)+ArtifactsInput!$L$6))/Summary!$B$3*100)</f>
        <v/>
      </c>
      <c r="AD36">
        <f>ArtifactsInput!$B$6&lt;&gt;"Not Unlocked"</f>
        <v/>
      </c>
      <c r="AE36">
        <f>IF(AD36,SUMPRODUCT(($AD$35:$AD$70)*($AC$35:$AC$70&gt;AC36))+COUNTIFS($AD$35:AD36,TRUE,$AC$35:AC36,AC36),"")</f>
        <v/>
      </c>
    </row>
    <row r="37">
      <c r="A37">
        <f>IF(3&gt;COUNTIF($AD$35:$AD$70,TRUE),"",INDEX($AA$35:$AA$70,MATCH(3,$AE$35:$AE$70,0)))</f>
        <v/>
      </c>
      <c r="B37">
        <f>IF(3&gt;COUNTIF($AD$35:$AD$70,TRUE),"",INDEX($AB$35:$AB$70,MATCH(3,$AE$35:$AE$70,0)))</f>
        <v/>
      </c>
      <c r="C37">
        <f>IF(3&gt;COUNTIF($AD$35:$AD$70,TRUE),"",INDEX($AC$35:$AC$70,MATCH(3,$AE$35:$AE$70,0)))</f>
        <v/>
      </c>
      <c r="AA37" t="inlineStr">
        <is>
          <t>Shamaness Marble (Equip)</t>
        </is>
      </c>
      <c r="AB37">
        <f>(IF(ArtifactsInput!$M$7,-1,1)*Summary!$B$3*(((1-Summary!$B$11)*IFERROR(B1370/Summary!$B$24,1)+Summary!$B$11*IFERROR(B1371/Summary!$B$25,1))-1)+ArtifactsInput!$L$7)</f>
        <v/>
      </c>
      <c r="AC37">
        <f>IF(ArtifactsInput!$M$7,Summary!$B$3/(Summary!$B$3-(IF(ArtifactsInput!$M$7,-1,1)*Summary!$B$3*(((1-Summary!$B$11)*IFERROR(B1370/Summary!$B$24,1)+Summary!$B$11*IFERROR(B1371/Summary!$B$25,1))-1)+ArtifactsInput!$L$7))*100,(Summary!$B$3+(IF(ArtifactsInput!$M$7,-1,1)*Summary!$B$3*(((1-Summary!$B$11)*IFERROR(B1370/Summary!$B$24,1)+Summary!$B$11*IFERROR(B1371/Summary!$B$25,1))-1)+ArtifactsInput!$L$7))/Summary!$B$3*100)</f>
        <v/>
      </c>
      <c r="AD37">
        <f>ArtifactsInput!$B$7&lt;&gt;"Not Unlocked"</f>
        <v/>
      </c>
      <c r="AE37">
        <f>IF(AD37,SUMPRODUCT(($AD$35:$AD$70)*($AC$35:$AC$70&gt;AC37))+COUNTIFS($AD$35:AD37,TRUE,$AC$35:AC37,AC37),"")</f>
        <v/>
      </c>
    </row>
    <row r="38">
      <c r="A38">
        <f>IF(4&gt;COUNTIF($AD$35:$AD$70,TRUE),"",INDEX($AA$35:$AA$70,MATCH(4,$AE$35:$AE$70,0)))</f>
        <v/>
      </c>
      <c r="B38">
        <f>IF(4&gt;COUNTIF($AD$35:$AD$70,TRUE),"",INDEX($AB$35:$AB$70,MATCH(4,$AE$35:$AE$70,0)))</f>
        <v/>
      </c>
      <c r="C38">
        <f>IF(4&gt;COUNTIF($AD$35:$AD$70,TRUE),"",INDEX($AC$35:$AC$70,MATCH(4,$AE$35:$AE$70,0)))</f>
        <v/>
      </c>
      <c r="AA38" t="inlineStr">
        <is>
          <t>The Contract of Darkness (Equip)</t>
        </is>
      </c>
      <c r="AB38">
        <f>(IF(ArtifactsInput!$M$8,-1,1)*Summary!$B$3*(((1-Summary!$B$11)*IFERROR(B1412/Summary!$B$24,1)+Summary!$B$11*IFERROR(B1413/Summary!$B$25,1))-1)+ArtifactsInput!$L$8)</f>
        <v/>
      </c>
      <c r="AC38">
        <f>IF(ArtifactsInput!$M$8,Summary!$B$3/(Summary!$B$3-(IF(ArtifactsInput!$M$8,-1,1)*Summary!$B$3*(((1-Summary!$B$11)*IFERROR(B1412/Summary!$B$24,1)+Summary!$B$11*IFERROR(B1413/Summary!$B$25,1))-1)+ArtifactsInput!$L$8))*100,(Summary!$B$3+(IF(ArtifactsInput!$M$8,-1,1)*Summary!$B$3*(((1-Summary!$B$11)*IFERROR(B1412/Summary!$B$24,1)+Summary!$B$11*IFERROR(B1413/Summary!$B$25,1))-1)+ArtifactsInput!$L$8))/Summary!$B$3*100)</f>
        <v/>
      </c>
      <c r="AD38">
        <f>ArtifactsInput!$B$8&lt;&gt;"Not Unlocked"</f>
        <v/>
      </c>
      <c r="AE38">
        <f>IF(AD38,SUMPRODUCT(($AD$35:$AD$70)*($AC$35:$AC$70&gt;AC38))+COUNTIFS($AD$35:AD38,TRUE,$AC$35:AC38,AC38),"")</f>
        <v/>
      </c>
    </row>
    <row r="39">
      <c r="A39">
        <f>IF(5&gt;COUNTIF($AD$35:$AD$70,TRUE),"",INDEX($AA$35:$AA$70,MATCH(5,$AE$35:$AE$70,0)))</f>
        <v/>
      </c>
      <c r="B39">
        <f>IF(5&gt;COUNTIF($AD$35:$AD$70,TRUE),"",INDEX($AB$35:$AB$70,MATCH(5,$AE$35:$AE$70,0)))</f>
        <v/>
      </c>
      <c r="C39">
        <f>IF(5&gt;COUNTIF($AD$35:$AD$70,TRUE),"",INDEX($AC$35:$AC$70,MATCH(5,$AE$35:$AE$70,0)))</f>
        <v/>
      </c>
      <c r="AA39" t="inlineStr">
        <is>
          <t>Rainbow-colored Snail Shell (Equip)</t>
        </is>
      </c>
      <c r="AB39">
        <f>(IF(ArtifactsInput!$M$10,-1,1)*Summary!$B$3*(((1-Summary!$B$11)*IFERROR(B1454/Summary!$B$24,1)+Summary!$B$11*IFERROR(B1455/Summary!$B$25,1))-1)+ArtifactsInput!$L$10)</f>
        <v/>
      </c>
      <c r="AC39">
        <f>IF(ArtifactsInput!$M$10,Summary!$B$3/(Summary!$B$3-(IF(ArtifactsInput!$M$10,-1,1)*Summary!$B$3*(((1-Summary!$B$11)*IFERROR(B1454/Summary!$B$24,1)+Summary!$B$11*IFERROR(B1455/Summary!$B$25,1))-1)+ArtifactsInput!$L$10))*100,(Summary!$B$3+(IF(ArtifactsInput!$M$10,-1,1)*Summary!$B$3*(((1-Summary!$B$11)*IFERROR(B1454/Summary!$B$24,1)+Summary!$B$11*IFERROR(B1455/Summary!$B$25,1))-1)+ArtifactsInput!$L$10))/Summary!$B$3*100)</f>
        <v/>
      </c>
      <c r="AD39">
        <f>ArtifactsInput!$B$10&lt;&gt;"Not Unlocked"</f>
        <v/>
      </c>
      <c r="AE39">
        <f>IF(AD39,SUMPRODUCT(($AD$35:$AD$70)*($AC$35:$AC$70&gt;AC39))+COUNTIFS($AD$35:AD39,TRUE,$AC$35:AC39,AC39),"")</f>
        <v/>
      </c>
    </row>
    <row r="40">
      <c r="A40">
        <f>IF(6&gt;COUNTIF($AD$35:$AD$70,TRUE),"",INDEX($AA$35:$AA$70,MATCH(6,$AE$35:$AE$70,0)))</f>
        <v/>
      </c>
      <c r="B40">
        <f>IF(6&gt;COUNTIF($AD$35:$AD$70,TRUE),"",INDEX($AB$35:$AB$70,MATCH(6,$AE$35:$AE$70,0)))</f>
        <v/>
      </c>
      <c r="C40">
        <f>IF(6&gt;COUNTIF($AD$35:$AD$70,TRUE),"",INDEX($AC$35:$AC$70,MATCH(6,$AE$35:$AE$70,0)))</f>
        <v/>
      </c>
      <c r="AA40" t="inlineStr">
        <is>
          <t>Hexagon Necklace (Equip)</t>
        </is>
      </c>
      <c r="AB40">
        <f>(IF(ArtifactsInput!$M$11,-1,1)*Summary!$B$3*(((1-Summary!$B$11)*IFERROR(B1496/Summary!$B$24,1)+Summary!$B$11*IFERROR(B1497/Summary!$B$25,1))-1)+ArtifactsInput!$L$11)</f>
        <v/>
      </c>
      <c r="AC40">
        <f>IF(ArtifactsInput!$M$11,Summary!$B$3/(Summary!$B$3-(IF(ArtifactsInput!$M$11,-1,1)*Summary!$B$3*(((1-Summary!$B$11)*IFERROR(B1496/Summary!$B$24,1)+Summary!$B$11*IFERROR(B1497/Summary!$B$25,1))-1)+ArtifactsInput!$L$11))*100,(Summary!$B$3+(IF(ArtifactsInput!$M$11,-1,1)*Summary!$B$3*(((1-Summary!$B$11)*IFERROR(B1496/Summary!$B$24,1)+Summary!$B$11*IFERROR(B1497/Summary!$B$25,1))-1)+ArtifactsInput!$L$11))/Summary!$B$3*100)</f>
        <v/>
      </c>
      <c r="AD40">
        <f>ArtifactsInput!$B$11&lt;&gt;"Not Unlocked"</f>
        <v/>
      </c>
      <c r="AE40">
        <f>IF(AD40,SUMPRODUCT(($AD$35:$AD$70)*($AC$35:$AC$70&gt;AC40))+COUNTIFS($AD$35:AD40,TRUE,$AC$35:AC40,AC40),"")</f>
        <v/>
      </c>
    </row>
    <row r="41">
      <c r="A41">
        <f>IF(7&gt;COUNTIF($AD$35:$AD$70,TRUE),"",INDEX($AA$35:$AA$70,MATCH(7,$AE$35:$AE$70,0)))</f>
        <v/>
      </c>
      <c r="B41">
        <f>IF(7&gt;COUNTIF($AD$35:$AD$70,TRUE),"",INDEX($AB$35:$AB$70,MATCH(7,$AE$35:$AE$70,0)))</f>
        <v/>
      </c>
      <c r="C41">
        <f>IF(7&gt;COUNTIF($AD$35:$AD$70,TRUE),"",INDEX($AC$35:$AC$70,MATCH(7,$AE$35:$AE$70,0)))</f>
        <v/>
      </c>
      <c r="AA41" t="inlineStr">
        <is>
          <t>Arwen's Glass Shoes (Equip)</t>
        </is>
      </c>
      <c r="AB41">
        <f>(IF(ArtifactsInput!$M$12,-1,1)*Summary!$B$3*(((1-Summary!$B$11)*IFERROR(B1538/Summary!$B$24,1)+Summary!$B$11*IFERROR(B1539/Summary!$B$25,1))-1)+ArtifactsInput!$L$12)</f>
        <v/>
      </c>
      <c r="AC41">
        <f>IF(ArtifactsInput!$M$12,Summary!$B$3/(Summary!$B$3-(IF(ArtifactsInput!$M$12,-1,1)*Summary!$B$3*(((1-Summary!$B$11)*IFERROR(B1538/Summary!$B$24,1)+Summary!$B$11*IFERROR(B1539/Summary!$B$25,1))-1)+ArtifactsInput!$L$12))*100,(Summary!$B$3+(IF(ArtifactsInput!$M$12,-1,1)*Summary!$B$3*(((1-Summary!$B$11)*IFERROR(B1538/Summary!$B$24,1)+Summary!$B$11*IFERROR(B1539/Summary!$B$25,1))-1)+ArtifactsInput!$L$12))/Summary!$B$3*100)</f>
        <v/>
      </c>
      <c r="AD41">
        <f>ArtifactsInput!$B$12&lt;&gt;"Not Unlocked"</f>
        <v/>
      </c>
      <c r="AE41">
        <f>IF(AD41,SUMPRODUCT(($AD$35:$AD$70)*($AC$35:$AC$70&gt;AC41))+COUNTIFS($AD$35:AD41,TRUE,$AC$35:AC41,AC41),"")</f>
        <v/>
      </c>
    </row>
    <row r="42">
      <c r="A42">
        <f>IF(8&gt;COUNTIF($AD$35:$AD$70,TRUE),"",INDEX($AA$35:$AA$70,MATCH(8,$AE$35:$AE$70,0)))</f>
        <v/>
      </c>
      <c r="B42">
        <f>IF(8&gt;COUNTIF($AD$35:$AD$70,TRUE),"",INDEX($AB$35:$AB$70,MATCH(8,$AE$35:$AE$70,0)))</f>
        <v/>
      </c>
      <c r="C42">
        <f>IF(8&gt;COUNTIF($AD$35:$AD$70,TRUE),"",INDEX($AC$35:$AC$70,MATCH(8,$AE$35:$AE$70,0)))</f>
        <v/>
      </c>
      <c r="AA42" t="inlineStr">
        <is>
          <t>Mushmom's Cap (Equip)</t>
        </is>
      </c>
      <c r="AB42">
        <f>(IF(ArtifactsInput!$M$13,-1,1)*Summary!$B$3*(((1-Summary!$B$11)*IFERROR(B1580/Summary!$B$24,1)+Summary!$B$11*IFERROR(B1581/Summary!$B$25,1))-1)+ArtifactsInput!$L$13)</f>
        <v/>
      </c>
      <c r="AC42">
        <f>IF(ArtifactsInput!$M$13,Summary!$B$3/(Summary!$B$3-(IF(ArtifactsInput!$M$13,-1,1)*Summary!$B$3*(((1-Summary!$B$11)*IFERROR(B1580/Summary!$B$24,1)+Summary!$B$11*IFERROR(B1581/Summary!$B$25,1))-1)+ArtifactsInput!$L$13))*100,(Summary!$B$3+(IF(ArtifactsInput!$M$13,-1,1)*Summary!$B$3*(((1-Summary!$B$11)*IFERROR(B1580/Summary!$B$24,1)+Summary!$B$11*IFERROR(B1581/Summary!$B$25,1))-1)+ArtifactsInput!$L$13))/Summary!$B$3*100)</f>
        <v/>
      </c>
      <c r="AD42">
        <f>ArtifactsInput!$B$13&lt;&gt;"Not Unlocked"</f>
        <v/>
      </c>
      <c r="AE42">
        <f>IF(AD42,SUMPRODUCT(($AD$35:$AD$70)*($AC$35:$AC$70&gt;AC42))+COUNTIFS($AD$35:AD42,TRUE,$AC$35:AC42,AC42),"")</f>
        <v/>
      </c>
    </row>
    <row r="43">
      <c r="A43">
        <f>IF(9&gt;COUNTIF($AD$35:$AD$70,TRUE),"",INDEX($AA$35:$AA$70,MATCH(9,$AE$35:$AE$70,0)))</f>
        <v/>
      </c>
      <c r="B43">
        <f>IF(9&gt;COUNTIF($AD$35:$AD$70,TRUE),"",INDEX($AB$35:$AB$70,MATCH(9,$AE$35:$AE$70,0)))</f>
        <v/>
      </c>
      <c r="C43">
        <f>IF(9&gt;COUNTIF($AD$35:$AD$70,TRUE),"",INDEX($AC$35:$AC$70,MATCH(9,$AE$35:$AE$70,0)))</f>
        <v/>
      </c>
      <c r="AA43" t="inlineStr">
        <is>
          <t>Clear Spring Water (Equip)</t>
        </is>
      </c>
      <c r="AB43">
        <f>(IF(ArtifactsInput!$M$14,-1,1)*Summary!$B$3*(((1-Summary!$B$11)*IFERROR(B1622/Summary!$B$24,1)+Summary!$B$11*IFERROR(B1623/Summary!$B$25,1))-1)+ArtifactsInput!$L$14)</f>
        <v/>
      </c>
      <c r="AC43">
        <f>IF(ArtifactsInput!$M$14,Summary!$B$3/(Summary!$B$3-(IF(ArtifactsInput!$M$14,-1,1)*Summary!$B$3*(((1-Summary!$B$11)*IFERROR(B1622/Summary!$B$24,1)+Summary!$B$11*IFERROR(B1623/Summary!$B$25,1))-1)+ArtifactsInput!$L$14))*100,(Summary!$B$3+(IF(ArtifactsInput!$M$14,-1,1)*Summary!$B$3*(((1-Summary!$B$11)*IFERROR(B1622/Summary!$B$24,1)+Summary!$B$11*IFERROR(B1623/Summary!$B$25,1))-1)+ArtifactsInput!$L$14))/Summary!$B$3*100)</f>
        <v/>
      </c>
      <c r="AD43">
        <f>ArtifactsInput!$B$14&lt;&gt;"Not Unlocked"</f>
        <v/>
      </c>
      <c r="AE43">
        <f>IF(AD43,SUMPRODUCT(($AD$35:$AD$70)*($AC$35:$AC$70&gt;AC43))+COUNTIFS($AD$35:AD43,TRUE,$AC$35:AC43,AC43),"")</f>
        <v/>
      </c>
    </row>
    <row r="44">
      <c r="A44">
        <f>IF(10&gt;COUNTIF($AD$35:$AD$70,TRUE),"",INDEX($AA$35:$AA$70,MATCH(10,$AE$35:$AE$70,0)))</f>
        <v/>
      </c>
      <c r="B44">
        <f>IF(10&gt;COUNTIF($AD$35:$AD$70,TRUE),"",INDEX($AB$35:$AB$70,MATCH(10,$AE$35:$AE$70,0)))</f>
        <v/>
      </c>
      <c r="C44">
        <f>IF(10&gt;COUNTIF($AD$35:$AD$70,TRUE),"",INDEX($AC$35:$AC$70,MATCH(10,$AE$35:$AE$70,0)))</f>
        <v/>
      </c>
      <c r="AA44" t="inlineStr">
        <is>
          <t>Athena Pierce's Old Gloves (Equip)</t>
        </is>
      </c>
      <c r="AB44">
        <f>(IF(ArtifactsInput!$M$15,-1,1)*Summary!$B$3*(((1-Summary!$B$11)*IFERROR(B1664/Summary!$B$24,1)+Summary!$B$11*IFERROR(B1665/Summary!$B$25,1))-1)+ArtifactsInput!$L$15)</f>
        <v/>
      </c>
      <c r="AC44">
        <f>IF(ArtifactsInput!$M$15,Summary!$B$3/(Summary!$B$3-(IF(ArtifactsInput!$M$15,-1,1)*Summary!$B$3*(((1-Summary!$B$11)*IFERROR(B1664/Summary!$B$24,1)+Summary!$B$11*IFERROR(B1665/Summary!$B$25,1))-1)+ArtifactsInput!$L$15))*100,(Summary!$B$3+(IF(ArtifactsInput!$M$15,-1,1)*Summary!$B$3*(((1-Summary!$B$11)*IFERROR(B1664/Summary!$B$24,1)+Summary!$B$11*IFERROR(B1665/Summary!$B$25,1))-1)+ArtifactsInput!$L$15))/Summary!$B$3*100)</f>
        <v/>
      </c>
      <c r="AD44">
        <f>ArtifactsInput!$B$15&lt;&gt;"Not Unlocked"</f>
        <v/>
      </c>
      <c r="AE44">
        <f>IF(AD44,SUMPRODUCT(($AD$35:$AD$70)*($AC$35:$AC$70&gt;AC44))+COUNTIFS($AD$35:AD44,TRUE,$AC$35:AC44,AC44),"")</f>
        <v/>
      </c>
    </row>
    <row r="45">
      <c r="A45">
        <f>IF(11&gt;COUNTIF($AD$35:$AD$70,TRUE),"",INDEX($AA$35:$AA$70,MATCH(11,$AE$35:$AE$70,0)))</f>
        <v/>
      </c>
      <c r="B45">
        <f>IF(11&gt;COUNTIF($AD$35:$AD$70,TRUE),"",INDEX($AB$35:$AB$70,MATCH(11,$AE$35:$AE$70,0)))</f>
        <v/>
      </c>
      <c r="C45">
        <f>IF(11&gt;COUNTIF($AD$35:$AD$70,TRUE),"",INDEX($AC$35:$AC$70,MATCH(11,$AE$35:$AE$70,0)))</f>
        <v/>
      </c>
      <c r="AA45" t="inlineStr">
        <is>
          <t>Zakum's Stone Piece (Equip)</t>
        </is>
      </c>
      <c r="AB45">
        <f>(IF(ArtifactsInput!$M$16,-1,1)*Summary!$B$3*(((1-Summary!$B$11)*IFERROR(B1706/Summary!$B$24,1)+Summary!$B$11*IFERROR(B1707/Summary!$B$25,1))-1)+ArtifactsInput!$L$16)</f>
        <v/>
      </c>
      <c r="AC45">
        <f>IF(ArtifactsInput!$M$16,Summary!$B$3/(Summary!$B$3-(IF(ArtifactsInput!$M$16,-1,1)*Summary!$B$3*(((1-Summary!$B$11)*IFERROR(B1706/Summary!$B$24,1)+Summary!$B$11*IFERROR(B1707/Summary!$B$25,1))-1)+ArtifactsInput!$L$16))*100,(Summary!$B$3+(IF(ArtifactsInput!$M$16,-1,1)*Summary!$B$3*(((1-Summary!$B$11)*IFERROR(B1706/Summary!$B$24,1)+Summary!$B$11*IFERROR(B1707/Summary!$B$25,1))-1)+ArtifactsInput!$L$16))/Summary!$B$3*100)</f>
        <v/>
      </c>
      <c r="AD45">
        <f>ArtifactsInput!$B$16&lt;&gt;"Not Unlocked"</f>
        <v/>
      </c>
      <c r="AE45">
        <f>IF(AD45,SUMPRODUCT(($AD$35:$AD$70)*($AC$35:$AC$70&gt;AC45))+COUNTIFS($AD$35:AD45,TRUE,$AC$35:AC45,AC45),"")</f>
        <v/>
      </c>
    </row>
    <row r="46">
      <c r="A46">
        <f>IF(12&gt;COUNTIF($AD$35:$AD$70,TRUE),"",INDEX($AA$35:$AA$70,MATCH(12,$AE$35:$AE$70,0)))</f>
        <v/>
      </c>
      <c r="B46">
        <f>IF(12&gt;COUNTIF($AD$35:$AD$70,TRUE),"",INDEX($AB$35:$AB$70,MATCH(12,$AE$35:$AE$70,0)))</f>
        <v/>
      </c>
      <c r="C46">
        <f>IF(12&gt;COUNTIF($AD$35:$AD$70,TRUE),"",INDEX($AC$35:$AC$70,MATCH(12,$AE$35:$AE$70,0)))</f>
        <v/>
      </c>
      <c r="AA46" t="inlineStr">
        <is>
          <t>Horntail's Scale (Equip)</t>
        </is>
      </c>
      <c r="AB46">
        <f>(IF(ArtifactsInput!$M$17,-1,1)*Summary!$B$3*(((1-Summary!$B$11)*IFERROR(B1748/Summary!$B$24,1)+Summary!$B$11*IFERROR(B1749/Summary!$B$25,1))-1)+ArtifactsInput!$L$17)</f>
        <v/>
      </c>
      <c r="AC46">
        <f>IF(ArtifactsInput!$M$17,Summary!$B$3/(Summary!$B$3-(IF(ArtifactsInput!$M$17,-1,1)*Summary!$B$3*(((1-Summary!$B$11)*IFERROR(B1748/Summary!$B$24,1)+Summary!$B$11*IFERROR(B1749/Summary!$B$25,1))-1)+ArtifactsInput!$L$17))*100,(Summary!$B$3+(IF(ArtifactsInput!$M$17,-1,1)*Summary!$B$3*(((1-Summary!$B$11)*IFERROR(B1748/Summary!$B$24,1)+Summary!$B$11*IFERROR(B1749/Summary!$B$25,1))-1)+ArtifactsInput!$L$17))/Summary!$B$3*100)</f>
        <v/>
      </c>
      <c r="AD46">
        <f>ArtifactsInput!$B$17&lt;&gt;"Not Unlocked"</f>
        <v/>
      </c>
      <c r="AE46">
        <f>IF(AD46,SUMPRODUCT(($AD$35:$AD$70)*($AC$35:$AC$70&gt;AC46))+COUNTIFS($AD$35:AD46,TRUE,$AC$35:AC46,AC46),"")</f>
        <v/>
      </c>
    </row>
    <row r="47">
      <c r="A47">
        <f>IF(13&gt;COUNTIF($AD$35:$AD$70,TRUE),"",INDEX($AA$35:$AA$70,MATCH(13,$AE$35:$AE$70,0)))</f>
        <v/>
      </c>
      <c r="B47">
        <f>IF(13&gt;COUNTIF($AD$35:$AD$70,TRUE),"",INDEX($AB$35:$AB$70,MATCH(13,$AE$35:$AE$70,0)))</f>
        <v/>
      </c>
      <c r="C47">
        <f>IF(13&gt;COUNTIF($AD$35:$AD$70,TRUE),"",INDEX($AC$35:$AC$70,MATCH(13,$AE$35:$AE$70,0)))</f>
        <v/>
      </c>
      <c r="AA47" t="inlineStr">
        <is>
          <t>Pink Bean's Giant Rib (Equip)</t>
        </is>
      </c>
      <c r="AB47">
        <f>(IF(ArtifactsInput!$M$18,-1,1)*Summary!$B$3*(((1-Summary!$B$11)*IFERROR(B1790/Summary!$B$24,1)+Summary!$B$11*IFERROR(B1791/Summary!$B$25,1))-1)+ArtifactsInput!$L$18)</f>
        <v/>
      </c>
      <c r="AC47">
        <f>IF(ArtifactsInput!$M$18,Summary!$B$3/(Summary!$B$3-(IF(ArtifactsInput!$M$18,-1,1)*Summary!$B$3*(((1-Summary!$B$11)*IFERROR(B1790/Summary!$B$24,1)+Summary!$B$11*IFERROR(B1791/Summary!$B$25,1))-1)+ArtifactsInput!$L$18))*100,(Summary!$B$3+(IF(ArtifactsInput!$M$18,-1,1)*Summary!$B$3*(((1-Summary!$B$11)*IFERROR(B1790/Summary!$B$24,1)+Summary!$B$11*IFERROR(B1791/Summary!$B$25,1))-1)+ArtifactsInput!$L$18))/Summary!$B$3*100)</f>
        <v/>
      </c>
      <c r="AD47">
        <f>ArtifactsInput!$B$18&lt;&gt;"Not Unlocked"</f>
        <v/>
      </c>
      <c r="AE47">
        <f>IF(AD47,SUMPRODUCT(($AD$35:$AD$70)*($AC$35:$AC$70&gt;AC47))+COUNTIFS($AD$35:AD47,TRUE,$AC$35:AC47,AC47),"")</f>
        <v/>
      </c>
    </row>
    <row r="48">
      <c r="A48">
        <f>IF(14&gt;COUNTIF($AD$35:$AD$70,TRUE),"",INDEX($AA$35:$AA$70,MATCH(14,$AE$35:$AE$70,0)))</f>
        <v/>
      </c>
      <c r="B48">
        <f>IF(14&gt;COUNTIF($AD$35:$AD$70,TRUE),"",INDEX($AB$35:$AB$70,MATCH(14,$AE$35:$AE$70,0)))</f>
        <v/>
      </c>
      <c r="C48">
        <f>IF(14&gt;COUNTIF($AD$35:$AD$70,TRUE),"",INDEX($AC$35:$AC$70,MATCH(14,$AE$35:$AE$70,0)))</f>
        <v/>
      </c>
      <c r="AA48" t="inlineStr">
        <is>
          <t>Chalice (Equip)</t>
        </is>
      </c>
      <c r="AB48">
        <f>(IF(ArtifactsInput!$M$20,-1,1)*Summary!$B$3*(((1-Summary!$B$11)*IFERROR(B1832/Summary!$B$24,1)+Summary!$B$11*IFERROR(B1833/Summary!$B$25,1))-1)+ArtifactsInput!$L$20)</f>
        <v/>
      </c>
      <c r="AC48">
        <f>IF(ArtifactsInput!$M$20,Summary!$B$3/(Summary!$B$3-(IF(ArtifactsInput!$M$20,-1,1)*Summary!$B$3*(((1-Summary!$B$11)*IFERROR(B1832/Summary!$B$24,1)+Summary!$B$11*IFERROR(B1833/Summary!$B$25,1))-1)+ArtifactsInput!$L$20))*100,(Summary!$B$3+(IF(ArtifactsInput!$M$20,-1,1)*Summary!$B$3*(((1-Summary!$B$11)*IFERROR(B1832/Summary!$B$24,1)+Summary!$B$11*IFERROR(B1833/Summary!$B$25,1))-1)+ArtifactsInput!$L$20))/Summary!$B$3*100)</f>
        <v/>
      </c>
      <c r="AD48">
        <f>ArtifactsInput!$B$20&lt;&gt;"Not Unlocked"</f>
        <v/>
      </c>
      <c r="AE48">
        <f>IF(AD48,SUMPRODUCT(($AD$35:$AD$70)*($AC$35:$AC$70&gt;AC48))+COUNTIFS($AD$35:AD48,TRUE,$AC$35:AC48,AC48),"")</f>
        <v/>
      </c>
    </row>
    <row r="49">
      <c r="A49">
        <f>IF(15&gt;COUNTIF($AD$35:$AD$70,TRUE),"",INDEX($AA$35:$AA$70,MATCH(15,$AE$35:$AE$70,0)))</f>
        <v/>
      </c>
      <c r="B49">
        <f>IF(15&gt;COUNTIF($AD$35:$AD$70,TRUE),"",INDEX($AB$35:$AB$70,MATCH(15,$AE$35:$AE$70,0)))</f>
        <v/>
      </c>
      <c r="C49">
        <f>IF(15&gt;COUNTIF($AD$35:$AD$70,TRUE),"",INDEX($AC$35:$AC$70,MATCH(15,$AE$35:$AE$70,0)))</f>
        <v/>
      </c>
      <c r="AA49" t="inlineStr">
        <is>
          <t>Old Music Box (Equip)</t>
        </is>
      </c>
      <c r="AB49">
        <f>(IF(ArtifactsInput!$M$21,-1,1)*Summary!$B$3*(((1-Summary!$B$11)*IFERROR(B1874/Summary!$B$24,1)+Summary!$B$11*IFERROR(B1875/Summary!$B$25,1))-1)+ArtifactsInput!$L$21)</f>
        <v/>
      </c>
      <c r="AC49">
        <f>IF(ArtifactsInput!$M$21,Summary!$B$3/(Summary!$B$3-(IF(ArtifactsInput!$M$21,-1,1)*Summary!$B$3*(((1-Summary!$B$11)*IFERROR(B1874/Summary!$B$24,1)+Summary!$B$11*IFERROR(B1875/Summary!$B$25,1))-1)+ArtifactsInput!$L$21))*100,(Summary!$B$3+(IF(ArtifactsInput!$M$21,-1,1)*Summary!$B$3*(((1-Summary!$B$11)*IFERROR(B1874/Summary!$B$24,1)+Summary!$B$11*IFERROR(B1875/Summary!$B$25,1))-1)+ArtifactsInput!$L$21))/Summary!$B$3*100)</f>
        <v/>
      </c>
      <c r="AD49">
        <f>ArtifactsInput!$B$21&lt;&gt;"Not Unlocked"</f>
        <v/>
      </c>
      <c r="AE49">
        <f>IF(AD49,SUMPRODUCT(($AD$35:$AD$70)*($AC$35:$AC$70&gt;AC49))+COUNTIFS($AD$35:AD49,TRUE,$AC$35:AC49,AC49),"")</f>
        <v/>
      </c>
    </row>
    <row r="50">
      <c r="A50">
        <f>IF(16&gt;COUNTIF($AD$35:$AD$70,TRUE),"",INDEX($AA$35:$AA$70,MATCH(16,$AE$35:$AE$70,0)))</f>
        <v/>
      </c>
      <c r="B50">
        <f>IF(16&gt;COUNTIF($AD$35:$AD$70,TRUE),"",INDEX($AB$35:$AB$70,MATCH(16,$AE$35:$AE$70,0)))</f>
        <v/>
      </c>
      <c r="C50">
        <f>IF(16&gt;COUNTIF($AD$35:$AD$70,TRUE),"",INDEX($AC$35:$AC$70,MATCH(16,$AE$35:$AE$70,0)))</f>
        <v/>
      </c>
      <c r="AA50" t="inlineStr">
        <is>
          <t>Silver Pendant (Equip)</t>
        </is>
      </c>
      <c r="AB50">
        <f>(IF(ArtifactsInput!$M$22,-1,1)*Summary!$B$3*(((1-Summary!$B$11)*IFERROR(B1916/Summary!$B$24,1)+Summary!$B$11*IFERROR(B1917/Summary!$B$25,1))-1)+ArtifactsInput!$L$22)</f>
        <v/>
      </c>
      <c r="AC50">
        <f>IF(ArtifactsInput!$M$22,Summary!$B$3/(Summary!$B$3-(IF(ArtifactsInput!$M$22,-1,1)*Summary!$B$3*(((1-Summary!$B$11)*IFERROR(B1916/Summary!$B$24,1)+Summary!$B$11*IFERROR(B1917/Summary!$B$25,1))-1)+ArtifactsInput!$L$22))*100,(Summary!$B$3+(IF(ArtifactsInput!$M$22,-1,1)*Summary!$B$3*(((1-Summary!$B$11)*IFERROR(B1916/Summary!$B$24,1)+Summary!$B$11*IFERROR(B1917/Summary!$B$25,1))-1)+ArtifactsInput!$L$22))/Summary!$B$3*100)</f>
        <v/>
      </c>
      <c r="AD50">
        <f>ArtifactsInput!$B$22&lt;&gt;"Not Unlocked"</f>
        <v/>
      </c>
      <c r="AE50">
        <f>IF(AD50,SUMPRODUCT(($AD$35:$AD$70)*($AC$35:$AC$70&gt;AC50))+COUNTIFS($AD$35:AD50,TRUE,$AC$35:AC50,AC50),"")</f>
        <v/>
      </c>
    </row>
    <row r="51">
      <c r="A51">
        <f>IF(17&gt;COUNTIF($AD$35:$AD$70,TRUE),"",INDEX($AA$35:$AA$70,MATCH(17,$AE$35:$AE$70,0)))</f>
        <v/>
      </c>
      <c r="B51">
        <f>IF(17&gt;COUNTIF($AD$35:$AD$70,TRUE),"",INDEX($AB$35:$AB$70,MATCH(17,$AE$35:$AE$70,0)))</f>
        <v/>
      </c>
      <c r="C51">
        <f>IF(17&gt;COUNTIF($AD$35:$AD$70,TRUE),"",INDEX($AC$35:$AC$70,MATCH(17,$AE$35:$AE$70,0)))</f>
        <v/>
      </c>
      <c r="AA51" t="inlineStr">
        <is>
          <t>Star Rock (Equip)</t>
        </is>
      </c>
      <c r="AB51">
        <f>(IF(ArtifactsInput!$M$23,-1,1)*Summary!$B$3*(((1-Summary!$B$11)*IFERROR(B1958/Summary!$B$24,1)+Summary!$B$11*IFERROR(B1959/Summary!$B$25,1))-1)+ArtifactsInput!$L$23)</f>
        <v/>
      </c>
      <c r="AC51">
        <f>IF(ArtifactsInput!$M$23,Summary!$B$3/(Summary!$B$3-(IF(ArtifactsInput!$M$23,-1,1)*Summary!$B$3*(((1-Summary!$B$11)*IFERROR(B1958/Summary!$B$24,1)+Summary!$B$11*IFERROR(B1959/Summary!$B$25,1))-1)+ArtifactsInput!$L$23))*100,(Summary!$B$3+(IF(ArtifactsInput!$M$23,-1,1)*Summary!$B$3*(((1-Summary!$B$11)*IFERROR(B1958/Summary!$B$24,1)+Summary!$B$11*IFERROR(B1959/Summary!$B$25,1))-1)+ArtifactsInput!$L$23))/Summary!$B$3*100)</f>
        <v/>
      </c>
      <c r="AD51">
        <f>ArtifactsInput!$B$23&lt;&gt;"Not Unlocked"</f>
        <v/>
      </c>
      <c r="AE51">
        <f>IF(AD51,SUMPRODUCT(($AD$35:$AD$70)*($AC$35:$AC$70&gt;AC51))+COUNTIFS($AD$35:AD51,TRUE,$AC$35:AC51,AC51),"")</f>
        <v/>
      </c>
    </row>
    <row r="52">
      <c r="A52">
        <f>IF(18&gt;COUNTIF($AD$35:$AD$70,TRUE),"",INDEX($AA$35:$AA$70,MATCH(18,$AE$35:$AE$70,0)))</f>
        <v/>
      </c>
      <c r="B52">
        <f>IF(18&gt;COUNTIF($AD$35:$AD$70,TRUE),"",INDEX($AB$35:$AB$70,MATCH(18,$AE$35:$AE$70,0)))</f>
        <v/>
      </c>
      <c r="C52">
        <f>IF(18&gt;COUNTIF($AD$35:$AD$70,TRUE),"",INDEX($AC$35:$AC$70,MATCH(18,$AE$35:$AE$70,0)))</f>
        <v/>
      </c>
      <c r="AA52" t="inlineStr">
        <is>
          <t>Book of Ancient (Equip)</t>
        </is>
      </c>
      <c r="AB52">
        <f>(IF(ArtifactsInput!$M$24,-1,1)*Summary!$B$3*(((1-Summary!$B$11)*IFERROR(B2000/Summary!$B$24,1)+Summary!$B$11*IFERROR(B2001/Summary!$B$25,1))-1)+ArtifactsInput!$L$24)</f>
        <v/>
      </c>
      <c r="AC52">
        <f>IF(ArtifactsInput!$M$24,Summary!$B$3/(Summary!$B$3-(IF(ArtifactsInput!$M$24,-1,1)*Summary!$B$3*(((1-Summary!$B$11)*IFERROR(B2000/Summary!$B$24,1)+Summary!$B$11*IFERROR(B2001/Summary!$B$25,1))-1)+ArtifactsInput!$L$24))*100,(Summary!$B$3+(IF(ArtifactsInput!$M$24,-1,1)*Summary!$B$3*(((1-Summary!$B$11)*IFERROR(B2000/Summary!$B$24,1)+Summary!$B$11*IFERROR(B2001/Summary!$B$25,1))-1)+ArtifactsInput!$L$24))/Summary!$B$3*100)</f>
        <v/>
      </c>
      <c r="AD52">
        <f>ArtifactsInput!$B$24&lt;&gt;"Not Unlocked"</f>
        <v/>
      </c>
      <c r="AE52">
        <f>IF(AD52,SUMPRODUCT(($AD$35:$AD$70)*($AC$35:$AC$70&gt;AC52))+COUNTIFS($AD$35:AD52,TRUE,$AC$35:AC52,AC52),"")</f>
        <v/>
      </c>
    </row>
    <row r="53">
      <c r="A53">
        <f>IF(19&gt;COUNTIF($AD$35:$AD$70,TRUE),"",INDEX($AA$35:$AA$70,MATCH(19,$AE$35:$AE$70,0)))</f>
        <v/>
      </c>
      <c r="B53">
        <f>IF(19&gt;COUNTIF($AD$35:$AD$70,TRUE),"",INDEX($AB$35:$AB$70,MATCH(19,$AE$35:$AE$70,0)))</f>
        <v/>
      </c>
      <c r="C53">
        <f>IF(19&gt;COUNTIF($AD$35:$AD$70,TRUE),"",INDEX($AC$35:$AC$70,MATCH(19,$AE$35:$AE$70,0)))</f>
        <v/>
      </c>
      <c r="AA53" t="inlineStr">
        <is>
          <t>Lunar Dew (Equip)</t>
        </is>
      </c>
      <c r="AB53">
        <f>(IF(ArtifactsInput!$M$25,-1,1)*Summary!$B$3*(((1-Summary!$B$11)*IFERROR(B2042/Summary!$B$24,1)+Summary!$B$11*IFERROR(B2043/Summary!$B$25,1))-1)+ArtifactsInput!$L$25)</f>
        <v/>
      </c>
      <c r="AC53">
        <f>IF(ArtifactsInput!$M$25,Summary!$B$3/(Summary!$B$3-(IF(ArtifactsInput!$M$25,-1,1)*Summary!$B$3*(((1-Summary!$B$11)*IFERROR(B2042/Summary!$B$24,1)+Summary!$B$11*IFERROR(B2043/Summary!$B$25,1))-1)+ArtifactsInput!$L$25))*100,(Summary!$B$3+(IF(ArtifactsInput!$M$25,-1,1)*Summary!$B$3*(((1-Summary!$B$11)*IFERROR(B2042/Summary!$B$24,1)+Summary!$B$11*IFERROR(B2043/Summary!$B$25,1))-1)+ArtifactsInput!$L$25))/Summary!$B$3*100)</f>
        <v/>
      </c>
      <c r="AD53">
        <f>ArtifactsInput!$B$25&lt;&gt;"Not Unlocked"</f>
        <v/>
      </c>
      <c r="AE53">
        <f>IF(AD53,SUMPRODUCT(($AD$35:$AD$70)*($AC$35:$AC$70&gt;AC53))+COUNTIFS($AD$35:AD53,TRUE,$AC$35:AC53,AC53),"")</f>
        <v/>
      </c>
    </row>
    <row r="54">
      <c r="A54">
        <f>IF(20&gt;COUNTIF($AD$35:$AD$70,TRUE),"",INDEX($AA$35:$AA$70,MATCH(20,$AE$35:$AE$70,0)))</f>
        <v/>
      </c>
      <c r="B54">
        <f>IF(20&gt;COUNTIF($AD$35:$AD$70,TRUE),"",INDEX($AB$35:$AB$70,MATCH(20,$AE$35:$AE$70,0)))</f>
        <v/>
      </c>
      <c r="C54">
        <f>IF(20&gt;COUNTIF($AD$35:$AD$70,TRUE),"",INDEX($AC$35:$AC$70,MATCH(20,$AE$35:$AE$70,0)))</f>
        <v/>
      </c>
      <c r="AA54" t="inlineStr">
        <is>
          <t>Fire Flower (Equip)</t>
        </is>
      </c>
      <c r="AB54">
        <f>(IF(ArtifactsInput!$M$26,-1,1)*Summary!$B$3*(((1-Summary!$B$11)*IFERROR(B2084/Summary!$B$24,1)+Summary!$B$11*IFERROR(B2085/Summary!$B$25,1))-1)+ArtifactsInput!$L$26)</f>
        <v/>
      </c>
      <c r="AC54">
        <f>IF(ArtifactsInput!$M$26,Summary!$B$3/(Summary!$B$3-(IF(ArtifactsInput!$M$26,-1,1)*Summary!$B$3*(((1-Summary!$B$11)*IFERROR(B2084/Summary!$B$24,1)+Summary!$B$11*IFERROR(B2085/Summary!$B$25,1))-1)+ArtifactsInput!$L$26))*100,(Summary!$B$3+(IF(ArtifactsInput!$M$26,-1,1)*Summary!$B$3*(((1-Summary!$B$11)*IFERROR(B2084/Summary!$B$24,1)+Summary!$B$11*IFERROR(B2085/Summary!$B$25,1))-1)+ArtifactsInput!$L$26))/Summary!$B$3*100)</f>
        <v/>
      </c>
      <c r="AD54">
        <f>ArtifactsInput!$B$26&lt;&gt;"Not Unlocked"</f>
        <v/>
      </c>
      <c r="AE54">
        <f>IF(AD54,SUMPRODUCT(($AD$35:$AD$70)*($AC$35:$AC$70&gt;AC54))+COUNTIFS($AD$35:AD54,TRUE,$AC$35:AC54,AC54),"")</f>
        <v/>
      </c>
    </row>
    <row r="55">
      <c r="A55">
        <f>IF(21&gt;COUNTIF($AD$35:$AD$70,TRUE),"",INDEX($AA$35:$AA$70,MATCH(21,$AE$35:$AE$70,0)))</f>
        <v/>
      </c>
      <c r="B55">
        <f>IF(21&gt;COUNTIF($AD$35:$AD$70,TRUE),"",INDEX($AB$35:$AB$70,MATCH(21,$AE$35:$AE$70,0)))</f>
        <v/>
      </c>
      <c r="C55">
        <f>IF(21&gt;COUNTIF($AD$35:$AD$70,TRUE),"",INDEX($AC$35:$AC$70,MATCH(21,$AE$35:$AE$70,0)))</f>
        <v/>
      </c>
      <c r="AA55" t="inlineStr">
        <is>
          <t>Soul Contract (Equip)</t>
        </is>
      </c>
      <c r="AB55">
        <f>(IF(ArtifactsInput!$M$27,-1,1)*Summary!$B$3*(((1-Summary!$B$11)*IFERROR(B2126/Summary!$B$24,1)+Summary!$B$11*IFERROR(B2127/Summary!$B$25,1))-1)+ArtifactsInput!$L$27)</f>
        <v/>
      </c>
      <c r="AC55">
        <f>IF(ArtifactsInput!$M$27,Summary!$B$3/(Summary!$B$3-(IF(ArtifactsInput!$M$27,-1,1)*Summary!$B$3*(((1-Summary!$B$11)*IFERROR(B2126/Summary!$B$24,1)+Summary!$B$11*IFERROR(B2127/Summary!$B$25,1))-1)+ArtifactsInput!$L$27))*100,(Summary!$B$3+(IF(ArtifactsInput!$M$27,-1,1)*Summary!$B$3*(((1-Summary!$B$11)*IFERROR(B2126/Summary!$B$24,1)+Summary!$B$11*IFERROR(B2127/Summary!$B$25,1))-1)+ArtifactsInput!$L$27))/Summary!$B$3*100)</f>
        <v/>
      </c>
      <c r="AD55">
        <f>ArtifactsInput!$B$27&lt;&gt;"Not Unlocked"</f>
        <v/>
      </c>
      <c r="AE55">
        <f>IF(AD55,SUMPRODUCT(($AD$35:$AD$70)*($AC$35:$AC$70&gt;AC55))+COUNTIFS($AD$35:AD55,TRUE,$AC$35:AC55,AC55),"")</f>
        <v/>
      </c>
    </row>
    <row r="56">
      <c r="A56">
        <f>IF(22&gt;COUNTIF($AD$35:$AD$70,TRUE),"",INDEX($AA$35:$AA$70,MATCH(22,$AE$35:$AE$70,0)))</f>
        <v/>
      </c>
      <c r="B56">
        <f>IF(22&gt;COUNTIF($AD$35:$AD$70,TRUE),"",INDEX($AB$35:$AB$70,MATCH(22,$AE$35:$AE$70,0)))</f>
        <v/>
      </c>
      <c r="C56">
        <f>IF(22&gt;COUNTIF($AD$35:$AD$70,TRUE),"",INDEX($AC$35:$AC$70,MATCH(22,$AE$35:$AE$70,0)))</f>
        <v/>
      </c>
      <c r="AA56" t="inlineStr">
        <is>
          <t>Lit Lamp (Equip)</t>
        </is>
      </c>
      <c r="AB56">
        <f>(IF(ArtifactsInput!$M$28,-1,1)*Summary!$B$3*(((1-Summary!$B$11)*IFERROR(B2168/Summary!$B$24,1)+Summary!$B$11*IFERROR(B2169/Summary!$B$25,1))-1)+ArtifactsInput!$L$28)</f>
        <v/>
      </c>
      <c r="AC56">
        <f>IF(ArtifactsInput!$M$28,Summary!$B$3/(Summary!$B$3-(IF(ArtifactsInput!$M$28,-1,1)*Summary!$B$3*(((1-Summary!$B$11)*IFERROR(B2168/Summary!$B$24,1)+Summary!$B$11*IFERROR(B2169/Summary!$B$25,1))-1)+ArtifactsInput!$L$28))*100,(Summary!$B$3+(IF(ArtifactsInput!$M$28,-1,1)*Summary!$B$3*(((1-Summary!$B$11)*IFERROR(B2168/Summary!$B$24,1)+Summary!$B$11*IFERROR(B2169/Summary!$B$25,1))-1)+ArtifactsInput!$L$28))/Summary!$B$3*100)</f>
        <v/>
      </c>
      <c r="AD56">
        <f>ArtifactsInput!$B$28&lt;&gt;"Not Unlocked"</f>
        <v/>
      </c>
      <c r="AE56">
        <f>IF(AD56,SUMPRODUCT(($AD$35:$AD$70)*($AC$35:$AC$70&gt;AC56))+COUNTIFS($AD$35:AD56,TRUE,$AC$35:AC56,AC56),"")</f>
        <v/>
      </c>
    </row>
    <row r="57">
      <c r="A57">
        <f>IF(23&gt;COUNTIF($AD$35:$AD$70,TRUE),"",INDEX($AA$35:$AA$70,MATCH(23,$AE$35:$AE$70,0)))</f>
        <v/>
      </c>
      <c r="B57">
        <f>IF(23&gt;COUNTIF($AD$35:$AD$70,TRUE),"",INDEX($AB$35:$AB$70,MATCH(23,$AE$35:$AE$70,0)))</f>
        <v/>
      </c>
      <c r="C57">
        <f>IF(23&gt;COUNTIF($AD$35:$AD$70,TRUE),"",INDEX($AC$35:$AC$70,MATCH(23,$AE$35:$AE$70,0)))</f>
        <v/>
      </c>
      <c r="AA57" t="inlineStr">
        <is>
          <t>Soul Pouch (Equip)</t>
        </is>
      </c>
      <c r="AB57">
        <f>(IF(ArtifactsInput!$M$29,-1,1)*Summary!$B$3*(((1-Summary!$B$11)*IFERROR(B2210/Summary!$B$24,1)+Summary!$B$11*IFERROR(B2211/Summary!$B$25,1))-1)+ArtifactsInput!$L$29)</f>
        <v/>
      </c>
      <c r="AC57">
        <f>IF(ArtifactsInput!$M$29,Summary!$B$3/(Summary!$B$3-(IF(ArtifactsInput!$M$29,-1,1)*Summary!$B$3*(((1-Summary!$B$11)*IFERROR(B2210/Summary!$B$24,1)+Summary!$B$11*IFERROR(B2211/Summary!$B$25,1))-1)+ArtifactsInput!$L$29))*100,(Summary!$B$3+(IF(ArtifactsInput!$M$29,-1,1)*Summary!$B$3*(((1-Summary!$B$11)*IFERROR(B2210/Summary!$B$24,1)+Summary!$B$11*IFERROR(B2211/Summary!$B$25,1))-1)+ArtifactsInput!$L$29))/Summary!$B$3*100)</f>
        <v/>
      </c>
      <c r="AD57">
        <f>ArtifactsInput!$B$29&lt;&gt;"Not Unlocked"</f>
        <v/>
      </c>
      <c r="AE57">
        <f>IF(AD57,SUMPRODUCT(($AD$35:$AD$70)*($AC$35:$AC$70&gt;AC57))+COUNTIFS($AD$35:AD57,TRUE,$AC$35:AC57,AC57),"")</f>
        <v/>
      </c>
    </row>
    <row r="58">
      <c r="A58">
        <f>IF(24&gt;COUNTIF($AD$35:$AD$70,TRUE),"",INDEX($AA$35:$AA$70,MATCH(24,$AE$35:$AE$70,0)))</f>
        <v/>
      </c>
      <c r="B58">
        <f>IF(24&gt;COUNTIF($AD$35:$AD$70,TRUE),"",INDEX($AB$35:$AB$70,MATCH(24,$AE$35:$AE$70,0)))</f>
        <v/>
      </c>
      <c r="C58">
        <f>IF(24&gt;COUNTIF($AD$35:$AD$70,TRUE),"",INDEX($AC$35:$AC$70,MATCH(24,$AE$35:$AE$70,0)))</f>
        <v/>
      </c>
      <c r="AA58" t="inlineStr">
        <is>
          <t>Ancient Text Piece (Equip)</t>
        </is>
      </c>
      <c r="AB58">
        <f>(IF(ArtifactsInput!$M$30,-1,1)*Summary!$B$3*(((1-Summary!$B$11)*IFERROR(B2252/Summary!$B$24,1)+Summary!$B$11*IFERROR(B2253/Summary!$B$25,1))-1)+ArtifactsInput!$L$30)</f>
        <v/>
      </c>
      <c r="AC58">
        <f>IF(ArtifactsInput!$M$30,Summary!$B$3/(Summary!$B$3-(IF(ArtifactsInput!$M$30,-1,1)*Summary!$B$3*(((1-Summary!$B$11)*IFERROR(B2252/Summary!$B$24,1)+Summary!$B$11*IFERROR(B2253/Summary!$B$25,1))-1)+ArtifactsInput!$L$30))*100,(Summary!$B$3+(IF(ArtifactsInput!$M$30,-1,1)*Summary!$B$3*(((1-Summary!$B$11)*IFERROR(B2252/Summary!$B$24,1)+Summary!$B$11*IFERROR(B2253/Summary!$B$25,1))-1)+ArtifactsInput!$L$30))/Summary!$B$3*100)</f>
        <v/>
      </c>
      <c r="AD58">
        <f>ArtifactsInput!$B$30&lt;&gt;"Not Unlocked"</f>
        <v/>
      </c>
      <c r="AE58">
        <f>IF(AD58,SUMPRODUCT(($AD$35:$AD$70)*($AC$35:$AC$70&gt;AC58))+COUNTIFS($AD$35:AD58,TRUE,$AC$35:AC58,AC58),"")</f>
        <v/>
      </c>
    </row>
    <row r="59">
      <c r="A59">
        <f>IF(25&gt;COUNTIF($AD$35:$AD$70,TRUE),"",INDEX($AA$35:$AA$70,MATCH(25,$AE$35:$AE$70,0)))</f>
        <v/>
      </c>
      <c r="B59">
        <f>IF(25&gt;COUNTIF($AD$35:$AD$70,TRUE),"",INDEX($AB$35:$AB$70,MATCH(25,$AE$35:$AE$70,0)))</f>
        <v/>
      </c>
      <c r="C59">
        <f>IF(25&gt;COUNTIF($AD$35:$AD$70,TRUE),"",INDEX($AC$35:$AC$70,MATCH(25,$AE$35:$AE$70,0)))</f>
        <v/>
      </c>
      <c r="AA59" t="inlineStr">
        <is>
          <t>Icy Soul Rock (Equip)</t>
        </is>
      </c>
      <c r="AB59">
        <f>(IF(ArtifactsInput!$M$31,-1,1)*Summary!$B$3*(((1-Summary!$B$11)*IFERROR(B2294/Summary!$B$24,1)+Summary!$B$11*IFERROR(B2295/Summary!$B$25,1))-1)+ArtifactsInput!$L$31)</f>
        <v/>
      </c>
      <c r="AC59">
        <f>IF(ArtifactsInput!$M$31,Summary!$B$3/(Summary!$B$3-(IF(ArtifactsInput!$M$31,-1,1)*Summary!$B$3*(((1-Summary!$B$11)*IFERROR(B2294/Summary!$B$24,1)+Summary!$B$11*IFERROR(B2295/Summary!$B$25,1))-1)+ArtifactsInput!$L$31))*100,(Summary!$B$3+(IF(ArtifactsInput!$M$31,-1,1)*Summary!$B$3*(((1-Summary!$B$11)*IFERROR(B2294/Summary!$B$24,1)+Summary!$B$11*IFERROR(B2295/Summary!$B$25,1))-1)+ArtifactsInput!$L$31))/Summary!$B$3*100)</f>
        <v/>
      </c>
      <c r="AD59">
        <f>ArtifactsInput!$B$31&lt;&gt;"Not Unlocked"</f>
        <v/>
      </c>
      <c r="AE59">
        <f>IF(AD59,SUMPRODUCT(($AD$35:$AD$70)*($AC$35:$AC$70&gt;AC59))+COUNTIFS($AD$35:AD59,TRUE,$AC$35:AC59,AC59),"")</f>
        <v/>
      </c>
    </row>
    <row r="60">
      <c r="A60">
        <f>IF(26&gt;COUNTIF($AD$35:$AD$70,TRUE),"",INDEX($AA$35:$AA$70,MATCH(26,$AE$35:$AE$70,0)))</f>
        <v/>
      </c>
      <c r="B60">
        <f>IF(26&gt;COUNTIF($AD$35:$AD$70,TRUE),"",INDEX($AB$35:$AB$70,MATCH(26,$AE$35:$AE$70,0)))</f>
        <v/>
      </c>
      <c r="C60">
        <f>IF(26&gt;COUNTIF($AD$35:$AD$70,TRUE),"",INDEX($AC$35:$AC$70,MATCH(26,$AE$35:$AE$70,0)))</f>
        <v/>
      </c>
      <c r="AA60" t="inlineStr">
        <is>
          <t>Flaming Lava (Equip)</t>
        </is>
      </c>
      <c r="AB60">
        <f>(IF(ArtifactsInput!$M$32,-1,1)*Summary!$B$3*(((1-Summary!$B$11)*IFERROR(B2336/Summary!$B$24,1)+Summary!$B$11*IFERROR(B2337/Summary!$B$25,1))-1)+ArtifactsInput!$L$32)</f>
        <v/>
      </c>
      <c r="AC60">
        <f>IF(ArtifactsInput!$M$32,Summary!$B$3/(Summary!$B$3-(IF(ArtifactsInput!$M$32,-1,1)*Summary!$B$3*(((1-Summary!$B$11)*IFERROR(B2336/Summary!$B$24,1)+Summary!$B$11*IFERROR(B2337/Summary!$B$25,1))-1)+ArtifactsInput!$L$32))*100,(Summary!$B$3+(IF(ArtifactsInput!$M$32,-1,1)*Summary!$B$3*(((1-Summary!$B$11)*IFERROR(B2336/Summary!$B$24,1)+Summary!$B$11*IFERROR(B2337/Summary!$B$25,1))-1)+ArtifactsInput!$L$32))/Summary!$B$3*100)</f>
        <v/>
      </c>
      <c r="AD60">
        <f>ArtifactsInput!$B$32&lt;&gt;"Not Unlocked"</f>
        <v/>
      </c>
      <c r="AE60">
        <f>IF(AD60,SUMPRODUCT(($AD$35:$AD$70)*($AC$35:$AC$70&gt;AC60))+COUNTIFS($AD$35:AD60,TRUE,$AC$35:AC60,AC60),"")</f>
        <v/>
      </c>
    </row>
    <row r="61">
      <c r="A61">
        <f>IF(27&gt;COUNTIF($AD$35:$AD$70,TRUE),"",INDEX($AA$35:$AA$70,MATCH(27,$AE$35:$AE$70,0)))</f>
        <v/>
      </c>
      <c r="B61">
        <f>IF(27&gt;COUNTIF($AD$35:$AD$70,TRUE),"",INDEX($AB$35:$AB$70,MATCH(27,$AE$35:$AE$70,0)))</f>
        <v/>
      </c>
      <c r="C61">
        <f>IF(27&gt;COUNTIF($AD$35:$AD$70,TRUE),"",INDEX($AC$35:$AC$70,MATCH(27,$AE$35:$AE$70,0)))</f>
        <v/>
      </c>
      <c r="AA61" t="inlineStr">
        <is>
          <t>Sayram's Necklace (Equip)</t>
        </is>
      </c>
      <c r="AB61">
        <f>(IF(ArtifactsInput!$M$33,-1,1)*Summary!$B$3*(((1-Summary!$B$11)*IFERROR(B2378/Summary!$B$24,1)+Summary!$B$11*IFERROR(B2379/Summary!$B$25,1))-1)+ArtifactsInput!$L$33)</f>
        <v/>
      </c>
      <c r="AC61">
        <f>IF(ArtifactsInput!$M$33,Summary!$B$3/(Summary!$B$3-(IF(ArtifactsInput!$M$33,-1,1)*Summary!$B$3*(((1-Summary!$B$11)*IFERROR(B2378/Summary!$B$24,1)+Summary!$B$11*IFERROR(B2379/Summary!$B$25,1))-1)+ArtifactsInput!$L$33))*100,(Summary!$B$3+(IF(ArtifactsInput!$M$33,-1,1)*Summary!$B$3*(((1-Summary!$B$11)*IFERROR(B2378/Summary!$B$24,1)+Summary!$B$11*IFERROR(B2379/Summary!$B$25,1))-1)+ArtifactsInput!$L$33))/Summary!$B$3*100)</f>
        <v/>
      </c>
      <c r="AD61">
        <f>ArtifactsInput!$B$33&lt;&gt;"Not Unlocked"</f>
        <v/>
      </c>
      <c r="AE61">
        <f>IF(AD61,SUMPRODUCT(($AD$35:$AD$70)*($AC$35:$AC$70&gt;AC61))+COUNTIFS($AD$35:AD61,TRUE,$AC$35:AC61,AC61),"")</f>
        <v/>
      </c>
    </row>
    <row r="62">
      <c r="A62">
        <f>IF(28&gt;COUNTIF($AD$35:$AD$70,TRUE),"",INDEX($AA$35:$AA$70,MATCH(28,$AE$35:$AE$70,0)))</f>
        <v/>
      </c>
      <c r="B62">
        <f>IF(28&gt;COUNTIF($AD$35:$AD$70,TRUE),"",INDEX($AB$35:$AB$70,MATCH(28,$AE$35:$AE$70,0)))</f>
        <v/>
      </c>
      <c r="C62">
        <f>IF(28&gt;COUNTIF($AD$35:$AD$70,TRUE),"",INDEX($AC$35:$AC$70,MATCH(28,$AE$35:$AE$70,0)))</f>
        <v/>
      </c>
      <c r="AA62" t="inlineStr">
        <is>
          <t>Bottle of Emotion (Equip)</t>
        </is>
      </c>
      <c r="AB62">
        <f>(IF(ArtifactsInput!$M$34,-1,1)*Summary!$B$3*(((1-Summary!$B$11)*IFERROR(B2420/Summary!$B$24,1)+Summary!$B$11*IFERROR(B2421/Summary!$B$25,1))-1)+ArtifactsInput!$L$34)</f>
        <v/>
      </c>
      <c r="AC62">
        <f>IF(ArtifactsInput!$M$34,Summary!$B$3/(Summary!$B$3-(IF(ArtifactsInput!$M$34,-1,1)*Summary!$B$3*(((1-Summary!$B$11)*IFERROR(B2420/Summary!$B$24,1)+Summary!$B$11*IFERROR(B2421/Summary!$B$25,1))-1)+ArtifactsInput!$L$34))*100,(Summary!$B$3+(IF(ArtifactsInput!$M$34,-1,1)*Summary!$B$3*(((1-Summary!$B$11)*IFERROR(B2420/Summary!$B$24,1)+Summary!$B$11*IFERROR(B2421/Summary!$B$25,1))-1)+ArtifactsInput!$L$34))/Summary!$B$3*100)</f>
        <v/>
      </c>
      <c r="AD62">
        <f>ArtifactsInput!$B$34&lt;&gt;"Not Unlocked"</f>
        <v/>
      </c>
      <c r="AE62">
        <f>IF(AD62,SUMPRODUCT(($AD$35:$AD$70)*($AC$35:$AC$70&gt;AC62))+COUNTIFS($AD$35:AD62,TRUE,$AC$35:AC62,AC62),"")</f>
        <v/>
      </c>
    </row>
    <row r="63">
      <c r="A63">
        <f>IF(29&gt;COUNTIF($AD$35:$AD$70,TRUE),"",INDEX($AA$35:$AA$70,MATCH(29,$AE$35:$AE$70,0)))</f>
        <v/>
      </c>
      <c r="B63">
        <f>IF(29&gt;COUNTIF($AD$35:$AD$70,TRUE),"",INDEX($AB$35:$AB$70,MATCH(29,$AE$35:$AE$70,0)))</f>
        <v/>
      </c>
      <c r="C63">
        <f>IF(29&gt;COUNTIF($AD$35:$AD$70,TRUE),"",INDEX($AC$35:$AC$70,MATCH(29,$AE$35:$AE$70,0)))</f>
        <v/>
      </c>
      <c r="AA63" t="inlineStr">
        <is>
          <t>Peach Tree Herb Pouch (Equip)</t>
        </is>
      </c>
      <c r="AB63">
        <f>(IF(ArtifactsInput!$M$35,-1,1)*Summary!$B$3*(((1-Summary!$B$11)*IFERROR(B2462/Summary!$B$24,1)+Summary!$B$11*IFERROR(B2463/Summary!$B$25,1))-1)+ArtifactsInput!$L$35)</f>
        <v/>
      </c>
      <c r="AC63">
        <f>IF(ArtifactsInput!$M$35,Summary!$B$3/(Summary!$B$3-(IF(ArtifactsInput!$M$35,-1,1)*Summary!$B$3*(((1-Summary!$B$11)*IFERROR(B2462/Summary!$B$24,1)+Summary!$B$11*IFERROR(B2463/Summary!$B$25,1))-1)+ArtifactsInput!$L$35))*100,(Summary!$B$3+(IF(ArtifactsInput!$M$35,-1,1)*Summary!$B$3*(((1-Summary!$B$11)*IFERROR(B2462/Summary!$B$24,1)+Summary!$B$11*IFERROR(B2463/Summary!$B$25,1))-1)+ArtifactsInput!$L$35))/Summary!$B$3*100)</f>
        <v/>
      </c>
      <c r="AD63">
        <f>ArtifactsInput!$B$35&lt;&gt;"Not Unlocked"</f>
        <v/>
      </c>
      <c r="AE63">
        <f>IF(AD63,SUMPRODUCT(($AD$35:$AD$70)*($AC$35:$AC$70&gt;AC63))+COUNTIFS($AD$35:AD63,TRUE,$AC$35:AC63,AC63),"")</f>
        <v/>
      </c>
    </row>
    <row r="64">
      <c r="A64">
        <f>IF(30&gt;COUNTIF($AD$35:$AD$70,TRUE),"",INDEX($AA$35:$AA$70,MATCH(30,$AE$35:$AE$70,0)))</f>
        <v/>
      </c>
      <c r="B64">
        <f>IF(30&gt;COUNTIF($AD$35:$AD$70,TRUE),"",INDEX($AB$35:$AB$70,MATCH(30,$AE$35:$AE$70,0)))</f>
        <v/>
      </c>
      <c r="C64">
        <f>IF(30&gt;COUNTIF($AD$35:$AD$70,TRUE),"",INDEX($AC$35:$AC$70,MATCH(30,$AE$35:$AE$70,0)))</f>
        <v/>
      </c>
      <c r="AA64" t="inlineStr">
        <is>
          <t>Candle (Equip)</t>
        </is>
      </c>
      <c r="AB64">
        <f>(IF(ArtifactsInput!$M$36,-1,1)*Summary!$B$3*(((1-Summary!$B$11)*IFERROR(B2504/Summary!$B$24,1)+Summary!$B$11*IFERROR(B2505/Summary!$B$25,1))-1)+ArtifactsInput!$L$36)</f>
        <v/>
      </c>
      <c r="AC64">
        <f>IF(ArtifactsInput!$M$36,Summary!$B$3/(Summary!$B$3-(IF(ArtifactsInput!$M$36,-1,1)*Summary!$B$3*(((1-Summary!$B$11)*IFERROR(B2504/Summary!$B$24,1)+Summary!$B$11*IFERROR(B2505/Summary!$B$25,1))-1)+ArtifactsInput!$L$36))*100,(Summary!$B$3+(IF(ArtifactsInput!$M$36,-1,1)*Summary!$B$3*(((1-Summary!$B$11)*IFERROR(B2504/Summary!$B$24,1)+Summary!$B$11*IFERROR(B2505/Summary!$B$25,1))-1)+ArtifactsInput!$L$36))/Summary!$B$3*100)</f>
        <v/>
      </c>
      <c r="AD64">
        <f>ArtifactsInput!$B$36&lt;&gt;"Not Unlocked"</f>
        <v/>
      </c>
      <c r="AE64">
        <f>IF(AD64,SUMPRODUCT(($AD$35:$AD$70)*($AC$35:$AC$70&gt;AC64))+COUNTIFS($AD$35:AD64,TRUE,$AC$35:AC64,AC64),"")</f>
        <v/>
      </c>
    </row>
    <row r="65">
      <c r="A65">
        <f>IF(31&gt;COUNTIF($AD$35:$AD$70,TRUE),"",INDEX($AA$35:$AA$70,MATCH(31,$AE$35:$AE$70,0)))</f>
        <v/>
      </c>
      <c r="B65">
        <f>IF(31&gt;COUNTIF($AD$35:$AD$70,TRUE),"",INDEX($AB$35:$AB$70,MATCH(31,$AE$35:$AE$70,0)))</f>
        <v/>
      </c>
      <c r="C65">
        <f>IF(31&gt;COUNTIF($AD$35:$AD$70,TRUE),"",INDEX($AC$35:$AC$70,MATCH(31,$AE$35:$AE$70,0)))</f>
        <v/>
      </c>
      <c r="AA65" t="inlineStr">
        <is>
          <t>Alliance Badge (Equip)</t>
        </is>
      </c>
      <c r="AB65">
        <f>(IF(ArtifactsInput!$M$37,-1,1)*Summary!$B$3*(((1-Summary!$B$11)*IFERROR(B2546/Summary!$B$24,1)+Summary!$B$11*IFERROR(B2547/Summary!$B$25,1))-1)+ArtifactsInput!$L$37)</f>
        <v/>
      </c>
      <c r="AC65">
        <f>IF(ArtifactsInput!$M$37,Summary!$B$3/(Summary!$B$3-(IF(ArtifactsInput!$M$37,-1,1)*Summary!$B$3*(((1-Summary!$B$11)*IFERROR(B2546/Summary!$B$24,1)+Summary!$B$11*IFERROR(B2547/Summary!$B$25,1))-1)+ArtifactsInput!$L$37))*100,(Summary!$B$3+(IF(ArtifactsInput!$M$37,-1,1)*Summary!$B$3*(((1-Summary!$B$11)*IFERROR(B2546/Summary!$B$24,1)+Summary!$B$11*IFERROR(B2547/Summary!$B$25,1))-1)+ArtifactsInput!$L$37))/Summary!$B$3*100)</f>
        <v/>
      </c>
      <c r="AD65">
        <f>ArtifactsInput!$B$37&lt;&gt;"Not Unlocked"</f>
        <v/>
      </c>
      <c r="AE65">
        <f>IF(AD65,SUMPRODUCT(($AD$35:$AD$70)*($AC$35:$AC$70&gt;AC65))+COUNTIFS($AD$35:AD65,TRUE,$AC$35:AC65,AC65),"")</f>
        <v/>
      </c>
    </row>
    <row r="66">
      <c r="A66">
        <f>IF(32&gt;COUNTIF($AD$35:$AD$70,TRUE),"",INDEX($AA$35:$AA$70,MATCH(32,$AE$35:$AE$70,0)))</f>
        <v/>
      </c>
      <c r="B66">
        <f>IF(32&gt;COUNTIF($AD$35:$AD$70,TRUE),"",INDEX($AB$35:$AB$70,MATCH(32,$AE$35:$AE$70,0)))</f>
        <v/>
      </c>
      <c r="C66">
        <f>IF(32&gt;COUNTIF($AD$35:$AD$70,TRUE),"",INDEX($AC$35:$AC$70,MATCH(32,$AE$35:$AE$70,0)))</f>
        <v/>
      </c>
      <c r="AA66" t="inlineStr">
        <is>
          <t>Horn Flute (Equip)</t>
        </is>
      </c>
      <c r="AB66">
        <f>(IF(ArtifactsInput!$M$38,-1,1)*Summary!$B$3*(((1-Summary!$B$11)*IFERROR(B2588/Summary!$B$24,1)+Summary!$B$11*IFERROR(B2589/Summary!$B$25,1))-1)+ArtifactsInput!$L$38)</f>
        <v/>
      </c>
      <c r="AC66">
        <f>IF(ArtifactsInput!$M$38,Summary!$B$3/(Summary!$B$3-(IF(ArtifactsInput!$M$38,-1,1)*Summary!$B$3*(((1-Summary!$B$11)*IFERROR(B2588/Summary!$B$24,1)+Summary!$B$11*IFERROR(B2589/Summary!$B$25,1))-1)+ArtifactsInput!$L$38))*100,(Summary!$B$3+(IF(ArtifactsInput!$M$38,-1,1)*Summary!$B$3*(((1-Summary!$B$11)*IFERROR(B2588/Summary!$B$24,1)+Summary!$B$11*IFERROR(B2589/Summary!$B$25,1))-1)+ArtifactsInput!$L$38))/Summary!$B$3*100)</f>
        <v/>
      </c>
      <c r="AD66">
        <f>ArtifactsInput!$B$38&lt;&gt;"Not Unlocked"</f>
        <v/>
      </c>
      <c r="AE66">
        <f>IF(AD66,SUMPRODUCT(($AD$35:$AD$70)*($AC$35:$AC$70&gt;AC66))+COUNTIFS($AD$35:AD66,TRUE,$AC$35:AC66,AC66),"")</f>
        <v/>
      </c>
    </row>
    <row r="67">
      <c r="A67">
        <f>IF(33&gt;COUNTIF($AD$35:$AD$70,TRUE),"",INDEX($AA$35:$AA$70,MATCH(33,$AE$35:$AE$70,0)))</f>
        <v/>
      </c>
      <c r="B67">
        <f>IF(33&gt;COUNTIF($AD$35:$AD$70,TRUE),"",INDEX($AB$35:$AB$70,MATCH(33,$AE$35:$AE$70,0)))</f>
        <v/>
      </c>
      <c r="C67">
        <f>IF(33&gt;COUNTIF($AD$35:$AD$70,TRUE),"",INDEX($AC$35:$AC$70,MATCH(33,$AE$35:$AE$70,0)))</f>
        <v/>
      </c>
      <c r="AA67" t="inlineStr">
        <is>
          <t>Cursed Doll (Equip)</t>
        </is>
      </c>
      <c r="AB67">
        <f>(IF(ArtifactsInput!$M$39,-1,1)*Summary!$B$3*(((1-Summary!$B$11)*IFERROR(B2630/Summary!$B$24,1)+Summary!$B$11*IFERROR(B2631/Summary!$B$25,1))-1)+ArtifactsInput!$L$39)</f>
        <v/>
      </c>
      <c r="AC67">
        <f>IF(ArtifactsInput!$M$39,Summary!$B$3/(Summary!$B$3-(IF(ArtifactsInput!$M$39,-1,1)*Summary!$B$3*(((1-Summary!$B$11)*IFERROR(B2630/Summary!$B$24,1)+Summary!$B$11*IFERROR(B2631/Summary!$B$25,1))-1)+ArtifactsInput!$L$39))*100,(Summary!$B$3+(IF(ArtifactsInput!$M$39,-1,1)*Summary!$B$3*(((1-Summary!$B$11)*IFERROR(B2630/Summary!$B$24,1)+Summary!$B$11*IFERROR(B2631/Summary!$B$25,1))-1)+ArtifactsInput!$L$39))/Summary!$B$3*100)</f>
        <v/>
      </c>
      <c r="AD67">
        <f>ArtifactsInput!$B$39&lt;&gt;"Not Unlocked"</f>
        <v/>
      </c>
      <c r="AE67">
        <f>IF(AD67,SUMPRODUCT(($AD$35:$AD$70)*($AC$35:$AC$70&gt;AC67))+COUNTIFS($AD$35:AD67,TRUE,$AC$35:AC67,AC67),"")</f>
        <v/>
      </c>
    </row>
    <row r="68">
      <c r="A68">
        <f>IF(34&gt;COUNTIF($AD$35:$AD$70,TRUE),"",INDEX($AA$35:$AA$70,MATCH(34,$AE$35:$AE$70,0)))</f>
        <v/>
      </c>
      <c r="B68">
        <f>IF(34&gt;COUNTIF($AD$35:$AD$70,TRUE),"",INDEX($AB$35:$AB$70,MATCH(34,$AE$35:$AE$70,0)))</f>
        <v/>
      </c>
      <c r="C68">
        <f>IF(34&gt;COUNTIF($AD$35:$AD$70,TRUE),"",INDEX($AC$35:$AC$70,MATCH(34,$AE$35:$AE$70,0)))</f>
        <v/>
      </c>
      <c r="AA68" t="inlineStr">
        <is>
          <t>Reindeer's Spear (Equip)</t>
        </is>
      </c>
      <c r="AB68">
        <f>(IF(ArtifactsInput!$M$40,-1,1)*Summary!$B$3*(((1-Summary!$B$11)*IFERROR(B2672/Summary!$B$24,1)+Summary!$B$11*IFERROR(B2673/Summary!$B$25,1))-1)+ArtifactsInput!$L$40)</f>
        <v/>
      </c>
      <c r="AC68">
        <f>IF(ArtifactsInput!$M$40,Summary!$B$3/(Summary!$B$3-(IF(ArtifactsInput!$M$40,-1,1)*Summary!$B$3*(((1-Summary!$B$11)*IFERROR(B2672/Summary!$B$24,1)+Summary!$B$11*IFERROR(B2673/Summary!$B$25,1))-1)+ArtifactsInput!$L$40))*100,(Summary!$B$3+(IF(ArtifactsInput!$M$40,-1,1)*Summary!$B$3*(((1-Summary!$B$11)*IFERROR(B2672/Summary!$B$24,1)+Summary!$B$11*IFERROR(B2673/Summary!$B$25,1))-1)+ArtifactsInput!$L$40))/Summary!$B$3*100)</f>
        <v/>
      </c>
      <c r="AD68">
        <f>ArtifactsInput!$B$40&lt;&gt;"Not Unlocked"</f>
        <v/>
      </c>
      <c r="AE68">
        <f>IF(AD68,SUMPRODUCT(($AD$35:$AD$70)*($AC$35:$AC$70&gt;AC68))+COUNTIFS($AD$35:AD68,TRUE,$AC$35:AC68,AC68),"")</f>
        <v/>
      </c>
    </row>
    <row r="69">
      <c r="A69">
        <f>IF(35&gt;COUNTIF($AD$35:$AD$70,TRUE),"",INDEX($AA$35:$AA$70,MATCH(35,$AE$35:$AE$70,0)))</f>
        <v/>
      </c>
      <c r="B69">
        <f>IF(35&gt;COUNTIF($AD$35:$AD$70,TRUE),"",INDEX($AB$35:$AB$70,MATCH(35,$AE$35:$AE$70,0)))</f>
        <v/>
      </c>
      <c r="C69">
        <f>IF(35&gt;COUNTIF($AD$35:$AD$70,TRUE),"",INDEX($AC$35:$AC$70,MATCH(35,$AE$35:$AE$70,0)))</f>
        <v/>
      </c>
      <c r="AA69" t="inlineStr">
        <is>
          <t>Secret Map (Equip)</t>
        </is>
      </c>
      <c r="AB69">
        <f>(IF(ArtifactsInput!$M$41,-1,1)*Summary!$B$3*(((1-Summary!$B$11)*IFERROR(B2714/Summary!$B$24,1)+Summary!$B$11*IFERROR(B2715/Summary!$B$25,1))-1)+ArtifactsInput!$L$41)</f>
        <v/>
      </c>
      <c r="AC69">
        <f>IF(ArtifactsInput!$M$41,Summary!$B$3/(Summary!$B$3-(IF(ArtifactsInput!$M$41,-1,1)*Summary!$B$3*(((1-Summary!$B$11)*IFERROR(B2714/Summary!$B$24,1)+Summary!$B$11*IFERROR(B2715/Summary!$B$25,1))-1)+ArtifactsInput!$L$41))*100,(Summary!$B$3+(IF(ArtifactsInput!$M$41,-1,1)*Summary!$B$3*(((1-Summary!$B$11)*IFERROR(B2714/Summary!$B$24,1)+Summary!$B$11*IFERROR(B2715/Summary!$B$25,1))-1)+ArtifactsInput!$L$41))/Summary!$B$3*100)</f>
        <v/>
      </c>
      <c r="AD69">
        <f>ArtifactsInput!$B$41&lt;&gt;"Not Unlocked"</f>
        <v/>
      </c>
      <c r="AE69">
        <f>IF(AD69,SUMPRODUCT(($AD$35:$AD$70)*($AC$35:$AC$70&gt;AC69))+COUNTIFS($AD$35:AD69,TRUE,$AC$35:AC69,AC69),"")</f>
        <v/>
      </c>
    </row>
    <row r="70">
      <c r="A70">
        <f>IF(36&gt;COUNTIF($AD$35:$AD$70,TRUE),"",INDEX($AA$35:$AA$70,MATCH(36,$AE$35:$AE$70,0)))</f>
        <v/>
      </c>
      <c r="B70">
        <f>IF(36&gt;COUNTIF($AD$35:$AD$70,TRUE),"",INDEX($AB$35:$AB$70,MATCH(36,$AE$35:$AE$70,0)))</f>
        <v/>
      </c>
      <c r="C70">
        <f>IF(36&gt;COUNTIF($AD$35:$AD$70,TRUE),"",INDEX($AC$35:$AC$70,MATCH(36,$AE$35:$AE$70,0)))</f>
        <v/>
      </c>
      <c r="AA70" t="inlineStr">
        <is>
          <t>Ring of Cycles (Equip)</t>
        </is>
      </c>
      <c r="AB70">
        <f>(IF(ArtifactsInput!$M$42,-1,1)*Summary!$B$3*(((1-Summary!$B$11)*IFERROR(B2756/Summary!$B$24,1)+Summary!$B$11*IFERROR(B2757/Summary!$B$25,1))-1)+ArtifactsInput!$L$42)</f>
        <v/>
      </c>
      <c r="AC70">
        <f>IF(ArtifactsInput!$M$42,Summary!$B$3/(Summary!$B$3-(IF(ArtifactsInput!$M$42,-1,1)*Summary!$B$3*(((1-Summary!$B$11)*IFERROR(B2756/Summary!$B$24,1)+Summary!$B$11*IFERROR(B2757/Summary!$B$25,1))-1)+ArtifactsInput!$L$42))*100,(Summary!$B$3+(IF(ArtifactsInput!$M$42,-1,1)*Summary!$B$3*(((1-Summary!$B$11)*IFERROR(B2756/Summary!$B$24,1)+Summary!$B$11*IFERROR(B2757/Summary!$B$25,1))-1)+ArtifactsInput!$L$42))/Summary!$B$3*100)</f>
        <v/>
      </c>
      <c r="AD70">
        <f>ArtifactsInput!$B$42&lt;&gt;"Not Unlocked"</f>
        <v/>
      </c>
      <c r="AE70">
        <f>IF(AD70,SUMPRODUCT(($AD$35:$AD$70)*($AC$35:$AC$70&gt;AC70))+COUNTIFS($AD$35:AD70,TRUE,$AC$35:AC70,AC70),"")</f>
        <v/>
      </c>
    </row>
    <row r="73">
      <c r="A73" s="6" t="inlineStr">
        <is>
          <t>Stat: Flat STR</t>
        </is>
      </c>
    </row>
    <row r="74">
      <c r="A74" s="5" t="inlineStr">
        <is>
          <t>Key</t>
        </is>
      </c>
      <c r="B74" s="5" t="inlineStr">
        <is>
          <t>Name</t>
        </is>
      </c>
      <c r="C74" s="5" t="inlineStr">
        <is>
          <t>Unlocked</t>
        </is>
      </c>
      <c r="D74" s="5" t="inlineStr">
        <is>
          <t>InputLevel</t>
        </is>
      </c>
      <c r="E74" s="5" t="inlineStr">
        <is>
          <t>Factor</t>
        </is>
      </c>
      <c r="F74" s="5" t="inlineStr">
        <is>
          <t>CoefficientPercent</t>
        </is>
      </c>
      <c r="G74" s="5" t="inlineStr">
        <is>
          <t>EffectiveHits</t>
        </is>
      </c>
      <c r="H74" s="5" t="inlineStr">
        <is>
          <t>ProcProbability</t>
        </is>
      </c>
      <c r="I74" s="5" t="inlineStr">
        <is>
          <t>MapleHeroMultiplier</t>
        </is>
      </c>
      <c r="J74" s="5" t="inlineStr">
        <is>
          <t>BaseDamage</t>
        </is>
      </c>
      <c r="K74" s="5" t="inlineStr">
        <is>
          <t>BaseHitDamage</t>
        </is>
      </c>
      <c r="L74" s="5" t="inlineStr">
        <is>
          <t>NonCritAvg</t>
        </is>
      </c>
      <c r="M74" s="5" t="inlineStr">
        <is>
          <t>CritAvg</t>
        </is>
      </c>
      <c r="N74" s="5" t="inlineStr">
        <is>
          <t>ExpectedDamage(perHit)</t>
        </is>
      </c>
      <c r="O74" s="5" t="inlineStr">
        <is>
          <t>DPS</t>
        </is>
      </c>
      <c r="P74" s="5" t="inlineStr">
        <is>
          <t>% of Total</t>
        </is>
      </c>
      <c r="Q74" s="5" t="inlineStr">
        <is>
          <t>InvCooldown</t>
        </is>
      </c>
      <c r="R74" s="5" t="inlineStr">
        <is>
          <t>CastsInFight</t>
        </is>
      </c>
      <c r="S74" s="5" t="inlineStr">
        <is>
          <t>HitRate(perSec)</t>
        </is>
      </c>
      <c r="U74" t="inlineStr">
        <is>
          <t>helpers</t>
        </is>
      </c>
    </row>
    <row r="75">
      <c r="A75">
        <f>Skills!A2</f>
        <v/>
      </c>
      <c r="B75">
        <f>Skills!B2</f>
        <v/>
      </c>
      <c r="C75">
        <f>Inputs!$B$3&gt;=100</f>
        <v/>
      </c>
      <c r="D75" t="inlineStr"/>
      <c r="E75" t="inlineStr"/>
      <c r="F75">
        <f>U77+Skills!O2</f>
        <v/>
      </c>
      <c r="G75">
        <f>Skills!G2*IF(Skills!H2&gt;0,INT(IF(Inputs!$B$39="pvp",MIN(Skills!I2,15),Skills!I2)/Skills!H2+0.000000001),1)</f>
        <v/>
      </c>
      <c r="H75">
        <f>1-(1-Skills!J2/100)^Skills!K2</f>
        <v/>
      </c>
      <c r="I75" t="inlineStr">
        <is>
          <t>1</t>
        </is>
      </c>
      <c r="J75">
        <f>((Inputs!$B$6*(1+Inputs!$B$7/100))+((((Inputs!$B$13+1)*(1+Inputs!$B$14/100))-(Inputs!$B$13*(1+Inputs!$B$14/100)))+0.25*(Inputs!$B$15-Inputs!$B$15))*(1+Inputs!$B$7/100))*(F75/100)</f>
        <v/>
      </c>
      <c r="K75">
        <f>J75*(1+((((Inputs!$B$13+1)+IF(Inputs!$B$3&gt;=38,(10*INDEX(FactorTable!$B$2:$Y$301, MATCH(ROUND(MIN(300,MAX(1,Inputs!$B$3)),0), FactorTable!$A$2:$A$301,0), 23)/1000)/100*(Inputs!$B$8*(1+Inputs!$B$9/100)),0))*(1+Inputs!$B$14/100))*0.01+Inputs!$B$15*0.0025)/100)*(1+Inputs!$B$16/100)*(1+Inputs!$B$17/100)*(5000/(6000+Inputs!$B$43*(1-(Inputs!$B$20+0)/100)))*(1+(Inputs!$B$25+((C98=TRUE)*(F98-Calc!F25))+((C99=TRUE)*(F99-Calc!F26))+B108)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gt;=100),MIN(100,((Inputs!$B$10+0+B102+(ArtifactsInput!$M$24-ArtifactsInput!$M$24)*CHOOSE(ArtifactsInput!$N$24+1,10,12,14,16,18,20)+IF(ArtifactsInput!$M$10,CHOOSE(ArtifactsInput!$N$10+1,15,18,21,24,27,30)*(IF(Inputs!$B$39="pvp",MIN(15,15)/15,IF(AND(Inputs!$B$39&lt;&gt;"pvp",Inputs!$B$44&gt;0),MIN(15,Inputs!$B$44)/(Inputs!$B$44),0))),0)))-100),0))*CHOOSE(ArtifactsInput!$N$42+1,0.6,0.72,0.84,0.96,1.08,1.2))),Inputs!$B$19+((C96=TRUE)*(F96-Calc!F23))+(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gt;=100),CHOOSE(ArtifactsInput!$N$42+1,40,48,56,64,72,80),0))))/100)*((1+(((C86=TRUE)*F86*IF(AND(Inputs!$B$39&lt;&gt;"pvp",Inputs!$B$44&gt;0),(((R86-1)*MIN((Skills!T13*(1+Inputs!$B$35/100)),(1/Q86))+MIN((Skills!T13*(1+Inputs!$B$35/100)),MAX(0,Inputs!$B$44-((R86-1)*(1/Q86)))))/Inputs!$B$44),IF(Inputs!$B$39="pvp",MIN((Skills!T13*(1+Inputs!$B$35/100)),15)/15,MIN(1,(Skills!T13*(1+Inputs!$B$35/100))/(1/Q86)))))+((C87=TRUE)*F87*IF(AND(Inputs!$B$39&lt;&gt;"pvp",Inputs!$B$44&gt;0),(((R87-1)*MIN((Skills!T14*(1+Inputs!$B$35/100)),(1/Q87))+MIN((Skills!T14*(1+Inputs!$B$35/100)),MAX(0,Inputs!$B$44-((R87-1)*(1/Q87)))))/Inputs!$B$44),IF(Inputs!$B$39="pvp",MIN((Skills!T14*(1+Inputs!$B$35/100)),15)/15,MIN(1,(Skills!T14*(1+Inputs!$B$35/100))/(1/Q87)))))+((C88=TRUE)*F88*IF(AND(Inputs!$B$39&lt;&gt;"pvp",Inputs!$B$44&gt;0),(((R88-1)*MIN((Skills!T15*(1+Inputs!$B$35/100)),(1/Q88))+MIN((Skills!T15*(1+Inputs!$B$35/100)),MAX(0,Inputs!$B$44-((R88-1)*(1/Q88)))))/Inputs!$B$44),IF(Inputs!$B$39="pvp",MIN((Skills!T15*(1+Inputs!$B$35/100)),15)/15,MIN(1,(Skills!T15*(1+Inputs!$B$35/100))/(1/Q88)))))+((C89=TRUE)*F89*IF(AND(Inputs!$B$39&lt;&gt;"pvp",Inputs!$B$44&gt;0),(((R89-1)*MIN((Skills!T16*(1+Inputs!$B$35/100)),(1/Q89))+MIN((Skills!T16*(1+Inputs!$B$35/100)),MAX(0,Inputs!$B$44-((R89-1)*(1/Q89)))))/Inputs!$B$44),IF(Inputs!$B$39="pvp",MIN((Skills!T16*(1+Inputs!$B$35/100)),15)/15,MIN(1,(Skills!T16*(1+Inputs!$B$35/100))/(1/Q89)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75)</f>
        <v/>
      </c>
      <c r="L75">
        <f>K75*(MIN(Inputs!$B$23+((C95=TRUE)*(F95-Calc!F22)),(Inputs!$B$24+((C97=TRUE)*(F97-Calc!F24))+(IF(ArtifactsInput!$M$15,CHOOSE(ArtifactsInput!$N$15+1,25,30,35,40,45,50)/100*(Inputs!$B$12-Inputs!$B$12),0))))/100+(Inputs!$B$24+((C97=TRUE)*(F97-Calc!F24))+(IF(ArtifactsInput!$M$15,CHOOSE(ArtifactsInput!$N$15+1,25,30,35,40,45,50)/100*(Inputs!$B$12-Inputs!$B$12),0)))/100)/2</f>
        <v/>
      </c>
      <c r="M75">
        <f>L75*(1+(Inputs!$B$11+0+B107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75">
        <f>L75*(1-MIN((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75*(MIN((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5">
        <f>(1-Summary!$B$11)*T75+Summary!$B$11*V75</f>
        <v/>
      </c>
      <c r="P75">
        <f>IF(B112=0,0,O75/B112)</f>
        <v/>
      </c>
      <c r="Q75" t="n">
        <v>0</v>
      </c>
      <c r="R75" t="n">
        <v>0</v>
      </c>
      <c r="S75">
        <f>IFERROR(O75/N75,0)</f>
        <v/>
      </c>
      <c r="T75">
        <f>IF(C75,(Skills!G2*N75*B106)*IF(Inputs!$B$39="pvp",1,1+(Inputs!$B$21+0+Skills!P2+((C90=TRUE)*F90*IF(AND(Inputs!$B$39&lt;&gt;"pvp",Inputs!$B$44&gt;0),(((R90-1)*MIN((Skills!T17*(1+Inputs!$B$35/100)),(1/Q90))+MIN((Skills!T17*(1+Inputs!$B$35/100)),MAX(0,Inputs!$B$44-((R90-1)*(1/Q90)))))/Inputs!$B$44),IF(Inputs!$B$39="pvp",MIN((Skills!T17*(1+Inputs!$B$35/100)),15)/15,MIN(1,(Skills!T17*(1+Inputs!$B$35/100))/(1/Q90)))))+((C78=TRUE)*IF(Inputs!$B$3&gt;=126,10*MIN(1,15*Q78),0))+((C87=TRUE)*IF(Inputs!$B$39="pvp",20,(1-Summary!$B$11)*(20)+Summary!$B$11*(0))*IF(AND(Inputs!$B$39&lt;&gt;"pvp",Inputs!$B$44&gt;0),(((R87-1)*MIN((Skills!T14*(1+Inputs!$B$35/100)),(1/Q87))+MIN((Skills!T14*(1+Inputs!$B$35/100)),MAX(0,Inputs!$B$44-((R87-1)*(1/Q87)))))/Inputs!$B$44),IF(Inputs!$B$39="pvp",MIN((Skills!T14*(1+Inputs!$B$35/100)),15)/15,MIN(1,(Skills!T14*(1+Inputs!$B$35/100))/(1/Q87)))))+((C86=TRUE)*IF(Inputs!$B$3&gt;=82,IF(Inputs!$B$39="pvp",20,(1-Summary!$B$11)*(20)+Summary!$B$11*(0)),0)*IF(AND(Inputs!$B$39&lt;&gt;"pvp",Inputs!$B$44&gt;0),(((R86-1)*MIN((Skills!T13*(1+Inputs!$B$35/100)),(1/Q86))+MIN((Skills!T13*(1+Inputs!$B$35/100)),MAX(0,Inputs!$B$44-((R86-1)*(1/Q86)))))/Inputs!$B$44),IF(Inputs!$B$39="pvp",MIN((Skills!T13*(1+Inputs!$B$35/100)),15)/15,MIN(1,(Skills!T13*(1+Inputs!$B$35/100))/(1/Q86)))))+(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75*(1-MIN(100,(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75*(MIN(100,(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75*(1-MIN(100,(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75*(MIN(100,(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75">
        <f>MAX(0,(Inputs!$B$3-100)*3)+Inputs!$B$29+Inputs!$B$30</f>
        <v/>
      </c>
      <c r="V75">
        <f>IF(C75,(Skills!G2*N75*B106)*IF(Inputs!$B$39="pvp",1,(1+(Inputs!$B$22+Skills!Q2+((C90=TRUE)*F90*IF(AND(Inputs!$B$39&lt;&gt;"pvp",Inputs!$B$44&gt;0),(((R90-1)*MIN((Skills!T17*(1+Inputs!$B$35/100)),(1/Q90))+MIN((Skills!T17*(1+Inputs!$B$35/100)),MAX(0,Inputs!$B$44-((R90-1)*(1/Q90)))))/Inputs!$B$44),IF(Inputs!$B$39="pvp",MIN((Skills!T17*(1+Inputs!$B$35/100)),15)/15,MIN(1,(Skills!T17*(1+Inputs!$B$35/100))/(1/Q90)))))+((C78=TRUE)*IF(Inputs!$B$3&gt;=126,10*MIN(1,15*Q78),0))+((C87=TRUE)*IF(Inputs!$B$39="pvp",20,(1-Summary!$B$11)*(20)+Summary!$B$11*(0))*IF(AND(Inputs!$B$39&lt;&gt;"pvp",Inputs!$B$44&gt;0),(((R87-1)*MIN((Skills!T14*(1+Inputs!$B$35/100)),(1/Q87))+MIN((Skills!T14*(1+Inputs!$B$35/100)),MAX(0,Inputs!$B$44-((R87-1)*(1/Q87)))))/Inputs!$B$44),IF(Inputs!$B$39="pvp",MIN((Skills!T14*(1+Inputs!$B$35/100)),15)/15,MIN(1,(Skills!T14*(1+Inputs!$B$35/100))/(1/Q87)))))+((C86=TRUE)*IF(Inputs!$B$3&gt;=82,IF(Inputs!$B$39="pvp",20,(1-Summary!$B$11)*(20)+Summary!$B$11*(0)),0)*IF(AND(Inputs!$B$39&lt;&gt;"pvp",Inputs!$B$44&gt;0),(((R86-1)*MIN((Skills!T13*(1+Inputs!$B$35/100)),(1/Q86))+MIN((Skills!T13*(1+Inputs!$B$35/100)),MAX(0,Inputs!$B$44-((R86-1)*(1/Q86)))))/Inputs!$B$44),IF(Inputs!$B$39="pvp",MIN((Skills!T13*(1+Inputs!$B$35/100)),15)/15,MIN(1,(Skills!T13*(1+Inputs!$B$35/100))/(1/Q86)))))+(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6">
      <c r="A76">
        <f>Skills!A3</f>
        <v/>
      </c>
      <c r="B76">
        <f>Skills!B3</f>
        <v/>
      </c>
      <c r="C76">
        <f>Inputs!$B$3&gt;=50</f>
        <v/>
      </c>
      <c r="D76">
        <f>IF(Skills!C3=1,60+Inputs!$B$26+Inputs!$B$30,IF(Skills!C3=2,90+Inputs!$B$27+Inputs!$B$30,IF(Skills!C3=3,120+Inputs!$B$28+Inputs!$B$30,MAX(0,(Inputs!$B$3-100)*3)+Inputs!$B$29+Inputs!$B$30)))</f>
        <v/>
      </c>
      <c r="E76">
        <f>INDEX(FactorTable!$B$2:$Y$301, MATCH(ROUND(MIN(300,MAX(1,D76)),0), FactorTable!$A$2:$A$301,0), Skills!M3+1)</f>
        <v/>
      </c>
      <c r="F76">
        <f>IF(Skills!N3=TRUE,(Skills!L3/10)*(E76/1000),Skills!L3/10)+Skills!O3</f>
        <v/>
      </c>
      <c r="G76" t="inlineStr"/>
      <c r="H76" t="inlineStr"/>
      <c r="I76" t="inlineStr">
        <is>
          <t>1</t>
        </is>
      </c>
      <c r="J76" t="inlineStr"/>
      <c r="K76" t="inlineStr"/>
      <c r="L76" t="inlineStr"/>
      <c r="M76" t="inlineStr"/>
      <c r="N76" t="inlineStr"/>
      <c r="O76" t="inlineStr"/>
      <c r="P76" t="inlineStr"/>
      <c r="Q76" t="inlineStr"/>
      <c r="R76" t="inlineStr"/>
      <c r="S76" t="inlineStr"/>
      <c r="U76">
        <f>INDEX(FactorTable!$B$2:$Y$301, MATCH(ROUND(MIN(300,MAX(1,U75)),0), FactorTable!$A$2:$A$301,0), 22)</f>
        <v/>
      </c>
    </row>
    <row r="77">
      <c r="A77">
        <f>Skills!A4</f>
        <v/>
      </c>
      <c r="B77">
        <f>Skills!B4</f>
        <v/>
      </c>
      <c r="C77">
        <f>Inputs!$B$3&gt;=105</f>
        <v/>
      </c>
      <c r="D77">
        <f>IF(Skills!C4=1,60+Inputs!$B$26+Inputs!$B$30,IF(Skills!C4=2,90+Inputs!$B$27+Inputs!$B$30,IF(Skills!C4=3,120+Inputs!$B$28+Inputs!$B$30,MAX(0,(Inputs!$B$3-100)*3)+Inputs!$B$29+Inputs!$B$30)))</f>
        <v/>
      </c>
      <c r="E77">
        <f>INDEX(FactorTable!$B$2:$Y$301, MATCH(ROUND(MIN(300,MAX(1,D77)),0), FactorTable!$A$2:$A$301,0), Skills!M4+1)</f>
        <v/>
      </c>
      <c r="F77">
        <f>IF(Skills!N4=TRUE,(Skills!L4/10)*(E77/1000),Skills!L4/10)+Skills!O4</f>
        <v/>
      </c>
      <c r="G77" t="inlineStr"/>
      <c r="H77" t="inlineStr"/>
      <c r="I77" t="inlineStr">
        <is>
          <t>1</t>
        </is>
      </c>
      <c r="J77" t="inlineStr"/>
      <c r="K77" t="inlineStr"/>
      <c r="L77" t="inlineStr"/>
      <c r="M77" t="inlineStr"/>
      <c r="N77" t="inlineStr"/>
      <c r="O77" t="inlineStr"/>
      <c r="P77" t="inlineStr"/>
      <c r="Q77" t="inlineStr"/>
      <c r="R77" t="inlineStr"/>
      <c r="S77" t="inlineStr"/>
      <c r="U77">
        <f>290*U76/1000</f>
        <v/>
      </c>
    </row>
    <row r="78">
      <c r="A78">
        <f>Skills!A5</f>
        <v/>
      </c>
      <c r="B78">
        <f>Skills!B5</f>
        <v/>
      </c>
      <c r="C78">
        <f>Inputs!$B$3&gt;=117</f>
        <v/>
      </c>
      <c r="D78">
        <f>IF(Skills!C5=1,60+Inputs!$B$26+Inputs!$B$30,IF(Skills!C5=2,90+Inputs!$B$27+Inputs!$B$30,IF(Skills!C5=3,120+Inputs!$B$28+Inputs!$B$30,MAX(0,(Inputs!$B$3-100)*3)+Inputs!$B$29+Inputs!$B$30)))</f>
        <v/>
      </c>
      <c r="E78">
        <f>INDEX(FactorTable!$B$2:$Y$301, MATCH(ROUND(MIN(300,MAX(1,D78)),0), FactorTable!$A$2:$A$301,0), Skills!M5+1)</f>
        <v/>
      </c>
      <c r="F78">
        <f>IF(Skills!N5=TRUE,(Skills!L5/10)*(E78/1000),Skills!L5/10)+Skills!O5</f>
        <v/>
      </c>
      <c r="G78">
        <f>Skills!G5*IF(Skills!H5&gt;0,INT(IF(Inputs!$B$39="pvp",MIN(Skills!I5,15),Skills!I5)/Skills!H5+0.000000001),1)</f>
        <v/>
      </c>
      <c r="H78">
        <f>1-(1-Skills!J5/100)^Skills!K5</f>
        <v/>
      </c>
      <c r="I78" t="inlineStr">
        <is>
          <t>1</t>
        </is>
      </c>
      <c r="J78">
        <f>((Inputs!$B$6*(1+Inputs!$B$7/100))+((((Inputs!$B$13+1)*(1+Inputs!$B$14/100))-(Inputs!$B$13*(1+Inputs!$B$14/100)))+0.25*(Inputs!$B$15-Inputs!$B$15))*(1+Inputs!$B$7/100))*(F78/100)</f>
        <v/>
      </c>
      <c r="K78">
        <f>J78*(1+((((Inputs!$B$13+1)+IF(Inputs!$B$3&gt;=38,(10*INDEX(FactorTable!$B$2:$Y$301, MATCH(ROUND(MIN(300,MAX(1,Inputs!$B$3)),0), FactorTable!$A$2:$A$301,0), 23)/1000)/100*(Inputs!$B$8*(1+Inputs!$B$9/100)),0))*(1+Inputs!$B$14/100))*0.01+Inputs!$B$15*0.0025)/100)*(1+Inputs!$B$16/100)*(1+Inputs!$B$17/100)*(5000/(6000+Inputs!$B$43*(1-(Inputs!$B$20+0)/100)))*(1+(Inputs!$B$25+((C98=TRUE)*(F98-Calc!F25))+((C99=TRUE)*(F99-Calc!F26))+B108)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gt;=100),MIN(100,((Inputs!$B$10+0+B102+(ArtifactsInput!$M$24-ArtifactsInput!$M$24)*CHOOSE(ArtifactsInput!$N$24+1,10,12,14,16,18,20)+IF(ArtifactsInput!$M$10,CHOOSE(ArtifactsInput!$N$10+1,15,18,21,24,27,30)*(IF(Inputs!$B$39="pvp",MIN(15,15)/15,IF(AND(Inputs!$B$39&lt;&gt;"pvp",Inputs!$B$44&gt;0),MIN(15,Inputs!$B$44)/(Inputs!$B$44),0))),0)))-100),0))*CHOOSE(ArtifactsInput!$N$42+1,0.6,0.72,0.84,0.96,1.08,1.2))),Inputs!$B$19+((C96=TRUE)*(F96-Calc!F23))+(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gt;=100),CHOOSE(ArtifactsInput!$N$42+1,40,48,56,64,72,80),0))))/100)*((1+(((C86=TRUE)*F86*IF(AND(Inputs!$B$39&lt;&gt;"pvp",Inputs!$B$44&gt;0),(((R86-1)*MIN((Skills!T13*(1+Inputs!$B$35/100)),(1/Q86))+MIN((Skills!T13*(1+Inputs!$B$35/100)),MAX(0,Inputs!$B$44-((R86-1)*(1/Q86)))))/Inputs!$B$44),IF(Inputs!$B$39="pvp",MIN((Skills!T13*(1+Inputs!$B$35/100)),15)/15,MIN(1,(Skills!T13*(1+Inputs!$B$35/100))/(1/Q86)))))+((C87=TRUE)*F87*IF(AND(Inputs!$B$39&lt;&gt;"pvp",Inputs!$B$44&gt;0),(((R87-1)*MIN((Skills!T14*(1+Inputs!$B$35/100)),(1/Q87))+MIN((Skills!T14*(1+Inputs!$B$35/100)),MAX(0,Inputs!$B$44-((R87-1)*(1/Q87)))))/Inputs!$B$44),IF(Inputs!$B$39="pvp",MIN((Skills!T14*(1+Inputs!$B$35/100)),15)/15,MIN(1,(Skills!T14*(1+Inputs!$B$35/100))/(1/Q87)))))+((C88=TRUE)*F88*IF(AND(Inputs!$B$39&lt;&gt;"pvp",Inputs!$B$44&gt;0),(((R88-1)*MIN((Skills!T15*(1+Inputs!$B$35/100)),(1/Q88))+MIN((Skills!T15*(1+Inputs!$B$35/100)),MAX(0,Inputs!$B$44-((R88-1)*(1/Q88)))))/Inputs!$B$44),IF(Inputs!$B$39="pvp",MIN((Skills!T15*(1+Inputs!$B$35/100)),15)/15,MIN(1,(Skills!T15*(1+Inputs!$B$35/100))/(1/Q88)))))+((C89=TRUE)*F89*IF(AND(Inputs!$B$39&lt;&gt;"pvp",Inputs!$B$44&gt;0),(((R89-1)*MIN((Skills!T16*(1+Inputs!$B$35/100)),(1/Q89))+MIN((Skills!T16*(1+Inputs!$B$35/100)),MAX(0,Inputs!$B$44-((R89-1)*(1/Q89)))))/Inputs!$B$44),IF(Inputs!$B$39="pvp",MIN((Skills!T16*(1+Inputs!$B$35/100)),15)/15,MIN(1,(Skills!T16*(1+Inputs!$B$35/100))/(1/Q89)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78)</f>
        <v/>
      </c>
      <c r="L78">
        <f>K78*(MIN(Inputs!$B$23+((C95=TRUE)*(F95-Calc!F22)),(Inputs!$B$24+((C97=TRUE)*(F97-Calc!F24))+(IF(ArtifactsInput!$M$15,CHOOSE(ArtifactsInput!$N$15+1,25,30,35,40,45,50)/100*(Inputs!$B$12-Inputs!$B$12),0))))/100+(Inputs!$B$24+((C97=TRUE)*(F97-Calc!F24))+(IF(ArtifactsInput!$M$15,CHOOSE(ArtifactsInput!$N$15+1,25,30,35,40,45,50)/100*(Inputs!$B$12-Inputs!$B$12),0)))/100)/2</f>
        <v/>
      </c>
      <c r="M78">
        <f>L78*(1+(Inputs!$B$11+0+B107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78">
        <f>L78*(1-MIN((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78*(MIN((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8">
        <f>(1-Summary!$B$11)*T78+Summary!$B$11*V78</f>
        <v/>
      </c>
      <c r="P78">
        <f>IF(B112=0,0,O78/B112)</f>
        <v/>
      </c>
      <c r="Q78">
        <f>IFERROR(1/IF(Inputs!$B$39="pvp",15,MAX(0.1,Skills!D5-IF(TRUE=TRUE,Inputs!$B$33,0))),0)</f>
        <v/>
      </c>
      <c r="R78">
        <f>IF(AND(Inputs!$B$39&lt;&gt;"pvp",Inputs!$B$44&gt;0),IF(MAX(0,Inputs!$B$44-B109)&lt;=0,0,(INT(MAX(0,Inputs!$B$44-B109)/IF(Inputs!$B$39="pvp",15,MAX(0.1,Skills!D5-IF(TRUE=TRUE,Inputs!$B$33,0))))+1)),0)</f>
        <v/>
      </c>
      <c r="S78">
        <f>IFERROR(O78/N78,0)</f>
        <v/>
      </c>
      <c r="T78">
        <f>IF(C78,(H78*N78*IF(AND(Inputs!$B$39&lt;&gt;"pvp",Inputs!$B$44&gt;0),((Skills!G5*((R78-1)*IF(Skills!H5&gt;0,INT(Skills!I5/Skills!H5+0.000000001),1)+IF(Skills!H5&gt;0,INT(MIN(Skills!I5,MAX(0,MAX(0,Inputs!$B$44-B109)-((R78-1)*IF(Inputs!$B$39="pvp",15,MAX(0.1,Skills!D5-IF(TRUE=TRUE,Inputs!$B$33,0))))))/Skills!H5+0.000000001),1)))/Inputs!$B$44),G78*Q78))*IF(Inputs!$B$39="pvp",1,1+(Inputs!$B$21+0+Skills!P5+((C90=TRUE)*F90*IF(AND(Inputs!$B$39&lt;&gt;"pvp",Inputs!$B$44&gt;0),(((R90-1)*MIN((Skills!T17*(1+Inputs!$B$35/100)),(1/Q90))+MIN((Skills!T17*(1+Inputs!$B$35/100)),MAX(0,Inputs!$B$44-((R90-1)*(1/Q90)))))/Inputs!$B$44),IF(Inputs!$B$39="pvp",MIN((Skills!T17*(1+Inputs!$B$35/100)),15)/15,MIN(1,(Skills!T17*(1+Inputs!$B$35/100))/(1/Q90)))))+((C78=TRUE)*IF(Inputs!$B$3&gt;=126,10*MIN(1,15*Q78),0))+((C87=TRUE)*IF(Inputs!$B$39="pvp",20,(1-Summary!$B$11)*(20)+Summary!$B$11*(0))*IF(AND(Inputs!$B$39&lt;&gt;"pvp",Inputs!$B$44&gt;0),(((R87-1)*MIN((Skills!T14*(1+Inputs!$B$35/100)),(1/Q87))+MIN((Skills!T14*(1+Inputs!$B$35/100)),MAX(0,Inputs!$B$44-((R87-1)*(1/Q87)))))/Inputs!$B$44),IF(Inputs!$B$39="pvp",MIN((Skills!T14*(1+Inputs!$B$35/100)),15)/15,MIN(1,(Skills!T14*(1+Inputs!$B$35/100))/(1/Q87)))))+((C86=TRUE)*IF(Inputs!$B$3&gt;=82,IF(Inputs!$B$39="pvp",20,(1-Summary!$B$11)*(20)+Summary!$B$11*(0)),0)*IF(AND(Inputs!$B$39&lt;&gt;"pvp",Inputs!$B$44&gt;0),(((R86-1)*MIN((Skills!T13*(1+Inputs!$B$35/100)),(1/Q86))+MIN((Skills!T13*(1+Inputs!$B$35/100)),MAX(0,Inputs!$B$44-((R86-1)*(1/Q86)))))/Inputs!$B$44),IF(Inputs!$B$39="pvp",MIN((Skills!T13*(1+Inputs!$B$35/100)),15)/15,MIN(1,(Skills!T13*(1+Inputs!$B$35/100))/(1/Q86)))))+(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78*(1-MIN(100,(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78*(MIN(100,(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78*(1-MIN(100,(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78*(MIN(100,(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8">
        <f>IF(C78,(H78*N78*IF(AND(Inputs!$B$39&lt;&gt;"pvp",Inputs!$B$44&gt;0),((Skills!G5*((R78-1)*IF(Skills!H5&gt;0,INT(Skills!I5/Skills!H5+0.000000001),1)+IF(Skills!H5&gt;0,INT(MIN(Skills!I5,MAX(0,MAX(0,Inputs!$B$44-B109)-((R78-1)*IF(Inputs!$B$39="pvp",15,MAX(0.1,Skills!D5-IF(TRUE=TRUE,Inputs!$B$33,0))))))/Skills!H5+0.000000001),1)))/Inputs!$B$44),G78*Q78))*IF(Inputs!$B$39="pvp",1,(1+(Inputs!$B$22+Skills!Q5+((C90=TRUE)*F90*IF(AND(Inputs!$B$39&lt;&gt;"pvp",Inputs!$B$44&gt;0),(((R90-1)*MIN((Skills!T17*(1+Inputs!$B$35/100)),(1/Q90))+MIN((Skills!T17*(1+Inputs!$B$35/100)),MAX(0,Inputs!$B$44-((R90-1)*(1/Q90)))))/Inputs!$B$44),IF(Inputs!$B$39="pvp",MIN((Skills!T17*(1+Inputs!$B$35/100)),15)/15,MIN(1,(Skills!T17*(1+Inputs!$B$35/100))/(1/Q90)))))+((C78=TRUE)*IF(Inputs!$B$3&gt;=126,10*MIN(1,15*Q78),0))+((C87=TRUE)*IF(Inputs!$B$39="pvp",20,(1-Summary!$B$11)*(20)+Summary!$B$11*(0))*IF(AND(Inputs!$B$39&lt;&gt;"pvp",Inputs!$B$44&gt;0),(((R87-1)*MIN((Skills!T14*(1+Inputs!$B$35/100)),(1/Q87))+MIN((Skills!T14*(1+Inputs!$B$35/100)),MAX(0,Inputs!$B$44-((R87-1)*(1/Q87)))))/Inputs!$B$44),IF(Inputs!$B$39="pvp",MIN((Skills!T14*(1+Inputs!$B$35/100)),15)/15,MIN(1,(Skills!T14*(1+Inputs!$B$35/100))/(1/Q87)))))+((C86=TRUE)*IF(Inputs!$B$3&gt;=82,IF(Inputs!$B$39="pvp",20,(1-Summary!$B$11)*(20)+Summary!$B$11*(0)),0)*IF(AND(Inputs!$B$39&lt;&gt;"pvp",Inputs!$B$44&gt;0),(((R86-1)*MIN((Skills!T13*(1+Inputs!$B$35/100)),(1/Q86))+MIN((Skills!T13*(1+Inputs!$B$35/100)),MAX(0,Inputs!$B$44-((R86-1)*(1/Q86)))))/Inputs!$B$44),IF(Inputs!$B$39="pvp",MIN((Skills!T13*(1+Inputs!$B$35/100)),15)/15,MIN(1,(Skills!T13*(1+Inputs!$B$35/100))/(1/Q86)))))+(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9">
      <c r="A79">
        <f>Skills!A6</f>
        <v/>
      </c>
      <c r="B79">
        <f>Skills!B6</f>
        <v/>
      </c>
      <c r="C79">
        <f>Inputs!$B$3&gt;=103</f>
        <v/>
      </c>
      <c r="D79">
        <f>IF(Skills!C6=1,60+Inputs!$B$26+Inputs!$B$30,IF(Skills!C6=2,90+Inputs!$B$27+Inputs!$B$30,IF(Skills!C6=3,120+Inputs!$B$28+Inputs!$B$30,MAX(0,(Inputs!$B$3-100)*3)+Inputs!$B$29+Inputs!$B$30)))</f>
        <v/>
      </c>
      <c r="E79">
        <f>INDEX(FactorTable!$B$2:$Y$301, MATCH(ROUND(MIN(300,MAX(1,D79)),0), FactorTable!$A$2:$A$301,0), Skills!M6+1)</f>
        <v/>
      </c>
      <c r="F79">
        <f>IF(Skills!N6=TRUE,(Skills!L6/10)*(E79/1000),Skills!L6/10)+Skills!O6</f>
        <v/>
      </c>
      <c r="G79">
        <f>Skills!G6*IF(Skills!H6&gt;0,INT(IF(Inputs!$B$39="pvp",MIN(Skills!I6,15),Skills!I6)/Skills!H6+0.000000001),1)</f>
        <v/>
      </c>
      <c r="H79">
        <f>1-(1-Skills!J6/100)^Skills!K6</f>
        <v/>
      </c>
      <c r="I79" t="inlineStr">
        <is>
          <t>1</t>
        </is>
      </c>
      <c r="J79">
        <f>((Inputs!$B$6*(1+Inputs!$B$7/100))+((((Inputs!$B$13+1)*(1+Inputs!$B$14/100))-(Inputs!$B$13*(1+Inputs!$B$14/100)))+0.25*(Inputs!$B$15-Inputs!$B$15))*(1+Inputs!$B$7/100))*(F79/100)</f>
        <v/>
      </c>
      <c r="K79">
        <f>J79*(1+((((Inputs!$B$13+1)+IF(Inputs!$B$3&gt;=38,(10*INDEX(FactorTable!$B$2:$Y$301, MATCH(ROUND(MIN(300,MAX(1,Inputs!$B$3)),0), FactorTable!$A$2:$A$301,0), 23)/1000)/100*(Inputs!$B$8*(1+Inputs!$B$9/100)),0))*(1+Inputs!$B$14/100))*0.01+Inputs!$B$15*0.0025)/100)*(1+Inputs!$B$16/100)*(1+Inputs!$B$17/100)*(5000/(6000+Inputs!$B$43*(1-(Inputs!$B$20+0)/100)))*(1+(Inputs!$B$25+((C98=TRUE)*(F98-Calc!F25))+((C99=TRUE)*(F99-Calc!F26))+B108)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gt;=100),MIN(100,((Inputs!$B$10+0+B102+(ArtifactsInput!$M$24-ArtifactsInput!$M$24)*CHOOSE(ArtifactsInput!$N$24+1,10,12,14,16,18,20)+IF(ArtifactsInput!$M$10,CHOOSE(ArtifactsInput!$N$10+1,15,18,21,24,27,30)*(IF(Inputs!$B$39="pvp",MIN(15,15)/15,IF(AND(Inputs!$B$39&lt;&gt;"pvp",Inputs!$B$44&gt;0),MIN(15,Inputs!$B$44)/(Inputs!$B$44),0))),0)))-100),0))*CHOOSE(ArtifactsInput!$N$42+1,0.6,0.72,0.84,0.96,1.08,1.2))),Inputs!$B$19+((C96=TRUE)*(F96-Calc!F23))+(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gt;=100),CHOOSE(ArtifactsInput!$N$42+1,40,48,56,64,72,80),0))))/100)*((1+(((C86=TRUE)*F86*IF(AND(Inputs!$B$39&lt;&gt;"pvp",Inputs!$B$44&gt;0),(((R86-1)*MIN((Skills!T13*(1+Inputs!$B$35/100)),(1/Q86))+MIN((Skills!T13*(1+Inputs!$B$35/100)),MAX(0,Inputs!$B$44-((R86-1)*(1/Q86)))))/Inputs!$B$44),IF(Inputs!$B$39="pvp",MIN((Skills!T13*(1+Inputs!$B$35/100)),15)/15,MIN(1,(Skills!T13*(1+Inputs!$B$35/100))/(1/Q86)))))+((C87=TRUE)*F87*IF(AND(Inputs!$B$39&lt;&gt;"pvp",Inputs!$B$44&gt;0),(((R87-1)*MIN((Skills!T14*(1+Inputs!$B$35/100)),(1/Q87))+MIN((Skills!T14*(1+Inputs!$B$35/100)),MAX(0,Inputs!$B$44-((R87-1)*(1/Q87)))))/Inputs!$B$44),IF(Inputs!$B$39="pvp",MIN((Skills!T14*(1+Inputs!$B$35/100)),15)/15,MIN(1,(Skills!T14*(1+Inputs!$B$35/100))/(1/Q87)))))+((C88=TRUE)*F88*IF(AND(Inputs!$B$39&lt;&gt;"pvp",Inputs!$B$44&gt;0),(((R88-1)*MIN((Skills!T15*(1+Inputs!$B$35/100)),(1/Q88))+MIN((Skills!T15*(1+Inputs!$B$35/100)),MAX(0,Inputs!$B$44-((R88-1)*(1/Q88)))))/Inputs!$B$44),IF(Inputs!$B$39="pvp",MIN((Skills!T15*(1+Inputs!$B$35/100)),15)/15,MIN(1,(Skills!T15*(1+Inputs!$B$35/100))/(1/Q88)))))+((C89=TRUE)*F89*IF(AND(Inputs!$B$39&lt;&gt;"pvp",Inputs!$B$44&gt;0),(((R89-1)*MIN((Skills!T16*(1+Inputs!$B$35/100)),(1/Q89))+MIN((Skills!T16*(1+Inputs!$B$35/100)),MAX(0,Inputs!$B$44-((R89-1)*(1/Q89)))))/Inputs!$B$44),IF(Inputs!$B$39="pvp",MIN((Skills!T16*(1+Inputs!$B$35/100)),15)/15,MIN(1,(Skills!T16*(1+Inputs!$B$35/100))/(1/Q89)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79)</f>
        <v/>
      </c>
      <c r="L79">
        <f>K79*(MIN(Inputs!$B$23+((C95=TRUE)*(F95-Calc!F22)),(Inputs!$B$24+((C97=TRUE)*(F97-Calc!F24))+(IF(ArtifactsInput!$M$15,CHOOSE(ArtifactsInput!$N$15+1,25,30,35,40,45,50)/100*(Inputs!$B$12-Inputs!$B$12),0))))/100+(Inputs!$B$24+((C97=TRUE)*(F97-Calc!F24))+(IF(ArtifactsInput!$M$15,CHOOSE(ArtifactsInput!$N$15+1,25,30,35,40,45,50)/100*(Inputs!$B$12-Inputs!$B$12),0)))/100)/2</f>
        <v/>
      </c>
      <c r="M79">
        <f>L79*(1+(Inputs!$B$11+0+B107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79">
        <f>L79*(1-MIN((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79*(MIN((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9">
        <f>(1-Summary!$B$11)*T79+Summary!$B$11*V79</f>
        <v/>
      </c>
      <c r="P79">
        <f>IF(B112=0,0,O79/B112)</f>
        <v/>
      </c>
      <c r="Q79">
        <f>IFERROR(1/IF(Inputs!$B$39="pvp",15,MAX(0.1,Skills!D6-IF(TRUE=TRUE,Inputs!$B$33,0))),0)</f>
        <v/>
      </c>
      <c r="R79">
        <f>IF(AND(Inputs!$B$39&lt;&gt;"pvp",Inputs!$B$44&gt;0),IF(MAX(0,Inputs!$B$44-B109)&lt;=0,0,(INT(MAX(0,Inputs!$B$44-B109)/IF(Inputs!$B$39="pvp",15,MAX(0.1,Skills!D6-IF(TRUE=TRUE,Inputs!$B$33,0))))+1)),0)</f>
        <v/>
      </c>
      <c r="S79">
        <f>IFERROR(O79/N79,0)</f>
        <v/>
      </c>
      <c r="T79">
        <f>IF(C79,(H79*N79*IF(AND(Inputs!$B$39&lt;&gt;"pvp",Inputs!$B$44&gt;0),((Skills!G6*((R79-1)*IF(Skills!H6&gt;0,INT(Skills!I6/Skills!H6+0.000000001),1)+IF(Skills!H6&gt;0,INT(MIN(Skills!I6,MAX(0,MAX(0,Inputs!$B$44-B109)-((R79-1)*IF(Inputs!$B$39="pvp",15,MAX(0.1,Skills!D6-IF(TRUE=TRUE,Inputs!$B$33,0))))))/Skills!H6+0.000000001),1)))/Inputs!$B$44),G79*Q79))*IF(Inputs!$B$39="pvp",1,1+(Inputs!$B$21+0+Skills!P6+((C90=TRUE)*F90*IF(AND(Inputs!$B$39&lt;&gt;"pvp",Inputs!$B$44&gt;0),(((R90-1)*MIN((Skills!T17*(1+Inputs!$B$35/100)),(1/Q90))+MIN((Skills!T17*(1+Inputs!$B$35/100)),MAX(0,Inputs!$B$44-((R90-1)*(1/Q90)))))/Inputs!$B$44),IF(Inputs!$B$39="pvp",MIN((Skills!T17*(1+Inputs!$B$35/100)),15)/15,MIN(1,(Skills!T17*(1+Inputs!$B$35/100))/(1/Q90)))))+((C78=TRUE)*IF(Inputs!$B$3&gt;=126,10*MIN(1,15*Q78),0))+((C87=TRUE)*IF(Inputs!$B$39="pvp",20,(1-Summary!$B$11)*(20)+Summary!$B$11*(0))*IF(AND(Inputs!$B$39&lt;&gt;"pvp",Inputs!$B$44&gt;0),(((R87-1)*MIN((Skills!T14*(1+Inputs!$B$35/100)),(1/Q87))+MIN((Skills!T14*(1+Inputs!$B$35/100)),MAX(0,Inputs!$B$44-((R87-1)*(1/Q87)))))/Inputs!$B$44),IF(Inputs!$B$39="pvp",MIN((Skills!T14*(1+Inputs!$B$35/100)),15)/15,MIN(1,(Skills!T14*(1+Inputs!$B$35/100))/(1/Q87)))))+((C86=TRUE)*IF(Inputs!$B$3&gt;=82,IF(Inputs!$B$39="pvp",20,(1-Summary!$B$11)*(20)+Summary!$B$11*(0)),0)*IF(AND(Inputs!$B$39&lt;&gt;"pvp",Inputs!$B$44&gt;0),(((R86-1)*MIN((Skills!T13*(1+Inputs!$B$35/100)),(1/Q86))+MIN((Skills!T13*(1+Inputs!$B$35/100)),MAX(0,Inputs!$B$44-((R86-1)*(1/Q86)))))/Inputs!$B$44),IF(Inputs!$B$39="pvp",MIN((Skills!T13*(1+Inputs!$B$35/100)),15)/15,MIN(1,(Skills!T13*(1+Inputs!$B$35/100))/(1/Q86)))))+(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79*(1-MIN(100,(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79*(MIN(100,(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79*(1-MIN(100,(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79*(MIN(100,(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9">
        <f>IF(C79,(H79*N79*IF(AND(Inputs!$B$39&lt;&gt;"pvp",Inputs!$B$44&gt;0),((Skills!G6*((R79-1)*IF(Skills!H6&gt;0,INT(Skills!I6/Skills!H6+0.000000001),1)+IF(Skills!H6&gt;0,INT(MIN(Skills!I6,MAX(0,MAX(0,Inputs!$B$44-B109)-((R79-1)*IF(Inputs!$B$39="pvp",15,MAX(0.1,Skills!D6-IF(TRUE=TRUE,Inputs!$B$33,0))))))/Skills!H6+0.000000001),1)))/Inputs!$B$44),G79*Q79))*IF(Inputs!$B$39="pvp",1,(1+(Inputs!$B$22+Skills!Q6+((C90=TRUE)*F90*IF(AND(Inputs!$B$39&lt;&gt;"pvp",Inputs!$B$44&gt;0),(((R90-1)*MIN((Skills!T17*(1+Inputs!$B$35/100)),(1/Q90))+MIN((Skills!T17*(1+Inputs!$B$35/100)),MAX(0,Inputs!$B$44-((R90-1)*(1/Q90)))))/Inputs!$B$44),IF(Inputs!$B$39="pvp",MIN((Skills!T17*(1+Inputs!$B$35/100)),15)/15,MIN(1,(Skills!T17*(1+Inputs!$B$35/100))/(1/Q90)))))+((C78=TRUE)*IF(Inputs!$B$3&gt;=126,10*MIN(1,15*Q78),0))+((C87=TRUE)*IF(Inputs!$B$39="pvp",20,(1-Summary!$B$11)*(20)+Summary!$B$11*(0))*IF(AND(Inputs!$B$39&lt;&gt;"pvp",Inputs!$B$44&gt;0),(((R87-1)*MIN((Skills!T14*(1+Inputs!$B$35/100)),(1/Q87))+MIN((Skills!T14*(1+Inputs!$B$35/100)),MAX(0,Inputs!$B$44-((R87-1)*(1/Q87)))))/Inputs!$B$44),IF(Inputs!$B$39="pvp",MIN((Skills!T14*(1+Inputs!$B$35/100)),15)/15,MIN(1,(Skills!T14*(1+Inputs!$B$35/100))/(1/Q87)))))+((C86=TRUE)*IF(Inputs!$B$3&gt;=82,IF(Inputs!$B$39="pvp",20,(1-Summary!$B$11)*(20)+Summary!$B$11*(0)),0)*IF(AND(Inputs!$B$39&lt;&gt;"pvp",Inputs!$B$44&gt;0),(((R86-1)*MIN((Skills!T13*(1+Inputs!$B$35/100)),(1/Q86))+MIN((Skills!T13*(1+Inputs!$B$35/100)),MAX(0,Inputs!$B$44-((R86-1)*(1/Q86)))))/Inputs!$B$44),IF(Inputs!$B$39="pvp",MIN((Skills!T13*(1+Inputs!$B$35/100)),15)/15,MIN(1,(Skills!T13*(1+Inputs!$B$35/100))/(1/Q86)))))+(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0">
      <c r="A80">
        <f>Skills!A7</f>
        <v/>
      </c>
      <c r="B80">
        <f>Skills!B7</f>
        <v/>
      </c>
      <c r="C80">
        <f>Inputs!$B$3&gt;=40</f>
        <v/>
      </c>
      <c r="D80">
        <f>IF(Skills!C7=1,60+Inputs!$B$26+Inputs!$B$30,IF(Skills!C7=2,90+Inputs!$B$27+Inputs!$B$30,IF(Skills!C7=3,120+Inputs!$B$28+Inputs!$B$30,MAX(0,(Inputs!$B$3-100)*3)+Inputs!$B$29+Inputs!$B$30)))</f>
        <v/>
      </c>
      <c r="E80">
        <f>INDEX(FactorTable!$B$2:$Y$301, MATCH(ROUND(MIN(300,MAX(1,D80)),0), FactorTable!$A$2:$A$301,0), Skills!M7+1)</f>
        <v/>
      </c>
      <c r="F80">
        <f>IF(Skills!N7=TRUE,(Skills!L7/10)*(E80/1000),Skills!L7/10)+Skills!O7</f>
        <v/>
      </c>
      <c r="G80">
        <f>Skills!G7*IF(Skills!H7&gt;0,INT(IF(Inputs!$B$39="pvp",MIN(Skills!I7,15),Skills!I7)/Skills!H7+0.000000001),1)</f>
        <v/>
      </c>
      <c r="H80">
        <f>1-(1-Skills!J7/100)^Skills!K7</f>
        <v/>
      </c>
      <c r="I80" t="inlineStr">
        <is>
          <t>1</t>
        </is>
      </c>
      <c r="J80">
        <f>((Inputs!$B$6*(1+Inputs!$B$7/100))+((((Inputs!$B$13+1)*(1+Inputs!$B$14/100))-(Inputs!$B$13*(1+Inputs!$B$14/100)))+0.25*(Inputs!$B$15-Inputs!$B$15))*(1+Inputs!$B$7/100))*(F80/100)</f>
        <v/>
      </c>
      <c r="K80">
        <f>J80*(1+((((Inputs!$B$13+1)+IF(Inputs!$B$3&gt;=38,(10*INDEX(FactorTable!$B$2:$Y$301, MATCH(ROUND(MIN(300,MAX(1,Inputs!$B$3)),0), FactorTable!$A$2:$A$301,0), 23)/1000)/100*(Inputs!$B$8*(1+Inputs!$B$9/100)),0))*(1+Inputs!$B$14/100))*0.01+Inputs!$B$15*0.0025)/100)*(1+Inputs!$B$16/100)*(1+Inputs!$B$17/100)*(5000/(6000+Inputs!$B$43*(1-(Inputs!$B$20+0)/100)))*(1+(Inputs!$B$25+((C98=TRUE)*(F98-Calc!F25))+((C99=TRUE)*(F99-Calc!F26))+B108)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84=TRUE,F84,0)/100)*(1+(IF(Skills!A7="DARK_IMPALE",Inputs!$B$18+0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gt;=100),MIN(100,((Inputs!$B$10+0+B102+(ArtifactsInput!$M$24-ArtifactsInput!$M$24)*CHOOSE(ArtifactsInput!$N$24+1,10,12,14,16,18,20)+IF(ArtifactsInput!$M$10,CHOOSE(ArtifactsInput!$N$10+1,15,18,21,24,27,30)*(IF(Inputs!$B$39="pvp",MIN(15,15)/15,IF(AND(Inputs!$B$39&lt;&gt;"pvp",Inputs!$B$44&gt;0),MIN(15,Inputs!$B$44)/(Inputs!$B$44),0))),0)))-100),0))*CHOOSE(ArtifactsInput!$N$42+1,0.6,0.72,0.84,0.96,1.08,1.2))),Inputs!$B$19+((C96=TRUE)*(F96-Calc!F23))+(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gt;=100),CHOOSE(ArtifactsInput!$N$42+1,40,48,56,64,72,80),0))))/100)*((1+(((C86=TRUE)*F86*IF(AND(Inputs!$B$39&lt;&gt;"pvp",Inputs!$B$44&gt;0),(((R86-1)*MIN((Skills!T13*(1+Inputs!$B$35/100)),(1/Q86))+MIN((Skills!T13*(1+Inputs!$B$35/100)),MAX(0,Inputs!$B$44-((R86-1)*(1/Q86)))))/Inputs!$B$44),IF(Inputs!$B$39="pvp",MIN((Skills!T13*(1+Inputs!$B$35/100)),15)/15,MIN(1,(Skills!T13*(1+Inputs!$B$35/100))/(1/Q86)))))+((C87=TRUE)*F87*IF(AND(Inputs!$B$39&lt;&gt;"pvp",Inputs!$B$44&gt;0),(((R87-1)*MIN((Skills!T14*(1+Inputs!$B$35/100)),(1/Q87))+MIN((Skills!T14*(1+Inputs!$B$35/100)),MAX(0,Inputs!$B$44-((R87-1)*(1/Q87)))))/Inputs!$B$44),IF(Inputs!$B$39="pvp",MIN((Skills!T14*(1+Inputs!$B$35/100)),15)/15,MIN(1,(Skills!T14*(1+Inputs!$B$35/100))/(1/Q87)))))+((C88=TRUE)*F88*IF(AND(Inputs!$B$39&lt;&gt;"pvp",Inputs!$B$44&gt;0),(((R88-1)*MIN((Skills!T15*(1+Inputs!$B$35/100)),(1/Q88))+MIN((Skills!T15*(1+Inputs!$B$35/100)),MAX(0,Inputs!$B$44-((R88-1)*(1/Q88)))))/Inputs!$B$44),IF(Inputs!$B$39="pvp",MIN((Skills!T15*(1+Inputs!$B$35/100)),15)/15,MIN(1,(Skills!T15*(1+Inputs!$B$35/100))/(1/Q88)))))+((C89=TRUE)*F89*IF(AND(Inputs!$B$39&lt;&gt;"pvp",Inputs!$B$44&gt;0),(((R89-1)*MIN((Skills!T16*(1+Inputs!$B$35/100)),(1/Q89))+MIN((Skills!T16*(1+Inputs!$B$35/100)),MAX(0,Inputs!$B$44-((R89-1)*(1/Q89)))))/Inputs!$B$44),IF(Inputs!$B$39="pvp",MIN((Skills!T16*(1+Inputs!$B$35/100)),15)/15,MIN(1,(Skills!T16*(1+Inputs!$B$35/100))/(1/Q89)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80)</f>
        <v/>
      </c>
      <c r="L80">
        <f>K80*(MIN(Inputs!$B$23+((C95=TRUE)*(F95-Calc!F22)),(Inputs!$B$24+((C97=TRUE)*(F97-Calc!F24))+(IF(ArtifactsInput!$M$15,CHOOSE(ArtifactsInput!$N$15+1,25,30,35,40,45,50)/100*(Inputs!$B$12-Inputs!$B$12),0))))/100+(Inputs!$B$24+((C97=TRUE)*(F97-Calc!F24))+(IF(ArtifactsInput!$M$15,CHOOSE(ArtifactsInput!$N$15+1,25,30,35,40,45,50)/100*(Inputs!$B$12-Inputs!$B$12),0)))/100)/2</f>
        <v/>
      </c>
      <c r="M80">
        <f>L80*(1+(Inputs!$B$11+0+B107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80">
        <f>L80*(1-MIN((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80*(MIN((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0">
        <f>(1-Summary!$B$11)*T80+Summary!$B$11*V80</f>
        <v/>
      </c>
      <c r="P80">
        <f>IF(B112=0,0,O80/B112)</f>
        <v/>
      </c>
      <c r="Q80">
        <f>IFERROR(1/IF(Inputs!$B$39="pvp",15,MAX(0.1,Skills!D7-IF(TRUE=TRUE,Inputs!$B$33,0))),0)</f>
        <v/>
      </c>
      <c r="R80">
        <f>IF(AND(Inputs!$B$39&lt;&gt;"pvp",Inputs!$B$44&gt;0),IF(MAX(0,Inputs!$B$44-B109)&lt;=0,0,(INT(MAX(0,Inputs!$B$44-B109)/IF(Inputs!$B$39="pvp",15,MAX(0.1,Skills!D7-IF(TRUE=TRUE,Inputs!$B$33,0))))+1)),0)</f>
        <v/>
      </c>
      <c r="S80">
        <f>IFERROR(O80/N80,0)</f>
        <v/>
      </c>
      <c r="T80">
        <f>IF(C80,(H80*N80*IF(AND(Inputs!$B$39&lt;&gt;"pvp",Inputs!$B$44&gt;0),((Skills!G7*((R80-1)*IF(Skills!H7&gt;0,INT(Skills!I7/Skills!H7+0.000000001),1)+IF(Skills!H7&gt;0,INT(MIN(Skills!I7,MAX(0,MAX(0,Inputs!$B$44-B109)-((R80-1)*IF(Inputs!$B$39="pvp",15,MAX(0.1,Skills!D7-IF(TRUE=TRUE,Inputs!$B$33,0))))))/Skills!H7+0.000000001),1)))/Inputs!$B$44),G80*Q80))*IF(Inputs!$B$39="pvp",1,1+(Inputs!$B$21+0+Skills!P7+((C90=TRUE)*F90*IF(AND(Inputs!$B$39&lt;&gt;"pvp",Inputs!$B$44&gt;0),(((R90-1)*MIN((Skills!T17*(1+Inputs!$B$35/100)),(1/Q90))+MIN((Skills!T17*(1+Inputs!$B$35/100)),MAX(0,Inputs!$B$44-((R90-1)*(1/Q90)))))/Inputs!$B$44),IF(Inputs!$B$39="pvp",MIN((Skills!T17*(1+Inputs!$B$35/100)),15)/15,MIN(1,(Skills!T17*(1+Inputs!$B$35/100))/(1/Q90)))))+((C78=TRUE)*IF(Inputs!$B$3&gt;=126,10*MIN(1,15*Q78),0))+((C87=TRUE)*IF(Inputs!$B$39="pvp",20,(1-Summary!$B$11)*(20)+Summary!$B$11*(0))*IF(AND(Inputs!$B$39&lt;&gt;"pvp",Inputs!$B$44&gt;0),(((R87-1)*MIN((Skills!T14*(1+Inputs!$B$35/100)),(1/Q87))+MIN((Skills!T14*(1+Inputs!$B$35/100)),MAX(0,Inputs!$B$44-((R87-1)*(1/Q87)))))/Inputs!$B$44),IF(Inputs!$B$39="pvp",MIN((Skills!T14*(1+Inputs!$B$35/100)),15)/15,MIN(1,(Skills!T14*(1+Inputs!$B$35/100))/(1/Q87)))))+((C86=TRUE)*IF(Inputs!$B$3&gt;=82,IF(Inputs!$B$39="pvp",20,(1-Summary!$B$11)*(20)+Summary!$B$11*(0)),0)*IF(AND(Inputs!$B$39&lt;&gt;"pvp",Inputs!$B$44&gt;0),(((R86-1)*MIN((Skills!T13*(1+Inputs!$B$35/100)),(1/Q86))+MIN((Skills!T13*(1+Inputs!$B$35/100)),MAX(0,Inputs!$B$44-((R86-1)*(1/Q86)))))/Inputs!$B$44),IF(Inputs!$B$39="pvp",MIN((Skills!T13*(1+Inputs!$B$35/100)),15)/15,MIN(1,(Skills!T13*(1+Inputs!$B$35/100))/(1/Q86)))))+(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80*(1-MIN(100,(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80*(MIN(100,(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80*(1-MIN(100,(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80*(MIN(100,(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0">
        <f>IF(C80,(H80*N80*IF(AND(Inputs!$B$39&lt;&gt;"pvp",Inputs!$B$44&gt;0),((Skills!G7*((R80-1)*IF(Skills!H7&gt;0,INT(Skills!I7/Skills!H7+0.000000001),1)+IF(Skills!H7&gt;0,INT(MIN(Skills!I7,MAX(0,MAX(0,Inputs!$B$44-B109)-((R80-1)*IF(Inputs!$B$39="pvp",15,MAX(0.1,Skills!D7-IF(TRUE=TRUE,Inputs!$B$33,0))))))/Skills!H7+0.000000001),1)))/Inputs!$B$44),G80*Q80))*IF(Inputs!$B$39="pvp",1,(1+(Inputs!$B$22+Skills!Q7+((C90=TRUE)*F90*IF(AND(Inputs!$B$39&lt;&gt;"pvp",Inputs!$B$44&gt;0),(((R90-1)*MIN((Skills!T17*(1+Inputs!$B$35/100)),(1/Q90))+MIN((Skills!T17*(1+Inputs!$B$35/100)),MAX(0,Inputs!$B$44-((R90-1)*(1/Q90)))))/Inputs!$B$44),IF(Inputs!$B$39="pvp",MIN((Skills!T17*(1+Inputs!$B$35/100)),15)/15,MIN(1,(Skills!T17*(1+Inputs!$B$35/100))/(1/Q90)))))+((C78=TRUE)*IF(Inputs!$B$3&gt;=126,10*MIN(1,15*Q78),0))+((C87=TRUE)*IF(Inputs!$B$39="pvp",20,(1-Summary!$B$11)*(20)+Summary!$B$11*(0))*IF(AND(Inputs!$B$39&lt;&gt;"pvp",Inputs!$B$44&gt;0),(((R87-1)*MIN((Skills!T14*(1+Inputs!$B$35/100)),(1/Q87))+MIN((Skills!T14*(1+Inputs!$B$35/100)),MAX(0,Inputs!$B$44-((R87-1)*(1/Q87)))))/Inputs!$B$44),IF(Inputs!$B$39="pvp",MIN((Skills!T14*(1+Inputs!$B$35/100)),15)/15,MIN(1,(Skills!T14*(1+Inputs!$B$35/100))/(1/Q87)))))+((C86=TRUE)*IF(Inputs!$B$3&gt;=82,IF(Inputs!$B$39="pvp",20,(1-Summary!$B$11)*(20)+Summary!$B$11*(0)),0)*IF(AND(Inputs!$B$39&lt;&gt;"pvp",Inputs!$B$44&gt;0),(((R86-1)*MIN((Skills!T13*(1+Inputs!$B$35/100)),(1/Q86))+MIN((Skills!T13*(1+Inputs!$B$35/100)),MAX(0,Inputs!$B$44-((R86-1)*(1/Q86)))))/Inputs!$B$44),IF(Inputs!$B$39="pvp",MIN((Skills!T13*(1+Inputs!$B$35/100)),15)/15,MIN(1,(Skills!T13*(1+Inputs!$B$35/100))/(1/Q86)))))+(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1">
      <c r="A81">
        <f>Skills!A8</f>
        <v/>
      </c>
      <c r="B81">
        <f>Skills!B8</f>
        <v/>
      </c>
      <c r="C81">
        <f>Inputs!$B$3&gt;=75</f>
        <v/>
      </c>
      <c r="D81">
        <f>IF(Skills!C8=1,60+Inputs!$B$26+Inputs!$B$30,IF(Skills!C8=2,90+Inputs!$B$27+Inputs!$B$30,IF(Skills!C8=3,120+Inputs!$B$28+Inputs!$B$30,MAX(0,(Inputs!$B$3-100)*3)+Inputs!$B$29+Inputs!$B$30)))</f>
        <v/>
      </c>
      <c r="E81">
        <f>INDEX(FactorTable!$B$2:$Y$301, MATCH(ROUND(MIN(300,MAX(1,D81)),0), FactorTable!$A$2:$A$301,0), Skills!M8+1)</f>
        <v/>
      </c>
      <c r="F81">
        <f>IF(Skills!N8=TRUE,(Skills!L8/10)*(E81/1000),Skills!L8/10)+Skills!O8</f>
        <v/>
      </c>
      <c r="G81" t="inlineStr"/>
      <c r="H81" t="inlineStr"/>
      <c r="I81" t="inlineStr">
        <is>
          <t>1</t>
        </is>
      </c>
      <c r="J81" t="inlineStr"/>
      <c r="K81" t="inlineStr"/>
      <c r="L81" t="inlineStr"/>
      <c r="M81" t="inlineStr"/>
      <c r="N81" t="inlineStr"/>
      <c r="O81" t="inlineStr"/>
      <c r="P81" t="inlineStr"/>
      <c r="Q81" t="inlineStr"/>
      <c r="R81" t="inlineStr"/>
      <c r="S81" t="inlineStr"/>
    </row>
    <row r="82">
      <c r="A82">
        <f>Skills!A9</f>
        <v/>
      </c>
      <c r="B82">
        <f>Skills!B9</f>
        <v/>
      </c>
      <c r="C82">
        <f>Inputs!$B$3&gt;=60</f>
        <v/>
      </c>
      <c r="D82">
        <f>IF(Skills!C9=1,60+Inputs!$B$26+Inputs!$B$30,IF(Skills!C9=2,90+Inputs!$B$27+Inputs!$B$30,IF(Skills!C9=3,120+Inputs!$B$28+Inputs!$B$30,MAX(0,(Inputs!$B$3-100)*3)+Inputs!$B$29+Inputs!$B$30)))</f>
        <v/>
      </c>
      <c r="E82">
        <f>INDEX(FactorTable!$B$2:$Y$301, MATCH(ROUND(MIN(300,MAX(1,D82)),0), FactorTable!$A$2:$A$301,0), Skills!M9+1)</f>
        <v/>
      </c>
      <c r="F82">
        <f>IF(Skills!N9=TRUE,(Skills!L9/10)*(E82/1000),Skills!L9/10)+Skills!O9</f>
        <v/>
      </c>
      <c r="G82">
        <f>Skills!G9*IF(Skills!H9&gt;0,INT(IF(Inputs!$B$39="pvp",MIN(Skills!I9,15),Skills!I9)/Skills!H9+0.000000001),1)</f>
        <v/>
      </c>
      <c r="H82">
        <f>1-(1-Skills!J9/100)^Skills!K9</f>
        <v/>
      </c>
      <c r="I82" t="inlineStr">
        <is>
          <t>1</t>
        </is>
      </c>
      <c r="J82">
        <f>((Inputs!$B$6*(1+Inputs!$B$7/100))+((((Inputs!$B$13+1)*(1+Inputs!$B$14/100))-(Inputs!$B$13*(1+Inputs!$B$14/100)))+0.25*(Inputs!$B$15-Inputs!$B$15))*(1+Inputs!$B$7/100))*(F82/100)</f>
        <v/>
      </c>
      <c r="K82">
        <f>J82*(1+((((Inputs!$B$13+1)+IF(Inputs!$B$3&gt;=38,(10*INDEX(FactorTable!$B$2:$Y$301, MATCH(ROUND(MIN(300,MAX(1,Inputs!$B$3)),0), FactorTable!$A$2:$A$301,0), 23)/1000)/100*(Inputs!$B$8*(1+Inputs!$B$9/100)),0))*(1+Inputs!$B$14/100))*0.01+Inputs!$B$15*0.0025)/100)*(1+Inputs!$B$16/100)*(1+Inputs!$B$17/100)*(5000/(6000+Inputs!$B$43*(1-(Inputs!$B$20+0)/100)))*(1+(Inputs!$B$25+((C98=TRUE)*(F98-Calc!F25))+((C99=TRUE)*(F99-Calc!F26))+B108)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84=TRUE,F84,0)/100)*(1+(IF(Skills!A9="DARK_IMPALE",Inputs!$B$18+0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gt;=100),MIN(100,((Inputs!$B$10+0+B102+(ArtifactsInput!$M$24-ArtifactsInput!$M$24)*CHOOSE(ArtifactsInput!$N$24+1,10,12,14,16,18,20)+IF(ArtifactsInput!$M$10,CHOOSE(ArtifactsInput!$N$10+1,15,18,21,24,27,30)*(IF(Inputs!$B$39="pvp",MIN(15,15)/15,IF(AND(Inputs!$B$39&lt;&gt;"pvp",Inputs!$B$44&gt;0),MIN(15,Inputs!$B$44)/(Inputs!$B$44),0))),0)))-100),0))*CHOOSE(ArtifactsInput!$N$42+1,0.6,0.72,0.84,0.96,1.08,1.2))),Inputs!$B$19+((C96=TRUE)*(F96-Calc!F23))+(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gt;=100),CHOOSE(ArtifactsInput!$N$42+1,40,48,56,64,72,80),0))))/100)*((1+(((C86=TRUE)*F86*IF(AND(Inputs!$B$39&lt;&gt;"pvp",Inputs!$B$44&gt;0),(((R86-1)*MIN((Skills!T13*(1+Inputs!$B$35/100)),(1/Q86))+MIN((Skills!T13*(1+Inputs!$B$35/100)),MAX(0,Inputs!$B$44-((R86-1)*(1/Q86)))))/Inputs!$B$44),IF(Inputs!$B$39="pvp",MIN((Skills!T13*(1+Inputs!$B$35/100)),15)/15,MIN(1,(Skills!T13*(1+Inputs!$B$35/100))/(1/Q86)))))+((C87=TRUE)*F87*IF(AND(Inputs!$B$39&lt;&gt;"pvp",Inputs!$B$44&gt;0),(((R87-1)*MIN((Skills!T14*(1+Inputs!$B$35/100)),(1/Q87))+MIN((Skills!T14*(1+Inputs!$B$35/100)),MAX(0,Inputs!$B$44-((R87-1)*(1/Q87)))))/Inputs!$B$44),IF(Inputs!$B$39="pvp",MIN((Skills!T14*(1+Inputs!$B$35/100)),15)/15,MIN(1,(Skills!T14*(1+Inputs!$B$35/100))/(1/Q87)))))+((C88=TRUE)*F88*IF(AND(Inputs!$B$39&lt;&gt;"pvp",Inputs!$B$44&gt;0),(((R88-1)*MIN((Skills!T15*(1+Inputs!$B$35/100)),(1/Q88))+MIN((Skills!T15*(1+Inputs!$B$35/100)),MAX(0,Inputs!$B$44-((R88-1)*(1/Q88)))))/Inputs!$B$44),IF(Inputs!$B$39="pvp",MIN((Skills!T15*(1+Inputs!$B$35/100)),15)/15,MIN(1,(Skills!T15*(1+Inputs!$B$35/100))/(1/Q88)))))+((C89=TRUE)*F89*IF(AND(Inputs!$B$39&lt;&gt;"pvp",Inputs!$B$44&gt;0),(((R89-1)*MIN((Skills!T16*(1+Inputs!$B$35/100)),(1/Q89))+MIN((Skills!T16*(1+Inputs!$B$35/100)),MAX(0,Inputs!$B$44-((R89-1)*(1/Q89)))))/Inputs!$B$44),IF(Inputs!$B$39="pvp",MIN((Skills!T16*(1+Inputs!$B$35/100)),15)/15,MIN(1,(Skills!T16*(1+Inputs!$B$35/100))/(1/Q89)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82)</f>
        <v/>
      </c>
      <c r="L82">
        <f>K82*(MIN(Inputs!$B$23+((C95=TRUE)*(F95-Calc!F22)),(Inputs!$B$24+((C97=TRUE)*(F97-Calc!F24))+(IF(ArtifactsInput!$M$15,CHOOSE(ArtifactsInput!$N$15+1,25,30,35,40,45,50)/100*(Inputs!$B$12-Inputs!$B$12),0))))/100+(Inputs!$B$24+((C97=TRUE)*(F97-Calc!F24))+(IF(ArtifactsInput!$M$15,CHOOSE(ArtifactsInput!$N$15+1,25,30,35,40,45,50)/100*(Inputs!$B$12-Inputs!$B$12),0)))/100)/2</f>
        <v/>
      </c>
      <c r="M82">
        <f>L82*(1+(Inputs!$B$11+0+B107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82">
        <f>L82*(1-MIN((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82*(MIN((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2">
        <f>(1-Summary!$B$11)*T82+Summary!$B$11*V82</f>
        <v/>
      </c>
      <c r="P82">
        <f>IF(B112=0,0,O82/B112)</f>
        <v/>
      </c>
      <c r="Q82">
        <f>IFERROR(1/IF(Inputs!$B$39="pvp",15,MAX(0.1,Skills!D9-IF(TRUE=TRUE,Inputs!$B$33,0))),0)</f>
        <v/>
      </c>
      <c r="R82">
        <f>IF(AND(Inputs!$B$39&lt;&gt;"pvp",Inputs!$B$44&gt;0),IF(MAX(0,Inputs!$B$44-B109)&lt;=0,0,(INT(MAX(0,Inputs!$B$44-B109)/IF(Inputs!$B$39="pvp",15,MAX(0.1,Skills!D9-IF(TRUE=TRUE,Inputs!$B$33,0))))+1)),0)</f>
        <v/>
      </c>
      <c r="S82">
        <f>IFERROR(O82/N82,0)</f>
        <v/>
      </c>
      <c r="T82">
        <f>IF(C82,(H82*N82*IF(AND(Inputs!$B$39&lt;&gt;"pvp",Inputs!$B$44&gt;0),((Skills!G9*((R82-1)*IF(Skills!H9&gt;0,INT(Skills!I9/Skills!H9+0.000000001),1)+IF(Skills!H9&gt;0,INT(MIN(Skills!I9,MAX(0,MAX(0,Inputs!$B$44-B109)-((R82-1)*IF(Inputs!$B$39="pvp",15,MAX(0.1,Skills!D9-IF(TRUE=TRUE,Inputs!$B$33,0))))))/Skills!H9+0.000000001),1)))/Inputs!$B$44),G82*Q82))*IF(Inputs!$B$39="pvp",1,1+(Inputs!$B$21+0+Skills!P9+((C90=TRUE)*F90*IF(AND(Inputs!$B$39&lt;&gt;"pvp",Inputs!$B$44&gt;0),(((R90-1)*MIN((Skills!T17*(1+Inputs!$B$35/100)),(1/Q90))+MIN((Skills!T17*(1+Inputs!$B$35/100)),MAX(0,Inputs!$B$44-((R90-1)*(1/Q90)))))/Inputs!$B$44),IF(Inputs!$B$39="pvp",MIN((Skills!T17*(1+Inputs!$B$35/100)),15)/15,MIN(1,(Skills!T17*(1+Inputs!$B$35/100))/(1/Q90)))))+((C78=TRUE)*IF(Inputs!$B$3&gt;=126,10*MIN(1,15*Q78),0))+((C87=TRUE)*IF(Inputs!$B$39="pvp",20,(1-Summary!$B$11)*(20)+Summary!$B$11*(0))*IF(AND(Inputs!$B$39&lt;&gt;"pvp",Inputs!$B$44&gt;0),(((R87-1)*MIN((Skills!T14*(1+Inputs!$B$35/100)),(1/Q87))+MIN((Skills!T14*(1+Inputs!$B$35/100)),MAX(0,Inputs!$B$44-((R87-1)*(1/Q87)))))/Inputs!$B$44),IF(Inputs!$B$39="pvp",MIN((Skills!T14*(1+Inputs!$B$35/100)),15)/15,MIN(1,(Skills!T14*(1+Inputs!$B$35/100))/(1/Q87)))))+((C86=TRUE)*IF(Inputs!$B$3&gt;=82,IF(Inputs!$B$39="pvp",20,(1-Summary!$B$11)*(20)+Summary!$B$11*(0)),0)*IF(AND(Inputs!$B$39&lt;&gt;"pvp",Inputs!$B$44&gt;0),(((R86-1)*MIN((Skills!T13*(1+Inputs!$B$35/100)),(1/Q86))+MIN((Skills!T13*(1+Inputs!$B$35/100)),MAX(0,Inputs!$B$44-((R86-1)*(1/Q86)))))/Inputs!$B$44),IF(Inputs!$B$39="pvp",MIN((Skills!T13*(1+Inputs!$B$35/100)),15)/15,MIN(1,(Skills!T13*(1+Inputs!$B$35/100))/(1/Q86)))))+(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82*(1-MIN(100,(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82*(MIN(100,(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82*(1-MIN(100,(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82*(MIN(100,(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2">
        <f>IF(C82,(H82*N82*IF(AND(Inputs!$B$39&lt;&gt;"pvp",Inputs!$B$44&gt;0),((Skills!G9*((R82-1)*IF(Skills!H9&gt;0,INT(Skills!I9/Skills!H9+0.000000001),1)+IF(Skills!H9&gt;0,INT(MIN(Skills!I9,MAX(0,MAX(0,Inputs!$B$44-B109)-((R82-1)*IF(Inputs!$B$39="pvp",15,MAX(0.1,Skills!D9-IF(TRUE=TRUE,Inputs!$B$33,0))))))/Skills!H9+0.000000001),1)))/Inputs!$B$44),G82*Q82))*IF(Inputs!$B$39="pvp",1,(1+(Inputs!$B$22+Skills!Q9+((C90=TRUE)*F90*IF(AND(Inputs!$B$39&lt;&gt;"pvp",Inputs!$B$44&gt;0),(((R90-1)*MIN((Skills!T17*(1+Inputs!$B$35/100)),(1/Q90))+MIN((Skills!T17*(1+Inputs!$B$35/100)),MAX(0,Inputs!$B$44-((R90-1)*(1/Q90)))))/Inputs!$B$44),IF(Inputs!$B$39="pvp",MIN((Skills!T17*(1+Inputs!$B$35/100)),15)/15,MIN(1,(Skills!T17*(1+Inputs!$B$35/100))/(1/Q90)))))+((C78=TRUE)*IF(Inputs!$B$3&gt;=126,10*MIN(1,15*Q78),0))+((C87=TRUE)*IF(Inputs!$B$39="pvp",20,(1-Summary!$B$11)*(20)+Summary!$B$11*(0))*IF(AND(Inputs!$B$39&lt;&gt;"pvp",Inputs!$B$44&gt;0),(((R87-1)*MIN((Skills!T14*(1+Inputs!$B$35/100)),(1/Q87))+MIN((Skills!T14*(1+Inputs!$B$35/100)),MAX(0,Inputs!$B$44-((R87-1)*(1/Q87)))))/Inputs!$B$44),IF(Inputs!$B$39="pvp",MIN((Skills!T14*(1+Inputs!$B$35/100)),15)/15,MIN(1,(Skills!T14*(1+Inputs!$B$35/100))/(1/Q87)))))+((C86=TRUE)*IF(Inputs!$B$3&gt;=82,IF(Inputs!$B$39="pvp",20,(1-Summary!$B$11)*(20)+Summary!$B$11*(0)),0)*IF(AND(Inputs!$B$39&lt;&gt;"pvp",Inputs!$B$44&gt;0),(((R86-1)*MIN((Skills!T13*(1+Inputs!$B$35/100)),(1/Q86))+MIN((Skills!T13*(1+Inputs!$B$35/100)),MAX(0,Inputs!$B$44-((R86-1)*(1/Q86)))))/Inputs!$B$44),IF(Inputs!$B$39="pvp",MIN((Skills!T13*(1+Inputs!$B$35/100)),15)/15,MIN(1,(Skills!T13*(1+Inputs!$B$35/100))/(1/Q86)))))+(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3">
      <c r="A83">
        <f>Skills!A10</f>
        <v/>
      </c>
      <c r="B83">
        <f>Skills!B10</f>
        <v/>
      </c>
      <c r="C83">
        <f>Inputs!$B$3&gt;=110</f>
        <v/>
      </c>
      <c r="D83">
        <f>IF(Skills!C10=1,60+Inputs!$B$26+Inputs!$B$30,IF(Skills!C10=2,90+Inputs!$B$27+Inputs!$B$30,IF(Skills!C10=3,120+Inputs!$B$28+Inputs!$B$30,MAX(0,(Inputs!$B$3-100)*3)+Inputs!$B$29+Inputs!$B$30)))</f>
        <v/>
      </c>
      <c r="E83">
        <f>INDEX(FactorTable!$B$2:$Y$301, MATCH(ROUND(MIN(300,MAX(1,D83)),0), FactorTable!$A$2:$A$301,0), Skills!M10+1)</f>
        <v/>
      </c>
      <c r="F83">
        <f>IF(Skills!N10=TRUE,(Skills!L10/10)*(E83/1000),Skills!L10/10)+Skills!O10</f>
        <v/>
      </c>
      <c r="G83">
        <f>Skills!G10*IF(Skills!H10&gt;0,INT(IF(Inputs!$B$39="pvp",MIN(Skills!I10,15),Skills!I10)/Skills!H10+0.000000001),1)</f>
        <v/>
      </c>
      <c r="H83">
        <f>1-(1-Skills!J10/100)^Skills!K10</f>
        <v/>
      </c>
      <c r="I83" t="inlineStr">
        <is>
          <t>1</t>
        </is>
      </c>
      <c r="J83">
        <f>((Inputs!$B$6*(1+Inputs!$B$7/100))+((((Inputs!$B$13+1)*(1+Inputs!$B$14/100))-(Inputs!$B$13*(1+Inputs!$B$14/100)))+0.25*(Inputs!$B$15-Inputs!$B$15))*(1+Inputs!$B$7/100))*(F83/100)</f>
        <v/>
      </c>
      <c r="K83">
        <f>J83*(1+((((Inputs!$B$13+1)+IF(Inputs!$B$3&gt;=38,(10*INDEX(FactorTable!$B$2:$Y$301, MATCH(ROUND(MIN(300,MAX(1,Inputs!$B$3)),0), FactorTable!$A$2:$A$301,0), 23)/1000)/100*(Inputs!$B$8*(1+Inputs!$B$9/100)),0))*(1+Inputs!$B$14/100))*0.01+Inputs!$B$15*0.0025)/100)*(1+Inputs!$B$16/100)*(1+Inputs!$B$17/100)*(5000/(6000+Inputs!$B$43*(1-(Inputs!$B$20+0)/100)))*(1+(Inputs!$B$25+((C98=TRUE)*(F98-Calc!F25))+((C99=TRUE)*(F99-Calc!F26))+B108)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gt;=100),MIN(100,((Inputs!$B$10+0+B102+(ArtifactsInput!$M$24-ArtifactsInput!$M$24)*CHOOSE(ArtifactsInput!$N$24+1,10,12,14,16,18,20)+IF(ArtifactsInput!$M$10,CHOOSE(ArtifactsInput!$N$10+1,15,18,21,24,27,30)*(IF(Inputs!$B$39="pvp",MIN(15,15)/15,IF(AND(Inputs!$B$39&lt;&gt;"pvp",Inputs!$B$44&gt;0),MIN(15,Inputs!$B$44)/(Inputs!$B$44),0))),0)))-100),0))*CHOOSE(ArtifactsInput!$N$42+1,0.6,0.72,0.84,0.96,1.08,1.2))),Inputs!$B$19+((C96=TRUE)*(F96-Calc!F23))+(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gt;=100),CHOOSE(ArtifactsInput!$N$42+1,40,48,56,64,72,80),0))))/100)*((1+(((C86=TRUE)*F86*IF(AND(Inputs!$B$39&lt;&gt;"pvp",Inputs!$B$44&gt;0),(((R86-1)*MIN((Skills!T13*(1+Inputs!$B$35/100)),(1/Q86))+MIN((Skills!T13*(1+Inputs!$B$35/100)),MAX(0,Inputs!$B$44-((R86-1)*(1/Q86)))))/Inputs!$B$44),IF(Inputs!$B$39="pvp",MIN((Skills!T13*(1+Inputs!$B$35/100)),15)/15,MIN(1,(Skills!T13*(1+Inputs!$B$35/100))/(1/Q86)))))+((C87=TRUE)*F87*IF(AND(Inputs!$B$39&lt;&gt;"pvp",Inputs!$B$44&gt;0),(((R87-1)*MIN((Skills!T14*(1+Inputs!$B$35/100)),(1/Q87))+MIN((Skills!T14*(1+Inputs!$B$35/100)),MAX(0,Inputs!$B$44-((R87-1)*(1/Q87)))))/Inputs!$B$44),IF(Inputs!$B$39="pvp",MIN((Skills!T14*(1+Inputs!$B$35/100)),15)/15,MIN(1,(Skills!T14*(1+Inputs!$B$35/100))/(1/Q87)))))+((C88=TRUE)*F88*IF(AND(Inputs!$B$39&lt;&gt;"pvp",Inputs!$B$44&gt;0),(((R88-1)*MIN((Skills!T15*(1+Inputs!$B$35/100)),(1/Q88))+MIN((Skills!T15*(1+Inputs!$B$35/100)),MAX(0,Inputs!$B$44-((R88-1)*(1/Q88)))))/Inputs!$B$44),IF(Inputs!$B$39="pvp",MIN((Skills!T15*(1+Inputs!$B$35/100)),15)/15,MIN(1,(Skills!T15*(1+Inputs!$B$35/100))/(1/Q88)))))+((C89=TRUE)*F89*IF(AND(Inputs!$B$39&lt;&gt;"pvp",Inputs!$B$44&gt;0),(((R89-1)*MIN((Skills!T16*(1+Inputs!$B$35/100)),(1/Q89))+MIN((Skills!T16*(1+Inputs!$B$35/100)),MAX(0,Inputs!$B$44-((R89-1)*(1/Q89)))))/Inputs!$B$44),IF(Inputs!$B$39="pvp",MIN((Skills!T16*(1+Inputs!$B$35/100)),15)/15,MIN(1,(Skills!T16*(1+Inputs!$B$35/100))/(1/Q89)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83)</f>
        <v/>
      </c>
      <c r="L83">
        <f>K83*(MIN(Inputs!$B$23+((C95=TRUE)*(F95-Calc!F22)),(Inputs!$B$24+((C97=TRUE)*(F97-Calc!F24))+(IF(ArtifactsInput!$M$15,CHOOSE(ArtifactsInput!$N$15+1,25,30,35,40,45,50)/100*(Inputs!$B$12-Inputs!$B$12),0))))/100+(Inputs!$B$24+((C97=TRUE)*(F97-Calc!F24))+(IF(ArtifactsInput!$M$15,CHOOSE(ArtifactsInput!$N$15+1,25,30,35,40,45,50)/100*(Inputs!$B$12-Inputs!$B$12),0)))/100)/2</f>
        <v/>
      </c>
      <c r="M83">
        <f>L83*(1+(Inputs!$B$11+0+B107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83">
        <f>L83*(1-MIN((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83*(MIN((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3">
        <f>(1-Summary!$B$11)*T83+Summary!$B$11*V83</f>
        <v/>
      </c>
      <c r="P83">
        <f>IF(B112=0,0,O83/B112)</f>
        <v/>
      </c>
      <c r="Q83">
        <f>IFERROR(1/IF(Inputs!$B$39="pvp",15,MAX(0.1,Skills!D10-IF(TRUE=TRUE,Inputs!$B$33,0))),0)</f>
        <v/>
      </c>
      <c r="R83">
        <f>IF(AND(Inputs!$B$39&lt;&gt;"pvp",Inputs!$B$44&gt;0),IF(MAX(0,Inputs!$B$44-B109)&lt;=0,0,(INT(MAX(0,Inputs!$B$44-B109)/IF(Inputs!$B$39="pvp",15,MAX(0.1,Skills!D10-IF(TRUE=TRUE,Inputs!$B$33,0))))+1)),0)</f>
        <v/>
      </c>
      <c r="S83">
        <f>IFERROR(O83/N83,0)</f>
        <v/>
      </c>
      <c r="T83">
        <f>IF(C83,(H83*N83*IF(AND(Inputs!$B$39&lt;&gt;"pvp",Inputs!$B$44&gt;0),((Skills!G10*((R83-1)*IF(Skills!H10&gt;0,INT(Skills!I10/Skills!H10+0.000000001),1)+IF(Skills!H10&gt;0,INT(MIN(Skills!I10,MAX(0,MAX(0,Inputs!$B$44-B109)-((R83-1)*IF(Inputs!$B$39="pvp",15,MAX(0.1,Skills!D10-IF(TRUE=TRUE,Inputs!$B$33,0))))))/Skills!H10+0.000000001),1)))/Inputs!$B$44),G83*Q83))*IF(Inputs!$B$39="pvp",1,1+(Inputs!$B$21+0+Skills!P10+((C90=TRUE)*F90*IF(AND(Inputs!$B$39&lt;&gt;"pvp",Inputs!$B$44&gt;0),(((R90-1)*MIN((Skills!T17*(1+Inputs!$B$35/100)),(1/Q90))+MIN((Skills!T17*(1+Inputs!$B$35/100)),MAX(0,Inputs!$B$44-((R90-1)*(1/Q90)))))/Inputs!$B$44),IF(Inputs!$B$39="pvp",MIN((Skills!T17*(1+Inputs!$B$35/100)),15)/15,MIN(1,(Skills!T17*(1+Inputs!$B$35/100))/(1/Q90)))))+((C78=TRUE)*IF(Inputs!$B$3&gt;=126,10*MIN(1,15*Q78),0))+((C87=TRUE)*IF(Inputs!$B$39="pvp",20,(1-Summary!$B$11)*(20)+Summary!$B$11*(0))*IF(AND(Inputs!$B$39&lt;&gt;"pvp",Inputs!$B$44&gt;0),(((R87-1)*MIN((Skills!T14*(1+Inputs!$B$35/100)),(1/Q87))+MIN((Skills!T14*(1+Inputs!$B$35/100)),MAX(0,Inputs!$B$44-((R87-1)*(1/Q87)))))/Inputs!$B$44),IF(Inputs!$B$39="pvp",MIN((Skills!T14*(1+Inputs!$B$35/100)),15)/15,MIN(1,(Skills!T14*(1+Inputs!$B$35/100))/(1/Q87)))))+((C86=TRUE)*IF(Inputs!$B$3&gt;=82,IF(Inputs!$B$39="pvp",20,(1-Summary!$B$11)*(20)+Summary!$B$11*(0)),0)*IF(AND(Inputs!$B$39&lt;&gt;"pvp",Inputs!$B$44&gt;0),(((R86-1)*MIN((Skills!T13*(1+Inputs!$B$35/100)),(1/Q86))+MIN((Skills!T13*(1+Inputs!$B$35/100)),MAX(0,Inputs!$B$44-((R86-1)*(1/Q86)))))/Inputs!$B$44),IF(Inputs!$B$39="pvp",MIN((Skills!T13*(1+Inputs!$B$35/100)),15)/15,MIN(1,(Skills!T13*(1+Inputs!$B$35/100))/(1/Q86)))))+(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83*(1-MIN(100,(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83*(MIN(100,(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83*(1-MIN(100,(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83*(MIN(100,(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3">
        <f>IF(C83,(H83*N83*IF(AND(Inputs!$B$39&lt;&gt;"pvp",Inputs!$B$44&gt;0),((Skills!G10*((R83-1)*IF(Skills!H10&gt;0,INT(Skills!I10/Skills!H10+0.000000001),1)+IF(Skills!H10&gt;0,INT(MIN(Skills!I10,MAX(0,MAX(0,Inputs!$B$44-B109)-((R83-1)*IF(Inputs!$B$39="pvp",15,MAX(0.1,Skills!D10-IF(TRUE=TRUE,Inputs!$B$33,0))))))/Skills!H10+0.000000001),1)))/Inputs!$B$44),G83*Q83))*IF(Inputs!$B$39="pvp",1,(1+(Inputs!$B$22+Skills!Q10+((C90=TRUE)*F90*IF(AND(Inputs!$B$39&lt;&gt;"pvp",Inputs!$B$44&gt;0),(((R90-1)*MIN((Skills!T17*(1+Inputs!$B$35/100)),(1/Q90))+MIN((Skills!T17*(1+Inputs!$B$35/100)),MAX(0,Inputs!$B$44-((R90-1)*(1/Q90)))))/Inputs!$B$44),IF(Inputs!$B$39="pvp",MIN((Skills!T17*(1+Inputs!$B$35/100)),15)/15,MIN(1,(Skills!T17*(1+Inputs!$B$35/100))/(1/Q90)))))+((C78=TRUE)*IF(Inputs!$B$3&gt;=126,10*MIN(1,15*Q78),0))+((C87=TRUE)*IF(Inputs!$B$39="pvp",20,(1-Summary!$B$11)*(20)+Summary!$B$11*(0))*IF(AND(Inputs!$B$39&lt;&gt;"pvp",Inputs!$B$44&gt;0),(((R87-1)*MIN((Skills!T14*(1+Inputs!$B$35/100)),(1/Q87))+MIN((Skills!T14*(1+Inputs!$B$35/100)),MAX(0,Inputs!$B$44-((R87-1)*(1/Q87)))))/Inputs!$B$44),IF(Inputs!$B$39="pvp",MIN((Skills!T14*(1+Inputs!$B$35/100)),15)/15,MIN(1,(Skills!T14*(1+Inputs!$B$35/100))/(1/Q87)))))+((C86=TRUE)*IF(Inputs!$B$3&gt;=82,IF(Inputs!$B$39="pvp",20,(1-Summary!$B$11)*(20)+Summary!$B$11*(0)),0)*IF(AND(Inputs!$B$39&lt;&gt;"pvp",Inputs!$B$44&gt;0),(((R86-1)*MIN((Skills!T13*(1+Inputs!$B$35/100)),(1/Q86))+MIN((Skills!T13*(1+Inputs!$B$35/100)),MAX(0,Inputs!$B$44-((R86-1)*(1/Q86)))))/Inputs!$B$44),IF(Inputs!$B$39="pvp",MIN((Skills!T13*(1+Inputs!$B$35/100)),15)/15,MIN(1,(Skills!T13*(1+Inputs!$B$35/100))/(1/Q86)))))+(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4">
      <c r="A84">
        <f>Skills!A11</f>
        <v/>
      </c>
      <c r="B84">
        <f>Skills!B11</f>
        <v/>
      </c>
      <c r="C84">
        <f>Inputs!$B$3&gt;=100</f>
        <v/>
      </c>
      <c r="D84">
        <f>IF(Skills!C11=1,60+Inputs!$B$26+Inputs!$B$30,IF(Skills!C11=2,90+Inputs!$B$27+Inputs!$B$30,IF(Skills!C11=3,120+Inputs!$B$28+Inputs!$B$30,MAX(0,(Inputs!$B$3-100)*3)+Inputs!$B$29+Inputs!$B$30)))</f>
        <v/>
      </c>
      <c r="E84">
        <f>INDEX(FactorTable!$B$2:$Y$301, MATCH(ROUND(MIN(300,MAX(1,D84)),0), FactorTable!$A$2:$A$301,0), Skills!M11+1)</f>
        <v/>
      </c>
      <c r="F84">
        <f>IF(Skills!N11=TRUE,(Skills!L11/10)*(E84/1000),Skills!L11/10)+Skills!O11</f>
        <v/>
      </c>
      <c r="G84" t="inlineStr"/>
      <c r="H84" t="inlineStr"/>
      <c r="I84" t="inlineStr">
        <is>
          <t>1</t>
        </is>
      </c>
      <c r="J84" t="inlineStr"/>
      <c r="K84" t="inlineStr"/>
      <c r="L84" t="inlineStr"/>
      <c r="M84" t="inlineStr"/>
      <c r="N84" t="inlineStr"/>
      <c r="O84" t="inlineStr"/>
      <c r="P84" t="inlineStr"/>
      <c r="Q84" t="inlineStr"/>
      <c r="R84" t="inlineStr"/>
      <c r="S84" t="inlineStr"/>
    </row>
    <row r="85">
      <c r="A85">
        <f>Skills!A12</f>
        <v/>
      </c>
      <c r="B85">
        <f>Skills!B12</f>
        <v/>
      </c>
      <c r="C85">
        <f>Inputs!$B$3&gt;=63</f>
        <v/>
      </c>
      <c r="D85">
        <f>IF(Skills!C12=1,60+Inputs!$B$26+Inputs!$B$30,IF(Skills!C12=2,90+Inputs!$B$27+Inputs!$B$30,IF(Skills!C12=3,120+Inputs!$B$28+Inputs!$B$30,MAX(0,(Inputs!$B$3-100)*3)+Inputs!$B$29+Inputs!$B$30)))</f>
        <v/>
      </c>
      <c r="E85">
        <f>INDEX(FactorTable!$B$2:$Y$301, MATCH(ROUND(MIN(300,MAX(1,D85)),0), FactorTable!$A$2:$A$301,0), Skills!M12+1)</f>
        <v/>
      </c>
      <c r="F85">
        <f>IF(Skills!N12=TRUE,(Skills!L12/10)*(E85/1000),Skills!L12/10)+Skills!O12</f>
        <v/>
      </c>
      <c r="G85">
        <f>Skills!G12*IF(Skills!H12&gt;0,INT(IF(Inputs!$B$39="pvp",MIN(Skills!I12,15),Skills!I12)/Skills!H12+0.000000001),1)</f>
        <v/>
      </c>
      <c r="H85">
        <f>1-(1-Skills!J12/100)^Skills!K12</f>
        <v/>
      </c>
      <c r="I85" t="inlineStr">
        <is>
          <t>1</t>
        </is>
      </c>
      <c r="J85">
        <f>((Inputs!$B$6*(1+Inputs!$B$7/100))+((((Inputs!$B$13+1)*(1+Inputs!$B$14/100))-(Inputs!$B$13*(1+Inputs!$B$14/100)))+0.25*(Inputs!$B$15-Inputs!$B$15))*(1+Inputs!$B$7/100))*(F85/100)</f>
        <v/>
      </c>
      <c r="K85">
        <f>J85*(1+((((Inputs!$B$13+1)+IF(Inputs!$B$3&gt;=38,(10*INDEX(FactorTable!$B$2:$Y$301, MATCH(ROUND(MIN(300,MAX(1,Inputs!$B$3)),0), FactorTable!$A$2:$A$301,0), 23)/1000)/100*(Inputs!$B$8*(1+Inputs!$B$9/100)),0))*(1+Inputs!$B$14/100))*0.01+Inputs!$B$15*0.0025)/100)*(1+Inputs!$B$16/100)*(1+Inputs!$B$17/100)*(5000/(6000+Inputs!$B$43*(1-(Inputs!$B$20+0)/100)))*(1+(Inputs!$B$25+((C98=TRUE)*(F98-Calc!F25))+((C99=TRUE)*(F99-Calc!F26))+B108)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84=TRUE,F84,0)/100)*(1+(IF(Skills!A12="DARK_IMPALE",Inputs!$B$18+0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gt;=100),MIN(100,((Inputs!$B$10+0+B102+(ArtifactsInput!$M$24-ArtifactsInput!$M$24)*CHOOSE(ArtifactsInput!$N$24+1,10,12,14,16,18,20)+IF(ArtifactsInput!$M$10,CHOOSE(ArtifactsInput!$N$10+1,15,18,21,24,27,30)*(IF(Inputs!$B$39="pvp",MIN(15,15)/15,IF(AND(Inputs!$B$39&lt;&gt;"pvp",Inputs!$B$44&gt;0),MIN(15,Inputs!$B$44)/(Inputs!$B$44),0))),0)))-100),0))*CHOOSE(ArtifactsInput!$N$42+1,0.6,0.72,0.84,0.96,1.08,1.2))),Inputs!$B$19+((C96=TRUE)*(F96-Calc!F23))+(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gt;=100),CHOOSE(ArtifactsInput!$N$42+1,40,48,56,64,72,80),0))))/100)*((1+(((C86=TRUE)*F86*IF(AND(Inputs!$B$39&lt;&gt;"pvp",Inputs!$B$44&gt;0),(((R86-1)*MIN((Skills!T13*(1+Inputs!$B$35/100)),(1/Q86))+MIN((Skills!T13*(1+Inputs!$B$35/100)),MAX(0,Inputs!$B$44-((R86-1)*(1/Q86)))))/Inputs!$B$44),IF(Inputs!$B$39="pvp",MIN((Skills!T13*(1+Inputs!$B$35/100)),15)/15,MIN(1,(Skills!T13*(1+Inputs!$B$35/100))/(1/Q86)))))+((C87=TRUE)*F87*IF(AND(Inputs!$B$39&lt;&gt;"pvp",Inputs!$B$44&gt;0),(((R87-1)*MIN((Skills!T14*(1+Inputs!$B$35/100)),(1/Q87))+MIN((Skills!T14*(1+Inputs!$B$35/100)),MAX(0,Inputs!$B$44-((R87-1)*(1/Q87)))))/Inputs!$B$44),IF(Inputs!$B$39="pvp",MIN((Skills!T14*(1+Inputs!$B$35/100)),15)/15,MIN(1,(Skills!T14*(1+Inputs!$B$35/100))/(1/Q87)))))+((C88=TRUE)*F88*IF(AND(Inputs!$B$39&lt;&gt;"pvp",Inputs!$B$44&gt;0),(((R88-1)*MIN((Skills!T15*(1+Inputs!$B$35/100)),(1/Q88))+MIN((Skills!T15*(1+Inputs!$B$35/100)),MAX(0,Inputs!$B$44-((R88-1)*(1/Q88)))))/Inputs!$B$44),IF(Inputs!$B$39="pvp",MIN((Skills!T15*(1+Inputs!$B$35/100)),15)/15,MIN(1,(Skills!T15*(1+Inputs!$B$35/100))/(1/Q88)))))+((C89=TRUE)*F89*IF(AND(Inputs!$B$39&lt;&gt;"pvp",Inputs!$B$44&gt;0),(((R89-1)*MIN((Skills!T16*(1+Inputs!$B$35/100)),(1/Q89))+MIN((Skills!T16*(1+Inputs!$B$35/100)),MAX(0,Inputs!$B$44-((R89-1)*(1/Q89)))))/Inputs!$B$44),IF(Inputs!$B$39="pvp",MIN((Skills!T16*(1+Inputs!$B$35/100)),15)/15,MIN(1,(Skills!T16*(1+Inputs!$B$35/100))/(1/Q89)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85)</f>
        <v/>
      </c>
      <c r="L85">
        <f>K85*(MIN(Inputs!$B$23+((C95=TRUE)*(F95-Calc!F22)),(Inputs!$B$24+((C97=TRUE)*(F97-Calc!F24))+(IF(ArtifactsInput!$M$15,CHOOSE(ArtifactsInput!$N$15+1,25,30,35,40,45,50)/100*(Inputs!$B$12-Inputs!$B$12),0))))/100+(Inputs!$B$24+((C97=TRUE)*(F97-Calc!F24))+(IF(ArtifactsInput!$M$15,CHOOSE(ArtifactsInput!$N$15+1,25,30,35,40,45,50)/100*(Inputs!$B$12-Inputs!$B$12),0)))/100)/2</f>
        <v/>
      </c>
      <c r="M85">
        <f>L85*(1+(Inputs!$B$11+0+B107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85">
        <f>L85*(1-MIN((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85*(MIN((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5">
        <f>(1-Summary!$B$11)*T85+Summary!$B$11*V85</f>
        <v/>
      </c>
      <c r="P85">
        <f>IF(B112=0,0,O85/B112)</f>
        <v/>
      </c>
      <c r="Q85">
        <f>IFERROR(1/IF(Inputs!$B$39="pvp",15,MAX(0.1,Skills!D12-IF(TRUE=TRUE,Inputs!$B$33,0))),0)</f>
        <v/>
      </c>
      <c r="R85">
        <f>IF(AND(Inputs!$B$39&lt;&gt;"pvp",Inputs!$B$44&gt;0),IF(MAX(0,Inputs!$B$44-B109)&lt;=0,0,(INT(MAX(0,Inputs!$B$44-B109)/IF(Inputs!$B$39="pvp",15,MAX(0.1,Skills!D12-IF(TRUE=TRUE,Inputs!$B$33,0))))+1)),0)</f>
        <v/>
      </c>
      <c r="S85">
        <f>IFERROR(O85/N85,0)</f>
        <v/>
      </c>
      <c r="T85">
        <f>IF(C85,(H85*N85*IF(AND(Inputs!$B$39&lt;&gt;"pvp",Inputs!$B$44&gt;0),((Skills!G12*((R85-1)*IF(Skills!H12&gt;0,INT(Skills!I12/Skills!H12+0.000000001),1)+IF(Skills!H12&gt;0,INT(MIN(Skills!I12,MAX(0,MAX(0,Inputs!$B$44-B109)-((R85-1)*IF(Inputs!$B$39="pvp",15,MAX(0.1,Skills!D12-IF(TRUE=TRUE,Inputs!$B$33,0))))))/Skills!H12+0.000000001),1)))/Inputs!$B$44),G85*Q85))*IF(Inputs!$B$39="pvp",1,1+(Inputs!$B$21+0+Skills!P12+((C90=TRUE)*F90*IF(AND(Inputs!$B$39&lt;&gt;"pvp",Inputs!$B$44&gt;0),(((R90-1)*MIN((Skills!T17*(1+Inputs!$B$35/100)),(1/Q90))+MIN((Skills!T17*(1+Inputs!$B$35/100)),MAX(0,Inputs!$B$44-((R90-1)*(1/Q90)))))/Inputs!$B$44),IF(Inputs!$B$39="pvp",MIN((Skills!T17*(1+Inputs!$B$35/100)),15)/15,MIN(1,(Skills!T17*(1+Inputs!$B$35/100))/(1/Q90)))))+((C78=TRUE)*IF(Inputs!$B$3&gt;=126,10*MIN(1,15*Q78),0))+((C87=TRUE)*IF(Inputs!$B$39="pvp",20,(1-Summary!$B$11)*(20)+Summary!$B$11*(0))*IF(AND(Inputs!$B$39&lt;&gt;"pvp",Inputs!$B$44&gt;0),(((R87-1)*MIN((Skills!T14*(1+Inputs!$B$35/100)),(1/Q87))+MIN((Skills!T14*(1+Inputs!$B$35/100)),MAX(0,Inputs!$B$44-((R87-1)*(1/Q87)))))/Inputs!$B$44),IF(Inputs!$B$39="pvp",MIN((Skills!T14*(1+Inputs!$B$35/100)),15)/15,MIN(1,(Skills!T14*(1+Inputs!$B$35/100))/(1/Q87)))))+((C86=TRUE)*IF(Inputs!$B$3&gt;=82,IF(Inputs!$B$39="pvp",20,(1-Summary!$B$11)*(20)+Summary!$B$11*(0)),0)*IF(AND(Inputs!$B$39&lt;&gt;"pvp",Inputs!$B$44&gt;0),(((R86-1)*MIN((Skills!T13*(1+Inputs!$B$35/100)),(1/Q86))+MIN((Skills!T13*(1+Inputs!$B$35/100)),MAX(0,Inputs!$B$44-((R86-1)*(1/Q86)))))/Inputs!$B$44),IF(Inputs!$B$39="pvp",MIN((Skills!T13*(1+Inputs!$B$35/100)),15)/15,MIN(1,(Skills!T13*(1+Inputs!$B$35/100))/(1/Q86)))))+(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85*(1-MIN(100,(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85*(MIN(100,(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85*(1-MIN(100,(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85*(MIN(100,(Inputs!$B$10+0+B102+(ArtifactsInput!$M$24-ArtifactsInput!$M$24)*CHOOSE(ArtifactsInput!$N$24+1,10,12,14,16,18,20)+(IF(AND(Inputs!$B$39&lt;&gt;"pvp",Inputs!$B$44=0),1,IF(IF(Inputs!$B$39="pvp",15,Inputs!$B$44)-(B109)&lt;=0,1,MAX(0,IF(Inputs!$B$39="pvp",15,Inputs!$B$44)-MAX(5,B109))/(IF(Inputs!$B$39="pvp",15,Inputs!$B$44)-(B109))))*IF(AND(ArtifactsInput!$M$42,((Inputs!$B$10+0+B102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5">
        <f>IF(C85,(H85*N85*IF(AND(Inputs!$B$39&lt;&gt;"pvp",Inputs!$B$44&gt;0),((Skills!G12*((R85-1)*IF(Skills!H12&gt;0,INT(Skills!I12/Skills!H12+0.000000001),1)+IF(Skills!H12&gt;0,INT(MIN(Skills!I12,MAX(0,MAX(0,Inputs!$B$44-B109)-((R85-1)*IF(Inputs!$B$39="pvp",15,MAX(0.1,Skills!D12-IF(TRUE=TRUE,Inputs!$B$33,0))))))/Skills!H12+0.000000001),1)))/Inputs!$B$44),G85*Q85))*IF(Inputs!$B$39="pvp",1,(1+(Inputs!$B$22+Skills!Q12+((C90=TRUE)*F90*IF(AND(Inputs!$B$39&lt;&gt;"pvp",Inputs!$B$44&gt;0),(((R90-1)*MIN((Skills!T17*(1+Inputs!$B$35/100)),(1/Q90))+MIN((Skills!T17*(1+Inputs!$B$35/100)),MAX(0,Inputs!$B$44-((R90-1)*(1/Q90)))))/Inputs!$B$44),IF(Inputs!$B$39="pvp",MIN((Skills!T17*(1+Inputs!$B$35/100)),15)/15,MIN(1,(Skills!T17*(1+Inputs!$B$35/100))/(1/Q90)))))+((C78=TRUE)*IF(Inputs!$B$3&gt;=126,10*MIN(1,15*Q78),0))+((C87=TRUE)*IF(Inputs!$B$39="pvp",20,(1-Summary!$B$11)*(20)+Summary!$B$11*(0))*IF(AND(Inputs!$B$39&lt;&gt;"pvp",Inputs!$B$44&gt;0),(((R87-1)*MIN((Skills!T14*(1+Inputs!$B$35/100)),(1/Q87))+MIN((Skills!T14*(1+Inputs!$B$35/100)),MAX(0,Inputs!$B$44-((R87-1)*(1/Q87)))))/Inputs!$B$44),IF(Inputs!$B$39="pvp",MIN((Skills!T14*(1+Inputs!$B$35/100)),15)/15,MIN(1,(Skills!T14*(1+Inputs!$B$35/100))/(1/Q87)))))+((C86=TRUE)*IF(Inputs!$B$3&gt;=82,IF(Inputs!$B$39="pvp",20,(1-Summary!$B$11)*(20)+Summary!$B$11*(0)),0)*IF(AND(Inputs!$B$39&lt;&gt;"pvp",Inputs!$B$44&gt;0),(((R86-1)*MIN((Skills!T13*(1+Inputs!$B$35/100)),(1/Q86))+MIN((Skills!T13*(1+Inputs!$B$35/100)),MAX(0,Inputs!$B$44-((R86-1)*(1/Q86)))))/Inputs!$B$44),IF(Inputs!$B$39="pvp",MIN((Skills!T13*(1+Inputs!$B$35/100)),15)/15,MIN(1,(Skills!T13*(1+Inputs!$B$35/100))/(1/Q86)))))+(IF(AND(ArtifactsInput!$M$35,Inputs!$B$4&lt;&gt;"Chapter Hunt"),CHOOSE(ArtifactsInput!$N$35+1,15,18,21,24,27,30)*(1-EXP(-(0.2*B104)*5)),0)+IF(AND(ArtifactsInput!$M$22,Inputs!$B$4&lt;&gt;"Chapter Hunt"),CHOOSE(ArtifactsInput!$N$22+1,10,12,14,16,18,20)*((0*(((0.15*B104*5))^0/1)+1*(((0.15*B104*5))^1/1)+2*(((0.15*B104*5))^2/2)+3*(((0.15*B104*5))^3/6)+4*(((0.15*B104*5))^4/24)+5*(((0.15*B104*5))^5/120))/((((0.15*B104*5))^0/1)+(((0.15*B104*5))^1/1)+(((0.15*B104*5))^2/2)+(((0.15*B104*5))^3/6)+(((0.15*B104*5))^4/24)+(((0.15*B104*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6">
      <c r="A86">
        <f>Skills!A13</f>
        <v/>
      </c>
      <c r="B86">
        <f>Skills!B13</f>
        <v/>
      </c>
      <c r="C86">
        <f>Inputs!$B$3&gt;=69</f>
        <v/>
      </c>
      <c r="D86">
        <f>IF(Skills!C13=1,60+Inputs!$B$26+Inputs!$B$30,IF(Skills!C13=2,90+Inputs!$B$27+Inputs!$B$30,IF(Skills!C13=3,120+Inputs!$B$28+Inputs!$B$30,MAX(0,(Inputs!$B$3-100)*3)+Inputs!$B$29+Inputs!$B$30)))</f>
        <v/>
      </c>
      <c r="E86">
        <f>INDEX(FactorTable!$B$2:$Y$301, MATCH(ROUND(MIN(300,MAX(1,D86)),0), FactorTable!$A$2:$A$301,0), Skills!M13+1)</f>
        <v/>
      </c>
      <c r="F86">
        <f>IF(Skills!N13=TRUE,(Skills!L13/10)*(E86/1000),Skills!L13/10)+Skills!O13</f>
        <v/>
      </c>
      <c r="G86">
        <f>Skills!G13*IF(Skills!H13&gt;0,INT(IF(Inputs!$B$39="pvp",MIN(Skills!I13,15),Skills!I13)/Skills!H13+0.000000001),1)</f>
        <v/>
      </c>
      <c r="H86">
        <f>1-(1-Skills!J13/100)^Skills!K13</f>
        <v/>
      </c>
      <c r="I86" t="inlineStr">
        <is>
          <t>1</t>
        </is>
      </c>
      <c r="J86" t="inlineStr"/>
      <c r="K86" t="inlineStr"/>
      <c r="L86" t="inlineStr"/>
      <c r="M86" t="inlineStr"/>
      <c r="N86" t="inlineStr"/>
      <c r="O86">
        <f>(1-Summary!$B$11)*T86+Summary!$B$11*V86</f>
        <v/>
      </c>
      <c r="P86">
        <f>IF(B112=0,0,O86/B112)</f>
        <v/>
      </c>
      <c r="Q86">
        <f>IFERROR(1/IF(Inputs!$B$39="pvp",15,MAX(0.1,Skills!D13-IF(TRUE=TRUE,Inputs!$B$33,0))),0)</f>
        <v/>
      </c>
      <c r="R86">
        <f>IF(AND(Inputs!$B$39&lt;&gt;"pvp",Inputs!$B$44&gt;0),IF(Inputs!$B$44&lt;=0,0,(INT(Inputs!$B$44/IF(Inputs!$B$39="pvp",15,MAX(0.1,Skills!D13-IF(TRUE=TRUE,Inputs!$B$33,0))))+1)),0)</f>
        <v/>
      </c>
      <c r="S86">
        <f>IFERROR(O86/N86,0)</f>
        <v/>
      </c>
      <c r="T86" t="n">
        <v>0</v>
      </c>
      <c r="V86" t="n">
        <v>0</v>
      </c>
    </row>
    <row r="87">
      <c r="A87">
        <f>Skills!A14</f>
        <v/>
      </c>
      <c r="B87">
        <f>Skills!B14</f>
        <v/>
      </c>
      <c r="C87">
        <f>Inputs!$B$3&gt;=115</f>
        <v/>
      </c>
      <c r="D87">
        <f>IF(Skills!C14=1,60+Inputs!$B$26+Inputs!$B$30,IF(Skills!C14=2,90+Inputs!$B$27+Inputs!$B$30,IF(Skills!C14=3,120+Inputs!$B$28+Inputs!$B$30,MAX(0,(Inputs!$B$3-100)*3)+Inputs!$B$29+Inputs!$B$30)))</f>
        <v/>
      </c>
      <c r="E87">
        <f>INDEX(FactorTable!$B$2:$Y$301, MATCH(ROUND(MIN(300,MAX(1,D87)),0), FactorTable!$A$2:$A$301,0), Skills!M14+1)</f>
        <v/>
      </c>
      <c r="F87">
        <f>IF(Skills!N14=TRUE,(Skills!L14/10)*(E87/1000),Skills!L14/10)+Skills!O14</f>
        <v/>
      </c>
      <c r="G87">
        <f>Skills!G14*IF(Skills!H14&gt;0,INT(IF(Inputs!$B$39="pvp",MIN(Skills!I14,15),Skills!I14)/Skills!H14+0.000000001),1)</f>
        <v/>
      </c>
      <c r="H87">
        <f>1-(1-Skills!J14/100)^Skills!K14</f>
        <v/>
      </c>
      <c r="I87" t="inlineStr">
        <is>
          <t>1</t>
        </is>
      </c>
      <c r="J87" t="inlineStr"/>
      <c r="K87" t="inlineStr"/>
      <c r="L87" t="inlineStr"/>
      <c r="M87" t="inlineStr"/>
      <c r="N87" t="inlineStr"/>
      <c r="O87">
        <f>(1-Summary!$B$11)*T87+Summary!$B$11*V87</f>
        <v/>
      </c>
      <c r="P87">
        <f>IF(B112=0,0,O87/B112)</f>
        <v/>
      </c>
      <c r="Q87">
        <f>IFERROR(1/IF(Inputs!$B$39="pvp",15,MAX(0.1,Skills!D14-IF(TRUE=TRUE,Inputs!$B$33,0))),0)</f>
        <v/>
      </c>
      <c r="R87">
        <f>IF(AND(Inputs!$B$39&lt;&gt;"pvp",Inputs!$B$44&gt;0),IF(Inputs!$B$44&lt;=0,0,(INT(Inputs!$B$44/IF(Inputs!$B$39="pvp",15,MAX(0.1,Skills!D14-IF(TRUE=TRUE,Inputs!$B$33,0))))+1)),0)</f>
        <v/>
      </c>
      <c r="S87">
        <f>IFERROR(O87/N87,0)</f>
        <v/>
      </c>
      <c r="T87" t="n">
        <v>0</v>
      </c>
      <c r="V87" t="n">
        <v>0</v>
      </c>
    </row>
    <row r="88">
      <c r="A88">
        <f>Skills!A15</f>
        <v/>
      </c>
      <c r="B88">
        <f>Skills!B15</f>
        <v/>
      </c>
      <c r="C88">
        <f>Inputs!$B$3&gt;=66</f>
        <v/>
      </c>
      <c r="D88">
        <f>IF(Skills!C15=1,60+Inputs!$B$26+Inputs!$B$30,IF(Skills!C15=2,90+Inputs!$B$27+Inputs!$B$30,IF(Skills!C15=3,120+Inputs!$B$28+Inputs!$B$30,MAX(0,(Inputs!$B$3-100)*3)+Inputs!$B$29+Inputs!$B$30)))</f>
        <v/>
      </c>
      <c r="E88">
        <f>INDEX(FactorTable!$B$2:$Y$301, MATCH(ROUND(MIN(300,MAX(1,D88)),0), FactorTable!$A$2:$A$301,0), Skills!M15+1)</f>
        <v/>
      </c>
      <c r="F88">
        <f>IF(Skills!N15=TRUE,(Skills!L15/10)*(E88/1000),Skills!L15/10)+Skills!O15</f>
        <v/>
      </c>
      <c r="G88">
        <f>Skills!G15*IF(Skills!H15&gt;0,INT(IF(Inputs!$B$39="pvp",MIN(Skills!I15,15),Skills!I15)/Skills!H15+0.000000001),1)</f>
        <v/>
      </c>
      <c r="H88">
        <f>1-(1-Skills!J15/100)^Skills!K15</f>
        <v/>
      </c>
      <c r="I88" t="inlineStr">
        <is>
          <t>1</t>
        </is>
      </c>
      <c r="J88" t="inlineStr"/>
      <c r="K88" t="inlineStr"/>
      <c r="L88" t="inlineStr"/>
      <c r="M88" t="inlineStr"/>
      <c r="N88" t="inlineStr"/>
      <c r="O88">
        <f>(1-Summary!$B$11)*T88+Summary!$B$11*V88</f>
        <v/>
      </c>
      <c r="P88">
        <f>IF(B112=0,0,O88/B112)</f>
        <v/>
      </c>
      <c r="Q88">
        <f>IFERROR(1/IF(Inputs!$B$39="pvp",15,MAX(0.1,Skills!D15-IF(TRUE=TRUE,Inputs!$B$33,0))),0)</f>
        <v/>
      </c>
      <c r="R88">
        <f>IF(AND(Inputs!$B$39&lt;&gt;"pvp",Inputs!$B$44&gt;0),IF(Inputs!$B$44&lt;=0,0,(INT(Inputs!$B$44/IF(Inputs!$B$39="pvp",15,MAX(0.1,Skills!D15-IF(TRUE=TRUE,Inputs!$B$33,0))))+1)),0)</f>
        <v/>
      </c>
      <c r="S88">
        <f>IFERROR(O88/N88,0)</f>
        <v/>
      </c>
      <c r="T88" t="n">
        <v>0</v>
      </c>
      <c r="V88" t="n">
        <v>0</v>
      </c>
    </row>
    <row r="89">
      <c r="A89">
        <f>Skills!A16</f>
        <v/>
      </c>
      <c r="B89">
        <f>Skills!B16</f>
        <v/>
      </c>
      <c r="C89">
        <f>Inputs!$B$3&gt;=45</f>
        <v/>
      </c>
      <c r="D89">
        <f>IF(Skills!C16=1,60+Inputs!$B$26+Inputs!$B$30,IF(Skills!C16=2,90+Inputs!$B$27+Inputs!$B$30,IF(Skills!C16=3,120+Inputs!$B$28+Inputs!$B$30,MAX(0,(Inputs!$B$3-100)*3)+Inputs!$B$29+Inputs!$B$30)))</f>
        <v/>
      </c>
      <c r="E89">
        <f>INDEX(FactorTable!$B$2:$Y$301, MATCH(ROUND(MIN(300,MAX(1,D89)),0), FactorTable!$A$2:$A$301,0), Skills!M16+1)</f>
        <v/>
      </c>
      <c r="F89">
        <f>IF(Skills!N16=TRUE,(Skills!L16/10)*(E89/1000),Skills!L16/10)+Skills!O16</f>
        <v/>
      </c>
      <c r="G89">
        <f>Skills!G16*IF(Skills!H16&gt;0,INT(IF(Inputs!$B$39="pvp",MIN(Skills!I16,15),Skills!I16)/Skills!H16+0.000000001),1)</f>
        <v/>
      </c>
      <c r="H89">
        <f>1-(1-Skills!J16/100)^Skills!K16</f>
        <v/>
      </c>
      <c r="I89" t="inlineStr">
        <is>
          <t>1</t>
        </is>
      </c>
      <c r="J89" t="inlineStr"/>
      <c r="K89" t="inlineStr"/>
      <c r="L89" t="inlineStr"/>
      <c r="M89" t="inlineStr"/>
      <c r="N89" t="inlineStr"/>
      <c r="O89">
        <f>(1-Summary!$B$11)*T89+Summary!$B$11*V89</f>
        <v/>
      </c>
      <c r="P89">
        <f>IF(B112=0,0,O89/B112)</f>
        <v/>
      </c>
      <c r="Q89">
        <f>IFERROR(1/IF(Inputs!$B$39="pvp",15,MAX(0.1,Skills!D16-IF(TRUE=TRUE,Inputs!$B$33,0))),0)</f>
        <v/>
      </c>
      <c r="R89">
        <f>IF(AND(Inputs!$B$39&lt;&gt;"pvp",Inputs!$B$44&gt;0),IF(Inputs!$B$44&lt;=0,0,(INT(Inputs!$B$44/IF(Inputs!$B$39="pvp",15,MAX(0.1,Skills!D16-IF(TRUE=TRUE,Inputs!$B$33,0))))+1)),0)</f>
        <v/>
      </c>
      <c r="S89">
        <f>IFERROR(O89/N89,0)</f>
        <v/>
      </c>
      <c r="T89" t="n">
        <v>0</v>
      </c>
      <c r="V89" t="n">
        <v>0</v>
      </c>
    </row>
    <row r="90">
      <c r="A90">
        <f>Skills!A17</f>
        <v/>
      </c>
      <c r="B90">
        <f>Skills!B17</f>
        <v/>
      </c>
      <c r="C90">
        <f>Inputs!$B$3&gt;=35</f>
        <v/>
      </c>
      <c r="D90">
        <f>IF(Skills!C17=1,60+Inputs!$B$26+Inputs!$B$30,IF(Skills!C17=2,90+Inputs!$B$27+Inputs!$B$30,IF(Skills!C17=3,120+Inputs!$B$28+Inputs!$B$30,MAX(0,(Inputs!$B$3-100)*3)+Inputs!$B$29+Inputs!$B$30)))</f>
        <v/>
      </c>
      <c r="E90">
        <f>INDEX(FactorTable!$B$2:$Y$301, MATCH(ROUND(MIN(300,MAX(1,D90)),0), FactorTable!$A$2:$A$301,0), Skills!M17+1)</f>
        <v/>
      </c>
      <c r="F90">
        <f>IF(Skills!N17=TRUE,(Skills!L17/10)*(E90/1000),Skills!L17/10)+Skills!O17</f>
        <v/>
      </c>
      <c r="G90">
        <f>Skills!G17*IF(Skills!H17&gt;0,INT(IF(Inputs!$B$39="pvp",MIN(Skills!I17,15),Skills!I17)/Skills!H17+0.000000001),1)</f>
        <v/>
      </c>
      <c r="H90">
        <f>1-(1-Skills!J17/100)^Skills!K17</f>
        <v/>
      </c>
      <c r="I90" t="inlineStr">
        <is>
          <t>1</t>
        </is>
      </c>
      <c r="J90" t="inlineStr"/>
      <c r="K90" t="inlineStr"/>
      <c r="L90" t="inlineStr"/>
      <c r="M90" t="inlineStr"/>
      <c r="N90" t="inlineStr"/>
      <c r="O90">
        <f>(1-Summary!$B$11)*T90+Summary!$B$11*V90</f>
        <v/>
      </c>
      <c r="P90">
        <f>IF(B112=0,0,O90/B112)</f>
        <v/>
      </c>
      <c r="Q90">
        <f>IFERROR(1/IF(Inputs!$B$39="pvp",15,MAX(0.1,Skills!D17-IF(TRUE=TRUE,Inputs!$B$33,0))),0)</f>
        <v/>
      </c>
      <c r="R90">
        <f>IF(AND(Inputs!$B$39&lt;&gt;"pvp",Inputs!$B$44&gt;0),IF(Inputs!$B$44&lt;=0,0,(INT(Inputs!$B$44/IF(Inputs!$B$39="pvp",15,MAX(0.1,Skills!D17-IF(TRUE=TRUE,Inputs!$B$33,0))))+1)),0)</f>
        <v/>
      </c>
      <c r="S90">
        <f>IFERROR(O90/N90,0)</f>
        <v/>
      </c>
      <c r="T90" t="n">
        <v>0</v>
      </c>
      <c r="V90" t="n">
        <v>0</v>
      </c>
    </row>
    <row r="91">
      <c r="A91">
        <f>Skills!A18</f>
        <v/>
      </c>
      <c r="B91">
        <f>Skills!B18</f>
        <v/>
      </c>
      <c r="C91">
        <f>Inputs!$B$3&gt;=72</f>
        <v/>
      </c>
      <c r="D91">
        <f>IF(Skills!C18=1,60+Inputs!$B$26+Inputs!$B$30,IF(Skills!C18=2,90+Inputs!$B$27+Inputs!$B$30,IF(Skills!C18=3,120+Inputs!$B$28+Inputs!$B$30,MAX(0,(Inputs!$B$3-100)*3)+Inputs!$B$29+Inputs!$B$30)))</f>
        <v/>
      </c>
      <c r="E91">
        <f>INDEX(FactorTable!$B$2:$Y$301, MATCH(ROUND(MIN(300,MAX(1,D91)),0), FactorTable!$A$2:$A$301,0), Skills!M18+1)</f>
        <v/>
      </c>
      <c r="F91">
        <f>IF(Skills!N18=TRUE,(Skills!L18/10)*(E91/1000),Skills!L18/10)+Skills!O18</f>
        <v/>
      </c>
      <c r="G91">
        <f>Skills!G18*IF(Skills!H18&gt;0,INT(IF(Inputs!$B$39="pvp",MIN(Skills!I18,15),Skills!I18)/Skills!H18+0.000000001),1)</f>
        <v/>
      </c>
      <c r="H91">
        <f>1-(1-Skills!J18/100)^Skills!K18</f>
        <v/>
      </c>
      <c r="I91" t="inlineStr">
        <is>
          <t>1</t>
        </is>
      </c>
      <c r="J91" t="inlineStr"/>
      <c r="K91" t="inlineStr"/>
      <c r="L91" t="inlineStr"/>
      <c r="M91" t="inlineStr"/>
      <c r="N91" t="inlineStr"/>
      <c r="O91">
        <f>(1-Summary!$B$11)*T91+Summary!$B$11*V91</f>
        <v/>
      </c>
      <c r="P91">
        <f>IF(B112=0,0,O91/B112)</f>
        <v/>
      </c>
      <c r="Q91">
        <f>IFERROR(1/IF(Inputs!$B$39="pvp",15,MAX(0.1,Skills!D18-IF(TRUE=TRUE,Inputs!$B$33,0))),0)</f>
        <v/>
      </c>
      <c r="R91">
        <f>IF(AND(Inputs!$B$39&lt;&gt;"pvp",Inputs!$B$44&gt;0),IF(Inputs!$B$44&lt;=0,0,(INT(Inputs!$B$44/IF(Inputs!$B$39="pvp",15,MAX(0.1,Skills!D18-IF(TRUE=TRUE,Inputs!$B$33,0))))+1)),0)</f>
        <v/>
      </c>
      <c r="S91">
        <f>IFERROR(O91/N91,0)</f>
        <v/>
      </c>
      <c r="T91" t="n">
        <v>0</v>
      </c>
      <c r="V91" t="n">
        <v>0</v>
      </c>
    </row>
    <row r="92">
      <c r="A92">
        <f>Skills!A19</f>
        <v/>
      </c>
      <c r="B92">
        <f>Skills!B19</f>
        <v/>
      </c>
      <c r="C92">
        <f>Inputs!$B$3&gt;=72</f>
        <v/>
      </c>
      <c r="D92">
        <f>IF(Skills!C19=1,60+Inputs!$B$26+Inputs!$B$30,IF(Skills!C19=2,90+Inputs!$B$27+Inputs!$B$30,IF(Skills!C19=3,120+Inputs!$B$28+Inputs!$B$30,MAX(0,(Inputs!$B$3-100)*3)+Inputs!$B$29+Inputs!$B$30)))</f>
        <v/>
      </c>
      <c r="E92">
        <f>INDEX(FactorTable!$B$2:$Y$301, MATCH(ROUND(MIN(300,MAX(1,D92)),0), FactorTable!$A$2:$A$301,0), Skills!M19+1)</f>
        <v/>
      </c>
      <c r="F92">
        <f>IF(Skills!N19=TRUE,(Skills!L19/10)*(E92/1000),Skills!L19/10)+Skills!O19</f>
        <v/>
      </c>
      <c r="G92">
        <f>Skills!G19*IF(Skills!H19&gt;0,INT(IF(Inputs!$B$39="pvp",MIN(Skills!I19,15),Skills!I19)/Skills!H19+0.000000001),1)</f>
        <v/>
      </c>
      <c r="H92">
        <f>1-(1-Skills!J19/100)^Skills!K19</f>
        <v/>
      </c>
      <c r="I92" t="inlineStr">
        <is>
          <t>1</t>
        </is>
      </c>
      <c r="J92" t="inlineStr"/>
      <c r="K92" t="inlineStr"/>
      <c r="L92" t="inlineStr"/>
      <c r="M92" t="inlineStr"/>
      <c r="N92" t="inlineStr"/>
      <c r="O92">
        <f>(1-Summary!$B$11)*T92+Summary!$B$11*V92</f>
        <v/>
      </c>
      <c r="P92">
        <f>IF(B112=0,0,O92/B112)</f>
        <v/>
      </c>
      <c r="Q92">
        <f>IFERROR(1/IF(Inputs!$B$39="pvp",15,MAX(0.1,Skills!D19-IF(TRUE=TRUE,Inputs!$B$33,0))),0)</f>
        <v/>
      </c>
      <c r="R92">
        <f>IF(AND(Inputs!$B$39&lt;&gt;"pvp",Inputs!$B$44&gt;0),IF(Inputs!$B$44&lt;=0,0,(INT(Inputs!$B$44/IF(Inputs!$B$39="pvp",15,MAX(0.1,Skills!D19-IF(TRUE=TRUE,Inputs!$B$33,0))))+1)),0)</f>
        <v/>
      </c>
      <c r="S92">
        <f>IFERROR(O92/N92,0)</f>
        <v/>
      </c>
      <c r="T92" t="n">
        <v>0</v>
      </c>
      <c r="V92" t="n">
        <v>0</v>
      </c>
    </row>
    <row r="93">
      <c r="A93">
        <f>Skills!A20</f>
        <v/>
      </c>
      <c r="B93">
        <f>Skills!B20</f>
        <v/>
      </c>
      <c r="C93">
        <f>TRUE</f>
        <v/>
      </c>
      <c r="D93">
        <f>IF(Skills!C20=1,60+Inputs!$B$26+Inputs!$B$30,IF(Skills!C20=2,90+Inputs!$B$27+Inputs!$B$30,IF(Skills!C20=3,120+Inputs!$B$28+Inputs!$B$30,MAX(0,(Inputs!$B$3-100)*3)+Inputs!$B$29+Inputs!$B$30)))</f>
        <v/>
      </c>
      <c r="E93">
        <f>INDEX(FactorTable!$B$2:$Y$301, MATCH(ROUND(MIN(300,MAX(1,D93)),0), FactorTable!$A$2:$A$301,0), Skills!M20+1)</f>
        <v/>
      </c>
      <c r="F93">
        <f>IF(Skills!N20=TRUE,(Skills!L20/10)*(E93/1000),Skills!L20/10)+Skills!O20</f>
        <v/>
      </c>
      <c r="G93">
        <f>Skills!G20*IF(Skills!H20&gt;0,INT(IF(Inputs!$B$39="pvp",MIN(Skills!I20,15),Skills!I20)/Skills!H20+0.000000001),1)</f>
        <v/>
      </c>
      <c r="H93">
        <f>1-(1-Skills!J20/100)^Skills!K20</f>
        <v/>
      </c>
      <c r="I93" t="inlineStr">
        <is>
          <t>1</t>
        </is>
      </c>
      <c r="J93" t="inlineStr"/>
      <c r="K93" t="inlineStr"/>
      <c r="L93" t="inlineStr"/>
      <c r="M93" t="inlineStr"/>
      <c r="N93" t="inlineStr"/>
      <c r="O93">
        <f>(1-Summary!$B$11)*T93+Summary!$B$11*V93</f>
        <v/>
      </c>
      <c r="P93">
        <f>IF(B112=0,0,O93/B112)</f>
        <v/>
      </c>
      <c r="Q93">
        <f>IFERROR(1/IF(Inputs!$B$39="pvp",15,MAX(0.1,Skills!D20-IF(TRUE=TRUE,Inputs!$B$33,0))),0)</f>
        <v/>
      </c>
      <c r="R93">
        <f>IF(AND(Inputs!$B$39&lt;&gt;"pvp",Inputs!$B$44&gt;0),IF(Inputs!$B$44&lt;=0,0,(INT(Inputs!$B$44/IF(Inputs!$B$39="pvp",15,MAX(0.1,Skills!D20-IF(TRUE=TRUE,Inputs!$B$33,0))))+1)),0)</f>
        <v/>
      </c>
      <c r="S93">
        <f>IFERROR(O93/N93,0)</f>
        <v/>
      </c>
      <c r="T93" t="n">
        <v>0</v>
      </c>
      <c r="V93" t="n">
        <v>0</v>
      </c>
    </row>
    <row r="94">
      <c r="A94">
        <f>Skills!A21</f>
        <v/>
      </c>
      <c r="B94">
        <f>Skills!B21</f>
        <v/>
      </c>
      <c r="C94">
        <f>Inputs!$B$3&gt;=33</f>
        <v/>
      </c>
      <c r="D94">
        <f>IF(Skills!C21=1,60+Inputs!$B$26+Inputs!$B$30,IF(Skills!C21=2,90+Inputs!$B$27+Inputs!$B$30,IF(Skills!C21=3,120+Inputs!$B$28+Inputs!$B$30,MAX(0,(Inputs!$B$3-100)*3)+Inputs!$B$29+Inputs!$B$30)))</f>
        <v/>
      </c>
      <c r="E94">
        <f>INDEX(FactorTable!$B$2:$Y$301, MATCH(ROUND(MIN(300,MAX(1,D94)),0), FactorTable!$A$2:$A$301,0), Skills!M21+1)</f>
        <v/>
      </c>
      <c r="F94">
        <f>IF(Skills!N21=TRUE,(Skills!L21/10)*(E94/1000),Skills!L21/10)+Skills!O21</f>
        <v/>
      </c>
      <c r="G94">
        <f>Skills!G21*IF(Skills!H21&gt;0,INT(IF(Inputs!$B$39="pvp",MIN(Skills!I21,15),Skills!I21)/Skills!H21+0.000000001),1)</f>
        <v/>
      </c>
      <c r="H94">
        <f>1-(1-Skills!J21/100)^Skills!K21</f>
        <v/>
      </c>
      <c r="I94" t="inlineStr">
        <is>
          <t>1</t>
        </is>
      </c>
      <c r="J94" t="inlineStr"/>
      <c r="K94" t="inlineStr"/>
      <c r="L94" t="inlineStr"/>
      <c r="M94" t="inlineStr"/>
      <c r="N94" t="inlineStr"/>
      <c r="O94">
        <f>(1-Summary!$B$11)*T94+Summary!$B$11*V94</f>
        <v/>
      </c>
      <c r="P94">
        <f>IF(B112=0,0,O94/B112)</f>
        <v/>
      </c>
      <c r="Q94" t="n">
        <v>0</v>
      </c>
      <c r="R94" t="n">
        <v>0</v>
      </c>
      <c r="S94">
        <f>IFERROR(O94/N94,0)</f>
        <v/>
      </c>
      <c r="T94" t="n">
        <v>0</v>
      </c>
      <c r="V94" t="n">
        <v>0</v>
      </c>
    </row>
    <row r="95">
      <c r="A95">
        <f>Skills!A22</f>
        <v/>
      </c>
      <c r="B95">
        <f>Skills!B22</f>
        <v/>
      </c>
      <c r="C95">
        <f>Inputs!$B$3&gt;=43</f>
        <v/>
      </c>
      <c r="D95">
        <f>IF(Skills!C22=1,60+Inputs!$B$26+Inputs!$B$30,IF(Skills!C22=2,90+Inputs!$B$27+Inputs!$B$30,IF(Skills!C22=3,120+Inputs!$B$28+Inputs!$B$30,MAX(0,(Inputs!$B$3-100)*3)+Inputs!$B$29+Inputs!$B$30)))</f>
        <v/>
      </c>
      <c r="E95">
        <f>INDEX(FactorTable!$B$2:$Y$301, MATCH(ROUND(MIN(300,MAX(1,D95)),0), FactorTable!$A$2:$A$301,0), Skills!M22+1)</f>
        <v/>
      </c>
      <c r="F95">
        <f>IF(Skills!N22=TRUE,(Skills!L22/10)*(E95/1000),Skills!L22/10)+Skills!O22</f>
        <v/>
      </c>
      <c r="G95">
        <f>Skills!G22*IF(Skills!H22&gt;0,INT(IF(Inputs!$B$39="pvp",MIN(Skills!I22,15),Skills!I22)/Skills!H22+0.000000001),1)</f>
        <v/>
      </c>
      <c r="H95">
        <f>1-(1-Skills!J22/100)^Skills!K22</f>
        <v/>
      </c>
      <c r="I95" t="inlineStr">
        <is>
          <t>1</t>
        </is>
      </c>
      <c r="J95" t="inlineStr"/>
      <c r="K95" t="inlineStr"/>
      <c r="L95" t="inlineStr"/>
      <c r="M95" t="inlineStr"/>
      <c r="N95" t="inlineStr"/>
      <c r="O95">
        <f>(1-Summary!$B$11)*T95+Summary!$B$11*V95</f>
        <v/>
      </c>
      <c r="P95">
        <f>IF(B112=0,0,O95/B112)</f>
        <v/>
      </c>
      <c r="Q95" t="n">
        <v>0</v>
      </c>
      <c r="R95" t="n">
        <v>0</v>
      </c>
      <c r="S95">
        <f>IFERROR(O95/N95,0)</f>
        <v/>
      </c>
      <c r="T95" t="n">
        <v>0</v>
      </c>
      <c r="V95" t="n">
        <v>0</v>
      </c>
    </row>
    <row r="96">
      <c r="A96">
        <f>Skills!A23</f>
        <v/>
      </c>
      <c r="B96">
        <f>Skills!B23</f>
        <v/>
      </c>
      <c r="C96">
        <f>Inputs!$B$3&gt;=120</f>
        <v/>
      </c>
      <c r="D96">
        <f>IF(Skills!C23=1,60+Inputs!$B$26+Inputs!$B$30,IF(Skills!C23=2,90+Inputs!$B$27+Inputs!$B$30,IF(Skills!C23=3,120+Inputs!$B$28+Inputs!$B$30,MAX(0,(Inputs!$B$3-100)*3)+Inputs!$B$29+Inputs!$B$30)))</f>
        <v/>
      </c>
      <c r="E96">
        <f>INDEX(FactorTable!$B$2:$Y$301, MATCH(ROUND(MIN(300,MAX(1,D96)),0), FactorTable!$A$2:$A$301,0), Skills!M23+1)</f>
        <v/>
      </c>
      <c r="F96">
        <f>IF(Skills!N23=TRUE,(Skills!L23/10)*(E96/1000),Skills!L23/10)+Skills!O23</f>
        <v/>
      </c>
      <c r="G96">
        <f>Skills!G23*IF(Skills!H23&gt;0,INT(IF(Inputs!$B$39="pvp",MIN(Skills!I23,15),Skills!I23)/Skills!H23+0.000000001),1)</f>
        <v/>
      </c>
      <c r="H96">
        <f>1-(1-Skills!J23/100)^Skills!K23</f>
        <v/>
      </c>
      <c r="I96" t="inlineStr">
        <is>
          <t>1</t>
        </is>
      </c>
      <c r="J96" t="inlineStr"/>
      <c r="K96" t="inlineStr"/>
      <c r="L96" t="inlineStr"/>
      <c r="M96" t="inlineStr"/>
      <c r="N96" t="inlineStr"/>
      <c r="O96">
        <f>(1-Summary!$B$11)*T96+Summary!$B$11*V96</f>
        <v/>
      </c>
      <c r="P96">
        <f>IF(B112=0,0,O96/B112)</f>
        <v/>
      </c>
      <c r="Q96" t="n">
        <v>0</v>
      </c>
      <c r="R96" t="n">
        <v>0</v>
      </c>
      <c r="S96">
        <f>IFERROR(O96/N96,0)</f>
        <v/>
      </c>
      <c r="T96" t="n">
        <v>0</v>
      </c>
      <c r="V96" t="n">
        <v>0</v>
      </c>
    </row>
    <row r="97">
      <c r="A97">
        <f>Skills!A24</f>
        <v/>
      </c>
      <c r="B97">
        <f>Skills!B24</f>
        <v/>
      </c>
      <c r="C97">
        <f>Inputs!$B$3&gt;=120</f>
        <v/>
      </c>
      <c r="D97">
        <f>IF(Skills!C24=1,60+Inputs!$B$26+Inputs!$B$30,IF(Skills!C24=2,90+Inputs!$B$27+Inputs!$B$30,IF(Skills!C24=3,120+Inputs!$B$28+Inputs!$B$30,MAX(0,(Inputs!$B$3-100)*3)+Inputs!$B$29+Inputs!$B$30)))</f>
        <v/>
      </c>
      <c r="E97">
        <f>INDEX(FactorTable!$B$2:$Y$301, MATCH(ROUND(MIN(300,MAX(1,D97)),0), FactorTable!$A$2:$A$301,0), Skills!M24+1)</f>
        <v/>
      </c>
      <c r="F97">
        <f>IF(Skills!N24=TRUE,(Skills!L24/10)*(E97/1000),Skills!L24/10)+Skills!O24</f>
        <v/>
      </c>
      <c r="G97">
        <f>Skills!G24*IF(Skills!H24&gt;0,INT(IF(Inputs!$B$39="pvp",MIN(Skills!I24,15),Skills!I24)/Skills!H24+0.000000001),1)</f>
        <v/>
      </c>
      <c r="H97">
        <f>1-(1-Skills!J24/100)^Skills!K24</f>
        <v/>
      </c>
      <c r="I97" t="inlineStr">
        <is>
          <t>1</t>
        </is>
      </c>
      <c r="J97" t="inlineStr"/>
      <c r="K97" t="inlineStr"/>
      <c r="L97" t="inlineStr"/>
      <c r="M97" t="inlineStr"/>
      <c r="N97" t="inlineStr"/>
      <c r="O97">
        <f>(1-Summary!$B$11)*T97+Summary!$B$11*V97</f>
        <v/>
      </c>
      <c r="P97">
        <f>IF(B112=0,0,O97/B112)</f>
        <v/>
      </c>
      <c r="Q97" t="n">
        <v>0</v>
      </c>
      <c r="R97" t="n">
        <v>0</v>
      </c>
      <c r="S97">
        <f>IFERROR(O97/N97,0)</f>
        <v/>
      </c>
      <c r="T97" t="n">
        <v>0</v>
      </c>
      <c r="V97" t="n">
        <v>0</v>
      </c>
    </row>
    <row r="98">
      <c r="A98">
        <f>Skills!A25</f>
        <v/>
      </c>
      <c r="B98">
        <f>Skills!B25</f>
        <v/>
      </c>
      <c r="C98">
        <f>Inputs!$B$3&gt;=125</f>
        <v/>
      </c>
      <c r="D98">
        <f>IF(Skills!C25=1,60+Inputs!$B$26+Inputs!$B$30,IF(Skills!C25=2,90+Inputs!$B$27+Inputs!$B$30,IF(Skills!C25=3,120+Inputs!$B$28+Inputs!$B$30,MAX(0,(Inputs!$B$3-100)*3)+Inputs!$B$29+Inputs!$B$30)))</f>
        <v/>
      </c>
      <c r="E98">
        <f>INDEX(FactorTable!$B$2:$Y$301, MATCH(ROUND(MIN(300,MAX(1,D98)),0), FactorTable!$A$2:$A$301,0), Skills!M25+1)</f>
        <v/>
      </c>
      <c r="F98">
        <f>IF(Skills!N25=TRUE,(Skills!L25/10)*(E98/1000),Skills!L25/10)+Skills!O25</f>
        <v/>
      </c>
      <c r="G98">
        <f>Skills!G25*IF(Skills!H25&gt;0,INT(IF(Inputs!$B$39="pvp",MIN(Skills!I25,15),Skills!I25)/Skills!H25+0.000000001),1)</f>
        <v/>
      </c>
      <c r="H98">
        <f>1-(1-Skills!J25/100)^Skills!K25</f>
        <v/>
      </c>
      <c r="I98" t="inlineStr">
        <is>
          <t>1</t>
        </is>
      </c>
      <c r="J98" t="inlineStr"/>
      <c r="K98" t="inlineStr"/>
      <c r="L98" t="inlineStr"/>
      <c r="M98" t="inlineStr"/>
      <c r="N98" t="inlineStr"/>
      <c r="O98">
        <f>(1-Summary!$B$11)*T98+Summary!$B$11*V98</f>
        <v/>
      </c>
      <c r="P98">
        <f>IF(B112=0,0,O98/B112)</f>
        <v/>
      </c>
      <c r="Q98" t="n">
        <v>0</v>
      </c>
      <c r="R98" t="n">
        <v>0</v>
      </c>
      <c r="S98">
        <f>IFERROR(O98/N98,0)</f>
        <v/>
      </c>
      <c r="T98" t="n">
        <v>0</v>
      </c>
      <c r="V98" t="n">
        <v>0</v>
      </c>
    </row>
    <row r="99">
      <c r="A99">
        <f>Skills!A26</f>
        <v/>
      </c>
      <c r="B99">
        <f>Skills!B26</f>
        <v/>
      </c>
      <c r="C99">
        <f>Inputs!$B$3&gt;=107</f>
        <v/>
      </c>
      <c r="D99">
        <f>IF(Skills!C26=1,60+Inputs!$B$26+Inputs!$B$30,IF(Skills!C26=2,90+Inputs!$B$27+Inputs!$B$30,IF(Skills!C26=3,120+Inputs!$B$28+Inputs!$B$30,MAX(0,(Inputs!$B$3-100)*3)+Inputs!$B$29+Inputs!$B$30)))</f>
        <v/>
      </c>
      <c r="E99">
        <f>INDEX(FactorTable!$B$2:$Y$301, MATCH(ROUND(MIN(300,MAX(1,D99)),0), FactorTable!$A$2:$A$301,0), Skills!M26+1)</f>
        <v/>
      </c>
      <c r="F99">
        <f>IF(Skills!N26=TRUE,(Skills!L26/10)*(E99/1000),Skills!L26/10)+Skills!O26</f>
        <v/>
      </c>
      <c r="G99">
        <f>Skills!G26*IF(Skills!H26&gt;0,INT(IF(Inputs!$B$39="pvp",MIN(Skills!I26,15),Skills!I26)/Skills!H26+0.000000001),1)</f>
        <v/>
      </c>
      <c r="H99">
        <f>1-(1-Skills!J26/100)^Skills!K26</f>
        <v/>
      </c>
      <c r="I99" t="inlineStr">
        <is>
          <t>1</t>
        </is>
      </c>
      <c r="J99" t="inlineStr"/>
      <c r="K99" t="inlineStr"/>
      <c r="L99" t="inlineStr"/>
      <c r="M99" t="inlineStr"/>
      <c r="N99" t="inlineStr"/>
      <c r="O99">
        <f>(1-Summary!$B$11)*T99+Summary!$B$11*V99</f>
        <v/>
      </c>
      <c r="P99">
        <f>IF(B112=0,0,O99/B112)</f>
        <v/>
      </c>
      <c r="Q99" t="n">
        <v>0</v>
      </c>
      <c r="R99" t="n">
        <v>0</v>
      </c>
      <c r="S99">
        <f>IFERROR(O99/N99,0)</f>
        <v/>
      </c>
      <c r="T99" t="n">
        <v>0</v>
      </c>
      <c r="V99" t="n">
        <v>0</v>
      </c>
    </row>
    <row r="101">
      <c r="A101" t="inlineStr">
        <is>
          <t>Attack% Bucket Multiplier</t>
        </is>
      </c>
      <c r="B101">
        <f>(1+(((C86=TRUE)*F86*IF(AND(Inputs!$B$39&lt;&gt;"pvp",Inputs!$B$44&gt;0),(((R86-1)*MIN((Skills!T13*(1+Inputs!$B$35/100)),(1/Q86))+MIN((Skills!T13*(1+Inputs!$B$35/100)),MAX(0,Inputs!$B$44-((R86-1)*(1/Q86)))))/Inputs!$B$44),IF(Inputs!$B$39="pvp",MIN((Skills!T13*(1+Inputs!$B$35/100)),15)/15,MIN(1,(Skills!T13*(1+Inputs!$B$35/100))/(1/Q86)))))+((C87=TRUE)*F87*IF(AND(Inputs!$B$39&lt;&gt;"pvp",Inputs!$B$44&gt;0),(((R87-1)*MIN((Skills!T14*(1+Inputs!$B$35/100)),(1/Q87))+MIN((Skills!T14*(1+Inputs!$B$35/100)),MAX(0,Inputs!$B$44-((R87-1)*(1/Q87)))))/Inputs!$B$44),IF(Inputs!$B$39="pvp",MIN((Skills!T14*(1+Inputs!$B$35/100)),15)/15,MIN(1,(Skills!T14*(1+Inputs!$B$35/100))/(1/Q87)))))+((C88=TRUE)*F88*IF(AND(Inputs!$B$39&lt;&gt;"pvp",Inputs!$B$44&gt;0),(((R88-1)*MIN((Skills!T15*(1+Inputs!$B$35/100)),(1/Q88))+MIN((Skills!T15*(1+Inputs!$B$35/100)),MAX(0,Inputs!$B$44-((R88-1)*(1/Q88)))))/Inputs!$B$44),IF(Inputs!$B$39="pvp",MIN((Skills!T15*(1+Inputs!$B$35/100)),15)/15,MIN(1,(Skills!T15*(1+Inputs!$B$35/100))/(1/Q88)))))+((C89=TRUE)*F89*IF(AND(Inputs!$B$39&lt;&gt;"pvp",Inputs!$B$44&gt;0),(((R89-1)*MIN((Skills!T16*(1+Inputs!$B$35/100)),(1/Q89))+MIN((Skills!T16*(1+Inputs!$B$35/100)),MAX(0,Inputs!$B$44-((R89-1)*(1/Q89)))))/Inputs!$B$44),IF(Inputs!$B$39="pvp",MIN((Skills!T16*(1+Inputs!$B$35/100)),15)/15,MIN(1,(Skills!T16*(1+Inputs!$B$35/100))/(1/Q89)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102">
      <c r="A102" t="inlineStr">
        <is>
          <t>Global Crit Rate Bonus % (Lord of Darkness)</t>
        </is>
      </c>
      <c r="B102">
        <f>((C91=TRUE)*F91*(Skills!J18/100)*IF(AND(Inputs!$B$39&lt;&gt;"pvp",Inputs!$B$44&gt;0),(((R91-1)*MIN((Skills!T18*(1+Inputs!$B$35/100)),(1/Q91))+MIN((Skills!T18*(1+Inputs!$B$35/100)),MAX(0,Inputs!$B$44-((R91-1)*(1/Q91)))))/Inputs!$B$44),IF(Inputs!$B$39="pvp",MIN((Skills!T18*(1+Inputs!$B$35/100)),15)/15,MIN(1,(Skills!T18*(1+Inputs!$B$35/100))/(1/Q91)))))</f>
        <v/>
      </c>
    </row>
    <row r="103">
      <c r="A103" t="inlineStr">
        <is>
          <t>Attack Speed Buff Bonus %</t>
        </is>
      </c>
      <c r="B103">
        <f>((C93=TRUE)*F93*IF(AND(Inputs!$B$39&lt;&gt;"pvp",Inputs!$B$44&gt;0),(((R93-1)*MIN((Skills!T20*(1+Inputs!$B$35/100)),(1/Q93))+MIN((Skills!T20*(1+Inputs!$B$35/100)),MAX(0,Inputs!$B$44-((R93-1)*(1/Q93)))))/Inputs!$B$44),IF(Inputs!$B$39="pvp",MIN((Skills!T20*(1+Inputs!$B$35/100)),15)/15,MIN(1,(Skills!T20*(1+Inputs!$B$35/100))/(1/Q93)))))</f>
        <v/>
      </c>
    </row>
    <row r="104">
      <c r="A104" t="inlineStr">
        <is>
          <t>Actions Per Second</t>
        </is>
      </c>
      <c r="B104">
        <f>1+MIN(150,150*(1-(1-(Inputs!$B$12+((C94=TRUE)*(F94-Calc!F21)))/150)*(1-B103/150)))/100</f>
        <v/>
      </c>
    </row>
    <row r="105">
      <c r="A105" t="inlineStr">
        <is>
          <t>Skill + Buff Cast Rate</t>
        </is>
      </c>
      <c r="B105">
        <f>IF(AND(Inputs!$B$39&lt;&gt;"pvp",Inputs!$B$44&gt;0),SUMPRODUCT((Skills!E2:E26=TRUE)*(C75:C99=TRUE)*R75:R99*Skills!F2:F26)/Inputs!$B$44,SUMPRODUCT((Skills!E2:E26=TRUE)*(C75:C99=TRUE)*Q75:Q99*Skills!F2:F26))</f>
        <v/>
      </c>
    </row>
    <row r="106">
      <c r="A106" t="inlineStr">
        <is>
          <t>Dark Impale Casts Per Second</t>
        </is>
      </c>
      <c r="B106">
        <f>MAX(0,B104-B105)</f>
        <v/>
      </c>
    </row>
    <row r="107">
      <c r="A107" t="inlineStr">
        <is>
          <t>Global Critical Damage Bonus % (Lord of Darkness)</t>
        </is>
      </c>
      <c r="B107">
        <f>((C92=TRUE)*F92*(Skills!J19/100)*IF(AND(Inputs!$B$39&lt;&gt;"pvp",Inputs!$B$44&gt;0),(((R92-1)*MIN((Skills!T19*(1+Inputs!$B$35/100)),(1/Q92))+MIN((Skills!T19*(1+Inputs!$B$35/100)),MAX(0,Inputs!$B$44-((R92-1)*(1/Q92)))))/Inputs!$B$44),IF(Inputs!$B$39="pvp",MIN((Skills!T19*(1+Inputs!$B$35/100)),15)/15,MIN(1,(Skills!T19*(1+Inputs!$B$35/100))/(1/Q92)))))</f>
        <v/>
      </c>
    </row>
    <row r="108">
      <c r="A108" t="inlineStr">
        <is>
          <t>Global Final Damage Bonus % (unused)</t>
        </is>
      </c>
      <c r="B108" t="n">
        <v>0</v>
      </c>
    </row>
    <row r="109">
      <c r="A109" t="inlineStr">
        <is>
          <t>Buff-Casting Startup Delay (s, fixed-duration only)</t>
        </is>
      </c>
      <c r="B109">
        <f>IF(AND(Inputs!$B$39&lt;&gt;"pvp",Inputs!$B$44&gt;0),SUMPRODUCT((Skills!T2:T26&gt;0)*(Skills!E2:E26=TRUE)*(C75:C99=TRUE))/B104,0)</f>
        <v/>
      </c>
    </row>
    <row r="110">
      <c r="A110" t="inlineStr">
        <is>
          <t>Boss-Only Total DPS (this block's swept value)</t>
        </is>
      </c>
      <c r="B110">
        <f>SUM(T75:T99)</f>
        <v/>
      </c>
    </row>
    <row r="111">
      <c r="A111" t="inlineStr">
        <is>
          <t>Normal-Only Total DPS (this block's swept value)</t>
        </is>
      </c>
      <c r="B111">
        <f>SUM(V75:V99)</f>
        <v/>
      </c>
    </row>
    <row r="112">
      <c r="A112" s="6" t="inlineStr">
        <is>
          <t>TOTAL DPS</t>
        </is>
      </c>
      <c r="B112" s="6">
        <f>SUM(O75:O99)</f>
        <v/>
      </c>
    </row>
    <row r="115">
      <c r="A115" s="6" t="inlineStr">
        <is>
          <t>Stat: STR %</t>
        </is>
      </c>
    </row>
    <row r="116">
      <c r="A116" s="5" t="inlineStr">
        <is>
          <t>Key</t>
        </is>
      </c>
      <c r="B116" s="5" t="inlineStr">
        <is>
          <t>Name</t>
        </is>
      </c>
      <c r="C116" s="5" t="inlineStr">
        <is>
          <t>Unlocked</t>
        </is>
      </c>
      <c r="D116" s="5" t="inlineStr">
        <is>
          <t>InputLevel</t>
        </is>
      </c>
      <c r="E116" s="5" t="inlineStr">
        <is>
          <t>Factor</t>
        </is>
      </c>
      <c r="F116" s="5" t="inlineStr">
        <is>
          <t>CoefficientPercent</t>
        </is>
      </c>
      <c r="G116" s="5" t="inlineStr">
        <is>
          <t>EffectiveHits</t>
        </is>
      </c>
      <c r="H116" s="5" t="inlineStr">
        <is>
          <t>ProcProbability</t>
        </is>
      </c>
      <c r="I116" s="5" t="inlineStr">
        <is>
          <t>MapleHeroMultiplier</t>
        </is>
      </c>
      <c r="J116" s="5" t="inlineStr">
        <is>
          <t>BaseDamage</t>
        </is>
      </c>
      <c r="K116" s="5" t="inlineStr">
        <is>
          <t>BaseHitDamage</t>
        </is>
      </c>
      <c r="L116" s="5" t="inlineStr">
        <is>
          <t>NonCritAvg</t>
        </is>
      </c>
      <c r="M116" s="5" t="inlineStr">
        <is>
          <t>CritAvg</t>
        </is>
      </c>
      <c r="N116" s="5" t="inlineStr">
        <is>
          <t>ExpectedDamage(perHit)</t>
        </is>
      </c>
      <c r="O116" s="5" t="inlineStr">
        <is>
          <t>DPS</t>
        </is>
      </c>
      <c r="P116" s="5" t="inlineStr">
        <is>
          <t>% of Total</t>
        </is>
      </c>
      <c r="Q116" s="5" t="inlineStr">
        <is>
          <t>InvCooldown</t>
        </is>
      </c>
      <c r="R116" s="5" t="inlineStr">
        <is>
          <t>CastsInFight</t>
        </is>
      </c>
      <c r="S116" s="5" t="inlineStr">
        <is>
          <t>HitRate(perSec)</t>
        </is>
      </c>
      <c r="U116" t="inlineStr">
        <is>
          <t>helpers</t>
        </is>
      </c>
    </row>
    <row r="117">
      <c r="A117">
        <f>Skills!A2</f>
        <v/>
      </c>
      <c r="B117">
        <f>Skills!B2</f>
        <v/>
      </c>
      <c r="C117">
        <f>Inputs!$B$3&gt;=100</f>
        <v/>
      </c>
      <c r="D117" t="inlineStr"/>
      <c r="E117" t="inlineStr"/>
      <c r="F117">
        <f>U119+Skills!O2</f>
        <v/>
      </c>
      <c r="G117">
        <f>Skills!G2*IF(Skills!H2&gt;0,INT(IF(Inputs!$B$39="pvp",MIN(Skills!I2,15),Skills!I2)/Skills!H2+0.000000001),1)</f>
        <v/>
      </c>
      <c r="H117">
        <f>1-(1-Skills!J2/100)^Skills!K2</f>
        <v/>
      </c>
      <c r="I117" t="inlineStr">
        <is>
          <t>1</t>
        </is>
      </c>
      <c r="J117">
        <f>((Inputs!$B$6*(1+Inputs!$B$7/100))+(((Inputs!$B$13*(1+(Inputs!$B$14+1)/100))-(Inputs!$B$13*(1+Inputs!$B$14/100)))+0.25*(Inputs!$B$15-Inputs!$B$15))*(1+Inputs!$B$7/100))*(F117/100)</f>
        <v/>
      </c>
      <c r="K117">
        <f>J117*(1+(((Inputs!$B$13+IF(Inputs!$B$3&gt;=38,(10*INDEX(FactorTable!$B$2:$Y$301, MATCH(ROUND(MIN(300,MAX(1,Inputs!$B$3)),0), FactorTable!$A$2:$A$301,0), 23)/1000)/100*(Inputs!$B$8*(1+Inputs!$B$9/100)),0))*(1+(Inputs!$B$14+1)/100))*0.01+Inputs!$B$15*0.0025)/100)*(1+Inputs!$B$16/100)*(1+Inputs!$B$17/100)*(5000/(6000+Inputs!$B$43*(1-(Inputs!$B$20+0)/100)))*(1+(Inputs!$B$25+((C140=TRUE)*(F140-Calc!F25))+((C141=TRUE)*(F141-Calc!F26))+B150)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gt;=100),MIN(100,((Inputs!$B$10+0+B144+(ArtifactsInput!$M$24-ArtifactsInput!$M$24)*CHOOSE(ArtifactsInput!$N$24+1,10,12,14,16,18,20)+IF(ArtifactsInput!$M$10,CHOOSE(ArtifactsInput!$N$10+1,15,18,21,24,27,30)*(IF(Inputs!$B$39="pvp",MIN(15,15)/15,IF(AND(Inputs!$B$39&lt;&gt;"pvp",Inputs!$B$44&gt;0),MIN(15,Inputs!$B$44)/(Inputs!$B$44),0))),0)))-100),0))*CHOOSE(ArtifactsInput!$N$42+1,0.6,0.72,0.84,0.96,1.08,1.2))),Inputs!$B$19+((C138=TRUE)*(F138-Calc!F23))+(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gt;=100),CHOOSE(ArtifactsInput!$N$42+1,40,48,56,64,72,80),0))))/100)*((1+(((C128=TRUE)*F128*IF(AND(Inputs!$B$39&lt;&gt;"pvp",Inputs!$B$44&gt;0),(((R128-1)*MIN((Skills!T13*(1+Inputs!$B$35/100)),(1/Q128))+MIN((Skills!T13*(1+Inputs!$B$35/100)),MAX(0,Inputs!$B$44-((R128-1)*(1/Q128)))))/Inputs!$B$44),IF(Inputs!$B$39="pvp",MIN((Skills!T13*(1+Inputs!$B$35/100)),15)/15,MIN(1,(Skills!T13*(1+Inputs!$B$35/100))/(1/Q128)))))+((C129=TRUE)*F129*IF(AND(Inputs!$B$39&lt;&gt;"pvp",Inputs!$B$44&gt;0),(((R129-1)*MIN((Skills!T14*(1+Inputs!$B$35/100)),(1/Q129))+MIN((Skills!T14*(1+Inputs!$B$35/100)),MAX(0,Inputs!$B$44-((R129-1)*(1/Q129)))))/Inputs!$B$44),IF(Inputs!$B$39="pvp",MIN((Skills!T14*(1+Inputs!$B$35/100)),15)/15,MIN(1,(Skills!T14*(1+Inputs!$B$35/100))/(1/Q129)))))+((C130=TRUE)*F130*IF(AND(Inputs!$B$39&lt;&gt;"pvp",Inputs!$B$44&gt;0),(((R130-1)*MIN((Skills!T15*(1+Inputs!$B$35/100)),(1/Q130))+MIN((Skills!T15*(1+Inputs!$B$35/100)),MAX(0,Inputs!$B$44-((R130-1)*(1/Q130)))))/Inputs!$B$44),IF(Inputs!$B$39="pvp",MIN((Skills!T15*(1+Inputs!$B$35/100)),15)/15,MIN(1,(Skills!T15*(1+Inputs!$B$35/100))/(1/Q130)))))+((C131=TRUE)*F131*IF(AND(Inputs!$B$39&lt;&gt;"pvp",Inputs!$B$44&gt;0),(((R131-1)*MIN((Skills!T16*(1+Inputs!$B$35/100)),(1/Q131))+MIN((Skills!T16*(1+Inputs!$B$35/100)),MAX(0,Inputs!$B$44-((R131-1)*(1/Q131)))))/Inputs!$B$44),IF(Inputs!$B$39="pvp",MIN((Skills!T16*(1+Inputs!$B$35/100)),15)/15,MIN(1,(Skills!T16*(1+Inputs!$B$35/100))/(1/Q131)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117)</f>
        <v/>
      </c>
      <c r="L117">
        <f>K117*(MIN(Inputs!$B$23+((C137=TRUE)*(F137-Calc!F22)),(Inputs!$B$24+((C139=TRUE)*(F139-Calc!F24))+(IF(ArtifactsInput!$M$15,CHOOSE(ArtifactsInput!$N$15+1,25,30,35,40,45,50)/100*(Inputs!$B$12-Inputs!$B$12),0))))/100+(Inputs!$B$24+((C139=TRUE)*(F139-Calc!F24))+(IF(ArtifactsInput!$M$15,CHOOSE(ArtifactsInput!$N$15+1,25,30,35,40,45,50)/100*(Inputs!$B$12-Inputs!$B$12),0)))/100)/2</f>
        <v/>
      </c>
      <c r="M117">
        <f>L117*(1+(Inputs!$B$11+0+B149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17">
        <f>L117*(1-MIN((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117*(MIN((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7">
        <f>(1-Summary!$B$11)*T117+Summary!$B$11*V117</f>
        <v/>
      </c>
      <c r="P117">
        <f>IF(B154=0,0,O117/B154)</f>
        <v/>
      </c>
      <c r="Q117" t="n">
        <v>0</v>
      </c>
      <c r="R117" t="n">
        <v>0</v>
      </c>
      <c r="S117">
        <f>IFERROR(O117/N117,0)</f>
        <v/>
      </c>
      <c r="T117">
        <f>IF(C117,(Skills!G2*N117*B148)*IF(Inputs!$B$39="pvp",1,1+(Inputs!$B$21+0+Skills!P2+((C132=TRUE)*F132*IF(AND(Inputs!$B$39&lt;&gt;"pvp",Inputs!$B$44&gt;0),(((R132-1)*MIN((Skills!T17*(1+Inputs!$B$35/100)),(1/Q132))+MIN((Skills!T17*(1+Inputs!$B$35/100)),MAX(0,Inputs!$B$44-((R132-1)*(1/Q132)))))/Inputs!$B$44),IF(Inputs!$B$39="pvp",MIN((Skills!T17*(1+Inputs!$B$35/100)),15)/15,MIN(1,(Skills!T17*(1+Inputs!$B$35/100))/(1/Q132)))))+((C120=TRUE)*IF(Inputs!$B$3&gt;=126,10*MIN(1,15*Q120),0))+((C129=TRUE)*IF(Inputs!$B$39="pvp",20,(1-Summary!$B$11)*(20)+Summary!$B$11*(0))*IF(AND(Inputs!$B$39&lt;&gt;"pvp",Inputs!$B$44&gt;0),(((R129-1)*MIN((Skills!T14*(1+Inputs!$B$35/100)),(1/Q129))+MIN((Skills!T14*(1+Inputs!$B$35/100)),MAX(0,Inputs!$B$44-((R129-1)*(1/Q129)))))/Inputs!$B$44),IF(Inputs!$B$39="pvp",MIN((Skills!T14*(1+Inputs!$B$35/100)),15)/15,MIN(1,(Skills!T14*(1+Inputs!$B$35/100))/(1/Q129)))))+((C128=TRUE)*IF(Inputs!$B$3&gt;=82,IF(Inputs!$B$39="pvp",20,(1-Summary!$B$11)*(20)+Summary!$B$11*(0)),0)*IF(AND(Inputs!$B$39&lt;&gt;"pvp",Inputs!$B$44&gt;0),(((R128-1)*MIN((Skills!T13*(1+Inputs!$B$35/100)),(1/Q128))+MIN((Skills!T13*(1+Inputs!$B$35/100)),MAX(0,Inputs!$B$44-((R128-1)*(1/Q128)))))/Inputs!$B$44),IF(Inputs!$B$39="pvp",MIN((Skills!T13*(1+Inputs!$B$35/100)),15)/15,MIN(1,(Skills!T13*(1+Inputs!$B$35/100))/(1/Q128)))))+(IF(AND(ArtifactsInput!$M$35,Inputs!$B$4&lt;&gt;"Chapter Hunt"),CHOOSE(ArtifactsInput!$N$35+1,15,18,21,24,27,30)*(1-EXP(-(0.2*B146)*5)),0)+IF(AND(ArtifactsInput!$M$22,Inputs!$B$4&lt;&gt;"Chapter Hunt"),CHOOSE(ArtifactsInput!$N$22+1,10,12,14,16,18,20)*((0*(((0.15*B146*5))^0/1)+1*(((0.15*B146*5))^1/1)+2*(((0.15*B146*5))^2/2)+3*(((0.15*B146*5))^3/6)+4*(((0.15*B146*5))^4/24)+5*(((0.15*B146*5))^5/120))/((((0.15*B146*5))^0/1)+(((0.15*B146*5))^1/1)+(((0.15*B146*5))^2/2)+(((0.15*B146*5))^3/6)+(((0.15*B146*5))^4/24)+(((0.15*B146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117*(1-MIN(100,(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117*(MIN(100,(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117*(1-MIN(100,(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117*(MIN(100,(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17">
        <f>MAX(0,(Inputs!$B$3-100)*3)+Inputs!$B$29+Inputs!$B$30</f>
        <v/>
      </c>
      <c r="V117">
        <f>IF(C117,(Skills!G2*N117*B148)*IF(Inputs!$B$39="pvp",1,(1+(Inputs!$B$22+Skills!Q2+((C132=TRUE)*F132*IF(AND(Inputs!$B$39&lt;&gt;"pvp",Inputs!$B$44&gt;0),(((R132-1)*MIN((Skills!T17*(1+Inputs!$B$35/100)),(1/Q132))+MIN((Skills!T17*(1+Inputs!$B$35/100)),MAX(0,Inputs!$B$44-((R132-1)*(1/Q132)))))/Inputs!$B$44),IF(Inputs!$B$39="pvp",MIN((Skills!T17*(1+Inputs!$B$35/100)),15)/15,MIN(1,(Skills!T17*(1+Inputs!$B$35/100))/(1/Q132)))))+((C120=TRUE)*IF(Inputs!$B$3&gt;=126,10*MIN(1,15*Q120),0))+((C129=TRUE)*IF(Inputs!$B$39="pvp",20,(1-Summary!$B$11)*(20)+Summary!$B$11*(0))*IF(AND(Inputs!$B$39&lt;&gt;"pvp",Inputs!$B$44&gt;0),(((R129-1)*MIN((Skills!T14*(1+Inputs!$B$35/100)),(1/Q129))+MIN((Skills!T14*(1+Inputs!$B$35/100)),MAX(0,Inputs!$B$44-((R129-1)*(1/Q129)))))/Inputs!$B$44),IF(Inputs!$B$39="pvp",MIN((Skills!T14*(1+Inputs!$B$35/100)),15)/15,MIN(1,(Skills!T14*(1+Inputs!$B$35/100))/(1/Q129)))))+((C128=TRUE)*IF(Inputs!$B$3&gt;=82,IF(Inputs!$B$39="pvp",20,(1-Summary!$B$11)*(20)+Summary!$B$11*(0)),0)*IF(AND(Inputs!$B$39&lt;&gt;"pvp",Inputs!$B$44&gt;0),(((R128-1)*MIN((Skills!T13*(1+Inputs!$B$35/100)),(1/Q128))+MIN((Skills!T13*(1+Inputs!$B$35/100)),MAX(0,Inputs!$B$44-((R128-1)*(1/Q128)))))/Inputs!$B$44),IF(Inputs!$B$39="pvp",MIN((Skills!T13*(1+Inputs!$B$35/100)),15)/15,MIN(1,(Skills!T13*(1+Inputs!$B$35/100))/(1/Q128)))))+(IF(AND(ArtifactsInput!$M$35,Inputs!$B$4&lt;&gt;"Chapter Hunt"),CHOOSE(ArtifactsInput!$N$35+1,15,18,21,24,27,30)*(1-EXP(-(0.2*B146)*5)),0)+IF(AND(ArtifactsInput!$M$22,Inputs!$B$4&lt;&gt;"Chapter Hunt"),CHOOSE(ArtifactsInput!$N$22+1,10,12,14,16,18,20)*((0*(((0.15*B146*5))^0/1)+1*(((0.15*B146*5))^1/1)+2*(((0.15*B146*5))^2/2)+3*(((0.15*B146*5))^3/6)+4*(((0.15*B146*5))^4/24)+5*(((0.15*B146*5))^5/120))/((((0.15*B146*5))^0/1)+(((0.15*B146*5))^1/1)+(((0.15*B146*5))^2/2)+(((0.15*B146*5))^3/6)+(((0.15*B146*5))^4/24)+(((0.15*B146*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8">
      <c r="A118">
        <f>Skills!A3</f>
        <v/>
      </c>
      <c r="B118">
        <f>Skills!B3</f>
        <v/>
      </c>
      <c r="C118">
        <f>Inputs!$B$3&gt;=50</f>
        <v/>
      </c>
      <c r="D118">
        <f>IF(Skills!C3=1,60+Inputs!$B$26+Inputs!$B$30,IF(Skills!C3=2,90+Inputs!$B$27+Inputs!$B$30,IF(Skills!C3=3,120+Inputs!$B$28+Inputs!$B$30,MAX(0,(Inputs!$B$3-100)*3)+Inputs!$B$29+Inputs!$B$30)))</f>
        <v/>
      </c>
      <c r="E118">
        <f>INDEX(FactorTable!$B$2:$Y$301, MATCH(ROUND(MIN(300,MAX(1,D118)),0), FactorTable!$A$2:$A$301,0), Skills!M3+1)</f>
        <v/>
      </c>
      <c r="F118">
        <f>IF(Skills!N3=TRUE,(Skills!L3/10)*(E118/1000),Skills!L3/10)+Skills!O3</f>
        <v/>
      </c>
      <c r="G118" t="inlineStr"/>
      <c r="H118" t="inlineStr"/>
      <c r="I118" t="inlineStr">
        <is>
          <t>1</t>
        </is>
      </c>
      <c r="J118" t="inlineStr"/>
      <c r="K118" t="inlineStr"/>
      <c r="L118" t="inlineStr"/>
      <c r="M118" t="inlineStr"/>
      <c r="N118" t="inlineStr"/>
      <c r="O118" t="inlineStr"/>
      <c r="P118" t="inlineStr"/>
      <c r="Q118" t="inlineStr"/>
      <c r="R118" t="inlineStr"/>
      <c r="S118" t="inlineStr"/>
      <c r="U118">
        <f>INDEX(FactorTable!$B$2:$Y$301, MATCH(ROUND(MIN(300,MAX(1,U117)),0), FactorTable!$A$2:$A$301,0), 22)</f>
        <v/>
      </c>
    </row>
    <row r="119">
      <c r="A119">
        <f>Skills!A4</f>
        <v/>
      </c>
      <c r="B119">
        <f>Skills!B4</f>
        <v/>
      </c>
      <c r="C119">
        <f>Inputs!$B$3&gt;=105</f>
        <v/>
      </c>
      <c r="D119">
        <f>IF(Skills!C4=1,60+Inputs!$B$26+Inputs!$B$30,IF(Skills!C4=2,90+Inputs!$B$27+Inputs!$B$30,IF(Skills!C4=3,120+Inputs!$B$28+Inputs!$B$30,MAX(0,(Inputs!$B$3-100)*3)+Inputs!$B$29+Inputs!$B$30)))</f>
        <v/>
      </c>
      <c r="E119">
        <f>INDEX(FactorTable!$B$2:$Y$301, MATCH(ROUND(MIN(300,MAX(1,D119)),0), FactorTable!$A$2:$A$301,0), Skills!M4+1)</f>
        <v/>
      </c>
      <c r="F119">
        <f>IF(Skills!N4=TRUE,(Skills!L4/10)*(E119/1000),Skills!L4/10)+Skills!O4</f>
        <v/>
      </c>
      <c r="G119" t="inlineStr"/>
      <c r="H119" t="inlineStr"/>
      <c r="I119" t="inlineStr">
        <is>
          <t>1</t>
        </is>
      </c>
      <c r="J119" t="inlineStr"/>
      <c r="K119" t="inlineStr"/>
      <c r="L119" t="inlineStr"/>
      <c r="M119" t="inlineStr"/>
      <c r="N119" t="inlineStr"/>
      <c r="O119" t="inlineStr"/>
      <c r="P119" t="inlineStr"/>
      <c r="Q119" t="inlineStr"/>
      <c r="R119" t="inlineStr"/>
      <c r="S119" t="inlineStr"/>
      <c r="U119">
        <f>290*U118/1000</f>
        <v/>
      </c>
    </row>
    <row r="120">
      <c r="A120">
        <f>Skills!A5</f>
        <v/>
      </c>
      <c r="B120">
        <f>Skills!B5</f>
        <v/>
      </c>
      <c r="C120">
        <f>Inputs!$B$3&gt;=117</f>
        <v/>
      </c>
      <c r="D120">
        <f>IF(Skills!C5=1,60+Inputs!$B$26+Inputs!$B$30,IF(Skills!C5=2,90+Inputs!$B$27+Inputs!$B$30,IF(Skills!C5=3,120+Inputs!$B$28+Inputs!$B$30,MAX(0,(Inputs!$B$3-100)*3)+Inputs!$B$29+Inputs!$B$30)))</f>
        <v/>
      </c>
      <c r="E120">
        <f>INDEX(FactorTable!$B$2:$Y$301, MATCH(ROUND(MIN(300,MAX(1,D120)),0), FactorTable!$A$2:$A$301,0), Skills!M5+1)</f>
        <v/>
      </c>
      <c r="F120">
        <f>IF(Skills!N5=TRUE,(Skills!L5/10)*(E120/1000),Skills!L5/10)+Skills!O5</f>
        <v/>
      </c>
      <c r="G120">
        <f>Skills!G5*IF(Skills!H5&gt;0,INT(IF(Inputs!$B$39="pvp",MIN(Skills!I5,15),Skills!I5)/Skills!H5+0.000000001),1)</f>
        <v/>
      </c>
      <c r="H120">
        <f>1-(1-Skills!J5/100)^Skills!K5</f>
        <v/>
      </c>
      <c r="I120" t="inlineStr">
        <is>
          <t>1</t>
        </is>
      </c>
      <c r="J120">
        <f>((Inputs!$B$6*(1+Inputs!$B$7/100))+(((Inputs!$B$13*(1+(Inputs!$B$14+1)/100))-(Inputs!$B$13*(1+Inputs!$B$14/100)))+0.25*(Inputs!$B$15-Inputs!$B$15))*(1+Inputs!$B$7/100))*(F120/100)</f>
        <v/>
      </c>
      <c r="K120">
        <f>J120*(1+(((Inputs!$B$13+IF(Inputs!$B$3&gt;=38,(10*INDEX(FactorTable!$B$2:$Y$301, MATCH(ROUND(MIN(300,MAX(1,Inputs!$B$3)),0), FactorTable!$A$2:$A$301,0), 23)/1000)/100*(Inputs!$B$8*(1+Inputs!$B$9/100)),0))*(1+(Inputs!$B$14+1)/100))*0.01+Inputs!$B$15*0.0025)/100)*(1+Inputs!$B$16/100)*(1+Inputs!$B$17/100)*(5000/(6000+Inputs!$B$43*(1-(Inputs!$B$20+0)/100)))*(1+(Inputs!$B$25+((C140=TRUE)*(F140-Calc!F25))+((C141=TRUE)*(F141-Calc!F26))+B150)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gt;=100),MIN(100,((Inputs!$B$10+0+B144+(ArtifactsInput!$M$24-ArtifactsInput!$M$24)*CHOOSE(ArtifactsInput!$N$24+1,10,12,14,16,18,20)+IF(ArtifactsInput!$M$10,CHOOSE(ArtifactsInput!$N$10+1,15,18,21,24,27,30)*(IF(Inputs!$B$39="pvp",MIN(15,15)/15,IF(AND(Inputs!$B$39&lt;&gt;"pvp",Inputs!$B$44&gt;0),MIN(15,Inputs!$B$44)/(Inputs!$B$44),0))),0)))-100),0))*CHOOSE(ArtifactsInput!$N$42+1,0.6,0.72,0.84,0.96,1.08,1.2))),Inputs!$B$19+((C138=TRUE)*(F138-Calc!F23))+(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gt;=100),CHOOSE(ArtifactsInput!$N$42+1,40,48,56,64,72,80),0))))/100)*((1+(((C128=TRUE)*F128*IF(AND(Inputs!$B$39&lt;&gt;"pvp",Inputs!$B$44&gt;0),(((R128-1)*MIN((Skills!T13*(1+Inputs!$B$35/100)),(1/Q128))+MIN((Skills!T13*(1+Inputs!$B$35/100)),MAX(0,Inputs!$B$44-((R128-1)*(1/Q128)))))/Inputs!$B$44),IF(Inputs!$B$39="pvp",MIN((Skills!T13*(1+Inputs!$B$35/100)),15)/15,MIN(1,(Skills!T13*(1+Inputs!$B$35/100))/(1/Q128)))))+((C129=TRUE)*F129*IF(AND(Inputs!$B$39&lt;&gt;"pvp",Inputs!$B$44&gt;0),(((R129-1)*MIN((Skills!T14*(1+Inputs!$B$35/100)),(1/Q129))+MIN((Skills!T14*(1+Inputs!$B$35/100)),MAX(0,Inputs!$B$44-((R129-1)*(1/Q129)))))/Inputs!$B$44),IF(Inputs!$B$39="pvp",MIN((Skills!T14*(1+Inputs!$B$35/100)),15)/15,MIN(1,(Skills!T14*(1+Inputs!$B$35/100))/(1/Q129)))))+((C130=TRUE)*F130*IF(AND(Inputs!$B$39&lt;&gt;"pvp",Inputs!$B$44&gt;0),(((R130-1)*MIN((Skills!T15*(1+Inputs!$B$35/100)),(1/Q130))+MIN((Skills!T15*(1+Inputs!$B$35/100)),MAX(0,Inputs!$B$44-((R130-1)*(1/Q130)))))/Inputs!$B$44),IF(Inputs!$B$39="pvp",MIN((Skills!T15*(1+Inputs!$B$35/100)),15)/15,MIN(1,(Skills!T15*(1+Inputs!$B$35/100))/(1/Q130)))))+((C131=TRUE)*F131*IF(AND(Inputs!$B$39&lt;&gt;"pvp",Inputs!$B$44&gt;0),(((R131-1)*MIN((Skills!T16*(1+Inputs!$B$35/100)),(1/Q131))+MIN((Skills!T16*(1+Inputs!$B$35/100)),MAX(0,Inputs!$B$44-((R131-1)*(1/Q131)))))/Inputs!$B$44),IF(Inputs!$B$39="pvp",MIN((Skills!T16*(1+Inputs!$B$35/100)),15)/15,MIN(1,(Skills!T16*(1+Inputs!$B$35/100))/(1/Q131)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120)</f>
        <v/>
      </c>
      <c r="L120">
        <f>K120*(MIN(Inputs!$B$23+((C137=TRUE)*(F137-Calc!F22)),(Inputs!$B$24+((C139=TRUE)*(F139-Calc!F24))+(IF(ArtifactsInput!$M$15,CHOOSE(ArtifactsInput!$N$15+1,25,30,35,40,45,50)/100*(Inputs!$B$12-Inputs!$B$12),0))))/100+(Inputs!$B$24+((C139=TRUE)*(F139-Calc!F24))+(IF(ArtifactsInput!$M$15,CHOOSE(ArtifactsInput!$N$15+1,25,30,35,40,45,50)/100*(Inputs!$B$12-Inputs!$B$12),0)))/100)/2</f>
        <v/>
      </c>
      <c r="M120">
        <f>L120*(1+(Inputs!$B$11+0+B149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20">
        <f>L120*(1-MIN((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120*(MIN((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0">
        <f>(1-Summary!$B$11)*T120+Summary!$B$11*V120</f>
        <v/>
      </c>
      <c r="P120">
        <f>IF(B154=0,0,O120/B154)</f>
        <v/>
      </c>
      <c r="Q120">
        <f>IFERROR(1/IF(Inputs!$B$39="pvp",15,MAX(0.1,Skills!D5-IF(TRUE=TRUE,Inputs!$B$33,0))),0)</f>
        <v/>
      </c>
      <c r="R120">
        <f>IF(AND(Inputs!$B$39&lt;&gt;"pvp",Inputs!$B$44&gt;0),IF(MAX(0,Inputs!$B$44-B151)&lt;=0,0,(INT(MAX(0,Inputs!$B$44-B151)/IF(Inputs!$B$39="pvp",15,MAX(0.1,Skills!D5-IF(TRUE=TRUE,Inputs!$B$33,0))))+1)),0)</f>
        <v/>
      </c>
      <c r="S120">
        <f>IFERROR(O120/N120,0)</f>
        <v/>
      </c>
      <c r="T120">
        <f>IF(C120,(H120*N120*IF(AND(Inputs!$B$39&lt;&gt;"pvp",Inputs!$B$44&gt;0),((Skills!G5*((R120-1)*IF(Skills!H5&gt;0,INT(Skills!I5/Skills!H5+0.000000001),1)+IF(Skills!H5&gt;0,INT(MIN(Skills!I5,MAX(0,MAX(0,Inputs!$B$44-B151)-((R120-1)*IF(Inputs!$B$39="pvp",15,MAX(0.1,Skills!D5-IF(TRUE=TRUE,Inputs!$B$33,0))))))/Skills!H5+0.000000001),1)))/Inputs!$B$44),G120*Q120))*IF(Inputs!$B$39="pvp",1,1+(Inputs!$B$21+0+Skills!P5+((C132=TRUE)*F132*IF(AND(Inputs!$B$39&lt;&gt;"pvp",Inputs!$B$44&gt;0),(((R132-1)*MIN((Skills!T17*(1+Inputs!$B$35/100)),(1/Q132))+MIN((Skills!T17*(1+Inputs!$B$35/100)),MAX(0,Inputs!$B$44-((R132-1)*(1/Q132)))))/Inputs!$B$44),IF(Inputs!$B$39="pvp",MIN((Skills!T17*(1+Inputs!$B$35/100)),15)/15,MIN(1,(Skills!T17*(1+Inputs!$B$35/100))/(1/Q132)))))+((C120=TRUE)*IF(Inputs!$B$3&gt;=126,10*MIN(1,15*Q120),0))+((C129=TRUE)*IF(Inputs!$B$39="pvp",20,(1-Summary!$B$11)*(20)+Summary!$B$11*(0))*IF(AND(Inputs!$B$39&lt;&gt;"pvp",Inputs!$B$44&gt;0),(((R129-1)*MIN((Skills!T14*(1+Inputs!$B$35/100)),(1/Q129))+MIN((Skills!T14*(1+Inputs!$B$35/100)),MAX(0,Inputs!$B$44-((R129-1)*(1/Q129)))))/Inputs!$B$44),IF(Inputs!$B$39="pvp",MIN((Skills!T14*(1+Inputs!$B$35/100)),15)/15,MIN(1,(Skills!T14*(1+Inputs!$B$35/100))/(1/Q129)))))+((C128=TRUE)*IF(Inputs!$B$3&gt;=82,IF(Inputs!$B$39="pvp",20,(1-Summary!$B$11)*(20)+Summary!$B$11*(0)),0)*IF(AND(Inputs!$B$39&lt;&gt;"pvp",Inputs!$B$44&gt;0),(((R128-1)*MIN((Skills!T13*(1+Inputs!$B$35/100)),(1/Q128))+MIN((Skills!T13*(1+Inputs!$B$35/100)),MAX(0,Inputs!$B$44-((R128-1)*(1/Q128)))))/Inputs!$B$44),IF(Inputs!$B$39="pvp",MIN((Skills!T13*(1+Inputs!$B$35/100)),15)/15,MIN(1,(Skills!T13*(1+Inputs!$B$35/100))/(1/Q128)))))+(IF(AND(ArtifactsInput!$M$35,Inputs!$B$4&lt;&gt;"Chapter Hunt"),CHOOSE(ArtifactsInput!$N$35+1,15,18,21,24,27,30)*(1-EXP(-(0.2*B146)*5)),0)+IF(AND(ArtifactsInput!$M$22,Inputs!$B$4&lt;&gt;"Chapter Hunt"),CHOOSE(ArtifactsInput!$N$22+1,10,12,14,16,18,20)*((0*(((0.15*B146*5))^0/1)+1*(((0.15*B146*5))^1/1)+2*(((0.15*B146*5))^2/2)+3*(((0.15*B146*5))^3/6)+4*(((0.15*B146*5))^4/24)+5*(((0.15*B146*5))^5/120))/((((0.15*B146*5))^0/1)+(((0.15*B146*5))^1/1)+(((0.15*B146*5))^2/2)+(((0.15*B146*5))^3/6)+(((0.15*B146*5))^4/24)+(((0.15*B146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120*(1-MIN(100,(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120*(MIN(100,(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120*(1-MIN(100,(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120*(MIN(100,(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0">
        <f>IF(C120,(H120*N120*IF(AND(Inputs!$B$39&lt;&gt;"pvp",Inputs!$B$44&gt;0),((Skills!G5*((R120-1)*IF(Skills!H5&gt;0,INT(Skills!I5/Skills!H5+0.000000001),1)+IF(Skills!H5&gt;0,INT(MIN(Skills!I5,MAX(0,MAX(0,Inputs!$B$44-B151)-((R120-1)*IF(Inputs!$B$39="pvp",15,MAX(0.1,Skills!D5-IF(TRUE=TRUE,Inputs!$B$33,0))))))/Skills!H5+0.000000001),1)))/Inputs!$B$44),G120*Q120))*IF(Inputs!$B$39="pvp",1,(1+(Inputs!$B$22+Skills!Q5+((C132=TRUE)*F132*IF(AND(Inputs!$B$39&lt;&gt;"pvp",Inputs!$B$44&gt;0),(((R132-1)*MIN((Skills!T17*(1+Inputs!$B$35/100)),(1/Q132))+MIN((Skills!T17*(1+Inputs!$B$35/100)),MAX(0,Inputs!$B$44-((R132-1)*(1/Q132)))))/Inputs!$B$44),IF(Inputs!$B$39="pvp",MIN((Skills!T17*(1+Inputs!$B$35/100)),15)/15,MIN(1,(Skills!T17*(1+Inputs!$B$35/100))/(1/Q132)))))+((C120=TRUE)*IF(Inputs!$B$3&gt;=126,10*MIN(1,15*Q120),0))+((C129=TRUE)*IF(Inputs!$B$39="pvp",20,(1-Summary!$B$11)*(20)+Summary!$B$11*(0))*IF(AND(Inputs!$B$39&lt;&gt;"pvp",Inputs!$B$44&gt;0),(((R129-1)*MIN((Skills!T14*(1+Inputs!$B$35/100)),(1/Q129))+MIN((Skills!T14*(1+Inputs!$B$35/100)),MAX(0,Inputs!$B$44-((R129-1)*(1/Q129)))))/Inputs!$B$44),IF(Inputs!$B$39="pvp",MIN((Skills!T14*(1+Inputs!$B$35/100)),15)/15,MIN(1,(Skills!T14*(1+Inputs!$B$35/100))/(1/Q129)))))+((C128=TRUE)*IF(Inputs!$B$3&gt;=82,IF(Inputs!$B$39="pvp",20,(1-Summary!$B$11)*(20)+Summary!$B$11*(0)),0)*IF(AND(Inputs!$B$39&lt;&gt;"pvp",Inputs!$B$44&gt;0),(((R128-1)*MIN((Skills!T13*(1+Inputs!$B$35/100)),(1/Q128))+MIN((Skills!T13*(1+Inputs!$B$35/100)),MAX(0,Inputs!$B$44-((R128-1)*(1/Q128)))))/Inputs!$B$44),IF(Inputs!$B$39="pvp",MIN((Skills!T13*(1+Inputs!$B$35/100)),15)/15,MIN(1,(Skills!T13*(1+Inputs!$B$35/100))/(1/Q128)))))+(IF(AND(ArtifactsInput!$M$35,Inputs!$B$4&lt;&gt;"Chapter Hunt"),CHOOSE(ArtifactsInput!$N$35+1,15,18,21,24,27,30)*(1-EXP(-(0.2*B146)*5)),0)+IF(AND(ArtifactsInput!$M$22,Inputs!$B$4&lt;&gt;"Chapter Hunt"),CHOOSE(ArtifactsInput!$N$22+1,10,12,14,16,18,20)*((0*(((0.15*B146*5))^0/1)+1*(((0.15*B146*5))^1/1)+2*(((0.15*B146*5))^2/2)+3*(((0.15*B146*5))^3/6)+4*(((0.15*B146*5))^4/24)+5*(((0.15*B146*5))^5/120))/((((0.15*B146*5))^0/1)+(((0.15*B146*5))^1/1)+(((0.15*B146*5))^2/2)+(((0.15*B146*5))^3/6)+(((0.15*B146*5))^4/24)+(((0.15*B146*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1">
      <c r="A121">
        <f>Skills!A6</f>
        <v/>
      </c>
      <c r="B121">
        <f>Skills!B6</f>
        <v/>
      </c>
      <c r="C121">
        <f>Inputs!$B$3&gt;=103</f>
        <v/>
      </c>
      <c r="D121">
        <f>IF(Skills!C6=1,60+Inputs!$B$26+Inputs!$B$30,IF(Skills!C6=2,90+Inputs!$B$27+Inputs!$B$30,IF(Skills!C6=3,120+Inputs!$B$28+Inputs!$B$30,MAX(0,(Inputs!$B$3-100)*3)+Inputs!$B$29+Inputs!$B$30)))</f>
        <v/>
      </c>
      <c r="E121">
        <f>INDEX(FactorTable!$B$2:$Y$301, MATCH(ROUND(MIN(300,MAX(1,D121)),0), FactorTable!$A$2:$A$301,0), Skills!M6+1)</f>
        <v/>
      </c>
      <c r="F121">
        <f>IF(Skills!N6=TRUE,(Skills!L6/10)*(E121/1000),Skills!L6/10)+Skills!O6</f>
        <v/>
      </c>
      <c r="G121">
        <f>Skills!G6*IF(Skills!H6&gt;0,INT(IF(Inputs!$B$39="pvp",MIN(Skills!I6,15),Skills!I6)/Skills!H6+0.000000001),1)</f>
        <v/>
      </c>
      <c r="H121">
        <f>1-(1-Skills!J6/100)^Skills!K6</f>
        <v/>
      </c>
      <c r="I121" t="inlineStr">
        <is>
          <t>1</t>
        </is>
      </c>
      <c r="J121">
        <f>((Inputs!$B$6*(1+Inputs!$B$7/100))+(((Inputs!$B$13*(1+(Inputs!$B$14+1)/100))-(Inputs!$B$13*(1+Inputs!$B$14/100)))+0.25*(Inputs!$B$15-Inputs!$B$15))*(1+Inputs!$B$7/100))*(F121/100)</f>
        <v/>
      </c>
      <c r="K121">
        <f>J121*(1+(((Inputs!$B$13+IF(Inputs!$B$3&gt;=38,(10*INDEX(FactorTable!$B$2:$Y$301, MATCH(ROUND(MIN(300,MAX(1,Inputs!$B$3)),0), FactorTable!$A$2:$A$301,0), 23)/1000)/100*(Inputs!$B$8*(1+Inputs!$B$9/100)),0))*(1+(Inputs!$B$14+1)/100))*0.01+Inputs!$B$15*0.0025)/100)*(1+Inputs!$B$16/100)*(1+Inputs!$B$17/100)*(5000/(6000+Inputs!$B$43*(1-(Inputs!$B$20+0)/100)))*(1+(Inputs!$B$25+((C140=TRUE)*(F140-Calc!F25))+((C141=TRUE)*(F141-Calc!F26))+B150)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gt;=100),MIN(100,((Inputs!$B$10+0+B144+(ArtifactsInput!$M$24-ArtifactsInput!$M$24)*CHOOSE(ArtifactsInput!$N$24+1,10,12,14,16,18,20)+IF(ArtifactsInput!$M$10,CHOOSE(ArtifactsInput!$N$10+1,15,18,21,24,27,30)*(IF(Inputs!$B$39="pvp",MIN(15,15)/15,IF(AND(Inputs!$B$39&lt;&gt;"pvp",Inputs!$B$44&gt;0),MIN(15,Inputs!$B$44)/(Inputs!$B$44),0))),0)))-100),0))*CHOOSE(ArtifactsInput!$N$42+1,0.6,0.72,0.84,0.96,1.08,1.2))),Inputs!$B$19+((C138=TRUE)*(F138-Calc!F23))+(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gt;=100),CHOOSE(ArtifactsInput!$N$42+1,40,48,56,64,72,80),0))))/100)*((1+(((C128=TRUE)*F128*IF(AND(Inputs!$B$39&lt;&gt;"pvp",Inputs!$B$44&gt;0),(((R128-1)*MIN((Skills!T13*(1+Inputs!$B$35/100)),(1/Q128))+MIN((Skills!T13*(1+Inputs!$B$35/100)),MAX(0,Inputs!$B$44-((R128-1)*(1/Q128)))))/Inputs!$B$44),IF(Inputs!$B$39="pvp",MIN((Skills!T13*(1+Inputs!$B$35/100)),15)/15,MIN(1,(Skills!T13*(1+Inputs!$B$35/100))/(1/Q128)))))+((C129=TRUE)*F129*IF(AND(Inputs!$B$39&lt;&gt;"pvp",Inputs!$B$44&gt;0),(((R129-1)*MIN((Skills!T14*(1+Inputs!$B$35/100)),(1/Q129))+MIN((Skills!T14*(1+Inputs!$B$35/100)),MAX(0,Inputs!$B$44-((R129-1)*(1/Q129)))))/Inputs!$B$44),IF(Inputs!$B$39="pvp",MIN((Skills!T14*(1+Inputs!$B$35/100)),15)/15,MIN(1,(Skills!T14*(1+Inputs!$B$35/100))/(1/Q129)))))+((C130=TRUE)*F130*IF(AND(Inputs!$B$39&lt;&gt;"pvp",Inputs!$B$44&gt;0),(((R130-1)*MIN((Skills!T15*(1+Inputs!$B$35/100)),(1/Q130))+MIN((Skills!T15*(1+Inputs!$B$35/100)),MAX(0,Inputs!$B$44-((R130-1)*(1/Q130)))))/Inputs!$B$44),IF(Inputs!$B$39="pvp",MIN((Skills!T15*(1+Inputs!$B$35/100)),15)/15,MIN(1,(Skills!T15*(1+Inputs!$B$35/100))/(1/Q130)))))+((C131=TRUE)*F131*IF(AND(Inputs!$B$39&lt;&gt;"pvp",Inputs!$B$44&gt;0),(((R131-1)*MIN((Skills!T16*(1+Inputs!$B$35/100)),(1/Q131))+MIN((Skills!T16*(1+Inputs!$B$35/100)),MAX(0,Inputs!$B$44-((R131-1)*(1/Q131)))))/Inputs!$B$44),IF(Inputs!$B$39="pvp",MIN((Skills!T16*(1+Inputs!$B$35/100)),15)/15,MIN(1,(Skills!T16*(1+Inputs!$B$35/100))/(1/Q131)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121)</f>
        <v/>
      </c>
      <c r="L121">
        <f>K121*(MIN(Inputs!$B$23+((C137=TRUE)*(F137-Calc!F22)),(Inputs!$B$24+((C139=TRUE)*(F139-Calc!F24))+(IF(ArtifactsInput!$M$15,CHOOSE(ArtifactsInput!$N$15+1,25,30,35,40,45,50)/100*(Inputs!$B$12-Inputs!$B$12),0))))/100+(Inputs!$B$24+((C139=TRUE)*(F139-Calc!F24))+(IF(ArtifactsInput!$M$15,CHOOSE(ArtifactsInput!$N$15+1,25,30,35,40,45,50)/100*(Inputs!$B$12-Inputs!$B$12),0)))/100)/2</f>
        <v/>
      </c>
      <c r="M121">
        <f>L121*(1+(Inputs!$B$11+0+B149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21">
        <f>L121*(1-MIN((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121*(MIN((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1">
        <f>(1-Summary!$B$11)*T121+Summary!$B$11*V121</f>
        <v/>
      </c>
      <c r="P121">
        <f>IF(B154=0,0,O121/B154)</f>
        <v/>
      </c>
      <c r="Q121">
        <f>IFERROR(1/IF(Inputs!$B$39="pvp",15,MAX(0.1,Skills!D6-IF(TRUE=TRUE,Inputs!$B$33,0))),0)</f>
        <v/>
      </c>
      <c r="R121">
        <f>IF(AND(Inputs!$B$39&lt;&gt;"pvp",Inputs!$B$44&gt;0),IF(MAX(0,Inputs!$B$44-B151)&lt;=0,0,(INT(MAX(0,Inputs!$B$44-B151)/IF(Inputs!$B$39="pvp",15,MAX(0.1,Skills!D6-IF(TRUE=TRUE,Inputs!$B$33,0))))+1)),0)</f>
        <v/>
      </c>
      <c r="S121">
        <f>IFERROR(O121/N121,0)</f>
        <v/>
      </c>
      <c r="T121">
        <f>IF(C121,(H121*N121*IF(AND(Inputs!$B$39&lt;&gt;"pvp",Inputs!$B$44&gt;0),((Skills!G6*((R121-1)*IF(Skills!H6&gt;0,INT(Skills!I6/Skills!H6+0.000000001),1)+IF(Skills!H6&gt;0,INT(MIN(Skills!I6,MAX(0,MAX(0,Inputs!$B$44-B151)-((R121-1)*IF(Inputs!$B$39="pvp",15,MAX(0.1,Skills!D6-IF(TRUE=TRUE,Inputs!$B$33,0))))))/Skills!H6+0.000000001),1)))/Inputs!$B$44),G121*Q121))*IF(Inputs!$B$39="pvp",1,1+(Inputs!$B$21+0+Skills!P6+((C132=TRUE)*F132*IF(AND(Inputs!$B$39&lt;&gt;"pvp",Inputs!$B$44&gt;0),(((R132-1)*MIN((Skills!T17*(1+Inputs!$B$35/100)),(1/Q132))+MIN((Skills!T17*(1+Inputs!$B$35/100)),MAX(0,Inputs!$B$44-((R132-1)*(1/Q132)))))/Inputs!$B$44),IF(Inputs!$B$39="pvp",MIN((Skills!T17*(1+Inputs!$B$35/100)),15)/15,MIN(1,(Skills!T17*(1+Inputs!$B$35/100))/(1/Q132)))))+((C120=TRUE)*IF(Inputs!$B$3&gt;=126,10*MIN(1,15*Q120),0))+((C129=TRUE)*IF(Inputs!$B$39="pvp",20,(1-Summary!$B$11)*(20)+Summary!$B$11*(0))*IF(AND(Inputs!$B$39&lt;&gt;"pvp",Inputs!$B$44&gt;0),(((R129-1)*MIN((Skills!T14*(1+Inputs!$B$35/100)),(1/Q129))+MIN((Skills!T14*(1+Inputs!$B$35/100)),MAX(0,Inputs!$B$44-((R129-1)*(1/Q129)))))/Inputs!$B$44),IF(Inputs!$B$39="pvp",MIN((Skills!T14*(1+Inputs!$B$35/100)),15)/15,MIN(1,(Skills!T14*(1+Inputs!$B$35/100))/(1/Q129)))))+((C128=TRUE)*IF(Inputs!$B$3&gt;=82,IF(Inputs!$B$39="pvp",20,(1-Summary!$B$11)*(20)+Summary!$B$11*(0)),0)*IF(AND(Inputs!$B$39&lt;&gt;"pvp",Inputs!$B$44&gt;0),(((R128-1)*MIN((Skills!T13*(1+Inputs!$B$35/100)),(1/Q128))+MIN((Skills!T13*(1+Inputs!$B$35/100)),MAX(0,Inputs!$B$44-((R128-1)*(1/Q128)))))/Inputs!$B$44),IF(Inputs!$B$39="pvp",MIN((Skills!T13*(1+Inputs!$B$35/100)),15)/15,MIN(1,(Skills!T13*(1+Inputs!$B$35/100))/(1/Q128)))))+(IF(AND(ArtifactsInput!$M$35,Inputs!$B$4&lt;&gt;"Chapter Hunt"),CHOOSE(ArtifactsInput!$N$35+1,15,18,21,24,27,30)*(1-EXP(-(0.2*B146)*5)),0)+IF(AND(ArtifactsInput!$M$22,Inputs!$B$4&lt;&gt;"Chapter Hunt"),CHOOSE(ArtifactsInput!$N$22+1,10,12,14,16,18,20)*((0*(((0.15*B146*5))^0/1)+1*(((0.15*B146*5))^1/1)+2*(((0.15*B146*5))^2/2)+3*(((0.15*B146*5))^3/6)+4*(((0.15*B146*5))^4/24)+5*(((0.15*B146*5))^5/120))/((((0.15*B146*5))^0/1)+(((0.15*B146*5))^1/1)+(((0.15*B146*5))^2/2)+(((0.15*B146*5))^3/6)+(((0.15*B146*5))^4/24)+(((0.15*B146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121*(1-MIN(100,(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121*(MIN(100,(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121*(1-MIN(100,(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121*(MIN(100,(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1">
        <f>IF(C121,(H121*N121*IF(AND(Inputs!$B$39&lt;&gt;"pvp",Inputs!$B$44&gt;0),((Skills!G6*((R121-1)*IF(Skills!H6&gt;0,INT(Skills!I6/Skills!H6+0.000000001),1)+IF(Skills!H6&gt;0,INT(MIN(Skills!I6,MAX(0,MAX(0,Inputs!$B$44-B151)-((R121-1)*IF(Inputs!$B$39="pvp",15,MAX(0.1,Skills!D6-IF(TRUE=TRUE,Inputs!$B$33,0))))))/Skills!H6+0.000000001),1)))/Inputs!$B$44),G121*Q121))*IF(Inputs!$B$39="pvp",1,(1+(Inputs!$B$22+Skills!Q6+((C132=TRUE)*F132*IF(AND(Inputs!$B$39&lt;&gt;"pvp",Inputs!$B$44&gt;0),(((R132-1)*MIN((Skills!T17*(1+Inputs!$B$35/100)),(1/Q132))+MIN((Skills!T17*(1+Inputs!$B$35/100)),MAX(0,Inputs!$B$44-((R132-1)*(1/Q132)))))/Inputs!$B$44),IF(Inputs!$B$39="pvp",MIN((Skills!T17*(1+Inputs!$B$35/100)),15)/15,MIN(1,(Skills!T17*(1+Inputs!$B$35/100))/(1/Q132)))))+((C120=TRUE)*IF(Inputs!$B$3&gt;=126,10*MIN(1,15*Q120),0))+((C129=TRUE)*IF(Inputs!$B$39="pvp",20,(1-Summary!$B$11)*(20)+Summary!$B$11*(0))*IF(AND(Inputs!$B$39&lt;&gt;"pvp",Inputs!$B$44&gt;0),(((R129-1)*MIN((Skills!T14*(1+Inputs!$B$35/100)),(1/Q129))+MIN((Skills!T14*(1+Inputs!$B$35/100)),MAX(0,Inputs!$B$44-((R129-1)*(1/Q129)))))/Inputs!$B$44),IF(Inputs!$B$39="pvp",MIN((Skills!T14*(1+Inputs!$B$35/100)),15)/15,MIN(1,(Skills!T14*(1+Inputs!$B$35/100))/(1/Q129)))))+((C128=TRUE)*IF(Inputs!$B$3&gt;=82,IF(Inputs!$B$39="pvp",20,(1-Summary!$B$11)*(20)+Summary!$B$11*(0)),0)*IF(AND(Inputs!$B$39&lt;&gt;"pvp",Inputs!$B$44&gt;0),(((R128-1)*MIN((Skills!T13*(1+Inputs!$B$35/100)),(1/Q128))+MIN((Skills!T13*(1+Inputs!$B$35/100)),MAX(0,Inputs!$B$44-((R128-1)*(1/Q128)))))/Inputs!$B$44),IF(Inputs!$B$39="pvp",MIN((Skills!T13*(1+Inputs!$B$35/100)),15)/15,MIN(1,(Skills!T13*(1+Inputs!$B$35/100))/(1/Q128)))))+(IF(AND(ArtifactsInput!$M$35,Inputs!$B$4&lt;&gt;"Chapter Hunt"),CHOOSE(ArtifactsInput!$N$35+1,15,18,21,24,27,30)*(1-EXP(-(0.2*B146)*5)),0)+IF(AND(ArtifactsInput!$M$22,Inputs!$B$4&lt;&gt;"Chapter Hunt"),CHOOSE(ArtifactsInput!$N$22+1,10,12,14,16,18,20)*((0*(((0.15*B146*5))^0/1)+1*(((0.15*B146*5))^1/1)+2*(((0.15*B146*5))^2/2)+3*(((0.15*B146*5))^3/6)+4*(((0.15*B146*5))^4/24)+5*(((0.15*B146*5))^5/120))/((((0.15*B146*5))^0/1)+(((0.15*B146*5))^1/1)+(((0.15*B146*5))^2/2)+(((0.15*B146*5))^3/6)+(((0.15*B146*5))^4/24)+(((0.15*B146*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2">
      <c r="A122">
        <f>Skills!A7</f>
        <v/>
      </c>
      <c r="B122">
        <f>Skills!B7</f>
        <v/>
      </c>
      <c r="C122">
        <f>Inputs!$B$3&gt;=40</f>
        <v/>
      </c>
      <c r="D122">
        <f>IF(Skills!C7=1,60+Inputs!$B$26+Inputs!$B$30,IF(Skills!C7=2,90+Inputs!$B$27+Inputs!$B$30,IF(Skills!C7=3,120+Inputs!$B$28+Inputs!$B$30,MAX(0,(Inputs!$B$3-100)*3)+Inputs!$B$29+Inputs!$B$30)))</f>
        <v/>
      </c>
      <c r="E122">
        <f>INDEX(FactorTable!$B$2:$Y$301, MATCH(ROUND(MIN(300,MAX(1,D122)),0), FactorTable!$A$2:$A$301,0), Skills!M7+1)</f>
        <v/>
      </c>
      <c r="F122">
        <f>IF(Skills!N7=TRUE,(Skills!L7/10)*(E122/1000),Skills!L7/10)+Skills!O7</f>
        <v/>
      </c>
      <c r="G122">
        <f>Skills!G7*IF(Skills!H7&gt;0,INT(IF(Inputs!$B$39="pvp",MIN(Skills!I7,15),Skills!I7)/Skills!H7+0.000000001),1)</f>
        <v/>
      </c>
      <c r="H122">
        <f>1-(1-Skills!J7/100)^Skills!K7</f>
        <v/>
      </c>
      <c r="I122" t="inlineStr">
        <is>
          <t>1</t>
        </is>
      </c>
      <c r="J122">
        <f>((Inputs!$B$6*(1+Inputs!$B$7/100))+(((Inputs!$B$13*(1+(Inputs!$B$14+1)/100))-(Inputs!$B$13*(1+Inputs!$B$14/100)))+0.25*(Inputs!$B$15-Inputs!$B$15))*(1+Inputs!$B$7/100))*(F122/100)</f>
        <v/>
      </c>
      <c r="K122">
        <f>J122*(1+(((Inputs!$B$13+IF(Inputs!$B$3&gt;=38,(10*INDEX(FactorTable!$B$2:$Y$301, MATCH(ROUND(MIN(300,MAX(1,Inputs!$B$3)),0), FactorTable!$A$2:$A$301,0), 23)/1000)/100*(Inputs!$B$8*(1+Inputs!$B$9/100)),0))*(1+(Inputs!$B$14+1)/100))*0.01+Inputs!$B$15*0.0025)/100)*(1+Inputs!$B$16/100)*(1+Inputs!$B$17/100)*(5000/(6000+Inputs!$B$43*(1-(Inputs!$B$20+0)/100)))*(1+(Inputs!$B$25+((C140=TRUE)*(F140-Calc!F25))+((C141=TRUE)*(F141-Calc!F26))+B150)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126=TRUE,F126,0)/100)*(1+(IF(Skills!A7="DARK_IMPALE",Inputs!$B$18+0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gt;=100),MIN(100,((Inputs!$B$10+0+B144+(ArtifactsInput!$M$24-ArtifactsInput!$M$24)*CHOOSE(ArtifactsInput!$N$24+1,10,12,14,16,18,20)+IF(ArtifactsInput!$M$10,CHOOSE(ArtifactsInput!$N$10+1,15,18,21,24,27,30)*(IF(Inputs!$B$39="pvp",MIN(15,15)/15,IF(AND(Inputs!$B$39&lt;&gt;"pvp",Inputs!$B$44&gt;0),MIN(15,Inputs!$B$44)/(Inputs!$B$44),0))),0)))-100),0))*CHOOSE(ArtifactsInput!$N$42+1,0.6,0.72,0.84,0.96,1.08,1.2))),Inputs!$B$19+((C138=TRUE)*(F138-Calc!F23))+(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gt;=100),CHOOSE(ArtifactsInput!$N$42+1,40,48,56,64,72,80),0))))/100)*((1+(((C128=TRUE)*F128*IF(AND(Inputs!$B$39&lt;&gt;"pvp",Inputs!$B$44&gt;0),(((R128-1)*MIN((Skills!T13*(1+Inputs!$B$35/100)),(1/Q128))+MIN((Skills!T13*(1+Inputs!$B$35/100)),MAX(0,Inputs!$B$44-((R128-1)*(1/Q128)))))/Inputs!$B$44),IF(Inputs!$B$39="pvp",MIN((Skills!T13*(1+Inputs!$B$35/100)),15)/15,MIN(1,(Skills!T13*(1+Inputs!$B$35/100))/(1/Q128)))))+((C129=TRUE)*F129*IF(AND(Inputs!$B$39&lt;&gt;"pvp",Inputs!$B$44&gt;0),(((R129-1)*MIN((Skills!T14*(1+Inputs!$B$35/100)),(1/Q129))+MIN((Skills!T14*(1+Inputs!$B$35/100)),MAX(0,Inputs!$B$44-((R129-1)*(1/Q129)))))/Inputs!$B$44),IF(Inputs!$B$39="pvp",MIN((Skills!T14*(1+Inputs!$B$35/100)),15)/15,MIN(1,(Skills!T14*(1+Inputs!$B$35/100))/(1/Q129)))))+((C130=TRUE)*F130*IF(AND(Inputs!$B$39&lt;&gt;"pvp",Inputs!$B$44&gt;0),(((R130-1)*MIN((Skills!T15*(1+Inputs!$B$35/100)),(1/Q130))+MIN((Skills!T15*(1+Inputs!$B$35/100)),MAX(0,Inputs!$B$44-((R130-1)*(1/Q130)))))/Inputs!$B$44),IF(Inputs!$B$39="pvp",MIN((Skills!T15*(1+Inputs!$B$35/100)),15)/15,MIN(1,(Skills!T15*(1+Inputs!$B$35/100))/(1/Q130)))))+((C131=TRUE)*F131*IF(AND(Inputs!$B$39&lt;&gt;"pvp",Inputs!$B$44&gt;0),(((R131-1)*MIN((Skills!T16*(1+Inputs!$B$35/100)),(1/Q131))+MIN((Skills!T16*(1+Inputs!$B$35/100)),MAX(0,Inputs!$B$44-((R131-1)*(1/Q131)))))/Inputs!$B$44),IF(Inputs!$B$39="pvp",MIN((Skills!T16*(1+Inputs!$B$35/100)),15)/15,MIN(1,(Skills!T16*(1+Inputs!$B$35/100))/(1/Q131)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122)</f>
        <v/>
      </c>
      <c r="L122">
        <f>K122*(MIN(Inputs!$B$23+((C137=TRUE)*(F137-Calc!F22)),(Inputs!$B$24+((C139=TRUE)*(F139-Calc!F24))+(IF(ArtifactsInput!$M$15,CHOOSE(ArtifactsInput!$N$15+1,25,30,35,40,45,50)/100*(Inputs!$B$12-Inputs!$B$12),0))))/100+(Inputs!$B$24+((C139=TRUE)*(F139-Calc!F24))+(IF(ArtifactsInput!$M$15,CHOOSE(ArtifactsInput!$N$15+1,25,30,35,40,45,50)/100*(Inputs!$B$12-Inputs!$B$12),0)))/100)/2</f>
        <v/>
      </c>
      <c r="M122">
        <f>L122*(1+(Inputs!$B$11+0+B149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22">
        <f>L122*(1-MIN((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122*(MIN((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2">
        <f>(1-Summary!$B$11)*T122+Summary!$B$11*V122</f>
        <v/>
      </c>
      <c r="P122">
        <f>IF(B154=0,0,O122/B154)</f>
        <v/>
      </c>
      <c r="Q122">
        <f>IFERROR(1/IF(Inputs!$B$39="pvp",15,MAX(0.1,Skills!D7-IF(TRUE=TRUE,Inputs!$B$33,0))),0)</f>
        <v/>
      </c>
      <c r="R122">
        <f>IF(AND(Inputs!$B$39&lt;&gt;"pvp",Inputs!$B$44&gt;0),IF(MAX(0,Inputs!$B$44-B151)&lt;=0,0,(INT(MAX(0,Inputs!$B$44-B151)/IF(Inputs!$B$39="pvp",15,MAX(0.1,Skills!D7-IF(TRUE=TRUE,Inputs!$B$33,0))))+1)),0)</f>
        <v/>
      </c>
      <c r="S122">
        <f>IFERROR(O122/N122,0)</f>
        <v/>
      </c>
      <c r="T122">
        <f>IF(C122,(H122*N122*IF(AND(Inputs!$B$39&lt;&gt;"pvp",Inputs!$B$44&gt;0),((Skills!G7*((R122-1)*IF(Skills!H7&gt;0,INT(Skills!I7/Skills!H7+0.000000001),1)+IF(Skills!H7&gt;0,INT(MIN(Skills!I7,MAX(0,MAX(0,Inputs!$B$44-B151)-((R122-1)*IF(Inputs!$B$39="pvp",15,MAX(0.1,Skills!D7-IF(TRUE=TRUE,Inputs!$B$33,0))))))/Skills!H7+0.000000001),1)))/Inputs!$B$44),G122*Q122))*IF(Inputs!$B$39="pvp",1,1+(Inputs!$B$21+0+Skills!P7+((C132=TRUE)*F132*IF(AND(Inputs!$B$39&lt;&gt;"pvp",Inputs!$B$44&gt;0),(((R132-1)*MIN((Skills!T17*(1+Inputs!$B$35/100)),(1/Q132))+MIN((Skills!T17*(1+Inputs!$B$35/100)),MAX(0,Inputs!$B$44-((R132-1)*(1/Q132)))))/Inputs!$B$44),IF(Inputs!$B$39="pvp",MIN((Skills!T17*(1+Inputs!$B$35/100)),15)/15,MIN(1,(Skills!T17*(1+Inputs!$B$35/100))/(1/Q132)))))+((C120=TRUE)*IF(Inputs!$B$3&gt;=126,10*MIN(1,15*Q120),0))+((C129=TRUE)*IF(Inputs!$B$39="pvp",20,(1-Summary!$B$11)*(20)+Summary!$B$11*(0))*IF(AND(Inputs!$B$39&lt;&gt;"pvp",Inputs!$B$44&gt;0),(((R129-1)*MIN((Skills!T14*(1+Inputs!$B$35/100)),(1/Q129))+MIN((Skills!T14*(1+Inputs!$B$35/100)),MAX(0,Inputs!$B$44-((R129-1)*(1/Q129)))))/Inputs!$B$44),IF(Inputs!$B$39="pvp",MIN((Skills!T14*(1+Inputs!$B$35/100)),15)/15,MIN(1,(Skills!T14*(1+Inputs!$B$35/100))/(1/Q129)))))+((C128=TRUE)*IF(Inputs!$B$3&gt;=82,IF(Inputs!$B$39="pvp",20,(1-Summary!$B$11)*(20)+Summary!$B$11*(0)),0)*IF(AND(Inputs!$B$39&lt;&gt;"pvp",Inputs!$B$44&gt;0),(((R128-1)*MIN((Skills!T13*(1+Inputs!$B$35/100)),(1/Q128))+MIN((Skills!T13*(1+Inputs!$B$35/100)),MAX(0,Inputs!$B$44-((R128-1)*(1/Q128)))))/Inputs!$B$44),IF(Inputs!$B$39="pvp",MIN((Skills!T13*(1+Inputs!$B$35/100)),15)/15,MIN(1,(Skills!T13*(1+Inputs!$B$35/100))/(1/Q128)))))+(IF(AND(ArtifactsInput!$M$35,Inputs!$B$4&lt;&gt;"Chapter Hunt"),CHOOSE(ArtifactsInput!$N$35+1,15,18,21,24,27,30)*(1-EXP(-(0.2*B146)*5)),0)+IF(AND(ArtifactsInput!$M$22,Inputs!$B$4&lt;&gt;"Chapter Hunt"),CHOOSE(ArtifactsInput!$N$22+1,10,12,14,16,18,20)*((0*(((0.15*B146*5))^0/1)+1*(((0.15*B146*5))^1/1)+2*(((0.15*B146*5))^2/2)+3*(((0.15*B146*5))^3/6)+4*(((0.15*B146*5))^4/24)+5*(((0.15*B146*5))^5/120))/((((0.15*B146*5))^0/1)+(((0.15*B146*5))^1/1)+(((0.15*B146*5))^2/2)+(((0.15*B146*5))^3/6)+(((0.15*B146*5))^4/24)+(((0.15*B146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122*(1-MIN(100,(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122*(MIN(100,(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122*(1-MIN(100,(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122*(MIN(100,(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2">
        <f>IF(C122,(H122*N122*IF(AND(Inputs!$B$39&lt;&gt;"pvp",Inputs!$B$44&gt;0),((Skills!G7*((R122-1)*IF(Skills!H7&gt;0,INT(Skills!I7/Skills!H7+0.000000001),1)+IF(Skills!H7&gt;0,INT(MIN(Skills!I7,MAX(0,MAX(0,Inputs!$B$44-B151)-((R122-1)*IF(Inputs!$B$39="pvp",15,MAX(0.1,Skills!D7-IF(TRUE=TRUE,Inputs!$B$33,0))))))/Skills!H7+0.000000001),1)))/Inputs!$B$44),G122*Q122))*IF(Inputs!$B$39="pvp",1,(1+(Inputs!$B$22+Skills!Q7+((C132=TRUE)*F132*IF(AND(Inputs!$B$39&lt;&gt;"pvp",Inputs!$B$44&gt;0),(((R132-1)*MIN((Skills!T17*(1+Inputs!$B$35/100)),(1/Q132))+MIN((Skills!T17*(1+Inputs!$B$35/100)),MAX(0,Inputs!$B$44-((R132-1)*(1/Q132)))))/Inputs!$B$44),IF(Inputs!$B$39="pvp",MIN((Skills!T17*(1+Inputs!$B$35/100)),15)/15,MIN(1,(Skills!T17*(1+Inputs!$B$35/100))/(1/Q132)))))+((C120=TRUE)*IF(Inputs!$B$3&gt;=126,10*MIN(1,15*Q120),0))+((C129=TRUE)*IF(Inputs!$B$39="pvp",20,(1-Summary!$B$11)*(20)+Summary!$B$11*(0))*IF(AND(Inputs!$B$39&lt;&gt;"pvp",Inputs!$B$44&gt;0),(((R129-1)*MIN((Skills!T14*(1+Inputs!$B$35/100)),(1/Q129))+MIN((Skills!T14*(1+Inputs!$B$35/100)),MAX(0,Inputs!$B$44-((R129-1)*(1/Q129)))))/Inputs!$B$44),IF(Inputs!$B$39="pvp",MIN((Skills!T14*(1+Inputs!$B$35/100)),15)/15,MIN(1,(Skills!T14*(1+Inputs!$B$35/100))/(1/Q129)))))+((C128=TRUE)*IF(Inputs!$B$3&gt;=82,IF(Inputs!$B$39="pvp",20,(1-Summary!$B$11)*(20)+Summary!$B$11*(0)),0)*IF(AND(Inputs!$B$39&lt;&gt;"pvp",Inputs!$B$44&gt;0),(((R128-1)*MIN((Skills!T13*(1+Inputs!$B$35/100)),(1/Q128))+MIN((Skills!T13*(1+Inputs!$B$35/100)),MAX(0,Inputs!$B$44-((R128-1)*(1/Q128)))))/Inputs!$B$44),IF(Inputs!$B$39="pvp",MIN((Skills!T13*(1+Inputs!$B$35/100)),15)/15,MIN(1,(Skills!T13*(1+Inputs!$B$35/100))/(1/Q128)))))+(IF(AND(ArtifactsInput!$M$35,Inputs!$B$4&lt;&gt;"Chapter Hunt"),CHOOSE(ArtifactsInput!$N$35+1,15,18,21,24,27,30)*(1-EXP(-(0.2*B146)*5)),0)+IF(AND(ArtifactsInput!$M$22,Inputs!$B$4&lt;&gt;"Chapter Hunt"),CHOOSE(ArtifactsInput!$N$22+1,10,12,14,16,18,20)*((0*(((0.15*B146*5))^0/1)+1*(((0.15*B146*5))^1/1)+2*(((0.15*B146*5))^2/2)+3*(((0.15*B146*5))^3/6)+4*(((0.15*B146*5))^4/24)+5*(((0.15*B146*5))^5/120))/((((0.15*B146*5))^0/1)+(((0.15*B146*5))^1/1)+(((0.15*B146*5))^2/2)+(((0.15*B146*5))^3/6)+(((0.15*B146*5))^4/24)+(((0.15*B146*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3">
      <c r="A123">
        <f>Skills!A8</f>
        <v/>
      </c>
      <c r="B123">
        <f>Skills!B8</f>
        <v/>
      </c>
      <c r="C123">
        <f>Inputs!$B$3&gt;=75</f>
        <v/>
      </c>
      <c r="D123">
        <f>IF(Skills!C8=1,60+Inputs!$B$26+Inputs!$B$30,IF(Skills!C8=2,90+Inputs!$B$27+Inputs!$B$30,IF(Skills!C8=3,120+Inputs!$B$28+Inputs!$B$30,MAX(0,(Inputs!$B$3-100)*3)+Inputs!$B$29+Inputs!$B$30)))</f>
        <v/>
      </c>
      <c r="E123">
        <f>INDEX(FactorTable!$B$2:$Y$301, MATCH(ROUND(MIN(300,MAX(1,D123)),0), FactorTable!$A$2:$A$301,0), Skills!M8+1)</f>
        <v/>
      </c>
      <c r="F123">
        <f>IF(Skills!N8=TRUE,(Skills!L8/10)*(E123/1000),Skills!L8/10)+Skills!O8</f>
        <v/>
      </c>
      <c r="G123" t="inlineStr"/>
      <c r="H123" t="inlineStr"/>
      <c r="I123" t="inlineStr">
        <is>
          <t>1</t>
        </is>
      </c>
      <c r="J123" t="inlineStr"/>
      <c r="K123" t="inlineStr"/>
      <c r="L123" t="inlineStr"/>
      <c r="M123" t="inlineStr"/>
      <c r="N123" t="inlineStr"/>
      <c r="O123" t="inlineStr"/>
      <c r="P123" t="inlineStr"/>
      <c r="Q123" t="inlineStr"/>
      <c r="R123" t="inlineStr"/>
      <c r="S123" t="inlineStr"/>
    </row>
    <row r="124">
      <c r="A124">
        <f>Skills!A9</f>
        <v/>
      </c>
      <c r="B124">
        <f>Skills!B9</f>
        <v/>
      </c>
      <c r="C124">
        <f>Inputs!$B$3&gt;=60</f>
        <v/>
      </c>
      <c r="D124">
        <f>IF(Skills!C9=1,60+Inputs!$B$26+Inputs!$B$30,IF(Skills!C9=2,90+Inputs!$B$27+Inputs!$B$30,IF(Skills!C9=3,120+Inputs!$B$28+Inputs!$B$30,MAX(0,(Inputs!$B$3-100)*3)+Inputs!$B$29+Inputs!$B$30)))</f>
        <v/>
      </c>
      <c r="E124">
        <f>INDEX(FactorTable!$B$2:$Y$301, MATCH(ROUND(MIN(300,MAX(1,D124)),0), FactorTable!$A$2:$A$301,0), Skills!M9+1)</f>
        <v/>
      </c>
      <c r="F124">
        <f>IF(Skills!N9=TRUE,(Skills!L9/10)*(E124/1000),Skills!L9/10)+Skills!O9</f>
        <v/>
      </c>
      <c r="G124">
        <f>Skills!G9*IF(Skills!H9&gt;0,INT(IF(Inputs!$B$39="pvp",MIN(Skills!I9,15),Skills!I9)/Skills!H9+0.000000001),1)</f>
        <v/>
      </c>
      <c r="H124">
        <f>1-(1-Skills!J9/100)^Skills!K9</f>
        <v/>
      </c>
      <c r="I124" t="inlineStr">
        <is>
          <t>1</t>
        </is>
      </c>
      <c r="J124">
        <f>((Inputs!$B$6*(1+Inputs!$B$7/100))+(((Inputs!$B$13*(1+(Inputs!$B$14+1)/100))-(Inputs!$B$13*(1+Inputs!$B$14/100)))+0.25*(Inputs!$B$15-Inputs!$B$15))*(1+Inputs!$B$7/100))*(F124/100)</f>
        <v/>
      </c>
      <c r="K124">
        <f>J124*(1+(((Inputs!$B$13+IF(Inputs!$B$3&gt;=38,(10*INDEX(FactorTable!$B$2:$Y$301, MATCH(ROUND(MIN(300,MAX(1,Inputs!$B$3)),0), FactorTable!$A$2:$A$301,0), 23)/1000)/100*(Inputs!$B$8*(1+Inputs!$B$9/100)),0))*(1+(Inputs!$B$14+1)/100))*0.01+Inputs!$B$15*0.0025)/100)*(1+Inputs!$B$16/100)*(1+Inputs!$B$17/100)*(5000/(6000+Inputs!$B$43*(1-(Inputs!$B$20+0)/100)))*(1+(Inputs!$B$25+((C140=TRUE)*(F140-Calc!F25))+((C141=TRUE)*(F141-Calc!F26))+B150)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126=TRUE,F126,0)/100)*(1+(IF(Skills!A9="DARK_IMPALE",Inputs!$B$18+0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gt;=100),MIN(100,((Inputs!$B$10+0+B144+(ArtifactsInput!$M$24-ArtifactsInput!$M$24)*CHOOSE(ArtifactsInput!$N$24+1,10,12,14,16,18,20)+IF(ArtifactsInput!$M$10,CHOOSE(ArtifactsInput!$N$10+1,15,18,21,24,27,30)*(IF(Inputs!$B$39="pvp",MIN(15,15)/15,IF(AND(Inputs!$B$39&lt;&gt;"pvp",Inputs!$B$44&gt;0),MIN(15,Inputs!$B$44)/(Inputs!$B$44),0))),0)))-100),0))*CHOOSE(ArtifactsInput!$N$42+1,0.6,0.72,0.84,0.96,1.08,1.2))),Inputs!$B$19+((C138=TRUE)*(F138-Calc!F23))+(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gt;=100),CHOOSE(ArtifactsInput!$N$42+1,40,48,56,64,72,80),0))))/100)*((1+(((C128=TRUE)*F128*IF(AND(Inputs!$B$39&lt;&gt;"pvp",Inputs!$B$44&gt;0),(((R128-1)*MIN((Skills!T13*(1+Inputs!$B$35/100)),(1/Q128))+MIN((Skills!T13*(1+Inputs!$B$35/100)),MAX(0,Inputs!$B$44-((R128-1)*(1/Q128)))))/Inputs!$B$44),IF(Inputs!$B$39="pvp",MIN((Skills!T13*(1+Inputs!$B$35/100)),15)/15,MIN(1,(Skills!T13*(1+Inputs!$B$35/100))/(1/Q128)))))+((C129=TRUE)*F129*IF(AND(Inputs!$B$39&lt;&gt;"pvp",Inputs!$B$44&gt;0),(((R129-1)*MIN((Skills!T14*(1+Inputs!$B$35/100)),(1/Q129))+MIN((Skills!T14*(1+Inputs!$B$35/100)),MAX(0,Inputs!$B$44-((R129-1)*(1/Q129)))))/Inputs!$B$44),IF(Inputs!$B$39="pvp",MIN((Skills!T14*(1+Inputs!$B$35/100)),15)/15,MIN(1,(Skills!T14*(1+Inputs!$B$35/100))/(1/Q129)))))+((C130=TRUE)*F130*IF(AND(Inputs!$B$39&lt;&gt;"pvp",Inputs!$B$44&gt;0),(((R130-1)*MIN((Skills!T15*(1+Inputs!$B$35/100)),(1/Q130))+MIN((Skills!T15*(1+Inputs!$B$35/100)),MAX(0,Inputs!$B$44-((R130-1)*(1/Q130)))))/Inputs!$B$44),IF(Inputs!$B$39="pvp",MIN((Skills!T15*(1+Inputs!$B$35/100)),15)/15,MIN(1,(Skills!T15*(1+Inputs!$B$35/100))/(1/Q130)))))+((C131=TRUE)*F131*IF(AND(Inputs!$B$39&lt;&gt;"pvp",Inputs!$B$44&gt;0),(((R131-1)*MIN((Skills!T16*(1+Inputs!$B$35/100)),(1/Q131))+MIN((Skills!T16*(1+Inputs!$B$35/100)),MAX(0,Inputs!$B$44-((R131-1)*(1/Q131)))))/Inputs!$B$44),IF(Inputs!$B$39="pvp",MIN((Skills!T16*(1+Inputs!$B$35/100)),15)/15,MIN(1,(Skills!T16*(1+Inputs!$B$35/100))/(1/Q131)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124)</f>
        <v/>
      </c>
      <c r="L124">
        <f>K124*(MIN(Inputs!$B$23+((C137=TRUE)*(F137-Calc!F22)),(Inputs!$B$24+((C139=TRUE)*(F139-Calc!F24))+(IF(ArtifactsInput!$M$15,CHOOSE(ArtifactsInput!$N$15+1,25,30,35,40,45,50)/100*(Inputs!$B$12-Inputs!$B$12),0))))/100+(Inputs!$B$24+((C139=TRUE)*(F139-Calc!F24))+(IF(ArtifactsInput!$M$15,CHOOSE(ArtifactsInput!$N$15+1,25,30,35,40,45,50)/100*(Inputs!$B$12-Inputs!$B$12),0)))/100)/2</f>
        <v/>
      </c>
      <c r="M124">
        <f>L124*(1+(Inputs!$B$11+0+B149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24">
        <f>L124*(1-MIN((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124*(MIN((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4">
        <f>(1-Summary!$B$11)*T124+Summary!$B$11*V124</f>
        <v/>
      </c>
      <c r="P124">
        <f>IF(B154=0,0,O124/B154)</f>
        <v/>
      </c>
      <c r="Q124">
        <f>IFERROR(1/IF(Inputs!$B$39="pvp",15,MAX(0.1,Skills!D9-IF(TRUE=TRUE,Inputs!$B$33,0))),0)</f>
        <v/>
      </c>
      <c r="R124">
        <f>IF(AND(Inputs!$B$39&lt;&gt;"pvp",Inputs!$B$44&gt;0),IF(MAX(0,Inputs!$B$44-B151)&lt;=0,0,(INT(MAX(0,Inputs!$B$44-B151)/IF(Inputs!$B$39="pvp",15,MAX(0.1,Skills!D9-IF(TRUE=TRUE,Inputs!$B$33,0))))+1)),0)</f>
        <v/>
      </c>
      <c r="S124">
        <f>IFERROR(O124/N124,0)</f>
        <v/>
      </c>
      <c r="T124">
        <f>IF(C124,(H124*N124*IF(AND(Inputs!$B$39&lt;&gt;"pvp",Inputs!$B$44&gt;0),((Skills!G9*((R124-1)*IF(Skills!H9&gt;0,INT(Skills!I9/Skills!H9+0.000000001),1)+IF(Skills!H9&gt;0,INT(MIN(Skills!I9,MAX(0,MAX(0,Inputs!$B$44-B151)-((R124-1)*IF(Inputs!$B$39="pvp",15,MAX(0.1,Skills!D9-IF(TRUE=TRUE,Inputs!$B$33,0))))))/Skills!H9+0.000000001),1)))/Inputs!$B$44),G124*Q124))*IF(Inputs!$B$39="pvp",1,1+(Inputs!$B$21+0+Skills!P9+((C132=TRUE)*F132*IF(AND(Inputs!$B$39&lt;&gt;"pvp",Inputs!$B$44&gt;0),(((R132-1)*MIN((Skills!T17*(1+Inputs!$B$35/100)),(1/Q132))+MIN((Skills!T17*(1+Inputs!$B$35/100)),MAX(0,Inputs!$B$44-((R132-1)*(1/Q132)))))/Inputs!$B$44),IF(Inputs!$B$39="pvp",MIN((Skills!T17*(1+Inputs!$B$35/100)),15)/15,MIN(1,(Skills!T17*(1+Inputs!$B$35/100))/(1/Q132)))))+((C120=TRUE)*IF(Inputs!$B$3&gt;=126,10*MIN(1,15*Q120),0))+((C129=TRUE)*IF(Inputs!$B$39="pvp",20,(1-Summary!$B$11)*(20)+Summary!$B$11*(0))*IF(AND(Inputs!$B$39&lt;&gt;"pvp",Inputs!$B$44&gt;0),(((R129-1)*MIN((Skills!T14*(1+Inputs!$B$35/100)),(1/Q129))+MIN((Skills!T14*(1+Inputs!$B$35/100)),MAX(0,Inputs!$B$44-((R129-1)*(1/Q129)))))/Inputs!$B$44),IF(Inputs!$B$39="pvp",MIN((Skills!T14*(1+Inputs!$B$35/100)),15)/15,MIN(1,(Skills!T14*(1+Inputs!$B$35/100))/(1/Q129)))))+((C128=TRUE)*IF(Inputs!$B$3&gt;=82,IF(Inputs!$B$39="pvp",20,(1-Summary!$B$11)*(20)+Summary!$B$11*(0)),0)*IF(AND(Inputs!$B$39&lt;&gt;"pvp",Inputs!$B$44&gt;0),(((R128-1)*MIN((Skills!T13*(1+Inputs!$B$35/100)),(1/Q128))+MIN((Skills!T13*(1+Inputs!$B$35/100)),MAX(0,Inputs!$B$44-((R128-1)*(1/Q128)))))/Inputs!$B$44),IF(Inputs!$B$39="pvp",MIN((Skills!T13*(1+Inputs!$B$35/100)),15)/15,MIN(1,(Skills!T13*(1+Inputs!$B$35/100))/(1/Q128)))))+(IF(AND(ArtifactsInput!$M$35,Inputs!$B$4&lt;&gt;"Chapter Hunt"),CHOOSE(ArtifactsInput!$N$35+1,15,18,21,24,27,30)*(1-EXP(-(0.2*B146)*5)),0)+IF(AND(ArtifactsInput!$M$22,Inputs!$B$4&lt;&gt;"Chapter Hunt"),CHOOSE(ArtifactsInput!$N$22+1,10,12,14,16,18,20)*((0*(((0.15*B146*5))^0/1)+1*(((0.15*B146*5))^1/1)+2*(((0.15*B146*5))^2/2)+3*(((0.15*B146*5))^3/6)+4*(((0.15*B146*5))^4/24)+5*(((0.15*B146*5))^5/120))/((((0.15*B146*5))^0/1)+(((0.15*B146*5))^1/1)+(((0.15*B146*5))^2/2)+(((0.15*B146*5))^3/6)+(((0.15*B146*5))^4/24)+(((0.15*B146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124*(1-MIN(100,(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124*(MIN(100,(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124*(1-MIN(100,(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124*(MIN(100,(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4">
        <f>IF(C124,(H124*N124*IF(AND(Inputs!$B$39&lt;&gt;"pvp",Inputs!$B$44&gt;0),((Skills!G9*((R124-1)*IF(Skills!H9&gt;0,INT(Skills!I9/Skills!H9+0.000000001),1)+IF(Skills!H9&gt;0,INT(MIN(Skills!I9,MAX(0,MAX(0,Inputs!$B$44-B151)-((R124-1)*IF(Inputs!$B$39="pvp",15,MAX(0.1,Skills!D9-IF(TRUE=TRUE,Inputs!$B$33,0))))))/Skills!H9+0.000000001),1)))/Inputs!$B$44),G124*Q124))*IF(Inputs!$B$39="pvp",1,(1+(Inputs!$B$22+Skills!Q9+((C132=TRUE)*F132*IF(AND(Inputs!$B$39&lt;&gt;"pvp",Inputs!$B$44&gt;0),(((R132-1)*MIN((Skills!T17*(1+Inputs!$B$35/100)),(1/Q132))+MIN((Skills!T17*(1+Inputs!$B$35/100)),MAX(0,Inputs!$B$44-((R132-1)*(1/Q132)))))/Inputs!$B$44),IF(Inputs!$B$39="pvp",MIN((Skills!T17*(1+Inputs!$B$35/100)),15)/15,MIN(1,(Skills!T17*(1+Inputs!$B$35/100))/(1/Q132)))))+((C120=TRUE)*IF(Inputs!$B$3&gt;=126,10*MIN(1,15*Q120),0))+((C129=TRUE)*IF(Inputs!$B$39="pvp",20,(1-Summary!$B$11)*(20)+Summary!$B$11*(0))*IF(AND(Inputs!$B$39&lt;&gt;"pvp",Inputs!$B$44&gt;0),(((R129-1)*MIN((Skills!T14*(1+Inputs!$B$35/100)),(1/Q129))+MIN((Skills!T14*(1+Inputs!$B$35/100)),MAX(0,Inputs!$B$44-((R129-1)*(1/Q129)))))/Inputs!$B$44),IF(Inputs!$B$39="pvp",MIN((Skills!T14*(1+Inputs!$B$35/100)),15)/15,MIN(1,(Skills!T14*(1+Inputs!$B$35/100))/(1/Q129)))))+((C128=TRUE)*IF(Inputs!$B$3&gt;=82,IF(Inputs!$B$39="pvp",20,(1-Summary!$B$11)*(20)+Summary!$B$11*(0)),0)*IF(AND(Inputs!$B$39&lt;&gt;"pvp",Inputs!$B$44&gt;0),(((R128-1)*MIN((Skills!T13*(1+Inputs!$B$35/100)),(1/Q128))+MIN((Skills!T13*(1+Inputs!$B$35/100)),MAX(0,Inputs!$B$44-((R128-1)*(1/Q128)))))/Inputs!$B$44),IF(Inputs!$B$39="pvp",MIN((Skills!T13*(1+Inputs!$B$35/100)),15)/15,MIN(1,(Skills!T13*(1+Inputs!$B$35/100))/(1/Q128)))))+(IF(AND(ArtifactsInput!$M$35,Inputs!$B$4&lt;&gt;"Chapter Hunt"),CHOOSE(ArtifactsInput!$N$35+1,15,18,21,24,27,30)*(1-EXP(-(0.2*B146)*5)),0)+IF(AND(ArtifactsInput!$M$22,Inputs!$B$4&lt;&gt;"Chapter Hunt"),CHOOSE(ArtifactsInput!$N$22+1,10,12,14,16,18,20)*((0*(((0.15*B146*5))^0/1)+1*(((0.15*B146*5))^1/1)+2*(((0.15*B146*5))^2/2)+3*(((0.15*B146*5))^3/6)+4*(((0.15*B146*5))^4/24)+5*(((0.15*B146*5))^5/120))/((((0.15*B146*5))^0/1)+(((0.15*B146*5))^1/1)+(((0.15*B146*5))^2/2)+(((0.15*B146*5))^3/6)+(((0.15*B146*5))^4/24)+(((0.15*B146*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5">
      <c r="A125">
        <f>Skills!A10</f>
        <v/>
      </c>
      <c r="B125">
        <f>Skills!B10</f>
        <v/>
      </c>
      <c r="C125">
        <f>Inputs!$B$3&gt;=110</f>
        <v/>
      </c>
      <c r="D125">
        <f>IF(Skills!C10=1,60+Inputs!$B$26+Inputs!$B$30,IF(Skills!C10=2,90+Inputs!$B$27+Inputs!$B$30,IF(Skills!C10=3,120+Inputs!$B$28+Inputs!$B$30,MAX(0,(Inputs!$B$3-100)*3)+Inputs!$B$29+Inputs!$B$30)))</f>
        <v/>
      </c>
      <c r="E125">
        <f>INDEX(FactorTable!$B$2:$Y$301, MATCH(ROUND(MIN(300,MAX(1,D125)),0), FactorTable!$A$2:$A$301,0), Skills!M10+1)</f>
        <v/>
      </c>
      <c r="F125">
        <f>IF(Skills!N10=TRUE,(Skills!L10/10)*(E125/1000),Skills!L10/10)+Skills!O10</f>
        <v/>
      </c>
      <c r="G125">
        <f>Skills!G10*IF(Skills!H10&gt;0,INT(IF(Inputs!$B$39="pvp",MIN(Skills!I10,15),Skills!I10)/Skills!H10+0.000000001),1)</f>
        <v/>
      </c>
      <c r="H125">
        <f>1-(1-Skills!J10/100)^Skills!K10</f>
        <v/>
      </c>
      <c r="I125" t="inlineStr">
        <is>
          <t>1</t>
        </is>
      </c>
      <c r="J125">
        <f>((Inputs!$B$6*(1+Inputs!$B$7/100))+(((Inputs!$B$13*(1+(Inputs!$B$14+1)/100))-(Inputs!$B$13*(1+Inputs!$B$14/100)))+0.25*(Inputs!$B$15-Inputs!$B$15))*(1+Inputs!$B$7/100))*(F125/100)</f>
        <v/>
      </c>
      <c r="K125">
        <f>J125*(1+(((Inputs!$B$13+IF(Inputs!$B$3&gt;=38,(10*INDEX(FactorTable!$B$2:$Y$301, MATCH(ROUND(MIN(300,MAX(1,Inputs!$B$3)),0), FactorTable!$A$2:$A$301,0), 23)/1000)/100*(Inputs!$B$8*(1+Inputs!$B$9/100)),0))*(1+(Inputs!$B$14+1)/100))*0.01+Inputs!$B$15*0.0025)/100)*(1+Inputs!$B$16/100)*(1+Inputs!$B$17/100)*(5000/(6000+Inputs!$B$43*(1-(Inputs!$B$20+0)/100)))*(1+(Inputs!$B$25+((C140=TRUE)*(F140-Calc!F25))+((C141=TRUE)*(F141-Calc!F26))+B150)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gt;=100),MIN(100,((Inputs!$B$10+0+B144+(ArtifactsInput!$M$24-ArtifactsInput!$M$24)*CHOOSE(ArtifactsInput!$N$24+1,10,12,14,16,18,20)+IF(ArtifactsInput!$M$10,CHOOSE(ArtifactsInput!$N$10+1,15,18,21,24,27,30)*(IF(Inputs!$B$39="pvp",MIN(15,15)/15,IF(AND(Inputs!$B$39&lt;&gt;"pvp",Inputs!$B$44&gt;0),MIN(15,Inputs!$B$44)/(Inputs!$B$44),0))),0)))-100),0))*CHOOSE(ArtifactsInput!$N$42+1,0.6,0.72,0.84,0.96,1.08,1.2))),Inputs!$B$19+((C138=TRUE)*(F138-Calc!F23))+(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gt;=100),CHOOSE(ArtifactsInput!$N$42+1,40,48,56,64,72,80),0))))/100)*((1+(((C128=TRUE)*F128*IF(AND(Inputs!$B$39&lt;&gt;"pvp",Inputs!$B$44&gt;0),(((R128-1)*MIN((Skills!T13*(1+Inputs!$B$35/100)),(1/Q128))+MIN((Skills!T13*(1+Inputs!$B$35/100)),MAX(0,Inputs!$B$44-((R128-1)*(1/Q128)))))/Inputs!$B$44),IF(Inputs!$B$39="pvp",MIN((Skills!T13*(1+Inputs!$B$35/100)),15)/15,MIN(1,(Skills!T13*(1+Inputs!$B$35/100))/(1/Q128)))))+((C129=TRUE)*F129*IF(AND(Inputs!$B$39&lt;&gt;"pvp",Inputs!$B$44&gt;0),(((R129-1)*MIN((Skills!T14*(1+Inputs!$B$35/100)),(1/Q129))+MIN((Skills!T14*(1+Inputs!$B$35/100)),MAX(0,Inputs!$B$44-((R129-1)*(1/Q129)))))/Inputs!$B$44),IF(Inputs!$B$39="pvp",MIN((Skills!T14*(1+Inputs!$B$35/100)),15)/15,MIN(1,(Skills!T14*(1+Inputs!$B$35/100))/(1/Q129)))))+((C130=TRUE)*F130*IF(AND(Inputs!$B$39&lt;&gt;"pvp",Inputs!$B$44&gt;0),(((R130-1)*MIN((Skills!T15*(1+Inputs!$B$35/100)),(1/Q130))+MIN((Skills!T15*(1+Inputs!$B$35/100)),MAX(0,Inputs!$B$44-((R130-1)*(1/Q130)))))/Inputs!$B$44),IF(Inputs!$B$39="pvp",MIN((Skills!T15*(1+Inputs!$B$35/100)),15)/15,MIN(1,(Skills!T15*(1+Inputs!$B$35/100))/(1/Q130)))))+((C131=TRUE)*F131*IF(AND(Inputs!$B$39&lt;&gt;"pvp",Inputs!$B$44&gt;0),(((R131-1)*MIN((Skills!T16*(1+Inputs!$B$35/100)),(1/Q131))+MIN((Skills!T16*(1+Inputs!$B$35/100)),MAX(0,Inputs!$B$44-((R131-1)*(1/Q131)))))/Inputs!$B$44),IF(Inputs!$B$39="pvp",MIN((Skills!T16*(1+Inputs!$B$35/100)),15)/15,MIN(1,(Skills!T16*(1+Inputs!$B$35/100))/(1/Q131)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125)</f>
        <v/>
      </c>
      <c r="L125">
        <f>K125*(MIN(Inputs!$B$23+((C137=TRUE)*(F137-Calc!F22)),(Inputs!$B$24+((C139=TRUE)*(F139-Calc!F24))+(IF(ArtifactsInput!$M$15,CHOOSE(ArtifactsInput!$N$15+1,25,30,35,40,45,50)/100*(Inputs!$B$12-Inputs!$B$12),0))))/100+(Inputs!$B$24+((C139=TRUE)*(F139-Calc!F24))+(IF(ArtifactsInput!$M$15,CHOOSE(ArtifactsInput!$N$15+1,25,30,35,40,45,50)/100*(Inputs!$B$12-Inputs!$B$12),0)))/100)/2</f>
        <v/>
      </c>
      <c r="M125">
        <f>L125*(1+(Inputs!$B$11+0+B149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25">
        <f>L125*(1-MIN((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125*(MIN((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5">
        <f>(1-Summary!$B$11)*T125+Summary!$B$11*V125</f>
        <v/>
      </c>
      <c r="P125">
        <f>IF(B154=0,0,O125/B154)</f>
        <v/>
      </c>
      <c r="Q125">
        <f>IFERROR(1/IF(Inputs!$B$39="pvp",15,MAX(0.1,Skills!D10-IF(TRUE=TRUE,Inputs!$B$33,0))),0)</f>
        <v/>
      </c>
      <c r="R125">
        <f>IF(AND(Inputs!$B$39&lt;&gt;"pvp",Inputs!$B$44&gt;0),IF(MAX(0,Inputs!$B$44-B151)&lt;=0,0,(INT(MAX(0,Inputs!$B$44-B151)/IF(Inputs!$B$39="pvp",15,MAX(0.1,Skills!D10-IF(TRUE=TRUE,Inputs!$B$33,0))))+1)),0)</f>
        <v/>
      </c>
      <c r="S125">
        <f>IFERROR(O125/N125,0)</f>
        <v/>
      </c>
      <c r="T125">
        <f>IF(C125,(H125*N125*IF(AND(Inputs!$B$39&lt;&gt;"pvp",Inputs!$B$44&gt;0),((Skills!G10*((R125-1)*IF(Skills!H10&gt;0,INT(Skills!I10/Skills!H10+0.000000001),1)+IF(Skills!H10&gt;0,INT(MIN(Skills!I10,MAX(0,MAX(0,Inputs!$B$44-B151)-((R125-1)*IF(Inputs!$B$39="pvp",15,MAX(0.1,Skills!D10-IF(TRUE=TRUE,Inputs!$B$33,0))))))/Skills!H10+0.000000001),1)))/Inputs!$B$44),G125*Q125))*IF(Inputs!$B$39="pvp",1,1+(Inputs!$B$21+0+Skills!P10+((C132=TRUE)*F132*IF(AND(Inputs!$B$39&lt;&gt;"pvp",Inputs!$B$44&gt;0),(((R132-1)*MIN((Skills!T17*(1+Inputs!$B$35/100)),(1/Q132))+MIN((Skills!T17*(1+Inputs!$B$35/100)),MAX(0,Inputs!$B$44-((R132-1)*(1/Q132)))))/Inputs!$B$44),IF(Inputs!$B$39="pvp",MIN((Skills!T17*(1+Inputs!$B$35/100)),15)/15,MIN(1,(Skills!T17*(1+Inputs!$B$35/100))/(1/Q132)))))+((C120=TRUE)*IF(Inputs!$B$3&gt;=126,10*MIN(1,15*Q120),0))+((C129=TRUE)*IF(Inputs!$B$39="pvp",20,(1-Summary!$B$11)*(20)+Summary!$B$11*(0))*IF(AND(Inputs!$B$39&lt;&gt;"pvp",Inputs!$B$44&gt;0),(((R129-1)*MIN((Skills!T14*(1+Inputs!$B$35/100)),(1/Q129))+MIN((Skills!T14*(1+Inputs!$B$35/100)),MAX(0,Inputs!$B$44-((R129-1)*(1/Q129)))))/Inputs!$B$44),IF(Inputs!$B$39="pvp",MIN((Skills!T14*(1+Inputs!$B$35/100)),15)/15,MIN(1,(Skills!T14*(1+Inputs!$B$35/100))/(1/Q129)))))+((C128=TRUE)*IF(Inputs!$B$3&gt;=82,IF(Inputs!$B$39="pvp",20,(1-Summary!$B$11)*(20)+Summary!$B$11*(0)),0)*IF(AND(Inputs!$B$39&lt;&gt;"pvp",Inputs!$B$44&gt;0),(((R128-1)*MIN((Skills!T13*(1+Inputs!$B$35/100)),(1/Q128))+MIN((Skills!T13*(1+Inputs!$B$35/100)),MAX(0,Inputs!$B$44-((R128-1)*(1/Q128)))))/Inputs!$B$44),IF(Inputs!$B$39="pvp",MIN((Skills!T13*(1+Inputs!$B$35/100)),15)/15,MIN(1,(Skills!T13*(1+Inputs!$B$35/100))/(1/Q128)))))+(IF(AND(ArtifactsInput!$M$35,Inputs!$B$4&lt;&gt;"Chapter Hunt"),CHOOSE(ArtifactsInput!$N$35+1,15,18,21,24,27,30)*(1-EXP(-(0.2*B146)*5)),0)+IF(AND(ArtifactsInput!$M$22,Inputs!$B$4&lt;&gt;"Chapter Hunt"),CHOOSE(ArtifactsInput!$N$22+1,10,12,14,16,18,20)*((0*(((0.15*B146*5))^0/1)+1*(((0.15*B146*5))^1/1)+2*(((0.15*B146*5))^2/2)+3*(((0.15*B146*5))^3/6)+4*(((0.15*B146*5))^4/24)+5*(((0.15*B146*5))^5/120))/((((0.15*B146*5))^0/1)+(((0.15*B146*5))^1/1)+(((0.15*B146*5))^2/2)+(((0.15*B146*5))^3/6)+(((0.15*B146*5))^4/24)+(((0.15*B146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125*(1-MIN(100,(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125*(MIN(100,(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125*(1-MIN(100,(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125*(MIN(100,(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5">
        <f>IF(C125,(H125*N125*IF(AND(Inputs!$B$39&lt;&gt;"pvp",Inputs!$B$44&gt;0),((Skills!G10*((R125-1)*IF(Skills!H10&gt;0,INT(Skills!I10/Skills!H10+0.000000001),1)+IF(Skills!H10&gt;0,INT(MIN(Skills!I10,MAX(0,MAX(0,Inputs!$B$44-B151)-((R125-1)*IF(Inputs!$B$39="pvp",15,MAX(0.1,Skills!D10-IF(TRUE=TRUE,Inputs!$B$33,0))))))/Skills!H10+0.000000001),1)))/Inputs!$B$44),G125*Q125))*IF(Inputs!$B$39="pvp",1,(1+(Inputs!$B$22+Skills!Q10+((C132=TRUE)*F132*IF(AND(Inputs!$B$39&lt;&gt;"pvp",Inputs!$B$44&gt;0),(((R132-1)*MIN((Skills!T17*(1+Inputs!$B$35/100)),(1/Q132))+MIN((Skills!T17*(1+Inputs!$B$35/100)),MAX(0,Inputs!$B$44-((R132-1)*(1/Q132)))))/Inputs!$B$44),IF(Inputs!$B$39="pvp",MIN((Skills!T17*(1+Inputs!$B$35/100)),15)/15,MIN(1,(Skills!T17*(1+Inputs!$B$35/100))/(1/Q132)))))+((C120=TRUE)*IF(Inputs!$B$3&gt;=126,10*MIN(1,15*Q120),0))+((C129=TRUE)*IF(Inputs!$B$39="pvp",20,(1-Summary!$B$11)*(20)+Summary!$B$11*(0))*IF(AND(Inputs!$B$39&lt;&gt;"pvp",Inputs!$B$44&gt;0),(((R129-1)*MIN((Skills!T14*(1+Inputs!$B$35/100)),(1/Q129))+MIN((Skills!T14*(1+Inputs!$B$35/100)),MAX(0,Inputs!$B$44-((R129-1)*(1/Q129)))))/Inputs!$B$44),IF(Inputs!$B$39="pvp",MIN((Skills!T14*(1+Inputs!$B$35/100)),15)/15,MIN(1,(Skills!T14*(1+Inputs!$B$35/100))/(1/Q129)))))+((C128=TRUE)*IF(Inputs!$B$3&gt;=82,IF(Inputs!$B$39="pvp",20,(1-Summary!$B$11)*(20)+Summary!$B$11*(0)),0)*IF(AND(Inputs!$B$39&lt;&gt;"pvp",Inputs!$B$44&gt;0),(((R128-1)*MIN((Skills!T13*(1+Inputs!$B$35/100)),(1/Q128))+MIN((Skills!T13*(1+Inputs!$B$35/100)),MAX(0,Inputs!$B$44-((R128-1)*(1/Q128)))))/Inputs!$B$44),IF(Inputs!$B$39="pvp",MIN((Skills!T13*(1+Inputs!$B$35/100)),15)/15,MIN(1,(Skills!T13*(1+Inputs!$B$35/100))/(1/Q128)))))+(IF(AND(ArtifactsInput!$M$35,Inputs!$B$4&lt;&gt;"Chapter Hunt"),CHOOSE(ArtifactsInput!$N$35+1,15,18,21,24,27,30)*(1-EXP(-(0.2*B146)*5)),0)+IF(AND(ArtifactsInput!$M$22,Inputs!$B$4&lt;&gt;"Chapter Hunt"),CHOOSE(ArtifactsInput!$N$22+1,10,12,14,16,18,20)*((0*(((0.15*B146*5))^0/1)+1*(((0.15*B146*5))^1/1)+2*(((0.15*B146*5))^2/2)+3*(((0.15*B146*5))^3/6)+4*(((0.15*B146*5))^4/24)+5*(((0.15*B146*5))^5/120))/((((0.15*B146*5))^0/1)+(((0.15*B146*5))^1/1)+(((0.15*B146*5))^2/2)+(((0.15*B146*5))^3/6)+(((0.15*B146*5))^4/24)+(((0.15*B146*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6">
      <c r="A126">
        <f>Skills!A11</f>
        <v/>
      </c>
      <c r="B126">
        <f>Skills!B11</f>
        <v/>
      </c>
      <c r="C126">
        <f>Inputs!$B$3&gt;=100</f>
        <v/>
      </c>
      <c r="D126">
        <f>IF(Skills!C11=1,60+Inputs!$B$26+Inputs!$B$30,IF(Skills!C11=2,90+Inputs!$B$27+Inputs!$B$30,IF(Skills!C11=3,120+Inputs!$B$28+Inputs!$B$30,MAX(0,(Inputs!$B$3-100)*3)+Inputs!$B$29+Inputs!$B$30)))</f>
        <v/>
      </c>
      <c r="E126">
        <f>INDEX(FactorTable!$B$2:$Y$301, MATCH(ROUND(MIN(300,MAX(1,D126)),0), FactorTable!$A$2:$A$301,0), Skills!M11+1)</f>
        <v/>
      </c>
      <c r="F126">
        <f>IF(Skills!N11=TRUE,(Skills!L11/10)*(E126/1000),Skills!L11/10)+Skills!O11</f>
        <v/>
      </c>
      <c r="G126" t="inlineStr"/>
      <c r="H126" t="inlineStr"/>
      <c r="I126" t="inlineStr">
        <is>
          <t>1</t>
        </is>
      </c>
      <c r="J126" t="inlineStr"/>
      <c r="K126" t="inlineStr"/>
      <c r="L126" t="inlineStr"/>
      <c r="M126" t="inlineStr"/>
      <c r="N126" t="inlineStr"/>
      <c r="O126" t="inlineStr"/>
      <c r="P126" t="inlineStr"/>
      <c r="Q126" t="inlineStr"/>
      <c r="R126" t="inlineStr"/>
      <c r="S126" t="inlineStr"/>
    </row>
    <row r="127">
      <c r="A127">
        <f>Skills!A12</f>
        <v/>
      </c>
      <c r="B127">
        <f>Skills!B12</f>
        <v/>
      </c>
      <c r="C127">
        <f>Inputs!$B$3&gt;=63</f>
        <v/>
      </c>
      <c r="D127">
        <f>IF(Skills!C12=1,60+Inputs!$B$26+Inputs!$B$30,IF(Skills!C12=2,90+Inputs!$B$27+Inputs!$B$30,IF(Skills!C12=3,120+Inputs!$B$28+Inputs!$B$30,MAX(0,(Inputs!$B$3-100)*3)+Inputs!$B$29+Inputs!$B$30)))</f>
        <v/>
      </c>
      <c r="E127">
        <f>INDEX(FactorTable!$B$2:$Y$301, MATCH(ROUND(MIN(300,MAX(1,D127)),0), FactorTable!$A$2:$A$301,0), Skills!M12+1)</f>
        <v/>
      </c>
      <c r="F127">
        <f>IF(Skills!N12=TRUE,(Skills!L12/10)*(E127/1000),Skills!L12/10)+Skills!O12</f>
        <v/>
      </c>
      <c r="G127">
        <f>Skills!G12*IF(Skills!H12&gt;0,INT(IF(Inputs!$B$39="pvp",MIN(Skills!I12,15),Skills!I12)/Skills!H12+0.000000001),1)</f>
        <v/>
      </c>
      <c r="H127">
        <f>1-(1-Skills!J12/100)^Skills!K12</f>
        <v/>
      </c>
      <c r="I127" t="inlineStr">
        <is>
          <t>1</t>
        </is>
      </c>
      <c r="J127">
        <f>((Inputs!$B$6*(1+Inputs!$B$7/100))+(((Inputs!$B$13*(1+(Inputs!$B$14+1)/100))-(Inputs!$B$13*(1+Inputs!$B$14/100)))+0.25*(Inputs!$B$15-Inputs!$B$15))*(1+Inputs!$B$7/100))*(F127/100)</f>
        <v/>
      </c>
      <c r="K127">
        <f>J127*(1+(((Inputs!$B$13+IF(Inputs!$B$3&gt;=38,(10*INDEX(FactorTable!$B$2:$Y$301, MATCH(ROUND(MIN(300,MAX(1,Inputs!$B$3)),0), FactorTable!$A$2:$A$301,0), 23)/1000)/100*(Inputs!$B$8*(1+Inputs!$B$9/100)),0))*(1+(Inputs!$B$14+1)/100))*0.01+Inputs!$B$15*0.0025)/100)*(1+Inputs!$B$16/100)*(1+Inputs!$B$17/100)*(5000/(6000+Inputs!$B$43*(1-(Inputs!$B$20+0)/100)))*(1+(Inputs!$B$25+((C140=TRUE)*(F140-Calc!F25))+((C141=TRUE)*(F141-Calc!F26))+B150)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126=TRUE,F126,0)/100)*(1+(IF(Skills!A12="DARK_IMPALE",Inputs!$B$18+0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gt;=100),MIN(100,((Inputs!$B$10+0+B144+(ArtifactsInput!$M$24-ArtifactsInput!$M$24)*CHOOSE(ArtifactsInput!$N$24+1,10,12,14,16,18,20)+IF(ArtifactsInput!$M$10,CHOOSE(ArtifactsInput!$N$10+1,15,18,21,24,27,30)*(IF(Inputs!$B$39="pvp",MIN(15,15)/15,IF(AND(Inputs!$B$39&lt;&gt;"pvp",Inputs!$B$44&gt;0),MIN(15,Inputs!$B$44)/(Inputs!$B$44),0))),0)))-100),0))*CHOOSE(ArtifactsInput!$N$42+1,0.6,0.72,0.84,0.96,1.08,1.2))),Inputs!$B$19+((C138=TRUE)*(F138-Calc!F23))+(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gt;=100),CHOOSE(ArtifactsInput!$N$42+1,40,48,56,64,72,80),0))))/100)*((1+(((C128=TRUE)*F128*IF(AND(Inputs!$B$39&lt;&gt;"pvp",Inputs!$B$44&gt;0),(((R128-1)*MIN((Skills!T13*(1+Inputs!$B$35/100)),(1/Q128))+MIN((Skills!T13*(1+Inputs!$B$35/100)),MAX(0,Inputs!$B$44-((R128-1)*(1/Q128)))))/Inputs!$B$44),IF(Inputs!$B$39="pvp",MIN((Skills!T13*(1+Inputs!$B$35/100)),15)/15,MIN(1,(Skills!T13*(1+Inputs!$B$35/100))/(1/Q128)))))+((C129=TRUE)*F129*IF(AND(Inputs!$B$39&lt;&gt;"pvp",Inputs!$B$44&gt;0),(((R129-1)*MIN((Skills!T14*(1+Inputs!$B$35/100)),(1/Q129))+MIN((Skills!T14*(1+Inputs!$B$35/100)),MAX(0,Inputs!$B$44-((R129-1)*(1/Q129)))))/Inputs!$B$44),IF(Inputs!$B$39="pvp",MIN((Skills!T14*(1+Inputs!$B$35/100)),15)/15,MIN(1,(Skills!T14*(1+Inputs!$B$35/100))/(1/Q129)))))+((C130=TRUE)*F130*IF(AND(Inputs!$B$39&lt;&gt;"pvp",Inputs!$B$44&gt;0),(((R130-1)*MIN((Skills!T15*(1+Inputs!$B$35/100)),(1/Q130))+MIN((Skills!T15*(1+Inputs!$B$35/100)),MAX(0,Inputs!$B$44-((R130-1)*(1/Q130)))))/Inputs!$B$44),IF(Inputs!$B$39="pvp",MIN((Skills!T15*(1+Inputs!$B$35/100)),15)/15,MIN(1,(Skills!T15*(1+Inputs!$B$35/100))/(1/Q130)))))+((C131=TRUE)*F131*IF(AND(Inputs!$B$39&lt;&gt;"pvp",Inputs!$B$44&gt;0),(((R131-1)*MIN((Skills!T16*(1+Inputs!$B$35/100)),(1/Q131))+MIN((Skills!T16*(1+Inputs!$B$35/100)),MAX(0,Inputs!$B$44-((R131-1)*(1/Q131)))))/Inputs!$B$44),IF(Inputs!$B$39="pvp",MIN((Skills!T16*(1+Inputs!$B$35/100)),15)/15,MIN(1,(Skills!T16*(1+Inputs!$B$35/100))/(1/Q131)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127)</f>
        <v/>
      </c>
      <c r="L127">
        <f>K127*(MIN(Inputs!$B$23+((C137=TRUE)*(F137-Calc!F22)),(Inputs!$B$24+((C139=TRUE)*(F139-Calc!F24))+(IF(ArtifactsInput!$M$15,CHOOSE(ArtifactsInput!$N$15+1,25,30,35,40,45,50)/100*(Inputs!$B$12-Inputs!$B$12),0))))/100+(Inputs!$B$24+((C139=TRUE)*(F139-Calc!F24))+(IF(ArtifactsInput!$M$15,CHOOSE(ArtifactsInput!$N$15+1,25,30,35,40,45,50)/100*(Inputs!$B$12-Inputs!$B$12),0)))/100)/2</f>
        <v/>
      </c>
      <c r="M127">
        <f>L127*(1+(Inputs!$B$11+0+B149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27">
        <f>L127*(1-MIN((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127*(MIN((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7">
        <f>(1-Summary!$B$11)*T127+Summary!$B$11*V127</f>
        <v/>
      </c>
      <c r="P127">
        <f>IF(B154=0,0,O127/B154)</f>
        <v/>
      </c>
      <c r="Q127">
        <f>IFERROR(1/IF(Inputs!$B$39="pvp",15,MAX(0.1,Skills!D12-IF(TRUE=TRUE,Inputs!$B$33,0))),0)</f>
        <v/>
      </c>
      <c r="R127">
        <f>IF(AND(Inputs!$B$39&lt;&gt;"pvp",Inputs!$B$44&gt;0),IF(MAX(0,Inputs!$B$44-B151)&lt;=0,0,(INT(MAX(0,Inputs!$B$44-B151)/IF(Inputs!$B$39="pvp",15,MAX(0.1,Skills!D12-IF(TRUE=TRUE,Inputs!$B$33,0))))+1)),0)</f>
        <v/>
      </c>
      <c r="S127">
        <f>IFERROR(O127/N127,0)</f>
        <v/>
      </c>
      <c r="T127">
        <f>IF(C127,(H127*N127*IF(AND(Inputs!$B$39&lt;&gt;"pvp",Inputs!$B$44&gt;0),((Skills!G12*((R127-1)*IF(Skills!H12&gt;0,INT(Skills!I12/Skills!H12+0.000000001),1)+IF(Skills!H12&gt;0,INT(MIN(Skills!I12,MAX(0,MAX(0,Inputs!$B$44-B151)-((R127-1)*IF(Inputs!$B$39="pvp",15,MAX(0.1,Skills!D12-IF(TRUE=TRUE,Inputs!$B$33,0))))))/Skills!H12+0.000000001),1)))/Inputs!$B$44),G127*Q127))*IF(Inputs!$B$39="pvp",1,1+(Inputs!$B$21+0+Skills!P12+((C132=TRUE)*F132*IF(AND(Inputs!$B$39&lt;&gt;"pvp",Inputs!$B$44&gt;0),(((R132-1)*MIN((Skills!T17*(1+Inputs!$B$35/100)),(1/Q132))+MIN((Skills!T17*(1+Inputs!$B$35/100)),MAX(0,Inputs!$B$44-((R132-1)*(1/Q132)))))/Inputs!$B$44),IF(Inputs!$B$39="pvp",MIN((Skills!T17*(1+Inputs!$B$35/100)),15)/15,MIN(1,(Skills!T17*(1+Inputs!$B$35/100))/(1/Q132)))))+((C120=TRUE)*IF(Inputs!$B$3&gt;=126,10*MIN(1,15*Q120),0))+((C129=TRUE)*IF(Inputs!$B$39="pvp",20,(1-Summary!$B$11)*(20)+Summary!$B$11*(0))*IF(AND(Inputs!$B$39&lt;&gt;"pvp",Inputs!$B$44&gt;0),(((R129-1)*MIN((Skills!T14*(1+Inputs!$B$35/100)),(1/Q129))+MIN((Skills!T14*(1+Inputs!$B$35/100)),MAX(0,Inputs!$B$44-((R129-1)*(1/Q129)))))/Inputs!$B$44),IF(Inputs!$B$39="pvp",MIN((Skills!T14*(1+Inputs!$B$35/100)),15)/15,MIN(1,(Skills!T14*(1+Inputs!$B$35/100))/(1/Q129)))))+((C128=TRUE)*IF(Inputs!$B$3&gt;=82,IF(Inputs!$B$39="pvp",20,(1-Summary!$B$11)*(20)+Summary!$B$11*(0)),0)*IF(AND(Inputs!$B$39&lt;&gt;"pvp",Inputs!$B$44&gt;0),(((R128-1)*MIN((Skills!T13*(1+Inputs!$B$35/100)),(1/Q128))+MIN((Skills!T13*(1+Inputs!$B$35/100)),MAX(0,Inputs!$B$44-((R128-1)*(1/Q128)))))/Inputs!$B$44),IF(Inputs!$B$39="pvp",MIN((Skills!T13*(1+Inputs!$B$35/100)),15)/15,MIN(1,(Skills!T13*(1+Inputs!$B$35/100))/(1/Q128)))))+(IF(AND(ArtifactsInput!$M$35,Inputs!$B$4&lt;&gt;"Chapter Hunt"),CHOOSE(ArtifactsInput!$N$35+1,15,18,21,24,27,30)*(1-EXP(-(0.2*B146)*5)),0)+IF(AND(ArtifactsInput!$M$22,Inputs!$B$4&lt;&gt;"Chapter Hunt"),CHOOSE(ArtifactsInput!$N$22+1,10,12,14,16,18,20)*((0*(((0.15*B146*5))^0/1)+1*(((0.15*B146*5))^1/1)+2*(((0.15*B146*5))^2/2)+3*(((0.15*B146*5))^3/6)+4*(((0.15*B146*5))^4/24)+5*(((0.15*B146*5))^5/120))/((((0.15*B146*5))^0/1)+(((0.15*B146*5))^1/1)+(((0.15*B146*5))^2/2)+(((0.15*B146*5))^3/6)+(((0.15*B146*5))^4/24)+(((0.15*B146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127*(1-MIN(100,(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127*(MIN(100,(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127*(1-MIN(100,(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127*(MIN(100,(Inputs!$B$10+0+B144+(ArtifactsInput!$M$24-ArtifactsInput!$M$24)*CHOOSE(ArtifactsInput!$N$24+1,10,12,14,16,18,20)+(IF(AND(Inputs!$B$39&lt;&gt;"pvp",Inputs!$B$44=0),1,IF(IF(Inputs!$B$39="pvp",15,Inputs!$B$44)-(B151)&lt;=0,1,MAX(0,IF(Inputs!$B$39="pvp",15,Inputs!$B$44)-MAX(5,B151))/(IF(Inputs!$B$39="pvp",15,Inputs!$B$44)-(B151))))*IF(AND(ArtifactsInput!$M$42,((Inputs!$B$10+0+B144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7">
        <f>IF(C127,(H127*N127*IF(AND(Inputs!$B$39&lt;&gt;"pvp",Inputs!$B$44&gt;0),((Skills!G12*((R127-1)*IF(Skills!H12&gt;0,INT(Skills!I12/Skills!H12+0.000000001),1)+IF(Skills!H12&gt;0,INT(MIN(Skills!I12,MAX(0,MAX(0,Inputs!$B$44-B151)-((R127-1)*IF(Inputs!$B$39="pvp",15,MAX(0.1,Skills!D12-IF(TRUE=TRUE,Inputs!$B$33,0))))))/Skills!H12+0.000000001),1)))/Inputs!$B$44),G127*Q127))*IF(Inputs!$B$39="pvp",1,(1+(Inputs!$B$22+Skills!Q12+((C132=TRUE)*F132*IF(AND(Inputs!$B$39&lt;&gt;"pvp",Inputs!$B$44&gt;0),(((R132-1)*MIN((Skills!T17*(1+Inputs!$B$35/100)),(1/Q132))+MIN((Skills!T17*(1+Inputs!$B$35/100)),MAX(0,Inputs!$B$44-((R132-1)*(1/Q132)))))/Inputs!$B$44),IF(Inputs!$B$39="pvp",MIN((Skills!T17*(1+Inputs!$B$35/100)),15)/15,MIN(1,(Skills!T17*(1+Inputs!$B$35/100))/(1/Q132)))))+((C120=TRUE)*IF(Inputs!$B$3&gt;=126,10*MIN(1,15*Q120),0))+((C129=TRUE)*IF(Inputs!$B$39="pvp",20,(1-Summary!$B$11)*(20)+Summary!$B$11*(0))*IF(AND(Inputs!$B$39&lt;&gt;"pvp",Inputs!$B$44&gt;0),(((R129-1)*MIN((Skills!T14*(1+Inputs!$B$35/100)),(1/Q129))+MIN((Skills!T14*(1+Inputs!$B$35/100)),MAX(0,Inputs!$B$44-((R129-1)*(1/Q129)))))/Inputs!$B$44),IF(Inputs!$B$39="pvp",MIN((Skills!T14*(1+Inputs!$B$35/100)),15)/15,MIN(1,(Skills!T14*(1+Inputs!$B$35/100))/(1/Q129)))))+((C128=TRUE)*IF(Inputs!$B$3&gt;=82,IF(Inputs!$B$39="pvp",20,(1-Summary!$B$11)*(20)+Summary!$B$11*(0)),0)*IF(AND(Inputs!$B$39&lt;&gt;"pvp",Inputs!$B$44&gt;0),(((R128-1)*MIN((Skills!T13*(1+Inputs!$B$35/100)),(1/Q128))+MIN((Skills!T13*(1+Inputs!$B$35/100)),MAX(0,Inputs!$B$44-((R128-1)*(1/Q128)))))/Inputs!$B$44),IF(Inputs!$B$39="pvp",MIN((Skills!T13*(1+Inputs!$B$35/100)),15)/15,MIN(1,(Skills!T13*(1+Inputs!$B$35/100))/(1/Q128)))))+(IF(AND(ArtifactsInput!$M$35,Inputs!$B$4&lt;&gt;"Chapter Hunt"),CHOOSE(ArtifactsInput!$N$35+1,15,18,21,24,27,30)*(1-EXP(-(0.2*B146)*5)),0)+IF(AND(ArtifactsInput!$M$22,Inputs!$B$4&lt;&gt;"Chapter Hunt"),CHOOSE(ArtifactsInput!$N$22+1,10,12,14,16,18,20)*((0*(((0.15*B146*5))^0/1)+1*(((0.15*B146*5))^1/1)+2*(((0.15*B146*5))^2/2)+3*(((0.15*B146*5))^3/6)+4*(((0.15*B146*5))^4/24)+5*(((0.15*B146*5))^5/120))/((((0.15*B146*5))^0/1)+(((0.15*B146*5))^1/1)+(((0.15*B146*5))^2/2)+(((0.15*B146*5))^3/6)+(((0.15*B146*5))^4/24)+(((0.15*B146*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8">
      <c r="A128">
        <f>Skills!A13</f>
        <v/>
      </c>
      <c r="B128">
        <f>Skills!B13</f>
        <v/>
      </c>
      <c r="C128">
        <f>Inputs!$B$3&gt;=69</f>
        <v/>
      </c>
      <c r="D128">
        <f>IF(Skills!C13=1,60+Inputs!$B$26+Inputs!$B$30,IF(Skills!C13=2,90+Inputs!$B$27+Inputs!$B$30,IF(Skills!C13=3,120+Inputs!$B$28+Inputs!$B$30,MAX(0,(Inputs!$B$3-100)*3)+Inputs!$B$29+Inputs!$B$30)))</f>
        <v/>
      </c>
      <c r="E128">
        <f>INDEX(FactorTable!$B$2:$Y$301, MATCH(ROUND(MIN(300,MAX(1,D128)),0), FactorTable!$A$2:$A$301,0), Skills!M13+1)</f>
        <v/>
      </c>
      <c r="F128">
        <f>IF(Skills!N13=TRUE,(Skills!L13/10)*(E128/1000),Skills!L13/10)+Skills!O13</f>
        <v/>
      </c>
      <c r="G128">
        <f>Skills!G13*IF(Skills!H13&gt;0,INT(IF(Inputs!$B$39="pvp",MIN(Skills!I13,15),Skills!I13)/Skills!H13+0.000000001),1)</f>
        <v/>
      </c>
      <c r="H128">
        <f>1-(1-Skills!J13/100)^Skills!K13</f>
        <v/>
      </c>
      <c r="I128" t="inlineStr">
        <is>
          <t>1</t>
        </is>
      </c>
      <c r="J128" t="inlineStr"/>
      <c r="K128" t="inlineStr"/>
      <c r="L128" t="inlineStr"/>
      <c r="M128" t="inlineStr"/>
      <c r="N128" t="inlineStr"/>
      <c r="O128">
        <f>(1-Summary!$B$11)*T128+Summary!$B$11*V128</f>
        <v/>
      </c>
      <c r="P128">
        <f>IF(B154=0,0,O128/B154)</f>
        <v/>
      </c>
      <c r="Q128">
        <f>IFERROR(1/IF(Inputs!$B$39="pvp",15,MAX(0.1,Skills!D13-IF(TRUE=TRUE,Inputs!$B$33,0))),0)</f>
        <v/>
      </c>
      <c r="R128">
        <f>IF(AND(Inputs!$B$39&lt;&gt;"pvp",Inputs!$B$44&gt;0),IF(Inputs!$B$44&lt;=0,0,(INT(Inputs!$B$44/IF(Inputs!$B$39="pvp",15,MAX(0.1,Skills!D13-IF(TRUE=TRUE,Inputs!$B$33,0))))+1)),0)</f>
        <v/>
      </c>
      <c r="S128">
        <f>IFERROR(O128/N128,0)</f>
        <v/>
      </c>
      <c r="T128" t="n">
        <v>0</v>
      </c>
      <c r="V128" t="n">
        <v>0</v>
      </c>
    </row>
    <row r="129">
      <c r="A129">
        <f>Skills!A14</f>
        <v/>
      </c>
      <c r="B129">
        <f>Skills!B14</f>
        <v/>
      </c>
      <c r="C129">
        <f>Inputs!$B$3&gt;=115</f>
        <v/>
      </c>
      <c r="D129">
        <f>IF(Skills!C14=1,60+Inputs!$B$26+Inputs!$B$30,IF(Skills!C14=2,90+Inputs!$B$27+Inputs!$B$30,IF(Skills!C14=3,120+Inputs!$B$28+Inputs!$B$30,MAX(0,(Inputs!$B$3-100)*3)+Inputs!$B$29+Inputs!$B$30)))</f>
        <v/>
      </c>
      <c r="E129">
        <f>INDEX(FactorTable!$B$2:$Y$301, MATCH(ROUND(MIN(300,MAX(1,D129)),0), FactorTable!$A$2:$A$301,0), Skills!M14+1)</f>
        <v/>
      </c>
      <c r="F129">
        <f>IF(Skills!N14=TRUE,(Skills!L14/10)*(E129/1000),Skills!L14/10)+Skills!O14</f>
        <v/>
      </c>
      <c r="G129">
        <f>Skills!G14*IF(Skills!H14&gt;0,INT(IF(Inputs!$B$39="pvp",MIN(Skills!I14,15),Skills!I14)/Skills!H14+0.000000001),1)</f>
        <v/>
      </c>
      <c r="H129">
        <f>1-(1-Skills!J14/100)^Skills!K14</f>
        <v/>
      </c>
      <c r="I129" t="inlineStr">
        <is>
          <t>1</t>
        </is>
      </c>
      <c r="J129" t="inlineStr"/>
      <c r="K129" t="inlineStr"/>
      <c r="L129" t="inlineStr"/>
      <c r="M129" t="inlineStr"/>
      <c r="N129" t="inlineStr"/>
      <c r="O129">
        <f>(1-Summary!$B$11)*T129+Summary!$B$11*V129</f>
        <v/>
      </c>
      <c r="P129">
        <f>IF(B154=0,0,O129/B154)</f>
        <v/>
      </c>
      <c r="Q129">
        <f>IFERROR(1/IF(Inputs!$B$39="pvp",15,MAX(0.1,Skills!D14-IF(TRUE=TRUE,Inputs!$B$33,0))),0)</f>
        <v/>
      </c>
      <c r="R129">
        <f>IF(AND(Inputs!$B$39&lt;&gt;"pvp",Inputs!$B$44&gt;0),IF(Inputs!$B$44&lt;=0,0,(INT(Inputs!$B$44/IF(Inputs!$B$39="pvp",15,MAX(0.1,Skills!D14-IF(TRUE=TRUE,Inputs!$B$33,0))))+1)),0)</f>
        <v/>
      </c>
      <c r="S129">
        <f>IFERROR(O129/N129,0)</f>
        <v/>
      </c>
      <c r="T129" t="n">
        <v>0</v>
      </c>
      <c r="V129" t="n">
        <v>0</v>
      </c>
    </row>
    <row r="130">
      <c r="A130">
        <f>Skills!A15</f>
        <v/>
      </c>
      <c r="B130">
        <f>Skills!B15</f>
        <v/>
      </c>
      <c r="C130">
        <f>Inputs!$B$3&gt;=66</f>
        <v/>
      </c>
      <c r="D130">
        <f>IF(Skills!C15=1,60+Inputs!$B$26+Inputs!$B$30,IF(Skills!C15=2,90+Inputs!$B$27+Inputs!$B$30,IF(Skills!C15=3,120+Inputs!$B$28+Inputs!$B$30,MAX(0,(Inputs!$B$3-100)*3)+Inputs!$B$29+Inputs!$B$30)))</f>
        <v/>
      </c>
      <c r="E130">
        <f>INDEX(FactorTable!$B$2:$Y$301, MATCH(ROUND(MIN(300,MAX(1,D130)),0), FactorTable!$A$2:$A$301,0), Skills!M15+1)</f>
        <v/>
      </c>
      <c r="F130">
        <f>IF(Skills!N15=TRUE,(Skills!L15/10)*(E130/1000),Skills!L15/10)+Skills!O15</f>
        <v/>
      </c>
      <c r="G130">
        <f>Skills!G15*IF(Skills!H15&gt;0,INT(IF(Inputs!$B$39="pvp",MIN(Skills!I15,15),Skills!I15)/Skills!H15+0.000000001),1)</f>
        <v/>
      </c>
      <c r="H130">
        <f>1-(1-Skills!J15/100)^Skills!K15</f>
        <v/>
      </c>
      <c r="I130" t="inlineStr">
        <is>
          <t>1</t>
        </is>
      </c>
      <c r="J130" t="inlineStr"/>
      <c r="K130" t="inlineStr"/>
      <c r="L130" t="inlineStr"/>
      <c r="M130" t="inlineStr"/>
      <c r="N130" t="inlineStr"/>
      <c r="O130">
        <f>(1-Summary!$B$11)*T130+Summary!$B$11*V130</f>
        <v/>
      </c>
      <c r="P130">
        <f>IF(B154=0,0,O130/B154)</f>
        <v/>
      </c>
      <c r="Q130">
        <f>IFERROR(1/IF(Inputs!$B$39="pvp",15,MAX(0.1,Skills!D15-IF(TRUE=TRUE,Inputs!$B$33,0))),0)</f>
        <v/>
      </c>
      <c r="R130">
        <f>IF(AND(Inputs!$B$39&lt;&gt;"pvp",Inputs!$B$44&gt;0),IF(Inputs!$B$44&lt;=0,0,(INT(Inputs!$B$44/IF(Inputs!$B$39="pvp",15,MAX(0.1,Skills!D15-IF(TRUE=TRUE,Inputs!$B$33,0))))+1)),0)</f>
        <v/>
      </c>
      <c r="S130">
        <f>IFERROR(O130/N130,0)</f>
        <v/>
      </c>
      <c r="T130" t="n">
        <v>0</v>
      </c>
      <c r="V130" t="n">
        <v>0</v>
      </c>
    </row>
    <row r="131">
      <c r="A131">
        <f>Skills!A16</f>
        <v/>
      </c>
      <c r="B131">
        <f>Skills!B16</f>
        <v/>
      </c>
      <c r="C131">
        <f>Inputs!$B$3&gt;=45</f>
        <v/>
      </c>
      <c r="D131">
        <f>IF(Skills!C16=1,60+Inputs!$B$26+Inputs!$B$30,IF(Skills!C16=2,90+Inputs!$B$27+Inputs!$B$30,IF(Skills!C16=3,120+Inputs!$B$28+Inputs!$B$30,MAX(0,(Inputs!$B$3-100)*3)+Inputs!$B$29+Inputs!$B$30)))</f>
        <v/>
      </c>
      <c r="E131">
        <f>INDEX(FactorTable!$B$2:$Y$301, MATCH(ROUND(MIN(300,MAX(1,D131)),0), FactorTable!$A$2:$A$301,0), Skills!M16+1)</f>
        <v/>
      </c>
      <c r="F131">
        <f>IF(Skills!N16=TRUE,(Skills!L16/10)*(E131/1000),Skills!L16/10)+Skills!O16</f>
        <v/>
      </c>
      <c r="G131">
        <f>Skills!G16*IF(Skills!H16&gt;0,INT(IF(Inputs!$B$39="pvp",MIN(Skills!I16,15),Skills!I16)/Skills!H16+0.000000001),1)</f>
        <v/>
      </c>
      <c r="H131">
        <f>1-(1-Skills!J16/100)^Skills!K16</f>
        <v/>
      </c>
      <c r="I131" t="inlineStr">
        <is>
          <t>1</t>
        </is>
      </c>
      <c r="J131" t="inlineStr"/>
      <c r="K131" t="inlineStr"/>
      <c r="L131" t="inlineStr"/>
      <c r="M131" t="inlineStr"/>
      <c r="N131" t="inlineStr"/>
      <c r="O131">
        <f>(1-Summary!$B$11)*T131+Summary!$B$11*V131</f>
        <v/>
      </c>
      <c r="P131">
        <f>IF(B154=0,0,O131/B154)</f>
        <v/>
      </c>
      <c r="Q131">
        <f>IFERROR(1/IF(Inputs!$B$39="pvp",15,MAX(0.1,Skills!D16-IF(TRUE=TRUE,Inputs!$B$33,0))),0)</f>
        <v/>
      </c>
      <c r="R131">
        <f>IF(AND(Inputs!$B$39&lt;&gt;"pvp",Inputs!$B$44&gt;0),IF(Inputs!$B$44&lt;=0,0,(INT(Inputs!$B$44/IF(Inputs!$B$39="pvp",15,MAX(0.1,Skills!D16-IF(TRUE=TRUE,Inputs!$B$33,0))))+1)),0)</f>
        <v/>
      </c>
      <c r="S131">
        <f>IFERROR(O131/N131,0)</f>
        <v/>
      </c>
      <c r="T131" t="n">
        <v>0</v>
      </c>
      <c r="V131" t="n">
        <v>0</v>
      </c>
    </row>
    <row r="132">
      <c r="A132">
        <f>Skills!A17</f>
        <v/>
      </c>
      <c r="B132">
        <f>Skills!B17</f>
        <v/>
      </c>
      <c r="C132">
        <f>Inputs!$B$3&gt;=35</f>
        <v/>
      </c>
      <c r="D132">
        <f>IF(Skills!C17=1,60+Inputs!$B$26+Inputs!$B$30,IF(Skills!C17=2,90+Inputs!$B$27+Inputs!$B$30,IF(Skills!C17=3,120+Inputs!$B$28+Inputs!$B$30,MAX(0,(Inputs!$B$3-100)*3)+Inputs!$B$29+Inputs!$B$30)))</f>
        <v/>
      </c>
      <c r="E132">
        <f>INDEX(FactorTable!$B$2:$Y$301, MATCH(ROUND(MIN(300,MAX(1,D132)),0), FactorTable!$A$2:$A$301,0), Skills!M17+1)</f>
        <v/>
      </c>
      <c r="F132">
        <f>IF(Skills!N17=TRUE,(Skills!L17/10)*(E132/1000),Skills!L17/10)+Skills!O17</f>
        <v/>
      </c>
      <c r="G132">
        <f>Skills!G17*IF(Skills!H17&gt;0,INT(IF(Inputs!$B$39="pvp",MIN(Skills!I17,15),Skills!I17)/Skills!H17+0.000000001),1)</f>
        <v/>
      </c>
      <c r="H132">
        <f>1-(1-Skills!J17/100)^Skills!K17</f>
        <v/>
      </c>
      <c r="I132" t="inlineStr">
        <is>
          <t>1</t>
        </is>
      </c>
      <c r="J132" t="inlineStr"/>
      <c r="K132" t="inlineStr"/>
      <c r="L132" t="inlineStr"/>
      <c r="M132" t="inlineStr"/>
      <c r="N132" t="inlineStr"/>
      <c r="O132">
        <f>(1-Summary!$B$11)*T132+Summary!$B$11*V132</f>
        <v/>
      </c>
      <c r="P132">
        <f>IF(B154=0,0,O132/B154)</f>
        <v/>
      </c>
      <c r="Q132">
        <f>IFERROR(1/IF(Inputs!$B$39="pvp",15,MAX(0.1,Skills!D17-IF(TRUE=TRUE,Inputs!$B$33,0))),0)</f>
        <v/>
      </c>
      <c r="R132">
        <f>IF(AND(Inputs!$B$39&lt;&gt;"pvp",Inputs!$B$44&gt;0),IF(Inputs!$B$44&lt;=0,0,(INT(Inputs!$B$44/IF(Inputs!$B$39="pvp",15,MAX(0.1,Skills!D17-IF(TRUE=TRUE,Inputs!$B$33,0))))+1)),0)</f>
        <v/>
      </c>
      <c r="S132">
        <f>IFERROR(O132/N132,0)</f>
        <v/>
      </c>
      <c r="T132" t="n">
        <v>0</v>
      </c>
      <c r="V132" t="n">
        <v>0</v>
      </c>
    </row>
    <row r="133">
      <c r="A133">
        <f>Skills!A18</f>
        <v/>
      </c>
      <c r="B133">
        <f>Skills!B18</f>
        <v/>
      </c>
      <c r="C133">
        <f>Inputs!$B$3&gt;=72</f>
        <v/>
      </c>
      <c r="D133">
        <f>IF(Skills!C18=1,60+Inputs!$B$26+Inputs!$B$30,IF(Skills!C18=2,90+Inputs!$B$27+Inputs!$B$30,IF(Skills!C18=3,120+Inputs!$B$28+Inputs!$B$30,MAX(0,(Inputs!$B$3-100)*3)+Inputs!$B$29+Inputs!$B$30)))</f>
        <v/>
      </c>
      <c r="E133">
        <f>INDEX(FactorTable!$B$2:$Y$301, MATCH(ROUND(MIN(300,MAX(1,D133)),0), FactorTable!$A$2:$A$301,0), Skills!M18+1)</f>
        <v/>
      </c>
      <c r="F133">
        <f>IF(Skills!N18=TRUE,(Skills!L18/10)*(E133/1000),Skills!L18/10)+Skills!O18</f>
        <v/>
      </c>
      <c r="G133">
        <f>Skills!G18*IF(Skills!H18&gt;0,INT(IF(Inputs!$B$39="pvp",MIN(Skills!I18,15),Skills!I18)/Skills!H18+0.000000001),1)</f>
        <v/>
      </c>
      <c r="H133">
        <f>1-(1-Skills!J18/100)^Skills!K18</f>
        <v/>
      </c>
      <c r="I133" t="inlineStr">
        <is>
          <t>1</t>
        </is>
      </c>
      <c r="J133" t="inlineStr"/>
      <c r="K133" t="inlineStr"/>
      <c r="L133" t="inlineStr"/>
      <c r="M133" t="inlineStr"/>
      <c r="N133" t="inlineStr"/>
      <c r="O133">
        <f>(1-Summary!$B$11)*T133+Summary!$B$11*V133</f>
        <v/>
      </c>
      <c r="P133">
        <f>IF(B154=0,0,O133/B154)</f>
        <v/>
      </c>
      <c r="Q133">
        <f>IFERROR(1/IF(Inputs!$B$39="pvp",15,MAX(0.1,Skills!D18-IF(TRUE=TRUE,Inputs!$B$33,0))),0)</f>
        <v/>
      </c>
      <c r="R133">
        <f>IF(AND(Inputs!$B$39&lt;&gt;"pvp",Inputs!$B$44&gt;0),IF(Inputs!$B$44&lt;=0,0,(INT(Inputs!$B$44/IF(Inputs!$B$39="pvp",15,MAX(0.1,Skills!D18-IF(TRUE=TRUE,Inputs!$B$33,0))))+1)),0)</f>
        <v/>
      </c>
      <c r="S133">
        <f>IFERROR(O133/N133,0)</f>
        <v/>
      </c>
      <c r="T133" t="n">
        <v>0</v>
      </c>
      <c r="V133" t="n">
        <v>0</v>
      </c>
    </row>
    <row r="134">
      <c r="A134">
        <f>Skills!A19</f>
        <v/>
      </c>
      <c r="B134">
        <f>Skills!B19</f>
        <v/>
      </c>
      <c r="C134">
        <f>Inputs!$B$3&gt;=72</f>
        <v/>
      </c>
      <c r="D134">
        <f>IF(Skills!C19=1,60+Inputs!$B$26+Inputs!$B$30,IF(Skills!C19=2,90+Inputs!$B$27+Inputs!$B$30,IF(Skills!C19=3,120+Inputs!$B$28+Inputs!$B$30,MAX(0,(Inputs!$B$3-100)*3)+Inputs!$B$29+Inputs!$B$30)))</f>
        <v/>
      </c>
      <c r="E134">
        <f>INDEX(FactorTable!$B$2:$Y$301, MATCH(ROUND(MIN(300,MAX(1,D134)),0), FactorTable!$A$2:$A$301,0), Skills!M19+1)</f>
        <v/>
      </c>
      <c r="F134">
        <f>IF(Skills!N19=TRUE,(Skills!L19/10)*(E134/1000),Skills!L19/10)+Skills!O19</f>
        <v/>
      </c>
      <c r="G134">
        <f>Skills!G19*IF(Skills!H19&gt;0,INT(IF(Inputs!$B$39="pvp",MIN(Skills!I19,15),Skills!I19)/Skills!H19+0.000000001),1)</f>
        <v/>
      </c>
      <c r="H134">
        <f>1-(1-Skills!J19/100)^Skills!K19</f>
        <v/>
      </c>
      <c r="I134" t="inlineStr">
        <is>
          <t>1</t>
        </is>
      </c>
      <c r="J134" t="inlineStr"/>
      <c r="K134" t="inlineStr"/>
      <c r="L134" t="inlineStr"/>
      <c r="M134" t="inlineStr"/>
      <c r="N134" t="inlineStr"/>
      <c r="O134">
        <f>(1-Summary!$B$11)*T134+Summary!$B$11*V134</f>
        <v/>
      </c>
      <c r="P134">
        <f>IF(B154=0,0,O134/B154)</f>
        <v/>
      </c>
      <c r="Q134">
        <f>IFERROR(1/IF(Inputs!$B$39="pvp",15,MAX(0.1,Skills!D19-IF(TRUE=TRUE,Inputs!$B$33,0))),0)</f>
        <v/>
      </c>
      <c r="R134">
        <f>IF(AND(Inputs!$B$39&lt;&gt;"pvp",Inputs!$B$44&gt;0),IF(Inputs!$B$44&lt;=0,0,(INT(Inputs!$B$44/IF(Inputs!$B$39="pvp",15,MAX(0.1,Skills!D19-IF(TRUE=TRUE,Inputs!$B$33,0))))+1)),0)</f>
        <v/>
      </c>
      <c r="S134">
        <f>IFERROR(O134/N134,0)</f>
        <v/>
      </c>
      <c r="T134" t="n">
        <v>0</v>
      </c>
      <c r="V134" t="n">
        <v>0</v>
      </c>
    </row>
    <row r="135">
      <c r="A135">
        <f>Skills!A20</f>
        <v/>
      </c>
      <c r="B135">
        <f>Skills!B20</f>
        <v/>
      </c>
      <c r="C135">
        <f>TRUE</f>
        <v/>
      </c>
      <c r="D135">
        <f>IF(Skills!C20=1,60+Inputs!$B$26+Inputs!$B$30,IF(Skills!C20=2,90+Inputs!$B$27+Inputs!$B$30,IF(Skills!C20=3,120+Inputs!$B$28+Inputs!$B$30,MAX(0,(Inputs!$B$3-100)*3)+Inputs!$B$29+Inputs!$B$30)))</f>
        <v/>
      </c>
      <c r="E135">
        <f>INDEX(FactorTable!$B$2:$Y$301, MATCH(ROUND(MIN(300,MAX(1,D135)),0), FactorTable!$A$2:$A$301,0), Skills!M20+1)</f>
        <v/>
      </c>
      <c r="F135">
        <f>IF(Skills!N20=TRUE,(Skills!L20/10)*(E135/1000),Skills!L20/10)+Skills!O20</f>
        <v/>
      </c>
      <c r="G135">
        <f>Skills!G20*IF(Skills!H20&gt;0,INT(IF(Inputs!$B$39="pvp",MIN(Skills!I20,15),Skills!I20)/Skills!H20+0.000000001),1)</f>
        <v/>
      </c>
      <c r="H135">
        <f>1-(1-Skills!J20/100)^Skills!K20</f>
        <v/>
      </c>
      <c r="I135" t="inlineStr">
        <is>
          <t>1</t>
        </is>
      </c>
      <c r="J135" t="inlineStr"/>
      <c r="K135" t="inlineStr"/>
      <c r="L135" t="inlineStr"/>
      <c r="M135" t="inlineStr"/>
      <c r="N135" t="inlineStr"/>
      <c r="O135">
        <f>(1-Summary!$B$11)*T135+Summary!$B$11*V135</f>
        <v/>
      </c>
      <c r="P135">
        <f>IF(B154=0,0,O135/B154)</f>
        <v/>
      </c>
      <c r="Q135">
        <f>IFERROR(1/IF(Inputs!$B$39="pvp",15,MAX(0.1,Skills!D20-IF(TRUE=TRUE,Inputs!$B$33,0))),0)</f>
        <v/>
      </c>
      <c r="R135">
        <f>IF(AND(Inputs!$B$39&lt;&gt;"pvp",Inputs!$B$44&gt;0),IF(Inputs!$B$44&lt;=0,0,(INT(Inputs!$B$44/IF(Inputs!$B$39="pvp",15,MAX(0.1,Skills!D20-IF(TRUE=TRUE,Inputs!$B$33,0))))+1)),0)</f>
        <v/>
      </c>
      <c r="S135">
        <f>IFERROR(O135/N135,0)</f>
        <v/>
      </c>
      <c r="T135" t="n">
        <v>0</v>
      </c>
      <c r="V135" t="n">
        <v>0</v>
      </c>
    </row>
    <row r="136">
      <c r="A136">
        <f>Skills!A21</f>
        <v/>
      </c>
      <c r="B136">
        <f>Skills!B21</f>
        <v/>
      </c>
      <c r="C136">
        <f>Inputs!$B$3&gt;=33</f>
        <v/>
      </c>
      <c r="D136">
        <f>IF(Skills!C21=1,60+Inputs!$B$26+Inputs!$B$30,IF(Skills!C21=2,90+Inputs!$B$27+Inputs!$B$30,IF(Skills!C21=3,120+Inputs!$B$28+Inputs!$B$30,MAX(0,(Inputs!$B$3-100)*3)+Inputs!$B$29+Inputs!$B$30)))</f>
        <v/>
      </c>
      <c r="E136">
        <f>INDEX(FactorTable!$B$2:$Y$301, MATCH(ROUND(MIN(300,MAX(1,D136)),0), FactorTable!$A$2:$A$301,0), Skills!M21+1)</f>
        <v/>
      </c>
      <c r="F136">
        <f>IF(Skills!N21=TRUE,(Skills!L21/10)*(E136/1000),Skills!L21/10)+Skills!O21</f>
        <v/>
      </c>
      <c r="G136">
        <f>Skills!G21*IF(Skills!H21&gt;0,INT(IF(Inputs!$B$39="pvp",MIN(Skills!I21,15),Skills!I21)/Skills!H21+0.000000001),1)</f>
        <v/>
      </c>
      <c r="H136">
        <f>1-(1-Skills!J21/100)^Skills!K21</f>
        <v/>
      </c>
      <c r="I136" t="inlineStr">
        <is>
          <t>1</t>
        </is>
      </c>
      <c r="J136" t="inlineStr"/>
      <c r="K136" t="inlineStr"/>
      <c r="L136" t="inlineStr"/>
      <c r="M136" t="inlineStr"/>
      <c r="N136" t="inlineStr"/>
      <c r="O136">
        <f>(1-Summary!$B$11)*T136+Summary!$B$11*V136</f>
        <v/>
      </c>
      <c r="P136">
        <f>IF(B154=0,0,O136/B154)</f>
        <v/>
      </c>
      <c r="Q136" t="n">
        <v>0</v>
      </c>
      <c r="R136" t="n">
        <v>0</v>
      </c>
      <c r="S136">
        <f>IFERROR(O136/N136,0)</f>
        <v/>
      </c>
      <c r="T136" t="n">
        <v>0</v>
      </c>
      <c r="V136" t="n">
        <v>0</v>
      </c>
    </row>
    <row r="137">
      <c r="A137">
        <f>Skills!A22</f>
        <v/>
      </c>
      <c r="B137">
        <f>Skills!B22</f>
        <v/>
      </c>
      <c r="C137">
        <f>Inputs!$B$3&gt;=43</f>
        <v/>
      </c>
      <c r="D137">
        <f>IF(Skills!C22=1,60+Inputs!$B$26+Inputs!$B$30,IF(Skills!C22=2,90+Inputs!$B$27+Inputs!$B$30,IF(Skills!C22=3,120+Inputs!$B$28+Inputs!$B$30,MAX(0,(Inputs!$B$3-100)*3)+Inputs!$B$29+Inputs!$B$30)))</f>
        <v/>
      </c>
      <c r="E137">
        <f>INDEX(FactorTable!$B$2:$Y$301, MATCH(ROUND(MIN(300,MAX(1,D137)),0), FactorTable!$A$2:$A$301,0), Skills!M22+1)</f>
        <v/>
      </c>
      <c r="F137">
        <f>IF(Skills!N22=TRUE,(Skills!L22/10)*(E137/1000),Skills!L22/10)+Skills!O22</f>
        <v/>
      </c>
      <c r="G137">
        <f>Skills!G22*IF(Skills!H22&gt;0,INT(IF(Inputs!$B$39="pvp",MIN(Skills!I22,15),Skills!I22)/Skills!H22+0.000000001),1)</f>
        <v/>
      </c>
      <c r="H137">
        <f>1-(1-Skills!J22/100)^Skills!K22</f>
        <v/>
      </c>
      <c r="I137" t="inlineStr">
        <is>
          <t>1</t>
        </is>
      </c>
      <c r="J137" t="inlineStr"/>
      <c r="K137" t="inlineStr"/>
      <c r="L137" t="inlineStr"/>
      <c r="M137" t="inlineStr"/>
      <c r="N137" t="inlineStr"/>
      <c r="O137">
        <f>(1-Summary!$B$11)*T137+Summary!$B$11*V137</f>
        <v/>
      </c>
      <c r="P137">
        <f>IF(B154=0,0,O137/B154)</f>
        <v/>
      </c>
      <c r="Q137" t="n">
        <v>0</v>
      </c>
      <c r="R137" t="n">
        <v>0</v>
      </c>
      <c r="S137">
        <f>IFERROR(O137/N137,0)</f>
        <v/>
      </c>
      <c r="T137" t="n">
        <v>0</v>
      </c>
      <c r="V137" t="n">
        <v>0</v>
      </c>
    </row>
    <row r="138">
      <c r="A138">
        <f>Skills!A23</f>
        <v/>
      </c>
      <c r="B138">
        <f>Skills!B23</f>
        <v/>
      </c>
      <c r="C138">
        <f>Inputs!$B$3&gt;=120</f>
        <v/>
      </c>
      <c r="D138">
        <f>IF(Skills!C23=1,60+Inputs!$B$26+Inputs!$B$30,IF(Skills!C23=2,90+Inputs!$B$27+Inputs!$B$30,IF(Skills!C23=3,120+Inputs!$B$28+Inputs!$B$30,MAX(0,(Inputs!$B$3-100)*3)+Inputs!$B$29+Inputs!$B$30)))</f>
        <v/>
      </c>
      <c r="E138">
        <f>INDEX(FactorTable!$B$2:$Y$301, MATCH(ROUND(MIN(300,MAX(1,D138)),0), FactorTable!$A$2:$A$301,0), Skills!M23+1)</f>
        <v/>
      </c>
      <c r="F138">
        <f>IF(Skills!N23=TRUE,(Skills!L23/10)*(E138/1000),Skills!L23/10)+Skills!O23</f>
        <v/>
      </c>
      <c r="G138">
        <f>Skills!G23*IF(Skills!H23&gt;0,INT(IF(Inputs!$B$39="pvp",MIN(Skills!I23,15),Skills!I23)/Skills!H23+0.000000001),1)</f>
        <v/>
      </c>
      <c r="H138">
        <f>1-(1-Skills!J23/100)^Skills!K23</f>
        <v/>
      </c>
      <c r="I138" t="inlineStr">
        <is>
          <t>1</t>
        </is>
      </c>
      <c r="J138" t="inlineStr"/>
      <c r="K138" t="inlineStr"/>
      <c r="L138" t="inlineStr"/>
      <c r="M138" t="inlineStr"/>
      <c r="N138" t="inlineStr"/>
      <c r="O138">
        <f>(1-Summary!$B$11)*T138+Summary!$B$11*V138</f>
        <v/>
      </c>
      <c r="P138">
        <f>IF(B154=0,0,O138/B154)</f>
        <v/>
      </c>
      <c r="Q138" t="n">
        <v>0</v>
      </c>
      <c r="R138" t="n">
        <v>0</v>
      </c>
      <c r="S138">
        <f>IFERROR(O138/N138,0)</f>
        <v/>
      </c>
      <c r="T138" t="n">
        <v>0</v>
      </c>
      <c r="V138" t="n">
        <v>0</v>
      </c>
    </row>
    <row r="139">
      <c r="A139">
        <f>Skills!A24</f>
        <v/>
      </c>
      <c r="B139">
        <f>Skills!B24</f>
        <v/>
      </c>
      <c r="C139">
        <f>Inputs!$B$3&gt;=120</f>
        <v/>
      </c>
      <c r="D139">
        <f>IF(Skills!C24=1,60+Inputs!$B$26+Inputs!$B$30,IF(Skills!C24=2,90+Inputs!$B$27+Inputs!$B$30,IF(Skills!C24=3,120+Inputs!$B$28+Inputs!$B$30,MAX(0,(Inputs!$B$3-100)*3)+Inputs!$B$29+Inputs!$B$30)))</f>
        <v/>
      </c>
      <c r="E139">
        <f>INDEX(FactorTable!$B$2:$Y$301, MATCH(ROUND(MIN(300,MAX(1,D139)),0), FactorTable!$A$2:$A$301,0), Skills!M24+1)</f>
        <v/>
      </c>
      <c r="F139">
        <f>IF(Skills!N24=TRUE,(Skills!L24/10)*(E139/1000),Skills!L24/10)+Skills!O24</f>
        <v/>
      </c>
      <c r="G139">
        <f>Skills!G24*IF(Skills!H24&gt;0,INT(IF(Inputs!$B$39="pvp",MIN(Skills!I24,15),Skills!I24)/Skills!H24+0.000000001),1)</f>
        <v/>
      </c>
      <c r="H139">
        <f>1-(1-Skills!J24/100)^Skills!K24</f>
        <v/>
      </c>
      <c r="I139" t="inlineStr">
        <is>
          <t>1</t>
        </is>
      </c>
      <c r="J139" t="inlineStr"/>
      <c r="K139" t="inlineStr"/>
      <c r="L139" t="inlineStr"/>
      <c r="M139" t="inlineStr"/>
      <c r="N139" t="inlineStr"/>
      <c r="O139">
        <f>(1-Summary!$B$11)*T139+Summary!$B$11*V139</f>
        <v/>
      </c>
      <c r="P139">
        <f>IF(B154=0,0,O139/B154)</f>
        <v/>
      </c>
      <c r="Q139" t="n">
        <v>0</v>
      </c>
      <c r="R139" t="n">
        <v>0</v>
      </c>
      <c r="S139">
        <f>IFERROR(O139/N139,0)</f>
        <v/>
      </c>
      <c r="T139" t="n">
        <v>0</v>
      </c>
      <c r="V139" t="n">
        <v>0</v>
      </c>
    </row>
    <row r="140">
      <c r="A140">
        <f>Skills!A25</f>
        <v/>
      </c>
      <c r="B140">
        <f>Skills!B25</f>
        <v/>
      </c>
      <c r="C140">
        <f>Inputs!$B$3&gt;=125</f>
        <v/>
      </c>
      <c r="D140">
        <f>IF(Skills!C25=1,60+Inputs!$B$26+Inputs!$B$30,IF(Skills!C25=2,90+Inputs!$B$27+Inputs!$B$30,IF(Skills!C25=3,120+Inputs!$B$28+Inputs!$B$30,MAX(0,(Inputs!$B$3-100)*3)+Inputs!$B$29+Inputs!$B$30)))</f>
        <v/>
      </c>
      <c r="E140">
        <f>INDEX(FactorTable!$B$2:$Y$301, MATCH(ROUND(MIN(300,MAX(1,D140)),0), FactorTable!$A$2:$A$301,0), Skills!M25+1)</f>
        <v/>
      </c>
      <c r="F140">
        <f>IF(Skills!N25=TRUE,(Skills!L25/10)*(E140/1000),Skills!L25/10)+Skills!O25</f>
        <v/>
      </c>
      <c r="G140">
        <f>Skills!G25*IF(Skills!H25&gt;0,INT(IF(Inputs!$B$39="pvp",MIN(Skills!I25,15),Skills!I25)/Skills!H25+0.000000001),1)</f>
        <v/>
      </c>
      <c r="H140">
        <f>1-(1-Skills!J25/100)^Skills!K25</f>
        <v/>
      </c>
      <c r="I140" t="inlineStr">
        <is>
          <t>1</t>
        </is>
      </c>
      <c r="J140" t="inlineStr"/>
      <c r="K140" t="inlineStr"/>
      <c r="L140" t="inlineStr"/>
      <c r="M140" t="inlineStr"/>
      <c r="N140" t="inlineStr"/>
      <c r="O140">
        <f>(1-Summary!$B$11)*T140+Summary!$B$11*V140</f>
        <v/>
      </c>
      <c r="P140">
        <f>IF(B154=0,0,O140/B154)</f>
        <v/>
      </c>
      <c r="Q140" t="n">
        <v>0</v>
      </c>
      <c r="R140" t="n">
        <v>0</v>
      </c>
      <c r="S140">
        <f>IFERROR(O140/N140,0)</f>
        <v/>
      </c>
      <c r="T140" t="n">
        <v>0</v>
      </c>
      <c r="V140" t="n">
        <v>0</v>
      </c>
    </row>
    <row r="141">
      <c r="A141">
        <f>Skills!A26</f>
        <v/>
      </c>
      <c r="B141">
        <f>Skills!B26</f>
        <v/>
      </c>
      <c r="C141">
        <f>Inputs!$B$3&gt;=107</f>
        <v/>
      </c>
      <c r="D141">
        <f>IF(Skills!C26=1,60+Inputs!$B$26+Inputs!$B$30,IF(Skills!C26=2,90+Inputs!$B$27+Inputs!$B$30,IF(Skills!C26=3,120+Inputs!$B$28+Inputs!$B$30,MAX(0,(Inputs!$B$3-100)*3)+Inputs!$B$29+Inputs!$B$30)))</f>
        <v/>
      </c>
      <c r="E141">
        <f>INDEX(FactorTable!$B$2:$Y$301, MATCH(ROUND(MIN(300,MAX(1,D141)),0), FactorTable!$A$2:$A$301,0), Skills!M26+1)</f>
        <v/>
      </c>
      <c r="F141">
        <f>IF(Skills!N26=TRUE,(Skills!L26/10)*(E141/1000),Skills!L26/10)+Skills!O26</f>
        <v/>
      </c>
      <c r="G141">
        <f>Skills!G26*IF(Skills!H26&gt;0,INT(IF(Inputs!$B$39="pvp",MIN(Skills!I26,15),Skills!I26)/Skills!H26+0.000000001),1)</f>
        <v/>
      </c>
      <c r="H141">
        <f>1-(1-Skills!J26/100)^Skills!K26</f>
        <v/>
      </c>
      <c r="I141" t="inlineStr">
        <is>
          <t>1</t>
        </is>
      </c>
      <c r="J141" t="inlineStr"/>
      <c r="K141" t="inlineStr"/>
      <c r="L141" t="inlineStr"/>
      <c r="M141" t="inlineStr"/>
      <c r="N141" t="inlineStr"/>
      <c r="O141">
        <f>(1-Summary!$B$11)*T141+Summary!$B$11*V141</f>
        <v/>
      </c>
      <c r="P141">
        <f>IF(B154=0,0,O141/B154)</f>
        <v/>
      </c>
      <c r="Q141" t="n">
        <v>0</v>
      </c>
      <c r="R141" t="n">
        <v>0</v>
      </c>
      <c r="S141">
        <f>IFERROR(O141/N141,0)</f>
        <v/>
      </c>
      <c r="T141" t="n">
        <v>0</v>
      </c>
      <c r="V141" t="n">
        <v>0</v>
      </c>
    </row>
    <row r="143">
      <c r="A143" t="inlineStr">
        <is>
          <t>Attack% Bucket Multiplier</t>
        </is>
      </c>
      <c r="B143">
        <f>(1+(((C128=TRUE)*F128*IF(AND(Inputs!$B$39&lt;&gt;"pvp",Inputs!$B$44&gt;0),(((R128-1)*MIN((Skills!T13*(1+Inputs!$B$35/100)),(1/Q128))+MIN((Skills!T13*(1+Inputs!$B$35/100)),MAX(0,Inputs!$B$44-((R128-1)*(1/Q128)))))/Inputs!$B$44),IF(Inputs!$B$39="pvp",MIN((Skills!T13*(1+Inputs!$B$35/100)),15)/15,MIN(1,(Skills!T13*(1+Inputs!$B$35/100))/(1/Q128)))))+((C129=TRUE)*F129*IF(AND(Inputs!$B$39&lt;&gt;"pvp",Inputs!$B$44&gt;0),(((R129-1)*MIN((Skills!T14*(1+Inputs!$B$35/100)),(1/Q129))+MIN((Skills!T14*(1+Inputs!$B$35/100)),MAX(0,Inputs!$B$44-((R129-1)*(1/Q129)))))/Inputs!$B$44),IF(Inputs!$B$39="pvp",MIN((Skills!T14*(1+Inputs!$B$35/100)),15)/15,MIN(1,(Skills!T14*(1+Inputs!$B$35/100))/(1/Q129)))))+((C130=TRUE)*F130*IF(AND(Inputs!$B$39&lt;&gt;"pvp",Inputs!$B$44&gt;0),(((R130-1)*MIN((Skills!T15*(1+Inputs!$B$35/100)),(1/Q130))+MIN((Skills!T15*(1+Inputs!$B$35/100)),MAX(0,Inputs!$B$44-((R130-1)*(1/Q130)))))/Inputs!$B$44),IF(Inputs!$B$39="pvp",MIN((Skills!T15*(1+Inputs!$B$35/100)),15)/15,MIN(1,(Skills!T15*(1+Inputs!$B$35/100))/(1/Q130)))))+((C131=TRUE)*F131*IF(AND(Inputs!$B$39&lt;&gt;"pvp",Inputs!$B$44&gt;0),(((R131-1)*MIN((Skills!T16*(1+Inputs!$B$35/100)),(1/Q131))+MIN((Skills!T16*(1+Inputs!$B$35/100)),MAX(0,Inputs!$B$44-((R131-1)*(1/Q131)))))/Inputs!$B$44),IF(Inputs!$B$39="pvp",MIN((Skills!T16*(1+Inputs!$B$35/100)),15)/15,MIN(1,(Skills!T16*(1+Inputs!$B$35/100))/(1/Q131)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144">
      <c r="A144" t="inlineStr">
        <is>
          <t>Global Crit Rate Bonus % (Lord of Darkness)</t>
        </is>
      </c>
      <c r="B144">
        <f>((C133=TRUE)*F133*(Skills!J18/100)*IF(AND(Inputs!$B$39&lt;&gt;"pvp",Inputs!$B$44&gt;0),(((R133-1)*MIN((Skills!T18*(1+Inputs!$B$35/100)),(1/Q133))+MIN((Skills!T18*(1+Inputs!$B$35/100)),MAX(0,Inputs!$B$44-((R133-1)*(1/Q133)))))/Inputs!$B$44),IF(Inputs!$B$39="pvp",MIN((Skills!T18*(1+Inputs!$B$35/100)),15)/15,MIN(1,(Skills!T18*(1+Inputs!$B$35/100))/(1/Q133)))))</f>
        <v/>
      </c>
    </row>
    <row r="145">
      <c r="A145" t="inlineStr">
        <is>
          <t>Attack Speed Buff Bonus %</t>
        </is>
      </c>
      <c r="B145">
        <f>((C135=TRUE)*F135*IF(AND(Inputs!$B$39&lt;&gt;"pvp",Inputs!$B$44&gt;0),(((R135-1)*MIN((Skills!T20*(1+Inputs!$B$35/100)),(1/Q135))+MIN((Skills!T20*(1+Inputs!$B$35/100)),MAX(0,Inputs!$B$44-((R135-1)*(1/Q135)))))/Inputs!$B$44),IF(Inputs!$B$39="pvp",MIN((Skills!T20*(1+Inputs!$B$35/100)),15)/15,MIN(1,(Skills!T20*(1+Inputs!$B$35/100))/(1/Q135)))))</f>
        <v/>
      </c>
    </row>
    <row r="146">
      <c r="A146" t="inlineStr">
        <is>
          <t>Actions Per Second</t>
        </is>
      </c>
      <c r="B146">
        <f>1+MIN(150,150*(1-(1-(Inputs!$B$12+((C136=TRUE)*(F136-Calc!F21)))/150)*(1-B145/150)))/100</f>
        <v/>
      </c>
    </row>
    <row r="147">
      <c r="A147" t="inlineStr">
        <is>
          <t>Skill + Buff Cast Rate</t>
        </is>
      </c>
      <c r="B147">
        <f>IF(AND(Inputs!$B$39&lt;&gt;"pvp",Inputs!$B$44&gt;0),SUMPRODUCT((Skills!E2:E26=TRUE)*(C117:C141=TRUE)*R117:R141*Skills!F2:F26)/Inputs!$B$44,SUMPRODUCT((Skills!E2:E26=TRUE)*(C117:C141=TRUE)*Q117:Q141*Skills!F2:F26))</f>
        <v/>
      </c>
    </row>
    <row r="148">
      <c r="A148" t="inlineStr">
        <is>
          <t>Dark Impale Casts Per Second</t>
        </is>
      </c>
      <c r="B148">
        <f>MAX(0,B146-B147)</f>
        <v/>
      </c>
    </row>
    <row r="149">
      <c r="A149" t="inlineStr">
        <is>
          <t>Global Critical Damage Bonus % (Lord of Darkness)</t>
        </is>
      </c>
      <c r="B149">
        <f>((C134=TRUE)*F134*(Skills!J19/100)*IF(AND(Inputs!$B$39&lt;&gt;"pvp",Inputs!$B$44&gt;0),(((R134-1)*MIN((Skills!T19*(1+Inputs!$B$35/100)),(1/Q134))+MIN((Skills!T19*(1+Inputs!$B$35/100)),MAX(0,Inputs!$B$44-((R134-1)*(1/Q134)))))/Inputs!$B$44),IF(Inputs!$B$39="pvp",MIN((Skills!T19*(1+Inputs!$B$35/100)),15)/15,MIN(1,(Skills!T19*(1+Inputs!$B$35/100))/(1/Q134)))))</f>
        <v/>
      </c>
    </row>
    <row r="150">
      <c r="A150" t="inlineStr">
        <is>
          <t>Global Final Damage Bonus % (unused)</t>
        </is>
      </c>
      <c r="B150" t="n">
        <v>0</v>
      </c>
    </row>
    <row r="151">
      <c r="A151" t="inlineStr">
        <is>
          <t>Buff-Casting Startup Delay (s, fixed-duration only)</t>
        </is>
      </c>
      <c r="B151">
        <f>IF(AND(Inputs!$B$39&lt;&gt;"pvp",Inputs!$B$44&gt;0),SUMPRODUCT((Skills!T2:T26&gt;0)*(Skills!E2:E26=TRUE)*(C117:C141=TRUE))/B146,0)</f>
        <v/>
      </c>
    </row>
    <row r="152">
      <c r="A152" t="inlineStr">
        <is>
          <t>Boss-Only Total DPS (this block's swept value)</t>
        </is>
      </c>
      <c r="B152">
        <f>SUM(T117:T141)</f>
        <v/>
      </c>
    </row>
    <row r="153">
      <c r="A153" t="inlineStr">
        <is>
          <t>Normal-Only Total DPS (this block's swept value)</t>
        </is>
      </c>
      <c r="B153">
        <f>SUM(V117:V141)</f>
        <v/>
      </c>
    </row>
    <row r="154">
      <c r="A154" s="6" t="inlineStr">
        <is>
          <t>TOTAL DPS</t>
        </is>
      </c>
      <c r="B154" s="6">
        <f>SUM(O117:O141)</f>
        <v/>
      </c>
    </row>
    <row r="157">
      <c r="A157" s="6" t="inlineStr">
        <is>
          <t>Stat: DEX</t>
        </is>
      </c>
    </row>
    <row r="158">
      <c r="A158" s="5" t="inlineStr">
        <is>
          <t>Key</t>
        </is>
      </c>
      <c r="B158" s="5" t="inlineStr">
        <is>
          <t>Name</t>
        </is>
      </c>
      <c r="C158" s="5" t="inlineStr">
        <is>
          <t>Unlocked</t>
        </is>
      </c>
      <c r="D158" s="5" t="inlineStr">
        <is>
          <t>InputLevel</t>
        </is>
      </c>
      <c r="E158" s="5" t="inlineStr">
        <is>
          <t>Factor</t>
        </is>
      </c>
      <c r="F158" s="5" t="inlineStr">
        <is>
          <t>CoefficientPercent</t>
        </is>
      </c>
      <c r="G158" s="5" t="inlineStr">
        <is>
          <t>EffectiveHits</t>
        </is>
      </c>
      <c r="H158" s="5" t="inlineStr">
        <is>
          <t>ProcProbability</t>
        </is>
      </c>
      <c r="I158" s="5" t="inlineStr">
        <is>
          <t>MapleHeroMultiplier</t>
        </is>
      </c>
      <c r="J158" s="5" t="inlineStr">
        <is>
          <t>BaseDamage</t>
        </is>
      </c>
      <c r="K158" s="5" t="inlineStr">
        <is>
          <t>BaseHitDamage</t>
        </is>
      </c>
      <c r="L158" s="5" t="inlineStr">
        <is>
          <t>NonCritAvg</t>
        </is>
      </c>
      <c r="M158" s="5" t="inlineStr">
        <is>
          <t>CritAvg</t>
        </is>
      </c>
      <c r="N158" s="5" t="inlineStr">
        <is>
          <t>ExpectedDamage(perHit)</t>
        </is>
      </c>
      <c r="O158" s="5" t="inlineStr">
        <is>
          <t>DPS</t>
        </is>
      </c>
      <c r="P158" s="5" t="inlineStr">
        <is>
          <t>% of Total</t>
        </is>
      </c>
      <c r="Q158" s="5" t="inlineStr">
        <is>
          <t>InvCooldown</t>
        </is>
      </c>
      <c r="R158" s="5" t="inlineStr">
        <is>
          <t>CastsInFight</t>
        </is>
      </c>
      <c r="S158" s="5" t="inlineStr">
        <is>
          <t>HitRate(perSec)</t>
        </is>
      </c>
      <c r="U158" t="inlineStr">
        <is>
          <t>helpers</t>
        </is>
      </c>
    </row>
    <row r="159">
      <c r="A159">
        <f>Skills!A2</f>
        <v/>
      </c>
      <c r="B159">
        <f>Skills!B2</f>
        <v/>
      </c>
      <c r="C159">
        <f>Inputs!$B$3&gt;=100</f>
        <v/>
      </c>
      <c r="D159" t="inlineStr"/>
      <c r="E159" t="inlineStr"/>
      <c r="F159">
        <f>U161+Skills!O2</f>
        <v/>
      </c>
      <c r="G159">
        <f>Skills!G2*IF(Skills!H2&gt;0,INT(IF(Inputs!$B$39="pvp",MIN(Skills!I2,15),Skills!I2)/Skills!H2+0.000000001),1)</f>
        <v/>
      </c>
      <c r="H159">
        <f>1-(1-Skills!J2/100)^Skills!K2</f>
        <v/>
      </c>
      <c r="I159" t="inlineStr">
        <is>
          <t>1</t>
        </is>
      </c>
      <c r="J159">
        <f>((Inputs!$B$6*(1+Inputs!$B$7/100))+(((Inputs!$B$13*(1+Inputs!$B$14/100))-(Inputs!$B$13*(1+Inputs!$B$14/100)))+0.25*((Inputs!$B$15+1)-Inputs!$B$15))*(1+Inputs!$B$7/100))*(F159/100)</f>
        <v/>
      </c>
      <c r="K159">
        <f>J159*(1+(((Inputs!$B$13+IF(Inputs!$B$3&gt;=38,(10*INDEX(FactorTable!$B$2:$Y$301, MATCH(ROUND(MIN(300,MAX(1,Inputs!$B$3)),0), FactorTable!$A$2:$A$301,0), 23)/1000)/100*(Inputs!$B$8*(1+Inputs!$B$9/100)),0))*(1+Inputs!$B$14/100))*0.01+(Inputs!$B$15+1)*0.0025)/100)*(1+Inputs!$B$16/100)*(1+Inputs!$B$17/100)*(5000/(6000+Inputs!$B$43*(1-(Inputs!$B$20+0)/100)))*(1+(Inputs!$B$25+((C182=TRUE)*(F182-Calc!F25))+((C183=TRUE)*(F183-Calc!F26))+B192)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gt;=100),MIN(100,((Inputs!$B$10+0+B186+(ArtifactsInput!$M$24-ArtifactsInput!$M$24)*CHOOSE(ArtifactsInput!$N$24+1,10,12,14,16,18,20)+IF(ArtifactsInput!$M$10,CHOOSE(ArtifactsInput!$N$10+1,15,18,21,24,27,30)*(IF(Inputs!$B$39="pvp",MIN(15,15)/15,IF(AND(Inputs!$B$39&lt;&gt;"pvp",Inputs!$B$44&gt;0),MIN(15,Inputs!$B$44)/(Inputs!$B$44),0))),0)))-100),0))*CHOOSE(ArtifactsInput!$N$42+1,0.6,0.72,0.84,0.96,1.08,1.2))),Inputs!$B$19+((C180=TRUE)*(F180-Calc!F23))+(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gt;=100),CHOOSE(ArtifactsInput!$N$42+1,40,48,56,64,72,80),0))))/100)*((1+(((C170=TRUE)*F170*IF(AND(Inputs!$B$39&lt;&gt;"pvp",Inputs!$B$44&gt;0),(((R170-1)*MIN((Skills!T13*(1+Inputs!$B$35/100)),(1/Q170))+MIN((Skills!T13*(1+Inputs!$B$35/100)),MAX(0,Inputs!$B$44-((R170-1)*(1/Q170)))))/Inputs!$B$44),IF(Inputs!$B$39="pvp",MIN((Skills!T13*(1+Inputs!$B$35/100)),15)/15,MIN(1,(Skills!T13*(1+Inputs!$B$35/100))/(1/Q170)))))+((C171=TRUE)*F171*IF(AND(Inputs!$B$39&lt;&gt;"pvp",Inputs!$B$44&gt;0),(((R171-1)*MIN((Skills!T14*(1+Inputs!$B$35/100)),(1/Q171))+MIN((Skills!T14*(1+Inputs!$B$35/100)),MAX(0,Inputs!$B$44-((R171-1)*(1/Q171)))))/Inputs!$B$44),IF(Inputs!$B$39="pvp",MIN((Skills!T14*(1+Inputs!$B$35/100)),15)/15,MIN(1,(Skills!T14*(1+Inputs!$B$35/100))/(1/Q171)))))+((C172=TRUE)*F172*IF(AND(Inputs!$B$39&lt;&gt;"pvp",Inputs!$B$44&gt;0),(((R172-1)*MIN((Skills!T15*(1+Inputs!$B$35/100)),(1/Q172))+MIN((Skills!T15*(1+Inputs!$B$35/100)),MAX(0,Inputs!$B$44-((R172-1)*(1/Q172)))))/Inputs!$B$44),IF(Inputs!$B$39="pvp",MIN((Skills!T15*(1+Inputs!$B$35/100)),15)/15,MIN(1,(Skills!T15*(1+Inputs!$B$35/100))/(1/Q172)))))+((C173=TRUE)*F173*IF(AND(Inputs!$B$39&lt;&gt;"pvp",Inputs!$B$44&gt;0),(((R173-1)*MIN((Skills!T16*(1+Inputs!$B$35/100)),(1/Q173))+MIN((Skills!T16*(1+Inputs!$B$35/100)),MAX(0,Inputs!$B$44-((R173-1)*(1/Q173)))))/Inputs!$B$44),IF(Inputs!$B$39="pvp",MIN((Skills!T16*(1+Inputs!$B$35/100)),15)/15,MIN(1,(Skills!T16*(1+Inputs!$B$35/100))/(1/Q173)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159)</f>
        <v/>
      </c>
      <c r="L159">
        <f>K159*(MIN(Inputs!$B$23+((C179=TRUE)*(F179-Calc!F22)),(Inputs!$B$24+((C181=TRUE)*(F181-Calc!F24))+(IF(ArtifactsInput!$M$15,CHOOSE(ArtifactsInput!$N$15+1,25,30,35,40,45,50)/100*(Inputs!$B$12-Inputs!$B$12),0))))/100+(Inputs!$B$24+((C181=TRUE)*(F181-Calc!F24))+(IF(ArtifactsInput!$M$15,CHOOSE(ArtifactsInput!$N$15+1,25,30,35,40,45,50)/100*(Inputs!$B$12-Inputs!$B$12),0)))/100)/2</f>
        <v/>
      </c>
      <c r="M159">
        <f>L159*(1+(Inputs!$B$11+0+B191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59">
        <f>L159*(1-MIN((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159*(MIN((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9">
        <f>(1-Summary!$B$11)*T159+Summary!$B$11*V159</f>
        <v/>
      </c>
      <c r="P159">
        <f>IF(B196=0,0,O159/B196)</f>
        <v/>
      </c>
      <c r="Q159" t="n">
        <v>0</v>
      </c>
      <c r="R159" t="n">
        <v>0</v>
      </c>
      <c r="S159">
        <f>IFERROR(O159/N159,0)</f>
        <v/>
      </c>
      <c r="T159">
        <f>IF(C159,(Skills!G2*N159*B190)*IF(Inputs!$B$39="pvp",1,1+(Inputs!$B$21+0+Skills!P2+((C174=TRUE)*F174*IF(AND(Inputs!$B$39&lt;&gt;"pvp",Inputs!$B$44&gt;0),(((R174-1)*MIN((Skills!T17*(1+Inputs!$B$35/100)),(1/Q174))+MIN((Skills!T17*(1+Inputs!$B$35/100)),MAX(0,Inputs!$B$44-((R174-1)*(1/Q174)))))/Inputs!$B$44),IF(Inputs!$B$39="pvp",MIN((Skills!T17*(1+Inputs!$B$35/100)),15)/15,MIN(1,(Skills!T17*(1+Inputs!$B$35/100))/(1/Q174)))))+((C162=TRUE)*IF(Inputs!$B$3&gt;=126,10*MIN(1,15*Q162),0))+((C171=TRUE)*IF(Inputs!$B$39="pvp",20,(1-Summary!$B$11)*(20)+Summary!$B$11*(0))*IF(AND(Inputs!$B$39&lt;&gt;"pvp",Inputs!$B$44&gt;0),(((R171-1)*MIN((Skills!T14*(1+Inputs!$B$35/100)),(1/Q171))+MIN((Skills!T14*(1+Inputs!$B$35/100)),MAX(0,Inputs!$B$44-((R171-1)*(1/Q171)))))/Inputs!$B$44),IF(Inputs!$B$39="pvp",MIN((Skills!T14*(1+Inputs!$B$35/100)),15)/15,MIN(1,(Skills!T14*(1+Inputs!$B$35/100))/(1/Q171)))))+((C170=TRUE)*IF(Inputs!$B$3&gt;=82,IF(Inputs!$B$39="pvp",20,(1-Summary!$B$11)*(20)+Summary!$B$11*(0)),0)*IF(AND(Inputs!$B$39&lt;&gt;"pvp",Inputs!$B$44&gt;0),(((R170-1)*MIN((Skills!T13*(1+Inputs!$B$35/100)),(1/Q170))+MIN((Skills!T13*(1+Inputs!$B$35/100)),MAX(0,Inputs!$B$44-((R170-1)*(1/Q170)))))/Inputs!$B$44),IF(Inputs!$B$39="pvp",MIN((Skills!T13*(1+Inputs!$B$35/100)),15)/15,MIN(1,(Skills!T13*(1+Inputs!$B$35/100))/(1/Q170)))))+(IF(AND(ArtifactsInput!$M$35,Inputs!$B$4&lt;&gt;"Chapter Hunt"),CHOOSE(ArtifactsInput!$N$35+1,15,18,21,24,27,30)*(1-EXP(-(0.2*B188)*5)),0)+IF(AND(ArtifactsInput!$M$22,Inputs!$B$4&lt;&gt;"Chapter Hunt"),CHOOSE(ArtifactsInput!$N$22+1,10,12,14,16,18,20)*((0*(((0.15*B188*5))^0/1)+1*(((0.15*B188*5))^1/1)+2*(((0.15*B188*5))^2/2)+3*(((0.15*B188*5))^3/6)+4*(((0.15*B188*5))^4/24)+5*(((0.15*B188*5))^5/120))/((((0.15*B188*5))^0/1)+(((0.15*B188*5))^1/1)+(((0.15*B188*5))^2/2)+(((0.15*B188*5))^3/6)+(((0.15*B188*5))^4/24)+(((0.15*B188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159*(1-MIN(100,(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159*(MIN(100,(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159*(1-MIN(100,(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159*(MIN(100,(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59">
        <f>MAX(0,(Inputs!$B$3-100)*3)+Inputs!$B$29+Inputs!$B$30</f>
        <v/>
      </c>
      <c r="V159">
        <f>IF(C159,(Skills!G2*N159*B190)*IF(Inputs!$B$39="pvp",1,(1+(Inputs!$B$22+Skills!Q2+((C174=TRUE)*F174*IF(AND(Inputs!$B$39&lt;&gt;"pvp",Inputs!$B$44&gt;0),(((R174-1)*MIN((Skills!T17*(1+Inputs!$B$35/100)),(1/Q174))+MIN((Skills!T17*(1+Inputs!$B$35/100)),MAX(0,Inputs!$B$44-((R174-1)*(1/Q174)))))/Inputs!$B$44),IF(Inputs!$B$39="pvp",MIN((Skills!T17*(1+Inputs!$B$35/100)),15)/15,MIN(1,(Skills!T17*(1+Inputs!$B$35/100))/(1/Q174)))))+((C162=TRUE)*IF(Inputs!$B$3&gt;=126,10*MIN(1,15*Q162),0))+((C171=TRUE)*IF(Inputs!$B$39="pvp",20,(1-Summary!$B$11)*(20)+Summary!$B$11*(0))*IF(AND(Inputs!$B$39&lt;&gt;"pvp",Inputs!$B$44&gt;0),(((R171-1)*MIN((Skills!T14*(1+Inputs!$B$35/100)),(1/Q171))+MIN((Skills!T14*(1+Inputs!$B$35/100)),MAX(0,Inputs!$B$44-((R171-1)*(1/Q171)))))/Inputs!$B$44),IF(Inputs!$B$39="pvp",MIN((Skills!T14*(1+Inputs!$B$35/100)),15)/15,MIN(1,(Skills!T14*(1+Inputs!$B$35/100))/(1/Q171)))))+((C170=TRUE)*IF(Inputs!$B$3&gt;=82,IF(Inputs!$B$39="pvp",20,(1-Summary!$B$11)*(20)+Summary!$B$11*(0)),0)*IF(AND(Inputs!$B$39&lt;&gt;"pvp",Inputs!$B$44&gt;0),(((R170-1)*MIN((Skills!T13*(1+Inputs!$B$35/100)),(1/Q170))+MIN((Skills!T13*(1+Inputs!$B$35/100)),MAX(0,Inputs!$B$44-((R170-1)*(1/Q170)))))/Inputs!$B$44),IF(Inputs!$B$39="pvp",MIN((Skills!T13*(1+Inputs!$B$35/100)),15)/15,MIN(1,(Skills!T13*(1+Inputs!$B$35/100))/(1/Q170)))))+(IF(AND(ArtifactsInput!$M$35,Inputs!$B$4&lt;&gt;"Chapter Hunt"),CHOOSE(ArtifactsInput!$N$35+1,15,18,21,24,27,30)*(1-EXP(-(0.2*B188)*5)),0)+IF(AND(ArtifactsInput!$M$22,Inputs!$B$4&lt;&gt;"Chapter Hunt"),CHOOSE(ArtifactsInput!$N$22+1,10,12,14,16,18,20)*((0*(((0.15*B188*5))^0/1)+1*(((0.15*B188*5))^1/1)+2*(((0.15*B188*5))^2/2)+3*(((0.15*B188*5))^3/6)+4*(((0.15*B188*5))^4/24)+5*(((0.15*B188*5))^5/120))/((((0.15*B188*5))^0/1)+(((0.15*B188*5))^1/1)+(((0.15*B188*5))^2/2)+(((0.15*B188*5))^3/6)+(((0.15*B188*5))^4/24)+(((0.15*B188*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0">
      <c r="A160">
        <f>Skills!A3</f>
        <v/>
      </c>
      <c r="B160">
        <f>Skills!B3</f>
        <v/>
      </c>
      <c r="C160">
        <f>Inputs!$B$3&gt;=50</f>
        <v/>
      </c>
      <c r="D160">
        <f>IF(Skills!C3=1,60+Inputs!$B$26+Inputs!$B$30,IF(Skills!C3=2,90+Inputs!$B$27+Inputs!$B$30,IF(Skills!C3=3,120+Inputs!$B$28+Inputs!$B$30,MAX(0,(Inputs!$B$3-100)*3)+Inputs!$B$29+Inputs!$B$30)))</f>
        <v/>
      </c>
      <c r="E160">
        <f>INDEX(FactorTable!$B$2:$Y$301, MATCH(ROUND(MIN(300,MAX(1,D160)),0), FactorTable!$A$2:$A$301,0), Skills!M3+1)</f>
        <v/>
      </c>
      <c r="F160">
        <f>IF(Skills!N3=TRUE,(Skills!L3/10)*(E160/1000),Skills!L3/10)+Skills!O3</f>
        <v/>
      </c>
      <c r="G160" t="inlineStr"/>
      <c r="H160" t="inlineStr"/>
      <c r="I160" t="inlineStr">
        <is>
          <t>1</t>
        </is>
      </c>
      <c r="J160" t="inlineStr"/>
      <c r="K160" t="inlineStr"/>
      <c r="L160" t="inlineStr"/>
      <c r="M160" t="inlineStr"/>
      <c r="N160" t="inlineStr"/>
      <c r="O160" t="inlineStr"/>
      <c r="P160" t="inlineStr"/>
      <c r="Q160" t="inlineStr"/>
      <c r="R160" t="inlineStr"/>
      <c r="S160" t="inlineStr"/>
      <c r="U160">
        <f>INDEX(FactorTable!$B$2:$Y$301, MATCH(ROUND(MIN(300,MAX(1,U159)),0), FactorTable!$A$2:$A$301,0), 22)</f>
        <v/>
      </c>
    </row>
    <row r="161">
      <c r="A161">
        <f>Skills!A4</f>
        <v/>
      </c>
      <c r="B161">
        <f>Skills!B4</f>
        <v/>
      </c>
      <c r="C161">
        <f>Inputs!$B$3&gt;=105</f>
        <v/>
      </c>
      <c r="D161">
        <f>IF(Skills!C4=1,60+Inputs!$B$26+Inputs!$B$30,IF(Skills!C4=2,90+Inputs!$B$27+Inputs!$B$30,IF(Skills!C4=3,120+Inputs!$B$28+Inputs!$B$30,MAX(0,(Inputs!$B$3-100)*3)+Inputs!$B$29+Inputs!$B$30)))</f>
        <v/>
      </c>
      <c r="E161">
        <f>INDEX(FactorTable!$B$2:$Y$301, MATCH(ROUND(MIN(300,MAX(1,D161)),0), FactorTable!$A$2:$A$301,0), Skills!M4+1)</f>
        <v/>
      </c>
      <c r="F161">
        <f>IF(Skills!N4=TRUE,(Skills!L4/10)*(E161/1000),Skills!L4/10)+Skills!O4</f>
        <v/>
      </c>
      <c r="G161" t="inlineStr"/>
      <c r="H161" t="inlineStr"/>
      <c r="I161" t="inlineStr">
        <is>
          <t>1</t>
        </is>
      </c>
      <c r="J161" t="inlineStr"/>
      <c r="K161" t="inlineStr"/>
      <c r="L161" t="inlineStr"/>
      <c r="M161" t="inlineStr"/>
      <c r="N161" t="inlineStr"/>
      <c r="O161" t="inlineStr"/>
      <c r="P161" t="inlineStr"/>
      <c r="Q161" t="inlineStr"/>
      <c r="R161" t="inlineStr"/>
      <c r="S161" t="inlineStr"/>
      <c r="U161">
        <f>290*U160/1000</f>
        <v/>
      </c>
    </row>
    <row r="162">
      <c r="A162">
        <f>Skills!A5</f>
        <v/>
      </c>
      <c r="B162">
        <f>Skills!B5</f>
        <v/>
      </c>
      <c r="C162">
        <f>Inputs!$B$3&gt;=117</f>
        <v/>
      </c>
      <c r="D162">
        <f>IF(Skills!C5=1,60+Inputs!$B$26+Inputs!$B$30,IF(Skills!C5=2,90+Inputs!$B$27+Inputs!$B$30,IF(Skills!C5=3,120+Inputs!$B$28+Inputs!$B$30,MAX(0,(Inputs!$B$3-100)*3)+Inputs!$B$29+Inputs!$B$30)))</f>
        <v/>
      </c>
      <c r="E162">
        <f>INDEX(FactorTable!$B$2:$Y$301, MATCH(ROUND(MIN(300,MAX(1,D162)),0), FactorTable!$A$2:$A$301,0), Skills!M5+1)</f>
        <v/>
      </c>
      <c r="F162">
        <f>IF(Skills!N5=TRUE,(Skills!L5/10)*(E162/1000),Skills!L5/10)+Skills!O5</f>
        <v/>
      </c>
      <c r="G162">
        <f>Skills!G5*IF(Skills!H5&gt;0,INT(IF(Inputs!$B$39="pvp",MIN(Skills!I5,15),Skills!I5)/Skills!H5+0.000000001),1)</f>
        <v/>
      </c>
      <c r="H162">
        <f>1-(1-Skills!J5/100)^Skills!K5</f>
        <v/>
      </c>
      <c r="I162" t="inlineStr">
        <is>
          <t>1</t>
        </is>
      </c>
      <c r="J162">
        <f>((Inputs!$B$6*(1+Inputs!$B$7/100))+(((Inputs!$B$13*(1+Inputs!$B$14/100))-(Inputs!$B$13*(1+Inputs!$B$14/100)))+0.25*((Inputs!$B$15+1)-Inputs!$B$15))*(1+Inputs!$B$7/100))*(F162/100)</f>
        <v/>
      </c>
      <c r="K162">
        <f>J162*(1+(((Inputs!$B$13+IF(Inputs!$B$3&gt;=38,(10*INDEX(FactorTable!$B$2:$Y$301, MATCH(ROUND(MIN(300,MAX(1,Inputs!$B$3)),0), FactorTable!$A$2:$A$301,0), 23)/1000)/100*(Inputs!$B$8*(1+Inputs!$B$9/100)),0))*(1+Inputs!$B$14/100))*0.01+(Inputs!$B$15+1)*0.0025)/100)*(1+Inputs!$B$16/100)*(1+Inputs!$B$17/100)*(5000/(6000+Inputs!$B$43*(1-(Inputs!$B$20+0)/100)))*(1+(Inputs!$B$25+((C182=TRUE)*(F182-Calc!F25))+((C183=TRUE)*(F183-Calc!F26))+B192)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gt;=100),MIN(100,((Inputs!$B$10+0+B186+(ArtifactsInput!$M$24-ArtifactsInput!$M$24)*CHOOSE(ArtifactsInput!$N$24+1,10,12,14,16,18,20)+IF(ArtifactsInput!$M$10,CHOOSE(ArtifactsInput!$N$10+1,15,18,21,24,27,30)*(IF(Inputs!$B$39="pvp",MIN(15,15)/15,IF(AND(Inputs!$B$39&lt;&gt;"pvp",Inputs!$B$44&gt;0),MIN(15,Inputs!$B$44)/(Inputs!$B$44),0))),0)))-100),0))*CHOOSE(ArtifactsInput!$N$42+1,0.6,0.72,0.84,0.96,1.08,1.2))),Inputs!$B$19+((C180=TRUE)*(F180-Calc!F23))+(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gt;=100),CHOOSE(ArtifactsInput!$N$42+1,40,48,56,64,72,80),0))))/100)*((1+(((C170=TRUE)*F170*IF(AND(Inputs!$B$39&lt;&gt;"pvp",Inputs!$B$44&gt;0),(((R170-1)*MIN((Skills!T13*(1+Inputs!$B$35/100)),(1/Q170))+MIN((Skills!T13*(1+Inputs!$B$35/100)),MAX(0,Inputs!$B$44-((R170-1)*(1/Q170)))))/Inputs!$B$44),IF(Inputs!$B$39="pvp",MIN((Skills!T13*(1+Inputs!$B$35/100)),15)/15,MIN(1,(Skills!T13*(1+Inputs!$B$35/100))/(1/Q170)))))+((C171=TRUE)*F171*IF(AND(Inputs!$B$39&lt;&gt;"pvp",Inputs!$B$44&gt;0),(((R171-1)*MIN((Skills!T14*(1+Inputs!$B$35/100)),(1/Q171))+MIN((Skills!T14*(1+Inputs!$B$35/100)),MAX(0,Inputs!$B$44-((R171-1)*(1/Q171)))))/Inputs!$B$44),IF(Inputs!$B$39="pvp",MIN((Skills!T14*(1+Inputs!$B$35/100)),15)/15,MIN(1,(Skills!T14*(1+Inputs!$B$35/100))/(1/Q171)))))+((C172=TRUE)*F172*IF(AND(Inputs!$B$39&lt;&gt;"pvp",Inputs!$B$44&gt;0),(((R172-1)*MIN((Skills!T15*(1+Inputs!$B$35/100)),(1/Q172))+MIN((Skills!T15*(1+Inputs!$B$35/100)),MAX(0,Inputs!$B$44-((R172-1)*(1/Q172)))))/Inputs!$B$44),IF(Inputs!$B$39="pvp",MIN((Skills!T15*(1+Inputs!$B$35/100)),15)/15,MIN(1,(Skills!T15*(1+Inputs!$B$35/100))/(1/Q172)))))+((C173=TRUE)*F173*IF(AND(Inputs!$B$39&lt;&gt;"pvp",Inputs!$B$44&gt;0),(((R173-1)*MIN((Skills!T16*(1+Inputs!$B$35/100)),(1/Q173))+MIN((Skills!T16*(1+Inputs!$B$35/100)),MAX(0,Inputs!$B$44-((R173-1)*(1/Q173)))))/Inputs!$B$44),IF(Inputs!$B$39="pvp",MIN((Skills!T16*(1+Inputs!$B$35/100)),15)/15,MIN(1,(Skills!T16*(1+Inputs!$B$35/100))/(1/Q173)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162)</f>
        <v/>
      </c>
      <c r="L162">
        <f>K162*(MIN(Inputs!$B$23+((C179=TRUE)*(F179-Calc!F22)),(Inputs!$B$24+((C181=TRUE)*(F181-Calc!F24))+(IF(ArtifactsInput!$M$15,CHOOSE(ArtifactsInput!$N$15+1,25,30,35,40,45,50)/100*(Inputs!$B$12-Inputs!$B$12),0))))/100+(Inputs!$B$24+((C181=TRUE)*(F181-Calc!F24))+(IF(ArtifactsInput!$M$15,CHOOSE(ArtifactsInput!$N$15+1,25,30,35,40,45,50)/100*(Inputs!$B$12-Inputs!$B$12),0)))/100)/2</f>
        <v/>
      </c>
      <c r="M162">
        <f>L162*(1+(Inputs!$B$11+0+B191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62">
        <f>L162*(1-MIN((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162*(MIN((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2">
        <f>(1-Summary!$B$11)*T162+Summary!$B$11*V162</f>
        <v/>
      </c>
      <c r="P162">
        <f>IF(B196=0,0,O162/B196)</f>
        <v/>
      </c>
      <c r="Q162">
        <f>IFERROR(1/IF(Inputs!$B$39="pvp",15,MAX(0.1,Skills!D5-IF(TRUE=TRUE,Inputs!$B$33,0))),0)</f>
        <v/>
      </c>
      <c r="R162">
        <f>IF(AND(Inputs!$B$39&lt;&gt;"pvp",Inputs!$B$44&gt;0),IF(MAX(0,Inputs!$B$44-B193)&lt;=0,0,(INT(MAX(0,Inputs!$B$44-B193)/IF(Inputs!$B$39="pvp",15,MAX(0.1,Skills!D5-IF(TRUE=TRUE,Inputs!$B$33,0))))+1)),0)</f>
        <v/>
      </c>
      <c r="S162">
        <f>IFERROR(O162/N162,0)</f>
        <v/>
      </c>
      <c r="T162">
        <f>IF(C162,(H162*N162*IF(AND(Inputs!$B$39&lt;&gt;"pvp",Inputs!$B$44&gt;0),((Skills!G5*((R162-1)*IF(Skills!H5&gt;0,INT(Skills!I5/Skills!H5+0.000000001),1)+IF(Skills!H5&gt;0,INT(MIN(Skills!I5,MAX(0,MAX(0,Inputs!$B$44-B193)-((R162-1)*IF(Inputs!$B$39="pvp",15,MAX(0.1,Skills!D5-IF(TRUE=TRUE,Inputs!$B$33,0))))))/Skills!H5+0.000000001),1)))/Inputs!$B$44),G162*Q162))*IF(Inputs!$B$39="pvp",1,1+(Inputs!$B$21+0+Skills!P5+((C174=TRUE)*F174*IF(AND(Inputs!$B$39&lt;&gt;"pvp",Inputs!$B$44&gt;0),(((R174-1)*MIN((Skills!T17*(1+Inputs!$B$35/100)),(1/Q174))+MIN((Skills!T17*(1+Inputs!$B$35/100)),MAX(0,Inputs!$B$44-((R174-1)*(1/Q174)))))/Inputs!$B$44),IF(Inputs!$B$39="pvp",MIN((Skills!T17*(1+Inputs!$B$35/100)),15)/15,MIN(1,(Skills!T17*(1+Inputs!$B$35/100))/(1/Q174)))))+((C162=TRUE)*IF(Inputs!$B$3&gt;=126,10*MIN(1,15*Q162),0))+((C171=TRUE)*IF(Inputs!$B$39="pvp",20,(1-Summary!$B$11)*(20)+Summary!$B$11*(0))*IF(AND(Inputs!$B$39&lt;&gt;"pvp",Inputs!$B$44&gt;0),(((R171-1)*MIN((Skills!T14*(1+Inputs!$B$35/100)),(1/Q171))+MIN((Skills!T14*(1+Inputs!$B$35/100)),MAX(0,Inputs!$B$44-((R171-1)*(1/Q171)))))/Inputs!$B$44),IF(Inputs!$B$39="pvp",MIN((Skills!T14*(1+Inputs!$B$35/100)),15)/15,MIN(1,(Skills!T14*(1+Inputs!$B$35/100))/(1/Q171)))))+((C170=TRUE)*IF(Inputs!$B$3&gt;=82,IF(Inputs!$B$39="pvp",20,(1-Summary!$B$11)*(20)+Summary!$B$11*(0)),0)*IF(AND(Inputs!$B$39&lt;&gt;"pvp",Inputs!$B$44&gt;0),(((R170-1)*MIN((Skills!T13*(1+Inputs!$B$35/100)),(1/Q170))+MIN((Skills!T13*(1+Inputs!$B$35/100)),MAX(0,Inputs!$B$44-((R170-1)*(1/Q170)))))/Inputs!$B$44),IF(Inputs!$B$39="pvp",MIN((Skills!T13*(1+Inputs!$B$35/100)),15)/15,MIN(1,(Skills!T13*(1+Inputs!$B$35/100))/(1/Q170)))))+(IF(AND(ArtifactsInput!$M$35,Inputs!$B$4&lt;&gt;"Chapter Hunt"),CHOOSE(ArtifactsInput!$N$35+1,15,18,21,24,27,30)*(1-EXP(-(0.2*B188)*5)),0)+IF(AND(ArtifactsInput!$M$22,Inputs!$B$4&lt;&gt;"Chapter Hunt"),CHOOSE(ArtifactsInput!$N$22+1,10,12,14,16,18,20)*((0*(((0.15*B188*5))^0/1)+1*(((0.15*B188*5))^1/1)+2*(((0.15*B188*5))^2/2)+3*(((0.15*B188*5))^3/6)+4*(((0.15*B188*5))^4/24)+5*(((0.15*B188*5))^5/120))/((((0.15*B188*5))^0/1)+(((0.15*B188*5))^1/1)+(((0.15*B188*5))^2/2)+(((0.15*B188*5))^3/6)+(((0.15*B188*5))^4/24)+(((0.15*B188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162*(1-MIN(100,(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162*(MIN(100,(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162*(1-MIN(100,(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162*(MIN(100,(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2">
        <f>IF(C162,(H162*N162*IF(AND(Inputs!$B$39&lt;&gt;"pvp",Inputs!$B$44&gt;0),((Skills!G5*((R162-1)*IF(Skills!H5&gt;0,INT(Skills!I5/Skills!H5+0.000000001),1)+IF(Skills!H5&gt;0,INT(MIN(Skills!I5,MAX(0,MAX(0,Inputs!$B$44-B193)-((R162-1)*IF(Inputs!$B$39="pvp",15,MAX(0.1,Skills!D5-IF(TRUE=TRUE,Inputs!$B$33,0))))))/Skills!H5+0.000000001),1)))/Inputs!$B$44),G162*Q162))*IF(Inputs!$B$39="pvp",1,(1+(Inputs!$B$22+Skills!Q5+((C174=TRUE)*F174*IF(AND(Inputs!$B$39&lt;&gt;"pvp",Inputs!$B$44&gt;0),(((R174-1)*MIN((Skills!T17*(1+Inputs!$B$35/100)),(1/Q174))+MIN((Skills!T17*(1+Inputs!$B$35/100)),MAX(0,Inputs!$B$44-((R174-1)*(1/Q174)))))/Inputs!$B$44),IF(Inputs!$B$39="pvp",MIN((Skills!T17*(1+Inputs!$B$35/100)),15)/15,MIN(1,(Skills!T17*(1+Inputs!$B$35/100))/(1/Q174)))))+((C162=TRUE)*IF(Inputs!$B$3&gt;=126,10*MIN(1,15*Q162),0))+((C171=TRUE)*IF(Inputs!$B$39="pvp",20,(1-Summary!$B$11)*(20)+Summary!$B$11*(0))*IF(AND(Inputs!$B$39&lt;&gt;"pvp",Inputs!$B$44&gt;0),(((R171-1)*MIN((Skills!T14*(1+Inputs!$B$35/100)),(1/Q171))+MIN((Skills!T14*(1+Inputs!$B$35/100)),MAX(0,Inputs!$B$44-((R171-1)*(1/Q171)))))/Inputs!$B$44),IF(Inputs!$B$39="pvp",MIN((Skills!T14*(1+Inputs!$B$35/100)),15)/15,MIN(1,(Skills!T14*(1+Inputs!$B$35/100))/(1/Q171)))))+((C170=TRUE)*IF(Inputs!$B$3&gt;=82,IF(Inputs!$B$39="pvp",20,(1-Summary!$B$11)*(20)+Summary!$B$11*(0)),0)*IF(AND(Inputs!$B$39&lt;&gt;"pvp",Inputs!$B$44&gt;0),(((R170-1)*MIN((Skills!T13*(1+Inputs!$B$35/100)),(1/Q170))+MIN((Skills!T13*(1+Inputs!$B$35/100)),MAX(0,Inputs!$B$44-((R170-1)*(1/Q170)))))/Inputs!$B$44),IF(Inputs!$B$39="pvp",MIN((Skills!T13*(1+Inputs!$B$35/100)),15)/15,MIN(1,(Skills!T13*(1+Inputs!$B$35/100))/(1/Q170)))))+(IF(AND(ArtifactsInput!$M$35,Inputs!$B$4&lt;&gt;"Chapter Hunt"),CHOOSE(ArtifactsInput!$N$35+1,15,18,21,24,27,30)*(1-EXP(-(0.2*B188)*5)),0)+IF(AND(ArtifactsInput!$M$22,Inputs!$B$4&lt;&gt;"Chapter Hunt"),CHOOSE(ArtifactsInput!$N$22+1,10,12,14,16,18,20)*((0*(((0.15*B188*5))^0/1)+1*(((0.15*B188*5))^1/1)+2*(((0.15*B188*5))^2/2)+3*(((0.15*B188*5))^3/6)+4*(((0.15*B188*5))^4/24)+5*(((0.15*B188*5))^5/120))/((((0.15*B188*5))^0/1)+(((0.15*B188*5))^1/1)+(((0.15*B188*5))^2/2)+(((0.15*B188*5))^3/6)+(((0.15*B188*5))^4/24)+(((0.15*B188*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3">
      <c r="A163">
        <f>Skills!A6</f>
        <v/>
      </c>
      <c r="B163">
        <f>Skills!B6</f>
        <v/>
      </c>
      <c r="C163">
        <f>Inputs!$B$3&gt;=103</f>
        <v/>
      </c>
      <c r="D163">
        <f>IF(Skills!C6=1,60+Inputs!$B$26+Inputs!$B$30,IF(Skills!C6=2,90+Inputs!$B$27+Inputs!$B$30,IF(Skills!C6=3,120+Inputs!$B$28+Inputs!$B$30,MAX(0,(Inputs!$B$3-100)*3)+Inputs!$B$29+Inputs!$B$30)))</f>
        <v/>
      </c>
      <c r="E163">
        <f>INDEX(FactorTable!$B$2:$Y$301, MATCH(ROUND(MIN(300,MAX(1,D163)),0), FactorTable!$A$2:$A$301,0), Skills!M6+1)</f>
        <v/>
      </c>
      <c r="F163">
        <f>IF(Skills!N6=TRUE,(Skills!L6/10)*(E163/1000),Skills!L6/10)+Skills!O6</f>
        <v/>
      </c>
      <c r="G163">
        <f>Skills!G6*IF(Skills!H6&gt;0,INT(IF(Inputs!$B$39="pvp",MIN(Skills!I6,15),Skills!I6)/Skills!H6+0.000000001),1)</f>
        <v/>
      </c>
      <c r="H163">
        <f>1-(1-Skills!J6/100)^Skills!K6</f>
        <v/>
      </c>
      <c r="I163" t="inlineStr">
        <is>
          <t>1</t>
        </is>
      </c>
      <c r="J163">
        <f>((Inputs!$B$6*(1+Inputs!$B$7/100))+(((Inputs!$B$13*(1+Inputs!$B$14/100))-(Inputs!$B$13*(1+Inputs!$B$14/100)))+0.25*((Inputs!$B$15+1)-Inputs!$B$15))*(1+Inputs!$B$7/100))*(F163/100)</f>
        <v/>
      </c>
      <c r="K163">
        <f>J163*(1+(((Inputs!$B$13+IF(Inputs!$B$3&gt;=38,(10*INDEX(FactorTable!$B$2:$Y$301, MATCH(ROUND(MIN(300,MAX(1,Inputs!$B$3)),0), FactorTable!$A$2:$A$301,0), 23)/1000)/100*(Inputs!$B$8*(1+Inputs!$B$9/100)),0))*(1+Inputs!$B$14/100))*0.01+(Inputs!$B$15+1)*0.0025)/100)*(1+Inputs!$B$16/100)*(1+Inputs!$B$17/100)*(5000/(6000+Inputs!$B$43*(1-(Inputs!$B$20+0)/100)))*(1+(Inputs!$B$25+((C182=TRUE)*(F182-Calc!F25))+((C183=TRUE)*(F183-Calc!F26))+B192)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gt;=100),MIN(100,((Inputs!$B$10+0+B186+(ArtifactsInput!$M$24-ArtifactsInput!$M$24)*CHOOSE(ArtifactsInput!$N$24+1,10,12,14,16,18,20)+IF(ArtifactsInput!$M$10,CHOOSE(ArtifactsInput!$N$10+1,15,18,21,24,27,30)*(IF(Inputs!$B$39="pvp",MIN(15,15)/15,IF(AND(Inputs!$B$39&lt;&gt;"pvp",Inputs!$B$44&gt;0),MIN(15,Inputs!$B$44)/(Inputs!$B$44),0))),0)))-100),0))*CHOOSE(ArtifactsInput!$N$42+1,0.6,0.72,0.84,0.96,1.08,1.2))),Inputs!$B$19+((C180=TRUE)*(F180-Calc!F23))+(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gt;=100),CHOOSE(ArtifactsInput!$N$42+1,40,48,56,64,72,80),0))))/100)*((1+(((C170=TRUE)*F170*IF(AND(Inputs!$B$39&lt;&gt;"pvp",Inputs!$B$44&gt;0),(((R170-1)*MIN((Skills!T13*(1+Inputs!$B$35/100)),(1/Q170))+MIN((Skills!T13*(1+Inputs!$B$35/100)),MAX(0,Inputs!$B$44-((R170-1)*(1/Q170)))))/Inputs!$B$44),IF(Inputs!$B$39="pvp",MIN((Skills!T13*(1+Inputs!$B$35/100)),15)/15,MIN(1,(Skills!T13*(1+Inputs!$B$35/100))/(1/Q170)))))+((C171=TRUE)*F171*IF(AND(Inputs!$B$39&lt;&gt;"pvp",Inputs!$B$44&gt;0),(((R171-1)*MIN((Skills!T14*(1+Inputs!$B$35/100)),(1/Q171))+MIN((Skills!T14*(1+Inputs!$B$35/100)),MAX(0,Inputs!$B$44-((R171-1)*(1/Q171)))))/Inputs!$B$44),IF(Inputs!$B$39="pvp",MIN((Skills!T14*(1+Inputs!$B$35/100)),15)/15,MIN(1,(Skills!T14*(1+Inputs!$B$35/100))/(1/Q171)))))+((C172=TRUE)*F172*IF(AND(Inputs!$B$39&lt;&gt;"pvp",Inputs!$B$44&gt;0),(((R172-1)*MIN((Skills!T15*(1+Inputs!$B$35/100)),(1/Q172))+MIN((Skills!T15*(1+Inputs!$B$35/100)),MAX(0,Inputs!$B$44-((R172-1)*(1/Q172)))))/Inputs!$B$44),IF(Inputs!$B$39="pvp",MIN((Skills!T15*(1+Inputs!$B$35/100)),15)/15,MIN(1,(Skills!T15*(1+Inputs!$B$35/100))/(1/Q172)))))+((C173=TRUE)*F173*IF(AND(Inputs!$B$39&lt;&gt;"pvp",Inputs!$B$44&gt;0),(((R173-1)*MIN((Skills!T16*(1+Inputs!$B$35/100)),(1/Q173))+MIN((Skills!T16*(1+Inputs!$B$35/100)),MAX(0,Inputs!$B$44-((R173-1)*(1/Q173)))))/Inputs!$B$44),IF(Inputs!$B$39="pvp",MIN((Skills!T16*(1+Inputs!$B$35/100)),15)/15,MIN(1,(Skills!T16*(1+Inputs!$B$35/100))/(1/Q173)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163)</f>
        <v/>
      </c>
      <c r="L163">
        <f>K163*(MIN(Inputs!$B$23+((C179=TRUE)*(F179-Calc!F22)),(Inputs!$B$24+((C181=TRUE)*(F181-Calc!F24))+(IF(ArtifactsInput!$M$15,CHOOSE(ArtifactsInput!$N$15+1,25,30,35,40,45,50)/100*(Inputs!$B$12-Inputs!$B$12),0))))/100+(Inputs!$B$24+((C181=TRUE)*(F181-Calc!F24))+(IF(ArtifactsInput!$M$15,CHOOSE(ArtifactsInput!$N$15+1,25,30,35,40,45,50)/100*(Inputs!$B$12-Inputs!$B$12),0)))/100)/2</f>
        <v/>
      </c>
      <c r="M163">
        <f>L163*(1+(Inputs!$B$11+0+B191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63">
        <f>L163*(1-MIN((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163*(MIN((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3">
        <f>(1-Summary!$B$11)*T163+Summary!$B$11*V163</f>
        <v/>
      </c>
      <c r="P163">
        <f>IF(B196=0,0,O163/B196)</f>
        <v/>
      </c>
      <c r="Q163">
        <f>IFERROR(1/IF(Inputs!$B$39="pvp",15,MAX(0.1,Skills!D6-IF(TRUE=TRUE,Inputs!$B$33,0))),0)</f>
        <v/>
      </c>
      <c r="R163">
        <f>IF(AND(Inputs!$B$39&lt;&gt;"pvp",Inputs!$B$44&gt;0),IF(MAX(0,Inputs!$B$44-B193)&lt;=0,0,(INT(MAX(0,Inputs!$B$44-B193)/IF(Inputs!$B$39="pvp",15,MAX(0.1,Skills!D6-IF(TRUE=TRUE,Inputs!$B$33,0))))+1)),0)</f>
        <v/>
      </c>
      <c r="S163">
        <f>IFERROR(O163/N163,0)</f>
        <v/>
      </c>
      <c r="T163">
        <f>IF(C163,(H163*N163*IF(AND(Inputs!$B$39&lt;&gt;"pvp",Inputs!$B$44&gt;0),((Skills!G6*((R163-1)*IF(Skills!H6&gt;0,INT(Skills!I6/Skills!H6+0.000000001),1)+IF(Skills!H6&gt;0,INT(MIN(Skills!I6,MAX(0,MAX(0,Inputs!$B$44-B193)-((R163-1)*IF(Inputs!$B$39="pvp",15,MAX(0.1,Skills!D6-IF(TRUE=TRUE,Inputs!$B$33,0))))))/Skills!H6+0.000000001),1)))/Inputs!$B$44),G163*Q163))*IF(Inputs!$B$39="pvp",1,1+(Inputs!$B$21+0+Skills!P6+((C174=TRUE)*F174*IF(AND(Inputs!$B$39&lt;&gt;"pvp",Inputs!$B$44&gt;0),(((R174-1)*MIN((Skills!T17*(1+Inputs!$B$35/100)),(1/Q174))+MIN((Skills!T17*(1+Inputs!$B$35/100)),MAX(0,Inputs!$B$44-((R174-1)*(1/Q174)))))/Inputs!$B$44),IF(Inputs!$B$39="pvp",MIN((Skills!T17*(1+Inputs!$B$35/100)),15)/15,MIN(1,(Skills!T17*(1+Inputs!$B$35/100))/(1/Q174)))))+((C162=TRUE)*IF(Inputs!$B$3&gt;=126,10*MIN(1,15*Q162),0))+((C171=TRUE)*IF(Inputs!$B$39="pvp",20,(1-Summary!$B$11)*(20)+Summary!$B$11*(0))*IF(AND(Inputs!$B$39&lt;&gt;"pvp",Inputs!$B$44&gt;0),(((R171-1)*MIN((Skills!T14*(1+Inputs!$B$35/100)),(1/Q171))+MIN((Skills!T14*(1+Inputs!$B$35/100)),MAX(0,Inputs!$B$44-((R171-1)*(1/Q171)))))/Inputs!$B$44),IF(Inputs!$B$39="pvp",MIN((Skills!T14*(1+Inputs!$B$35/100)),15)/15,MIN(1,(Skills!T14*(1+Inputs!$B$35/100))/(1/Q171)))))+((C170=TRUE)*IF(Inputs!$B$3&gt;=82,IF(Inputs!$B$39="pvp",20,(1-Summary!$B$11)*(20)+Summary!$B$11*(0)),0)*IF(AND(Inputs!$B$39&lt;&gt;"pvp",Inputs!$B$44&gt;0),(((R170-1)*MIN((Skills!T13*(1+Inputs!$B$35/100)),(1/Q170))+MIN((Skills!T13*(1+Inputs!$B$35/100)),MAX(0,Inputs!$B$44-((R170-1)*(1/Q170)))))/Inputs!$B$44),IF(Inputs!$B$39="pvp",MIN((Skills!T13*(1+Inputs!$B$35/100)),15)/15,MIN(1,(Skills!T13*(1+Inputs!$B$35/100))/(1/Q170)))))+(IF(AND(ArtifactsInput!$M$35,Inputs!$B$4&lt;&gt;"Chapter Hunt"),CHOOSE(ArtifactsInput!$N$35+1,15,18,21,24,27,30)*(1-EXP(-(0.2*B188)*5)),0)+IF(AND(ArtifactsInput!$M$22,Inputs!$B$4&lt;&gt;"Chapter Hunt"),CHOOSE(ArtifactsInput!$N$22+1,10,12,14,16,18,20)*((0*(((0.15*B188*5))^0/1)+1*(((0.15*B188*5))^1/1)+2*(((0.15*B188*5))^2/2)+3*(((0.15*B188*5))^3/6)+4*(((0.15*B188*5))^4/24)+5*(((0.15*B188*5))^5/120))/((((0.15*B188*5))^0/1)+(((0.15*B188*5))^1/1)+(((0.15*B188*5))^2/2)+(((0.15*B188*5))^3/6)+(((0.15*B188*5))^4/24)+(((0.15*B188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163*(1-MIN(100,(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163*(MIN(100,(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163*(1-MIN(100,(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163*(MIN(100,(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3">
        <f>IF(C163,(H163*N163*IF(AND(Inputs!$B$39&lt;&gt;"pvp",Inputs!$B$44&gt;0),((Skills!G6*((R163-1)*IF(Skills!H6&gt;0,INT(Skills!I6/Skills!H6+0.000000001),1)+IF(Skills!H6&gt;0,INT(MIN(Skills!I6,MAX(0,MAX(0,Inputs!$B$44-B193)-((R163-1)*IF(Inputs!$B$39="pvp",15,MAX(0.1,Skills!D6-IF(TRUE=TRUE,Inputs!$B$33,0))))))/Skills!H6+0.000000001),1)))/Inputs!$B$44),G163*Q163))*IF(Inputs!$B$39="pvp",1,(1+(Inputs!$B$22+Skills!Q6+((C174=TRUE)*F174*IF(AND(Inputs!$B$39&lt;&gt;"pvp",Inputs!$B$44&gt;0),(((R174-1)*MIN((Skills!T17*(1+Inputs!$B$35/100)),(1/Q174))+MIN((Skills!T17*(1+Inputs!$B$35/100)),MAX(0,Inputs!$B$44-((R174-1)*(1/Q174)))))/Inputs!$B$44),IF(Inputs!$B$39="pvp",MIN((Skills!T17*(1+Inputs!$B$35/100)),15)/15,MIN(1,(Skills!T17*(1+Inputs!$B$35/100))/(1/Q174)))))+((C162=TRUE)*IF(Inputs!$B$3&gt;=126,10*MIN(1,15*Q162),0))+((C171=TRUE)*IF(Inputs!$B$39="pvp",20,(1-Summary!$B$11)*(20)+Summary!$B$11*(0))*IF(AND(Inputs!$B$39&lt;&gt;"pvp",Inputs!$B$44&gt;0),(((R171-1)*MIN((Skills!T14*(1+Inputs!$B$35/100)),(1/Q171))+MIN((Skills!T14*(1+Inputs!$B$35/100)),MAX(0,Inputs!$B$44-((R171-1)*(1/Q171)))))/Inputs!$B$44),IF(Inputs!$B$39="pvp",MIN((Skills!T14*(1+Inputs!$B$35/100)),15)/15,MIN(1,(Skills!T14*(1+Inputs!$B$35/100))/(1/Q171)))))+((C170=TRUE)*IF(Inputs!$B$3&gt;=82,IF(Inputs!$B$39="pvp",20,(1-Summary!$B$11)*(20)+Summary!$B$11*(0)),0)*IF(AND(Inputs!$B$39&lt;&gt;"pvp",Inputs!$B$44&gt;0),(((R170-1)*MIN((Skills!T13*(1+Inputs!$B$35/100)),(1/Q170))+MIN((Skills!T13*(1+Inputs!$B$35/100)),MAX(0,Inputs!$B$44-((R170-1)*(1/Q170)))))/Inputs!$B$44),IF(Inputs!$B$39="pvp",MIN((Skills!T13*(1+Inputs!$B$35/100)),15)/15,MIN(1,(Skills!T13*(1+Inputs!$B$35/100))/(1/Q170)))))+(IF(AND(ArtifactsInput!$M$35,Inputs!$B$4&lt;&gt;"Chapter Hunt"),CHOOSE(ArtifactsInput!$N$35+1,15,18,21,24,27,30)*(1-EXP(-(0.2*B188)*5)),0)+IF(AND(ArtifactsInput!$M$22,Inputs!$B$4&lt;&gt;"Chapter Hunt"),CHOOSE(ArtifactsInput!$N$22+1,10,12,14,16,18,20)*((0*(((0.15*B188*5))^0/1)+1*(((0.15*B188*5))^1/1)+2*(((0.15*B188*5))^2/2)+3*(((0.15*B188*5))^3/6)+4*(((0.15*B188*5))^4/24)+5*(((0.15*B188*5))^5/120))/((((0.15*B188*5))^0/1)+(((0.15*B188*5))^1/1)+(((0.15*B188*5))^2/2)+(((0.15*B188*5))^3/6)+(((0.15*B188*5))^4/24)+(((0.15*B188*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4">
      <c r="A164">
        <f>Skills!A7</f>
        <v/>
      </c>
      <c r="B164">
        <f>Skills!B7</f>
        <v/>
      </c>
      <c r="C164">
        <f>Inputs!$B$3&gt;=40</f>
        <v/>
      </c>
      <c r="D164">
        <f>IF(Skills!C7=1,60+Inputs!$B$26+Inputs!$B$30,IF(Skills!C7=2,90+Inputs!$B$27+Inputs!$B$30,IF(Skills!C7=3,120+Inputs!$B$28+Inputs!$B$30,MAX(0,(Inputs!$B$3-100)*3)+Inputs!$B$29+Inputs!$B$30)))</f>
        <v/>
      </c>
      <c r="E164">
        <f>INDEX(FactorTable!$B$2:$Y$301, MATCH(ROUND(MIN(300,MAX(1,D164)),0), FactorTable!$A$2:$A$301,0), Skills!M7+1)</f>
        <v/>
      </c>
      <c r="F164">
        <f>IF(Skills!N7=TRUE,(Skills!L7/10)*(E164/1000),Skills!L7/10)+Skills!O7</f>
        <v/>
      </c>
      <c r="G164">
        <f>Skills!G7*IF(Skills!H7&gt;0,INT(IF(Inputs!$B$39="pvp",MIN(Skills!I7,15),Skills!I7)/Skills!H7+0.000000001),1)</f>
        <v/>
      </c>
      <c r="H164">
        <f>1-(1-Skills!J7/100)^Skills!K7</f>
        <v/>
      </c>
      <c r="I164" t="inlineStr">
        <is>
          <t>1</t>
        </is>
      </c>
      <c r="J164">
        <f>((Inputs!$B$6*(1+Inputs!$B$7/100))+(((Inputs!$B$13*(1+Inputs!$B$14/100))-(Inputs!$B$13*(1+Inputs!$B$14/100)))+0.25*((Inputs!$B$15+1)-Inputs!$B$15))*(1+Inputs!$B$7/100))*(F164/100)</f>
        <v/>
      </c>
      <c r="K164">
        <f>J164*(1+(((Inputs!$B$13+IF(Inputs!$B$3&gt;=38,(10*INDEX(FactorTable!$B$2:$Y$301, MATCH(ROUND(MIN(300,MAX(1,Inputs!$B$3)),0), FactorTable!$A$2:$A$301,0), 23)/1000)/100*(Inputs!$B$8*(1+Inputs!$B$9/100)),0))*(1+Inputs!$B$14/100))*0.01+(Inputs!$B$15+1)*0.0025)/100)*(1+Inputs!$B$16/100)*(1+Inputs!$B$17/100)*(5000/(6000+Inputs!$B$43*(1-(Inputs!$B$20+0)/100)))*(1+(Inputs!$B$25+((C182=TRUE)*(F182-Calc!F25))+((C183=TRUE)*(F183-Calc!F26))+B192)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168=TRUE,F168,0)/100)*(1+(IF(Skills!A7="DARK_IMPALE",Inputs!$B$18+0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gt;=100),MIN(100,((Inputs!$B$10+0+B186+(ArtifactsInput!$M$24-ArtifactsInput!$M$24)*CHOOSE(ArtifactsInput!$N$24+1,10,12,14,16,18,20)+IF(ArtifactsInput!$M$10,CHOOSE(ArtifactsInput!$N$10+1,15,18,21,24,27,30)*(IF(Inputs!$B$39="pvp",MIN(15,15)/15,IF(AND(Inputs!$B$39&lt;&gt;"pvp",Inputs!$B$44&gt;0),MIN(15,Inputs!$B$44)/(Inputs!$B$44),0))),0)))-100),0))*CHOOSE(ArtifactsInput!$N$42+1,0.6,0.72,0.84,0.96,1.08,1.2))),Inputs!$B$19+((C180=TRUE)*(F180-Calc!F23))+(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gt;=100),CHOOSE(ArtifactsInput!$N$42+1,40,48,56,64,72,80),0))))/100)*((1+(((C170=TRUE)*F170*IF(AND(Inputs!$B$39&lt;&gt;"pvp",Inputs!$B$44&gt;0),(((R170-1)*MIN((Skills!T13*(1+Inputs!$B$35/100)),(1/Q170))+MIN((Skills!T13*(1+Inputs!$B$35/100)),MAX(0,Inputs!$B$44-((R170-1)*(1/Q170)))))/Inputs!$B$44),IF(Inputs!$B$39="pvp",MIN((Skills!T13*(1+Inputs!$B$35/100)),15)/15,MIN(1,(Skills!T13*(1+Inputs!$B$35/100))/(1/Q170)))))+((C171=TRUE)*F171*IF(AND(Inputs!$B$39&lt;&gt;"pvp",Inputs!$B$44&gt;0),(((R171-1)*MIN((Skills!T14*(1+Inputs!$B$35/100)),(1/Q171))+MIN((Skills!T14*(1+Inputs!$B$35/100)),MAX(0,Inputs!$B$44-((R171-1)*(1/Q171)))))/Inputs!$B$44),IF(Inputs!$B$39="pvp",MIN((Skills!T14*(1+Inputs!$B$35/100)),15)/15,MIN(1,(Skills!T14*(1+Inputs!$B$35/100))/(1/Q171)))))+((C172=TRUE)*F172*IF(AND(Inputs!$B$39&lt;&gt;"pvp",Inputs!$B$44&gt;0),(((R172-1)*MIN((Skills!T15*(1+Inputs!$B$35/100)),(1/Q172))+MIN((Skills!T15*(1+Inputs!$B$35/100)),MAX(0,Inputs!$B$44-((R172-1)*(1/Q172)))))/Inputs!$B$44),IF(Inputs!$B$39="pvp",MIN((Skills!T15*(1+Inputs!$B$35/100)),15)/15,MIN(1,(Skills!T15*(1+Inputs!$B$35/100))/(1/Q172)))))+((C173=TRUE)*F173*IF(AND(Inputs!$B$39&lt;&gt;"pvp",Inputs!$B$44&gt;0),(((R173-1)*MIN((Skills!T16*(1+Inputs!$B$35/100)),(1/Q173))+MIN((Skills!T16*(1+Inputs!$B$35/100)),MAX(0,Inputs!$B$44-((R173-1)*(1/Q173)))))/Inputs!$B$44),IF(Inputs!$B$39="pvp",MIN((Skills!T16*(1+Inputs!$B$35/100)),15)/15,MIN(1,(Skills!T16*(1+Inputs!$B$35/100))/(1/Q173)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164)</f>
        <v/>
      </c>
      <c r="L164">
        <f>K164*(MIN(Inputs!$B$23+((C179=TRUE)*(F179-Calc!F22)),(Inputs!$B$24+((C181=TRUE)*(F181-Calc!F24))+(IF(ArtifactsInput!$M$15,CHOOSE(ArtifactsInput!$N$15+1,25,30,35,40,45,50)/100*(Inputs!$B$12-Inputs!$B$12),0))))/100+(Inputs!$B$24+((C181=TRUE)*(F181-Calc!F24))+(IF(ArtifactsInput!$M$15,CHOOSE(ArtifactsInput!$N$15+1,25,30,35,40,45,50)/100*(Inputs!$B$12-Inputs!$B$12),0)))/100)/2</f>
        <v/>
      </c>
      <c r="M164">
        <f>L164*(1+(Inputs!$B$11+0+B191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64">
        <f>L164*(1-MIN((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164*(MIN((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4">
        <f>(1-Summary!$B$11)*T164+Summary!$B$11*V164</f>
        <v/>
      </c>
      <c r="P164">
        <f>IF(B196=0,0,O164/B196)</f>
        <v/>
      </c>
      <c r="Q164">
        <f>IFERROR(1/IF(Inputs!$B$39="pvp",15,MAX(0.1,Skills!D7-IF(TRUE=TRUE,Inputs!$B$33,0))),0)</f>
        <v/>
      </c>
      <c r="R164">
        <f>IF(AND(Inputs!$B$39&lt;&gt;"pvp",Inputs!$B$44&gt;0),IF(MAX(0,Inputs!$B$44-B193)&lt;=0,0,(INT(MAX(0,Inputs!$B$44-B193)/IF(Inputs!$B$39="pvp",15,MAX(0.1,Skills!D7-IF(TRUE=TRUE,Inputs!$B$33,0))))+1)),0)</f>
        <v/>
      </c>
      <c r="S164">
        <f>IFERROR(O164/N164,0)</f>
        <v/>
      </c>
      <c r="T164">
        <f>IF(C164,(H164*N164*IF(AND(Inputs!$B$39&lt;&gt;"pvp",Inputs!$B$44&gt;0),((Skills!G7*((R164-1)*IF(Skills!H7&gt;0,INT(Skills!I7/Skills!H7+0.000000001),1)+IF(Skills!H7&gt;0,INT(MIN(Skills!I7,MAX(0,MAX(0,Inputs!$B$44-B193)-((R164-1)*IF(Inputs!$B$39="pvp",15,MAX(0.1,Skills!D7-IF(TRUE=TRUE,Inputs!$B$33,0))))))/Skills!H7+0.000000001),1)))/Inputs!$B$44),G164*Q164))*IF(Inputs!$B$39="pvp",1,1+(Inputs!$B$21+0+Skills!P7+((C174=TRUE)*F174*IF(AND(Inputs!$B$39&lt;&gt;"pvp",Inputs!$B$44&gt;0),(((R174-1)*MIN((Skills!T17*(1+Inputs!$B$35/100)),(1/Q174))+MIN((Skills!T17*(1+Inputs!$B$35/100)),MAX(0,Inputs!$B$44-((R174-1)*(1/Q174)))))/Inputs!$B$44),IF(Inputs!$B$39="pvp",MIN((Skills!T17*(1+Inputs!$B$35/100)),15)/15,MIN(1,(Skills!T17*(1+Inputs!$B$35/100))/(1/Q174)))))+((C162=TRUE)*IF(Inputs!$B$3&gt;=126,10*MIN(1,15*Q162),0))+((C171=TRUE)*IF(Inputs!$B$39="pvp",20,(1-Summary!$B$11)*(20)+Summary!$B$11*(0))*IF(AND(Inputs!$B$39&lt;&gt;"pvp",Inputs!$B$44&gt;0),(((R171-1)*MIN((Skills!T14*(1+Inputs!$B$35/100)),(1/Q171))+MIN((Skills!T14*(1+Inputs!$B$35/100)),MAX(0,Inputs!$B$44-((R171-1)*(1/Q171)))))/Inputs!$B$44),IF(Inputs!$B$39="pvp",MIN((Skills!T14*(1+Inputs!$B$35/100)),15)/15,MIN(1,(Skills!T14*(1+Inputs!$B$35/100))/(1/Q171)))))+((C170=TRUE)*IF(Inputs!$B$3&gt;=82,IF(Inputs!$B$39="pvp",20,(1-Summary!$B$11)*(20)+Summary!$B$11*(0)),0)*IF(AND(Inputs!$B$39&lt;&gt;"pvp",Inputs!$B$44&gt;0),(((R170-1)*MIN((Skills!T13*(1+Inputs!$B$35/100)),(1/Q170))+MIN((Skills!T13*(1+Inputs!$B$35/100)),MAX(0,Inputs!$B$44-((R170-1)*(1/Q170)))))/Inputs!$B$44),IF(Inputs!$B$39="pvp",MIN((Skills!T13*(1+Inputs!$B$35/100)),15)/15,MIN(1,(Skills!T13*(1+Inputs!$B$35/100))/(1/Q170)))))+(IF(AND(ArtifactsInput!$M$35,Inputs!$B$4&lt;&gt;"Chapter Hunt"),CHOOSE(ArtifactsInput!$N$35+1,15,18,21,24,27,30)*(1-EXP(-(0.2*B188)*5)),0)+IF(AND(ArtifactsInput!$M$22,Inputs!$B$4&lt;&gt;"Chapter Hunt"),CHOOSE(ArtifactsInput!$N$22+1,10,12,14,16,18,20)*((0*(((0.15*B188*5))^0/1)+1*(((0.15*B188*5))^1/1)+2*(((0.15*B188*5))^2/2)+3*(((0.15*B188*5))^3/6)+4*(((0.15*B188*5))^4/24)+5*(((0.15*B188*5))^5/120))/((((0.15*B188*5))^0/1)+(((0.15*B188*5))^1/1)+(((0.15*B188*5))^2/2)+(((0.15*B188*5))^3/6)+(((0.15*B188*5))^4/24)+(((0.15*B188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164*(1-MIN(100,(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164*(MIN(100,(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164*(1-MIN(100,(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164*(MIN(100,(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4">
        <f>IF(C164,(H164*N164*IF(AND(Inputs!$B$39&lt;&gt;"pvp",Inputs!$B$44&gt;0),((Skills!G7*((R164-1)*IF(Skills!H7&gt;0,INT(Skills!I7/Skills!H7+0.000000001),1)+IF(Skills!H7&gt;0,INT(MIN(Skills!I7,MAX(0,MAX(0,Inputs!$B$44-B193)-((R164-1)*IF(Inputs!$B$39="pvp",15,MAX(0.1,Skills!D7-IF(TRUE=TRUE,Inputs!$B$33,0))))))/Skills!H7+0.000000001),1)))/Inputs!$B$44),G164*Q164))*IF(Inputs!$B$39="pvp",1,(1+(Inputs!$B$22+Skills!Q7+((C174=TRUE)*F174*IF(AND(Inputs!$B$39&lt;&gt;"pvp",Inputs!$B$44&gt;0),(((R174-1)*MIN((Skills!T17*(1+Inputs!$B$35/100)),(1/Q174))+MIN((Skills!T17*(1+Inputs!$B$35/100)),MAX(0,Inputs!$B$44-((R174-1)*(1/Q174)))))/Inputs!$B$44),IF(Inputs!$B$39="pvp",MIN((Skills!T17*(1+Inputs!$B$35/100)),15)/15,MIN(1,(Skills!T17*(1+Inputs!$B$35/100))/(1/Q174)))))+((C162=TRUE)*IF(Inputs!$B$3&gt;=126,10*MIN(1,15*Q162),0))+((C171=TRUE)*IF(Inputs!$B$39="pvp",20,(1-Summary!$B$11)*(20)+Summary!$B$11*(0))*IF(AND(Inputs!$B$39&lt;&gt;"pvp",Inputs!$B$44&gt;0),(((R171-1)*MIN((Skills!T14*(1+Inputs!$B$35/100)),(1/Q171))+MIN((Skills!T14*(1+Inputs!$B$35/100)),MAX(0,Inputs!$B$44-((R171-1)*(1/Q171)))))/Inputs!$B$44),IF(Inputs!$B$39="pvp",MIN((Skills!T14*(1+Inputs!$B$35/100)),15)/15,MIN(1,(Skills!T14*(1+Inputs!$B$35/100))/(1/Q171)))))+((C170=TRUE)*IF(Inputs!$B$3&gt;=82,IF(Inputs!$B$39="pvp",20,(1-Summary!$B$11)*(20)+Summary!$B$11*(0)),0)*IF(AND(Inputs!$B$39&lt;&gt;"pvp",Inputs!$B$44&gt;0),(((R170-1)*MIN((Skills!T13*(1+Inputs!$B$35/100)),(1/Q170))+MIN((Skills!T13*(1+Inputs!$B$35/100)),MAX(0,Inputs!$B$44-((R170-1)*(1/Q170)))))/Inputs!$B$44),IF(Inputs!$B$39="pvp",MIN((Skills!T13*(1+Inputs!$B$35/100)),15)/15,MIN(1,(Skills!T13*(1+Inputs!$B$35/100))/(1/Q170)))))+(IF(AND(ArtifactsInput!$M$35,Inputs!$B$4&lt;&gt;"Chapter Hunt"),CHOOSE(ArtifactsInput!$N$35+1,15,18,21,24,27,30)*(1-EXP(-(0.2*B188)*5)),0)+IF(AND(ArtifactsInput!$M$22,Inputs!$B$4&lt;&gt;"Chapter Hunt"),CHOOSE(ArtifactsInput!$N$22+1,10,12,14,16,18,20)*((0*(((0.15*B188*5))^0/1)+1*(((0.15*B188*5))^1/1)+2*(((0.15*B188*5))^2/2)+3*(((0.15*B188*5))^3/6)+4*(((0.15*B188*5))^4/24)+5*(((0.15*B188*5))^5/120))/((((0.15*B188*5))^0/1)+(((0.15*B188*5))^1/1)+(((0.15*B188*5))^2/2)+(((0.15*B188*5))^3/6)+(((0.15*B188*5))^4/24)+(((0.15*B188*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5">
      <c r="A165">
        <f>Skills!A8</f>
        <v/>
      </c>
      <c r="B165">
        <f>Skills!B8</f>
        <v/>
      </c>
      <c r="C165">
        <f>Inputs!$B$3&gt;=75</f>
        <v/>
      </c>
      <c r="D165">
        <f>IF(Skills!C8=1,60+Inputs!$B$26+Inputs!$B$30,IF(Skills!C8=2,90+Inputs!$B$27+Inputs!$B$30,IF(Skills!C8=3,120+Inputs!$B$28+Inputs!$B$30,MAX(0,(Inputs!$B$3-100)*3)+Inputs!$B$29+Inputs!$B$30)))</f>
        <v/>
      </c>
      <c r="E165">
        <f>INDEX(FactorTable!$B$2:$Y$301, MATCH(ROUND(MIN(300,MAX(1,D165)),0), FactorTable!$A$2:$A$301,0), Skills!M8+1)</f>
        <v/>
      </c>
      <c r="F165">
        <f>IF(Skills!N8=TRUE,(Skills!L8/10)*(E165/1000),Skills!L8/10)+Skills!O8</f>
        <v/>
      </c>
      <c r="G165" t="inlineStr"/>
      <c r="H165" t="inlineStr"/>
      <c r="I165" t="inlineStr">
        <is>
          <t>1</t>
        </is>
      </c>
      <c r="J165" t="inlineStr"/>
      <c r="K165" t="inlineStr"/>
      <c r="L165" t="inlineStr"/>
      <c r="M165" t="inlineStr"/>
      <c r="N165" t="inlineStr"/>
      <c r="O165" t="inlineStr"/>
      <c r="P165" t="inlineStr"/>
      <c r="Q165" t="inlineStr"/>
      <c r="R165" t="inlineStr"/>
      <c r="S165" t="inlineStr"/>
    </row>
    <row r="166">
      <c r="A166">
        <f>Skills!A9</f>
        <v/>
      </c>
      <c r="B166">
        <f>Skills!B9</f>
        <v/>
      </c>
      <c r="C166">
        <f>Inputs!$B$3&gt;=60</f>
        <v/>
      </c>
      <c r="D166">
        <f>IF(Skills!C9=1,60+Inputs!$B$26+Inputs!$B$30,IF(Skills!C9=2,90+Inputs!$B$27+Inputs!$B$30,IF(Skills!C9=3,120+Inputs!$B$28+Inputs!$B$30,MAX(0,(Inputs!$B$3-100)*3)+Inputs!$B$29+Inputs!$B$30)))</f>
        <v/>
      </c>
      <c r="E166">
        <f>INDEX(FactorTable!$B$2:$Y$301, MATCH(ROUND(MIN(300,MAX(1,D166)),0), FactorTable!$A$2:$A$301,0), Skills!M9+1)</f>
        <v/>
      </c>
      <c r="F166">
        <f>IF(Skills!N9=TRUE,(Skills!L9/10)*(E166/1000),Skills!L9/10)+Skills!O9</f>
        <v/>
      </c>
      <c r="G166">
        <f>Skills!G9*IF(Skills!H9&gt;0,INT(IF(Inputs!$B$39="pvp",MIN(Skills!I9,15),Skills!I9)/Skills!H9+0.000000001),1)</f>
        <v/>
      </c>
      <c r="H166">
        <f>1-(1-Skills!J9/100)^Skills!K9</f>
        <v/>
      </c>
      <c r="I166" t="inlineStr">
        <is>
          <t>1</t>
        </is>
      </c>
      <c r="J166">
        <f>((Inputs!$B$6*(1+Inputs!$B$7/100))+(((Inputs!$B$13*(1+Inputs!$B$14/100))-(Inputs!$B$13*(1+Inputs!$B$14/100)))+0.25*((Inputs!$B$15+1)-Inputs!$B$15))*(1+Inputs!$B$7/100))*(F166/100)</f>
        <v/>
      </c>
      <c r="K166">
        <f>J166*(1+(((Inputs!$B$13+IF(Inputs!$B$3&gt;=38,(10*INDEX(FactorTable!$B$2:$Y$301, MATCH(ROUND(MIN(300,MAX(1,Inputs!$B$3)),0), FactorTable!$A$2:$A$301,0), 23)/1000)/100*(Inputs!$B$8*(1+Inputs!$B$9/100)),0))*(1+Inputs!$B$14/100))*0.01+(Inputs!$B$15+1)*0.0025)/100)*(1+Inputs!$B$16/100)*(1+Inputs!$B$17/100)*(5000/(6000+Inputs!$B$43*(1-(Inputs!$B$20+0)/100)))*(1+(Inputs!$B$25+((C182=TRUE)*(F182-Calc!F25))+((C183=TRUE)*(F183-Calc!F26))+B192)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168=TRUE,F168,0)/100)*(1+(IF(Skills!A9="DARK_IMPALE",Inputs!$B$18+0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gt;=100),MIN(100,((Inputs!$B$10+0+B186+(ArtifactsInput!$M$24-ArtifactsInput!$M$24)*CHOOSE(ArtifactsInput!$N$24+1,10,12,14,16,18,20)+IF(ArtifactsInput!$M$10,CHOOSE(ArtifactsInput!$N$10+1,15,18,21,24,27,30)*(IF(Inputs!$B$39="pvp",MIN(15,15)/15,IF(AND(Inputs!$B$39&lt;&gt;"pvp",Inputs!$B$44&gt;0),MIN(15,Inputs!$B$44)/(Inputs!$B$44),0))),0)))-100),0))*CHOOSE(ArtifactsInput!$N$42+1,0.6,0.72,0.84,0.96,1.08,1.2))),Inputs!$B$19+((C180=TRUE)*(F180-Calc!F23))+(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gt;=100),CHOOSE(ArtifactsInput!$N$42+1,40,48,56,64,72,80),0))))/100)*((1+(((C170=TRUE)*F170*IF(AND(Inputs!$B$39&lt;&gt;"pvp",Inputs!$B$44&gt;0),(((R170-1)*MIN((Skills!T13*(1+Inputs!$B$35/100)),(1/Q170))+MIN((Skills!T13*(1+Inputs!$B$35/100)),MAX(0,Inputs!$B$44-((R170-1)*(1/Q170)))))/Inputs!$B$44),IF(Inputs!$B$39="pvp",MIN((Skills!T13*(1+Inputs!$B$35/100)),15)/15,MIN(1,(Skills!T13*(1+Inputs!$B$35/100))/(1/Q170)))))+((C171=TRUE)*F171*IF(AND(Inputs!$B$39&lt;&gt;"pvp",Inputs!$B$44&gt;0),(((R171-1)*MIN((Skills!T14*(1+Inputs!$B$35/100)),(1/Q171))+MIN((Skills!T14*(1+Inputs!$B$35/100)),MAX(0,Inputs!$B$44-((R171-1)*(1/Q171)))))/Inputs!$B$44),IF(Inputs!$B$39="pvp",MIN((Skills!T14*(1+Inputs!$B$35/100)),15)/15,MIN(1,(Skills!T14*(1+Inputs!$B$35/100))/(1/Q171)))))+((C172=TRUE)*F172*IF(AND(Inputs!$B$39&lt;&gt;"pvp",Inputs!$B$44&gt;0),(((R172-1)*MIN((Skills!T15*(1+Inputs!$B$35/100)),(1/Q172))+MIN((Skills!T15*(1+Inputs!$B$35/100)),MAX(0,Inputs!$B$44-((R172-1)*(1/Q172)))))/Inputs!$B$44),IF(Inputs!$B$39="pvp",MIN((Skills!T15*(1+Inputs!$B$35/100)),15)/15,MIN(1,(Skills!T15*(1+Inputs!$B$35/100))/(1/Q172)))))+((C173=TRUE)*F173*IF(AND(Inputs!$B$39&lt;&gt;"pvp",Inputs!$B$44&gt;0),(((R173-1)*MIN((Skills!T16*(1+Inputs!$B$35/100)),(1/Q173))+MIN((Skills!T16*(1+Inputs!$B$35/100)),MAX(0,Inputs!$B$44-((R173-1)*(1/Q173)))))/Inputs!$B$44),IF(Inputs!$B$39="pvp",MIN((Skills!T16*(1+Inputs!$B$35/100)),15)/15,MIN(1,(Skills!T16*(1+Inputs!$B$35/100))/(1/Q173)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166)</f>
        <v/>
      </c>
      <c r="L166">
        <f>K166*(MIN(Inputs!$B$23+((C179=TRUE)*(F179-Calc!F22)),(Inputs!$B$24+((C181=TRUE)*(F181-Calc!F24))+(IF(ArtifactsInput!$M$15,CHOOSE(ArtifactsInput!$N$15+1,25,30,35,40,45,50)/100*(Inputs!$B$12-Inputs!$B$12),0))))/100+(Inputs!$B$24+((C181=TRUE)*(F181-Calc!F24))+(IF(ArtifactsInput!$M$15,CHOOSE(ArtifactsInput!$N$15+1,25,30,35,40,45,50)/100*(Inputs!$B$12-Inputs!$B$12),0)))/100)/2</f>
        <v/>
      </c>
      <c r="M166">
        <f>L166*(1+(Inputs!$B$11+0+B191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66">
        <f>L166*(1-MIN((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166*(MIN((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6">
        <f>(1-Summary!$B$11)*T166+Summary!$B$11*V166</f>
        <v/>
      </c>
      <c r="P166">
        <f>IF(B196=0,0,O166/B196)</f>
        <v/>
      </c>
      <c r="Q166">
        <f>IFERROR(1/IF(Inputs!$B$39="pvp",15,MAX(0.1,Skills!D9-IF(TRUE=TRUE,Inputs!$B$33,0))),0)</f>
        <v/>
      </c>
      <c r="R166">
        <f>IF(AND(Inputs!$B$39&lt;&gt;"pvp",Inputs!$B$44&gt;0),IF(MAX(0,Inputs!$B$44-B193)&lt;=0,0,(INT(MAX(0,Inputs!$B$44-B193)/IF(Inputs!$B$39="pvp",15,MAX(0.1,Skills!D9-IF(TRUE=TRUE,Inputs!$B$33,0))))+1)),0)</f>
        <v/>
      </c>
      <c r="S166">
        <f>IFERROR(O166/N166,0)</f>
        <v/>
      </c>
      <c r="T166">
        <f>IF(C166,(H166*N166*IF(AND(Inputs!$B$39&lt;&gt;"pvp",Inputs!$B$44&gt;0),((Skills!G9*((R166-1)*IF(Skills!H9&gt;0,INT(Skills!I9/Skills!H9+0.000000001),1)+IF(Skills!H9&gt;0,INT(MIN(Skills!I9,MAX(0,MAX(0,Inputs!$B$44-B193)-((R166-1)*IF(Inputs!$B$39="pvp",15,MAX(0.1,Skills!D9-IF(TRUE=TRUE,Inputs!$B$33,0))))))/Skills!H9+0.000000001),1)))/Inputs!$B$44),G166*Q166))*IF(Inputs!$B$39="pvp",1,1+(Inputs!$B$21+0+Skills!P9+((C174=TRUE)*F174*IF(AND(Inputs!$B$39&lt;&gt;"pvp",Inputs!$B$44&gt;0),(((R174-1)*MIN((Skills!T17*(1+Inputs!$B$35/100)),(1/Q174))+MIN((Skills!T17*(1+Inputs!$B$35/100)),MAX(0,Inputs!$B$44-((R174-1)*(1/Q174)))))/Inputs!$B$44),IF(Inputs!$B$39="pvp",MIN((Skills!T17*(1+Inputs!$B$35/100)),15)/15,MIN(1,(Skills!T17*(1+Inputs!$B$35/100))/(1/Q174)))))+((C162=TRUE)*IF(Inputs!$B$3&gt;=126,10*MIN(1,15*Q162),0))+((C171=TRUE)*IF(Inputs!$B$39="pvp",20,(1-Summary!$B$11)*(20)+Summary!$B$11*(0))*IF(AND(Inputs!$B$39&lt;&gt;"pvp",Inputs!$B$44&gt;0),(((R171-1)*MIN((Skills!T14*(1+Inputs!$B$35/100)),(1/Q171))+MIN((Skills!T14*(1+Inputs!$B$35/100)),MAX(0,Inputs!$B$44-((R171-1)*(1/Q171)))))/Inputs!$B$44),IF(Inputs!$B$39="pvp",MIN((Skills!T14*(1+Inputs!$B$35/100)),15)/15,MIN(1,(Skills!T14*(1+Inputs!$B$35/100))/(1/Q171)))))+((C170=TRUE)*IF(Inputs!$B$3&gt;=82,IF(Inputs!$B$39="pvp",20,(1-Summary!$B$11)*(20)+Summary!$B$11*(0)),0)*IF(AND(Inputs!$B$39&lt;&gt;"pvp",Inputs!$B$44&gt;0),(((R170-1)*MIN((Skills!T13*(1+Inputs!$B$35/100)),(1/Q170))+MIN((Skills!T13*(1+Inputs!$B$35/100)),MAX(0,Inputs!$B$44-((R170-1)*(1/Q170)))))/Inputs!$B$44),IF(Inputs!$B$39="pvp",MIN((Skills!T13*(1+Inputs!$B$35/100)),15)/15,MIN(1,(Skills!T13*(1+Inputs!$B$35/100))/(1/Q170)))))+(IF(AND(ArtifactsInput!$M$35,Inputs!$B$4&lt;&gt;"Chapter Hunt"),CHOOSE(ArtifactsInput!$N$35+1,15,18,21,24,27,30)*(1-EXP(-(0.2*B188)*5)),0)+IF(AND(ArtifactsInput!$M$22,Inputs!$B$4&lt;&gt;"Chapter Hunt"),CHOOSE(ArtifactsInput!$N$22+1,10,12,14,16,18,20)*((0*(((0.15*B188*5))^0/1)+1*(((0.15*B188*5))^1/1)+2*(((0.15*B188*5))^2/2)+3*(((0.15*B188*5))^3/6)+4*(((0.15*B188*5))^4/24)+5*(((0.15*B188*5))^5/120))/((((0.15*B188*5))^0/1)+(((0.15*B188*5))^1/1)+(((0.15*B188*5))^2/2)+(((0.15*B188*5))^3/6)+(((0.15*B188*5))^4/24)+(((0.15*B188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166*(1-MIN(100,(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166*(MIN(100,(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166*(1-MIN(100,(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166*(MIN(100,(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6">
        <f>IF(C166,(H166*N166*IF(AND(Inputs!$B$39&lt;&gt;"pvp",Inputs!$B$44&gt;0),((Skills!G9*((R166-1)*IF(Skills!H9&gt;0,INT(Skills!I9/Skills!H9+0.000000001),1)+IF(Skills!H9&gt;0,INT(MIN(Skills!I9,MAX(0,MAX(0,Inputs!$B$44-B193)-((R166-1)*IF(Inputs!$B$39="pvp",15,MAX(0.1,Skills!D9-IF(TRUE=TRUE,Inputs!$B$33,0))))))/Skills!H9+0.000000001),1)))/Inputs!$B$44),G166*Q166))*IF(Inputs!$B$39="pvp",1,(1+(Inputs!$B$22+Skills!Q9+((C174=TRUE)*F174*IF(AND(Inputs!$B$39&lt;&gt;"pvp",Inputs!$B$44&gt;0),(((R174-1)*MIN((Skills!T17*(1+Inputs!$B$35/100)),(1/Q174))+MIN((Skills!T17*(1+Inputs!$B$35/100)),MAX(0,Inputs!$B$44-((R174-1)*(1/Q174)))))/Inputs!$B$44),IF(Inputs!$B$39="pvp",MIN((Skills!T17*(1+Inputs!$B$35/100)),15)/15,MIN(1,(Skills!T17*(1+Inputs!$B$35/100))/(1/Q174)))))+((C162=TRUE)*IF(Inputs!$B$3&gt;=126,10*MIN(1,15*Q162),0))+((C171=TRUE)*IF(Inputs!$B$39="pvp",20,(1-Summary!$B$11)*(20)+Summary!$B$11*(0))*IF(AND(Inputs!$B$39&lt;&gt;"pvp",Inputs!$B$44&gt;0),(((R171-1)*MIN((Skills!T14*(1+Inputs!$B$35/100)),(1/Q171))+MIN((Skills!T14*(1+Inputs!$B$35/100)),MAX(0,Inputs!$B$44-((R171-1)*(1/Q171)))))/Inputs!$B$44),IF(Inputs!$B$39="pvp",MIN((Skills!T14*(1+Inputs!$B$35/100)),15)/15,MIN(1,(Skills!T14*(1+Inputs!$B$35/100))/(1/Q171)))))+((C170=TRUE)*IF(Inputs!$B$3&gt;=82,IF(Inputs!$B$39="pvp",20,(1-Summary!$B$11)*(20)+Summary!$B$11*(0)),0)*IF(AND(Inputs!$B$39&lt;&gt;"pvp",Inputs!$B$44&gt;0),(((R170-1)*MIN((Skills!T13*(1+Inputs!$B$35/100)),(1/Q170))+MIN((Skills!T13*(1+Inputs!$B$35/100)),MAX(0,Inputs!$B$44-((R170-1)*(1/Q170)))))/Inputs!$B$44),IF(Inputs!$B$39="pvp",MIN((Skills!T13*(1+Inputs!$B$35/100)),15)/15,MIN(1,(Skills!T13*(1+Inputs!$B$35/100))/(1/Q170)))))+(IF(AND(ArtifactsInput!$M$35,Inputs!$B$4&lt;&gt;"Chapter Hunt"),CHOOSE(ArtifactsInput!$N$35+1,15,18,21,24,27,30)*(1-EXP(-(0.2*B188)*5)),0)+IF(AND(ArtifactsInput!$M$22,Inputs!$B$4&lt;&gt;"Chapter Hunt"),CHOOSE(ArtifactsInput!$N$22+1,10,12,14,16,18,20)*((0*(((0.15*B188*5))^0/1)+1*(((0.15*B188*5))^1/1)+2*(((0.15*B188*5))^2/2)+3*(((0.15*B188*5))^3/6)+4*(((0.15*B188*5))^4/24)+5*(((0.15*B188*5))^5/120))/((((0.15*B188*5))^0/1)+(((0.15*B188*5))^1/1)+(((0.15*B188*5))^2/2)+(((0.15*B188*5))^3/6)+(((0.15*B188*5))^4/24)+(((0.15*B188*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7">
      <c r="A167">
        <f>Skills!A10</f>
        <v/>
      </c>
      <c r="B167">
        <f>Skills!B10</f>
        <v/>
      </c>
      <c r="C167">
        <f>Inputs!$B$3&gt;=110</f>
        <v/>
      </c>
      <c r="D167">
        <f>IF(Skills!C10=1,60+Inputs!$B$26+Inputs!$B$30,IF(Skills!C10=2,90+Inputs!$B$27+Inputs!$B$30,IF(Skills!C10=3,120+Inputs!$B$28+Inputs!$B$30,MAX(0,(Inputs!$B$3-100)*3)+Inputs!$B$29+Inputs!$B$30)))</f>
        <v/>
      </c>
      <c r="E167">
        <f>INDEX(FactorTable!$B$2:$Y$301, MATCH(ROUND(MIN(300,MAX(1,D167)),0), FactorTable!$A$2:$A$301,0), Skills!M10+1)</f>
        <v/>
      </c>
      <c r="F167">
        <f>IF(Skills!N10=TRUE,(Skills!L10/10)*(E167/1000),Skills!L10/10)+Skills!O10</f>
        <v/>
      </c>
      <c r="G167">
        <f>Skills!G10*IF(Skills!H10&gt;0,INT(IF(Inputs!$B$39="pvp",MIN(Skills!I10,15),Skills!I10)/Skills!H10+0.000000001),1)</f>
        <v/>
      </c>
      <c r="H167">
        <f>1-(1-Skills!J10/100)^Skills!K10</f>
        <v/>
      </c>
      <c r="I167" t="inlineStr">
        <is>
          <t>1</t>
        </is>
      </c>
      <c r="J167">
        <f>((Inputs!$B$6*(1+Inputs!$B$7/100))+(((Inputs!$B$13*(1+Inputs!$B$14/100))-(Inputs!$B$13*(1+Inputs!$B$14/100)))+0.25*((Inputs!$B$15+1)-Inputs!$B$15))*(1+Inputs!$B$7/100))*(F167/100)</f>
        <v/>
      </c>
      <c r="K167">
        <f>J167*(1+(((Inputs!$B$13+IF(Inputs!$B$3&gt;=38,(10*INDEX(FactorTable!$B$2:$Y$301, MATCH(ROUND(MIN(300,MAX(1,Inputs!$B$3)),0), FactorTable!$A$2:$A$301,0), 23)/1000)/100*(Inputs!$B$8*(1+Inputs!$B$9/100)),0))*(1+Inputs!$B$14/100))*0.01+(Inputs!$B$15+1)*0.0025)/100)*(1+Inputs!$B$16/100)*(1+Inputs!$B$17/100)*(5000/(6000+Inputs!$B$43*(1-(Inputs!$B$20+0)/100)))*(1+(Inputs!$B$25+((C182=TRUE)*(F182-Calc!F25))+((C183=TRUE)*(F183-Calc!F26))+B192)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gt;=100),MIN(100,((Inputs!$B$10+0+B186+(ArtifactsInput!$M$24-ArtifactsInput!$M$24)*CHOOSE(ArtifactsInput!$N$24+1,10,12,14,16,18,20)+IF(ArtifactsInput!$M$10,CHOOSE(ArtifactsInput!$N$10+1,15,18,21,24,27,30)*(IF(Inputs!$B$39="pvp",MIN(15,15)/15,IF(AND(Inputs!$B$39&lt;&gt;"pvp",Inputs!$B$44&gt;0),MIN(15,Inputs!$B$44)/(Inputs!$B$44),0))),0)))-100),0))*CHOOSE(ArtifactsInput!$N$42+1,0.6,0.72,0.84,0.96,1.08,1.2))),Inputs!$B$19+((C180=TRUE)*(F180-Calc!F23))+(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gt;=100),CHOOSE(ArtifactsInput!$N$42+1,40,48,56,64,72,80),0))))/100)*((1+(((C170=TRUE)*F170*IF(AND(Inputs!$B$39&lt;&gt;"pvp",Inputs!$B$44&gt;0),(((R170-1)*MIN((Skills!T13*(1+Inputs!$B$35/100)),(1/Q170))+MIN((Skills!T13*(1+Inputs!$B$35/100)),MAX(0,Inputs!$B$44-((R170-1)*(1/Q170)))))/Inputs!$B$44),IF(Inputs!$B$39="pvp",MIN((Skills!T13*(1+Inputs!$B$35/100)),15)/15,MIN(1,(Skills!T13*(1+Inputs!$B$35/100))/(1/Q170)))))+((C171=TRUE)*F171*IF(AND(Inputs!$B$39&lt;&gt;"pvp",Inputs!$B$44&gt;0),(((R171-1)*MIN((Skills!T14*(1+Inputs!$B$35/100)),(1/Q171))+MIN((Skills!T14*(1+Inputs!$B$35/100)),MAX(0,Inputs!$B$44-((R171-1)*(1/Q171)))))/Inputs!$B$44),IF(Inputs!$B$39="pvp",MIN((Skills!T14*(1+Inputs!$B$35/100)),15)/15,MIN(1,(Skills!T14*(1+Inputs!$B$35/100))/(1/Q171)))))+((C172=TRUE)*F172*IF(AND(Inputs!$B$39&lt;&gt;"pvp",Inputs!$B$44&gt;0),(((R172-1)*MIN((Skills!T15*(1+Inputs!$B$35/100)),(1/Q172))+MIN((Skills!T15*(1+Inputs!$B$35/100)),MAX(0,Inputs!$B$44-((R172-1)*(1/Q172)))))/Inputs!$B$44),IF(Inputs!$B$39="pvp",MIN((Skills!T15*(1+Inputs!$B$35/100)),15)/15,MIN(1,(Skills!T15*(1+Inputs!$B$35/100))/(1/Q172)))))+((C173=TRUE)*F173*IF(AND(Inputs!$B$39&lt;&gt;"pvp",Inputs!$B$44&gt;0),(((R173-1)*MIN((Skills!T16*(1+Inputs!$B$35/100)),(1/Q173))+MIN((Skills!T16*(1+Inputs!$B$35/100)),MAX(0,Inputs!$B$44-((R173-1)*(1/Q173)))))/Inputs!$B$44),IF(Inputs!$B$39="pvp",MIN((Skills!T16*(1+Inputs!$B$35/100)),15)/15,MIN(1,(Skills!T16*(1+Inputs!$B$35/100))/(1/Q173)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167)</f>
        <v/>
      </c>
      <c r="L167">
        <f>K167*(MIN(Inputs!$B$23+((C179=TRUE)*(F179-Calc!F22)),(Inputs!$B$24+((C181=TRUE)*(F181-Calc!F24))+(IF(ArtifactsInput!$M$15,CHOOSE(ArtifactsInput!$N$15+1,25,30,35,40,45,50)/100*(Inputs!$B$12-Inputs!$B$12),0))))/100+(Inputs!$B$24+((C181=TRUE)*(F181-Calc!F24))+(IF(ArtifactsInput!$M$15,CHOOSE(ArtifactsInput!$N$15+1,25,30,35,40,45,50)/100*(Inputs!$B$12-Inputs!$B$12),0)))/100)/2</f>
        <v/>
      </c>
      <c r="M167">
        <f>L167*(1+(Inputs!$B$11+0+B191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67">
        <f>L167*(1-MIN((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167*(MIN((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7">
        <f>(1-Summary!$B$11)*T167+Summary!$B$11*V167</f>
        <v/>
      </c>
      <c r="P167">
        <f>IF(B196=0,0,O167/B196)</f>
        <v/>
      </c>
      <c r="Q167">
        <f>IFERROR(1/IF(Inputs!$B$39="pvp",15,MAX(0.1,Skills!D10-IF(TRUE=TRUE,Inputs!$B$33,0))),0)</f>
        <v/>
      </c>
      <c r="R167">
        <f>IF(AND(Inputs!$B$39&lt;&gt;"pvp",Inputs!$B$44&gt;0),IF(MAX(0,Inputs!$B$44-B193)&lt;=0,0,(INT(MAX(0,Inputs!$B$44-B193)/IF(Inputs!$B$39="pvp",15,MAX(0.1,Skills!D10-IF(TRUE=TRUE,Inputs!$B$33,0))))+1)),0)</f>
        <v/>
      </c>
      <c r="S167">
        <f>IFERROR(O167/N167,0)</f>
        <v/>
      </c>
      <c r="T167">
        <f>IF(C167,(H167*N167*IF(AND(Inputs!$B$39&lt;&gt;"pvp",Inputs!$B$44&gt;0),((Skills!G10*((R167-1)*IF(Skills!H10&gt;0,INT(Skills!I10/Skills!H10+0.000000001),1)+IF(Skills!H10&gt;0,INT(MIN(Skills!I10,MAX(0,MAX(0,Inputs!$B$44-B193)-((R167-1)*IF(Inputs!$B$39="pvp",15,MAX(0.1,Skills!D10-IF(TRUE=TRUE,Inputs!$B$33,0))))))/Skills!H10+0.000000001),1)))/Inputs!$B$44),G167*Q167))*IF(Inputs!$B$39="pvp",1,1+(Inputs!$B$21+0+Skills!P10+((C174=TRUE)*F174*IF(AND(Inputs!$B$39&lt;&gt;"pvp",Inputs!$B$44&gt;0),(((R174-1)*MIN((Skills!T17*(1+Inputs!$B$35/100)),(1/Q174))+MIN((Skills!T17*(1+Inputs!$B$35/100)),MAX(0,Inputs!$B$44-((R174-1)*(1/Q174)))))/Inputs!$B$44),IF(Inputs!$B$39="pvp",MIN((Skills!T17*(1+Inputs!$B$35/100)),15)/15,MIN(1,(Skills!T17*(1+Inputs!$B$35/100))/(1/Q174)))))+((C162=TRUE)*IF(Inputs!$B$3&gt;=126,10*MIN(1,15*Q162),0))+((C171=TRUE)*IF(Inputs!$B$39="pvp",20,(1-Summary!$B$11)*(20)+Summary!$B$11*(0))*IF(AND(Inputs!$B$39&lt;&gt;"pvp",Inputs!$B$44&gt;0),(((R171-1)*MIN((Skills!T14*(1+Inputs!$B$35/100)),(1/Q171))+MIN((Skills!T14*(1+Inputs!$B$35/100)),MAX(0,Inputs!$B$44-((R171-1)*(1/Q171)))))/Inputs!$B$44),IF(Inputs!$B$39="pvp",MIN((Skills!T14*(1+Inputs!$B$35/100)),15)/15,MIN(1,(Skills!T14*(1+Inputs!$B$35/100))/(1/Q171)))))+((C170=TRUE)*IF(Inputs!$B$3&gt;=82,IF(Inputs!$B$39="pvp",20,(1-Summary!$B$11)*(20)+Summary!$B$11*(0)),0)*IF(AND(Inputs!$B$39&lt;&gt;"pvp",Inputs!$B$44&gt;0),(((R170-1)*MIN((Skills!T13*(1+Inputs!$B$35/100)),(1/Q170))+MIN((Skills!T13*(1+Inputs!$B$35/100)),MAX(0,Inputs!$B$44-((R170-1)*(1/Q170)))))/Inputs!$B$44),IF(Inputs!$B$39="pvp",MIN((Skills!T13*(1+Inputs!$B$35/100)),15)/15,MIN(1,(Skills!T13*(1+Inputs!$B$35/100))/(1/Q170)))))+(IF(AND(ArtifactsInput!$M$35,Inputs!$B$4&lt;&gt;"Chapter Hunt"),CHOOSE(ArtifactsInput!$N$35+1,15,18,21,24,27,30)*(1-EXP(-(0.2*B188)*5)),0)+IF(AND(ArtifactsInput!$M$22,Inputs!$B$4&lt;&gt;"Chapter Hunt"),CHOOSE(ArtifactsInput!$N$22+1,10,12,14,16,18,20)*((0*(((0.15*B188*5))^0/1)+1*(((0.15*B188*5))^1/1)+2*(((0.15*B188*5))^2/2)+3*(((0.15*B188*5))^3/6)+4*(((0.15*B188*5))^4/24)+5*(((0.15*B188*5))^5/120))/((((0.15*B188*5))^0/1)+(((0.15*B188*5))^1/1)+(((0.15*B188*5))^2/2)+(((0.15*B188*5))^3/6)+(((0.15*B188*5))^4/24)+(((0.15*B188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167*(1-MIN(100,(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167*(MIN(100,(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167*(1-MIN(100,(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167*(MIN(100,(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7">
        <f>IF(C167,(H167*N167*IF(AND(Inputs!$B$39&lt;&gt;"pvp",Inputs!$B$44&gt;0),((Skills!G10*((R167-1)*IF(Skills!H10&gt;0,INT(Skills!I10/Skills!H10+0.000000001),1)+IF(Skills!H10&gt;0,INT(MIN(Skills!I10,MAX(0,MAX(0,Inputs!$B$44-B193)-((R167-1)*IF(Inputs!$B$39="pvp",15,MAX(0.1,Skills!D10-IF(TRUE=TRUE,Inputs!$B$33,0))))))/Skills!H10+0.000000001),1)))/Inputs!$B$44),G167*Q167))*IF(Inputs!$B$39="pvp",1,(1+(Inputs!$B$22+Skills!Q10+((C174=TRUE)*F174*IF(AND(Inputs!$B$39&lt;&gt;"pvp",Inputs!$B$44&gt;0),(((R174-1)*MIN((Skills!T17*(1+Inputs!$B$35/100)),(1/Q174))+MIN((Skills!T17*(1+Inputs!$B$35/100)),MAX(0,Inputs!$B$44-((R174-1)*(1/Q174)))))/Inputs!$B$44),IF(Inputs!$B$39="pvp",MIN((Skills!T17*(1+Inputs!$B$35/100)),15)/15,MIN(1,(Skills!T17*(1+Inputs!$B$35/100))/(1/Q174)))))+((C162=TRUE)*IF(Inputs!$B$3&gt;=126,10*MIN(1,15*Q162),0))+((C171=TRUE)*IF(Inputs!$B$39="pvp",20,(1-Summary!$B$11)*(20)+Summary!$B$11*(0))*IF(AND(Inputs!$B$39&lt;&gt;"pvp",Inputs!$B$44&gt;0),(((R171-1)*MIN((Skills!T14*(1+Inputs!$B$35/100)),(1/Q171))+MIN((Skills!T14*(1+Inputs!$B$35/100)),MAX(0,Inputs!$B$44-((R171-1)*(1/Q171)))))/Inputs!$B$44),IF(Inputs!$B$39="pvp",MIN((Skills!T14*(1+Inputs!$B$35/100)),15)/15,MIN(1,(Skills!T14*(1+Inputs!$B$35/100))/(1/Q171)))))+((C170=TRUE)*IF(Inputs!$B$3&gt;=82,IF(Inputs!$B$39="pvp",20,(1-Summary!$B$11)*(20)+Summary!$B$11*(0)),0)*IF(AND(Inputs!$B$39&lt;&gt;"pvp",Inputs!$B$44&gt;0),(((R170-1)*MIN((Skills!T13*(1+Inputs!$B$35/100)),(1/Q170))+MIN((Skills!T13*(1+Inputs!$B$35/100)),MAX(0,Inputs!$B$44-((R170-1)*(1/Q170)))))/Inputs!$B$44),IF(Inputs!$B$39="pvp",MIN((Skills!T13*(1+Inputs!$B$35/100)),15)/15,MIN(1,(Skills!T13*(1+Inputs!$B$35/100))/(1/Q170)))))+(IF(AND(ArtifactsInput!$M$35,Inputs!$B$4&lt;&gt;"Chapter Hunt"),CHOOSE(ArtifactsInput!$N$35+1,15,18,21,24,27,30)*(1-EXP(-(0.2*B188)*5)),0)+IF(AND(ArtifactsInput!$M$22,Inputs!$B$4&lt;&gt;"Chapter Hunt"),CHOOSE(ArtifactsInput!$N$22+1,10,12,14,16,18,20)*((0*(((0.15*B188*5))^0/1)+1*(((0.15*B188*5))^1/1)+2*(((0.15*B188*5))^2/2)+3*(((0.15*B188*5))^3/6)+4*(((0.15*B188*5))^4/24)+5*(((0.15*B188*5))^5/120))/((((0.15*B188*5))^0/1)+(((0.15*B188*5))^1/1)+(((0.15*B188*5))^2/2)+(((0.15*B188*5))^3/6)+(((0.15*B188*5))^4/24)+(((0.15*B188*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8">
      <c r="A168">
        <f>Skills!A11</f>
        <v/>
      </c>
      <c r="B168">
        <f>Skills!B11</f>
        <v/>
      </c>
      <c r="C168">
        <f>Inputs!$B$3&gt;=100</f>
        <v/>
      </c>
      <c r="D168">
        <f>IF(Skills!C11=1,60+Inputs!$B$26+Inputs!$B$30,IF(Skills!C11=2,90+Inputs!$B$27+Inputs!$B$30,IF(Skills!C11=3,120+Inputs!$B$28+Inputs!$B$30,MAX(0,(Inputs!$B$3-100)*3)+Inputs!$B$29+Inputs!$B$30)))</f>
        <v/>
      </c>
      <c r="E168">
        <f>INDEX(FactorTable!$B$2:$Y$301, MATCH(ROUND(MIN(300,MAX(1,D168)),0), FactorTable!$A$2:$A$301,0), Skills!M11+1)</f>
        <v/>
      </c>
      <c r="F168">
        <f>IF(Skills!N11=TRUE,(Skills!L11/10)*(E168/1000),Skills!L11/10)+Skills!O11</f>
        <v/>
      </c>
      <c r="G168" t="inlineStr"/>
      <c r="H168" t="inlineStr"/>
      <c r="I168" t="inlineStr">
        <is>
          <t>1</t>
        </is>
      </c>
      <c r="J168" t="inlineStr"/>
      <c r="K168" t="inlineStr"/>
      <c r="L168" t="inlineStr"/>
      <c r="M168" t="inlineStr"/>
      <c r="N168" t="inlineStr"/>
      <c r="O168" t="inlineStr"/>
      <c r="P168" t="inlineStr"/>
      <c r="Q168" t="inlineStr"/>
      <c r="R168" t="inlineStr"/>
      <c r="S168" t="inlineStr"/>
    </row>
    <row r="169">
      <c r="A169">
        <f>Skills!A12</f>
        <v/>
      </c>
      <c r="B169">
        <f>Skills!B12</f>
        <v/>
      </c>
      <c r="C169">
        <f>Inputs!$B$3&gt;=63</f>
        <v/>
      </c>
      <c r="D169">
        <f>IF(Skills!C12=1,60+Inputs!$B$26+Inputs!$B$30,IF(Skills!C12=2,90+Inputs!$B$27+Inputs!$B$30,IF(Skills!C12=3,120+Inputs!$B$28+Inputs!$B$30,MAX(0,(Inputs!$B$3-100)*3)+Inputs!$B$29+Inputs!$B$30)))</f>
        <v/>
      </c>
      <c r="E169">
        <f>INDEX(FactorTable!$B$2:$Y$301, MATCH(ROUND(MIN(300,MAX(1,D169)),0), FactorTable!$A$2:$A$301,0), Skills!M12+1)</f>
        <v/>
      </c>
      <c r="F169">
        <f>IF(Skills!N12=TRUE,(Skills!L12/10)*(E169/1000),Skills!L12/10)+Skills!O12</f>
        <v/>
      </c>
      <c r="G169">
        <f>Skills!G12*IF(Skills!H12&gt;0,INT(IF(Inputs!$B$39="pvp",MIN(Skills!I12,15),Skills!I12)/Skills!H12+0.000000001),1)</f>
        <v/>
      </c>
      <c r="H169">
        <f>1-(1-Skills!J12/100)^Skills!K12</f>
        <v/>
      </c>
      <c r="I169" t="inlineStr">
        <is>
          <t>1</t>
        </is>
      </c>
      <c r="J169">
        <f>((Inputs!$B$6*(1+Inputs!$B$7/100))+(((Inputs!$B$13*(1+Inputs!$B$14/100))-(Inputs!$B$13*(1+Inputs!$B$14/100)))+0.25*((Inputs!$B$15+1)-Inputs!$B$15))*(1+Inputs!$B$7/100))*(F169/100)</f>
        <v/>
      </c>
      <c r="K169">
        <f>J169*(1+(((Inputs!$B$13+IF(Inputs!$B$3&gt;=38,(10*INDEX(FactorTable!$B$2:$Y$301, MATCH(ROUND(MIN(300,MAX(1,Inputs!$B$3)),0), FactorTable!$A$2:$A$301,0), 23)/1000)/100*(Inputs!$B$8*(1+Inputs!$B$9/100)),0))*(1+Inputs!$B$14/100))*0.01+(Inputs!$B$15+1)*0.0025)/100)*(1+Inputs!$B$16/100)*(1+Inputs!$B$17/100)*(5000/(6000+Inputs!$B$43*(1-(Inputs!$B$20+0)/100)))*(1+(Inputs!$B$25+((C182=TRUE)*(F182-Calc!F25))+((C183=TRUE)*(F183-Calc!F26))+B192)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168=TRUE,F168,0)/100)*(1+(IF(Skills!A12="DARK_IMPALE",Inputs!$B$18+0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gt;=100),MIN(100,((Inputs!$B$10+0+B186+(ArtifactsInput!$M$24-ArtifactsInput!$M$24)*CHOOSE(ArtifactsInput!$N$24+1,10,12,14,16,18,20)+IF(ArtifactsInput!$M$10,CHOOSE(ArtifactsInput!$N$10+1,15,18,21,24,27,30)*(IF(Inputs!$B$39="pvp",MIN(15,15)/15,IF(AND(Inputs!$B$39&lt;&gt;"pvp",Inputs!$B$44&gt;0),MIN(15,Inputs!$B$44)/(Inputs!$B$44),0))),0)))-100),0))*CHOOSE(ArtifactsInput!$N$42+1,0.6,0.72,0.84,0.96,1.08,1.2))),Inputs!$B$19+((C180=TRUE)*(F180-Calc!F23))+(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gt;=100),CHOOSE(ArtifactsInput!$N$42+1,40,48,56,64,72,80),0))))/100)*((1+(((C170=TRUE)*F170*IF(AND(Inputs!$B$39&lt;&gt;"pvp",Inputs!$B$44&gt;0),(((R170-1)*MIN((Skills!T13*(1+Inputs!$B$35/100)),(1/Q170))+MIN((Skills!T13*(1+Inputs!$B$35/100)),MAX(0,Inputs!$B$44-((R170-1)*(1/Q170)))))/Inputs!$B$44),IF(Inputs!$B$39="pvp",MIN((Skills!T13*(1+Inputs!$B$35/100)),15)/15,MIN(1,(Skills!T13*(1+Inputs!$B$35/100))/(1/Q170)))))+((C171=TRUE)*F171*IF(AND(Inputs!$B$39&lt;&gt;"pvp",Inputs!$B$44&gt;0),(((R171-1)*MIN((Skills!T14*(1+Inputs!$B$35/100)),(1/Q171))+MIN((Skills!T14*(1+Inputs!$B$35/100)),MAX(0,Inputs!$B$44-((R171-1)*(1/Q171)))))/Inputs!$B$44),IF(Inputs!$B$39="pvp",MIN((Skills!T14*(1+Inputs!$B$35/100)),15)/15,MIN(1,(Skills!T14*(1+Inputs!$B$35/100))/(1/Q171)))))+((C172=TRUE)*F172*IF(AND(Inputs!$B$39&lt;&gt;"pvp",Inputs!$B$44&gt;0),(((R172-1)*MIN((Skills!T15*(1+Inputs!$B$35/100)),(1/Q172))+MIN((Skills!T15*(1+Inputs!$B$35/100)),MAX(0,Inputs!$B$44-((R172-1)*(1/Q172)))))/Inputs!$B$44),IF(Inputs!$B$39="pvp",MIN((Skills!T15*(1+Inputs!$B$35/100)),15)/15,MIN(1,(Skills!T15*(1+Inputs!$B$35/100))/(1/Q172)))))+((C173=TRUE)*F173*IF(AND(Inputs!$B$39&lt;&gt;"pvp",Inputs!$B$44&gt;0),(((R173-1)*MIN((Skills!T16*(1+Inputs!$B$35/100)),(1/Q173))+MIN((Skills!T16*(1+Inputs!$B$35/100)),MAX(0,Inputs!$B$44-((R173-1)*(1/Q173)))))/Inputs!$B$44),IF(Inputs!$B$39="pvp",MIN((Skills!T16*(1+Inputs!$B$35/100)),15)/15,MIN(1,(Skills!T16*(1+Inputs!$B$35/100))/(1/Q173)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169)</f>
        <v/>
      </c>
      <c r="L169">
        <f>K169*(MIN(Inputs!$B$23+((C179=TRUE)*(F179-Calc!F22)),(Inputs!$B$24+((C181=TRUE)*(F181-Calc!F24))+(IF(ArtifactsInput!$M$15,CHOOSE(ArtifactsInput!$N$15+1,25,30,35,40,45,50)/100*(Inputs!$B$12-Inputs!$B$12),0))))/100+(Inputs!$B$24+((C181=TRUE)*(F181-Calc!F24))+(IF(ArtifactsInput!$M$15,CHOOSE(ArtifactsInput!$N$15+1,25,30,35,40,45,50)/100*(Inputs!$B$12-Inputs!$B$12),0)))/100)/2</f>
        <v/>
      </c>
      <c r="M169">
        <f>L169*(1+(Inputs!$B$11+0+B191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69">
        <f>L169*(1-MIN((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169*(MIN((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9">
        <f>(1-Summary!$B$11)*T169+Summary!$B$11*V169</f>
        <v/>
      </c>
      <c r="P169">
        <f>IF(B196=0,0,O169/B196)</f>
        <v/>
      </c>
      <c r="Q169">
        <f>IFERROR(1/IF(Inputs!$B$39="pvp",15,MAX(0.1,Skills!D12-IF(TRUE=TRUE,Inputs!$B$33,0))),0)</f>
        <v/>
      </c>
      <c r="R169">
        <f>IF(AND(Inputs!$B$39&lt;&gt;"pvp",Inputs!$B$44&gt;0),IF(MAX(0,Inputs!$B$44-B193)&lt;=0,0,(INT(MAX(0,Inputs!$B$44-B193)/IF(Inputs!$B$39="pvp",15,MAX(0.1,Skills!D12-IF(TRUE=TRUE,Inputs!$B$33,0))))+1)),0)</f>
        <v/>
      </c>
      <c r="S169">
        <f>IFERROR(O169/N169,0)</f>
        <v/>
      </c>
      <c r="T169">
        <f>IF(C169,(H169*N169*IF(AND(Inputs!$B$39&lt;&gt;"pvp",Inputs!$B$44&gt;0),((Skills!G12*((R169-1)*IF(Skills!H12&gt;0,INT(Skills!I12/Skills!H12+0.000000001),1)+IF(Skills!H12&gt;0,INT(MIN(Skills!I12,MAX(0,MAX(0,Inputs!$B$44-B193)-((R169-1)*IF(Inputs!$B$39="pvp",15,MAX(0.1,Skills!D12-IF(TRUE=TRUE,Inputs!$B$33,0))))))/Skills!H12+0.000000001),1)))/Inputs!$B$44),G169*Q169))*IF(Inputs!$B$39="pvp",1,1+(Inputs!$B$21+0+Skills!P12+((C174=TRUE)*F174*IF(AND(Inputs!$B$39&lt;&gt;"pvp",Inputs!$B$44&gt;0),(((R174-1)*MIN((Skills!T17*(1+Inputs!$B$35/100)),(1/Q174))+MIN((Skills!T17*(1+Inputs!$B$35/100)),MAX(0,Inputs!$B$44-((R174-1)*(1/Q174)))))/Inputs!$B$44),IF(Inputs!$B$39="pvp",MIN((Skills!T17*(1+Inputs!$B$35/100)),15)/15,MIN(1,(Skills!T17*(1+Inputs!$B$35/100))/(1/Q174)))))+((C162=TRUE)*IF(Inputs!$B$3&gt;=126,10*MIN(1,15*Q162),0))+((C171=TRUE)*IF(Inputs!$B$39="pvp",20,(1-Summary!$B$11)*(20)+Summary!$B$11*(0))*IF(AND(Inputs!$B$39&lt;&gt;"pvp",Inputs!$B$44&gt;0),(((R171-1)*MIN((Skills!T14*(1+Inputs!$B$35/100)),(1/Q171))+MIN((Skills!T14*(1+Inputs!$B$35/100)),MAX(0,Inputs!$B$44-((R171-1)*(1/Q171)))))/Inputs!$B$44),IF(Inputs!$B$39="pvp",MIN((Skills!T14*(1+Inputs!$B$35/100)),15)/15,MIN(1,(Skills!T14*(1+Inputs!$B$35/100))/(1/Q171)))))+((C170=TRUE)*IF(Inputs!$B$3&gt;=82,IF(Inputs!$B$39="pvp",20,(1-Summary!$B$11)*(20)+Summary!$B$11*(0)),0)*IF(AND(Inputs!$B$39&lt;&gt;"pvp",Inputs!$B$44&gt;0),(((R170-1)*MIN((Skills!T13*(1+Inputs!$B$35/100)),(1/Q170))+MIN((Skills!T13*(1+Inputs!$B$35/100)),MAX(0,Inputs!$B$44-((R170-1)*(1/Q170)))))/Inputs!$B$44),IF(Inputs!$B$39="pvp",MIN((Skills!T13*(1+Inputs!$B$35/100)),15)/15,MIN(1,(Skills!T13*(1+Inputs!$B$35/100))/(1/Q170)))))+(IF(AND(ArtifactsInput!$M$35,Inputs!$B$4&lt;&gt;"Chapter Hunt"),CHOOSE(ArtifactsInput!$N$35+1,15,18,21,24,27,30)*(1-EXP(-(0.2*B188)*5)),0)+IF(AND(ArtifactsInput!$M$22,Inputs!$B$4&lt;&gt;"Chapter Hunt"),CHOOSE(ArtifactsInput!$N$22+1,10,12,14,16,18,20)*((0*(((0.15*B188*5))^0/1)+1*(((0.15*B188*5))^1/1)+2*(((0.15*B188*5))^2/2)+3*(((0.15*B188*5))^3/6)+4*(((0.15*B188*5))^4/24)+5*(((0.15*B188*5))^5/120))/((((0.15*B188*5))^0/1)+(((0.15*B188*5))^1/1)+(((0.15*B188*5))^2/2)+(((0.15*B188*5))^3/6)+(((0.15*B188*5))^4/24)+(((0.15*B188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169*(1-MIN(100,(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169*(MIN(100,(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169*(1-MIN(100,(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169*(MIN(100,(Inputs!$B$10+0+B186+(ArtifactsInput!$M$24-ArtifactsInput!$M$24)*CHOOSE(ArtifactsInput!$N$24+1,10,12,14,16,18,20)+(IF(AND(Inputs!$B$39&lt;&gt;"pvp",Inputs!$B$44=0),1,IF(IF(Inputs!$B$39="pvp",15,Inputs!$B$44)-(B193)&lt;=0,1,MAX(0,IF(Inputs!$B$39="pvp",15,Inputs!$B$44)-MAX(5,B193))/(IF(Inputs!$B$39="pvp",15,Inputs!$B$44)-(B193))))*IF(AND(ArtifactsInput!$M$42,((Inputs!$B$10+0+B186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9">
        <f>IF(C169,(H169*N169*IF(AND(Inputs!$B$39&lt;&gt;"pvp",Inputs!$B$44&gt;0),((Skills!G12*((R169-1)*IF(Skills!H12&gt;0,INT(Skills!I12/Skills!H12+0.000000001),1)+IF(Skills!H12&gt;0,INT(MIN(Skills!I12,MAX(0,MAX(0,Inputs!$B$44-B193)-((R169-1)*IF(Inputs!$B$39="pvp",15,MAX(0.1,Skills!D12-IF(TRUE=TRUE,Inputs!$B$33,0))))))/Skills!H12+0.000000001),1)))/Inputs!$B$44),G169*Q169))*IF(Inputs!$B$39="pvp",1,(1+(Inputs!$B$22+Skills!Q12+((C174=TRUE)*F174*IF(AND(Inputs!$B$39&lt;&gt;"pvp",Inputs!$B$44&gt;0),(((R174-1)*MIN((Skills!T17*(1+Inputs!$B$35/100)),(1/Q174))+MIN((Skills!T17*(1+Inputs!$B$35/100)),MAX(0,Inputs!$B$44-((R174-1)*(1/Q174)))))/Inputs!$B$44),IF(Inputs!$B$39="pvp",MIN((Skills!T17*(1+Inputs!$B$35/100)),15)/15,MIN(1,(Skills!T17*(1+Inputs!$B$35/100))/(1/Q174)))))+((C162=TRUE)*IF(Inputs!$B$3&gt;=126,10*MIN(1,15*Q162),0))+((C171=TRUE)*IF(Inputs!$B$39="pvp",20,(1-Summary!$B$11)*(20)+Summary!$B$11*(0))*IF(AND(Inputs!$B$39&lt;&gt;"pvp",Inputs!$B$44&gt;0),(((R171-1)*MIN((Skills!T14*(1+Inputs!$B$35/100)),(1/Q171))+MIN((Skills!T14*(1+Inputs!$B$35/100)),MAX(0,Inputs!$B$44-((R171-1)*(1/Q171)))))/Inputs!$B$44),IF(Inputs!$B$39="pvp",MIN((Skills!T14*(1+Inputs!$B$35/100)),15)/15,MIN(1,(Skills!T14*(1+Inputs!$B$35/100))/(1/Q171)))))+((C170=TRUE)*IF(Inputs!$B$3&gt;=82,IF(Inputs!$B$39="pvp",20,(1-Summary!$B$11)*(20)+Summary!$B$11*(0)),0)*IF(AND(Inputs!$B$39&lt;&gt;"pvp",Inputs!$B$44&gt;0),(((R170-1)*MIN((Skills!T13*(1+Inputs!$B$35/100)),(1/Q170))+MIN((Skills!T13*(1+Inputs!$B$35/100)),MAX(0,Inputs!$B$44-((R170-1)*(1/Q170)))))/Inputs!$B$44),IF(Inputs!$B$39="pvp",MIN((Skills!T13*(1+Inputs!$B$35/100)),15)/15,MIN(1,(Skills!T13*(1+Inputs!$B$35/100))/(1/Q170)))))+(IF(AND(ArtifactsInput!$M$35,Inputs!$B$4&lt;&gt;"Chapter Hunt"),CHOOSE(ArtifactsInput!$N$35+1,15,18,21,24,27,30)*(1-EXP(-(0.2*B188)*5)),0)+IF(AND(ArtifactsInput!$M$22,Inputs!$B$4&lt;&gt;"Chapter Hunt"),CHOOSE(ArtifactsInput!$N$22+1,10,12,14,16,18,20)*((0*(((0.15*B188*5))^0/1)+1*(((0.15*B188*5))^1/1)+2*(((0.15*B188*5))^2/2)+3*(((0.15*B188*5))^3/6)+4*(((0.15*B188*5))^4/24)+5*(((0.15*B188*5))^5/120))/((((0.15*B188*5))^0/1)+(((0.15*B188*5))^1/1)+(((0.15*B188*5))^2/2)+(((0.15*B188*5))^3/6)+(((0.15*B188*5))^4/24)+(((0.15*B188*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0">
      <c r="A170">
        <f>Skills!A13</f>
        <v/>
      </c>
      <c r="B170">
        <f>Skills!B13</f>
        <v/>
      </c>
      <c r="C170">
        <f>Inputs!$B$3&gt;=69</f>
        <v/>
      </c>
      <c r="D170">
        <f>IF(Skills!C13=1,60+Inputs!$B$26+Inputs!$B$30,IF(Skills!C13=2,90+Inputs!$B$27+Inputs!$B$30,IF(Skills!C13=3,120+Inputs!$B$28+Inputs!$B$30,MAX(0,(Inputs!$B$3-100)*3)+Inputs!$B$29+Inputs!$B$30)))</f>
        <v/>
      </c>
      <c r="E170">
        <f>INDEX(FactorTable!$B$2:$Y$301, MATCH(ROUND(MIN(300,MAX(1,D170)),0), FactorTable!$A$2:$A$301,0), Skills!M13+1)</f>
        <v/>
      </c>
      <c r="F170">
        <f>IF(Skills!N13=TRUE,(Skills!L13/10)*(E170/1000),Skills!L13/10)+Skills!O13</f>
        <v/>
      </c>
      <c r="G170">
        <f>Skills!G13*IF(Skills!H13&gt;0,INT(IF(Inputs!$B$39="pvp",MIN(Skills!I13,15),Skills!I13)/Skills!H13+0.000000001),1)</f>
        <v/>
      </c>
      <c r="H170">
        <f>1-(1-Skills!J13/100)^Skills!K13</f>
        <v/>
      </c>
      <c r="I170" t="inlineStr">
        <is>
          <t>1</t>
        </is>
      </c>
      <c r="J170" t="inlineStr"/>
      <c r="K170" t="inlineStr"/>
      <c r="L170" t="inlineStr"/>
      <c r="M170" t="inlineStr"/>
      <c r="N170" t="inlineStr"/>
      <c r="O170">
        <f>(1-Summary!$B$11)*T170+Summary!$B$11*V170</f>
        <v/>
      </c>
      <c r="P170">
        <f>IF(B196=0,0,O170/B196)</f>
        <v/>
      </c>
      <c r="Q170">
        <f>IFERROR(1/IF(Inputs!$B$39="pvp",15,MAX(0.1,Skills!D13-IF(TRUE=TRUE,Inputs!$B$33,0))),0)</f>
        <v/>
      </c>
      <c r="R170">
        <f>IF(AND(Inputs!$B$39&lt;&gt;"pvp",Inputs!$B$44&gt;0),IF(Inputs!$B$44&lt;=0,0,(INT(Inputs!$B$44/IF(Inputs!$B$39="pvp",15,MAX(0.1,Skills!D13-IF(TRUE=TRUE,Inputs!$B$33,0))))+1)),0)</f>
        <v/>
      </c>
      <c r="S170">
        <f>IFERROR(O170/N170,0)</f>
        <v/>
      </c>
      <c r="T170" t="n">
        <v>0</v>
      </c>
      <c r="V170" t="n">
        <v>0</v>
      </c>
    </row>
    <row r="171">
      <c r="A171">
        <f>Skills!A14</f>
        <v/>
      </c>
      <c r="B171">
        <f>Skills!B14</f>
        <v/>
      </c>
      <c r="C171">
        <f>Inputs!$B$3&gt;=115</f>
        <v/>
      </c>
      <c r="D171">
        <f>IF(Skills!C14=1,60+Inputs!$B$26+Inputs!$B$30,IF(Skills!C14=2,90+Inputs!$B$27+Inputs!$B$30,IF(Skills!C14=3,120+Inputs!$B$28+Inputs!$B$30,MAX(0,(Inputs!$B$3-100)*3)+Inputs!$B$29+Inputs!$B$30)))</f>
        <v/>
      </c>
      <c r="E171">
        <f>INDEX(FactorTable!$B$2:$Y$301, MATCH(ROUND(MIN(300,MAX(1,D171)),0), FactorTable!$A$2:$A$301,0), Skills!M14+1)</f>
        <v/>
      </c>
      <c r="F171">
        <f>IF(Skills!N14=TRUE,(Skills!L14/10)*(E171/1000),Skills!L14/10)+Skills!O14</f>
        <v/>
      </c>
      <c r="G171">
        <f>Skills!G14*IF(Skills!H14&gt;0,INT(IF(Inputs!$B$39="pvp",MIN(Skills!I14,15),Skills!I14)/Skills!H14+0.000000001),1)</f>
        <v/>
      </c>
      <c r="H171">
        <f>1-(1-Skills!J14/100)^Skills!K14</f>
        <v/>
      </c>
      <c r="I171" t="inlineStr">
        <is>
          <t>1</t>
        </is>
      </c>
      <c r="J171" t="inlineStr"/>
      <c r="K171" t="inlineStr"/>
      <c r="L171" t="inlineStr"/>
      <c r="M171" t="inlineStr"/>
      <c r="N171" t="inlineStr"/>
      <c r="O171">
        <f>(1-Summary!$B$11)*T171+Summary!$B$11*V171</f>
        <v/>
      </c>
      <c r="P171">
        <f>IF(B196=0,0,O171/B196)</f>
        <v/>
      </c>
      <c r="Q171">
        <f>IFERROR(1/IF(Inputs!$B$39="pvp",15,MAX(0.1,Skills!D14-IF(TRUE=TRUE,Inputs!$B$33,0))),0)</f>
        <v/>
      </c>
      <c r="R171">
        <f>IF(AND(Inputs!$B$39&lt;&gt;"pvp",Inputs!$B$44&gt;0),IF(Inputs!$B$44&lt;=0,0,(INT(Inputs!$B$44/IF(Inputs!$B$39="pvp",15,MAX(0.1,Skills!D14-IF(TRUE=TRUE,Inputs!$B$33,0))))+1)),0)</f>
        <v/>
      </c>
      <c r="S171">
        <f>IFERROR(O171/N171,0)</f>
        <v/>
      </c>
      <c r="T171" t="n">
        <v>0</v>
      </c>
      <c r="V171" t="n">
        <v>0</v>
      </c>
    </row>
    <row r="172">
      <c r="A172">
        <f>Skills!A15</f>
        <v/>
      </c>
      <c r="B172">
        <f>Skills!B15</f>
        <v/>
      </c>
      <c r="C172">
        <f>Inputs!$B$3&gt;=66</f>
        <v/>
      </c>
      <c r="D172">
        <f>IF(Skills!C15=1,60+Inputs!$B$26+Inputs!$B$30,IF(Skills!C15=2,90+Inputs!$B$27+Inputs!$B$30,IF(Skills!C15=3,120+Inputs!$B$28+Inputs!$B$30,MAX(0,(Inputs!$B$3-100)*3)+Inputs!$B$29+Inputs!$B$30)))</f>
        <v/>
      </c>
      <c r="E172">
        <f>INDEX(FactorTable!$B$2:$Y$301, MATCH(ROUND(MIN(300,MAX(1,D172)),0), FactorTable!$A$2:$A$301,0), Skills!M15+1)</f>
        <v/>
      </c>
      <c r="F172">
        <f>IF(Skills!N15=TRUE,(Skills!L15/10)*(E172/1000),Skills!L15/10)+Skills!O15</f>
        <v/>
      </c>
      <c r="G172">
        <f>Skills!G15*IF(Skills!H15&gt;0,INT(IF(Inputs!$B$39="pvp",MIN(Skills!I15,15),Skills!I15)/Skills!H15+0.000000001),1)</f>
        <v/>
      </c>
      <c r="H172">
        <f>1-(1-Skills!J15/100)^Skills!K15</f>
        <v/>
      </c>
      <c r="I172" t="inlineStr">
        <is>
          <t>1</t>
        </is>
      </c>
      <c r="J172" t="inlineStr"/>
      <c r="K172" t="inlineStr"/>
      <c r="L172" t="inlineStr"/>
      <c r="M172" t="inlineStr"/>
      <c r="N172" t="inlineStr"/>
      <c r="O172">
        <f>(1-Summary!$B$11)*T172+Summary!$B$11*V172</f>
        <v/>
      </c>
      <c r="P172">
        <f>IF(B196=0,0,O172/B196)</f>
        <v/>
      </c>
      <c r="Q172">
        <f>IFERROR(1/IF(Inputs!$B$39="pvp",15,MAX(0.1,Skills!D15-IF(TRUE=TRUE,Inputs!$B$33,0))),0)</f>
        <v/>
      </c>
      <c r="R172">
        <f>IF(AND(Inputs!$B$39&lt;&gt;"pvp",Inputs!$B$44&gt;0),IF(Inputs!$B$44&lt;=0,0,(INT(Inputs!$B$44/IF(Inputs!$B$39="pvp",15,MAX(0.1,Skills!D15-IF(TRUE=TRUE,Inputs!$B$33,0))))+1)),0)</f>
        <v/>
      </c>
      <c r="S172">
        <f>IFERROR(O172/N172,0)</f>
        <v/>
      </c>
      <c r="T172" t="n">
        <v>0</v>
      </c>
      <c r="V172" t="n">
        <v>0</v>
      </c>
    </row>
    <row r="173">
      <c r="A173">
        <f>Skills!A16</f>
        <v/>
      </c>
      <c r="B173">
        <f>Skills!B16</f>
        <v/>
      </c>
      <c r="C173">
        <f>Inputs!$B$3&gt;=45</f>
        <v/>
      </c>
      <c r="D173">
        <f>IF(Skills!C16=1,60+Inputs!$B$26+Inputs!$B$30,IF(Skills!C16=2,90+Inputs!$B$27+Inputs!$B$30,IF(Skills!C16=3,120+Inputs!$B$28+Inputs!$B$30,MAX(0,(Inputs!$B$3-100)*3)+Inputs!$B$29+Inputs!$B$30)))</f>
        <v/>
      </c>
      <c r="E173">
        <f>INDEX(FactorTable!$B$2:$Y$301, MATCH(ROUND(MIN(300,MAX(1,D173)),0), FactorTable!$A$2:$A$301,0), Skills!M16+1)</f>
        <v/>
      </c>
      <c r="F173">
        <f>IF(Skills!N16=TRUE,(Skills!L16/10)*(E173/1000),Skills!L16/10)+Skills!O16</f>
        <v/>
      </c>
      <c r="G173">
        <f>Skills!G16*IF(Skills!H16&gt;0,INT(IF(Inputs!$B$39="pvp",MIN(Skills!I16,15),Skills!I16)/Skills!H16+0.000000001),1)</f>
        <v/>
      </c>
      <c r="H173">
        <f>1-(1-Skills!J16/100)^Skills!K16</f>
        <v/>
      </c>
      <c r="I173" t="inlineStr">
        <is>
          <t>1</t>
        </is>
      </c>
      <c r="J173" t="inlineStr"/>
      <c r="K173" t="inlineStr"/>
      <c r="L173" t="inlineStr"/>
      <c r="M173" t="inlineStr"/>
      <c r="N173" t="inlineStr"/>
      <c r="O173">
        <f>(1-Summary!$B$11)*T173+Summary!$B$11*V173</f>
        <v/>
      </c>
      <c r="P173">
        <f>IF(B196=0,0,O173/B196)</f>
        <v/>
      </c>
      <c r="Q173">
        <f>IFERROR(1/IF(Inputs!$B$39="pvp",15,MAX(0.1,Skills!D16-IF(TRUE=TRUE,Inputs!$B$33,0))),0)</f>
        <v/>
      </c>
      <c r="R173">
        <f>IF(AND(Inputs!$B$39&lt;&gt;"pvp",Inputs!$B$44&gt;0),IF(Inputs!$B$44&lt;=0,0,(INT(Inputs!$B$44/IF(Inputs!$B$39="pvp",15,MAX(0.1,Skills!D16-IF(TRUE=TRUE,Inputs!$B$33,0))))+1)),0)</f>
        <v/>
      </c>
      <c r="S173">
        <f>IFERROR(O173/N173,0)</f>
        <v/>
      </c>
      <c r="T173" t="n">
        <v>0</v>
      </c>
      <c r="V173" t="n">
        <v>0</v>
      </c>
    </row>
    <row r="174">
      <c r="A174">
        <f>Skills!A17</f>
        <v/>
      </c>
      <c r="B174">
        <f>Skills!B17</f>
        <v/>
      </c>
      <c r="C174">
        <f>Inputs!$B$3&gt;=35</f>
        <v/>
      </c>
      <c r="D174">
        <f>IF(Skills!C17=1,60+Inputs!$B$26+Inputs!$B$30,IF(Skills!C17=2,90+Inputs!$B$27+Inputs!$B$30,IF(Skills!C17=3,120+Inputs!$B$28+Inputs!$B$30,MAX(0,(Inputs!$B$3-100)*3)+Inputs!$B$29+Inputs!$B$30)))</f>
        <v/>
      </c>
      <c r="E174">
        <f>INDEX(FactorTable!$B$2:$Y$301, MATCH(ROUND(MIN(300,MAX(1,D174)),0), FactorTable!$A$2:$A$301,0), Skills!M17+1)</f>
        <v/>
      </c>
      <c r="F174">
        <f>IF(Skills!N17=TRUE,(Skills!L17/10)*(E174/1000),Skills!L17/10)+Skills!O17</f>
        <v/>
      </c>
      <c r="G174">
        <f>Skills!G17*IF(Skills!H17&gt;0,INT(IF(Inputs!$B$39="pvp",MIN(Skills!I17,15),Skills!I17)/Skills!H17+0.000000001),1)</f>
        <v/>
      </c>
      <c r="H174">
        <f>1-(1-Skills!J17/100)^Skills!K17</f>
        <v/>
      </c>
      <c r="I174" t="inlineStr">
        <is>
          <t>1</t>
        </is>
      </c>
      <c r="J174" t="inlineStr"/>
      <c r="K174" t="inlineStr"/>
      <c r="L174" t="inlineStr"/>
      <c r="M174" t="inlineStr"/>
      <c r="N174" t="inlineStr"/>
      <c r="O174">
        <f>(1-Summary!$B$11)*T174+Summary!$B$11*V174</f>
        <v/>
      </c>
      <c r="P174">
        <f>IF(B196=0,0,O174/B196)</f>
        <v/>
      </c>
      <c r="Q174">
        <f>IFERROR(1/IF(Inputs!$B$39="pvp",15,MAX(0.1,Skills!D17-IF(TRUE=TRUE,Inputs!$B$33,0))),0)</f>
        <v/>
      </c>
      <c r="R174">
        <f>IF(AND(Inputs!$B$39&lt;&gt;"pvp",Inputs!$B$44&gt;0),IF(Inputs!$B$44&lt;=0,0,(INT(Inputs!$B$44/IF(Inputs!$B$39="pvp",15,MAX(0.1,Skills!D17-IF(TRUE=TRUE,Inputs!$B$33,0))))+1)),0)</f>
        <v/>
      </c>
      <c r="S174">
        <f>IFERROR(O174/N174,0)</f>
        <v/>
      </c>
      <c r="T174" t="n">
        <v>0</v>
      </c>
      <c r="V174" t="n">
        <v>0</v>
      </c>
    </row>
    <row r="175">
      <c r="A175">
        <f>Skills!A18</f>
        <v/>
      </c>
      <c r="B175">
        <f>Skills!B18</f>
        <v/>
      </c>
      <c r="C175">
        <f>Inputs!$B$3&gt;=72</f>
        <v/>
      </c>
      <c r="D175">
        <f>IF(Skills!C18=1,60+Inputs!$B$26+Inputs!$B$30,IF(Skills!C18=2,90+Inputs!$B$27+Inputs!$B$30,IF(Skills!C18=3,120+Inputs!$B$28+Inputs!$B$30,MAX(0,(Inputs!$B$3-100)*3)+Inputs!$B$29+Inputs!$B$30)))</f>
        <v/>
      </c>
      <c r="E175">
        <f>INDEX(FactorTable!$B$2:$Y$301, MATCH(ROUND(MIN(300,MAX(1,D175)),0), FactorTable!$A$2:$A$301,0), Skills!M18+1)</f>
        <v/>
      </c>
      <c r="F175">
        <f>IF(Skills!N18=TRUE,(Skills!L18/10)*(E175/1000),Skills!L18/10)+Skills!O18</f>
        <v/>
      </c>
      <c r="G175">
        <f>Skills!G18*IF(Skills!H18&gt;0,INT(IF(Inputs!$B$39="pvp",MIN(Skills!I18,15),Skills!I18)/Skills!H18+0.000000001),1)</f>
        <v/>
      </c>
      <c r="H175">
        <f>1-(1-Skills!J18/100)^Skills!K18</f>
        <v/>
      </c>
      <c r="I175" t="inlineStr">
        <is>
          <t>1</t>
        </is>
      </c>
      <c r="J175" t="inlineStr"/>
      <c r="K175" t="inlineStr"/>
      <c r="L175" t="inlineStr"/>
      <c r="M175" t="inlineStr"/>
      <c r="N175" t="inlineStr"/>
      <c r="O175">
        <f>(1-Summary!$B$11)*T175+Summary!$B$11*V175</f>
        <v/>
      </c>
      <c r="P175">
        <f>IF(B196=0,0,O175/B196)</f>
        <v/>
      </c>
      <c r="Q175">
        <f>IFERROR(1/IF(Inputs!$B$39="pvp",15,MAX(0.1,Skills!D18-IF(TRUE=TRUE,Inputs!$B$33,0))),0)</f>
        <v/>
      </c>
      <c r="R175">
        <f>IF(AND(Inputs!$B$39&lt;&gt;"pvp",Inputs!$B$44&gt;0),IF(Inputs!$B$44&lt;=0,0,(INT(Inputs!$B$44/IF(Inputs!$B$39="pvp",15,MAX(0.1,Skills!D18-IF(TRUE=TRUE,Inputs!$B$33,0))))+1)),0)</f>
        <v/>
      </c>
      <c r="S175">
        <f>IFERROR(O175/N175,0)</f>
        <v/>
      </c>
      <c r="T175" t="n">
        <v>0</v>
      </c>
      <c r="V175" t="n">
        <v>0</v>
      </c>
    </row>
    <row r="176">
      <c r="A176">
        <f>Skills!A19</f>
        <v/>
      </c>
      <c r="B176">
        <f>Skills!B19</f>
        <v/>
      </c>
      <c r="C176">
        <f>Inputs!$B$3&gt;=72</f>
        <v/>
      </c>
      <c r="D176">
        <f>IF(Skills!C19=1,60+Inputs!$B$26+Inputs!$B$30,IF(Skills!C19=2,90+Inputs!$B$27+Inputs!$B$30,IF(Skills!C19=3,120+Inputs!$B$28+Inputs!$B$30,MAX(0,(Inputs!$B$3-100)*3)+Inputs!$B$29+Inputs!$B$30)))</f>
        <v/>
      </c>
      <c r="E176">
        <f>INDEX(FactorTable!$B$2:$Y$301, MATCH(ROUND(MIN(300,MAX(1,D176)),0), FactorTable!$A$2:$A$301,0), Skills!M19+1)</f>
        <v/>
      </c>
      <c r="F176">
        <f>IF(Skills!N19=TRUE,(Skills!L19/10)*(E176/1000),Skills!L19/10)+Skills!O19</f>
        <v/>
      </c>
      <c r="G176">
        <f>Skills!G19*IF(Skills!H19&gt;0,INT(IF(Inputs!$B$39="pvp",MIN(Skills!I19,15),Skills!I19)/Skills!H19+0.000000001),1)</f>
        <v/>
      </c>
      <c r="H176">
        <f>1-(1-Skills!J19/100)^Skills!K19</f>
        <v/>
      </c>
      <c r="I176" t="inlineStr">
        <is>
          <t>1</t>
        </is>
      </c>
      <c r="J176" t="inlineStr"/>
      <c r="K176" t="inlineStr"/>
      <c r="L176" t="inlineStr"/>
      <c r="M176" t="inlineStr"/>
      <c r="N176" t="inlineStr"/>
      <c r="O176">
        <f>(1-Summary!$B$11)*T176+Summary!$B$11*V176</f>
        <v/>
      </c>
      <c r="P176">
        <f>IF(B196=0,0,O176/B196)</f>
        <v/>
      </c>
      <c r="Q176">
        <f>IFERROR(1/IF(Inputs!$B$39="pvp",15,MAX(0.1,Skills!D19-IF(TRUE=TRUE,Inputs!$B$33,0))),0)</f>
        <v/>
      </c>
      <c r="R176">
        <f>IF(AND(Inputs!$B$39&lt;&gt;"pvp",Inputs!$B$44&gt;0),IF(Inputs!$B$44&lt;=0,0,(INT(Inputs!$B$44/IF(Inputs!$B$39="pvp",15,MAX(0.1,Skills!D19-IF(TRUE=TRUE,Inputs!$B$33,0))))+1)),0)</f>
        <v/>
      </c>
      <c r="S176">
        <f>IFERROR(O176/N176,0)</f>
        <v/>
      </c>
      <c r="T176" t="n">
        <v>0</v>
      </c>
      <c r="V176" t="n">
        <v>0</v>
      </c>
    </row>
    <row r="177">
      <c r="A177">
        <f>Skills!A20</f>
        <v/>
      </c>
      <c r="B177">
        <f>Skills!B20</f>
        <v/>
      </c>
      <c r="C177">
        <f>TRUE</f>
        <v/>
      </c>
      <c r="D177">
        <f>IF(Skills!C20=1,60+Inputs!$B$26+Inputs!$B$30,IF(Skills!C20=2,90+Inputs!$B$27+Inputs!$B$30,IF(Skills!C20=3,120+Inputs!$B$28+Inputs!$B$30,MAX(0,(Inputs!$B$3-100)*3)+Inputs!$B$29+Inputs!$B$30)))</f>
        <v/>
      </c>
      <c r="E177">
        <f>INDEX(FactorTable!$B$2:$Y$301, MATCH(ROUND(MIN(300,MAX(1,D177)),0), FactorTable!$A$2:$A$301,0), Skills!M20+1)</f>
        <v/>
      </c>
      <c r="F177">
        <f>IF(Skills!N20=TRUE,(Skills!L20/10)*(E177/1000),Skills!L20/10)+Skills!O20</f>
        <v/>
      </c>
      <c r="G177">
        <f>Skills!G20*IF(Skills!H20&gt;0,INT(IF(Inputs!$B$39="pvp",MIN(Skills!I20,15),Skills!I20)/Skills!H20+0.000000001),1)</f>
        <v/>
      </c>
      <c r="H177">
        <f>1-(1-Skills!J20/100)^Skills!K20</f>
        <v/>
      </c>
      <c r="I177" t="inlineStr">
        <is>
          <t>1</t>
        </is>
      </c>
      <c r="J177" t="inlineStr"/>
      <c r="K177" t="inlineStr"/>
      <c r="L177" t="inlineStr"/>
      <c r="M177" t="inlineStr"/>
      <c r="N177" t="inlineStr"/>
      <c r="O177">
        <f>(1-Summary!$B$11)*T177+Summary!$B$11*V177</f>
        <v/>
      </c>
      <c r="P177">
        <f>IF(B196=0,0,O177/B196)</f>
        <v/>
      </c>
      <c r="Q177">
        <f>IFERROR(1/IF(Inputs!$B$39="pvp",15,MAX(0.1,Skills!D20-IF(TRUE=TRUE,Inputs!$B$33,0))),0)</f>
        <v/>
      </c>
      <c r="R177">
        <f>IF(AND(Inputs!$B$39&lt;&gt;"pvp",Inputs!$B$44&gt;0),IF(Inputs!$B$44&lt;=0,0,(INT(Inputs!$B$44/IF(Inputs!$B$39="pvp",15,MAX(0.1,Skills!D20-IF(TRUE=TRUE,Inputs!$B$33,0))))+1)),0)</f>
        <v/>
      </c>
      <c r="S177">
        <f>IFERROR(O177/N177,0)</f>
        <v/>
      </c>
      <c r="T177" t="n">
        <v>0</v>
      </c>
      <c r="V177" t="n">
        <v>0</v>
      </c>
    </row>
    <row r="178">
      <c r="A178">
        <f>Skills!A21</f>
        <v/>
      </c>
      <c r="B178">
        <f>Skills!B21</f>
        <v/>
      </c>
      <c r="C178">
        <f>Inputs!$B$3&gt;=33</f>
        <v/>
      </c>
      <c r="D178">
        <f>IF(Skills!C21=1,60+Inputs!$B$26+Inputs!$B$30,IF(Skills!C21=2,90+Inputs!$B$27+Inputs!$B$30,IF(Skills!C21=3,120+Inputs!$B$28+Inputs!$B$30,MAX(0,(Inputs!$B$3-100)*3)+Inputs!$B$29+Inputs!$B$30)))</f>
        <v/>
      </c>
      <c r="E178">
        <f>INDEX(FactorTable!$B$2:$Y$301, MATCH(ROUND(MIN(300,MAX(1,D178)),0), FactorTable!$A$2:$A$301,0), Skills!M21+1)</f>
        <v/>
      </c>
      <c r="F178">
        <f>IF(Skills!N21=TRUE,(Skills!L21/10)*(E178/1000),Skills!L21/10)+Skills!O21</f>
        <v/>
      </c>
      <c r="G178">
        <f>Skills!G21*IF(Skills!H21&gt;0,INT(IF(Inputs!$B$39="pvp",MIN(Skills!I21,15),Skills!I21)/Skills!H21+0.000000001),1)</f>
        <v/>
      </c>
      <c r="H178">
        <f>1-(1-Skills!J21/100)^Skills!K21</f>
        <v/>
      </c>
      <c r="I178" t="inlineStr">
        <is>
          <t>1</t>
        </is>
      </c>
      <c r="J178" t="inlineStr"/>
      <c r="K178" t="inlineStr"/>
      <c r="L178" t="inlineStr"/>
      <c r="M178" t="inlineStr"/>
      <c r="N178" t="inlineStr"/>
      <c r="O178">
        <f>(1-Summary!$B$11)*T178+Summary!$B$11*V178</f>
        <v/>
      </c>
      <c r="P178">
        <f>IF(B196=0,0,O178/B196)</f>
        <v/>
      </c>
      <c r="Q178" t="n">
        <v>0</v>
      </c>
      <c r="R178" t="n">
        <v>0</v>
      </c>
      <c r="S178">
        <f>IFERROR(O178/N178,0)</f>
        <v/>
      </c>
      <c r="T178" t="n">
        <v>0</v>
      </c>
      <c r="V178" t="n">
        <v>0</v>
      </c>
    </row>
    <row r="179">
      <c r="A179">
        <f>Skills!A22</f>
        <v/>
      </c>
      <c r="B179">
        <f>Skills!B22</f>
        <v/>
      </c>
      <c r="C179">
        <f>Inputs!$B$3&gt;=43</f>
        <v/>
      </c>
      <c r="D179">
        <f>IF(Skills!C22=1,60+Inputs!$B$26+Inputs!$B$30,IF(Skills!C22=2,90+Inputs!$B$27+Inputs!$B$30,IF(Skills!C22=3,120+Inputs!$B$28+Inputs!$B$30,MAX(0,(Inputs!$B$3-100)*3)+Inputs!$B$29+Inputs!$B$30)))</f>
        <v/>
      </c>
      <c r="E179">
        <f>INDEX(FactorTable!$B$2:$Y$301, MATCH(ROUND(MIN(300,MAX(1,D179)),0), FactorTable!$A$2:$A$301,0), Skills!M22+1)</f>
        <v/>
      </c>
      <c r="F179">
        <f>IF(Skills!N22=TRUE,(Skills!L22/10)*(E179/1000),Skills!L22/10)+Skills!O22</f>
        <v/>
      </c>
      <c r="G179">
        <f>Skills!G22*IF(Skills!H22&gt;0,INT(IF(Inputs!$B$39="pvp",MIN(Skills!I22,15),Skills!I22)/Skills!H22+0.000000001),1)</f>
        <v/>
      </c>
      <c r="H179">
        <f>1-(1-Skills!J22/100)^Skills!K22</f>
        <v/>
      </c>
      <c r="I179" t="inlineStr">
        <is>
          <t>1</t>
        </is>
      </c>
      <c r="J179" t="inlineStr"/>
      <c r="K179" t="inlineStr"/>
      <c r="L179" t="inlineStr"/>
      <c r="M179" t="inlineStr"/>
      <c r="N179" t="inlineStr"/>
      <c r="O179">
        <f>(1-Summary!$B$11)*T179+Summary!$B$11*V179</f>
        <v/>
      </c>
      <c r="P179">
        <f>IF(B196=0,0,O179/B196)</f>
        <v/>
      </c>
      <c r="Q179" t="n">
        <v>0</v>
      </c>
      <c r="R179" t="n">
        <v>0</v>
      </c>
      <c r="S179">
        <f>IFERROR(O179/N179,0)</f>
        <v/>
      </c>
      <c r="T179" t="n">
        <v>0</v>
      </c>
      <c r="V179" t="n">
        <v>0</v>
      </c>
    </row>
    <row r="180">
      <c r="A180">
        <f>Skills!A23</f>
        <v/>
      </c>
      <c r="B180">
        <f>Skills!B23</f>
        <v/>
      </c>
      <c r="C180">
        <f>Inputs!$B$3&gt;=120</f>
        <v/>
      </c>
      <c r="D180">
        <f>IF(Skills!C23=1,60+Inputs!$B$26+Inputs!$B$30,IF(Skills!C23=2,90+Inputs!$B$27+Inputs!$B$30,IF(Skills!C23=3,120+Inputs!$B$28+Inputs!$B$30,MAX(0,(Inputs!$B$3-100)*3)+Inputs!$B$29+Inputs!$B$30)))</f>
        <v/>
      </c>
      <c r="E180">
        <f>INDEX(FactorTable!$B$2:$Y$301, MATCH(ROUND(MIN(300,MAX(1,D180)),0), FactorTable!$A$2:$A$301,0), Skills!M23+1)</f>
        <v/>
      </c>
      <c r="F180">
        <f>IF(Skills!N23=TRUE,(Skills!L23/10)*(E180/1000),Skills!L23/10)+Skills!O23</f>
        <v/>
      </c>
      <c r="G180">
        <f>Skills!G23*IF(Skills!H23&gt;0,INT(IF(Inputs!$B$39="pvp",MIN(Skills!I23,15),Skills!I23)/Skills!H23+0.000000001),1)</f>
        <v/>
      </c>
      <c r="H180">
        <f>1-(1-Skills!J23/100)^Skills!K23</f>
        <v/>
      </c>
      <c r="I180" t="inlineStr">
        <is>
          <t>1</t>
        </is>
      </c>
      <c r="J180" t="inlineStr"/>
      <c r="K180" t="inlineStr"/>
      <c r="L180" t="inlineStr"/>
      <c r="M180" t="inlineStr"/>
      <c r="N180" t="inlineStr"/>
      <c r="O180">
        <f>(1-Summary!$B$11)*T180+Summary!$B$11*V180</f>
        <v/>
      </c>
      <c r="P180">
        <f>IF(B196=0,0,O180/B196)</f>
        <v/>
      </c>
      <c r="Q180" t="n">
        <v>0</v>
      </c>
      <c r="R180" t="n">
        <v>0</v>
      </c>
      <c r="S180">
        <f>IFERROR(O180/N180,0)</f>
        <v/>
      </c>
      <c r="T180" t="n">
        <v>0</v>
      </c>
      <c r="V180" t="n">
        <v>0</v>
      </c>
    </row>
    <row r="181">
      <c r="A181">
        <f>Skills!A24</f>
        <v/>
      </c>
      <c r="B181">
        <f>Skills!B24</f>
        <v/>
      </c>
      <c r="C181">
        <f>Inputs!$B$3&gt;=120</f>
        <v/>
      </c>
      <c r="D181">
        <f>IF(Skills!C24=1,60+Inputs!$B$26+Inputs!$B$30,IF(Skills!C24=2,90+Inputs!$B$27+Inputs!$B$30,IF(Skills!C24=3,120+Inputs!$B$28+Inputs!$B$30,MAX(0,(Inputs!$B$3-100)*3)+Inputs!$B$29+Inputs!$B$30)))</f>
        <v/>
      </c>
      <c r="E181">
        <f>INDEX(FactorTable!$B$2:$Y$301, MATCH(ROUND(MIN(300,MAX(1,D181)),0), FactorTable!$A$2:$A$301,0), Skills!M24+1)</f>
        <v/>
      </c>
      <c r="F181">
        <f>IF(Skills!N24=TRUE,(Skills!L24/10)*(E181/1000),Skills!L24/10)+Skills!O24</f>
        <v/>
      </c>
      <c r="G181">
        <f>Skills!G24*IF(Skills!H24&gt;0,INT(IF(Inputs!$B$39="pvp",MIN(Skills!I24,15),Skills!I24)/Skills!H24+0.000000001),1)</f>
        <v/>
      </c>
      <c r="H181">
        <f>1-(1-Skills!J24/100)^Skills!K24</f>
        <v/>
      </c>
      <c r="I181" t="inlineStr">
        <is>
          <t>1</t>
        </is>
      </c>
      <c r="J181" t="inlineStr"/>
      <c r="K181" t="inlineStr"/>
      <c r="L181" t="inlineStr"/>
      <c r="M181" t="inlineStr"/>
      <c r="N181" t="inlineStr"/>
      <c r="O181">
        <f>(1-Summary!$B$11)*T181+Summary!$B$11*V181</f>
        <v/>
      </c>
      <c r="P181">
        <f>IF(B196=0,0,O181/B196)</f>
        <v/>
      </c>
      <c r="Q181" t="n">
        <v>0</v>
      </c>
      <c r="R181" t="n">
        <v>0</v>
      </c>
      <c r="S181">
        <f>IFERROR(O181/N181,0)</f>
        <v/>
      </c>
      <c r="T181" t="n">
        <v>0</v>
      </c>
      <c r="V181" t="n">
        <v>0</v>
      </c>
    </row>
    <row r="182">
      <c r="A182">
        <f>Skills!A25</f>
        <v/>
      </c>
      <c r="B182">
        <f>Skills!B25</f>
        <v/>
      </c>
      <c r="C182">
        <f>Inputs!$B$3&gt;=125</f>
        <v/>
      </c>
      <c r="D182">
        <f>IF(Skills!C25=1,60+Inputs!$B$26+Inputs!$B$30,IF(Skills!C25=2,90+Inputs!$B$27+Inputs!$B$30,IF(Skills!C25=3,120+Inputs!$B$28+Inputs!$B$30,MAX(0,(Inputs!$B$3-100)*3)+Inputs!$B$29+Inputs!$B$30)))</f>
        <v/>
      </c>
      <c r="E182">
        <f>INDEX(FactorTable!$B$2:$Y$301, MATCH(ROUND(MIN(300,MAX(1,D182)),0), FactorTable!$A$2:$A$301,0), Skills!M25+1)</f>
        <v/>
      </c>
      <c r="F182">
        <f>IF(Skills!N25=TRUE,(Skills!L25/10)*(E182/1000),Skills!L25/10)+Skills!O25</f>
        <v/>
      </c>
      <c r="G182">
        <f>Skills!G25*IF(Skills!H25&gt;0,INT(IF(Inputs!$B$39="pvp",MIN(Skills!I25,15),Skills!I25)/Skills!H25+0.000000001),1)</f>
        <v/>
      </c>
      <c r="H182">
        <f>1-(1-Skills!J25/100)^Skills!K25</f>
        <v/>
      </c>
      <c r="I182" t="inlineStr">
        <is>
          <t>1</t>
        </is>
      </c>
      <c r="J182" t="inlineStr"/>
      <c r="K182" t="inlineStr"/>
      <c r="L182" t="inlineStr"/>
      <c r="M182" t="inlineStr"/>
      <c r="N182" t="inlineStr"/>
      <c r="O182">
        <f>(1-Summary!$B$11)*T182+Summary!$B$11*V182</f>
        <v/>
      </c>
      <c r="P182">
        <f>IF(B196=0,0,O182/B196)</f>
        <v/>
      </c>
      <c r="Q182" t="n">
        <v>0</v>
      </c>
      <c r="R182" t="n">
        <v>0</v>
      </c>
      <c r="S182">
        <f>IFERROR(O182/N182,0)</f>
        <v/>
      </c>
      <c r="T182" t="n">
        <v>0</v>
      </c>
      <c r="V182" t="n">
        <v>0</v>
      </c>
    </row>
    <row r="183">
      <c r="A183">
        <f>Skills!A26</f>
        <v/>
      </c>
      <c r="B183">
        <f>Skills!B26</f>
        <v/>
      </c>
      <c r="C183">
        <f>Inputs!$B$3&gt;=107</f>
        <v/>
      </c>
      <c r="D183">
        <f>IF(Skills!C26=1,60+Inputs!$B$26+Inputs!$B$30,IF(Skills!C26=2,90+Inputs!$B$27+Inputs!$B$30,IF(Skills!C26=3,120+Inputs!$B$28+Inputs!$B$30,MAX(0,(Inputs!$B$3-100)*3)+Inputs!$B$29+Inputs!$B$30)))</f>
        <v/>
      </c>
      <c r="E183">
        <f>INDEX(FactorTable!$B$2:$Y$301, MATCH(ROUND(MIN(300,MAX(1,D183)),0), FactorTable!$A$2:$A$301,0), Skills!M26+1)</f>
        <v/>
      </c>
      <c r="F183">
        <f>IF(Skills!N26=TRUE,(Skills!L26/10)*(E183/1000),Skills!L26/10)+Skills!O26</f>
        <v/>
      </c>
      <c r="G183">
        <f>Skills!G26*IF(Skills!H26&gt;0,INT(IF(Inputs!$B$39="pvp",MIN(Skills!I26,15),Skills!I26)/Skills!H26+0.000000001),1)</f>
        <v/>
      </c>
      <c r="H183">
        <f>1-(1-Skills!J26/100)^Skills!K26</f>
        <v/>
      </c>
      <c r="I183" t="inlineStr">
        <is>
          <t>1</t>
        </is>
      </c>
      <c r="J183" t="inlineStr"/>
      <c r="K183" t="inlineStr"/>
      <c r="L183" t="inlineStr"/>
      <c r="M183" t="inlineStr"/>
      <c r="N183" t="inlineStr"/>
      <c r="O183">
        <f>(1-Summary!$B$11)*T183+Summary!$B$11*V183</f>
        <v/>
      </c>
      <c r="P183">
        <f>IF(B196=0,0,O183/B196)</f>
        <v/>
      </c>
      <c r="Q183" t="n">
        <v>0</v>
      </c>
      <c r="R183" t="n">
        <v>0</v>
      </c>
      <c r="S183">
        <f>IFERROR(O183/N183,0)</f>
        <v/>
      </c>
      <c r="T183" t="n">
        <v>0</v>
      </c>
      <c r="V183" t="n">
        <v>0</v>
      </c>
    </row>
    <row r="185">
      <c r="A185" t="inlineStr">
        <is>
          <t>Attack% Bucket Multiplier</t>
        </is>
      </c>
      <c r="B185">
        <f>(1+(((C170=TRUE)*F170*IF(AND(Inputs!$B$39&lt;&gt;"pvp",Inputs!$B$44&gt;0),(((R170-1)*MIN((Skills!T13*(1+Inputs!$B$35/100)),(1/Q170))+MIN((Skills!T13*(1+Inputs!$B$35/100)),MAX(0,Inputs!$B$44-((R170-1)*(1/Q170)))))/Inputs!$B$44),IF(Inputs!$B$39="pvp",MIN((Skills!T13*(1+Inputs!$B$35/100)),15)/15,MIN(1,(Skills!T13*(1+Inputs!$B$35/100))/(1/Q170)))))+((C171=TRUE)*F171*IF(AND(Inputs!$B$39&lt;&gt;"pvp",Inputs!$B$44&gt;0),(((R171-1)*MIN((Skills!T14*(1+Inputs!$B$35/100)),(1/Q171))+MIN((Skills!T14*(1+Inputs!$B$35/100)),MAX(0,Inputs!$B$44-((R171-1)*(1/Q171)))))/Inputs!$B$44),IF(Inputs!$B$39="pvp",MIN((Skills!T14*(1+Inputs!$B$35/100)),15)/15,MIN(1,(Skills!T14*(1+Inputs!$B$35/100))/(1/Q171)))))+((C172=TRUE)*F172*IF(AND(Inputs!$B$39&lt;&gt;"pvp",Inputs!$B$44&gt;0),(((R172-1)*MIN((Skills!T15*(1+Inputs!$B$35/100)),(1/Q172))+MIN((Skills!T15*(1+Inputs!$B$35/100)),MAX(0,Inputs!$B$44-((R172-1)*(1/Q172)))))/Inputs!$B$44),IF(Inputs!$B$39="pvp",MIN((Skills!T15*(1+Inputs!$B$35/100)),15)/15,MIN(1,(Skills!T15*(1+Inputs!$B$35/100))/(1/Q172)))))+((C173=TRUE)*F173*IF(AND(Inputs!$B$39&lt;&gt;"pvp",Inputs!$B$44&gt;0),(((R173-1)*MIN((Skills!T16*(1+Inputs!$B$35/100)),(1/Q173))+MIN((Skills!T16*(1+Inputs!$B$35/100)),MAX(0,Inputs!$B$44-((R173-1)*(1/Q173)))))/Inputs!$B$44),IF(Inputs!$B$39="pvp",MIN((Skills!T16*(1+Inputs!$B$35/100)),15)/15,MIN(1,(Skills!T16*(1+Inputs!$B$35/100))/(1/Q173)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186">
      <c r="A186" t="inlineStr">
        <is>
          <t>Global Crit Rate Bonus % (Lord of Darkness)</t>
        </is>
      </c>
      <c r="B186">
        <f>((C175=TRUE)*F175*(Skills!J18/100)*IF(AND(Inputs!$B$39&lt;&gt;"pvp",Inputs!$B$44&gt;0),(((R175-1)*MIN((Skills!T18*(1+Inputs!$B$35/100)),(1/Q175))+MIN((Skills!T18*(1+Inputs!$B$35/100)),MAX(0,Inputs!$B$44-((R175-1)*(1/Q175)))))/Inputs!$B$44),IF(Inputs!$B$39="pvp",MIN((Skills!T18*(1+Inputs!$B$35/100)),15)/15,MIN(1,(Skills!T18*(1+Inputs!$B$35/100))/(1/Q175)))))</f>
        <v/>
      </c>
    </row>
    <row r="187">
      <c r="A187" t="inlineStr">
        <is>
          <t>Attack Speed Buff Bonus %</t>
        </is>
      </c>
      <c r="B187">
        <f>((C177=TRUE)*F177*IF(AND(Inputs!$B$39&lt;&gt;"pvp",Inputs!$B$44&gt;0),(((R177-1)*MIN((Skills!T20*(1+Inputs!$B$35/100)),(1/Q177))+MIN((Skills!T20*(1+Inputs!$B$35/100)),MAX(0,Inputs!$B$44-((R177-1)*(1/Q177)))))/Inputs!$B$44),IF(Inputs!$B$39="pvp",MIN((Skills!T20*(1+Inputs!$B$35/100)),15)/15,MIN(1,(Skills!T20*(1+Inputs!$B$35/100))/(1/Q177)))))</f>
        <v/>
      </c>
    </row>
    <row r="188">
      <c r="A188" t="inlineStr">
        <is>
          <t>Actions Per Second</t>
        </is>
      </c>
      <c r="B188">
        <f>1+MIN(150,150*(1-(1-(Inputs!$B$12+((C178=TRUE)*(F178-Calc!F21)))/150)*(1-B187/150)))/100</f>
        <v/>
      </c>
    </row>
    <row r="189">
      <c r="A189" t="inlineStr">
        <is>
          <t>Skill + Buff Cast Rate</t>
        </is>
      </c>
      <c r="B189">
        <f>IF(AND(Inputs!$B$39&lt;&gt;"pvp",Inputs!$B$44&gt;0),SUMPRODUCT((Skills!E2:E26=TRUE)*(C159:C183=TRUE)*R159:R183*Skills!F2:F26)/Inputs!$B$44,SUMPRODUCT((Skills!E2:E26=TRUE)*(C159:C183=TRUE)*Q159:Q183*Skills!F2:F26))</f>
        <v/>
      </c>
    </row>
    <row r="190">
      <c r="A190" t="inlineStr">
        <is>
          <t>Dark Impale Casts Per Second</t>
        </is>
      </c>
      <c r="B190">
        <f>MAX(0,B188-B189)</f>
        <v/>
      </c>
    </row>
    <row r="191">
      <c r="A191" t="inlineStr">
        <is>
          <t>Global Critical Damage Bonus % (Lord of Darkness)</t>
        </is>
      </c>
      <c r="B191">
        <f>((C176=TRUE)*F176*(Skills!J19/100)*IF(AND(Inputs!$B$39&lt;&gt;"pvp",Inputs!$B$44&gt;0),(((R176-1)*MIN((Skills!T19*(1+Inputs!$B$35/100)),(1/Q176))+MIN((Skills!T19*(1+Inputs!$B$35/100)),MAX(0,Inputs!$B$44-((R176-1)*(1/Q176)))))/Inputs!$B$44),IF(Inputs!$B$39="pvp",MIN((Skills!T19*(1+Inputs!$B$35/100)),15)/15,MIN(1,(Skills!T19*(1+Inputs!$B$35/100))/(1/Q176)))))</f>
        <v/>
      </c>
    </row>
    <row r="192">
      <c r="A192" t="inlineStr">
        <is>
          <t>Global Final Damage Bonus % (unused)</t>
        </is>
      </c>
      <c r="B192" t="n">
        <v>0</v>
      </c>
    </row>
    <row r="193">
      <c r="A193" t="inlineStr">
        <is>
          <t>Buff-Casting Startup Delay (s, fixed-duration only)</t>
        </is>
      </c>
      <c r="B193">
        <f>IF(AND(Inputs!$B$39&lt;&gt;"pvp",Inputs!$B$44&gt;0),SUMPRODUCT((Skills!T2:T26&gt;0)*(Skills!E2:E26=TRUE)*(C159:C183=TRUE))/B188,0)</f>
        <v/>
      </c>
    </row>
    <row r="194">
      <c r="A194" t="inlineStr">
        <is>
          <t>Boss-Only Total DPS (this block's swept value)</t>
        </is>
      </c>
      <c r="B194">
        <f>SUM(T159:T183)</f>
        <v/>
      </c>
    </row>
    <row r="195">
      <c r="A195" t="inlineStr">
        <is>
          <t>Normal-Only Total DPS (this block's swept value)</t>
        </is>
      </c>
      <c r="B195">
        <f>SUM(V159:V183)</f>
        <v/>
      </c>
    </row>
    <row r="196">
      <c r="A196" s="6" t="inlineStr">
        <is>
          <t>TOTAL DPS</t>
        </is>
      </c>
      <c r="B196" s="6">
        <f>SUM(O159:O183)</f>
        <v/>
      </c>
    </row>
    <row r="199">
      <c r="A199" s="6" t="inlineStr">
        <is>
          <t>Stat: Defense (flat) — Iron Wall converts a level-scaling % (10%+) into STR</t>
        </is>
      </c>
    </row>
    <row r="200">
      <c r="A200" s="5" t="inlineStr">
        <is>
          <t>Key</t>
        </is>
      </c>
      <c r="B200" s="5" t="inlineStr">
        <is>
          <t>Name</t>
        </is>
      </c>
      <c r="C200" s="5" t="inlineStr">
        <is>
          <t>Unlocked</t>
        </is>
      </c>
      <c r="D200" s="5" t="inlineStr">
        <is>
          <t>InputLevel</t>
        </is>
      </c>
      <c r="E200" s="5" t="inlineStr">
        <is>
          <t>Factor</t>
        </is>
      </c>
      <c r="F200" s="5" t="inlineStr">
        <is>
          <t>CoefficientPercent</t>
        </is>
      </c>
      <c r="G200" s="5" t="inlineStr">
        <is>
          <t>EffectiveHits</t>
        </is>
      </c>
      <c r="H200" s="5" t="inlineStr">
        <is>
          <t>ProcProbability</t>
        </is>
      </c>
      <c r="I200" s="5" t="inlineStr">
        <is>
          <t>MapleHeroMultiplier</t>
        </is>
      </c>
      <c r="J200" s="5" t="inlineStr">
        <is>
          <t>BaseDamage</t>
        </is>
      </c>
      <c r="K200" s="5" t="inlineStr">
        <is>
          <t>BaseHitDamage</t>
        </is>
      </c>
      <c r="L200" s="5" t="inlineStr">
        <is>
          <t>NonCritAvg</t>
        </is>
      </c>
      <c r="M200" s="5" t="inlineStr">
        <is>
          <t>CritAvg</t>
        </is>
      </c>
      <c r="N200" s="5" t="inlineStr">
        <is>
          <t>ExpectedDamage(perHit)</t>
        </is>
      </c>
      <c r="O200" s="5" t="inlineStr">
        <is>
          <t>DPS</t>
        </is>
      </c>
      <c r="P200" s="5" t="inlineStr">
        <is>
          <t>% of Total</t>
        </is>
      </c>
      <c r="Q200" s="5" t="inlineStr">
        <is>
          <t>InvCooldown</t>
        </is>
      </c>
      <c r="R200" s="5" t="inlineStr">
        <is>
          <t>CastsInFight</t>
        </is>
      </c>
      <c r="S200" s="5" t="inlineStr">
        <is>
          <t>HitRate(perSec)</t>
        </is>
      </c>
      <c r="U200" t="inlineStr">
        <is>
          <t>helpers</t>
        </is>
      </c>
    </row>
    <row r="201">
      <c r="A201">
        <f>Skills!A2</f>
        <v/>
      </c>
      <c r="B201">
        <f>Skills!B2</f>
        <v/>
      </c>
      <c r="C201">
        <f>Inputs!$B$3&gt;=100</f>
        <v/>
      </c>
      <c r="D201" t="inlineStr"/>
      <c r="E201" t="inlineStr"/>
      <c r="F201">
        <f>U203+Skills!O2</f>
        <v/>
      </c>
      <c r="G201">
        <f>Skills!G2*IF(Skills!H2&gt;0,INT(IF(Inputs!$B$39="pvp",MIN(Skills!I2,15),Skills!I2)/Skills!H2+0.000000001),1)</f>
        <v/>
      </c>
      <c r="H201">
        <f>1-(1-Skills!J2/100)^Skills!K2</f>
        <v/>
      </c>
      <c r="I201" t="inlineStr">
        <is>
          <t>1</t>
        </is>
      </c>
      <c r="J201">
        <f>((Inputs!$B$6*(1+Inputs!$B$7/100))+(((Inputs!$B$13*(1+Inputs!$B$14/100))-(Inputs!$B$13*(1+Inputs!$B$14/100)))+0.25*(Inputs!$B$15-Inputs!$B$15))*(1+Inputs!$B$7/100))*(F201/100)</f>
        <v/>
      </c>
      <c r="K201">
        <f>J201*(1+(((Inputs!$B$13+IF(Inputs!$B$3&gt;=38,(10*INDEX(FactorTable!$B$2:$Y$301, MATCH(ROUND(MIN(300,MAX(1,Inputs!$B$3)),0), FactorTable!$A$2:$A$301,0), 23)/1000)/100*((Inputs!$B$8+1)*(1+Inputs!$B$9/100)),0))*(1+Inputs!$B$14/100))*0.01+Inputs!$B$15*0.0025)/100)*(1+Inputs!$B$16/100)*(1+Inputs!$B$17/100)*(5000/(6000+Inputs!$B$43*(1-(Inputs!$B$20+0)/100)))*(1+(Inputs!$B$25+((C224=TRUE)*(F224-Calc!F25))+((C225=TRUE)*(F225-Calc!F26))+B234)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gt;=100),MIN(100,((Inputs!$B$10+0+B228+(ArtifactsInput!$M$24-ArtifactsInput!$M$24)*CHOOSE(ArtifactsInput!$N$24+1,10,12,14,16,18,20)+IF(ArtifactsInput!$M$10,CHOOSE(ArtifactsInput!$N$10+1,15,18,21,24,27,30)*(IF(Inputs!$B$39="pvp",MIN(15,15)/15,IF(AND(Inputs!$B$39&lt;&gt;"pvp",Inputs!$B$44&gt;0),MIN(15,Inputs!$B$44)/(Inputs!$B$44),0))),0)))-100),0))*CHOOSE(ArtifactsInput!$N$42+1,0.6,0.72,0.84,0.96,1.08,1.2))),Inputs!$B$19+((C222=TRUE)*(F222-Calc!F23))+(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gt;=100),CHOOSE(ArtifactsInput!$N$42+1,40,48,56,64,72,80),0))))/100)*((1+(((C212=TRUE)*F212*IF(AND(Inputs!$B$39&lt;&gt;"pvp",Inputs!$B$44&gt;0),(((R212-1)*MIN((Skills!T13*(1+Inputs!$B$35/100)),(1/Q212))+MIN((Skills!T13*(1+Inputs!$B$35/100)),MAX(0,Inputs!$B$44-((R212-1)*(1/Q212)))))/Inputs!$B$44),IF(Inputs!$B$39="pvp",MIN((Skills!T13*(1+Inputs!$B$35/100)),15)/15,MIN(1,(Skills!T13*(1+Inputs!$B$35/100))/(1/Q212)))))+((C213=TRUE)*F213*IF(AND(Inputs!$B$39&lt;&gt;"pvp",Inputs!$B$44&gt;0),(((R213-1)*MIN((Skills!T14*(1+Inputs!$B$35/100)),(1/Q213))+MIN((Skills!T14*(1+Inputs!$B$35/100)),MAX(0,Inputs!$B$44-((R213-1)*(1/Q213)))))/Inputs!$B$44),IF(Inputs!$B$39="pvp",MIN((Skills!T14*(1+Inputs!$B$35/100)),15)/15,MIN(1,(Skills!T14*(1+Inputs!$B$35/100))/(1/Q213)))))+((C214=TRUE)*F214*IF(AND(Inputs!$B$39&lt;&gt;"pvp",Inputs!$B$44&gt;0),(((R214-1)*MIN((Skills!T15*(1+Inputs!$B$35/100)),(1/Q214))+MIN((Skills!T15*(1+Inputs!$B$35/100)),MAX(0,Inputs!$B$44-((R214-1)*(1/Q214)))))/Inputs!$B$44),IF(Inputs!$B$39="pvp",MIN((Skills!T15*(1+Inputs!$B$35/100)),15)/15,MIN(1,(Skills!T15*(1+Inputs!$B$35/100))/(1/Q214)))))+((C215=TRUE)*F215*IF(AND(Inputs!$B$39&lt;&gt;"pvp",Inputs!$B$44&gt;0),(((R215-1)*MIN((Skills!T16*(1+Inputs!$B$35/100)),(1/Q215))+MIN((Skills!T16*(1+Inputs!$B$35/100)),MAX(0,Inputs!$B$44-((R215-1)*(1/Q215)))))/Inputs!$B$44),IF(Inputs!$B$39="pvp",MIN((Skills!T16*(1+Inputs!$B$35/100)),15)/15,MIN(1,(Skills!T16*(1+Inputs!$B$35/100))/(1/Q215)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201)</f>
        <v/>
      </c>
      <c r="L201">
        <f>K201*(MIN(Inputs!$B$23+((C221=TRUE)*(F221-Calc!F22)),(Inputs!$B$24+((C223=TRUE)*(F223-Calc!F24))+(IF(ArtifactsInput!$M$15,CHOOSE(ArtifactsInput!$N$15+1,25,30,35,40,45,50)/100*(Inputs!$B$12-Inputs!$B$12),0))))/100+(Inputs!$B$24+((C223=TRUE)*(F223-Calc!F24))+(IF(ArtifactsInput!$M$15,CHOOSE(ArtifactsInput!$N$15+1,25,30,35,40,45,50)/100*(Inputs!$B$12-Inputs!$B$12),0)))/100)/2</f>
        <v/>
      </c>
      <c r="M201">
        <f>L201*(1+(Inputs!$B$11+0+B233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01">
        <f>L201*(1-MIN((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201*(MIN((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1">
        <f>(1-Summary!$B$11)*T201+Summary!$B$11*V201</f>
        <v/>
      </c>
      <c r="P201">
        <f>IF(B238=0,0,O201/B238)</f>
        <v/>
      </c>
      <c r="Q201" t="n">
        <v>0</v>
      </c>
      <c r="R201" t="n">
        <v>0</v>
      </c>
      <c r="S201">
        <f>IFERROR(O201/N201,0)</f>
        <v/>
      </c>
      <c r="T201">
        <f>IF(C201,(Skills!G2*N201*B232)*IF(Inputs!$B$39="pvp",1,1+(Inputs!$B$21+0+Skills!P2+((C216=TRUE)*F216*IF(AND(Inputs!$B$39&lt;&gt;"pvp",Inputs!$B$44&gt;0),(((R216-1)*MIN((Skills!T17*(1+Inputs!$B$35/100)),(1/Q216))+MIN((Skills!T17*(1+Inputs!$B$35/100)),MAX(0,Inputs!$B$44-((R216-1)*(1/Q216)))))/Inputs!$B$44),IF(Inputs!$B$39="pvp",MIN((Skills!T17*(1+Inputs!$B$35/100)),15)/15,MIN(1,(Skills!T17*(1+Inputs!$B$35/100))/(1/Q216)))))+((C204=TRUE)*IF(Inputs!$B$3&gt;=126,10*MIN(1,15*Q204),0))+((C213=TRUE)*IF(Inputs!$B$39="pvp",20,(1-Summary!$B$11)*(20)+Summary!$B$11*(0))*IF(AND(Inputs!$B$39&lt;&gt;"pvp",Inputs!$B$44&gt;0),(((R213-1)*MIN((Skills!T14*(1+Inputs!$B$35/100)),(1/Q213))+MIN((Skills!T14*(1+Inputs!$B$35/100)),MAX(0,Inputs!$B$44-((R213-1)*(1/Q213)))))/Inputs!$B$44),IF(Inputs!$B$39="pvp",MIN((Skills!T14*(1+Inputs!$B$35/100)),15)/15,MIN(1,(Skills!T14*(1+Inputs!$B$35/100))/(1/Q213)))))+((C212=TRUE)*IF(Inputs!$B$3&gt;=82,IF(Inputs!$B$39="pvp",20,(1-Summary!$B$11)*(20)+Summary!$B$11*(0)),0)*IF(AND(Inputs!$B$39&lt;&gt;"pvp",Inputs!$B$44&gt;0),(((R212-1)*MIN((Skills!T13*(1+Inputs!$B$35/100)),(1/Q212))+MIN((Skills!T13*(1+Inputs!$B$35/100)),MAX(0,Inputs!$B$44-((R212-1)*(1/Q212)))))/Inputs!$B$44),IF(Inputs!$B$39="pvp",MIN((Skills!T13*(1+Inputs!$B$35/100)),15)/15,MIN(1,(Skills!T13*(1+Inputs!$B$35/100))/(1/Q212)))))+(IF(AND(ArtifactsInput!$M$35,Inputs!$B$4&lt;&gt;"Chapter Hunt"),CHOOSE(ArtifactsInput!$N$35+1,15,18,21,24,27,30)*(1-EXP(-(0.2*B230)*5)),0)+IF(AND(ArtifactsInput!$M$22,Inputs!$B$4&lt;&gt;"Chapter Hunt"),CHOOSE(ArtifactsInput!$N$22+1,10,12,14,16,18,20)*((0*(((0.15*B230*5))^0/1)+1*(((0.15*B230*5))^1/1)+2*(((0.15*B230*5))^2/2)+3*(((0.15*B230*5))^3/6)+4*(((0.15*B230*5))^4/24)+5*(((0.15*B230*5))^5/120))/((((0.15*B230*5))^0/1)+(((0.15*B230*5))^1/1)+(((0.15*B230*5))^2/2)+(((0.15*B230*5))^3/6)+(((0.15*B230*5))^4/24)+(((0.15*B230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201*(1-MIN(100,(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201*(MIN(100,(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201*(1-MIN(100,(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201*(MIN(100,(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01">
        <f>MAX(0,(Inputs!$B$3-100)*3)+Inputs!$B$29+Inputs!$B$30</f>
        <v/>
      </c>
      <c r="V201">
        <f>IF(C201,(Skills!G2*N201*B232)*IF(Inputs!$B$39="pvp",1,(1+(Inputs!$B$22+Skills!Q2+((C216=TRUE)*F216*IF(AND(Inputs!$B$39&lt;&gt;"pvp",Inputs!$B$44&gt;0),(((R216-1)*MIN((Skills!T17*(1+Inputs!$B$35/100)),(1/Q216))+MIN((Skills!T17*(1+Inputs!$B$35/100)),MAX(0,Inputs!$B$44-((R216-1)*(1/Q216)))))/Inputs!$B$44),IF(Inputs!$B$39="pvp",MIN((Skills!T17*(1+Inputs!$B$35/100)),15)/15,MIN(1,(Skills!T17*(1+Inputs!$B$35/100))/(1/Q216)))))+((C204=TRUE)*IF(Inputs!$B$3&gt;=126,10*MIN(1,15*Q204),0))+((C213=TRUE)*IF(Inputs!$B$39="pvp",20,(1-Summary!$B$11)*(20)+Summary!$B$11*(0))*IF(AND(Inputs!$B$39&lt;&gt;"pvp",Inputs!$B$44&gt;0),(((R213-1)*MIN((Skills!T14*(1+Inputs!$B$35/100)),(1/Q213))+MIN((Skills!T14*(1+Inputs!$B$35/100)),MAX(0,Inputs!$B$44-((R213-1)*(1/Q213)))))/Inputs!$B$44),IF(Inputs!$B$39="pvp",MIN((Skills!T14*(1+Inputs!$B$35/100)),15)/15,MIN(1,(Skills!T14*(1+Inputs!$B$35/100))/(1/Q213)))))+((C212=TRUE)*IF(Inputs!$B$3&gt;=82,IF(Inputs!$B$39="pvp",20,(1-Summary!$B$11)*(20)+Summary!$B$11*(0)),0)*IF(AND(Inputs!$B$39&lt;&gt;"pvp",Inputs!$B$44&gt;0),(((R212-1)*MIN((Skills!T13*(1+Inputs!$B$35/100)),(1/Q212))+MIN((Skills!T13*(1+Inputs!$B$35/100)),MAX(0,Inputs!$B$44-((R212-1)*(1/Q212)))))/Inputs!$B$44),IF(Inputs!$B$39="pvp",MIN((Skills!T13*(1+Inputs!$B$35/100)),15)/15,MIN(1,(Skills!T13*(1+Inputs!$B$35/100))/(1/Q212)))))+(IF(AND(ArtifactsInput!$M$35,Inputs!$B$4&lt;&gt;"Chapter Hunt"),CHOOSE(ArtifactsInput!$N$35+1,15,18,21,24,27,30)*(1-EXP(-(0.2*B230)*5)),0)+IF(AND(ArtifactsInput!$M$22,Inputs!$B$4&lt;&gt;"Chapter Hunt"),CHOOSE(ArtifactsInput!$N$22+1,10,12,14,16,18,20)*((0*(((0.15*B230*5))^0/1)+1*(((0.15*B230*5))^1/1)+2*(((0.15*B230*5))^2/2)+3*(((0.15*B230*5))^3/6)+4*(((0.15*B230*5))^4/24)+5*(((0.15*B230*5))^5/120))/((((0.15*B230*5))^0/1)+(((0.15*B230*5))^1/1)+(((0.15*B230*5))^2/2)+(((0.15*B230*5))^3/6)+(((0.15*B230*5))^4/24)+(((0.15*B230*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2">
      <c r="A202">
        <f>Skills!A3</f>
        <v/>
      </c>
      <c r="B202">
        <f>Skills!B3</f>
        <v/>
      </c>
      <c r="C202">
        <f>Inputs!$B$3&gt;=50</f>
        <v/>
      </c>
      <c r="D202">
        <f>IF(Skills!C3=1,60+Inputs!$B$26+Inputs!$B$30,IF(Skills!C3=2,90+Inputs!$B$27+Inputs!$B$30,IF(Skills!C3=3,120+Inputs!$B$28+Inputs!$B$30,MAX(0,(Inputs!$B$3-100)*3)+Inputs!$B$29+Inputs!$B$30)))</f>
        <v/>
      </c>
      <c r="E202">
        <f>INDEX(FactorTable!$B$2:$Y$301, MATCH(ROUND(MIN(300,MAX(1,D202)),0), FactorTable!$A$2:$A$301,0), Skills!M3+1)</f>
        <v/>
      </c>
      <c r="F202">
        <f>IF(Skills!N3=TRUE,(Skills!L3/10)*(E202/1000),Skills!L3/10)+Skills!O3</f>
        <v/>
      </c>
      <c r="G202" t="inlineStr"/>
      <c r="H202" t="inlineStr"/>
      <c r="I202" t="inlineStr">
        <is>
          <t>1</t>
        </is>
      </c>
      <c r="J202" t="inlineStr"/>
      <c r="K202" t="inlineStr"/>
      <c r="L202" t="inlineStr"/>
      <c r="M202" t="inlineStr"/>
      <c r="N202" t="inlineStr"/>
      <c r="O202" t="inlineStr"/>
      <c r="P202" t="inlineStr"/>
      <c r="Q202" t="inlineStr"/>
      <c r="R202" t="inlineStr"/>
      <c r="S202" t="inlineStr"/>
      <c r="U202">
        <f>INDEX(FactorTable!$B$2:$Y$301, MATCH(ROUND(MIN(300,MAX(1,U201)),0), FactorTable!$A$2:$A$301,0), 22)</f>
        <v/>
      </c>
    </row>
    <row r="203">
      <c r="A203">
        <f>Skills!A4</f>
        <v/>
      </c>
      <c r="B203">
        <f>Skills!B4</f>
        <v/>
      </c>
      <c r="C203">
        <f>Inputs!$B$3&gt;=105</f>
        <v/>
      </c>
      <c r="D203">
        <f>IF(Skills!C4=1,60+Inputs!$B$26+Inputs!$B$30,IF(Skills!C4=2,90+Inputs!$B$27+Inputs!$B$30,IF(Skills!C4=3,120+Inputs!$B$28+Inputs!$B$30,MAX(0,(Inputs!$B$3-100)*3)+Inputs!$B$29+Inputs!$B$30)))</f>
        <v/>
      </c>
      <c r="E203">
        <f>INDEX(FactorTable!$B$2:$Y$301, MATCH(ROUND(MIN(300,MAX(1,D203)),0), FactorTable!$A$2:$A$301,0), Skills!M4+1)</f>
        <v/>
      </c>
      <c r="F203">
        <f>IF(Skills!N4=TRUE,(Skills!L4/10)*(E203/1000),Skills!L4/10)+Skills!O4</f>
        <v/>
      </c>
      <c r="G203" t="inlineStr"/>
      <c r="H203" t="inlineStr"/>
      <c r="I203" t="inlineStr">
        <is>
          <t>1</t>
        </is>
      </c>
      <c r="J203" t="inlineStr"/>
      <c r="K203" t="inlineStr"/>
      <c r="L203" t="inlineStr"/>
      <c r="M203" t="inlineStr"/>
      <c r="N203" t="inlineStr"/>
      <c r="O203" t="inlineStr"/>
      <c r="P203" t="inlineStr"/>
      <c r="Q203" t="inlineStr"/>
      <c r="R203" t="inlineStr"/>
      <c r="S203" t="inlineStr"/>
      <c r="U203">
        <f>290*U202/1000</f>
        <v/>
      </c>
    </row>
    <row r="204">
      <c r="A204">
        <f>Skills!A5</f>
        <v/>
      </c>
      <c r="B204">
        <f>Skills!B5</f>
        <v/>
      </c>
      <c r="C204">
        <f>Inputs!$B$3&gt;=117</f>
        <v/>
      </c>
      <c r="D204">
        <f>IF(Skills!C5=1,60+Inputs!$B$26+Inputs!$B$30,IF(Skills!C5=2,90+Inputs!$B$27+Inputs!$B$30,IF(Skills!C5=3,120+Inputs!$B$28+Inputs!$B$30,MAX(0,(Inputs!$B$3-100)*3)+Inputs!$B$29+Inputs!$B$30)))</f>
        <v/>
      </c>
      <c r="E204">
        <f>INDEX(FactorTable!$B$2:$Y$301, MATCH(ROUND(MIN(300,MAX(1,D204)),0), FactorTable!$A$2:$A$301,0), Skills!M5+1)</f>
        <v/>
      </c>
      <c r="F204">
        <f>IF(Skills!N5=TRUE,(Skills!L5/10)*(E204/1000),Skills!L5/10)+Skills!O5</f>
        <v/>
      </c>
      <c r="G204">
        <f>Skills!G5*IF(Skills!H5&gt;0,INT(IF(Inputs!$B$39="pvp",MIN(Skills!I5,15),Skills!I5)/Skills!H5+0.000000001),1)</f>
        <v/>
      </c>
      <c r="H204">
        <f>1-(1-Skills!J5/100)^Skills!K5</f>
        <v/>
      </c>
      <c r="I204" t="inlineStr">
        <is>
          <t>1</t>
        </is>
      </c>
      <c r="J204">
        <f>((Inputs!$B$6*(1+Inputs!$B$7/100))+(((Inputs!$B$13*(1+Inputs!$B$14/100))-(Inputs!$B$13*(1+Inputs!$B$14/100)))+0.25*(Inputs!$B$15-Inputs!$B$15))*(1+Inputs!$B$7/100))*(F204/100)</f>
        <v/>
      </c>
      <c r="K204">
        <f>J204*(1+(((Inputs!$B$13+IF(Inputs!$B$3&gt;=38,(10*INDEX(FactorTable!$B$2:$Y$301, MATCH(ROUND(MIN(300,MAX(1,Inputs!$B$3)),0), FactorTable!$A$2:$A$301,0), 23)/1000)/100*((Inputs!$B$8+1)*(1+Inputs!$B$9/100)),0))*(1+Inputs!$B$14/100))*0.01+Inputs!$B$15*0.0025)/100)*(1+Inputs!$B$16/100)*(1+Inputs!$B$17/100)*(5000/(6000+Inputs!$B$43*(1-(Inputs!$B$20+0)/100)))*(1+(Inputs!$B$25+((C224=TRUE)*(F224-Calc!F25))+((C225=TRUE)*(F225-Calc!F26))+B234)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gt;=100),MIN(100,((Inputs!$B$10+0+B228+(ArtifactsInput!$M$24-ArtifactsInput!$M$24)*CHOOSE(ArtifactsInput!$N$24+1,10,12,14,16,18,20)+IF(ArtifactsInput!$M$10,CHOOSE(ArtifactsInput!$N$10+1,15,18,21,24,27,30)*(IF(Inputs!$B$39="pvp",MIN(15,15)/15,IF(AND(Inputs!$B$39&lt;&gt;"pvp",Inputs!$B$44&gt;0),MIN(15,Inputs!$B$44)/(Inputs!$B$44),0))),0)))-100),0))*CHOOSE(ArtifactsInput!$N$42+1,0.6,0.72,0.84,0.96,1.08,1.2))),Inputs!$B$19+((C222=TRUE)*(F222-Calc!F23))+(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gt;=100),CHOOSE(ArtifactsInput!$N$42+1,40,48,56,64,72,80),0))))/100)*((1+(((C212=TRUE)*F212*IF(AND(Inputs!$B$39&lt;&gt;"pvp",Inputs!$B$44&gt;0),(((R212-1)*MIN((Skills!T13*(1+Inputs!$B$35/100)),(1/Q212))+MIN((Skills!T13*(1+Inputs!$B$35/100)),MAX(0,Inputs!$B$44-((R212-1)*(1/Q212)))))/Inputs!$B$44),IF(Inputs!$B$39="pvp",MIN((Skills!T13*(1+Inputs!$B$35/100)),15)/15,MIN(1,(Skills!T13*(1+Inputs!$B$35/100))/(1/Q212)))))+((C213=TRUE)*F213*IF(AND(Inputs!$B$39&lt;&gt;"pvp",Inputs!$B$44&gt;0),(((R213-1)*MIN((Skills!T14*(1+Inputs!$B$35/100)),(1/Q213))+MIN((Skills!T14*(1+Inputs!$B$35/100)),MAX(0,Inputs!$B$44-((R213-1)*(1/Q213)))))/Inputs!$B$44),IF(Inputs!$B$39="pvp",MIN((Skills!T14*(1+Inputs!$B$35/100)),15)/15,MIN(1,(Skills!T14*(1+Inputs!$B$35/100))/(1/Q213)))))+((C214=TRUE)*F214*IF(AND(Inputs!$B$39&lt;&gt;"pvp",Inputs!$B$44&gt;0),(((R214-1)*MIN((Skills!T15*(1+Inputs!$B$35/100)),(1/Q214))+MIN((Skills!T15*(1+Inputs!$B$35/100)),MAX(0,Inputs!$B$44-((R214-1)*(1/Q214)))))/Inputs!$B$44),IF(Inputs!$B$39="pvp",MIN((Skills!T15*(1+Inputs!$B$35/100)),15)/15,MIN(1,(Skills!T15*(1+Inputs!$B$35/100))/(1/Q214)))))+((C215=TRUE)*F215*IF(AND(Inputs!$B$39&lt;&gt;"pvp",Inputs!$B$44&gt;0),(((R215-1)*MIN((Skills!T16*(1+Inputs!$B$35/100)),(1/Q215))+MIN((Skills!T16*(1+Inputs!$B$35/100)),MAX(0,Inputs!$B$44-((R215-1)*(1/Q215)))))/Inputs!$B$44),IF(Inputs!$B$39="pvp",MIN((Skills!T16*(1+Inputs!$B$35/100)),15)/15,MIN(1,(Skills!T16*(1+Inputs!$B$35/100))/(1/Q215)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204)</f>
        <v/>
      </c>
      <c r="L204">
        <f>K204*(MIN(Inputs!$B$23+((C221=TRUE)*(F221-Calc!F22)),(Inputs!$B$24+((C223=TRUE)*(F223-Calc!F24))+(IF(ArtifactsInput!$M$15,CHOOSE(ArtifactsInput!$N$15+1,25,30,35,40,45,50)/100*(Inputs!$B$12-Inputs!$B$12),0))))/100+(Inputs!$B$24+((C223=TRUE)*(F223-Calc!F24))+(IF(ArtifactsInput!$M$15,CHOOSE(ArtifactsInput!$N$15+1,25,30,35,40,45,50)/100*(Inputs!$B$12-Inputs!$B$12),0)))/100)/2</f>
        <v/>
      </c>
      <c r="M204">
        <f>L204*(1+(Inputs!$B$11+0+B233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04">
        <f>L204*(1-MIN((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204*(MIN((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4">
        <f>(1-Summary!$B$11)*T204+Summary!$B$11*V204</f>
        <v/>
      </c>
      <c r="P204">
        <f>IF(B238=0,0,O204/B238)</f>
        <v/>
      </c>
      <c r="Q204">
        <f>IFERROR(1/IF(Inputs!$B$39="pvp",15,MAX(0.1,Skills!D5-IF(TRUE=TRUE,Inputs!$B$33,0))),0)</f>
        <v/>
      </c>
      <c r="R204">
        <f>IF(AND(Inputs!$B$39&lt;&gt;"pvp",Inputs!$B$44&gt;0),IF(MAX(0,Inputs!$B$44-B235)&lt;=0,0,(INT(MAX(0,Inputs!$B$44-B235)/IF(Inputs!$B$39="pvp",15,MAX(0.1,Skills!D5-IF(TRUE=TRUE,Inputs!$B$33,0))))+1)),0)</f>
        <v/>
      </c>
      <c r="S204">
        <f>IFERROR(O204/N204,0)</f>
        <v/>
      </c>
      <c r="T204">
        <f>IF(C204,(H204*N204*IF(AND(Inputs!$B$39&lt;&gt;"pvp",Inputs!$B$44&gt;0),((Skills!G5*((R204-1)*IF(Skills!H5&gt;0,INT(Skills!I5/Skills!H5+0.000000001),1)+IF(Skills!H5&gt;0,INT(MIN(Skills!I5,MAX(0,MAX(0,Inputs!$B$44-B235)-((R204-1)*IF(Inputs!$B$39="pvp",15,MAX(0.1,Skills!D5-IF(TRUE=TRUE,Inputs!$B$33,0))))))/Skills!H5+0.000000001),1)))/Inputs!$B$44),G204*Q204))*IF(Inputs!$B$39="pvp",1,1+(Inputs!$B$21+0+Skills!P5+((C216=TRUE)*F216*IF(AND(Inputs!$B$39&lt;&gt;"pvp",Inputs!$B$44&gt;0),(((R216-1)*MIN((Skills!T17*(1+Inputs!$B$35/100)),(1/Q216))+MIN((Skills!T17*(1+Inputs!$B$35/100)),MAX(0,Inputs!$B$44-((R216-1)*(1/Q216)))))/Inputs!$B$44),IF(Inputs!$B$39="pvp",MIN((Skills!T17*(1+Inputs!$B$35/100)),15)/15,MIN(1,(Skills!T17*(1+Inputs!$B$35/100))/(1/Q216)))))+((C204=TRUE)*IF(Inputs!$B$3&gt;=126,10*MIN(1,15*Q204),0))+((C213=TRUE)*IF(Inputs!$B$39="pvp",20,(1-Summary!$B$11)*(20)+Summary!$B$11*(0))*IF(AND(Inputs!$B$39&lt;&gt;"pvp",Inputs!$B$44&gt;0),(((R213-1)*MIN((Skills!T14*(1+Inputs!$B$35/100)),(1/Q213))+MIN((Skills!T14*(1+Inputs!$B$35/100)),MAX(0,Inputs!$B$44-((R213-1)*(1/Q213)))))/Inputs!$B$44),IF(Inputs!$B$39="pvp",MIN((Skills!T14*(1+Inputs!$B$35/100)),15)/15,MIN(1,(Skills!T14*(1+Inputs!$B$35/100))/(1/Q213)))))+((C212=TRUE)*IF(Inputs!$B$3&gt;=82,IF(Inputs!$B$39="pvp",20,(1-Summary!$B$11)*(20)+Summary!$B$11*(0)),0)*IF(AND(Inputs!$B$39&lt;&gt;"pvp",Inputs!$B$44&gt;0),(((R212-1)*MIN((Skills!T13*(1+Inputs!$B$35/100)),(1/Q212))+MIN((Skills!T13*(1+Inputs!$B$35/100)),MAX(0,Inputs!$B$44-((R212-1)*(1/Q212)))))/Inputs!$B$44),IF(Inputs!$B$39="pvp",MIN((Skills!T13*(1+Inputs!$B$35/100)),15)/15,MIN(1,(Skills!T13*(1+Inputs!$B$35/100))/(1/Q212)))))+(IF(AND(ArtifactsInput!$M$35,Inputs!$B$4&lt;&gt;"Chapter Hunt"),CHOOSE(ArtifactsInput!$N$35+1,15,18,21,24,27,30)*(1-EXP(-(0.2*B230)*5)),0)+IF(AND(ArtifactsInput!$M$22,Inputs!$B$4&lt;&gt;"Chapter Hunt"),CHOOSE(ArtifactsInput!$N$22+1,10,12,14,16,18,20)*((0*(((0.15*B230*5))^0/1)+1*(((0.15*B230*5))^1/1)+2*(((0.15*B230*5))^2/2)+3*(((0.15*B230*5))^3/6)+4*(((0.15*B230*5))^4/24)+5*(((0.15*B230*5))^5/120))/((((0.15*B230*5))^0/1)+(((0.15*B230*5))^1/1)+(((0.15*B230*5))^2/2)+(((0.15*B230*5))^3/6)+(((0.15*B230*5))^4/24)+(((0.15*B230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204*(1-MIN(100,(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204*(MIN(100,(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204*(1-MIN(100,(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204*(MIN(100,(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4">
        <f>IF(C204,(H204*N204*IF(AND(Inputs!$B$39&lt;&gt;"pvp",Inputs!$B$44&gt;0),((Skills!G5*((R204-1)*IF(Skills!H5&gt;0,INT(Skills!I5/Skills!H5+0.000000001),1)+IF(Skills!H5&gt;0,INT(MIN(Skills!I5,MAX(0,MAX(0,Inputs!$B$44-B235)-((R204-1)*IF(Inputs!$B$39="pvp",15,MAX(0.1,Skills!D5-IF(TRUE=TRUE,Inputs!$B$33,0))))))/Skills!H5+0.000000001),1)))/Inputs!$B$44),G204*Q204))*IF(Inputs!$B$39="pvp",1,(1+(Inputs!$B$22+Skills!Q5+((C216=TRUE)*F216*IF(AND(Inputs!$B$39&lt;&gt;"pvp",Inputs!$B$44&gt;0),(((R216-1)*MIN((Skills!T17*(1+Inputs!$B$35/100)),(1/Q216))+MIN((Skills!T17*(1+Inputs!$B$35/100)),MAX(0,Inputs!$B$44-((R216-1)*(1/Q216)))))/Inputs!$B$44),IF(Inputs!$B$39="pvp",MIN((Skills!T17*(1+Inputs!$B$35/100)),15)/15,MIN(1,(Skills!T17*(1+Inputs!$B$35/100))/(1/Q216)))))+((C204=TRUE)*IF(Inputs!$B$3&gt;=126,10*MIN(1,15*Q204),0))+((C213=TRUE)*IF(Inputs!$B$39="pvp",20,(1-Summary!$B$11)*(20)+Summary!$B$11*(0))*IF(AND(Inputs!$B$39&lt;&gt;"pvp",Inputs!$B$44&gt;0),(((R213-1)*MIN((Skills!T14*(1+Inputs!$B$35/100)),(1/Q213))+MIN((Skills!T14*(1+Inputs!$B$35/100)),MAX(0,Inputs!$B$44-((R213-1)*(1/Q213)))))/Inputs!$B$44),IF(Inputs!$B$39="pvp",MIN((Skills!T14*(1+Inputs!$B$35/100)),15)/15,MIN(1,(Skills!T14*(1+Inputs!$B$35/100))/(1/Q213)))))+((C212=TRUE)*IF(Inputs!$B$3&gt;=82,IF(Inputs!$B$39="pvp",20,(1-Summary!$B$11)*(20)+Summary!$B$11*(0)),0)*IF(AND(Inputs!$B$39&lt;&gt;"pvp",Inputs!$B$44&gt;0),(((R212-1)*MIN((Skills!T13*(1+Inputs!$B$35/100)),(1/Q212))+MIN((Skills!T13*(1+Inputs!$B$35/100)),MAX(0,Inputs!$B$44-((R212-1)*(1/Q212)))))/Inputs!$B$44),IF(Inputs!$B$39="pvp",MIN((Skills!T13*(1+Inputs!$B$35/100)),15)/15,MIN(1,(Skills!T13*(1+Inputs!$B$35/100))/(1/Q212)))))+(IF(AND(ArtifactsInput!$M$35,Inputs!$B$4&lt;&gt;"Chapter Hunt"),CHOOSE(ArtifactsInput!$N$35+1,15,18,21,24,27,30)*(1-EXP(-(0.2*B230)*5)),0)+IF(AND(ArtifactsInput!$M$22,Inputs!$B$4&lt;&gt;"Chapter Hunt"),CHOOSE(ArtifactsInput!$N$22+1,10,12,14,16,18,20)*((0*(((0.15*B230*5))^0/1)+1*(((0.15*B230*5))^1/1)+2*(((0.15*B230*5))^2/2)+3*(((0.15*B230*5))^3/6)+4*(((0.15*B230*5))^4/24)+5*(((0.15*B230*5))^5/120))/((((0.15*B230*5))^0/1)+(((0.15*B230*5))^1/1)+(((0.15*B230*5))^2/2)+(((0.15*B230*5))^3/6)+(((0.15*B230*5))^4/24)+(((0.15*B230*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5">
      <c r="A205">
        <f>Skills!A6</f>
        <v/>
      </c>
      <c r="B205">
        <f>Skills!B6</f>
        <v/>
      </c>
      <c r="C205">
        <f>Inputs!$B$3&gt;=103</f>
        <v/>
      </c>
      <c r="D205">
        <f>IF(Skills!C6=1,60+Inputs!$B$26+Inputs!$B$30,IF(Skills!C6=2,90+Inputs!$B$27+Inputs!$B$30,IF(Skills!C6=3,120+Inputs!$B$28+Inputs!$B$30,MAX(0,(Inputs!$B$3-100)*3)+Inputs!$B$29+Inputs!$B$30)))</f>
        <v/>
      </c>
      <c r="E205">
        <f>INDEX(FactorTable!$B$2:$Y$301, MATCH(ROUND(MIN(300,MAX(1,D205)),0), FactorTable!$A$2:$A$301,0), Skills!M6+1)</f>
        <v/>
      </c>
      <c r="F205">
        <f>IF(Skills!N6=TRUE,(Skills!L6/10)*(E205/1000),Skills!L6/10)+Skills!O6</f>
        <v/>
      </c>
      <c r="G205">
        <f>Skills!G6*IF(Skills!H6&gt;0,INT(IF(Inputs!$B$39="pvp",MIN(Skills!I6,15),Skills!I6)/Skills!H6+0.000000001),1)</f>
        <v/>
      </c>
      <c r="H205">
        <f>1-(1-Skills!J6/100)^Skills!K6</f>
        <v/>
      </c>
      <c r="I205" t="inlineStr">
        <is>
          <t>1</t>
        </is>
      </c>
      <c r="J205">
        <f>((Inputs!$B$6*(1+Inputs!$B$7/100))+(((Inputs!$B$13*(1+Inputs!$B$14/100))-(Inputs!$B$13*(1+Inputs!$B$14/100)))+0.25*(Inputs!$B$15-Inputs!$B$15))*(1+Inputs!$B$7/100))*(F205/100)</f>
        <v/>
      </c>
      <c r="K205">
        <f>J205*(1+(((Inputs!$B$13+IF(Inputs!$B$3&gt;=38,(10*INDEX(FactorTable!$B$2:$Y$301, MATCH(ROUND(MIN(300,MAX(1,Inputs!$B$3)),0), FactorTable!$A$2:$A$301,0), 23)/1000)/100*((Inputs!$B$8+1)*(1+Inputs!$B$9/100)),0))*(1+Inputs!$B$14/100))*0.01+Inputs!$B$15*0.0025)/100)*(1+Inputs!$B$16/100)*(1+Inputs!$B$17/100)*(5000/(6000+Inputs!$B$43*(1-(Inputs!$B$20+0)/100)))*(1+(Inputs!$B$25+((C224=TRUE)*(F224-Calc!F25))+((C225=TRUE)*(F225-Calc!F26))+B234)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gt;=100),MIN(100,((Inputs!$B$10+0+B228+(ArtifactsInput!$M$24-ArtifactsInput!$M$24)*CHOOSE(ArtifactsInput!$N$24+1,10,12,14,16,18,20)+IF(ArtifactsInput!$M$10,CHOOSE(ArtifactsInput!$N$10+1,15,18,21,24,27,30)*(IF(Inputs!$B$39="pvp",MIN(15,15)/15,IF(AND(Inputs!$B$39&lt;&gt;"pvp",Inputs!$B$44&gt;0),MIN(15,Inputs!$B$44)/(Inputs!$B$44),0))),0)))-100),0))*CHOOSE(ArtifactsInput!$N$42+1,0.6,0.72,0.84,0.96,1.08,1.2))),Inputs!$B$19+((C222=TRUE)*(F222-Calc!F23))+(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gt;=100),CHOOSE(ArtifactsInput!$N$42+1,40,48,56,64,72,80),0))))/100)*((1+(((C212=TRUE)*F212*IF(AND(Inputs!$B$39&lt;&gt;"pvp",Inputs!$B$44&gt;0),(((R212-1)*MIN((Skills!T13*(1+Inputs!$B$35/100)),(1/Q212))+MIN((Skills!T13*(1+Inputs!$B$35/100)),MAX(0,Inputs!$B$44-((R212-1)*(1/Q212)))))/Inputs!$B$44),IF(Inputs!$B$39="pvp",MIN((Skills!T13*(1+Inputs!$B$35/100)),15)/15,MIN(1,(Skills!T13*(1+Inputs!$B$35/100))/(1/Q212)))))+((C213=TRUE)*F213*IF(AND(Inputs!$B$39&lt;&gt;"pvp",Inputs!$B$44&gt;0),(((R213-1)*MIN((Skills!T14*(1+Inputs!$B$35/100)),(1/Q213))+MIN((Skills!T14*(1+Inputs!$B$35/100)),MAX(0,Inputs!$B$44-((R213-1)*(1/Q213)))))/Inputs!$B$44),IF(Inputs!$B$39="pvp",MIN((Skills!T14*(1+Inputs!$B$35/100)),15)/15,MIN(1,(Skills!T14*(1+Inputs!$B$35/100))/(1/Q213)))))+((C214=TRUE)*F214*IF(AND(Inputs!$B$39&lt;&gt;"pvp",Inputs!$B$44&gt;0),(((R214-1)*MIN((Skills!T15*(1+Inputs!$B$35/100)),(1/Q214))+MIN((Skills!T15*(1+Inputs!$B$35/100)),MAX(0,Inputs!$B$44-((R214-1)*(1/Q214)))))/Inputs!$B$44),IF(Inputs!$B$39="pvp",MIN((Skills!T15*(1+Inputs!$B$35/100)),15)/15,MIN(1,(Skills!T15*(1+Inputs!$B$35/100))/(1/Q214)))))+((C215=TRUE)*F215*IF(AND(Inputs!$B$39&lt;&gt;"pvp",Inputs!$B$44&gt;0),(((R215-1)*MIN((Skills!T16*(1+Inputs!$B$35/100)),(1/Q215))+MIN((Skills!T16*(1+Inputs!$B$35/100)),MAX(0,Inputs!$B$44-((R215-1)*(1/Q215)))))/Inputs!$B$44),IF(Inputs!$B$39="pvp",MIN((Skills!T16*(1+Inputs!$B$35/100)),15)/15,MIN(1,(Skills!T16*(1+Inputs!$B$35/100))/(1/Q215)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205)</f>
        <v/>
      </c>
      <c r="L205">
        <f>K205*(MIN(Inputs!$B$23+((C221=TRUE)*(F221-Calc!F22)),(Inputs!$B$24+((C223=TRUE)*(F223-Calc!F24))+(IF(ArtifactsInput!$M$15,CHOOSE(ArtifactsInput!$N$15+1,25,30,35,40,45,50)/100*(Inputs!$B$12-Inputs!$B$12),0))))/100+(Inputs!$B$24+((C223=TRUE)*(F223-Calc!F24))+(IF(ArtifactsInput!$M$15,CHOOSE(ArtifactsInput!$N$15+1,25,30,35,40,45,50)/100*(Inputs!$B$12-Inputs!$B$12),0)))/100)/2</f>
        <v/>
      </c>
      <c r="M205">
        <f>L205*(1+(Inputs!$B$11+0+B233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05">
        <f>L205*(1-MIN((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205*(MIN((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5">
        <f>(1-Summary!$B$11)*T205+Summary!$B$11*V205</f>
        <v/>
      </c>
      <c r="P205">
        <f>IF(B238=0,0,O205/B238)</f>
        <v/>
      </c>
      <c r="Q205">
        <f>IFERROR(1/IF(Inputs!$B$39="pvp",15,MAX(0.1,Skills!D6-IF(TRUE=TRUE,Inputs!$B$33,0))),0)</f>
        <v/>
      </c>
      <c r="R205">
        <f>IF(AND(Inputs!$B$39&lt;&gt;"pvp",Inputs!$B$44&gt;0),IF(MAX(0,Inputs!$B$44-B235)&lt;=0,0,(INT(MAX(0,Inputs!$B$44-B235)/IF(Inputs!$B$39="pvp",15,MAX(0.1,Skills!D6-IF(TRUE=TRUE,Inputs!$B$33,0))))+1)),0)</f>
        <v/>
      </c>
      <c r="S205">
        <f>IFERROR(O205/N205,0)</f>
        <v/>
      </c>
      <c r="T205">
        <f>IF(C205,(H205*N205*IF(AND(Inputs!$B$39&lt;&gt;"pvp",Inputs!$B$44&gt;0),((Skills!G6*((R205-1)*IF(Skills!H6&gt;0,INT(Skills!I6/Skills!H6+0.000000001),1)+IF(Skills!H6&gt;0,INT(MIN(Skills!I6,MAX(0,MAX(0,Inputs!$B$44-B235)-((R205-1)*IF(Inputs!$B$39="pvp",15,MAX(0.1,Skills!D6-IF(TRUE=TRUE,Inputs!$B$33,0))))))/Skills!H6+0.000000001),1)))/Inputs!$B$44),G205*Q205))*IF(Inputs!$B$39="pvp",1,1+(Inputs!$B$21+0+Skills!P6+((C216=TRUE)*F216*IF(AND(Inputs!$B$39&lt;&gt;"pvp",Inputs!$B$44&gt;0),(((R216-1)*MIN((Skills!T17*(1+Inputs!$B$35/100)),(1/Q216))+MIN((Skills!T17*(1+Inputs!$B$35/100)),MAX(0,Inputs!$B$44-((R216-1)*(1/Q216)))))/Inputs!$B$44),IF(Inputs!$B$39="pvp",MIN((Skills!T17*(1+Inputs!$B$35/100)),15)/15,MIN(1,(Skills!T17*(1+Inputs!$B$35/100))/(1/Q216)))))+((C204=TRUE)*IF(Inputs!$B$3&gt;=126,10*MIN(1,15*Q204),0))+((C213=TRUE)*IF(Inputs!$B$39="pvp",20,(1-Summary!$B$11)*(20)+Summary!$B$11*(0))*IF(AND(Inputs!$B$39&lt;&gt;"pvp",Inputs!$B$44&gt;0),(((R213-1)*MIN((Skills!T14*(1+Inputs!$B$35/100)),(1/Q213))+MIN((Skills!T14*(1+Inputs!$B$35/100)),MAX(0,Inputs!$B$44-((R213-1)*(1/Q213)))))/Inputs!$B$44),IF(Inputs!$B$39="pvp",MIN((Skills!T14*(1+Inputs!$B$35/100)),15)/15,MIN(1,(Skills!T14*(1+Inputs!$B$35/100))/(1/Q213)))))+((C212=TRUE)*IF(Inputs!$B$3&gt;=82,IF(Inputs!$B$39="pvp",20,(1-Summary!$B$11)*(20)+Summary!$B$11*(0)),0)*IF(AND(Inputs!$B$39&lt;&gt;"pvp",Inputs!$B$44&gt;0),(((R212-1)*MIN((Skills!T13*(1+Inputs!$B$35/100)),(1/Q212))+MIN((Skills!T13*(1+Inputs!$B$35/100)),MAX(0,Inputs!$B$44-((R212-1)*(1/Q212)))))/Inputs!$B$44),IF(Inputs!$B$39="pvp",MIN((Skills!T13*(1+Inputs!$B$35/100)),15)/15,MIN(1,(Skills!T13*(1+Inputs!$B$35/100))/(1/Q212)))))+(IF(AND(ArtifactsInput!$M$35,Inputs!$B$4&lt;&gt;"Chapter Hunt"),CHOOSE(ArtifactsInput!$N$35+1,15,18,21,24,27,30)*(1-EXP(-(0.2*B230)*5)),0)+IF(AND(ArtifactsInput!$M$22,Inputs!$B$4&lt;&gt;"Chapter Hunt"),CHOOSE(ArtifactsInput!$N$22+1,10,12,14,16,18,20)*((0*(((0.15*B230*5))^0/1)+1*(((0.15*B230*5))^1/1)+2*(((0.15*B230*5))^2/2)+3*(((0.15*B230*5))^3/6)+4*(((0.15*B230*5))^4/24)+5*(((0.15*B230*5))^5/120))/((((0.15*B230*5))^0/1)+(((0.15*B230*5))^1/1)+(((0.15*B230*5))^2/2)+(((0.15*B230*5))^3/6)+(((0.15*B230*5))^4/24)+(((0.15*B230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205*(1-MIN(100,(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205*(MIN(100,(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205*(1-MIN(100,(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205*(MIN(100,(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5">
        <f>IF(C205,(H205*N205*IF(AND(Inputs!$B$39&lt;&gt;"pvp",Inputs!$B$44&gt;0),((Skills!G6*((R205-1)*IF(Skills!H6&gt;0,INT(Skills!I6/Skills!H6+0.000000001),1)+IF(Skills!H6&gt;0,INT(MIN(Skills!I6,MAX(0,MAX(0,Inputs!$B$44-B235)-((R205-1)*IF(Inputs!$B$39="pvp",15,MAX(0.1,Skills!D6-IF(TRUE=TRUE,Inputs!$B$33,0))))))/Skills!H6+0.000000001),1)))/Inputs!$B$44),G205*Q205))*IF(Inputs!$B$39="pvp",1,(1+(Inputs!$B$22+Skills!Q6+((C216=TRUE)*F216*IF(AND(Inputs!$B$39&lt;&gt;"pvp",Inputs!$B$44&gt;0),(((R216-1)*MIN((Skills!T17*(1+Inputs!$B$35/100)),(1/Q216))+MIN((Skills!T17*(1+Inputs!$B$35/100)),MAX(0,Inputs!$B$44-((R216-1)*(1/Q216)))))/Inputs!$B$44),IF(Inputs!$B$39="pvp",MIN((Skills!T17*(1+Inputs!$B$35/100)),15)/15,MIN(1,(Skills!T17*(1+Inputs!$B$35/100))/(1/Q216)))))+((C204=TRUE)*IF(Inputs!$B$3&gt;=126,10*MIN(1,15*Q204),0))+((C213=TRUE)*IF(Inputs!$B$39="pvp",20,(1-Summary!$B$11)*(20)+Summary!$B$11*(0))*IF(AND(Inputs!$B$39&lt;&gt;"pvp",Inputs!$B$44&gt;0),(((R213-1)*MIN((Skills!T14*(1+Inputs!$B$35/100)),(1/Q213))+MIN((Skills!T14*(1+Inputs!$B$35/100)),MAX(0,Inputs!$B$44-((R213-1)*(1/Q213)))))/Inputs!$B$44),IF(Inputs!$B$39="pvp",MIN((Skills!T14*(1+Inputs!$B$35/100)),15)/15,MIN(1,(Skills!T14*(1+Inputs!$B$35/100))/(1/Q213)))))+((C212=TRUE)*IF(Inputs!$B$3&gt;=82,IF(Inputs!$B$39="pvp",20,(1-Summary!$B$11)*(20)+Summary!$B$11*(0)),0)*IF(AND(Inputs!$B$39&lt;&gt;"pvp",Inputs!$B$44&gt;0),(((R212-1)*MIN((Skills!T13*(1+Inputs!$B$35/100)),(1/Q212))+MIN((Skills!T13*(1+Inputs!$B$35/100)),MAX(0,Inputs!$B$44-((R212-1)*(1/Q212)))))/Inputs!$B$44),IF(Inputs!$B$39="pvp",MIN((Skills!T13*(1+Inputs!$B$35/100)),15)/15,MIN(1,(Skills!T13*(1+Inputs!$B$35/100))/(1/Q212)))))+(IF(AND(ArtifactsInput!$M$35,Inputs!$B$4&lt;&gt;"Chapter Hunt"),CHOOSE(ArtifactsInput!$N$35+1,15,18,21,24,27,30)*(1-EXP(-(0.2*B230)*5)),0)+IF(AND(ArtifactsInput!$M$22,Inputs!$B$4&lt;&gt;"Chapter Hunt"),CHOOSE(ArtifactsInput!$N$22+1,10,12,14,16,18,20)*((0*(((0.15*B230*5))^0/1)+1*(((0.15*B230*5))^1/1)+2*(((0.15*B230*5))^2/2)+3*(((0.15*B230*5))^3/6)+4*(((0.15*B230*5))^4/24)+5*(((0.15*B230*5))^5/120))/((((0.15*B230*5))^0/1)+(((0.15*B230*5))^1/1)+(((0.15*B230*5))^2/2)+(((0.15*B230*5))^3/6)+(((0.15*B230*5))^4/24)+(((0.15*B230*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6">
      <c r="A206">
        <f>Skills!A7</f>
        <v/>
      </c>
      <c r="B206">
        <f>Skills!B7</f>
        <v/>
      </c>
      <c r="C206">
        <f>Inputs!$B$3&gt;=40</f>
        <v/>
      </c>
      <c r="D206">
        <f>IF(Skills!C7=1,60+Inputs!$B$26+Inputs!$B$30,IF(Skills!C7=2,90+Inputs!$B$27+Inputs!$B$30,IF(Skills!C7=3,120+Inputs!$B$28+Inputs!$B$30,MAX(0,(Inputs!$B$3-100)*3)+Inputs!$B$29+Inputs!$B$30)))</f>
        <v/>
      </c>
      <c r="E206">
        <f>INDEX(FactorTable!$B$2:$Y$301, MATCH(ROUND(MIN(300,MAX(1,D206)),0), FactorTable!$A$2:$A$301,0), Skills!M7+1)</f>
        <v/>
      </c>
      <c r="F206">
        <f>IF(Skills!N7=TRUE,(Skills!L7/10)*(E206/1000),Skills!L7/10)+Skills!O7</f>
        <v/>
      </c>
      <c r="G206">
        <f>Skills!G7*IF(Skills!H7&gt;0,INT(IF(Inputs!$B$39="pvp",MIN(Skills!I7,15),Skills!I7)/Skills!H7+0.000000001),1)</f>
        <v/>
      </c>
      <c r="H206">
        <f>1-(1-Skills!J7/100)^Skills!K7</f>
        <v/>
      </c>
      <c r="I206" t="inlineStr">
        <is>
          <t>1</t>
        </is>
      </c>
      <c r="J206">
        <f>((Inputs!$B$6*(1+Inputs!$B$7/100))+(((Inputs!$B$13*(1+Inputs!$B$14/100))-(Inputs!$B$13*(1+Inputs!$B$14/100)))+0.25*(Inputs!$B$15-Inputs!$B$15))*(1+Inputs!$B$7/100))*(F206/100)</f>
        <v/>
      </c>
      <c r="K206">
        <f>J206*(1+(((Inputs!$B$13+IF(Inputs!$B$3&gt;=38,(10*INDEX(FactorTable!$B$2:$Y$301, MATCH(ROUND(MIN(300,MAX(1,Inputs!$B$3)),0), FactorTable!$A$2:$A$301,0), 23)/1000)/100*((Inputs!$B$8+1)*(1+Inputs!$B$9/100)),0))*(1+Inputs!$B$14/100))*0.01+Inputs!$B$15*0.0025)/100)*(1+Inputs!$B$16/100)*(1+Inputs!$B$17/100)*(5000/(6000+Inputs!$B$43*(1-(Inputs!$B$20+0)/100)))*(1+(Inputs!$B$25+((C224=TRUE)*(F224-Calc!F25))+((C225=TRUE)*(F225-Calc!F26))+B234)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210=TRUE,F210,0)/100)*(1+(IF(Skills!A7="DARK_IMPALE",Inputs!$B$18+0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gt;=100),MIN(100,((Inputs!$B$10+0+B228+(ArtifactsInput!$M$24-ArtifactsInput!$M$24)*CHOOSE(ArtifactsInput!$N$24+1,10,12,14,16,18,20)+IF(ArtifactsInput!$M$10,CHOOSE(ArtifactsInput!$N$10+1,15,18,21,24,27,30)*(IF(Inputs!$B$39="pvp",MIN(15,15)/15,IF(AND(Inputs!$B$39&lt;&gt;"pvp",Inputs!$B$44&gt;0),MIN(15,Inputs!$B$44)/(Inputs!$B$44),0))),0)))-100),0))*CHOOSE(ArtifactsInput!$N$42+1,0.6,0.72,0.84,0.96,1.08,1.2))),Inputs!$B$19+((C222=TRUE)*(F222-Calc!F23))+(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gt;=100),CHOOSE(ArtifactsInput!$N$42+1,40,48,56,64,72,80),0))))/100)*((1+(((C212=TRUE)*F212*IF(AND(Inputs!$B$39&lt;&gt;"pvp",Inputs!$B$44&gt;0),(((R212-1)*MIN((Skills!T13*(1+Inputs!$B$35/100)),(1/Q212))+MIN((Skills!T13*(1+Inputs!$B$35/100)),MAX(0,Inputs!$B$44-((R212-1)*(1/Q212)))))/Inputs!$B$44),IF(Inputs!$B$39="pvp",MIN((Skills!T13*(1+Inputs!$B$35/100)),15)/15,MIN(1,(Skills!T13*(1+Inputs!$B$35/100))/(1/Q212)))))+((C213=TRUE)*F213*IF(AND(Inputs!$B$39&lt;&gt;"pvp",Inputs!$B$44&gt;0),(((R213-1)*MIN((Skills!T14*(1+Inputs!$B$35/100)),(1/Q213))+MIN((Skills!T14*(1+Inputs!$B$35/100)),MAX(0,Inputs!$B$44-((R213-1)*(1/Q213)))))/Inputs!$B$44),IF(Inputs!$B$39="pvp",MIN((Skills!T14*(1+Inputs!$B$35/100)),15)/15,MIN(1,(Skills!T14*(1+Inputs!$B$35/100))/(1/Q213)))))+((C214=TRUE)*F214*IF(AND(Inputs!$B$39&lt;&gt;"pvp",Inputs!$B$44&gt;0),(((R214-1)*MIN((Skills!T15*(1+Inputs!$B$35/100)),(1/Q214))+MIN((Skills!T15*(1+Inputs!$B$35/100)),MAX(0,Inputs!$B$44-((R214-1)*(1/Q214)))))/Inputs!$B$44),IF(Inputs!$B$39="pvp",MIN((Skills!T15*(1+Inputs!$B$35/100)),15)/15,MIN(1,(Skills!T15*(1+Inputs!$B$35/100))/(1/Q214)))))+((C215=TRUE)*F215*IF(AND(Inputs!$B$39&lt;&gt;"pvp",Inputs!$B$44&gt;0),(((R215-1)*MIN((Skills!T16*(1+Inputs!$B$35/100)),(1/Q215))+MIN((Skills!T16*(1+Inputs!$B$35/100)),MAX(0,Inputs!$B$44-((R215-1)*(1/Q215)))))/Inputs!$B$44),IF(Inputs!$B$39="pvp",MIN((Skills!T16*(1+Inputs!$B$35/100)),15)/15,MIN(1,(Skills!T16*(1+Inputs!$B$35/100))/(1/Q215)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206)</f>
        <v/>
      </c>
      <c r="L206">
        <f>K206*(MIN(Inputs!$B$23+((C221=TRUE)*(F221-Calc!F22)),(Inputs!$B$24+((C223=TRUE)*(F223-Calc!F24))+(IF(ArtifactsInput!$M$15,CHOOSE(ArtifactsInput!$N$15+1,25,30,35,40,45,50)/100*(Inputs!$B$12-Inputs!$B$12),0))))/100+(Inputs!$B$24+((C223=TRUE)*(F223-Calc!F24))+(IF(ArtifactsInput!$M$15,CHOOSE(ArtifactsInput!$N$15+1,25,30,35,40,45,50)/100*(Inputs!$B$12-Inputs!$B$12),0)))/100)/2</f>
        <v/>
      </c>
      <c r="M206">
        <f>L206*(1+(Inputs!$B$11+0+B233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06">
        <f>L206*(1-MIN((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206*(MIN((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6">
        <f>(1-Summary!$B$11)*T206+Summary!$B$11*V206</f>
        <v/>
      </c>
      <c r="P206">
        <f>IF(B238=0,0,O206/B238)</f>
        <v/>
      </c>
      <c r="Q206">
        <f>IFERROR(1/IF(Inputs!$B$39="pvp",15,MAX(0.1,Skills!D7-IF(TRUE=TRUE,Inputs!$B$33,0))),0)</f>
        <v/>
      </c>
      <c r="R206">
        <f>IF(AND(Inputs!$B$39&lt;&gt;"pvp",Inputs!$B$44&gt;0),IF(MAX(0,Inputs!$B$44-B235)&lt;=0,0,(INT(MAX(0,Inputs!$B$44-B235)/IF(Inputs!$B$39="pvp",15,MAX(0.1,Skills!D7-IF(TRUE=TRUE,Inputs!$B$33,0))))+1)),0)</f>
        <v/>
      </c>
      <c r="S206">
        <f>IFERROR(O206/N206,0)</f>
        <v/>
      </c>
      <c r="T206">
        <f>IF(C206,(H206*N206*IF(AND(Inputs!$B$39&lt;&gt;"pvp",Inputs!$B$44&gt;0),((Skills!G7*((R206-1)*IF(Skills!H7&gt;0,INT(Skills!I7/Skills!H7+0.000000001),1)+IF(Skills!H7&gt;0,INT(MIN(Skills!I7,MAX(0,MAX(0,Inputs!$B$44-B235)-((R206-1)*IF(Inputs!$B$39="pvp",15,MAX(0.1,Skills!D7-IF(TRUE=TRUE,Inputs!$B$33,0))))))/Skills!H7+0.000000001),1)))/Inputs!$B$44),G206*Q206))*IF(Inputs!$B$39="pvp",1,1+(Inputs!$B$21+0+Skills!P7+((C216=TRUE)*F216*IF(AND(Inputs!$B$39&lt;&gt;"pvp",Inputs!$B$44&gt;0),(((R216-1)*MIN((Skills!T17*(1+Inputs!$B$35/100)),(1/Q216))+MIN((Skills!T17*(1+Inputs!$B$35/100)),MAX(0,Inputs!$B$44-((R216-1)*(1/Q216)))))/Inputs!$B$44),IF(Inputs!$B$39="pvp",MIN((Skills!T17*(1+Inputs!$B$35/100)),15)/15,MIN(1,(Skills!T17*(1+Inputs!$B$35/100))/(1/Q216)))))+((C204=TRUE)*IF(Inputs!$B$3&gt;=126,10*MIN(1,15*Q204),0))+((C213=TRUE)*IF(Inputs!$B$39="pvp",20,(1-Summary!$B$11)*(20)+Summary!$B$11*(0))*IF(AND(Inputs!$B$39&lt;&gt;"pvp",Inputs!$B$44&gt;0),(((R213-1)*MIN((Skills!T14*(1+Inputs!$B$35/100)),(1/Q213))+MIN((Skills!T14*(1+Inputs!$B$35/100)),MAX(0,Inputs!$B$44-((R213-1)*(1/Q213)))))/Inputs!$B$44),IF(Inputs!$B$39="pvp",MIN((Skills!T14*(1+Inputs!$B$35/100)),15)/15,MIN(1,(Skills!T14*(1+Inputs!$B$35/100))/(1/Q213)))))+((C212=TRUE)*IF(Inputs!$B$3&gt;=82,IF(Inputs!$B$39="pvp",20,(1-Summary!$B$11)*(20)+Summary!$B$11*(0)),0)*IF(AND(Inputs!$B$39&lt;&gt;"pvp",Inputs!$B$44&gt;0),(((R212-1)*MIN((Skills!T13*(1+Inputs!$B$35/100)),(1/Q212))+MIN((Skills!T13*(1+Inputs!$B$35/100)),MAX(0,Inputs!$B$44-((R212-1)*(1/Q212)))))/Inputs!$B$44),IF(Inputs!$B$39="pvp",MIN((Skills!T13*(1+Inputs!$B$35/100)),15)/15,MIN(1,(Skills!T13*(1+Inputs!$B$35/100))/(1/Q212)))))+(IF(AND(ArtifactsInput!$M$35,Inputs!$B$4&lt;&gt;"Chapter Hunt"),CHOOSE(ArtifactsInput!$N$35+1,15,18,21,24,27,30)*(1-EXP(-(0.2*B230)*5)),0)+IF(AND(ArtifactsInput!$M$22,Inputs!$B$4&lt;&gt;"Chapter Hunt"),CHOOSE(ArtifactsInput!$N$22+1,10,12,14,16,18,20)*((0*(((0.15*B230*5))^0/1)+1*(((0.15*B230*5))^1/1)+2*(((0.15*B230*5))^2/2)+3*(((0.15*B230*5))^3/6)+4*(((0.15*B230*5))^4/24)+5*(((0.15*B230*5))^5/120))/((((0.15*B230*5))^0/1)+(((0.15*B230*5))^1/1)+(((0.15*B230*5))^2/2)+(((0.15*B230*5))^3/6)+(((0.15*B230*5))^4/24)+(((0.15*B230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206*(1-MIN(100,(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206*(MIN(100,(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206*(1-MIN(100,(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206*(MIN(100,(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6">
        <f>IF(C206,(H206*N206*IF(AND(Inputs!$B$39&lt;&gt;"pvp",Inputs!$B$44&gt;0),((Skills!G7*((R206-1)*IF(Skills!H7&gt;0,INT(Skills!I7/Skills!H7+0.000000001),1)+IF(Skills!H7&gt;0,INT(MIN(Skills!I7,MAX(0,MAX(0,Inputs!$B$44-B235)-((R206-1)*IF(Inputs!$B$39="pvp",15,MAX(0.1,Skills!D7-IF(TRUE=TRUE,Inputs!$B$33,0))))))/Skills!H7+0.000000001),1)))/Inputs!$B$44),G206*Q206))*IF(Inputs!$B$39="pvp",1,(1+(Inputs!$B$22+Skills!Q7+((C216=TRUE)*F216*IF(AND(Inputs!$B$39&lt;&gt;"pvp",Inputs!$B$44&gt;0),(((R216-1)*MIN((Skills!T17*(1+Inputs!$B$35/100)),(1/Q216))+MIN((Skills!T17*(1+Inputs!$B$35/100)),MAX(0,Inputs!$B$44-((R216-1)*(1/Q216)))))/Inputs!$B$44),IF(Inputs!$B$39="pvp",MIN((Skills!T17*(1+Inputs!$B$35/100)),15)/15,MIN(1,(Skills!T17*(1+Inputs!$B$35/100))/(1/Q216)))))+((C204=TRUE)*IF(Inputs!$B$3&gt;=126,10*MIN(1,15*Q204),0))+((C213=TRUE)*IF(Inputs!$B$39="pvp",20,(1-Summary!$B$11)*(20)+Summary!$B$11*(0))*IF(AND(Inputs!$B$39&lt;&gt;"pvp",Inputs!$B$44&gt;0),(((R213-1)*MIN((Skills!T14*(1+Inputs!$B$35/100)),(1/Q213))+MIN((Skills!T14*(1+Inputs!$B$35/100)),MAX(0,Inputs!$B$44-((R213-1)*(1/Q213)))))/Inputs!$B$44),IF(Inputs!$B$39="pvp",MIN((Skills!T14*(1+Inputs!$B$35/100)),15)/15,MIN(1,(Skills!T14*(1+Inputs!$B$35/100))/(1/Q213)))))+((C212=TRUE)*IF(Inputs!$B$3&gt;=82,IF(Inputs!$B$39="pvp",20,(1-Summary!$B$11)*(20)+Summary!$B$11*(0)),0)*IF(AND(Inputs!$B$39&lt;&gt;"pvp",Inputs!$B$44&gt;0),(((R212-1)*MIN((Skills!T13*(1+Inputs!$B$35/100)),(1/Q212))+MIN((Skills!T13*(1+Inputs!$B$35/100)),MAX(0,Inputs!$B$44-((R212-1)*(1/Q212)))))/Inputs!$B$44),IF(Inputs!$B$39="pvp",MIN((Skills!T13*(1+Inputs!$B$35/100)),15)/15,MIN(1,(Skills!T13*(1+Inputs!$B$35/100))/(1/Q212)))))+(IF(AND(ArtifactsInput!$M$35,Inputs!$B$4&lt;&gt;"Chapter Hunt"),CHOOSE(ArtifactsInput!$N$35+1,15,18,21,24,27,30)*(1-EXP(-(0.2*B230)*5)),0)+IF(AND(ArtifactsInput!$M$22,Inputs!$B$4&lt;&gt;"Chapter Hunt"),CHOOSE(ArtifactsInput!$N$22+1,10,12,14,16,18,20)*((0*(((0.15*B230*5))^0/1)+1*(((0.15*B230*5))^1/1)+2*(((0.15*B230*5))^2/2)+3*(((0.15*B230*5))^3/6)+4*(((0.15*B230*5))^4/24)+5*(((0.15*B230*5))^5/120))/((((0.15*B230*5))^0/1)+(((0.15*B230*5))^1/1)+(((0.15*B230*5))^2/2)+(((0.15*B230*5))^3/6)+(((0.15*B230*5))^4/24)+(((0.15*B230*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7">
      <c r="A207">
        <f>Skills!A8</f>
        <v/>
      </c>
      <c r="B207">
        <f>Skills!B8</f>
        <v/>
      </c>
      <c r="C207">
        <f>Inputs!$B$3&gt;=75</f>
        <v/>
      </c>
      <c r="D207">
        <f>IF(Skills!C8=1,60+Inputs!$B$26+Inputs!$B$30,IF(Skills!C8=2,90+Inputs!$B$27+Inputs!$B$30,IF(Skills!C8=3,120+Inputs!$B$28+Inputs!$B$30,MAX(0,(Inputs!$B$3-100)*3)+Inputs!$B$29+Inputs!$B$30)))</f>
        <v/>
      </c>
      <c r="E207">
        <f>INDEX(FactorTable!$B$2:$Y$301, MATCH(ROUND(MIN(300,MAX(1,D207)),0), FactorTable!$A$2:$A$301,0), Skills!M8+1)</f>
        <v/>
      </c>
      <c r="F207">
        <f>IF(Skills!N8=TRUE,(Skills!L8/10)*(E207/1000),Skills!L8/10)+Skills!O8</f>
        <v/>
      </c>
      <c r="G207" t="inlineStr"/>
      <c r="H207" t="inlineStr"/>
      <c r="I207" t="inlineStr">
        <is>
          <t>1</t>
        </is>
      </c>
      <c r="J207" t="inlineStr"/>
      <c r="K207" t="inlineStr"/>
      <c r="L207" t="inlineStr"/>
      <c r="M207" t="inlineStr"/>
      <c r="N207" t="inlineStr"/>
      <c r="O207" t="inlineStr"/>
      <c r="P207" t="inlineStr"/>
      <c r="Q207" t="inlineStr"/>
      <c r="R207" t="inlineStr"/>
      <c r="S207" t="inlineStr"/>
    </row>
    <row r="208">
      <c r="A208">
        <f>Skills!A9</f>
        <v/>
      </c>
      <c r="B208">
        <f>Skills!B9</f>
        <v/>
      </c>
      <c r="C208">
        <f>Inputs!$B$3&gt;=60</f>
        <v/>
      </c>
      <c r="D208">
        <f>IF(Skills!C9=1,60+Inputs!$B$26+Inputs!$B$30,IF(Skills!C9=2,90+Inputs!$B$27+Inputs!$B$30,IF(Skills!C9=3,120+Inputs!$B$28+Inputs!$B$30,MAX(0,(Inputs!$B$3-100)*3)+Inputs!$B$29+Inputs!$B$30)))</f>
        <v/>
      </c>
      <c r="E208">
        <f>INDEX(FactorTable!$B$2:$Y$301, MATCH(ROUND(MIN(300,MAX(1,D208)),0), FactorTable!$A$2:$A$301,0), Skills!M9+1)</f>
        <v/>
      </c>
      <c r="F208">
        <f>IF(Skills!N9=TRUE,(Skills!L9/10)*(E208/1000),Skills!L9/10)+Skills!O9</f>
        <v/>
      </c>
      <c r="G208">
        <f>Skills!G9*IF(Skills!H9&gt;0,INT(IF(Inputs!$B$39="pvp",MIN(Skills!I9,15),Skills!I9)/Skills!H9+0.000000001),1)</f>
        <v/>
      </c>
      <c r="H208">
        <f>1-(1-Skills!J9/100)^Skills!K9</f>
        <v/>
      </c>
      <c r="I208" t="inlineStr">
        <is>
          <t>1</t>
        </is>
      </c>
      <c r="J208">
        <f>((Inputs!$B$6*(1+Inputs!$B$7/100))+(((Inputs!$B$13*(1+Inputs!$B$14/100))-(Inputs!$B$13*(1+Inputs!$B$14/100)))+0.25*(Inputs!$B$15-Inputs!$B$15))*(1+Inputs!$B$7/100))*(F208/100)</f>
        <v/>
      </c>
      <c r="K208">
        <f>J208*(1+(((Inputs!$B$13+IF(Inputs!$B$3&gt;=38,(10*INDEX(FactorTable!$B$2:$Y$301, MATCH(ROUND(MIN(300,MAX(1,Inputs!$B$3)),0), FactorTable!$A$2:$A$301,0), 23)/1000)/100*((Inputs!$B$8+1)*(1+Inputs!$B$9/100)),0))*(1+Inputs!$B$14/100))*0.01+Inputs!$B$15*0.0025)/100)*(1+Inputs!$B$16/100)*(1+Inputs!$B$17/100)*(5000/(6000+Inputs!$B$43*(1-(Inputs!$B$20+0)/100)))*(1+(Inputs!$B$25+((C224=TRUE)*(F224-Calc!F25))+((C225=TRUE)*(F225-Calc!F26))+B234)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210=TRUE,F210,0)/100)*(1+(IF(Skills!A9="DARK_IMPALE",Inputs!$B$18+0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gt;=100),MIN(100,((Inputs!$B$10+0+B228+(ArtifactsInput!$M$24-ArtifactsInput!$M$24)*CHOOSE(ArtifactsInput!$N$24+1,10,12,14,16,18,20)+IF(ArtifactsInput!$M$10,CHOOSE(ArtifactsInput!$N$10+1,15,18,21,24,27,30)*(IF(Inputs!$B$39="pvp",MIN(15,15)/15,IF(AND(Inputs!$B$39&lt;&gt;"pvp",Inputs!$B$44&gt;0),MIN(15,Inputs!$B$44)/(Inputs!$B$44),0))),0)))-100),0))*CHOOSE(ArtifactsInput!$N$42+1,0.6,0.72,0.84,0.96,1.08,1.2))),Inputs!$B$19+((C222=TRUE)*(F222-Calc!F23))+(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gt;=100),CHOOSE(ArtifactsInput!$N$42+1,40,48,56,64,72,80),0))))/100)*((1+(((C212=TRUE)*F212*IF(AND(Inputs!$B$39&lt;&gt;"pvp",Inputs!$B$44&gt;0),(((R212-1)*MIN((Skills!T13*(1+Inputs!$B$35/100)),(1/Q212))+MIN((Skills!T13*(1+Inputs!$B$35/100)),MAX(0,Inputs!$B$44-((R212-1)*(1/Q212)))))/Inputs!$B$44),IF(Inputs!$B$39="pvp",MIN((Skills!T13*(1+Inputs!$B$35/100)),15)/15,MIN(1,(Skills!T13*(1+Inputs!$B$35/100))/(1/Q212)))))+((C213=TRUE)*F213*IF(AND(Inputs!$B$39&lt;&gt;"pvp",Inputs!$B$44&gt;0),(((R213-1)*MIN((Skills!T14*(1+Inputs!$B$35/100)),(1/Q213))+MIN((Skills!T14*(1+Inputs!$B$35/100)),MAX(0,Inputs!$B$44-((R213-1)*(1/Q213)))))/Inputs!$B$44),IF(Inputs!$B$39="pvp",MIN((Skills!T14*(1+Inputs!$B$35/100)),15)/15,MIN(1,(Skills!T14*(1+Inputs!$B$35/100))/(1/Q213)))))+((C214=TRUE)*F214*IF(AND(Inputs!$B$39&lt;&gt;"pvp",Inputs!$B$44&gt;0),(((R214-1)*MIN((Skills!T15*(1+Inputs!$B$35/100)),(1/Q214))+MIN((Skills!T15*(1+Inputs!$B$35/100)),MAX(0,Inputs!$B$44-((R214-1)*(1/Q214)))))/Inputs!$B$44),IF(Inputs!$B$39="pvp",MIN((Skills!T15*(1+Inputs!$B$35/100)),15)/15,MIN(1,(Skills!T15*(1+Inputs!$B$35/100))/(1/Q214)))))+((C215=TRUE)*F215*IF(AND(Inputs!$B$39&lt;&gt;"pvp",Inputs!$B$44&gt;0),(((R215-1)*MIN((Skills!T16*(1+Inputs!$B$35/100)),(1/Q215))+MIN((Skills!T16*(1+Inputs!$B$35/100)),MAX(0,Inputs!$B$44-((R215-1)*(1/Q215)))))/Inputs!$B$44),IF(Inputs!$B$39="pvp",MIN((Skills!T16*(1+Inputs!$B$35/100)),15)/15,MIN(1,(Skills!T16*(1+Inputs!$B$35/100))/(1/Q215)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208)</f>
        <v/>
      </c>
      <c r="L208">
        <f>K208*(MIN(Inputs!$B$23+((C221=TRUE)*(F221-Calc!F22)),(Inputs!$B$24+((C223=TRUE)*(F223-Calc!F24))+(IF(ArtifactsInput!$M$15,CHOOSE(ArtifactsInput!$N$15+1,25,30,35,40,45,50)/100*(Inputs!$B$12-Inputs!$B$12),0))))/100+(Inputs!$B$24+((C223=TRUE)*(F223-Calc!F24))+(IF(ArtifactsInput!$M$15,CHOOSE(ArtifactsInput!$N$15+1,25,30,35,40,45,50)/100*(Inputs!$B$12-Inputs!$B$12),0)))/100)/2</f>
        <v/>
      </c>
      <c r="M208">
        <f>L208*(1+(Inputs!$B$11+0+B233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08">
        <f>L208*(1-MIN((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208*(MIN((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8">
        <f>(1-Summary!$B$11)*T208+Summary!$B$11*V208</f>
        <v/>
      </c>
      <c r="P208">
        <f>IF(B238=0,0,O208/B238)</f>
        <v/>
      </c>
      <c r="Q208">
        <f>IFERROR(1/IF(Inputs!$B$39="pvp",15,MAX(0.1,Skills!D9-IF(TRUE=TRUE,Inputs!$B$33,0))),0)</f>
        <v/>
      </c>
      <c r="R208">
        <f>IF(AND(Inputs!$B$39&lt;&gt;"pvp",Inputs!$B$44&gt;0),IF(MAX(0,Inputs!$B$44-B235)&lt;=0,0,(INT(MAX(0,Inputs!$B$44-B235)/IF(Inputs!$B$39="pvp",15,MAX(0.1,Skills!D9-IF(TRUE=TRUE,Inputs!$B$33,0))))+1)),0)</f>
        <v/>
      </c>
      <c r="S208">
        <f>IFERROR(O208/N208,0)</f>
        <v/>
      </c>
      <c r="T208">
        <f>IF(C208,(H208*N208*IF(AND(Inputs!$B$39&lt;&gt;"pvp",Inputs!$B$44&gt;0),((Skills!G9*((R208-1)*IF(Skills!H9&gt;0,INT(Skills!I9/Skills!H9+0.000000001),1)+IF(Skills!H9&gt;0,INT(MIN(Skills!I9,MAX(0,MAX(0,Inputs!$B$44-B235)-((R208-1)*IF(Inputs!$B$39="pvp",15,MAX(0.1,Skills!D9-IF(TRUE=TRUE,Inputs!$B$33,0))))))/Skills!H9+0.000000001),1)))/Inputs!$B$44),G208*Q208))*IF(Inputs!$B$39="pvp",1,1+(Inputs!$B$21+0+Skills!P9+((C216=TRUE)*F216*IF(AND(Inputs!$B$39&lt;&gt;"pvp",Inputs!$B$44&gt;0),(((R216-1)*MIN((Skills!T17*(1+Inputs!$B$35/100)),(1/Q216))+MIN((Skills!T17*(1+Inputs!$B$35/100)),MAX(0,Inputs!$B$44-((R216-1)*(1/Q216)))))/Inputs!$B$44),IF(Inputs!$B$39="pvp",MIN((Skills!T17*(1+Inputs!$B$35/100)),15)/15,MIN(1,(Skills!T17*(1+Inputs!$B$35/100))/(1/Q216)))))+((C204=TRUE)*IF(Inputs!$B$3&gt;=126,10*MIN(1,15*Q204),0))+((C213=TRUE)*IF(Inputs!$B$39="pvp",20,(1-Summary!$B$11)*(20)+Summary!$B$11*(0))*IF(AND(Inputs!$B$39&lt;&gt;"pvp",Inputs!$B$44&gt;0),(((R213-1)*MIN((Skills!T14*(1+Inputs!$B$35/100)),(1/Q213))+MIN((Skills!T14*(1+Inputs!$B$35/100)),MAX(0,Inputs!$B$44-((R213-1)*(1/Q213)))))/Inputs!$B$44),IF(Inputs!$B$39="pvp",MIN((Skills!T14*(1+Inputs!$B$35/100)),15)/15,MIN(1,(Skills!T14*(1+Inputs!$B$35/100))/(1/Q213)))))+((C212=TRUE)*IF(Inputs!$B$3&gt;=82,IF(Inputs!$B$39="pvp",20,(1-Summary!$B$11)*(20)+Summary!$B$11*(0)),0)*IF(AND(Inputs!$B$39&lt;&gt;"pvp",Inputs!$B$44&gt;0),(((R212-1)*MIN((Skills!T13*(1+Inputs!$B$35/100)),(1/Q212))+MIN((Skills!T13*(1+Inputs!$B$35/100)),MAX(0,Inputs!$B$44-((R212-1)*(1/Q212)))))/Inputs!$B$44),IF(Inputs!$B$39="pvp",MIN((Skills!T13*(1+Inputs!$B$35/100)),15)/15,MIN(1,(Skills!T13*(1+Inputs!$B$35/100))/(1/Q212)))))+(IF(AND(ArtifactsInput!$M$35,Inputs!$B$4&lt;&gt;"Chapter Hunt"),CHOOSE(ArtifactsInput!$N$35+1,15,18,21,24,27,30)*(1-EXP(-(0.2*B230)*5)),0)+IF(AND(ArtifactsInput!$M$22,Inputs!$B$4&lt;&gt;"Chapter Hunt"),CHOOSE(ArtifactsInput!$N$22+1,10,12,14,16,18,20)*((0*(((0.15*B230*5))^0/1)+1*(((0.15*B230*5))^1/1)+2*(((0.15*B230*5))^2/2)+3*(((0.15*B230*5))^3/6)+4*(((0.15*B230*5))^4/24)+5*(((0.15*B230*5))^5/120))/((((0.15*B230*5))^0/1)+(((0.15*B230*5))^1/1)+(((0.15*B230*5))^2/2)+(((0.15*B230*5))^3/6)+(((0.15*B230*5))^4/24)+(((0.15*B230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208*(1-MIN(100,(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208*(MIN(100,(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208*(1-MIN(100,(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208*(MIN(100,(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8">
        <f>IF(C208,(H208*N208*IF(AND(Inputs!$B$39&lt;&gt;"pvp",Inputs!$B$44&gt;0),((Skills!G9*((R208-1)*IF(Skills!H9&gt;0,INT(Skills!I9/Skills!H9+0.000000001),1)+IF(Skills!H9&gt;0,INT(MIN(Skills!I9,MAX(0,MAX(0,Inputs!$B$44-B235)-((R208-1)*IF(Inputs!$B$39="pvp",15,MAX(0.1,Skills!D9-IF(TRUE=TRUE,Inputs!$B$33,0))))))/Skills!H9+0.000000001),1)))/Inputs!$B$44),G208*Q208))*IF(Inputs!$B$39="pvp",1,(1+(Inputs!$B$22+Skills!Q9+((C216=TRUE)*F216*IF(AND(Inputs!$B$39&lt;&gt;"pvp",Inputs!$B$44&gt;0),(((R216-1)*MIN((Skills!T17*(1+Inputs!$B$35/100)),(1/Q216))+MIN((Skills!T17*(1+Inputs!$B$35/100)),MAX(0,Inputs!$B$44-((R216-1)*(1/Q216)))))/Inputs!$B$44),IF(Inputs!$B$39="pvp",MIN((Skills!T17*(1+Inputs!$B$35/100)),15)/15,MIN(1,(Skills!T17*(1+Inputs!$B$35/100))/(1/Q216)))))+((C204=TRUE)*IF(Inputs!$B$3&gt;=126,10*MIN(1,15*Q204),0))+((C213=TRUE)*IF(Inputs!$B$39="pvp",20,(1-Summary!$B$11)*(20)+Summary!$B$11*(0))*IF(AND(Inputs!$B$39&lt;&gt;"pvp",Inputs!$B$44&gt;0),(((R213-1)*MIN((Skills!T14*(1+Inputs!$B$35/100)),(1/Q213))+MIN((Skills!T14*(1+Inputs!$B$35/100)),MAX(0,Inputs!$B$44-((R213-1)*(1/Q213)))))/Inputs!$B$44),IF(Inputs!$B$39="pvp",MIN((Skills!T14*(1+Inputs!$B$35/100)),15)/15,MIN(1,(Skills!T14*(1+Inputs!$B$35/100))/(1/Q213)))))+((C212=TRUE)*IF(Inputs!$B$3&gt;=82,IF(Inputs!$B$39="pvp",20,(1-Summary!$B$11)*(20)+Summary!$B$11*(0)),0)*IF(AND(Inputs!$B$39&lt;&gt;"pvp",Inputs!$B$44&gt;0),(((R212-1)*MIN((Skills!T13*(1+Inputs!$B$35/100)),(1/Q212))+MIN((Skills!T13*(1+Inputs!$B$35/100)),MAX(0,Inputs!$B$44-((R212-1)*(1/Q212)))))/Inputs!$B$44),IF(Inputs!$B$39="pvp",MIN((Skills!T13*(1+Inputs!$B$35/100)),15)/15,MIN(1,(Skills!T13*(1+Inputs!$B$35/100))/(1/Q212)))))+(IF(AND(ArtifactsInput!$M$35,Inputs!$B$4&lt;&gt;"Chapter Hunt"),CHOOSE(ArtifactsInput!$N$35+1,15,18,21,24,27,30)*(1-EXP(-(0.2*B230)*5)),0)+IF(AND(ArtifactsInput!$M$22,Inputs!$B$4&lt;&gt;"Chapter Hunt"),CHOOSE(ArtifactsInput!$N$22+1,10,12,14,16,18,20)*((0*(((0.15*B230*5))^0/1)+1*(((0.15*B230*5))^1/1)+2*(((0.15*B230*5))^2/2)+3*(((0.15*B230*5))^3/6)+4*(((0.15*B230*5))^4/24)+5*(((0.15*B230*5))^5/120))/((((0.15*B230*5))^0/1)+(((0.15*B230*5))^1/1)+(((0.15*B230*5))^2/2)+(((0.15*B230*5))^3/6)+(((0.15*B230*5))^4/24)+(((0.15*B230*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9">
      <c r="A209">
        <f>Skills!A10</f>
        <v/>
      </c>
      <c r="B209">
        <f>Skills!B10</f>
        <v/>
      </c>
      <c r="C209">
        <f>Inputs!$B$3&gt;=110</f>
        <v/>
      </c>
      <c r="D209">
        <f>IF(Skills!C10=1,60+Inputs!$B$26+Inputs!$B$30,IF(Skills!C10=2,90+Inputs!$B$27+Inputs!$B$30,IF(Skills!C10=3,120+Inputs!$B$28+Inputs!$B$30,MAX(0,(Inputs!$B$3-100)*3)+Inputs!$B$29+Inputs!$B$30)))</f>
        <v/>
      </c>
      <c r="E209">
        <f>INDEX(FactorTable!$B$2:$Y$301, MATCH(ROUND(MIN(300,MAX(1,D209)),0), FactorTable!$A$2:$A$301,0), Skills!M10+1)</f>
        <v/>
      </c>
      <c r="F209">
        <f>IF(Skills!N10=TRUE,(Skills!L10/10)*(E209/1000),Skills!L10/10)+Skills!O10</f>
        <v/>
      </c>
      <c r="G209">
        <f>Skills!G10*IF(Skills!H10&gt;0,INT(IF(Inputs!$B$39="pvp",MIN(Skills!I10,15),Skills!I10)/Skills!H10+0.000000001),1)</f>
        <v/>
      </c>
      <c r="H209">
        <f>1-(1-Skills!J10/100)^Skills!K10</f>
        <v/>
      </c>
      <c r="I209" t="inlineStr">
        <is>
          <t>1</t>
        </is>
      </c>
      <c r="J209">
        <f>((Inputs!$B$6*(1+Inputs!$B$7/100))+(((Inputs!$B$13*(1+Inputs!$B$14/100))-(Inputs!$B$13*(1+Inputs!$B$14/100)))+0.25*(Inputs!$B$15-Inputs!$B$15))*(1+Inputs!$B$7/100))*(F209/100)</f>
        <v/>
      </c>
      <c r="K209">
        <f>J209*(1+(((Inputs!$B$13+IF(Inputs!$B$3&gt;=38,(10*INDEX(FactorTable!$B$2:$Y$301, MATCH(ROUND(MIN(300,MAX(1,Inputs!$B$3)),0), FactorTable!$A$2:$A$301,0), 23)/1000)/100*((Inputs!$B$8+1)*(1+Inputs!$B$9/100)),0))*(1+Inputs!$B$14/100))*0.01+Inputs!$B$15*0.0025)/100)*(1+Inputs!$B$16/100)*(1+Inputs!$B$17/100)*(5000/(6000+Inputs!$B$43*(1-(Inputs!$B$20+0)/100)))*(1+(Inputs!$B$25+((C224=TRUE)*(F224-Calc!F25))+((C225=TRUE)*(F225-Calc!F26))+B234)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gt;=100),MIN(100,((Inputs!$B$10+0+B228+(ArtifactsInput!$M$24-ArtifactsInput!$M$24)*CHOOSE(ArtifactsInput!$N$24+1,10,12,14,16,18,20)+IF(ArtifactsInput!$M$10,CHOOSE(ArtifactsInput!$N$10+1,15,18,21,24,27,30)*(IF(Inputs!$B$39="pvp",MIN(15,15)/15,IF(AND(Inputs!$B$39&lt;&gt;"pvp",Inputs!$B$44&gt;0),MIN(15,Inputs!$B$44)/(Inputs!$B$44),0))),0)))-100),0))*CHOOSE(ArtifactsInput!$N$42+1,0.6,0.72,0.84,0.96,1.08,1.2))),Inputs!$B$19+((C222=TRUE)*(F222-Calc!F23))+(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gt;=100),CHOOSE(ArtifactsInput!$N$42+1,40,48,56,64,72,80),0))))/100)*((1+(((C212=TRUE)*F212*IF(AND(Inputs!$B$39&lt;&gt;"pvp",Inputs!$B$44&gt;0),(((R212-1)*MIN((Skills!T13*(1+Inputs!$B$35/100)),(1/Q212))+MIN((Skills!T13*(1+Inputs!$B$35/100)),MAX(0,Inputs!$B$44-((R212-1)*(1/Q212)))))/Inputs!$B$44),IF(Inputs!$B$39="pvp",MIN((Skills!T13*(1+Inputs!$B$35/100)),15)/15,MIN(1,(Skills!T13*(1+Inputs!$B$35/100))/(1/Q212)))))+((C213=TRUE)*F213*IF(AND(Inputs!$B$39&lt;&gt;"pvp",Inputs!$B$44&gt;0),(((R213-1)*MIN((Skills!T14*(1+Inputs!$B$35/100)),(1/Q213))+MIN((Skills!T14*(1+Inputs!$B$35/100)),MAX(0,Inputs!$B$44-((R213-1)*(1/Q213)))))/Inputs!$B$44),IF(Inputs!$B$39="pvp",MIN((Skills!T14*(1+Inputs!$B$35/100)),15)/15,MIN(1,(Skills!T14*(1+Inputs!$B$35/100))/(1/Q213)))))+((C214=TRUE)*F214*IF(AND(Inputs!$B$39&lt;&gt;"pvp",Inputs!$B$44&gt;0),(((R214-1)*MIN((Skills!T15*(1+Inputs!$B$35/100)),(1/Q214))+MIN((Skills!T15*(1+Inputs!$B$35/100)),MAX(0,Inputs!$B$44-((R214-1)*(1/Q214)))))/Inputs!$B$44),IF(Inputs!$B$39="pvp",MIN((Skills!T15*(1+Inputs!$B$35/100)),15)/15,MIN(1,(Skills!T15*(1+Inputs!$B$35/100))/(1/Q214)))))+((C215=TRUE)*F215*IF(AND(Inputs!$B$39&lt;&gt;"pvp",Inputs!$B$44&gt;0),(((R215-1)*MIN((Skills!T16*(1+Inputs!$B$35/100)),(1/Q215))+MIN((Skills!T16*(1+Inputs!$B$35/100)),MAX(0,Inputs!$B$44-((R215-1)*(1/Q215)))))/Inputs!$B$44),IF(Inputs!$B$39="pvp",MIN((Skills!T16*(1+Inputs!$B$35/100)),15)/15,MIN(1,(Skills!T16*(1+Inputs!$B$35/100))/(1/Q215)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209)</f>
        <v/>
      </c>
      <c r="L209">
        <f>K209*(MIN(Inputs!$B$23+((C221=TRUE)*(F221-Calc!F22)),(Inputs!$B$24+((C223=TRUE)*(F223-Calc!F24))+(IF(ArtifactsInput!$M$15,CHOOSE(ArtifactsInput!$N$15+1,25,30,35,40,45,50)/100*(Inputs!$B$12-Inputs!$B$12),0))))/100+(Inputs!$B$24+((C223=TRUE)*(F223-Calc!F24))+(IF(ArtifactsInput!$M$15,CHOOSE(ArtifactsInput!$N$15+1,25,30,35,40,45,50)/100*(Inputs!$B$12-Inputs!$B$12),0)))/100)/2</f>
        <v/>
      </c>
      <c r="M209">
        <f>L209*(1+(Inputs!$B$11+0+B233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09">
        <f>L209*(1-MIN((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209*(MIN((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9">
        <f>(1-Summary!$B$11)*T209+Summary!$B$11*V209</f>
        <v/>
      </c>
      <c r="P209">
        <f>IF(B238=0,0,O209/B238)</f>
        <v/>
      </c>
      <c r="Q209">
        <f>IFERROR(1/IF(Inputs!$B$39="pvp",15,MAX(0.1,Skills!D10-IF(TRUE=TRUE,Inputs!$B$33,0))),0)</f>
        <v/>
      </c>
      <c r="R209">
        <f>IF(AND(Inputs!$B$39&lt;&gt;"pvp",Inputs!$B$44&gt;0),IF(MAX(0,Inputs!$B$44-B235)&lt;=0,0,(INT(MAX(0,Inputs!$B$44-B235)/IF(Inputs!$B$39="pvp",15,MAX(0.1,Skills!D10-IF(TRUE=TRUE,Inputs!$B$33,0))))+1)),0)</f>
        <v/>
      </c>
      <c r="S209">
        <f>IFERROR(O209/N209,0)</f>
        <v/>
      </c>
      <c r="T209">
        <f>IF(C209,(H209*N209*IF(AND(Inputs!$B$39&lt;&gt;"pvp",Inputs!$B$44&gt;0),((Skills!G10*((R209-1)*IF(Skills!H10&gt;0,INT(Skills!I10/Skills!H10+0.000000001),1)+IF(Skills!H10&gt;0,INT(MIN(Skills!I10,MAX(0,MAX(0,Inputs!$B$44-B235)-((R209-1)*IF(Inputs!$B$39="pvp",15,MAX(0.1,Skills!D10-IF(TRUE=TRUE,Inputs!$B$33,0))))))/Skills!H10+0.000000001),1)))/Inputs!$B$44),G209*Q209))*IF(Inputs!$B$39="pvp",1,1+(Inputs!$B$21+0+Skills!P10+((C216=TRUE)*F216*IF(AND(Inputs!$B$39&lt;&gt;"pvp",Inputs!$B$44&gt;0),(((R216-1)*MIN((Skills!T17*(1+Inputs!$B$35/100)),(1/Q216))+MIN((Skills!T17*(1+Inputs!$B$35/100)),MAX(0,Inputs!$B$44-((R216-1)*(1/Q216)))))/Inputs!$B$44),IF(Inputs!$B$39="pvp",MIN((Skills!T17*(1+Inputs!$B$35/100)),15)/15,MIN(1,(Skills!T17*(1+Inputs!$B$35/100))/(1/Q216)))))+((C204=TRUE)*IF(Inputs!$B$3&gt;=126,10*MIN(1,15*Q204),0))+((C213=TRUE)*IF(Inputs!$B$39="pvp",20,(1-Summary!$B$11)*(20)+Summary!$B$11*(0))*IF(AND(Inputs!$B$39&lt;&gt;"pvp",Inputs!$B$44&gt;0),(((R213-1)*MIN((Skills!T14*(1+Inputs!$B$35/100)),(1/Q213))+MIN((Skills!T14*(1+Inputs!$B$35/100)),MAX(0,Inputs!$B$44-((R213-1)*(1/Q213)))))/Inputs!$B$44),IF(Inputs!$B$39="pvp",MIN((Skills!T14*(1+Inputs!$B$35/100)),15)/15,MIN(1,(Skills!T14*(1+Inputs!$B$35/100))/(1/Q213)))))+((C212=TRUE)*IF(Inputs!$B$3&gt;=82,IF(Inputs!$B$39="pvp",20,(1-Summary!$B$11)*(20)+Summary!$B$11*(0)),0)*IF(AND(Inputs!$B$39&lt;&gt;"pvp",Inputs!$B$44&gt;0),(((R212-1)*MIN((Skills!T13*(1+Inputs!$B$35/100)),(1/Q212))+MIN((Skills!T13*(1+Inputs!$B$35/100)),MAX(0,Inputs!$B$44-((R212-1)*(1/Q212)))))/Inputs!$B$44),IF(Inputs!$B$39="pvp",MIN((Skills!T13*(1+Inputs!$B$35/100)),15)/15,MIN(1,(Skills!T13*(1+Inputs!$B$35/100))/(1/Q212)))))+(IF(AND(ArtifactsInput!$M$35,Inputs!$B$4&lt;&gt;"Chapter Hunt"),CHOOSE(ArtifactsInput!$N$35+1,15,18,21,24,27,30)*(1-EXP(-(0.2*B230)*5)),0)+IF(AND(ArtifactsInput!$M$22,Inputs!$B$4&lt;&gt;"Chapter Hunt"),CHOOSE(ArtifactsInput!$N$22+1,10,12,14,16,18,20)*((0*(((0.15*B230*5))^0/1)+1*(((0.15*B230*5))^1/1)+2*(((0.15*B230*5))^2/2)+3*(((0.15*B230*5))^3/6)+4*(((0.15*B230*5))^4/24)+5*(((0.15*B230*5))^5/120))/((((0.15*B230*5))^0/1)+(((0.15*B230*5))^1/1)+(((0.15*B230*5))^2/2)+(((0.15*B230*5))^3/6)+(((0.15*B230*5))^4/24)+(((0.15*B230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209*(1-MIN(100,(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209*(MIN(100,(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209*(1-MIN(100,(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209*(MIN(100,(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9">
        <f>IF(C209,(H209*N209*IF(AND(Inputs!$B$39&lt;&gt;"pvp",Inputs!$B$44&gt;0),((Skills!G10*((R209-1)*IF(Skills!H10&gt;0,INT(Skills!I10/Skills!H10+0.000000001),1)+IF(Skills!H10&gt;0,INT(MIN(Skills!I10,MAX(0,MAX(0,Inputs!$B$44-B235)-((R209-1)*IF(Inputs!$B$39="pvp",15,MAX(0.1,Skills!D10-IF(TRUE=TRUE,Inputs!$B$33,0))))))/Skills!H10+0.000000001),1)))/Inputs!$B$44),G209*Q209))*IF(Inputs!$B$39="pvp",1,(1+(Inputs!$B$22+Skills!Q10+((C216=TRUE)*F216*IF(AND(Inputs!$B$39&lt;&gt;"pvp",Inputs!$B$44&gt;0),(((R216-1)*MIN((Skills!T17*(1+Inputs!$B$35/100)),(1/Q216))+MIN((Skills!T17*(1+Inputs!$B$35/100)),MAX(0,Inputs!$B$44-((R216-1)*(1/Q216)))))/Inputs!$B$44),IF(Inputs!$B$39="pvp",MIN((Skills!T17*(1+Inputs!$B$35/100)),15)/15,MIN(1,(Skills!T17*(1+Inputs!$B$35/100))/(1/Q216)))))+((C204=TRUE)*IF(Inputs!$B$3&gt;=126,10*MIN(1,15*Q204),0))+((C213=TRUE)*IF(Inputs!$B$39="pvp",20,(1-Summary!$B$11)*(20)+Summary!$B$11*(0))*IF(AND(Inputs!$B$39&lt;&gt;"pvp",Inputs!$B$44&gt;0),(((R213-1)*MIN((Skills!T14*(1+Inputs!$B$35/100)),(1/Q213))+MIN((Skills!T14*(1+Inputs!$B$35/100)),MAX(0,Inputs!$B$44-((R213-1)*(1/Q213)))))/Inputs!$B$44),IF(Inputs!$B$39="pvp",MIN((Skills!T14*(1+Inputs!$B$35/100)),15)/15,MIN(1,(Skills!T14*(1+Inputs!$B$35/100))/(1/Q213)))))+((C212=TRUE)*IF(Inputs!$B$3&gt;=82,IF(Inputs!$B$39="pvp",20,(1-Summary!$B$11)*(20)+Summary!$B$11*(0)),0)*IF(AND(Inputs!$B$39&lt;&gt;"pvp",Inputs!$B$44&gt;0),(((R212-1)*MIN((Skills!T13*(1+Inputs!$B$35/100)),(1/Q212))+MIN((Skills!T13*(1+Inputs!$B$35/100)),MAX(0,Inputs!$B$44-((R212-1)*(1/Q212)))))/Inputs!$B$44),IF(Inputs!$B$39="pvp",MIN((Skills!T13*(1+Inputs!$B$35/100)),15)/15,MIN(1,(Skills!T13*(1+Inputs!$B$35/100))/(1/Q212)))))+(IF(AND(ArtifactsInput!$M$35,Inputs!$B$4&lt;&gt;"Chapter Hunt"),CHOOSE(ArtifactsInput!$N$35+1,15,18,21,24,27,30)*(1-EXP(-(0.2*B230)*5)),0)+IF(AND(ArtifactsInput!$M$22,Inputs!$B$4&lt;&gt;"Chapter Hunt"),CHOOSE(ArtifactsInput!$N$22+1,10,12,14,16,18,20)*((0*(((0.15*B230*5))^0/1)+1*(((0.15*B230*5))^1/1)+2*(((0.15*B230*5))^2/2)+3*(((0.15*B230*5))^3/6)+4*(((0.15*B230*5))^4/24)+5*(((0.15*B230*5))^5/120))/((((0.15*B230*5))^0/1)+(((0.15*B230*5))^1/1)+(((0.15*B230*5))^2/2)+(((0.15*B230*5))^3/6)+(((0.15*B230*5))^4/24)+(((0.15*B230*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0">
      <c r="A210">
        <f>Skills!A11</f>
        <v/>
      </c>
      <c r="B210">
        <f>Skills!B11</f>
        <v/>
      </c>
      <c r="C210">
        <f>Inputs!$B$3&gt;=100</f>
        <v/>
      </c>
      <c r="D210">
        <f>IF(Skills!C11=1,60+Inputs!$B$26+Inputs!$B$30,IF(Skills!C11=2,90+Inputs!$B$27+Inputs!$B$30,IF(Skills!C11=3,120+Inputs!$B$28+Inputs!$B$30,MAX(0,(Inputs!$B$3-100)*3)+Inputs!$B$29+Inputs!$B$30)))</f>
        <v/>
      </c>
      <c r="E210">
        <f>INDEX(FactorTable!$B$2:$Y$301, MATCH(ROUND(MIN(300,MAX(1,D210)),0), FactorTable!$A$2:$A$301,0), Skills!M11+1)</f>
        <v/>
      </c>
      <c r="F210">
        <f>IF(Skills!N11=TRUE,(Skills!L11/10)*(E210/1000),Skills!L11/10)+Skills!O11</f>
        <v/>
      </c>
      <c r="G210" t="inlineStr"/>
      <c r="H210" t="inlineStr"/>
      <c r="I210" t="inlineStr">
        <is>
          <t>1</t>
        </is>
      </c>
      <c r="J210" t="inlineStr"/>
      <c r="K210" t="inlineStr"/>
      <c r="L210" t="inlineStr"/>
      <c r="M210" t="inlineStr"/>
      <c r="N210" t="inlineStr"/>
      <c r="O210" t="inlineStr"/>
      <c r="P210" t="inlineStr"/>
      <c r="Q210" t="inlineStr"/>
      <c r="R210" t="inlineStr"/>
      <c r="S210" t="inlineStr"/>
    </row>
    <row r="211">
      <c r="A211">
        <f>Skills!A12</f>
        <v/>
      </c>
      <c r="B211">
        <f>Skills!B12</f>
        <v/>
      </c>
      <c r="C211">
        <f>Inputs!$B$3&gt;=63</f>
        <v/>
      </c>
      <c r="D211">
        <f>IF(Skills!C12=1,60+Inputs!$B$26+Inputs!$B$30,IF(Skills!C12=2,90+Inputs!$B$27+Inputs!$B$30,IF(Skills!C12=3,120+Inputs!$B$28+Inputs!$B$30,MAX(0,(Inputs!$B$3-100)*3)+Inputs!$B$29+Inputs!$B$30)))</f>
        <v/>
      </c>
      <c r="E211">
        <f>INDEX(FactorTable!$B$2:$Y$301, MATCH(ROUND(MIN(300,MAX(1,D211)),0), FactorTable!$A$2:$A$301,0), Skills!M12+1)</f>
        <v/>
      </c>
      <c r="F211">
        <f>IF(Skills!N12=TRUE,(Skills!L12/10)*(E211/1000),Skills!L12/10)+Skills!O12</f>
        <v/>
      </c>
      <c r="G211">
        <f>Skills!G12*IF(Skills!H12&gt;0,INT(IF(Inputs!$B$39="pvp",MIN(Skills!I12,15),Skills!I12)/Skills!H12+0.000000001),1)</f>
        <v/>
      </c>
      <c r="H211">
        <f>1-(1-Skills!J12/100)^Skills!K12</f>
        <v/>
      </c>
      <c r="I211" t="inlineStr">
        <is>
          <t>1</t>
        </is>
      </c>
      <c r="J211">
        <f>((Inputs!$B$6*(1+Inputs!$B$7/100))+(((Inputs!$B$13*(1+Inputs!$B$14/100))-(Inputs!$B$13*(1+Inputs!$B$14/100)))+0.25*(Inputs!$B$15-Inputs!$B$15))*(1+Inputs!$B$7/100))*(F211/100)</f>
        <v/>
      </c>
      <c r="K211">
        <f>J211*(1+(((Inputs!$B$13+IF(Inputs!$B$3&gt;=38,(10*INDEX(FactorTable!$B$2:$Y$301, MATCH(ROUND(MIN(300,MAX(1,Inputs!$B$3)),0), FactorTable!$A$2:$A$301,0), 23)/1000)/100*((Inputs!$B$8+1)*(1+Inputs!$B$9/100)),0))*(1+Inputs!$B$14/100))*0.01+Inputs!$B$15*0.0025)/100)*(1+Inputs!$B$16/100)*(1+Inputs!$B$17/100)*(5000/(6000+Inputs!$B$43*(1-(Inputs!$B$20+0)/100)))*(1+(Inputs!$B$25+((C224=TRUE)*(F224-Calc!F25))+((C225=TRUE)*(F225-Calc!F26))+B234)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210=TRUE,F210,0)/100)*(1+(IF(Skills!A12="DARK_IMPALE",Inputs!$B$18+0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gt;=100),MIN(100,((Inputs!$B$10+0+B228+(ArtifactsInput!$M$24-ArtifactsInput!$M$24)*CHOOSE(ArtifactsInput!$N$24+1,10,12,14,16,18,20)+IF(ArtifactsInput!$M$10,CHOOSE(ArtifactsInput!$N$10+1,15,18,21,24,27,30)*(IF(Inputs!$B$39="pvp",MIN(15,15)/15,IF(AND(Inputs!$B$39&lt;&gt;"pvp",Inputs!$B$44&gt;0),MIN(15,Inputs!$B$44)/(Inputs!$B$44),0))),0)))-100),0))*CHOOSE(ArtifactsInput!$N$42+1,0.6,0.72,0.84,0.96,1.08,1.2))),Inputs!$B$19+((C222=TRUE)*(F222-Calc!F23))+(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gt;=100),CHOOSE(ArtifactsInput!$N$42+1,40,48,56,64,72,80),0))))/100)*((1+(((C212=TRUE)*F212*IF(AND(Inputs!$B$39&lt;&gt;"pvp",Inputs!$B$44&gt;0),(((R212-1)*MIN((Skills!T13*(1+Inputs!$B$35/100)),(1/Q212))+MIN((Skills!T13*(1+Inputs!$B$35/100)),MAX(0,Inputs!$B$44-((R212-1)*(1/Q212)))))/Inputs!$B$44),IF(Inputs!$B$39="pvp",MIN((Skills!T13*(1+Inputs!$B$35/100)),15)/15,MIN(1,(Skills!T13*(1+Inputs!$B$35/100))/(1/Q212)))))+((C213=TRUE)*F213*IF(AND(Inputs!$B$39&lt;&gt;"pvp",Inputs!$B$44&gt;0),(((R213-1)*MIN((Skills!T14*(1+Inputs!$B$35/100)),(1/Q213))+MIN((Skills!T14*(1+Inputs!$B$35/100)),MAX(0,Inputs!$B$44-((R213-1)*(1/Q213)))))/Inputs!$B$44),IF(Inputs!$B$39="pvp",MIN((Skills!T14*(1+Inputs!$B$35/100)),15)/15,MIN(1,(Skills!T14*(1+Inputs!$B$35/100))/(1/Q213)))))+((C214=TRUE)*F214*IF(AND(Inputs!$B$39&lt;&gt;"pvp",Inputs!$B$44&gt;0),(((R214-1)*MIN((Skills!T15*(1+Inputs!$B$35/100)),(1/Q214))+MIN((Skills!T15*(1+Inputs!$B$35/100)),MAX(0,Inputs!$B$44-((R214-1)*(1/Q214)))))/Inputs!$B$44),IF(Inputs!$B$39="pvp",MIN((Skills!T15*(1+Inputs!$B$35/100)),15)/15,MIN(1,(Skills!T15*(1+Inputs!$B$35/100))/(1/Q214)))))+((C215=TRUE)*F215*IF(AND(Inputs!$B$39&lt;&gt;"pvp",Inputs!$B$44&gt;0),(((R215-1)*MIN((Skills!T16*(1+Inputs!$B$35/100)),(1/Q215))+MIN((Skills!T16*(1+Inputs!$B$35/100)),MAX(0,Inputs!$B$44-((R215-1)*(1/Q215)))))/Inputs!$B$44),IF(Inputs!$B$39="pvp",MIN((Skills!T16*(1+Inputs!$B$35/100)),15)/15,MIN(1,(Skills!T16*(1+Inputs!$B$35/100))/(1/Q215)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211)</f>
        <v/>
      </c>
      <c r="L211">
        <f>K211*(MIN(Inputs!$B$23+((C221=TRUE)*(F221-Calc!F22)),(Inputs!$B$24+((C223=TRUE)*(F223-Calc!F24))+(IF(ArtifactsInput!$M$15,CHOOSE(ArtifactsInput!$N$15+1,25,30,35,40,45,50)/100*(Inputs!$B$12-Inputs!$B$12),0))))/100+(Inputs!$B$24+((C223=TRUE)*(F223-Calc!F24))+(IF(ArtifactsInput!$M$15,CHOOSE(ArtifactsInput!$N$15+1,25,30,35,40,45,50)/100*(Inputs!$B$12-Inputs!$B$12),0)))/100)/2</f>
        <v/>
      </c>
      <c r="M211">
        <f>L211*(1+(Inputs!$B$11+0+B233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11">
        <f>L211*(1-MIN((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211*(MIN((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1">
        <f>(1-Summary!$B$11)*T211+Summary!$B$11*V211</f>
        <v/>
      </c>
      <c r="P211">
        <f>IF(B238=0,0,O211/B238)</f>
        <v/>
      </c>
      <c r="Q211">
        <f>IFERROR(1/IF(Inputs!$B$39="pvp",15,MAX(0.1,Skills!D12-IF(TRUE=TRUE,Inputs!$B$33,0))),0)</f>
        <v/>
      </c>
      <c r="R211">
        <f>IF(AND(Inputs!$B$39&lt;&gt;"pvp",Inputs!$B$44&gt;0),IF(MAX(0,Inputs!$B$44-B235)&lt;=0,0,(INT(MAX(0,Inputs!$B$44-B235)/IF(Inputs!$B$39="pvp",15,MAX(0.1,Skills!D12-IF(TRUE=TRUE,Inputs!$B$33,0))))+1)),0)</f>
        <v/>
      </c>
      <c r="S211">
        <f>IFERROR(O211/N211,0)</f>
        <v/>
      </c>
      <c r="T211">
        <f>IF(C211,(H211*N211*IF(AND(Inputs!$B$39&lt;&gt;"pvp",Inputs!$B$44&gt;0),((Skills!G12*((R211-1)*IF(Skills!H12&gt;0,INT(Skills!I12/Skills!H12+0.000000001),1)+IF(Skills!H12&gt;0,INT(MIN(Skills!I12,MAX(0,MAX(0,Inputs!$B$44-B235)-((R211-1)*IF(Inputs!$B$39="pvp",15,MAX(0.1,Skills!D12-IF(TRUE=TRUE,Inputs!$B$33,0))))))/Skills!H12+0.000000001),1)))/Inputs!$B$44),G211*Q211))*IF(Inputs!$B$39="pvp",1,1+(Inputs!$B$21+0+Skills!P12+((C216=TRUE)*F216*IF(AND(Inputs!$B$39&lt;&gt;"pvp",Inputs!$B$44&gt;0),(((R216-1)*MIN((Skills!T17*(1+Inputs!$B$35/100)),(1/Q216))+MIN((Skills!T17*(1+Inputs!$B$35/100)),MAX(0,Inputs!$B$44-((R216-1)*(1/Q216)))))/Inputs!$B$44),IF(Inputs!$B$39="pvp",MIN((Skills!T17*(1+Inputs!$B$35/100)),15)/15,MIN(1,(Skills!T17*(1+Inputs!$B$35/100))/(1/Q216)))))+((C204=TRUE)*IF(Inputs!$B$3&gt;=126,10*MIN(1,15*Q204),0))+((C213=TRUE)*IF(Inputs!$B$39="pvp",20,(1-Summary!$B$11)*(20)+Summary!$B$11*(0))*IF(AND(Inputs!$B$39&lt;&gt;"pvp",Inputs!$B$44&gt;0),(((R213-1)*MIN((Skills!T14*(1+Inputs!$B$35/100)),(1/Q213))+MIN((Skills!T14*(1+Inputs!$B$35/100)),MAX(0,Inputs!$B$44-((R213-1)*(1/Q213)))))/Inputs!$B$44),IF(Inputs!$B$39="pvp",MIN((Skills!T14*(1+Inputs!$B$35/100)),15)/15,MIN(1,(Skills!T14*(1+Inputs!$B$35/100))/(1/Q213)))))+((C212=TRUE)*IF(Inputs!$B$3&gt;=82,IF(Inputs!$B$39="pvp",20,(1-Summary!$B$11)*(20)+Summary!$B$11*(0)),0)*IF(AND(Inputs!$B$39&lt;&gt;"pvp",Inputs!$B$44&gt;0),(((R212-1)*MIN((Skills!T13*(1+Inputs!$B$35/100)),(1/Q212))+MIN((Skills!T13*(1+Inputs!$B$35/100)),MAX(0,Inputs!$B$44-((R212-1)*(1/Q212)))))/Inputs!$B$44),IF(Inputs!$B$39="pvp",MIN((Skills!T13*(1+Inputs!$B$35/100)),15)/15,MIN(1,(Skills!T13*(1+Inputs!$B$35/100))/(1/Q212)))))+(IF(AND(ArtifactsInput!$M$35,Inputs!$B$4&lt;&gt;"Chapter Hunt"),CHOOSE(ArtifactsInput!$N$35+1,15,18,21,24,27,30)*(1-EXP(-(0.2*B230)*5)),0)+IF(AND(ArtifactsInput!$M$22,Inputs!$B$4&lt;&gt;"Chapter Hunt"),CHOOSE(ArtifactsInput!$N$22+1,10,12,14,16,18,20)*((0*(((0.15*B230*5))^0/1)+1*(((0.15*B230*5))^1/1)+2*(((0.15*B230*5))^2/2)+3*(((0.15*B230*5))^3/6)+4*(((0.15*B230*5))^4/24)+5*(((0.15*B230*5))^5/120))/((((0.15*B230*5))^0/1)+(((0.15*B230*5))^1/1)+(((0.15*B230*5))^2/2)+(((0.15*B230*5))^3/6)+(((0.15*B230*5))^4/24)+(((0.15*B230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211*(1-MIN(100,(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211*(MIN(100,(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211*(1-MIN(100,(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211*(MIN(100,(Inputs!$B$10+0+B228+(ArtifactsInput!$M$24-ArtifactsInput!$M$24)*CHOOSE(ArtifactsInput!$N$24+1,10,12,14,16,18,20)+(IF(AND(Inputs!$B$39&lt;&gt;"pvp",Inputs!$B$44=0),1,IF(IF(Inputs!$B$39="pvp",15,Inputs!$B$44)-(B235)&lt;=0,1,MAX(0,IF(Inputs!$B$39="pvp",15,Inputs!$B$44)-MAX(5,B235))/(IF(Inputs!$B$39="pvp",15,Inputs!$B$44)-(B235))))*IF(AND(ArtifactsInput!$M$42,((Inputs!$B$10+0+B228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1">
        <f>IF(C211,(H211*N211*IF(AND(Inputs!$B$39&lt;&gt;"pvp",Inputs!$B$44&gt;0),((Skills!G12*((R211-1)*IF(Skills!H12&gt;0,INT(Skills!I12/Skills!H12+0.000000001),1)+IF(Skills!H12&gt;0,INT(MIN(Skills!I12,MAX(0,MAX(0,Inputs!$B$44-B235)-((R211-1)*IF(Inputs!$B$39="pvp",15,MAX(0.1,Skills!D12-IF(TRUE=TRUE,Inputs!$B$33,0))))))/Skills!H12+0.000000001),1)))/Inputs!$B$44),G211*Q211))*IF(Inputs!$B$39="pvp",1,(1+(Inputs!$B$22+Skills!Q12+((C216=TRUE)*F216*IF(AND(Inputs!$B$39&lt;&gt;"pvp",Inputs!$B$44&gt;0),(((R216-1)*MIN((Skills!T17*(1+Inputs!$B$35/100)),(1/Q216))+MIN((Skills!T17*(1+Inputs!$B$35/100)),MAX(0,Inputs!$B$44-((R216-1)*(1/Q216)))))/Inputs!$B$44),IF(Inputs!$B$39="pvp",MIN((Skills!T17*(1+Inputs!$B$35/100)),15)/15,MIN(1,(Skills!T17*(1+Inputs!$B$35/100))/(1/Q216)))))+((C204=TRUE)*IF(Inputs!$B$3&gt;=126,10*MIN(1,15*Q204),0))+((C213=TRUE)*IF(Inputs!$B$39="pvp",20,(1-Summary!$B$11)*(20)+Summary!$B$11*(0))*IF(AND(Inputs!$B$39&lt;&gt;"pvp",Inputs!$B$44&gt;0),(((R213-1)*MIN((Skills!T14*(1+Inputs!$B$35/100)),(1/Q213))+MIN((Skills!T14*(1+Inputs!$B$35/100)),MAX(0,Inputs!$B$44-((R213-1)*(1/Q213)))))/Inputs!$B$44),IF(Inputs!$B$39="pvp",MIN((Skills!T14*(1+Inputs!$B$35/100)),15)/15,MIN(1,(Skills!T14*(1+Inputs!$B$35/100))/(1/Q213)))))+((C212=TRUE)*IF(Inputs!$B$3&gt;=82,IF(Inputs!$B$39="pvp",20,(1-Summary!$B$11)*(20)+Summary!$B$11*(0)),0)*IF(AND(Inputs!$B$39&lt;&gt;"pvp",Inputs!$B$44&gt;0),(((R212-1)*MIN((Skills!T13*(1+Inputs!$B$35/100)),(1/Q212))+MIN((Skills!T13*(1+Inputs!$B$35/100)),MAX(0,Inputs!$B$44-((R212-1)*(1/Q212)))))/Inputs!$B$44),IF(Inputs!$B$39="pvp",MIN((Skills!T13*(1+Inputs!$B$35/100)),15)/15,MIN(1,(Skills!T13*(1+Inputs!$B$35/100))/(1/Q212)))))+(IF(AND(ArtifactsInput!$M$35,Inputs!$B$4&lt;&gt;"Chapter Hunt"),CHOOSE(ArtifactsInput!$N$35+1,15,18,21,24,27,30)*(1-EXP(-(0.2*B230)*5)),0)+IF(AND(ArtifactsInput!$M$22,Inputs!$B$4&lt;&gt;"Chapter Hunt"),CHOOSE(ArtifactsInput!$N$22+1,10,12,14,16,18,20)*((0*(((0.15*B230*5))^0/1)+1*(((0.15*B230*5))^1/1)+2*(((0.15*B230*5))^2/2)+3*(((0.15*B230*5))^3/6)+4*(((0.15*B230*5))^4/24)+5*(((0.15*B230*5))^5/120))/((((0.15*B230*5))^0/1)+(((0.15*B230*5))^1/1)+(((0.15*B230*5))^2/2)+(((0.15*B230*5))^3/6)+(((0.15*B230*5))^4/24)+(((0.15*B230*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2">
      <c r="A212">
        <f>Skills!A13</f>
        <v/>
      </c>
      <c r="B212">
        <f>Skills!B13</f>
        <v/>
      </c>
      <c r="C212">
        <f>Inputs!$B$3&gt;=69</f>
        <v/>
      </c>
      <c r="D212">
        <f>IF(Skills!C13=1,60+Inputs!$B$26+Inputs!$B$30,IF(Skills!C13=2,90+Inputs!$B$27+Inputs!$B$30,IF(Skills!C13=3,120+Inputs!$B$28+Inputs!$B$30,MAX(0,(Inputs!$B$3-100)*3)+Inputs!$B$29+Inputs!$B$30)))</f>
        <v/>
      </c>
      <c r="E212">
        <f>INDEX(FactorTable!$B$2:$Y$301, MATCH(ROUND(MIN(300,MAX(1,D212)),0), FactorTable!$A$2:$A$301,0), Skills!M13+1)</f>
        <v/>
      </c>
      <c r="F212">
        <f>IF(Skills!N13=TRUE,(Skills!L13/10)*(E212/1000),Skills!L13/10)+Skills!O13</f>
        <v/>
      </c>
      <c r="G212">
        <f>Skills!G13*IF(Skills!H13&gt;0,INT(IF(Inputs!$B$39="pvp",MIN(Skills!I13,15),Skills!I13)/Skills!H13+0.000000001),1)</f>
        <v/>
      </c>
      <c r="H212">
        <f>1-(1-Skills!J13/100)^Skills!K13</f>
        <v/>
      </c>
      <c r="I212" t="inlineStr">
        <is>
          <t>1</t>
        </is>
      </c>
      <c r="J212" t="inlineStr"/>
      <c r="K212" t="inlineStr"/>
      <c r="L212" t="inlineStr"/>
      <c r="M212" t="inlineStr"/>
      <c r="N212" t="inlineStr"/>
      <c r="O212">
        <f>(1-Summary!$B$11)*T212+Summary!$B$11*V212</f>
        <v/>
      </c>
      <c r="P212">
        <f>IF(B238=0,0,O212/B238)</f>
        <v/>
      </c>
      <c r="Q212">
        <f>IFERROR(1/IF(Inputs!$B$39="pvp",15,MAX(0.1,Skills!D13-IF(TRUE=TRUE,Inputs!$B$33,0))),0)</f>
        <v/>
      </c>
      <c r="R212">
        <f>IF(AND(Inputs!$B$39&lt;&gt;"pvp",Inputs!$B$44&gt;0),IF(Inputs!$B$44&lt;=0,0,(INT(Inputs!$B$44/IF(Inputs!$B$39="pvp",15,MAX(0.1,Skills!D13-IF(TRUE=TRUE,Inputs!$B$33,0))))+1)),0)</f>
        <v/>
      </c>
      <c r="S212">
        <f>IFERROR(O212/N212,0)</f>
        <v/>
      </c>
      <c r="T212" t="n">
        <v>0</v>
      </c>
      <c r="V212" t="n">
        <v>0</v>
      </c>
    </row>
    <row r="213">
      <c r="A213">
        <f>Skills!A14</f>
        <v/>
      </c>
      <c r="B213">
        <f>Skills!B14</f>
        <v/>
      </c>
      <c r="C213">
        <f>Inputs!$B$3&gt;=115</f>
        <v/>
      </c>
      <c r="D213">
        <f>IF(Skills!C14=1,60+Inputs!$B$26+Inputs!$B$30,IF(Skills!C14=2,90+Inputs!$B$27+Inputs!$B$30,IF(Skills!C14=3,120+Inputs!$B$28+Inputs!$B$30,MAX(0,(Inputs!$B$3-100)*3)+Inputs!$B$29+Inputs!$B$30)))</f>
        <v/>
      </c>
      <c r="E213">
        <f>INDEX(FactorTable!$B$2:$Y$301, MATCH(ROUND(MIN(300,MAX(1,D213)),0), FactorTable!$A$2:$A$301,0), Skills!M14+1)</f>
        <v/>
      </c>
      <c r="F213">
        <f>IF(Skills!N14=TRUE,(Skills!L14/10)*(E213/1000),Skills!L14/10)+Skills!O14</f>
        <v/>
      </c>
      <c r="G213">
        <f>Skills!G14*IF(Skills!H14&gt;0,INT(IF(Inputs!$B$39="pvp",MIN(Skills!I14,15),Skills!I14)/Skills!H14+0.000000001),1)</f>
        <v/>
      </c>
      <c r="H213">
        <f>1-(1-Skills!J14/100)^Skills!K14</f>
        <v/>
      </c>
      <c r="I213" t="inlineStr">
        <is>
          <t>1</t>
        </is>
      </c>
      <c r="J213" t="inlineStr"/>
      <c r="K213" t="inlineStr"/>
      <c r="L213" t="inlineStr"/>
      <c r="M213" t="inlineStr"/>
      <c r="N213" t="inlineStr"/>
      <c r="O213">
        <f>(1-Summary!$B$11)*T213+Summary!$B$11*V213</f>
        <v/>
      </c>
      <c r="P213">
        <f>IF(B238=0,0,O213/B238)</f>
        <v/>
      </c>
      <c r="Q213">
        <f>IFERROR(1/IF(Inputs!$B$39="pvp",15,MAX(0.1,Skills!D14-IF(TRUE=TRUE,Inputs!$B$33,0))),0)</f>
        <v/>
      </c>
      <c r="R213">
        <f>IF(AND(Inputs!$B$39&lt;&gt;"pvp",Inputs!$B$44&gt;0),IF(Inputs!$B$44&lt;=0,0,(INT(Inputs!$B$44/IF(Inputs!$B$39="pvp",15,MAX(0.1,Skills!D14-IF(TRUE=TRUE,Inputs!$B$33,0))))+1)),0)</f>
        <v/>
      </c>
      <c r="S213">
        <f>IFERROR(O213/N213,0)</f>
        <v/>
      </c>
      <c r="T213" t="n">
        <v>0</v>
      </c>
      <c r="V213" t="n">
        <v>0</v>
      </c>
    </row>
    <row r="214">
      <c r="A214">
        <f>Skills!A15</f>
        <v/>
      </c>
      <c r="B214">
        <f>Skills!B15</f>
        <v/>
      </c>
      <c r="C214">
        <f>Inputs!$B$3&gt;=66</f>
        <v/>
      </c>
      <c r="D214">
        <f>IF(Skills!C15=1,60+Inputs!$B$26+Inputs!$B$30,IF(Skills!C15=2,90+Inputs!$B$27+Inputs!$B$30,IF(Skills!C15=3,120+Inputs!$B$28+Inputs!$B$30,MAX(0,(Inputs!$B$3-100)*3)+Inputs!$B$29+Inputs!$B$30)))</f>
        <v/>
      </c>
      <c r="E214">
        <f>INDEX(FactorTable!$B$2:$Y$301, MATCH(ROUND(MIN(300,MAX(1,D214)),0), FactorTable!$A$2:$A$301,0), Skills!M15+1)</f>
        <v/>
      </c>
      <c r="F214">
        <f>IF(Skills!N15=TRUE,(Skills!L15/10)*(E214/1000),Skills!L15/10)+Skills!O15</f>
        <v/>
      </c>
      <c r="G214">
        <f>Skills!G15*IF(Skills!H15&gt;0,INT(IF(Inputs!$B$39="pvp",MIN(Skills!I15,15),Skills!I15)/Skills!H15+0.000000001),1)</f>
        <v/>
      </c>
      <c r="H214">
        <f>1-(1-Skills!J15/100)^Skills!K15</f>
        <v/>
      </c>
      <c r="I214" t="inlineStr">
        <is>
          <t>1</t>
        </is>
      </c>
      <c r="J214" t="inlineStr"/>
      <c r="K214" t="inlineStr"/>
      <c r="L214" t="inlineStr"/>
      <c r="M214" t="inlineStr"/>
      <c r="N214" t="inlineStr"/>
      <c r="O214">
        <f>(1-Summary!$B$11)*T214+Summary!$B$11*V214</f>
        <v/>
      </c>
      <c r="P214">
        <f>IF(B238=0,0,O214/B238)</f>
        <v/>
      </c>
      <c r="Q214">
        <f>IFERROR(1/IF(Inputs!$B$39="pvp",15,MAX(0.1,Skills!D15-IF(TRUE=TRUE,Inputs!$B$33,0))),0)</f>
        <v/>
      </c>
      <c r="R214">
        <f>IF(AND(Inputs!$B$39&lt;&gt;"pvp",Inputs!$B$44&gt;0),IF(Inputs!$B$44&lt;=0,0,(INT(Inputs!$B$44/IF(Inputs!$B$39="pvp",15,MAX(0.1,Skills!D15-IF(TRUE=TRUE,Inputs!$B$33,0))))+1)),0)</f>
        <v/>
      </c>
      <c r="S214">
        <f>IFERROR(O214/N214,0)</f>
        <v/>
      </c>
      <c r="T214" t="n">
        <v>0</v>
      </c>
      <c r="V214" t="n">
        <v>0</v>
      </c>
    </row>
    <row r="215">
      <c r="A215">
        <f>Skills!A16</f>
        <v/>
      </c>
      <c r="B215">
        <f>Skills!B16</f>
        <v/>
      </c>
      <c r="C215">
        <f>Inputs!$B$3&gt;=45</f>
        <v/>
      </c>
      <c r="D215">
        <f>IF(Skills!C16=1,60+Inputs!$B$26+Inputs!$B$30,IF(Skills!C16=2,90+Inputs!$B$27+Inputs!$B$30,IF(Skills!C16=3,120+Inputs!$B$28+Inputs!$B$30,MAX(0,(Inputs!$B$3-100)*3)+Inputs!$B$29+Inputs!$B$30)))</f>
        <v/>
      </c>
      <c r="E215">
        <f>INDEX(FactorTable!$B$2:$Y$301, MATCH(ROUND(MIN(300,MAX(1,D215)),0), FactorTable!$A$2:$A$301,0), Skills!M16+1)</f>
        <v/>
      </c>
      <c r="F215">
        <f>IF(Skills!N16=TRUE,(Skills!L16/10)*(E215/1000),Skills!L16/10)+Skills!O16</f>
        <v/>
      </c>
      <c r="G215">
        <f>Skills!G16*IF(Skills!H16&gt;0,INT(IF(Inputs!$B$39="pvp",MIN(Skills!I16,15),Skills!I16)/Skills!H16+0.000000001),1)</f>
        <v/>
      </c>
      <c r="H215">
        <f>1-(1-Skills!J16/100)^Skills!K16</f>
        <v/>
      </c>
      <c r="I215" t="inlineStr">
        <is>
          <t>1</t>
        </is>
      </c>
      <c r="J215" t="inlineStr"/>
      <c r="K215" t="inlineStr"/>
      <c r="L215" t="inlineStr"/>
      <c r="M215" t="inlineStr"/>
      <c r="N215" t="inlineStr"/>
      <c r="O215">
        <f>(1-Summary!$B$11)*T215+Summary!$B$11*V215</f>
        <v/>
      </c>
      <c r="P215">
        <f>IF(B238=0,0,O215/B238)</f>
        <v/>
      </c>
      <c r="Q215">
        <f>IFERROR(1/IF(Inputs!$B$39="pvp",15,MAX(0.1,Skills!D16-IF(TRUE=TRUE,Inputs!$B$33,0))),0)</f>
        <v/>
      </c>
      <c r="R215">
        <f>IF(AND(Inputs!$B$39&lt;&gt;"pvp",Inputs!$B$44&gt;0),IF(Inputs!$B$44&lt;=0,0,(INT(Inputs!$B$44/IF(Inputs!$B$39="pvp",15,MAX(0.1,Skills!D16-IF(TRUE=TRUE,Inputs!$B$33,0))))+1)),0)</f>
        <v/>
      </c>
      <c r="S215">
        <f>IFERROR(O215/N215,0)</f>
        <v/>
      </c>
      <c r="T215" t="n">
        <v>0</v>
      </c>
      <c r="V215" t="n">
        <v>0</v>
      </c>
    </row>
    <row r="216">
      <c r="A216">
        <f>Skills!A17</f>
        <v/>
      </c>
      <c r="B216">
        <f>Skills!B17</f>
        <v/>
      </c>
      <c r="C216">
        <f>Inputs!$B$3&gt;=35</f>
        <v/>
      </c>
      <c r="D216">
        <f>IF(Skills!C17=1,60+Inputs!$B$26+Inputs!$B$30,IF(Skills!C17=2,90+Inputs!$B$27+Inputs!$B$30,IF(Skills!C17=3,120+Inputs!$B$28+Inputs!$B$30,MAX(0,(Inputs!$B$3-100)*3)+Inputs!$B$29+Inputs!$B$30)))</f>
        <v/>
      </c>
      <c r="E216">
        <f>INDEX(FactorTable!$B$2:$Y$301, MATCH(ROUND(MIN(300,MAX(1,D216)),0), FactorTable!$A$2:$A$301,0), Skills!M17+1)</f>
        <v/>
      </c>
      <c r="F216">
        <f>IF(Skills!N17=TRUE,(Skills!L17/10)*(E216/1000),Skills!L17/10)+Skills!O17</f>
        <v/>
      </c>
      <c r="G216">
        <f>Skills!G17*IF(Skills!H17&gt;0,INT(IF(Inputs!$B$39="pvp",MIN(Skills!I17,15),Skills!I17)/Skills!H17+0.000000001),1)</f>
        <v/>
      </c>
      <c r="H216">
        <f>1-(1-Skills!J17/100)^Skills!K17</f>
        <v/>
      </c>
      <c r="I216" t="inlineStr">
        <is>
          <t>1</t>
        </is>
      </c>
      <c r="J216" t="inlineStr"/>
      <c r="K216" t="inlineStr"/>
      <c r="L216" t="inlineStr"/>
      <c r="M216" t="inlineStr"/>
      <c r="N216" t="inlineStr"/>
      <c r="O216">
        <f>(1-Summary!$B$11)*T216+Summary!$B$11*V216</f>
        <v/>
      </c>
      <c r="P216">
        <f>IF(B238=0,0,O216/B238)</f>
        <v/>
      </c>
      <c r="Q216">
        <f>IFERROR(1/IF(Inputs!$B$39="pvp",15,MAX(0.1,Skills!D17-IF(TRUE=TRUE,Inputs!$B$33,0))),0)</f>
        <v/>
      </c>
      <c r="R216">
        <f>IF(AND(Inputs!$B$39&lt;&gt;"pvp",Inputs!$B$44&gt;0),IF(Inputs!$B$44&lt;=0,0,(INT(Inputs!$B$44/IF(Inputs!$B$39="pvp",15,MAX(0.1,Skills!D17-IF(TRUE=TRUE,Inputs!$B$33,0))))+1)),0)</f>
        <v/>
      </c>
      <c r="S216">
        <f>IFERROR(O216/N216,0)</f>
        <v/>
      </c>
      <c r="T216" t="n">
        <v>0</v>
      </c>
      <c r="V216" t="n">
        <v>0</v>
      </c>
    </row>
    <row r="217">
      <c r="A217">
        <f>Skills!A18</f>
        <v/>
      </c>
      <c r="B217">
        <f>Skills!B18</f>
        <v/>
      </c>
      <c r="C217">
        <f>Inputs!$B$3&gt;=72</f>
        <v/>
      </c>
      <c r="D217">
        <f>IF(Skills!C18=1,60+Inputs!$B$26+Inputs!$B$30,IF(Skills!C18=2,90+Inputs!$B$27+Inputs!$B$30,IF(Skills!C18=3,120+Inputs!$B$28+Inputs!$B$30,MAX(0,(Inputs!$B$3-100)*3)+Inputs!$B$29+Inputs!$B$30)))</f>
        <v/>
      </c>
      <c r="E217">
        <f>INDEX(FactorTable!$B$2:$Y$301, MATCH(ROUND(MIN(300,MAX(1,D217)),0), FactorTable!$A$2:$A$301,0), Skills!M18+1)</f>
        <v/>
      </c>
      <c r="F217">
        <f>IF(Skills!N18=TRUE,(Skills!L18/10)*(E217/1000),Skills!L18/10)+Skills!O18</f>
        <v/>
      </c>
      <c r="G217">
        <f>Skills!G18*IF(Skills!H18&gt;0,INT(IF(Inputs!$B$39="pvp",MIN(Skills!I18,15),Skills!I18)/Skills!H18+0.000000001),1)</f>
        <v/>
      </c>
      <c r="H217">
        <f>1-(1-Skills!J18/100)^Skills!K18</f>
        <v/>
      </c>
      <c r="I217" t="inlineStr">
        <is>
          <t>1</t>
        </is>
      </c>
      <c r="J217" t="inlineStr"/>
      <c r="K217" t="inlineStr"/>
      <c r="L217" t="inlineStr"/>
      <c r="M217" t="inlineStr"/>
      <c r="N217" t="inlineStr"/>
      <c r="O217">
        <f>(1-Summary!$B$11)*T217+Summary!$B$11*V217</f>
        <v/>
      </c>
      <c r="P217">
        <f>IF(B238=0,0,O217/B238)</f>
        <v/>
      </c>
      <c r="Q217">
        <f>IFERROR(1/IF(Inputs!$B$39="pvp",15,MAX(0.1,Skills!D18-IF(TRUE=TRUE,Inputs!$B$33,0))),0)</f>
        <v/>
      </c>
      <c r="R217">
        <f>IF(AND(Inputs!$B$39&lt;&gt;"pvp",Inputs!$B$44&gt;0),IF(Inputs!$B$44&lt;=0,0,(INT(Inputs!$B$44/IF(Inputs!$B$39="pvp",15,MAX(0.1,Skills!D18-IF(TRUE=TRUE,Inputs!$B$33,0))))+1)),0)</f>
        <v/>
      </c>
      <c r="S217">
        <f>IFERROR(O217/N217,0)</f>
        <v/>
      </c>
      <c r="T217" t="n">
        <v>0</v>
      </c>
      <c r="V217" t="n">
        <v>0</v>
      </c>
    </row>
    <row r="218">
      <c r="A218">
        <f>Skills!A19</f>
        <v/>
      </c>
      <c r="B218">
        <f>Skills!B19</f>
        <v/>
      </c>
      <c r="C218">
        <f>Inputs!$B$3&gt;=72</f>
        <v/>
      </c>
      <c r="D218">
        <f>IF(Skills!C19=1,60+Inputs!$B$26+Inputs!$B$30,IF(Skills!C19=2,90+Inputs!$B$27+Inputs!$B$30,IF(Skills!C19=3,120+Inputs!$B$28+Inputs!$B$30,MAX(0,(Inputs!$B$3-100)*3)+Inputs!$B$29+Inputs!$B$30)))</f>
        <v/>
      </c>
      <c r="E218">
        <f>INDEX(FactorTable!$B$2:$Y$301, MATCH(ROUND(MIN(300,MAX(1,D218)),0), FactorTable!$A$2:$A$301,0), Skills!M19+1)</f>
        <v/>
      </c>
      <c r="F218">
        <f>IF(Skills!N19=TRUE,(Skills!L19/10)*(E218/1000),Skills!L19/10)+Skills!O19</f>
        <v/>
      </c>
      <c r="G218">
        <f>Skills!G19*IF(Skills!H19&gt;0,INT(IF(Inputs!$B$39="pvp",MIN(Skills!I19,15),Skills!I19)/Skills!H19+0.000000001),1)</f>
        <v/>
      </c>
      <c r="H218">
        <f>1-(1-Skills!J19/100)^Skills!K19</f>
        <v/>
      </c>
      <c r="I218" t="inlineStr">
        <is>
          <t>1</t>
        </is>
      </c>
      <c r="J218" t="inlineStr"/>
      <c r="K218" t="inlineStr"/>
      <c r="L218" t="inlineStr"/>
      <c r="M218" t="inlineStr"/>
      <c r="N218" t="inlineStr"/>
      <c r="O218">
        <f>(1-Summary!$B$11)*T218+Summary!$B$11*V218</f>
        <v/>
      </c>
      <c r="P218">
        <f>IF(B238=0,0,O218/B238)</f>
        <v/>
      </c>
      <c r="Q218">
        <f>IFERROR(1/IF(Inputs!$B$39="pvp",15,MAX(0.1,Skills!D19-IF(TRUE=TRUE,Inputs!$B$33,0))),0)</f>
        <v/>
      </c>
      <c r="R218">
        <f>IF(AND(Inputs!$B$39&lt;&gt;"pvp",Inputs!$B$44&gt;0),IF(Inputs!$B$44&lt;=0,0,(INT(Inputs!$B$44/IF(Inputs!$B$39="pvp",15,MAX(0.1,Skills!D19-IF(TRUE=TRUE,Inputs!$B$33,0))))+1)),0)</f>
        <v/>
      </c>
      <c r="S218">
        <f>IFERROR(O218/N218,0)</f>
        <v/>
      </c>
      <c r="T218" t="n">
        <v>0</v>
      </c>
      <c r="V218" t="n">
        <v>0</v>
      </c>
    </row>
    <row r="219">
      <c r="A219">
        <f>Skills!A20</f>
        <v/>
      </c>
      <c r="B219">
        <f>Skills!B20</f>
        <v/>
      </c>
      <c r="C219">
        <f>TRUE</f>
        <v/>
      </c>
      <c r="D219">
        <f>IF(Skills!C20=1,60+Inputs!$B$26+Inputs!$B$30,IF(Skills!C20=2,90+Inputs!$B$27+Inputs!$B$30,IF(Skills!C20=3,120+Inputs!$B$28+Inputs!$B$30,MAX(0,(Inputs!$B$3-100)*3)+Inputs!$B$29+Inputs!$B$30)))</f>
        <v/>
      </c>
      <c r="E219">
        <f>INDEX(FactorTable!$B$2:$Y$301, MATCH(ROUND(MIN(300,MAX(1,D219)),0), FactorTable!$A$2:$A$301,0), Skills!M20+1)</f>
        <v/>
      </c>
      <c r="F219">
        <f>IF(Skills!N20=TRUE,(Skills!L20/10)*(E219/1000),Skills!L20/10)+Skills!O20</f>
        <v/>
      </c>
      <c r="G219">
        <f>Skills!G20*IF(Skills!H20&gt;0,INT(IF(Inputs!$B$39="pvp",MIN(Skills!I20,15),Skills!I20)/Skills!H20+0.000000001),1)</f>
        <v/>
      </c>
      <c r="H219">
        <f>1-(1-Skills!J20/100)^Skills!K20</f>
        <v/>
      </c>
      <c r="I219" t="inlineStr">
        <is>
          <t>1</t>
        </is>
      </c>
      <c r="J219" t="inlineStr"/>
      <c r="K219" t="inlineStr"/>
      <c r="L219" t="inlineStr"/>
      <c r="M219" t="inlineStr"/>
      <c r="N219" t="inlineStr"/>
      <c r="O219">
        <f>(1-Summary!$B$11)*T219+Summary!$B$11*V219</f>
        <v/>
      </c>
      <c r="P219">
        <f>IF(B238=0,0,O219/B238)</f>
        <v/>
      </c>
      <c r="Q219">
        <f>IFERROR(1/IF(Inputs!$B$39="pvp",15,MAX(0.1,Skills!D20-IF(TRUE=TRUE,Inputs!$B$33,0))),0)</f>
        <v/>
      </c>
      <c r="R219">
        <f>IF(AND(Inputs!$B$39&lt;&gt;"pvp",Inputs!$B$44&gt;0),IF(Inputs!$B$44&lt;=0,0,(INT(Inputs!$B$44/IF(Inputs!$B$39="pvp",15,MAX(0.1,Skills!D20-IF(TRUE=TRUE,Inputs!$B$33,0))))+1)),0)</f>
        <v/>
      </c>
      <c r="S219">
        <f>IFERROR(O219/N219,0)</f>
        <v/>
      </c>
      <c r="T219" t="n">
        <v>0</v>
      </c>
      <c r="V219" t="n">
        <v>0</v>
      </c>
    </row>
    <row r="220">
      <c r="A220">
        <f>Skills!A21</f>
        <v/>
      </c>
      <c r="B220">
        <f>Skills!B21</f>
        <v/>
      </c>
      <c r="C220">
        <f>Inputs!$B$3&gt;=33</f>
        <v/>
      </c>
      <c r="D220">
        <f>IF(Skills!C21=1,60+Inputs!$B$26+Inputs!$B$30,IF(Skills!C21=2,90+Inputs!$B$27+Inputs!$B$30,IF(Skills!C21=3,120+Inputs!$B$28+Inputs!$B$30,MAX(0,(Inputs!$B$3-100)*3)+Inputs!$B$29+Inputs!$B$30)))</f>
        <v/>
      </c>
      <c r="E220">
        <f>INDEX(FactorTable!$B$2:$Y$301, MATCH(ROUND(MIN(300,MAX(1,D220)),0), FactorTable!$A$2:$A$301,0), Skills!M21+1)</f>
        <v/>
      </c>
      <c r="F220">
        <f>IF(Skills!N21=TRUE,(Skills!L21/10)*(E220/1000),Skills!L21/10)+Skills!O21</f>
        <v/>
      </c>
      <c r="G220">
        <f>Skills!G21*IF(Skills!H21&gt;0,INT(IF(Inputs!$B$39="pvp",MIN(Skills!I21,15),Skills!I21)/Skills!H21+0.000000001),1)</f>
        <v/>
      </c>
      <c r="H220">
        <f>1-(1-Skills!J21/100)^Skills!K21</f>
        <v/>
      </c>
      <c r="I220" t="inlineStr">
        <is>
          <t>1</t>
        </is>
      </c>
      <c r="J220" t="inlineStr"/>
      <c r="K220" t="inlineStr"/>
      <c r="L220" t="inlineStr"/>
      <c r="M220" t="inlineStr"/>
      <c r="N220" t="inlineStr"/>
      <c r="O220">
        <f>(1-Summary!$B$11)*T220+Summary!$B$11*V220</f>
        <v/>
      </c>
      <c r="P220">
        <f>IF(B238=0,0,O220/B238)</f>
        <v/>
      </c>
      <c r="Q220" t="n">
        <v>0</v>
      </c>
      <c r="R220" t="n">
        <v>0</v>
      </c>
      <c r="S220">
        <f>IFERROR(O220/N220,0)</f>
        <v/>
      </c>
      <c r="T220" t="n">
        <v>0</v>
      </c>
      <c r="V220" t="n">
        <v>0</v>
      </c>
    </row>
    <row r="221">
      <c r="A221">
        <f>Skills!A22</f>
        <v/>
      </c>
      <c r="B221">
        <f>Skills!B22</f>
        <v/>
      </c>
      <c r="C221">
        <f>Inputs!$B$3&gt;=43</f>
        <v/>
      </c>
      <c r="D221">
        <f>IF(Skills!C22=1,60+Inputs!$B$26+Inputs!$B$30,IF(Skills!C22=2,90+Inputs!$B$27+Inputs!$B$30,IF(Skills!C22=3,120+Inputs!$B$28+Inputs!$B$30,MAX(0,(Inputs!$B$3-100)*3)+Inputs!$B$29+Inputs!$B$30)))</f>
        <v/>
      </c>
      <c r="E221">
        <f>INDEX(FactorTable!$B$2:$Y$301, MATCH(ROUND(MIN(300,MAX(1,D221)),0), FactorTable!$A$2:$A$301,0), Skills!M22+1)</f>
        <v/>
      </c>
      <c r="F221">
        <f>IF(Skills!N22=TRUE,(Skills!L22/10)*(E221/1000),Skills!L22/10)+Skills!O22</f>
        <v/>
      </c>
      <c r="G221">
        <f>Skills!G22*IF(Skills!H22&gt;0,INT(IF(Inputs!$B$39="pvp",MIN(Skills!I22,15),Skills!I22)/Skills!H22+0.000000001),1)</f>
        <v/>
      </c>
      <c r="H221">
        <f>1-(1-Skills!J22/100)^Skills!K22</f>
        <v/>
      </c>
      <c r="I221" t="inlineStr">
        <is>
          <t>1</t>
        </is>
      </c>
      <c r="J221" t="inlineStr"/>
      <c r="K221" t="inlineStr"/>
      <c r="L221" t="inlineStr"/>
      <c r="M221" t="inlineStr"/>
      <c r="N221" t="inlineStr"/>
      <c r="O221">
        <f>(1-Summary!$B$11)*T221+Summary!$B$11*V221</f>
        <v/>
      </c>
      <c r="P221">
        <f>IF(B238=0,0,O221/B238)</f>
        <v/>
      </c>
      <c r="Q221" t="n">
        <v>0</v>
      </c>
      <c r="R221" t="n">
        <v>0</v>
      </c>
      <c r="S221">
        <f>IFERROR(O221/N221,0)</f>
        <v/>
      </c>
      <c r="T221" t="n">
        <v>0</v>
      </c>
      <c r="V221" t="n">
        <v>0</v>
      </c>
    </row>
    <row r="222">
      <c r="A222">
        <f>Skills!A23</f>
        <v/>
      </c>
      <c r="B222">
        <f>Skills!B23</f>
        <v/>
      </c>
      <c r="C222">
        <f>Inputs!$B$3&gt;=120</f>
        <v/>
      </c>
      <c r="D222">
        <f>IF(Skills!C23=1,60+Inputs!$B$26+Inputs!$B$30,IF(Skills!C23=2,90+Inputs!$B$27+Inputs!$B$30,IF(Skills!C23=3,120+Inputs!$B$28+Inputs!$B$30,MAX(0,(Inputs!$B$3-100)*3)+Inputs!$B$29+Inputs!$B$30)))</f>
        <v/>
      </c>
      <c r="E222">
        <f>INDEX(FactorTable!$B$2:$Y$301, MATCH(ROUND(MIN(300,MAX(1,D222)),0), FactorTable!$A$2:$A$301,0), Skills!M23+1)</f>
        <v/>
      </c>
      <c r="F222">
        <f>IF(Skills!N23=TRUE,(Skills!L23/10)*(E222/1000),Skills!L23/10)+Skills!O23</f>
        <v/>
      </c>
      <c r="G222">
        <f>Skills!G23*IF(Skills!H23&gt;0,INT(IF(Inputs!$B$39="pvp",MIN(Skills!I23,15),Skills!I23)/Skills!H23+0.000000001),1)</f>
        <v/>
      </c>
      <c r="H222">
        <f>1-(1-Skills!J23/100)^Skills!K23</f>
        <v/>
      </c>
      <c r="I222" t="inlineStr">
        <is>
          <t>1</t>
        </is>
      </c>
      <c r="J222" t="inlineStr"/>
      <c r="K222" t="inlineStr"/>
      <c r="L222" t="inlineStr"/>
      <c r="M222" t="inlineStr"/>
      <c r="N222" t="inlineStr"/>
      <c r="O222">
        <f>(1-Summary!$B$11)*T222+Summary!$B$11*V222</f>
        <v/>
      </c>
      <c r="P222">
        <f>IF(B238=0,0,O222/B238)</f>
        <v/>
      </c>
      <c r="Q222" t="n">
        <v>0</v>
      </c>
      <c r="R222" t="n">
        <v>0</v>
      </c>
      <c r="S222">
        <f>IFERROR(O222/N222,0)</f>
        <v/>
      </c>
      <c r="T222" t="n">
        <v>0</v>
      </c>
      <c r="V222" t="n">
        <v>0</v>
      </c>
    </row>
    <row r="223">
      <c r="A223">
        <f>Skills!A24</f>
        <v/>
      </c>
      <c r="B223">
        <f>Skills!B24</f>
        <v/>
      </c>
      <c r="C223">
        <f>Inputs!$B$3&gt;=120</f>
        <v/>
      </c>
      <c r="D223">
        <f>IF(Skills!C24=1,60+Inputs!$B$26+Inputs!$B$30,IF(Skills!C24=2,90+Inputs!$B$27+Inputs!$B$30,IF(Skills!C24=3,120+Inputs!$B$28+Inputs!$B$30,MAX(0,(Inputs!$B$3-100)*3)+Inputs!$B$29+Inputs!$B$30)))</f>
        <v/>
      </c>
      <c r="E223">
        <f>INDEX(FactorTable!$B$2:$Y$301, MATCH(ROUND(MIN(300,MAX(1,D223)),0), FactorTable!$A$2:$A$301,0), Skills!M24+1)</f>
        <v/>
      </c>
      <c r="F223">
        <f>IF(Skills!N24=TRUE,(Skills!L24/10)*(E223/1000),Skills!L24/10)+Skills!O24</f>
        <v/>
      </c>
      <c r="G223">
        <f>Skills!G24*IF(Skills!H24&gt;0,INT(IF(Inputs!$B$39="pvp",MIN(Skills!I24,15),Skills!I24)/Skills!H24+0.000000001),1)</f>
        <v/>
      </c>
      <c r="H223">
        <f>1-(1-Skills!J24/100)^Skills!K24</f>
        <v/>
      </c>
      <c r="I223" t="inlineStr">
        <is>
          <t>1</t>
        </is>
      </c>
      <c r="J223" t="inlineStr"/>
      <c r="K223" t="inlineStr"/>
      <c r="L223" t="inlineStr"/>
      <c r="M223" t="inlineStr"/>
      <c r="N223" t="inlineStr"/>
      <c r="O223">
        <f>(1-Summary!$B$11)*T223+Summary!$B$11*V223</f>
        <v/>
      </c>
      <c r="P223">
        <f>IF(B238=0,0,O223/B238)</f>
        <v/>
      </c>
      <c r="Q223" t="n">
        <v>0</v>
      </c>
      <c r="R223" t="n">
        <v>0</v>
      </c>
      <c r="S223">
        <f>IFERROR(O223/N223,0)</f>
        <v/>
      </c>
      <c r="T223" t="n">
        <v>0</v>
      </c>
      <c r="V223" t="n">
        <v>0</v>
      </c>
    </row>
    <row r="224">
      <c r="A224">
        <f>Skills!A25</f>
        <v/>
      </c>
      <c r="B224">
        <f>Skills!B25</f>
        <v/>
      </c>
      <c r="C224">
        <f>Inputs!$B$3&gt;=125</f>
        <v/>
      </c>
      <c r="D224">
        <f>IF(Skills!C25=1,60+Inputs!$B$26+Inputs!$B$30,IF(Skills!C25=2,90+Inputs!$B$27+Inputs!$B$30,IF(Skills!C25=3,120+Inputs!$B$28+Inputs!$B$30,MAX(0,(Inputs!$B$3-100)*3)+Inputs!$B$29+Inputs!$B$30)))</f>
        <v/>
      </c>
      <c r="E224">
        <f>INDEX(FactorTable!$B$2:$Y$301, MATCH(ROUND(MIN(300,MAX(1,D224)),0), FactorTable!$A$2:$A$301,0), Skills!M25+1)</f>
        <v/>
      </c>
      <c r="F224">
        <f>IF(Skills!N25=TRUE,(Skills!L25/10)*(E224/1000),Skills!L25/10)+Skills!O25</f>
        <v/>
      </c>
      <c r="G224">
        <f>Skills!G25*IF(Skills!H25&gt;0,INT(IF(Inputs!$B$39="pvp",MIN(Skills!I25,15),Skills!I25)/Skills!H25+0.000000001),1)</f>
        <v/>
      </c>
      <c r="H224">
        <f>1-(1-Skills!J25/100)^Skills!K25</f>
        <v/>
      </c>
      <c r="I224" t="inlineStr">
        <is>
          <t>1</t>
        </is>
      </c>
      <c r="J224" t="inlineStr"/>
      <c r="K224" t="inlineStr"/>
      <c r="L224" t="inlineStr"/>
      <c r="M224" t="inlineStr"/>
      <c r="N224" t="inlineStr"/>
      <c r="O224">
        <f>(1-Summary!$B$11)*T224+Summary!$B$11*V224</f>
        <v/>
      </c>
      <c r="P224">
        <f>IF(B238=0,0,O224/B238)</f>
        <v/>
      </c>
      <c r="Q224" t="n">
        <v>0</v>
      </c>
      <c r="R224" t="n">
        <v>0</v>
      </c>
      <c r="S224">
        <f>IFERROR(O224/N224,0)</f>
        <v/>
      </c>
      <c r="T224" t="n">
        <v>0</v>
      </c>
      <c r="V224" t="n">
        <v>0</v>
      </c>
    </row>
    <row r="225">
      <c r="A225">
        <f>Skills!A26</f>
        <v/>
      </c>
      <c r="B225">
        <f>Skills!B26</f>
        <v/>
      </c>
      <c r="C225">
        <f>Inputs!$B$3&gt;=107</f>
        <v/>
      </c>
      <c r="D225">
        <f>IF(Skills!C26=1,60+Inputs!$B$26+Inputs!$B$30,IF(Skills!C26=2,90+Inputs!$B$27+Inputs!$B$30,IF(Skills!C26=3,120+Inputs!$B$28+Inputs!$B$30,MAX(0,(Inputs!$B$3-100)*3)+Inputs!$B$29+Inputs!$B$30)))</f>
        <v/>
      </c>
      <c r="E225">
        <f>INDEX(FactorTable!$B$2:$Y$301, MATCH(ROUND(MIN(300,MAX(1,D225)),0), FactorTable!$A$2:$A$301,0), Skills!M26+1)</f>
        <v/>
      </c>
      <c r="F225">
        <f>IF(Skills!N26=TRUE,(Skills!L26/10)*(E225/1000),Skills!L26/10)+Skills!O26</f>
        <v/>
      </c>
      <c r="G225">
        <f>Skills!G26*IF(Skills!H26&gt;0,INT(IF(Inputs!$B$39="pvp",MIN(Skills!I26,15),Skills!I26)/Skills!H26+0.000000001),1)</f>
        <v/>
      </c>
      <c r="H225">
        <f>1-(1-Skills!J26/100)^Skills!K26</f>
        <v/>
      </c>
      <c r="I225" t="inlineStr">
        <is>
          <t>1</t>
        </is>
      </c>
      <c r="J225" t="inlineStr"/>
      <c r="K225" t="inlineStr"/>
      <c r="L225" t="inlineStr"/>
      <c r="M225" t="inlineStr"/>
      <c r="N225" t="inlineStr"/>
      <c r="O225">
        <f>(1-Summary!$B$11)*T225+Summary!$B$11*V225</f>
        <v/>
      </c>
      <c r="P225">
        <f>IF(B238=0,0,O225/B238)</f>
        <v/>
      </c>
      <c r="Q225" t="n">
        <v>0</v>
      </c>
      <c r="R225" t="n">
        <v>0</v>
      </c>
      <c r="S225">
        <f>IFERROR(O225/N225,0)</f>
        <v/>
      </c>
      <c r="T225" t="n">
        <v>0</v>
      </c>
      <c r="V225" t="n">
        <v>0</v>
      </c>
    </row>
    <row r="227">
      <c r="A227" t="inlineStr">
        <is>
          <t>Attack% Bucket Multiplier</t>
        </is>
      </c>
      <c r="B227">
        <f>(1+(((C212=TRUE)*F212*IF(AND(Inputs!$B$39&lt;&gt;"pvp",Inputs!$B$44&gt;0),(((R212-1)*MIN((Skills!T13*(1+Inputs!$B$35/100)),(1/Q212))+MIN((Skills!T13*(1+Inputs!$B$35/100)),MAX(0,Inputs!$B$44-((R212-1)*(1/Q212)))))/Inputs!$B$44),IF(Inputs!$B$39="pvp",MIN((Skills!T13*(1+Inputs!$B$35/100)),15)/15,MIN(1,(Skills!T13*(1+Inputs!$B$35/100))/(1/Q212)))))+((C213=TRUE)*F213*IF(AND(Inputs!$B$39&lt;&gt;"pvp",Inputs!$B$44&gt;0),(((R213-1)*MIN((Skills!T14*(1+Inputs!$B$35/100)),(1/Q213))+MIN((Skills!T14*(1+Inputs!$B$35/100)),MAX(0,Inputs!$B$44-((R213-1)*(1/Q213)))))/Inputs!$B$44),IF(Inputs!$B$39="pvp",MIN((Skills!T14*(1+Inputs!$B$35/100)),15)/15,MIN(1,(Skills!T14*(1+Inputs!$B$35/100))/(1/Q213)))))+((C214=TRUE)*F214*IF(AND(Inputs!$B$39&lt;&gt;"pvp",Inputs!$B$44&gt;0),(((R214-1)*MIN((Skills!T15*(1+Inputs!$B$35/100)),(1/Q214))+MIN((Skills!T15*(1+Inputs!$B$35/100)),MAX(0,Inputs!$B$44-((R214-1)*(1/Q214)))))/Inputs!$B$44),IF(Inputs!$B$39="pvp",MIN((Skills!T15*(1+Inputs!$B$35/100)),15)/15,MIN(1,(Skills!T15*(1+Inputs!$B$35/100))/(1/Q214)))))+((C215=TRUE)*F215*IF(AND(Inputs!$B$39&lt;&gt;"pvp",Inputs!$B$44&gt;0),(((R215-1)*MIN((Skills!T16*(1+Inputs!$B$35/100)),(1/Q215))+MIN((Skills!T16*(1+Inputs!$B$35/100)),MAX(0,Inputs!$B$44-((R215-1)*(1/Q215)))))/Inputs!$B$44),IF(Inputs!$B$39="pvp",MIN((Skills!T16*(1+Inputs!$B$35/100)),15)/15,MIN(1,(Skills!T16*(1+Inputs!$B$35/100))/(1/Q215)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228">
      <c r="A228" t="inlineStr">
        <is>
          <t>Global Crit Rate Bonus % (Lord of Darkness)</t>
        </is>
      </c>
      <c r="B228">
        <f>((C217=TRUE)*F217*(Skills!J18/100)*IF(AND(Inputs!$B$39&lt;&gt;"pvp",Inputs!$B$44&gt;0),(((R217-1)*MIN((Skills!T18*(1+Inputs!$B$35/100)),(1/Q217))+MIN((Skills!T18*(1+Inputs!$B$35/100)),MAX(0,Inputs!$B$44-((R217-1)*(1/Q217)))))/Inputs!$B$44),IF(Inputs!$B$39="pvp",MIN((Skills!T18*(1+Inputs!$B$35/100)),15)/15,MIN(1,(Skills!T18*(1+Inputs!$B$35/100))/(1/Q217)))))</f>
        <v/>
      </c>
    </row>
    <row r="229">
      <c r="A229" t="inlineStr">
        <is>
          <t>Attack Speed Buff Bonus %</t>
        </is>
      </c>
      <c r="B229">
        <f>((C219=TRUE)*F219*IF(AND(Inputs!$B$39&lt;&gt;"pvp",Inputs!$B$44&gt;0),(((R219-1)*MIN((Skills!T20*(1+Inputs!$B$35/100)),(1/Q219))+MIN((Skills!T20*(1+Inputs!$B$35/100)),MAX(0,Inputs!$B$44-((R219-1)*(1/Q219)))))/Inputs!$B$44),IF(Inputs!$B$39="pvp",MIN((Skills!T20*(1+Inputs!$B$35/100)),15)/15,MIN(1,(Skills!T20*(1+Inputs!$B$35/100))/(1/Q219)))))</f>
        <v/>
      </c>
    </row>
    <row r="230">
      <c r="A230" t="inlineStr">
        <is>
          <t>Actions Per Second</t>
        </is>
      </c>
      <c r="B230">
        <f>1+MIN(150,150*(1-(1-(Inputs!$B$12+((C220=TRUE)*(F220-Calc!F21)))/150)*(1-B229/150)))/100</f>
        <v/>
      </c>
    </row>
    <row r="231">
      <c r="A231" t="inlineStr">
        <is>
          <t>Skill + Buff Cast Rate</t>
        </is>
      </c>
      <c r="B231">
        <f>IF(AND(Inputs!$B$39&lt;&gt;"pvp",Inputs!$B$44&gt;0),SUMPRODUCT((Skills!E2:E26=TRUE)*(C201:C225=TRUE)*R201:R225*Skills!F2:F26)/Inputs!$B$44,SUMPRODUCT((Skills!E2:E26=TRUE)*(C201:C225=TRUE)*Q201:Q225*Skills!F2:F26))</f>
        <v/>
      </c>
    </row>
    <row r="232">
      <c r="A232" t="inlineStr">
        <is>
          <t>Dark Impale Casts Per Second</t>
        </is>
      </c>
      <c r="B232">
        <f>MAX(0,B230-B231)</f>
        <v/>
      </c>
    </row>
    <row r="233">
      <c r="A233" t="inlineStr">
        <is>
          <t>Global Critical Damage Bonus % (Lord of Darkness)</t>
        </is>
      </c>
      <c r="B233">
        <f>((C218=TRUE)*F218*(Skills!J19/100)*IF(AND(Inputs!$B$39&lt;&gt;"pvp",Inputs!$B$44&gt;0),(((R218-1)*MIN((Skills!T19*(1+Inputs!$B$35/100)),(1/Q218))+MIN((Skills!T19*(1+Inputs!$B$35/100)),MAX(0,Inputs!$B$44-((R218-1)*(1/Q218)))))/Inputs!$B$44),IF(Inputs!$B$39="pvp",MIN((Skills!T19*(1+Inputs!$B$35/100)),15)/15,MIN(1,(Skills!T19*(1+Inputs!$B$35/100))/(1/Q218)))))</f>
        <v/>
      </c>
    </row>
    <row r="234">
      <c r="A234" t="inlineStr">
        <is>
          <t>Global Final Damage Bonus % (unused)</t>
        </is>
      </c>
      <c r="B234" t="n">
        <v>0</v>
      </c>
    </row>
    <row r="235">
      <c r="A235" t="inlineStr">
        <is>
          <t>Buff-Casting Startup Delay (s, fixed-duration only)</t>
        </is>
      </c>
      <c r="B235">
        <f>IF(AND(Inputs!$B$39&lt;&gt;"pvp",Inputs!$B$44&gt;0),SUMPRODUCT((Skills!T2:T26&gt;0)*(Skills!E2:E26=TRUE)*(C201:C225=TRUE))/B230,0)</f>
        <v/>
      </c>
    </row>
    <row r="236">
      <c r="A236" t="inlineStr">
        <is>
          <t>Boss-Only Total DPS (this block's swept value)</t>
        </is>
      </c>
      <c r="B236">
        <f>SUM(T201:T225)</f>
        <v/>
      </c>
    </row>
    <row r="237">
      <c r="A237" t="inlineStr">
        <is>
          <t>Normal-Only Total DPS (this block's swept value)</t>
        </is>
      </c>
      <c r="B237">
        <f>SUM(V201:V225)</f>
        <v/>
      </c>
    </row>
    <row r="238">
      <c r="A238" s="6" t="inlineStr">
        <is>
          <t>TOTAL DPS</t>
        </is>
      </c>
      <c r="B238" s="6">
        <f>SUM(O201:O225)</f>
        <v/>
      </c>
    </row>
    <row r="241">
      <c r="A241" s="6" t="inlineStr">
        <is>
          <t>Stat: Defense %</t>
        </is>
      </c>
    </row>
    <row r="242">
      <c r="A242" s="5" t="inlineStr">
        <is>
          <t>Key</t>
        </is>
      </c>
      <c r="B242" s="5" t="inlineStr">
        <is>
          <t>Name</t>
        </is>
      </c>
      <c r="C242" s="5" t="inlineStr">
        <is>
          <t>Unlocked</t>
        </is>
      </c>
      <c r="D242" s="5" t="inlineStr">
        <is>
          <t>InputLevel</t>
        </is>
      </c>
      <c r="E242" s="5" t="inlineStr">
        <is>
          <t>Factor</t>
        </is>
      </c>
      <c r="F242" s="5" t="inlineStr">
        <is>
          <t>CoefficientPercent</t>
        </is>
      </c>
      <c r="G242" s="5" t="inlineStr">
        <is>
          <t>EffectiveHits</t>
        </is>
      </c>
      <c r="H242" s="5" t="inlineStr">
        <is>
          <t>ProcProbability</t>
        </is>
      </c>
      <c r="I242" s="5" t="inlineStr">
        <is>
          <t>MapleHeroMultiplier</t>
        </is>
      </c>
      <c r="J242" s="5" t="inlineStr">
        <is>
          <t>BaseDamage</t>
        </is>
      </c>
      <c r="K242" s="5" t="inlineStr">
        <is>
          <t>BaseHitDamage</t>
        </is>
      </c>
      <c r="L242" s="5" t="inlineStr">
        <is>
          <t>NonCritAvg</t>
        </is>
      </c>
      <c r="M242" s="5" t="inlineStr">
        <is>
          <t>CritAvg</t>
        </is>
      </c>
      <c r="N242" s="5" t="inlineStr">
        <is>
          <t>ExpectedDamage(perHit)</t>
        </is>
      </c>
      <c r="O242" s="5" t="inlineStr">
        <is>
          <t>DPS</t>
        </is>
      </c>
      <c r="P242" s="5" t="inlineStr">
        <is>
          <t>% of Total</t>
        </is>
      </c>
      <c r="Q242" s="5" t="inlineStr">
        <is>
          <t>InvCooldown</t>
        </is>
      </c>
      <c r="R242" s="5" t="inlineStr">
        <is>
          <t>CastsInFight</t>
        </is>
      </c>
      <c r="S242" s="5" t="inlineStr">
        <is>
          <t>HitRate(perSec)</t>
        </is>
      </c>
      <c r="U242" t="inlineStr">
        <is>
          <t>helpers</t>
        </is>
      </c>
    </row>
    <row r="243">
      <c r="A243">
        <f>Skills!A2</f>
        <v/>
      </c>
      <c r="B243">
        <f>Skills!B2</f>
        <v/>
      </c>
      <c r="C243">
        <f>Inputs!$B$3&gt;=100</f>
        <v/>
      </c>
      <c r="D243" t="inlineStr"/>
      <c r="E243" t="inlineStr"/>
      <c r="F243">
        <f>U245+Skills!O2</f>
        <v/>
      </c>
      <c r="G243">
        <f>Skills!G2*IF(Skills!H2&gt;0,INT(IF(Inputs!$B$39="pvp",MIN(Skills!I2,15),Skills!I2)/Skills!H2+0.000000001),1)</f>
        <v/>
      </c>
      <c r="H243">
        <f>1-(1-Skills!J2/100)^Skills!K2</f>
        <v/>
      </c>
      <c r="I243" t="inlineStr">
        <is>
          <t>1</t>
        </is>
      </c>
      <c r="J243">
        <f>((Inputs!$B$6*(1+Inputs!$B$7/100))+(((Inputs!$B$13*(1+Inputs!$B$14/100))-(Inputs!$B$13*(1+Inputs!$B$14/100)))+0.25*(Inputs!$B$15-Inputs!$B$15))*(1+Inputs!$B$7/100))*(F243/100)</f>
        <v/>
      </c>
      <c r="K243">
        <f>J243*(1+(((Inputs!$B$13+IF(Inputs!$B$3&gt;=38,(10*INDEX(FactorTable!$B$2:$Y$301, MATCH(ROUND(MIN(300,MAX(1,Inputs!$B$3)),0), FactorTable!$A$2:$A$301,0), 23)/1000)/100*(Inputs!$B$8*(1+(Inputs!$B$9+1)/100)),0))*(1+Inputs!$B$14/100))*0.01+Inputs!$B$15*0.0025)/100)*(1+Inputs!$B$16/100)*(1+Inputs!$B$17/100)*(5000/(6000+Inputs!$B$43*(1-(Inputs!$B$20+0)/100)))*(1+(Inputs!$B$25+((C266=TRUE)*(F266-Calc!F25))+((C267=TRUE)*(F267-Calc!F26))+B276)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gt;=100),MIN(100,((Inputs!$B$10+0+B270+(ArtifactsInput!$M$24-ArtifactsInput!$M$24)*CHOOSE(ArtifactsInput!$N$24+1,10,12,14,16,18,20)+IF(ArtifactsInput!$M$10,CHOOSE(ArtifactsInput!$N$10+1,15,18,21,24,27,30)*(IF(Inputs!$B$39="pvp",MIN(15,15)/15,IF(AND(Inputs!$B$39&lt;&gt;"pvp",Inputs!$B$44&gt;0),MIN(15,Inputs!$B$44)/(Inputs!$B$44),0))),0)))-100),0))*CHOOSE(ArtifactsInput!$N$42+1,0.6,0.72,0.84,0.96,1.08,1.2))),Inputs!$B$19+((C264=TRUE)*(F264-Calc!F23))+(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gt;=100),CHOOSE(ArtifactsInput!$N$42+1,40,48,56,64,72,80),0))))/100)*((1+(((C254=TRUE)*F254*IF(AND(Inputs!$B$39&lt;&gt;"pvp",Inputs!$B$44&gt;0),(((R254-1)*MIN((Skills!T13*(1+Inputs!$B$35/100)),(1/Q254))+MIN((Skills!T13*(1+Inputs!$B$35/100)),MAX(0,Inputs!$B$44-((R254-1)*(1/Q254)))))/Inputs!$B$44),IF(Inputs!$B$39="pvp",MIN((Skills!T13*(1+Inputs!$B$35/100)),15)/15,MIN(1,(Skills!T13*(1+Inputs!$B$35/100))/(1/Q254)))))+((C255=TRUE)*F255*IF(AND(Inputs!$B$39&lt;&gt;"pvp",Inputs!$B$44&gt;0),(((R255-1)*MIN((Skills!T14*(1+Inputs!$B$35/100)),(1/Q255))+MIN((Skills!T14*(1+Inputs!$B$35/100)),MAX(0,Inputs!$B$44-((R255-1)*(1/Q255)))))/Inputs!$B$44),IF(Inputs!$B$39="pvp",MIN((Skills!T14*(1+Inputs!$B$35/100)),15)/15,MIN(1,(Skills!T14*(1+Inputs!$B$35/100))/(1/Q255)))))+((C256=TRUE)*F256*IF(AND(Inputs!$B$39&lt;&gt;"pvp",Inputs!$B$44&gt;0),(((R256-1)*MIN((Skills!T15*(1+Inputs!$B$35/100)),(1/Q256))+MIN((Skills!T15*(1+Inputs!$B$35/100)),MAX(0,Inputs!$B$44-((R256-1)*(1/Q256)))))/Inputs!$B$44),IF(Inputs!$B$39="pvp",MIN((Skills!T15*(1+Inputs!$B$35/100)),15)/15,MIN(1,(Skills!T15*(1+Inputs!$B$35/100))/(1/Q256)))))+((C257=TRUE)*F257*IF(AND(Inputs!$B$39&lt;&gt;"pvp",Inputs!$B$44&gt;0),(((R257-1)*MIN((Skills!T16*(1+Inputs!$B$35/100)),(1/Q257))+MIN((Skills!T16*(1+Inputs!$B$35/100)),MAX(0,Inputs!$B$44-((R257-1)*(1/Q257)))))/Inputs!$B$44),IF(Inputs!$B$39="pvp",MIN((Skills!T16*(1+Inputs!$B$35/100)),15)/15,MIN(1,(Skills!T16*(1+Inputs!$B$35/100))/(1/Q257)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243)</f>
        <v/>
      </c>
      <c r="L243">
        <f>K243*(MIN(Inputs!$B$23+((C263=TRUE)*(F263-Calc!F22)),(Inputs!$B$24+((C265=TRUE)*(F265-Calc!F24))+(IF(ArtifactsInput!$M$15,CHOOSE(ArtifactsInput!$N$15+1,25,30,35,40,45,50)/100*(Inputs!$B$12-Inputs!$B$12),0))))/100+(Inputs!$B$24+((C265=TRUE)*(F265-Calc!F24))+(IF(ArtifactsInput!$M$15,CHOOSE(ArtifactsInput!$N$15+1,25,30,35,40,45,50)/100*(Inputs!$B$12-Inputs!$B$12),0)))/100)/2</f>
        <v/>
      </c>
      <c r="M243">
        <f>L243*(1+(Inputs!$B$11+0+B275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43">
        <f>L243*(1-MIN((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243*(MIN((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3">
        <f>(1-Summary!$B$11)*T243+Summary!$B$11*V243</f>
        <v/>
      </c>
      <c r="P243">
        <f>IF(B280=0,0,O243/B280)</f>
        <v/>
      </c>
      <c r="Q243" t="n">
        <v>0</v>
      </c>
      <c r="R243" t="n">
        <v>0</v>
      </c>
      <c r="S243">
        <f>IFERROR(O243/N243,0)</f>
        <v/>
      </c>
      <c r="T243">
        <f>IF(C243,(Skills!G2*N243*B274)*IF(Inputs!$B$39="pvp",1,1+(Inputs!$B$21+0+Skills!P2+((C258=TRUE)*F258*IF(AND(Inputs!$B$39&lt;&gt;"pvp",Inputs!$B$44&gt;0),(((R258-1)*MIN((Skills!T17*(1+Inputs!$B$35/100)),(1/Q258))+MIN((Skills!T17*(1+Inputs!$B$35/100)),MAX(0,Inputs!$B$44-((R258-1)*(1/Q258)))))/Inputs!$B$44),IF(Inputs!$B$39="pvp",MIN((Skills!T17*(1+Inputs!$B$35/100)),15)/15,MIN(1,(Skills!T17*(1+Inputs!$B$35/100))/(1/Q258)))))+((C246=TRUE)*IF(Inputs!$B$3&gt;=126,10*MIN(1,15*Q246),0))+((C255=TRUE)*IF(Inputs!$B$39="pvp",20,(1-Summary!$B$11)*(20)+Summary!$B$11*(0))*IF(AND(Inputs!$B$39&lt;&gt;"pvp",Inputs!$B$44&gt;0),(((R255-1)*MIN((Skills!T14*(1+Inputs!$B$35/100)),(1/Q255))+MIN((Skills!T14*(1+Inputs!$B$35/100)),MAX(0,Inputs!$B$44-((R255-1)*(1/Q255)))))/Inputs!$B$44),IF(Inputs!$B$39="pvp",MIN((Skills!T14*(1+Inputs!$B$35/100)),15)/15,MIN(1,(Skills!T14*(1+Inputs!$B$35/100))/(1/Q255)))))+((C254=TRUE)*IF(Inputs!$B$3&gt;=82,IF(Inputs!$B$39="pvp",20,(1-Summary!$B$11)*(20)+Summary!$B$11*(0)),0)*IF(AND(Inputs!$B$39&lt;&gt;"pvp",Inputs!$B$44&gt;0),(((R254-1)*MIN((Skills!T13*(1+Inputs!$B$35/100)),(1/Q254))+MIN((Skills!T13*(1+Inputs!$B$35/100)),MAX(0,Inputs!$B$44-((R254-1)*(1/Q254)))))/Inputs!$B$44),IF(Inputs!$B$39="pvp",MIN((Skills!T13*(1+Inputs!$B$35/100)),15)/15,MIN(1,(Skills!T13*(1+Inputs!$B$35/100))/(1/Q254)))))+(IF(AND(ArtifactsInput!$M$35,Inputs!$B$4&lt;&gt;"Chapter Hunt"),CHOOSE(ArtifactsInput!$N$35+1,15,18,21,24,27,30)*(1-EXP(-(0.2*B272)*5)),0)+IF(AND(ArtifactsInput!$M$22,Inputs!$B$4&lt;&gt;"Chapter Hunt"),CHOOSE(ArtifactsInput!$N$22+1,10,12,14,16,18,20)*((0*(((0.15*B272*5))^0/1)+1*(((0.15*B272*5))^1/1)+2*(((0.15*B272*5))^2/2)+3*(((0.15*B272*5))^3/6)+4*(((0.15*B272*5))^4/24)+5*(((0.15*B272*5))^5/120))/((((0.15*B272*5))^0/1)+(((0.15*B272*5))^1/1)+(((0.15*B272*5))^2/2)+(((0.15*B272*5))^3/6)+(((0.15*B272*5))^4/24)+(((0.15*B272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243*(1-MIN(100,(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243*(MIN(100,(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243*(1-MIN(100,(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243*(MIN(100,(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43">
        <f>MAX(0,(Inputs!$B$3-100)*3)+Inputs!$B$29+Inputs!$B$30</f>
        <v/>
      </c>
      <c r="V243">
        <f>IF(C243,(Skills!G2*N243*B274)*IF(Inputs!$B$39="pvp",1,(1+(Inputs!$B$22+Skills!Q2+((C258=TRUE)*F258*IF(AND(Inputs!$B$39&lt;&gt;"pvp",Inputs!$B$44&gt;0),(((R258-1)*MIN((Skills!T17*(1+Inputs!$B$35/100)),(1/Q258))+MIN((Skills!T17*(1+Inputs!$B$35/100)),MAX(0,Inputs!$B$44-((R258-1)*(1/Q258)))))/Inputs!$B$44),IF(Inputs!$B$39="pvp",MIN((Skills!T17*(1+Inputs!$B$35/100)),15)/15,MIN(1,(Skills!T17*(1+Inputs!$B$35/100))/(1/Q258)))))+((C246=TRUE)*IF(Inputs!$B$3&gt;=126,10*MIN(1,15*Q246),0))+((C255=TRUE)*IF(Inputs!$B$39="pvp",20,(1-Summary!$B$11)*(20)+Summary!$B$11*(0))*IF(AND(Inputs!$B$39&lt;&gt;"pvp",Inputs!$B$44&gt;0),(((R255-1)*MIN((Skills!T14*(1+Inputs!$B$35/100)),(1/Q255))+MIN((Skills!T14*(1+Inputs!$B$35/100)),MAX(0,Inputs!$B$44-((R255-1)*(1/Q255)))))/Inputs!$B$44),IF(Inputs!$B$39="pvp",MIN((Skills!T14*(1+Inputs!$B$35/100)),15)/15,MIN(1,(Skills!T14*(1+Inputs!$B$35/100))/(1/Q255)))))+((C254=TRUE)*IF(Inputs!$B$3&gt;=82,IF(Inputs!$B$39="pvp",20,(1-Summary!$B$11)*(20)+Summary!$B$11*(0)),0)*IF(AND(Inputs!$B$39&lt;&gt;"pvp",Inputs!$B$44&gt;0),(((R254-1)*MIN((Skills!T13*(1+Inputs!$B$35/100)),(1/Q254))+MIN((Skills!T13*(1+Inputs!$B$35/100)),MAX(0,Inputs!$B$44-((R254-1)*(1/Q254)))))/Inputs!$B$44),IF(Inputs!$B$39="pvp",MIN((Skills!T13*(1+Inputs!$B$35/100)),15)/15,MIN(1,(Skills!T13*(1+Inputs!$B$35/100))/(1/Q254)))))+(IF(AND(ArtifactsInput!$M$35,Inputs!$B$4&lt;&gt;"Chapter Hunt"),CHOOSE(ArtifactsInput!$N$35+1,15,18,21,24,27,30)*(1-EXP(-(0.2*B272)*5)),0)+IF(AND(ArtifactsInput!$M$22,Inputs!$B$4&lt;&gt;"Chapter Hunt"),CHOOSE(ArtifactsInput!$N$22+1,10,12,14,16,18,20)*((0*(((0.15*B272*5))^0/1)+1*(((0.15*B272*5))^1/1)+2*(((0.15*B272*5))^2/2)+3*(((0.15*B272*5))^3/6)+4*(((0.15*B272*5))^4/24)+5*(((0.15*B272*5))^5/120))/((((0.15*B272*5))^0/1)+(((0.15*B272*5))^1/1)+(((0.15*B272*5))^2/2)+(((0.15*B272*5))^3/6)+(((0.15*B272*5))^4/24)+(((0.15*B272*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4">
      <c r="A244">
        <f>Skills!A3</f>
        <v/>
      </c>
      <c r="B244">
        <f>Skills!B3</f>
        <v/>
      </c>
      <c r="C244">
        <f>Inputs!$B$3&gt;=50</f>
        <v/>
      </c>
      <c r="D244">
        <f>IF(Skills!C3=1,60+Inputs!$B$26+Inputs!$B$30,IF(Skills!C3=2,90+Inputs!$B$27+Inputs!$B$30,IF(Skills!C3=3,120+Inputs!$B$28+Inputs!$B$30,MAX(0,(Inputs!$B$3-100)*3)+Inputs!$B$29+Inputs!$B$30)))</f>
        <v/>
      </c>
      <c r="E244">
        <f>INDEX(FactorTable!$B$2:$Y$301, MATCH(ROUND(MIN(300,MAX(1,D244)),0), FactorTable!$A$2:$A$301,0), Skills!M3+1)</f>
        <v/>
      </c>
      <c r="F244">
        <f>IF(Skills!N3=TRUE,(Skills!L3/10)*(E244/1000),Skills!L3/10)+Skills!O3</f>
        <v/>
      </c>
      <c r="G244" t="inlineStr"/>
      <c r="H244" t="inlineStr"/>
      <c r="I244" t="inlineStr">
        <is>
          <t>1</t>
        </is>
      </c>
      <c r="J244" t="inlineStr"/>
      <c r="K244" t="inlineStr"/>
      <c r="L244" t="inlineStr"/>
      <c r="M244" t="inlineStr"/>
      <c r="N244" t="inlineStr"/>
      <c r="O244" t="inlineStr"/>
      <c r="P244" t="inlineStr"/>
      <c r="Q244" t="inlineStr"/>
      <c r="R244" t="inlineStr"/>
      <c r="S244" t="inlineStr"/>
      <c r="U244">
        <f>INDEX(FactorTable!$B$2:$Y$301, MATCH(ROUND(MIN(300,MAX(1,U243)),0), FactorTable!$A$2:$A$301,0), 22)</f>
        <v/>
      </c>
    </row>
    <row r="245">
      <c r="A245">
        <f>Skills!A4</f>
        <v/>
      </c>
      <c r="B245">
        <f>Skills!B4</f>
        <v/>
      </c>
      <c r="C245">
        <f>Inputs!$B$3&gt;=105</f>
        <v/>
      </c>
      <c r="D245">
        <f>IF(Skills!C4=1,60+Inputs!$B$26+Inputs!$B$30,IF(Skills!C4=2,90+Inputs!$B$27+Inputs!$B$30,IF(Skills!C4=3,120+Inputs!$B$28+Inputs!$B$30,MAX(0,(Inputs!$B$3-100)*3)+Inputs!$B$29+Inputs!$B$30)))</f>
        <v/>
      </c>
      <c r="E245">
        <f>INDEX(FactorTable!$B$2:$Y$301, MATCH(ROUND(MIN(300,MAX(1,D245)),0), FactorTable!$A$2:$A$301,0), Skills!M4+1)</f>
        <v/>
      </c>
      <c r="F245">
        <f>IF(Skills!N4=TRUE,(Skills!L4/10)*(E245/1000),Skills!L4/10)+Skills!O4</f>
        <v/>
      </c>
      <c r="G245" t="inlineStr"/>
      <c r="H245" t="inlineStr"/>
      <c r="I245" t="inlineStr">
        <is>
          <t>1</t>
        </is>
      </c>
      <c r="J245" t="inlineStr"/>
      <c r="K245" t="inlineStr"/>
      <c r="L245" t="inlineStr"/>
      <c r="M245" t="inlineStr"/>
      <c r="N245" t="inlineStr"/>
      <c r="O245" t="inlineStr"/>
      <c r="P245" t="inlineStr"/>
      <c r="Q245" t="inlineStr"/>
      <c r="R245" t="inlineStr"/>
      <c r="S245" t="inlineStr"/>
      <c r="U245">
        <f>290*U244/1000</f>
        <v/>
      </c>
    </row>
    <row r="246">
      <c r="A246">
        <f>Skills!A5</f>
        <v/>
      </c>
      <c r="B246">
        <f>Skills!B5</f>
        <v/>
      </c>
      <c r="C246">
        <f>Inputs!$B$3&gt;=117</f>
        <v/>
      </c>
      <c r="D246">
        <f>IF(Skills!C5=1,60+Inputs!$B$26+Inputs!$B$30,IF(Skills!C5=2,90+Inputs!$B$27+Inputs!$B$30,IF(Skills!C5=3,120+Inputs!$B$28+Inputs!$B$30,MAX(0,(Inputs!$B$3-100)*3)+Inputs!$B$29+Inputs!$B$30)))</f>
        <v/>
      </c>
      <c r="E246">
        <f>INDEX(FactorTable!$B$2:$Y$301, MATCH(ROUND(MIN(300,MAX(1,D246)),0), FactorTable!$A$2:$A$301,0), Skills!M5+1)</f>
        <v/>
      </c>
      <c r="F246">
        <f>IF(Skills!N5=TRUE,(Skills!L5/10)*(E246/1000),Skills!L5/10)+Skills!O5</f>
        <v/>
      </c>
      <c r="G246">
        <f>Skills!G5*IF(Skills!H5&gt;0,INT(IF(Inputs!$B$39="pvp",MIN(Skills!I5,15),Skills!I5)/Skills!H5+0.000000001),1)</f>
        <v/>
      </c>
      <c r="H246">
        <f>1-(1-Skills!J5/100)^Skills!K5</f>
        <v/>
      </c>
      <c r="I246" t="inlineStr">
        <is>
          <t>1</t>
        </is>
      </c>
      <c r="J246">
        <f>((Inputs!$B$6*(1+Inputs!$B$7/100))+(((Inputs!$B$13*(1+Inputs!$B$14/100))-(Inputs!$B$13*(1+Inputs!$B$14/100)))+0.25*(Inputs!$B$15-Inputs!$B$15))*(1+Inputs!$B$7/100))*(F246/100)</f>
        <v/>
      </c>
      <c r="K246">
        <f>J246*(1+(((Inputs!$B$13+IF(Inputs!$B$3&gt;=38,(10*INDEX(FactorTable!$B$2:$Y$301, MATCH(ROUND(MIN(300,MAX(1,Inputs!$B$3)),0), FactorTable!$A$2:$A$301,0), 23)/1000)/100*(Inputs!$B$8*(1+(Inputs!$B$9+1)/100)),0))*(1+Inputs!$B$14/100))*0.01+Inputs!$B$15*0.0025)/100)*(1+Inputs!$B$16/100)*(1+Inputs!$B$17/100)*(5000/(6000+Inputs!$B$43*(1-(Inputs!$B$20+0)/100)))*(1+(Inputs!$B$25+((C266=TRUE)*(F266-Calc!F25))+((C267=TRUE)*(F267-Calc!F26))+B276)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gt;=100),MIN(100,((Inputs!$B$10+0+B270+(ArtifactsInput!$M$24-ArtifactsInput!$M$24)*CHOOSE(ArtifactsInput!$N$24+1,10,12,14,16,18,20)+IF(ArtifactsInput!$M$10,CHOOSE(ArtifactsInput!$N$10+1,15,18,21,24,27,30)*(IF(Inputs!$B$39="pvp",MIN(15,15)/15,IF(AND(Inputs!$B$39&lt;&gt;"pvp",Inputs!$B$44&gt;0),MIN(15,Inputs!$B$44)/(Inputs!$B$44),0))),0)))-100),0))*CHOOSE(ArtifactsInput!$N$42+1,0.6,0.72,0.84,0.96,1.08,1.2))),Inputs!$B$19+((C264=TRUE)*(F264-Calc!F23))+(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gt;=100),CHOOSE(ArtifactsInput!$N$42+1,40,48,56,64,72,80),0))))/100)*((1+(((C254=TRUE)*F254*IF(AND(Inputs!$B$39&lt;&gt;"pvp",Inputs!$B$44&gt;0),(((R254-1)*MIN((Skills!T13*(1+Inputs!$B$35/100)),(1/Q254))+MIN((Skills!T13*(1+Inputs!$B$35/100)),MAX(0,Inputs!$B$44-((R254-1)*(1/Q254)))))/Inputs!$B$44),IF(Inputs!$B$39="pvp",MIN((Skills!T13*(1+Inputs!$B$35/100)),15)/15,MIN(1,(Skills!T13*(1+Inputs!$B$35/100))/(1/Q254)))))+((C255=TRUE)*F255*IF(AND(Inputs!$B$39&lt;&gt;"pvp",Inputs!$B$44&gt;0),(((R255-1)*MIN((Skills!T14*(1+Inputs!$B$35/100)),(1/Q255))+MIN((Skills!T14*(1+Inputs!$B$35/100)),MAX(0,Inputs!$B$44-((R255-1)*(1/Q255)))))/Inputs!$B$44),IF(Inputs!$B$39="pvp",MIN((Skills!T14*(1+Inputs!$B$35/100)),15)/15,MIN(1,(Skills!T14*(1+Inputs!$B$35/100))/(1/Q255)))))+((C256=TRUE)*F256*IF(AND(Inputs!$B$39&lt;&gt;"pvp",Inputs!$B$44&gt;0),(((R256-1)*MIN((Skills!T15*(1+Inputs!$B$35/100)),(1/Q256))+MIN((Skills!T15*(1+Inputs!$B$35/100)),MAX(0,Inputs!$B$44-((R256-1)*(1/Q256)))))/Inputs!$B$44),IF(Inputs!$B$39="pvp",MIN((Skills!T15*(1+Inputs!$B$35/100)),15)/15,MIN(1,(Skills!T15*(1+Inputs!$B$35/100))/(1/Q256)))))+((C257=TRUE)*F257*IF(AND(Inputs!$B$39&lt;&gt;"pvp",Inputs!$B$44&gt;0),(((R257-1)*MIN((Skills!T16*(1+Inputs!$B$35/100)),(1/Q257))+MIN((Skills!T16*(1+Inputs!$B$35/100)),MAX(0,Inputs!$B$44-((R257-1)*(1/Q257)))))/Inputs!$B$44),IF(Inputs!$B$39="pvp",MIN((Skills!T16*(1+Inputs!$B$35/100)),15)/15,MIN(1,(Skills!T16*(1+Inputs!$B$35/100))/(1/Q257)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246)</f>
        <v/>
      </c>
      <c r="L246">
        <f>K246*(MIN(Inputs!$B$23+((C263=TRUE)*(F263-Calc!F22)),(Inputs!$B$24+((C265=TRUE)*(F265-Calc!F24))+(IF(ArtifactsInput!$M$15,CHOOSE(ArtifactsInput!$N$15+1,25,30,35,40,45,50)/100*(Inputs!$B$12-Inputs!$B$12),0))))/100+(Inputs!$B$24+((C265=TRUE)*(F265-Calc!F24))+(IF(ArtifactsInput!$M$15,CHOOSE(ArtifactsInput!$N$15+1,25,30,35,40,45,50)/100*(Inputs!$B$12-Inputs!$B$12),0)))/100)/2</f>
        <v/>
      </c>
      <c r="M246">
        <f>L246*(1+(Inputs!$B$11+0+B275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46">
        <f>L246*(1-MIN((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246*(MIN((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6">
        <f>(1-Summary!$B$11)*T246+Summary!$B$11*V246</f>
        <v/>
      </c>
      <c r="P246">
        <f>IF(B280=0,0,O246/B280)</f>
        <v/>
      </c>
      <c r="Q246">
        <f>IFERROR(1/IF(Inputs!$B$39="pvp",15,MAX(0.1,Skills!D5-IF(TRUE=TRUE,Inputs!$B$33,0))),0)</f>
        <v/>
      </c>
      <c r="R246">
        <f>IF(AND(Inputs!$B$39&lt;&gt;"pvp",Inputs!$B$44&gt;0),IF(MAX(0,Inputs!$B$44-B277)&lt;=0,0,(INT(MAX(0,Inputs!$B$44-B277)/IF(Inputs!$B$39="pvp",15,MAX(0.1,Skills!D5-IF(TRUE=TRUE,Inputs!$B$33,0))))+1)),0)</f>
        <v/>
      </c>
      <c r="S246">
        <f>IFERROR(O246/N246,0)</f>
        <v/>
      </c>
      <c r="T246">
        <f>IF(C246,(H246*N246*IF(AND(Inputs!$B$39&lt;&gt;"pvp",Inputs!$B$44&gt;0),((Skills!G5*((R246-1)*IF(Skills!H5&gt;0,INT(Skills!I5/Skills!H5+0.000000001),1)+IF(Skills!H5&gt;0,INT(MIN(Skills!I5,MAX(0,MAX(0,Inputs!$B$44-B277)-((R246-1)*IF(Inputs!$B$39="pvp",15,MAX(0.1,Skills!D5-IF(TRUE=TRUE,Inputs!$B$33,0))))))/Skills!H5+0.000000001),1)))/Inputs!$B$44),G246*Q246))*IF(Inputs!$B$39="pvp",1,1+(Inputs!$B$21+0+Skills!P5+((C258=TRUE)*F258*IF(AND(Inputs!$B$39&lt;&gt;"pvp",Inputs!$B$44&gt;0),(((R258-1)*MIN((Skills!T17*(1+Inputs!$B$35/100)),(1/Q258))+MIN((Skills!T17*(1+Inputs!$B$35/100)),MAX(0,Inputs!$B$44-((R258-1)*(1/Q258)))))/Inputs!$B$44),IF(Inputs!$B$39="pvp",MIN((Skills!T17*(1+Inputs!$B$35/100)),15)/15,MIN(1,(Skills!T17*(1+Inputs!$B$35/100))/(1/Q258)))))+((C246=TRUE)*IF(Inputs!$B$3&gt;=126,10*MIN(1,15*Q246),0))+((C255=TRUE)*IF(Inputs!$B$39="pvp",20,(1-Summary!$B$11)*(20)+Summary!$B$11*(0))*IF(AND(Inputs!$B$39&lt;&gt;"pvp",Inputs!$B$44&gt;0),(((R255-1)*MIN((Skills!T14*(1+Inputs!$B$35/100)),(1/Q255))+MIN((Skills!T14*(1+Inputs!$B$35/100)),MAX(0,Inputs!$B$44-((R255-1)*(1/Q255)))))/Inputs!$B$44),IF(Inputs!$B$39="pvp",MIN((Skills!T14*(1+Inputs!$B$35/100)),15)/15,MIN(1,(Skills!T14*(1+Inputs!$B$35/100))/(1/Q255)))))+((C254=TRUE)*IF(Inputs!$B$3&gt;=82,IF(Inputs!$B$39="pvp",20,(1-Summary!$B$11)*(20)+Summary!$B$11*(0)),0)*IF(AND(Inputs!$B$39&lt;&gt;"pvp",Inputs!$B$44&gt;0),(((R254-1)*MIN((Skills!T13*(1+Inputs!$B$35/100)),(1/Q254))+MIN((Skills!T13*(1+Inputs!$B$35/100)),MAX(0,Inputs!$B$44-((R254-1)*(1/Q254)))))/Inputs!$B$44),IF(Inputs!$B$39="pvp",MIN((Skills!T13*(1+Inputs!$B$35/100)),15)/15,MIN(1,(Skills!T13*(1+Inputs!$B$35/100))/(1/Q254)))))+(IF(AND(ArtifactsInput!$M$35,Inputs!$B$4&lt;&gt;"Chapter Hunt"),CHOOSE(ArtifactsInput!$N$35+1,15,18,21,24,27,30)*(1-EXP(-(0.2*B272)*5)),0)+IF(AND(ArtifactsInput!$M$22,Inputs!$B$4&lt;&gt;"Chapter Hunt"),CHOOSE(ArtifactsInput!$N$22+1,10,12,14,16,18,20)*((0*(((0.15*B272*5))^0/1)+1*(((0.15*B272*5))^1/1)+2*(((0.15*B272*5))^2/2)+3*(((0.15*B272*5))^3/6)+4*(((0.15*B272*5))^4/24)+5*(((0.15*B272*5))^5/120))/((((0.15*B272*5))^0/1)+(((0.15*B272*5))^1/1)+(((0.15*B272*5))^2/2)+(((0.15*B272*5))^3/6)+(((0.15*B272*5))^4/24)+(((0.15*B272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246*(1-MIN(100,(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246*(MIN(100,(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246*(1-MIN(100,(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246*(MIN(100,(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6">
        <f>IF(C246,(H246*N246*IF(AND(Inputs!$B$39&lt;&gt;"pvp",Inputs!$B$44&gt;0),((Skills!G5*((R246-1)*IF(Skills!H5&gt;0,INT(Skills!I5/Skills!H5+0.000000001),1)+IF(Skills!H5&gt;0,INT(MIN(Skills!I5,MAX(0,MAX(0,Inputs!$B$44-B277)-((R246-1)*IF(Inputs!$B$39="pvp",15,MAX(0.1,Skills!D5-IF(TRUE=TRUE,Inputs!$B$33,0))))))/Skills!H5+0.000000001),1)))/Inputs!$B$44),G246*Q246))*IF(Inputs!$B$39="pvp",1,(1+(Inputs!$B$22+Skills!Q5+((C258=TRUE)*F258*IF(AND(Inputs!$B$39&lt;&gt;"pvp",Inputs!$B$44&gt;0),(((R258-1)*MIN((Skills!T17*(1+Inputs!$B$35/100)),(1/Q258))+MIN((Skills!T17*(1+Inputs!$B$35/100)),MAX(0,Inputs!$B$44-((R258-1)*(1/Q258)))))/Inputs!$B$44),IF(Inputs!$B$39="pvp",MIN((Skills!T17*(1+Inputs!$B$35/100)),15)/15,MIN(1,(Skills!T17*(1+Inputs!$B$35/100))/(1/Q258)))))+((C246=TRUE)*IF(Inputs!$B$3&gt;=126,10*MIN(1,15*Q246),0))+((C255=TRUE)*IF(Inputs!$B$39="pvp",20,(1-Summary!$B$11)*(20)+Summary!$B$11*(0))*IF(AND(Inputs!$B$39&lt;&gt;"pvp",Inputs!$B$44&gt;0),(((R255-1)*MIN((Skills!T14*(1+Inputs!$B$35/100)),(1/Q255))+MIN((Skills!T14*(1+Inputs!$B$35/100)),MAX(0,Inputs!$B$44-((R255-1)*(1/Q255)))))/Inputs!$B$44),IF(Inputs!$B$39="pvp",MIN((Skills!T14*(1+Inputs!$B$35/100)),15)/15,MIN(1,(Skills!T14*(1+Inputs!$B$35/100))/(1/Q255)))))+((C254=TRUE)*IF(Inputs!$B$3&gt;=82,IF(Inputs!$B$39="pvp",20,(1-Summary!$B$11)*(20)+Summary!$B$11*(0)),0)*IF(AND(Inputs!$B$39&lt;&gt;"pvp",Inputs!$B$44&gt;0),(((R254-1)*MIN((Skills!T13*(1+Inputs!$B$35/100)),(1/Q254))+MIN((Skills!T13*(1+Inputs!$B$35/100)),MAX(0,Inputs!$B$44-((R254-1)*(1/Q254)))))/Inputs!$B$44),IF(Inputs!$B$39="pvp",MIN((Skills!T13*(1+Inputs!$B$35/100)),15)/15,MIN(1,(Skills!T13*(1+Inputs!$B$35/100))/(1/Q254)))))+(IF(AND(ArtifactsInput!$M$35,Inputs!$B$4&lt;&gt;"Chapter Hunt"),CHOOSE(ArtifactsInput!$N$35+1,15,18,21,24,27,30)*(1-EXP(-(0.2*B272)*5)),0)+IF(AND(ArtifactsInput!$M$22,Inputs!$B$4&lt;&gt;"Chapter Hunt"),CHOOSE(ArtifactsInput!$N$22+1,10,12,14,16,18,20)*((0*(((0.15*B272*5))^0/1)+1*(((0.15*B272*5))^1/1)+2*(((0.15*B272*5))^2/2)+3*(((0.15*B272*5))^3/6)+4*(((0.15*B272*5))^4/24)+5*(((0.15*B272*5))^5/120))/((((0.15*B272*5))^0/1)+(((0.15*B272*5))^1/1)+(((0.15*B272*5))^2/2)+(((0.15*B272*5))^3/6)+(((0.15*B272*5))^4/24)+(((0.15*B272*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7">
      <c r="A247">
        <f>Skills!A6</f>
        <v/>
      </c>
      <c r="B247">
        <f>Skills!B6</f>
        <v/>
      </c>
      <c r="C247">
        <f>Inputs!$B$3&gt;=103</f>
        <v/>
      </c>
      <c r="D247">
        <f>IF(Skills!C6=1,60+Inputs!$B$26+Inputs!$B$30,IF(Skills!C6=2,90+Inputs!$B$27+Inputs!$B$30,IF(Skills!C6=3,120+Inputs!$B$28+Inputs!$B$30,MAX(0,(Inputs!$B$3-100)*3)+Inputs!$B$29+Inputs!$B$30)))</f>
        <v/>
      </c>
      <c r="E247">
        <f>INDEX(FactorTable!$B$2:$Y$301, MATCH(ROUND(MIN(300,MAX(1,D247)),0), FactorTable!$A$2:$A$301,0), Skills!M6+1)</f>
        <v/>
      </c>
      <c r="F247">
        <f>IF(Skills!N6=TRUE,(Skills!L6/10)*(E247/1000),Skills!L6/10)+Skills!O6</f>
        <v/>
      </c>
      <c r="G247">
        <f>Skills!G6*IF(Skills!H6&gt;0,INT(IF(Inputs!$B$39="pvp",MIN(Skills!I6,15),Skills!I6)/Skills!H6+0.000000001),1)</f>
        <v/>
      </c>
      <c r="H247">
        <f>1-(1-Skills!J6/100)^Skills!K6</f>
        <v/>
      </c>
      <c r="I247" t="inlineStr">
        <is>
          <t>1</t>
        </is>
      </c>
      <c r="J247">
        <f>((Inputs!$B$6*(1+Inputs!$B$7/100))+(((Inputs!$B$13*(1+Inputs!$B$14/100))-(Inputs!$B$13*(1+Inputs!$B$14/100)))+0.25*(Inputs!$B$15-Inputs!$B$15))*(1+Inputs!$B$7/100))*(F247/100)</f>
        <v/>
      </c>
      <c r="K247">
        <f>J247*(1+(((Inputs!$B$13+IF(Inputs!$B$3&gt;=38,(10*INDEX(FactorTable!$B$2:$Y$301, MATCH(ROUND(MIN(300,MAX(1,Inputs!$B$3)),0), FactorTable!$A$2:$A$301,0), 23)/1000)/100*(Inputs!$B$8*(1+(Inputs!$B$9+1)/100)),0))*(1+Inputs!$B$14/100))*0.01+Inputs!$B$15*0.0025)/100)*(1+Inputs!$B$16/100)*(1+Inputs!$B$17/100)*(5000/(6000+Inputs!$B$43*(1-(Inputs!$B$20+0)/100)))*(1+(Inputs!$B$25+((C266=TRUE)*(F266-Calc!F25))+((C267=TRUE)*(F267-Calc!F26))+B276)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gt;=100),MIN(100,((Inputs!$B$10+0+B270+(ArtifactsInput!$M$24-ArtifactsInput!$M$24)*CHOOSE(ArtifactsInput!$N$24+1,10,12,14,16,18,20)+IF(ArtifactsInput!$M$10,CHOOSE(ArtifactsInput!$N$10+1,15,18,21,24,27,30)*(IF(Inputs!$B$39="pvp",MIN(15,15)/15,IF(AND(Inputs!$B$39&lt;&gt;"pvp",Inputs!$B$44&gt;0),MIN(15,Inputs!$B$44)/(Inputs!$B$44),0))),0)))-100),0))*CHOOSE(ArtifactsInput!$N$42+1,0.6,0.72,0.84,0.96,1.08,1.2))),Inputs!$B$19+((C264=TRUE)*(F264-Calc!F23))+(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gt;=100),CHOOSE(ArtifactsInput!$N$42+1,40,48,56,64,72,80),0))))/100)*((1+(((C254=TRUE)*F254*IF(AND(Inputs!$B$39&lt;&gt;"pvp",Inputs!$B$44&gt;0),(((R254-1)*MIN((Skills!T13*(1+Inputs!$B$35/100)),(1/Q254))+MIN((Skills!T13*(1+Inputs!$B$35/100)),MAX(0,Inputs!$B$44-((R254-1)*(1/Q254)))))/Inputs!$B$44),IF(Inputs!$B$39="pvp",MIN((Skills!T13*(1+Inputs!$B$35/100)),15)/15,MIN(1,(Skills!T13*(1+Inputs!$B$35/100))/(1/Q254)))))+((C255=TRUE)*F255*IF(AND(Inputs!$B$39&lt;&gt;"pvp",Inputs!$B$44&gt;0),(((R255-1)*MIN((Skills!T14*(1+Inputs!$B$35/100)),(1/Q255))+MIN((Skills!T14*(1+Inputs!$B$35/100)),MAX(0,Inputs!$B$44-((R255-1)*(1/Q255)))))/Inputs!$B$44),IF(Inputs!$B$39="pvp",MIN((Skills!T14*(1+Inputs!$B$35/100)),15)/15,MIN(1,(Skills!T14*(1+Inputs!$B$35/100))/(1/Q255)))))+((C256=TRUE)*F256*IF(AND(Inputs!$B$39&lt;&gt;"pvp",Inputs!$B$44&gt;0),(((R256-1)*MIN((Skills!T15*(1+Inputs!$B$35/100)),(1/Q256))+MIN((Skills!T15*(1+Inputs!$B$35/100)),MAX(0,Inputs!$B$44-((R256-1)*(1/Q256)))))/Inputs!$B$44),IF(Inputs!$B$39="pvp",MIN((Skills!T15*(1+Inputs!$B$35/100)),15)/15,MIN(1,(Skills!T15*(1+Inputs!$B$35/100))/(1/Q256)))))+((C257=TRUE)*F257*IF(AND(Inputs!$B$39&lt;&gt;"pvp",Inputs!$B$44&gt;0),(((R257-1)*MIN((Skills!T16*(1+Inputs!$B$35/100)),(1/Q257))+MIN((Skills!T16*(1+Inputs!$B$35/100)),MAX(0,Inputs!$B$44-((R257-1)*(1/Q257)))))/Inputs!$B$44),IF(Inputs!$B$39="pvp",MIN((Skills!T16*(1+Inputs!$B$35/100)),15)/15,MIN(1,(Skills!T16*(1+Inputs!$B$35/100))/(1/Q257)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247)</f>
        <v/>
      </c>
      <c r="L247">
        <f>K247*(MIN(Inputs!$B$23+((C263=TRUE)*(F263-Calc!F22)),(Inputs!$B$24+((C265=TRUE)*(F265-Calc!F24))+(IF(ArtifactsInput!$M$15,CHOOSE(ArtifactsInput!$N$15+1,25,30,35,40,45,50)/100*(Inputs!$B$12-Inputs!$B$12),0))))/100+(Inputs!$B$24+((C265=TRUE)*(F265-Calc!F24))+(IF(ArtifactsInput!$M$15,CHOOSE(ArtifactsInput!$N$15+1,25,30,35,40,45,50)/100*(Inputs!$B$12-Inputs!$B$12),0)))/100)/2</f>
        <v/>
      </c>
      <c r="M247">
        <f>L247*(1+(Inputs!$B$11+0+B275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47">
        <f>L247*(1-MIN((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247*(MIN((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7">
        <f>(1-Summary!$B$11)*T247+Summary!$B$11*V247</f>
        <v/>
      </c>
      <c r="P247">
        <f>IF(B280=0,0,O247/B280)</f>
        <v/>
      </c>
      <c r="Q247">
        <f>IFERROR(1/IF(Inputs!$B$39="pvp",15,MAX(0.1,Skills!D6-IF(TRUE=TRUE,Inputs!$B$33,0))),0)</f>
        <v/>
      </c>
      <c r="R247">
        <f>IF(AND(Inputs!$B$39&lt;&gt;"pvp",Inputs!$B$44&gt;0),IF(MAX(0,Inputs!$B$44-B277)&lt;=0,0,(INT(MAX(0,Inputs!$B$44-B277)/IF(Inputs!$B$39="pvp",15,MAX(0.1,Skills!D6-IF(TRUE=TRUE,Inputs!$B$33,0))))+1)),0)</f>
        <v/>
      </c>
      <c r="S247">
        <f>IFERROR(O247/N247,0)</f>
        <v/>
      </c>
      <c r="T247">
        <f>IF(C247,(H247*N247*IF(AND(Inputs!$B$39&lt;&gt;"pvp",Inputs!$B$44&gt;0),((Skills!G6*((R247-1)*IF(Skills!H6&gt;0,INT(Skills!I6/Skills!H6+0.000000001),1)+IF(Skills!H6&gt;0,INT(MIN(Skills!I6,MAX(0,MAX(0,Inputs!$B$44-B277)-((R247-1)*IF(Inputs!$B$39="pvp",15,MAX(0.1,Skills!D6-IF(TRUE=TRUE,Inputs!$B$33,0))))))/Skills!H6+0.000000001),1)))/Inputs!$B$44),G247*Q247))*IF(Inputs!$B$39="pvp",1,1+(Inputs!$B$21+0+Skills!P6+((C258=TRUE)*F258*IF(AND(Inputs!$B$39&lt;&gt;"pvp",Inputs!$B$44&gt;0),(((R258-1)*MIN((Skills!T17*(1+Inputs!$B$35/100)),(1/Q258))+MIN((Skills!T17*(1+Inputs!$B$35/100)),MAX(0,Inputs!$B$44-((R258-1)*(1/Q258)))))/Inputs!$B$44),IF(Inputs!$B$39="pvp",MIN((Skills!T17*(1+Inputs!$B$35/100)),15)/15,MIN(1,(Skills!T17*(1+Inputs!$B$35/100))/(1/Q258)))))+((C246=TRUE)*IF(Inputs!$B$3&gt;=126,10*MIN(1,15*Q246),0))+((C255=TRUE)*IF(Inputs!$B$39="pvp",20,(1-Summary!$B$11)*(20)+Summary!$B$11*(0))*IF(AND(Inputs!$B$39&lt;&gt;"pvp",Inputs!$B$44&gt;0),(((R255-1)*MIN((Skills!T14*(1+Inputs!$B$35/100)),(1/Q255))+MIN((Skills!T14*(1+Inputs!$B$35/100)),MAX(0,Inputs!$B$44-((R255-1)*(1/Q255)))))/Inputs!$B$44),IF(Inputs!$B$39="pvp",MIN((Skills!T14*(1+Inputs!$B$35/100)),15)/15,MIN(1,(Skills!T14*(1+Inputs!$B$35/100))/(1/Q255)))))+((C254=TRUE)*IF(Inputs!$B$3&gt;=82,IF(Inputs!$B$39="pvp",20,(1-Summary!$B$11)*(20)+Summary!$B$11*(0)),0)*IF(AND(Inputs!$B$39&lt;&gt;"pvp",Inputs!$B$44&gt;0),(((R254-1)*MIN((Skills!T13*(1+Inputs!$B$35/100)),(1/Q254))+MIN((Skills!T13*(1+Inputs!$B$35/100)),MAX(0,Inputs!$B$44-((R254-1)*(1/Q254)))))/Inputs!$B$44),IF(Inputs!$B$39="pvp",MIN((Skills!T13*(1+Inputs!$B$35/100)),15)/15,MIN(1,(Skills!T13*(1+Inputs!$B$35/100))/(1/Q254)))))+(IF(AND(ArtifactsInput!$M$35,Inputs!$B$4&lt;&gt;"Chapter Hunt"),CHOOSE(ArtifactsInput!$N$35+1,15,18,21,24,27,30)*(1-EXP(-(0.2*B272)*5)),0)+IF(AND(ArtifactsInput!$M$22,Inputs!$B$4&lt;&gt;"Chapter Hunt"),CHOOSE(ArtifactsInput!$N$22+1,10,12,14,16,18,20)*((0*(((0.15*B272*5))^0/1)+1*(((0.15*B272*5))^1/1)+2*(((0.15*B272*5))^2/2)+3*(((0.15*B272*5))^3/6)+4*(((0.15*B272*5))^4/24)+5*(((0.15*B272*5))^5/120))/((((0.15*B272*5))^0/1)+(((0.15*B272*5))^1/1)+(((0.15*B272*5))^2/2)+(((0.15*B272*5))^3/6)+(((0.15*B272*5))^4/24)+(((0.15*B272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247*(1-MIN(100,(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247*(MIN(100,(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247*(1-MIN(100,(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247*(MIN(100,(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7">
        <f>IF(C247,(H247*N247*IF(AND(Inputs!$B$39&lt;&gt;"pvp",Inputs!$B$44&gt;0),((Skills!G6*((R247-1)*IF(Skills!H6&gt;0,INT(Skills!I6/Skills!H6+0.000000001),1)+IF(Skills!H6&gt;0,INT(MIN(Skills!I6,MAX(0,MAX(0,Inputs!$B$44-B277)-((R247-1)*IF(Inputs!$B$39="pvp",15,MAX(0.1,Skills!D6-IF(TRUE=TRUE,Inputs!$B$33,0))))))/Skills!H6+0.000000001),1)))/Inputs!$B$44),G247*Q247))*IF(Inputs!$B$39="pvp",1,(1+(Inputs!$B$22+Skills!Q6+((C258=TRUE)*F258*IF(AND(Inputs!$B$39&lt;&gt;"pvp",Inputs!$B$44&gt;0),(((R258-1)*MIN((Skills!T17*(1+Inputs!$B$35/100)),(1/Q258))+MIN((Skills!T17*(1+Inputs!$B$35/100)),MAX(0,Inputs!$B$44-((R258-1)*(1/Q258)))))/Inputs!$B$44),IF(Inputs!$B$39="pvp",MIN((Skills!T17*(1+Inputs!$B$35/100)),15)/15,MIN(1,(Skills!T17*(1+Inputs!$B$35/100))/(1/Q258)))))+((C246=TRUE)*IF(Inputs!$B$3&gt;=126,10*MIN(1,15*Q246),0))+((C255=TRUE)*IF(Inputs!$B$39="pvp",20,(1-Summary!$B$11)*(20)+Summary!$B$11*(0))*IF(AND(Inputs!$B$39&lt;&gt;"pvp",Inputs!$B$44&gt;0),(((R255-1)*MIN((Skills!T14*(1+Inputs!$B$35/100)),(1/Q255))+MIN((Skills!T14*(1+Inputs!$B$35/100)),MAX(0,Inputs!$B$44-((R255-1)*(1/Q255)))))/Inputs!$B$44),IF(Inputs!$B$39="pvp",MIN((Skills!T14*(1+Inputs!$B$35/100)),15)/15,MIN(1,(Skills!T14*(1+Inputs!$B$35/100))/(1/Q255)))))+((C254=TRUE)*IF(Inputs!$B$3&gt;=82,IF(Inputs!$B$39="pvp",20,(1-Summary!$B$11)*(20)+Summary!$B$11*(0)),0)*IF(AND(Inputs!$B$39&lt;&gt;"pvp",Inputs!$B$44&gt;0),(((R254-1)*MIN((Skills!T13*(1+Inputs!$B$35/100)),(1/Q254))+MIN((Skills!T13*(1+Inputs!$B$35/100)),MAX(0,Inputs!$B$44-((R254-1)*(1/Q254)))))/Inputs!$B$44),IF(Inputs!$B$39="pvp",MIN((Skills!T13*(1+Inputs!$B$35/100)),15)/15,MIN(1,(Skills!T13*(1+Inputs!$B$35/100))/(1/Q254)))))+(IF(AND(ArtifactsInput!$M$35,Inputs!$B$4&lt;&gt;"Chapter Hunt"),CHOOSE(ArtifactsInput!$N$35+1,15,18,21,24,27,30)*(1-EXP(-(0.2*B272)*5)),0)+IF(AND(ArtifactsInput!$M$22,Inputs!$B$4&lt;&gt;"Chapter Hunt"),CHOOSE(ArtifactsInput!$N$22+1,10,12,14,16,18,20)*((0*(((0.15*B272*5))^0/1)+1*(((0.15*B272*5))^1/1)+2*(((0.15*B272*5))^2/2)+3*(((0.15*B272*5))^3/6)+4*(((0.15*B272*5))^4/24)+5*(((0.15*B272*5))^5/120))/((((0.15*B272*5))^0/1)+(((0.15*B272*5))^1/1)+(((0.15*B272*5))^2/2)+(((0.15*B272*5))^3/6)+(((0.15*B272*5))^4/24)+(((0.15*B272*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8">
      <c r="A248">
        <f>Skills!A7</f>
        <v/>
      </c>
      <c r="B248">
        <f>Skills!B7</f>
        <v/>
      </c>
      <c r="C248">
        <f>Inputs!$B$3&gt;=40</f>
        <v/>
      </c>
      <c r="D248">
        <f>IF(Skills!C7=1,60+Inputs!$B$26+Inputs!$B$30,IF(Skills!C7=2,90+Inputs!$B$27+Inputs!$B$30,IF(Skills!C7=3,120+Inputs!$B$28+Inputs!$B$30,MAX(0,(Inputs!$B$3-100)*3)+Inputs!$B$29+Inputs!$B$30)))</f>
        <v/>
      </c>
      <c r="E248">
        <f>INDEX(FactorTable!$B$2:$Y$301, MATCH(ROUND(MIN(300,MAX(1,D248)),0), FactorTable!$A$2:$A$301,0), Skills!M7+1)</f>
        <v/>
      </c>
      <c r="F248">
        <f>IF(Skills!N7=TRUE,(Skills!L7/10)*(E248/1000),Skills!L7/10)+Skills!O7</f>
        <v/>
      </c>
      <c r="G248">
        <f>Skills!G7*IF(Skills!H7&gt;0,INT(IF(Inputs!$B$39="pvp",MIN(Skills!I7,15),Skills!I7)/Skills!H7+0.000000001),1)</f>
        <v/>
      </c>
      <c r="H248">
        <f>1-(1-Skills!J7/100)^Skills!K7</f>
        <v/>
      </c>
      <c r="I248" t="inlineStr">
        <is>
          <t>1</t>
        </is>
      </c>
      <c r="J248">
        <f>((Inputs!$B$6*(1+Inputs!$B$7/100))+(((Inputs!$B$13*(1+Inputs!$B$14/100))-(Inputs!$B$13*(1+Inputs!$B$14/100)))+0.25*(Inputs!$B$15-Inputs!$B$15))*(1+Inputs!$B$7/100))*(F248/100)</f>
        <v/>
      </c>
      <c r="K248">
        <f>J248*(1+(((Inputs!$B$13+IF(Inputs!$B$3&gt;=38,(10*INDEX(FactorTable!$B$2:$Y$301, MATCH(ROUND(MIN(300,MAX(1,Inputs!$B$3)),0), FactorTable!$A$2:$A$301,0), 23)/1000)/100*(Inputs!$B$8*(1+(Inputs!$B$9+1)/100)),0))*(1+Inputs!$B$14/100))*0.01+Inputs!$B$15*0.0025)/100)*(1+Inputs!$B$16/100)*(1+Inputs!$B$17/100)*(5000/(6000+Inputs!$B$43*(1-(Inputs!$B$20+0)/100)))*(1+(Inputs!$B$25+((C266=TRUE)*(F266-Calc!F25))+((C267=TRUE)*(F267-Calc!F26))+B276)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252=TRUE,F252,0)/100)*(1+(IF(Skills!A7="DARK_IMPALE",Inputs!$B$18+0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gt;=100),MIN(100,((Inputs!$B$10+0+B270+(ArtifactsInput!$M$24-ArtifactsInput!$M$24)*CHOOSE(ArtifactsInput!$N$24+1,10,12,14,16,18,20)+IF(ArtifactsInput!$M$10,CHOOSE(ArtifactsInput!$N$10+1,15,18,21,24,27,30)*(IF(Inputs!$B$39="pvp",MIN(15,15)/15,IF(AND(Inputs!$B$39&lt;&gt;"pvp",Inputs!$B$44&gt;0),MIN(15,Inputs!$B$44)/(Inputs!$B$44),0))),0)))-100),0))*CHOOSE(ArtifactsInput!$N$42+1,0.6,0.72,0.84,0.96,1.08,1.2))),Inputs!$B$19+((C264=TRUE)*(F264-Calc!F23))+(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gt;=100),CHOOSE(ArtifactsInput!$N$42+1,40,48,56,64,72,80),0))))/100)*((1+(((C254=TRUE)*F254*IF(AND(Inputs!$B$39&lt;&gt;"pvp",Inputs!$B$44&gt;0),(((R254-1)*MIN((Skills!T13*(1+Inputs!$B$35/100)),(1/Q254))+MIN((Skills!T13*(1+Inputs!$B$35/100)),MAX(0,Inputs!$B$44-((R254-1)*(1/Q254)))))/Inputs!$B$44),IF(Inputs!$B$39="pvp",MIN((Skills!T13*(1+Inputs!$B$35/100)),15)/15,MIN(1,(Skills!T13*(1+Inputs!$B$35/100))/(1/Q254)))))+((C255=TRUE)*F255*IF(AND(Inputs!$B$39&lt;&gt;"pvp",Inputs!$B$44&gt;0),(((R255-1)*MIN((Skills!T14*(1+Inputs!$B$35/100)),(1/Q255))+MIN((Skills!T14*(1+Inputs!$B$35/100)),MAX(0,Inputs!$B$44-((R255-1)*(1/Q255)))))/Inputs!$B$44),IF(Inputs!$B$39="pvp",MIN((Skills!T14*(1+Inputs!$B$35/100)),15)/15,MIN(1,(Skills!T14*(1+Inputs!$B$35/100))/(1/Q255)))))+((C256=TRUE)*F256*IF(AND(Inputs!$B$39&lt;&gt;"pvp",Inputs!$B$44&gt;0),(((R256-1)*MIN((Skills!T15*(1+Inputs!$B$35/100)),(1/Q256))+MIN((Skills!T15*(1+Inputs!$B$35/100)),MAX(0,Inputs!$B$44-((R256-1)*(1/Q256)))))/Inputs!$B$44),IF(Inputs!$B$39="pvp",MIN((Skills!T15*(1+Inputs!$B$35/100)),15)/15,MIN(1,(Skills!T15*(1+Inputs!$B$35/100))/(1/Q256)))))+((C257=TRUE)*F257*IF(AND(Inputs!$B$39&lt;&gt;"pvp",Inputs!$B$44&gt;0),(((R257-1)*MIN((Skills!T16*(1+Inputs!$B$35/100)),(1/Q257))+MIN((Skills!T16*(1+Inputs!$B$35/100)),MAX(0,Inputs!$B$44-((R257-1)*(1/Q257)))))/Inputs!$B$44),IF(Inputs!$B$39="pvp",MIN((Skills!T16*(1+Inputs!$B$35/100)),15)/15,MIN(1,(Skills!T16*(1+Inputs!$B$35/100))/(1/Q257)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248)</f>
        <v/>
      </c>
      <c r="L248">
        <f>K248*(MIN(Inputs!$B$23+((C263=TRUE)*(F263-Calc!F22)),(Inputs!$B$24+((C265=TRUE)*(F265-Calc!F24))+(IF(ArtifactsInput!$M$15,CHOOSE(ArtifactsInput!$N$15+1,25,30,35,40,45,50)/100*(Inputs!$B$12-Inputs!$B$12),0))))/100+(Inputs!$B$24+((C265=TRUE)*(F265-Calc!F24))+(IF(ArtifactsInput!$M$15,CHOOSE(ArtifactsInput!$N$15+1,25,30,35,40,45,50)/100*(Inputs!$B$12-Inputs!$B$12),0)))/100)/2</f>
        <v/>
      </c>
      <c r="M248">
        <f>L248*(1+(Inputs!$B$11+0+B275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48">
        <f>L248*(1-MIN((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248*(MIN((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8">
        <f>(1-Summary!$B$11)*T248+Summary!$B$11*V248</f>
        <v/>
      </c>
      <c r="P248">
        <f>IF(B280=0,0,O248/B280)</f>
        <v/>
      </c>
      <c r="Q248">
        <f>IFERROR(1/IF(Inputs!$B$39="pvp",15,MAX(0.1,Skills!D7-IF(TRUE=TRUE,Inputs!$B$33,0))),0)</f>
        <v/>
      </c>
      <c r="R248">
        <f>IF(AND(Inputs!$B$39&lt;&gt;"pvp",Inputs!$B$44&gt;0),IF(MAX(0,Inputs!$B$44-B277)&lt;=0,0,(INT(MAX(0,Inputs!$B$44-B277)/IF(Inputs!$B$39="pvp",15,MAX(0.1,Skills!D7-IF(TRUE=TRUE,Inputs!$B$33,0))))+1)),0)</f>
        <v/>
      </c>
      <c r="S248">
        <f>IFERROR(O248/N248,0)</f>
        <v/>
      </c>
      <c r="T248">
        <f>IF(C248,(H248*N248*IF(AND(Inputs!$B$39&lt;&gt;"pvp",Inputs!$B$44&gt;0),((Skills!G7*((R248-1)*IF(Skills!H7&gt;0,INT(Skills!I7/Skills!H7+0.000000001),1)+IF(Skills!H7&gt;0,INT(MIN(Skills!I7,MAX(0,MAX(0,Inputs!$B$44-B277)-((R248-1)*IF(Inputs!$B$39="pvp",15,MAX(0.1,Skills!D7-IF(TRUE=TRUE,Inputs!$B$33,0))))))/Skills!H7+0.000000001),1)))/Inputs!$B$44),G248*Q248))*IF(Inputs!$B$39="pvp",1,1+(Inputs!$B$21+0+Skills!P7+((C258=TRUE)*F258*IF(AND(Inputs!$B$39&lt;&gt;"pvp",Inputs!$B$44&gt;0),(((R258-1)*MIN((Skills!T17*(1+Inputs!$B$35/100)),(1/Q258))+MIN((Skills!T17*(1+Inputs!$B$35/100)),MAX(0,Inputs!$B$44-((R258-1)*(1/Q258)))))/Inputs!$B$44),IF(Inputs!$B$39="pvp",MIN((Skills!T17*(1+Inputs!$B$35/100)),15)/15,MIN(1,(Skills!T17*(1+Inputs!$B$35/100))/(1/Q258)))))+((C246=TRUE)*IF(Inputs!$B$3&gt;=126,10*MIN(1,15*Q246),0))+((C255=TRUE)*IF(Inputs!$B$39="pvp",20,(1-Summary!$B$11)*(20)+Summary!$B$11*(0))*IF(AND(Inputs!$B$39&lt;&gt;"pvp",Inputs!$B$44&gt;0),(((R255-1)*MIN((Skills!T14*(1+Inputs!$B$35/100)),(1/Q255))+MIN((Skills!T14*(1+Inputs!$B$35/100)),MAX(0,Inputs!$B$44-((R255-1)*(1/Q255)))))/Inputs!$B$44),IF(Inputs!$B$39="pvp",MIN((Skills!T14*(1+Inputs!$B$35/100)),15)/15,MIN(1,(Skills!T14*(1+Inputs!$B$35/100))/(1/Q255)))))+((C254=TRUE)*IF(Inputs!$B$3&gt;=82,IF(Inputs!$B$39="pvp",20,(1-Summary!$B$11)*(20)+Summary!$B$11*(0)),0)*IF(AND(Inputs!$B$39&lt;&gt;"pvp",Inputs!$B$44&gt;0),(((R254-1)*MIN((Skills!T13*(1+Inputs!$B$35/100)),(1/Q254))+MIN((Skills!T13*(1+Inputs!$B$35/100)),MAX(0,Inputs!$B$44-((R254-1)*(1/Q254)))))/Inputs!$B$44),IF(Inputs!$B$39="pvp",MIN((Skills!T13*(1+Inputs!$B$35/100)),15)/15,MIN(1,(Skills!T13*(1+Inputs!$B$35/100))/(1/Q254)))))+(IF(AND(ArtifactsInput!$M$35,Inputs!$B$4&lt;&gt;"Chapter Hunt"),CHOOSE(ArtifactsInput!$N$35+1,15,18,21,24,27,30)*(1-EXP(-(0.2*B272)*5)),0)+IF(AND(ArtifactsInput!$M$22,Inputs!$B$4&lt;&gt;"Chapter Hunt"),CHOOSE(ArtifactsInput!$N$22+1,10,12,14,16,18,20)*((0*(((0.15*B272*5))^0/1)+1*(((0.15*B272*5))^1/1)+2*(((0.15*B272*5))^2/2)+3*(((0.15*B272*5))^3/6)+4*(((0.15*B272*5))^4/24)+5*(((0.15*B272*5))^5/120))/((((0.15*B272*5))^0/1)+(((0.15*B272*5))^1/1)+(((0.15*B272*5))^2/2)+(((0.15*B272*5))^3/6)+(((0.15*B272*5))^4/24)+(((0.15*B272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248*(1-MIN(100,(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248*(MIN(100,(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248*(1-MIN(100,(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248*(MIN(100,(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8">
        <f>IF(C248,(H248*N248*IF(AND(Inputs!$B$39&lt;&gt;"pvp",Inputs!$B$44&gt;0),((Skills!G7*((R248-1)*IF(Skills!H7&gt;0,INT(Skills!I7/Skills!H7+0.000000001),1)+IF(Skills!H7&gt;0,INT(MIN(Skills!I7,MAX(0,MAX(0,Inputs!$B$44-B277)-((R248-1)*IF(Inputs!$B$39="pvp",15,MAX(0.1,Skills!D7-IF(TRUE=TRUE,Inputs!$B$33,0))))))/Skills!H7+0.000000001),1)))/Inputs!$B$44),G248*Q248))*IF(Inputs!$B$39="pvp",1,(1+(Inputs!$B$22+Skills!Q7+((C258=TRUE)*F258*IF(AND(Inputs!$B$39&lt;&gt;"pvp",Inputs!$B$44&gt;0),(((R258-1)*MIN((Skills!T17*(1+Inputs!$B$35/100)),(1/Q258))+MIN((Skills!T17*(1+Inputs!$B$35/100)),MAX(0,Inputs!$B$44-((R258-1)*(1/Q258)))))/Inputs!$B$44),IF(Inputs!$B$39="pvp",MIN((Skills!T17*(1+Inputs!$B$35/100)),15)/15,MIN(1,(Skills!T17*(1+Inputs!$B$35/100))/(1/Q258)))))+((C246=TRUE)*IF(Inputs!$B$3&gt;=126,10*MIN(1,15*Q246),0))+((C255=TRUE)*IF(Inputs!$B$39="pvp",20,(1-Summary!$B$11)*(20)+Summary!$B$11*(0))*IF(AND(Inputs!$B$39&lt;&gt;"pvp",Inputs!$B$44&gt;0),(((R255-1)*MIN((Skills!T14*(1+Inputs!$B$35/100)),(1/Q255))+MIN((Skills!T14*(1+Inputs!$B$35/100)),MAX(0,Inputs!$B$44-((R255-1)*(1/Q255)))))/Inputs!$B$44),IF(Inputs!$B$39="pvp",MIN((Skills!T14*(1+Inputs!$B$35/100)),15)/15,MIN(1,(Skills!T14*(1+Inputs!$B$35/100))/(1/Q255)))))+((C254=TRUE)*IF(Inputs!$B$3&gt;=82,IF(Inputs!$B$39="pvp",20,(1-Summary!$B$11)*(20)+Summary!$B$11*(0)),0)*IF(AND(Inputs!$B$39&lt;&gt;"pvp",Inputs!$B$44&gt;0),(((R254-1)*MIN((Skills!T13*(1+Inputs!$B$35/100)),(1/Q254))+MIN((Skills!T13*(1+Inputs!$B$35/100)),MAX(0,Inputs!$B$44-((R254-1)*(1/Q254)))))/Inputs!$B$44),IF(Inputs!$B$39="pvp",MIN((Skills!T13*(1+Inputs!$B$35/100)),15)/15,MIN(1,(Skills!T13*(1+Inputs!$B$35/100))/(1/Q254)))))+(IF(AND(ArtifactsInput!$M$35,Inputs!$B$4&lt;&gt;"Chapter Hunt"),CHOOSE(ArtifactsInput!$N$35+1,15,18,21,24,27,30)*(1-EXP(-(0.2*B272)*5)),0)+IF(AND(ArtifactsInput!$M$22,Inputs!$B$4&lt;&gt;"Chapter Hunt"),CHOOSE(ArtifactsInput!$N$22+1,10,12,14,16,18,20)*((0*(((0.15*B272*5))^0/1)+1*(((0.15*B272*5))^1/1)+2*(((0.15*B272*5))^2/2)+3*(((0.15*B272*5))^3/6)+4*(((0.15*B272*5))^4/24)+5*(((0.15*B272*5))^5/120))/((((0.15*B272*5))^0/1)+(((0.15*B272*5))^1/1)+(((0.15*B272*5))^2/2)+(((0.15*B272*5))^3/6)+(((0.15*B272*5))^4/24)+(((0.15*B272*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9">
      <c r="A249">
        <f>Skills!A8</f>
        <v/>
      </c>
      <c r="B249">
        <f>Skills!B8</f>
        <v/>
      </c>
      <c r="C249">
        <f>Inputs!$B$3&gt;=75</f>
        <v/>
      </c>
      <c r="D249">
        <f>IF(Skills!C8=1,60+Inputs!$B$26+Inputs!$B$30,IF(Skills!C8=2,90+Inputs!$B$27+Inputs!$B$30,IF(Skills!C8=3,120+Inputs!$B$28+Inputs!$B$30,MAX(0,(Inputs!$B$3-100)*3)+Inputs!$B$29+Inputs!$B$30)))</f>
        <v/>
      </c>
      <c r="E249">
        <f>INDEX(FactorTable!$B$2:$Y$301, MATCH(ROUND(MIN(300,MAX(1,D249)),0), FactorTable!$A$2:$A$301,0), Skills!M8+1)</f>
        <v/>
      </c>
      <c r="F249">
        <f>IF(Skills!N8=TRUE,(Skills!L8/10)*(E249/1000),Skills!L8/10)+Skills!O8</f>
        <v/>
      </c>
      <c r="G249" t="inlineStr"/>
      <c r="H249" t="inlineStr"/>
      <c r="I249" t="inlineStr">
        <is>
          <t>1</t>
        </is>
      </c>
      <c r="J249" t="inlineStr"/>
      <c r="K249" t="inlineStr"/>
      <c r="L249" t="inlineStr"/>
      <c r="M249" t="inlineStr"/>
      <c r="N249" t="inlineStr"/>
      <c r="O249" t="inlineStr"/>
      <c r="P249" t="inlineStr"/>
      <c r="Q249" t="inlineStr"/>
      <c r="R249" t="inlineStr"/>
      <c r="S249" t="inlineStr"/>
    </row>
    <row r="250">
      <c r="A250">
        <f>Skills!A9</f>
        <v/>
      </c>
      <c r="B250">
        <f>Skills!B9</f>
        <v/>
      </c>
      <c r="C250">
        <f>Inputs!$B$3&gt;=60</f>
        <v/>
      </c>
      <c r="D250">
        <f>IF(Skills!C9=1,60+Inputs!$B$26+Inputs!$B$30,IF(Skills!C9=2,90+Inputs!$B$27+Inputs!$B$30,IF(Skills!C9=3,120+Inputs!$B$28+Inputs!$B$30,MAX(0,(Inputs!$B$3-100)*3)+Inputs!$B$29+Inputs!$B$30)))</f>
        <v/>
      </c>
      <c r="E250">
        <f>INDEX(FactorTable!$B$2:$Y$301, MATCH(ROUND(MIN(300,MAX(1,D250)),0), FactorTable!$A$2:$A$301,0), Skills!M9+1)</f>
        <v/>
      </c>
      <c r="F250">
        <f>IF(Skills!N9=TRUE,(Skills!L9/10)*(E250/1000),Skills!L9/10)+Skills!O9</f>
        <v/>
      </c>
      <c r="G250">
        <f>Skills!G9*IF(Skills!H9&gt;0,INT(IF(Inputs!$B$39="pvp",MIN(Skills!I9,15),Skills!I9)/Skills!H9+0.000000001),1)</f>
        <v/>
      </c>
      <c r="H250">
        <f>1-(1-Skills!J9/100)^Skills!K9</f>
        <v/>
      </c>
      <c r="I250" t="inlineStr">
        <is>
          <t>1</t>
        </is>
      </c>
      <c r="J250">
        <f>((Inputs!$B$6*(1+Inputs!$B$7/100))+(((Inputs!$B$13*(1+Inputs!$B$14/100))-(Inputs!$B$13*(1+Inputs!$B$14/100)))+0.25*(Inputs!$B$15-Inputs!$B$15))*(1+Inputs!$B$7/100))*(F250/100)</f>
        <v/>
      </c>
      <c r="K250">
        <f>J250*(1+(((Inputs!$B$13+IF(Inputs!$B$3&gt;=38,(10*INDEX(FactorTable!$B$2:$Y$301, MATCH(ROUND(MIN(300,MAX(1,Inputs!$B$3)),0), FactorTable!$A$2:$A$301,0), 23)/1000)/100*(Inputs!$B$8*(1+(Inputs!$B$9+1)/100)),0))*(1+Inputs!$B$14/100))*0.01+Inputs!$B$15*0.0025)/100)*(1+Inputs!$B$16/100)*(1+Inputs!$B$17/100)*(5000/(6000+Inputs!$B$43*(1-(Inputs!$B$20+0)/100)))*(1+(Inputs!$B$25+((C266=TRUE)*(F266-Calc!F25))+((C267=TRUE)*(F267-Calc!F26))+B276)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252=TRUE,F252,0)/100)*(1+(IF(Skills!A9="DARK_IMPALE",Inputs!$B$18+0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gt;=100),MIN(100,((Inputs!$B$10+0+B270+(ArtifactsInput!$M$24-ArtifactsInput!$M$24)*CHOOSE(ArtifactsInput!$N$24+1,10,12,14,16,18,20)+IF(ArtifactsInput!$M$10,CHOOSE(ArtifactsInput!$N$10+1,15,18,21,24,27,30)*(IF(Inputs!$B$39="pvp",MIN(15,15)/15,IF(AND(Inputs!$B$39&lt;&gt;"pvp",Inputs!$B$44&gt;0),MIN(15,Inputs!$B$44)/(Inputs!$B$44),0))),0)))-100),0))*CHOOSE(ArtifactsInput!$N$42+1,0.6,0.72,0.84,0.96,1.08,1.2))),Inputs!$B$19+((C264=TRUE)*(F264-Calc!F23))+(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gt;=100),CHOOSE(ArtifactsInput!$N$42+1,40,48,56,64,72,80),0))))/100)*((1+(((C254=TRUE)*F254*IF(AND(Inputs!$B$39&lt;&gt;"pvp",Inputs!$B$44&gt;0),(((R254-1)*MIN((Skills!T13*(1+Inputs!$B$35/100)),(1/Q254))+MIN((Skills!T13*(1+Inputs!$B$35/100)),MAX(0,Inputs!$B$44-((R254-1)*(1/Q254)))))/Inputs!$B$44),IF(Inputs!$B$39="pvp",MIN((Skills!T13*(1+Inputs!$B$35/100)),15)/15,MIN(1,(Skills!T13*(1+Inputs!$B$35/100))/(1/Q254)))))+((C255=TRUE)*F255*IF(AND(Inputs!$B$39&lt;&gt;"pvp",Inputs!$B$44&gt;0),(((R255-1)*MIN((Skills!T14*(1+Inputs!$B$35/100)),(1/Q255))+MIN((Skills!T14*(1+Inputs!$B$35/100)),MAX(0,Inputs!$B$44-((R255-1)*(1/Q255)))))/Inputs!$B$44),IF(Inputs!$B$39="pvp",MIN((Skills!T14*(1+Inputs!$B$35/100)),15)/15,MIN(1,(Skills!T14*(1+Inputs!$B$35/100))/(1/Q255)))))+((C256=TRUE)*F256*IF(AND(Inputs!$B$39&lt;&gt;"pvp",Inputs!$B$44&gt;0),(((R256-1)*MIN((Skills!T15*(1+Inputs!$B$35/100)),(1/Q256))+MIN((Skills!T15*(1+Inputs!$B$35/100)),MAX(0,Inputs!$B$44-((R256-1)*(1/Q256)))))/Inputs!$B$44),IF(Inputs!$B$39="pvp",MIN((Skills!T15*(1+Inputs!$B$35/100)),15)/15,MIN(1,(Skills!T15*(1+Inputs!$B$35/100))/(1/Q256)))))+((C257=TRUE)*F257*IF(AND(Inputs!$B$39&lt;&gt;"pvp",Inputs!$B$44&gt;0),(((R257-1)*MIN((Skills!T16*(1+Inputs!$B$35/100)),(1/Q257))+MIN((Skills!T16*(1+Inputs!$B$35/100)),MAX(0,Inputs!$B$44-((R257-1)*(1/Q257)))))/Inputs!$B$44),IF(Inputs!$B$39="pvp",MIN((Skills!T16*(1+Inputs!$B$35/100)),15)/15,MIN(1,(Skills!T16*(1+Inputs!$B$35/100))/(1/Q257)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250)</f>
        <v/>
      </c>
      <c r="L250">
        <f>K250*(MIN(Inputs!$B$23+((C263=TRUE)*(F263-Calc!F22)),(Inputs!$B$24+((C265=TRUE)*(F265-Calc!F24))+(IF(ArtifactsInput!$M$15,CHOOSE(ArtifactsInput!$N$15+1,25,30,35,40,45,50)/100*(Inputs!$B$12-Inputs!$B$12),0))))/100+(Inputs!$B$24+((C265=TRUE)*(F265-Calc!F24))+(IF(ArtifactsInput!$M$15,CHOOSE(ArtifactsInput!$N$15+1,25,30,35,40,45,50)/100*(Inputs!$B$12-Inputs!$B$12),0)))/100)/2</f>
        <v/>
      </c>
      <c r="M250">
        <f>L250*(1+(Inputs!$B$11+0+B275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50">
        <f>L250*(1-MIN((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250*(MIN((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0">
        <f>(1-Summary!$B$11)*T250+Summary!$B$11*V250</f>
        <v/>
      </c>
      <c r="P250">
        <f>IF(B280=0,0,O250/B280)</f>
        <v/>
      </c>
      <c r="Q250">
        <f>IFERROR(1/IF(Inputs!$B$39="pvp",15,MAX(0.1,Skills!D9-IF(TRUE=TRUE,Inputs!$B$33,0))),0)</f>
        <v/>
      </c>
      <c r="R250">
        <f>IF(AND(Inputs!$B$39&lt;&gt;"pvp",Inputs!$B$44&gt;0),IF(MAX(0,Inputs!$B$44-B277)&lt;=0,0,(INT(MAX(0,Inputs!$B$44-B277)/IF(Inputs!$B$39="pvp",15,MAX(0.1,Skills!D9-IF(TRUE=TRUE,Inputs!$B$33,0))))+1)),0)</f>
        <v/>
      </c>
      <c r="S250">
        <f>IFERROR(O250/N250,0)</f>
        <v/>
      </c>
      <c r="T250">
        <f>IF(C250,(H250*N250*IF(AND(Inputs!$B$39&lt;&gt;"pvp",Inputs!$B$44&gt;0),((Skills!G9*((R250-1)*IF(Skills!H9&gt;0,INT(Skills!I9/Skills!H9+0.000000001),1)+IF(Skills!H9&gt;0,INT(MIN(Skills!I9,MAX(0,MAX(0,Inputs!$B$44-B277)-((R250-1)*IF(Inputs!$B$39="pvp",15,MAX(0.1,Skills!D9-IF(TRUE=TRUE,Inputs!$B$33,0))))))/Skills!H9+0.000000001),1)))/Inputs!$B$44),G250*Q250))*IF(Inputs!$B$39="pvp",1,1+(Inputs!$B$21+0+Skills!P9+((C258=TRUE)*F258*IF(AND(Inputs!$B$39&lt;&gt;"pvp",Inputs!$B$44&gt;0),(((R258-1)*MIN((Skills!T17*(1+Inputs!$B$35/100)),(1/Q258))+MIN((Skills!T17*(1+Inputs!$B$35/100)),MAX(0,Inputs!$B$44-((R258-1)*(1/Q258)))))/Inputs!$B$44),IF(Inputs!$B$39="pvp",MIN((Skills!T17*(1+Inputs!$B$35/100)),15)/15,MIN(1,(Skills!T17*(1+Inputs!$B$35/100))/(1/Q258)))))+((C246=TRUE)*IF(Inputs!$B$3&gt;=126,10*MIN(1,15*Q246),0))+((C255=TRUE)*IF(Inputs!$B$39="pvp",20,(1-Summary!$B$11)*(20)+Summary!$B$11*(0))*IF(AND(Inputs!$B$39&lt;&gt;"pvp",Inputs!$B$44&gt;0),(((R255-1)*MIN((Skills!T14*(1+Inputs!$B$35/100)),(1/Q255))+MIN((Skills!T14*(1+Inputs!$B$35/100)),MAX(0,Inputs!$B$44-((R255-1)*(1/Q255)))))/Inputs!$B$44),IF(Inputs!$B$39="pvp",MIN((Skills!T14*(1+Inputs!$B$35/100)),15)/15,MIN(1,(Skills!T14*(1+Inputs!$B$35/100))/(1/Q255)))))+((C254=TRUE)*IF(Inputs!$B$3&gt;=82,IF(Inputs!$B$39="pvp",20,(1-Summary!$B$11)*(20)+Summary!$B$11*(0)),0)*IF(AND(Inputs!$B$39&lt;&gt;"pvp",Inputs!$B$44&gt;0),(((R254-1)*MIN((Skills!T13*(1+Inputs!$B$35/100)),(1/Q254))+MIN((Skills!T13*(1+Inputs!$B$35/100)),MAX(0,Inputs!$B$44-((R254-1)*(1/Q254)))))/Inputs!$B$44),IF(Inputs!$B$39="pvp",MIN((Skills!T13*(1+Inputs!$B$35/100)),15)/15,MIN(1,(Skills!T13*(1+Inputs!$B$35/100))/(1/Q254)))))+(IF(AND(ArtifactsInput!$M$35,Inputs!$B$4&lt;&gt;"Chapter Hunt"),CHOOSE(ArtifactsInput!$N$35+1,15,18,21,24,27,30)*(1-EXP(-(0.2*B272)*5)),0)+IF(AND(ArtifactsInput!$M$22,Inputs!$B$4&lt;&gt;"Chapter Hunt"),CHOOSE(ArtifactsInput!$N$22+1,10,12,14,16,18,20)*((0*(((0.15*B272*5))^0/1)+1*(((0.15*B272*5))^1/1)+2*(((0.15*B272*5))^2/2)+3*(((0.15*B272*5))^3/6)+4*(((0.15*B272*5))^4/24)+5*(((0.15*B272*5))^5/120))/((((0.15*B272*5))^0/1)+(((0.15*B272*5))^1/1)+(((0.15*B272*5))^2/2)+(((0.15*B272*5))^3/6)+(((0.15*B272*5))^4/24)+(((0.15*B272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250*(1-MIN(100,(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250*(MIN(100,(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250*(1-MIN(100,(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250*(MIN(100,(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0">
        <f>IF(C250,(H250*N250*IF(AND(Inputs!$B$39&lt;&gt;"pvp",Inputs!$B$44&gt;0),((Skills!G9*((R250-1)*IF(Skills!H9&gt;0,INT(Skills!I9/Skills!H9+0.000000001),1)+IF(Skills!H9&gt;0,INT(MIN(Skills!I9,MAX(0,MAX(0,Inputs!$B$44-B277)-((R250-1)*IF(Inputs!$B$39="pvp",15,MAX(0.1,Skills!D9-IF(TRUE=TRUE,Inputs!$B$33,0))))))/Skills!H9+0.000000001),1)))/Inputs!$B$44),G250*Q250))*IF(Inputs!$B$39="pvp",1,(1+(Inputs!$B$22+Skills!Q9+((C258=TRUE)*F258*IF(AND(Inputs!$B$39&lt;&gt;"pvp",Inputs!$B$44&gt;0),(((R258-1)*MIN((Skills!T17*(1+Inputs!$B$35/100)),(1/Q258))+MIN((Skills!T17*(1+Inputs!$B$35/100)),MAX(0,Inputs!$B$44-((R258-1)*(1/Q258)))))/Inputs!$B$44),IF(Inputs!$B$39="pvp",MIN((Skills!T17*(1+Inputs!$B$35/100)),15)/15,MIN(1,(Skills!T17*(1+Inputs!$B$35/100))/(1/Q258)))))+((C246=TRUE)*IF(Inputs!$B$3&gt;=126,10*MIN(1,15*Q246),0))+((C255=TRUE)*IF(Inputs!$B$39="pvp",20,(1-Summary!$B$11)*(20)+Summary!$B$11*(0))*IF(AND(Inputs!$B$39&lt;&gt;"pvp",Inputs!$B$44&gt;0),(((R255-1)*MIN((Skills!T14*(1+Inputs!$B$35/100)),(1/Q255))+MIN((Skills!T14*(1+Inputs!$B$35/100)),MAX(0,Inputs!$B$44-((R255-1)*(1/Q255)))))/Inputs!$B$44),IF(Inputs!$B$39="pvp",MIN((Skills!T14*(1+Inputs!$B$35/100)),15)/15,MIN(1,(Skills!T14*(1+Inputs!$B$35/100))/(1/Q255)))))+((C254=TRUE)*IF(Inputs!$B$3&gt;=82,IF(Inputs!$B$39="pvp",20,(1-Summary!$B$11)*(20)+Summary!$B$11*(0)),0)*IF(AND(Inputs!$B$39&lt;&gt;"pvp",Inputs!$B$44&gt;0),(((R254-1)*MIN((Skills!T13*(1+Inputs!$B$35/100)),(1/Q254))+MIN((Skills!T13*(1+Inputs!$B$35/100)),MAX(0,Inputs!$B$44-((R254-1)*(1/Q254)))))/Inputs!$B$44),IF(Inputs!$B$39="pvp",MIN((Skills!T13*(1+Inputs!$B$35/100)),15)/15,MIN(1,(Skills!T13*(1+Inputs!$B$35/100))/(1/Q254)))))+(IF(AND(ArtifactsInput!$M$35,Inputs!$B$4&lt;&gt;"Chapter Hunt"),CHOOSE(ArtifactsInput!$N$35+1,15,18,21,24,27,30)*(1-EXP(-(0.2*B272)*5)),0)+IF(AND(ArtifactsInput!$M$22,Inputs!$B$4&lt;&gt;"Chapter Hunt"),CHOOSE(ArtifactsInput!$N$22+1,10,12,14,16,18,20)*((0*(((0.15*B272*5))^0/1)+1*(((0.15*B272*5))^1/1)+2*(((0.15*B272*5))^2/2)+3*(((0.15*B272*5))^3/6)+4*(((0.15*B272*5))^4/24)+5*(((0.15*B272*5))^5/120))/((((0.15*B272*5))^0/1)+(((0.15*B272*5))^1/1)+(((0.15*B272*5))^2/2)+(((0.15*B272*5))^3/6)+(((0.15*B272*5))^4/24)+(((0.15*B272*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1">
      <c r="A251">
        <f>Skills!A10</f>
        <v/>
      </c>
      <c r="B251">
        <f>Skills!B10</f>
        <v/>
      </c>
      <c r="C251">
        <f>Inputs!$B$3&gt;=110</f>
        <v/>
      </c>
      <c r="D251">
        <f>IF(Skills!C10=1,60+Inputs!$B$26+Inputs!$B$30,IF(Skills!C10=2,90+Inputs!$B$27+Inputs!$B$30,IF(Skills!C10=3,120+Inputs!$B$28+Inputs!$B$30,MAX(0,(Inputs!$B$3-100)*3)+Inputs!$B$29+Inputs!$B$30)))</f>
        <v/>
      </c>
      <c r="E251">
        <f>INDEX(FactorTable!$B$2:$Y$301, MATCH(ROUND(MIN(300,MAX(1,D251)),0), FactorTable!$A$2:$A$301,0), Skills!M10+1)</f>
        <v/>
      </c>
      <c r="F251">
        <f>IF(Skills!N10=TRUE,(Skills!L10/10)*(E251/1000),Skills!L10/10)+Skills!O10</f>
        <v/>
      </c>
      <c r="G251">
        <f>Skills!G10*IF(Skills!H10&gt;0,INT(IF(Inputs!$B$39="pvp",MIN(Skills!I10,15),Skills!I10)/Skills!H10+0.000000001),1)</f>
        <v/>
      </c>
      <c r="H251">
        <f>1-(1-Skills!J10/100)^Skills!K10</f>
        <v/>
      </c>
      <c r="I251" t="inlineStr">
        <is>
          <t>1</t>
        </is>
      </c>
      <c r="J251">
        <f>((Inputs!$B$6*(1+Inputs!$B$7/100))+(((Inputs!$B$13*(1+Inputs!$B$14/100))-(Inputs!$B$13*(1+Inputs!$B$14/100)))+0.25*(Inputs!$B$15-Inputs!$B$15))*(1+Inputs!$B$7/100))*(F251/100)</f>
        <v/>
      </c>
      <c r="K251">
        <f>J251*(1+(((Inputs!$B$13+IF(Inputs!$B$3&gt;=38,(10*INDEX(FactorTable!$B$2:$Y$301, MATCH(ROUND(MIN(300,MAX(1,Inputs!$B$3)),0), FactorTable!$A$2:$A$301,0), 23)/1000)/100*(Inputs!$B$8*(1+(Inputs!$B$9+1)/100)),0))*(1+Inputs!$B$14/100))*0.01+Inputs!$B$15*0.0025)/100)*(1+Inputs!$B$16/100)*(1+Inputs!$B$17/100)*(5000/(6000+Inputs!$B$43*(1-(Inputs!$B$20+0)/100)))*(1+(Inputs!$B$25+((C266=TRUE)*(F266-Calc!F25))+((C267=TRUE)*(F267-Calc!F26))+B276)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gt;=100),MIN(100,((Inputs!$B$10+0+B270+(ArtifactsInput!$M$24-ArtifactsInput!$M$24)*CHOOSE(ArtifactsInput!$N$24+1,10,12,14,16,18,20)+IF(ArtifactsInput!$M$10,CHOOSE(ArtifactsInput!$N$10+1,15,18,21,24,27,30)*(IF(Inputs!$B$39="pvp",MIN(15,15)/15,IF(AND(Inputs!$B$39&lt;&gt;"pvp",Inputs!$B$44&gt;0),MIN(15,Inputs!$B$44)/(Inputs!$B$44),0))),0)))-100),0))*CHOOSE(ArtifactsInput!$N$42+1,0.6,0.72,0.84,0.96,1.08,1.2))),Inputs!$B$19+((C264=TRUE)*(F264-Calc!F23))+(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gt;=100),CHOOSE(ArtifactsInput!$N$42+1,40,48,56,64,72,80),0))))/100)*((1+(((C254=TRUE)*F254*IF(AND(Inputs!$B$39&lt;&gt;"pvp",Inputs!$B$44&gt;0),(((R254-1)*MIN((Skills!T13*(1+Inputs!$B$35/100)),(1/Q254))+MIN((Skills!T13*(1+Inputs!$B$35/100)),MAX(0,Inputs!$B$44-((R254-1)*(1/Q254)))))/Inputs!$B$44),IF(Inputs!$B$39="pvp",MIN((Skills!T13*(1+Inputs!$B$35/100)),15)/15,MIN(1,(Skills!T13*(1+Inputs!$B$35/100))/(1/Q254)))))+((C255=TRUE)*F255*IF(AND(Inputs!$B$39&lt;&gt;"pvp",Inputs!$B$44&gt;0),(((R255-1)*MIN((Skills!T14*(1+Inputs!$B$35/100)),(1/Q255))+MIN((Skills!T14*(1+Inputs!$B$35/100)),MAX(0,Inputs!$B$44-((R255-1)*(1/Q255)))))/Inputs!$B$44),IF(Inputs!$B$39="pvp",MIN((Skills!T14*(1+Inputs!$B$35/100)),15)/15,MIN(1,(Skills!T14*(1+Inputs!$B$35/100))/(1/Q255)))))+((C256=TRUE)*F256*IF(AND(Inputs!$B$39&lt;&gt;"pvp",Inputs!$B$44&gt;0),(((R256-1)*MIN((Skills!T15*(1+Inputs!$B$35/100)),(1/Q256))+MIN((Skills!T15*(1+Inputs!$B$35/100)),MAX(0,Inputs!$B$44-((R256-1)*(1/Q256)))))/Inputs!$B$44),IF(Inputs!$B$39="pvp",MIN((Skills!T15*(1+Inputs!$B$35/100)),15)/15,MIN(1,(Skills!T15*(1+Inputs!$B$35/100))/(1/Q256)))))+((C257=TRUE)*F257*IF(AND(Inputs!$B$39&lt;&gt;"pvp",Inputs!$B$44&gt;0),(((R257-1)*MIN((Skills!T16*(1+Inputs!$B$35/100)),(1/Q257))+MIN((Skills!T16*(1+Inputs!$B$35/100)),MAX(0,Inputs!$B$44-((R257-1)*(1/Q257)))))/Inputs!$B$44),IF(Inputs!$B$39="pvp",MIN((Skills!T16*(1+Inputs!$B$35/100)),15)/15,MIN(1,(Skills!T16*(1+Inputs!$B$35/100))/(1/Q257)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251)</f>
        <v/>
      </c>
      <c r="L251">
        <f>K251*(MIN(Inputs!$B$23+((C263=TRUE)*(F263-Calc!F22)),(Inputs!$B$24+((C265=TRUE)*(F265-Calc!F24))+(IF(ArtifactsInput!$M$15,CHOOSE(ArtifactsInput!$N$15+1,25,30,35,40,45,50)/100*(Inputs!$B$12-Inputs!$B$12),0))))/100+(Inputs!$B$24+((C265=TRUE)*(F265-Calc!F24))+(IF(ArtifactsInput!$M$15,CHOOSE(ArtifactsInput!$N$15+1,25,30,35,40,45,50)/100*(Inputs!$B$12-Inputs!$B$12),0)))/100)/2</f>
        <v/>
      </c>
      <c r="M251">
        <f>L251*(1+(Inputs!$B$11+0+B275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51">
        <f>L251*(1-MIN((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251*(MIN((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1">
        <f>(1-Summary!$B$11)*T251+Summary!$B$11*V251</f>
        <v/>
      </c>
      <c r="P251">
        <f>IF(B280=0,0,O251/B280)</f>
        <v/>
      </c>
      <c r="Q251">
        <f>IFERROR(1/IF(Inputs!$B$39="pvp",15,MAX(0.1,Skills!D10-IF(TRUE=TRUE,Inputs!$B$33,0))),0)</f>
        <v/>
      </c>
      <c r="R251">
        <f>IF(AND(Inputs!$B$39&lt;&gt;"pvp",Inputs!$B$44&gt;0),IF(MAX(0,Inputs!$B$44-B277)&lt;=0,0,(INT(MAX(0,Inputs!$B$44-B277)/IF(Inputs!$B$39="pvp",15,MAX(0.1,Skills!D10-IF(TRUE=TRUE,Inputs!$B$33,0))))+1)),0)</f>
        <v/>
      </c>
      <c r="S251">
        <f>IFERROR(O251/N251,0)</f>
        <v/>
      </c>
      <c r="T251">
        <f>IF(C251,(H251*N251*IF(AND(Inputs!$B$39&lt;&gt;"pvp",Inputs!$B$44&gt;0),((Skills!G10*((R251-1)*IF(Skills!H10&gt;0,INT(Skills!I10/Skills!H10+0.000000001),1)+IF(Skills!H10&gt;0,INT(MIN(Skills!I10,MAX(0,MAX(0,Inputs!$B$44-B277)-((R251-1)*IF(Inputs!$B$39="pvp",15,MAX(0.1,Skills!D10-IF(TRUE=TRUE,Inputs!$B$33,0))))))/Skills!H10+0.000000001),1)))/Inputs!$B$44),G251*Q251))*IF(Inputs!$B$39="pvp",1,1+(Inputs!$B$21+0+Skills!P10+((C258=TRUE)*F258*IF(AND(Inputs!$B$39&lt;&gt;"pvp",Inputs!$B$44&gt;0),(((R258-1)*MIN((Skills!T17*(1+Inputs!$B$35/100)),(1/Q258))+MIN((Skills!T17*(1+Inputs!$B$35/100)),MAX(0,Inputs!$B$44-((R258-1)*(1/Q258)))))/Inputs!$B$44),IF(Inputs!$B$39="pvp",MIN((Skills!T17*(1+Inputs!$B$35/100)),15)/15,MIN(1,(Skills!T17*(1+Inputs!$B$35/100))/(1/Q258)))))+((C246=TRUE)*IF(Inputs!$B$3&gt;=126,10*MIN(1,15*Q246),0))+((C255=TRUE)*IF(Inputs!$B$39="pvp",20,(1-Summary!$B$11)*(20)+Summary!$B$11*(0))*IF(AND(Inputs!$B$39&lt;&gt;"pvp",Inputs!$B$44&gt;0),(((R255-1)*MIN((Skills!T14*(1+Inputs!$B$35/100)),(1/Q255))+MIN((Skills!T14*(1+Inputs!$B$35/100)),MAX(0,Inputs!$B$44-((R255-1)*(1/Q255)))))/Inputs!$B$44),IF(Inputs!$B$39="pvp",MIN((Skills!T14*(1+Inputs!$B$35/100)),15)/15,MIN(1,(Skills!T14*(1+Inputs!$B$35/100))/(1/Q255)))))+((C254=TRUE)*IF(Inputs!$B$3&gt;=82,IF(Inputs!$B$39="pvp",20,(1-Summary!$B$11)*(20)+Summary!$B$11*(0)),0)*IF(AND(Inputs!$B$39&lt;&gt;"pvp",Inputs!$B$44&gt;0),(((R254-1)*MIN((Skills!T13*(1+Inputs!$B$35/100)),(1/Q254))+MIN((Skills!T13*(1+Inputs!$B$35/100)),MAX(0,Inputs!$B$44-((R254-1)*(1/Q254)))))/Inputs!$B$44),IF(Inputs!$B$39="pvp",MIN((Skills!T13*(1+Inputs!$B$35/100)),15)/15,MIN(1,(Skills!T13*(1+Inputs!$B$35/100))/(1/Q254)))))+(IF(AND(ArtifactsInput!$M$35,Inputs!$B$4&lt;&gt;"Chapter Hunt"),CHOOSE(ArtifactsInput!$N$35+1,15,18,21,24,27,30)*(1-EXP(-(0.2*B272)*5)),0)+IF(AND(ArtifactsInput!$M$22,Inputs!$B$4&lt;&gt;"Chapter Hunt"),CHOOSE(ArtifactsInput!$N$22+1,10,12,14,16,18,20)*((0*(((0.15*B272*5))^0/1)+1*(((0.15*B272*5))^1/1)+2*(((0.15*B272*5))^2/2)+3*(((0.15*B272*5))^3/6)+4*(((0.15*B272*5))^4/24)+5*(((0.15*B272*5))^5/120))/((((0.15*B272*5))^0/1)+(((0.15*B272*5))^1/1)+(((0.15*B272*5))^2/2)+(((0.15*B272*5))^3/6)+(((0.15*B272*5))^4/24)+(((0.15*B272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251*(1-MIN(100,(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251*(MIN(100,(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251*(1-MIN(100,(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251*(MIN(100,(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1">
        <f>IF(C251,(H251*N251*IF(AND(Inputs!$B$39&lt;&gt;"pvp",Inputs!$B$44&gt;0),((Skills!G10*((R251-1)*IF(Skills!H10&gt;0,INT(Skills!I10/Skills!H10+0.000000001),1)+IF(Skills!H10&gt;0,INT(MIN(Skills!I10,MAX(0,MAX(0,Inputs!$B$44-B277)-((R251-1)*IF(Inputs!$B$39="pvp",15,MAX(0.1,Skills!D10-IF(TRUE=TRUE,Inputs!$B$33,0))))))/Skills!H10+0.000000001),1)))/Inputs!$B$44),G251*Q251))*IF(Inputs!$B$39="pvp",1,(1+(Inputs!$B$22+Skills!Q10+((C258=TRUE)*F258*IF(AND(Inputs!$B$39&lt;&gt;"pvp",Inputs!$B$44&gt;0),(((R258-1)*MIN((Skills!T17*(1+Inputs!$B$35/100)),(1/Q258))+MIN((Skills!T17*(1+Inputs!$B$35/100)),MAX(0,Inputs!$B$44-((R258-1)*(1/Q258)))))/Inputs!$B$44),IF(Inputs!$B$39="pvp",MIN((Skills!T17*(1+Inputs!$B$35/100)),15)/15,MIN(1,(Skills!T17*(1+Inputs!$B$35/100))/(1/Q258)))))+((C246=TRUE)*IF(Inputs!$B$3&gt;=126,10*MIN(1,15*Q246),0))+((C255=TRUE)*IF(Inputs!$B$39="pvp",20,(1-Summary!$B$11)*(20)+Summary!$B$11*(0))*IF(AND(Inputs!$B$39&lt;&gt;"pvp",Inputs!$B$44&gt;0),(((R255-1)*MIN((Skills!T14*(1+Inputs!$B$35/100)),(1/Q255))+MIN((Skills!T14*(1+Inputs!$B$35/100)),MAX(0,Inputs!$B$44-((R255-1)*(1/Q255)))))/Inputs!$B$44),IF(Inputs!$B$39="pvp",MIN((Skills!T14*(1+Inputs!$B$35/100)),15)/15,MIN(1,(Skills!T14*(1+Inputs!$B$35/100))/(1/Q255)))))+((C254=TRUE)*IF(Inputs!$B$3&gt;=82,IF(Inputs!$B$39="pvp",20,(1-Summary!$B$11)*(20)+Summary!$B$11*(0)),0)*IF(AND(Inputs!$B$39&lt;&gt;"pvp",Inputs!$B$44&gt;0),(((R254-1)*MIN((Skills!T13*(1+Inputs!$B$35/100)),(1/Q254))+MIN((Skills!T13*(1+Inputs!$B$35/100)),MAX(0,Inputs!$B$44-((R254-1)*(1/Q254)))))/Inputs!$B$44),IF(Inputs!$B$39="pvp",MIN((Skills!T13*(1+Inputs!$B$35/100)),15)/15,MIN(1,(Skills!T13*(1+Inputs!$B$35/100))/(1/Q254)))))+(IF(AND(ArtifactsInput!$M$35,Inputs!$B$4&lt;&gt;"Chapter Hunt"),CHOOSE(ArtifactsInput!$N$35+1,15,18,21,24,27,30)*(1-EXP(-(0.2*B272)*5)),0)+IF(AND(ArtifactsInput!$M$22,Inputs!$B$4&lt;&gt;"Chapter Hunt"),CHOOSE(ArtifactsInput!$N$22+1,10,12,14,16,18,20)*((0*(((0.15*B272*5))^0/1)+1*(((0.15*B272*5))^1/1)+2*(((0.15*B272*5))^2/2)+3*(((0.15*B272*5))^3/6)+4*(((0.15*B272*5))^4/24)+5*(((0.15*B272*5))^5/120))/((((0.15*B272*5))^0/1)+(((0.15*B272*5))^1/1)+(((0.15*B272*5))^2/2)+(((0.15*B272*5))^3/6)+(((0.15*B272*5))^4/24)+(((0.15*B272*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2">
      <c r="A252">
        <f>Skills!A11</f>
        <v/>
      </c>
      <c r="B252">
        <f>Skills!B11</f>
        <v/>
      </c>
      <c r="C252">
        <f>Inputs!$B$3&gt;=100</f>
        <v/>
      </c>
      <c r="D252">
        <f>IF(Skills!C11=1,60+Inputs!$B$26+Inputs!$B$30,IF(Skills!C11=2,90+Inputs!$B$27+Inputs!$B$30,IF(Skills!C11=3,120+Inputs!$B$28+Inputs!$B$30,MAX(0,(Inputs!$B$3-100)*3)+Inputs!$B$29+Inputs!$B$30)))</f>
        <v/>
      </c>
      <c r="E252">
        <f>INDEX(FactorTable!$B$2:$Y$301, MATCH(ROUND(MIN(300,MAX(1,D252)),0), FactorTable!$A$2:$A$301,0), Skills!M11+1)</f>
        <v/>
      </c>
      <c r="F252">
        <f>IF(Skills!N11=TRUE,(Skills!L11/10)*(E252/1000),Skills!L11/10)+Skills!O11</f>
        <v/>
      </c>
      <c r="G252" t="inlineStr"/>
      <c r="H252" t="inlineStr"/>
      <c r="I252" t="inlineStr">
        <is>
          <t>1</t>
        </is>
      </c>
      <c r="J252" t="inlineStr"/>
      <c r="K252" t="inlineStr"/>
      <c r="L252" t="inlineStr"/>
      <c r="M252" t="inlineStr"/>
      <c r="N252" t="inlineStr"/>
      <c r="O252" t="inlineStr"/>
      <c r="P252" t="inlineStr"/>
      <c r="Q252" t="inlineStr"/>
      <c r="R252" t="inlineStr"/>
      <c r="S252" t="inlineStr"/>
    </row>
    <row r="253">
      <c r="A253">
        <f>Skills!A12</f>
        <v/>
      </c>
      <c r="B253">
        <f>Skills!B12</f>
        <v/>
      </c>
      <c r="C253">
        <f>Inputs!$B$3&gt;=63</f>
        <v/>
      </c>
      <c r="D253">
        <f>IF(Skills!C12=1,60+Inputs!$B$26+Inputs!$B$30,IF(Skills!C12=2,90+Inputs!$B$27+Inputs!$B$30,IF(Skills!C12=3,120+Inputs!$B$28+Inputs!$B$30,MAX(0,(Inputs!$B$3-100)*3)+Inputs!$B$29+Inputs!$B$30)))</f>
        <v/>
      </c>
      <c r="E253">
        <f>INDEX(FactorTable!$B$2:$Y$301, MATCH(ROUND(MIN(300,MAX(1,D253)),0), FactorTable!$A$2:$A$301,0), Skills!M12+1)</f>
        <v/>
      </c>
      <c r="F253">
        <f>IF(Skills!N12=TRUE,(Skills!L12/10)*(E253/1000),Skills!L12/10)+Skills!O12</f>
        <v/>
      </c>
      <c r="G253">
        <f>Skills!G12*IF(Skills!H12&gt;0,INT(IF(Inputs!$B$39="pvp",MIN(Skills!I12,15),Skills!I12)/Skills!H12+0.000000001),1)</f>
        <v/>
      </c>
      <c r="H253">
        <f>1-(1-Skills!J12/100)^Skills!K12</f>
        <v/>
      </c>
      <c r="I253" t="inlineStr">
        <is>
          <t>1</t>
        </is>
      </c>
      <c r="J253">
        <f>((Inputs!$B$6*(1+Inputs!$B$7/100))+(((Inputs!$B$13*(1+Inputs!$B$14/100))-(Inputs!$B$13*(1+Inputs!$B$14/100)))+0.25*(Inputs!$B$15-Inputs!$B$15))*(1+Inputs!$B$7/100))*(F253/100)</f>
        <v/>
      </c>
      <c r="K253">
        <f>J253*(1+(((Inputs!$B$13+IF(Inputs!$B$3&gt;=38,(10*INDEX(FactorTable!$B$2:$Y$301, MATCH(ROUND(MIN(300,MAX(1,Inputs!$B$3)),0), FactorTable!$A$2:$A$301,0), 23)/1000)/100*(Inputs!$B$8*(1+(Inputs!$B$9+1)/100)),0))*(1+Inputs!$B$14/100))*0.01+Inputs!$B$15*0.0025)/100)*(1+Inputs!$B$16/100)*(1+Inputs!$B$17/100)*(5000/(6000+Inputs!$B$43*(1-(Inputs!$B$20+0)/100)))*(1+(Inputs!$B$25+((C266=TRUE)*(F266-Calc!F25))+((C267=TRUE)*(F267-Calc!F26))+B276)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252=TRUE,F252,0)/100)*(1+(IF(Skills!A12="DARK_IMPALE",Inputs!$B$18+0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gt;=100),MIN(100,((Inputs!$B$10+0+B270+(ArtifactsInput!$M$24-ArtifactsInput!$M$24)*CHOOSE(ArtifactsInput!$N$24+1,10,12,14,16,18,20)+IF(ArtifactsInput!$M$10,CHOOSE(ArtifactsInput!$N$10+1,15,18,21,24,27,30)*(IF(Inputs!$B$39="pvp",MIN(15,15)/15,IF(AND(Inputs!$B$39&lt;&gt;"pvp",Inputs!$B$44&gt;0),MIN(15,Inputs!$B$44)/(Inputs!$B$44),0))),0)))-100),0))*CHOOSE(ArtifactsInput!$N$42+1,0.6,0.72,0.84,0.96,1.08,1.2))),Inputs!$B$19+((C264=TRUE)*(F264-Calc!F23))+(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gt;=100),CHOOSE(ArtifactsInput!$N$42+1,40,48,56,64,72,80),0))))/100)*((1+(((C254=TRUE)*F254*IF(AND(Inputs!$B$39&lt;&gt;"pvp",Inputs!$B$44&gt;0),(((R254-1)*MIN((Skills!T13*(1+Inputs!$B$35/100)),(1/Q254))+MIN((Skills!T13*(1+Inputs!$B$35/100)),MAX(0,Inputs!$B$44-((R254-1)*(1/Q254)))))/Inputs!$B$44),IF(Inputs!$B$39="pvp",MIN((Skills!T13*(1+Inputs!$B$35/100)),15)/15,MIN(1,(Skills!T13*(1+Inputs!$B$35/100))/(1/Q254)))))+((C255=TRUE)*F255*IF(AND(Inputs!$B$39&lt;&gt;"pvp",Inputs!$B$44&gt;0),(((R255-1)*MIN((Skills!T14*(1+Inputs!$B$35/100)),(1/Q255))+MIN((Skills!T14*(1+Inputs!$B$35/100)),MAX(0,Inputs!$B$44-((R255-1)*(1/Q255)))))/Inputs!$B$44),IF(Inputs!$B$39="pvp",MIN((Skills!T14*(1+Inputs!$B$35/100)),15)/15,MIN(1,(Skills!T14*(1+Inputs!$B$35/100))/(1/Q255)))))+((C256=TRUE)*F256*IF(AND(Inputs!$B$39&lt;&gt;"pvp",Inputs!$B$44&gt;0),(((R256-1)*MIN((Skills!T15*(1+Inputs!$B$35/100)),(1/Q256))+MIN((Skills!T15*(1+Inputs!$B$35/100)),MAX(0,Inputs!$B$44-((R256-1)*(1/Q256)))))/Inputs!$B$44),IF(Inputs!$B$39="pvp",MIN((Skills!T15*(1+Inputs!$B$35/100)),15)/15,MIN(1,(Skills!T15*(1+Inputs!$B$35/100))/(1/Q256)))))+((C257=TRUE)*F257*IF(AND(Inputs!$B$39&lt;&gt;"pvp",Inputs!$B$44&gt;0),(((R257-1)*MIN((Skills!T16*(1+Inputs!$B$35/100)),(1/Q257))+MIN((Skills!T16*(1+Inputs!$B$35/100)),MAX(0,Inputs!$B$44-((R257-1)*(1/Q257)))))/Inputs!$B$44),IF(Inputs!$B$39="pvp",MIN((Skills!T16*(1+Inputs!$B$35/100)),15)/15,MIN(1,(Skills!T16*(1+Inputs!$B$35/100))/(1/Q257)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253)</f>
        <v/>
      </c>
      <c r="L253">
        <f>K253*(MIN(Inputs!$B$23+((C263=TRUE)*(F263-Calc!F22)),(Inputs!$B$24+((C265=TRUE)*(F265-Calc!F24))+(IF(ArtifactsInput!$M$15,CHOOSE(ArtifactsInput!$N$15+1,25,30,35,40,45,50)/100*(Inputs!$B$12-Inputs!$B$12),0))))/100+(Inputs!$B$24+((C265=TRUE)*(F265-Calc!F24))+(IF(ArtifactsInput!$M$15,CHOOSE(ArtifactsInput!$N$15+1,25,30,35,40,45,50)/100*(Inputs!$B$12-Inputs!$B$12),0)))/100)/2</f>
        <v/>
      </c>
      <c r="M253">
        <f>L253*(1+(Inputs!$B$11+0+B275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53">
        <f>L253*(1-MIN((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253*(MIN((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3">
        <f>(1-Summary!$B$11)*T253+Summary!$B$11*V253</f>
        <v/>
      </c>
      <c r="P253">
        <f>IF(B280=0,0,O253/B280)</f>
        <v/>
      </c>
      <c r="Q253">
        <f>IFERROR(1/IF(Inputs!$B$39="pvp",15,MAX(0.1,Skills!D12-IF(TRUE=TRUE,Inputs!$B$33,0))),0)</f>
        <v/>
      </c>
      <c r="R253">
        <f>IF(AND(Inputs!$B$39&lt;&gt;"pvp",Inputs!$B$44&gt;0),IF(MAX(0,Inputs!$B$44-B277)&lt;=0,0,(INT(MAX(0,Inputs!$B$44-B277)/IF(Inputs!$B$39="pvp",15,MAX(0.1,Skills!D12-IF(TRUE=TRUE,Inputs!$B$33,0))))+1)),0)</f>
        <v/>
      </c>
      <c r="S253">
        <f>IFERROR(O253/N253,0)</f>
        <v/>
      </c>
      <c r="T253">
        <f>IF(C253,(H253*N253*IF(AND(Inputs!$B$39&lt;&gt;"pvp",Inputs!$B$44&gt;0),((Skills!G12*((R253-1)*IF(Skills!H12&gt;0,INT(Skills!I12/Skills!H12+0.000000001),1)+IF(Skills!H12&gt;0,INT(MIN(Skills!I12,MAX(0,MAX(0,Inputs!$B$44-B277)-((R253-1)*IF(Inputs!$B$39="pvp",15,MAX(0.1,Skills!D12-IF(TRUE=TRUE,Inputs!$B$33,0))))))/Skills!H12+0.000000001),1)))/Inputs!$B$44),G253*Q253))*IF(Inputs!$B$39="pvp",1,1+(Inputs!$B$21+0+Skills!P12+((C258=TRUE)*F258*IF(AND(Inputs!$B$39&lt;&gt;"pvp",Inputs!$B$44&gt;0),(((R258-1)*MIN((Skills!T17*(1+Inputs!$B$35/100)),(1/Q258))+MIN((Skills!T17*(1+Inputs!$B$35/100)),MAX(0,Inputs!$B$44-((R258-1)*(1/Q258)))))/Inputs!$B$44),IF(Inputs!$B$39="pvp",MIN((Skills!T17*(1+Inputs!$B$35/100)),15)/15,MIN(1,(Skills!T17*(1+Inputs!$B$35/100))/(1/Q258)))))+((C246=TRUE)*IF(Inputs!$B$3&gt;=126,10*MIN(1,15*Q246),0))+((C255=TRUE)*IF(Inputs!$B$39="pvp",20,(1-Summary!$B$11)*(20)+Summary!$B$11*(0))*IF(AND(Inputs!$B$39&lt;&gt;"pvp",Inputs!$B$44&gt;0),(((R255-1)*MIN((Skills!T14*(1+Inputs!$B$35/100)),(1/Q255))+MIN((Skills!T14*(1+Inputs!$B$35/100)),MAX(0,Inputs!$B$44-((R255-1)*(1/Q255)))))/Inputs!$B$44),IF(Inputs!$B$39="pvp",MIN((Skills!T14*(1+Inputs!$B$35/100)),15)/15,MIN(1,(Skills!T14*(1+Inputs!$B$35/100))/(1/Q255)))))+((C254=TRUE)*IF(Inputs!$B$3&gt;=82,IF(Inputs!$B$39="pvp",20,(1-Summary!$B$11)*(20)+Summary!$B$11*(0)),0)*IF(AND(Inputs!$B$39&lt;&gt;"pvp",Inputs!$B$44&gt;0),(((R254-1)*MIN((Skills!T13*(1+Inputs!$B$35/100)),(1/Q254))+MIN((Skills!T13*(1+Inputs!$B$35/100)),MAX(0,Inputs!$B$44-((R254-1)*(1/Q254)))))/Inputs!$B$44),IF(Inputs!$B$39="pvp",MIN((Skills!T13*(1+Inputs!$B$35/100)),15)/15,MIN(1,(Skills!T13*(1+Inputs!$B$35/100))/(1/Q254)))))+(IF(AND(ArtifactsInput!$M$35,Inputs!$B$4&lt;&gt;"Chapter Hunt"),CHOOSE(ArtifactsInput!$N$35+1,15,18,21,24,27,30)*(1-EXP(-(0.2*B272)*5)),0)+IF(AND(ArtifactsInput!$M$22,Inputs!$B$4&lt;&gt;"Chapter Hunt"),CHOOSE(ArtifactsInput!$N$22+1,10,12,14,16,18,20)*((0*(((0.15*B272*5))^0/1)+1*(((0.15*B272*5))^1/1)+2*(((0.15*B272*5))^2/2)+3*(((0.15*B272*5))^3/6)+4*(((0.15*B272*5))^4/24)+5*(((0.15*B272*5))^5/120))/((((0.15*B272*5))^0/1)+(((0.15*B272*5))^1/1)+(((0.15*B272*5))^2/2)+(((0.15*B272*5))^3/6)+(((0.15*B272*5))^4/24)+(((0.15*B272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253*(1-MIN(100,(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253*(MIN(100,(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253*(1-MIN(100,(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253*(MIN(100,(Inputs!$B$10+0+B270+(ArtifactsInput!$M$24-ArtifactsInput!$M$24)*CHOOSE(ArtifactsInput!$N$24+1,10,12,14,16,18,20)+(IF(AND(Inputs!$B$39&lt;&gt;"pvp",Inputs!$B$44=0),1,IF(IF(Inputs!$B$39="pvp",15,Inputs!$B$44)-(B277)&lt;=0,1,MAX(0,IF(Inputs!$B$39="pvp",15,Inputs!$B$44)-MAX(5,B277))/(IF(Inputs!$B$39="pvp",15,Inputs!$B$44)-(B277))))*IF(AND(ArtifactsInput!$M$42,((Inputs!$B$10+0+B270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3">
        <f>IF(C253,(H253*N253*IF(AND(Inputs!$B$39&lt;&gt;"pvp",Inputs!$B$44&gt;0),((Skills!G12*((R253-1)*IF(Skills!H12&gt;0,INT(Skills!I12/Skills!H12+0.000000001),1)+IF(Skills!H12&gt;0,INT(MIN(Skills!I12,MAX(0,MAX(0,Inputs!$B$44-B277)-((R253-1)*IF(Inputs!$B$39="pvp",15,MAX(0.1,Skills!D12-IF(TRUE=TRUE,Inputs!$B$33,0))))))/Skills!H12+0.000000001),1)))/Inputs!$B$44),G253*Q253))*IF(Inputs!$B$39="pvp",1,(1+(Inputs!$B$22+Skills!Q12+((C258=TRUE)*F258*IF(AND(Inputs!$B$39&lt;&gt;"pvp",Inputs!$B$44&gt;0),(((R258-1)*MIN((Skills!T17*(1+Inputs!$B$35/100)),(1/Q258))+MIN((Skills!T17*(1+Inputs!$B$35/100)),MAX(0,Inputs!$B$44-((R258-1)*(1/Q258)))))/Inputs!$B$44),IF(Inputs!$B$39="pvp",MIN((Skills!T17*(1+Inputs!$B$35/100)),15)/15,MIN(1,(Skills!T17*(1+Inputs!$B$35/100))/(1/Q258)))))+((C246=TRUE)*IF(Inputs!$B$3&gt;=126,10*MIN(1,15*Q246),0))+((C255=TRUE)*IF(Inputs!$B$39="pvp",20,(1-Summary!$B$11)*(20)+Summary!$B$11*(0))*IF(AND(Inputs!$B$39&lt;&gt;"pvp",Inputs!$B$44&gt;0),(((R255-1)*MIN((Skills!T14*(1+Inputs!$B$35/100)),(1/Q255))+MIN((Skills!T14*(1+Inputs!$B$35/100)),MAX(0,Inputs!$B$44-((R255-1)*(1/Q255)))))/Inputs!$B$44),IF(Inputs!$B$39="pvp",MIN((Skills!T14*(1+Inputs!$B$35/100)),15)/15,MIN(1,(Skills!T14*(1+Inputs!$B$35/100))/(1/Q255)))))+((C254=TRUE)*IF(Inputs!$B$3&gt;=82,IF(Inputs!$B$39="pvp",20,(1-Summary!$B$11)*(20)+Summary!$B$11*(0)),0)*IF(AND(Inputs!$B$39&lt;&gt;"pvp",Inputs!$B$44&gt;0),(((R254-1)*MIN((Skills!T13*(1+Inputs!$B$35/100)),(1/Q254))+MIN((Skills!T13*(1+Inputs!$B$35/100)),MAX(0,Inputs!$B$44-((R254-1)*(1/Q254)))))/Inputs!$B$44),IF(Inputs!$B$39="pvp",MIN((Skills!T13*(1+Inputs!$B$35/100)),15)/15,MIN(1,(Skills!T13*(1+Inputs!$B$35/100))/(1/Q254)))))+(IF(AND(ArtifactsInput!$M$35,Inputs!$B$4&lt;&gt;"Chapter Hunt"),CHOOSE(ArtifactsInput!$N$35+1,15,18,21,24,27,30)*(1-EXP(-(0.2*B272)*5)),0)+IF(AND(ArtifactsInput!$M$22,Inputs!$B$4&lt;&gt;"Chapter Hunt"),CHOOSE(ArtifactsInput!$N$22+1,10,12,14,16,18,20)*((0*(((0.15*B272*5))^0/1)+1*(((0.15*B272*5))^1/1)+2*(((0.15*B272*5))^2/2)+3*(((0.15*B272*5))^3/6)+4*(((0.15*B272*5))^4/24)+5*(((0.15*B272*5))^5/120))/((((0.15*B272*5))^0/1)+(((0.15*B272*5))^1/1)+(((0.15*B272*5))^2/2)+(((0.15*B272*5))^3/6)+(((0.15*B272*5))^4/24)+(((0.15*B272*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4">
      <c r="A254">
        <f>Skills!A13</f>
        <v/>
      </c>
      <c r="B254">
        <f>Skills!B13</f>
        <v/>
      </c>
      <c r="C254">
        <f>Inputs!$B$3&gt;=69</f>
        <v/>
      </c>
      <c r="D254">
        <f>IF(Skills!C13=1,60+Inputs!$B$26+Inputs!$B$30,IF(Skills!C13=2,90+Inputs!$B$27+Inputs!$B$30,IF(Skills!C13=3,120+Inputs!$B$28+Inputs!$B$30,MAX(0,(Inputs!$B$3-100)*3)+Inputs!$B$29+Inputs!$B$30)))</f>
        <v/>
      </c>
      <c r="E254">
        <f>INDEX(FactorTable!$B$2:$Y$301, MATCH(ROUND(MIN(300,MAX(1,D254)),0), FactorTable!$A$2:$A$301,0), Skills!M13+1)</f>
        <v/>
      </c>
      <c r="F254">
        <f>IF(Skills!N13=TRUE,(Skills!L13/10)*(E254/1000),Skills!L13/10)+Skills!O13</f>
        <v/>
      </c>
      <c r="G254">
        <f>Skills!G13*IF(Skills!H13&gt;0,INT(IF(Inputs!$B$39="pvp",MIN(Skills!I13,15),Skills!I13)/Skills!H13+0.000000001),1)</f>
        <v/>
      </c>
      <c r="H254">
        <f>1-(1-Skills!J13/100)^Skills!K13</f>
        <v/>
      </c>
      <c r="I254" t="inlineStr">
        <is>
          <t>1</t>
        </is>
      </c>
      <c r="J254" t="inlineStr"/>
      <c r="K254" t="inlineStr"/>
      <c r="L254" t="inlineStr"/>
      <c r="M254" t="inlineStr"/>
      <c r="N254" t="inlineStr"/>
      <c r="O254">
        <f>(1-Summary!$B$11)*T254+Summary!$B$11*V254</f>
        <v/>
      </c>
      <c r="P254">
        <f>IF(B280=0,0,O254/B280)</f>
        <v/>
      </c>
      <c r="Q254">
        <f>IFERROR(1/IF(Inputs!$B$39="pvp",15,MAX(0.1,Skills!D13-IF(TRUE=TRUE,Inputs!$B$33,0))),0)</f>
        <v/>
      </c>
      <c r="R254">
        <f>IF(AND(Inputs!$B$39&lt;&gt;"pvp",Inputs!$B$44&gt;0),IF(Inputs!$B$44&lt;=0,0,(INT(Inputs!$B$44/IF(Inputs!$B$39="pvp",15,MAX(0.1,Skills!D13-IF(TRUE=TRUE,Inputs!$B$33,0))))+1)),0)</f>
        <v/>
      </c>
      <c r="S254">
        <f>IFERROR(O254/N254,0)</f>
        <v/>
      </c>
      <c r="T254" t="n">
        <v>0</v>
      </c>
      <c r="V254" t="n">
        <v>0</v>
      </c>
    </row>
    <row r="255">
      <c r="A255">
        <f>Skills!A14</f>
        <v/>
      </c>
      <c r="B255">
        <f>Skills!B14</f>
        <v/>
      </c>
      <c r="C255">
        <f>Inputs!$B$3&gt;=115</f>
        <v/>
      </c>
      <c r="D255">
        <f>IF(Skills!C14=1,60+Inputs!$B$26+Inputs!$B$30,IF(Skills!C14=2,90+Inputs!$B$27+Inputs!$B$30,IF(Skills!C14=3,120+Inputs!$B$28+Inputs!$B$30,MAX(0,(Inputs!$B$3-100)*3)+Inputs!$B$29+Inputs!$B$30)))</f>
        <v/>
      </c>
      <c r="E255">
        <f>INDEX(FactorTable!$B$2:$Y$301, MATCH(ROUND(MIN(300,MAX(1,D255)),0), FactorTable!$A$2:$A$301,0), Skills!M14+1)</f>
        <v/>
      </c>
      <c r="F255">
        <f>IF(Skills!N14=TRUE,(Skills!L14/10)*(E255/1000),Skills!L14/10)+Skills!O14</f>
        <v/>
      </c>
      <c r="G255">
        <f>Skills!G14*IF(Skills!H14&gt;0,INT(IF(Inputs!$B$39="pvp",MIN(Skills!I14,15),Skills!I14)/Skills!H14+0.000000001),1)</f>
        <v/>
      </c>
      <c r="H255">
        <f>1-(1-Skills!J14/100)^Skills!K14</f>
        <v/>
      </c>
      <c r="I255" t="inlineStr">
        <is>
          <t>1</t>
        </is>
      </c>
      <c r="J255" t="inlineStr"/>
      <c r="K255" t="inlineStr"/>
      <c r="L255" t="inlineStr"/>
      <c r="M255" t="inlineStr"/>
      <c r="N255" t="inlineStr"/>
      <c r="O255">
        <f>(1-Summary!$B$11)*T255+Summary!$B$11*V255</f>
        <v/>
      </c>
      <c r="P255">
        <f>IF(B280=0,0,O255/B280)</f>
        <v/>
      </c>
      <c r="Q255">
        <f>IFERROR(1/IF(Inputs!$B$39="pvp",15,MAX(0.1,Skills!D14-IF(TRUE=TRUE,Inputs!$B$33,0))),0)</f>
        <v/>
      </c>
      <c r="R255">
        <f>IF(AND(Inputs!$B$39&lt;&gt;"pvp",Inputs!$B$44&gt;0),IF(Inputs!$B$44&lt;=0,0,(INT(Inputs!$B$44/IF(Inputs!$B$39="pvp",15,MAX(0.1,Skills!D14-IF(TRUE=TRUE,Inputs!$B$33,0))))+1)),0)</f>
        <v/>
      </c>
      <c r="S255">
        <f>IFERROR(O255/N255,0)</f>
        <v/>
      </c>
      <c r="T255" t="n">
        <v>0</v>
      </c>
      <c r="V255" t="n">
        <v>0</v>
      </c>
    </row>
    <row r="256">
      <c r="A256">
        <f>Skills!A15</f>
        <v/>
      </c>
      <c r="B256">
        <f>Skills!B15</f>
        <v/>
      </c>
      <c r="C256">
        <f>Inputs!$B$3&gt;=66</f>
        <v/>
      </c>
      <c r="D256">
        <f>IF(Skills!C15=1,60+Inputs!$B$26+Inputs!$B$30,IF(Skills!C15=2,90+Inputs!$B$27+Inputs!$B$30,IF(Skills!C15=3,120+Inputs!$B$28+Inputs!$B$30,MAX(0,(Inputs!$B$3-100)*3)+Inputs!$B$29+Inputs!$B$30)))</f>
        <v/>
      </c>
      <c r="E256">
        <f>INDEX(FactorTable!$B$2:$Y$301, MATCH(ROUND(MIN(300,MAX(1,D256)),0), FactorTable!$A$2:$A$301,0), Skills!M15+1)</f>
        <v/>
      </c>
      <c r="F256">
        <f>IF(Skills!N15=TRUE,(Skills!L15/10)*(E256/1000),Skills!L15/10)+Skills!O15</f>
        <v/>
      </c>
      <c r="G256">
        <f>Skills!G15*IF(Skills!H15&gt;0,INT(IF(Inputs!$B$39="pvp",MIN(Skills!I15,15),Skills!I15)/Skills!H15+0.000000001),1)</f>
        <v/>
      </c>
      <c r="H256">
        <f>1-(1-Skills!J15/100)^Skills!K15</f>
        <v/>
      </c>
      <c r="I256" t="inlineStr">
        <is>
          <t>1</t>
        </is>
      </c>
      <c r="J256" t="inlineStr"/>
      <c r="K256" t="inlineStr"/>
      <c r="L256" t="inlineStr"/>
      <c r="M256" t="inlineStr"/>
      <c r="N256" t="inlineStr"/>
      <c r="O256">
        <f>(1-Summary!$B$11)*T256+Summary!$B$11*V256</f>
        <v/>
      </c>
      <c r="P256">
        <f>IF(B280=0,0,O256/B280)</f>
        <v/>
      </c>
      <c r="Q256">
        <f>IFERROR(1/IF(Inputs!$B$39="pvp",15,MAX(0.1,Skills!D15-IF(TRUE=TRUE,Inputs!$B$33,0))),0)</f>
        <v/>
      </c>
      <c r="R256">
        <f>IF(AND(Inputs!$B$39&lt;&gt;"pvp",Inputs!$B$44&gt;0),IF(Inputs!$B$44&lt;=0,0,(INT(Inputs!$B$44/IF(Inputs!$B$39="pvp",15,MAX(0.1,Skills!D15-IF(TRUE=TRUE,Inputs!$B$33,0))))+1)),0)</f>
        <v/>
      </c>
      <c r="S256">
        <f>IFERROR(O256/N256,0)</f>
        <v/>
      </c>
      <c r="T256" t="n">
        <v>0</v>
      </c>
      <c r="V256" t="n">
        <v>0</v>
      </c>
    </row>
    <row r="257">
      <c r="A257">
        <f>Skills!A16</f>
        <v/>
      </c>
      <c r="B257">
        <f>Skills!B16</f>
        <v/>
      </c>
      <c r="C257">
        <f>Inputs!$B$3&gt;=45</f>
        <v/>
      </c>
      <c r="D257">
        <f>IF(Skills!C16=1,60+Inputs!$B$26+Inputs!$B$30,IF(Skills!C16=2,90+Inputs!$B$27+Inputs!$B$30,IF(Skills!C16=3,120+Inputs!$B$28+Inputs!$B$30,MAX(0,(Inputs!$B$3-100)*3)+Inputs!$B$29+Inputs!$B$30)))</f>
        <v/>
      </c>
      <c r="E257">
        <f>INDEX(FactorTable!$B$2:$Y$301, MATCH(ROUND(MIN(300,MAX(1,D257)),0), FactorTable!$A$2:$A$301,0), Skills!M16+1)</f>
        <v/>
      </c>
      <c r="F257">
        <f>IF(Skills!N16=TRUE,(Skills!L16/10)*(E257/1000),Skills!L16/10)+Skills!O16</f>
        <v/>
      </c>
      <c r="G257">
        <f>Skills!G16*IF(Skills!H16&gt;0,INT(IF(Inputs!$B$39="pvp",MIN(Skills!I16,15),Skills!I16)/Skills!H16+0.000000001),1)</f>
        <v/>
      </c>
      <c r="H257">
        <f>1-(1-Skills!J16/100)^Skills!K16</f>
        <v/>
      </c>
      <c r="I257" t="inlineStr">
        <is>
          <t>1</t>
        </is>
      </c>
      <c r="J257" t="inlineStr"/>
      <c r="K257" t="inlineStr"/>
      <c r="L257" t="inlineStr"/>
      <c r="M257" t="inlineStr"/>
      <c r="N257" t="inlineStr"/>
      <c r="O257">
        <f>(1-Summary!$B$11)*T257+Summary!$B$11*V257</f>
        <v/>
      </c>
      <c r="P257">
        <f>IF(B280=0,0,O257/B280)</f>
        <v/>
      </c>
      <c r="Q257">
        <f>IFERROR(1/IF(Inputs!$B$39="pvp",15,MAX(0.1,Skills!D16-IF(TRUE=TRUE,Inputs!$B$33,0))),0)</f>
        <v/>
      </c>
      <c r="R257">
        <f>IF(AND(Inputs!$B$39&lt;&gt;"pvp",Inputs!$B$44&gt;0),IF(Inputs!$B$44&lt;=0,0,(INT(Inputs!$B$44/IF(Inputs!$B$39="pvp",15,MAX(0.1,Skills!D16-IF(TRUE=TRUE,Inputs!$B$33,0))))+1)),0)</f>
        <v/>
      </c>
      <c r="S257">
        <f>IFERROR(O257/N257,0)</f>
        <v/>
      </c>
      <c r="T257" t="n">
        <v>0</v>
      </c>
      <c r="V257" t="n">
        <v>0</v>
      </c>
    </row>
    <row r="258">
      <c r="A258">
        <f>Skills!A17</f>
        <v/>
      </c>
      <c r="B258">
        <f>Skills!B17</f>
        <v/>
      </c>
      <c r="C258">
        <f>Inputs!$B$3&gt;=35</f>
        <v/>
      </c>
      <c r="D258">
        <f>IF(Skills!C17=1,60+Inputs!$B$26+Inputs!$B$30,IF(Skills!C17=2,90+Inputs!$B$27+Inputs!$B$30,IF(Skills!C17=3,120+Inputs!$B$28+Inputs!$B$30,MAX(0,(Inputs!$B$3-100)*3)+Inputs!$B$29+Inputs!$B$30)))</f>
        <v/>
      </c>
      <c r="E258">
        <f>INDEX(FactorTable!$B$2:$Y$301, MATCH(ROUND(MIN(300,MAX(1,D258)),0), FactorTable!$A$2:$A$301,0), Skills!M17+1)</f>
        <v/>
      </c>
      <c r="F258">
        <f>IF(Skills!N17=TRUE,(Skills!L17/10)*(E258/1000),Skills!L17/10)+Skills!O17</f>
        <v/>
      </c>
      <c r="G258">
        <f>Skills!G17*IF(Skills!H17&gt;0,INT(IF(Inputs!$B$39="pvp",MIN(Skills!I17,15),Skills!I17)/Skills!H17+0.000000001),1)</f>
        <v/>
      </c>
      <c r="H258">
        <f>1-(1-Skills!J17/100)^Skills!K17</f>
        <v/>
      </c>
      <c r="I258" t="inlineStr">
        <is>
          <t>1</t>
        </is>
      </c>
      <c r="J258" t="inlineStr"/>
      <c r="K258" t="inlineStr"/>
      <c r="L258" t="inlineStr"/>
      <c r="M258" t="inlineStr"/>
      <c r="N258" t="inlineStr"/>
      <c r="O258">
        <f>(1-Summary!$B$11)*T258+Summary!$B$11*V258</f>
        <v/>
      </c>
      <c r="P258">
        <f>IF(B280=0,0,O258/B280)</f>
        <v/>
      </c>
      <c r="Q258">
        <f>IFERROR(1/IF(Inputs!$B$39="pvp",15,MAX(0.1,Skills!D17-IF(TRUE=TRUE,Inputs!$B$33,0))),0)</f>
        <v/>
      </c>
      <c r="R258">
        <f>IF(AND(Inputs!$B$39&lt;&gt;"pvp",Inputs!$B$44&gt;0),IF(Inputs!$B$44&lt;=0,0,(INT(Inputs!$B$44/IF(Inputs!$B$39="pvp",15,MAX(0.1,Skills!D17-IF(TRUE=TRUE,Inputs!$B$33,0))))+1)),0)</f>
        <v/>
      </c>
      <c r="S258">
        <f>IFERROR(O258/N258,0)</f>
        <v/>
      </c>
      <c r="T258" t="n">
        <v>0</v>
      </c>
      <c r="V258" t="n">
        <v>0</v>
      </c>
    </row>
    <row r="259">
      <c r="A259">
        <f>Skills!A18</f>
        <v/>
      </c>
      <c r="B259">
        <f>Skills!B18</f>
        <v/>
      </c>
      <c r="C259">
        <f>Inputs!$B$3&gt;=72</f>
        <v/>
      </c>
      <c r="D259">
        <f>IF(Skills!C18=1,60+Inputs!$B$26+Inputs!$B$30,IF(Skills!C18=2,90+Inputs!$B$27+Inputs!$B$30,IF(Skills!C18=3,120+Inputs!$B$28+Inputs!$B$30,MAX(0,(Inputs!$B$3-100)*3)+Inputs!$B$29+Inputs!$B$30)))</f>
        <v/>
      </c>
      <c r="E259">
        <f>INDEX(FactorTable!$B$2:$Y$301, MATCH(ROUND(MIN(300,MAX(1,D259)),0), FactorTable!$A$2:$A$301,0), Skills!M18+1)</f>
        <v/>
      </c>
      <c r="F259">
        <f>IF(Skills!N18=TRUE,(Skills!L18/10)*(E259/1000),Skills!L18/10)+Skills!O18</f>
        <v/>
      </c>
      <c r="G259">
        <f>Skills!G18*IF(Skills!H18&gt;0,INT(IF(Inputs!$B$39="pvp",MIN(Skills!I18,15),Skills!I18)/Skills!H18+0.000000001),1)</f>
        <v/>
      </c>
      <c r="H259">
        <f>1-(1-Skills!J18/100)^Skills!K18</f>
        <v/>
      </c>
      <c r="I259" t="inlineStr">
        <is>
          <t>1</t>
        </is>
      </c>
      <c r="J259" t="inlineStr"/>
      <c r="K259" t="inlineStr"/>
      <c r="L259" t="inlineStr"/>
      <c r="M259" t="inlineStr"/>
      <c r="N259" t="inlineStr"/>
      <c r="O259">
        <f>(1-Summary!$B$11)*T259+Summary!$B$11*V259</f>
        <v/>
      </c>
      <c r="P259">
        <f>IF(B280=0,0,O259/B280)</f>
        <v/>
      </c>
      <c r="Q259">
        <f>IFERROR(1/IF(Inputs!$B$39="pvp",15,MAX(0.1,Skills!D18-IF(TRUE=TRUE,Inputs!$B$33,0))),0)</f>
        <v/>
      </c>
      <c r="R259">
        <f>IF(AND(Inputs!$B$39&lt;&gt;"pvp",Inputs!$B$44&gt;0),IF(Inputs!$B$44&lt;=0,0,(INT(Inputs!$B$44/IF(Inputs!$B$39="pvp",15,MAX(0.1,Skills!D18-IF(TRUE=TRUE,Inputs!$B$33,0))))+1)),0)</f>
        <v/>
      </c>
      <c r="S259">
        <f>IFERROR(O259/N259,0)</f>
        <v/>
      </c>
      <c r="T259" t="n">
        <v>0</v>
      </c>
      <c r="V259" t="n">
        <v>0</v>
      </c>
    </row>
    <row r="260">
      <c r="A260">
        <f>Skills!A19</f>
        <v/>
      </c>
      <c r="B260">
        <f>Skills!B19</f>
        <v/>
      </c>
      <c r="C260">
        <f>Inputs!$B$3&gt;=72</f>
        <v/>
      </c>
      <c r="D260">
        <f>IF(Skills!C19=1,60+Inputs!$B$26+Inputs!$B$30,IF(Skills!C19=2,90+Inputs!$B$27+Inputs!$B$30,IF(Skills!C19=3,120+Inputs!$B$28+Inputs!$B$30,MAX(0,(Inputs!$B$3-100)*3)+Inputs!$B$29+Inputs!$B$30)))</f>
        <v/>
      </c>
      <c r="E260">
        <f>INDEX(FactorTable!$B$2:$Y$301, MATCH(ROUND(MIN(300,MAX(1,D260)),0), FactorTable!$A$2:$A$301,0), Skills!M19+1)</f>
        <v/>
      </c>
      <c r="F260">
        <f>IF(Skills!N19=TRUE,(Skills!L19/10)*(E260/1000),Skills!L19/10)+Skills!O19</f>
        <v/>
      </c>
      <c r="G260">
        <f>Skills!G19*IF(Skills!H19&gt;0,INT(IF(Inputs!$B$39="pvp",MIN(Skills!I19,15),Skills!I19)/Skills!H19+0.000000001),1)</f>
        <v/>
      </c>
      <c r="H260">
        <f>1-(1-Skills!J19/100)^Skills!K19</f>
        <v/>
      </c>
      <c r="I260" t="inlineStr">
        <is>
          <t>1</t>
        </is>
      </c>
      <c r="J260" t="inlineStr"/>
      <c r="K260" t="inlineStr"/>
      <c r="L260" t="inlineStr"/>
      <c r="M260" t="inlineStr"/>
      <c r="N260" t="inlineStr"/>
      <c r="O260">
        <f>(1-Summary!$B$11)*T260+Summary!$B$11*V260</f>
        <v/>
      </c>
      <c r="P260">
        <f>IF(B280=0,0,O260/B280)</f>
        <v/>
      </c>
      <c r="Q260">
        <f>IFERROR(1/IF(Inputs!$B$39="pvp",15,MAX(0.1,Skills!D19-IF(TRUE=TRUE,Inputs!$B$33,0))),0)</f>
        <v/>
      </c>
      <c r="R260">
        <f>IF(AND(Inputs!$B$39&lt;&gt;"pvp",Inputs!$B$44&gt;0),IF(Inputs!$B$44&lt;=0,0,(INT(Inputs!$B$44/IF(Inputs!$B$39="pvp",15,MAX(0.1,Skills!D19-IF(TRUE=TRUE,Inputs!$B$33,0))))+1)),0)</f>
        <v/>
      </c>
      <c r="S260">
        <f>IFERROR(O260/N260,0)</f>
        <v/>
      </c>
      <c r="T260" t="n">
        <v>0</v>
      </c>
      <c r="V260" t="n">
        <v>0</v>
      </c>
    </row>
    <row r="261">
      <c r="A261">
        <f>Skills!A20</f>
        <v/>
      </c>
      <c r="B261">
        <f>Skills!B20</f>
        <v/>
      </c>
      <c r="C261">
        <f>TRUE</f>
        <v/>
      </c>
      <c r="D261">
        <f>IF(Skills!C20=1,60+Inputs!$B$26+Inputs!$B$30,IF(Skills!C20=2,90+Inputs!$B$27+Inputs!$B$30,IF(Skills!C20=3,120+Inputs!$B$28+Inputs!$B$30,MAX(0,(Inputs!$B$3-100)*3)+Inputs!$B$29+Inputs!$B$30)))</f>
        <v/>
      </c>
      <c r="E261">
        <f>INDEX(FactorTable!$B$2:$Y$301, MATCH(ROUND(MIN(300,MAX(1,D261)),0), FactorTable!$A$2:$A$301,0), Skills!M20+1)</f>
        <v/>
      </c>
      <c r="F261">
        <f>IF(Skills!N20=TRUE,(Skills!L20/10)*(E261/1000),Skills!L20/10)+Skills!O20</f>
        <v/>
      </c>
      <c r="G261">
        <f>Skills!G20*IF(Skills!H20&gt;0,INT(IF(Inputs!$B$39="pvp",MIN(Skills!I20,15),Skills!I20)/Skills!H20+0.000000001),1)</f>
        <v/>
      </c>
      <c r="H261">
        <f>1-(1-Skills!J20/100)^Skills!K20</f>
        <v/>
      </c>
      <c r="I261" t="inlineStr">
        <is>
          <t>1</t>
        </is>
      </c>
      <c r="J261" t="inlineStr"/>
      <c r="K261" t="inlineStr"/>
      <c r="L261" t="inlineStr"/>
      <c r="M261" t="inlineStr"/>
      <c r="N261" t="inlineStr"/>
      <c r="O261">
        <f>(1-Summary!$B$11)*T261+Summary!$B$11*V261</f>
        <v/>
      </c>
      <c r="P261">
        <f>IF(B280=0,0,O261/B280)</f>
        <v/>
      </c>
      <c r="Q261">
        <f>IFERROR(1/IF(Inputs!$B$39="pvp",15,MAX(0.1,Skills!D20-IF(TRUE=TRUE,Inputs!$B$33,0))),0)</f>
        <v/>
      </c>
      <c r="R261">
        <f>IF(AND(Inputs!$B$39&lt;&gt;"pvp",Inputs!$B$44&gt;0),IF(Inputs!$B$44&lt;=0,0,(INT(Inputs!$B$44/IF(Inputs!$B$39="pvp",15,MAX(0.1,Skills!D20-IF(TRUE=TRUE,Inputs!$B$33,0))))+1)),0)</f>
        <v/>
      </c>
      <c r="S261">
        <f>IFERROR(O261/N261,0)</f>
        <v/>
      </c>
      <c r="T261" t="n">
        <v>0</v>
      </c>
      <c r="V261" t="n">
        <v>0</v>
      </c>
    </row>
    <row r="262">
      <c r="A262">
        <f>Skills!A21</f>
        <v/>
      </c>
      <c r="B262">
        <f>Skills!B21</f>
        <v/>
      </c>
      <c r="C262">
        <f>Inputs!$B$3&gt;=33</f>
        <v/>
      </c>
      <c r="D262">
        <f>IF(Skills!C21=1,60+Inputs!$B$26+Inputs!$B$30,IF(Skills!C21=2,90+Inputs!$B$27+Inputs!$B$30,IF(Skills!C21=3,120+Inputs!$B$28+Inputs!$B$30,MAX(0,(Inputs!$B$3-100)*3)+Inputs!$B$29+Inputs!$B$30)))</f>
        <v/>
      </c>
      <c r="E262">
        <f>INDEX(FactorTable!$B$2:$Y$301, MATCH(ROUND(MIN(300,MAX(1,D262)),0), FactorTable!$A$2:$A$301,0), Skills!M21+1)</f>
        <v/>
      </c>
      <c r="F262">
        <f>IF(Skills!N21=TRUE,(Skills!L21/10)*(E262/1000),Skills!L21/10)+Skills!O21</f>
        <v/>
      </c>
      <c r="G262">
        <f>Skills!G21*IF(Skills!H21&gt;0,INT(IF(Inputs!$B$39="pvp",MIN(Skills!I21,15),Skills!I21)/Skills!H21+0.000000001),1)</f>
        <v/>
      </c>
      <c r="H262">
        <f>1-(1-Skills!J21/100)^Skills!K21</f>
        <v/>
      </c>
      <c r="I262" t="inlineStr">
        <is>
          <t>1</t>
        </is>
      </c>
      <c r="J262" t="inlineStr"/>
      <c r="K262" t="inlineStr"/>
      <c r="L262" t="inlineStr"/>
      <c r="M262" t="inlineStr"/>
      <c r="N262" t="inlineStr"/>
      <c r="O262">
        <f>(1-Summary!$B$11)*T262+Summary!$B$11*V262</f>
        <v/>
      </c>
      <c r="P262">
        <f>IF(B280=0,0,O262/B280)</f>
        <v/>
      </c>
      <c r="Q262" t="n">
        <v>0</v>
      </c>
      <c r="R262" t="n">
        <v>0</v>
      </c>
      <c r="S262">
        <f>IFERROR(O262/N262,0)</f>
        <v/>
      </c>
      <c r="T262" t="n">
        <v>0</v>
      </c>
      <c r="V262" t="n">
        <v>0</v>
      </c>
    </row>
    <row r="263">
      <c r="A263">
        <f>Skills!A22</f>
        <v/>
      </c>
      <c r="B263">
        <f>Skills!B22</f>
        <v/>
      </c>
      <c r="C263">
        <f>Inputs!$B$3&gt;=43</f>
        <v/>
      </c>
      <c r="D263">
        <f>IF(Skills!C22=1,60+Inputs!$B$26+Inputs!$B$30,IF(Skills!C22=2,90+Inputs!$B$27+Inputs!$B$30,IF(Skills!C22=3,120+Inputs!$B$28+Inputs!$B$30,MAX(0,(Inputs!$B$3-100)*3)+Inputs!$B$29+Inputs!$B$30)))</f>
        <v/>
      </c>
      <c r="E263">
        <f>INDEX(FactorTable!$B$2:$Y$301, MATCH(ROUND(MIN(300,MAX(1,D263)),0), FactorTable!$A$2:$A$301,0), Skills!M22+1)</f>
        <v/>
      </c>
      <c r="F263">
        <f>IF(Skills!N22=TRUE,(Skills!L22/10)*(E263/1000),Skills!L22/10)+Skills!O22</f>
        <v/>
      </c>
      <c r="G263">
        <f>Skills!G22*IF(Skills!H22&gt;0,INT(IF(Inputs!$B$39="pvp",MIN(Skills!I22,15),Skills!I22)/Skills!H22+0.000000001),1)</f>
        <v/>
      </c>
      <c r="H263">
        <f>1-(1-Skills!J22/100)^Skills!K22</f>
        <v/>
      </c>
      <c r="I263" t="inlineStr">
        <is>
          <t>1</t>
        </is>
      </c>
      <c r="J263" t="inlineStr"/>
      <c r="K263" t="inlineStr"/>
      <c r="L263" t="inlineStr"/>
      <c r="M263" t="inlineStr"/>
      <c r="N263" t="inlineStr"/>
      <c r="O263">
        <f>(1-Summary!$B$11)*T263+Summary!$B$11*V263</f>
        <v/>
      </c>
      <c r="P263">
        <f>IF(B280=0,0,O263/B280)</f>
        <v/>
      </c>
      <c r="Q263" t="n">
        <v>0</v>
      </c>
      <c r="R263" t="n">
        <v>0</v>
      </c>
      <c r="S263">
        <f>IFERROR(O263/N263,0)</f>
        <v/>
      </c>
      <c r="T263" t="n">
        <v>0</v>
      </c>
      <c r="V263" t="n">
        <v>0</v>
      </c>
    </row>
    <row r="264">
      <c r="A264">
        <f>Skills!A23</f>
        <v/>
      </c>
      <c r="B264">
        <f>Skills!B23</f>
        <v/>
      </c>
      <c r="C264">
        <f>Inputs!$B$3&gt;=120</f>
        <v/>
      </c>
      <c r="D264">
        <f>IF(Skills!C23=1,60+Inputs!$B$26+Inputs!$B$30,IF(Skills!C23=2,90+Inputs!$B$27+Inputs!$B$30,IF(Skills!C23=3,120+Inputs!$B$28+Inputs!$B$30,MAX(0,(Inputs!$B$3-100)*3)+Inputs!$B$29+Inputs!$B$30)))</f>
        <v/>
      </c>
      <c r="E264">
        <f>INDEX(FactorTable!$B$2:$Y$301, MATCH(ROUND(MIN(300,MAX(1,D264)),0), FactorTable!$A$2:$A$301,0), Skills!M23+1)</f>
        <v/>
      </c>
      <c r="F264">
        <f>IF(Skills!N23=TRUE,(Skills!L23/10)*(E264/1000),Skills!L23/10)+Skills!O23</f>
        <v/>
      </c>
      <c r="G264">
        <f>Skills!G23*IF(Skills!H23&gt;0,INT(IF(Inputs!$B$39="pvp",MIN(Skills!I23,15),Skills!I23)/Skills!H23+0.000000001),1)</f>
        <v/>
      </c>
      <c r="H264">
        <f>1-(1-Skills!J23/100)^Skills!K23</f>
        <v/>
      </c>
      <c r="I264" t="inlineStr">
        <is>
          <t>1</t>
        </is>
      </c>
      <c r="J264" t="inlineStr"/>
      <c r="K264" t="inlineStr"/>
      <c r="L264" t="inlineStr"/>
      <c r="M264" t="inlineStr"/>
      <c r="N264" t="inlineStr"/>
      <c r="O264">
        <f>(1-Summary!$B$11)*T264+Summary!$B$11*V264</f>
        <v/>
      </c>
      <c r="P264">
        <f>IF(B280=0,0,O264/B280)</f>
        <v/>
      </c>
      <c r="Q264" t="n">
        <v>0</v>
      </c>
      <c r="R264" t="n">
        <v>0</v>
      </c>
      <c r="S264">
        <f>IFERROR(O264/N264,0)</f>
        <v/>
      </c>
      <c r="T264" t="n">
        <v>0</v>
      </c>
      <c r="V264" t="n">
        <v>0</v>
      </c>
    </row>
    <row r="265">
      <c r="A265">
        <f>Skills!A24</f>
        <v/>
      </c>
      <c r="B265">
        <f>Skills!B24</f>
        <v/>
      </c>
      <c r="C265">
        <f>Inputs!$B$3&gt;=120</f>
        <v/>
      </c>
      <c r="D265">
        <f>IF(Skills!C24=1,60+Inputs!$B$26+Inputs!$B$30,IF(Skills!C24=2,90+Inputs!$B$27+Inputs!$B$30,IF(Skills!C24=3,120+Inputs!$B$28+Inputs!$B$30,MAX(0,(Inputs!$B$3-100)*3)+Inputs!$B$29+Inputs!$B$30)))</f>
        <v/>
      </c>
      <c r="E265">
        <f>INDEX(FactorTable!$B$2:$Y$301, MATCH(ROUND(MIN(300,MAX(1,D265)),0), FactorTable!$A$2:$A$301,0), Skills!M24+1)</f>
        <v/>
      </c>
      <c r="F265">
        <f>IF(Skills!N24=TRUE,(Skills!L24/10)*(E265/1000),Skills!L24/10)+Skills!O24</f>
        <v/>
      </c>
      <c r="G265">
        <f>Skills!G24*IF(Skills!H24&gt;0,INT(IF(Inputs!$B$39="pvp",MIN(Skills!I24,15),Skills!I24)/Skills!H24+0.000000001),1)</f>
        <v/>
      </c>
      <c r="H265">
        <f>1-(1-Skills!J24/100)^Skills!K24</f>
        <v/>
      </c>
      <c r="I265" t="inlineStr">
        <is>
          <t>1</t>
        </is>
      </c>
      <c r="J265" t="inlineStr"/>
      <c r="K265" t="inlineStr"/>
      <c r="L265" t="inlineStr"/>
      <c r="M265" t="inlineStr"/>
      <c r="N265" t="inlineStr"/>
      <c r="O265">
        <f>(1-Summary!$B$11)*T265+Summary!$B$11*V265</f>
        <v/>
      </c>
      <c r="P265">
        <f>IF(B280=0,0,O265/B280)</f>
        <v/>
      </c>
      <c r="Q265" t="n">
        <v>0</v>
      </c>
      <c r="R265" t="n">
        <v>0</v>
      </c>
      <c r="S265">
        <f>IFERROR(O265/N265,0)</f>
        <v/>
      </c>
      <c r="T265" t="n">
        <v>0</v>
      </c>
      <c r="V265" t="n">
        <v>0</v>
      </c>
    </row>
    <row r="266">
      <c r="A266">
        <f>Skills!A25</f>
        <v/>
      </c>
      <c r="B266">
        <f>Skills!B25</f>
        <v/>
      </c>
      <c r="C266">
        <f>Inputs!$B$3&gt;=125</f>
        <v/>
      </c>
      <c r="D266">
        <f>IF(Skills!C25=1,60+Inputs!$B$26+Inputs!$B$30,IF(Skills!C25=2,90+Inputs!$B$27+Inputs!$B$30,IF(Skills!C25=3,120+Inputs!$B$28+Inputs!$B$30,MAX(0,(Inputs!$B$3-100)*3)+Inputs!$B$29+Inputs!$B$30)))</f>
        <v/>
      </c>
      <c r="E266">
        <f>INDEX(FactorTable!$B$2:$Y$301, MATCH(ROUND(MIN(300,MAX(1,D266)),0), FactorTable!$A$2:$A$301,0), Skills!M25+1)</f>
        <v/>
      </c>
      <c r="F266">
        <f>IF(Skills!N25=TRUE,(Skills!L25/10)*(E266/1000),Skills!L25/10)+Skills!O25</f>
        <v/>
      </c>
      <c r="G266">
        <f>Skills!G25*IF(Skills!H25&gt;0,INT(IF(Inputs!$B$39="pvp",MIN(Skills!I25,15),Skills!I25)/Skills!H25+0.000000001),1)</f>
        <v/>
      </c>
      <c r="H266">
        <f>1-(1-Skills!J25/100)^Skills!K25</f>
        <v/>
      </c>
      <c r="I266" t="inlineStr">
        <is>
          <t>1</t>
        </is>
      </c>
      <c r="J266" t="inlineStr"/>
      <c r="K266" t="inlineStr"/>
      <c r="L266" t="inlineStr"/>
      <c r="M266" t="inlineStr"/>
      <c r="N266" t="inlineStr"/>
      <c r="O266">
        <f>(1-Summary!$B$11)*T266+Summary!$B$11*V266</f>
        <v/>
      </c>
      <c r="P266">
        <f>IF(B280=0,0,O266/B280)</f>
        <v/>
      </c>
      <c r="Q266" t="n">
        <v>0</v>
      </c>
      <c r="R266" t="n">
        <v>0</v>
      </c>
      <c r="S266">
        <f>IFERROR(O266/N266,0)</f>
        <v/>
      </c>
      <c r="T266" t="n">
        <v>0</v>
      </c>
      <c r="V266" t="n">
        <v>0</v>
      </c>
    </row>
    <row r="267">
      <c r="A267">
        <f>Skills!A26</f>
        <v/>
      </c>
      <c r="B267">
        <f>Skills!B26</f>
        <v/>
      </c>
      <c r="C267">
        <f>Inputs!$B$3&gt;=107</f>
        <v/>
      </c>
      <c r="D267">
        <f>IF(Skills!C26=1,60+Inputs!$B$26+Inputs!$B$30,IF(Skills!C26=2,90+Inputs!$B$27+Inputs!$B$30,IF(Skills!C26=3,120+Inputs!$B$28+Inputs!$B$30,MAX(0,(Inputs!$B$3-100)*3)+Inputs!$B$29+Inputs!$B$30)))</f>
        <v/>
      </c>
      <c r="E267">
        <f>INDEX(FactorTable!$B$2:$Y$301, MATCH(ROUND(MIN(300,MAX(1,D267)),0), FactorTable!$A$2:$A$301,0), Skills!M26+1)</f>
        <v/>
      </c>
      <c r="F267">
        <f>IF(Skills!N26=TRUE,(Skills!L26/10)*(E267/1000),Skills!L26/10)+Skills!O26</f>
        <v/>
      </c>
      <c r="G267">
        <f>Skills!G26*IF(Skills!H26&gt;0,INT(IF(Inputs!$B$39="pvp",MIN(Skills!I26,15),Skills!I26)/Skills!H26+0.000000001),1)</f>
        <v/>
      </c>
      <c r="H267">
        <f>1-(1-Skills!J26/100)^Skills!K26</f>
        <v/>
      </c>
      <c r="I267" t="inlineStr">
        <is>
          <t>1</t>
        </is>
      </c>
      <c r="J267" t="inlineStr"/>
      <c r="K267" t="inlineStr"/>
      <c r="L267" t="inlineStr"/>
      <c r="M267" t="inlineStr"/>
      <c r="N267" t="inlineStr"/>
      <c r="O267">
        <f>(1-Summary!$B$11)*T267+Summary!$B$11*V267</f>
        <v/>
      </c>
      <c r="P267">
        <f>IF(B280=0,0,O267/B280)</f>
        <v/>
      </c>
      <c r="Q267" t="n">
        <v>0</v>
      </c>
      <c r="R267" t="n">
        <v>0</v>
      </c>
      <c r="S267">
        <f>IFERROR(O267/N267,0)</f>
        <v/>
      </c>
      <c r="T267" t="n">
        <v>0</v>
      </c>
      <c r="V267" t="n">
        <v>0</v>
      </c>
    </row>
    <row r="269">
      <c r="A269" t="inlineStr">
        <is>
          <t>Attack% Bucket Multiplier</t>
        </is>
      </c>
      <c r="B269">
        <f>(1+(((C254=TRUE)*F254*IF(AND(Inputs!$B$39&lt;&gt;"pvp",Inputs!$B$44&gt;0),(((R254-1)*MIN((Skills!T13*(1+Inputs!$B$35/100)),(1/Q254))+MIN((Skills!T13*(1+Inputs!$B$35/100)),MAX(0,Inputs!$B$44-((R254-1)*(1/Q254)))))/Inputs!$B$44),IF(Inputs!$B$39="pvp",MIN((Skills!T13*(1+Inputs!$B$35/100)),15)/15,MIN(1,(Skills!T13*(1+Inputs!$B$35/100))/(1/Q254)))))+((C255=TRUE)*F255*IF(AND(Inputs!$B$39&lt;&gt;"pvp",Inputs!$B$44&gt;0),(((R255-1)*MIN((Skills!T14*(1+Inputs!$B$35/100)),(1/Q255))+MIN((Skills!T14*(1+Inputs!$B$35/100)),MAX(0,Inputs!$B$44-((R255-1)*(1/Q255)))))/Inputs!$B$44),IF(Inputs!$B$39="pvp",MIN((Skills!T14*(1+Inputs!$B$35/100)),15)/15,MIN(1,(Skills!T14*(1+Inputs!$B$35/100))/(1/Q255)))))+((C256=TRUE)*F256*IF(AND(Inputs!$B$39&lt;&gt;"pvp",Inputs!$B$44&gt;0),(((R256-1)*MIN((Skills!T15*(1+Inputs!$B$35/100)),(1/Q256))+MIN((Skills!T15*(1+Inputs!$B$35/100)),MAX(0,Inputs!$B$44-((R256-1)*(1/Q256)))))/Inputs!$B$44),IF(Inputs!$B$39="pvp",MIN((Skills!T15*(1+Inputs!$B$35/100)),15)/15,MIN(1,(Skills!T15*(1+Inputs!$B$35/100))/(1/Q256)))))+((C257=TRUE)*F257*IF(AND(Inputs!$B$39&lt;&gt;"pvp",Inputs!$B$44&gt;0),(((R257-1)*MIN((Skills!T16*(1+Inputs!$B$35/100)),(1/Q257))+MIN((Skills!T16*(1+Inputs!$B$35/100)),MAX(0,Inputs!$B$44-((R257-1)*(1/Q257)))))/Inputs!$B$44),IF(Inputs!$B$39="pvp",MIN((Skills!T16*(1+Inputs!$B$35/100)),15)/15,MIN(1,(Skills!T16*(1+Inputs!$B$35/100))/(1/Q257)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270">
      <c r="A270" t="inlineStr">
        <is>
          <t>Global Crit Rate Bonus % (Lord of Darkness)</t>
        </is>
      </c>
      <c r="B270">
        <f>((C259=TRUE)*F259*(Skills!J18/100)*IF(AND(Inputs!$B$39&lt;&gt;"pvp",Inputs!$B$44&gt;0),(((R259-1)*MIN((Skills!T18*(1+Inputs!$B$35/100)),(1/Q259))+MIN((Skills!T18*(1+Inputs!$B$35/100)),MAX(0,Inputs!$B$44-((R259-1)*(1/Q259)))))/Inputs!$B$44),IF(Inputs!$B$39="pvp",MIN((Skills!T18*(1+Inputs!$B$35/100)),15)/15,MIN(1,(Skills!T18*(1+Inputs!$B$35/100))/(1/Q259)))))</f>
        <v/>
      </c>
    </row>
    <row r="271">
      <c r="A271" t="inlineStr">
        <is>
          <t>Attack Speed Buff Bonus %</t>
        </is>
      </c>
      <c r="B271">
        <f>((C261=TRUE)*F261*IF(AND(Inputs!$B$39&lt;&gt;"pvp",Inputs!$B$44&gt;0),(((R261-1)*MIN((Skills!T20*(1+Inputs!$B$35/100)),(1/Q261))+MIN((Skills!T20*(1+Inputs!$B$35/100)),MAX(0,Inputs!$B$44-((R261-1)*(1/Q261)))))/Inputs!$B$44),IF(Inputs!$B$39="pvp",MIN((Skills!T20*(1+Inputs!$B$35/100)),15)/15,MIN(1,(Skills!T20*(1+Inputs!$B$35/100))/(1/Q261)))))</f>
        <v/>
      </c>
    </row>
    <row r="272">
      <c r="A272" t="inlineStr">
        <is>
          <t>Actions Per Second</t>
        </is>
      </c>
      <c r="B272">
        <f>1+MIN(150,150*(1-(1-(Inputs!$B$12+((C262=TRUE)*(F262-Calc!F21)))/150)*(1-B271/150)))/100</f>
        <v/>
      </c>
    </row>
    <row r="273">
      <c r="A273" t="inlineStr">
        <is>
          <t>Skill + Buff Cast Rate</t>
        </is>
      </c>
      <c r="B273">
        <f>IF(AND(Inputs!$B$39&lt;&gt;"pvp",Inputs!$B$44&gt;0),SUMPRODUCT((Skills!E2:E26=TRUE)*(C243:C267=TRUE)*R243:R267*Skills!F2:F26)/Inputs!$B$44,SUMPRODUCT((Skills!E2:E26=TRUE)*(C243:C267=TRUE)*Q243:Q267*Skills!F2:F26))</f>
        <v/>
      </c>
    </row>
    <row r="274">
      <c r="A274" t="inlineStr">
        <is>
          <t>Dark Impale Casts Per Second</t>
        </is>
      </c>
      <c r="B274">
        <f>MAX(0,B272-B273)</f>
        <v/>
      </c>
    </row>
    <row r="275">
      <c r="A275" t="inlineStr">
        <is>
          <t>Global Critical Damage Bonus % (Lord of Darkness)</t>
        </is>
      </c>
      <c r="B275">
        <f>((C260=TRUE)*F260*(Skills!J19/100)*IF(AND(Inputs!$B$39&lt;&gt;"pvp",Inputs!$B$44&gt;0),(((R260-1)*MIN((Skills!T19*(1+Inputs!$B$35/100)),(1/Q260))+MIN((Skills!T19*(1+Inputs!$B$35/100)),MAX(0,Inputs!$B$44-((R260-1)*(1/Q260)))))/Inputs!$B$44),IF(Inputs!$B$39="pvp",MIN((Skills!T19*(1+Inputs!$B$35/100)),15)/15,MIN(1,(Skills!T19*(1+Inputs!$B$35/100))/(1/Q260)))))</f>
        <v/>
      </c>
    </row>
    <row r="276">
      <c r="A276" t="inlineStr">
        <is>
          <t>Global Final Damage Bonus % (unused)</t>
        </is>
      </c>
      <c r="B276" t="n">
        <v>0</v>
      </c>
    </row>
    <row r="277">
      <c r="A277" t="inlineStr">
        <is>
          <t>Buff-Casting Startup Delay (s, fixed-duration only)</t>
        </is>
      </c>
      <c r="B277">
        <f>IF(AND(Inputs!$B$39&lt;&gt;"pvp",Inputs!$B$44&gt;0),SUMPRODUCT((Skills!T2:T26&gt;0)*(Skills!E2:E26=TRUE)*(C243:C267=TRUE))/B272,0)</f>
        <v/>
      </c>
    </row>
    <row r="278">
      <c r="A278" t="inlineStr">
        <is>
          <t>Boss-Only Total DPS (this block's swept value)</t>
        </is>
      </c>
      <c r="B278">
        <f>SUM(T243:T267)</f>
        <v/>
      </c>
    </row>
    <row r="279">
      <c r="A279" t="inlineStr">
        <is>
          <t>Normal-Only Total DPS (this block's swept value)</t>
        </is>
      </c>
      <c r="B279">
        <f>SUM(V243:V267)</f>
        <v/>
      </c>
    </row>
    <row r="280">
      <c r="A280" s="6" t="inlineStr">
        <is>
          <t>TOTAL DPS</t>
        </is>
      </c>
      <c r="B280" s="6">
        <f>SUM(O243:O267)</f>
        <v/>
      </c>
    </row>
    <row r="283">
      <c r="A283" s="6" t="inlineStr">
        <is>
          <t>Stat: DAMAGE %</t>
        </is>
      </c>
    </row>
    <row r="284">
      <c r="A284" s="5" t="inlineStr">
        <is>
          <t>Key</t>
        </is>
      </c>
      <c r="B284" s="5" t="inlineStr">
        <is>
          <t>Name</t>
        </is>
      </c>
      <c r="C284" s="5" t="inlineStr">
        <is>
          <t>Unlocked</t>
        </is>
      </c>
      <c r="D284" s="5" t="inlineStr">
        <is>
          <t>InputLevel</t>
        </is>
      </c>
      <c r="E284" s="5" t="inlineStr">
        <is>
          <t>Factor</t>
        </is>
      </c>
      <c r="F284" s="5" t="inlineStr">
        <is>
          <t>CoefficientPercent</t>
        </is>
      </c>
      <c r="G284" s="5" t="inlineStr">
        <is>
          <t>EffectiveHits</t>
        </is>
      </c>
      <c r="H284" s="5" t="inlineStr">
        <is>
          <t>ProcProbability</t>
        </is>
      </c>
      <c r="I284" s="5" t="inlineStr">
        <is>
          <t>MapleHeroMultiplier</t>
        </is>
      </c>
      <c r="J284" s="5" t="inlineStr">
        <is>
          <t>BaseDamage</t>
        </is>
      </c>
      <c r="K284" s="5" t="inlineStr">
        <is>
          <t>BaseHitDamage</t>
        </is>
      </c>
      <c r="L284" s="5" t="inlineStr">
        <is>
          <t>NonCritAvg</t>
        </is>
      </c>
      <c r="M284" s="5" t="inlineStr">
        <is>
          <t>CritAvg</t>
        </is>
      </c>
      <c r="N284" s="5" t="inlineStr">
        <is>
          <t>ExpectedDamage(perHit)</t>
        </is>
      </c>
      <c r="O284" s="5" t="inlineStr">
        <is>
          <t>DPS</t>
        </is>
      </c>
      <c r="P284" s="5" t="inlineStr">
        <is>
          <t>% of Total</t>
        </is>
      </c>
      <c r="Q284" s="5" t="inlineStr">
        <is>
          <t>InvCooldown</t>
        </is>
      </c>
      <c r="R284" s="5" t="inlineStr">
        <is>
          <t>CastsInFight</t>
        </is>
      </c>
      <c r="S284" s="5" t="inlineStr">
        <is>
          <t>HitRate(perSec)</t>
        </is>
      </c>
      <c r="U284" t="inlineStr">
        <is>
          <t>helpers</t>
        </is>
      </c>
    </row>
    <row r="285">
      <c r="A285">
        <f>Skills!A2</f>
        <v/>
      </c>
      <c r="B285">
        <f>Skills!B2</f>
        <v/>
      </c>
      <c r="C285">
        <f>Inputs!$B$3&gt;=100</f>
        <v/>
      </c>
      <c r="D285" t="inlineStr"/>
      <c r="E285" t="inlineStr"/>
      <c r="F285">
        <f>U287+Skills!O2</f>
        <v/>
      </c>
      <c r="G285">
        <f>Skills!G2*IF(Skills!H2&gt;0,INT(IF(Inputs!$B$39="pvp",MIN(Skills!I2,15),Skills!I2)/Skills!H2+0.000000001),1)</f>
        <v/>
      </c>
      <c r="H285">
        <f>1-(1-Skills!J2/100)^Skills!K2</f>
        <v/>
      </c>
      <c r="I285" t="inlineStr">
        <is>
          <t>1</t>
        </is>
      </c>
      <c r="J285">
        <f>((Inputs!$B$6*(1+Inputs!$B$7/100))+(((Inputs!$B$13*(1+Inputs!$B$14/100))-(Inputs!$B$13*(1+Inputs!$B$14/100)))+0.25*(Inputs!$B$15-Inputs!$B$15))*(1+Inputs!$B$7/100))*(F285/100)</f>
        <v/>
      </c>
      <c r="K285">
        <f>J285*(1+(((Inputs!$B$13+IF(Inputs!$B$3&gt;=38,(10*INDEX(FactorTable!$B$2:$Y$301, MATCH(ROUND(MIN(300,MAX(1,Inputs!$B$3)),0), FactorTable!$A$2:$A$301,0), 23)/1000)/100*(Inputs!$B$8*(1+Inputs!$B$9/100)),0))*(1+Inputs!$B$14/100))*0.01+Inputs!$B$15*0.0025)/100)*(1+(Inputs!$B$16+1)/100)*(1+Inputs!$B$17/100)*(5000/(6000+Inputs!$B$43*(1-(Inputs!$B$20+0)/100)))*(1+(Inputs!$B$25+((C308=TRUE)*(F308-Calc!F25))+((C309=TRUE)*(F309-Calc!F26))+B318)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gt;=100),MIN(100,((Inputs!$B$10+0+B312+(ArtifactsInput!$M$24-ArtifactsInput!$M$24)*CHOOSE(ArtifactsInput!$N$24+1,10,12,14,16,18,20)+IF(ArtifactsInput!$M$10,CHOOSE(ArtifactsInput!$N$10+1,15,18,21,24,27,30)*(IF(Inputs!$B$39="pvp",MIN(15,15)/15,IF(AND(Inputs!$B$39&lt;&gt;"pvp",Inputs!$B$44&gt;0),MIN(15,Inputs!$B$44)/(Inputs!$B$44),0))),0)))-100),0))*CHOOSE(ArtifactsInput!$N$42+1,0.6,0.72,0.84,0.96,1.08,1.2))),Inputs!$B$19+((C306=TRUE)*(F306-Calc!F23))+(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gt;=100),CHOOSE(ArtifactsInput!$N$42+1,40,48,56,64,72,80),0))))/100)*((1+(((C296=TRUE)*F296*IF(AND(Inputs!$B$39&lt;&gt;"pvp",Inputs!$B$44&gt;0),(((R296-1)*MIN((Skills!T13*(1+Inputs!$B$35/100)),(1/Q296))+MIN((Skills!T13*(1+Inputs!$B$35/100)),MAX(0,Inputs!$B$44-((R296-1)*(1/Q296)))))/Inputs!$B$44),IF(Inputs!$B$39="pvp",MIN((Skills!T13*(1+Inputs!$B$35/100)),15)/15,MIN(1,(Skills!T13*(1+Inputs!$B$35/100))/(1/Q296)))))+((C297=TRUE)*F297*IF(AND(Inputs!$B$39&lt;&gt;"pvp",Inputs!$B$44&gt;0),(((R297-1)*MIN((Skills!T14*(1+Inputs!$B$35/100)),(1/Q297))+MIN((Skills!T14*(1+Inputs!$B$35/100)),MAX(0,Inputs!$B$44-((R297-1)*(1/Q297)))))/Inputs!$B$44),IF(Inputs!$B$39="pvp",MIN((Skills!T14*(1+Inputs!$B$35/100)),15)/15,MIN(1,(Skills!T14*(1+Inputs!$B$35/100))/(1/Q297)))))+((C298=TRUE)*F298*IF(AND(Inputs!$B$39&lt;&gt;"pvp",Inputs!$B$44&gt;0),(((R298-1)*MIN((Skills!T15*(1+Inputs!$B$35/100)),(1/Q298))+MIN((Skills!T15*(1+Inputs!$B$35/100)),MAX(0,Inputs!$B$44-((R298-1)*(1/Q298)))))/Inputs!$B$44),IF(Inputs!$B$39="pvp",MIN((Skills!T15*(1+Inputs!$B$35/100)),15)/15,MIN(1,(Skills!T15*(1+Inputs!$B$35/100))/(1/Q298)))))+((C299=TRUE)*F299*IF(AND(Inputs!$B$39&lt;&gt;"pvp",Inputs!$B$44&gt;0),(((R299-1)*MIN((Skills!T16*(1+Inputs!$B$35/100)),(1/Q299))+MIN((Skills!T16*(1+Inputs!$B$35/100)),MAX(0,Inputs!$B$44-((R299-1)*(1/Q299)))))/Inputs!$B$44),IF(Inputs!$B$39="pvp",MIN((Skills!T16*(1+Inputs!$B$35/100)),15)/15,MIN(1,(Skills!T16*(1+Inputs!$B$35/100))/(1/Q299)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285)</f>
        <v/>
      </c>
      <c r="L285">
        <f>K285*(MIN(Inputs!$B$23+((C305=TRUE)*(F305-Calc!F22)),(Inputs!$B$24+((C307=TRUE)*(F307-Calc!F24))+(IF(ArtifactsInput!$M$15,CHOOSE(ArtifactsInput!$N$15+1,25,30,35,40,45,50)/100*(Inputs!$B$12-Inputs!$B$12),0))))/100+(Inputs!$B$24+((C307=TRUE)*(F307-Calc!F24))+(IF(ArtifactsInput!$M$15,CHOOSE(ArtifactsInput!$N$15+1,25,30,35,40,45,50)/100*(Inputs!$B$12-Inputs!$B$12),0)))/100)/2</f>
        <v/>
      </c>
      <c r="M285">
        <f>L285*(1+(Inputs!$B$11+0+B317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85">
        <f>L285*(1-MIN((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285*(MIN((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5">
        <f>(1-Summary!$B$11)*T285+Summary!$B$11*V285</f>
        <v/>
      </c>
      <c r="P285">
        <f>IF(B322=0,0,O285/B322)</f>
        <v/>
      </c>
      <c r="Q285" t="n">
        <v>0</v>
      </c>
      <c r="R285" t="n">
        <v>0</v>
      </c>
      <c r="S285">
        <f>IFERROR(O285/N285,0)</f>
        <v/>
      </c>
      <c r="T285">
        <f>IF(C285,(Skills!G2*N285*B316)*IF(Inputs!$B$39="pvp",1,1+(Inputs!$B$21+0+Skills!P2+((C300=TRUE)*F300*IF(AND(Inputs!$B$39&lt;&gt;"pvp",Inputs!$B$44&gt;0),(((R300-1)*MIN((Skills!T17*(1+Inputs!$B$35/100)),(1/Q300))+MIN((Skills!T17*(1+Inputs!$B$35/100)),MAX(0,Inputs!$B$44-((R300-1)*(1/Q300)))))/Inputs!$B$44),IF(Inputs!$B$39="pvp",MIN((Skills!T17*(1+Inputs!$B$35/100)),15)/15,MIN(1,(Skills!T17*(1+Inputs!$B$35/100))/(1/Q300)))))+((C288=TRUE)*IF(Inputs!$B$3&gt;=126,10*MIN(1,15*Q288),0))+((C297=TRUE)*IF(Inputs!$B$39="pvp",20,(1-Summary!$B$11)*(20)+Summary!$B$11*(0))*IF(AND(Inputs!$B$39&lt;&gt;"pvp",Inputs!$B$44&gt;0),(((R297-1)*MIN((Skills!T14*(1+Inputs!$B$35/100)),(1/Q297))+MIN((Skills!T14*(1+Inputs!$B$35/100)),MAX(0,Inputs!$B$44-((R297-1)*(1/Q297)))))/Inputs!$B$44),IF(Inputs!$B$39="pvp",MIN((Skills!T14*(1+Inputs!$B$35/100)),15)/15,MIN(1,(Skills!T14*(1+Inputs!$B$35/100))/(1/Q297)))))+((C296=TRUE)*IF(Inputs!$B$3&gt;=82,IF(Inputs!$B$39="pvp",20,(1-Summary!$B$11)*(20)+Summary!$B$11*(0)),0)*IF(AND(Inputs!$B$39&lt;&gt;"pvp",Inputs!$B$44&gt;0),(((R296-1)*MIN((Skills!T13*(1+Inputs!$B$35/100)),(1/Q296))+MIN((Skills!T13*(1+Inputs!$B$35/100)),MAX(0,Inputs!$B$44-((R296-1)*(1/Q296)))))/Inputs!$B$44),IF(Inputs!$B$39="pvp",MIN((Skills!T13*(1+Inputs!$B$35/100)),15)/15,MIN(1,(Skills!T13*(1+Inputs!$B$35/100))/(1/Q296)))))+(IF(AND(ArtifactsInput!$M$35,Inputs!$B$4&lt;&gt;"Chapter Hunt"),CHOOSE(ArtifactsInput!$N$35+1,15,18,21,24,27,30)*(1-EXP(-(0.2*B314)*5)),0)+IF(AND(ArtifactsInput!$M$22,Inputs!$B$4&lt;&gt;"Chapter Hunt"),CHOOSE(ArtifactsInput!$N$22+1,10,12,14,16,18,20)*((0*(((0.15*B314*5))^0/1)+1*(((0.15*B314*5))^1/1)+2*(((0.15*B314*5))^2/2)+3*(((0.15*B314*5))^3/6)+4*(((0.15*B314*5))^4/24)+5*(((0.15*B314*5))^5/120))/((((0.15*B314*5))^0/1)+(((0.15*B314*5))^1/1)+(((0.15*B314*5))^2/2)+(((0.15*B314*5))^3/6)+(((0.15*B314*5))^4/24)+(((0.15*B314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285*(1-MIN(100,(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285*(MIN(100,(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285*(1-MIN(100,(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285*(MIN(100,(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85">
        <f>MAX(0,(Inputs!$B$3-100)*3)+Inputs!$B$29+Inputs!$B$30</f>
        <v/>
      </c>
      <c r="V285">
        <f>IF(C285,(Skills!G2*N285*B316)*IF(Inputs!$B$39="pvp",1,(1+(Inputs!$B$22+Skills!Q2+((C300=TRUE)*F300*IF(AND(Inputs!$B$39&lt;&gt;"pvp",Inputs!$B$44&gt;0),(((R300-1)*MIN((Skills!T17*(1+Inputs!$B$35/100)),(1/Q300))+MIN((Skills!T17*(1+Inputs!$B$35/100)),MAX(0,Inputs!$B$44-((R300-1)*(1/Q300)))))/Inputs!$B$44),IF(Inputs!$B$39="pvp",MIN((Skills!T17*(1+Inputs!$B$35/100)),15)/15,MIN(1,(Skills!T17*(1+Inputs!$B$35/100))/(1/Q300)))))+((C288=TRUE)*IF(Inputs!$B$3&gt;=126,10*MIN(1,15*Q288),0))+((C297=TRUE)*IF(Inputs!$B$39="pvp",20,(1-Summary!$B$11)*(20)+Summary!$B$11*(0))*IF(AND(Inputs!$B$39&lt;&gt;"pvp",Inputs!$B$44&gt;0),(((R297-1)*MIN((Skills!T14*(1+Inputs!$B$35/100)),(1/Q297))+MIN((Skills!T14*(1+Inputs!$B$35/100)),MAX(0,Inputs!$B$44-((R297-1)*(1/Q297)))))/Inputs!$B$44),IF(Inputs!$B$39="pvp",MIN((Skills!T14*(1+Inputs!$B$35/100)),15)/15,MIN(1,(Skills!T14*(1+Inputs!$B$35/100))/(1/Q297)))))+((C296=TRUE)*IF(Inputs!$B$3&gt;=82,IF(Inputs!$B$39="pvp",20,(1-Summary!$B$11)*(20)+Summary!$B$11*(0)),0)*IF(AND(Inputs!$B$39&lt;&gt;"pvp",Inputs!$B$44&gt;0),(((R296-1)*MIN((Skills!T13*(1+Inputs!$B$35/100)),(1/Q296))+MIN((Skills!T13*(1+Inputs!$B$35/100)),MAX(0,Inputs!$B$44-((R296-1)*(1/Q296)))))/Inputs!$B$44),IF(Inputs!$B$39="pvp",MIN((Skills!T13*(1+Inputs!$B$35/100)),15)/15,MIN(1,(Skills!T13*(1+Inputs!$B$35/100))/(1/Q296)))))+(IF(AND(ArtifactsInput!$M$35,Inputs!$B$4&lt;&gt;"Chapter Hunt"),CHOOSE(ArtifactsInput!$N$35+1,15,18,21,24,27,30)*(1-EXP(-(0.2*B314)*5)),0)+IF(AND(ArtifactsInput!$M$22,Inputs!$B$4&lt;&gt;"Chapter Hunt"),CHOOSE(ArtifactsInput!$N$22+1,10,12,14,16,18,20)*((0*(((0.15*B314*5))^0/1)+1*(((0.15*B314*5))^1/1)+2*(((0.15*B314*5))^2/2)+3*(((0.15*B314*5))^3/6)+4*(((0.15*B314*5))^4/24)+5*(((0.15*B314*5))^5/120))/((((0.15*B314*5))^0/1)+(((0.15*B314*5))^1/1)+(((0.15*B314*5))^2/2)+(((0.15*B314*5))^3/6)+(((0.15*B314*5))^4/24)+(((0.15*B314*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6">
      <c r="A286">
        <f>Skills!A3</f>
        <v/>
      </c>
      <c r="B286">
        <f>Skills!B3</f>
        <v/>
      </c>
      <c r="C286">
        <f>Inputs!$B$3&gt;=50</f>
        <v/>
      </c>
      <c r="D286">
        <f>IF(Skills!C3=1,60+Inputs!$B$26+Inputs!$B$30,IF(Skills!C3=2,90+Inputs!$B$27+Inputs!$B$30,IF(Skills!C3=3,120+Inputs!$B$28+Inputs!$B$30,MAX(0,(Inputs!$B$3-100)*3)+Inputs!$B$29+Inputs!$B$30)))</f>
        <v/>
      </c>
      <c r="E286">
        <f>INDEX(FactorTable!$B$2:$Y$301, MATCH(ROUND(MIN(300,MAX(1,D286)),0), FactorTable!$A$2:$A$301,0), Skills!M3+1)</f>
        <v/>
      </c>
      <c r="F286">
        <f>IF(Skills!N3=TRUE,(Skills!L3/10)*(E286/1000),Skills!L3/10)+Skills!O3</f>
        <v/>
      </c>
      <c r="G286" t="inlineStr"/>
      <c r="H286" t="inlineStr"/>
      <c r="I286" t="inlineStr">
        <is>
          <t>1</t>
        </is>
      </c>
      <c r="J286" t="inlineStr"/>
      <c r="K286" t="inlineStr"/>
      <c r="L286" t="inlineStr"/>
      <c r="M286" t="inlineStr"/>
      <c r="N286" t="inlineStr"/>
      <c r="O286" t="inlineStr"/>
      <c r="P286" t="inlineStr"/>
      <c r="Q286" t="inlineStr"/>
      <c r="R286" t="inlineStr"/>
      <c r="S286" t="inlineStr"/>
      <c r="U286">
        <f>INDEX(FactorTable!$B$2:$Y$301, MATCH(ROUND(MIN(300,MAX(1,U285)),0), FactorTable!$A$2:$A$301,0), 22)</f>
        <v/>
      </c>
    </row>
    <row r="287">
      <c r="A287">
        <f>Skills!A4</f>
        <v/>
      </c>
      <c r="B287">
        <f>Skills!B4</f>
        <v/>
      </c>
      <c r="C287">
        <f>Inputs!$B$3&gt;=105</f>
        <v/>
      </c>
      <c r="D287">
        <f>IF(Skills!C4=1,60+Inputs!$B$26+Inputs!$B$30,IF(Skills!C4=2,90+Inputs!$B$27+Inputs!$B$30,IF(Skills!C4=3,120+Inputs!$B$28+Inputs!$B$30,MAX(0,(Inputs!$B$3-100)*3)+Inputs!$B$29+Inputs!$B$30)))</f>
        <v/>
      </c>
      <c r="E287">
        <f>INDEX(FactorTable!$B$2:$Y$301, MATCH(ROUND(MIN(300,MAX(1,D287)),0), FactorTable!$A$2:$A$301,0), Skills!M4+1)</f>
        <v/>
      </c>
      <c r="F287">
        <f>IF(Skills!N4=TRUE,(Skills!L4/10)*(E287/1000),Skills!L4/10)+Skills!O4</f>
        <v/>
      </c>
      <c r="G287" t="inlineStr"/>
      <c r="H287" t="inlineStr"/>
      <c r="I287" t="inlineStr">
        <is>
          <t>1</t>
        </is>
      </c>
      <c r="J287" t="inlineStr"/>
      <c r="K287" t="inlineStr"/>
      <c r="L287" t="inlineStr"/>
      <c r="M287" t="inlineStr"/>
      <c r="N287" t="inlineStr"/>
      <c r="O287" t="inlineStr"/>
      <c r="P287" t="inlineStr"/>
      <c r="Q287" t="inlineStr"/>
      <c r="R287" t="inlineStr"/>
      <c r="S287" t="inlineStr"/>
      <c r="U287">
        <f>290*U286/1000</f>
        <v/>
      </c>
    </row>
    <row r="288">
      <c r="A288">
        <f>Skills!A5</f>
        <v/>
      </c>
      <c r="B288">
        <f>Skills!B5</f>
        <v/>
      </c>
      <c r="C288">
        <f>Inputs!$B$3&gt;=117</f>
        <v/>
      </c>
      <c r="D288">
        <f>IF(Skills!C5=1,60+Inputs!$B$26+Inputs!$B$30,IF(Skills!C5=2,90+Inputs!$B$27+Inputs!$B$30,IF(Skills!C5=3,120+Inputs!$B$28+Inputs!$B$30,MAX(0,(Inputs!$B$3-100)*3)+Inputs!$B$29+Inputs!$B$30)))</f>
        <v/>
      </c>
      <c r="E288">
        <f>INDEX(FactorTable!$B$2:$Y$301, MATCH(ROUND(MIN(300,MAX(1,D288)),0), FactorTable!$A$2:$A$301,0), Skills!M5+1)</f>
        <v/>
      </c>
      <c r="F288">
        <f>IF(Skills!N5=TRUE,(Skills!L5/10)*(E288/1000),Skills!L5/10)+Skills!O5</f>
        <v/>
      </c>
      <c r="G288">
        <f>Skills!G5*IF(Skills!H5&gt;0,INT(IF(Inputs!$B$39="pvp",MIN(Skills!I5,15),Skills!I5)/Skills!H5+0.000000001),1)</f>
        <v/>
      </c>
      <c r="H288">
        <f>1-(1-Skills!J5/100)^Skills!K5</f>
        <v/>
      </c>
      <c r="I288" t="inlineStr">
        <is>
          <t>1</t>
        </is>
      </c>
      <c r="J288">
        <f>((Inputs!$B$6*(1+Inputs!$B$7/100))+(((Inputs!$B$13*(1+Inputs!$B$14/100))-(Inputs!$B$13*(1+Inputs!$B$14/100)))+0.25*(Inputs!$B$15-Inputs!$B$15))*(1+Inputs!$B$7/100))*(F288/100)</f>
        <v/>
      </c>
      <c r="K288">
        <f>J288*(1+(((Inputs!$B$13+IF(Inputs!$B$3&gt;=38,(10*INDEX(FactorTable!$B$2:$Y$301, MATCH(ROUND(MIN(300,MAX(1,Inputs!$B$3)),0), FactorTable!$A$2:$A$301,0), 23)/1000)/100*(Inputs!$B$8*(1+Inputs!$B$9/100)),0))*(1+Inputs!$B$14/100))*0.01+Inputs!$B$15*0.0025)/100)*(1+(Inputs!$B$16+1)/100)*(1+Inputs!$B$17/100)*(5000/(6000+Inputs!$B$43*(1-(Inputs!$B$20+0)/100)))*(1+(Inputs!$B$25+((C308=TRUE)*(F308-Calc!F25))+((C309=TRUE)*(F309-Calc!F26))+B318)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gt;=100),MIN(100,((Inputs!$B$10+0+B312+(ArtifactsInput!$M$24-ArtifactsInput!$M$24)*CHOOSE(ArtifactsInput!$N$24+1,10,12,14,16,18,20)+IF(ArtifactsInput!$M$10,CHOOSE(ArtifactsInput!$N$10+1,15,18,21,24,27,30)*(IF(Inputs!$B$39="pvp",MIN(15,15)/15,IF(AND(Inputs!$B$39&lt;&gt;"pvp",Inputs!$B$44&gt;0),MIN(15,Inputs!$B$44)/(Inputs!$B$44),0))),0)))-100),0))*CHOOSE(ArtifactsInput!$N$42+1,0.6,0.72,0.84,0.96,1.08,1.2))),Inputs!$B$19+((C306=TRUE)*(F306-Calc!F23))+(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gt;=100),CHOOSE(ArtifactsInput!$N$42+1,40,48,56,64,72,80),0))))/100)*((1+(((C296=TRUE)*F296*IF(AND(Inputs!$B$39&lt;&gt;"pvp",Inputs!$B$44&gt;0),(((R296-1)*MIN((Skills!T13*(1+Inputs!$B$35/100)),(1/Q296))+MIN((Skills!T13*(1+Inputs!$B$35/100)),MAX(0,Inputs!$B$44-((R296-1)*(1/Q296)))))/Inputs!$B$44),IF(Inputs!$B$39="pvp",MIN((Skills!T13*(1+Inputs!$B$35/100)),15)/15,MIN(1,(Skills!T13*(1+Inputs!$B$35/100))/(1/Q296)))))+((C297=TRUE)*F297*IF(AND(Inputs!$B$39&lt;&gt;"pvp",Inputs!$B$44&gt;0),(((R297-1)*MIN((Skills!T14*(1+Inputs!$B$35/100)),(1/Q297))+MIN((Skills!T14*(1+Inputs!$B$35/100)),MAX(0,Inputs!$B$44-((R297-1)*(1/Q297)))))/Inputs!$B$44),IF(Inputs!$B$39="pvp",MIN((Skills!T14*(1+Inputs!$B$35/100)),15)/15,MIN(1,(Skills!T14*(1+Inputs!$B$35/100))/(1/Q297)))))+((C298=TRUE)*F298*IF(AND(Inputs!$B$39&lt;&gt;"pvp",Inputs!$B$44&gt;0),(((R298-1)*MIN((Skills!T15*(1+Inputs!$B$35/100)),(1/Q298))+MIN((Skills!T15*(1+Inputs!$B$35/100)),MAX(0,Inputs!$B$44-((R298-1)*(1/Q298)))))/Inputs!$B$44),IF(Inputs!$B$39="pvp",MIN((Skills!T15*(1+Inputs!$B$35/100)),15)/15,MIN(1,(Skills!T15*(1+Inputs!$B$35/100))/(1/Q298)))))+((C299=TRUE)*F299*IF(AND(Inputs!$B$39&lt;&gt;"pvp",Inputs!$B$44&gt;0),(((R299-1)*MIN((Skills!T16*(1+Inputs!$B$35/100)),(1/Q299))+MIN((Skills!T16*(1+Inputs!$B$35/100)),MAX(0,Inputs!$B$44-((R299-1)*(1/Q299)))))/Inputs!$B$44),IF(Inputs!$B$39="pvp",MIN((Skills!T16*(1+Inputs!$B$35/100)),15)/15,MIN(1,(Skills!T16*(1+Inputs!$B$35/100))/(1/Q299)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288)</f>
        <v/>
      </c>
      <c r="L288">
        <f>K288*(MIN(Inputs!$B$23+((C305=TRUE)*(F305-Calc!F22)),(Inputs!$B$24+((C307=TRUE)*(F307-Calc!F24))+(IF(ArtifactsInput!$M$15,CHOOSE(ArtifactsInput!$N$15+1,25,30,35,40,45,50)/100*(Inputs!$B$12-Inputs!$B$12),0))))/100+(Inputs!$B$24+((C307=TRUE)*(F307-Calc!F24))+(IF(ArtifactsInput!$M$15,CHOOSE(ArtifactsInput!$N$15+1,25,30,35,40,45,50)/100*(Inputs!$B$12-Inputs!$B$12),0)))/100)/2</f>
        <v/>
      </c>
      <c r="M288">
        <f>L288*(1+(Inputs!$B$11+0+B317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88">
        <f>L288*(1-MIN((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288*(MIN((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8">
        <f>(1-Summary!$B$11)*T288+Summary!$B$11*V288</f>
        <v/>
      </c>
      <c r="P288">
        <f>IF(B322=0,0,O288/B322)</f>
        <v/>
      </c>
      <c r="Q288">
        <f>IFERROR(1/IF(Inputs!$B$39="pvp",15,MAX(0.1,Skills!D5-IF(TRUE=TRUE,Inputs!$B$33,0))),0)</f>
        <v/>
      </c>
      <c r="R288">
        <f>IF(AND(Inputs!$B$39&lt;&gt;"pvp",Inputs!$B$44&gt;0),IF(MAX(0,Inputs!$B$44-B319)&lt;=0,0,(INT(MAX(0,Inputs!$B$44-B319)/IF(Inputs!$B$39="pvp",15,MAX(0.1,Skills!D5-IF(TRUE=TRUE,Inputs!$B$33,0))))+1)),0)</f>
        <v/>
      </c>
      <c r="S288">
        <f>IFERROR(O288/N288,0)</f>
        <v/>
      </c>
      <c r="T288">
        <f>IF(C288,(H288*N288*IF(AND(Inputs!$B$39&lt;&gt;"pvp",Inputs!$B$44&gt;0),((Skills!G5*((R288-1)*IF(Skills!H5&gt;0,INT(Skills!I5/Skills!H5+0.000000001),1)+IF(Skills!H5&gt;0,INT(MIN(Skills!I5,MAX(0,MAX(0,Inputs!$B$44-B319)-((R288-1)*IF(Inputs!$B$39="pvp",15,MAX(0.1,Skills!D5-IF(TRUE=TRUE,Inputs!$B$33,0))))))/Skills!H5+0.000000001),1)))/Inputs!$B$44),G288*Q288))*IF(Inputs!$B$39="pvp",1,1+(Inputs!$B$21+0+Skills!P5+((C300=TRUE)*F300*IF(AND(Inputs!$B$39&lt;&gt;"pvp",Inputs!$B$44&gt;0),(((R300-1)*MIN((Skills!T17*(1+Inputs!$B$35/100)),(1/Q300))+MIN((Skills!T17*(1+Inputs!$B$35/100)),MAX(0,Inputs!$B$44-((R300-1)*(1/Q300)))))/Inputs!$B$44),IF(Inputs!$B$39="pvp",MIN((Skills!T17*(1+Inputs!$B$35/100)),15)/15,MIN(1,(Skills!T17*(1+Inputs!$B$35/100))/(1/Q300)))))+((C288=TRUE)*IF(Inputs!$B$3&gt;=126,10*MIN(1,15*Q288),0))+((C297=TRUE)*IF(Inputs!$B$39="pvp",20,(1-Summary!$B$11)*(20)+Summary!$B$11*(0))*IF(AND(Inputs!$B$39&lt;&gt;"pvp",Inputs!$B$44&gt;0),(((R297-1)*MIN((Skills!T14*(1+Inputs!$B$35/100)),(1/Q297))+MIN((Skills!T14*(1+Inputs!$B$35/100)),MAX(0,Inputs!$B$44-((R297-1)*(1/Q297)))))/Inputs!$B$44),IF(Inputs!$B$39="pvp",MIN((Skills!T14*(1+Inputs!$B$35/100)),15)/15,MIN(1,(Skills!T14*(1+Inputs!$B$35/100))/(1/Q297)))))+((C296=TRUE)*IF(Inputs!$B$3&gt;=82,IF(Inputs!$B$39="pvp",20,(1-Summary!$B$11)*(20)+Summary!$B$11*(0)),0)*IF(AND(Inputs!$B$39&lt;&gt;"pvp",Inputs!$B$44&gt;0),(((R296-1)*MIN((Skills!T13*(1+Inputs!$B$35/100)),(1/Q296))+MIN((Skills!T13*(1+Inputs!$B$35/100)),MAX(0,Inputs!$B$44-((R296-1)*(1/Q296)))))/Inputs!$B$44),IF(Inputs!$B$39="pvp",MIN((Skills!T13*(1+Inputs!$B$35/100)),15)/15,MIN(1,(Skills!T13*(1+Inputs!$B$35/100))/(1/Q296)))))+(IF(AND(ArtifactsInput!$M$35,Inputs!$B$4&lt;&gt;"Chapter Hunt"),CHOOSE(ArtifactsInput!$N$35+1,15,18,21,24,27,30)*(1-EXP(-(0.2*B314)*5)),0)+IF(AND(ArtifactsInput!$M$22,Inputs!$B$4&lt;&gt;"Chapter Hunt"),CHOOSE(ArtifactsInput!$N$22+1,10,12,14,16,18,20)*((0*(((0.15*B314*5))^0/1)+1*(((0.15*B314*5))^1/1)+2*(((0.15*B314*5))^2/2)+3*(((0.15*B314*5))^3/6)+4*(((0.15*B314*5))^4/24)+5*(((0.15*B314*5))^5/120))/((((0.15*B314*5))^0/1)+(((0.15*B314*5))^1/1)+(((0.15*B314*5))^2/2)+(((0.15*B314*5))^3/6)+(((0.15*B314*5))^4/24)+(((0.15*B314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288*(1-MIN(100,(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288*(MIN(100,(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288*(1-MIN(100,(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288*(MIN(100,(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8">
        <f>IF(C288,(H288*N288*IF(AND(Inputs!$B$39&lt;&gt;"pvp",Inputs!$B$44&gt;0),((Skills!G5*((R288-1)*IF(Skills!H5&gt;0,INT(Skills!I5/Skills!H5+0.000000001),1)+IF(Skills!H5&gt;0,INT(MIN(Skills!I5,MAX(0,MAX(0,Inputs!$B$44-B319)-((R288-1)*IF(Inputs!$B$39="pvp",15,MAX(0.1,Skills!D5-IF(TRUE=TRUE,Inputs!$B$33,0))))))/Skills!H5+0.000000001),1)))/Inputs!$B$44),G288*Q288))*IF(Inputs!$B$39="pvp",1,(1+(Inputs!$B$22+Skills!Q5+((C300=TRUE)*F300*IF(AND(Inputs!$B$39&lt;&gt;"pvp",Inputs!$B$44&gt;0),(((R300-1)*MIN((Skills!T17*(1+Inputs!$B$35/100)),(1/Q300))+MIN((Skills!T17*(1+Inputs!$B$35/100)),MAX(0,Inputs!$B$44-((R300-1)*(1/Q300)))))/Inputs!$B$44),IF(Inputs!$B$39="pvp",MIN((Skills!T17*(1+Inputs!$B$35/100)),15)/15,MIN(1,(Skills!T17*(1+Inputs!$B$35/100))/(1/Q300)))))+((C288=TRUE)*IF(Inputs!$B$3&gt;=126,10*MIN(1,15*Q288),0))+((C297=TRUE)*IF(Inputs!$B$39="pvp",20,(1-Summary!$B$11)*(20)+Summary!$B$11*(0))*IF(AND(Inputs!$B$39&lt;&gt;"pvp",Inputs!$B$44&gt;0),(((R297-1)*MIN((Skills!T14*(1+Inputs!$B$35/100)),(1/Q297))+MIN((Skills!T14*(1+Inputs!$B$35/100)),MAX(0,Inputs!$B$44-((R297-1)*(1/Q297)))))/Inputs!$B$44),IF(Inputs!$B$39="pvp",MIN((Skills!T14*(1+Inputs!$B$35/100)),15)/15,MIN(1,(Skills!T14*(1+Inputs!$B$35/100))/(1/Q297)))))+((C296=TRUE)*IF(Inputs!$B$3&gt;=82,IF(Inputs!$B$39="pvp",20,(1-Summary!$B$11)*(20)+Summary!$B$11*(0)),0)*IF(AND(Inputs!$B$39&lt;&gt;"pvp",Inputs!$B$44&gt;0),(((R296-1)*MIN((Skills!T13*(1+Inputs!$B$35/100)),(1/Q296))+MIN((Skills!T13*(1+Inputs!$B$35/100)),MAX(0,Inputs!$B$44-((R296-1)*(1/Q296)))))/Inputs!$B$44),IF(Inputs!$B$39="pvp",MIN((Skills!T13*(1+Inputs!$B$35/100)),15)/15,MIN(1,(Skills!T13*(1+Inputs!$B$35/100))/(1/Q296)))))+(IF(AND(ArtifactsInput!$M$35,Inputs!$B$4&lt;&gt;"Chapter Hunt"),CHOOSE(ArtifactsInput!$N$35+1,15,18,21,24,27,30)*(1-EXP(-(0.2*B314)*5)),0)+IF(AND(ArtifactsInput!$M$22,Inputs!$B$4&lt;&gt;"Chapter Hunt"),CHOOSE(ArtifactsInput!$N$22+1,10,12,14,16,18,20)*((0*(((0.15*B314*5))^0/1)+1*(((0.15*B314*5))^1/1)+2*(((0.15*B314*5))^2/2)+3*(((0.15*B314*5))^3/6)+4*(((0.15*B314*5))^4/24)+5*(((0.15*B314*5))^5/120))/((((0.15*B314*5))^0/1)+(((0.15*B314*5))^1/1)+(((0.15*B314*5))^2/2)+(((0.15*B314*5))^3/6)+(((0.15*B314*5))^4/24)+(((0.15*B314*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9">
      <c r="A289">
        <f>Skills!A6</f>
        <v/>
      </c>
      <c r="B289">
        <f>Skills!B6</f>
        <v/>
      </c>
      <c r="C289">
        <f>Inputs!$B$3&gt;=103</f>
        <v/>
      </c>
      <c r="D289">
        <f>IF(Skills!C6=1,60+Inputs!$B$26+Inputs!$B$30,IF(Skills!C6=2,90+Inputs!$B$27+Inputs!$B$30,IF(Skills!C6=3,120+Inputs!$B$28+Inputs!$B$30,MAX(0,(Inputs!$B$3-100)*3)+Inputs!$B$29+Inputs!$B$30)))</f>
        <v/>
      </c>
      <c r="E289">
        <f>INDEX(FactorTable!$B$2:$Y$301, MATCH(ROUND(MIN(300,MAX(1,D289)),0), FactorTable!$A$2:$A$301,0), Skills!M6+1)</f>
        <v/>
      </c>
      <c r="F289">
        <f>IF(Skills!N6=TRUE,(Skills!L6/10)*(E289/1000),Skills!L6/10)+Skills!O6</f>
        <v/>
      </c>
      <c r="G289">
        <f>Skills!G6*IF(Skills!H6&gt;0,INT(IF(Inputs!$B$39="pvp",MIN(Skills!I6,15),Skills!I6)/Skills!H6+0.000000001),1)</f>
        <v/>
      </c>
      <c r="H289">
        <f>1-(1-Skills!J6/100)^Skills!K6</f>
        <v/>
      </c>
      <c r="I289" t="inlineStr">
        <is>
          <t>1</t>
        </is>
      </c>
      <c r="J289">
        <f>((Inputs!$B$6*(1+Inputs!$B$7/100))+(((Inputs!$B$13*(1+Inputs!$B$14/100))-(Inputs!$B$13*(1+Inputs!$B$14/100)))+0.25*(Inputs!$B$15-Inputs!$B$15))*(1+Inputs!$B$7/100))*(F289/100)</f>
        <v/>
      </c>
      <c r="K289">
        <f>J289*(1+(((Inputs!$B$13+IF(Inputs!$B$3&gt;=38,(10*INDEX(FactorTable!$B$2:$Y$301, MATCH(ROUND(MIN(300,MAX(1,Inputs!$B$3)),0), FactorTable!$A$2:$A$301,0), 23)/1000)/100*(Inputs!$B$8*(1+Inputs!$B$9/100)),0))*(1+Inputs!$B$14/100))*0.01+Inputs!$B$15*0.0025)/100)*(1+(Inputs!$B$16+1)/100)*(1+Inputs!$B$17/100)*(5000/(6000+Inputs!$B$43*(1-(Inputs!$B$20+0)/100)))*(1+(Inputs!$B$25+((C308=TRUE)*(F308-Calc!F25))+((C309=TRUE)*(F309-Calc!F26))+B318)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gt;=100),MIN(100,((Inputs!$B$10+0+B312+(ArtifactsInput!$M$24-ArtifactsInput!$M$24)*CHOOSE(ArtifactsInput!$N$24+1,10,12,14,16,18,20)+IF(ArtifactsInput!$M$10,CHOOSE(ArtifactsInput!$N$10+1,15,18,21,24,27,30)*(IF(Inputs!$B$39="pvp",MIN(15,15)/15,IF(AND(Inputs!$B$39&lt;&gt;"pvp",Inputs!$B$44&gt;0),MIN(15,Inputs!$B$44)/(Inputs!$B$44),0))),0)))-100),0))*CHOOSE(ArtifactsInput!$N$42+1,0.6,0.72,0.84,0.96,1.08,1.2))),Inputs!$B$19+((C306=TRUE)*(F306-Calc!F23))+(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gt;=100),CHOOSE(ArtifactsInput!$N$42+1,40,48,56,64,72,80),0))))/100)*((1+(((C296=TRUE)*F296*IF(AND(Inputs!$B$39&lt;&gt;"pvp",Inputs!$B$44&gt;0),(((R296-1)*MIN((Skills!T13*(1+Inputs!$B$35/100)),(1/Q296))+MIN((Skills!T13*(1+Inputs!$B$35/100)),MAX(0,Inputs!$B$44-((R296-1)*(1/Q296)))))/Inputs!$B$44),IF(Inputs!$B$39="pvp",MIN((Skills!T13*(1+Inputs!$B$35/100)),15)/15,MIN(1,(Skills!T13*(1+Inputs!$B$35/100))/(1/Q296)))))+((C297=TRUE)*F297*IF(AND(Inputs!$B$39&lt;&gt;"pvp",Inputs!$B$44&gt;0),(((R297-1)*MIN((Skills!T14*(1+Inputs!$B$35/100)),(1/Q297))+MIN((Skills!T14*(1+Inputs!$B$35/100)),MAX(0,Inputs!$B$44-((R297-1)*(1/Q297)))))/Inputs!$B$44),IF(Inputs!$B$39="pvp",MIN((Skills!T14*(1+Inputs!$B$35/100)),15)/15,MIN(1,(Skills!T14*(1+Inputs!$B$35/100))/(1/Q297)))))+((C298=TRUE)*F298*IF(AND(Inputs!$B$39&lt;&gt;"pvp",Inputs!$B$44&gt;0),(((R298-1)*MIN((Skills!T15*(1+Inputs!$B$35/100)),(1/Q298))+MIN((Skills!T15*(1+Inputs!$B$35/100)),MAX(0,Inputs!$B$44-((R298-1)*(1/Q298)))))/Inputs!$B$44),IF(Inputs!$B$39="pvp",MIN((Skills!T15*(1+Inputs!$B$35/100)),15)/15,MIN(1,(Skills!T15*(1+Inputs!$B$35/100))/(1/Q298)))))+((C299=TRUE)*F299*IF(AND(Inputs!$B$39&lt;&gt;"pvp",Inputs!$B$44&gt;0),(((R299-1)*MIN((Skills!T16*(1+Inputs!$B$35/100)),(1/Q299))+MIN((Skills!T16*(1+Inputs!$B$35/100)),MAX(0,Inputs!$B$44-((R299-1)*(1/Q299)))))/Inputs!$B$44),IF(Inputs!$B$39="pvp",MIN((Skills!T16*(1+Inputs!$B$35/100)),15)/15,MIN(1,(Skills!T16*(1+Inputs!$B$35/100))/(1/Q299)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289)</f>
        <v/>
      </c>
      <c r="L289">
        <f>K289*(MIN(Inputs!$B$23+((C305=TRUE)*(F305-Calc!F22)),(Inputs!$B$24+((C307=TRUE)*(F307-Calc!F24))+(IF(ArtifactsInput!$M$15,CHOOSE(ArtifactsInput!$N$15+1,25,30,35,40,45,50)/100*(Inputs!$B$12-Inputs!$B$12),0))))/100+(Inputs!$B$24+((C307=TRUE)*(F307-Calc!F24))+(IF(ArtifactsInput!$M$15,CHOOSE(ArtifactsInput!$N$15+1,25,30,35,40,45,50)/100*(Inputs!$B$12-Inputs!$B$12),0)))/100)/2</f>
        <v/>
      </c>
      <c r="M289">
        <f>L289*(1+(Inputs!$B$11+0+B317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89">
        <f>L289*(1-MIN((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289*(MIN((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9">
        <f>(1-Summary!$B$11)*T289+Summary!$B$11*V289</f>
        <v/>
      </c>
      <c r="P289">
        <f>IF(B322=0,0,O289/B322)</f>
        <v/>
      </c>
      <c r="Q289">
        <f>IFERROR(1/IF(Inputs!$B$39="pvp",15,MAX(0.1,Skills!D6-IF(TRUE=TRUE,Inputs!$B$33,0))),0)</f>
        <v/>
      </c>
      <c r="R289">
        <f>IF(AND(Inputs!$B$39&lt;&gt;"pvp",Inputs!$B$44&gt;0),IF(MAX(0,Inputs!$B$44-B319)&lt;=0,0,(INT(MAX(0,Inputs!$B$44-B319)/IF(Inputs!$B$39="pvp",15,MAX(0.1,Skills!D6-IF(TRUE=TRUE,Inputs!$B$33,0))))+1)),0)</f>
        <v/>
      </c>
      <c r="S289">
        <f>IFERROR(O289/N289,0)</f>
        <v/>
      </c>
      <c r="T289">
        <f>IF(C289,(H289*N289*IF(AND(Inputs!$B$39&lt;&gt;"pvp",Inputs!$B$44&gt;0),((Skills!G6*((R289-1)*IF(Skills!H6&gt;0,INT(Skills!I6/Skills!H6+0.000000001),1)+IF(Skills!H6&gt;0,INT(MIN(Skills!I6,MAX(0,MAX(0,Inputs!$B$44-B319)-((R289-1)*IF(Inputs!$B$39="pvp",15,MAX(0.1,Skills!D6-IF(TRUE=TRUE,Inputs!$B$33,0))))))/Skills!H6+0.000000001),1)))/Inputs!$B$44),G289*Q289))*IF(Inputs!$B$39="pvp",1,1+(Inputs!$B$21+0+Skills!P6+((C300=TRUE)*F300*IF(AND(Inputs!$B$39&lt;&gt;"pvp",Inputs!$B$44&gt;0),(((R300-1)*MIN((Skills!T17*(1+Inputs!$B$35/100)),(1/Q300))+MIN((Skills!T17*(1+Inputs!$B$35/100)),MAX(0,Inputs!$B$44-((R300-1)*(1/Q300)))))/Inputs!$B$44),IF(Inputs!$B$39="pvp",MIN((Skills!T17*(1+Inputs!$B$35/100)),15)/15,MIN(1,(Skills!T17*(1+Inputs!$B$35/100))/(1/Q300)))))+((C288=TRUE)*IF(Inputs!$B$3&gt;=126,10*MIN(1,15*Q288),0))+((C297=TRUE)*IF(Inputs!$B$39="pvp",20,(1-Summary!$B$11)*(20)+Summary!$B$11*(0))*IF(AND(Inputs!$B$39&lt;&gt;"pvp",Inputs!$B$44&gt;0),(((R297-1)*MIN((Skills!T14*(1+Inputs!$B$35/100)),(1/Q297))+MIN((Skills!T14*(1+Inputs!$B$35/100)),MAX(0,Inputs!$B$44-((R297-1)*(1/Q297)))))/Inputs!$B$44),IF(Inputs!$B$39="pvp",MIN((Skills!T14*(1+Inputs!$B$35/100)),15)/15,MIN(1,(Skills!T14*(1+Inputs!$B$35/100))/(1/Q297)))))+((C296=TRUE)*IF(Inputs!$B$3&gt;=82,IF(Inputs!$B$39="pvp",20,(1-Summary!$B$11)*(20)+Summary!$B$11*(0)),0)*IF(AND(Inputs!$B$39&lt;&gt;"pvp",Inputs!$B$44&gt;0),(((R296-1)*MIN((Skills!T13*(1+Inputs!$B$35/100)),(1/Q296))+MIN((Skills!T13*(1+Inputs!$B$35/100)),MAX(0,Inputs!$B$44-((R296-1)*(1/Q296)))))/Inputs!$B$44),IF(Inputs!$B$39="pvp",MIN((Skills!T13*(1+Inputs!$B$35/100)),15)/15,MIN(1,(Skills!T13*(1+Inputs!$B$35/100))/(1/Q296)))))+(IF(AND(ArtifactsInput!$M$35,Inputs!$B$4&lt;&gt;"Chapter Hunt"),CHOOSE(ArtifactsInput!$N$35+1,15,18,21,24,27,30)*(1-EXP(-(0.2*B314)*5)),0)+IF(AND(ArtifactsInput!$M$22,Inputs!$B$4&lt;&gt;"Chapter Hunt"),CHOOSE(ArtifactsInput!$N$22+1,10,12,14,16,18,20)*((0*(((0.15*B314*5))^0/1)+1*(((0.15*B314*5))^1/1)+2*(((0.15*B314*5))^2/2)+3*(((0.15*B314*5))^3/6)+4*(((0.15*B314*5))^4/24)+5*(((0.15*B314*5))^5/120))/((((0.15*B314*5))^0/1)+(((0.15*B314*5))^1/1)+(((0.15*B314*5))^2/2)+(((0.15*B314*5))^3/6)+(((0.15*B314*5))^4/24)+(((0.15*B314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289*(1-MIN(100,(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289*(MIN(100,(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289*(1-MIN(100,(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289*(MIN(100,(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9">
        <f>IF(C289,(H289*N289*IF(AND(Inputs!$B$39&lt;&gt;"pvp",Inputs!$B$44&gt;0),((Skills!G6*((R289-1)*IF(Skills!H6&gt;0,INT(Skills!I6/Skills!H6+0.000000001),1)+IF(Skills!H6&gt;0,INT(MIN(Skills!I6,MAX(0,MAX(0,Inputs!$B$44-B319)-((R289-1)*IF(Inputs!$B$39="pvp",15,MAX(0.1,Skills!D6-IF(TRUE=TRUE,Inputs!$B$33,0))))))/Skills!H6+0.000000001),1)))/Inputs!$B$44),G289*Q289))*IF(Inputs!$B$39="pvp",1,(1+(Inputs!$B$22+Skills!Q6+((C300=TRUE)*F300*IF(AND(Inputs!$B$39&lt;&gt;"pvp",Inputs!$B$44&gt;0),(((R300-1)*MIN((Skills!T17*(1+Inputs!$B$35/100)),(1/Q300))+MIN((Skills!T17*(1+Inputs!$B$35/100)),MAX(0,Inputs!$B$44-((R300-1)*(1/Q300)))))/Inputs!$B$44),IF(Inputs!$B$39="pvp",MIN((Skills!T17*(1+Inputs!$B$35/100)),15)/15,MIN(1,(Skills!T17*(1+Inputs!$B$35/100))/(1/Q300)))))+((C288=TRUE)*IF(Inputs!$B$3&gt;=126,10*MIN(1,15*Q288),0))+((C297=TRUE)*IF(Inputs!$B$39="pvp",20,(1-Summary!$B$11)*(20)+Summary!$B$11*(0))*IF(AND(Inputs!$B$39&lt;&gt;"pvp",Inputs!$B$44&gt;0),(((R297-1)*MIN((Skills!T14*(1+Inputs!$B$35/100)),(1/Q297))+MIN((Skills!T14*(1+Inputs!$B$35/100)),MAX(0,Inputs!$B$44-((R297-1)*(1/Q297)))))/Inputs!$B$44),IF(Inputs!$B$39="pvp",MIN((Skills!T14*(1+Inputs!$B$35/100)),15)/15,MIN(1,(Skills!T14*(1+Inputs!$B$35/100))/(1/Q297)))))+((C296=TRUE)*IF(Inputs!$B$3&gt;=82,IF(Inputs!$B$39="pvp",20,(1-Summary!$B$11)*(20)+Summary!$B$11*(0)),0)*IF(AND(Inputs!$B$39&lt;&gt;"pvp",Inputs!$B$44&gt;0),(((R296-1)*MIN((Skills!T13*(1+Inputs!$B$35/100)),(1/Q296))+MIN((Skills!T13*(1+Inputs!$B$35/100)),MAX(0,Inputs!$B$44-((R296-1)*(1/Q296)))))/Inputs!$B$44),IF(Inputs!$B$39="pvp",MIN((Skills!T13*(1+Inputs!$B$35/100)),15)/15,MIN(1,(Skills!T13*(1+Inputs!$B$35/100))/(1/Q296)))))+(IF(AND(ArtifactsInput!$M$35,Inputs!$B$4&lt;&gt;"Chapter Hunt"),CHOOSE(ArtifactsInput!$N$35+1,15,18,21,24,27,30)*(1-EXP(-(0.2*B314)*5)),0)+IF(AND(ArtifactsInput!$M$22,Inputs!$B$4&lt;&gt;"Chapter Hunt"),CHOOSE(ArtifactsInput!$N$22+1,10,12,14,16,18,20)*((0*(((0.15*B314*5))^0/1)+1*(((0.15*B314*5))^1/1)+2*(((0.15*B314*5))^2/2)+3*(((0.15*B314*5))^3/6)+4*(((0.15*B314*5))^4/24)+5*(((0.15*B314*5))^5/120))/((((0.15*B314*5))^0/1)+(((0.15*B314*5))^1/1)+(((0.15*B314*5))^2/2)+(((0.15*B314*5))^3/6)+(((0.15*B314*5))^4/24)+(((0.15*B314*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0">
      <c r="A290">
        <f>Skills!A7</f>
        <v/>
      </c>
      <c r="B290">
        <f>Skills!B7</f>
        <v/>
      </c>
      <c r="C290">
        <f>Inputs!$B$3&gt;=40</f>
        <v/>
      </c>
      <c r="D290">
        <f>IF(Skills!C7=1,60+Inputs!$B$26+Inputs!$B$30,IF(Skills!C7=2,90+Inputs!$B$27+Inputs!$B$30,IF(Skills!C7=3,120+Inputs!$B$28+Inputs!$B$30,MAX(0,(Inputs!$B$3-100)*3)+Inputs!$B$29+Inputs!$B$30)))</f>
        <v/>
      </c>
      <c r="E290">
        <f>INDEX(FactorTable!$B$2:$Y$301, MATCH(ROUND(MIN(300,MAX(1,D290)),0), FactorTable!$A$2:$A$301,0), Skills!M7+1)</f>
        <v/>
      </c>
      <c r="F290">
        <f>IF(Skills!N7=TRUE,(Skills!L7/10)*(E290/1000),Skills!L7/10)+Skills!O7</f>
        <v/>
      </c>
      <c r="G290">
        <f>Skills!G7*IF(Skills!H7&gt;0,INT(IF(Inputs!$B$39="pvp",MIN(Skills!I7,15),Skills!I7)/Skills!H7+0.000000001),1)</f>
        <v/>
      </c>
      <c r="H290">
        <f>1-(1-Skills!J7/100)^Skills!K7</f>
        <v/>
      </c>
      <c r="I290" t="inlineStr">
        <is>
          <t>1</t>
        </is>
      </c>
      <c r="J290">
        <f>((Inputs!$B$6*(1+Inputs!$B$7/100))+(((Inputs!$B$13*(1+Inputs!$B$14/100))-(Inputs!$B$13*(1+Inputs!$B$14/100)))+0.25*(Inputs!$B$15-Inputs!$B$15))*(1+Inputs!$B$7/100))*(F290/100)</f>
        <v/>
      </c>
      <c r="K290">
        <f>J290*(1+(((Inputs!$B$13+IF(Inputs!$B$3&gt;=38,(10*INDEX(FactorTable!$B$2:$Y$301, MATCH(ROUND(MIN(300,MAX(1,Inputs!$B$3)),0), FactorTable!$A$2:$A$301,0), 23)/1000)/100*(Inputs!$B$8*(1+Inputs!$B$9/100)),0))*(1+Inputs!$B$14/100))*0.01+Inputs!$B$15*0.0025)/100)*(1+(Inputs!$B$16+1)/100)*(1+Inputs!$B$17/100)*(5000/(6000+Inputs!$B$43*(1-(Inputs!$B$20+0)/100)))*(1+(Inputs!$B$25+((C308=TRUE)*(F308-Calc!F25))+((C309=TRUE)*(F309-Calc!F26))+B318)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294=TRUE,F294,0)/100)*(1+(IF(Skills!A7="DARK_IMPALE",Inputs!$B$18+0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gt;=100),MIN(100,((Inputs!$B$10+0+B312+(ArtifactsInput!$M$24-ArtifactsInput!$M$24)*CHOOSE(ArtifactsInput!$N$24+1,10,12,14,16,18,20)+IF(ArtifactsInput!$M$10,CHOOSE(ArtifactsInput!$N$10+1,15,18,21,24,27,30)*(IF(Inputs!$B$39="pvp",MIN(15,15)/15,IF(AND(Inputs!$B$39&lt;&gt;"pvp",Inputs!$B$44&gt;0),MIN(15,Inputs!$B$44)/(Inputs!$B$44),0))),0)))-100),0))*CHOOSE(ArtifactsInput!$N$42+1,0.6,0.72,0.84,0.96,1.08,1.2))),Inputs!$B$19+((C306=TRUE)*(F306-Calc!F23))+(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gt;=100),CHOOSE(ArtifactsInput!$N$42+1,40,48,56,64,72,80),0))))/100)*((1+(((C296=TRUE)*F296*IF(AND(Inputs!$B$39&lt;&gt;"pvp",Inputs!$B$44&gt;0),(((R296-1)*MIN((Skills!T13*(1+Inputs!$B$35/100)),(1/Q296))+MIN((Skills!T13*(1+Inputs!$B$35/100)),MAX(0,Inputs!$B$44-((R296-1)*(1/Q296)))))/Inputs!$B$44),IF(Inputs!$B$39="pvp",MIN((Skills!T13*(1+Inputs!$B$35/100)),15)/15,MIN(1,(Skills!T13*(1+Inputs!$B$35/100))/(1/Q296)))))+((C297=TRUE)*F297*IF(AND(Inputs!$B$39&lt;&gt;"pvp",Inputs!$B$44&gt;0),(((R297-1)*MIN((Skills!T14*(1+Inputs!$B$35/100)),(1/Q297))+MIN((Skills!T14*(1+Inputs!$B$35/100)),MAX(0,Inputs!$B$44-((R297-1)*(1/Q297)))))/Inputs!$B$44),IF(Inputs!$B$39="pvp",MIN((Skills!T14*(1+Inputs!$B$35/100)),15)/15,MIN(1,(Skills!T14*(1+Inputs!$B$35/100))/(1/Q297)))))+((C298=TRUE)*F298*IF(AND(Inputs!$B$39&lt;&gt;"pvp",Inputs!$B$44&gt;0),(((R298-1)*MIN((Skills!T15*(1+Inputs!$B$35/100)),(1/Q298))+MIN((Skills!T15*(1+Inputs!$B$35/100)),MAX(0,Inputs!$B$44-((R298-1)*(1/Q298)))))/Inputs!$B$44),IF(Inputs!$B$39="pvp",MIN((Skills!T15*(1+Inputs!$B$35/100)),15)/15,MIN(1,(Skills!T15*(1+Inputs!$B$35/100))/(1/Q298)))))+((C299=TRUE)*F299*IF(AND(Inputs!$B$39&lt;&gt;"pvp",Inputs!$B$44&gt;0),(((R299-1)*MIN((Skills!T16*(1+Inputs!$B$35/100)),(1/Q299))+MIN((Skills!T16*(1+Inputs!$B$35/100)),MAX(0,Inputs!$B$44-((R299-1)*(1/Q299)))))/Inputs!$B$44),IF(Inputs!$B$39="pvp",MIN((Skills!T16*(1+Inputs!$B$35/100)),15)/15,MIN(1,(Skills!T16*(1+Inputs!$B$35/100))/(1/Q299)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290)</f>
        <v/>
      </c>
      <c r="L290">
        <f>K290*(MIN(Inputs!$B$23+((C305=TRUE)*(F305-Calc!F22)),(Inputs!$B$24+((C307=TRUE)*(F307-Calc!F24))+(IF(ArtifactsInput!$M$15,CHOOSE(ArtifactsInput!$N$15+1,25,30,35,40,45,50)/100*(Inputs!$B$12-Inputs!$B$12),0))))/100+(Inputs!$B$24+((C307=TRUE)*(F307-Calc!F24))+(IF(ArtifactsInput!$M$15,CHOOSE(ArtifactsInput!$N$15+1,25,30,35,40,45,50)/100*(Inputs!$B$12-Inputs!$B$12),0)))/100)/2</f>
        <v/>
      </c>
      <c r="M290">
        <f>L290*(1+(Inputs!$B$11+0+B317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90">
        <f>L290*(1-MIN((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290*(MIN((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0">
        <f>(1-Summary!$B$11)*T290+Summary!$B$11*V290</f>
        <v/>
      </c>
      <c r="P290">
        <f>IF(B322=0,0,O290/B322)</f>
        <v/>
      </c>
      <c r="Q290">
        <f>IFERROR(1/IF(Inputs!$B$39="pvp",15,MAX(0.1,Skills!D7-IF(TRUE=TRUE,Inputs!$B$33,0))),0)</f>
        <v/>
      </c>
      <c r="R290">
        <f>IF(AND(Inputs!$B$39&lt;&gt;"pvp",Inputs!$B$44&gt;0),IF(MAX(0,Inputs!$B$44-B319)&lt;=0,0,(INT(MAX(0,Inputs!$B$44-B319)/IF(Inputs!$B$39="pvp",15,MAX(0.1,Skills!D7-IF(TRUE=TRUE,Inputs!$B$33,0))))+1)),0)</f>
        <v/>
      </c>
      <c r="S290">
        <f>IFERROR(O290/N290,0)</f>
        <v/>
      </c>
      <c r="T290">
        <f>IF(C290,(H290*N290*IF(AND(Inputs!$B$39&lt;&gt;"pvp",Inputs!$B$44&gt;0),((Skills!G7*((R290-1)*IF(Skills!H7&gt;0,INT(Skills!I7/Skills!H7+0.000000001),1)+IF(Skills!H7&gt;0,INT(MIN(Skills!I7,MAX(0,MAX(0,Inputs!$B$44-B319)-((R290-1)*IF(Inputs!$B$39="pvp",15,MAX(0.1,Skills!D7-IF(TRUE=TRUE,Inputs!$B$33,0))))))/Skills!H7+0.000000001),1)))/Inputs!$B$44),G290*Q290))*IF(Inputs!$B$39="pvp",1,1+(Inputs!$B$21+0+Skills!P7+((C300=TRUE)*F300*IF(AND(Inputs!$B$39&lt;&gt;"pvp",Inputs!$B$44&gt;0),(((R300-1)*MIN((Skills!T17*(1+Inputs!$B$35/100)),(1/Q300))+MIN((Skills!T17*(1+Inputs!$B$35/100)),MAX(0,Inputs!$B$44-((R300-1)*(1/Q300)))))/Inputs!$B$44),IF(Inputs!$B$39="pvp",MIN((Skills!T17*(1+Inputs!$B$35/100)),15)/15,MIN(1,(Skills!T17*(1+Inputs!$B$35/100))/(1/Q300)))))+((C288=TRUE)*IF(Inputs!$B$3&gt;=126,10*MIN(1,15*Q288),0))+((C297=TRUE)*IF(Inputs!$B$39="pvp",20,(1-Summary!$B$11)*(20)+Summary!$B$11*(0))*IF(AND(Inputs!$B$39&lt;&gt;"pvp",Inputs!$B$44&gt;0),(((R297-1)*MIN((Skills!T14*(1+Inputs!$B$35/100)),(1/Q297))+MIN((Skills!T14*(1+Inputs!$B$35/100)),MAX(0,Inputs!$B$44-((R297-1)*(1/Q297)))))/Inputs!$B$44),IF(Inputs!$B$39="pvp",MIN((Skills!T14*(1+Inputs!$B$35/100)),15)/15,MIN(1,(Skills!T14*(1+Inputs!$B$35/100))/(1/Q297)))))+((C296=TRUE)*IF(Inputs!$B$3&gt;=82,IF(Inputs!$B$39="pvp",20,(1-Summary!$B$11)*(20)+Summary!$B$11*(0)),0)*IF(AND(Inputs!$B$39&lt;&gt;"pvp",Inputs!$B$44&gt;0),(((R296-1)*MIN((Skills!T13*(1+Inputs!$B$35/100)),(1/Q296))+MIN((Skills!T13*(1+Inputs!$B$35/100)),MAX(0,Inputs!$B$44-((R296-1)*(1/Q296)))))/Inputs!$B$44),IF(Inputs!$B$39="pvp",MIN((Skills!T13*(1+Inputs!$B$35/100)),15)/15,MIN(1,(Skills!T13*(1+Inputs!$B$35/100))/(1/Q296)))))+(IF(AND(ArtifactsInput!$M$35,Inputs!$B$4&lt;&gt;"Chapter Hunt"),CHOOSE(ArtifactsInput!$N$35+1,15,18,21,24,27,30)*(1-EXP(-(0.2*B314)*5)),0)+IF(AND(ArtifactsInput!$M$22,Inputs!$B$4&lt;&gt;"Chapter Hunt"),CHOOSE(ArtifactsInput!$N$22+1,10,12,14,16,18,20)*((0*(((0.15*B314*5))^0/1)+1*(((0.15*B314*5))^1/1)+2*(((0.15*B314*5))^2/2)+3*(((0.15*B314*5))^3/6)+4*(((0.15*B314*5))^4/24)+5*(((0.15*B314*5))^5/120))/((((0.15*B314*5))^0/1)+(((0.15*B314*5))^1/1)+(((0.15*B314*5))^2/2)+(((0.15*B314*5))^3/6)+(((0.15*B314*5))^4/24)+(((0.15*B314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290*(1-MIN(100,(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290*(MIN(100,(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290*(1-MIN(100,(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290*(MIN(100,(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0">
        <f>IF(C290,(H290*N290*IF(AND(Inputs!$B$39&lt;&gt;"pvp",Inputs!$B$44&gt;0),((Skills!G7*((R290-1)*IF(Skills!H7&gt;0,INT(Skills!I7/Skills!H7+0.000000001),1)+IF(Skills!H7&gt;0,INT(MIN(Skills!I7,MAX(0,MAX(0,Inputs!$B$44-B319)-((R290-1)*IF(Inputs!$B$39="pvp",15,MAX(0.1,Skills!D7-IF(TRUE=TRUE,Inputs!$B$33,0))))))/Skills!H7+0.000000001),1)))/Inputs!$B$44),G290*Q290))*IF(Inputs!$B$39="pvp",1,(1+(Inputs!$B$22+Skills!Q7+((C300=TRUE)*F300*IF(AND(Inputs!$B$39&lt;&gt;"pvp",Inputs!$B$44&gt;0),(((R300-1)*MIN((Skills!T17*(1+Inputs!$B$35/100)),(1/Q300))+MIN((Skills!T17*(1+Inputs!$B$35/100)),MAX(0,Inputs!$B$44-((R300-1)*(1/Q300)))))/Inputs!$B$44),IF(Inputs!$B$39="pvp",MIN((Skills!T17*(1+Inputs!$B$35/100)),15)/15,MIN(1,(Skills!T17*(1+Inputs!$B$35/100))/(1/Q300)))))+((C288=TRUE)*IF(Inputs!$B$3&gt;=126,10*MIN(1,15*Q288),0))+((C297=TRUE)*IF(Inputs!$B$39="pvp",20,(1-Summary!$B$11)*(20)+Summary!$B$11*(0))*IF(AND(Inputs!$B$39&lt;&gt;"pvp",Inputs!$B$44&gt;0),(((R297-1)*MIN((Skills!T14*(1+Inputs!$B$35/100)),(1/Q297))+MIN((Skills!T14*(1+Inputs!$B$35/100)),MAX(0,Inputs!$B$44-((R297-1)*(1/Q297)))))/Inputs!$B$44),IF(Inputs!$B$39="pvp",MIN((Skills!T14*(1+Inputs!$B$35/100)),15)/15,MIN(1,(Skills!T14*(1+Inputs!$B$35/100))/(1/Q297)))))+((C296=TRUE)*IF(Inputs!$B$3&gt;=82,IF(Inputs!$B$39="pvp",20,(1-Summary!$B$11)*(20)+Summary!$B$11*(0)),0)*IF(AND(Inputs!$B$39&lt;&gt;"pvp",Inputs!$B$44&gt;0),(((R296-1)*MIN((Skills!T13*(1+Inputs!$B$35/100)),(1/Q296))+MIN((Skills!T13*(1+Inputs!$B$35/100)),MAX(0,Inputs!$B$44-((R296-1)*(1/Q296)))))/Inputs!$B$44),IF(Inputs!$B$39="pvp",MIN((Skills!T13*(1+Inputs!$B$35/100)),15)/15,MIN(1,(Skills!T13*(1+Inputs!$B$35/100))/(1/Q296)))))+(IF(AND(ArtifactsInput!$M$35,Inputs!$B$4&lt;&gt;"Chapter Hunt"),CHOOSE(ArtifactsInput!$N$35+1,15,18,21,24,27,30)*(1-EXP(-(0.2*B314)*5)),0)+IF(AND(ArtifactsInput!$M$22,Inputs!$B$4&lt;&gt;"Chapter Hunt"),CHOOSE(ArtifactsInput!$N$22+1,10,12,14,16,18,20)*((0*(((0.15*B314*5))^0/1)+1*(((0.15*B314*5))^1/1)+2*(((0.15*B314*5))^2/2)+3*(((0.15*B314*5))^3/6)+4*(((0.15*B314*5))^4/24)+5*(((0.15*B314*5))^5/120))/((((0.15*B314*5))^0/1)+(((0.15*B314*5))^1/1)+(((0.15*B314*5))^2/2)+(((0.15*B314*5))^3/6)+(((0.15*B314*5))^4/24)+(((0.15*B314*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1">
      <c r="A291">
        <f>Skills!A8</f>
        <v/>
      </c>
      <c r="B291">
        <f>Skills!B8</f>
        <v/>
      </c>
      <c r="C291">
        <f>Inputs!$B$3&gt;=75</f>
        <v/>
      </c>
      <c r="D291">
        <f>IF(Skills!C8=1,60+Inputs!$B$26+Inputs!$B$30,IF(Skills!C8=2,90+Inputs!$B$27+Inputs!$B$30,IF(Skills!C8=3,120+Inputs!$B$28+Inputs!$B$30,MAX(0,(Inputs!$B$3-100)*3)+Inputs!$B$29+Inputs!$B$30)))</f>
        <v/>
      </c>
      <c r="E291">
        <f>INDEX(FactorTable!$B$2:$Y$301, MATCH(ROUND(MIN(300,MAX(1,D291)),0), FactorTable!$A$2:$A$301,0), Skills!M8+1)</f>
        <v/>
      </c>
      <c r="F291">
        <f>IF(Skills!N8=TRUE,(Skills!L8/10)*(E291/1000),Skills!L8/10)+Skills!O8</f>
        <v/>
      </c>
      <c r="G291" t="inlineStr"/>
      <c r="H291" t="inlineStr"/>
      <c r="I291" t="inlineStr">
        <is>
          <t>1</t>
        </is>
      </c>
      <c r="J291" t="inlineStr"/>
      <c r="K291" t="inlineStr"/>
      <c r="L291" t="inlineStr"/>
      <c r="M291" t="inlineStr"/>
      <c r="N291" t="inlineStr"/>
      <c r="O291" t="inlineStr"/>
      <c r="P291" t="inlineStr"/>
      <c r="Q291" t="inlineStr"/>
      <c r="R291" t="inlineStr"/>
      <c r="S291" t="inlineStr"/>
    </row>
    <row r="292">
      <c r="A292">
        <f>Skills!A9</f>
        <v/>
      </c>
      <c r="B292">
        <f>Skills!B9</f>
        <v/>
      </c>
      <c r="C292">
        <f>Inputs!$B$3&gt;=60</f>
        <v/>
      </c>
      <c r="D292">
        <f>IF(Skills!C9=1,60+Inputs!$B$26+Inputs!$B$30,IF(Skills!C9=2,90+Inputs!$B$27+Inputs!$B$30,IF(Skills!C9=3,120+Inputs!$B$28+Inputs!$B$30,MAX(0,(Inputs!$B$3-100)*3)+Inputs!$B$29+Inputs!$B$30)))</f>
        <v/>
      </c>
      <c r="E292">
        <f>INDEX(FactorTable!$B$2:$Y$301, MATCH(ROUND(MIN(300,MAX(1,D292)),0), FactorTable!$A$2:$A$301,0), Skills!M9+1)</f>
        <v/>
      </c>
      <c r="F292">
        <f>IF(Skills!N9=TRUE,(Skills!L9/10)*(E292/1000),Skills!L9/10)+Skills!O9</f>
        <v/>
      </c>
      <c r="G292">
        <f>Skills!G9*IF(Skills!H9&gt;0,INT(IF(Inputs!$B$39="pvp",MIN(Skills!I9,15),Skills!I9)/Skills!H9+0.000000001),1)</f>
        <v/>
      </c>
      <c r="H292">
        <f>1-(1-Skills!J9/100)^Skills!K9</f>
        <v/>
      </c>
      <c r="I292" t="inlineStr">
        <is>
          <t>1</t>
        </is>
      </c>
      <c r="J292">
        <f>((Inputs!$B$6*(1+Inputs!$B$7/100))+(((Inputs!$B$13*(1+Inputs!$B$14/100))-(Inputs!$B$13*(1+Inputs!$B$14/100)))+0.25*(Inputs!$B$15-Inputs!$B$15))*(1+Inputs!$B$7/100))*(F292/100)</f>
        <v/>
      </c>
      <c r="K292">
        <f>J292*(1+(((Inputs!$B$13+IF(Inputs!$B$3&gt;=38,(10*INDEX(FactorTable!$B$2:$Y$301, MATCH(ROUND(MIN(300,MAX(1,Inputs!$B$3)),0), FactorTable!$A$2:$A$301,0), 23)/1000)/100*(Inputs!$B$8*(1+Inputs!$B$9/100)),0))*(1+Inputs!$B$14/100))*0.01+Inputs!$B$15*0.0025)/100)*(1+(Inputs!$B$16+1)/100)*(1+Inputs!$B$17/100)*(5000/(6000+Inputs!$B$43*(1-(Inputs!$B$20+0)/100)))*(1+(Inputs!$B$25+((C308=TRUE)*(F308-Calc!F25))+((C309=TRUE)*(F309-Calc!F26))+B318)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294=TRUE,F294,0)/100)*(1+(IF(Skills!A9="DARK_IMPALE",Inputs!$B$18+0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gt;=100),MIN(100,((Inputs!$B$10+0+B312+(ArtifactsInput!$M$24-ArtifactsInput!$M$24)*CHOOSE(ArtifactsInput!$N$24+1,10,12,14,16,18,20)+IF(ArtifactsInput!$M$10,CHOOSE(ArtifactsInput!$N$10+1,15,18,21,24,27,30)*(IF(Inputs!$B$39="pvp",MIN(15,15)/15,IF(AND(Inputs!$B$39&lt;&gt;"pvp",Inputs!$B$44&gt;0),MIN(15,Inputs!$B$44)/(Inputs!$B$44),0))),0)))-100),0))*CHOOSE(ArtifactsInput!$N$42+1,0.6,0.72,0.84,0.96,1.08,1.2))),Inputs!$B$19+((C306=TRUE)*(F306-Calc!F23))+(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gt;=100),CHOOSE(ArtifactsInput!$N$42+1,40,48,56,64,72,80),0))))/100)*((1+(((C296=TRUE)*F296*IF(AND(Inputs!$B$39&lt;&gt;"pvp",Inputs!$B$44&gt;0),(((R296-1)*MIN((Skills!T13*(1+Inputs!$B$35/100)),(1/Q296))+MIN((Skills!T13*(1+Inputs!$B$35/100)),MAX(0,Inputs!$B$44-((R296-1)*(1/Q296)))))/Inputs!$B$44),IF(Inputs!$B$39="pvp",MIN((Skills!T13*(1+Inputs!$B$35/100)),15)/15,MIN(1,(Skills!T13*(1+Inputs!$B$35/100))/(1/Q296)))))+((C297=TRUE)*F297*IF(AND(Inputs!$B$39&lt;&gt;"pvp",Inputs!$B$44&gt;0),(((R297-1)*MIN((Skills!T14*(1+Inputs!$B$35/100)),(1/Q297))+MIN((Skills!T14*(1+Inputs!$B$35/100)),MAX(0,Inputs!$B$44-((R297-1)*(1/Q297)))))/Inputs!$B$44),IF(Inputs!$B$39="pvp",MIN((Skills!T14*(1+Inputs!$B$35/100)),15)/15,MIN(1,(Skills!T14*(1+Inputs!$B$35/100))/(1/Q297)))))+((C298=TRUE)*F298*IF(AND(Inputs!$B$39&lt;&gt;"pvp",Inputs!$B$44&gt;0),(((R298-1)*MIN((Skills!T15*(1+Inputs!$B$35/100)),(1/Q298))+MIN((Skills!T15*(1+Inputs!$B$35/100)),MAX(0,Inputs!$B$44-((R298-1)*(1/Q298)))))/Inputs!$B$44),IF(Inputs!$B$39="pvp",MIN((Skills!T15*(1+Inputs!$B$35/100)),15)/15,MIN(1,(Skills!T15*(1+Inputs!$B$35/100))/(1/Q298)))))+((C299=TRUE)*F299*IF(AND(Inputs!$B$39&lt;&gt;"pvp",Inputs!$B$44&gt;0),(((R299-1)*MIN((Skills!T16*(1+Inputs!$B$35/100)),(1/Q299))+MIN((Skills!T16*(1+Inputs!$B$35/100)),MAX(0,Inputs!$B$44-((R299-1)*(1/Q299)))))/Inputs!$B$44),IF(Inputs!$B$39="pvp",MIN((Skills!T16*(1+Inputs!$B$35/100)),15)/15,MIN(1,(Skills!T16*(1+Inputs!$B$35/100))/(1/Q299)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292)</f>
        <v/>
      </c>
      <c r="L292">
        <f>K292*(MIN(Inputs!$B$23+((C305=TRUE)*(F305-Calc!F22)),(Inputs!$B$24+((C307=TRUE)*(F307-Calc!F24))+(IF(ArtifactsInput!$M$15,CHOOSE(ArtifactsInput!$N$15+1,25,30,35,40,45,50)/100*(Inputs!$B$12-Inputs!$B$12),0))))/100+(Inputs!$B$24+((C307=TRUE)*(F307-Calc!F24))+(IF(ArtifactsInput!$M$15,CHOOSE(ArtifactsInput!$N$15+1,25,30,35,40,45,50)/100*(Inputs!$B$12-Inputs!$B$12),0)))/100)/2</f>
        <v/>
      </c>
      <c r="M292">
        <f>L292*(1+(Inputs!$B$11+0+B317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92">
        <f>L292*(1-MIN((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292*(MIN((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2">
        <f>(1-Summary!$B$11)*T292+Summary!$B$11*V292</f>
        <v/>
      </c>
      <c r="P292">
        <f>IF(B322=0,0,O292/B322)</f>
        <v/>
      </c>
      <c r="Q292">
        <f>IFERROR(1/IF(Inputs!$B$39="pvp",15,MAX(0.1,Skills!D9-IF(TRUE=TRUE,Inputs!$B$33,0))),0)</f>
        <v/>
      </c>
      <c r="R292">
        <f>IF(AND(Inputs!$B$39&lt;&gt;"pvp",Inputs!$B$44&gt;0),IF(MAX(0,Inputs!$B$44-B319)&lt;=0,0,(INT(MAX(0,Inputs!$B$44-B319)/IF(Inputs!$B$39="pvp",15,MAX(0.1,Skills!D9-IF(TRUE=TRUE,Inputs!$B$33,0))))+1)),0)</f>
        <v/>
      </c>
      <c r="S292">
        <f>IFERROR(O292/N292,0)</f>
        <v/>
      </c>
      <c r="T292">
        <f>IF(C292,(H292*N292*IF(AND(Inputs!$B$39&lt;&gt;"pvp",Inputs!$B$44&gt;0),((Skills!G9*((R292-1)*IF(Skills!H9&gt;0,INT(Skills!I9/Skills!H9+0.000000001),1)+IF(Skills!H9&gt;0,INT(MIN(Skills!I9,MAX(0,MAX(0,Inputs!$B$44-B319)-((R292-1)*IF(Inputs!$B$39="pvp",15,MAX(0.1,Skills!D9-IF(TRUE=TRUE,Inputs!$B$33,0))))))/Skills!H9+0.000000001),1)))/Inputs!$B$44),G292*Q292))*IF(Inputs!$B$39="pvp",1,1+(Inputs!$B$21+0+Skills!P9+((C300=TRUE)*F300*IF(AND(Inputs!$B$39&lt;&gt;"pvp",Inputs!$B$44&gt;0),(((R300-1)*MIN((Skills!T17*(1+Inputs!$B$35/100)),(1/Q300))+MIN((Skills!T17*(1+Inputs!$B$35/100)),MAX(0,Inputs!$B$44-((R300-1)*(1/Q300)))))/Inputs!$B$44),IF(Inputs!$B$39="pvp",MIN((Skills!T17*(1+Inputs!$B$35/100)),15)/15,MIN(1,(Skills!T17*(1+Inputs!$B$35/100))/(1/Q300)))))+((C288=TRUE)*IF(Inputs!$B$3&gt;=126,10*MIN(1,15*Q288),0))+((C297=TRUE)*IF(Inputs!$B$39="pvp",20,(1-Summary!$B$11)*(20)+Summary!$B$11*(0))*IF(AND(Inputs!$B$39&lt;&gt;"pvp",Inputs!$B$44&gt;0),(((R297-1)*MIN((Skills!T14*(1+Inputs!$B$35/100)),(1/Q297))+MIN((Skills!T14*(1+Inputs!$B$35/100)),MAX(0,Inputs!$B$44-((R297-1)*(1/Q297)))))/Inputs!$B$44),IF(Inputs!$B$39="pvp",MIN((Skills!T14*(1+Inputs!$B$35/100)),15)/15,MIN(1,(Skills!T14*(1+Inputs!$B$35/100))/(1/Q297)))))+((C296=TRUE)*IF(Inputs!$B$3&gt;=82,IF(Inputs!$B$39="pvp",20,(1-Summary!$B$11)*(20)+Summary!$B$11*(0)),0)*IF(AND(Inputs!$B$39&lt;&gt;"pvp",Inputs!$B$44&gt;0),(((R296-1)*MIN((Skills!T13*(1+Inputs!$B$35/100)),(1/Q296))+MIN((Skills!T13*(1+Inputs!$B$35/100)),MAX(0,Inputs!$B$44-((R296-1)*(1/Q296)))))/Inputs!$B$44),IF(Inputs!$B$39="pvp",MIN((Skills!T13*(1+Inputs!$B$35/100)),15)/15,MIN(1,(Skills!T13*(1+Inputs!$B$35/100))/(1/Q296)))))+(IF(AND(ArtifactsInput!$M$35,Inputs!$B$4&lt;&gt;"Chapter Hunt"),CHOOSE(ArtifactsInput!$N$35+1,15,18,21,24,27,30)*(1-EXP(-(0.2*B314)*5)),0)+IF(AND(ArtifactsInput!$M$22,Inputs!$B$4&lt;&gt;"Chapter Hunt"),CHOOSE(ArtifactsInput!$N$22+1,10,12,14,16,18,20)*((0*(((0.15*B314*5))^0/1)+1*(((0.15*B314*5))^1/1)+2*(((0.15*B314*5))^2/2)+3*(((0.15*B314*5))^3/6)+4*(((0.15*B314*5))^4/24)+5*(((0.15*B314*5))^5/120))/((((0.15*B314*5))^0/1)+(((0.15*B314*5))^1/1)+(((0.15*B314*5))^2/2)+(((0.15*B314*5))^3/6)+(((0.15*B314*5))^4/24)+(((0.15*B314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292*(1-MIN(100,(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292*(MIN(100,(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292*(1-MIN(100,(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292*(MIN(100,(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2">
        <f>IF(C292,(H292*N292*IF(AND(Inputs!$B$39&lt;&gt;"pvp",Inputs!$B$44&gt;0),((Skills!G9*((R292-1)*IF(Skills!H9&gt;0,INT(Skills!I9/Skills!H9+0.000000001),1)+IF(Skills!H9&gt;0,INT(MIN(Skills!I9,MAX(0,MAX(0,Inputs!$B$44-B319)-((R292-1)*IF(Inputs!$B$39="pvp",15,MAX(0.1,Skills!D9-IF(TRUE=TRUE,Inputs!$B$33,0))))))/Skills!H9+0.000000001),1)))/Inputs!$B$44),G292*Q292))*IF(Inputs!$B$39="pvp",1,(1+(Inputs!$B$22+Skills!Q9+((C300=TRUE)*F300*IF(AND(Inputs!$B$39&lt;&gt;"pvp",Inputs!$B$44&gt;0),(((R300-1)*MIN((Skills!T17*(1+Inputs!$B$35/100)),(1/Q300))+MIN((Skills!T17*(1+Inputs!$B$35/100)),MAX(0,Inputs!$B$44-((R300-1)*(1/Q300)))))/Inputs!$B$44),IF(Inputs!$B$39="pvp",MIN((Skills!T17*(1+Inputs!$B$35/100)),15)/15,MIN(1,(Skills!T17*(1+Inputs!$B$35/100))/(1/Q300)))))+((C288=TRUE)*IF(Inputs!$B$3&gt;=126,10*MIN(1,15*Q288),0))+((C297=TRUE)*IF(Inputs!$B$39="pvp",20,(1-Summary!$B$11)*(20)+Summary!$B$11*(0))*IF(AND(Inputs!$B$39&lt;&gt;"pvp",Inputs!$B$44&gt;0),(((R297-1)*MIN((Skills!T14*(1+Inputs!$B$35/100)),(1/Q297))+MIN((Skills!T14*(1+Inputs!$B$35/100)),MAX(0,Inputs!$B$44-((R297-1)*(1/Q297)))))/Inputs!$B$44),IF(Inputs!$B$39="pvp",MIN((Skills!T14*(1+Inputs!$B$35/100)),15)/15,MIN(1,(Skills!T14*(1+Inputs!$B$35/100))/(1/Q297)))))+((C296=TRUE)*IF(Inputs!$B$3&gt;=82,IF(Inputs!$B$39="pvp",20,(1-Summary!$B$11)*(20)+Summary!$B$11*(0)),0)*IF(AND(Inputs!$B$39&lt;&gt;"pvp",Inputs!$B$44&gt;0),(((R296-1)*MIN((Skills!T13*(1+Inputs!$B$35/100)),(1/Q296))+MIN((Skills!T13*(1+Inputs!$B$35/100)),MAX(0,Inputs!$B$44-((R296-1)*(1/Q296)))))/Inputs!$B$44),IF(Inputs!$B$39="pvp",MIN((Skills!T13*(1+Inputs!$B$35/100)),15)/15,MIN(1,(Skills!T13*(1+Inputs!$B$35/100))/(1/Q296)))))+(IF(AND(ArtifactsInput!$M$35,Inputs!$B$4&lt;&gt;"Chapter Hunt"),CHOOSE(ArtifactsInput!$N$35+1,15,18,21,24,27,30)*(1-EXP(-(0.2*B314)*5)),0)+IF(AND(ArtifactsInput!$M$22,Inputs!$B$4&lt;&gt;"Chapter Hunt"),CHOOSE(ArtifactsInput!$N$22+1,10,12,14,16,18,20)*((0*(((0.15*B314*5))^0/1)+1*(((0.15*B314*5))^1/1)+2*(((0.15*B314*5))^2/2)+3*(((0.15*B314*5))^3/6)+4*(((0.15*B314*5))^4/24)+5*(((0.15*B314*5))^5/120))/((((0.15*B314*5))^0/1)+(((0.15*B314*5))^1/1)+(((0.15*B314*5))^2/2)+(((0.15*B314*5))^3/6)+(((0.15*B314*5))^4/24)+(((0.15*B314*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3">
      <c r="A293">
        <f>Skills!A10</f>
        <v/>
      </c>
      <c r="B293">
        <f>Skills!B10</f>
        <v/>
      </c>
      <c r="C293">
        <f>Inputs!$B$3&gt;=110</f>
        <v/>
      </c>
      <c r="D293">
        <f>IF(Skills!C10=1,60+Inputs!$B$26+Inputs!$B$30,IF(Skills!C10=2,90+Inputs!$B$27+Inputs!$B$30,IF(Skills!C10=3,120+Inputs!$B$28+Inputs!$B$30,MAX(0,(Inputs!$B$3-100)*3)+Inputs!$B$29+Inputs!$B$30)))</f>
        <v/>
      </c>
      <c r="E293">
        <f>INDEX(FactorTable!$B$2:$Y$301, MATCH(ROUND(MIN(300,MAX(1,D293)),0), FactorTable!$A$2:$A$301,0), Skills!M10+1)</f>
        <v/>
      </c>
      <c r="F293">
        <f>IF(Skills!N10=TRUE,(Skills!L10/10)*(E293/1000),Skills!L10/10)+Skills!O10</f>
        <v/>
      </c>
      <c r="G293">
        <f>Skills!G10*IF(Skills!H10&gt;0,INT(IF(Inputs!$B$39="pvp",MIN(Skills!I10,15),Skills!I10)/Skills!H10+0.000000001),1)</f>
        <v/>
      </c>
      <c r="H293">
        <f>1-(1-Skills!J10/100)^Skills!K10</f>
        <v/>
      </c>
      <c r="I293" t="inlineStr">
        <is>
          <t>1</t>
        </is>
      </c>
      <c r="J293">
        <f>((Inputs!$B$6*(1+Inputs!$B$7/100))+(((Inputs!$B$13*(1+Inputs!$B$14/100))-(Inputs!$B$13*(1+Inputs!$B$14/100)))+0.25*(Inputs!$B$15-Inputs!$B$15))*(1+Inputs!$B$7/100))*(F293/100)</f>
        <v/>
      </c>
      <c r="K293">
        <f>J293*(1+(((Inputs!$B$13+IF(Inputs!$B$3&gt;=38,(10*INDEX(FactorTable!$B$2:$Y$301, MATCH(ROUND(MIN(300,MAX(1,Inputs!$B$3)),0), FactorTable!$A$2:$A$301,0), 23)/1000)/100*(Inputs!$B$8*(1+Inputs!$B$9/100)),0))*(1+Inputs!$B$14/100))*0.01+Inputs!$B$15*0.0025)/100)*(1+(Inputs!$B$16+1)/100)*(1+Inputs!$B$17/100)*(5000/(6000+Inputs!$B$43*(1-(Inputs!$B$20+0)/100)))*(1+(Inputs!$B$25+((C308=TRUE)*(F308-Calc!F25))+((C309=TRUE)*(F309-Calc!F26))+B318)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gt;=100),MIN(100,((Inputs!$B$10+0+B312+(ArtifactsInput!$M$24-ArtifactsInput!$M$24)*CHOOSE(ArtifactsInput!$N$24+1,10,12,14,16,18,20)+IF(ArtifactsInput!$M$10,CHOOSE(ArtifactsInput!$N$10+1,15,18,21,24,27,30)*(IF(Inputs!$B$39="pvp",MIN(15,15)/15,IF(AND(Inputs!$B$39&lt;&gt;"pvp",Inputs!$B$44&gt;0),MIN(15,Inputs!$B$44)/(Inputs!$B$44),0))),0)))-100),0))*CHOOSE(ArtifactsInput!$N$42+1,0.6,0.72,0.84,0.96,1.08,1.2))),Inputs!$B$19+((C306=TRUE)*(F306-Calc!F23))+(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gt;=100),CHOOSE(ArtifactsInput!$N$42+1,40,48,56,64,72,80),0))))/100)*((1+(((C296=TRUE)*F296*IF(AND(Inputs!$B$39&lt;&gt;"pvp",Inputs!$B$44&gt;0),(((R296-1)*MIN((Skills!T13*(1+Inputs!$B$35/100)),(1/Q296))+MIN((Skills!T13*(1+Inputs!$B$35/100)),MAX(0,Inputs!$B$44-((R296-1)*(1/Q296)))))/Inputs!$B$44),IF(Inputs!$B$39="pvp",MIN((Skills!T13*(1+Inputs!$B$35/100)),15)/15,MIN(1,(Skills!T13*(1+Inputs!$B$35/100))/(1/Q296)))))+((C297=TRUE)*F297*IF(AND(Inputs!$B$39&lt;&gt;"pvp",Inputs!$B$44&gt;0),(((R297-1)*MIN((Skills!T14*(1+Inputs!$B$35/100)),(1/Q297))+MIN((Skills!T14*(1+Inputs!$B$35/100)),MAX(0,Inputs!$B$44-((R297-1)*(1/Q297)))))/Inputs!$B$44),IF(Inputs!$B$39="pvp",MIN((Skills!T14*(1+Inputs!$B$35/100)),15)/15,MIN(1,(Skills!T14*(1+Inputs!$B$35/100))/(1/Q297)))))+((C298=TRUE)*F298*IF(AND(Inputs!$B$39&lt;&gt;"pvp",Inputs!$B$44&gt;0),(((R298-1)*MIN((Skills!T15*(1+Inputs!$B$35/100)),(1/Q298))+MIN((Skills!T15*(1+Inputs!$B$35/100)),MAX(0,Inputs!$B$44-((R298-1)*(1/Q298)))))/Inputs!$B$44),IF(Inputs!$B$39="pvp",MIN((Skills!T15*(1+Inputs!$B$35/100)),15)/15,MIN(1,(Skills!T15*(1+Inputs!$B$35/100))/(1/Q298)))))+((C299=TRUE)*F299*IF(AND(Inputs!$B$39&lt;&gt;"pvp",Inputs!$B$44&gt;0),(((R299-1)*MIN((Skills!T16*(1+Inputs!$B$35/100)),(1/Q299))+MIN((Skills!T16*(1+Inputs!$B$35/100)),MAX(0,Inputs!$B$44-((R299-1)*(1/Q299)))))/Inputs!$B$44),IF(Inputs!$B$39="pvp",MIN((Skills!T16*(1+Inputs!$B$35/100)),15)/15,MIN(1,(Skills!T16*(1+Inputs!$B$35/100))/(1/Q299)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293)</f>
        <v/>
      </c>
      <c r="L293">
        <f>K293*(MIN(Inputs!$B$23+((C305=TRUE)*(F305-Calc!F22)),(Inputs!$B$24+((C307=TRUE)*(F307-Calc!F24))+(IF(ArtifactsInput!$M$15,CHOOSE(ArtifactsInput!$N$15+1,25,30,35,40,45,50)/100*(Inputs!$B$12-Inputs!$B$12),0))))/100+(Inputs!$B$24+((C307=TRUE)*(F307-Calc!F24))+(IF(ArtifactsInput!$M$15,CHOOSE(ArtifactsInput!$N$15+1,25,30,35,40,45,50)/100*(Inputs!$B$12-Inputs!$B$12),0)))/100)/2</f>
        <v/>
      </c>
      <c r="M293">
        <f>L293*(1+(Inputs!$B$11+0+B317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93">
        <f>L293*(1-MIN((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293*(MIN((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3">
        <f>(1-Summary!$B$11)*T293+Summary!$B$11*V293</f>
        <v/>
      </c>
      <c r="P293">
        <f>IF(B322=0,0,O293/B322)</f>
        <v/>
      </c>
      <c r="Q293">
        <f>IFERROR(1/IF(Inputs!$B$39="pvp",15,MAX(0.1,Skills!D10-IF(TRUE=TRUE,Inputs!$B$33,0))),0)</f>
        <v/>
      </c>
      <c r="R293">
        <f>IF(AND(Inputs!$B$39&lt;&gt;"pvp",Inputs!$B$44&gt;0),IF(MAX(0,Inputs!$B$44-B319)&lt;=0,0,(INT(MAX(0,Inputs!$B$44-B319)/IF(Inputs!$B$39="pvp",15,MAX(0.1,Skills!D10-IF(TRUE=TRUE,Inputs!$B$33,0))))+1)),0)</f>
        <v/>
      </c>
      <c r="S293">
        <f>IFERROR(O293/N293,0)</f>
        <v/>
      </c>
      <c r="T293">
        <f>IF(C293,(H293*N293*IF(AND(Inputs!$B$39&lt;&gt;"pvp",Inputs!$B$44&gt;0),((Skills!G10*((R293-1)*IF(Skills!H10&gt;0,INT(Skills!I10/Skills!H10+0.000000001),1)+IF(Skills!H10&gt;0,INT(MIN(Skills!I10,MAX(0,MAX(0,Inputs!$B$44-B319)-((R293-1)*IF(Inputs!$B$39="pvp",15,MAX(0.1,Skills!D10-IF(TRUE=TRUE,Inputs!$B$33,0))))))/Skills!H10+0.000000001),1)))/Inputs!$B$44),G293*Q293))*IF(Inputs!$B$39="pvp",1,1+(Inputs!$B$21+0+Skills!P10+((C300=TRUE)*F300*IF(AND(Inputs!$B$39&lt;&gt;"pvp",Inputs!$B$44&gt;0),(((R300-1)*MIN((Skills!T17*(1+Inputs!$B$35/100)),(1/Q300))+MIN((Skills!T17*(1+Inputs!$B$35/100)),MAX(0,Inputs!$B$44-((R300-1)*(1/Q300)))))/Inputs!$B$44),IF(Inputs!$B$39="pvp",MIN((Skills!T17*(1+Inputs!$B$35/100)),15)/15,MIN(1,(Skills!T17*(1+Inputs!$B$35/100))/(1/Q300)))))+((C288=TRUE)*IF(Inputs!$B$3&gt;=126,10*MIN(1,15*Q288),0))+((C297=TRUE)*IF(Inputs!$B$39="pvp",20,(1-Summary!$B$11)*(20)+Summary!$B$11*(0))*IF(AND(Inputs!$B$39&lt;&gt;"pvp",Inputs!$B$44&gt;0),(((R297-1)*MIN((Skills!T14*(1+Inputs!$B$35/100)),(1/Q297))+MIN((Skills!T14*(1+Inputs!$B$35/100)),MAX(0,Inputs!$B$44-((R297-1)*(1/Q297)))))/Inputs!$B$44),IF(Inputs!$B$39="pvp",MIN((Skills!T14*(1+Inputs!$B$35/100)),15)/15,MIN(1,(Skills!T14*(1+Inputs!$B$35/100))/(1/Q297)))))+((C296=TRUE)*IF(Inputs!$B$3&gt;=82,IF(Inputs!$B$39="pvp",20,(1-Summary!$B$11)*(20)+Summary!$B$11*(0)),0)*IF(AND(Inputs!$B$39&lt;&gt;"pvp",Inputs!$B$44&gt;0),(((R296-1)*MIN((Skills!T13*(1+Inputs!$B$35/100)),(1/Q296))+MIN((Skills!T13*(1+Inputs!$B$35/100)),MAX(0,Inputs!$B$44-((R296-1)*(1/Q296)))))/Inputs!$B$44),IF(Inputs!$B$39="pvp",MIN((Skills!T13*(1+Inputs!$B$35/100)),15)/15,MIN(1,(Skills!T13*(1+Inputs!$B$35/100))/(1/Q296)))))+(IF(AND(ArtifactsInput!$M$35,Inputs!$B$4&lt;&gt;"Chapter Hunt"),CHOOSE(ArtifactsInput!$N$35+1,15,18,21,24,27,30)*(1-EXP(-(0.2*B314)*5)),0)+IF(AND(ArtifactsInput!$M$22,Inputs!$B$4&lt;&gt;"Chapter Hunt"),CHOOSE(ArtifactsInput!$N$22+1,10,12,14,16,18,20)*((0*(((0.15*B314*5))^0/1)+1*(((0.15*B314*5))^1/1)+2*(((0.15*B314*5))^2/2)+3*(((0.15*B314*5))^3/6)+4*(((0.15*B314*5))^4/24)+5*(((0.15*B314*5))^5/120))/((((0.15*B314*5))^0/1)+(((0.15*B314*5))^1/1)+(((0.15*B314*5))^2/2)+(((0.15*B314*5))^3/6)+(((0.15*B314*5))^4/24)+(((0.15*B314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293*(1-MIN(100,(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293*(MIN(100,(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293*(1-MIN(100,(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293*(MIN(100,(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3">
        <f>IF(C293,(H293*N293*IF(AND(Inputs!$B$39&lt;&gt;"pvp",Inputs!$B$44&gt;0),((Skills!G10*((R293-1)*IF(Skills!H10&gt;0,INT(Skills!I10/Skills!H10+0.000000001),1)+IF(Skills!H10&gt;0,INT(MIN(Skills!I10,MAX(0,MAX(0,Inputs!$B$44-B319)-((R293-1)*IF(Inputs!$B$39="pvp",15,MAX(0.1,Skills!D10-IF(TRUE=TRUE,Inputs!$B$33,0))))))/Skills!H10+0.000000001),1)))/Inputs!$B$44),G293*Q293))*IF(Inputs!$B$39="pvp",1,(1+(Inputs!$B$22+Skills!Q10+((C300=TRUE)*F300*IF(AND(Inputs!$B$39&lt;&gt;"pvp",Inputs!$B$44&gt;0),(((R300-1)*MIN((Skills!T17*(1+Inputs!$B$35/100)),(1/Q300))+MIN((Skills!T17*(1+Inputs!$B$35/100)),MAX(0,Inputs!$B$44-((R300-1)*(1/Q300)))))/Inputs!$B$44),IF(Inputs!$B$39="pvp",MIN((Skills!T17*(1+Inputs!$B$35/100)),15)/15,MIN(1,(Skills!T17*(1+Inputs!$B$35/100))/(1/Q300)))))+((C288=TRUE)*IF(Inputs!$B$3&gt;=126,10*MIN(1,15*Q288),0))+((C297=TRUE)*IF(Inputs!$B$39="pvp",20,(1-Summary!$B$11)*(20)+Summary!$B$11*(0))*IF(AND(Inputs!$B$39&lt;&gt;"pvp",Inputs!$B$44&gt;0),(((R297-1)*MIN((Skills!T14*(1+Inputs!$B$35/100)),(1/Q297))+MIN((Skills!T14*(1+Inputs!$B$35/100)),MAX(0,Inputs!$B$44-((R297-1)*(1/Q297)))))/Inputs!$B$44),IF(Inputs!$B$39="pvp",MIN((Skills!T14*(1+Inputs!$B$35/100)),15)/15,MIN(1,(Skills!T14*(1+Inputs!$B$35/100))/(1/Q297)))))+((C296=TRUE)*IF(Inputs!$B$3&gt;=82,IF(Inputs!$B$39="pvp",20,(1-Summary!$B$11)*(20)+Summary!$B$11*(0)),0)*IF(AND(Inputs!$B$39&lt;&gt;"pvp",Inputs!$B$44&gt;0),(((R296-1)*MIN((Skills!T13*(1+Inputs!$B$35/100)),(1/Q296))+MIN((Skills!T13*(1+Inputs!$B$35/100)),MAX(0,Inputs!$B$44-((R296-1)*(1/Q296)))))/Inputs!$B$44),IF(Inputs!$B$39="pvp",MIN((Skills!T13*(1+Inputs!$B$35/100)),15)/15,MIN(1,(Skills!T13*(1+Inputs!$B$35/100))/(1/Q296)))))+(IF(AND(ArtifactsInput!$M$35,Inputs!$B$4&lt;&gt;"Chapter Hunt"),CHOOSE(ArtifactsInput!$N$35+1,15,18,21,24,27,30)*(1-EXP(-(0.2*B314)*5)),0)+IF(AND(ArtifactsInput!$M$22,Inputs!$B$4&lt;&gt;"Chapter Hunt"),CHOOSE(ArtifactsInput!$N$22+1,10,12,14,16,18,20)*((0*(((0.15*B314*5))^0/1)+1*(((0.15*B314*5))^1/1)+2*(((0.15*B314*5))^2/2)+3*(((0.15*B314*5))^3/6)+4*(((0.15*B314*5))^4/24)+5*(((0.15*B314*5))^5/120))/((((0.15*B314*5))^0/1)+(((0.15*B314*5))^1/1)+(((0.15*B314*5))^2/2)+(((0.15*B314*5))^3/6)+(((0.15*B314*5))^4/24)+(((0.15*B314*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4">
      <c r="A294">
        <f>Skills!A11</f>
        <v/>
      </c>
      <c r="B294">
        <f>Skills!B11</f>
        <v/>
      </c>
      <c r="C294">
        <f>Inputs!$B$3&gt;=100</f>
        <v/>
      </c>
      <c r="D294">
        <f>IF(Skills!C11=1,60+Inputs!$B$26+Inputs!$B$30,IF(Skills!C11=2,90+Inputs!$B$27+Inputs!$B$30,IF(Skills!C11=3,120+Inputs!$B$28+Inputs!$B$30,MAX(0,(Inputs!$B$3-100)*3)+Inputs!$B$29+Inputs!$B$30)))</f>
        <v/>
      </c>
      <c r="E294">
        <f>INDEX(FactorTable!$B$2:$Y$301, MATCH(ROUND(MIN(300,MAX(1,D294)),0), FactorTable!$A$2:$A$301,0), Skills!M11+1)</f>
        <v/>
      </c>
      <c r="F294">
        <f>IF(Skills!N11=TRUE,(Skills!L11/10)*(E294/1000),Skills!L11/10)+Skills!O11</f>
        <v/>
      </c>
      <c r="G294" t="inlineStr"/>
      <c r="H294" t="inlineStr"/>
      <c r="I294" t="inlineStr">
        <is>
          <t>1</t>
        </is>
      </c>
      <c r="J294" t="inlineStr"/>
      <c r="K294" t="inlineStr"/>
      <c r="L294" t="inlineStr"/>
      <c r="M294" t="inlineStr"/>
      <c r="N294" t="inlineStr"/>
      <c r="O294" t="inlineStr"/>
      <c r="P294" t="inlineStr"/>
      <c r="Q294" t="inlineStr"/>
      <c r="R294" t="inlineStr"/>
      <c r="S294" t="inlineStr"/>
    </row>
    <row r="295">
      <c r="A295">
        <f>Skills!A12</f>
        <v/>
      </c>
      <c r="B295">
        <f>Skills!B12</f>
        <v/>
      </c>
      <c r="C295">
        <f>Inputs!$B$3&gt;=63</f>
        <v/>
      </c>
      <c r="D295">
        <f>IF(Skills!C12=1,60+Inputs!$B$26+Inputs!$B$30,IF(Skills!C12=2,90+Inputs!$B$27+Inputs!$B$30,IF(Skills!C12=3,120+Inputs!$B$28+Inputs!$B$30,MAX(0,(Inputs!$B$3-100)*3)+Inputs!$B$29+Inputs!$B$30)))</f>
        <v/>
      </c>
      <c r="E295">
        <f>INDEX(FactorTable!$B$2:$Y$301, MATCH(ROUND(MIN(300,MAX(1,D295)),0), FactorTable!$A$2:$A$301,0), Skills!M12+1)</f>
        <v/>
      </c>
      <c r="F295">
        <f>IF(Skills!N12=TRUE,(Skills!L12/10)*(E295/1000),Skills!L12/10)+Skills!O12</f>
        <v/>
      </c>
      <c r="G295">
        <f>Skills!G12*IF(Skills!H12&gt;0,INT(IF(Inputs!$B$39="pvp",MIN(Skills!I12,15),Skills!I12)/Skills!H12+0.000000001),1)</f>
        <v/>
      </c>
      <c r="H295">
        <f>1-(1-Skills!J12/100)^Skills!K12</f>
        <v/>
      </c>
      <c r="I295" t="inlineStr">
        <is>
          <t>1</t>
        </is>
      </c>
      <c r="J295">
        <f>((Inputs!$B$6*(1+Inputs!$B$7/100))+(((Inputs!$B$13*(1+Inputs!$B$14/100))-(Inputs!$B$13*(1+Inputs!$B$14/100)))+0.25*(Inputs!$B$15-Inputs!$B$15))*(1+Inputs!$B$7/100))*(F295/100)</f>
        <v/>
      </c>
      <c r="K295">
        <f>J295*(1+(((Inputs!$B$13+IF(Inputs!$B$3&gt;=38,(10*INDEX(FactorTable!$B$2:$Y$301, MATCH(ROUND(MIN(300,MAX(1,Inputs!$B$3)),0), FactorTable!$A$2:$A$301,0), 23)/1000)/100*(Inputs!$B$8*(1+Inputs!$B$9/100)),0))*(1+Inputs!$B$14/100))*0.01+Inputs!$B$15*0.0025)/100)*(1+(Inputs!$B$16+1)/100)*(1+Inputs!$B$17/100)*(5000/(6000+Inputs!$B$43*(1-(Inputs!$B$20+0)/100)))*(1+(Inputs!$B$25+((C308=TRUE)*(F308-Calc!F25))+((C309=TRUE)*(F309-Calc!F26))+B318)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294=TRUE,F294,0)/100)*(1+(IF(Skills!A12="DARK_IMPALE",Inputs!$B$18+0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gt;=100),MIN(100,((Inputs!$B$10+0+B312+(ArtifactsInput!$M$24-ArtifactsInput!$M$24)*CHOOSE(ArtifactsInput!$N$24+1,10,12,14,16,18,20)+IF(ArtifactsInput!$M$10,CHOOSE(ArtifactsInput!$N$10+1,15,18,21,24,27,30)*(IF(Inputs!$B$39="pvp",MIN(15,15)/15,IF(AND(Inputs!$B$39&lt;&gt;"pvp",Inputs!$B$44&gt;0),MIN(15,Inputs!$B$44)/(Inputs!$B$44),0))),0)))-100),0))*CHOOSE(ArtifactsInput!$N$42+1,0.6,0.72,0.84,0.96,1.08,1.2))),Inputs!$B$19+((C306=TRUE)*(F306-Calc!F23))+(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gt;=100),CHOOSE(ArtifactsInput!$N$42+1,40,48,56,64,72,80),0))))/100)*((1+(((C296=TRUE)*F296*IF(AND(Inputs!$B$39&lt;&gt;"pvp",Inputs!$B$44&gt;0),(((R296-1)*MIN((Skills!T13*(1+Inputs!$B$35/100)),(1/Q296))+MIN((Skills!T13*(1+Inputs!$B$35/100)),MAX(0,Inputs!$B$44-((R296-1)*(1/Q296)))))/Inputs!$B$44),IF(Inputs!$B$39="pvp",MIN((Skills!T13*(1+Inputs!$B$35/100)),15)/15,MIN(1,(Skills!T13*(1+Inputs!$B$35/100))/(1/Q296)))))+((C297=TRUE)*F297*IF(AND(Inputs!$B$39&lt;&gt;"pvp",Inputs!$B$44&gt;0),(((R297-1)*MIN((Skills!T14*(1+Inputs!$B$35/100)),(1/Q297))+MIN((Skills!T14*(1+Inputs!$B$35/100)),MAX(0,Inputs!$B$44-((R297-1)*(1/Q297)))))/Inputs!$B$44),IF(Inputs!$B$39="pvp",MIN((Skills!T14*(1+Inputs!$B$35/100)),15)/15,MIN(1,(Skills!T14*(1+Inputs!$B$35/100))/(1/Q297)))))+((C298=TRUE)*F298*IF(AND(Inputs!$B$39&lt;&gt;"pvp",Inputs!$B$44&gt;0),(((R298-1)*MIN((Skills!T15*(1+Inputs!$B$35/100)),(1/Q298))+MIN((Skills!T15*(1+Inputs!$B$35/100)),MAX(0,Inputs!$B$44-((R298-1)*(1/Q298)))))/Inputs!$B$44),IF(Inputs!$B$39="pvp",MIN((Skills!T15*(1+Inputs!$B$35/100)),15)/15,MIN(1,(Skills!T15*(1+Inputs!$B$35/100))/(1/Q298)))))+((C299=TRUE)*F299*IF(AND(Inputs!$B$39&lt;&gt;"pvp",Inputs!$B$44&gt;0),(((R299-1)*MIN((Skills!T16*(1+Inputs!$B$35/100)),(1/Q299))+MIN((Skills!T16*(1+Inputs!$B$35/100)),MAX(0,Inputs!$B$44-((R299-1)*(1/Q299)))))/Inputs!$B$44),IF(Inputs!$B$39="pvp",MIN((Skills!T16*(1+Inputs!$B$35/100)),15)/15,MIN(1,(Skills!T16*(1+Inputs!$B$35/100))/(1/Q299)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295)</f>
        <v/>
      </c>
      <c r="L295">
        <f>K295*(MIN(Inputs!$B$23+((C305=TRUE)*(F305-Calc!F22)),(Inputs!$B$24+((C307=TRUE)*(F307-Calc!F24))+(IF(ArtifactsInput!$M$15,CHOOSE(ArtifactsInput!$N$15+1,25,30,35,40,45,50)/100*(Inputs!$B$12-Inputs!$B$12),0))))/100+(Inputs!$B$24+((C307=TRUE)*(F307-Calc!F24))+(IF(ArtifactsInput!$M$15,CHOOSE(ArtifactsInput!$N$15+1,25,30,35,40,45,50)/100*(Inputs!$B$12-Inputs!$B$12),0)))/100)/2</f>
        <v/>
      </c>
      <c r="M295">
        <f>L295*(1+(Inputs!$B$11+0+B317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95">
        <f>L295*(1-MIN((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295*(MIN((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5">
        <f>(1-Summary!$B$11)*T295+Summary!$B$11*V295</f>
        <v/>
      </c>
      <c r="P295">
        <f>IF(B322=0,0,O295/B322)</f>
        <v/>
      </c>
      <c r="Q295">
        <f>IFERROR(1/IF(Inputs!$B$39="pvp",15,MAX(0.1,Skills!D12-IF(TRUE=TRUE,Inputs!$B$33,0))),0)</f>
        <v/>
      </c>
      <c r="R295">
        <f>IF(AND(Inputs!$B$39&lt;&gt;"pvp",Inputs!$B$44&gt;0),IF(MAX(0,Inputs!$B$44-B319)&lt;=0,0,(INT(MAX(0,Inputs!$B$44-B319)/IF(Inputs!$B$39="pvp",15,MAX(0.1,Skills!D12-IF(TRUE=TRUE,Inputs!$B$33,0))))+1)),0)</f>
        <v/>
      </c>
      <c r="S295">
        <f>IFERROR(O295/N295,0)</f>
        <v/>
      </c>
      <c r="T295">
        <f>IF(C295,(H295*N295*IF(AND(Inputs!$B$39&lt;&gt;"pvp",Inputs!$B$44&gt;0),((Skills!G12*((R295-1)*IF(Skills!H12&gt;0,INT(Skills!I12/Skills!H12+0.000000001),1)+IF(Skills!H12&gt;0,INT(MIN(Skills!I12,MAX(0,MAX(0,Inputs!$B$44-B319)-((R295-1)*IF(Inputs!$B$39="pvp",15,MAX(0.1,Skills!D12-IF(TRUE=TRUE,Inputs!$B$33,0))))))/Skills!H12+0.000000001),1)))/Inputs!$B$44),G295*Q295))*IF(Inputs!$B$39="pvp",1,1+(Inputs!$B$21+0+Skills!P12+((C300=TRUE)*F300*IF(AND(Inputs!$B$39&lt;&gt;"pvp",Inputs!$B$44&gt;0),(((R300-1)*MIN((Skills!T17*(1+Inputs!$B$35/100)),(1/Q300))+MIN((Skills!T17*(1+Inputs!$B$35/100)),MAX(0,Inputs!$B$44-((R300-1)*(1/Q300)))))/Inputs!$B$44),IF(Inputs!$B$39="pvp",MIN((Skills!T17*(1+Inputs!$B$35/100)),15)/15,MIN(1,(Skills!T17*(1+Inputs!$B$35/100))/(1/Q300)))))+((C288=TRUE)*IF(Inputs!$B$3&gt;=126,10*MIN(1,15*Q288),0))+((C297=TRUE)*IF(Inputs!$B$39="pvp",20,(1-Summary!$B$11)*(20)+Summary!$B$11*(0))*IF(AND(Inputs!$B$39&lt;&gt;"pvp",Inputs!$B$44&gt;0),(((R297-1)*MIN((Skills!T14*(1+Inputs!$B$35/100)),(1/Q297))+MIN((Skills!T14*(1+Inputs!$B$35/100)),MAX(0,Inputs!$B$44-((R297-1)*(1/Q297)))))/Inputs!$B$44),IF(Inputs!$B$39="pvp",MIN((Skills!T14*(1+Inputs!$B$35/100)),15)/15,MIN(1,(Skills!T14*(1+Inputs!$B$35/100))/(1/Q297)))))+((C296=TRUE)*IF(Inputs!$B$3&gt;=82,IF(Inputs!$B$39="pvp",20,(1-Summary!$B$11)*(20)+Summary!$B$11*(0)),0)*IF(AND(Inputs!$B$39&lt;&gt;"pvp",Inputs!$B$44&gt;0),(((R296-1)*MIN((Skills!T13*(1+Inputs!$B$35/100)),(1/Q296))+MIN((Skills!T13*(1+Inputs!$B$35/100)),MAX(0,Inputs!$B$44-((R296-1)*(1/Q296)))))/Inputs!$B$44),IF(Inputs!$B$39="pvp",MIN((Skills!T13*(1+Inputs!$B$35/100)),15)/15,MIN(1,(Skills!T13*(1+Inputs!$B$35/100))/(1/Q296)))))+(IF(AND(ArtifactsInput!$M$35,Inputs!$B$4&lt;&gt;"Chapter Hunt"),CHOOSE(ArtifactsInput!$N$35+1,15,18,21,24,27,30)*(1-EXP(-(0.2*B314)*5)),0)+IF(AND(ArtifactsInput!$M$22,Inputs!$B$4&lt;&gt;"Chapter Hunt"),CHOOSE(ArtifactsInput!$N$22+1,10,12,14,16,18,20)*((0*(((0.15*B314*5))^0/1)+1*(((0.15*B314*5))^1/1)+2*(((0.15*B314*5))^2/2)+3*(((0.15*B314*5))^3/6)+4*(((0.15*B314*5))^4/24)+5*(((0.15*B314*5))^5/120))/((((0.15*B314*5))^0/1)+(((0.15*B314*5))^1/1)+(((0.15*B314*5))^2/2)+(((0.15*B314*5))^3/6)+(((0.15*B314*5))^4/24)+(((0.15*B314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295*(1-MIN(100,(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295*(MIN(100,(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295*(1-MIN(100,(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295*(MIN(100,(Inputs!$B$10+0+B312+(ArtifactsInput!$M$24-ArtifactsInput!$M$24)*CHOOSE(ArtifactsInput!$N$24+1,10,12,14,16,18,20)+(IF(AND(Inputs!$B$39&lt;&gt;"pvp",Inputs!$B$44=0),1,IF(IF(Inputs!$B$39="pvp",15,Inputs!$B$44)-(B319)&lt;=0,1,MAX(0,IF(Inputs!$B$39="pvp",15,Inputs!$B$44)-MAX(5,B319))/(IF(Inputs!$B$39="pvp",15,Inputs!$B$44)-(B319))))*IF(AND(ArtifactsInput!$M$42,((Inputs!$B$10+0+B312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5">
        <f>IF(C295,(H295*N295*IF(AND(Inputs!$B$39&lt;&gt;"pvp",Inputs!$B$44&gt;0),((Skills!G12*((R295-1)*IF(Skills!H12&gt;0,INT(Skills!I12/Skills!H12+0.000000001),1)+IF(Skills!H12&gt;0,INT(MIN(Skills!I12,MAX(0,MAX(0,Inputs!$B$44-B319)-((R295-1)*IF(Inputs!$B$39="pvp",15,MAX(0.1,Skills!D12-IF(TRUE=TRUE,Inputs!$B$33,0))))))/Skills!H12+0.000000001),1)))/Inputs!$B$44),G295*Q295))*IF(Inputs!$B$39="pvp",1,(1+(Inputs!$B$22+Skills!Q12+((C300=TRUE)*F300*IF(AND(Inputs!$B$39&lt;&gt;"pvp",Inputs!$B$44&gt;0),(((R300-1)*MIN((Skills!T17*(1+Inputs!$B$35/100)),(1/Q300))+MIN((Skills!T17*(1+Inputs!$B$35/100)),MAX(0,Inputs!$B$44-((R300-1)*(1/Q300)))))/Inputs!$B$44),IF(Inputs!$B$39="pvp",MIN((Skills!T17*(1+Inputs!$B$35/100)),15)/15,MIN(1,(Skills!T17*(1+Inputs!$B$35/100))/(1/Q300)))))+((C288=TRUE)*IF(Inputs!$B$3&gt;=126,10*MIN(1,15*Q288),0))+((C297=TRUE)*IF(Inputs!$B$39="pvp",20,(1-Summary!$B$11)*(20)+Summary!$B$11*(0))*IF(AND(Inputs!$B$39&lt;&gt;"pvp",Inputs!$B$44&gt;0),(((R297-1)*MIN((Skills!T14*(1+Inputs!$B$35/100)),(1/Q297))+MIN((Skills!T14*(1+Inputs!$B$35/100)),MAX(0,Inputs!$B$44-((R297-1)*(1/Q297)))))/Inputs!$B$44),IF(Inputs!$B$39="pvp",MIN((Skills!T14*(1+Inputs!$B$35/100)),15)/15,MIN(1,(Skills!T14*(1+Inputs!$B$35/100))/(1/Q297)))))+((C296=TRUE)*IF(Inputs!$B$3&gt;=82,IF(Inputs!$B$39="pvp",20,(1-Summary!$B$11)*(20)+Summary!$B$11*(0)),0)*IF(AND(Inputs!$B$39&lt;&gt;"pvp",Inputs!$B$44&gt;0),(((R296-1)*MIN((Skills!T13*(1+Inputs!$B$35/100)),(1/Q296))+MIN((Skills!T13*(1+Inputs!$B$35/100)),MAX(0,Inputs!$B$44-((R296-1)*(1/Q296)))))/Inputs!$B$44),IF(Inputs!$B$39="pvp",MIN((Skills!T13*(1+Inputs!$B$35/100)),15)/15,MIN(1,(Skills!T13*(1+Inputs!$B$35/100))/(1/Q296)))))+(IF(AND(ArtifactsInput!$M$35,Inputs!$B$4&lt;&gt;"Chapter Hunt"),CHOOSE(ArtifactsInput!$N$35+1,15,18,21,24,27,30)*(1-EXP(-(0.2*B314)*5)),0)+IF(AND(ArtifactsInput!$M$22,Inputs!$B$4&lt;&gt;"Chapter Hunt"),CHOOSE(ArtifactsInput!$N$22+1,10,12,14,16,18,20)*((0*(((0.15*B314*5))^0/1)+1*(((0.15*B314*5))^1/1)+2*(((0.15*B314*5))^2/2)+3*(((0.15*B314*5))^3/6)+4*(((0.15*B314*5))^4/24)+5*(((0.15*B314*5))^5/120))/((((0.15*B314*5))^0/1)+(((0.15*B314*5))^1/1)+(((0.15*B314*5))^2/2)+(((0.15*B314*5))^3/6)+(((0.15*B314*5))^4/24)+(((0.15*B314*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6">
      <c r="A296">
        <f>Skills!A13</f>
        <v/>
      </c>
      <c r="B296">
        <f>Skills!B13</f>
        <v/>
      </c>
      <c r="C296">
        <f>Inputs!$B$3&gt;=69</f>
        <v/>
      </c>
      <c r="D296">
        <f>IF(Skills!C13=1,60+Inputs!$B$26+Inputs!$B$30,IF(Skills!C13=2,90+Inputs!$B$27+Inputs!$B$30,IF(Skills!C13=3,120+Inputs!$B$28+Inputs!$B$30,MAX(0,(Inputs!$B$3-100)*3)+Inputs!$B$29+Inputs!$B$30)))</f>
        <v/>
      </c>
      <c r="E296">
        <f>INDEX(FactorTable!$B$2:$Y$301, MATCH(ROUND(MIN(300,MAX(1,D296)),0), FactorTable!$A$2:$A$301,0), Skills!M13+1)</f>
        <v/>
      </c>
      <c r="F296">
        <f>IF(Skills!N13=TRUE,(Skills!L13/10)*(E296/1000),Skills!L13/10)+Skills!O13</f>
        <v/>
      </c>
      <c r="G296">
        <f>Skills!G13*IF(Skills!H13&gt;0,INT(IF(Inputs!$B$39="pvp",MIN(Skills!I13,15),Skills!I13)/Skills!H13+0.000000001),1)</f>
        <v/>
      </c>
      <c r="H296">
        <f>1-(1-Skills!J13/100)^Skills!K13</f>
        <v/>
      </c>
      <c r="I296" t="inlineStr">
        <is>
          <t>1</t>
        </is>
      </c>
      <c r="J296" t="inlineStr"/>
      <c r="K296" t="inlineStr"/>
      <c r="L296" t="inlineStr"/>
      <c r="M296" t="inlineStr"/>
      <c r="N296" t="inlineStr"/>
      <c r="O296">
        <f>(1-Summary!$B$11)*T296+Summary!$B$11*V296</f>
        <v/>
      </c>
      <c r="P296">
        <f>IF(B322=0,0,O296/B322)</f>
        <v/>
      </c>
      <c r="Q296">
        <f>IFERROR(1/IF(Inputs!$B$39="pvp",15,MAX(0.1,Skills!D13-IF(TRUE=TRUE,Inputs!$B$33,0))),0)</f>
        <v/>
      </c>
      <c r="R296">
        <f>IF(AND(Inputs!$B$39&lt;&gt;"pvp",Inputs!$B$44&gt;0),IF(Inputs!$B$44&lt;=0,0,(INT(Inputs!$B$44/IF(Inputs!$B$39="pvp",15,MAX(0.1,Skills!D13-IF(TRUE=TRUE,Inputs!$B$33,0))))+1)),0)</f>
        <v/>
      </c>
      <c r="S296">
        <f>IFERROR(O296/N296,0)</f>
        <v/>
      </c>
      <c r="T296" t="n">
        <v>0</v>
      </c>
      <c r="V296" t="n">
        <v>0</v>
      </c>
    </row>
    <row r="297">
      <c r="A297">
        <f>Skills!A14</f>
        <v/>
      </c>
      <c r="B297">
        <f>Skills!B14</f>
        <v/>
      </c>
      <c r="C297">
        <f>Inputs!$B$3&gt;=115</f>
        <v/>
      </c>
      <c r="D297">
        <f>IF(Skills!C14=1,60+Inputs!$B$26+Inputs!$B$30,IF(Skills!C14=2,90+Inputs!$B$27+Inputs!$B$30,IF(Skills!C14=3,120+Inputs!$B$28+Inputs!$B$30,MAX(0,(Inputs!$B$3-100)*3)+Inputs!$B$29+Inputs!$B$30)))</f>
        <v/>
      </c>
      <c r="E297">
        <f>INDEX(FactorTable!$B$2:$Y$301, MATCH(ROUND(MIN(300,MAX(1,D297)),0), FactorTable!$A$2:$A$301,0), Skills!M14+1)</f>
        <v/>
      </c>
      <c r="F297">
        <f>IF(Skills!N14=TRUE,(Skills!L14/10)*(E297/1000),Skills!L14/10)+Skills!O14</f>
        <v/>
      </c>
      <c r="G297">
        <f>Skills!G14*IF(Skills!H14&gt;0,INT(IF(Inputs!$B$39="pvp",MIN(Skills!I14,15),Skills!I14)/Skills!H14+0.000000001),1)</f>
        <v/>
      </c>
      <c r="H297">
        <f>1-(1-Skills!J14/100)^Skills!K14</f>
        <v/>
      </c>
      <c r="I297" t="inlineStr">
        <is>
          <t>1</t>
        </is>
      </c>
      <c r="J297" t="inlineStr"/>
      <c r="K297" t="inlineStr"/>
      <c r="L297" t="inlineStr"/>
      <c r="M297" t="inlineStr"/>
      <c r="N297" t="inlineStr"/>
      <c r="O297">
        <f>(1-Summary!$B$11)*T297+Summary!$B$11*V297</f>
        <v/>
      </c>
      <c r="P297">
        <f>IF(B322=0,0,O297/B322)</f>
        <v/>
      </c>
      <c r="Q297">
        <f>IFERROR(1/IF(Inputs!$B$39="pvp",15,MAX(0.1,Skills!D14-IF(TRUE=TRUE,Inputs!$B$33,0))),0)</f>
        <v/>
      </c>
      <c r="R297">
        <f>IF(AND(Inputs!$B$39&lt;&gt;"pvp",Inputs!$B$44&gt;0),IF(Inputs!$B$44&lt;=0,0,(INT(Inputs!$B$44/IF(Inputs!$B$39="pvp",15,MAX(0.1,Skills!D14-IF(TRUE=TRUE,Inputs!$B$33,0))))+1)),0)</f>
        <v/>
      </c>
      <c r="S297">
        <f>IFERROR(O297/N297,0)</f>
        <v/>
      </c>
      <c r="T297" t="n">
        <v>0</v>
      </c>
      <c r="V297" t="n">
        <v>0</v>
      </c>
    </row>
    <row r="298">
      <c r="A298">
        <f>Skills!A15</f>
        <v/>
      </c>
      <c r="B298">
        <f>Skills!B15</f>
        <v/>
      </c>
      <c r="C298">
        <f>Inputs!$B$3&gt;=66</f>
        <v/>
      </c>
      <c r="D298">
        <f>IF(Skills!C15=1,60+Inputs!$B$26+Inputs!$B$30,IF(Skills!C15=2,90+Inputs!$B$27+Inputs!$B$30,IF(Skills!C15=3,120+Inputs!$B$28+Inputs!$B$30,MAX(0,(Inputs!$B$3-100)*3)+Inputs!$B$29+Inputs!$B$30)))</f>
        <v/>
      </c>
      <c r="E298">
        <f>INDEX(FactorTable!$B$2:$Y$301, MATCH(ROUND(MIN(300,MAX(1,D298)),0), FactorTable!$A$2:$A$301,0), Skills!M15+1)</f>
        <v/>
      </c>
      <c r="F298">
        <f>IF(Skills!N15=TRUE,(Skills!L15/10)*(E298/1000),Skills!L15/10)+Skills!O15</f>
        <v/>
      </c>
      <c r="G298">
        <f>Skills!G15*IF(Skills!H15&gt;0,INT(IF(Inputs!$B$39="pvp",MIN(Skills!I15,15),Skills!I15)/Skills!H15+0.000000001),1)</f>
        <v/>
      </c>
      <c r="H298">
        <f>1-(1-Skills!J15/100)^Skills!K15</f>
        <v/>
      </c>
      <c r="I298" t="inlineStr">
        <is>
          <t>1</t>
        </is>
      </c>
      <c r="J298" t="inlineStr"/>
      <c r="K298" t="inlineStr"/>
      <c r="L298" t="inlineStr"/>
      <c r="M298" t="inlineStr"/>
      <c r="N298" t="inlineStr"/>
      <c r="O298">
        <f>(1-Summary!$B$11)*T298+Summary!$B$11*V298</f>
        <v/>
      </c>
      <c r="P298">
        <f>IF(B322=0,0,O298/B322)</f>
        <v/>
      </c>
      <c r="Q298">
        <f>IFERROR(1/IF(Inputs!$B$39="pvp",15,MAX(0.1,Skills!D15-IF(TRUE=TRUE,Inputs!$B$33,0))),0)</f>
        <v/>
      </c>
      <c r="R298">
        <f>IF(AND(Inputs!$B$39&lt;&gt;"pvp",Inputs!$B$44&gt;0),IF(Inputs!$B$44&lt;=0,0,(INT(Inputs!$B$44/IF(Inputs!$B$39="pvp",15,MAX(0.1,Skills!D15-IF(TRUE=TRUE,Inputs!$B$33,0))))+1)),0)</f>
        <v/>
      </c>
      <c r="S298">
        <f>IFERROR(O298/N298,0)</f>
        <v/>
      </c>
      <c r="T298" t="n">
        <v>0</v>
      </c>
      <c r="V298" t="n">
        <v>0</v>
      </c>
    </row>
    <row r="299">
      <c r="A299">
        <f>Skills!A16</f>
        <v/>
      </c>
      <c r="B299">
        <f>Skills!B16</f>
        <v/>
      </c>
      <c r="C299">
        <f>Inputs!$B$3&gt;=45</f>
        <v/>
      </c>
      <c r="D299">
        <f>IF(Skills!C16=1,60+Inputs!$B$26+Inputs!$B$30,IF(Skills!C16=2,90+Inputs!$B$27+Inputs!$B$30,IF(Skills!C16=3,120+Inputs!$B$28+Inputs!$B$30,MAX(0,(Inputs!$B$3-100)*3)+Inputs!$B$29+Inputs!$B$30)))</f>
        <v/>
      </c>
      <c r="E299">
        <f>INDEX(FactorTable!$B$2:$Y$301, MATCH(ROUND(MIN(300,MAX(1,D299)),0), FactorTable!$A$2:$A$301,0), Skills!M16+1)</f>
        <v/>
      </c>
      <c r="F299">
        <f>IF(Skills!N16=TRUE,(Skills!L16/10)*(E299/1000),Skills!L16/10)+Skills!O16</f>
        <v/>
      </c>
      <c r="G299">
        <f>Skills!G16*IF(Skills!H16&gt;0,INT(IF(Inputs!$B$39="pvp",MIN(Skills!I16,15),Skills!I16)/Skills!H16+0.000000001),1)</f>
        <v/>
      </c>
      <c r="H299">
        <f>1-(1-Skills!J16/100)^Skills!K16</f>
        <v/>
      </c>
      <c r="I299" t="inlineStr">
        <is>
          <t>1</t>
        </is>
      </c>
      <c r="J299" t="inlineStr"/>
      <c r="K299" t="inlineStr"/>
      <c r="L299" t="inlineStr"/>
      <c r="M299" t="inlineStr"/>
      <c r="N299" t="inlineStr"/>
      <c r="O299">
        <f>(1-Summary!$B$11)*T299+Summary!$B$11*V299</f>
        <v/>
      </c>
      <c r="P299">
        <f>IF(B322=0,0,O299/B322)</f>
        <v/>
      </c>
      <c r="Q299">
        <f>IFERROR(1/IF(Inputs!$B$39="pvp",15,MAX(0.1,Skills!D16-IF(TRUE=TRUE,Inputs!$B$33,0))),0)</f>
        <v/>
      </c>
      <c r="R299">
        <f>IF(AND(Inputs!$B$39&lt;&gt;"pvp",Inputs!$B$44&gt;0),IF(Inputs!$B$44&lt;=0,0,(INT(Inputs!$B$44/IF(Inputs!$B$39="pvp",15,MAX(0.1,Skills!D16-IF(TRUE=TRUE,Inputs!$B$33,0))))+1)),0)</f>
        <v/>
      </c>
      <c r="S299">
        <f>IFERROR(O299/N299,0)</f>
        <v/>
      </c>
      <c r="T299" t="n">
        <v>0</v>
      </c>
      <c r="V299" t="n">
        <v>0</v>
      </c>
    </row>
    <row r="300">
      <c r="A300">
        <f>Skills!A17</f>
        <v/>
      </c>
      <c r="B300">
        <f>Skills!B17</f>
        <v/>
      </c>
      <c r="C300">
        <f>Inputs!$B$3&gt;=35</f>
        <v/>
      </c>
      <c r="D300">
        <f>IF(Skills!C17=1,60+Inputs!$B$26+Inputs!$B$30,IF(Skills!C17=2,90+Inputs!$B$27+Inputs!$B$30,IF(Skills!C17=3,120+Inputs!$B$28+Inputs!$B$30,MAX(0,(Inputs!$B$3-100)*3)+Inputs!$B$29+Inputs!$B$30)))</f>
        <v/>
      </c>
      <c r="E300">
        <f>INDEX(FactorTable!$B$2:$Y$301, MATCH(ROUND(MIN(300,MAX(1,D300)),0), FactorTable!$A$2:$A$301,0), Skills!M17+1)</f>
        <v/>
      </c>
      <c r="F300">
        <f>IF(Skills!N17=TRUE,(Skills!L17/10)*(E300/1000),Skills!L17/10)+Skills!O17</f>
        <v/>
      </c>
      <c r="G300">
        <f>Skills!G17*IF(Skills!H17&gt;0,INT(IF(Inputs!$B$39="pvp",MIN(Skills!I17,15),Skills!I17)/Skills!H17+0.000000001),1)</f>
        <v/>
      </c>
      <c r="H300">
        <f>1-(1-Skills!J17/100)^Skills!K17</f>
        <v/>
      </c>
      <c r="I300" t="inlineStr">
        <is>
          <t>1</t>
        </is>
      </c>
      <c r="J300" t="inlineStr"/>
      <c r="K300" t="inlineStr"/>
      <c r="L300" t="inlineStr"/>
      <c r="M300" t="inlineStr"/>
      <c r="N300" t="inlineStr"/>
      <c r="O300">
        <f>(1-Summary!$B$11)*T300+Summary!$B$11*V300</f>
        <v/>
      </c>
      <c r="P300">
        <f>IF(B322=0,0,O300/B322)</f>
        <v/>
      </c>
      <c r="Q300">
        <f>IFERROR(1/IF(Inputs!$B$39="pvp",15,MAX(0.1,Skills!D17-IF(TRUE=TRUE,Inputs!$B$33,0))),0)</f>
        <v/>
      </c>
      <c r="R300">
        <f>IF(AND(Inputs!$B$39&lt;&gt;"pvp",Inputs!$B$44&gt;0),IF(Inputs!$B$44&lt;=0,0,(INT(Inputs!$B$44/IF(Inputs!$B$39="pvp",15,MAX(0.1,Skills!D17-IF(TRUE=TRUE,Inputs!$B$33,0))))+1)),0)</f>
        <v/>
      </c>
      <c r="S300">
        <f>IFERROR(O300/N300,0)</f>
        <v/>
      </c>
      <c r="T300" t="n">
        <v>0</v>
      </c>
      <c r="V300" t="n">
        <v>0</v>
      </c>
    </row>
    <row r="301">
      <c r="A301">
        <f>Skills!A18</f>
        <v/>
      </c>
      <c r="B301">
        <f>Skills!B18</f>
        <v/>
      </c>
      <c r="C301">
        <f>Inputs!$B$3&gt;=72</f>
        <v/>
      </c>
      <c r="D301">
        <f>IF(Skills!C18=1,60+Inputs!$B$26+Inputs!$B$30,IF(Skills!C18=2,90+Inputs!$B$27+Inputs!$B$30,IF(Skills!C18=3,120+Inputs!$B$28+Inputs!$B$30,MAX(0,(Inputs!$B$3-100)*3)+Inputs!$B$29+Inputs!$B$30)))</f>
        <v/>
      </c>
      <c r="E301">
        <f>INDEX(FactorTable!$B$2:$Y$301, MATCH(ROUND(MIN(300,MAX(1,D301)),0), FactorTable!$A$2:$A$301,0), Skills!M18+1)</f>
        <v/>
      </c>
      <c r="F301">
        <f>IF(Skills!N18=TRUE,(Skills!L18/10)*(E301/1000),Skills!L18/10)+Skills!O18</f>
        <v/>
      </c>
      <c r="G301">
        <f>Skills!G18*IF(Skills!H18&gt;0,INT(IF(Inputs!$B$39="pvp",MIN(Skills!I18,15),Skills!I18)/Skills!H18+0.000000001),1)</f>
        <v/>
      </c>
      <c r="H301">
        <f>1-(1-Skills!J18/100)^Skills!K18</f>
        <v/>
      </c>
      <c r="I301" t="inlineStr">
        <is>
          <t>1</t>
        </is>
      </c>
      <c r="J301" t="inlineStr"/>
      <c r="K301" t="inlineStr"/>
      <c r="L301" t="inlineStr"/>
      <c r="M301" t="inlineStr"/>
      <c r="N301" t="inlineStr"/>
      <c r="O301">
        <f>(1-Summary!$B$11)*T301+Summary!$B$11*V301</f>
        <v/>
      </c>
      <c r="P301">
        <f>IF(B322=0,0,O301/B322)</f>
        <v/>
      </c>
      <c r="Q301">
        <f>IFERROR(1/IF(Inputs!$B$39="pvp",15,MAX(0.1,Skills!D18-IF(TRUE=TRUE,Inputs!$B$33,0))),0)</f>
        <v/>
      </c>
      <c r="R301">
        <f>IF(AND(Inputs!$B$39&lt;&gt;"pvp",Inputs!$B$44&gt;0),IF(Inputs!$B$44&lt;=0,0,(INT(Inputs!$B$44/IF(Inputs!$B$39="pvp",15,MAX(0.1,Skills!D18-IF(TRUE=TRUE,Inputs!$B$33,0))))+1)),0)</f>
        <v/>
      </c>
      <c r="S301">
        <f>IFERROR(O301/N301,0)</f>
        <v/>
      </c>
      <c r="T301" t="n">
        <v>0</v>
      </c>
      <c r="V301" t="n">
        <v>0</v>
      </c>
    </row>
    <row r="302">
      <c r="A302">
        <f>Skills!A19</f>
        <v/>
      </c>
      <c r="B302">
        <f>Skills!B19</f>
        <v/>
      </c>
      <c r="C302">
        <f>Inputs!$B$3&gt;=72</f>
        <v/>
      </c>
      <c r="D302">
        <f>IF(Skills!C19=1,60+Inputs!$B$26+Inputs!$B$30,IF(Skills!C19=2,90+Inputs!$B$27+Inputs!$B$30,IF(Skills!C19=3,120+Inputs!$B$28+Inputs!$B$30,MAX(0,(Inputs!$B$3-100)*3)+Inputs!$B$29+Inputs!$B$30)))</f>
        <v/>
      </c>
      <c r="E302">
        <f>INDEX(FactorTable!$B$2:$Y$301, MATCH(ROUND(MIN(300,MAX(1,D302)),0), FactorTable!$A$2:$A$301,0), Skills!M19+1)</f>
        <v/>
      </c>
      <c r="F302">
        <f>IF(Skills!N19=TRUE,(Skills!L19/10)*(E302/1000),Skills!L19/10)+Skills!O19</f>
        <v/>
      </c>
      <c r="G302">
        <f>Skills!G19*IF(Skills!H19&gt;0,INT(IF(Inputs!$B$39="pvp",MIN(Skills!I19,15),Skills!I19)/Skills!H19+0.000000001),1)</f>
        <v/>
      </c>
      <c r="H302">
        <f>1-(1-Skills!J19/100)^Skills!K19</f>
        <v/>
      </c>
      <c r="I302" t="inlineStr">
        <is>
          <t>1</t>
        </is>
      </c>
      <c r="J302" t="inlineStr"/>
      <c r="K302" t="inlineStr"/>
      <c r="L302" t="inlineStr"/>
      <c r="M302" t="inlineStr"/>
      <c r="N302" t="inlineStr"/>
      <c r="O302">
        <f>(1-Summary!$B$11)*T302+Summary!$B$11*V302</f>
        <v/>
      </c>
      <c r="P302">
        <f>IF(B322=0,0,O302/B322)</f>
        <v/>
      </c>
      <c r="Q302">
        <f>IFERROR(1/IF(Inputs!$B$39="pvp",15,MAX(0.1,Skills!D19-IF(TRUE=TRUE,Inputs!$B$33,0))),0)</f>
        <v/>
      </c>
      <c r="R302">
        <f>IF(AND(Inputs!$B$39&lt;&gt;"pvp",Inputs!$B$44&gt;0),IF(Inputs!$B$44&lt;=0,0,(INT(Inputs!$B$44/IF(Inputs!$B$39="pvp",15,MAX(0.1,Skills!D19-IF(TRUE=TRUE,Inputs!$B$33,0))))+1)),0)</f>
        <v/>
      </c>
      <c r="S302">
        <f>IFERROR(O302/N302,0)</f>
        <v/>
      </c>
      <c r="T302" t="n">
        <v>0</v>
      </c>
      <c r="V302" t="n">
        <v>0</v>
      </c>
    </row>
    <row r="303">
      <c r="A303">
        <f>Skills!A20</f>
        <v/>
      </c>
      <c r="B303">
        <f>Skills!B20</f>
        <v/>
      </c>
      <c r="C303">
        <f>TRUE</f>
        <v/>
      </c>
      <c r="D303">
        <f>IF(Skills!C20=1,60+Inputs!$B$26+Inputs!$B$30,IF(Skills!C20=2,90+Inputs!$B$27+Inputs!$B$30,IF(Skills!C20=3,120+Inputs!$B$28+Inputs!$B$30,MAX(0,(Inputs!$B$3-100)*3)+Inputs!$B$29+Inputs!$B$30)))</f>
        <v/>
      </c>
      <c r="E303">
        <f>INDEX(FactorTable!$B$2:$Y$301, MATCH(ROUND(MIN(300,MAX(1,D303)),0), FactorTable!$A$2:$A$301,0), Skills!M20+1)</f>
        <v/>
      </c>
      <c r="F303">
        <f>IF(Skills!N20=TRUE,(Skills!L20/10)*(E303/1000),Skills!L20/10)+Skills!O20</f>
        <v/>
      </c>
      <c r="G303">
        <f>Skills!G20*IF(Skills!H20&gt;0,INT(IF(Inputs!$B$39="pvp",MIN(Skills!I20,15),Skills!I20)/Skills!H20+0.000000001),1)</f>
        <v/>
      </c>
      <c r="H303">
        <f>1-(1-Skills!J20/100)^Skills!K20</f>
        <v/>
      </c>
      <c r="I303" t="inlineStr">
        <is>
          <t>1</t>
        </is>
      </c>
      <c r="J303" t="inlineStr"/>
      <c r="K303" t="inlineStr"/>
      <c r="L303" t="inlineStr"/>
      <c r="M303" t="inlineStr"/>
      <c r="N303" t="inlineStr"/>
      <c r="O303">
        <f>(1-Summary!$B$11)*T303+Summary!$B$11*V303</f>
        <v/>
      </c>
      <c r="P303">
        <f>IF(B322=0,0,O303/B322)</f>
        <v/>
      </c>
      <c r="Q303">
        <f>IFERROR(1/IF(Inputs!$B$39="pvp",15,MAX(0.1,Skills!D20-IF(TRUE=TRUE,Inputs!$B$33,0))),0)</f>
        <v/>
      </c>
      <c r="R303">
        <f>IF(AND(Inputs!$B$39&lt;&gt;"pvp",Inputs!$B$44&gt;0),IF(Inputs!$B$44&lt;=0,0,(INT(Inputs!$B$44/IF(Inputs!$B$39="pvp",15,MAX(0.1,Skills!D20-IF(TRUE=TRUE,Inputs!$B$33,0))))+1)),0)</f>
        <v/>
      </c>
      <c r="S303">
        <f>IFERROR(O303/N303,0)</f>
        <v/>
      </c>
      <c r="T303" t="n">
        <v>0</v>
      </c>
      <c r="V303" t="n">
        <v>0</v>
      </c>
    </row>
    <row r="304">
      <c r="A304">
        <f>Skills!A21</f>
        <v/>
      </c>
      <c r="B304">
        <f>Skills!B21</f>
        <v/>
      </c>
      <c r="C304">
        <f>Inputs!$B$3&gt;=33</f>
        <v/>
      </c>
      <c r="D304">
        <f>IF(Skills!C21=1,60+Inputs!$B$26+Inputs!$B$30,IF(Skills!C21=2,90+Inputs!$B$27+Inputs!$B$30,IF(Skills!C21=3,120+Inputs!$B$28+Inputs!$B$30,MAX(0,(Inputs!$B$3-100)*3)+Inputs!$B$29+Inputs!$B$30)))</f>
        <v/>
      </c>
      <c r="E304">
        <f>INDEX(FactorTable!$B$2:$Y$301, MATCH(ROUND(MIN(300,MAX(1,D304)),0), FactorTable!$A$2:$A$301,0), Skills!M21+1)</f>
        <v/>
      </c>
      <c r="F304">
        <f>IF(Skills!N21=TRUE,(Skills!L21/10)*(E304/1000),Skills!L21/10)+Skills!O21</f>
        <v/>
      </c>
      <c r="G304">
        <f>Skills!G21*IF(Skills!H21&gt;0,INT(IF(Inputs!$B$39="pvp",MIN(Skills!I21,15),Skills!I21)/Skills!H21+0.000000001),1)</f>
        <v/>
      </c>
      <c r="H304">
        <f>1-(1-Skills!J21/100)^Skills!K21</f>
        <v/>
      </c>
      <c r="I304" t="inlineStr">
        <is>
          <t>1</t>
        </is>
      </c>
      <c r="J304" t="inlineStr"/>
      <c r="K304" t="inlineStr"/>
      <c r="L304" t="inlineStr"/>
      <c r="M304" t="inlineStr"/>
      <c r="N304" t="inlineStr"/>
      <c r="O304">
        <f>(1-Summary!$B$11)*T304+Summary!$B$11*V304</f>
        <v/>
      </c>
      <c r="P304">
        <f>IF(B322=0,0,O304/B322)</f>
        <v/>
      </c>
      <c r="Q304" t="n">
        <v>0</v>
      </c>
      <c r="R304" t="n">
        <v>0</v>
      </c>
      <c r="S304">
        <f>IFERROR(O304/N304,0)</f>
        <v/>
      </c>
      <c r="T304" t="n">
        <v>0</v>
      </c>
      <c r="V304" t="n">
        <v>0</v>
      </c>
    </row>
    <row r="305">
      <c r="A305">
        <f>Skills!A22</f>
        <v/>
      </c>
      <c r="B305">
        <f>Skills!B22</f>
        <v/>
      </c>
      <c r="C305">
        <f>Inputs!$B$3&gt;=43</f>
        <v/>
      </c>
      <c r="D305">
        <f>IF(Skills!C22=1,60+Inputs!$B$26+Inputs!$B$30,IF(Skills!C22=2,90+Inputs!$B$27+Inputs!$B$30,IF(Skills!C22=3,120+Inputs!$B$28+Inputs!$B$30,MAX(0,(Inputs!$B$3-100)*3)+Inputs!$B$29+Inputs!$B$30)))</f>
        <v/>
      </c>
      <c r="E305">
        <f>INDEX(FactorTable!$B$2:$Y$301, MATCH(ROUND(MIN(300,MAX(1,D305)),0), FactorTable!$A$2:$A$301,0), Skills!M22+1)</f>
        <v/>
      </c>
      <c r="F305">
        <f>IF(Skills!N22=TRUE,(Skills!L22/10)*(E305/1000),Skills!L22/10)+Skills!O22</f>
        <v/>
      </c>
      <c r="G305">
        <f>Skills!G22*IF(Skills!H22&gt;0,INT(IF(Inputs!$B$39="pvp",MIN(Skills!I22,15),Skills!I22)/Skills!H22+0.000000001),1)</f>
        <v/>
      </c>
      <c r="H305">
        <f>1-(1-Skills!J22/100)^Skills!K22</f>
        <v/>
      </c>
      <c r="I305" t="inlineStr">
        <is>
          <t>1</t>
        </is>
      </c>
      <c r="J305" t="inlineStr"/>
      <c r="K305" t="inlineStr"/>
      <c r="L305" t="inlineStr"/>
      <c r="M305" t="inlineStr"/>
      <c r="N305" t="inlineStr"/>
      <c r="O305">
        <f>(1-Summary!$B$11)*T305+Summary!$B$11*V305</f>
        <v/>
      </c>
      <c r="P305">
        <f>IF(B322=0,0,O305/B322)</f>
        <v/>
      </c>
      <c r="Q305" t="n">
        <v>0</v>
      </c>
      <c r="R305" t="n">
        <v>0</v>
      </c>
      <c r="S305">
        <f>IFERROR(O305/N305,0)</f>
        <v/>
      </c>
      <c r="T305" t="n">
        <v>0</v>
      </c>
      <c r="V305" t="n">
        <v>0</v>
      </c>
    </row>
    <row r="306">
      <c r="A306">
        <f>Skills!A23</f>
        <v/>
      </c>
      <c r="B306">
        <f>Skills!B23</f>
        <v/>
      </c>
      <c r="C306">
        <f>Inputs!$B$3&gt;=120</f>
        <v/>
      </c>
      <c r="D306">
        <f>IF(Skills!C23=1,60+Inputs!$B$26+Inputs!$B$30,IF(Skills!C23=2,90+Inputs!$B$27+Inputs!$B$30,IF(Skills!C23=3,120+Inputs!$B$28+Inputs!$B$30,MAX(0,(Inputs!$B$3-100)*3)+Inputs!$B$29+Inputs!$B$30)))</f>
        <v/>
      </c>
      <c r="E306">
        <f>INDEX(FactorTable!$B$2:$Y$301, MATCH(ROUND(MIN(300,MAX(1,D306)),0), FactorTable!$A$2:$A$301,0), Skills!M23+1)</f>
        <v/>
      </c>
      <c r="F306">
        <f>IF(Skills!N23=TRUE,(Skills!L23/10)*(E306/1000),Skills!L23/10)+Skills!O23</f>
        <v/>
      </c>
      <c r="G306">
        <f>Skills!G23*IF(Skills!H23&gt;0,INT(IF(Inputs!$B$39="pvp",MIN(Skills!I23,15),Skills!I23)/Skills!H23+0.000000001),1)</f>
        <v/>
      </c>
      <c r="H306">
        <f>1-(1-Skills!J23/100)^Skills!K23</f>
        <v/>
      </c>
      <c r="I306" t="inlineStr">
        <is>
          <t>1</t>
        </is>
      </c>
      <c r="J306" t="inlineStr"/>
      <c r="K306" t="inlineStr"/>
      <c r="L306" t="inlineStr"/>
      <c r="M306" t="inlineStr"/>
      <c r="N306" t="inlineStr"/>
      <c r="O306">
        <f>(1-Summary!$B$11)*T306+Summary!$B$11*V306</f>
        <v/>
      </c>
      <c r="P306">
        <f>IF(B322=0,0,O306/B322)</f>
        <v/>
      </c>
      <c r="Q306" t="n">
        <v>0</v>
      </c>
      <c r="R306" t="n">
        <v>0</v>
      </c>
      <c r="S306">
        <f>IFERROR(O306/N306,0)</f>
        <v/>
      </c>
      <c r="T306" t="n">
        <v>0</v>
      </c>
      <c r="V306" t="n">
        <v>0</v>
      </c>
    </row>
    <row r="307">
      <c r="A307">
        <f>Skills!A24</f>
        <v/>
      </c>
      <c r="B307">
        <f>Skills!B24</f>
        <v/>
      </c>
      <c r="C307">
        <f>Inputs!$B$3&gt;=120</f>
        <v/>
      </c>
      <c r="D307">
        <f>IF(Skills!C24=1,60+Inputs!$B$26+Inputs!$B$30,IF(Skills!C24=2,90+Inputs!$B$27+Inputs!$B$30,IF(Skills!C24=3,120+Inputs!$B$28+Inputs!$B$30,MAX(0,(Inputs!$B$3-100)*3)+Inputs!$B$29+Inputs!$B$30)))</f>
        <v/>
      </c>
      <c r="E307">
        <f>INDEX(FactorTable!$B$2:$Y$301, MATCH(ROUND(MIN(300,MAX(1,D307)),0), FactorTable!$A$2:$A$301,0), Skills!M24+1)</f>
        <v/>
      </c>
      <c r="F307">
        <f>IF(Skills!N24=TRUE,(Skills!L24/10)*(E307/1000),Skills!L24/10)+Skills!O24</f>
        <v/>
      </c>
      <c r="G307">
        <f>Skills!G24*IF(Skills!H24&gt;0,INT(IF(Inputs!$B$39="pvp",MIN(Skills!I24,15),Skills!I24)/Skills!H24+0.000000001),1)</f>
        <v/>
      </c>
      <c r="H307">
        <f>1-(1-Skills!J24/100)^Skills!K24</f>
        <v/>
      </c>
      <c r="I307" t="inlineStr">
        <is>
          <t>1</t>
        </is>
      </c>
      <c r="J307" t="inlineStr"/>
      <c r="K307" t="inlineStr"/>
      <c r="L307" t="inlineStr"/>
      <c r="M307" t="inlineStr"/>
      <c r="N307" t="inlineStr"/>
      <c r="O307">
        <f>(1-Summary!$B$11)*T307+Summary!$B$11*V307</f>
        <v/>
      </c>
      <c r="P307">
        <f>IF(B322=0,0,O307/B322)</f>
        <v/>
      </c>
      <c r="Q307" t="n">
        <v>0</v>
      </c>
      <c r="R307" t="n">
        <v>0</v>
      </c>
      <c r="S307">
        <f>IFERROR(O307/N307,0)</f>
        <v/>
      </c>
      <c r="T307" t="n">
        <v>0</v>
      </c>
      <c r="V307" t="n">
        <v>0</v>
      </c>
    </row>
    <row r="308">
      <c r="A308">
        <f>Skills!A25</f>
        <v/>
      </c>
      <c r="B308">
        <f>Skills!B25</f>
        <v/>
      </c>
      <c r="C308">
        <f>Inputs!$B$3&gt;=125</f>
        <v/>
      </c>
      <c r="D308">
        <f>IF(Skills!C25=1,60+Inputs!$B$26+Inputs!$B$30,IF(Skills!C25=2,90+Inputs!$B$27+Inputs!$B$30,IF(Skills!C25=3,120+Inputs!$B$28+Inputs!$B$30,MAX(0,(Inputs!$B$3-100)*3)+Inputs!$B$29+Inputs!$B$30)))</f>
        <v/>
      </c>
      <c r="E308">
        <f>INDEX(FactorTable!$B$2:$Y$301, MATCH(ROUND(MIN(300,MAX(1,D308)),0), FactorTable!$A$2:$A$301,0), Skills!M25+1)</f>
        <v/>
      </c>
      <c r="F308">
        <f>IF(Skills!N25=TRUE,(Skills!L25/10)*(E308/1000),Skills!L25/10)+Skills!O25</f>
        <v/>
      </c>
      <c r="G308">
        <f>Skills!G25*IF(Skills!H25&gt;0,INT(IF(Inputs!$B$39="pvp",MIN(Skills!I25,15),Skills!I25)/Skills!H25+0.000000001),1)</f>
        <v/>
      </c>
      <c r="H308">
        <f>1-(1-Skills!J25/100)^Skills!K25</f>
        <v/>
      </c>
      <c r="I308" t="inlineStr">
        <is>
          <t>1</t>
        </is>
      </c>
      <c r="J308" t="inlineStr"/>
      <c r="K308" t="inlineStr"/>
      <c r="L308" t="inlineStr"/>
      <c r="M308" t="inlineStr"/>
      <c r="N308" t="inlineStr"/>
      <c r="O308">
        <f>(1-Summary!$B$11)*T308+Summary!$B$11*V308</f>
        <v/>
      </c>
      <c r="P308">
        <f>IF(B322=0,0,O308/B322)</f>
        <v/>
      </c>
      <c r="Q308" t="n">
        <v>0</v>
      </c>
      <c r="R308" t="n">
        <v>0</v>
      </c>
      <c r="S308">
        <f>IFERROR(O308/N308,0)</f>
        <v/>
      </c>
      <c r="T308" t="n">
        <v>0</v>
      </c>
      <c r="V308" t="n">
        <v>0</v>
      </c>
    </row>
    <row r="309">
      <c r="A309">
        <f>Skills!A26</f>
        <v/>
      </c>
      <c r="B309">
        <f>Skills!B26</f>
        <v/>
      </c>
      <c r="C309">
        <f>Inputs!$B$3&gt;=107</f>
        <v/>
      </c>
      <c r="D309">
        <f>IF(Skills!C26=1,60+Inputs!$B$26+Inputs!$B$30,IF(Skills!C26=2,90+Inputs!$B$27+Inputs!$B$30,IF(Skills!C26=3,120+Inputs!$B$28+Inputs!$B$30,MAX(0,(Inputs!$B$3-100)*3)+Inputs!$B$29+Inputs!$B$30)))</f>
        <v/>
      </c>
      <c r="E309">
        <f>INDEX(FactorTable!$B$2:$Y$301, MATCH(ROUND(MIN(300,MAX(1,D309)),0), FactorTable!$A$2:$A$301,0), Skills!M26+1)</f>
        <v/>
      </c>
      <c r="F309">
        <f>IF(Skills!N26=TRUE,(Skills!L26/10)*(E309/1000),Skills!L26/10)+Skills!O26</f>
        <v/>
      </c>
      <c r="G309">
        <f>Skills!G26*IF(Skills!H26&gt;0,INT(IF(Inputs!$B$39="pvp",MIN(Skills!I26,15),Skills!I26)/Skills!H26+0.000000001),1)</f>
        <v/>
      </c>
      <c r="H309">
        <f>1-(1-Skills!J26/100)^Skills!K26</f>
        <v/>
      </c>
      <c r="I309" t="inlineStr">
        <is>
          <t>1</t>
        </is>
      </c>
      <c r="J309" t="inlineStr"/>
      <c r="K309" t="inlineStr"/>
      <c r="L309" t="inlineStr"/>
      <c r="M309" t="inlineStr"/>
      <c r="N309" t="inlineStr"/>
      <c r="O309">
        <f>(1-Summary!$B$11)*T309+Summary!$B$11*V309</f>
        <v/>
      </c>
      <c r="P309">
        <f>IF(B322=0,0,O309/B322)</f>
        <v/>
      </c>
      <c r="Q309" t="n">
        <v>0</v>
      </c>
      <c r="R309" t="n">
        <v>0</v>
      </c>
      <c r="S309">
        <f>IFERROR(O309/N309,0)</f>
        <v/>
      </c>
      <c r="T309" t="n">
        <v>0</v>
      </c>
      <c r="V309" t="n">
        <v>0</v>
      </c>
    </row>
    <row r="311">
      <c r="A311" t="inlineStr">
        <is>
          <t>Attack% Bucket Multiplier</t>
        </is>
      </c>
      <c r="B311">
        <f>(1+(((C296=TRUE)*F296*IF(AND(Inputs!$B$39&lt;&gt;"pvp",Inputs!$B$44&gt;0),(((R296-1)*MIN((Skills!T13*(1+Inputs!$B$35/100)),(1/Q296))+MIN((Skills!T13*(1+Inputs!$B$35/100)),MAX(0,Inputs!$B$44-((R296-1)*(1/Q296)))))/Inputs!$B$44),IF(Inputs!$B$39="pvp",MIN((Skills!T13*(1+Inputs!$B$35/100)),15)/15,MIN(1,(Skills!T13*(1+Inputs!$B$35/100))/(1/Q296)))))+((C297=TRUE)*F297*IF(AND(Inputs!$B$39&lt;&gt;"pvp",Inputs!$B$44&gt;0),(((R297-1)*MIN((Skills!T14*(1+Inputs!$B$35/100)),(1/Q297))+MIN((Skills!T14*(1+Inputs!$B$35/100)),MAX(0,Inputs!$B$44-((R297-1)*(1/Q297)))))/Inputs!$B$44),IF(Inputs!$B$39="pvp",MIN((Skills!T14*(1+Inputs!$B$35/100)),15)/15,MIN(1,(Skills!T14*(1+Inputs!$B$35/100))/(1/Q297)))))+((C298=TRUE)*F298*IF(AND(Inputs!$B$39&lt;&gt;"pvp",Inputs!$B$44&gt;0),(((R298-1)*MIN((Skills!T15*(1+Inputs!$B$35/100)),(1/Q298))+MIN((Skills!T15*(1+Inputs!$B$35/100)),MAX(0,Inputs!$B$44-((R298-1)*(1/Q298)))))/Inputs!$B$44),IF(Inputs!$B$39="pvp",MIN((Skills!T15*(1+Inputs!$B$35/100)),15)/15,MIN(1,(Skills!T15*(1+Inputs!$B$35/100))/(1/Q298)))))+((C299=TRUE)*F299*IF(AND(Inputs!$B$39&lt;&gt;"pvp",Inputs!$B$44&gt;0),(((R299-1)*MIN((Skills!T16*(1+Inputs!$B$35/100)),(1/Q299))+MIN((Skills!T16*(1+Inputs!$B$35/100)),MAX(0,Inputs!$B$44-((R299-1)*(1/Q299)))))/Inputs!$B$44),IF(Inputs!$B$39="pvp",MIN((Skills!T16*(1+Inputs!$B$35/100)),15)/15,MIN(1,(Skills!T16*(1+Inputs!$B$35/100))/(1/Q299)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312">
      <c r="A312" t="inlineStr">
        <is>
          <t>Global Crit Rate Bonus % (Lord of Darkness)</t>
        </is>
      </c>
      <c r="B312">
        <f>((C301=TRUE)*F301*(Skills!J18/100)*IF(AND(Inputs!$B$39&lt;&gt;"pvp",Inputs!$B$44&gt;0),(((R301-1)*MIN((Skills!T18*(1+Inputs!$B$35/100)),(1/Q301))+MIN((Skills!T18*(1+Inputs!$B$35/100)),MAX(0,Inputs!$B$44-((R301-1)*(1/Q301)))))/Inputs!$B$44),IF(Inputs!$B$39="pvp",MIN((Skills!T18*(1+Inputs!$B$35/100)),15)/15,MIN(1,(Skills!T18*(1+Inputs!$B$35/100))/(1/Q301)))))</f>
        <v/>
      </c>
    </row>
    <row r="313">
      <c r="A313" t="inlineStr">
        <is>
          <t>Attack Speed Buff Bonus %</t>
        </is>
      </c>
      <c r="B313">
        <f>((C303=TRUE)*F303*IF(AND(Inputs!$B$39&lt;&gt;"pvp",Inputs!$B$44&gt;0),(((R303-1)*MIN((Skills!T20*(1+Inputs!$B$35/100)),(1/Q303))+MIN((Skills!T20*(1+Inputs!$B$35/100)),MAX(0,Inputs!$B$44-((R303-1)*(1/Q303)))))/Inputs!$B$44),IF(Inputs!$B$39="pvp",MIN((Skills!T20*(1+Inputs!$B$35/100)),15)/15,MIN(1,(Skills!T20*(1+Inputs!$B$35/100))/(1/Q303)))))</f>
        <v/>
      </c>
    </row>
    <row r="314">
      <c r="A314" t="inlineStr">
        <is>
          <t>Actions Per Second</t>
        </is>
      </c>
      <c r="B314">
        <f>1+MIN(150,150*(1-(1-(Inputs!$B$12+((C304=TRUE)*(F304-Calc!F21)))/150)*(1-B313/150)))/100</f>
        <v/>
      </c>
    </row>
    <row r="315">
      <c r="A315" t="inlineStr">
        <is>
          <t>Skill + Buff Cast Rate</t>
        </is>
      </c>
      <c r="B315">
        <f>IF(AND(Inputs!$B$39&lt;&gt;"pvp",Inputs!$B$44&gt;0),SUMPRODUCT((Skills!E2:E26=TRUE)*(C285:C309=TRUE)*R285:R309*Skills!F2:F26)/Inputs!$B$44,SUMPRODUCT((Skills!E2:E26=TRUE)*(C285:C309=TRUE)*Q285:Q309*Skills!F2:F26))</f>
        <v/>
      </c>
    </row>
    <row r="316">
      <c r="A316" t="inlineStr">
        <is>
          <t>Dark Impale Casts Per Second</t>
        </is>
      </c>
      <c r="B316">
        <f>MAX(0,B314-B315)</f>
        <v/>
      </c>
    </row>
    <row r="317">
      <c r="A317" t="inlineStr">
        <is>
          <t>Global Critical Damage Bonus % (Lord of Darkness)</t>
        </is>
      </c>
      <c r="B317">
        <f>((C302=TRUE)*F302*(Skills!J19/100)*IF(AND(Inputs!$B$39&lt;&gt;"pvp",Inputs!$B$44&gt;0),(((R302-1)*MIN((Skills!T19*(1+Inputs!$B$35/100)),(1/Q302))+MIN((Skills!T19*(1+Inputs!$B$35/100)),MAX(0,Inputs!$B$44-((R302-1)*(1/Q302)))))/Inputs!$B$44),IF(Inputs!$B$39="pvp",MIN((Skills!T19*(1+Inputs!$B$35/100)),15)/15,MIN(1,(Skills!T19*(1+Inputs!$B$35/100))/(1/Q302)))))</f>
        <v/>
      </c>
    </row>
    <row r="318">
      <c r="A318" t="inlineStr">
        <is>
          <t>Global Final Damage Bonus % (unused)</t>
        </is>
      </c>
      <c r="B318" t="n">
        <v>0</v>
      </c>
    </row>
    <row r="319">
      <c r="A319" t="inlineStr">
        <is>
          <t>Buff-Casting Startup Delay (s, fixed-duration only)</t>
        </is>
      </c>
      <c r="B319">
        <f>IF(AND(Inputs!$B$39&lt;&gt;"pvp",Inputs!$B$44&gt;0),SUMPRODUCT((Skills!T2:T26&gt;0)*(Skills!E2:E26=TRUE)*(C285:C309=TRUE))/B314,0)</f>
        <v/>
      </c>
    </row>
    <row r="320">
      <c r="A320" t="inlineStr">
        <is>
          <t>Boss-Only Total DPS (this block's swept value)</t>
        </is>
      </c>
      <c r="B320">
        <f>SUM(T285:T309)</f>
        <v/>
      </c>
    </row>
    <row r="321">
      <c r="A321" t="inlineStr">
        <is>
          <t>Normal-Only Total DPS (this block's swept value)</t>
        </is>
      </c>
      <c r="B321">
        <f>SUM(V285:V309)</f>
        <v/>
      </c>
    </row>
    <row r="322">
      <c r="A322" s="6" t="inlineStr">
        <is>
          <t>TOTAL DPS</t>
        </is>
      </c>
      <c r="B322" s="6">
        <f>SUM(O285:O309)</f>
        <v/>
      </c>
    </row>
    <row r="325">
      <c r="A325" s="6" t="inlineStr">
        <is>
          <t>Stat: DAMAGE_AMP %</t>
        </is>
      </c>
    </row>
    <row r="326">
      <c r="A326" s="5" t="inlineStr">
        <is>
          <t>Key</t>
        </is>
      </c>
      <c r="B326" s="5" t="inlineStr">
        <is>
          <t>Name</t>
        </is>
      </c>
      <c r="C326" s="5" t="inlineStr">
        <is>
          <t>Unlocked</t>
        </is>
      </c>
      <c r="D326" s="5" t="inlineStr">
        <is>
          <t>InputLevel</t>
        </is>
      </c>
      <c r="E326" s="5" t="inlineStr">
        <is>
          <t>Factor</t>
        </is>
      </c>
      <c r="F326" s="5" t="inlineStr">
        <is>
          <t>CoefficientPercent</t>
        </is>
      </c>
      <c r="G326" s="5" t="inlineStr">
        <is>
          <t>EffectiveHits</t>
        </is>
      </c>
      <c r="H326" s="5" t="inlineStr">
        <is>
          <t>ProcProbability</t>
        </is>
      </c>
      <c r="I326" s="5" t="inlineStr">
        <is>
          <t>MapleHeroMultiplier</t>
        </is>
      </c>
      <c r="J326" s="5" t="inlineStr">
        <is>
          <t>BaseDamage</t>
        </is>
      </c>
      <c r="K326" s="5" t="inlineStr">
        <is>
          <t>BaseHitDamage</t>
        </is>
      </c>
      <c r="L326" s="5" t="inlineStr">
        <is>
          <t>NonCritAvg</t>
        </is>
      </c>
      <c r="M326" s="5" t="inlineStr">
        <is>
          <t>CritAvg</t>
        </is>
      </c>
      <c r="N326" s="5" t="inlineStr">
        <is>
          <t>ExpectedDamage(perHit)</t>
        </is>
      </c>
      <c r="O326" s="5" t="inlineStr">
        <is>
          <t>DPS</t>
        </is>
      </c>
      <c r="P326" s="5" t="inlineStr">
        <is>
          <t>% of Total</t>
        </is>
      </c>
      <c r="Q326" s="5" t="inlineStr">
        <is>
          <t>InvCooldown</t>
        </is>
      </c>
      <c r="R326" s="5" t="inlineStr">
        <is>
          <t>CastsInFight</t>
        </is>
      </c>
      <c r="S326" s="5" t="inlineStr">
        <is>
          <t>HitRate(perSec)</t>
        </is>
      </c>
      <c r="U326" t="inlineStr">
        <is>
          <t>helpers</t>
        </is>
      </c>
    </row>
    <row r="327">
      <c r="A327">
        <f>Skills!A2</f>
        <v/>
      </c>
      <c r="B327">
        <f>Skills!B2</f>
        <v/>
      </c>
      <c r="C327">
        <f>Inputs!$B$3&gt;=100</f>
        <v/>
      </c>
      <c r="D327" t="inlineStr"/>
      <c r="E327" t="inlineStr"/>
      <c r="F327">
        <f>U329+Skills!O2</f>
        <v/>
      </c>
      <c r="G327">
        <f>Skills!G2*IF(Skills!H2&gt;0,INT(IF(Inputs!$B$39="pvp",MIN(Skills!I2,15),Skills!I2)/Skills!H2+0.000000001),1)</f>
        <v/>
      </c>
      <c r="H327">
        <f>1-(1-Skills!J2/100)^Skills!K2</f>
        <v/>
      </c>
      <c r="I327" t="inlineStr">
        <is>
          <t>1</t>
        </is>
      </c>
      <c r="J327">
        <f>((Inputs!$B$6*(1+Inputs!$B$7/100))+(((Inputs!$B$13*(1+Inputs!$B$14/100))-(Inputs!$B$13*(1+Inputs!$B$14/100)))+0.25*(Inputs!$B$15-Inputs!$B$15))*(1+Inputs!$B$7/100))*(F327/100)</f>
        <v/>
      </c>
      <c r="K327">
        <f>J327*(1+(((Inputs!$B$13+IF(Inputs!$B$3&gt;=38,(10*INDEX(FactorTable!$B$2:$Y$301, MATCH(ROUND(MIN(300,MAX(1,Inputs!$B$3)),0), FactorTable!$A$2:$A$301,0), 23)/1000)/100*(Inputs!$B$8*(1+Inputs!$B$9/100)),0))*(1+Inputs!$B$14/100))*0.01+Inputs!$B$15*0.0025)/100)*(1+Inputs!$B$16/100)*(1+(Inputs!$B$17+1)/100)*(5000/(6000+Inputs!$B$43*(1-(Inputs!$B$20+0)/100)))*(1+(Inputs!$B$25+((C350=TRUE)*(F350-Calc!F25))+((C351=TRUE)*(F351-Calc!F26))+B360)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gt;=100),MIN(100,((Inputs!$B$10+0+B354+(ArtifactsInput!$M$24-ArtifactsInput!$M$24)*CHOOSE(ArtifactsInput!$N$24+1,10,12,14,16,18,20)+IF(ArtifactsInput!$M$10,CHOOSE(ArtifactsInput!$N$10+1,15,18,21,24,27,30)*(IF(Inputs!$B$39="pvp",MIN(15,15)/15,IF(AND(Inputs!$B$39&lt;&gt;"pvp",Inputs!$B$44&gt;0),MIN(15,Inputs!$B$44)/(Inputs!$B$44),0))),0)))-100),0))*CHOOSE(ArtifactsInput!$N$42+1,0.6,0.72,0.84,0.96,1.08,1.2))),Inputs!$B$19+((C348=TRUE)*(F348-Calc!F23))+(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gt;=100),CHOOSE(ArtifactsInput!$N$42+1,40,48,56,64,72,80),0))))/100)*((1+(((C338=TRUE)*F338*IF(AND(Inputs!$B$39&lt;&gt;"pvp",Inputs!$B$44&gt;0),(((R338-1)*MIN((Skills!T13*(1+Inputs!$B$35/100)),(1/Q338))+MIN((Skills!T13*(1+Inputs!$B$35/100)),MAX(0,Inputs!$B$44-((R338-1)*(1/Q338)))))/Inputs!$B$44),IF(Inputs!$B$39="pvp",MIN((Skills!T13*(1+Inputs!$B$35/100)),15)/15,MIN(1,(Skills!T13*(1+Inputs!$B$35/100))/(1/Q338)))))+((C339=TRUE)*F339*IF(AND(Inputs!$B$39&lt;&gt;"pvp",Inputs!$B$44&gt;0),(((R339-1)*MIN((Skills!T14*(1+Inputs!$B$35/100)),(1/Q339))+MIN((Skills!T14*(1+Inputs!$B$35/100)),MAX(0,Inputs!$B$44-((R339-1)*(1/Q339)))))/Inputs!$B$44),IF(Inputs!$B$39="pvp",MIN((Skills!T14*(1+Inputs!$B$35/100)),15)/15,MIN(1,(Skills!T14*(1+Inputs!$B$35/100))/(1/Q339)))))+((C340=TRUE)*F340*IF(AND(Inputs!$B$39&lt;&gt;"pvp",Inputs!$B$44&gt;0),(((R340-1)*MIN((Skills!T15*(1+Inputs!$B$35/100)),(1/Q340))+MIN((Skills!T15*(1+Inputs!$B$35/100)),MAX(0,Inputs!$B$44-((R340-1)*(1/Q340)))))/Inputs!$B$44),IF(Inputs!$B$39="pvp",MIN((Skills!T15*(1+Inputs!$B$35/100)),15)/15,MIN(1,(Skills!T15*(1+Inputs!$B$35/100))/(1/Q340)))))+((C341=TRUE)*F341*IF(AND(Inputs!$B$39&lt;&gt;"pvp",Inputs!$B$44&gt;0),(((R341-1)*MIN((Skills!T16*(1+Inputs!$B$35/100)),(1/Q341))+MIN((Skills!T16*(1+Inputs!$B$35/100)),MAX(0,Inputs!$B$44-((R341-1)*(1/Q341)))))/Inputs!$B$44),IF(Inputs!$B$39="pvp",MIN((Skills!T16*(1+Inputs!$B$35/100)),15)/15,MIN(1,(Skills!T16*(1+Inputs!$B$35/100))/(1/Q341)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327)</f>
        <v/>
      </c>
      <c r="L327">
        <f>K327*(MIN(Inputs!$B$23+((C347=TRUE)*(F347-Calc!F22)),(Inputs!$B$24+((C349=TRUE)*(F349-Calc!F24))+(IF(ArtifactsInput!$M$15,CHOOSE(ArtifactsInput!$N$15+1,25,30,35,40,45,50)/100*(Inputs!$B$12-Inputs!$B$12),0))))/100+(Inputs!$B$24+((C349=TRUE)*(F349-Calc!F24))+(IF(ArtifactsInput!$M$15,CHOOSE(ArtifactsInput!$N$15+1,25,30,35,40,45,50)/100*(Inputs!$B$12-Inputs!$B$12),0)))/100)/2</f>
        <v/>
      </c>
      <c r="M327">
        <f>L327*(1+(Inputs!$B$11+0+B359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27">
        <f>L327*(1-MIN((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327*(MIN((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7">
        <f>(1-Summary!$B$11)*T327+Summary!$B$11*V327</f>
        <v/>
      </c>
      <c r="P327">
        <f>IF(B364=0,0,O327/B364)</f>
        <v/>
      </c>
      <c r="Q327" t="n">
        <v>0</v>
      </c>
      <c r="R327" t="n">
        <v>0</v>
      </c>
      <c r="S327">
        <f>IFERROR(O327/N327,0)</f>
        <v/>
      </c>
      <c r="T327">
        <f>IF(C327,(Skills!G2*N327*B358)*IF(Inputs!$B$39="pvp",1,1+(Inputs!$B$21+0+Skills!P2+((C342=TRUE)*F342*IF(AND(Inputs!$B$39&lt;&gt;"pvp",Inputs!$B$44&gt;0),(((R342-1)*MIN((Skills!T17*(1+Inputs!$B$35/100)),(1/Q342))+MIN((Skills!T17*(1+Inputs!$B$35/100)),MAX(0,Inputs!$B$44-((R342-1)*(1/Q342)))))/Inputs!$B$44),IF(Inputs!$B$39="pvp",MIN((Skills!T17*(1+Inputs!$B$35/100)),15)/15,MIN(1,(Skills!T17*(1+Inputs!$B$35/100))/(1/Q342)))))+((C330=TRUE)*IF(Inputs!$B$3&gt;=126,10*MIN(1,15*Q330),0))+((C339=TRUE)*IF(Inputs!$B$39="pvp",20,(1-Summary!$B$11)*(20)+Summary!$B$11*(0))*IF(AND(Inputs!$B$39&lt;&gt;"pvp",Inputs!$B$44&gt;0),(((R339-1)*MIN((Skills!T14*(1+Inputs!$B$35/100)),(1/Q339))+MIN((Skills!T14*(1+Inputs!$B$35/100)),MAX(0,Inputs!$B$44-((R339-1)*(1/Q339)))))/Inputs!$B$44),IF(Inputs!$B$39="pvp",MIN((Skills!T14*(1+Inputs!$B$35/100)),15)/15,MIN(1,(Skills!T14*(1+Inputs!$B$35/100))/(1/Q339)))))+((C338=TRUE)*IF(Inputs!$B$3&gt;=82,IF(Inputs!$B$39="pvp",20,(1-Summary!$B$11)*(20)+Summary!$B$11*(0)),0)*IF(AND(Inputs!$B$39&lt;&gt;"pvp",Inputs!$B$44&gt;0),(((R338-1)*MIN((Skills!T13*(1+Inputs!$B$35/100)),(1/Q338))+MIN((Skills!T13*(1+Inputs!$B$35/100)),MAX(0,Inputs!$B$44-((R338-1)*(1/Q338)))))/Inputs!$B$44),IF(Inputs!$B$39="pvp",MIN((Skills!T13*(1+Inputs!$B$35/100)),15)/15,MIN(1,(Skills!T13*(1+Inputs!$B$35/100))/(1/Q338)))))+(IF(AND(ArtifactsInput!$M$35,Inputs!$B$4&lt;&gt;"Chapter Hunt"),CHOOSE(ArtifactsInput!$N$35+1,15,18,21,24,27,30)*(1-EXP(-(0.2*B356)*5)),0)+IF(AND(ArtifactsInput!$M$22,Inputs!$B$4&lt;&gt;"Chapter Hunt"),CHOOSE(ArtifactsInput!$N$22+1,10,12,14,16,18,20)*((0*(((0.15*B356*5))^0/1)+1*(((0.15*B356*5))^1/1)+2*(((0.15*B356*5))^2/2)+3*(((0.15*B356*5))^3/6)+4*(((0.15*B356*5))^4/24)+5*(((0.15*B356*5))^5/120))/((((0.15*B356*5))^0/1)+(((0.15*B356*5))^1/1)+(((0.15*B356*5))^2/2)+(((0.15*B356*5))^3/6)+(((0.15*B356*5))^4/24)+(((0.15*B356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327*(1-MIN(100,(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327*(MIN(100,(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327*(1-MIN(100,(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327*(MIN(100,(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27">
        <f>MAX(0,(Inputs!$B$3-100)*3)+Inputs!$B$29+Inputs!$B$30</f>
        <v/>
      </c>
      <c r="V327">
        <f>IF(C327,(Skills!G2*N327*B358)*IF(Inputs!$B$39="pvp",1,(1+(Inputs!$B$22+Skills!Q2+((C342=TRUE)*F342*IF(AND(Inputs!$B$39&lt;&gt;"pvp",Inputs!$B$44&gt;0),(((R342-1)*MIN((Skills!T17*(1+Inputs!$B$35/100)),(1/Q342))+MIN((Skills!T17*(1+Inputs!$B$35/100)),MAX(0,Inputs!$B$44-((R342-1)*(1/Q342)))))/Inputs!$B$44),IF(Inputs!$B$39="pvp",MIN((Skills!T17*(1+Inputs!$B$35/100)),15)/15,MIN(1,(Skills!T17*(1+Inputs!$B$35/100))/(1/Q342)))))+((C330=TRUE)*IF(Inputs!$B$3&gt;=126,10*MIN(1,15*Q330),0))+((C339=TRUE)*IF(Inputs!$B$39="pvp",20,(1-Summary!$B$11)*(20)+Summary!$B$11*(0))*IF(AND(Inputs!$B$39&lt;&gt;"pvp",Inputs!$B$44&gt;0),(((R339-1)*MIN((Skills!T14*(1+Inputs!$B$35/100)),(1/Q339))+MIN((Skills!T14*(1+Inputs!$B$35/100)),MAX(0,Inputs!$B$44-((R339-1)*(1/Q339)))))/Inputs!$B$44),IF(Inputs!$B$39="pvp",MIN((Skills!T14*(1+Inputs!$B$35/100)),15)/15,MIN(1,(Skills!T14*(1+Inputs!$B$35/100))/(1/Q339)))))+((C338=TRUE)*IF(Inputs!$B$3&gt;=82,IF(Inputs!$B$39="pvp",20,(1-Summary!$B$11)*(20)+Summary!$B$11*(0)),0)*IF(AND(Inputs!$B$39&lt;&gt;"pvp",Inputs!$B$44&gt;0),(((R338-1)*MIN((Skills!T13*(1+Inputs!$B$35/100)),(1/Q338))+MIN((Skills!T13*(1+Inputs!$B$35/100)),MAX(0,Inputs!$B$44-((R338-1)*(1/Q338)))))/Inputs!$B$44),IF(Inputs!$B$39="pvp",MIN((Skills!T13*(1+Inputs!$B$35/100)),15)/15,MIN(1,(Skills!T13*(1+Inputs!$B$35/100))/(1/Q338)))))+(IF(AND(ArtifactsInput!$M$35,Inputs!$B$4&lt;&gt;"Chapter Hunt"),CHOOSE(ArtifactsInput!$N$35+1,15,18,21,24,27,30)*(1-EXP(-(0.2*B356)*5)),0)+IF(AND(ArtifactsInput!$M$22,Inputs!$B$4&lt;&gt;"Chapter Hunt"),CHOOSE(ArtifactsInput!$N$22+1,10,12,14,16,18,20)*((0*(((0.15*B356*5))^0/1)+1*(((0.15*B356*5))^1/1)+2*(((0.15*B356*5))^2/2)+3*(((0.15*B356*5))^3/6)+4*(((0.15*B356*5))^4/24)+5*(((0.15*B356*5))^5/120))/((((0.15*B356*5))^0/1)+(((0.15*B356*5))^1/1)+(((0.15*B356*5))^2/2)+(((0.15*B356*5))^3/6)+(((0.15*B356*5))^4/24)+(((0.15*B356*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8">
      <c r="A328">
        <f>Skills!A3</f>
        <v/>
      </c>
      <c r="B328">
        <f>Skills!B3</f>
        <v/>
      </c>
      <c r="C328">
        <f>Inputs!$B$3&gt;=50</f>
        <v/>
      </c>
      <c r="D328">
        <f>IF(Skills!C3=1,60+Inputs!$B$26+Inputs!$B$30,IF(Skills!C3=2,90+Inputs!$B$27+Inputs!$B$30,IF(Skills!C3=3,120+Inputs!$B$28+Inputs!$B$30,MAX(0,(Inputs!$B$3-100)*3)+Inputs!$B$29+Inputs!$B$30)))</f>
        <v/>
      </c>
      <c r="E328">
        <f>INDEX(FactorTable!$B$2:$Y$301, MATCH(ROUND(MIN(300,MAX(1,D328)),0), FactorTable!$A$2:$A$301,0), Skills!M3+1)</f>
        <v/>
      </c>
      <c r="F328">
        <f>IF(Skills!N3=TRUE,(Skills!L3/10)*(E328/1000),Skills!L3/10)+Skills!O3</f>
        <v/>
      </c>
      <c r="G328" t="inlineStr"/>
      <c r="H328" t="inlineStr"/>
      <c r="I328" t="inlineStr">
        <is>
          <t>1</t>
        </is>
      </c>
      <c r="J328" t="inlineStr"/>
      <c r="K328" t="inlineStr"/>
      <c r="L328" t="inlineStr"/>
      <c r="M328" t="inlineStr"/>
      <c r="N328" t="inlineStr"/>
      <c r="O328" t="inlineStr"/>
      <c r="P328" t="inlineStr"/>
      <c r="Q328" t="inlineStr"/>
      <c r="R328" t="inlineStr"/>
      <c r="S328" t="inlineStr"/>
      <c r="U328">
        <f>INDEX(FactorTable!$B$2:$Y$301, MATCH(ROUND(MIN(300,MAX(1,U327)),0), FactorTable!$A$2:$A$301,0), 22)</f>
        <v/>
      </c>
    </row>
    <row r="329">
      <c r="A329">
        <f>Skills!A4</f>
        <v/>
      </c>
      <c r="B329">
        <f>Skills!B4</f>
        <v/>
      </c>
      <c r="C329">
        <f>Inputs!$B$3&gt;=105</f>
        <v/>
      </c>
      <c r="D329">
        <f>IF(Skills!C4=1,60+Inputs!$B$26+Inputs!$B$30,IF(Skills!C4=2,90+Inputs!$B$27+Inputs!$B$30,IF(Skills!C4=3,120+Inputs!$B$28+Inputs!$B$30,MAX(0,(Inputs!$B$3-100)*3)+Inputs!$B$29+Inputs!$B$30)))</f>
        <v/>
      </c>
      <c r="E329">
        <f>INDEX(FactorTable!$B$2:$Y$301, MATCH(ROUND(MIN(300,MAX(1,D329)),0), FactorTable!$A$2:$A$301,0), Skills!M4+1)</f>
        <v/>
      </c>
      <c r="F329">
        <f>IF(Skills!N4=TRUE,(Skills!L4/10)*(E329/1000),Skills!L4/10)+Skills!O4</f>
        <v/>
      </c>
      <c r="G329" t="inlineStr"/>
      <c r="H329" t="inlineStr"/>
      <c r="I329" t="inlineStr">
        <is>
          <t>1</t>
        </is>
      </c>
      <c r="J329" t="inlineStr"/>
      <c r="K329" t="inlineStr"/>
      <c r="L329" t="inlineStr"/>
      <c r="M329" t="inlineStr"/>
      <c r="N329" t="inlineStr"/>
      <c r="O329" t="inlineStr"/>
      <c r="P329" t="inlineStr"/>
      <c r="Q329" t="inlineStr"/>
      <c r="R329" t="inlineStr"/>
      <c r="S329" t="inlineStr"/>
      <c r="U329">
        <f>290*U328/1000</f>
        <v/>
      </c>
    </row>
    <row r="330">
      <c r="A330">
        <f>Skills!A5</f>
        <v/>
      </c>
      <c r="B330">
        <f>Skills!B5</f>
        <v/>
      </c>
      <c r="C330">
        <f>Inputs!$B$3&gt;=117</f>
        <v/>
      </c>
      <c r="D330">
        <f>IF(Skills!C5=1,60+Inputs!$B$26+Inputs!$B$30,IF(Skills!C5=2,90+Inputs!$B$27+Inputs!$B$30,IF(Skills!C5=3,120+Inputs!$B$28+Inputs!$B$30,MAX(0,(Inputs!$B$3-100)*3)+Inputs!$B$29+Inputs!$B$30)))</f>
        <v/>
      </c>
      <c r="E330">
        <f>INDEX(FactorTable!$B$2:$Y$301, MATCH(ROUND(MIN(300,MAX(1,D330)),0), FactorTable!$A$2:$A$301,0), Skills!M5+1)</f>
        <v/>
      </c>
      <c r="F330">
        <f>IF(Skills!N5=TRUE,(Skills!L5/10)*(E330/1000),Skills!L5/10)+Skills!O5</f>
        <v/>
      </c>
      <c r="G330">
        <f>Skills!G5*IF(Skills!H5&gt;0,INT(IF(Inputs!$B$39="pvp",MIN(Skills!I5,15),Skills!I5)/Skills!H5+0.000000001),1)</f>
        <v/>
      </c>
      <c r="H330">
        <f>1-(1-Skills!J5/100)^Skills!K5</f>
        <v/>
      </c>
      <c r="I330" t="inlineStr">
        <is>
          <t>1</t>
        </is>
      </c>
      <c r="J330">
        <f>((Inputs!$B$6*(1+Inputs!$B$7/100))+(((Inputs!$B$13*(1+Inputs!$B$14/100))-(Inputs!$B$13*(1+Inputs!$B$14/100)))+0.25*(Inputs!$B$15-Inputs!$B$15))*(1+Inputs!$B$7/100))*(F330/100)</f>
        <v/>
      </c>
      <c r="K330">
        <f>J330*(1+(((Inputs!$B$13+IF(Inputs!$B$3&gt;=38,(10*INDEX(FactorTable!$B$2:$Y$301, MATCH(ROUND(MIN(300,MAX(1,Inputs!$B$3)),0), FactorTable!$A$2:$A$301,0), 23)/1000)/100*(Inputs!$B$8*(1+Inputs!$B$9/100)),0))*(1+Inputs!$B$14/100))*0.01+Inputs!$B$15*0.0025)/100)*(1+Inputs!$B$16/100)*(1+(Inputs!$B$17+1)/100)*(5000/(6000+Inputs!$B$43*(1-(Inputs!$B$20+0)/100)))*(1+(Inputs!$B$25+((C350=TRUE)*(F350-Calc!F25))+((C351=TRUE)*(F351-Calc!F26))+B360)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gt;=100),MIN(100,((Inputs!$B$10+0+B354+(ArtifactsInput!$M$24-ArtifactsInput!$M$24)*CHOOSE(ArtifactsInput!$N$24+1,10,12,14,16,18,20)+IF(ArtifactsInput!$M$10,CHOOSE(ArtifactsInput!$N$10+1,15,18,21,24,27,30)*(IF(Inputs!$B$39="pvp",MIN(15,15)/15,IF(AND(Inputs!$B$39&lt;&gt;"pvp",Inputs!$B$44&gt;0),MIN(15,Inputs!$B$44)/(Inputs!$B$44),0))),0)))-100),0))*CHOOSE(ArtifactsInput!$N$42+1,0.6,0.72,0.84,0.96,1.08,1.2))),Inputs!$B$19+((C348=TRUE)*(F348-Calc!F23))+(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gt;=100),CHOOSE(ArtifactsInput!$N$42+1,40,48,56,64,72,80),0))))/100)*((1+(((C338=TRUE)*F338*IF(AND(Inputs!$B$39&lt;&gt;"pvp",Inputs!$B$44&gt;0),(((R338-1)*MIN((Skills!T13*(1+Inputs!$B$35/100)),(1/Q338))+MIN((Skills!T13*(1+Inputs!$B$35/100)),MAX(0,Inputs!$B$44-((R338-1)*(1/Q338)))))/Inputs!$B$44),IF(Inputs!$B$39="pvp",MIN((Skills!T13*(1+Inputs!$B$35/100)),15)/15,MIN(1,(Skills!T13*(1+Inputs!$B$35/100))/(1/Q338)))))+((C339=TRUE)*F339*IF(AND(Inputs!$B$39&lt;&gt;"pvp",Inputs!$B$44&gt;0),(((R339-1)*MIN((Skills!T14*(1+Inputs!$B$35/100)),(1/Q339))+MIN((Skills!T14*(1+Inputs!$B$35/100)),MAX(0,Inputs!$B$44-((R339-1)*(1/Q339)))))/Inputs!$B$44),IF(Inputs!$B$39="pvp",MIN((Skills!T14*(1+Inputs!$B$35/100)),15)/15,MIN(1,(Skills!T14*(1+Inputs!$B$35/100))/(1/Q339)))))+((C340=TRUE)*F340*IF(AND(Inputs!$B$39&lt;&gt;"pvp",Inputs!$B$44&gt;0),(((R340-1)*MIN((Skills!T15*(1+Inputs!$B$35/100)),(1/Q340))+MIN((Skills!T15*(1+Inputs!$B$35/100)),MAX(0,Inputs!$B$44-((R340-1)*(1/Q340)))))/Inputs!$B$44),IF(Inputs!$B$39="pvp",MIN((Skills!T15*(1+Inputs!$B$35/100)),15)/15,MIN(1,(Skills!T15*(1+Inputs!$B$35/100))/(1/Q340)))))+((C341=TRUE)*F341*IF(AND(Inputs!$B$39&lt;&gt;"pvp",Inputs!$B$44&gt;0),(((R341-1)*MIN((Skills!T16*(1+Inputs!$B$35/100)),(1/Q341))+MIN((Skills!T16*(1+Inputs!$B$35/100)),MAX(0,Inputs!$B$44-((R341-1)*(1/Q341)))))/Inputs!$B$44),IF(Inputs!$B$39="pvp",MIN((Skills!T16*(1+Inputs!$B$35/100)),15)/15,MIN(1,(Skills!T16*(1+Inputs!$B$35/100))/(1/Q341)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330)</f>
        <v/>
      </c>
      <c r="L330">
        <f>K330*(MIN(Inputs!$B$23+((C347=TRUE)*(F347-Calc!F22)),(Inputs!$B$24+((C349=TRUE)*(F349-Calc!F24))+(IF(ArtifactsInput!$M$15,CHOOSE(ArtifactsInput!$N$15+1,25,30,35,40,45,50)/100*(Inputs!$B$12-Inputs!$B$12),0))))/100+(Inputs!$B$24+((C349=TRUE)*(F349-Calc!F24))+(IF(ArtifactsInput!$M$15,CHOOSE(ArtifactsInput!$N$15+1,25,30,35,40,45,50)/100*(Inputs!$B$12-Inputs!$B$12),0)))/100)/2</f>
        <v/>
      </c>
      <c r="M330">
        <f>L330*(1+(Inputs!$B$11+0+B359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30">
        <f>L330*(1-MIN((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330*(MIN((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0">
        <f>(1-Summary!$B$11)*T330+Summary!$B$11*V330</f>
        <v/>
      </c>
      <c r="P330">
        <f>IF(B364=0,0,O330/B364)</f>
        <v/>
      </c>
      <c r="Q330">
        <f>IFERROR(1/IF(Inputs!$B$39="pvp",15,MAX(0.1,Skills!D5-IF(TRUE=TRUE,Inputs!$B$33,0))),0)</f>
        <v/>
      </c>
      <c r="R330">
        <f>IF(AND(Inputs!$B$39&lt;&gt;"pvp",Inputs!$B$44&gt;0),IF(MAX(0,Inputs!$B$44-B361)&lt;=0,0,(INT(MAX(0,Inputs!$B$44-B361)/IF(Inputs!$B$39="pvp",15,MAX(0.1,Skills!D5-IF(TRUE=TRUE,Inputs!$B$33,0))))+1)),0)</f>
        <v/>
      </c>
      <c r="S330">
        <f>IFERROR(O330/N330,0)</f>
        <v/>
      </c>
      <c r="T330">
        <f>IF(C330,(H330*N330*IF(AND(Inputs!$B$39&lt;&gt;"pvp",Inputs!$B$44&gt;0),((Skills!G5*((R330-1)*IF(Skills!H5&gt;0,INT(Skills!I5/Skills!H5+0.000000001),1)+IF(Skills!H5&gt;0,INT(MIN(Skills!I5,MAX(0,MAX(0,Inputs!$B$44-B361)-((R330-1)*IF(Inputs!$B$39="pvp",15,MAX(0.1,Skills!D5-IF(TRUE=TRUE,Inputs!$B$33,0))))))/Skills!H5+0.000000001),1)))/Inputs!$B$44),G330*Q330))*IF(Inputs!$B$39="pvp",1,1+(Inputs!$B$21+0+Skills!P5+((C342=TRUE)*F342*IF(AND(Inputs!$B$39&lt;&gt;"pvp",Inputs!$B$44&gt;0),(((R342-1)*MIN((Skills!T17*(1+Inputs!$B$35/100)),(1/Q342))+MIN((Skills!T17*(1+Inputs!$B$35/100)),MAX(0,Inputs!$B$44-((R342-1)*(1/Q342)))))/Inputs!$B$44),IF(Inputs!$B$39="pvp",MIN((Skills!T17*(1+Inputs!$B$35/100)),15)/15,MIN(1,(Skills!T17*(1+Inputs!$B$35/100))/(1/Q342)))))+((C330=TRUE)*IF(Inputs!$B$3&gt;=126,10*MIN(1,15*Q330),0))+((C339=TRUE)*IF(Inputs!$B$39="pvp",20,(1-Summary!$B$11)*(20)+Summary!$B$11*(0))*IF(AND(Inputs!$B$39&lt;&gt;"pvp",Inputs!$B$44&gt;0),(((R339-1)*MIN((Skills!T14*(1+Inputs!$B$35/100)),(1/Q339))+MIN((Skills!T14*(1+Inputs!$B$35/100)),MAX(0,Inputs!$B$44-((R339-1)*(1/Q339)))))/Inputs!$B$44),IF(Inputs!$B$39="pvp",MIN((Skills!T14*(1+Inputs!$B$35/100)),15)/15,MIN(1,(Skills!T14*(1+Inputs!$B$35/100))/(1/Q339)))))+((C338=TRUE)*IF(Inputs!$B$3&gt;=82,IF(Inputs!$B$39="pvp",20,(1-Summary!$B$11)*(20)+Summary!$B$11*(0)),0)*IF(AND(Inputs!$B$39&lt;&gt;"pvp",Inputs!$B$44&gt;0),(((R338-1)*MIN((Skills!T13*(1+Inputs!$B$35/100)),(1/Q338))+MIN((Skills!T13*(1+Inputs!$B$35/100)),MAX(0,Inputs!$B$44-((R338-1)*(1/Q338)))))/Inputs!$B$44),IF(Inputs!$B$39="pvp",MIN((Skills!T13*(1+Inputs!$B$35/100)),15)/15,MIN(1,(Skills!T13*(1+Inputs!$B$35/100))/(1/Q338)))))+(IF(AND(ArtifactsInput!$M$35,Inputs!$B$4&lt;&gt;"Chapter Hunt"),CHOOSE(ArtifactsInput!$N$35+1,15,18,21,24,27,30)*(1-EXP(-(0.2*B356)*5)),0)+IF(AND(ArtifactsInput!$M$22,Inputs!$B$4&lt;&gt;"Chapter Hunt"),CHOOSE(ArtifactsInput!$N$22+1,10,12,14,16,18,20)*((0*(((0.15*B356*5))^0/1)+1*(((0.15*B356*5))^1/1)+2*(((0.15*B356*5))^2/2)+3*(((0.15*B356*5))^3/6)+4*(((0.15*B356*5))^4/24)+5*(((0.15*B356*5))^5/120))/((((0.15*B356*5))^0/1)+(((0.15*B356*5))^1/1)+(((0.15*B356*5))^2/2)+(((0.15*B356*5))^3/6)+(((0.15*B356*5))^4/24)+(((0.15*B356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330*(1-MIN(100,(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330*(MIN(100,(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330*(1-MIN(100,(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330*(MIN(100,(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0">
        <f>IF(C330,(H330*N330*IF(AND(Inputs!$B$39&lt;&gt;"pvp",Inputs!$B$44&gt;0),((Skills!G5*((R330-1)*IF(Skills!H5&gt;0,INT(Skills!I5/Skills!H5+0.000000001),1)+IF(Skills!H5&gt;0,INT(MIN(Skills!I5,MAX(0,MAX(0,Inputs!$B$44-B361)-((R330-1)*IF(Inputs!$B$39="pvp",15,MAX(0.1,Skills!D5-IF(TRUE=TRUE,Inputs!$B$33,0))))))/Skills!H5+0.000000001),1)))/Inputs!$B$44),G330*Q330))*IF(Inputs!$B$39="pvp",1,(1+(Inputs!$B$22+Skills!Q5+((C342=TRUE)*F342*IF(AND(Inputs!$B$39&lt;&gt;"pvp",Inputs!$B$44&gt;0),(((R342-1)*MIN((Skills!T17*(1+Inputs!$B$35/100)),(1/Q342))+MIN((Skills!T17*(1+Inputs!$B$35/100)),MAX(0,Inputs!$B$44-((R342-1)*(1/Q342)))))/Inputs!$B$44),IF(Inputs!$B$39="pvp",MIN((Skills!T17*(1+Inputs!$B$35/100)),15)/15,MIN(1,(Skills!T17*(1+Inputs!$B$35/100))/(1/Q342)))))+((C330=TRUE)*IF(Inputs!$B$3&gt;=126,10*MIN(1,15*Q330),0))+((C339=TRUE)*IF(Inputs!$B$39="pvp",20,(1-Summary!$B$11)*(20)+Summary!$B$11*(0))*IF(AND(Inputs!$B$39&lt;&gt;"pvp",Inputs!$B$44&gt;0),(((R339-1)*MIN((Skills!T14*(1+Inputs!$B$35/100)),(1/Q339))+MIN((Skills!T14*(1+Inputs!$B$35/100)),MAX(0,Inputs!$B$44-((R339-1)*(1/Q339)))))/Inputs!$B$44),IF(Inputs!$B$39="pvp",MIN((Skills!T14*(1+Inputs!$B$35/100)),15)/15,MIN(1,(Skills!T14*(1+Inputs!$B$35/100))/(1/Q339)))))+((C338=TRUE)*IF(Inputs!$B$3&gt;=82,IF(Inputs!$B$39="pvp",20,(1-Summary!$B$11)*(20)+Summary!$B$11*(0)),0)*IF(AND(Inputs!$B$39&lt;&gt;"pvp",Inputs!$B$44&gt;0),(((R338-1)*MIN((Skills!T13*(1+Inputs!$B$35/100)),(1/Q338))+MIN((Skills!T13*(1+Inputs!$B$35/100)),MAX(0,Inputs!$B$44-((R338-1)*(1/Q338)))))/Inputs!$B$44),IF(Inputs!$B$39="pvp",MIN((Skills!T13*(1+Inputs!$B$35/100)),15)/15,MIN(1,(Skills!T13*(1+Inputs!$B$35/100))/(1/Q338)))))+(IF(AND(ArtifactsInput!$M$35,Inputs!$B$4&lt;&gt;"Chapter Hunt"),CHOOSE(ArtifactsInput!$N$35+1,15,18,21,24,27,30)*(1-EXP(-(0.2*B356)*5)),0)+IF(AND(ArtifactsInput!$M$22,Inputs!$B$4&lt;&gt;"Chapter Hunt"),CHOOSE(ArtifactsInput!$N$22+1,10,12,14,16,18,20)*((0*(((0.15*B356*5))^0/1)+1*(((0.15*B356*5))^1/1)+2*(((0.15*B356*5))^2/2)+3*(((0.15*B356*5))^3/6)+4*(((0.15*B356*5))^4/24)+5*(((0.15*B356*5))^5/120))/((((0.15*B356*5))^0/1)+(((0.15*B356*5))^1/1)+(((0.15*B356*5))^2/2)+(((0.15*B356*5))^3/6)+(((0.15*B356*5))^4/24)+(((0.15*B356*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1">
      <c r="A331">
        <f>Skills!A6</f>
        <v/>
      </c>
      <c r="B331">
        <f>Skills!B6</f>
        <v/>
      </c>
      <c r="C331">
        <f>Inputs!$B$3&gt;=103</f>
        <v/>
      </c>
      <c r="D331">
        <f>IF(Skills!C6=1,60+Inputs!$B$26+Inputs!$B$30,IF(Skills!C6=2,90+Inputs!$B$27+Inputs!$B$30,IF(Skills!C6=3,120+Inputs!$B$28+Inputs!$B$30,MAX(0,(Inputs!$B$3-100)*3)+Inputs!$B$29+Inputs!$B$30)))</f>
        <v/>
      </c>
      <c r="E331">
        <f>INDEX(FactorTable!$B$2:$Y$301, MATCH(ROUND(MIN(300,MAX(1,D331)),0), FactorTable!$A$2:$A$301,0), Skills!M6+1)</f>
        <v/>
      </c>
      <c r="F331">
        <f>IF(Skills!N6=TRUE,(Skills!L6/10)*(E331/1000),Skills!L6/10)+Skills!O6</f>
        <v/>
      </c>
      <c r="G331">
        <f>Skills!G6*IF(Skills!H6&gt;0,INT(IF(Inputs!$B$39="pvp",MIN(Skills!I6,15),Skills!I6)/Skills!H6+0.000000001),1)</f>
        <v/>
      </c>
      <c r="H331">
        <f>1-(1-Skills!J6/100)^Skills!K6</f>
        <v/>
      </c>
      <c r="I331" t="inlineStr">
        <is>
          <t>1</t>
        </is>
      </c>
      <c r="J331">
        <f>((Inputs!$B$6*(1+Inputs!$B$7/100))+(((Inputs!$B$13*(1+Inputs!$B$14/100))-(Inputs!$B$13*(1+Inputs!$B$14/100)))+0.25*(Inputs!$B$15-Inputs!$B$15))*(1+Inputs!$B$7/100))*(F331/100)</f>
        <v/>
      </c>
      <c r="K331">
        <f>J331*(1+(((Inputs!$B$13+IF(Inputs!$B$3&gt;=38,(10*INDEX(FactorTable!$B$2:$Y$301, MATCH(ROUND(MIN(300,MAX(1,Inputs!$B$3)),0), FactorTable!$A$2:$A$301,0), 23)/1000)/100*(Inputs!$B$8*(1+Inputs!$B$9/100)),0))*(1+Inputs!$B$14/100))*0.01+Inputs!$B$15*0.0025)/100)*(1+Inputs!$B$16/100)*(1+(Inputs!$B$17+1)/100)*(5000/(6000+Inputs!$B$43*(1-(Inputs!$B$20+0)/100)))*(1+(Inputs!$B$25+((C350=TRUE)*(F350-Calc!F25))+((C351=TRUE)*(F351-Calc!F26))+B360)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gt;=100),MIN(100,((Inputs!$B$10+0+B354+(ArtifactsInput!$M$24-ArtifactsInput!$M$24)*CHOOSE(ArtifactsInput!$N$24+1,10,12,14,16,18,20)+IF(ArtifactsInput!$M$10,CHOOSE(ArtifactsInput!$N$10+1,15,18,21,24,27,30)*(IF(Inputs!$B$39="pvp",MIN(15,15)/15,IF(AND(Inputs!$B$39&lt;&gt;"pvp",Inputs!$B$44&gt;0),MIN(15,Inputs!$B$44)/(Inputs!$B$44),0))),0)))-100),0))*CHOOSE(ArtifactsInput!$N$42+1,0.6,0.72,0.84,0.96,1.08,1.2))),Inputs!$B$19+((C348=TRUE)*(F348-Calc!F23))+(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gt;=100),CHOOSE(ArtifactsInput!$N$42+1,40,48,56,64,72,80),0))))/100)*((1+(((C338=TRUE)*F338*IF(AND(Inputs!$B$39&lt;&gt;"pvp",Inputs!$B$44&gt;0),(((R338-1)*MIN((Skills!T13*(1+Inputs!$B$35/100)),(1/Q338))+MIN((Skills!T13*(1+Inputs!$B$35/100)),MAX(0,Inputs!$B$44-((R338-1)*(1/Q338)))))/Inputs!$B$44),IF(Inputs!$B$39="pvp",MIN((Skills!T13*(1+Inputs!$B$35/100)),15)/15,MIN(1,(Skills!T13*(1+Inputs!$B$35/100))/(1/Q338)))))+((C339=TRUE)*F339*IF(AND(Inputs!$B$39&lt;&gt;"pvp",Inputs!$B$44&gt;0),(((R339-1)*MIN((Skills!T14*(1+Inputs!$B$35/100)),(1/Q339))+MIN((Skills!T14*(1+Inputs!$B$35/100)),MAX(0,Inputs!$B$44-((R339-1)*(1/Q339)))))/Inputs!$B$44),IF(Inputs!$B$39="pvp",MIN((Skills!T14*(1+Inputs!$B$35/100)),15)/15,MIN(1,(Skills!T14*(1+Inputs!$B$35/100))/(1/Q339)))))+((C340=TRUE)*F340*IF(AND(Inputs!$B$39&lt;&gt;"pvp",Inputs!$B$44&gt;0),(((R340-1)*MIN((Skills!T15*(1+Inputs!$B$35/100)),(1/Q340))+MIN((Skills!T15*(1+Inputs!$B$35/100)),MAX(0,Inputs!$B$44-((R340-1)*(1/Q340)))))/Inputs!$B$44),IF(Inputs!$B$39="pvp",MIN((Skills!T15*(1+Inputs!$B$35/100)),15)/15,MIN(1,(Skills!T15*(1+Inputs!$B$35/100))/(1/Q340)))))+((C341=TRUE)*F341*IF(AND(Inputs!$B$39&lt;&gt;"pvp",Inputs!$B$44&gt;0),(((R341-1)*MIN((Skills!T16*(1+Inputs!$B$35/100)),(1/Q341))+MIN((Skills!T16*(1+Inputs!$B$35/100)),MAX(0,Inputs!$B$44-((R341-1)*(1/Q341)))))/Inputs!$B$44),IF(Inputs!$B$39="pvp",MIN((Skills!T16*(1+Inputs!$B$35/100)),15)/15,MIN(1,(Skills!T16*(1+Inputs!$B$35/100))/(1/Q341)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331)</f>
        <v/>
      </c>
      <c r="L331">
        <f>K331*(MIN(Inputs!$B$23+((C347=TRUE)*(F347-Calc!F22)),(Inputs!$B$24+((C349=TRUE)*(F349-Calc!F24))+(IF(ArtifactsInput!$M$15,CHOOSE(ArtifactsInput!$N$15+1,25,30,35,40,45,50)/100*(Inputs!$B$12-Inputs!$B$12),0))))/100+(Inputs!$B$24+((C349=TRUE)*(F349-Calc!F24))+(IF(ArtifactsInput!$M$15,CHOOSE(ArtifactsInput!$N$15+1,25,30,35,40,45,50)/100*(Inputs!$B$12-Inputs!$B$12),0)))/100)/2</f>
        <v/>
      </c>
      <c r="M331">
        <f>L331*(1+(Inputs!$B$11+0+B359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31">
        <f>L331*(1-MIN((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331*(MIN((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1">
        <f>(1-Summary!$B$11)*T331+Summary!$B$11*V331</f>
        <v/>
      </c>
      <c r="P331">
        <f>IF(B364=0,0,O331/B364)</f>
        <v/>
      </c>
      <c r="Q331">
        <f>IFERROR(1/IF(Inputs!$B$39="pvp",15,MAX(0.1,Skills!D6-IF(TRUE=TRUE,Inputs!$B$33,0))),0)</f>
        <v/>
      </c>
      <c r="R331">
        <f>IF(AND(Inputs!$B$39&lt;&gt;"pvp",Inputs!$B$44&gt;0),IF(MAX(0,Inputs!$B$44-B361)&lt;=0,0,(INT(MAX(0,Inputs!$B$44-B361)/IF(Inputs!$B$39="pvp",15,MAX(0.1,Skills!D6-IF(TRUE=TRUE,Inputs!$B$33,0))))+1)),0)</f>
        <v/>
      </c>
      <c r="S331">
        <f>IFERROR(O331/N331,0)</f>
        <v/>
      </c>
      <c r="T331">
        <f>IF(C331,(H331*N331*IF(AND(Inputs!$B$39&lt;&gt;"pvp",Inputs!$B$44&gt;0),((Skills!G6*((R331-1)*IF(Skills!H6&gt;0,INT(Skills!I6/Skills!H6+0.000000001),1)+IF(Skills!H6&gt;0,INT(MIN(Skills!I6,MAX(0,MAX(0,Inputs!$B$44-B361)-((R331-1)*IF(Inputs!$B$39="pvp",15,MAX(0.1,Skills!D6-IF(TRUE=TRUE,Inputs!$B$33,0))))))/Skills!H6+0.000000001),1)))/Inputs!$B$44),G331*Q331))*IF(Inputs!$B$39="pvp",1,1+(Inputs!$B$21+0+Skills!P6+((C342=TRUE)*F342*IF(AND(Inputs!$B$39&lt;&gt;"pvp",Inputs!$B$44&gt;0),(((R342-1)*MIN((Skills!T17*(1+Inputs!$B$35/100)),(1/Q342))+MIN((Skills!T17*(1+Inputs!$B$35/100)),MAX(0,Inputs!$B$44-((R342-1)*(1/Q342)))))/Inputs!$B$44),IF(Inputs!$B$39="pvp",MIN((Skills!T17*(1+Inputs!$B$35/100)),15)/15,MIN(1,(Skills!T17*(1+Inputs!$B$35/100))/(1/Q342)))))+((C330=TRUE)*IF(Inputs!$B$3&gt;=126,10*MIN(1,15*Q330),0))+((C339=TRUE)*IF(Inputs!$B$39="pvp",20,(1-Summary!$B$11)*(20)+Summary!$B$11*(0))*IF(AND(Inputs!$B$39&lt;&gt;"pvp",Inputs!$B$44&gt;0),(((R339-1)*MIN((Skills!T14*(1+Inputs!$B$35/100)),(1/Q339))+MIN((Skills!T14*(1+Inputs!$B$35/100)),MAX(0,Inputs!$B$44-((R339-1)*(1/Q339)))))/Inputs!$B$44),IF(Inputs!$B$39="pvp",MIN((Skills!T14*(1+Inputs!$B$35/100)),15)/15,MIN(1,(Skills!T14*(1+Inputs!$B$35/100))/(1/Q339)))))+((C338=TRUE)*IF(Inputs!$B$3&gt;=82,IF(Inputs!$B$39="pvp",20,(1-Summary!$B$11)*(20)+Summary!$B$11*(0)),0)*IF(AND(Inputs!$B$39&lt;&gt;"pvp",Inputs!$B$44&gt;0),(((R338-1)*MIN((Skills!T13*(1+Inputs!$B$35/100)),(1/Q338))+MIN((Skills!T13*(1+Inputs!$B$35/100)),MAX(0,Inputs!$B$44-((R338-1)*(1/Q338)))))/Inputs!$B$44),IF(Inputs!$B$39="pvp",MIN((Skills!T13*(1+Inputs!$B$35/100)),15)/15,MIN(1,(Skills!T13*(1+Inputs!$B$35/100))/(1/Q338)))))+(IF(AND(ArtifactsInput!$M$35,Inputs!$B$4&lt;&gt;"Chapter Hunt"),CHOOSE(ArtifactsInput!$N$35+1,15,18,21,24,27,30)*(1-EXP(-(0.2*B356)*5)),0)+IF(AND(ArtifactsInput!$M$22,Inputs!$B$4&lt;&gt;"Chapter Hunt"),CHOOSE(ArtifactsInput!$N$22+1,10,12,14,16,18,20)*((0*(((0.15*B356*5))^0/1)+1*(((0.15*B356*5))^1/1)+2*(((0.15*B356*5))^2/2)+3*(((0.15*B356*5))^3/6)+4*(((0.15*B356*5))^4/24)+5*(((0.15*B356*5))^5/120))/((((0.15*B356*5))^0/1)+(((0.15*B356*5))^1/1)+(((0.15*B356*5))^2/2)+(((0.15*B356*5))^3/6)+(((0.15*B356*5))^4/24)+(((0.15*B356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331*(1-MIN(100,(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331*(MIN(100,(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331*(1-MIN(100,(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331*(MIN(100,(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1">
        <f>IF(C331,(H331*N331*IF(AND(Inputs!$B$39&lt;&gt;"pvp",Inputs!$B$44&gt;0),((Skills!G6*((R331-1)*IF(Skills!H6&gt;0,INT(Skills!I6/Skills!H6+0.000000001),1)+IF(Skills!H6&gt;0,INT(MIN(Skills!I6,MAX(0,MAX(0,Inputs!$B$44-B361)-((R331-1)*IF(Inputs!$B$39="pvp",15,MAX(0.1,Skills!D6-IF(TRUE=TRUE,Inputs!$B$33,0))))))/Skills!H6+0.000000001),1)))/Inputs!$B$44),G331*Q331))*IF(Inputs!$B$39="pvp",1,(1+(Inputs!$B$22+Skills!Q6+((C342=TRUE)*F342*IF(AND(Inputs!$B$39&lt;&gt;"pvp",Inputs!$B$44&gt;0),(((R342-1)*MIN((Skills!T17*(1+Inputs!$B$35/100)),(1/Q342))+MIN((Skills!T17*(1+Inputs!$B$35/100)),MAX(0,Inputs!$B$44-((R342-1)*(1/Q342)))))/Inputs!$B$44),IF(Inputs!$B$39="pvp",MIN((Skills!T17*(1+Inputs!$B$35/100)),15)/15,MIN(1,(Skills!T17*(1+Inputs!$B$35/100))/(1/Q342)))))+((C330=TRUE)*IF(Inputs!$B$3&gt;=126,10*MIN(1,15*Q330),0))+((C339=TRUE)*IF(Inputs!$B$39="pvp",20,(1-Summary!$B$11)*(20)+Summary!$B$11*(0))*IF(AND(Inputs!$B$39&lt;&gt;"pvp",Inputs!$B$44&gt;0),(((R339-1)*MIN((Skills!T14*(1+Inputs!$B$35/100)),(1/Q339))+MIN((Skills!T14*(1+Inputs!$B$35/100)),MAX(0,Inputs!$B$44-((R339-1)*(1/Q339)))))/Inputs!$B$44),IF(Inputs!$B$39="pvp",MIN((Skills!T14*(1+Inputs!$B$35/100)),15)/15,MIN(1,(Skills!T14*(1+Inputs!$B$35/100))/(1/Q339)))))+((C338=TRUE)*IF(Inputs!$B$3&gt;=82,IF(Inputs!$B$39="pvp",20,(1-Summary!$B$11)*(20)+Summary!$B$11*(0)),0)*IF(AND(Inputs!$B$39&lt;&gt;"pvp",Inputs!$B$44&gt;0),(((R338-1)*MIN((Skills!T13*(1+Inputs!$B$35/100)),(1/Q338))+MIN((Skills!T13*(1+Inputs!$B$35/100)),MAX(0,Inputs!$B$44-((R338-1)*(1/Q338)))))/Inputs!$B$44),IF(Inputs!$B$39="pvp",MIN((Skills!T13*(1+Inputs!$B$35/100)),15)/15,MIN(1,(Skills!T13*(1+Inputs!$B$35/100))/(1/Q338)))))+(IF(AND(ArtifactsInput!$M$35,Inputs!$B$4&lt;&gt;"Chapter Hunt"),CHOOSE(ArtifactsInput!$N$35+1,15,18,21,24,27,30)*(1-EXP(-(0.2*B356)*5)),0)+IF(AND(ArtifactsInput!$M$22,Inputs!$B$4&lt;&gt;"Chapter Hunt"),CHOOSE(ArtifactsInput!$N$22+1,10,12,14,16,18,20)*((0*(((0.15*B356*5))^0/1)+1*(((0.15*B356*5))^1/1)+2*(((0.15*B356*5))^2/2)+3*(((0.15*B356*5))^3/6)+4*(((0.15*B356*5))^4/24)+5*(((0.15*B356*5))^5/120))/((((0.15*B356*5))^0/1)+(((0.15*B356*5))^1/1)+(((0.15*B356*5))^2/2)+(((0.15*B356*5))^3/6)+(((0.15*B356*5))^4/24)+(((0.15*B356*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2">
      <c r="A332">
        <f>Skills!A7</f>
        <v/>
      </c>
      <c r="B332">
        <f>Skills!B7</f>
        <v/>
      </c>
      <c r="C332">
        <f>Inputs!$B$3&gt;=40</f>
        <v/>
      </c>
      <c r="D332">
        <f>IF(Skills!C7=1,60+Inputs!$B$26+Inputs!$B$30,IF(Skills!C7=2,90+Inputs!$B$27+Inputs!$B$30,IF(Skills!C7=3,120+Inputs!$B$28+Inputs!$B$30,MAX(0,(Inputs!$B$3-100)*3)+Inputs!$B$29+Inputs!$B$30)))</f>
        <v/>
      </c>
      <c r="E332">
        <f>INDEX(FactorTable!$B$2:$Y$301, MATCH(ROUND(MIN(300,MAX(1,D332)),0), FactorTable!$A$2:$A$301,0), Skills!M7+1)</f>
        <v/>
      </c>
      <c r="F332">
        <f>IF(Skills!N7=TRUE,(Skills!L7/10)*(E332/1000),Skills!L7/10)+Skills!O7</f>
        <v/>
      </c>
      <c r="G332">
        <f>Skills!G7*IF(Skills!H7&gt;0,INT(IF(Inputs!$B$39="pvp",MIN(Skills!I7,15),Skills!I7)/Skills!H7+0.000000001),1)</f>
        <v/>
      </c>
      <c r="H332">
        <f>1-(1-Skills!J7/100)^Skills!K7</f>
        <v/>
      </c>
      <c r="I332" t="inlineStr">
        <is>
          <t>1</t>
        </is>
      </c>
      <c r="J332">
        <f>((Inputs!$B$6*(1+Inputs!$B$7/100))+(((Inputs!$B$13*(1+Inputs!$B$14/100))-(Inputs!$B$13*(1+Inputs!$B$14/100)))+0.25*(Inputs!$B$15-Inputs!$B$15))*(1+Inputs!$B$7/100))*(F332/100)</f>
        <v/>
      </c>
      <c r="K332">
        <f>J332*(1+(((Inputs!$B$13+IF(Inputs!$B$3&gt;=38,(10*INDEX(FactorTable!$B$2:$Y$301, MATCH(ROUND(MIN(300,MAX(1,Inputs!$B$3)),0), FactorTable!$A$2:$A$301,0), 23)/1000)/100*(Inputs!$B$8*(1+Inputs!$B$9/100)),0))*(1+Inputs!$B$14/100))*0.01+Inputs!$B$15*0.0025)/100)*(1+Inputs!$B$16/100)*(1+(Inputs!$B$17+1)/100)*(5000/(6000+Inputs!$B$43*(1-(Inputs!$B$20+0)/100)))*(1+(Inputs!$B$25+((C350=TRUE)*(F350-Calc!F25))+((C351=TRUE)*(F351-Calc!F26))+B360)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336=TRUE,F336,0)/100)*(1+(IF(Skills!A7="DARK_IMPALE",Inputs!$B$18+0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gt;=100),MIN(100,((Inputs!$B$10+0+B354+(ArtifactsInput!$M$24-ArtifactsInput!$M$24)*CHOOSE(ArtifactsInput!$N$24+1,10,12,14,16,18,20)+IF(ArtifactsInput!$M$10,CHOOSE(ArtifactsInput!$N$10+1,15,18,21,24,27,30)*(IF(Inputs!$B$39="pvp",MIN(15,15)/15,IF(AND(Inputs!$B$39&lt;&gt;"pvp",Inputs!$B$44&gt;0),MIN(15,Inputs!$B$44)/(Inputs!$B$44),0))),0)))-100),0))*CHOOSE(ArtifactsInput!$N$42+1,0.6,0.72,0.84,0.96,1.08,1.2))),Inputs!$B$19+((C348=TRUE)*(F348-Calc!F23))+(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gt;=100),CHOOSE(ArtifactsInput!$N$42+1,40,48,56,64,72,80),0))))/100)*((1+(((C338=TRUE)*F338*IF(AND(Inputs!$B$39&lt;&gt;"pvp",Inputs!$B$44&gt;0),(((R338-1)*MIN((Skills!T13*(1+Inputs!$B$35/100)),(1/Q338))+MIN((Skills!T13*(1+Inputs!$B$35/100)),MAX(0,Inputs!$B$44-((R338-1)*(1/Q338)))))/Inputs!$B$44),IF(Inputs!$B$39="pvp",MIN((Skills!T13*(1+Inputs!$B$35/100)),15)/15,MIN(1,(Skills!T13*(1+Inputs!$B$35/100))/(1/Q338)))))+((C339=TRUE)*F339*IF(AND(Inputs!$B$39&lt;&gt;"pvp",Inputs!$B$44&gt;0),(((R339-1)*MIN((Skills!T14*(1+Inputs!$B$35/100)),(1/Q339))+MIN((Skills!T14*(1+Inputs!$B$35/100)),MAX(0,Inputs!$B$44-((R339-1)*(1/Q339)))))/Inputs!$B$44),IF(Inputs!$B$39="pvp",MIN((Skills!T14*(1+Inputs!$B$35/100)),15)/15,MIN(1,(Skills!T14*(1+Inputs!$B$35/100))/(1/Q339)))))+((C340=TRUE)*F340*IF(AND(Inputs!$B$39&lt;&gt;"pvp",Inputs!$B$44&gt;0),(((R340-1)*MIN((Skills!T15*(1+Inputs!$B$35/100)),(1/Q340))+MIN((Skills!T15*(1+Inputs!$B$35/100)),MAX(0,Inputs!$B$44-((R340-1)*(1/Q340)))))/Inputs!$B$44),IF(Inputs!$B$39="pvp",MIN((Skills!T15*(1+Inputs!$B$35/100)),15)/15,MIN(1,(Skills!T15*(1+Inputs!$B$35/100))/(1/Q340)))))+((C341=TRUE)*F341*IF(AND(Inputs!$B$39&lt;&gt;"pvp",Inputs!$B$44&gt;0),(((R341-1)*MIN((Skills!T16*(1+Inputs!$B$35/100)),(1/Q341))+MIN((Skills!T16*(1+Inputs!$B$35/100)),MAX(0,Inputs!$B$44-((R341-1)*(1/Q341)))))/Inputs!$B$44),IF(Inputs!$B$39="pvp",MIN((Skills!T16*(1+Inputs!$B$35/100)),15)/15,MIN(1,(Skills!T16*(1+Inputs!$B$35/100))/(1/Q341)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332)</f>
        <v/>
      </c>
      <c r="L332">
        <f>K332*(MIN(Inputs!$B$23+((C347=TRUE)*(F347-Calc!F22)),(Inputs!$B$24+((C349=TRUE)*(F349-Calc!F24))+(IF(ArtifactsInput!$M$15,CHOOSE(ArtifactsInput!$N$15+1,25,30,35,40,45,50)/100*(Inputs!$B$12-Inputs!$B$12),0))))/100+(Inputs!$B$24+((C349=TRUE)*(F349-Calc!F24))+(IF(ArtifactsInput!$M$15,CHOOSE(ArtifactsInput!$N$15+1,25,30,35,40,45,50)/100*(Inputs!$B$12-Inputs!$B$12),0)))/100)/2</f>
        <v/>
      </c>
      <c r="M332">
        <f>L332*(1+(Inputs!$B$11+0+B359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32">
        <f>L332*(1-MIN((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332*(MIN((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2">
        <f>(1-Summary!$B$11)*T332+Summary!$B$11*V332</f>
        <v/>
      </c>
      <c r="P332">
        <f>IF(B364=0,0,O332/B364)</f>
        <v/>
      </c>
      <c r="Q332">
        <f>IFERROR(1/IF(Inputs!$B$39="pvp",15,MAX(0.1,Skills!D7-IF(TRUE=TRUE,Inputs!$B$33,0))),0)</f>
        <v/>
      </c>
      <c r="R332">
        <f>IF(AND(Inputs!$B$39&lt;&gt;"pvp",Inputs!$B$44&gt;0),IF(MAX(0,Inputs!$B$44-B361)&lt;=0,0,(INT(MAX(0,Inputs!$B$44-B361)/IF(Inputs!$B$39="pvp",15,MAX(0.1,Skills!D7-IF(TRUE=TRUE,Inputs!$B$33,0))))+1)),0)</f>
        <v/>
      </c>
      <c r="S332">
        <f>IFERROR(O332/N332,0)</f>
        <v/>
      </c>
      <c r="T332">
        <f>IF(C332,(H332*N332*IF(AND(Inputs!$B$39&lt;&gt;"pvp",Inputs!$B$44&gt;0),((Skills!G7*((R332-1)*IF(Skills!H7&gt;0,INT(Skills!I7/Skills!H7+0.000000001),1)+IF(Skills!H7&gt;0,INT(MIN(Skills!I7,MAX(0,MAX(0,Inputs!$B$44-B361)-((R332-1)*IF(Inputs!$B$39="pvp",15,MAX(0.1,Skills!D7-IF(TRUE=TRUE,Inputs!$B$33,0))))))/Skills!H7+0.000000001),1)))/Inputs!$B$44),G332*Q332))*IF(Inputs!$B$39="pvp",1,1+(Inputs!$B$21+0+Skills!P7+((C342=TRUE)*F342*IF(AND(Inputs!$B$39&lt;&gt;"pvp",Inputs!$B$44&gt;0),(((R342-1)*MIN((Skills!T17*(1+Inputs!$B$35/100)),(1/Q342))+MIN((Skills!T17*(1+Inputs!$B$35/100)),MAX(0,Inputs!$B$44-((R342-1)*(1/Q342)))))/Inputs!$B$44),IF(Inputs!$B$39="pvp",MIN((Skills!T17*(1+Inputs!$B$35/100)),15)/15,MIN(1,(Skills!T17*(1+Inputs!$B$35/100))/(1/Q342)))))+((C330=TRUE)*IF(Inputs!$B$3&gt;=126,10*MIN(1,15*Q330),0))+((C339=TRUE)*IF(Inputs!$B$39="pvp",20,(1-Summary!$B$11)*(20)+Summary!$B$11*(0))*IF(AND(Inputs!$B$39&lt;&gt;"pvp",Inputs!$B$44&gt;0),(((R339-1)*MIN((Skills!T14*(1+Inputs!$B$35/100)),(1/Q339))+MIN((Skills!T14*(1+Inputs!$B$35/100)),MAX(0,Inputs!$B$44-((R339-1)*(1/Q339)))))/Inputs!$B$44),IF(Inputs!$B$39="pvp",MIN((Skills!T14*(1+Inputs!$B$35/100)),15)/15,MIN(1,(Skills!T14*(1+Inputs!$B$35/100))/(1/Q339)))))+((C338=TRUE)*IF(Inputs!$B$3&gt;=82,IF(Inputs!$B$39="pvp",20,(1-Summary!$B$11)*(20)+Summary!$B$11*(0)),0)*IF(AND(Inputs!$B$39&lt;&gt;"pvp",Inputs!$B$44&gt;0),(((R338-1)*MIN((Skills!T13*(1+Inputs!$B$35/100)),(1/Q338))+MIN((Skills!T13*(1+Inputs!$B$35/100)),MAX(0,Inputs!$B$44-((R338-1)*(1/Q338)))))/Inputs!$B$44),IF(Inputs!$B$39="pvp",MIN((Skills!T13*(1+Inputs!$B$35/100)),15)/15,MIN(1,(Skills!T13*(1+Inputs!$B$35/100))/(1/Q338)))))+(IF(AND(ArtifactsInput!$M$35,Inputs!$B$4&lt;&gt;"Chapter Hunt"),CHOOSE(ArtifactsInput!$N$35+1,15,18,21,24,27,30)*(1-EXP(-(0.2*B356)*5)),0)+IF(AND(ArtifactsInput!$M$22,Inputs!$B$4&lt;&gt;"Chapter Hunt"),CHOOSE(ArtifactsInput!$N$22+1,10,12,14,16,18,20)*((0*(((0.15*B356*5))^0/1)+1*(((0.15*B356*5))^1/1)+2*(((0.15*B356*5))^2/2)+3*(((0.15*B356*5))^3/6)+4*(((0.15*B356*5))^4/24)+5*(((0.15*B356*5))^5/120))/((((0.15*B356*5))^0/1)+(((0.15*B356*5))^1/1)+(((0.15*B356*5))^2/2)+(((0.15*B356*5))^3/6)+(((0.15*B356*5))^4/24)+(((0.15*B356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332*(1-MIN(100,(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332*(MIN(100,(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332*(1-MIN(100,(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332*(MIN(100,(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2">
        <f>IF(C332,(H332*N332*IF(AND(Inputs!$B$39&lt;&gt;"pvp",Inputs!$B$44&gt;0),((Skills!G7*((R332-1)*IF(Skills!H7&gt;0,INT(Skills!I7/Skills!H7+0.000000001),1)+IF(Skills!H7&gt;0,INT(MIN(Skills!I7,MAX(0,MAX(0,Inputs!$B$44-B361)-((R332-1)*IF(Inputs!$B$39="pvp",15,MAX(0.1,Skills!D7-IF(TRUE=TRUE,Inputs!$B$33,0))))))/Skills!H7+0.000000001),1)))/Inputs!$B$44),G332*Q332))*IF(Inputs!$B$39="pvp",1,(1+(Inputs!$B$22+Skills!Q7+((C342=TRUE)*F342*IF(AND(Inputs!$B$39&lt;&gt;"pvp",Inputs!$B$44&gt;0),(((R342-1)*MIN((Skills!T17*(1+Inputs!$B$35/100)),(1/Q342))+MIN((Skills!T17*(1+Inputs!$B$35/100)),MAX(0,Inputs!$B$44-((R342-1)*(1/Q342)))))/Inputs!$B$44),IF(Inputs!$B$39="pvp",MIN((Skills!T17*(1+Inputs!$B$35/100)),15)/15,MIN(1,(Skills!T17*(1+Inputs!$B$35/100))/(1/Q342)))))+((C330=TRUE)*IF(Inputs!$B$3&gt;=126,10*MIN(1,15*Q330),0))+((C339=TRUE)*IF(Inputs!$B$39="pvp",20,(1-Summary!$B$11)*(20)+Summary!$B$11*(0))*IF(AND(Inputs!$B$39&lt;&gt;"pvp",Inputs!$B$44&gt;0),(((R339-1)*MIN((Skills!T14*(1+Inputs!$B$35/100)),(1/Q339))+MIN((Skills!T14*(1+Inputs!$B$35/100)),MAX(0,Inputs!$B$44-((R339-1)*(1/Q339)))))/Inputs!$B$44),IF(Inputs!$B$39="pvp",MIN((Skills!T14*(1+Inputs!$B$35/100)),15)/15,MIN(1,(Skills!T14*(1+Inputs!$B$35/100))/(1/Q339)))))+((C338=TRUE)*IF(Inputs!$B$3&gt;=82,IF(Inputs!$B$39="pvp",20,(1-Summary!$B$11)*(20)+Summary!$B$11*(0)),0)*IF(AND(Inputs!$B$39&lt;&gt;"pvp",Inputs!$B$44&gt;0),(((R338-1)*MIN((Skills!T13*(1+Inputs!$B$35/100)),(1/Q338))+MIN((Skills!T13*(1+Inputs!$B$35/100)),MAX(0,Inputs!$B$44-((R338-1)*(1/Q338)))))/Inputs!$B$44),IF(Inputs!$B$39="pvp",MIN((Skills!T13*(1+Inputs!$B$35/100)),15)/15,MIN(1,(Skills!T13*(1+Inputs!$B$35/100))/(1/Q338)))))+(IF(AND(ArtifactsInput!$M$35,Inputs!$B$4&lt;&gt;"Chapter Hunt"),CHOOSE(ArtifactsInput!$N$35+1,15,18,21,24,27,30)*(1-EXP(-(0.2*B356)*5)),0)+IF(AND(ArtifactsInput!$M$22,Inputs!$B$4&lt;&gt;"Chapter Hunt"),CHOOSE(ArtifactsInput!$N$22+1,10,12,14,16,18,20)*((0*(((0.15*B356*5))^0/1)+1*(((0.15*B356*5))^1/1)+2*(((0.15*B356*5))^2/2)+3*(((0.15*B356*5))^3/6)+4*(((0.15*B356*5))^4/24)+5*(((0.15*B356*5))^5/120))/((((0.15*B356*5))^0/1)+(((0.15*B356*5))^1/1)+(((0.15*B356*5))^2/2)+(((0.15*B356*5))^3/6)+(((0.15*B356*5))^4/24)+(((0.15*B356*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3">
      <c r="A333">
        <f>Skills!A8</f>
        <v/>
      </c>
      <c r="B333">
        <f>Skills!B8</f>
        <v/>
      </c>
      <c r="C333">
        <f>Inputs!$B$3&gt;=75</f>
        <v/>
      </c>
      <c r="D333">
        <f>IF(Skills!C8=1,60+Inputs!$B$26+Inputs!$B$30,IF(Skills!C8=2,90+Inputs!$B$27+Inputs!$B$30,IF(Skills!C8=3,120+Inputs!$B$28+Inputs!$B$30,MAX(0,(Inputs!$B$3-100)*3)+Inputs!$B$29+Inputs!$B$30)))</f>
        <v/>
      </c>
      <c r="E333">
        <f>INDEX(FactorTable!$B$2:$Y$301, MATCH(ROUND(MIN(300,MAX(1,D333)),0), FactorTable!$A$2:$A$301,0), Skills!M8+1)</f>
        <v/>
      </c>
      <c r="F333">
        <f>IF(Skills!N8=TRUE,(Skills!L8/10)*(E333/1000),Skills!L8/10)+Skills!O8</f>
        <v/>
      </c>
      <c r="G333" t="inlineStr"/>
      <c r="H333" t="inlineStr"/>
      <c r="I333" t="inlineStr">
        <is>
          <t>1</t>
        </is>
      </c>
      <c r="J333" t="inlineStr"/>
      <c r="K333" t="inlineStr"/>
      <c r="L333" t="inlineStr"/>
      <c r="M333" t="inlineStr"/>
      <c r="N333" t="inlineStr"/>
      <c r="O333" t="inlineStr"/>
      <c r="P333" t="inlineStr"/>
      <c r="Q333" t="inlineStr"/>
      <c r="R333" t="inlineStr"/>
      <c r="S333" t="inlineStr"/>
    </row>
    <row r="334">
      <c r="A334">
        <f>Skills!A9</f>
        <v/>
      </c>
      <c r="B334">
        <f>Skills!B9</f>
        <v/>
      </c>
      <c r="C334">
        <f>Inputs!$B$3&gt;=60</f>
        <v/>
      </c>
      <c r="D334">
        <f>IF(Skills!C9=1,60+Inputs!$B$26+Inputs!$B$30,IF(Skills!C9=2,90+Inputs!$B$27+Inputs!$B$30,IF(Skills!C9=3,120+Inputs!$B$28+Inputs!$B$30,MAX(0,(Inputs!$B$3-100)*3)+Inputs!$B$29+Inputs!$B$30)))</f>
        <v/>
      </c>
      <c r="E334">
        <f>INDEX(FactorTable!$B$2:$Y$301, MATCH(ROUND(MIN(300,MAX(1,D334)),0), FactorTable!$A$2:$A$301,0), Skills!M9+1)</f>
        <v/>
      </c>
      <c r="F334">
        <f>IF(Skills!N9=TRUE,(Skills!L9/10)*(E334/1000),Skills!L9/10)+Skills!O9</f>
        <v/>
      </c>
      <c r="G334">
        <f>Skills!G9*IF(Skills!H9&gt;0,INT(IF(Inputs!$B$39="pvp",MIN(Skills!I9,15),Skills!I9)/Skills!H9+0.000000001),1)</f>
        <v/>
      </c>
      <c r="H334">
        <f>1-(1-Skills!J9/100)^Skills!K9</f>
        <v/>
      </c>
      <c r="I334" t="inlineStr">
        <is>
          <t>1</t>
        </is>
      </c>
      <c r="J334">
        <f>((Inputs!$B$6*(1+Inputs!$B$7/100))+(((Inputs!$B$13*(1+Inputs!$B$14/100))-(Inputs!$B$13*(1+Inputs!$B$14/100)))+0.25*(Inputs!$B$15-Inputs!$B$15))*(1+Inputs!$B$7/100))*(F334/100)</f>
        <v/>
      </c>
      <c r="K334">
        <f>J334*(1+(((Inputs!$B$13+IF(Inputs!$B$3&gt;=38,(10*INDEX(FactorTable!$B$2:$Y$301, MATCH(ROUND(MIN(300,MAX(1,Inputs!$B$3)),0), FactorTable!$A$2:$A$301,0), 23)/1000)/100*(Inputs!$B$8*(1+Inputs!$B$9/100)),0))*(1+Inputs!$B$14/100))*0.01+Inputs!$B$15*0.0025)/100)*(1+Inputs!$B$16/100)*(1+(Inputs!$B$17+1)/100)*(5000/(6000+Inputs!$B$43*(1-(Inputs!$B$20+0)/100)))*(1+(Inputs!$B$25+((C350=TRUE)*(F350-Calc!F25))+((C351=TRUE)*(F351-Calc!F26))+B360)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336=TRUE,F336,0)/100)*(1+(IF(Skills!A9="DARK_IMPALE",Inputs!$B$18+0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gt;=100),MIN(100,((Inputs!$B$10+0+B354+(ArtifactsInput!$M$24-ArtifactsInput!$M$24)*CHOOSE(ArtifactsInput!$N$24+1,10,12,14,16,18,20)+IF(ArtifactsInput!$M$10,CHOOSE(ArtifactsInput!$N$10+1,15,18,21,24,27,30)*(IF(Inputs!$B$39="pvp",MIN(15,15)/15,IF(AND(Inputs!$B$39&lt;&gt;"pvp",Inputs!$B$44&gt;0),MIN(15,Inputs!$B$44)/(Inputs!$B$44),0))),0)))-100),0))*CHOOSE(ArtifactsInput!$N$42+1,0.6,0.72,0.84,0.96,1.08,1.2))),Inputs!$B$19+((C348=TRUE)*(F348-Calc!F23))+(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gt;=100),CHOOSE(ArtifactsInput!$N$42+1,40,48,56,64,72,80),0))))/100)*((1+(((C338=TRUE)*F338*IF(AND(Inputs!$B$39&lt;&gt;"pvp",Inputs!$B$44&gt;0),(((R338-1)*MIN((Skills!T13*(1+Inputs!$B$35/100)),(1/Q338))+MIN((Skills!T13*(1+Inputs!$B$35/100)),MAX(0,Inputs!$B$44-((R338-1)*(1/Q338)))))/Inputs!$B$44),IF(Inputs!$B$39="pvp",MIN((Skills!T13*(1+Inputs!$B$35/100)),15)/15,MIN(1,(Skills!T13*(1+Inputs!$B$35/100))/(1/Q338)))))+((C339=TRUE)*F339*IF(AND(Inputs!$B$39&lt;&gt;"pvp",Inputs!$B$44&gt;0),(((R339-1)*MIN((Skills!T14*(1+Inputs!$B$35/100)),(1/Q339))+MIN((Skills!T14*(1+Inputs!$B$35/100)),MAX(0,Inputs!$B$44-((R339-1)*(1/Q339)))))/Inputs!$B$44),IF(Inputs!$B$39="pvp",MIN((Skills!T14*(1+Inputs!$B$35/100)),15)/15,MIN(1,(Skills!T14*(1+Inputs!$B$35/100))/(1/Q339)))))+((C340=TRUE)*F340*IF(AND(Inputs!$B$39&lt;&gt;"pvp",Inputs!$B$44&gt;0),(((R340-1)*MIN((Skills!T15*(1+Inputs!$B$35/100)),(1/Q340))+MIN((Skills!T15*(1+Inputs!$B$35/100)),MAX(0,Inputs!$B$44-((R340-1)*(1/Q340)))))/Inputs!$B$44),IF(Inputs!$B$39="pvp",MIN((Skills!T15*(1+Inputs!$B$35/100)),15)/15,MIN(1,(Skills!T15*(1+Inputs!$B$35/100))/(1/Q340)))))+((C341=TRUE)*F341*IF(AND(Inputs!$B$39&lt;&gt;"pvp",Inputs!$B$44&gt;0),(((R341-1)*MIN((Skills!T16*(1+Inputs!$B$35/100)),(1/Q341))+MIN((Skills!T16*(1+Inputs!$B$35/100)),MAX(0,Inputs!$B$44-((R341-1)*(1/Q341)))))/Inputs!$B$44),IF(Inputs!$B$39="pvp",MIN((Skills!T16*(1+Inputs!$B$35/100)),15)/15,MIN(1,(Skills!T16*(1+Inputs!$B$35/100))/(1/Q341)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334)</f>
        <v/>
      </c>
      <c r="L334">
        <f>K334*(MIN(Inputs!$B$23+((C347=TRUE)*(F347-Calc!F22)),(Inputs!$B$24+((C349=TRUE)*(F349-Calc!F24))+(IF(ArtifactsInput!$M$15,CHOOSE(ArtifactsInput!$N$15+1,25,30,35,40,45,50)/100*(Inputs!$B$12-Inputs!$B$12),0))))/100+(Inputs!$B$24+((C349=TRUE)*(F349-Calc!F24))+(IF(ArtifactsInput!$M$15,CHOOSE(ArtifactsInput!$N$15+1,25,30,35,40,45,50)/100*(Inputs!$B$12-Inputs!$B$12),0)))/100)/2</f>
        <v/>
      </c>
      <c r="M334">
        <f>L334*(1+(Inputs!$B$11+0+B359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34">
        <f>L334*(1-MIN((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334*(MIN((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4">
        <f>(1-Summary!$B$11)*T334+Summary!$B$11*V334</f>
        <v/>
      </c>
      <c r="P334">
        <f>IF(B364=0,0,O334/B364)</f>
        <v/>
      </c>
      <c r="Q334">
        <f>IFERROR(1/IF(Inputs!$B$39="pvp",15,MAX(0.1,Skills!D9-IF(TRUE=TRUE,Inputs!$B$33,0))),0)</f>
        <v/>
      </c>
      <c r="R334">
        <f>IF(AND(Inputs!$B$39&lt;&gt;"pvp",Inputs!$B$44&gt;0),IF(MAX(0,Inputs!$B$44-B361)&lt;=0,0,(INT(MAX(0,Inputs!$B$44-B361)/IF(Inputs!$B$39="pvp",15,MAX(0.1,Skills!D9-IF(TRUE=TRUE,Inputs!$B$33,0))))+1)),0)</f>
        <v/>
      </c>
      <c r="S334">
        <f>IFERROR(O334/N334,0)</f>
        <v/>
      </c>
      <c r="T334">
        <f>IF(C334,(H334*N334*IF(AND(Inputs!$B$39&lt;&gt;"pvp",Inputs!$B$44&gt;0),((Skills!G9*((R334-1)*IF(Skills!H9&gt;0,INT(Skills!I9/Skills!H9+0.000000001),1)+IF(Skills!H9&gt;0,INT(MIN(Skills!I9,MAX(0,MAX(0,Inputs!$B$44-B361)-((R334-1)*IF(Inputs!$B$39="pvp",15,MAX(0.1,Skills!D9-IF(TRUE=TRUE,Inputs!$B$33,0))))))/Skills!H9+0.000000001),1)))/Inputs!$B$44),G334*Q334))*IF(Inputs!$B$39="pvp",1,1+(Inputs!$B$21+0+Skills!P9+((C342=TRUE)*F342*IF(AND(Inputs!$B$39&lt;&gt;"pvp",Inputs!$B$44&gt;0),(((R342-1)*MIN((Skills!T17*(1+Inputs!$B$35/100)),(1/Q342))+MIN((Skills!T17*(1+Inputs!$B$35/100)),MAX(0,Inputs!$B$44-((R342-1)*(1/Q342)))))/Inputs!$B$44),IF(Inputs!$B$39="pvp",MIN((Skills!T17*(1+Inputs!$B$35/100)),15)/15,MIN(1,(Skills!T17*(1+Inputs!$B$35/100))/(1/Q342)))))+((C330=TRUE)*IF(Inputs!$B$3&gt;=126,10*MIN(1,15*Q330),0))+((C339=TRUE)*IF(Inputs!$B$39="pvp",20,(1-Summary!$B$11)*(20)+Summary!$B$11*(0))*IF(AND(Inputs!$B$39&lt;&gt;"pvp",Inputs!$B$44&gt;0),(((R339-1)*MIN((Skills!T14*(1+Inputs!$B$35/100)),(1/Q339))+MIN((Skills!T14*(1+Inputs!$B$35/100)),MAX(0,Inputs!$B$44-((R339-1)*(1/Q339)))))/Inputs!$B$44),IF(Inputs!$B$39="pvp",MIN((Skills!T14*(1+Inputs!$B$35/100)),15)/15,MIN(1,(Skills!T14*(1+Inputs!$B$35/100))/(1/Q339)))))+((C338=TRUE)*IF(Inputs!$B$3&gt;=82,IF(Inputs!$B$39="pvp",20,(1-Summary!$B$11)*(20)+Summary!$B$11*(0)),0)*IF(AND(Inputs!$B$39&lt;&gt;"pvp",Inputs!$B$44&gt;0),(((R338-1)*MIN((Skills!T13*(1+Inputs!$B$35/100)),(1/Q338))+MIN((Skills!T13*(1+Inputs!$B$35/100)),MAX(0,Inputs!$B$44-((R338-1)*(1/Q338)))))/Inputs!$B$44),IF(Inputs!$B$39="pvp",MIN((Skills!T13*(1+Inputs!$B$35/100)),15)/15,MIN(1,(Skills!T13*(1+Inputs!$B$35/100))/(1/Q338)))))+(IF(AND(ArtifactsInput!$M$35,Inputs!$B$4&lt;&gt;"Chapter Hunt"),CHOOSE(ArtifactsInput!$N$35+1,15,18,21,24,27,30)*(1-EXP(-(0.2*B356)*5)),0)+IF(AND(ArtifactsInput!$M$22,Inputs!$B$4&lt;&gt;"Chapter Hunt"),CHOOSE(ArtifactsInput!$N$22+1,10,12,14,16,18,20)*((0*(((0.15*B356*5))^0/1)+1*(((0.15*B356*5))^1/1)+2*(((0.15*B356*5))^2/2)+3*(((0.15*B356*5))^3/6)+4*(((0.15*B356*5))^4/24)+5*(((0.15*B356*5))^5/120))/((((0.15*B356*5))^0/1)+(((0.15*B356*5))^1/1)+(((0.15*B356*5))^2/2)+(((0.15*B356*5))^3/6)+(((0.15*B356*5))^4/24)+(((0.15*B356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334*(1-MIN(100,(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334*(MIN(100,(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334*(1-MIN(100,(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334*(MIN(100,(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4">
        <f>IF(C334,(H334*N334*IF(AND(Inputs!$B$39&lt;&gt;"pvp",Inputs!$B$44&gt;0),((Skills!G9*((R334-1)*IF(Skills!H9&gt;0,INT(Skills!I9/Skills!H9+0.000000001),1)+IF(Skills!H9&gt;0,INT(MIN(Skills!I9,MAX(0,MAX(0,Inputs!$B$44-B361)-((R334-1)*IF(Inputs!$B$39="pvp",15,MAX(0.1,Skills!D9-IF(TRUE=TRUE,Inputs!$B$33,0))))))/Skills!H9+0.000000001),1)))/Inputs!$B$44),G334*Q334))*IF(Inputs!$B$39="pvp",1,(1+(Inputs!$B$22+Skills!Q9+((C342=TRUE)*F342*IF(AND(Inputs!$B$39&lt;&gt;"pvp",Inputs!$B$44&gt;0),(((R342-1)*MIN((Skills!T17*(1+Inputs!$B$35/100)),(1/Q342))+MIN((Skills!T17*(1+Inputs!$B$35/100)),MAX(0,Inputs!$B$44-((R342-1)*(1/Q342)))))/Inputs!$B$44),IF(Inputs!$B$39="pvp",MIN((Skills!T17*(1+Inputs!$B$35/100)),15)/15,MIN(1,(Skills!T17*(1+Inputs!$B$35/100))/(1/Q342)))))+((C330=TRUE)*IF(Inputs!$B$3&gt;=126,10*MIN(1,15*Q330),0))+((C339=TRUE)*IF(Inputs!$B$39="pvp",20,(1-Summary!$B$11)*(20)+Summary!$B$11*(0))*IF(AND(Inputs!$B$39&lt;&gt;"pvp",Inputs!$B$44&gt;0),(((R339-1)*MIN((Skills!T14*(1+Inputs!$B$35/100)),(1/Q339))+MIN((Skills!T14*(1+Inputs!$B$35/100)),MAX(0,Inputs!$B$44-((R339-1)*(1/Q339)))))/Inputs!$B$44),IF(Inputs!$B$39="pvp",MIN((Skills!T14*(1+Inputs!$B$35/100)),15)/15,MIN(1,(Skills!T14*(1+Inputs!$B$35/100))/(1/Q339)))))+((C338=TRUE)*IF(Inputs!$B$3&gt;=82,IF(Inputs!$B$39="pvp",20,(1-Summary!$B$11)*(20)+Summary!$B$11*(0)),0)*IF(AND(Inputs!$B$39&lt;&gt;"pvp",Inputs!$B$44&gt;0),(((R338-1)*MIN((Skills!T13*(1+Inputs!$B$35/100)),(1/Q338))+MIN((Skills!T13*(1+Inputs!$B$35/100)),MAX(0,Inputs!$B$44-((R338-1)*(1/Q338)))))/Inputs!$B$44),IF(Inputs!$B$39="pvp",MIN((Skills!T13*(1+Inputs!$B$35/100)),15)/15,MIN(1,(Skills!T13*(1+Inputs!$B$35/100))/(1/Q338)))))+(IF(AND(ArtifactsInput!$M$35,Inputs!$B$4&lt;&gt;"Chapter Hunt"),CHOOSE(ArtifactsInput!$N$35+1,15,18,21,24,27,30)*(1-EXP(-(0.2*B356)*5)),0)+IF(AND(ArtifactsInput!$M$22,Inputs!$B$4&lt;&gt;"Chapter Hunt"),CHOOSE(ArtifactsInput!$N$22+1,10,12,14,16,18,20)*((0*(((0.15*B356*5))^0/1)+1*(((0.15*B356*5))^1/1)+2*(((0.15*B356*5))^2/2)+3*(((0.15*B356*5))^3/6)+4*(((0.15*B356*5))^4/24)+5*(((0.15*B356*5))^5/120))/((((0.15*B356*5))^0/1)+(((0.15*B356*5))^1/1)+(((0.15*B356*5))^2/2)+(((0.15*B356*5))^3/6)+(((0.15*B356*5))^4/24)+(((0.15*B356*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5">
      <c r="A335">
        <f>Skills!A10</f>
        <v/>
      </c>
      <c r="B335">
        <f>Skills!B10</f>
        <v/>
      </c>
      <c r="C335">
        <f>Inputs!$B$3&gt;=110</f>
        <v/>
      </c>
      <c r="D335">
        <f>IF(Skills!C10=1,60+Inputs!$B$26+Inputs!$B$30,IF(Skills!C10=2,90+Inputs!$B$27+Inputs!$B$30,IF(Skills!C10=3,120+Inputs!$B$28+Inputs!$B$30,MAX(0,(Inputs!$B$3-100)*3)+Inputs!$B$29+Inputs!$B$30)))</f>
        <v/>
      </c>
      <c r="E335">
        <f>INDEX(FactorTable!$B$2:$Y$301, MATCH(ROUND(MIN(300,MAX(1,D335)),0), FactorTable!$A$2:$A$301,0), Skills!M10+1)</f>
        <v/>
      </c>
      <c r="F335">
        <f>IF(Skills!N10=TRUE,(Skills!L10/10)*(E335/1000),Skills!L10/10)+Skills!O10</f>
        <v/>
      </c>
      <c r="G335">
        <f>Skills!G10*IF(Skills!H10&gt;0,INT(IF(Inputs!$B$39="pvp",MIN(Skills!I10,15),Skills!I10)/Skills!H10+0.000000001),1)</f>
        <v/>
      </c>
      <c r="H335">
        <f>1-(1-Skills!J10/100)^Skills!K10</f>
        <v/>
      </c>
      <c r="I335" t="inlineStr">
        <is>
          <t>1</t>
        </is>
      </c>
      <c r="J335">
        <f>((Inputs!$B$6*(1+Inputs!$B$7/100))+(((Inputs!$B$13*(1+Inputs!$B$14/100))-(Inputs!$B$13*(1+Inputs!$B$14/100)))+0.25*(Inputs!$B$15-Inputs!$B$15))*(1+Inputs!$B$7/100))*(F335/100)</f>
        <v/>
      </c>
      <c r="K335">
        <f>J335*(1+(((Inputs!$B$13+IF(Inputs!$B$3&gt;=38,(10*INDEX(FactorTable!$B$2:$Y$301, MATCH(ROUND(MIN(300,MAX(1,Inputs!$B$3)),0), FactorTable!$A$2:$A$301,0), 23)/1000)/100*(Inputs!$B$8*(1+Inputs!$B$9/100)),0))*(1+Inputs!$B$14/100))*0.01+Inputs!$B$15*0.0025)/100)*(1+Inputs!$B$16/100)*(1+(Inputs!$B$17+1)/100)*(5000/(6000+Inputs!$B$43*(1-(Inputs!$B$20+0)/100)))*(1+(Inputs!$B$25+((C350=TRUE)*(F350-Calc!F25))+((C351=TRUE)*(F351-Calc!F26))+B360)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gt;=100),MIN(100,((Inputs!$B$10+0+B354+(ArtifactsInput!$M$24-ArtifactsInput!$M$24)*CHOOSE(ArtifactsInput!$N$24+1,10,12,14,16,18,20)+IF(ArtifactsInput!$M$10,CHOOSE(ArtifactsInput!$N$10+1,15,18,21,24,27,30)*(IF(Inputs!$B$39="pvp",MIN(15,15)/15,IF(AND(Inputs!$B$39&lt;&gt;"pvp",Inputs!$B$44&gt;0),MIN(15,Inputs!$B$44)/(Inputs!$B$44),0))),0)))-100),0))*CHOOSE(ArtifactsInput!$N$42+1,0.6,0.72,0.84,0.96,1.08,1.2))),Inputs!$B$19+((C348=TRUE)*(F348-Calc!F23))+(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gt;=100),CHOOSE(ArtifactsInput!$N$42+1,40,48,56,64,72,80),0))))/100)*((1+(((C338=TRUE)*F338*IF(AND(Inputs!$B$39&lt;&gt;"pvp",Inputs!$B$44&gt;0),(((R338-1)*MIN((Skills!T13*(1+Inputs!$B$35/100)),(1/Q338))+MIN((Skills!T13*(1+Inputs!$B$35/100)),MAX(0,Inputs!$B$44-((R338-1)*(1/Q338)))))/Inputs!$B$44),IF(Inputs!$B$39="pvp",MIN((Skills!T13*(1+Inputs!$B$35/100)),15)/15,MIN(1,(Skills!T13*(1+Inputs!$B$35/100))/(1/Q338)))))+((C339=TRUE)*F339*IF(AND(Inputs!$B$39&lt;&gt;"pvp",Inputs!$B$44&gt;0),(((R339-1)*MIN((Skills!T14*(1+Inputs!$B$35/100)),(1/Q339))+MIN((Skills!T14*(1+Inputs!$B$35/100)),MAX(0,Inputs!$B$44-((R339-1)*(1/Q339)))))/Inputs!$B$44),IF(Inputs!$B$39="pvp",MIN((Skills!T14*(1+Inputs!$B$35/100)),15)/15,MIN(1,(Skills!T14*(1+Inputs!$B$35/100))/(1/Q339)))))+((C340=TRUE)*F340*IF(AND(Inputs!$B$39&lt;&gt;"pvp",Inputs!$B$44&gt;0),(((R340-1)*MIN((Skills!T15*(1+Inputs!$B$35/100)),(1/Q340))+MIN((Skills!T15*(1+Inputs!$B$35/100)),MAX(0,Inputs!$B$44-((R340-1)*(1/Q340)))))/Inputs!$B$44),IF(Inputs!$B$39="pvp",MIN((Skills!T15*(1+Inputs!$B$35/100)),15)/15,MIN(1,(Skills!T15*(1+Inputs!$B$35/100))/(1/Q340)))))+((C341=TRUE)*F341*IF(AND(Inputs!$B$39&lt;&gt;"pvp",Inputs!$B$44&gt;0),(((R341-1)*MIN((Skills!T16*(1+Inputs!$B$35/100)),(1/Q341))+MIN((Skills!T16*(1+Inputs!$B$35/100)),MAX(0,Inputs!$B$44-((R341-1)*(1/Q341)))))/Inputs!$B$44),IF(Inputs!$B$39="pvp",MIN((Skills!T16*(1+Inputs!$B$35/100)),15)/15,MIN(1,(Skills!T16*(1+Inputs!$B$35/100))/(1/Q341)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335)</f>
        <v/>
      </c>
      <c r="L335">
        <f>K335*(MIN(Inputs!$B$23+((C347=TRUE)*(F347-Calc!F22)),(Inputs!$B$24+((C349=TRUE)*(F349-Calc!F24))+(IF(ArtifactsInput!$M$15,CHOOSE(ArtifactsInput!$N$15+1,25,30,35,40,45,50)/100*(Inputs!$B$12-Inputs!$B$12),0))))/100+(Inputs!$B$24+((C349=TRUE)*(F349-Calc!F24))+(IF(ArtifactsInput!$M$15,CHOOSE(ArtifactsInput!$N$15+1,25,30,35,40,45,50)/100*(Inputs!$B$12-Inputs!$B$12),0)))/100)/2</f>
        <v/>
      </c>
      <c r="M335">
        <f>L335*(1+(Inputs!$B$11+0+B359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35">
        <f>L335*(1-MIN((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335*(MIN((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5">
        <f>(1-Summary!$B$11)*T335+Summary!$B$11*V335</f>
        <v/>
      </c>
      <c r="P335">
        <f>IF(B364=0,0,O335/B364)</f>
        <v/>
      </c>
      <c r="Q335">
        <f>IFERROR(1/IF(Inputs!$B$39="pvp",15,MAX(0.1,Skills!D10-IF(TRUE=TRUE,Inputs!$B$33,0))),0)</f>
        <v/>
      </c>
      <c r="R335">
        <f>IF(AND(Inputs!$B$39&lt;&gt;"pvp",Inputs!$B$44&gt;0),IF(MAX(0,Inputs!$B$44-B361)&lt;=0,0,(INT(MAX(0,Inputs!$B$44-B361)/IF(Inputs!$B$39="pvp",15,MAX(0.1,Skills!D10-IF(TRUE=TRUE,Inputs!$B$33,0))))+1)),0)</f>
        <v/>
      </c>
      <c r="S335">
        <f>IFERROR(O335/N335,0)</f>
        <v/>
      </c>
      <c r="T335">
        <f>IF(C335,(H335*N335*IF(AND(Inputs!$B$39&lt;&gt;"pvp",Inputs!$B$44&gt;0),((Skills!G10*((R335-1)*IF(Skills!H10&gt;0,INT(Skills!I10/Skills!H10+0.000000001),1)+IF(Skills!H10&gt;0,INT(MIN(Skills!I10,MAX(0,MAX(0,Inputs!$B$44-B361)-((R335-1)*IF(Inputs!$B$39="pvp",15,MAX(0.1,Skills!D10-IF(TRUE=TRUE,Inputs!$B$33,0))))))/Skills!H10+0.000000001),1)))/Inputs!$B$44),G335*Q335))*IF(Inputs!$B$39="pvp",1,1+(Inputs!$B$21+0+Skills!P10+((C342=TRUE)*F342*IF(AND(Inputs!$B$39&lt;&gt;"pvp",Inputs!$B$44&gt;0),(((R342-1)*MIN((Skills!T17*(1+Inputs!$B$35/100)),(1/Q342))+MIN((Skills!T17*(1+Inputs!$B$35/100)),MAX(0,Inputs!$B$44-((R342-1)*(1/Q342)))))/Inputs!$B$44),IF(Inputs!$B$39="pvp",MIN((Skills!T17*(1+Inputs!$B$35/100)),15)/15,MIN(1,(Skills!T17*(1+Inputs!$B$35/100))/(1/Q342)))))+((C330=TRUE)*IF(Inputs!$B$3&gt;=126,10*MIN(1,15*Q330),0))+((C339=TRUE)*IF(Inputs!$B$39="pvp",20,(1-Summary!$B$11)*(20)+Summary!$B$11*(0))*IF(AND(Inputs!$B$39&lt;&gt;"pvp",Inputs!$B$44&gt;0),(((R339-1)*MIN((Skills!T14*(1+Inputs!$B$35/100)),(1/Q339))+MIN((Skills!T14*(1+Inputs!$B$35/100)),MAX(0,Inputs!$B$44-((R339-1)*(1/Q339)))))/Inputs!$B$44),IF(Inputs!$B$39="pvp",MIN((Skills!T14*(1+Inputs!$B$35/100)),15)/15,MIN(1,(Skills!T14*(1+Inputs!$B$35/100))/(1/Q339)))))+((C338=TRUE)*IF(Inputs!$B$3&gt;=82,IF(Inputs!$B$39="pvp",20,(1-Summary!$B$11)*(20)+Summary!$B$11*(0)),0)*IF(AND(Inputs!$B$39&lt;&gt;"pvp",Inputs!$B$44&gt;0),(((R338-1)*MIN((Skills!T13*(1+Inputs!$B$35/100)),(1/Q338))+MIN((Skills!T13*(1+Inputs!$B$35/100)),MAX(0,Inputs!$B$44-((R338-1)*(1/Q338)))))/Inputs!$B$44),IF(Inputs!$B$39="pvp",MIN((Skills!T13*(1+Inputs!$B$35/100)),15)/15,MIN(1,(Skills!T13*(1+Inputs!$B$35/100))/(1/Q338)))))+(IF(AND(ArtifactsInput!$M$35,Inputs!$B$4&lt;&gt;"Chapter Hunt"),CHOOSE(ArtifactsInput!$N$35+1,15,18,21,24,27,30)*(1-EXP(-(0.2*B356)*5)),0)+IF(AND(ArtifactsInput!$M$22,Inputs!$B$4&lt;&gt;"Chapter Hunt"),CHOOSE(ArtifactsInput!$N$22+1,10,12,14,16,18,20)*((0*(((0.15*B356*5))^0/1)+1*(((0.15*B356*5))^1/1)+2*(((0.15*B356*5))^2/2)+3*(((0.15*B356*5))^3/6)+4*(((0.15*B356*5))^4/24)+5*(((0.15*B356*5))^5/120))/((((0.15*B356*5))^0/1)+(((0.15*B356*5))^1/1)+(((0.15*B356*5))^2/2)+(((0.15*B356*5))^3/6)+(((0.15*B356*5))^4/24)+(((0.15*B356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335*(1-MIN(100,(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335*(MIN(100,(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335*(1-MIN(100,(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335*(MIN(100,(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5">
        <f>IF(C335,(H335*N335*IF(AND(Inputs!$B$39&lt;&gt;"pvp",Inputs!$B$44&gt;0),((Skills!G10*((R335-1)*IF(Skills!H10&gt;0,INT(Skills!I10/Skills!H10+0.000000001),1)+IF(Skills!H10&gt;0,INT(MIN(Skills!I10,MAX(0,MAX(0,Inputs!$B$44-B361)-((R335-1)*IF(Inputs!$B$39="pvp",15,MAX(0.1,Skills!D10-IF(TRUE=TRUE,Inputs!$B$33,0))))))/Skills!H10+0.000000001),1)))/Inputs!$B$44),G335*Q335))*IF(Inputs!$B$39="pvp",1,(1+(Inputs!$B$22+Skills!Q10+((C342=TRUE)*F342*IF(AND(Inputs!$B$39&lt;&gt;"pvp",Inputs!$B$44&gt;0),(((R342-1)*MIN((Skills!T17*(1+Inputs!$B$35/100)),(1/Q342))+MIN((Skills!T17*(1+Inputs!$B$35/100)),MAX(0,Inputs!$B$44-((R342-1)*(1/Q342)))))/Inputs!$B$44),IF(Inputs!$B$39="pvp",MIN((Skills!T17*(1+Inputs!$B$35/100)),15)/15,MIN(1,(Skills!T17*(1+Inputs!$B$35/100))/(1/Q342)))))+((C330=TRUE)*IF(Inputs!$B$3&gt;=126,10*MIN(1,15*Q330),0))+((C339=TRUE)*IF(Inputs!$B$39="pvp",20,(1-Summary!$B$11)*(20)+Summary!$B$11*(0))*IF(AND(Inputs!$B$39&lt;&gt;"pvp",Inputs!$B$44&gt;0),(((R339-1)*MIN((Skills!T14*(1+Inputs!$B$35/100)),(1/Q339))+MIN((Skills!T14*(1+Inputs!$B$35/100)),MAX(0,Inputs!$B$44-((R339-1)*(1/Q339)))))/Inputs!$B$44),IF(Inputs!$B$39="pvp",MIN((Skills!T14*(1+Inputs!$B$35/100)),15)/15,MIN(1,(Skills!T14*(1+Inputs!$B$35/100))/(1/Q339)))))+((C338=TRUE)*IF(Inputs!$B$3&gt;=82,IF(Inputs!$B$39="pvp",20,(1-Summary!$B$11)*(20)+Summary!$B$11*(0)),0)*IF(AND(Inputs!$B$39&lt;&gt;"pvp",Inputs!$B$44&gt;0),(((R338-1)*MIN((Skills!T13*(1+Inputs!$B$35/100)),(1/Q338))+MIN((Skills!T13*(1+Inputs!$B$35/100)),MAX(0,Inputs!$B$44-((R338-1)*(1/Q338)))))/Inputs!$B$44),IF(Inputs!$B$39="pvp",MIN((Skills!T13*(1+Inputs!$B$35/100)),15)/15,MIN(1,(Skills!T13*(1+Inputs!$B$35/100))/(1/Q338)))))+(IF(AND(ArtifactsInput!$M$35,Inputs!$B$4&lt;&gt;"Chapter Hunt"),CHOOSE(ArtifactsInput!$N$35+1,15,18,21,24,27,30)*(1-EXP(-(0.2*B356)*5)),0)+IF(AND(ArtifactsInput!$M$22,Inputs!$B$4&lt;&gt;"Chapter Hunt"),CHOOSE(ArtifactsInput!$N$22+1,10,12,14,16,18,20)*((0*(((0.15*B356*5))^0/1)+1*(((0.15*B356*5))^1/1)+2*(((0.15*B356*5))^2/2)+3*(((0.15*B356*5))^3/6)+4*(((0.15*B356*5))^4/24)+5*(((0.15*B356*5))^5/120))/((((0.15*B356*5))^0/1)+(((0.15*B356*5))^1/1)+(((0.15*B356*5))^2/2)+(((0.15*B356*5))^3/6)+(((0.15*B356*5))^4/24)+(((0.15*B356*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6">
      <c r="A336">
        <f>Skills!A11</f>
        <v/>
      </c>
      <c r="B336">
        <f>Skills!B11</f>
        <v/>
      </c>
      <c r="C336">
        <f>Inputs!$B$3&gt;=100</f>
        <v/>
      </c>
      <c r="D336">
        <f>IF(Skills!C11=1,60+Inputs!$B$26+Inputs!$B$30,IF(Skills!C11=2,90+Inputs!$B$27+Inputs!$B$30,IF(Skills!C11=3,120+Inputs!$B$28+Inputs!$B$30,MAX(0,(Inputs!$B$3-100)*3)+Inputs!$B$29+Inputs!$B$30)))</f>
        <v/>
      </c>
      <c r="E336">
        <f>INDEX(FactorTable!$B$2:$Y$301, MATCH(ROUND(MIN(300,MAX(1,D336)),0), FactorTable!$A$2:$A$301,0), Skills!M11+1)</f>
        <v/>
      </c>
      <c r="F336">
        <f>IF(Skills!N11=TRUE,(Skills!L11/10)*(E336/1000),Skills!L11/10)+Skills!O11</f>
        <v/>
      </c>
      <c r="G336" t="inlineStr"/>
      <c r="H336" t="inlineStr"/>
      <c r="I336" t="inlineStr">
        <is>
          <t>1</t>
        </is>
      </c>
      <c r="J336" t="inlineStr"/>
      <c r="K336" t="inlineStr"/>
      <c r="L336" t="inlineStr"/>
      <c r="M336" t="inlineStr"/>
      <c r="N336" t="inlineStr"/>
      <c r="O336" t="inlineStr"/>
      <c r="P336" t="inlineStr"/>
      <c r="Q336" t="inlineStr"/>
      <c r="R336" t="inlineStr"/>
      <c r="S336" t="inlineStr"/>
    </row>
    <row r="337">
      <c r="A337">
        <f>Skills!A12</f>
        <v/>
      </c>
      <c r="B337">
        <f>Skills!B12</f>
        <v/>
      </c>
      <c r="C337">
        <f>Inputs!$B$3&gt;=63</f>
        <v/>
      </c>
      <c r="D337">
        <f>IF(Skills!C12=1,60+Inputs!$B$26+Inputs!$B$30,IF(Skills!C12=2,90+Inputs!$B$27+Inputs!$B$30,IF(Skills!C12=3,120+Inputs!$B$28+Inputs!$B$30,MAX(0,(Inputs!$B$3-100)*3)+Inputs!$B$29+Inputs!$B$30)))</f>
        <v/>
      </c>
      <c r="E337">
        <f>INDEX(FactorTable!$B$2:$Y$301, MATCH(ROUND(MIN(300,MAX(1,D337)),0), FactorTable!$A$2:$A$301,0), Skills!M12+1)</f>
        <v/>
      </c>
      <c r="F337">
        <f>IF(Skills!N12=TRUE,(Skills!L12/10)*(E337/1000),Skills!L12/10)+Skills!O12</f>
        <v/>
      </c>
      <c r="G337">
        <f>Skills!G12*IF(Skills!H12&gt;0,INT(IF(Inputs!$B$39="pvp",MIN(Skills!I12,15),Skills!I12)/Skills!H12+0.000000001),1)</f>
        <v/>
      </c>
      <c r="H337">
        <f>1-(1-Skills!J12/100)^Skills!K12</f>
        <v/>
      </c>
      <c r="I337" t="inlineStr">
        <is>
          <t>1</t>
        </is>
      </c>
      <c r="J337">
        <f>((Inputs!$B$6*(1+Inputs!$B$7/100))+(((Inputs!$B$13*(1+Inputs!$B$14/100))-(Inputs!$B$13*(1+Inputs!$B$14/100)))+0.25*(Inputs!$B$15-Inputs!$B$15))*(1+Inputs!$B$7/100))*(F337/100)</f>
        <v/>
      </c>
      <c r="K337">
        <f>J337*(1+(((Inputs!$B$13+IF(Inputs!$B$3&gt;=38,(10*INDEX(FactorTable!$B$2:$Y$301, MATCH(ROUND(MIN(300,MAX(1,Inputs!$B$3)),0), FactorTable!$A$2:$A$301,0), 23)/1000)/100*(Inputs!$B$8*(1+Inputs!$B$9/100)),0))*(1+Inputs!$B$14/100))*0.01+Inputs!$B$15*0.0025)/100)*(1+Inputs!$B$16/100)*(1+(Inputs!$B$17+1)/100)*(5000/(6000+Inputs!$B$43*(1-(Inputs!$B$20+0)/100)))*(1+(Inputs!$B$25+((C350=TRUE)*(F350-Calc!F25))+((C351=TRUE)*(F351-Calc!F26))+B360)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336=TRUE,F336,0)/100)*(1+(IF(Skills!A12="DARK_IMPALE",Inputs!$B$18+0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gt;=100),MIN(100,((Inputs!$B$10+0+B354+(ArtifactsInput!$M$24-ArtifactsInput!$M$24)*CHOOSE(ArtifactsInput!$N$24+1,10,12,14,16,18,20)+IF(ArtifactsInput!$M$10,CHOOSE(ArtifactsInput!$N$10+1,15,18,21,24,27,30)*(IF(Inputs!$B$39="pvp",MIN(15,15)/15,IF(AND(Inputs!$B$39&lt;&gt;"pvp",Inputs!$B$44&gt;0),MIN(15,Inputs!$B$44)/(Inputs!$B$44),0))),0)))-100),0))*CHOOSE(ArtifactsInput!$N$42+1,0.6,0.72,0.84,0.96,1.08,1.2))),Inputs!$B$19+((C348=TRUE)*(F348-Calc!F23))+(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gt;=100),CHOOSE(ArtifactsInput!$N$42+1,40,48,56,64,72,80),0))))/100)*((1+(((C338=TRUE)*F338*IF(AND(Inputs!$B$39&lt;&gt;"pvp",Inputs!$B$44&gt;0),(((R338-1)*MIN((Skills!T13*(1+Inputs!$B$35/100)),(1/Q338))+MIN((Skills!T13*(1+Inputs!$B$35/100)),MAX(0,Inputs!$B$44-((R338-1)*(1/Q338)))))/Inputs!$B$44),IF(Inputs!$B$39="pvp",MIN((Skills!T13*(1+Inputs!$B$35/100)),15)/15,MIN(1,(Skills!T13*(1+Inputs!$B$35/100))/(1/Q338)))))+((C339=TRUE)*F339*IF(AND(Inputs!$B$39&lt;&gt;"pvp",Inputs!$B$44&gt;0),(((R339-1)*MIN((Skills!T14*(1+Inputs!$B$35/100)),(1/Q339))+MIN((Skills!T14*(1+Inputs!$B$35/100)),MAX(0,Inputs!$B$44-((R339-1)*(1/Q339)))))/Inputs!$B$44),IF(Inputs!$B$39="pvp",MIN((Skills!T14*(1+Inputs!$B$35/100)),15)/15,MIN(1,(Skills!T14*(1+Inputs!$B$35/100))/(1/Q339)))))+((C340=TRUE)*F340*IF(AND(Inputs!$B$39&lt;&gt;"pvp",Inputs!$B$44&gt;0),(((R340-1)*MIN((Skills!T15*(1+Inputs!$B$35/100)),(1/Q340))+MIN((Skills!T15*(1+Inputs!$B$35/100)),MAX(0,Inputs!$B$44-((R340-1)*(1/Q340)))))/Inputs!$B$44),IF(Inputs!$B$39="pvp",MIN((Skills!T15*(1+Inputs!$B$35/100)),15)/15,MIN(1,(Skills!T15*(1+Inputs!$B$35/100))/(1/Q340)))))+((C341=TRUE)*F341*IF(AND(Inputs!$B$39&lt;&gt;"pvp",Inputs!$B$44&gt;0),(((R341-1)*MIN((Skills!T16*(1+Inputs!$B$35/100)),(1/Q341))+MIN((Skills!T16*(1+Inputs!$B$35/100)),MAX(0,Inputs!$B$44-((R341-1)*(1/Q341)))))/Inputs!$B$44),IF(Inputs!$B$39="pvp",MIN((Skills!T16*(1+Inputs!$B$35/100)),15)/15,MIN(1,(Skills!T16*(1+Inputs!$B$35/100))/(1/Q341)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337)</f>
        <v/>
      </c>
      <c r="L337">
        <f>K337*(MIN(Inputs!$B$23+((C347=TRUE)*(F347-Calc!F22)),(Inputs!$B$24+((C349=TRUE)*(F349-Calc!F24))+(IF(ArtifactsInput!$M$15,CHOOSE(ArtifactsInput!$N$15+1,25,30,35,40,45,50)/100*(Inputs!$B$12-Inputs!$B$12),0))))/100+(Inputs!$B$24+((C349=TRUE)*(F349-Calc!F24))+(IF(ArtifactsInput!$M$15,CHOOSE(ArtifactsInput!$N$15+1,25,30,35,40,45,50)/100*(Inputs!$B$12-Inputs!$B$12),0)))/100)/2</f>
        <v/>
      </c>
      <c r="M337">
        <f>L337*(1+(Inputs!$B$11+0+B359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37">
        <f>L337*(1-MIN((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337*(MIN((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7">
        <f>(1-Summary!$B$11)*T337+Summary!$B$11*V337</f>
        <v/>
      </c>
      <c r="P337">
        <f>IF(B364=0,0,O337/B364)</f>
        <v/>
      </c>
      <c r="Q337">
        <f>IFERROR(1/IF(Inputs!$B$39="pvp",15,MAX(0.1,Skills!D12-IF(TRUE=TRUE,Inputs!$B$33,0))),0)</f>
        <v/>
      </c>
      <c r="R337">
        <f>IF(AND(Inputs!$B$39&lt;&gt;"pvp",Inputs!$B$44&gt;0),IF(MAX(0,Inputs!$B$44-B361)&lt;=0,0,(INT(MAX(0,Inputs!$B$44-B361)/IF(Inputs!$B$39="pvp",15,MAX(0.1,Skills!D12-IF(TRUE=TRUE,Inputs!$B$33,0))))+1)),0)</f>
        <v/>
      </c>
      <c r="S337">
        <f>IFERROR(O337/N337,0)</f>
        <v/>
      </c>
      <c r="T337">
        <f>IF(C337,(H337*N337*IF(AND(Inputs!$B$39&lt;&gt;"pvp",Inputs!$B$44&gt;0),((Skills!G12*((R337-1)*IF(Skills!H12&gt;0,INT(Skills!I12/Skills!H12+0.000000001),1)+IF(Skills!H12&gt;0,INT(MIN(Skills!I12,MAX(0,MAX(0,Inputs!$B$44-B361)-((R337-1)*IF(Inputs!$B$39="pvp",15,MAX(0.1,Skills!D12-IF(TRUE=TRUE,Inputs!$B$33,0))))))/Skills!H12+0.000000001),1)))/Inputs!$B$44),G337*Q337))*IF(Inputs!$B$39="pvp",1,1+(Inputs!$B$21+0+Skills!P12+((C342=TRUE)*F342*IF(AND(Inputs!$B$39&lt;&gt;"pvp",Inputs!$B$44&gt;0),(((R342-1)*MIN((Skills!T17*(1+Inputs!$B$35/100)),(1/Q342))+MIN((Skills!T17*(1+Inputs!$B$35/100)),MAX(0,Inputs!$B$44-((R342-1)*(1/Q342)))))/Inputs!$B$44),IF(Inputs!$B$39="pvp",MIN((Skills!T17*(1+Inputs!$B$35/100)),15)/15,MIN(1,(Skills!T17*(1+Inputs!$B$35/100))/(1/Q342)))))+((C330=TRUE)*IF(Inputs!$B$3&gt;=126,10*MIN(1,15*Q330),0))+((C339=TRUE)*IF(Inputs!$B$39="pvp",20,(1-Summary!$B$11)*(20)+Summary!$B$11*(0))*IF(AND(Inputs!$B$39&lt;&gt;"pvp",Inputs!$B$44&gt;0),(((R339-1)*MIN((Skills!T14*(1+Inputs!$B$35/100)),(1/Q339))+MIN((Skills!T14*(1+Inputs!$B$35/100)),MAX(0,Inputs!$B$44-((R339-1)*(1/Q339)))))/Inputs!$B$44),IF(Inputs!$B$39="pvp",MIN((Skills!T14*(1+Inputs!$B$35/100)),15)/15,MIN(1,(Skills!T14*(1+Inputs!$B$35/100))/(1/Q339)))))+((C338=TRUE)*IF(Inputs!$B$3&gt;=82,IF(Inputs!$B$39="pvp",20,(1-Summary!$B$11)*(20)+Summary!$B$11*(0)),0)*IF(AND(Inputs!$B$39&lt;&gt;"pvp",Inputs!$B$44&gt;0),(((R338-1)*MIN((Skills!T13*(1+Inputs!$B$35/100)),(1/Q338))+MIN((Skills!T13*(1+Inputs!$B$35/100)),MAX(0,Inputs!$B$44-((R338-1)*(1/Q338)))))/Inputs!$B$44),IF(Inputs!$B$39="pvp",MIN((Skills!T13*(1+Inputs!$B$35/100)),15)/15,MIN(1,(Skills!T13*(1+Inputs!$B$35/100))/(1/Q338)))))+(IF(AND(ArtifactsInput!$M$35,Inputs!$B$4&lt;&gt;"Chapter Hunt"),CHOOSE(ArtifactsInput!$N$35+1,15,18,21,24,27,30)*(1-EXP(-(0.2*B356)*5)),0)+IF(AND(ArtifactsInput!$M$22,Inputs!$B$4&lt;&gt;"Chapter Hunt"),CHOOSE(ArtifactsInput!$N$22+1,10,12,14,16,18,20)*((0*(((0.15*B356*5))^0/1)+1*(((0.15*B356*5))^1/1)+2*(((0.15*B356*5))^2/2)+3*(((0.15*B356*5))^3/6)+4*(((0.15*B356*5))^4/24)+5*(((0.15*B356*5))^5/120))/((((0.15*B356*5))^0/1)+(((0.15*B356*5))^1/1)+(((0.15*B356*5))^2/2)+(((0.15*B356*5))^3/6)+(((0.15*B356*5))^4/24)+(((0.15*B356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337*(1-MIN(100,(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337*(MIN(100,(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337*(1-MIN(100,(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337*(MIN(100,(Inputs!$B$10+0+B354+(ArtifactsInput!$M$24-ArtifactsInput!$M$24)*CHOOSE(ArtifactsInput!$N$24+1,10,12,14,16,18,20)+(IF(AND(Inputs!$B$39&lt;&gt;"pvp",Inputs!$B$44=0),1,IF(IF(Inputs!$B$39="pvp",15,Inputs!$B$44)-(B361)&lt;=0,1,MAX(0,IF(Inputs!$B$39="pvp",15,Inputs!$B$44)-MAX(5,B361))/(IF(Inputs!$B$39="pvp",15,Inputs!$B$44)-(B361))))*IF(AND(ArtifactsInput!$M$42,((Inputs!$B$10+0+B354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37">
        <f>IF(C337,(H337*N337*IF(AND(Inputs!$B$39&lt;&gt;"pvp",Inputs!$B$44&gt;0),((Skills!G12*((R337-1)*IF(Skills!H12&gt;0,INT(Skills!I12/Skills!H12+0.000000001),1)+IF(Skills!H12&gt;0,INT(MIN(Skills!I12,MAX(0,MAX(0,Inputs!$B$44-B361)-((R337-1)*IF(Inputs!$B$39="pvp",15,MAX(0.1,Skills!D12-IF(TRUE=TRUE,Inputs!$B$33,0))))))/Skills!H12+0.000000001),1)))/Inputs!$B$44),G337*Q337))*IF(Inputs!$B$39="pvp",1,(1+(Inputs!$B$22+Skills!Q12+((C342=TRUE)*F342*IF(AND(Inputs!$B$39&lt;&gt;"pvp",Inputs!$B$44&gt;0),(((R342-1)*MIN((Skills!T17*(1+Inputs!$B$35/100)),(1/Q342))+MIN((Skills!T17*(1+Inputs!$B$35/100)),MAX(0,Inputs!$B$44-((R342-1)*(1/Q342)))))/Inputs!$B$44),IF(Inputs!$B$39="pvp",MIN((Skills!T17*(1+Inputs!$B$35/100)),15)/15,MIN(1,(Skills!T17*(1+Inputs!$B$35/100))/(1/Q342)))))+((C330=TRUE)*IF(Inputs!$B$3&gt;=126,10*MIN(1,15*Q330),0))+((C339=TRUE)*IF(Inputs!$B$39="pvp",20,(1-Summary!$B$11)*(20)+Summary!$B$11*(0))*IF(AND(Inputs!$B$39&lt;&gt;"pvp",Inputs!$B$44&gt;0),(((R339-1)*MIN((Skills!T14*(1+Inputs!$B$35/100)),(1/Q339))+MIN((Skills!T14*(1+Inputs!$B$35/100)),MAX(0,Inputs!$B$44-((R339-1)*(1/Q339)))))/Inputs!$B$44),IF(Inputs!$B$39="pvp",MIN((Skills!T14*(1+Inputs!$B$35/100)),15)/15,MIN(1,(Skills!T14*(1+Inputs!$B$35/100))/(1/Q339)))))+((C338=TRUE)*IF(Inputs!$B$3&gt;=82,IF(Inputs!$B$39="pvp",20,(1-Summary!$B$11)*(20)+Summary!$B$11*(0)),0)*IF(AND(Inputs!$B$39&lt;&gt;"pvp",Inputs!$B$44&gt;0),(((R338-1)*MIN((Skills!T13*(1+Inputs!$B$35/100)),(1/Q338))+MIN((Skills!T13*(1+Inputs!$B$35/100)),MAX(0,Inputs!$B$44-((R338-1)*(1/Q338)))))/Inputs!$B$44),IF(Inputs!$B$39="pvp",MIN((Skills!T13*(1+Inputs!$B$35/100)),15)/15,MIN(1,(Skills!T13*(1+Inputs!$B$35/100))/(1/Q338)))))+(IF(AND(ArtifactsInput!$M$35,Inputs!$B$4&lt;&gt;"Chapter Hunt"),CHOOSE(ArtifactsInput!$N$35+1,15,18,21,24,27,30)*(1-EXP(-(0.2*B356)*5)),0)+IF(AND(ArtifactsInput!$M$22,Inputs!$B$4&lt;&gt;"Chapter Hunt"),CHOOSE(ArtifactsInput!$N$22+1,10,12,14,16,18,20)*((0*(((0.15*B356*5))^0/1)+1*(((0.15*B356*5))^1/1)+2*(((0.15*B356*5))^2/2)+3*(((0.15*B356*5))^3/6)+4*(((0.15*B356*5))^4/24)+5*(((0.15*B356*5))^5/120))/((((0.15*B356*5))^0/1)+(((0.15*B356*5))^1/1)+(((0.15*B356*5))^2/2)+(((0.15*B356*5))^3/6)+(((0.15*B356*5))^4/24)+(((0.15*B356*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8">
      <c r="A338">
        <f>Skills!A13</f>
        <v/>
      </c>
      <c r="B338">
        <f>Skills!B13</f>
        <v/>
      </c>
      <c r="C338">
        <f>Inputs!$B$3&gt;=69</f>
        <v/>
      </c>
      <c r="D338">
        <f>IF(Skills!C13=1,60+Inputs!$B$26+Inputs!$B$30,IF(Skills!C13=2,90+Inputs!$B$27+Inputs!$B$30,IF(Skills!C13=3,120+Inputs!$B$28+Inputs!$B$30,MAX(0,(Inputs!$B$3-100)*3)+Inputs!$B$29+Inputs!$B$30)))</f>
        <v/>
      </c>
      <c r="E338">
        <f>INDEX(FactorTable!$B$2:$Y$301, MATCH(ROUND(MIN(300,MAX(1,D338)),0), FactorTable!$A$2:$A$301,0), Skills!M13+1)</f>
        <v/>
      </c>
      <c r="F338">
        <f>IF(Skills!N13=TRUE,(Skills!L13/10)*(E338/1000),Skills!L13/10)+Skills!O13</f>
        <v/>
      </c>
      <c r="G338">
        <f>Skills!G13*IF(Skills!H13&gt;0,INT(IF(Inputs!$B$39="pvp",MIN(Skills!I13,15),Skills!I13)/Skills!H13+0.000000001),1)</f>
        <v/>
      </c>
      <c r="H338">
        <f>1-(1-Skills!J13/100)^Skills!K13</f>
        <v/>
      </c>
      <c r="I338" t="inlineStr">
        <is>
          <t>1</t>
        </is>
      </c>
      <c r="J338" t="inlineStr"/>
      <c r="K338" t="inlineStr"/>
      <c r="L338" t="inlineStr"/>
      <c r="M338" t="inlineStr"/>
      <c r="N338" t="inlineStr"/>
      <c r="O338">
        <f>(1-Summary!$B$11)*T338+Summary!$B$11*V338</f>
        <v/>
      </c>
      <c r="P338">
        <f>IF(B364=0,0,O338/B364)</f>
        <v/>
      </c>
      <c r="Q338">
        <f>IFERROR(1/IF(Inputs!$B$39="pvp",15,MAX(0.1,Skills!D13-IF(TRUE=TRUE,Inputs!$B$33,0))),0)</f>
        <v/>
      </c>
      <c r="R338">
        <f>IF(AND(Inputs!$B$39&lt;&gt;"pvp",Inputs!$B$44&gt;0),IF(Inputs!$B$44&lt;=0,0,(INT(Inputs!$B$44/IF(Inputs!$B$39="pvp",15,MAX(0.1,Skills!D13-IF(TRUE=TRUE,Inputs!$B$33,0))))+1)),0)</f>
        <v/>
      </c>
      <c r="S338">
        <f>IFERROR(O338/N338,0)</f>
        <v/>
      </c>
      <c r="T338" t="n">
        <v>0</v>
      </c>
      <c r="V338" t="n">
        <v>0</v>
      </c>
    </row>
    <row r="339">
      <c r="A339">
        <f>Skills!A14</f>
        <v/>
      </c>
      <c r="B339">
        <f>Skills!B14</f>
        <v/>
      </c>
      <c r="C339">
        <f>Inputs!$B$3&gt;=115</f>
        <v/>
      </c>
      <c r="D339">
        <f>IF(Skills!C14=1,60+Inputs!$B$26+Inputs!$B$30,IF(Skills!C14=2,90+Inputs!$B$27+Inputs!$B$30,IF(Skills!C14=3,120+Inputs!$B$28+Inputs!$B$30,MAX(0,(Inputs!$B$3-100)*3)+Inputs!$B$29+Inputs!$B$30)))</f>
        <v/>
      </c>
      <c r="E339">
        <f>INDEX(FactorTable!$B$2:$Y$301, MATCH(ROUND(MIN(300,MAX(1,D339)),0), FactorTable!$A$2:$A$301,0), Skills!M14+1)</f>
        <v/>
      </c>
      <c r="F339">
        <f>IF(Skills!N14=TRUE,(Skills!L14/10)*(E339/1000),Skills!L14/10)+Skills!O14</f>
        <v/>
      </c>
      <c r="G339">
        <f>Skills!G14*IF(Skills!H14&gt;0,INT(IF(Inputs!$B$39="pvp",MIN(Skills!I14,15),Skills!I14)/Skills!H14+0.000000001),1)</f>
        <v/>
      </c>
      <c r="H339">
        <f>1-(1-Skills!J14/100)^Skills!K14</f>
        <v/>
      </c>
      <c r="I339" t="inlineStr">
        <is>
          <t>1</t>
        </is>
      </c>
      <c r="J339" t="inlineStr"/>
      <c r="K339" t="inlineStr"/>
      <c r="L339" t="inlineStr"/>
      <c r="M339" t="inlineStr"/>
      <c r="N339" t="inlineStr"/>
      <c r="O339">
        <f>(1-Summary!$B$11)*T339+Summary!$B$11*V339</f>
        <v/>
      </c>
      <c r="P339">
        <f>IF(B364=0,0,O339/B364)</f>
        <v/>
      </c>
      <c r="Q339">
        <f>IFERROR(1/IF(Inputs!$B$39="pvp",15,MAX(0.1,Skills!D14-IF(TRUE=TRUE,Inputs!$B$33,0))),0)</f>
        <v/>
      </c>
      <c r="R339">
        <f>IF(AND(Inputs!$B$39&lt;&gt;"pvp",Inputs!$B$44&gt;0),IF(Inputs!$B$44&lt;=0,0,(INT(Inputs!$B$44/IF(Inputs!$B$39="pvp",15,MAX(0.1,Skills!D14-IF(TRUE=TRUE,Inputs!$B$33,0))))+1)),0)</f>
        <v/>
      </c>
      <c r="S339">
        <f>IFERROR(O339/N339,0)</f>
        <v/>
      </c>
      <c r="T339" t="n">
        <v>0</v>
      </c>
      <c r="V339" t="n">
        <v>0</v>
      </c>
    </row>
    <row r="340">
      <c r="A340">
        <f>Skills!A15</f>
        <v/>
      </c>
      <c r="B340">
        <f>Skills!B15</f>
        <v/>
      </c>
      <c r="C340">
        <f>Inputs!$B$3&gt;=66</f>
        <v/>
      </c>
      <c r="D340">
        <f>IF(Skills!C15=1,60+Inputs!$B$26+Inputs!$B$30,IF(Skills!C15=2,90+Inputs!$B$27+Inputs!$B$30,IF(Skills!C15=3,120+Inputs!$B$28+Inputs!$B$30,MAX(0,(Inputs!$B$3-100)*3)+Inputs!$B$29+Inputs!$B$30)))</f>
        <v/>
      </c>
      <c r="E340">
        <f>INDEX(FactorTable!$B$2:$Y$301, MATCH(ROUND(MIN(300,MAX(1,D340)),0), FactorTable!$A$2:$A$301,0), Skills!M15+1)</f>
        <v/>
      </c>
      <c r="F340">
        <f>IF(Skills!N15=TRUE,(Skills!L15/10)*(E340/1000),Skills!L15/10)+Skills!O15</f>
        <v/>
      </c>
      <c r="G340">
        <f>Skills!G15*IF(Skills!H15&gt;0,INT(IF(Inputs!$B$39="pvp",MIN(Skills!I15,15),Skills!I15)/Skills!H15+0.000000001),1)</f>
        <v/>
      </c>
      <c r="H340">
        <f>1-(1-Skills!J15/100)^Skills!K15</f>
        <v/>
      </c>
      <c r="I340" t="inlineStr">
        <is>
          <t>1</t>
        </is>
      </c>
      <c r="J340" t="inlineStr"/>
      <c r="K340" t="inlineStr"/>
      <c r="L340" t="inlineStr"/>
      <c r="M340" t="inlineStr"/>
      <c r="N340" t="inlineStr"/>
      <c r="O340">
        <f>(1-Summary!$B$11)*T340+Summary!$B$11*V340</f>
        <v/>
      </c>
      <c r="P340">
        <f>IF(B364=0,0,O340/B364)</f>
        <v/>
      </c>
      <c r="Q340">
        <f>IFERROR(1/IF(Inputs!$B$39="pvp",15,MAX(0.1,Skills!D15-IF(TRUE=TRUE,Inputs!$B$33,0))),0)</f>
        <v/>
      </c>
      <c r="R340">
        <f>IF(AND(Inputs!$B$39&lt;&gt;"pvp",Inputs!$B$44&gt;0),IF(Inputs!$B$44&lt;=0,0,(INT(Inputs!$B$44/IF(Inputs!$B$39="pvp",15,MAX(0.1,Skills!D15-IF(TRUE=TRUE,Inputs!$B$33,0))))+1)),0)</f>
        <v/>
      </c>
      <c r="S340">
        <f>IFERROR(O340/N340,0)</f>
        <v/>
      </c>
      <c r="T340" t="n">
        <v>0</v>
      </c>
      <c r="V340" t="n">
        <v>0</v>
      </c>
    </row>
    <row r="341">
      <c r="A341">
        <f>Skills!A16</f>
        <v/>
      </c>
      <c r="B341">
        <f>Skills!B16</f>
        <v/>
      </c>
      <c r="C341">
        <f>Inputs!$B$3&gt;=45</f>
        <v/>
      </c>
      <c r="D341">
        <f>IF(Skills!C16=1,60+Inputs!$B$26+Inputs!$B$30,IF(Skills!C16=2,90+Inputs!$B$27+Inputs!$B$30,IF(Skills!C16=3,120+Inputs!$B$28+Inputs!$B$30,MAX(0,(Inputs!$B$3-100)*3)+Inputs!$B$29+Inputs!$B$30)))</f>
        <v/>
      </c>
      <c r="E341">
        <f>INDEX(FactorTable!$B$2:$Y$301, MATCH(ROUND(MIN(300,MAX(1,D341)),0), FactorTable!$A$2:$A$301,0), Skills!M16+1)</f>
        <v/>
      </c>
      <c r="F341">
        <f>IF(Skills!N16=TRUE,(Skills!L16/10)*(E341/1000),Skills!L16/10)+Skills!O16</f>
        <v/>
      </c>
      <c r="G341">
        <f>Skills!G16*IF(Skills!H16&gt;0,INT(IF(Inputs!$B$39="pvp",MIN(Skills!I16,15),Skills!I16)/Skills!H16+0.000000001),1)</f>
        <v/>
      </c>
      <c r="H341">
        <f>1-(1-Skills!J16/100)^Skills!K16</f>
        <v/>
      </c>
      <c r="I341" t="inlineStr">
        <is>
          <t>1</t>
        </is>
      </c>
      <c r="J341" t="inlineStr"/>
      <c r="K341" t="inlineStr"/>
      <c r="L341" t="inlineStr"/>
      <c r="M341" t="inlineStr"/>
      <c r="N341" t="inlineStr"/>
      <c r="O341">
        <f>(1-Summary!$B$11)*T341+Summary!$B$11*V341</f>
        <v/>
      </c>
      <c r="P341">
        <f>IF(B364=0,0,O341/B364)</f>
        <v/>
      </c>
      <c r="Q341">
        <f>IFERROR(1/IF(Inputs!$B$39="pvp",15,MAX(0.1,Skills!D16-IF(TRUE=TRUE,Inputs!$B$33,0))),0)</f>
        <v/>
      </c>
      <c r="R341">
        <f>IF(AND(Inputs!$B$39&lt;&gt;"pvp",Inputs!$B$44&gt;0),IF(Inputs!$B$44&lt;=0,0,(INT(Inputs!$B$44/IF(Inputs!$B$39="pvp",15,MAX(0.1,Skills!D16-IF(TRUE=TRUE,Inputs!$B$33,0))))+1)),0)</f>
        <v/>
      </c>
      <c r="S341">
        <f>IFERROR(O341/N341,0)</f>
        <v/>
      </c>
      <c r="T341" t="n">
        <v>0</v>
      </c>
      <c r="V341" t="n">
        <v>0</v>
      </c>
    </row>
    <row r="342">
      <c r="A342">
        <f>Skills!A17</f>
        <v/>
      </c>
      <c r="B342">
        <f>Skills!B17</f>
        <v/>
      </c>
      <c r="C342">
        <f>Inputs!$B$3&gt;=35</f>
        <v/>
      </c>
      <c r="D342">
        <f>IF(Skills!C17=1,60+Inputs!$B$26+Inputs!$B$30,IF(Skills!C17=2,90+Inputs!$B$27+Inputs!$B$30,IF(Skills!C17=3,120+Inputs!$B$28+Inputs!$B$30,MAX(0,(Inputs!$B$3-100)*3)+Inputs!$B$29+Inputs!$B$30)))</f>
        <v/>
      </c>
      <c r="E342">
        <f>INDEX(FactorTable!$B$2:$Y$301, MATCH(ROUND(MIN(300,MAX(1,D342)),0), FactorTable!$A$2:$A$301,0), Skills!M17+1)</f>
        <v/>
      </c>
      <c r="F342">
        <f>IF(Skills!N17=TRUE,(Skills!L17/10)*(E342/1000),Skills!L17/10)+Skills!O17</f>
        <v/>
      </c>
      <c r="G342">
        <f>Skills!G17*IF(Skills!H17&gt;0,INT(IF(Inputs!$B$39="pvp",MIN(Skills!I17,15),Skills!I17)/Skills!H17+0.000000001),1)</f>
        <v/>
      </c>
      <c r="H342">
        <f>1-(1-Skills!J17/100)^Skills!K17</f>
        <v/>
      </c>
      <c r="I342" t="inlineStr">
        <is>
          <t>1</t>
        </is>
      </c>
      <c r="J342" t="inlineStr"/>
      <c r="K342" t="inlineStr"/>
      <c r="L342" t="inlineStr"/>
      <c r="M342" t="inlineStr"/>
      <c r="N342" t="inlineStr"/>
      <c r="O342">
        <f>(1-Summary!$B$11)*T342+Summary!$B$11*V342</f>
        <v/>
      </c>
      <c r="P342">
        <f>IF(B364=0,0,O342/B364)</f>
        <v/>
      </c>
      <c r="Q342">
        <f>IFERROR(1/IF(Inputs!$B$39="pvp",15,MAX(0.1,Skills!D17-IF(TRUE=TRUE,Inputs!$B$33,0))),0)</f>
        <v/>
      </c>
      <c r="R342">
        <f>IF(AND(Inputs!$B$39&lt;&gt;"pvp",Inputs!$B$44&gt;0),IF(Inputs!$B$44&lt;=0,0,(INT(Inputs!$B$44/IF(Inputs!$B$39="pvp",15,MAX(0.1,Skills!D17-IF(TRUE=TRUE,Inputs!$B$33,0))))+1)),0)</f>
        <v/>
      </c>
      <c r="S342">
        <f>IFERROR(O342/N342,0)</f>
        <v/>
      </c>
      <c r="T342" t="n">
        <v>0</v>
      </c>
      <c r="V342" t="n">
        <v>0</v>
      </c>
    </row>
    <row r="343">
      <c r="A343">
        <f>Skills!A18</f>
        <v/>
      </c>
      <c r="B343">
        <f>Skills!B18</f>
        <v/>
      </c>
      <c r="C343">
        <f>Inputs!$B$3&gt;=72</f>
        <v/>
      </c>
      <c r="D343">
        <f>IF(Skills!C18=1,60+Inputs!$B$26+Inputs!$B$30,IF(Skills!C18=2,90+Inputs!$B$27+Inputs!$B$30,IF(Skills!C18=3,120+Inputs!$B$28+Inputs!$B$30,MAX(0,(Inputs!$B$3-100)*3)+Inputs!$B$29+Inputs!$B$30)))</f>
        <v/>
      </c>
      <c r="E343">
        <f>INDEX(FactorTable!$B$2:$Y$301, MATCH(ROUND(MIN(300,MAX(1,D343)),0), FactorTable!$A$2:$A$301,0), Skills!M18+1)</f>
        <v/>
      </c>
      <c r="F343">
        <f>IF(Skills!N18=TRUE,(Skills!L18/10)*(E343/1000),Skills!L18/10)+Skills!O18</f>
        <v/>
      </c>
      <c r="G343">
        <f>Skills!G18*IF(Skills!H18&gt;0,INT(IF(Inputs!$B$39="pvp",MIN(Skills!I18,15),Skills!I18)/Skills!H18+0.000000001),1)</f>
        <v/>
      </c>
      <c r="H343">
        <f>1-(1-Skills!J18/100)^Skills!K18</f>
        <v/>
      </c>
      <c r="I343" t="inlineStr">
        <is>
          <t>1</t>
        </is>
      </c>
      <c r="J343" t="inlineStr"/>
      <c r="K343" t="inlineStr"/>
      <c r="L343" t="inlineStr"/>
      <c r="M343" t="inlineStr"/>
      <c r="N343" t="inlineStr"/>
      <c r="O343">
        <f>(1-Summary!$B$11)*T343+Summary!$B$11*V343</f>
        <v/>
      </c>
      <c r="P343">
        <f>IF(B364=0,0,O343/B364)</f>
        <v/>
      </c>
      <c r="Q343">
        <f>IFERROR(1/IF(Inputs!$B$39="pvp",15,MAX(0.1,Skills!D18-IF(TRUE=TRUE,Inputs!$B$33,0))),0)</f>
        <v/>
      </c>
      <c r="R343">
        <f>IF(AND(Inputs!$B$39&lt;&gt;"pvp",Inputs!$B$44&gt;0),IF(Inputs!$B$44&lt;=0,0,(INT(Inputs!$B$44/IF(Inputs!$B$39="pvp",15,MAX(0.1,Skills!D18-IF(TRUE=TRUE,Inputs!$B$33,0))))+1)),0)</f>
        <v/>
      </c>
      <c r="S343">
        <f>IFERROR(O343/N343,0)</f>
        <v/>
      </c>
      <c r="T343" t="n">
        <v>0</v>
      </c>
      <c r="V343" t="n">
        <v>0</v>
      </c>
    </row>
    <row r="344">
      <c r="A344">
        <f>Skills!A19</f>
        <v/>
      </c>
      <c r="B344">
        <f>Skills!B19</f>
        <v/>
      </c>
      <c r="C344">
        <f>Inputs!$B$3&gt;=72</f>
        <v/>
      </c>
      <c r="D344">
        <f>IF(Skills!C19=1,60+Inputs!$B$26+Inputs!$B$30,IF(Skills!C19=2,90+Inputs!$B$27+Inputs!$B$30,IF(Skills!C19=3,120+Inputs!$B$28+Inputs!$B$30,MAX(0,(Inputs!$B$3-100)*3)+Inputs!$B$29+Inputs!$B$30)))</f>
        <v/>
      </c>
      <c r="E344">
        <f>INDEX(FactorTable!$B$2:$Y$301, MATCH(ROUND(MIN(300,MAX(1,D344)),0), FactorTable!$A$2:$A$301,0), Skills!M19+1)</f>
        <v/>
      </c>
      <c r="F344">
        <f>IF(Skills!N19=TRUE,(Skills!L19/10)*(E344/1000),Skills!L19/10)+Skills!O19</f>
        <v/>
      </c>
      <c r="G344">
        <f>Skills!G19*IF(Skills!H19&gt;0,INT(IF(Inputs!$B$39="pvp",MIN(Skills!I19,15),Skills!I19)/Skills!H19+0.000000001),1)</f>
        <v/>
      </c>
      <c r="H344">
        <f>1-(1-Skills!J19/100)^Skills!K19</f>
        <v/>
      </c>
      <c r="I344" t="inlineStr">
        <is>
          <t>1</t>
        </is>
      </c>
      <c r="J344" t="inlineStr"/>
      <c r="K344" t="inlineStr"/>
      <c r="L344" t="inlineStr"/>
      <c r="M344" t="inlineStr"/>
      <c r="N344" t="inlineStr"/>
      <c r="O344">
        <f>(1-Summary!$B$11)*T344+Summary!$B$11*V344</f>
        <v/>
      </c>
      <c r="P344">
        <f>IF(B364=0,0,O344/B364)</f>
        <v/>
      </c>
      <c r="Q344">
        <f>IFERROR(1/IF(Inputs!$B$39="pvp",15,MAX(0.1,Skills!D19-IF(TRUE=TRUE,Inputs!$B$33,0))),0)</f>
        <v/>
      </c>
      <c r="R344">
        <f>IF(AND(Inputs!$B$39&lt;&gt;"pvp",Inputs!$B$44&gt;0),IF(Inputs!$B$44&lt;=0,0,(INT(Inputs!$B$44/IF(Inputs!$B$39="pvp",15,MAX(0.1,Skills!D19-IF(TRUE=TRUE,Inputs!$B$33,0))))+1)),0)</f>
        <v/>
      </c>
      <c r="S344">
        <f>IFERROR(O344/N344,0)</f>
        <v/>
      </c>
      <c r="T344" t="n">
        <v>0</v>
      </c>
      <c r="V344" t="n">
        <v>0</v>
      </c>
    </row>
    <row r="345">
      <c r="A345">
        <f>Skills!A20</f>
        <v/>
      </c>
      <c r="B345">
        <f>Skills!B20</f>
        <v/>
      </c>
      <c r="C345">
        <f>TRUE</f>
        <v/>
      </c>
      <c r="D345">
        <f>IF(Skills!C20=1,60+Inputs!$B$26+Inputs!$B$30,IF(Skills!C20=2,90+Inputs!$B$27+Inputs!$B$30,IF(Skills!C20=3,120+Inputs!$B$28+Inputs!$B$30,MAX(0,(Inputs!$B$3-100)*3)+Inputs!$B$29+Inputs!$B$30)))</f>
        <v/>
      </c>
      <c r="E345">
        <f>INDEX(FactorTable!$B$2:$Y$301, MATCH(ROUND(MIN(300,MAX(1,D345)),0), FactorTable!$A$2:$A$301,0), Skills!M20+1)</f>
        <v/>
      </c>
      <c r="F345">
        <f>IF(Skills!N20=TRUE,(Skills!L20/10)*(E345/1000),Skills!L20/10)+Skills!O20</f>
        <v/>
      </c>
      <c r="G345">
        <f>Skills!G20*IF(Skills!H20&gt;0,INT(IF(Inputs!$B$39="pvp",MIN(Skills!I20,15),Skills!I20)/Skills!H20+0.000000001),1)</f>
        <v/>
      </c>
      <c r="H345">
        <f>1-(1-Skills!J20/100)^Skills!K20</f>
        <v/>
      </c>
      <c r="I345" t="inlineStr">
        <is>
          <t>1</t>
        </is>
      </c>
      <c r="J345" t="inlineStr"/>
      <c r="K345" t="inlineStr"/>
      <c r="L345" t="inlineStr"/>
      <c r="M345" t="inlineStr"/>
      <c r="N345" t="inlineStr"/>
      <c r="O345">
        <f>(1-Summary!$B$11)*T345+Summary!$B$11*V345</f>
        <v/>
      </c>
      <c r="P345">
        <f>IF(B364=0,0,O345/B364)</f>
        <v/>
      </c>
      <c r="Q345">
        <f>IFERROR(1/IF(Inputs!$B$39="pvp",15,MAX(0.1,Skills!D20-IF(TRUE=TRUE,Inputs!$B$33,0))),0)</f>
        <v/>
      </c>
      <c r="R345">
        <f>IF(AND(Inputs!$B$39&lt;&gt;"pvp",Inputs!$B$44&gt;0),IF(Inputs!$B$44&lt;=0,0,(INT(Inputs!$B$44/IF(Inputs!$B$39="pvp",15,MAX(0.1,Skills!D20-IF(TRUE=TRUE,Inputs!$B$33,0))))+1)),0)</f>
        <v/>
      </c>
      <c r="S345">
        <f>IFERROR(O345/N345,0)</f>
        <v/>
      </c>
      <c r="T345" t="n">
        <v>0</v>
      </c>
      <c r="V345" t="n">
        <v>0</v>
      </c>
    </row>
    <row r="346">
      <c r="A346">
        <f>Skills!A21</f>
        <v/>
      </c>
      <c r="B346">
        <f>Skills!B21</f>
        <v/>
      </c>
      <c r="C346">
        <f>Inputs!$B$3&gt;=33</f>
        <v/>
      </c>
      <c r="D346">
        <f>IF(Skills!C21=1,60+Inputs!$B$26+Inputs!$B$30,IF(Skills!C21=2,90+Inputs!$B$27+Inputs!$B$30,IF(Skills!C21=3,120+Inputs!$B$28+Inputs!$B$30,MAX(0,(Inputs!$B$3-100)*3)+Inputs!$B$29+Inputs!$B$30)))</f>
        <v/>
      </c>
      <c r="E346">
        <f>INDEX(FactorTable!$B$2:$Y$301, MATCH(ROUND(MIN(300,MAX(1,D346)),0), FactorTable!$A$2:$A$301,0), Skills!M21+1)</f>
        <v/>
      </c>
      <c r="F346">
        <f>IF(Skills!N21=TRUE,(Skills!L21/10)*(E346/1000),Skills!L21/10)+Skills!O21</f>
        <v/>
      </c>
      <c r="G346">
        <f>Skills!G21*IF(Skills!H21&gt;0,INT(IF(Inputs!$B$39="pvp",MIN(Skills!I21,15),Skills!I21)/Skills!H21+0.000000001),1)</f>
        <v/>
      </c>
      <c r="H346">
        <f>1-(1-Skills!J21/100)^Skills!K21</f>
        <v/>
      </c>
      <c r="I346" t="inlineStr">
        <is>
          <t>1</t>
        </is>
      </c>
      <c r="J346" t="inlineStr"/>
      <c r="K346" t="inlineStr"/>
      <c r="L346" t="inlineStr"/>
      <c r="M346" t="inlineStr"/>
      <c r="N346" t="inlineStr"/>
      <c r="O346">
        <f>(1-Summary!$B$11)*T346+Summary!$B$11*V346</f>
        <v/>
      </c>
      <c r="P346">
        <f>IF(B364=0,0,O346/B364)</f>
        <v/>
      </c>
      <c r="Q346" t="n">
        <v>0</v>
      </c>
      <c r="R346" t="n">
        <v>0</v>
      </c>
      <c r="S346">
        <f>IFERROR(O346/N346,0)</f>
        <v/>
      </c>
      <c r="T346" t="n">
        <v>0</v>
      </c>
      <c r="V346" t="n">
        <v>0</v>
      </c>
    </row>
    <row r="347">
      <c r="A347">
        <f>Skills!A22</f>
        <v/>
      </c>
      <c r="B347">
        <f>Skills!B22</f>
        <v/>
      </c>
      <c r="C347">
        <f>Inputs!$B$3&gt;=43</f>
        <v/>
      </c>
      <c r="D347">
        <f>IF(Skills!C22=1,60+Inputs!$B$26+Inputs!$B$30,IF(Skills!C22=2,90+Inputs!$B$27+Inputs!$B$30,IF(Skills!C22=3,120+Inputs!$B$28+Inputs!$B$30,MAX(0,(Inputs!$B$3-100)*3)+Inputs!$B$29+Inputs!$B$30)))</f>
        <v/>
      </c>
      <c r="E347">
        <f>INDEX(FactorTable!$B$2:$Y$301, MATCH(ROUND(MIN(300,MAX(1,D347)),0), FactorTable!$A$2:$A$301,0), Skills!M22+1)</f>
        <v/>
      </c>
      <c r="F347">
        <f>IF(Skills!N22=TRUE,(Skills!L22/10)*(E347/1000),Skills!L22/10)+Skills!O22</f>
        <v/>
      </c>
      <c r="G347">
        <f>Skills!G22*IF(Skills!H22&gt;0,INT(IF(Inputs!$B$39="pvp",MIN(Skills!I22,15),Skills!I22)/Skills!H22+0.000000001),1)</f>
        <v/>
      </c>
      <c r="H347">
        <f>1-(1-Skills!J22/100)^Skills!K22</f>
        <v/>
      </c>
      <c r="I347" t="inlineStr">
        <is>
          <t>1</t>
        </is>
      </c>
      <c r="J347" t="inlineStr"/>
      <c r="K347" t="inlineStr"/>
      <c r="L347" t="inlineStr"/>
      <c r="M347" t="inlineStr"/>
      <c r="N347" t="inlineStr"/>
      <c r="O347">
        <f>(1-Summary!$B$11)*T347+Summary!$B$11*V347</f>
        <v/>
      </c>
      <c r="P347">
        <f>IF(B364=0,0,O347/B364)</f>
        <v/>
      </c>
      <c r="Q347" t="n">
        <v>0</v>
      </c>
      <c r="R347" t="n">
        <v>0</v>
      </c>
      <c r="S347">
        <f>IFERROR(O347/N347,0)</f>
        <v/>
      </c>
      <c r="T347" t="n">
        <v>0</v>
      </c>
      <c r="V347" t="n">
        <v>0</v>
      </c>
    </row>
    <row r="348">
      <c r="A348">
        <f>Skills!A23</f>
        <v/>
      </c>
      <c r="B348">
        <f>Skills!B23</f>
        <v/>
      </c>
      <c r="C348">
        <f>Inputs!$B$3&gt;=120</f>
        <v/>
      </c>
      <c r="D348">
        <f>IF(Skills!C23=1,60+Inputs!$B$26+Inputs!$B$30,IF(Skills!C23=2,90+Inputs!$B$27+Inputs!$B$30,IF(Skills!C23=3,120+Inputs!$B$28+Inputs!$B$30,MAX(0,(Inputs!$B$3-100)*3)+Inputs!$B$29+Inputs!$B$30)))</f>
        <v/>
      </c>
      <c r="E348">
        <f>INDEX(FactorTable!$B$2:$Y$301, MATCH(ROUND(MIN(300,MAX(1,D348)),0), FactorTable!$A$2:$A$301,0), Skills!M23+1)</f>
        <v/>
      </c>
      <c r="F348">
        <f>IF(Skills!N23=TRUE,(Skills!L23/10)*(E348/1000),Skills!L23/10)+Skills!O23</f>
        <v/>
      </c>
      <c r="G348">
        <f>Skills!G23*IF(Skills!H23&gt;0,INT(IF(Inputs!$B$39="pvp",MIN(Skills!I23,15),Skills!I23)/Skills!H23+0.000000001),1)</f>
        <v/>
      </c>
      <c r="H348">
        <f>1-(1-Skills!J23/100)^Skills!K23</f>
        <v/>
      </c>
      <c r="I348" t="inlineStr">
        <is>
          <t>1</t>
        </is>
      </c>
      <c r="J348" t="inlineStr"/>
      <c r="K348" t="inlineStr"/>
      <c r="L348" t="inlineStr"/>
      <c r="M348" t="inlineStr"/>
      <c r="N348" t="inlineStr"/>
      <c r="O348">
        <f>(1-Summary!$B$11)*T348+Summary!$B$11*V348</f>
        <v/>
      </c>
      <c r="P348">
        <f>IF(B364=0,0,O348/B364)</f>
        <v/>
      </c>
      <c r="Q348" t="n">
        <v>0</v>
      </c>
      <c r="R348" t="n">
        <v>0</v>
      </c>
      <c r="S348">
        <f>IFERROR(O348/N348,0)</f>
        <v/>
      </c>
      <c r="T348" t="n">
        <v>0</v>
      </c>
      <c r="V348" t="n">
        <v>0</v>
      </c>
    </row>
    <row r="349">
      <c r="A349">
        <f>Skills!A24</f>
        <v/>
      </c>
      <c r="B349">
        <f>Skills!B24</f>
        <v/>
      </c>
      <c r="C349">
        <f>Inputs!$B$3&gt;=120</f>
        <v/>
      </c>
      <c r="D349">
        <f>IF(Skills!C24=1,60+Inputs!$B$26+Inputs!$B$30,IF(Skills!C24=2,90+Inputs!$B$27+Inputs!$B$30,IF(Skills!C24=3,120+Inputs!$B$28+Inputs!$B$30,MAX(0,(Inputs!$B$3-100)*3)+Inputs!$B$29+Inputs!$B$30)))</f>
        <v/>
      </c>
      <c r="E349">
        <f>INDEX(FactorTable!$B$2:$Y$301, MATCH(ROUND(MIN(300,MAX(1,D349)),0), FactorTable!$A$2:$A$301,0), Skills!M24+1)</f>
        <v/>
      </c>
      <c r="F349">
        <f>IF(Skills!N24=TRUE,(Skills!L24/10)*(E349/1000),Skills!L24/10)+Skills!O24</f>
        <v/>
      </c>
      <c r="G349">
        <f>Skills!G24*IF(Skills!H24&gt;0,INT(IF(Inputs!$B$39="pvp",MIN(Skills!I24,15),Skills!I24)/Skills!H24+0.000000001),1)</f>
        <v/>
      </c>
      <c r="H349">
        <f>1-(1-Skills!J24/100)^Skills!K24</f>
        <v/>
      </c>
      <c r="I349" t="inlineStr">
        <is>
          <t>1</t>
        </is>
      </c>
      <c r="J349" t="inlineStr"/>
      <c r="K349" t="inlineStr"/>
      <c r="L349" t="inlineStr"/>
      <c r="M349" t="inlineStr"/>
      <c r="N349" t="inlineStr"/>
      <c r="O349">
        <f>(1-Summary!$B$11)*T349+Summary!$B$11*V349</f>
        <v/>
      </c>
      <c r="P349">
        <f>IF(B364=0,0,O349/B364)</f>
        <v/>
      </c>
      <c r="Q349" t="n">
        <v>0</v>
      </c>
      <c r="R349" t="n">
        <v>0</v>
      </c>
      <c r="S349">
        <f>IFERROR(O349/N349,0)</f>
        <v/>
      </c>
      <c r="T349" t="n">
        <v>0</v>
      </c>
      <c r="V349" t="n">
        <v>0</v>
      </c>
    </row>
    <row r="350">
      <c r="A350">
        <f>Skills!A25</f>
        <v/>
      </c>
      <c r="B350">
        <f>Skills!B25</f>
        <v/>
      </c>
      <c r="C350">
        <f>Inputs!$B$3&gt;=125</f>
        <v/>
      </c>
      <c r="D350">
        <f>IF(Skills!C25=1,60+Inputs!$B$26+Inputs!$B$30,IF(Skills!C25=2,90+Inputs!$B$27+Inputs!$B$30,IF(Skills!C25=3,120+Inputs!$B$28+Inputs!$B$30,MAX(0,(Inputs!$B$3-100)*3)+Inputs!$B$29+Inputs!$B$30)))</f>
        <v/>
      </c>
      <c r="E350">
        <f>INDEX(FactorTable!$B$2:$Y$301, MATCH(ROUND(MIN(300,MAX(1,D350)),0), FactorTable!$A$2:$A$301,0), Skills!M25+1)</f>
        <v/>
      </c>
      <c r="F350">
        <f>IF(Skills!N25=TRUE,(Skills!L25/10)*(E350/1000),Skills!L25/10)+Skills!O25</f>
        <v/>
      </c>
      <c r="G350">
        <f>Skills!G25*IF(Skills!H25&gt;0,INT(IF(Inputs!$B$39="pvp",MIN(Skills!I25,15),Skills!I25)/Skills!H25+0.000000001),1)</f>
        <v/>
      </c>
      <c r="H350">
        <f>1-(1-Skills!J25/100)^Skills!K25</f>
        <v/>
      </c>
      <c r="I350" t="inlineStr">
        <is>
          <t>1</t>
        </is>
      </c>
      <c r="J350" t="inlineStr"/>
      <c r="K350" t="inlineStr"/>
      <c r="L350" t="inlineStr"/>
      <c r="M350" t="inlineStr"/>
      <c r="N350" t="inlineStr"/>
      <c r="O350">
        <f>(1-Summary!$B$11)*T350+Summary!$B$11*V350</f>
        <v/>
      </c>
      <c r="P350">
        <f>IF(B364=0,0,O350/B364)</f>
        <v/>
      </c>
      <c r="Q350" t="n">
        <v>0</v>
      </c>
      <c r="R350" t="n">
        <v>0</v>
      </c>
      <c r="S350">
        <f>IFERROR(O350/N350,0)</f>
        <v/>
      </c>
      <c r="T350" t="n">
        <v>0</v>
      </c>
      <c r="V350" t="n">
        <v>0</v>
      </c>
    </row>
    <row r="351">
      <c r="A351">
        <f>Skills!A26</f>
        <v/>
      </c>
      <c r="B351">
        <f>Skills!B26</f>
        <v/>
      </c>
      <c r="C351">
        <f>Inputs!$B$3&gt;=107</f>
        <v/>
      </c>
      <c r="D351">
        <f>IF(Skills!C26=1,60+Inputs!$B$26+Inputs!$B$30,IF(Skills!C26=2,90+Inputs!$B$27+Inputs!$B$30,IF(Skills!C26=3,120+Inputs!$B$28+Inputs!$B$30,MAX(0,(Inputs!$B$3-100)*3)+Inputs!$B$29+Inputs!$B$30)))</f>
        <v/>
      </c>
      <c r="E351">
        <f>INDEX(FactorTable!$B$2:$Y$301, MATCH(ROUND(MIN(300,MAX(1,D351)),0), FactorTable!$A$2:$A$301,0), Skills!M26+1)</f>
        <v/>
      </c>
      <c r="F351">
        <f>IF(Skills!N26=TRUE,(Skills!L26/10)*(E351/1000),Skills!L26/10)+Skills!O26</f>
        <v/>
      </c>
      <c r="G351">
        <f>Skills!G26*IF(Skills!H26&gt;0,INT(IF(Inputs!$B$39="pvp",MIN(Skills!I26,15),Skills!I26)/Skills!H26+0.000000001),1)</f>
        <v/>
      </c>
      <c r="H351">
        <f>1-(1-Skills!J26/100)^Skills!K26</f>
        <v/>
      </c>
      <c r="I351" t="inlineStr">
        <is>
          <t>1</t>
        </is>
      </c>
      <c r="J351" t="inlineStr"/>
      <c r="K351" t="inlineStr"/>
      <c r="L351" t="inlineStr"/>
      <c r="M351" t="inlineStr"/>
      <c r="N351" t="inlineStr"/>
      <c r="O351">
        <f>(1-Summary!$B$11)*T351+Summary!$B$11*V351</f>
        <v/>
      </c>
      <c r="P351">
        <f>IF(B364=0,0,O351/B364)</f>
        <v/>
      </c>
      <c r="Q351" t="n">
        <v>0</v>
      </c>
      <c r="R351" t="n">
        <v>0</v>
      </c>
      <c r="S351">
        <f>IFERROR(O351/N351,0)</f>
        <v/>
      </c>
      <c r="T351" t="n">
        <v>0</v>
      </c>
      <c r="V351" t="n">
        <v>0</v>
      </c>
    </row>
    <row r="353">
      <c r="A353" t="inlineStr">
        <is>
          <t>Attack% Bucket Multiplier</t>
        </is>
      </c>
      <c r="B353">
        <f>(1+(((C338=TRUE)*F338*IF(AND(Inputs!$B$39&lt;&gt;"pvp",Inputs!$B$44&gt;0),(((R338-1)*MIN((Skills!T13*(1+Inputs!$B$35/100)),(1/Q338))+MIN((Skills!T13*(1+Inputs!$B$35/100)),MAX(0,Inputs!$B$44-((R338-1)*(1/Q338)))))/Inputs!$B$44),IF(Inputs!$B$39="pvp",MIN((Skills!T13*(1+Inputs!$B$35/100)),15)/15,MIN(1,(Skills!T13*(1+Inputs!$B$35/100))/(1/Q338)))))+((C339=TRUE)*F339*IF(AND(Inputs!$B$39&lt;&gt;"pvp",Inputs!$B$44&gt;0),(((R339-1)*MIN((Skills!T14*(1+Inputs!$B$35/100)),(1/Q339))+MIN((Skills!T14*(1+Inputs!$B$35/100)),MAX(0,Inputs!$B$44-((R339-1)*(1/Q339)))))/Inputs!$B$44),IF(Inputs!$B$39="pvp",MIN((Skills!T14*(1+Inputs!$B$35/100)),15)/15,MIN(1,(Skills!T14*(1+Inputs!$B$35/100))/(1/Q339)))))+((C340=TRUE)*F340*IF(AND(Inputs!$B$39&lt;&gt;"pvp",Inputs!$B$44&gt;0),(((R340-1)*MIN((Skills!T15*(1+Inputs!$B$35/100)),(1/Q340))+MIN((Skills!T15*(1+Inputs!$B$35/100)),MAX(0,Inputs!$B$44-((R340-1)*(1/Q340)))))/Inputs!$B$44),IF(Inputs!$B$39="pvp",MIN((Skills!T15*(1+Inputs!$B$35/100)),15)/15,MIN(1,(Skills!T15*(1+Inputs!$B$35/100))/(1/Q340)))))+((C341=TRUE)*F341*IF(AND(Inputs!$B$39&lt;&gt;"pvp",Inputs!$B$44&gt;0),(((R341-1)*MIN((Skills!T16*(1+Inputs!$B$35/100)),(1/Q341))+MIN((Skills!T16*(1+Inputs!$B$35/100)),MAX(0,Inputs!$B$44-((R341-1)*(1/Q341)))))/Inputs!$B$44),IF(Inputs!$B$39="pvp",MIN((Skills!T16*(1+Inputs!$B$35/100)),15)/15,MIN(1,(Skills!T16*(1+Inputs!$B$35/100))/(1/Q341)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354">
      <c r="A354" t="inlineStr">
        <is>
          <t>Global Crit Rate Bonus % (Lord of Darkness)</t>
        </is>
      </c>
      <c r="B354">
        <f>((C343=TRUE)*F343*(Skills!J18/100)*IF(AND(Inputs!$B$39&lt;&gt;"pvp",Inputs!$B$44&gt;0),(((R343-1)*MIN((Skills!T18*(1+Inputs!$B$35/100)),(1/Q343))+MIN((Skills!T18*(1+Inputs!$B$35/100)),MAX(0,Inputs!$B$44-((R343-1)*(1/Q343)))))/Inputs!$B$44),IF(Inputs!$B$39="pvp",MIN((Skills!T18*(1+Inputs!$B$35/100)),15)/15,MIN(1,(Skills!T18*(1+Inputs!$B$35/100))/(1/Q343)))))</f>
        <v/>
      </c>
    </row>
    <row r="355">
      <c r="A355" t="inlineStr">
        <is>
          <t>Attack Speed Buff Bonus %</t>
        </is>
      </c>
      <c r="B355">
        <f>((C345=TRUE)*F345*IF(AND(Inputs!$B$39&lt;&gt;"pvp",Inputs!$B$44&gt;0),(((R345-1)*MIN((Skills!T20*(1+Inputs!$B$35/100)),(1/Q345))+MIN((Skills!T20*(1+Inputs!$B$35/100)),MAX(0,Inputs!$B$44-((R345-1)*(1/Q345)))))/Inputs!$B$44),IF(Inputs!$B$39="pvp",MIN((Skills!T20*(1+Inputs!$B$35/100)),15)/15,MIN(1,(Skills!T20*(1+Inputs!$B$35/100))/(1/Q345)))))</f>
        <v/>
      </c>
    </row>
    <row r="356">
      <c r="A356" t="inlineStr">
        <is>
          <t>Actions Per Second</t>
        </is>
      </c>
      <c r="B356">
        <f>1+MIN(150,150*(1-(1-(Inputs!$B$12+((C346=TRUE)*(F346-Calc!F21)))/150)*(1-B355/150)))/100</f>
        <v/>
      </c>
    </row>
    <row r="357">
      <c r="A357" t="inlineStr">
        <is>
          <t>Skill + Buff Cast Rate</t>
        </is>
      </c>
      <c r="B357">
        <f>IF(AND(Inputs!$B$39&lt;&gt;"pvp",Inputs!$B$44&gt;0),SUMPRODUCT((Skills!E2:E26=TRUE)*(C327:C351=TRUE)*R327:R351*Skills!F2:F26)/Inputs!$B$44,SUMPRODUCT((Skills!E2:E26=TRUE)*(C327:C351=TRUE)*Q327:Q351*Skills!F2:F26))</f>
        <v/>
      </c>
    </row>
    <row r="358">
      <c r="A358" t="inlineStr">
        <is>
          <t>Dark Impale Casts Per Second</t>
        </is>
      </c>
      <c r="B358">
        <f>MAX(0,B356-B357)</f>
        <v/>
      </c>
    </row>
    <row r="359">
      <c r="A359" t="inlineStr">
        <is>
          <t>Global Critical Damage Bonus % (Lord of Darkness)</t>
        </is>
      </c>
      <c r="B359">
        <f>((C344=TRUE)*F344*(Skills!J19/100)*IF(AND(Inputs!$B$39&lt;&gt;"pvp",Inputs!$B$44&gt;0),(((R344-1)*MIN((Skills!T19*(1+Inputs!$B$35/100)),(1/Q344))+MIN((Skills!T19*(1+Inputs!$B$35/100)),MAX(0,Inputs!$B$44-((R344-1)*(1/Q344)))))/Inputs!$B$44),IF(Inputs!$B$39="pvp",MIN((Skills!T19*(1+Inputs!$B$35/100)),15)/15,MIN(1,(Skills!T19*(1+Inputs!$B$35/100))/(1/Q344)))))</f>
        <v/>
      </c>
    </row>
    <row r="360">
      <c r="A360" t="inlineStr">
        <is>
          <t>Global Final Damage Bonus % (unused)</t>
        </is>
      </c>
      <c r="B360" t="n">
        <v>0</v>
      </c>
    </row>
    <row r="361">
      <c r="A361" t="inlineStr">
        <is>
          <t>Buff-Casting Startup Delay (s, fixed-duration only)</t>
        </is>
      </c>
      <c r="B361">
        <f>IF(AND(Inputs!$B$39&lt;&gt;"pvp",Inputs!$B$44&gt;0),SUMPRODUCT((Skills!T2:T26&gt;0)*(Skills!E2:E26=TRUE)*(C327:C351=TRUE))/B356,0)</f>
        <v/>
      </c>
    </row>
    <row r="362">
      <c r="A362" t="inlineStr">
        <is>
          <t>Boss-Only Total DPS (this block's swept value)</t>
        </is>
      </c>
      <c r="B362">
        <f>SUM(T327:T351)</f>
        <v/>
      </c>
    </row>
    <row r="363">
      <c r="A363" t="inlineStr">
        <is>
          <t>Normal-Only Total DPS (this block's swept value)</t>
        </is>
      </c>
      <c r="B363">
        <f>SUM(V327:V351)</f>
        <v/>
      </c>
    </row>
    <row r="364">
      <c r="A364" s="6" t="inlineStr">
        <is>
          <t>TOTAL DPS</t>
        </is>
      </c>
      <c r="B364" s="6">
        <f>SUM(O327:O351)</f>
        <v/>
      </c>
    </row>
    <row r="367">
      <c r="A367" s="6" t="inlineStr">
        <is>
          <t>Stat: BOSS_DAMAGE %</t>
        </is>
      </c>
    </row>
    <row r="368">
      <c r="A368" s="5" t="inlineStr">
        <is>
          <t>Key</t>
        </is>
      </c>
      <c r="B368" s="5" t="inlineStr">
        <is>
          <t>Name</t>
        </is>
      </c>
      <c r="C368" s="5" t="inlineStr">
        <is>
          <t>Unlocked</t>
        </is>
      </c>
      <c r="D368" s="5" t="inlineStr">
        <is>
          <t>InputLevel</t>
        </is>
      </c>
      <c r="E368" s="5" t="inlineStr">
        <is>
          <t>Factor</t>
        </is>
      </c>
      <c r="F368" s="5" t="inlineStr">
        <is>
          <t>CoefficientPercent</t>
        </is>
      </c>
      <c r="G368" s="5" t="inlineStr">
        <is>
          <t>EffectiveHits</t>
        </is>
      </c>
      <c r="H368" s="5" t="inlineStr">
        <is>
          <t>ProcProbability</t>
        </is>
      </c>
      <c r="I368" s="5" t="inlineStr">
        <is>
          <t>MapleHeroMultiplier</t>
        </is>
      </c>
      <c r="J368" s="5" t="inlineStr">
        <is>
          <t>BaseDamage</t>
        </is>
      </c>
      <c r="K368" s="5" t="inlineStr">
        <is>
          <t>BaseHitDamage</t>
        </is>
      </c>
      <c r="L368" s="5" t="inlineStr">
        <is>
          <t>NonCritAvg</t>
        </is>
      </c>
      <c r="M368" s="5" t="inlineStr">
        <is>
          <t>CritAvg</t>
        </is>
      </c>
      <c r="N368" s="5" t="inlineStr">
        <is>
          <t>ExpectedDamage(perHit)</t>
        </is>
      </c>
      <c r="O368" s="5" t="inlineStr">
        <is>
          <t>DPS</t>
        </is>
      </c>
      <c r="P368" s="5" t="inlineStr">
        <is>
          <t>% of Total</t>
        </is>
      </c>
      <c r="Q368" s="5" t="inlineStr">
        <is>
          <t>InvCooldown</t>
        </is>
      </c>
      <c r="R368" s="5" t="inlineStr">
        <is>
          <t>CastsInFight</t>
        </is>
      </c>
      <c r="S368" s="5" t="inlineStr">
        <is>
          <t>HitRate(perSec)</t>
        </is>
      </c>
      <c r="U368" t="inlineStr">
        <is>
          <t>helpers</t>
        </is>
      </c>
    </row>
    <row r="369">
      <c r="A369">
        <f>Skills!A2</f>
        <v/>
      </c>
      <c r="B369">
        <f>Skills!B2</f>
        <v/>
      </c>
      <c r="C369">
        <f>Inputs!$B$3&gt;=100</f>
        <v/>
      </c>
      <c r="D369" t="inlineStr"/>
      <c r="E369" t="inlineStr"/>
      <c r="F369">
        <f>U371+Skills!O2</f>
        <v/>
      </c>
      <c r="G369">
        <f>Skills!G2*IF(Skills!H2&gt;0,INT(IF(Inputs!$B$39="pvp",MIN(Skills!I2,15),Skills!I2)/Skills!H2+0.000000001),1)</f>
        <v/>
      </c>
      <c r="H369">
        <f>1-(1-Skills!J2/100)^Skills!K2</f>
        <v/>
      </c>
      <c r="I369" t="inlineStr">
        <is>
          <t>1</t>
        </is>
      </c>
      <c r="J369">
        <f>((Inputs!$B$6*(1+Inputs!$B$7/100))+(((Inputs!$B$13*(1+Inputs!$B$14/100))-(Inputs!$B$13*(1+Inputs!$B$14/100)))+0.25*(Inputs!$B$15-Inputs!$B$15))*(1+Inputs!$B$7/100))*(F369/100)</f>
        <v/>
      </c>
      <c r="K369">
        <f>J369*(1+(((Inputs!$B$13+IF(Inputs!$B$3&gt;=38,(10*INDEX(FactorTable!$B$2:$Y$301, MATCH(ROUND(MIN(300,MAX(1,Inputs!$B$3)),0), FactorTable!$A$2:$A$301,0), 23)/1000)/100*(Inputs!$B$8*(1+Inputs!$B$9/100)),0))*(1+Inputs!$B$14/100))*0.01+Inputs!$B$15*0.0025)/100)*(1+Inputs!$B$16/100)*(1+Inputs!$B$17/100)*(5000/(6000+Inputs!$B$43*(1-(Inputs!$B$20+0)/100)))*(1+(Inputs!$B$25+((C392=TRUE)*(F392-Calc!F25))+((C393=TRUE)*(F393-Calc!F26))+B402)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gt;=100),MIN(100,((Inputs!$B$10+0+B396+(ArtifactsInput!$M$24-ArtifactsInput!$M$24)*CHOOSE(ArtifactsInput!$N$24+1,10,12,14,16,18,20)+IF(ArtifactsInput!$M$10,CHOOSE(ArtifactsInput!$N$10+1,15,18,21,24,27,30)*(IF(Inputs!$B$39="pvp",MIN(15,15)/15,IF(AND(Inputs!$B$39&lt;&gt;"pvp",Inputs!$B$44&gt;0),MIN(15,Inputs!$B$44)/(Inputs!$B$44),0))),0)))-100),0))*CHOOSE(ArtifactsInput!$N$42+1,0.6,0.72,0.84,0.96,1.08,1.2))),Inputs!$B$19+((C390=TRUE)*(F390-Calc!F23))+(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gt;=100),CHOOSE(ArtifactsInput!$N$42+1,40,48,56,64,72,80),0))))/100)*((1+(((C380=TRUE)*F380*IF(AND(Inputs!$B$39&lt;&gt;"pvp",Inputs!$B$44&gt;0),(((R380-1)*MIN((Skills!T13*(1+Inputs!$B$35/100)),(1/Q380))+MIN((Skills!T13*(1+Inputs!$B$35/100)),MAX(0,Inputs!$B$44-((R380-1)*(1/Q380)))))/Inputs!$B$44),IF(Inputs!$B$39="pvp",MIN((Skills!T13*(1+Inputs!$B$35/100)),15)/15,MIN(1,(Skills!T13*(1+Inputs!$B$35/100))/(1/Q380)))))+((C381=TRUE)*F381*IF(AND(Inputs!$B$39&lt;&gt;"pvp",Inputs!$B$44&gt;0),(((R381-1)*MIN((Skills!T14*(1+Inputs!$B$35/100)),(1/Q381))+MIN((Skills!T14*(1+Inputs!$B$35/100)),MAX(0,Inputs!$B$44-((R381-1)*(1/Q381)))))/Inputs!$B$44),IF(Inputs!$B$39="pvp",MIN((Skills!T14*(1+Inputs!$B$35/100)),15)/15,MIN(1,(Skills!T14*(1+Inputs!$B$35/100))/(1/Q381)))))+((C382=TRUE)*F382*IF(AND(Inputs!$B$39&lt;&gt;"pvp",Inputs!$B$44&gt;0),(((R382-1)*MIN((Skills!T15*(1+Inputs!$B$35/100)),(1/Q382))+MIN((Skills!T15*(1+Inputs!$B$35/100)),MAX(0,Inputs!$B$44-((R382-1)*(1/Q382)))))/Inputs!$B$44),IF(Inputs!$B$39="pvp",MIN((Skills!T15*(1+Inputs!$B$35/100)),15)/15,MIN(1,(Skills!T15*(1+Inputs!$B$35/100))/(1/Q382)))))+((C383=TRUE)*F383*IF(AND(Inputs!$B$39&lt;&gt;"pvp",Inputs!$B$44&gt;0),(((R383-1)*MIN((Skills!T16*(1+Inputs!$B$35/100)),(1/Q383))+MIN((Skills!T16*(1+Inputs!$B$35/100)),MAX(0,Inputs!$B$44-((R383-1)*(1/Q383)))))/Inputs!$B$44),IF(Inputs!$B$39="pvp",MIN((Skills!T16*(1+Inputs!$B$35/100)),15)/15,MIN(1,(Skills!T16*(1+Inputs!$B$35/100))/(1/Q383)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369)</f>
        <v/>
      </c>
      <c r="L369">
        <f>K369*(MIN(Inputs!$B$23+((C389=TRUE)*(F389-Calc!F22)),(Inputs!$B$24+((C391=TRUE)*(F391-Calc!F24))+(IF(ArtifactsInput!$M$15,CHOOSE(ArtifactsInput!$N$15+1,25,30,35,40,45,50)/100*(Inputs!$B$12-Inputs!$B$12),0))))/100+(Inputs!$B$24+((C391=TRUE)*(F391-Calc!F24))+(IF(ArtifactsInput!$M$15,CHOOSE(ArtifactsInput!$N$15+1,25,30,35,40,45,50)/100*(Inputs!$B$12-Inputs!$B$12),0)))/100)/2</f>
        <v/>
      </c>
      <c r="M369">
        <f>L369*(1+(Inputs!$B$11+0+B401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69">
        <f>L369*(1-MIN((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369*(MIN((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69">
        <f>(1-Summary!$B$11)*T369+Summary!$B$11*V369</f>
        <v/>
      </c>
      <c r="P369">
        <f>IF(B406=0,0,O369/B406)</f>
        <v/>
      </c>
      <c r="Q369" t="n">
        <v>0</v>
      </c>
      <c r="R369" t="n">
        <v>0</v>
      </c>
      <c r="S369">
        <f>IFERROR(O369/N369,0)</f>
        <v/>
      </c>
      <c r="T369">
        <f>IF(C369,(Skills!G2*N369*B400)*IF(Inputs!$B$39="pvp",1,1+((Inputs!$B$21+1)+0+Skills!P2+((C384=TRUE)*F384*IF(AND(Inputs!$B$39&lt;&gt;"pvp",Inputs!$B$44&gt;0),(((R384-1)*MIN((Skills!T17*(1+Inputs!$B$35/100)),(1/Q384))+MIN((Skills!T17*(1+Inputs!$B$35/100)),MAX(0,Inputs!$B$44-((R384-1)*(1/Q384)))))/Inputs!$B$44),IF(Inputs!$B$39="pvp",MIN((Skills!T17*(1+Inputs!$B$35/100)),15)/15,MIN(1,(Skills!T17*(1+Inputs!$B$35/100))/(1/Q384)))))+((C372=TRUE)*IF(Inputs!$B$3&gt;=126,10*MIN(1,15*Q372),0))+((C381=TRUE)*IF(Inputs!$B$39="pvp",20,(1-Summary!$B$11)*(20)+Summary!$B$11*(0))*IF(AND(Inputs!$B$39&lt;&gt;"pvp",Inputs!$B$44&gt;0),(((R381-1)*MIN((Skills!T14*(1+Inputs!$B$35/100)),(1/Q381))+MIN((Skills!T14*(1+Inputs!$B$35/100)),MAX(0,Inputs!$B$44-((R381-1)*(1/Q381)))))/Inputs!$B$44),IF(Inputs!$B$39="pvp",MIN((Skills!T14*(1+Inputs!$B$35/100)),15)/15,MIN(1,(Skills!T14*(1+Inputs!$B$35/100))/(1/Q381)))))+((C380=TRUE)*IF(Inputs!$B$3&gt;=82,IF(Inputs!$B$39="pvp",20,(1-Summary!$B$11)*(20)+Summary!$B$11*(0)),0)*IF(AND(Inputs!$B$39&lt;&gt;"pvp",Inputs!$B$44&gt;0),(((R380-1)*MIN((Skills!T13*(1+Inputs!$B$35/100)),(1/Q380))+MIN((Skills!T13*(1+Inputs!$B$35/100)),MAX(0,Inputs!$B$44-((R380-1)*(1/Q380)))))/Inputs!$B$44),IF(Inputs!$B$39="pvp",MIN((Skills!T13*(1+Inputs!$B$35/100)),15)/15,MIN(1,(Skills!T13*(1+Inputs!$B$35/100))/(1/Q380)))))+(IF(AND(ArtifactsInput!$M$35,Inputs!$B$4&lt;&gt;"Chapter Hunt"),CHOOSE(ArtifactsInput!$N$35+1,15,18,21,24,27,30)*(1-EXP(-(0.2*B398)*5)),0)+IF(AND(ArtifactsInput!$M$22,Inputs!$B$4&lt;&gt;"Chapter Hunt"),CHOOSE(ArtifactsInput!$N$22+1,10,12,14,16,18,20)*((0*(((0.15*B398*5))^0/1)+1*(((0.15*B398*5))^1/1)+2*(((0.15*B398*5))^2/2)+3*(((0.15*B398*5))^3/6)+4*(((0.15*B398*5))^4/24)+5*(((0.15*B398*5))^5/120))/((((0.15*B398*5))^0/1)+(((0.15*B398*5))^1/1)+(((0.15*B398*5))^2/2)+(((0.15*B398*5))^3/6)+(((0.15*B398*5))^4/24)+(((0.15*B398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369*(1-MIN(100,(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369*(MIN(100,(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369*(1-MIN(100,(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369*(MIN(100,(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69">
        <f>MAX(0,(Inputs!$B$3-100)*3)+Inputs!$B$29+Inputs!$B$30</f>
        <v/>
      </c>
      <c r="V369">
        <f>IF(C369,(Skills!G2*N369*B400)*IF(Inputs!$B$39="pvp",1,(1+(Inputs!$B$22+Skills!Q2+((C384=TRUE)*F384*IF(AND(Inputs!$B$39&lt;&gt;"pvp",Inputs!$B$44&gt;0),(((R384-1)*MIN((Skills!T17*(1+Inputs!$B$35/100)),(1/Q384))+MIN((Skills!T17*(1+Inputs!$B$35/100)),MAX(0,Inputs!$B$44-((R384-1)*(1/Q384)))))/Inputs!$B$44),IF(Inputs!$B$39="pvp",MIN((Skills!T17*(1+Inputs!$B$35/100)),15)/15,MIN(1,(Skills!T17*(1+Inputs!$B$35/100))/(1/Q384)))))+((C372=TRUE)*IF(Inputs!$B$3&gt;=126,10*MIN(1,15*Q372),0))+((C381=TRUE)*IF(Inputs!$B$39="pvp",20,(1-Summary!$B$11)*(20)+Summary!$B$11*(0))*IF(AND(Inputs!$B$39&lt;&gt;"pvp",Inputs!$B$44&gt;0),(((R381-1)*MIN((Skills!T14*(1+Inputs!$B$35/100)),(1/Q381))+MIN((Skills!T14*(1+Inputs!$B$35/100)),MAX(0,Inputs!$B$44-((R381-1)*(1/Q381)))))/Inputs!$B$44),IF(Inputs!$B$39="pvp",MIN((Skills!T14*(1+Inputs!$B$35/100)),15)/15,MIN(1,(Skills!T14*(1+Inputs!$B$35/100))/(1/Q381)))))+((C380=TRUE)*IF(Inputs!$B$3&gt;=82,IF(Inputs!$B$39="pvp",20,(1-Summary!$B$11)*(20)+Summary!$B$11*(0)),0)*IF(AND(Inputs!$B$39&lt;&gt;"pvp",Inputs!$B$44&gt;0),(((R380-1)*MIN((Skills!T13*(1+Inputs!$B$35/100)),(1/Q380))+MIN((Skills!T13*(1+Inputs!$B$35/100)),MAX(0,Inputs!$B$44-((R380-1)*(1/Q380)))))/Inputs!$B$44),IF(Inputs!$B$39="pvp",MIN((Skills!T13*(1+Inputs!$B$35/100)),15)/15,MIN(1,(Skills!T13*(1+Inputs!$B$35/100))/(1/Q380)))))+(IF(AND(ArtifactsInput!$M$35,Inputs!$B$4&lt;&gt;"Chapter Hunt"),CHOOSE(ArtifactsInput!$N$35+1,15,18,21,24,27,30)*(1-EXP(-(0.2*B398)*5)),0)+IF(AND(ArtifactsInput!$M$22,Inputs!$B$4&lt;&gt;"Chapter Hunt"),CHOOSE(ArtifactsInput!$N$22+1,10,12,14,16,18,20)*((0*(((0.15*B398*5))^0/1)+1*(((0.15*B398*5))^1/1)+2*(((0.15*B398*5))^2/2)+3*(((0.15*B398*5))^3/6)+4*(((0.15*B398*5))^4/24)+5*(((0.15*B398*5))^5/120))/((((0.15*B398*5))^0/1)+(((0.15*B398*5))^1/1)+(((0.15*B398*5))^2/2)+(((0.15*B398*5))^3/6)+(((0.15*B398*5))^4/24)+(((0.15*B398*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70">
      <c r="A370">
        <f>Skills!A3</f>
        <v/>
      </c>
      <c r="B370">
        <f>Skills!B3</f>
        <v/>
      </c>
      <c r="C370">
        <f>Inputs!$B$3&gt;=50</f>
        <v/>
      </c>
      <c r="D370">
        <f>IF(Skills!C3=1,60+Inputs!$B$26+Inputs!$B$30,IF(Skills!C3=2,90+Inputs!$B$27+Inputs!$B$30,IF(Skills!C3=3,120+Inputs!$B$28+Inputs!$B$30,MAX(0,(Inputs!$B$3-100)*3)+Inputs!$B$29+Inputs!$B$30)))</f>
        <v/>
      </c>
      <c r="E370">
        <f>INDEX(FactorTable!$B$2:$Y$301, MATCH(ROUND(MIN(300,MAX(1,D370)),0), FactorTable!$A$2:$A$301,0), Skills!M3+1)</f>
        <v/>
      </c>
      <c r="F370">
        <f>IF(Skills!N3=TRUE,(Skills!L3/10)*(E370/1000),Skills!L3/10)+Skills!O3</f>
        <v/>
      </c>
      <c r="G370" t="inlineStr"/>
      <c r="H370" t="inlineStr"/>
      <c r="I370" t="inlineStr">
        <is>
          <t>1</t>
        </is>
      </c>
      <c r="J370" t="inlineStr"/>
      <c r="K370" t="inlineStr"/>
      <c r="L370" t="inlineStr"/>
      <c r="M370" t="inlineStr"/>
      <c r="N370" t="inlineStr"/>
      <c r="O370" t="inlineStr"/>
      <c r="P370" t="inlineStr"/>
      <c r="Q370" t="inlineStr"/>
      <c r="R370" t="inlineStr"/>
      <c r="S370" t="inlineStr"/>
      <c r="U370">
        <f>INDEX(FactorTable!$B$2:$Y$301, MATCH(ROUND(MIN(300,MAX(1,U369)),0), FactorTable!$A$2:$A$301,0), 22)</f>
        <v/>
      </c>
    </row>
    <row r="371">
      <c r="A371">
        <f>Skills!A4</f>
        <v/>
      </c>
      <c r="B371">
        <f>Skills!B4</f>
        <v/>
      </c>
      <c r="C371">
        <f>Inputs!$B$3&gt;=105</f>
        <v/>
      </c>
      <c r="D371">
        <f>IF(Skills!C4=1,60+Inputs!$B$26+Inputs!$B$30,IF(Skills!C4=2,90+Inputs!$B$27+Inputs!$B$30,IF(Skills!C4=3,120+Inputs!$B$28+Inputs!$B$30,MAX(0,(Inputs!$B$3-100)*3)+Inputs!$B$29+Inputs!$B$30)))</f>
        <v/>
      </c>
      <c r="E371">
        <f>INDEX(FactorTable!$B$2:$Y$301, MATCH(ROUND(MIN(300,MAX(1,D371)),0), FactorTable!$A$2:$A$301,0), Skills!M4+1)</f>
        <v/>
      </c>
      <c r="F371">
        <f>IF(Skills!N4=TRUE,(Skills!L4/10)*(E371/1000),Skills!L4/10)+Skills!O4</f>
        <v/>
      </c>
      <c r="G371" t="inlineStr"/>
      <c r="H371" t="inlineStr"/>
      <c r="I371" t="inlineStr">
        <is>
          <t>1</t>
        </is>
      </c>
      <c r="J371" t="inlineStr"/>
      <c r="K371" t="inlineStr"/>
      <c r="L371" t="inlineStr"/>
      <c r="M371" t="inlineStr"/>
      <c r="N371" t="inlineStr"/>
      <c r="O371" t="inlineStr"/>
      <c r="P371" t="inlineStr"/>
      <c r="Q371" t="inlineStr"/>
      <c r="R371" t="inlineStr"/>
      <c r="S371" t="inlineStr"/>
      <c r="U371">
        <f>290*U370/1000</f>
        <v/>
      </c>
    </row>
    <row r="372">
      <c r="A372">
        <f>Skills!A5</f>
        <v/>
      </c>
      <c r="B372">
        <f>Skills!B5</f>
        <v/>
      </c>
      <c r="C372">
        <f>Inputs!$B$3&gt;=117</f>
        <v/>
      </c>
      <c r="D372">
        <f>IF(Skills!C5=1,60+Inputs!$B$26+Inputs!$B$30,IF(Skills!C5=2,90+Inputs!$B$27+Inputs!$B$30,IF(Skills!C5=3,120+Inputs!$B$28+Inputs!$B$30,MAX(0,(Inputs!$B$3-100)*3)+Inputs!$B$29+Inputs!$B$30)))</f>
        <v/>
      </c>
      <c r="E372">
        <f>INDEX(FactorTable!$B$2:$Y$301, MATCH(ROUND(MIN(300,MAX(1,D372)),0), FactorTable!$A$2:$A$301,0), Skills!M5+1)</f>
        <v/>
      </c>
      <c r="F372">
        <f>IF(Skills!N5=TRUE,(Skills!L5/10)*(E372/1000),Skills!L5/10)+Skills!O5</f>
        <v/>
      </c>
      <c r="G372">
        <f>Skills!G5*IF(Skills!H5&gt;0,INT(IF(Inputs!$B$39="pvp",MIN(Skills!I5,15),Skills!I5)/Skills!H5+0.000000001),1)</f>
        <v/>
      </c>
      <c r="H372">
        <f>1-(1-Skills!J5/100)^Skills!K5</f>
        <v/>
      </c>
      <c r="I372" t="inlineStr">
        <is>
          <t>1</t>
        </is>
      </c>
      <c r="J372">
        <f>((Inputs!$B$6*(1+Inputs!$B$7/100))+(((Inputs!$B$13*(1+Inputs!$B$14/100))-(Inputs!$B$13*(1+Inputs!$B$14/100)))+0.25*(Inputs!$B$15-Inputs!$B$15))*(1+Inputs!$B$7/100))*(F372/100)</f>
        <v/>
      </c>
      <c r="K372">
        <f>J372*(1+(((Inputs!$B$13+IF(Inputs!$B$3&gt;=38,(10*INDEX(FactorTable!$B$2:$Y$301, MATCH(ROUND(MIN(300,MAX(1,Inputs!$B$3)),0), FactorTable!$A$2:$A$301,0), 23)/1000)/100*(Inputs!$B$8*(1+Inputs!$B$9/100)),0))*(1+Inputs!$B$14/100))*0.01+Inputs!$B$15*0.0025)/100)*(1+Inputs!$B$16/100)*(1+Inputs!$B$17/100)*(5000/(6000+Inputs!$B$43*(1-(Inputs!$B$20+0)/100)))*(1+(Inputs!$B$25+((C392=TRUE)*(F392-Calc!F25))+((C393=TRUE)*(F393-Calc!F26))+B402)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gt;=100),MIN(100,((Inputs!$B$10+0+B396+(ArtifactsInput!$M$24-ArtifactsInput!$M$24)*CHOOSE(ArtifactsInput!$N$24+1,10,12,14,16,18,20)+IF(ArtifactsInput!$M$10,CHOOSE(ArtifactsInput!$N$10+1,15,18,21,24,27,30)*(IF(Inputs!$B$39="pvp",MIN(15,15)/15,IF(AND(Inputs!$B$39&lt;&gt;"pvp",Inputs!$B$44&gt;0),MIN(15,Inputs!$B$44)/(Inputs!$B$44),0))),0)))-100),0))*CHOOSE(ArtifactsInput!$N$42+1,0.6,0.72,0.84,0.96,1.08,1.2))),Inputs!$B$19+((C390=TRUE)*(F390-Calc!F23))+(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gt;=100),CHOOSE(ArtifactsInput!$N$42+1,40,48,56,64,72,80),0))))/100)*((1+(((C380=TRUE)*F380*IF(AND(Inputs!$B$39&lt;&gt;"pvp",Inputs!$B$44&gt;0),(((R380-1)*MIN((Skills!T13*(1+Inputs!$B$35/100)),(1/Q380))+MIN((Skills!T13*(1+Inputs!$B$35/100)),MAX(0,Inputs!$B$44-((R380-1)*(1/Q380)))))/Inputs!$B$44),IF(Inputs!$B$39="pvp",MIN((Skills!T13*(1+Inputs!$B$35/100)),15)/15,MIN(1,(Skills!T13*(1+Inputs!$B$35/100))/(1/Q380)))))+((C381=TRUE)*F381*IF(AND(Inputs!$B$39&lt;&gt;"pvp",Inputs!$B$44&gt;0),(((R381-1)*MIN((Skills!T14*(1+Inputs!$B$35/100)),(1/Q381))+MIN((Skills!T14*(1+Inputs!$B$35/100)),MAX(0,Inputs!$B$44-((R381-1)*(1/Q381)))))/Inputs!$B$44),IF(Inputs!$B$39="pvp",MIN((Skills!T14*(1+Inputs!$B$35/100)),15)/15,MIN(1,(Skills!T14*(1+Inputs!$B$35/100))/(1/Q381)))))+((C382=TRUE)*F382*IF(AND(Inputs!$B$39&lt;&gt;"pvp",Inputs!$B$44&gt;0),(((R382-1)*MIN((Skills!T15*(1+Inputs!$B$35/100)),(1/Q382))+MIN((Skills!T15*(1+Inputs!$B$35/100)),MAX(0,Inputs!$B$44-((R382-1)*(1/Q382)))))/Inputs!$B$44),IF(Inputs!$B$39="pvp",MIN((Skills!T15*(1+Inputs!$B$35/100)),15)/15,MIN(1,(Skills!T15*(1+Inputs!$B$35/100))/(1/Q382)))))+((C383=TRUE)*F383*IF(AND(Inputs!$B$39&lt;&gt;"pvp",Inputs!$B$44&gt;0),(((R383-1)*MIN((Skills!T16*(1+Inputs!$B$35/100)),(1/Q383))+MIN((Skills!T16*(1+Inputs!$B$35/100)),MAX(0,Inputs!$B$44-((R383-1)*(1/Q383)))))/Inputs!$B$44),IF(Inputs!$B$39="pvp",MIN((Skills!T16*(1+Inputs!$B$35/100)),15)/15,MIN(1,(Skills!T16*(1+Inputs!$B$35/100))/(1/Q383)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372)</f>
        <v/>
      </c>
      <c r="L372">
        <f>K372*(MIN(Inputs!$B$23+((C389=TRUE)*(F389-Calc!F22)),(Inputs!$B$24+((C391=TRUE)*(F391-Calc!F24))+(IF(ArtifactsInput!$M$15,CHOOSE(ArtifactsInput!$N$15+1,25,30,35,40,45,50)/100*(Inputs!$B$12-Inputs!$B$12),0))))/100+(Inputs!$B$24+((C391=TRUE)*(F391-Calc!F24))+(IF(ArtifactsInput!$M$15,CHOOSE(ArtifactsInput!$N$15+1,25,30,35,40,45,50)/100*(Inputs!$B$12-Inputs!$B$12),0)))/100)/2</f>
        <v/>
      </c>
      <c r="M372">
        <f>L372*(1+(Inputs!$B$11+0+B401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72">
        <f>L372*(1-MIN((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372*(MIN((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72">
        <f>(1-Summary!$B$11)*T372+Summary!$B$11*V372</f>
        <v/>
      </c>
      <c r="P372">
        <f>IF(B406=0,0,O372/B406)</f>
        <v/>
      </c>
      <c r="Q372">
        <f>IFERROR(1/IF(Inputs!$B$39="pvp",15,MAX(0.1,Skills!D5-IF(TRUE=TRUE,Inputs!$B$33,0))),0)</f>
        <v/>
      </c>
      <c r="R372">
        <f>IF(AND(Inputs!$B$39&lt;&gt;"pvp",Inputs!$B$44&gt;0),IF(MAX(0,Inputs!$B$44-B403)&lt;=0,0,(INT(MAX(0,Inputs!$B$44-B403)/IF(Inputs!$B$39="pvp",15,MAX(0.1,Skills!D5-IF(TRUE=TRUE,Inputs!$B$33,0))))+1)),0)</f>
        <v/>
      </c>
      <c r="S372">
        <f>IFERROR(O372/N372,0)</f>
        <v/>
      </c>
      <c r="T372">
        <f>IF(C372,(H372*N372*IF(AND(Inputs!$B$39&lt;&gt;"pvp",Inputs!$B$44&gt;0),((Skills!G5*((R372-1)*IF(Skills!H5&gt;0,INT(Skills!I5/Skills!H5+0.000000001),1)+IF(Skills!H5&gt;0,INT(MIN(Skills!I5,MAX(0,MAX(0,Inputs!$B$44-B403)-((R372-1)*IF(Inputs!$B$39="pvp",15,MAX(0.1,Skills!D5-IF(TRUE=TRUE,Inputs!$B$33,0))))))/Skills!H5+0.000000001),1)))/Inputs!$B$44),G372*Q372))*IF(Inputs!$B$39="pvp",1,1+((Inputs!$B$21+1)+0+Skills!P5+((C384=TRUE)*F384*IF(AND(Inputs!$B$39&lt;&gt;"pvp",Inputs!$B$44&gt;0),(((R384-1)*MIN((Skills!T17*(1+Inputs!$B$35/100)),(1/Q384))+MIN((Skills!T17*(1+Inputs!$B$35/100)),MAX(0,Inputs!$B$44-((R384-1)*(1/Q384)))))/Inputs!$B$44),IF(Inputs!$B$39="pvp",MIN((Skills!T17*(1+Inputs!$B$35/100)),15)/15,MIN(1,(Skills!T17*(1+Inputs!$B$35/100))/(1/Q384)))))+((C372=TRUE)*IF(Inputs!$B$3&gt;=126,10*MIN(1,15*Q372),0))+((C381=TRUE)*IF(Inputs!$B$39="pvp",20,(1-Summary!$B$11)*(20)+Summary!$B$11*(0))*IF(AND(Inputs!$B$39&lt;&gt;"pvp",Inputs!$B$44&gt;0),(((R381-1)*MIN((Skills!T14*(1+Inputs!$B$35/100)),(1/Q381))+MIN((Skills!T14*(1+Inputs!$B$35/100)),MAX(0,Inputs!$B$44-((R381-1)*(1/Q381)))))/Inputs!$B$44),IF(Inputs!$B$39="pvp",MIN((Skills!T14*(1+Inputs!$B$35/100)),15)/15,MIN(1,(Skills!T14*(1+Inputs!$B$35/100))/(1/Q381)))))+((C380=TRUE)*IF(Inputs!$B$3&gt;=82,IF(Inputs!$B$39="pvp",20,(1-Summary!$B$11)*(20)+Summary!$B$11*(0)),0)*IF(AND(Inputs!$B$39&lt;&gt;"pvp",Inputs!$B$44&gt;0),(((R380-1)*MIN((Skills!T13*(1+Inputs!$B$35/100)),(1/Q380))+MIN((Skills!T13*(1+Inputs!$B$35/100)),MAX(0,Inputs!$B$44-((R380-1)*(1/Q380)))))/Inputs!$B$44),IF(Inputs!$B$39="pvp",MIN((Skills!T13*(1+Inputs!$B$35/100)),15)/15,MIN(1,(Skills!T13*(1+Inputs!$B$35/100))/(1/Q380)))))+(IF(AND(ArtifactsInput!$M$35,Inputs!$B$4&lt;&gt;"Chapter Hunt"),CHOOSE(ArtifactsInput!$N$35+1,15,18,21,24,27,30)*(1-EXP(-(0.2*B398)*5)),0)+IF(AND(ArtifactsInput!$M$22,Inputs!$B$4&lt;&gt;"Chapter Hunt"),CHOOSE(ArtifactsInput!$N$22+1,10,12,14,16,18,20)*((0*(((0.15*B398*5))^0/1)+1*(((0.15*B398*5))^1/1)+2*(((0.15*B398*5))^2/2)+3*(((0.15*B398*5))^3/6)+4*(((0.15*B398*5))^4/24)+5*(((0.15*B398*5))^5/120))/((((0.15*B398*5))^0/1)+(((0.15*B398*5))^1/1)+(((0.15*B398*5))^2/2)+(((0.15*B398*5))^3/6)+(((0.15*B398*5))^4/24)+(((0.15*B398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372*(1-MIN(100,(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372*(MIN(100,(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372*(1-MIN(100,(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372*(MIN(100,(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72">
        <f>IF(C372,(H372*N372*IF(AND(Inputs!$B$39&lt;&gt;"pvp",Inputs!$B$44&gt;0),((Skills!G5*((R372-1)*IF(Skills!H5&gt;0,INT(Skills!I5/Skills!H5+0.000000001),1)+IF(Skills!H5&gt;0,INT(MIN(Skills!I5,MAX(0,MAX(0,Inputs!$B$44-B403)-((R372-1)*IF(Inputs!$B$39="pvp",15,MAX(0.1,Skills!D5-IF(TRUE=TRUE,Inputs!$B$33,0))))))/Skills!H5+0.000000001),1)))/Inputs!$B$44),G372*Q372))*IF(Inputs!$B$39="pvp",1,(1+(Inputs!$B$22+Skills!Q5+((C384=TRUE)*F384*IF(AND(Inputs!$B$39&lt;&gt;"pvp",Inputs!$B$44&gt;0),(((R384-1)*MIN((Skills!T17*(1+Inputs!$B$35/100)),(1/Q384))+MIN((Skills!T17*(1+Inputs!$B$35/100)),MAX(0,Inputs!$B$44-((R384-1)*(1/Q384)))))/Inputs!$B$44),IF(Inputs!$B$39="pvp",MIN((Skills!T17*(1+Inputs!$B$35/100)),15)/15,MIN(1,(Skills!T17*(1+Inputs!$B$35/100))/(1/Q384)))))+((C372=TRUE)*IF(Inputs!$B$3&gt;=126,10*MIN(1,15*Q372),0))+((C381=TRUE)*IF(Inputs!$B$39="pvp",20,(1-Summary!$B$11)*(20)+Summary!$B$11*(0))*IF(AND(Inputs!$B$39&lt;&gt;"pvp",Inputs!$B$44&gt;0),(((R381-1)*MIN((Skills!T14*(1+Inputs!$B$35/100)),(1/Q381))+MIN((Skills!T14*(1+Inputs!$B$35/100)),MAX(0,Inputs!$B$44-((R381-1)*(1/Q381)))))/Inputs!$B$44),IF(Inputs!$B$39="pvp",MIN((Skills!T14*(1+Inputs!$B$35/100)),15)/15,MIN(1,(Skills!T14*(1+Inputs!$B$35/100))/(1/Q381)))))+((C380=TRUE)*IF(Inputs!$B$3&gt;=82,IF(Inputs!$B$39="pvp",20,(1-Summary!$B$11)*(20)+Summary!$B$11*(0)),0)*IF(AND(Inputs!$B$39&lt;&gt;"pvp",Inputs!$B$44&gt;0),(((R380-1)*MIN((Skills!T13*(1+Inputs!$B$35/100)),(1/Q380))+MIN((Skills!T13*(1+Inputs!$B$35/100)),MAX(0,Inputs!$B$44-((R380-1)*(1/Q380)))))/Inputs!$B$44),IF(Inputs!$B$39="pvp",MIN((Skills!T13*(1+Inputs!$B$35/100)),15)/15,MIN(1,(Skills!T13*(1+Inputs!$B$35/100))/(1/Q380)))))+(IF(AND(ArtifactsInput!$M$35,Inputs!$B$4&lt;&gt;"Chapter Hunt"),CHOOSE(ArtifactsInput!$N$35+1,15,18,21,24,27,30)*(1-EXP(-(0.2*B398)*5)),0)+IF(AND(ArtifactsInput!$M$22,Inputs!$B$4&lt;&gt;"Chapter Hunt"),CHOOSE(ArtifactsInput!$N$22+1,10,12,14,16,18,20)*((0*(((0.15*B398*5))^0/1)+1*(((0.15*B398*5))^1/1)+2*(((0.15*B398*5))^2/2)+3*(((0.15*B398*5))^3/6)+4*(((0.15*B398*5))^4/24)+5*(((0.15*B398*5))^5/120))/((((0.15*B398*5))^0/1)+(((0.15*B398*5))^1/1)+(((0.15*B398*5))^2/2)+(((0.15*B398*5))^3/6)+(((0.15*B398*5))^4/24)+(((0.15*B398*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73">
      <c r="A373">
        <f>Skills!A6</f>
        <v/>
      </c>
      <c r="B373">
        <f>Skills!B6</f>
        <v/>
      </c>
      <c r="C373">
        <f>Inputs!$B$3&gt;=103</f>
        <v/>
      </c>
      <c r="D373">
        <f>IF(Skills!C6=1,60+Inputs!$B$26+Inputs!$B$30,IF(Skills!C6=2,90+Inputs!$B$27+Inputs!$B$30,IF(Skills!C6=3,120+Inputs!$B$28+Inputs!$B$30,MAX(0,(Inputs!$B$3-100)*3)+Inputs!$B$29+Inputs!$B$30)))</f>
        <v/>
      </c>
      <c r="E373">
        <f>INDEX(FactorTable!$B$2:$Y$301, MATCH(ROUND(MIN(300,MAX(1,D373)),0), FactorTable!$A$2:$A$301,0), Skills!M6+1)</f>
        <v/>
      </c>
      <c r="F373">
        <f>IF(Skills!N6=TRUE,(Skills!L6/10)*(E373/1000),Skills!L6/10)+Skills!O6</f>
        <v/>
      </c>
      <c r="G373">
        <f>Skills!G6*IF(Skills!H6&gt;0,INT(IF(Inputs!$B$39="pvp",MIN(Skills!I6,15),Skills!I6)/Skills!H6+0.000000001),1)</f>
        <v/>
      </c>
      <c r="H373">
        <f>1-(1-Skills!J6/100)^Skills!K6</f>
        <v/>
      </c>
      <c r="I373" t="inlineStr">
        <is>
          <t>1</t>
        </is>
      </c>
      <c r="J373">
        <f>((Inputs!$B$6*(1+Inputs!$B$7/100))+(((Inputs!$B$13*(1+Inputs!$B$14/100))-(Inputs!$B$13*(1+Inputs!$B$14/100)))+0.25*(Inputs!$B$15-Inputs!$B$15))*(1+Inputs!$B$7/100))*(F373/100)</f>
        <v/>
      </c>
      <c r="K373">
        <f>J373*(1+(((Inputs!$B$13+IF(Inputs!$B$3&gt;=38,(10*INDEX(FactorTable!$B$2:$Y$301, MATCH(ROUND(MIN(300,MAX(1,Inputs!$B$3)),0), FactorTable!$A$2:$A$301,0), 23)/1000)/100*(Inputs!$B$8*(1+Inputs!$B$9/100)),0))*(1+Inputs!$B$14/100))*0.01+Inputs!$B$15*0.0025)/100)*(1+Inputs!$B$16/100)*(1+Inputs!$B$17/100)*(5000/(6000+Inputs!$B$43*(1-(Inputs!$B$20+0)/100)))*(1+(Inputs!$B$25+((C392=TRUE)*(F392-Calc!F25))+((C393=TRUE)*(F393-Calc!F26))+B402)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gt;=100),MIN(100,((Inputs!$B$10+0+B396+(ArtifactsInput!$M$24-ArtifactsInput!$M$24)*CHOOSE(ArtifactsInput!$N$24+1,10,12,14,16,18,20)+IF(ArtifactsInput!$M$10,CHOOSE(ArtifactsInput!$N$10+1,15,18,21,24,27,30)*(IF(Inputs!$B$39="pvp",MIN(15,15)/15,IF(AND(Inputs!$B$39&lt;&gt;"pvp",Inputs!$B$44&gt;0),MIN(15,Inputs!$B$44)/(Inputs!$B$44),0))),0)))-100),0))*CHOOSE(ArtifactsInput!$N$42+1,0.6,0.72,0.84,0.96,1.08,1.2))),Inputs!$B$19+((C390=TRUE)*(F390-Calc!F23))+(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gt;=100),CHOOSE(ArtifactsInput!$N$42+1,40,48,56,64,72,80),0))))/100)*((1+(((C380=TRUE)*F380*IF(AND(Inputs!$B$39&lt;&gt;"pvp",Inputs!$B$44&gt;0),(((R380-1)*MIN((Skills!T13*(1+Inputs!$B$35/100)),(1/Q380))+MIN((Skills!T13*(1+Inputs!$B$35/100)),MAX(0,Inputs!$B$44-((R380-1)*(1/Q380)))))/Inputs!$B$44),IF(Inputs!$B$39="pvp",MIN((Skills!T13*(1+Inputs!$B$35/100)),15)/15,MIN(1,(Skills!T13*(1+Inputs!$B$35/100))/(1/Q380)))))+((C381=TRUE)*F381*IF(AND(Inputs!$B$39&lt;&gt;"pvp",Inputs!$B$44&gt;0),(((R381-1)*MIN((Skills!T14*(1+Inputs!$B$35/100)),(1/Q381))+MIN((Skills!T14*(1+Inputs!$B$35/100)),MAX(0,Inputs!$B$44-((R381-1)*(1/Q381)))))/Inputs!$B$44),IF(Inputs!$B$39="pvp",MIN((Skills!T14*(1+Inputs!$B$35/100)),15)/15,MIN(1,(Skills!T14*(1+Inputs!$B$35/100))/(1/Q381)))))+((C382=TRUE)*F382*IF(AND(Inputs!$B$39&lt;&gt;"pvp",Inputs!$B$44&gt;0),(((R382-1)*MIN((Skills!T15*(1+Inputs!$B$35/100)),(1/Q382))+MIN((Skills!T15*(1+Inputs!$B$35/100)),MAX(0,Inputs!$B$44-((R382-1)*(1/Q382)))))/Inputs!$B$44),IF(Inputs!$B$39="pvp",MIN((Skills!T15*(1+Inputs!$B$35/100)),15)/15,MIN(1,(Skills!T15*(1+Inputs!$B$35/100))/(1/Q382)))))+((C383=TRUE)*F383*IF(AND(Inputs!$B$39&lt;&gt;"pvp",Inputs!$B$44&gt;0),(((R383-1)*MIN((Skills!T16*(1+Inputs!$B$35/100)),(1/Q383))+MIN((Skills!T16*(1+Inputs!$B$35/100)),MAX(0,Inputs!$B$44-((R383-1)*(1/Q383)))))/Inputs!$B$44),IF(Inputs!$B$39="pvp",MIN((Skills!T16*(1+Inputs!$B$35/100)),15)/15,MIN(1,(Skills!T16*(1+Inputs!$B$35/100))/(1/Q383)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373)</f>
        <v/>
      </c>
      <c r="L373">
        <f>K373*(MIN(Inputs!$B$23+((C389=TRUE)*(F389-Calc!F22)),(Inputs!$B$24+((C391=TRUE)*(F391-Calc!F24))+(IF(ArtifactsInput!$M$15,CHOOSE(ArtifactsInput!$N$15+1,25,30,35,40,45,50)/100*(Inputs!$B$12-Inputs!$B$12),0))))/100+(Inputs!$B$24+((C391=TRUE)*(F391-Calc!F24))+(IF(ArtifactsInput!$M$15,CHOOSE(ArtifactsInput!$N$15+1,25,30,35,40,45,50)/100*(Inputs!$B$12-Inputs!$B$12),0)))/100)/2</f>
        <v/>
      </c>
      <c r="M373">
        <f>L373*(1+(Inputs!$B$11+0+B401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73">
        <f>L373*(1-MIN((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373*(MIN((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73">
        <f>(1-Summary!$B$11)*T373+Summary!$B$11*V373</f>
        <v/>
      </c>
      <c r="P373">
        <f>IF(B406=0,0,O373/B406)</f>
        <v/>
      </c>
      <c r="Q373">
        <f>IFERROR(1/IF(Inputs!$B$39="pvp",15,MAX(0.1,Skills!D6-IF(TRUE=TRUE,Inputs!$B$33,0))),0)</f>
        <v/>
      </c>
      <c r="R373">
        <f>IF(AND(Inputs!$B$39&lt;&gt;"pvp",Inputs!$B$44&gt;0),IF(MAX(0,Inputs!$B$44-B403)&lt;=0,0,(INT(MAX(0,Inputs!$B$44-B403)/IF(Inputs!$B$39="pvp",15,MAX(0.1,Skills!D6-IF(TRUE=TRUE,Inputs!$B$33,0))))+1)),0)</f>
        <v/>
      </c>
      <c r="S373">
        <f>IFERROR(O373/N373,0)</f>
        <v/>
      </c>
      <c r="T373">
        <f>IF(C373,(H373*N373*IF(AND(Inputs!$B$39&lt;&gt;"pvp",Inputs!$B$44&gt;0),((Skills!G6*((R373-1)*IF(Skills!H6&gt;0,INT(Skills!I6/Skills!H6+0.000000001),1)+IF(Skills!H6&gt;0,INT(MIN(Skills!I6,MAX(0,MAX(0,Inputs!$B$44-B403)-((R373-1)*IF(Inputs!$B$39="pvp",15,MAX(0.1,Skills!D6-IF(TRUE=TRUE,Inputs!$B$33,0))))))/Skills!H6+0.000000001),1)))/Inputs!$B$44),G373*Q373))*IF(Inputs!$B$39="pvp",1,1+((Inputs!$B$21+1)+0+Skills!P6+((C384=TRUE)*F384*IF(AND(Inputs!$B$39&lt;&gt;"pvp",Inputs!$B$44&gt;0),(((R384-1)*MIN((Skills!T17*(1+Inputs!$B$35/100)),(1/Q384))+MIN((Skills!T17*(1+Inputs!$B$35/100)),MAX(0,Inputs!$B$44-((R384-1)*(1/Q384)))))/Inputs!$B$44),IF(Inputs!$B$39="pvp",MIN((Skills!T17*(1+Inputs!$B$35/100)),15)/15,MIN(1,(Skills!T17*(1+Inputs!$B$35/100))/(1/Q384)))))+((C372=TRUE)*IF(Inputs!$B$3&gt;=126,10*MIN(1,15*Q372),0))+((C381=TRUE)*IF(Inputs!$B$39="pvp",20,(1-Summary!$B$11)*(20)+Summary!$B$11*(0))*IF(AND(Inputs!$B$39&lt;&gt;"pvp",Inputs!$B$44&gt;0),(((R381-1)*MIN((Skills!T14*(1+Inputs!$B$35/100)),(1/Q381))+MIN((Skills!T14*(1+Inputs!$B$35/100)),MAX(0,Inputs!$B$44-((R381-1)*(1/Q381)))))/Inputs!$B$44),IF(Inputs!$B$39="pvp",MIN((Skills!T14*(1+Inputs!$B$35/100)),15)/15,MIN(1,(Skills!T14*(1+Inputs!$B$35/100))/(1/Q381)))))+((C380=TRUE)*IF(Inputs!$B$3&gt;=82,IF(Inputs!$B$39="pvp",20,(1-Summary!$B$11)*(20)+Summary!$B$11*(0)),0)*IF(AND(Inputs!$B$39&lt;&gt;"pvp",Inputs!$B$44&gt;0),(((R380-1)*MIN((Skills!T13*(1+Inputs!$B$35/100)),(1/Q380))+MIN((Skills!T13*(1+Inputs!$B$35/100)),MAX(0,Inputs!$B$44-((R380-1)*(1/Q380)))))/Inputs!$B$44),IF(Inputs!$B$39="pvp",MIN((Skills!T13*(1+Inputs!$B$35/100)),15)/15,MIN(1,(Skills!T13*(1+Inputs!$B$35/100))/(1/Q380)))))+(IF(AND(ArtifactsInput!$M$35,Inputs!$B$4&lt;&gt;"Chapter Hunt"),CHOOSE(ArtifactsInput!$N$35+1,15,18,21,24,27,30)*(1-EXP(-(0.2*B398)*5)),0)+IF(AND(ArtifactsInput!$M$22,Inputs!$B$4&lt;&gt;"Chapter Hunt"),CHOOSE(ArtifactsInput!$N$22+1,10,12,14,16,18,20)*((0*(((0.15*B398*5))^0/1)+1*(((0.15*B398*5))^1/1)+2*(((0.15*B398*5))^2/2)+3*(((0.15*B398*5))^3/6)+4*(((0.15*B398*5))^4/24)+5*(((0.15*B398*5))^5/120))/((((0.15*B398*5))^0/1)+(((0.15*B398*5))^1/1)+(((0.15*B398*5))^2/2)+(((0.15*B398*5))^3/6)+(((0.15*B398*5))^4/24)+(((0.15*B398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373*(1-MIN(100,(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373*(MIN(100,(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373*(1-MIN(100,(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373*(MIN(100,(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73">
        <f>IF(C373,(H373*N373*IF(AND(Inputs!$B$39&lt;&gt;"pvp",Inputs!$B$44&gt;0),((Skills!G6*((R373-1)*IF(Skills!H6&gt;0,INT(Skills!I6/Skills!H6+0.000000001),1)+IF(Skills!H6&gt;0,INT(MIN(Skills!I6,MAX(0,MAX(0,Inputs!$B$44-B403)-((R373-1)*IF(Inputs!$B$39="pvp",15,MAX(0.1,Skills!D6-IF(TRUE=TRUE,Inputs!$B$33,0))))))/Skills!H6+0.000000001),1)))/Inputs!$B$44),G373*Q373))*IF(Inputs!$B$39="pvp",1,(1+(Inputs!$B$22+Skills!Q6+((C384=TRUE)*F384*IF(AND(Inputs!$B$39&lt;&gt;"pvp",Inputs!$B$44&gt;0),(((R384-1)*MIN((Skills!T17*(1+Inputs!$B$35/100)),(1/Q384))+MIN((Skills!T17*(1+Inputs!$B$35/100)),MAX(0,Inputs!$B$44-((R384-1)*(1/Q384)))))/Inputs!$B$44),IF(Inputs!$B$39="pvp",MIN((Skills!T17*(1+Inputs!$B$35/100)),15)/15,MIN(1,(Skills!T17*(1+Inputs!$B$35/100))/(1/Q384)))))+((C372=TRUE)*IF(Inputs!$B$3&gt;=126,10*MIN(1,15*Q372),0))+((C381=TRUE)*IF(Inputs!$B$39="pvp",20,(1-Summary!$B$11)*(20)+Summary!$B$11*(0))*IF(AND(Inputs!$B$39&lt;&gt;"pvp",Inputs!$B$44&gt;0),(((R381-1)*MIN((Skills!T14*(1+Inputs!$B$35/100)),(1/Q381))+MIN((Skills!T14*(1+Inputs!$B$35/100)),MAX(0,Inputs!$B$44-((R381-1)*(1/Q381)))))/Inputs!$B$44),IF(Inputs!$B$39="pvp",MIN((Skills!T14*(1+Inputs!$B$35/100)),15)/15,MIN(1,(Skills!T14*(1+Inputs!$B$35/100))/(1/Q381)))))+((C380=TRUE)*IF(Inputs!$B$3&gt;=82,IF(Inputs!$B$39="pvp",20,(1-Summary!$B$11)*(20)+Summary!$B$11*(0)),0)*IF(AND(Inputs!$B$39&lt;&gt;"pvp",Inputs!$B$44&gt;0),(((R380-1)*MIN((Skills!T13*(1+Inputs!$B$35/100)),(1/Q380))+MIN((Skills!T13*(1+Inputs!$B$35/100)),MAX(0,Inputs!$B$44-((R380-1)*(1/Q380)))))/Inputs!$B$44),IF(Inputs!$B$39="pvp",MIN((Skills!T13*(1+Inputs!$B$35/100)),15)/15,MIN(1,(Skills!T13*(1+Inputs!$B$35/100))/(1/Q380)))))+(IF(AND(ArtifactsInput!$M$35,Inputs!$B$4&lt;&gt;"Chapter Hunt"),CHOOSE(ArtifactsInput!$N$35+1,15,18,21,24,27,30)*(1-EXP(-(0.2*B398)*5)),0)+IF(AND(ArtifactsInput!$M$22,Inputs!$B$4&lt;&gt;"Chapter Hunt"),CHOOSE(ArtifactsInput!$N$22+1,10,12,14,16,18,20)*((0*(((0.15*B398*5))^0/1)+1*(((0.15*B398*5))^1/1)+2*(((0.15*B398*5))^2/2)+3*(((0.15*B398*5))^3/6)+4*(((0.15*B398*5))^4/24)+5*(((0.15*B398*5))^5/120))/((((0.15*B398*5))^0/1)+(((0.15*B398*5))^1/1)+(((0.15*B398*5))^2/2)+(((0.15*B398*5))^3/6)+(((0.15*B398*5))^4/24)+(((0.15*B398*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74">
      <c r="A374">
        <f>Skills!A7</f>
        <v/>
      </c>
      <c r="B374">
        <f>Skills!B7</f>
        <v/>
      </c>
      <c r="C374">
        <f>Inputs!$B$3&gt;=40</f>
        <v/>
      </c>
      <c r="D374">
        <f>IF(Skills!C7=1,60+Inputs!$B$26+Inputs!$B$30,IF(Skills!C7=2,90+Inputs!$B$27+Inputs!$B$30,IF(Skills!C7=3,120+Inputs!$B$28+Inputs!$B$30,MAX(0,(Inputs!$B$3-100)*3)+Inputs!$B$29+Inputs!$B$30)))</f>
        <v/>
      </c>
      <c r="E374">
        <f>INDEX(FactorTable!$B$2:$Y$301, MATCH(ROUND(MIN(300,MAX(1,D374)),0), FactorTable!$A$2:$A$301,0), Skills!M7+1)</f>
        <v/>
      </c>
      <c r="F374">
        <f>IF(Skills!N7=TRUE,(Skills!L7/10)*(E374/1000),Skills!L7/10)+Skills!O7</f>
        <v/>
      </c>
      <c r="G374">
        <f>Skills!G7*IF(Skills!H7&gt;0,INT(IF(Inputs!$B$39="pvp",MIN(Skills!I7,15),Skills!I7)/Skills!H7+0.000000001),1)</f>
        <v/>
      </c>
      <c r="H374">
        <f>1-(1-Skills!J7/100)^Skills!K7</f>
        <v/>
      </c>
      <c r="I374" t="inlineStr">
        <is>
          <t>1</t>
        </is>
      </c>
      <c r="J374">
        <f>((Inputs!$B$6*(1+Inputs!$B$7/100))+(((Inputs!$B$13*(1+Inputs!$B$14/100))-(Inputs!$B$13*(1+Inputs!$B$14/100)))+0.25*(Inputs!$B$15-Inputs!$B$15))*(1+Inputs!$B$7/100))*(F374/100)</f>
        <v/>
      </c>
      <c r="K374">
        <f>J374*(1+(((Inputs!$B$13+IF(Inputs!$B$3&gt;=38,(10*INDEX(FactorTable!$B$2:$Y$301, MATCH(ROUND(MIN(300,MAX(1,Inputs!$B$3)),0), FactorTable!$A$2:$A$301,0), 23)/1000)/100*(Inputs!$B$8*(1+Inputs!$B$9/100)),0))*(1+Inputs!$B$14/100))*0.01+Inputs!$B$15*0.0025)/100)*(1+Inputs!$B$16/100)*(1+Inputs!$B$17/100)*(5000/(6000+Inputs!$B$43*(1-(Inputs!$B$20+0)/100)))*(1+(Inputs!$B$25+((C392=TRUE)*(F392-Calc!F25))+((C393=TRUE)*(F393-Calc!F26))+B402)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378=TRUE,F378,0)/100)*(1+(IF(Skills!A7="DARK_IMPALE",Inputs!$B$18+0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gt;=100),MIN(100,((Inputs!$B$10+0+B396+(ArtifactsInput!$M$24-ArtifactsInput!$M$24)*CHOOSE(ArtifactsInput!$N$24+1,10,12,14,16,18,20)+IF(ArtifactsInput!$M$10,CHOOSE(ArtifactsInput!$N$10+1,15,18,21,24,27,30)*(IF(Inputs!$B$39="pvp",MIN(15,15)/15,IF(AND(Inputs!$B$39&lt;&gt;"pvp",Inputs!$B$44&gt;0),MIN(15,Inputs!$B$44)/(Inputs!$B$44),0))),0)))-100),0))*CHOOSE(ArtifactsInput!$N$42+1,0.6,0.72,0.84,0.96,1.08,1.2))),Inputs!$B$19+((C390=TRUE)*(F390-Calc!F23))+(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gt;=100),CHOOSE(ArtifactsInput!$N$42+1,40,48,56,64,72,80),0))))/100)*((1+(((C380=TRUE)*F380*IF(AND(Inputs!$B$39&lt;&gt;"pvp",Inputs!$B$44&gt;0),(((R380-1)*MIN((Skills!T13*(1+Inputs!$B$35/100)),(1/Q380))+MIN((Skills!T13*(1+Inputs!$B$35/100)),MAX(0,Inputs!$B$44-((R380-1)*(1/Q380)))))/Inputs!$B$44),IF(Inputs!$B$39="pvp",MIN((Skills!T13*(1+Inputs!$B$35/100)),15)/15,MIN(1,(Skills!T13*(1+Inputs!$B$35/100))/(1/Q380)))))+((C381=TRUE)*F381*IF(AND(Inputs!$B$39&lt;&gt;"pvp",Inputs!$B$44&gt;0),(((R381-1)*MIN((Skills!T14*(1+Inputs!$B$35/100)),(1/Q381))+MIN((Skills!T14*(1+Inputs!$B$35/100)),MAX(0,Inputs!$B$44-((R381-1)*(1/Q381)))))/Inputs!$B$44),IF(Inputs!$B$39="pvp",MIN((Skills!T14*(1+Inputs!$B$35/100)),15)/15,MIN(1,(Skills!T14*(1+Inputs!$B$35/100))/(1/Q381)))))+((C382=TRUE)*F382*IF(AND(Inputs!$B$39&lt;&gt;"pvp",Inputs!$B$44&gt;0),(((R382-1)*MIN((Skills!T15*(1+Inputs!$B$35/100)),(1/Q382))+MIN((Skills!T15*(1+Inputs!$B$35/100)),MAX(0,Inputs!$B$44-((R382-1)*(1/Q382)))))/Inputs!$B$44),IF(Inputs!$B$39="pvp",MIN((Skills!T15*(1+Inputs!$B$35/100)),15)/15,MIN(1,(Skills!T15*(1+Inputs!$B$35/100))/(1/Q382)))))+((C383=TRUE)*F383*IF(AND(Inputs!$B$39&lt;&gt;"pvp",Inputs!$B$44&gt;0),(((R383-1)*MIN((Skills!T16*(1+Inputs!$B$35/100)),(1/Q383))+MIN((Skills!T16*(1+Inputs!$B$35/100)),MAX(0,Inputs!$B$44-((R383-1)*(1/Q383)))))/Inputs!$B$44),IF(Inputs!$B$39="pvp",MIN((Skills!T16*(1+Inputs!$B$35/100)),15)/15,MIN(1,(Skills!T16*(1+Inputs!$B$35/100))/(1/Q383)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374)</f>
        <v/>
      </c>
      <c r="L374">
        <f>K374*(MIN(Inputs!$B$23+((C389=TRUE)*(F389-Calc!F22)),(Inputs!$B$24+((C391=TRUE)*(F391-Calc!F24))+(IF(ArtifactsInput!$M$15,CHOOSE(ArtifactsInput!$N$15+1,25,30,35,40,45,50)/100*(Inputs!$B$12-Inputs!$B$12),0))))/100+(Inputs!$B$24+((C391=TRUE)*(F391-Calc!F24))+(IF(ArtifactsInput!$M$15,CHOOSE(ArtifactsInput!$N$15+1,25,30,35,40,45,50)/100*(Inputs!$B$12-Inputs!$B$12),0)))/100)/2</f>
        <v/>
      </c>
      <c r="M374">
        <f>L374*(1+(Inputs!$B$11+0+B401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74">
        <f>L374*(1-MIN((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374*(MIN((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74">
        <f>(1-Summary!$B$11)*T374+Summary!$B$11*V374</f>
        <v/>
      </c>
      <c r="P374">
        <f>IF(B406=0,0,O374/B406)</f>
        <v/>
      </c>
      <c r="Q374">
        <f>IFERROR(1/IF(Inputs!$B$39="pvp",15,MAX(0.1,Skills!D7-IF(TRUE=TRUE,Inputs!$B$33,0))),0)</f>
        <v/>
      </c>
      <c r="R374">
        <f>IF(AND(Inputs!$B$39&lt;&gt;"pvp",Inputs!$B$44&gt;0),IF(MAX(0,Inputs!$B$44-B403)&lt;=0,0,(INT(MAX(0,Inputs!$B$44-B403)/IF(Inputs!$B$39="pvp",15,MAX(0.1,Skills!D7-IF(TRUE=TRUE,Inputs!$B$33,0))))+1)),0)</f>
        <v/>
      </c>
      <c r="S374">
        <f>IFERROR(O374/N374,0)</f>
        <v/>
      </c>
      <c r="T374">
        <f>IF(C374,(H374*N374*IF(AND(Inputs!$B$39&lt;&gt;"pvp",Inputs!$B$44&gt;0),((Skills!G7*((R374-1)*IF(Skills!H7&gt;0,INT(Skills!I7/Skills!H7+0.000000001),1)+IF(Skills!H7&gt;0,INT(MIN(Skills!I7,MAX(0,MAX(0,Inputs!$B$44-B403)-((R374-1)*IF(Inputs!$B$39="pvp",15,MAX(0.1,Skills!D7-IF(TRUE=TRUE,Inputs!$B$33,0))))))/Skills!H7+0.000000001),1)))/Inputs!$B$44),G374*Q374))*IF(Inputs!$B$39="pvp",1,1+((Inputs!$B$21+1)+0+Skills!P7+((C384=TRUE)*F384*IF(AND(Inputs!$B$39&lt;&gt;"pvp",Inputs!$B$44&gt;0),(((R384-1)*MIN((Skills!T17*(1+Inputs!$B$35/100)),(1/Q384))+MIN((Skills!T17*(1+Inputs!$B$35/100)),MAX(0,Inputs!$B$44-((R384-1)*(1/Q384)))))/Inputs!$B$44),IF(Inputs!$B$39="pvp",MIN((Skills!T17*(1+Inputs!$B$35/100)),15)/15,MIN(1,(Skills!T17*(1+Inputs!$B$35/100))/(1/Q384)))))+((C372=TRUE)*IF(Inputs!$B$3&gt;=126,10*MIN(1,15*Q372),0))+((C381=TRUE)*IF(Inputs!$B$39="pvp",20,(1-Summary!$B$11)*(20)+Summary!$B$11*(0))*IF(AND(Inputs!$B$39&lt;&gt;"pvp",Inputs!$B$44&gt;0),(((R381-1)*MIN((Skills!T14*(1+Inputs!$B$35/100)),(1/Q381))+MIN((Skills!T14*(1+Inputs!$B$35/100)),MAX(0,Inputs!$B$44-((R381-1)*(1/Q381)))))/Inputs!$B$44),IF(Inputs!$B$39="pvp",MIN((Skills!T14*(1+Inputs!$B$35/100)),15)/15,MIN(1,(Skills!T14*(1+Inputs!$B$35/100))/(1/Q381)))))+((C380=TRUE)*IF(Inputs!$B$3&gt;=82,IF(Inputs!$B$39="pvp",20,(1-Summary!$B$11)*(20)+Summary!$B$11*(0)),0)*IF(AND(Inputs!$B$39&lt;&gt;"pvp",Inputs!$B$44&gt;0),(((R380-1)*MIN((Skills!T13*(1+Inputs!$B$35/100)),(1/Q380))+MIN((Skills!T13*(1+Inputs!$B$35/100)),MAX(0,Inputs!$B$44-((R380-1)*(1/Q380)))))/Inputs!$B$44),IF(Inputs!$B$39="pvp",MIN((Skills!T13*(1+Inputs!$B$35/100)),15)/15,MIN(1,(Skills!T13*(1+Inputs!$B$35/100))/(1/Q380)))))+(IF(AND(ArtifactsInput!$M$35,Inputs!$B$4&lt;&gt;"Chapter Hunt"),CHOOSE(ArtifactsInput!$N$35+1,15,18,21,24,27,30)*(1-EXP(-(0.2*B398)*5)),0)+IF(AND(ArtifactsInput!$M$22,Inputs!$B$4&lt;&gt;"Chapter Hunt"),CHOOSE(ArtifactsInput!$N$22+1,10,12,14,16,18,20)*((0*(((0.15*B398*5))^0/1)+1*(((0.15*B398*5))^1/1)+2*(((0.15*B398*5))^2/2)+3*(((0.15*B398*5))^3/6)+4*(((0.15*B398*5))^4/24)+5*(((0.15*B398*5))^5/120))/((((0.15*B398*5))^0/1)+(((0.15*B398*5))^1/1)+(((0.15*B398*5))^2/2)+(((0.15*B398*5))^3/6)+(((0.15*B398*5))^4/24)+(((0.15*B398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374*(1-MIN(100,(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374*(MIN(100,(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374*(1-MIN(100,(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374*(MIN(100,(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74">
        <f>IF(C374,(H374*N374*IF(AND(Inputs!$B$39&lt;&gt;"pvp",Inputs!$B$44&gt;0),((Skills!G7*((R374-1)*IF(Skills!H7&gt;0,INT(Skills!I7/Skills!H7+0.000000001),1)+IF(Skills!H7&gt;0,INT(MIN(Skills!I7,MAX(0,MAX(0,Inputs!$B$44-B403)-((R374-1)*IF(Inputs!$B$39="pvp",15,MAX(0.1,Skills!D7-IF(TRUE=TRUE,Inputs!$B$33,0))))))/Skills!H7+0.000000001),1)))/Inputs!$B$44),G374*Q374))*IF(Inputs!$B$39="pvp",1,(1+(Inputs!$B$22+Skills!Q7+((C384=TRUE)*F384*IF(AND(Inputs!$B$39&lt;&gt;"pvp",Inputs!$B$44&gt;0),(((R384-1)*MIN((Skills!T17*(1+Inputs!$B$35/100)),(1/Q384))+MIN((Skills!T17*(1+Inputs!$B$35/100)),MAX(0,Inputs!$B$44-((R384-1)*(1/Q384)))))/Inputs!$B$44),IF(Inputs!$B$39="pvp",MIN((Skills!T17*(1+Inputs!$B$35/100)),15)/15,MIN(1,(Skills!T17*(1+Inputs!$B$35/100))/(1/Q384)))))+((C372=TRUE)*IF(Inputs!$B$3&gt;=126,10*MIN(1,15*Q372),0))+((C381=TRUE)*IF(Inputs!$B$39="pvp",20,(1-Summary!$B$11)*(20)+Summary!$B$11*(0))*IF(AND(Inputs!$B$39&lt;&gt;"pvp",Inputs!$B$44&gt;0),(((R381-1)*MIN((Skills!T14*(1+Inputs!$B$35/100)),(1/Q381))+MIN((Skills!T14*(1+Inputs!$B$35/100)),MAX(0,Inputs!$B$44-((R381-1)*(1/Q381)))))/Inputs!$B$44),IF(Inputs!$B$39="pvp",MIN((Skills!T14*(1+Inputs!$B$35/100)),15)/15,MIN(1,(Skills!T14*(1+Inputs!$B$35/100))/(1/Q381)))))+((C380=TRUE)*IF(Inputs!$B$3&gt;=82,IF(Inputs!$B$39="pvp",20,(1-Summary!$B$11)*(20)+Summary!$B$11*(0)),0)*IF(AND(Inputs!$B$39&lt;&gt;"pvp",Inputs!$B$44&gt;0),(((R380-1)*MIN((Skills!T13*(1+Inputs!$B$35/100)),(1/Q380))+MIN((Skills!T13*(1+Inputs!$B$35/100)),MAX(0,Inputs!$B$44-((R380-1)*(1/Q380)))))/Inputs!$B$44),IF(Inputs!$B$39="pvp",MIN((Skills!T13*(1+Inputs!$B$35/100)),15)/15,MIN(1,(Skills!T13*(1+Inputs!$B$35/100))/(1/Q380)))))+(IF(AND(ArtifactsInput!$M$35,Inputs!$B$4&lt;&gt;"Chapter Hunt"),CHOOSE(ArtifactsInput!$N$35+1,15,18,21,24,27,30)*(1-EXP(-(0.2*B398)*5)),0)+IF(AND(ArtifactsInput!$M$22,Inputs!$B$4&lt;&gt;"Chapter Hunt"),CHOOSE(ArtifactsInput!$N$22+1,10,12,14,16,18,20)*((0*(((0.15*B398*5))^0/1)+1*(((0.15*B398*5))^1/1)+2*(((0.15*B398*5))^2/2)+3*(((0.15*B398*5))^3/6)+4*(((0.15*B398*5))^4/24)+5*(((0.15*B398*5))^5/120))/((((0.15*B398*5))^0/1)+(((0.15*B398*5))^1/1)+(((0.15*B398*5))^2/2)+(((0.15*B398*5))^3/6)+(((0.15*B398*5))^4/24)+(((0.15*B398*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75">
      <c r="A375">
        <f>Skills!A8</f>
        <v/>
      </c>
      <c r="B375">
        <f>Skills!B8</f>
        <v/>
      </c>
      <c r="C375">
        <f>Inputs!$B$3&gt;=75</f>
        <v/>
      </c>
      <c r="D375">
        <f>IF(Skills!C8=1,60+Inputs!$B$26+Inputs!$B$30,IF(Skills!C8=2,90+Inputs!$B$27+Inputs!$B$30,IF(Skills!C8=3,120+Inputs!$B$28+Inputs!$B$30,MAX(0,(Inputs!$B$3-100)*3)+Inputs!$B$29+Inputs!$B$30)))</f>
        <v/>
      </c>
      <c r="E375">
        <f>INDEX(FactorTable!$B$2:$Y$301, MATCH(ROUND(MIN(300,MAX(1,D375)),0), FactorTable!$A$2:$A$301,0), Skills!M8+1)</f>
        <v/>
      </c>
      <c r="F375">
        <f>IF(Skills!N8=TRUE,(Skills!L8/10)*(E375/1000),Skills!L8/10)+Skills!O8</f>
        <v/>
      </c>
      <c r="G375" t="inlineStr"/>
      <c r="H375" t="inlineStr"/>
      <c r="I375" t="inlineStr">
        <is>
          <t>1</t>
        </is>
      </c>
      <c r="J375" t="inlineStr"/>
      <c r="K375" t="inlineStr"/>
      <c r="L375" t="inlineStr"/>
      <c r="M375" t="inlineStr"/>
      <c r="N375" t="inlineStr"/>
      <c r="O375" t="inlineStr"/>
      <c r="P375" t="inlineStr"/>
      <c r="Q375" t="inlineStr"/>
      <c r="R375" t="inlineStr"/>
      <c r="S375" t="inlineStr"/>
    </row>
    <row r="376">
      <c r="A376">
        <f>Skills!A9</f>
        <v/>
      </c>
      <c r="B376">
        <f>Skills!B9</f>
        <v/>
      </c>
      <c r="C376">
        <f>Inputs!$B$3&gt;=60</f>
        <v/>
      </c>
      <c r="D376">
        <f>IF(Skills!C9=1,60+Inputs!$B$26+Inputs!$B$30,IF(Skills!C9=2,90+Inputs!$B$27+Inputs!$B$30,IF(Skills!C9=3,120+Inputs!$B$28+Inputs!$B$30,MAX(0,(Inputs!$B$3-100)*3)+Inputs!$B$29+Inputs!$B$30)))</f>
        <v/>
      </c>
      <c r="E376">
        <f>INDEX(FactorTable!$B$2:$Y$301, MATCH(ROUND(MIN(300,MAX(1,D376)),0), FactorTable!$A$2:$A$301,0), Skills!M9+1)</f>
        <v/>
      </c>
      <c r="F376">
        <f>IF(Skills!N9=TRUE,(Skills!L9/10)*(E376/1000),Skills!L9/10)+Skills!O9</f>
        <v/>
      </c>
      <c r="G376">
        <f>Skills!G9*IF(Skills!H9&gt;0,INT(IF(Inputs!$B$39="pvp",MIN(Skills!I9,15),Skills!I9)/Skills!H9+0.000000001),1)</f>
        <v/>
      </c>
      <c r="H376">
        <f>1-(1-Skills!J9/100)^Skills!K9</f>
        <v/>
      </c>
      <c r="I376" t="inlineStr">
        <is>
          <t>1</t>
        </is>
      </c>
      <c r="J376">
        <f>((Inputs!$B$6*(1+Inputs!$B$7/100))+(((Inputs!$B$13*(1+Inputs!$B$14/100))-(Inputs!$B$13*(1+Inputs!$B$14/100)))+0.25*(Inputs!$B$15-Inputs!$B$15))*(1+Inputs!$B$7/100))*(F376/100)</f>
        <v/>
      </c>
      <c r="K376">
        <f>J376*(1+(((Inputs!$B$13+IF(Inputs!$B$3&gt;=38,(10*INDEX(FactorTable!$B$2:$Y$301, MATCH(ROUND(MIN(300,MAX(1,Inputs!$B$3)),0), FactorTable!$A$2:$A$301,0), 23)/1000)/100*(Inputs!$B$8*(1+Inputs!$B$9/100)),0))*(1+Inputs!$B$14/100))*0.01+Inputs!$B$15*0.0025)/100)*(1+Inputs!$B$16/100)*(1+Inputs!$B$17/100)*(5000/(6000+Inputs!$B$43*(1-(Inputs!$B$20+0)/100)))*(1+(Inputs!$B$25+((C392=TRUE)*(F392-Calc!F25))+((C393=TRUE)*(F393-Calc!F26))+B402)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378=TRUE,F378,0)/100)*(1+(IF(Skills!A9="DARK_IMPALE",Inputs!$B$18+0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gt;=100),MIN(100,((Inputs!$B$10+0+B396+(ArtifactsInput!$M$24-ArtifactsInput!$M$24)*CHOOSE(ArtifactsInput!$N$24+1,10,12,14,16,18,20)+IF(ArtifactsInput!$M$10,CHOOSE(ArtifactsInput!$N$10+1,15,18,21,24,27,30)*(IF(Inputs!$B$39="pvp",MIN(15,15)/15,IF(AND(Inputs!$B$39&lt;&gt;"pvp",Inputs!$B$44&gt;0),MIN(15,Inputs!$B$44)/(Inputs!$B$44),0))),0)))-100),0))*CHOOSE(ArtifactsInput!$N$42+1,0.6,0.72,0.84,0.96,1.08,1.2))),Inputs!$B$19+((C390=TRUE)*(F390-Calc!F23))+(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gt;=100),CHOOSE(ArtifactsInput!$N$42+1,40,48,56,64,72,80),0))))/100)*((1+(((C380=TRUE)*F380*IF(AND(Inputs!$B$39&lt;&gt;"pvp",Inputs!$B$44&gt;0),(((R380-1)*MIN((Skills!T13*(1+Inputs!$B$35/100)),(1/Q380))+MIN((Skills!T13*(1+Inputs!$B$35/100)),MAX(0,Inputs!$B$44-((R380-1)*(1/Q380)))))/Inputs!$B$44),IF(Inputs!$B$39="pvp",MIN((Skills!T13*(1+Inputs!$B$35/100)),15)/15,MIN(1,(Skills!T13*(1+Inputs!$B$35/100))/(1/Q380)))))+((C381=TRUE)*F381*IF(AND(Inputs!$B$39&lt;&gt;"pvp",Inputs!$B$44&gt;0),(((R381-1)*MIN((Skills!T14*(1+Inputs!$B$35/100)),(1/Q381))+MIN((Skills!T14*(1+Inputs!$B$35/100)),MAX(0,Inputs!$B$44-((R381-1)*(1/Q381)))))/Inputs!$B$44),IF(Inputs!$B$39="pvp",MIN((Skills!T14*(1+Inputs!$B$35/100)),15)/15,MIN(1,(Skills!T14*(1+Inputs!$B$35/100))/(1/Q381)))))+((C382=TRUE)*F382*IF(AND(Inputs!$B$39&lt;&gt;"pvp",Inputs!$B$44&gt;0),(((R382-1)*MIN((Skills!T15*(1+Inputs!$B$35/100)),(1/Q382))+MIN((Skills!T15*(1+Inputs!$B$35/100)),MAX(0,Inputs!$B$44-((R382-1)*(1/Q382)))))/Inputs!$B$44),IF(Inputs!$B$39="pvp",MIN((Skills!T15*(1+Inputs!$B$35/100)),15)/15,MIN(1,(Skills!T15*(1+Inputs!$B$35/100))/(1/Q382)))))+((C383=TRUE)*F383*IF(AND(Inputs!$B$39&lt;&gt;"pvp",Inputs!$B$44&gt;0),(((R383-1)*MIN((Skills!T16*(1+Inputs!$B$35/100)),(1/Q383))+MIN((Skills!T16*(1+Inputs!$B$35/100)),MAX(0,Inputs!$B$44-((R383-1)*(1/Q383)))))/Inputs!$B$44),IF(Inputs!$B$39="pvp",MIN((Skills!T16*(1+Inputs!$B$35/100)),15)/15,MIN(1,(Skills!T16*(1+Inputs!$B$35/100))/(1/Q383)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376)</f>
        <v/>
      </c>
      <c r="L376">
        <f>K376*(MIN(Inputs!$B$23+((C389=TRUE)*(F389-Calc!F22)),(Inputs!$B$24+((C391=TRUE)*(F391-Calc!F24))+(IF(ArtifactsInput!$M$15,CHOOSE(ArtifactsInput!$N$15+1,25,30,35,40,45,50)/100*(Inputs!$B$12-Inputs!$B$12),0))))/100+(Inputs!$B$24+((C391=TRUE)*(F391-Calc!F24))+(IF(ArtifactsInput!$M$15,CHOOSE(ArtifactsInput!$N$15+1,25,30,35,40,45,50)/100*(Inputs!$B$12-Inputs!$B$12),0)))/100)/2</f>
        <v/>
      </c>
      <c r="M376">
        <f>L376*(1+(Inputs!$B$11+0+B401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76">
        <f>L376*(1-MIN((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376*(MIN((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76">
        <f>(1-Summary!$B$11)*T376+Summary!$B$11*V376</f>
        <v/>
      </c>
      <c r="P376">
        <f>IF(B406=0,0,O376/B406)</f>
        <v/>
      </c>
      <c r="Q376">
        <f>IFERROR(1/IF(Inputs!$B$39="pvp",15,MAX(0.1,Skills!D9-IF(TRUE=TRUE,Inputs!$B$33,0))),0)</f>
        <v/>
      </c>
      <c r="R376">
        <f>IF(AND(Inputs!$B$39&lt;&gt;"pvp",Inputs!$B$44&gt;0),IF(MAX(0,Inputs!$B$44-B403)&lt;=0,0,(INT(MAX(0,Inputs!$B$44-B403)/IF(Inputs!$B$39="pvp",15,MAX(0.1,Skills!D9-IF(TRUE=TRUE,Inputs!$B$33,0))))+1)),0)</f>
        <v/>
      </c>
      <c r="S376">
        <f>IFERROR(O376/N376,0)</f>
        <v/>
      </c>
      <c r="T376">
        <f>IF(C376,(H376*N376*IF(AND(Inputs!$B$39&lt;&gt;"pvp",Inputs!$B$44&gt;0),((Skills!G9*((R376-1)*IF(Skills!H9&gt;0,INT(Skills!I9/Skills!H9+0.000000001),1)+IF(Skills!H9&gt;0,INT(MIN(Skills!I9,MAX(0,MAX(0,Inputs!$B$44-B403)-((R376-1)*IF(Inputs!$B$39="pvp",15,MAX(0.1,Skills!D9-IF(TRUE=TRUE,Inputs!$B$33,0))))))/Skills!H9+0.000000001),1)))/Inputs!$B$44),G376*Q376))*IF(Inputs!$B$39="pvp",1,1+((Inputs!$B$21+1)+0+Skills!P9+((C384=TRUE)*F384*IF(AND(Inputs!$B$39&lt;&gt;"pvp",Inputs!$B$44&gt;0),(((R384-1)*MIN((Skills!T17*(1+Inputs!$B$35/100)),(1/Q384))+MIN((Skills!T17*(1+Inputs!$B$35/100)),MAX(0,Inputs!$B$44-((R384-1)*(1/Q384)))))/Inputs!$B$44),IF(Inputs!$B$39="pvp",MIN((Skills!T17*(1+Inputs!$B$35/100)),15)/15,MIN(1,(Skills!T17*(1+Inputs!$B$35/100))/(1/Q384)))))+((C372=TRUE)*IF(Inputs!$B$3&gt;=126,10*MIN(1,15*Q372),0))+((C381=TRUE)*IF(Inputs!$B$39="pvp",20,(1-Summary!$B$11)*(20)+Summary!$B$11*(0))*IF(AND(Inputs!$B$39&lt;&gt;"pvp",Inputs!$B$44&gt;0),(((R381-1)*MIN((Skills!T14*(1+Inputs!$B$35/100)),(1/Q381))+MIN((Skills!T14*(1+Inputs!$B$35/100)),MAX(0,Inputs!$B$44-((R381-1)*(1/Q381)))))/Inputs!$B$44),IF(Inputs!$B$39="pvp",MIN((Skills!T14*(1+Inputs!$B$35/100)),15)/15,MIN(1,(Skills!T14*(1+Inputs!$B$35/100))/(1/Q381)))))+((C380=TRUE)*IF(Inputs!$B$3&gt;=82,IF(Inputs!$B$39="pvp",20,(1-Summary!$B$11)*(20)+Summary!$B$11*(0)),0)*IF(AND(Inputs!$B$39&lt;&gt;"pvp",Inputs!$B$44&gt;0),(((R380-1)*MIN((Skills!T13*(1+Inputs!$B$35/100)),(1/Q380))+MIN((Skills!T13*(1+Inputs!$B$35/100)),MAX(0,Inputs!$B$44-((R380-1)*(1/Q380)))))/Inputs!$B$44),IF(Inputs!$B$39="pvp",MIN((Skills!T13*(1+Inputs!$B$35/100)),15)/15,MIN(1,(Skills!T13*(1+Inputs!$B$35/100))/(1/Q380)))))+(IF(AND(ArtifactsInput!$M$35,Inputs!$B$4&lt;&gt;"Chapter Hunt"),CHOOSE(ArtifactsInput!$N$35+1,15,18,21,24,27,30)*(1-EXP(-(0.2*B398)*5)),0)+IF(AND(ArtifactsInput!$M$22,Inputs!$B$4&lt;&gt;"Chapter Hunt"),CHOOSE(ArtifactsInput!$N$22+1,10,12,14,16,18,20)*((0*(((0.15*B398*5))^0/1)+1*(((0.15*B398*5))^1/1)+2*(((0.15*B398*5))^2/2)+3*(((0.15*B398*5))^3/6)+4*(((0.15*B398*5))^4/24)+5*(((0.15*B398*5))^5/120))/((((0.15*B398*5))^0/1)+(((0.15*B398*5))^1/1)+(((0.15*B398*5))^2/2)+(((0.15*B398*5))^3/6)+(((0.15*B398*5))^4/24)+(((0.15*B398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376*(1-MIN(100,(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376*(MIN(100,(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376*(1-MIN(100,(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376*(MIN(100,(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76">
        <f>IF(C376,(H376*N376*IF(AND(Inputs!$B$39&lt;&gt;"pvp",Inputs!$B$44&gt;0),((Skills!G9*((R376-1)*IF(Skills!H9&gt;0,INT(Skills!I9/Skills!H9+0.000000001),1)+IF(Skills!H9&gt;0,INT(MIN(Skills!I9,MAX(0,MAX(0,Inputs!$B$44-B403)-((R376-1)*IF(Inputs!$B$39="pvp",15,MAX(0.1,Skills!D9-IF(TRUE=TRUE,Inputs!$B$33,0))))))/Skills!H9+0.000000001),1)))/Inputs!$B$44),G376*Q376))*IF(Inputs!$B$39="pvp",1,(1+(Inputs!$B$22+Skills!Q9+((C384=TRUE)*F384*IF(AND(Inputs!$B$39&lt;&gt;"pvp",Inputs!$B$44&gt;0),(((R384-1)*MIN((Skills!T17*(1+Inputs!$B$35/100)),(1/Q384))+MIN((Skills!T17*(1+Inputs!$B$35/100)),MAX(0,Inputs!$B$44-((R384-1)*(1/Q384)))))/Inputs!$B$44),IF(Inputs!$B$39="pvp",MIN((Skills!T17*(1+Inputs!$B$35/100)),15)/15,MIN(1,(Skills!T17*(1+Inputs!$B$35/100))/(1/Q384)))))+((C372=TRUE)*IF(Inputs!$B$3&gt;=126,10*MIN(1,15*Q372),0))+((C381=TRUE)*IF(Inputs!$B$39="pvp",20,(1-Summary!$B$11)*(20)+Summary!$B$11*(0))*IF(AND(Inputs!$B$39&lt;&gt;"pvp",Inputs!$B$44&gt;0),(((R381-1)*MIN((Skills!T14*(1+Inputs!$B$35/100)),(1/Q381))+MIN((Skills!T14*(1+Inputs!$B$35/100)),MAX(0,Inputs!$B$44-((R381-1)*(1/Q381)))))/Inputs!$B$44),IF(Inputs!$B$39="pvp",MIN((Skills!T14*(1+Inputs!$B$35/100)),15)/15,MIN(1,(Skills!T14*(1+Inputs!$B$35/100))/(1/Q381)))))+((C380=TRUE)*IF(Inputs!$B$3&gt;=82,IF(Inputs!$B$39="pvp",20,(1-Summary!$B$11)*(20)+Summary!$B$11*(0)),0)*IF(AND(Inputs!$B$39&lt;&gt;"pvp",Inputs!$B$44&gt;0),(((R380-1)*MIN((Skills!T13*(1+Inputs!$B$35/100)),(1/Q380))+MIN((Skills!T13*(1+Inputs!$B$35/100)),MAX(0,Inputs!$B$44-((R380-1)*(1/Q380)))))/Inputs!$B$44),IF(Inputs!$B$39="pvp",MIN((Skills!T13*(1+Inputs!$B$35/100)),15)/15,MIN(1,(Skills!T13*(1+Inputs!$B$35/100))/(1/Q380)))))+(IF(AND(ArtifactsInput!$M$35,Inputs!$B$4&lt;&gt;"Chapter Hunt"),CHOOSE(ArtifactsInput!$N$35+1,15,18,21,24,27,30)*(1-EXP(-(0.2*B398)*5)),0)+IF(AND(ArtifactsInput!$M$22,Inputs!$B$4&lt;&gt;"Chapter Hunt"),CHOOSE(ArtifactsInput!$N$22+1,10,12,14,16,18,20)*((0*(((0.15*B398*5))^0/1)+1*(((0.15*B398*5))^1/1)+2*(((0.15*B398*5))^2/2)+3*(((0.15*B398*5))^3/6)+4*(((0.15*B398*5))^4/24)+5*(((0.15*B398*5))^5/120))/((((0.15*B398*5))^0/1)+(((0.15*B398*5))^1/1)+(((0.15*B398*5))^2/2)+(((0.15*B398*5))^3/6)+(((0.15*B398*5))^4/24)+(((0.15*B398*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77">
      <c r="A377">
        <f>Skills!A10</f>
        <v/>
      </c>
      <c r="B377">
        <f>Skills!B10</f>
        <v/>
      </c>
      <c r="C377">
        <f>Inputs!$B$3&gt;=110</f>
        <v/>
      </c>
      <c r="D377">
        <f>IF(Skills!C10=1,60+Inputs!$B$26+Inputs!$B$30,IF(Skills!C10=2,90+Inputs!$B$27+Inputs!$B$30,IF(Skills!C10=3,120+Inputs!$B$28+Inputs!$B$30,MAX(0,(Inputs!$B$3-100)*3)+Inputs!$B$29+Inputs!$B$30)))</f>
        <v/>
      </c>
      <c r="E377">
        <f>INDEX(FactorTable!$B$2:$Y$301, MATCH(ROUND(MIN(300,MAX(1,D377)),0), FactorTable!$A$2:$A$301,0), Skills!M10+1)</f>
        <v/>
      </c>
      <c r="F377">
        <f>IF(Skills!N10=TRUE,(Skills!L10/10)*(E377/1000),Skills!L10/10)+Skills!O10</f>
        <v/>
      </c>
      <c r="G377">
        <f>Skills!G10*IF(Skills!H10&gt;0,INT(IF(Inputs!$B$39="pvp",MIN(Skills!I10,15),Skills!I10)/Skills!H10+0.000000001),1)</f>
        <v/>
      </c>
      <c r="H377">
        <f>1-(1-Skills!J10/100)^Skills!K10</f>
        <v/>
      </c>
      <c r="I377" t="inlineStr">
        <is>
          <t>1</t>
        </is>
      </c>
      <c r="J377">
        <f>((Inputs!$B$6*(1+Inputs!$B$7/100))+(((Inputs!$B$13*(1+Inputs!$B$14/100))-(Inputs!$B$13*(1+Inputs!$B$14/100)))+0.25*(Inputs!$B$15-Inputs!$B$15))*(1+Inputs!$B$7/100))*(F377/100)</f>
        <v/>
      </c>
      <c r="K377">
        <f>J377*(1+(((Inputs!$B$13+IF(Inputs!$B$3&gt;=38,(10*INDEX(FactorTable!$B$2:$Y$301, MATCH(ROUND(MIN(300,MAX(1,Inputs!$B$3)),0), FactorTable!$A$2:$A$301,0), 23)/1000)/100*(Inputs!$B$8*(1+Inputs!$B$9/100)),0))*(1+Inputs!$B$14/100))*0.01+Inputs!$B$15*0.0025)/100)*(1+Inputs!$B$16/100)*(1+Inputs!$B$17/100)*(5000/(6000+Inputs!$B$43*(1-(Inputs!$B$20+0)/100)))*(1+(Inputs!$B$25+((C392=TRUE)*(F392-Calc!F25))+((C393=TRUE)*(F393-Calc!F26))+B402)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gt;=100),MIN(100,((Inputs!$B$10+0+B396+(ArtifactsInput!$M$24-ArtifactsInput!$M$24)*CHOOSE(ArtifactsInput!$N$24+1,10,12,14,16,18,20)+IF(ArtifactsInput!$M$10,CHOOSE(ArtifactsInput!$N$10+1,15,18,21,24,27,30)*(IF(Inputs!$B$39="pvp",MIN(15,15)/15,IF(AND(Inputs!$B$39&lt;&gt;"pvp",Inputs!$B$44&gt;0),MIN(15,Inputs!$B$44)/(Inputs!$B$44),0))),0)))-100),0))*CHOOSE(ArtifactsInput!$N$42+1,0.6,0.72,0.84,0.96,1.08,1.2))),Inputs!$B$19+((C390=TRUE)*(F390-Calc!F23))+(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gt;=100),CHOOSE(ArtifactsInput!$N$42+1,40,48,56,64,72,80),0))))/100)*((1+(((C380=TRUE)*F380*IF(AND(Inputs!$B$39&lt;&gt;"pvp",Inputs!$B$44&gt;0),(((R380-1)*MIN((Skills!T13*(1+Inputs!$B$35/100)),(1/Q380))+MIN((Skills!T13*(1+Inputs!$B$35/100)),MAX(0,Inputs!$B$44-((R380-1)*(1/Q380)))))/Inputs!$B$44),IF(Inputs!$B$39="pvp",MIN((Skills!T13*(1+Inputs!$B$35/100)),15)/15,MIN(1,(Skills!T13*(1+Inputs!$B$35/100))/(1/Q380)))))+((C381=TRUE)*F381*IF(AND(Inputs!$B$39&lt;&gt;"pvp",Inputs!$B$44&gt;0),(((R381-1)*MIN((Skills!T14*(1+Inputs!$B$35/100)),(1/Q381))+MIN((Skills!T14*(1+Inputs!$B$35/100)),MAX(0,Inputs!$B$44-((R381-1)*(1/Q381)))))/Inputs!$B$44),IF(Inputs!$B$39="pvp",MIN((Skills!T14*(1+Inputs!$B$35/100)),15)/15,MIN(1,(Skills!T14*(1+Inputs!$B$35/100))/(1/Q381)))))+((C382=TRUE)*F382*IF(AND(Inputs!$B$39&lt;&gt;"pvp",Inputs!$B$44&gt;0),(((R382-1)*MIN((Skills!T15*(1+Inputs!$B$35/100)),(1/Q382))+MIN((Skills!T15*(1+Inputs!$B$35/100)),MAX(0,Inputs!$B$44-((R382-1)*(1/Q382)))))/Inputs!$B$44),IF(Inputs!$B$39="pvp",MIN((Skills!T15*(1+Inputs!$B$35/100)),15)/15,MIN(1,(Skills!T15*(1+Inputs!$B$35/100))/(1/Q382)))))+((C383=TRUE)*F383*IF(AND(Inputs!$B$39&lt;&gt;"pvp",Inputs!$B$44&gt;0),(((R383-1)*MIN((Skills!T16*(1+Inputs!$B$35/100)),(1/Q383))+MIN((Skills!T16*(1+Inputs!$B$35/100)),MAX(0,Inputs!$B$44-((R383-1)*(1/Q383)))))/Inputs!$B$44),IF(Inputs!$B$39="pvp",MIN((Skills!T16*(1+Inputs!$B$35/100)),15)/15,MIN(1,(Skills!T16*(1+Inputs!$B$35/100))/(1/Q383)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377)</f>
        <v/>
      </c>
      <c r="L377">
        <f>K377*(MIN(Inputs!$B$23+((C389=TRUE)*(F389-Calc!F22)),(Inputs!$B$24+((C391=TRUE)*(F391-Calc!F24))+(IF(ArtifactsInput!$M$15,CHOOSE(ArtifactsInput!$N$15+1,25,30,35,40,45,50)/100*(Inputs!$B$12-Inputs!$B$12),0))))/100+(Inputs!$B$24+((C391=TRUE)*(F391-Calc!F24))+(IF(ArtifactsInput!$M$15,CHOOSE(ArtifactsInput!$N$15+1,25,30,35,40,45,50)/100*(Inputs!$B$12-Inputs!$B$12),0)))/100)/2</f>
        <v/>
      </c>
      <c r="M377">
        <f>L377*(1+(Inputs!$B$11+0+B401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77">
        <f>L377*(1-MIN((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377*(MIN((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77">
        <f>(1-Summary!$B$11)*T377+Summary!$B$11*V377</f>
        <v/>
      </c>
      <c r="P377">
        <f>IF(B406=0,0,O377/B406)</f>
        <v/>
      </c>
      <c r="Q377">
        <f>IFERROR(1/IF(Inputs!$B$39="pvp",15,MAX(0.1,Skills!D10-IF(TRUE=TRUE,Inputs!$B$33,0))),0)</f>
        <v/>
      </c>
      <c r="R377">
        <f>IF(AND(Inputs!$B$39&lt;&gt;"pvp",Inputs!$B$44&gt;0),IF(MAX(0,Inputs!$B$44-B403)&lt;=0,0,(INT(MAX(0,Inputs!$B$44-B403)/IF(Inputs!$B$39="pvp",15,MAX(0.1,Skills!D10-IF(TRUE=TRUE,Inputs!$B$33,0))))+1)),0)</f>
        <v/>
      </c>
      <c r="S377">
        <f>IFERROR(O377/N377,0)</f>
        <v/>
      </c>
      <c r="T377">
        <f>IF(C377,(H377*N377*IF(AND(Inputs!$B$39&lt;&gt;"pvp",Inputs!$B$44&gt;0),((Skills!G10*((R377-1)*IF(Skills!H10&gt;0,INT(Skills!I10/Skills!H10+0.000000001),1)+IF(Skills!H10&gt;0,INT(MIN(Skills!I10,MAX(0,MAX(0,Inputs!$B$44-B403)-((R377-1)*IF(Inputs!$B$39="pvp",15,MAX(0.1,Skills!D10-IF(TRUE=TRUE,Inputs!$B$33,0))))))/Skills!H10+0.000000001),1)))/Inputs!$B$44),G377*Q377))*IF(Inputs!$B$39="pvp",1,1+((Inputs!$B$21+1)+0+Skills!P10+((C384=TRUE)*F384*IF(AND(Inputs!$B$39&lt;&gt;"pvp",Inputs!$B$44&gt;0),(((R384-1)*MIN((Skills!T17*(1+Inputs!$B$35/100)),(1/Q384))+MIN((Skills!T17*(1+Inputs!$B$35/100)),MAX(0,Inputs!$B$44-((R384-1)*(1/Q384)))))/Inputs!$B$44),IF(Inputs!$B$39="pvp",MIN((Skills!T17*(1+Inputs!$B$35/100)),15)/15,MIN(1,(Skills!T17*(1+Inputs!$B$35/100))/(1/Q384)))))+((C372=TRUE)*IF(Inputs!$B$3&gt;=126,10*MIN(1,15*Q372),0))+((C381=TRUE)*IF(Inputs!$B$39="pvp",20,(1-Summary!$B$11)*(20)+Summary!$B$11*(0))*IF(AND(Inputs!$B$39&lt;&gt;"pvp",Inputs!$B$44&gt;0),(((R381-1)*MIN((Skills!T14*(1+Inputs!$B$35/100)),(1/Q381))+MIN((Skills!T14*(1+Inputs!$B$35/100)),MAX(0,Inputs!$B$44-((R381-1)*(1/Q381)))))/Inputs!$B$44),IF(Inputs!$B$39="pvp",MIN((Skills!T14*(1+Inputs!$B$35/100)),15)/15,MIN(1,(Skills!T14*(1+Inputs!$B$35/100))/(1/Q381)))))+((C380=TRUE)*IF(Inputs!$B$3&gt;=82,IF(Inputs!$B$39="pvp",20,(1-Summary!$B$11)*(20)+Summary!$B$11*(0)),0)*IF(AND(Inputs!$B$39&lt;&gt;"pvp",Inputs!$B$44&gt;0),(((R380-1)*MIN((Skills!T13*(1+Inputs!$B$35/100)),(1/Q380))+MIN((Skills!T13*(1+Inputs!$B$35/100)),MAX(0,Inputs!$B$44-((R380-1)*(1/Q380)))))/Inputs!$B$44),IF(Inputs!$B$39="pvp",MIN((Skills!T13*(1+Inputs!$B$35/100)),15)/15,MIN(1,(Skills!T13*(1+Inputs!$B$35/100))/(1/Q380)))))+(IF(AND(ArtifactsInput!$M$35,Inputs!$B$4&lt;&gt;"Chapter Hunt"),CHOOSE(ArtifactsInput!$N$35+1,15,18,21,24,27,30)*(1-EXP(-(0.2*B398)*5)),0)+IF(AND(ArtifactsInput!$M$22,Inputs!$B$4&lt;&gt;"Chapter Hunt"),CHOOSE(ArtifactsInput!$N$22+1,10,12,14,16,18,20)*((0*(((0.15*B398*5))^0/1)+1*(((0.15*B398*5))^1/1)+2*(((0.15*B398*5))^2/2)+3*(((0.15*B398*5))^3/6)+4*(((0.15*B398*5))^4/24)+5*(((0.15*B398*5))^5/120))/((((0.15*B398*5))^0/1)+(((0.15*B398*5))^1/1)+(((0.15*B398*5))^2/2)+(((0.15*B398*5))^3/6)+(((0.15*B398*5))^4/24)+(((0.15*B398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377*(1-MIN(100,(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377*(MIN(100,(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377*(1-MIN(100,(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377*(MIN(100,(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77">
        <f>IF(C377,(H377*N377*IF(AND(Inputs!$B$39&lt;&gt;"pvp",Inputs!$B$44&gt;0),((Skills!G10*((R377-1)*IF(Skills!H10&gt;0,INT(Skills!I10/Skills!H10+0.000000001),1)+IF(Skills!H10&gt;0,INT(MIN(Skills!I10,MAX(0,MAX(0,Inputs!$B$44-B403)-((R377-1)*IF(Inputs!$B$39="pvp",15,MAX(0.1,Skills!D10-IF(TRUE=TRUE,Inputs!$B$33,0))))))/Skills!H10+0.000000001),1)))/Inputs!$B$44),G377*Q377))*IF(Inputs!$B$39="pvp",1,(1+(Inputs!$B$22+Skills!Q10+((C384=TRUE)*F384*IF(AND(Inputs!$B$39&lt;&gt;"pvp",Inputs!$B$44&gt;0),(((R384-1)*MIN((Skills!T17*(1+Inputs!$B$35/100)),(1/Q384))+MIN((Skills!T17*(1+Inputs!$B$35/100)),MAX(0,Inputs!$B$44-((R384-1)*(1/Q384)))))/Inputs!$B$44),IF(Inputs!$B$39="pvp",MIN((Skills!T17*(1+Inputs!$B$35/100)),15)/15,MIN(1,(Skills!T17*(1+Inputs!$B$35/100))/(1/Q384)))))+((C372=TRUE)*IF(Inputs!$B$3&gt;=126,10*MIN(1,15*Q372),0))+((C381=TRUE)*IF(Inputs!$B$39="pvp",20,(1-Summary!$B$11)*(20)+Summary!$B$11*(0))*IF(AND(Inputs!$B$39&lt;&gt;"pvp",Inputs!$B$44&gt;0),(((R381-1)*MIN((Skills!T14*(1+Inputs!$B$35/100)),(1/Q381))+MIN((Skills!T14*(1+Inputs!$B$35/100)),MAX(0,Inputs!$B$44-((R381-1)*(1/Q381)))))/Inputs!$B$44),IF(Inputs!$B$39="pvp",MIN((Skills!T14*(1+Inputs!$B$35/100)),15)/15,MIN(1,(Skills!T14*(1+Inputs!$B$35/100))/(1/Q381)))))+((C380=TRUE)*IF(Inputs!$B$3&gt;=82,IF(Inputs!$B$39="pvp",20,(1-Summary!$B$11)*(20)+Summary!$B$11*(0)),0)*IF(AND(Inputs!$B$39&lt;&gt;"pvp",Inputs!$B$44&gt;0),(((R380-1)*MIN((Skills!T13*(1+Inputs!$B$35/100)),(1/Q380))+MIN((Skills!T13*(1+Inputs!$B$35/100)),MAX(0,Inputs!$B$44-((R380-1)*(1/Q380)))))/Inputs!$B$44),IF(Inputs!$B$39="pvp",MIN((Skills!T13*(1+Inputs!$B$35/100)),15)/15,MIN(1,(Skills!T13*(1+Inputs!$B$35/100))/(1/Q380)))))+(IF(AND(ArtifactsInput!$M$35,Inputs!$B$4&lt;&gt;"Chapter Hunt"),CHOOSE(ArtifactsInput!$N$35+1,15,18,21,24,27,30)*(1-EXP(-(0.2*B398)*5)),0)+IF(AND(ArtifactsInput!$M$22,Inputs!$B$4&lt;&gt;"Chapter Hunt"),CHOOSE(ArtifactsInput!$N$22+1,10,12,14,16,18,20)*((0*(((0.15*B398*5))^0/1)+1*(((0.15*B398*5))^1/1)+2*(((0.15*B398*5))^2/2)+3*(((0.15*B398*5))^3/6)+4*(((0.15*B398*5))^4/24)+5*(((0.15*B398*5))^5/120))/((((0.15*B398*5))^0/1)+(((0.15*B398*5))^1/1)+(((0.15*B398*5))^2/2)+(((0.15*B398*5))^3/6)+(((0.15*B398*5))^4/24)+(((0.15*B398*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78">
      <c r="A378">
        <f>Skills!A11</f>
        <v/>
      </c>
      <c r="B378">
        <f>Skills!B11</f>
        <v/>
      </c>
      <c r="C378">
        <f>Inputs!$B$3&gt;=100</f>
        <v/>
      </c>
      <c r="D378">
        <f>IF(Skills!C11=1,60+Inputs!$B$26+Inputs!$B$30,IF(Skills!C11=2,90+Inputs!$B$27+Inputs!$B$30,IF(Skills!C11=3,120+Inputs!$B$28+Inputs!$B$30,MAX(0,(Inputs!$B$3-100)*3)+Inputs!$B$29+Inputs!$B$30)))</f>
        <v/>
      </c>
      <c r="E378">
        <f>INDEX(FactorTable!$B$2:$Y$301, MATCH(ROUND(MIN(300,MAX(1,D378)),0), FactorTable!$A$2:$A$301,0), Skills!M11+1)</f>
        <v/>
      </c>
      <c r="F378">
        <f>IF(Skills!N11=TRUE,(Skills!L11/10)*(E378/1000),Skills!L11/10)+Skills!O11</f>
        <v/>
      </c>
      <c r="G378" t="inlineStr"/>
      <c r="H378" t="inlineStr"/>
      <c r="I378" t="inlineStr">
        <is>
          <t>1</t>
        </is>
      </c>
      <c r="J378" t="inlineStr"/>
      <c r="K378" t="inlineStr"/>
      <c r="L378" t="inlineStr"/>
      <c r="M378" t="inlineStr"/>
      <c r="N378" t="inlineStr"/>
      <c r="O378" t="inlineStr"/>
      <c r="P378" t="inlineStr"/>
      <c r="Q378" t="inlineStr"/>
      <c r="R378" t="inlineStr"/>
      <c r="S378" t="inlineStr"/>
    </row>
    <row r="379">
      <c r="A379">
        <f>Skills!A12</f>
        <v/>
      </c>
      <c r="B379">
        <f>Skills!B12</f>
        <v/>
      </c>
      <c r="C379">
        <f>Inputs!$B$3&gt;=63</f>
        <v/>
      </c>
      <c r="D379">
        <f>IF(Skills!C12=1,60+Inputs!$B$26+Inputs!$B$30,IF(Skills!C12=2,90+Inputs!$B$27+Inputs!$B$30,IF(Skills!C12=3,120+Inputs!$B$28+Inputs!$B$30,MAX(0,(Inputs!$B$3-100)*3)+Inputs!$B$29+Inputs!$B$30)))</f>
        <v/>
      </c>
      <c r="E379">
        <f>INDEX(FactorTable!$B$2:$Y$301, MATCH(ROUND(MIN(300,MAX(1,D379)),0), FactorTable!$A$2:$A$301,0), Skills!M12+1)</f>
        <v/>
      </c>
      <c r="F379">
        <f>IF(Skills!N12=TRUE,(Skills!L12/10)*(E379/1000),Skills!L12/10)+Skills!O12</f>
        <v/>
      </c>
      <c r="G379">
        <f>Skills!G12*IF(Skills!H12&gt;0,INT(IF(Inputs!$B$39="pvp",MIN(Skills!I12,15),Skills!I12)/Skills!H12+0.000000001),1)</f>
        <v/>
      </c>
      <c r="H379">
        <f>1-(1-Skills!J12/100)^Skills!K12</f>
        <v/>
      </c>
      <c r="I379" t="inlineStr">
        <is>
          <t>1</t>
        </is>
      </c>
      <c r="J379">
        <f>((Inputs!$B$6*(1+Inputs!$B$7/100))+(((Inputs!$B$13*(1+Inputs!$B$14/100))-(Inputs!$B$13*(1+Inputs!$B$14/100)))+0.25*(Inputs!$B$15-Inputs!$B$15))*(1+Inputs!$B$7/100))*(F379/100)</f>
        <v/>
      </c>
      <c r="K379">
        <f>J379*(1+(((Inputs!$B$13+IF(Inputs!$B$3&gt;=38,(10*INDEX(FactorTable!$B$2:$Y$301, MATCH(ROUND(MIN(300,MAX(1,Inputs!$B$3)),0), FactorTable!$A$2:$A$301,0), 23)/1000)/100*(Inputs!$B$8*(1+Inputs!$B$9/100)),0))*(1+Inputs!$B$14/100))*0.01+Inputs!$B$15*0.0025)/100)*(1+Inputs!$B$16/100)*(1+Inputs!$B$17/100)*(5000/(6000+Inputs!$B$43*(1-(Inputs!$B$20+0)/100)))*(1+(Inputs!$B$25+((C392=TRUE)*(F392-Calc!F25))+((C393=TRUE)*(F393-Calc!F26))+B402)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378=TRUE,F378,0)/100)*(1+(IF(Skills!A12="DARK_IMPALE",Inputs!$B$18+0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gt;=100),MIN(100,((Inputs!$B$10+0+B396+(ArtifactsInput!$M$24-ArtifactsInput!$M$24)*CHOOSE(ArtifactsInput!$N$24+1,10,12,14,16,18,20)+IF(ArtifactsInput!$M$10,CHOOSE(ArtifactsInput!$N$10+1,15,18,21,24,27,30)*(IF(Inputs!$B$39="pvp",MIN(15,15)/15,IF(AND(Inputs!$B$39&lt;&gt;"pvp",Inputs!$B$44&gt;0),MIN(15,Inputs!$B$44)/(Inputs!$B$44),0))),0)))-100),0))*CHOOSE(ArtifactsInput!$N$42+1,0.6,0.72,0.84,0.96,1.08,1.2))),Inputs!$B$19+((C390=TRUE)*(F390-Calc!F23))+(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gt;=100),CHOOSE(ArtifactsInput!$N$42+1,40,48,56,64,72,80),0))))/100)*((1+(((C380=TRUE)*F380*IF(AND(Inputs!$B$39&lt;&gt;"pvp",Inputs!$B$44&gt;0),(((R380-1)*MIN((Skills!T13*(1+Inputs!$B$35/100)),(1/Q380))+MIN((Skills!T13*(1+Inputs!$B$35/100)),MAX(0,Inputs!$B$44-((R380-1)*(1/Q380)))))/Inputs!$B$44),IF(Inputs!$B$39="pvp",MIN((Skills!T13*(1+Inputs!$B$35/100)),15)/15,MIN(1,(Skills!T13*(1+Inputs!$B$35/100))/(1/Q380)))))+((C381=TRUE)*F381*IF(AND(Inputs!$B$39&lt;&gt;"pvp",Inputs!$B$44&gt;0),(((R381-1)*MIN((Skills!T14*(1+Inputs!$B$35/100)),(1/Q381))+MIN((Skills!T14*(1+Inputs!$B$35/100)),MAX(0,Inputs!$B$44-((R381-1)*(1/Q381)))))/Inputs!$B$44),IF(Inputs!$B$39="pvp",MIN((Skills!T14*(1+Inputs!$B$35/100)),15)/15,MIN(1,(Skills!T14*(1+Inputs!$B$35/100))/(1/Q381)))))+((C382=TRUE)*F382*IF(AND(Inputs!$B$39&lt;&gt;"pvp",Inputs!$B$44&gt;0),(((R382-1)*MIN((Skills!T15*(1+Inputs!$B$35/100)),(1/Q382))+MIN((Skills!T15*(1+Inputs!$B$35/100)),MAX(0,Inputs!$B$44-((R382-1)*(1/Q382)))))/Inputs!$B$44),IF(Inputs!$B$39="pvp",MIN((Skills!T15*(1+Inputs!$B$35/100)),15)/15,MIN(1,(Skills!T15*(1+Inputs!$B$35/100))/(1/Q382)))))+((C383=TRUE)*F383*IF(AND(Inputs!$B$39&lt;&gt;"pvp",Inputs!$B$44&gt;0),(((R383-1)*MIN((Skills!T16*(1+Inputs!$B$35/100)),(1/Q383))+MIN((Skills!T16*(1+Inputs!$B$35/100)),MAX(0,Inputs!$B$44-((R383-1)*(1/Q383)))))/Inputs!$B$44),IF(Inputs!$B$39="pvp",MIN((Skills!T16*(1+Inputs!$B$35/100)),15)/15,MIN(1,(Skills!T16*(1+Inputs!$B$35/100))/(1/Q383)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379)</f>
        <v/>
      </c>
      <c r="L379">
        <f>K379*(MIN(Inputs!$B$23+((C389=TRUE)*(F389-Calc!F22)),(Inputs!$B$24+((C391=TRUE)*(F391-Calc!F24))+(IF(ArtifactsInput!$M$15,CHOOSE(ArtifactsInput!$N$15+1,25,30,35,40,45,50)/100*(Inputs!$B$12-Inputs!$B$12),0))))/100+(Inputs!$B$24+((C391=TRUE)*(F391-Calc!F24))+(IF(ArtifactsInput!$M$15,CHOOSE(ArtifactsInput!$N$15+1,25,30,35,40,45,50)/100*(Inputs!$B$12-Inputs!$B$12),0)))/100)/2</f>
        <v/>
      </c>
      <c r="M379">
        <f>L379*(1+(Inputs!$B$11+0+B401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79">
        <f>L379*(1-MIN((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379*(MIN((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79">
        <f>(1-Summary!$B$11)*T379+Summary!$B$11*V379</f>
        <v/>
      </c>
      <c r="P379">
        <f>IF(B406=0,0,O379/B406)</f>
        <v/>
      </c>
      <c r="Q379">
        <f>IFERROR(1/IF(Inputs!$B$39="pvp",15,MAX(0.1,Skills!D12-IF(TRUE=TRUE,Inputs!$B$33,0))),0)</f>
        <v/>
      </c>
      <c r="R379">
        <f>IF(AND(Inputs!$B$39&lt;&gt;"pvp",Inputs!$B$44&gt;0),IF(MAX(0,Inputs!$B$44-B403)&lt;=0,0,(INT(MAX(0,Inputs!$B$44-B403)/IF(Inputs!$B$39="pvp",15,MAX(0.1,Skills!D12-IF(TRUE=TRUE,Inputs!$B$33,0))))+1)),0)</f>
        <v/>
      </c>
      <c r="S379">
        <f>IFERROR(O379/N379,0)</f>
        <v/>
      </c>
      <c r="T379">
        <f>IF(C379,(H379*N379*IF(AND(Inputs!$B$39&lt;&gt;"pvp",Inputs!$B$44&gt;0),((Skills!G12*((R379-1)*IF(Skills!H12&gt;0,INT(Skills!I12/Skills!H12+0.000000001),1)+IF(Skills!H12&gt;0,INT(MIN(Skills!I12,MAX(0,MAX(0,Inputs!$B$44-B403)-((R379-1)*IF(Inputs!$B$39="pvp",15,MAX(0.1,Skills!D12-IF(TRUE=TRUE,Inputs!$B$33,0))))))/Skills!H12+0.000000001),1)))/Inputs!$B$44),G379*Q379))*IF(Inputs!$B$39="pvp",1,1+((Inputs!$B$21+1)+0+Skills!P12+((C384=TRUE)*F384*IF(AND(Inputs!$B$39&lt;&gt;"pvp",Inputs!$B$44&gt;0),(((R384-1)*MIN((Skills!T17*(1+Inputs!$B$35/100)),(1/Q384))+MIN((Skills!T17*(1+Inputs!$B$35/100)),MAX(0,Inputs!$B$44-((R384-1)*(1/Q384)))))/Inputs!$B$44),IF(Inputs!$B$39="pvp",MIN((Skills!T17*(1+Inputs!$B$35/100)),15)/15,MIN(1,(Skills!T17*(1+Inputs!$B$35/100))/(1/Q384)))))+((C372=TRUE)*IF(Inputs!$B$3&gt;=126,10*MIN(1,15*Q372),0))+((C381=TRUE)*IF(Inputs!$B$39="pvp",20,(1-Summary!$B$11)*(20)+Summary!$B$11*(0))*IF(AND(Inputs!$B$39&lt;&gt;"pvp",Inputs!$B$44&gt;0),(((R381-1)*MIN((Skills!T14*(1+Inputs!$B$35/100)),(1/Q381))+MIN((Skills!T14*(1+Inputs!$B$35/100)),MAX(0,Inputs!$B$44-((R381-1)*(1/Q381)))))/Inputs!$B$44),IF(Inputs!$B$39="pvp",MIN((Skills!T14*(1+Inputs!$B$35/100)),15)/15,MIN(1,(Skills!T14*(1+Inputs!$B$35/100))/(1/Q381)))))+((C380=TRUE)*IF(Inputs!$B$3&gt;=82,IF(Inputs!$B$39="pvp",20,(1-Summary!$B$11)*(20)+Summary!$B$11*(0)),0)*IF(AND(Inputs!$B$39&lt;&gt;"pvp",Inputs!$B$44&gt;0),(((R380-1)*MIN((Skills!T13*(1+Inputs!$B$35/100)),(1/Q380))+MIN((Skills!T13*(1+Inputs!$B$35/100)),MAX(0,Inputs!$B$44-((R380-1)*(1/Q380)))))/Inputs!$B$44),IF(Inputs!$B$39="pvp",MIN((Skills!T13*(1+Inputs!$B$35/100)),15)/15,MIN(1,(Skills!T13*(1+Inputs!$B$35/100))/(1/Q380)))))+(IF(AND(ArtifactsInput!$M$35,Inputs!$B$4&lt;&gt;"Chapter Hunt"),CHOOSE(ArtifactsInput!$N$35+1,15,18,21,24,27,30)*(1-EXP(-(0.2*B398)*5)),0)+IF(AND(ArtifactsInput!$M$22,Inputs!$B$4&lt;&gt;"Chapter Hunt"),CHOOSE(ArtifactsInput!$N$22+1,10,12,14,16,18,20)*((0*(((0.15*B398*5))^0/1)+1*(((0.15*B398*5))^1/1)+2*(((0.15*B398*5))^2/2)+3*(((0.15*B398*5))^3/6)+4*(((0.15*B398*5))^4/24)+5*(((0.15*B398*5))^5/120))/((((0.15*B398*5))^0/1)+(((0.15*B398*5))^1/1)+(((0.15*B398*5))^2/2)+(((0.15*B398*5))^3/6)+(((0.15*B398*5))^4/24)+(((0.15*B398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379*(1-MIN(100,(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379*(MIN(100,(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379*(1-MIN(100,(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379*(MIN(100,(Inputs!$B$10+0+B396+(ArtifactsInput!$M$24-ArtifactsInput!$M$24)*CHOOSE(ArtifactsInput!$N$24+1,10,12,14,16,18,20)+(IF(AND(Inputs!$B$39&lt;&gt;"pvp",Inputs!$B$44=0),1,IF(IF(Inputs!$B$39="pvp",15,Inputs!$B$44)-(B403)&lt;=0,1,MAX(0,IF(Inputs!$B$39="pvp",15,Inputs!$B$44)-MAX(5,B403))/(IF(Inputs!$B$39="pvp",15,Inputs!$B$44)-(B403))))*IF(AND(ArtifactsInput!$M$42,((Inputs!$B$10+0+B396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79">
        <f>IF(C379,(H379*N379*IF(AND(Inputs!$B$39&lt;&gt;"pvp",Inputs!$B$44&gt;0),((Skills!G12*((R379-1)*IF(Skills!H12&gt;0,INT(Skills!I12/Skills!H12+0.000000001),1)+IF(Skills!H12&gt;0,INT(MIN(Skills!I12,MAX(0,MAX(0,Inputs!$B$44-B403)-((R379-1)*IF(Inputs!$B$39="pvp",15,MAX(0.1,Skills!D12-IF(TRUE=TRUE,Inputs!$B$33,0))))))/Skills!H12+0.000000001),1)))/Inputs!$B$44),G379*Q379))*IF(Inputs!$B$39="pvp",1,(1+(Inputs!$B$22+Skills!Q12+((C384=TRUE)*F384*IF(AND(Inputs!$B$39&lt;&gt;"pvp",Inputs!$B$44&gt;0),(((R384-1)*MIN((Skills!T17*(1+Inputs!$B$35/100)),(1/Q384))+MIN((Skills!T17*(1+Inputs!$B$35/100)),MAX(0,Inputs!$B$44-((R384-1)*(1/Q384)))))/Inputs!$B$44),IF(Inputs!$B$39="pvp",MIN((Skills!T17*(1+Inputs!$B$35/100)),15)/15,MIN(1,(Skills!T17*(1+Inputs!$B$35/100))/(1/Q384)))))+((C372=TRUE)*IF(Inputs!$B$3&gt;=126,10*MIN(1,15*Q372),0))+((C381=TRUE)*IF(Inputs!$B$39="pvp",20,(1-Summary!$B$11)*(20)+Summary!$B$11*(0))*IF(AND(Inputs!$B$39&lt;&gt;"pvp",Inputs!$B$44&gt;0),(((R381-1)*MIN((Skills!T14*(1+Inputs!$B$35/100)),(1/Q381))+MIN((Skills!T14*(1+Inputs!$B$35/100)),MAX(0,Inputs!$B$44-((R381-1)*(1/Q381)))))/Inputs!$B$44),IF(Inputs!$B$39="pvp",MIN((Skills!T14*(1+Inputs!$B$35/100)),15)/15,MIN(1,(Skills!T14*(1+Inputs!$B$35/100))/(1/Q381)))))+((C380=TRUE)*IF(Inputs!$B$3&gt;=82,IF(Inputs!$B$39="pvp",20,(1-Summary!$B$11)*(20)+Summary!$B$11*(0)),0)*IF(AND(Inputs!$B$39&lt;&gt;"pvp",Inputs!$B$44&gt;0),(((R380-1)*MIN((Skills!T13*(1+Inputs!$B$35/100)),(1/Q380))+MIN((Skills!T13*(1+Inputs!$B$35/100)),MAX(0,Inputs!$B$44-((R380-1)*(1/Q380)))))/Inputs!$B$44),IF(Inputs!$B$39="pvp",MIN((Skills!T13*(1+Inputs!$B$35/100)),15)/15,MIN(1,(Skills!T13*(1+Inputs!$B$35/100))/(1/Q380)))))+(IF(AND(ArtifactsInput!$M$35,Inputs!$B$4&lt;&gt;"Chapter Hunt"),CHOOSE(ArtifactsInput!$N$35+1,15,18,21,24,27,30)*(1-EXP(-(0.2*B398)*5)),0)+IF(AND(ArtifactsInput!$M$22,Inputs!$B$4&lt;&gt;"Chapter Hunt"),CHOOSE(ArtifactsInput!$N$22+1,10,12,14,16,18,20)*((0*(((0.15*B398*5))^0/1)+1*(((0.15*B398*5))^1/1)+2*(((0.15*B398*5))^2/2)+3*(((0.15*B398*5))^3/6)+4*(((0.15*B398*5))^4/24)+5*(((0.15*B398*5))^5/120))/((((0.15*B398*5))^0/1)+(((0.15*B398*5))^1/1)+(((0.15*B398*5))^2/2)+(((0.15*B398*5))^3/6)+(((0.15*B398*5))^4/24)+(((0.15*B398*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80">
      <c r="A380">
        <f>Skills!A13</f>
        <v/>
      </c>
      <c r="B380">
        <f>Skills!B13</f>
        <v/>
      </c>
      <c r="C380">
        <f>Inputs!$B$3&gt;=69</f>
        <v/>
      </c>
      <c r="D380">
        <f>IF(Skills!C13=1,60+Inputs!$B$26+Inputs!$B$30,IF(Skills!C13=2,90+Inputs!$B$27+Inputs!$B$30,IF(Skills!C13=3,120+Inputs!$B$28+Inputs!$B$30,MAX(0,(Inputs!$B$3-100)*3)+Inputs!$B$29+Inputs!$B$30)))</f>
        <v/>
      </c>
      <c r="E380">
        <f>INDEX(FactorTable!$B$2:$Y$301, MATCH(ROUND(MIN(300,MAX(1,D380)),0), FactorTable!$A$2:$A$301,0), Skills!M13+1)</f>
        <v/>
      </c>
      <c r="F380">
        <f>IF(Skills!N13=TRUE,(Skills!L13/10)*(E380/1000),Skills!L13/10)+Skills!O13</f>
        <v/>
      </c>
      <c r="G380">
        <f>Skills!G13*IF(Skills!H13&gt;0,INT(IF(Inputs!$B$39="pvp",MIN(Skills!I13,15),Skills!I13)/Skills!H13+0.000000001),1)</f>
        <v/>
      </c>
      <c r="H380">
        <f>1-(1-Skills!J13/100)^Skills!K13</f>
        <v/>
      </c>
      <c r="I380" t="inlineStr">
        <is>
          <t>1</t>
        </is>
      </c>
      <c r="J380" t="inlineStr"/>
      <c r="K380" t="inlineStr"/>
      <c r="L380" t="inlineStr"/>
      <c r="M380" t="inlineStr"/>
      <c r="N380" t="inlineStr"/>
      <c r="O380">
        <f>(1-Summary!$B$11)*T380+Summary!$B$11*V380</f>
        <v/>
      </c>
      <c r="P380">
        <f>IF(B406=0,0,O380/B406)</f>
        <v/>
      </c>
      <c r="Q380">
        <f>IFERROR(1/IF(Inputs!$B$39="pvp",15,MAX(0.1,Skills!D13-IF(TRUE=TRUE,Inputs!$B$33,0))),0)</f>
        <v/>
      </c>
      <c r="R380">
        <f>IF(AND(Inputs!$B$39&lt;&gt;"pvp",Inputs!$B$44&gt;0),IF(Inputs!$B$44&lt;=0,0,(INT(Inputs!$B$44/IF(Inputs!$B$39="pvp",15,MAX(0.1,Skills!D13-IF(TRUE=TRUE,Inputs!$B$33,0))))+1)),0)</f>
        <v/>
      </c>
      <c r="S380">
        <f>IFERROR(O380/N380,0)</f>
        <v/>
      </c>
      <c r="T380" t="n">
        <v>0</v>
      </c>
      <c r="V380" t="n">
        <v>0</v>
      </c>
    </row>
    <row r="381">
      <c r="A381">
        <f>Skills!A14</f>
        <v/>
      </c>
      <c r="B381">
        <f>Skills!B14</f>
        <v/>
      </c>
      <c r="C381">
        <f>Inputs!$B$3&gt;=115</f>
        <v/>
      </c>
      <c r="D381">
        <f>IF(Skills!C14=1,60+Inputs!$B$26+Inputs!$B$30,IF(Skills!C14=2,90+Inputs!$B$27+Inputs!$B$30,IF(Skills!C14=3,120+Inputs!$B$28+Inputs!$B$30,MAX(0,(Inputs!$B$3-100)*3)+Inputs!$B$29+Inputs!$B$30)))</f>
        <v/>
      </c>
      <c r="E381">
        <f>INDEX(FactorTable!$B$2:$Y$301, MATCH(ROUND(MIN(300,MAX(1,D381)),0), FactorTable!$A$2:$A$301,0), Skills!M14+1)</f>
        <v/>
      </c>
      <c r="F381">
        <f>IF(Skills!N14=TRUE,(Skills!L14/10)*(E381/1000),Skills!L14/10)+Skills!O14</f>
        <v/>
      </c>
      <c r="G381">
        <f>Skills!G14*IF(Skills!H14&gt;0,INT(IF(Inputs!$B$39="pvp",MIN(Skills!I14,15),Skills!I14)/Skills!H14+0.000000001),1)</f>
        <v/>
      </c>
      <c r="H381">
        <f>1-(1-Skills!J14/100)^Skills!K14</f>
        <v/>
      </c>
      <c r="I381" t="inlineStr">
        <is>
          <t>1</t>
        </is>
      </c>
      <c r="J381" t="inlineStr"/>
      <c r="K381" t="inlineStr"/>
      <c r="L381" t="inlineStr"/>
      <c r="M381" t="inlineStr"/>
      <c r="N381" t="inlineStr"/>
      <c r="O381">
        <f>(1-Summary!$B$11)*T381+Summary!$B$11*V381</f>
        <v/>
      </c>
      <c r="P381">
        <f>IF(B406=0,0,O381/B406)</f>
        <v/>
      </c>
      <c r="Q381">
        <f>IFERROR(1/IF(Inputs!$B$39="pvp",15,MAX(0.1,Skills!D14-IF(TRUE=TRUE,Inputs!$B$33,0))),0)</f>
        <v/>
      </c>
      <c r="R381">
        <f>IF(AND(Inputs!$B$39&lt;&gt;"pvp",Inputs!$B$44&gt;0),IF(Inputs!$B$44&lt;=0,0,(INT(Inputs!$B$44/IF(Inputs!$B$39="pvp",15,MAX(0.1,Skills!D14-IF(TRUE=TRUE,Inputs!$B$33,0))))+1)),0)</f>
        <v/>
      </c>
      <c r="S381">
        <f>IFERROR(O381/N381,0)</f>
        <v/>
      </c>
      <c r="T381" t="n">
        <v>0</v>
      </c>
      <c r="V381" t="n">
        <v>0</v>
      </c>
    </row>
    <row r="382">
      <c r="A382">
        <f>Skills!A15</f>
        <v/>
      </c>
      <c r="B382">
        <f>Skills!B15</f>
        <v/>
      </c>
      <c r="C382">
        <f>Inputs!$B$3&gt;=66</f>
        <v/>
      </c>
      <c r="D382">
        <f>IF(Skills!C15=1,60+Inputs!$B$26+Inputs!$B$30,IF(Skills!C15=2,90+Inputs!$B$27+Inputs!$B$30,IF(Skills!C15=3,120+Inputs!$B$28+Inputs!$B$30,MAX(0,(Inputs!$B$3-100)*3)+Inputs!$B$29+Inputs!$B$30)))</f>
        <v/>
      </c>
      <c r="E382">
        <f>INDEX(FactorTable!$B$2:$Y$301, MATCH(ROUND(MIN(300,MAX(1,D382)),0), FactorTable!$A$2:$A$301,0), Skills!M15+1)</f>
        <v/>
      </c>
      <c r="F382">
        <f>IF(Skills!N15=TRUE,(Skills!L15/10)*(E382/1000),Skills!L15/10)+Skills!O15</f>
        <v/>
      </c>
      <c r="G382">
        <f>Skills!G15*IF(Skills!H15&gt;0,INT(IF(Inputs!$B$39="pvp",MIN(Skills!I15,15),Skills!I15)/Skills!H15+0.000000001),1)</f>
        <v/>
      </c>
      <c r="H382">
        <f>1-(1-Skills!J15/100)^Skills!K15</f>
        <v/>
      </c>
      <c r="I382" t="inlineStr">
        <is>
          <t>1</t>
        </is>
      </c>
      <c r="J382" t="inlineStr"/>
      <c r="K382" t="inlineStr"/>
      <c r="L382" t="inlineStr"/>
      <c r="M382" t="inlineStr"/>
      <c r="N382" t="inlineStr"/>
      <c r="O382">
        <f>(1-Summary!$B$11)*T382+Summary!$B$11*V382</f>
        <v/>
      </c>
      <c r="P382">
        <f>IF(B406=0,0,O382/B406)</f>
        <v/>
      </c>
      <c r="Q382">
        <f>IFERROR(1/IF(Inputs!$B$39="pvp",15,MAX(0.1,Skills!D15-IF(TRUE=TRUE,Inputs!$B$33,0))),0)</f>
        <v/>
      </c>
      <c r="R382">
        <f>IF(AND(Inputs!$B$39&lt;&gt;"pvp",Inputs!$B$44&gt;0),IF(Inputs!$B$44&lt;=0,0,(INT(Inputs!$B$44/IF(Inputs!$B$39="pvp",15,MAX(0.1,Skills!D15-IF(TRUE=TRUE,Inputs!$B$33,0))))+1)),0)</f>
        <v/>
      </c>
      <c r="S382">
        <f>IFERROR(O382/N382,0)</f>
        <v/>
      </c>
      <c r="T382" t="n">
        <v>0</v>
      </c>
      <c r="V382" t="n">
        <v>0</v>
      </c>
    </row>
    <row r="383">
      <c r="A383">
        <f>Skills!A16</f>
        <v/>
      </c>
      <c r="B383">
        <f>Skills!B16</f>
        <v/>
      </c>
      <c r="C383">
        <f>Inputs!$B$3&gt;=45</f>
        <v/>
      </c>
      <c r="D383">
        <f>IF(Skills!C16=1,60+Inputs!$B$26+Inputs!$B$30,IF(Skills!C16=2,90+Inputs!$B$27+Inputs!$B$30,IF(Skills!C16=3,120+Inputs!$B$28+Inputs!$B$30,MAX(0,(Inputs!$B$3-100)*3)+Inputs!$B$29+Inputs!$B$30)))</f>
        <v/>
      </c>
      <c r="E383">
        <f>INDEX(FactorTable!$B$2:$Y$301, MATCH(ROUND(MIN(300,MAX(1,D383)),0), FactorTable!$A$2:$A$301,0), Skills!M16+1)</f>
        <v/>
      </c>
      <c r="F383">
        <f>IF(Skills!N16=TRUE,(Skills!L16/10)*(E383/1000),Skills!L16/10)+Skills!O16</f>
        <v/>
      </c>
      <c r="G383">
        <f>Skills!G16*IF(Skills!H16&gt;0,INT(IF(Inputs!$B$39="pvp",MIN(Skills!I16,15),Skills!I16)/Skills!H16+0.000000001),1)</f>
        <v/>
      </c>
      <c r="H383">
        <f>1-(1-Skills!J16/100)^Skills!K16</f>
        <v/>
      </c>
      <c r="I383" t="inlineStr">
        <is>
          <t>1</t>
        </is>
      </c>
      <c r="J383" t="inlineStr"/>
      <c r="K383" t="inlineStr"/>
      <c r="L383" t="inlineStr"/>
      <c r="M383" t="inlineStr"/>
      <c r="N383" t="inlineStr"/>
      <c r="O383">
        <f>(1-Summary!$B$11)*T383+Summary!$B$11*V383</f>
        <v/>
      </c>
      <c r="P383">
        <f>IF(B406=0,0,O383/B406)</f>
        <v/>
      </c>
      <c r="Q383">
        <f>IFERROR(1/IF(Inputs!$B$39="pvp",15,MAX(0.1,Skills!D16-IF(TRUE=TRUE,Inputs!$B$33,0))),0)</f>
        <v/>
      </c>
      <c r="R383">
        <f>IF(AND(Inputs!$B$39&lt;&gt;"pvp",Inputs!$B$44&gt;0),IF(Inputs!$B$44&lt;=0,0,(INT(Inputs!$B$44/IF(Inputs!$B$39="pvp",15,MAX(0.1,Skills!D16-IF(TRUE=TRUE,Inputs!$B$33,0))))+1)),0)</f>
        <v/>
      </c>
      <c r="S383">
        <f>IFERROR(O383/N383,0)</f>
        <v/>
      </c>
      <c r="T383" t="n">
        <v>0</v>
      </c>
      <c r="V383" t="n">
        <v>0</v>
      </c>
    </row>
    <row r="384">
      <c r="A384">
        <f>Skills!A17</f>
        <v/>
      </c>
      <c r="B384">
        <f>Skills!B17</f>
        <v/>
      </c>
      <c r="C384">
        <f>Inputs!$B$3&gt;=35</f>
        <v/>
      </c>
      <c r="D384">
        <f>IF(Skills!C17=1,60+Inputs!$B$26+Inputs!$B$30,IF(Skills!C17=2,90+Inputs!$B$27+Inputs!$B$30,IF(Skills!C17=3,120+Inputs!$B$28+Inputs!$B$30,MAX(0,(Inputs!$B$3-100)*3)+Inputs!$B$29+Inputs!$B$30)))</f>
        <v/>
      </c>
      <c r="E384">
        <f>INDEX(FactorTable!$B$2:$Y$301, MATCH(ROUND(MIN(300,MAX(1,D384)),0), FactorTable!$A$2:$A$301,0), Skills!M17+1)</f>
        <v/>
      </c>
      <c r="F384">
        <f>IF(Skills!N17=TRUE,(Skills!L17/10)*(E384/1000),Skills!L17/10)+Skills!O17</f>
        <v/>
      </c>
      <c r="G384">
        <f>Skills!G17*IF(Skills!H17&gt;0,INT(IF(Inputs!$B$39="pvp",MIN(Skills!I17,15),Skills!I17)/Skills!H17+0.000000001),1)</f>
        <v/>
      </c>
      <c r="H384">
        <f>1-(1-Skills!J17/100)^Skills!K17</f>
        <v/>
      </c>
      <c r="I384" t="inlineStr">
        <is>
          <t>1</t>
        </is>
      </c>
      <c r="J384" t="inlineStr"/>
      <c r="K384" t="inlineStr"/>
      <c r="L384" t="inlineStr"/>
      <c r="M384" t="inlineStr"/>
      <c r="N384" t="inlineStr"/>
      <c r="O384">
        <f>(1-Summary!$B$11)*T384+Summary!$B$11*V384</f>
        <v/>
      </c>
      <c r="P384">
        <f>IF(B406=0,0,O384/B406)</f>
        <v/>
      </c>
      <c r="Q384">
        <f>IFERROR(1/IF(Inputs!$B$39="pvp",15,MAX(0.1,Skills!D17-IF(TRUE=TRUE,Inputs!$B$33,0))),0)</f>
        <v/>
      </c>
      <c r="R384">
        <f>IF(AND(Inputs!$B$39&lt;&gt;"pvp",Inputs!$B$44&gt;0),IF(Inputs!$B$44&lt;=0,0,(INT(Inputs!$B$44/IF(Inputs!$B$39="pvp",15,MAX(0.1,Skills!D17-IF(TRUE=TRUE,Inputs!$B$33,0))))+1)),0)</f>
        <v/>
      </c>
      <c r="S384">
        <f>IFERROR(O384/N384,0)</f>
        <v/>
      </c>
      <c r="T384" t="n">
        <v>0</v>
      </c>
      <c r="V384" t="n">
        <v>0</v>
      </c>
    </row>
    <row r="385">
      <c r="A385">
        <f>Skills!A18</f>
        <v/>
      </c>
      <c r="B385">
        <f>Skills!B18</f>
        <v/>
      </c>
      <c r="C385">
        <f>Inputs!$B$3&gt;=72</f>
        <v/>
      </c>
      <c r="D385">
        <f>IF(Skills!C18=1,60+Inputs!$B$26+Inputs!$B$30,IF(Skills!C18=2,90+Inputs!$B$27+Inputs!$B$30,IF(Skills!C18=3,120+Inputs!$B$28+Inputs!$B$30,MAX(0,(Inputs!$B$3-100)*3)+Inputs!$B$29+Inputs!$B$30)))</f>
        <v/>
      </c>
      <c r="E385">
        <f>INDEX(FactorTable!$B$2:$Y$301, MATCH(ROUND(MIN(300,MAX(1,D385)),0), FactorTable!$A$2:$A$301,0), Skills!M18+1)</f>
        <v/>
      </c>
      <c r="F385">
        <f>IF(Skills!N18=TRUE,(Skills!L18/10)*(E385/1000),Skills!L18/10)+Skills!O18</f>
        <v/>
      </c>
      <c r="G385">
        <f>Skills!G18*IF(Skills!H18&gt;0,INT(IF(Inputs!$B$39="pvp",MIN(Skills!I18,15),Skills!I18)/Skills!H18+0.000000001),1)</f>
        <v/>
      </c>
      <c r="H385">
        <f>1-(1-Skills!J18/100)^Skills!K18</f>
        <v/>
      </c>
      <c r="I385" t="inlineStr">
        <is>
          <t>1</t>
        </is>
      </c>
      <c r="J385" t="inlineStr"/>
      <c r="K385" t="inlineStr"/>
      <c r="L385" t="inlineStr"/>
      <c r="M385" t="inlineStr"/>
      <c r="N385" t="inlineStr"/>
      <c r="O385">
        <f>(1-Summary!$B$11)*T385+Summary!$B$11*V385</f>
        <v/>
      </c>
      <c r="P385">
        <f>IF(B406=0,0,O385/B406)</f>
        <v/>
      </c>
      <c r="Q385">
        <f>IFERROR(1/IF(Inputs!$B$39="pvp",15,MAX(0.1,Skills!D18-IF(TRUE=TRUE,Inputs!$B$33,0))),0)</f>
        <v/>
      </c>
      <c r="R385">
        <f>IF(AND(Inputs!$B$39&lt;&gt;"pvp",Inputs!$B$44&gt;0),IF(Inputs!$B$44&lt;=0,0,(INT(Inputs!$B$44/IF(Inputs!$B$39="pvp",15,MAX(0.1,Skills!D18-IF(TRUE=TRUE,Inputs!$B$33,0))))+1)),0)</f>
        <v/>
      </c>
      <c r="S385">
        <f>IFERROR(O385/N385,0)</f>
        <v/>
      </c>
      <c r="T385" t="n">
        <v>0</v>
      </c>
      <c r="V385" t="n">
        <v>0</v>
      </c>
    </row>
    <row r="386">
      <c r="A386">
        <f>Skills!A19</f>
        <v/>
      </c>
      <c r="B386">
        <f>Skills!B19</f>
        <v/>
      </c>
      <c r="C386">
        <f>Inputs!$B$3&gt;=72</f>
        <v/>
      </c>
      <c r="D386">
        <f>IF(Skills!C19=1,60+Inputs!$B$26+Inputs!$B$30,IF(Skills!C19=2,90+Inputs!$B$27+Inputs!$B$30,IF(Skills!C19=3,120+Inputs!$B$28+Inputs!$B$30,MAX(0,(Inputs!$B$3-100)*3)+Inputs!$B$29+Inputs!$B$30)))</f>
        <v/>
      </c>
      <c r="E386">
        <f>INDEX(FactorTable!$B$2:$Y$301, MATCH(ROUND(MIN(300,MAX(1,D386)),0), FactorTable!$A$2:$A$301,0), Skills!M19+1)</f>
        <v/>
      </c>
      <c r="F386">
        <f>IF(Skills!N19=TRUE,(Skills!L19/10)*(E386/1000),Skills!L19/10)+Skills!O19</f>
        <v/>
      </c>
      <c r="G386">
        <f>Skills!G19*IF(Skills!H19&gt;0,INT(IF(Inputs!$B$39="pvp",MIN(Skills!I19,15),Skills!I19)/Skills!H19+0.000000001),1)</f>
        <v/>
      </c>
      <c r="H386">
        <f>1-(1-Skills!J19/100)^Skills!K19</f>
        <v/>
      </c>
      <c r="I386" t="inlineStr">
        <is>
          <t>1</t>
        </is>
      </c>
      <c r="J386" t="inlineStr"/>
      <c r="K386" t="inlineStr"/>
      <c r="L386" t="inlineStr"/>
      <c r="M386" t="inlineStr"/>
      <c r="N386" t="inlineStr"/>
      <c r="O386">
        <f>(1-Summary!$B$11)*T386+Summary!$B$11*V386</f>
        <v/>
      </c>
      <c r="P386">
        <f>IF(B406=0,0,O386/B406)</f>
        <v/>
      </c>
      <c r="Q386">
        <f>IFERROR(1/IF(Inputs!$B$39="pvp",15,MAX(0.1,Skills!D19-IF(TRUE=TRUE,Inputs!$B$33,0))),0)</f>
        <v/>
      </c>
      <c r="R386">
        <f>IF(AND(Inputs!$B$39&lt;&gt;"pvp",Inputs!$B$44&gt;0),IF(Inputs!$B$44&lt;=0,0,(INT(Inputs!$B$44/IF(Inputs!$B$39="pvp",15,MAX(0.1,Skills!D19-IF(TRUE=TRUE,Inputs!$B$33,0))))+1)),0)</f>
        <v/>
      </c>
      <c r="S386">
        <f>IFERROR(O386/N386,0)</f>
        <v/>
      </c>
      <c r="T386" t="n">
        <v>0</v>
      </c>
      <c r="V386" t="n">
        <v>0</v>
      </c>
    </row>
    <row r="387">
      <c r="A387">
        <f>Skills!A20</f>
        <v/>
      </c>
      <c r="B387">
        <f>Skills!B20</f>
        <v/>
      </c>
      <c r="C387">
        <f>TRUE</f>
        <v/>
      </c>
      <c r="D387">
        <f>IF(Skills!C20=1,60+Inputs!$B$26+Inputs!$B$30,IF(Skills!C20=2,90+Inputs!$B$27+Inputs!$B$30,IF(Skills!C20=3,120+Inputs!$B$28+Inputs!$B$30,MAX(0,(Inputs!$B$3-100)*3)+Inputs!$B$29+Inputs!$B$30)))</f>
        <v/>
      </c>
      <c r="E387">
        <f>INDEX(FactorTable!$B$2:$Y$301, MATCH(ROUND(MIN(300,MAX(1,D387)),0), FactorTable!$A$2:$A$301,0), Skills!M20+1)</f>
        <v/>
      </c>
      <c r="F387">
        <f>IF(Skills!N20=TRUE,(Skills!L20/10)*(E387/1000),Skills!L20/10)+Skills!O20</f>
        <v/>
      </c>
      <c r="G387">
        <f>Skills!G20*IF(Skills!H20&gt;0,INT(IF(Inputs!$B$39="pvp",MIN(Skills!I20,15),Skills!I20)/Skills!H20+0.000000001),1)</f>
        <v/>
      </c>
      <c r="H387">
        <f>1-(1-Skills!J20/100)^Skills!K20</f>
        <v/>
      </c>
      <c r="I387" t="inlineStr">
        <is>
          <t>1</t>
        </is>
      </c>
      <c r="J387" t="inlineStr"/>
      <c r="K387" t="inlineStr"/>
      <c r="L387" t="inlineStr"/>
      <c r="M387" t="inlineStr"/>
      <c r="N387" t="inlineStr"/>
      <c r="O387">
        <f>(1-Summary!$B$11)*T387+Summary!$B$11*V387</f>
        <v/>
      </c>
      <c r="P387">
        <f>IF(B406=0,0,O387/B406)</f>
        <v/>
      </c>
      <c r="Q387">
        <f>IFERROR(1/IF(Inputs!$B$39="pvp",15,MAX(0.1,Skills!D20-IF(TRUE=TRUE,Inputs!$B$33,0))),0)</f>
        <v/>
      </c>
      <c r="R387">
        <f>IF(AND(Inputs!$B$39&lt;&gt;"pvp",Inputs!$B$44&gt;0),IF(Inputs!$B$44&lt;=0,0,(INT(Inputs!$B$44/IF(Inputs!$B$39="pvp",15,MAX(0.1,Skills!D20-IF(TRUE=TRUE,Inputs!$B$33,0))))+1)),0)</f>
        <v/>
      </c>
      <c r="S387">
        <f>IFERROR(O387/N387,0)</f>
        <v/>
      </c>
      <c r="T387" t="n">
        <v>0</v>
      </c>
      <c r="V387" t="n">
        <v>0</v>
      </c>
    </row>
    <row r="388">
      <c r="A388">
        <f>Skills!A21</f>
        <v/>
      </c>
      <c r="B388">
        <f>Skills!B21</f>
        <v/>
      </c>
      <c r="C388">
        <f>Inputs!$B$3&gt;=33</f>
        <v/>
      </c>
      <c r="D388">
        <f>IF(Skills!C21=1,60+Inputs!$B$26+Inputs!$B$30,IF(Skills!C21=2,90+Inputs!$B$27+Inputs!$B$30,IF(Skills!C21=3,120+Inputs!$B$28+Inputs!$B$30,MAX(0,(Inputs!$B$3-100)*3)+Inputs!$B$29+Inputs!$B$30)))</f>
        <v/>
      </c>
      <c r="E388">
        <f>INDEX(FactorTable!$B$2:$Y$301, MATCH(ROUND(MIN(300,MAX(1,D388)),0), FactorTable!$A$2:$A$301,0), Skills!M21+1)</f>
        <v/>
      </c>
      <c r="F388">
        <f>IF(Skills!N21=TRUE,(Skills!L21/10)*(E388/1000),Skills!L21/10)+Skills!O21</f>
        <v/>
      </c>
      <c r="G388">
        <f>Skills!G21*IF(Skills!H21&gt;0,INT(IF(Inputs!$B$39="pvp",MIN(Skills!I21,15),Skills!I21)/Skills!H21+0.000000001),1)</f>
        <v/>
      </c>
      <c r="H388">
        <f>1-(1-Skills!J21/100)^Skills!K21</f>
        <v/>
      </c>
      <c r="I388" t="inlineStr">
        <is>
          <t>1</t>
        </is>
      </c>
      <c r="J388" t="inlineStr"/>
      <c r="K388" t="inlineStr"/>
      <c r="L388" t="inlineStr"/>
      <c r="M388" t="inlineStr"/>
      <c r="N388" t="inlineStr"/>
      <c r="O388">
        <f>(1-Summary!$B$11)*T388+Summary!$B$11*V388</f>
        <v/>
      </c>
      <c r="P388">
        <f>IF(B406=0,0,O388/B406)</f>
        <v/>
      </c>
      <c r="Q388" t="n">
        <v>0</v>
      </c>
      <c r="R388" t="n">
        <v>0</v>
      </c>
      <c r="S388">
        <f>IFERROR(O388/N388,0)</f>
        <v/>
      </c>
      <c r="T388" t="n">
        <v>0</v>
      </c>
      <c r="V388" t="n">
        <v>0</v>
      </c>
    </row>
    <row r="389">
      <c r="A389">
        <f>Skills!A22</f>
        <v/>
      </c>
      <c r="B389">
        <f>Skills!B22</f>
        <v/>
      </c>
      <c r="C389">
        <f>Inputs!$B$3&gt;=43</f>
        <v/>
      </c>
      <c r="D389">
        <f>IF(Skills!C22=1,60+Inputs!$B$26+Inputs!$B$30,IF(Skills!C22=2,90+Inputs!$B$27+Inputs!$B$30,IF(Skills!C22=3,120+Inputs!$B$28+Inputs!$B$30,MAX(0,(Inputs!$B$3-100)*3)+Inputs!$B$29+Inputs!$B$30)))</f>
        <v/>
      </c>
      <c r="E389">
        <f>INDEX(FactorTable!$B$2:$Y$301, MATCH(ROUND(MIN(300,MAX(1,D389)),0), FactorTable!$A$2:$A$301,0), Skills!M22+1)</f>
        <v/>
      </c>
      <c r="F389">
        <f>IF(Skills!N22=TRUE,(Skills!L22/10)*(E389/1000),Skills!L22/10)+Skills!O22</f>
        <v/>
      </c>
      <c r="G389">
        <f>Skills!G22*IF(Skills!H22&gt;0,INT(IF(Inputs!$B$39="pvp",MIN(Skills!I22,15),Skills!I22)/Skills!H22+0.000000001),1)</f>
        <v/>
      </c>
      <c r="H389">
        <f>1-(1-Skills!J22/100)^Skills!K22</f>
        <v/>
      </c>
      <c r="I389" t="inlineStr">
        <is>
          <t>1</t>
        </is>
      </c>
      <c r="J389" t="inlineStr"/>
      <c r="K389" t="inlineStr"/>
      <c r="L389" t="inlineStr"/>
      <c r="M389" t="inlineStr"/>
      <c r="N389" t="inlineStr"/>
      <c r="O389">
        <f>(1-Summary!$B$11)*T389+Summary!$B$11*V389</f>
        <v/>
      </c>
      <c r="P389">
        <f>IF(B406=0,0,O389/B406)</f>
        <v/>
      </c>
      <c r="Q389" t="n">
        <v>0</v>
      </c>
      <c r="R389" t="n">
        <v>0</v>
      </c>
      <c r="S389">
        <f>IFERROR(O389/N389,0)</f>
        <v/>
      </c>
      <c r="T389" t="n">
        <v>0</v>
      </c>
      <c r="V389" t="n">
        <v>0</v>
      </c>
    </row>
    <row r="390">
      <c r="A390">
        <f>Skills!A23</f>
        <v/>
      </c>
      <c r="B390">
        <f>Skills!B23</f>
        <v/>
      </c>
      <c r="C390">
        <f>Inputs!$B$3&gt;=120</f>
        <v/>
      </c>
      <c r="D390">
        <f>IF(Skills!C23=1,60+Inputs!$B$26+Inputs!$B$30,IF(Skills!C23=2,90+Inputs!$B$27+Inputs!$B$30,IF(Skills!C23=3,120+Inputs!$B$28+Inputs!$B$30,MAX(0,(Inputs!$B$3-100)*3)+Inputs!$B$29+Inputs!$B$30)))</f>
        <v/>
      </c>
      <c r="E390">
        <f>INDEX(FactorTable!$B$2:$Y$301, MATCH(ROUND(MIN(300,MAX(1,D390)),0), FactorTable!$A$2:$A$301,0), Skills!M23+1)</f>
        <v/>
      </c>
      <c r="F390">
        <f>IF(Skills!N23=TRUE,(Skills!L23/10)*(E390/1000),Skills!L23/10)+Skills!O23</f>
        <v/>
      </c>
      <c r="G390">
        <f>Skills!G23*IF(Skills!H23&gt;0,INT(IF(Inputs!$B$39="pvp",MIN(Skills!I23,15),Skills!I23)/Skills!H23+0.000000001),1)</f>
        <v/>
      </c>
      <c r="H390">
        <f>1-(1-Skills!J23/100)^Skills!K23</f>
        <v/>
      </c>
      <c r="I390" t="inlineStr">
        <is>
          <t>1</t>
        </is>
      </c>
      <c r="J390" t="inlineStr"/>
      <c r="K390" t="inlineStr"/>
      <c r="L390" t="inlineStr"/>
      <c r="M390" t="inlineStr"/>
      <c r="N390" t="inlineStr"/>
      <c r="O390">
        <f>(1-Summary!$B$11)*T390+Summary!$B$11*V390</f>
        <v/>
      </c>
      <c r="P390">
        <f>IF(B406=0,0,O390/B406)</f>
        <v/>
      </c>
      <c r="Q390" t="n">
        <v>0</v>
      </c>
      <c r="R390" t="n">
        <v>0</v>
      </c>
      <c r="S390">
        <f>IFERROR(O390/N390,0)</f>
        <v/>
      </c>
      <c r="T390" t="n">
        <v>0</v>
      </c>
      <c r="V390" t="n">
        <v>0</v>
      </c>
    </row>
    <row r="391">
      <c r="A391">
        <f>Skills!A24</f>
        <v/>
      </c>
      <c r="B391">
        <f>Skills!B24</f>
        <v/>
      </c>
      <c r="C391">
        <f>Inputs!$B$3&gt;=120</f>
        <v/>
      </c>
      <c r="D391">
        <f>IF(Skills!C24=1,60+Inputs!$B$26+Inputs!$B$30,IF(Skills!C24=2,90+Inputs!$B$27+Inputs!$B$30,IF(Skills!C24=3,120+Inputs!$B$28+Inputs!$B$30,MAX(0,(Inputs!$B$3-100)*3)+Inputs!$B$29+Inputs!$B$30)))</f>
        <v/>
      </c>
      <c r="E391">
        <f>INDEX(FactorTable!$B$2:$Y$301, MATCH(ROUND(MIN(300,MAX(1,D391)),0), FactorTable!$A$2:$A$301,0), Skills!M24+1)</f>
        <v/>
      </c>
      <c r="F391">
        <f>IF(Skills!N24=TRUE,(Skills!L24/10)*(E391/1000),Skills!L24/10)+Skills!O24</f>
        <v/>
      </c>
      <c r="G391">
        <f>Skills!G24*IF(Skills!H24&gt;0,INT(IF(Inputs!$B$39="pvp",MIN(Skills!I24,15),Skills!I24)/Skills!H24+0.000000001),1)</f>
        <v/>
      </c>
      <c r="H391">
        <f>1-(1-Skills!J24/100)^Skills!K24</f>
        <v/>
      </c>
      <c r="I391" t="inlineStr">
        <is>
          <t>1</t>
        </is>
      </c>
      <c r="J391" t="inlineStr"/>
      <c r="K391" t="inlineStr"/>
      <c r="L391" t="inlineStr"/>
      <c r="M391" t="inlineStr"/>
      <c r="N391" t="inlineStr"/>
      <c r="O391">
        <f>(1-Summary!$B$11)*T391+Summary!$B$11*V391</f>
        <v/>
      </c>
      <c r="P391">
        <f>IF(B406=0,0,O391/B406)</f>
        <v/>
      </c>
      <c r="Q391" t="n">
        <v>0</v>
      </c>
      <c r="R391" t="n">
        <v>0</v>
      </c>
      <c r="S391">
        <f>IFERROR(O391/N391,0)</f>
        <v/>
      </c>
      <c r="T391" t="n">
        <v>0</v>
      </c>
      <c r="V391" t="n">
        <v>0</v>
      </c>
    </row>
    <row r="392">
      <c r="A392">
        <f>Skills!A25</f>
        <v/>
      </c>
      <c r="B392">
        <f>Skills!B25</f>
        <v/>
      </c>
      <c r="C392">
        <f>Inputs!$B$3&gt;=125</f>
        <v/>
      </c>
      <c r="D392">
        <f>IF(Skills!C25=1,60+Inputs!$B$26+Inputs!$B$30,IF(Skills!C25=2,90+Inputs!$B$27+Inputs!$B$30,IF(Skills!C25=3,120+Inputs!$B$28+Inputs!$B$30,MAX(0,(Inputs!$B$3-100)*3)+Inputs!$B$29+Inputs!$B$30)))</f>
        <v/>
      </c>
      <c r="E392">
        <f>INDEX(FactorTable!$B$2:$Y$301, MATCH(ROUND(MIN(300,MAX(1,D392)),0), FactorTable!$A$2:$A$301,0), Skills!M25+1)</f>
        <v/>
      </c>
      <c r="F392">
        <f>IF(Skills!N25=TRUE,(Skills!L25/10)*(E392/1000),Skills!L25/10)+Skills!O25</f>
        <v/>
      </c>
      <c r="G392">
        <f>Skills!G25*IF(Skills!H25&gt;0,INT(IF(Inputs!$B$39="pvp",MIN(Skills!I25,15),Skills!I25)/Skills!H25+0.000000001),1)</f>
        <v/>
      </c>
      <c r="H392">
        <f>1-(1-Skills!J25/100)^Skills!K25</f>
        <v/>
      </c>
      <c r="I392" t="inlineStr">
        <is>
          <t>1</t>
        </is>
      </c>
      <c r="J392" t="inlineStr"/>
      <c r="K392" t="inlineStr"/>
      <c r="L392" t="inlineStr"/>
      <c r="M392" t="inlineStr"/>
      <c r="N392" t="inlineStr"/>
      <c r="O392">
        <f>(1-Summary!$B$11)*T392+Summary!$B$11*V392</f>
        <v/>
      </c>
      <c r="P392">
        <f>IF(B406=0,0,O392/B406)</f>
        <v/>
      </c>
      <c r="Q392" t="n">
        <v>0</v>
      </c>
      <c r="R392" t="n">
        <v>0</v>
      </c>
      <c r="S392">
        <f>IFERROR(O392/N392,0)</f>
        <v/>
      </c>
      <c r="T392" t="n">
        <v>0</v>
      </c>
      <c r="V392" t="n">
        <v>0</v>
      </c>
    </row>
    <row r="393">
      <c r="A393">
        <f>Skills!A26</f>
        <v/>
      </c>
      <c r="B393">
        <f>Skills!B26</f>
        <v/>
      </c>
      <c r="C393">
        <f>Inputs!$B$3&gt;=107</f>
        <v/>
      </c>
      <c r="D393">
        <f>IF(Skills!C26=1,60+Inputs!$B$26+Inputs!$B$30,IF(Skills!C26=2,90+Inputs!$B$27+Inputs!$B$30,IF(Skills!C26=3,120+Inputs!$B$28+Inputs!$B$30,MAX(0,(Inputs!$B$3-100)*3)+Inputs!$B$29+Inputs!$B$30)))</f>
        <v/>
      </c>
      <c r="E393">
        <f>INDEX(FactorTable!$B$2:$Y$301, MATCH(ROUND(MIN(300,MAX(1,D393)),0), FactorTable!$A$2:$A$301,0), Skills!M26+1)</f>
        <v/>
      </c>
      <c r="F393">
        <f>IF(Skills!N26=TRUE,(Skills!L26/10)*(E393/1000),Skills!L26/10)+Skills!O26</f>
        <v/>
      </c>
      <c r="G393">
        <f>Skills!G26*IF(Skills!H26&gt;0,INT(IF(Inputs!$B$39="pvp",MIN(Skills!I26,15),Skills!I26)/Skills!H26+0.000000001),1)</f>
        <v/>
      </c>
      <c r="H393">
        <f>1-(1-Skills!J26/100)^Skills!K26</f>
        <v/>
      </c>
      <c r="I393" t="inlineStr">
        <is>
          <t>1</t>
        </is>
      </c>
      <c r="J393" t="inlineStr"/>
      <c r="K393" t="inlineStr"/>
      <c r="L393" t="inlineStr"/>
      <c r="M393" t="inlineStr"/>
      <c r="N393" t="inlineStr"/>
      <c r="O393">
        <f>(1-Summary!$B$11)*T393+Summary!$B$11*V393</f>
        <v/>
      </c>
      <c r="P393">
        <f>IF(B406=0,0,O393/B406)</f>
        <v/>
      </c>
      <c r="Q393" t="n">
        <v>0</v>
      </c>
      <c r="R393" t="n">
        <v>0</v>
      </c>
      <c r="S393">
        <f>IFERROR(O393/N393,0)</f>
        <v/>
      </c>
      <c r="T393" t="n">
        <v>0</v>
      </c>
      <c r="V393" t="n">
        <v>0</v>
      </c>
    </row>
    <row r="395">
      <c r="A395" t="inlineStr">
        <is>
          <t>Attack% Bucket Multiplier</t>
        </is>
      </c>
      <c r="B395">
        <f>(1+(((C380=TRUE)*F380*IF(AND(Inputs!$B$39&lt;&gt;"pvp",Inputs!$B$44&gt;0),(((R380-1)*MIN((Skills!T13*(1+Inputs!$B$35/100)),(1/Q380))+MIN((Skills!T13*(1+Inputs!$B$35/100)),MAX(0,Inputs!$B$44-((R380-1)*(1/Q380)))))/Inputs!$B$44),IF(Inputs!$B$39="pvp",MIN((Skills!T13*(1+Inputs!$B$35/100)),15)/15,MIN(1,(Skills!T13*(1+Inputs!$B$35/100))/(1/Q380)))))+((C381=TRUE)*F381*IF(AND(Inputs!$B$39&lt;&gt;"pvp",Inputs!$B$44&gt;0),(((R381-1)*MIN((Skills!T14*(1+Inputs!$B$35/100)),(1/Q381))+MIN((Skills!T14*(1+Inputs!$B$35/100)),MAX(0,Inputs!$B$44-((R381-1)*(1/Q381)))))/Inputs!$B$44),IF(Inputs!$B$39="pvp",MIN((Skills!T14*(1+Inputs!$B$35/100)),15)/15,MIN(1,(Skills!T14*(1+Inputs!$B$35/100))/(1/Q381)))))+((C382=TRUE)*F382*IF(AND(Inputs!$B$39&lt;&gt;"pvp",Inputs!$B$44&gt;0),(((R382-1)*MIN((Skills!T15*(1+Inputs!$B$35/100)),(1/Q382))+MIN((Skills!T15*(1+Inputs!$B$35/100)),MAX(0,Inputs!$B$44-((R382-1)*(1/Q382)))))/Inputs!$B$44),IF(Inputs!$B$39="pvp",MIN((Skills!T15*(1+Inputs!$B$35/100)),15)/15,MIN(1,(Skills!T15*(1+Inputs!$B$35/100))/(1/Q382)))))+((C383=TRUE)*F383*IF(AND(Inputs!$B$39&lt;&gt;"pvp",Inputs!$B$44&gt;0),(((R383-1)*MIN((Skills!T16*(1+Inputs!$B$35/100)),(1/Q383))+MIN((Skills!T16*(1+Inputs!$B$35/100)),MAX(0,Inputs!$B$44-((R383-1)*(1/Q383)))))/Inputs!$B$44),IF(Inputs!$B$39="pvp",MIN((Skills!T16*(1+Inputs!$B$35/100)),15)/15,MIN(1,(Skills!T16*(1+Inputs!$B$35/100))/(1/Q383)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396">
      <c r="A396" t="inlineStr">
        <is>
          <t>Global Crit Rate Bonus % (Lord of Darkness)</t>
        </is>
      </c>
      <c r="B396">
        <f>((C385=TRUE)*F385*(Skills!J18/100)*IF(AND(Inputs!$B$39&lt;&gt;"pvp",Inputs!$B$44&gt;0),(((R385-1)*MIN((Skills!T18*(1+Inputs!$B$35/100)),(1/Q385))+MIN((Skills!T18*(1+Inputs!$B$35/100)),MAX(0,Inputs!$B$44-((R385-1)*(1/Q385)))))/Inputs!$B$44),IF(Inputs!$B$39="pvp",MIN((Skills!T18*(1+Inputs!$B$35/100)),15)/15,MIN(1,(Skills!T18*(1+Inputs!$B$35/100))/(1/Q385)))))</f>
        <v/>
      </c>
    </row>
    <row r="397">
      <c r="A397" t="inlineStr">
        <is>
          <t>Attack Speed Buff Bonus %</t>
        </is>
      </c>
      <c r="B397">
        <f>((C387=TRUE)*F387*IF(AND(Inputs!$B$39&lt;&gt;"pvp",Inputs!$B$44&gt;0),(((R387-1)*MIN((Skills!T20*(1+Inputs!$B$35/100)),(1/Q387))+MIN((Skills!T20*(1+Inputs!$B$35/100)),MAX(0,Inputs!$B$44-((R387-1)*(1/Q387)))))/Inputs!$B$44),IF(Inputs!$B$39="pvp",MIN((Skills!T20*(1+Inputs!$B$35/100)),15)/15,MIN(1,(Skills!T20*(1+Inputs!$B$35/100))/(1/Q387)))))</f>
        <v/>
      </c>
    </row>
    <row r="398">
      <c r="A398" t="inlineStr">
        <is>
          <t>Actions Per Second</t>
        </is>
      </c>
      <c r="B398">
        <f>1+MIN(150,150*(1-(1-(Inputs!$B$12+((C388=TRUE)*(F388-Calc!F21)))/150)*(1-B397/150)))/100</f>
        <v/>
      </c>
    </row>
    <row r="399">
      <c r="A399" t="inlineStr">
        <is>
          <t>Skill + Buff Cast Rate</t>
        </is>
      </c>
      <c r="B399">
        <f>IF(AND(Inputs!$B$39&lt;&gt;"pvp",Inputs!$B$44&gt;0),SUMPRODUCT((Skills!E2:E26=TRUE)*(C369:C393=TRUE)*R369:R393*Skills!F2:F26)/Inputs!$B$44,SUMPRODUCT((Skills!E2:E26=TRUE)*(C369:C393=TRUE)*Q369:Q393*Skills!F2:F26))</f>
        <v/>
      </c>
    </row>
    <row r="400">
      <c r="A400" t="inlineStr">
        <is>
          <t>Dark Impale Casts Per Second</t>
        </is>
      </c>
      <c r="B400">
        <f>MAX(0,B398-B399)</f>
        <v/>
      </c>
    </row>
    <row r="401">
      <c r="A401" t="inlineStr">
        <is>
          <t>Global Critical Damage Bonus % (Lord of Darkness)</t>
        </is>
      </c>
      <c r="B401">
        <f>((C386=TRUE)*F386*(Skills!J19/100)*IF(AND(Inputs!$B$39&lt;&gt;"pvp",Inputs!$B$44&gt;0),(((R386-1)*MIN((Skills!T19*(1+Inputs!$B$35/100)),(1/Q386))+MIN((Skills!T19*(1+Inputs!$B$35/100)),MAX(0,Inputs!$B$44-((R386-1)*(1/Q386)))))/Inputs!$B$44),IF(Inputs!$B$39="pvp",MIN((Skills!T19*(1+Inputs!$B$35/100)),15)/15,MIN(1,(Skills!T19*(1+Inputs!$B$35/100))/(1/Q386)))))</f>
        <v/>
      </c>
    </row>
    <row r="402">
      <c r="A402" t="inlineStr">
        <is>
          <t>Global Final Damage Bonus % (unused)</t>
        </is>
      </c>
      <c r="B402" t="n">
        <v>0</v>
      </c>
    </row>
    <row r="403">
      <c r="A403" t="inlineStr">
        <is>
          <t>Buff-Casting Startup Delay (s, fixed-duration only)</t>
        </is>
      </c>
      <c r="B403">
        <f>IF(AND(Inputs!$B$39&lt;&gt;"pvp",Inputs!$B$44&gt;0),SUMPRODUCT((Skills!T2:T26&gt;0)*(Skills!E2:E26=TRUE)*(C369:C393=TRUE))/B398,0)</f>
        <v/>
      </c>
    </row>
    <row r="404">
      <c r="A404" t="inlineStr">
        <is>
          <t>Boss-Only Total DPS (this block's swept value)</t>
        </is>
      </c>
      <c r="B404">
        <f>SUM(T369:T393)</f>
        <v/>
      </c>
    </row>
    <row r="405">
      <c r="A405" t="inlineStr">
        <is>
          <t>Normal-Only Total DPS (this block's swept value)</t>
        </is>
      </c>
      <c r="B405">
        <f>SUM(V369:V393)</f>
        <v/>
      </c>
    </row>
    <row r="406">
      <c r="A406" s="6" t="inlineStr">
        <is>
          <t>TOTAL DPS</t>
        </is>
      </c>
      <c r="B406" s="6">
        <f>SUM(O369:O393)</f>
        <v/>
      </c>
    </row>
    <row r="409">
      <c r="A409" s="6" t="inlineStr">
        <is>
          <t>Stat: NORMAL_DAMAGE %</t>
        </is>
      </c>
    </row>
    <row r="410">
      <c r="A410" s="5" t="inlineStr">
        <is>
          <t>Key</t>
        </is>
      </c>
      <c r="B410" s="5" t="inlineStr">
        <is>
          <t>Name</t>
        </is>
      </c>
      <c r="C410" s="5" t="inlineStr">
        <is>
          <t>Unlocked</t>
        </is>
      </c>
      <c r="D410" s="5" t="inlineStr">
        <is>
          <t>InputLevel</t>
        </is>
      </c>
      <c r="E410" s="5" t="inlineStr">
        <is>
          <t>Factor</t>
        </is>
      </c>
      <c r="F410" s="5" t="inlineStr">
        <is>
          <t>CoefficientPercent</t>
        </is>
      </c>
      <c r="G410" s="5" t="inlineStr">
        <is>
          <t>EffectiveHits</t>
        </is>
      </c>
      <c r="H410" s="5" t="inlineStr">
        <is>
          <t>ProcProbability</t>
        </is>
      </c>
      <c r="I410" s="5" t="inlineStr">
        <is>
          <t>MapleHeroMultiplier</t>
        </is>
      </c>
      <c r="J410" s="5" t="inlineStr">
        <is>
          <t>BaseDamage</t>
        </is>
      </c>
      <c r="K410" s="5" t="inlineStr">
        <is>
          <t>BaseHitDamage</t>
        </is>
      </c>
      <c r="L410" s="5" t="inlineStr">
        <is>
          <t>NonCritAvg</t>
        </is>
      </c>
      <c r="M410" s="5" t="inlineStr">
        <is>
          <t>CritAvg</t>
        </is>
      </c>
      <c r="N410" s="5" t="inlineStr">
        <is>
          <t>ExpectedDamage(perHit)</t>
        </is>
      </c>
      <c r="O410" s="5" t="inlineStr">
        <is>
          <t>DPS</t>
        </is>
      </c>
      <c r="P410" s="5" t="inlineStr">
        <is>
          <t>% of Total</t>
        </is>
      </c>
      <c r="Q410" s="5" t="inlineStr">
        <is>
          <t>InvCooldown</t>
        </is>
      </c>
      <c r="R410" s="5" t="inlineStr">
        <is>
          <t>CastsInFight</t>
        </is>
      </c>
      <c r="S410" s="5" t="inlineStr">
        <is>
          <t>HitRate(perSec)</t>
        </is>
      </c>
      <c r="U410" t="inlineStr">
        <is>
          <t>helpers</t>
        </is>
      </c>
    </row>
    <row r="411">
      <c r="A411">
        <f>Skills!A2</f>
        <v/>
      </c>
      <c r="B411">
        <f>Skills!B2</f>
        <v/>
      </c>
      <c r="C411">
        <f>Inputs!$B$3&gt;=100</f>
        <v/>
      </c>
      <c r="D411" t="inlineStr"/>
      <c r="E411" t="inlineStr"/>
      <c r="F411">
        <f>U413+Skills!O2</f>
        <v/>
      </c>
      <c r="G411">
        <f>Skills!G2*IF(Skills!H2&gt;0,INT(IF(Inputs!$B$39="pvp",MIN(Skills!I2,15),Skills!I2)/Skills!H2+0.000000001),1)</f>
        <v/>
      </c>
      <c r="H411">
        <f>1-(1-Skills!J2/100)^Skills!K2</f>
        <v/>
      </c>
      <c r="I411" t="inlineStr">
        <is>
          <t>1</t>
        </is>
      </c>
      <c r="J411">
        <f>((Inputs!$B$6*(1+Inputs!$B$7/100))+(((Inputs!$B$13*(1+Inputs!$B$14/100))-(Inputs!$B$13*(1+Inputs!$B$14/100)))+0.25*(Inputs!$B$15-Inputs!$B$15))*(1+Inputs!$B$7/100))*(F411/100)</f>
        <v/>
      </c>
      <c r="K411">
        <f>J411*(1+(((Inputs!$B$13+IF(Inputs!$B$3&gt;=38,(10*INDEX(FactorTable!$B$2:$Y$301, MATCH(ROUND(MIN(300,MAX(1,Inputs!$B$3)),0), FactorTable!$A$2:$A$301,0), 23)/1000)/100*(Inputs!$B$8*(1+Inputs!$B$9/100)),0))*(1+Inputs!$B$14/100))*0.01+Inputs!$B$15*0.0025)/100)*(1+Inputs!$B$16/100)*(1+Inputs!$B$17/100)*(5000/(6000+Inputs!$B$43*(1-(Inputs!$B$20+0)/100)))*(1+(Inputs!$B$25+((C434=TRUE)*(F434-Calc!F25))+((C435=TRUE)*(F435-Calc!F26))+B444)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gt;=100),MIN(100,((Inputs!$B$10+0+B438+(ArtifactsInput!$M$24-ArtifactsInput!$M$24)*CHOOSE(ArtifactsInput!$N$24+1,10,12,14,16,18,20)+IF(ArtifactsInput!$M$10,CHOOSE(ArtifactsInput!$N$10+1,15,18,21,24,27,30)*(IF(Inputs!$B$39="pvp",MIN(15,15)/15,IF(AND(Inputs!$B$39&lt;&gt;"pvp",Inputs!$B$44&gt;0),MIN(15,Inputs!$B$44)/(Inputs!$B$44),0))),0)))-100),0))*CHOOSE(ArtifactsInput!$N$42+1,0.6,0.72,0.84,0.96,1.08,1.2))),Inputs!$B$19+((C432=TRUE)*(F432-Calc!F23))+(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gt;=100),CHOOSE(ArtifactsInput!$N$42+1,40,48,56,64,72,80),0))))/100)*((1+(((C422=TRUE)*F422*IF(AND(Inputs!$B$39&lt;&gt;"pvp",Inputs!$B$44&gt;0),(((R422-1)*MIN((Skills!T13*(1+Inputs!$B$35/100)),(1/Q422))+MIN((Skills!T13*(1+Inputs!$B$35/100)),MAX(0,Inputs!$B$44-((R422-1)*(1/Q422)))))/Inputs!$B$44),IF(Inputs!$B$39="pvp",MIN((Skills!T13*(1+Inputs!$B$35/100)),15)/15,MIN(1,(Skills!T13*(1+Inputs!$B$35/100))/(1/Q422)))))+((C423=TRUE)*F423*IF(AND(Inputs!$B$39&lt;&gt;"pvp",Inputs!$B$44&gt;0),(((R423-1)*MIN((Skills!T14*(1+Inputs!$B$35/100)),(1/Q423))+MIN((Skills!T14*(1+Inputs!$B$35/100)),MAX(0,Inputs!$B$44-((R423-1)*(1/Q423)))))/Inputs!$B$44),IF(Inputs!$B$39="pvp",MIN((Skills!T14*(1+Inputs!$B$35/100)),15)/15,MIN(1,(Skills!T14*(1+Inputs!$B$35/100))/(1/Q423)))))+((C424=TRUE)*F424*IF(AND(Inputs!$B$39&lt;&gt;"pvp",Inputs!$B$44&gt;0),(((R424-1)*MIN((Skills!T15*(1+Inputs!$B$35/100)),(1/Q424))+MIN((Skills!T15*(1+Inputs!$B$35/100)),MAX(0,Inputs!$B$44-((R424-1)*(1/Q424)))))/Inputs!$B$44),IF(Inputs!$B$39="pvp",MIN((Skills!T15*(1+Inputs!$B$35/100)),15)/15,MIN(1,(Skills!T15*(1+Inputs!$B$35/100))/(1/Q424)))))+((C425=TRUE)*F425*IF(AND(Inputs!$B$39&lt;&gt;"pvp",Inputs!$B$44&gt;0),(((R425-1)*MIN((Skills!T16*(1+Inputs!$B$35/100)),(1/Q425))+MIN((Skills!T16*(1+Inputs!$B$35/100)),MAX(0,Inputs!$B$44-((R425-1)*(1/Q425)))))/Inputs!$B$44),IF(Inputs!$B$39="pvp",MIN((Skills!T16*(1+Inputs!$B$35/100)),15)/15,MIN(1,(Skills!T16*(1+Inputs!$B$35/100))/(1/Q425)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411)</f>
        <v/>
      </c>
      <c r="L411">
        <f>K411*(MIN(Inputs!$B$23+((C431=TRUE)*(F431-Calc!F22)),(Inputs!$B$24+((C433=TRUE)*(F433-Calc!F24))+(IF(ArtifactsInput!$M$15,CHOOSE(ArtifactsInput!$N$15+1,25,30,35,40,45,50)/100*(Inputs!$B$12-Inputs!$B$12),0))))/100+(Inputs!$B$24+((C433=TRUE)*(F433-Calc!F24))+(IF(ArtifactsInput!$M$15,CHOOSE(ArtifactsInput!$N$15+1,25,30,35,40,45,50)/100*(Inputs!$B$12-Inputs!$B$12),0)))/100)/2</f>
        <v/>
      </c>
      <c r="M411">
        <f>L411*(1+(Inputs!$B$11+0+B443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411">
        <f>L411*(1-MIN((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411*(MIN((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11">
        <f>(1-Summary!$B$11)*T411+Summary!$B$11*V411</f>
        <v/>
      </c>
      <c r="P411">
        <f>IF(B448=0,0,O411/B448)</f>
        <v/>
      </c>
      <c r="Q411" t="n">
        <v>0</v>
      </c>
      <c r="R411" t="n">
        <v>0</v>
      </c>
      <c r="S411">
        <f>IFERROR(O411/N411,0)</f>
        <v/>
      </c>
      <c r="T411">
        <f>IF(C411,(Skills!G2*N411*B442)*IF(Inputs!$B$39="pvp",1,1+(Inputs!$B$21+0+Skills!P2+((C426=TRUE)*F426*IF(AND(Inputs!$B$39&lt;&gt;"pvp",Inputs!$B$44&gt;0),(((R426-1)*MIN((Skills!T17*(1+Inputs!$B$35/100)),(1/Q426))+MIN((Skills!T17*(1+Inputs!$B$35/100)),MAX(0,Inputs!$B$44-((R426-1)*(1/Q426)))))/Inputs!$B$44),IF(Inputs!$B$39="pvp",MIN((Skills!T17*(1+Inputs!$B$35/100)),15)/15,MIN(1,(Skills!T17*(1+Inputs!$B$35/100))/(1/Q426)))))+((C414=TRUE)*IF(Inputs!$B$3&gt;=126,10*MIN(1,15*Q414),0))+((C423=TRUE)*IF(Inputs!$B$39="pvp",20,(1-Summary!$B$11)*(20)+Summary!$B$11*(0))*IF(AND(Inputs!$B$39&lt;&gt;"pvp",Inputs!$B$44&gt;0),(((R423-1)*MIN((Skills!T14*(1+Inputs!$B$35/100)),(1/Q423))+MIN((Skills!T14*(1+Inputs!$B$35/100)),MAX(0,Inputs!$B$44-((R423-1)*(1/Q423)))))/Inputs!$B$44),IF(Inputs!$B$39="pvp",MIN((Skills!T14*(1+Inputs!$B$35/100)),15)/15,MIN(1,(Skills!T14*(1+Inputs!$B$35/100))/(1/Q423)))))+((C422=TRUE)*IF(Inputs!$B$3&gt;=82,IF(Inputs!$B$39="pvp",20,(1-Summary!$B$11)*(20)+Summary!$B$11*(0)),0)*IF(AND(Inputs!$B$39&lt;&gt;"pvp",Inputs!$B$44&gt;0),(((R422-1)*MIN((Skills!T13*(1+Inputs!$B$35/100)),(1/Q422))+MIN((Skills!T13*(1+Inputs!$B$35/100)),MAX(0,Inputs!$B$44-((R422-1)*(1/Q422)))))/Inputs!$B$44),IF(Inputs!$B$39="pvp",MIN((Skills!T13*(1+Inputs!$B$35/100)),15)/15,MIN(1,(Skills!T13*(1+Inputs!$B$35/100))/(1/Q422)))))+(IF(AND(ArtifactsInput!$M$35,Inputs!$B$4&lt;&gt;"Chapter Hunt"),CHOOSE(ArtifactsInput!$N$35+1,15,18,21,24,27,30)*(1-EXP(-(0.2*B440)*5)),0)+IF(AND(ArtifactsInput!$M$22,Inputs!$B$4&lt;&gt;"Chapter Hunt"),CHOOSE(ArtifactsInput!$N$22+1,10,12,14,16,18,20)*((0*(((0.15*B440*5))^0/1)+1*(((0.15*B440*5))^1/1)+2*(((0.15*B440*5))^2/2)+3*(((0.15*B440*5))^3/6)+4*(((0.15*B440*5))^4/24)+5*(((0.15*B440*5))^5/120))/((((0.15*B440*5))^0/1)+(((0.15*B440*5))^1/1)+(((0.15*B440*5))^2/2)+(((0.15*B440*5))^3/6)+(((0.15*B440*5))^4/24)+(((0.15*B440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411*(1-MIN(100,(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411*(MIN(100,(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411*(1-MIN(100,(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411*(MIN(100,(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411">
        <f>MAX(0,(Inputs!$B$3-100)*3)+Inputs!$B$29+Inputs!$B$30</f>
        <v/>
      </c>
      <c r="V411">
        <f>IF(C411,(Skills!G2*N411*B442)*IF(Inputs!$B$39="pvp",1,(1+((Inputs!$B$22+1)+Skills!Q2+((C426=TRUE)*F426*IF(AND(Inputs!$B$39&lt;&gt;"pvp",Inputs!$B$44&gt;0),(((R426-1)*MIN((Skills!T17*(1+Inputs!$B$35/100)),(1/Q426))+MIN((Skills!T17*(1+Inputs!$B$35/100)),MAX(0,Inputs!$B$44-((R426-1)*(1/Q426)))))/Inputs!$B$44),IF(Inputs!$B$39="pvp",MIN((Skills!T17*(1+Inputs!$B$35/100)),15)/15,MIN(1,(Skills!T17*(1+Inputs!$B$35/100))/(1/Q426)))))+((C414=TRUE)*IF(Inputs!$B$3&gt;=126,10*MIN(1,15*Q414),0))+((C423=TRUE)*IF(Inputs!$B$39="pvp",20,(1-Summary!$B$11)*(20)+Summary!$B$11*(0))*IF(AND(Inputs!$B$39&lt;&gt;"pvp",Inputs!$B$44&gt;0),(((R423-1)*MIN((Skills!T14*(1+Inputs!$B$35/100)),(1/Q423))+MIN((Skills!T14*(1+Inputs!$B$35/100)),MAX(0,Inputs!$B$44-((R423-1)*(1/Q423)))))/Inputs!$B$44),IF(Inputs!$B$39="pvp",MIN((Skills!T14*(1+Inputs!$B$35/100)),15)/15,MIN(1,(Skills!T14*(1+Inputs!$B$35/100))/(1/Q423)))))+((C422=TRUE)*IF(Inputs!$B$3&gt;=82,IF(Inputs!$B$39="pvp",20,(1-Summary!$B$11)*(20)+Summary!$B$11*(0)),0)*IF(AND(Inputs!$B$39&lt;&gt;"pvp",Inputs!$B$44&gt;0),(((R422-1)*MIN((Skills!T13*(1+Inputs!$B$35/100)),(1/Q422))+MIN((Skills!T13*(1+Inputs!$B$35/100)),MAX(0,Inputs!$B$44-((R422-1)*(1/Q422)))))/Inputs!$B$44),IF(Inputs!$B$39="pvp",MIN((Skills!T13*(1+Inputs!$B$35/100)),15)/15,MIN(1,(Skills!T13*(1+Inputs!$B$35/100))/(1/Q422)))))+(IF(AND(ArtifactsInput!$M$35,Inputs!$B$4&lt;&gt;"Chapter Hunt"),CHOOSE(ArtifactsInput!$N$35+1,15,18,21,24,27,30)*(1-EXP(-(0.2*B440)*5)),0)+IF(AND(ArtifactsInput!$M$22,Inputs!$B$4&lt;&gt;"Chapter Hunt"),CHOOSE(ArtifactsInput!$N$22+1,10,12,14,16,18,20)*((0*(((0.15*B440*5))^0/1)+1*(((0.15*B440*5))^1/1)+2*(((0.15*B440*5))^2/2)+3*(((0.15*B440*5))^3/6)+4*(((0.15*B440*5))^4/24)+5*(((0.15*B440*5))^5/120))/((((0.15*B440*5))^0/1)+(((0.15*B440*5))^1/1)+(((0.15*B440*5))^2/2)+(((0.15*B440*5))^3/6)+(((0.15*B440*5))^4/24)+(((0.15*B440*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12">
      <c r="A412">
        <f>Skills!A3</f>
        <v/>
      </c>
      <c r="B412">
        <f>Skills!B3</f>
        <v/>
      </c>
      <c r="C412">
        <f>Inputs!$B$3&gt;=50</f>
        <v/>
      </c>
      <c r="D412">
        <f>IF(Skills!C3=1,60+Inputs!$B$26+Inputs!$B$30,IF(Skills!C3=2,90+Inputs!$B$27+Inputs!$B$30,IF(Skills!C3=3,120+Inputs!$B$28+Inputs!$B$30,MAX(0,(Inputs!$B$3-100)*3)+Inputs!$B$29+Inputs!$B$30)))</f>
        <v/>
      </c>
      <c r="E412">
        <f>INDEX(FactorTable!$B$2:$Y$301, MATCH(ROUND(MIN(300,MAX(1,D412)),0), FactorTable!$A$2:$A$301,0), Skills!M3+1)</f>
        <v/>
      </c>
      <c r="F412">
        <f>IF(Skills!N3=TRUE,(Skills!L3/10)*(E412/1000),Skills!L3/10)+Skills!O3</f>
        <v/>
      </c>
      <c r="G412" t="inlineStr"/>
      <c r="H412" t="inlineStr"/>
      <c r="I412" t="inlineStr">
        <is>
          <t>1</t>
        </is>
      </c>
      <c r="J412" t="inlineStr"/>
      <c r="K412" t="inlineStr"/>
      <c r="L412" t="inlineStr"/>
      <c r="M412" t="inlineStr"/>
      <c r="N412" t="inlineStr"/>
      <c r="O412" t="inlineStr"/>
      <c r="P412" t="inlineStr"/>
      <c r="Q412" t="inlineStr"/>
      <c r="R412" t="inlineStr"/>
      <c r="S412" t="inlineStr"/>
      <c r="U412">
        <f>INDEX(FactorTable!$B$2:$Y$301, MATCH(ROUND(MIN(300,MAX(1,U411)),0), FactorTable!$A$2:$A$301,0), 22)</f>
        <v/>
      </c>
    </row>
    <row r="413">
      <c r="A413">
        <f>Skills!A4</f>
        <v/>
      </c>
      <c r="B413">
        <f>Skills!B4</f>
        <v/>
      </c>
      <c r="C413">
        <f>Inputs!$B$3&gt;=105</f>
        <v/>
      </c>
      <c r="D413">
        <f>IF(Skills!C4=1,60+Inputs!$B$26+Inputs!$B$30,IF(Skills!C4=2,90+Inputs!$B$27+Inputs!$B$30,IF(Skills!C4=3,120+Inputs!$B$28+Inputs!$B$30,MAX(0,(Inputs!$B$3-100)*3)+Inputs!$B$29+Inputs!$B$30)))</f>
        <v/>
      </c>
      <c r="E413">
        <f>INDEX(FactorTable!$B$2:$Y$301, MATCH(ROUND(MIN(300,MAX(1,D413)),0), FactorTable!$A$2:$A$301,0), Skills!M4+1)</f>
        <v/>
      </c>
      <c r="F413">
        <f>IF(Skills!N4=TRUE,(Skills!L4/10)*(E413/1000),Skills!L4/10)+Skills!O4</f>
        <v/>
      </c>
      <c r="G413" t="inlineStr"/>
      <c r="H413" t="inlineStr"/>
      <c r="I413" t="inlineStr">
        <is>
          <t>1</t>
        </is>
      </c>
      <c r="J413" t="inlineStr"/>
      <c r="K413" t="inlineStr"/>
      <c r="L413" t="inlineStr"/>
      <c r="M413" t="inlineStr"/>
      <c r="N413" t="inlineStr"/>
      <c r="O413" t="inlineStr"/>
      <c r="P413" t="inlineStr"/>
      <c r="Q413" t="inlineStr"/>
      <c r="R413" t="inlineStr"/>
      <c r="S413" t="inlineStr"/>
      <c r="U413">
        <f>290*U412/1000</f>
        <v/>
      </c>
    </row>
    <row r="414">
      <c r="A414">
        <f>Skills!A5</f>
        <v/>
      </c>
      <c r="B414">
        <f>Skills!B5</f>
        <v/>
      </c>
      <c r="C414">
        <f>Inputs!$B$3&gt;=117</f>
        <v/>
      </c>
      <c r="D414">
        <f>IF(Skills!C5=1,60+Inputs!$B$26+Inputs!$B$30,IF(Skills!C5=2,90+Inputs!$B$27+Inputs!$B$30,IF(Skills!C5=3,120+Inputs!$B$28+Inputs!$B$30,MAX(0,(Inputs!$B$3-100)*3)+Inputs!$B$29+Inputs!$B$30)))</f>
        <v/>
      </c>
      <c r="E414">
        <f>INDEX(FactorTable!$B$2:$Y$301, MATCH(ROUND(MIN(300,MAX(1,D414)),0), FactorTable!$A$2:$A$301,0), Skills!M5+1)</f>
        <v/>
      </c>
      <c r="F414">
        <f>IF(Skills!N5=TRUE,(Skills!L5/10)*(E414/1000),Skills!L5/10)+Skills!O5</f>
        <v/>
      </c>
      <c r="G414">
        <f>Skills!G5*IF(Skills!H5&gt;0,INT(IF(Inputs!$B$39="pvp",MIN(Skills!I5,15),Skills!I5)/Skills!H5+0.000000001),1)</f>
        <v/>
      </c>
      <c r="H414">
        <f>1-(1-Skills!J5/100)^Skills!K5</f>
        <v/>
      </c>
      <c r="I414" t="inlineStr">
        <is>
          <t>1</t>
        </is>
      </c>
      <c r="J414">
        <f>((Inputs!$B$6*(1+Inputs!$B$7/100))+(((Inputs!$B$13*(1+Inputs!$B$14/100))-(Inputs!$B$13*(1+Inputs!$B$14/100)))+0.25*(Inputs!$B$15-Inputs!$B$15))*(1+Inputs!$B$7/100))*(F414/100)</f>
        <v/>
      </c>
      <c r="K414">
        <f>J414*(1+(((Inputs!$B$13+IF(Inputs!$B$3&gt;=38,(10*INDEX(FactorTable!$B$2:$Y$301, MATCH(ROUND(MIN(300,MAX(1,Inputs!$B$3)),0), FactorTable!$A$2:$A$301,0), 23)/1000)/100*(Inputs!$B$8*(1+Inputs!$B$9/100)),0))*(1+Inputs!$B$14/100))*0.01+Inputs!$B$15*0.0025)/100)*(1+Inputs!$B$16/100)*(1+Inputs!$B$17/100)*(5000/(6000+Inputs!$B$43*(1-(Inputs!$B$20+0)/100)))*(1+(Inputs!$B$25+((C434=TRUE)*(F434-Calc!F25))+((C435=TRUE)*(F435-Calc!F26))+B444)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gt;=100),MIN(100,((Inputs!$B$10+0+B438+(ArtifactsInput!$M$24-ArtifactsInput!$M$24)*CHOOSE(ArtifactsInput!$N$24+1,10,12,14,16,18,20)+IF(ArtifactsInput!$M$10,CHOOSE(ArtifactsInput!$N$10+1,15,18,21,24,27,30)*(IF(Inputs!$B$39="pvp",MIN(15,15)/15,IF(AND(Inputs!$B$39&lt;&gt;"pvp",Inputs!$B$44&gt;0),MIN(15,Inputs!$B$44)/(Inputs!$B$44),0))),0)))-100),0))*CHOOSE(ArtifactsInput!$N$42+1,0.6,0.72,0.84,0.96,1.08,1.2))),Inputs!$B$19+((C432=TRUE)*(F432-Calc!F23))+(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gt;=100),CHOOSE(ArtifactsInput!$N$42+1,40,48,56,64,72,80),0))))/100)*((1+(((C422=TRUE)*F422*IF(AND(Inputs!$B$39&lt;&gt;"pvp",Inputs!$B$44&gt;0),(((R422-1)*MIN((Skills!T13*(1+Inputs!$B$35/100)),(1/Q422))+MIN((Skills!T13*(1+Inputs!$B$35/100)),MAX(0,Inputs!$B$44-((R422-1)*(1/Q422)))))/Inputs!$B$44),IF(Inputs!$B$39="pvp",MIN((Skills!T13*(1+Inputs!$B$35/100)),15)/15,MIN(1,(Skills!T13*(1+Inputs!$B$35/100))/(1/Q422)))))+((C423=TRUE)*F423*IF(AND(Inputs!$B$39&lt;&gt;"pvp",Inputs!$B$44&gt;0),(((R423-1)*MIN((Skills!T14*(1+Inputs!$B$35/100)),(1/Q423))+MIN((Skills!T14*(1+Inputs!$B$35/100)),MAX(0,Inputs!$B$44-((R423-1)*(1/Q423)))))/Inputs!$B$44),IF(Inputs!$B$39="pvp",MIN((Skills!T14*(1+Inputs!$B$35/100)),15)/15,MIN(1,(Skills!T14*(1+Inputs!$B$35/100))/(1/Q423)))))+((C424=TRUE)*F424*IF(AND(Inputs!$B$39&lt;&gt;"pvp",Inputs!$B$44&gt;0),(((R424-1)*MIN((Skills!T15*(1+Inputs!$B$35/100)),(1/Q424))+MIN((Skills!T15*(1+Inputs!$B$35/100)),MAX(0,Inputs!$B$44-((R424-1)*(1/Q424)))))/Inputs!$B$44),IF(Inputs!$B$39="pvp",MIN((Skills!T15*(1+Inputs!$B$35/100)),15)/15,MIN(1,(Skills!T15*(1+Inputs!$B$35/100))/(1/Q424)))))+((C425=TRUE)*F425*IF(AND(Inputs!$B$39&lt;&gt;"pvp",Inputs!$B$44&gt;0),(((R425-1)*MIN((Skills!T16*(1+Inputs!$B$35/100)),(1/Q425))+MIN((Skills!T16*(1+Inputs!$B$35/100)),MAX(0,Inputs!$B$44-((R425-1)*(1/Q425)))))/Inputs!$B$44),IF(Inputs!$B$39="pvp",MIN((Skills!T16*(1+Inputs!$B$35/100)),15)/15,MIN(1,(Skills!T16*(1+Inputs!$B$35/100))/(1/Q425)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414)</f>
        <v/>
      </c>
      <c r="L414">
        <f>K414*(MIN(Inputs!$B$23+((C431=TRUE)*(F431-Calc!F22)),(Inputs!$B$24+((C433=TRUE)*(F433-Calc!F24))+(IF(ArtifactsInput!$M$15,CHOOSE(ArtifactsInput!$N$15+1,25,30,35,40,45,50)/100*(Inputs!$B$12-Inputs!$B$12),0))))/100+(Inputs!$B$24+((C433=TRUE)*(F433-Calc!F24))+(IF(ArtifactsInput!$M$15,CHOOSE(ArtifactsInput!$N$15+1,25,30,35,40,45,50)/100*(Inputs!$B$12-Inputs!$B$12),0)))/100)/2</f>
        <v/>
      </c>
      <c r="M414">
        <f>L414*(1+(Inputs!$B$11+0+B443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414">
        <f>L414*(1-MIN((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414*(MIN((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14">
        <f>(1-Summary!$B$11)*T414+Summary!$B$11*V414</f>
        <v/>
      </c>
      <c r="P414">
        <f>IF(B448=0,0,O414/B448)</f>
        <v/>
      </c>
      <c r="Q414">
        <f>IFERROR(1/IF(Inputs!$B$39="pvp",15,MAX(0.1,Skills!D5-IF(TRUE=TRUE,Inputs!$B$33,0))),0)</f>
        <v/>
      </c>
      <c r="R414">
        <f>IF(AND(Inputs!$B$39&lt;&gt;"pvp",Inputs!$B$44&gt;0),IF(MAX(0,Inputs!$B$44-B445)&lt;=0,0,(INT(MAX(0,Inputs!$B$44-B445)/IF(Inputs!$B$39="pvp",15,MAX(0.1,Skills!D5-IF(TRUE=TRUE,Inputs!$B$33,0))))+1)),0)</f>
        <v/>
      </c>
      <c r="S414">
        <f>IFERROR(O414/N414,0)</f>
        <v/>
      </c>
      <c r="T414">
        <f>IF(C414,(H414*N414*IF(AND(Inputs!$B$39&lt;&gt;"pvp",Inputs!$B$44&gt;0),((Skills!G5*((R414-1)*IF(Skills!H5&gt;0,INT(Skills!I5/Skills!H5+0.000000001),1)+IF(Skills!H5&gt;0,INT(MIN(Skills!I5,MAX(0,MAX(0,Inputs!$B$44-B445)-((R414-1)*IF(Inputs!$B$39="pvp",15,MAX(0.1,Skills!D5-IF(TRUE=TRUE,Inputs!$B$33,0))))))/Skills!H5+0.000000001),1)))/Inputs!$B$44),G414*Q414))*IF(Inputs!$B$39="pvp",1,1+(Inputs!$B$21+0+Skills!P5+((C426=TRUE)*F426*IF(AND(Inputs!$B$39&lt;&gt;"pvp",Inputs!$B$44&gt;0),(((R426-1)*MIN((Skills!T17*(1+Inputs!$B$35/100)),(1/Q426))+MIN((Skills!T17*(1+Inputs!$B$35/100)),MAX(0,Inputs!$B$44-((R426-1)*(1/Q426)))))/Inputs!$B$44),IF(Inputs!$B$39="pvp",MIN((Skills!T17*(1+Inputs!$B$35/100)),15)/15,MIN(1,(Skills!T17*(1+Inputs!$B$35/100))/(1/Q426)))))+((C414=TRUE)*IF(Inputs!$B$3&gt;=126,10*MIN(1,15*Q414),0))+((C423=TRUE)*IF(Inputs!$B$39="pvp",20,(1-Summary!$B$11)*(20)+Summary!$B$11*(0))*IF(AND(Inputs!$B$39&lt;&gt;"pvp",Inputs!$B$44&gt;0),(((R423-1)*MIN((Skills!T14*(1+Inputs!$B$35/100)),(1/Q423))+MIN((Skills!T14*(1+Inputs!$B$35/100)),MAX(0,Inputs!$B$44-((R423-1)*(1/Q423)))))/Inputs!$B$44),IF(Inputs!$B$39="pvp",MIN((Skills!T14*(1+Inputs!$B$35/100)),15)/15,MIN(1,(Skills!T14*(1+Inputs!$B$35/100))/(1/Q423)))))+((C422=TRUE)*IF(Inputs!$B$3&gt;=82,IF(Inputs!$B$39="pvp",20,(1-Summary!$B$11)*(20)+Summary!$B$11*(0)),0)*IF(AND(Inputs!$B$39&lt;&gt;"pvp",Inputs!$B$44&gt;0),(((R422-1)*MIN((Skills!T13*(1+Inputs!$B$35/100)),(1/Q422))+MIN((Skills!T13*(1+Inputs!$B$35/100)),MAX(0,Inputs!$B$44-((R422-1)*(1/Q422)))))/Inputs!$B$44),IF(Inputs!$B$39="pvp",MIN((Skills!T13*(1+Inputs!$B$35/100)),15)/15,MIN(1,(Skills!T13*(1+Inputs!$B$35/100))/(1/Q422)))))+(IF(AND(ArtifactsInput!$M$35,Inputs!$B$4&lt;&gt;"Chapter Hunt"),CHOOSE(ArtifactsInput!$N$35+1,15,18,21,24,27,30)*(1-EXP(-(0.2*B440)*5)),0)+IF(AND(ArtifactsInput!$M$22,Inputs!$B$4&lt;&gt;"Chapter Hunt"),CHOOSE(ArtifactsInput!$N$22+1,10,12,14,16,18,20)*((0*(((0.15*B440*5))^0/1)+1*(((0.15*B440*5))^1/1)+2*(((0.15*B440*5))^2/2)+3*(((0.15*B440*5))^3/6)+4*(((0.15*B440*5))^4/24)+5*(((0.15*B440*5))^5/120))/((((0.15*B440*5))^0/1)+(((0.15*B440*5))^1/1)+(((0.15*B440*5))^2/2)+(((0.15*B440*5))^3/6)+(((0.15*B440*5))^4/24)+(((0.15*B440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414*(1-MIN(100,(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414*(MIN(100,(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414*(1-MIN(100,(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414*(MIN(100,(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14">
        <f>IF(C414,(H414*N414*IF(AND(Inputs!$B$39&lt;&gt;"pvp",Inputs!$B$44&gt;0),((Skills!G5*((R414-1)*IF(Skills!H5&gt;0,INT(Skills!I5/Skills!H5+0.000000001),1)+IF(Skills!H5&gt;0,INT(MIN(Skills!I5,MAX(0,MAX(0,Inputs!$B$44-B445)-((R414-1)*IF(Inputs!$B$39="pvp",15,MAX(0.1,Skills!D5-IF(TRUE=TRUE,Inputs!$B$33,0))))))/Skills!H5+0.000000001),1)))/Inputs!$B$44),G414*Q414))*IF(Inputs!$B$39="pvp",1,(1+((Inputs!$B$22+1)+Skills!Q5+((C426=TRUE)*F426*IF(AND(Inputs!$B$39&lt;&gt;"pvp",Inputs!$B$44&gt;0),(((R426-1)*MIN((Skills!T17*(1+Inputs!$B$35/100)),(1/Q426))+MIN((Skills!T17*(1+Inputs!$B$35/100)),MAX(0,Inputs!$B$44-((R426-1)*(1/Q426)))))/Inputs!$B$44),IF(Inputs!$B$39="pvp",MIN((Skills!T17*(1+Inputs!$B$35/100)),15)/15,MIN(1,(Skills!T17*(1+Inputs!$B$35/100))/(1/Q426)))))+((C414=TRUE)*IF(Inputs!$B$3&gt;=126,10*MIN(1,15*Q414),0))+((C423=TRUE)*IF(Inputs!$B$39="pvp",20,(1-Summary!$B$11)*(20)+Summary!$B$11*(0))*IF(AND(Inputs!$B$39&lt;&gt;"pvp",Inputs!$B$44&gt;0),(((R423-1)*MIN((Skills!T14*(1+Inputs!$B$35/100)),(1/Q423))+MIN((Skills!T14*(1+Inputs!$B$35/100)),MAX(0,Inputs!$B$44-((R423-1)*(1/Q423)))))/Inputs!$B$44),IF(Inputs!$B$39="pvp",MIN((Skills!T14*(1+Inputs!$B$35/100)),15)/15,MIN(1,(Skills!T14*(1+Inputs!$B$35/100))/(1/Q423)))))+((C422=TRUE)*IF(Inputs!$B$3&gt;=82,IF(Inputs!$B$39="pvp",20,(1-Summary!$B$11)*(20)+Summary!$B$11*(0)),0)*IF(AND(Inputs!$B$39&lt;&gt;"pvp",Inputs!$B$44&gt;0),(((R422-1)*MIN((Skills!T13*(1+Inputs!$B$35/100)),(1/Q422))+MIN((Skills!T13*(1+Inputs!$B$35/100)),MAX(0,Inputs!$B$44-((R422-1)*(1/Q422)))))/Inputs!$B$44),IF(Inputs!$B$39="pvp",MIN((Skills!T13*(1+Inputs!$B$35/100)),15)/15,MIN(1,(Skills!T13*(1+Inputs!$B$35/100))/(1/Q422)))))+(IF(AND(ArtifactsInput!$M$35,Inputs!$B$4&lt;&gt;"Chapter Hunt"),CHOOSE(ArtifactsInput!$N$35+1,15,18,21,24,27,30)*(1-EXP(-(0.2*B440)*5)),0)+IF(AND(ArtifactsInput!$M$22,Inputs!$B$4&lt;&gt;"Chapter Hunt"),CHOOSE(ArtifactsInput!$N$22+1,10,12,14,16,18,20)*((0*(((0.15*B440*5))^0/1)+1*(((0.15*B440*5))^1/1)+2*(((0.15*B440*5))^2/2)+3*(((0.15*B440*5))^3/6)+4*(((0.15*B440*5))^4/24)+5*(((0.15*B440*5))^5/120))/((((0.15*B440*5))^0/1)+(((0.15*B440*5))^1/1)+(((0.15*B440*5))^2/2)+(((0.15*B440*5))^3/6)+(((0.15*B440*5))^4/24)+(((0.15*B440*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15">
      <c r="A415">
        <f>Skills!A6</f>
        <v/>
      </c>
      <c r="B415">
        <f>Skills!B6</f>
        <v/>
      </c>
      <c r="C415">
        <f>Inputs!$B$3&gt;=103</f>
        <v/>
      </c>
      <c r="D415">
        <f>IF(Skills!C6=1,60+Inputs!$B$26+Inputs!$B$30,IF(Skills!C6=2,90+Inputs!$B$27+Inputs!$B$30,IF(Skills!C6=3,120+Inputs!$B$28+Inputs!$B$30,MAX(0,(Inputs!$B$3-100)*3)+Inputs!$B$29+Inputs!$B$30)))</f>
        <v/>
      </c>
      <c r="E415">
        <f>INDEX(FactorTable!$B$2:$Y$301, MATCH(ROUND(MIN(300,MAX(1,D415)),0), FactorTable!$A$2:$A$301,0), Skills!M6+1)</f>
        <v/>
      </c>
      <c r="F415">
        <f>IF(Skills!N6=TRUE,(Skills!L6/10)*(E415/1000),Skills!L6/10)+Skills!O6</f>
        <v/>
      </c>
      <c r="G415">
        <f>Skills!G6*IF(Skills!H6&gt;0,INT(IF(Inputs!$B$39="pvp",MIN(Skills!I6,15),Skills!I6)/Skills!H6+0.000000001),1)</f>
        <v/>
      </c>
      <c r="H415">
        <f>1-(1-Skills!J6/100)^Skills!K6</f>
        <v/>
      </c>
      <c r="I415" t="inlineStr">
        <is>
          <t>1</t>
        </is>
      </c>
      <c r="J415">
        <f>((Inputs!$B$6*(1+Inputs!$B$7/100))+(((Inputs!$B$13*(1+Inputs!$B$14/100))-(Inputs!$B$13*(1+Inputs!$B$14/100)))+0.25*(Inputs!$B$15-Inputs!$B$15))*(1+Inputs!$B$7/100))*(F415/100)</f>
        <v/>
      </c>
      <c r="K415">
        <f>J415*(1+(((Inputs!$B$13+IF(Inputs!$B$3&gt;=38,(10*INDEX(FactorTable!$B$2:$Y$301, MATCH(ROUND(MIN(300,MAX(1,Inputs!$B$3)),0), FactorTable!$A$2:$A$301,0), 23)/1000)/100*(Inputs!$B$8*(1+Inputs!$B$9/100)),0))*(1+Inputs!$B$14/100))*0.01+Inputs!$B$15*0.0025)/100)*(1+Inputs!$B$16/100)*(1+Inputs!$B$17/100)*(5000/(6000+Inputs!$B$43*(1-(Inputs!$B$20+0)/100)))*(1+(Inputs!$B$25+((C434=TRUE)*(F434-Calc!F25))+((C435=TRUE)*(F435-Calc!F26))+B444)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gt;=100),MIN(100,((Inputs!$B$10+0+B438+(ArtifactsInput!$M$24-ArtifactsInput!$M$24)*CHOOSE(ArtifactsInput!$N$24+1,10,12,14,16,18,20)+IF(ArtifactsInput!$M$10,CHOOSE(ArtifactsInput!$N$10+1,15,18,21,24,27,30)*(IF(Inputs!$B$39="pvp",MIN(15,15)/15,IF(AND(Inputs!$B$39&lt;&gt;"pvp",Inputs!$B$44&gt;0),MIN(15,Inputs!$B$44)/(Inputs!$B$44),0))),0)))-100),0))*CHOOSE(ArtifactsInput!$N$42+1,0.6,0.72,0.84,0.96,1.08,1.2))),Inputs!$B$19+((C432=TRUE)*(F432-Calc!F23))+(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gt;=100),CHOOSE(ArtifactsInput!$N$42+1,40,48,56,64,72,80),0))))/100)*((1+(((C422=TRUE)*F422*IF(AND(Inputs!$B$39&lt;&gt;"pvp",Inputs!$B$44&gt;0),(((R422-1)*MIN((Skills!T13*(1+Inputs!$B$35/100)),(1/Q422))+MIN((Skills!T13*(1+Inputs!$B$35/100)),MAX(0,Inputs!$B$44-((R422-1)*(1/Q422)))))/Inputs!$B$44),IF(Inputs!$B$39="pvp",MIN((Skills!T13*(1+Inputs!$B$35/100)),15)/15,MIN(1,(Skills!T13*(1+Inputs!$B$35/100))/(1/Q422)))))+((C423=TRUE)*F423*IF(AND(Inputs!$B$39&lt;&gt;"pvp",Inputs!$B$44&gt;0),(((R423-1)*MIN((Skills!T14*(1+Inputs!$B$35/100)),(1/Q423))+MIN((Skills!T14*(1+Inputs!$B$35/100)),MAX(0,Inputs!$B$44-((R423-1)*(1/Q423)))))/Inputs!$B$44),IF(Inputs!$B$39="pvp",MIN((Skills!T14*(1+Inputs!$B$35/100)),15)/15,MIN(1,(Skills!T14*(1+Inputs!$B$35/100))/(1/Q423)))))+((C424=TRUE)*F424*IF(AND(Inputs!$B$39&lt;&gt;"pvp",Inputs!$B$44&gt;0),(((R424-1)*MIN((Skills!T15*(1+Inputs!$B$35/100)),(1/Q424))+MIN((Skills!T15*(1+Inputs!$B$35/100)),MAX(0,Inputs!$B$44-((R424-1)*(1/Q424)))))/Inputs!$B$44),IF(Inputs!$B$39="pvp",MIN((Skills!T15*(1+Inputs!$B$35/100)),15)/15,MIN(1,(Skills!T15*(1+Inputs!$B$35/100))/(1/Q424)))))+((C425=TRUE)*F425*IF(AND(Inputs!$B$39&lt;&gt;"pvp",Inputs!$B$44&gt;0),(((R425-1)*MIN((Skills!T16*(1+Inputs!$B$35/100)),(1/Q425))+MIN((Skills!T16*(1+Inputs!$B$35/100)),MAX(0,Inputs!$B$44-((R425-1)*(1/Q425)))))/Inputs!$B$44),IF(Inputs!$B$39="pvp",MIN((Skills!T16*(1+Inputs!$B$35/100)),15)/15,MIN(1,(Skills!T16*(1+Inputs!$B$35/100))/(1/Q425)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415)</f>
        <v/>
      </c>
      <c r="L415">
        <f>K415*(MIN(Inputs!$B$23+((C431=TRUE)*(F431-Calc!F22)),(Inputs!$B$24+((C433=TRUE)*(F433-Calc!F24))+(IF(ArtifactsInput!$M$15,CHOOSE(ArtifactsInput!$N$15+1,25,30,35,40,45,50)/100*(Inputs!$B$12-Inputs!$B$12),0))))/100+(Inputs!$B$24+((C433=TRUE)*(F433-Calc!F24))+(IF(ArtifactsInput!$M$15,CHOOSE(ArtifactsInput!$N$15+1,25,30,35,40,45,50)/100*(Inputs!$B$12-Inputs!$B$12),0)))/100)/2</f>
        <v/>
      </c>
      <c r="M415">
        <f>L415*(1+(Inputs!$B$11+0+B443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415">
        <f>L415*(1-MIN((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415*(MIN((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15">
        <f>(1-Summary!$B$11)*T415+Summary!$B$11*V415</f>
        <v/>
      </c>
      <c r="P415">
        <f>IF(B448=0,0,O415/B448)</f>
        <v/>
      </c>
      <c r="Q415">
        <f>IFERROR(1/IF(Inputs!$B$39="pvp",15,MAX(0.1,Skills!D6-IF(TRUE=TRUE,Inputs!$B$33,0))),0)</f>
        <v/>
      </c>
      <c r="R415">
        <f>IF(AND(Inputs!$B$39&lt;&gt;"pvp",Inputs!$B$44&gt;0),IF(MAX(0,Inputs!$B$44-B445)&lt;=0,0,(INT(MAX(0,Inputs!$B$44-B445)/IF(Inputs!$B$39="pvp",15,MAX(0.1,Skills!D6-IF(TRUE=TRUE,Inputs!$B$33,0))))+1)),0)</f>
        <v/>
      </c>
      <c r="S415">
        <f>IFERROR(O415/N415,0)</f>
        <v/>
      </c>
      <c r="T415">
        <f>IF(C415,(H415*N415*IF(AND(Inputs!$B$39&lt;&gt;"pvp",Inputs!$B$44&gt;0),((Skills!G6*((R415-1)*IF(Skills!H6&gt;0,INT(Skills!I6/Skills!H6+0.000000001),1)+IF(Skills!H6&gt;0,INT(MIN(Skills!I6,MAX(0,MAX(0,Inputs!$B$44-B445)-((R415-1)*IF(Inputs!$B$39="pvp",15,MAX(0.1,Skills!D6-IF(TRUE=TRUE,Inputs!$B$33,0))))))/Skills!H6+0.000000001),1)))/Inputs!$B$44),G415*Q415))*IF(Inputs!$B$39="pvp",1,1+(Inputs!$B$21+0+Skills!P6+((C426=TRUE)*F426*IF(AND(Inputs!$B$39&lt;&gt;"pvp",Inputs!$B$44&gt;0),(((R426-1)*MIN((Skills!T17*(1+Inputs!$B$35/100)),(1/Q426))+MIN((Skills!T17*(1+Inputs!$B$35/100)),MAX(0,Inputs!$B$44-((R426-1)*(1/Q426)))))/Inputs!$B$44),IF(Inputs!$B$39="pvp",MIN((Skills!T17*(1+Inputs!$B$35/100)),15)/15,MIN(1,(Skills!T17*(1+Inputs!$B$35/100))/(1/Q426)))))+((C414=TRUE)*IF(Inputs!$B$3&gt;=126,10*MIN(1,15*Q414),0))+((C423=TRUE)*IF(Inputs!$B$39="pvp",20,(1-Summary!$B$11)*(20)+Summary!$B$11*(0))*IF(AND(Inputs!$B$39&lt;&gt;"pvp",Inputs!$B$44&gt;0),(((R423-1)*MIN((Skills!T14*(1+Inputs!$B$35/100)),(1/Q423))+MIN((Skills!T14*(1+Inputs!$B$35/100)),MAX(0,Inputs!$B$44-((R423-1)*(1/Q423)))))/Inputs!$B$44),IF(Inputs!$B$39="pvp",MIN((Skills!T14*(1+Inputs!$B$35/100)),15)/15,MIN(1,(Skills!T14*(1+Inputs!$B$35/100))/(1/Q423)))))+((C422=TRUE)*IF(Inputs!$B$3&gt;=82,IF(Inputs!$B$39="pvp",20,(1-Summary!$B$11)*(20)+Summary!$B$11*(0)),0)*IF(AND(Inputs!$B$39&lt;&gt;"pvp",Inputs!$B$44&gt;0),(((R422-1)*MIN((Skills!T13*(1+Inputs!$B$35/100)),(1/Q422))+MIN((Skills!T13*(1+Inputs!$B$35/100)),MAX(0,Inputs!$B$44-((R422-1)*(1/Q422)))))/Inputs!$B$44),IF(Inputs!$B$39="pvp",MIN((Skills!T13*(1+Inputs!$B$35/100)),15)/15,MIN(1,(Skills!T13*(1+Inputs!$B$35/100))/(1/Q422)))))+(IF(AND(ArtifactsInput!$M$35,Inputs!$B$4&lt;&gt;"Chapter Hunt"),CHOOSE(ArtifactsInput!$N$35+1,15,18,21,24,27,30)*(1-EXP(-(0.2*B440)*5)),0)+IF(AND(ArtifactsInput!$M$22,Inputs!$B$4&lt;&gt;"Chapter Hunt"),CHOOSE(ArtifactsInput!$N$22+1,10,12,14,16,18,20)*((0*(((0.15*B440*5))^0/1)+1*(((0.15*B440*5))^1/1)+2*(((0.15*B440*5))^2/2)+3*(((0.15*B440*5))^3/6)+4*(((0.15*B440*5))^4/24)+5*(((0.15*B440*5))^5/120))/((((0.15*B440*5))^0/1)+(((0.15*B440*5))^1/1)+(((0.15*B440*5))^2/2)+(((0.15*B440*5))^3/6)+(((0.15*B440*5))^4/24)+(((0.15*B440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415*(1-MIN(100,(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415*(MIN(100,(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415*(1-MIN(100,(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415*(MIN(100,(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15">
        <f>IF(C415,(H415*N415*IF(AND(Inputs!$B$39&lt;&gt;"pvp",Inputs!$B$44&gt;0),((Skills!G6*((R415-1)*IF(Skills!H6&gt;0,INT(Skills!I6/Skills!H6+0.000000001),1)+IF(Skills!H6&gt;0,INT(MIN(Skills!I6,MAX(0,MAX(0,Inputs!$B$44-B445)-((R415-1)*IF(Inputs!$B$39="pvp",15,MAX(0.1,Skills!D6-IF(TRUE=TRUE,Inputs!$B$33,0))))))/Skills!H6+0.000000001),1)))/Inputs!$B$44),G415*Q415))*IF(Inputs!$B$39="pvp",1,(1+((Inputs!$B$22+1)+Skills!Q6+((C426=TRUE)*F426*IF(AND(Inputs!$B$39&lt;&gt;"pvp",Inputs!$B$44&gt;0),(((R426-1)*MIN((Skills!T17*(1+Inputs!$B$35/100)),(1/Q426))+MIN((Skills!T17*(1+Inputs!$B$35/100)),MAX(0,Inputs!$B$44-((R426-1)*(1/Q426)))))/Inputs!$B$44),IF(Inputs!$B$39="pvp",MIN((Skills!T17*(1+Inputs!$B$35/100)),15)/15,MIN(1,(Skills!T17*(1+Inputs!$B$35/100))/(1/Q426)))))+((C414=TRUE)*IF(Inputs!$B$3&gt;=126,10*MIN(1,15*Q414),0))+((C423=TRUE)*IF(Inputs!$B$39="pvp",20,(1-Summary!$B$11)*(20)+Summary!$B$11*(0))*IF(AND(Inputs!$B$39&lt;&gt;"pvp",Inputs!$B$44&gt;0),(((R423-1)*MIN((Skills!T14*(1+Inputs!$B$35/100)),(1/Q423))+MIN((Skills!T14*(1+Inputs!$B$35/100)),MAX(0,Inputs!$B$44-((R423-1)*(1/Q423)))))/Inputs!$B$44),IF(Inputs!$B$39="pvp",MIN((Skills!T14*(1+Inputs!$B$35/100)),15)/15,MIN(1,(Skills!T14*(1+Inputs!$B$35/100))/(1/Q423)))))+((C422=TRUE)*IF(Inputs!$B$3&gt;=82,IF(Inputs!$B$39="pvp",20,(1-Summary!$B$11)*(20)+Summary!$B$11*(0)),0)*IF(AND(Inputs!$B$39&lt;&gt;"pvp",Inputs!$B$44&gt;0),(((R422-1)*MIN((Skills!T13*(1+Inputs!$B$35/100)),(1/Q422))+MIN((Skills!T13*(1+Inputs!$B$35/100)),MAX(0,Inputs!$B$44-((R422-1)*(1/Q422)))))/Inputs!$B$44),IF(Inputs!$B$39="pvp",MIN((Skills!T13*(1+Inputs!$B$35/100)),15)/15,MIN(1,(Skills!T13*(1+Inputs!$B$35/100))/(1/Q422)))))+(IF(AND(ArtifactsInput!$M$35,Inputs!$B$4&lt;&gt;"Chapter Hunt"),CHOOSE(ArtifactsInput!$N$35+1,15,18,21,24,27,30)*(1-EXP(-(0.2*B440)*5)),0)+IF(AND(ArtifactsInput!$M$22,Inputs!$B$4&lt;&gt;"Chapter Hunt"),CHOOSE(ArtifactsInput!$N$22+1,10,12,14,16,18,20)*((0*(((0.15*B440*5))^0/1)+1*(((0.15*B440*5))^1/1)+2*(((0.15*B440*5))^2/2)+3*(((0.15*B440*5))^3/6)+4*(((0.15*B440*5))^4/24)+5*(((0.15*B440*5))^5/120))/((((0.15*B440*5))^0/1)+(((0.15*B440*5))^1/1)+(((0.15*B440*5))^2/2)+(((0.15*B440*5))^3/6)+(((0.15*B440*5))^4/24)+(((0.15*B440*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16">
      <c r="A416">
        <f>Skills!A7</f>
        <v/>
      </c>
      <c r="B416">
        <f>Skills!B7</f>
        <v/>
      </c>
      <c r="C416">
        <f>Inputs!$B$3&gt;=40</f>
        <v/>
      </c>
      <c r="D416">
        <f>IF(Skills!C7=1,60+Inputs!$B$26+Inputs!$B$30,IF(Skills!C7=2,90+Inputs!$B$27+Inputs!$B$30,IF(Skills!C7=3,120+Inputs!$B$28+Inputs!$B$30,MAX(0,(Inputs!$B$3-100)*3)+Inputs!$B$29+Inputs!$B$30)))</f>
        <v/>
      </c>
      <c r="E416">
        <f>INDEX(FactorTable!$B$2:$Y$301, MATCH(ROUND(MIN(300,MAX(1,D416)),0), FactorTable!$A$2:$A$301,0), Skills!M7+1)</f>
        <v/>
      </c>
      <c r="F416">
        <f>IF(Skills!N7=TRUE,(Skills!L7/10)*(E416/1000),Skills!L7/10)+Skills!O7</f>
        <v/>
      </c>
      <c r="G416">
        <f>Skills!G7*IF(Skills!H7&gt;0,INT(IF(Inputs!$B$39="pvp",MIN(Skills!I7,15),Skills!I7)/Skills!H7+0.000000001),1)</f>
        <v/>
      </c>
      <c r="H416">
        <f>1-(1-Skills!J7/100)^Skills!K7</f>
        <v/>
      </c>
      <c r="I416" t="inlineStr">
        <is>
          <t>1</t>
        </is>
      </c>
      <c r="J416">
        <f>((Inputs!$B$6*(1+Inputs!$B$7/100))+(((Inputs!$B$13*(1+Inputs!$B$14/100))-(Inputs!$B$13*(1+Inputs!$B$14/100)))+0.25*(Inputs!$B$15-Inputs!$B$15))*(1+Inputs!$B$7/100))*(F416/100)</f>
        <v/>
      </c>
      <c r="K416">
        <f>J416*(1+(((Inputs!$B$13+IF(Inputs!$B$3&gt;=38,(10*INDEX(FactorTable!$B$2:$Y$301, MATCH(ROUND(MIN(300,MAX(1,Inputs!$B$3)),0), FactorTable!$A$2:$A$301,0), 23)/1000)/100*(Inputs!$B$8*(1+Inputs!$B$9/100)),0))*(1+Inputs!$B$14/100))*0.01+Inputs!$B$15*0.0025)/100)*(1+Inputs!$B$16/100)*(1+Inputs!$B$17/100)*(5000/(6000+Inputs!$B$43*(1-(Inputs!$B$20+0)/100)))*(1+(Inputs!$B$25+((C434=TRUE)*(F434-Calc!F25))+((C435=TRUE)*(F435-Calc!F26))+B444)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420=TRUE,F420,0)/100)*(1+(IF(Skills!A7="DARK_IMPALE",Inputs!$B$18+0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gt;=100),MIN(100,((Inputs!$B$10+0+B438+(ArtifactsInput!$M$24-ArtifactsInput!$M$24)*CHOOSE(ArtifactsInput!$N$24+1,10,12,14,16,18,20)+IF(ArtifactsInput!$M$10,CHOOSE(ArtifactsInput!$N$10+1,15,18,21,24,27,30)*(IF(Inputs!$B$39="pvp",MIN(15,15)/15,IF(AND(Inputs!$B$39&lt;&gt;"pvp",Inputs!$B$44&gt;0),MIN(15,Inputs!$B$44)/(Inputs!$B$44),0))),0)))-100),0))*CHOOSE(ArtifactsInput!$N$42+1,0.6,0.72,0.84,0.96,1.08,1.2))),Inputs!$B$19+((C432=TRUE)*(F432-Calc!F23))+(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gt;=100),CHOOSE(ArtifactsInput!$N$42+1,40,48,56,64,72,80),0))))/100)*((1+(((C422=TRUE)*F422*IF(AND(Inputs!$B$39&lt;&gt;"pvp",Inputs!$B$44&gt;0),(((R422-1)*MIN((Skills!T13*(1+Inputs!$B$35/100)),(1/Q422))+MIN((Skills!T13*(1+Inputs!$B$35/100)),MAX(0,Inputs!$B$44-((R422-1)*(1/Q422)))))/Inputs!$B$44),IF(Inputs!$B$39="pvp",MIN((Skills!T13*(1+Inputs!$B$35/100)),15)/15,MIN(1,(Skills!T13*(1+Inputs!$B$35/100))/(1/Q422)))))+((C423=TRUE)*F423*IF(AND(Inputs!$B$39&lt;&gt;"pvp",Inputs!$B$44&gt;0),(((R423-1)*MIN((Skills!T14*(1+Inputs!$B$35/100)),(1/Q423))+MIN((Skills!T14*(1+Inputs!$B$35/100)),MAX(0,Inputs!$B$44-((R423-1)*(1/Q423)))))/Inputs!$B$44),IF(Inputs!$B$39="pvp",MIN((Skills!T14*(1+Inputs!$B$35/100)),15)/15,MIN(1,(Skills!T14*(1+Inputs!$B$35/100))/(1/Q423)))))+((C424=TRUE)*F424*IF(AND(Inputs!$B$39&lt;&gt;"pvp",Inputs!$B$44&gt;0),(((R424-1)*MIN((Skills!T15*(1+Inputs!$B$35/100)),(1/Q424))+MIN((Skills!T15*(1+Inputs!$B$35/100)),MAX(0,Inputs!$B$44-((R424-1)*(1/Q424)))))/Inputs!$B$44),IF(Inputs!$B$39="pvp",MIN((Skills!T15*(1+Inputs!$B$35/100)),15)/15,MIN(1,(Skills!T15*(1+Inputs!$B$35/100))/(1/Q424)))))+((C425=TRUE)*F425*IF(AND(Inputs!$B$39&lt;&gt;"pvp",Inputs!$B$44&gt;0),(((R425-1)*MIN((Skills!T16*(1+Inputs!$B$35/100)),(1/Q425))+MIN((Skills!T16*(1+Inputs!$B$35/100)),MAX(0,Inputs!$B$44-((R425-1)*(1/Q425)))))/Inputs!$B$44),IF(Inputs!$B$39="pvp",MIN((Skills!T16*(1+Inputs!$B$35/100)),15)/15,MIN(1,(Skills!T16*(1+Inputs!$B$35/100))/(1/Q425)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416)</f>
        <v/>
      </c>
      <c r="L416">
        <f>K416*(MIN(Inputs!$B$23+((C431=TRUE)*(F431-Calc!F22)),(Inputs!$B$24+((C433=TRUE)*(F433-Calc!F24))+(IF(ArtifactsInput!$M$15,CHOOSE(ArtifactsInput!$N$15+1,25,30,35,40,45,50)/100*(Inputs!$B$12-Inputs!$B$12),0))))/100+(Inputs!$B$24+((C433=TRUE)*(F433-Calc!F24))+(IF(ArtifactsInput!$M$15,CHOOSE(ArtifactsInput!$N$15+1,25,30,35,40,45,50)/100*(Inputs!$B$12-Inputs!$B$12),0)))/100)/2</f>
        <v/>
      </c>
      <c r="M416">
        <f>L416*(1+(Inputs!$B$11+0+B443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416">
        <f>L416*(1-MIN((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416*(MIN((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16">
        <f>(1-Summary!$B$11)*T416+Summary!$B$11*V416</f>
        <v/>
      </c>
      <c r="P416">
        <f>IF(B448=0,0,O416/B448)</f>
        <v/>
      </c>
      <c r="Q416">
        <f>IFERROR(1/IF(Inputs!$B$39="pvp",15,MAX(0.1,Skills!D7-IF(TRUE=TRUE,Inputs!$B$33,0))),0)</f>
        <v/>
      </c>
      <c r="R416">
        <f>IF(AND(Inputs!$B$39&lt;&gt;"pvp",Inputs!$B$44&gt;0),IF(MAX(0,Inputs!$B$44-B445)&lt;=0,0,(INT(MAX(0,Inputs!$B$44-B445)/IF(Inputs!$B$39="pvp",15,MAX(0.1,Skills!D7-IF(TRUE=TRUE,Inputs!$B$33,0))))+1)),0)</f>
        <v/>
      </c>
      <c r="S416">
        <f>IFERROR(O416/N416,0)</f>
        <v/>
      </c>
      <c r="T416">
        <f>IF(C416,(H416*N416*IF(AND(Inputs!$B$39&lt;&gt;"pvp",Inputs!$B$44&gt;0),((Skills!G7*((R416-1)*IF(Skills!H7&gt;0,INT(Skills!I7/Skills!H7+0.000000001),1)+IF(Skills!H7&gt;0,INT(MIN(Skills!I7,MAX(0,MAX(0,Inputs!$B$44-B445)-((R416-1)*IF(Inputs!$B$39="pvp",15,MAX(0.1,Skills!D7-IF(TRUE=TRUE,Inputs!$B$33,0))))))/Skills!H7+0.000000001),1)))/Inputs!$B$44),G416*Q416))*IF(Inputs!$B$39="pvp",1,1+(Inputs!$B$21+0+Skills!P7+((C426=TRUE)*F426*IF(AND(Inputs!$B$39&lt;&gt;"pvp",Inputs!$B$44&gt;0),(((R426-1)*MIN((Skills!T17*(1+Inputs!$B$35/100)),(1/Q426))+MIN((Skills!T17*(1+Inputs!$B$35/100)),MAX(0,Inputs!$B$44-((R426-1)*(1/Q426)))))/Inputs!$B$44),IF(Inputs!$B$39="pvp",MIN((Skills!T17*(1+Inputs!$B$35/100)),15)/15,MIN(1,(Skills!T17*(1+Inputs!$B$35/100))/(1/Q426)))))+((C414=TRUE)*IF(Inputs!$B$3&gt;=126,10*MIN(1,15*Q414),0))+((C423=TRUE)*IF(Inputs!$B$39="pvp",20,(1-Summary!$B$11)*(20)+Summary!$B$11*(0))*IF(AND(Inputs!$B$39&lt;&gt;"pvp",Inputs!$B$44&gt;0),(((R423-1)*MIN((Skills!T14*(1+Inputs!$B$35/100)),(1/Q423))+MIN((Skills!T14*(1+Inputs!$B$35/100)),MAX(0,Inputs!$B$44-((R423-1)*(1/Q423)))))/Inputs!$B$44),IF(Inputs!$B$39="pvp",MIN((Skills!T14*(1+Inputs!$B$35/100)),15)/15,MIN(1,(Skills!T14*(1+Inputs!$B$35/100))/(1/Q423)))))+((C422=TRUE)*IF(Inputs!$B$3&gt;=82,IF(Inputs!$B$39="pvp",20,(1-Summary!$B$11)*(20)+Summary!$B$11*(0)),0)*IF(AND(Inputs!$B$39&lt;&gt;"pvp",Inputs!$B$44&gt;0),(((R422-1)*MIN((Skills!T13*(1+Inputs!$B$35/100)),(1/Q422))+MIN((Skills!T13*(1+Inputs!$B$35/100)),MAX(0,Inputs!$B$44-((R422-1)*(1/Q422)))))/Inputs!$B$44),IF(Inputs!$B$39="pvp",MIN((Skills!T13*(1+Inputs!$B$35/100)),15)/15,MIN(1,(Skills!T13*(1+Inputs!$B$35/100))/(1/Q422)))))+(IF(AND(ArtifactsInput!$M$35,Inputs!$B$4&lt;&gt;"Chapter Hunt"),CHOOSE(ArtifactsInput!$N$35+1,15,18,21,24,27,30)*(1-EXP(-(0.2*B440)*5)),0)+IF(AND(ArtifactsInput!$M$22,Inputs!$B$4&lt;&gt;"Chapter Hunt"),CHOOSE(ArtifactsInput!$N$22+1,10,12,14,16,18,20)*((0*(((0.15*B440*5))^0/1)+1*(((0.15*B440*5))^1/1)+2*(((0.15*B440*5))^2/2)+3*(((0.15*B440*5))^3/6)+4*(((0.15*B440*5))^4/24)+5*(((0.15*B440*5))^5/120))/((((0.15*B440*5))^0/1)+(((0.15*B440*5))^1/1)+(((0.15*B440*5))^2/2)+(((0.15*B440*5))^3/6)+(((0.15*B440*5))^4/24)+(((0.15*B440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416*(1-MIN(100,(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416*(MIN(100,(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416*(1-MIN(100,(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416*(MIN(100,(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16">
        <f>IF(C416,(H416*N416*IF(AND(Inputs!$B$39&lt;&gt;"pvp",Inputs!$B$44&gt;0),((Skills!G7*((R416-1)*IF(Skills!H7&gt;0,INT(Skills!I7/Skills!H7+0.000000001),1)+IF(Skills!H7&gt;0,INT(MIN(Skills!I7,MAX(0,MAX(0,Inputs!$B$44-B445)-((R416-1)*IF(Inputs!$B$39="pvp",15,MAX(0.1,Skills!D7-IF(TRUE=TRUE,Inputs!$B$33,0))))))/Skills!H7+0.000000001),1)))/Inputs!$B$44),G416*Q416))*IF(Inputs!$B$39="pvp",1,(1+((Inputs!$B$22+1)+Skills!Q7+((C426=TRUE)*F426*IF(AND(Inputs!$B$39&lt;&gt;"pvp",Inputs!$B$44&gt;0),(((R426-1)*MIN((Skills!T17*(1+Inputs!$B$35/100)),(1/Q426))+MIN((Skills!T17*(1+Inputs!$B$35/100)),MAX(0,Inputs!$B$44-((R426-1)*(1/Q426)))))/Inputs!$B$44),IF(Inputs!$B$39="pvp",MIN((Skills!T17*(1+Inputs!$B$35/100)),15)/15,MIN(1,(Skills!T17*(1+Inputs!$B$35/100))/(1/Q426)))))+((C414=TRUE)*IF(Inputs!$B$3&gt;=126,10*MIN(1,15*Q414),0))+((C423=TRUE)*IF(Inputs!$B$39="pvp",20,(1-Summary!$B$11)*(20)+Summary!$B$11*(0))*IF(AND(Inputs!$B$39&lt;&gt;"pvp",Inputs!$B$44&gt;0),(((R423-1)*MIN((Skills!T14*(1+Inputs!$B$35/100)),(1/Q423))+MIN((Skills!T14*(1+Inputs!$B$35/100)),MAX(0,Inputs!$B$44-((R423-1)*(1/Q423)))))/Inputs!$B$44),IF(Inputs!$B$39="pvp",MIN((Skills!T14*(1+Inputs!$B$35/100)),15)/15,MIN(1,(Skills!T14*(1+Inputs!$B$35/100))/(1/Q423)))))+((C422=TRUE)*IF(Inputs!$B$3&gt;=82,IF(Inputs!$B$39="pvp",20,(1-Summary!$B$11)*(20)+Summary!$B$11*(0)),0)*IF(AND(Inputs!$B$39&lt;&gt;"pvp",Inputs!$B$44&gt;0),(((R422-1)*MIN((Skills!T13*(1+Inputs!$B$35/100)),(1/Q422))+MIN((Skills!T13*(1+Inputs!$B$35/100)),MAX(0,Inputs!$B$44-((R422-1)*(1/Q422)))))/Inputs!$B$44),IF(Inputs!$B$39="pvp",MIN((Skills!T13*(1+Inputs!$B$35/100)),15)/15,MIN(1,(Skills!T13*(1+Inputs!$B$35/100))/(1/Q422)))))+(IF(AND(ArtifactsInput!$M$35,Inputs!$B$4&lt;&gt;"Chapter Hunt"),CHOOSE(ArtifactsInput!$N$35+1,15,18,21,24,27,30)*(1-EXP(-(0.2*B440)*5)),0)+IF(AND(ArtifactsInput!$M$22,Inputs!$B$4&lt;&gt;"Chapter Hunt"),CHOOSE(ArtifactsInput!$N$22+1,10,12,14,16,18,20)*((0*(((0.15*B440*5))^0/1)+1*(((0.15*B440*5))^1/1)+2*(((0.15*B440*5))^2/2)+3*(((0.15*B440*5))^3/6)+4*(((0.15*B440*5))^4/24)+5*(((0.15*B440*5))^5/120))/((((0.15*B440*5))^0/1)+(((0.15*B440*5))^1/1)+(((0.15*B440*5))^2/2)+(((0.15*B440*5))^3/6)+(((0.15*B440*5))^4/24)+(((0.15*B440*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17">
      <c r="A417">
        <f>Skills!A8</f>
        <v/>
      </c>
      <c r="B417">
        <f>Skills!B8</f>
        <v/>
      </c>
      <c r="C417">
        <f>Inputs!$B$3&gt;=75</f>
        <v/>
      </c>
      <c r="D417">
        <f>IF(Skills!C8=1,60+Inputs!$B$26+Inputs!$B$30,IF(Skills!C8=2,90+Inputs!$B$27+Inputs!$B$30,IF(Skills!C8=3,120+Inputs!$B$28+Inputs!$B$30,MAX(0,(Inputs!$B$3-100)*3)+Inputs!$B$29+Inputs!$B$30)))</f>
        <v/>
      </c>
      <c r="E417">
        <f>INDEX(FactorTable!$B$2:$Y$301, MATCH(ROUND(MIN(300,MAX(1,D417)),0), FactorTable!$A$2:$A$301,0), Skills!M8+1)</f>
        <v/>
      </c>
      <c r="F417">
        <f>IF(Skills!N8=TRUE,(Skills!L8/10)*(E417/1000),Skills!L8/10)+Skills!O8</f>
        <v/>
      </c>
      <c r="G417" t="inlineStr"/>
      <c r="H417" t="inlineStr"/>
      <c r="I417" t="inlineStr">
        <is>
          <t>1</t>
        </is>
      </c>
      <c r="J417" t="inlineStr"/>
      <c r="K417" t="inlineStr"/>
      <c r="L417" t="inlineStr"/>
      <c r="M417" t="inlineStr"/>
      <c r="N417" t="inlineStr"/>
      <c r="O417" t="inlineStr"/>
      <c r="P417" t="inlineStr"/>
      <c r="Q417" t="inlineStr"/>
      <c r="R417" t="inlineStr"/>
      <c r="S417" t="inlineStr"/>
    </row>
    <row r="418">
      <c r="A418">
        <f>Skills!A9</f>
        <v/>
      </c>
      <c r="B418">
        <f>Skills!B9</f>
        <v/>
      </c>
      <c r="C418">
        <f>Inputs!$B$3&gt;=60</f>
        <v/>
      </c>
      <c r="D418">
        <f>IF(Skills!C9=1,60+Inputs!$B$26+Inputs!$B$30,IF(Skills!C9=2,90+Inputs!$B$27+Inputs!$B$30,IF(Skills!C9=3,120+Inputs!$B$28+Inputs!$B$30,MAX(0,(Inputs!$B$3-100)*3)+Inputs!$B$29+Inputs!$B$30)))</f>
        <v/>
      </c>
      <c r="E418">
        <f>INDEX(FactorTable!$B$2:$Y$301, MATCH(ROUND(MIN(300,MAX(1,D418)),0), FactorTable!$A$2:$A$301,0), Skills!M9+1)</f>
        <v/>
      </c>
      <c r="F418">
        <f>IF(Skills!N9=TRUE,(Skills!L9/10)*(E418/1000),Skills!L9/10)+Skills!O9</f>
        <v/>
      </c>
      <c r="G418">
        <f>Skills!G9*IF(Skills!H9&gt;0,INT(IF(Inputs!$B$39="pvp",MIN(Skills!I9,15),Skills!I9)/Skills!H9+0.000000001),1)</f>
        <v/>
      </c>
      <c r="H418">
        <f>1-(1-Skills!J9/100)^Skills!K9</f>
        <v/>
      </c>
      <c r="I418" t="inlineStr">
        <is>
          <t>1</t>
        </is>
      </c>
      <c r="J418">
        <f>((Inputs!$B$6*(1+Inputs!$B$7/100))+(((Inputs!$B$13*(1+Inputs!$B$14/100))-(Inputs!$B$13*(1+Inputs!$B$14/100)))+0.25*(Inputs!$B$15-Inputs!$B$15))*(1+Inputs!$B$7/100))*(F418/100)</f>
        <v/>
      </c>
      <c r="K418">
        <f>J418*(1+(((Inputs!$B$13+IF(Inputs!$B$3&gt;=38,(10*INDEX(FactorTable!$B$2:$Y$301, MATCH(ROUND(MIN(300,MAX(1,Inputs!$B$3)),0), FactorTable!$A$2:$A$301,0), 23)/1000)/100*(Inputs!$B$8*(1+Inputs!$B$9/100)),0))*(1+Inputs!$B$14/100))*0.01+Inputs!$B$15*0.0025)/100)*(1+Inputs!$B$16/100)*(1+Inputs!$B$17/100)*(5000/(6000+Inputs!$B$43*(1-(Inputs!$B$20+0)/100)))*(1+(Inputs!$B$25+((C434=TRUE)*(F434-Calc!F25))+((C435=TRUE)*(F435-Calc!F26))+B444)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420=TRUE,F420,0)/100)*(1+(IF(Skills!A9="DARK_IMPALE",Inputs!$B$18+0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gt;=100),MIN(100,((Inputs!$B$10+0+B438+(ArtifactsInput!$M$24-ArtifactsInput!$M$24)*CHOOSE(ArtifactsInput!$N$24+1,10,12,14,16,18,20)+IF(ArtifactsInput!$M$10,CHOOSE(ArtifactsInput!$N$10+1,15,18,21,24,27,30)*(IF(Inputs!$B$39="pvp",MIN(15,15)/15,IF(AND(Inputs!$B$39&lt;&gt;"pvp",Inputs!$B$44&gt;0),MIN(15,Inputs!$B$44)/(Inputs!$B$44),0))),0)))-100),0))*CHOOSE(ArtifactsInput!$N$42+1,0.6,0.72,0.84,0.96,1.08,1.2))),Inputs!$B$19+((C432=TRUE)*(F432-Calc!F23))+(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gt;=100),CHOOSE(ArtifactsInput!$N$42+1,40,48,56,64,72,80),0))))/100)*((1+(((C422=TRUE)*F422*IF(AND(Inputs!$B$39&lt;&gt;"pvp",Inputs!$B$44&gt;0),(((R422-1)*MIN((Skills!T13*(1+Inputs!$B$35/100)),(1/Q422))+MIN((Skills!T13*(1+Inputs!$B$35/100)),MAX(0,Inputs!$B$44-((R422-1)*(1/Q422)))))/Inputs!$B$44),IF(Inputs!$B$39="pvp",MIN((Skills!T13*(1+Inputs!$B$35/100)),15)/15,MIN(1,(Skills!T13*(1+Inputs!$B$35/100))/(1/Q422)))))+((C423=TRUE)*F423*IF(AND(Inputs!$B$39&lt;&gt;"pvp",Inputs!$B$44&gt;0),(((R423-1)*MIN((Skills!T14*(1+Inputs!$B$35/100)),(1/Q423))+MIN((Skills!T14*(1+Inputs!$B$35/100)),MAX(0,Inputs!$B$44-((R423-1)*(1/Q423)))))/Inputs!$B$44),IF(Inputs!$B$39="pvp",MIN((Skills!T14*(1+Inputs!$B$35/100)),15)/15,MIN(1,(Skills!T14*(1+Inputs!$B$35/100))/(1/Q423)))))+((C424=TRUE)*F424*IF(AND(Inputs!$B$39&lt;&gt;"pvp",Inputs!$B$44&gt;0),(((R424-1)*MIN((Skills!T15*(1+Inputs!$B$35/100)),(1/Q424))+MIN((Skills!T15*(1+Inputs!$B$35/100)),MAX(0,Inputs!$B$44-((R424-1)*(1/Q424)))))/Inputs!$B$44),IF(Inputs!$B$39="pvp",MIN((Skills!T15*(1+Inputs!$B$35/100)),15)/15,MIN(1,(Skills!T15*(1+Inputs!$B$35/100))/(1/Q424)))))+((C425=TRUE)*F425*IF(AND(Inputs!$B$39&lt;&gt;"pvp",Inputs!$B$44&gt;0),(((R425-1)*MIN((Skills!T16*(1+Inputs!$B$35/100)),(1/Q425))+MIN((Skills!T16*(1+Inputs!$B$35/100)),MAX(0,Inputs!$B$44-((R425-1)*(1/Q425)))))/Inputs!$B$44),IF(Inputs!$B$39="pvp",MIN((Skills!T16*(1+Inputs!$B$35/100)),15)/15,MIN(1,(Skills!T16*(1+Inputs!$B$35/100))/(1/Q425)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418)</f>
        <v/>
      </c>
      <c r="L418">
        <f>K418*(MIN(Inputs!$B$23+((C431=TRUE)*(F431-Calc!F22)),(Inputs!$B$24+((C433=TRUE)*(F433-Calc!F24))+(IF(ArtifactsInput!$M$15,CHOOSE(ArtifactsInput!$N$15+1,25,30,35,40,45,50)/100*(Inputs!$B$12-Inputs!$B$12),0))))/100+(Inputs!$B$24+((C433=TRUE)*(F433-Calc!F24))+(IF(ArtifactsInput!$M$15,CHOOSE(ArtifactsInput!$N$15+1,25,30,35,40,45,50)/100*(Inputs!$B$12-Inputs!$B$12),0)))/100)/2</f>
        <v/>
      </c>
      <c r="M418">
        <f>L418*(1+(Inputs!$B$11+0+B443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418">
        <f>L418*(1-MIN((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418*(MIN((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18">
        <f>(1-Summary!$B$11)*T418+Summary!$B$11*V418</f>
        <v/>
      </c>
      <c r="P418">
        <f>IF(B448=0,0,O418/B448)</f>
        <v/>
      </c>
      <c r="Q418">
        <f>IFERROR(1/IF(Inputs!$B$39="pvp",15,MAX(0.1,Skills!D9-IF(TRUE=TRUE,Inputs!$B$33,0))),0)</f>
        <v/>
      </c>
      <c r="R418">
        <f>IF(AND(Inputs!$B$39&lt;&gt;"pvp",Inputs!$B$44&gt;0),IF(MAX(0,Inputs!$B$44-B445)&lt;=0,0,(INT(MAX(0,Inputs!$B$44-B445)/IF(Inputs!$B$39="pvp",15,MAX(0.1,Skills!D9-IF(TRUE=TRUE,Inputs!$B$33,0))))+1)),0)</f>
        <v/>
      </c>
      <c r="S418">
        <f>IFERROR(O418/N418,0)</f>
        <v/>
      </c>
      <c r="T418">
        <f>IF(C418,(H418*N418*IF(AND(Inputs!$B$39&lt;&gt;"pvp",Inputs!$B$44&gt;0),((Skills!G9*((R418-1)*IF(Skills!H9&gt;0,INT(Skills!I9/Skills!H9+0.000000001),1)+IF(Skills!H9&gt;0,INT(MIN(Skills!I9,MAX(0,MAX(0,Inputs!$B$44-B445)-((R418-1)*IF(Inputs!$B$39="pvp",15,MAX(0.1,Skills!D9-IF(TRUE=TRUE,Inputs!$B$33,0))))))/Skills!H9+0.000000001),1)))/Inputs!$B$44),G418*Q418))*IF(Inputs!$B$39="pvp",1,1+(Inputs!$B$21+0+Skills!P9+((C426=TRUE)*F426*IF(AND(Inputs!$B$39&lt;&gt;"pvp",Inputs!$B$44&gt;0),(((R426-1)*MIN((Skills!T17*(1+Inputs!$B$35/100)),(1/Q426))+MIN((Skills!T17*(1+Inputs!$B$35/100)),MAX(0,Inputs!$B$44-((R426-1)*(1/Q426)))))/Inputs!$B$44),IF(Inputs!$B$39="pvp",MIN((Skills!T17*(1+Inputs!$B$35/100)),15)/15,MIN(1,(Skills!T17*(1+Inputs!$B$35/100))/(1/Q426)))))+((C414=TRUE)*IF(Inputs!$B$3&gt;=126,10*MIN(1,15*Q414),0))+((C423=TRUE)*IF(Inputs!$B$39="pvp",20,(1-Summary!$B$11)*(20)+Summary!$B$11*(0))*IF(AND(Inputs!$B$39&lt;&gt;"pvp",Inputs!$B$44&gt;0),(((R423-1)*MIN((Skills!T14*(1+Inputs!$B$35/100)),(1/Q423))+MIN((Skills!T14*(1+Inputs!$B$35/100)),MAX(0,Inputs!$B$44-((R423-1)*(1/Q423)))))/Inputs!$B$44),IF(Inputs!$B$39="pvp",MIN((Skills!T14*(1+Inputs!$B$35/100)),15)/15,MIN(1,(Skills!T14*(1+Inputs!$B$35/100))/(1/Q423)))))+((C422=TRUE)*IF(Inputs!$B$3&gt;=82,IF(Inputs!$B$39="pvp",20,(1-Summary!$B$11)*(20)+Summary!$B$11*(0)),0)*IF(AND(Inputs!$B$39&lt;&gt;"pvp",Inputs!$B$44&gt;0),(((R422-1)*MIN((Skills!T13*(1+Inputs!$B$35/100)),(1/Q422))+MIN((Skills!T13*(1+Inputs!$B$35/100)),MAX(0,Inputs!$B$44-((R422-1)*(1/Q422)))))/Inputs!$B$44),IF(Inputs!$B$39="pvp",MIN((Skills!T13*(1+Inputs!$B$35/100)),15)/15,MIN(1,(Skills!T13*(1+Inputs!$B$35/100))/(1/Q422)))))+(IF(AND(ArtifactsInput!$M$35,Inputs!$B$4&lt;&gt;"Chapter Hunt"),CHOOSE(ArtifactsInput!$N$35+1,15,18,21,24,27,30)*(1-EXP(-(0.2*B440)*5)),0)+IF(AND(ArtifactsInput!$M$22,Inputs!$B$4&lt;&gt;"Chapter Hunt"),CHOOSE(ArtifactsInput!$N$22+1,10,12,14,16,18,20)*((0*(((0.15*B440*5))^0/1)+1*(((0.15*B440*5))^1/1)+2*(((0.15*B440*5))^2/2)+3*(((0.15*B440*5))^3/6)+4*(((0.15*B440*5))^4/24)+5*(((0.15*B440*5))^5/120))/((((0.15*B440*5))^0/1)+(((0.15*B440*5))^1/1)+(((0.15*B440*5))^2/2)+(((0.15*B440*5))^3/6)+(((0.15*B440*5))^4/24)+(((0.15*B440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418*(1-MIN(100,(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418*(MIN(100,(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418*(1-MIN(100,(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418*(MIN(100,(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18">
        <f>IF(C418,(H418*N418*IF(AND(Inputs!$B$39&lt;&gt;"pvp",Inputs!$B$44&gt;0),((Skills!G9*((R418-1)*IF(Skills!H9&gt;0,INT(Skills!I9/Skills!H9+0.000000001),1)+IF(Skills!H9&gt;0,INT(MIN(Skills!I9,MAX(0,MAX(0,Inputs!$B$44-B445)-((R418-1)*IF(Inputs!$B$39="pvp",15,MAX(0.1,Skills!D9-IF(TRUE=TRUE,Inputs!$B$33,0))))))/Skills!H9+0.000000001),1)))/Inputs!$B$44),G418*Q418))*IF(Inputs!$B$39="pvp",1,(1+((Inputs!$B$22+1)+Skills!Q9+((C426=TRUE)*F426*IF(AND(Inputs!$B$39&lt;&gt;"pvp",Inputs!$B$44&gt;0),(((R426-1)*MIN((Skills!T17*(1+Inputs!$B$35/100)),(1/Q426))+MIN((Skills!T17*(1+Inputs!$B$35/100)),MAX(0,Inputs!$B$44-((R426-1)*(1/Q426)))))/Inputs!$B$44),IF(Inputs!$B$39="pvp",MIN((Skills!T17*(1+Inputs!$B$35/100)),15)/15,MIN(1,(Skills!T17*(1+Inputs!$B$35/100))/(1/Q426)))))+((C414=TRUE)*IF(Inputs!$B$3&gt;=126,10*MIN(1,15*Q414),0))+((C423=TRUE)*IF(Inputs!$B$39="pvp",20,(1-Summary!$B$11)*(20)+Summary!$B$11*(0))*IF(AND(Inputs!$B$39&lt;&gt;"pvp",Inputs!$B$44&gt;0),(((R423-1)*MIN((Skills!T14*(1+Inputs!$B$35/100)),(1/Q423))+MIN((Skills!T14*(1+Inputs!$B$35/100)),MAX(0,Inputs!$B$44-((R423-1)*(1/Q423)))))/Inputs!$B$44),IF(Inputs!$B$39="pvp",MIN((Skills!T14*(1+Inputs!$B$35/100)),15)/15,MIN(1,(Skills!T14*(1+Inputs!$B$35/100))/(1/Q423)))))+((C422=TRUE)*IF(Inputs!$B$3&gt;=82,IF(Inputs!$B$39="pvp",20,(1-Summary!$B$11)*(20)+Summary!$B$11*(0)),0)*IF(AND(Inputs!$B$39&lt;&gt;"pvp",Inputs!$B$44&gt;0),(((R422-1)*MIN((Skills!T13*(1+Inputs!$B$35/100)),(1/Q422))+MIN((Skills!T13*(1+Inputs!$B$35/100)),MAX(0,Inputs!$B$44-((R422-1)*(1/Q422)))))/Inputs!$B$44),IF(Inputs!$B$39="pvp",MIN((Skills!T13*(1+Inputs!$B$35/100)),15)/15,MIN(1,(Skills!T13*(1+Inputs!$B$35/100))/(1/Q422)))))+(IF(AND(ArtifactsInput!$M$35,Inputs!$B$4&lt;&gt;"Chapter Hunt"),CHOOSE(ArtifactsInput!$N$35+1,15,18,21,24,27,30)*(1-EXP(-(0.2*B440)*5)),0)+IF(AND(ArtifactsInput!$M$22,Inputs!$B$4&lt;&gt;"Chapter Hunt"),CHOOSE(ArtifactsInput!$N$22+1,10,12,14,16,18,20)*((0*(((0.15*B440*5))^0/1)+1*(((0.15*B440*5))^1/1)+2*(((0.15*B440*5))^2/2)+3*(((0.15*B440*5))^3/6)+4*(((0.15*B440*5))^4/24)+5*(((0.15*B440*5))^5/120))/((((0.15*B440*5))^0/1)+(((0.15*B440*5))^1/1)+(((0.15*B440*5))^2/2)+(((0.15*B440*5))^3/6)+(((0.15*B440*5))^4/24)+(((0.15*B440*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19">
      <c r="A419">
        <f>Skills!A10</f>
        <v/>
      </c>
      <c r="B419">
        <f>Skills!B10</f>
        <v/>
      </c>
      <c r="C419">
        <f>Inputs!$B$3&gt;=110</f>
        <v/>
      </c>
      <c r="D419">
        <f>IF(Skills!C10=1,60+Inputs!$B$26+Inputs!$B$30,IF(Skills!C10=2,90+Inputs!$B$27+Inputs!$B$30,IF(Skills!C10=3,120+Inputs!$B$28+Inputs!$B$30,MAX(0,(Inputs!$B$3-100)*3)+Inputs!$B$29+Inputs!$B$30)))</f>
        <v/>
      </c>
      <c r="E419">
        <f>INDEX(FactorTable!$B$2:$Y$301, MATCH(ROUND(MIN(300,MAX(1,D419)),0), FactorTable!$A$2:$A$301,0), Skills!M10+1)</f>
        <v/>
      </c>
      <c r="F419">
        <f>IF(Skills!N10=TRUE,(Skills!L10/10)*(E419/1000),Skills!L10/10)+Skills!O10</f>
        <v/>
      </c>
      <c r="G419">
        <f>Skills!G10*IF(Skills!H10&gt;0,INT(IF(Inputs!$B$39="pvp",MIN(Skills!I10,15),Skills!I10)/Skills!H10+0.000000001),1)</f>
        <v/>
      </c>
      <c r="H419">
        <f>1-(1-Skills!J10/100)^Skills!K10</f>
        <v/>
      </c>
      <c r="I419" t="inlineStr">
        <is>
          <t>1</t>
        </is>
      </c>
      <c r="J419">
        <f>((Inputs!$B$6*(1+Inputs!$B$7/100))+(((Inputs!$B$13*(1+Inputs!$B$14/100))-(Inputs!$B$13*(1+Inputs!$B$14/100)))+0.25*(Inputs!$B$15-Inputs!$B$15))*(1+Inputs!$B$7/100))*(F419/100)</f>
        <v/>
      </c>
      <c r="K419">
        <f>J419*(1+(((Inputs!$B$13+IF(Inputs!$B$3&gt;=38,(10*INDEX(FactorTable!$B$2:$Y$301, MATCH(ROUND(MIN(300,MAX(1,Inputs!$B$3)),0), FactorTable!$A$2:$A$301,0), 23)/1000)/100*(Inputs!$B$8*(1+Inputs!$B$9/100)),0))*(1+Inputs!$B$14/100))*0.01+Inputs!$B$15*0.0025)/100)*(1+Inputs!$B$16/100)*(1+Inputs!$B$17/100)*(5000/(6000+Inputs!$B$43*(1-(Inputs!$B$20+0)/100)))*(1+(Inputs!$B$25+((C434=TRUE)*(F434-Calc!F25))+((C435=TRUE)*(F435-Calc!F26))+B444)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gt;=100),MIN(100,((Inputs!$B$10+0+B438+(ArtifactsInput!$M$24-ArtifactsInput!$M$24)*CHOOSE(ArtifactsInput!$N$24+1,10,12,14,16,18,20)+IF(ArtifactsInput!$M$10,CHOOSE(ArtifactsInput!$N$10+1,15,18,21,24,27,30)*(IF(Inputs!$B$39="pvp",MIN(15,15)/15,IF(AND(Inputs!$B$39&lt;&gt;"pvp",Inputs!$B$44&gt;0),MIN(15,Inputs!$B$44)/(Inputs!$B$44),0))),0)))-100),0))*CHOOSE(ArtifactsInput!$N$42+1,0.6,0.72,0.84,0.96,1.08,1.2))),Inputs!$B$19+((C432=TRUE)*(F432-Calc!F23))+(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gt;=100),CHOOSE(ArtifactsInput!$N$42+1,40,48,56,64,72,80),0))))/100)*((1+(((C422=TRUE)*F422*IF(AND(Inputs!$B$39&lt;&gt;"pvp",Inputs!$B$44&gt;0),(((R422-1)*MIN((Skills!T13*(1+Inputs!$B$35/100)),(1/Q422))+MIN((Skills!T13*(1+Inputs!$B$35/100)),MAX(0,Inputs!$B$44-((R422-1)*(1/Q422)))))/Inputs!$B$44),IF(Inputs!$B$39="pvp",MIN((Skills!T13*(1+Inputs!$B$35/100)),15)/15,MIN(1,(Skills!T13*(1+Inputs!$B$35/100))/(1/Q422)))))+((C423=TRUE)*F423*IF(AND(Inputs!$B$39&lt;&gt;"pvp",Inputs!$B$44&gt;0),(((R423-1)*MIN((Skills!T14*(1+Inputs!$B$35/100)),(1/Q423))+MIN((Skills!T14*(1+Inputs!$B$35/100)),MAX(0,Inputs!$B$44-((R423-1)*(1/Q423)))))/Inputs!$B$44),IF(Inputs!$B$39="pvp",MIN((Skills!T14*(1+Inputs!$B$35/100)),15)/15,MIN(1,(Skills!T14*(1+Inputs!$B$35/100))/(1/Q423)))))+((C424=TRUE)*F424*IF(AND(Inputs!$B$39&lt;&gt;"pvp",Inputs!$B$44&gt;0),(((R424-1)*MIN((Skills!T15*(1+Inputs!$B$35/100)),(1/Q424))+MIN((Skills!T15*(1+Inputs!$B$35/100)),MAX(0,Inputs!$B$44-((R424-1)*(1/Q424)))))/Inputs!$B$44),IF(Inputs!$B$39="pvp",MIN((Skills!T15*(1+Inputs!$B$35/100)),15)/15,MIN(1,(Skills!T15*(1+Inputs!$B$35/100))/(1/Q424)))))+((C425=TRUE)*F425*IF(AND(Inputs!$B$39&lt;&gt;"pvp",Inputs!$B$44&gt;0),(((R425-1)*MIN((Skills!T16*(1+Inputs!$B$35/100)),(1/Q425))+MIN((Skills!T16*(1+Inputs!$B$35/100)),MAX(0,Inputs!$B$44-((R425-1)*(1/Q425)))))/Inputs!$B$44),IF(Inputs!$B$39="pvp",MIN((Skills!T16*(1+Inputs!$B$35/100)),15)/15,MIN(1,(Skills!T16*(1+Inputs!$B$35/100))/(1/Q425)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419)</f>
        <v/>
      </c>
      <c r="L419">
        <f>K419*(MIN(Inputs!$B$23+((C431=TRUE)*(F431-Calc!F22)),(Inputs!$B$24+((C433=TRUE)*(F433-Calc!F24))+(IF(ArtifactsInput!$M$15,CHOOSE(ArtifactsInput!$N$15+1,25,30,35,40,45,50)/100*(Inputs!$B$12-Inputs!$B$12),0))))/100+(Inputs!$B$24+((C433=TRUE)*(F433-Calc!F24))+(IF(ArtifactsInput!$M$15,CHOOSE(ArtifactsInput!$N$15+1,25,30,35,40,45,50)/100*(Inputs!$B$12-Inputs!$B$12),0)))/100)/2</f>
        <v/>
      </c>
      <c r="M419">
        <f>L419*(1+(Inputs!$B$11+0+B443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419">
        <f>L419*(1-MIN((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419*(MIN((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19">
        <f>(1-Summary!$B$11)*T419+Summary!$B$11*V419</f>
        <v/>
      </c>
      <c r="P419">
        <f>IF(B448=0,0,O419/B448)</f>
        <v/>
      </c>
      <c r="Q419">
        <f>IFERROR(1/IF(Inputs!$B$39="pvp",15,MAX(0.1,Skills!D10-IF(TRUE=TRUE,Inputs!$B$33,0))),0)</f>
        <v/>
      </c>
      <c r="R419">
        <f>IF(AND(Inputs!$B$39&lt;&gt;"pvp",Inputs!$B$44&gt;0),IF(MAX(0,Inputs!$B$44-B445)&lt;=0,0,(INT(MAX(0,Inputs!$B$44-B445)/IF(Inputs!$B$39="pvp",15,MAX(0.1,Skills!D10-IF(TRUE=TRUE,Inputs!$B$33,0))))+1)),0)</f>
        <v/>
      </c>
      <c r="S419">
        <f>IFERROR(O419/N419,0)</f>
        <v/>
      </c>
      <c r="T419">
        <f>IF(C419,(H419*N419*IF(AND(Inputs!$B$39&lt;&gt;"pvp",Inputs!$B$44&gt;0),((Skills!G10*((R419-1)*IF(Skills!H10&gt;0,INT(Skills!I10/Skills!H10+0.000000001),1)+IF(Skills!H10&gt;0,INT(MIN(Skills!I10,MAX(0,MAX(0,Inputs!$B$44-B445)-((R419-1)*IF(Inputs!$B$39="pvp",15,MAX(0.1,Skills!D10-IF(TRUE=TRUE,Inputs!$B$33,0))))))/Skills!H10+0.000000001),1)))/Inputs!$B$44),G419*Q419))*IF(Inputs!$B$39="pvp",1,1+(Inputs!$B$21+0+Skills!P10+((C426=TRUE)*F426*IF(AND(Inputs!$B$39&lt;&gt;"pvp",Inputs!$B$44&gt;0),(((R426-1)*MIN((Skills!T17*(1+Inputs!$B$35/100)),(1/Q426))+MIN((Skills!T17*(1+Inputs!$B$35/100)),MAX(0,Inputs!$B$44-((R426-1)*(1/Q426)))))/Inputs!$B$44),IF(Inputs!$B$39="pvp",MIN((Skills!T17*(1+Inputs!$B$35/100)),15)/15,MIN(1,(Skills!T17*(1+Inputs!$B$35/100))/(1/Q426)))))+((C414=TRUE)*IF(Inputs!$B$3&gt;=126,10*MIN(1,15*Q414),0))+((C423=TRUE)*IF(Inputs!$B$39="pvp",20,(1-Summary!$B$11)*(20)+Summary!$B$11*(0))*IF(AND(Inputs!$B$39&lt;&gt;"pvp",Inputs!$B$44&gt;0),(((R423-1)*MIN((Skills!T14*(1+Inputs!$B$35/100)),(1/Q423))+MIN((Skills!T14*(1+Inputs!$B$35/100)),MAX(0,Inputs!$B$44-((R423-1)*(1/Q423)))))/Inputs!$B$44),IF(Inputs!$B$39="pvp",MIN((Skills!T14*(1+Inputs!$B$35/100)),15)/15,MIN(1,(Skills!T14*(1+Inputs!$B$35/100))/(1/Q423)))))+((C422=TRUE)*IF(Inputs!$B$3&gt;=82,IF(Inputs!$B$39="pvp",20,(1-Summary!$B$11)*(20)+Summary!$B$11*(0)),0)*IF(AND(Inputs!$B$39&lt;&gt;"pvp",Inputs!$B$44&gt;0),(((R422-1)*MIN((Skills!T13*(1+Inputs!$B$35/100)),(1/Q422))+MIN((Skills!T13*(1+Inputs!$B$35/100)),MAX(0,Inputs!$B$44-((R422-1)*(1/Q422)))))/Inputs!$B$44),IF(Inputs!$B$39="pvp",MIN((Skills!T13*(1+Inputs!$B$35/100)),15)/15,MIN(1,(Skills!T13*(1+Inputs!$B$35/100))/(1/Q422)))))+(IF(AND(ArtifactsInput!$M$35,Inputs!$B$4&lt;&gt;"Chapter Hunt"),CHOOSE(ArtifactsInput!$N$35+1,15,18,21,24,27,30)*(1-EXP(-(0.2*B440)*5)),0)+IF(AND(ArtifactsInput!$M$22,Inputs!$B$4&lt;&gt;"Chapter Hunt"),CHOOSE(ArtifactsInput!$N$22+1,10,12,14,16,18,20)*((0*(((0.15*B440*5))^0/1)+1*(((0.15*B440*5))^1/1)+2*(((0.15*B440*5))^2/2)+3*(((0.15*B440*5))^3/6)+4*(((0.15*B440*5))^4/24)+5*(((0.15*B440*5))^5/120))/((((0.15*B440*5))^0/1)+(((0.15*B440*5))^1/1)+(((0.15*B440*5))^2/2)+(((0.15*B440*5))^3/6)+(((0.15*B440*5))^4/24)+(((0.15*B440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419*(1-MIN(100,(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419*(MIN(100,(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419*(1-MIN(100,(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419*(MIN(100,(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19">
        <f>IF(C419,(H419*N419*IF(AND(Inputs!$B$39&lt;&gt;"pvp",Inputs!$B$44&gt;0),((Skills!G10*((R419-1)*IF(Skills!H10&gt;0,INT(Skills!I10/Skills!H10+0.000000001),1)+IF(Skills!H10&gt;0,INT(MIN(Skills!I10,MAX(0,MAX(0,Inputs!$B$44-B445)-((R419-1)*IF(Inputs!$B$39="pvp",15,MAX(0.1,Skills!D10-IF(TRUE=TRUE,Inputs!$B$33,0))))))/Skills!H10+0.000000001),1)))/Inputs!$B$44),G419*Q419))*IF(Inputs!$B$39="pvp",1,(1+((Inputs!$B$22+1)+Skills!Q10+((C426=TRUE)*F426*IF(AND(Inputs!$B$39&lt;&gt;"pvp",Inputs!$B$44&gt;0),(((R426-1)*MIN((Skills!T17*(1+Inputs!$B$35/100)),(1/Q426))+MIN((Skills!T17*(1+Inputs!$B$35/100)),MAX(0,Inputs!$B$44-((R426-1)*(1/Q426)))))/Inputs!$B$44),IF(Inputs!$B$39="pvp",MIN((Skills!T17*(1+Inputs!$B$35/100)),15)/15,MIN(1,(Skills!T17*(1+Inputs!$B$35/100))/(1/Q426)))))+((C414=TRUE)*IF(Inputs!$B$3&gt;=126,10*MIN(1,15*Q414),0))+((C423=TRUE)*IF(Inputs!$B$39="pvp",20,(1-Summary!$B$11)*(20)+Summary!$B$11*(0))*IF(AND(Inputs!$B$39&lt;&gt;"pvp",Inputs!$B$44&gt;0),(((R423-1)*MIN((Skills!T14*(1+Inputs!$B$35/100)),(1/Q423))+MIN((Skills!T14*(1+Inputs!$B$35/100)),MAX(0,Inputs!$B$44-((R423-1)*(1/Q423)))))/Inputs!$B$44),IF(Inputs!$B$39="pvp",MIN((Skills!T14*(1+Inputs!$B$35/100)),15)/15,MIN(1,(Skills!T14*(1+Inputs!$B$35/100))/(1/Q423)))))+((C422=TRUE)*IF(Inputs!$B$3&gt;=82,IF(Inputs!$B$39="pvp",20,(1-Summary!$B$11)*(20)+Summary!$B$11*(0)),0)*IF(AND(Inputs!$B$39&lt;&gt;"pvp",Inputs!$B$44&gt;0),(((R422-1)*MIN((Skills!T13*(1+Inputs!$B$35/100)),(1/Q422))+MIN((Skills!T13*(1+Inputs!$B$35/100)),MAX(0,Inputs!$B$44-((R422-1)*(1/Q422)))))/Inputs!$B$44),IF(Inputs!$B$39="pvp",MIN((Skills!T13*(1+Inputs!$B$35/100)),15)/15,MIN(1,(Skills!T13*(1+Inputs!$B$35/100))/(1/Q422)))))+(IF(AND(ArtifactsInput!$M$35,Inputs!$B$4&lt;&gt;"Chapter Hunt"),CHOOSE(ArtifactsInput!$N$35+1,15,18,21,24,27,30)*(1-EXP(-(0.2*B440)*5)),0)+IF(AND(ArtifactsInput!$M$22,Inputs!$B$4&lt;&gt;"Chapter Hunt"),CHOOSE(ArtifactsInput!$N$22+1,10,12,14,16,18,20)*((0*(((0.15*B440*5))^0/1)+1*(((0.15*B440*5))^1/1)+2*(((0.15*B440*5))^2/2)+3*(((0.15*B440*5))^3/6)+4*(((0.15*B440*5))^4/24)+5*(((0.15*B440*5))^5/120))/((((0.15*B440*5))^0/1)+(((0.15*B440*5))^1/1)+(((0.15*B440*5))^2/2)+(((0.15*B440*5))^3/6)+(((0.15*B440*5))^4/24)+(((0.15*B440*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20">
      <c r="A420">
        <f>Skills!A11</f>
        <v/>
      </c>
      <c r="B420">
        <f>Skills!B11</f>
        <v/>
      </c>
      <c r="C420">
        <f>Inputs!$B$3&gt;=100</f>
        <v/>
      </c>
      <c r="D420">
        <f>IF(Skills!C11=1,60+Inputs!$B$26+Inputs!$B$30,IF(Skills!C11=2,90+Inputs!$B$27+Inputs!$B$30,IF(Skills!C11=3,120+Inputs!$B$28+Inputs!$B$30,MAX(0,(Inputs!$B$3-100)*3)+Inputs!$B$29+Inputs!$B$30)))</f>
        <v/>
      </c>
      <c r="E420">
        <f>INDEX(FactorTable!$B$2:$Y$301, MATCH(ROUND(MIN(300,MAX(1,D420)),0), FactorTable!$A$2:$A$301,0), Skills!M11+1)</f>
        <v/>
      </c>
      <c r="F420">
        <f>IF(Skills!N11=TRUE,(Skills!L11/10)*(E420/1000),Skills!L11/10)+Skills!O11</f>
        <v/>
      </c>
      <c r="G420" t="inlineStr"/>
      <c r="H420" t="inlineStr"/>
      <c r="I420" t="inlineStr">
        <is>
          <t>1</t>
        </is>
      </c>
      <c r="J420" t="inlineStr"/>
      <c r="K420" t="inlineStr"/>
      <c r="L420" t="inlineStr"/>
      <c r="M420" t="inlineStr"/>
      <c r="N420" t="inlineStr"/>
      <c r="O420" t="inlineStr"/>
      <c r="P420" t="inlineStr"/>
      <c r="Q420" t="inlineStr"/>
      <c r="R420" t="inlineStr"/>
      <c r="S420" t="inlineStr"/>
    </row>
    <row r="421">
      <c r="A421">
        <f>Skills!A12</f>
        <v/>
      </c>
      <c r="B421">
        <f>Skills!B12</f>
        <v/>
      </c>
      <c r="C421">
        <f>Inputs!$B$3&gt;=63</f>
        <v/>
      </c>
      <c r="D421">
        <f>IF(Skills!C12=1,60+Inputs!$B$26+Inputs!$B$30,IF(Skills!C12=2,90+Inputs!$B$27+Inputs!$B$30,IF(Skills!C12=3,120+Inputs!$B$28+Inputs!$B$30,MAX(0,(Inputs!$B$3-100)*3)+Inputs!$B$29+Inputs!$B$30)))</f>
        <v/>
      </c>
      <c r="E421">
        <f>INDEX(FactorTable!$B$2:$Y$301, MATCH(ROUND(MIN(300,MAX(1,D421)),0), FactorTable!$A$2:$A$301,0), Skills!M12+1)</f>
        <v/>
      </c>
      <c r="F421">
        <f>IF(Skills!N12=TRUE,(Skills!L12/10)*(E421/1000),Skills!L12/10)+Skills!O12</f>
        <v/>
      </c>
      <c r="G421">
        <f>Skills!G12*IF(Skills!H12&gt;0,INT(IF(Inputs!$B$39="pvp",MIN(Skills!I12,15),Skills!I12)/Skills!H12+0.000000001),1)</f>
        <v/>
      </c>
      <c r="H421">
        <f>1-(1-Skills!J12/100)^Skills!K12</f>
        <v/>
      </c>
      <c r="I421" t="inlineStr">
        <is>
          <t>1</t>
        </is>
      </c>
      <c r="J421">
        <f>((Inputs!$B$6*(1+Inputs!$B$7/100))+(((Inputs!$B$13*(1+Inputs!$B$14/100))-(Inputs!$B$13*(1+Inputs!$B$14/100)))+0.25*(Inputs!$B$15-Inputs!$B$15))*(1+Inputs!$B$7/100))*(F421/100)</f>
        <v/>
      </c>
      <c r="K421">
        <f>J421*(1+(((Inputs!$B$13+IF(Inputs!$B$3&gt;=38,(10*INDEX(FactorTable!$B$2:$Y$301, MATCH(ROUND(MIN(300,MAX(1,Inputs!$B$3)),0), FactorTable!$A$2:$A$301,0), 23)/1000)/100*(Inputs!$B$8*(1+Inputs!$B$9/100)),0))*(1+Inputs!$B$14/100))*0.01+Inputs!$B$15*0.0025)/100)*(1+Inputs!$B$16/100)*(1+Inputs!$B$17/100)*(5000/(6000+Inputs!$B$43*(1-(Inputs!$B$20+0)/100)))*(1+(Inputs!$B$25+((C434=TRUE)*(F434-Calc!F25))+((C435=TRUE)*(F435-Calc!F26))+B444)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420=TRUE,F420,0)/100)*(1+(IF(Skills!A12="DARK_IMPALE",Inputs!$B$18+0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gt;=100),MIN(100,((Inputs!$B$10+0+B438+(ArtifactsInput!$M$24-ArtifactsInput!$M$24)*CHOOSE(ArtifactsInput!$N$24+1,10,12,14,16,18,20)+IF(ArtifactsInput!$M$10,CHOOSE(ArtifactsInput!$N$10+1,15,18,21,24,27,30)*(IF(Inputs!$B$39="pvp",MIN(15,15)/15,IF(AND(Inputs!$B$39&lt;&gt;"pvp",Inputs!$B$44&gt;0),MIN(15,Inputs!$B$44)/(Inputs!$B$44),0))),0)))-100),0))*CHOOSE(ArtifactsInput!$N$42+1,0.6,0.72,0.84,0.96,1.08,1.2))),Inputs!$B$19+((C432=TRUE)*(F432-Calc!F23))+(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gt;=100),CHOOSE(ArtifactsInput!$N$42+1,40,48,56,64,72,80),0))))/100)*((1+(((C422=TRUE)*F422*IF(AND(Inputs!$B$39&lt;&gt;"pvp",Inputs!$B$44&gt;0),(((R422-1)*MIN((Skills!T13*(1+Inputs!$B$35/100)),(1/Q422))+MIN((Skills!T13*(1+Inputs!$B$35/100)),MAX(0,Inputs!$B$44-((R422-1)*(1/Q422)))))/Inputs!$B$44),IF(Inputs!$B$39="pvp",MIN((Skills!T13*(1+Inputs!$B$35/100)),15)/15,MIN(1,(Skills!T13*(1+Inputs!$B$35/100))/(1/Q422)))))+((C423=TRUE)*F423*IF(AND(Inputs!$B$39&lt;&gt;"pvp",Inputs!$B$44&gt;0),(((R423-1)*MIN((Skills!T14*(1+Inputs!$B$35/100)),(1/Q423))+MIN((Skills!T14*(1+Inputs!$B$35/100)),MAX(0,Inputs!$B$44-((R423-1)*(1/Q423)))))/Inputs!$B$44),IF(Inputs!$B$39="pvp",MIN((Skills!T14*(1+Inputs!$B$35/100)),15)/15,MIN(1,(Skills!T14*(1+Inputs!$B$35/100))/(1/Q423)))))+((C424=TRUE)*F424*IF(AND(Inputs!$B$39&lt;&gt;"pvp",Inputs!$B$44&gt;0),(((R424-1)*MIN((Skills!T15*(1+Inputs!$B$35/100)),(1/Q424))+MIN((Skills!T15*(1+Inputs!$B$35/100)),MAX(0,Inputs!$B$44-((R424-1)*(1/Q424)))))/Inputs!$B$44),IF(Inputs!$B$39="pvp",MIN((Skills!T15*(1+Inputs!$B$35/100)),15)/15,MIN(1,(Skills!T15*(1+Inputs!$B$35/100))/(1/Q424)))))+((C425=TRUE)*F425*IF(AND(Inputs!$B$39&lt;&gt;"pvp",Inputs!$B$44&gt;0),(((R425-1)*MIN((Skills!T16*(1+Inputs!$B$35/100)),(1/Q425))+MIN((Skills!T16*(1+Inputs!$B$35/100)),MAX(0,Inputs!$B$44-((R425-1)*(1/Q425)))))/Inputs!$B$44),IF(Inputs!$B$39="pvp",MIN((Skills!T16*(1+Inputs!$B$35/100)),15)/15,MIN(1,(Skills!T16*(1+Inputs!$B$35/100))/(1/Q425)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421)</f>
        <v/>
      </c>
      <c r="L421">
        <f>K421*(MIN(Inputs!$B$23+((C431=TRUE)*(F431-Calc!F22)),(Inputs!$B$24+((C433=TRUE)*(F433-Calc!F24))+(IF(ArtifactsInput!$M$15,CHOOSE(ArtifactsInput!$N$15+1,25,30,35,40,45,50)/100*(Inputs!$B$12-Inputs!$B$12),0))))/100+(Inputs!$B$24+((C433=TRUE)*(F433-Calc!F24))+(IF(ArtifactsInput!$M$15,CHOOSE(ArtifactsInput!$N$15+1,25,30,35,40,45,50)/100*(Inputs!$B$12-Inputs!$B$12),0)))/100)/2</f>
        <v/>
      </c>
      <c r="M421">
        <f>L421*(1+(Inputs!$B$11+0+B443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421">
        <f>L421*(1-MIN((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421*(MIN((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21">
        <f>(1-Summary!$B$11)*T421+Summary!$B$11*V421</f>
        <v/>
      </c>
      <c r="P421">
        <f>IF(B448=0,0,O421/B448)</f>
        <v/>
      </c>
      <c r="Q421">
        <f>IFERROR(1/IF(Inputs!$B$39="pvp",15,MAX(0.1,Skills!D12-IF(TRUE=TRUE,Inputs!$B$33,0))),0)</f>
        <v/>
      </c>
      <c r="R421">
        <f>IF(AND(Inputs!$B$39&lt;&gt;"pvp",Inputs!$B$44&gt;0),IF(MAX(0,Inputs!$B$44-B445)&lt;=0,0,(INT(MAX(0,Inputs!$B$44-B445)/IF(Inputs!$B$39="pvp",15,MAX(0.1,Skills!D12-IF(TRUE=TRUE,Inputs!$B$33,0))))+1)),0)</f>
        <v/>
      </c>
      <c r="S421">
        <f>IFERROR(O421/N421,0)</f>
        <v/>
      </c>
      <c r="T421">
        <f>IF(C421,(H421*N421*IF(AND(Inputs!$B$39&lt;&gt;"pvp",Inputs!$B$44&gt;0),((Skills!G12*((R421-1)*IF(Skills!H12&gt;0,INT(Skills!I12/Skills!H12+0.000000001),1)+IF(Skills!H12&gt;0,INT(MIN(Skills!I12,MAX(0,MAX(0,Inputs!$B$44-B445)-((R421-1)*IF(Inputs!$B$39="pvp",15,MAX(0.1,Skills!D12-IF(TRUE=TRUE,Inputs!$B$33,0))))))/Skills!H12+0.000000001),1)))/Inputs!$B$44),G421*Q421))*IF(Inputs!$B$39="pvp",1,1+(Inputs!$B$21+0+Skills!P12+((C426=TRUE)*F426*IF(AND(Inputs!$B$39&lt;&gt;"pvp",Inputs!$B$44&gt;0),(((R426-1)*MIN((Skills!T17*(1+Inputs!$B$35/100)),(1/Q426))+MIN((Skills!T17*(1+Inputs!$B$35/100)),MAX(0,Inputs!$B$44-((R426-1)*(1/Q426)))))/Inputs!$B$44),IF(Inputs!$B$39="pvp",MIN((Skills!T17*(1+Inputs!$B$35/100)),15)/15,MIN(1,(Skills!T17*(1+Inputs!$B$35/100))/(1/Q426)))))+((C414=TRUE)*IF(Inputs!$B$3&gt;=126,10*MIN(1,15*Q414),0))+((C423=TRUE)*IF(Inputs!$B$39="pvp",20,(1-Summary!$B$11)*(20)+Summary!$B$11*(0))*IF(AND(Inputs!$B$39&lt;&gt;"pvp",Inputs!$B$44&gt;0),(((R423-1)*MIN((Skills!T14*(1+Inputs!$B$35/100)),(1/Q423))+MIN((Skills!T14*(1+Inputs!$B$35/100)),MAX(0,Inputs!$B$44-((R423-1)*(1/Q423)))))/Inputs!$B$44),IF(Inputs!$B$39="pvp",MIN((Skills!T14*(1+Inputs!$B$35/100)),15)/15,MIN(1,(Skills!T14*(1+Inputs!$B$35/100))/(1/Q423)))))+((C422=TRUE)*IF(Inputs!$B$3&gt;=82,IF(Inputs!$B$39="pvp",20,(1-Summary!$B$11)*(20)+Summary!$B$11*(0)),0)*IF(AND(Inputs!$B$39&lt;&gt;"pvp",Inputs!$B$44&gt;0),(((R422-1)*MIN((Skills!T13*(1+Inputs!$B$35/100)),(1/Q422))+MIN((Skills!T13*(1+Inputs!$B$35/100)),MAX(0,Inputs!$B$44-((R422-1)*(1/Q422)))))/Inputs!$B$44),IF(Inputs!$B$39="pvp",MIN((Skills!T13*(1+Inputs!$B$35/100)),15)/15,MIN(1,(Skills!T13*(1+Inputs!$B$35/100))/(1/Q422)))))+(IF(AND(ArtifactsInput!$M$35,Inputs!$B$4&lt;&gt;"Chapter Hunt"),CHOOSE(ArtifactsInput!$N$35+1,15,18,21,24,27,30)*(1-EXP(-(0.2*B440)*5)),0)+IF(AND(ArtifactsInput!$M$22,Inputs!$B$4&lt;&gt;"Chapter Hunt"),CHOOSE(ArtifactsInput!$N$22+1,10,12,14,16,18,20)*((0*(((0.15*B440*5))^0/1)+1*(((0.15*B440*5))^1/1)+2*(((0.15*B440*5))^2/2)+3*(((0.15*B440*5))^3/6)+4*(((0.15*B440*5))^4/24)+5*(((0.15*B440*5))^5/120))/((((0.15*B440*5))^0/1)+(((0.15*B440*5))^1/1)+(((0.15*B440*5))^2/2)+(((0.15*B440*5))^3/6)+(((0.15*B440*5))^4/24)+(((0.15*B440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421*(1-MIN(100,(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421*(MIN(100,(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421*(1-MIN(100,(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421*(MIN(100,(Inputs!$B$10+0+B438+(ArtifactsInput!$M$24-ArtifactsInput!$M$24)*CHOOSE(ArtifactsInput!$N$24+1,10,12,14,16,18,20)+(IF(AND(Inputs!$B$39&lt;&gt;"pvp",Inputs!$B$44=0),1,IF(IF(Inputs!$B$39="pvp",15,Inputs!$B$44)-(B445)&lt;=0,1,MAX(0,IF(Inputs!$B$39="pvp",15,Inputs!$B$44)-MAX(5,B445))/(IF(Inputs!$B$39="pvp",15,Inputs!$B$44)-(B445))))*IF(AND(ArtifactsInput!$M$42,((Inputs!$B$10+0+B438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21">
        <f>IF(C421,(H421*N421*IF(AND(Inputs!$B$39&lt;&gt;"pvp",Inputs!$B$44&gt;0),((Skills!G12*((R421-1)*IF(Skills!H12&gt;0,INT(Skills!I12/Skills!H12+0.000000001),1)+IF(Skills!H12&gt;0,INT(MIN(Skills!I12,MAX(0,MAX(0,Inputs!$B$44-B445)-((R421-1)*IF(Inputs!$B$39="pvp",15,MAX(0.1,Skills!D12-IF(TRUE=TRUE,Inputs!$B$33,0))))))/Skills!H12+0.000000001),1)))/Inputs!$B$44),G421*Q421))*IF(Inputs!$B$39="pvp",1,(1+((Inputs!$B$22+1)+Skills!Q12+((C426=TRUE)*F426*IF(AND(Inputs!$B$39&lt;&gt;"pvp",Inputs!$B$44&gt;0),(((R426-1)*MIN((Skills!T17*(1+Inputs!$B$35/100)),(1/Q426))+MIN((Skills!T17*(1+Inputs!$B$35/100)),MAX(0,Inputs!$B$44-((R426-1)*(1/Q426)))))/Inputs!$B$44),IF(Inputs!$B$39="pvp",MIN((Skills!T17*(1+Inputs!$B$35/100)),15)/15,MIN(1,(Skills!T17*(1+Inputs!$B$35/100))/(1/Q426)))))+((C414=TRUE)*IF(Inputs!$B$3&gt;=126,10*MIN(1,15*Q414),0))+((C423=TRUE)*IF(Inputs!$B$39="pvp",20,(1-Summary!$B$11)*(20)+Summary!$B$11*(0))*IF(AND(Inputs!$B$39&lt;&gt;"pvp",Inputs!$B$44&gt;0),(((R423-1)*MIN((Skills!T14*(1+Inputs!$B$35/100)),(1/Q423))+MIN((Skills!T14*(1+Inputs!$B$35/100)),MAX(0,Inputs!$B$44-((R423-1)*(1/Q423)))))/Inputs!$B$44),IF(Inputs!$B$39="pvp",MIN((Skills!T14*(1+Inputs!$B$35/100)),15)/15,MIN(1,(Skills!T14*(1+Inputs!$B$35/100))/(1/Q423)))))+((C422=TRUE)*IF(Inputs!$B$3&gt;=82,IF(Inputs!$B$39="pvp",20,(1-Summary!$B$11)*(20)+Summary!$B$11*(0)),0)*IF(AND(Inputs!$B$39&lt;&gt;"pvp",Inputs!$B$44&gt;0),(((R422-1)*MIN((Skills!T13*(1+Inputs!$B$35/100)),(1/Q422))+MIN((Skills!T13*(1+Inputs!$B$35/100)),MAX(0,Inputs!$B$44-((R422-1)*(1/Q422)))))/Inputs!$B$44),IF(Inputs!$B$39="pvp",MIN((Skills!T13*(1+Inputs!$B$35/100)),15)/15,MIN(1,(Skills!T13*(1+Inputs!$B$35/100))/(1/Q422)))))+(IF(AND(ArtifactsInput!$M$35,Inputs!$B$4&lt;&gt;"Chapter Hunt"),CHOOSE(ArtifactsInput!$N$35+1,15,18,21,24,27,30)*(1-EXP(-(0.2*B440)*5)),0)+IF(AND(ArtifactsInput!$M$22,Inputs!$B$4&lt;&gt;"Chapter Hunt"),CHOOSE(ArtifactsInput!$N$22+1,10,12,14,16,18,20)*((0*(((0.15*B440*5))^0/1)+1*(((0.15*B440*5))^1/1)+2*(((0.15*B440*5))^2/2)+3*(((0.15*B440*5))^3/6)+4*(((0.15*B440*5))^4/24)+5*(((0.15*B440*5))^5/120))/((((0.15*B440*5))^0/1)+(((0.15*B440*5))^1/1)+(((0.15*B440*5))^2/2)+(((0.15*B440*5))^3/6)+(((0.15*B440*5))^4/24)+(((0.15*B440*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22">
      <c r="A422">
        <f>Skills!A13</f>
        <v/>
      </c>
      <c r="B422">
        <f>Skills!B13</f>
        <v/>
      </c>
      <c r="C422">
        <f>Inputs!$B$3&gt;=69</f>
        <v/>
      </c>
      <c r="D422">
        <f>IF(Skills!C13=1,60+Inputs!$B$26+Inputs!$B$30,IF(Skills!C13=2,90+Inputs!$B$27+Inputs!$B$30,IF(Skills!C13=3,120+Inputs!$B$28+Inputs!$B$30,MAX(0,(Inputs!$B$3-100)*3)+Inputs!$B$29+Inputs!$B$30)))</f>
        <v/>
      </c>
      <c r="E422">
        <f>INDEX(FactorTable!$B$2:$Y$301, MATCH(ROUND(MIN(300,MAX(1,D422)),0), FactorTable!$A$2:$A$301,0), Skills!M13+1)</f>
        <v/>
      </c>
      <c r="F422">
        <f>IF(Skills!N13=TRUE,(Skills!L13/10)*(E422/1000),Skills!L13/10)+Skills!O13</f>
        <v/>
      </c>
      <c r="G422">
        <f>Skills!G13*IF(Skills!H13&gt;0,INT(IF(Inputs!$B$39="pvp",MIN(Skills!I13,15),Skills!I13)/Skills!H13+0.000000001),1)</f>
        <v/>
      </c>
      <c r="H422">
        <f>1-(1-Skills!J13/100)^Skills!K13</f>
        <v/>
      </c>
      <c r="I422" t="inlineStr">
        <is>
          <t>1</t>
        </is>
      </c>
      <c r="J422" t="inlineStr"/>
      <c r="K422" t="inlineStr"/>
      <c r="L422" t="inlineStr"/>
      <c r="M422" t="inlineStr"/>
      <c r="N422" t="inlineStr"/>
      <c r="O422">
        <f>(1-Summary!$B$11)*T422+Summary!$B$11*V422</f>
        <v/>
      </c>
      <c r="P422">
        <f>IF(B448=0,0,O422/B448)</f>
        <v/>
      </c>
      <c r="Q422">
        <f>IFERROR(1/IF(Inputs!$B$39="pvp",15,MAX(0.1,Skills!D13-IF(TRUE=TRUE,Inputs!$B$33,0))),0)</f>
        <v/>
      </c>
      <c r="R422">
        <f>IF(AND(Inputs!$B$39&lt;&gt;"pvp",Inputs!$B$44&gt;0),IF(Inputs!$B$44&lt;=0,0,(INT(Inputs!$B$44/IF(Inputs!$B$39="pvp",15,MAX(0.1,Skills!D13-IF(TRUE=TRUE,Inputs!$B$33,0))))+1)),0)</f>
        <v/>
      </c>
      <c r="S422">
        <f>IFERROR(O422/N422,0)</f>
        <v/>
      </c>
      <c r="T422" t="n">
        <v>0</v>
      </c>
      <c r="V422" t="n">
        <v>0</v>
      </c>
    </row>
    <row r="423">
      <c r="A423">
        <f>Skills!A14</f>
        <v/>
      </c>
      <c r="B423">
        <f>Skills!B14</f>
        <v/>
      </c>
      <c r="C423">
        <f>Inputs!$B$3&gt;=115</f>
        <v/>
      </c>
      <c r="D423">
        <f>IF(Skills!C14=1,60+Inputs!$B$26+Inputs!$B$30,IF(Skills!C14=2,90+Inputs!$B$27+Inputs!$B$30,IF(Skills!C14=3,120+Inputs!$B$28+Inputs!$B$30,MAX(0,(Inputs!$B$3-100)*3)+Inputs!$B$29+Inputs!$B$30)))</f>
        <v/>
      </c>
      <c r="E423">
        <f>INDEX(FactorTable!$B$2:$Y$301, MATCH(ROUND(MIN(300,MAX(1,D423)),0), FactorTable!$A$2:$A$301,0), Skills!M14+1)</f>
        <v/>
      </c>
      <c r="F423">
        <f>IF(Skills!N14=TRUE,(Skills!L14/10)*(E423/1000),Skills!L14/10)+Skills!O14</f>
        <v/>
      </c>
      <c r="G423">
        <f>Skills!G14*IF(Skills!H14&gt;0,INT(IF(Inputs!$B$39="pvp",MIN(Skills!I14,15),Skills!I14)/Skills!H14+0.000000001),1)</f>
        <v/>
      </c>
      <c r="H423">
        <f>1-(1-Skills!J14/100)^Skills!K14</f>
        <v/>
      </c>
      <c r="I423" t="inlineStr">
        <is>
          <t>1</t>
        </is>
      </c>
      <c r="J423" t="inlineStr"/>
      <c r="K423" t="inlineStr"/>
      <c r="L423" t="inlineStr"/>
      <c r="M423" t="inlineStr"/>
      <c r="N423" t="inlineStr"/>
      <c r="O423">
        <f>(1-Summary!$B$11)*T423+Summary!$B$11*V423</f>
        <v/>
      </c>
      <c r="P423">
        <f>IF(B448=0,0,O423/B448)</f>
        <v/>
      </c>
      <c r="Q423">
        <f>IFERROR(1/IF(Inputs!$B$39="pvp",15,MAX(0.1,Skills!D14-IF(TRUE=TRUE,Inputs!$B$33,0))),0)</f>
        <v/>
      </c>
      <c r="R423">
        <f>IF(AND(Inputs!$B$39&lt;&gt;"pvp",Inputs!$B$44&gt;0),IF(Inputs!$B$44&lt;=0,0,(INT(Inputs!$B$44/IF(Inputs!$B$39="pvp",15,MAX(0.1,Skills!D14-IF(TRUE=TRUE,Inputs!$B$33,0))))+1)),0)</f>
        <v/>
      </c>
      <c r="S423">
        <f>IFERROR(O423/N423,0)</f>
        <v/>
      </c>
      <c r="T423" t="n">
        <v>0</v>
      </c>
      <c r="V423" t="n">
        <v>0</v>
      </c>
    </row>
    <row r="424">
      <c r="A424">
        <f>Skills!A15</f>
        <v/>
      </c>
      <c r="B424">
        <f>Skills!B15</f>
        <v/>
      </c>
      <c r="C424">
        <f>Inputs!$B$3&gt;=66</f>
        <v/>
      </c>
      <c r="D424">
        <f>IF(Skills!C15=1,60+Inputs!$B$26+Inputs!$B$30,IF(Skills!C15=2,90+Inputs!$B$27+Inputs!$B$30,IF(Skills!C15=3,120+Inputs!$B$28+Inputs!$B$30,MAX(0,(Inputs!$B$3-100)*3)+Inputs!$B$29+Inputs!$B$30)))</f>
        <v/>
      </c>
      <c r="E424">
        <f>INDEX(FactorTable!$B$2:$Y$301, MATCH(ROUND(MIN(300,MAX(1,D424)),0), FactorTable!$A$2:$A$301,0), Skills!M15+1)</f>
        <v/>
      </c>
      <c r="F424">
        <f>IF(Skills!N15=TRUE,(Skills!L15/10)*(E424/1000),Skills!L15/10)+Skills!O15</f>
        <v/>
      </c>
      <c r="G424">
        <f>Skills!G15*IF(Skills!H15&gt;0,INT(IF(Inputs!$B$39="pvp",MIN(Skills!I15,15),Skills!I15)/Skills!H15+0.000000001),1)</f>
        <v/>
      </c>
      <c r="H424">
        <f>1-(1-Skills!J15/100)^Skills!K15</f>
        <v/>
      </c>
      <c r="I424" t="inlineStr">
        <is>
          <t>1</t>
        </is>
      </c>
      <c r="J424" t="inlineStr"/>
      <c r="K424" t="inlineStr"/>
      <c r="L424" t="inlineStr"/>
      <c r="M424" t="inlineStr"/>
      <c r="N424" t="inlineStr"/>
      <c r="O424">
        <f>(1-Summary!$B$11)*T424+Summary!$B$11*V424</f>
        <v/>
      </c>
      <c r="P424">
        <f>IF(B448=0,0,O424/B448)</f>
        <v/>
      </c>
      <c r="Q424">
        <f>IFERROR(1/IF(Inputs!$B$39="pvp",15,MAX(0.1,Skills!D15-IF(TRUE=TRUE,Inputs!$B$33,0))),0)</f>
        <v/>
      </c>
      <c r="R424">
        <f>IF(AND(Inputs!$B$39&lt;&gt;"pvp",Inputs!$B$44&gt;0),IF(Inputs!$B$44&lt;=0,0,(INT(Inputs!$B$44/IF(Inputs!$B$39="pvp",15,MAX(0.1,Skills!D15-IF(TRUE=TRUE,Inputs!$B$33,0))))+1)),0)</f>
        <v/>
      </c>
      <c r="S424">
        <f>IFERROR(O424/N424,0)</f>
        <v/>
      </c>
      <c r="T424" t="n">
        <v>0</v>
      </c>
      <c r="V424" t="n">
        <v>0</v>
      </c>
    </row>
    <row r="425">
      <c r="A425">
        <f>Skills!A16</f>
        <v/>
      </c>
      <c r="B425">
        <f>Skills!B16</f>
        <v/>
      </c>
      <c r="C425">
        <f>Inputs!$B$3&gt;=45</f>
        <v/>
      </c>
      <c r="D425">
        <f>IF(Skills!C16=1,60+Inputs!$B$26+Inputs!$B$30,IF(Skills!C16=2,90+Inputs!$B$27+Inputs!$B$30,IF(Skills!C16=3,120+Inputs!$B$28+Inputs!$B$30,MAX(0,(Inputs!$B$3-100)*3)+Inputs!$B$29+Inputs!$B$30)))</f>
        <v/>
      </c>
      <c r="E425">
        <f>INDEX(FactorTable!$B$2:$Y$301, MATCH(ROUND(MIN(300,MAX(1,D425)),0), FactorTable!$A$2:$A$301,0), Skills!M16+1)</f>
        <v/>
      </c>
      <c r="F425">
        <f>IF(Skills!N16=TRUE,(Skills!L16/10)*(E425/1000),Skills!L16/10)+Skills!O16</f>
        <v/>
      </c>
      <c r="G425">
        <f>Skills!G16*IF(Skills!H16&gt;0,INT(IF(Inputs!$B$39="pvp",MIN(Skills!I16,15),Skills!I16)/Skills!H16+0.000000001),1)</f>
        <v/>
      </c>
      <c r="H425">
        <f>1-(1-Skills!J16/100)^Skills!K16</f>
        <v/>
      </c>
      <c r="I425" t="inlineStr">
        <is>
          <t>1</t>
        </is>
      </c>
      <c r="J425" t="inlineStr"/>
      <c r="K425" t="inlineStr"/>
      <c r="L425" t="inlineStr"/>
      <c r="M425" t="inlineStr"/>
      <c r="N425" t="inlineStr"/>
      <c r="O425">
        <f>(1-Summary!$B$11)*T425+Summary!$B$11*V425</f>
        <v/>
      </c>
      <c r="P425">
        <f>IF(B448=0,0,O425/B448)</f>
        <v/>
      </c>
      <c r="Q425">
        <f>IFERROR(1/IF(Inputs!$B$39="pvp",15,MAX(0.1,Skills!D16-IF(TRUE=TRUE,Inputs!$B$33,0))),0)</f>
        <v/>
      </c>
      <c r="R425">
        <f>IF(AND(Inputs!$B$39&lt;&gt;"pvp",Inputs!$B$44&gt;0),IF(Inputs!$B$44&lt;=0,0,(INT(Inputs!$B$44/IF(Inputs!$B$39="pvp",15,MAX(0.1,Skills!D16-IF(TRUE=TRUE,Inputs!$B$33,0))))+1)),0)</f>
        <v/>
      </c>
      <c r="S425">
        <f>IFERROR(O425/N425,0)</f>
        <v/>
      </c>
      <c r="T425" t="n">
        <v>0</v>
      </c>
      <c r="V425" t="n">
        <v>0</v>
      </c>
    </row>
    <row r="426">
      <c r="A426">
        <f>Skills!A17</f>
        <v/>
      </c>
      <c r="B426">
        <f>Skills!B17</f>
        <v/>
      </c>
      <c r="C426">
        <f>Inputs!$B$3&gt;=35</f>
        <v/>
      </c>
      <c r="D426">
        <f>IF(Skills!C17=1,60+Inputs!$B$26+Inputs!$B$30,IF(Skills!C17=2,90+Inputs!$B$27+Inputs!$B$30,IF(Skills!C17=3,120+Inputs!$B$28+Inputs!$B$30,MAX(0,(Inputs!$B$3-100)*3)+Inputs!$B$29+Inputs!$B$30)))</f>
        <v/>
      </c>
      <c r="E426">
        <f>INDEX(FactorTable!$B$2:$Y$301, MATCH(ROUND(MIN(300,MAX(1,D426)),0), FactorTable!$A$2:$A$301,0), Skills!M17+1)</f>
        <v/>
      </c>
      <c r="F426">
        <f>IF(Skills!N17=TRUE,(Skills!L17/10)*(E426/1000),Skills!L17/10)+Skills!O17</f>
        <v/>
      </c>
      <c r="G426">
        <f>Skills!G17*IF(Skills!H17&gt;0,INT(IF(Inputs!$B$39="pvp",MIN(Skills!I17,15),Skills!I17)/Skills!H17+0.000000001),1)</f>
        <v/>
      </c>
      <c r="H426">
        <f>1-(1-Skills!J17/100)^Skills!K17</f>
        <v/>
      </c>
      <c r="I426" t="inlineStr">
        <is>
          <t>1</t>
        </is>
      </c>
      <c r="J426" t="inlineStr"/>
      <c r="K426" t="inlineStr"/>
      <c r="L426" t="inlineStr"/>
      <c r="M426" t="inlineStr"/>
      <c r="N426" t="inlineStr"/>
      <c r="O426">
        <f>(1-Summary!$B$11)*T426+Summary!$B$11*V426</f>
        <v/>
      </c>
      <c r="P426">
        <f>IF(B448=0,0,O426/B448)</f>
        <v/>
      </c>
      <c r="Q426">
        <f>IFERROR(1/IF(Inputs!$B$39="pvp",15,MAX(0.1,Skills!D17-IF(TRUE=TRUE,Inputs!$B$33,0))),0)</f>
        <v/>
      </c>
      <c r="R426">
        <f>IF(AND(Inputs!$B$39&lt;&gt;"pvp",Inputs!$B$44&gt;0),IF(Inputs!$B$44&lt;=0,0,(INT(Inputs!$B$44/IF(Inputs!$B$39="pvp",15,MAX(0.1,Skills!D17-IF(TRUE=TRUE,Inputs!$B$33,0))))+1)),0)</f>
        <v/>
      </c>
      <c r="S426">
        <f>IFERROR(O426/N426,0)</f>
        <v/>
      </c>
      <c r="T426" t="n">
        <v>0</v>
      </c>
      <c r="V426" t="n">
        <v>0</v>
      </c>
    </row>
    <row r="427">
      <c r="A427">
        <f>Skills!A18</f>
        <v/>
      </c>
      <c r="B427">
        <f>Skills!B18</f>
        <v/>
      </c>
      <c r="C427">
        <f>Inputs!$B$3&gt;=72</f>
        <v/>
      </c>
      <c r="D427">
        <f>IF(Skills!C18=1,60+Inputs!$B$26+Inputs!$B$30,IF(Skills!C18=2,90+Inputs!$B$27+Inputs!$B$30,IF(Skills!C18=3,120+Inputs!$B$28+Inputs!$B$30,MAX(0,(Inputs!$B$3-100)*3)+Inputs!$B$29+Inputs!$B$30)))</f>
        <v/>
      </c>
      <c r="E427">
        <f>INDEX(FactorTable!$B$2:$Y$301, MATCH(ROUND(MIN(300,MAX(1,D427)),0), FactorTable!$A$2:$A$301,0), Skills!M18+1)</f>
        <v/>
      </c>
      <c r="F427">
        <f>IF(Skills!N18=TRUE,(Skills!L18/10)*(E427/1000),Skills!L18/10)+Skills!O18</f>
        <v/>
      </c>
      <c r="G427">
        <f>Skills!G18*IF(Skills!H18&gt;0,INT(IF(Inputs!$B$39="pvp",MIN(Skills!I18,15),Skills!I18)/Skills!H18+0.000000001),1)</f>
        <v/>
      </c>
      <c r="H427">
        <f>1-(1-Skills!J18/100)^Skills!K18</f>
        <v/>
      </c>
      <c r="I427" t="inlineStr">
        <is>
          <t>1</t>
        </is>
      </c>
      <c r="J427" t="inlineStr"/>
      <c r="K427" t="inlineStr"/>
      <c r="L427" t="inlineStr"/>
      <c r="M427" t="inlineStr"/>
      <c r="N427" t="inlineStr"/>
      <c r="O427">
        <f>(1-Summary!$B$11)*T427+Summary!$B$11*V427</f>
        <v/>
      </c>
      <c r="P427">
        <f>IF(B448=0,0,O427/B448)</f>
        <v/>
      </c>
      <c r="Q427">
        <f>IFERROR(1/IF(Inputs!$B$39="pvp",15,MAX(0.1,Skills!D18-IF(TRUE=TRUE,Inputs!$B$33,0))),0)</f>
        <v/>
      </c>
      <c r="R427">
        <f>IF(AND(Inputs!$B$39&lt;&gt;"pvp",Inputs!$B$44&gt;0),IF(Inputs!$B$44&lt;=0,0,(INT(Inputs!$B$44/IF(Inputs!$B$39="pvp",15,MAX(0.1,Skills!D18-IF(TRUE=TRUE,Inputs!$B$33,0))))+1)),0)</f>
        <v/>
      </c>
      <c r="S427">
        <f>IFERROR(O427/N427,0)</f>
        <v/>
      </c>
      <c r="T427" t="n">
        <v>0</v>
      </c>
      <c r="V427" t="n">
        <v>0</v>
      </c>
    </row>
    <row r="428">
      <c r="A428">
        <f>Skills!A19</f>
        <v/>
      </c>
      <c r="B428">
        <f>Skills!B19</f>
        <v/>
      </c>
      <c r="C428">
        <f>Inputs!$B$3&gt;=72</f>
        <v/>
      </c>
      <c r="D428">
        <f>IF(Skills!C19=1,60+Inputs!$B$26+Inputs!$B$30,IF(Skills!C19=2,90+Inputs!$B$27+Inputs!$B$30,IF(Skills!C19=3,120+Inputs!$B$28+Inputs!$B$30,MAX(0,(Inputs!$B$3-100)*3)+Inputs!$B$29+Inputs!$B$30)))</f>
        <v/>
      </c>
      <c r="E428">
        <f>INDEX(FactorTable!$B$2:$Y$301, MATCH(ROUND(MIN(300,MAX(1,D428)),0), FactorTable!$A$2:$A$301,0), Skills!M19+1)</f>
        <v/>
      </c>
      <c r="F428">
        <f>IF(Skills!N19=TRUE,(Skills!L19/10)*(E428/1000),Skills!L19/10)+Skills!O19</f>
        <v/>
      </c>
      <c r="G428">
        <f>Skills!G19*IF(Skills!H19&gt;0,INT(IF(Inputs!$B$39="pvp",MIN(Skills!I19,15),Skills!I19)/Skills!H19+0.000000001),1)</f>
        <v/>
      </c>
      <c r="H428">
        <f>1-(1-Skills!J19/100)^Skills!K19</f>
        <v/>
      </c>
      <c r="I428" t="inlineStr">
        <is>
          <t>1</t>
        </is>
      </c>
      <c r="J428" t="inlineStr"/>
      <c r="K428" t="inlineStr"/>
      <c r="L428" t="inlineStr"/>
      <c r="M428" t="inlineStr"/>
      <c r="N428" t="inlineStr"/>
      <c r="O428">
        <f>(1-Summary!$B$11)*T428+Summary!$B$11*V428</f>
        <v/>
      </c>
      <c r="P428">
        <f>IF(B448=0,0,O428/B448)</f>
        <v/>
      </c>
      <c r="Q428">
        <f>IFERROR(1/IF(Inputs!$B$39="pvp",15,MAX(0.1,Skills!D19-IF(TRUE=TRUE,Inputs!$B$33,0))),0)</f>
        <v/>
      </c>
      <c r="R428">
        <f>IF(AND(Inputs!$B$39&lt;&gt;"pvp",Inputs!$B$44&gt;0),IF(Inputs!$B$44&lt;=0,0,(INT(Inputs!$B$44/IF(Inputs!$B$39="pvp",15,MAX(0.1,Skills!D19-IF(TRUE=TRUE,Inputs!$B$33,0))))+1)),0)</f>
        <v/>
      </c>
      <c r="S428">
        <f>IFERROR(O428/N428,0)</f>
        <v/>
      </c>
      <c r="T428" t="n">
        <v>0</v>
      </c>
      <c r="V428" t="n">
        <v>0</v>
      </c>
    </row>
    <row r="429">
      <c r="A429">
        <f>Skills!A20</f>
        <v/>
      </c>
      <c r="B429">
        <f>Skills!B20</f>
        <v/>
      </c>
      <c r="C429">
        <f>TRUE</f>
        <v/>
      </c>
      <c r="D429">
        <f>IF(Skills!C20=1,60+Inputs!$B$26+Inputs!$B$30,IF(Skills!C20=2,90+Inputs!$B$27+Inputs!$B$30,IF(Skills!C20=3,120+Inputs!$B$28+Inputs!$B$30,MAX(0,(Inputs!$B$3-100)*3)+Inputs!$B$29+Inputs!$B$30)))</f>
        <v/>
      </c>
      <c r="E429">
        <f>INDEX(FactorTable!$B$2:$Y$301, MATCH(ROUND(MIN(300,MAX(1,D429)),0), FactorTable!$A$2:$A$301,0), Skills!M20+1)</f>
        <v/>
      </c>
      <c r="F429">
        <f>IF(Skills!N20=TRUE,(Skills!L20/10)*(E429/1000),Skills!L20/10)+Skills!O20</f>
        <v/>
      </c>
      <c r="G429">
        <f>Skills!G20*IF(Skills!H20&gt;0,INT(IF(Inputs!$B$39="pvp",MIN(Skills!I20,15),Skills!I20)/Skills!H20+0.000000001),1)</f>
        <v/>
      </c>
      <c r="H429">
        <f>1-(1-Skills!J20/100)^Skills!K20</f>
        <v/>
      </c>
      <c r="I429" t="inlineStr">
        <is>
          <t>1</t>
        </is>
      </c>
      <c r="J429" t="inlineStr"/>
      <c r="K429" t="inlineStr"/>
      <c r="L429" t="inlineStr"/>
      <c r="M429" t="inlineStr"/>
      <c r="N429" t="inlineStr"/>
      <c r="O429">
        <f>(1-Summary!$B$11)*T429+Summary!$B$11*V429</f>
        <v/>
      </c>
      <c r="P429">
        <f>IF(B448=0,0,O429/B448)</f>
        <v/>
      </c>
      <c r="Q429">
        <f>IFERROR(1/IF(Inputs!$B$39="pvp",15,MAX(0.1,Skills!D20-IF(TRUE=TRUE,Inputs!$B$33,0))),0)</f>
        <v/>
      </c>
      <c r="R429">
        <f>IF(AND(Inputs!$B$39&lt;&gt;"pvp",Inputs!$B$44&gt;0),IF(Inputs!$B$44&lt;=0,0,(INT(Inputs!$B$44/IF(Inputs!$B$39="pvp",15,MAX(0.1,Skills!D20-IF(TRUE=TRUE,Inputs!$B$33,0))))+1)),0)</f>
        <v/>
      </c>
      <c r="S429">
        <f>IFERROR(O429/N429,0)</f>
        <v/>
      </c>
      <c r="T429" t="n">
        <v>0</v>
      </c>
      <c r="V429" t="n">
        <v>0</v>
      </c>
    </row>
    <row r="430">
      <c r="A430">
        <f>Skills!A21</f>
        <v/>
      </c>
      <c r="B430">
        <f>Skills!B21</f>
        <v/>
      </c>
      <c r="C430">
        <f>Inputs!$B$3&gt;=33</f>
        <v/>
      </c>
      <c r="D430">
        <f>IF(Skills!C21=1,60+Inputs!$B$26+Inputs!$B$30,IF(Skills!C21=2,90+Inputs!$B$27+Inputs!$B$30,IF(Skills!C21=3,120+Inputs!$B$28+Inputs!$B$30,MAX(0,(Inputs!$B$3-100)*3)+Inputs!$B$29+Inputs!$B$30)))</f>
        <v/>
      </c>
      <c r="E430">
        <f>INDEX(FactorTable!$B$2:$Y$301, MATCH(ROUND(MIN(300,MAX(1,D430)),0), FactorTable!$A$2:$A$301,0), Skills!M21+1)</f>
        <v/>
      </c>
      <c r="F430">
        <f>IF(Skills!N21=TRUE,(Skills!L21/10)*(E430/1000),Skills!L21/10)+Skills!O21</f>
        <v/>
      </c>
      <c r="G430">
        <f>Skills!G21*IF(Skills!H21&gt;0,INT(IF(Inputs!$B$39="pvp",MIN(Skills!I21,15),Skills!I21)/Skills!H21+0.000000001),1)</f>
        <v/>
      </c>
      <c r="H430">
        <f>1-(1-Skills!J21/100)^Skills!K21</f>
        <v/>
      </c>
      <c r="I430" t="inlineStr">
        <is>
          <t>1</t>
        </is>
      </c>
      <c r="J430" t="inlineStr"/>
      <c r="K430" t="inlineStr"/>
      <c r="L430" t="inlineStr"/>
      <c r="M430" t="inlineStr"/>
      <c r="N430" t="inlineStr"/>
      <c r="O430">
        <f>(1-Summary!$B$11)*T430+Summary!$B$11*V430</f>
        <v/>
      </c>
      <c r="P430">
        <f>IF(B448=0,0,O430/B448)</f>
        <v/>
      </c>
      <c r="Q430" t="n">
        <v>0</v>
      </c>
      <c r="R430" t="n">
        <v>0</v>
      </c>
      <c r="S430">
        <f>IFERROR(O430/N430,0)</f>
        <v/>
      </c>
      <c r="T430" t="n">
        <v>0</v>
      </c>
      <c r="V430" t="n">
        <v>0</v>
      </c>
    </row>
    <row r="431">
      <c r="A431">
        <f>Skills!A22</f>
        <v/>
      </c>
      <c r="B431">
        <f>Skills!B22</f>
        <v/>
      </c>
      <c r="C431">
        <f>Inputs!$B$3&gt;=43</f>
        <v/>
      </c>
      <c r="D431">
        <f>IF(Skills!C22=1,60+Inputs!$B$26+Inputs!$B$30,IF(Skills!C22=2,90+Inputs!$B$27+Inputs!$B$30,IF(Skills!C22=3,120+Inputs!$B$28+Inputs!$B$30,MAX(0,(Inputs!$B$3-100)*3)+Inputs!$B$29+Inputs!$B$30)))</f>
        <v/>
      </c>
      <c r="E431">
        <f>INDEX(FactorTable!$B$2:$Y$301, MATCH(ROUND(MIN(300,MAX(1,D431)),0), FactorTable!$A$2:$A$301,0), Skills!M22+1)</f>
        <v/>
      </c>
      <c r="F431">
        <f>IF(Skills!N22=TRUE,(Skills!L22/10)*(E431/1000),Skills!L22/10)+Skills!O22</f>
        <v/>
      </c>
      <c r="G431">
        <f>Skills!G22*IF(Skills!H22&gt;0,INT(IF(Inputs!$B$39="pvp",MIN(Skills!I22,15),Skills!I22)/Skills!H22+0.000000001),1)</f>
        <v/>
      </c>
      <c r="H431">
        <f>1-(1-Skills!J22/100)^Skills!K22</f>
        <v/>
      </c>
      <c r="I431" t="inlineStr">
        <is>
          <t>1</t>
        </is>
      </c>
      <c r="J431" t="inlineStr"/>
      <c r="K431" t="inlineStr"/>
      <c r="L431" t="inlineStr"/>
      <c r="M431" t="inlineStr"/>
      <c r="N431" t="inlineStr"/>
      <c r="O431">
        <f>(1-Summary!$B$11)*T431+Summary!$B$11*V431</f>
        <v/>
      </c>
      <c r="P431">
        <f>IF(B448=0,0,O431/B448)</f>
        <v/>
      </c>
      <c r="Q431" t="n">
        <v>0</v>
      </c>
      <c r="R431" t="n">
        <v>0</v>
      </c>
      <c r="S431">
        <f>IFERROR(O431/N431,0)</f>
        <v/>
      </c>
      <c r="T431" t="n">
        <v>0</v>
      </c>
      <c r="V431" t="n">
        <v>0</v>
      </c>
    </row>
    <row r="432">
      <c r="A432">
        <f>Skills!A23</f>
        <v/>
      </c>
      <c r="B432">
        <f>Skills!B23</f>
        <v/>
      </c>
      <c r="C432">
        <f>Inputs!$B$3&gt;=120</f>
        <v/>
      </c>
      <c r="D432">
        <f>IF(Skills!C23=1,60+Inputs!$B$26+Inputs!$B$30,IF(Skills!C23=2,90+Inputs!$B$27+Inputs!$B$30,IF(Skills!C23=3,120+Inputs!$B$28+Inputs!$B$30,MAX(0,(Inputs!$B$3-100)*3)+Inputs!$B$29+Inputs!$B$30)))</f>
        <v/>
      </c>
      <c r="E432">
        <f>INDEX(FactorTable!$B$2:$Y$301, MATCH(ROUND(MIN(300,MAX(1,D432)),0), FactorTable!$A$2:$A$301,0), Skills!M23+1)</f>
        <v/>
      </c>
      <c r="F432">
        <f>IF(Skills!N23=TRUE,(Skills!L23/10)*(E432/1000),Skills!L23/10)+Skills!O23</f>
        <v/>
      </c>
      <c r="G432">
        <f>Skills!G23*IF(Skills!H23&gt;0,INT(IF(Inputs!$B$39="pvp",MIN(Skills!I23,15),Skills!I23)/Skills!H23+0.000000001),1)</f>
        <v/>
      </c>
      <c r="H432">
        <f>1-(1-Skills!J23/100)^Skills!K23</f>
        <v/>
      </c>
      <c r="I432" t="inlineStr">
        <is>
          <t>1</t>
        </is>
      </c>
      <c r="J432" t="inlineStr"/>
      <c r="K432" t="inlineStr"/>
      <c r="L432" t="inlineStr"/>
      <c r="M432" t="inlineStr"/>
      <c r="N432" t="inlineStr"/>
      <c r="O432">
        <f>(1-Summary!$B$11)*T432+Summary!$B$11*V432</f>
        <v/>
      </c>
      <c r="P432">
        <f>IF(B448=0,0,O432/B448)</f>
        <v/>
      </c>
      <c r="Q432" t="n">
        <v>0</v>
      </c>
      <c r="R432" t="n">
        <v>0</v>
      </c>
      <c r="S432">
        <f>IFERROR(O432/N432,0)</f>
        <v/>
      </c>
      <c r="T432" t="n">
        <v>0</v>
      </c>
      <c r="V432" t="n">
        <v>0</v>
      </c>
    </row>
    <row r="433">
      <c r="A433">
        <f>Skills!A24</f>
        <v/>
      </c>
      <c r="B433">
        <f>Skills!B24</f>
        <v/>
      </c>
      <c r="C433">
        <f>Inputs!$B$3&gt;=120</f>
        <v/>
      </c>
      <c r="D433">
        <f>IF(Skills!C24=1,60+Inputs!$B$26+Inputs!$B$30,IF(Skills!C24=2,90+Inputs!$B$27+Inputs!$B$30,IF(Skills!C24=3,120+Inputs!$B$28+Inputs!$B$30,MAX(0,(Inputs!$B$3-100)*3)+Inputs!$B$29+Inputs!$B$30)))</f>
        <v/>
      </c>
      <c r="E433">
        <f>INDEX(FactorTable!$B$2:$Y$301, MATCH(ROUND(MIN(300,MAX(1,D433)),0), FactorTable!$A$2:$A$301,0), Skills!M24+1)</f>
        <v/>
      </c>
      <c r="F433">
        <f>IF(Skills!N24=TRUE,(Skills!L24/10)*(E433/1000),Skills!L24/10)+Skills!O24</f>
        <v/>
      </c>
      <c r="G433">
        <f>Skills!G24*IF(Skills!H24&gt;0,INT(IF(Inputs!$B$39="pvp",MIN(Skills!I24,15),Skills!I24)/Skills!H24+0.000000001),1)</f>
        <v/>
      </c>
      <c r="H433">
        <f>1-(1-Skills!J24/100)^Skills!K24</f>
        <v/>
      </c>
      <c r="I433" t="inlineStr">
        <is>
          <t>1</t>
        </is>
      </c>
      <c r="J433" t="inlineStr"/>
      <c r="K433" t="inlineStr"/>
      <c r="L433" t="inlineStr"/>
      <c r="M433" t="inlineStr"/>
      <c r="N433" t="inlineStr"/>
      <c r="O433">
        <f>(1-Summary!$B$11)*T433+Summary!$B$11*V433</f>
        <v/>
      </c>
      <c r="P433">
        <f>IF(B448=0,0,O433/B448)</f>
        <v/>
      </c>
      <c r="Q433" t="n">
        <v>0</v>
      </c>
      <c r="R433" t="n">
        <v>0</v>
      </c>
      <c r="S433">
        <f>IFERROR(O433/N433,0)</f>
        <v/>
      </c>
      <c r="T433" t="n">
        <v>0</v>
      </c>
      <c r="V433" t="n">
        <v>0</v>
      </c>
    </row>
    <row r="434">
      <c r="A434">
        <f>Skills!A25</f>
        <v/>
      </c>
      <c r="B434">
        <f>Skills!B25</f>
        <v/>
      </c>
      <c r="C434">
        <f>Inputs!$B$3&gt;=125</f>
        <v/>
      </c>
      <c r="D434">
        <f>IF(Skills!C25=1,60+Inputs!$B$26+Inputs!$B$30,IF(Skills!C25=2,90+Inputs!$B$27+Inputs!$B$30,IF(Skills!C25=3,120+Inputs!$B$28+Inputs!$B$30,MAX(0,(Inputs!$B$3-100)*3)+Inputs!$B$29+Inputs!$B$30)))</f>
        <v/>
      </c>
      <c r="E434">
        <f>INDEX(FactorTable!$B$2:$Y$301, MATCH(ROUND(MIN(300,MAX(1,D434)),0), FactorTable!$A$2:$A$301,0), Skills!M25+1)</f>
        <v/>
      </c>
      <c r="F434">
        <f>IF(Skills!N25=TRUE,(Skills!L25/10)*(E434/1000),Skills!L25/10)+Skills!O25</f>
        <v/>
      </c>
      <c r="G434">
        <f>Skills!G25*IF(Skills!H25&gt;0,INT(IF(Inputs!$B$39="pvp",MIN(Skills!I25,15),Skills!I25)/Skills!H25+0.000000001),1)</f>
        <v/>
      </c>
      <c r="H434">
        <f>1-(1-Skills!J25/100)^Skills!K25</f>
        <v/>
      </c>
      <c r="I434" t="inlineStr">
        <is>
          <t>1</t>
        </is>
      </c>
      <c r="J434" t="inlineStr"/>
      <c r="K434" t="inlineStr"/>
      <c r="L434" t="inlineStr"/>
      <c r="M434" t="inlineStr"/>
      <c r="N434" t="inlineStr"/>
      <c r="O434">
        <f>(1-Summary!$B$11)*T434+Summary!$B$11*V434</f>
        <v/>
      </c>
      <c r="P434">
        <f>IF(B448=0,0,O434/B448)</f>
        <v/>
      </c>
      <c r="Q434" t="n">
        <v>0</v>
      </c>
      <c r="R434" t="n">
        <v>0</v>
      </c>
      <c r="S434">
        <f>IFERROR(O434/N434,0)</f>
        <v/>
      </c>
      <c r="T434" t="n">
        <v>0</v>
      </c>
      <c r="V434" t="n">
        <v>0</v>
      </c>
    </row>
    <row r="435">
      <c r="A435">
        <f>Skills!A26</f>
        <v/>
      </c>
      <c r="B435">
        <f>Skills!B26</f>
        <v/>
      </c>
      <c r="C435">
        <f>Inputs!$B$3&gt;=107</f>
        <v/>
      </c>
      <c r="D435">
        <f>IF(Skills!C26=1,60+Inputs!$B$26+Inputs!$B$30,IF(Skills!C26=2,90+Inputs!$B$27+Inputs!$B$30,IF(Skills!C26=3,120+Inputs!$B$28+Inputs!$B$30,MAX(0,(Inputs!$B$3-100)*3)+Inputs!$B$29+Inputs!$B$30)))</f>
        <v/>
      </c>
      <c r="E435">
        <f>INDEX(FactorTable!$B$2:$Y$301, MATCH(ROUND(MIN(300,MAX(1,D435)),0), FactorTable!$A$2:$A$301,0), Skills!M26+1)</f>
        <v/>
      </c>
      <c r="F435">
        <f>IF(Skills!N26=TRUE,(Skills!L26/10)*(E435/1000),Skills!L26/10)+Skills!O26</f>
        <v/>
      </c>
      <c r="G435">
        <f>Skills!G26*IF(Skills!H26&gt;0,INT(IF(Inputs!$B$39="pvp",MIN(Skills!I26,15),Skills!I26)/Skills!H26+0.000000001),1)</f>
        <v/>
      </c>
      <c r="H435">
        <f>1-(1-Skills!J26/100)^Skills!K26</f>
        <v/>
      </c>
      <c r="I435" t="inlineStr">
        <is>
          <t>1</t>
        </is>
      </c>
      <c r="J435" t="inlineStr"/>
      <c r="K435" t="inlineStr"/>
      <c r="L435" t="inlineStr"/>
      <c r="M435" t="inlineStr"/>
      <c r="N435" t="inlineStr"/>
      <c r="O435">
        <f>(1-Summary!$B$11)*T435+Summary!$B$11*V435</f>
        <v/>
      </c>
      <c r="P435">
        <f>IF(B448=0,0,O435/B448)</f>
        <v/>
      </c>
      <c r="Q435" t="n">
        <v>0</v>
      </c>
      <c r="R435" t="n">
        <v>0</v>
      </c>
      <c r="S435">
        <f>IFERROR(O435/N435,0)</f>
        <v/>
      </c>
      <c r="T435" t="n">
        <v>0</v>
      </c>
      <c r="V435" t="n">
        <v>0</v>
      </c>
    </row>
    <row r="437">
      <c r="A437" t="inlineStr">
        <is>
          <t>Attack% Bucket Multiplier</t>
        </is>
      </c>
      <c r="B437">
        <f>(1+(((C422=TRUE)*F422*IF(AND(Inputs!$B$39&lt;&gt;"pvp",Inputs!$B$44&gt;0),(((R422-1)*MIN((Skills!T13*(1+Inputs!$B$35/100)),(1/Q422))+MIN((Skills!T13*(1+Inputs!$B$35/100)),MAX(0,Inputs!$B$44-((R422-1)*(1/Q422)))))/Inputs!$B$44),IF(Inputs!$B$39="pvp",MIN((Skills!T13*(1+Inputs!$B$35/100)),15)/15,MIN(1,(Skills!T13*(1+Inputs!$B$35/100))/(1/Q422)))))+((C423=TRUE)*F423*IF(AND(Inputs!$B$39&lt;&gt;"pvp",Inputs!$B$44&gt;0),(((R423-1)*MIN((Skills!T14*(1+Inputs!$B$35/100)),(1/Q423))+MIN((Skills!T14*(1+Inputs!$B$35/100)),MAX(0,Inputs!$B$44-((R423-1)*(1/Q423)))))/Inputs!$B$44),IF(Inputs!$B$39="pvp",MIN((Skills!T14*(1+Inputs!$B$35/100)),15)/15,MIN(1,(Skills!T14*(1+Inputs!$B$35/100))/(1/Q423)))))+((C424=TRUE)*F424*IF(AND(Inputs!$B$39&lt;&gt;"pvp",Inputs!$B$44&gt;0),(((R424-1)*MIN((Skills!T15*(1+Inputs!$B$35/100)),(1/Q424))+MIN((Skills!T15*(1+Inputs!$B$35/100)),MAX(0,Inputs!$B$44-((R424-1)*(1/Q424)))))/Inputs!$B$44),IF(Inputs!$B$39="pvp",MIN((Skills!T15*(1+Inputs!$B$35/100)),15)/15,MIN(1,(Skills!T15*(1+Inputs!$B$35/100))/(1/Q424)))))+((C425=TRUE)*F425*IF(AND(Inputs!$B$39&lt;&gt;"pvp",Inputs!$B$44&gt;0),(((R425-1)*MIN((Skills!T16*(1+Inputs!$B$35/100)),(1/Q425))+MIN((Skills!T16*(1+Inputs!$B$35/100)),MAX(0,Inputs!$B$44-((R425-1)*(1/Q425)))))/Inputs!$B$44),IF(Inputs!$B$39="pvp",MIN((Skills!T16*(1+Inputs!$B$35/100)),15)/15,MIN(1,(Skills!T16*(1+Inputs!$B$35/100))/(1/Q425)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438">
      <c r="A438" t="inlineStr">
        <is>
          <t>Global Crit Rate Bonus % (Lord of Darkness)</t>
        </is>
      </c>
      <c r="B438">
        <f>((C427=TRUE)*F427*(Skills!J18/100)*IF(AND(Inputs!$B$39&lt;&gt;"pvp",Inputs!$B$44&gt;0),(((R427-1)*MIN((Skills!T18*(1+Inputs!$B$35/100)),(1/Q427))+MIN((Skills!T18*(1+Inputs!$B$35/100)),MAX(0,Inputs!$B$44-((R427-1)*(1/Q427)))))/Inputs!$B$44),IF(Inputs!$B$39="pvp",MIN((Skills!T18*(1+Inputs!$B$35/100)),15)/15,MIN(1,(Skills!T18*(1+Inputs!$B$35/100))/(1/Q427)))))</f>
        <v/>
      </c>
    </row>
    <row r="439">
      <c r="A439" t="inlineStr">
        <is>
          <t>Attack Speed Buff Bonus %</t>
        </is>
      </c>
      <c r="B439">
        <f>((C429=TRUE)*F429*IF(AND(Inputs!$B$39&lt;&gt;"pvp",Inputs!$B$44&gt;0),(((R429-1)*MIN((Skills!T20*(1+Inputs!$B$35/100)),(1/Q429))+MIN((Skills!T20*(1+Inputs!$B$35/100)),MAX(0,Inputs!$B$44-((R429-1)*(1/Q429)))))/Inputs!$B$44),IF(Inputs!$B$39="pvp",MIN((Skills!T20*(1+Inputs!$B$35/100)),15)/15,MIN(1,(Skills!T20*(1+Inputs!$B$35/100))/(1/Q429)))))</f>
        <v/>
      </c>
    </row>
    <row r="440">
      <c r="A440" t="inlineStr">
        <is>
          <t>Actions Per Second</t>
        </is>
      </c>
      <c r="B440">
        <f>1+MIN(150,150*(1-(1-(Inputs!$B$12+((C430=TRUE)*(F430-Calc!F21)))/150)*(1-B439/150)))/100</f>
        <v/>
      </c>
    </row>
    <row r="441">
      <c r="A441" t="inlineStr">
        <is>
          <t>Skill + Buff Cast Rate</t>
        </is>
      </c>
      <c r="B441">
        <f>IF(AND(Inputs!$B$39&lt;&gt;"pvp",Inputs!$B$44&gt;0),SUMPRODUCT((Skills!E2:E26=TRUE)*(C411:C435=TRUE)*R411:R435*Skills!F2:F26)/Inputs!$B$44,SUMPRODUCT((Skills!E2:E26=TRUE)*(C411:C435=TRUE)*Q411:Q435*Skills!F2:F26))</f>
        <v/>
      </c>
    </row>
    <row r="442">
      <c r="A442" t="inlineStr">
        <is>
          <t>Dark Impale Casts Per Second</t>
        </is>
      </c>
      <c r="B442">
        <f>MAX(0,B440-B441)</f>
        <v/>
      </c>
    </row>
    <row r="443">
      <c r="A443" t="inlineStr">
        <is>
          <t>Global Critical Damage Bonus % (Lord of Darkness)</t>
        </is>
      </c>
      <c r="B443">
        <f>((C428=TRUE)*F428*(Skills!J19/100)*IF(AND(Inputs!$B$39&lt;&gt;"pvp",Inputs!$B$44&gt;0),(((R428-1)*MIN((Skills!T19*(1+Inputs!$B$35/100)),(1/Q428))+MIN((Skills!T19*(1+Inputs!$B$35/100)),MAX(0,Inputs!$B$44-((R428-1)*(1/Q428)))))/Inputs!$B$44),IF(Inputs!$B$39="pvp",MIN((Skills!T19*(1+Inputs!$B$35/100)),15)/15,MIN(1,(Skills!T19*(1+Inputs!$B$35/100))/(1/Q428)))))</f>
        <v/>
      </c>
    </row>
    <row r="444">
      <c r="A444" t="inlineStr">
        <is>
          <t>Global Final Damage Bonus % (unused)</t>
        </is>
      </c>
      <c r="B444" t="n">
        <v>0</v>
      </c>
    </row>
    <row r="445">
      <c r="A445" t="inlineStr">
        <is>
          <t>Buff-Casting Startup Delay (s, fixed-duration only)</t>
        </is>
      </c>
      <c r="B445">
        <f>IF(AND(Inputs!$B$39&lt;&gt;"pvp",Inputs!$B$44&gt;0),SUMPRODUCT((Skills!T2:T26&gt;0)*(Skills!E2:E26=TRUE)*(C411:C435=TRUE))/B440,0)</f>
        <v/>
      </c>
    </row>
    <row r="446">
      <c r="A446" t="inlineStr">
        <is>
          <t>Boss-Only Total DPS (this block's swept value)</t>
        </is>
      </c>
      <c r="B446">
        <f>SUM(T411:T435)</f>
        <v/>
      </c>
    </row>
    <row r="447">
      <c r="A447" t="inlineStr">
        <is>
          <t>Normal-Only Total DPS (this block's swept value)</t>
        </is>
      </c>
      <c r="B447">
        <f>SUM(V411:V435)</f>
        <v/>
      </c>
    </row>
    <row r="448">
      <c r="A448" s="6" t="inlineStr">
        <is>
          <t>TOTAL DPS</t>
        </is>
      </c>
      <c r="B448" s="6">
        <f>SUM(O411:O435)</f>
        <v/>
      </c>
    </row>
    <row r="451">
      <c r="A451" s="6" t="inlineStr">
        <is>
          <t>Stat: FINAL_DAMAGE % (multiplicative source)</t>
        </is>
      </c>
    </row>
    <row r="452">
      <c r="A452" s="5" t="inlineStr">
        <is>
          <t>Key</t>
        </is>
      </c>
      <c r="B452" s="5" t="inlineStr">
        <is>
          <t>Name</t>
        </is>
      </c>
      <c r="C452" s="5" t="inlineStr">
        <is>
          <t>Unlocked</t>
        </is>
      </c>
      <c r="D452" s="5" t="inlineStr">
        <is>
          <t>InputLevel</t>
        </is>
      </c>
      <c r="E452" s="5" t="inlineStr">
        <is>
          <t>Factor</t>
        </is>
      </c>
      <c r="F452" s="5" t="inlineStr">
        <is>
          <t>CoefficientPercent</t>
        </is>
      </c>
      <c r="G452" s="5" t="inlineStr">
        <is>
          <t>EffectiveHits</t>
        </is>
      </c>
      <c r="H452" s="5" t="inlineStr">
        <is>
          <t>ProcProbability</t>
        </is>
      </c>
      <c r="I452" s="5" t="inlineStr">
        <is>
          <t>MapleHeroMultiplier</t>
        </is>
      </c>
      <c r="J452" s="5" t="inlineStr">
        <is>
          <t>BaseDamage</t>
        </is>
      </c>
      <c r="K452" s="5" t="inlineStr">
        <is>
          <t>BaseHitDamage</t>
        </is>
      </c>
      <c r="L452" s="5" t="inlineStr">
        <is>
          <t>NonCritAvg</t>
        </is>
      </c>
      <c r="M452" s="5" t="inlineStr">
        <is>
          <t>CritAvg</t>
        </is>
      </c>
      <c r="N452" s="5" t="inlineStr">
        <is>
          <t>ExpectedDamage(perHit)</t>
        </is>
      </c>
      <c r="O452" s="5" t="inlineStr">
        <is>
          <t>DPS</t>
        </is>
      </c>
      <c r="P452" s="5" t="inlineStr">
        <is>
          <t>% of Total</t>
        </is>
      </c>
      <c r="Q452" s="5" t="inlineStr">
        <is>
          <t>InvCooldown</t>
        </is>
      </c>
      <c r="R452" s="5" t="inlineStr">
        <is>
          <t>CastsInFight</t>
        </is>
      </c>
      <c r="S452" s="5" t="inlineStr">
        <is>
          <t>HitRate(perSec)</t>
        </is>
      </c>
      <c r="U452" t="inlineStr">
        <is>
          <t>helpers</t>
        </is>
      </c>
    </row>
    <row r="453">
      <c r="A453">
        <f>Skills!A2</f>
        <v/>
      </c>
      <c r="B453">
        <f>Skills!B2</f>
        <v/>
      </c>
      <c r="C453">
        <f>Inputs!$B$3&gt;=100</f>
        <v/>
      </c>
      <c r="D453" t="inlineStr"/>
      <c r="E453" t="inlineStr"/>
      <c r="F453">
        <f>U455+Skills!O2</f>
        <v/>
      </c>
      <c r="G453">
        <f>Skills!G2*IF(Skills!H2&gt;0,INT(IF(Inputs!$B$39="pvp",MIN(Skills!I2,15),Skills!I2)/Skills!H2+0.000000001),1)</f>
        <v/>
      </c>
      <c r="H453">
        <f>1-(1-Skills!J2/100)^Skills!K2</f>
        <v/>
      </c>
      <c r="I453" t="inlineStr">
        <is>
          <t>1</t>
        </is>
      </c>
      <c r="J453">
        <f>((Inputs!$B$6*(1+Inputs!$B$7/100))+(((Inputs!$B$13*(1+Inputs!$B$14/100))-(Inputs!$B$13*(1+Inputs!$B$14/100)))+0.25*(Inputs!$B$15-Inputs!$B$15))*(1+Inputs!$B$7/100))*(F453/100)</f>
        <v/>
      </c>
      <c r="K453">
        <f>J453*(1+(((Inputs!$B$13+IF(Inputs!$B$3&gt;=38,(10*INDEX(FactorTable!$B$2:$Y$301, MATCH(ROUND(MIN(300,MAX(1,Inputs!$B$3)),0), FactorTable!$A$2:$A$301,0), 23)/1000)/100*(Inputs!$B$8*(1+Inputs!$B$9/100)),0))*(1+Inputs!$B$14/100))*0.01+Inputs!$B$15*0.0025)/100)*(1+Inputs!$B$16/100)*(1+Inputs!$B$17/100)*(5000/(6000+Inputs!$B$43*(1-(Inputs!$B$20+0)/100)))*(1+(((((1+Inputs!$B$25/100)*(1.01))-1)*100)+((C476=TRUE)*(F476-Calc!F25))+((C477=TRUE)*(F477-Calc!F26))+B486)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gt;=100),MIN(100,((Inputs!$B$10+0+B480+(ArtifactsInput!$M$24-ArtifactsInput!$M$24)*CHOOSE(ArtifactsInput!$N$24+1,10,12,14,16,18,20)+IF(ArtifactsInput!$M$10,CHOOSE(ArtifactsInput!$N$10+1,15,18,21,24,27,30)*(IF(Inputs!$B$39="pvp",MIN(15,15)/15,IF(AND(Inputs!$B$39&lt;&gt;"pvp",Inputs!$B$44&gt;0),MIN(15,Inputs!$B$44)/(Inputs!$B$44),0))),0)))-100),0))*CHOOSE(ArtifactsInput!$N$42+1,0.6,0.72,0.84,0.96,1.08,1.2))),Inputs!$B$19+((C474=TRUE)*(F474-Calc!F23))+(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gt;=100),CHOOSE(ArtifactsInput!$N$42+1,40,48,56,64,72,80),0))))/100)*((1+(((C464=TRUE)*F464*IF(AND(Inputs!$B$39&lt;&gt;"pvp",Inputs!$B$44&gt;0),(((R464-1)*MIN((Skills!T13*(1+Inputs!$B$35/100)),(1/Q464))+MIN((Skills!T13*(1+Inputs!$B$35/100)),MAX(0,Inputs!$B$44-((R464-1)*(1/Q464)))))/Inputs!$B$44),IF(Inputs!$B$39="pvp",MIN((Skills!T13*(1+Inputs!$B$35/100)),15)/15,MIN(1,(Skills!T13*(1+Inputs!$B$35/100))/(1/Q464)))))+((C465=TRUE)*F465*IF(AND(Inputs!$B$39&lt;&gt;"pvp",Inputs!$B$44&gt;0),(((R465-1)*MIN((Skills!T14*(1+Inputs!$B$35/100)),(1/Q465))+MIN((Skills!T14*(1+Inputs!$B$35/100)),MAX(0,Inputs!$B$44-((R465-1)*(1/Q465)))))/Inputs!$B$44),IF(Inputs!$B$39="pvp",MIN((Skills!T14*(1+Inputs!$B$35/100)),15)/15,MIN(1,(Skills!T14*(1+Inputs!$B$35/100))/(1/Q465)))))+((C466=TRUE)*F466*IF(AND(Inputs!$B$39&lt;&gt;"pvp",Inputs!$B$44&gt;0),(((R466-1)*MIN((Skills!T15*(1+Inputs!$B$35/100)),(1/Q466))+MIN((Skills!T15*(1+Inputs!$B$35/100)),MAX(0,Inputs!$B$44-((R466-1)*(1/Q466)))))/Inputs!$B$44),IF(Inputs!$B$39="pvp",MIN((Skills!T15*(1+Inputs!$B$35/100)),15)/15,MIN(1,(Skills!T15*(1+Inputs!$B$35/100))/(1/Q466)))))+((C467=TRUE)*F467*IF(AND(Inputs!$B$39&lt;&gt;"pvp",Inputs!$B$44&gt;0),(((R467-1)*MIN((Skills!T16*(1+Inputs!$B$35/100)),(1/Q467))+MIN((Skills!T16*(1+Inputs!$B$35/100)),MAX(0,Inputs!$B$44-((R467-1)*(1/Q467)))))/Inputs!$B$44),IF(Inputs!$B$39="pvp",MIN((Skills!T16*(1+Inputs!$B$35/100)),15)/15,MIN(1,(Skills!T16*(1+Inputs!$B$35/100))/(1/Q467)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453)</f>
        <v/>
      </c>
      <c r="L453">
        <f>K453*(MIN(Inputs!$B$23+((C473=TRUE)*(F473-Calc!F22)),(Inputs!$B$24+((C475=TRUE)*(F475-Calc!F24))+(IF(ArtifactsInput!$M$15,CHOOSE(ArtifactsInput!$N$15+1,25,30,35,40,45,50)/100*(Inputs!$B$12-Inputs!$B$12),0))))/100+(Inputs!$B$24+((C475=TRUE)*(F475-Calc!F24))+(IF(ArtifactsInput!$M$15,CHOOSE(ArtifactsInput!$N$15+1,25,30,35,40,45,50)/100*(Inputs!$B$12-Inputs!$B$12),0)))/100)/2</f>
        <v/>
      </c>
      <c r="M453">
        <f>L453*(1+(Inputs!$B$11+0+B485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453">
        <f>L453*(1-MIN((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453*(MIN((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53">
        <f>(1-Summary!$B$11)*T453+Summary!$B$11*V453</f>
        <v/>
      </c>
      <c r="P453">
        <f>IF(B490=0,0,O453/B490)</f>
        <v/>
      </c>
      <c r="Q453" t="n">
        <v>0</v>
      </c>
      <c r="R453" t="n">
        <v>0</v>
      </c>
      <c r="S453">
        <f>IFERROR(O453/N453,0)</f>
        <v/>
      </c>
      <c r="T453">
        <f>IF(C453,(Skills!G2*N453*B484)*IF(Inputs!$B$39="pvp",1,1+(Inputs!$B$21+0+Skills!P2+((C468=TRUE)*F468*IF(AND(Inputs!$B$39&lt;&gt;"pvp",Inputs!$B$44&gt;0),(((R468-1)*MIN((Skills!T17*(1+Inputs!$B$35/100)),(1/Q468))+MIN((Skills!T17*(1+Inputs!$B$35/100)),MAX(0,Inputs!$B$44-((R468-1)*(1/Q468)))))/Inputs!$B$44),IF(Inputs!$B$39="pvp",MIN((Skills!T17*(1+Inputs!$B$35/100)),15)/15,MIN(1,(Skills!T17*(1+Inputs!$B$35/100))/(1/Q468)))))+((C456=TRUE)*IF(Inputs!$B$3&gt;=126,10*MIN(1,15*Q456),0))+((C465=TRUE)*IF(Inputs!$B$39="pvp",20,(1-Summary!$B$11)*(20)+Summary!$B$11*(0))*IF(AND(Inputs!$B$39&lt;&gt;"pvp",Inputs!$B$44&gt;0),(((R465-1)*MIN((Skills!T14*(1+Inputs!$B$35/100)),(1/Q465))+MIN((Skills!T14*(1+Inputs!$B$35/100)),MAX(0,Inputs!$B$44-((R465-1)*(1/Q465)))))/Inputs!$B$44),IF(Inputs!$B$39="pvp",MIN((Skills!T14*(1+Inputs!$B$35/100)),15)/15,MIN(1,(Skills!T14*(1+Inputs!$B$35/100))/(1/Q465)))))+((C464=TRUE)*IF(Inputs!$B$3&gt;=82,IF(Inputs!$B$39="pvp",20,(1-Summary!$B$11)*(20)+Summary!$B$11*(0)),0)*IF(AND(Inputs!$B$39&lt;&gt;"pvp",Inputs!$B$44&gt;0),(((R464-1)*MIN((Skills!T13*(1+Inputs!$B$35/100)),(1/Q464))+MIN((Skills!T13*(1+Inputs!$B$35/100)),MAX(0,Inputs!$B$44-((R464-1)*(1/Q464)))))/Inputs!$B$44),IF(Inputs!$B$39="pvp",MIN((Skills!T13*(1+Inputs!$B$35/100)),15)/15,MIN(1,(Skills!T13*(1+Inputs!$B$35/100))/(1/Q464)))))+(IF(AND(ArtifactsInput!$M$35,Inputs!$B$4&lt;&gt;"Chapter Hunt"),CHOOSE(ArtifactsInput!$N$35+1,15,18,21,24,27,30)*(1-EXP(-(0.2*B482)*5)),0)+IF(AND(ArtifactsInput!$M$22,Inputs!$B$4&lt;&gt;"Chapter Hunt"),CHOOSE(ArtifactsInput!$N$22+1,10,12,14,16,18,20)*((0*(((0.15*B482*5))^0/1)+1*(((0.15*B482*5))^1/1)+2*(((0.15*B482*5))^2/2)+3*(((0.15*B482*5))^3/6)+4*(((0.15*B482*5))^4/24)+5*(((0.15*B482*5))^5/120))/((((0.15*B482*5))^0/1)+(((0.15*B482*5))^1/1)+(((0.15*B482*5))^2/2)+(((0.15*B482*5))^3/6)+(((0.15*B482*5))^4/24)+(((0.15*B482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453*(1-MIN(100,(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453*(MIN(100,(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453*(1-MIN(100,(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453*(MIN(100,(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453">
        <f>MAX(0,(Inputs!$B$3-100)*3)+Inputs!$B$29+Inputs!$B$30</f>
        <v/>
      </c>
      <c r="V453">
        <f>IF(C453,(Skills!G2*N453*B484)*IF(Inputs!$B$39="pvp",1,(1+(Inputs!$B$22+Skills!Q2+((C468=TRUE)*F468*IF(AND(Inputs!$B$39&lt;&gt;"pvp",Inputs!$B$44&gt;0),(((R468-1)*MIN((Skills!T17*(1+Inputs!$B$35/100)),(1/Q468))+MIN((Skills!T17*(1+Inputs!$B$35/100)),MAX(0,Inputs!$B$44-((R468-1)*(1/Q468)))))/Inputs!$B$44),IF(Inputs!$B$39="pvp",MIN((Skills!T17*(1+Inputs!$B$35/100)),15)/15,MIN(1,(Skills!T17*(1+Inputs!$B$35/100))/(1/Q468)))))+((C456=TRUE)*IF(Inputs!$B$3&gt;=126,10*MIN(1,15*Q456),0))+((C465=TRUE)*IF(Inputs!$B$39="pvp",20,(1-Summary!$B$11)*(20)+Summary!$B$11*(0))*IF(AND(Inputs!$B$39&lt;&gt;"pvp",Inputs!$B$44&gt;0),(((R465-1)*MIN((Skills!T14*(1+Inputs!$B$35/100)),(1/Q465))+MIN((Skills!T14*(1+Inputs!$B$35/100)),MAX(0,Inputs!$B$44-((R465-1)*(1/Q465)))))/Inputs!$B$44),IF(Inputs!$B$39="pvp",MIN((Skills!T14*(1+Inputs!$B$35/100)),15)/15,MIN(1,(Skills!T14*(1+Inputs!$B$35/100))/(1/Q465)))))+((C464=TRUE)*IF(Inputs!$B$3&gt;=82,IF(Inputs!$B$39="pvp",20,(1-Summary!$B$11)*(20)+Summary!$B$11*(0)),0)*IF(AND(Inputs!$B$39&lt;&gt;"pvp",Inputs!$B$44&gt;0),(((R464-1)*MIN((Skills!T13*(1+Inputs!$B$35/100)),(1/Q464))+MIN((Skills!T13*(1+Inputs!$B$35/100)),MAX(0,Inputs!$B$44-((R464-1)*(1/Q464)))))/Inputs!$B$44),IF(Inputs!$B$39="pvp",MIN((Skills!T13*(1+Inputs!$B$35/100)),15)/15,MIN(1,(Skills!T13*(1+Inputs!$B$35/100))/(1/Q464)))))+(IF(AND(ArtifactsInput!$M$35,Inputs!$B$4&lt;&gt;"Chapter Hunt"),CHOOSE(ArtifactsInput!$N$35+1,15,18,21,24,27,30)*(1-EXP(-(0.2*B482)*5)),0)+IF(AND(ArtifactsInput!$M$22,Inputs!$B$4&lt;&gt;"Chapter Hunt"),CHOOSE(ArtifactsInput!$N$22+1,10,12,14,16,18,20)*((0*(((0.15*B482*5))^0/1)+1*(((0.15*B482*5))^1/1)+2*(((0.15*B482*5))^2/2)+3*(((0.15*B482*5))^3/6)+4*(((0.15*B482*5))^4/24)+5*(((0.15*B482*5))^5/120))/((((0.15*B482*5))^0/1)+(((0.15*B482*5))^1/1)+(((0.15*B482*5))^2/2)+(((0.15*B482*5))^3/6)+(((0.15*B482*5))^4/24)+(((0.15*B482*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54">
      <c r="A454">
        <f>Skills!A3</f>
        <v/>
      </c>
      <c r="B454">
        <f>Skills!B3</f>
        <v/>
      </c>
      <c r="C454">
        <f>Inputs!$B$3&gt;=50</f>
        <v/>
      </c>
      <c r="D454">
        <f>IF(Skills!C3=1,60+Inputs!$B$26+Inputs!$B$30,IF(Skills!C3=2,90+Inputs!$B$27+Inputs!$B$30,IF(Skills!C3=3,120+Inputs!$B$28+Inputs!$B$30,MAX(0,(Inputs!$B$3-100)*3)+Inputs!$B$29+Inputs!$B$30)))</f>
        <v/>
      </c>
      <c r="E454">
        <f>INDEX(FactorTable!$B$2:$Y$301, MATCH(ROUND(MIN(300,MAX(1,D454)),0), FactorTable!$A$2:$A$301,0), Skills!M3+1)</f>
        <v/>
      </c>
      <c r="F454">
        <f>IF(Skills!N3=TRUE,(Skills!L3/10)*(E454/1000),Skills!L3/10)+Skills!O3</f>
        <v/>
      </c>
      <c r="G454" t="inlineStr"/>
      <c r="H454" t="inlineStr"/>
      <c r="I454" t="inlineStr">
        <is>
          <t>1</t>
        </is>
      </c>
      <c r="J454" t="inlineStr"/>
      <c r="K454" t="inlineStr"/>
      <c r="L454" t="inlineStr"/>
      <c r="M454" t="inlineStr"/>
      <c r="N454" t="inlineStr"/>
      <c r="O454" t="inlineStr"/>
      <c r="P454" t="inlineStr"/>
      <c r="Q454" t="inlineStr"/>
      <c r="R454" t="inlineStr"/>
      <c r="S454" t="inlineStr"/>
      <c r="U454">
        <f>INDEX(FactorTable!$B$2:$Y$301, MATCH(ROUND(MIN(300,MAX(1,U453)),0), FactorTable!$A$2:$A$301,0), 22)</f>
        <v/>
      </c>
    </row>
    <row r="455">
      <c r="A455">
        <f>Skills!A4</f>
        <v/>
      </c>
      <c r="B455">
        <f>Skills!B4</f>
        <v/>
      </c>
      <c r="C455">
        <f>Inputs!$B$3&gt;=105</f>
        <v/>
      </c>
      <c r="D455">
        <f>IF(Skills!C4=1,60+Inputs!$B$26+Inputs!$B$30,IF(Skills!C4=2,90+Inputs!$B$27+Inputs!$B$30,IF(Skills!C4=3,120+Inputs!$B$28+Inputs!$B$30,MAX(0,(Inputs!$B$3-100)*3)+Inputs!$B$29+Inputs!$B$30)))</f>
        <v/>
      </c>
      <c r="E455">
        <f>INDEX(FactorTable!$B$2:$Y$301, MATCH(ROUND(MIN(300,MAX(1,D455)),0), FactorTable!$A$2:$A$301,0), Skills!M4+1)</f>
        <v/>
      </c>
      <c r="F455">
        <f>IF(Skills!N4=TRUE,(Skills!L4/10)*(E455/1000),Skills!L4/10)+Skills!O4</f>
        <v/>
      </c>
      <c r="G455" t="inlineStr"/>
      <c r="H455" t="inlineStr"/>
      <c r="I455" t="inlineStr">
        <is>
          <t>1</t>
        </is>
      </c>
      <c r="J455" t="inlineStr"/>
      <c r="K455" t="inlineStr"/>
      <c r="L455" t="inlineStr"/>
      <c r="M455" t="inlineStr"/>
      <c r="N455" t="inlineStr"/>
      <c r="O455" t="inlineStr"/>
      <c r="P455" t="inlineStr"/>
      <c r="Q455" t="inlineStr"/>
      <c r="R455" t="inlineStr"/>
      <c r="S455" t="inlineStr"/>
      <c r="U455">
        <f>290*U454/1000</f>
        <v/>
      </c>
    </row>
    <row r="456">
      <c r="A456">
        <f>Skills!A5</f>
        <v/>
      </c>
      <c r="B456">
        <f>Skills!B5</f>
        <v/>
      </c>
      <c r="C456">
        <f>Inputs!$B$3&gt;=117</f>
        <v/>
      </c>
      <c r="D456">
        <f>IF(Skills!C5=1,60+Inputs!$B$26+Inputs!$B$30,IF(Skills!C5=2,90+Inputs!$B$27+Inputs!$B$30,IF(Skills!C5=3,120+Inputs!$B$28+Inputs!$B$30,MAX(0,(Inputs!$B$3-100)*3)+Inputs!$B$29+Inputs!$B$30)))</f>
        <v/>
      </c>
      <c r="E456">
        <f>INDEX(FactorTable!$B$2:$Y$301, MATCH(ROUND(MIN(300,MAX(1,D456)),0), FactorTable!$A$2:$A$301,0), Skills!M5+1)</f>
        <v/>
      </c>
      <c r="F456">
        <f>IF(Skills!N5=TRUE,(Skills!L5/10)*(E456/1000),Skills!L5/10)+Skills!O5</f>
        <v/>
      </c>
      <c r="G456">
        <f>Skills!G5*IF(Skills!H5&gt;0,INT(IF(Inputs!$B$39="pvp",MIN(Skills!I5,15),Skills!I5)/Skills!H5+0.000000001),1)</f>
        <v/>
      </c>
      <c r="H456">
        <f>1-(1-Skills!J5/100)^Skills!K5</f>
        <v/>
      </c>
      <c r="I456" t="inlineStr">
        <is>
          <t>1</t>
        </is>
      </c>
      <c r="J456">
        <f>((Inputs!$B$6*(1+Inputs!$B$7/100))+(((Inputs!$B$13*(1+Inputs!$B$14/100))-(Inputs!$B$13*(1+Inputs!$B$14/100)))+0.25*(Inputs!$B$15-Inputs!$B$15))*(1+Inputs!$B$7/100))*(F456/100)</f>
        <v/>
      </c>
      <c r="K456">
        <f>J456*(1+(((Inputs!$B$13+IF(Inputs!$B$3&gt;=38,(10*INDEX(FactorTable!$B$2:$Y$301, MATCH(ROUND(MIN(300,MAX(1,Inputs!$B$3)),0), FactorTable!$A$2:$A$301,0), 23)/1000)/100*(Inputs!$B$8*(1+Inputs!$B$9/100)),0))*(1+Inputs!$B$14/100))*0.01+Inputs!$B$15*0.0025)/100)*(1+Inputs!$B$16/100)*(1+Inputs!$B$17/100)*(5000/(6000+Inputs!$B$43*(1-(Inputs!$B$20+0)/100)))*(1+(((((1+Inputs!$B$25/100)*(1.01))-1)*100)+((C476=TRUE)*(F476-Calc!F25))+((C477=TRUE)*(F477-Calc!F26))+B486)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gt;=100),MIN(100,((Inputs!$B$10+0+B480+(ArtifactsInput!$M$24-ArtifactsInput!$M$24)*CHOOSE(ArtifactsInput!$N$24+1,10,12,14,16,18,20)+IF(ArtifactsInput!$M$10,CHOOSE(ArtifactsInput!$N$10+1,15,18,21,24,27,30)*(IF(Inputs!$B$39="pvp",MIN(15,15)/15,IF(AND(Inputs!$B$39&lt;&gt;"pvp",Inputs!$B$44&gt;0),MIN(15,Inputs!$B$44)/(Inputs!$B$44),0))),0)))-100),0))*CHOOSE(ArtifactsInput!$N$42+1,0.6,0.72,0.84,0.96,1.08,1.2))),Inputs!$B$19+((C474=TRUE)*(F474-Calc!F23))+(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gt;=100),CHOOSE(ArtifactsInput!$N$42+1,40,48,56,64,72,80),0))))/100)*((1+(((C464=TRUE)*F464*IF(AND(Inputs!$B$39&lt;&gt;"pvp",Inputs!$B$44&gt;0),(((R464-1)*MIN((Skills!T13*(1+Inputs!$B$35/100)),(1/Q464))+MIN((Skills!T13*(1+Inputs!$B$35/100)),MAX(0,Inputs!$B$44-((R464-1)*(1/Q464)))))/Inputs!$B$44),IF(Inputs!$B$39="pvp",MIN((Skills!T13*(1+Inputs!$B$35/100)),15)/15,MIN(1,(Skills!T13*(1+Inputs!$B$35/100))/(1/Q464)))))+((C465=TRUE)*F465*IF(AND(Inputs!$B$39&lt;&gt;"pvp",Inputs!$B$44&gt;0),(((R465-1)*MIN((Skills!T14*(1+Inputs!$B$35/100)),(1/Q465))+MIN((Skills!T14*(1+Inputs!$B$35/100)),MAX(0,Inputs!$B$44-((R465-1)*(1/Q465)))))/Inputs!$B$44),IF(Inputs!$B$39="pvp",MIN((Skills!T14*(1+Inputs!$B$35/100)),15)/15,MIN(1,(Skills!T14*(1+Inputs!$B$35/100))/(1/Q465)))))+((C466=TRUE)*F466*IF(AND(Inputs!$B$39&lt;&gt;"pvp",Inputs!$B$44&gt;0),(((R466-1)*MIN((Skills!T15*(1+Inputs!$B$35/100)),(1/Q466))+MIN((Skills!T15*(1+Inputs!$B$35/100)),MAX(0,Inputs!$B$44-((R466-1)*(1/Q466)))))/Inputs!$B$44),IF(Inputs!$B$39="pvp",MIN((Skills!T15*(1+Inputs!$B$35/100)),15)/15,MIN(1,(Skills!T15*(1+Inputs!$B$35/100))/(1/Q466)))))+((C467=TRUE)*F467*IF(AND(Inputs!$B$39&lt;&gt;"pvp",Inputs!$B$44&gt;0),(((R467-1)*MIN((Skills!T16*(1+Inputs!$B$35/100)),(1/Q467))+MIN((Skills!T16*(1+Inputs!$B$35/100)),MAX(0,Inputs!$B$44-((R467-1)*(1/Q467)))))/Inputs!$B$44),IF(Inputs!$B$39="pvp",MIN((Skills!T16*(1+Inputs!$B$35/100)),15)/15,MIN(1,(Skills!T16*(1+Inputs!$B$35/100))/(1/Q467)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456)</f>
        <v/>
      </c>
      <c r="L456">
        <f>K456*(MIN(Inputs!$B$23+((C473=TRUE)*(F473-Calc!F22)),(Inputs!$B$24+((C475=TRUE)*(F475-Calc!F24))+(IF(ArtifactsInput!$M$15,CHOOSE(ArtifactsInput!$N$15+1,25,30,35,40,45,50)/100*(Inputs!$B$12-Inputs!$B$12),0))))/100+(Inputs!$B$24+((C475=TRUE)*(F475-Calc!F24))+(IF(ArtifactsInput!$M$15,CHOOSE(ArtifactsInput!$N$15+1,25,30,35,40,45,50)/100*(Inputs!$B$12-Inputs!$B$12),0)))/100)/2</f>
        <v/>
      </c>
      <c r="M456">
        <f>L456*(1+(Inputs!$B$11+0+B485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456">
        <f>L456*(1-MIN((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456*(MIN((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56">
        <f>(1-Summary!$B$11)*T456+Summary!$B$11*V456</f>
        <v/>
      </c>
      <c r="P456">
        <f>IF(B490=0,0,O456/B490)</f>
        <v/>
      </c>
      <c r="Q456">
        <f>IFERROR(1/IF(Inputs!$B$39="pvp",15,MAX(0.1,Skills!D5-IF(TRUE=TRUE,Inputs!$B$33,0))),0)</f>
        <v/>
      </c>
      <c r="R456">
        <f>IF(AND(Inputs!$B$39&lt;&gt;"pvp",Inputs!$B$44&gt;0),IF(MAX(0,Inputs!$B$44-B487)&lt;=0,0,(INT(MAX(0,Inputs!$B$44-B487)/IF(Inputs!$B$39="pvp",15,MAX(0.1,Skills!D5-IF(TRUE=TRUE,Inputs!$B$33,0))))+1)),0)</f>
        <v/>
      </c>
      <c r="S456">
        <f>IFERROR(O456/N456,0)</f>
        <v/>
      </c>
      <c r="T456">
        <f>IF(C456,(H456*N456*IF(AND(Inputs!$B$39&lt;&gt;"pvp",Inputs!$B$44&gt;0),((Skills!G5*((R456-1)*IF(Skills!H5&gt;0,INT(Skills!I5/Skills!H5+0.000000001),1)+IF(Skills!H5&gt;0,INT(MIN(Skills!I5,MAX(0,MAX(0,Inputs!$B$44-B487)-((R456-1)*IF(Inputs!$B$39="pvp",15,MAX(0.1,Skills!D5-IF(TRUE=TRUE,Inputs!$B$33,0))))))/Skills!H5+0.000000001),1)))/Inputs!$B$44),G456*Q456))*IF(Inputs!$B$39="pvp",1,1+(Inputs!$B$21+0+Skills!P5+((C468=TRUE)*F468*IF(AND(Inputs!$B$39&lt;&gt;"pvp",Inputs!$B$44&gt;0),(((R468-1)*MIN((Skills!T17*(1+Inputs!$B$35/100)),(1/Q468))+MIN((Skills!T17*(1+Inputs!$B$35/100)),MAX(0,Inputs!$B$44-((R468-1)*(1/Q468)))))/Inputs!$B$44),IF(Inputs!$B$39="pvp",MIN((Skills!T17*(1+Inputs!$B$35/100)),15)/15,MIN(1,(Skills!T17*(1+Inputs!$B$35/100))/(1/Q468)))))+((C456=TRUE)*IF(Inputs!$B$3&gt;=126,10*MIN(1,15*Q456),0))+((C465=TRUE)*IF(Inputs!$B$39="pvp",20,(1-Summary!$B$11)*(20)+Summary!$B$11*(0))*IF(AND(Inputs!$B$39&lt;&gt;"pvp",Inputs!$B$44&gt;0),(((R465-1)*MIN((Skills!T14*(1+Inputs!$B$35/100)),(1/Q465))+MIN((Skills!T14*(1+Inputs!$B$35/100)),MAX(0,Inputs!$B$44-((R465-1)*(1/Q465)))))/Inputs!$B$44),IF(Inputs!$B$39="pvp",MIN((Skills!T14*(1+Inputs!$B$35/100)),15)/15,MIN(1,(Skills!T14*(1+Inputs!$B$35/100))/(1/Q465)))))+((C464=TRUE)*IF(Inputs!$B$3&gt;=82,IF(Inputs!$B$39="pvp",20,(1-Summary!$B$11)*(20)+Summary!$B$11*(0)),0)*IF(AND(Inputs!$B$39&lt;&gt;"pvp",Inputs!$B$44&gt;0),(((R464-1)*MIN((Skills!T13*(1+Inputs!$B$35/100)),(1/Q464))+MIN((Skills!T13*(1+Inputs!$B$35/100)),MAX(0,Inputs!$B$44-((R464-1)*(1/Q464)))))/Inputs!$B$44),IF(Inputs!$B$39="pvp",MIN((Skills!T13*(1+Inputs!$B$35/100)),15)/15,MIN(1,(Skills!T13*(1+Inputs!$B$35/100))/(1/Q464)))))+(IF(AND(ArtifactsInput!$M$35,Inputs!$B$4&lt;&gt;"Chapter Hunt"),CHOOSE(ArtifactsInput!$N$35+1,15,18,21,24,27,30)*(1-EXP(-(0.2*B482)*5)),0)+IF(AND(ArtifactsInput!$M$22,Inputs!$B$4&lt;&gt;"Chapter Hunt"),CHOOSE(ArtifactsInput!$N$22+1,10,12,14,16,18,20)*((0*(((0.15*B482*5))^0/1)+1*(((0.15*B482*5))^1/1)+2*(((0.15*B482*5))^2/2)+3*(((0.15*B482*5))^3/6)+4*(((0.15*B482*5))^4/24)+5*(((0.15*B482*5))^5/120))/((((0.15*B482*5))^0/1)+(((0.15*B482*5))^1/1)+(((0.15*B482*5))^2/2)+(((0.15*B482*5))^3/6)+(((0.15*B482*5))^4/24)+(((0.15*B482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456*(1-MIN(100,(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456*(MIN(100,(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456*(1-MIN(100,(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456*(MIN(100,(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56">
        <f>IF(C456,(H456*N456*IF(AND(Inputs!$B$39&lt;&gt;"pvp",Inputs!$B$44&gt;0),((Skills!G5*((R456-1)*IF(Skills!H5&gt;0,INT(Skills!I5/Skills!H5+0.000000001),1)+IF(Skills!H5&gt;0,INT(MIN(Skills!I5,MAX(0,MAX(0,Inputs!$B$44-B487)-((R456-1)*IF(Inputs!$B$39="pvp",15,MAX(0.1,Skills!D5-IF(TRUE=TRUE,Inputs!$B$33,0))))))/Skills!H5+0.000000001),1)))/Inputs!$B$44),G456*Q456))*IF(Inputs!$B$39="pvp",1,(1+(Inputs!$B$22+Skills!Q5+((C468=TRUE)*F468*IF(AND(Inputs!$B$39&lt;&gt;"pvp",Inputs!$B$44&gt;0),(((R468-1)*MIN((Skills!T17*(1+Inputs!$B$35/100)),(1/Q468))+MIN((Skills!T17*(1+Inputs!$B$35/100)),MAX(0,Inputs!$B$44-((R468-1)*(1/Q468)))))/Inputs!$B$44),IF(Inputs!$B$39="pvp",MIN((Skills!T17*(1+Inputs!$B$35/100)),15)/15,MIN(1,(Skills!T17*(1+Inputs!$B$35/100))/(1/Q468)))))+((C456=TRUE)*IF(Inputs!$B$3&gt;=126,10*MIN(1,15*Q456),0))+((C465=TRUE)*IF(Inputs!$B$39="pvp",20,(1-Summary!$B$11)*(20)+Summary!$B$11*(0))*IF(AND(Inputs!$B$39&lt;&gt;"pvp",Inputs!$B$44&gt;0),(((R465-1)*MIN((Skills!T14*(1+Inputs!$B$35/100)),(1/Q465))+MIN((Skills!T14*(1+Inputs!$B$35/100)),MAX(0,Inputs!$B$44-((R465-1)*(1/Q465)))))/Inputs!$B$44),IF(Inputs!$B$39="pvp",MIN((Skills!T14*(1+Inputs!$B$35/100)),15)/15,MIN(1,(Skills!T14*(1+Inputs!$B$35/100))/(1/Q465)))))+((C464=TRUE)*IF(Inputs!$B$3&gt;=82,IF(Inputs!$B$39="pvp",20,(1-Summary!$B$11)*(20)+Summary!$B$11*(0)),0)*IF(AND(Inputs!$B$39&lt;&gt;"pvp",Inputs!$B$44&gt;0),(((R464-1)*MIN((Skills!T13*(1+Inputs!$B$35/100)),(1/Q464))+MIN((Skills!T13*(1+Inputs!$B$35/100)),MAX(0,Inputs!$B$44-((R464-1)*(1/Q464)))))/Inputs!$B$44),IF(Inputs!$B$39="pvp",MIN((Skills!T13*(1+Inputs!$B$35/100)),15)/15,MIN(1,(Skills!T13*(1+Inputs!$B$35/100))/(1/Q464)))))+(IF(AND(ArtifactsInput!$M$35,Inputs!$B$4&lt;&gt;"Chapter Hunt"),CHOOSE(ArtifactsInput!$N$35+1,15,18,21,24,27,30)*(1-EXP(-(0.2*B482)*5)),0)+IF(AND(ArtifactsInput!$M$22,Inputs!$B$4&lt;&gt;"Chapter Hunt"),CHOOSE(ArtifactsInput!$N$22+1,10,12,14,16,18,20)*((0*(((0.15*B482*5))^0/1)+1*(((0.15*B482*5))^1/1)+2*(((0.15*B482*5))^2/2)+3*(((0.15*B482*5))^3/6)+4*(((0.15*B482*5))^4/24)+5*(((0.15*B482*5))^5/120))/((((0.15*B482*5))^0/1)+(((0.15*B482*5))^1/1)+(((0.15*B482*5))^2/2)+(((0.15*B482*5))^3/6)+(((0.15*B482*5))^4/24)+(((0.15*B482*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57">
      <c r="A457">
        <f>Skills!A6</f>
        <v/>
      </c>
      <c r="B457">
        <f>Skills!B6</f>
        <v/>
      </c>
      <c r="C457">
        <f>Inputs!$B$3&gt;=103</f>
        <v/>
      </c>
      <c r="D457">
        <f>IF(Skills!C6=1,60+Inputs!$B$26+Inputs!$B$30,IF(Skills!C6=2,90+Inputs!$B$27+Inputs!$B$30,IF(Skills!C6=3,120+Inputs!$B$28+Inputs!$B$30,MAX(0,(Inputs!$B$3-100)*3)+Inputs!$B$29+Inputs!$B$30)))</f>
        <v/>
      </c>
      <c r="E457">
        <f>INDEX(FactorTable!$B$2:$Y$301, MATCH(ROUND(MIN(300,MAX(1,D457)),0), FactorTable!$A$2:$A$301,0), Skills!M6+1)</f>
        <v/>
      </c>
      <c r="F457">
        <f>IF(Skills!N6=TRUE,(Skills!L6/10)*(E457/1000),Skills!L6/10)+Skills!O6</f>
        <v/>
      </c>
      <c r="G457">
        <f>Skills!G6*IF(Skills!H6&gt;0,INT(IF(Inputs!$B$39="pvp",MIN(Skills!I6,15),Skills!I6)/Skills!H6+0.000000001),1)</f>
        <v/>
      </c>
      <c r="H457">
        <f>1-(1-Skills!J6/100)^Skills!K6</f>
        <v/>
      </c>
      <c r="I457" t="inlineStr">
        <is>
          <t>1</t>
        </is>
      </c>
      <c r="J457">
        <f>((Inputs!$B$6*(1+Inputs!$B$7/100))+(((Inputs!$B$13*(1+Inputs!$B$14/100))-(Inputs!$B$13*(1+Inputs!$B$14/100)))+0.25*(Inputs!$B$15-Inputs!$B$15))*(1+Inputs!$B$7/100))*(F457/100)</f>
        <v/>
      </c>
      <c r="K457">
        <f>J457*(1+(((Inputs!$B$13+IF(Inputs!$B$3&gt;=38,(10*INDEX(FactorTable!$B$2:$Y$301, MATCH(ROUND(MIN(300,MAX(1,Inputs!$B$3)),0), FactorTable!$A$2:$A$301,0), 23)/1000)/100*(Inputs!$B$8*(1+Inputs!$B$9/100)),0))*(1+Inputs!$B$14/100))*0.01+Inputs!$B$15*0.0025)/100)*(1+Inputs!$B$16/100)*(1+Inputs!$B$17/100)*(5000/(6000+Inputs!$B$43*(1-(Inputs!$B$20+0)/100)))*(1+(((((1+Inputs!$B$25/100)*(1.01))-1)*100)+((C476=TRUE)*(F476-Calc!F25))+((C477=TRUE)*(F477-Calc!F26))+B486)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gt;=100),MIN(100,((Inputs!$B$10+0+B480+(ArtifactsInput!$M$24-ArtifactsInput!$M$24)*CHOOSE(ArtifactsInput!$N$24+1,10,12,14,16,18,20)+IF(ArtifactsInput!$M$10,CHOOSE(ArtifactsInput!$N$10+1,15,18,21,24,27,30)*(IF(Inputs!$B$39="pvp",MIN(15,15)/15,IF(AND(Inputs!$B$39&lt;&gt;"pvp",Inputs!$B$44&gt;0),MIN(15,Inputs!$B$44)/(Inputs!$B$44),0))),0)))-100),0))*CHOOSE(ArtifactsInput!$N$42+1,0.6,0.72,0.84,0.96,1.08,1.2))),Inputs!$B$19+((C474=TRUE)*(F474-Calc!F23))+(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gt;=100),CHOOSE(ArtifactsInput!$N$42+1,40,48,56,64,72,80),0))))/100)*((1+(((C464=TRUE)*F464*IF(AND(Inputs!$B$39&lt;&gt;"pvp",Inputs!$B$44&gt;0),(((R464-1)*MIN((Skills!T13*(1+Inputs!$B$35/100)),(1/Q464))+MIN((Skills!T13*(1+Inputs!$B$35/100)),MAX(0,Inputs!$B$44-((R464-1)*(1/Q464)))))/Inputs!$B$44),IF(Inputs!$B$39="pvp",MIN((Skills!T13*(1+Inputs!$B$35/100)),15)/15,MIN(1,(Skills!T13*(1+Inputs!$B$35/100))/(1/Q464)))))+((C465=TRUE)*F465*IF(AND(Inputs!$B$39&lt;&gt;"pvp",Inputs!$B$44&gt;0),(((R465-1)*MIN((Skills!T14*(1+Inputs!$B$35/100)),(1/Q465))+MIN((Skills!T14*(1+Inputs!$B$35/100)),MAX(0,Inputs!$B$44-((R465-1)*(1/Q465)))))/Inputs!$B$44),IF(Inputs!$B$39="pvp",MIN((Skills!T14*(1+Inputs!$B$35/100)),15)/15,MIN(1,(Skills!T14*(1+Inputs!$B$35/100))/(1/Q465)))))+((C466=TRUE)*F466*IF(AND(Inputs!$B$39&lt;&gt;"pvp",Inputs!$B$44&gt;0),(((R466-1)*MIN((Skills!T15*(1+Inputs!$B$35/100)),(1/Q466))+MIN((Skills!T15*(1+Inputs!$B$35/100)),MAX(0,Inputs!$B$44-((R466-1)*(1/Q466)))))/Inputs!$B$44),IF(Inputs!$B$39="pvp",MIN((Skills!T15*(1+Inputs!$B$35/100)),15)/15,MIN(1,(Skills!T15*(1+Inputs!$B$35/100))/(1/Q466)))))+((C467=TRUE)*F467*IF(AND(Inputs!$B$39&lt;&gt;"pvp",Inputs!$B$44&gt;0),(((R467-1)*MIN((Skills!T16*(1+Inputs!$B$35/100)),(1/Q467))+MIN((Skills!T16*(1+Inputs!$B$35/100)),MAX(0,Inputs!$B$44-((R467-1)*(1/Q467)))))/Inputs!$B$44),IF(Inputs!$B$39="pvp",MIN((Skills!T16*(1+Inputs!$B$35/100)),15)/15,MIN(1,(Skills!T16*(1+Inputs!$B$35/100))/(1/Q467)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457)</f>
        <v/>
      </c>
      <c r="L457">
        <f>K457*(MIN(Inputs!$B$23+((C473=TRUE)*(F473-Calc!F22)),(Inputs!$B$24+((C475=TRUE)*(F475-Calc!F24))+(IF(ArtifactsInput!$M$15,CHOOSE(ArtifactsInput!$N$15+1,25,30,35,40,45,50)/100*(Inputs!$B$12-Inputs!$B$12),0))))/100+(Inputs!$B$24+((C475=TRUE)*(F475-Calc!F24))+(IF(ArtifactsInput!$M$15,CHOOSE(ArtifactsInput!$N$15+1,25,30,35,40,45,50)/100*(Inputs!$B$12-Inputs!$B$12),0)))/100)/2</f>
        <v/>
      </c>
      <c r="M457">
        <f>L457*(1+(Inputs!$B$11+0+B485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457">
        <f>L457*(1-MIN((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457*(MIN((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57">
        <f>(1-Summary!$B$11)*T457+Summary!$B$11*V457</f>
        <v/>
      </c>
      <c r="P457">
        <f>IF(B490=0,0,O457/B490)</f>
        <v/>
      </c>
      <c r="Q457">
        <f>IFERROR(1/IF(Inputs!$B$39="pvp",15,MAX(0.1,Skills!D6-IF(TRUE=TRUE,Inputs!$B$33,0))),0)</f>
        <v/>
      </c>
      <c r="R457">
        <f>IF(AND(Inputs!$B$39&lt;&gt;"pvp",Inputs!$B$44&gt;0),IF(MAX(0,Inputs!$B$44-B487)&lt;=0,0,(INT(MAX(0,Inputs!$B$44-B487)/IF(Inputs!$B$39="pvp",15,MAX(0.1,Skills!D6-IF(TRUE=TRUE,Inputs!$B$33,0))))+1)),0)</f>
        <v/>
      </c>
      <c r="S457">
        <f>IFERROR(O457/N457,0)</f>
        <v/>
      </c>
      <c r="T457">
        <f>IF(C457,(H457*N457*IF(AND(Inputs!$B$39&lt;&gt;"pvp",Inputs!$B$44&gt;0),((Skills!G6*((R457-1)*IF(Skills!H6&gt;0,INT(Skills!I6/Skills!H6+0.000000001),1)+IF(Skills!H6&gt;0,INT(MIN(Skills!I6,MAX(0,MAX(0,Inputs!$B$44-B487)-((R457-1)*IF(Inputs!$B$39="pvp",15,MAX(0.1,Skills!D6-IF(TRUE=TRUE,Inputs!$B$33,0))))))/Skills!H6+0.000000001),1)))/Inputs!$B$44),G457*Q457))*IF(Inputs!$B$39="pvp",1,1+(Inputs!$B$21+0+Skills!P6+((C468=TRUE)*F468*IF(AND(Inputs!$B$39&lt;&gt;"pvp",Inputs!$B$44&gt;0),(((R468-1)*MIN((Skills!T17*(1+Inputs!$B$35/100)),(1/Q468))+MIN((Skills!T17*(1+Inputs!$B$35/100)),MAX(0,Inputs!$B$44-((R468-1)*(1/Q468)))))/Inputs!$B$44),IF(Inputs!$B$39="pvp",MIN((Skills!T17*(1+Inputs!$B$35/100)),15)/15,MIN(1,(Skills!T17*(1+Inputs!$B$35/100))/(1/Q468)))))+((C456=TRUE)*IF(Inputs!$B$3&gt;=126,10*MIN(1,15*Q456),0))+((C465=TRUE)*IF(Inputs!$B$39="pvp",20,(1-Summary!$B$11)*(20)+Summary!$B$11*(0))*IF(AND(Inputs!$B$39&lt;&gt;"pvp",Inputs!$B$44&gt;0),(((R465-1)*MIN((Skills!T14*(1+Inputs!$B$35/100)),(1/Q465))+MIN((Skills!T14*(1+Inputs!$B$35/100)),MAX(0,Inputs!$B$44-((R465-1)*(1/Q465)))))/Inputs!$B$44),IF(Inputs!$B$39="pvp",MIN((Skills!T14*(1+Inputs!$B$35/100)),15)/15,MIN(1,(Skills!T14*(1+Inputs!$B$35/100))/(1/Q465)))))+((C464=TRUE)*IF(Inputs!$B$3&gt;=82,IF(Inputs!$B$39="pvp",20,(1-Summary!$B$11)*(20)+Summary!$B$11*(0)),0)*IF(AND(Inputs!$B$39&lt;&gt;"pvp",Inputs!$B$44&gt;0),(((R464-1)*MIN((Skills!T13*(1+Inputs!$B$35/100)),(1/Q464))+MIN((Skills!T13*(1+Inputs!$B$35/100)),MAX(0,Inputs!$B$44-((R464-1)*(1/Q464)))))/Inputs!$B$44),IF(Inputs!$B$39="pvp",MIN((Skills!T13*(1+Inputs!$B$35/100)),15)/15,MIN(1,(Skills!T13*(1+Inputs!$B$35/100))/(1/Q464)))))+(IF(AND(ArtifactsInput!$M$35,Inputs!$B$4&lt;&gt;"Chapter Hunt"),CHOOSE(ArtifactsInput!$N$35+1,15,18,21,24,27,30)*(1-EXP(-(0.2*B482)*5)),0)+IF(AND(ArtifactsInput!$M$22,Inputs!$B$4&lt;&gt;"Chapter Hunt"),CHOOSE(ArtifactsInput!$N$22+1,10,12,14,16,18,20)*((0*(((0.15*B482*5))^0/1)+1*(((0.15*B482*5))^1/1)+2*(((0.15*B482*5))^2/2)+3*(((0.15*B482*5))^3/6)+4*(((0.15*B482*5))^4/24)+5*(((0.15*B482*5))^5/120))/((((0.15*B482*5))^0/1)+(((0.15*B482*5))^1/1)+(((0.15*B482*5))^2/2)+(((0.15*B482*5))^3/6)+(((0.15*B482*5))^4/24)+(((0.15*B482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457*(1-MIN(100,(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457*(MIN(100,(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457*(1-MIN(100,(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457*(MIN(100,(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57">
        <f>IF(C457,(H457*N457*IF(AND(Inputs!$B$39&lt;&gt;"pvp",Inputs!$B$44&gt;0),((Skills!G6*((R457-1)*IF(Skills!H6&gt;0,INT(Skills!I6/Skills!H6+0.000000001),1)+IF(Skills!H6&gt;0,INT(MIN(Skills!I6,MAX(0,MAX(0,Inputs!$B$44-B487)-((R457-1)*IF(Inputs!$B$39="pvp",15,MAX(0.1,Skills!D6-IF(TRUE=TRUE,Inputs!$B$33,0))))))/Skills!H6+0.000000001),1)))/Inputs!$B$44),G457*Q457))*IF(Inputs!$B$39="pvp",1,(1+(Inputs!$B$22+Skills!Q6+((C468=TRUE)*F468*IF(AND(Inputs!$B$39&lt;&gt;"pvp",Inputs!$B$44&gt;0),(((R468-1)*MIN((Skills!T17*(1+Inputs!$B$35/100)),(1/Q468))+MIN((Skills!T17*(1+Inputs!$B$35/100)),MAX(0,Inputs!$B$44-((R468-1)*(1/Q468)))))/Inputs!$B$44),IF(Inputs!$B$39="pvp",MIN((Skills!T17*(1+Inputs!$B$35/100)),15)/15,MIN(1,(Skills!T17*(1+Inputs!$B$35/100))/(1/Q468)))))+((C456=TRUE)*IF(Inputs!$B$3&gt;=126,10*MIN(1,15*Q456),0))+((C465=TRUE)*IF(Inputs!$B$39="pvp",20,(1-Summary!$B$11)*(20)+Summary!$B$11*(0))*IF(AND(Inputs!$B$39&lt;&gt;"pvp",Inputs!$B$44&gt;0),(((R465-1)*MIN((Skills!T14*(1+Inputs!$B$35/100)),(1/Q465))+MIN((Skills!T14*(1+Inputs!$B$35/100)),MAX(0,Inputs!$B$44-((R465-1)*(1/Q465)))))/Inputs!$B$44),IF(Inputs!$B$39="pvp",MIN((Skills!T14*(1+Inputs!$B$35/100)),15)/15,MIN(1,(Skills!T14*(1+Inputs!$B$35/100))/(1/Q465)))))+((C464=TRUE)*IF(Inputs!$B$3&gt;=82,IF(Inputs!$B$39="pvp",20,(1-Summary!$B$11)*(20)+Summary!$B$11*(0)),0)*IF(AND(Inputs!$B$39&lt;&gt;"pvp",Inputs!$B$44&gt;0),(((R464-1)*MIN((Skills!T13*(1+Inputs!$B$35/100)),(1/Q464))+MIN((Skills!T13*(1+Inputs!$B$35/100)),MAX(0,Inputs!$B$44-((R464-1)*(1/Q464)))))/Inputs!$B$44),IF(Inputs!$B$39="pvp",MIN((Skills!T13*(1+Inputs!$B$35/100)),15)/15,MIN(1,(Skills!T13*(1+Inputs!$B$35/100))/(1/Q464)))))+(IF(AND(ArtifactsInput!$M$35,Inputs!$B$4&lt;&gt;"Chapter Hunt"),CHOOSE(ArtifactsInput!$N$35+1,15,18,21,24,27,30)*(1-EXP(-(0.2*B482)*5)),0)+IF(AND(ArtifactsInput!$M$22,Inputs!$B$4&lt;&gt;"Chapter Hunt"),CHOOSE(ArtifactsInput!$N$22+1,10,12,14,16,18,20)*((0*(((0.15*B482*5))^0/1)+1*(((0.15*B482*5))^1/1)+2*(((0.15*B482*5))^2/2)+3*(((0.15*B482*5))^3/6)+4*(((0.15*B482*5))^4/24)+5*(((0.15*B482*5))^5/120))/((((0.15*B482*5))^0/1)+(((0.15*B482*5))^1/1)+(((0.15*B482*5))^2/2)+(((0.15*B482*5))^3/6)+(((0.15*B482*5))^4/24)+(((0.15*B482*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58">
      <c r="A458">
        <f>Skills!A7</f>
        <v/>
      </c>
      <c r="B458">
        <f>Skills!B7</f>
        <v/>
      </c>
      <c r="C458">
        <f>Inputs!$B$3&gt;=40</f>
        <v/>
      </c>
      <c r="D458">
        <f>IF(Skills!C7=1,60+Inputs!$B$26+Inputs!$B$30,IF(Skills!C7=2,90+Inputs!$B$27+Inputs!$B$30,IF(Skills!C7=3,120+Inputs!$B$28+Inputs!$B$30,MAX(0,(Inputs!$B$3-100)*3)+Inputs!$B$29+Inputs!$B$30)))</f>
        <v/>
      </c>
      <c r="E458">
        <f>INDEX(FactorTable!$B$2:$Y$301, MATCH(ROUND(MIN(300,MAX(1,D458)),0), FactorTable!$A$2:$A$301,0), Skills!M7+1)</f>
        <v/>
      </c>
      <c r="F458">
        <f>IF(Skills!N7=TRUE,(Skills!L7/10)*(E458/1000),Skills!L7/10)+Skills!O7</f>
        <v/>
      </c>
      <c r="G458">
        <f>Skills!G7*IF(Skills!H7&gt;0,INT(IF(Inputs!$B$39="pvp",MIN(Skills!I7,15),Skills!I7)/Skills!H7+0.000000001),1)</f>
        <v/>
      </c>
      <c r="H458">
        <f>1-(1-Skills!J7/100)^Skills!K7</f>
        <v/>
      </c>
      <c r="I458" t="inlineStr">
        <is>
          <t>1</t>
        </is>
      </c>
      <c r="J458">
        <f>((Inputs!$B$6*(1+Inputs!$B$7/100))+(((Inputs!$B$13*(1+Inputs!$B$14/100))-(Inputs!$B$13*(1+Inputs!$B$14/100)))+0.25*(Inputs!$B$15-Inputs!$B$15))*(1+Inputs!$B$7/100))*(F458/100)</f>
        <v/>
      </c>
      <c r="K458">
        <f>J458*(1+(((Inputs!$B$13+IF(Inputs!$B$3&gt;=38,(10*INDEX(FactorTable!$B$2:$Y$301, MATCH(ROUND(MIN(300,MAX(1,Inputs!$B$3)),0), FactorTable!$A$2:$A$301,0), 23)/1000)/100*(Inputs!$B$8*(1+Inputs!$B$9/100)),0))*(1+Inputs!$B$14/100))*0.01+Inputs!$B$15*0.0025)/100)*(1+Inputs!$B$16/100)*(1+Inputs!$B$17/100)*(5000/(6000+Inputs!$B$43*(1-(Inputs!$B$20+0)/100)))*(1+(((((1+Inputs!$B$25/100)*(1.01))-1)*100)+((C476=TRUE)*(F476-Calc!F25))+((C477=TRUE)*(F477-Calc!F26))+B486)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462=TRUE,F462,0)/100)*(1+(IF(Skills!A7="DARK_IMPALE",Inputs!$B$18+0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gt;=100),MIN(100,((Inputs!$B$10+0+B480+(ArtifactsInput!$M$24-ArtifactsInput!$M$24)*CHOOSE(ArtifactsInput!$N$24+1,10,12,14,16,18,20)+IF(ArtifactsInput!$M$10,CHOOSE(ArtifactsInput!$N$10+1,15,18,21,24,27,30)*(IF(Inputs!$B$39="pvp",MIN(15,15)/15,IF(AND(Inputs!$B$39&lt;&gt;"pvp",Inputs!$B$44&gt;0),MIN(15,Inputs!$B$44)/(Inputs!$B$44),0))),0)))-100),0))*CHOOSE(ArtifactsInput!$N$42+1,0.6,0.72,0.84,0.96,1.08,1.2))),Inputs!$B$19+((C474=TRUE)*(F474-Calc!F23))+(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gt;=100),CHOOSE(ArtifactsInput!$N$42+1,40,48,56,64,72,80),0))))/100)*((1+(((C464=TRUE)*F464*IF(AND(Inputs!$B$39&lt;&gt;"pvp",Inputs!$B$44&gt;0),(((R464-1)*MIN((Skills!T13*(1+Inputs!$B$35/100)),(1/Q464))+MIN((Skills!T13*(1+Inputs!$B$35/100)),MAX(0,Inputs!$B$44-((R464-1)*(1/Q464)))))/Inputs!$B$44),IF(Inputs!$B$39="pvp",MIN((Skills!T13*(1+Inputs!$B$35/100)),15)/15,MIN(1,(Skills!T13*(1+Inputs!$B$35/100))/(1/Q464)))))+((C465=TRUE)*F465*IF(AND(Inputs!$B$39&lt;&gt;"pvp",Inputs!$B$44&gt;0),(((R465-1)*MIN((Skills!T14*(1+Inputs!$B$35/100)),(1/Q465))+MIN((Skills!T14*(1+Inputs!$B$35/100)),MAX(0,Inputs!$B$44-((R465-1)*(1/Q465)))))/Inputs!$B$44),IF(Inputs!$B$39="pvp",MIN((Skills!T14*(1+Inputs!$B$35/100)),15)/15,MIN(1,(Skills!T14*(1+Inputs!$B$35/100))/(1/Q465)))))+((C466=TRUE)*F466*IF(AND(Inputs!$B$39&lt;&gt;"pvp",Inputs!$B$44&gt;0),(((R466-1)*MIN((Skills!T15*(1+Inputs!$B$35/100)),(1/Q466))+MIN((Skills!T15*(1+Inputs!$B$35/100)),MAX(0,Inputs!$B$44-((R466-1)*(1/Q466)))))/Inputs!$B$44),IF(Inputs!$B$39="pvp",MIN((Skills!T15*(1+Inputs!$B$35/100)),15)/15,MIN(1,(Skills!T15*(1+Inputs!$B$35/100))/(1/Q466)))))+((C467=TRUE)*F467*IF(AND(Inputs!$B$39&lt;&gt;"pvp",Inputs!$B$44&gt;0),(((R467-1)*MIN((Skills!T16*(1+Inputs!$B$35/100)),(1/Q467))+MIN((Skills!T16*(1+Inputs!$B$35/100)),MAX(0,Inputs!$B$44-((R467-1)*(1/Q467)))))/Inputs!$B$44),IF(Inputs!$B$39="pvp",MIN((Skills!T16*(1+Inputs!$B$35/100)),15)/15,MIN(1,(Skills!T16*(1+Inputs!$B$35/100))/(1/Q467)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458)</f>
        <v/>
      </c>
      <c r="L458">
        <f>K458*(MIN(Inputs!$B$23+((C473=TRUE)*(F473-Calc!F22)),(Inputs!$B$24+((C475=TRUE)*(F475-Calc!F24))+(IF(ArtifactsInput!$M$15,CHOOSE(ArtifactsInput!$N$15+1,25,30,35,40,45,50)/100*(Inputs!$B$12-Inputs!$B$12),0))))/100+(Inputs!$B$24+((C475=TRUE)*(F475-Calc!F24))+(IF(ArtifactsInput!$M$15,CHOOSE(ArtifactsInput!$N$15+1,25,30,35,40,45,50)/100*(Inputs!$B$12-Inputs!$B$12),0)))/100)/2</f>
        <v/>
      </c>
      <c r="M458">
        <f>L458*(1+(Inputs!$B$11+0+B485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458">
        <f>L458*(1-MIN((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458*(MIN((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58">
        <f>(1-Summary!$B$11)*T458+Summary!$B$11*V458</f>
        <v/>
      </c>
      <c r="P458">
        <f>IF(B490=0,0,O458/B490)</f>
        <v/>
      </c>
      <c r="Q458">
        <f>IFERROR(1/IF(Inputs!$B$39="pvp",15,MAX(0.1,Skills!D7-IF(TRUE=TRUE,Inputs!$B$33,0))),0)</f>
        <v/>
      </c>
      <c r="R458">
        <f>IF(AND(Inputs!$B$39&lt;&gt;"pvp",Inputs!$B$44&gt;0),IF(MAX(0,Inputs!$B$44-B487)&lt;=0,0,(INT(MAX(0,Inputs!$B$44-B487)/IF(Inputs!$B$39="pvp",15,MAX(0.1,Skills!D7-IF(TRUE=TRUE,Inputs!$B$33,0))))+1)),0)</f>
        <v/>
      </c>
      <c r="S458">
        <f>IFERROR(O458/N458,0)</f>
        <v/>
      </c>
      <c r="T458">
        <f>IF(C458,(H458*N458*IF(AND(Inputs!$B$39&lt;&gt;"pvp",Inputs!$B$44&gt;0),((Skills!G7*((R458-1)*IF(Skills!H7&gt;0,INT(Skills!I7/Skills!H7+0.000000001),1)+IF(Skills!H7&gt;0,INT(MIN(Skills!I7,MAX(0,MAX(0,Inputs!$B$44-B487)-((R458-1)*IF(Inputs!$B$39="pvp",15,MAX(0.1,Skills!D7-IF(TRUE=TRUE,Inputs!$B$33,0))))))/Skills!H7+0.000000001),1)))/Inputs!$B$44),G458*Q458))*IF(Inputs!$B$39="pvp",1,1+(Inputs!$B$21+0+Skills!P7+((C468=TRUE)*F468*IF(AND(Inputs!$B$39&lt;&gt;"pvp",Inputs!$B$44&gt;0),(((R468-1)*MIN((Skills!T17*(1+Inputs!$B$35/100)),(1/Q468))+MIN((Skills!T17*(1+Inputs!$B$35/100)),MAX(0,Inputs!$B$44-((R468-1)*(1/Q468)))))/Inputs!$B$44),IF(Inputs!$B$39="pvp",MIN((Skills!T17*(1+Inputs!$B$35/100)),15)/15,MIN(1,(Skills!T17*(1+Inputs!$B$35/100))/(1/Q468)))))+((C456=TRUE)*IF(Inputs!$B$3&gt;=126,10*MIN(1,15*Q456),0))+((C465=TRUE)*IF(Inputs!$B$39="pvp",20,(1-Summary!$B$11)*(20)+Summary!$B$11*(0))*IF(AND(Inputs!$B$39&lt;&gt;"pvp",Inputs!$B$44&gt;0),(((R465-1)*MIN((Skills!T14*(1+Inputs!$B$35/100)),(1/Q465))+MIN((Skills!T14*(1+Inputs!$B$35/100)),MAX(0,Inputs!$B$44-((R465-1)*(1/Q465)))))/Inputs!$B$44),IF(Inputs!$B$39="pvp",MIN((Skills!T14*(1+Inputs!$B$35/100)),15)/15,MIN(1,(Skills!T14*(1+Inputs!$B$35/100))/(1/Q465)))))+((C464=TRUE)*IF(Inputs!$B$3&gt;=82,IF(Inputs!$B$39="pvp",20,(1-Summary!$B$11)*(20)+Summary!$B$11*(0)),0)*IF(AND(Inputs!$B$39&lt;&gt;"pvp",Inputs!$B$44&gt;0),(((R464-1)*MIN((Skills!T13*(1+Inputs!$B$35/100)),(1/Q464))+MIN((Skills!T13*(1+Inputs!$B$35/100)),MAX(0,Inputs!$B$44-((R464-1)*(1/Q464)))))/Inputs!$B$44),IF(Inputs!$B$39="pvp",MIN((Skills!T13*(1+Inputs!$B$35/100)),15)/15,MIN(1,(Skills!T13*(1+Inputs!$B$35/100))/(1/Q464)))))+(IF(AND(ArtifactsInput!$M$35,Inputs!$B$4&lt;&gt;"Chapter Hunt"),CHOOSE(ArtifactsInput!$N$35+1,15,18,21,24,27,30)*(1-EXP(-(0.2*B482)*5)),0)+IF(AND(ArtifactsInput!$M$22,Inputs!$B$4&lt;&gt;"Chapter Hunt"),CHOOSE(ArtifactsInput!$N$22+1,10,12,14,16,18,20)*((0*(((0.15*B482*5))^0/1)+1*(((0.15*B482*5))^1/1)+2*(((0.15*B482*5))^2/2)+3*(((0.15*B482*5))^3/6)+4*(((0.15*B482*5))^4/24)+5*(((0.15*B482*5))^5/120))/((((0.15*B482*5))^0/1)+(((0.15*B482*5))^1/1)+(((0.15*B482*5))^2/2)+(((0.15*B482*5))^3/6)+(((0.15*B482*5))^4/24)+(((0.15*B482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458*(1-MIN(100,(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458*(MIN(100,(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458*(1-MIN(100,(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458*(MIN(100,(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58">
        <f>IF(C458,(H458*N458*IF(AND(Inputs!$B$39&lt;&gt;"pvp",Inputs!$B$44&gt;0),((Skills!G7*((R458-1)*IF(Skills!H7&gt;0,INT(Skills!I7/Skills!H7+0.000000001),1)+IF(Skills!H7&gt;0,INT(MIN(Skills!I7,MAX(0,MAX(0,Inputs!$B$44-B487)-((R458-1)*IF(Inputs!$B$39="pvp",15,MAX(0.1,Skills!D7-IF(TRUE=TRUE,Inputs!$B$33,0))))))/Skills!H7+0.000000001),1)))/Inputs!$B$44),G458*Q458))*IF(Inputs!$B$39="pvp",1,(1+(Inputs!$B$22+Skills!Q7+((C468=TRUE)*F468*IF(AND(Inputs!$B$39&lt;&gt;"pvp",Inputs!$B$44&gt;0),(((R468-1)*MIN((Skills!T17*(1+Inputs!$B$35/100)),(1/Q468))+MIN((Skills!T17*(1+Inputs!$B$35/100)),MAX(0,Inputs!$B$44-((R468-1)*(1/Q468)))))/Inputs!$B$44),IF(Inputs!$B$39="pvp",MIN((Skills!T17*(1+Inputs!$B$35/100)),15)/15,MIN(1,(Skills!T17*(1+Inputs!$B$35/100))/(1/Q468)))))+((C456=TRUE)*IF(Inputs!$B$3&gt;=126,10*MIN(1,15*Q456),0))+((C465=TRUE)*IF(Inputs!$B$39="pvp",20,(1-Summary!$B$11)*(20)+Summary!$B$11*(0))*IF(AND(Inputs!$B$39&lt;&gt;"pvp",Inputs!$B$44&gt;0),(((R465-1)*MIN((Skills!T14*(1+Inputs!$B$35/100)),(1/Q465))+MIN((Skills!T14*(1+Inputs!$B$35/100)),MAX(0,Inputs!$B$44-((R465-1)*(1/Q465)))))/Inputs!$B$44),IF(Inputs!$B$39="pvp",MIN((Skills!T14*(1+Inputs!$B$35/100)),15)/15,MIN(1,(Skills!T14*(1+Inputs!$B$35/100))/(1/Q465)))))+((C464=TRUE)*IF(Inputs!$B$3&gt;=82,IF(Inputs!$B$39="pvp",20,(1-Summary!$B$11)*(20)+Summary!$B$11*(0)),0)*IF(AND(Inputs!$B$39&lt;&gt;"pvp",Inputs!$B$44&gt;0),(((R464-1)*MIN((Skills!T13*(1+Inputs!$B$35/100)),(1/Q464))+MIN((Skills!T13*(1+Inputs!$B$35/100)),MAX(0,Inputs!$B$44-((R464-1)*(1/Q464)))))/Inputs!$B$44),IF(Inputs!$B$39="pvp",MIN((Skills!T13*(1+Inputs!$B$35/100)),15)/15,MIN(1,(Skills!T13*(1+Inputs!$B$35/100))/(1/Q464)))))+(IF(AND(ArtifactsInput!$M$35,Inputs!$B$4&lt;&gt;"Chapter Hunt"),CHOOSE(ArtifactsInput!$N$35+1,15,18,21,24,27,30)*(1-EXP(-(0.2*B482)*5)),0)+IF(AND(ArtifactsInput!$M$22,Inputs!$B$4&lt;&gt;"Chapter Hunt"),CHOOSE(ArtifactsInput!$N$22+1,10,12,14,16,18,20)*((0*(((0.15*B482*5))^0/1)+1*(((0.15*B482*5))^1/1)+2*(((0.15*B482*5))^2/2)+3*(((0.15*B482*5))^3/6)+4*(((0.15*B482*5))^4/24)+5*(((0.15*B482*5))^5/120))/((((0.15*B482*5))^0/1)+(((0.15*B482*5))^1/1)+(((0.15*B482*5))^2/2)+(((0.15*B482*5))^3/6)+(((0.15*B482*5))^4/24)+(((0.15*B482*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59">
      <c r="A459">
        <f>Skills!A8</f>
        <v/>
      </c>
      <c r="B459">
        <f>Skills!B8</f>
        <v/>
      </c>
      <c r="C459">
        <f>Inputs!$B$3&gt;=75</f>
        <v/>
      </c>
      <c r="D459">
        <f>IF(Skills!C8=1,60+Inputs!$B$26+Inputs!$B$30,IF(Skills!C8=2,90+Inputs!$B$27+Inputs!$B$30,IF(Skills!C8=3,120+Inputs!$B$28+Inputs!$B$30,MAX(0,(Inputs!$B$3-100)*3)+Inputs!$B$29+Inputs!$B$30)))</f>
        <v/>
      </c>
      <c r="E459">
        <f>INDEX(FactorTable!$B$2:$Y$301, MATCH(ROUND(MIN(300,MAX(1,D459)),0), FactorTable!$A$2:$A$301,0), Skills!M8+1)</f>
        <v/>
      </c>
      <c r="F459">
        <f>IF(Skills!N8=TRUE,(Skills!L8/10)*(E459/1000),Skills!L8/10)+Skills!O8</f>
        <v/>
      </c>
      <c r="G459" t="inlineStr"/>
      <c r="H459" t="inlineStr"/>
      <c r="I459" t="inlineStr">
        <is>
          <t>1</t>
        </is>
      </c>
      <c r="J459" t="inlineStr"/>
      <c r="K459" t="inlineStr"/>
      <c r="L459" t="inlineStr"/>
      <c r="M459" t="inlineStr"/>
      <c r="N459" t="inlineStr"/>
      <c r="O459" t="inlineStr"/>
      <c r="P459" t="inlineStr"/>
      <c r="Q459" t="inlineStr"/>
      <c r="R459" t="inlineStr"/>
      <c r="S459" t="inlineStr"/>
    </row>
    <row r="460">
      <c r="A460">
        <f>Skills!A9</f>
        <v/>
      </c>
      <c r="B460">
        <f>Skills!B9</f>
        <v/>
      </c>
      <c r="C460">
        <f>Inputs!$B$3&gt;=60</f>
        <v/>
      </c>
      <c r="D460">
        <f>IF(Skills!C9=1,60+Inputs!$B$26+Inputs!$B$30,IF(Skills!C9=2,90+Inputs!$B$27+Inputs!$B$30,IF(Skills!C9=3,120+Inputs!$B$28+Inputs!$B$30,MAX(0,(Inputs!$B$3-100)*3)+Inputs!$B$29+Inputs!$B$30)))</f>
        <v/>
      </c>
      <c r="E460">
        <f>INDEX(FactorTable!$B$2:$Y$301, MATCH(ROUND(MIN(300,MAX(1,D460)),0), FactorTable!$A$2:$A$301,0), Skills!M9+1)</f>
        <v/>
      </c>
      <c r="F460">
        <f>IF(Skills!N9=TRUE,(Skills!L9/10)*(E460/1000),Skills!L9/10)+Skills!O9</f>
        <v/>
      </c>
      <c r="G460">
        <f>Skills!G9*IF(Skills!H9&gt;0,INT(IF(Inputs!$B$39="pvp",MIN(Skills!I9,15),Skills!I9)/Skills!H9+0.000000001),1)</f>
        <v/>
      </c>
      <c r="H460">
        <f>1-(1-Skills!J9/100)^Skills!K9</f>
        <v/>
      </c>
      <c r="I460" t="inlineStr">
        <is>
          <t>1</t>
        </is>
      </c>
      <c r="J460">
        <f>((Inputs!$B$6*(1+Inputs!$B$7/100))+(((Inputs!$B$13*(1+Inputs!$B$14/100))-(Inputs!$B$13*(1+Inputs!$B$14/100)))+0.25*(Inputs!$B$15-Inputs!$B$15))*(1+Inputs!$B$7/100))*(F460/100)</f>
        <v/>
      </c>
      <c r="K460">
        <f>J460*(1+(((Inputs!$B$13+IF(Inputs!$B$3&gt;=38,(10*INDEX(FactorTable!$B$2:$Y$301, MATCH(ROUND(MIN(300,MAX(1,Inputs!$B$3)),0), FactorTable!$A$2:$A$301,0), 23)/1000)/100*(Inputs!$B$8*(1+Inputs!$B$9/100)),0))*(1+Inputs!$B$14/100))*0.01+Inputs!$B$15*0.0025)/100)*(1+Inputs!$B$16/100)*(1+Inputs!$B$17/100)*(5000/(6000+Inputs!$B$43*(1-(Inputs!$B$20+0)/100)))*(1+(((((1+Inputs!$B$25/100)*(1.01))-1)*100)+((C476=TRUE)*(F476-Calc!F25))+((C477=TRUE)*(F477-Calc!F26))+B486)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462=TRUE,F462,0)/100)*(1+(IF(Skills!A9="DARK_IMPALE",Inputs!$B$18+0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gt;=100),MIN(100,((Inputs!$B$10+0+B480+(ArtifactsInput!$M$24-ArtifactsInput!$M$24)*CHOOSE(ArtifactsInput!$N$24+1,10,12,14,16,18,20)+IF(ArtifactsInput!$M$10,CHOOSE(ArtifactsInput!$N$10+1,15,18,21,24,27,30)*(IF(Inputs!$B$39="pvp",MIN(15,15)/15,IF(AND(Inputs!$B$39&lt;&gt;"pvp",Inputs!$B$44&gt;0),MIN(15,Inputs!$B$44)/(Inputs!$B$44),0))),0)))-100),0))*CHOOSE(ArtifactsInput!$N$42+1,0.6,0.72,0.84,0.96,1.08,1.2))),Inputs!$B$19+((C474=TRUE)*(F474-Calc!F23))+(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gt;=100),CHOOSE(ArtifactsInput!$N$42+1,40,48,56,64,72,80),0))))/100)*((1+(((C464=TRUE)*F464*IF(AND(Inputs!$B$39&lt;&gt;"pvp",Inputs!$B$44&gt;0),(((R464-1)*MIN((Skills!T13*(1+Inputs!$B$35/100)),(1/Q464))+MIN((Skills!T13*(1+Inputs!$B$35/100)),MAX(0,Inputs!$B$44-((R464-1)*(1/Q464)))))/Inputs!$B$44),IF(Inputs!$B$39="pvp",MIN((Skills!T13*(1+Inputs!$B$35/100)),15)/15,MIN(1,(Skills!T13*(1+Inputs!$B$35/100))/(1/Q464)))))+((C465=TRUE)*F465*IF(AND(Inputs!$B$39&lt;&gt;"pvp",Inputs!$B$44&gt;0),(((R465-1)*MIN((Skills!T14*(1+Inputs!$B$35/100)),(1/Q465))+MIN((Skills!T14*(1+Inputs!$B$35/100)),MAX(0,Inputs!$B$44-((R465-1)*(1/Q465)))))/Inputs!$B$44),IF(Inputs!$B$39="pvp",MIN((Skills!T14*(1+Inputs!$B$35/100)),15)/15,MIN(1,(Skills!T14*(1+Inputs!$B$35/100))/(1/Q465)))))+((C466=TRUE)*F466*IF(AND(Inputs!$B$39&lt;&gt;"pvp",Inputs!$B$44&gt;0),(((R466-1)*MIN((Skills!T15*(1+Inputs!$B$35/100)),(1/Q466))+MIN((Skills!T15*(1+Inputs!$B$35/100)),MAX(0,Inputs!$B$44-((R466-1)*(1/Q466)))))/Inputs!$B$44),IF(Inputs!$B$39="pvp",MIN((Skills!T15*(1+Inputs!$B$35/100)),15)/15,MIN(1,(Skills!T15*(1+Inputs!$B$35/100))/(1/Q466)))))+((C467=TRUE)*F467*IF(AND(Inputs!$B$39&lt;&gt;"pvp",Inputs!$B$44&gt;0),(((R467-1)*MIN((Skills!T16*(1+Inputs!$B$35/100)),(1/Q467))+MIN((Skills!T16*(1+Inputs!$B$35/100)),MAX(0,Inputs!$B$44-((R467-1)*(1/Q467)))))/Inputs!$B$44),IF(Inputs!$B$39="pvp",MIN((Skills!T16*(1+Inputs!$B$35/100)),15)/15,MIN(1,(Skills!T16*(1+Inputs!$B$35/100))/(1/Q467)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460)</f>
        <v/>
      </c>
      <c r="L460">
        <f>K460*(MIN(Inputs!$B$23+((C473=TRUE)*(F473-Calc!F22)),(Inputs!$B$24+((C475=TRUE)*(F475-Calc!F24))+(IF(ArtifactsInput!$M$15,CHOOSE(ArtifactsInput!$N$15+1,25,30,35,40,45,50)/100*(Inputs!$B$12-Inputs!$B$12),0))))/100+(Inputs!$B$24+((C475=TRUE)*(F475-Calc!F24))+(IF(ArtifactsInput!$M$15,CHOOSE(ArtifactsInput!$N$15+1,25,30,35,40,45,50)/100*(Inputs!$B$12-Inputs!$B$12),0)))/100)/2</f>
        <v/>
      </c>
      <c r="M460">
        <f>L460*(1+(Inputs!$B$11+0+B485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460">
        <f>L460*(1-MIN((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460*(MIN((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60">
        <f>(1-Summary!$B$11)*T460+Summary!$B$11*V460</f>
        <v/>
      </c>
      <c r="P460">
        <f>IF(B490=0,0,O460/B490)</f>
        <v/>
      </c>
      <c r="Q460">
        <f>IFERROR(1/IF(Inputs!$B$39="pvp",15,MAX(0.1,Skills!D9-IF(TRUE=TRUE,Inputs!$B$33,0))),0)</f>
        <v/>
      </c>
      <c r="R460">
        <f>IF(AND(Inputs!$B$39&lt;&gt;"pvp",Inputs!$B$44&gt;0),IF(MAX(0,Inputs!$B$44-B487)&lt;=0,0,(INT(MAX(0,Inputs!$B$44-B487)/IF(Inputs!$B$39="pvp",15,MAX(0.1,Skills!D9-IF(TRUE=TRUE,Inputs!$B$33,0))))+1)),0)</f>
        <v/>
      </c>
      <c r="S460">
        <f>IFERROR(O460/N460,0)</f>
        <v/>
      </c>
      <c r="T460">
        <f>IF(C460,(H460*N460*IF(AND(Inputs!$B$39&lt;&gt;"pvp",Inputs!$B$44&gt;0),((Skills!G9*((R460-1)*IF(Skills!H9&gt;0,INT(Skills!I9/Skills!H9+0.000000001),1)+IF(Skills!H9&gt;0,INT(MIN(Skills!I9,MAX(0,MAX(0,Inputs!$B$44-B487)-((R460-1)*IF(Inputs!$B$39="pvp",15,MAX(0.1,Skills!D9-IF(TRUE=TRUE,Inputs!$B$33,0))))))/Skills!H9+0.000000001),1)))/Inputs!$B$44),G460*Q460))*IF(Inputs!$B$39="pvp",1,1+(Inputs!$B$21+0+Skills!P9+((C468=TRUE)*F468*IF(AND(Inputs!$B$39&lt;&gt;"pvp",Inputs!$B$44&gt;0),(((R468-1)*MIN((Skills!T17*(1+Inputs!$B$35/100)),(1/Q468))+MIN((Skills!T17*(1+Inputs!$B$35/100)),MAX(0,Inputs!$B$44-((R468-1)*(1/Q468)))))/Inputs!$B$44),IF(Inputs!$B$39="pvp",MIN((Skills!T17*(1+Inputs!$B$35/100)),15)/15,MIN(1,(Skills!T17*(1+Inputs!$B$35/100))/(1/Q468)))))+((C456=TRUE)*IF(Inputs!$B$3&gt;=126,10*MIN(1,15*Q456),0))+((C465=TRUE)*IF(Inputs!$B$39="pvp",20,(1-Summary!$B$11)*(20)+Summary!$B$11*(0))*IF(AND(Inputs!$B$39&lt;&gt;"pvp",Inputs!$B$44&gt;0),(((R465-1)*MIN((Skills!T14*(1+Inputs!$B$35/100)),(1/Q465))+MIN((Skills!T14*(1+Inputs!$B$35/100)),MAX(0,Inputs!$B$44-((R465-1)*(1/Q465)))))/Inputs!$B$44),IF(Inputs!$B$39="pvp",MIN((Skills!T14*(1+Inputs!$B$35/100)),15)/15,MIN(1,(Skills!T14*(1+Inputs!$B$35/100))/(1/Q465)))))+((C464=TRUE)*IF(Inputs!$B$3&gt;=82,IF(Inputs!$B$39="pvp",20,(1-Summary!$B$11)*(20)+Summary!$B$11*(0)),0)*IF(AND(Inputs!$B$39&lt;&gt;"pvp",Inputs!$B$44&gt;0),(((R464-1)*MIN((Skills!T13*(1+Inputs!$B$35/100)),(1/Q464))+MIN((Skills!T13*(1+Inputs!$B$35/100)),MAX(0,Inputs!$B$44-((R464-1)*(1/Q464)))))/Inputs!$B$44),IF(Inputs!$B$39="pvp",MIN((Skills!T13*(1+Inputs!$B$35/100)),15)/15,MIN(1,(Skills!T13*(1+Inputs!$B$35/100))/(1/Q464)))))+(IF(AND(ArtifactsInput!$M$35,Inputs!$B$4&lt;&gt;"Chapter Hunt"),CHOOSE(ArtifactsInput!$N$35+1,15,18,21,24,27,30)*(1-EXP(-(0.2*B482)*5)),0)+IF(AND(ArtifactsInput!$M$22,Inputs!$B$4&lt;&gt;"Chapter Hunt"),CHOOSE(ArtifactsInput!$N$22+1,10,12,14,16,18,20)*((0*(((0.15*B482*5))^0/1)+1*(((0.15*B482*5))^1/1)+2*(((0.15*B482*5))^2/2)+3*(((0.15*B482*5))^3/6)+4*(((0.15*B482*5))^4/24)+5*(((0.15*B482*5))^5/120))/((((0.15*B482*5))^0/1)+(((0.15*B482*5))^1/1)+(((0.15*B482*5))^2/2)+(((0.15*B482*5))^3/6)+(((0.15*B482*5))^4/24)+(((0.15*B482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460*(1-MIN(100,(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460*(MIN(100,(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460*(1-MIN(100,(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460*(MIN(100,(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60">
        <f>IF(C460,(H460*N460*IF(AND(Inputs!$B$39&lt;&gt;"pvp",Inputs!$B$44&gt;0),((Skills!G9*((R460-1)*IF(Skills!H9&gt;0,INT(Skills!I9/Skills!H9+0.000000001),1)+IF(Skills!H9&gt;0,INT(MIN(Skills!I9,MAX(0,MAX(0,Inputs!$B$44-B487)-((R460-1)*IF(Inputs!$B$39="pvp",15,MAX(0.1,Skills!D9-IF(TRUE=TRUE,Inputs!$B$33,0))))))/Skills!H9+0.000000001),1)))/Inputs!$B$44),G460*Q460))*IF(Inputs!$B$39="pvp",1,(1+(Inputs!$B$22+Skills!Q9+((C468=TRUE)*F468*IF(AND(Inputs!$B$39&lt;&gt;"pvp",Inputs!$B$44&gt;0),(((R468-1)*MIN((Skills!T17*(1+Inputs!$B$35/100)),(1/Q468))+MIN((Skills!T17*(1+Inputs!$B$35/100)),MAX(0,Inputs!$B$44-((R468-1)*(1/Q468)))))/Inputs!$B$44),IF(Inputs!$B$39="pvp",MIN((Skills!T17*(1+Inputs!$B$35/100)),15)/15,MIN(1,(Skills!T17*(1+Inputs!$B$35/100))/(1/Q468)))))+((C456=TRUE)*IF(Inputs!$B$3&gt;=126,10*MIN(1,15*Q456),0))+((C465=TRUE)*IF(Inputs!$B$39="pvp",20,(1-Summary!$B$11)*(20)+Summary!$B$11*(0))*IF(AND(Inputs!$B$39&lt;&gt;"pvp",Inputs!$B$44&gt;0),(((R465-1)*MIN((Skills!T14*(1+Inputs!$B$35/100)),(1/Q465))+MIN((Skills!T14*(1+Inputs!$B$35/100)),MAX(0,Inputs!$B$44-((R465-1)*(1/Q465)))))/Inputs!$B$44),IF(Inputs!$B$39="pvp",MIN((Skills!T14*(1+Inputs!$B$35/100)),15)/15,MIN(1,(Skills!T14*(1+Inputs!$B$35/100))/(1/Q465)))))+((C464=TRUE)*IF(Inputs!$B$3&gt;=82,IF(Inputs!$B$39="pvp",20,(1-Summary!$B$11)*(20)+Summary!$B$11*(0)),0)*IF(AND(Inputs!$B$39&lt;&gt;"pvp",Inputs!$B$44&gt;0),(((R464-1)*MIN((Skills!T13*(1+Inputs!$B$35/100)),(1/Q464))+MIN((Skills!T13*(1+Inputs!$B$35/100)),MAX(0,Inputs!$B$44-((R464-1)*(1/Q464)))))/Inputs!$B$44),IF(Inputs!$B$39="pvp",MIN((Skills!T13*(1+Inputs!$B$35/100)),15)/15,MIN(1,(Skills!T13*(1+Inputs!$B$35/100))/(1/Q464)))))+(IF(AND(ArtifactsInput!$M$35,Inputs!$B$4&lt;&gt;"Chapter Hunt"),CHOOSE(ArtifactsInput!$N$35+1,15,18,21,24,27,30)*(1-EXP(-(0.2*B482)*5)),0)+IF(AND(ArtifactsInput!$M$22,Inputs!$B$4&lt;&gt;"Chapter Hunt"),CHOOSE(ArtifactsInput!$N$22+1,10,12,14,16,18,20)*((0*(((0.15*B482*5))^0/1)+1*(((0.15*B482*5))^1/1)+2*(((0.15*B482*5))^2/2)+3*(((0.15*B482*5))^3/6)+4*(((0.15*B482*5))^4/24)+5*(((0.15*B482*5))^5/120))/((((0.15*B482*5))^0/1)+(((0.15*B482*5))^1/1)+(((0.15*B482*5))^2/2)+(((0.15*B482*5))^3/6)+(((0.15*B482*5))^4/24)+(((0.15*B482*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61">
      <c r="A461">
        <f>Skills!A10</f>
        <v/>
      </c>
      <c r="B461">
        <f>Skills!B10</f>
        <v/>
      </c>
      <c r="C461">
        <f>Inputs!$B$3&gt;=110</f>
        <v/>
      </c>
      <c r="D461">
        <f>IF(Skills!C10=1,60+Inputs!$B$26+Inputs!$B$30,IF(Skills!C10=2,90+Inputs!$B$27+Inputs!$B$30,IF(Skills!C10=3,120+Inputs!$B$28+Inputs!$B$30,MAX(0,(Inputs!$B$3-100)*3)+Inputs!$B$29+Inputs!$B$30)))</f>
        <v/>
      </c>
      <c r="E461">
        <f>INDEX(FactorTable!$B$2:$Y$301, MATCH(ROUND(MIN(300,MAX(1,D461)),0), FactorTable!$A$2:$A$301,0), Skills!M10+1)</f>
        <v/>
      </c>
      <c r="F461">
        <f>IF(Skills!N10=TRUE,(Skills!L10/10)*(E461/1000),Skills!L10/10)+Skills!O10</f>
        <v/>
      </c>
      <c r="G461">
        <f>Skills!G10*IF(Skills!H10&gt;0,INT(IF(Inputs!$B$39="pvp",MIN(Skills!I10,15),Skills!I10)/Skills!H10+0.000000001),1)</f>
        <v/>
      </c>
      <c r="H461">
        <f>1-(1-Skills!J10/100)^Skills!K10</f>
        <v/>
      </c>
      <c r="I461" t="inlineStr">
        <is>
          <t>1</t>
        </is>
      </c>
      <c r="J461">
        <f>((Inputs!$B$6*(1+Inputs!$B$7/100))+(((Inputs!$B$13*(1+Inputs!$B$14/100))-(Inputs!$B$13*(1+Inputs!$B$14/100)))+0.25*(Inputs!$B$15-Inputs!$B$15))*(1+Inputs!$B$7/100))*(F461/100)</f>
        <v/>
      </c>
      <c r="K461">
        <f>J461*(1+(((Inputs!$B$13+IF(Inputs!$B$3&gt;=38,(10*INDEX(FactorTable!$B$2:$Y$301, MATCH(ROUND(MIN(300,MAX(1,Inputs!$B$3)),0), FactorTable!$A$2:$A$301,0), 23)/1000)/100*(Inputs!$B$8*(1+Inputs!$B$9/100)),0))*(1+Inputs!$B$14/100))*0.01+Inputs!$B$15*0.0025)/100)*(1+Inputs!$B$16/100)*(1+Inputs!$B$17/100)*(5000/(6000+Inputs!$B$43*(1-(Inputs!$B$20+0)/100)))*(1+(((((1+Inputs!$B$25/100)*(1.01))-1)*100)+((C476=TRUE)*(F476-Calc!F25))+((C477=TRUE)*(F477-Calc!F26))+B486)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gt;=100),MIN(100,((Inputs!$B$10+0+B480+(ArtifactsInput!$M$24-ArtifactsInput!$M$24)*CHOOSE(ArtifactsInput!$N$24+1,10,12,14,16,18,20)+IF(ArtifactsInput!$M$10,CHOOSE(ArtifactsInput!$N$10+1,15,18,21,24,27,30)*(IF(Inputs!$B$39="pvp",MIN(15,15)/15,IF(AND(Inputs!$B$39&lt;&gt;"pvp",Inputs!$B$44&gt;0),MIN(15,Inputs!$B$44)/(Inputs!$B$44),0))),0)))-100),0))*CHOOSE(ArtifactsInput!$N$42+1,0.6,0.72,0.84,0.96,1.08,1.2))),Inputs!$B$19+((C474=TRUE)*(F474-Calc!F23))+(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gt;=100),CHOOSE(ArtifactsInput!$N$42+1,40,48,56,64,72,80),0))))/100)*((1+(((C464=TRUE)*F464*IF(AND(Inputs!$B$39&lt;&gt;"pvp",Inputs!$B$44&gt;0),(((R464-1)*MIN((Skills!T13*(1+Inputs!$B$35/100)),(1/Q464))+MIN((Skills!T13*(1+Inputs!$B$35/100)),MAX(0,Inputs!$B$44-((R464-1)*(1/Q464)))))/Inputs!$B$44),IF(Inputs!$B$39="pvp",MIN((Skills!T13*(1+Inputs!$B$35/100)),15)/15,MIN(1,(Skills!T13*(1+Inputs!$B$35/100))/(1/Q464)))))+((C465=TRUE)*F465*IF(AND(Inputs!$B$39&lt;&gt;"pvp",Inputs!$B$44&gt;0),(((R465-1)*MIN((Skills!T14*(1+Inputs!$B$35/100)),(1/Q465))+MIN((Skills!T14*(1+Inputs!$B$35/100)),MAX(0,Inputs!$B$44-((R465-1)*(1/Q465)))))/Inputs!$B$44),IF(Inputs!$B$39="pvp",MIN((Skills!T14*(1+Inputs!$B$35/100)),15)/15,MIN(1,(Skills!T14*(1+Inputs!$B$35/100))/(1/Q465)))))+((C466=TRUE)*F466*IF(AND(Inputs!$B$39&lt;&gt;"pvp",Inputs!$B$44&gt;0),(((R466-1)*MIN((Skills!T15*(1+Inputs!$B$35/100)),(1/Q466))+MIN((Skills!T15*(1+Inputs!$B$35/100)),MAX(0,Inputs!$B$44-((R466-1)*(1/Q466)))))/Inputs!$B$44),IF(Inputs!$B$39="pvp",MIN((Skills!T15*(1+Inputs!$B$35/100)),15)/15,MIN(1,(Skills!T15*(1+Inputs!$B$35/100))/(1/Q466)))))+((C467=TRUE)*F467*IF(AND(Inputs!$B$39&lt;&gt;"pvp",Inputs!$B$44&gt;0),(((R467-1)*MIN((Skills!T16*(1+Inputs!$B$35/100)),(1/Q467))+MIN((Skills!T16*(1+Inputs!$B$35/100)),MAX(0,Inputs!$B$44-((R467-1)*(1/Q467)))))/Inputs!$B$44),IF(Inputs!$B$39="pvp",MIN((Skills!T16*(1+Inputs!$B$35/100)),15)/15,MIN(1,(Skills!T16*(1+Inputs!$B$35/100))/(1/Q467)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461)</f>
        <v/>
      </c>
      <c r="L461">
        <f>K461*(MIN(Inputs!$B$23+((C473=TRUE)*(F473-Calc!F22)),(Inputs!$B$24+((C475=TRUE)*(F475-Calc!F24))+(IF(ArtifactsInput!$M$15,CHOOSE(ArtifactsInput!$N$15+1,25,30,35,40,45,50)/100*(Inputs!$B$12-Inputs!$B$12),0))))/100+(Inputs!$B$24+((C475=TRUE)*(F475-Calc!F24))+(IF(ArtifactsInput!$M$15,CHOOSE(ArtifactsInput!$N$15+1,25,30,35,40,45,50)/100*(Inputs!$B$12-Inputs!$B$12),0)))/100)/2</f>
        <v/>
      </c>
      <c r="M461">
        <f>L461*(1+(Inputs!$B$11+0+B485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461">
        <f>L461*(1-MIN((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461*(MIN((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61">
        <f>(1-Summary!$B$11)*T461+Summary!$B$11*V461</f>
        <v/>
      </c>
      <c r="P461">
        <f>IF(B490=0,0,O461/B490)</f>
        <v/>
      </c>
      <c r="Q461">
        <f>IFERROR(1/IF(Inputs!$B$39="pvp",15,MAX(0.1,Skills!D10-IF(TRUE=TRUE,Inputs!$B$33,0))),0)</f>
        <v/>
      </c>
      <c r="R461">
        <f>IF(AND(Inputs!$B$39&lt;&gt;"pvp",Inputs!$B$44&gt;0),IF(MAX(0,Inputs!$B$44-B487)&lt;=0,0,(INT(MAX(0,Inputs!$B$44-B487)/IF(Inputs!$B$39="pvp",15,MAX(0.1,Skills!D10-IF(TRUE=TRUE,Inputs!$B$33,0))))+1)),0)</f>
        <v/>
      </c>
      <c r="S461">
        <f>IFERROR(O461/N461,0)</f>
        <v/>
      </c>
      <c r="T461">
        <f>IF(C461,(H461*N461*IF(AND(Inputs!$B$39&lt;&gt;"pvp",Inputs!$B$44&gt;0),((Skills!G10*((R461-1)*IF(Skills!H10&gt;0,INT(Skills!I10/Skills!H10+0.000000001),1)+IF(Skills!H10&gt;0,INT(MIN(Skills!I10,MAX(0,MAX(0,Inputs!$B$44-B487)-((R461-1)*IF(Inputs!$B$39="pvp",15,MAX(0.1,Skills!D10-IF(TRUE=TRUE,Inputs!$B$33,0))))))/Skills!H10+0.000000001),1)))/Inputs!$B$44),G461*Q461))*IF(Inputs!$B$39="pvp",1,1+(Inputs!$B$21+0+Skills!P10+((C468=TRUE)*F468*IF(AND(Inputs!$B$39&lt;&gt;"pvp",Inputs!$B$44&gt;0),(((R468-1)*MIN((Skills!T17*(1+Inputs!$B$35/100)),(1/Q468))+MIN((Skills!T17*(1+Inputs!$B$35/100)),MAX(0,Inputs!$B$44-((R468-1)*(1/Q468)))))/Inputs!$B$44),IF(Inputs!$B$39="pvp",MIN((Skills!T17*(1+Inputs!$B$35/100)),15)/15,MIN(1,(Skills!T17*(1+Inputs!$B$35/100))/(1/Q468)))))+((C456=TRUE)*IF(Inputs!$B$3&gt;=126,10*MIN(1,15*Q456),0))+((C465=TRUE)*IF(Inputs!$B$39="pvp",20,(1-Summary!$B$11)*(20)+Summary!$B$11*(0))*IF(AND(Inputs!$B$39&lt;&gt;"pvp",Inputs!$B$44&gt;0),(((R465-1)*MIN((Skills!T14*(1+Inputs!$B$35/100)),(1/Q465))+MIN((Skills!T14*(1+Inputs!$B$35/100)),MAX(0,Inputs!$B$44-((R465-1)*(1/Q465)))))/Inputs!$B$44),IF(Inputs!$B$39="pvp",MIN((Skills!T14*(1+Inputs!$B$35/100)),15)/15,MIN(1,(Skills!T14*(1+Inputs!$B$35/100))/(1/Q465)))))+((C464=TRUE)*IF(Inputs!$B$3&gt;=82,IF(Inputs!$B$39="pvp",20,(1-Summary!$B$11)*(20)+Summary!$B$11*(0)),0)*IF(AND(Inputs!$B$39&lt;&gt;"pvp",Inputs!$B$44&gt;0),(((R464-1)*MIN((Skills!T13*(1+Inputs!$B$35/100)),(1/Q464))+MIN((Skills!T13*(1+Inputs!$B$35/100)),MAX(0,Inputs!$B$44-((R464-1)*(1/Q464)))))/Inputs!$B$44),IF(Inputs!$B$39="pvp",MIN((Skills!T13*(1+Inputs!$B$35/100)),15)/15,MIN(1,(Skills!T13*(1+Inputs!$B$35/100))/(1/Q464)))))+(IF(AND(ArtifactsInput!$M$35,Inputs!$B$4&lt;&gt;"Chapter Hunt"),CHOOSE(ArtifactsInput!$N$35+1,15,18,21,24,27,30)*(1-EXP(-(0.2*B482)*5)),0)+IF(AND(ArtifactsInput!$M$22,Inputs!$B$4&lt;&gt;"Chapter Hunt"),CHOOSE(ArtifactsInput!$N$22+1,10,12,14,16,18,20)*((0*(((0.15*B482*5))^0/1)+1*(((0.15*B482*5))^1/1)+2*(((0.15*B482*5))^2/2)+3*(((0.15*B482*5))^3/6)+4*(((0.15*B482*5))^4/24)+5*(((0.15*B482*5))^5/120))/((((0.15*B482*5))^0/1)+(((0.15*B482*5))^1/1)+(((0.15*B482*5))^2/2)+(((0.15*B482*5))^3/6)+(((0.15*B482*5))^4/24)+(((0.15*B482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461*(1-MIN(100,(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461*(MIN(100,(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461*(1-MIN(100,(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461*(MIN(100,(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61">
        <f>IF(C461,(H461*N461*IF(AND(Inputs!$B$39&lt;&gt;"pvp",Inputs!$B$44&gt;0),((Skills!G10*((R461-1)*IF(Skills!H10&gt;0,INT(Skills!I10/Skills!H10+0.000000001),1)+IF(Skills!H10&gt;0,INT(MIN(Skills!I10,MAX(0,MAX(0,Inputs!$B$44-B487)-((R461-1)*IF(Inputs!$B$39="pvp",15,MAX(0.1,Skills!D10-IF(TRUE=TRUE,Inputs!$B$33,0))))))/Skills!H10+0.000000001),1)))/Inputs!$B$44),G461*Q461))*IF(Inputs!$B$39="pvp",1,(1+(Inputs!$B$22+Skills!Q10+((C468=TRUE)*F468*IF(AND(Inputs!$B$39&lt;&gt;"pvp",Inputs!$B$44&gt;0),(((R468-1)*MIN((Skills!T17*(1+Inputs!$B$35/100)),(1/Q468))+MIN((Skills!T17*(1+Inputs!$B$35/100)),MAX(0,Inputs!$B$44-((R468-1)*(1/Q468)))))/Inputs!$B$44),IF(Inputs!$B$39="pvp",MIN((Skills!T17*(1+Inputs!$B$35/100)),15)/15,MIN(1,(Skills!T17*(1+Inputs!$B$35/100))/(1/Q468)))))+((C456=TRUE)*IF(Inputs!$B$3&gt;=126,10*MIN(1,15*Q456),0))+((C465=TRUE)*IF(Inputs!$B$39="pvp",20,(1-Summary!$B$11)*(20)+Summary!$B$11*(0))*IF(AND(Inputs!$B$39&lt;&gt;"pvp",Inputs!$B$44&gt;0),(((R465-1)*MIN((Skills!T14*(1+Inputs!$B$35/100)),(1/Q465))+MIN((Skills!T14*(1+Inputs!$B$35/100)),MAX(0,Inputs!$B$44-((R465-1)*(1/Q465)))))/Inputs!$B$44),IF(Inputs!$B$39="pvp",MIN((Skills!T14*(1+Inputs!$B$35/100)),15)/15,MIN(1,(Skills!T14*(1+Inputs!$B$35/100))/(1/Q465)))))+((C464=TRUE)*IF(Inputs!$B$3&gt;=82,IF(Inputs!$B$39="pvp",20,(1-Summary!$B$11)*(20)+Summary!$B$11*(0)),0)*IF(AND(Inputs!$B$39&lt;&gt;"pvp",Inputs!$B$44&gt;0),(((R464-1)*MIN((Skills!T13*(1+Inputs!$B$35/100)),(1/Q464))+MIN((Skills!T13*(1+Inputs!$B$35/100)),MAX(0,Inputs!$B$44-((R464-1)*(1/Q464)))))/Inputs!$B$44),IF(Inputs!$B$39="pvp",MIN((Skills!T13*(1+Inputs!$B$35/100)),15)/15,MIN(1,(Skills!T13*(1+Inputs!$B$35/100))/(1/Q464)))))+(IF(AND(ArtifactsInput!$M$35,Inputs!$B$4&lt;&gt;"Chapter Hunt"),CHOOSE(ArtifactsInput!$N$35+1,15,18,21,24,27,30)*(1-EXP(-(0.2*B482)*5)),0)+IF(AND(ArtifactsInput!$M$22,Inputs!$B$4&lt;&gt;"Chapter Hunt"),CHOOSE(ArtifactsInput!$N$22+1,10,12,14,16,18,20)*((0*(((0.15*B482*5))^0/1)+1*(((0.15*B482*5))^1/1)+2*(((0.15*B482*5))^2/2)+3*(((0.15*B482*5))^3/6)+4*(((0.15*B482*5))^4/24)+5*(((0.15*B482*5))^5/120))/((((0.15*B482*5))^0/1)+(((0.15*B482*5))^1/1)+(((0.15*B482*5))^2/2)+(((0.15*B482*5))^3/6)+(((0.15*B482*5))^4/24)+(((0.15*B482*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62">
      <c r="A462">
        <f>Skills!A11</f>
        <v/>
      </c>
      <c r="B462">
        <f>Skills!B11</f>
        <v/>
      </c>
      <c r="C462">
        <f>Inputs!$B$3&gt;=100</f>
        <v/>
      </c>
      <c r="D462">
        <f>IF(Skills!C11=1,60+Inputs!$B$26+Inputs!$B$30,IF(Skills!C11=2,90+Inputs!$B$27+Inputs!$B$30,IF(Skills!C11=3,120+Inputs!$B$28+Inputs!$B$30,MAX(0,(Inputs!$B$3-100)*3)+Inputs!$B$29+Inputs!$B$30)))</f>
        <v/>
      </c>
      <c r="E462">
        <f>INDEX(FactorTable!$B$2:$Y$301, MATCH(ROUND(MIN(300,MAX(1,D462)),0), FactorTable!$A$2:$A$301,0), Skills!M11+1)</f>
        <v/>
      </c>
      <c r="F462">
        <f>IF(Skills!N11=TRUE,(Skills!L11/10)*(E462/1000),Skills!L11/10)+Skills!O11</f>
        <v/>
      </c>
      <c r="G462" t="inlineStr"/>
      <c r="H462" t="inlineStr"/>
      <c r="I462" t="inlineStr">
        <is>
          <t>1</t>
        </is>
      </c>
      <c r="J462" t="inlineStr"/>
      <c r="K462" t="inlineStr"/>
      <c r="L462" t="inlineStr"/>
      <c r="M462" t="inlineStr"/>
      <c r="N462" t="inlineStr"/>
      <c r="O462" t="inlineStr"/>
      <c r="P462" t="inlineStr"/>
      <c r="Q462" t="inlineStr"/>
      <c r="R462" t="inlineStr"/>
      <c r="S462" t="inlineStr"/>
    </row>
    <row r="463">
      <c r="A463">
        <f>Skills!A12</f>
        <v/>
      </c>
      <c r="B463">
        <f>Skills!B12</f>
        <v/>
      </c>
      <c r="C463">
        <f>Inputs!$B$3&gt;=63</f>
        <v/>
      </c>
      <c r="D463">
        <f>IF(Skills!C12=1,60+Inputs!$B$26+Inputs!$B$30,IF(Skills!C12=2,90+Inputs!$B$27+Inputs!$B$30,IF(Skills!C12=3,120+Inputs!$B$28+Inputs!$B$30,MAX(0,(Inputs!$B$3-100)*3)+Inputs!$B$29+Inputs!$B$30)))</f>
        <v/>
      </c>
      <c r="E463">
        <f>INDEX(FactorTable!$B$2:$Y$301, MATCH(ROUND(MIN(300,MAX(1,D463)),0), FactorTable!$A$2:$A$301,0), Skills!M12+1)</f>
        <v/>
      </c>
      <c r="F463">
        <f>IF(Skills!N12=TRUE,(Skills!L12/10)*(E463/1000),Skills!L12/10)+Skills!O12</f>
        <v/>
      </c>
      <c r="G463">
        <f>Skills!G12*IF(Skills!H12&gt;0,INT(IF(Inputs!$B$39="pvp",MIN(Skills!I12,15),Skills!I12)/Skills!H12+0.000000001),1)</f>
        <v/>
      </c>
      <c r="H463">
        <f>1-(1-Skills!J12/100)^Skills!K12</f>
        <v/>
      </c>
      <c r="I463" t="inlineStr">
        <is>
          <t>1</t>
        </is>
      </c>
      <c r="J463">
        <f>((Inputs!$B$6*(1+Inputs!$B$7/100))+(((Inputs!$B$13*(1+Inputs!$B$14/100))-(Inputs!$B$13*(1+Inputs!$B$14/100)))+0.25*(Inputs!$B$15-Inputs!$B$15))*(1+Inputs!$B$7/100))*(F463/100)</f>
        <v/>
      </c>
      <c r="K463">
        <f>J463*(1+(((Inputs!$B$13+IF(Inputs!$B$3&gt;=38,(10*INDEX(FactorTable!$B$2:$Y$301, MATCH(ROUND(MIN(300,MAX(1,Inputs!$B$3)),0), FactorTable!$A$2:$A$301,0), 23)/1000)/100*(Inputs!$B$8*(1+Inputs!$B$9/100)),0))*(1+Inputs!$B$14/100))*0.01+Inputs!$B$15*0.0025)/100)*(1+Inputs!$B$16/100)*(1+Inputs!$B$17/100)*(5000/(6000+Inputs!$B$43*(1-(Inputs!$B$20+0)/100)))*(1+(((((1+Inputs!$B$25/100)*(1.01))-1)*100)+((C476=TRUE)*(F476-Calc!F25))+((C477=TRUE)*(F477-Calc!F26))+B486)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462=TRUE,F462,0)/100)*(1+(IF(Skills!A12="DARK_IMPALE",Inputs!$B$18+0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gt;=100),MIN(100,((Inputs!$B$10+0+B480+(ArtifactsInput!$M$24-ArtifactsInput!$M$24)*CHOOSE(ArtifactsInput!$N$24+1,10,12,14,16,18,20)+IF(ArtifactsInput!$M$10,CHOOSE(ArtifactsInput!$N$10+1,15,18,21,24,27,30)*(IF(Inputs!$B$39="pvp",MIN(15,15)/15,IF(AND(Inputs!$B$39&lt;&gt;"pvp",Inputs!$B$44&gt;0),MIN(15,Inputs!$B$44)/(Inputs!$B$44),0))),0)))-100),0))*CHOOSE(ArtifactsInput!$N$42+1,0.6,0.72,0.84,0.96,1.08,1.2))),Inputs!$B$19+((C474=TRUE)*(F474-Calc!F23))+(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gt;=100),CHOOSE(ArtifactsInput!$N$42+1,40,48,56,64,72,80),0))))/100)*((1+(((C464=TRUE)*F464*IF(AND(Inputs!$B$39&lt;&gt;"pvp",Inputs!$B$44&gt;0),(((R464-1)*MIN((Skills!T13*(1+Inputs!$B$35/100)),(1/Q464))+MIN((Skills!T13*(1+Inputs!$B$35/100)),MAX(0,Inputs!$B$44-((R464-1)*(1/Q464)))))/Inputs!$B$44),IF(Inputs!$B$39="pvp",MIN((Skills!T13*(1+Inputs!$B$35/100)),15)/15,MIN(1,(Skills!T13*(1+Inputs!$B$35/100))/(1/Q464)))))+((C465=TRUE)*F465*IF(AND(Inputs!$B$39&lt;&gt;"pvp",Inputs!$B$44&gt;0),(((R465-1)*MIN((Skills!T14*(1+Inputs!$B$35/100)),(1/Q465))+MIN((Skills!T14*(1+Inputs!$B$35/100)),MAX(0,Inputs!$B$44-((R465-1)*(1/Q465)))))/Inputs!$B$44),IF(Inputs!$B$39="pvp",MIN((Skills!T14*(1+Inputs!$B$35/100)),15)/15,MIN(1,(Skills!T14*(1+Inputs!$B$35/100))/(1/Q465)))))+((C466=TRUE)*F466*IF(AND(Inputs!$B$39&lt;&gt;"pvp",Inputs!$B$44&gt;0),(((R466-1)*MIN((Skills!T15*(1+Inputs!$B$35/100)),(1/Q466))+MIN((Skills!T15*(1+Inputs!$B$35/100)),MAX(0,Inputs!$B$44-((R466-1)*(1/Q466)))))/Inputs!$B$44),IF(Inputs!$B$39="pvp",MIN((Skills!T15*(1+Inputs!$B$35/100)),15)/15,MIN(1,(Skills!T15*(1+Inputs!$B$35/100))/(1/Q466)))))+((C467=TRUE)*F467*IF(AND(Inputs!$B$39&lt;&gt;"pvp",Inputs!$B$44&gt;0),(((R467-1)*MIN((Skills!T16*(1+Inputs!$B$35/100)),(1/Q467))+MIN((Skills!T16*(1+Inputs!$B$35/100)),MAX(0,Inputs!$B$44-((R467-1)*(1/Q467)))))/Inputs!$B$44),IF(Inputs!$B$39="pvp",MIN((Skills!T16*(1+Inputs!$B$35/100)),15)/15,MIN(1,(Skills!T16*(1+Inputs!$B$35/100))/(1/Q467)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463)</f>
        <v/>
      </c>
      <c r="L463">
        <f>K463*(MIN(Inputs!$B$23+((C473=TRUE)*(F473-Calc!F22)),(Inputs!$B$24+((C475=TRUE)*(F475-Calc!F24))+(IF(ArtifactsInput!$M$15,CHOOSE(ArtifactsInput!$N$15+1,25,30,35,40,45,50)/100*(Inputs!$B$12-Inputs!$B$12),0))))/100+(Inputs!$B$24+((C475=TRUE)*(F475-Calc!F24))+(IF(ArtifactsInput!$M$15,CHOOSE(ArtifactsInput!$N$15+1,25,30,35,40,45,50)/100*(Inputs!$B$12-Inputs!$B$12),0)))/100)/2</f>
        <v/>
      </c>
      <c r="M463">
        <f>L463*(1+(Inputs!$B$11+0+B485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463">
        <f>L463*(1-MIN((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463*(MIN((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63">
        <f>(1-Summary!$B$11)*T463+Summary!$B$11*V463</f>
        <v/>
      </c>
      <c r="P463">
        <f>IF(B490=0,0,O463/B490)</f>
        <v/>
      </c>
      <c r="Q463">
        <f>IFERROR(1/IF(Inputs!$B$39="pvp",15,MAX(0.1,Skills!D12-IF(TRUE=TRUE,Inputs!$B$33,0))),0)</f>
        <v/>
      </c>
      <c r="R463">
        <f>IF(AND(Inputs!$B$39&lt;&gt;"pvp",Inputs!$B$44&gt;0),IF(MAX(0,Inputs!$B$44-B487)&lt;=0,0,(INT(MAX(0,Inputs!$B$44-B487)/IF(Inputs!$B$39="pvp",15,MAX(0.1,Skills!D12-IF(TRUE=TRUE,Inputs!$B$33,0))))+1)),0)</f>
        <v/>
      </c>
      <c r="S463">
        <f>IFERROR(O463/N463,0)</f>
        <v/>
      </c>
      <c r="T463">
        <f>IF(C463,(H463*N463*IF(AND(Inputs!$B$39&lt;&gt;"pvp",Inputs!$B$44&gt;0),((Skills!G12*((R463-1)*IF(Skills!H12&gt;0,INT(Skills!I12/Skills!H12+0.000000001),1)+IF(Skills!H12&gt;0,INT(MIN(Skills!I12,MAX(0,MAX(0,Inputs!$B$44-B487)-((R463-1)*IF(Inputs!$B$39="pvp",15,MAX(0.1,Skills!D12-IF(TRUE=TRUE,Inputs!$B$33,0))))))/Skills!H12+0.000000001),1)))/Inputs!$B$44),G463*Q463))*IF(Inputs!$B$39="pvp",1,1+(Inputs!$B$21+0+Skills!P12+((C468=TRUE)*F468*IF(AND(Inputs!$B$39&lt;&gt;"pvp",Inputs!$B$44&gt;0),(((R468-1)*MIN((Skills!T17*(1+Inputs!$B$35/100)),(1/Q468))+MIN((Skills!T17*(1+Inputs!$B$35/100)),MAX(0,Inputs!$B$44-((R468-1)*(1/Q468)))))/Inputs!$B$44),IF(Inputs!$B$39="pvp",MIN((Skills!T17*(1+Inputs!$B$35/100)),15)/15,MIN(1,(Skills!T17*(1+Inputs!$B$35/100))/(1/Q468)))))+((C456=TRUE)*IF(Inputs!$B$3&gt;=126,10*MIN(1,15*Q456),0))+((C465=TRUE)*IF(Inputs!$B$39="pvp",20,(1-Summary!$B$11)*(20)+Summary!$B$11*(0))*IF(AND(Inputs!$B$39&lt;&gt;"pvp",Inputs!$B$44&gt;0),(((R465-1)*MIN((Skills!T14*(1+Inputs!$B$35/100)),(1/Q465))+MIN((Skills!T14*(1+Inputs!$B$35/100)),MAX(0,Inputs!$B$44-((R465-1)*(1/Q465)))))/Inputs!$B$44),IF(Inputs!$B$39="pvp",MIN((Skills!T14*(1+Inputs!$B$35/100)),15)/15,MIN(1,(Skills!T14*(1+Inputs!$B$35/100))/(1/Q465)))))+((C464=TRUE)*IF(Inputs!$B$3&gt;=82,IF(Inputs!$B$39="pvp",20,(1-Summary!$B$11)*(20)+Summary!$B$11*(0)),0)*IF(AND(Inputs!$B$39&lt;&gt;"pvp",Inputs!$B$44&gt;0),(((R464-1)*MIN((Skills!T13*(1+Inputs!$B$35/100)),(1/Q464))+MIN((Skills!T13*(1+Inputs!$B$35/100)),MAX(0,Inputs!$B$44-((R464-1)*(1/Q464)))))/Inputs!$B$44),IF(Inputs!$B$39="pvp",MIN((Skills!T13*(1+Inputs!$B$35/100)),15)/15,MIN(1,(Skills!T13*(1+Inputs!$B$35/100))/(1/Q464)))))+(IF(AND(ArtifactsInput!$M$35,Inputs!$B$4&lt;&gt;"Chapter Hunt"),CHOOSE(ArtifactsInput!$N$35+1,15,18,21,24,27,30)*(1-EXP(-(0.2*B482)*5)),0)+IF(AND(ArtifactsInput!$M$22,Inputs!$B$4&lt;&gt;"Chapter Hunt"),CHOOSE(ArtifactsInput!$N$22+1,10,12,14,16,18,20)*((0*(((0.15*B482*5))^0/1)+1*(((0.15*B482*5))^1/1)+2*(((0.15*B482*5))^2/2)+3*(((0.15*B482*5))^3/6)+4*(((0.15*B482*5))^4/24)+5*(((0.15*B482*5))^5/120))/((((0.15*B482*5))^0/1)+(((0.15*B482*5))^1/1)+(((0.15*B482*5))^2/2)+(((0.15*B482*5))^3/6)+(((0.15*B482*5))^4/24)+(((0.15*B482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463*(1-MIN(100,(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463*(MIN(100,(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463*(1-MIN(100,(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463*(MIN(100,(Inputs!$B$10+0+B480+(ArtifactsInput!$M$24-ArtifactsInput!$M$24)*CHOOSE(ArtifactsInput!$N$24+1,10,12,14,16,18,20)+(IF(AND(Inputs!$B$39&lt;&gt;"pvp",Inputs!$B$44=0),1,IF(IF(Inputs!$B$39="pvp",15,Inputs!$B$44)-(B487)&lt;=0,1,MAX(0,IF(Inputs!$B$39="pvp",15,Inputs!$B$44)-MAX(5,B487))/(IF(Inputs!$B$39="pvp",15,Inputs!$B$44)-(B487))))*IF(AND(ArtifactsInput!$M$42,((Inputs!$B$10+0+B480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63">
        <f>IF(C463,(H463*N463*IF(AND(Inputs!$B$39&lt;&gt;"pvp",Inputs!$B$44&gt;0),((Skills!G12*((R463-1)*IF(Skills!H12&gt;0,INT(Skills!I12/Skills!H12+0.000000001),1)+IF(Skills!H12&gt;0,INT(MIN(Skills!I12,MAX(0,MAX(0,Inputs!$B$44-B487)-((R463-1)*IF(Inputs!$B$39="pvp",15,MAX(0.1,Skills!D12-IF(TRUE=TRUE,Inputs!$B$33,0))))))/Skills!H12+0.000000001),1)))/Inputs!$B$44),G463*Q463))*IF(Inputs!$B$39="pvp",1,(1+(Inputs!$B$22+Skills!Q12+((C468=TRUE)*F468*IF(AND(Inputs!$B$39&lt;&gt;"pvp",Inputs!$B$44&gt;0),(((R468-1)*MIN((Skills!T17*(1+Inputs!$B$35/100)),(1/Q468))+MIN((Skills!T17*(1+Inputs!$B$35/100)),MAX(0,Inputs!$B$44-((R468-1)*(1/Q468)))))/Inputs!$B$44),IF(Inputs!$B$39="pvp",MIN((Skills!T17*(1+Inputs!$B$35/100)),15)/15,MIN(1,(Skills!T17*(1+Inputs!$B$35/100))/(1/Q468)))))+((C456=TRUE)*IF(Inputs!$B$3&gt;=126,10*MIN(1,15*Q456),0))+((C465=TRUE)*IF(Inputs!$B$39="pvp",20,(1-Summary!$B$11)*(20)+Summary!$B$11*(0))*IF(AND(Inputs!$B$39&lt;&gt;"pvp",Inputs!$B$44&gt;0),(((R465-1)*MIN((Skills!T14*(1+Inputs!$B$35/100)),(1/Q465))+MIN((Skills!T14*(1+Inputs!$B$35/100)),MAX(0,Inputs!$B$44-((R465-1)*(1/Q465)))))/Inputs!$B$44),IF(Inputs!$B$39="pvp",MIN((Skills!T14*(1+Inputs!$B$35/100)),15)/15,MIN(1,(Skills!T14*(1+Inputs!$B$35/100))/(1/Q465)))))+((C464=TRUE)*IF(Inputs!$B$3&gt;=82,IF(Inputs!$B$39="pvp",20,(1-Summary!$B$11)*(20)+Summary!$B$11*(0)),0)*IF(AND(Inputs!$B$39&lt;&gt;"pvp",Inputs!$B$44&gt;0),(((R464-1)*MIN((Skills!T13*(1+Inputs!$B$35/100)),(1/Q464))+MIN((Skills!T13*(1+Inputs!$B$35/100)),MAX(0,Inputs!$B$44-((R464-1)*(1/Q464)))))/Inputs!$B$44),IF(Inputs!$B$39="pvp",MIN((Skills!T13*(1+Inputs!$B$35/100)),15)/15,MIN(1,(Skills!T13*(1+Inputs!$B$35/100))/(1/Q464)))))+(IF(AND(ArtifactsInput!$M$35,Inputs!$B$4&lt;&gt;"Chapter Hunt"),CHOOSE(ArtifactsInput!$N$35+1,15,18,21,24,27,30)*(1-EXP(-(0.2*B482)*5)),0)+IF(AND(ArtifactsInput!$M$22,Inputs!$B$4&lt;&gt;"Chapter Hunt"),CHOOSE(ArtifactsInput!$N$22+1,10,12,14,16,18,20)*((0*(((0.15*B482*5))^0/1)+1*(((0.15*B482*5))^1/1)+2*(((0.15*B482*5))^2/2)+3*(((0.15*B482*5))^3/6)+4*(((0.15*B482*5))^4/24)+5*(((0.15*B482*5))^5/120))/((((0.15*B482*5))^0/1)+(((0.15*B482*5))^1/1)+(((0.15*B482*5))^2/2)+(((0.15*B482*5))^3/6)+(((0.15*B482*5))^4/24)+(((0.15*B482*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64">
      <c r="A464">
        <f>Skills!A13</f>
        <v/>
      </c>
      <c r="B464">
        <f>Skills!B13</f>
        <v/>
      </c>
      <c r="C464">
        <f>Inputs!$B$3&gt;=69</f>
        <v/>
      </c>
      <c r="D464">
        <f>IF(Skills!C13=1,60+Inputs!$B$26+Inputs!$B$30,IF(Skills!C13=2,90+Inputs!$B$27+Inputs!$B$30,IF(Skills!C13=3,120+Inputs!$B$28+Inputs!$B$30,MAX(0,(Inputs!$B$3-100)*3)+Inputs!$B$29+Inputs!$B$30)))</f>
        <v/>
      </c>
      <c r="E464">
        <f>INDEX(FactorTable!$B$2:$Y$301, MATCH(ROUND(MIN(300,MAX(1,D464)),0), FactorTable!$A$2:$A$301,0), Skills!M13+1)</f>
        <v/>
      </c>
      <c r="F464">
        <f>IF(Skills!N13=TRUE,(Skills!L13/10)*(E464/1000),Skills!L13/10)+Skills!O13</f>
        <v/>
      </c>
      <c r="G464">
        <f>Skills!G13*IF(Skills!H13&gt;0,INT(IF(Inputs!$B$39="pvp",MIN(Skills!I13,15),Skills!I13)/Skills!H13+0.000000001),1)</f>
        <v/>
      </c>
      <c r="H464">
        <f>1-(1-Skills!J13/100)^Skills!K13</f>
        <v/>
      </c>
      <c r="I464" t="inlineStr">
        <is>
          <t>1</t>
        </is>
      </c>
      <c r="J464" t="inlineStr"/>
      <c r="K464" t="inlineStr"/>
      <c r="L464" t="inlineStr"/>
      <c r="M464" t="inlineStr"/>
      <c r="N464" t="inlineStr"/>
      <c r="O464">
        <f>(1-Summary!$B$11)*T464+Summary!$B$11*V464</f>
        <v/>
      </c>
      <c r="P464">
        <f>IF(B490=0,0,O464/B490)</f>
        <v/>
      </c>
      <c r="Q464">
        <f>IFERROR(1/IF(Inputs!$B$39="pvp",15,MAX(0.1,Skills!D13-IF(TRUE=TRUE,Inputs!$B$33,0))),0)</f>
        <v/>
      </c>
      <c r="R464">
        <f>IF(AND(Inputs!$B$39&lt;&gt;"pvp",Inputs!$B$44&gt;0),IF(Inputs!$B$44&lt;=0,0,(INT(Inputs!$B$44/IF(Inputs!$B$39="pvp",15,MAX(0.1,Skills!D13-IF(TRUE=TRUE,Inputs!$B$33,0))))+1)),0)</f>
        <v/>
      </c>
      <c r="S464">
        <f>IFERROR(O464/N464,0)</f>
        <v/>
      </c>
      <c r="T464" t="n">
        <v>0</v>
      </c>
      <c r="V464" t="n">
        <v>0</v>
      </c>
    </row>
    <row r="465">
      <c r="A465">
        <f>Skills!A14</f>
        <v/>
      </c>
      <c r="B465">
        <f>Skills!B14</f>
        <v/>
      </c>
      <c r="C465">
        <f>Inputs!$B$3&gt;=115</f>
        <v/>
      </c>
      <c r="D465">
        <f>IF(Skills!C14=1,60+Inputs!$B$26+Inputs!$B$30,IF(Skills!C14=2,90+Inputs!$B$27+Inputs!$B$30,IF(Skills!C14=3,120+Inputs!$B$28+Inputs!$B$30,MAX(0,(Inputs!$B$3-100)*3)+Inputs!$B$29+Inputs!$B$30)))</f>
        <v/>
      </c>
      <c r="E465">
        <f>INDEX(FactorTable!$B$2:$Y$301, MATCH(ROUND(MIN(300,MAX(1,D465)),0), FactorTable!$A$2:$A$301,0), Skills!M14+1)</f>
        <v/>
      </c>
      <c r="F465">
        <f>IF(Skills!N14=TRUE,(Skills!L14/10)*(E465/1000),Skills!L14/10)+Skills!O14</f>
        <v/>
      </c>
      <c r="G465">
        <f>Skills!G14*IF(Skills!H14&gt;0,INT(IF(Inputs!$B$39="pvp",MIN(Skills!I14,15),Skills!I14)/Skills!H14+0.000000001),1)</f>
        <v/>
      </c>
      <c r="H465">
        <f>1-(1-Skills!J14/100)^Skills!K14</f>
        <v/>
      </c>
      <c r="I465" t="inlineStr">
        <is>
          <t>1</t>
        </is>
      </c>
      <c r="J465" t="inlineStr"/>
      <c r="K465" t="inlineStr"/>
      <c r="L465" t="inlineStr"/>
      <c r="M465" t="inlineStr"/>
      <c r="N465" t="inlineStr"/>
      <c r="O465">
        <f>(1-Summary!$B$11)*T465+Summary!$B$11*V465</f>
        <v/>
      </c>
      <c r="P465">
        <f>IF(B490=0,0,O465/B490)</f>
        <v/>
      </c>
      <c r="Q465">
        <f>IFERROR(1/IF(Inputs!$B$39="pvp",15,MAX(0.1,Skills!D14-IF(TRUE=TRUE,Inputs!$B$33,0))),0)</f>
        <v/>
      </c>
      <c r="R465">
        <f>IF(AND(Inputs!$B$39&lt;&gt;"pvp",Inputs!$B$44&gt;0),IF(Inputs!$B$44&lt;=0,0,(INT(Inputs!$B$44/IF(Inputs!$B$39="pvp",15,MAX(0.1,Skills!D14-IF(TRUE=TRUE,Inputs!$B$33,0))))+1)),0)</f>
        <v/>
      </c>
      <c r="S465">
        <f>IFERROR(O465/N465,0)</f>
        <v/>
      </c>
      <c r="T465" t="n">
        <v>0</v>
      </c>
      <c r="V465" t="n">
        <v>0</v>
      </c>
    </row>
    <row r="466">
      <c r="A466">
        <f>Skills!A15</f>
        <v/>
      </c>
      <c r="B466">
        <f>Skills!B15</f>
        <v/>
      </c>
      <c r="C466">
        <f>Inputs!$B$3&gt;=66</f>
        <v/>
      </c>
      <c r="D466">
        <f>IF(Skills!C15=1,60+Inputs!$B$26+Inputs!$B$30,IF(Skills!C15=2,90+Inputs!$B$27+Inputs!$B$30,IF(Skills!C15=3,120+Inputs!$B$28+Inputs!$B$30,MAX(0,(Inputs!$B$3-100)*3)+Inputs!$B$29+Inputs!$B$30)))</f>
        <v/>
      </c>
      <c r="E466">
        <f>INDEX(FactorTable!$B$2:$Y$301, MATCH(ROUND(MIN(300,MAX(1,D466)),0), FactorTable!$A$2:$A$301,0), Skills!M15+1)</f>
        <v/>
      </c>
      <c r="F466">
        <f>IF(Skills!N15=TRUE,(Skills!L15/10)*(E466/1000),Skills!L15/10)+Skills!O15</f>
        <v/>
      </c>
      <c r="G466">
        <f>Skills!G15*IF(Skills!H15&gt;0,INT(IF(Inputs!$B$39="pvp",MIN(Skills!I15,15),Skills!I15)/Skills!H15+0.000000001),1)</f>
        <v/>
      </c>
      <c r="H466">
        <f>1-(1-Skills!J15/100)^Skills!K15</f>
        <v/>
      </c>
      <c r="I466" t="inlineStr">
        <is>
          <t>1</t>
        </is>
      </c>
      <c r="J466" t="inlineStr"/>
      <c r="K466" t="inlineStr"/>
      <c r="L466" t="inlineStr"/>
      <c r="M466" t="inlineStr"/>
      <c r="N466" t="inlineStr"/>
      <c r="O466">
        <f>(1-Summary!$B$11)*T466+Summary!$B$11*V466</f>
        <v/>
      </c>
      <c r="P466">
        <f>IF(B490=0,0,O466/B490)</f>
        <v/>
      </c>
      <c r="Q466">
        <f>IFERROR(1/IF(Inputs!$B$39="pvp",15,MAX(0.1,Skills!D15-IF(TRUE=TRUE,Inputs!$B$33,0))),0)</f>
        <v/>
      </c>
      <c r="R466">
        <f>IF(AND(Inputs!$B$39&lt;&gt;"pvp",Inputs!$B$44&gt;0),IF(Inputs!$B$44&lt;=0,0,(INT(Inputs!$B$44/IF(Inputs!$B$39="pvp",15,MAX(0.1,Skills!D15-IF(TRUE=TRUE,Inputs!$B$33,0))))+1)),0)</f>
        <v/>
      </c>
      <c r="S466">
        <f>IFERROR(O466/N466,0)</f>
        <v/>
      </c>
      <c r="T466" t="n">
        <v>0</v>
      </c>
      <c r="V466" t="n">
        <v>0</v>
      </c>
    </row>
    <row r="467">
      <c r="A467">
        <f>Skills!A16</f>
        <v/>
      </c>
      <c r="B467">
        <f>Skills!B16</f>
        <v/>
      </c>
      <c r="C467">
        <f>Inputs!$B$3&gt;=45</f>
        <v/>
      </c>
      <c r="D467">
        <f>IF(Skills!C16=1,60+Inputs!$B$26+Inputs!$B$30,IF(Skills!C16=2,90+Inputs!$B$27+Inputs!$B$30,IF(Skills!C16=3,120+Inputs!$B$28+Inputs!$B$30,MAX(0,(Inputs!$B$3-100)*3)+Inputs!$B$29+Inputs!$B$30)))</f>
        <v/>
      </c>
      <c r="E467">
        <f>INDEX(FactorTable!$B$2:$Y$301, MATCH(ROUND(MIN(300,MAX(1,D467)),0), FactorTable!$A$2:$A$301,0), Skills!M16+1)</f>
        <v/>
      </c>
      <c r="F467">
        <f>IF(Skills!N16=TRUE,(Skills!L16/10)*(E467/1000),Skills!L16/10)+Skills!O16</f>
        <v/>
      </c>
      <c r="G467">
        <f>Skills!G16*IF(Skills!H16&gt;0,INT(IF(Inputs!$B$39="pvp",MIN(Skills!I16,15),Skills!I16)/Skills!H16+0.000000001),1)</f>
        <v/>
      </c>
      <c r="H467">
        <f>1-(1-Skills!J16/100)^Skills!K16</f>
        <v/>
      </c>
      <c r="I467" t="inlineStr">
        <is>
          <t>1</t>
        </is>
      </c>
      <c r="J467" t="inlineStr"/>
      <c r="K467" t="inlineStr"/>
      <c r="L467" t="inlineStr"/>
      <c r="M467" t="inlineStr"/>
      <c r="N467" t="inlineStr"/>
      <c r="O467">
        <f>(1-Summary!$B$11)*T467+Summary!$B$11*V467</f>
        <v/>
      </c>
      <c r="P467">
        <f>IF(B490=0,0,O467/B490)</f>
        <v/>
      </c>
      <c r="Q467">
        <f>IFERROR(1/IF(Inputs!$B$39="pvp",15,MAX(0.1,Skills!D16-IF(TRUE=TRUE,Inputs!$B$33,0))),0)</f>
        <v/>
      </c>
      <c r="R467">
        <f>IF(AND(Inputs!$B$39&lt;&gt;"pvp",Inputs!$B$44&gt;0),IF(Inputs!$B$44&lt;=0,0,(INT(Inputs!$B$44/IF(Inputs!$B$39="pvp",15,MAX(0.1,Skills!D16-IF(TRUE=TRUE,Inputs!$B$33,0))))+1)),0)</f>
        <v/>
      </c>
      <c r="S467">
        <f>IFERROR(O467/N467,0)</f>
        <v/>
      </c>
      <c r="T467" t="n">
        <v>0</v>
      </c>
      <c r="V467" t="n">
        <v>0</v>
      </c>
    </row>
    <row r="468">
      <c r="A468">
        <f>Skills!A17</f>
        <v/>
      </c>
      <c r="B468">
        <f>Skills!B17</f>
        <v/>
      </c>
      <c r="C468">
        <f>Inputs!$B$3&gt;=35</f>
        <v/>
      </c>
      <c r="D468">
        <f>IF(Skills!C17=1,60+Inputs!$B$26+Inputs!$B$30,IF(Skills!C17=2,90+Inputs!$B$27+Inputs!$B$30,IF(Skills!C17=3,120+Inputs!$B$28+Inputs!$B$30,MAX(0,(Inputs!$B$3-100)*3)+Inputs!$B$29+Inputs!$B$30)))</f>
        <v/>
      </c>
      <c r="E468">
        <f>INDEX(FactorTable!$B$2:$Y$301, MATCH(ROUND(MIN(300,MAX(1,D468)),0), FactorTable!$A$2:$A$301,0), Skills!M17+1)</f>
        <v/>
      </c>
      <c r="F468">
        <f>IF(Skills!N17=TRUE,(Skills!L17/10)*(E468/1000),Skills!L17/10)+Skills!O17</f>
        <v/>
      </c>
      <c r="G468">
        <f>Skills!G17*IF(Skills!H17&gt;0,INT(IF(Inputs!$B$39="pvp",MIN(Skills!I17,15),Skills!I17)/Skills!H17+0.000000001),1)</f>
        <v/>
      </c>
      <c r="H468">
        <f>1-(1-Skills!J17/100)^Skills!K17</f>
        <v/>
      </c>
      <c r="I468" t="inlineStr">
        <is>
          <t>1</t>
        </is>
      </c>
      <c r="J468" t="inlineStr"/>
      <c r="K468" t="inlineStr"/>
      <c r="L468" t="inlineStr"/>
      <c r="M468" t="inlineStr"/>
      <c r="N468" t="inlineStr"/>
      <c r="O468">
        <f>(1-Summary!$B$11)*T468+Summary!$B$11*V468</f>
        <v/>
      </c>
      <c r="P468">
        <f>IF(B490=0,0,O468/B490)</f>
        <v/>
      </c>
      <c r="Q468">
        <f>IFERROR(1/IF(Inputs!$B$39="pvp",15,MAX(0.1,Skills!D17-IF(TRUE=TRUE,Inputs!$B$33,0))),0)</f>
        <v/>
      </c>
      <c r="R468">
        <f>IF(AND(Inputs!$B$39&lt;&gt;"pvp",Inputs!$B$44&gt;0),IF(Inputs!$B$44&lt;=0,0,(INT(Inputs!$B$44/IF(Inputs!$B$39="pvp",15,MAX(0.1,Skills!D17-IF(TRUE=TRUE,Inputs!$B$33,0))))+1)),0)</f>
        <v/>
      </c>
      <c r="S468">
        <f>IFERROR(O468/N468,0)</f>
        <v/>
      </c>
      <c r="T468" t="n">
        <v>0</v>
      </c>
      <c r="V468" t="n">
        <v>0</v>
      </c>
    </row>
    <row r="469">
      <c r="A469">
        <f>Skills!A18</f>
        <v/>
      </c>
      <c r="B469">
        <f>Skills!B18</f>
        <v/>
      </c>
      <c r="C469">
        <f>Inputs!$B$3&gt;=72</f>
        <v/>
      </c>
      <c r="D469">
        <f>IF(Skills!C18=1,60+Inputs!$B$26+Inputs!$B$30,IF(Skills!C18=2,90+Inputs!$B$27+Inputs!$B$30,IF(Skills!C18=3,120+Inputs!$B$28+Inputs!$B$30,MAX(0,(Inputs!$B$3-100)*3)+Inputs!$B$29+Inputs!$B$30)))</f>
        <v/>
      </c>
      <c r="E469">
        <f>INDEX(FactorTable!$B$2:$Y$301, MATCH(ROUND(MIN(300,MAX(1,D469)),0), FactorTable!$A$2:$A$301,0), Skills!M18+1)</f>
        <v/>
      </c>
      <c r="F469">
        <f>IF(Skills!N18=TRUE,(Skills!L18/10)*(E469/1000),Skills!L18/10)+Skills!O18</f>
        <v/>
      </c>
      <c r="G469">
        <f>Skills!G18*IF(Skills!H18&gt;0,INT(IF(Inputs!$B$39="pvp",MIN(Skills!I18,15),Skills!I18)/Skills!H18+0.000000001),1)</f>
        <v/>
      </c>
      <c r="H469">
        <f>1-(1-Skills!J18/100)^Skills!K18</f>
        <v/>
      </c>
      <c r="I469" t="inlineStr">
        <is>
          <t>1</t>
        </is>
      </c>
      <c r="J469" t="inlineStr"/>
      <c r="K469" t="inlineStr"/>
      <c r="L469" t="inlineStr"/>
      <c r="M469" t="inlineStr"/>
      <c r="N469" t="inlineStr"/>
      <c r="O469">
        <f>(1-Summary!$B$11)*T469+Summary!$B$11*V469</f>
        <v/>
      </c>
      <c r="P469">
        <f>IF(B490=0,0,O469/B490)</f>
        <v/>
      </c>
      <c r="Q469">
        <f>IFERROR(1/IF(Inputs!$B$39="pvp",15,MAX(0.1,Skills!D18-IF(TRUE=TRUE,Inputs!$B$33,0))),0)</f>
        <v/>
      </c>
      <c r="R469">
        <f>IF(AND(Inputs!$B$39&lt;&gt;"pvp",Inputs!$B$44&gt;0),IF(Inputs!$B$44&lt;=0,0,(INT(Inputs!$B$44/IF(Inputs!$B$39="pvp",15,MAX(0.1,Skills!D18-IF(TRUE=TRUE,Inputs!$B$33,0))))+1)),0)</f>
        <v/>
      </c>
      <c r="S469">
        <f>IFERROR(O469/N469,0)</f>
        <v/>
      </c>
      <c r="T469" t="n">
        <v>0</v>
      </c>
      <c r="V469" t="n">
        <v>0</v>
      </c>
    </row>
    <row r="470">
      <c r="A470">
        <f>Skills!A19</f>
        <v/>
      </c>
      <c r="B470">
        <f>Skills!B19</f>
        <v/>
      </c>
      <c r="C470">
        <f>Inputs!$B$3&gt;=72</f>
        <v/>
      </c>
      <c r="D470">
        <f>IF(Skills!C19=1,60+Inputs!$B$26+Inputs!$B$30,IF(Skills!C19=2,90+Inputs!$B$27+Inputs!$B$30,IF(Skills!C19=3,120+Inputs!$B$28+Inputs!$B$30,MAX(0,(Inputs!$B$3-100)*3)+Inputs!$B$29+Inputs!$B$30)))</f>
        <v/>
      </c>
      <c r="E470">
        <f>INDEX(FactorTable!$B$2:$Y$301, MATCH(ROUND(MIN(300,MAX(1,D470)),0), FactorTable!$A$2:$A$301,0), Skills!M19+1)</f>
        <v/>
      </c>
      <c r="F470">
        <f>IF(Skills!N19=TRUE,(Skills!L19/10)*(E470/1000),Skills!L19/10)+Skills!O19</f>
        <v/>
      </c>
      <c r="G470">
        <f>Skills!G19*IF(Skills!H19&gt;0,INT(IF(Inputs!$B$39="pvp",MIN(Skills!I19,15),Skills!I19)/Skills!H19+0.000000001),1)</f>
        <v/>
      </c>
      <c r="H470">
        <f>1-(1-Skills!J19/100)^Skills!K19</f>
        <v/>
      </c>
      <c r="I470" t="inlineStr">
        <is>
          <t>1</t>
        </is>
      </c>
      <c r="J470" t="inlineStr"/>
      <c r="K470" t="inlineStr"/>
      <c r="L470" t="inlineStr"/>
      <c r="M470" t="inlineStr"/>
      <c r="N470" t="inlineStr"/>
      <c r="O470">
        <f>(1-Summary!$B$11)*T470+Summary!$B$11*V470</f>
        <v/>
      </c>
      <c r="P470">
        <f>IF(B490=0,0,O470/B490)</f>
        <v/>
      </c>
      <c r="Q470">
        <f>IFERROR(1/IF(Inputs!$B$39="pvp",15,MAX(0.1,Skills!D19-IF(TRUE=TRUE,Inputs!$B$33,0))),0)</f>
        <v/>
      </c>
      <c r="R470">
        <f>IF(AND(Inputs!$B$39&lt;&gt;"pvp",Inputs!$B$44&gt;0),IF(Inputs!$B$44&lt;=0,0,(INT(Inputs!$B$44/IF(Inputs!$B$39="pvp",15,MAX(0.1,Skills!D19-IF(TRUE=TRUE,Inputs!$B$33,0))))+1)),0)</f>
        <v/>
      </c>
      <c r="S470">
        <f>IFERROR(O470/N470,0)</f>
        <v/>
      </c>
      <c r="T470" t="n">
        <v>0</v>
      </c>
      <c r="V470" t="n">
        <v>0</v>
      </c>
    </row>
    <row r="471">
      <c r="A471">
        <f>Skills!A20</f>
        <v/>
      </c>
      <c r="B471">
        <f>Skills!B20</f>
        <v/>
      </c>
      <c r="C471">
        <f>TRUE</f>
        <v/>
      </c>
      <c r="D471">
        <f>IF(Skills!C20=1,60+Inputs!$B$26+Inputs!$B$30,IF(Skills!C20=2,90+Inputs!$B$27+Inputs!$B$30,IF(Skills!C20=3,120+Inputs!$B$28+Inputs!$B$30,MAX(0,(Inputs!$B$3-100)*3)+Inputs!$B$29+Inputs!$B$30)))</f>
        <v/>
      </c>
      <c r="E471">
        <f>INDEX(FactorTable!$B$2:$Y$301, MATCH(ROUND(MIN(300,MAX(1,D471)),0), FactorTable!$A$2:$A$301,0), Skills!M20+1)</f>
        <v/>
      </c>
      <c r="F471">
        <f>IF(Skills!N20=TRUE,(Skills!L20/10)*(E471/1000),Skills!L20/10)+Skills!O20</f>
        <v/>
      </c>
      <c r="G471">
        <f>Skills!G20*IF(Skills!H20&gt;0,INT(IF(Inputs!$B$39="pvp",MIN(Skills!I20,15),Skills!I20)/Skills!H20+0.000000001),1)</f>
        <v/>
      </c>
      <c r="H471">
        <f>1-(1-Skills!J20/100)^Skills!K20</f>
        <v/>
      </c>
      <c r="I471" t="inlineStr">
        <is>
          <t>1</t>
        </is>
      </c>
      <c r="J471" t="inlineStr"/>
      <c r="K471" t="inlineStr"/>
      <c r="L471" t="inlineStr"/>
      <c r="M471" t="inlineStr"/>
      <c r="N471" t="inlineStr"/>
      <c r="O471">
        <f>(1-Summary!$B$11)*T471+Summary!$B$11*V471</f>
        <v/>
      </c>
      <c r="P471">
        <f>IF(B490=0,0,O471/B490)</f>
        <v/>
      </c>
      <c r="Q471">
        <f>IFERROR(1/IF(Inputs!$B$39="pvp",15,MAX(0.1,Skills!D20-IF(TRUE=TRUE,Inputs!$B$33,0))),0)</f>
        <v/>
      </c>
      <c r="R471">
        <f>IF(AND(Inputs!$B$39&lt;&gt;"pvp",Inputs!$B$44&gt;0),IF(Inputs!$B$44&lt;=0,0,(INT(Inputs!$B$44/IF(Inputs!$B$39="pvp",15,MAX(0.1,Skills!D20-IF(TRUE=TRUE,Inputs!$B$33,0))))+1)),0)</f>
        <v/>
      </c>
      <c r="S471">
        <f>IFERROR(O471/N471,0)</f>
        <v/>
      </c>
      <c r="T471" t="n">
        <v>0</v>
      </c>
      <c r="V471" t="n">
        <v>0</v>
      </c>
    </row>
    <row r="472">
      <c r="A472">
        <f>Skills!A21</f>
        <v/>
      </c>
      <c r="B472">
        <f>Skills!B21</f>
        <v/>
      </c>
      <c r="C472">
        <f>Inputs!$B$3&gt;=33</f>
        <v/>
      </c>
      <c r="D472">
        <f>IF(Skills!C21=1,60+Inputs!$B$26+Inputs!$B$30,IF(Skills!C21=2,90+Inputs!$B$27+Inputs!$B$30,IF(Skills!C21=3,120+Inputs!$B$28+Inputs!$B$30,MAX(0,(Inputs!$B$3-100)*3)+Inputs!$B$29+Inputs!$B$30)))</f>
        <v/>
      </c>
      <c r="E472">
        <f>INDEX(FactorTable!$B$2:$Y$301, MATCH(ROUND(MIN(300,MAX(1,D472)),0), FactorTable!$A$2:$A$301,0), Skills!M21+1)</f>
        <v/>
      </c>
      <c r="F472">
        <f>IF(Skills!N21=TRUE,(Skills!L21/10)*(E472/1000),Skills!L21/10)+Skills!O21</f>
        <v/>
      </c>
      <c r="G472">
        <f>Skills!G21*IF(Skills!H21&gt;0,INT(IF(Inputs!$B$39="pvp",MIN(Skills!I21,15),Skills!I21)/Skills!H21+0.000000001),1)</f>
        <v/>
      </c>
      <c r="H472">
        <f>1-(1-Skills!J21/100)^Skills!K21</f>
        <v/>
      </c>
      <c r="I472" t="inlineStr">
        <is>
          <t>1</t>
        </is>
      </c>
      <c r="J472" t="inlineStr"/>
      <c r="K472" t="inlineStr"/>
      <c r="L472" t="inlineStr"/>
      <c r="M472" t="inlineStr"/>
      <c r="N472" t="inlineStr"/>
      <c r="O472">
        <f>(1-Summary!$B$11)*T472+Summary!$B$11*V472</f>
        <v/>
      </c>
      <c r="P472">
        <f>IF(B490=0,0,O472/B490)</f>
        <v/>
      </c>
      <c r="Q472" t="n">
        <v>0</v>
      </c>
      <c r="R472" t="n">
        <v>0</v>
      </c>
      <c r="S472">
        <f>IFERROR(O472/N472,0)</f>
        <v/>
      </c>
      <c r="T472" t="n">
        <v>0</v>
      </c>
      <c r="V472" t="n">
        <v>0</v>
      </c>
    </row>
    <row r="473">
      <c r="A473">
        <f>Skills!A22</f>
        <v/>
      </c>
      <c r="B473">
        <f>Skills!B22</f>
        <v/>
      </c>
      <c r="C473">
        <f>Inputs!$B$3&gt;=43</f>
        <v/>
      </c>
      <c r="D473">
        <f>IF(Skills!C22=1,60+Inputs!$B$26+Inputs!$B$30,IF(Skills!C22=2,90+Inputs!$B$27+Inputs!$B$30,IF(Skills!C22=3,120+Inputs!$B$28+Inputs!$B$30,MAX(0,(Inputs!$B$3-100)*3)+Inputs!$B$29+Inputs!$B$30)))</f>
        <v/>
      </c>
      <c r="E473">
        <f>INDEX(FactorTable!$B$2:$Y$301, MATCH(ROUND(MIN(300,MAX(1,D473)),0), FactorTable!$A$2:$A$301,0), Skills!M22+1)</f>
        <v/>
      </c>
      <c r="F473">
        <f>IF(Skills!N22=TRUE,(Skills!L22/10)*(E473/1000),Skills!L22/10)+Skills!O22</f>
        <v/>
      </c>
      <c r="G473">
        <f>Skills!G22*IF(Skills!H22&gt;0,INT(IF(Inputs!$B$39="pvp",MIN(Skills!I22,15),Skills!I22)/Skills!H22+0.000000001),1)</f>
        <v/>
      </c>
      <c r="H473">
        <f>1-(1-Skills!J22/100)^Skills!K22</f>
        <v/>
      </c>
      <c r="I473" t="inlineStr">
        <is>
          <t>1</t>
        </is>
      </c>
      <c r="J473" t="inlineStr"/>
      <c r="K473" t="inlineStr"/>
      <c r="L473" t="inlineStr"/>
      <c r="M473" t="inlineStr"/>
      <c r="N473" t="inlineStr"/>
      <c r="O473">
        <f>(1-Summary!$B$11)*T473+Summary!$B$11*V473</f>
        <v/>
      </c>
      <c r="P473">
        <f>IF(B490=0,0,O473/B490)</f>
        <v/>
      </c>
      <c r="Q473" t="n">
        <v>0</v>
      </c>
      <c r="R473" t="n">
        <v>0</v>
      </c>
      <c r="S473">
        <f>IFERROR(O473/N473,0)</f>
        <v/>
      </c>
      <c r="T473" t="n">
        <v>0</v>
      </c>
      <c r="V473" t="n">
        <v>0</v>
      </c>
    </row>
    <row r="474">
      <c r="A474">
        <f>Skills!A23</f>
        <v/>
      </c>
      <c r="B474">
        <f>Skills!B23</f>
        <v/>
      </c>
      <c r="C474">
        <f>Inputs!$B$3&gt;=120</f>
        <v/>
      </c>
      <c r="D474">
        <f>IF(Skills!C23=1,60+Inputs!$B$26+Inputs!$B$30,IF(Skills!C23=2,90+Inputs!$B$27+Inputs!$B$30,IF(Skills!C23=3,120+Inputs!$B$28+Inputs!$B$30,MAX(0,(Inputs!$B$3-100)*3)+Inputs!$B$29+Inputs!$B$30)))</f>
        <v/>
      </c>
      <c r="E474">
        <f>INDEX(FactorTable!$B$2:$Y$301, MATCH(ROUND(MIN(300,MAX(1,D474)),0), FactorTable!$A$2:$A$301,0), Skills!M23+1)</f>
        <v/>
      </c>
      <c r="F474">
        <f>IF(Skills!N23=TRUE,(Skills!L23/10)*(E474/1000),Skills!L23/10)+Skills!O23</f>
        <v/>
      </c>
      <c r="G474">
        <f>Skills!G23*IF(Skills!H23&gt;0,INT(IF(Inputs!$B$39="pvp",MIN(Skills!I23,15),Skills!I23)/Skills!H23+0.000000001),1)</f>
        <v/>
      </c>
      <c r="H474">
        <f>1-(1-Skills!J23/100)^Skills!K23</f>
        <v/>
      </c>
      <c r="I474" t="inlineStr">
        <is>
          <t>1</t>
        </is>
      </c>
      <c r="J474" t="inlineStr"/>
      <c r="K474" t="inlineStr"/>
      <c r="L474" t="inlineStr"/>
      <c r="M474" t="inlineStr"/>
      <c r="N474" t="inlineStr"/>
      <c r="O474">
        <f>(1-Summary!$B$11)*T474+Summary!$B$11*V474</f>
        <v/>
      </c>
      <c r="P474">
        <f>IF(B490=0,0,O474/B490)</f>
        <v/>
      </c>
      <c r="Q474" t="n">
        <v>0</v>
      </c>
      <c r="R474" t="n">
        <v>0</v>
      </c>
      <c r="S474">
        <f>IFERROR(O474/N474,0)</f>
        <v/>
      </c>
      <c r="T474" t="n">
        <v>0</v>
      </c>
      <c r="V474" t="n">
        <v>0</v>
      </c>
    </row>
    <row r="475">
      <c r="A475">
        <f>Skills!A24</f>
        <v/>
      </c>
      <c r="B475">
        <f>Skills!B24</f>
        <v/>
      </c>
      <c r="C475">
        <f>Inputs!$B$3&gt;=120</f>
        <v/>
      </c>
      <c r="D475">
        <f>IF(Skills!C24=1,60+Inputs!$B$26+Inputs!$B$30,IF(Skills!C24=2,90+Inputs!$B$27+Inputs!$B$30,IF(Skills!C24=3,120+Inputs!$B$28+Inputs!$B$30,MAX(0,(Inputs!$B$3-100)*3)+Inputs!$B$29+Inputs!$B$30)))</f>
        <v/>
      </c>
      <c r="E475">
        <f>INDEX(FactorTable!$B$2:$Y$301, MATCH(ROUND(MIN(300,MAX(1,D475)),0), FactorTable!$A$2:$A$301,0), Skills!M24+1)</f>
        <v/>
      </c>
      <c r="F475">
        <f>IF(Skills!N24=TRUE,(Skills!L24/10)*(E475/1000),Skills!L24/10)+Skills!O24</f>
        <v/>
      </c>
      <c r="G475">
        <f>Skills!G24*IF(Skills!H24&gt;0,INT(IF(Inputs!$B$39="pvp",MIN(Skills!I24,15),Skills!I24)/Skills!H24+0.000000001),1)</f>
        <v/>
      </c>
      <c r="H475">
        <f>1-(1-Skills!J24/100)^Skills!K24</f>
        <v/>
      </c>
      <c r="I475" t="inlineStr">
        <is>
          <t>1</t>
        </is>
      </c>
      <c r="J475" t="inlineStr"/>
      <c r="K475" t="inlineStr"/>
      <c r="L475" t="inlineStr"/>
      <c r="M475" t="inlineStr"/>
      <c r="N475" t="inlineStr"/>
      <c r="O475">
        <f>(1-Summary!$B$11)*T475+Summary!$B$11*V475</f>
        <v/>
      </c>
      <c r="P475">
        <f>IF(B490=0,0,O475/B490)</f>
        <v/>
      </c>
      <c r="Q475" t="n">
        <v>0</v>
      </c>
      <c r="R475" t="n">
        <v>0</v>
      </c>
      <c r="S475">
        <f>IFERROR(O475/N475,0)</f>
        <v/>
      </c>
      <c r="T475" t="n">
        <v>0</v>
      </c>
      <c r="V475" t="n">
        <v>0</v>
      </c>
    </row>
    <row r="476">
      <c r="A476">
        <f>Skills!A25</f>
        <v/>
      </c>
      <c r="B476">
        <f>Skills!B25</f>
        <v/>
      </c>
      <c r="C476">
        <f>Inputs!$B$3&gt;=125</f>
        <v/>
      </c>
      <c r="D476">
        <f>IF(Skills!C25=1,60+Inputs!$B$26+Inputs!$B$30,IF(Skills!C25=2,90+Inputs!$B$27+Inputs!$B$30,IF(Skills!C25=3,120+Inputs!$B$28+Inputs!$B$30,MAX(0,(Inputs!$B$3-100)*3)+Inputs!$B$29+Inputs!$B$30)))</f>
        <v/>
      </c>
      <c r="E476">
        <f>INDEX(FactorTable!$B$2:$Y$301, MATCH(ROUND(MIN(300,MAX(1,D476)),0), FactorTable!$A$2:$A$301,0), Skills!M25+1)</f>
        <v/>
      </c>
      <c r="F476">
        <f>IF(Skills!N25=TRUE,(Skills!L25/10)*(E476/1000),Skills!L25/10)+Skills!O25</f>
        <v/>
      </c>
      <c r="G476">
        <f>Skills!G25*IF(Skills!H25&gt;0,INT(IF(Inputs!$B$39="pvp",MIN(Skills!I25,15),Skills!I25)/Skills!H25+0.000000001),1)</f>
        <v/>
      </c>
      <c r="H476">
        <f>1-(1-Skills!J25/100)^Skills!K25</f>
        <v/>
      </c>
      <c r="I476" t="inlineStr">
        <is>
          <t>1</t>
        </is>
      </c>
      <c r="J476" t="inlineStr"/>
      <c r="K476" t="inlineStr"/>
      <c r="L476" t="inlineStr"/>
      <c r="M476" t="inlineStr"/>
      <c r="N476" t="inlineStr"/>
      <c r="O476">
        <f>(1-Summary!$B$11)*T476+Summary!$B$11*V476</f>
        <v/>
      </c>
      <c r="P476">
        <f>IF(B490=0,0,O476/B490)</f>
        <v/>
      </c>
      <c r="Q476" t="n">
        <v>0</v>
      </c>
      <c r="R476" t="n">
        <v>0</v>
      </c>
      <c r="S476">
        <f>IFERROR(O476/N476,0)</f>
        <v/>
      </c>
      <c r="T476" t="n">
        <v>0</v>
      </c>
      <c r="V476" t="n">
        <v>0</v>
      </c>
    </row>
    <row r="477">
      <c r="A477">
        <f>Skills!A26</f>
        <v/>
      </c>
      <c r="B477">
        <f>Skills!B26</f>
        <v/>
      </c>
      <c r="C477">
        <f>Inputs!$B$3&gt;=107</f>
        <v/>
      </c>
      <c r="D477">
        <f>IF(Skills!C26=1,60+Inputs!$B$26+Inputs!$B$30,IF(Skills!C26=2,90+Inputs!$B$27+Inputs!$B$30,IF(Skills!C26=3,120+Inputs!$B$28+Inputs!$B$30,MAX(0,(Inputs!$B$3-100)*3)+Inputs!$B$29+Inputs!$B$30)))</f>
        <v/>
      </c>
      <c r="E477">
        <f>INDEX(FactorTable!$B$2:$Y$301, MATCH(ROUND(MIN(300,MAX(1,D477)),0), FactorTable!$A$2:$A$301,0), Skills!M26+1)</f>
        <v/>
      </c>
      <c r="F477">
        <f>IF(Skills!N26=TRUE,(Skills!L26/10)*(E477/1000),Skills!L26/10)+Skills!O26</f>
        <v/>
      </c>
      <c r="G477">
        <f>Skills!G26*IF(Skills!H26&gt;0,INT(IF(Inputs!$B$39="pvp",MIN(Skills!I26,15),Skills!I26)/Skills!H26+0.000000001),1)</f>
        <v/>
      </c>
      <c r="H477">
        <f>1-(1-Skills!J26/100)^Skills!K26</f>
        <v/>
      </c>
      <c r="I477" t="inlineStr">
        <is>
          <t>1</t>
        </is>
      </c>
      <c r="J477" t="inlineStr"/>
      <c r="K477" t="inlineStr"/>
      <c r="L477" t="inlineStr"/>
      <c r="M477" t="inlineStr"/>
      <c r="N477" t="inlineStr"/>
      <c r="O477">
        <f>(1-Summary!$B$11)*T477+Summary!$B$11*V477</f>
        <v/>
      </c>
      <c r="P477">
        <f>IF(B490=0,0,O477/B490)</f>
        <v/>
      </c>
      <c r="Q477" t="n">
        <v>0</v>
      </c>
      <c r="R477" t="n">
        <v>0</v>
      </c>
      <c r="S477">
        <f>IFERROR(O477/N477,0)</f>
        <v/>
      </c>
      <c r="T477" t="n">
        <v>0</v>
      </c>
      <c r="V477" t="n">
        <v>0</v>
      </c>
    </row>
    <row r="479">
      <c r="A479" t="inlineStr">
        <is>
          <t>Attack% Bucket Multiplier</t>
        </is>
      </c>
      <c r="B479">
        <f>(1+(((C464=TRUE)*F464*IF(AND(Inputs!$B$39&lt;&gt;"pvp",Inputs!$B$44&gt;0),(((R464-1)*MIN((Skills!T13*(1+Inputs!$B$35/100)),(1/Q464))+MIN((Skills!T13*(1+Inputs!$B$35/100)),MAX(0,Inputs!$B$44-((R464-1)*(1/Q464)))))/Inputs!$B$44),IF(Inputs!$B$39="pvp",MIN((Skills!T13*(1+Inputs!$B$35/100)),15)/15,MIN(1,(Skills!T13*(1+Inputs!$B$35/100))/(1/Q464)))))+((C465=TRUE)*F465*IF(AND(Inputs!$B$39&lt;&gt;"pvp",Inputs!$B$44&gt;0),(((R465-1)*MIN((Skills!T14*(1+Inputs!$B$35/100)),(1/Q465))+MIN((Skills!T14*(1+Inputs!$B$35/100)),MAX(0,Inputs!$B$44-((R465-1)*(1/Q465)))))/Inputs!$B$44),IF(Inputs!$B$39="pvp",MIN((Skills!T14*(1+Inputs!$B$35/100)),15)/15,MIN(1,(Skills!T14*(1+Inputs!$B$35/100))/(1/Q465)))))+((C466=TRUE)*F466*IF(AND(Inputs!$B$39&lt;&gt;"pvp",Inputs!$B$44&gt;0),(((R466-1)*MIN((Skills!T15*(1+Inputs!$B$35/100)),(1/Q466))+MIN((Skills!T15*(1+Inputs!$B$35/100)),MAX(0,Inputs!$B$44-((R466-1)*(1/Q466)))))/Inputs!$B$44),IF(Inputs!$B$39="pvp",MIN((Skills!T15*(1+Inputs!$B$35/100)),15)/15,MIN(1,(Skills!T15*(1+Inputs!$B$35/100))/(1/Q466)))))+((C467=TRUE)*F467*IF(AND(Inputs!$B$39&lt;&gt;"pvp",Inputs!$B$44&gt;0),(((R467-1)*MIN((Skills!T16*(1+Inputs!$B$35/100)),(1/Q467))+MIN((Skills!T16*(1+Inputs!$B$35/100)),MAX(0,Inputs!$B$44-((R467-1)*(1/Q467)))))/Inputs!$B$44),IF(Inputs!$B$39="pvp",MIN((Skills!T16*(1+Inputs!$B$35/100)),15)/15,MIN(1,(Skills!T16*(1+Inputs!$B$35/100))/(1/Q467)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480">
      <c r="A480" t="inlineStr">
        <is>
          <t>Global Crit Rate Bonus % (Lord of Darkness)</t>
        </is>
      </c>
      <c r="B480">
        <f>((C469=TRUE)*F469*(Skills!J18/100)*IF(AND(Inputs!$B$39&lt;&gt;"pvp",Inputs!$B$44&gt;0),(((R469-1)*MIN((Skills!T18*(1+Inputs!$B$35/100)),(1/Q469))+MIN((Skills!T18*(1+Inputs!$B$35/100)),MAX(0,Inputs!$B$44-((R469-1)*(1/Q469)))))/Inputs!$B$44),IF(Inputs!$B$39="pvp",MIN((Skills!T18*(1+Inputs!$B$35/100)),15)/15,MIN(1,(Skills!T18*(1+Inputs!$B$35/100))/(1/Q469)))))</f>
        <v/>
      </c>
    </row>
    <row r="481">
      <c r="A481" t="inlineStr">
        <is>
          <t>Attack Speed Buff Bonus %</t>
        </is>
      </c>
      <c r="B481">
        <f>((C471=TRUE)*F471*IF(AND(Inputs!$B$39&lt;&gt;"pvp",Inputs!$B$44&gt;0),(((R471-1)*MIN((Skills!T20*(1+Inputs!$B$35/100)),(1/Q471))+MIN((Skills!T20*(1+Inputs!$B$35/100)),MAX(0,Inputs!$B$44-((R471-1)*(1/Q471)))))/Inputs!$B$44),IF(Inputs!$B$39="pvp",MIN((Skills!T20*(1+Inputs!$B$35/100)),15)/15,MIN(1,(Skills!T20*(1+Inputs!$B$35/100))/(1/Q471)))))</f>
        <v/>
      </c>
    </row>
    <row r="482">
      <c r="A482" t="inlineStr">
        <is>
          <t>Actions Per Second</t>
        </is>
      </c>
      <c r="B482">
        <f>1+MIN(150,150*(1-(1-(Inputs!$B$12+((C472=TRUE)*(F472-Calc!F21)))/150)*(1-B481/150)))/100</f>
        <v/>
      </c>
    </row>
    <row r="483">
      <c r="A483" t="inlineStr">
        <is>
          <t>Skill + Buff Cast Rate</t>
        </is>
      </c>
      <c r="B483">
        <f>IF(AND(Inputs!$B$39&lt;&gt;"pvp",Inputs!$B$44&gt;0),SUMPRODUCT((Skills!E2:E26=TRUE)*(C453:C477=TRUE)*R453:R477*Skills!F2:F26)/Inputs!$B$44,SUMPRODUCT((Skills!E2:E26=TRUE)*(C453:C477=TRUE)*Q453:Q477*Skills!F2:F26))</f>
        <v/>
      </c>
    </row>
    <row r="484">
      <c r="A484" t="inlineStr">
        <is>
          <t>Dark Impale Casts Per Second</t>
        </is>
      </c>
      <c r="B484">
        <f>MAX(0,B482-B483)</f>
        <v/>
      </c>
    </row>
    <row r="485">
      <c r="A485" t="inlineStr">
        <is>
          <t>Global Critical Damage Bonus % (Lord of Darkness)</t>
        </is>
      </c>
      <c r="B485">
        <f>((C470=TRUE)*F470*(Skills!J19/100)*IF(AND(Inputs!$B$39&lt;&gt;"pvp",Inputs!$B$44&gt;0),(((R470-1)*MIN((Skills!T19*(1+Inputs!$B$35/100)),(1/Q470))+MIN((Skills!T19*(1+Inputs!$B$35/100)),MAX(0,Inputs!$B$44-((R470-1)*(1/Q470)))))/Inputs!$B$44),IF(Inputs!$B$39="pvp",MIN((Skills!T19*(1+Inputs!$B$35/100)),15)/15,MIN(1,(Skills!T19*(1+Inputs!$B$35/100))/(1/Q470)))))</f>
        <v/>
      </c>
    </row>
    <row r="486">
      <c r="A486" t="inlineStr">
        <is>
          <t>Global Final Damage Bonus % (unused)</t>
        </is>
      </c>
      <c r="B486" t="n">
        <v>0</v>
      </c>
    </row>
    <row r="487">
      <c r="A487" t="inlineStr">
        <is>
          <t>Buff-Casting Startup Delay (s, fixed-duration only)</t>
        </is>
      </c>
      <c r="B487">
        <f>IF(AND(Inputs!$B$39&lt;&gt;"pvp",Inputs!$B$44&gt;0),SUMPRODUCT((Skills!T2:T26&gt;0)*(Skills!E2:E26=TRUE)*(C453:C477=TRUE))/B482,0)</f>
        <v/>
      </c>
    </row>
    <row r="488">
      <c r="A488" t="inlineStr">
        <is>
          <t>Boss-Only Total DPS (this block's swept value)</t>
        </is>
      </c>
      <c r="B488">
        <f>SUM(T453:T477)</f>
        <v/>
      </c>
    </row>
    <row r="489">
      <c r="A489" t="inlineStr">
        <is>
          <t>Normal-Only Total DPS (this block's swept value)</t>
        </is>
      </c>
      <c r="B489">
        <f>SUM(V453:V477)</f>
        <v/>
      </c>
    </row>
    <row r="490">
      <c r="A490" s="6" t="inlineStr">
        <is>
          <t>TOTAL DPS</t>
        </is>
      </c>
      <c r="B490" s="6">
        <f>SUM(O453:O477)</f>
        <v/>
      </c>
    </row>
    <row r="493">
      <c r="A493" s="6" t="inlineStr">
        <is>
          <t>Stat: MIN_DAMAGE %</t>
        </is>
      </c>
    </row>
    <row r="494">
      <c r="A494" s="5" t="inlineStr">
        <is>
          <t>Key</t>
        </is>
      </c>
      <c r="B494" s="5" t="inlineStr">
        <is>
          <t>Name</t>
        </is>
      </c>
      <c r="C494" s="5" t="inlineStr">
        <is>
          <t>Unlocked</t>
        </is>
      </c>
      <c r="D494" s="5" t="inlineStr">
        <is>
          <t>InputLevel</t>
        </is>
      </c>
      <c r="E494" s="5" t="inlineStr">
        <is>
          <t>Factor</t>
        </is>
      </c>
      <c r="F494" s="5" t="inlineStr">
        <is>
          <t>CoefficientPercent</t>
        </is>
      </c>
      <c r="G494" s="5" t="inlineStr">
        <is>
          <t>EffectiveHits</t>
        </is>
      </c>
      <c r="H494" s="5" t="inlineStr">
        <is>
          <t>ProcProbability</t>
        </is>
      </c>
      <c r="I494" s="5" t="inlineStr">
        <is>
          <t>MapleHeroMultiplier</t>
        </is>
      </c>
      <c r="J494" s="5" t="inlineStr">
        <is>
          <t>BaseDamage</t>
        </is>
      </c>
      <c r="K494" s="5" t="inlineStr">
        <is>
          <t>BaseHitDamage</t>
        </is>
      </c>
      <c r="L494" s="5" t="inlineStr">
        <is>
          <t>NonCritAvg</t>
        </is>
      </c>
      <c r="M494" s="5" t="inlineStr">
        <is>
          <t>CritAvg</t>
        </is>
      </c>
      <c r="N494" s="5" t="inlineStr">
        <is>
          <t>ExpectedDamage(perHit)</t>
        </is>
      </c>
      <c r="O494" s="5" t="inlineStr">
        <is>
          <t>DPS</t>
        </is>
      </c>
      <c r="P494" s="5" t="inlineStr">
        <is>
          <t>% of Total</t>
        </is>
      </c>
      <c r="Q494" s="5" t="inlineStr">
        <is>
          <t>InvCooldown</t>
        </is>
      </c>
      <c r="R494" s="5" t="inlineStr">
        <is>
          <t>CastsInFight</t>
        </is>
      </c>
      <c r="S494" s="5" t="inlineStr">
        <is>
          <t>HitRate(perSec)</t>
        </is>
      </c>
      <c r="U494" t="inlineStr">
        <is>
          <t>helpers</t>
        </is>
      </c>
    </row>
    <row r="495">
      <c r="A495">
        <f>Skills!A2</f>
        <v/>
      </c>
      <c r="B495">
        <f>Skills!B2</f>
        <v/>
      </c>
      <c r="C495">
        <f>Inputs!$B$3&gt;=100</f>
        <v/>
      </c>
      <c r="D495" t="inlineStr"/>
      <c r="E495" t="inlineStr"/>
      <c r="F495">
        <f>U497+Skills!O2</f>
        <v/>
      </c>
      <c r="G495">
        <f>Skills!G2*IF(Skills!H2&gt;0,INT(IF(Inputs!$B$39="pvp",MIN(Skills!I2,15),Skills!I2)/Skills!H2+0.000000001),1)</f>
        <v/>
      </c>
      <c r="H495">
        <f>1-(1-Skills!J2/100)^Skills!K2</f>
        <v/>
      </c>
      <c r="I495" t="inlineStr">
        <is>
          <t>1</t>
        </is>
      </c>
      <c r="J495">
        <f>((Inputs!$B$6*(1+Inputs!$B$7/100))+(((Inputs!$B$13*(1+Inputs!$B$14/100))-(Inputs!$B$13*(1+Inputs!$B$14/100)))+0.25*(Inputs!$B$15-Inputs!$B$15))*(1+Inputs!$B$7/100))*(F495/100)</f>
        <v/>
      </c>
      <c r="K495">
        <f>J495*(1+(((Inputs!$B$13+IF(Inputs!$B$3&gt;=38,(10*INDEX(FactorTable!$B$2:$Y$301, MATCH(ROUND(MIN(300,MAX(1,Inputs!$B$3)),0), FactorTable!$A$2:$A$301,0), 23)/1000)/100*(Inputs!$B$8*(1+Inputs!$B$9/100)),0))*(1+Inputs!$B$14/100))*0.01+Inputs!$B$15*0.0025)/100)*(1+Inputs!$B$16/100)*(1+Inputs!$B$17/100)*(5000/(6000+Inputs!$B$43*(1-(Inputs!$B$20+0)/100)))*(1+(Inputs!$B$25+((C518=TRUE)*(F518-Calc!F25))+((C519=TRUE)*(F519-Calc!F26))+B528)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gt;=100),MIN(100,((Inputs!$B$10+0+B522+(ArtifactsInput!$M$24-ArtifactsInput!$M$24)*CHOOSE(ArtifactsInput!$N$24+1,10,12,14,16,18,20)+IF(ArtifactsInput!$M$10,CHOOSE(ArtifactsInput!$N$10+1,15,18,21,24,27,30)*(IF(Inputs!$B$39="pvp",MIN(15,15)/15,IF(AND(Inputs!$B$39&lt;&gt;"pvp",Inputs!$B$44&gt;0),MIN(15,Inputs!$B$44)/(Inputs!$B$44),0))),0)))-100),0))*CHOOSE(ArtifactsInput!$N$42+1,0.6,0.72,0.84,0.96,1.08,1.2))),Inputs!$B$19+((C516=TRUE)*(F516-Calc!F23))+(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gt;=100),CHOOSE(ArtifactsInput!$N$42+1,40,48,56,64,72,80),0))))/100)*((1+(((C506=TRUE)*F506*IF(AND(Inputs!$B$39&lt;&gt;"pvp",Inputs!$B$44&gt;0),(((R506-1)*MIN((Skills!T13*(1+Inputs!$B$35/100)),(1/Q506))+MIN((Skills!T13*(1+Inputs!$B$35/100)),MAX(0,Inputs!$B$44-((R506-1)*(1/Q506)))))/Inputs!$B$44),IF(Inputs!$B$39="pvp",MIN((Skills!T13*(1+Inputs!$B$35/100)),15)/15,MIN(1,(Skills!T13*(1+Inputs!$B$35/100))/(1/Q506)))))+((C507=TRUE)*F507*IF(AND(Inputs!$B$39&lt;&gt;"pvp",Inputs!$B$44&gt;0),(((R507-1)*MIN((Skills!T14*(1+Inputs!$B$35/100)),(1/Q507))+MIN((Skills!T14*(1+Inputs!$B$35/100)),MAX(0,Inputs!$B$44-((R507-1)*(1/Q507)))))/Inputs!$B$44),IF(Inputs!$B$39="pvp",MIN((Skills!T14*(1+Inputs!$B$35/100)),15)/15,MIN(1,(Skills!T14*(1+Inputs!$B$35/100))/(1/Q507)))))+((C508=TRUE)*F508*IF(AND(Inputs!$B$39&lt;&gt;"pvp",Inputs!$B$44&gt;0),(((R508-1)*MIN((Skills!T15*(1+Inputs!$B$35/100)),(1/Q508))+MIN((Skills!T15*(1+Inputs!$B$35/100)),MAX(0,Inputs!$B$44-((R508-1)*(1/Q508)))))/Inputs!$B$44),IF(Inputs!$B$39="pvp",MIN((Skills!T15*(1+Inputs!$B$35/100)),15)/15,MIN(1,(Skills!T15*(1+Inputs!$B$35/100))/(1/Q508)))))+((C509=TRUE)*F509*IF(AND(Inputs!$B$39&lt;&gt;"pvp",Inputs!$B$44&gt;0),(((R509-1)*MIN((Skills!T16*(1+Inputs!$B$35/100)),(1/Q509))+MIN((Skills!T16*(1+Inputs!$B$35/100)),MAX(0,Inputs!$B$44-((R509-1)*(1/Q509)))))/Inputs!$B$44),IF(Inputs!$B$39="pvp",MIN((Skills!T16*(1+Inputs!$B$35/100)),15)/15,MIN(1,(Skills!T16*(1+Inputs!$B$35/100))/(1/Q509)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495)</f>
        <v/>
      </c>
      <c r="L495">
        <f>K495*(MIN((Inputs!$B$23+1)+((C515=TRUE)*(F515-Calc!F22)),(Inputs!$B$24+((C517=TRUE)*(F517-Calc!F24))+(IF(ArtifactsInput!$M$15,CHOOSE(ArtifactsInput!$N$15+1,25,30,35,40,45,50)/100*(Inputs!$B$12-Inputs!$B$12),0))))/100+(Inputs!$B$24+((C517=TRUE)*(F517-Calc!F24))+(IF(ArtifactsInput!$M$15,CHOOSE(ArtifactsInput!$N$15+1,25,30,35,40,45,50)/100*(Inputs!$B$12-Inputs!$B$12),0)))/100)/2</f>
        <v/>
      </c>
      <c r="M495">
        <f>L495*(1+(Inputs!$B$11+0+B527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495">
        <f>L495*(1-MIN((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495*(MIN((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95">
        <f>(1-Summary!$B$11)*T495+Summary!$B$11*V495</f>
        <v/>
      </c>
      <c r="P495">
        <f>IF(B532=0,0,O495/B532)</f>
        <v/>
      </c>
      <c r="Q495" t="n">
        <v>0</v>
      </c>
      <c r="R495" t="n">
        <v>0</v>
      </c>
      <c r="S495">
        <f>IFERROR(O495/N495,0)</f>
        <v/>
      </c>
      <c r="T495">
        <f>IF(C495,(Skills!G2*N495*B526)*IF(Inputs!$B$39="pvp",1,1+(Inputs!$B$21+0+Skills!P2+((C510=TRUE)*F510*IF(AND(Inputs!$B$39&lt;&gt;"pvp",Inputs!$B$44&gt;0),(((R510-1)*MIN((Skills!T17*(1+Inputs!$B$35/100)),(1/Q510))+MIN((Skills!T17*(1+Inputs!$B$35/100)),MAX(0,Inputs!$B$44-((R510-1)*(1/Q510)))))/Inputs!$B$44),IF(Inputs!$B$39="pvp",MIN((Skills!T17*(1+Inputs!$B$35/100)),15)/15,MIN(1,(Skills!T17*(1+Inputs!$B$35/100))/(1/Q510)))))+((C498=TRUE)*IF(Inputs!$B$3&gt;=126,10*MIN(1,15*Q498),0))+((C507=TRUE)*IF(Inputs!$B$39="pvp",20,(1-Summary!$B$11)*(20)+Summary!$B$11*(0))*IF(AND(Inputs!$B$39&lt;&gt;"pvp",Inputs!$B$44&gt;0),(((R507-1)*MIN((Skills!T14*(1+Inputs!$B$35/100)),(1/Q507))+MIN((Skills!T14*(1+Inputs!$B$35/100)),MAX(0,Inputs!$B$44-((R507-1)*(1/Q507)))))/Inputs!$B$44),IF(Inputs!$B$39="pvp",MIN((Skills!T14*(1+Inputs!$B$35/100)),15)/15,MIN(1,(Skills!T14*(1+Inputs!$B$35/100))/(1/Q507)))))+((C506=TRUE)*IF(Inputs!$B$3&gt;=82,IF(Inputs!$B$39="pvp",20,(1-Summary!$B$11)*(20)+Summary!$B$11*(0)),0)*IF(AND(Inputs!$B$39&lt;&gt;"pvp",Inputs!$B$44&gt;0),(((R506-1)*MIN((Skills!T13*(1+Inputs!$B$35/100)),(1/Q506))+MIN((Skills!T13*(1+Inputs!$B$35/100)),MAX(0,Inputs!$B$44-((R506-1)*(1/Q506)))))/Inputs!$B$44),IF(Inputs!$B$39="pvp",MIN((Skills!T13*(1+Inputs!$B$35/100)),15)/15,MIN(1,(Skills!T13*(1+Inputs!$B$35/100))/(1/Q506)))))+(IF(AND(ArtifactsInput!$M$35,Inputs!$B$4&lt;&gt;"Chapter Hunt"),CHOOSE(ArtifactsInput!$N$35+1,15,18,21,24,27,30)*(1-EXP(-(0.2*B524)*5)),0)+IF(AND(ArtifactsInput!$M$22,Inputs!$B$4&lt;&gt;"Chapter Hunt"),CHOOSE(ArtifactsInput!$N$22+1,10,12,14,16,18,20)*((0*(((0.15*B524*5))^0/1)+1*(((0.15*B524*5))^1/1)+2*(((0.15*B524*5))^2/2)+3*(((0.15*B524*5))^3/6)+4*(((0.15*B524*5))^4/24)+5*(((0.15*B524*5))^5/120))/((((0.15*B524*5))^0/1)+(((0.15*B524*5))^1/1)+(((0.15*B524*5))^2/2)+(((0.15*B524*5))^3/6)+(((0.15*B524*5))^4/24)+(((0.15*B524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495*(1-MIN(100,(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495*(MIN(100,(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495*(1-MIN(100,(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495*(MIN(100,(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495">
        <f>MAX(0,(Inputs!$B$3-100)*3)+Inputs!$B$29+Inputs!$B$30</f>
        <v/>
      </c>
      <c r="V495">
        <f>IF(C495,(Skills!G2*N495*B526)*IF(Inputs!$B$39="pvp",1,(1+(Inputs!$B$22+Skills!Q2+((C510=TRUE)*F510*IF(AND(Inputs!$B$39&lt;&gt;"pvp",Inputs!$B$44&gt;0),(((R510-1)*MIN((Skills!T17*(1+Inputs!$B$35/100)),(1/Q510))+MIN((Skills!T17*(1+Inputs!$B$35/100)),MAX(0,Inputs!$B$44-((R510-1)*(1/Q510)))))/Inputs!$B$44),IF(Inputs!$B$39="pvp",MIN((Skills!T17*(1+Inputs!$B$35/100)),15)/15,MIN(1,(Skills!T17*(1+Inputs!$B$35/100))/(1/Q510)))))+((C498=TRUE)*IF(Inputs!$B$3&gt;=126,10*MIN(1,15*Q498),0))+((C507=TRUE)*IF(Inputs!$B$39="pvp",20,(1-Summary!$B$11)*(20)+Summary!$B$11*(0))*IF(AND(Inputs!$B$39&lt;&gt;"pvp",Inputs!$B$44&gt;0),(((R507-1)*MIN((Skills!T14*(1+Inputs!$B$35/100)),(1/Q507))+MIN((Skills!T14*(1+Inputs!$B$35/100)),MAX(0,Inputs!$B$44-((R507-1)*(1/Q507)))))/Inputs!$B$44),IF(Inputs!$B$39="pvp",MIN((Skills!T14*(1+Inputs!$B$35/100)),15)/15,MIN(1,(Skills!T14*(1+Inputs!$B$35/100))/(1/Q507)))))+((C506=TRUE)*IF(Inputs!$B$3&gt;=82,IF(Inputs!$B$39="pvp",20,(1-Summary!$B$11)*(20)+Summary!$B$11*(0)),0)*IF(AND(Inputs!$B$39&lt;&gt;"pvp",Inputs!$B$44&gt;0),(((R506-1)*MIN((Skills!T13*(1+Inputs!$B$35/100)),(1/Q506))+MIN((Skills!T13*(1+Inputs!$B$35/100)),MAX(0,Inputs!$B$44-((R506-1)*(1/Q506)))))/Inputs!$B$44),IF(Inputs!$B$39="pvp",MIN((Skills!T13*(1+Inputs!$B$35/100)),15)/15,MIN(1,(Skills!T13*(1+Inputs!$B$35/100))/(1/Q506)))))+(IF(AND(ArtifactsInput!$M$35,Inputs!$B$4&lt;&gt;"Chapter Hunt"),CHOOSE(ArtifactsInput!$N$35+1,15,18,21,24,27,30)*(1-EXP(-(0.2*B524)*5)),0)+IF(AND(ArtifactsInput!$M$22,Inputs!$B$4&lt;&gt;"Chapter Hunt"),CHOOSE(ArtifactsInput!$N$22+1,10,12,14,16,18,20)*((0*(((0.15*B524*5))^0/1)+1*(((0.15*B524*5))^1/1)+2*(((0.15*B524*5))^2/2)+3*(((0.15*B524*5))^3/6)+4*(((0.15*B524*5))^4/24)+5*(((0.15*B524*5))^5/120))/((((0.15*B524*5))^0/1)+(((0.15*B524*5))^1/1)+(((0.15*B524*5))^2/2)+(((0.15*B524*5))^3/6)+(((0.15*B524*5))^4/24)+(((0.15*B524*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96">
      <c r="A496">
        <f>Skills!A3</f>
        <v/>
      </c>
      <c r="B496">
        <f>Skills!B3</f>
        <v/>
      </c>
      <c r="C496">
        <f>Inputs!$B$3&gt;=50</f>
        <v/>
      </c>
      <c r="D496">
        <f>IF(Skills!C3=1,60+Inputs!$B$26+Inputs!$B$30,IF(Skills!C3=2,90+Inputs!$B$27+Inputs!$B$30,IF(Skills!C3=3,120+Inputs!$B$28+Inputs!$B$30,MAX(0,(Inputs!$B$3-100)*3)+Inputs!$B$29+Inputs!$B$30)))</f>
        <v/>
      </c>
      <c r="E496">
        <f>INDEX(FactorTable!$B$2:$Y$301, MATCH(ROUND(MIN(300,MAX(1,D496)),0), FactorTable!$A$2:$A$301,0), Skills!M3+1)</f>
        <v/>
      </c>
      <c r="F496">
        <f>IF(Skills!N3=TRUE,(Skills!L3/10)*(E496/1000),Skills!L3/10)+Skills!O3</f>
        <v/>
      </c>
      <c r="G496" t="inlineStr"/>
      <c r="H496" t="inlineStr"/>
      <c r="I496" t="inlineStr">
        <is>
          <t>1</t>
        </is>
      </c>
      <c r="J496" t="inlineStr"/>
      <c r="K496" t="inlineStr"/>
      <c r="L496" t="inlineStr"/>
      <c r="M496" t="inlineStr"/>
      <c r="N496" t="inlineStr"/>
      <c r="O496" t="inlineStr"/>
      <c r="P496" t="inlineStr"/>
      <c r="Q496" t="inlineStr"/>
      <c r="R496" t="inlineStr"/>
      <c r="S496" t="inlineStr"/>
      <c r="U496">
        <f>INDEX(FactorTable!$B$2:$Y$301, MATCH(ROUND(MIN(300,MAX(1,U495)),0), FactorTable!$A$2:$A$301,0), 22)</f>
        <v/>
      </c>
    </row>
    <row r="497">
      <c r="A497">
        <f>Skills!A4</f>
        <v/>
      </c>
      <c r="B497">
        <f>Skills!B4</f>
        <v/>
      </c>
      <c r="C497">
        <f>Inputs!$B$3&gt;=105</f>
        <v/>
      </c>
      <c r="D497">
        <f>IF(Skills!C4=1,60+Inputs!$B$26+Inputs!$B$30,IF(Skills!C4=2,90+Inputs!$B$27+Inputs!$B$30,IF(Skills!C4=3,120+Inputs!$B$28+Inputs!$B$30,MAX(0,(Inputs!$B$3-100)*3)+Inputs!$B$29+Inputs!$B$30)))</f>
        <v/>
      </c>
      <c r="E497">
        <f>INDEX(FactorTable!$B$2:$Y$301, MATCH(ROUND(MIN(300,MAX(1,D497)),0), FactorTable!$A$2:$A$301,0), Skills!M4+1)</f>
        <v/>
      </c>
      <c r="F497">
        <f>IF(Skills!N4=TRUE,(Skills!L4/10)*(E497/1000),Skills!L4/10)+Skills!O4</f>
        <v/>
      </c>
      <c r="G497" t="inlineStr"/>
      <c r="H497" t="inlineStr"/>
      <c r="I497" t="inlineStr">
        <is>
          <t>1</t>
        </is>
      </c>
      <c r="J497" t="inlineStr"/>
      <c r="K497" t="inlineStr"/>
      <c r="L497" t="inlineStr"/>
      <c r="M497" t="inlineStr"/>
      <c r="N497" t="inlineStr"/>
      <c r="O497" t="inlineStr"/>
      <c r="P497" t="inlineStr"/>
      <c r="Q497" t="inlineStr"/>
      <c r="R497" t="inlineStr"/>
      <c r="S497" t="inlineStr"/>
      <c r="U497">
        <f>290*U496/1000</f>
        <v/>
      </c>
    </row>
    <row r="498">
      <c r="A498">
        <f>Skills!A5</f>
        <v/>
      </c>
      <c r="B498">
        <f>Skills!B5</f>
        <v/>
      </c>
      <c r="C498">
        <f>Inputs!$B$3&gt;=117</f>
        <v/>
      </c>
      <c r="D498">
        <f>IF(Skills!C5=1,60+Inputs!$B$26+Inputs!$B$30,IF(Skills!C5=2,90+Inputs!$B$27+Inputs!$B$30,IF(Skills!C5=3,120+Inputs!$B$28+Inputs!$B$30,MAX(0,(Inputs!$B$3-100)*3)+Inputs!$B$29+Inputs!$B$30)))</f>
        <v/>
      </c>
      <c r="E498">
        <f>INDEX(FactorTable!$B$2:$Y$301, MATCH(ROUND(MIN(300,MAX(1,D498)),0), FactorTable!$A$2:$A$301,0), Skills!M5+1)</f>
        <v/>
      </c>
      <c r="F498">
        <f>IF(Skills!N5=TRUE,(Skills!L5/10)*(E498/1000),Skills!L5/10)+Skills!O5</f>
        <v/>
      </c>
      <c r="G498">
        <f>Skills!G5*IF(Skills!H5&gt;0,INT(IF(Inputs!$B$39="pvp",MIN(Skills!I5,15),Skills!I5)/Skills!H5+0.000000001),1)</f>
        <v/>
      </c>
      <c r="H498">
        <f>1-(1-Skills!J5/100)^Skills!K5</f>
        <v/>
      </c>
      <c r="I498" t="inlineStr">
        <is>
          <t>1</t>
        </is>
      </c>
      <c r="J498">
        <f>((Inputs!$B$6*(1+Inputs!$B$7/100))+(((Inputs!$B$13*(1+Inputs!$B$14/100))-(Inputs!$B$13*(1+Inputs!$B$14/100)))+0.25*(Inputs!$B$15-Inputs!$B$15))*(1+Inputs!$B$7/100))*(F498/100)</f>
        <v/>
      </c>
      <c r="K498">
        <f>J498*(1+(((Inputs!$B$13+IF(Inputs!$B$3&gt;=38,(10*INDEX(FactorTable!$B$2:$Y$301, MATCH(ROUND(MIN(300,MAX(1,Inputs!$B$3)),0), FactorTable!$A$2:$A$301,0), 23)/1000)/100*(Inputs!$B$8*(1+Inputs!$B$9/100)),0))*(1+Inputs!$B$14/100))*0.01+Inputs!$B$15*0.0025)/100)*(1+Inputs!$B$16/100)*(1+Inputs!$B$17/100)*(5000/(6000+Inputs!$B$43*(1-(Inputs!$B$20+0)/100)))*(1+(Inputs!$B$25+((C518=TRUE)*(F518-Calc!F25))+((C519=TRUE)*(F519-Calc!F26))+B528)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gt;=100),MIN(100,((Inputs!$B$10+0+B522+(ArtifactsInput!$M$24-ArtifactsInput!$M$24)*CHOOSE(ArtifactsInput!$N$24+1,10,12,14,16,18,20)+IF(ArtifactsInput!$M$10,CHOOSE(ArtifactsInput!$N$10+1,15,18,21,24,27,30)*(IF(Inputs!$B$39="pvp",MIN(15,15)/15,IF(AND(Inputs!$B$39&lt;&gt;"pvp",Inputs!$B$44&gt;0),MIN(15,Inputs!$B$44)/(Inputs!$B$44),0))),0)))-100),0))*CHOOSE(ArtifactsInput!$N$42+1,0.6,0.72,0.84,0.96,1.08,1.2))),Inputs!$B$19+((C516=TRUE)*(F516-Calc!F23))+(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gt;=100),CHOOSE(ArtifactsInput!$N$42+1,40,48,56,64,72,80),0))))/100)*((1+(((C506=TRUE)*F506*IF(AND(Inputs!$B$39&lt;&gt;"pvp",Inputs!$B$44&gt;0),(((R506-1)*MIN((Skills!T13*(1+Inputs!$B$35/100)),(1/Q506))+MIN((Skills!T13*(1+Inputs!$B$35/100)),MAX(0,Inputs!$B$44-((R506-1)*(1/Q506)))))/Inputs!$B$44),IF(Inputs!$B$39="pvp",MIN((Skills!T13*(1+Inputs!$B$35/100)),15)/15,MIN(1,(Skills!T13*(1+Inputs!$B$35/100))/(1/Q506)))))+((C507=TRUE)*F507*IF(AND(Inputs!$B$39&lt;&gt;"pvp",Inputs!$B$44&gt;0),(((R507-1)*MIN((Skills!T14*(1+Inputs!$B$35/100)),(1/Q507))+MIN((Skills!T14*(1+Inputs!$B$35/100)),MAX(0,Inputs!$B$44-((R507-1)*(1/Q507)))))/Inputs!$B$44),IF(Inputs!$B$39="pvp",MIN((Skills!T14*(1+Inputs!$B$35/100)),15)/15,MIN(1,(Skills!T14*(1+Inputs!$B$35/100))/(1/Q507)))))+((C508=TRUE)*F508*IF(AND(Inputs!$B$39&lt;&gt;"pvp",Inputs!$B$44&gt;0),(((R508-1)*MIN((Skills!T15*(1+Inputs!$B$35/100)),(1/Q508))+MIN((Skills!T15*(1+Inputs!$B$35/100)),MAX(0,Inputs!$B$44-((R508-1)*(1/Q508)))))/Inputs!$B$44),IF(Inputs!$B$39="pvp",MIN((Skills!T15*(1+Inputs!$B$35/100)),15)/15,MIN(1,(Skills!T15*(1+Inputs!$B$35/100))/(1/Q508)))))+((C509=TRUE)*F509*IF(AND(Inputs!$B$39&lt;&gt;"pvp",Inputs!$B$44&gt;0),(((R509-1)*MIN((Skills!T16*(1+Inputs!$B$35/100)),(1/Q509))+MIN((Skills!T16*(1+Inputs!$B$35/100)),MAX(0,Inputs!$B$44-((R509-1)*(1/Q509)))))/Inputs!$B$44),IF(Inputs!$B$39="pvp",MIN((Skills!T16*(1+Inputs!$B$35/100)),15)/15,MIN(1,(Skills!T16*(1+Inputs!$B$35/100))/(1/Q509)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498)</f>
        <v/>
      </c>
      <c r="L498">
        <f>K498*(MIN((Inputs!$B$23+1)+((C515=TRUE)*(F515-Calc!F22)),(Inputs!$B$24+((C517=TRUE)*(F517-Calc!F24))+(IF(ArtifactsInput!$M$15,CHOOSE(ArtifactsInput!$N$15+1,25,30,35,40,45,50)/100*(Inputs!$B$12-Inputs!$B$12),0))))/100+(Inputs!$B$24+((C517=TRUE)*(F517-Calc!F24))+(IF(ArtifactsInput!$M$15,CHOOSE(ArtifactsInput!$N$15+1,25,30,35,40,45,50)/100*(Inputs!$B$12-Inputs!$B$12),0)))/100)/2</f>
        <v/>
      </c>
      <c r="M498">
        <f>L498*(1+(Inputs!$B$11+0+B527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498">
        <f>L498*(1-MIN((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498*(MIN((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98">
        <f>(1-Summary!$B$11)*T498+Summary!$B$11*V498</f>
        <v/>
      </c>
      <c r="P498">
        <f>IF(B532=0,0,O498/B532)</f>
        <v/>
      </c>
      <c r="Q498">
        <f>IFERROR(1/IF(Inputs!$B$39="pvp",15,MAX(0.1,Skills!D5-IF(TRUE=TRUE,Inputs!$B$33,0))),0)</f>
        <v/>
      </c>
      <c r="R498">
        <f>IF(AND(Inputs!$B$39&lt;&gt;"pvp",Inputs!$B$44&gt;0),IF(MAX(0,Inputs!$B$44-B529)&lt;=0,0,(INT(MAX(0,Inputs!$B$44-B529)/IF(Inputs!$B$39="pvp",15,MAX(0.1,Skills!D5-IF(TRUE=TRUE,Inputs!$B$33,0))))+1)),0)</f>
        <v/>
      </c>
      <c r="S498">
        <f>IFERROR(O498/N498,0)</f>
        <v/>
      </c>
      <c r="T498">
        <f>IF(C498,(H498*N498*IF(AND(Inputs!$B$39&lt;&gt;"pvp",Inputs!$B$44&gt;0),((Skills!G5*((R498-1)*IF(Skills!H5&gt;0,INT(Skills!I5/Skills!H5+0.000000001),1)+IF(Skills!H5&gt;0,INT(MIN(Skills!I5,MAX(0,MAX(0,Inputs!$B$44-B529)-((R498-1)*IF(Inputs!$B$39="pvp",15,MAX(0.1,Skills!D5-IF(TRUE=TRUE,Inputs!$B$33,0))))))/Skills!H5+0.000000001),1)))/Inputs!$B$44),G498*Q498))*IF(Inputs!$B$39="pvp",1,1+(Inputs!$B$21+0+Skills!P5+((C510=TRUE)*F510*IF(AND(Inputs!$B$39&lt;&gt;"pvp",Inputs!$B$44&gt;0),(((R510-1)*MIN((Skills!T17*(1+Inputs!$B$35/100)),(1/Q510))+MIN((Skills!T17*(1+Inputs!$B$35/100)),MAX(0,Inputs!$B$44-((R510-1)*(1/Q510)))))/Inputs!$B$44),IF(Inputs!$B$39="pvp",MIN((Skills!T17*(1+Inputs!$B$35/100)),15)/15,MIN(1,(Skills!T17*(1+Inputs!$B$35/100))/(1/Q510)))))+((C498=TRUE)*IF(Inputs!$B$3&gt;=126,10*MIN(1,15*Q498),0))+((C507=TRUE)*IF(Inputs!$B$39="pvp",20,(1-Summary!$B$11)*(20)+Summary!$B$11*(0))*IF(AND(Inputs!$B$39&lt;&gt;"pvp",Inputs!$B$44&gt;0),(((R507-1)*MIN((Skills!T14*(1+Inputs!$B$35/100)),(1/Q507))+MIN((Skills!T14*(1+Inputs!$B$35/100)),MAX(0,Inputs!$B$44-((R507-1)*(1/Q507)))))/Inputs!$B$44),IF(Inputs!$B$39="pvp",MIN((Skills!T14*(1+Inputs!$B$35/100)),15)/15,MIN(1,(Skills!T14*(1+Inputs!$B$35/100))/(1/Q507)))))+((C506=TRUE)*IF(Inputs!$B$3&gt;=82,IF(Inputs!$B$39="pvp",20,(1-Summary!$B$11)*(20)+Summary!$B$11*(0)),0)*IF(AND(Inputs!$B$39&lt;&gt;"pvp",Inputs!$B$44&gt;0),(((R506-1)*MIN((Skills!T13*(1+Inputs!$B$35/100)),(1/Q506))+MIN((Skills!T13*(1+Inputs!$B$35/100)),MAX(0,Inputs!$B$44-((R506-1)*(1/Q506)))))/Inputs!$B$44),IF(Inputs!$B$39="pvp",MIN((Skills!T13*(1+Inputs!$B$35/100)),15)/15,MIN(1,(Skills!T13*(1+Inputs!$B$35/100))/(1/Q506)))))+(IF(AND(ArtifactsInput!$M$35,Inputs!$B$4&lt;&gt;"Chapter Hunt"),CHOOSE(ArtifactsInput!$N$35+1,15,18,21,24,27,30)*(1-EXP(-(0.2*B524)*5)),0)+IF(AND(ArtifactsInput!$M$22,Inputs!$B$4&lt;&gt;"Chapter Hunt"),CHOOSE(ArtifactsInput!$N$22+1,10,12,14,16,18,20)*((0*(((0.15*B524*5))^0/1)+1*(((0.15*B524*5))^1/1)+2*(((0.15*B524*5))^2/2)+3*(((0.15*B524*5))^3/6)+4*(((0.15*B524*5))^4/24)+5*(((0.15*B524*5))^5/120))/((((0.15*B524*5))^0/1)+(((0.15*B524*5))^1/1)+(((0.15*B524*5))^2/2)+(((0.15*B524*5))^3/6)+(((0.15*B524*5))^4/24)+(((0.15*B524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498*(1-MIN(100,(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498*(MIN(100,(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498*(1-MIN(100,(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498*(MIN(100,(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98">
        <f>IF(C498,(H498*N498*IF(AND(Inputs!$B$39&lt;&gt;"pvp",Inputs!$B$44&gt;0),((Skills!G5*((R498-1)*IF(Skills!H5&gt;0,INT(Skills!I5/Skills!H5+0.000000001),1)+IF(Skills!H5&gt;0,INT(MIN(Skills!I5,MAX(0,MAX(0,Inputs!$B$44-B529)-((R498-1)*IF(Inputs!$B$39="pvp",15,MAX(0.1,Skills!D5-IF(TRUE=TRUE,Inputs!$B$33,0))))))/Skills!H5+0.000000001),1)))/Inputs!$B$44),G498*Q498))*IF(Inputs!$B$39="pvp",1,(1+(Inputs!$B$22+Skills!Q5+((C510=TRUE)*F510*IF(AND(Inputs!$B$39&lt;&gt;"pvp",Inputs!$B$44&gt;0),(((R510-1)*MIN((Skills!T17*(1+Inputs!$B$35/100)),(1/Q510))+MIN((Skills!T17*(1+Inputs!$B$35/100)),MAX(0,Inputs!$B$44-((R510-1)*(1/Q510)))))/Inputs!$B$44),IF(Inputs!$B$39="pvp",MIN((Skills!T17*(1+Inputs!$B$35/100)),15)/15,MIN(1,(Skills!T17*(1+Inputs!$B$35/100))/(1/Q510)))))+((C498=TRUE)*IF(Inputs!$B$3&gt;=126,10*MIN(1,15*Q498),0))+((C507=TRUE)*IF(Inputs!$B$39="pvp",20,(1-Summary!$B$11)*(20)+Summary!$B$11*(0))*IF(AND(Inputs!$B$39&lt;&gt;"pvp",Inputs!$B$44&gt;0),(((R507-1)*MIN((Skills!T14*(1+Inputs!$B$35/100)),(1/Q507))+MIN((Skills!T14*(1+Inputs!$B$35/100)),MAX(0,Inputs!$B$44-((R507-1)*(1/Q507)))))/Inputs!$B$44),IF(Inputs!$B$39="pvp",MIN((Skills!T14*(1+Inputs!$B$35/100)),15)/15,MIN(1,(Skills!T14*(1+Inputs!$B$35/100))/(1/Q507)))))+((C506=TRUE)*IF(Inputs!$B$3&gt;=82,IF(Inputs!$B$39="pvp",20,(1-Summary!$B$11)*(20)+Summary!$B$11*(0)),0)*IF(AND(Inputs!$B$39&lt;&gt;"pvp",Inputs!$B$44&gt;0),(((R506-1)*MIN((Skills!T13*(1+Inputs!$B$35/100)),(1/Q506))+MIN((Skills!T13*(1+Inputs!$B$35/100)),MAX(0,Inputs!$B$44-((R506-1)*(1/Q506)))))/Inputs!$B$44),IF(Inputs!$B$39="pvp",MIN((Skills!T13*(1+Inputs!$B$35/100)),15)/15,MIN(1,(Skills!T13*(1+Inputs!$B$35/100))/(1/Q506)))))+(IF(AND(ArtifactsInput!$M$35,Inputs!$B$4&lt;&gt;"Chapter Hunt"),CHOOSE(ArtifactsInput!$N$35+1,15,18,21,24,27,30)*(1-EXP(-(0.2*B524)*5)),0)+IF(AND(ArtifactsInput!$M$22,Inputs!$B$4&lt;&gt;"Chapter Hunt"),CHOOSE(ArtifactsInput!$N$22+1,10,12,14,16,18,20)*((0*(((0.15*B524*5))^0/1)+1*(((0.15*B524*5))^1/1)+2*(((0.15*B524*5))^2/2)+3*(((0.15*B524*5))^3/6)+4*(((0.15*B524*5))^4/24)+5*(((0.15*B524*5))^5/120))/((((0.15*B524*5))^0/1)+(((0.15*B524*5))^1/1)+(((0.15*B524*5))^2/2)+(((0.15*B524*5))^3/6)+(((0.15*B524*5))^4/24)+(((0.15*B524*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99">
      <c r="A499">
        <f>Skills!A6</f>
        <v/>
      </c>
      <c r="B499">
        <f>Skills!B6</f>
        <v/>
      </c>
      <c r="C499">
        <f>Inputs!$B$3&gt;=103</f>
        <v/>
      </c>
      <c r="D499">
        <f>IF(Skills!C6=1,60+Inputs!$B$26+Inputs!$B$30,IF(Skills!C6=2,90+Inputs!$B$27+Inputs!$B$30,IF(Skills!C6=3,120+Inputs!$B$28+Inputs!$B$30,MAX(0,(Inputs!$B$3-100)*3)+Inputs!$B$29+Inputs!$B$30)))</f>
        <v/>
      </c>
      <c r="E499">
        <f>INDEX(FactorTable!$B$2:$Y$301, MATCH(ROUND(MIN(300,MAX(1,D499)),0), FactorTable!$A$2:$A$301,0), Skills!M6+1)</f>
        <v/>
      </c>
      <c r="F499">
        <f>IF(Skills!N6=TRUE,(Skills!L6/10)*(E499/1000),Skills!L6/10)+Skills!O6</f>
        <v/>
      </c>
      <c r="G499">
        <f>Skills!G6*IF(Skills!H6&gt;0,INT(IF(Inputs!$B$39="pvp",MIN(Skills!I6,15),Skills!I6)/Skills!H6+0.000000001),1)</f>
        <v/>
      </c>
      <c r="H499">
        <f>1-(1-Skills!J6/100)^Skills!K6</f>
        <v/>
      </c>
      <c r="I499" t="inlineStr">
        <is>
          <t>1</t>
        </is>
      </c>
      <c r="J499">
        <f>((Inputs!$B$6*(1+Inputs!$B$7/100))+(((Inputs!$B$13*(1+Inputs!$B$14/100))-(Inputs!$B$13*(1+Inputs!$B$14/100)))+0.25*(Inputs!$B$15-Inputs!$B$15))*(1+Inputs!$B$7/100))*(F499/100)</f>
        <v/>
      </c>
      <c r="K499">
        <f>J499*(1+(((Inputs!$B$13+IF(Inputs!$B$3&gt;=38,(10*INDEX(FactorTable!$B$2:$Y$301, MATCH(ROUND(MIN(300,MAX(1,Inputs!$B$3)),0), FactorTable!$A$2:$A$301,0), 23)/1000)/100*(Inputs!$B$8*(1+Inputs!$B$9/100)),0))*(1+Inputs!$B$14/100))*0.01+Inputs!$B$15*0.0025)/100)*(1+Inputs!$B$16/100)*(1+Inputs!$B$17/100)*(5000/(6000+Inputs!$B$43*(1-(Inputs!$B$20+0)/100)))*(1+(Inputs!$B$25+((C518=TRUE)*(F518-Calc!F25))+((C519=TRUE)*(F519-Calc!F26))+B528)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gt;=100),MIN(100,((Inputs!$B$10+0+B522+(ArtifactsInput!$M$24-ArtifactsInput!$M$24)*CHOOSE(ArtifactsInput!$N$24+1,10,12,14,16,18,20)+IF(ArtifactsInput!$M$10,CHOOSE(ArtifactsInput!$N$10+1,15,18,21,24,27,30)*(IF(Inputs!$B$39="pvp",MIN(15,15)/15,IF(AND(Inputs!$B$39&lt;&gt;"pvp",Inputs!$B$44&gt;0),MIN(15,Inputs!$B$44)/(Inputs!$B$44),0))),0)))-100),0))*CHOOSE(ArtifactsInput!$N$42+1,0.6,0.72,0.84,0.96,1.08,1.2))),Inputs!$B$19+((C516=TRUE)*(F516-Calc!F23))+(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gt;=100),CHOOSE(ArtifactsInput!$N$42+1,40,48,56,64,72,80),0))))/100)*((1+(((C506=TRUE)*F506*IF(AND(Inputs!$B$39&lt;&gt;"pvp",Inputs!$B$44&gt;0),(((R506-1)*MIN((Skills!T13*(1+Inputs!$B$35/100)),(1/Q506))+MIN((Skills!T13*(1+Inputs!$B$35/100)),MAX(0,Inputs!$B$44-((R506-1)*(1/Q506)))))/Inputs!$B$44),IF(Inputs!$B$39="pvp",MIN((Skills!T13*(1+Inputs!$B$35/100)),15)/15,MIN(1,(Skills!T13*(1+Inputs!$B$35/100))/(1/Q506)))))+((C507=TRUE)*F507*IF(AND(Inputs!$B$39&lt;&gt;"pvp",Inputs!$B$44&gt;0),(((R507-1)*MIN((Skills!T14*(1+Inputs!$B$35/100)),(1/Q507))+MIN((Skills!T14*(1+Inputs!$B$35/100)),MAX(0,Inputs!$B$44-((R507-1)*(1/Q507)))))/Inputs!$B$44),IF(Inputs!$B$39="pvp",MIN((Skills!T14*(1+Inputs!$B$35/100)),15)/15,MIN(1,(Skills!T14*(1+Inputs!$B$35/100))/(1/Q507)))))+((C508=TRUE)*F508*IF(AND(Inputs!$B$39&lt;&gt;"pvp",Inputs!$B$44&gt;0),(((R508-1)*MIN((Skills!T15*(1+Inputs!$B$35/100)),(1/Q508))+MIN((Skills!T15*(1+Inputs!$B$35/100)),MAX(0,Inputs!$B$44-((R508-1)*(1/Q508)))))/Inputs!$B$44),IF(Inputs!$B$39="pvp",MIN((Skills!T15*(1+Inputs!$B$35/100)),15)/15,MIN(1,(Skills!T15*(1+Inputs!$B$35/100))/(1/Q508)))))+((C509=TRUE)*F509*IF(AND(Inputs!$B$39&lt;&gt;"pvp",Inputs!$B$44&gt;0),(((R509-1)*MIN((Skills!T16*(1+Inputs!$B$35/100)),(1/Q509))+MIN((Skills!T16*(1+Inputs!$B$35/100)),MAX(0,Inputs!$B$44-((R509-1)*(1/Q509)))))/Inputs!$B$44),IF(Inputs!$B$39="pvp",MIN((Skills!T16*(1+Inputs!$B$35/100)),15)/15,MIN(1,(Skills!T16*(1+Inputs!$B$35/100))/(1/Q509)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499)</f>
        <v/>
      </c>
      <c r="L499">
        <f>K499*(MIN((Inputs!$B$23+1)+((C515=TRUE)*(F515-Calc!F22)),(Inputs!$B$24+((C517=TRUE)*(F517-Calc!F24))+(IF(ArtifactsInput!$M$15,CHOOSE(ArtifactsInput!$N$15+1,25,30,35,40,45,50)/100*(Inputs!$B$12-Inputs!$B$12),0))))/100+(Inputs!$B$24+((C517=TRUE)*(F517-Calc!F24))+(IF(ArtifactsInput!$M$15,CHOOSE(ArtifactsInput!$N$15+1,25,30,35,40,45,50)/100*(Inputs!$B$12-Inputs!$B$12),0)))/100)/2</f>
        <v/>
      </c>
      <c r="M499">
        <f>L499*(1+(Inputs!$B$11+0+B527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499">
        <f>L499*(1-MIN((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499*(MIN((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99">
        <f>(1-Summary!$B$11)*T499+Summary!$B$11*V499</f>
        <v/>
      </c>
      <c r="P499">
        <f>IF(B532=0,0,O499/B532)</f>
        <v/>
      </c>
      <c r="Q499">
        <f>IFERROR(1/IF(Inputs!$B$39="pvp",15,MAX(0.1,Skills!D6-IF(TRUE=TRUE,Inputs!$B$33,0))),0)</f>
        <v/>
      </c>
      <c r="R499">
        <f>IF(AND(Inputs!$B$39&lt;&gt;"pvp",Inputs!$B$44&gt;0),IF(MAX(0,Inputs!$B$44-B529)&lt;=0,0,(INT(MAX(0,Inputs!$B$44-B529)/IF(Inputs!$B$39="pvp",15,MAX(0.1,Skills!D6-IF(TRUE=TRUE,Inputs!$B$33,0))))+1)),0)</f>
        <v/>
      </c>
      <c r="S499">
        <f>IFERROR(O499/N499,0)</f>
        <v/>
      </c>
      <c r="T499">
        <f>IF(C499,(H499*N499*IF(AND(Inputs!$B$39&lt;&gt;"pvp",Inputs!$B$44&gt;0),((Skills!G6*((R499-1)*IF(Skills!H6&gt;0,INT(Skills!I6/Skills!H6+0.000000001),1)+IF(Skills!H6&gt;0,INT(MIN(Skills!I6,MAX(0,MAX(0,Inputs!$B$44-B529)-((R499-1)*IF(Inputs!$B$39="pvp",15,MAX(0.1,Skills!D6-IF(TRUE=TRUE,Inputs!$B$33,0))))))/Skills!H6+0.000000001),1)))/Inputs!$B$44),G499*Q499))*IF(Inputs!$B$39="pvp",1,1+(Inputs!$B$21+0+Skills!P6+((C510=TRUE)*F510*IF(AND(Inputs!$B$39&lt;&gt;"pvp",Inputs!$B$44&gt;0),(((R510-1)*MIN((Skills!T17*(1+Inputs!$B$35/100)),(1/Q510))+MIN((Skills!T17*(1+Inputs!$B$35/100)),MAX(0,Inputs!$B$44-((R510-1)*(1/Q510)))))/Inputs!$B$44),IF(Inputs!$B$39="pvp",MIN((Skills!T17*(1+Inputs!$B$35/100)),15)/15,MIN(1,(Skills!T17*(1+Inputs!$B$35/100))/(1/Q510)))))+((C498=TRUE)*IF(Inputs!$B$3&gt;=126,10*MIN(1,15*Q498),0))+((C507=TRUE)*IF(Inputs!$B$39="pvp",20,(1-Summary!$B$11)*(20)+Summary!$B$11*(0))*IF(AND(Inputs!$B$39&lt;&gt;"pvp",Inputs!$B$44&gt;0),(((R507-1)*MIN((Skills!T14*(1+Inputs!$B$35/100)),(1/Q507))+MIN((Skills!T14*(1+Inputs!$B$35/100)),MAX(0,Inputs!$B$44-((R507-1)*(1/Q507)))))/Inputs!$B$44),IF(Inputs!$B$39="pvp",MIN((Skills!T14*(1+Inputs!$B$35/100)),15)/15,MIN(1,(Skills!T14*(1+Inputs!$B$35/100))/(1/Q507)))))+((C506=TRUE)*IF(Inputs!$B$3&gt;=82,IF(Inputs!$B$39="pvp",20,(1-Summary!$B$11)*(20)+Summary!$B$11*(0)),0)*IF(AND(Inputs!$B$39&lt;&gt;"pvp",Inputs!$B$44&gt;0),(((R506-1)*MIN((Skills!T13*(1+Inputs!$B$35/100)),(1/Q506))+MIN((Skills!T13*(1+Inputs!$B$35/100)),MAX(0,Inputs!$B$44-((R506-1)*(1/Q506)))))/Inputs!$B$44),IF(Inputs!$B$39="pvp",MIN((Skills!T13*(1+Inputs!$B$35/100)),15)/15,MIN(1,(Skills!T13*(1+Inputs!$B$35/100))/(1/Q506)))))+(IF(AND(ArtifactsInput!$M$35,Inputs!$B$4&lt;&gt;"Chapter Hunt"),CHOOSE(ArtifactsInput!$N$35+1,15,18,21,24,27,30)*(1-EXP(-(0.2*B524)*5)),0)+IF(AND(ArtifactsInput!$M$22,Inputs!$B$4&lt;&gt;"Chapter Hunt"),CHOOSE(ArtifactsInput!$N$22+1,10,12,14,16,18,20)*((0*(((0.15*B524*5))^0/1)+1*(((0.15*B524*5))^1/1)+2*(((0.15*B524*5))^2/2)+3*(((0.15*B524*5))^3/6)+4*(((0.15*B524*5))^4/24)+5*(((0.15*B524*5))^5/120))/((((0.15*B524*5))^0/1)+(((0.15*B524*5))^1/1)+(((0.15*B524*5))^2/2)+(((0.15*B524*5))^3/6)+(((0.15*B524*5))^4/24)+(((0.15*B524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499*(1-MIN(100,(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499*(MIN(100,(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499*(1-MIN(100,(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499*(MIN(100,(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499">
        <f>IF(C499,(H499*N499*IF(AND(Inputs!$B$39&lt;&gt;"pvp",Inputs!$B$44&gt;0),((Skills!G6*((R499-1)*IF(Skills!H6&gt;0,INT(Skills!I6/Skills!H6+0.000000001),1)+IF(Skills!H6&gt;0,INT(MIN(Skills!I6,MAX(0,MAX(0,Inputs!$B$44-B529)-((R499-1)*IF(Inputs!$B$39="pvp",15,MAX(0.1,Skills!D6-IF(TRUE=TRUE,Inputs!$B$33,0))))))/Skills!H6+0.000000001),1)))/Inputs!$B$44),G499*Q499))*IF(Inputs!$B$39="pvp",1,(1+(Inputs!$B$22+Skills!Q6+((C510=TRUE)*F510*IF(AND(Inputs!$B$39&lt;&gt;"pvp",Inputs!$B$44&gt;0),(((R510-1)*MIN((Skills!T17*(1+Inputs!$B$35/100)),(1/Q510))+MIN((Skills!T17*(1+Inputs!$B$35/100)),MAX(0,Inputs!$B$44-((R510-1)*(1/Q510)))))/Inputs!$B$44),IF(Inputs!$B$39="pvp",MIN((Skills!T17*(1+Inputs!$B$35/100)),15)/15,MIN(1,(Skills!T17*(1+Inputs!$B$35/100))/(1/Q510)))))+((C498=TRUE)*IF(Inputs!$B$3&gt;=126,10*MIN(1,15*Q498),0))+((C507=TRUE)*IF(Inputs!$B$39="pvp",20,(1-Summary!$B$11)*(20)+Summary!$B$11*(0))*IF(AND(Inputs!$B$39&lt;&gt;"pvp",Inputs!$B$44&gt;0),(((R507-1)*MIN((Skills!T14*(1+Inputs!$B$35/100)),(1/Q507))+MIN((Skills!T14*(1+Inputs!$B$35/100)),MAX(0,Inputs!$B$44-((R507-1)*(1/Q507)))))/Inputs!$B$44),IF(Inputs!$B$39="pvp",MIN((Skills!T14*(1+Inputs!$B$35/100)),15)/15,MIN(1,(Skills!T14*(1+Inputs!$B$35/100))/(1/Q507)))))+((C506=TRUE)*IF(Inputs!$B$3&gt;=82,IF(Inputs!$B$39="pvp",20,(1-Summary!$B$11)*(20)+Summary!$B$11*(0)),0)*IF(AND(Inputs!$B$39&lt;&gt;"pvp",Inputs!$B$44&gt;0),(((R506-1)*MIN((Skills!T13*(1+Inputs!$B$35/100)),(1/Q506))+MIN((Skills!T13*(1+Inputs!$B$35/100)),MAX(0,Inputs!$B$44-((R506-1)*(1/Q506)))))/Inputs!$B$44),IF(Inputs!$B$39="pvp",MIN((Skills!T13*(1+Inputs!$B$35/100)),15)/15,MIN(1,(Skills!T13*(1+Inputs!$B$35/100))/(1/Q506)))))+(IF(AND(ArtifactsInput!$M$35,Inputs!$B$4&lt;&gt;"Chapter Hunt"),CHOOSE(ArtifactsInput!$N$35+1,15,18,21,24,27,30)*(1-EXP(-(0.2*B524)*5)),0)+IF(AND(ArtifactsInput!$M$22,Inputs!$B$4&lt;&gt;"Chapter Hunt"),CHOOSE(ArtifactsInput!$N$22+1,10,12,14,16,18,20)*((0*(((0.15*B524*5))^0/1)+1*(((0.15*B524*5))^1/1)+2*(((0.15*B524*5))^2/2)+3*(((0.15*B524*5))^3/6)+4*(((0.15*B524*5))^4/24)+5*(((0.15*B524*5))^5/120))/((((0.15*B524*5))^0/1)+(((0.15*B524*5))^1/1)+(((0.15*B524*5))^2/2)+(((0.15*B524*5))^3/6)+(((0.15*B524*5))^4/24)+(((0.15*B524*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00">
      <c r="A500">
        <f>Skills!A7</f>
        <v/>
      </c>
      <c r="B500">
        <f>Skills!B7</f>
        <v/>
      </c>
      <c r="C500">
        <f>Inputs!$B$3&gt;=40</f>
        <v/>
      </c>
      <c r="D500">
        <f>IF(Skills!C7=1,60+Inputs!$B$26+Inputs!$B$30,IF(Skills!C7=2,90+Inputs!$B$27+Inputs!$B$30,IF(Skills!C7=3,120+Inputs!$B$28+Inputs!$B$30,MAX(0,(Inputs!$B$3-100)*3)+Inputs!$B$29+Inputs!$B$30)))</f>
        <v/>
      </c>
      <c r="E500">
        <f>INDEX(FactorTable!$B$2:$Y$301, MATCH(ROUND(MIN(300,MAX(1,D500)),0), FactorTable!$A$2:$A$301,0), Skills!M7+1)</f>
        <v/>
      </c>
      <c r="F500">
        <f>IF(Skills!N7=TRUE,(Skills!L7/10)*(E500/1000),Skills!L7/10)+Skills!O7</f>
        <v/>
      </c>
      <c r="G500">
        <f>Skills!G7*IF(Skills!H7&gt;0,INT(IF(Inputs!$B$39="pvp",MIN(Skills!I7,15),Skills!I7)/Skills!H7+0.000000001),1)</f>
        <v/>
      </c>
      <c r="H500">
        <f>1-(1-Skills!J7/100)^Skills!K7</f>
        <v/>
      </c>
      <c r="I500" t="inlineStr">
        <is>
          <t>1</t>
        </is>
      </c>
      <c r="J500">
        <f>((Inputs!$B$6*(1+Inputs!$B$7/100))+(((Inputs!$B$13*(1+Inputs!$B$14/100))-(Inputs!$B$13*(1+Inputs!$B$14/100)))+0.25*(Inputs!$B$15-Inputs!$B$15))*(1+Inputs!$B$7/100))*(F500/100)</f>
        <v/>
      </c>
      <c r="K500">
        <f>J500*(1+(((Inputs!$B$13+IF(Inputs!$B$3&gt;=38,(10*INDEX(FactorTable!$B$2:$Y$301, MATCH(ROUND(MIN(300,MAX(1,Inputs!$B$3)),0), FactorTable!$A$2:$A$301,0), 23)/1000)/100*(Inputs!$B$8*(1+Inputs!$B$9/100)),0))*(1+Inputs!$B$14/100))*0.01+Inputs!$B$15*0.0025)/100)*(1+Inputs!$B$16/100)*(1+Inputs!$B$17/100)*(5000/(6000+Inputs!$B$43*(1-(Inputs!$B$20+0)/100)))*(1+(Inputs!$B$25+((C518=TRUE)*(F518-Calc!F25))+((C519=TRUE)*(F519-Calc!F26))+B528)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504=TRUE,F504,0)/100)*(1+(IF(Skills!A7="DARK_IMPALE",Inputs!$B$18+0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gt;=100),MIN(100,((Inputs!$B$10+0+B522+(ArtifactsInput!$M$24-ArtifactsInput!$M$24)*CHOOSE(ArtifactsInput!$N$24+1,10,12,14,16,18,20)+IF(ArtifactsInput!$M$10,CHOOSE(ArtifactsInput!$N$10+1,15,18,21,24,27,30)*(IF(Inputs!$B$39="pvp",MIN(15,15)/15,IF(AND(Inputs!$B$39&lt;&gt;"pvp",Inputs!$B$44&gt;0),MIN(15,Inputs!$B$44)/(Inputs!$B$44),0))),0)))-100),0))*CHOOSE(ArtifactsInput!$N$42+1,0.6,0.72,0.84,0.96,1.08,1.2))),Inputs!$B$19+((C516=TRUE)*(F516-Calc!F23))+(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gt;=100),CHOOSE(ArtifactsInput!$N$42+1,40,48,56,64,72,80),0))))/100)*((1+(((C506=TRUE)*F506*IF(AND(Inputs!$B$39&lt;&gt;"pvp",Inputs!$B$44&gt;0),(((R506-1)*MIN((Skills!T13*(1+Inputs!$B$35/100)),(1/Q506))+MIN((Skills!T13*(1+Inputs!$B$35/100)),MAX(0,Inputs!$B$44-((R506-1)*(1/Q506)))))/Inputs!$B$44),IF(Inputs!$B$39="pvp",MIN((Skills!T13*(1+Inputs!$B$35/100)),15)/15,MIN(1,(Skills!T13*(1+Inputs!$B$35/100))/(1/Q506)))))+((C507=TRUE)*F507*IF(AND(Inputs!$B$39&lt;&gt;"pvp",Inputs!$B$44&gt;0),(((R507-1)*MIN((Skills!T14*(1+Inputs!$B$35/100)),(1/Q507))+MIN((Skills!T14*(1+Inputs!$B$35/100)),MAX(0,Inputs!$B$44-((R507-1)*(1/Q507)))))/Inputs!$B$44),IF(Inputs!$B$39="pvp",MIN((Skills!T14*(1+Inputs!$B$35/100)),15)/15,MIN(1,(Skills!T14*(1+Inputs!$B$35/100))/(1/Q507)))))+((C508=TRUE)*F508*IF(AND(Inputs!$B$39&lt;&gt;"pvp",Inputs!$B$44&gt;0),(((R508-1)*MIN((Skills!T15*(1+Inputs!$B$35/100)),(1/Q508))+MIN((Skills!T15*(1+Inputs!$B$35/100)),MAX(0,Inputs!$B$44-((R508-1)*(1/Q508)))))/Inputs!$B$44),IF(Inputs!$B$39="pvp",MIN((Skills!T15*(1+Inputs!$B$35/100)),15)/15,MIN(1,(Skills!T15*(1+Inputs!$B$35/100))/(1/Q508)))))+((C509=TRUE)*F509*IF(AND(Inputs!$B$39&lt;&gt;"pvp",Inputs!$B$44&gt;0),(((R509-1)*MIN((Skills!T16*(1+Inputs!$B$35/100)),(1/Q509))+MIN((Skills!T16*(1+Inputs!$B$35/100)),MAX(0,Inputs!$B$44-((R509-1)*(1/Q509)))))/Inputs!$B$44),IF(Inputs!$B$39="pvp",MIN((Skills!T16*(1+Inputs!$B$35/100)),15)/15,MIN(1,(Skills!T16*(1+Inputs!$B$35/100))/(1/Q509)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500)</f>
        <v/>
      </c>
      <c r="L500">
        <f>K500*(MIN((Inputs!$B$23+1)+((C515=TRUE)*(F515-Calc!F22)),(Inputs!$B$24+((C517=TRUE)*(F517-Calc!F24))+(IF(ArtifactsInput!$M$15,CHOOSE(ArtifactsInput!$N$15+1,25,30,35,40,45,50)/100*(Inputs!$B$12-Inputs!$B$12),0))))/100+(Inputs!$B$24+((C517=TRUE)*(F517-Calc!F24))+(IF(ArtifactsInput!$M$15,CHOOSE(ArtifactsInput!$N$15+1,25,30,35,40,45,50)/100*(Inputs!$B$12-Inputs!$B$12),0)))/100)/2</f>
        <v/>
      </c>
      <c r="M500">
        <f>L500*(1+(Inputs!$B$11+0+B527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500">
        <f>L500*(1-MIN((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500*(MIN((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00">
        <f>(1-Summary!$B$11)*T500+Summary!$B$11*V500</f>
        <v/>
      </c>
      <c r="P500">
        <f>IF(B532=0,0,O500/B532)</f>
        <v/>
      </c>
      <c r="Q500">
        <f>IFERROR(1/IF(Inputs!$B$39="pvp",15,MAX(0.1,Skills!D7-IF(TRUE=TRUE,Inputs!$B$33,0))),0)</f>
        <v/>
      </c>
      <c r="R500">
        <f>IF(AND(Inputs!$B$39&lt;&gt;"pvp",Inputs!$B$44&gt;0),IF(MAX(0,Inputs!$B$44-B529)&lt;=0,0,(INT(MAX(0,Inputs!$B$44-B529)/IF(Inputs!$B$39="pvp",15,MAX(0.1,Skills!D7-IF(TRUE=TRUE,Inputs!$B$33,0))))+1)),0)</f>
        <v/>
      </c>
      <c r="S500">
        <f>IFERROR(O500/N500,0)</f>
        <v/>
      </c>
      <c r="T500">
        <f>IF(C500,(H500*N500*IF(AND(Inputs!$B$39&lt;&gt;"pvp",Inputs!$B$44&gt;0),((Skills!G7*((R500-1)*IF(Skills!H7&gt;0,INT(Skills!I7/Skills!H7+0.000000001),1)+IF(Skills!H7&gt;0,INT(MIN(Skills!I7,MAX(0,MAX(0,Inputs!$B$44-B529)-((R500-1)*IF(Inputs!$B$39="pvp",15,MAX(0.1,Skills!D7-IF(TRUE=TRUE,Inputs!$B$33,0))))))/Skills!H7+0.000000001),1)))/Inputs!$B$44),G500*Q500))*IF(Inputs!$B$39="pvp",1,1+(Inputs!$B$21+0+Skills!P7+((C510=TRUE)*F510*IF(AND(Inputs!$B$39&lt;&gt;"pvp",Inputs!$B$44&gt;0),(((R510-1)*MIN((Skills!T17*(1+Inputs!$B$35/100)),(1/Q510))+MIN((Skills!T17*(1+Inputs!$B$35/100)),MAX(0,Inputs!$B$44-((R510-1)*(1/Q510)))))/Inputs!$B$44),IF(Inputs!$B$39="pvp",MIN((Skills!T17*(1+Inputs!$B$35/100)),15)/15,MIN(1,(Skills!T17*(1+Inputs!$B$35/100))/(1/Q510)))))+((C498=TRUE)*IF(Inputs!$B$3&gt;=126,10*MIN(1,15*Q498),0))+((C507=TRUE)*IF(Inputs!$B$39="pvp",20,(1-Summary!$B$11)*(20)+Summary!$B$11*(0))*IF(AND(Inputs!$B$39&lt;&gt;"pvp",Inputs!$B$44&gt;0),(((R507-1)*MIN((Skills!T14*(1+Inputs!$B$35/100)),(1/Q507))+MIN((Skills!T14*(1+Inputs!$B$35/100)),MAX(0,Inputs!$B$44-((R507-1)*(1/Q507)))))/Inputs!$B$44),IF(Inputs!$B$39="pvp",MIN((Skills!T14*(1+Inputs!$B$35/100)),15)/15,MIN(1,(Skills!T14*(1+Inputs!$B$35/100))/(1/Q507)))))+((C506=TRUE)*IF(Inputs!$B$3&gt;=82,IF(Inputs!$B$39="pvp",20,(1-Summary!$B$11)*(20)+Summary!$B$11*(0)),0)*IF(AND(Inputs!$B$39&lt;&gt;"pvp",Inputs!$B$44&gt;0),(((R506-1)*MIN((Skills!T13*(1+Inputs!$B$35/100)),(1/Q506))+MIN((Skills!T13*(1+Inputs!$B$35/100)),MAX(0,Inputs!$B$44-((R506-1)*(1/Q506)))))/Inputs!$B$44),IF(Inputs!$B$39="pvp",MIN((Skills!T13*(1+Inputs!$B$35/100)),15)/15,MIN(1,(Skills!T13*(1+Inputs!$B$35/100))/(1/Q506)))))+(IF(AND(ArtifactsInput!$M$35,Inputs!$B$4&lt;&gt;"Chapter Hunt"),CHOOSE(ArtifactsInput!$N$35+1,15,18,21,24,27,30)*(1-EXP(-(0.2*B524)*5)),0)+IF(AND(ArtifactsInput!$M$22,Inputs!$B$4&lt;&gt;"Chapter Hunt"),CHOOSE(ArtifactsInput!$N$22+1,10,12,14,16,18,20)*((0*(((0.15*B524*5))^0/1)+1*(((0.15*B524*5))^1/1)+2*(((0.15*B524*5))^2/2)+3*(((0.15*B524*5))^3/6)+4*(((0.15*B524*5))^4/24)+5*(((0.15*B524*5))^5/120))/((((0.15*B524*5))^0/1)+(((0.15*B524*5))^1/1)+(((0.15*B524*5))^2/2)+(((0.15*B524*5))^3/6)+(((0.15*B524*5))^4/24)+(((0.15*B524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500*(1-MIN(100,(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500*(MIN(100,(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500*(1-MIN(100,(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500*(MIN(100,(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00">
        <f>IF(C500,(H500*N500*IF(AND(Inputs!$B$39&lt;&gt;"pvp",Inputs!$B$44&gt;0),((Skills!G7*((R500-1)*IF(Skills!H7&gt;0,INT(Skills!I7/Skills!H7+0.000000001),1)+IF(Skills!H7&gt;0,INT(MIN(Skills!I7,MAX(0,MAX(0,Inputs!$B$44-B529)-((R500-1)*IF(Inputs!$B$39="pvp",15,MAX(0.1,Skills!D7-IF(TRUE=TRUE,Inputs!$B$33,0))))))/Skills!H7+0.000000001),1)))/Inputs!$B$44),G500*Q500))*IF(Inputs!$B$39="pvp",1,(1+(Inputs!$B$22+Skills!Q7+((C510=TRUE)*F510*IF(AND(Inputs!$B$39&lt;&gt;"pvp",Inputs!$B$44&gt;0),(((R510-1)*MIN((Skills!T17*(1+Inputs!$B$35/100)),(1/Q510))+MIN((Skills!T17*(1+Inputs!$B$35/100)),MAX(0,Inputs!$B$44-((R510-1)*(1/Q510)))))/Inputs!$B$44),IF(Inputs!$B$39="pvp",MIN((Skills!T17*(1+Inputs!$B$35/100)),15)/15,MIN(1,(Skills!T17*(1+Inputs!$B$35/100))/(1/Q510)))))+((C498=TRUE)*IF(Inputs!$B$3&gt;=126,10*MIN(1,15*Q498),0))+((C507=TRUE)*IF(Inputs!$B$39="pvp",20,(1-Summary!$B$11)*(20)+Summary!$B$11*(0))*IF(AND(Inputs!$B$39&lt;&gt;"pvp",Inputs!$B$44&gt;0),(((R507-1)*MIN((Skills!T14*(1+Inputs!$B$35/100)),(1/Q507))+MIN((Skills!T14*(1+Inputs!$B$35/100)),MAX(0,Inputs!$B$44-((R507-1)*(1/Q507)))))/Inputs!$B$44),IF(Inputs!$B$39="pvp",MIN((Skills!T14*(1+Inputs!$B$35/100)),15)/15,MIN(1,(Skills!T14*(1+Inputs!$B$35/100))/(1/Q507)))))+((C506=TRUE)*IF(Inputs!$B$3&gt;=82,IF(Inputs!$B$39="pvp",20,(1-Summary!$B$11)*(20)+Summary!$B$11*(0)),0)*IF(AND(Inputs!$B$39&lt;&gt;"pvp",Inputs!$B$44&gt;0),(((R506-1)*MIN((Skills!T13*(1+Inputs!$B$35/100)),(1/Q506))+MIN((Skills!T13*(1+Inputs!$B$35/100)),MAX(0,Inputs!$B$44-((R506-1)*(1/Q506)))))/Inputs!$B$44),IF(Inputs!$B$39="pvp",MIN((Skills!T13*(1+Inputs!$B$35/100)),15)/15,MIN(1,(Skills!T13*(1+Inputs!$B$35/100))/(1/Q506)))))+(IF(AND(ArtifactsInput!$M$35,Inputs!$B$4&lt;&gt;"Chapter Hunt"),CHOOSE(ArtifactsInput!$N$35+1,15,18,21,24,27,30)*(1-EXP(-(0.2*B524)*5)),0)+IF(AND(ArtifactsInput!$M$22,Inputs!$B$4&lt;&gt;"Chapter Hunt"),CHOOSE(ArtifactsInput!$N$22+1,10,12,14,16,18,20)*((0*(((0.15*B524*5))^0/1)+1*(((0.15*B524*5))^1/1)+2*(((0.15*B524*5))^2/2)+3*(((0.15*B524*5))^3/6)+4*(((0.15*B524*5))^4/24)+5*(((0.15*B524*5))^5/120))/((((0.15*B524*5))^0/1)+(((0.15*B524*5))^1/1)+(((0.15*B524*5))^2/2)+(((0.15*B524*5))^3/6)+(((0.15*B524*5))^4/24)+(((0.15*B524*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01">
      <c r="A501">
        <f>Skills!A8</f>
        <v/>
      </c>
      <c r="B501">
        <f>Skills!B8</f>
        <v/>
      </c>
      <c r="C501">
        <f>Inputs!$B$3&gt;=75</f>
        <v/>
      </c>
      <c r="D501">
        <f>IF(Skills!C8=1,60+Inputs!$B$26+Inputs!$B$30,IF(Skills!C8=2,90+Inputs!$B$27+Inputs!$B$30,IF(Skills!C8=3,120+Inputs!$B$28+Inputs!$B$30,MAX(0,(Inputs!$B$3-100)*3)+Inputs!$B$29+Inputs!$B$30)))</f>
        <v/>
      </c>
      <c r="E501">
        <f>INDEX(FactorTable!$B$2:$Y$301, MATCH(ROUND(MIN(300,MAX(1,D501)),0), FactorTable!$A$2:$A$301,0), Skills!M8+1)</f>
        <v/>
      </c>
      <c r="F501">
        <f>IF(Skills!N8=TRUE,(Skills!L8/10)*(E501/1000),Skills!L8/10)+Skills!O8</f>
        <v/>
      </c>
      <c r="G501" t="inlineStr"/>
      <c r="H501" t="inlineStr"/>
      <c r="I501" t="inlineStr">
        <is>
          <t>1</t>
        </is>
      </c>
      <c r="J501" t="inlineStr"/>
      <c r="K501" t="inlineStr"/>
      <c r="L501" t="inlineStr"/>
      <c r="M501" t="inlineStr"/>
      <c r="N501" t="inlineStr"/>
      <c r="O501" t="inlineStr"/>
      <c r="P501" t="inlineStr"/>
      <c r="Q501" t="inlineStr"/>
      <c r="R501" t="inlineStr"/>
      <c r="S501" t="inlineStr"/>
    </row>
    <row r="502">
      <c r="A502">
        <f>Skills!A9</f>
        <v/>
      </c>
      <c r="B502">
        <f>Skills!B9</f>
        <v/>
      </c>
      <c r="C502">
        <f>Inputs!$B$3&gt;=60</f>
        <v/>
      </c>
      <c r="D502">
        <f>IF(Skills!C9=1,60+Inputs!$B$26+Inputs!$B$30,IF(Skills!C9=2,90+Inputs!$B$27+Inputs!$B$30,IF(Skills!C9=3,120+Inputs!$B$28+Inputs!$B$30,MAX(0,(Inputs!$B$3-100)*3)+Inputs!$B$29+Inputs!$B$30)))</f>
        <v/>
      </c>
      <c r="E502">
        <f>INDEX(FactorTable!$B$2:$Y$301, MATCH(ROUND(MIN(300,MAX(1,D502)),0), FactorTable!$A$2:$A$301,0), Skills!M9+1)</f>
        <v/>
      </c>
      <c r="F502">
        <f>IF(Skills!N9=TRUE,(Skills!L9/10)*(E502/1000),Skills!L9/10)+Skills!O9</f>
        <v/>
      </c>
      <c r="G502">
        <f>Skills!G9*IF(Skills!H9&gt;0,INT(IF(Inputs!$B$39="pvp",MIN(Skills!I9,15),Skills!I9)/Skills!H9+0.000000001),1)</f>
        <v/>
      </c>
      <c r="H502">
        <f>1-(1-Skills!J9/100)^Skills!K9</f>
        <v/>
      </c>
      <c r="I502" t="inlineStr">
        <is>
          <t>1</t>
        </is>
      </c>
      <c r="J502">
        <f>((Inputs!$B$6*(1+Inputs!$B$7/100))+(((Inputs!$B$13*(1+Inputs!$B$14/100))-(Inputs!$B$13*(1+Inputs!$B$14/100)))+0.25*(Inputs!$B$15-Inputs!$B$15))*(1+Inputs!$B$7/100))*(F502/100)</f>
        <v/>
      </c>
      <c r="K502">
        <f>J502*(1+(((Inputs!$B$13+IF(Inputs!$B$3&gt;=38,(10*INDEX(FactorTable!$B$2:$Y$301, MATCH(ROUND(MIN(300,MAX(1,Inputs!$B$3)),0), FactorTable!$A$2:$A$301,0), 23)/1000)/100*(Inputs!$B$8*(1+Inputs!$B$9/100)),0))*(1+Inputs!$B$14/100))*0.01+Inputs!$B$15*0.0025)/100)*(1+Inputs!$B$16/100)*(1+Inputs!$B$17/100)*(5000/(6000+Inputs!$B$43*(1-(Inputs!$B$20+0)/100)))*(1+(Inputs!$B$25+((C518=TRUE)*(F518-Calc!F25))+((C519=TRUE)*(F519-Calc!F26))+B528)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504=TRUE,F504,0)/100)*(1+(IF(Skills!A9="DARK_IMPALE",Inputs!$B$18+0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gt;=100),MIN(100,((Inputs!$B$10+0+B522+(ArtifactsInput!$M$24-ArtifactsInput!$M$24)*CHOOSE(ArtifactsInput!$N$24+1,10,12,14,16,18,20)+IF(ArtifactsInput!$M$10,CHOOSE(ArtifactsInput!$N$10+1,15,18,21,24,27,30)*(IF(Inputs!$B$39="pvp",MIN(15,15)/15,IF(AND(Inputs!$B$39&lt;&gt;"pvp",Inputs!$B$44&gt;0),MIN(15,Inputs!$B$44)/(Inputs!$B$44),0))),0)))-100),0))*CHOOSE(ArtifactsInput!$N$42+1,0.6,0.72,0.84,0.96,1.08,1.2))),Inputs!$B$19+((C516=TRUE)*(F516-Calc!F23))+(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gt;=100),CHOOSE(ArtifactsInput!$N$42+1,40,48,56,64,72,80),0))))/100)*((1+(((C506=TRUE)*F506*IF(AND(Inputs!$B$39&lt;&gt;"pvp",Inputs!$B$44&gt;0),(((R506-1)*MIN((Skills!T13*(1+Inputs!$B$35/100)),(1/Q506))+MIN((Skills!T13*(1+Inputs!$B$35/100)),MAX(0,Inputs!$B$44-((R506-1)*(1/Q506)))))/Inputs!$B$44),IF(Inputs!$B$39="pvp",MIN((Skills!T13*(1+Inputs!$B$35/100)),15)/15,MIN(1,(Skills!T13*(1+Inputs!$B$35/100))/(1/Q506)))))+((C507=TRUE)*F507*IF(AND(Inputs!$B$39&lt;&gt;"pvp",Inputs!$B$44&gt;0),(((R507-1)*MIN((Skills!T14*(1+Inputs!$B$35/100)),(1/Q507))+MIN((Skills!T14*(1+Inputs!$B$35/100)),MAX(0,Inputs!$B$44-((R507-1)*(1/Q507)))))/Inputs!$B$44),IF(Inputs!$B$39="pvp",MIN((Skills!T14*(1+Inputs!$B$35/100)),15)/15,MIN(1,(Skills!T14*(1+Inputs!$B$35/100))/(1/Q507)))))+((C508=TRUE)*F508*IF(AND(Inputs!$B$39&lt;&gt;"pvp",Inputs!$B$44&gt;0),(((R508-1)*MIN((Skills!T15*(1+Inputs!$B$35/100)),(1/Q508))+MIN((Skills!T15*(1+Inputs!$B$35/100)),MAX(0,Inputs!$B$44-((R508-1)*(1/Q508)))))/Inputs!$B$44),IF(Inputs!$B$39="pvp",MIN((Skills!T15*(1+Inputs!$B$35/100)),15)/15,MIN(1,(Skills!T15*(1+Inputs!$B$35/100))/(1/Q508)))))+((C509=TRUE)*F509*IF(AND(Inputs!$B$39&lt;&gt;"pvp",Inputs!$B$44&gt;0),(((R509-1)*MIN((Skills!T16*(1+Inputs!$B$35/100)),(1/Q509))+MIN((Skills!T16*(1+Inputs!$B$35/100)),MAX(0,Inputs!$B$44-((R509-1)*(1/Q509)))))/Inputs!$B$44),IF(Inputs!$B$39="pvp",MIN((Skills!T16*(1+Inputs!$B$35/100)),15)/15,MIN(1,(Skills!T16*(1+Inputs!$B$35/100))/(1/Q509)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502)</f>
        <v/>
      </c>
      <c r="L502">
        <f>K502*(MIN((Inputs!$B$23+1)+((C515=TRUE)*(F515-Calc!F22)),(Inputs!$B$24+((C517=TRUE)*(F517-Calc!F24))+(IF(ArtifactsInput!$M$15,CHOOSE(ArtifactsInput!$N$15+1,25,30,35,40,45,50)/100*(Inputs!$B$12-Inputs!$B$12),0))))/100+(Inputs!$B$24+((C517=TRUE)*(F517-Calc!F24))+(IF(ArtifactsInput!$M$15,CHOOSE(ArtifactsInput!$N$15+1,25,30,35,40,45,50)/100*(Inputs!$B$12-Inputs!$B$12),0)))/100)/2</f>
        <v/>
      </c>
      <c r="M502">
        <f>L502*(1+(Inputs!$B$11+0+B527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502">
        <f>L502*(1-MIN((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502*(MIN((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02">
        <f>(1-Summary!$B$11)*T502+Summary!$B$11*V502</f>
        <v/>
      </c>
      <c r="P502">
        <f>IF(B532=0,0,O502/B532)</f>
        <v/>
      </c>
      <c r="Q502">
        <f>IFERROR(1/IF(Inputs!$B$39="pvp",15,MAX(0.1,Skills!D9-IF(TRUE=TRUE,Inputs!$B$33,0))),0)</f>
        <v/>
      </c>
      <c r="R502">
        <f>IF(AND(Inputs!$B$39&lt;&gt;"pvp",Inputs!$B$44&gt;0),IF(MAX(0,Inputs!$B$44-B529)&lt;=0,0,(INT(MAX(0,Inputs!$B$44-B529)/IF(Inputs!$B$39="pvp",15,MAX(0.1,Skills!D9-IF(TRUE=TRUE,Inputs!$B$33,0))))+1)),0)</f>
        <v/>
      </c>
      <c r="S502">
        <f>IFERROR(O502/N502,0)</f>
        <v/>
      </c>
      <c r="T502">
        <f>IF(C502,(H502*N502*IF(AND(Inputs!$B$39&lt;&gt;"pvp",Inputs!$B$44&gt;0),((Skills!G9*((R502-1)*IF(Skills!H9&gt;0,INT(Skills!I9/Skills!H9+0.000000001),1)+IF(Skills!H9&gt;0,INT(MIN(Skills!I9,MAX(0,MAX(0,Inputs!$B$44-B529)-((R502-1)*IF(Inputs!$B$39="pvp",15,MAX(0.1,Skills!D9-IF(TRUE=TRUE,Inputs!$B$33,0))))))/Skills!H9+0.000000001),1)))/Inputs!$B$44),G502*Q502))*IF(Inputs!$B$39="pvp",1,1+(Inputs!$B$21+0+Skills!P9+((C510=TRUE)*F510*IF(AND(Inputs!$B$39&lt;&gt;"pvp",Inputs!$B$44&gt;0),(((R510-1)*MIN((Skills!T17*(1+Inputs!$B$35/100)),(1/Q510))+MIN((Skills!T17*(1+Inputs!$B$35/100)),MAX(0,Inputs!$B$44-((R510-1)*(1/Q510)))))/Inputs!$B$44),IF(Inputs!$B$39="pvp",MIN((Skills!T17*(1+Inputs!$B$35/100)),15)/15,MIN(1,(Skills!T17*(1+Inputs!$B$35/100))/(1/Q510)))))+((C498=TRUE)*IF(Inputs!$B$3&gt;=126,10*MIN(1,15*Q498),0))+((C507=TRUE)*IF(Inputs!$B$39="pvp",20,(1-Summary!$B$11)*(20)+Summary!$B$11*(0))*IF(AND(Inputs!$B$39&lt;&gt;"pvp",Inputs!$B$44&gt;0),(((R507-1)*MIN((Skills!T14*(1+Inputs!$B$35/100)),(1/Q507))+MIN((Skills!T14*(1+Inputs!$B$35/100)),MAX(0,Inputs!$B$44-((R507-1)*(1/Q507)))))/Inputs!$B$44),IF(Inputs!$B$39="pvp",MIN((Skills!T14*(1+Inputs!$B$35/100)),15)/15,MIN(1,(Skills!T14*(1+Inputs!$B$35/100))/(1/Q507)))))+((C506=TRUE)*IF(Inputs!$B$3&gt;=82,IF(Inputs!$B$39="pvp",20,(1-Summary!$B$11)*(20)+Summary!$B$11*(0)),0)*IF(AND(Inputs!$B$39&lt;&gt;"pvp",Inputs!$B$44&gt;0),(((R506-1)*MIN((Skills!T13*(1+Inputs!$B$35/100)),(1/Q506))+MIN((Skills!T13*(1+Inputs!$B$35/100)),MAX(0,Inputs!$B$44-((R506-1)*(1/Q506)))))/Inputs!$B$44),IF(Inputs!$B$39="pvp",MIN((Skills!T13*(1+Inputs!$B$35/100)),15)/15,MIN(1,(Skills!T13*(1+Inputs!$B$35/100))/(1/Q506)))))+(IF(AND(ArtifactsInput!$M$35,Inputs!$B$4&lt;&gt;"Chapter Hunt"),CHOOSE(ArtifactsInput!$N$35+1,15,18,21,24,27,30)*(1-EXP(-(0.2*B524)*5)),0)+IF(AND(ArtifactsInput!$M$22,Inputs!$B$4&lt;&gt;"Chapter Hunt"),CHOOSE(ArtifactsInput!$N$22+1,10,12,14,16,18,20)*((0*(((0.15*B524*5))^0/1)+1*(((0.15*B524*5))^1/1)+2*(((0.15*B524*5))^2/2)+3*(((0.15*B524*5))^3/6)+4*(((0.15*B524*5))^4/24)+5*(((0.15*B524*5))^5/120))/((((0.15*B524*5))^0/1)+(((0.15*B524*5))^1/1)+(((0.15*B524*5))^2/2)+(((0.15*B524*5))^3/6)+(((0.15*B524*5))^4/24)+(((0.15*B524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502*(1-MIN(100,(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502*(MIN(100,(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502*(1-MIN(100,(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502*(MIN(100,(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02">
        <f>IF(C502,(H502*N502*IF(AND(Inputs!$B$39&lt;&gt;"pvp",Inputs!$B$44&gt;0),((Skills!G9*((R502-1)*IF(Skills!H9&gt;0,INT(Skills!I9/Skills!H9+0.000000001),1)+IF(Skills!H9&gt;0,INT(MIN(Skills!I9,MAX(0,MAX(0,Inputs!$B$44-B529)-((R502-1)*IF(Inputs!$B$39="pvp",15,MAX(0.1,Skills!D9-IF(TRUE=TRUE,Inputs!$B$33,0))))))/Skills!H9+0.000000001),1)))/Inputs!$B$44),G502*Q502))*IF(Inputs!$B$39="pvp",1,(1+(Inputs!$B$22+Skills!Q9+((C510=TRUE)*F510*IF(AND(Inputs!$B$39&lt;&gt;"pvp",Inputs!$B$44&gt;0),(((R510-1)*MIN((Skills!T17*(1+Inputs!$B$35/100)),(1/Q510))+MIN((Skills!T17*(1+Inputs!$B$35/100)),MAX(0,Inputs!$B$44-((R510-1)*(1/Q510)))))/Inputs!$B$44),IF(Inputs!$B$39="pvp",MIN((Skills!T17*(1+Inputs!$B$35/100)),15)/15,MIN(1,(Skills!T17*(1+Inputs!$B$35/100))/(1/Q510)))))+((C498=TRUE)*IF(Inputs!$B$3&gt;=126,10*MIN(1,15*Q498),0))+((C507=TRUE)*IF(Inputs!$B$39="pvp",20,(1-Summary!$B$11)*(20)+Summary!$B$11*(0))*IF(AND(Inputs!$B$39&lt;&gt;"pvp",Inputs!$B$44&gt;0),(((R507-1)*MIN((Skills!T14*(1+Inputs!$B$35/100)),(1/Q507))+MIN((Skills!T14*(1+Inputs!$B$35/100)),MAX(0,Inputs!$B$44-((R507-1)*(1/Q507)))))/Inputs!$B$44),IF(Inputs!$B$39="pvp",MIN((Skills!T14*(1+Inputs!$B$35/100)),15)/15,MIN(1,(Skills!T14*(1+Inputs!$B$35/100))/(1/Q507)))))+((C506=TRUE)*IF(Inputs!$B$3&gt;=82,IF(Inputs!$B$39="pvp",20,(1-Summary!$B$11)*(20)+Summary!$B$11*(0)),0)*IF(AND(Inputs!$B$39&lt;&gt;"pvp",Inputs!$B$44&gt;0),(((R506-1)*MIN((Skills!T13*(1+Inputs!$B$35/100)),(1/Q506))+MIN((Skills!T13*(1+Inputs!$B$35/100)),MAX(0,Inputs!$B$44-((R506-1)*(1/Q506)))))/Inputs!$B$44),IF(Inputs!$B$39="pvp",MIN((Skills!T13*(1+Inputs!$B$35/100)),15)/15,MIN(1,(Skills!T13*(1+Inputs!$B$35/100))/(1/Q506)))))+(IF(AND(ArtifactsInput!$M$35,Inputs!$B$4&lt;&gt;"Chapter Hunt"),CHOOSE(ArtifactsInput!$N$35+1,15,18,21,24,27,30)*(1-EXP(-(0.2*B524)*5)),0)+IF(AND(ArtifactsInput!$M$22,Inputs!$B$4&lt;&gt;"Chapter Hunt"),CHOOSE(ArtifactsInput!$N$22+1,10,12,14,16,18,20)*((0*(((0.15*B524*5))^0/1)+1*(((0.15*B524*5))^1/1)+2*(((0.15*B524*5))^2/2)+3*(((0.15*B524*5))^3/6)+4*(((0.15*B524*5))^4/24)+5*(((0.15*B524*5))^5/120))/((((0.15*B524*5))^0/1)+(((0.15*B524*5))^1/1)+(((0.15*B524*5))^2/2)+(((0.15*B524*5))^3/6)+(((0.15*B524*5))^4/24)+(((0.15*B524*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03">
      <c r="A503">
        <f>Skills!A10</f>
        <v/>
      </c>
      <c r="B503">
        <f>Skills!B10</f>
        <v/>
      </c>
      <c r="C503">
        <f>Inputs!$B$3&gt;=110</f>
        <v/>
      </c>
      <c r="D503">
        <f>IF(Skills!C10=1,60+Inputs!$B$26+Inputs!$B$30,IF(Skills!C10=2,90+Inputs!$B$27+Inputs!$B$30,IF(Skills!C10=3,120+Inputs!$B$28+Inputs!$B$30,MAX(0,(Inputs!$B$3-100)*3)+Inputs!$B$29+Inputs!$B$30)))</f>
        <v/>
      </c>
      <c r="E503">
        <f>INDEX(FactorTable!$B$2:$Y$301, MATCH(ROUND(MIN(300,MAX(1,D503)),0), FactorTable!$A$2:$A$301,0), Skills!M10+1)</f>
        <v/>
      </c>
      <c r="F503">
        <f>IF(Skills!N10=TRUE,(Skills!L10/10)*(E503/1000),Skills!L10/10)+Skills!O10</f>
        <v/>
      </c>
      <c r="G503">
        <f>Skills!G10*IF(Skills!H10&gt;0,INT(IF(Inputs!$B$39="pvp",MIN(Skills!I10,15),Skills!I10)/Skills!H10+0.000000001),1)</f>
        <v/>
      </c>
      <c r="H503">
        <f>1-(1-Skills!J10/100)^Skills!K10</f>
        <v/>
      </c>
      <c r="I503" t="inlineStr">
        <is>
          <t>1</t>
        </is>
      </c>
      <c r="J503">
        <f>((Inputs!$B$6*(1+Inputs!$B$7/100))+(((Inputs!$B$13*(1+Inputs!$B$14/100))-(Inputs!$B$13*(1+Inputs!$B$14/100)))+0.25*(Inputs!$B$15-Inputs!$B$15))*(1+Inputs!$B$7/100))*(F503/100)</f>
        <v/>
      </c>
      <c r="K503">
        <f>J503*(1+(((Inputs!$B$13+IF(Inputs!$B$3&gt;=38,(10*INDEX(FactorTable!$B$2:$Y$301, MATCH(ROUND(MIN(300,MAX(1,Inputs!$B$3)),0), FactorTable!$A$2:$A$301,0), 23)/1000)/100*(Inputs!$B$8*(1+Inputs!$B$9/100)),0))*(1+Inputs!$B$14/100))*0.01+Inputs!$B$15*0.0025)/100)*(1+Inputs!$B$16/100)*(1+Inputs!$B$17/100)*(5000/(6000+Inputs!$B$43*(1-(Inputs!$B$20+0)/100)))*(1+(Inputs!$B$25+((C518=TRUE)*(F518-Calc!F25))+((C519=TRUE)*(F519-Calc!F26))+B528)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gt;=100),MIN(100,((Inputs!$B$10+0+B522+(ArtifactsInput!$M$24-ArtifactsInput!$M$24)*CHOOSE(ArtifactsInput!$N$24+1,10,12,14,16,18,20)+IF(ArtifactsInput!$M$10,CHOOSE(ArtifactsInput!$N$10+1,15,18,21,24,27,30)*(IF(Inputs!$B$39="pvp",MIN(15,15)/15,IF(AND(Inputs!$B$39&lt;&gt;"pvp",Inputs!$B$44&gt;0),MIN(15,Inputs!$B$44)/(Inputs!$B$44),0))),0)))-100),0))*CHOOSE(ArtifactsInput!$N$42+1,0.6,0.72,0.84,0.96,1.08,1.2))),Inputs!$B$19+((C516=TRUE)*(F516-Calc!F23))+(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gt;=100),CHOOSE(ArtifactsInput!$N$42+1,40,48,56,64,72,80),0))))/100)*((1+(((C506=TRUE)*F506*IF(AND(Inputs!$B$39&lt;&gt;"pvp",Inputs!$B$44&gt;0),(((R506-1)*MIN((Skills!T13*(1+Inputs!$B$35/100)),(1/Q506))+MIN((Skills!T13*(1+Inputs!$B$35/100)),MAX(0,Inputs!$B$44-((R506-1)*(1/Q506)))))/Inputs!$B$44),IF(Inputs!$B$39="pvp",MIN((Skills!T13*(1+Inputs!$B$35/100)),15)/15,MIN(1,(Skills!T13*(1+Inputs!$B$35/100))/(1/Q506)))))+((C507=TRUE)*F507*IF(AND(Inputs!$B$39&lt;&gt;"pvp",Inputs!$B$44&gt;0),(((R507-1)*MIN((Skills!T14*(1+Inputs!$B$35/100)),(1/Q507))+MIN((Skills!T14*(1+Inputs!$B$35/100)),MAX(0,Inputs!$B$44-((R507-1)*(1/Q507)))))/Inputs!$B$44),IF(Inputs!$B$39="pvp",MIN((Skills!T14*(1+Inputs!$B$35/100)),15)/15,MIN(1,(Skills!T14*(1+Inputs!$B$35/100))/(1/Q507)))))+((C508=TRUE)*F508*IF(AND(Inputs!$B$39&lt;&gt;"pvp",Inputs!$B$44&gt;0),(((R508-1)*MIN((Skills!T15*(1+Inputs!$B$35/100)),(1/Q508))+MIN((Skills!T15*(1+Inputs!$B$35/100)),MAX(0,Inputs!$B$44-((R508-1)*(1/Q508)))))/Inputs!$B$44),IF(Inputs!$B$39="pvp",MIN((Skills!T15*(1+Inputs!$B$35/100)),15)/15,MIN(1,(Skills!T15*(1+Inputs!$B$35/100))/(1/Q508)))))+((C509=TRUE)*F509*IF(AND(Inputs!$B$39&lt;&gt;"pvp",Inputs!$B$44&gt;0),(((R509-1)*MIN((Skills!T16*(1+Inputs!$B$35/100)),(1/Q509))+MIN((Skills!T16*(1+Inputs!$B$35/100)),MAX(0,Inputs!$B$44-((R509-1)*(1/Q509)))))/Inputs!$B$44),IF(Inputs!$B$39="pvp",MIN((Skills!T16*(1+Inputs!$B$35/100)),15)/15,MIN(1,(Skills!T16*(1+Inputs!$B$35/100))/(1/Q509)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503)</f>
        <v/>
      </c>
      <c r="L503">
        <f>K503*(MIN((Inputs!$B$23+1)+((C515=TRUE)*(F515-Calc!F22)),(Inputs!$B$24+((C517=TRUE)*(F517-Calc!F24))+(IF(ArtifactsInput!$M$15,CHOOSE(ArtifactsInput!$N$15+1,25,30,35,40,45,50)/100*(Inputs!$B$12-Inputs!$B$12),0))))/100+(Inputs!$B$24+((C517=TRUE)*(F517-Calc!F24))+(IF(ArtifactsInput!$M$15,CHOOSE(ArtifactsInput!$N$15+1,25,30,35,40,45,50)/100*(Inputs!$B$12-Inputs!$B$12),0)))/100)/2</f>
        <v/>
      </c>
      <c r="M503">
        <f>L503*(1+(Inputs!$B$11+0+B527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503">
        <f>L503*(1-MIN((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503*(MIN((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03">
        <f>(1-Summary!$B$11)*T503+Summary!$B$11*V503</f>
        <v/>
      </c>
      <c r="P503">
        <f>IF(B532=0,0,O503/B532)</f>
        <v/>
      </c>
      <c r="Q503">
        <f>IFERROR(1/IF(Inputs!$B$39="pvp",15,MAX(0.1,Skills!D10-IF(TRUE=TRUE,Inputs!$B$33,0))),0)</f>
        <v/>
      </c>
      <c r="R503">
        <f>IF(AND(Inputs!$B$39&lt;&gt;"pvp",Inputs!$B$44&gt;0),IF(MAX(0,Inputs!$B$44-B529)&lt;=0,0,(INT(MAX(0,Inputs!$B$44-B529)/IF(Inputs!$B$39="pvp",15,MAX(0.1,Skills!D10-IF(TRUE=TRUE,Inputs!$B$33,0))))+1)),0)</f>
        <v/>
      </c>
      <c r="S503">
        <f>IFERROR(O503/N503,0)</f>
        <v/>
      </c>
      <c r="T503">
        <f>IF(C503,(H503*N503*IF(AND(Inputs!$B$39&lt;&gt;"pvp",Inputs!$B$44&gt;0),((Skills!G10*((R503-1)*IF(Skills!H10&gt;0,INT(Skills!I10/Skills!H10+0.000000001),1)+IF(Skills!H10&gt;0,INT(MIN(Skills!I10,MAX(0,MAX(0,Inputs!$B$44-B529)-((R503-1)*IF(Inputs!$B$39="pvp",15,MAX(0.1,Skills!D10-IF(TRUE=TRUE,Inputs!$B$33,0))))))/Skills!H10+0.000000001),1)))/Inputs!$B$44),G503*Q503))*IF(Inputs!$B$39="pvp",1,1+(Inputs!$B$21+0+Skills!P10+((C510=TRUE)*F510*IF(AND(Inputs!$B$39&lt;&gt;"pvp",Inputs!$B$44&gt;0),(((R510-1)*MIN((Skills!T17*(1+Inputs!$B$35/100)),(1/Q510))+MIN((Skills!T17*(1+Inputs!$B$35/100)),MAX(0,Inputs!$B$44-((R510-1)*(1/Q510)))))/Inputs!$B$44),IF(Inputs!$B$39="pvp",MIN((Skills!T17*(1+Inputs!$B$35/100)),15)/15,MIN(1,(Skills!T17*(1+Inputs!$B$35/100))/(1/Q510)))))+((C498=TRUE)*IF(Inputs!$B$3&gt;=126,10*MIN(1,15*Q498),0))+((C507=TRUE)*IF(Inputs!$B$39="pvp",20,(1-Summary!$B$11)*(20)+Summary!$B$11*(0))*IF(AND(Inputs!$B$39&lt;&gt;"pvp",Inputs!$B$44&gt;0),(((R507-1)*MIN((Skills!T14*(1+Inputs!$B$35/100)),(1/Q507))+MIN((Skills!T14*(1+Inputs!$B$35/100)),MAX(0,Inputs!$B$44-((R507-1)*(1/Q507)))))/Inputs!$B$44),IF(Inputs!$B$39="pvp",MIN((Skills!T14*(1+Inputs!$B$35/100)),15)/15,MIN(1,(Skills!T14*(1+Inputs!$B$35/100))/(1/Q507)))))+((C506=TRUE)*IF(Inputs!$B$3&gt;=82,IF(Inputs!$B$39="pvp",20,(1-Summary!$B$11)*(20)+Summary!$B$11*(0)),0)*IF(AND(Inputs!$B$39&lt;&gt;"pvp",Inputs!$B$44&gt;0),(((R506-1)*MIN((Skills!T13*(1+Inputs!$B$35/100)),(1/Q506))+MIN((Skills!T13*(1+Inputs!$B$35/100)),MAX(0,Inputs!$B$44-((R506-1)*(1/Q506)))))/Inputs!$B$44),IF(Inputs!$B$39="pvp",MIN((Skills!T13*(1+Inputs!$B$35/100)),15)/15,MIN(1,(Skills!T13*(1+Inputs!$B$35/100))/(1/Q506)))))+(IF(AND(ArtifactsInput!$M$35,Inputs!$B$4&lt;&gt;"Chapter Hunt"),CHOOSE(ArtifactsInput!$N$35+1,15,18,21,24,27,30)*(1-EXP(-(0.2*B524)*5)),0)+IF(AND(ArtifactsInput!$M$22,Inputs!$B$4&lt;&gt;"Chapter Hunt"),CHOOSE(ArtifactsInput!$N$22+1,10,12,14,16,18,20)*((0*(((0.15*B524*5))^0/1)+1*(((0.15*B524*5))^1/1)+2*(((0.15*B524*5))^2/2)+3*(((0.15*B524*5))^3/6)+4*(((0.15*B524*5))^4/24)+5*(((0.15*B524*5))^5/120))/((((0.15*B524*5))^0/1)+(((0.15*B524*5))^1/1)+(((0.15*B524*5))^2/2)+(((0.15*B524*5))^3/6)+(((0.15*B524*5))^4/24)+(((0.15*B524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503*(1-MIN(100,(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503*(MIN(100,(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503*(1-MIN(100,(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503*(MIN(100,(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03">
        <f>IF(C503,(H503*N503*IF(AND(Inputs!$B$39&lt;&gt;"pvp",Inputs!$B$44&gt;0),((Skills!G10*((R503-1)*IF(Skills!H10&gt;0,INT(Skills!I10/Skills!H10+0.000000001),1)+IF(Skills!H10&gt;0,INT(MIN(Skills!I10,MAX(0,MAX(0,Inputs!$B$44-B529)-((R503-1)*IF(Inputs!$B$39="pvp",15,MAX(0.1,Skills!D10-IF(TRUE=TRUE,Inputs!$B$33,0))))))/Skills!H10+0.000000001),1)))/Inputs!$B$44),G503*Q503))*IF(Inputs!$B$39="pvp",1,(1+(Inputs!$B$22+Skills!Q10+((C510=TRUE)*F510*IF(AND(Inputs!$B$39&lt;&gt;"pvp",Inputs!$B$44&gt;0),(((R510-1)*MIN((Skills!T17*(1+Inputs!$B$35/100)),(1/Q510))+MIN((Skills!T17*(1+Inputs!$B$35/100)),MAX(0,Inputs!$B$44-((R510-1)*(1/Q510)))))/Inputs!$B$44),IF(Inputs!$B$39="pvp",MIN((Skills!T17*(1+Inputs!$B$35/100)),15)/15,MIN(1,(Skills!T17*(1+Inputs!$B$35/100))/(1/Q510)))))+((C498=TRUE)*IF(Inputs!$B$3&gt;=126,10*MIN(1,15*Q498),0))+((C507=TRUE)*IF(Inputs!$B$39="pvp",20,(1-Summary!$B$11)*(20)+Summary!$B$11*(0))*IF(AND(Inputs!$B$39&lt;&gt;"pvp",Inputs!$B$44&gt;0),(((R507-1)*MIN((Skills!T14*(1+Inputs!$B$35/100)),(1/Q507))+MIN((Skills!T14*(1+Inputs!$B$35/100)),MAX(0,Inputs!$B$44-((R507-1)*(1/Q507)))))/Inputs!$B$44),IF(Inputs!$B$39="pvp",MIN((Skills!T14*(1+Inputs!$B$35/100)),15)/15,MIN(1,(Skills!T14*(1+Inputs!$B$35/100))/(1/Q507)))))+((C506=TRUE)*IF(Inputs!$B$3&gt;=82,IF(Inputs!$B$39="pvp",20,(1-Summary!$B$11)*(20)+Summary!$B$11*(0)),0)*IF(AND(Inputs!$B$39&lt;&gt;"pvp",Inputs!$B$44&gt;0),(((R506-1)*MIN((Skills!T13*(1+Inputs!$B$35/100)),(1/Q506))+MIN((Skills!T13*(1+Inputs!$B$35/100)),MAX(0,Inputs!$B$44-((R506-1)*(1/Q506)))))/Inputs!$B$44),IF(Inputs!$B$39="pvp",MIN((Skills!T13*(1+Inputs!$B$35/100)),15)/15,MIN(1,(Skills!T13*(1+Inputs!$B$35/100))/(1/Q506)))))+(IF(AND(ArtifactsInput!$M$35,Inputs!$B$4&lt;&gt;"Chapter Hunt"),CHOOSE(ArtifactsInput!$N$35+1,15,18,21,24,27,30)*(1-EXP(-(0.2*B524)*5)),0)+IF(AND(ArtifactsInput!$M$22,Inputs!$B$4&lt;&gt;"Chapter Hunt"),CHOOSE(ArtifactsInput!$N$22+1,10,12,14,16,18,20)*((0*(((0.15*B524*5))^0/1)+1*(((0.15*B524*5))^1/1)+2*(((0.15*B524*5))^2/2)+3*(((0.15*B524*5))^3/6)+4*(((0.15*B524*5))^4/24)+5*(((0.15*B524*5))^5/120))/((((0.15*B524*5))^0/1)+(((0.15*B524*5))^1/1)+(((0.15*B524*5))^2/2)+(((0.15*B524*5))^3/6)+(((0.15*B524*5))^4/24)+(((0.15*B524*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04">
      <c r="A504">
        <f>Skills!A11</f>
        <v/>
      </c>
      <c r="B504">
        <f>Skills!B11</f>
        <v/>
      </c>
      <c r="C504">
        <f>Inputs!$B$3&gt;=100</f>
        <v/>
      </c>
      <c r="D504">
        <f>IF(Skills!C11=1,60+Inputs!$B$26+Inputs!$B$30,IF(Skills!C11=2,90+Inputs!$B$27+Inputs!$B$30,IF(Skills!C11=3,120+Inputs!$B$28+Inputs!$B$30,MAX(0,(Inputs!$B$3-100)*3)+Inputs!$B$29+Inputs!$B$30)))</f>
        <v/>
      </c>
      <c r="E504">
        <f>INDEX(FactorTable!$B$2:$Y$301, MATCH(ROUND(MIN(300,MAX(1,D504)),0), FactorTable!$A$2:$A$301,0), Skills!M11+1)</f>
        <v/>
      </c>
      <c r="F504">
        <f>IF(Skills!N11=TRUE,(Skills!L11/10)*(E504/1000),Skills!L11/10)+Skills!O11</f>
        <v/>
      </c>
      <c r="G504" t="inlineStr"/>
      <c r="H504" t="inlineStr"/>
      <c r="I504" t="inlineStr">
        <is>
          <t>1</t>
        </is>
      </c>
      <c r="J504" t="inlineStr"/>
      <c r="K504" t="inlineStr"/>
      <c r="L504" t="inlineStr"/>
      <c r="M504" t="inlineStr"/>
      <c r="N504" t="inlineStr"/>
      <c r="O504" t="inlineStr"/>
      <c r="P504" t="inlineStr"/>
      <c r="Q504" t="inlineStr"/>
      <c r="R504" t="inlineStr"/>
      <c r="S504" t="inlineStr"/>
    </row>
    <row r="505">
      <c r="A505">
        <f>Skills!A12</f>
        <v/>
      </c>
      <c r="B505">
        <f>Skills!B12</f>
        <v/>
      </c>
      <c r="C505">
        <f>Inputs!$B$3&gt;=63</f>
        <v/>
      </c>
      <c r="D505">
        <f>IF(Skills!C12=1,60+Inputs!$B$26+Inputs!$B$30,IF(Skills!C12=2,90+Inputs!$B$27+Inputs!$B$30,IF(Skills!C12=3,120+Inputs!$B$28+Inputs!$B$30,MAX(0,(Inputs!$B$3-100)*3)+Inputs!$B$29+Inputs!$B$30)))</f>
        <v/>
      </c>
      <c r="E505">
        <f>INDEX(FactorTable!$B$2:$Y$301, MATCH(ROUND(MIN(300,MAX(1,D505)),0), FactorTable!$A$2:$A$301,0), Skills!M12+1)</f>
        <v/>
      </c>
      <c r="F505">
        <f>IF(Skills!N12=TRUE,(Skills!L12/10)*(E505/1000),Skills!L12/10)+Skills!O12</f>
        <v/>
      </c>
      <c r="G505">
        <f>Skills!G12*IF(Skills!H12&gt;0,INT(IF(Inputs!$B$39="pvp",MIN(Skills!I12,15),Skills!I12)/Skills!H12+0.000000001),1)</f>
        <v/>
      </c>
      <c r="H505">
        <f>1-(1-Skills!J12/100)^Skills!K12</f>
        <v/>
      </c>
      <c r="I505" t="inlineStr">
        <is>
          <t>1</t>
        </is>
      </c>
      <c r="J505">
        <f>((Inputs!$B$6*(1+Inputs!$B$7/100))+(((Inputs!$B$13*(1+Inputs!$B$14/100))-(Inputs!$B$13*(1+Inputs!$B$14/100)))+0.25*(Inputs!$B$15-Inputs!$B$15))*(1+Inputs!$B$7/100))*(F505/100)</f>
        <v/>
      </c>
      <c r="K505">
        <f>J505*(1+(((Inputs!$B$13+IF(Inputs!$B$3&gt;=38,(10*INDEX(FactorTable!$B$2:$Y$301, MATCH(ROUND(MIN(300,MAX(1,Inputs!$B$3)),0), FactorTable!$A$2:$A$301,0), 23)/1000)/100*(Inputs!$B$8*(1+Inputs!$B$9/100)),0))*(1+Inputs!$B$14/100))*0.01+Inputs!$B$15*0.0025)/100)*(1+Inputs!$B$16/100)*(1+Inputs!$B$17/100)*(5000/(6000+Inputs!$B$43*(1-(Inputs!$B$20+0)/100)))*(1+(Inputs!$B$25+((C518=TRUE)*(F518-Calc!F25))+((C519=TRUE)*(F519-Calc!F26))+B528)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504=TRUE,F504,0)/100)*(1+(IF(Skills!A12="DARK_IMPALE",Inputs!$B$18+0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gt;=100),MIN(100,((Inputs!$B$10+0+B522+(ArtifactsInput!$M$24-ArtifactsInput!$M$24)*CHOOSE(ArtifactsInput!$N$24+1,10,12,14,16,18,20)+IF(ArtifactsInput!$M$10,CHOOSE(ArtifactsInput!$N$10+1,15,18,21,24,27,30)*(IF(Inputs!$B$39="pvp",MIN(15,15)/15,IF(AND(Inputs!$B$39&lt;&gt;"pvp",Inputs!$B$44&gt;0),MIN(15,Inputs!$B$44)/(Inputs!$B$44),0))),0)))-100),0))*CHOOSE(ArtifactsInput!$N$42+1,0.6,0.72,0.84,0.96,1.08,1.2))),Inputs!$B$19+((C516=TRUE)*(F516-Calc!F23))+(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gt;=100),CHOOSE(ArtifactsInput!$N$42+1,40,48,56,64,72,80),0))))/100)*((1+(((C506=TRUE)*F506*IF(AND(Inputs!$B$39&lt;&gt;"pvp",Inputs!$B$44&gt;0),(((R506-1)*MIN((Skills!T13*(1+Inputs!$B$35/100)),(1/Q506))+MIN((Skills!T13*(1+Inputs!$B$35/100)),MAX(0,Inputs!$B$44-((R506-1)*(1/Q506)))))/Inputs!$B$44),IF(Inputs!$B$39="pvp",MIN((Skills!T13*(1+Inputs!$B$35/100)),15)/15,MIN(1,(Skills!T13*(1+Inputs!$B$35/100))/(1/Q506)))))+((C507=TRUE)*F507*IF(AND(Inputs!$B$39&lt;&gt;"pvp",Inputs!$B$44&gt;0),(((R507-1)*MIN((Skills!T14*(1+Inputs!$B$35/100)),(1/Q507))+MIN((Skills!T14*(1+Inputs!$B$35/100)),MAX(0,Inputs!$B$44-((R507-1)*(1/Q507)))))/Inputs!$B$44),IF(Inputs!$B$39="pvp",MIN((Skills!T14*(1+Inputs!$B$35/100)),15)/15,MIN(1,(Skills!T14*(1+Inputs!$B$35/100))/(1/Q507)))))+((C508=TRUE)*F508*IF(AND(Inputs!$B$39&lt;&gt;"pvp",Inputs!$B$44&gt;0),(((R508-1)*MIN((Skills!T15*(1+Inputs!$B$35/100)),(1/Q508))+MIN((Skills!T15*(1+Inputs!$B$35/100)),MAX(0,Inputs!$B$44-((R508-1)*(1/Q508)))))/Inputs!$B$44),IF(Inputs!$B$39="pvp",MIN((Skills!T15*(1+Inputs!$B$35/100)),15)/15,MIN(1,(Skills!T15*(1+Inputs!$B$35/100))/(1/Q508)))))+((C509=TRUE)*F509*IF(AND(Inputs!$B$39&lt;&gt;"pvp",Inputs!$B$44&gt;0),(((R509-1)*MIN((Skills!T16*(1+Inputs!$B$35/100)),(1/Q509))+MIN((Skills!T16*(1+Inputs!$B$35/100)),MAX(0,Inputs!$B$44-((R509-1)*(1/Q509)))))/Inputs!$B$44),IF(Inputs!$B$39="pvp",MIN((Skills!T16*(1+Inputs!$B$35/100)),15)/15,MIN(1,(Skills!T16*(1+Inputs!$B$35/100))/(1/Q509)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505)</f>
        <v/>
      </c>
      <c r="L505">
        <f>K505*(MIN((Inputs!$B$23+1)+((C515=TRUE)*(F515-Calc!F22)),(Inputs!$B$24+((C517=TRUE)*(F517-Calc!F24))+(IF(ArtifactsInput!$M$15,CHOOSE(ArtifactsInput!$N$15+1,25,30,35,40,45,50)/100*(Inputs!$B$12-Inputs!$B$12),0))))/100+(Inputs!$B$24+((C517=TRUE)*(F517-Calc!F24))+(IF(ArtifactsInput!$M$15,CHOOSE(ArtifactsInput!$N$15+1,25,30,35,40,45,50)/100*(Inputs!$B$12-Inputs!$B$12),0)))/100)/2</f>
        <v/>
      </c>
      <c r="M505">
        <f>L505*(1+(Inputs!$B$11+0+B527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505">
        <f>L505*(1-MIN((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505*(MIN((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05">
        <f>(1-Summary!$B$11)*T505+Summary!$B$11*V505</f>
        <v/>
      </c>
      <c r="P505">
        <f>IF(B532=0,0,O505/B532)</f>
        <v/>
      </c>
      <c r="Q505">
        <f>IFERROR(1/IF(Inputs!$B$39="pvp",15,MAX(0.1,Skills!D12-IF(TRUE=TRUE,Inputs!$B$33,0))),0)</f>
        <v/>
      </c>
      <c r="R505">
        <f>IF(AND(Inputs!$B$39&lt;&gt;"pvp",Inputs!$B$44&gt;0),IF(MAX(0,Inputs!$B$44-B529)&lt;=0,0,(INT(MAX(0,Inputs!$B$44-B529)/IF(Inputs!$B$39="pvp",15,MAX(0.1,Skills!D12-IF(TRUE=TRUE,Inputs!$B$33,0))))+1)),0)</f>
        <v/>
      </c>
      <c r="S505">
        <f>IFERROR(O505/N505,0)</f>
        <v/>
      </c>
      <c r="T505">
        <f>IF(C505,(H505*N505*IF(AND(Inputs!$B$39&lt;&gt;"pvp",Inputs!$B$44&gt;0),((Skills!G12*((R505-1)*IF(Skills!H12&gt;0,INT(Skills!I12/Skills!H12+0.000000001),1)+IF(Skills!H12&gt;0,INT(MIN(Skills!I12,MAX(0,MAX(0,Inputs!$B$44-B529)-((R505-1)*IF(Inputs!$B$39="pvp",15,MAX(0.1,Skills!D12-IF(TRUE=TRUE,Inputs!$B$33,0))))))/Skills!H12+0.000000001),1)))/Inputs!$B$44),G505*Q505))*IF(Inputs!$B$39="pvp",1,1+(Inputs!$B$21+0+Skills!P12+((C510=TRUE)*F510*IF(AND(Inputs!$B$39&lt;&gt;"pvp",Inputs!$B$44&gt;0),(((R510-1)*MIN((Skills!T17*(1+Inputs!$B$35/100)),(1/Q510))+MIN((Skills!T17*(1+Inputs!$B$35/100)),MAX(0,Inputs!$B$44-((R510-1)*(1/Q510)))))/Inputs!$B$44),IF(Inputs!$B$39="pvp",MIN((Skills!T17*(1+Inputs!$B$35/100)),15)/15,MIN(1,(Skills!T17*(1+Inputs!$B$35/100))/(1/Q510)))))+((C498=TRUE)*IF(Inputs!$B$3&gt;=126,10*MIN(1,15*Q498),0))+((C507=TRUE)*IF(Inputs!$B$39="pvp",20,(1-Summary!$B$11)*(20)+Summary!$B$11*(0))*IF(AND(Inputs!$B$39&lt;&gt;"pvp",Inputs!$B$44&gt;0),(((R507-1)*MIN((Skills!T14*(1+Inputs!$B$35/100)),(1/Q507))+MIN((Skills!T14*(1+Inputs!$B$35/100)),MAX(0,Inputs!$B$44-((R507-1)*(1/Q507)))))/Inputs!$B$44),IF(Inputs!$B$39="pvp",MIN((Skills!T14*(1+Inputs!$B$35/100)),15)/15,MIN(1,(Skills!T14*(1+Inputs!$B$35/100))/(1/Q507)))))+((C506=TRUE)*IF(Inputs!$B$3&gt;=82,IF(Inputs!$B$39="pvp",20,(1-Summary!$B$11)*(20)+Summary!$B$11*(0)),0)*IF(AND(Inputs!$B$39&lt;&gt;"pvp",Inputs!$B$44&gt;0),(((R506-1)*MIN((Skills!T13*(1+Inputs!$B$35/100)),(1/Q506))+MIN((Skills!T13*(1+Inputs!$B$35/100)),MAX(0,Inputs!$B$44-((R506-1)*(1/Q506)))))/Inputs!$B$44),IF(Inputs!$B$39="pvp",MIN((Skills!T13*(1+Inputs!$B$35/100)),15)/15,MIN(1,(Skills!T13*(1+Inputs!$B$35/100))/(1/Q506)))))+(IF(AND(ArtifactsInput!$M$35,Inputs!$B$4&lt;&gt;"Chapter Hunt"),CHOOSE(ArtifactsInput!$N$35+1,15,18,21,24,27,30)*(1-EXP(-(0.2*B524)*5)),0)+IF(AND(ArtifactsInput!$M$22,Inputs!$B$4&lt;&gt;"Chapter Hunt"),CHOOSE(ArtifactsInput!$N$22+1,10,12,14,16,18,20)*((0*(((0.15*B524*5))^0/1)+1*(((0.15*B524*5))^1/1)+2*(((0.15*B524*5))^2/2)+3*(((0.15*B524*5))^3/6)+4*(((0.15*B524*5))^4/24)+5*(((0.15*B524*5))^5/120))/((((0.15*B524*5))^0/1)+(((0.15*B524*5))^1/1)+(((0.15*B524*5))^2/2)+(((0.15*B524*5))^3/6)+(((0.15*B524*5))^4/24)+(((0.15*B524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505*(1-MIN(100,(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505*(MIN(100,(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505*(1-MIN(100,(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505*(MIN(100,(Inputs!$B$10+0+B522+(ArtifactsInput!$M$24-ArtifactsInput!$M$24)*CHOOSE(ArtifactsInput!$N$24+1,10,12,14,16,18,20)+(IF(AND(Inputs!$B$39&lt;&gt;"pvp",Inputs!$B$44=0),1,IF(IF(Inputs!$B$39="pvp",15,Inputs!$B$44)-(B529)&lt;=0,1,MAX(0,IF(Inputs!$B$39="pvp",15,Inputs!$B$44)-MAX(5,B529))/(IF(Inputs!$B$39="pvp",15,Inputs!$B$44)-(B529))))*IF(AND(ArtifactsInput!$M$42,((Inputs!$B$10+0+B522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05">
        <f>IF(C505,(H505*N505*IF(AND(Inputs!$B$39&lt;&gt;"pvp",Inputs!$B$44&gt;0),((Skills!G12*((R505-1)*IF(Skills!H12&gt;0,INT(Skills!I12/Skills!H12+0.000000001),1)+IF(Skills!H12&gt;0,INT(MIN(Skills!I12,MAX(0,MAX(0,Inputs!$B$44-B529)-((R505-1)*IF(Inputs!$B$39="pvp",15,MAX(0.1,Skills!D12-IF(TRUE=TRUE,Inputs!$B$33,0))))))/Skills!H12+0.000000001),1)))/Inputs!$B$44),G505*Q505))*IF(Inputs!$B$39="pvp",1,(1+(Inputs!$B$22+Skills!Q12+((C510=TRUE)*F510*IF(AND(Inputs!$B$39&lt;&gt;"pvp",Inputs!$B$44&gt;0),(((R510-1)*MIN((Skills!T17*(1+Inputs!$B$35/100)),(1/Q510))+MIN((Skills!T17*(1+Inputs!$B$35/100)),MAX(0,Inputs!$B$44-((R510-1)*(1/Q510)))))/Inputs!$B$44),IF(Inputs!$B$39="pvp",MIN((Skills!T17*(1+Inputs!$B$35/100)),15)/15,MIN(1,(Skills!T17*(1+Inputs!$B$35/100))/(1/Q510)))))+((C498=TRUE)*IF(Inputs!$B$3&gt;=126,10*MIN(1,15*Q498),0))+((C507=TRUE)*IF(Inputs!$B$39="pvp",20,(1-Summary!$B$11)*(20)+Summary!$B$11*(0))*IF(AND(Inputs!$B$39&lt;&gt;"pvp",Inputs!$B$44&gt;0),(((R507-1)*MIN((Skills!T14*(1+Inputs!$B$35/100)),(1/Q507))+MIN((Skills!T14*(1+Inputs!$B$35/100)),MAX(0,Inputs!$B$44-((R507-1)*(1/Q507)))))/Inputs!$B$44),IF(Inputs!$B$39="pvp",MIN((Skills!T14*(1+Inputs!$B$35/100)),15)/15,MIN(1,(Skills!T14*(1+Inputs!$B$35/100))/(1/Q507)))))+((C506=TRUE)*IF(Inputs!$B$3&gt;=82,IF(Inputs!$B$39="pvp",20,(1-Summary!$B$11)*(20)+Summary!$B$11*(0)),0)*IF(AND(Inputs!$B$39&lt;&gt;"pvp",Inputs!$B$44&gt;0),(((R506-1)*MIN((Skills!T13*(1+Inputs!$B$35/100)),(1/Q506))+MIN((Skills!T13*(1+Inputs!$B$35/100)),MAX(0,Inputs!$B$44-((R506-1)*(1/Q506)))))/Inputs!$B$44),IF(Inputs!$B$39="pvp",MIN((Skills!T13*(1+Inputs!$B$35/100)),15)/15,MIN(1,(Skills!T13*(1+Inputs!$B$35/100))/(1/Q506)))))+(IF(AND(ArtifactsInput!$M$35,Inputs!$B$4&lt;&gt;"Chapter Hunt"),CHOOSE(ArtifactsInput!$N$35+1,15,18,21,24,27,30)*(1-EXP(-(0.2*B524)*5)),0)+IF(AND(ArtifactsInput!$M$22,Inputs!$B$4&lt;&gt;"Chapter Hunt"),CHOOSE(ArtifactsInput!$N$22+1,10,12,14,16,18,20)*((0*(((0.15*B524*5))^0/1)+1*(((0.15*B524*5))^1/1)+2*(((0.15*B524*5))^2/2)+3*(((0.15*B524*5))^3/6)+4*(((0.15*B524*5))^4/24)+5*(((0.15*B524*5))^5/120))/((((0.15*B524*5))^0/1)+(((0.15*B524*5))^1/1)+(((0.15*B524*5))^2/2)+(((0.15*B524*5))^3/6)+(((0.15*B524*5))^4/24)+(((0.15*B524*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06">
      <c r="A506">
        <f>Skills!A13</f>
        <v/>
      </c>
      <c r="B506">
        <f>Skills!B13</f>
        <v/>
      </c>
      <c r="C506">
        <f>Inputs!$B$3&gt;=69</f>
        <v/>
      </c>
      <c r="D506">
        <f>IF(Skills!C13=1,60+Inputs!$B$26+Inputs!$B$30,IF(Skills!C13=2,90+Inputs!$B$27+Inputs!$B$30,IF(Skills!C13=3,120+Inputs!$B$28+Inputs!$B$30,MAX(0,(Inputs!$B$3-100)*3)+Inputs!$B$29+Inputs!$B$30)))</f>
        <v/>
      </c>
      <c r="E506">
        <f>INDEX(FactorTable!$B$2:$Y$301, MATCH(ROUND(MIN(300,MAX(1,D506)),0), FactorTable!$A$2:$A$301,0), Skills!M13+1)</f>
        <v/>
      </c>
      <c r="F506">
        <f>IF(Skills!N13=TRUE,(Skills!L13/10)*(E506/1000),Skills!L13/10)+Skills!O13</f>
        <v/>
      </c>
      <c r="G506">
        <f>Skills!G13*IF(Skills!H13&gt;0,INT(IF(Inputs!$B$39="pvp",MIN(Skills!I13,15),Skills!I13)/Skills!H13+0.000000001),1)</f>
        <v/>
      </c>
      <c r="H506">
        <f>1-(1-Skills!J13/100)^Skills!K13</f>
        <v/>
      </c>
      <c r="I506" t="inlineStr">
        <is>
          <t>1</t>
        </is>
      </c>
      <c r="J506" t="inlineStr"/>
      <c r="K506" t="inlineStr"/>
      <c r="L506" t="inlineStr"/>
      <c r="M506" t="inlineStr"/>
      <c r="N506" t="inlineStr"/>
      <c r="O506">
        <f>(1-Summary!$B$11)*T506+Summary!$B$11*V506</f>
        <v/>
      </c>
      <c r="P506">
        <f>IF(B532=0,0,O506/B532)</f>
        <v/>
      </c>
      <c r="Q506">
        <f>IFERROR(1/IF(Inputs!$B$39="pvp",15,MAX(0.1,Skills!D13-IF(TRUE=TRUE,Inputs!$B$33,0))),0)</f>
        <v/>
      </c>
      <c r="R506">
        <f>IF(AND(Inputs!$B$39&lt;&gt;"pvp",Inputs!$B$44&gt;0),IF(Inputs!$B$44&lt;=0,0,(INT(Inputs!$B$44/IF(Inputs!$B$39="pvp",15,MAX(0.1,Skills!D13-IF(TRUE=TRUE,Inputs!$B$33,0))))+1)),0)</f>
        <v/>
      </c>
      <c r="S506">
        <f>IFERROR(O506/N506,0)</f>
        <v/>
      </c>
      <c r="T506" t="n">
        <v>0</v>
      </c>
      <c r="V506" t="n">
        <v>0</v>
      </c>
    </row>
    <row r="507">
      <c r="A507">
        <f>Skills!A14</f>
        <v/>
      </c>
      <c r="B507">
        <f>Skills!B14</f>
        <v/>
      </c>
      <c r="C507">
        <f>Inputs!$B$3&gt;=115</f>
        <v/>
      </c>
      <c r="D507">
        <f>IF(Skills!C14=1,60+Inputs!$B$26+Inputs!$B$30,IF(Skills!C14=2,90+Inputs!$B$27+Inputs!$B$30,IF(Skills!C14=3,120+Inputs!$B$28+Inputs!$B$30,MAX(0,(Inputs!$B$3-100)*3)+Inputs!$B$29+Inputs!$B$30)))</f>
        <v/>
      </c>
      <c r="E507">
        <f>INDEX(FactorTable!$B$2:$Y$301, MATCH(ROUND(MIN(300,MAX(1,D507)),0), FactorTable!$A$2:$A$301,0), Skills!M14+1)</f>
        <v/>
      </c>
      <c r="F507">
        <f>IF(Skills!N14=TRUE,(Skills!L14/10)*(E507/1000),Skills!L14/10)+Skills!O14</f>
        <v/>
      </c>
      <c r="G507">
        <f>Skills!G14*IF(Skills!H14&gt;0,INT(IF(Inputs!$B$39="pvp",MIN(Skills!I14,15),Skills!I14)/Skills!H14+0.000000001),1)</f>
        <v/>
      </c>
      <c r="H507">
        <f>1-(1-Skills!J14/100)^Skills!K14</f>
        <v/>
      </c>
      <c r="I507" t="inlineStr">
        <is>
          <t>1</t>
        </is>
      </c>
      <c r="J507" t="inlineStr"/>
      <c r="K507" t="inlineStr"/>
      <c r="L507" t="inlineStr"/>
      <c r="M507" t="inlineStr"/>
      <c r="N507" t="inlineStr"/>
      <c r="O507">
        <f>(1-Summary!$B$11)*T507+Summary!$B$11*V507</f>
        <v/>
      </c>
      <c r="P507">
        <f>IF(B532=0,0,O507/B532)</f>
        <v/>
      </c>
      <c r="Q507">
        <f>IFERROR(1/IF(Inputs!$B$39="pvp",15,MAX(0.1,Skills!D14-IF(TRUE=TRUE,Inputs!$B$33,0))),0)</f>
        <v/>
      </c>
      <c r="R507">
        <f>IF(AND(Inputs!$B$39&lt;&gt;"pvp",Inputs!$B$44&gt;0),IF(Inputs!$B$44&lt;=0,0,(INT(Inputs!$B$44/IF(Inputs!$B$39="pvp",15,MAX(0.1,Skills!D14-IF(TRUE=TRUE,Inputs!$B$33,0))))+1)),0)</f>
        <v/>
      </c>
      <c r="S507">
        <f>IFERROR(O507/N507,0)</f>
        <v/>
      </c>
      <c r="T507" t="n">
        <v>0</v>
      </c>
      <c r="V507" t="n">
        <v>0</v>
      </c>
    </row>
    <row r="508">
      <c r="A508">
        <f>Skills!A15</f>
        <v/>
      </c>
      <c r="B508">
        <f>Skills!B15</f>
        <v/>
      </c>
      <c r="C508">
        <f>Inputs!$B$3&gt;=66</f>
        <v/>
      </c>
      <c r="D508">
        <f>IF(Skills!C15=1,60+Inputs!$B$26+Inputs!$B$30,IF(Skills!C15=2,90+Inputs!$B$27+Inputs!$B$30,IF(Skills!C15=3,120+Inputs!$B$28+Inputs!$B$30,MAX(0,(Inputs!$B$3-100)*3)+Inputs!$B$29+Inputs!$B$30)))</f>
        <v/>
      </c>
      <c r="E508">
        <f>INDEX(FactorTable!$B$2:$Y$301, MATCH(ROUND(MIN(300,MAX(1,D508)),0), FactorTable!$A$2:$A$301,0), Skills!M15+1)</f>
        <v/>
      </c>
      <c r="F508">
        <f>IF(Skills!N15=TRUE,(Skills!L15/10)*(E508/1000),Skills!L15/10)+Skills!O15</f>
        <v/>
      </c>
      <c r="G508">
        <f>Skills!G15*IF(Skills!H15&gt;0,INT(IF(Inputs!$B$39="pvp",MIN(Skills!I15,15),Skills!I15)/Skills!H15+0.000000001),1)</f>
        <v/>
      </c>
      <c r="H508">
        <f>1-(1-Skills!J15/100)^Skills!K15</f>
        <v/>
      </c>
      <c r="I508" t="inlineStr">
        <is>
          <t>1</t>
        </is>
      </c>
      <c r="J508" t="inlineStr"/>
      <c r="K508" t="inlineStr"/>
      <c r="L508" t="inlineStr"/>
      <c r="M508" t="inlineStr"/>
      <c r="N508" t="inlineStr"/>
      <c r="O508">
        <f>(1-Summary!$B$11)*T508+Summary!$B$11*V508</f>
        <v/>
      </c>
      <c r="P508">
        <f>IF(B532=0,0,O508/B532)</f>
        <v/>
      </c>
      <c r="Q508">
        <f>IFERROR(1/IF(Inputs!$B$39="pvp",15,MAX(0.1,Skills!D15-IF(TRUE=TRUE,Inputs!$B$33,0))),0)</f>
        <v/>
      </c>
      <c r="R508">
        <f>IF(AND(Inputs!$B$39&lt;&gt;"pvp",Inputs!$B$44&gt;0),IF(Inputs!$B$44&lt;=0,0,(INT(Inputs!$B$44/IF(Inputs!$B$39="pvp",15,MAX(0.1,Skills!D15-IF(TRUE=TRUE,Inputs!$B$33,0))))+1)),0)</f>
        <v/>
      </c>
      <c r="S508">
        <f>IFERROR(O508/N508,0)</f>
        <v/>
      </c>
      <c r="T508" t="n">
        <v>0</v>
      </c>
      <c r="V508" t="n">
        <v>0</v>
      </c>
    </row>
    <row r="509">
      <c r="A509">
        <f>Skills!A16</f>
        <v/>
      </c>
      <c r="B509">
        <f>Skills!B16</f>
        <v/>
      </c>
      <c r="C509">
        <f>Inputs!$B$3&gt;=45</f>
        <v/>
      </c>
      <c r="D509">
        <f>IF(Skills!C16=1,60+Inputs!$B$26+Inputs!$B$30,IF(Skills!C16=2,90+Inputs!$B$27+Inputs!$B$30,IF(Skills!C16=3,120+Inputs!$B$28+Inputs!$B$30,MAX(0,(Inputs!$B$3-100)*3)+Inputs!$B$29+Inputs!$B$30)))</f>
        <v/>
      </c>
      <c r="E509">
        <f>INDEX(FactorTable!$B$2:$Y$301, MATCH(ROUND(MIN(300,MAX(1,D509)),0), FactorTable!$A$2:$A$301,0), Skills!M16+1)</f>
        <v/>
      </c>
      <c r="F509">
        <f>IF(Skills!N16=TRUE,(Skills!L16/10)*(E509/1000),Skills!L16/10)+Skills!O16</f>
        <v/>
      </c>
      <c r="G509">
        <f>Skills!G16*IF(Skills!H16&gt;0,INT(IF(Inputs!$B$39="pvp",MIN(Skills!I16,15),Skills!I16)/Skills!H16+0.000000001),1)</f>
        <v/>
      </c>
      <c r="H509">
        <f>1-(1-Skills!J16/100)^Skills!K16</f>
        <v/>
      </c>
      <c r="I509" t="inlineStr">
        <is>
          <t>1</t>
        </is>
      </c>
      <c r="J509" t="inlineStr"/>
      <c r="K509" t="inlineStr"/>
      <c r="L509" t="inlineStr"/>
      <c r="M509" t="inlineStr"/>
      <c r="N509" t="inlineStr"/>
      <c r="O509">
        <f>(1-Summary!$B$11)*T509+Summary!$B$11*V509</f>
        <v/>
      </c>
      <c r="P509">
        <f>IF(B532=0,0,O509/B532)</f>
        <v/>
      </c>
      <c r="Q509">
        <f>IFERROR(1/IF(Inputs!$B$39="pvp",15,MAX(0.1,Skills!D16-IF(TRUE=TRUE,Inputs!$B$33,0))),0)</f>
        <v/>
      </c>
      <c r="R509">
        <f>IF(AND(Inputs!$B$39&lt;&gt;"pvp",Inputs!$B$44&gt;0),IF(Inputs!$B$44&lt;=0,0,(INT(Inputs!$B$44/IF(Inputs!$B$39="pvp",15,MAX(0.1,Skills!D16-IF(TRUE=TRUE,Inputs!$B$33,0))))+1)),0)</f>
        <v/>
      </c>
      <c r="S509">
        <f>IFERROR(O509/N509,0)</f>
        <v/>
      </c>
      <c r="T509" t="n">
        <v>0</v>
      </c>
      <c r="V509" t="n">
        <v>0</v>
      </c>
    </row>
    <row r="510">
      <c r="A510">
        <f>Skills!A17</f>
        <v/>
      </c>
      <c r="B510">
        <f>Skills!B17</f>
        <v/>
      </c>
      <c r="C510">
        <f>Inputs!$B$3&gt;=35</f>
        <v/>
      </c>
      <c r="D510">
        <f>IF(Skills!C17=1,60+Inputs!$B$26+Inputs!$B$30,IF(Skills!C17=2,90+Inputs!$B$27+Inputs!$B$30,IF(Skills!C17=3,120+Inputs!$B$28+Inputs!$B$30,MAX(0,(Inputs!$B$3-100)*3)+Inputs!$B$29+Inputs!$B$30)))</f>
        <v/>
      </c>
      <c r="E510">
        <f>INDEX(FactorTable!$B$2:$Y$301, MATCH(ROUND(MIN(300,MAX(1,D510)),0), FactorTable!$A$2:$A$301,0), Skills!M17+1)</f>
        <v/>
      </c>
      <c r="F510">
        <f>IF(Skills!N17=TRUE,(Skills!L17/10)*(E510/1000),Skills!L17/10)+Skills!O17</f>
        <v/>
      </c>
      <c r="G510">
        <f>Skills!G17*IF(Skills!H17&gt;0,INT(IF(Inputs!$B$39="pvp",MIN(Skills!I17,15),Skills!I17)/Skills!H17+0.000000001),1)</f>
        <v/>
      </c>
      <c r="H510">
        <f>1-(1-Skills!J17/100)^Skills!K17</f>
        <v/>
      </c>
      <c r="I510" t="inlineStr">
        <is>
          <t>1</t>
        </is>
      </c>
      <c r="J510" t="inlineStr"/>
      <c r="K510" t="inlineStr"/>
      <c r="L510" t="inlineStr"/>
      <c r="M510" t="inlineStr"/>
      <c r="N510" t="inlineStr"/>
      <c r="O510">
        <f>(1-Summary!$B$11)*T510+Summary!$B$11*V510</f>
        <v/>
      </c>
      <c r="P510">
        <f>IF(B532=0,0,O510/B532)</f>
        <v/>
      </c>
      <c r="Q510">
        <f>IFERROR(1/IF(Inputs!$B$39="pvp",15,MAX(0.1,Skills!D17-IF(TRUE=TRUE,Inputs!$B$33,0))),0)</f>
        <v/>
      </c>
      <c r="R510">
        <f>IF(AND(Inputs!$B$39&lt;&gt;"pvp",Inputs!$B$44&gt;0),IF(Inputs!$B$44&lt;=0,0,(INT(Inputs!$B$44/IF(Inputs!$B$39="pvp",15,MAX(0.1,Skills!D17-IF(TRUE=TRUE,Inputs!$B$33,0))))+1)),0)</f>
        <v/>
      </c>
      <c r="S510">
        <f>IFERROR(O510/N510,0)</f>
        <v/>
      </c>
      <c r="T510" t="n">
        <v>0</v>
      </c>
      <c r="V510" t="n">
        <v>0</v>
      </c>
    </row>
    <row r="511">
      <c r="A511">
        <f>Skills!A18</f>
        <v/>
      </c>
      <c r="B511">
        <f>Skills!B18</f>
        <v/>
      </c>
      <c r="C511">
        <f>Inputs!$B$3&gt;=72</f>
        <v/>
      </c>
      <c r="D511">
        <f>IF(Skills!C18=1,60+Inputs!$B$26+Inputs!$B$30,IF(Skills!C18=2,90+Inputs!$B$27+Inputs!$B$30,IF(Skills!C18=3,120+Inputs!$B$28+Inputs!$B$30,MAX(0,(Inputs!$B$3-100)*3)+Inputs!$B$29+Inputs!$B$30)))</f>
        <v/>
      </c>
      <c r="E511">
        <f>INDEX(FactorTable!$B$2:$Y$301, MATCH(ROUND(MIN(300,MAX(1,D511)),0), FactorTable!$A$2:$A$301,0), Skills!M18+1)</f>
        <v/>
      </c>
      <c r="F511">
        <f>IF(Skills!N18=TRUE,(Skills!L18/10)*(E511/1000),Skills!L18/10)+Skills!O18</f>
        <v/>
      </c>
      <c r="G511">
        <f>Skills!G18*IF(Skills!H18&gt;0,INT(IF(Inputs!$B$39="pvp",MIN(Skills!I18,15),Skills!I18)/Skills!H18+0.000000001),1)</f>
        <v/>
      </c>
      <c r="H511">
        <f>1-(1-Skills!J18/100)^Skills!K18</f>
        <v/>
      </c>
      <c r="I511" t="inlineStr">
        <is>
          <t>1</t>
        </is>
      </c>
      <c r="J511" t="inlineStr"/>
      <c r="K511" t="inlineStr"/>
      <c r="L511" t="inlineStr"/>
      <c r="M511" t="inlineStr"/>
      <c r="N511" t="inlineStr"/>
      <c r="O511">
        <f>(1-Summary!$B$11)*T511+Summary!$B$11*V511</f>
        <v/>
      </c>
      <c r="P511">
        <f>IF(B532=0,0,O511/B532)</f>
        <v/>
      </c>
      <c r="Q511">
        <f>IFERROR(1/IF(Inputs!$B$39="pvp",15,MAX(0.1,Skills!D18-IF(TRUE=TRUE,Inputs!$B$33,0))),0)</f>
        <v/>
      </c>
      <c r="R511">
        <f>IF(AND(Inputs!$B$39&lt;&gt;"pvp",Inputs!$B$44&gt;0),IF(Inputs!$B$44&lt;=0,0,(INT(Inputs!$B$44/IF(Inputs!$B$39="pvp",15,MAX(0.1,Skills!D18-IF(TRUE=TRUE,Inputs!$B$33,0))))+1)),0)</f>
        <v/>
      </c>
      <c r="S511">
        <f>IFERROR(O511/N511,0)</f>
        <v/>
      </c>
      <c r="T511" t="n">
        <v>0</v>
      </c>
      <c r="V511" t="n">
        <v>0</v>
      </c>
    </row>
    <row r="512">
      <c r="A512">
        <f>Skills!A19</f>
        <v/>
      </c>
      <c r="B512">
        <f>Skills!B19</f>
        <v/>
      </c>
      <c r="C512">
        <f>Inputs!$B$3&gt;=72</f>
        <v/>
      </c>
      <c r="D512">
        <f>IF(Skills!C19=1,60+Inputs!$B$26+Inputs!$B$30,IF(Skills!C19=2,90+Inputs!$B$27+Inputs!$B$30,IF(Skills!C19=3,120+Inputs!$B$28+Inputs!$B$30,MAX(0,(Inputs!$B$3-100)*3)+Inputs!$B$29+Inputs!$B$30)))</f>
        <v/>
      </c>
      <c r="E512">
        <f>INDEX(FactorTable!$B$2:$Y$301, MATCH(ROUND(MIN(300,MAX(1,D512)),0), FactorTable!$A$2:$A$301,0), Skills!M19+1)</f>
        <v/>
      </c>
      <c r="F512">
        <f>IF(Skills!N19=TRUE,(Skills!L19/10)*(E512/1000),Skills!L19/10)+Skills!O19</f>
        <v/>
      </c>
      <c r="G512">
        <f>Skills!G19*IF(Skills!H19&gt;0,INT(IF(Inputs!$B$39="pvp",MIN(Skills!I19,15),Skills!I19)/Skills!H19+0.000000001),1)</f>
        <v/>
      </c>
      <c r="H512">
        <f>1-(1-Skills!J19/100)^Skills!K19</f>
        <v/>
      </c>
      <c r="I512" t="inlineStr">
        <is>
          <t>1</t>
        </is>
      </c>
      <c r="J512" t="inlineStr"/>
      <c r="K512" t="inlineStr"/>
      <c r="L512" t="inlineStr"/>
      <c r="M512" t="inlineStr"/>
      <c r="N512" t="inlineStr"/>
      <c r="O512">
        <f>(1-Summary!$B$11)*T512+Summary!$B$11*V512</f>
        <v/>
      </c>
      <c r="P512">
        <f>IF(B532=0,0,O512/B532)</f>
        <v/>
      </c>
      <c r="Q512">
        <f>IFERROR(1/IF(Inputs!$B$39="pvp",15,MAX(0.1,Skills!D19-IF(TRUE=TRUE,Inputs!$B$33,0))),0)</f>
        <v/>
      </c>
      <c r="R512">
        <f>IF(AND(Inputs!$B$39&lt;&gt;"pvp",Inputs!$B$44&gt;0),IF(Inputs!$B$44&lt;=0,0,(INT(Inputs!$B$44/IF(Inputs!$B$39="pvp",15,MAX(0.1,Skills!D19-IF(TRUE=TRUE,Inputs!$B$33,0))))+1)),0)</f>
        <v/>
      </c>
      <c r="S512">
        <f>IFERROR(O512/N512,0)</f>
        <v/>
      </c>
      <c r="T512" t="n">
        <v>0</v>
      </c>
      <c r="V512" t="n">
        <v>0</v>
      </c>
    </row>
    <row r="513">
      <c r="A513">
        <f>Skills!A20</f>
        <v/>
      </c>
      <c r="B513">
        <f>Skills!B20</f>
        <v/>
      </c>
      <c r="C513">
        <f>TRUE</f>
        <v/>
      </c>
      <c r="D513">
        <f>IF(Skills!C20=1,60+Inputs!$B$26+Inputs!$B$30,IF(Skills!C20=2,90+Inputs!$B$27+Inputs!$B$30,IF(Skills!C20=3,120+Inputs!$B$28+Inputs!$B$30,MAX(0,(Inputs!$B$3-100)*3)+Inputs!$B$29+Inputs!$B$30)))</f>
        <v/>
      </c>
      <c r="E513">
        <f>INDEX(FactorTable!$B$2:$Y$301, MATCH(ROUND(MIN(300,MAX(1,D513)),0), FactorTable!$A$2:$A$301,0), Skills!M20+1)</f>
        <v/>
      </c>
      <c r="F513">
        <f>IF(Skills!N20=TRUE,(Skills!L20/10)*(E513/1000),Skills!L20/10)+Skills!O20</f>
        <v/>
      </c>
      <c r="G513">
        <f>Skills!G20*IF(Skills!H20&gt;0,INT(IF(Inputs!$B$39="pvp",MIN(Skills!I20,15),Skills!I20)/Skills!H20+0.000000001),1)</f>
        <v/>
      </c>
      <c r="H513">
        <f>1-(1-Skills!J20/100)^Skills!K20</f>
        <v/>
      </c>
      <c r="I513" t="inlineStr">
        <is>
          <t>1</t>
        </is>
      </c>
      <c r="J513" t="inlineStr"/>
      <c r="K513" t="inlineStr"/>
      <c r="L513" t="inlineStr"/>
      <c r="M513" t="inlineStr"/>
      <c r="N513" t="inlineStr"/>
      <c r="O513">
        <f>(1-Summary!$B$11)*T513+Summary!$B$11*V513</f>
        <v/>
      </c>
      <c r="P513">
        <f>IF(B532=0,0,O513/B532)</f>
        <v/>
      </c>
      <c r="Q513">
        <f>IFERROR(1/IF(Inputs!$B$39="pvp",15,MAX(0.1,Skills!D20-IF(TRUE=TRUE,Inputs!$B$33,0))),0)</f>
        <v/>
      </c>
      <c r="R513">
        <f>IF(AND(Inputs!$B$39&lt;&gt;"pvp",Inputs!$B$44&gt;0),IF(Inputs!$B$44&lt;=0,0,(INT(Inputs!$B$44/IF(Inputs!$B$39="pvp",15,MAX(0.1,Skills!D20-IF(TRUE=TRUE,Inputs!$B$33,0))))+1)),0)</f>
        <v/>
      </c>
      <c r="S513">
        <f>IFERROR(O513/N513,0)</f>
        <v/>
      </c>
      <c r="T513" t="n">
        <v>0</v>
      </c>
      <c r="V513" t="n">
        <v>0</v>
      </c>
    </row>
    <row r="514">
      <c r="A514">
        <f>Skills!A21</f>
        <v/>
      </c>
      <c r="B514">
        <f>Skills!B21</f>
        <v/>
      </c>
      <c r="C514">
        <f>Inputs!$B$3&gt;=33</f>
        <v/>
      </c>
      <c r="D514">
        <f>IF(Skills!C21=1,60+Inputs!$B$26+Inputs!$B$30,IF(Skills!C21=2,90+Inputs!$B$27+Inputs!$B$30,IF(Skills!C21=3,120+Inputs!$B$28+Inputs!$B$30,MAX(0,(Inputs!$B$3-100)*3)+Inputs!$B$29+Inputs!$B$30)))</f>
        <v/>
      </c>
      <c r="E514">
        <f>INDEX(FactorTable!$B$2:$Y$301, MATCH(ROUND(MIN(300,MAX(1,D514)),0), FactorTable!$A$2:$A$301,0), Skills!M21+1)</f>
        <v/>
      </c>
      <c r="F514">
        <f>IF(Skills!N21=TRUE,(Skills!L21/10)*(E514/1000),Skills!L21/10)+Skills!O21</f>
        <v/>
      </c>
      <c r="G514">
        <f>Skills!G21*IF(Skills!H21&gt;0,INT(IF(Inputs!$B$39="pvp",MIN(Skills!I21,15),Skills!I21)/Skills!H21+0.000000001),1)</f>
        <v/>
      </c>
      <c r="H514">
        <f>1-(1-Skills!J21/100)^Skills!K21</f>
        <v/>
      </c>
      <c r="I514" t="inlineStr">
        <is>
          <t>1</t>
        </is>
      </c>
      <c r="J514" t="inlineStr"/>
      <c r="K514" t="inlineStr"/>
      <c r="L514" t="inlineStr"/>
      <c r="M514" t="inlineStr"/>
      <c r="N514" t="inlineStr"/>
      <c r="O514">
        <f>(1-Summary!$B$11)*T514+Summary!$B$11*V514</f>
        <v/>
      </c>
      <c r="P514">
        <f>IF(B532=0,0,O514/B532)</f>
        <v/>
      </c>
      <c r="Q514" t="n">
        <v>0</v>
      </c>
      <c r="R514" t="n">
        <v>0</v>
      </c>
      <c r="S514">
        <f>IFERROR(O514/N514,0)</f>
        <v/>
      </c>
      <c r="T514" t="n">
        <v>0</v>
      </c>
      <c r="V514" t="n">
        <v>0</v>
      </c>
    </row>
    <row r="515">
      <c r="A515">
        <f>Skills!A22</f>
        <v/>
      </c>
      <c r="B515">
        <f>Skills!B22</f>
        <v/>
      </c>
      <c r="C515">
        <f>Inputs!$B$3&gt;=43</f>
        <v/>
      </c>
      <c r="D515">
        <f>IF(Skills!C22=1,60+Inputs!$B$26+Inputs!$B$30,IF(Skills!C22=2,90+Inputs!$B$27+Inputs!$B$30,IF(Skills!C22=3,120+Inputs!$B$28+Inputs!$B$30,MAX(0,(Inputs!$B$3-100)*3)+Inputs!$B$29+Inputs!$B$30)))</f>
        <v/>
      </c>
      <c r="E515">
        <f>INDEX(FactorTable!$B$2:$Y$301, MATCH(ROUND(MIN(300,MAX(1,D515)),0), FactorTable!$A$2:$A$301,0), Skills!M22+1)</f>
        <v/>
      </c>
      <c r="F515">
        <f>IF(Skills!N22=TRUE,(Skills!L22/10)*(E515/1000),Skills!L22/10)+Skills!O22</f>
        <v/>
      </c>
      <c r="G515">
        <f>Skills!G22*IF(Skills!H22&gt;0,INT(IF(Inputs!$B$39="pvp",MIN(Skills!I22,15),Skills!I22)/Skills!H22+0.000000001),1)</f>
        <v/>
      </c>
      <c r="H515">
        <f>1-(1-Skills!J22/100)^Skills!K22</f>
        <v/>
      </c>
      <c r="I515" t="inlineStr">
        <is>
          <t>1</t>
        </is>
      </c>
      <c r="J515" t="inlineStr"/>
      <c r="K515" t="inlineStr"/>
      <c r="L515" t="inlineStr"/>
      <c r="M515" t="inlineStr"/>
      <c r="N515" t="inlineStr"/>
      <c r="O515">
        <f>(1-Summary!$B$11)*T515+Summary!$B$11*V515</f>
        <v/>
      </c>
      <c r="P515">
        <f>IF(B532=0,0,O515/B532)</f>
        <v/>
      </c>
      <c r="Q515" t="n">
        <v>0</v>
      </c>
      <c r="R515" t="n">
        <v>0</v>
      </c>
      <c r="S515">
        <f>IFERROR(O515/N515,0)</f>
        <v/>
      </c>
      <c r="T515" t="n">
        <v>0</v>
      </c>
      <c r="V515" t="n">
        <v>0</v>
      </c>
    </row>
    <row r="516">
      <c r="A516">
        <f>Skills!A23</f>
        <v/>
      </c>
      <c r="B516">
        <f>Skills!B23</f>
        <v/>
      </c>
      <c r="C516">
        <f>Inputs!$B$3&gt;=120</f>
        <v/>
      </c>
      <c r="D516">
        <f>IF(Skills!C23=1,60+Inputs!$B$26+Inputs!$B$30,IF(Skills!C23=2,90+Inputs!$B$27+Inputs!$B$30,IF(Skills!C23=3,120+Inputs!$B$28+Inputs!$B$30,MAX(0,(Inputs!$B$3-100)*3)+Inputs!$B$29+Inputs!$B$30)))</f>
        <v/>
      </c>
      <c r="E516">
        <f>INDEX(FactorTable!$B$2:$Y$301, MATCH(ROUND(MIN(300,MAX(1,D516)),0), FactorTable!$A$2:$A$301,0), Skills!M23+1)</f>
        <v/>
      </c>
      <c r="F516">
        <f>IF(Skills!N23=TRUE,(Skills!L23/10)*(E516/1000),Skills!L23/10)+Skills!O23</f>
        <v/>
      </c>
      <c r="G516">
        <f>Skills!G23*IF(Skills!H23&gt;0,INT(IF(Inputs!$B$39="pvp",MIN(Skills!I23,15),Skills!I23)/Skills!H23+0.000000001),1)</f>
        <v/>
      </c>
      <c r="H516">
        <f>1-(1-Skills!J23/100)^Skills!K23</f>
        <v/>
      </c>
      <c r="I516" t="inlineStr">
        <is>
          <t>1</t>
        </is>
      </c>
      <c r="J516" t="inlineStr"/>
      <c r="K516" t="inlineStr"/>
      <c r="L516" t="inlineStr"/>
      <c r="M516" t="inlineStr"/>
      <c r="N516" t="inlineStr"/>
      <c r="O516">
        <f>(1-Summary!$B$11)*T516+Summary!$B$11*V516</f>
        <v/>
      </c>
      <c r="P516">
        <f>IF(B532=0,0,O516/B532)</f>
        <v/>
      </c>
      <c r="Q516" t="n">
        <v>0</v>
      </c>
      <c r="R516" t="n">
        <v>0</v>
      </c>
      <c r="S516">
        <f>IFERROR(O516/N516,0)</f>
        <v/>
      </c>
      <c r="T516" t="n">
        <v>0</v>
      </c>
      <c r="V516" t="n">
        <v>0</v>
      </c>
    </row>
    <row r="517">
      <c r="A517">
        <f>Skills!A24</f>
        <v/>
      </c>
      <c r="B517">
        <f>Skills!B24</f>
        <v/>
      </c>
      <c r="C517">
        <f>Inputs!$B$3&gt;=120</f>
        <v/>
      </c>
      <c r="D517">
        <f>IF(Skills!C24=1,60+Inputs!$B$26+Inputs!$B$30,IF(Skills!C24=2,90+Inputs!$B$27+Inputs!$B$30,IF(Skills!C24=3,120+Inputs!$B$28+Inputs!$B$30,MAX(0,(Inputs!$B$3-100)*3)+Inputs!$B$29+Inputs!$B$30)))</f>
        <v/>
      </c>
      <c r="E517">
        <f>INDEX(FactorTable!$B$2:$Y$301, MATCH(ROUND(MIN(300,MAX(1,D517)),0), FactorTable!$A$2:$A$301,0), Skills!M24+1)</f>
        <v/>
      </c>
      <c r="F517">
        <f>IF(Skills!N24=TRUE,(Skills!L24/10)*(E517/1000),Skills!L24/10)+Skills!O24</f>
        <v/>
      </c>
      <c r="G517">
        <f>Skills!G24*IF(Skills!H24&gt;0,INT(IF(Inputs!$B$39="pvp",MIN(Skills!I24,15),Skills!I24)/Skills!H24+0.000000001),1)</f>
        <v/>
      </c>
      <c r="H517">
        <f>1-(1-Skills!J24/100)^Skills!K24</f>
        <v/>
      </c>
      <c r="I517" t="inlineStr">
        <is>
          <t>1</t>
        </is>
      </c>
      <c r="J517" t="inlineStr"/>
      <c r="K517" t="inlineStr"/>
      <c r="L517" t="inlineStr"/>
      <c r="M517" t="inlineStr"/>
      <c r="N517" t="inlineStr"/>
      <c r="O517">
        <f>(1-Summary!$B$11)*T517+Summary!$B$11*V517</f>
        <v/>
      </c>
      <c r="P517">
        <f>IF(B532=0,0,O517/B532)</f>
        <v/>
      </c>
      <c r="Q517" t="n">
        <v>0</v>
      </c>
      <c r="R517" t="n">
        <v>0</v>
      </c>
      <c r="S517">
        <f>IFERROR(O517/N517,0)</f>
        <v/>
      </c>
      <c r="T517" t="n">
        <v>0</v>
      </c>
      <c r="V517" t="n">
        <v>0</v>
      </c>
    </row>
    <row r="518">
      <c r="A518">
        <f>Skills!A25</f>
        <v/>
      </c>
      <c r="B518">
        <f>Skills!B25</f>
        <v/>
      </c>
      <c r="C518">
        <f>Inputs!$B$3&gt;=125</f>
        <v/>
      </c>
      <c r="D518">
        <f>IF(Skills!C25=1,60+Inputs!$B$26+Inputs!$B$30,IF(Skills!C25=2,90+Inputs!$B$27+Inputs!$B$30,IF(Skills!C25=3,120+Inputs!$B$28+Inputs!$B$30,MAX(0,(Inputs!$B$3-100)*3)+Inputs!$B$29+Inputs!$B$30)))</f>
        <v/>
      </c>
      <c r="E518">
        <f>INDEX(FactorTable!$B$2:$Y$301, MATCH(ROUND(MIN(300,MAX(1,D518)),0), FactorTable!$A$2:$A$301,0), Skills!M25+1)</f>
        <v/>
      </c>
      <c r="F518">
        <f>IF(Skills!N25=TRUE,(Skills!L25/10)*(E518/1000),Skills!L25/10)+Skills!O25</f>
        <v/>
      </c>
      <c r="G518">
        <f>Skills!G25*IF(Skills!H25&gt;0,INT(IF(Inputs!$B$39="pvp",MIN(Skills!I25,15),Skills!I25)/Skills!H25+0.000000001),1)</f>
        <v/>
      </c>
      <c r="H518">
        <f>1-(1-Skills!J25/100)^Skills!K25</f>
        <v/>
      </c>
      <c r="I518" t="inlineStr">
        <is>
          <t>1</t>
        </is>
      </c>
      <c r="J518" t="inlineStr"/>
      <c r="K518" t="inlineStr"/>
      <c r="L518" t="inlineStr"/>
      <c r="M518" t="inlineStr"/>
      <c r="N518" t="inlineStr"/>
      <c r="O518">
        <f>(1-Summary!$B$11)*T518+Summary!$B$11*V518</f>
        <v/>
      </c>
      <c r="P518">
        <f>IF(B532=0,0,O518/B532)</f>
        <v/>
      </c>
      <c r="Q518" t="n">
        <v>0</v>
      </c>
      <c r="R518" t="n">
        <v>0</v>
      </c>
      <c r="S518">
        <f>IFERROR(O518/N518,0)</f>
        <v/>
      </c>
      <c r="T518" t="n">
        <v>0</v>
      </c>
      <c r="V518" t="n">
        <v>0</v>
      </c>
    </row>
    <row r="519">
      <c r="A519">
        <f>Skills!A26</f>
        <v/>
      </c>
      <c r="B519">
        <f>Skills!B26</f>
        <v/>
      </c>
      <c r="C519">
        <f>Inputs!$B$3&gt;=107</f>
        <v/>
      </c>
      <c r="D519">
        <f>IF(Skills!C26=1,60+Inputs!$B$26+Inputs!$B$30,IF(Skills!C26=2,90+Inputs!$B$27+Inputs!$B$30,IF(Skills!C26=3,120+Inputs!$B$28+Inputs!$B$30,MAX(0,(Inputs!$B$3-100)*3)+Inputs!$B$29+Inputs!$B$30)))</f>
        <v/>
      </c>
      <c r="E519">
        <f>INDEX(FactorTable!$B$2:$Y$301, MATCH(ROUND(MIN(300,MAX(1,D519)),0), FactorTable!$A$2:$A$301,0), Skills!M26+1)</f>
        <v/>
      </c>
      <c r="F519">
        <f>IF(Skills!N26=TRUE,(Skills!L26/10)*(E519/1000),Skills!L26/10)+Skills!O26</f>
        <v/>
      </c>
      <c r="G519">
        <f>Skills!G26*IF(Skills!H26&gt;0,INT(IF(Inputs!$B$39="pvp",MIN(Skills!I26,15),Skills!I26)/Skills!H26+0.000000001),1)</f>
        <v/>
      </c>
      <c r="H519">
        <f>1-(1-Skills!J26/100)^Skills!K26</f>
        <v/>
      </c>
      <c r="I519" t="inlineStr">
        <is>
          <t>1</t>
        </is>
      </c>
      <c r="J519" t="inlineStr"/>
      <c r="K519" t="inlineStr"/>
      <c r="L519" t="inlineStr"/>
      <c r="M519" t="inlineStr"/>
      <c r="N519" t="inlineStr"/>
      <c r="O519">
        <f>(1-Summary!$B$11)*T519+Summary!$B$11*V519</f>
        <v/>
      </c>
      <c r="P519">
        <f>IF(B532=0,0,O519/B532)</f>
        <v/>
      </c>
      <c r="Q519" t="n">
        <v>0</v>
      </c>
      <c r="R519" t="n">
        <v>0</v>
      </c>
      <c r="S519">
        <f>IFERROR(O519/N519,0)</f>
        <v/>
      </c>
      <c r="T519" t="n">
        <v>0</v>
      </c>
      <c r="V519" t="n">
        <v>0</v>
      </c>
    </row>
    <row r="521">
      <c r="A521" t="inlineStr">
        <is>
          <t>Attack% Bucket Multiplier</t>
        </is>
      </c>
      <c r="B521">
        <f>(1+(((C506=TRUE)*F506*IF(AND(Inputs!$B$39&lt;&gt;"pvp",Inputs!$B$44&gt;0),(((R506-1)*MIN((Skills!T13*(1+Inputs!$B$35/100)),(1/Q506))+MIN((Skills!T13*(1+Inputs!$B$35/100)),MAX(0,Inputs!$B$44-((R506-1)*(1/Q506)))))/Inputs!$B$44),IF(Inputs!$B$39="pvp",MIN((Skills!T13*(1+Inputs!$B$35/100)),15)/15,MIN(1,(Skills!T13*(1+Inputs!$B$35/100))/(1/Q506)))))+((C507=TRUE)*F507*IF(AND(Inputs!$B$39&lt;&gt;"pvp",Inputs!$B$44&gt;0),(((R507-1)*MIN((Skills!T14*(1+Inputs!$B$35/100)),(1/Q507))+MIN((Skills!T14*(1+Inputs!$B$35/100)),MAX(0,Inputs!$B$44-((R507-1)*(1/Q507)))))/Inputs!$B$44),IF(Inputs!$B$39="pvp",MIN((Skills!T14*(1+Inputs!$B$35/100)),15)/15,MIN(1,(Skills!T14*(1+Inputs!$B$35/100))/(1/Q507)))))+((C508=TRUE)*F508*IF(AND(Inputs!$B$39&lt;&gt;"pvp",Inputs!$B$44&gt;0),(((R508-1)*MIN((Skills!T15*(1+Inputs!$B$35/100)),(1/Q508))+MIN((Skills!T15*(1+Inputs!$B$35/100)),MAX(0,Inputs!$B$44-((R508-1)*(1/Q508)))))/Inputs!$B$44),IF(Inputs!$B$39="pvp",MIN((Skills!T15*(1+Inputs!$B$35/100)),15)/15,MIN(1,(Skills!T15*(1+Inputs!$B$35/100))/(1/Q508)))))+((C509=TRUE)*F509*IF(AND(Inputs!$B$39&lt;&gt;"pvp",Inputs!$B$44&gt;0),(((R509-1)*MIN((Skills!T16*(1+Inputs!$B$35/100)),(1/Q509))+MIN((Skills!T16*(1+Inputs!$B$35/100)),MAX(0,Inputs!$B$44-((R509-1)*(1/Q509)))))/Inputs!$B$44),IF(Inputs!$B$39="pvp",MIN((Skills!T16*(1+Inputs!$B$35/100)),15)/15,MIN(1,(Skills!T16*(1+Inputs!$B$35/100))/(1/Q509)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522">
      <c r="A522" t="inlineStr">
        <is>
          <t>Global Crit Rate Bonus % (Lord of Darkness)</t>
        </is>
      </c>
      <c r="B522">
        <f>((C511=TRUE)*F511*(Skills!J18/100)*IF(AND(Inputs!$B$39&lt;&gt;"pvp",Inputs!$B$44&gt;0),(((R511-1)*MIN((Skills!T18*(1+Inputs!$B$35/100)),(1/Q511))+MIN((Skills!T18*(1+Inputs!$B$35/100)),MAX(0,Inputs!$B$44-((R511-1)*(1/Q511)))))/Inputs!$B$44),IF(Inputs!$B$39="pvp",MIN((Skills!T18*(1+Inputs!$B$35/100)),15)/15,MIN(1,(Skills!T18*(1+Inputs!$B$35/100))/(1/Q511)))))</f>
        <v/>
      </c>
    </row>
    <row r="523">
      <c r="A523" t="inlineStr">
        <is>
          <t>Attack Speed Buff Bonus %</t>
        </is>
      </c>
      <c r="B523">
        <f>((C513=TRUE)*F513*IF(AND(Inputs!$B$39&lt;&gt;"pvp",Inputs!$B$44&gt;0),(((R513-1)*MIN((Skills!T20*(1+Inputs!$B$35/100)),(1/Q513))+MIN((Skills!T20*(1+Inputs!$B$35/100)),MAX(0,Inputs!$B$44-((R513-1)*(1/Q513)))))/Inputs!$B$44),IF(Inputs!$B$39="pvp",MIN((Skills!T20*(1+Inputs!$B$35/100)),15)/15,MIN(1,(Skills!T20*(1+Inputs!$B$35/100))/(1/Q513)))))</f>
        <v/>
      </c>
    </row>
    <row r="524">
      <c r="A524" t="inlineStr">
        <is>
          <t>Actions Per Second</t>
        </is>
      </c>
      <c r="B524">
        <f>1+MIN(150,150*(1-(1-(Inputs!$B$12+((C514=TRUE)*(F514-Calc!F21)))/150)*(1-B523/150)))/100</f>
        <v/>
      </c>
    </row>
    <row r="525">
      <c r="A525" t="inlineStr">
        <is>
          <t>Skill + Buff Cast Rate</t>
        </is>
      </c>
      <c r="B525">
        <f>IF(AND(Inputs!$B$39&lt;&gt;"pvp",Inputs!$B$44&gt;0),SUMPRODUCT((Skills!E2:E26=TRUE)*(C495:C519=TRUE)*R495:R519*Skills!F2:F26)/Inputs!$B$44,SUMPRODUCT((Skills!E2:E26=TRUE)*(C495:C519=TRUE)*Q495:Q519*Skills!F2:F26))</f>
        <v/>
      </c>
    </row>
    <row r="526">
      <c r="A526" t="inlineStr">
        <is>
          <t>Dark Impale Casts Per Second</t>
        </is>
      </c>
      <c r="B526">
        <f>MAX(0,B524-B525)</f>
        <v/>
      </c>
    </row>
    <row r="527">
      <c r="A527" t="inlineStr">
        <is>
          <t>Global Critical Damage Bonus % (Lord of Darkness)</t>
        </is>
      </c>
      <c r="B527">
        <f>((C512=TRUE)*F512*(Skills!J19/100)*IF(AND(Inputs!$B$39&lt;&gt;"pvp",Inputs!$B$44&gt;0),(((R512-1)*MIN((Skills!T19*(1+Inputs!$B$35/100)),(1/Q512))+MIN((Skills!T19*(1+Inputs!$B$35/100)),MAX(0,Inputs!$B$44-((R512-1)*(1/Q512)))))/Inputs!$B$44),IF(Inputs!$B$39="pvp",MIN((Skills!T19*(1+Inputs!$B$35/100)),15)/15,MIN(1,(Skills!T19*(1+Inputs!$B$35/100))/(1/Q512)))))</f>
        <v/>
      </c>
    </row>
    <row r="528">
      <c r="A528" t="inlineStr">
        <is>
          <t>Global Final Damage Bonus % (unused)</t>
        </is>
      </c>
      <c r="B528" t="n">
        <v>0</v>
      </c>
    </row>
    <row r="529">
      <c r="A529" t="inlineStr">
        <is>
          <t>Buff-Casting Startup Delay (s, fixed-duration only)</t>
        </is>
      </c>
      <c r="B529">
        <f>IF(AND(Inputs!$B$39&lt;&gt;"pvp",Inputs!$B$44&gt;0),SUMPRODUCT((Skills!T2:T26&gt;0)*(Skills!E2:E26=TRUE)*(C495:C519=TRUE))/B524,0)</f>
        <v/>
      </c>
    </row>
    <row r="530">
      <c r="A530" t="inlineStr">
        <is>
          <t>Boss-Only Total DPS (this block's swept value)</t>
        </is>
      </c>
      <c r="B530">
        <f>SUM(T495:T519)</f>
        <v/>
      </c>
    </row>
    <row r="531">
      <c r="A531" t="inlineStr">
        <is>
          <t>Normal-Only Total DPS (this block's swept value)</t>
        </is>
      </c>
      <c r="B531">
        <f>SUM(V495:V519)</f>
        <v/>
      </c>
    </row>
    <row r="532">
      <c r="A532" s="6" t="inlineStr">
        <is>
          <t>TOTAL DPS</t>
        </is>
      </c>
      <c r="B532" s="6">
        <f>SUM(O495:O519)</f>
        <v/>
      </c>
    </row>
    <row r="535">
      <c r="A535" s="6" t="inlineStr">
        <is>
          <t>Stat: MAX_DAMAGE %</t>
        </is>
      </c>
    </row>
    <row r="536">
      <c r="A536" s="5" t="inlineStr">
        <is>
          <t>Key</t>
        </is>
      </c>
      <c r="B536" s="5" t="inlineStr">
        <is>
          <t>Name</t>
        </is>
      </c>
      <c r="C536" s="5" t="inlineStr">
        <is>
          <t>Unlocked</t>
        </is>
      </c>
      <c r="D536" s="5" t="inlineStr">
        <is>
          <t>InputLevel</t>
        </is>
      </c>
      <c r="E536" s="5" t="inlineStr">
        <is>
          <t>Factor</t>
        </is>
      </c>
      <c r="F536" s="5" t="inlineStr">
        <is>
          <t>CoefficientPercent</t>
        </is>
      </c>
      <c r="G536" s="5" t="inlineStr">
        <is>
          <t>EffectiveHits</t>
        </is>
      </c>
      <c r="H536" s="5" t="inlineStr">
        <is>
          <t>ProcProbability</t>
        </is>
      </c>
      <c r="I536" s="5" t="inlineStr">
        <is>
          <t>MapleHeroMultiplier</t>
        </is>
      </c>
      <c r="J536" s="5" t="inlineStr">
        <is>
          <t>BaseDamage</t>
        </is>
      </c>
      <c r="K536" s="5" t="inlineStr">
        <is>
          <t>BaseHitDamage</t>
        </is>
      </c>
      <c r="L536" s="5" t="inlineStr">
        <is>
          <t>NonCritAvg</t>
        </is>
      </c>
      <c r="M536" s="5" t="inlineStr">
        <is>
          <t>CritAvg</t>
        </is>
      </c>
      <c r="N536" s="5" t="inlineStr">
        <is>
          <t>ExpectedDamage(perHit)</t>
        </is>
      </c>
      <c r="O536" s="5" t="inlineStr">
        <is>
          <t>DPS</t>
        </is>
      </c>
      <c r="P536" s="5" t="inlineStr">
        <is>
          <t>% of Total</t>
        </is>
      </c>
      <c r="Q536" s="5" t="inlineStr">
        <is>
          <t>InvCooldown</t>
        </is>
      </c>
      <c r="R536" s="5" t="inlineStr">
        <is>
          <t>CastsInFight</t>
        </is>
      </c>
      <c r="S536" s="5" t="inlineStr">
        <is>
          <t>HitRate(perSec)</t>
        </is>
      </c>
      <c r="U536" t="inlineStr">
        <is>
          <t>helpers</t>
        </is>
      </c>
    </row>
    <row r="537">
      <c r="A537">
        <f>Skills!A2</f>
        <v/>
      </c>
      <c r="B537">
        <f>Skills!B2</f>
        <v/>
      </c>
      <c r="C537">
        <f>Inputs!$B$3&gt;=100</f>
        <v/>
      </c>
      <c r="D537" t="inlineStr"/>
      <c r="E537" t="inlineStr"/>
      <c r="F537">
        <f>U539+Skills!O2</f>
        <v/>
      </c>
      <c r="G537">
        <f>Skills!G2*IF(Skills!H2&gt;0,INT(IF(Inputs!$B$39="pvp",MIN(Skills!I2,15),Skills!I2)/Skills!H2+0.000000001),1)</f>
        <v/>
      </c>
      <c r="H537">
        <f>1-(1-Skills!J2/100)^Skills!K2</f>
        <v/>
      </c>
      <c r="I537" t="inlineStr">
        <is>
          <t>1</t>
        </is>
      </c>
      <c r="J537">
        <f>((Inputs!$B$6*(1+Inputs!$B$7/100))+(((Inputs!$B$13*(1+Inputs!$B$14/100))-(Inputs!$B$13*(1+Inputs!$B$14/100)))+0.25*(Inputs!$B$15-Inputs!$B$15))*(1+Inputs!$B$7/100))*(F537/100)</f>
        <v/>
      </c>
      <c r="K537">
        <f>J537*(1+(((Inputs!$B$13+IF(Inputs!$B$3&gt;=38,(10*INDEX(FactorTable!$B$2:$Y$301, MATCH(ROUND(MIN(300,MAX(1,Inputs!$B$3)),0), FactorTable!$A$2:$A$301,0), 23)/1000)/100*(Inputs!$B$8*(1+Inputs!$B$9/100)),0))*(1+Inputs!$B$14/100))*0.01+Inputs!$B$15*0.0025)/100)*(1+Inputs!$B$16/100)*(1+Inputs!$B$17/100)*(5000/(6000+Inputs!$B$43*(1-(Inputs!$B$20+0)/100)))*(1+(Inputs!$B$25+((C560=TRUE)*(F560-Calc!F25))+((C561=TRUE)*(F561-Calc!F26))+B570)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gt;=100),MIN(100,((Inputs!$B$10+0+B564+(ArtifactsInput!$M$24-ArtifactsInput!$M$24)*CHOOSE(ArtifactsInput!$N$24+1,10,12,14,16,18,20)+IF(ArtifactsInput!$M$10,CHOOSE(ArtifactsInput!$N$10+1,15,18,21,24,27,30)*(IF(Inputs!$B$39="pvp",MIN(15,15)/15,IF(AND(Inputs!$B$39&lt;&gt;"pvp",Inputs!$B$44&gt;0),MIN(15,Inputs!$B$44)/(Inputs!$B$44),0))),0)))-100),0))*CHOOSE(ArtifactsInput!$N$42+1,0.6,0.72,0.84,0.96,1.08,1.2))),Inputs!$B$19+((C558=TRUE)*(F558-Calc!F23))+(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gt;=100),CHOOSE(ArtifactsInput!$N$42+1,40,48,56,64,72,80),0))))/100)*((1+(((C548=TRUE)*F548*IF(AND(Inputs!$B$39&lt;&gt;"pvp",Inputs!$B$44&gt;0),(((R548-1)*MIN((Skills!T13*(1+Inputs!$B$35/100)),(1/Q548))+MIN((Skills!T13*(1+Inputs!$B$35/100)),MAX(0,Inputs!$B$44-((R548-1)*(1/Q548)))))/Inputs!$B$44),IF(Inputs!$B$39="pvp",MIN((Skills!T13*(1+Inputs!$B$35/100)),15)/15,MIN(1,(Skills!T13*(1+Inputs!$B$35/100))/(1/Q548)))))+((C549=TRUE)*F549*IF(AND(Inputs!$B$39&lt;&gt;"pvp",Inputs!$B$44&gt;0),(((R549-1)*MIN((Skills!T14*(1+Inputs!$B$35/100)),(1/Q549))+MIN((Skills!T14*(1+Inputs!$B$35/100)),MAX(0,Inputs!$B$44-((R549-1)*(1/Q549)))))/Inputs!$B$44),IF(Inputs!$B$39="pvp",MIN((Skills!T14*(1+Inputs!$B$35/100)),15)/15,MIN(1,(Skills!T14*(1+Inputs!$B$35/100))/(1/Q549)))))+((C550=TRUE)*F550*IF(AND(Inputs!$B$39&lt;&gt;"pvp",Inputs!$B$44&gt;0),(((R550-1)*MIN((Skills!T15*(1+Inputs!$B$35/100)),(1/Q550))+MIN((Skills!T15*(1+Inputs!$B$35/100)),MAX(0,Inputs!$B$44-((R550-1)*(1/Q550)))))/Inputs!$B$44),IF(Inputs!$B$39="pvp",MIN((Skills!T15*(1+Inputs!$B$35/100)),15)/15,MIN(1,(Skills!T15*(1+Inputs!$B$35/100))/(1/Q550)))))+((C551=TRUE)*F551*IF(AND(Inputs!$B$39&lt;&gt;"pvp",Inputs!$B$44&gt;0),(((R551-1)*MIN((Skills!T16*(1+Inputs!$B$35/100)),(1/Q551))+MIN((Skills!T16*(1+Inputs!$B$35/100)),MAX(0,Inputs!$B$44-((R551-1)*(1/Q551)))))/Inputs!$B$44),IF(Inputs!$B$39="pvp",MIN((Skills!T16*(1+Inputs!$B$35/100)),15)/15,MIN(1,(Skills!T16*(1+Inputs!$B$35/100))/(1/Q551)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537)</f>
        <v/>
      </c>
      <c r="L537">
        <f>K537*(MIN(Inputs!$B$23+((C557=TRUE)*(F557-Calc!F22)),((Inputs!$B$24+1)+((C559=TRUE)*(F559-Calc!F24))+(IF(ArtifactsInput!$M$15,CHOOSE(ArtifactsInput!$N$15+1,25,30,35,40,45,50)/100*(Inputs!$B$12-Inputs!$B$12),0))))/100+((Inputs!$B$24+1)+((C559=TRUE)*(F559-Calc!F24))+(IF(ArtifactsInput!$M$15,CHOOSE(ArtifactsInput!$N$15+1,25,30,35,40,45,50)/100*(Inputs!$B$12-Inputs!$B$12),0)))/100)/2</f>
        <v/>
      </c>
      <c r="M537">
        <f>L537*(1+(Inputs!$B$11+0+B569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537">
        <f>L537*(1-MIN((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537*(MIN((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37">
        <f>(1-Summary!$B$11)*T537+Summary!$B$11*V537</f>
        <v/>
      </c>
      <c r="P537">
        <f>IF(B574=0,0,O537/B574)</f>
        <v/>
      </c>
      <c r="Q537" t="n">
        <v>0</v>
      </c>
      <c r="R537" t="n">
        <v>0</v>
      </c>
      <c r="S537">
        <f>IFERROR(O537/N537,0)</f>
        <v/>
      </c>
      <c r="T537">
        <f>IF(C537,(Skills!G2*N537*B568)*IF(Inputs!$B$39="pvp",1,1+(Inputs!$B$21+0+Skills!P2+((C552=TRUE)*F552*IF(AND(Inputs!$B$39&lt;&gt;"pvp",Inputs!$B$44&gt;0),(((R552-1)*MIN((Skills!T17*(1+Inputs!$B$35/100)),(1/Q552))+MIN((Skills!T17*(1+Inputs!$B$35/100)),MAX(0,Inputs!$B$44-((R552-1)*(1/Q552)))))/Inputs!$B$44),IF(Inputs!$B$39="pvp",MIN((Skills!T17*(1+Inputs!$B$35/100)),15)/15,MIN(1,(Skills!T17*(1+Inputs!$B$35/100))/(1/Q552)))))+((C540=TRUE)*IF(Inputs!$B$3&gt;=126,10*MIN(1,15*Q540),0))+((C549=TRUE)*IF(Inputs!$B$39="pvp",20,(1-Summary!$B$11)*(20)+Summary!$B$11*(0))*IF(AND(Inputs!$B$39&lt;&gt;"pvp",Inputs!$B$44&gt;0),(((R549-1)*MIN((Skills!T14*(1+Inputs!$B$35/100)),(1/Q549))+MIN((Skills!T14*(1+Inputs!$B$35/100)),MAX(0,Inputs!$B$44-((R549-1)*(1/Q549)))))/Inputs!$B$44),IF(Inputs!$B$39="pvp",MIN((Skills!T14*(1+Inputs!$B$35/100)),15)/15,MIN(1,(Skills!T14*(1+Inputs!$B$35/100))/(1/Q549)))))+((C548=TRUE)*IF(Inputs!$B$3&gt;=82,IF(Inputs!$B$39="pvp",20,(1-Summary!$B$11)*(20)+Summary!$B$11*(0)),0)*IF(AND(Inputs!$B$39&lt;&gt;"pvp",Inputs!$B$44&gt;0),(((R548-1)*MIN((Skills!T13*(1+Inputs!$B$35/100)),(1/Q548))+MIN((Skills!T13*(1+Inputs!$B$35/100)),MAX(0,Inputs!$B$44-((R548-1)*(1/Q548)))))/Inputs!$B$44),IF(Inputs!$B$39="pvp",MIN((Skills!T13*(1+Inputs!$B$35/100)),15)/15,MIN(1,(Skills!T13*(1+Inputs!$B$35/100))/(1/Q548)))))+(IF(AND(ArtifactsInput!$M$35,Inputs!$B$4&lt;&gt;"Chapter Hunt"),CHOOSE(ArtifactsInput!$N$35+1,15,18,21,24,27,30)*(1-EXP(-(0.2*B566)*5)),0)+IF(AND(ArtifactsInput!$M$22,Inputs!$B$4&lt;&gt;"Chapter Hunt"),CHOOSE(ArtifactsInput!$N$22+1,10,12,14,16,18,20)*((0*(((0.15*B566*5))^0/1)+1*(((0.15*B566*5))^1/1)+2*(((0.15*B566*5))^2/2)+3*(((0.15*B566*5))^3/6)+4*(((0.15*B566*5))^4/24)+5*(((0.15*B566*5))^5/120))/((((0.15*B566*5))^0/1)+(((0.15*B566*5))^1/1)+(((0.15*B566*5))^2/2)+(((0.15*B566*5))^3/6)+(((0.15*B566*5))^4/24)+(((0.15*B566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537*(1-MIN(100,(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537*(MIN(100,(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537*(1-MIN(100,(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537*(MIN(100,(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537">
        <f>MAX(0,(Inputs!$B$3-100)*3)+Inputs!$B$29+Inputs!$B$30</f>
        <v/>
      </c>
      <c r="V537">
        <f>IF(C537,(Skills!G2*N537*B568)*IF(Inputs!$B$39="pvp",1,(1+(Inputs!$B$22+Skills!Q2+((C552=TRUE)*F552*IF(AND(Inputs!$B$39&lt;&gt;"pvp",Inputs!$B$44&gt;0),(((R552-1)*MIN((Skills!T17*(1+Inputs!$B$35/100)),(1/Q552))+MIN((Skills!T17*(1+Inputs!$B$35/100)),MAX(0,Inputs!$B$44-((R552-1)*(1/Q552)))))/Inputs!$B$44),IF(Inputs!$B$39="pvp",MIN((Skills!T17*(1+Inputs!$B$35/100)),15)/15,MIN(1,(Skills!T17*(1+Inputs!$B$35/100))/(1/Q552)))))+((C540=TRUE)*IF(Inputs!$B$3&gt;=126,10*MIN(1,15*Q540),0))+((C549=TRUE)*IF(Inputs!$B$39="pvp",20,(1-Summary!$B$11)*(20)+Summary!$B$11*(0))*IF(AND(Inputs!$B$39&lt;&gt;"pvp",Inputs!$B$44&gt;0),(((R549-1)*MIN((Skills!T14*(1+Inputs!$B$35/100)),(1/Q549))+MIN((Skills!T14*(1+Inputs!$B$35/100)),MAX(0,Inputs!$B$44-((R549-1)*(1/Q549)))))/Inputs!$B$44),IF(Inputs!$B$39="pvp",MIN((Skills!T14*(1+Inputs!$B$35/100)),15)/15,MIN(1,(Skills!T14*(1+Inputs!$B$35/100))/(1/Q549)))))+((C548=TRUE)*IF(Inputs!$B$3&gt;=82,IF(Inputs!$B$39="pvp",20,(1-Summary!$B$11)*(20)+Summary!$B$11*(0)),0)*IF(AND(Inputs!$B$39&lt;&gt;"pvp",Inputs!$B$44&gt;0),(((R548-1)*MIN((Skills!T13*(1+Inputs!$B$35/100)),(1/Q548))+MIN((Skills!T13*(1+Inputs!$B$35/100)),MAX(0,Inputs!$B$44-((R548-1)*(1/Q548)))))/Inputs!$B$44),IF(Inputs!$B$39="pvp",MIN((Skills!T13*(1+Inputs!$B$35/100)),15)/15,MIN(1,(Skills!T13*(1+Inputs!$B$35/100))/(1/Q548)))))+(IF(AND(ArtifactsInput!$M$35,Inputs!$B$4&lt;&gt;"Chapter Hunt"),CHOOSE(ArtifactsInput!$N$35+1,15,18,21,24,27,30)*(1-EXP(-(0.2*B566)*5)),0)+IF(AND(ArtifactsInput!$M$22,Inputs!$B$4&lt;&gt;"Chapter Hunt"),CHOOSE(ArtifactsInput!$N$22+1,10,12,14,16,18,20)*((0*(((0.15*B566*5))^0/1)+1*(((0.15*B566*5))^1/1)+2*(((0.15*B566*5))^2/2)+3*(((0.15*B566*5))^3/6)+4*(((0.15*B566*5))^4/24)+5*(((0.15*B566*5))^5/120))/((((0.15*B566*5))^0/1)+(((0.15*B566*5))^1/1)+(((0.15*B566*5))^2/2)+(((0.15*B566*5))^3/6)+(((0.15*B566*5))^4/24)+(((0.15*B566*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38">
      <c r="A538">
        <f>Skills!A3</f>
        <v/>
      </c>
      <c r="B538">
        <f>Skills!B3</f>
        <v/>
      </c>
      <c r="C538">
        <f>Inputs!$B$3&gt;=50</f>
        <v/>
      </c>
      <c r="D538">
        <f>IF(Skills!C3=1,60+Inputs!$B$26+Inputs!$B$30,IF(Skills!C3=2,90+Inputs!$B$27+Inputs!$B$30,IF(Skills!C3=3,120+Inputs!$B$28+Inputs!$B$30,MAX(0,(Inputs!$B$3-100)*3)+Inputs!$B$29+Inputs!$B$30)))</f>
        <v/>
      </c>
      <c r="E538">
        <f>INDEX(FactorTable!$B$2:$Y$301, MATCH(ROUND(MIN(300,MAX(1,D538)),0), FactorTable!$A$2:$A$301,0), Skills!M3+1)</f>
        <v/>
      </c>
      <c r="F538">
        <f>IF(Skills!N3=TRUE,(Skills!L3/10)*(E538/1000),Skills!L3/10)+Skills!O3</f>
        <v/>
      </c>
      <c r="G538" t="inlineStr"/>
      <c r="H538" t="inlineStr"/>
      <c r="I538" t="inlineStr">
        <is>
          <t>1</t>
        </is>
      </c>
      <c r="J538" t="inlineStr"/>
      <c r="K538" t="inlineStr"/>
      <c r="L538" t="inlineStr"/>
      <c r="M538" t="inlineStr"/>
      <c r="N538" t="inlineStr"/>
      <c r="O538" t="inlineStr"/>
      <c r="P538" t="inlineStr"/>
      <c r="Q538" t="inlineStr"/>
      <c r="R538" t="inlineStr"/>
      <c r="S538" t="inlineStr"/>
      <c r="U538">
        <f>INDEX(FactorTable!$B$2:$Y$301, MATCH(ROUND(MIN(300,MAX(1,U537)),0), FactorTable!$A$2:$A$301,0), 22)</f>
        <v/>
      </c>
    </row>
    <row r="539">
      <c r="A539">
        <f>Skills!A4</f>
        <v/>
      </c>
      <c r="B539">
        <f>Skills!B4</f>
        <v/>
      </c>
      <c r="C539">
        <f>Inputs!$B$3&gt;=105</f>
        <v/>
      </c>
      <c r="D539">
        <f>IF(Skills!C4=1,60+Inputs!$B$26+Inputs!$B$30,IF(Skills!C4=2,90+Inputs!$B$27+Inputs!$B$30,IF(Skills!C4=3,120+Inputs!$B$28+Inputs!$B$30,MAX(0,(Inputs!$B$3-100)*3)+Inputs!$B$29+Inputs!$B$30)))</f>
        <v/>
      </c>
      <c r="E539">
        <f>INDEX(FactorTable!$B$2:$Y$301, MATCH(ROUND(MIN(300,MAX(1,D539)),0), FactorTable!$A$2:$A$301,0), Skills!M4+1)</f>
        <v/>
      </c>
      <c r="F539">
        <f>IF(Skills!N4=TRUE,(Skills!L4/10)*(E539/1000),Skills!L4/10)+Skills!O4</f>
        <v/>
      </c>
      <c r="G539" t="inlineStr"/>
      <c r="H539" t="inlineStr"/>
      <c r="I539" t="inlineStr">
        <is>
          <t>1</t>
        </is>
      </c>
      <c r="J539" t="inlineStr"/>
      <c r="K539" t="inlineStr"/>
      <c r="L539" t="inlineStr"/>
      <c r="M539" t="inlineStr"/>
      <c r="N539" t="inlineStr"/>
      <c r="O539" t="inlineStr"/>
      <c r="P539" t="inlineStr"/>
      <c r="Q539" t="inlineStr"/>
      <c r="R539" t="inlineStr"/>
      <c r="S539" t="inlineStr"/>
      <c r="U539">
        <f>290*U538/1000</f>
        <v/>
      </c>
    </row>
    <row r="540">
      <c r="A540">
        <f>Skills!A5</f>
        <v/>
      </c>
      <c r="B540">
        <f>Skills!B5</f>
        <v/>
      </c>
      <c r="C540">
        <f>Inputs!$B$3&gt;=117</f>
        <v/>
      </c>
      <c r="D540">
        <f>IF(Skills!C5=1,60+Inputs!$B$26+Inputs!$B$30,IF(Skills!C5=2,90+Inputs!$B$27+Inputs!$B$30,IF(Skills!C5=3,120+Inputs!$B$28+Inputs!$B$30,MAX(0,(Inputs!$B$3-100)*3)+Inputs!$B$29+Inputs!$B$30)))</f>
        <v/>
      </c>
      <c r="E540">
        <f>INDEX(FactorTable!$B$2:$Y$301, MATCH(ROUND(MIN(300,MAX(1,D540)),0), FactorTable!$A$2:$A$301,0), Skills!M5+1)</f>
        <v/>
      </c>
      <c r="F540">
        <f>IF(Skills!N5=TRUE,(Skills!L5/10)*(E540/1000),Skills!L5/10)+Skills!O5</f>
        <v/>
      </c>
      <c r="G540">
        <f>Skills!G5*IF(Skills!H5&gt;0,INT(IF(Inputs!$B$39="pvp",MIN(Skills!I5,15),Skills!I5)/Skills!H5+0.000000001),1)</f>
        <v/>
      </c>
      <c r="H540">
        <f>1-(1-Skills!J5/100)^Skills!K5</f>
        <v/>
      </c>
      <c r="I540" t="inlineStr">
        <is>
          <t>1</t>
        </is>
      </c>
      <c r="J540">
        <f>((Inputs!$B$6*(1+Inputs!$B$7/100))+(((Inputs!$B$13*(1+Inputs!$B$14/100))-(Inputs!$B$13*(1+Inputs!$B$14/100)))+0.25*(Inputs!$B$15-Inputs!$B$15))*(1+Inputs!$B$7/100))*(F540/100)</f>
        <v/>
      </c>
      <c r="K540">
        <f>J540*(1+(((Inputs!$B$13+IF(Inputs!$B$3&gt;=38,(10*INDEX(FactorTable!$B$2:$Y$301, MATCH(ROUND(MIN(300,MAX(1,Inputs!$B$3)),0), FactorTable!$A$2:$A$301,0), 23)/1000)/100*(Inputs!$B$8*(1+Inputs!$B$9/100)),0))*(1+Inputs!$B$14/100))*0.01+Inputs!$B$15*0.0025)/100)*(1+Inputs!$B$16/100)*(1+Inputs!$B$17/100)*(5000/(6000+Inputs!$B$43*(1-(Inputs!$B$20+0)/100)))*(1+(Inputs!$B$25+((C560=TRUE)*(F560-Calc!F25))+((C561=TRUE)*(F561-Calc!F26))+B570)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gt;=100),MIN(100,((Inputs!$B$10+0+B564+(ArtifactsInput!$M$24-ArtifactsInput!$M$24)*CHOOSE(ArtifactsInput!$N$24+1,10,12,14,16,18,20)+IF(ArtifactsInput!$M$10,CHOOSE(ArtifactsInput!$N$10+1,15,18,21,24,27,30)*(IF(Inputs!$B$39="pvp",MIN(15,15)/15,IF(AND(Inputs!$B$39&lt;&gt;"pvp",Inputs!$B$44&gt;0),MIN(15,Inputs!$B$44)/(Inputs!$B$44),0))),0)))-100),0))*CHOOSE(ArtifactsInput!$N$42+1,0.6,0.72,0.84,0.96,1.08,1.2))),Inputs!$B$19+((C558=TRUE)*(F558-Calc!F23))+(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gt;=100),CHOOSE(ArtifactsInput!$N$42+1,40,48,56,64,72,80),0))))/100)*((1+(((C548=TRUE)*F548*IF(AND(Inputs!$B$39&lt;&gt;"pvp",Inputs!$B$44&gt;0),(((R548-1)*MIN((Skills!T13*(1+Inputs!$B$35/100)),(1/Q548))+MIN((Skills!T13*(1+Inputs!$B$35/100)),MAX(0,Inputs!$B$44-((R548-1)*(1/Q548)))))/Inputs!$B$44),IF(Inputs!$B$39="pvp",MIN((Skills!T13*(1+Inputs!$B$35/100)),15)/15,MIN(1,(Skills!T13*(1+Inputs!$B$35/100))/(1/Q548)))))+((C549=TRUE)*F549*IF(AND(Inputs!$B$39&lt;&gt;"pvp",Inputs!$B$44&gt;0),(((R549-1)*MIN((Skills!T14*(1+Inputs!$B$35/100)),(1/Q549))+MIN((Skills!T14*(1+Inputs!$B$35/100)),MAX(0,Inputs!$B$44-((R549-1)*(1/Q549)))))/Inputs!$B$44),IF(Inputs!$B$39="pvp",MIN((Skills!T14*(1+Inputs!$B$35/100)),15)/15,MIN(1,(Skills!T14*(1+Inputs!$B$35/100))/(1/Q549)))))+((C550=TRUE)*F550*IF(AND(Inputs!$B$39&lt;&gt;"pvp",Inputs!$B$44&gt;0),(((R550-1)*MIN((Skills!T15*(1+Inputs!$B$35/100)),(1/Q550))+MIN((Skills!T15*(1+Inputs!$B$35/100)),MAX(0,Inputs!$B$44-((R550-1)*(1/Q550)))))/Inputs!$B$44),IF(Inputs!$B$39="pvp",MIN((Skills!T15*(1+Inputs!$B$35/100)),15)/15,MIN(1,(Skills!T15*(1+Inputs!$B$35/100))/(1/Q550)))))+((C551=TRUE)*F551*IF(AND(Inputs!$B$39&lt;&gt;"pvp",Inputs!$B$44&gt;0),(((R551-1)*MIN((Skills!T16*(1+Inputs!$B$35/100)),(1/Q551))+MIN((Skills!T16*(1+Inputs!$B$35/100)),MAX(0,Inputs!$B$44-((R551-1)*(1/Q551)))))/Inputs!$B$44),IF(Inputs!$B$39="pvp",MIN((Skills!T16*(1+Inputs!$B$35/100)),15)/15,MIN(1,(Skills!T16*(1+Inputs!$B$35/100))/(1/Q551)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540)</f>
        <v/>
      </c>
      <c r="L540">
        <f>K540*(MIN(Inputs!$B$23+((C557=TRUE)*(F557-Calc!F22)),((Inputs!$B$24+1)+((C559=TRUE)*(F559-Calc!F24))+(IF(ArtifactsInput!$M$15,CHOOSE(ArtifactsInput!$N$15+1,25,30,35,40,45,50)/100*(Inputs!$B$12-Inputs!$B$12),0))))/100+((Inputs!$B$24+1)+((C559=TRUE)*(F559-Calc!F24))+(IF(ArtifactsInput!$M$15,CHOOSE(ArtifactsInput!$N$15+1,25,30,35,40,45,50)/100*(Inputs!$B$12-Inputs!$B$12),0)))/100)/2</f>
        <v/>
      </c>
      <c r="M540">
        <f>L540*(1+(Inputs!$B$11+0+B569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540">
        <f>L540*(1-MIN((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540*(MIN((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40">
        <f>(1-Summary!$B$11)*T540+Summary!$B$11*V540</f>
        <v/>
      </c>
      <c r="P540">
        <f>IF(B574=0,0,O540/B574)</f>
        <v/>
      </c>
      <c r="Q540">
        <f>IFERROR(1/IF(Inputs!$B$39="pvp",15,MAX(0.1,Skills!D5-IF(TRUE=TRUE,Inputs!$B$33,0))),0)</f>
        <v/>
      </c>
      <c r="R540">
        <f>IF(AND(Inputs!$B$39&lt;&gt;"pvp",Inputs!$B$44&gt;0),IF(MAX(0,Inputs!$B$44-B571)&lt;=0,0,(INT(MAX(0,Inputs!$B$44-B571)/IF(Inputs!$B$39="pvp",15,MAX(0.1,Skills!D5-IF(TRUE=TRUE,Inputs!$B$33,0))))+1)),0)</f>
        <v/>
      </c>
      <c r="S540">
        <f>IFERROR(O540/N540,0)</f>
        <v/>
      </c>
      <c r="T540">
        <f>IF(C540,(H540*N540*IF(AND(Inputs!$B$39&lt;&gt;"pvp",Inputs!$B$44&gt;0),((Skills!G5*((R540-1)*IF(Skills!H5&gt;0,INT(Skills!I5/Skills!H5+0.000000001),1)+IF(Skills!H5&gt;0,INT(MIN(Skills!I5,MAX(0,MAX(0,Inputs!$B$44-B571)-((R540-1)*IF(Inputs!$B$39="pvp",15,MAX(0.1,Skills!D5-IF(TRUE=TRUE,Inputs!$B$33,0))))))/Skills!H5+0.000000001),1)))/Inputs!$B$44),G540*Q540))*IF(Inputs!$B$39="pvp",1,1+(Inputs!$B$21+0+Skills!P5+((C552=TRUE)*F552*IF(AND(Inputs!$B$39&lt;&gt;"pvp",Inputs!$B$44&gt;0),(((R552-1)*MIN((Skills!T17*(1+Inputs!$B$35/100)),(1/Q552))+MIN((Skills!T17*(1+Inputs!$B$35/100)),MAX(0,Inputs!$B$44-((R552-1)*(1/Q552)))))/Inputs!$B$44),IF(Inputs!$B$39="pvp",MIN((Skills!T17*(1+Inputs!$B$35/100)),15)/15,MIN(1,(Skills!T17*(1+Inputs!$B$35/100))/(1/Q552)))))+((C540=TRUE)*IF(Inputs!$B$3&gt;=126,10*MIN(1,15*Q540),0))+((C549=TRUE)*IF(Inputs!$B$39="pvp",20,(1-Summary!$B$11)*(20)+Summary!$B$11*(0))*IF(AND(Inputs!$B$39&lt;&gt;"pvp",Inputs!$B$44&gt;0),(((R549-1)*MIN((Skills!T14*(1+Inputs!$B$35/100)),(1/Q549))+MIN((Skills!T14*(1+Inputs!$B$35/100)),MAX(0,Inputs!$B$44-((R549-1)*(1/Q549)))))/Inputs!$B$44),IF(Inputs!$B$39="pvp",MIN((Skills!T14*(1+Inputs!$B$35/100)),15)/15,MIN(1,(Skills!T14*(1+Inputs!$B$35/100))/(1/Q549)))))+((C548=TRUE)*IF(Inputs!$B$3&gt;=82,IF(Inputs!$B$39="pvp",20,(1-Summary!$B$11)*(20)+Summary!$B$11*(0)),0)*IF(AND(Inputs!$B$39&lt;&gt;"pvp",Inputs!$B$44&gt;0),(((R548-1)*MIN((Skills!T13*(1+Inputs!$B$35/100)),(1/Q548))+MIN((Skills!T13*(1+Inputs!$B$35/100)),MAX(0,Inputs!$B$44-((R548-1)*(1/Q548)))))/Inputs!$B$44),IF(Inputs!$B$39="pvp",MIN((Skills!T13*(1+Inputs!$B$35/100)),15)/15,MIN(1,(Skills!T13*(1+Inputs!$B$35/100))/(1/Q548)))))+(IF(AND(ArtifactsInput!$M$35,Inputs!$B$4&lt;&gt;"Chapter Hunt"),CHOOSE(ArtifactsInput!$N$35+1,15,18,21,24,27,30)*(1-EXP(-(0.2*B566)*5)),0)+IF(AND(ArtifactsInput!$M$22,Inputs!$B$4&lt;&gt;"Chapter Hunt"),CHOOSE(ArtifactsInput!$N$22+1,10,12,14,16,18,20)*((0*(((0.15*B566*5))^0/1)+1*(((0.15*B566*5))^1/1)+2*(((0.15*B566*5))^2/2)+3*(((0.15*B566*5))^3/6)+4*(((0.15*B566*5))^4/24)+5*(((0.15*B566*5))^5/120))/((((0.15*B566*5))^0/1)+(((0.15*B566*5))^1/1)+(((0.15*B566*5))^2/2)+(((0.15*B566*5))^3/6)+(((0.15*B566*5))^4/24)+(((0.15*B566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540*(1-MIN(100,(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540*(MIN(100,(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540*(1-MIN(100,(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540*(MIN(100,(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40">
        <f>IF(C540,(H540*N540*IF(AND(Inputs!$B$39&lt;&gt;"pvp",Inputs!$B$44&gt;0),((Skills!G5*((R540-1)*IF(Skills!H5&gt;0,INT(Skills!I5/Skills!H5+0.000000001),1)+IF(Skills!H5&gt;0,INT(MIN(Skills!I5,MAX(0,MAX(0,Inputs!$B$44-B571)-((R540-1)*IF(Inputs!$B$39="pvp",15,MAX(0.1,Skills!D5-IF(TRUE=TRUE,Inputs!$B$33,0))))))/Skills!H5+0.000000001),1)))/Inputs!$B$44),G540*Q540))*IF(Inputs!$B$39="pvp",1,(1+(Inputs!$B$22+Skills!Q5+((C552=TRUE)*F552*IF(AND(Inputs!$B$39&lt;&gt;"pvp",Inputs!$B$44&gt;0),(((R552-1)*MIN((Skills!T17*(1+Inputs!$B$35/100)),(1/Q552))+MIN((Skills!T17*(1+Inputs!$B$35/100)),MAX(0,Inputs!$B$44-((R552-1)*(1/Q552)))))/Inputs!$B$44),IF(Inputs!$B$39="pvp",MIN((Skills!T17*(1+Inputs!$B$35/100)),15)/15,MIN(1,(Skills!T17*(1+Inputs!$B$35/100))/(1/Q552)))))+((C540=TRUE)*IF(Inputs!$B$3&gt;=126,10*MIN(1,15*Q540),0))+((C549=TRUE)*IF(Inputs!$B$39="pvp",20,(1-Summary!$B$11)*(20)+Summary!$B$11*(0))*IF(AND(Inputs!$B$39&lt;&gt;"pvp",Inputs!$B$44&gt;0),(((R549-1)*MIN((Skills!T14*(1+Inputs!$B$35/100)),(1/Q549))+MIN((Skills!T14*(1+Inputs!$B$35/100)),MAX(0,Inputs!$B$44-((R549-1)*(1/Q549)))))/Inputs!$B$44),IF(Inputs!$B$39="pvp",MIN((Skills!T14*(1+Inputs!$B$35/100)),15)/15,MIN(1,(Skills!T14*(1+Inputs!$B$35/100))/(1/Q549)))))+((C548=TRUE)*IF(Inputs!$B$3&gt;=82,IF(Inputs!$B$39="pvp",20,(1-Summary!$B$11)*(20)+Summary!$B$11*(0)),0)*IF(AND(Inputs!$B$39&lt;&gt;"pvp",Inputs!$B$44&gt;0),(((R548-1)*MIN((Skills!T13*(1+Inputs!$B$35/100)),(1/Q548))+MIN((Skills!T13*(1+Inputs!$B$35/100)),MAX(0,Inputs!$B$44-((R548-1)*(1/Q548)))))/Inputs!$B$44),IF(Inputs!$B$39="pvp",MIN((Skills!T13*(1+Inputs!$B$35/100)),15)/15,MIN(1,(Skills!T13*(1+Inputs!$B$35/100))/(1/Q548)))))+(IF(AND(ArtifactsInput!$M$35,Inputs!$B$4&lt;&gt;"Chapter Hunt"),CHOOSE(ArtifactsInput!$N$35+1,15,18,21,24,27,30)*(1-EXP(-(0.2*B566)*5)),0)+IF(AND(ArtifactsInput!$M$22,Inputs!$B$4&lt;&gt;"Chapter Hunt"),CHOOSE(ArtifactsInput!$N$22+1,10,12,14,16,18,20)*((0*(((0.15*B566*5))^0/1)+1*(((0.15*B566*5))^1/1)+2*(((0.15*B566*5))^2/2)+3*(((0.15*B566*5))^3/6)+4*(((0.15*B566*5))^4/24)+5*(((0.15*B566*5))^5/120))/((((0.15*B566*5))^0/1)+(((0.15*B566*5))^1/1)+(((0.15*B566*5))^2/2)+(((0.15*B566*5))^3/6)+(((0.15*B566*5))^4/24)+(((0.15*B566*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41">
      <c r="A541">
        <f>Skills!A6</f>
        <v/>
      </c>
      <c r="B541">
        <f>Skills!B6</f>
        <v/>
      </c>
      <c r="C541">
        <f>Inputs!$B$3&gt;=103</f>
        <v/>
      </c>
      <c r="D541">
        <f>IF(Skills!C6=1,60+Inputs!$B$26+Inputs!$B$30,IF(Skills!C6=2,90+Inputs!$B$27+Inputs!$B$30,IF(Skills!C6=3,120+Inputs!$B$28+Inputs!$B$30,MAX(0,(Inputs!$B$3-100)*3)+Inputs!$B$29+Inputs!$B$30)))</f>
        <v/>
      </c>
      <c r="E541">
        <f>INDEX(FactorTable!$B$2:$Y$301, MATCH(ROUND(MIN(300,MAX(1,D541)),0), FactorTable!$A$2:$A$301,0), Skills!M6+1)</f>
        <v/>
      </c>
      <c r="F541">
        <f>IF(Skills!N6=TRUE,(Skills!L6/10)*(E541/1000),Skills!L6/10)+Skills!O6</f>
        <v/>
      </c>
      <c r="G541">
        <f>Skills!G6*IF(Skills!H6&gt;0,INT(IF(Inputs!$B$39="pvp",MIN(Skills!I6,15),Skills!I6)/Skills!H6+0.000000001),1)</f>
        <v/>
      </c>
      <c r="H541">
        <f>1-(1-Skills!J6/100)^Skills!K6</f>
        <v/>
      </c>
      <c r="I541" t="inlineStr">
        <is>
          <t>1</t>
        </is>
      </c>
      <c r="J541">
        <f>((Inputs!$B$6*(1+Inputs!$B$7/100))+(((Inputs!$B$13*(1+Inputs!$B$14/100))-(Inputs!$B$13*(1+Inputs!$B$14/100)))+0.25*(Inputs!$B$15-Inputs!$B$15))*(1+Inputs!$B$7/100))*(F541/100)</f>
        <v/>
      </c>
      <c r="K541">
        <f>J541*(1+(((Inputs!$B$13+IF(Inputs!$B$3&gt;=38,(10*INDEX(FactorTable!$B$2:$Y$301, MATCH(ROUND(MIN(300,MAX(1,Inputs!$B$3)),0), FactorTable!$A$2:$A$301,0), 23)/1000)/100*(Inputs!$B$8*(1+Inputs!$B$9/100)),0))*(1+Inputs!$B$14/100))*0.01+Inputs!$B$15*0.0025)/100)*(1+Inputs!$B$16/100)*(1+Inputs!$B$17/100)*(5000/(6000+Inputs!$B$43*(1-(Inputs!$B$20+0)/100)))*(1+(Inputs!$B$25+((C560=TRUE)*(F560-Calc!F25))+((C561=TRUE)*(F561-Calc!F26))+B570)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gt;=100),MIN(100,((Inputs!$B$10+0+B564+(ArtifactsInput!$M$24-ArtifactsInput!$M$24)*CHOOSE(ArtifactsInput!$N$24+1,10,12,14,16,18,20)+IF(ArtifactsInput!$M$10,CHOOSE(ArtifactsInput!$N$10+1,15,18,21,24,27,30)*(IF(Inputs!$B$39="pvp",MIN(15,15)/15,IF(AND(Inputs!$B$39&lt;&gt;"pvp",Inputs!$B$44&gt;0),MIN(15,Inputs!$B$44)/(Inputs!$B$44),0))),0)))-100),0))*CHOOSE(ArtifactsInput!$N$42+1,0.6,0.72,0.84,0.96,1.08,1.2))),Inputs!$B$19+((C558=TRUE)*(F558-Calc!F23))+(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gt;=100),CHOOSE(ArtifactsInput!$N$42+1,40,48,56,64,72,80),0))))/100)*((1+(((C548=TRUE)*F548*IF(AND(Inputs!$B$39&lt;&gt;"pvp",Inputs!$B$44&gt;0),(((R548-1)*MIN((Skills!T13*(1+Inputs!$B$35/100)),(1/Q548))+MIN((Skills!T13*(1+Inputs!$B$35/100)),MAX(0,Inputs!$B$44-((R548-1)*(1/Q548)))))/Inputs!$B$44),IF(Inputs!$B$39="pvp",MIN((Skills!T13*(1+Inputs!$B$35/100)),15)/15,MIN(1,(Skills!T13*(1+Inputs!$B$35/100))/(1/Q548)))))+((C549=TRUE)*F549*IF(AND(Inputs!$B$39&lt;&gt;"pvp",Inputs!$B$44&gt;0),(((R549-1)*MIN((Skills!T14*(1+Inputs!$B$35/100)),(1/Q549))+MIN((Skills!T14*(1+Inputs!$B$35/100)),MAX(0,Inputs!$B$44-((R549-1)*(1/Q549)))))/Inputs!$B$44),IF(Inputs!$B$39="pvp",MIN((Skills!T14*(1+Inputs!$B$35/100)),15)/15,MIN(1,(Skills!T14*(1+Inputs!$B$35/100))/(1/Q549)))))+((C550=TRUE)*F550*IF(AND(Inputs!$B$39&lt;&gt;"pvp",Inputs!$B$44&gt;0),(((R550-1)*MIN((Skills!T15*(1+Inputs!$B$35/100)),(1/Q550))+MIN((Skills!T15*(1+Inputs!$B$35/100)),MAX(0,Inputs!$B$44-((R550-1)*(1/Q550)))))/Inputs!$B$44),IF(Inputs!$B$39="pvp",MIN((Skills!T15*(1+Inputs!$B$35/100)),15)/15,MIN(1,(Skills!T15*(1+Inputs!$B$35/100))/(1/Q550)))))+((C551=TRUE)*F551*IF(AND(Inputs!$B$39&lt;&gt;"pvp",Inputs!$B$44&gt;0),(((R551-1)*MIN((Skills!T16*(1+Inputs!$B$35/100)),(1/Q551))+MIN((Skills!T16*(1+Inputs!$B$35/100)),MAX(0,Inputs!$B$44-((R551-1)*(1/Q551)))))/Inputs!$B$44),IF(Inputs!$B$39="pvp",MIN((Skills!T16*(1+Inputs!$B$35/100)),15)/15,MIN(1,(Skills!T16*(1+Inputs!$B$35/100))/(1/Q551)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541)</f>
        <v/>
      </c>
      <c r="L541">
        <f>K541*(MIN(Inputs!$B$23+((C557=TRUE)*(F557-Calc!F22)),((Inputs!$B$24+1)+((C559=TRUE)*(F559-Calc!F24))+(IF(ArtifactsInput!$M$15,CHOOSE(ArtifactsInput!$N$15+1,25,30,35,40,45,50)/100*(Inputs!$B$12-Inputs!$B$12),0))))/100+((Inputs!$B$24+1)+((C559=TRUE)*(F559-Calc!F24))+(IF(ArtifactsInput!$M$15,CHOOSE(ArtifactsInput!$N$15+1,25,30,35,40,45,50)/100*(Inputs!$B$12-Inputs!$B$12),0)))/100)/2</f>
        <v/>
      </c>
      <c r="M541">
        <f>L541*(1+(Inputs!$B$11+0+B569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541">
        <f>L541*(1-MIN((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541*(MIN((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41">
        <f>(1-Summary!$B$11)*T541+Summary!$B$11*V541</f>
        <v/>
      </c>
      <c r="P541">
        <f>IF(B574=0,0,O541/B574)</f>
        <v/>
      </c>
      <c r="Q541">
        <f>IFERROR(1/IF(Inputs!$B$39="pvp",15,MAX(0.1,Skills!D6-IF(TRUE=TRUE,Inputs!$B$33,0))),0)</f>
        <v/>
      </c>
      <c r="R541">
        <f>IF(AND(Inputs!$B$39&lt;&gt;"pvp",Inputs!$B$44&gt;0),IF(MAX(0,Inputs!$B$44-B571)&lt;=0,0,(INT(MAX(0,Inputs!$B$44-B571)/IF(Inputs!$B$39="pvp",15,MAX(0.1,Skills!D6-IF(TRUE=TRUE,Inputs!$B$33,0))))+1)),0)</f>
        <v/>
      </c>
      <c r="S541">
        <f>IFERROR(O541/N541,0)</f>
        <v/>
      </c>
      <c r="T541">
        <f>IF(C541,(H541*N541*IF(AND(Inputs!$B$39&lt;&gt;"pvp",Inputs!$B$44&gt;0),((Skills!G6*((R541-1)*IF(Skills!H6&gt;0,INT(Skills!I6/Skills!H6+0.000000001),1)+IF(Skills!H6&gt;0,INT(MIN(Skills!I6,MAX(0,MAX(0,Inputs!$B$44-B571)-((R541-1)*IF(Inputs!$B$39="pvp",15,MAX(0.1,Skills!D6-IF(TRUE=TRUE,Inputs!$B$33,0))))))/Skills!H6+0.000000001),1)))/Inputs!$B$44),G541*Q541))*IF(Inputs!$B$39="pvp",1,1+(Inputs!$B$21+0+Skills!P6+((C552=TRUE)*F552*IF(AND(Inputs!$B$39&lt;&gt;"pvp",Inputs!$B$44&gt;0),(((R552-1)*MIN((Skills!T17*(1+Inputs!$B$35/100)),(1/Q552))+MIN((Skills!T17*(1+Inputs!$B$35/100)),MAX(0,Inputs!$B$44-((R552-1)*(1/Q552)))))/Inputs!$B$44),IF(Inputs!$B$39="pvp",MIN((Skills!T17*(1+Inputs!$B$35/100)),15)/15,MIN(1,(Skills!T17*(1+Inputs!$B$35/100))/(1/Q552)))))+((C540=TRUE)*IF(Inputs!$B$3&gt;=126,10*MIN(1,15*Q540),0))+((C549=TRUE)*IF(Inputs!$B$39="pvp",20,(1-Summary!$B$11)*(20)+Summary!$B$11*(0))*IF(AND(Inputs!$B$39&lt;&gt;"pvp",Inputs!$B$44&gt;0),(((R549-1)*MIN((Skills!T14*(1+Inputs!$B$35/100)),(1/Q549))+MIN((Skills!T14*(1+Inputs!$B$35/100)),MAX(0,Inputs!$B$44-((R549-1)*(1/Q549)))))/Inputs!$B$44),IF(Inputs!$B$39="pvp",MIN((Skills!T14*(1+Inputs!$B$35/100)),15)/15,MIN(1,(Skills!T14*(1+Inputs!$B$35/100))/(1/Q549)))))+((C548=TRUE)*IF(Inputs!$B$3&gt;=82,IF(Inputs!$B$39="pvp",20,(1-Summary!$B$11)*(20)+Summary!$B$11*(0)),0)*IF(AND(Inputs!$B$39&lt;&gt;"pvp",Inputs!$B$44&gt;0),(((R548-1)*MIN((Skills!T13*(1+Inputs!$B$35/100)),(1/Q548))+MIN((Skills!T13*(1+Inputs!$B$35/100)),MAX(0,Inputs!$B$44-((R548-1)*(1/Q548)))))/Inputs!$B$44),IF(Inputs!$B$39="pvp",MIN((Skills!T13*(1+Inputs!$B$35/100)),15)/15,MIN(1,(Skills!T13*(1+Inputs!$B$35/100))/(1/Q548)))))+(IF(AND(ArtifactsInput!$M$35,Inputs!$B$4&lt;&gt;"Chapter Hunt"),CHOOSE(ArtifactsInput!$N$35+1,15,18,21,24,27,30)*(1-EXP(-(0.2*B566)*5)),0)+IF(AND(ArtifactsInput!$M$22,Inputs!$B$4&lt;&gt;"Chapter Hunt"),CHOOSE(ArtifactsInput!$N$22+1,10,12,14,16,18,20)*((0*(((0.15*B566*5))^0/1)+1*(((0.15*B566*5))^1/1)+2*(((0.15*B566*5))^2/2)+3*(((0.15*B566*5))^3/6)+4*(((0.15*B566*5))^4/24)+5*(((0.15*B566*5))^5/120))/((((0.15*B566*5))^0/1)+(((0.15*B566*5))^1/1)+(((0.15*B566*5))^2/2)+(((0.15*B566*5))^3/6)+(((0.15*B566*5))^4/24)+(((0.15*B566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541*(1-MIN(100,(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541*(MIN(100,(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541*(1-MIN(100,(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541*(MIN(100,(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41">
        <f>IF(C541,(H541*N541*IF(AND(Inputs!$B$39&lt;&gt;"pvp",Inputs!$B$44&gt;0),((Skills!G6*((R541-1)*IF(Skills!H6&gt;0,INT(Skills!I6/Skills!H6+0.000000001),1)+IF(Skills!H6&gt;0,INT(MIN(Skills!I6,MAX(0,MAX(0,Inputs!$B$44-B571)-((R541-1)*IF(Inputs!$B$39="pvp",15,MAX(0.1,Skills!D6-IF(TRUE=TRUE,Inputs!$B$33,0))))))/Skills!H6+0.000000001),1)))/Inputs!$B$44),G541*Q541))*IF(Inputs!$B$39="pvp",1,(1+(Inputs!$B$22+Skills!Q6+((C552=TRUE)*F552*IF(AND(Inputs!$B$39&lt;&gt;"pvp",Inputs!$B$44&gt;0),(((R552-1)*MIN((Skills!T17*(1+Inputs!$B$35/100)),(1/Q552))+MIN((Skills!T17*(1+Inputs!$B$35/100)),MAX(0,Inputs!$B$44-((R552-1)*(1/Q552)))))/Inputs!$B$44),IF(Inputs!$B$39="pvp",MIN((Skills!T17*(1+Inputs!$B$35/100)),15)/15,MIN(1,(Skills!T17*(1+Inputs!$B$35/100))/(1/Q552)))))+((C540=TRUE)*IF(Inputs!$B$3&gt;=126,10*MIN(1,15*Q540),0))+((C549=TRUE)*IF(Inputs!$B$39="pvp",20,(1-Summary!$B$11)*(20)+Summary!$B$11*(0))*IF(AND(Inputs!$B$39&lt;&gt;"pvp",Inputs!$B$44&gt;0),(((R549-1)*MIN((Skills!T14*(1+Inputs!$B$35/100)),(1/Q549))+MIN((Skills!T14*(1+Inputs!$B$35/100)),MAX(0,Inputs!$B$44-((R549-1)*(1/Q549)))))/Inputs!$B$44),IF(Inputs!$B$39="pvp",MIN((Skills!T14*(1+Inputs!$B$35/100)),15)/15,MIN(1,(Skills!T14*(1+Inputs!$B$35/100))/(1/Q549)))))+((C548=TRUE)*IF(Inputs!$B$3&gt;=82,IF(Inputs!$B$39="pvp",20,(1-Summary!$B$11)*(20)+Summary!$B$11*(0)),0)*IF(AND(Inputs!$B$39&lt;&gt;"pvp",Inputs!$B$44&gt;0),(((R548-1)*MIN((Skills!T13*(1+Inputs!$B$35/100)),(1/Q548))+MIN((Skills!T13*(1+Inputs!$B$35/100)),MAX(0,Inputs!$B$44-((R548-1)*(1/Q548)))))/Inputs!$B$44),IF(Inputs!$B$39="pvp",MIN((Skills!T13*(1+Inputs!$B$35/100)),15)/15,MIN(1,(Skills!T13*(1+Inputs!$B$35/100))/(1/Q548)))))+(IF(AND(ArtifactsInput!$M$35,Inputs!$B$4&lt;&gt;"Chapter Hunt"),CHOOSE(ArtifactsInput!$N$35+1,15,18,21,24,27,30)*(1-EXP(-(0.2*B566)*5)),0)+IF(AND(ArtifactsInput!$M$22,Inputs!$B$4&lt;&gt;"Chapter Hunt"),CHOOSE(ArtifactsInput!$N$22+1,10,12,14,16,18,20)*((0*(((0.15*B566*5))^0/1)+1*(((0.15*B566*5))^1/1)+2*(((0.15*B566*5))^2/2)+3*(((0.15*B566*5))^3/6)+4*(((0.15*B566*5))^4/24)+5*(((0.15*B566*5))^5/120))/((((0.15*B566*5))^0/1)+(((0.15*B566*5))^1/1)+(((0.15*B566*5))^2/2)+(((0.15*B566*5))^3/6)+(((0.15*B566*5))^4/24)+(((0.15*B566*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42">
      <c r="A542">
        <f>Skills!A7</f>
        <v/>
      </c>
      <c r="B542">
        <f>Skills!B7</f>
        <v/>
      </c>
      <c r="C542">
        <f>Inputs!$B$3&gt;=40</f>
        <v/>
      </c>
      <c r="D542">
        <f>IF(Skills!C7=1,60+Inputs!$B$26+Inputs!$B$30,IF(Skills!C7=2,90+Inputs!$B$27+Inputs!$B$30,IF(Skills!C7=3,120+Inputs!$B$28+Inputs!$B$30,MAX(0,(Inputs!$B$3-100)*3)+Inputs!$B$29+Inputs!$B$30)))</f>
        <v/>
      </c>
      <c r="E542">
        <f>INDEX(FactorTable!$B$2:$Y$301, MATCH(ROUND(MIN(300,MAX(1,D542)),0), FactorTable!$A$2:$A$301,0), Skills!M7+1)</f>
        <v/>
      </c>
      <c r="F542">
        <f>IF(Skills!N7=TRUE,(Skills!L7/10)*(E542/1000),Skills!L7/10)+Skills!O7</f>
        <v/>
      </c>
      <c r="G542">
        <f>Skills!G7*IF(Skills!H7&gt;0,INT(IF(Inputs!$B$39="pvp",MIN(Skills!I7,15),Skills!I7)/Skills!H7+0.000000001),1)</f>
        <v/>
      </c>
      <c r="H542">
        <f>1-(1-Skills!J7/100)^Skills!K7</f>
        <v/>
      </c>
      <c r="I542" t="inlineStr">
        <is>
          <t>1</t>
        </is>
      </c>
      <c r="J542">
        <f>((Inputs!$B$6*(1+Inputs!$B$7/100))+(((Inputs!$B$13*(1+Inputs!$B$14/100))-(Inputs!$B$13*(1+Inputs!$B$14/100)))+0.25*(Inputs!$B$15-Inputs!$B$15))*(1+Inputs!$B$7/100))*(F542/100)</f>
        <v/>
      </c>
      <c r="K542">
        <f>J542*(1+(((Inputs!$B$13+IF(Inputs!$B$3&gt;=38,(10*INDEX(FactorTable!$B$2:$Y$301, MATCH(ROUND(MIN(300,MAX(1,Inputs!$B$3)),0), FactorTable!$A$2:$A$301,0), 23)/1000)/100*(Inputs!$B$8*(1+Inputs!$B$9/100)),0))*(1+Inputs!$B$14/100))*0.01+Inputs!$B$15*0.0025)/100)*(1+Inputs!$B$16/100)*(1+Inputs!$B$17/100)*(5000/(6000+Inputs!$B$43*(1-(Inputs!$B$20+0)/100)))*(1+(Inputs!$B$25+((C560=TRUE)*(F560-Calc!F25))+((C561=TRUE)*(F561-Calc!F26))+B570)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546=TRUE,F546,0)/100)*(1+(IF(Skills!A7="DARK_IMPALE",Inputs!$B$18+0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gt;=100),MIN(100,((Inputs!$B$10+0+B564+(ArtifactsInput!$M$24-ArtifactsInput!$M$24)*CHOOSE(ArtifactsInput!$N$24+1,10,12,14,16,18,20)+IF(ArtifactsInput!$M$10,CHOOSE(ArtifactsInput!$N$10+1,15,18,21,24,27,30)*(IF(Inputs!$B$39="pvp",MIN(15,15)/15,IF(AND(Inputs!$B$39&lt;&gt;"pvp",Inputs!$B$44&gt;0),MIN(15,Inputs!$B$44)/(Inputs!$B$44),0))),0)))-100),0))*CHOOSE(ArtifactsInput!$N$42+1,0.6,0.72,0.84,0.96,1.08,1.2))),Inputs!$B$19+((C558=TRUE)*(F558-Calc!F23))+(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gt;=100),CHOOSE(ArtifactsInput!$N$42+1,40,48,56,64,72,80),0))))/100)*((1+(((C548=TRUE)*F548*IF(AND(Inputs!$B$39&lt;&gt;"pvp",Inputs!$B$44&gt;0),(((R548-1)*MIN((Skills!T13*(1+Inputs!$B$35/100)),(1/Q548))+MIN((Skills!T13*(1+Inputs!$B$35/100)),MAX(0,Inputs!$B$44-((R548-1)*(1/Q548)))))/Inputs!$B$44),IF(Inputs!$B$39="pvp",MIN((Skills!T13*(1+Inputs!$B$35/100)),15)/15,MIN(1,(Skills!T13*(1+Inputs!$B$35/100))/(1/Q548)))))+((C549=TRUE)*F549*IF(AND(Inputs!$B$39&lt;&gt;"pvp",Inputs!$B$44&gt;0),(((R549-1)*MIN((Skills!T14*(1+Inputs!$B$35/100)),(1/Q549))+MIN((Skills!T14*(1+Inputs!$B$35/100)),MAX(0,Inputs!$B$44-((R549-1)*(1/Q549)))))/Inputs!$B$44),IF(Inputs!$B$39="pvp",MIN((Skills!T14*(1+Inputs!$B$35/100)),15)/15,MIN(1,(Skills!T14*(1+Inputs!$B$35/100))/(1/Q549)))))+((C550=TRUE)*F550*IF(AND(Inputs!$B$39&lt;&gt;"pvp",Inputs!$B$44&gt;0),(((R550-1)*MIN((Skills!T15*(1+Inputs!$B$35/100)),(1/Q550))+MIN((Skills!T15*(1+Inputs!$B$35/100)),MAX(0,Inputs!$B$44-((R550-1)*(1/Q550)))))/Inputs!$B$44),IF(Inputs!$B$39="pvp",MIN((Skills!T15*(1+Inputs!$B$35/100)),15)/15,MIN(1,(Skills!T15*(1+Inputs!$B$35/100))/(1/Q550)))))+((C551=TRUE)*F551*IF(AND(Inputs!$B$39&lt;&gt;"pvp",Inputs!$B$44&gt;0),(((R551-1)*MIN((Skills!T16*(1+Inputs!$B$35/100)),(1/Q551))+MIN((Skills!T16*(1+Inputs!$B$35/100)),MAX(0,Inputs!$B$44-((R551-1)*(1/Q551)))))/Inputs!$B$44),IF(Inputs!$B$39="pvp",MIN((Skills!T16*(1+Inputs!$B$35/100)),15)/15,MIN(1,(Skills!T16*(1+Inputs!$B$35/100))/(1/Q551)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542)</f>
        <v/>
      </c>
      <c r="L542">
        <f>K542*(MIN(Inputs!$B$23+((C557=TRUE)*(F557-Calc!F22)),((Inputs!$B$24+1)+((C559=TRUE)*(F559-Calc!F24))+(IF(ArtifactsInput!$M$15,CHOOSE(ArtifactsInput!$N$15+1,25,30,35,40,45,50)/100*(Inputs!$B$12-Inputs!$B$12),0))))/100+((Inputs!$B$24+1)+((C559=TRUE)*(F559-Calc!F24))+(IF(ArtifactsInput!$M$15,CHOOSE(ArtifactsInput!$N$15+1,25,30,35,40,45,50)/100*(Inputs!$B$12-Inputs!$B$12),0)))/100)/2</f>
        <v/>
      </c>
      <c r="M542">
        <f>L542*(1+(Inputs!$B$11+0+B569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542">
        <f>L542*(1-MIN((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542*(MIN((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42">
        <f>(1-Summary!$B$11)*T542+Summary!$B$11*V542</f>
        <v/>
      </c>
      <c r="P542">
        <f>IF(B574=0,0,O542/B574)</f>
        <v/>
      </c>
      <c r="Q542">
        <f>IFERROR(1/IF(Inputs!$B$39="pvp",15,MAX(0.1,Skills!D7-IF(TRUE=TRUE,Inputs!$B$33,0))),0)</f>
        <v/>
      </c>
      <c r="R542">
        <f>IF(AND(Inputs!$B$39&lt;&gt;"pvp",Inputs!$B$44&gt;0),IF(MAX(0,Inputs!$B$44-B571)&lt;=0,0,(INT(MAX(0,Inputs!$B$44-B571)/IF(Inputs!$B$39="pvp",15,MAX(0.1,Skills!D7-IF(TRUE=TRUE,Inputs!$B$33,0))))+1)),0)</f>
        <v/>
      </c>
      <c r="S542">
        <f>IFERROR(O542/N542,0)</f>
        <v/>
      </c>
      <c r="T542">
        <f>IF(C542,(H542*N542*IF(AND(Inputs!$B$39&lt;&gt;"pvp",Inputs!$B$44&gt;0),((Skills!G7*((R542-1)*IF(Skills!H7&gt;0,INT(Skills!I7/Skills!H7+0.000000001),1)+IF(Skills!H7&gt;0,INT(MIN(Skills!I7,MAX(0,MAX(0,Inputs!$B$44-B571)-((R542-1)*IF(Inputs!$B$39="pvp",15,MAX(0.1,Skills!D7-IF(TRUE=TRUE,Inputs!$B$33,0))))))/Skills!H7+0.000000001),1)))/Inputs!$B$44),G542*Q542))*IF(Inputs!$B$39="pvp",1,1+(Inputs!$B$21+0+Skills!P7+((C552=TRUE)*F552*IF(AND(Inputs!$B$39&lt;&gt;"pvp",Inputs!$B$44&gt;0),(((R552-1)*MIN((Skills!T17*(1+Inputs!$B$35/100)),(1/Q552))+MIN((Skills!T17*(1+Inputs!$B$35/100)),MAX(0,Inputs!$B$44-((R552-1)*(1/Q552)))))/Inputs!$B$44),IF(Inputs!$B$39="pvp",MIN((Skills!T17*(1+Inputs!$B$35/100)),15)/15,MIN(1,(Skills!T17*(1+Inputs!$B$35/100))/(1/Q552)))))+((C540=TRUE)*IF(Inputs!$B$3&gt;=126,10*MIN(1,15*Q540),0))+((C549=TRUE)*IF(Inputs!$B$39="pvp",20,(1-Summary!$B$11)*(20)+Summary!$B$11*(0))*IF(AND(Inputs!$B$39&lt;&gt;"pvp",Inputs!$B$44&gt;0),(((R549-1)*MIN((Skills!T14*(1+Inputs!$B$35/100)),(1/Q549))+MIN((Skills!T14*(1+Inputs!$B$35/100)),MAX(0,Inputs!$B$44-((R549-1)*(1/Q549)))))/Inputs!$B$44),IF(Inputs!$B$39="pvp",MIN((Skills!T14*(1+Inputs!$B$35/100)),15)/15,MIN(1,(Skills!T14*(1+Inputs!$B$35/100))/(1/Q549)))))+((C548=TRUE)*IF(Inputs!$B$3&gt;=82,IF(Inputs!$B$39="pvp",20,(1-Summary!$B$11)*(20)+Summary!$B$11*(0)),0)*IF(AND(Inputs!$B$39&lt;&gt;"pvp",Inputs!$B$44&gt;0),(((R548-1)*MIN((Skills!T13*(1+Inputs!$B$35/100)),(1/Q548))+MIN((Skills!T13*(1+Inputs!$B$35/100)),MAX(0,Inputs!$B$44-((R548-1)*(1/Q548)))))/Inputs!$B$44),IF(Inputs!$B$39="pvp",MIN((Skills!T13*(1+Inputs!$B$35/100)),15)/15,MIN(1,(Skills!T13*(1+Inputs!$B$35/100))/(1/Q548)))))+(IF(AND(ArtifactsInput!$M$35,Inputs!$B$4&lt;&gt;"Chapter Hunt"),CHOOSE(ArtifactsInput!$N$35+1,15,18,21,24,27,30)*(1-EXP(-(0.2*B566)*5)),0)+IF(AND(ArtifactsInput!$M$22,Inputs!$B$4&lt;&gt;"Chapter Hunt"),CHOOSE(ArtifactsInput!$N$22+1,10,12,14,16,18,20)*((0*(((0.15*B566*5))^0/1)+1*(((0.15*B566*5))^1/1)+2*(((0.15*B566*5))^2/2)+3*(((0.15*B566*5))^3/6)+4*(((0.15*B566*5))^4/24)+5*(((0.15*B566*5))^5/120))/((((0.15*B566*5))^0/1)+(((0.15*B566*5))^1/1)+(((0.15*B566*5))^2/2)+(((0.15*B566*5))^3/6)+(((0.15*B566*5))^4/24)+(((0.15*B566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542*(1-MIN(100,(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542*(MIN(100,(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542*(1-MIN(100,(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542*(MIN(100,(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42">
        <f>IF(C542,(H542*N542*IF(AND(Inputs!$B$39&lt;&gt;"pvp",Inputs!$B$44&gt;0),((Skills!G7*((R542-1)*IF(Skills!H7&gt;0,INT(Skills!I7/Skills!H7+0.000000001),1)+IF(Skills!H7&gt;0,INT(MIN(Skills!I7,MAX(0,MAX(0,Inputs!$B$44-B571)-((R542-1)*IF(Inputs!$B$39="pvp",15,MAX(0.1,Skills!D7-IF(TRUE=TRUE,Inputs!$B$33,0))))))/Skills!H7+0.000000001),1)))/Inputs!$B$44),G542*Q542))*IF(Inputs!$B$39="pvp",1,(1+(Inputs!$B$22+Skills!Q7+((C552=TRUE)*F552*IF(AND(Inputs!$B$39&lt;&gt;"pvp",Inputs!$B$44&gt;0),(((R552-1)*MIN((Skills!T17*(1+Inputs!$B$35/100)),(1/Q552))+MIN((Skills!T17*(1+Inputs!$B$35/100)),MAX(0,Inputs!$B$44-((R552-1)*(1/Q552)))))/Inputs!$B$44),IF(Inputs!$B$39="pvp",MIN((Skills!T17*(1+Inputs!$B$35/100)),15)/15,MIN(1,(Skills!T17*(1+Inputs!$B$35/100))/(1/Q552)))))+((C540=TRUE)*IF(Inputs!$B$3&gt;=126,10*MIN(1,15*Q540),0))+((C549=TRUE)*IF(Inputs!$B$39="pvp",20,(1-Summary!$B$11)*(20)+Summary!$B$11*(0))*IF(AND(Inputs!$B$39&lt;&gt;"pvp",Inputs!$B$44&gt;0),(((R549-1)*MIN((Skills!T14*(1+Inputs!$B$35/100)),(1/Q549))+MIN((Skills!T14*(1+Inputs!$B$35/100)),MAX(0,Inputs!$B$44-((R549-1)*(1/Q549)))))/Inputs!$B$44),IF(Inputs!$B$39="pvp",MIN((Skills!T14*(1+Inputs!$B$35/100)),15)/15,MIN(1,(Skills!T14*(1+Inputs!$B$35/100))/(1/Q549)))))+((C548=TRUE)*IF(Inputs!$B$3&gt;=82,IF(Inputs!$B$39="pvp",20,(1-Summary!$B$11)*(20)+Summary!$B$11*(0)),0)*IF(AND(Inputs!$B$39&lt;&gt;"pvp",Inputs!$B$44&gt;0),(((R548-1)*MIN((Skills!T13*(1+Inputs!$B$35/100)),(1/Q548))+MIN((Skills!T13*(1+Inputs!$B$35/100)),MAX(0,Inputs!$B$44-((R548-1)*(1/Q548)))))/Inputs!$B$44),IF(Inputs!$B$39="pvp",MIN((Skills!T13*(1+Inputs!$B$35/100)),15)/15,MIN(1,(Skills!T13*(1+Inputs!$B$35/100))/(1/Q548)))))+(IF(AND(ArtifactsInput!$M$35,Inputs!$B$4&lt;&gt;"Chapter Hunt"),CHOOSE(ArtifactsInput!$N$35+1,15,18,21,24,27,30)*(1-EXP(-(0.2*B566)*5)),0)+IF(AND(ArtifactsInput!$M$22,Inputs!$B$4&lt;&gt;"Chapter Hunt"),CHOOSE(ArtifactsInput!$N$22+1,10,12,14,16,18,20)*((0*(((0.15*B566*5))^0/1)+1*(((0.15*B566*5))^1/1)+2*(((0.15*B566*5))^2/2)+3*(((0.15*B566*5))^3/6)+4*(((0.15*B566*5))^4/24)+5*(((0.15*B566*5))^5/120))/((((0.15*B566*5))^0/1)+(((0.15*B566*5))^1/1)+(((0.15*B566*5))^2/2)+(((0.15*B566*5))^3/6)+(((0.15*B566*5))^4/24)+(((0.15*B566*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43">
      <c r="A543">
        <f>Skills!A8</f>
        <v/>
      </c>
      <c r="B543">
        <f>Skills!B8</f>
        <v/>
      </c>
      <c r="C543">
        <f>Inputs!$B$3&gt;=75</f>
        <v/>
      </c>
      <c r="D543">
        <f>IF(Skills!C8=1,60+Inputs!$B$26+Inputs!$B$30,IF(Skills!C8=2,90+Inputs!$B$27+Inputs!$B$30,IF(Skills!C8=3,120+Inputs!$B$28+Inputs!$B$30,MAX(0,(Inputs!$B$3-100)*3)+Inputs!$B$29+Inputs!$B$30)))</f>
        <v/>
      </c>
      <c r="E543">
        <f>INDEX(FactorTable!$B$2:$Y$301, MATCH(ROUND(MIN(300,MAX(1,D543)),0), FactorTable!$A$2:$A$301,0), Skills!M8+1)</f>
        <v/>
      </c>
      <c r="F543">
        <f>IF(Skills!N8=TRUE,(Skills!L8/10)*(E543/1000),Skills!L8/10)+Skills!O8</f>
        <v/>
      </c>
      <c r="G543" t="inlineStr"/>
      <c r="H543" t="inlineStr"/>
      <c r="I543" t="inlineStr">
        <is>
          <t>1</t>
        </is>
      </c>
      <c r="J543" t="inlineStr"/>
      <c r="K543" t="inlineStr"/>
      <c r="L543" t="inlineStr"/>
      <c r="M543" t="inlineStr"/>
      <c r="N543" t="inlineStr"/>
      <c r="O543" t="inlineStr"/>
      <c r="P543" t="inlineStr"/>
      <c r="Q543" t="inlineStr"/>
      <c r="R543" t="inlineStr"/>
      <c r="S543" t="inlineStr"/>
    </row>
    <row r="544">
      <c r="A544">
        <f>Skills!A9</f>
        <v/>
      </c>
      <c r="B544">
        <f>Skills!B9</f>
        <v/>
      </c>
      <c r="C544">
        <f>Inputs!$B$3&gt;=60</f>
        <v/>
      </c>
      <c r="D544">
        <f>IF(Skills!C9=1,60+Inputs!$B$26+Inputs!$B$30,IF(Skills!C9=2,90+Inputs!$B$27+Inputs!$B$30,IF(Skills!C9=3,120+Inputs!$B$28+Inputs!$B$30,MAX(0,(Inputs!$B$3-100)*3)+Inputs!$B$29+Inputs!$B$30)))</f>
        <v/>
      </c>
      <c r="E544">
        <f>INDEX(FactorTable!$B$2:$Y$301, MATCH(ROUND(MIN(300,MAX(1,D544)),0), FactorTable!$A$2:$A$301,0), Skills!M9+1)</f>
        <v/>
      </c>
      <c r="F544">
        <f>IF(Skills!N9=TRUE,(Skills!L9/10)*(E544/1000),Skills!L9/10)+Skills!O9</f>
        <v/>
      </c>
      <c r="G544">
        <f>Skills!G9*IF(Skills!H9&gt;0,INT(IF(Inputs!$B$39="pvp",MIN(Skills!I9,15),Skills!I9)/Skills!H9+0.000000001),1)</f>
        <v/>
      </c>
      <c r="H544">
        <f>1-(1-Skills!J9/100)^Skills!K9</f>
        <v/>
      </c>
      <c r="I544" t="inlineStr">
        <is>
          <t>1</t>
        </is>
      </c>
      <c r="J544">
        <f>((Inputs!$B$6*(1+Inputs!$B$7/100))+(((Inputs!$B$13*(1+Inputs!$B$14/100))-(Inputs!$B$13*(1+Inputs!$B$14/100)))+0.25*(Inputs!$B$15-Inputs!$B$15))*(1+Inputs!$B$7/100))*(F544/100)</f>
        <v/>
      </c>
      <c r="K544">
        <f>J544*(1+(((Inputs!$B$13+IF(Inputs!$B$3&gt;=38,(10*INDEX(FactorTable!$B$2:$Y$301, MATCH(ROUND(MIN(300,MAX(1,Inputs!$B$3)),0), FactorTable!$A$2:$A$301,0), 23)/1000)/100*(Inputs!$B$8*(1+Inputs!$B$9/100)),0))*(1+Inputs!$B$14/100))*0.01+Inputs!$B$15*0.0025)/100)*(1+Inputs!$B$16/100)*(1+Inputs!$B$17/100)*(5000/(6000+Inputs!$B$43*(1-(Inputs!$B$20+0)/100)))*(1+(Inputs!$B$25+((C560=TRUE)*(F560-Calc!F25))+((C561=TRUE)*(F561-Calc!F26))+B570)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546=TRUE,F546,0)/100)*(1+(IF(Skills!A9="DARK_IMPALE",Inputs!$B$18+0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gt;=100),MIN(100,((Inputs!$B$10+0+B564+(ArtifactsInput!$M$24-ArtifactsInput!$M$24)*CHOOSE(ArtifactsInput!$N$24+1,10,12,14,16,18,20)+IF(ArtifactsInput!$M$10,CHOOSE(ArtifactsInput!$N$10+1,15,18,21,24,27,30)*(IF(Inputs!$B$39="pvp",MIN(15,15)/15,IF(AND(Inputs!$B$39&lt;&gt;"pvp",Inputs!$B$44&gt;0),MIN(15,Inputs!$B$44)/(Inputs!$B$44),0))),0)))-100),0))*CHOOSE(ArtifactsInput!$N$42+1,0.6,0.72,0.84,0.96,1.08,1.2))),Inputs!$B$19+((C558=TRUE)*(F558-Calc!F23))+(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gt;=100),CHOOSE(ArtifactsInput!$N$42+1,40,48,56,64,72,80),0))))/100)*((1+(((C548=TRUE)*F548*IF(AND(Inputs!$B$39&lt;&gt;"pvp",Inputs!$B$44&gt;0),(((R548-1)*MIN((Skills!T13*(1+Inputs!$B$35/100)),(1/Q548))+MIN((Skills!T13*(1+Inputs!$B$35/100)),MAX(0,Inputs!$B$44-((R548-1)*(1/Q548)))))/Inputs!$B$44),IF(Inputs!$B$39="pvp",MIN((Skills!T13*(1+Inputs!$B$35/100)),15)/15,MIN(1,(Skills!T13*(1+Inputs!$B$35/100))/(1/Q548)))))+((C549=TRUE)*F549*IF(AND(Inputs!$B$39&lt;&gt;"pvp",Inputs!$B$44&gt;0),(((R549-1)*MIN((Skills!T14*(1+Inputs!$B$35/100)),(1/Q549))+MIN((Skills!T14*(1+Inputs!$B$35/100)),MAX(0,Inputs!$B$44-((R549-1)*(1/Q549)))))/Inputs!$B$44),IF(Inputs!$B$39="pvp",MIN((Skills!T14*(1+Inputs!$B$35/100)),15)/15,MIN(1,(Skills!T14*(1+Inputs!$B$35/100))/(1/Q549)))))+((C550=TRUE)*F550*IF(AND(Inputs!$B$39&lt;&gt;"pvp",Inputs!$B$44&gt;0),(((R550-1)*MIN((Skills!T15*(1+Inputs!$B$35/100)),(1/Q550))+MIN((Skills!T15*(1+Inputs!$B$35/100)),MAX(0,Inputs!$B$44-((R550-1)*(1/Q550)))))/Inputs!$B$44),IF(Inputs!$B$39="pvp",MIN((Skills!T15*(1+Inputs!$B$35/100)),15)/15,MIN(1,(Skills!T15*(1+Inputs!$B$35/100))/(1/Q550)))))+((C551=TRUE)*F551*IF(AND(Inputs!$B$39&lt;&gt;"pvp",Inputs!$B$44&gt;0),(((R551-1)*MIN((Skills!T16*(1+Inputs!$B$35/100)),(1/Q551))+MIN((Skills!T16*(1+Inputs!$B$35/100)),MAX(0,Inputs!$B$44-((R551-1)*(1/Q551)))))/Inputs!$B$44),IF(Inputs!$B$39="pvp",MIN((Skills!T16*(1+Inputs!$B$35/100)),15)/15,MIN(1,(Skills!T16*(1+Inputs!$B$35/100))/(1/Q551)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544)</f>
        <v/>
      </c>
      <c r="L544">
        <f>K544*(MIN(Inputs!$B$23+((C557=TRUE)*(F557-Calc!F22)),((Inputs!$B$24+1)+((C559=TRUE)*(F559-Calc!F24))+(IF(ArtifactsInput!$M$15,CHOOSE(ArtifactsInput!$N$15+1,25,30,35,40,45,50)/100*(Inputs!$B$12-Inputs!$B$12),0))))/100+((Inputs!$B$24+1)+((C559=TRUE)*(F559-Calc!F24))+(IF(ArtifactsInput!$M$15,CHOOSE(ArtifactsInput!$N$15+1,25,30,35,40,45,50)/100*(Inputs!$B$12-Inputs!$B$12),0)))/100)/2</f>
        <v/>
      </c>
      <c r="M544">
        <f>L544*(1+(Inputs!$B$11+0+B569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544">
        <f>L544*(1-MIN((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544*(MIN((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44">
        <f>(1-Summary!$B$11)*T544+Summary!$B$11*V544</f>
        <v/>
      </c>
      <c r="P544">
        <f>IF(B574=0,0,O544/B574)</f>
        <v/>
      </c>
      <c r="Q544">
        <f>IFERROR(1/IF(Inputs!$B$39="pvp",15,MAX(0.1,Skills!D9-IF(TRUE=TRUE,Inputs!$B$33,0))),0)</f>
        <v/>
      </c>
      <c r="R544">
        <f>IF(AND(Inputs!$B$39&lt;&gt;"pvp",Inputs!$B$44&gt;0),IF(MAX(0,Inputs!$B$44-B571)&lt;=0,0,(INT(MAX(0,Inputs!$B$44-B571)/IF(Inputs!$B$39="pvp",15,MAX(0.1,Skills!D9-IF(TRUE=TRUE,Inputs!$B$33,0))))+1)),0)</f>
        <v/>
      </c>
      <c r="S544">
        <f>IFERROR(O544/N544,0)</f>
        <v/>
      </c>
      <c r="T544">
        <f>IF(C544,(H544*N544*IF(AND(Inputs!$B$39&lt;&gt;"pvp",Inputs!$B$44&gt;0),((Skills!G9*((R544-1)*IF(Skills!H9&gt;0,INT(Skills!I9/Skills!H9+0.000000001),1)+IF(Skills!H9&gt;0,INT(MIN(Skills!I9,MAX(0,MAX(0,Inputs!$B$44-B571)-((R544-1)*IF(Inputs!$B$39="pvp",15,MAX(0.1,Skills!D9-IF(TRUE=TRUE,Inputs!$B$33,0))))))/Skills!H9+0.000000001),1)))/Inputs!$B$44),G544*Q544))*IF(Inputs!$B$39="pvp",1,1+(Inputs!$B$21+0+Skills!P9+((C552=TRUE)*F552*IF(AND(Inputs!$B$39&lt;&gt;"pvp",Inputs!$B$44&gt;0),(((R552-1)*MIN((Skills!T17*(1+Inputs!$B$35/100)),(1/Q552))+MIN((Skills!T17*(1+Inputs!$B$35/100)),MAX(0,Inputs!$B$44-((R552-1)*(1/Q552)))))/Inputs!$B$44),IF(Inputs!$B$39="pvp",MIN((Skills!T17*(1+Inputs!$B$35/100)),15)/15,MIN(1,(Skills!T17*(1+Inputs!$B$35/100))/(1/Q552)))))+((C540=TRUE)*IF(Inputs!$B$3&gt;=126,10*MIN(1,15*Q540),0))+((C549=TRUE)*IF(Inputs!$B$39="pvp",20,(1-Summary!$B$11)*(20)+Summary!$B$11*(0))*IF(AND(Inputs!$B$39&lt;&gt;"pvp",Inputs!$B$44&gt;0),(((R549-1)*MIN((Skills!T14*(1+Inputs!$B$35/100)),(1/Q549))+MIN((Skills!T14*(1+Inputs!$B$35/100)),MAX(0,Inputs!$B$44-((R549-1)*(1/Q549)))))/Inputs!$B$44),IF(Inputs!$B$39="pvp",MIN((Skills!T14*(1+Inputs!$B$35/100)),15)/15,MIN(1,(Skills!T14*(1+Inputs!$B$35/100))/(1/Q549)))))+((C548=TRUE)*IF(Inputs!$B$3&gt;=82,IF(Inputs!$B$39="pvp",20,(1-Summary!$B$11)*(20)+Summary!$B$11*(0)),0)*IF(AND(Inputs!$B$39&lt;&gt;"pvp",Inputs!$B$44&gt;0),(((R548-1)*MIN((Skills!T13*(1+Inputs!$B$35/100)),(1/Q548))+MIN((Skills!T13*(1+Inputs!$B$35/100)),MAX(0,Inputs!$B$44-((R548-1)*(1/Q548)))))/Inputs!$B$44),IF(Inputs!$B$39="pvp",MIN((Skills!T13*(1+Inputs!$B$35/100)),15)/15,MIN(1,(Skills!T13*(1+Inputs!$B$35/100))/(1/Q548)))))+(IF(AND(ArtifactsInput!$M$35,Inputs!$B$4&lt;&gt;"Chapter Hunt"),CHOOSE(ArtifactsInput!$N$35+1,15,18,21,24,27,30)*(1-EXP(-(0.2*B566)*5)),0)+IF(AND(ArtifactsInput!$M$22,Inputs!$B$4&lt;&gt;"Chapter Hunt"),CHOOSE(ArtifactsInput!$N$22+1,10,12,14,16,18,20)*((0*(((0.15*B566*5))^0/1)+1*(((0.15*B566*5))^1/1)+2*(((0.15*B566*5))^2/2)+3*(((0.15*B566*5))^3/6)+4*(((0.15*B566*5))^4/24)+5*(((0.15*B566*5))^5/120))/((((0.15*B566*5))^0/1)+(((0.15*B566*5))^1/1)+(((0.15*B566*5))^2/2)+(((0.15*B566*5))^3/6)+(((0.15*B566*5))^4/24)+(((0.15*B566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544*(1-MIN(100,(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544*(MIN(100,(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544*(1-MIN(100,(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544*(MIN(100,(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44">
        <f>IF(C544,(H544*N544*IF(AND(Inputs!$B$39&lt;&gt;"pvp",Inputs!$B$44&gt;0),((Skills!G9*((R544-1)*IF(Skills!H9&gt;0,INT(Skills!I9/Skills!H9+0.000000001),1)+IF(Skills!H9&gt;0,INT(MIN(Skills!I9,MAX(0,MAX(0,Inputs!$B$44-B571)-((R544-1)*IF(Inputs!$B$39="pvp",15,MAX(0.1,Skills!D9-IF(TRUE=TRUE,Inputs!$B$33,0))))))/Skills!H9+0.000000001),1)))/Inputs!$B$44),G544*Q544))*IF(Inputs!$B$39="pvp",1,(1+(Inputs!$B$22+Skills!Q9+((C552=TRUE)*F552*IF(AND(Inputs!$B$39&lt;&gt;"pvp",Inputs!$B$44&gt;0),(((R552-1)*MIN((Skills!T17*(1+Inputs!$B$35/100)),(1/Q552))+MIN((Skills!T17*(1+Inputs!$B$35/100)),MAX(0,Inputs!$B$44-((R552-1)*(1/Q552)))))/Inputs!$B$44),IF(Inputs!$B$39="pvp",MIN((Skills!T17*(1+Inputs!$B$35/100)),15)/15,MIN(1,(Skills!T17*(1+Inputs!$B$35/100))/(1/Q552)))))+((C540=TRUE)*IF(Inputs!$B$3&gt;=126,10*MIN(1,15*Q540),0))+((C549=TRUE)*IF(Inputs!$B$39="pvp",20,(1-Summary!$B$11)*(20)+Summary!$B$11*(0))*IF(AND(Inputs!$B$39&lt;&gt;"pvp",Inputs!$B$44&gt;0),(((R549-1)*MIN((Skills!T14*(1+Inputs!$B$35/100)),(1/Q549))+MIN((Skills!T14*(1+Inputs!$B$35/100)),MAX(0,Inputs!$B$44-((R549-1)*(1/Q549)))))/Inputs!$B$44),IF(Inputs!$B$39="pvp",MIN((Skills!T14*(1+Inputs!$B$35/100)),15)/15,MIN(1,(Skills!T14*(1+Inputs!$B$35/100))/(1/Q549)))))+((C548=TRUE)*IF(Inputs!$B$3&gt;=82,IF(Inputs!$B$39="pvp",20,(1-Summary!$B$11)*(20)+Summary!$B$11*(0)),0)*IF(AND(Inputs!$B$39&lt;&gt;"pvp",Inputs!$B$44&gt;0),(((R548-1)*MIN((Skills!T13*(1+Inputs!$B$35/100)),(1/Q548))+MIN((Skills!T13*(1+Inputs!$B$35/100)),MAX(0,Inputs!$B$44-((R548-1)*(1/Q548)))))/Inputs!$B$44),IF(Inputs!$B$39="pvp",MIN((Skills!T13*(1+Inputs!$B$35/100)),15)/15,MIN(1,(Skills!T13*(1+Inputs!$B$35/100))/(1/Q548)))))+(IF(AND(ArtifactsInput!$M$35,Inputs!$B$4&lt;&gt;"Chapter Hunt"),CHOOSE(ArtifactsInput!$N$35+1,15,18,21,24,27,30)*(1-EXP(-(0.2*B566)*5)),0)+IF(AND(ArtifactsInput!$M$22,Inputs!$B$4&lt;&gt;"Chapter Hunt"),CHOOSE(ArtifactsInput!$N$22+1,10,12,14,16,18,20)*((0*(((0.15*B566*5))^0/1)+1*(((0.15*B566*5))^1/1)+2*(((0.15*B566*5))^2/2)+3*(((0.15*B566*5))^3/6)+4*(((0.15*B566*5))^4/24)+5*(((0.15*B566*5))^5/120))/((((0.15*B566*5))^0/1)+(((0.15*B566*5))^1/1)+(((0.15*B566*5))^2/2)+(((0.15*B566*5))^3/6)+(((0.15*B566*5))^4/24)+(((0.15*B566*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45">
      <c r="A545">
        <f>Skills!A10</f>
        <v/>
      </c>
      <c r="B545">
        <f>Skills!B10</f>
        <v/>
      </c>
      <c r="C545">
        <f>Inputs!$B$3&gt;=110</f>
        <v/>
      </c>
      <c r="D545">
        <f>IF(Skills!C10=1,60+Inputs!$B$26+Inputs!$B$30,IF(Skills!C10=2,90+Inputs!$B$27+Inputs!$B$30,IF(Skills!C10=3,120+Inputs!$B$28+Inputs!$B$30,MAX(0,(Inputs!$B$3-100)*3)+Inputs!$B$29+Inputs!$B$30)))</f>
        <v/>
      </c>
      <c r="E545">
        <f>INDEX(FactorTable!$B$2:$Y$301, MATCH(ROUND(MIN(300,MAX(1,D545)),0), FactorTable!$A$2:$A$301,0), Skills!M10+1)</f>
        <v/>
      </c>
      <c r="F545">
        <f>IF(Skills!N10=TRUE,(Skills!L10/10)*(E545/1000),Skills!L10/10)+Skills!O10</f>
        <v/>
      </c>
      <c r="G545">
        <f>Skills!G10*IF(Skills!H10&gt;0,INT(IF(Inputs!$B$39="pvp",MIN(Skills!I10,15),Skills!I10)/Skills!H10+0.000000001),1)</f>
        <v/>
      </c>
      <c r="H545">
        <f>1-(1-Skills!J10/100)^Skills!K10</f>
        <v/>
      </c>
      <c r="I545" t="inlineStr">
        <is>
          <t>1</t>
        </is>
      </c>
      <c r="J545">
        <f>((Inputs!$B$6*(1+Inputs!$B$7/100))+(((Inputs!$B$13*(1+Inputs!$B$14/100))-(Inputs!$B$13*(1+Inputs!$B$14/100)))+0.25*(Inputs!$B$15-Inputs!$B$15))*(1+Inputs!$B$7/100))*(F545/100)</f>
        <v/>
      </c>
      <c r="K545">
        <f>J545*(1+(((Inputs!$B$13+IF(Inputs!$B$3&gt;=38,(10*INDEX(FactorTable!$B$2:$Y$301, MATCH(ROUND(MIN(300,MAX(1,Inputs!$B$3)),0), FactorTable!$A$2:$A$301,0), 23)/1000)/100*(Inputs!$B$8*(1+Inputs!$B$9/100)),0))*(1+Inputs!$B$14/100))*0.01+Inputs!$B$15*0.0025)/100)*(1+Inputs!$B$16/100)*(1+Inputs!$B$17/100)*(5000/(6000+Inputs!$B$43*(1-(Inputs!$B$20+0)/100)))*(1+(Inputs!$B$25+((C560=TRUE)*(F560-Calc!F25))+((C561=TRUE)*(F561-Calc!F26))+B570)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gt;=100),MIN(100,((Inputs!$B$10+0+B564+(ArtifactsInput!$M$24-ArtifactsInput!$M$24)*CHOOSE(ArtifactsInput!$N$24+1,10,12,14,16,18,20)+IF(ArtifactsInput!$M$10,CHOOSE(ArtifactsInput!$N$10+1,15,18,21,24,27,30)*(IF(Inputs!$B$39="pvp",MIN(15,15)/15,IF(AND(Inputs!$B$39&lt;&gt;"pvp",Inputs!$B$44&gt;0),MIN(15,Inputs!$B$44)/(Inputs!$B$44),0))),0)))-100),0))*CHOOSE(ArtifactsInput!$N$42+1,0.6,0.72,0.84,0.96,1.08,1.2))),Inputs!$B$19+((C558=TRUE)*(F558-Calc!F23))+(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gt;=100),CHOOSE(ArtifactsInput!$N$42+1,40,48,56,64,72,80),0))))/100)*((1+(((C548=TRUE)*F548*IF(AND(Inputs!$B$39&lt;&gt;"pvp",Inputs!$B$44&gt;0),(((R548-1)*MIN((Skills!T13*(1+Inputs!$B$35/100)),(1/Q548))+MIN((Skills!T13*(1+Inputs!$B$35/100)),MAX(0,Inputs!$B$44-((R548-1)*(1/Q548)))))/Inputs!$B$44),IF(Inputs!$B$39="pvp",MIN((Skills!T13*(1+Inputs!$B$35/100)),15)/15,MIN(1,(Skills!T13*(1+Inputs!$B$35/100))/(1/Q548)))))+((C549=TRUE)*F549*IF(AND(Inputs!$B$39&lt;&gt;"pvp",Inputs!$B$44&gt;0),(((R549-1)*MIN((Skills!T14*(1+Inputs!$B$35/100)),(1/Q549))+MIN((Skills!T14*(1+Inputs!$B$35/100)),MAX(0,Inputs!$B$44-((R549-1)*(1/Q549)))))/Inputs!$B$44),IF(Inputs!$B$39="pvp",MIN((Skills!T14*(1+Inputs!$B$35/100)),15)/15,MIN(1,(Skills!T14*(1+Inputs!$B$35/100))/(1/Q549)))))+((C550=TRUE)*F550*IF(AND(Inputs!$B$39&lt;&gt;"pvp",Inputs!$B$44&gt;0),(((R550-1)*MIN((Skills!T15*(1+Inputs!$B$35/100)),(1/Q550))+MIN((Skills!T15*(1+Inputs!$B$35/100)),MAX(0,Inputs!$B$44-((R550-1)*(1/Q550)))))/Inputs!$B$44),IF(Inputs!$B$39="pvp",MIN((Skills!T15*(1+Inputs!$B$35/100)),15)/15,MIN(1,(Skills!T15*(1+Inputs!$B$35/100))/(1/Q550)))))+((C551=TRUE)*F551*IF(AND(Inputs!$B$39&lt;&gt;"pvp",Inputs!$B$44&gt;0),(((R551-1)*MIN((Skills!T16*(1+Inputs!$B$35/100)),(1/Q551))+MIN((Skills!T16*(1+Inputs!$B$35/100)),MAX(0,Inputs!$B$44-((R551-1)*(1/Q551)))))/Inputs!$B$44),IF(Inputs!$B$39="pvp",MIN((Skills!T16*(1+Inputs!$B$35/100)),15)/15,MIN(1,(Skills!T16*(1+Inputs!$B$35/100))/(1/Q551)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545)</f>
        <v/>
      </c>
      <c r="L545">
        <f>K545*(MIN(Inputs!$B$23+((C557=TRUE)*(F557-Calc!F22)),((Inputs!$B$24+1)+((C559=TRUE)*(F559-Calc!F24))+(IF(ArtifactsInput!$M$15,CHOOSE(ArtifactsInput!$N$15+1,25,30,35,40,45,50)/100*(Inputs!$B$12-Inputs!$B$12),0))))/100+((Inputs!$B$24+1)+((C559=TRUE)*(F559-Calc!F24))+(IF(ArtifactsInput!$M$15,CHOOSE(ArtifactsInput!$N$15+1,25,30,35,40,45,50)/100*(Inputs!$B$12-Inputs!$B$12),0)))/100)/2</f>
        <v/>
      </c>
      <c r="M545">
        <f>L545*(1+(Inputs!$B$11+0+B569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545">
        <f>L545*(1-MIN((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545*(MIN((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45">
        <f>(1-Summary!$B$11)*T545+Summary!$B$11*V545</f>
        <v/>
      </c>
      <c r="P545">
        <f>IF(B574=0,0,O545/B574)</f>
        <v/>
      </c>
      <c r="Q545">
        <f>IFERROR(1/IF(Inputs!$B$39="pvp",15,MAX(0.1,Skills!D10-IF(TRUE=TRUE,Inputs!$B$33,0))),0)</f>
        <v/>
      </c>
      <c r="R545">
        <f>IF(AND(Inputs!$B$39&lt;&gt;"pvp",Inputs!$B$44&gt;0),IF(MAX(0,Inputs!$B$44-B571)&lt;=0,0,(INT(MAX(0,Inputs!$B$44-B571)/IF(Inputs!$B$39="pvp",15,MAX(0.1,Skills!D10-IF(TRUE=TRUE,Inputs!$B$33,0))))+1)),0)</f>
        <v/>
      </c>
      <c r="S545">
        <f>IFERROR(O545/N545,0)</f>
        <v/>
      </c>
      <c r="T545">
        <f>IF(C545,(H545*N545*IF(AND(Inputs!$B$39&lt;&gt;"pvp",Inputs!$B$44&gt;0),((Skills!G10*((R545-1)*IF(Skills!H10&gt;0,INT(Skills!I10/Skills!H10+0.000000001),1)+IF(Skills!H10&gt;0,INT(MIN(Skills!I10,MAX(0,MAX(0,Inputs!$B$44-B571)-((R545-1)*IF(Inputs!$B$39="pvp",15,MAX(0.1,Skills!D10-IF(TRUE=TRUE,Inputs!$B$33,0))))))/Skills!H10+0.000000001),1)))/Inputs!$B$44),G545*Q545))*IF(Inputs!$B$39="pvp",1,1+(Inputs!$B$21+0+Skills!P10+((C552=TRUE)*F552*IF(AND(Inputs!$B$39&lt;&gt;"pvp",Inputs!$B$44&gt;0),(((R552-1)*MIN((Skills!T17*(1+Inputs!$B$35/100)),(1/Q552))+MIN((Skills!T17*(1+Inputs!$B$35/100)),MAX(0,Inputs!$B$44-((R552-1)*(1/Q552)))))/Inputs!$B$44),IF(Inputs!$B$39="pvp",MIN((Skills!T17*(1+Inputs!$B$35/100)),15)/15,MIN(1,(Skills!T17*(1+Inputs!$B$35/100))/(1/Q552)))))+((C540=TRUE)*IF(Inputs!$B$3&gt;=126,10*MIN(1,15*Q540),0))+((C549=TRUE)*IF(Inputs!$B$39="pvp",20,(1-Summary!$B$11)*(20)+Summary!$B$11*(0))*IF(AND(Inputs!$B$39&lt;&gt;"pvp",Inputs!$B$44&gt;0),(((R549-1)*MIN((Skills!T14*(1+Inputs!$B$35/100)),(1/Q549))+MIN((Skills!T14*(1+Inputs!$B$35/100)),MAX(0,Inputs!$B$44-((R549-1)*(1/Q549)))))/Inputs!$B$44),IF(Inputs!$B$39="pvp",MIN((Skills!T14*(1+Inputs!$B$35/100)),15)/15,MIN(1,(Skills!T14*(1+Inputs!$B$35/100))/(1/Q549)))))+((C548=TRUE)*IF(Inputs!$B$3&gt;=82,IF(Inputs!$B$39="pvp",20,(1-Summary!$B$11)*(20)+Summary!$B$11*(0)),0)*IF(AND(Inputs!$B$39&lt;&gt;"pvp",Inputs!$B$44&gt;0),(((R548-1)*MIN((Skills!T13*(1+Inputs!$B$35/100)),(1/Q548))+MIN((Skills!T13*(1+Inputs!$B$35/100)),MAX(0,Inputs!$B$44-((R548-1)*(1/Q548)))))/Inputs!$B$44),IF(Inputs!$B$39="pvp",MIN((Skills!T13*(1+Inputs!$B$35/100)),15)/15,MIN(1,(Skills!T13*(1+Inputs!$B$35/100))/(1/Q548)))))+(IF(AND(ArtifactsInput!$M$35,Inputs!$B$4&lt;&gt;"Chapter Hunt"),CHOOSE(ArtifactsInput!$N$35+1,15,18,21,24,27,30)*(1-EXP(-(0.2*B566)*5)),0)+IF(AND(ArtifactsInput!$M$22,Inputs!$B$4&lt;&gt;"Chapter Hunt"),CHOOSE(ArtifactsInput!$N$22+1,10,12,14,16,18,20)*((0*(((0.15*B566*5))^0/1)+1*(((0.15*B566*5))^1/1)+2*(((0.15*B566*5))^2/2)+3*(((0.15*B566*5))^3/6)+4*(((0.15*B566*5))^4/24)+5*(((0.15*B566*5))^5/120))/((((0.15*B566*5))^0/1)+(((0.15*B566*5))^1/1)+(((0.15*B566*5))^2/2)+(((0.15*B566*5))^3/6)+(((0.15*B566*5))^4/24)+(((0.15*B566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545*(1-MIN(100,(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545*(MIN(100,(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545*(1-MIN(100,(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545*(MIN(100,(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45">
        <f>IF(C545,(H545*N545*IF(AND(Inputs!$B$39&lt;&gt;"pvp",Inputs!$B$44&gt;0),((Skills!G10*((R545-1)*IF(Skills!H10&gt;0,INT(Skills!I10/Skills!H10+0.000000001),1)+IF(Skills!H10&gt;0,INT(MIN(Skills!I10,MAX(0,MAX(0,Inputs!$B$44-B571)-((R545-1)*IF(Inputs!$B$39="pvp",15,MAX(0.1,Skills!D10-IF(TRUE=TRUE,Inputs!$B$33,0))))))/Skills!H10+0.000000001),1)))/Inputs!$B$44),G545*Q545))*IF(Inputs!$B$39="pvp",1,(1+(Inputs!$B$22+Skills!Q10+((C552=TRUE)*F552*IF(AND(Inputs!$B$39&lt;&gt;"pvp",Inputs!$B$44&gt;0),(((R552-1)*MIN((Skills!T17*(1+Inputs!$B$35/100)),(1/Q552))+MIN((Skills!T17*(1+Inputs!$B$35/100)),MAX(0,Inputs!$B$44-((R552-1)*(1/Q552)))))/Inputs!$B$44),IF(Inputs!$B$39="pvp",MIN((Skills!T17*(1+Inputs!$B$35/100)),15)/15,MIN(1,(Skills!T17*(1+Inputs!$B$35/100))/(1/Q552)))))+((C540=TRUE)*IF(Inputs!$B$3&gt;=126,10*MIN(1,15*Q540),0))+((C549=TRUE)*IF(Inputs!$B$39="pvp",20,(1-Summary!$B$11)*(20)+Summary!$B$11*(0))*IF(AND(Inputs!$B$39&lt;&gt;"pvp",Inputs!$B$44&gt;0),(((R549-1)*MIN((Skills!T14*(1+Inputs!$B$35/100)),(1/Q549))+MIN((Skills!T14*(1+Inputs!$B$35/100)),MAX(0,Inputs!$B$44-((R549-1)*(1/Q549)))))/Inputs!$B$44),IF(Inputs!$B$39="pvp",MIN((Skills!T14*(1+Inputs!$B$35/100)),15)/15,MIN(1,(Skills!T14*(1+Inputs!$B$35/100))/(1/Q549)))))+((C548=TRUE)*IF(Inputs!$B$3&gt;=82,IF(Inputs!$B$39="pvp",20,(1-Summary!$B$11)*(20)+Summary!$B$11*(0)),0)*IF(AND(Inputs!$B$39&lt;&gt;"pvp",Inputs!$B$44&gt;0),(((R548-1)*MIN((Skills!T13*(1+Inputs!$B$35/100)),(1/Q548))+MIN((Skills!T13*(1+Inputs!$B$35/100)),MAX(0,Inputs!$B$44-((R548-1)*(1/Q548)))))/Inputs!$B$44),IF(Inputs!$B$39="pvp",MIN((Skills!T13*(1+Inputs!$B$35/100)),15)/15,MIN(1,(Skills!T13*(1+Inputs!$B$35/100))/(1/Q548)))))+(IF(AND(ArtifactsInput!$M$35,Inputs!$B$4&lt;&gt;"Chapter Hunt"),CHOOSE(ArtifactsInput!$N$35+1,15,18,21,24,27,30)*(1-EXP(-(0.2*B566)*5)),0)+IF(AND(ArtifactsInput!$M$22,Inputs!$B$4&lt;&gt;"Chapter Hunt"),CHOOSE(ArtifactsInput!$N$22+1,10,12,14,16,18,20)*((0*(((0.15*B566*5))^0/1)+1*(((0.15*B566*5))^1/1)+2*(((0.15*B566*5))^2/2)+3*(((0.15*B566*5))^3/6)+4*(((0.15*B566*5))^4/24)+5*(((0.15*B566*5))^5/120))/((((0.15*B566*5))^0/1)+(((0.15*B566*5))^1/1)+(((0.15*B566*5))^2/2)+(((0.15*B566*5))^3/6)+(((0.15*B566*5))^4/24)+(((0.15*B566*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46">
      <c r="A546">
        <f>Skills!A11</f>
        <v/>
      </c>
      <c r="B546">
        <f>Skills!B11</f>
        <v/>
      </c>
      <c r="C546">
        <f>Inputs!$B$3&gt;=100</f>
        <v/>
      </c>
      <c r="D546">
        <f>IF(Skills!C11=1,60+Inputs!$B$26+Inputs!$B$30,IF(Skills!C11=2,90+Inputs!$B$27+Inputs!$B$30,IF(Skills!C11=3,120+Inputs!$B$28+Inputs!$B$30,MAX(0,(Inputs!$B$3-100)*3)+Inputs!$B$29+Inputs!$B$30)))</f>
        <v/>
      </c>
      <c r="E546">
        <f>INDEX(FactorTable!$B$2:$Y$301, MATCH(ROUND(MIN(300,MAX(1,D546)),0), FactorTable!$A$2:$A$301,0), Skills!M11+1)</f>
        <v/>
      </c>
      <c r="F546">
        <f>IF(Skills!N11=TRUE,(Skills!L11/10)*(E546/1000),Skills!L11/10)+Skills!O11</f>
        <v/>
      </c>
      <c r="G546" t="inlineStr"/>
      <c r="H546" t="inlineStr"/>
      <c r="I546" t="inlineStr">
        <is>
          <t>1</t>
        </is>
      </c>
      <c r="J546" t="inlineStr"/>
      <c r="K546" t="inlineStr"/>
      <c r="L546" t="inlineStr"/>
      <c r="M546" t="inlineStr"/>
      <c r="N546" t="inlineStr"/>
      <c r="O546" t="inlineStr"/>
      <c r="P546" t="inlineStr"/>
      <c r="Q546" t="inlineStr"/>
      <c r="R546" t="inlineStr"/>
      <c r="S546" t="inlineStr"/>
    </row>
    <row r="547">
      <c r="A547">
        <f>Skills!A12</f>
        <v/>
      </c>
      <c r="B547">
        <f>Skills!B12</f>
        <v/>
      </c>
      <c r="C547">
        <f>Inputs!$B$3&gt;=63</f>
        <v/>
      </c>
      <c r="D547">
        <f>IF(Skills!C12=1,60+Inputs!$B$26+Inputs!$B$30,IF(Skills!C12=2,90+Inputs!$B$27+Inputs!$B$30,IF(Skills!C12=3,120+Inputs!$B$28+Inputs!$B$30,MAX(0,(Inputs!$B$3-100)*3)+Inputs!$B$29+Inputs!$B$30)))</f>
        <v/>
      </c>
      <c r="E547">
        <f>INDEX(FactorTable!$B$2:$Y$301, MATCH(ROUND(MIN(300,MAX(1,D547)),0), FactorTable!$A$2:$A$301,0), Skills!M12+1)</f>
        <v/>
      </c>
      <c r="F547">
        <f>IF(Skills!N12=TRUE,(Skills!L12/10)*(E547/1000),Skills!L12/10)+Skills!O12</f>
        <v/>
      </c>
      <c r="G547">
        <f>Skills!G12*IF(Skills!H12&gt;0,INT(IF(Inputs!$B$39="pvp",MIN(Skills!I12,15),Skills!I12)/Skills!H12+0.000000001),1)</f>
        <v/>
      </c>
      <c r="H547">
        <f>1-(1-Skills!J12/100)^Skills!K12</f>
        <v/>
      </c>
      <c r="I547" t="inlineStr">
        <is>
          <t>1</t>
        </is>
      </c>
      <c r="J547">
        <f>((Inputs!$B$6*(1+Inputs!$B$7/100))+(((Inputs!$B$13*(1+Inputs!$B$14/100))-(Inputs!$B$13*(1+Inputs!$B$14/100)))+0.25*(Inputs!$B$15-Inputs!$B$15))*(1+Inputs!$B$7/100))*(F547/100)</f>
        <v/>
      </c>
      <c r="K547">
        <f>J547*(1+(((Inputs!$B$13+IF(Inputs!$B$3&gt;=38,(10*INDEX(FactorTable!$B$2:$Y$301, MATCH(ROUND(MIN(300,MAX(1,Inputs!$B$3)),0), FactorTable!$A$2:$A$301,0), 23)/1000)/100*(Inputs!$B$8*(1+Inputs!$B$9/100)),0))*(1+Inputs!$B$14/100))*0.01+Inputs!$B$15*0.0025)/100)*(1+Inputs!$B$16/100)*(1+Inputs!$B$17/100)*(5000/(6000+Inputs!$B$43*(1-(Inputs!$B$20+0)/100)))*(1+(Inputs!$B$25+((C560=TRUE)*(F560-Calc!F25))+((C561=TRUE)*(F561-Calc!F26))+B570)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546=TRUE,F546,0)/100)*(1+(IF(Skills!A12="DARK_IMPALE",Inputs!$B$18+0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gt;=100),MIN(100,((Inputs!$B$10+0+B564+(ArtifactsInput!$M$24-ArtifactsInput!$M$24)*CHOOSE(ArtifactsInput!$N$24+1,10,12,14,16,18,20)+IF(ArtifactsInput!$M$10,CHOOSE(ArtifactsInput!$N$10+1,15,18,21,24,27,30)*(IF(Inputs!$B$39="pvp",MIN(15,15)/15,IF(AND(Inputs!$B$39&lt;&gt;"pvp",Inputs!$B$44&gt;0),MIN(15,Inputs!$B$44)/(Inputs!$B$44),0))),0)))-100),0))*CHOOSE(ArtifactsInput!$N$42+1,0.6,0.72,0.84,0.96,1.08,1.2))),Inputs!$B$19+((C558=TRUE)*(F558-Calc!F23))+(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gt;=100),CHOOSE(ArtifactsInput!$N$42+1,40,48,56,64,72,80),0))))/100)*((1+(((C548=TRUE)*F548*IF(AND(Inputs!$B$39&lt;&gt;"pvp",Inputs!$B$44&gt;0),(((R548-1)*MIN((Skills!T13*(1+Inputs!$B$35/100)),(1/Q548))+MIN((Skills!T13*(1+Inputs!$B$35/100)),MAX(0,Inputs!$B$44-((R548-1)*(1/Q548)))))/Inputs!$B$44),IF(Inputs!$B$39="pvp",MIN((Skills!T13*(1+Inputs!$B$35/100)),15)/15,MIN(1,(Skills!T13*(1+Inputs!$B$35/100))/(1/Q548)))))+((C549=TRUE)*F549*IF(AND(Inputs!$B$39&lt;&gt;"pvp",Inputs!$B$44&gt;0),(((R549-1)*MIN((Skills!T14*(1+Inputs!$B$35/100)),(1/Q549))+MIN((Skills!T14*(1+Inputs!$B$35/100)),MAX(0,Inputs!$B$44-((R549-1)*(1/Q549)))))/Inputs!$B$44),IF(Inputs!$B$39="pvp",MIN((Skills!T14*(1+Inputs!$B$35/100)),15)/15,MIN(1,(Skills!T14*(1+Inputs!$B$35/100))/(1/Q549)))))+((C550=TRUE)*F550*IF(AND(Inputs!$B$39&lt;&gt;"pvp",Inputs!$B$44&gt;0),(((R550-1)*MIN((Skills!T15*(1+Inputs!$B$35/100)),(1/Q550))+MIN((Skills!T15*(1+Inputs!$B$35/100)),MAX(0,Inputs!$B$44-((R550-1)*(1/Q550)))))/Inputs!$B$44),IF(Inputs!$B$39="pvp",MIN((Skills!T15*(1+Inputs!$B$35/100)),15)/15,MIN(1,(Skills!T15*(1+Inputs!$B$35/100))/(1/Q550)))))+((C551=TRUE)*F551*IF(AND(Inputs!$B$39&lt;&gt;"pvp",Inputs!$B$44&gt;0),(((R551-1)*MIN((Skills!T16*(1+Inputs!$B$35/100)),(1/Q551))+MIN((Skills!T16*(1+Inputs!$B$35/100)),MAX(0,Inputs!$B$44-((R551-1)*(1/Q551)))))/Inputs!$B$44),IF(Inputs!$B$39="pvp",MIN((Skills!T16*(1+Inputs!$B$35/100)),15)/15,MIN(1,(Skills!T16*(1+Inputs!$B$35/100))/(1/Q551)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547)</f>
        <v/>
      </c>
      <c r="L547">
        <f>K547*(MIN(Inputs!$B$23+((C557=TRUE)*(F557-Calc!F22)),((Inputs!$B$24+1)+((C559=TRUE)*(F559-Calc!F24))+(IF(ArtifactsInput!$M$15,CHOOSE(ArtifactsInput!$N$15+1,25,30,35,40,45,50)/100*(Inputs!$B$12-Inputs!$B$12),0))))/100+((Inputs!$B$24+1)+((C559=TRUE)*(F559-Calc!F24))+(IF(ArtifactsInput!$M$15,CHOOSE(ArtifactsInput!$N$15+1,25,30,35,40,45,50)/100*(Inputs!$B$12-Inputs!$B$12),0)))/100)/2</f>
        <v/>
      </c>
      <c r="M547">
        <f>L547*(1+(Inputs!$B$11+0+B569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547">
        <f>L547*(1-MIN((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547*(MIN((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47">
        <f>(1-Summary!$B$11)*T547+Summary!$B$11*V547</f>
        <v/>
      </c>
      <c r="P547">
        <f>IF(B574=0,0,O547/B574)</f>
        <v/>
      </c>
      <c r="Q547">
        <f>IFERROR(1/IF(Inputs!$B$39="pvp",15,MAX(0.1,Skills!D12-IF(TRUE=TRUE,Inputs!$B$33,0))),0)</f>
        <v/>
      </c>
      <c r="R547">
        <f>IF(AND(Inputs!$B$39&lt;&gt;"pvp",Inputs!$B$44&gt;0),IF(MAX(0,Inputs!$B$44-B571)&lt;=0,0,(INT(MAX(0,Inputs!$B$44-B571)/IF(Inputs!$B$39="pvp",15,MAX(0.1,Skills!D12-IF(TRUE=TRUE,Inputs!$B$33,0))))+1)),0)</f>
        <v/>
      </c>
      <c r="S547">
        <f>IFERROR(O547/N547,0)</f>
        <v/>
      </c>
      <c r="T547">
        <f>IF(C547,(H547*N547*IF(AND(Inputs!$B$39&lt;&gt;"pvp",Inputs!$B$44&gt;0),((Skills!G12*((R547-1)*IF(Skills!H12&gt;0,INT(Skills!I12/Skills!H12+0.000000001),1)+IF(Skills!H12&gt;0,INT(MIN(Skills!I12,MAX(0,MAX(0,Inputs!$B$44-B571)-((R547-1)*IF(Inputs!$B$39="pvp",15,MAX(0.1,Skills!D12-IF(TRUE=TRUE,Inputs!$B$33,0))))))/Skills!H12+0.000000001),1)))/Inputs!$B$44),G547*Q547))*IF(Inputs!$B$39="pvp",1,1+(Inputs!$B$21+0+Skills!P12+((C552=TRUE)*F552*IF(AND(Inputs!$B$39&lt;&gt;"pvp",Inputs!$B$44&gt;0),(((R552-1)*MIN((Skills!T17*(1+Inputs!$B$35/100)),(1/Q552))+MIN((Skills!T17*(1+Inputs!$B$35/100)),MAX(0,Inputs!$B$44-((R552-1)*(1/Q552)))))/Inputs!$B$44),IF(Inputs!$B$39="pvp",MIN((Skills!T17*(1+Inputs!$B$35/100)),15)/15,MIN(1,(Skills!T17*(1+Inputs!$B$35/100))/(1/Q552)))))+((C540=TRUE)*IF(Inputs!$B$3&gt;=126,10*MIN(1,15*Q540),0))+((C549=TRUE)*IF(Inputs!$B$39="pvp",20,(1-Summary!$B$11)*(20)+Summary!$B$11*(0))*IF(AND(Inputs!$B$39&lt;&gt;"pvp",Inputs!$B$44&gt;0),(((R549-1)*MIN((Skills!T14*(1+Inputs!$B$35/100)),(1/Q549))+MIN((Skills!T14*(1+Inputs!$B$35/100)),MAX(0,Inputs!$B$44-((R549-1)*(1/Q549)))))/Inputs!$B$44),IF(Inputs!$B$39="pvp",MIN((Skills!T14*(1+Inputs!$B$35/100)),15)/15,MIN(1,(Skills!T14*(1+Inputs!$B$35/100))/(1/Q549)))))+((C548=TRUE)*IF(Inputs!$B$3&gt;=82,IF(Inputs!$B$39="pvp",20,(1-Summary!$B$11)*(20)+Summary!$B$11*(0)),0)*IF(AND(Inputs!$B$39&lt;&gt;"pvp",Inputs!$B$44&gt;0),(((R548-1)*MIN((Skills!T13*(1+Inputs!$B$35/100)),(1/Q548))+MIN((Skills!T13*(1+Inputs!$B$35/100)),MAX(0,Inputs!$B$44-((R548-1)*(1/Q548)))))/Inputs!$B$44),IF(Inputs!$B$39="pvp",MIN((Skills!T13*(1+Inputs!$B$35/100)),15)/15,MIN(1,(Skills!T13*(1+Inputs!$B$35/100))/(1/Q548)))))+(IF(AND(ArtifactsInput!$M$35,Inputs!$B$4&lt;&gt;"Chapter Hunt"),CHOOSE(ArtifactsInput!$N$35+1,15,18,21,24,27,30)*(1-EXP(-(0.2*B566)*5)),0)+IF(AND(ArtifactsInput!$M$22,Inputs!$B$4&lt;&gt;"Chapter Hunt"),CHOOSE(ArtifactsInput!$N$22+1,10,12,14,16,18,20)*((0*(((0.15*B566*5))^0/1)+1*(((0.15*B566*5))^1/1)+2*(((0.15*B566*5))^2/2)+3*(((0.15*B566*5))^3/6)+4*(((0.15*B566*5))^4/24)+5*(((0.15*B566*5))^5/120))/((((0.15*B566*5))^0/1)+(((0.15*B566*5))^1/1)+(((0.15*B566*5))^2/2)+(((0.15*B566*5))^3/6)+(((0.15*B566*5))^4/24)+(((0.15*B566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547*(1-MIN(100,(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547*(MIN(100,(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547*(1-MIN(100,(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547*(MIN(100,(Inputs!$B$10+0+B564+(ArtifactsInput!$M$24-ArtifactsInput!$M$24)*CHOOSE(ArtifactsInput!$N$24+1,10,12,14,16,18,20)+(IF(AND(Inputs!$B$39&lt;&gt;"pvp",Inputs!$B$44=0),1,IF(IF(Inputs!$B$39="pvp",15,Inputs!$B$44)-(B571)&lt;=0,1,MAX(0,IF(Inputs!$B$39="pvp",15,Inputs!$B$44)-MAX(5,B571))/(IF(Inputs!$B$39="pvp",15,Inputs!$B$44)-(B571))))*IF(AND(ArtifactsInput!$M$42,((Inputs!$B$10+0+B564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47">
        <f>IF(C547,(H547*N547*IF(AND(Inputs!$B$39&lt;&gt;"pvp",Inputs!$B$44&gt;0),((Skills!G12*((R547-1)*IF(Skills!H12&gt;0,INT(Skills!I12/Skills!H12+0.000000001),1)+IF(Skills!H12&gt;0,INT(MIN(Skills!I12,MAX(0,MAX(0,Inputs!$B$44-B571)-((R547-1)*IF(Inputs!$B$39="pvp",15,MAX(0.1,Skills!D12-IF(TRUE=TRUE,Inputs!$B$33,0))))))/Skills!H12+0.000000001),1)))/Inputs!$B$44),G547*Q547))*IF(Inputs!$B$39="pvp",1,(1+(Inputs!$B$22+Skills!Q12+((C552=TRUE)*F552*IF(AND(Inputs!$B$39&lt;&gt;"pvp",Inputs!$B$44&gt;0),(((R552-1)*MIN((Skills!T17*(1+Inputs!$B$35/100)),(1/Q552))+MIN((Skills!T17*(1+Inputs!$B$35/100)),MAX(0,Inputs!$B$44-((R552-1)*(1/Q552)))))/Inputs!$B$44),IF(Inputs!$B$39="pvp",MIN((Skills!T17*(1+Inputs!$B$35/100)),15)/15,MIN(1,(Skills!T17*(1+Inputs!$B$35/100))/(1/Q552)))))+((C540=TRUE)*IF(Inputs!$B$3&gt;=126,10*MIN(1,15*Q540),0))+((C549=TRUE)*IF(Inputs!$B$39="pvp",20,(1-Summary!$B$11)*(20)+Summary!$B$11*(0))*IF(AND(Inputs!$B$39&lt;&gt;"pvp",Inputs!$B$44&gt;0),(((R549-1)*MIN((Skills!T14*(1+Inputs!$B$35/100)),(1/Q549))+MIN((Skills!T14*(1+Inputs!$B$35/100)),MAX(0,Inputs!$B$44-((R549-1)*(1/Q549)))))/Inputs!$B$44),IF(Inputs!$B$39="pvp",MIN((Skills!T14*(1+Inputs!$B$35/100)),15)/15,MIN(1,(Skills!T14*(1+Inputs!$B$35/100))/(1/Q549)))))+((C548=TRUE)*IF(Inputs!$B$3&gt;=82,IF(Inputs!$B$39="pvp",20,(1-Summary!$B$11)*(20)+Summary!$B$11*(0)),0)*IF(AND(Inputs!$B$39&lt;&gt;"pvp",Inputs!$B$44&gt;0),(((R548-1)*MIN((Skills!T13*(1+Inputs!$B$35/100)),(1/Q548))+MIN((Skills!T13*(1+Inputs!$B$35/100)),MAX(0,Inputs!$B$44-((R548-1)*(1/Q548)))))/Inputs!$B$44),IF(Inputs!$B$39="pvp",MIN((Skills!T13*(1+Inputs!$B$35/100)),15)/15,MIN(1,(Skills!T13*(1+Inputs!$B$35/100))/(1/Q548)))))+(IF(AND(ArtifactsInput!$M$35,Inputs!$B$4&lt;&gt;"Chapter Hunt"),CHOOSE(ArtifactsInput!$N$35+1,15,18,21,24,27,30)*(1-EXP(-(0.2*B566)*5)),0)+IF(AND(ArtifactsInput!$M$22,Inputs!$B$4&lt;&gt;"Chapter Hunt"),CHOOSE(ArtifactsInput!$N$22+1,10,12,14,16,18,20)*((0*(((0.15*B566*5))^0/1)+1*(((0.15*B566*5))^1/1)+2*(((0.15*B566*5))^2/2)+3*(((0.15*B566*5))^3/6)+4*(((0.15*B566*5))^4/24)+5*(((0.15*B566*5))^5/120))/((((0.15*B566*5))^0/1)+(((0.15*B566*5))^1/1)+(((0.15*B566*5))^2/2)+(((0.15*B566*5))^3/6)+(((0.15*B566*5))^4/24)+(((0.15*B566*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48">
      <c r="A548">
        <f>Skills!A13</f>
        <v/>
      </c>
      <c r="B548">
        <f>Skills!B13</f>
        <v/>
      </c>
      <c r="C548">
        <f>Inputs!$B$3&gt;=69</f>
        <v/>
      </c>
      <c r="D548">
        <f>IF(Skills!C13=1,60+Inputs!$B$26+Inputs!$B$30,IF(Skills!C13=2,90+Inputs!$B$27+Inputs!$B$30,IF(Skills!C13=3,120+Inputs!$B$28+Inputs!$B$30,MAX(0,(Inputs!$B$3-100)*3)+Inputs!$B$29+Inputs!$B$30)))</f>
        <v/>
      </c>
      <c r="E548">
        <f>INDEX(FactorTable!$B$2:$Y$301, MATCH(ROUND(MIN(300,MAX(1,D548)),0), FactorTable!$A$2:$A$301,0), Skills!M13+1)</f>
        <v/>
      </c>
      <c r="F548">
        <f>IF(Skills!N13=TRUE,(Skills!L13/10)*(E548/1000),Skills!L13/10)+Skills!O13</f>
        <v/>
      </c>
      <c r="G548">
        <f>Skills!G13*IF(Skills!H13&gt;0,INT(IF(Inputs!$B$39="pvp",MIN(Skills!I13,15),Skills!I13)/Skills!H13+0.000000001),1)</f>
        <v/>
      </c>
      <c r="H548">
        <f>1-(1-Skills!J13/100)^Skills!K13</f>
        <v/>
      </c>
      <c r="I548" t="inlineStr">
        <is>
          <t>1</t>
        </is>
      </c>
      <c r="J548" t="inlineStr"/>
      <c r="K548" t="inlineStr"/>
      <c r="L548" t="inlineStr"/>
      <c r="M548" t="inlineStr"/>
      <c r="N548" t="inlineStr"/>
      <c r="O548">
        <f>(1-Summary!$B$11)*T548+Summary!$B$11*V548</f>
        <v/>
      </c>
      <c r="P548">
        <f>IF(B574=0,0,O548/B574)</f>
        <v/>
      </c>
      <c r="Q548">
        <f>IFERROR(1/IF(Inputs!$B$39="pvp",15,MAX(0.1,Skills!D13-IF(TRUE=TRUE,Inputs!$B$33,0))),0)</f>
        <v/>
      </c>
      <c r="R548">
        <f>IF(AND(Inputs!$B$39&lt;&gt;"pvp",Inputs!$B$44&gt;0),IF(Inputs!$B$44&lt;=0,0,(INT(Inputs!$B$44/IF(Inputs!$B$39="pvp",15,MAX(0.1,Skills!D13-IF(TRUE=TRUE,Inputs!$B$33,0))))+1)),0)</f>
        <v/>
      </c>
      <c r="S548">
        <f>IFERROR(O548/N548,0)</f>
        <v/>
      </c>
      <c r="T548" t="n">
        <v>0</v>
      </c>
      <c r="V548" t="n">
        <v>0</v>
      </c>
    </row>
    <row r="549">
      <c r="A549">
        <f>Skills!A14</f>
        <v/>
      </c>
      <c r="B549">
        <f>Skills!B14</f>
        <v/>
      </c>
      <c r="C549">
        <f>Inputs!$B$3&gt;=115</f>
        <v/>
      </c>
      <c r="D549">
        <f>IF(Skills!C14=1,60+Inputs!$B$26+Inputs!$B$30,IF(Skills!C14=2,90+Inputs!$B$27+Inputs!$B$30,IF(Skills!C14=3,120+Inputs!$B$28+Inputs!$B$30,MAX(0,(Inputs!$B$3-100)*3)+Inputs!$B$29+Inputs!$B$30)))</f>
        <v/>
      </c>
      <c r="E549">
        <f>INDEX(FactorTable!$B$2:$Y$301, MATCH(ROUND(MIN(300,MAX(1,D549)),0), FactorTable!$A$2:$A$301,0), Skills!M14+1)</f>
        <v/>
      </c>
      <c r="F549">
        <f>IF(Skills!N14=TRUE,(Skills!L14/10)*(E549/1000),Skills!L14/10)+Skills!O14</f>
        <v/>
      </c>
      <c r="G549">
        <f>Skills!G14*IF(Skills!H14&gt;0,INT(IF(Inputs!$B$39="pvp",MIN(Skills!I14,15),Skills!I14)/Skills!H14+0.000000001),1)</f>
        <v/>
      </c>
      <c r="H549">
        <f>1-(1-Skills!J14/100)^Skills!K14</f>
        <v/>
      </c>
      <c r="I549" t="inlineStr">
        <is>
          <t>1</t>
        </is>
      </c>
      <c r="J549" t="inlineStr"/>
      <c r="K549" t="inlineStr"/>
      <c r="L549" t="inlineStr"/>
      <c r="M549" t="inlineStr"/>
      <c r="N549" t="inlineStr"/>
      <c r="O549">
        <f>(1-Summary!$B$11)*T549+Summary!$B$11*V549</f>
        <v/>
      </c>
      <c r="P549">
        <f>IF(B574=0,0,O549/B574)</f>
        <v/>
      </c>
      <c r="Q549">
        <f>IFERROR(1/IF(Inputs!$B$39="pvp",15,MAX(0.1,Skills!D14-IF(TRUE=TRUE,Inputs!$B$33,0))),0)</f>
        <v/>
      </c>
      <c r="R549">
        <f>IF(AND(Inputs!$B$39&lt;&gt;"pvp",Inputs!$B$44&gt;0),IF(Inputs!$B$44&lt;=0,0,(INT(Inputs!$B$44/IF(Inputs!$B$39="pvp",15,MAX(0.1,Skills!D14-IF(TRUE=TRUE,Inputs!$B$33,0))))+1)),0)</f>
        <v/>
      </c>
      <c r="S549">
        <f>IFERROR(O549/N549,0)</f>
        <v/>
      </c>
      <c r="T549" t="n">
        <v>0</v>
      </c>
      <c r="V549" t="n">
        <v>0</v>
      </c>
    </row>
    <row r="550">
      <c r="A550">
        <f>Skills!A15</f>
        <v/>
      </c>
      <c r="B550">
        <f>Skills!B15</f>
        <v/>
      </c>
      <c r="C550">
        <f>Inputs!$B$3&gt;=66</f>
        <v/>
      </c>
      <c r="D550">
        <f>IF(Skills!C15=1,60+Inputs!$B$26+Inputs!$B$30,IF(Skills!C15=2,90+Inputs!$B$27+Inputs!$B$30,IF(Skills!C15=3,120+Inputs!$B$28+Inputs!$B$30,MAX(0,(Inputs!$B$3-100)*3)+Inputs!$B$29+Inputs!$B$30)))</f>
        <v/>
      </c>
      <c r="E550">
        <f>INDEX(FactorTable!$B$2:$Y$301, MATCH(ROUND(MIN(300,MAX(1,D550)),0), FactorTable!$A$2:$A$301,0), Skills!M15+1)</f>
        <v/>
      </c>
      <c r="F550">
        <f>IF(Skills!N15=TRUE,(Skills!L15/10)*(E550/1000),Skills!L15/10)+Skills!O15</f>
        <v/>
      </c>
      <c r="G550">
        <f>Skills!G15*IF(Skills!H15&gt;0,INT(IF(Inputs!$B$39="pvp",MIN(Skills!I15,15),Skills!I15)/Skills!H15+0.000000001),1)</f>
        <v/>
      </c>
      <c r="H550">
        <f>1-(1-Skills!J15/100)^Skills!K15</f>
        <v/>
      </c>
      <c r="I550" t="inlineStr">
        <is>
          <t>1</t>
        </is>
      </c>
      <c r="J550" t="inlineStr"/>
      <c r="K550" t="inlineStr"/>
      <c r="L550" t="inlineStr"/>
      <c r="M550" t="inlineStr"/>
      <c r="N550" t="inlineStr"/>
      <c r="O550">
        <f>(1-Summary!$B$11)*T550+Summary!$B$11*V550</f>
        <v/>
      </c>
      <c r="P550">
        <f>IF(B574=0,0,O550/B574)</f>
        <v/>
      </c>
      <c r="Q550">
        <f>IFERROR(1/IF(Inputs!$B$39="pvp",15,MAX(0.1,Skills!D15-IF(TRUE=TRUE,Inputs!$B$33,0))),0)</f>
        <v/>
      </c>
      <c r="R550">
        <f>IF(AND(Inputs!$B$39&lt;&gt;"pvp",Inputs!$B$44&gt;0),IF(Inputs!$B$44&lt;=0,0,(INT(Inputs!$B$44/IF(Inputs!$B$39="pvp",15,MAX(0.1,Skills!D15-IF(TRUE=TRUE,Inputs!$B$33,0))))+1)),0)</f>
        <v/>
      </c>
      <c r="S550">
        <f>IFERROR(O550/N550,0)</f>
        <v/>
      </c>
      <c r="T550" t="n">
        <v>0</v>
      </c>
      <c r="V550" t="n">
        <v>0</v>
      </c>
    </row>
    <row r="551">
      <c r="A551">
        <f>Skills!A16</f>
        <v/>
      </c>
      <c r="B551">
        <f>Skills!B16</f>
        <v/>
      </c>
      <c r="C551">
        <f>Inputs!$B$3&gt;=45</f>
        <v/>
      </c>
      <c r="D551">
        <f>IF(Skills!C16=1,60+Inputs!$B$26+Inputs!$B$30,IF(Skills!C16=2,90+Inputs!$B$27+Inputs!$B$30,IF(Skills!C16=3,120+Inputs!$B$28+Inputs!$B$30,MAX(0,(Inputs!$B$3-100)*3)+Inputs!$B$29+Inputs!$B$30)))</f>
        <v/>
      </c>
      <c r="E551">
        <f>INDEX(FactorTable!$B$2:$Y$301, MATCH(ROUND(MIN(300,MAX(1,D551)),0), FactorTable!$A$2:$A$301,0), Skills!M16+1)</f>
        <v/>
      </c>
      <c r="F551">
        <f>IF(Skills!N16=TRUE,(Skills!L16/10)*(E551/1000),Skills!L16/10)+Skills!O16</f>
        <v/>
      </c>
      <c r="G551">
        <f>Skills!G16*IF(Skills!H16&gt;0,INT(IF(Inputs!$B$39="pvp",MIN(Skills!I16,15),Skills!I16)/Skills!H16+0.000000001),1)</f>
        <v/>
      </c>
      <c r="H551">
        <f>1-(1-Skills!J16/100)^Skills!K16</f>
        <v/>
      </c>
      <c r="I551" t="inlineStr">
        <is>
          <t>1</t>
        </is>
      </c>
      <c r="J551" t="inlineStr"/>
      <c r="K551" t="inlineStr"/>
      <c r="L551" t="inlineStr"/>
      <c r="M551" t="inlineStr"/>
      <c r="N551" t="inlineStr"/>
      <c r="O551">
        <f>(1-Summary!$B$11)*T551+Summary!$B$11*V551</f>
        <v/>
      </c>
      <c r="P551">
        <f>IF(B574=0,0,O551/B574)</f>
        <v/>
      </c>
      <c r="Q551">
        <f>IFERROR(1/IF(Inputs!$B$39="pvp",15,MAX(0.1,Skills!D16-IF(TRUE=TRUE,Inputs!$B$33,0))),0)</f>
        <v/>
      </c>
      <c r="R551">
        <f>IF(AND(Inputs!$B$39&lt;&gt;"pvp",Inputs!$B$44&gt;0),IF(Inputs!$B$44&lt;=0,0,(INT(Inputs!$B$44/IF(Inputs!$B$39="pvp",15,MAX(0.1,Skills!D16-IF(TRUE=TRUE,Inputs!$B$33,0))))+1)),0)</f>
        <v/>
      </c>
      <c r="S551">
        <f>IFERROR(O551/N551,0)</f>
        <v/>
      </c>
      <c r="T551" t="n">
        <v>0</v>
      </c>
      <c r="V551" t="n">
        <v>0</v>
      </c>
    </row>
    <row r="552">
      <c r="A552">
        <f>Skills!A17</f>
        <v/>
      </c>
      <c r="B552">
        <f>Skills!B17</f>
        <v/>
      </c>
      <c r="C552">
        <f>Inputs!$B$3&gt;=35</f>
        <v/>
      </c>
      <c r="D552">
        <f>IF(Skills!C17=1,60+Inputs!$B$26+Inputs!$B$30,IF(Skills!C17=2,90+Inputs!$B$27+Inputs!$B$30,IF(Skills!C17=3,120+Inputs!$B$28+Inputs!$B$30,MAX(0,(Inputs!$B$3-100)*3)+Inputs!$B$29+Inputs!$B$30)))</f>
        <v/>
      </c>
      <c r="E552">
        <f>INDEX(FactorTable!$B$2:$Y$301, MATCH(ROUND(MIN(300,MAX(1,D552)),0), FactorTable!$A$2:$A$301,0), Skills!M17+1)</f>
        <v/>
      </c>
      <c r="F552">
        <f>IF(Skills!N17=TRUE,(Skills!L17/10)*(E552/1000),Skills!L17/10)+Skills!O17</f>
        <v/>
      </c>
      <c r="G552">
        <f>Skills!G17*IF(Skills!H17&gt;0,INT(IF(Inputs!$B$39="pvp",MIN(Skills!I17,15),Skills!I17)/Skills!H17+0.000000001),1)</f>
        <v/>
      </c>
      <c r="H552">
        <f>1-(1-Skills!J17/100)^Skills!K17</f>
        <v/>
      </c>
      <c r="I552" t="inlineStr">
        <is>
          <t>1</t>
        </is>
      </c>
      <c r="J552" t="inlineStr"/>
      <c r="K552" t="inlineStr"/>
      <c r="L552" t="inlineStr"/>
      <c r="M552" t="inlineStr"/>
      <c r="N552" t="inlineStr"/>
      <c r="O552">
        <f>(1-Summary!$B$11)*T552+Summary!$B$11*V552</f>
        <v/>
      </c>
      <c r="P552">
        <f>IF(B574=0,0,O552/B574)</f>
        <v/>
      </c>
      <c r="Q552">
        <f>IFERROR(1/IF(Inputs!$B$39="pvp",15,MAX(0.1,Skills!D17-IF(TRUE=TRUE,Inputs!$B$33,0))),0)</f>
        <v/>
      </c>
      <c r="R552">
        <f>IF(AND(Inputs!$B$39&lt;&gt;"pvp",Inputs!$B$44&gt;0),IF(Inputs!$B$44&lt;=0,0,(INT(Inputs!$B$44/IF(Inputs!$B$39="pvp",15,MAX(0.1,Skills!D17-IF(TRUE=TRUE,Inputs!$B$33,0))))+1)),0)</f>
        <v/>
      </c>
      <c r="S552">
        <f>IFERROR(O552/N552,0)</f>
        <v/>
      </c>
      <c r="T552" t="n">
        <v>0</v>
      </c>
      <c r="V552" t="n">
        <v>0</v>
      </c>
    </row>
    <row r="553">
      <c r="A553">
        <f>Skills!A18</f>
        <v/>
      </c>
      <c r="B553">
        <f>Skills!B18</f>
        <v/>
      </c>
      <c r="C553">
        <f>Inputs!$B$3&gt;=72</f>
        <v/>
      </c>
      <c r="D553">
        <f>IF(Skills!C18=1,60+Inputs!$B$26+Inputs!$B$30,IF(Skills!C18=2,90+Inputs!$B$27+Inputs!$B$30,IF(Skills!C18=3,120+Inputs!$B$28+Inputs!$B$30,MAX(0,(Inputs!$B$3-100)*3)+Inputs!$B$29+Inputs!$B$30)))</f>
        <v/>
      </c>
      <c r="E553">
        <f>INDEX(FactorTable!$B$2:$Y$301, MATCH(ROUND(MIN(300,MAX(1,D553)),0), FactorTable!$A$2:$A$301,0), Skills!M18+1)</f>
        <v/>
      </c>
      <c r="F553">
        <f>IF(Skills!N18=TRUE,(Skills!L18/10)*(E553/1000),Skills!L18/10)+Skills!O18</f>
        <v/>
      </c>
      <c r="G553">
        <f>Skills!G18*IF(Skills!H18&gt;0,INT(IF(Inputs!$B$39="pvp",MIN(Skills!I18,15),Skills!I18)/Skills!H18+0.000000001),1)</f>
        <v/>
      </c>
      <c r="H553">
        <f>1-(1-Skills!J18/100)^Skills!K18</f>
        <v/>
      </c>
      <c r="I553" t="inlineStr">
        <is>
          <t>1</t>
        </is>
      </c>
      <c r="J553" t="inlineStr"/>
      <c r="K553" t="inlineStr"/>
      <c r="L553" t="inlineStr"/>
      <c r="M553" t="inlineStr"/>
      <c r="N553" t="inlineStr"/>
      <c r="O553">
        <f>(1-Summary!$B$11)*T553+Summary!$B$11*V553</f>
        <v/>
      </c>
      <c r="P553">
        <f>IF(B574=0,0,O553/B574)</f>
        <v/>
      </c>
      <c r="Q553">
        <f>IFERROR(1/IF(Inputs!$B$39="pvp",15,MAX(0.1,Skills!D18-IF(TRUE=TRUE,Inputs!$B$33,0))),0)</f>
        <v/>
      </c>
      <c r="R553">
        <f>IF(AND(Inputs!$B$39&lt;&gt;"pvp",Inputs!$B$44&gt;0),IF(Inputs!$B$44&lt;=0,0,(INT(Inputs!$B$44/IF(Inputs!$B$39="pvp",15,MAX(0.1,Skills!D18-IF(TRUE=TRUE,Inputs!$B$33,0))))+1)),0)</f>
        <v/>
      </c>
      <c r="S553">
        <f>IFERROR(O553/N553,0)</f>
        <v/>
      </c>
      <c r="T553" t="n">
        <v>0</v>
      </c>
      <c r="V553" t="n">
        <v>0</v>
      </c>
    </row>
    <row r="554">
      <c r="A554">
        <f>Skills!A19</f>
        <v/>
      </c>
      <c r="B554">
        <f>Skills!B19</f>
        <v/>
      </c>
      <c r="C554">
        <f>Inputs!$B$3&gt;=72</f>
        <v/>
      </c>
      <c r="D554">
        <f>IF(Skills!C19=1,60+Inputs!$B$26+Inputs!$B$30,IF(Skills!C19=2,90+Inputs!$B$27+Inputs!$B$30,IF(Skills!C19=3,120+Inputs!$B$28+Inputs!$B$30,MAX(0,(Inputs!$B$3-100)*3)+Inputs!$B$29+Inputs!$B$30)))</f>
        <v/>
      </c>
      <c r="E554">
        <f>INDEX(FactorTable!$B$2:$Y$301, MATCH(ROUND(MIN(300,MAX(1,D554)),0), FactorTable!$A$2:$A$301,0), Skills!M19+1)</f>
        <v/>
      </c>
      <c r="F554">
        <f>IF(Skills!N19=TRUE,(Skills!L19/10)*(E554/1000),Skills!L19/10)+Skills!O19</f>
        <v/>
      </c>
      <c r="G554">
        <f>Skills!G19*IF(Skills!H19&gt;0,INT(IF(Inputs!$B$39="pvp",MIN(Skills!I19,15),Skills!I19)/Skills!H19+0.000000001),1)</f>
        <v/>
      </c>
      <c r="H554">
        <f>1-(1-Skills!J19/100)^Skills!K19</f>
        <v/>
      </c>
      <c r="I554" t="inlineStr">
        <is>
          <t>1</t>
        </is>
      </c>
      <c r="J554" t="inlineStr"/>
      <c r="K554" t="inlineStr"/>
      <c r="L554" t="inlineStr"/>
      <c r="M554" t="inlineStr"/>
      <c r="N554" t="inlineStr"/>
      <c r="O554">
        <f>(1-Summary!$B$11)*T554+Summary!$B$11*V554</f>
        <v/>
      </c>
      <c r="P554">
        <f>IF(B574=0,0,O554/B574)</f>
        <v/>
      </c>
      <c r="Q554">
        <f>IFERROR(1/IF(Inputs!$B$39="pvp",15,MAX(0.1,Skills!D19-IF(TRUE=TRUE,Inputs!$B$33,0))),0)</f>
        <v/>
      </c>
      <c r="R554">
        <f>IF(AND(Inputs!$B$39&lt;&gt;"pvp",Inputs!$B$44&gt;0),IF(Inputs!$B$44&lt;=0,0,(INT(Inputs!$B$44/IF(Inputs!$B$39="pvp",15,MAX(0.1,Skills!D19-IF(TRUE=TRUE,Inputs!$B$33,0))))+1)),0)</f>
        <v/>
      </c>
      <c r="S554">
        <f>IFERROR(O554/N554,0)</f>
        <v/>
      </c>
      <c r="T554" t="n">
        <v>0</v>
      </c>
      <c r="V554" t="n">
        <v>0</v>
      </c>
    </row>
    <row r="555">
      <c r="A555">
        <f>Skills!A20</f>
        <v/>
      </c>
      <c r="B555">
        <f>Skills!B20</f>
        <v/>
      </c>
      <c r="C555">
        <f>TRUE</f>
        <v/>
      </c>
      <c r="D555">
        <f>IF(Skills!C20=1,60+Inputs!$B$26+Inputs!$B$30,IF(Skills!C20=2,90+Inputs!$B$27+Inputs!$B$30,IF(Skills!C20=3,120+Inputs!$B$28+Inputs!$B$30,MAX(0,(Inputs!$B$3-100)*3)+Inputs!$B$29+Inputs!$B$30)))</f>
        <v/>
      </c>
      <c r="E555">
        <f>INDEX(FactorTable!$B$2:$Y$301, MATCH(ROUND(MIN(300,MAX(1,D555)),0), FactorTable!$A$2:$A$301,0), Skills!M20+1)</f>
        <v/>
      </c>
      <c r="F555">
        <f>IF(Skills!N20=TRUE,(Skills!L20/10)*(E555/1000),Skills!L20/10)+Skills!O20</f>
        <v/>
      </c>
      <c r="G555">
        <f>Skills!G20*IF(Skills!H20&gt;0,INT(IF(Inputs!$B$39="pvp",MIN(Skills!I20,15),Skills!I20)/Skills!H20+0.000000001),1)</f>
        <v/>
      </c>
      <c r="H555">
        <f>1-(1-Skills!J20/100)^Skills!K20</f>
        <v/>
      </c>
      <c r="I555" t="inlineStr">
        <is>
          <t>1</t>
        </is>
      </c>
      <c r="J555" t="inlineStr"/>
      <c r="K555" t="inlineStr"/>
      <c r="L555" t="inlineStr"/>
      <c r="M555" t="inlineStr"/>
      <c r="N555" t="inlineStr"/>
      <c r="O555">
        <f>(1-Summary!$B$11)*T555+Summary!$B$11*V555</f>
        <v/>
      </c>
      <c r="P555">
        <f>IF(B574=0,0,O555/B574)</f>
        <v/>
      </c>
      <c r="Q555">
        <f>IFERROR(1/IF(Inputs!$B$39="pvp",15,MAX(0.1,Skills!D20-IF(TRUE=TRUE,Inputs!$B$33,0))),0)</f>
        <v/>
      </c>
      <c r="R555">
        <f>IF(AND(Inputs!$B$39&lt;&gt;"pvp",Inputs!$B$44&gt;0),IF(Inputs!$B$44&lt;=0,0,(INT(Inputs!$B$44/IF(Inputs!$B$39="pvp",15,MAX(0.1,Skills!D20-IF(TRUE=TRUE,Inputs!$B$33,0))))+1)),0)</f>
        <v/>
      </c>
      <c r="S555">
        <f>IFERROR(O555/N555,0)</f>
        <v/>
      </c>
      <c r="T555" t="n">
        <v>0</v>
      </c>
      <c r="V555" t="n">
        <v>0</v>
      </c>
    </row>
    <row r="556">
      <c r="A556">
        <f>Skills!A21</f>
        <v/>
      </c>
      <c r="B556">
        <f>Skills!B21</f>
        <v/>
      </c>
      <c r="C556">
        <f>Inputs!$B$3&gt;=33</f>
        <v/>
      </c>
      <c r="D556">
        <f>IF(Skills!C21=1,60+Inputs!$B$26+Inputs!$B$30,IF(Skills!C21=2,90+Inputs!$B$27+Inputs!$B$30,IF(Skills!C21=3,120+Inputs!$B$28+Inputs!$B$30,MAX(0,(Inputs!$B$3-100)*3)+Inputs!$B$29+Inputs!$B$30)))</f>
        <v/>
      </c>
      <c r="E556">
        <f>INDEX(FactorTable!$B$2:$Y$301, MATCH(ROUND(MIN(300,MAX(1,D556)),0), FactorTable!$A$2:$A$301,0), Skills!M21+1)</f>
        <v/>
      </c>
      <c r="F556">
        <f>IF(Skills!N21=TRUE,(Skills!L21/10)*(E556/1000),Skills!L21/10)+Skills!O21</f>
        <v/>
      </c>
      <c r="G556">
        <f>Skills!G21*IF(Skills!H21&gt;0,INT(IF(Inputs!$B$39="pvp",MIN(Skills!I21,15),Skills!I21)/Skills!H21+0.000000001),1)</f>
        <v/>
      </c>
      <c r="H556">
        <f>1-(1-Skills!J21/100)^Skills!K21</f>
        <v/>
      </c>
      <c r="I556" t="inlineStr">
        <is>
          <t>1</t>
        </is>
      </c>
      <c r="J556" t="inlineStr"/>
      <c r="K556" t="inlineStr"/>
      <c r="L556" t="inlineStr"/>
      <c r="M556" t="inlineStr"/>
      <c r="N556" t="inlineStr"/>
      <c r="O556">
        <f>(1-Summary!$B$11)*T556+Summary!$B$11*V556</f>
        <v/>
      </c>
      <c r="P556">
        <f>IF(B574=0,0,O556/B574)</f>
        <v/>
      </c>
      <c r="Q556" t="n">
        <v>0</v>
      </c>
      <c r="R556" t="n">
        <v>0</v>
      </c>
      <c r="S556">
        <f>IFERROR(O556/N556,0)</f>
        <v/>
      </c>
      <c r="T556" t="n">
        <v>0</v>
      </c>
      <c r="V556" t="n">
        <v>0</v>
      </c>
    </row>
    <row r="557">
      <c r="A557">
        <f>Skills!A22</f>
        <v/>
      </c>
      <c r="B557">
        <f>Skills!B22</f>
        <v/>
      </c>
      <c r="C557">
        <f>Inputs!$B$3&gt;=43</f>
        <v/>
      </c>
      <c r="D557">
        <f>IF(Skills!C22=1,60+Inputs!$B$26+Inputs!$B$30,IF(Skills!C22=2,90+Inputs!$B$27+Inputs!$B$30,IF(Skills!C22=3,120+Inputs!$B$28+Inputs!$B$30,MAX(0,(Inputs!$B$3-100)*3)+Inputs!$B$29+Inputs!$B$30)))</f>
        <v/>
      </c>
      <c r="E557">
        <f>INDEX(FactorTable!$B$2:$Y$301, MATCH(ROUND(MIN(300,MAX(1,D557)),0), FactorTable!$A$2:$A$301,0), Skills!M22+1)</f>
        <v/>
      </c>
      <c r="F557">
        <f>IF(Skills!N22=TRUE,(Skills!L22/10)*(E557/1000),Skills!L22/10)+Skills!O22</f>
        <v/>
      </c>
      <c r="G557">
        <f>Skills!G22*IF(Skills!H22&gt;0,INT(IF(Inputs!$B$39="pvp",MIN(Skills!I22,15),Skills!I22)/Skills!H22+0.000000001),1)</f>
        <v/>
      </c>
      <c r="H557">
        <f>1-(1-Skills!J22/100)^Skills!K22</f>
        <v/>
      </c>
      <c r="I557" t="inlineStr">
        <is>
          <t>1</t>
        </is>
      </c>
      <c r="J557" t="inlineStr"/>
      <c r="K557" t="inlineStr"/>
      <c r="L557" t="inlineStr"/>
      <c r="M557" t="inlineStr"/>
      <c r="N557" t="inlineStr"/>
      <c r="O557">
        <f>(1-Summary!$B$11)*T557+Summary!$B$11*V557</f>
        <v/>
      </c>
      <c r="P557">
        <f>IF(B574=0,0,O557/B574)</f>
        <v/>
      </c>
      <c r="Q557" t="n">
        <v>0</v>
      </c>
      <c r="R557" t="n">
        <v>0</v>
      </c>
      <c r="S557">
        <f>IFERROR(O557/N557,0)</f>
        <v/>
      </c>
      <c r="T557" t="n">
        <v>0</v>
      </c>
      <c r="V557" t="n">
        <v>0</v>
      </c>
    </row>
    <row r="558">
      <c r="A558">
        <f>Skills!A23</f>
        <v/>
      </c>
      <c r="B558">
        <f>Skills!B23</f>
        <v/>
      </c>
      <c r="C558">
        <f>Inputs!$B$3&gt;=120</f>
        <v/>
      </c>
      <c r="D558">
        <f>IF(Skills!C23=1,60+Inputs!$B$26+Inputs!$B$30,IF(Skills!C23=2,90+Inputs!$B$27+Inputs!$B$30,IF(Skills!C23=3,120+Inputs!$B$28+Inputs!$B$30,MAX(0,(Inputs!$B$3-100)*3)+Inputs!$B$29+Inputs!$B$30)))</f>
        <v/>
      </c>
      <c r="E558">
        <f>INDEX(FactorTable!$B$2:$Y$301, MATCH(ROUND(MIN(300,MAX(1,D558)),0), FactorTable!$A$2:$A$301,0), Skills!M23+1)</f>
        <v/>
      </c>
      <c r="F558">
        <f>IF(Skills!N23=TRUE,(Skills!L23/10)*(E558/1000),Skills!L23/10)+Skills!O23</f>
        <v/>
      </c>
      <c r="G558">
        <f>Skills!G23*IF(Skills!H23&gt;0,INT(IF(Inputs!$B$39="pvp",MIN(Skills!I23,15),Skills!I23)/Skills!H23+0.000000001),1)</f>
        <v/>
      </c>
      <c r="H558">
        <f>1-(1-Skills!J23/100)^Skills!K23</f>
        <v/>
      </c>
      <c r="I558" t="inlineStr">
        <is>
          <t>1</t>
        </is>
      </c>
      <c r="J558" t="inlineStr"/>
      <c r="K558" t="inlineStr"/>
      <c r="L558" t="inlineStr"/>
      <c r="M558" t="inlineStr"/>
      <c r="N558" t="inlineStr"/>
      <c r="O558">
        <f>(1-Summary!$B$11)*T558+Summary!$B$11*V558</f>
        <v/>
      </c>
      <c r="P558">
        <f>IF(B574=0,0,O558/B574)</f>
        <v/>
      </c>
      <c r="Q558" t="n">
        <v>0</v>
      </c>
      <c r="R558" t="n">
        <v>0</v>
      </c>
      <c r="S558">
        <f>IFERROR(O558/N558,0)</f>
        <v/>
      </c>
      <c r="T558" t="n">
        <v>0</v>
      </c>
      <c r="V558" t="n">
        <v>0</v>
      </c>
    </row>
    <row r="559">
      <c r="A559">
        <f>Skills!A24</f>
        <v/>
      </c>
      <c r="B559">
        <f>Skills!B24</f>
        <v/>
      </c>
      <c r="C559">
        <f>Inputs!$B$3&gt;=120</f>
        <v/>
      </c>
      <c r="D559">
        <f>IF(Skills!C24=1,60+Inputs!$B$26+Inputs!$B$30,IF(Skills!C24=2,90+Inputs!$B$27+Inputs!$B$30,IF(Skills!C24=3,120+Inputs!$B$28+Inputs!$B$30,MAX(0,(Inputs!$B$3-100)*3)+Inputs!$B$29+Inputs!$B$30)))</f>
        <v/>
      </c>
      <c r="E559">
        <f>INDEX(FactorTable!$B$2:$Y$301, MATCH(ROUND(MIN(300,MAX(1,D559)),0), FactorTable!$A$2:$A$301,0), Skills!M24+1)</f>
        <v/>
      </c>
      <c r="F559">
        <f>IF(Skills!N24=TRUE,(Skills!L24/10)*(E559/1000),Skills!L24/10)+Skills!O24</f>
        <v/>
      </c>
      <c r="G559">
        <f>Skills!G24*IF(Skills!H24&gt;0,INT(IF(Inputs!$B$39="pvp",MIN(Skills!I24,15),Skills!I24)/Skills!H24+0.000000001),1)</f>
        <v/>
      </c>
      <c r="H559">
        <f>1-(1-Skills!J24/100)^Skills!K24</f>
        <v/>
      </c>
      <c r="I559" t="inlineStr">
        <is>
          <t>1</t>
        </is>
      </c>
      <c r="J559" t="inlineStr"/>
      <c r="K559" t="inlineStr"/>
      <c r="L559" t="inlineStr"/>
      <c r="M559" t="inlineStr"/>
      <c r="N559" t="inlineStr"/>
      <c r="O559">
        <f>(1-Summary!$B$11)*T559+Summary!$B$11*V559</f>
        <v/>
      </c>
      <c r="P559">
        <f>IF(B574=0,0,O559/B574)</f>
        <v/>
      </c>
      <c r="Q559" t="n">
        <v>0</v>
      </c>
      <c r="R559" t="n">
        <v>0</v>
      </c>
      <c r="S559">
        <f>IFERROR(O559/N559,0)</f>
        <v/>
      </c>
      <c r="T559" t="n">
        <v>0</v>
      </c>
      <c r="V559" t="n">
        <v>0</v>
      </c>
    </row>
    <row r="560">
      <c r="A560">
        <f>Skills!A25</f>
        <v/>
      </c>
      <c r="B560">
        <f>Skills!B25</f>
        <v/>
      </c>
      <c r="C560">
        <f>Inputs!$B$3&gt;=125</f>
        <v/>
      </c>
      <c r="D560">
        <f>IF(Skills!C25=1,60+Inputs!$B$26+Inputs!$B$30,IF(Skills!C25=2,90+Inputs!$B$27+Inputs!$B$30,IF(Skills!C25=3,120+Inputs!$B$28+Inputs!$B$30,MAX(0,(Inputs!$B$3-100)*3)+Inputs!$B$29+Inputs!$B$30)))</f>
        <v/>
      </c>
      <c r="E560">
        <f>INDEX(FactorTable!$B$2:$Y$301, MATCH(ROUND(MIN(300,MAX(1,D560)),0), FactorTable!$A$2:$A$301,0), Skills!M25+1)</f>
        <v/>
      </c>
      <c r="F560">
        <f>IF(Skills!N25=TRUE,(Skills!L25/10)*(E560/1000),Skills!L25/10)+Skills!O25</f>
        <v/>
      </c>
      <c r="G560">
        <f>Skills!G25*IF(Skills!H25&gt;0,INT(IF(Inputs!$B$39="pvp",MIN(Skills!I25,15),Skills!I25)/Skills!H25+0.000000001),1)</f>
        <v/>
      </c>
      <c r="H560">
        <f>1-(1-Skills!J25/100)^Skills!K25</f>
        <v/>
      </c>
      <c r="I560" t="inlineStr">
        <is>
          <t>1</t>
        </is>
      </c>
      <c r="J560" t="inlineStr"/>
      <c r="K560" t="inlineStr"/>
      <c r="L560" t="inlineStr"/>
      <c r="M560" t="inlineStr"/>
      <c r="N560" t="inlineStr"/>
      <c r="O560">
        <f>(1-Summary!$B$11)*T560+Summary!$B$11*V560</f>
        <v/>
      </c>
      <c r="P560">
        <f>IF(B574=0,0,O560/B574)</f>
        <v/>
      </c>
      <c r="Q560" t="n">
        <v>0</v>
      </c>
      <c r="R560" t="n">
        <v>0</v>
      </c>
      <c r="S560">
        <f>IFERROR(O560/N560,0)</f>
        <v/>
      </c>
      <c r="T560" t="n">
        <v>0</v>
      </c>
      <c r="V560" t="n">
        <v>0</v>
      </c>
    </row>
    <row r="561">
      <c r="A561">
        <f>Skills!A26</f>
        <v/>
      </c>
      <c r="B561">
        <f>Skills!B26</f>
        <v/>
      </c>
      <c r="C561">
        <f>Inputs!$B$3&gt;=107</f>
        <v/>
      </c>
      <c r="D561">
        <f>IF(Skills!C26=1,60+Inputs!$B$26+Inputs!$B$30,IF(Skills!C26=2,90+Inputs!$B$27+Inputs!$B$30,IF(Skills!C26=3,120+Inputs!$B$28+Inputs!$B$30,MAX(0,(Inputs!$B$3-100)*3)+Inputs!$B$29+Inputs!$B$30)))</f>
        <v/>
      </c>
      <c r="E561">
        <f>INDEX(FactorTable!$B$2:$Y$301, MATCH(ROUND(MIN(300,MAX(1,D561)),0), FactorTable!$A$2:$A$301,0), Skills!M26+1)</f>
        <v/>
      </c>
      <c r="F561">
        <f>IF(Skills!N26=TRUE,(Skills!L26/10)*(E561/1000),Skills!L26/10)+Skills!O26</f>
        <v/>
      </c>
      <c r="G561">
        <f>Skills!G26*IF(Skills!H26&gt;0,INT(IF(Inputs!$B$39="pvp",MIN(Skills!I26,15),Skills!I26)/Skills!H26+0.000000001),1)</f>
        <v/>
      </c>
      <c r="H561">
        <f>1-(1-Skills!J26/100)^Skills!K26</f>
        <v/>
      </c>
      <c r="I561" t="inlineStr">
        <is>
          <t>1</t>
        </is>
      </c>
      <c r="J561" t="inlineStr"/>
      <c r="K561" t="inlineStr"/>
      <c r="L561" t="inlineStr"/>
      <c r="M561" t="inlineStr"/>
      <c r="N561" t="inlineStr"/>
      <c r="O561">
        <f>(1-Summary!$B$11)*T561+Summary!$B$11*V561</f>
        <v/>
      </c>
      <c r="P561">
        <f>IF(B574=0,0,O561/B574)</f>
        <v/>
      </c>
      <c r="Q561" t="n">
        <v>0</v>
      </c>
      <c r="R561" t="n">
        <v>0</v>
      </c>
      <c r="S561">
        <f>IFERROR(O561/N561,0)</f>
        <v/>
      </c>
      <c r="T561" t="n">
        <v>0</v>
      </c>
      <c r="V561" t="n">
        <v>0</v>
      </c>
    </row>
    <row r="563">
      <c r="A563" t="inlineStr">
        <is>
          <t>Attack% Bucket Multiplier</t>
        </is>
      </c>
      <c r="B563">
        <f>(1+(((C548=TRUE)*F548*IF(AND(Inputs!$B$39&lt;&gt;"pvp",Inputs!$B$44&gt;0),(((R548-1)*MIN((Skills!T13*(1+Inputs!$B$35/100)),(1/Q548))+MIN((Skills!T13*(1+Inputs!$B$35/100)),MAX(0,Inputs!$B$44-((R548-1)*(1/Q548)))))/Inputs!$B$44),IF(Inputs!$B$39="pvp",MIN((Skills!T13*(1+Inputs!$B$35/100)),15)/15,MIN(1,(Skills!T13*(1+Inputs!$B$35/100))/(1/Q548)))))+((C549=TRUE)*F549*IF(AND(Inputs!$B$39&lt;&gt;"pvp",Inputs!$B$44&gt;0),(((R549-1)*MIN((Skills!T14*(1+Inputs!$B$35/100)),(1/Q549))+MIN((Skills!T14*(1+Inputs!$B$35/100)),MAX(0,Inputs!$B$44-((R549-1)*(1/Q549)))))/Inputs!$B$44),IF(Inputs!$B$39="pvp",MIN((Skills!T14*(1+Inputs!$B$35/100)),15)/15,MIN(1,(Skills!T14*(1+Inputs!$B$35/100))/(1/Q549)))))+((C550=TRUE)*F550*IF(AND(Inputs!$B$39&lt;&gt;"pvp",Inputs!$B$44&gt;0),(((R550-1)*MIN((Skills!T15*(1+Inputs!$B$35/100)),(1/Q550))+MIN((Skills!T15*(1+Inputs!$B$35/100)),MAX(0,Inputs!$B$44-((R550-1)*(1/Q550)))))/Inputs!$B$44),IF(Inputs!$B$39="pvp",MIN((Skills!T15*(1+Inputs!$B$35/100)),15)/15,MIN(1,(Skills!T15*(1+Inputs!$B$35/100))/(1/Q550)))))+((C551=TRUE)*F551*IF(AND(Inputs!$B$39&lt;&gt;"pvp",Inputs!$B$44&gt;0),(((R551-1)*MIN((Skills!T16*(1+Inputs!$B$35/100)),(1/Q551))+MIN((Skills!T16*(1+Inputs!$B$35/100)),MAX(0,Inputs!$B$44-((R551-1)*(1/Q551)))))/Inputs!$B$44),IF(Inputs!$B$39="pvp",MIN((Skills!T16*(1+Inputs!$B$35/100)),15)/15,MIN(1,(Skills!T16*(1+Inputs!$B$35/100))/(1/Q551)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564">
      <c r="A564" t="inlineStr">
        <is>
          <t>Global Crit Rate Bonus % (Lord of Darkness)</t>
        </is>
      </c>
      <c r="B564">
        <f>((C553=TRUE)*F553*(Skills!J18/100)*IF(AND(Inputs!$B$39&lt;&gt;"pvp",Inputs!$B$44&gt;0),(((R553-1)*MIN((Skills!T18*(1+Inputs!$B$35/100)),(1/Q553))+MIN((Skills!T18*(1+Inputs!$B$35/100)),MAX(0,Inputs!$B$44-((R553-1)*(1/Q553)))))/Inputs!$B$44),IF(Inputs!$B$39="pvp",MIN((Skills!T18*(1+Inputs!$B$35/100)),15)/15,MIN(1,(Skills!T18*(1+Inputs!$B$35/100))/(1/Q553)))))</f>
        <v/>
      </c>
    </row>
    <row r="565">
      <c r="A565" t="inlineStr">
        <is>
          <t>Attack Speed Buff Bonus %</t>
        </is>
      </c>
      <c r="B565">
        <f>((C555=TRUE)*F555*IF(AND(Inputs!$B$39&lt;&gt;"pvp",Inputs!$B$44&gt;0),(((R555-1)*MIN((Skills!T20*(1+Inputs!$B$35/100)),(1/Q555))+MIN((Skills!T20*(1+Inputs!$B$35/100)),MAX(0,Inputs!$B$44-((R555-1)*(1/Q555)))))/Inputs!$B$44),IF(Inputs!$B$39="pvp",MIN((Skills!T20*(1+Inputs!$B$35/100)),15)/15,MIN(1,(Skills!T20*(1+Inputs!$B$35/100))/(1/Q555)))))</f>
        <v/>
      </c>
    </row>
    <row r="566">
      <c r="A566" t="inlineStr">
        <is>
          <t>Actions Per Second</t>
        </is>
      </c>
      <c r="B566">
        <f>1+MIN(150,150*(1-(1-(Inputs!$B$12+((C556=TRUE)*(F556-Calc!F21)))/150)*(1-B565/150)))/100</f>
        <v/>
      </c>
    </row>
    <row r="567">
      <c r="A567" t="inlineStr">
        <is>
          <t>Skill + Buff Cast Rate</t>
        </is>
      </c>
      <c r="B567">
        <f>IF(AND(Inputs!$B$39&lt;&gt;"pvp",Inputs!$B$44&gt;0),SUMPRODUCT((Skills!E2:E26=TRUE)*(C537:C561=TRUE)*R537:R561*Skills!F2:F26)/Inputs!$B$44,SUMPRODUCT((Skills!E2:E26=TRUE)*(C537:C561=TRUE)*Q537:Q561*Skills!F2:F26))</f>
        <v/>
      </c>
    </row>
    <row r="568">
      <c r="A568" t="inlineStr">
        <is>
          <t>Dark Impale Casts Per Second</t>
        </is>
      </c>
      <c r="B568">
        <f>MAX(0,B566-B567)</f>
        <v/>
      </c>
    </row>
    <row r="569">
      <c r="A569" t="inlineStr">
        <is>
          <t>Global Critical Damage Bonus % (Lord of Darkness)</t>
        </is>
      </c>
      <c r="B569">
        <f>((C554=TRUE)*F554*(Skills!J19/100)*IF(AND(Inputs!$B$39&lt;&gt;"pvp",Inputs!$B$44&gt;0),(((R554-1)*MIN((Skills!T19*(1+Inputs!$B$35/100)),(1/Q554))+MIN((Skills!T19*(1+Inputs!$B$35/100)),MAX(0,Inputs!$B$44-((R554-1)*(1/Q554)))))/Inputs!$B$44),IF(Inputs!$B$39="pvp",MIN((Skills!T19*(1+Inputs!$B$35/100)),15)/15,MIN(1,(Skills!T19*(1+Inputs!$B$35/100))/(1/Q554)))))</f>
        <v/>
      </c>
    </row>
    <row r="570">
      <c r="A570" t="inlineStr">
        <is>
          <t>Global Final Damage Bonus % (unused)</t>
        </is>
      </c>
      <c r="B570" t="n">
        <v>0</v>
      </c>
    </row>
    <row r="571">
      <c r="A571" t="inlineStr">
        <is>
          <t>Buff-Casting Startup Delay (s, fixed-duration only)</t>
        </is>
      </c>
      <c r="B571">
        <f>IF(AND(Inputs!$B$39&lt;&gt;"pvp",Inputs!$B$44&gt;0),SUMPRODUCT((Skills!T2:T26&gt;0)*(Skills!E2:E26=TRUE)*(C537:C561=TRUE))/B566,0)</f>
        <v/>
      </c>
    </row>
    <row r="572">
      <c r="A572" t="inlineStr">
        <is>
          <t>Boss-Only Total DPS (this block's swept value)</t>
        </is>
      </c>
      <c r="B572">
        <f>SUM(T537:T561)</f>
        <v/>
      </c>
    </row>
    <row r="573">
      <c r="A573" t="inlineStr">
        <is>
          <t>Normal-Only Total DPS (this block's swept value)</t>
        </is>
      </c>
      <c r="B573">
        <f>SUM(V537:V561)</f>
        <v/>
      </c>
    </row>
    <row r="574">
      <c r="A574" s="6" t="inlineStr">
        <is>
          <t>TOTAL DPS</t>
        </is>
      </c>
      <c r="B574" s="6">
        <f>SUM(O537:O561)</f>
        <v/>
      </c>
    </row>
    <row r="577">
      <c r="A577" s="6" t="inlineStr">
        <is>
          <t>Stat: CRIT_RATE %</t>
        </is>
      </c>
    </row>
    <row r="578">
      <c r="A578" s="5" t="inlineStr">
        <is>
          <t>Key</t>
        </is>
      </c>
      <c r="B578" s="5" t="inlineStr">
        <is>
          <t>Name</t>
        </is>
      </c>
      <c r="C578" s="5" t="inlineStr">
        <is>
          <t>Unlocked</t>
        </is>
      </c>
      <c r="D578" s="5" t="inlineStr">
        <is>
          <t>InputLevel</t>
        </is>
      </c>
      <c r="E578" s="5" t="inlineStr">
        <is>
          <t>Factor</t>
        </is>
      </c>
      <c r="F578" s="5" t="inlineStr">
        <is>
          <t>CoefficientPercent</t>
        </is>
      </c>
      <c r="G578" s="5" t="inlineStr">
        <is>
          <t>EffectiveHits</t>
        </is>
      </c>
      <c r="H578" s="5" t="inlineStr">
        <is>
          <t>ProcProbability</t>
        </is>
      </c>
      <c r="I578" s="5" t="inlineStr">
        <is>
          <t>MapleHeroMultiplier</t>
        </is>
      </c>
      <c r="J578" s="5" t="inlineStr">
        <is>
          <t>BaseDamage</t>
        </is>
      </c>
      <c r="K578" s="5" t="inlineStr">
        <is>
          <t>BaseHitDamage</t>
        </is>
      </c>
      <c r="L578" s="5" t="inlineStr">
        <is>
          <t>NonCritAvg</t>
        </is>
      </c>
      <c r="M578" s="5" t="inlineStr">
        <is>
          <t>CritAvg</t>
        </is>
      </c>
      <c r="N578" s="5" t="inlineStr">
        <is>
          <t>ExpectedDamage(perHit)</t>
        </is>
      </c>
      <c r="O578" s="5" t="inlineStr">
        <is>
          <t>DPS</t>
        </is>
      </c>
      <c r="P578" s="5" t="inlineStr">
        <is>
          <t>% of Total</t>
        </is>
      </c>
      <c r="Q578" s="5" t="inlineStr">
        <is>
          <t>InvCooldown</t>
        </is>
      </c>
      <c r="R578" s="5" t="inlineStr">
        <is>
          <t>CastsInFight</t>
        </is>
      </c>
      <c r="S578" s="5" t="inlineStr">
        <is>
          <t>HitRate(perSec)</t>
        </is>
      </c>
      <c r="U578" t="inlineStr">
        <is>
          <t>helpers</t>
        </is>
      </c>
    </row>
    <row r="579">
      <c r="A579">
        <f>Skills!A2</f>
        <v/>
      </c>
      <c r="B579">
        <f>Skills!B2</f>
        <v/>
      </c>
      <c r="C579">
        <f>Inputs!$B$3&gt;=100</f>
        <v/>
      </c>
      <c r="D579" t="inlineStr"/>
      <c r="E579" t="inlineStr"/>
      <c r="F579">
        <f>U581+Skills!O2</f>
        <v/>
      </c>
      <c r="G579">
        <f>Skills!G2*IF(Skills!H2&gt;0,INT(IF(Inputs!$B$39="pvp",MIN(Skills!I2,15),Skills!I2)/Skills!H2+0.000000001),1)</f>
        <v/>
      </c>
      <c r="H579">
        <f>1-(1-Skills!J2/100)^Skills!K2</f>
        <v/>
      </c>
      <c r="I579" t="inlineStr">
        <is>
          <t>1</t>
        </is>
      </c>
      <c r="J579">
        <f>((Inputs!$B$6*(1+Inputs!$B$7/100))+(((Inputs!$B$13*(1+Inputs!$B$14/100))-(Inputs!$B$13*(1+Inputs!$B$14/100)))+0.25*(Inputs!$B$15-Inputs!$B$15))*(1+Inputs!$B$7/100))*(F579/100)</f>
        <v/>
      </c>
      <c r="K579">
        <f>J579*(1+(((Inputs!$B$13+IF(Inputs!$B$3&gt;=38,(10*INDEX(FactorTable!$B$2:$Y$301, MATCH(ROUND(MIN(300,MAX(1,Inputs!$B$3)),0), FactorTable!$A$2:$A$301,0), 23)/1000)/100*(Inputs!$B$8*(1+Inputs!$B$9/100)),0))*(1+Inputs!$B$14/100))*0.01+Inputs!$B$15*0.0025)/100)*(1+Inputs!$B$16/100)*(1+Inputs!$B$17/100)*(5000/(6000+Inputs!$B$43*(1-(Inputs!$B$20+0)/100)))*(1+(Inputs!$B$25+((C602=TRUE)*(F602-Calc!F25))+((C603=TRUE)*(F603-Calc!F26))+B612)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gt;=100),MIN(100,(((Inputs!$B$10+1)+0+B606+(ArtifactsInput!$M$24-ArtifactsInput!$M$24)*CHOOSE(ArtifactsInput!$N$24+1,10,12,14,16,18,20)+IF(ArtifactsInput!$M$10,CHOOSE(ArtifactsInput!$N$10+1,15,18,21,24,27,30)*(IF(Inputs!$B$39="pvp",MIN(15,15)/15,IF(AND(Inputs!$B$39&lt;&gt;"pvp",Inputs!$B$44&gt;0),MIN(15,Inputs!$B$44)/(Inputs!$B$44),0))),0)))-100),0))*CHOOSE(ArtifactsInput!$N$42+1,0.6,0.72,0.84,0.96,1.08,1.2))),Inputs!$B$19+((C600=TRUE)*(F600-Calc!F23))+(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gt;=100),CHOOSE(ArtifactsInput!$N$42+1,40,48,56,64,72,80),0))))/100)*((1+(((C590=TRUE)*F590*IF(AND(Inputs!$B$39&lt;&gt;"pvp",Inputs!$B$44&gt;0),(((R590-1)*MIN((Skills!T13*(1+Inputs!$B$35/100)),(1/Q590))+MIN((Skills!T13*(1+Inputs!$B$35/100)),MAX(0,Inputs!$B$44-((R590-1)*(1/Q590)))))/Inputs!$B$44),IF(Inputs!$B$39="pvp",MIN((Skills!T13*(1+Inputs!$B$35/100)),15)/15,MIN(1,(Skills!T13*(1+Inputs!$B$35/100))/(1/Q590)))))+((C591=TRUE)*F591*IF(AND(Inputs!$B$39&lt;&gt;"pvp",Inputs!$B$44&gt;0),(((R591-1)*MIN((Skills!T14*(1+Inputs!$B$35/100)),(1/Q591))+MIN((Skills!T14*(1+Inputs!$B$35/100)),MAX(0,Inputs!$B$44-((R591-1)*(1/Q591)))))/Inputs!$B$44),IF(Inputs!$B$39="pvp",MIN((Skills!T14*(1+Inputs!$B$35/100)),15)/15,MIN(1,(Skills!T14*(1+Inputs!$B$35/100))/(1/Q591)))))+((C592=TRUE)*F592*IF(AND(Inputs!$B$39&lt;&gt;"pvp",Inputs!$B$44&gt;0),(((R592-1)*MIN((Skills!T15*(1+Inputs!$B$35/100)),(1/Q592))+MIN((Skills!T15*(1+Inputs!$B$35/100)),MAX(0,Inputs!$B$44-((R592-1)*(1/Q592)))))/Inputs!$B$44),IF(Inputs!$B$39="pvp",MIN((Skills!T15*(1+Inputs!$B$35/100)),15)/15,MIN(1,(Skills!T15*(1+Inputs!$B$35/100))/(1/Q592)))))+((C593=TRUE)*F593*IF(AND(Inputs!$B$39&lt;&gt;"pvp",Inputs!$B$44&gt;0),(((R593-1)*MIN((Skills!T16*(1+Inputs!$B$35/100)),(1/Q593))+MIN((Skills!T16*(1+Inputs!$B$35/100)),MAX(0,Inputs!$B$44-((R593-1)*(1/Q593)))))/Inputs!$B$44),IF(Inputs!$B$39="pvp",MIN((Skills!T16*(1+Inputs!$B$35/100)),15)/15,MIN(1,(Skills!T16*(1+Inputs!$B$35/100))/(1/Q593)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579)</f>
        <v/>
      </c>
      <c r="L579">
        <f>K579*(MIN(Inputs!$B$23+((C599=TRUE)*(F599-Calc!F22)),(Inputs!$B$24+((C601=TRUE)*(F601-Calc!F24))+(IF(ArtifactsInput!$M$15,CHOOSE(ArtifactsInput!$N$15+1,25,30,35,40,45,50)/100*(Inputs!$B$12-Inputs!$B$12),0))))/100+(Inputs!$B$24+((C601=TRUE)*(F601-Calc!F24))+(IF(ArtifactsInput!$M$15,CHOOSE(ArtifactsInput!$N$15+1,25,30,35,40,45,50)/100*(Inputs!$B$12-Inputs!$B$12),0)))/100)/2</f>
        <v/>
      </c>
      <c r="M579">
        <f>L579*(1+(Inputs!$B$11+0+B611+(IF(ArtifactsInput!$M$24,CHOOSE(ArtifactsInput!$N$24+1,30,36,42,48,54,60)/100*((Inputs!$B$10+1)-Inputs!$B$10),0)+IF(ArtifactsInput!$M$10,CHOOSE(ArtifactsInput!$N$10+1,20,24,28,32,36,40)*(IF(Inputs!$B$39="pvp",MIN(15,15)/15,IF(AND(Inputs!$B$39&lt;&gt;"pvp",Inputs!$B$44&gt;0),MIN(15,Inputs!$B$44)/(Inputs!$B$44),0))),0)+IF(ArtifactsInput!$M$31,1.5*CHOOSE(ArtifactsInput!$N$31+1,20,24,28,32,36,40),0)))/100)</f>
        <v/>
      </c>
      <c r="N579">
        <f>L579*(1-MIN(((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579*(MIN(((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79">
        <f>(1-Summary!$B$11)*T579+Summary!$B$11*V579</f>
        <v/>
      </c>
      <c r="P579">
        <f>IF(B616=0,0,O579/B616)</f>
        <v/>
      </c>
      <c r="Q579" t="n">
        <v>0</v>
      </c>
      <c r="R579" t="n">
        <v>0</v>
      </c>
      <c r="S579">
        <f>IFERROR(O579/N579,0)</f>
        <v/>
      </c>
      <c r="T579">
        <f>IF(C579,(Skills!G2*N579*B610)*IF(Inputs!$B$39="pvp",1,1+(Inputs!$B$21+0+Skills!P2+((C594=TRUE)*F594*IF(AND(Inputs!$B$39&lt;&gt;"pvp",Inputs!$B$44&gt;0),(((R594-1)*MIN((Skills!T17*(1+Inputs!$B$35/100)),(1/Q594))+MIN((Skills!T17*(1+Inputs!$B$35/100)),MAX(0,Inputs!$B$44-((R594-1)*(1/Q594)))))/Inputs!$B$44),IF(Inputs!$B$39="pvp",MIN((Skills!T17*(1+Inputs!$B$35/100)),15)/15,MIN(1,(Skills!T17*(1+Inputs!$B$35/100))/(1/Q594)))))+((C582=TRUE)*IF(Inputs!$B$3&gt;=126,10*MIN(1,15*Q582),0))+((C591=TRUE)*IF(Inputs!$B$39="pvp",20,(1-Summary!$B$11)*(20)+Summary!$B$11*(0))*IF(AND(Inputs!$B$39&lt;&gt;"pvp",Inputs!$B$44&gt;0),(((R591-1)*MIN((Skills!T14*(1+Inputs!$B$35/100)),(1/Q591))+MIN((Skills!T14*(1+Inputs!$B$35/100)),MAX(0,Inputs!$B$44-((R591-1)*(1/Q591)))))/Inputs!$B$44),IF(Inputs!$B$39="pvp",MIN((Skills!T14*(1+Inputs!$B$35/100)),15)/15,MIN(1,(Skills!T14*(1+Inputs!$B$35/100))/(1/Q591)))))+((C590=TRUE)*IF(Inputs!$B$3&gt;=82,IF(Inputs!$B$39="pvp",20,(1-Summary!$B$11)*(20)+Summary!$B$11*(0)),0)*IF(AND(Inputs!$B$39&lt;&gt;"pvp",Inputs!$B$44&gt;0),(((R590-1)*MIN((Skills!T13*(1+Inputs!$B$35/100)),(1/Q590))+MIN((Skills!T13*(1+Inputs!$B$35/100)),MAX(0,Inputs!$B$44-((R590-1)*(1/Q590)))))/Inputs!$B$44),IF(Inputs!$B$39="pvp",MIN((Skills!T13*(1+Inputs!$B$35/100)),15)/15,MIN(1,(Skills!T13*(1+Inputs!$B$35/100))/(1/Q590)))))+(IF(AND(ArtifactsInput!$M$35,Inputs!$B$4&lt;&gt;"Chapter Hunt"),CHOOSE(ArtifactsInput!$N$35+1,15,18,21,24,27,30)*(1-EXP(-(0.2*B608)*5)),0)+IF(AND(ArtifactsInput!$M$22,Inputs!$B$4&lt;&gt;"Chapter Hunt"),CHOOSE(ArtifactsInput!$N$22+1,10,12,14,16,18,20)*((0*(((0.15*B608*5))^0/1)+1*(((0.15*B608*5))^1/1)+2*(((0.15*B608*5))^2/2)+3*(((0.15*B608*5))^3/6)+4*(((0.15*B608*5))^4/24)+5*(((0.15*B608*5))^5/120))/((((0.15*B608*5))^0/1)+(((0.15*B608*5))^1/1)+(((0.15*B608*5))^2/2)+(((0.15*B608*5))^3/6)+(((0.15*B608*5))^4/24)+(((0.15*B608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579*(1-MIN(100,((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579*(MIN(100,((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579*(1-MIN(100,((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579*(MIN(100,((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579">
        <f>MAX(0,(Inputs!$B$3-100)*3)+Inputs!$B$29+Inputs!$B$30</f>
        <v/>
      </c>
      <c r="V579">
        <f>IF(C579,(Skills!G2*N579*B610)*IF(Inputs!$B$39="pvp",1,(1+(Inputs!$B$22+Skills!Q2+((C594=TRUE)*F594*IF(AND(Inputs!$B$39&lt;&gt;"pvp",Inputs!$B$44&gt;0),(((R594-1)*MIN((Skills!T17*(1+Inputs!$B$35/100)),(1/Q594))+MIN((Skills!T17*(1+Inputs!$B$35/100)),MAX(0,Inputs!$B$44-((R594-1)*(1/Q594)))))/Inputs!$B$44),IF(Inputs!$B$39="pvp",MIN((Skills!T17*(1+Inputs!$B$35/100)),15)/15,MIN(1,(Skills!T17*(1+Inputs!$B$35/100))/(1/Q594)))))+((C582=TRUE)*IF(Inputs!$B$3&gt;=126,10*MIN(1,15*Q582),0))+((C591=TRUE)*IF(Inputs!$B$39="pvp",20,(1-Summary!$B$11)*(20)+Summary!$B$11*(0))*IF(AND(Inputs!$B$39&lt;&gt;"pvp",Inputs!$B$44&gt;0),(((R591-1)*MIN((Skills!T14*(1+Inputs!$B$35/100)),(1/Q591))+MIN((Skills!T14*(1+Inputs!$B$35/100)),MAX(0,Inputs!$B$44-((R591-1)*(1/Q591)))))/Inputs!$B$44),IF(Inputs!$B$39="pvp",MIN((Skills!T14*(1+Inputs!$B$35/100)),15)/15,MIN(1,(Skills!T14*(1+Inputs!$B$35/100))/(1/Q591)))))+((C590=TRUE)*IF(Inputs!$B$3&gt;=82,IF(Inputs!$B$39="pvp",20,(1-Summary!$B$11)*(20)+Summary!$B$11*(0)),0)*IF(AND(Inputs!$B$39&lt;&gt;"pvp",Inputs!$B$44&gt;0),(((R590-1)*MIN((Skills!T13*(1+Inputs!$B$35/100)),(1/Q590))+MIN((Skills!T13*(1+Inputs!$B$35/100)),MAX(0,Inputs!$B$44-((R590-1)*(1/Q590)))))/Inputs!$B$44),IF(Inputs!$B$39="pvp",MIN((Skills!T13*(1+Inputs!$B$35/100)),15)/15,MIN(1,(Skills!T13*(1+Inputs!$B$35/100))/(1/Q590)))))+(IF(AND(ArtifactsInput!$M$35,Inputs!$B$4&lt;&gt;"Chapter Hunt"),CHOOSE(ArtifactsInput!$N$35+1,15,18,21,24,27,30)*(1-EXP(-(0.2*B608)*5)),0)+IF(AND(ArtifactsInput!$M$22,Inputs!$B$4&lt;&gt;"Chapter Hunt"),CHOOSE(ArtifactsInput!$N$22+1,10,12,14,16,18,20)*((0*(((0.15*B608*5))^0/1)+1*(((0.15*B608*5))^1/1)+2*(((0.15*B608*5))^2/2)+3*(((0.15*B608*5))^3/6)+4*(((0.15*B608*5))^4/24)+5*(((0.15*B608*5))^5/120))/((((0.15*B608*5))^0/1)+(((0.15*B608*5))^1/1)+(((0.15*B608*5))^2/2)+(((0.15*B608*5))^3/6)+(((0.15*B608*5))^4/24)+(((0.15*B608*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80">
      <c r="A580">
        <f>Skills!A3</f>
        <v/>
      </c>
      <c r="B580">
        <f>Skills!B3</f>
        <v/>
      </c>
      <c r="C580">
        <f>Inputs!$B$3&gt;=50</f>
        <v/>
      </c>
      <c r="D580">
        <f>IF(Skills!C3=1,60+Inputs!$B$26+Inputs!$B$30,IF(Skills!C3=2,90+Inputs!$B$27+Inputs!$B$30,IF(Skills!C3=3,120+Inputs!$B$28+Inputs!$B$30,MAX(0,(Inputs!$B$3-100)*3)+Inputs!$B$29+Inputs!$B$30)))</f>
        <v/>
      </c>
      <c r="E580">
        <f>INDEX(FactorTable!$B$2:$Y$301, MATCH(ROUND(MIN(300,MAX(1,D580)),0), FactorTable!$A$2:$A$301,0), Skills!M3+1)</f>
        <v/>
      </c>
      <c r="F580">
        <f>IF(Skills!N3=TRUE,(Skills!L3/10)*(E580/1000),Skills!L3/10)+Skills!O3</f>
        <v/>
      </c>
      <c r="G580" t="inlineStr"/>
      <c r="H580" t="inlineStr"/>
      <c r="I580" t="inlineStr">
        <is>
          <t>1</t>
        </is>
      </c>
      <c r="J580" t="inlineStr"/>
      <c r="K580" t="inlineStr"/>
      <c r="L580" t="inlineStr"/>
      <c r="M580" t="inlineStr"/>
      <c r="N580" t="inlineStr"/>
      <c r="O580" t="inlineStr"/>
      <c r="P580" t="inlineStr"/>
      <c r="Q580" t="inlineStr"/>
      <c r="R580" t="inlineStr"/>
      <c r="S580" t="inlineStr"/>
      <c r="U580">
        <f>INDEX(FactorTable!$B$2:$Y$301, MATCH(ROUND(MIN(300,MAX(1,U579)),0), FactorTable!$A$2:$A$301,0), 22)</f>
        <v/>
      </c>
    </row>
    <row r="581">
      <c r="A581">
        <f>Skills!A4</f>
        <v/>
      </c>
      <c r="B581">
        <f>Skills!B4</f>
        <v/>
      </c>
      <c r="C581">
        <f>Inputs!$B$3&gt;=105</f>
        <v/>
      </c>
      <c r="D581">
        <f>IF(Skills!C4=1,60+Inputs!$B$26+Inputs!$B$30,IF(Skills!C4=2,90+Inputs!$B$27+Inputs!$B$30,IF(Skills!C4=3,120+Inputs!$B$28+Inputs!$B$30,MAX(0,(Inputs!$B$3-100)*3)+Inputs!$B$29+Inputs!$B$30)))</f>
        <v/>
      </c>
      <c r="E581">
        <f>INDEX(FactorTable!$B$2:$Y$301, MATCH(ROUND(MIN(300,MAX(1,D581)),0), FactorTable!$A$2:$A$301,0), Skills!M4+1)</f>
        <v/>
      </c>
      <c r="F581">
        <f>IF(Skills!N4=TRUE,(Skills!L4/10)*(E581/1000),Skills!L4/10)+Skills!O4</f>
        <v/>
      </c>
      <c r="G581" t="inlineStr"/>
      <c r="H581" t="inlineStr"/>
      <c r="I581" t="inlineStr">
        <is>
          <t>1</t>
        </is>
      </c>
      <c r="J581" t="inlineStr"/>
      <c r="K581" t="inlineStr"/>
      <c r="L581" t="inlineStr"/>
      <c r="M581" t="inlineStr"/>
      <c r="N581" t="inlineStr"/>
      <c r="O581" t="inlineStr"/>
      <c r="P581" t="inlineStr"/>
      <c r="Q581" t="inlineStr"/>
      <c r="R581" t="inlineStr"/>
      <c r="S581" t="inlineStr"/>
      <c r="U581">
        <f>290*U580/1000</f>
        <v/>
      </c>
    </row>
    <row r="582">
      <c r="A582">
        <f>Skills!A5</f>
        <v/>
      </c>
      <c r="B582">
        <f>Skills!B5</f>
        <v/>
      </c>
      <c r="C582">
        <f>Inputs!$B$3&gt;=117</f>
        <v/>
      </c>
      <c r="D582">
        <f>IF(Skills!C5=1,60+Inputs!$B$26+Inputs!$B$30,IF(Skills!C5=2,90+Inputs!$B$27+Inputs!$B$30,IF(Skills!C5=3,120+Inputs!$B$28+Inputs!$B$30,MAX(0,(Inputs!$B$3-100)*3)+Inputs!$B$29+Inputs!$B$30)))</f>
        <v/>
      </c>
      <c r="E582">
        <f>INDEX(FactorTable!$B$2:$Y$301, MATCH(ROUND(MIN(300,MAX(1,D582)),0), FactorTable!$A$2:$A$301,0), Skills!M5+1)</f>
        <v/>
      </c>
      <c r="F582">
        <f>IF(Skills!N5=TRUE,(Skills!L5/10)*(E582/1000),Skills!L5/10)+Skills!O5</f>
        <v/>
      </c>
      <c r="G582">
        <f>Skills!G5*IF(Skills!H5&gt;0,INT(IF(Inputs!$B$39="pvp",MIN(Skills!I5,15),Skills!I5)/Skills!H5+0.000000001),1)</f>
        <v/>
      </c>
      <c r="H582">
        <f>1-(1-Skills!J5/100)^Skills!K5</f>
        <v/>
      </c>
      <c r="I582" t="inlineStr">
        <is>
          <t>1</t>
        </is>
      </c>
      <c r="J582">
        <f>((Inputs!$B$6*(1+Inputs!$B$7/100))+(((Inputs!$B$13*(1+Inputs!$B$14/100))-(Inputs!$B$13*(1+Inputs!$B$14/100)))+0.25*(Inputs!$B$15-Inputs!$B$15))*(1+Inputs!$B$7/100))*(F582/100)</f>
        <v/>
      </c>
      <c r="K582">
        <f>J582*(1+(((Inputs!$B$13+IF(Inputs!$B$3&gt;=38,(10*INDEX(FactorTable!$B$2:$Y$301, MATCH(ROUND(MIN(300,MAX(1,Inputs!$B$3)),0), FactorTable!$A$2:$A$301,0), 23)/1000)/100*(Inputs!$B$8*(1+Inputs!$B$9/100)),0))*(1+Inputs!$B$14/100))*0.01+Inputs!$B$15*0.0025)/100)*(1+Inputs!$B$16/100)*(1+Inputs!$B$17/100)*(5000/(6000+Inputs!$B$43*(1-(Inputs!$B$20+0)/100)))*(1+(Inputs!$B$25+((C602=TRUE)*(F602-Calc!F25))+((C603=TRUE)*(F603-Calc!F26))+B612)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gt;=100),MIN(100,(((Inputs!$B$10+1)+0+B606+(ArtifactsInput!$M$24-ArtifactsInput!$M$24)*CHOOSE(ArtifactsInput!$N$24+1,10,12,14,16,18,20)+IF(ArtifactsInput!$M$10,CHOOSE(ArtifactsInput!$N$10+1,15,18,21,24,27,30)*(IF(Inputs!$B$39="pvp",MIN(15,15)/15,IF(AND(Inputs!$B$39&lt;&gt;"pvp",Inputs!$B$44&gt;0),MIN(15,Inputs!$B$44)/(Inputs!$B$44),0))),0)))-100),0))*CHOOSE(ArtifactsInput!$N$42+1,0.6,0.72,0.84,0.96,1.08,1.2))),Inputs!$B$19+((C600=TRUE)*(F600-Calc!F23))+(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gt;=100),CHOOSE(ArtifactsInput!$N$42+1,40,48,56,64,72,80),0))))/100)*((1+(((C590=TRUE)*F590*IF(AND(Inputs!$B$39&lt;&gt;"pvp",Inputs!$B$44&gt;0),(((R590-1)*MIN((Skills!T13*(1+Inputs!$B$35/100)),(1/Q590))+MIN((Skills!T13*(1+Inputs!$B$35/100)),MAX(0,Inputs!$B$44-((R590-1)*(1/Q590)))))/Inputs!$B$44),IF(Inputs!$B$39="pvp",MIN((Skills!T13*(1+Inputs!$B$35/100)),15)/15,MIN(1,(Skills!T13*(1+Inputs!$B$35/100))/(1/Q590)))))+((C591=TRUE)*F591*IF(AND(Inputs!$B$39&lt;&gt;"pvp",Inputs!$B$44&gt;0),(((R591-1)*MIN((Skills!T14*(1+Inputs!$B$35/100)),(1/Q591))+MIN((Skills!T14*(1+Inputs!$B$35/100)),MAX(0,Inputs!$B$44-((R591-1)*(1/Q591)))))/Inputs!$B$44),IF(Inputs!$B$39="pvp",MIN((Skills!T14*(1+Inputs!$B$35/100)),15)/15,MIN(1,(Skills!T14*(1+Inputs!$B$35/100))/(1/Q591)))))+((C592=TRUE)*F592*IF(AND(Inputs!$B$39&lt;&gt;"pvp",Inputs!$B$44&gt;0),(((R592-1)*MIN((Skills!T15*(1+Inputs!$B$35/100)),(1/Q592))+MIN((Skills!T15*(1+Inputs!$B$35/100)),MAX(0,Inputs!$B$44-((R592-1)*(1/Q592)))))/Inputs!$B$44),IF(Inputs!$B$39="pvp",MIN((Skills!T15*(1+Inputs!$B$35/100)),15)/15,MIN(1,(Skills!T15*(1+Inputs!$B$35/100))/(1/Q592)))))+((C593=TRUE)*F593*IF(AND(Inputs!$B$39&lt;&gt;"pvp",Inputs!$B$44&gt;0),(((R593-1)*MIN((Skills!T16*(1+Inputs!$B$35/100)),(1/Q593))+MIN((Skills!T16*(1+Inputs!$B$35/100)),MAX(0,Inputs!$B$44-((R593-1)*(1/Q593)))))/Inputs!$B$44),IF(Inputs!$B$39="pvp",MIN((Skills!T16*(1+Inputs!$B$35/100)),15)/15,MIN(1,(Skills!T16*(1+Inputs!$B$35/100))/(1/Q593)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582)</f>
        <v/>
      </c>
      <c r="L582">
        <f>K582*(MIN(Inputs!$B$23+((C599=TRUE)*(F599-Calc!F22)),(Inputs!$B$24+((C601=TRUE)*(F601-Calc!F24))+(IF(ArtifactsInput!$M$15,CHOOSE(ArtifactsInput!$N$15+1,25,30,35,40,45,50)/100*(Inputs!$B$12-Inputs!$B$12),0))))/100+(Inputs!$B$24+((C601=TRUE)*(F601-Calc!F24))+(IF(ArtifactsInput!$M$15,CHOOSE(ArtifactsInput!$N$15+1,25,30,35,40,45,50)/100*(Inputs!$B$12-Inputs!$B$12),0)))/100)/2</f>
        <v/>
      </c>
      <c r="M582">
        <f>L582*(1+(Inputs!$B$11+0+B611+(IF(ArtifactsInput!$M$24,CHOOSE(ArtifactsInput!$N$24+1,30,36,42,48,54,60)/100*((Inputs!$B$10+1)-Inputs!$B$10),0)+IF(ArtifactsInput!$M$10,CHOOSE(ArtifactsInput!$N$10+1,20,24,28,32,36,40)*(IF(Inputs!$B$39="pvp",MIN(15,15)/15,IF(AND(Inputs!$B$39&lt;&gt;"pvp",Inputs!$B$44&gt;0),MIN(15,Inputs!$B$44)/(Inputs!$B$44),0))),0)+IF(ArtifactsInput!$M$31,1.5*CHOOSE(ArtifactsInput!$N$31+1,20,24,28,32,36,40),0)))/100)</f>
        <v/>
      </c>
      <c r="N582">
        <f>L582*(1-MIN(((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582*(MIN(((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82">
        <f>(1-Summary!$B$11)*T582+Summary!$B$11*V582</f>
        <v/>
      </c>
      <c r="P582">
        <f>IF(B616=0,0,O582/B616)</f>
        <v/>
      </c>
      <c r="Q582">
        <f>IFERROR(1/IF(Inputs!$B$39="pvp",15,MAX(0.1,Skills!D5-IF(TRUE=TRUE,Inputs!$B$33,0))),0)</f>
        <v/>
      </c>
      <c r="R582">
        <f>IF(AND(Inputs!$B$39&lt;&gt;"pvp",Inputs!$B$44&gt;0),IF(MAX(0,Inputs!$B$44-B613)&lt;=0,0,(INT(MAX(0,Inputs!$B$44-B613)/IF(Inputs!$B$39="pvp",15,MAX(0.1,Skills!D5-IF(TRUE=TRUE,Inputs!$B$33,0))))+1)),0)</f>
        <v/>
      </c>
      <c r="S582">
        <f>IFERROR(O582/N582,0)</f>
        <v/>
      </c>
      <c r="T582">
        <f>IF(C582,(H582*N582*IF(AND(Inputs!$B$39&lt;&gt;"pvp",Inputs!$B$44&gt;0),((Skills!G5*((R582-1)*IF(Skills!H5&gt;0,INT(Skills!I5/Skills!H5+0.000000001),1)+IF(Skills!H5&gt;0,INT(MIN(Skills!I5,MAX(0,MAX(0,Inputs!$B$44-B613)-((R582-1)*IF(Inputs!$B$39="pvp",15,MAX(0.1,Skills!D5-IF(TRUE=TRUE,Inputs!$B$33,0))))))/Skills!H5+0.000000001),1)))/Inputs!$B$44),G582*Q582))*IF(Inputs!$B$39="pvp",1,1+(Inputs!$B$21+0+Skills!P5+((C594=TRUE)*F594*IF(AND(Inputs!$B$39&lt;&gt;"pvp",Inputs!$B$44&gt;0),(((R594-1)*MIN((Skills!T17*(1+Inputs!$B$35/100)),(1/Q594))+MIN((Skills!T17*(1+Inputs!$B$35/100)),MAX(0,Inputs!$B$44-((R594-1)*(1/Q594)))))/Inputs!$B$44),IF(Inputs!$B$39="pvp",MIN((Skills!T17*(1+Inputs!$B$35/100)),15)/15,MIN(1,(Skills!T17*(1+Inputs!$B$35/100))/(1/Q594)))))+((C582=TRUE)*IF(Inputs!$B$3&gt;=126,10*MIN(1,15*Q582),0))+((C591=TRUE)*IF(Inputs!$B$39="pvp",20,(1-Summary!$B$11)*(20)+Summary!$B$11*(0))*IF(AND(Inputs!$B$39&lt;&gt;"pvp",Inputs!$B$44&gt;0),(((R591-1)*MIN((Skills!T14*(1+Inputs!$B$35/100)),(1/Q591))+MIN((Skills!T14*(1+Inputs!$B$35/100)),MAX(0,Inputs!$B$44-((R591-1)*(1/Q591)))))/Inputs!$B$44),IF(Inputs!$B$39="pvp",MIN((Skills!T14*(1+Inputs!$B$35/100)),15)/15,MIN(1,(Skills!T14*(1+Inputs!$B$35/100))/(1/Q591)))))+((C590=TRUE)*IF(Inputs!$B$3&gt;=82,IF(Inputs!$B$39="pvp",20,(1-Summary!$B$11)*(20)+Summary!$B$11*(0)),0)*IF(AND(Inputs!$B$39&lt;&gt;"pvp",Inputs!$B$44&gt;0),(((R590-1)*MIN((Skills!T13*(1+Inputs!$B$35/100)),(1/Q590))+MIN((Skills!T13*(1+Inputs!$B$35/100)),MAX(0,Inputs!$B$44-((R590-1)*(1/Q590)))))/Inputs!$B$44),IF(Inputs!$B$39="pvp",MIN((Skills!T13*(1+Inputs!$B$35/100)),15)/15,MIN(1,(Skills!T13*(1+Inputs!$B$35/100))/(1/Q590)))))+(IF(AND(ArtifactsInput!$M$35,Inputs!$B$4&lt;&gt;"Chapter Hunt"),CHOOSE(ArtifactsInput!$N$35+1,15,18,21,24,27,30)*(1-EXP(-(0.2*B608)*5)),0)+IF(AND(ArtifactsInput!$M$22,Inputs!$B$4&lt;&gt;"Chapter Hunt"),CHOOSE(ArtifactsInput!$N$22+1,10,12,14,16,18,20)*((0*(((0.15*B608*5))^0/1)+1*(((0.15*B608*5))^1/1)+2*(((0.15*B608*5))^2/2)+3*(((0.15*B608*5))^3/6)+4*(((0.15*B608*5))^4/24)+5*(((0.15*B608*5))^5/120))/((((0.15*B608*5))^0/1)+(((0.15*B608*5))^1/1)+(((0.15*B608*5))^2/2)+(((0.15*B608*5))^3/6)+(((0.15*B608*5))^4/24)+(((0.15*B608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582*(1-MIN(100,((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582*(MIN(100,((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582*(1-MIN(100,((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582*(MIN(100,((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82">
        <f>IF(C582,(H582*N582*IF(AND(Inputs!$B$39&lt;&gt;"pvp",Inputs!$B$44&gt;0),((Skills!G5*((R582-1)*IF(Skills!H5&gt;0,INT(Skills!I5/Skills!H5+0.000000001),1)+IF(Skills!H5&gt;0,INT(MIN(Skills!I5,MAX(0,MAX(0,Inputs!$B$44-B613)-((R582-1)*IF(Inputs!$B$39="pvp",15,MAX(0.1,Skills!D5-IF(TRUE=TRUE,Inputs!$B$33,0))))))/Skills!H5+0.000000001),1)))/Inputs!$B$44),G582*Q582))*IF(Inputs!$B$39="pvp",1,(1+(Inputs!$B$22+Skills!Q5+((C594=TRUE)*F594*IF(AND(Inputs!$B$39&lt;&gt;"pvp",Inputs!$B$44&gt;0),(((R594-1)*MIN((Skills!T17*(1+Inputs!$B$35/100)),(1/Q594))+MIN((Skills!T17*(1+Inputs!$B$35/100)),MAX(0,Inputs!$B$44-((R594-1)*(1/Q594)))))/Inputs!$B$44),IF(Inputs!$B$39="pvp",MIN((Skills!T17*(1+Inputs!$B$35/100)),15)/15,MIN(1,(Skills!T17*(1+Inputs!$B$35/100))/(1/Q594)))))+((C582=TRUE)*IF(Inputs!$B$3&gt;=126,10*MIN(1,15*Q582),0))+((C591=TRUE)*IF(Inputs!$B$39="pvp",20,(1-Summary!$B$11)*(20)+Summary!$B$11*(0))*IF(AND(Inputs!$B$39&lt;&gt;"pvp",Inputs!$B$44&gt;0),(((R591-1)*MIN((Skills!T14*(1+Inputs!$B$35/100)),(1/Q591))+MIN((Skills!T14*(1+Inputs!$B$35/100)),MAX(0,Inputs!$B$44-((R591-1)*(1/Q591)))))/Inputs!$B$44),IF(Inputs!$B$39="pvp",MIN((Skills!T14*(1+Inputs!$B$35/100)),15)/15,MIN(1,(Skills!T14*(1+Inputs!$B$35/100))/(1/Q591)))))+((C590=TRUE)*IF(Inputs!$B$3&gt;=82,IF(Inputs!$B$39="pvp",20,(1-Summary!$B$11)*(20)+Summary!$B$11*(0)),0)*IF(AND(Inputs!$B$39&lt;&gt;"pvp",Inputs!$B$44&gt;0),(((R590-1)*MIN((Skills!T13*(1+Inputs!$B$35/100)),(1/Q590))+MIN((Skills!T13*(1+Inputs!$B$35/100)),MAX(0,Inputs!$B$44-((R590-1)*(1/Q590)))))/Inputs!$B$44),IF(Inputs!$B$39="pvp",MIN((Skills!T13*(1+Inputs!$B$35/100)),15)/15,MIN(1,(Skills!T13*(1+Inputs!$B$35/100))/(1/Q590)))))+(IF(AND(ArtifactsInput!$M$35,Inputs!$B$4&lt;&gt;"Chapter Hunt"),CHOOSE(ArtifactsInput!$N$35+1,15,18,21,24,27,30)*(1-EXP(-(0.2*B608)*5)),0)+IF(AND(ArtifactsInput!$M$22,Inputs!$B$4&lt;&gt;"Chapter Hunt"),CHOOSE(ArtifactsInput!$N$22+1,10,12,14,16,18,20)*((0*(((0.15*B608*5))^0/1)+1*(((0.15*B608*5))^1/1)+2*(((0.15*B608*5))^2/2)+3*(((0.15*B608*5))^3/6)+4*(((0.15*B608*5))^4/24)+5*(((0.15*B608*5))^5/120))/((((0.15*B608*5))^0/1)+(((0.15*B608*5))^1/1)+(((0.15*B608*5))^2/2)+(((0.15*B608*5))^3/6)+(((0.15*B608*5))^4/24)+(((0.15*B608*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83">
      <c r="A583">
        <f>Skills!A6</f>
        <v/>
      </c>
      <c r="B583">
        <f>Skills!B6</f>
        <v/>
      </c>
      <c r="C583">
        <f>Inputs!$B$3&gt;=103</f>
        <v/>
      </c>
      <c r="D583">
        <f>IF(Skills!C6=1,60+Inputs!$B$26+Inputs!$B$30,IF(Skills!C6=2,90+Inputs!$B$27+Inputs!$B$30,IF(Skills!C6=3,120+Inputs!$B$28+Inputs!$B$30,MAX(0,(Inputs!$B$3-100)*3)+Inputs!$B$29+Inputs!$B$30)))</f>
        <v/>
      </c>
      <c r="E583">
        <f>INDEX(FactorTable!$B$2:$Y$301, MATCH(ROUND(MIN(300,MAX(1,D583)),0), FactorTable!$A$2:$A$301,0), Skills!M6+1)</f>
        <v/>
      </c>
      <c r="F583">
        <f>IF(Skills!N6=TRUE,(Skills!L6/10)*(E583/1000),Skills!L6/10)+Skills!O6</f>
        <v/>
      </c>
      <c r="G583">
        <f>Skills!G6*IF(Skills!H6&gt;0,INT(IF(Inputs!$B$39="pvp",MIN(Skills!I6,15),Skills!I6)/Skills!H6+0.000000001),1)</f>
        <v/>
      </c>
      <c r="H583">
        <f>1-(1-Skills!J6/100)^Skills!K6</f>
        <v/>
      </c>
      <c r="I583" t="inlineStr">
        <is>
          <t>1</t>
        </is>
      </c>
      <c r="J583">
        <f>((Inputs!$B$6*(1+Inputs!$B$7/100))+(((Inputs!$B$13*(1+Inputs!$B$14/100))-(Inputs!$B$13*(1+Inputs!$B$14/100)))+0.25*(Inputs!$B$15-Inputs!$B$15))*(1+Inputs!$B$7/100))*(F583/100)</f>
        <v/>
      </c>
      <c r="K583">
        <f>J583*(1+(((Inputs!$B$13+IF(Inputs!$B$3&gt;=38,(10*INDEX(FactorTable!$B$2:$Y$301, MATCH(ROUND(MIN(300,MAX(1,Inputs!$B$3)),0), FactorTable!$A$2:$A$301,0), 23)/1000)/100*(Inputs!$B$8*(1+Inputs!$B$9/100)),0))*(1+Inputs!$B$14/100))*0.01+Inputs!$B$15*0.0025)/100)*(1+Inputs!$B$16/100)*(1+Inputs!$B$17/100)*(5000/(6000+Inputs!$B$43*(1-(Inputs!$B$20+0)/100)))*(1+(Inputs!$B$25+((C602=TRUE)*(F602-Calc!F25))+((C603=TRUE)*(F603-Calc!F26))+B612)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gt;=100),MIN(100,(((Inputs!$B$10+1)+0+B606+(ArtifactsInput!$M$24-ArtifactsInput!$M$24)*CHOOSE(ArtifactsInput!$N$24+1,10,12,14,16,18,20)+IF(ArtifactsInput!$M$10,CHOOSE(ArtifactsInput!$N$10+1,15,18,21,24,27,30)*(IF(Inputs!$B$39="pvp",MIN(15,15)/15,IF(AND(Inputs!$B$39&lt;&gt;"pvp",Inputs!$B$44&gt;0),MIN(15,Inputs!$B$44)/(Inputs!$B$44),0))),0)))-100),0))*CHOOSE(ArtifactsInput!$N$42+1,0.6,0.72,0.84,0.96,1.08,1.2))),Inputs!$B$19+((C600=TRUE)*(F600-Calc!F23))+(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gt;=100),CHOOSE(ArtifactsInput!$N$42+1,40,48,56,64,72,80),0))))/100)*((1+(((C590=TRUE)*F590*IF(AND(Inputs!$B$39&lt;&gt;"pvp",Inputs!$B$44&gt;0),(((R590-1)*MIN((Skills!T13*(1+Inputs!$B$35/100)),(1/Q590))+MIN((Skills!T13*(1+Inputs!$B$35/100)),MAX(0,Inputs!$B$44-((R590-1)*(1/Q590)))))/Inputs!$B$44),IF(Inputs!$B$39="pvp",MIN((Skills!T13*(1+Inputs!$B$35/100)),15)/15,MIN(1,(Skills!T13*(1+Inputs!$B$35/100))/(1/Q590)))))+((C591=TRUE)*F591*IF(AND(Inputs!$B$39&lt;&gt;"pvp",Inputs!$B$44&gt;0),(((R591-1)*MIN((Skills!T14*(1+Inputs!$B$35/100)),(1/Q591))+MIN((Skills!T14*(1+Inputs!$B$35/100)),MAX(0,Inputs!$B$44-((R591-1)*(1/Q591)))))/Inputs!$B$44),IF(Inputs!$B$39="pvp",MIN((Skills!T14*(1+Inputs!$B$35/100)),15)/15,MIN(1,(Skills!T14*(1+Inputs!$B$35/100))/(1/Q591)))))+((C592=TRUE)*F592*IF(AND(Inputs!$B$39&lt;&gt;"pvp",Inputs!$B$44&gt;0),(((R592-1)*MIN((Skills!T15*(1+Inputs!$B$35/100)),(1/Q592))+MIN((Skills!T15*(1+Inputs!$B$35/100)),MAX(0,Inputs!$B$44-((R592-1)*(1/Q592)))))/Inputs!$B$44),IF(Inputs!$B$39="pvp",MIN((Skills!T15*(1+Inputs!$B$35/100)),15)/15,MIN(1,(Skills!T15*(1+Inputs!$B$35/100))/(1/Q592)))))+((C593=TRUE)*F593*IF(AND(Inputs!$B$39&lt;&gt;"pvp",Inputs!$B$44&gt;0),(((R593-1)*MIN((Skills!T16*(1+Inputs!$B$35/100)),(1/Q593))+MIN((Skills!T16*(1+Inputs!$B$35/100)),MAX(0,Inputs!$B$44-((R593-1)*(1/Q593)))))/Inputs!$B$44),IF(Inputs!$B$39="pvp",MIN((Skills!T16*(1+Inputs!$B$35/100)),15)/15,MIN(1,(Skills!T16*(1+Inputs!$B$35/100))/(1/Q593)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583)</f>
        <v/>
      </c>
      <c r="L583">
        <f>K583*(MIN(Inputs!$B$23+((C599=TRUE)*(F599-Calc!F22)),(Inputs!$B$24+((C601=TRUE)*(F601-Calc!F24))+(IF(ArtifactsInput!$M$15,CHOOSE(ArtifactsInput!$N$15+1,25,30,35,40,45,50)/100*(Inputs!$B$12-Inputs!$B$12),0))))/100+(Inputs!$B$24+((C601=TRUE)*(F601-Calc!F24))+(IF(ArtifactsInput!$M$15,CHOOSE(ArtifactsInput!$N$15+1,25,30,35,40,45,50)/100*(Inputs!$B$12-Inputs!$B$12),0)))/100)/2</f>
        <v/>
      </c>
      <c r="M583">
        <f>L583*(1+(Inputs!$B$11+0+B611+(IF(ArtifactsInput!$M$24,CHOOSE(ArtifactsInput!$N$24+1,30,36,42,48,54,60)/100*((Inputs!$B$10+1)-Inputs!$B$10),0)+IF(ArtifactsInput!$M$10,CHOOSE(ArtifactsInput!$N$10+1,20,24,28,32,36,40)*(IF(Inputs!$B$39="pvp",MIN(15,15)/15,IF(AND(Inputs!$B$39&lt;&gt;"pvp",Inputs!$B$44&gt;0),MIN(15,Inputs!$B$44)/(Inputs!$B$44),0))),0)+IF(ArtifactsInput!$M$31,1.5*CHOOSE(ArtifactsInput!$N$31+1,20,24,28,32,36,40),0)))/100)</f>
        <v/>
      </c>
      <c r="N583">
        <f>L583*(1-MIN(((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583*(MIN(((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83">
        <f>(1-Summary!$B$11)*T583+Summary!$B$11*V583</f>
        <v/>
      </c>
      <c r="P583">
        <f>IF(B616=0,0,O583/B616)</f>
        <v/>
      </c>
      <c r="Q583">
        <f>IFERROR(1/IF(Inputs!$B$39="pvp",15,MAX(0.1,Skills!D6-IF(TRUE=TRUE,Inputs!$B$33,0))),0)</f>
        <v/>
      </c>
      <c r="R583">
        <f>IF(AND(Inputs!$B$39&lt;&gt;"pvp",Inputs!$B$44&gt;0),IF(MAX(0,Inputs!$B$44-B613)&lt;=0,0,(INT(MAX(0,Inputs!$B$44-B613)/IF(Inputs!$B$39="pvp",15,MAX(0.1,Skills!D6-IF(TRUE=TRUE,Inputs!$B$33,0))))+1)),0)</f>
        <v/>
      </c>
      <c r="S583">
        <f>IFERROR(O583/N583,0)</f>
        <v/>
      </c>
      <c r="T583">
        <f>IF(C583,(H583*N583*IF(AND(Inputs!$B$39&lt;&gt;"pvp",Inputs!$B$44&gt;0),((Skills!G6*((R583-1)*IF(Skills!H6&gt;0,INT(Skills!I6/Skills!H6+0.000000001),1)+IF(Skills!H6&gt;0,INT(MIN(Skills!I6,MAX(0,MAX(0,Inputs!$B$44-B613)-((R583-1)*IF(Inputs!$B$39="pvp",15,MAX(0.1,Skills!D6-IF(TRUE=TRUE,Inputs!$B$33,0))))))/Skills!H6+0.000000001),1)))/Inputs!$B$44),G583*Q583))*IF(Inputs!$B$39="pvp",1,1+(Inputs!$B$21+0+Skills!P6+((C594=TRUE)*F594*IF(AND(Inputs!$B$39&lt;&gt;"pvp",Inputs!$B$44&gt;0),(((R594-1)*MIN((Skills!T17*(1+Inputs!$B$35/100)),(1/Q594))+MIN((Skills!T17*(1+Inputs!$B$35/100)),MAX(0,Inputs!$B$44-((R594-1)*(1/Q594)))))/Inputs!$B$44),IF(Inputs!$B$39="pvp",MIN((Skills!T17*(1+Inputs!$B$35/100)),15)/15,MIN(1,(Skills!T17*(1+Inputs!$B$35/100))/(1/Q594)))))+((C582=TRUE)*IF(Inputs!$B$3&gt;=126,10*MIN(1,15*Q582),0))+((C591=TRUE)*IF(Inputs!$B$39="pvp",20,(1-Summary!$B$11)*(20)+Summary!$B$11*(0))*IF(AND(Inputs!$B$39&lt;&gt;"pvp",Inputs!$B$44&gt;0),(((R591-1)*MIN((Skills!T14*(1+Inputs!$B$35/100)),(1/Q591))+MIN((Skills!T14*(1+Inputs!$B$35/100)),MAX(0,Inputs!$B$44-((R591-1)*(1/Q591)))))/Inputs!$B$44),IF(Inputs!$B$39="pvp",MIN((Skills!T14*(1+Inputs!$B$35/100)),15)/15,MIN(1,(Skills!T14*(1+Inputs!$B$35/100))/(1/Q591)))))+((C590=TRUE)*IF(Inputs!$B$3&gt;=82,IF(Inputs!$B$39="pvp",20,(1-Summary!$B$11)*(20)+Summary!$B$11*(0)),0)*IF(AND(Inputs!$B$39&lt;&gt;"pvp",Inputs!$B$44&gt;0),(((R590-1)*MIN((Skills!T13*(1+Inputs!$B$35/100)),(1/Q590))+MIN((Skills!T13*(1+Inputs!$B$35/100)),MAX(0,Inputs!$B$44-((R590-1)*(1/Q590)))))/Inputs!$B$44),IF(Inputs!$B$39="pvp",MIN((Skills!T13*(1+Inputs!$B$35/100)),15)/15,MIN(1,(Skills!T13*(1+Inputs!$B$35/100))/(1/Q590)))))+(IF(AND(ArtifactsInput!$M$35,Inputs!$B$4&lt;&gt;"Chapter Hunt"),CHOOSE(ArtifactsInput!$N$35+1,15,18,21,24,27,30)*(1-EXP(-(0.2*B608)*5)),0)+IF(AND(ArtifactsInput!$M$22,Inputs!$B$4&lt;&gt;"Chapter Hunt"),CHOOSE(ArtifactsInput!$N$22+1,10,12,14,16,18,20)*((0*(((0.15*B608*5))^0/1)+1*(((0.15*B608*5))^1/1)+2*(((0.15*B608*5))^2/2)+3*(((0.15*B608*5))^3/6)+4*(((0.15*B608*5))^4/24)+5*(((0.15*B608*5))^5/120))/((((0.15*B608*5))^0/1)+(((0.15*B608*5))^1/1)+(((0.15*B608*5))^2/2)+(((0.15*B608*5))^3/6)+(((0.15*B608*5))^4/24)+(((0.15*B608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583*(1-MIN(100,((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583*(MIN(100,((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583*(1-MIN(100,((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583*(MIN(100,((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83">
        <f>IF(C583,(H583*N583*IF(AND(Inputs!$B$39&lt;&gt;"pvp",Inputs!$B$44&gt;0),((Skills!G6*((R583-1)*IF(Skills!H6&gt;0,INT(Skills!I6/Skills!H6+0.000000001),1)+IF(Skills!H6&gt;0,INT(MIN(Skills!I6,MAX(0,MAX(0,Inputs!$B$44-B613)-((R583-1)*IF(Inputs!$B$39="pvp",15,MAX(0.1,Skills!D6-IF(TRUE=TRUE,Inputs!$B$33,0))))))/Skills!H6+0.000000001),1)))/Inputs!$B$44),G583*Q583))*IF(Inputs!$B$39="pvp",1,(1+(Inputs!$B$22+Skills!Q6+((C594=TRUE)*F594*IF(AND(Inputs!$B$39&lt;&gt;"pvp",Inputs!$B$44&gt;0),(((R594-1)*MIN((Skills!T17*(1+Inputs!$B$35/100)),(1/Q594))+MIN((Skills!T17*(1+Inputs!$B$35/100)),MAX(0,Inputs!$B$44-((R594-1)*(1/Q594)))))/Inputs!$B$44),IF(Inputs!$B$39="pvp",MIN((Skills!T17*(1+Inputs!$B$35/100)),15)/15,MIN(1,(Skills!T17*(1+Inputs!$B$35/100))/(1/Q594)))))+((C582=TRUE)*IF(Inputs!$B$3&gt;=126,10*MIN(1,15*Q582),0))+((C591=TRUE)*IF(Inputs!$B$39="pvp",20,(1-Summary!$B$11)*(20)+Summary!$B$11*(0))*IF(AND(Inputs!$B$39&lt;&gt;"pvp",Inputs!$B$44&gt;0),(((R591-1)*MIN((Skills!T14*(1+Inputs!$B$35/100)),(1/Q591))+MIN((Skills!T14*(1+Inputs!$B$35/100)),MAX(0,Inputs!$B$44-((R591-1)*(1/Q591)))))/Inputs!$B$44),IF(Inputs!$B$39="pvp",MIN((Skills!T14*(1+Inputs!$B$35/100)),15)/15,MIN(1,(Skills!T14*(1+Inputs!$B$35/100))/(1/Q591)))))+((C590=TRUE)*IF(Inputs!$B$3&gt;=82,IF(Inputs!$B$39="pvp",20,(1-Summary!$B$11)*(20)+Summary!$B$11*(0)),0)*IF(AND(Inputs!$B$39&lt;&gt;"pvp",Inputs!$B$44&gt;0),(((R590-1)*MIN((Skills!T13*(1+Inputs!$B$35/100)),(1/Q590))+MIN((Skills!T13*(1+Inputs!$B$35/100)),MAX(0,Inputs!$B$44-((R590-1)*(1/Q590)))))/Inputs!$B$44),IF(Inputs!$B$39="pvp",MIN((Skills!T13*(1+Inputs!$B$35/100)),15)/15,MIN(1,(Skills!T13*(1+Inputs!$B$35/100))/(1/Q590)))))+(IF(AND(ArtifactsInput!$M$35,Inputs!$B$4&lt;&gt;"Chapter Hunt"),CHOOSE(ArtifactsInput!$N$35+1,15,18,21,24,27,30)*(1-EXP(-(0.2*B608)*5)),0)+IF(AND(ArtifactsInput!$M$22,Inputs!$B$4&lt;&gt;"Chapter Hunt"),CHOOSE(ArtifactsInput!$N$22+1,10,12,14,16,18,20)*((0*(((0.15*B608*5))^0/1)+1*(((0.15*B608*5))^1/1)+2*(((0.15*B608*5))^2/2)+3*(((0.15*B608*5))^3/6)+4*(((0.15*B608*5))^4/24)+5*(((0.15*B608*5))^5/120))/((((0.15*B608*5))^0/1)+(((0.15*B608*5))^1/1)+(((0.15*B608*5))^2/2)+(((0.15*B608*5))^3/6)+(((0.15*B608*5))^4/24)+(((0.15*B608*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84">
      <c r="A584">
        <f>Skills!A7</f>
        <v/>
      </c>
      <c r="B584">
        <f>Skills!B7</f>
        <v/>
      </c>
      <c r="C584">
        <f>Inputs!$B$3&gt;=40</f>
        <v/>
      </c>
      <c r="D584">
        <f>IF(Skills!C7=1,60+Inputs!$B$26+Inputs!$B$30,IF(Skills!C7=2,90+Inputs!$B$27+Inputs!$B$30,IF(Skills!C7=3,120+Inputs!$B$28+Inputs!$B$30,MAX(0,(Inputs!$B$3-100)*3)+Inputs!$B$29+Inputs!$B$30)))</f>
        <v/>
      </c>
      <c r="E584">
        <f>INDEX(FactorTable!$B$2:$Y$301, MATCH(ROUND(MIN(300,MAX(1,D584)),0), FactorTable!$A$2:$A$301,0), Skills!M7+1)</f>
        <v/>
      </c>
      <c r="F584">
        <f>IF(Skills!N7=TRUE,(Skills!L7/10)*(E584/1000),Skills!L7/10)+Skills!O7</f>
        <v/>
      </c>
      <c r="G584">
        <f>Skills!G7*IF(Skills!H7&gt;0,INT(IF(Inputs!$B$39="pvp",MIN(Skills!I7,15),Skills!I7)/Skills!H7+0.000000001),1)</f>
        <v/>
      </c>
      <c r="H584">
        <f>1-(1-Skills!J7/100)^Skills!K7</f>
        <v/>
      </c>
      <c r="I584" t="inlineStr">
        <is>
          <t>1</t>
        </is>
      </c>
      <c r="J584">
        <f>((Inputs!$B$6*(1+Inputs!$B$7/100))+(((Inputs!$B$13*(1+Inputs!$B$14/100))-(Inputs!$B$13*(1+Inputs!$B$14/100)))+0.25*(Inputs!$B$15-Inputs!$B$15))*(1+Inputs!$B$7/100))*(F584/100)</f>
        <v/>
      </c>
      <c r="K584">
        <f>J584*(1+(((Inputs!$B$13+IF(Inputs!$B$3&gt;=38,(10*INDEX(FactorTable!$B$2:$Y$301, MATCH(ROUND(MIN(300,MAX(1,Inputs!$B$3)),0), FactorTable!$A$2:$A$301,0), 23)/1000)/100*(Inputs!$B$8*(1+Inputs!$B$9/100)),0))*(1+Inputs!$B$14/100))*0.01+Inputs!$B$15*0.0025)/100)*(1+Inputs!$B$16/100)*(1+Inputs!$B$17/100)*(5000/(6000+Inputs!$B$43*(1-(Inputs!$B$20+0)/100)))*(1+(Inputs!$B$25+((C602=TRUE)*(F602-Calc!F25))+((C603=TRUE)*(F603-Calc!F26))+B612)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588=TRUE,F588,0)/100)*(1+(IF(Skills!A7="DARK_IMPALE",Inputs!$B$18+0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gt;=100),MIN(100,(((Inputs!$B$10+1)+0+B606+(ArtifactsInput!$M$24-ArtifactsInput!$M$24)*CHOOSE(ArtifactsInput!$N$24+1,10,12,14,16,18,20)+IF(ArtifactsInput!$M$10,CHOOSE(ArtifactsInput!$N$10+1,15,18,21,24,27,30)*(IF(Inputs!$B$39="pvp",MIN(15,15)/15,IF(AND(Inputs!$B$39&lt;&gt;"pvp",Inputs!$B$44&gt;0),MIN(15,Inputs!$B$44)/(Inputs!$B$44),0))),0)))-100),0))*CHOOSE(ArtifactsInput!$N$42+1,0.6,0.72,0.84,0.96,1.08,1.2))),Inputs!$B$19+((C600=TRUE)*(F600-Calc!F23))+(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gt;=100),CHOOSE(ArtifactsInput!$N$42+1,40,48,56,64,72,80),0))))/100)*((1+(((C590=TRUE)*F590*IF(AND(Inputs!$B$39&lt;&gt;"pvp",Inputs!$B$44&gt;0),(((R590-1)*MIN((Skills!T13*(1+Inputs!$B$35/100)),(1/Q590))+MIN((Skills!T13*(1+Inputs!$B$35/100)),MAX(0,Inputs!$B$44-((R590-1)*(1/Q590)))))/Inputs!$B$44),IF(Inputs!$B$39="pvp",MIN((Skills!T13*(1+Inputs!$B$35/100)),15)/15,MIN(1,(Skills!T13*(1+Inputs!$B$35/100))/(1/Q590)))))+((C591=TRUE)*F591*IF(AND(Inputs!$B$39&lt;&gt;"pvp",Inputs!$B$44&gt;0),(((R591-1)*MIN((Skills!T14*(1+Inputs!$B$35/100)),(1/Q591))+MIN((Skills!T14*(1+Inputs!$B$35/100)),MAX(0,Inputs!$B$44-((R591-1)*(1/Q591)))))/Inputs!$B$44),IF(Inputs!$B$39="pvp",MIN((Skills!T14*(1+Inputs!$B$35/100)),15)/15,MIN(1,(Skills!T14*(1+Inputs!$B$35/100))/(1/Q591)))))+((C592=TRUE)*F592*IF(AND(Inputs!$B$39&lt;&gt;"pvp",Inputs!$B$44&gt;0),(((R592-1)*MIN((Skills!T15*(1+Inputs!$B$35/100)),(1/Q592))+MIN((Skills!T15*(1+Inputs!$B$35/100)),MAX(0,Inputs!$B$44-((R592-1)*(1/Q592)))))/Inputs!$B$44),IF(Inputs!$B$39="pvp",MIN((Skills!T15*(1+Inputs!$B$35/100)),15)/15,MIN(1,(Skills!T15*(1+Inputs!$B$35/100))/(1/Q592)))))+((C593=TRUE)*F593*IF(AND(Inputs!$B$39&lt;&gt;"pvp",Inputs!$B$44&gt;0),(((R593-1)*MIN((Skills!T16*(1+Inputs!$B$35/100)),(1/Q593))+MIN((Skills!T16*(1+Inputs!$B$35/100)),MAX(0,Inputs!$B$44-((R593-1)*(1/Q593)))))/Inputs!$B$44),IF(Inputs!$B$39="pvp",MIN((Skills!T16*(1+Inputs!$B$35/100)),15)/15,MIN(1,(Skills!T16*(1+Inputs!$B$35/100))/(1/Q593)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584)</f>
        <v/>
      </c>
      <c r="L584">
        <f>K584*(MIN(Inputs!$B$23+((C599=TRUE)*(F599-Calc!F22)),(Inputs!$B$24+((C601=TRUE)*(F601-Calc!F24))+(IF(ArtifactsInput!$M$15,CHOOSE(ArtifactsInput!$N$15+1,25,30,35,40,45,50)/100*(Inputs!$B$12-Inputs!$B$12),0))))/100+(Inputs!$B$24+((C601=TRUE)*(F601-Calc!F24))+(IF(ArtifactsInput!$M$15,CHOOSE(ArtifactsInput!$N$15+1,25,30,35,40,45,50)/100*(Inputs!$B$12-Inputs!$B$12),0)))/100)/2</f>
        <v/>
      </c>
      <c r="M584">
        <f>L584*(1+(Inputs!$B$11+0+B611+(IF(ArtifactsInput!$M$24,CHOOSE(ArtifactsInput!$N$24+1,30,36,42,48,54,60)/100*((Inputs!$B$10+1)-Inputs!$B$10),0)+IF(ArtifactsInput!$M$10,CHOOSE(ArtifactsInput!$N$10+1,20,24,28,32,36,40)*(IF(Inputs!$B$39="pvp",MIN(15,15)/15,IF(AND(Inputs!$B$39&lt;&gt;"pvp",Inputs!$B$44&gt;0),MIN(15,Inputs!$B$44)/(Inputs!$B$44),0))),0)+IF(ArtifactsInput!$M$31,1.5*CHOOSE(ArtifactsInput!$N$31+1,20,24,28,32,36,40),0)))/100)</f>
        <v/>
      </c>
      <c r="N584">
        <f>L584*(1-MIN(((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584*(MIN(((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84">
        <f>(1-Summary!$B$11)*T584+Summary!$B$11*V584</f>
        <v/>
      </c>
      <c r="P584">
        <f>IF(B616=0,0,O584/B616)</f>
        <v/>
      </c>
      <c r="Q584">
        <f>IFERROR(1/IF(Inputs!$B$39="pvp",15,MAX(0.1,Skills!D7-IF(TRUE=TRUE,Inputs!$B$33,0))),0)</f>
        <v/>
      </c>
      <c r="R584">
        <f>IF(AND(Inputs!$B$39&lt;&gt;"pvp",Inputs!$B$44&gt;0),IF(MAX(0,Inputs!$B$44-B613)&lt;=0,0,(INT(MAX(0,Inputs!$B$44-B613)/IF(Inputs!$B$39="pvp",15,MAX(0.1,Skills!D7-IF(TRUE=TRUE,Inputs!$B$33,0))))+1)),0)</f>
        <v/>
      </c>
      <c r="S584">
        <f>IFERROR(O584/N584,0)</f>
        <v/>
      </c>
      <c r="T584">
        <f>IF(C584,(H584*N584*IF(AND(Inputs!$B$39&lt;&gt;"pvp",Inputs!$B$44&gt;0),((Skills!G7*((R584-1)*IF(Skills!H7&gt;0,INT(Skills!I7/Skills!H7+0.000000001),1)+IF(Skills!H7&gt;0,INT(MIN(Skills!I7,MAX(0,MAX(0,Inputs!$B$44-B613)-((R584-1)*IF(Inputs!$B$39="pvp",15,MAX(0.1,Skills!D7-IF(TRUE=TRUE,Inputs!$B$33,0))))))/Skills!H7+0.000000001),1)))/Inputs!$B$44),G584*Q584))*IF(Inputs!$B$39="pvp",1,1+(Inputs!$B$21+0+Skills!P7+((C594=TRUE)*F594*IF(AND(Inputs!$B$39&lt;&gt;"pvp",Inputs!$B$44&gt;0),(((R594-1)*MIN((Skills!T17*(1+Inputs!$B$35/100)),(1/Q594))+MIN((Skills!T17*(1+Inputs!$B$35/100)),MAX(0,Inputs!$B$44-((R594-1)*(1/Q594)))))/Inputs!$B$44),IF(Inputs!$B$39="pvp",MIN((Skills!T17*(1+Inputs!$B$35/100)),15)/15,MIN(1,(Skills!T17*(1+Inputs!$B$35/100))/(1/Q594)))))+((C582=TRUE)*IF(Inputs!$B$3&gt;=126,10*MIN(1,15*Q582),0))+((C591=TRUE)*IF(Inputs!$B$39="pvp",20,(1-Summary!$B$11)*(20)+Summary!$B$11*(0))*IF(AND(Inputs!$B$39&lt;&gt;"pvp",Inputs!$B$44&gt;0),(((R591-1)*MIN((Skills!T14*(1+Inputs!$B$35/100)),(1/Q591))+MIN((Skills!T14*(1+Inputs!$B$35/100)),MAX(0,Inputs!$B$44-((R591-1)*(1/Q591)))))/Inputs!$B$44),IF(Inputs!$B$39="pvp",MIN((Skills!T14*(1+Inputs!$B$35/100)),15)/15,MIN(1,(Skills!T14*(1+Inputs!$B$35/100))/(1/Q591)))))+((C590=TRUE)*IF(Inputs!$B$3&gt;=82,IF(Inputs!$B$39="pvp",20,(1-Summary!$B$11)*(20)+Summary!$B$11*(0)),0)*IF(AND(Inputs!$B$39&lt;&gt;"pvp",Inputs!$B$44&gt;0),(((R590-1)*MIN((Skills!T13*(1+Inputs!$B$35/100)),(1/Q590))+MIN((Skills!T13*(1+Inputs!$B$35/100)),MAX(0,Inputs!$B$44-((R590-1)*(1/Q590)))))/Inputs!$B$44),IF(Inputs!$B$39="pvp",MIN((Skills!T13*(1+Inputs!$B$35/100)),15)/15,MIN(1,(Skills!T13*(1+Inputs!$B$35/100))/(1/Q590)))))+(IF(AND(ArtifactsInput!$M$35,Inputs!$B$4&lt;&gt;"Chapter Hunt"),CHOOSE(ArtifactsInput!$N$35+1,15,18,21,24,27,30)*(1-EXP(-(0.2*B608)*5)),0)+IF(AND(ArtifactsInput!$M$22,Inputs!$B$4&lt;&gt;"Chapter Hunt"),CHOOSE(ArtifactsInput!$N$22+1,10,12,14,16,18,20)*((0*(((0.15*B608*5))^0/1)+1*(((0.15*B608*5))^1/1)+2*(((0.15*B608*5))^2/2)+3*(((0.15*B608*5))^3/6)+4*(((0.15*B608*5))^4/24)+5*(((0.15*B608*5))^5/120))/((((0.15*B608*5))^0/1)+(((0.15*B608*5))^1/1)+(((0.15*B608*5))^2/2)+(((0.15*B608*5))^3/6)+(((0.15*B608*5))^4/24)+(((0.15*B608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584*(1-MIN(100,((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584*(MIN(100,((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584*(1-MIN(100,((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584*(MIN(100,((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84">
        <f>IF(C584,(H584*N584*IF(AND(Inputs!$B$39&lt;&gt;"pvp",Inputs!$B$44&gt;0),((Skills!G7*((R584-1)*IF(Skills!H7&gt;0,INT(Skills!I7/Skills!H7+0.000000001),1)+IF(Skills!H7&gt;0,INT(MIN(Skills!I7,MAX(0,MAX(0,Inputs!$B$44-B613)-((R584-1)*IF(Inputs!$B$39="pvp",15,MAX(0.1,Skills!D7-IF(TRUE=TRUE,Inputs!$B$33,0))))))/Skills!H7+0.000000001),1)))/Inputs!$B$44),G584*Q584))*IF(Inputs!$B$39="pvp",1,(1+(Inputs!$B$22+Skills!Q7+((C594=TRUE)*F594*IF(AND(Inputs!$B$39&lt;&gt;"pvp",Inputs!$B$44&gt;0),(((R594-1)*MIN((Skills!T17*(1+Inputs!$B$35/100)),(1/Q594))+MIN((Skills!T17*(1+Inputs!$B$35/100)),MAX(0,Inputs!$B$44-((R594-1)*(1/Q594)))))/Inputs!$B$44),IF(Inputs!$B$39="pvp",MIN((Skills!T17*(1+Inputs!$B$35/100)),15)/15,MIN(1,(Skills!T17*(1+Inputs!$B$35/100))/(1/Q594)))))+((C582=TRUE)*IF(Inputs!$B$3&gt;=126,10*MIN(1,15*Q582),0))+((C591=TRUE)*IF(Inputs!$B$39="pvp",20,(1-Summary!$B$11)*(20)+Summary!$B$11*(0))*IF(AND(Inputs!$B$39&lt;&gt;"pvp",Inputs!$B$44&gt;0),(((R591-1)*MIN((Skills!T14*(1+Inputs!$B$35/100)),(1/Q591))+MIN((Skills!T14*(1+Inputs!$B$35/100)),MAX(0,Inputs!$B$44-((R591-1)*(1/Q591)))))/Inputs!$B$44),IF(Inputs!$B$39="pvp",MIN((Skills!T14*(1+Inputs!$B$35/100)),15)/15,MIN(1,(Skills!T14*(1+Inputs!$B$35/100))/(1/Q591)))))+((C590=TRUE)*IF(Inputs!$B$3&gt;=82,IF(Inputs!$B$39="pvp",20,(1-Summary!$B$11)*(20)+Summary!$B$11*(0)),0)*IF(AND(Inputs!$B$39&lt;&gt;"pvp",Inputs!$B$44&gt;0),(((R590-1)*MIN((Skills!T13*(1+Inputs!$B$35/100)),(1/Q590))+MIN((Skills!T13*(1+Inputs!$B$35/100)),MAX(0,Inputs!$B$44-((R590-1)*(1/Q590)))))/Inputs!$B$44),IF(Inputs!$B$39="pvp",MIN((Skills!T13*(1+Inputs!$B$35/100)),15)/15,MIN(1,(Skills!T13*(1+Inputs!$B$35/100))/(1/Q590)))))+(IF(AND(ArtifactsInput!$M$35,Inputs!$B$4&lt;&gt;"Chapter Hunt"),CHOOSE(ArtifactsInput!$N$35+1,15,18,21,24,27,30)*(1-EXP(-(0.2*B608)*5)),0)+IF(AND(ArtifactsInput!$M$22,Inputs!$B$4&lt;&gt;"Chapter Hunt"),CHOOSE(ArtifactsInput!$N$22+1,10,12,14,16,18,20)*((0*(((0.15*B608*5))^0/1)+1*(((0.15*B608*5))^1/1)+2*(((0.15*B608*5))^2/2)+3*(((0.15*B608*5))^3/6)+4*(((0.15*B608*5))^4/24)+5*(((0.15*B608*5))^5/120))/((((0.15*B608*5))^0/1)+(((0.15*B608*5))^1/1)+(((0.15*B608*5))^2/2)+(((0.15*B608*5))^3/6)+(((0.15*B608*5))^4/24)+(((0.15*B608*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85">
      <c r="A585">
        <f>Skills!A8</f>
        <v/>
      </c>
      <c r="B585">
        <f>Skills!B8</f>
        <v/>
      </c>
      <c r="C585">
        <f>Inputs!$B$3&gt;=75</f>
        <v/>
      </c>
      <c r="D585">
        <f>IF(Skills!C8=1,60+Inputs!$B$26+Inputs!$B$30,IF(Skills!C8=2,90+Inputs!$B$27+Inputs!$B$30,IF(Skills!C8=3,120+Inputs!$B$28+Inputs!$B$30,MAX(0,(Inputs!$B$3-100)*3)+Inputs!$B$29+Inputs!$B$30)))</f>
        <v/>
      </c>
      <c r="E585">
        <f>INDEX(FactorTable!$B$2:$Y$301, MATCH(ROUND(MIN(300,MAX(1,D585)),0), FactorTable!$A$2:$A$301,0), Skills!M8+1)</f>
        <v/>
      </c>
      <c r="F585">
        <f>IF(Skills!N8=TRUE,(Skills!L8/10)*(E585/1000),Skills!L8/10)+Skills!O8</f>
        <v/>
      </c>
      <c r="G585" t="inlineStr"/>
      <c r="H585" t="inlineStr"/>
      <c r="I585" t="inlineStr">
        <is>
          <t>1</t>
        </is>
      </c>
      <c r="J585" t="inlineStr"/>
      <c r="K585" t="inlineStr"/>
      <c r="L585" t="inlineStr"/>
      <c r="M585" t="inlineStr"/>
      <c r="N585" t="inlineStr"/>
      <c r="O585" t="inlineStr"/>
      <c r="P585" t="inlineStr"/>
      <c r="Q585" t="inlineStr"/>
      <c r="R585" t="inlineStr"/>
      <c r="S585" t="inlineStr"/>
    </row>
    <row r="586">
      <c r="A586">
        <f>Skills!A9</f>
        <v/>
      </c>
      <c r="B586">
        <f>Skills!B9</f>
        <v/>
      </c>
      <c r="C586">
        <f>Inputs!$B$3&gt;=60</f>
        <v/>
      </c>
      <c r="D586">
        <f>IF(Skills!C9=1,60+Inputs!$B$26+Inputs!$B$30,IF(Skills!C9=2,90+Inputs!$B$27+Inputs!$B$30,IF(Skills!C9=3,120+Inputs!$B$28+Inputs!$B$30,MAX(0,(Inputs!$B$3-100)*3)+Inputs!$B$29+Inputs!$B$30)))</f>
        <v/>
      </c>
      <c r="E586">
        <f>INDEX(FactorTable!$B$2:$Y$301, MATCH(ROUND(MIN(300,MAX(1,D586)),0), FactorTable!$A$2:$A$301,0), Skills!M9+1)</f>
        <v/>
      </c>
      <c r="F586">
        <f>IF(Skills!N9=TRUE,(Skills!L9/10)*(E586/1000),Skills!L9/10)+Skills!O9</f>
        <v/>
      </c>
      <c r="G586">
        <f>Skills!G9*IF(Skills!H9&gt;0,INT(IF(Inputs!$B$39="pvp",MIN(Skills!I9,15),Skills!I9)/Skills!H9+0.000000001),1)</f>
        <v/>
      </c>
      <c r="H586">
        <f>1-(1-Skills!J9/100)^Skills!K9</f>
        <v/>
      </c>
      <c r="I586" t="inlineStr">
        <is>
          <t>1</t>
        </is>
      </c>
      <c r="J586">
        <f>((Inputs!$B$6*(1+Inputs!$B$7/100))+(((Inputs!$B$13*(1+Inputs!$B$14/100))-(Inputs!$B$13*(1+Inputs!$B$14/100)))+0.25*(Inputs!$B$15-Inputs!$B$15))*(1+Inputs!$B$7/100))*(F586/100)</f>
        <v/>
      </c>
      <c r="K586">
        <f>J586*(1+(((Inputs!$B$13+IF(Inputs!$B$3&gt;=38,(10*INDEX(FactorTable!$B$2:$Y$301, MATCH(ROUND(MIN(300,MAX(1,Inputs!$B$3)),0), FactorTable!$A$2:$A$301,0), 23)/1000)/100*(Inputs!$B$8*(1+Inputs!$B$9/100)),0))*(1+Inputs!$B$14/100))*0.01+Inputs!$B$15*0.0025)/100)*(1+Inputs!$B$16/100)*(1+Inputs!$B$17/100)*(5000/(6000+Inputs!$B$43*(1-(Inputs!$B$20+0)/100)))*(1+(Inputs!$B$25+((C602=TRUE)*(F602-Calc!F25))+((C603=TRUE)*(F603-Calc!F26))+B612)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588=TRUE,F588,0)/100)*(1+(IF(Skills!A9="DARK_IMPALE",Inputs!$B$18+0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gt;=100),MIN(100,(((Inputs!$B$10+1)+0+B606+(ArtifactsInput!$M$24-ArtifactsInput!$M$24)*CHOOSE(ArtifactsInput!$N$24+1,10,12,14,16,18,20)+IF(ArtifactsInput!$M$10,CHOOSE(ArtifactsInput!$N$10+1,15,18,21,24,27,30)*(IF(Inputs!$B$39="pvp",MIN(15,15)/15,IF(AND(Inputs!$B$39&lt;&gt;"pvp",Inputs!$B$44&gt;0),MIN(15,Inputs!$B$44)/(Inputs!$B$44),0))),0)))-100),0))*CHOOSE(ArtifactsInput!$N$42+1,0.6,0.72,0.84,0.96,1.08,1.2))),Inputs!$B$19+((C600=TRUE)*(F600-Calc!F23))+(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gt;=100),CHOOSE(ArtifactsInput!$N$42+1,40,48,56,64,72,80),0))))/100)*((1+(((C590=TRUE)*F590*IF(AND(Inputs!$B$39&lt;&gt;"pvp",Inputs!$B$44&gt;0),(((R590-1)*MIN((Skills!T13*(1+Inputs!$B$35/100)),(1/Q590))+MIN((Skills!T13*(1+Inputs!$B$35/100)),MAX(0,Inputs!$B$44-((R590-1)*(1/Q590)))))/Inputs!$B$44),IF(Inputs!$B$39="pvp",MIN((Skills!T13*(1+Inputs!$B$35/100)),15)/15,MIN(1,(Skills!T13*(1+Inputs!$B$35/100))/(1/Q590)))))+((C591=TRUE)*F591*IF(AND(Inputs!$B$39&lt;&gt;"pvp",Inputs!$B$44&gt;0),(((R591-1)*MIN((Skills!T14*(1+Inputs!$B$35/100)),(1/Q591))+MIN((Skills!T14*(1+Inputs!$B$35/100)),MAX(0,Inputs!$B$44-((R591-1)*(1/Q591)))))/Inputs!$B$44),IF(Inputs!$B$39="pvp",MIN((Skills!T14*(1+Inputs!$B$35/100)),15)/15,MIN(1,(Skills!T14*(1+Inputs!$B$35/100))/(1/Q591)))))+((C592=TRUE)*F592*IF(AND(Inputs!$B$39&lt;&gt;"pvp",Inputs!$B$44&gt;0),(((R592-1)*MIN((Skills!T15*(1+Inputs!$B$35/100)),(1/Q592))+MIN((Skills!T15*(1+Inputs!$B$35/100)),MAX(0,Inputs!$B$44-((R592-1)*(1/Q592)))))/Inputs!$B$44),IF(Inputs!$B$39="pvp",MIN((Skills!T15*(1+Inputs!$B$35/100)),15)/15,MIN(1,(Skills!T15*(1+Inputs!$B$35/100))/(1/Q592)))))+((C593=TRUE)*F593*IF(AND(Inputs!$B$39&lt;&gt;"pvp",Inputs!$B$44&gt;0),(((R593-1)*MIN((Skills!T16*(1+Inputs!$B$35/100)),(1/Q593))+MIN((Skills!T16*(1+Inputs!$B$35/100)),MAX(0,Inputs!$B$44-((R593-1)*(1/Q593)))))/Inputs!$B$44),IF(Inputs!$B$39="pvp",MIN((Skills!T16*(1+Inputs!$B$35/100)),15)/15,MIN(1,(Skills!T16*(1+Inputs!$B$35/100))/(1/Q593)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586)</f>
        <v/>
      </c>
      <c r="L586">
        <f>K586*(MIN(Inputs!$B$23+((C599=TRUE)*(F599-Calc!F22)),(Inputs!$B$24+((C601=TRUE)*(F601-Calc!F24))+(IF(ArtifactsInput!$M$15,CHOOSE(ArtifactsInput!$N$15+1,25,30,35,40,45,50)/100*(Inputs!$B$12-Inputs!$B$12),0))))/100+(Inputs!$B$24+((C601=TRUE)*(F601-Calc!F24))+(IF(ArtifactsInput!$M$15,CHOOSE(ArtifactsInput!$N$15+1,25,30,35,40,45,50)/100*(Inputs!$B$12-Inputs!$B$12),0)))/100)/2</f>
        <v/>
      </c>
      <c r="M586">
        <f>L586*(1+(Inputs!$B$11+0+B611+(IF(ArtifactsInput!$M$24,CHOOSE(ArtifactsInput!$N$24+1,30,36,42,48,54,60)/100*((Inputs!$B$10+1)-Inputs!$B$10),0)+IF(ArtifactsInput!$M$10,CHOOSE(ArtifactsInput!$N$10+1,20,24,28,32,36,40)*(IF(Inputs!$B$39="pvp",MIN(15,15)/15,IF(AND(Inputs!$B$39&lt;&gt;"pvp",Inputs!$B$44&gt;0),MIN(15,Inputs!$B$44)/(Inputs!$B$44),0))),0)+IF(ArtifactsInput!$M$31,1.5*CHOOSE(ArtifactsInput!$N$31+1,20,24,28,32,36,40),0)))/100)</f>
        <v/>
      </c>
      <c r="N586">
        <f>L586*(1-MIN(((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586*(MIN(((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86">
        <f>(1-Summary!$B$11)*T586+Summary!$B$11*V586</f>
        <v/>
      </c>
      <c r="P586">
        <f>IF(B616=0,0,O586/B616)</f>
        <v/>
      </c>
      <c r="Q586">
        <f>IFERROR(1/IF(Inputs!$B$39="pvp",15,MAX(0.1,Skills!D9-IF(TRUE=TRUE,Inputs!$B$33,0))),0)</f>
        <v/>
      </c>
      <c r="R586">
        <f>IF(AND(Inputs!$B$39&lt;&gt;"pvp",Inputs!$B$44&gt;0),IF(MAX(0,Inputs!$B$44-B613)&lt;=0,0,(INT(MAX(0,Inputs!$B$44-B613)/IF(Inputs!$B$39="pvp",15,MAX(0.1,Skills!D9-IF(TRUE=TRUE,Inputs!$B$33,0))))+1)),0)</f>
        <v/>
      </c>
      <c r="S586">
        <f>IFERROR(O586/N586,0)</f>
        <v/>
      </c>
      <c r="T586">
        <f>IF(C586,(H586*N586*IF(AND(Inputs!$B$39&lt;&gt;"pvp",Inputs!$B$44&gt;0),((Skills!G9*((R586-1)*IF(Skills!H9&gt;0,INT(Skills!I9/Skills!H9+0.000000001),1)+IF(Skills!H9&gt;0,INT(MIN(Skills!I9,MAX(0,MAX(0,Inputs!$B$44-B613)-((R586-1)*IF(Inputs!$B$39="pvp",15,MAX(0.1,Skills!D9-IF(TRUE=TRUE,Inputs!$B$33,0))))))/Skills!H9+0.000000001),1)))/Inputs!$B$44),G586*Q586))*IF(Inputs!$B$39="pvp",1,1+(Inputs!$B$21+0+Skills!P9+((C594=TRUE)*F594*IF(AND(Inputs!$B$39&lt;&gt;"pvp",Inputs!$B$44&gt;0),(((R594-1)*MIN((Skills!T17*(1+Inputs!$B$35/100)),(1/Q594))+MIN((Skills!T17*(1+Inputs!$B$35/100)),MAX(0,Inputs!$B$44-((R594-1)*(1/Q594)))))/Inputs!$B$44),IF(Inputs!$B$39="pvp",MIN((Skills!T17*(1+Inputs!$B$35/100)),15)/15,MIN(1,(Skills!T17*(1+Inputs!$B$35/100))/(1/Q594)))))+((C582=TRUE)*IF(Inputs!$B$3&gt;=126,10*MIN(1,15*Q582),0))+((C591=TRUE)*IF(Inputs!$B$39="pvp",20,(1-Summary!$B$11)*(20)+Summary!$B$11*(0))*IF(AND(Inputs!$B$39&lt;&gt;"pvp",Inputs!$B$44&gt;0),(((R591-1)*MIN((Skills!T14*(1+Inputs!$B$35/100)),(1/Q591))+MIN((Skills!T14*(1+Inputs!$B$35/100)),MAX(0,Inputs!$B$44-((R591-1)*(1/Q591)))))/Inputs!$B$44),IF(Inputs!$B$39="pvp",MIN((Skills!T14*(1+Inputs!$B$35/100)),15)/15,MIN(1,(Skills!T14*(1+Inputs!$B$35/100))/(1/Q591)))))+((C590=TRUE)*IF(Inputs!$B$3&gt;=82,IF(Inputs!$B$39="pvp",20,(1-Summary!$B$11)*(20)+Summary!$B$11*(0)),0)*IF(AND(Inputs!$B$39&lt;&gt;"pvp",Inputs!$B$44&gt;0),(((R590-1)*MIN((Skills!T13*(1+Inputs!$B$35/100)),(1/Q590))+MIN((Skills!T13*(1+Inputs!$B$35/100)),MAX(0,Inputs!$B$44-((R590-1)*(1/Q590)))))/Inputs!$B$44),IF(Inputs!$B$39="pvp",MIN((Skills!T13*(1+Inputs!$B$35/100)),15)/15,MIN(1,(Skills!T13*(1+Inputs!$B$35/100))/(1/Q590)))))+(IF(AND(ArtifactsInput!$M$35,Inputs!$B$4&lt;&gt;"Chapter Hunt"),CHOOSE(ArtifactsInput!$N$35+1,15,18,21,24,27,30)*(1-EXP(-(0.2*B608)*5)),0)+IF(AND(ArtifactsInput!$M$22,Inputs!$B$4&lt;&gt;"Chapter Hunt"),CHOOSE(ArtifactsInput!$N$22+1,10,12,14,16,18,20)*((0*(((0.15*B608*5))^0/1)+1*(((0.15*B608*5))^1/1)+2*(((0.15*B608*5))^2/2)+3*(((0.15*B608*5))^3/6)+4*(((0.15*B608*5))^4/24)+5*(((0.15*B608*5))^5/120))/((((0.15*B608*5))^0/1)+(((0.15*B608*5))^1/1)+(((0.15*B608*5))^2/2)+(((0.15*B608*5))^3/6)+(((0.15*B608*5))^4/24)+(((0.15*B608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586*(1-MIN(100,((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586*(MIN(100,((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586*(1-MIN(100,((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586*(MIN(100,((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86">
        <f>IF(C586,(H586*N586*IF(AND(Inputs!$B$39&lt;&gt;"pvp",Inputs!$B$44&gt;0),((Skills!G9*((R586-1)*IF(Skills!H9&gt;0,INT(Skills!I9/Skills!H9+0.000000001),1)+IF(Skills!H9&gt;0,INT(MIN(Skills!I9,MAX(0,MAX(0,Inputs!$B$44-B613)-((R586-1)*IF(Inputs!$B$39="pvp",15,MAX(0.1,Skills!D9-IF(TRUE=TRUE,Inputs!$B$33,0))))))/Skills!H9+0.000000001),1)))/Inputs!$B$44),G586*Q586))*IF(Inputs!$B$39="pvp",1,(1+(Inputs!$B$22+Skills!Q9+((C594=TRUE)*F594*IF(AND(Inputs!$B$39&lt;&gt;"pvp",Inputs!$B$44&gt;0),(((R594-1)*MIN((Skills!T17*(1+Inputs!$B$35/100)),(1/Q594))+MIN((Skills!T17*(1+Inputs!$B$35/100)),MAX(0,Inputs!$B$44-((R594-1)*(1/Q594)))))/Inputs!$B$44),IF(Inputs!$B$39="pvp",MIN((Skills!T17*(1+Inputs!$B$35/100)),15)/15,MIN(1,(Skills!T17*(1+Inputs!$B$35/100))/(1/Q594)))))+((C582=TRUE)*IF(Inputs!$B$3&gt;=126,10*MIN(1,15*Q582),0))+((C591=TRUE)*IF(Inputs!$B$39="pvp",20,(1-Summary!$B$11)*(20)+Summary!$B$11*(0))*IF(AND(Inputs!$B$39&lt;&gt;"pvp",Inputs!$B$44&gt;0),(((R591-1)*MIN((Skills!T14*(1+Inputs!$B$35/100)),(1/Q591))+MIN((Skills!T14*(1+Inputs!$B$35/100)),MAX(0,Inputs!$B$44-((R591-1)*(1/Q591)))))/Inputs!$B$44),IF(Inputs!$B$39="pvp",MIN((Skills!T14*(1+Inputs!$B$35/100)),15)/15,MIN(1,(Skills!T14*(1+Inputs!$B$35/100))/(1/Q591)))))+((C590=TRUE)*IF(Inputs!$B$3&gt;=82,IF(Inputs!$B$39="pvp",20,(1-Summary!$B$11)*(20)+Summary!$B$11*(0)),0)*IF(AND(Inputs!$B$39&lt;&gt;"pvp",Inputs!$B$44&gt;0),(((R590-1)*MIN((Skills!T13*(1+Inputs!$B$35/100)),(1/Q590))+MIN((Skills!T13*(1+Inputs!$B$35/100)),MAX(0,Inputs!$B$44-((R590-1)*(1/Q590)))))/Inputs!$B$44),IF(Inputs!$B$39="pvp",MIN((Skills!T13*(1+Inputs!$B$35/100)),15)/15,MIN(1,(Skills!T13*(1+Inputs!$B$35/100))/(1/Q590)))))+(IF(AND(ArtifactsInput!$M$35,Inputs!$B$4&lt;&gt;"Chapter Hunt"),CHOOSE(ArtifactsInput!$N$35+1,15,18,21,24,27,30)*(1-EXP(-(0.2*B608)*5)),0)+IF(AND(ArtifactsInput!$M$22,Inputs!$B$4&lt;&gt;"Chapter Hunt"),CHOOSE(ArtifactsInput!$N$22+1,10,12,14,16,18,20)*((0*(((0.15*B608*5))^0/1)+1*(((0.15*B608*5))^1/1)+2*(((0.15*B608*5))^2/2)+3*(((0.15*B608*5))^3/6)+4*(((0.15*B608*5))^4/24)+5*(((0.15*B608*5))^5/120))/((((0.15*B608*5))^0/1)+(((0.15*B608*5))^1/1)+(((0.15*B608*5))^2/2)+(((0.15*B608*5))^3/6)+(((0.15*B608*5))^4/24)+(((0.15*B608*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87">
      <c r="A587">
        <f>Skills!A10</f>
        <v/>
      </c>
      <c r="B587">
        <f>Skills!B10</f>
        <v/>
      </c>
      <c r="C587">
        <f>Inputs!$B$3&gt;=110</f>
        <v/>
      </c>
      <c r="D587">
        <f>IF(Skills!C10=1,60+Inputs!$B$26+Inputs!$B$30,IF(Skills!C10=2,90+Inputs!$B$27+Inputs!$B$30,IF(Skills!C10=3,120+Inputs!$B$28+Inputs!$B$30,MAX(0,(Inputs!$B$3-100)*3)+Inputs!$B$29+Inputs!$B$30)))</f>
        <v/>
      </c>
      <c r="E587">
        <f>INDEX(FactorTable!$B$2:$Y$301, MATCH(ROUND(MIN(300,MAX(1,D587)),0), FactorTable!$A$2:$A$301,0), Skills!M10+1)</f>
        <v/>
      </c>
      <c r="F587">
        <f>IF(Skills!N10=TRUE,(Skills!L10/10)*(E587/1000),Skills!L10/10)+Skills!O10</f>
        <v/>
      </c>
      <c r="G587">
        <f>Skills!G10*IF(Skills!H10&gt;0,INT(IF(Inputs!$B$39="pvp",MIN(Skills!I10,15),Skills!I10)/Skills!H10+0.000000001),1)</f>
        <v/>
      </c>
      <c r="H587">
        <f>1-(1-Skills!J10/100)^Skills!K10</f>
        <v/>
      </c>
      <c r="I587" t="inlineStr">
        <is>
          <t>1</t>
        </is>
      </c>
      <c r="J587">
        <f>((Inputs!$B$6*(1+Inputs!$B$7/100))+(((Inputs!$B$13*(1+Inputs!$B$14/100))-(Inputs!$B$13*(1+Inputs!$B$14/100)))+0.25*(Inputs!$B$15-Inputs!$B$15))*(1+Inputs!$B$7/100))*(F587/100)</f>
        <v/>
      </c>
      <c r="K587">
        <f>J587*(1+(((Inputs!$B$13+IF(Inputs!$B$3&gt;=38,(10*INDEX(FactorTable!$B$2:$Y$301, MATCH(ROUND(MIN(300,MAX(1,Inputs!$B$3)),0), FactorTable!$A$2:$A$301,0), 23)/1000)/100*(Inputs!$B$8*(1+Inputs!$B$9/100)),0))*(1+Inputs!$B$14/100))*0.01+Inputs!$B$15*0.0025)/100)*(1+Inputs!$B$16/100)*(1+Inputs!$B$17/100)*(5000/(6000+Inputs!$B$43*(1-(Inputs!$B$20+0)/100)))*(1+(Inputs!$B$25+((C602=TRUE)*(F602-Calc!F25))+((C603=TRUE)*(F603-Calc!F26))+B612)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gt;=100),MIN(100,(((Inputs!$B$10+1)+0+B606+(ArtifactsInput!$M$24-ArtifactsInput!$M$24)*CHOOSE(ArtifactsInput!$N$24+1,10,12,14,16,18,20)+IF(ArtifactsInput!$M$10,CHOOSE(ArtifactsInput!$N$10+1,15,18,21,24,27,30)*(IF(Inputs!$B$39="pvp",MIN(15,15)/15,IF(AND(Inputs!$B$39&lt;&gt;"pvp",Inputs!$B$44&gt;0),MIN(15,Inputs!$B$44)/(Inputs!$B$44),0))),0)))-100),0))*CHOOSE(ArtifactsInput!$N$42+1,0.6,0.72,0.84,0.96,1.08,1.2))),Inputs!$B$19+((C600=TRUE)*(F600-Calc!F23))+(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gt;=100),CHOOSE(ArtifactsInput!$N$42+1,40,48,56,64,72,80),0))))/100)*((1+(((C590=TRUE)*F590*IF(AND(Inputs!$B$39&lt;&gt;"pvp",Inputs!$B$44&gt;0),(((R590-1)*MIN((Skills!T13*(1+Inputs!$B$35/100)),(1/Q590))+MIN((Skills!T13*(1+Inputs!$B$35/100)),MAX(0,Inputs!$B$44-((R590-1)*(1/Q590)))))/Inputs!$B$44),IF(Inputs!$B$39="pvp",MIN((Skills!T13*(1+Inputs!$B$35/100)),15)/15,MIN(1,(Skills!T13*(1+Inputs!$B$35/100))/(1/Q590)))))+((C591=TRUE)*F591*IF(AND(Inputs!$B$39&lt;&gt;"pvp",Inputs!$B$44&gt;0),(((R591-1)*MIN((Skills!T14*(1+Inputs!$B$35/100)),(1/Q591))+MIN((Skills!T14*(1+Inputs!$B$35/100)),MAX(0,Inputs!$B$44-((R591-1)*(1/Q591)))))/Inputs!$B$44),IF(Inputs!$B$39="pvp",MIN((Skills!T14*(1+Inputs!$B$35/100)),15)/15,MIN(1,(Skills!T14*(1+Inputs!$B$35/100))/(1/Q591)))))+((C592=TRUE)*F592*IF(AND(Inputs!$B$39&lt;&gt;"pvp",Inputs!$B$44&gt;0),(((R592-1)*MIN((Skills!T15*(1+Inputs!$B$35/100)),(1/Q592))+MIN((Skills!T15*(1+Inputs!$B$35/100)),MAX(0,Inputs!$B$44-((R592-1)*(1/Q592)))))/Inputs!$B$44),IF(Inputs!$B$39="pvp",MIN((Skills!T15*(1+Inputs!$B$35/100)),15)/15,MIN(1,(Skills!T15*(1+Inputs!$B$35/100))/(1/Q592)))))+((C593=TRUE)*F593*IF(AND(Inputs!$B$39&lt;&gt;"pvp",Inputs!$B$44&gt;0),(((R593-1)*MIN((Skills!T16*(1+Inputs!$B$35/100)),(1/Q593))+MIN((Skills!T16*(1+Inputs!$B$35/100)),MAX(0,Inputs!$B$44-((R593-1)*(1/Q593)))))/Inputs!$B$44),IF(Inputs!$B$39="pvp",MIN((Skills!T16*(1+Inputs!$B$35/100)),15)/15,MIN(1,(Skills!T16*(1+Inputs!$B$35/100))/(1/Q593)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587)</f>
        <v/>
      </c>
      <c r="L587">
        <f>K587*(MIN(Inputs!$B$23+((C599=TRUE)*(F599-Calc!F22)),(Inputs!$B$24+((C601=TRUE)*(F601-Calc!F24))+(IF(ArtifactsInput!$M$15,CHOOSE(ArtifactsInput!$N$15+1,25,30,35,40,45,50)/100*(Inputs!$B$12-Inputs!$B$12),0))))/100+(Inputs!$B$24+((C601=TRUE)*(F601-Calc!F24))+(IF(ArtifactsInput!$M$15,CHOOSE(ArtifactsInput!$N$15+1,25,30,35,40,45,50)/100*(Inputs!$B$12-Inputs!$B$12),0)))/100)/2</f>
        <v/>
      </c>
      <c r="M587">
        <f>L587*(1+(Inputs!$B$11+0+B611+(IF(ArtifactsInput!$M$24,CHOOSE(ArtifactsInput!$N$24+1,30,36,42,48,54,60)/100*((Inputs!$B$10+1)-Inputs!$B$10),0)+IF(ArtifactsInput!$M$10,CHOOSE(ArtifactsInput!$N$10+1,20,24,28,32,36,40)*(IF(Inputs!$B$39="pvp",MIN(15,15)/15,IF(AND(Inputs!$B$39&lt;&gt;"pvp",Inputs!$B$44&gt;0),MIN(15,Inputs!$B$44)/(Inputs!$B$44),0))),0)+IF(ArtifactsInput!$M$31,1.5*CHOOSE(ArtifactsInput!$N$31+1,20,24,28,32,36,40),0)))/100)</f>
        <v/>
      </c>
      <c r="N587">
        <f>L587*(1-MIN(((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587*(MIN(((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87">
        <f>(1-Summary!$B$11)*T587+Summary!$B$11*V587</f>
        <v/>
      </c>
      <c r="P587">
        <f>IF(B616=0,0,O587/B616)</f>
        <v/>
      </c>
      <c r="Q587">
        <f>IFERROR(1/IF(Inputs!$B$39="pvp",15,MAX(0.1,Skills!D10-IF(TRUE=TRUE,Inputs!$B$33,0))),0)</f>
        <v/>
      </c>
      <c r="R587">
        <f>IF(AND(Inputs!$B$39&lt;&gt;"pvp",Inputs!$B$44&gt;0),IF(MAX(0,Inputs!$B$44-B613)&lt;=0,0,(INT(MAX(0,Inputs!$B$44-B613)/IF(Inputs!$B$39="pvp",15,MAX(0.1,Skills!D10-IF(TRUE=TRUE,Inputs!$B$33,0))))+1)),0)</f>
        <v/>
      </c>
      <c r="S587">
        <f>IFERROR(O587/N587,0)</f>
        <v/>
      </c>
      <c r="T587">
        <f>IF(C587,(H587*N587*IF(AND(Inputs!$B$39&lt;&gt;"pvp",Inputs!$B$44&gt;0),((Skills!G10*((R587-1)*IF(Skills!H10&gt;0,INT(Skills!I10/Skills!H10+0.000000001),1)+IF(Skills!H10&gt;0,INT(MIN(Skills!I10,MAX(0,MAX(0,Inputs!$B$44-B613)-((R587-1)*IF(Inputs!$B$39="pvp",15,MAX(0.1,Skills!D10-IF(TRUE=TRUE,Inputs!$B$33,0))))))/Skills!H10+0.000000001),1)))/Inputs!$B$44),G587*Q587))*IF(Inputs!$B$39="pvp",1,1+(Inputs!$B$21+0+Skills!P10+((C594=TRUE)*F594*IF(AND(Inputs!$B$39&lt;&gt;"pvp",Inputs!$B$44&gt;0),(((R594-1)*MIN((Skills!T17*(1+Inputs!$B$35/100)),(1/Q594))+MIN((Skills!T17*(1+Inputs!$B$35/100)),MAX(0,Inputs!$B$44-((R594-1)*(1/Q594)))))/Inputs!$B$44),IF(Inputs!$B$39="pvp",MIN((Skills!T17*(1+Inputs!$B$35/100)),15)/15,MIN(1,(Skills!T17*(1+Inputs!$B$35/100))/(1/Q594)))))+((C582=TRUE)*IF(Inputs!$B$3&gt;=126,10*MIN(1,15*Q582),0))+((C591=TRUE)*IF(Inputs!$B$39="pvp",20,(1-Summary!$B$11)*(20)+Summary!$B$11*(0))*IF(AND(Inputs!$B$39&lt;&gt;"pvp",Inputs!$B$44&gt;0),(((R591-1)*MIN((Skills!T14*(1+Inputs!$B$35/100)),(1/Q591))+MIN((Skills!T14*(1+Inputs!$B$35/100)),MAX(0,Inputs!$B$44-((R591-1)*(1/Q591)))))/Inputs!$B$44),IF(Inputs!$B$39="pvp",MIN((Skills!T14*(1+Inputs!$B$35/100)),15)/15,MIN(1,(Skills!T14*(1+Inputs!$B$35/100))/(1/Q591)))))+((C590=TRUE)*IF(Inputs!$B$3&gt;=82,IF(Inputs!$B$39="pvp",20,(1-Summary!$B$11)*(20)+Summary!$B$11*(0)),0)*IF(AND(Inputs!$B$39&lt;&gt;"pvp",Inputs!$B$44&gt;0),(((R590-1)*MIN((Skills!T13*(1+Inputs!$B$35/100)),(1/Q590))+MIN((Skills!T13*(1+Inputs!$B$35/100)),MAX(0,Inputs!$B$44-((R590-1)*(1/Q590)))))/Inputs!$B$44),IF(Inputs!$B$39="pvp",MIN((Skills!T13*(1+Inputs!$B$35/100)),15)/15,MIN(1,(Skills!T13*(1+Inputs!$B$35/100))/(1/Q590)))))+(IF(AND(ArtifactsInput!$M$35,Inputs!$B$4&lt;&gt;"Chapter Hunt"),CHOOSE(ArtifactsInput!$N$35+1,15,18,21,24,27,30)*(1-EXP(-(0.2*B608)*5)),0)+IF(AND(ArtifactsInput!$M$22,Inputs!$B$4&lt;&gt;"Chapter Hunt"),CHOOSE(ArtifactsInput!$N$22+1,10,12,14,16,18,20)*((0*(((0.15*B608*5))^0/1)+1*(((0.15*B608*5))^1/1)+2*(((0.15*B608*5))^2/2)+3*(((0.15*B608*5))^3/6)+4*(((0.15*B608*5))^4/24)+5*(((0.15*B608*5))^5/120))/((((0.15*B608*5))^0/1)+(((0.15*B608*5))^1/1)+(((0.15*B608*5))^2/2)+(((0.15*B608*5))^3/6)+(((0.15*B608*5))^4/24)+(((0.15*B608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587*(1-MIN(100,((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587*(MIN(100,((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587*(1-MIN(100,((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587*(MIN(100,((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87">
        <f>IF(C587,(H587*N587*IF(AND(Inputs!$B$39&lt;&gt;"pvp",Inputs!$B$44&gt;0),((Skills!G10*((R587-1)*IF(Skills!H10&gt;0,INT(Skills!I10/Skills!H10+0.000000001),1)+IF(Skills!H10&gt;0,INT(MIN(Skills!I10,MAX(0,MAX(0,Inputs!$B$44-B613)-((R587-1)*IF(Inputs!$B$39="pvp",15,MAX(0.1,Skills!D10-IF(TRUE=TRUE,Inputs!$B$33,0))))))/Skills!H10+0.000000001),1)))/Inputs!$B$44),G587*Q587))*IF(Inputs!$B$39="pvp",1,(1+(Inputs!$B$22+Skills!Q10+((C594=TRUE)*F594*IF(AND(Inputs!$B$39&lt;&gt;"pvp",Inputs!$B$44&gt;0),(((R594-1)*MIN((Skills!T17*(1+Inputs!$B$35/100)),(1/Q594))+MIN((Skills!T17*(1+Inputs!$B$35/100)),MAX(0,Inputs!$B$44-((R594-1)*(1/Q594)))))/Inputs!$B$44),IF(Inputs!$B$39="pvp",MIN((Skills!T17*(1+Inputs!$B$35/100)),15)/15,MIN(1,(Skills!T17*(1+Inputs!$B$35/100))/(1/Q594)))))+((C582=TRUE)*IF(Inputs!$B$3&gt;=126,10*MIN(1,15*Q582),0))+((C591=TRUE)*IF(Inputs!$B$39="pvp",20,(1-Summary!$B$11)*(20)+Summary!$B$11*(0))*IF(AND(Inputs!$B$39&lt;&gt;"pvp",Inputs!$B$44&gt;0),(((R591-1)*MIN((Skills!T14*(1+Inputs!$B$35/100)),(1/Q591))+MIN((Skills!T14*(1+Inputs!$B$35/100)),MAX(0,Inputs!$B$44-((R591-1)*(1/Q591)))))/Inputs!$B$44),IF(Inputs!$B$39="pvp",MIN((Skills!T14*(1+Inputs!$B$35/100)),15)/15,MIN(1,(Skills!T14*(1+Inputs!$B$35/100))/(1/Q591)))))+((C590=TRUE)*IF(Inputs!$B$3&gt;=82,IF(Inputs!$B$39="pvp",20,(1-Summary!$B$11)*(20)+Summary!$B$11*(0)),0)*IF(AND(Inputs!$B$39&lt;&gt;"pvp",Inputs!$B$44&gt;0),(((R590-1)*MIN((Skills!T13*(1+Inputs!$B$35/100)),(1/Q590))+MIN((Skills!T13*(1+Inputs!$B$35/100)),MAX(0,Inputs!$B$44-((R590-1)*(1/Q590)))))/Inputs!$B$44),IF(Inputs!$B$39="pvp",MIN((Skills!T13*(1+Inputs!$B$35/100)),15)/15,MIN(1,(Skills!T13*(1+Inputs!$B$35/100))/(1/Q590)))))+(IF(AND(ArtifactsInput!$M$35,Inputs!$B$4&lt;&gt;"Chapter Hunt"),CHOOSE(ArtifactsInput!$N$35+1,15,18,21,24,27,30)*(1-EXP(-(0.2*B608)*5)),0)+IF(AND(ArtifactsInput!$M$22,Inputs!$B$4&lt;&gt;"Chapter Hunt"),CHOOSE(ArtifactsInput!$N$22+1,10,12,14,16,18,20)*((0*(((0.15*B608*5))^0/1)+1*(((0.15*B608*5))^1/1)+2*(((0.15*B608*5))^2/2)+3*(((0.15*B608*5))^3/6)+4*(((0.15*B608*5))^4/24)+5*(((0.15*B608*5))^5/120))/((((0.15*B608*5))^0/1)+(((0.15*B608*5))^1/1)+(((0.15*B608*5))^2/2)+(((0.15*B608*5))^3/6)+(((0.15*B608*5))^4/24)+(((0.15*B608*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88">
      <c r="A588">
        <f>Skills!A11</f>
        <v/>
      </c>
      <c r="B588">
        <f>Skills!B11</f>
        <v/>
      </c>
      <c r="C588">
        <f>Inputs!$B$3&gt;=100</f>
        <v/>
      </c>
      <c r="D588">
        <f>IF(Skills!C11=1,60+Inputs!$B$26+Inputs!$B$30,IF(Skills!C11=2,90+Inputs!$B$27+Inputs!$B$30,IF(Skills!C11=3,120+Inputs!$B$28+Inputs!$B$30,MAX(0,(Inputs!$B$3-100)*3)+Inputs!$B$29+Inputs!$B$30)))</f>
        <v/>
      </c>
      <c r="E588">
        <f>INDEX(FactorTable!$B$2:$Y$301, MATCH(ROUND(MIN(300,MAX(1,D588)),0), FactorTable!$A$2:$A$301,0), Skills!M11+1)</f>
        <v/>
      </c>
      <c r="F588">
        <f>IF(Skills!N11=TRUE,(Skills!L11/10)*(E588/1000),Skills!L11/10)+Skills!O11</f>
        <v/>
      </c>
      <c r="G588" t="inlineStr"/>
      <c r="H588" t="inlineStr"/>
      <c r="I588" t="inlineStr">
        <is>
          <t>1</t>
        </is>
      </c>
      <c r="J588" t="inlineStr"/>
      <c r="K588" t="inlineStr"/>
      <c r="L588" t="inlineStr"/>
      <c r="M588" t="inlineStr"/>
      <c r="N588" t="inlineStr"/>
      <c r="O588" t="inlineStr"/>
      <c r="P588" t="inlineStr"/>
      <c r="Q588" t="inlineStr"/>
      <c r="R588" t="inlineStr"/>
      <c r="S588" t="inlineStr"/>
    </row>
    <row r="589">
      <c r="A589">
        <f>Skills!A12</f>
        <v/>
      </c>
      <c r="B589">
        <f>Skills!B12</f>
        <v/>
      </c>
      <c r="C589">
        <f>Inputs!$B$3&gt;=63</f>
        <v/>
      </c>
      <c r="D589">
        <f>IF(Skills!C12=1,60+Inputs!$B$26+Inputs!$B$30,IF(Skills!C12=2,90+Inputs!$B$27+Inputs!$B$30,IF(Skills!C12=3,120+Inputs!$B$28+Inputs!$B$30,MAX(0,(Inputs!$B$3-100)*3)+Inputs!$B$29+Inputs!$B$30)))</f>
        <v/>
      </c>
      <c r="E589">
        <f>INDEX(FactorTable!$B$2:$Y$301, MATCH(ROUND(MIN(300,MAX(1,D589)),0), FactorTable!$A$2:$A$301,0), Skills!M12+1)</f>
        <v/>
      </c>
      <c r="F589">
        <f>IF(Skills!N12=TRUE,(Skills!L12/10)*(E589/1000),Skills!L12/10)+Skills!O12</f>
        <v/>
      </c>
      <c r="G589">
        <f>Skills!G12*IF(Skills!H12&gt;0,INT(IF(Inputs!$B$39="pvp",MIN(Skills!I12,15),Skills!I12)/Skills!H12+0.000000001),1)</f>
        <v/>
      </c>
      <c r="H589">
        <f>1-(1-Skills!J12/100)^Skills!K12</f>
        <v/>
      </c>
      <c r="I589" t="inlineStr">
        <is>
          <t>1</t>
        </is>
      </c>
      <c r="J589">
        <f>((Inputs!$B$6*(1+Inputs!$B$7/100))+(((Inputs!$B$13*(1+Inputs!$B$14/100))-(Inputs!$B$13*(1+Inputs!$B$14/100)))+0.25*(Inputs!$B$15-Inputs!$B$15))*(1+Inputs!$B$7/100))*(F589/100)</f>
        <v/>
      </c>
      <c r="K589">
        <f>J589*(1+(((Inputs!$B$13+IF(Inputs!$B$3&gt;=38,(10*INDEX(FactorTable!$B$2:$Y$301, MATCH(ROUND(MIN(300,MAX(1,Inputs!$B$3)),0), FactorTable!$A$2:$A$301,0), 23)/1000)/100*(Inputs!$B$8*(1+Inputs!$B$9/100)),0))*(1+Inputs!$B$14/100))*0.01+Inputs!$B$15*0.0025)/100)*(1+Inputs!$B$16/100)*(1+Inputs!$B$17/100)*(5000/(6000+Inputs!$B$43*(1-(Inputs!$B$20+0)/100)))*(1+(Inputs!$B$25+((C602=TRUE)*(F602-Calc!F25))+((C603=TRUE)*(F603-Calc!F26))+B612)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588=TRUE,F588,0)/100)*(1+(IF(Skills!A12="DARK_IMPALE",Inputs!$B$18+0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gt;=100),MIN(100,(((Inputs!$B$10+1)+0+B606+(ArtifactsInput!$M$24-ArtifactsInput!$M$24)*CHOOSE(ArtifactsInput!$N$24+1,10,12,14,16,18,20)+IF(ArtifactsInput!$M$10,CHOOSE(ArtifactsInput!$N$10+1,15,18,21,24,27,30)*(IF(Inputs!$B$39="pvp",MIN(15,15)/15,IF(AND(Inputs!$B$39&lt;&gt;"pvp",Inputs!$B$44&gt;0),MIN(15,Inputs!$B$44)/(Inputs!$B$44),0))),0)))-100),0))*CHOOSE(ArtifactsInput!$N$42+1,0.6,0.72,0.84,0.96,1.08,1.2))),Inputs!$B$19+((C600=TRUE)*(F600-Calc!F23))+(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gt;=100),CHOOSE(ArtifactsInput!$N$42+1,40,48,56,64,72,80),0))))/100)*((1+(((C590=TRUE)*F590*IF(AND(Inputs!$B$39&lt;&gt;"pvp",Inputs!$B$44&gt;0),(((R590-1)*MIN((Skills!T13*(1+Inputs!$B$35/100)),(1/Q590))+MIN((Skills!T13*(1+Inputs!$B$35/100)),MAX(0,Inputs!$B$44-((R590-1)*(1/Q590)))))/Inputs!$B$44),IF(Inputs!$B$39="pvp",MIN((Skills!T13*(1+Inputs!$B$35/100)),15)/15,MIN(1,(Skills!T13*(1+Inputs!$B$35/100))/(1/Q590)))))+((C591=TRUE)*F591*IF(AND(Inputs!$B$39&lt;&gt;"pvp",Inputs!$B$44&gt;0),(((R591-1)*MIN((Skills!T14*(1+Inputs!$B$35/100)),(1/Q591))+MIN((Skills!T14*(1+Inputs!$B$35/100)),MAX(0,Inputs!$B$44-((R591-1)*(1/Q591)))))/Inputs!$B$44),IF(Inputs!$B$39="pvp",MIN((Skills!T14*(1+Inputs!$B$35/100)),15)/15,MIN(1,(Skills!T14*(1+Inputs!$B$35/100))/(1/Q591)))))+((C592=TRUE)*F592*IF(AND(Inputs!$B$39&lt;&gt;"pvp",Inputs!$B$44&gt;0),(((R592-1)*MIN((Skills!T15*(1+Inputs!$B$35/100)),(1/Q592))+MIN((Skills!T15*(1+Inputs!$B$35/100)),MAX(0,Inputs!$B$44-((R592-1)*(1/Q592)))))/Inputs!$B$44),IF(Inputs!$B$39="pvp",MIN((Skills!T15*(1+Inputs!$B$35/100)),15)/15,MIN(1,(Skills!T15*(1+Inputs!$B$35/100))/(1/Q592)))))+((C593=TRUE)*F593*IF(AND(Inputs!$B$39&lt;&gt;"pvp",Inputs!$B$44&gt;0),(((R593-1)*MIN((Skills!T16*(1+Inputs!$B$35/100)),(1/Q593))+MIN((Skills!T16*(1+Inputs!$B$35/100)),MAX(0,Inputs!$B$44-((R593-1)*(1/Q593)))))/Inputs!$B$44),IF(Inputs!$B$39="pvp",MIN((Skills!T16*(1+Inputs!$B$35/100)),15)/15,MIN(1,(Skills!T16*(1+Inputs!$B$35/100))/(1/Q593)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589)</f>
        <v/>
      </c>
      <c r="L589">
        <f>K589*(MIN(Inputs!$B$23+((C599=TRUE)*(F599-Calc!F22)),(Inputs!$B$24+((C601=TRUE)*(F601-Calc!F24))+(IF(ArtifactsInput!$M$15,CHOOSE(ArtifactsInput!$N$15+1,25,30,35,40,45,50)/100*(Inputs!$B$12-Inputs!$B$12),0))))/100+(Inputs!$B$24+((C601=TRUE)*(F601-Calc!F24))+(IF(ArtifactsInput!$M$15,CHOOSE(ArtifactsInput!$N$15+1,25,30,35,40,45,50)/100*(Inputs!$B$12-Inputs!$B$12),0)))/100)/2</f>
        <v/>
      </c>
      <c r="M589">
        <f>L589*(1+(Inputs!$B$11+0+B611+(IF(ArtifactsInput!$M$24,CHOOSE(ArtifactsInput!$N$24+1,30,36,42,48,54,60)/100*((Inputs!$B$10+1)-Inputs!$B$10),0)+IF(ArtifactsInput!$M$10,CHOOSE(ArtifactsInput!$N$10+1,20,24,28,32,36,40)*(IF(Inputs!$B$39="pvp",MIN(15,15)/15,IF(AND(Inputs!$B$39&lt;&gt;"pvp",Inputs!$B$44&gt;0),MIN(15,Inputs!$B$44)/(Inputs!$B$44),0))),0)+IF(ArtifactsInput!$M$31,1.5*CHOOSE(ArtifactsInput!$N$31+1,20,24,28,32,36,40),0)))/100)</f>
        <v/>
      </c>
      <c r="N589">
        <f>L589*(1-MIN(((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589*(MIN(((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89">
        <f>(1-Summary!$B$11)*T589+Summary!$B$11*V589</f>
        <v/>
      </c>
      <c r="P589">
        <f>IF(B616=0,0,O589/B616)</f>
        <v/>
      </c>
      <c r="Q589">
        <f>IFERROR(1/IF(Inputs!$B$39="pvp",15,MAX(0.1,Skills!D12-IF(TRUE=TRUE,Inputs!$B$33,0))),0)</f>
        <v/>
      </c>
      <c r="R589">
        <f>IF(AND(Inputs!$B$39&lt;&gt;"pvp",Inputs!$B$44&gt;0),IF(MAX(0,Inputs!$B$44-B613)&lt;=0,0,(INT(MAX(0,Inputs!$B$44-B613)/IF(Inputs!$B$39="pvp",15,MAX(0.1,Skills!D12-IF(TRUE=TRUE,Inputs!$B$33,0))))+1)),0)</f>
        <v/>
      </c>
      <c r="S589">
        <f>IFERROR(O589/N589,0)</f>
        <v/>
      </c>
      <c r="T589">
        <f>IF(C589,(H589*N589*IF(AND(Inputs!$B$39&lt;&gt;"pvp",Inputs!$B$44&gt;0),((Skills!G12*((R589-1)*IF(Skills!H12&gt;0,INT(Skills!I12/Skills!H12+0.000000001),1)+IF(Skills!H12&gt;0,INT(MIN(Skills!I12,MAX(0,MAX(0,Inputs!$B$44-B613)-((R589-1)*IF(Inputs!$B$39="pvp",15,MAX(0.1,Skills!D12-IF(TRUE=TRUE,Inputs!$B$33,0))))))/Skills!H12+0.000000001),1)))/Inputs!$B$44),G589*Q589))*IF(Inputs!$B$39="pvp",1,1+(Inputs!$B$21+0+Skills!P12+((C594=TRUE)*F594*IF(AND(Inputs!$B$39&lt;&gt;"pvp",Inputs!$B$44&gt;0),(((R594-1)*MIN((Skills!T17*(1+Inputs!$B$35/100)),(1/Q594))+MIN((Skills!T17*(1+Inputs!$B$35/100)),MAX(0,Inputs!$B$44-((R594-1)*(1/Q594)))))/Inputs!$B$44),IF(Inputs!$B$39="pvp",MIN((Skills!T17*(1+Inputs!$B$35/100)),15)/15,MIN(1,(Skills!T17*(1+Inputs!$B$35/100))/(1/Q594)))))+((C582=TRUE)*IF(Inputs!$B$3&gt;=126,10*MIN(1,15*Q582),0))+((C591=TRUE)*IF(Inputs!$B$39="pvp",20,(1-Summary!$B$11)*(20)+Summary!$B$11*(0))*IF(AND(Inputs!$B$39&lt;&gt;"pvp",Inputs!$B$44&gt;0),(((R591-1)*MIN((Skills!T14*(1+Inputs!$B$35/100)),(1/Q591))+MIN((Skills!T14*(1+Inputs!$B$35/100)),MAX(0,Inputs!$B$44-((R591-1)*(1/Q591)))))/Inputs!$B$44),IF(Inputs!$B$39="pvp",MIN((Skills!T14*(1+Inputs!$B$35/100)),15)/15,MIN(1,(Skills!T14*(1+Inputs!$B$35/100))/(1/Q591)))))+((C590=TRUE)*IF(Inputs!$B$3&gt;=82,IF(Inputs!$B$39="pvp",20,(1-Summary!$B$11)*(20)+Summary!$B$11*(0)),0)*IF(AND(Inputs!$B$39&lt;&gt;"pvp",Inputs!$B$44&gt;0),(((R590-1)*MIN((Skills!T13*(1+Inputs!$B$35/100)),(1/Q590))+MIN((Skills!T13*(1+Inputs!$B$35/100)),MAX(0,Inputs!$B$44-((R590-1)*(1/Q590)))))/Inputs!$B$44),IF(Inputs!$B$39="pvp",MIN((Skills!T13*(1+Inputs!$B$35/100)),15)/15,MIN(1,(Skills!T13*(1+Inputs!$B$35/100))/(1/Q590)))))+(IF(AND(ArtifactsInput!$M$35,Inputs!$B$4&lt;&gt;"Chapter Hunt"),CHOOSE(ArtifactsInput!$N$35+1,15,18,21,24,27,30)*(1-EXP(-(0.2*B608)*5)),0)+IF(AND(ArtifactsInput!$M$22,Inputs!$B$4&lt;&gt;"Chapter Hunt"),CHOOSE(ArtifactsInput!$N$22+1,10,12,14,16,18,20)*((0*(((0.15*B608*5))^0/1)+1*(((0.15*B608*5))^1/1)+2*(((0.15*B608*5))^2/2)+3*(((0.15*B608*5))^3/6)+4*(((0.15*B608*5))^4/24)+5*(((0.15*B608*5))^5/120))/((((0.15*B608*5))^0/1)+(((0.15*B608*5))^1/1)+(((0.15*B608*5))^2/2)+(((0.15*B608*5))^3/6)+(((0.15*B608*5))^4/24)+(((0.15*B608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589*(1-MIN(100,((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589*(MIN(100,((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589*(1-MIN(100,((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589*(MIN(100,((Inputs!$B$10+1)+0+B606+(ArtifactsInput!$M$24-ArtifactsInput!$M$24)*CHOOSE(ArtifactsInput!$N$24+1,10,12,14,16,18,20)+(IF(AND(Inputs!$B$39&lt;&gt;"pvp",Inputs!$B$44=0),1,IF(IF(Inputs!$B$39="pvp",15,Inputs!$B$44)-(B613)&lt;=0,1,MAX(0,IF(Inputs!$B$39="pvp",15,Inputs!$B$44)-MAX(5,B613))/(IF(Inputs!$B$39="pvp",15,Inputs!$B$44)-(B613))))*IF(AND(ArtifactsInput!$M$42,(((Inputs!$B$10+1)+0+B606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589">
        <f>IF(C589,(H589*N589*IF(AND(Inputs!$B$39&lt;&gt;"pvp",Inputs!$B$44&gt;0),((Skills!G12*((R589-1)*IF(Skills!H12&gt;0,INT(Skills!I12/Skills!H12+0.000000001),1)+IF(Skills!H12&gt;0,INT(MIN(Skills!I12,MAX(0,MAX(0,Inputs!$B$44-B613)-((R589-1)*IF(Inputs!$B$39="pvp",15,MAX(0.1,Skills!D12-IF(TRUE=TRUE,Inputs!$B$33,0))))))/Skills!H12+0.000000001),1)))/Inputs!$B$44),G589*Q589))*IF(Inputs!$B$39="pvp",1,(1+(Inputs!$B$22+Skills!Q12+((C594=TRUE)*F594*IF(AND(Inputs!$B$39&lt;&gt;"pvp",Inputs!$B$44&gt;0),(((R594-1)*MIN((Skills!T17*(1+Inputs!$B$35/100)),(1/Q594))+MIN((Skills!T17*(1+Inputs!$B$35/100)),MAX(0,Inputs!$B$44-((R594-1)*(1/Q594)))))/Inputs!$B$44),IF(Inputs!$B$39="pvp",MIN((Skills!T17*(1+Inputs!$B$35/100)),15)/15,MIN(1,(Skills!T17*(1+Inputs!$B$35/100))/(1/Q594)))))+((C582=TRUE)*IF(Inputs!$B$3&gt;=126,10*MIN(1,15*Q582),0))+((C591=TRUE)*IF(Inputs!$B$39="pvp",20,(1-Summary!$B$11)*(20)+Summary!$B$11*(0))*IF(AND(Inputs!$B$39&lt;&gt;"pvp",Inputs!$B$44&gt;0),(((R591-1)*MIN((Skills!T14*(1+Inputs!$B$35/100)),(1/Q591))+MIN((Skills!T14*(1+Inputs!$B$35/100)),MAX(0,Inputs!$B$44-((R591-1)*(1/Q591)))))/Inputs!$B$44),IF(Inputs!$B$39="pvp",MIN((Skills!T14*(1+Inputs!$B$35/100)),15)/15,MIN(1,(Skills!T14*(1+Inputs!$B$35/100))/(1/Q591)))))+((C590=TRUE)*IF(Inputs!$B$3&gt;=82,IF(Inputs!$B$39="pvp",20,(1-Summary!$B$11)*(20)+Summary!$B$11*(0)),0)*IF(AND(Inputs!$B$39&lt;&gt;"pvp",Inputs!$B$44&gt;0),(((R590-1)*MIN((Skills!T13*(1+Inputs!$B$35/100)),(1/Q590))+MIN((Skills!T13*(1+Inputs!$B$35/100)),MAX(0,Inputs!$B$44-((R590-1)*(1/Q590)))))/Inputs!$B$44),IF(Inputs!$B$39="pvp",MIN((Skills!T13*(1+Inputs!$B$35/100)),15)/15,MIN(1,(Skills!T13*(1+Inputs!$B$35/100))/(1/Q590)))))+(IF(AND(ArtifactsInput!$M$35,Inputs!$B$4&lt;&gt;"Chapter Hunt"),CHOOSE(ArtifactsInput!$N$35+1,15,18,21,24,27,30)*(1-EXP(-(0.2*B608)*5)),0)+IF(AND(ArtifactsInput!$M$22,Inputs!$B$4&lt;&gt;"Chapter Hunt"),CHOOSE(ArtifactsInput!$N$22+1,10,12,14,16,18,20)*((0*(((0.15*B608*5))^0/1)+1*(((0.15*B608*5))^1/1)+2*(((0.15*B608*5))^2/2)+3*(((0.15*B608*5))^3/6)+4*(((0.15*B608*5))^4/24)+5*(((0.15*B608*5))^5/120))/((((0.15*B608*5))^0/1)+(((0.15*B608*5))^1/1)+(((0.15*B608*5))^2/2)+(((0.15*B608*5))^3/6)+(((0.15*B608*5))^4/24)+(((0.15*B608*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90">
      <c r="A590">
        <f>Skills!A13</f>
        <v/>
      </c>
      <c r="B590">
        <f>Skills!B13</f>
        <v/>
      </c>
      <c r="C590">
        <f>Inputs!$B$3&gt;=69</f>
        <v/>
      </c>
      <c r="D590">
        <f>IF(Skills!C13=1,60+Inputs!$B$26+Inputs!$B$30,IF(Skills!C13=2,90+Inputs!$B$27+Inputs!$B$30,IF(Skills!C13=3,120+Inputs!$B$28+Inputs!$B$30,MAX(0,(Inputs!$B$3-100)*3)+Inputs!$B$29+Inputs!$B$30)))</f>
        <v/>
      </c>
      <c r="E590">
        <f>INDEX(FactorTable!$B$2:$Y$301, MATCH(ROUND(MIN(300,MAX(1,D590)),0), FactorTable!$A$2:$A$301,0), Skills!M13+1)</f>
        <v/>
      </c>
      <c r="F590">
        <f>IF(Skills!N13=TRUE,(Skills!L13/10)*(E590/1000),Skills!L13/10)+Skills!O13</f>
        <v/>
      </c>
      <c r="G590">
        <f>Skills!G13*IF(Skills!H13&gt;0,INT(IF(Inputs!$B$39="pvp",MIN(Skills!I13,15),Skills!I13)/Skills!H13+0.000000001),1)</f>
        <v/>
      </c>
      <c r="H590">
        <f>1-(1-Skills!J13/100)^Skills!K13</f>
        <v/>
      </c>
      <c r="I590" t="inlineStr">
        <is>
          <t>1</t>
        </is>
      </c>
      <c r="J590" t="inlineStr"/>
      <c r="K590" t="inlineStr"/>
      <c r="L590" t="inlineStr"/>
      <c r="M590" t="inlineStr"/>
      <c r="N590" t="inlineStr"/>
      <c r="O590">
        <f>(1-Summary!$B$11)*T590+Summary!$B$11*V590</f>
        <v/>
      </c>
      <c r="P590">
        <f>IF(B616=0,0,O590/B616)</f>
        <v/>
      </c>
      <c r="Q590">
        <f>IFERROR(1/IF(Inputs!$B$39="pvp",15,MAX(0.1,Skills!D13-IF(TRUE=TRUE,Inputs!$B$33,0))),0)</f>
        <v/>
      </c>
      <c r="R590">
        <f>IF(AND(Inputs!$B$39&lt;&gt;"pvp",Inputs!$B$44&gt;0),IF(Inputs!$B$44&lt;=0,0,(INT(Inputs!$B$44/IF(Inputs!$B$39="pvp",15,MAX(0.1,Skills!D13-IF(TRUE=TRUE,Inputs!$B$33,0))))+1)),0)</f>
        <v/>
      </c>
      <c r="S590">
        <f>IFERROR(O590/N590,0)</f>
        <v/>
      </c>
      <c r="T590" t="n">
        <v>0</v>
      </c>
      <c r="V590" t="n">
        <v>0</v>
      </c>
    </row>
    <row r="591">
      <c r="A591">
        <f>Skills!A14</f>
        <v/>
      </c>
      <c r="B591">
        <f>Skills!B14</f>
        <v/>
      </c>
      <c r="C591">
        <f>Inputs!$B$3&gt;=115</f>
        <v/>
      </c>
      <c r="D591">
        <f>IF(Skills!C14=1,60+Inputs!$B$26+Inputs!$B$30,IF(Skills!C14=2,90+Inputs!$B$27+Inputs!$B$30,IF(Skills!C14=3,120+Inputs!$B$28+Inputs!$B$30,MAX(0,(Inputs!$B$3-100)*3)+Inputs!$B$29+Inputs!$B$30)))</f>
        <v/>
      </c>
      <c r="E591">
        <f>INDEX(FactorTable!$B$2:$Y$301, MATCH(ROUND(MIN(300,MAX(1,D591)),0), FactorTable!$A$2:$A$301,0), Skills!M14+1)</f>
        <v/>
      </c>
      <c r="F591">
        <f>IF(Skills!N14=TRUE,(Skills!L14/10)*(E591/1000),Skills!L14/10)+Skills!O14</f>
        <v/>
      </c>
      <c r="G591">
        <f>Skills!G14*IF(Skills!H14&gt;0,INT(IF(Inputs!$B$39="pvp",MIN(Skills!I14,15),Skills!I14)/Skills!H14+0.000000001),1)</f>
        <v/>
      </c>
      <c r="H591">
        <f>1-(1-Skills!J14/100)^Skills!K14</f>
        <v/>
      </c>
      <c r="I591" t="inlineStr">
        <is>
          <t>1</t>
        </is>
      </c>
      <c r="J591" t="inlineStr"/>
      <c r="K591" t="inlineStr"/>
      <c r="L591" t="inlineStr"/>
      <c r="M591" t="inlineStr"/>
      <c r="N591" t="inlineStr"/>
      <c r="O591">
        <f>(1-Summary!$B$11)*T591+Summary!$B$11*V591</f>
        <v/>
      </c>
      <c r="P591">
        <f>IF(B616=0,0,O591/B616)</f>
        <v/>
      </c>
      <c r="Q591">
        <f>IFERROR(1/IF(Inputs!$B$39="pvp",15,MAX(0.1,Skills!D14-IF(TRUE=TRUE,Inputs!$B$33,0))),0)</f>
        <v/>
      </c>
      <c r="R591">
        <f>IF(AND(Inputs!$B$39&lt;&gt;"pvp",Inputs!$B$44&gt;0),IF(Inputs!$B$44&lt;=0,0,(INT(Inputs!$B$44/IF(Inputs!$B$39="pvp",15,MAX(0.1,Skills!D14-IF(TRUE=TRUE,Inputs!$B$33,0))))+1)),0)</f>
        <v/>
      </c>
      <c r="S591">
        <f>IFERROR(O591/N591,0)</f>
        <v/>
      </c>
      <c r="T591" t="n">
        <v>0</v>
      </c>
      <c r="V591" t="n">
        <v>0</v>
      </c>
    </row>
    <row r="592">
      <c r="A592">
        <f>Skills!A15</f>
        <v/>
      </c>
      <c r="B592">
        <f>Skills!B15</f>
        <v/>
      </c>
      <c r="C592">
        <f>Inputs!$B$3&gt;=66</f>
        <v/>
      </c>
      <c r="D592">
        <f>IF(Skills!C15=1,60+Inputs!$B$26+Inputs!$B$30,IF(Skills!C15=2,90+Inputs!$B$27+Inputs!$B$30,IF(Skills!C15=3,120+Inputs!$B$28+Inputs!$B$30,MAX(0,(Inputs!$B$3-100)*3)+Inputs!$B$29+Inputs!$B$30)))</f>
        <v/>
      </c>
      <c r="E592">
        <f>INDEX(FactorTable!$B$2:$Y$301, MATCH(ROUND(MIN(300,MAX(1,D592)),0), FactorTable!$A$2:$A$301,0), Skills!M15+1)</f>
        <v/>
      </c>
      <c r="F592">
        <f>IF(Skills!N15=TRUE,(Skills!L15/10)*(E592/1000),Skills!L15/10)+Skills!O15</f>
        <v/>
      </c>
      <c r="G592">
        <f>Skills!G15*IF(Skills!H15&gt;0,INT(IF(Inputs!$B$39="pvp",MIN(Skills!I15,15),Skills!I15)/Skills!H15+0.000000001),1)</f>
        <v/>
      </c>
      <c r="H592">
        <f>1-(1-Skills!J15/100)^Skills!K15</f>
        <v/>
      </c>
      <c r="I592" t="inlineStr">
        <is>
          <t>1</t>
        </is>
      </c>
      <c r="J592" t="inlineStr"/>
      <c r="K592" t="inlineStr"/>
      <c r="L592" t="inlineStr"/>
      <c r="M592" t="inlineStr"/>
      <c r="N592" t="inlineStr"/>
      <c r="O592">
        <f>(1-Summary!$B$11)*T592+Summary!$B$11*V592</f>
        <v/>
      </c>
      <c r="P592">
        <f>IF(B616=0,0,O592/B616)</f>
        <v/>
      </c>
      <c r="Q592">
        <f>IFERROR(1/IF(Inputs!$B$39="pvp",15,MAX(0.1,Skills!D15-IF(TRUE=TRUE,Inputs!$B$33,0))),0)</f>
        <v/>
      </c>
      <c r="R592">
        <f>IF(AND(Inputs!$B$39&lt;&gt;"pvp",Inputs!$B$44&gt;0),IF(Inputs!$B$44&lt;=0,0,(INT(Inputs!$B$44/IF(Inputs!$B$39="pvp",15,MAX(0.1,Skills!D15-IF(TRUE=TRUE,Inputs!$B$33,0))))+1)),0)</f>
        <v/>
      </c>
      <c r="S592">
        <f>IFERROR(O592/N592,0)</f>
        <v/>
      </c>
      <c r="T592" t="n">
        <v>0</v>
      </c>
      <c r="V592" t="n">
        <v>0</v>
      </c>
    </row>
    <row r="593">
      <c r="A593">
        <f>Skills!A16</f>
        <v/>
      </c>
      <c r="B593">
        <f>Skills!B16</f>
        <v/>
      </c>
      <c r="C593">
        <f>Inputs!$B$3&gt;=45</f>
        <v/>
      </c>
      <c r="D593">
        <f>IF(Skills!C16=1,60+Inputs!$B$26+Inputs!$B$30,IF(Skills!C16=2,90+Inputs!$B$27+Inputs!$B$30,IF(Skills!C16=3,120+Inputs!$B$28+Inputs!$B$30,MAX(0,(Inputs!$B$3-100)*3)+Inputs!$B$29+Inputs!$B$30)))</f>
        <v/>
      </c>
      <c r="E593">
        <f>INDEX(FactorTable!$B$2:$Y$301, MATCH(ROUND(MIN(300,MAX(1,D593)),0), FactorTable!$A$2:$A$301,0), Skills!M16+1)</f>
        <v/>
      </c>
      <c r="F593">
        <f>IF(Skills!N16=TRUE,(Skills!L16/10)*(E593/1000),Skills!L16/10)+Skills!O16</f>
        <v/>
      </c>
      <c r="G593">
        <f>Skills!G16*IF(Skills!H16&gt;0,INT(IF(Inputs!$B$39="pvp",MIN(Skills!I16,15),Skills!I16)/Skills!H16+0.000000001),1)</f>
        <v/>
      </c>
      <c r="H593">
        <f>1-(1-Skills!J16/100)^Skills!K16</f>
        <v/>
      </c>
      <c r="I593" t="inlineStr">
        <is>
          <t>1</t>
        </is>
      </c>
      <c r="J593" t="inlineStr"/>
      <c r="K593" t="inlineStr"/>
      <c r="L593" t="inlineStr"/>
      <c r="M593" t="inlineStr"/>
      <c r="N593" t="inlineStr"/>
      <c r="O593">
        <f>(1-Summary!$B$11)*T593+Summary!$B$11*V593</f>
        <v/>
      </c>
      <c r="P593">
        <f>IF(B616=0,0,O593/B616)</f>
        <v/>
      </c>
      <c r="Q593">
        <f>IFERROR(1/IF(Inputs!$B$39="pvp",15,MAX(0.1,Skills!D16-IF(TRUE=TRUE,Inputs!$B$33,0))),0)</f>
        <v/>
      </c>
      <c r="R593">
        <f>IF(AND(Inputs!$B$39&lt;&gt;"pvp",Inputs!$B$44&gt;0),IF(Inputs!$B$44&lt;=0,0,(INT(Inputs!$B$44/IF(Inputs!$B$39="pvp",15,MAX(0.1,Skills!D16-IF(TRUE=TRUE,Inputs!$B$33,0))))+1)),0)</f>
        <v/>
      </c>
      <c r="S593">
        <f>IFERROR(O593/N593,0)</f>
        <v/>
      </c>
      <c r="T593" t="n">
        <v>0</v>
      </c>
      <c r="V593" t="n">
        <v>0</v>
      </c>
    </row>
    <row r="594">
      <c r="A594">
        <f>Skills!A17</f>
        <v/>
      </c>
      <c r="B594">
        <f>Skills!B17</f>
        <v/>
      </c>
      <c r="C594">
        <f>Inputs!$B$3&gt;=35</f>
        <v/>
      </c>
      <c r="D594">
        <f>IF(Skills!C17=1,60+Inputs!$B$26+Inputs!$B$30,IF(Skills!C17=2,90+Inputs!$B$27+Inputs!$B$30,IF(Skills!C17=3,120+Inputs!$B$28+Inputs!$B$30,MAX(0,(Inputs!$B$3-100)*3)+Inputs!$B$29+Inputs!$B$30)))</f>
        <v/>
      </c>
      <c r="E594">
        <f>INDEX(FactorTable!$B$2:$Y$301, MATCH(ROUND(MIN(300,MAX(1,D594)),0), FactorTable!$A$2:$A$301,0), Skills!M17+1)</f>
        <v/>
      </c>
      <c r="F594">
        <f>IF(Skills!N17=TRUE,(Skills!L17/10)*(E594/1000),Skills!L17/10)+Skills!O17</f>
        <v/>
      </c>
      <c r="G594">
        <f>Skills!G17*IF(Skills!H17&gt;0,INT(IF(Inputs!$B$39="pvp",MIN(Skills!I17,15),Skills!I17)/Skills!H17+0.000000001),1)</f>
        <v/>
      </c>
      <c r="H594">
        <f>1-(1-Skills!J17/100)^Skills!K17</f>
        <v/>
      </c>
      <c r="I594" t="inlineStr">
        <is>
          <t>1</t>
        </is>
      </c>
      <c r="J594" t="inlineStr"/>
      <c r="K594" t="inlineStr"/>
      <c r="L594" t="inlineStr"/>
      <c r="M594" t="inlineStr"/>
      <c r="N594" t="inlineStr"/>
      <c r="O594">
        <f>(1-Summary!$B$11)*T594+Summary!$B$11*V594</f>
        <v/>
      </c>
      <c r="P594">
        <f>IF(B616=0,0,O594/B616)</f>
        <v/>
      </c>
      <c r="Q594">
        <f>IFERROR(1/IF(Inputs!$B$39="pvp",15,MAX(0.1,Skills!D17-IF(TRUE=TRUE,Inputs!$B$33,0))),0)</f>
        <v/>
      </c>
      <c r="R594">
        <f>IF(AND(Inputs!$B$39&lt;&gt;"pvp",Inputs!$B$44&gt;0),IF(Inputs!$B$44&lt;=0,0,(INT(Inputs!$B$44/IF(Inputs!$B$39="pvp",15,MAX(0.1,Skills!D17-IF(TRUE=TRUE,Inputs!$B$33,0))))+1)),0)</f>
        <v/>
      </c>
      <c r="S594">
        <f>IFERROR(O594/N594,0)</f>
        <v/>
      </c>
      <c r="T594" t="n">
        <v>0</v>
      </c>
      <c r="V594" t="n">
        <v>0</v>
      </c>
    </row>
    <row r="595">
      <c r="A595">
        <f>Skills!A18</f>
        <v/>
      </c>
      <c r="B595">
        <f>Skills!B18</f>
        <v/>
      </c>
      <c r="C595">
        <f>Inputs!$B$3&gt;=72</f>
        <v/>
      </c>
      <c r="D595">
        <f>IF(Skills!C18=1,60+Inputs!$B$26+Inputs!$B$30,IF(Skills!C18=2,90+Inputs!$B$27+Inputs!$B$30,IF(Skills!C18=3,120+Inputs!$B$28+Inputs!$B$30,MAX(0,(Inputs!$B$3-100)*3)+Inputs!$B$29+Inputs!$B$30)))</f>
        <v/>
      </c>
      <c r="E595">
        <f>INDEX(FactorTable!$B$2:$Y$301, MATCH(ROUND(MIN(300,MAX(1,D595)),0), FactorTable!$A$2:$A$301,0), Skills!M18+1)</f>
        <v/>
      </c>
      <c r="F595">
        <f>IF(Skills!N18=TRUE,(Skills!L18/10)*(E595/1000),Skills!L18/10)+Skills!O18</f>
        <v/>
      </c>
      <c r="G595">
        <f>Skills!G18*IF(Skills!H18&gt;0,INT(IF(Inputs!$B$39="pvp",MIN(Skills!I18,15),Skills!I18)/Skills!H18+0.000000001),1)</f>
        <v/>
      </c>
      <c r="H595">
        <f>1-(1-Skills!J18/100)^Skills!K18</f>
        <v/>
      </c>
      <c r="I595" t="inlineStr">
        <is>
          <t>1</t>
        </is>
      </c>
      <c r="J595" t="inlineStr"/>
      <c r="K595" t="inlineStr"/>
      <c r="L595" t="inlineStr"/>
      <c r="M595" t="inlineStr"/>
      <c r="N595" t="inlineStr"/>
      <c r="O595">
        <f>(1-Summary!$B$11)*T595+Summary!$B$11*V595</f>
        <v/>
      </c>
      <c r="P595">
        <f>IF(B616=0,0,O595/B616)</f>
        <v/>
      </c>
      <c r="Q595">
        <f>IFERROR(1/IF(Inputs!$B$39="pvp",15,MAX(0.1,Skills!D18-IF(TRUE=TRUE,Inputs!$B$33,0))),0)</f>
        <v/>
      </c>
      <c r="R595">
        <f>IF(AND(Inputs!$B$39&lt;&gt;"pvp",Inputs!$B$44&gt;0),IF(Inputs!$B$44&lt;=0,0,(INT(Inputs!$B$44/IF(Inputs!$B$39="pvp",15,MAX(0.1,Skills!D18-IF(TRUE=TRUE,Inputs!$B$33,0))))+1)),0)</f>
        <v/>
      </c>
      <c r="S595">
        <f>IFERROR(O595/N595,0)</f>
        <v/>
      </c>
      <c r="T595" t="n">
        <v>0</v>
      </c>
      <c r="V595" t="n">
        <v>0</v>
      </c>
    </row>
    <row r="596">
      <c r="A596">
        <f>Skills!A19</f>
        <v/>
      </c>
      <c r="B596">
        <f>Skills!B19</f>
        <v/>
      </c>
      <c r="C596">
        <f>Inputs!$B$3&gt;=72</f>
        <v/>
      </c>
      <c r="D596">
        <f>IF(Skills!C19=1,60+Inputs!$B$26+Inputs!$B$30,IF(Skills!C19=2,90+Inputs!$B$27+Inputs!$B$30,IF(Skills!C19=3,120+Inputs!$B$28+Inputs!$B$30,MAX(0,(Inputs!$B$3-100)*3)+Inputs!$B$29+Inputs!$B$30)))</f>
        <v/>
      </c>
      <c r="E596">
        <f>INDEX(FactorTable!$B$2:$Y$301, MATCH(ROUND(MIN(300,MAX(1,D596)),0), FactorTable!$A$2:$A$301,0), Skills!M19+1)</f>
        <v/>
      </c>
      <c r="F596">
        <f>IF(Skills!N19=TRUE,(Skills!L19/10)*(E596/1000),Skills!L19/10)+Skills!O19</f>
        <v/>
      </c>
      <c r="G596">
        <f>Skills!G19*IF(Skills!H19&gt;0,INT(IF(Inputs!$B$39="pvp",MIN(Skills!I19,15),Skills!I19)/Skills!H19+0.000000001),1)</f>
        <v/>
      </c>
      <c r="H596">
        <f>1-(1-Skills!J19/100)^Skills!K19</f>
        <v/>
      </c>
      <c r="I596" t="inlineStr">
        <is>
          <t>1</t>
        </is>
      </c>
      <c r="J596" t="inlineStr"/>
      <c r="K596" t="inlineStr"/>
      <c r="L596" t="inlineStr"/>
      <c r="M596" t="inlineStr"/>
      <c r="N596" t="inlineStr"/>
      <c r="O596">
        <f>(1-Summary!$B$11)*T596+Summary!$B$11*V596</f>
        <v/>
      </c>
      <c r="P596">
        <f>IF(B616=0,0,O596/B616)</f>
        <v/>
      </c>
      <c r="Q596">
        <f>IFERROR(1/IF(Inputs!$B$39="pvp",15,MAX(0.1,Skills!D19-IF(TRUE=TRUE,Inputs!$B$33,0))),0)</f>
        <v/>
      </c>
      <c r="R596">
        <f>IF(AND(Inputs!$B$39&lt;&gt;"pvp",Inputs!$B$44&gt;0),IF(Inputs!$B$44&lt;=0,0,(INT(Inputs!$B$44/IF(Inputs!$B$39="pvp",15,MAX(0.1,Skills!D19-IF(TRUE=TRUE,Inputs!$B$33,0))))+1)),0)</f>
        <v/>
      </c>
      <c r="S596">
        <f>IFERROR(O596/N596,0)</f>
        <v/>
      </c>
      <c r="T596" t="n">
        <v>0</v>
      </c>
      <c r="V596" t="n">
        <v>0</v>
      </c>
    </row>
    <row r="597">
      <c r="A597">
        <f>Skills!A20</f>
        <v/>
      </c>
      <c r="B597">
        <f>Skills!B20</f>
        <v/>
      </c>
      <c r="C597">
        <f>TRUE</f>
        <v/>
      </c>
      <c r="D597">
        <f>IF(Skills!C20=1,60+Inputs!$B$26+Inputs!$B$30,IF(Skills!C20=2,90+Inputs!$B$27+Inputs!$B$30,IF(Skills!C20=3,120+Inputs!$B$28+Inputs!$B$30,MAX(0,(Inputs!$B$3-100)*3)+Inputs!$B$29+Inputs!$B$30)))</f>
        <v/>
      </c>
      <c r="E597">
        <f>INDEX(FactorTable!$B$2:$Y$301, MATCH(ROUND(MIN(300,MAX(1,D597)),0), FactorTable!$A$2:$A$301,0), Skills!M20+1)</f>
        <v/>
      </c>
      <c r="F597">
        <f>IF(Skills!N20=TRUE,(Skills!L20/10)*(E597/1000),Skills!L20/10)+Skills!O20</f>
        <v/>
      </c>
      <c r="G597">
        <f>Skills!G20*IF(Skills!H20&gt;0,INT(IF(Inputs!$B$39="pvp",MIN(Skills!I20,15),Skills!I20)/Skills!H20+0.000000001),1)</f>
        <v/>
      </c>
      <c r="H597">
        <f>1-(1-Skills!J20/100)^Skills!K20</f>
        <v/>
      </c>
      <c r="I597" t="inlineStr">
        <is>
          <t>1</t>
        </is>
      </c>
      <c r="J597" t="inlineStr"/>
      <c r="K597" t="inlineStr"/>
      <c r="L597" t="inlineStr"/>
      <c r="M597" t="inlineStr"/>
      <c r="N597" t="inlineStr"/>
      <c r="O597">
        <f>(1-Summary!$B$11)*T597+Summary!$B$11*V597</f>
        <v/>
      </c>
      <c r="P597">
        <f>IF(B616=0,0,O597/B616)</f>
        <v/>
      </c>
      <c r="Q597">
        <f>IFERROR(1/IF(Inputs!$B$39="pvp",15,MAX(0.1,Skills!D20-IF(TRUE=TRUE,Inputs!$B$33,0))),0)</f>
        <v/>
      </c>
      <c r="R597">
        <f>IF(AND(Inputs!$B$39&lt;&gt;"pvp",Inputs!$B$44&gt;0),IF(Inputs!$B$44&lt;=0,0,(INT(Inputs!$B$44/IF(Inputs!$B$39="pvp",15,MAX(0.1,Skills!D20-IF(TRUE=TRUE,Inputs!$B$33,0))))+1)),0)</f>
        <v/>
      </c>
      <c r="S597">
        <f>IFERROR(O597/N597,0)</f>
        <v/>
      </c>
      <c r="T597" t="n">
        <v>0</v>
      </c>
      <c r="V597" t="n">
        <v>0</v>
      </c>
    </row>
    <row r="598">
      <c r="A598">
        <f>Skills!A21</f>
        <v/>
      </c>
      <c r="B598">
        <f>Skills!B21</f>
        <v/>
      </c>
      <c r="C598">
        <f>Inputs!$B$3&gt;=33</f>
        <v/>
      </c>
      <c r="D598">
        <f>IF(Skills!C21=1,60+Inputs!$B$26+Inputs!$B$30,IF(Skills!C21=2,90+Inputs!$B$27+Inputs!$B$30,IF(Skills!C21=3,120+Inputs!$B$28+Inputs!$B$30,MAX(0,(Inputs!$B$3-100)*3)+Inputs!$B$29+Inputs!$B$30)))</f>
        <v/>
      </c>
      <c r="E598">
        <f>INDEX(FactorTable!$B$2:$Y$301, MATCH(ROUND(MIN(300,MAX(1,D598)),0), FactorTable!$A$2:$A$301,0), Skills!M21+1)</f>
        <v/>
      </c>
      <c r="F598">
        <f>IF(Skills!N21=TRUE,(Skills!L21/10)*(E598/1000),Skills!L21/10)+Skills!O21</f>
        <v/>
      </c>
      <c r="G598">
        <f>Skills!G21*IF(Skills!H21&gt;0,INT(IF(Inputs!$B$39="pvp",MIN(Skills!I21,15),Skills!I21)/Skills!H21+0.000000001),1)</f>
        <v/>
      </c>
      <c r="H598">
        <f>1-(1-Skills!J21/100)^Skills!K21</f>
        <v/>
      </c>
      <c r="I598" t="inlineStr">
        <is>
          <t>1</t>
        </is>
      </c>
      <c r="J598" t="inlineStr"/>
      <c r="K598" t="inlineStr"/>
      <c r="L598" t="inlineStr"/>
      <c r="M598" t="inlineStr"/>
      <c r="N598" t="inlineStr"/>
      <c r="O598">
        <f>(1-Summary!$B$11)*T598+Summary!$B$11*V598</f>
        <v/>
      </c>
      <c r="P598">
        <f>IF(B616=0,0,O598/B616)</f>
        <v/>
      </c>
      <c r="Q598" t="n">
        <v>0</v>
      </c>
      <c r="R598" t="n">
        <v>0</v>
      </c>
      <c r="S598">
        <f>IFERROR(O598/N598,0)</f>
        <v/>
      </c>
      <c r="T598" t="n">
        <v>0</v>
      </c>
      <c r="V598" t="n">
        <v>0</v>
      </c>
    </row>
    <row r="599">
      <c r="A599">
        <f>Skills!A22</f>
        <v/>
      </c>
      <c r="B599">
        <f>Skills!B22</f>
        <v/>
      </c>
      <c r="C599">
        <f>Inputs!$B$3&gt;=43</f>
        <v/>
      </c>
      <c r="D599">
        <f>IF(Skills!C22=1,60+Inputs!$B$26+Inputs!$B$30,IF(Skills!C22=2,90+Inputs!$B$27+Inputs!$B$30,IF(Skills!C22=3,120+Inputs!$B$28+Inputs!$B$30,MAX(0,(Inputs!$B$3-100)*3)+Inputs!$B$29+Inputs!$B$30)))</f>
        <v/>
      </c>
      <c r="E599">
        <f>INDEX(FactorTable!$B$2:$Y$301, MATCH(ROUND(MIN(300,MAX(1,D599)),0), FactorTable!$A$2:$A$301,0), Skills!M22+1)</f>
        <v/>
      </c>
      <c r="F599">
        <f>IF(Skills!N22=TRUE,(Skills!L22/10)*(E599/1000),Skills!L22/10)+Skills!O22</f>
        <v/>
      </c>
      <c r="G599">
        <f>Skills!G22*IF(Skills!H22&gt;0,INT(IF(Inputs!$B$39="pvp",MIN(Skills!I22,15),Skills!I22)/Skills!H22+0.000000001),1)</f>
        <v/>
      </c>
      <c r="H599">
        <f>1-(1-Skills!J22/100)^Skills!K22</f>
        <v/>
      </c>
      <c r="I599" t="inlineStr">
        <is>
          <t>1</t>
        </is>
      </c>
      <c r="J599" t="inlineStr"/>
      <c r="K599" t="inlineStr"/>
      <c r="L599" t="inlineStr"/>
      <c r="M599" t="inlineStr"/>
      <c r="N599" t="inlineStr"/>
      <c r="O599">
        <f>(1-Summary!$B$11)*T599+Summary!$B$11*V599</f>
        <v/>
      </c>
      <c r="P599">
        <f>IF(B616=0,0,O599/B616)</f>
        <v/>
      </c>
      <c r="Q599" t="n">
        <v>0</v>
      </c>
      <c r="R599" t="n">
        <v>0</v>
      </c>
      <c r="S599">
        <f>IFERROR(O599/N599,0)</f>
        <v/>
      </c>
      <c r="T599" t="n">
        <v>0</v>
      </c>
      <c r="V599" t="n">
        <v>0</v>
      </c>
    </row>
    <row r="600">
      <c r="A600">
        <f>Skills!A23</f>
        <v/>
      </c>
      <c r="B600">
        <f>Skills!B23</f>
        <v/>
      </c>
      <c r="C600">
        <f>Inputs!$B$3&gt;=120</f>
        <v/>
      </c>
      <c r="D600">
        <f>IF(Skills!C23=1,60+Inputs!$B$26+Inputs!$B$30,IF(Skills!C23=2,90+Inputs!$B$27+Inputs!$B$30,IF(Skills!C23=3,120+Inputs!$B$28+Inputs!$B$30,MAX(0,(Inputs!$B$3-100)*3)+Inputs!$B$29+Inputs!$B$30)))</f>
        <v/>
      </c>
      <c r="E600">
        <f>INDEX(FactorTable!$B$2:$Y$301, MATCH(ROUND(MIN(300,MAX(1,D600)),0), FactorTable!$A$2:$A$301,0), Skills!M23+1)</f>
        <v/>
      </c>
      <c r="F600">
        <f>IF(Skills!N23=TRUE,(Skills!L23/10)*(E600/1000),Skills!L23/10)+Skills!O23</f>
        <v/>
      </c>
      <c r="G600">
        <f>Skills!G23*IF(Skills!H23&gt;0,INT(IF(Inputs!$B$39="pvp",MIN(Skills!I23,15),Skills!I23)/Skills!H23+0.000000001),1)</f>
        <v/>
      </c>
      <c r="H600">
        <f>1-(1-Skills!J23/100)^Skills!K23</f>
        <v/>
      </c>
      <c r="I600" t="inlineStr">
        <is>
          <t>1</t>
        </is>
      </c>
      <c r="J600" t="inlineStr"/>
      <c r="K600" t="inlineStr"/>
      <c r="L600" t="inlineStr"/>
      <c r="M600" t="inlineStr"/>
      <c r="N600" t="inlineStr"/>
      <c r="O600">
        <f>(1-Summary!$B$11)*T600+Summary!$B$11*V600</f>
        <v/>
      </c>
      <c r="P600">
        <f>IF(B616=0,0,O600/B616)</f>
        <v/>
      </c>
      <c r="Q600" t="n">
        <v>0</v>
      </c>
      <c r="R600" t="n">
        <v>0</v>
      </c>
      <c r="S600">
        <f>IFERROR(O600/N600,0)</f>
        <v/>
      </c>
      <c r="T600" t="n">
        <v>0</v>
      </c>
      <c r="V600" t="n">
        <v>0</v>
      </c>
    </row>
    <row r="601">
      <c r="A601">
        <f>Skills!A24</f>
        <v/>
      </c>
      <c r="B601">
        <f>Skills!B24</f>
        <v/>
      </c>
      <c r="C601">
        <f>Inputs!$B$3&gt;=120</f>
        <v/>
      </c>
      <c r="D601">
        <f>IF(Skills!C24=1,60+Inputs!$B$26+Inputs!$B$30,IF(Skills!C24=2,90+Inputs!$B$27+Inputs!$B$30,IF(Skills!C24=3,120+Inputs!$B$28+Inputs!$B$30,MAX(0,(Inputs!$B$3-100)*3)+Inputs!$B$29+Inputs!$B$30)))</f>
        <v/>
      </c>
      <c r="E601">
        <f>INDEX(FactorTable!$B$2:$Y$301, MATCH(ROUND(MIN(300,MAX(1,D601)),0), FactorTable!$A$2:$A$301,0), Skills!M24+1)</f>
        <v/>
      </c>
      <c r="F601">
        <f>IF(Skills!N24=TRUE,(Skills!L24/10)*(E601/1000),Skills!L24/10)+Skills!O24</f>
        <v/>
      </c>
      <c r="G601">
        <f>Skills!G24*IF(Skills!H24&gt;0,INT(IF(Inputs!$B$39="pvp",MIN(Skills!I24,15),Skills!I24)/Skills!H24+0.000000001),1)</f>
        <v/>
      </c>
      <c r="H601">
        <f>1-(1-Skills!J24/100)^Skills!K24</f>
        <v/>
      </c>
      <c r="I601" t="inlineStr">
        <is>
          <t>1</t>
        </is>
      </c>
      <c r="J601" t="inlineStr"/>
      <c r="K601" t="inlineStr"/>
      <c r="L601" t="inlineStr"/>
      <c r="M601" t="inlineStr"/>
      <c r="N601" t="inlineStr"/>
      <c r="O601">
        <f>(1-Summary!$B$11)*T601+Summary!$B$11*V601</f>
        <v/>
      </c>
      <c r="P601">
        <f>IF(B616=0,0,O601/B616)</f>
        <v/>
      </c>
      <c r="Q601" t="n">
        <v>0</v>
      </c>
      <c r="R601" t="n">
        <v>0</v>
      </c>
      <c r="S601">
        <f>IFERROR(O601/N601,0)</f>
        <v/>
      </c>
      <c r="T601" t="n">
        <v>0</v>
      </c>
      <c r="V601" t="n">
        <v>0</v>
      </c>
    </row>
    <row r="602">
      <c r="A602">
        <f>Skills!A25</f>
        <v/>
      </c>
      <c r="B602">
        <f>Skills!B25</f>
        <v/>
      </c>
      <c r="C602">
        <f>Inputs!$B$3&gt;=125</f>
        <v/>
      </c>
      <c r="D602">
        <f>IF(Skills!C25=1,60+Inputs!$B$26+Inputs!$B$30,IF(Skills!C25=2,90+Inputs!$B$27+Inputs!$B$30,IF(Skills!C25=3,120+Inputs!$B$28+Inputs!$B$30,MAX(0,(Inputs!$B$3-100)*3)+Inputs!$B$29+Inputs!$B$30)))</f>
        <v/>
      </c>
      <c r="E602">
        <f>INDEX(FactorTable!$B$2:$Y$301, MATCH(ROUND(MIN(300,MAX(1,D602)),0), FactorTable!$A$2:$A$301,0), Skills!M25+1)</f>
        <v/>
      </c>
      <c r="F602">
        <f>IF(Skills!N25=TRUE,(Skills!L25/10)*(E602/1000),Skills!L25/10)+Skills!O25</f>
        <v/>
      </c>
      <c r="G602">
        <f>Skills!G25*IF(Skills!H25&gt;0,INT(IF(Inputs!$B$39="pvp",MIN(Skills!I25,15),Skills!I25)/Skills!H25+0.000000001),1)</f>
        <v/>
      </c>
      <c r="H602">
        <f>1-(1-Skills!J25/100)^Skills!K25</f>
        <v/>
      </c>
      <c r="I602" t="inlineStr">
        <is>
          <t>1</t>
        </is>
      </c>
      <c r="J602" t="inlineStr"/>
      <c r="K602" t="inlineStr"/>
      <c r="L602" t="inlineStr"/>
      <c r="M602" t="inlineStr"/>
      <c r="N602" t="inlineStr"/>
      <c r="O602">
        <f>(1-Summary!$B$11)*T602+Summary!$B$11*V602</f>
        <v/>
      </c>
      <c r="P602">
        <f>IF(B616=0,0,O602/B616)</f>
        <v/>
      </c>
      <c r="Q602" t="n">
        <v>0</v>
      </c>
      <c r="R602" t="n">
        <v>0</v>
      </c>
      <c r="S602">
        <f>IFERROR(O602/N602,0)</f>
        <v/>
      </c>
      <c r="T602" t="n">
        <v>0</v>
      </c>
      <c r="V602" t="n">
        <v>0</v>
      </c>
    </row>
    <row r="603">
      <c r="A603">
        <f>Skills!A26</f>
        <v/>
      </c>
      <c r="B603">
        <f>Skills!B26</f>
        <v/>
      </c>
      <c r="C603">
        <f>Inputs!$B$3&gt;=107</f>
        <v/>
      </c>
      <c r="D603">
        <f>IF(Skills!C26=1,60+Inputs!$B$26+Inputs!$B$30,IF(Skills!C26=2,90+Inputs!$B$27+Inputs!$B$30,IF(Skills!C26=3,120+Inputs!$B$28+Inputs!$B$30,MAX(0,(Inputs!$B$3-100)*3)+Inputs!$B$29+Inputs!$B$30)))</f>
        <v/>
      </c>
      <c r="E603">
        <f>INDEX(FactorTable!$B$2:$Y$301, MATCH(ROUND(MIN(300,MAX(1,D603)),0), FactorTable!$A$2:$A$301,0), Skills!M26+1)</f>
        <v/>
      </c>
      <c r="F603">
        <f>IF(Skills!N26=TRUE,(Skills!L26/10)*(E603/1000),Skills!L26/10)+Skills!O26</f>
        <v/>
      </c>
      <c r="G603">
        <f>Skills!G26*IF(Skills!H26&gt;0,INT(IF(Inputs!$B$39="pvp",MIN(Skills!I26,15),Skills!I26)/Skills!H26+0.000000001),1)</f>
        <v/>
      </c>
      <c r="H603">
        <f>1-(1-Skills!J26/100)^Skills!K26</f>
        <v/>
      </c>
      <c r="I603" t="inlineStr">
        <is>
          <t>1</t>
        </is>
      </c>
      <c r="J603" t="inlineStr"/>
      <c r="K603" t="inlineStr"/>
      <c r="L603" t="inlineStr"/>
      <c r="M603" t="inlineStr"/>
      <c r="N603" t="inlineStr"/>
      <c r="O603">
        <f>(1-Summary!$B$11)*T603+Summary!$B$11*V603</f>
        <v/>
      </c>
      <c r="P603">
        <f>IF(B616=0,0,O603/B616)</f>
        <v/>
      </c>
      <c r="Q603" t="n">
        <v>0</v>
      </c>
      <c r="R603" t="n">
        <v>0</v>
      </c>
      <c r="S603">
        <f>IFERROR(O603/N603,0)</f>
        <v/>
      </c>
      <c r="T603" t="n">
        <v>0</v>
      </c>
      <c r="V603" t="n">
        <v>0</v>
      </c>
    </row>
    <row r="605">
      <c r="A605" t="inlineStr">
        <is>
          <t>Attack% Bucket Multiplier</t>
        </is>
      </c>
      <c r="B605">
        <f>(1+(((C590=TRUE)*F590*IF(AND(Inputs!$B$39&lt;&gt;"pvp",Inputs!$B$44&gt;0),(((R590-1)*MIN((Skills!T13*(1+Inputs!$B$35/100)),(1/Q590))+MIN((Skills!T13*(1+Inputs!$B$35/100)),MAX(0,Inputs!$B$44-((R590-1)*(1/Q590)))))/Inputs!$B$44),IF(Inputs!$B$39="pvp",MIN((Skills!T13*(1+Inputs!$B$35/100)),15)/15,MIN(1,(Skills!T13*(1+Inputs!$B$35/100))/(1/Q590)))))+((C591=TRUE)*F591*IF(AND(Inputs!$B$39&lt;&gt;"pvp",Inputs!$B$44&gt;0),(((R591-1)*MIN((Skills!T14*(1+Inputs!$B$35/100)),(1/Q591))+MIN((Skills!T14*(1+Inputs!$B$35/100)),MAX(0,Inputs!$B$44-((R591-1)*(1/Q591)))))/Inputs!$B$44),IF(Inputs!$B$39="pvp",MIN((Skills!T14*(1+Inputs!$B$35/100)),15)/15,MIN(1,(Skills!T14*(1+Inputs!$B$35/100))/(1/Q591)))))+((C592=TRUE)*F592*IF(AND(Inputs!$B$39&lt;&gt;"pvp",Inputs!$B$44&gt;0),(((R592-1)*MIN((Skills!T15*(1+Inputs!$B$35/100)),(1/Q592))+MIN((Skills!T15*(1+Inputs!$B$35/100)),MAX(0,Inputs!$B$44-((R592-1)*(1/Q592)))))/Inputs!$B$44),IF(Inputs!$B$39="pvp",MIN((Skills!T15*(1+Inputs!$B$35/100)),15)/15,MIN(1,(Skills!T15*(1+Inputs!$B$35/100))/(1/Q592)))))+((C593=TRUE)*F593*IF(AND(Inputs!$B$39&lt;&gt;"pvp",Inputs!$B$44&gt;0),(((R593-1)*MIN((Skills!T16*(1+Inputs!$B$35/100)),(1/Q593))+MIN((Skills!T16*(1+Inputs!$B$35/100)),MAX(0,Inputs!$B$44-((R593-1)*(1/Q593)))))/Inputs!$B$44),IF(Inputs!$B$39="pvp",MIN((Skills!T16*(1+Inputs!$B$35/100)),15)/15,MIN(1,(Skills!T16*(1+Inputs!$B$35/100))/(1/Q593)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606">
      <c r="A606" t="inlineStr">
        <is>
          <t>Global Crit Rate Bonus % (Lord of Darkness)</t>
        </is>
      </c>
      <c r="B606">
        <f>((C595=TRUE)*F595*(Skills!J18/100)*IF(AND(Inputs!$B$39&lt;&gt;"pvp",Inputs!$B$44&gt;0),(((R595-1)*MIN((Skills!T18*(1+Inputs!$B$35/100)),(1/Q595))+MIN((Skills!T18*(1+Inputs!$B$35/100)),MAX(0,Inputs!$B$44-((R595-1)*(1/Q595)))))/Inputs!$B$44),IF(Inputs!$B$39="pvp",MIN((Skills!T18*(1+Inputs!$B$35/100)),15)/15,MIN(1,(Skills!T18*(1+Inputs!$B$35/100))/(1/Q595)))))</f>
        <v/>
      </c>
    </row>
    <row r="607">
      <c r="A607" t="inlineStr">
        <is>
          <t>Attack Speed Buff Bonus %</t>
        </is>
      </c>
      <c r="B607">
        <f>((C597=TRUE)*F597*IF(AND(Inputs!$B$39&lt;&gt;"pvp",Inputs!$B$44&gt;0),(((R597-1)*MIN((Skills!T20*(1+Inputs!$B$35/100)),(1/Q597))+MIN((Skills!T20*(1+Inputs!$B$35/100)),MAX(0,Inputs!$B$44-((R597-1)*(1/Q597)))))/Inputs!$B$44),IF(Inputs!$B$39="pvp",MIN((Skills!T20*(1+Inputs!$B$35/100)),15)/15,MIN(1,(Skills!T20*(1+Inputs!$B$35/100))/(1/Q597)))))</f>
        <v/>
      </c>
    </row>
    <row r="608">
      <c r="A608" t="inlineStr">
        <is>
          <t>Actions Per Second</t>
        </is>
      </c>
      <c r="B608">
        <f>1+MIN(150,150*(1-(1-(Inputs!$B$12+((C598=TRUE)*(F598-Calc!F21)))/150)*(1-B607/150)))/100</f>
        <v/>
      </c>
    </row>
    <row r="609">
      <c r="A609" t="inlineStr">
        <is>
          <t>Skill + Buff Cast Rate</t>
        </is>
      </c>
      <c r="B609">
        <f>IF(AND(Inputs!$B$39&lt;&gt;"pvp",Inputs!$B$44&gt;0),SUMPRODUCT((Skills!E2:E26=TRUE)*(C579:C603=TRUE)*R579:R603*Skills!F2:F26)/Inputs!$B$44,SUMPRODUCT((Skills!E2:E26=TRUE)*(C579:C603=TRUE)*Q579:Q603*Skills!F2:F26))</f>
        <v/>
      </c>
    </row>
    <row r="610">
      <c r="A610" t="inlineStr">
        <is>
          <t>Dark Impale Casts Per Second</t>
        </is>
      </c>
      <c r="B610">
        <f>MAX(0,B608-B609)</f>
        <v/>
      </c>
    </row>
    <row r="611">
      <c r="A611" t="inlineStr">
        <is>
          <t>Global Critical Damage Bonus % (Lord of Darkness)</t>
        </is>
      </c>
      <c r="B611">
        <f>((C596=TRUE)*F596*(Skills!J19/100)*IF(AND(Inputs!$B$39&lt;&gt;"pvp",Inputs!$B$44&gt;0),(((R596-1)*MIN((Skills!T19*(1+Inputs!$B$35/100)),(1/Q596))+MIN((Skills!T19*(1+Inputs!$B$35/100)),MAX(0,Inputs!$B$44-((R596-1)*(1/Q596)))))/Inputs!$B$44),IF(Inputs!$B$39="pvp",MIN((Skills!T19*(1+Inputs!$B$35/100)),15)/15,MIN(1,(Skills!T19*(1+Inputs!$B$35/100))/(1/Q596)))))</f>
        <v/>
      </c>
    </row>
    <row r="612">
      <c r="A612" t="inlineStr">
        <is>
          <t>Global Final Damage Bonus % (unused)</t>
        </is>
      </c>
      <c r="B612" t="n">
        <v>0</v>
      </c>
    </row>
    <row r="613">
      <c r="A613" t="inlineStr">
        <is>
          <t>Buff-Casting Startup Delay (s, fixed-duration only)</t>
        </is>
      </c>
      <c r="B613">
        <f>IF(AND(Inputs!$B$39&lt;&gt;"pvp",Inputs!$B$44&gt;0),SUMPRODUCT((Skills!T2:T26&gt;0)*(Skills!E2:E26=TRUE)*(C579:C603=TRUE))/B608,0)</f>
        <v/>
      </c>
    </row>
    <row r="614">
      <c r="A614" t="inlineStr">
        <is>
          <t>Boss-Only Total DPS (this block's swept value)</t>
        </is>
      </c>
      <c r="B614">
        <f>SUM(T579:T603)</f>
        <v/>
      </c>
    </row>
    <row r="615">
      <c r="A615" t="inlineStr">
        <is>
          <t>Normal-Only Total DPS (this block's swept value)</t>
        </is>
      </c>
      <c r="B615">
        <f>SUM(V579:V603)</f>
        <v/>
      </c>
    </row>
    <row r="616">
      <c r="A616" s="6" t="inlineStr">
        <is>
          <t>TOTAL DPS</t>
        </is>
      </c>
      <c r="B616" s="6">
        <f>SUM(O579:O603)</f>
        <v/>
      </c>
    </row>
    <row r="619">
      <c r="A619" s="6" t="inlineStr">
        <is>
          <t>Stat: CRIT_DAMAGE %</t>
        </is>
      </c>
    </row>
    <row r="620">
      <c r="A620" s="5" t="inlineStr">
        <is>
          <t>Key</t>
        </is>
      </c>
      <c r="B620" s="5" t="inlineStr">
        <is>
          <t>Name</t>
        </is>
      </c>
      <c r="C620" s="5" t="inlineStr">
        <is>
          <t>Unlocked</t>
        </is>
      </c>
      <c r="D620" s="5" t="inlineStr">
        <is>
          <t>InputLevel</t>
        </is>
      </c>
      <c r="E620" s="5" t="inlineStr">
        <is>
          <t>Factor</t>
        </is>
      </c>
      <c r="F620" s="5" t="inlineStr">
        <is>
          <t>CoefficientPercent</t>
        </is>
      </c>
      <c r="G620" s="5" t="inlineStr">
        <is>
          <t>EffectiveHits</t>
        </is>
      </c>
      <c r="H620" s="5" t="inlineStr">
        <is>
          <t>ProcProbability</t>
        </is>
      </c>
      <c r="I620" s="5" t="inlineStr">
        <is>
          <t>MapleHeroMultiplier</t>
        </is>
      </c>
      <c r="J620" s="5" t="inlineStr">
        <is>
          <t>BaseDamage</t>
        </is>
      </c>
      <c r="K620" s="5" t="inlineStr">
        <is>
          <t>BaseHitDamage</t>
        </is>
      </c>
      <c r="L620" s="5" t="inlineStr">
        <is>
          <t>NonCritAvg</t>
        </is>
      </c>
      <c r="M620" s="5" t="inlineStr">
        <is>
          <t>CritAvg</t>
        </is>
      </c>
      <c r="N620" s="5" t="inlineStr">
        <is>
          <t>ExpectedDamage(perHit)</t>
        </is>
      </c>
      <c r="O620" s="5" t="inlineStr">
        <is>
          <t>DPS</t>
        </is>
      </c>
      <c r="P620" s="5" t="inlineStr">
        <is>
          <t>% of Total</t>
        </is>
      </c>
      <c r="Q620" s="5" t="inlineStr">
        <is>
          <t>InvCooldown</t>
        </is>
      </c>
      <c r="R620" s="5" t="inlineStr">
        <is>
          <t>CastsInFight</t>
        </is>
      </c>
      <c r="S620" s="5" t="inlineStr">
        <is>
          <t>HitRate(perSec)</t>
        </is>
      </c>
      <c r="U620" t="inlineStr">
        <is>
          <t>helpers</t>
        </is>
      </c>
    </row>
    <row r="621">
      <c r="A621">
        <f>Skills!A2</f>
        <v/>
      </c>
      <c r="B621">
        <f>Skills!B2</f>
        <v/>
      </c>
      <c r="C621">
        <f>Inputs!$B$3&gt;=100</f>
        <v/>
      </c>
      <c r="D621" t="inlineStr"/>
      <c r="E621" t="inlineStr"/>
      <c r="F621">
        <f>U623+Skills!O2</f>
        <v/>
      </c>
      <c r="G621">
        <f>Skills!G2*IF(Skills!H2&gt;0,INT(IF(Inputs!$B$39="pvp",MIN(Skills!I2,15),Skills!I2)/Skills!H2+0.000000001),1)</f>
        <v/>
      </c>
      <c r="H621">
        <f>1-(1-Skills!J2/100)^Skills!K2</f>
        <v/>
      </c>
      <c r="I621" t="inlineStr">
        <is>
          <t>1</t>
        </is>
      </c>
      <c r="J621">
        <f>((Inputs!$B$6*(1+Inputs!$B$7/100))+(((Inputs!$B$13*(1+Inputs!$B$14/100))-(Inputs!$B$13*(1+Inputs!$B$14/100)))+0.25*(Inputs!$B$15-Inputs!$B$15))*(1+Inputs!$B$7/100))*(F621/100)</f>
        <v/>
      </c>
      <c r="K621">
        <f>J621*(1+(((Inputs!$B$13+IF(Inputs!$B$3&gt;=38,(10*INDEX(FactorTable!$B$2:$Y$301, MATCH(ROUND(MIN(300,MAX(1,Inputs!$B$3)),0), FactorTable!$A$2:$A$301,0), 23)/1000)/100*(Inputs!$B$8*(1+Inputs!$B$9/100)),0))*(1+Inputs!$B$14/100))*0.01+Inputs!$B$15*0.0025)/100)*(1+Inputs!$B$16/100)*(1+Inputs!$B$17/100)*(5000/(6000+Inputs!$B$43*(1-(Inputs!$B$20+0)/100)))*(1+(Inputs!$B$25+((C644=TRUE)*(F644-Calc!F25))+((C645=TRUE)*(F645-Calc!F26))+B654)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gt;=100),MIN(100,((Inputs!$B$10+0+B648+(ArtifactsInput!$M$24-ArtifactsInput!$M$24)*CHOOSE(ArtifactsInput!$N$24+1,10,12,14,16,18,20)+IF(ArtifactsInput!$M$10,CHOOSE(ArtifactsInput!$N$10+1,15,18,21,24,27,30)*(IF(Inputs!$B$39="pvp",MIN(15,15)/15,IF(AND(Inputs!$B$39&lt;&gt;"pvp",Inputs!$B$44&gt;0),MIN(15,Inputs!$B$44)/(Inputs!$B$44),0))),0)))-100),0))*CHOOSE(ArtifactsInput!$N$42+1,0.6,0.72,0.84,0.96,1.08,1.2))),Inputs!$B$19+((C642=TRUE)*(F642-Calc!F23))+(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gt;=100),CHOOSE(ArtifactsInput!$N$42+1,40,48,56,64,72,80),0))))/100)*((1+(((C632=TRUE)*F632*IF(AND(Inputs!$B$39&lt;&gt;"pvp",Inputs!$B$44&gt;0),(((R632-1)*MIN((Skills!T13*(1+Inputs!$B$35/100)),(1/Q632))+MIN((Skills!T13*(1+Inputs!$B$35/100)),MAX(0,Inputs!$B$44-((R632-1)*(1/Q632)))))/Inputs!$B$44),IF(Inputs!$B$39="pvp",MIN((Skills!T13*(1+Inputs!$B$35/100)),15)/15,MIN(1,(Skills!T13*(1+Inputs!$B$35/100))/(1/Q632)))))+((C633=TRUE)*F633*IF(AND(Inputs!$B$39&lt;&gt;"pvp",Inputs!$B$44&gt;0),(((R633-1)*MIN((Skills!T14*(1+Inputs!$B$35/100)),(1/Q633))+MIN((Skills!T14*(1+Inputs!$B$35/100)),MAX(0,Inputs!$B$44-((R633-1)*(1/Q633)))))/Inputs!$B$44),IF(Inputs!$B$39="pvp",MIN((Skills!T14*(1+Inputs!$B$35/100)),15)/15,MIN(1,(Skills!T14*(1+Inputs!$B$35/100))/(1/Q633)))))+((C634=TRUE)*F634*IF(AND(Inputs!$B$39&lt;&gt;"pvp",Inputs!$B$44&gt;0),(((R634-1)*MIN((Skills!T15*(1+Inputs!$B$35/100)),(1/Q634))+MIN((Skills!T15*(1+Inputs!$B$35/100)),MAX(0,Inputs!$B$44-((R634-1)*(1/Q634)))))/Inputs!$B$44),IF(Inputs!$B$39="pvp",MIN((Skills!T15*(1+Inputs!$B$35/100)),15)/15,MIN(1,(Skills!T15*(1+Inputs!$B$35/100))/(1/Q634)))))+((C635=TRUE)*F635*IF(AND(Inputs!$B$39&lt;&gt;"pvp",Inputs!$B$44&gt;0),(((R635-1)*MIN((Skills!T16*(1+Inputs!$B$35/100)),(1/Q635))+MIN((Skills!T16*(1+Inputs!$B$35/100)),MAX(0,Inputs!$B$44-((R635-1)*(1/Q635)))))/Inputs!$B$44),IF(Inputs!$B$39="pvp",MIN((Skills!T16*(1+Inputs!$B$35/100)),15)/15,MIN(1,(Skills!T16*(1+Inputs!$B$35/100))/(1/Q635)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621)</f>
        <v/>
      </c>
      <c r="L621">
        <f>K621*(MIN(Inputs!$B$23+((C641=TRUE)*(F641-Calc!F22)),(Inputs!$B$24+((C643=TRUE)*(F643-Calc!F24))+(IF(ArtifactsInput!$M$15,CHOOSE(ArtifactsInput!$N$15+1,25,30,35,40,45,50)/100*(Inputs!$B$12-Inputs!$B$12),0))))/100+(Inputs!$B$24+((C643=TRUE)*(F643-Calc!F24))+(IF(ArtifactsInput!$M$15,CHOOSE(ArtifactsInput!$N$15+1,25,30,35,40,45,50)/100*(Inputs!$B$12-Inputs!$B$12),0)))/100)/2</f>
        <v/>
      </c>
      <c r="M621">
        <f>L621*(1+((Inputs!$B$11+1)+0+B653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621">
        <f>L621*(1-MIN((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621*(MIN((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21">
        <f>(1-Summary!$B$11)*T621+Summary!$B$11*V621</f>
        <v/>
      </c>
      <c r="P621">
        <f>IF(B658=0,0,O621/B658)</f>
        <v/>
      </c>
      <c r="Q621" t="n">
        <v>0</v>
      </c>
      <c r="R621" t="n">
        <v>0</v>
      </c>
      <c r="S621">
        <f>IFERROR(O621/N621,0)</f>
        <v/>
      </c>
      <c r="T621">
        <f>IF(C621,(Skills!G2*N621*B652)*IF(Inputs!$B$39="pvp",1,1+(Inputs!$B$21+0+Skills!P2+((C636=TRUE)*F636*IF(AND(Inputs!$B$39&lt;&gt;"pvp",Inputs!$B$44&gt;0),(((R636-1)*MIN((Skills!T17*(1+Inputs!$B$35/100)),(1/Q636))+MIN((Skills!T17*(1+Inputs!$B$35/100)),MAX(0,Inputs!$B$44-((R636-1)*(1/Q636)))))/Inputs!$B$44),IF(Inputs!$B$39="pvp",MIN((Skills!T17*(1+Inputs!$B$35/100)),15)/15,MIN(1,(Skills!T17*(1+Inputs!$B$35/100))/(1/Q636)))))+((C624=TRUE)*IF(Inputs!$B$3&gt;=126,10*MIN(1,15*Q624),0))+((C633=TRUE)*IF(Inputs!$B$39="pvp",20,(1-Summary!$B$11)*(20)+Summary!$B$11*(0))*IF(AND(Inputs!$B$39&lt;&gt;"pvp",Inputs!$B$44&gt;0),(((R633-1)*MIN((Skills!T14*(1+Inputs!$B$35/100)),(1/Q633))+MIN((Skills!T14*(1+Inputs!$B$35/100)),MAX(0,Inputs!$B$44-((R633-1)*(1/Q633)))))/Inputs!$B$44),IF(Inputs!$B$39="pvp",MIN((Skills!T14*(1+Inputs!$B$35/100)),15)/15,MIN(1,(Skills!T14*(1+Inputs!$B$35/100))/(1/Q633)))))+((C632=TRUE)*IF(Inputs!$B$3&gt;=82,IF(Inputs!$B$39="pvp",20,(1-Summary!$B$11)*(20)+Summary!$B$11*(0)),0)*IF(AND(Inputs!$B$39&lt;&gt;"pvp",Inputs!$B$44&gt;0),(((R632-1)*MIN((Skills!T13*(1+Inputs!$B$35/100)),(1/Q632))+MIN((Skills!T13*(1+Inputs!$B$35/100)),MAX(0,Inputs!$B$44-((R632-1)*(1/Q632)))))/Inputs!$B$44),IF(Inputs!$B$39="pvp",MIN((Skills!T13*(1+Inputs!$B$35/100)),15)/15,MIN(1,(Skills!T13*(1+Inputs!$B$35/100))/(1/Q632)))))+(IF(AND(ArtifactsInput!$M$35,Inputs!$B$4&lt;&gt;"Chapter Hunt"),CHOOSE(ArtifactsInput!$N$35+1,15,18,21,24,27,30)*(1-EXP(-(0.2*B650)*5)),0)+IF(AND(ArtifactsInput!$M$22,Inputs!$B$4&lt;&gt;"Chapter Hunt"),CHOOSE(ArtifactsInput!$N$22+1,10,12,14,16,18,20)*((0*(((0.15*B650*5))^0/1)+1*(((0.15*B650*5))^1/1)+2*(((0.15*B650*5))^2/2)+3*(((0.15*B650*5))^3/6)+4*(((0.15*B650*5))^4/24)+5*(((0.15*B650*5))^5/120))/((((0.15*B650*5))^0/1)+(((0.15*B650*5))^1/1)+(((0.15*B650*5))^2/2)+(((0.15*B650*5))^3/6)+(((0.15*B650*5))^4/24)+(((0.15*B650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621*(1-MIN(100,(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621*(MIN(100,(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621*(1-MIN(100,(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621*(MIN(100,(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621">
        <f>MAX(0,(Inputs!$B$3-100)*3)+Inputs!$B$29+Inputs!$B$30</f>
        <v/>
      </c>
      <c r="V621">
        <f>IF(C621,(Skills!G2*N621*B652)*IF(Inputs!$B$39="pvp",1,(1+(Inputs!$B$22+Skills!Q2+((C636=TRUE)*F636*IF(AND(Inputs!$B$39&lt;&gt;"pvp",Inputs!$B$44&gt;0),(((R636-1)*MIN((Skills!T17*(1+Inputs!$B$35/100)),(1/Q636))+MIN((Skills!T17*(1+Inputs!$B$35/100)),MAX(0,Inputs!$B$44-((R636-1)*(1/Q636)))))/Inputs!$B$44),IF(Inputs!$B$39="pvp",MIN((Skills!T17*(1+Inputs!$B$35/100)),15)/15,MIN(1,(Skills!T17*(1+Inputs!$B$35/100))/(1/Q636)))))+((C624=TRUE)*IF(Inputs!$B$3&gt;=126,10*MIN(1,15*Q624),0))+((C633=TRUE)*IF(Inputs!$B$39="pvp",20,(1-Summary!$B$11)*(20)+Summary!$B$11*(0))*IF(AND(Inputs!$B$39&lt;&gt;"pvp",Inputs!$B$44&gt;0),(((R633-1)*MIN((Skills!T14*(1+Inputs!$B$35/100)),(1/Q633))+MIN((Skills!T14*(1+Inputs!$B$35/100)),MAX(0,Inputs!$B$44-((R633-1)*(1/Q633)))))/Inputs!$B$44),IF(Inputs!$B$39="pvp",MIN((Skills!T14*(1+Inputs!$B$35/100)),15)/15,MIN(1,(Skills!T14*(1+Inputs!$B$35/100))/(1/Q633)))))+((C632=TRUE)*IF(Inputs!$B$3&gt;=82,IF(Inputs!$B$39="pvp",20,(1-Summary!$B$11)*(20)+Summary!$B$11*(0)),0)*IF(AND(Inputs!$B$39&lt;&gt;"pvp",Inputs!$B$44&gt;0),(((R632-1)*MIN((Skills!T13*(1+Inputs!$B$35/100)),(1/Q632))+MIN((Skills!T13*(1+Inputs!$B$35/100)),MAX(0,Inputs!$B$44-((R632-1)*(1/Q632)))))/Inputs!$B$44),IF(Inputs!$B$39="pvp",MIN((Skills!T13*(1+Inputs!$B$35/100)),15)/15,MIN(1,(Skills!T13*(1+Inputs!$B$35/100))/(1/Q632)))))+(IF(AND(ArtifactsInput!$M$35,Inputs!$B$4&lt;&gt;"Chapter Hunt"),CHOOSE(ArtifactsInput!$N$35+1,15,18,21,24,27,30)*(1-EXP(-(0.2*B650)*5)),0)+IF(AND(ArtifactsInput!$M$22,Inputs!$B$4&lt;&gt;"Chapter Hunt"),CHOOSE(ArtifactsInput!$N$22+1,10,12,14,16,18,20)*((0*(((0.15*B650*5))^0/1)+1*(((0.15*B650*5))^1/1)+2*(((0.15*B650*5))^2/2)+3*(((0.15*B650*5))^3/6)+4*(((0.15*B650*5))^4/24)+5*(((0.15*B650*5))^5/120))/((((0.15*B650*5))^0/1)+(((0.15*B650*5))^1/1)+(((0.15*B650*5))^2/2)+(((0.15*B650*5))^3/6)+(((0.15*B650*5))^4/24)+(((0.15*B650*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22">
      <c r="A622">
        <f>Skills!A3</f>
        <v/>
      </c>
      <c r="B622">
        <f>Skills!B3</f>
        <v/>
      </c>
      <c r="C622">
        <f>Inputs!$B$3&gt;=50</f>
        <v/>
      </c>
      <c r="D622">
        <f>IF(Skills!C3=1,60+Inputs!$B$26+Inputs!$B$30,IF(Skills!C3=2,90+Inputs!$B$27+Inputs!$B$30,IF(Skills!C3=3,120+Inputs!$B$28+Inputs!$B$30,MAX(0,(Inputs!$B$3-100)*3)+Inputs!$B$29+Inputs!$B$30)))</f>
        <v/>
      </c>
      <c r="E622">
        <f>INDEX(FactorTable!$B$2:$Y$301, MATCH(ROUND(MIN(300,MAX(1,D622)),0), FactorTable!$A$2:$A$301,0), Skills!M3+1)</f>
        <v/>
      </c>
      <c r="F622">
        <f>IF(Skills!N3=TRUE,(Skills!L3/10)*(E622/1000),Skills!L3/10)+Skills!O3</f>
        <v/>
      </c>
      <c r="G622" t="inlineStr"/>
      <c r="H622" t="inlineStr"/>
      <c r="I622" t="inlineStr">
        <is>
          <t>1</t>
        </is>
      </c>
      <c r="J622" t="inlineStr"/>
      <c r="K622" t="inlineStr"/>
      <c r="L622" t="inlineStr"/>
      <c r="M622" t="inlineStr"/>
      <c r="N622" t="inlineStr"/>
      <c r="O622" t="inlineStr"/>
      <c r="P622" t="inlineStr"/>
      <c r="Q622" t="inlineStr"/>
      <c r="R622" t="inlineStr"/>
      <c r="S622" t="inlineStr"/>
      <c r="U622">
        <f>INDEX(FactorTable!$B$2:$Y$301, MATCH(ROUND(MIN(300,MAX(1,U621)),0), FactorTable!$A$2:$A$301,0), 22)</f>
        <v/>
      </c>
    </row>
    <row r="623">
      <c r="A623">
        <f>Skills!A4</f>
        <v/>
      </c>
      <c r="B623">
        <f>Skills!B4</f>
        <v/>
      </c>
      <c r="C623">
        <f>Inputs!$B$3&gt;=105</f>
        <v/>
      </c>
      <c r="D623">
        <f>IF(Skills!C4=1,60+Inputs!$B$26+Inputs!$B$30,IF(Skills!C4=2,90+Inputs!$B$27+Inputs!$B$30,IF(Skills!C4=3,120+Inputs!$B$28+Inputs!$B$30,MAX(0,(Inputs!$B$3-100)*3)+Inputs!$B$29+Inputs!$B$30)))</f>
        <v/>
      </c>
      <c r="E623">
        <f>INDEX(FactorTable!$B$2:$Y$301, MATCH(ROUND(MIN(300,MAX(1,D623)),0), FactorTable!$A$2:$A$301,0), Skills!M4+1)</f>
        <v/>
      </c>
      <c r="F623">
        <f>IF(Skills!N4=TRUE,(Skills!L4/10)*(E623/1000),Skills!L4/10)+Skills!O4</f>
        <v/>
      </c>
      <c r="G623" t="inlineStr"/>
      <c r="H623" t="inlineStr"/>
      <c r="I623" t="inlineStr">
        <is>
          <t>1</t>
        </is>
      </c>
      <c r="J623" t="inlineStr"/>
      <c r="K623" t="inlineStr"/>
      <c r="L623" t="inlineStr"/>
      <c r="M623" t="inlineStr"/>
      <c r="N623" t="inlineStr"/>
      <c r="O623" t="inlineStr"/>
      <c r="P623" t="inlineStr"/>
      <c r="Q623" t="inlineStr"/>
      <c r="R623" t="inlineStr"/>
      <c r="S623" t="inlineStr"/>
      <c r="U623">
        <f>290*U622/1000</f>
        <v/>
      </c>
    </row>
    <row r="624">
      <c r="A624">
        <f>Skills!A5</f>
        <v/>
      </c>
      <c r="B624">
        <f>Skills!B5</f>
        <v/>
      </c>
      <c r="C624">
        <f>Inputs!$B$3&gt;=117</f>
        <v/>
      </c>
      <c r="D624">
        <f>IF(Skills!C5=1,60+Inputs!$B$26+Inputs!$B$30,IF(Skills!C5=2,90+Inputs!$B$27+Inputs!$B$30,IF(Skills!C5=3,120+Inputs!$B$28+Inputs!$B$30,MAX(0,(Inputs!$B$3-100)*3)+Inputs!$B$29+Inputs!$B$30)))</f>
        <v/>
      </c>
      <c r="E624">
        <f>INDEX(FactorTable!$B$2:$Y$301, MATCH(ROUND(MIN(300,MAX(1,D624)),0), FactorTable!$A$2:$A$301,0), Skills!M5+1)</f>
        <v/>
      </c>
      <c r="F624">
        <f>IF(Skills!N5=TRUE,(Skills!L5/10)*(E624/1000),Skills!L5/10)+Skills!O5</f>
        <v/>
      </c>
      <c r="G624">
        <f>Skills!G5*IF(Skills!H5&gt;0,INT(IF(Inputs!$B$39="pvp",MIN(Skills!I5,15),Skills!I5)/Skills!H5+0.000000001),1)</f>
        <v/>
      </c>
      <c r="H624">
        <f>1-(1-Skills!J5/100)^Skills!K5</f>
        <v/>
      </c>
      <c r="I624" t="inlineStr">
        <is>
          <t>1</t>
        </is>
      </c>
      <c r="J624">
        <f>((Inputs!$B$6*(1+Inputs!$B$7/100))+(((Inputs!$B$13*(1+Inputs!$B$14/100))-(Inputs!$B$13*(1+Inputs!$B$14/100)))+0.25*(Inputs!$B$15-Inputs!$B$15))*(1+Inputs!$B$7/100))*(F624/100)</f>
        <v/>
      </c>
      <c r="K624">
        <f>J624*(1+(((Inputs!$B$13+IF(Inputs!$B$3&gt;=38,(10*INDEX(FactorTable!$B$2:$Y$301, MATCH(ROUND(MIN(300,MAX(1,Inputs!$B$3)),0), FactorTable!$A$2:$A$301,0), 23)/1000)/100*(Inputs!$B$8*(1+Inputs!$B$9/100)),0))*(1+Inputs!$B$14/100))*0.01+Inputs!$B$15*0.0025)/100)*(1+Inputs!$B$16/100)*(1+Inputs!$B$17/100)*(5000/(6000+Inputs!$B$43*(1-(Inputs!$B$20+0)/100)))*(1+(Inputs!$B$25+((C644=TRUE)*(F644-Calc!F25))+((C645=TRUE)*(F645-Calc!F26))+B654)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gt;=100),MIN(100,((Inputs!$B$10+0+B648+(ArtifactsInput!$M$24-ArtifactsInput!$M$24)*CHOOSE(ArtifactsInput!$N$24+1,10,12,14,16,18,20)+IF(ArtifactsInput!$M$10,CHOOSE(ArtifactsInput!$N$10+1,15,18,21,24,27,30)*(IF(Inputs!$B$39="pvp",MIN(15,15)/15,IF(AND(Inputs!$B$39&lt;&gt;"pvp",Inputs!$B$44&gt;0),MIN(15,Inputs!$B$44)/(Inputs!$B$44),0))),0)))-100),0))*CHOOSE(ArtifactsInput!$N$42+1,0.6,0.72,0.84,0.96,1.08,1.2))),Inputs!$B$19+((C642=TRUE)*(F642-Calc!F23))+(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gt;=100),CHOOSE(ArtifactsInput!$N$42+1,40,48,56,64,72,80),0))))/100)*((1+(((C632=TRUE)*F632*IF(AND(Inputs!$B$39&lt;&gt;"pvp",Inputs!$B$44&gt;0),(((R632-1)*MIN((Skills!T13*(1+Inputs!$B$35/100)),(1/Q632))+MIN((Skills!T13*(1+Inputs!$B$35/100)),MAX(0,Inputs!$B$44-((R632-1)*(1/Q632)))))/Inputs!$B$44),IF(Inputs!$B$39="pvp",MIN((Skills!T13*(1+Inputs!$B$35/100)),15)/15,MIN(1,(Skills!T13*(1+Inputs!$B$35/100))/(1/Q632)))))+((C633=TRUE)*F633*IF(AND(Inputs!$B$39&lt;&gt;"pvp",Inputs!$B$44&gt;0),(((R633-1)*MIN((Skills!T14*(1+Inputs!$B$35/100)),(1/Q633))+MIN((Skills!T14*(1+Inputs!$B$35/100)),MAX(0,Inputs!$B$44-((R633-1)*(1/Q633)))))/Inputs!$B$44),IF(Inputs!$B$39="pvp",MIN((Skills!T14*(1+Inputs!$B$35/100)),15)/15,MIN(1,(Skills!T14*(1+Inputs!$B$35/100))/(1/Q633)))))+((C634=TRUE)*F634*IF(AND(Inputs!$B$39&lt;&gt;"pvp",Inputs!$B$44&gt;0),(((R634-1)*MIN((Skills!T15*(1+Inputs!$B$35/100)),(1/Q634))+MIN((Skills!T15*(1+Inputs!$B$35/100)),MAX(0,Inputs!$B$44-((R634-1)*(1/Q634)))))/Inputs!$B$44),IF(Inputs!$B$39="pvp",MIN((Skills!T15*(1+Inputs!$B$35/100)),15)/15,MIN(1,(Skills!T15*(1+Inputs!$B$35/100))/(1/Q634)))))+((C635=TRUE)*F635*IF(AND(Inputs!$B$39&lt;&gt;"pvp",Inputs!$B$44&gt;0),(((R635-1)*MIN((Skills!T16*(1+Inputs!$B$35/100)),(1/Q635))+MIN((Skills!T16*(1+Inputs!$B$35/100)),MAX(0,Inputs!$B$44-((R635-1)*(1/Q635)))))/Inputs!$B$44),IF(Inputs!$B$39="pvp",MIN((Skills!T16*(1+Inputs!$B$35/100)),15)/15,MIN(1,(Skills!T16*(1+Inputs!$B$35/100))/(1/Q635)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624)</f>
        <v/>
      </c>
      <c r="L624">
        <f>K624*(MIN(Inputs!$B$23+((C641=TRUE)*(F641-Calc!F22)),(Inputs!$B$24+((C643=TRUE)*(F643-Calc!F24))+(IF(ArtifactsInput!$M$15,CHOOSE(ArtifactsInput!$N$15+1,25,30,35,40,45,50)/100*(Inputs!$B$12-Inputs!$B$12),0))))/100+(Inputs!$B$24+((C643=TRUE)*(F643-Calc!F24))+(IF(ArtifactsInput!$M$15,CHOOSE(ArtifactsInput!$N$15+1,25,30,35,40,45,50)/100*(Inputs!$B$12-Inputs!$B$12),0)))/100)/2</f>
        <v/>
      </c>
      <c r="M624">
        <f>L624*(1+((Inputs!$B$11+1)+0+B653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624">
        <f>L624*(1-MIN((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624*(MIN((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24">
        <f>(1-Summary!$B$11)*T624+Summary!$B$11*V624</f>
        <v/>
      </c>
      <c r="P624">
        <f>IF(B658=0,0,O624/B658)</f>
        <v/>
      </c>
      <c r="Q624">
        <f>IFERROR(1/IF(Inputs!$B$39="pvp",15,MAX(0.1,Skills!D5-IF(TRUE=TRUE,Inputs!$B$33,0))),0)</f>
        <v/>
      </c>
      <c r="R624">
        <f>IF(AND(Inputs!$B$39&lt;&gt;"pvp",Inputs!$B$44&gt;0),IF(MAX(0,Inputs!$B$44-B655)&lt;=0,0,(INT(MAX(0,Inputs!$B$44-B655)/IF(Inputs!$B$39="pvp",15,MAX(0.1,Skills!D5-IF(TRUE=TRUE,Inputs!$B$33,0))))+1)),0)</f>
        <v/>
      </c>
      <c r="S624">
        <f>IFERROR(O624/N624,0)</f>
        <v/>
      </c>
      <c r="T624">
        <f>IF(C624,(H624*N624*IF(AND(Inputs!$B$39&lt;&gt;"pvp",Inputs!$B$44&gt;0),((Skills!G5*((R624-1)*IF(Skills!H5&gt;0,INT(Skills!I5/Skills!H5+0.000000001),1)+IF(Skills!H5&gt;0,INT(MIN(Skills!I5,MAX(0,MAX(0,Inputs!$B$44-B655)-((R624-1)*IF(Inputs!$B$39="pvp",15,MAX(0.1,Skills!D5-IF(TRUE=TRUE,Inputs!$B$33,0))))))/Skills!H5+0.000000001),1)))/Inputs!$B$44),G624*Q624))*IF(Inputs!$B$39="pvp",1,1+(Inputs!$B$21+0+Skills!P5+((C636=TRUE)*F636*IF(AND(Inputs!$B$39&lt;&gt;"pvp",Inputs!$B$44&gt;0),(((R636-1)*MIN((Skills!T17*(1+Inputs!$B$35/100)),(1/Q636))+MIN((Skills!T17*(1+Inputs!$B$35/100)),MAX(0,Inputs!$B$44-((R636-1)*(1/Q636)))))/Inputs!$B$44),IF(Inputs!$B$39="pvp",MIN((Skills!T17*(1+Inputs!$B$35/100)),15)/15,MIN(1,(Skills!T17*(1+Inputs!$B$35/100))/(1/Q636)))))+((C624=TRUE)*IF(Inputs!$B$3&gt;=126,10*MIN(1,15*Q624),0))+((C633=TRUE)*IF(Inputs!$B$39="pvp",20,(1-Summary!$B$11)*(20)+Summary!$B$11*(0))*IF(AND(Inputs!$B$39&lt;&gt;"pvp",Inputs!$B$44&gt;0),(((R633-1)*MIN((Skills!T14*(1+Inputs!$B$35/100)),(1/Q633))+MIN((Skills!T14*(1+Inputs!$B$35/100)),MAX(0,Inputs!$B$44-((R633-1)*(1/Q633)))))/Inputs!$B$44),IF(Inputs!$B$39="pvp",MIN((Skills!T14*(1+Inputs!$B$35/100)),15)/15,MIN(1,(Skills!T14*(1+Inputs!$B$35/100))/(1/Q633)))))+((C632=TRUE)*IF(Inputs!$B$3&gt;=82,IF(Inputs!$B$39="pvp",20,(1-Summary!$B$11)*(20)+Summary!$B$11*(0)),0)*IF(AND(Inputs!$B$39&lt;&gt;"pvp",Inputs!$B$44&gt;0),(((R632-1)*MIN((Skills!T13*(1+Inputs!$B$35/100)),(1/Q632))+MIN((Skills!T13*(1+Inputs!$B$35/100)),MAX(0,Inputs!$B$44-((R632-1)*(1/Q632)))))/Inputs!$B$44),IF(Inputs!$B$39="pvp",MIN((Skills!T13*(1+Inputs!$B$35/100)),15)/15,MIN(1,(Skills!T13*(1+Inputs!$B$35/100))/(1/Q632)))))+(IF(AND(ArtifactsInput!$M$35,Inputs!$B$4&lt;&gt;"Chapter Hunt"),CHOOSE(ArtifactsInput!$N$35+1,15,18,21,24,27,30)*(1-EXP(-(0.2*B650)*5)),0)+IF(AND(ArtifactsInput!$M$22,Inputs!$B$4&lt;&gt;"Chapter Hunt"),CHOOSE(ArtifactsInput!$N$22+1,10,12,14,16,18,20)*((0*(((0.15*B650*5))^0/1)+1*(((0.15*B650*5))^1/1)+2*(((0.15*B650*5))^2/2)+3*(((0.15*B650*5))^3/6)+4*(((0.15*B650*5))^4/24)+5*(((0.15*B650*5))^5/120))/((((0.15*B650*5))^0/1)+(((0.15*B650*5))^1/1)+(((0.15*B650*5))^2/2)+(((0.15*B650*5))^3/6)+(((0.15*B650*5))^4/24)+(((0.15*B650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624*(1-MIN(100,(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624*(MIN(100,(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624*(1-MIN(100,(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624*(MIN(100,(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24">
        <f>IF(C624,(H624*N624*IF(AND(Inputs!$B$39&lt;&gt;"pvp",Inputs!$B$44&gt;0),((Skills!G5*((R624-1)*IF(Skills!H5&gt;0,INT(Skills!I5/Skills!H5+0.000000001),1)+IF(Skills!H5&gt;0,INT(MIN(Skills!I5,MAX(0,MAX(0,Inputs!$B$44-B655)-((R624-1)*IF(Inputs!$B$39="pvp",15,MAX(0.1,Skills!D5-IF(TRUE=TRUE,Inputs!$B$33,0))))))/Skills!H5+0.000000001),1)))/Inputs!$B$44),G624*Q624))*IF(Inputs!$B$39="pvp",1,(1+(Inputs!$B$22+Skills!Q5+((C636=TRUE)*F636*IF(AND(Inputs!$B$39&lt;&gt;"pvp",Inputs!$B$44&gt;0),(((R636-1)*MIN((Skills!T17*(1+Inputs!$B$35/100)),(1/Q636))+MIN((Skills!T17*(1+Inputs!$B$35/100)),MAX(0,Inputs!$B$44-((R636-1)*(1/Q636)))))/Inputs!$B$44),IF(Inputs!$B$39="pvp",MIN((Skills!T17*(1+Inputs!$B$35/100)),15)/15,MIN(1,(Skills!T17*(1+Inputs!$B$35/100))/(1/Q636)))))+((C624=TRUE)*IF(Inputs!$B$3&gt;=126,10*MIN(1,15*Q624),0))+((C633=TRUE)*IF(Inputs!$B$39="pvp",20,(1-Summary!$B$11)*(20)+Summary!$B$11*(0))*IF(AND(Inputs!$B$39&lt;&gt;"pvp",Inputs!$B$44&gt;0),(((R633-1)*MIN((Skills!T14*(1+Inputs!$B$35/100)),(1/Q633))+MIN((Skills!T14*(1+Inputs!$B$35/100)),MAX(0,Inputs!$B$44-((R633-1)*(1/Q633)))))/Inputs!$B$44),IF(Inputs!$B$39="pvp",MIN((Skills!T14*(1+Inputs!$B$35/100)),15)/15,MIN(1,(Skills!T14*(1+Inputs!$B$35/100))/(1/Q633)))))+((C632=TRUE)*IF(Inputs!$B$3&gt;=82,IF(Inputs!$B$39="pvp",20,(1-Summary!$B$11)*(20)+Summary!$B$11*(0)),0)*IF(AND(Inputs!$B$39&lt;&gt;"pvp",Inputs!$B$44&gt;0),(((R632-1)*MIN((Skills!T13*(1+Inputs!$B$35/100)),(1/Q632))+MIN((Skills!T13*(1+Inputs!$B$35/100)),MAX(0,Inputs!$B$44-((R632-1)*(1/Q632)))))/Inputs!$B$44),IF(Inputs!$B$39="pvp",MIN((Skills!T13*(1+Inputs!$B$35/100)),15)/15,MIN(1,(Skills!T13*(1+Inputs!$B$35/100))/(1/Q632)))))+(IF(AND(ArtifactsInput!$M$35,Inputs!$B$4&lt;&gt;"Chapter Hunt"),CHOOSE(ArtifactsInput!$N$35+1,15,18,21,24,27,30)*(1-EXP(-(0.2*B650)*5)),0)+IF(AND(ArtifactsInput!$M$22,Inputs!$B$4&lt;&gt;"Chapter Hunt"),CHOOSE(ArtifactsInput!$N$22+1,10,12,14,16,18,20)*((0*(((0.15*B650*5))^0/1)+1*(((0.15*B650*5))^1/1)+2*(((0.15*B650*5))^2/2)+3*(((0.15*B650*5))^3/6)+4*(((0.15*B650*5))^4/24)+5*(((0.15*B650*5))^5/120))/((((0.15*B650*5))^0/1)+(((0.15*B650*5))^1/1)+(((0.15*B650*5))^2/2)+(((0.15*B650*5))^3/6)+(((0.15*B650*5))^4/24)+(((0.15*B650*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25">
      <c r="A625">
        <f>Skills!A6</f>
        <v/>
      </c>
      <c r="B625">
        <f>Skills!B6</f>
        <v/>
      </c>
      <c r="C625">
        <f>Inputs!$B$3&gt;=103</f>
        <v/>
      </c>
      <c r="D625">
        <f>IF(Skills!C6=1,60+Inputs!$B$26+Inputs!$B$30,IF(Skills!C6=2,90+Inputs!$B$27+Inputs!$B$30,IF(Skills!C6=3,120+Inputs!$B$28+Inputs!$B$30,MAX(0,(Inputs!$B$3-100)*3)+Inputs!$B$29+Inputs!$B$30)))</f>
        <v/>
      </c>
      <c r="E625">
        <f>INDEX(FactorTable!$B$2:$Y$301, MATCH(ROUND(MIN(300,MAX(1,D625)),0), FactorTable!$A$2:$A$301,0), Skills!M6+1)</f>
        <v/>
      </c>
      <c r="F625">
        <f>IF(Skills!N6=TRUE,(Skills!L6/10)*(E625/1000),Skills!L6/10)+Skills!O6</f>
        <v/>
      </c>
      <c r="G625">
        <f>Skills!G6*IF(Skills!H6&gt;0,INT(IF(Inputs!$B$39="pvp",MIN(Skills!I6,15),Skills!I6)/Skills!H6+0.000000001),1)</f>
        <v/>
      </c>
      <c r="H625">
        <f>1-(1-Skills!J6/100)^Skills!K6</f>
        <v/>
      </c>
      <c r="I625" t="inlineStr">
        <is>
          <t>1</t>
        </is>
      </c>
      <c r="J625">
        <f>((Inputs!$B$6*(1+Inputs!$B$7/100))+(((Inputs!$B$13*(1+Inputs!$B$14/100))-(Inputs!$B$13*(1+Inputs!$B$14/100)))+0.25*(Inputs!$B$15-Inputs!$B$15))*(1+Inputs!$B$7/100))*(F625/100)</f>
        <v/>
      </c>
      <c r="K625">
        <f>J625*(1+(((Inputs!$B$13+IF(Inputs!$B$3&gt;=38,(10*INDEX(FactorTable!$B$2:$Y$301, MATCH(ROUND(MIN(300,MAX(1,Inputs!$B$3)),0), FactorTable!$A$2:$A$301,0), 23)/1000)/100*(Inputs!$B$8*(1+Inputs!$B$9/100)),0))*(1+Inputs!$B$14/100))*0.01+Inputs!$B$15*0.0025)/100)*(1+Inputs!$B$16/100)*(1+Inputs!$B$17/100)*(5000/(6000+Inputs!$B$43*(1-(Inputs!$B$20+0)/100)))*(1+(Inputs!$B$25+((C644=TRUE)*(F644-Calc!F25))+((C645=TRUE)*(F645-Calc!F26))+B654)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gt;=100),MIN(100,((Inputs!$B$10+0+B648+(ArtifactsInput!$M$24-ArtifactsInput!$M$24)*CHOOSE(ArtifactsInput!$N$24+1,10,12,14,16,18,20)+IF(ArtifactsInput!$M$10,CHOOSE(ArtifactsInput!$N$10+1,15,18,21,24,27,30)*(IF(Inputs!$B$39="pvp",MIN(15,15)/15,IF(AND(Inputs!$B$39&lt;&gt;"pvp",Inputs!$B$44&gt;0),MIN(15,Inputs!$B$44)/(Inputs!$B$44),0))),0)))-100),0))*CHOOSE(ArtifactsInput!$N$42+1,0.6,0.72,0.84,0.96,1.08,1.2))),Inputs!$B$19+((C642=TRUE)*(F642-Calc!F23))+(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gt;=100),CHOOSE(ArtifactsInput!$N$42+1,40,48,56,64,72,80),0))))/100)*((1+(((C632=TRUE)*F632*IF(AND(Inputs!$B$39&lt;&gt;"pvp",Inputs!$B$44&gt;0),(((R632-1)*MIN((Skills!T13*(1+Inputs!$B$35/100)),(1/Q632))+MIN((Skills!T13*(1+Inputs!$B$35/100)),MAX(0,Inputs!$B$44-((R632-1)*(1/Q632)))))/Inputs!$B$44),IF(Inputs!$B$39="pvp",MIN((Skills!T13*(1+Inputs!$B$35/100)),15)/15,MIN(1,(Skills!T13*(1+Inputs!$B$35/100))/(1/Q632)))))+((C633=TRUE)*F633*IF(AND(Inputs!$B$39&lt;&gt;"pvp",Inputs!$B$44&gt;0),(((R633-1)*MIN((Skills!T14*(1+Inputs!$B$35/100)),(1/Q633))+MIN((Skills!T14*(1+Inputs!$B$35/100)),MAX(0,Inputs!$B$44-((R633-1)*(1/Q633)))))/Inputs!$B$44),IF(Inputs!$B$39="pvp",MIN((Skills!T14*(1+Inputs!$B$35/100)),15)/15,MIN(1,(Skills!T14*(1+Inputs!$B$35/100))/(1/Q633)))))+((C634=TRUE)*F634*IF(AND(Inputs!$B$39&lt;&gt;"pvp",Inputs!$B$44&gt;0),(((R634-1)*MIN((Skills!T15*(1+Inputs!$B$35/100)),(1/Q634))+MIN((Skills!T15*(1+Inputs!$B$35/100)),MAX(0,Inputs!$B$44-((R634-1)*(1/Q634)))))/Inputs!$B$44),IF(Inputs!$B$39="pvp",MIN((Skills!T15*(1+Inputs!$B$35/100)),15)/15,MIN(1,(Skills!T15*(1+Inputs!$B$35/100))/(1/Q634)))))+((C635=TRUE)*F635*IF(AND(Inputs!$B$39&lt;&gt;"pvp",Inputs!$B$44&gt;0),(((R635-1)*MIN((Skills!T16*(1+Inputs!$B$35/100)),(1/Q635))+MIN((Skills!T16*(1+Inputs!$B$35/100)),MAX(0,Inputs!$B$44-((R635-1)*(1/Q635)))))/Inputs!$B$44),IF(Inputs!$B$39="pvp",MIN((Skills!T16*(1+Inputs!$B$35/100)),15)/15,MIN(1,(Skills!T16*(1+Inputs!$B$35/100))/(1/Q635)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625)</f>
        <v/>
      </c>
      <c r="L625">
        <f>K625*(MIN(Inputs!$B$23+((C641=TRUE)*(F641-Calc!F22)),(Inputs!$B$24+((C643=TRUE)*(F643-Calc!F24))+(IF(ArtifactsInput!$M$15,CHOOSE(ArtifactsInput!$N$15+1,25,30,35,40,45,50)/100*(Inputs!$B$12-Inputs!$B$12),0))))/100+(Inputs!$B$24+((C643=TRUE)*(F643-Calc!F24))+(IF(ArtifactsInput!$M$15,CHOOSE(ArtifactsInput!$N$15+1,25,30,35,40,45,50)/100*(Inputs!$B$12-Inputs!$B$12),0)))/100)/2</f>
        <v/>
      </c>
      <c r="M625">
        <f>L625*(1+((Inputs!$B$11+1)+0+B653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625">
        <f>L625*(1-MIN((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625*(MIN((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25">
        <f>(1-Summary!$B$11)*T625+Summary!$B$11*V625</f>
        <v/>
      </c>
      <c r="P625">
        <f>IF(B658=0,0,O625/B658)</f>
        <v/>
      </c>
      <c r="Q625">
        <f>IFERROR(1/IF(Inputs!$B$39="pvp",15,MAX(0.1,Skills!D6-IF(TRUE=TRUE,Inputs!$B$33,0))),0)</f>
        <v/>
      </c>
      <c r="R625">
        <f>IF(AND(Inputs!$B$39&lt;&gt;"pvp",Inputs!$B$44&gt;0),IF(MAX(0,Inputs!$B$44-B655)&lt;=0,0,(INT(MAX(0,Inputs!$B$44-B655)/IF(Inputs!$B$39="pvp",15,MAX(0.1,Skills!D6-IF(TRUE=TRUE,Inputs!$B$33,0))))+1)),0)</f>
        <v/>
      </c>
      <c r="S625">
        <f>IFERROR(O625/N625,0)</f>
        <v/>
      </c>
      <c r="T625">
        <f>IF(C625,(H625*N625*IF(AND(Inputs!$B$39&lt;&gt;"pvp",Inputs!$B$44&gt;0),((Skills!G6*((R625-1)*IF(Skills!H6&gt;0,INT(Skills!I6/Skills!H6+0.000000001),1)+IF(Skills!H6&gt;0,INT(MIN(Skills!I6,MAX(0,MAX(0,Inputs!$B$44-B655)-((R625-1)*IF(Inputs!$B$39="pvp",15,MAX(0.1,Skills!D6-IF(TRUE=TRUE,Inputs!$B$33,0))))))/Skills!H6+0.000000001),1)))/Inputs!$B$44),G625*Q625))*IF(Inputs!$B$39="pvp",1,1+(Inputs!$B$21+0+Skills!P6+((C636=TRUE)*F636*IF(AND(Inputs!$B$39&lt;&gt;"pvp",Inputs!$B$44&gt;0),(((R636-1)*MIN((Skills!T17*(1+Inputs!$B$35/100)),(1/Q636))+MIN((Skills!T17*(1+Inputs!$B$35/100)),MAX(0,Inputs!$B$44-((R636-1)*(1/Q636)))))/Inputs!$B$44),IF(Inputs!$B$39="pvp",MIN((Skills!T17*(1+Inputs!$B$35/100)),15)/15,MIN(1,(Skills!T17*(1+Inputs!$B$35/100))/(1/Q636)))))+((C624=TRUE)*IF(Inputs!$B$3&gt;=126,10*MIN(1,15*Q624),0))+((C633=TRUE)*IF(Inputs!$B$39="pvp",20,(1-Summary!$B$11)*(20)+Summary!$B$11*(0))*IF(AND(Inputs!$B$39&lt;&gt;"pvp",Inputs!$B$44&gt;0),(((R633-1)*MIN((Skills!T14*(1+Inputs!$B$35/100)),(1/Q633))+MIN((Skills!T14*(1+Inputs!$B$35/100)),MAX(0,Inputs!$B$44-((R633-1)*(1/Q633)))))/Inputs!$B$44),IF(Inputs!$B$39="pvp",MIN((Skills!T14*(1+Inputs!$B$35/100)),15)/15,MIN(1,(Skills!T14*(1+Inputs!$B$35/100))/(1/Q633)))))+((C632=TRUE)*IF(Inputs!$B$3&gt;=82,IF(Inputs!$B$39="pvp",20,(1-Summary!$B$11)*(20)+Summary!$B$11*(0)),0)*IF(AND(Inputs!$B$39&lt;&gt;"pvp",Inputs!$B$44&gt;0),(((R632-1)*MIN((Skills!T13*(1+Inputs!$B$35/100)),(1/Q632))+MIN((Skills!T13*(1+Inputs!$B$35/100)),MAX(0,Inputs!$B$44-((R632-1)*(1/Q632)))))/Inputs!$B$44),IF(Inputs!$B$39="pvp",MIN((Skills!T13*(1+Inputs!$B$35/100)),15)/15,MIN(1,(Skills!T13*(1+Inputs!$B$35/100))/(1/Q632)))))+(IF(AND(ArtifactsInput!$M$35,Inputs!$B$4&lt;&gt;"Chapter Hunt"),CHOOSE(ArtifactsInput!$N$35+1,15,18,21,24,27,30)*(1-EXP(-(0.2*B650)*5)),0)+IF(AND(ArtifactsInput!$M$22,Inputs!$B$4&lt;&gt;"Chapter Hunt"),CHOOSE(ArtifactsInput!$N$22+1,10,12,14,16,18,20)*((0*(((0.15*B650*5))^0/1)+1*(((0.15*B650*5))^1/1)+2*(((0.15*B650*5))^2/2)+3*(((0.15*B650*5))^3/6)+4*(((0.15*B650*5))^4/24)+5*(((0.15*B650*5))^5/120))/((((0.15*B650*5))^0/1)+(((0.15*B650*5))^1/1)+(((0.15*B650*5))^2/2)+(((0.15*B650*5))^3/6)+(((0.15*B650*5))^4/24)+(((0.15*B650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625*(1-MIN(100,(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625*(MIN(100,(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625*(1-MIN(100,(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625*(MIN(100,(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25">
        <f>IF(C625,(H625*N625*IF(AND(Inputs!$B$39&lt;&gt;"pvp",Inputs!$B$44&gt;0),((Skills!G6*((R625-1)*IF(Skills!H6&gt;0,INT(Skills!I6/Skills!H6+0.000000001),1)+IF(Skills!H6&gt;0,INT(MIN(Skills!I6,MAX(0,MAX(0,Inputs!$B$44-B655)-((R625-1)*IF(Inputs!$B$39="pvp",15,MAX(0.1,Skills!D6-IF(TRUE=TRUE,Inputs!$B$33,0))))))/Skills!H6+0.000000001),1)))/Inputs!$B$44),G625*Q625))*IF(Inputs!$B$39="pvp",1,(1+(Inputs!$B$22+Skills!Q6+((C636=TRUE)*F636*IF(AND(Inputs!$B$39&lt;&gt;"pvp",Inputs!$B$44&gt;0),(((R636-1)*MIN((Skills!T17*(1+Inputs!$B$35/100)),(1/Q636))+MIN((Skills!T17*(1+Inputs!$B$35/100)),MAX(0,Inputs!$B$44-((R636-1)*(1/Q636)))))/Inputs!$B$44),IF(Inputs!$B$39="pvp",MIN((Skills!T17*(1+Inputs!$B$35/100)),15)/15,MIN(1,(Skills!T17*(1+Inputs!$B$35/100))/(1/Q636)))))+((C624=TRUE)*IF(Inputs!$B$3&gt;=126,10*MIN(1,15*Q624),0))+((C633=TRUE)*IF(Inputs!$B$39="pvp",20,(1-Summary!$B$11)*(20)+Summary!$B$11*(0))*IF(AND(Inputs!$B$39&lt;&gt;"pvp",Inputs!$B$44&gt;0),(((R633-1)*MIN((Skills!T14*(1+Inputs!$B$35/100)),(1/Q633))+MIN((Skills!T14*(1+Inputs!$B$35/100)),MAX(0,Inputs!$B$44-((R633-1)*(1/Q633)))))/Inputs!$B$44),IF(Inputs!$B$39="pvp",MIN((Skills!T14*(1+Inputs!$B$35/100)),15)/15,MIN(1,(Skills!T14*(1+Inputs!$B$35/100))/(1/Q633)))))+((C632=TRUE)*IF(Inputs!$B$3&gt;=82,IF(Inputs!$B$39="pvp",20,(1-Summary!$B$11)*(20)+Summary!$B$11*(0)),0)*IF(AND(Inputs!$B$39&lt;&gt;"pvp",Inputs!$B$44&gt;0),(((R632-1)*MIN((Skills!T13*(1+Inputs!$B$35/100)),(1/Q632))+MIN((Skills!T13*(1+Inputs!$B$35/100)),MAX(0,Inputs!$B$44-((R632-1)*(1/Q632)))))/Inputs!$B$44),IF(Inputs!$B$39="pvp",MIN((Skills!T13*(1+Inputs!$B$35/100)),15)/15,MIN(1,(Skills!T13*(1+Inputs!$B$35/100))/(1/Q632)))))+(IF(AND(ArtifactsInput!$M$35,Inputs!$B$4&lt;&gt;"Chapter Hunt"),CHOOSE(ArtifactsInput!$N$35+1,15,18,21,24,27,30)*(1-EXP(-(0.2*B650)*5)),0)+IF(AND(ArtifactsInput!$M$22,Inputs!$B$4&lt;&gt;"Chapter Hunt"),CHOOSE(ArtifactsInput!$N$22+1,10,12,14,16,18,20)*((0*(((0.15*B650*5))^0/1)+1*(((0.15*B650*5))^1/1)+2*(((0.15*B650*5))^2/2)+3*(((0.15*B650*5))^3/6)+4*(((0.15*B650*5))^4/24)+5*(((0.15*B650*5))^5/120))/((((0.15*B650*5))^0/1)+(((0.15*B650*5))^1/1)+(((0.15*B650*5))^2/2)+(((0.15*B650*5))^3/6)+(((0.15*B650*5))^4/24)+(((0.15*B650*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26">
      <c r="A626">
        <f>Skills!A7</f>
        <v/>
      </c>
      <c r="B626">
        <f>Skills!B7</f>
        <v/>
      </c>
      <c r="C626">
        <f>Inputs!$B$3&gt;=40</f>
        <v/>
      </c>
      <c r="D626">
        <f>IF(Skills!C7=1,60+Inputs!$B$26+Inputs!$B$30,IF(Skills!C7=2,90+Inputs!$B$27+Inputs!$B$30,IF(Skills!C7=3,120+Inputs!$B$28+Inputs!$B$30,MAX(0,(Inputs!$B$3-100)*3)+Inputs!$B$29+Inputs!$B$30)))</f>
        <v/>
      </c>
      <c r="E626">
        <f>INDEX(FactorTable!$B$2:$Y$301, MATCH(ROUND(MIN(300,MAX(1,D626)),0), FactorTable!$A$2:$A$301,0), Skills!M7+1)</f>
        <v/>
      </c>
      <c r="F626">
        <f>IF(Skills!N7=TRUE,(Skills!L7/10)*(E626/1000),Skills!L7/10)+Skills!O7</f>
        <v/>
      </c>
      <c r="G626">
        <f>Skills!G7*IF(Skills!H7&gt;0,INT(IF(Inputs!$B$39="pvp",MIN(Skills!I7,15),Skills!I7)/Skills!H7+0.000000001),1)</f>
        <v/>
      </c>
      <c r="H626">
        <f>1-(1-Skills!J7/100)^Skills!K7</f>
        <v/>
      </c>
      <c r="I626" t="inlineStr">
        <is>
          <t>1</t>
        </is>
      </c>
      <c r="J626">
        <f>((Inputs!$B$6*(1+Inputs!$B$7/100))+(((Inputs!$B$13*(1+Inputs!$B$14/100))-(Inputs!$B$13*(1+Inputs!$B$14/100)))+0.25*(Inputs!$B$15-Inputs!$B$15))*(1+Inputs!$B$7/100))*(F626/100)</f>
        <v/>
      </c>
      <c r="K626">
        <f>J626*(1+(((Inputs!$B$13+IF(Inputs!$B$3&gt;=38,(10*INDEX(FactorTable!$B$2:$Y$301, MATCH(ROUND(MIN(300,MAX(1,Inputs!$B$3)),0), FactorTable!$A$2:$A$301,0), 23)/1000)/100*(Inputs!$B$8*(1+Inputs!$B$9/100)),0))*(1+Inputs!$B$14/100))*0.01+Inputs!$B$15*0.0025)/100)*(1+Inputs!$B$16/100)*(1+Inputs!$B$17/100)*(5000/(6000+Inputs!$B$43*(1-(Inputs!$B$20+0)/100)))*(1+(Inputs!$B$25+((C644=TRUE)*(F644-Calc!F25))+((C645=TRUE)*(F645-Calc!F26))+B654)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630=TRUE,F630,0)/100)*(1+(IF(Skills!A7="DARK_IMPALE",Inputs!$B$18+0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gt;=100),MIN(100,((Inputs!$B$10+0+B648+(ArtifactsInput!$M$24-ArtifactsInput!$M$24)*CHOOSE(ArtifactsInput!$N$24+1,10,12,14,16,18,20)+IF(ArtifactsInput!$M$10,CHOOSE(ArtifactsInput!$N$10+1,15,18,21,24,27,30)*(IF(Inputs!$B$39="pvp",MIN(15,15)/15,IF(AND(Inputs!$B$39&lt;&gt;"pvp",Inputs!$B$44&gt;0),MIN(15,Inputs!$B$44)/(Inputs!$B$44),0))),0)))-100),0))*CHOOSE(ArtifactsInput!$N$42+1,0.6,0.72,0.84,0.96,1.08,1.2))),Inputs!$B$19+((C642=TRUE)*(F642-Calc!F23))+(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gt;=100),CHOOSE(ArtifactsInput!$N$42+1,40,48,56,64,72,80),0))))/100)*((1+(((C632=TRUE)*F632*IF(AND(Inputs!$B$39&lt;&gt;"pvp",Inputs!$B$44&gt;0),(((R632-1)*MIN((Skills!T13*(1+Inputs!$B$35/100)),(1/Q632))+MIN((Skills!T13*(1+Inputs!$B$35/100)),MAX(0,Inputs!$B$44-((R632-1)*(1/Q632)))))/Inputs!$B$44),IF(Inputs!$B$39="pvp",MIN((Skills!T13*(1+Inputs!$B$35/100)),15)/15,MIN(1,(Skills!T13*(1+Inputs!$B$35/100))/(1/Q632)))))+((C633=TRUE)*F633*IF(AND(Inputs!$B$39&lt;&gt;"pvp",Inputs!$B$44&gt;0),(((R633-1)*MIN((Skills!T14*(1+Inputs!$B$35/100)),(1/Q633))+MIN((Skills!T14*(1+Inputs!$B$35/100)),MAX(0,Inputs!$B$44-((R633-1)*(1/Q633)))))/Inputs!$B$44),IF(Inputs!$B$39="pvp",MIN((Skills!T14*(1+Inputs!$B$35/100)),15)/15,MIN(1,(Skills!T14*(1+Inputs!$B$35/100))/(1/Q633)))))+((C634=TRUE)*F634*IF(AND(Inputs!$B$39&lt;&gt;"pvp",Inputs!$B$44&gt;0),(((R634-1)*MIN((Skills!T15*(1+Inputs!$B$35/100)),(1/Q634))+MIN((Skills!T15*(1+Inputs!$B$35/100)),MAX(0,Inputs!$B$44-((R634-1)*(1/Q634)))))/Inputs!$B$44),IF(Inputs!$B$39="pvp",MIN((Skills!T15*(1+Inputs!$B$35/100)),15)/15,MIN(1,(Skills!T15*(1+Inputs!$B$35/100))/(1/Q634)))))+((C635=TRUE)*F635*IF(AND(Inputs!$B$39&lt;&gt;"pvp",Inputs!$B$44&gt;0),(((R635-1)*MIN((Skills!T16*(1+Inputs!$B$35/100)),(1/Q635))+MIN((Skills!T16*(1+Inputs!$B$35/100)),MAX(0,Inputs!$B$44-((R635-1)*(1/Q635)))))/Inputs!$B$44),IF(Inputs!$B$39="pvp",MIN((Skills!T16*(1+Inputs!$B$35/100)),15)/15,MIN(1,(Skills!T16*(1+Inputs!$B$35/100))/(1/Q635)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626)</f>
        <v/>
      </c>
      <c r="L626">
        <f>K626*(MIN(Inputs!$B$23+((C641=TRUE)*(F641-Calc!F22)),(Inputs!$B$24+((C643=TRUE)*(F643-Calc!F24))+(IF(ArtifactsInput!$M$15,CHOOSE(ArtifactsInput!$N$15+1,25,30,35,40,45,50)/100*(Inputs!$B$12-Inputs!$B$12),0))))/100+(Inputs!$B$24+((C643=TRUE)*(F643-Calc!F24))+(IF(ArtifactsInput!$M$15,CHOOSE(ArtifactsInput!$N$15+1,25,30,35,40,45,50)/100*(Inputs!$B$12-Inputs!$B$12),0)))/100)/2</f>
        <v/>
      </c>
      <c r="M626">
        <f>L626*(1+((Inputs!$B$11+1)+0+B653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626">
        <f>L626*(1-MIN((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626*(MIN((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26">
        <f>(1-Summary!$B$11)*T626+Summary!$B$11*V626</f>
        <v/>
      </c>
      <c r="P626">
        <f>IF(B658=0,0,O626/B658)</f>
        <v/>
      </c>
      <c r="Q626">
        <f>IFERROR(1/IF(Inputs!$B$39="pvp",15,MAX(0.1,Skills!D7-IF(TRUE=TRUE,Inputs!$B$33,0))),0)</f>
        <v/>
      </c>
      <c r="R626">
        <f>IF(AND(Inputs!$B$39&lt;&gt;"pvp",Inputs!$B$44&gt;0),IF(MAX(0,Inputs!$B$44-B655)&lt;=0,0,(INT(MAX(0,Inputs!$B$44-B655)/IF(Inputs!$B$39="pvp",15,MAX(0.1,Skills!D7-IF(TRUE=TRUE,Inputs!$B$33,0))))+1)),0)</f>
        <v/>
      </c>
      <c r="S626">
        <f>IFERROR(O626/N626,0)</f>
        <v/>
      </c>
      <c r="T626">
        <f>IF(C626,(H626*N626*IF(AND(Inputs!$B$39&lt;&gt;"pvp",Inputs!$B$44&gt;0),((Skills!G7*((R626-1)*IF(Skills!H7&gt;0,INT(Skills!I7/Skills!H7+0.000000001),1)+IF(Skills!H7&gt;0,INT(MIN(Skills!I7,MAX(0,MAX(0,Inputs!$B$44-B655)-((R626-1)*IF(Inputs!$B$39="pvp",15,MAX(0.1,Skills!D7-IF(TRUE=TRUE,Inputs!$B$33,0))))))/Skills!H7+0.000000001),1)))/Inputs!$B$44),G626*Q626))*IF(Inputs!$B$39="pvp",1,1+(Inputs!$B$21+0+Skills!P7+((C636=TRUE)*F636*IF(AND(Inputs!$B$39&lt;&gt;"pvp",Inputs!$B$44&gt;0),(((R636-1)*MIN((Skills!T17*(1+Inputs!$B$35/100)),(1/Q636))+MIN((Skills!T17*(1+Inputs!$B$35/100)),MAX(0,Inputs!$B$44-((R636-1)*(1/Q636)))))/Inputs!$B$44),IF(Inputs!$B$39="pvp",MIN((Skills!T17*(1+Inputs!$B$35/100)),15)/15,MIN(1,(Skills!T17*(1+Inputs!$B$35/100))/(1/Q636)))))+((C624=TRUE)*IF(Inputs!$B$3&gt;=126,10*MIN(1,15*Q624),0))+((C633=TRUE)*IF(Inputs!$B$39="pvp",20,(1-Summary!$B$11)*(20)+Summary!$B$11*(0))*IF(AND(Inputs!$B$39&lt;&gt;"pvp",Inputs!$B$44&gt;0),(((R633-1)*MIN((Skills!T14*(1+Inputs!$B$35/100)),(1/Q633))+MIN((Skills!T14*(1+Inputs!$B$35/100)),MAX(0,Inputs!$B$44-((R633-1)*(1/Q633)))))/Inputs!$B$44),IF(Inputs!$B$39="pvp",MIN((Skills!T14*(1+Inputs!$B$35/100)),15)/15,MIN(1,(Skills!T14*(1+Inputs!$B$35/100))/(1/Q633)))))+((C632=TRUE)*IF(Inputs!$B$3&gt;=82,IF(Inputs!$B$39="pvp",20,(1-Summary!$B$11)*(20)+Summary!$B$11*(0)),0)*IF(AND(Inputs!$B$39&lt;&gt;"pvp",Inputs!$B$44&gt;0),(((R632-1)*MIN((Skills!T13*(1+Inputs!$B$35/100)),(1/Q632))+MIN((Skills!T13*(1+Inputs!$B$35/100)),MAX(0,Inputs!$B$44-((R632-1)*(1/Q632)))))/Inputs!$B$44),IF(Inputs!$B$39="pvp",MIN((Skills!T13*(1+Inputs!$B$35/100)),15)/15,MIN(1,(Skills!T13*(1+Inputs!$B$35/100))/(1/Q632)))))+(IF(AND(ArtifactsInput!$M$35,Inputs!$B$4&lt;&gt;"Chapter Hunt"),CHOOSE(ArtifactsInput!$N$35+1,15,18,21,24,27,30)*(1-EXP(-(0.2*B650)*5)),0)+IF(AND(ArtifactsInput!$M$22,Inputs!$B$4&lt;&gt;"Chapter Hunt"),CHOOSE(ArtifactsInput!$N$22+1,10,12,14,16,18,20)*((0*(((0.15*B650*5))^0/1)+1*(((0.15*B650*5))^1/1)+2*(((0.15*B650*5))^2/2)+3*(((0.15*B650*5))^3/6)+4*(((0.15*B650*5))^4/24)+5*(((0.15*B650*5))^5/120))/((((0.15*B650*5))^0/1)+(((0.15*B650*5))^1/1)+(((0.15*B650*5))^2/2)+(((0.15*B650*5))^3/6)+(((0.15*B650*5))^4/24)+(((0.15*B650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626*(1-MIN(100,(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626*(MIN(100,(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626*(1-MIN(100,(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626*(MIN(100,(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26">
        <f>IF(C626,(H626*N626*IF(AND(Inputs!$B$39&lt;&gt;"pvp",Inputs!$B$44&gt;0),((Skills!G7*((R626-1)*IF(Skills!H7&gt;0,INT(Skills!I7/Skills!H7+0.000000001),1)+IF(Skills!H7&gt;0,INT(MIN(Skills!I7,MAX(0,MAX(0,Inputs!$B$44-B655)-((R626-1)*IF(Inputs!$B$39="pvp",15,MAX(0.1,Skills!D7-IF(TRUE=TRUE,Inputs!$B$33,0))))))/Skills!H7+0.000000001),1)))/Inputs!$B$44),G626*Q626))*IF(Inputs!$B$39="pvp",1,(1+(Inputs!$B$22+Skills!Q7+((C636=TRUE)*F636*IF(AND(Inputs!$B$39&lt;&gt;"pvp",Inputs!$B$44&gt;0),(((R636-1)*MIN((Skills!T17*(1+Inputs!$B$35/100)),(1/Q636))+MIN((Skills!T17*(1+Inputs!$B$35/100)),MAX(0,Inputs!$B$44-((R636-1)*(1/Q636)))))/Inputs!$B$44),IF(Inputs!$B$39="pvp",MIN((Skills!T17*(1+Inputs!$B$35/100)),15)/15,MIN(1,(Skills!T17*(1+Inputs!$B$35/100))/(1/Q636)))))+((C624=TRUE)*IF(Inputs!$B$3&gt;=126,10*MIN(1,15*Q624),0))+((C633=TRUE)*IF(Inputs!$B$39="pvp",20,(1-Summary!$B$11)*(20)+Summary!$B$11*(0))*IF(AND(Inputs!$B$39&lt;&gt;"pvp",Inputs!$B$44&gt;0),(((R633-1)*MIN((Skills!T14*(1+Inputs!$B$35/100)),(1/Q633))+MIN((Skills!T14*(1+Inputs!$B$35/100)),MAX(0,Inputs!$B$44-((R633-1)*(1/Q633)))))/Inputs!$B$44),IF(Inputs!$B$39="pvp",MIN((Skills!T14*(1+Inputs!$B$35/100)),15)/15,MIN(1,(Skills!T14*(1+Inputs!$B$35/100))/(1/Q633)))))+((C632=TRUE)*IF(Inputs!$B$3&gt;=82,IF(Inputs!$B$39="pvp",20,(1-Summary!$B$11)*(20)+Summary!$B$11*(0)),0)*IF(AND(Inputs!$B$39&lt;&gt;"pvp",Inputs!$B$44&gt;0),(((R632-1)*MIN((Skills!T13*(1+Inputs!$B$35/100)),(1/Q632))+MIN((Skills!T13*(1+Inputs!$B$35/100)),MAX(0,Inputs!$B$44-((R632-1)*(1/Q632)))))/Inputs!$B$44),IF(Inputs!$B$39="pvp",MIN((Skills!T13*(1+Inputs!$B$35/100)),15)/15,MIN(1,(Skills!T13*(1+Inputs!$B$35/100))/(1/Q632)))))+(IF(AND(ArtifactsInput!$M$35,Inputs!$B$4&lt;&gt;"Chapter Hunt"),CHOOSE(ArtifactsInput!$N$35+1,15,18,21,24,27,30)*(1-EXP(-(0.2*B650)*5)),0)+IF(AND(ArtifactsInput!$M$22,Inputs!$B$4&lt;&gt;"Chapter Hunt"),CHOOSE(ArtifactsInput!$N$22+1,10,12,14,16,18,20)*((0*(((0.15*B650*5))^0/1)+1*(((0.15*B650*5))^1/1)+2*(((0.15*B650*5))^2/2)+3*(((0.15*B650*5))^3/6)+4*(((0.15*B650*5))^4/24)+5*(((0.15*B650*5))^5/120))/((((0.15*B650*5))^0/1)+(((0.15*B650*5))^1/1)+(((0.15*B650*5))^2/2)+(((0.15*B650*5))^3/6)+(((0.15*B650*5))^4/24)+(((0.15*B650*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27">
      <c r="A627">
        <f>Skills!A8</f>
        <v/>
      </c>
      <c r="B627">
        <f>Skills!B8</f>
        <v/>
      </c>
      <c r="C627">
        <f>Inputs!$B$3&gt;=75</f>
        <v/>
      </c>
      <c r="D627">
        <f>IF(Skills!C8=1,60+Inputs!$B$26+Inputs!$B$30,IF(Skills!C8=2,90+Inputs!$B$27+Inputs!$B$30,IF(Skills!C8=3,120+Inputs!$B$28+Inputs!$B$30,MAX(0,(Inputs!$B$3-100)*3)+Inputs!$B$29+Inputs!$B$30)))</f>
        <v/>
      </c>
      <c r="E627">
        <f>INDEX(FactorTable!$B$2:$Y$301, MATCH(ROUND(MIN(300,MAX(1,D627)),0), FactorTable!$A$2:$A$301,0), Skills!M8+1)</f>
        <v/>
      </c>
      <c r="F627">
        <f>IF(Skills!N8=TRUE,(Skills!L8/10)*(E627/1000),Skills!L8/10)+Skills!O8</f>
        <v/>
      </c>
      <c r="G627" t="inlineStr"/>
      <c r="H627" t="inlineStr"/>
      <c r="I627" t="inlineStr">
        <is>
          <t>1</t>
        </is>
      </c>
      <c r="J627" t="inlineStr"/>
      <c r="K627" t="inlineStr"/>
      <c r="L627" t="inlineStr"/>
      <c r="M627" t="inlineStr"/>
      <c r="N627" t="inlineStr"/>
      <c r="O627" t="inlineStr"/>
      <c r="P627" t="inlineStr"/>
      <c r="Q627" t="inlineStr"/>
      <c r="R627" t="inlineStr"/>
      <c r="S627" t="inlineStr"/>
    </row>
    <row r="628">
      <c r="A628">
        <f>Skills!A9</f>
        <v/>
      </c>
      <c r="B628">
        <f>Skills!B9</f>
        <v/>
      </c>
      <c r="C628">
        <f>Inputs!$B$3&gt;=60</f>
        <v/>
      </c>
      <c r="D628">
        <f>IF(Skills!C9=1,60+Inputs!$B$26+Inputs!$B$30,IF(Skills!C9=2,90+Inputs!$B$27+Inputs!$B$30,IF(Skills!C9=3,120+Inputs!$B$28+Inputs!$B$30,MAX(0,(Inputs!$B$3-100)*3)+Inputs!$B$29+Inputs!$B$30)))</f>
        <v/>
      </c>
      <c r="E628">
        <f>INDEX(FactorTable!$B$2:$Y$301, MATCH(ROUND(MIN(300,MAX(1,D628)),0), FactorTable!$A$2:$A$301,0), Skills!M9+1)</f>
        <v/>
      </c>
      <c r="F628">
        <f>IF(Skills!N9=TRUE,(Skills!L9/10)*(E628/1000),Skills!L9/10)+Skills!O9</f>
        <v/>
      </c>
      <c r="G628">
        <f>Skills!G9*IF(Skills!H9&gt;0,INT(IF(Inputs!$B$39="pvp",MIN(Skills!I9,15),Skills!I9)/Skills!H9+0.000000001),1)</f>
        <v/>
      </c>
      <c r="H628">
        <f>1-(1-Skills!J9/100)^Skills!K9</f>
        <v/>
      </c>
      <c r="I628" t="inlineStr">
        <is>
          <t>1</t>
        </is>
      </c>
      <c r="J628">
        <f>((Inputs!$B$6*(1+Inputs!$B$7/100))+(((Inputs!$B$13*(1+Inputs!$B$14/100))-(Inputs!$B$13*(1+Inputs!$B$14/100)))+0.25*(Inputs!$B$15-Inputs!$B$15))*(1+Inputs!$B$7/100))*(F628/100)</f>
        <v/>
      </c>
      <c r="K628">
        <f>J628*(1+(((Inputs!$B$13+IF(Inputs!$B$3&gt;=38,(10*INDEX(FactorTable!$B$2:$Y$301, MATCH(ROUND(MIN(300,MAX(1,Inputs!$B$3)),0), FactorTable!$A$2:$A$301,0), 23)/1000)/100*(Inputs!$B$8*(1+Inputs!$B$9/100)),0))*(1+Inputs!$B$14/100))*0.01+Inputs!$B$15*0.0025)/100)*(1+Inputs!$B$16/100)*(1+Inputs!$B$17/100)*(5000/(6000+Inputs!$B$43*(1-(Inputs!$B$20+0)/100)))*(1+(Inputs!$B$25+((C644=TRUE)*(F644-Calc!F25))+((C645=TRUE)*(F645-Calc!F26))+B654)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630=TRUE,F630,0)/100)*(1+(IF(Skills!A9="DARK_IMPALE",Inputs!$B$18+0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gt;=100),MIN(100,((Inputs!$B$10+0+B648+(ArtifactsInput!$M$24-ArtifactsInput!$M$24)*CHOOSE(ArtifactsInput!$N$24+1,10,12,14,16,18,20)+IF(ArtifactsInput!$M$10,CHOOSE(ArtifactsInput!$N$10+1,15,18,21,24,27,30)*(IF(Inputs!$B$39="pvp",MIN(15,15)/15,IF(AND(Inputs!$B$39&lt;&gt;"pvp",Inputs!$B$44&gt;0),MIN(15,Inputs!$B$44)/(Inputs!$B$44),0))),0)))-100),0))*CHOOSE(ArtifactsInput!$N$42+1,0.6,0.72,0.84,0.96,1.08,1.2))),Inputs!$B$19+((C642=TRUE)*(F642-Calc!F23))+(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gt;=100),CHOOSE(ArtifactsInput!$N$42+1,40,48,56,64,72,80),0))))/100)*((1+(((C632=TRUE)*F632*IF(AND(Inputs!$B$39&lt;&gt;"pvp",Inputs!$B$44&gt;0),(((R632-1)*MIN((Skills!T13*(1+Inputs!$B$35/100)),(1/Q632))+MIN((Skills!T13*(1+Inputs!$B$35/100)),MAX(0,Inputs!$B$44-((R632-1)*(1/Q632)))))/Inputs!$B$44),IF(Inputs!$B$39="pvp",MIN((Skills!T13*(1+Inputs!$B$35/100)),15)/15,MIN(1,(Skills!T13*(1+Inputs!$B$35/100))/(1/Q632)))))+((C633=TRUE)*F633*IF(AND(Inputs!$B$39&lt;&gt;"pvp",Inputs!$B$44&gt;0),(((R633-1)*MIN((Skills!T14*(1+Inputs!$B$35/100)),(1/Q633))+MIN((Skills!T14*(1+Inputs!$B$35/100)),MAX(0,Inputs!$B$44-((R633-1)*(1/Q633)))))/Inputs!$B$44),IF(Inputs!$B$39="pvp",MIN((Skills!T14*(1+Inputs!$B$35/100)),15)/15,MIN(1,(Skills!T14*(1+Inputs!$B$35/100))/(1/Q633)))))+((C634=TRUE)*F634*IF(AND(Inputs!$B$39&lt;&gt;"pvp",Inputs!$B$44&gt;0),(((R634-1)*MIN((Skills!T15*(1+Inputs!$B$35/100)),(1/Q634))+MIN((Skills!T15*(1+Inputs!$B$35/100)),MAX(0,Inputs!$B$44-((R634-1)*(1/Q634)))))/Inputs!$B$44),IF(Inputs!$B$39="pvp",MIN((Skills!T15*(1+Inputs!$B$35/100)),15)/15,MIN(1,(Skills!T15*(1+Inputs!$B$35/100))/(1/Q634)))))+((C635=TRUE)*F635*IF(AND(Inputs!$B$39&lt;&gt;"pvp",Inputs!$B$44&gt;0),(((R635-1)*MIN((Skills!T16*(1+Inputs!$B$35/100)),(1/Q635))+MIN((Skills!T16*(1+Inputs!$B$35/100)),MAX(0,Inputs!$B$44-((R635-1)*(1/Q635)))))/Inputs!$B$44),IF(Inputs!$B$39="pvp",MIN((Skills!T16*(1+Inputs!$B$35/100)),15)/15,MIN(1,(Skills!T16*(1+Inputs!$B$35/100))/(1/Q635)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628)</f>
        <v/>
      </c>
      <c r="L628">
        <f>K628*(MIN(Inputs!$B$23+((C641=TRUE)*(F641-Calc!F22)),(Inputs!$B$24+((C643=TRUE)*(F643-Calc!F24))+(IF(ArtifactsInput!$M$15,CHOOSE(ArtifactsInput!$N$15+1,25,30,35,40,45,50)/100*(Inputs!$B$12-Inputs!$B$12),0))))/100+(Inputs!$B$24+((C643=TRUE)*(F643-Calc!F24))+(IF(ArtifactsInput!$M$15,CHOOSE(ArtifactsInput!$N$15+1,25,30,35,40,45,50)/100*(Inputs!$B$12-Inputs!$B$12),0)))/100)/2</f>
        <v/>
      </c>
      <c r="M628">
        <f>L628*(1+((Inputs!$B$11+1)+0+B653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628">
        <f>L628*(1-MIN((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628*(MIN((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28">
        <f>(1-Summary!$B$11)*T628+Summary!$B$11*V628</f>
        <v/>
      </c>
      <c r="P628">
        <f>IF(B658=0,0,O628/B658)</f>
        <v/>
      </c>
      <c r="Q628">
        <f>IFERROR(1/IF(Inputs!$B$39="pvp",15,MAX(0.1,Skills!D9-IF(TRUE=TRUE,Inputs!$B$33,0))),0)</f>
        <v/>
      </c>
      <c r="R628">
        <f>IF(AND(Inputs!$B$39&lt;&gt;"pvp",Inputs!$B$44&gt;0),IF(MAX(0,Inputs!$B$44-B655)&lt;=0,0,(INT(MAX(0,Inputs!$B$44-B655)/IF(Inputs!$B$39="pvp",15,MAX(0.1,Skills!D9-IF(TRUE=TRUE,Inputs!$B$33,0))))+1)),0)</f>
        <v/>
      </c>
      <c r="S628">
        <f>IFERROR(O628/N628,0)</f>
        <v/>
      </c>
      <c r="T628">
        <f>IF(C628,(H628*N628*IF(AND(Inputs!$B$39&lt;&gt;"pvp",Inputs!$B$44&gt;0),((Skills!G9*((R628-1)*IF(Skills!H9&gt;0,INT(Skills!I9/Skills!H9+0.000000001),1)+IF(Skills!H9&gt;0,INT(MIN(Skills!I9,MAX(0,MAX(0,Inputs!$B$44-B655)-((R628-1)*IF(Inputs!$B$39="pvp",15,MAX(0.1,Skills!D9-IF(TRUE=TRUE,Inputs!$B$33,0))))))/Skills!H9+0.000000001),1)))/Inputs!$B$44),G628*Q628))*IF(Inputs!$B$39="pvp",1,1+(Inputs!$B$21+0+Skills!P9+((C636=TRUE)*F636*IF(AND(Inputs!$B$39&lt;&gt;"pvp",Inputs!$B$44&gt;0),(((R636-1)*MIN((Skills!T17*(1+Inputs!$B$35/100)),(1/Q636))+MIN((Skills!T17*(1+Inputs!$B$35/100)),MAX(0,Inputs!$B$44-((R636-1)*(1/Q636)))))/Inputs!$B$44),IF(Inputs!$B$39="pvp",MIN((Skills!T17*(1+Inputs!$B$35/100)),15)/15,MIN(1,(Skills!T17*(1+Inputs!$B$35/100))/(1/Q636)))))+((C624=TRUE)*IF(Inputs!$B$3&gt;=126,10*MIN(1,15*Q624),0))+((C633=TRUE)*IF(Inputs!$B$39="pvp",20,(1-Summary!$B$11)*(20)+Summary!$B$11*(0))*IF(AND(Inputs!$B$39&lt;&gt;"pvp",Inputs!$B$44&gt;0),(((R633-1)*MIN((Skills!T14*(1+Inputs!$B$35/100)),(1/Q633))+MIN((Skills!T14*(1+Inputs!$B$35/100)),MAX(0,Inputs!$B$44-((R633-1)*(1/Q633)))))/Inputs!$B$44),IF(Inputs!$B$39="pvp",MIN((Skills!T14*(1+Inputs!$B$35/100)),15)/15,MIN(1,(Skills!T14*(1+Inputs!$B$35/100))/(1/Q633)))))+((C632=TRUE)*IF(Inputs!$B$3&gt;=82,IF(Inputs!$B$39="pvp",20,(1-Summary!$B$11)*(20)+Summary!$B$11*(0)),0)*IF(AND(Inputs!$B$39&lt;&gt;"pvp",Inputs!$B$44&gt;0),(((R632-1)*MIN((Skills!T13*(1+Inputs!$B$35/100)),(1/Q632))+MIN((Skills!T13*(1+Inputs!$B$35/100)),MAX(0,Inputs!$B$44-((R632-1)*(1/Q632)))))/Inputs!$B$44),IF(Inputs!$B$39="pvp",MIN((Skills!T13*(1+Inputs!$B$35/100)),15)/15,MIN(1,(Skills!T13*(1+Inputs!$B$35/100))/(1/Q632)))))+(IF(AND(ArtifactsInput!$M$35,Inputs!$B$4&lt;&gt;"Chapter Hunt"),CHOOSE(ArtifactsInput!$N$35+1,15,18,21,24,27,30)*(1-EXP(-(0.2*B650)*5)),0)+IF(AND(ArtifactsInput!$M$22,Inputs!$B$4&lt;&gt;"Chapter Hunt"),CHOOSE(ArtifactsInput!$N$22+1,10,12,14,16,18,20)*((0*(((0.15*B650*5))^0/1)+1*(((0.15*B650*5))^1/1)+2*(((0.15*B650*5))^2/2)+3*(((0.15*B650*5))^3/6)+4*(((0.15*B650*5))^4/24)+5*(((0.15*B650*5))^5/120))/((((0.15*B650*5))^0/1)+(((0.15*B650*5))^1/1)+(((0.15*B650*5))^2/2)+(((0.15*B650*5))^3/6)+(((0.15*B650*5))^4/24)+(((0.15*B650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628*(1-MIN(100,(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628*(MIN(100,(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628*(1-MIN(100,(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628*(MIN(100,(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28">
        <f>IF(C628,(H628*N628*IF(AND(Inputs!$B$39&lt;&gt;"pvp",Inputs!$B$44&gt;0),((Skills!G9*((R628-1)*IF(Skills!H9&gt;0,INT(Skills!I9/Skills!H9+0.000000001),1)+IF(Skills!H9&gt;0,INT(MIN(Skills!I9,MAX(0,MAX(0,Inputs!$B$44-B655)-((R628-1)*IF(Inputs!$B$39="pvp",15,MAX(0.1,Skills!D9-IF(TRUE=TRUE,Inputs!$B$33,0))))))/Skills!H9+0.000000001),1)))/Inputs!$B$44),G628*Q628))*IF(Inputs!$B$39="pvp",1,(1+(Inputs!$B$22+Skills!Q9+((C636=TRUE)*F636*IF(AND(Inputs!$B$39&lt;&gt;"pvp",Inputs!$B$44&gt;0),(((R636-1)*MIN((Skills!T17*(1+Inputs!$B$35/100)),(1/Q636))+MIN((Skills!T17*(1+Inputs!$B$35/100)),MAX(0,Inputs!$B$44-((R636-1)*(1/Q636)))))/Inputs!$B$44),IF(Inputs!$B$39="pvp",MIN((Skills!T17*(1+Inputs!$B$35/100)),15)/15,MIN(1,(Skills!T17*(1+Inputs!$B$35/100))/(1/Q636)))))+((C624=TRUE)*IF(Inputs!$B$3&gt;=126,10*MIN(1,15*Q624),0))+((C633=TRUE)*IF(Inputs!$B$39="pvp",20,(1-Summary!$B$11)*(20)+Summary!$B$11*(0))*IF(AND(Inputs!$B$39&lt;&gt;"pvp",Inputs!$B$44&gt;0),(((R633-1)*MIN((Skills!T14*(1+Inputs!$B$35/100)),(1/Q633))+MIN((Skills!T14*(1+Inputs!$B$35/100)),MAX(0,Inputs!$B$44-((R633-1)*(1/Q633)))))/Inputs!$B$44),IF(Inputs!$B$39="pvp",MIN((Skills!T14*(1+Inputs!$B$35/100)),15)/15,MIN(1,(Skills!T14*(1+Inputs!$B$35/100))/(1/Q633)))))+((C632=TRUE)*IF(Inputs!$B$3&gt;=82,IF(Inputs!$B$39="pvp",20,(1-Summary!$B$11)*(20)+Summary!$B$11*(0)),0)*IF(AND(Inputs!$B$39&lt;&gt;"pvp",Inputs!$B$44&gt;0),(((R632-1)*MIN((Skills!T13*(1+Inputs!$B$35/100)),(1/Q632))+MIN((Skills!T13*(1+Inputs!$B$35/100)),MAX(0,Inputs!$B$44-((R632-1)*(1/Q632)))))/Inputs!$B$44),IF(Inputs!$B$39="pvp",MIN((Skills!T13*(1+Inputs!$B$35/100)),15)/15,MIN(1,(Skills!T13*(1+Inputs!$B$35/100))/(1/Q632)))))+(IF(AND(ArtifactsInput!$M$35,Inputs!$B$4&lt;&gt;"Chapter Hunt"),CHOOSE(ArtifactsInput!$N$35+1,15,18,21,24,27,30)*(1-EXP(-(0.2*B650)*5)),0)+IF(AND(ArtifactsInput!$M$22,Inputs!$B$4&lt;&gt;"Chapter Hunt"),CHOOSE(ArtifactsInput!$N$22+1,10,12,14,16,18,20)*((0*(((0.15*B650*5))^0/1)+1*(((0.15*B650*5))^1/1)+2*(((0.15*B650*5))^2/2)+3*(((0.15*B650*5))^3/6)+4*(((0.15*B650*5))^4/24)+5*(((0.15*B650*5))^5/120))/((((0.15*B650*5))^0/1)+(((0.15*B650*5))^1/1)+(((0.15*B650*5))^2/2)+(((0.15*B650*5))^3/6)+(((0.15*B650*5))^4/24)+(((0.15*B650*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29">
      <c r="A629">
        <f>Skills!A10</f>
        <v/>
      </c>
      <c r="B629">
        <f>Skills!B10</f>
        <v/>
      </c>
      <c r="C629">
        <f>Inputs!$B$3&gt;=110</f>
        <v/>
      </c>
      <c r="D629">
        <f>IF(Skills!C10=1,60+Inputs!$B$26+Inputs!$B$30,IF(Skills!C10=2,90+Inputs!$B$27+Inputs!$B$30,IF(Skills!C10=3,120+Inputs!$B$28+Inputs!$B$30,MAX(0,(Inputs!$B$3-100)*3)+Inputs!$B$29+Inputs!$B$30)))</f>
        <v/>
      </c>
      <c r="E629">
        <f>INDEX(FactorTable!$B$2:$Y$301, MATCH(ROUND(MIN(300,MAX(1,D629)),0), FactorTable!$A$2:$A$301,0), Skills!M10+1)</f>
        <v/>
      </c>
      <c r="F629">
        <f>IF(Skills!N10=TRUE,(Skills!L10/10)*(E629/1000),Skills!L10/10)+Skills!O10</f>
        <v/>
      </c>
      <c r="G629">
        <f>Skills!G10*IF(Skills!H10&gt;0,INT(IF(Inputs!$B$39="pvp",MIN(Skills!I10,15),Skills!I10)/Skills!H10+0.000000001),1)</f>
        <v/>
      </c>
      <c r="H629">
        <f>1-(1-Skills!J10/100)^Skills!K10</f>
        <v/>
      </c>
      <c r="I629" t="inlineStr">
        <is>
          <t>1</t>
        </is>
      </c>
      <c r="J629">
        <f>((Inputs!$B$6*(1+Inputs!$B$7/100))+(((Inputs!$B$13*(1+Inputs!$B$14/100))-(Inputs!$B$13*(1+Inputs!$B$14/100)))+0.25*(Inputs!$B$15-Inputs!$B$15))*(1+Inputs!$B$7/100))*(F629/100)</f>
        <v/>
      </c>
      <c r="K629">
        <f>J629*(1+(((Inputs!$B$13+IF(Inputs!$B$3&gt;=38,(10*INDEX(FactorTable!$B$2:$Y$301, MATCH(ROUND(MIN(300,MAX(1,Inputs!$B$3)),0), FactorTable!$A$2:$A$301,0), 23)/1000)/100*(Inputs!$B$8*(1+Inputs!$B$9/100)),0))*(1+Inputs!$B$14/100))*0.01+Inputs!$B$15*0.0025)/100)*(1+Inputs!$B$16/100)*(1+Inputs!$B$17/100)*(5000/(6000+Inputs!$B$43*(1-(Inputs!$B$20+0)/100)))*(1+(Inputs!$B$25+((C644=TRUE)*(F644-Calc!F25))+((C645=TRUE)*(F645-Calc!F26))+B654)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gt;=100),MIN(100,((Inputs!$B$10+0+B648+(ArtifactsInput!$M$24-ArtifactsInput!$M$24)*CHOOSE(ArtifactsInput!$N$24+1,10,12,14,16,18,20)+IF(ArtifactsInput!$M$10,CHOOSE(ArtifactsInput!$N$10+1,15,18,21,24,27,30)*(IF(Inputs!$B$39="pvp",MIN(15,15)/15,IF(AND(Inputs!$B$39&lt;&gt;"pvp",Inputs!$B$44&gt;0),MIN(15,Inputs!$B$44)/(Inputs!$B$44),0))),0)))-100),0))*CHOOSE(ArtifactsInput!$N$42+1,0.6,0.72,0.84,0.96,1.08,1.2))),Inputs!$B$19+((C642=TRUE)*(F642-Calc!F23))+(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gt;=100),CHOOSE(ArtifactsInput!$N$42+1,40,48,56,64,72,80),0))))/100)*((1+(((C632=TRUE)*F632*IF(AND(Inputs!$B$39&lt;&gt;"pvp",Inputs!$B$44&gt;0),(((R632-1)*MIN((Skills!T13*(1+Inputs!$B$35/100)),(1/Q632))+MIN((Skills!T13*(1+Inputs!$B$35/100)),MAX(0,Inputs!$B$44-((R632-1)*(1/Q632)))))/Inputs!$B$44),IF(Inputs!$B$39="pvp",MIN((Skills!T13*(1+Inputs!$B$35/100)),15)/15,MIN(1,(Skills!T13*(1+Inputs!$B$35/100))/(1/Q632)))))+((C633=TRUE)*F633*IF(AND(Inputs!$B$39&lt;&gt;"pvp",Inputs!$B$44&gt;0),(((R633-1)*MIN((Skills!T14*(1+Inputs!$B$35/100)),(1/Q633))+MIN((Skills!T14*(1+Inputs!$B$35/100)),MAX(0,Inputs!$B$44-((R633-1)*(1/Q633)))))/Inputs!$B$44),IF(Inputs!$B$39="pvp",MIN((Skills!T14*(1+Inputs!$B$35/100)),15)/15,MIN(1,(Skills!T14*(1+Inputs!$B$35/100))/(1/Q633)))))+((C634=TRUE)*F634*IF(AND(Inputs!$B$39&lt;&gt;"pvp",Inputs!$B$44&gt;0),(((R634-1)*MIN((Skills!T15*(1+Inputs!$B$35/100)),(1/Q634))+MIN((Skills!T15*(1+Inputs!$B$35/100)),MAX(0,Inputs!$B$44-((R634-1)*(1/Q634)))))/Inputs!$B$44),IF(Inputs!$B$39="pvp",MIN((Skills!T15*(1+Inputs!$B$35/100)),15)/15,MIN(1,(Skills!T15*(1+Inputs!$B$35/100))/(1/Q634)))))+((C635=TRUE)*F635*IF(AND(Inputs!$B$39&lt;&gt;"pvp",Inputs!$B$44&gt;0),(((R635-1)*MIN((Skills!T16*(1+Inputs!$B$35/100)),(1/Q635))+MIN((Skills!T16*(1+Inputs!$B$35/100)),MAX(0,Inputs!$B$44-((R635-1)*(1/Q635)))))/Inputs!$B$44),IF(Inputs!$B$39="pvp",MIN((Skills!T16*(1+Inputs!$B$35/100)),15)/15,MIN(1,(Skills!T16*(1+Inputs!$B$35/100))/(1/Q635)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629)</f>
        <v/>
      </c>
      <c r="L629">
        <f>K629*(MIN(Inputs!$B$23+((C641=TRUE)*(F641-Calc!F22)),(Inputs!$B$24+((C643=TRUE)*(F643-Calc!F24))+(IF(ArtifactsInput!$M$15,CHOOSE(ArtifactsInput!$N$15+1,25,30,35,40,45,50)/100*(Inputs!$B$12-Inputs!$B$12),0))))/100+(Inputs!$B$24+((C643=TRUE)*(F643-Calc!F24))+(IF(ArtifactsInput!$M$15,CHOOSE(ArtifactsInput!$N$15+1,25,30,35,40,45,50)/100*(Inputs!$B$12-Inputs!$B$12),0)))/100)/2</f>
        <v/>
      </c>
      <c r="M629">
        <f>L629*(1+((Inputs!$B$11+1)+0+B653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629">
        <f>L629*(1-MIN((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629*(MIN((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29">
        <f>(1-Summary!$B$11)*T629+Summary!$B$11*V629</f>
        <v/>
      </c>
      <c r="P629">
        <f>IF(B658=0,0,O629/B658)</f>
        <v/>
      </c>
      <c r="Q629">
        <f>IFERROR(1/IF(Inputs!$B$39="pvp",15,MAX(0.1,Skills!D10-IF(TRUE=TRUE,Inputs!$B$33,0))),0)</f>
        <v/>
      </c>
      <c r="R629">
        <f>IF(AND(Inputs!$B$39&lt;&gt;"pvp",Inputs!$B$44&gt;0),IF(MAX(0,Inputs!$B$44-B655)&lt;=0,0,(INT(MAX(0,Inputs!$B$44-B655)/IF(Inputs!$B$39="pvp",15,MAX(0.1,Skills!D10-IF(TRUE=TRUE,Inputs!$B$33,0))))+1)),0)</f>
        <v/>
      </c>
      <c r="S629">
        <f>IFERROR(O629/N629,0)</f>
        <v/>
      </c>
      <c r="T629">
        <f>IF(C629,(H629*N629*IF(AND(Inputs!$B$39&lt;&gt;"pvp",Inputs!$B$44&gt;0),((Skills!G10*((R629-1)*IF(Skills!H10&gt;0,INT(Skills!I10/Skills!H10+0.000000001),1)+IF(Skills!H10&gt;0,INT(MIN(Skills!I10,MAX(0,MAX(0,Inputs!$B$44-B655)-((R629-1)*IF(Inputs!$B$39="pvp",15,MAX(0.1,Skills!D10-IF(TRUE=TRUE,Inputs!$B$33,0))))))/Skills!H10+0.000000001),1)))/Inputs!$B$44),G629*Q629))*IF(Inputs!$B$39="pvp",1,1+(Inputs!$B$21+0+Skills!P10+((C636=TRUE)*F636*IF(AND(Inputs!$B$39&lt;&gt;"pvp",Inputs!$B$44&gt;0),(((R636-1)*MIN((Skills!T17*(1+Inputs!$B$35/100)),(1/Q636))+MIN((Skills!T17*(1+Inputs!$B$35/100)),MAX(0,Inputs!$B$44-((R636-1)*(1/Q636)))))/Inputs!$B$44),IF(Inputs!$B$39="pvp",MIN((Skills!T17*(1+Inputs!$B$35/100)),15)/15,MIN(1,(Skills!T17*(1+Inputs!$B$35/100))/(1/Q636)))))+((C624=TRUE)*IF(Inputs!$B$3&gt;=126,10*MIN(1,15*Q624),0))+((C633=TRUE)*IF(Inputs!$B$39="pvp",20,(1-Summary!$B$11)*(20)+Summary!$B$11*(0))*IF(AND(Inputs!$B$39&lt;&gt;"pvp",Inputs!$B$44&gt;0),(((R633-1)*MIN((Skills!T14*(1+Inputs!$B$35/100)),(1/Q633))+MIN((Skills!T14*(1+Inputs!$B$35/100)),MAX(0,Inputs!$B$44-((R633-1)*(1/Q633)))))/Inputs!$B$44),IF(Inputs!$B$39="pvp",MIN((Skills!T14*(1+Inputs!$B$35/100)),15)/15,MIN(1,(Skills!T14*(1+Inputs!$B$35/100))/(1/Q633)))))+((C632=TRUE)*IF(Inputs!$B$3&gt;=82,IF(Inputs!$B$39="pvp",20,(1-Summary!$B$11)*(20)+Summary!$B$11*(0)),0)*IF(AND(Inputs!$B$39&lt;&gt;"pvp",Inputs!$B$44&gt;0),(((R632-1)*MIN((Skills!T13*(1+Inputs!$B$35/100)),(1/Q632))+MIN((Skills!T13*(1+Inputs!$B$35/100)),MAX(0,Inputs!$B$44-((R632-1)*(1/Q632)))))/Inputs!$B$44),IF(Inputs!$B$39="pvp",MIN((Skills!T13*(1+Inputs!$B$35/100)),15)/15,MIN(1,(Skills!T13*(1+Inputs!$B$35/100))/(1/Q632)))))+(IF(AND(ArtifactsInput!$M$35,Inputs!$B$4&lt;&gt;"Chapter Hunt"),CHOOSE(ArtifactsInput!$N$35+1,15,18,21,24,27,30)*(1-EXP(-(0.2*B650)*5)),0)+IF(AND(ArtifactsInput!$M$22,Inputs!$B$4&lt;&gt;"Chapter Hunt"),CHOOSE(ArtifactsInput!$N$22+1,10,12,14,16,18,20)*((0*(((0.15*B650*5))^0/1)+1*(((0.15*B650*5))^1/1)+2*(((0.15*B650*5))^2/2)+3*(((0.15*B650*5))^3/6)+4*(((0.15*B650*5))^4/24)+5*(((0.15*B650*5))^5/120))/((((0.15*B650*5))^0/1)+(((0.15*B650*5))^1/1)+(((0.15*B650*5))^2/2)+(((0.15*B650*5))^3/6)+(((0.15*B650*5))^4/24)+(((0.15*B650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629*(1-MIN(100,(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629*(MIN(100,(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629*(1-MIN(100,(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629*(MIN(100,(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29">
        <f>IF(C629,(H629*N629*IF(AND(Inputs!$B$39&lt;&gt;"pvp",Inputs!$B$44&gt;0),((Skills!G10*((R629-1)*IF(Skills!H10&gt;0,INT(Skills!I10/Skills!H10+0.000000001),1)+IF(Skills!H10&gt;0,INT(MIN(Skills!I10,MAX(0,MAX(0,Inputs!$B$44-B655)-((R629-1)*IF(Inputs!$B$39="pvp",15,MAX(0.1,Skills!D10-IF(TRUE=TRUE,Inputs!$B$33,0))))))/Skills!H10+0.000000001),1)))/Inputs!$B$44),G629*Q629))*IF(Inputs!$B$39="pvp",1,(1+(Inputs!$B$22+Skills!Q10+((C636=TRUE)*F636*IF(AND(Inputs!$B$39&lt;&gt;"pvp",Inputs!$B$44&gt;0),(((R636-1)*MIN((Skills!T17*(1+Inputs!$B$35/100)),(1/Q636))+MIN((Skills!T17*(1+Inputs!$B$35/100)),MAX(0,Inputs!$B$44-((R636-1)*(1/Q636)))))/Inputs!$B$44),IF(Inputs!$B$39="pvp",MIN((Skills!T17*(1+Inputs!$B$35/100)),15)/15,MIN(1,(Skills!T17*(1+Inputs!$B$35/100))/(1/Q636)))))+((C624=TRUE)*IF(Inputs!$B$3&gt;=126,10*MIN(1,15*Q624),0))+((C633=TRUE)*IF(Inputs!$B$39="pvp",20,(1-Summary!$B$11)*(20)+Summary!$B$11*(0))*IF(AND(Inputs!$B$39&lt;&gt;"pvp",Inputs!$B$44&gt;0),(((R633-1)*MIN((Skills!T14*(1+Inputs!$B$35/100)),(1/Q633))+MIN((Skills!T14*(1+Inputs!$B$35/100)),MAX(0,Inputs!$B$44-((R633-1)*(1/Q633)))))/Inputs!$B$44),IF(Inputs!$B$39="pvp",MIN((Skills!T14*(1+Inputs!$B$35/100)),15)/15,MIN(1,(Skills!T14*(1+Inputs!$B$35/100))/(1/Q633)))))+((C632=TRUE)*IF(Inputs!$B$3&gt;=82,IF(Inputs!$B$39="pvp",20,(1-Summary!$B$11)*(20)+Summary!$B$11*(0)),0)*IF(AND(Inputs!$B$39&lt;&gt;"pvp",Inputs!$B$44&gt;0),(((R632-1)*MIN((Skills!T13*(1+Inputs!$B$35/100)),(1/Q632))+MIN((Skills!T13*(1+Inputs!$B$35/100)),MAX(0,Inputs!$B$44-((R632-1)*(1/Q632)))))/Inputs!$B$44),IF(Inputs!$B$39="pvp",MIN((Skills!T13*(1+Inputs!$B$35/100)),15)/15,MIN(1,(Skills!T13*(1+Inputs!$B$35/100))/(1/Q632)))))+(IF(AND(ArtifactsInput!$M$35,Inputs!$B$4&lt;&gt;"Chapter Hunt"),CHOOSE(ArtifactsInput!$N$35+1,15,18,21,24,27,30)*(1-EXP(-(0.2*B650)*5)),0)+IF(AND(ArtifactsInput!$M$22,Inputs!$B$4&lt;&gt;"Chapter Hunt"),CHOOSE(ArtifactsInput!$N$22+1,10,12,14,16,18,20)*((0*(((0.15*B650*5))^0/1)+1*(((0.15*B650*5))^1/1)+2*(((0.15*B650*5))^2/2)+3*(((0.15*B650*5))^3/6)+4*(((0.15*B650*5))^4/24)+5*(((0.15*B650*5))^5/120))/((((0.15*B650*5))^0/1)+(((0.15*B650*5))^1/1)+(((0.15*B650*5))^2/2)+(((0.15*B650*5))^3/6)+(((0.15*B650*5))^4/24)+(((0.15*B650*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30">
      <c r="A630">
        <f>Skills!A11</f>
        <v/>
      </c>
      <c r="B630">
        <f>Skills!B11</f>
        <v/>
      </c>
      <c r="C630">
        <f>Inputs!$B$3&gt;=100</f>
        <v/>
      </c>
      <c r="D630">
        <f>IF(Skills!C11=1,60+Inputs!$B$26+Inputs!$B$30,IF(Skills!C11=2,90+Inputs!$B$27+Inputs!$B$30,IF(Skills!C11=3,120+Inputs!$B$28+Inputs!$B$30,MAX(0,(Inputs!$B$3-100)*3)+Inputs!$B$29+Inputs!$B$30)))</f>
        <v/>
      </c>
      <c r="E630">
        <f>INDEX(FactorTable!$B$2:$Y$301, MATCH(ROUND(MIN(300,MAX(1,D630)),0), FactorTable!$A$2:$A$301,0), Skills!M11+1)</f>
        <v/>
      </c>
      <c r="F630">
        <f>IF(Skills!N11=TRUE,(Skills!L11/10)*(E630/1000),Skills!L11/10)+Skills!O11</f>
        <v/>
      </c>
      <c r="G630" t="inlineStr"/>
      <c r="H630" t="inlineStr"/>
      <c r="I630" t="inlineStr">
        <is>
          <t>1</t>
        </is>
      </c>
      <c r="J630" t="inlineStr"/>
      <c r="K630" t="inlineStr"/>
      <c r="L630" t="inlineStr"/>
      <c r="M630" t="inlineStr"/>
      <c r="N630" t="inlineStr"/>
      <c r="O630" t="inlineStr"/>
      <c r="P630" t="inlineStr"/>
      <c r="Q630" t="inlineStr"/>
      <c r="R630" t="inlineStr"/>
      <c r="S630" t="inlineStr"/>
    </row>
    <row r="631">
      <c r="A631">
        <f>Skills!A12</f>
        <v/>
      </c>
      <c r="B631">
        <f>Skills!B12</f>
        <v/>
      </c>
      <c r="C631">
        <f>Inputs!$B$3&gt;=63</f>
        <v/>
      </c>
      <c r="D631">
        <f>IF(Skills!C12=1,60+Inputs!$B$26+Inputs!$B$30,IF(Skills!C12=2,90+Inputs!$B$27+Inputs!$B$30,IF(Skills!C12=3,120+Inputs!$B$28+Inputs!$B$30,MAX(0,(Inputs!$B$3-100)*3)+Inputs!$B$29+Inputs!$B$30)))</f>
        <v/>
      </c>
      <c r="E631">
        <f>INDEX(FactorTable!$B$2:$Y$301, MATCH(ROUND(MIN(300,MAX(1,D631)),0), FactorTable!$A$2:$A$301,0), Skills!M12+1)</f>
        <v/>
      </c>
      <c r="F631">
        <f>IF(Skills!N12=TRUE,(Skills!L12/10)*(E631/1000),Skills!L12/10)+Skills!O12</f>
        <v/>
      </c>
      <c r="G631">
        <f>Skills!G12*IF(Skills!H12&gt;0,INT(IF(Inputs!$B$39="pvp",MIN(Skills!I12,15),Skills!I12)/Skills!H12+0.000000001),1)</f>
        <v/>
      </c>
      <c r="H631">
        <f>1-(1-Skills!J12/100)^Skills!K12</f>
        <v/>
      </c>
      <c r="I631" t="inlineStr">
        <is>
          <t>1</t>
        </is>
      </c>
      <c r="J631">
        <f>((Inputs!$B$6*(1+Inputs!$B$7/100))+(((Inputs!$B$13*(1+Inputs!$B$14/100))-(Inputs!$B$13*(1+Inputs!$B$14/100)))+0.25*(Inputs!$B$15-Inputs!$B$15))*(1+Inputs!$B$7/100))*(F631/100)</f>
        <v/>
      </c>
      <c r="K631">
        <f>J631*(1+(((Inputs!$B$13+IF(Inputs!$B$3&gt;=38,(10*INDEX(FactorTable!$B$2:$Y$301, MATCH(ROUND(MIN(300,MAX(1,Inputs!$B$3)),0), FactorTable!$A$2:$A$301,0), 23)/1000)/100*(Inputs!$B$8*(1+Inputs!$B$9/100)),0))*(1+Inputs!$B$14/100))*0.01+Inputs!$B$15*0.0025)/100)*(1+Inputs!$B$16/100)*(1+Inputs!$B$17/100)*(5000/(6000+Inputs!$B$43*(1-(Inputs!$B$20+0)/100)))*(1+(Inputs!$B$25+((C644=TRUE)*(F644-Calc!F25))+((C645=TRUE)*(F645-Calc!F26))+B654)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630=TRUE,F630,0)/100)*(1+(IF(Skills!A12="DARK_IMPALE",Inputs!$B$18+0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gt;=100),MIN(100,((Inputs!$B$10+0+B648+(ArtifactsInput!$M$24-ArtifactsInput!$M$24)*CHOOSE(ArtifactsInput!$N$24+1,10,12,14,16,18,20)+IF(ArtifactsInput!$M$10,CHOOSE(ArtifactsInput!$N$10+1,15,18,21,24,27,30)*(IF(Inputs!$B$39="pvp",MIN(15,15)/15,IF(AND(Inputs!$B$39&lt;&gt;"pvp",Inputs!$B$44&gt;0),MIN(15,Inputs!$B$44)/(Inputs!$B$44),0))),0)))-100),0))*CHOOSE(ArtifactsInput!$N$42+1,0.6,0.72,0.84,0.96,1.08,1.2))),Inputs!$B$19+((C642=TRUE)*(F642-Calc!F23))+(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gt;=100),CHOOSE(ArtifactsInput!$N$42+1,40,48,56,64,72,80),0))))/100)*((1+(((C632=TRUE)*F632*IF(AND(Inputs!$B$39&lt;&gt;"pvp",Inputs!$B$44&gt;0),(((R632-1)*MIN((Skills!T13*(1+Inputs!$B$35/100)),(1/Q632))+MIN((Skills!T13*(1+Inputs!$B$35/100)),MAX(0,Inputs!$B$44-((R632-1)*(1/Q632)))))/Inputs!$B$44),IF(Inputs!$B$39="pvp",MIN((Skills!T13*(1+Inputs!$B$35/100)),15)/15,MIN(1,(Skills!T13*(1+Inputs!$B$35/100))/(1/Q632)))))+((C633=TRUE)*F633*IF(AND(Inputs!$B$39&lt;&gt;"pvp",Inputs!$B$44&gt;0),(((R633-1)*MIN((Skills!T14*(1+Inputs!$B$35/100)),(1/Q633))+MIN((Skills!T14*(1+Inputs!$B$35/100)),MAX(0,Inputs!$B$44-((R633-1)*(1/Q633)))))/Inputs!$B$44),IF(Inputs!$B$39="pvp",MIN((Skills!T14*(1+Inputs!$B$35/100)),15)/15,MIN(1,(Skills!T14*(1+Inputs!$B$35/100))/(1/Q633)))))+((C634=TRUE)*F634*IF(AND(Inputs!$B$39&lt;&gt;"pvp",Inputs!$B$44&gt;0),(((R634-1)*MIN((Skills!T15*(1+Inputs!$B$35/100)),(1/Q634))+MIN((Skills!T15*(1+Inputs!$B$35/100)),MAX(0,Inputs!$B$44-((R634-1)*(1/Q634)))))/Inputs!$B$44),IF(Inputs!$B$39="pvp",MIN((Skills!T15*(1+Inputs!$B$35/100)),15)/15,MIN(1,(Skills!T15*(1+Inputs!$B$35/100))/(1/Q634)))))+((C635=TRUE)*F635*IF(AND(Inputs!$B$39&lt;&gt;"pvp",Inputs!$B$44&gt;0),(((R635-1)*MIN((Skills!T16*(1+Inputs!$B$35/100)),(1/Q635))+MIN((Skills!T16*(1+Inputs!$B$35/100)),MAX(0,Inputs!$B$44-((R635-1)*(1/Q635)))))/Inputs!$B$44),IF(Inputs!$B$39="pvp",MIN((Skills!T16*(1+Inputs!$B$35/100)),15)/15,MIN(1,(Skills!T16*(1+Inputs!$B$35/100))/(1/Q635)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631)</f>
        <v/>
      </c>
      <c r="L631">
        <f>K631*(MIN(Inputs!$B$23+((C641=TRUE)*(F641-Calc!F22)),(Inputs!$B$24+((C643=TRUE)*(F643-Calc!F24))+(IF(ArtifactsInput!$M$15,CHOOSE(ArtifactsInput!$N$15+1,25,30,35,40,45,50)/100*(Inputs!$B$12-Inputs!$B$12),0))))/100+(Inputs!$B$24+((C643=TRUE)*(F643-Calc!F24))+(IF(ArtifactsInput!$M$15,CHOOSE(ArtifactsInput!$N$15+1,25,30,35,40,45,50)/100*(Inputs!$B$12-Inputs!$B$12),0)))/100)/2</f>
        <v/>
      </c>
      <c r="M631">
        <f>L631*(1+((Inputs!$B$11+1)+0+B653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631">
        <f>L631*(1-MIN((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631*(MIN((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31">
        <f>(1-Summary!$B$11)*T631+Summary!$B$11*V631</f>
        <v/>
      </c>
      <c r="P631">
        <f>IF(B658=0,0,O631/B658)</f>
        <v/>
      </c>
      <c r="Q631">
        <f>IFERROR(1/IF(Inputs!$B$39="pvp",15,MAX(0.1,Skills!D12-IF(TRUE=TRUE,Inputs!$B$33,0))),0)</f>
        <v/>
      </c>
      <c r="R631">
        <f>IF(AND(Inputs!$B$39&lt;&gt;"pvp",Inputs!$B$44&gt;0),IF(MAX(0,Inputs!$B$44-B655)&lt;=0,0,(INT(MAX(0,Inputs!$B$44-B655)/IF(Inputs!$B$39="pvp",15,MAX(0.1,Skills!D12-IF(TRUE=TRUE,Inputs!$B$33,0))))+1)),0)</f>
        <v/>
      </c>
      <c r="S631">
        <f>IFERROR(O631/N631,0)</f>
        <v/>
      </c>
      <c r="T631">
        <f>IF(C631,(H631*N631*IF(AND(Inputs!$B$39&lt;&gt;"pvp",Inputs!$B$44&gt;0),((Skills!G12*((R631-1)*IF(Skills!H12&gt;0,INT(Skills!I12/Skills!H12+0.000000001),1)+IF(Skills!H12&gt;0,INT(MIN(Skills!I12,MAX(0,MAX(0,Inputs!$B$44-B655)-((R631-1)*IF(Inputs!$B$39="pvp",15,MAX(0.1,Skills!D12-IF(TRUE=TRUE,Inputs!$B$33,0))))))/Skills!H12+0.000000001),1)))/Inputs!$B$44),G631*Q631))*IF(Inputs!$B$39="pvp",1,1+(Inputs!$B$21+0+Skills!P12+((C636=TRUE)*F636*IF(AND(Inputs!$B$39&lt;&gt;"pvp",Inputs!$B$44&gt;0),(((R636-1)*MIN((Skills!T17*(1+Inputs!$B$35/100)),(1/Q636))+MIN((Skills!T17*(1+Inputs!$B$35/100)),MAX(0,Inputs!$B$44-((R636-1)*(1/Q636)))))/Inputs!$B$44),IF(Inputs!$B$39="pvp",MIN((Skills!T17*(1+Inputs!$B$35/100)),15)/15,MIN(1,(Skills!T17*(1+Inputs!$B$35/100))/(1/Q636)))))+((C624=TRUE)*IF(Inputs!$B$3&gt;=126,10*MIN(1,15*Q624),0))+((C633=TRUE)*IF(Inputs!$B$39="pvp",20,(1-Summary!$B$11)*(20)+Summary!$B$11*(0))*IF(AND(Inputs!$B$39&lt;&gt;"pvp",Inputs!$B$44&gt;0),(((R633-1)*MIN((Skills!T14*(1+Inputs!$B$35/100)),(1/Q633))+MIN((Skills!T14*(1+Inputs!$B$35/100)),MAX(0,Inputs!$B$44-((R633-1)*(1/Q633)))))/Inputs!$B$44),IF(Inputs!$B$39="pvp",MIN((Skills!T14*(1+Inputs!$B$35/100)),15)/15,MIN(1,(Skills!T14*(1+Inputs!$B$35/100))/(1/Q633)))))+((C632=TRUE)*IF(Inputs!$B$3&gt;=82,IF(Inputs!$B$39="pvp",20,(1-Summary!$B$11)*(20)+Summary!$B$11*(0)),0)*IF(AND(Inputs!$B$39&lt;&gt;"pvp",Inputs!$B$44&gt;0),(((R632-1)*MIN((Skills!T13*(1+Inputs!$B$35/100)),(1/Q632))+MIN((Skills!T13*(1+Inputs!$B$35/100)),MAX(0,Inputs!$B$44-((R632-1)*(1/Q632)))))/Inputs!$B$44),IF(Inputs!$B$39="pvp",MIN((Skills!T13*(1+Inputs!$B$35/100)),15)/15,MIN(1,(Skills!T13*(1+Inputs!$B$35/100))/(1/Q632)))))+(IF(AND(ArtifactsInput!$M$35,Inputs!$B$4&lt;&gt;"Chapter Hunt"),CHOOSE(ArtifactsInput!$N$35+1,15,18,21,24,27,30)*(1-EXP(-(0.2*B650)*5)),0)+IF(AND(ArtifactsInput!$M$22,Inputs!$B$4&lt;&gt;"Chapter Hunt"),CHOOSE(ArtifactsInput!$N$22+1,10,12,14,16,18,20)*((0*(((0.15*B650*5))^0/1)+1*(((0.15*B650*5))^1/1)+2*(((0.15*B650*5))^2/2)+3*(((0.15*B650*5))^3/6)+4*(((0.15*B650*5))^4/24)+5*(((0.15*B650*5))^5/120))/((((0.15*B650*5))^0/1)+(((0.15*B650*5))^1/1)+(((0.15*B650*5))^2/2)+(((0.15*B650*5))^3/6)+(((0.15*B650*5))^4/24)+(((0.15*B650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631*(1-MIN(100,(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631*(MIN(100,(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631*(1-MIN(100,(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631*(MIN(100,(Inputs!$B$10+0+B648+(ArtifactsInput!$M$24-ArtifactsInput!$M$24)*CHOOSE(ArtifactsInput!$N$24+1,10,12,14,16,18,20)+(IF(AND(Inputs!$B$39&lt;&gt;"pvp",Inputs!$B$44=0),1,IF(IF(Inputs!$B$39="pvp",15,Inputs!$B$44)-(B655)&lt;=0,1,MAX(0,IF(Inputs!$B$39="pvp",15,Inputs!$B$44)-MAX(5,B655))/(IF(Inputs!$B$39="pvp",15,Inputs!$B$44)-(B655))))*IF(AND(ArtifactsInput!$M$42,((Inputs!$B$10+0+B648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31">
        <f>IF(C631,(H631*N631*IF(AND(Inputs!$B$39&lt;&gt;"pvp",Inputs!$B$44&gt;0),((Skills!G12*((R631-1)*IF(Skills!H12&gt;0,INT(Skills!I12/Skills!H12+0.000000001),1)+IF(Skills!H12&gt;0,INT(MIN(Skills!I12,MAX(0,MAX(0,Inputs!$B$44-B655)-((R631-1)*IF(Inputs!$B$39="pvp",15,MAX(0.1,Skills!D12-IF(TRUE=TRUE,Inputs!$B$33,0))))))/Skills!H12+0.000000001),1)))/Inputs!$B$44),G631*Q631))*IF(Inputs!$B$39="pvp",1,(1+(Inputs!$B$22+Skills!Q12+((C636=TRUE)*F636*IF(AND(Inputs!$B$39&lt;&gt;"pvp",Inputs!$B$44&gt;0),(((R636-1)*MIN((Skills!T17*(1+Inputs!$B$35/100)),(1/Q636))+MIN((Skills!T17*(1+Inputs!$B$35/100)),MAX(0,Inputs!$B$44-((R636-1)*(1/Q636)))))/Inputs!$B$44),IF(Inputs!$B$39="pvp",MIN((Skills!T17*(1+Inputs!$B$35/100)),15)/15,MIN(1,(Skills!T17*(1+Inputs!$B$35/100))/(1/Q636)))))+((C624=TRUE)*IF(Inputs!$B$3&gt;=126,10*MIN(1,15*Q624),0))+((C633=TRUE)*IF(Inputs!$B$39="pvp",20,(1-Summary!$B$11)*(20)+Summary!$B$11*(0))*IF(AND(Inputs!$B$39&lt;&gt;"pvp",Inputs!$B$44&gt;0),(((R633-1)*MIN((Skills!T14*(1+Inputs!$B$35/100)),(1/Q633))+MIN((Skills!T14*(1+Inputs!$B$35/100)),MAX(0,Inputs!$B$44-((R633-1)*(1/Q633)))))/Inputs!$B$44),IF(Inputs!$B$39="pvp",MIN((Skills!T14*(1+Inputs!$B$35/100)),15)/15,MIN(1,(Skills!T14*(1+Inputs!$B$35/100))/(1/Q633)))))+((C632=TRUE)*IF(Inputs!$B$3&gt;=82,IF(Inputs!$B$39="pvp",20,(1-Summary!$B$11)*(20)+Summary!$B$11*(0)),0)*IF(AND(Inputs!$B$39&lt;&gt;"pvp",Inputs!$B$44&gt;0),(((R632-1)*MIN((Skills!T13*(1+Inputs!$B$35/100)),(1/Q632))+MIN((Skills!T13*(1+Inputs!$B$35/100)),MAX(0,Inputs!$B$44-((R632-1)*(1/Q632)))))/Inputs!$B$44),IF(Inputs!$B$39="pvp",MIN((Skills!T13*(1+Inputs!$B$35/100)),15)/15,MIN(1,(Skills!T13*(1+Inputs!$B$35/100))/(1/Q632)))))+(IF(AND(ArtifactsInput!$M$35,Inputs!$B$4&lt;&gt;"Chapter Hunt"),CHOOSE(ArtifactsInput!$N$35+1,15,18,21,24,27,30)*(1-EXP(-(0.2*B650)*5)),0)+IF(AND(ArtifactsInput!$M$22,Inputs!$B$4&lt;&gt;"Chapter Hunt"),CHOOSE(ArtifactsInput!$N$22+1,10,12,14,16,18,20)*((0*(((0.15*B650*5))^0/1)+1*(((0.15*B650*5))^1/1)+2*(((0.15*B650*5))^2/2)+3*(((0.15*B650*5))^3/6)+4*(((0.15*B650*5))^4/24)+5*(((0.15*B650*5))^5/120))/((((0.15*B650*5))^0/1)+(((0.15*B650*5))^1/1)+(((0.15*B650*5))^2/2)+(((0.15*B650*5))^3/6)+(((0.15*B650*5))^4/24)+(((0.15*B650*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32">
      <c r="A632">
        <f>Skills!A13</f>
        <v/>
      </c>
      <c r="B632">
        <f>Skills!B13</f>
        <v/>
      </c>
      <c r="C632">
        <f>Inputs!$B$3&gt;=69</f>
        <v/>
      </c>
      <c r="D632">
        <f>IF(Skills!C13=1,60+Inputs!$B$26+Inputs!$B$30,IF(Skills!C13=2,90+Inputs!$B$27+Inputs!$B$30,IF(Skills!C13=3,120+Inputs!$B$28+Inputs!$B$30,MAX(0,(Inputs!$B$3-100)*3)+Inputs!$B$29+Inputs!$B$30)))</f>
        <v/>
      </c>
      <c r="E632">
        <f>INDEX(FactorTable!$B$2:$Y$301, MATCH(ROUND(MIN(300,MAX(1,D632)),0), FactorTable!$A$2:$A$301,0), Skills!M13+1)</f>
        <v/>
      </c>
      <c r="F632">
        <f>IF(Skills!N13=TRUE,(Skills!L13/10)*(E632/1000),Skills!L13/10)+Skills!O13</f>
        <v/>
      </c>
      <c r="G632">
        <f>Skills!G13*IF(Skills!H13&gt;0,INT(IF(Inputs!$B$39="pvp",MIN(Skills!I13,15),Skills!I13)/Skills!H13+0.000000001),1)</f>
        <v/>
      </c>
      <c r="H632">
        <f>1-(1-Skills!J13/100)^Skills!K13</f>
        <v/>
      </c>
      <c r="I632" t="inlineStr">
        <is>
          <t>1</t>
        </is>
      </c>
      <c r="J632" t="inlineStr"/>
      <c r="K632" t="inlineStr"/>
      <c r="L632" t="inlineStr"/>
      <c r="M632" t="inlineStr"/>
      <c r="N632" t="inlineStr"/>
      <c r="O632">
        <f>(1-Summary!$B$11)*T632+Summary!$B$11*V632</f>
        <v/>
      </c>
      <c r="P632">
        <f>IF(B658=0,0,O632/B658)</f>
        <v/>
      </c>
      <c r="Q632">
        <f>IFERROR(1/IF(Inputs!$B$39="pvp",15,MAX(0.1,Skills!D13-IF(TRUE=TRUE,Inputs!$B$33,0))),0)</f>
        <v/>
      </c>
      <c r="R632">
        <f>IF(AND(Inputs!$B$39&lt;&gt;"pvp",Inputs!$B$44&gt;0),IF(Inputs!$B$44&lt;=0,0,(INT(Inputs!$B$44/IF(Inputs!$B$39="pvp",15,MAX(0.1,Skills!D13-IF(TRUE=TRUE,Inputs!$B$33,0))))+1)),0)</f>
        <v/>
      </c>
      <c r="S632">
        <f>IFERROR(O632/N632,0)</f>
        <v/>
      </c>
      <c r="T632" t="n">
        <v>0</v>
      </c>
      <c r="V632" t="n">
        <v>0</v>
      </c>
    </row>
    <row r="633">
      <c r="A633">
        <f>Skills!A14</f>
        <v/>
      </c>
      <c r="B633">
        <f>Skills!B14</f>
        <v/>
      </c>
      <c r="C633">
        <f>Inputs!$B$3&gt;=115</f>
        <v/>
      </c>
      <c r="D633">
        <f>IF(Skills!C14=1,60+Inputs!$B$26+Inputs!$B$30,IF(Skills!C14=2,90+Inputs!$B$27+Inputs!$B$30,IF(Skills!C14=3,120+Inputs!$B$28+Inputs!$B$30,MAX(0,(Inputs!$B$3-100)*3)+Inputs!$B$29+Inputs!$B$30)))</f>
        <v/>
      </c>
      <c r="E633">
        <f>INDEX(FactorTable!$B$2:$Y$301, MATCH(ROUND(MIN(300,MAX(1,D633)),0), FactorTable!$A$2:$A$301,0), Skills!M14+1)</f>
        <v/>
      </c>
      <c r="F633">
        <f>IF(Skills!N14=TRUE,(Skills!L14/10)*(E633/1000),Skills!L14/10)+Skills!O14</f>
        <v/>
      </c>
      <c r="G633">
        <f>Skills!G14*IF(Skills!H14&gt;0,INT(IF(Inputs!$B$39="pvp",MIN(Skills!I14,15),Skills!I14)/Skills!H14+0.000000001),1)</f>
        <v/>
      </c>
      <c r="H633">
        <f>1-(1-Skills!J14/100)^Skills!K14</f>
        <v/>
      </c>
      <c r="I633" t="inlineStr">
        <is>
          <t>1</t>
        </is>
      </c>
      <c r="J633" t="inlineStr"/>
      <c r="K633" t="inlineStr"/>
      <c r="L633" t="inlineStr"/>
      <c r="M633" t="inlineStr"/>
      <c r="N633" t="inlineStr"/>
      <c r="O633">
        <f>(1-Summary!$B$11)*T633+Summary!$B$11*V633</f>
        <v/>
      </c>
      <c r="P633">
        <f>IF(B658=0,0,O633/B658)</f>
        <v/>
      </c>
      <c r="Q633">
        <f>IFERROR(1/IF(Inputs!$B$39="pvp",15,MAX(0.1,Skills!D14-IF(TRUE=TRUE,Inputs!$B$33,0))),0)</f>
        <v/>
      </c>
      <c r="R633">
        <f>IF(AND(Inputs!$B$39&lt;&gt;"pvp",Inputs!$B$44&gt;0),IF(Inputs!$B$44&lt;=0,0,(INT(Inputs!$B$44/IF(Inputs!$B$39="pvp",15,MAX(0.1,Skills!D14-IF(TRUE=TRUE,Inputs!$B$33,0))))+1)),0)</f>
        <v/>
      </c>
      <c r="S633">
        <f>IFERROR(O633/N633,0)</f>
        <v/>
      </c>
      <c r="T633" t="n">
        <v>0</v>
      </c>
      <c r="V633" t="n">
        <v>0</v>
      </c>
    </row>
    <row r="634">
      <c r="A634">
        <f>Skills!A15</f>
        <v/>
      </c>
      <c r="B634">
        <f>Skills!B15</f>
        <v/>
      </c>
      <c r="C634">
        <f>Inputs!$B$3&gt;=66</f>
        <v/>
      </c>
      <c r="D634">
        <f>IF(Skills!C15=1,60+Inputs!$B$26+Inputs!$B$30,IF(Skills!C15=2,90+Inputs!$B$27+Inputs!$B$30,IF(Skills!C15=3,120+Inputs!$B$28+Inputs!$B$30,MAX(0,(Inputs!$B$3-100)*3)+Inputs!$B$29+Inputs!$B$30)))</f>
        <v/>
      </c>
      <c r="E634">
        <f>INDEX(FactorTable!$B$2:$Y$301, MATCH(ROUND(MIN(300,MAX(1,D634)),0), FactorTable!$A$2:$A$301,0), Skills!M15+1)</f>
        <v/>
      </c>
      <c r="F634">
        <f>IF(Skills!N15=TRUE,(Skills!L15/10)*(E634/1000),Skills!L15/10)+Skills!O15</f>
        <v/>
      </c>
      <c r="G634">
        <f>Skills!G15*IF(Skills!H15&gt;0,INT(IF(Inputs!$B$39="pvp",MIN(Skills!I15,15),Skills!I15)/Skills!H15+0.000000001),1)</f>
        <v/>
      </c>
      <c r="H634">
        <f>1-(1-Skills!J15/100)^Skills!K15</f>
        <v/>
      </c>
      <c r="I634" t="inlineStr">
        <is>
          <t>1</t>
        </is>
      </c>
      <c r="J634" t="inlineStr"/>
      <c r="K634" t="inlineStr"/>
      <c r="L634" t="inlineStr"/>
      <c r="M634" t="inlineStr"/>
      <c r="N634" t="inlineStr"/>
      <c r="O634">
        <f>(1-Summary!$B$11)*T634+Summary!$B$11*V634</f>
        <v/>
      </c>
      <c r="P634">
        <f>IF(B658=0,0,O634/B658)</f>
        <v/>
      </c>
      <c r="Q634">
        <f>IFERROR(1/IF(Inputs!$B$39="pvp",15,MAX(0.1,Skills!D15-IF(TRUE=TRUE,Inputs!$B$33,0))),0)</f>
        <v/>
      </c>
      <c r="R634">
        <f>IF(AND(Inputs!$B$39&lt;&gt;"pvp",Inputs!$B$44&gt;0),IF(Inputs!$B$44&lt;=0,0,(INT(Inputs!$B$44/IF(Inputs!$B$39="pvp",15,MAX(0.1,Skills!D15-IF(TRUE=TRUE,Inputs!$B$33,0))))+1)),0)</f>
        <v/>
      </c>
      <c r="S634">
        <f>IFERROR(O634/N634,0)</f>
        <v/>
      </c>
      <c r="T634" t="n">
        <v>0</v>
      </c>
      <c r="V634" t="n">
        <v>0</v>
      </c>
    </row>
    <row r="635">
      <c r="A635">
        <f>Skills!A16</f>
        <v/>
      </c>
      <c r="B635">
        <f>Skills!B16</f>
        <v/>
      </c>
      <c r="C635">
        <f>Inputs!$B$3&gt;=45</f>
        <v/>
      </c>
      <c r="D635">
        <f>IF(Skills!C16=1,60+Inputs!$B$26+Inputs!$B$30,IF(Skills!C16=2,90+Inputs!$B$27+Inputs!$B$30,IF(Skills!C16=3,120+Inputs!$B$28+Inputs!$B$30,MAX(0,(Inputs!$B$3-100)*3)+Inputs!$B$29+Inputs!$B$30)))</f>
        <v/>
      </c>
      <c r="E635">
        <f>INDEX(FactorTable!$B$2:$Y$301, MATCH(ROUND(MIN(300,MAX(1,D635)),0), FactorTable!$A$2:$A$301,0), Skills!M16+1)</f>
        <v/>
      </c>
      <c r="F635">
        <f>IF(Skills!N16=TRUE,(Skills!L16/10)*(E635/1000),Skills!L16/10)+Skills!O16</f>
        <v/>
      </c>
      <c r="G635">
        <f>Skills!G16*IF(Skills!H16&gt;0,INT(IF(Inputs!$B$39="pvp",MIN(Skills!I16,15),Skills!I16)/Skills!H16+0.000000001),1)</f>
        <v/>
      </c>
      <c r="H635">
        <f>1-(1-Skills!J16/100)^Skills!K16</f>
        <v/>
      </c>
      <c r="I635" t="inlineStr">
        <is>
          <t>1</t>
        </is>
      </c>
      <c r="J635" t="inlineStr"/>
      <c r="K635" t="inlineStr"/>
      <c r="L635" t="inlineStr"/>
      <c r="M635" t="inlineStr"/>
      <c r="N635" t="inlineStr"/>
      <c r="O635">
        <f>(1-Summary!$B$11)*T635+Summary!$B$11*V635</f>
        <v/>
      </c>
      <c r="P635">
        <f>IF(B658=0,0,O635/B658)</f>
        <v/>
      </c>
      <c r="Q635">
        <f>IFERROR(1/IF(Inputs!$B$39="pvp",15,MAX(0.1,Skills!D16-IF(TRUE=TRUE,Inputs!$B$33,0))),0)</f>
        <v/>
      </c>
      <c r="R635">
        <f>IF(AND(Inputs!$B$39&lt;&gt;"pvp",Inputs!$B$44&gt;0),IF(Inputs!$B$44&lt;=0,0,(INT(Inputs!$B$44/IF(Inputs!$B$39="pvp",15,MAX(0.1,Skills!D16-IF(TRUE=TRUE,Inputs!$B$33,0))))+1)),0)</f>
        <v/>
      </c>
      <c r="S635">
        <f>IFERROR(O635/N635,0)</f>
        <v/>
      </c>
      <c r="T635" t="n">
        <v>0</v>
      </c>
      <c r="V635" t="n">
        <v>0</v>
      </c>
    </row>
    <row r="636">
      <c r="A636">
        <f>Skills!A17</f>
        <v/>
      </c>
      <c r="B636">
        <f>Skills!B17</f>
        <v/>
      </c>
      <c r="C636">
        <f>Inputs!$B$3&gt;=35</f>
        <v/>
      </c>
      <c r="D636">
        <f>IF(Skills!C17=1,60+Inputs!$B$26+Inputs!$B$30,IF(Skills!C17=2,90+Inputs!$B$27+Inputs!$B$30,IF(Skills!C17=3,120+Inputs!$B$28+Inputs!$B$30,MAX(0,(Inputs!$B$3-100)*3)+Inputs!$B$29+Inputs!$B$30)))</f>
        <v/>
      </c>
      <c r="E636">
        <f>INDEX(FactorTable!$B$2:$Y$301, MATCH(ROUND(MIN(300,MAX(1,D636)),0), FactorTable!$A$2:$A$301,0), Skills!M17+1)</f>
        <v/>
      </c>
      <c r="F636">
        <f>IF(Skills!N17=TRUE,(Skills!L17/10)*(E636/1000),Skills!L17/10)+Skills!O17</f>
        <v/>
      </c>
      <c r="G636">
        <f>Skills!G17*IF(Skills!H17&gt;0,INT(IF(Inputs!$B$39="pvp",MIN(Skills!I17,15),Skills!I17)/Skills!H17+0.000000001),1)</f>
        <v/>
      </c>
      <c r="H636">
        <f>1-(1-Skills!J17/100)^Skills!K17</f>
        <v/>
      </c>
      <c r="I636" t="inlineStr">
        <is>
          <t>1</t>
        </is>
      </c>
      <c r="J636" t="inlineStr"/>
      <c r="K636" t="inlineStr"/>
      <c r="L636" t="inlineStr"/>
      <c r="M636" t="inlineStr"/>
      <c r="N636" t="inlineStr"/>
      <c r="O636">
        <f>(1-Summary!$B$11)*T636+Summary!$B$11*V636</f>
        <v/>
      </c>
      <c r="P636">
        <f>IF(B658=0,0,O636/B658)</f>
        <v/>
      </c>
      <c r="Q636">
        <f>IFERROR(1/IF(Inputs!$B$39="pvp",15,MAX(0.1,Skills!D17-IF(TRUE=TRUE,Inputs!$B$33,0))),0)</f>
        <v/>
      </c>
      <c r="R636">
        <f>IF(AND(Inputs!$B$39&lt;&gt;"pvp",Inputs!$B$44&gt;0),IF(Inputs!$B$44&lt;=0,0,(INT(Inputs!$B$44/IF(Inputs!$B$39="pvp",15,MAX(0.1,Skills!D17-IF(TRUE=TRUE,Inputs!$B$33,0))))+1)),0)</f>
        <v/>
      </c>
      <c r="S636">
        <f>IFERROR(O636/N636,0)</f>
        <v/>
      </c>
      <c r="T636" t="n">
        <v>0</v>
      </c>
      <c r="V636" t="n">
        <v>0</v>
      </c>
    </row>
    <row r="637">
      <c r="A637">
        <f>Skills!A18</f>
        <v/>
      </c>
      <c r="B637">
        <f>Skills!B18</f>
        <v/>
      </c>
      <c r="C637">
        <f>Inputs!$B$3&gt;=72</f>
        <v/>
      </c>
      <c r="D637">
        <f>IF(Skills!C18=1,60+Inputs!$B$26+Inputs!$B$30,IF(Skills!C18=2,90+Inputs!$B$27+Inputs!$B$30,IF(Skills!C18=3,120+Inputs!$B$28+Inputs!$B$30,MAX(0,(Inputs!$B$3-100)*3)+Inputs!$B$29+Inputs!$B$30)))</f>
        <v/>
      </c>
      <c r="E637">
        <f>INDEX(FactorTable!$B$2:$Y$301, MATCH(ROUND(MIN(300,MAX(1,D637)),0), FactorTable!$A$2:$A$301,0), Skills!M18+1)</f>
        <v/>
      </c>
      <c r="F637">
        <f>IF(Skills!N18=TRUE,(Skills!L18/10)*(E637/1000),Skills!L18/10)+Skills!O18</f>
        <v/>
      </c>
      <c r="G637">
        <f>Skills!G18*IF(Skills!H18&gt;0,INT(IF(Inputs!$B$39="pvp",MIN(Skills!I18,15),Skills!I18)/Skills!H18+0.000000001),1)</f>
        <v/>
      </c>
      <c r="H637">
        <f>1-(1-Skills!J18/100)^Skills!K18</f>
        <v/>
      </c>
      <c r="I637" t="inlineStr">
        <is>
          <t>1</t>
        </is>
      </c>
      <c r="J637" t="inlineStr"/>
      <c r="K637" t="inlineStr"/>
      <c r="L637" t="inlineStr"/>
      <c r="M637" t="inlineStr"/>
      <c r="N637" t="inlineStr"/>
      <c r="O637">
        <f>(1-Summary!$B$11)*T637+Summary!$B$11*V637</f>
        <v/>
      </c>
      <c r="P637">
        <f>IF(B658=0,0,O637/B658)</f>
        <v/>
      </c>
      <c r="Q637">
        <f>IFERROR(1/IF(Inputs!$B$39="pvp",15,MAX(0.1,Skills!D18-IF(TRUE=TRUE,Inputs!$B$33,0))),0)</f>
        <v/>
      </c>
      <c r="R637">
        <f>IF(AND(Inputs!$B$39&lt;&gt;"pvp",Inputs!$B$44&gt;0),IF(Inputs!$B$44&lt;=0,0,(INT(Inputs!$B$44/IF(Inputs!$B$39="pvp",15,MAX(0.1,Skills!D18-IF(TRUE=TRUE,Inputs!$B$33,0))))+1)),0)</f>
        <v/>
      </c>
      <c r="S637">
        <f>IFERROR(O637/N637,0)</f>
        <v/>
      </c>
      <c r="T637" t="n">
        <v>0</v>
      </c>
      <c r="V637" t="n">
        <v>0</v>
      </c>
    </row>
    <row r="638">
      <c r="A638">
        <f>Skills!A19</f>
        <v/>
      </c>
      <c r="B638">
        <f>Skills!B19</f>
        <v/>
      </c>
      <c r="C638">
        <f>Inputs!$B$3&gt;=72</f>
        <v/>
      </c>
      <c r="D638">
        <f>IF(Skills!C19=1,60+Inputs!$B$26+Inputs!$B$30,IF(Skills!C19=2,90+Inputs!$B$27+Inputs!$B$30,IF(Skills!C19=3,120+Inputs!$B$28+Inputs!$B$30,MAX(0,(Inputs!$B$3-100)*3)+Inputs!$B$29+Inputs!$B$30)))</f>
        <v/>
      </c>
      <c r="E638">
        <f>INDEX(FactorTable!$B$2:$Y$301, MATCH(ROUND(MIN(300,MAX(1,D638)),0), FactorTable!$A$2:$A$301,0), Skills!M19+1)</f>
        <v/>
      </c>
      <c r="F638">
        <f>IF(Skills!N19=TRUE,(Skills!L19/10)*(E638/1000),Skills!L19/10)+Skills!O19</f>
        <v/>
      </c>
      <c r="G638">
        <f>Skills!G19*IF(Skills!H19&gt;0,INT(IF(Inputs!$B$39="pvp",MIN(Skills!I19,15),Skills!I19)/Skills!H19+0.000000001),1)</f>
        <v/>
      </c>
      <c r="H638">
        <f>1-(1-Skills!J19/100)^Skills!K19</f>
        <v/>
      </c>
      <c r="I638" t="inlineStr">
        <is>
          <t>1</t>
        </is>
      </c>
      <c r="J638" t="inlineStr"/>
      <c r="K638" t="inlineStr"/>
      <c r="L638" t="inlineStr"/>
      <c r="M638" t="inlineStr"/>
      <c r="N638" t="inlineStr"/>
      <c r="O638">
        <f>(1-Summary!$B$11)*T638+Summary!$B$11*V638</f>
        <v/>
      </c>
      <c r="P638">
        <f>IF(B658=0,0,O638/B658)</f>
        <v/>
      </c>
      <c r="Q638">
        <f>IFERROR(1/IF(Inputs!$B$39="pvp",15,MAX(0.1,Skills!D19-IF(TRUE=TRUE,Inputs!$B$33,0))),0)</f>
        <v/>
      </c>
      <c r="R638">
        <f>IF(AND(Inputs!$B$39&lt;&gt;"pvp",Inputs!$B$44&gt;0),IF(Inputs!$B$44&lt;=0,0,(INT(Inputs!$B$44/IF(Inputs!$B$39="pvp",15,MAX(0.1,Skills!D19-IF(TRUE=TRUE,Inputs!$B$33,0))))+1)),0)</f>
        <v/>
      </c>
      <c r="S638">
        <f>IFERROR(O638/N638,0)</f>
        <v/>
      </c>
      <c r="T638" t="n">
        <v>0</v>
      </c>
      <c r="V638" t="n">
        <v>0</v>
      </c>
    </row>
    <row r="639">
      <c r="A639">
        <f>Skills!A20</f>
        <v/>
      </c>
      <c r="B639">
        <f>Skills!B20</f>
        <v/>
      </c>
      <c r="C639">
        <f>TRUE</f>
        <v/>
      </c>
      <c r="D639">
        <f>IF(Skills!C20=1,60+Inputs!$B$26+Inputs!$B$30,IF(Skills!C20=2,90+Inputs!$B$27+Inputs!$B$30,IF(Skills!C20=3,120+Inputs!$B$28+Inputs!$B$30,MAX(0,(Inputs!$B$3-100)*3)+Inputs!$B$29+Inputs!$B$30)))</f>
        <v/>
      </c>
      <c r="E639">
        <f>INDEX(FactorTable!$B$2:$Y$301, MATCH(ROUND(MIN(300,MAX(1,D639)),0), FactorTable!$A$2:$A$301,0), Skills!M20+1)</f>
        <v/>
      </c>
      <c r="F639">
        <f>IF(Skills!N20=TRUE,(Skills!L20/10)*(E639/1000),Skills!L20/10)+Skills!O20</f>
        <v/>
      </c>
      <c r="G639">
        <f>Skills!G20*IF(Skills!H20&gt;0,INT(IF(Inputs!$B$39="pvp",MIN(Skills!I20,15),Skills!I20)/Skills!H20+0.000000001),1)</f>
        <v/>
      </c>
      <c r="H639">
        <f>1-(1-Skills!J20/100)^Skills!K20</f>
        <v/>
      </c>
      <c r="I639" t="inlineStr">
        <is>
          <t>1</t>
        </is>
      </c>
      <c r="J639" t="inlineStr"/>
      <c r="K639" t="inlineStr"/>
      <c r="L639" t="inlineStr"/>
      <c r="M639" t="inlineStr"/>
      <c r="N639" t="inlineStr"/>
      <c r="O639">
        <f>(1-Summary!$B$11)*T639+Summary!$B$11*V639</f>
        <v/>
      </c>
      <c r="P639">
        <f>IF(B658=0,0,O639/B658)</f>
        <v/>
      </c>
      <c r="Q639">
        <f>IFERROR(1/IF(Inputs!$B$39="pvp",15,MAX(0.1,Skills!D20-IF(TRUE=TRUE,Inputs!$B$33,0))),0)</f>
        <v/>
      </c>
      <c r="R639">
        <f>IF(AND(Inputs!$B$39&lt;&gt;"pvp",Inputs!$B$44&gt;0),IF(Inputs!$B$44&lt;=0,0,(INT(Inputs!$B$44/IF(Inputs!$B$39="pvp",15,MAX(0.1,Skills!D20-IF(TRUE=TRUE,Inputs!$B$33,0))))+1)),0)</f>
        <v/>
      </c>
      <c r="S639">
        <f>IFERROR(O639/N639,0)</f>
        <v/>
      </c>
      <c r="T639" t="n">
        <v>0</v>
      </c>
      <c r="V639" t="n">
        <v>0</v>
      </c>
    </row>
    <row r="640">
      <c r="A640">
        <f>Skills!A21</f>
        <v/>
      </c>
      <c r="B640">
        <f>Skills!B21</f>
        <v/>
      </c>
      <c r="C640">
        <f>Inputs!$B$3&gt;=33</f>
        <v/>
      </c>
      <c r="D640">
        <f>IF(Skills!C21=1,60+Inputs!$B$26+Inputs!$B$30,IF(Skills!C21=2,90+Inputs!$B$27+Inputs!$B$30,IF(Skills!C21=3,120+Inputs!$B$28+Inputs!$B$30,MAX(0,(Inputs!$B$3-100)*3)+Inputs!$B$29+Inputs!$B$30)))</f>
        <v/>
      </c>
      <c r="E640">
        <f>INDEX(FactorTable!$B$2:$Y$301, MATCH(ROUND(MIN(300,MAX(1,D640)),0), FactorTable!$A$2:$A$301,0), Skills!M21+1)</f>
        <v/>
      </c>
      <c r="F640">
        <f>IF(Skills!N21=TRUE,(Skills!L21/10)*(E640/1000),Skills!L21/10)+Skills!O21</f>
        <v/>
      </c>
      <c r="G640">
        <f>Skills!G21*IF(Skills!H21&gt;0,INT(IF(Inputs!$B$39="pvp",MIN(Skills!I21,15),Skills!I21)/Skills!H21+0.000000001),1)</f>
        <v/>
      </c>
      <c r="H640">
        <f>1-(1-Skills!J21/100)^Skills!K21</f>
        <v/>
      </c>
      <c r="I640" t="inlineStr">
        <is>
          <t>1</t>
        </is>
      </c>
      <c r="J640" t="inlineStr"/>
      <c r="K640" t="inlineStr"/>
      <c r="L640" t="inlineStr"/>
      <c r="M640" t="inlineStr"/>
      <c r="N640" t="inlineStr"/>
      <c r="O640">
        <f>(1-Summary!$B$11)*T640+Summary!$B$11*V640</f>
        <v/>
      </c>
      <c r="P640">
        <f>IF(B658=0,0,O640/B658)</f>
        <v/>
      </c>
      <c r="Q640" t="n">
        <v>0</v>
      </c>
      <c r="R640" t="n">
        <v>0</v>
      </c>
      <c r="S640">
        <f>IFERROR(O640/N640,0)</f>
        <v/>
      </c>
      <c r="T640" t="n">
        <v>0</v>
      </c>
      <c r="V640" t="n">
        <v>0</v>
      </c>
    </row>
    <row r="641">
      <c r="A641">
        <f>Skills!A22</f>
        <v/>
      </c>
      <c r="B641">
        <f>Skills!B22</f>
        <v/>
      </c>
      <c r="C641">
        <f>Inputs!$B$3&gt;=43</f>
        <v/>
      </c>
      <c r="D641">
        <f>IF(Skills!C22=1,60+Inputs!$B$26+Inputs!$B$30,IF(Skills!C22=2,90+Inputs!$B$27+Inputs!$B$30,IF(Skills!C22=3,120+Inputs!$B$28+Inputs!$B$30,MAX(0,(Inputs!$B$3-100)*3)+Inputs!$B$29+Inputs!$B$30)))</f>
        <v/>
      </c>
      <c r="E641">
        <f>INDEX(FactorTable!$B$2:$Y$301, MATCH(ROUND(MIN(300,MAX(1,D641)),0), FactorTable!$A$2:$A$301,0), Skills!M22+1)</f>
        <v/>
      </c>
      <c r="F641">
        <f>IF(Skills!N22=TRUE,(Skills!L22/10)*(E641/1000),Skills!L22/10)+Skills!O22</f>
        <v/>
      </c>
      <c r="G641">
        <f>Skills!G22*IF(Skills!H22&gt;0,INT(IF(Inputs!$B$39="pvp",MIN(Skills!I22,15),Skills!I22)/Skills!H22+0.000000001),1)</f>
        <v/>
      </c>
      <c r="H641">
        <f>1-(1-Skills!J22/100)^Skills!K22</f>
        <v/>
      </c>
      <c r="I641" t="inlineStr">
        <is>
          <t>1</t>
        </is>
      </c>
      <c r="J641" t="inlineStr"/>
      <c r="K641" t="inlineStr"/>
      <c r="L641" t="inlineStr"/>
      <c r="M641" t="inlineStr"/>
      <c r="N641" t="inlineStr"/>
      <c r="O641">
        <f>(1-Summary!$B$11)*T641+Summary!$B$11*V641</f>
        <v/>
      </c>
      <c r="P641">
        <f>IF(B658=0,0,O641/B658)</f>
        <v/>
      </c>
      <c r="Q641" t="n">
        <v>0</v>
      </c>
      <c r="R641" t="n">
        <v>0</v>
      </c>
      <c r="S641">
        <f>IFERROR(O641/N641,0)</f>
        <v/>
      </c>
      <c r="T641" t="n">
        <v>0</v>
      </c>
      <c r="V641" t="n">
        <v>0</v>
      </c>
    </row>
    <row r="642">
      <c r="A642">
        <f>Skills!A23</f>
        <v/>
      </c>
      <c r="B642">
        <f>Skills!B23</f>
        <v/>
      </c>
      <c r="C642">
        <f>Inputs!$B$3&gt;=120</f>
        <v/>
      </c>
      <c r="D642">
        <f>IF(Skills!C23=1,60+Inputs!$B$26+Inputs!$B$30,IF(Skills!C23=2,90+Inputs!$B$27+Inputs!$B$30,IF(Skills!C23=3,120+Inputs!$B$28+Inputs!$B$30,MAX(0,(Inputs!$B$3-100)*3)+Inputs!$B$29+Inputs!$B$30)))</f>
        <v/>
      </c>
      <c r="E642">
        <f>INDEX(FactorTable!$B$2:$Y$301, MATCH(ROUND(MIN(300,MAX(1,D642)),0), FactorTable!$A$2:$A$301,0), Skills!M23+1)</f>
        <v/>
      </c>
      <c r="F642">
        <f>IF(Skills!N23=TRUE,(Skills!L23/10)*(E642/1000),Skills!L23/10)+Skills!O23</f>
        <v/>
      </c>
      <c r="G642">
        <f>Skills!G23*IF(Skills!H23&gt;0,INT(IF(Inputs!$B$39="pvp",MIN(Skills!I23,15),Skills!I23)/Skills!H23+0.000000001),1)</f>
        <v/>
      </c>
      <c r="H642">
        <f>1-(1-Skills!J23/100)^Skills!K23</f>
        <v/>
      </c>
      <c r="I642" t="inlineStr">
        <is>
          <t>1</t>
        </is>
      </c>
      <c r="J642" t="inlineStr"/>
      <c r="K642" t="inlineStr"/>
      <c r="L642" t="inlineStr"/>
      <c r="M642" t="inlineStr"/>
      <c r="N642" t="inlineStr"/>
      <c r="O642">
        <f>(1-Summary!$B$11)*T642+Summary!$B$11*V642</f>
        <v/>
      </c>
      <c r="P642">
        <f>IF(B658=0,0,O642/B658)</f>
        <v/>
      </c>
      <c r="Q642" t="n">
        <v>0</v>
      </c>
      <c r="R642" t="n">
        <v>0</v>
      </c>
      <c r="S642">
        <f>IFERROR(O642/N642,0)</f>
        <v/>
      </c>
      <c r="T642" t="n">
        <v>0</v>
      </c>
      <c r="V642" t="n">
        <v>0</v>
      </c>
    </row>
    <row r="643">
      <c r="A643">
        <f>Skills!A24</f>
        <v/>
      </c>
      <c r="B643">
        <f>Skills!B24</f>
        <v/>
      </c>
      <c r="C643">
        <f>Inputs!$B$3&gt;=120</f>
        <v/>
      </c>
      <c r="D643">
        <f>IF(Skills!C24=1,60+Inputs!$B$26+Inputs!$B$30,IF(Skills!C24=2,90+Inputs!$B$27+Inputs!$B$30,IF(Skills!C24=3,120+Inputs!$B$28+Inputs!$B$30,MAX(0,(Inputs!$B$3-100)*3)+Inputs!$B$29+Inputs!$B$30)))</f>
        <v/>
      </c>
      <c r="E643">
        <f>INDEX(FactorTable!$B$2:$Y$301, MATCH(ROUND(MIN(300,MAX(1,D643)),0), FactorTable!$A$2:$A$301,0), Skills!M24+1)</f>
        <v/>
      </c>
      <c r="F643">
        <f>IF(Skills!N24=TRUE,(Skills!L24/10)*(E643/1000),Skills!L24/10)+Skills!O24</f>
        <v/>
      </c>
      <c r="G643">
        <f>Skills!G24*IF(Skills!H24&gt;0,INT(IF(Inputs!$B$39="pvp",MIN(Skills!I24,15),Skills!I24)/Skills!H24+0.000000001),1)</f>
        <v/>
      </c>
      <c r="H643">
        <f>1-(1-Skills!J24/100)^Skills!K24</f>
        <v/>
      </c>
      <c r="I643" t="inlineStr">
        <is>
          <t>1</t>
        </is>
      </c>
      <c r="J643" t="inlineStr"/>
      <c r="K643" t="inlineStr"/>
      <c r="L643" t="inlineStr"/>
      <c r="M643" t="inlineStr"/>
      <c r="N643" t="inlineStr"/>
      <c r="O643">
        <f>(1-Summary!$B$11)*T643+Summary!$B$11*V643</f>
        <v/>
      </c>
      <c r="P643">
        <f>IF(B658=0,0,O643/B658)</f>
        <v/>
      </c>
      <c r="Q643" t="n">
        <v>0</v>
      </c>
      <c r="R643" t="n">
        <v>0</v>
      </c>
      <c r="S643">
        <f>IFERROR(O643/N643,0)</f>
        <v/>
      </c>
      <c r="T643" t="n">
        <v>0</v>
      </c>
      <c r="V643" t="n">
        <v>0</v>
      </c>
    </row>
    <row r="644">
      <c r="A644">
        <f>Skills!A25</f>
        <v/>
      </c>
      <c r="B644">
        <f>Skills!B25</f>
        <v/>
      </c>
      <c r="C644">
        <f>Inputs!$B$3&gt;=125</f>
        <v/>
      </c>
      <c r="D644">
        <f>IF(Skills!C25=1,60+Inputs!$B$26+Inputs!$B$30,IF(Skills!C25=2,90+Inputs!$B$27+Inputs!$B$30,IF(Skills!C25=3,120+Inputs!$B$28+Inputs!$B$30,MAX(0,(Inputs!$B$3-100)*3)+Inputs!$B$29+Inputs!$B$30)))</f>
        <v/>
      </c>
      <c r="E644">
        <f>INDEX(FactorTable!$B$2:$Y$301, MATCH(ROUND(MIN(300,MAX(1,D644)),0), FactorTable!$A$2:$A$301,0), Skills!M25+1)</f>
        <v/>
      </c>
      <c r="F644">
        <f>IF(Skills!N25=TRUE,(Skills!L25/10)*(E644/1000),Skills!L25/10)+Skills!O25</f>
        <v/>
      </c>
      <c r="G644">
        <f>Skills!G25*IF(Skills!H25&gt;0,INT(IF(Inputs!$B$39="pvp",MIN(Skills!I25,15),Skills!I25)/Skills!H25+0.000000001),1)</f>
        <v/>
      </c>
      <c r="H644">
        <f>1-(1-Skills!J25/100)^Skills!K25</f>
        <v/>
      </c>
      <c r="I644" t="inlineStr">
        <is>
          <t>1</t>
        </is>
      </c>
      <c r="J644" t="inlineStr"/>
      <c r="K644" t="inlineStr"/>
      <c r="L644" t="inlineStr"/>
      <c r="M644" t="inlineStr"/>
      <c r="N644" t="inlineStr"/>
      <c r="O644">
        <f>(1-Summary!$B$11)*T644+Summary!$B$11*V644</f>
        <v/>
      </c>
      <c r="P644">
        <f>IF(B658=0,0,O644/B658)</f>
        <v/>
      </c>
      <c r="Q644" t="n">
        <v>0</v>
      </c>
      <c r="R644" t="n">
        <v>0</v>
      </c>
      <c r="S644">
        <f>IFERROR(O644/N644,0)</f>
        <v/>
      </c>
      <c r="T644" t="n">
        <v>0</v>
      </c>
      <c r="V644" t="n">
        <v>0</v>
      </c>
    </row>
    <row r="645">
      <c r="A645">
        <f>Skills!A26</f>
        <v/>
      </c>
      <c r="B645">
        <f>Skills!B26</f>
        <v/>
      </c>
      <c r="C645">
        <f>Inputs!$B$3&gt;=107</f>
        <v/>
      </c>
      <c r="D645">
        <f>IF(Skills!C26=1,60+Inputs!$B$26+Inputs!$B$30,IF(Skills!C26=2,90+Inputs!$B$27+Inputs!$B$30,IF(Skills!C26=3,120+Inputs!$B$28+Inputs!$B$30,MAX(0,(Inputs!$B$3-100)*3)+Inputs!$B$29+Inputs!$B$30)))</f>
        <v/>
      </c>
      <c r="E645">
        <f>INDEX(FactorTable!$B$2:$Y$301, MATCH(ROUND(MIN(300,MAX(1,D645)),0), FactorTable!$A$2:$A$301,0), Skills!M26+1)</f>
        <v/>
      </c>
      <c r="F645">
        <f>IF(Skills!N26=TRUE,(Skills!L26/10)*(E645/1000),Skills!L26/10)+Skills!O26</f>
        <v/>
      </c>
      <c r="G645">
        <f>Skills!G26*IF(Skills!H26&gt;0,INT(IF(Inputs!$B$39="pvp",MIN(Skills!I26,15),Skills!I26)/Skills!H26+0.000000001),1)</f>
        <v/>
      </c>
      <c r="H645">
        <f>1-(1-Skills!J26/100)^Skills!K26</f>
        <v/>
      </c>
      <c r="I645" t="inlineStr">
        <is>
          <t>1</t>
        </is>
      </c>
      <c r="J645" t="inlineStr"/>
      <c r="K645" t="inlineStr"/>
      <c r="L645" t="inlineStr"/>
      <c r="M645" t="inlineStr"/>
      <c r="N645" t="inlineStr"/>
      <c r="O645">
        <f>(1-Summary!$B$11)*T645+Summary!$B$11*V645</f>
        <v/>
      </c>
      <c r="P645">
        <f>IF(B658=0,0,O645/B658)</f>
        <v/>
      </c>
      <c r="Q645" t="n">
        <v>0</v>
      </c>
      <c r="R645" t="n">
        <v>0</v>
      </c>
      <c r="S645">
        <f>IFERROR(O645/N645,0)</f>
        <v/>
      </c>
      <c r="T645" t="n">
        <v>0</v>
      </c>
      <c r="V645" t="n">
        <v>0</v>
      </c>
    </row>
    <row r="647">
      <c r="A647" t="inlineStr">
        <is>
          <t>Attack% Bucket Multiplier</t>
        </is>
      </c>
      <c r="B647">
        <f>(1+(((C632=TRUE)*F632*IF(AND(Inputs!$B$39&lt;&gt;"pvp",Inputs!$B$44&gt;0),(((R632-1)*MIN((Skills!T13*(1+Inputs!$B$35/100)),(1/Q632))+MIN((Skills!T13*(1+Inputs!$B$35/100)),MAX(0,Inputs!$B$44-((R632-1)*(1/Q632)))))/Inputs!$B$44),IF(Inputs!$B$39="pvp",MIN((Skills!T13*(1+Inputs!$B$35/100)),15)/15,MIN(1,(Skills!T13*(1+Inputs!$B$35/100))/(1/Q632)))))+((C633=TRUE)*F633*IF(AND(Inputs!$B$39&lt;&gt;"pvp",Inputs!$B$44&gt;0),(((R633-1)*MIN((Skills!T14*(1+Inputs!$B$35/100)),(1/Q633))+MIN((Skills!T14*(1+Inputs!$B$35/100)),MAX(0,Inputs!$B$44-((R633-1)*(1/Q633)))))/Inputs!$B$44),IF(Inputs!$B$39="pvp",MIN((Skills!T14*(1+Inputs!$B$35/100)),15)/15,MIN(1,(Skills!T14*(1+Inputs!$B$35/100))/(1/Q633)))))+((C634=TRUE)*F634*IF(AND(Inputs!$B$39&lt;&gt;"pvp",Inputs!$B$44&gt;0),(((R634-1)*MIN((Skills!T15*(1+Inputs!$B$35/100)),(1/Q634))+MIN((Skills!T15*(1+Inputs!$B$35/100)),MAX(0,Inputs!$B$44-((R634-1)*(1/Q634)))))/Inputs!$B$44),IF(Inputs!$B$39="pvp",MIN((Skills!T15*(1+Inputs!$B$35/100)),15)/15,MIN(1,(Skills!T15*(1+Inputs!$B$35/100))/(1/Q634)))))+((C635=TRUE)*F635*IF(AND(Inputs!$B$39&lt;&gt;"pvp",Inputs!$B$44&gt;0),(((R635-1)*MIN((Skills!T16*(1+Inputs!$B$35/100)),(1/Q635))+MIN((Skills!T16*(1+Inputs!$B$35/100)),MAX(0,Inputs!$B$44-((R635-1)*(1/Q635)))))/Inputs!$B$44),IF(Inputs!$B$39="pvp",MIN((Skills!T16*(1+Inputs!$B$35/100)),15)/15,MIN(1,(Skills!T16*(1+Inputs!$B$35/100))/(1/Q635)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648">
      <c r="A648" t="inlineStr">
        <is>
          <t>Global Crit Rate Bonus % (Lord of Darkness)</t>
        </is>
      </c>
      <c r="B648">
        <f>((C637=TRUE)*F637*(Skills!J18/100)*IF(AND(Inputs!$B$39&lt;&gt;"pvp",Inputs!$B$44&gt;0),(((R637-1)*MIN((Skills!T18*(1+Inputs!$B$35/100)),(1/Q637))+MIN((Skills!T18*(1+Inputs!$B$35/100)),MAX(0,Inputs!$B$44-((R637-1)*(1/Q637)))))/Inputs!$B$44),IF(Inputs!$B$39="pvp",MIN((Skills!T18*(1+Inputs!$B$35/100)),15)/15,MIN(1,(Skills!T18*(1+Inputs!$B$35/100))/(1/Q637)))))</f>
        <v/>
      </c>
    </row>
    <row r="649">
      <c r="A649" t="inlineStr">
        <is>
          <t>Attack Speed Buff Bonus %</t>
        </is>
      </c>
      <c r="B649">
        <f>((C639=TRUE)*F639*IF(AND(Inputs!$B$39&lt;&gt;"pvp",Inputs!$B$44&gt;0),(((R639-1)*MIN((Skills!T20*(1+Inputs!$B$35/100)),(1/Q639))+MIN((Skills!T20*(1+Inputs!$B$35/100)),MAX(0,Inputs!$B$44-((R639-1)*(1/Q639)))))/Inputs!$B$44),IF(Inputs!$B$39="pvp",MIN((Skills!T20*(1+Inputs!$B$35/100)),15)/15,MIN(1,(Skills!T20*(1+Inputs!$B$35/100))/(1/Q639)))))</f>
        <v/>
      </c>
    </row>
    <row r="650">
      <c r="A650" t="inlineStr">
        <is>
          <t>Actions Per Second</t>
        </is>
      </c>
      <c r="B650">
        <f>1+MIN(150,150*(1-(1-(Inputs!$B$12+((C640=TRUE)*(F640-Calc!F21)))/150)*(1-B649/150)))/100</f>
        <v/>
      </c>
    </row>
    <row r="651">
      <c r="A651" t="inlineStr">
        <is>
          <t>Skill + Buff Cast Rate</t>
        </is>
      </c>
      <c r="B651">
        <f>IF(AND(Inputs!$B$39&lt;&gt;"pvp",Inputs!$B$44&gt;0),SUMPRODUCT((Skills!E2:E26=TRUE)*(C621:C645=TRUE)*R621:R645*Skills!F2:F26)/Inputs!$B$44,SUMPRODUCT((Skills!E2:E26=TRUE)*(C621:C645=TRUE)*Q621:Q645*Skills!F2:F26))</f>
        <v/>
      </c>
    </row>
    <row r="652">
      <c r="A652" t="inlineStr">
        <is>
          <t>Dark Impale Casts Per Second</t>
        </is>
      </c>
      <c r="B652">
        <f>MAX(0,B650-B651)</f>
        <v/>
      </c>
    </row>
    <row r="653">
      <c r="A653" t="inlineStr">
        <is>
          <t>Global Critical Damage Bonus % (Lord of Darkness)</t>
        </is>
      </c>
      <c r="B653">
        <f>((C638=TRUE)*F638*(Skills!J19/100)*IF(AND(Inputs!$B$39&lt;&gt;"pvp",Inputs!$B$44&gt;0),(((R638-1)*MIN((Skills!T19*(1+Inputs!$B$35/100)),(1/Q638))+MIN((Skills!T19*(1+Inputs!$B$35/100)),MAX(0,Inputs!$B$44-((R638-1)*(1/Q638)))))/Inputs!$B$44),IF(Inputs!$B$39="pvp",MIN((Skills!T19*(1+Inputs!$B$35/100)),15)/15,MIN(1,(Skills!T19*(1+Inputs!$B$35/100))/(1/Q638)))))</f>
        <v/>
      </c>
    </row>
    <row r="654">
      <c r="A654" t="inlineStr">
        <is>
          <t>Global Final Damage Bonus % (unused)</t>
        </is>
      </c>
      <c r="B654" t="n">
        <v>0</v>
      </c>
    </row>
    <row r="655">
      <c r="A655" t="inlineStr">
        <is>
          <t>Buff-Casting Startup Delay (s, fixed-duration only)</t>
        </is>
      </c>
      <c r="B655">
        <f>IF(AND(Inputs!$B$39&lt;&gt;"pvp",Inputs!$B$44&gt;0),SUMPRODUCT((Skills!T2:T26&gt;0)*(Skills!E2:E26=TRUE)*(C621:C645=TRUE))/B650,0)</f>
        <v/>
      </c>
    </row>
    <row r="656">
      <c r="A656" t="inlineStr">
        <is>
          <t>Boss-Only Total DPS (this block's swept value)</t>
        </is>
      </c>
      <c r="B656">
        <f>SUM(T621:T645)</f>
        <v/>
      </c>
    </row>
    <row r="657">
      <c r="A657" t="inlineStr">
        <is>
          <t>Normal-Only Total DPS (this block's swept value)</t>
        </is>
      </c>
      <c r="B657">
        <f>SUM(V621:V645)</f>
        <v/>
      </c>
    </row>
    <row r="658">
      <c r="A658" s="6" t="inlineStr">
        <is>
          <t>TOTAL DPS</t>
        </is>
      </c>
      <c r="B658" s="6">
        <f>SUM(O621:O645)</f>
        <v/>
      </c>
    </row>
    <row r="661">
      <c r="A661" s="6" t="inlineStr">
        <is>
          <t>Stat: ATTACK_SPEED % (diminishing returns, factor 150)</t>
        </is>
      </c>
    </row>
    <row r="662">
      <c r="A662" s="5" t="inlineStr">
        <is>
          <t>Key</t>
        </is>
      </c>
      <c r="B662" s="5" t="inlineStr">
        <is>
          <t>Name</t>
        </is>
      </c>
      <c r="C662" s="5" t="inlineStr">
        <is>
          <t>Unlocked</t>
        </is>
      </c>
      <c r="D662" s="5" t="inlineStr">
        <is>
          <t>InputLevel</t>
        </is>
      </c>
      <c r="E662" s="5" t="inlineStr">
        <is>
          <t>Factor</t>
        </is>
      </c>
      <c r="F662" s="5" t="inlineStr">
        <is>
          <t>CoefficientPercent</t>
        </is>
      </c>
      <c r="G662" s="5" t="inlineStr">
        <is>
          <t>EffectiveHits</t>
        </is>
      </c>
      <c r="H662" s="5" t="inlineStr">
        <is>
          <t>ProcProbability</t>
        </is>
      </c>
      <c r="I662" s="5" t="inlineStr">
        <is>
          <t>MapleHeroMultiplier</t>
        </is>
      </c>
      <c r="J662" s="5" t="inlineStr">
        <is>
          <t>BaseDamage</t>
        </is>
      </c>
      <c r="K662" s="5" t="inlineStr">
        <is>
          <t>BaseHitDamage</t>
        </is>
      </c>
      <c r="L662" s="5" t="inlineStr">
        <is>
          <t>NonCritAvg</t>
        </is>
      </c>
      <c r="M662" s="5" t="inlineStr">
        <is>
          <t>CritAvg</t>
        </is>
      </c>
      <c r="N662" s="5" t="inlineStr">
        <is>
          <t>ExpectedDamage(perHit)</t>
        </is>
      </c>
      <c r="O662" s="5" t="inlineStr">
        <is>
          <t>DPS</t>
        </is>
      </c>
      <c r="P662" s="5" t="inlineStr">
        <is>
          <t>% of Total</t>
        </is>
      </c>
      <c r="Q662" s="5" t="inlineStr">
        <is>
          <t>InvCooldown</t>
        </is>
      </c>
      <c r="R662" s="5" t="inlineStr">
        <is>
          <t>CastsInFight</t>
        </is>
      </c>
      <c r="S662" s="5" t="inlineStr">
        <is>
          <t>HitRate(perSec)</t>
        </is>
      </c>
      <c r="U662" t="inlineStr">
        <is>
          <t>helpers</t>
        </is>
      </c>
    </row>
    <row r="663">
      <c r="A663">
        <f>Skills!A2</f>
        <v/>
      </c>
      <c r="B663">
        <f>Skills!B2</f>
        <v/>
      </c>
      <c r="C663">
        <f>Inputs!$B$3&gt;=100</f>
        <v/>
      </c>
      <c r="D663" t="inlineStr"/>
      <c r="E663" t="inlineStr"/>
      <c r="F663">
        <f>U665+Skills!O2</f>
        <v/>
      </c>
      <c r="G663">
        <f>Skills!G2*IF(Skills!H2&gt;0,INT(IF(Inputs!$B$39="pvp",MIN(Skills!I2,15),Skills!I2)/Skills!H2+0.000000001),1)</f>
        <v/>
      </c>
      <c r="H663">
        <f>1-(1-Skills!J2/100)^Skills!K2</f>
        <v/>
      </c>
      <c r="I663" t="inlineStr">
        <is>
          <t>1</t>
        </is>
      </c>
      <c r="J663">
        <f>((Inputs!$B$6*(1+Inputs!$B$7/100))+(((Inputs!$B$13*(1+Inputs!$B$14/100))-(Inputs!$B$13*(1+Inputs!$B$14/100)))+0.25*(Inputs!$B$15-Inputs!$B$15))*(1+Inputs!$B$7/100))*(F663/100)</f>
        <v/>
      </c>
      <c r="K663">
        <f>J663*(1+(((Inputs!$B$13+IF(Inputs!$B$3&gt;=38,(10*INDEX(FactorTable!$B$2:$Y$301, MATCH(ROUND(MIN(300,MAX(1,Inputs!$B$3)),0), FactorTable!$A$2:$A$301,0), 23)/1000)/100*(Inputs!$B$8*(1+Inputs!$B$9/100)),0))*(1+Inputs!$B$14/100))*0.01+Inputs!$B$15*0.0025)/100)*(1+Inputs!$B$16/100)*(1+Inputs!$B$17/100)*(5000/(6000+Inputs!$B$43*(1-(Inputs!$B$20+0)/100)))*(1+(Inputs!$B$25+((C686=TRUE)*(F686-Calc!F25))+((C687=TRUE)*(F687-Calc!F26))+B696)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$12/150)*(1-1/150))*150)-60))),0)-IF(ArtifactsInput!$M$34,MIN(CHOOSE(ArtifactsInput!$N$34+1,10,12,14,16,18,20),MAX(0,(CHOOSE(ArtifactsInput!$N$34+1,0.5,0.6,0.7,0.8,0.9,1)/3)*(Inputs!$B$12-60))),0)))/100)*(1+(IF(Skills!A2="DARK_IMPALE",Inputs!$B$18+0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gt;=100),MIN(100,((Inputs!$B$10+0+B690+(ArtifactsInput!$M$24-ArtifactsInput!$M$24)*CHOOSE(ArtifactsInput!$N$24+1,10,12,14,16,18,20)+IF(ArtifactsInput!$M$10,CHOOSE(ArtifactsInput!$N$10+1,15,18,21,24,27,30)*(IF(Inputs!$B$39="pvp",MIN(15,15)/15,IF(AND(Inputs!$B$39&lt;&gt;"pvp",Inputs!$B$44&gt;0),MIN(15,Inputs!$B$44)/(Inputs!$B$44),0))),0)))-100),0))*CHOOSE(ArtifactsInput!$N$42+1,0.6,0.72,0.84,0.96,1.08,1.2))),Inputs!$B$19+((C684=TRUE)*(F684-Calc!F23))+(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gt;=100),CHOOSE(ArtifactsInput!$N$42+1,40,48,56,64,72,80),0))))/100)*((1+(((C674=TRUE)*F674*IF(AND(Inputs!$B$39&lt;&gt;"pvp",Inputs!$B$44&gt;0),(((R674-1)*MIN((Skills!T13*(1+Inputs!$B$35/100)),(1/Q674))+MIN((Skills!T13*(1+Inputs!$B$35/100)),MAX(0,Inputs!$B$44-((R674-1)*(1/Q674)))))/Inputs!$B$44),IF(Inputs!$B$39="pvp",MIN((Skills!T13*(1+Inputs!$B$35/100)),15)/15,MIN(1,(Skills!T13*(1+Inputs!$B$35/100))/(1/Q674)))))+((C675=TRUE)*F675*IF(AND(Inputs!$B$39&lt;&gt;"pvp",Inputs!$B$44&gt;0),(((R675-1)*MIN((Skills!T14*(1+Inputs!$B$35/100)),(1/Q675))+MIN((Skills!T14*(1+Inputs!$B$35/100)),MAX(0,Inputs!$B$44-((R675-1)*(1/Q675)))))/Inputs!$B$44),IF(Inputs!$B$39="pvp",MIN((Skills!T14*(1+Inputs!$B$35/100)),15)/15,MIN(1,(Skills!T14*(1+Inputs!$B$35/100))/(1/Q675)))))+((C676=TRUE)*F676*IF(AND(Inputs!$B$39&lt;&gt;"pvp",Inputs!$B$44&gt;0),(((R676-1)*MIN((Skills!T15*(1+Inputs!$B$35/100)),(1/Q676))+MIN((Skills!T15*(1+Inputs!$B$35/100)),MAX(0,Inputs!$B$44-((R676-1)*(1/Q676)))))/Inputs!$B$44),IF(Inputs!$B$39="pvp",MIN((Skills!T15*(1+Inputs!$B$35/100)),15)/15,MIN(1,(Skills!T15*(1+Inputs!$B$35/100))/(1/Q676)))))+((C677=TRUE)*F677*IF(AND(Inputs!$B$39&lt;&gt;"pvp",Inputs!$B$44&gt;0),(((R677-1)*MIN((Skills!T16*(1+Inputs!$B$35/100)),(1/Q677))+MIN((Skills!T16*(1+Inputs!$B$35/100)),MAX(0,Inputs!$B$44-((R677-1)*(1/Q677)))))/Inputs!$B$44),IF(Inputs!$B$39="pvp",MIN((Skills!T16*(1+Inputs!$B$35/100)),15)/15,MIN(1,(Skills!T16*(1+Inputs!$B$35/100))/(1/Q677)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663)</f>
        <v/>
      </c>
      <c r="L663">
        <f>K663*(MIN(Inputs!$B$23+((C683=TRUE)*(F683-Calc!F22)),(Inputs!$B$24+((C685=TRUE)*(F685-Calc!F24))+(IF(ArtifactsInput!$M$15,CHOOSE(ArtifactsInput!$N$15+1,25,30,35,40,45,50)/100*(((1-(1-Inputs!$B$12/150)*(1-1/150))*150)-Inputs!$B$12),0))))/100+(Inputs!$B$24+((C685=TRUE)*(F685-Calc!F24))+(IF(ArtifactsInput!$M$15,CHOOSE(ArtifactsInput!$N$15+1,25,30,35,40,45,50)/100*(((1-(1-Inputs!$B$12/150)*(1-1/150))*150)-Inputs!$B$12),0)))/100)/2</f>
        <v/>
      </c>
      <c r="M663">
        <f>L663*(1+(Inputs!$B$11+0+B695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663">
        <f>L663*(1-MIN((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663*(MIN((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63">
        <f>(1-Summary!$B$11)*T663+Summary!$B$11*V663</f>
        <v/>
      </c>
      <c r="P663">
        <f>IF(B700=0,0,O663/B700)</f>
        <v/>
      </c>
      <c r="Q663" t="n">
        <v>0</v>
      </c>
      <c r="R663" t="n">
        <v>0</v>
      </c>
      <c r="S663">
        <f>IFERROR(O663/N663,0)</f>
        <v/>
      </c>
      <c r="T663">
        <f>IF(C663,(Skills!G2*N663*B694)*IF(Inputs!$B$39="pvp",1,1+(Inputs!$B$21+0+Skills!P2+((C678=TRUE)*F678*IF(AND(Inputs!$B$39&lt;&gt;"pvp",Inputs!$B$44&gt;0),(((R678-1)*MIN((Skills!T17*(1+Inputs!$B$35/100)),(1/Q678))+MIN((Skills!T17*(1+Inputs!$B$35/100)),MAX(0,Inputs!$B$44-((R678-1)*(1/Q678)))))/Inputs!$B$44),IF(Inputs!$B$39="pvp",MIN((Skills!T17*(1+Inputs!$B$35/100)),15)/15,MIN(1,(Skills!T17*(1+Inputs!$B$35/100))/(1/Q678)))))+((C666=TRUE)*IF(Inputs!$B$3&gt;=126,10*MIN(1,15*Q666),0))+((C675=TRUE)*IF(Inputs!$B$39="pvp",20,(1-Summary!$B$11)*(20)+Summary!$B$11*(0))*IF(AND(Inputs!$B$39&lt;&gt;"pvp",Inputs!$B$44&gt;0),(((R675-1)*MIN((Skills!T14*(1+Inputs!$B$35/100)),(1/Q675))+MIN((Skills!T14*(1+Inputs!$B$35/100)),MAX(0,Inputs!$B$44-((R675-1)*(1/Q675)))))/Inputs!$B$44),IF(Inputs!$B$39="pvp",MIN((Skills!T14*(1+Inputs!$B$35/100)),15)/15,MIN(1,(Skills!T14*(1+Inputs!$B$35/100))/(1/Q675)))))+((C674=TRUE)*IF(Inputs!$B$3&gt;=82,IF(Inputs!$B$39="pvp",20,(1-Summary!$B$11)*(20)+Summary!$B$11*(0)),0)*IF(AND(Inputs!$B$39&lt;&gt;"pvp",Inputs!$B$44&gt;0),(((R674-1)*MIN((Skills!T13*(1+Inputs!$B$35/100)),(1/Q674))+MIN((Skills!T13*(1+Inputs!$B$35/100)),MAX(0,Inputs!$B$44-((R674-1)*(1/Q674)))))/Inputs!$B$44),IF(Inputs!$B$39="pvp",MIN((Skills!T13*(1+Inputs!$B$35/100)),15)/15,MIN(1,(Skills!T13*(1+Inputs!$B$35/100))/(1/Q674)))))+(IF(AND(ArtifactsInput!$M$35,Inputs!$B$4&lt;&gt;"Chapter Hunt"),CHOOSE(ArtifactsInput!$N$35+1,15,18,21,24,27,30)*(1-EXP(-(0.2*B692)*5)),0)+IF(AND(ArtifactsInput!$M$22,Inputs!$B$4&lt;&gt;"Chapter Hunt"),CHOOSE(ArtifactsInput!$N$22+1,10,12,14,16,18,20)*((0*(((0.15*B692*5))^0/1)+1*(((0.15*B692*5))^1/1)+2*(((0.15*B692*5))^2/2)+3*(((0.15*B692*5))^3/6)+4*(((0.15*B692*5))^4/24)+5*(((0.15*B692*5))^5/120))/((((0.15*B692*5))^0/1)+(((0.15*B692*5))^1/1)+(((0.15*B692*5))^2/2)+(((0.15*B692*5))^3/6)+(((0.15*B692*5))^4/24)+(((0.15*B692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663*(1-MIN(100,(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663*(MIN(100,(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663*(1-MIN(100,(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663*(MIN(100,(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663">
        <f>MAX(0,(Inputs!$B$3-100)*3)+Inputs!$B$29+Inputs!$B$30</f>
        <v/>
      </c>
      <c r="V663">
        <f>IF(C663,(Skills!G2*N663*B694)*IF(Inputs!$B$39="pvp",1,(1+(Inputs!$B$22+Skills!Q2+((C678=TRUE)*F678*IF(AND(Inputs!$B$39&lt;&gt;"pvp",Inputs!$B$44&gt;0),(((R678-1)*MIN((Skills!T17*(1+Inputs!$B$35/100)),(1/Q678))+MIN((Skills!T17*(1+Inputs!$B$35/100)),MAX(0,Inputs!$B$44-((R678-1)*(1/Q678)))))/Inputs!$B$44),IF(Inputs!$B$39="pvp",MIN((Skills!T17*(1+Inputs!$B$35/100)),15)/15,MIN(1,(Skills!T17*(1+Inputs!$B$35/100))/(1/Q678)))))+((C666=TRUE)*IF(Inputs!$B$3&gt;=126,10*MIN(1,15*Q666),0))+((C675=TRUE)*IF(Inputs!$B$39="pvp",20,(1-Summary!$B$11)*(20)+Summary!$B$11*(0))*IF(AND(Inputs!$B$39&lt;&gt;"pvp",Inputs!$B$44&gt;0),(((R675-1)*MIN((Skills!T14*(1+Inputs!$B$35/100)),(1/Q675))+MIN((Skills!T14*(1+Inputs!$B$35/100)),MAX(0,Inputs!$B$44-((R675-1)*(1/Q675)))))/Inputs!$B$44),IF(Inputs!$B$39="pvp",MIN((Skills!T14*(1+Inputs!$B$35/100)),15)/15,MIN(1,(Skills!T14*(1+Inputs!$B$35/100))/(1/Q675)))))+((C674=TRUE)*IF(Inputs!$B$3&gt;=82,IF(Inputs!$B$39="pvp",20,(1-Summary!$B$11)*(20)+Summary!$B$11*(0)),0)*IF(AND(Inputs!$B$39&lt;&gt;"pvp",Inputs!$B$44&gt;0),(((R674-1)*MIN((Skills!T13*(1+Inputs!$B$35/100)),(1/Q674))+MIN((Skills!T13*(1+Inputs!$B$35/100)),MAX(0,Inputs!$B$44-((R674-1)*(1/Q674)))))/Inputs!$B$44),IF(Inputs!$B$39="pvp",MIN((Skills!T13*(1+Inputs!$B$35/100)),15)/15,MIN(1,(Skills!T13*(1+Inputs!$B$35/100))/(1/Q674)))))+(IF(AND(ArtifactsInput!$M$35,Inputs!$B$4&lt;&gt;"Chapter Hunt"),CHOOSE(ArtifactsInput!$N$35+1,15,18,21,24,27,30)*(1-EXP(-(0.2*B692)*5)),0)+IF(AND(ArtifactsInput!$M$22,Inputs!$B$4&lt;&gt;"Chapter Hunt"),CHOOSE(ArtifactsInput!$N$22+1,10,12,14,16,18,20)*((0*(((0.15*B692*5))^0/1)+1*(((0.15*B692*5))^1/1)+2*(((0.15*B692*5))^2/2)+3*(((0.15*B692*5))^3/6)+4*(((0.15*B692*5))^4/24)+5*(((0.15*B692*5))^5/120))/((((0.15*B692*5))^0/1)+(((0.15*B692*5))^1/1)+(((0.15*B692*5))^2/2)+(((0.15*B692*5))^3/6)+(((0.15*B692*5))^4/24)+(((0.15*B692*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64">
      <c r="A664">
        <f>Skills!A3</f>
        <v/>
      </c>
      <c r="B664">
        <f>Skills!B3</f>
        <v/>
      </c>
      <c r="C664">
        <f>Inputs!$B$3&gt;=50</f>
        <v/>
      </c>
      <c r="D664">
        <f>IF(Skills!C3=1,60+Inputs!$B$26+Inputs!$B$30,IF(Skills!C3=2,90+Inputs!$B$27+Inputs!$B$30,IF(Skills!C3=3,120+Inputs!$B$28+Inputs!$B$30,MAX(0,(Inputs!$B$3-100)*3)+Inputs!$B$29+Inputs!$B$30)))</f>
        <v/>
      </c>
      <c r="E664">
        <f>INDEX(FactorTable!$B$2:$Y$301, MATCH(ROUND(MIN(300,MAX(1,D664)),0), FactorTable!$A$2:$A$301,0), Skills!M3+1)</f>
        <v/>
      </c>
      <c r="F664">
        <f>IF(Skills!N3=TRUE,(Skills!L3/10)*(E664/1000),Skills!L3/10)+Skills!O3</f>
        <v/>
      </c>
      <c r="G664" t="inlineStr"/>
      <c r="H664" t="inlineStr"/>
      <c r="I664" t="inlineStr">
        <is>
          <t>1</t>
        </is>
      </c>
      <c r="J664" t="inlineStr"/>
      <c r="K664" t="inlineStr"/>
      <c r="L664" t="inlineStr"/>
      <c r="M664" t="inlineStr"/>
      <c r="N664" t="inlineStr"/>
      <c r="O664" t="inlineStr"/>
      <c r="P664" t="inlineStr"/>
      <c r="Q664" t="inlineStr"/>
      <c r="R664" t="inlineStr"/>
      <c r="S664" t="inlineStr"/>
      <c r="U664">
        <f>INDEX(FactorTable!$B$2:$Y$301, MATCH(ROUND(MIN(300,MAX(1,U663)),0), FactorTable!$A$2:$A$301,0), 22)</f>
        <v/>
      </c>
    </row>
    <row r="665">
      <c r="A665">
        <f>Skills!A4</f>
        <v/>
      </c>
      <c r="B665">
        <f>Skills!B4</f>
        <v/>
      </c>
      <c r="C665">
        <f>Inputs!$B$3&gt;=105</f>
        <v/>
      </c>
      <c r="D665">
        <f>IF(Skills!C4=1,60+Inputs!$B$26+Inputs!$B$30,IF(Skills!C4=2,90+Inputs!$B$27+Inputs!$B$30,IF(Skills!C4=3,120+Inputs!$B$28+Inputs!$B$30,MAX(0,(Inputs!$B$3-100)*3)+Inputs!$B$29+Inputs!$B$30)))</f>
        <v/>
      </c>
      <c r="E665">
        <f>INDEX(FactorTable!$B$2:$Y$301, MATCH(ROUND(MIN(300,MAX(1,D665)),0), FactorTable!$A$2:$A$301,0), Skills!M4+1)</f>
        <v/>
      </c>
      <c r="F665">
        <f>IF(Skills!N4=TRUE,(Skills!L4/10)*(E665/1000),Skills!L4/10)+Skills!O4</f>
        <v/>
      </c>
      <c r="G665" t="inlineStr"/>
      <c r="H665" t="inlineStr"/>
      <c r="I665" t="inlineStr">
        <is>
          <t>1</t>
        </is>
      </c>
      <c r="J665" t="inlineStr"/>
      <c r="K665" t="inlineStr"/>
      <c r="L665" t="inlineStr"/>
      <c r="M665" t="inlineStr"/>
      <c r="N665" t="inlineStr"/>
      <c r="O665" t="inlineStr"/>
      <c r="P665" t="inlineStr"/>
      <c r="Q665" t="inlineStr"/>
      <c r="R665" t="inlineStr"/>
      <c r="S665" t="inlineStr"/>
      <c r="U665">
        <f>290*U664/1000</f>
        <v/>
      </c>
    </row>
    <row r="666">
      <c r="A666">
        <f>Skills!A5</f>
        <v/>
      </c>
      <c r="B666">
        <f>Skills!B5</f>
        <v/>
      </c>
      <c r="C666">
        <f>Inputs!$B$3&gt;=117</f>
        <v/>
      </c>
      <c r="D666">
        <f>IF(Skills!C5=1,60+Inputs!$B$26+Inputs!$B$30,IF(Skills!C5=2,90+Inputs!$B$27+Inputs!$B$30,IF(Skills!C5=3,120+Inputs!$B$28+Inputs!$B$30,MAX(0,(Inputs!$B$3-100)*3)+Inputs!$B$29+Inputs!$B$30)))</f>
        <v/>
      </c>
      <c r="E666">
        <f>INDEX(FactorTable!$B$2:$Y$301, MATCH(ROUND(MIN(300,MAX(1,D666)),0), FactorTable!$A$2:$A$301,0), Skills!M5+1)</f>
        <v/>
      </c>
      <c r="F666">
        <f>IF(Skills!N5=TRUE,(Skills!L5/10)*(E666/1000),Skills!L5/10)+Skills!O5</f>
        <v/>
      </c>
      <c r="G666">
        <f>Skills!G5*IF(Skills!H5&gt;0,INT(IF(Inputs!$B$39="pvp",MIN(Skills!I5,15),Skills!I5)/Skills!H5+0.000000001),1)</f>
        <v/>
      </c>
      <c r="H666">
        <f>1-(1-Skills!J5/100)^Skills!K5</f>
        <v/>
      </c>
      <c r="I666" t="inlineStr">
        <is>
          <t>1</t>
        </is>
      </c>
      <c r="J666">
        <f>((Inputs!$B$6*(1+Inputs!$B$7/100))+(((Inputs!$B$13*(1+Inputs!$B$14/100))-(Inputs!$B$13*(1+Inputs!$B$14/100)))+0.25*(Inputs!$B$15-Inputs!$B$15))*(1+Inputs!$B$7/100))*(F666/100)</f>
        <v/>
      </c>
      <c r="K666">
        <f>J666*(1+(((Inputs!$B$13+IF(Inputs!$B$3&gt;=38,(10*INDEX(FactorTable!$B$2:$Y$301, MATCH(ROUND(MIN(300,MAX(1,Inputs!$B$3)),0), FactorTable!$A$2:$A$301,0), 23)/1000)/100*(Inputs!$B$8*(1+Inputs!$B$9/100)),0))*(1+Inputs!$B$14/100))*0.01+Inputs!$B$15*0.0025)/100)*(1+Inputs!$B$16/100)*(1+Inputs!$B$17/100)*(5000/(6000+Inputs!$B$43*(1-(Inputs!$B$20+0)/100)))*(1+(Inputs!$B$25+((C686=TRUE)*(F686-Calc!F25))+((C687=TRUE)*(F687-Calc!F26))+B696)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$12/150)*(1-1/150))*150)-60))),0)-IF(ArtifactsInput!$M$34,MIN(CHOOSE(ArtifactsInput!$N$34+1,10,12,14,16,18,20),MAX(0,(CHOOSE(ArtifactsInput!$N$34+1,0.5,0.6,0.7,0.8,0.9,1)/3)*(Inputs!$B$12-60))),0)))/100)*(1+(IF(Skills!A5="DARK_IMPALE",Inputs!$B$18+0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gt;=100),MIN(100,((Inputs!$B$10+0+B690+(ArtifactsInput!$M$24-ArtifactsInput!$M$24)*CHOOSE(ArtifactsInput!$N$24+1,10,12,14,16,18,20)+IF(ArtifactsInput!$M$10,CHOOSE(ArtifactsInput!$N$10+1,15,18,21,24,27,30)*(IF(Inputs!$B$39="pvp",MIN(15,15)/15,IF(AND(Inputs!$B$39&lt;&gt;"pvp",Inputs!$B$44&gt;0),MIN(15,Inputs!$B$44)/(Inputs!$B$44),0))),0)))-100),0))*CHOOSE(ArtifactsInput!$N$42+1,0.6,0.72,0.84,0.96,1.08,1.2))),Inputs!$B$19+((C684=TRUE)*(F684-Calc!F23))+(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gt;=100),CHOOSE(ArtifactsInput!$N$42+1,40,48,56,64,72,80),0))))/100)*((1+(((C674=TRUE)*F674*IF(AND(Inputs!$B$39&lt;&gt;"pvp",Inputs!$B$44&gt;0),(((R674-1)*MIN((Skills!T13*(1+Inputs!$B$35/100)),(1/Q674))+MIN((Skills!T13*(1+Inputs!$B$35/100)),MAX(0,Inputs!$B$44-((R674-1)*(1/Q674)))))/Inputs!$B$44),IF(Inputs!$B$39="pvp",MIN((Skills!T13*(1+Inputs!$B$35/100)),15)/15,MIN(1,(Skills!T13*(1+Inputs!$B$35/100))/(1/Q674)))))+((C675=TRUE)*F675*IF(AND(Inputs!$B$39&lt;&gt;"pvp",Inputs!$B$44&gt;0),(((R675-1)*MIN((Skills!T14*(1+Inputs!$B$35/100)),(1/Q675))+MIN((Skills!T14*(1+Inputs!$B$35/100)),MAX(0,Inputs!$B$44-((R675-1)*(1/Q675)))))/Inputs!$B$44),IF(Inputs!$B$39="pvp",MIN((Skills!T14*(1+Inputs!$B$35/100)),15)/15,MIN(1,(Skills!T14*(1+Inputs!$B$35/100))/(1/Q675)))))+((C676=TRUE)*F676*IF(AND(Inputs!$B$39&lt;&gt;"pvp",Inputs!$B$44&gt;0),(((R676-1)*MIN((Skills!T15*(1+Inputs!$B$35/100)),(1/Q676))+MIN((Skills!T15*(1+Inputs!$B$35/100)),MAX(0,Inputs!$B$44-((R676-1)*(1/Q676)))))/Inputs!$B$44),IF(Inputs!$B$39="pvp",MIN((Skills!T15*(1+Inputs!$B$35/100)),15)/15,MIN(1,(Skills!T15*(1+Inputs!$B$35/100))/(1/Q676)))))+((C677=TRUE)*F677*IF(AND(Inputs!$B$39&lt;&gt;"pvp",Inputs!$B$44&gt;0),(((R677-1)*MIN((Skills!T16*(1+Inputs!$B$35/100)),(1/Q677))+MIN((Skills!T16*(1+Inputs!$B$35/100)),MAX(0,Inputs!$B$44-((R677-1)*(1/Q677)))))/Inputs!$B$44),IF(Inputs!$B$39="pvp",MIN((Skills!T16*(1+Inputs!$B$35/100)),15)/15,MIN(1,(Skills!T16*(1+Inputs!$B$35/100))/(1/Q677)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666)</f>
        <v/>
      </c>
      <c r="L666">
        <f>K666*(MIN(Inputs!$B$23+((C683=TRUE)*(F683-Calc!F22)),(Inputs!$B$24+((C685=TRUE)*(F685-Calc!F24))+(IF(ArtifactsInput!$M$15,CHOOSE(ArtifactsInput!$N$15+1,25,30,35,40,45,50)/100*(((1-(1-Inputs!$B$12/150)*(1-1/150))*150)-Inputs!$B$12),0))))/100+(Inputs!$B$24+((C685=TRUE)*(F685-Calc!F24))+(IF(ArtifactsInput!$M$15,CHOOSE(ArtifactsInput!$N$15+1,25,30,35,40,45,50)/100*(((1-(1-Inputs!$B$12/150)*(1-1/150))*150)-Inputs!$B$12),0)))/100)/2</f>
        <v/>
      </c>
      <c r="M666">
        <f>L666*(1+(Inputs!$B$11+0+B695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666">
        <f>L666*(1-MIN((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666*(MIN((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66">
        <f>(1-Summary!$B$11)*T666+Summary!$B$11*V666</f>
        <v/>
      </c>
      <c r="P666">
        <f>IF(B700=0,0,O666/B700)</f>
        <v/>
      </c>
      <c r="Q666">
        <f>IFERROR(1/IF(Inputs!$B$39="pvp",15,MAX(0.1,Skills!D5-IF(TRUE=TRUE,Inputs!$B$33,0))),0)</f>
        <v/>
      </c>
      <c r="R666">
        <f>IF(AND(Inputs!$B$39&lt;&gt;"pvp",Inputs!$B$44&gt;0),IF(MAX(0,Inputs!$B$44-B697)&lt;=0,0,(INT(MAX(0,Inputs!$B$44-B697)/IF(Inputs!$B$39="pvp",15,MAX(0.1,Skills!D5-IF(TRUE=TRUE,Inputs!$B$33,0))))+1)),0)</f>
        <v/>
      </c>
      <c r="S666">
        <f>IFERROR(O666/N666,0)</f>
        <v/>
      </c>
      <c r="T666">
        <f>IF(C666,(H666*N666*IF(AND(Inputs!$B$39&lt;&gt;"pvp",Inputs!$B$44&gt;0),((Skills!G5*((R666-1)*IF(Skills!H5&gt;0,INT(Skills!I5/Skills!H5+0.000000001),1)+IF(Skills!H5&gt;0,INT(MIN(Skills!I5,MAX(0,MAX(0,Inputs!$B$44-B697)-((R666-1)*IF(Inputs!$B$39="pvp",15,MAX(0.1,Skills!D5-IF(TRUE=TRUE,Inputs!$B$33,0))))))/Skills!H5+0.000000001),1)))/Inputs!$B$44),G666*Q666))*IF(Inputs!$B$39="pvp",1,1+(Inputs!$B$21+0+Skills!P5+((C678=TRUE)*F678*IF(AND(Inputs!$B$39&lt;&gt;"pvp",Inputs!$B$44&gt;0),(((R678-1)*MIN((Skills!T17*(1+Inputs!$B$35/100)),(1/Q678))+MIN((Skills!T17*(1+Inputs!$B$35/100)),MAX(0,Inputs!$B$44-((R678-1)*(1/Q678)))))/Inputs!$B$44),IF(Inputs!$B$39="pvp",MIN((Skills!T17*(1+Inputs!$B$35/100)),15)/15,MIN(1,(Skills!T17*(1+Inputs!$B$35/100))/(1/Q678)))))+((C666=TRUE)*IF(Inputs!$B$3&gt;=126,10*MIN(1,15*Q666),0))+((C675=TRUE)*IF(Inputs!$B$39="pvp",20,(1-Summary!$B$11)*(20)+Summary!$B$11*(0))*IF(AND(Inputs!$B$39&lt;&gt;"pvp",Inputs!$B$44&gt;0),(((R675-1)*MIN((Skills!T14*(1+Inputs!$B$35/100)),(1/Q675))+MIN((Skills!T14*(1+Inputs!$B$35/100)),MAX(0,Inputs!$B$44-((R675-1)*(1/Q675)))))/Inputs!$B$44),IF(Inputs!$B$39="pvp",MIN((Skills!T14*(1+Inputs!$B$35/100)),15)/15,MIN(1,(Skills!T14*(1+Inputs!$B$35/100))/(1/Q675)))))+((C674=TRUE)*IF(Inputs!$B$3&gt;=82,IF(Inputs!$B$39="pvp",20,(1-Summary!$B$11)*(20)+Summary!$B$11*(0)),0)*IF(AND(Inputs!$B$39&lt;&gt;"pvp",Inputs!$B$44&gt;0),(((R674-1)*MIN((Skills!T13*(1+Inputs!$B$35/100)),(1/Q674))+MIN((Skills!T13*(1+Inputs!$B$35/100)),MAX(0,Inputs!$B$44-((R674-1)*(1/Q674)))))/Inputs!$B$44),IF(Inputs!$B$39="pvp",MIN((Skills!T13*(1+Inputs!$B$35/100)),15)/15,MIN(1,(Skills!T13*(1+Inputs!$B$35/100))/(1/Q674)))))+(IF(AND(ArtifactsInput!$M$35,Inputs!$B$4&lt;&gt;"Chapter Hunt"),CHOOSE(ArtifactsInput!$N$35+1,15,18,21,24,27,30)*(1-EXP(-(0.2*B692)*5)),0)+IF(AND(ArtifactsInput!$M$22,Inputs!$B$4&lt;&gt;"Chapter Hunt"),CHOOSE(ArtifactsInput!$N$22+1,10,12,14,16,18,20)*((0*(((0.15*B692*5))^0/1)+1*(((0.15*B692*5))^1/1)+2*(((0.15*B692*5))^2/2)+3*(((0.15*B692*5))^3/6)+4*(((0.15*B692*5))^4/24)+5*(((0.15*B692*5))^5/120))/((((0.15*B692*5))^0/1)+(((0.15*B692*5))^1/1)+(((0.15*B692*5))^2/2)+(((0.15*B692*5))^3/6)+(((0.15*B692*5))^4/24)+(((0.15*B692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666*(1-MIN(100,(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666*(MIN(100,(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666*(1-MIN(100,(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666*(MIN(100,(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66">
        <f>IF(C666,(H666*N666*IF(AND(Inputs!$B$39&lt;&gt;"pvp",Inputs!$B$44&gt;0),((Skills!G5*((R666-1)*IF(Skills!H5&gt;0,INT(Skills!I5/Skills!H5+0.000000001),1)+IF(Skills!H5&gt;0,INT(MIN(Skills!I5,MAX(0,MAX(0,Inputs!$B$44-B697)-((R666-1)*IF(Inputs!$B$39="pvp",15,MAX(0.1,Skills!D5-IF(TRUE=TRUE,Inputs!$B$33,0))))))/Skills!H5+0.000000001),1)))/Inputs!$B$44),G666*Q666))*IF(Inputs!$B$39="pvp",1,(1+(Inputs!$B$22+Skills!Q5+((C678=TRUE)*F678*IF(AND(Inputs!$B$39&lt;&gt;"pvp",Inputs!$B$44&gt;0),(((R678-1)*MIN((Skills!T17*(1+Inputs!$B$35/100)),(1/Q678))+MIN((Skills!T17*(1+Inputs!$B$35/100)),MAX(0,Inputs!$B$44-((R678-1)*(1/Q678)))))/Inputs!$B$44),IF(Inputs!$B$39="pvp",MIN((Skills!T17*(1+Inputs!$B$35/100)),15)/15,MIN(1,(Skills!T17*(1+Inputs!$B$35/100))/(1/Q678)))))+((C666=TRUE)*IF(Inputs!$B$3&gt;=126,10*MIN(1,15*Q666),0))+((C675=TRUE)*IF(Inputs!$B$39="pvp",20,(1-Summary!$B$11)*(20)+Summary!$B$11*(0))*IF(AND(Inputs!$B$39&lt;&gt;"pvp",Inputs!$B$44&gt;0),(((R675-1)*MIN((Skills!T14*(1+Inputs!$B$35/100)),(1/Q675))+MIN((Skills!T14*(1+Inputs!$B$35/100)),MAX(0,Inputs!$B$44-((R675-1)*(1/Q675)))))/Inputs!$B$44),IF(Inputs!$B$39="pvp",MIN((Skills!T14*(1+Inputs!$B$35/100)),15)/15,MIN(1,(Skills!T14*(1+Inputs!$B$35/100))/(1/Q675)))))+((C674=TRUE)*IF(Inputs!$B$3&gt;=82,IF(Inputs!$B$39="pvp",20,(1-Summary!$B$11)*(20)+Summary!$B$11*(0)),0)*IF(AND(Inputs!$B$39&lt;&gt;"pvp",Inputs!$B$44&gt;0),(((R674-1)*MIN((Skills!T13*(1+Inputs!$B$35/100)),(1/Q674))+MIN((Skills!T13*(1+Inputs!$B$35/100)),MAX(0,Inputs!$B$44-((R674-1)*(1/Q674)))))/Inputs!$B$44),IF(Inputs!$B$39="pvp",MIN((Skills!T13*(1+Inputs!$B$35/100)),15)/15,MIN(1,(Skills!T13*(1+Inputs!$B$35/100))/(1/Q674)))))+(IF(AND(ArtifactsInput!$M$35,Inputs!$B$4&lt;&gt;"Chapter Hunt"),CHOOSE(ArtifactsInput!$N$35+1,15,18,21,24,27,30)*(1-EXP(-(0.2*B692)*5)),0)+IF(AND(ArtifactsInput!$M$22,Inputs!$B$4&lt;&gt;"Chapter Hunt"),CHOOSE(ArtifactsInput!$N$22+1,10,12,14,16,18,20)*((0*(((0.15*B692*5))^0/1)+1*(((0.15*B692*5))^1/1)+2*(((0.15*B692*5))^2/2)+3*(((0.15*B692*5))^3/6)+4*(((0.15*B692*5))^4/24)+5*(((0.15*B692*5))^5/120))/((((0.15*B692*5))^0/1)+(((0.15*B692*5))^1/1)+(((0.15*B692*5))^2/2)+(((0.15*B692*5))^3/6)+(((0.15*B692*5))^4/24)+(((0.15*B692*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67">
      <c r="A667">
        <f>Skills!A6</f>
        <v/>
      </c>
      <c r="B667">
        <f>Skills!B6</f>
        <v/>
      </c>
      <c r="C667">
        <f>Inputs!$B$3&gt;=103</f>
        <v/>
      </c>
      <c r="D667">
        <f>IF(Skills!C6=1,60+Inputs!$B$26+Inputs!$B$30,IF(Skills!C6=2,90+Inputs!$B$27+Inputs!$B$30,IF(Skills!C6=3,120+Inputs!$B$28+Inputs!$B$30,MAX(0,(Inputs!$B$3-100)*3)+Inputs!$B$29+Inputs!$B$30)))</f>
        <v/>
      </c>
      <c r="E667">
        <f>INDEX(FactorTable!$B$2:$Y$301, MATCH(ROUND(MIN(300,MAX(1,D667)),0), FactorTable!$A$2:$A$301,0), Skills!M6+1)</f>
        <v/>
      </c>
      <c r="F667">
        <f>IF(Skills!N6=TRUE,(Skills!L6/10)*(E667/1000),Skills!L6/10)+Skills!O6</f>
        <v/>
      </c>
      <c r="G667">
        <f>Skills!G6*IF(Skills!H6&gt;0,INT(IF(Inputs!$B$39="pvp",MIN(Skills!I6,15),Skills!I6)/Skills!H6+0.000000001),1)</f>
        <v/>
      </c>
      <c r="H667">
        <f>1-(1-Skills!J6/100)^Skills!K6</f>
        <v/>
      </c>
      <c r="I667" t="inlineStr">
        <is>
          <t>1</t>
        </is>
      </c>
      <c r="J667">
        <f>((Inputs!$B$6*(1+Inputs!$B$7/100))+(((Inputs!$B$13*(1+Inputs!$B$14/100))-(Inputs!$B$13*(1+Inputs!$B$14/100)))+0.25*(Inputs!$B$15-Inputs!$B$15))*(1+Inputs!$B$7/100))*(F667/100)</f>
        <v/>
      </c>
      <c r="K667">
        <f>J667*(1+(((Inputs!$B$13+IF(Inputs!$B$3&gt;=38,(10*INDEX(FactorTable!$B$2:$Y$301, MATCH(ROUND(MIN(300,MAX(1,Inputs!$B$3)),0), FactorTable!$A$2:$A$301,0), 23)/1000)/100*(Inputs!$B$8*(1+Inputs!$B$9/100)),0))*(1+Inputs!$B$14/100))*0.01+Inputs!$B$15*0.0025)/100)*(1+Inputs!$B$16/100)*(1+Inputs!$B$17/100)*(5000/(6000+Inputs!$B$43*(1-(Inputs!$B$20+0)/100)))*(1+(Inputs!$B$25+((C686=TRUE)*(F686-Calc!F25))+((C687=TRUE)*(F687-Calc!F26))+B696)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$12/150)*(1-1/150))*150)-60))),0)-IF(ArtifactsInput!$M$34,MIN(CHOOSE(ArtifactsInput!$N$34+1,10,12,14,16,18,20),MAX(0,(CHOOSE(ArtifactsInput!$N$34+1,0.5,0.6,0.7,0.8,0.9,1)/3)*(Inputs!$B$12-60))),0)))/100)*(1+(IF(Skills!A6="DARK_IMPALE",Inputs!$B$18+0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gt;=100),MIN(100,((Inputs!$B$10+0+B690+(ArtifactsInput!$M$24-ArtifactsInput!$M$24)*CHOOSE(ArtifactsInput!$N$24+1,10,12,14,16,18,20)+IF(ArtifactsInput!$M$10,CHOOSE(ArtifactsInput!$N$10+1,15,18,21,24,27,30)*(IF(Inputs!$B$39="pvp",MIN(15,15)/15,IF(AND(Inputs!$B$39&lt;&gt;"pvp",Inputs!$B$44&gt;0),MIN(15,Inputs!$B$44)/(Inputs!$B$44),0))),0)))-100),0))*CHOOSE(ArtifactsInput!$N$42+1,0.6,0.72,0.84,0.96,1.08,1.2))),Inputs!$B$19+((C684=TRUE)*(F684-Calc!F23))+(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gt;=100),CHOOSE(ArtifactsInput!$N$42+1,40,48,56,64,72,80),0))))/100)*((1+(((C674=TRUE)*F674*IF(AND(Inputs!$B$39&lt;&gt;"pvp",Inputs!$B$44&gt;0),(((R674-1)*MIN((Skills!T13*(1+Inputs!$B$35/100)),(1/Q674))+MIN((Skills!T13*(1+Inputs!$B$35/100)),MAX(0,Inputs!$B$44-((R674-1)*(1/Q674)))))/Inputs!$B$44),IF(Inputs!$B$39="pvp",MIN((Skills!T13*(1+Inputs!$B$35/100)),15)/15,MIN(1,(Skills!T13*(1+Inputs!$B$35/100))/(1/Q674)))))+((C675=TRUE)*F675*IF(AND(Inputs!$B$39&lt;&gt;"pvp",Inputs!$B$44&gt;0),(((R675-1)*MIN((Skills!T14*(1+Inputs!$B$35/100)),(1/Q675))+MIN((Skills!T14*(1+Inputs!$B$35/100)),MAX(0,Inputs!$B$44-((R675-1)*(1/Q675)))))/Inputs!$B$44),IF(Inputs!$B$39="pvp",MIN((Skills!T14*(1+Inputs!$B$35/100)),15)/15,MIN(1,(Skills!T14*(1+Inputs!$B$35/100))/(1/Q675)))))+((C676=TRUE)*F676*IF(AND(Inputs!$B$39&lt;&gt;"pvp",Inputs!$B$44&gt;0),(((R676-1)*MIN((Skills!T15*(1+Inputs!$B$35/100)),(1/Q676))+MIN((Skills!T15*(1+Inputs!$B$35/100)),MAX(0,Inputs!$B$44-((R676-1)*(1/Q676)))))/Inputs!$B$44),IF(Inputs!$B$39="pvp",MIN((Skills!T15*(1+Inputs!$B$35/100)),15)/15,MIN(1,(Skills!T15*(1+Inputs!$B$35/100))/(1/Q676)))))+((C677=TRUE)*F677*IF(AND(Inputs!$B$39&lt;&gt;"pvp",Inputs!$B$44&gt;0),(((R677-1)*MIN((Skills!T16*(1+Inputs!$B$35/100)),(1/Q677))+MIN((Skills!T16*(1+Inputs!$B$35/100)),MAX(0,Inputs!$B$44-((R677-1)*(1/Q677)))))/Inputs!$B$44),IF(Inputs!$B$39="pvp",MIN((Skills!T16*(1+Inputs!$B$35/100)),15)/15,MIN(1,(Skills!T16*(1+Inputs!$B$35/100))/(1/Q677)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667)</f>
        <v/>
      </c>
      <c r="L667">
        <f>K667*(MIN(Inputs!$B$23+((C683=TRUE)*(F683-Calc!F22)),(Inputs!$B$24+((C685=TRUE)*(F685-Calc!F24))+(IF(ArtifactsInput!$M$15,CHOOSE(ArtifactsInput!$N$15+1,25,30,35,40,45,50)/100*(((1-(1-Inputs!$B$12/150)*(1-1/150))*150)-Inputs!$B$12),0))))/100+(Inputs!$B$24+((C685=TRUE)*(F685-Calc!F24))+(IF(ArtifactsInput!$M$15,CHOOSE(ArtifactsInput!$N$15+1,25,30,35,40,45,50)/100*(((1-(1-Inputs!$B$12/150)*(1-1/150))*150)-Inputs!$B$12),0)))/100)/2</f>
        <v/>
      </c>
      <c r="M667">
        <f>L667*(1+(Inputs!$B$11+0+B695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667">
        <f>L667*(1-MIN((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667*(MIN((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67">
        <f>(1-Summary!$B$11)*T667+Summary!$B$11*V667</f>
        <v/>
      </c>
      <c r="P667">
        <f>IF(B700=0,0,O667/B700)</f>
        <v/>
      </c>
      <c r="Q667">
        <f>IFERROR(1/IF(Inputs!$B$39="pvp",15,MAX(0.1,Skills!D6-IF(TRUE=TRUE,Inputs!$B$33,0))),0)</f>
        <v/>
      </c>
      <c r="R667">
        <f>IF(AND(Inputs!$B$39&lt;&gt;"pvp",Inputs!$B$44&gt;0),IF(MAX(0,Inputs!$B$44-B697)&lt;=0,0,(INT(MAX(0,Inputs!$B$44-B697)/IF(Inputs!$B$39="pvp",15,MAX(0.1,Skills!D6-IF(TRUE=TRUE,Inputs!$B$33,0))))+1)),0)</f>
        <v/>
      </c>
      <c r="S667">
        <f>IFERROR(O667/N667,0)</f>
        <v/>
      </c>
      <c r="T667">
        <f>IF(C667,(H667*N667*IF(AND(Inputs!$B$39&lt;&gt;"pvp",Inputs!$B$44&gt;0),((Skills!G6*((R667-1)*IF(Skills!H6&gt;0,INT(Skills!I6/Skills!H6+0.000000001),1)+IF(Skills!H6&gt;0,INT(MIN(Skills!I6,MAX(0,MAX(0,Inputs!$B$44-B697)-((R667-1)*IF(Inputs!$B$39="pvp",15,MAX(0.1,Skills!D6-IF(TRUE=TRUE,Inputs!$B$33,0))))))/Skills!H6+0.000000001),1)))/Inputs!$B$44),G667*Q667))*IF(Inputs!$B$39="pvp",1,1+(Inputs!$B$21+0+Skills!P6+((C678=TRUE)*F678*IF(AND(Inputs!$B$39&lt;&gt;"pvp",Inputs!$B$44&gt;0),(((R678-1)*MIN((Skills!T17*(1+Inputs!$B$35/100)),(1/Q678))+MIN((Skills!T17*(1+Inputs!$B$35/100)),MAX(0,Inputs!$B$44-((R678-1)*(1/Q678)))))/Inputs!$B$44),IF(Inputs!$B$39="pvp",MIN((Skills!T17*(1+Inputs!$B$35/100)),15)/15,MIN(1,(Skills!T17*(1+Inputs!$B$35/100))/(1/Q678)))))+((C666=TRUE)*IF(Inputs!$B$3&gt;=126,10*MIN(1,15*Q666),0))+((C675=TRUE)*IF(Inputs!$B$39="pvp",20,(1-Summary!$B$11)*(20)+Summary!$B$11*(0))*IF(AND(Inputs!$B$39&lt;&gt;"pvp",Inputs!$B$44&gt;0),(((R675-1)*MIN((Skills!T14*(1+Inputs!$B$35/100)),(1/Q675))+MIN((Skills!T14*(1+Inputs!$B$35/100)),MAX(0,Inputs!$B$44-((R675-1)*(1/Q675)))))/Inputs!$B$44),IF(Inputs!$B$39="pvp",MIN((Skills!T14*(1+Inputs!$B$35/100)),15)/15,MIN(1,(Skills!T14*(1+Inputs!$B$35/100))/(1/Q675)))))+((C674=TRUE)*IF(Inputs!$B$3&gt;=82,IF(Inputs!$B$39="pvp",20,(1-Summary!$B$11)*(20)+Summary!$B$11*(0)),0)*IF(AND(Inputs!$B$39&lt;&gt;"pvp",Inputs!$B$44&gt;0),(((R674-1)*MIN((Skills!T13*(1+Inputs!$B$35/100)),(1/Q674))+MIN((Skills!T13*(1+Inputs!$B$35/100)),MAX(0,Inputs!$B$44-((R674-1)*(1/Q674)))))/Inputs!$B$44),IF(Inputs!$B$39="pvp",MIN((Skills!T13*(1+Inputs!$B$35/100)),15)/15,MIN(1,(Skills!T13*(1+Inputs!$B$35/100))/(1/Q674)))))+(IF(AND(ArtifactsInput!$M$35,Inputs!$B$4&lt;&gt;"Chapter Hunt"),CHOOSE(ArtifactsInput!$N$35+1,15,18,21,24,27,30)*(1-EXP(-(0.2*B692)*5)),0)+IF(AND(ArtifactsInput!$M$22,Inputs!$B$4&lt;&gt;"Chapter Hunt"),CHOOSE(ArtifactsInput!$N$22+1,10,12,14,16,18,20)*((0*(((0.15*B692*5))^0/1)+1*(((0.15*B692*5))^1/1)+2*(((0.15*B692*5))^2/2)+3*(((0.15*B692*5))^3/6)+4*(((0.15*B692*5))^4/24)+5*(((0.15*B692*5))^5/120))/((((0.15*B692*5))^0/1)+(((0.15*B692*5))^1/1)+(((0.15*B692*5))^2/2)+(((0.15*B692*5))^3/6)+(((0.15*B692*5))^4/24)+(((0.15*B692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667*(1-MIN(100,(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667*(MIN(100,(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667*(1-MIN(100,(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667*(MIN(100,(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67">
        <f>IF(C667,(H667*N667*IF(AND(Inputs!$B$39&lt;&gt;"pvp",Inputs!$B$44&gt;0),((Skills!G6*((R667-1)*IF(Skills!H6&gt;0,INT(Skills!I6/Skills!H6+0.000000001),1)+IF(Skills!H6&gt;0,INT(MIN(Skills!I6,MAX(0,MAX(0,Inputs!$B$44-B697)-((R667-1)*IF(Inputs!$B$39="pvp",15,MAX(0.1,Skills!D6-IF(TRUE=TRUE,Inputs!$B$33,0))))))/Skills!H6+0.000000001),1)))/Inputs!$B$44),G667*Q667))*IF(Inputs!$B$39="pvp",1,(1+(Inputs!$B$22+Skills!Q6+((C678=TRUE)*F678*IF(AND(Inputs!$B$39&lt;&gt;"pvp",Inputs!$B$44&gt;0),(((R678-1)*MIN((Skills!T17*(1+Inputs!$B$35/100)),(1/Q678))+MIN((Skills!T17*(1+Inputs!$B$35/100)),MAX(0,Inputs!$B$44-((R678-1)*(1/Q678)))))/Inputs!$B$44),IF(Inputs!$B$39="pvp",MIN((Skills!T17*(1+Inputs!$B$35/100)),15)/15,MIN(1,(Skills!T17*(1+Inputs!$B$35/100))/(1/Q678)))))+((C666=TRUE)*IF(Inputs!$B$3&gt;=126,10*MIN(1,15*Q666),0))+((C675=TRUE)*IF(Inputs!$B$39="pvp",20,(1-Summary!$B$11)*(20)+Summary!$B$11*(0))*IF(AND(Inputs!$B$39&lt;&gt;"pvp",Inputs!$B$44&gt;0),(((R675-1)*MIN((Skills!T14*(1+Inputs!$B$35/100)),(1/Q675))+MIN((Skills!T14*(1+Inputs!$B$35/100)),MAX(0,Inputs!$B$44-((R675-1)*(1/Q675)))))/Inputs!$B$44),IF(Inputs!$B$39="pvp",MIN((Skills!T14*(1+Inputs!$B$35/100)),15)/15,MIN(1,(Skills!T14*(1+Inputs!$B$35/100))/(1/Q675)))))+((C674=TRUE)*IF(Inputs!$B$3&gt;=82,IF(Inputs!$B$39="pvp",20,(1-Summary!$B$11)*(20)+Summary!$B$11*(0)),0)*IF(AND(Inputs!$B$39&lt;&gt;"pvp",Inputs!$B$44&gt;0),(((R674-1)*MIN((Skills!T13*(1+Inputs!$B$35/100)),(1/Q674))+MIN((Skills!T13*(1+Inputs!$B$35/100)),MAX(0,Inputs!$B$44-((R674-1)*(1/Q674)))))/Inputs!$B$44),IF(Inputs!$B$39="pvp",MIN((Skills!T13*(1+Inputs!$B$35/100)),15)/15,MIN(1,(Skills!T13*(1+Inputs!$B$35/100))/(1/Q674)))))+(IF(AND(ArtifactsInput!$M$35,Inputs!$B$4&lt;&gt;"Chapter Hunt"),CHOOSE(ArtifactsInput!$N$35+1,15,18,21,24,27,30)*(1-EXP(-(0.2*B692)*5)),0)+IF(AND(ArtifactsInput!$M$22,Inputs!$B$4&lt;&gt;"Chapter Hunt"),CHOOSE(ArtifactsInput!$N$22+1,10,12,14,16,18,20)*((0*(((0.15*B692*5))^0/1)+1*(((0.15*B692*5))^1/1)+2*(((0.15*B692*5))^2/2)+3*(((0.15*B692*5))^3/6)+4*(((0.15*B692*5))^4/24)+5*(((0.15*B692*5))^5/120))/((((0.15*B692*5))^0/1)+(((0.15*B692*5))^1/1)+(((0.15*B692*5))^2/2)+(((0.15*B692*5))^3/6)+(((0.15*B692*5))^4/24)+(((0.15*B692*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68">
      <c r="A668">
        <f>Skills!A7</f>
        <v/>
      </c>
      <c r="B668">
        <f>Skills!B7</f>
        <v/>
      </c>
      <c r="C668">
        <f>Inputs!$B$3&gt;=40</f>
        <v/>
      </c>
      <c r="D668">
        <f>IF(Skills!C7=1,60+Inputs!$B$26+Inputs!$B$30,IF(Skills!C7=2,90+Inputs!$B$27+Inputs!$B$30,IF(Skills!C7=3,120+Inputs!$B$28+Inputs!$B$30,MAX(0,(Inputs!$B$3-100)*3)+Inputs!$B$29+Inputs!$B$30)))</f>
        <v/>
      </c>
      <c r="E668">
        <f>INDEX(FactorTable!$B$2:$Y$301, MATCH(ROUND(MIN(300,MAX(1,D668)),0), FactorTable!$A$2:$A$301,0), Skills!M7+1)</f>
        <v/>
      </c>
      <c r="F668">
        <f>IF(Skills!N7=TRUE,(Skills!L7/10)*(E668/1000),Skills!L7/10)+Skills!O7</f>
        <v/>
      </c>
      <c r="G668">
        <f>Skills!G7*IF(Skills!H7&gt;0,INT(IF(Inputs!$B$39="pvp",MIN(Skills!I7,15),Skills!I7)/Skills!H7+0.000000001),1)</f>
        <v/>
      </c>
      <c r="H668">
        <f>1-(1-Skills!J7/100)^Skills!K7</f>
        <v/>
      </c>
      <c r="I668" t="inlineStr">
        <is>
          <t>1</t>
        </is>
      </c>
      <c r="J668">
        <f>((Inputs!$B$6*(1+Inputs!$B$7/100))+(((Inputs!$B$13*(1+Inputs!$B$14/100))-(Inputs!$B$13*(1+Inputs!$B$14/100)))+0.25*(Inputs!$B$15-Inputs!$B$15))*(1+Inputs!$B$7/100))*(F668/100)</f>
        <v/>
      </c>
      <c r="K668">
        <f>J668*(1+(((Inputs!$B$13+IF(Inputs!$B$3&gt;=38,(10*INDEX(FactorTable!$B$2:$Y$301, MATCH(ROUND(MIN(300,MAX(1,Inputs!$B$3)),0), FactorTable!$A$2:$A$301,0), 23)/1000)/100*(Inputs!$B$8*(1+Inputs!$B$9/100)),0))*(1+Inputs!$B$14/100))*0.01+Inputs!$B$15*0.0025)/100)*(1+Inputs!$B$16/100)*(1+Inputs!$B$17/100)*(5000/(6000+Inputs!$B$43*(1-(Inputs!$B$20+0)/100)))*(1+(Inputs!$B$25+((C686=TRUE)*(F686-Calc!F25))+((C687=TRUE)*(F687-Calc!F26))+B696)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$12/150)*(1-1/150))*150)-60))),0)-IF(ArtifactsInput!$M$34,MIN(CHOOSE(ArtifactsInput!$N$34+1,10,12,14,16,18,20),MAX(0,(CHOOSE(ArtifactsInput!$N$34+1,0.5,0.6,0.7,0.8,0.9,1)/3)*(Inputs!$B$12-60))),0)))/100)*(1+0.75*IF(C672=TRUE,F672,0)/100)*(1+(IF(Skills!A7="DARK_IMPALE",Inputs!$B$18+0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gt;=100),MIN(100,((Inputs!$B$10+0+B690+(ArtifactsInput!$M$24-ArtifactsInput!$M$24)*CHOOSE(ArtifactsInput!$N$24+1,10,12,14,16,18,20)+IF(ArtifactsInput!$M$10,CHOOSE(ArtifactsInput!$N$10+1,15,18,21,24,27,30)*(IF(Inputs!$B$39="pvp",MIN(15,15)/15,IF(AND(Inputs!$B$39&lt;&gt;"pvp",Inputs!$B$44&gt;0),MIN(15,Inputs!$B$44)/(Inputs!$B$44),0))),0)))-100),0))*CHOOSE(ArtifactsInput!$N$42+1,0.6,0.72,0.84,0.96,1.08,1.2))),Inputs!$B$19+((C684=TRUE)*(F684-Calc!F23))+(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gt;=100),CHOOSE(ArtifactsInput!$N$42+1,40,48,56,64,72,80),0))))/100)*((1+(((C674=TRUE)*F674*IF(AND(Inputs!$B$39&lt;&gt;"pvp",Inputs!$B$44&gt;0),(((R674-1)*MIN((Skills!T13*(1+Inputs!$B$35/100)),(1/Q674))+MIN((Skills!T13*(1+Inputs!$B$35/100)),MAX(0,Inputs!$B$44-((R674-1)*(1/Q674)))))/Inputs!$B$44),IF(Inputs!$B$39="pvp",MIN((Skills!T13*(1+Inputs!$B$35/100)),15)/15,MIN(1,(Skills!T13*(1+Inputs!$B$35/100))/(1/Q674)))))+((C675=TRUE)*F675*IF(AND(Inputs!$B$39&lt;&gt;"pvp",Inputs!$B$44&gt;0),(((R675-1)*MIN((Skills!T14*(1+Inputs!$B$35/100)),(1/Q675))+MIN((Skills!T14*(1+Inputs!$B$35/100)),MAX(0,Inputs!$B$44-((R675-1)*(1/Q675)))))/Inputs!$B$44),IF(Inputs!$B$39="pvp",MIN((Skills!T14*(1+Inputs!$B$35/100)),15)/15,MIN(1,(Skills!T14*(1+Inputs!$B$35/100))/(1/Q675)))))+((C676=TRUE)*F676*IF(AND(Inputs!$B$39&lt;&gt;"pvp",Inputs!$B$44&gt;0),(((R676-1)*MIN((Skills!T15*(1+Inputs!$B$35/100)),(1/Q676))+MIN((Skills!T15*(1+Inputs!$B$35/100)),MAX(0,Inputs!$B$44-((R676-1)*(1/Q676)))))/Inputs!$B$44),IF(Inputs!$B$39="pvp",MIN((Skills!T15*(1+Inputs!$B$35/100)),15)/15,MIN(1,(Skills!T15*(1+Inputs!$B$35/100))/(1/Q676)))))+((C677=TRUE)*F677*IF(AND(Inputs!$B$39&lt;&gt;"pvp",Inputs!$B$44&gt;0),(((R677-1)*MIN((Skills!T16*(1+Inputs!$B$35/100)),(1/Q677))+MIN((Skills!T16*(1+Inputs!$B$35/100)),MAX(0,Inputs!$B$44-((R677-1)*(1/Q677)))))/Inputs!$B$44),IF(Inputs!$B$39="pvp",MIN((Skills!T16*(1+Inputs!$B$35/100)),15)/15,MIN(1,(Skills!T16*(1+Inputs!$B$35/100))/(1/Q677)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668)</f>
        <v/>
      </c>
      <c r="L668">
        <f>K668*(MIN(Inputs!$B$23+((C683=TRUE)*(F683-Calc!F22)),(Inputs!$B$24+((C685=TRUE)*(F685-Calc!F24))+(IF(ArtifactsInput!$M$15,CHOOSE(ArtifactsInput!$N$15+1,25,30,35,40,45,50)/100*(((1-(1-Inputs!$B$12/150)*(1-1/150))*150)-Inputs!$B$12),0))))/100+(Inputs!$B$24+((C685=TRUE)*(F685-Calc!F24))+(IF(ArtifactsInput!$M$15,CHOOSE(ArtifactsInput!$N$15+1,25,30,35,40,45,50)/100*(((1-(1-Inputs!$B$12/150)*(1-1/150))*150)-Inputs!$B$12),0)))/100)/2</f>
        <v/>
      </c>
      <c r="M668">
        <f>L668*(1+(Inputs!$B$11+0+B695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668">
        <f>L668*(1-MIN((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668*(MIN((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68">
        <f>(1-Summary!$B$11)*T668+Summary!$B$11*V668</f>
        <v/>
      </c>
      <c r="P668">
        <f>IF(B700=0,0,O668/B700)</f>
        <v/>
      </c>
      <c r="Q668">
        <f>IFERROR(1/IF(Inputs!$B$39="pvp",15,MAX(0.1,Skills!D7-IF(TRUE=TRUE,Inputs!$B$33,0))),0)</f>
        <v/>
      </c>
      <c r="R668">
        <f>IF(AND(Inputs!$B$39&lt;&gt;"pvp",Inputs!$B$44&gt;0),IF(MAX(0,Inputs!$B$44-B697)&lt;=0,0,(INT(MAX(0,Inputs!$B$44-B697)/IF(Inputs!$B$39="pvp",15,MAX(0.1,Skills!D7-IF(TRUE=TRUE,Inputs!$B$33,0))))+1)),0)</f>
        <v/>
      </c>
      <c r="S668">
        <f>IFERROR(O668/N668,0)</f>
        <v/>
      </c>
      <c r="T668">
        <f>IF(C668,(H668*N668*IF(AND(Inputs!$B$39&lt;&gt;"pvp",Inputs!$B$44&gt;0),((Skills!G7*((R668-1)*IF(Skills!H7&gt;0,INT(Skills!I7/Skills!H7+0.000000001),1)+IF(Skills!H7&gt;0,INT(MIN(Skills!I7,MAX(0,MAX(0,Inputs!$B$44-B697)-((R668-1)*IF(Inputs!$B$39="pvp",15,MAX(0.1,Skills!D7-IF(TRUE=TRUE,Inputs!$B$33,0))))))/Skills!H7+0.000000001),1)))/Inputs!$B$44),G668*Q668))*IF(Inputs!$B$39="pvp",1,1+(Inputs!$B$21+0+Skills!P7+((C678=TRUE)*F678*IF(AND(Inputs!$B$39&lt;&gt;"pvp",Inputs!$B$44&gt;0),(((R678-1)*MIN((Skills!T17*(1+Inputs!$B$35/100)),(1/Q678))+MIN((Skills!T17*(1+Inputs!$B$35/100)),MAX(0,Inputs!$B$44-((R678-1)*(1/Q678)))))/Inputs!$B$44),IF(Inputs!$B$39="pvp",MIN((Skills!T17*(1+Inputs!$B$35/100)),15)/15,MIN(1,(Skills!T17*(1+Inputs!$B$35/100))/(1/Q678)))))+((C666=TRUE)*IF(Inputs!$B$3&gt;=126,10*MIN(1,15*Q666),0))+((C675=TRUE)*IF(Inputs!$B$39="pvp",20,(1-Summary!$B$11)*(20)+Summary!$B$11*(0))*IF(AND(Inputs!$B$39&lt;&gt;"pvp",Inputs!$B$44&gt;0),(((R675-1)*MIN((Skills!T14*(1+Inputs!$B$35/100)),(1/Q675))+MIN((Skills!T14*(1+Inputs!$B$35/100)),MAX(0,Inputs!$B$44-((R675-1)*(1/Q675)))))/Inputs!$B$44),IF(Inputs!$B$39="pvp",MIN((Skills!T14*(1+Inputs!$B$35/100)),15)/15,MIN(1,(Skills!T14*(1+Inputs!$B$35/100))/(1/Q675)))))+((C674=TRUE)*IF(Inputs!$B$3&gt;=82,IF(Inputs!$B$39="pvp",20,(1-Summary!$B$11)*(20)+Summary!$B$11*(0)),0)*IF(AND(Inputs!$B$39&lt;&gt;"pvp",Inputs!$B$44&gt;0),(((R674-1)*MIN((Skills!T13*(1+Inputs!$B$35/100)),(1/Q674))+MIN((Skills!T13*(1+Inputs!$B$35/100)),MAX(0,Inputs!$B$44-((R674-1)*(1/Q674)))))/Inputs!$B$44),IF(Inputs!$B$39="pvp",MIN((Skills!T13*(1+Inputs!$B$35/100)),15)/15,MIN(1,(Skills!T13*(1+Inputs!$B$35/100))/(1/Q674)))))+(IF(AND(ArtifactsInput!$M$35,Inputs!$B$4&lt;&gt;"Chapter Hunt"),CHOOSE(ArtifactsInput!$N$35+1,15,18,21,24,27,30)*(1-EXP(-(0.2*B692)*5)),0)+IF(AND(ArtifactsInput!$M$22,Inputs!$B$4&lt;&gt;"Chapter Hunt"),CHOOSE(ArtifactsInput!$N$22+1,10,12,14,16,18,20)*((0*(((0.15*B692*5))^0/1)+1*(((0.15*B692*5))^1/1)+2*(((0.15*B692*5))^2/2)+3*(((0.15*B692*5))^3/6)+4*(((0.15*B692*5))^4/24)+5*(((0.15*B692*5))^5/120))/((((0.15*B692*5))^0/1)+(((0.15*B692*5))^1/1)+(((0.15*B692*5))^2/2)+(((0.15*B692*5))^3/6)+(((0.15*B692*5))^4/24)+(((0.15*B692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668*(1-MIN(100,(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668*(MIN(100,(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668*(1-MIN(100,(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668*(MIN(100,(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68">
        <f>IF(C668,(H668*N668*IF(AND(Inputs!$B$39&lt;&gt;"pvp",Inputs!$B$44&gt;0),((Skills!G7*((R668-1)*IF(Skills!H7&gt;0,INT(Skills!I7/Skills!H7+0.000000001),1)+IF(Skills!H7&gt;0,INT(MIN(Skills!I7,MAX(0,MAX(0,Inputs!$B$44-B697)-((R668-1)*IF(Inputs!$B$39="pvp",15,MAX(0.1,Skills!D7-IF(TRUE=TRUE,Inputs!$B$33,0))))))/Skills!H7+0.000000001),1)))/Inputs!$B$44),G668*Q668))*IF(Inputs!$B$39="pvp",1,(1+(Inputs!$B$22+Skills!Q7+((C678=TRUE)*F678*IF(AND(Inputs!$B$39&lt;&gt;"pvp",Inputs!$B$44&gt;0),(((R678-1)*MIN((Skills!T17*(1+Inputs!$B$35/100)),(1/Q678))+MIN((Skills!T17*(1+Inputs!$B$35/100)),MAX(0,Inputs!$B$44-((R678-1)*(1/Q678)))))/Inputs!$B$44),IF(Inputs!$B$39="pvp",MIN((Skills!T17*(1+Inputs!$B$35/100)),15)/15,MIN(1,(Skills!T17*(1+Inputs!$B$35/100))/(1/Q678)))))+((C666=TRUE)*IF(Inputs!$B$3&gt;=126,10*MIN(1,15*Q666),0))+((C675=TRUE)*IF(Inputs!$B$39="pvp",20,(1-Summary!$B$11)*(20)+Summary!$B$11*(0))*IF(AND(Inputs!$B$39&lt;&gt;"pvp",Inputs!$B$44&gt;0),(((R675-1)*MIN((Skills!T14*(1+Inputs!$B$35/100)),(1/Q675))+MIN((Skills!T14*(1+Inputs!$B$35/100)),MAX(0,Inputs!$B$44-((R675-1)*(1/Q675)))))/Inputs!$B$44),IF(Inputs!$B$39="pvp",MIN((Skills!T14*(1+Inputs!$B$35/100)),15)/15,MIN(1,(Skills!T14*(1+Inputs!$B$35/100))/(1/Q675)))))+((C674=TRUE)*IF(Inputs!$B$3&gt;=82,IF(Inputs!$B$39="pvp",20,(1-Summary!$B$11)*(20)+Summary!$B$11*(0)),0)*IF(AND(Inputs!$B$39&lt;&gt;"pvp",Inputs!$B$44&gt;0),(((R674-1)*MIN((Skills!T13*(1+Inputs!$B$35/100)),(1/Q674))+MIN((Skills!T13*(1+Inputs!$B$35/100)),MAX(0,Inputs!$B$44-((R674-1)*(1/Q674)))))/Inputs!$B$44),IF(Inputs!$B$39="pvp",MIN((Skills!T13*(1+Inputs!$B$35/100)),15)/15,MIN(1,(Skills!T13*(1+Inputs!$B$35/100))/(1/Q674)))))+(IF(AND(ArtifactsInput!$M$35,Inputs!$B$4&lt;&gt;"Chapter Hunt"),CHOOSE(ArtifactsInput!$N$35+1,15,18,21,24,27,30)*(1-EXP(-(0.2*B692)*5)),0)+IF(AND(ArtifactsInput!$M$22,Inputs!$B$4&lt;&gt;"Chapter Hunt"),CHOOSE(ArtifactsInput!$N$22+1,10,12,14,16,18,20)*((0*(((0.15*B692*5))^0/1)+1*(((0.15*B692*5))^1/1)+2*(((0.15*B692*5))^2/2)+3*(((0.15*B692*5))^3/6)+4*(((0.15*B692*5))^4/24)+5*(((0.15*B692*5))^5/120))/((((0.15*B692*5))^0/1)+(((0.15*B692*5))^1/1)+(((0.15*B692*5))^2/2)+(((0.15*B692*5))^3/6)+(((0.15*B692*5))^4/24)+(((0.15*B692*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69">
      <c r="A669">
        <f>Skills!A8</f>
        <v/>
      </c>
      <c r="B669">
        <f>Skills!B8</f>
        <v/>
      </c>
      <c r="C669">
        <f>Inputs!$B$3&gt;=75</f>
        <v/>
      </c>
      <c r="D669">
        <f>IF(Skills!C8=1,60+Inputs!$B$26+Inputs!$B$30,IF(Skills!C8=2,90+Inputs!$B$27+Inputs!$B$30,IF(Skills!C8=3,120+Inputs!$B$28+Inputs!$B$30,MAX(0,(Inputs!$B$3-100)*3)+Inputs!$B$29+Inputs!$B$30)))</f>
        <v/>
      </c>
      <c r="E669">
        <f>INDEX(FactorTable!$B$2:$Y$301, MATCH(ROUND(MIN(300,MAX(1,D669)),0), FactorTable!$A$2:$A$301,0), Skills!M8+1)</f>
        <v/>
      </c>
      <c r="F669">
        <f>IF(Skills!N8=TRUE,(Skills!L8/10)*(E669/1000),Skills!L8/10)+Skills!O8</f>
        <v/>
      </c>
      <c r="G669" t="inlineStr"/>
      <c r="H669" t="inlineStr"/>
      <c r="I669" t="inlineStr">
        <is>
          <t>1</t>
        </is>
      </c>
      <c r="J669" t="inlineStr"/>
      <c r="K669" t="inlineStr"/>
      <c r="L669" t="inlineStr"/>
      <c r="M669" t="inlineStr"/>
      <c r="N669" t="inlineStr"/>
      <c r="O669" t="inlineStr"/>
      <c r="P669" t="inlineStr"/>
      <c r="Q669" t="inlineStr"/>
      <c r="R669" t="inlineStr"/>
      <c r="S669" t="inlineStr"/>
    </row>
    <row r="670">
      <c r="A670">
        <f>Skills!A9</f>
        <v/>
      </c>
      <c r="B670">
        <f>Skills!B9</f>
        <v/>
      </c>
      <c r="C670">
        <f>Inputs!$B$3&gt;=60</f>
        <v/>
      </c>
      <c r="D670">
        <f>IF(Skills!C9=1,60+Inputs!$B$26+Inputs!$B$30,IF(Skills!C9=2,90+Inputs!$B$27+Inputs!$B$30,IF(Skills!C9=3,120+Inputs!$B$28+Inputs!$B$30,MAX(0,(Inputs!$B$3-100)*3)+Inputs!$B$29+Inputs!$B$30)))</f>
        <v/>
      </c>
      <c r="E670">
        <f>INDEX(FactorTable!$B$2:$Y$301, MATCH(ROUND(MIN(300,MAX(1,D670)),0), FactorTable!$A$2:$A$301,0), Skills!M9+1)</f>
        <v/>
      </c>
      <c r="F670">
        <f>IF(Skills!N9=TRUE,(Skills!L9/10)*(E670/1000),Skills!L9/10)+Skills!O9</f>
        <v/>
      </c>
      <c r="G670">
        <f>Skills!G9*IF(Skills!H9&gt;0,INT(IF(Inputs!$B$39="pvp",MIN(Skills!I9,15),Skills!I9)/Skills!H9+0.000000001),1)</f>
        <v/>
      </c>
      <c r="H670">
        <f>1-(1-Skills!J9/100)^Skills!K9</f>
        <v/>
      </c>
      <c r="I670" t="inlineStr">
        <is>
          <t>1</t>
        </is>
      </c>
      <c r="J670">
        <f>((Inputs!$B$6*(1+Inputs!$B$7/100))+(((Inputs!$B$13*(1+Inputs!$B$14/100))-(Inputs!$B$13*(1+Inputs!$B$14/100)))+0.25*(Inputs!$B$15-Inputs!$B$15))*(1+Inputs!$B$7/100))*(F670/100)</f>
        <v/>
      </c>
      <c r="K670">
        <f>J670*(1+(((Inputs!$B$13+IF(Inputs!$B$3&gt;=38,(10*INDEX(FactorTable!$B$2:$Y$301, MATCH(ROUND(MIN(300,MAX(1,Inputs!$B$3)),0), FactorTable!$A$2:$A$301,0), 23)/1000)/100*(Inputs!$B$8*(1+Inputs!$B$9/100)),0))*(1+Inputs!$B$14/100))*0.01+Inputs!$B$15*0.0025)/100)*(1+Inputs!$B$16/100)*(1+Inputs!$B$17/100)*(5000/(6000+Inputs!$B$43*(1-(Inputs!$B$20+0)/100)))*(1+(Inputs!$B$25+((C686=TRUE)*(F686-Calc!F25))+((C687=TRUE)*(F687-Calc!F26))+B696)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$12/150)*(1-1/150))*150)-60))),0)-IF(ArtifactsInput!$M$34,MIN(CHOOSE(ArtifactsInput!$N$34+1,10,12,14,16,18,20),MAX(0,(CHOOSE(ArtifactsInput!$N$34+1,0.5,0.6,0.7,0.8,0.9,1)/3)*(Inputs!$B$12-60))),0)))/100)*(1+1.0*IF(C672=TRUE,F672,0)/100)*(1+(IF(Skills!A9="DARK_IMPALE",Inputs!$B$18+0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gt;=100),MIN(100,((Inputs!$B$10+0+B690+(ArtifactsInput!$M$24-ArtifactsInput!$M$24)*CHOOSE(ArtifactsInput!$N$24+1,10,12,14,16,18,20)+IF(ArtifactsInput!$M$10,CHOOSE(ArtifactsInput!$N$10+1,15,18,21,24,27,30)*(IF(Inputs!$B$39="pvp",MIN(15,15)/15,IF(AND(Inputs!$B$39&lt;&gt;"pvp",Inputs!$B$44&gt;0),MIN(15,Inputs!$B$44)/(Inputs!$B$44),0))),0)))-100),0))*CHOOSE(ArtifactsInput!$N$42+1,0.6,0.72,0.84,0.96,1.08,1.2))),Inputs!$B$19+((C684=TRUE)*(F684-Calc!F23))+(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gt;=100),CHOOSE(ArtifactsInput!$N$42+1,40,48,56,64,72,80),0))))/100)*((1+(((C674=TRUE)*F674*IF(AND(Inputs!$B$39&lt;&gt;"pvp",Inputs!$B$44&gt;0),(((R674-1)*MIN((Skills!T13*(1+Inputs!$B$35/100)),(1/Q674))+MIN((Skills!T13*(1+Inputs!$B$35/100)),MAX(0,Inputs!$B$44-((R674-1)*(1/Q674)))))/Inputs!$B$44),IF(Inputs!$B$39="pvp",MIN((Skills!T13*(1+Inputs!$B$35/100)),15)/15,MIN(1,(Skills!T13*(1+Inputs!$B$35/100))/(1/Q674)))))+((C675=TRUE)*F675*IF(AND(Inputs!$B$39&lt;&gt;"pvp",Inputs!$B$44&gt;0),(((R675-1)*MIN((Skills!T14*(1+Inputs!$B$35/100)),(1/Q675))+MIN((Skills!T14*(1+Inputs!$B$35/100)),MAX(0,Inputs!$B$44-((R675-1)*(1/Q675)))))/Inputs!$B$44),IF(Inputs!$B$39="pvp",MIN((Skills!T14*(1+Inputs!$B$35/100)),15)/15,MIN(1,(Skills!T14*(1+Inputs!$B$35/100))/(1/Q675)))))+((C676=TRUE)*F676*IF(AND(Inputs!$B$39&lt;&gt;"pvp",Inputs!$B$44&gt;0),(((R676-1)*MIN((Skills!T15*(1+Inputs!$B$35/100)),(1/Q676))+MIN((Skills!T15*(1+Inputs!$B$35/100)),MAX(0,Inputs!$B$44-((R676-1)*(1/Q676)))))/Inputs!$B$44),IF(Inputs!$B$39="pvp",MIN((Skills!T15*(1+Inputs!$B$35/100)),15)/15,MIN(1,(Skills!T15*(1+Inputs!$B$35/100))/(1/Q676)))))+((C677=TRUE)*F677*IF(AND(Inputs!$B$39&lt;&gt;"pvp",Inputs!$B$44&gt;0),(((R677-1)*MIN((Skills!T16*(1+Inputs!$B$35/100)),(1/Q677))+MIN((Skills!T16*(1+Inputs!$B$35/100)),MAX(0,Inputs!$B$44-((R677-1)*(1/Q677)))))/Inputs!$B$44),IF(Inputs!$B$39="pvp",MIN((Skills!T16*(1+Inputs!$B$35/100)),15)/15,MIN(1,(Skills!T16*(1+Inputs!$B$35/100))/(1/Q677)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670)</f>
        <v/>
      </c>
      <c r="L670">
        <f>K670*(MIN(Inputs!$B$23+((C683=TRUE)*(F683-Calc!F22)),(Inputs!$B$24+((C685=TRUE)*(F685-Calc!F24))+(IF(ArtifactsInput!$M$15,CHOOSE(ArtifactsInput!$N$15+1,25,30,35,40,45,50)/100*(((1-(1-Inputs!$B$12/150)*(1-1/150))*150)-Inputs!$B$12),0))))/100+(Inputs!$B$24+((C685=TRUE)*(F685-Calc!F24))+(IF(ArtifactsInput!$M$15,CHOOSE(ArtifactsInput!$N$15+1,25,30,35,40,45,50)/100*(((1-(1-Inputs!$B$12/150)*(1-1/150))*150)-Inputs!$B$12),0)))/100)/2</f>
        <v/>
      </c>
      <c r="M670">
        <f>L670*(1+(Inputs!$B$11+0+B695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670">
        <f>L670*(1-MIN((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670*(MIN((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70">
        <f>(1-Summary!$B$11)*T670+Summary!$B$11*V670</f>
        <v/>
      </c>
      <c r="P670">
        <f>IF(B700=0,0,O670/B700)</f>
        <v/>
      </c>
      <c r="Q670">
        <f>IFERROR(1/IF(Inputs!$B$39="pvp",15,MAX(0.1,Skills!D9-IF(TRUE=TRUE,Inputs!$B$33,0))),0)</f>
        <v/>
      </c>
      <c r="R670">
        <f>IF(AND(Inputs!$B$39&lt;&gt;"pvp",Inputs!$B$44&gt;0),IF(MAX(0,Inputs!$B$44-B697)&lt;=0,0,(INT(MAX(0,Inputs!$B$44-B697)/IF(Inputs!$B$39="pvp",15,MAX(0.1,Skills!D9-IF(TRUE=TRUE,Inputs!$B$33,0))))+1)),0)</f>
        <v/>
      </c>
      <c r="S670">
        <f>IFERROR(O670/N670,0)</f>
        <v/>
      </c>
      <c r="T670">
        <f>IF(C670,(H670*N670*IF(AND(Inputs!$B$39&lt;&gt;"pvp",Inputs!$B$44&gt;0),((Skills!G9*((R670-1)*IF(Skills!H9&gt;0,INT(Skills!I9/Skills!H9+0.000000001),1)+IF(Skills!H9&gt;0,INT(MIN(Skills!I9,MAX(0,MAX(0,Inputs!$B$44-B697)-((R670-1)*IF(Inputs!$B$39="pvp",15,MAX(0.1,Skills!D9-IF(TRUE=TRUE,Inputs!$B$33,0))))))/Skills!H9+0.000000001),1)))/Inputs!$B$44),G670*Q670))*IF(Inputs!$B$39="pvp",1,1+(Inputs!$B$21+0+Skills!P9+((C678=TRUE)*F678*IF(AND(Inputs!$B$39&lt;&gt;"pvp",Inputs!$B$44&gt;0),(((R678-1)*MIN((Skills!T17*(1+Inputs!$B$35/100)),(1/Q678))+MIN((Skills!T17*(1+Inputs!$B$35/100)),MAX(0,Inputs!$B$44-((R678-1)*(1/Q678)))))/Inputs!$B$44),IF(Inputs!$B$39="pvp",MIN((Skills!T17*(1+Inputs!$B$35/100)),15)/15,MIN(1,(Skills!T17*(1+Inputs!$B$35/100))/(1/Q678)))))+((C666=TRUE)*IF(Inputs!$B$3&gt;=126,10*MIN(1,15*Q666),0))+((C675=TRUE)*IF(Inputs!$B$39="pvp",20,(1-Summary!$B$11)*(20)+Summary!$B$11*(0))*IF(AND(Inputs!$B$39&lt;&gt;"pvp",Inputs!$B$44&gt;0),(((R675-1)*MIN((Skills!T14*(1+Inputs!$B$35/100)),(1/Q675))+MIN((Skills!T14*(1+Inputs!$B$35/100)),MAX(0,Inputs!$B$44-((R675-1)*(1/Q675)))))/Inputs!$B$44),IF(Inputs!$B$39="pvp",MIN((Skills!T14*(1+Inputs!$B$35/100)),15)/15,MIN(1,(Skills!T14*(1+Inputs!$B$35/100))/(1/Q675)))))+((C674=TRUE)*IF(Inputs!$B$3&gt;=82,IF(Inputs!$B$39="pvp",20,(1-Summary!$B$11)*(20)+Summary!$B$11*(0)),0)*IF(AND(Inputs!$B$39&lt;&gt;"pvp",Inputs!$B$44&gt;0),(((R674-1)*MIN((Skills!T13*(1+Inputs!$B$35/100)),(1/Q674))+MIN((Skills!T13*(1+Inputs!$B$35/100)),MAX(0,Inputs!$B$44-((R674-1)*(1/Q674)))))/Inputs!$B$44),IF(Inputs!$B$39="pvp",MIN((Skills!T13*(1+Inputs!$B$35/100)),15)/15,MIN(1,(Skills!T13*(1+Inputs!$B$35/100))/(1/Q674)))))+(IF(AND(ArtifactsInput!$M$35,Inputs!$B$4&lt;&gt;"Chapter Hunt"),CHOOSE(ArtifactsInput!$N$35+1,15,18,21,24,27,30)*(1-EXP(-(0.2*B692)*5)),0)+IF(AND(ArtifactsInput!$M$22,Inputs!$B$4&lt;&gt;"Chapter Hunt"),CHOOSE(ArtifactsInput!$N$22+1,10,12,14,16,18,20)*((0*(((0.15*B692*5))^0/1)+1*(((0.15*B692*5))^1/1)+2*(((0.15*B692*5))^2/2)+3*(((0.15*B692*5))^3/6)+4*(((0.15*B692*5))^4/24)+5*(((0.15*B692*5))^5/120))/((((0.15*B692*5))^0/1)+(((0.15*B692*5))^1/1)+(((0.15*B692*5))^2/2)+(((0.15*B692*5))^3/6)+(((0.15*B692*5))^4/24)+(((0.15*B692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670*(1-MIN(100,(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670*(MIN(100,(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670*(1-MIN(100,(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670*(MIN(100,(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70">
        <f>IF(C670,(H670*N670*IF(AND(Inputs!$B$39&lt;&gt;"pvp",Inputs!$B$44&gt;0),((Skills!G9*((R670-1)*IF(Skills!H9&gt;0,INT(Skills!I9/Skills!H9+0.000000001),1)+IF(Skills!H9&gt;0,INT(MIN(Skills!I9,MAX(0,MAX(0,Inputs!$B$44-B697)-((R670-1)*IF(Inputs!$B$39="pvp",15,MAX(0.1,Skills!D9-IF(TRUE=TRUE,Inputs!$B$33,0))))))/Skills!H9+0.000000001),1)))/Inputs!$B$44),G670*Q670))*IF(Inputs!$B$39="pvp",1,(1+(Inputs!$B$22+Skills!Q9+((C678=TRUE)*F678*IF(AND(Inputs!$B$39&lt;&gt;"pvp",Inputs!$B$44&gt;0),(((R678-1)*MIN((Skills!T17*(1+Inputs!$B$35/100)),(1/Q678))+MIN((Skills!T17*(1+Inputs!$B$35/100)),MAX(0,Inputs!$B$44-((R678-1)*(1/Q678)))))/Inputs!$B$44),IF(Inputs!$B$39="pvp",MIN((Skills!T17*(1+Inputs!$B$35/100)),15)/15,MIN(1,(Skills!T17*(1+Inputs!$B$35/100))/(1/Q678)))))+((C666=TRUE)*IF(Inputs!$B$3&gt;=126,10*MIN(1,15*Q666),0))+((C675=TRUE)*IF(Inputs!$B$39="pvp",20,(1-Summary!$B$11)*(20)+Summary!$B$11*(0))*IF(AND(Inputs!$B$39&lt;&gt;"pvp",Inputs!$B$44&gt;0),(((R675-1)*MIN((Skills!T14*(1+Inputs!$B$35/100)),(1/Q675))+MIN((Skills!T14*(1+Inputs!$B$35/100)),MAX(0,Inputs!$B$44-((R675-1)*(1/Q675)))))/Inputs!$B$44),IF(Inputs!$B$39="pvp",MIN((Skills!T14*(1+Inputs!$B$35/100)),15)/15,MIN(1,(Skills!T14*(1+Inputs!$B$35/100))/(1/Q675)))))+((C674=TRUE)*IF(Inputs!$B$3&gt;=82,IF(Inputs!$B$39="pvp",20,(1-Summary!$B$11)*(20)+Summary!$B$11*(0)),0)*IF(AND(Inputs!$B$39&lt;&gt;"pvp",Inputs!$B$44&gt;0),(((R674-1)*MIN((Skills!T13*(1+Inputs!$B$35/100)),(1/Q674))+MIN((Skills!T13*(1+Inputs!$B$35/100)),MAX(0,Inputs!$B$44-((R674-1)*(1/Q674)))))/Inputs!$B$44),IF(Inputs!$B$39="pvp",MIN((Skills!T13*(1+Inputs!$B$35/100)),15)/15,MIN(1,(Skills!T13*(1+Inputs!$B$35/100))/(1/Q674)))))+(IF(AND(ArtifactsInput!$M$35,Inputs!$B$4&lt;&gt;"Chapter Hunt"),CHOOSE(ArtifactsInput!$N$35+1,15,18,21,24,27,30)*(1-EXP(-(0.2*B692)*5)),0)+IF(AND(ArtifactsInput!$M$22,Inputs!$B$4&lt;&gt;"Chapter Hunt"),CHOOSE(ArtifactsInput!$N$22+1,10,12,14,16,18,20)*((0*(((0.15*B692*5))^0/1)+1*(((0.15*B692*5))^1/1)+2*(((0.15*B692*5))^2/2)+3*(((0.15*B692*5))^3/6)+4*(((0.15*B692*5))^4/24)+5*(((0.15*B692*5))^5/120))/((((0.15*B692*5))^0/1)+(((0.15*B692*5))^1/1)+(((0.15*B692*5))^2/2)+(((0.15*B692*5))^3/6)+(((0.15*B692*5))^4/24)+(((0.15*B692*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71">
      <c r="A671">
        <f>Skills!A10</f>
        <v/>
      </c>
      <c r="B671">
        <f>Skills!B10</f>
        <v/>
      </c>
      <c r="C671">
        <f>Inputs!$B$3&gt;=110</f>
        <v/>
      </c>
      <c r="D671">
        <f>IF(Skills!C10=1,60+Inputs!$B$26+Inputs!$B$30,IF(Skills!C10=2,90+Inputs!$B$27+Inputs!$B$30,IF(Skills!C10=3,120+Inputs!$B$28+Inputs!$B$30,MAX(0,(Inputs!$B$3-100)*3)+Inputs!$B$29+Inputs!$B$30)))</f>
        <v/>
      </c>
      <c r="E671">
        <f>INDEX(FactorTable!$B$2:$Y$301, MATCH(ROUND(MIN(300,MAX(1,D671)),0), FactorTable!$A$2:$A$301,0), Skills!M10+1)</f>
        <v/>
      </c>
      <c r="F671">
        <f>IF(Skills!N10=TRUE,(Skills!L10/10)*(E671/1000),Skills!L10/10)+Skills!O10</f>
        <v/>
      </c>
      <c r="G671">
        <f>Skills!G10*IF(Skills!H10&gt;0,INT(IF(Inputs!$B$39="pvp",MIN(Skills!I10,15),Skills!I10)/Skills!H10+0.000000001),1)</f>
        <v/>
      </c>
      <c r="H671">
        <f>1-(1-Skills!J10/100)^Skills!K10</f>
        <v/>
      </c>
      <c r="I671" t="inlineStr">
        <is>
          <t>1</t>
        </is>
      </c>
      <c r="J671">
        <f>((Inputs!$B$6*(1+Inputs!$B$7/100))+(((Inputs!$B$13*(1+Inputs!$B$14/100))-(Inputs!$B$13*(1+Inputs!$B$14/100)))+0.25*(Inputs!$B$15-Inputs!$B$15))*(1+Inputs!$B$7/100))*(F671/100)</f>
        <v/>
      </c>
      <c r="K671">
        <f>J671*(1+(((Inputs!$B$13+IF(Inputs!$B$3&gt;=38,(10*INDEX(FactorTable!$B$2:$Y$301, MATCH(ROUND(MIN(300,MAX(1,Inputs!$B$3)),0), FactorTable!$A$2:$A$301,0), 23)/1000)/100*(Inputs!$B$8*(1+Inputs!$B$9/100)),0))*(1+Inputs!$B$14/100))*0.01+Inputs!$B$15*0.0025)/100)*(1+Inputs!$B$16/100)*(1+Inputs!$B$17/100)*(5000/(6000+Inputs!$B$43*(1-(Inputs!$B$20+0)/100)))*(1+(Inputs!$B$25+((C686=TRUE)*(F686-Calc!F25))+((C687=TRUE)*(F687-Calc!F26))+B696)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$12/150)*(1-1/150))*150)-60))),0)-IF(ArtifactsInput!$M$34,MIN(CHOOSE(ArtifactsInput!$N$34+1,10,12,14,16,18,20),MAX(0,(CHOOSE(ArtifactsInput!$N$34+1,0.5,0.6,0.7,0.8,0.9,1)/3)*(Inputs!$B$12-60))),0)))/100)*(1+(IF(Skills!A10="DARK_IMPALE",Inputs!$B$18+0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gt;=100),MIN(100,((Inputs!$B$10+0+B690+(ArtifactsInput!$M$24-ArtifactsInput!$M$24)*CHOOSE(ArtifactsInput!$N$24+1,10,12,14,16,18,20)+IF(ArtifactsInput!$M$10,CHOOSE(ArtifactsInput!$N$10+1,15,18,21,24,27,30)*(IF(Inputs!$B$39="pvp",MIN(15,15)/15,IF(AND(Inputs!$B$39&lt;&gt;"pvp",Inputs!$B$44&gt;0),MIN(15,Inputs!$B$44)/(Inputs!$B$44),0))),0)))-100),0))*CHOOSE(ArtifactsInput!$N$42+1,0.6,0.72,0.84,0.96,1.08,1.2))),Inputs!$B$19+((C684=TRUE)*(F684-Calc!F23))+(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gt;=100),CHOOSE(ArtifactsInput!$N$42+1,40,48,56,64,72,80),0))))/100)*((1+(((C674=TRUE)*F674*IF(AND(Inputs!$B$39&lt;&gt;"pvp",Inputs!$B$44&gt;0),(((R674-1)*MIN((Skills!T13*(1+Inputs!$B$35/100)),(1/Q674))+MIN((Skills!T13*(1+Inputs!$B$35/100)),MAX(0,Inputs!$B$44-((R674-1)*(1/Q674)))))/Inputs!$B$44),IF(Inputs!$B$39="pvp",MIN((Skills!T13*(1+Inputs!$B$35/100)),15)/15,MIN(1,(Skills!T13*(1+Inputs!$B$35/100))/(1/Q674)))))+((C675=TRUE)*F675*IF(AND(Inputs!$B$39&lt;&gt;"pvp",Inputs!$B$44&gt;0),(((R675-1)*MIN((Skills!T14*(1+Inputs!$B$35/100)),(1/Q675))+MIN((Skills!T14*(1+Inputs!$B$35/100)),MAX(0,Inputs!$B$44-((R675-1)*(1/Q675)))))/Inputs!$B$44),IF(Inputs!$B$39="pvp",MIN((Skills!T14*(1+Inputs!$B$35/100)),15)/15,MIN(1,(Skills!T14*(1+Inputs!$B$35/100))/(1/Q675)))))+((C676=TRUE)*F676*IF(AND(Inputs!$B$39&lt;&gt;"pvp",Inputs!$B$44&gt;0),(((R676-1)*MIN((Skills!T15*(1+Inputs!$B$35/100)),(1/Q676))+MIN((Skills!T15*(1+Inputs!$B$35/100)),MAX(0,Inputs!$B$44-((R676-1)*(1/Q676)))))/Inputs!$B$44),IF(Inputs!$B$39="pvp",MIN((Skills!T15*(1+Inputs!$B$35/100)),15)/15,MIN(1,(Skills!T15*(1+Inputs!$B$35/100))/(1/Q676)))))+((C677=TRUE)*F677*IF(AND(Inputs!$B$39&lt;&gt;"pvp",Inputs!$B$44&gt;0),(((R677-1)*MIN((Skills!T16*(1+Inputs!$B$35/100)),(1/Q677))+MIN((Skills!T16*(1+Inputs!$B$35/100)),MAX(0,Inputs!$B$44-((R677-1)*(1/Q677)))))/Inputs!$B$44),IF(Inputs!$B$39="pvp",MIN((Skills!T16*(1+Inputs!$B$35/100)),15)/15,MIN(1,(Skills!T16*(1+Inputs!$B$35/100))/(1/Q677)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671)</f>
        <v/>
      </c>
      <c r="L671">
        <f>K671*(MIN(Inputs!$B$23+((C683=TRUE)*(F683-Calc!F22)),(Inputs!$B$24+((C685=TRUE)*(F685-Calc!F24))+(IF(ArtifactsInput!$M$15,CHOOSE(ArtifactsInput!$N$15+1,25,30,35,40,45,50)/100*(((1-(1-Inputs!$B$12/150)*(1-1/150))*150)-Inputs!$B$12),0))))/100+(Inputs!$B$24+((C685=TRUE)*(F685-Calc!F24))+(IF(ArtifactsInput!$M$15,CHOOSE(ArtifactsInput!$N$15+1,25,30,35,40,45,50)/100*(((1-(1-Inputs!$B$12/150)*(1-1/150))*150)-Inputs!$B$12),0)))/100)/2</f>
        <v/>
      </c>
      <c r="M671">
        <f>L671*(1+(Inputs!$B$11+0+B695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671">
        <f>L671*(1-MIN((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671*(MIN((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71">
        <f>(1-Summary!$B$11)*T671+Summary!$B$11*V671</f>
        <v/>
      </c>
      <c r="P671">
        <f>IF(B700=0,0,O671/B700)</f>
        <v/>
      </c>
      <c r="Q671">
        <f>IFERROR(1/IF(Inputs!$B$39="pvp",15,MAX(0.1,Skills!D10-IF(TRUE=TRUE,Inputs!$B$33,0))),0)</f>
        <v/>
      </c>
      <c r="R671">
        <f>IF(AND(Inputs!$B$39&lt;&gt;"pvp",Inputs!$B$44&gt;0),IF(MAX(0,Inputs!$B$44-B697)&lt;=0,0,(INT(MAX(0,Inputs!$B$44-B697)/IF(Inputs!$B$39="pvp",15,MAX(0.1,Skills!D10-IF(TRUE=TRUE,Inputs!$B$33,0))))+1)),0)</f>
        <v/>
      </c>
      <c r="S671">
        <f>IFERROR(O671/N671,0)</f>
        <v/>
      </c>
      <c r="T671">
        <f>IF(C671,(H671*N671*IF(AND(Inputs!$B$39&lt;&gt;"pvp",Inputs!$B$44&gt;0),((Skills!G10*((R671-1)*IF(Skills!H10&gt;0,INT(Skills!I10/Skills!H10+0.000000001),1)+IF(Skills!H10&gt;0,INT(MIN(Skills!I10,MAX(0,MAX(0,Inputs!$B$44-B697)-((R671-1)*IF(Inputs!$B$39="pvp",15,MAX(0.1,Skills!D10-IF(TRUE=TRUE,Inputs!$B$33,0))))))/Skills!H10+0.000000001),1)))/Inputs!$B$44),G671*Q671))*IF(Inputs!$B$39="pvp",1,1+(Inputs!$B$21+0+Skills!P10+((C678=TRUE)*F678*IF(AND(Inputs!$B$39&lt;&gt;"pvp",Inputs!$B$44&gt;0),(((R678-1)*MIN((Skills!T17*(1+Inputs!$B$35/100)),(1/Q678))+MIN((Skills!T17*(1+Inputs!$B$35/100)),MAX(0,Inputs!$B$44-((R678-1)*(1/Q678)))))/Inputs!$B$44),IF(Inputs!$B$39="pvp",MIN((Skills!T17*(1+Inputs!$B$35/100)),15)/15,MIN(1,(Skills!T17*(1+Inputs!$B$35/100))/(1/Q678)))))+((C666=TRUE)*IF(Inputs!$B$3&gt;=126,10*MIN(1,15*Q666),0))+((C675=TRUE)*IF(Inputs!$B$39="pvp",20,(1-Summary!$B$11)*(20)+Summary!$B$11*(0))*IF(AND(Inputs!$B$39&lt;&gt;"pvp",Inputs!$B$44&gt;0),(((R675-1)*MIN((Skills!T14*(1+Inputs!$B$35/100)),(1/Q675))+MIN((Skills!T14*(1+Inputs!$B$35/100)),MAX(0,Inputs!$B$44-((R675-1)*(1/Q675)))))/Inputs!$B$44),IF(Inputs!$B$39="pvp",MIN((Skills!T14*(1+Inputs!$B$35/100)),15)/15,MIN(1,(Skills!T14*(1+Inputs!$B$35/100))/(1/Q675)))))+((C674=TRUE)*IF(Inputs!$B$3&gt;=82,IF(Inputs!$B$39="pvp",20,(1-Summary!$B$11)*(20)+Summary!$B$11*(0)),0)*IF(AND(Inputs!$B$39&lt;&gt;"pvp",Inputs!$B$44&gt;0),(((R674-1)*MIN((Skills!T13*(1+Inputs!$B$35/100)),(1/Q674))+MIN((Skills!T13*(1+Inputs!$B$35/100)),MAX(0,Inputs!$B$44-((R674-1)*(1/Q674)))))/Inputs!$B$44),IF(Inputs!$B$39="pvp",MIN((Skills!T13*(1+Inputs!$B$35/100)),15)/15,MIN(1,(Skills!T13*(1+Inputs!$B$35/100))/(1/Q674)))))+(IF(AND(ArtifactsInput!$M$35,Inputs!$B$4&lt;&gt;"Chapter Hunt"),CHOOSE(ArtifactsInput!$N$35+1,15,18,21,24,27,30)*(1-EXP(-(0.2*B692)*5)),0)+IF(AND(ArtifactsInput!$M$22,Inputs!$B$4&lt;&gt;"Chapter Hunt"),CHOOSE(ArtifactsInput!$N$22+1,10,12,14,16,18,20)*((0*(((0.15*B692*5))^0/1)+1*(((0.15*B692*5))^1/1)+2*(((0.15*B692*5))^2/2)+3*(((0.15*B692*5))^3/6)+4*(((0.15*B692*5))^4/24)+5*(((0.15*B692*5))^5/120))/((((0.15*B692*5))^0/1)+(((0.15*B692*5))^1/1)+(((0.15*B692*5))^2/2)+(((0.15*B692*5))^3/6)+(((0.15*B692*5))^4/24)+(((0.15*B692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671*(1-MIN(100,(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671*(MIN(100,(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671*(1-MIN(100,(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671*(MIN(100,(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71">
        <f>IF(C671,(H671*N671*IF(AND(Inputs!$B$39&lt;&gt;"pvp",Inputs!$B$44&gt;0),((Skills!G10*((R671-1)*IF(Skills!H10&gt;0,INT(Skills!I10/Skills!H10+0.000000001),1)+IF(Skills!H10&gt;0,INT(MIN(Skills!I10,MAX(0,MAX(0,Inputs!$B$44-B697)-((R671-1)*IF(Inputs!$B$39="pvp",15,MAX(0.1,Skills!D10-IF(TRUE=TRUE,Inputs!$B$33,0))))))/Skills!H10+0.000000001),1)))/Inputs!$B$44),G671*Q671))*IF(Inputs!$B$39="pvp",1,(1+(Inputs!$B$22+Skills!Q10+((C678=TRUE)*F678*IF(AND(Inputs!$B$39&lt;&gt;"pvp",Inputs!$B$44&gt;0),(((R678-1)*MIN((Skills!T17*(1+Inputs!$B$35/100)),(1/Q678))+MIN((Skills!T17*(1+Inputs!$B$35/100)),MAX(0,Inputs!$B$44-((R678-1)*(1/Q678)))))/Inputs!$B$44),IF(Inputs!$B$39="pvp",MIN((Skills!T17*(1+Inputs!$B$35/100)),15)/15,MIN(1,(Skills!T17*(1+Inputs!$B$35/100))/(1/Q678)))))+((C666=TRUE)*IF(Inputs!$B$3&gt;=126,10*MIN(1,15*Q666),0))+((C675=TRUE)*IF(Inputs!$B$39="pvp",20,(1-Summary!$B$11)*(20)+Summary!$B$11*(0))*IF(AND(Inputs!$B$39&lt;&gt;"pvp",Inputs!$B$44&gt;0),(((R675-1)*MIN((Skills!T14*(1+Inputs!$B$35/100)),(1/Q675))+MIN((Skills!T14*(1+Inputs!$B$35/100)),MAX(0,Inputs!$B$44-((R675-1)*(1/Q675)))))/Inputs!$B$44),IF(Inputs!$B$39="pvp",MIN((Skills!T14*(1+Inputs!$B$35/100)),15)/15,MIN(1,(Skills!T14*(1+Inputs!$B$35/100))/(1/Q675)))))+((C674=TRUE)*IF(Inputs!$B$3&gt;=82,IF(Inputs!$B$39="pvp",20,(1-Summary!$B$11)*(20)+Summary!$B$11*(0)),0)*IF(AND(Inputs!$B$39&lt;&gt;"pvp",Inputs!$B$44&gt;0),(((R674-1)*MIN((Skills!T13*(1+Inputs!$B$35/100)),(1/Q674))+MIN((Skills!T13*(1+Inputs!$B$35/100)),MAX(0,Inputs!$B$44-((R674-1)*(1/Q674)))))/Inputs!$B$44),IF(Inputs!$B$39="pvp",MIN((Skills!T13*(1+Inputs!$B$35/100)),15)/15,MIN(1,(Skills!T13*(1+Inputs!$B$35/100))/(1/Q674)))))+(IF(AND(ArtifactsInput!$M$35,Inputs!$B$4&lt;&gt;"Chapter Hunt"),CHOOSE(ArtifactsInput!$N$35+1,15,18,21,24,27,30)*(1-EXP(-(0.2*B692)*5)),0)+IF(AND(ArtifactsInput!$M$22,Inputs!$B$4&lt;&gt;"Chapter Hunt"),CHOOSE(ArtifactsInput!$N$22+1,10,12,14,16,18,20)*((0*(((0.15*B692*5))^0/1)+1*(((0.15*B692*5))^1/1)+2*(((0.15*B692*5))^2/2)+3*(((0.15*B692*5))^3/6)+4*(((0.15*B692*5))^4/24)+5*(((0.15*B692*5))^5/120))/((((0.15*B692*5))^0/1)+(((0.15*B692*5))^1/1)+(((0.15*B692*5))^2/2)+(((0.15*B692*5))^3/6)+(((0.15*B692*5))^4/24)+(((0.15*B692*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72">
      <c r="A672">
        <f>Skills!A11</f>
        <v/>
      </c>
      <c r="B672">
        <f>Skills!B11</f>
        <v/>
      </c>
      <c r="C672">
        <f>Inputs!$B$3&gt;=100</f>
        <v/>
      </c>
      <c r="D672">
        <f>IF(Skills!C11=1,60+Inputs!$B$26+Inputs!$B$30,IF(Skills!C11=2,90+Inputs!$B$27+Inputs!$B$30,IF(Skills!C11=3,120+Inputs!$B$28+Inputs!$B$30,MAX(0,(Inputs!$B$3-100)*3)+Inputs!$B$29+Inputs!$B$30)))</f>
        <v/>
      </c>
      <c r="E672">
        <f>INDEX(FactorTable!$B$2:$Y$301, MATCH(ROUND(MIN(300,MAX(1,D672)),0), FactorTable!$A$2:$A$301,0), Skills!M11+1)</f>
        <v/>
      </c>
      <c r="F672">
        <f>IF(Skills!N11=TRUE,(Skills!L11/10)*(E672/1000),Skills!L11/10)+Skills!O11</f>
        <v/>
      </c>
      <c r="G672" t="inlineStr"/>
      <c r="H672" t="inlineStr"/>
      <c r="I672" t="inlineStr">
        <is>
          <t>1</t>
        </is>
      </c>
      <c r="J672" t="inlineStr"/>
      <c r="K672" t="inlineStr"/>
      <c r="L672" t="inlineStr"/>
      <c r="M672" t="inlineStr"/>
      <c r="N672" t="inlineStr"/>
      <c r="O672" t="inlineStr"/>
      <c r="P672" t="inlineStr"/>
      <c r="Q672" t="inlineStr"/>
      <c r="R672" t="inlineStr"/>
      <c r="S672" t="inlineStr"/>
    </row>
    <row r="673">
      <c r="A673">
        <f>Skills!A12</f>
        <v/>
      </c>
      <c r="B673">
        <f>Skills!B12</f>
        <v/>
      </c>
      <c r="C673">
        <f>Inputs!$B$3&gt;=63</f>
        <v/>
      </c>
      <c r="D673">
        <f>IF(Skills!C12=1,60+Inputs!$B$26+Inputs!$B$30,IF(Skills!C12=2,90+Inputs!$B$27+Inputs!$B$30,IF(Skills!C12=3,120+Inputs!$B$28+Inputs!$B$30,MAX(0,(Inputs!$B$3-100)*3)+Inputs!$B$29+Inputs!$B$30)))</f>
        <v/>
      </c>
      <c r="E673">
        <f>INDEX(FactorTable!$B$2:$Y$301, MATCH(ROUND(MIN(300,MAX(1,D673)),0), FactorTable!$A$2:$A$301,0), Skills!M12+1)</f>
        <v/>
      </c>
      <c r="F673">
        <f>IF(Skills!N12=TRUE,(Skills!L12/10)*(E673/1000),Skills!L12/10)+Skills!O12</f>
        <v/>
      </c>
      <c r="G673">
        <f>Skills!G12*IF(Skills!H12&gt;0,INT(IF(Inputs!$B$39="pvp",MIN(Skills!I12,15),Skills!I12)/Skills!H12+0.000000001),1)</f>
        <v/>
      </c>
      <c r="H673">
        <f>1-(1-Skills!J12/100)^Skills!K12</f>
        <v/>
      </c>
      <c r="I673" t="inlineStr">
        <is>
          <t>1</t>
        </is>
      </c>
      <c r="J673">
        <f>((Inputs!$B$6*(1+Inputs!$B$7/100))+(((Inputs!$B$13*(1+Inputs!$B$14/100))-(Inputs!$B$13*(1+Inputs!$B$14/100)))+0.25*(Inputs!$B$15-Inputs!$B$15))*(1+Inputs!$B$7/100))*(F673/100)</f>
        <v/>
      </c>
      <c r="K673">
        <f>J673*(1+(((Inputs!$B$13+IF(Inputs!$B$3&gt;=38,(10*INDEX(FactorTable!$B$2:$Y$301, MATCH(ROUND(MIN(300,MAX(1,Inputs!$B$3)),0), FactorTable!$A$2:$A$301,0), 23)/1000)/100*(Inputs!$B$8*(1+Inputs!$B$9/100)),0))*(1+Inputs!$B$14/100))*0.01+Inputs!$B$15*0.0025)/100)*(1+Inputs!$B$16/100)*(1+Inputs!$B$17/100)*(5000/(6000+Inputs!$B$43*(1-(Inputs!$B$20+0)/100)))*(1+(Inputs!$B$25+((C686=TRUE)*(F686-Calc!F25))+((C687=TRUE)*(F687-Calc!F26))+B696)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$12/150)*(1-1/150))*150)-60))),0)-IF(ArtifactsInput!$M$34,MIN(CHOOSE(ArtifactsInput!$N$34+1,10,12,14,16,18,20),MAX(0,(CHOOSE(ArtifactsInput!$N$34+1,0.5,0.6,0.7,0.8,0.9,1)/3)*(Inputs!$B$12-60))),0)))/100)*(1+0.75*IF(C672=TRUE,F672,0)/100)*(1+(IF(Skills!A12="DARK_IMPALE",Inputs!$B$18+0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gt;=100),MIN(100,((Inputs!$B$10+0+B690+(ArtifactsInput!$M$24-ArtifactsInput!$M$24)*CHOOSE(ArtifactsInput!$N$24+1,10,12,14,16,18,20)+IF(ArtifactsInput!$M$10,CHOOSE(ArtifactsInput!$N$10+1,15,18,21,24,27,30)*(IF(Inputs!$B$39="pvp",MIN(15,15)/15,IF(AND(Inputs!$B$39&lt;&gt;"pvp",Inputs!$B$44&gt;0),MIN(15,Inputs!$B$44)/(Inputs!$B$44),0))),0)))-100),0))*CHOOSE(ArtifactsInput!$N$42+1,0.6,0.72,0.84,0.96,1.08,1.2))),Inputs!$B$19+((C684=TRUE)*(F684-Calc!F23))+(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gt;=100),CHOOSE(ArtifactsInput!$N$42+1,40,48,56,64,72,80),0))))/100)*((1+(((C674=TRUE)*F674*IF(AND(Inputs!$B$39&lt;&gt;"pvp",Inputs!$B$44&gt;0),(((R674-1)*MIN((Skills!T13*(1+Inputs!$B$35/100)),(1/Q674))+MIN((Skills!T13*(1+Inputs!$B$35/100)),MAX(0,Inputs!$B$44-((R674-1)*(1/Q674)))))/Inputs!$B$44),IF(Inputs!$B$39="pvp",MIN((Skills!T13*(1+Inputs!$B$35/100)),15)/15,MIN(1,(Skills!T13*(1+Inputs!$B$35/100))/(1/Q674)))))+((C675=TRUE)*F675*IF(AND(Inputs!$B$39&lt;&gt;"pvp",Inputs!$B$44&gt;0),(((R675-1)*MIN((Skills!T14*(1+Inputs!$B$35/100)),(1/Q675))+MIN((Skills!T14*(1+Inputs!$B$35/100)),MAX(0,Inputs!$B$44-((R675-1)*(1/Q675)))))/Inputs!$B$44),IF(Inputs!$B$39="pvp",MIN((Skills!T14*(1+Inputs!$B$35/100)),15)/15,MIN(1,(Skills!T14*(1+Inputs!$B$35/100))/(1/Q675)))))+((C676=TRUE)*F676*IF(AND(Inputs!$B$39&lt;&gt;"pvp",Inputs!$B$44&gt;0),(((R676-1)*MIN((Skills!T15*(1+Inputs!$B$35/100)),(1/Q676))+MIN((Skills!T15*(1+Inputs!$B$35/100)),MAX(0,Inputs!$B$44-((R676-1)*(1/Q676)))))/Inputs!$B$44),IF(Inputs!$B$39="pvp",MIN((Skills!T15*(1+Inputs!$B$35/100)),15)/15,MIN(1,(Skills!T15*(1+Inputs!$B$35/100))/(1/Q676)))))+((C677=TRUE)*F677*IF(AND(Inputs!$B$39&lt;&gt;"pvp",Inputs!$B$44&gt;0),(((R677-1)*MIN((Skills!T16*(1+Inputs!$B$35/100)),(1/Q677))+MIN((Skills!T16*(1+Inputs!$B$35/100)),MAX(0,Inputs!$B$44-((R677-1)*(1/Q677)))))/Inputs!$B$44),IF(Inputs!$B$39="pvp",MIN((Skills!T16*(1+Inputs!$B$35/100)),15)/15,MIN(1,(Skills!T16*(1+Inputs!$B$35/100))/(1/Q677)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673)</f>
        <v/>
      </c>
      <c r="L673">
        <f>K673*(MIN(Inputs!$B$23+((C683=TRUE)*(F683-Calc!F22)),(Inputs!$B$24+((C685=TRUE)*(F685-Calc!F24))+(IF(ArtifactsInput!$M$15,CHOOSE(ArtifactsInput!$N$15+1,25,30,35,40,45,50)/100*(((1-(1-Inputs!$B$12/150)*(1-1/150))*150)-Inputs!$B$12),0))))/100+(Inputs!$B$24+((C685=TRUE)*(F685-Calc!F24))+(IF(ArtifactsInput!$M$15,CHOOSE(ArtifactsInput!$N$15+1,25,30,35,40,45,50)/100*(((1-(1-Inputs!$B$12/150)*(1-1/150))*150)-Inputs!$B$12),0)))/100)/2</f>
        <v/>
      </c>
      <c r="M673">
        <f>L673*(1+(Inputs!$B$11+0+B695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673">
        <f>L673*(1-MIN((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673*(MIN((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73">
        <f>(1-Summary!$B$11)*T673+Summary!$B$11*V673</f>
        <v/>
      </c>
      <c r="P673">
        <f>IF(B700=0,0,O673/B700)</f>
        <v/>
      </c>
      <c r="Q673">
        <f>IFERROR(1/IF(Inputs!$B$39="pvp",15,MAX(0.1,Skills!D12-IF(TRUE=TRUE,Inputs!$B$33,0))),0)</f>
        <v/>
      </c>
      <c r="R673">
        <f>IF(AND(Inputs!$B$39&lt;&gt;"pvp",Inputs!$B$44&gt;0),IF(MAX(0,Inputs!$B$44-B697)&lt;=0,0,(INT(MAX(0,Inputs!$B$44-B697)/IF(Inputs!$B$39="pvp",15,MAX(0.1,Skills!D12-IF(TRUE=TRUE,Inputs!$B$33,0))))+1)),0)</f>
        <v/>
      </c>
      <c r="S673">
        <f>IFERROR(O673/N673,0)</f>
        <v/>
      </c>
      <c r="T673">
        <f>IF(C673,(H673*N673*IF(AND(Inputs!$B$39&lt;&gt;"pvp",Inputs!$B$44&gt;0),((Skills!G12*((R673-1)*IF(Skills!H12&gt;0,INT(Skills!I12/Skills!H12+0.000000001),1)+IF(Skills!H12&gt;0,INT(MIN(Skills!I12,MAX(0,MAX(0,Inputs!$B$44-B697)-((R673-1)*IF(Inputs!$B$39="pvp",15,MAX(0.1,Skills!D12-IF(TRUE=TRUE,Inputs!$B$33,0))))))/Skills!H12+0.000000001),1)))/Inputs!$B$44),G673*Q673))*IF(Inputs!$B$39="pvp",1,1+(Inputs!$B$21+0+Skills!P12+((C678=TRUE)*F678*IF(AND(Inputs!$B$39&lt;&gt;"pvp",Inputs!$B$44&gt;0),(((R678-1)*MIN((Skills!T17*(1+Inputs!$B$35/100)),(1/Q678))+MIN((Skills!T17*(1+Inputs!$B$35/100)),MAX(0,Inputs!$B$44-((R678-1)*(1/Q678)))))/Inputs!$B$44),IF(Inputs!$B$39="pvp",MIN((Skills!T17*(1+Inputs!$B$35/100)),15)/15,MIN(1,(Skills!T17*(1+Inputs!$B$35/100))/(1/Q678)))))+((C666=TRUE)*IF(Inputs!$B$3&gt;=126,10*MIN(1,15*Q666),0))+((C675=TRUE)*IF(Inputs!$B$39="pvp",20,(1-Summary!$B$11)*(20)+Summary!$B$11*(0))*IF(AND(Inputs!$B$39&lt;&gt;"pvp",Inputs!$B$44&gt;0),(((R675-1)*MIN((Skills!T14*(1+Inputs!$B$35/100)),(1/Q675))+MIN((Skills!T14*(1+Inputs!$B$35/100)),MAX(0,Inputs!$B$44-((R675-1)*(1/Q675)))))/Inputs!$B$44),IF(Inputs!$B$39="pvp",MIN((Skills!T14*(1+Inputs!$B$35/100)),15)/15,MIN(1,(Skills!T14*(1+Inputs!$B$35/100))/(1/Q675)))))+((C674=TRUE)*IF(Inputs!$B$3&gt;=82,IF(Inputs!$B$39="pvp",20,(1-Summary!$B$11)*(20)+Summary!$B$11*(0)),0)*IF(AND(Inputs!$B$39&lt;&gt;"pvp",Inputs!$B$44&gt;0),(((R674-1)*MIN((Skills!T13*(1+Inputs!$B$35/100)),(1/Q674))+MIN((Skills!T13*(1+Inputs!$B$35/100)),MAX(0,Inputs!$B$44-((R674-1)*(1/Q674)))))/Inputs!$B$44),IF(Inputs!$B$39="pvp",MIN((Skills!T13*(1+Inputs!$B$35/100)),15)/15,MIN(1,(Skills!T13*(1+Inputs!$B$35/100))/(1/Q674)))))+(IF(AND(ArtifactsInput!$M$35,Inputs!$B$4&lt;&gt;"Chapter Hunt"),CHOOSE(ArtifactsInput!$N$35+1,15,18,21,24,27,30)*(1-EXP(-(0.2*B692)*5)),0)+IF(AND(ArtifactsInput!$M$22,Inputs!$B$4&lt;&gt;"Chapter Hunt"),CHOOSE(ArtifactsInput!$N$22+1,10,12,14,16,18,20)*((0*(((0.15*B692*5))^0/1)+1*(((0.15*B692*5))^1/1)+2*(((0.15*B692*5))^2/2)+3*(((0.15*B692*5))^3/6)+4*(((0.15*B692*5))^4/24)+5*(((0.15*B692*5))^5/120))/((((0.15*B692*5))^0/1)+(((0.15*B692*5))^1/1)+(((0.15*B692*5))^2/2)+(((0.15*B692*5))^3/6)+(((0.15*B692*5))^4/24)+(((0.15*B692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673*(1-MIN(100,(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673*(MIN(100,(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673*(1-MIN(100,(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673*(MIN(100,(Inputs!$B$10+0+B690+(ArtifactsInput!$M$24-ArtifactsInput!$M$24)*CHOOSE(ArtifactsInput!$N$24+1,10,12,14,16,18,20)+(IF(AND(Inputs!$B$39&lt;&gt;"pvp",Inputs!$B$44=0),1,IF(IF(Inputs!$B$39="pvp",15,Inputs!$B$44)-(B697)&lt;=0,1,MAX(0,IF(Inputs!$B$39="pvp",15,Inputs!$B$44)-MAX(5,B697))/(IF(Inputs!$B$39="pvp",15,Inputs!$B$44)-(B697))))*IF(AND(ArtifactsInput!$M$42,((Inputs!$B$10+0+B690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673">
        <f>IF(C673,(H673*N673*IF(AND(Inputs!$B$39&lt;&gt;"pvp",Inputs!$B$44&gt;0),((Skills!G12*((R673-1)*IF(Skills!H12&gt;0,INT(Skills!I12/Skills!H12+0.000000001),1)+IF(Skills!H12&gt;0,INT(MIN(Skills!I12,MAX(0,MAX(0,Inputs!$B$44-B697)-((R673-1)*IF(Inputs!$B$39="pvp",15,MAX(0.1,Skills!D12-IF(TRUE=TRUE,Inputs!$B$33,0))))))/Skills!H12+0.000000001),1)))/Inputs!$B$44),G673*Q673))*IF(Inputs!$B$39="pvp",1,(1+(Inputs!$B$22+Skills!Q12+((C678=TRUE)*F678*IF(AND(Inputs!$B$39&lt;&gt;"pvp",Inputs!$B$44&gt;0),(((R678-1)*MIN((Skills!T17*(1+Inputs!$B$35/100)),(1/Q678))+MIN((Skills!T17*(1+Inputs!$B$35/100)),MAX(0,Inputs!$B$44-((R678-1)*(1/Q678)))))/Inputs!$B$44),IF(Inputs!$B$39="pvp",MIN((Skills!T17*(1+Inputs!$B$35/100)),15)/15,MIN(1,(Skills!T17*(1+Inputs!$B$35/100))/(1/Q678)))))+((C666=TRUE)*IF(Inputs!$B$3&gt;=126,10*MIN(1,15*Q666),0))+((C675=TRUE)*IF(Inputs!$B$39="pvp",20,(1-Summary!$B$11)*(20)+Summary!$B$11*(0))*IF(AND(Inputs!$B$39&lt;&gt;"pvp",Inputs!$B$44&gt;0),(((R675-1)*MIN((Skills!T14*(1+Inputs!$B$35/100)),(1/Q675))+MIN((Skills!T14*(1+Inputs!$B$35/100)),MAX(0,Inputs!$B$44-((R675-1)*(1/Q675)))))/Inputs!$B$44),IF(Inputs!$B$39="pvp",MIN((Skills!T14*(1+Inputs!$B$35/100)),15)/15,MIN(1,(Skills!T14*(1+Inputs!$B$35/100))/(1/Q675)))))+((C674=TRUE)*IF(Inputs!$B$3&gt;=82,IF(Inputs!$B$39="pvp",20,(1-Summary!$B$11)*(20)+Summary!$B$11*(0)),0)*IF(AND(Inputs!$B$39&lt;&gt;"pvp",Inputs!$B$44&gt;0),(((R674-1)*MIN((Skills!T13*(1+Inputs!$B$35/100)),(1/Q674))+MIN((Skills!T13*(1+Inputs!$B$35/100)),MAX(0,Inputs!$B$44-((R674-1)*(1/Q674)))))/Inputs!$B$44),IF(Inputs!$B$39="pvp",MIN((Skills!T13*(1+Inputs!$B$35/100)),15)/15,MIN(1,(Skills!T13*(1+Inputs!$B$35/100))/(1/Q674)))))+(IF(AND(ArtifactsInput!$M$35,Inputs!$B$4&lt;&gt;"Chapter Hunt"),CHOOSE(ArtifactsInput!$N$35+1,15,18,21,24,27,30)*(1-EXP(-(0.2*B692)*5)),0)+IF(AND(ArtifactsInput!$M$22,Inputs!$B$4&lt;&gt;"Chapter Hunt"),CHOOSE(ArtifactsInput!$N$22+1,10,12,14,16,18,20)*((0*(((0.15*B692*5))^0/1)+1*(((0.15*B692*5))^1/1)+2*(((0.15*B692*5))^2/2)+3*(((0.15*B692*5))^3/6)+4*(((0.15*B692*5))^4/24)+5*(((0.15*B692*5))^5/120))/((((0.15*B692*5))^0/1)+(((0.15*B692*5))^1/1)+(((0.15*B692*5))^2/2)+(((0.15*B692*5))^3/6)+(((0.15*B692*5))^4/24)+(((0.15*B692*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74">
      <c r="A674">
        <f>Skills!A13</f>
        <v/>
      </c>
      <c r="B674">
        <f>Skills!B13</f>
        <v/>
      </c>
      <c r="C674">
        <f>Inputs!$B$3&gt;=69</f>
        <v/>
      </c>
      <c r="D674">
        <f>IF(Skills!C13=1,60+Inputs!$B$26+Inputs!$B$30,IF(Skills!C13=2,90+Inputs!$B$27+Inputs!$B$30,IF(Skills!C13=3,120+Inputs!$B$28+Inputs!$B$30,MAX(0,(Inputs!$B$3-100)*3)+Inputs!$B$29+Inputs!$B$30)))</f>
        <v/>
      </c>
      <c r="E674">
        <f>INDEX(FactorTable!$B$2:$Y$301, MATCH(ROUND(MIN(300,MAX(1,D674)),0), FactorTable!$A$2:$A$301,0), Skills!M13+1)</f>
        <v/>
      </c>
      <c r="F674">
        <f>IF(Skills!N13=TRUE,(Skills!L13/10)*(E674/1000),Skills!L13/10)+Skills!O13</f>
        <v/>
      </c>
      <c r="G674">
        <f>Skills!G13*IF(Skills!H13&gt;0,INT(IF(Inputs!$B$39="pvp",MIN(Skills!I13,15),Skills!I13)/Skills!H13+0.000000001),1)</f>
        <v/>
      </c>
      <c r="H674">
        <f>1-(1-Skills!J13/100)^Skills!K13</f>
        <v/>
      </c>
      <c r="I674" t="inlineStr">
        <is>
          <t>1</t>
        </is>
      </c>
      <c r="J674" t="inlineStr"/>
      <c r="K674" t="inlineStr"/>
      <c r="L674" t="inlineStr"/>
      <c r="M674" t="inlineStr"/>
      <c r="N674" t="inlineStr"/>
      <c r="O674">
        <f>(1-Summary!$B$11)*T674+Summary!$B$11*V674</f>
        <v/>
      </c>
      <c r="P674">
        <f>IF(B700=0,0,O674/B700)</f>
        <v/>
      </c>
      <c r="Q674">
        <f>IFERROR(1/IF(Inputs!$B$39="pvp",15,MAX(0.1,Skills!D13-IF(TRUE=TRUE,Inputs!$B$33,0))),0)</f>
        <v/>
      </c>
      <c r="R674">
        <f>IF(AND(Inputs!$B$39&lt;&gt;"pvp",Inputs!$B$44&gt;0),IF(Inputs!$B$44&lt;=0,0,(INT(Inputs!$B$44/IF(Inputs!$B$39="pvp",15,MAX(0.1,Skills!D13-IF(TRUE=TRUE,Inputs!$B$33,0))))+1)),0)</f>
        <v/>
      </c>
      <c r="S674">
        <f>IFERROR(O674/N674,0)</f>
        <v/>
      </c>
      <c r="T674" t="n">
        <v>0</v>
      </c>
      <c r="V674" t="n">
        <v>0</v>
      </c>
    </row>
    <row r="675">
      <c r="A675">
        <f>Skills!A14</f>
        <v/>
      </c>
      <c r="B675">
        <f>Skills!B14</f>
        <v/>
      </c>
      <c r="C675">
        <f>Inputs!$B$3&gt;=115</f>
        <v/>
      </c>
      <c r="D675">
        <f>IF(Skills!C14=1,60+Inputs!$B$26+Inputs!$B$30,IF(Skills!C14=2,90+Inputs!$B$27+Inputs!$B$30,IF(Skills!C14=3,120+Inputs!$B$28+Inputs!$B$30,MAX(0,(Inputs!$B$3-100)*3)+Inputs!$B$29+Inputs!$B$30)))</f>
        <v/>
      </c>
      <c r="E675">
        <f>INDEX(FactorTable!$B$2:$Y$301, MATCH(ROUND(MIN(300,MAX(1,D675)),0), FactorTable!$A$2:$A$301,0), Skills!M14+1)</f>
        <v/>
      </c>
      <c r="F675">
        <f>IF(Skills!N14=TRUE,(Skills!L14/10)*(E675/1000),Skills!L14/10)+Skills!O14</f>
        <v/>
      </c>
      <c r="G675">
        <f>Skills!G14*IF(Skills!H14&gt;0,INT(IF(Inputs!$B$39="pvp",MIN(Skills!I14,15),Skills!I14)/Skills!H14+0.000000001),1)</f>
        <v/>
      </c>
      <c r="H675">
        <f>1-(1-Skills!J14/100)^Skills!K14</f>
        <v/>
      </c>
      <c r="I675" t="inlineStr">
        <is>
          <t>1</t>
        </is>
      </c>
      <c r="J675" t="inlineStr"/>
      <c r="K675" t="inlineStr"/>
      <c r="L675" t="inlineStr"/>
      <c r="M675" t="inlineStr"/>
      <c r="N675" t="inlineStr"/>
      <c r="O675">
        <f>(1-Summary!$B$11)*T675+Summary!$B$11*V675</f>
        <v/>
      </c>
      <c r="P675">
        <f>IF(B700=0,0,O675/B700)</f>
        <v/>
      </c>
      <c r="Q675">
        <f>IFERROR(1/IF(Inputs!$B$39="pvp",15,MAX(0.1,Skills!D14-IF(TRUE=TRUE,Inputs!$B$33,0))),0)</f>
        <v/>
      </c>
      <c r="R675">
        <f>IF(AND(Inputs!$B$39&lt;&gt;"pvp",Inputs!$B$44&gt;0),IF(Inputs!$B$44&lt;=0,0,(INT(Inputs!$B$44/IF(Inputs!$B$39="pvp",15,MAX(0.1,Skills!D14-IF(TRUE=TRUE,Inputs!$B$33,0))))+1)),0)</f>
        <v/>
      </c>
      <c r="S675">
        <f>IFERROR(O675/N675,0)</f>
        <v/>
      </c>
      <c r="T675" t="n">
        <v>0</v>
      </c>
      <c r="V675" t="n">
        <v>0</v>
      </c>
    </row>
    <row r="676">
      <c r="A676">
        <f>Skills!A15</f>
        <v/>
      </c>
      <c r="B676">
        <f>Skills!B15</f>
        <v/>
      </c>
      <c r="C676">
        <f>Inputs!$B$3&gt;=66</f>
        <v/>
      </c>
      <c r="D676">
        <f>IF(Skills!C15=1,60+Inputs!$B$26+Inputs!$B$30,IF(Skills!C15=2,90+Inputs!$B$27+Inputs!$B$30,IF(Skills!C15=3,120+Inputs!$B$28+Inputs!$B$30,MAX(0,(Inputs!$B$3-100)*3)+Inputs!$B$29+Inputs!$B$30)))</f>
        <v/>
      </c>
      <c r="E676">
        <f>INDEX(FactorTable!$B$2:$Y$301, MATCH(ROUND(MIN(300,MAX(1,D676)),0), FactorTable!$A$2:$A$301,0), Skills!M15+1)</f>
        <v/>
      </c>
      <c r="F676">
        <f>IF(Skills!N15=TRUE,(Skills!L15/10)*(E676/1000),Skills!L15/10)+Skills!O15</f>
        <v/>
      </c>
      <c r="G676">
        <f>Skills!G15*IF(Skills!H15&gt;0,INT(IF(Inputs!$B$39="pvp",MIN(Skills!I15,15),Skills!I15)/Skills!H15+0.000000001),1)</f>
        <v/>
      </c>
      <c r="H676">
        <f>1-(1-Skills!J15/100)^Skills!K15</f>
        <v/>
      </c>
      <c r="I676" t="inlineStr">
        <is>
          <t>1</t>
        </is>
      </c>
      <c r="J676" t="inlineStr"/>
      <c r="K676" t="inlineStr"/>
      <c r="L676" t="inlineStr"/>
      <c r="M676" t="inlineStr"/>
      <c r="N676" t="inlineStr"/>
      <c r="O676">
        <f>(1-Summary!$B$11)*T676+Summary!$B$11*V676</f>
        <v/>
      </c>
      <c r="P676">
        <f>IF(B700=0,0,O676/B700)</f>
        <v/>
      </c>
      <c r="Q676">
        <f>IFERROR(1/IF(Inputs!$B$39="pvp",15,MAX(0.1,Skills!D15-IF(TRUE=TRUE,Inputs!$B$33,0))),0)</f>
        <v/>
      </c>
      <c r="R676">
        <f>IF(AND(Inputs!$B$39&lt;&gt;"pvp",Inputs!$B$44&gt;0),IF(Inputs!$B$44&lt;=0,0,(INT(Inputs!$B$44/IF(Inputs!$B$39="pvp",15,MAX(0.1,Skills!D15-IF(TRUE=TRUE,Inputs!$B$33,0))))+1)),0)</f>
        <v/>
      </c>
      <c r="S676">
        <f>IFERROR(O676/N676,0)</f>
        <v/>
      </c>
      <c r="T676" t="n">
        <v>0</v>
      </c>
      <c r="V676" t="n">
        <v>0</v>
      </c>
    </row>
    <row r="677">
      <c r="A677">
        <f>Skills!A16</f>
        <v/>
      </c>
      <c r="B677">
        <f>Skills!B16</f>
        <v/>
      </c>
      <c r="C677">
        <f>Inputs!$B$3&gt;=45</f>
        <v/>
      </c>
      <c r="D677">
        <f>IF(Skills!C16=1,60+Inputs!$B$26+Inputs!$B$30,IF(Skills!C16=2,90+Inputs!$B$27+Inputs!$B$30,IF(Skills!C16=3,120+Inputs!$B$28+Inputs!$B$30,MAX(0,(Inputs!$B$3-100)*3)+Inputs!$B$29+Inputs!$B$30)))</f>
        <v/>
      </c>
      <c r="E677">
        <f>INDEX(FactorTable!$B$2:$Y$301, MATCH(ROUND(MIN(300,MAX(1,D677)),0), FactorTable!$A$2:$A$301,0), Skills!M16+1)</f>
        <v/>
      </c>
      <c r="F677">
        <f>IF(Skills!N16=TRUE,(Skills!L16/10)*(E677/1000),Skills!L16/10)+Skills!O16</f>
        <v/>
      </c>
      <c r="G677">
        <f>Skills!G16*IF(Skills!H16&gt;0,INT(IF(Inputs!$B$39="pvp",MIN(Skills!I16,15),Skills!I16)/Skills!H16+0.000000001),1)</f>
        <v/>
      </c>
      <c r="H677">
        <f>1-(1-Skills!J16/100)^Skills!K16</f>
        <v/>
      </c>
      <c r="I677" t="inlineStr">
        <is>
          <t>1</t>
        </is>
      </c>
      <c r="J677" t="inlineStr"/>
      <c r="K677" t="inlineStr"/>
      <c r="L677" t="inlineStr"/>
      <c r="M677" t="inlineStr"/>
      <c r="N677" t="inlineStr"/>
      <c r="O677">
        <f>(1-Summary!$B$11)*T677+Summary!$B$11*V677</f>
        <v/>
      </c>
      <c r="P677">
        <f>IF(B700=0,0,O677/B700)</f>
        <v/>
      </c>
      <c r="Q677">
        <f>IFERROR(1/IF(Inputs!$B$39="pvp",15,MAX(0.1,Skills!D16-IF(TRUE=TRUE,Inputs!$B$33,0))),0)</f>
        <v/>
      </c>
      <c r="R677">
        <f>IF(AND(Inputs!$B$39&lt;&gt;"pvp",Inputs!$B$44&gt;0),IF(Inputs!$B$44&lt;=0,0,(INT(Inputs!$B$44/IF(Inputs!$B$39="pvp",15,MAX(0.1,Skills!D16-IF(TRUE=TRUE,Inputs!$B$33,0))))+1)),0)</f>
        <v/>
      </c>
      <c r="S677">
        <f>IFERROR(O677/N677,0)</f>
        <v/>
      </c>
      <c r="T677" t="n">
        <v>0</v>
      </c>
      <c r="V677" t="n">
        <v>0</v>
      </c>
    </row>
    <row r="678">
      <c r="A678">
        <f>Skills!A17</f>
        <v/>
      </c>
      <c r="B678">
        <f>Skills!B17</f>
        <v/>
      </c>
      <c r="C678">
        <f>Inputs!$B$3&gt;=35</f>
        <v/>
      </c>
      <c r="D678">
        <f>IF(Skills!C17=1,60+Inputs!$B$26+Inputs!$B$30,IF(Skills!C17=2,90+Inputs!$B$27+Inputs!$B$30,IF(Skills!C17=3,120+Inputs!$B$28+Inputs!$B$30,MAX(0,(Inputs!$B$3-100)*3)+Inputs!$B$29+Inputs!$B$30)))</f>
        <v/>
      </c>
      <c r="E678">
        <f>INDEX(FactorTable!$B$2:$Y$301, MATCH(ROUND(MIN(300,MAX(1,D678)),0), FactorTable!$A$2:$A$301,0), Skills!M17+1)</f>
        <v/>
      </c>
      <c r="F678">
        <f>IF(Skills!N17=TRUE,(Skills!L17/10)*(E678/1000),Skills!L17/10)+Skills!O17</f>
        <v/>
      </c>
      <c r="G678">
        <f>Skills!G17*IF(Skills!H17&gt;0,INT(IF(Inputs!$B$39="pvp",MIN(Skills!I17,15),Skills!I17)/Skills!H17+0.000000001),1)</f>
        <v/>
      </c>
      <c r="H678">
        <f>1-(1-Skills!J17/100)^Skills!K17</f>
        <v/>
      </c>
      <c r="I678" t="inlineStr">
        <is>
          <t>1</t>
        </is>
      </c>
      <c r="J678" t="inlineStr"/>
      <c r="K678" t="inlineStr"/>
      <c r="L678" t="inlineStr"/>
      <c r="M678" t="inlineStr"/>
      <c r="N678" t="inlineStr"/>
      <c r="O678">
        <f>(1-Summary!$B$11)*T678+Summary!$B$11*V678</f>
        <v/>
      </c>
      <c r="P678">
        <f>IF(B700=0,0,O678/B700)</f>
        <v/>
      </c>
      <c r="Q678">
        <f>IFERROR(1/IF(Inputs!$B$39="pvp",15,MAX(0.1,Skills!D17-IF(TRUE=TRUE,Inputs!$B$33,0))),0)</f>
        <v/>
      </c>
      <c r="R678">
        <f>IF(AND(Inputs!$B$39&lt;&gt;"pvp",Inputs!$B$44&gt;0),IF(Inputs!$B$44&lt;=0,0,(INT(Inputs!$B$44/IF(Inputs!$B$39="pvp",15,MAX(0.1,Skills!D17-IF(TRUE=TRUE,Inputs!$B$33,0))))+1)),0)</f>
        <v/>
      </c>
      <c r="S678">
        <f>IFERROR(O678/N678,0)</f>
        <v/>
      </c>
      <c r="T678" t="n">
        <v>0</v>
      </c>
      <c r="V678" t="n">
        <v>0</v>
      </c>
    </row>
    <row r="679">
      <c r="A679">
        <f>Skills!A18</f>
        <v/>
      </c>
      <c r="B679">
        <f>Skills!B18</f>
        <v/>
      </c>
      <c r="C679">
        <f>Inputs!$B$3&gt;=72</f>
        <v/>
      </c>
      <c r="D679">
        <f>IF(Skills!C18=1,60+Inputs!$B$26+Inputs!$B$30,IF(Skills!C18=2,90+Inputs!$B$27+Inputs!$B$30,IF(Skills!C18=3,120+Inputs!$B$28+Inputs!$B$30,MAX(0,(Inputs!$B$3-100)*3)+Inputs!$B$29+Inputs!$B$30)))</f>
        <v/>
      </c>
      <c r="E679">
        <f>INDEX(FactorTable!$B$2:$Y$301, MATCH(ROUND(MIN(300,MAX(1,D679)),0), FactorTable!$A$2:$A$301,0), Skills!M18+1)</f>
        <v/>
      </c>
      <c r="F679">
        <f>IF(Skills!N18=TRUE,(Skills!L18/10)*(E679/1000),Skills!L18/10)+Skills!O18</f>
        <v/>
      </c>
      <c r="G679">
        <f>Skills!G18*IF(Skills!H18&gt;0,INT(IF(Inputs!$B$39="pvp",MIN(Skills!I18,15),Skills!I18)/Skills!H18+0.000000001),1)</f>
        <v/>
      </c>
      <c r="H679">
        <f>1-(1-Skills!J18/100)^Skills!K18</f>
        <v/>
      </c>
      <c r="I679" t="inlineStr">
        <is>
          <t>1</t>
        </is>
      </c>
      <c r="J679" t="inlineStr"/>
      <c r="K679" t="inlineStr"/>
      <c r="L679" t="inlineStr"/>
      <c r="M679" t="inlineStr"/>
      <c r="N679" t="inlineStr"/>
      <c r="O679">
        <f>(1-Summary!$B$11)*T679+Summary!$B$11*V679</f>
        <v/>
      </c>
      <c r="P679">
        <f>IF(B700=0,0,O679/B700)</f>
        <v/>
      </c>
      <c r="Q679">
        <f>IFERROR(1/IF(Inputs!$B$39="pvp",15,MAX(0.1,Skills!D18-IF(TRUE=TRUE,Inputs!$B$33,0))),0)</f>
        <v/>
      </c>
      <c r="R679">
        <f>IF(AND(Inputs!$B$39&lt;&gt;"pvp",Inputs!$B$44&gt;0),IF(Inputs!$B$44&lt;=0,0,(INT(Inputs!$B$44/IF(Inputs!$B$39="pvp",15,MAX(0.1,Skills!D18-IF(TRUE=TRUE,Inputs!$B$33,0))))+1)),0)</f>
        <v/>
      </c>
      <c r="S679">
        <f>IFERROR(O679/N679,0)</f>
        <v/>
      </c>
      <c r="T679" t="n">
        <v>0</v>
      </c>
      <c r="V679" t="n">
        <v>0</v>
      </c>
    </row>
    <row r="680">
      <c r="A680">
        <f>Skills!A19</f>
        <v/>
      </c>
      <c r="B680">
        <f>Skills!B19</f>
        <v/>
      </c>
      <c r="C680">
        <f>Inputs!$B$3&gt;=72</f>
        <v/>
      </c>
      <c r="D680">
        <f>IF(Skills!C19=1,60+Inputs!$B$26+Inputs!$B$30,IF(Skills!C19=2,90+Inputs!$B$27+Inputs!$B$30,IF(Skills!C19=3,120+Inputs!$B$28+Inputs!$B$30,MAX(0,(Inputs!$B$3-100)*3)+Inputs!$B$29+Inputs!$B$30)))</f>
        <v/>
      </c>
      <c r="E680">
        <f>INDEX(FactorTable!$B$2:$Y$301, MATCH(ROUND(MIN(300,MAX(1,D680)),0), FactorTable!$A$2:$A$301,0), Skills!M19+1)</f>
        <v/>
      </c>
      <c r="F680">
        <f>IF(Skills!N19=TRUE,(Skills!L19/10)*(E680/1000),Skills!L19/10)+Skills!O19</f>
        <v/>
      </c>
      <c r="G680">
        <f>Skills!G19*IF(Skills!H19&gt;0,INT(IF(Inputs!$B$39="pvp",MIN(Skills!I19,15),Skills!I19)/Skills!H19+0.000000001),1)</f>
        <v/>
      </c>
      <c r="H680">
        <f>1-(1-Skills!J19/100)^Skills!K19</f>
        <v/>
      </c>
      <c r="I680" t="inlineStr">
        <is>
          <t>1</t>
        </is>
      </c>
      <c r="J680" t="inlineStr"/>
      <c r="K680" t="inlineStr"/>
      <c r="L680" t="inlineStr"/>
      <c r="M680" t="inlineStr"/>
      <c r="N680" t="inlineStr"/>
      <c r="O680">
        <f>(1-Summary!$B$11)*T680+Summary!$B$11*V680</f>
        <v/>
      </c>
      <c r="P680">
        <f>IF(B700=0,0,O680/B700)</f>
        <v/>
      </c>
      <c r="Q680">
        <f>IFERROR(1/IF(Inputs!$B$39="pvp",15,MAX(0.1,Skills!D19-IF(TRUE=TRUE,Inputs!$B$33,0))),0)</f>
        <v/>
      </c>
      <c r="R680">
        <f>IF(AND(Inputs!$B$39&lt;&gt;"pvp",Inputs!$B$44&gt;0),IF(Inputs!$B$44&lt;=0,0,(INT(Inputs!$B$44/IF(Inputs!$B$39="pvp",15,MAX(0.1,Skills!D19-IF(TRUE=TRUE,Inputs!$B$33,0))))+1)),0)</f>
        <v/>
      </c>
      <c r="S680">
        <f>IFERROR(O680/N680,0)</f>
        <v/>
      </c>
      <c r="T680" t="n">
        <v>0</v>
      </c>
      <c r="V680" t="n">
        <v>0</v>
      </c>
    </row>
    <row r="681">
      <c r="A681">
        <f>Skills!A20</f>
        <v/>
      </c>
      <c r="B681">
        <f>Skills!B20</f>
        <v/>
      </c>
      <c r="C681">
        <f>TRUE</f>
        <v/>
      </c>
      <c r="D681">
        <f>IF(Skills!C20=1,60+Inputs!$B$26+Inputs!$B$30,IF(Skills!C20=2,90+Inputs!$B$27+Inputs!$B$30,IF(Skills!C20=3,120+Inputs!$B$28+Inputs!$B$30,MAX(0,(Inputs!$B$3-100)*3)+Inputs!$B$29+Inputs!$B$30)))</f>
        <v/>
      </c>
      <c r="E681">
        <f>INDEX(FactorTable!$B$2:$Y$301, MATCH(ROUND(MIN(300,MAX(1,D681)),0), FactorTable!$A$2:$A$301,0), Skills!M20+1)</f>
        <v/>
      </c>
      <c r="F681">
        <f>IF(Skills!N20=TRUE,(Skills!L20/10)*(E681/1000),Skills!L20/10)+Skills!O20</f>
        <v/>
      </c>
      <c r="G681">
        <f>Skills!G20*IF(Skills!H20&gt;0,INT(IF(Inputs!$B$39="pvp",MIN(Skills!I20,15),Skills!I20)/Skills!H20+0.000000001),1)</f>
        <v/>
      </c>
      <c r="H681">
        <f>1-(1-Skills!J20/100)^Skills!K20</f>
        <v/>
      </c>
      <c r="I681" t="inlineStr">
        <is>
          <t>1</t>
        </is>
      </c>
      <c r="J681" t="inlineStr"/>
      <c r="K681" t="inlineStr"/>
      <c r="L681" t="inlineStr"/>
      <c r="M681" t="inlineStr"/>
      <c r="N681" t="inlineStr"/>
      <c r="O681">
        <f>(1-Summary!$B$11)*T681+Summary!$B$11*V681</f>
        <v/>
      </c>
      <c r="P681">
        <f>IF(B700=0,0,O681/B700)</f>
        <v/>
      </c>
      <c r="Q681">
        <f>IFERROR(1/IF(Inputs!$B$39="pvp",15,MAX(0.1,Skills!D20-IF(TRUE=TRUE,Inputs!$B$33,0))),0)</f>
        <v/>
      </c>
      <c r="R681">
        <f>IF(AND(Inputs!$B$39&lt;&gt;"pvp",Inputs!$B$44&gt;0),IF(Inputs!$B$44&lt;=0,0,(INT(Inputs!$B$44/IF(Inputs!$B$39="pvp",15,MAX(0.1,Skills!D20-IF(TRUE=TRUE,Inputs!$B$33,0))))+1)),0)</f>
        <v/>
      </c>
      <c r="S681">
        <f>IFERROR(O681/N681,0)</f>
        <v/>
      </c>
      <c r="T681" t="n">
        <v>0</v>
      </c>
      <c r="V681" t="n">
        <v>0</v>
      </c>
    </row>
    <row r="682">
      <c r="A682">
        <f>Skills!A21</f>
        <v/>
      </c>
      <c r="B682">
        <f>Skills!B21</f>
        <v/>
      </c>
      <c r="C682">
        <f>Inputs!$B$3&gt;=33</f>
        <v/>
      </c>
      <c r="D682">
        <f>IF(Skills!C21=1,60+Inputs!$B$26+Inputs!$B$30,IF(Skills!C21=2,90+Inputs!$B$27+Inputs!$B$30,IF(Skills!C21=3,120+Inputs!$B$28+Inputs!$B$30,MAX(0,(Inputs!$B$3-100)*3)+Inputs!$B$29+Inputs!$B$30)))</f>
        <v/>
      </c>
      <c r="E682">
        <f>INDEX(FactorTable!$B$2:$Y$301, MATCH(ROUND(MIN(300,MAX(1,D682)),0), FactorTable!$A$2:$A$301,0), Skills!M21+1)</f>
        <v/>
      </c>
      <c r="F682">
        <f>IF(Skills!N21=TRUE,(Skills!L21/10)*(E682/1000),Skills!L21/10)+Skills!O21</f>
        <v/>
      </c>
      <c r="G682">
        <f>Skills!G21*IF(Skills!H21&gt;0,INT(IF(Inputs!$B$39="pvp",MIN(Skills!I21,15),Skills!I21)/Skills!H21+0.000000001),1)</f>
        <v/>
      </c>
      <c r="H682">
        <f>1-(1-Skills!J21/100)^Skills!K21</f>
        <v/>
      </c>
      <c r="I682" t="inlineStr">
        <is>
          <t>1</t>
        </is>
      </c>
      <c r="J682" t="inlineStr"/>
      <c r="K682" t="inlineStr"/>
      <c r="L682" t="inlineStr"/>
      <c r="M682" t="inlineStr"/>
      <c r="N682" t="inlineStr"/>
      <c r="O682">
        <f>(1-Summary!$B$11)*T682+Summary!$B$11*V682</f>
        <v/>
      </c>
      <c r="P682">
        <f>IF(B700=0,0,O682/B700)</f>
        <v/>
      </c>
      <c r="Q682" t="n">
        <v>0</v>
      </c>
      <c r="R682" t="n">
        <v>0</v>
      </c>
      <c r="S682">
        <f>IFERROR(O682/N682,0)</f>
        <v/>
      </c>
      <c r="T682" t="n">
        <v>0</v>
      </c>
      <c r="V682" t="n">
        <v>0</v>
      </c>
    </row>
    <row r="683">
      <c r="A683">
        <f>Skills!A22</f>
        <v/>
      </c>
      <c r="B683">
        <f>Skills!B22</f>
        <v/>
      </c>
      <c r="C683">
        <f>Inputs!$B$3&gt;=43</f>
        <v/>
      </c>
      <c r="D683">
        <f>IF(Skills!C22=1,60+Inputs!$B$26+Inputs!$B$30,IF(Skills!C22=2,90+Inputs!$B$27+Inputs!$B$30,IF(Skills!C22=3,120+Inputs!$B$28+Inputs!$B$30,MAX(0,(Inputs!$B$3-100)*3)+Inputs!$B$29+Inputs!$B$30)))</f>
        <v/>
      </c>
      <c r="E683">
        <f>INDEX(FactorTable!$B$2:$Y$301, MATCH(ROUND(MIN(300,MAX(1,D683)),0), FactorTable!$A$2:$A$301,0), Skills!M22+1)</f>
        <v/>
      </c>
      <c r="F683">
        <f>IF(Skills!N22=TRUE,(Skills!L22/10)*(E683/1000),Skills!L22/10)+Skills!O22</f>
        <v/>
      </c>
      <c r="G683">
        <f>Skills!G22*IF(Skills!H22&gt;0,INT(IF(Inputs!$B$39="pvp",MIN(Skills!I22,15),Skills!I22)/Skills!H22+0.000000001),1)</f>
        <v/>
      </c>
      <c r="H683">
        <f>1-(1-Skills!J22/100)^Skills!K22</f>
        <v/>
      </c>
      <c r="I683" t="inlineStr">
        <is>
          <t>1</t>
        </is>
      </c>
      <c r="J683" t="inlineStr"/>
      <c r="K683" t="inlineStr"/>
      <c r="L683" t="inlineStr"/>
      <c r="M683" t="inlineStr"/>
      <c r="N683" t="inlineStr"/>
      <c r="O683">
        <f>(1-Summary!$B$11)*T683+Summary!$B$11*V683</f>
        <v/>
      </c>
      <c r="P683">
        <f>IF(B700=0,0,O683/B700)</f>
        <v/>
      </c>
      <c r="Q683" t="n">
        <v>0</v>
      </c>
      <c r="R683" t="n">
        <v>0</v>
      </c>
      <c r="S683">
        <f>IFERROR(O683/N683,0)</f>
        <v/>
      </c>
      <c r="T683" t="n">
        <v>0</v>
      </c>
      <c r="V683" t="n">
        <v>0</v>
      </c>
    </row>
    <row r="684">
      <c r="A684">
        <f>Skills!A23</f>
        <v/>
      </c>
      <c r="B684">
        <f>Skills!B23</f>
        <v/>
      </c>
      <c r="C684">
        <f>Inputs!$B$3&gt;=120</f>
        <v/>
      </c>
      <c r="D684">
        <f>IF(Skills!C23=1,60+Inputs!$B$26+Inputs!$B$30,IF(Skills!C23=2,90+Inputs!$B$27+Inputs!$B$30,IF(Skills!C23=3,120+Inputs!$B$28+Inputs!$B$30,MAX(0,(Inputs!$B$3-100)*3)+Inputs!$B$29+Inputs!$B$30)))</f>
        <v/>
      </c>
      <c r="E684">
        <f>INDEX(FactorTable!$B$2:$Y$301, MATCH(ROUND(MIN(300,MAX(1,D684)),0), FactorTable!$A$2:$A$301,0), Skills!M23+1)</f>
        <v/>
      </c>
      <c r="F684">
        <f>IF(Skills!N23=TRUE,(Skills!L23/10)*(E684/1000),Skills!L23/10)+Skills!O23</f>
        <v/>
      </c>
      <c r="G684">
        <f>Skills!G23*IF(Skills!H23&gt;0,INT(IF(Inputs!$B$39="pvp",MIN(Skills!I23,15),Skills!I23)/Skills!H23+0.000000001),1)</f>
        <v/>
      </c>
      <c r="H684">
        <f>1-(1-Skills!J23/100)^Skills!K23</f>
        <v/>
      </c>
      <c r="I684" t="inlineStr">
        <is>
          <t>1</t>
        </is>
      </c>
      <c r="J684" t="inlineStr"/>
      <c r="K684" t="inlineStr"/>
      <c r="L684" t="inlineStr"/>
      <c r="M684" t="inlineStr"/>
      <c r="N684" t="inlineStr"/>
      <c r="O684">
        <f>(1-Summary!$B$11)*T684+Summary!$B$11*V684</f>
        <v/>
      </c>
      <c r="P684">
        <f>IF(B700=0,0,O684/B700)</f>
        <v/>
      </c>
      <c r="Q684" t="n">
        <v>0</v>
      </c>
      <c r="R684" t="n">
        <v>0</v>
      </c>
      <c r="S684">
        <f>IFERROR(O684/N684,0)</f>
        <v/>
      </c>
      <c r="T684" t="n">
        <v>0</v>
      </c>
      <c r="V684" t="n">
        <v>0</v>
      </c>
    </row>
    <row r="685">
      <c r="A685">
        <f>Skills!A24</f>
        <v/>
      </c>
      <c r="B685">
        <f>Skills!B24</f>
        <v/>
      </c>
      <c r="C685">
        <f>Inputs!$B$3&gt;=120</f>
        <v/>
      </c>
      <c r="D685">
        <f>IF(Skills!C24=1,60+Inputs!$B$26+Inputs!$B$30,IF(Skills!C24=2,90+Inputs!$B$27+Inputs!$B$30,IF(Skills!C24=3,120+Inputs!$B$28+Inputs!$B$30,MAX(0,(Inputs!$B$3-100)*3)+Inputs!$B$29+Inputs!$B$30)))</f>
        <v/>
      </c>
      <c r="E685">
        <f>INDEX(FactorTable!$B$2:$Y$301, MATCH(ROUND(MIN(300,MAX(1,D685)),0), FactorTable!$A$2:$A$301,0), Skills!M24+1)</f>
        <v/>
      </c>
      <c r="F685">
        <f>IF(Skills!N24=TRUE,(Skills!L24/10)*(E685/1000),Skills!L24/10)+Skills!O24</f>
        <v/>
      </c>
      <c r="G685">
        <f>Skills!G24*IF(Skills!H24&gt;0,INT(IF(Inputs!$B$39="pvp",MIN(Skills!I24,15),Skills!I24)/Skills!H24+0.000000001),1)</f>
        <v/>
      </c>
      <c r="H685">
        <f>1-(1-Skills!J24/100)^Skills!K24</f>
        <v/>
      </c>
      <c r="I685" t="inlineStr">
        <is>
          <t>1</t>
        </is>
      </c>
      <c r="J685" t="inlineStr"/>
      <c r="K685" t="inlineStr"/>
      <c r="L685" t="inlineStr"/>
      <c r="M685" t="inlineStr"/>
      <c r="N685" t="inlineStr"/>
      <c r="O685">
        <f>(1-Summary!$B$11)*T685+Summary!$B$11*V685</f>
        <v/>
      </c>
      <c r="P685">
        <f>IF(B700=0,0,O685/B700)</f>
        <v/>
      </c>
      <c r="Q685" t="n">
        <v>0</v>
      </c>
      <c r="R685" t="n">
        <v>0</v>
      </c>
      <c r="S685">
        <f>IFERROR(O685/N685,0)</f>
        <v/>
      </c>
      <c r="T685" t="n">
        <v>0</v>
      </c>
      <c r="V685" t="n">
        <v>0</v>
      </c>
    </row>
    <row r="686">
      <c r="A686">
        <f>Skills!A25</f>
        <v/>
      </c>
      <c r="B686">
        <f>Skills!B25</f>
        <v/>
      </c>
      <c r="C686">
        <f>Inputs!$B$3&gt;=125</f>
        <v/>
      </c>
      <c r="D686">
        <f>IF(Skills!C25=1,60+Inputs!$B$26+Inputs!$B$30,IF(Skills!C25=2,90+Inputs!$B$27+Inputs!$B$30,IF(Skills!C25=3,120+Inputs!$B$28+Inputs!$B$30,MAX(0,(Inputs!$B$3-100)*3)+Inputs!$B$29+Inputs!$B$30)))</f>
        <v/>
      </c>
      <c r="E686">
        <f>INDEX(FactorTable!$B$2:$Y$301, MATCH(ROUND(MIN(300,MAX(1,D686)),0), FactorTable!$A$2:$A$301,0), Skills!M25+1)</f>
        <v/>
      </c>
      <c r="F686">
        <f>IF(Skills!N25=TRUE,(Skills!L25/10)*(E686/1000),Skills!L25/10)+Skills!O25</f>
        <v/>
      </c>
      <c r="G686">
        <f>Skills!G25*IF(Skills!H25&gt;0,INT(IF(Inputs!$B$39="pvp",MIN(Skills!I25,15),Skills!I25)/Skills!H25+0.000000001),1)</f>
        <v/>
      </c>
      <c r="H686">
        <f>1-(1-Skills!J25/100)^Skills!K25</f>
        <v/>
      </c>
      <c r="I686" t="inlineStr">
        <is>
          <t>1</t>
        </is>
      </c>
      <c r="J686" t="inlineStr"/>
      <c r="K686" t="inlineStr"/>
      <c r="L686" t="inlineStr"/>
      <c r="M686" t="inlineStr"/>
      <c r="N686" t="inlineStr"/>
      <c r="O686">
        <f>(1-Summary!$B$11)*T686+Summary!$B$11*V686</f>
        <v/>
      </c>
      <c r="P686">
        <f>IF(B700=0,0,O686/B700)</f>
        <v/>
      </c>
      <c r="Q686" t="n">
        <v>0</v>
      </c>
      <c r="R686" t="n">
        <v>0</v>
      </c>
      <c r="S686">
        <f>IFERROR(O686/N686,0)</f>
        <v/>
      </c>
      <c r="T686" t="n">
        <v>0</v>
      </c>
      <c r="V686" t="n">
        <v>0</v>
      </c>
    </row>
    <row r="687">
      <c r="A687">
        <f>Skills!A26</f>
        <v/>
      </c>
      <c r="B687">
        <f>Skills!B26</f>
        <v/>
      </c>
      <c r="C687">
        <f>Inputs!$B$3&gt;=107</f>
        <v/>
      </c>
      <c r="D687">
        <f>IF(Skills!C26=1,60+Inputs!$B$26+Inputs!$B$30,IF(Skills!C26=2,90+Inputs!$B$27+Inputs!$B$30,IF(Skills!C26=3,120+Inputs!$B$28+Inputs!$B$30,MAX(0,(Inputs!$B$3-100)*3)+Inputs!$B$29+Inputs!$B$30)))</f>
        <v/>
      </c>
      <c r="E687">
        <f>INDEX(FactorTable!$B$2:$Y$301, MATCH(ROUND(MIN(300,MAX(1,D687)),0), FactorTable!$A$2:$A$301,0), Skills!M26+1)</f>
        <v/>
      </c>
      <c r="F687">
        <f>IF(Skills!N26=TRUE,(Skills!L26/10)*(E687/1000),Skills!L26/10)+Skills!O26</f>
        <v/>
      </c>
      <c r="G687">
        <f>Skills!G26*IF(Skills!H26&gt;0,INT(IF(Inputs!$B$39="pvp",MIN(Skills!I26,15),Skills!I26)/Skills!H26+0.000000001),1)</f>
        <v/>
      </c>
      <c r="H687">
        <f>1-(1-Skills!J26/100)^Skills!K26</f>
        <v/>
      </c>
      <c r="I687" t="inlineStr">
        <is>
          <t>1</t>
        </is>
      </c>
      <c r="J687" t="inlineStr"/>
      <c r="K687" t="inlineStr"/>
      <c r="L687" t="inlineStr"/>
      <c r="M687" t="inlineStr"/>
      <c r="N687" t="inlineStr"/>
      <c r="O687">
        <f>(1-Summary!$B$11)*T687+Summary!$B$11*V687</f>
        <v/>
      </c>
      <c r="P687">
        <f>IF(B700=0,0,O687/B700)</f>
        <v/>
      </c>
      <c r="Q687" t="n">
        <v>0</v>
      </c>
      <c r="R687" t="n">
        <v>0</v>
      </c>
      <c r="S687">
        <f>IFERROR(O687/N687,0)</f>
        <v/>
      </c>
      <c r="T687" t="n">
        <v>0</v>
      </c>
      <c r="V687" t="n">
        <v>0</v>
      </c>
    </row>
    <row r="689">
      <c r="A689" t="inlineStr">
        <is>
          <t>Attack% Bucket Multiplier</t>
        </is>
      </c>
      <c r="B689">
        <f>(1+(((C674=TRUE)*F674*IF(AND(Inputs!$B$39&lt;&gt;"pvp",Inputs!$B$44&gt;0),(((R674-1)*MIN((Skills!T13*(1+Inputs!$B$35/100)),(1/Q674))+MIN((Skills!T13*(1+Inputs!$B$35/100)),MAX(0,Inputs!$B$44-((R674-1)*(1/Q674)))))/Inputs!$B$44),IF(Inputs!$B$39="pvp",MIN((Skills!T13*(1+Inputs!$B$35/100)),15)/15,MIN(1,(Skills!T13*(1+Inputs!$B$35/100))/(1/Q674)))))+((C675=TRUE)*F675*IF(AND(Inputs!$B$39&lt;&gt;"pvp",Inputs!$B$44&gt;0),(((R675-1)*MIN((Skills!T14*(1+Inputs!$B$35/100)),(1/Q675))+MIN((Skills!T14*(1+Inputs!$B$35/100)),MAX(0,Inputs!$B$44-((R675-1)*(1/Q675)))))/Inputs!$B$44),IF(Inputs!$B$39="pvp",MIN((Skills!T14*(1+Inputs!$B$35/100)),15)/15,MIN(1,(Skills!T14*(1+Inputs!$B$35/100))/(1/Q675)))))+((C676=TRUE)*F676*IF(AND(Inputs!$B$39&lt;&gt;"pvp",Inputs!$B$44&gt;0),(((R676-1)*MIN((Skills!T15*(1+Inputs!$B$35/100)),(1/Q676))+MIN((Skills!T15*(1+Inputs!$B$35/100)),MAX(0,Inputs!$B$44-((R676-1)*(1/Q676)))))/Inputs!$B$44),IF(Inputs!$B$39="pvp",MIN((Skills!T15*(1+Inputs!$B$35/100)),15)/15,MIN(1,(Skills!T15*(1+Inputs!$B$35/100))/(1/Q676)))))+((C677=TRUE)*F677*IF(AND(Inputs!$B$39&lt;&gt;"pvp",Inputs!$B$44&gt;0),(((R677-1)*MIN((Skills!T16*(1+Inputs!$B$35/100)),(1/Q677))+MIN((Skills!T16*(1+Inputs!$B$35/100)),MAX(0,Inputs!$B$44-((R677-1)*(1/Q677)))))/Inputs!$B$44),IF(Inputs!$B$39="pvp",MIN((Skills!T16*(1+Inputs!$B$35/100)),15)/15,MIN(1,(Skills!T16*(1+Inputs!$B$35/100))/(1/Q677)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690">
      <c r="A690" t="inlineStr">
        <is>
          <t>Global Crit Rate Bonus % (Lord of Darkness)</t>
        </is>
      </c>
      <c r="B690">
        <f>((C679=TRUE)*F679*(Skills!J18/100)*IF(AND(Inputs!$B$39&lt;&gt;"pvp",Inputs!$B$44&gt;0),(((R679-1)*MIN((Skills!T18*(1+Inputs!$B$35/100)),(1/Q679))+MIN((Skills!T18*(1+Inputs!$B$35/100)),MAX(0,Inputs!$B$44-((R679-1)*(1/Q679)))))/Inputs!$B$44),IF(Inputs!$B$39="pvp",MIN((Skills!T18*(1+Inputs!$B$35/100)),15)/15,MIN(1,(Skills!T18*(1+Inputs!$B$35/100))/(1/Q679)))))</f>
        <v/>
      </c>
    </row>
    <row r="691">
      <c r="A691" t="inlineStr">
        <is>
          <t>Attack Speed Buff Bonus %</t>
        </is>
      </c>
      <c r="B691">
        <f>((C681=TRUE)*F681*IF(AND(Inputs!$B$39&lt;&gt;"pvp",Inputs!$B$44&gt;0),(((R681-1)*MIN((Skills!T20*(1+Inputs!$B$35/100)),(1/Q681))+MIN((Skills!T20*(1+Inputs!$B$35/100)),MAX(0,Inputs!$B$44-((R681-1)*(1/Q681)))))/Inputs!$B$44),IF(Inputs!$B$39="pvp",MIN((Skills!T20*(1+Inputs!$B$35/100)),15)/15,MIN(1,(Skills!T20*(1+Inputs!$B$35/100))/(1/Q681)))))</f>
        <v/>
      </c>
    </row>
    <row r="692">
      <c r="A692" t="inlineStr">
        <is>
          <t>Actions Per Second</t>
        </is>
      </c>
      <c r="B692">
        <f>1+MIN(150,150*(1-(1-(((1-(1-Inputs!$B$12/150)*(1-1/150))*150)+((C682=TRUE)*(F682-Calc!F21)))/150)*(1-B691/150)))/100</f>
        <v/>
      </c>
    </row>
    <row r="693">
      <c r="A693" t="inlineStr">
        <is>
          <t>Skill + Buff Cast Rate</t>
        </is>
      </c>
      <c r="B693">
        <f>IF(AND(Inputs!$B$39&lt;&gt;"pvp",Inputs!$B$44&gt;0),SUMPRODUCT((Skills!E2:E26=TRUE)*(C663:C687=TRUE)*R663:R687*Skills!F2:F26)/Inputs!$B$44,SUMPRODUCT((Skills!E2:E26=TRUE)*(C663:C687=TRUE)*Q663:Q687*Skills!F2:F26))</f>
        <v/>
      </c>
    </row>
    <row r="694">
      <c r="A694" t="inlineStr">
        <is>
          <t>Dark Impale Casts Per Second</t>
        </is>
      </c>
      <c r="B694">
        <f>MAX(0,B692-B693)</f>
        <v/>
      </c>
    </row>
    <row r="695">
      <c r="A695" t="inlineStr">
        <is>
          <t>Global Critical Damage Bonus % (Lord of Darkness)</t>
        </is>
      </c>
      <c r="B695">
        <f>((C680=TRUE)*F680*(Skills!J19/100)*IF(AND(Inputs!$B$39&lt;&gt;"pvp",Inputs!$B$44&gt;0),(((R680-1)*MIN((Skills!T19*(1+Inputs!$B$35/100)),(1/Q680))+MIN((Skills!T19*(1+Inputs!$B$35/100)),MAX(0,Inputs!$B$44-((R680-1)*(1/Q680)))))/Inputs!$B$44),IF(Inputs!$B$39="pvp",MIN((Skills!T19*(1+Inputs!$B$35/100)),15)/15,MIN(1,(Skills!T19*(1+Inputs!$B$35/100))/(1/Q680)))))</f>
        <v/>
      </c>
    </row>
    <row r="696">
      <c r="A696" t="inlineStr">
        <is>
          <t>Global Final Damage Bonus % (unused)</t>
        </is>
      </c>
      <c r="B696" t="n">
        <v>0</v>
      </c>
    </row>
    <row r="697">
      <c r="A697" t="inlineStr">
        <is>
          <t>Buff-Casting Startup Delay (s, fixed-duration only)</t>
        </is>
      </c>
      <c r="B697">
        <f>IF(AND(Inputs!$B$39&lt;&gt;"pvp",Inputs!$B$44&gt;0),SUMPRODUCT((Skills!T2:T26&gt;0)*(Skills!E2:E26=TRUE)*(C663:C687=TRUE))/B692,0)</f>
        <v/>
      </c>
    </row>
    <row r="698">
      <c r="A698" t="inlineStr">
        <is>
          <t>Boss-Only Total DPS (this block's swept value)</t>
        </is>
      </c>
      <c r="B698">
        <f>SUM(T663:T687)</f>
        <v/>
      </c>
    </row>
    <row r="699">
      <c r="A699" t="inlineStr">
        <is>
          <t>Normal-Only Total DPS (this block's swept value)</t>
        </is>
      </c>
      <c r="B699">
        <f>SUM(V663:V687)</f>
        <v/>
      </c>
    </row>
    <row r="700">
      <c r="A700" s="6" t="inlineStr">
        <is>
          <t>TOTAL DPS</t>
        </is>
      </c>
      <c r="B700" s="6">
        <f>SUM(O663:O687)</f>
        <v/>
      </c>
    </row>
    <row r="703">
      <c r="A703" s="6" t="inlineStr">
        <is>
          <t>Stat: DEF_PEN % (diminishing returns, factor 100)</t>
        </is>
      </c>
    </row>
    <row r="704">
      <c r="A704" s="5" t="inlineStr">
        <is>
          <t>Key</t>
        </is>
      </c>
      <c r="B704" s="5" t="inlineStr">
        <is>
          <t>Name</t>
        </is>
      </c>
      <c r="C704" s="5" t="inlineStr">
        <is>
          <t>Unlocked</t>
        </is>
      </c>
      <c r="D704" s="5" t="inlineStr">
        <is>
          <t>InputLevel</t>
        </is>
      </c>
      <c r="E704" s="5" t="inlineStr">
        <is>
          <t>Factor</t>
        </is>
      </c>
      <c r="F704" s="5" t="inlineStr">
        <is>
          <t>CoefficientPercent</t>
        </is>
      </c>
      <c r="G704" s="5" t="inlineStr">
        <is>
          <t>EffectiveHits</t>
        </is>
      </c>
      <c r="H704" s="5" t="inlineStr">
        <is>
          <t>ProcProbability</t>
        </is>
      </c>
      <c r="I704" s="5" t="inlineStr">
        <is>
          <t>MapleHeroMultiplier</t>
        </is>
      </c>
      <c r="J704" s="5" t="inlineStr">
        <is>
          <t>BaseDamage</t>
        </is>
      </c>
      <c r="K704" s="5" t="inlineStr">
        <is>
          <t>BaseHitDamage</t>
        </is>
      </c>
      <c r="L704" s="5" t="inlineStr">
        <is>
          <t>NonCritAvg</t>
        </is>
      </c>
      <c r="M704" s="5" t="inlineStr">
        <is>
          <t>CritAvg</t>
        </is>
      </c>
      <c r="N704" s="5" t="inlineStr">
        <is>
          <t>ExpectedDamage(perHit)</t>
        </is>
      </c>
      <c r="O704" s="5" t="inlineStr">
        <is>
          <t>DPS</t>
        </is>
      </c>
      <c r="P704" s="5" t="inlineStr">
        <is>
          <t>% of Total</t>
        </is>
      </c>
      <c r="Q704" s="5" t="inlineStr">
        <is>
          <t>InvCooldown</t>
        </is>
      </c>
      <c r="R704" s="5" t="inlineStr">
        <is>
          <t>CastsInFight</t>
        </is>
      </c>
      <c r="S704" s="5" t="inlineStr">
        <is>
          <t>HitRate(perSec)</t>
        </is>
      </c>
      <c r="U704" t="inlineStr">
        <is>
          <t>helpers</t>
        </is>
      </c>
    </row>
    <row r="705">
      <c r="A705">
        <f>Skills!A2</f>
        <v/>
      </c>
      <c r="B705">
        <f>Skills!B2</f>
        <v/>
      </c>
      <c r="C705">
        <f>Inputs!$B$3&gt;=100</f>
        <v/>
      </c>
      <c r="D705" t="inlineStr"/>
      <c r="E705" t="inlineStr"/>
      <c r="F705">
        <f>U707+Skills!O2</f>
        <v/>
      </c>
      <c r="G705">
        <f>Skills!G2*IF(Skills!H2&gt;0,INT(IF(Inputs!$B$39="pvp",MIN(Skills!I2,15),Skills!I2)/Skills!H2+0.000000001),1)</f>
        <v/>
      </c>
      <c r="H705">
        <f>1-(1-Skills!J2/100)^Skills!K2</f>
        <v/>
      </c>
      <c r="I705" t="inlineStr">
        <is>
          <t>1</t>
        </is>
      </c>
      <c r="J705">
        <f>((Inputs!$B$6*(1+Inputs!$B$7/100))+(((Inputs!$B$13*(1+Inputs!$B$14/100))-(Inputs!$B$13*(1+Inputs!$B$14/100)))+0.25*(Inputs!$B$15-Inputs!$B$15))*(1+Inputs!$B$7/100))*(F705/100)</f>
        <v/>
      </c>
      <c r="K705">
        <f>J705*(1+(((Inputs!$B$13+IF(Inputs!$B$3&gt;=38,(10*INDEX(FactorTable!$B$2:$Y$301, MATCH(ROUND(MIN(300,MAX(1,Inputs!$B$3)),0), FactorTable!$A$2:$A$301,0), 23)/1000)/100*(Inputs!$B$8*(1+Inputs!$B$9/100)),0))*(1+Inputs!$B$14/100))*0.01+Inputs!$B$15*0.0025)/100)*(1+Inputs!$B$16/100)*(1+Inputs!$B$17/100)*(5000/(6000+Inputs!$B$43*(1-(((1-(1-Inputs!$B$20/100)*(1-1/100))*100)+0)/100)))*(1+(Inputs!$B$25+((C728=TRUE)*(F728-Calc!F25))+((C729=TRUE)*(F729-Calc!F26))+B738)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gt;=100),MIN(100,((Inputs!$B$10+0+B732+(ArtifactsInput!$M$24-ArtifactsInput!$M$24)*CHOOSE(ArtifactsInput!$N$24+1,10,12,14,16,18,20)+IF(ArtifactsInput!$M$10,CHOOSE(ArtifactsInput!$N$10+1,15,18,21,24,27,30)*(IF(Inputs!$B$39="pvp",MIN(15,15)/15,IF(AND(Inputs!$B$39&lt;&gt;"pvp",Inputs!$B$44&gt;0),MIN(15,Inputs!$B$44)/(Inputs!$B$44),0))),0)))-100),0))*CHOOSE(ArtifactsInput!$N$42+1,0.6,0.72,0.84,0.96,1.08,1.2))),Inputs!$B$19+((C726=TRUE)*(F726-Calc!F23))+(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gt;=100),CHOOSE(ArtifactsInput!$N$42+1,40,48,56,64,72,80),0))))/100)*((1+(((C716=TRUE)*F716*IF(AND(Inputs!$B$39&lt;&gt;"pvp",Inputs!$B$44&gt;0),(((R716-1)*MIN((Skills!T13*(1+Inputs!$B$35/100)),(1/Q716))+MIN((Skills!T13*(1+Inputs!$B$35/100)),MAX(0,Inputs!$B$44-((R716-1)*(1/Q716)))))/Inputs!$B$44),IF(Inputs!$B$39="pvp",MIN((Skills!T13*(1+Inputs!$B$35/100)),15)/15,MIN(1,(Skills!T13*(1+Inputs!$B$35/100))/(1/Q716)))))+((C717=TRUE)*F717*IF(AND(Inputs!$B$39&lt;&gt;"pvp",Inputs!$B$44&gt;0),(((R717-1)*MIN((Skills!T14*(1+Inputs!$B$35/100)),(1/Q717))+MIN((Skills!T14*(1+Inputs!$B$35/100)),MAX(0,Inputs!$B$44-((R717-1)*(1/Q717)))))/Inputs!$B$44),IF(Inputs!$B$39="pvp",MIN((Skills!T14*(1+Inputs!$B$35/100)),15)/15,MIN(1,(Skills!T14*(1+Inputs!$B$35/100))/(1/Q717)))))+((C718=TRUE)*F718*IF(AND(Inputs!$B$39&lt;&gt;"pvp",Inputs!$B$44&gt;0),(((R718-1)*MIN((Skills!T15*(1+Inputs!$B$35/100)),(1/Q718))+MIN((Skills!T15*(1+Inputs!$B$35/100)),MAX(0,Inputs!$B$44-((R718-1)*(1/Q718)))))/Inputs!$B$44),IF(Inputs!$B$39="pvp",MIN((Skills!T15*(1+Inputs!$B$35/100)),15)/15,MIN(1,(Skills!T15*(1+Inputs!$B$35/100))/(1/Q718)))))+((C719=TRUE)*F719*IF(AND(Inputs!$B$39&lt;&gt;"pvp",Inputs!$B$44&gt;0),(((R719-1)*MIN((Skills!T16*(1+Inputs!$B$35/100)),(1/Q719))+MIN((Skills!T16*(1+Inputs!$B$35/100)),MAX(0,Inputs!$B$44-((R719-1)*(1/Q719)))))/Inputs!$B$44),IF(Inputs!$B$39="pvp",MIN((Skills!T16*(1+Inputs!$B$35/100)),15)/15,MIN(1,(Skills!T16*(1+Inputs!$B$35/100))/(1/Q719)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705)</f>
        <v/>
      </c>
      <c r="L705">
        <f>K705*(MIN(Inputs!$B$23+((C725=TRUE)*(F725-Calc!F22)),(Inputs!$B$24+((C727=TRUE)*(F727-Calc!F24))+(IF(ArtifactsInput!$M$15,CHOOSE(ArtifactsInput!$N$15+1,25,30,35,40,45,50)/100*(Inputs!$B$12-Inputs!$B$12),0))))/100+(Inputs!$B$24+((C727=TRUE)*(F727-Calc!F24))+(IF(ArtifactsInput!$M$15,CHOOSE(ArtifactsInput!$N$15+1,25,30,35,40,45,50)/100*(Inputs!$B$12-Inputs!$B$12),0)))/100)/2</f>
        <v/>
      </c>
      <c r="M705">
        <f>L705*(1+(Inputs!$B$11+0+B737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705">
        <f>L705*(1-MIN((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705*(MIN((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05">
        <f>(1-Summary!$B$11)*T705+Summary!$B$11*V705</f>
        <v/>
      </c>
      <c r="P705">
        <f>IF(B742=0,0,O705/B742)</f>
        <v/>
      </c>
      <c r="Q705" t="n">
        <v>0</v>
      </c>
      <c r="R705" t="n">
        <v>0</v>
      </c>
      <c r="S705">
        <f>IFERROR(O705/N705,0)</f>
        <v/>
      </c>
      <c r="T705">
        <f>IF(C705,(Skills!G2*N705*B736)*IF(Inputs!$B$39="pvp",1,1+(Inputs!$B$21+0+Skills!P2+((C720=TRUE)*F720*IF(AND(Inputs!$B$39&lt;&gt;"pvp",Inputs!$B$44&gt;0),(((R720-1)*MIN((Skills!T17*(1+Inputs!$B$35/100)),(1/Q720))+MIN((Skills!T17*(1+Inputs!$B$35/100)),MAX(0,Inputs!$B$44-((R720-1)*(1/Q720)))))/Inputs!$B$44),IF(Inputs!$B$39="pvp",MIN((Skills!T17*(1+Inputs!$B$35/100)),15)/15,MIN(1,(Skills!T17*(1+Inputs!$B$35/100))/(1/Q720)))))+((C708=TRUE)*IF(Inputs!$B$3&gt;=126,10*MIN(1,15*Q708),0))+((C717=TRUE)*IF(Inputs!$B$39="pvp",20,(1-Summary!$B$11)*(20)+Summary!$B$11*(0))*IF(AND(Inputs!$B$39&lt;&gt;"pvp",Inputs!$B$44&gt;0),(((R717-1)*MIN((Skills!T14*(1+Inputs!$B$35/100)),(1/Q717))+MIN((Skills!T14*(1+Inputs!$B$35/100)),MAX(0,Inputs!$B$44-((R717-1)*(1/Q717)))))/Inputs!$B$44),IF(Inputs!$B$39="pvp",MIN((Skills!T14*(1+Inputs!$B$35/100)),15)/15,MIN(1,(Skills!T14*(1+Inputs!$B$35/100))/(1/Q717)))))+((C716=TRUE)*IF(Inputs!$B$3&gt;=82,IF(Inputs!$B$39="pvp",20,(1-Summary!$B$11)*(20)+Summary!$B$11*(0)),0)*IF(AND(Inputs!$B$39&lt;&gt;"pvp",Inputs!$B$44&gt;0),(((R716-1)*MIN((Skills!T13*(1+Inputs!$B$35/100)),(1/Q716))+MIN((Skills!T13*(1+Inputs!$B$35/100)),MAX(0,Inputs!$B$44-((R716-1)*(1/Q716)))))/Inputs!$B$44),IF(Inputs!$B$39="pvp",MIN((Skills!T13*(1+Inputs!$B$35/100)),15)/15,MIN(1,(Skills!T13*(1+Inputs!$B$35/100))/(1/Q716)))))+(IF(AND(ArtifactsInput!$M$35,Inputs!$B$4&lt;&gt;"Chapter Hunt"),CHOOSE(ArtifactsInput!$N$35+1,15,18,21,24,27,30)*(1-EXP(-(0.2*B734)*5)),0)+IF(AND(ArtifactsInput!$M$22,Inputs!$B$4&lt;&gt;"Chapter Hunt"),CHOOSE(ArtifactsInput!$N$22+1,10,12,14,16,18,20)*((0*(((0.15*B734*5))^0/1)+1*(((0.15*B734*5))^1/1)+2*(((0.15*B734*5))^2/2)+3*(((0.15*B734*5))^3/6)+4*(((0.15*B734*5))^4/24)+5*(((0.15*B734*5))^5/120))/((((0.15*B734*5))^0/1)+(((0.15*B734*5))^1/1)+(((0.15*B734*5))^2/2)+(((0.15*B734*5))^3/6)+(((0.15*B734*5))^4/24)+(((0.15*B734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(1-(1-Inputs!$B$20/100)*(1-1/100))*100)+0)/100)*(1-CHOOSE(ArtifactsInput!$N$40+1,5,6,7,8,9,10)/100)^(ArtifactsInput!$M$40-ArtifactsInput!$M$40)))/100)*(1-IF(ArtifactsInput!$M$40,CHOOSE(ArtifactsInput!$N$40+1,5,6,7,8,9,10),0)/100)^IF(Inputs!$B$39="pvp",1,2)))/100)))/(5000/(6000+Inputs!$B$43*(1-(100*(1-(1-(((1-(1-Inputs!$B$20/100)*(1-1/100))*100)+0)/100)*(1-CHOOSE(ArtifactsInput!$N$40+1,5,6,7,8,9,10)/100)^(ArtifactsInput!$M$40-ArtifactsInput!$M$40)))/100))))*((L705*(1-MIN(100,(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705*(MIN(100,(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705*(1-MIN(100,(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705*(MIN(100,(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705">
        <f>MAX(0,(Inputs!$B$3-100)*3)+Inputs!$B$29+Inputs!$B$30</f>
        <v/>
      </c>
      <c r="V705">
        <f>IF(C705,(Skills!G2*N705*B736)*IF(Inputs!$B$39="pvp",1,(1+(Inputs!$B$22+Skills!Q2+((C720=TRUE)*F720*IF(AND(Inputs!$B$39&lt;&gt;"pvp",Inputs!$B$44&gt;0),(((R720-1)*MIN((Skills!T17*(1+Inputs!$B$35/100)),(1/Q720))+MIN((Skills!T17*(1+Inputs!$B$35/100)),MAX(0,Inputs!$B$44-((R720-1)*(1/Q720)))))/Inputs!$B$44),IF(Inputs!$B$39="pvp",MIN((Skills!T17*(1+Inputs!$B$35/100)),15)/15,MIN(1,(Skills!T17*(1+Inputs!$B$35/100))/(1/Q720)))))+((C708=TRUE)*IF(Inputs!$B$3&gt;=126,10*MIN(1,15*Q708),0))+((C717=TRUE)*IF(Inputs!$B$39="pvp",20,(1-Summary!$B$11)*(20)+Summary!$B$11*(0))*IF(AND(Inputs!$B$39&lt;&gt;"pvp",Inputs!$B$44&gt;0),(((R717-1)*MIN((Skills!T14*(1+Inputs!$B$35/100)),(1/Q717))+MIN((Skills!T14*(1+Inputs!$B$35/100)),MAX(0,Inputs!$B$44-((R717-1)*(1/Q717)))))/Inputs!$B$44),IF(Inputs!$B$39="pvp",MIN((Skills!T14*(1+Inputs!$B$35/100)),15)/15,MIN(1,(Skills!T14*(1+Inputs!$B$35/100))/(1/Q717)))))+((C716=TRUE)*IF(Inputs!$B$3&gt;=82,IF(Inputs!$B$39="pvp",20,(1-Summary!$B$11)*(20)+Summary!$B$11*(0)),0)*IF(AND(Inputs!$B$39&lt;&gt;"pvp",Inputs!$B$44&gt;0),(((R716-1)*MIN((Skills!T13*(1+Inputs!$B$35/100)),(1/Q716))+MIN((Skills!T13*(1+Inputs!$B$35/100)),MAX(0,Inputs!$B$44-((R716-1)*(1/Q716)))))/Inputs!$B$44),IF(Inputs!$B$39="pvp",MIN((Skills!T13*(1+Inputs!$B$35/100)),15)/15,MIN(1,(Skills!T13*(1+Inputs!$B$35/100))/(1/Q716)))))+(IF(AND(ArtifactsInput!$M$35,Inputs!$B$4&lt;&gt;"Chapter Hunt"),CHOOSE(ArtifactsInput!$N$35+1,15,18,21,24,27,30)*(1-EXP(-(0.2*B734)*5)),0)+IF(AND(ArtifactsInput!$M$22,Inputs!$B$4&lt;&gt;"Chapter Hunt"),CHOOSE(ArtifactsInput!$N$22+1,10,12,14,16,18,20)*((0*(((0.15*B734*5))^0/1)+1*(((0.15*B734*5))^1/1)+2*(((0.15*B734*5))^2/2)+3*(((0.15*B734*5))^3/6)+4*(((0.15*B734*5))^4/24)+5*(((0.15*B734*5))^5/120))/((((0.15*B734*5))^0/1)+(((0.15*B734*5))^1/1)+(((0.15*B734*5))^2/2)+(((0.15*B734*5))^3/6)+(((0.15*B734*5))^4/24)+(((0.15*B734*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06">
      <c r="A706">
        <f>Skills!A3</f>
        <v/>
      </c>
      <c r="B706">
        <f>Skills!B3</f>
        <v/>
      </c>
      <c r="C706">
        <f>Inputs!$B$3&gt;=50</f>
        <v/>
      </c>
      <c r="D706">
        <f>IF(Skills!C3=1,60+Inputs!$B$26+Inputs!$B$30,IF(Skills!C3=2,90+Inputs!$B$27+Inputs!$B$30,IF(Skills!C3=3,120+Inputs!$B$28+Inputs!$B$30,MAX(0,(Inputs!$B$3-100)*3)+Inputs!$B$29+Inputs!$B$30)))</f>
        <v/>
      </c>
      <c r="E706">
        <f>INDEX(FactorTable!$B$2:$Y$301, MATCH(ROUND(MIN(300,MAX(1,D706)),0), FactorTable!$A$2:$A$301,0), Skills!M3+1)</f>
        <v/>
      </c>
      <c r="F706">
        <f>IF(Skills!N3=TRUE,(Skills!L3/10)*(E706/1000),Skills!L3/10)+Skills!O3</f>
        <v/>
      </c>
      <c r="G706" t="inlineStr"/>
      <c r="H706" t="inlineStr"/>
      <c r="I706" t="inlineStr">
        <is>
          <t>1</t>
        </is>
      </c>
      <c r="J706" t="inlineStr"/>
      <c r="K706" t="inlineStr"/>
      <c r="L706" t="inlineStr"/>
      <c r="M706" t="inlineStr"/>
      <c r="N706" t="inlineStr"/>
      <c r="O706" t="inlineStr"/>
      <c r="P706" t="inlineStr"/>
      <c r="Q706" t="inlineStr"/>
      <c r="R706" t="inlineStr"/>
      <c r="S706" t="inlineStr"/>
      <c r="U706">
        <f>INDEX(FactorTable!$B$2:$Y$301, MATCH(ROUND(MIN(300,MAX(1,U705)),0), FactorTable!$A$2:$A$301,0), 22)</f>
        <v/>
      </c>
    </row>
    <row r="707">
      <c r="A707">
        <f>Skills!A4</f>
        <v/>
      </c>
      <c r="B707">
        <f>Skills!B4</f>
        <v/>
      </c>
      <c r="C707">
        <f>Inputs!$B$3&gt;=105</f>
        <v/>
      </c>
      <c r="D707">
        <f>IF(Skills!C4=1,60+Inputs!$B$26+Inputs!$B$30,IF(Skills!C4=2,90+Inputs!$B$27+Inputs!$B$30,IF(Skills!C4=3,120+Inputs!$B$28+Inputs!$B$30,MAX(0,(Inputs!$B$3-100)*3)+Inputs!$B$29+Inputs!$B$30)))</f>
        <v/>
      </c>
      <c r="E707">
        <f>INDEX(FactorTable!$B$2:$Y$301, MATCH(ROUND(MIN(300,MAX(1,D707)),0), FactorTable!$A$2:$A$301,0), Skills!M4+1)</f>
        <v/>
      </c>
      <c r="F707">
        <f>IF(Skills!N4=TRUE,(Skills!L4/10)*(E707/1000),Skills!L4/10)+Skills!O4</f>
        <v/>
      </c>
      <c r="G707" t="inlineStr"/>
      <c r="H707" t="inlineStr"/>
      <c r="I707" t="inlineStr">
        <is>
          <t>1</t>
        </is>
      </c>
      <c r="J707" t="inlineStr"/>
      <c r="K707" t="inlineStr"/>
      <c r="L707" t="inlineStr"/>
      <c r="M707" t="inlineStr"/>
      <c r="N707" t="inlineStr"/>
      <c r="O707" t="inlineStr"/>
      <c r="P707" t="inlineStr"/>
      <c r="Q707" t="inlineStr"/>
      <c r="R707" t="inlineStr"/>
      <c r="S707" t="inlineStr"/>
      <c r="U707">
        <f>290*U706/1000</f>
        <v/>
      </c>
    </row>
    <row r="708">
      <c r="A708">
        <f>Skills!A5</f>
        <v/>
      </c>
      <c r="B708">
        <f>Skills!B5</f>
        <v/>
      </c>
      <c r="C708">
        <f>Inputs!$B$3&gt;=117</f>
        <v/>
      </c>
      <c r="D708">
        <f>IF(Skills!C5=1,60+Inputs!$B$26+Inputs!$B$30,IF(Skills!C5=2,90+Inputs!$B$27+Inputs!$B$30,IF(Skills!C5=3,120+Inputs!$B$28+Inputs!$B$30,MAX(0,(Inputs!$B$3-100)*3)+Inputs!$B$29+Inputs!$B$30)))</f>
        <v/>
      </c>
      <c r="E708">
        <f>INDEX(FactorTable!$B$2:$Y$301, MATCH(ROUND(MIN(300,MAX(1,D708)),0), FactorTable!$A$2:$A$301,0), Skills!M5+1)</f>
        <v/>
      </c>
      <c r="F708">
        <f>IF(Skills!N5=TRUE,(Skills!L5/10)*(E708/1000),Skills!L5/10)+Skills!O5</f>
        <v/>
      </c>
      <c r="G708">
        <f>Skills!G5*IF(Skills!H5&gt;0,INT(IF(Inputs!$B$39="pvp",MIN(Skills!I5,15),Skills!I5)/Skills!H5+0.000000001),1)</f>
        <v/>
      </c>
      <c r="H708">
        <f>1-(1-Skills!J5/100)^Skills!K5</f>
        <v/>
      </c>
      <c r="I708" t="inlineStr">
        <is>
          <t>1</t>
        </is>
      </c>
      <c r="J708">
        <f>((Inputs!$B$6*(1+Inputs!$B$7/100))+(((Inputs!$B$13*(1+Inputs!$B$14/100))-(Inputs!$B$13*(1+Inputs!$B$14/100)))+0.25*(Inputs!$B$15-Inputs!$B$15))*(1+Inputs!$B$7/100))*(F708/100)</f>
        <v/>
      </c>
      <c r="K708">
        <f>J708*(1+(((Inputs!$B$13+IF(Inputs!$B$3&gt;=38,(10*INDEX(FactorTable!$B$2:$Y$301, MATCH(ROUND(MIN(300,MAX(1,Inputs!$B$3)),0), FactorTable!$A$2:$A$301,0), 23)/1000)/100*(Inputs!$B$8*(1+Inputs!$B$9/100)),0))*(1+Inputs!$B$14/100))*0.01+Inputs!$B$15*0.0025)/100)*(1+Inputs!$B$16/100)*(1+Inputs!$B$17/100)*(5000/(6000+Inputs!$B$43*(1-(((1-(1-Inputs!$B$20/100)*(1-1/100))*100)+0)/100)))*(1+(Inputs!$B$25+((C728=TRUE)*(F728-Calc!F25))+((C729=TRUE)*(F729-Calc!F26))+B738)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gt;=100),MIN(100,((Inputs!$B$10+0+B732+(ArtifactsInput!$M$24-ArtifactsInput!$M$24)*CHOOSE(ArtifactsInput!$N$24+1,10,12,14,16,18,20)+IF(ArtifactsInput!$M$10,CHOOSE(ArtifactsInput!$N$10+1,15,18,21,24,27,30)*(IF(Inputs!$B$39="pvp",MIN(15,15)/15,IF(AND(Inputs!$B$39&lt;&gt;"pvp",Inputs!$B$44&gt;0),MIN(15,Inputs!$B$44)/(Inputs!$B$44),0))),0)))-100),0))*CHOOSE(ArtifactsInput!$N$42+1,0.6,0.72,0.84,0.96,1.08,1.2))),Inputs!$B$19+((C726=TRUE)*(F726-Calc!F23))+(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gt;=100),CHOOSE(ArtifactsInput!$N$42+1,40,48,56,64,72,80),0))))/100)*((1+(((C716=TRUE)*F716*IF(AND(Inputs!$B$39&lt;&gt;"pvp",Inputs!$B$44&gt;0),(((R716-1)*MIN((Skills!T13*(1+Inputs!$B$35/100)),(1/Q716))+MIN((Skills!T13*(1+Inputs!$B$35/100)),MAX(0,Inputs!$B$44-((R716-1)*(1/Q716)))))/Inputs!$B$44),IF(Inputs!$B$39="pvp",MIN((Skills!T13*(1+Inputs!$B$35/100)),15)/15,MIN(1,(Skills!T13*(1+Inputs!$B$35/100))/(1/Q716)))))+((C717=TRUE)*F717*IF(AND(Inputs!$B$39&lt;&gt;"pvp",Inputs!$B$44&gt;0),(((R717-1)*MIN((Skills!T14*(1+Inputs!$B$35/100)),(1/Q717))+MIN((Skills!T14*(1+Inputs!$B$35/100)),MAX(0,Inputs!$B$44-((R717-1)*(1/Q717)))))/Inputs!$B$44),IF(Inputs!$B$39="pvp",MIN((Skills!T14*(1+Inputs!$B$35/100)),15)/15,MIN(1,(Skills!T14*(1+Inputs!$B$35/100))/(1/Q717)))))+((C718=TRUE)*F718*IF(AND(Inputs!$B$39&lt;&gt;"pvp",Inputs!$B$44&gt;0),(((R718-1)*MIN((Skills!T15*(1+Inputs!$B$35/100)),(1/Q718))+MIN((Skills!T15*(1+Inputs!$B$35/100)),MAX(0,Inputs!$B$44-((R718-1)*(1/Q718)))))/Inputs!$B$44),IF(Inputs!$B$39="pvp",MIN((Skills!T15*(1+Inputs!$B$35/100)),15)/15,MIN(1,(Skills!T15*(1+Inputs!$B$35/100))/(1/Q718)))))+((C719=TRUE)*F719*IF(AND(Inputs!$B$39&lt;&gt;"pvp",Inputs!$B$44&gt;0),(((R719-1)*MIN((Skills!T16*(1+Inputs!$B$35/100)),(1/Q719))+MIN((Skills!T16*(1+Inputs!$B$35/100)),MAX(0,Inputs!$B$44-((R719-1)*(1/Q719)))))/Inputs!$B$44),IF(Inputs!$B$39="pvp",MIN((Skills!T16*(1+Inputs!$B$35/100)),15)/15,MIN(1,(Skills!T16*(1+Inputs!$B$35/100))/(1/Q719)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708)</f>
        <v/>
      </c>
      <c r="L708">
        <f>K708*(MIN(Inputs!$B$23+((C725=TRUE)*(F725-Calc!F22)),(Inputs!$B$24+((C727=TRUE)*(F727-Calc!F24))+(IF(ArtifactsInput!$M$15,CHOOSE(ArtifactsInput!$N$15+1,25,30,35,40,45,50)/100*(Inputs!$B$12-Inputs!$B$12),0))))/100+(Inputs!$B$24+((C727=TRUE)*(F727-Calc!F24))+(IF(ArtifactsInput!$M$15,CHOOSE(ArtifactsInput!$N$15+1,25,30,35,40,45,50)/100*(Inputs!$B$12-Inputs!$B$12),0)))/100)/2</f>
        <v/>
      </c>
      <c r="M708">
        <f>L708*(1+(Inputs!$B$11+0+B737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708">
        <f>L708*(1-MIN((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708*(MIN((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08">
        <f>(1-Summary!$B$11)*T708+Summary!$B$11*V708</f>
        <v/>
      </c>
      <c r="P708">
        <f>IF(B742=0,0,O708/B742)</f>
        <v/>
      </c>
      <c r="Q708">
        <f>IFERROR(1/IF(Inputs!$B$39="pvp",15,MAX(0.1,Skills!D5-IF(TRUE=TRUE,Inputs!$B$33,0))),0)</f>
        <v/>
      </c>
      <c r="R708">
        <f>IF(AND(Inputs!$B$39&lt;&gt;"pvp",Inputs!$B$44&gt;0),IF(MAX(0,Inputs!$B$44-B739)&lt;=0,0,(INT(MAX(0,Inputs!$B$44-B739)/IF(Inputs!$B$39="pvp",15,MAX(0.1,Skills!D5-IF(TRUE=TRUE,Inputs!$B$33,0))))+1)),0)</f>
        <v/>
      </c>
      <c r="S708">
        <f>IFERROR(O708/N708,0)</f>
        <v/>
      </c>
      <c r="T708">
        <f>IF(C708,(H708*N708*IF(AND(Inputs!$B$39&lt;&gt;"pvp",Inputs!$B$44&gt;0),((Skills!G5*((R708-1)*IF(Skills!H5&gt;0,INT(Skills!I5/Skills!H5+0.000000001),1)+IF(Skills!H5&gt;0,INT(MIN(Skills!I5,MAX(0,MAX(0,Inputs!$B$44-B739)-((R708-1)*IF(Inputs!$B$39="pvp",15,MAX(0.1,Skills!D5-IF(TRUE=TRUE,Inputs!$B$33,0))))))/Skills!H5+0.000000001),1)))/Inputs!$B$44),G708*Q708))*IF(Inputs!$B$39="pvp",1,1+(Inputs!$B$21+0+Skills!P5+((C720=TRUE)*F720*IF(AND(Inputs!$B$39&lt;&gt;"pvp",Inputs!$B$44&gt;0),(((R720-1)*MIN((Skills!T17*(1+Inputs!$B$35/100)),(1/Q720))+MIN((Skills!T17*(1+Inputs!$B$35/100)),MAX(0,Inputs!$B$44-((R720-1)*(1/Q720)))))/Inputs!$B$44),IF(Inputs!$B$39="pvp",MIN((Skills!T17*(1+Inputs!$B$35/100)),15)/15,MIN(1,(Skills!T17*(1+Inputs!$B$35/100))/(1/Q720)))))+((C708=TRUE)*IF(Inputs!$B$3&gt;=126,10*MIN(1,15*Q708),0))+((C717=TRUE)*IF(Inputs!$B$39="pvp",20,(1-Summary!$B$11)*(20)+Summary!$B$11*(0))*IF(AND(Inputs!$B$39&lt;&gt;"pvp",Inputs!$B$44&gt;0),(((R717-1)*MIN((Skills!T14*(1+Inputs!$B$35/100)),(1/Q717))+MIN((Skills!T14*(1+Inputs!$B$35/100)),MAX(0,Inputs!$B$44-((R717-1)*(1/Q717)))))/Inputs!$B$44),IF(Inputs!$B$39="pvp",MIN((Skills!T14*(1+Inputs!$B$35/100)),15)/15,MIN(1,(Skills!T14*(1+Inputs!$B$35/100))/(1/Q717)))))+((C716=TRUE)*IF(Inputs!$B$3&gt;=82,IF(Inputs!$B$39="pvp",20,(1-Summary!$B$11)*(20)+Summary!$B$11*(0)),0)*IF(AND(Inputs!$B$39&lt;&gt;"pvp",Inputs!$B$44&gt;0),(((R716-1)*MIN((Skills!T13*(1+Inputs!$B$35/100)),(1/Q716))+MIN((Skills!T13*(1+Inputs!$B$35/100)),MAX(0,Inputs!$B$44-((R716-1)*(1/Q716)))))/Inputs!$B$44),IF(Inputs!$B$39="pvp",MIN((Skills!T13*(1+Inputs!$B$35/100)),15)/15,MIN(1,(Skills!T13*(1+Inputs!$B$35/100))/(1/Q716)))))+(IF(AND(ArtifactsInput!$M$35,Inputs!$B$4&lt;&gt;"Chapter Hunt"),CHOOSE(ArtifactsInput!$N$35+1,15,18,21,24,27,30)*(1-EXP(-(0.2*B734)*5)),0)+IF(AND(ArtifactsInput!$M$22,Inputs!$B$4&lt;&gt;"Chapter Hunt"),CHOOSE(ArtifactsInput!$N$22+1,10,12,14,16,18,20)*((0*(((0.15*B734*5))^0/1)+1*(((0.15*B734*5))^1/1)+2*(((0.15*B734*5))^2/2)+3*(((0.15*B734*5))^3/6)+4*(((0.15*B734*5))^4/24)+5*(((0.15*B734*5))^5/120))/((((0.15*B734*5))^0/1)+(((0.15*B734*5))^1/1)+(((0.15*B734*5))^2/2)+(((0.15*B734*5))^3/6)+(((0.15*B734*5))^4/24)+(((0.15*B734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(1-(1-Inputs!$B$20/100)*(1-1/100))*100)+0)/100)*(1-CHOOSE(ArtifactsInput!$N$40+1,5,6,7,8,9,10)/100)^(ArtifactsInput!$M$40-ArtifactsInput!$M$40)))/100)*(1-IF(ArtifactsInput!$M$40,CHOOSE(ArtifactsInput!$N$40+1,5,6,7,8,9,10),0)/100)^IF(Inputs!$B$39="pvp",1,2)))/100)))/(5000/(6000+Inputs!$B$43*(1-(100*(1-(1-(((1-(1-Inputs!$B$20/100)*(1-1/100))*100)+0)/100)*(1-CHOOSE(ArtifactsInput!$N$40+1,5,6,7,8,9,10)/100)^(ArtifactsInput!$M$40-ArtifactsInput!$M$40)))/100))))*((L708*(1-MIN(100,(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708*(MIN(100,(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708*(1-MIN(100,(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708*(MIN(100,(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08">
        <f>IF(C708,(H708*N708*IF(AND(Inputs!$B$39&lt;&gt;"pvp",Inputs!$B$44&gt;0),((Skills!G5*((R708-1)*IF(Skills!H5&gt;0,INT(Skills!I5/Skills!H5+0.000000001),1)+IF(Skills!H5&gt;0,INT(MIN(Skills!I5,MAX(0,MAX(0,Inputs!$B$44-B739)-((R708-1)*IF(Inputs!$B$39="pvp",15,MAX(0.1,Skills!D5-IF(TRUE=TRUE,Inputs!$B$33,0))))))/Skills!H5+0.000000001),1)))/Inputs!$B$44),G708*Q708))*IF(Inputs!$B$39="pvp",1,(1+(Inputs!$B$22+Skills!Q5+((C720=TRUE)*F720*IF(AND(Inputs!$B$39&lt;&gt;"pvp",Inputs!$B$44&gt;0),(((R720-1)*MIN((Skills!T17*(1+Inputs!$B$35/100)),(1/Q720))+MIN((Skills!T17*(1+Inputs!$B$35/100)),MAX(0,Inputs!$B$44-((R720-1)*(1/Q720)))))/Inputs!$B$44),IF(Inputs!$B$39="pvp",MIN((Skills!T17*(1+Inputs!$B$35/100)),15)/15,MIN(1,(Skills!T17*(1+Inputs!$B$35/100))/(1/Q720)))))+((C708=TRUE)*IF(Inputs!$B$3&gt;=126,10*MIN(1,15*Q708),0))+((C717=TRUE)*IF(Inputs!$B$39="pvp",20,(1-Summary!$B$11)*(20)+Summary!$B$11*(0))*IF(AND(Inputs!$B$39&lt;&gt;"pvp",Inputs!$B$44&gt;0),(((R717-1)*MIN((Skills!T14*(1+Inputs!$B$35/100)),(1/Q717))+MIN((Skills!T14*(1+Inputs!$B$35/100)),MAX(0,Inputs!$B$44-((R717-1)*(1/Q717)))))/Inputs!$B$44),IF(Inputs!$B$39="pvp",MIN((Skills!T14*(1+Inputs!$B$35/100)),15)/15,MIN(1,(Skills!T14*(1+Inputs!$B$35/100))/(1/Q717)))))+((C716=TRUE)*IF(Inputs!$B$3&gt;=82,IF(Inputs!$B$39="pvp",20,(1-Summary!$B$11)*(20)+Summary!$B$11*(0)),0)*IF(AND(Inputs!$B$39&lt;&gt;"pvp",Inputs!$B$44&gt;0),(((R716-1)*MIN((Skills!T13*(1+Inputs!$B$35/100)),(1/Q716))+MIN((Skills!T13*(1+Inputs!$B$35/100)),MAX(0,Inputs!$B$44-((R716-1)*(1/Q716)))))/Inputs!$B$44),IF(Inputs!$B$39="pvp",MIN((Skills!T13*(1+Inputs!$B$35/100)),15)/15,MIN(1,(Skills!T13*(1+Inputs!$B$35/100))/(1/Q716)))))+(IF(AND(ArtifactsInput!$M$35,Inputs!$B$4&lt;&gt;"Chapter Hunt"),CHOOSE(ArtifactsInput!$N$35+1,15,18,21,24,27,30)*(1-EXP(-(0.2*B734)*5)),0)+IF(AND(ArtifactsInput!$M$22,Inputs!$B$4&lt;&gt;"Chapter Hunt"),CHOOSE(ArtifactsInput!$N$22+1,10,12,14,16,18,20)*((0*(((0.15*B734*5))^0/1)+1*(((0.15*B734*5))^1/1)+2*(((0.15*B734*5))^2/2)+3*(((0.15*B734*5))^3/6)+4*(((0.15*B734*5))^4/24)+5*(((0.15*B734*5))^5/120))/((((0.15*B734*5))^0/1)+(((0.15*B734*5))^1/1)+(((0.15*B734*5))^2/2)+(((0.15*B734*5))^3/6)+(((0.15*B734*5))^4/24)+(((0.15*B734*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09">
      <c r="A709">
        <f>Skills!A6</f>
        <v/>
      </c>
      <c r="B709">
        <f>Skills!B6</f>
        <v/>
      </c>
      <c r="C709">
        <f>Inputs!$B$3&gt;=103</f>
        <v/>
      </c>
      <c r="D709">
        <f>IF(Skills!C6=1,60+Inputs!$B$26+Inputs!$B$30,IF(Skills!C6=2,90+Inputs!$B$27+Inputs!$B$30,IF(Skills!C6=3,120+Inputs!$B$28+Inputs!$B$30,MAX(0,(Inputs!$B$3-100)*3)+Inputs!$B$29+Inputs!$B$30)))</f>
        <v/>
      </c>
      <c r="E709">
        <f>INDEX(FactorTable!$B$2:$Y$301, MATCH(ROUND(MIN(300,MAX(1,D709)),0), FactorTable!$A$2:$A$301,0), Skills!M6+1)</f>
        <v/>
      </c>
      <c r="F709">
        <f>IF(Skills!N6=TRUE,(Skills!L6/10)*(E709/1000),Skills!L6/10)+Skills!O6</f>
        <v/>
      </c>
      <c r="G709">
        <f>Skills!G6*IF(Skills!H6&gt;0,INT(IF(Inputs!$B$39="pvp",MIN(Skills!I6,15),Skills!I6)/Skills!H6+0.000000001),1)</f>
        <v/>
      </c>
      <c r="H709">
        <f>1-(1-Skills!J6/100)^Skills!K6</f>
        <v/>
      </c>
      <c r="I709" t="inlineStr">
        <is>
          <t>1</t>
        </is>
      </c>
      <c r="J709">
        <f>((Inputs!$B$6*(1+Inputs!$B$7/100))+(((Inputs!$B$13*(1+Inputs!$B$14/100))-(Inputs!$B$13*(1+Inputs!$B$14/100)))+0.25*(Inputs!$B$15-Inputs!$B$15))*(1+Inputs!$B$7/100))*(F709/100)</f>
        <v/>
      </c>
      <c r="K709">
        <f>J709*(1+(((Inputs!$B$13+IF(Inputs!$B$3&gt;=38,(10*INDEX(FactorTable!$B$2:$Y$301, MATCH(ROUND(MIN(300,MAX(1,Inputs!$B$3)),0), FactorTable!$A$2:$A$301,0), 23)/1000)/100*(Inputs!$B$8*(1+Inputs!$B$9/100)),0))*(1+Inputs!$B$14/100))*0.01+Inputs!$B$15*0.0025)/100)*(1+Inputs!$B$16/100)*(1+Inputs!$B$17/100)*(5000/(6000+Inputs!$B$43*(1-(((1-(1-Inputs!$B$20/100)*(1-1/100))*100)+0)/100)))*(1+(Inputs!$B$25+((C728=TRUE)*(F728-Calc!F25))+((C729=TRUE)*(F729-Calc!F26))+B738)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gt;=100),MIN(100,((Inputs!$B$10+0+B732+(ArtifactsInput!$M$24-ArtifactsInput!$M$24)*CHOOSE(ArtifactsInput!$N$24+1,10,12,14,16,18,20)+IF(ArtifactsInput!$M$10,CHOOSE(ArtifactsInput!$N$10+1,15,18,21,24,27,30)*(IF(Inputs!$B$39="pvp",MIN(15,15)/15,IF(AND(Inputs!$B$39&lt;&gt;"pvp",Inputs!$B$44&gt;0),MIN(15,Inputs!$B$44)/(Inputs!$B$44),0))),0)))-100),0))*CHOOSE(ArtifactsInput!$N$42+1,0.6,0.72,0.84,0.96,1.08,1.2))),Inputs!$B$19+((C726=TRUE)*(F726-Calc!F23))+(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gt;=100),CHOOSE(ArtifactsInput!$N$42+1,40,48,56,64,72,80),0))))/100)*((1+(((C716=TRUE)*F716*IF(AND(Inputs!$B$39&lt;&gt;"pvp",Inputs!$B$44&gt;0),(((R716-1)*MIN((Skills!T13*(1+Inputs!$B$35/100)),(1/Q716))+MIN((Skills!T13*(1+Inputs!$B$35/100)),MAX(0,Inputs!$B$44-((R716-1)*(1/Q716)))))/Inputs!$B$44),IF(Inputs!$B$39="pvp",MIN((Skills!T13*(1+Inputs!$B$35/100)),15)/15,MIN(1,(Skills!T13*(1+Inputs!$B$35/100))/(1/Q716)))))+((C717=TRUE)*F717*IF(AND(Inputs!$B$39&lt;&gt;"pvp",Inputs!$B$44&gt;0),(((R717-1)*MIN((Skills!T14*(1+Inputs!$B$35/100)),(1/Q717))+MIN((Skills!T14*(1+Inputs!$B$35/100)),MAX(0,Inputs!$B$44-((R717-1)*(1/Q717)))))/Inputs!$B$44),IF(Inputs!$B$39="pvp",MIN((Skills!T14*(1+Inputs!$B$35/100)),15)/15,MIN(1,(Skills!T14*(1+Inputs!$B$35/100))/(1/Q717)))))+((C718=TRUE)*F718*IF(AND(Inputs!$B$39&lt;&gt;"pvp",Inputs!$B$44&gt;0),(((R718-1)*MIN((Skills!T15*(1+Inputs!$B$35/100)),(1/Q718))+MIN((Skills!T15*(1+Inputs!$B$35/100)),MAX(0,Inputs!$B$44-((R718-1)*(1/Q718)))))/Inputs!$B$44),IF(Inputs!$B$39="pvp",MIN((Skills!T15*(1+Inputs!$B$35/100)),15)/15,MIN(1,(Skills!T15*(1+Inputs!$B$35/100))/(1/Q718)))))+((C719=TRUE)*F719*IF(AND(Inputs!$B$39&lt;&gt;"pvp",Inputs!$B$44&gt;0),(((R719-1)*MIN((Skills!T16*(1+Inputs!$B$35/100)),(1/Q719))+MIN((Skills!T16*(1+Inputs!$B$35/100)),MAX(0,Inputs!$B$44-((R719-1)*(1/Q719)))))/Inputs!$B$44),IF(Inputs!$B$39="pvp",MIN((Skills!T16*(1+Inputs!$B$35/100)),15)/15,MIN(1,(Skills!T16*(1+Inputs!$B$35/100))/(1/Q719)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709)</f>
        <v/>
      </c>
      <c r="L709">
        <f>K709*(MIN(Inputs!$B$23+((C725=TRUE)*(F725-Calc!F22)),(Inputs!$B$24+((C727=TRUE)*(F727-Calc!F24))+(IF(ArtifactsInput!$M$15,CHOOSE(ArtifactsInput!$N$15+1,25,30,35,40,45,50)/100*(Inputs!$B$12-Inputs!$B$12),0))))/100+(Inputs!$B$24+((C727=TRUE)*(F727-Calc!F24))+(IF(ArtifactsInput!$M$15,CHOOSE(ArtifactsInput!$N$15+1,25,30,35,40,45,50)/100*(Inputs!$B$12-Inputs!$B$12),0)))/100)/2</f>
        <v/>
      </c>
      <c r="M709">
        <f>L709*(1+(Inputs!$B$11+0+B737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709">
        <f>L709*(1-MIN((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709*(MIN((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09">
        <f>(1-Summary!$B$11)*T709+Summary!$B$11*V709</f>
        <v/>
      </c>
      <c r="P709">
        <f>IF(B742=0,0,O709/B742)</f>
        <v/>
      </c>
      <c r="Q709">
        <f>IFERROR(1/IF(Inputs!$B$39="pvp",15,MAX(0.1,Skills!D6-IF(TRUE=TRUE,Inputs!$B$33,0))),0)</f>
        <v/>
      </c>
      <c r="R709">
        <f>IF(AND(Inputs!$B$39&lt;&gt;"pvp",Inputs!$B$44&gt;0),IF(MAX(0,Inputs!$B$44-B739)&lt;=0,0,(INT(MAX(0,Inputs!$B$44-B739)/IF(Inputs!$B$39="pvp",15,MAX(0.1,Skills!D6-IF(TRUE=TRUE,Inputs!$B$33,0))))+1)),0)</f>
        <v/>
      </c>
      <c r="S709">
        <f>IFERROR(O709/N709,0)</f>
        <v/>
      </c>
      <c r="T709">
        <f>IF(C709,(H709*N709*IF(AND(Inputs!$B$39&lt;&gt;"pvp",Inputs!$B$44&gt;0),((Skills!G6*((R709-1)*IF(Skills!H6&gt;0,INT(Skills!I6/Skills!H6+0.000000001),1)+IF(Skills!H6&gt;0,INT(MIN(Skills!I6,MAX(0,MAX(0,Inputs!$B$44-B739)-((R709-1)*IF(Inputs!$B$39="pvp",15,MAX(0.1,Skills!D6-IF(TRUE=TRUE,Inputs!$B$33,0))))))/Skills!H6+0.000000001),1)))/Inputs!$B$44),G709*Q709))*IF(Inputs!$B$39="pvp",1,1+(Inputs!$B$21+0+Skills!P6+((C720=TRUE)*F720*IF(AND(Inputs!$B$39&lt;&gt;"pvp",Inputs!$B$44&gt;0),(((R720-1)*MIN((Skills!T17*(1+Inputs!$B$35/100)),(1/Q720))+MIN((Skills!T17*(1+Inputs!$B$35/100)),MAX(0,Inputs!$B$44-((R720-1)*(1/Q720)))))/Inputs!$B$44),IF(Inputs!$B$39="pvp",MIN((Skills!T17*(1+Inputs!$B$35/100)),15)/15,MIN(1,(Skills!T17*(1+Inputs!$B$35/100))/(1/Q720)))))+((C708=TRUE)*IF(Inputs!$B$3&gt;=126,10*MIN(1,15*Q708),0))+((C717=TRUE)*IF(Inputs!$B$39="pvp",20,(1-Summary!$B$11)*(20)+Summary!$B$11*(0))*IF(AND(Inputs!$B$39&lt;&gt;"pvp",Inputs!$B$44&gt;0),(((R717-1)*MIN((Skills!T14*(1+Inputs!$B$35/100)),(1/Q717))+MIN((Skills!T14*(1+Inputs!$B$35/100)),MAX(0,Inputs!$B$44-((R717-1)*(1/Q717)))))/Inputs!$B$44),IF(Inputs!$B$39="pvp",MIN((Skills!T14*(1+Inputs!$B$35/100)),15)/15,MIN(1,(Skills!T14*(1+Inputs!$B$35/100))/(1/Q717)))))+((C716=TRUE)*IF(Inputs!$B$3&gt;=82,IF(Inputs!$B$39="pvp",20,(1-Summary!$B$11)*(20)+Summary!$B$11*(0)),0)*IF(AND(Inputs!$B$39&lt;&gt;"pvp",Inputs!$B$44&gt;0),(((R716-1)*MIN((Skills!T13*(1+Inputs!$B$35/100)),(1/Q716))+MIN((Skills!T13*(1+Inputs!$B$35/100)),MAX(0,Inputs!$B$44-((R716-1)*(1/Q716)))))/Inputs!$B$44),IF(Inputs!$B$39="pvp",MIN((Skills!T13*(1+Inputs!$B$35/100)),15)/15,MIN(1,(Skills!T13*(1+Inputs!$B$35/100))/(1/Q716)))))+(IF(AND(ArtifactsInput!$M$35,Inputs!$B$4&lt;&gt;"Chapter Hunt"),CHOOSE(ArtifactsInput!$N$35+1,15,18,21,24,27,30)*(1-EXP(-(0.2*B734)*5)),0)+IF(AND(ArtifactsInput!$M$22,Inputs!$B$4&lt;&gt;"Chapter Hunt"),CHOOSE(ArtifactsInput!$N$22+1,10,12,14,16,18,20)*((0*(((0.15*B734*5))^0/1)+1*(((0.15*B734*5))^1/1)+2*(((0.15*B734*5))^2/2)+3*(((0.15*B734*5))^3/6)+4*(((0.15*B734*5))^4/24)+5*(((0.15*B734*5))^5/120))/((((0.15*B734*5))^0/1)+(((0.15*B734*5))^1/1)+(((0.15*B734*5))^2/2)+(((0.15*B734*5))^3/6)+(((0.15*B734*5))^4/24)+(((0.15*B734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(1-(1-Inputs!$B$20/100)*(1-1/100))*100)+0)/100)*(1-CHOOSE(ArtifactsInput!$N$40+1,5,6,7,8,9,10)/100)^(ArtifactsInput!$M$40-ArtifactsInput!$M$40)))/100)*(1-IF(ArtifactsInput!$M$40,CHOOSE(ArtifactsInput!$N$40+1,5,6,7,8,9,10),0)/100)^IF(Inputs!$B$39="pvp",1,2)))/100)))/(5000/(6000+Inputs!$B$43*(1-(100*(1-(1-(((1-(1-Inputs!$B$20/100)*(1-1/100))*100)+0)/100)*(1-CHOOSE(ArtifactsInput!$N$40+1,5,6,7,8,9,10)/100)^(ArtifactsInput!$M$40-ArtifactsInput!$M$40)))/100))))*((L709*(1-MIN(100,(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709*(MIN(100,(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709*(1-MIN(100,(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709*(MIN(100,(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09">
        <f>IF(C709,(H709*N709*IF(AND(Inputs!$B$39&lt;&gt;"pvp",Inputs!$B$44&gt;0),((Skills!G6*((R709-1)*IF(Skills!H6&gt;0,INT(Skills!I6/Skills!H6+0.000000001),1)+IF(Skills!H6&gt;0,INT(MIN(Skills!I6,MAX(0,MAX(0,Inputs!$B$44-B739)-((R709-1)*IF(Inputs!$B$39="pvp",15,MAX(0.1,Skills!D6-IF(TRUE=TRUE,Inputs!$B$33,0))))))/Skills!H6+0.000000001),1)))/Inputs!$B$44),G709*Q709))*IF(Inputs!$B$39="pvp",1,(1+(Inputs!$B$22+Skills!Q6+((C720=TRUE)*F720*IF(AND(Inputs!$B$39&lt;&gt;"pvp",Inputs!$B$44&gt;0),(((R720-1)*MIN((Skills!T17*(1+Inputs!$B$35/100)),(1/Q720))+MIN((Skills!T17*(1+Inputs!$B$35/100)),MAX(0,Inputs!$B$44-((R720-1)*(1/Q720)))))/Inputs!$B$44),IF(Inputs!$B$39="pvp",MIN((Skills!T17*(1+Inputs!$B$35/100)),15)/15,MIN(1,(Skills!T17*(1+Inputs!$B$35/100))/(1/Q720)))))+((C708=TRUE)*IF(Inputs!$B$3&gt;=126,10*MIN(1,15*Q708),0))+((C717=TRUE)*IF(Inputs!$B$39="pvp",20,(1-Summary!$B$11)*(20)+Summary!$B$11*(0))*IF(AND(Inputs!$B$39&lt;&gt;"pvp",Inputs!$B$44&gt;0),(((R717-1)*MIN((Skills!T14*(1+Inputs!$B$35/100)),(1/Q717))+MIN((Skills!T14*(1+Inputs!$B$35/100)),MAX(0,Inputs!$B$44-((R717-1)*(1/Q717)))))/Inputs!$B$44),IF(Inputs!$B$39="pvp",MIN((Skills!T14*(1+Inputs!$B$35/100)),15)/15,MIN(1,(Skills!T14*(1+Inputs!$B$35/100))/(1/Q717)))))+((C716=TRUE)*IF(Inputs!$B$3&gt;=82,IF(Inputs!$B$39="pvp",20,(1-Summary!$B$11)*(20)+Summary!$B$11*(0)),0)*IF(AND(Inputs!$B$39&lt;&gt;"pvp",Inputs!$B$44&gt;0),(((R716-1)*MIN((Skills!T13*(1+Inputs!$B$35/100)),(1/Q716))+MIN((Skills!T13*(1+Inputs!$B$35/100)),MAX(0,Inputs!$B$44-((R716-1)*(1/Q716)))))/Inputs!$B$44),IF(Inputs!$B$39="pvp",MIN((Skills!T13*(1+Inputs!$B$35/100)),15)/15,MIN(1,(Skills!T13*(1+Inputs!$B$35/100))/(1/Q716)))))+(IF(AND(ArtifactsInput!$M$35,Inputs!$B$4&lt;&gt;"Chapter Hunt"),CHOOSE(ArtifactsInput!$N$35+1,15,18,21,24,27,30)*(1-EXP(-(0.2*B734)*5)),0)+IF(AND(ArtifactsInput!$M$22,Inputs!$B$4&lt;&gt;"Chapter Hunt"),CHOOSE(ArtifactsInput!$N$22+1,10,12,14,16,18,20)*((0*(((0.15*B734*5))^0/1)+1*(((0.15*B734*5))^1/1)+2*(((0.15*B734*5))^2/2)+3*(((0.15*B734*5))^3/6)+4*(((0.15*B734*5))^4/24)+5*(((0.15*B734*5))^5/120))/((((0.15*B734*5))^0/1)+(((0.15*B734*5))^1/1)+(((0.15*B734*5))^2/2)+(((0.15*B734*5))^3/6)+(((0.15*B734*5))^4/24)+(((0.15*B734*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10">
      <c r="A710">
        <f>Skills!A7</f>
        <v/>
      </c>
      <c r="B710">
        <f>Skills!B7</f>
        <v/>
      </c>
      <c r="C710">
        <f>Inputs!$B$3&gt;=40</f>
        <v/>
      </c>
      <c r="D710">
        <f>IF(Skills!C7=1,60+Inputs!$B$26+Inputs!$B$30,IF(Skills!C7=2,90+Inputs!$B$27+Inputs!$B$30,IF(Skills!C7=3,120+Inputs!$B$28+Inputs!$B$30,MAX(0,(Inputs!$B$3-100)*3)+Inputs!$B$29+Inputs!$B$30)))</f>
        <v/>
      </c>
      <c r="E710">
        <f>INDEX(FactorTable!$B$2:$Y$301, MATCH(ROUND(MIN(300,MAX(1,D710)),0), FactorTable!$A$2:$A$301,0), Skills!M7+1)</f>
        <v/>
      </c>
      <c r="F710">
        <f>IF(Skills!N7=TRUE,(Skills!L7/10)*(E710/1000),Skills!L7/10)+Skills!O7</f>
        <v/>
      </c>
      <c r="G710">
        <f>Skills!G7*IF(Skills!H7&gt;0,INT(IF(Inputs!$B$39="pvp",MIN(Skills!I7,15),Skills!I7)/Skills!H7+0.000000001),1)</f>
        <v/>
      </c>
      <c r="H710">
        <f>1-(1-Skills!J7/100)^Skills!K7</f>
        <v/>
      </c>
      <c r="I710" t="inlineStr">
        <is>
          <t>1</t>
        </is>
      </c>
      <c r="J710">
        <f>((Inputs!$B$6*(1+Inputs!$B$7/100))+(((Inputs!$B$13*(1+Inputs!$B$14/100))-(Inputs!$B$13*(1+Inputs!$B$14/100)))+0.25*(Inputs!$B$15-Inputs!$B$15))*(1+Inputs!$B$7/100))*(F710/100)</f>
        <v/>
      </c>
      <c r="K710">
        <f>J710*(1+(((Inputs!$B$13+IF(Inputs!$B$3&gt;=38,(10*INDEX(FactorTable!$B$2:$Y$301, MATCH(ROUND(MIN(300,MAX(1,Inputs!$B$3)),0), FactorTable!$A$2:$A$301,0), 23)/1000)/100*(Inputs!$B$8*(1+Inputs!$B$9/100)),0))*(1+Inputs!$B$14/100))*0.01+Inputs!$B$15*0.0025)/100)*(1+Inputs!$B$16/100)*(1+Inputs!$B$17/100)*(5000/(6000+Inputs!$B$43*(1-(((1-(1-Inputs!$B$20/100)*(1-1/100))*100)+0)/100)))*(1+(Inputs!$B$25+((C728=TRUE)*(F728-Calc!F25))+((C729=TRUE)*(F729-Calc!F26))+B738)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714=TRUE,F714,0)/100)*(1+(IF(Skills!A7="DARK_IMPALE",Inputs!$B$18+0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gt;=100),MIN(100,((Inputs!$B$10+0+B732+(ArtifactsInput!$M$24-ArtifactsInput!$M$24)*CHOOSE(ArtifactsInput!$N$24+1,10,12,14,16,18,20)+IF(ArtifactsInput!$M$10,CHOOSE(ArtifactsInput!$N$10+1,15,18,21,24,27,30)*(IF(Inputs!$B$39="pvp",MIN(15,15)/15,IF(AND(Inputs!$B$39&lt;&gt;"pvp",Inputs!$B$44&gt;0),MIN(15,Inputs!$B$44)/(Inputs!$B$44),0))),0)))-100),0))*CHOOSE(ArtifactsInput!$N$42+1,0.6,0.72,0.84,0.96,1.08,1.2))),Inputs!$B$19+((C726=TRUE)*(F726-Calc!F23))+(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gt;=100),CHOOSE(ArtifactsInput!$N$42+1,40,48,56,64,72,80),0))))/100)*((1+(((C716=TRUE)*F716*IF(AND(Inputs!$B$39&lt;&gt;"pvp",Inputs!$B$44&gt;0),(((R716-1)*MIN((Skills!T13*(1+Inputs!$B$35/100)),(1/Q716))+MIN((Skills!T13*(1+Inputs!$B$35/100)),MAX(0,Inputs!$B$44-((R716-1)*(1/Q716)))))/Inputs!$B$44),IF(Inputs!$B$39="pvp",MIN((Skills!T13*(1+Inputs!$B$35/100)),15)/15,MIN(1,(Skills!T13*(1+Inputs!$B$35/100))/(1/Q716)))))+((C717=TRUE)*F717*IF(AND(Inputs!$B$39&lt;&gt;"pvp",Inputs!$B$44&gt;0),(((R717-1)*MIN((Skills!T14*(1+Inputs!$B$35/100)),(1/Q717))+MIN((Skills!T14*(1+Inputs!$B$35/100)),MAX(0,Inputs!$B$44-((R717-1)*(1/Q717)))))/Inputs!$B$44),IF(Inputs!$B$39="pvp",MIN((Skills!T14*(1+Inputs!$B$35/100)),15)/15,MIN(1,(Skills!T14*(1+Inputs!$B$35/100))/(1/Q717)))))+((C718=TRUE)*F718*IF(AND(Inputs!$B$39&lt;&gt;"pvp",Inputs!$B$44&gt;0),(((R718-1)*MIN((Skills!T15*(1+Inputs!$B$35/100)),(1/Q718))+MIN((Skills!T15*(1+Inputs!$B$35/100)),MAX(0,Inputs!$B$44-((R718-1)*(1/Q718)))))/Inputs!$B$44),IF(Inputs!$B$39="pvp",MIN((Skills!T15*(1+Inputs!$B$35/100)),15)/15,MIN(1,(Skills!T15*(1+Inputs!$B$35/100))/(1/Q718)))))+((C719=TRUE)*F719*IF(AND(Inputs!$B$39&lt;&gt;"pvp",Inputs!$B$44&gt;0),(((R719-1)*MIN((Skills!T16*(1+Inputs!$B$35/100)),(1/Q719))+MIN((Skills!T16*(1+Inputs!$B$35/100)),MAX(0,Inputs!$B$44-((R719-1)*(1/Q719)))))/Inputs!$B$44),IF(Inputs!$B$39="pvp",MIN((Skills!T16*(1+Inputs!$B$35/100)),15)/15,MIN(1,(Skills!T16*(1+Inputs!$B$35/100))/(1/Q719)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710)</f>
        <v/>
      </c>
      <c r="L710">
        <f>K710*(MIN(Inputs!$B$23+((C725=TRUE)*(F725-Calc!F22)),(Inputs!$B$24+((C727=TRUE)*(F727-Calc!F24))+(IF(ArtifactsInput!$M$15,CHOOSE(ArtifactsInput!$N$15+1,25,30,35,40,45,50)/100*(Inputs!$B$12-Inputs!$B$12),0))))/100+(Inputs!$B$24+((C727=TRUE)*(F727-Calc!F24))+(IF(ArtifactsInput!$M$15,CHOOSE(ArtifactsInput!$N$15+1,25,30,35,40,45,50)/100*(Inputs!$B$12-Inputs!$B$12),0)))/100)/2</f>
        <v/>
      </c>
      <c r="M710">
        <f>L710*(1+(Inputs!$B$11+0+B737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710">
        <f>L710*(1-MIN((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710*(MIN((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10">
        <f>(1-Summary!$B$11)*T710+Summary!$B$11*V710</f>
        <v/>
      </c>
      <c r="P710">
        <f>IF(B742=0,0,O710/B742)</f>
        <v/>
      </c>
      <c r="Q710">
        <f>IFERROR(1/IF(Inputs!$B$39="pvp",15,MAX(0.1,Skills!D7-IF(TRUE=TRUE,Inputs!$B$33,0))),0)</f>
        <v/>
      </c>
      <c r="R710">
        <f>IF(AND(Inputs!$B$39&lt;&gt;"pvp",Inputs!$B$44&gt;0),IF(MAX(0,Inputs!$B$44-B739)&lt;=0,0,(INT(MAX(0,Inputs!$B$44-B739)/IF(Inputs!$B$39="pvp",15,MAX(0.1,Skills!D7-IF(TRUE=TRUE,Inputs!$B$33,0))))+1)),0)</f>
        <v/>
      </c>
      <c r="S710">
        <f>IFERROR(O710/N710,0)</f>
        <v/>
      </c>
      <c r="T710">
        <f>IF(C710,(H710*N710*IF(AND(Inputs!$B$39&lt;&gt;"pvp",Inputs!$B$44&gt;0),((Skills!G7*((R710-1)*IF(Skills!H7&gt;0,INT(Skills!I7/Skills!H7+0.000000001),1)+IF(Skills!H7&gt;0,INT(MIN(Skills!I7,MAX(0,MAX(0,Inputs!$B$44-B739)-((R710-1)*IF(Inputs!$B$39="pvp",15,MAX(0.1,Skills!D7-IF(TRUE=TRUE,Inputs!$B$33,0))))))/Skills!H7+0.000000001),1)))/Inputs!$B$44),G710*Q710))*IF(Inputs!$B$39="pvp",1,1+(Inputs!$B$21+0+Skills!P7+((C720=TRUE)*F720*IF(AND(Inputs!$B$39&lt;&gt;"pvp",Inputs!$B$44&gt;0),(((R720-1)*MIN((Skills!T17*(1+Inputs!$B$35/100)),(1/Q720))+MIN((Skills!T17*(1+Inputs!$B$35/100)),MAX(0,Inputs!$B$44-((R720-1)*(1/Q720)))))/Inputs!$B$44),IF(Inputs!$B$39="pvp",MIN((Skills!T17*(1+Inputs!$B$35/100)),15)/15,MIN(1,(Skills!T17*(1+Inputs!$B$35/100))/(1/Q720)))))+((C708=TRUE)*IF(Inputs!$B$3&gt;=126,10*MIN(1,15*Q708),0))+((C717=TRUE)*IF(Inputs!$B$39="pvp",20,(1-Summary!$B$11)*(20)+Summary!$B$11*(0))*IF(AND(Inputs!$B$39&lt;&gt;"pvp",Inputs!$B$44&gt;0),(((R717-1)*MIN((Skills!T14*(1+Inputs!$B$35/100)),(1/Q717))+MIN((Skills!T14*(1+Inputs!$B$35/100)),MAX(0,Inputs!$B$44-((R717-1)*(1/Q717)))))/Inputs!$B$44),IF(Inputs!$B$39="pvp",MIN((Skills!T14*(1+Inputs!$B$35/100)),15)/15,MIN(1,(Skills!T14*(1+Inputs!$B$35/100))/(1/Q717)))))+((C716=TRUE)*IF(Inputs!$B$3&gt;=82,IF(Inputs!$B$39="pvp",20,(1-Summary!$B$11)*(20)+Summary!$B$11*(0)),0)*IF(AND(Inputs!$B$39&lt;&gt;"pvp",Inputs!$B$44&gt;0),(((R716-1)*MIN((Skills!T13*(1+Inputs!$B$35/100)),(1/Q716))+MIN((Skills!T13*(1+Inputs!$B$35/100)),MAX(0,Inputs!$B$44-((R716-1)*(1/Q716)))))/Inputs!$B$44),IF(Inputs!$B$39="pvp",MIN((Skills!T13*(1+Inputs!$B$35/100)),15)/15,MIN(1,(Skills!T13*(1+Inputs!$B$35/100))/(1/Q716)))))+(IF(AND(ArtifactsInput!$M$35,Inputs!$B$4&lt;&gt;"Chapter Hunt"),CHOOSE(ArtifactsInput!$N$35+1,15,18,21,24,27,30)*(1-EXP(-(0.2*B734)*5)),0)+IF(AND(ArtifactsInput!$M$22,Inputs!$B$4&lt;&gt;"Chapter Hunt"),CHOOSE(ArtifactsInput!$N$22+1,10,12,14,16,18,20)*((0*(((0.15*B734*5))^0/1)+1*(((0.15*B734*5))^1/1)+2*(((0.15*B734*5))^2/2)+3*(((0.15*B734*5))^3/6)+4*(((0.15*B734*5))^4/24)+5*(((0.15*B734*5))^5/120))/((((0.15*B734*5))^0/1)+(((0.15*B734*5))^1/1)+(((0.15*B734*5))^2/2)+(((0.15*B734*5))^3/6)+(((0.15*B734*5))^4/24)+(((0.15*B734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(1-(1-Inputs!$B$20/100)*(1-1/100))*100)+0)/100)*(1-CHOOSE(ArtifactsInput!$N$40+1,5,6,7,8,9,10)/100)^(ArtifactsInput!$M$40-ArtifactsInput!$M$40)))/100)*(1-IF(ArtifactsInput!$M$40,CHOOSE(ArtifactsInput!$N$40+1,5,6,7,8,9,10),0)/100)^IF(Inputs!$B$39="pvp",1,2)))/100)))/(5000/(6000+Inputs!$B$43*(1-(100*(1-(1-(((1-(1-Inputs!$B$20/100)*(1-1/100))*100)+0)/100)*(1-CHOOSE(ArtifactsInput!$N$40+1,5,6,7,8,9,10)/100)^(ArtifactsInput!$M$40-ArtifactsInput!$M$40)))/100))))*((L710*(1-MIN(100,(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710*(MIN(100,(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710*(1-MIN(100,(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710*(MIN(100,(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10">
        <f>IF(C710,(H710*N710*IF(AND(Inputs!$B$39&lt;&gt;"pvp",Inputs!$B$44&gt;0),((Skills!G7*((R710-1)*IF(Skills!H7&gt;0,INT(Skills!I7/Skills!H7+0.000000001),1)+IF(Skills!H7&gt;0,INT(MIN(Skills!I7,MAX(0,MAX(0,Inputs!$B$44-B739)-((R710-1)*IF(Inputs!$B$39="pvp",15,MAX(0.1,Skills!D7-IF(TRUE=TRUE,Inputs!$B$33,0))))))/Skills!H7+0.000000001),1)))/Inputs!$B$44),G710*Q710))*IF(Inputs!$B$39="pvp",1,(1+(Inputs!$B$22+Skills!Q7+((C720=TRUE)*F720*IF(AND(Inputs!$B$39&lt;&gt;"pvp",Inputs!$B$44&gt;0),(((R720-1)*MIN((Skills!T17*(1+Inputs!$B$35/100)),(1/Q720))+MIN((Skills!T17*(1+Inputs!$B$35/100)),MAX(0,Inputs!$B$44-((R720-1)*(1/Q720)))))/Inputs!$B$44),IF(Inputs!$B$39="pvp",MIN((Skills!T17*(1+Inputs!$B$35/100)),15)/15,MIN(1,(Skills!T17*(1+Inputs!$B$35/100))/(1/Q720)))))+((C708=TRUE)*IF(Inputs!$B$3&gt;=126,10*MIN(1,15*Q708),0))+((C717=TRUE)*IF(Inputs!$B$39="pvp",20,(1-Summary!$B$11)*(20)+Summary!$B$11*(0))*IF(AND(Inputs!$B$39&lt;&gt;"pvp",Inputs!$B$44&gt;0),(((R717-1)*MIN((Skills!T14*(1+Inputs!$B$35/100)),(1/Q717))+MIN((Skills!T14*(1+Inputs!$B$35/100)),MAX(0,Inputs!$B$44-((R717-1)*(1/Q717)))))/Inputs!$B$44),IF(Inputs!$B$39="pvp",MIN((Skills!T14*(1+Inputs!$B$35/100)),15)/15,MIN(1,(Skills!T14*(1+Inputs!$B$35/100))/(1/Q717)))))+((C716=TRUE)*IF(Inputs!$B$3&gt;=82,IF(Inputs!$B$39="pvp",20,(1-Summary!$B$11)*(20)+Summary!$B$11*(0)),0)*IF(AND(Inputs!$B$39&lt;&gt;"pvp",Inputs!$B$44&gt;0),(((R716-1)*MIN((Skills!T13*(1+Inputs!$B$35/100)),(1/Q716))+MIN((Skills!T13*(1+Inputs!$B$35/100)),MAX(0,Inputs!$B$44-((R716-1)*(1/Q716)))))/Inputs!$B$44),IF(Inputs!$B$39="pvp",MIN((Skills!T13*(1+Inputs!$B$35/100)),15)/15,MIN(1,(Skills!T13*(1+Inputs!$B$35/100))/(1/Q716)))))+(IF(AND(ArtifactsInput!$M$35,Inputs!$B$4&lt;&gt;"Chapter Hunt"),CHOOSE(ArtifactsInput!$N$35+1,15,18,21,24,27,30)*(1-EXP(-(0.2*B734)*5)),0)+IF(AND(ArtifactsInput!$M$22,Inputs!$B$4&lt;&gt;"Chapter Hunt"),CHOOSE(ArtifactsInput!$N$22+1,10,12,14,16,18,20)*((0*(((0.15*B734*5))^0/1)+1*(((0.15*B734*5))^1/1)+2*(((0.15*B734*5))^2/2)+3*(((0.15*B734*5))^3/6)+4*(((0.15*B734*5))^4/24)+5*(((0.15*B734*5))^5/120))/((((0.15*B734*5))^0/1)+(((0.15*B734*5))^1/1)+(((0.15*B734*5))^2/2)+(((0.15*B734*5))^3/6)+(((0.15*B734*5))^4/24)+(((0.15*B734*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11">
      <c r="A711">
        <f>Skills!A8</f>
        <v/>
      </c>
      <c r="B711">
        <f>Skills!B8</f>
        <v/>
      </c>
      <c r="C711">
        <f>Inputs!$B$3&gt;=75</f>
        <v/>
      </c>
      <c r="D711">
        <f>IF(Skills!C8=1,60+Inputs!$B$26+Inputs!$B$30,IF(Skills!C8=2,90+Inputs!$B$27+Inputs!$B$30,IF(Skills!C8=3,120+Inputs!$B$28+Inputs!$B$30,MAX(0,(Inputs!$B$3-100)*3)+Inputs!$B$29+Inputs!$B$30)))</f>
        <v/>
      </c>
      <c r="E711">
        <f>INDEX(FactorTable!$B$2:$Y$301, MATCH(ROUND(MIN(300,MAX(1,D711)),0), FactorTable!$A$2:$A$301,0), Skills!M8+1)</f>
        <v/>
      </c>
      <c r="F711">
        <f>IF(Skills!N8=TRUE,(Skills!L8/10)*(E711/1000),Skills!L8/10)+Skills!O8</f>
        <v/>
      </c>
      <c r="G711" t="inlineStr"/>
      <c r="H711" t="inlineStr"/>
      <c r="I711" t="inlineStr">
        <is>
          <t>1</t>
        </is>
      </c>
      <c r="J711" t="inlineStr"/>
      <c r="K711" t="inlineStr"/>
      <c r="L711" t="inlineStr"/>
      <c r="M711" t="inlineStr"/>
      <c r="N711" t="inlineStr"/>
      <c r="O711" t="inlineStr"/>
      <c r="P711" t="inlineStr"/>
      <c r="Q711" t="inlineStr"/>
      <c r="R711" t="inlineStr"/>
      <c r="S711" t="inlineStr"/>
    </row>
    <row r="712">
      <c r="A712">
        <f>Skills!A9</f>
        <v/>
      </c>
      <c r="B712">
        <f>Skills!B9</f>
        <v/>
      </c>
      <c r="C712">
        <f>Inputs!$B$3&gt;=60</f>
        <v/>
      </c>
      <c r="D712">
        <f>IF(Skills!C9=1,60+Inputs!$B$26+Inputs!$B$30,IF(Skills!C9=2,90+Inputs!$B$27+Inputs!$B$30,IF(Skills!C9=3,120+Inputs!$B$28+Inputs!$B$30,MAX(0,(Inputs!$B$3-100)*3)+Inputs!$B$29+Inputs!$B$30)))</f>
        <v/>
      </c>
      <c r="E712">
        <f>INDEX(FactorTable!$B$2:$Y$301, MATCH(ROUND(MIN(300,MAX(1,D712)),0), FactorTable!$A$2:$A$301,0), Skills!M9+1)</f>
        <v/>
      </c>
      <c r="F712">
        <f>IF(Skills!N9=TRUE,(Skills!L9/10)*(E712/1000),Skills!L9/10)+Skills!O9</f>
        <v/>
      </c>
      <c r="G712">
        <f>Skills!G9*IF(Skills!H9&gt;0,INT(IF(Inputs!$B$39="pvp",MIN(Skills!I9,15),Skills!I9)/Skills!H9+0.000000001),1)</f>
        <v/>
      </c>
      <c r="H712">
        <f>1-(1-Skills!J9/100)^Skills!K9</f>
        <v/>
      </c>
      <c r="I712" t="inlineStr">
        <is>
          <t>1</t>
        </is>
      </c>
      <c r="J712">
        <f>((Inputs!$B$6*(1+Inputs!$B$7/100))+(((Inputs!$B$13*(1+Inputs!$B$14/100))-(Inputs!$B$13*(1+Inputs!$B$14/100)))+0.25*(Inputs!$B$15-Inputs!$B$15))*(1+Inputs!$B$7/100))*(F712/100)</f>
        <v/>
      </c>
      <c r="K712">
        <f>J712*(1+(((Inputs!$B$13+IF(Inputs!$B$3&gt;=38,(10*INDEX(FactorTable!$B$2:$Y$301, MATCH(ROUND(MIN(300,MAX(1,Inputs!$B$3)),0), FactorTable!$A$2:$A$301,0), 23)/1000)/100*(Inputs!$B$8*(1+Inputs!$B$9/100)),0))*(1+Inputs!$B$14/100))*0.01+Inputs!$B$15*0.0025)/100)*(1+Inputs!$B$16/100)*(1+Inputs!$B$17/100)*(5000/(6000+Inputs!$B$43*(1-(((1-(1-Inputs!$B$20/100)*(1-1/100))*100)+0)/100)))*(1+(Inputs!$B$25+((C728=TRUE)*(F728-Calc!F25))+((C729=TRUE)*(F729-Calc!F26))+B738)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714=TRUE,F714,0)/100)*(1+(IF(Skills!A9="DARK_IMPALE",Inputs!$B$18+0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gt;=100),MIN(100,((Inputs!$B$10+0+B732+(ArtifactsInput!$M$24-ArtifactsInput!$M$24)*CHOOSE(ArtifactsInput!$N$24+1,10,12,14,16,18,20)+IF(ArtifactsInput!$M$10,CHOOSE(ArtifactsInput!$N$10+1,15,18,21,24,27,30)*(IF(Inputs!$B$39="pvp",MIN(15,15)/15,IF(AND(Inputs!$B$39&lt;&gt;"pvp",Inputs!$B$44&gt;0),MIN(15,Inputs!$B$44)/(Inputs!$B$44),0))),0)))-100),0))*CHOOSE(ArtifactsInput!$N$42+1,0.6,0.72,0.84,0.96,1.08,1.2))),Inputs!$B$19+((C726=TRUE)*(F726-Calc!F23))+(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gt;=100),CHOOSE(ArtifactsInput!$N$42+1,40,48,56,64,72,80),0))))/100)*((1+(((C716=TRUE)*F716*IF(AND(Inputs!$B$39&lt;&gt;"pvp",Inputs!$B$44&gt;0),(((R716-1)*MIN((Skills!T13*(1+Inputs!$B$35/100)),(1/Q716))+MIN((Skills!T13*(1+Inputs!$B$35/100)),MAX(0,Inputs!$B$44-((R716-1)*(1/Q716)))))/Inputs!$B$44),IF(Inputs!$B$39="pvp",MIN((Skills!T13*(1+Inputs!$B$35/100)),15)/15,MIN(1,(Skills!T13*(1+Inputs!$B$35/100))/(1/Q716)))))+((C717=TRUE)*F717*IF(AND(Inputs!$B$39&lt;&gt;"pvp",Inputs!$B$44&gt;0),(((R717-1)*MIN((Skills!T14*(1+Inputs!$B$35/100)),(1/Q717))+MIN((Skills!T14*(1+Inputs!$B$35/100)),MAX(0,Inputs!$B$44-((R717-1)*(1/Q717)))))/Inputs!$B$44),IF(Inputs!$B$39="pvp",MIN((Skills!T14*(1+Inputs!$B$35/100)),15)/15,MIN(1,(Skills!T14*(1+Inputs!$B$35/100))/(1/Q717)))))+((C718=TRUE)*F718*IF(AND(Inputs!$B$39&lt;&gt;"pvp",Inputs!$B$44&gt;0),(((R718-1)*MIN((Skills!T15*(1+Inputs!$B$35/100)),(1/Q718))+MIN((Skills!T15*(1+Inputs!$B$35/100)),MAX(0,Inputs!$B$44-((R718-1)*(1/Q718)))))/Inputs!$B$44),IF(Inputs!$B$39="pvp",MIN((Skills!T15*(1+Inputs!$B$35/100)),15)/15,MIN(1,(Skills!T15*(1+Inputs!$B$35/100))/(1/Q718)))))+((C719=TRUE)*F719*IF(AND(Inputs!$B$39&lt;&gt;"pvp",Inputs!$B$44&gt;0),(((R719-1)*MIN((Skills!T16*(1+Inputs!$B$35/100)),(1/Q719))+MIN((Skills!T16*(1+Inputs!$B$35/100)),MAX(0,Inputs!$B$44-((R719-1)*(1/Q719)))))/Inputs!$B$44),IF(Inputs!$B$39="pvp",MIN((Skills!T16*(1+Inputs!$B$35/100)),15)/15,MIN(1,(Skills!T16*(1+Inputs!$B$35/100))/(1/Q719)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712)</f>
        <v/>
      </c>
      <c r="L712">
        <f>K712*(MIN(Inputs!$B$23+((C725=TRUE)*(F725-Calc!F22)),(Inputs!$B$24+((C727=TRUE)*(F727-Calc!F24))+(IF(ArtifactsInput!$M$15,CHOOSE(ArtifactsInput!$N$15+1,25,30,35,40,45,50)/100*(Inputs!$B$12-Inputs!$B$12),0))))/100+(Inputs!$B$24+((C727=TRUE)*(F727-Calc!F24))+(IF(ArtifactsInput!$M$15,CHOOSE(ArtifactsInput!$N$15+1,25,30,35,40,45,50)/100*(Inputs!$B$12-Inputs!$B$12),0)))/100)/2</f>
        <v/>
      </c>
      <c r="M712">
        <f>L712*(1+(Inputs!$B$11+0+B737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712">
        <f>L712*(1-MIN((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712*(MIN((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12">
        <f>(1-Summary!$B$11)*T712+Summary!$B$11*V712</f>
        <v/>
      </c>
      <c r="P712">
        <f>IF(B742=0,0,O712/B742)</f>
        <v/>
      </c>
      <c r="Q712">
        <f>IFERROR(1/IF(Inputs!$B$39="pvp",15,MAX(0.1,Skills!D9-IF(TRUE=TRUE,Inputs!$B$33,0))),0)</f>
        <v/>
      </c>
      <c r="R712">
        <f>IF(AND(Inputs!$B$39&lt;&gt;"pvp",Inputs!$B$44&gt;0),IF(MAX(0,Inputs!$B$44-B739)&lt;=0,0,(INT(MAX(0,Inputs!$B$44-B739)/IF(Inputs!$B$39="pvp",15,MAX(0.1,Skills!D9-IF(TRUE=TRUE,Inputs!$B$33,0))))+1)),0)</f>
        <v/>
      </c>
      <c r="S712">
        <f>IFERROR(O712/N712,0)</f>
        <v/>
      </c>
      <c r="T712">
        <f>IF(C712,(H712*N712*IF(AND(Inputs!$B$39&lt;&gt;"pvp",Inputs!$B$44&gt;0),((Skills!G9*((R712-1)*IF(Skills!H9&gt;0,INT(Skills!I9/Skills!H9+0.000000001),1)+IF(Skills!H9&gt;0,INT(MIN(Skills!I9,MAX(0,MAX(0,Inputs!$B$44-B739)-((R712-1)*IF(Inputs!$B$39="pvp",15,MAX(0.1,Skills!D9-IF(TRUE=TRUE,Inputs!$B$33,0))))))/Skills!H9+0.000000001),1)))/Inputs!$B$44),G712*Q712))*IF(Inputs!$B$39="pvp",1,1+(Inputs!$B$21+0+Skills!P9+((C720=TRUE)*F720*IF(AND(Inputs!$B$39&lt;&gt;"pvp",Inputs!$B$44&gt;0),(((R720-1)*MIN((Skills!T17*(1+Inputs!$B$35/100)),(1/Q720))+MIN((Skills!T17*(1+Inputs!$B$35/100)),MAX(0,Inputs!$B$44-((R720-1)*(1/Q720)))))/Inputs!$B$44),IF(Inputs!$B$39="pvp",MIN((Skills!T17*(1+Inputs!$B$35/100)),15)/15,MIN(1,(Skills!T17*(1+Inputs!$B$35/100))/(1/Q720)))))+((C708=TRUE)*IF(Inputs!$B$3&gt;=126,10*MIN(1,15*Q708),0))+((C717=TRUE)*IF(Inputs!$B$39="pvp",20,(1-Summary!$B$11)*(20)+Summary!$B$11*(0))*IF(AND(Inputs!$B$39&lt;&gt;"pvp",Inputs!$B$44&gt;0),(((R717-1)*MIN((Skills!T14*(1+Inputs!$B$35/100)),(1/Q717))+MIN((Skills!T14*(1+Inputs!$B$35/100)),MAX(0,Inputs!$B$44-((R717-1)*(1/Q717)))))/Inputs!$B$44),IF(Inputs!$B$39="pvp",MIN((Skills!T14*(1+Inputs!$B$35/100)),15)/15,MIN(1,(Skills!T14*(1+Inputs!$B$35/100))/(1/Q717)))))+((C716=TRUE)*IF(Inputs!$B$3&gt;=82,IF(Inputs!$B$39="pvp",20,(1-Summary!$B$11)*(20)+Summary!$B$11*(0)),0)*IF(AND(Inputs!$B$39&lt;&gt;"pvp",Inputs!$B$44&gt;0),(((R716-1)*MIN((Skills!T13*(1+Inputs!$B$35/100)),(1/Q716))+MIN((Skills!T13*(1+Inputs!$B$35/100)),MAX(0,Inputs!$B$44-((R716-1)*(1/Q716)))))/Inputs!$B$44),IF(Inputs!$B$39="pvp",MIN((Skills!T13*(1+Inputs!$B$35/100)),15)/15,MIN(1,(Skills!T13*(1+Inputs!$B$35/100))/(1/Q716)))))+(IF(AND(ArtifactsInput!$M$35,Inputs!$B$4&lt;&gt;"Chapter Hunt"),CHOOSE(ArtifactsInput!$N$35+1,15,18,21,24,27,30)*(1-EXP(-(0.2*B734)*5)),0)+IF(AND(ArtifactsInput!$M$22,Inputs!$B$4&lt;&gt;"Chapter Hunt"),CHOOSE(ArtifactsInput!$N$22+1,10,12,14,16,18,20)*((0*(((0.15*B734*5))^0/1)+1*(((0.15*B734*5))^1/1)+2*(((0.15*B734*5))^2/2)+3*(((0.15*B734*5))^3/6)+4*(((0.15*B734*5))^4/24)+5*(((0.15*B734*5))^5/120))/((((0.15*B734*5))^0/1)+(((0.15*B734*5))^1/1)+(((0.15*B734*5))^2/2)+(((0.15*B734*5))^3/6)+(((0.15*B734*5))^4/24)+(((0.15*B734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(1-(1-Inputs!$B$20/100)*(1-1/100))*100)+0)/100)*(1-CHOOSE(ArtifactsInput!$N$40+1,5,6,7,8,9,10)/100)^(ArtifactsInput!$M$40-ArtifactsInput!$M$40)))/100)*(1-IF(ArtifactsInput!$M$40,CHOOSE(ArtifactsInput!$N$40+1,5,6,7,8,9,10),0)/100)^IF(Inputs!$B$39="pvp",1,2)))/100)))/(5000/(6000+Inputs!$B$43*(1-(100*(1-(1-(((1-(1-Inputs!$B$20/100)*(1-1/100))*100)+0)/100)*(1-CHOOSE(ArtifactsInput!$N$40+1,5,6,7,8,9,10)/100)^(ArtifactsInput!$M$40-ArtifactsInput!$M$40)))/100))))*((L712*(1-MIN(100,(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712*(MIN(100,(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712*(1-MIN(100,(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712*(MIN(100,(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12">
        <f>IF(C712,(H712*N712*IF(AND(Inputs!$B$39&lt;&gt;"pvp",Inputs!$B$44&gt;0),((Skills!G9*((R712-1)*IF(Skills!H9&gt;0,INT(Skills!I9/Skills!H9+0.000000001),1)+IF(Skills!H9&gt;0,INT(MIN(Skills!I9,MAX(0,MAX(0,Inputs!$B$44-B739)-((R712-1)*IF(Inputs!$B$39="pvp",15,MAX(0.1,Skills!D9-IF(TRUE=TRUE,Inputs!$B$33,0))))))/Skills!H9+0.000000001),1)))/Inputs!$B$44),G712*Q712))*IF(Inputs!$B$39="pvp",1,(1+(Inputs!$B$22+Skills!Q9+((C720=TRUE)*F720*IF(AND(Inputs!$B$39&lt;&gt;"pvp",Inputs!$B$44&gt;0),(((R720-1)*MIN((Skills!T17*(1+Inputs!$B$35/100)),(1/Q720))+MIN((Skills!T17*(1+Inputs!$B$35/100)),MAX(0,Inputs!$B$44-((R720-1)*(1/Q720)))))/Inputs!$B$44),IF(Inputs!$B$39="pvp",MIN((Skills!T17*(1+Inputs!$B$35/100)),15)/15,MIN(1,(Skills!T17*(1+Inputs!$B$35/100))/(1/Q720)))))+((C708=TRUE)*IF(Inputs!$B$3&gt;=126,10*MIN(1,15*Q708),0))+((C717=TRUE)*IF(Inputs!$B$39="pvp",20,(1-Summary!$B$11)*(20)+Summary!$B$11*(0))*IF(AND(Inputs!$B$39&lt;&gt;"pvp",Inputs!$B$44&gt;0),(((R717-1)*MIN((Skills!T14*(1+Inputs!$B$35/100)),(1/Q717))+MIN((Skills!T14*(1+Inputs!$B$35/100)),MAX(0,Inputs!$B$44-((R717-1)*(1/Q717)))))/Inputs!$B$44),IF(Inputs!$B$39="pvp",MIN((Skills!T14*(1+Inputs!$B$35/100)),15)/15,MIN(1,(Skills!T14*(1+Inputs!$B$35/100))/(1/Q717)))))+((C716=TRUE)*IF(Inputs!$B$3&gt;=82,IF(Inputs!$B$39="pvp",20,(1-Summary!$B$11)*(20)+Summary!$B$11*(0)),0)*IF(AND(Inputs!$B$39&lt;&gt;"pvp",Inputs!$B$44&gt;0),(((R716-1)*MIN((Skills!T13*(1+Inputs!$B$35/100)),(1/Q716))+MIN((Skills!T13*(1+Inputs!$B$35/100)),MAX(0,Inputs!$B$44-((R716-1)*(1/Q716)))))/Inputs!$B$44),IF(Inputs!$B$39="pvp",MIN((Skills!T13*(1+Inputs!$B$35/100)),15)/15,MIN(1,(Skills!T13*(1+Inputs!$B$35/100))/(1/Q716)))))+(IF(AND(ArtifactsInput!$M$35,Inputs!$B$4&lt;&gt;"Chapter Hunt"),CHOOSE(ArtifactsInput!$N$35+1,15,18,21,24,27,30)*(1-EXP(-(0.2*B734)*5)),0)+IF(AND(ArtifactsInput!$M$22,Inputs!$B$4&lt;&gt;"Chapter Hunt"),CHOOSE(ArtifactsInput!$N$22+1,10,12,14,16,18,20)*((0*(((0.15*B734*5))^0/1)+1*(((0.15*B734*5))^1/1)+2*(((0.15*B734*5))^2/2)+3*(((0.15*B734*5))^3/6)+4*(((0.15*B734*5))^4/24)+5*(((0.15*B734*5))^5/120))/((((0.15*B734*5))^0/1)+(((0.15*B734*5))^1/1)+(((0.15*B734*5))^2/2)+(((0.15*B734*5))^3/6)+(((0.15*B734*5))^4/24)+(((0.15*B734*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13">
      <c r="A713">
        <f>Skills!A10</f>
        <v/>
      </c>
      <c r="B713">
        <f>Skills!B10</f>
        <v/>
      </c>
      <c r="C713">
        <f>Inputs!$B$3&gt;=110</f>
        <v/>
      </c>
      <c r="D713">
        <f>IF(Skills!C10=1,60+Inputs!$B$26+Inputs!$B$30,IF(Skills!C10=2,90+Inputs!$B$27+Inputs!$B$30,IF(Skills!C10=3,120+Inputs!$B$28+Inputs!$B$30,MAX(0,(Inputs!$B$3-100)*3)+Inputs!$B$29+Inputs!$B$30)))</f>
        <v/>
      </c>
      <c r="E713">
        <f>INDEX(FactorTable!$B$2:$Y$301, MATCH(ROUND(MIN(300,MAX(1,D713)),0), FactorTable!$A$2:$A$301,0), Skills!M10+1)</f>
        <v/>
      </c>
      <c r="F713">
        <f>IF(Skills!N10=TRUE,(Skills!L10/10)*(E713/1000),Skills!L10/10)+Skills!O10</f>
        <v/>
      </c>
      <c r="G713">
        <f>Skills!G10*IF(Skills!H10&gt;0,INT(IF(Inputs!$B$39="pvp",MIN(Skills!I10,15),Skills!I10)/Skills!H10+0.000000001),1)</f>
        <v/>
      </c>
      <c r="H713">
        <f>1-(1-Skills!J10/100)^Skills!K10</f>
        <v/>
      </c>
      <c r="I713" t="inlineStr">
        <is>
          <t>1</t>
        </is>
      </c>
      <c r="J713">
        <f>((Inputs!$B$6*(1+Inputs!$B$7/100))+(((Inputs!$B$13*(1+Inputs!$B$14/100))-(Inputs!$B$13*(1+Inputs!$B$14/100)))+0.25*(Inputs!$B$15-Inputs!$B$15))*(1+Inputs!$B$7/100))*(F713/100)</f>
        <v/>
      </c>
      <c r="K713">
        <f>J713*(1+(((Inputs!$B$13+IF(Inputs!$B$3&gt;=38,(10*INDEX(FactorTable!$B$2:$Y$301, MATCH(ROUND(MIN(300,MAX(1,Inputs!$B$3)),0), FactorTable!$A$2:$A$301,0), 23)/1000)/100*(Inputs!$B$8*(1+Inputs!$B$9/100)),0))*(1+Inputs!$B$14/100))*0.01+Inputs!$B$15*0.0025)/100)*(1+Inputs!$B$16/100)*(1+Inputs!$B$17/100)*(5000/(6000+Inputs!$B$43*(1-(((1-(1-Inputs!$B$20/100)*(1-1/100))*100)+0)/100)))*(1+(Inputs!$B$25+((C728=TRUE)*(F728-Calc!F25))+((C729=TRUE)*(F729-Calc!F26))+B738)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gt;=100),MIN(100,((Inputs!$B$10+0+B732+(ArtifactsInput!$M$24-ArtifactsInput!$M$24)*CHOOSE(ArtifactsInput!$N$24+1,10,12,14,16,18,20)+IF(ArtifactsInput!$M$10,CHOOSE(ArtifactsInput!$N$10+1,15,18,21,24,27,30)*(IF(Inputs!$B$39="pvp",MIN(15,15)/15,IF(AND(Inputs!$B$39&lt;&gt;"pvp",Inputs!$B$44&gt;0),MIN(15,Inputs!$B$44)/(Inputs!$B$44),0))),0)))-100),0))*CHOOSE(ArtifactsInput!$N$42+1,0.6,0.72,0.84,0.96,1.08,1.2))),Inputs!$B$19+((C726=TRUE)*(F726-Calc!F23))+(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gt;=100),CHOOSE(ArtifactsInput!$N$42+1,40,48,56,64,72,80),0))))/100)*((1+(((C716=TRUE)*F716*IF(AND(Inputs!$B$39&lt;&gt;"pvp",Inputs!$B$44&gt;0),(((R716-1)*MIN((Skills!T13*(1+Inputs!$B$35/100)),(1/Q716))+MIN((Skills!T13*(1+Inputs!$B$35/100)),MAX(0,Inputs!$B$44-((R716-1)*(1/Q716)))))/Inputs!$B$44),IF(Inputs!$B$39="pvp",MIN((Skills!T13*(1+Inputs!$B$35/100)),15)/15,MIN(1,(Skills!T13*(1+Inputs!$B$35/100))/(1/Q716)))))+((C717=TRUE)*F717*IF(AND(Inputs!$B$39&lt;&gt;"pvp",Inputs!$B$44&gt;0),(((R717-1)*MIN((Skills!T14*(1+Inputs!$B$35/100)),(1/Q717))+MIN((Skills!T14*(1+Inputs!$B$35/100)),MAX(0,Inputs!$B$44-((R717-1)*(1/Q717)))))/Inputs!$B$44),IF(Inputs!$B$39="pvp",MIN((Skills!T14*(1+Inputs!$B$35/100)),15)/15,MIN(1,(Skills!T14*(1+Inputs!$B$35/100))/(1/Q717)))))+((C718=TRUE)*F718*IF(AND(Inputs!$B$39&lt;&gt;"pvp",Inputs!$B$44&gt;0),(((R718-1)*MIN((Skills!T15*(1+Inputs!$B$35/100)),(1/Q718))+MIN((Skills!T15*(1+Inputs!$B$35/100)),MAX(0,Inputs!$B$44-((R718-1)*(1/Q718)))))/Inputs!$B$44),IF(Inputs!$B$39="pvp",MIN((Skills!T15*(1+Inputs!$B$35/100)),15)/15,MIN(1,(Skills!T15*(1+Inputs!$B$35/100))/(1/Q718)))))+((C719=TRUE)*F719*IF(AND(Inputs!$B$39&lt;&gt;"pvp",Inputs!$B$44&gt;0),(((R719-1)*MIN((Skills!T16*(1+Inputs!$B$35/100)),(1/Q719))+MIN((Skills!T16*(1+Inputs!$B$35/100)),MAX(0,Inputs!$B$44-((R719-1)*(1/Q719)))))/Inputs!$B$44),IF(Inputs!$B$39="pvp",MIN((Skills!T16*(1+Inputs!$B$35/100)),15)/15,MIN(1,(Skills!T16*(1+Inputs!$B$35/100))/(1/Q719)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713)</f>
        <v/>
      </c>
      <c r="L713">
        <f>K713*(MIN(Inputs!$B$23+((C725=TRUE)*(F725-Calc!F22)),(Inputs!$B$24+((C727=TRUE)*(F727-Calc!F24))+(IF(ArtifactsInput!$M$15,CHOOSE(ArtifactsInput!$N$15+1,25,30,35,40,45,50)/100*(Inputs!$B$12-Inputs!$B$12),0))))/100+(Inputs!$B$24+((C727=TRUE)*(F727-Calc!F24))+(IF(ArtifactsInput!$M$15,CHOOSE(ArtifactsInput!$N$15+1,25,30,35,40,45,50)/100*(Inputs!$B$12-Inputs!$B$12),0)))/100)/2</f>
        <v/>
      </c>
      <c r="M713">
        <f>L713*(1+(Inputs!$B$11+0+B737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713">
        <f>L713*(1-MIN((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713*(MIN((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13">
        <f>(1-Summary!$B$11)*T713+Summary!$B$11*V713</f>
        <v/>
      </c>
      <c r="P713">
        <f>IF(B742=0,0,O713/B742)</f>
        <v/>
      </c>
      <c r="Q713">
        <f>IFERROR(1/IF(Inputs!$B$39="pvp",15,MAX(0.1,Skills!D10-IF(TRUE=TRUE,Inputs!$B$33,0))),0)</f>
        <v/>
      </c>
      <c r="R713">
        <f>IF(AND(Inputs!$B$39&lt;&gt;"pvp",Inputs!$B$44&gt;0),IF(MAX(0,Inputs!$B$44-B739)&lt;=0,0,(INT(MAX(0,Inputs!$B$44-B739)/IF(Inputs!$B$39="pvp",15,MAX(0.1,Skills!D10-IF(TRUE=TRUE,Inputs!$B$33,0))))+1)),0)</f>
        <v/>
      </c>
      <c r="S713">
        <f>IFERROR(O713/N713,0)</f>
        <v/>
      </c>
      <c r="T713">
        <f>IF(C713,(H713*N713*IF(AND(Inputs!$B$39&lt;&gt;"pvp",Inputs!$B$44&gt;0),((Skills!G10*((R713-1)*IF(Skills!H10&gt;0,INT(Skills!I10/Skills!H10+0.000000001),1)+IF(Skills!H10&gt;0,INT(MIN(Skills!I10,MAX(0,MAX(0,Inputs!$B$44-B739)-((R713-1)*IF(Inputs!$B$39="pvp",15,MAX(0.1,Skills!D10-IF(TRUE=TRUE,Inputs!$B$33,0))))))/Skills!H10+0.000000001),1)))/Inputs!$B$44),G713*Q713))*IF(Inputs!$B$39="pvp",1,1+(Inputs!$B$21+0+Skills!P10+((C720=TRUE)*F720*IF(AND(Inputs!$B$39&lt;&gt;"pvp",Inputs!$B$44&gt;0),(((R720-1)*MIN((Skills!T17*(1+Inputs!$B$35/100)),(1/Q720))+MIN((Skills!T17*(1+Inputs!$B$35/100)),MAX(0,Inputs!$B$44-((R720-1)*(1/Q720)))))/Inputs!$B$44),IF(Inputs!$B$39="pvp",MIN((Skills!T17*(1+Inputs!$B$35/100)),15)/15,MIN(1,(Skills!T17*(1+Inputs!$B$35/100))/(1/Q720)))))+((C708=TRUE)*IF(Inputs!$B$3&gt;=126,10*MIN(1,15*Q708),0))+((C717=TRUE)*IF(Inputs!$B$39="pvp",20,(1-Summary!$B$11)*(20)+Summary!$B$11*(0))*IF(AND(Inputs!$B$39&lt;&gt;"pvp",Inputs!$B$44&gt;0),(((R717-1)*MIN((Skills!T14*(1+Inputs!$B$35/100)),(1/Q717))+MIN((Skills!T14*(1+Inputs!$B$35/100)),MAX(0,Inputs!$B$44-((R717-1)*(1/Q717)))))/Inputs!$B$44),IF(Inputs!$B$39="pvp",MIN((Skills!T14*(1+Inputs!$B$35/100)),15)/15,MIN(1,(Skills!T14*(1+Inputs!$B$35/100))/(1/Q717)))))+((C716=TRUE)*IF(Inputs!$B$3&gt;=82,IF(Inputs!$B$39="pvp",20,(1-Summary!$B$11)*(20)+Summary!$B$11*(0)),0)*IF(AND(Inputs!$B$39&lt;&gt;"pvp",Inputs!$B$44&gt;0),(((R716-1)*MIN((Skills!T13*(1+Inputs!$B$35/100)),(1/Q716))+MIN((Skills!T13*(1+Inputs!$B$35/100)),MAX(0,Inputs!$B$44-((R716-1)*(1/Q716)))))/Inputs!$B$44),IF(Inputs!$B$39="pvp",MIN((Skills!T13*(1+Inputs!$B$35/100)),15)/15,MIN(1,(Skills!T13*(1+Inputs!$B$35/100))/(1/Q716)))))+(IF(AND(ArtifactsInput!$M$35,Inputs!$B$4&lt;&gt;"Chapter Hunt"),CHOOSE(ArtifactsInput!$N$35+1,15,18,21,24,27,30)*(1-EXP(-(0.2*B734)*5)),0)+IF(AND(ArtifactsInput!$M$22,Inputs!$B$4&lt;&gt;"Chapter Hunt"),CHOOSE(ArtifactsInput!$N$22+1,10,12,14,16,18,20)*((0*(((0.15*B734*5))^0/1)+1*(((0.15*B734*5))^1/1)+2*(((0.15*B734*5))^2/2)+3*(((0.15*B734*5))^3/6)+4*(((0.15*B734*5))^4/24)+5*(((0.15*B734*5))^5/120))/((((0.15*B734*5))^0/1)+(((0.15*B734*5))^1/1)+(((0.15*B734*5))^2/2)+(((0.15*B734*5))^3/6)+(((0.15*B734*5))^4/24)+(((0.15*B734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(1-(1-Inputs!$B$20/100)*(1-1/100))*100)+0)/100)*(1-CHOOSE(ArtifactsInput!$N$40+1,5,6,7,8,9,10)/100)^(ArtifactsInput!$M$40-ArtifactsInput!$M$40)))/100)*(1-IF(ArtifactsInput!$M$40,CHOOSE(ArtifactsInput!$N$40+1,5,6,7,8,9,10),0)/100)^IF(Inputs!$B$39="pvp",1,2)))/100)))/(5000/(6000+Inputs!$B$43*(1-(100*(1-(1-(((1-(1-Inputs!$B$20/100)*(1-1/100))*100)+0)/100)*(1-CHOOSE(ArtifactsInput!$N$40+1,5,6,7,8,9,10)/100)^(ArtifactsInput!$M$40-ArtifactsInput!$M$40)))/100))))*((L713*(1-MIN(100,(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713*(MIN(100,(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713*(1-MIN(100,(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713*(MIN(100,(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13">
        <f>IF(C713,(H713*N713*IF(AND(Inputs!$B$39&lt;&gt;"pvp",Inputs!$B$44&gt;0),((Skills!G10*((R713-1)*IF(Skills!H10&gt;0,INT(Skills!I10/Skills!H10+0.000000001),1)+IF(Skills!H10&gt;0,INT(MIN(Skills!I10,MAX(0,MAX(0,Inputs!$B$44-B739)-((R713-1)*IF(Inputs!$B$39="pvp",15,MAX(0.1,Skills!D10-IF(TRUE=TRUE,Inputs!$B$33,0))))))/Skills!H10+0.000000001),1)))/Inputs!$B$44),G713*Q713))*IF(Inputs!$B$39="pvp",1,(1+(Inputs!$B$22+Skills!Q10+((C720=TRUE)*F720*IF(AND(Inputs!$B$39&lt;&gt;"pvp",Inputs!$B$44&gt;0),(((R720-1)*MIN((Skills!T17*(1+Inputs!$B$35/100)),(1/Q720))+MIN((Skills!T17*(1+Inputs!$B$35/100)),MAX(0,Inputs!$B$44-((R720-1)*(1/Q720)))))/Inputs!$B$44),IF(Inputs!$B$39="pvp",MIN((Skills!T17*(1+Inputs!$B$35/100)),15)/15,MIN(1,(Skills!T17*(1+Inputs!$B$35/100))/(1/Q720)))))+((C708=TRUE)*IF(Inputs!$B$3&gt;=126,10*MIN(1,15*Q708),0))+((C717=TRUE)*IF(Inputs!$B$39="pvp",20,(1-Summary!$B$11)*(20)+Summary!$B$11*(0))*IF(AND(Inputs!$B$39&lt;&gt;"pvp",Inputs!$B$44&gt;0),(((R717-1)*MIN((Skills!T14*(1+Inputs!$B$35/100)),(1/Q717))+MIN((Skills!T14*(1+Inputs!$B$35/100)),MAX(0,Inputs!$B$44-((R717-1)*(1/Q717)))))/Inputs!$B$44),IF(Inputs!$B$39="pvp",MIN((Skills!T14*(1+Inputs!$B$35/100)),15)/15,MIN(1,(Skills!T14*(1+Inputs!$B$35/100))/(1/Q717)))))+((C716=TRUE)*IF(Inputs!$B$3&gt;=82,IF(Inputs!$B$39="pvp",20,(1-Summary!$B$11)*(20)+Summary!$B$11*(0)),0)*IF(AND(Inputs!$B$39&lt;&gt;"pvp",Inputs!$B$44&gt;0),(((R716-1)*MIN((Skills!T13*(1+Inputs!$B$35/100)),(1/Q716))+MIN((Skills!T13*(1+Inputs!$B$35/100)),MAX(0,Inputs!$B$44-((R716-1)*(1/Q716)))))/Inputs!$B$44),IF(Inputs!$B$39="pvp",MIN((Skills!T13*(1+Inputs!$B$35/100)),15)/15,MIN(1,(Skills!T13*(1+Inputs!$B$35/100))/(1/Q716)))))+(IF(AND(ArtifactsInput!$M$35,Inputs!$B$4&lt;&gt;"Chapter Hunt"),CHOOSE(ArtifactsInput!$N$35+1,15,18,21,24,27,30)*(1-EXP(-(0.2*B734)*5)),0)+IF(AND(ArtifactsInput!$M$22,Inputs!$B$4&lt;&gt;"Chapter Hunt"),CHOOSE(ArtifactsInput!$N$22+1,10,12,14,16,18,20)*((0*(((0.15*B734*5))^0/1)+1*(((0.15*B734*5))^1/1)+2*(((0.15*B734*5))^2/2)+3*(((0.15*B734*5))^3/6)+4*(((0.15*B734*5))^4/24)+5*(((0.15*B734*5))^5/120))/((((0.15*B734*5))^0/1)+(((0.15*B734*5))^1/1)+(((0.15*B734*5))^2/2)+(((0.15*B734*5))^3/6)+(((0.15*B734*5))^4/24)+(((0.15*B734*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14">
      <c r="A714">
        <f>Skills!A11</f>
        <v/>
      </c>
      <c r="B714">
        <f>Skills!B11</f>
        <v/>
      </c>
      <c r="C714">
        <f>Inputs!$B$3&gt;=100</f>
        <v/>
      </c>
      <c r="D714">
        <f>IF(Skills!C11=1,60+Inputs!$B$26+Inputs!$B$30,IF(Skills!C11=2,90+Inputs!$B$27+Inputs!$B$30,IF(Skills!C11=3,120+Inputs!$B$28+Inputs!$B$30,MAX(0,(Inputs!$B$3-100)*3)+Inputs!$B$29+Inputs!$B$30)))</f>
        <v/>
      </c>
      <c r="E714">
        <f>INDEX(FactorTable!$B$2:$Y$301, MATCH(ROUND(MIN(300,MAX(1,D714)),0), FactorTable!$A$2:$A$301,0), Skills!M11+1)</f>
        <v/>
      </c>
      <c r="F714">
        <f>IF(Skills!N11=TRUE,(Skills!L11/10)*(E714/1000),Skills!L11/10)+Skills!O11</f>
        <v/>
      </c>
      <c r="G714" t="inlineStr"/>
      <c r="H714" t="inlineStr"/>
      <c r="I714" t="inlineStr">
        <is>
          <t>1</t>
        </is>
      </c>
      <c r="J714" t="inlineStr"/>
      <c r="K714" t="inlineStr"/>
      <c r="L714" t="inlineStr"/>
      <c r="M714" t="inlineStr"/>
      <c r="N714" t="inlineStr"/>
      <c r="O714" t="inlineStr"/>
      <c r="P714" t="inlineStr"/>
      <c r="Q714" t="inlineStr"/>
      <c r="R714" t="inlineStr"/>
      <c r="S714" t="inlineStr"/>
    </row>
    <row r="715">
      <c r="A715">
        <f>Skills!A12</f>
        <v/>
      </c>
      <c r="B715">
        <f>Skills!B12</f>
        <v/>
      </c>
      <c r="C715">
        <f>Inputs!$B$3&gt;=63</f>
        <v/>
      </c>
      <c r="D715">
        <f>IF(Skills!C12=1,60+Inputs!$B$26+Inputs!$B$30,IF(Skills!C12=2,90+Inputs!$B$27+Inputs!$B$30,IF(Skills!C12=3,120+Inputs!$B$28+Inputs!$B$30,MAX(0,(Inputs!$B$3-100)*3)+Inputs!$B$29+Inputs!$B$30)))</f>
        <v/>
      </c>
      <c r="E715">
        <f>INDEX(FactorTable!$B$2:$Y$301, MATCH(ROUND(MIN(300,MAX(1,D715)),0), FactorTable!$A$2:$A$301,0), Skills!M12+1)</f>
        <v/>
      </c>
      <c r="F715">
        <f>IF(Skills!N12=TRUE,(Skills!L12/10)*(E715/1000),Skills!L12/10)+Skills!O12</f>
        <v/>
      </c>
      <c r="G715">
        <f>Skills!G12*IF(Skills!H12&gt;0,INT(IF(Inputs!$B$39="pvp",MIN(Skills!I12,15),Skills!I12)/Skills!H12+0.000000001),1)</f>
        <v/>
      </c>
      <c r="H715">
        <f>1-(1-Skills!J12/100)^Skills!K12</f>
        <v/>
      </c>
      <c r="I715" t="inlineStr">
        <is>
          <t>1</t>
        </is>
      </c>
      <c r="J715">
        <f>((Inputs!$B$6*(1+Inputs!$B$7/100))+(((Inputs!$B$13*(1+Inputs!$B$14/100))-(Inputs!$B$13*(1+Inputs!$B$14/100)))+0.25*(Inputs!$B$15-Inputs!$B$15))*(1+Inputs!$B$7/100))*(F715/100)</f>
        <v/>
      </c>
      <c r="K715">
        <f>J715*(1+(((Inputs!$B$13+IF(Inputs!$B$3&gt;=38,(10*INDEX(FactorTable!$B$2:$Y$301, MATCH(ROUND(MIN(300,MAX(1,Inputs!$B$3)),0), FactorTable!$A$2:$A$301,0), 23)/1000)/100*(Inputs!$B$8*(1+Inputs!$B$9/100)),0))*(1+Inputs!$B$14/100))*0.01+Inputs!$B$15*0.0025)/100)*(1+Inputs!$B$16/100)*(1+Inputs!$B$17/100)*(5000/(6000+Inputs!$B$43*(1-(((1-(1-Inputs!$B$20/100)*(1-1/100))*100)+0)/100)))*(1+(Inputs!$B$25+((C728=TRUE)*(F728-Calc!F25))+((C729=TRUE)*(F729-Calc!F26))+B738)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714=TRUE,F714,0)/100)*(1+(IF(Skills!A12="DARK_IMPALE",Inputs!$B$18+0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gt;=100),MIN(100,((Inputs!$B$10+0+B732+(ArtifactsInput!$M$24-ArtifactsInput!$M$24)*CHOOSE(ArtifactsInput!$N$24+1,10,12,14,16,18,20)+IF(ArtifactsInput!$M$10,CHOOSE(ArtifactsInput!$N$10+1,15,18,21,24,27,30)*(IF(Inputs!$B$39="pvp",MIN(15,15)/15,IF(AND(Inputs!$B$39&lt;&gt;"pvp",Inputs!$B$44&gt;0),MIN(15,Inputs!$B$44)/(Inputs!$B$44),0))),0)))-100),0))*CHOOSE(ArtifactsInput!$N$42+1,0.6,0.72,0.84,0.96,1.08,1.2))),Inputs!$B$19+((C726=TRUE)*(F726-Calc!F23))+(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gt;=100),CHOOSE(ArtifactsInput!$N$42+1,40,48,56,64,72,80),0))))/100)*((1+(((C716=TRUE)*F716*IF(AND(Inputs!$B$39&lt;&gt;"pvp",Inputs!$B$44&gt;0),(((R716-1)*MIN((Skills!T13*(1+Inputs!$B$35/100)),(1/Q716))+MIN((Skills!T13*(1+Inputs!$B$35/100)),MAX(0,Inputs!$B$44-((R716-1)*(1/Q716)))))/Inputs!$B$44),IF(Inputs!$B$39="pvp",MIN((Skills!T13*(1+Inputs!$B$35/100)),15)/15,MIN(1,(Skills!T13*(1+Inputs!$B$35/100))/(1/Q716)))))+((C717=TRUE)*F717*IF(AND(Inputs!$B$39&lt;&gt;"pvp",Inputs!$B$44&gt;0),(((R717-1)*MIN((Skills!T14*(1+Inputs!$B$35/100)),(1/Q717))+MIN((Skills!T14*(1+Inputs!$B$35/100)),MAX(0,Inputs!$B$44-((R717-1)*(1/Q717)))))/Inputs!$B$44),IF(Inputs!$B$39="pvp",MIN((Skills!T14*(1+Inputs!$B$35/100)),15)/15,MIN(1,(Skills!T14*(1+Inputs!$B$35/100))/(1/Q717)))))+((C718=TRUE)*F718*IF(AND(Inputs!$B$39&lt;&gt;"pvp",Inputs!$B$44&gt;0),(((R718-1)*MIN((Skills!T15*(1+Inputs!$B$35/100)),(1/Q718))+MIN((Skills!T15*(1+Inputs!$B$35/100)),MAX(0,Inputs!$B$44-((R718-1)*(1/Q718)))))/Inputs!$B$44),IF(Inputs!$B$39="pvp",MIN((Skills!T15*(1+Inputs!$B$35/100)),15)/15,MIN(1,(Skills!T15*(1+Inputs!$B$35/100))/(1/Q718)))))+((C719=TRUE)*F719*IF(AND(Inputs!$B$39&lt;&gt;"pvp",Inputs!$B$44&gt;0),(((R719-1)*MIN((Skills!T16*(1+Inputs!$B$35/100)),(1/Q719))+MIN((Skills!T16*(1+Inputs!$B$35/100)),MAX(0,Inputs!$B$44-((R719-1)*(1/Q719)))))/Inputs!$B$44),IF(Inputs!$B$39="pvp",MIN((Skills!T16*(1+Inputs!$B$35/100)),15)/15,MIN(1,(Skills!T16*(1+Inputs!$B$35/100))/(1/Q719)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715)</f>
        <v/>
      </c>
      <c r="L715">
        <f>K715*(MIN(Inputs!$B$23+((C725=TRUE)*(F725-Calc!F22)),(Inputs!$B$24+((C727=TRUE)*(F727-Calc!F24))+(IF(ArtifactsInput!$M$15,CHOOSE(ArtifactsInput!$N$15+1,25,30,35,40,45,50)/100*(Inputs!$B$12-Inputs!$B$12),0))))/100+(Inputs!$B$24+((C727=TRUE)*(F727-Calc!F24))+(IF(ArtifactsInput!$M$15,CHOOSE(ArtifactsInput!$N$15+1,25,30,35,40,45,50)/100*(Inputs!$B$12-Inputs!$B$12),0)))/100)/2</f>
        <v/>
      </c>
      <c r="M715">
        <f>L715*(1+(Inputs!$B$11+0+B737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715">
        <f>L715*(1-MIN((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715*(MIN((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15">
        <f>(1-Summary!$B$11)*T715+Summary!$B$11*V715</f>
        <v/>
      </c>
      <c r="P715">
        <f>IF(B742=0,0,O715/B742)</f>
        <v/>
      </c>
      <c r="Q715">
        <f>IFERROR(1/IF(Inputs!$B$39="pvp",15,MAX(0.1,Skills!D12-IF(TRUE=TRUE,Inputs!$B$33,0))),0)</f>
        <v/>
      </c>
      <c r="R715">
        <f>IF(AND(Inputs!$B$39&lt;&gt;"pvp",Inputs!$B$44&gt;0),IF(MAX(0,Inputs!$B$44-B739)&lt;=0,0,(INT(MAX(0,Inputs!$B$44-B739)/IF(Inputs!$B$39="pvp",15,MAX(0.1,Skills!D12-IF(TRUE=TRUE,Inputs!$B$33,0))))+1)),0)</f>
        <v/>
      </c>
      <c r="S715">
        <f>IFERROR(O715/N715,0)</f>
        <v/>
      </c>
      <c r="T715">
        <f>IF(C715,(H715*N715*IF(AND(Inputs!$B$39&lt;&gt;"pvp",Inputs!$B$44&gt;0),((Skills!G12*((R715-1)*IF(Skills!H12&gt;0,INT(Skills!I12/Skills!H12+0.000000001),1)+IF(Skills!H12&gt;0,INT(MIN(Skills!I12,MAX(0,MAX(0,Inputs!$B$44-B739)-((R715-1)*IF(Inputs!$B$39="pvp",15,MAX(0.1,Skills!D12-IF(TRUE=TRUE,Inputs!$B$33,0))))))/Skills!H12+0.000000001),1)))/Inputs!$B$44),G715*Q715))*IF(Inputs!$B$39="pvp",1,1+(Inputs!$B$21+0+Skills!P12+((C720=TRUE)*F720*IF(AND(Inputs!$B$39&lt;&gt;"pvp",Inputs!$B$44&gt;0),(((R720-1)*MIN((Skills!T17*(1+Inputs!$B$35/100)),(1/Q720))+MIN((Skills!T17*(1+Inputs!$B$35/100)),MAX(0,Inputs!$B$44-((R720-1)*(1/Q720)))))/Inputs!$B$44),IF(Inputs!$B$39="pvp",MIN((Skills!T17*(1+Inputs!$B$35/100)),15)/15,MIN(1,(Skills!T17*(1+Inputs!$B$35/100))/(1/Q720)))))+((C708=TRUE)*IF(Inputs!$B$3&gt;=126,10*MIN(1,15*Q708),0))+((C717=TRUE)*IF(Inputs!$B$39="pvp",20,(1-Summary!$B$11)*(20)+Summary!$B$11*(0))*IF(AND(Inputs!$B$39&lt;&gt;"pvp",Inputs!$B$44&gt;0),(((R717-1)*MIN((Skills!T14*(1+Inputs!$B$35/100)),(1/Q717))+MIN((Skills!T14*(1+Inputs!$B$35/100)),MAX(0,Inputs!$B$44-((R717-1)*(1/Q717)))))/Inputs!$B$44),IF(Inputs!$B$39="pvp",MIN((Skills!T14*(1+Inputs!$B$35/100)),15)/15,MIN(1,(Skills!T14*(1+Inputs!$B$35/100))/(1/Q717)))))+((C716=TRUE)*IF(Inputs!$B$3&gt;=82,IF(Inputs!$B$39="pvp",20,(1-Summary!$B$11)*(20)+Summary!$B$11*(0)),0)*IF(AND(Inputs!$B$39&lt;&gt;"pvp",Inputs!$B$44&gt;0),(((R716-1)*MIN((Skills!T13*(1+Inputs!$B$35/100)),(1/Q716))+MIN((Skills!T13*(1+Inputs!$B$35/100)),MAX(0,Inputs!$B$44-((R716-1)*(1/Q716)))))/Inputs!$B$44),IF(Inputs!$B$39="pvp",MIN((Skills!T13*(1+Inputs!$B$35/100)),15)/15,MIN(1,(Skills!T13*(1+Inputs!$B$35/100))/(1/Q716)))))+(IF(AND(ArtifactsInput!$M$35,Inputs!$B$4&lt;&gt;"Chapter Hunt"),CHOOSE(ArtifactsInput!$N$35+1,15,18,21,24,27,30)*(1-EXP(-(0.2*B734)*5)),0)+IF(AND(ArtifactsInput!$M$22,Inputs!$B$4&lt;&gt;"Chapter Hunt"),CHOOSE(ArtifactsInput!$N$22+1,10,12,14,16,18,20)*((0*(((0.15*B734*5))^0/1)+1*(((0.15*B734*5))^1/1)+2*(((0.15*B734*5))^2/2)+3*(((0.15*B734*5))^3/6)+4*(((0.15*B734*5))^4/24)+5*(((0.15*B734*5))^5/120))/((((0.15*B734*5))^0/1)+(((0.15*B734*5))^1/1)+(((0.15*B734*5))^2/2)+(((0.15*B734*5))^3/6)+(((0.15*B734*5))^4/24)+(((0.15*B734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(1-(1-Inputs!$B$20/100)*(1-1/100))*100)+0)/100)*(1-CHOOSE(ArtifactsInput!$N$40+1,5,6,7,8,9,10)/100)^(ArtifactsInput!$M$40-ArtifactsInput!$M$40)))/100)*(1-IF(ArtifactsInput!$M$40,CHOOSE(ArtifactsInput!$N$40+1,5,6,7,8,9,10),0)/100)^IF(Inputs!$B$39="pvp",1,2)))/100)))/(5000/(6000+Inputs!$B$43*(1-(100*(1-(1-(((1-(1-Inputs!$B$20/100)*(1-1/100))*100)+0)/100)*(1-CHOOSE(ArtifactsInput!$N$40+1,5,6,7,8,9,10)/100)^(ArtifactsInput!$M$40-ArtifactsInput!$M$40)))/100))))*((L715*(1-MIN(100,(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715*(MIN(100,(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715*(1-MIN(100,(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715*(MIN(100,(Inputs!$B$10+0+B732+(ArtifactsInput!$M$24-ArtifactsInput!$M$24)*CHOOSE(ArtifactsInput!$N$24+1,10,12,14,16,18,20)+(IF(AND(Inputs!$B$39&lt;&gt;"pvp",Inputs!$B$44=0),1,IF(IF(Inputs!$B$39="pvp",15,Inputs!$B$44)-(B739)&lt;=0,1,MAX(0,IF(Inputs!$B$39="pvp",15,Inputs!$B$44)-MAX(5,B739))/(IF(Inputs!$B$39="pvp",15,Inputs!$B$44)-(B739))))*IF(AND(ArtifactsInput!$M$42,((Inputs!$B$10+0+B732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15">
        <f>IF(C715,(H715*N715*IF(AND(Inputs!$B$39&lt;&gt;"pvp",Inputs!$B$44&gt;0),((Skills!G12*((R715-1)*IF(Skills!H12&gt;0,INT(Skills!I12/Skills!H12+0.000000001),1)+IF(Skills!H12&gt;0,INT(MIN(Skills!I12,MAX(0,MAX(0,Inputs!$B$44-B739)-((R715-1)*IF(Inputs!$B$39="pvp",15,MAX(0.1,Skills!D12-IF(TRUE=TRUE,Inputs!$B$33,0))))))/Skills!H12+0.000000001),1)))/Inputs!$B$44),G715*Q715))*IF(Inputs!$B$39="pvp",1,(1+(Inputs!$B$22+Skills!Q12+((C720=TRUE)*F720*IF(AND(Inputs!$B$39&lt;&gt;"pvp",Inputs!$B$44&gt;0),(((R720-1)*MIN((Skills!T17*(1+Inputs!$B$35/100)),(1/Q720))+MIN((Skills!T17*(1+Inputs!$B$35/100)),MAX(0,Inputs!$B$44-((R720-1)*(1/Q720)))))/Inputs!$B$44),IF(Inputs!$B$39="pvp",MIN((Skills!T17*(1+Inputs!$B$35/100)),15)/15,MIN(1,(Skills!T17*(1+Inputs!$B$35/100))/(1/Q720)))))+((C708=TRUE)*IF(Inputs!$B$3&gt;=126,10*MIN(1,15*Q708),0))+((C717=TRUE)*IF(Inputs!$B$39="pvp",20,(1-Summary!$B$11)*(20)+Summary!$B$11*(0))*IF(AND(Inputs!$B$39&lt;&gt;"pvp",Inputs!$B$44&gt;0),(((R717-1)*MIN((Skills!T14*(1+Inputs!$B$35/100)),(1/Q717))+MIN((Skills!T14*(1+Inputs!$B$35/100)),MAX(0,Inputs!$B$44-((R717-1)*(1/Q717)))))/Inputs!$B$44),IF(Inputs!$B$39="pvp",MIN((Skills!T14*(1+Inputs!$B$35/100)),15)/15,MIN(1,(Skills!T14*(1+Inputs!$B$35/100))/(1/Q717)))))+((C716=TRUE)*IF(Inputs!$B$3&gt;=82,IF(Inputs!$B$39="pvp",20,(1-Summary!$B$11)*(20)+Summary!$B$11*(0)),0)*IF(AND(Inputs!$B$39&lt;&gt;"pvp",Inputs!$B$44&gt;0),(((R716-1)*MIN((Skills!T13*(1+Inputs!$B$35/100)),(1/Q716))+MIN((Skills!T13*(1+Inputs!$B$35/100)),MAX(0,Inputs!$B$44-((R716-1)*(1/Q716)))))/Inputs!$B$44),IF(Inputs!$B$39="pvp",MIN((Skills!T13*(1+Inputs!$B$35/100)),15)/15,MIN(1,(Skills!T13*(1+Inputs!$B$35/100))/(1/Q716)))))+(IF(AND(ArtifactsInput!$M$35,Inputs!$B$4&lt;&gt;"Chapter Hunt"),CHOOSE(ArtifactsInput!$N$35+1,15,18,21,24,27,30)*(1-EXP(-(0.2*B734)*5)),0)+IF(AND(ArtifactsInput!$M$22,Inputs!$B$4&lt;&gt;"Chapter Hunt"),CHOOSE(ArtifactsInput!$N$22+1,10,12,14,16,18,20)*((0*(((0.15*B734*5))^0/1)+1*(((0.15*B734*5))^1/1)+2*(((0.15*B734*5))^2/2)+3*(((0.15*B734*5))^3/6)+4*(((0.15*B734*5))^4/24)+5*(((0.15*B734*5))^5/120))/((((0.15*B734*5))^0/1)+(((0.15*B734*5))^1/1)+(((0.15*B734*5))^2/2)+(((0.15*B734*5))^3/6)+(((0.15*B734*5))^4/24)+(((0.15*B734*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16">
      <c r="A716">
        <f>Skills!A13</f>
        <v/>
      </c>
      <c r="B716">
        <f>Skills!B13</f>
        <v/>
      </c>
      <c r="C716">
        <f>Inputs!$B$3&gt;=69</f>
        <v/>
      </c>
      <c r="D716">
        <f>IF(Skills!C13=1,60+Inputs!$B$26+Inputs!$B$30,IF(Skills!C13=2,90+Inputs!$B$27+Inputs!$B$30,IF(Skills!C13=3,120+Inputs!$B$28+Inputs!$B$30,MAX(0,(Inputs!$B$3-100)*3)+Inputs!$B$29+Inputs!$B$30)))</f>
        <v/>
      </c>
      <c r="E716">
        <f>INDEX(FactorTable!$B$2:$Y$301, MATCH(ROUND(MIN(300,MAX(1,D716)),0), FactorTable!$A$2:$A$301,0), Skills!M13+1)</f>
        <v/>
      </c>
      <c r="F716">
        <f>IF(Skills!N13=TRUE,(Skills!L13/10)*(E716/1000),Skills!L13/10)+Skills!O13</f>
        <v/>
      </c>
      <c r="G716">
        <f>Skills!G13*IF(Skills!H13&gt;0,INT(IF(Inputs!$B$39="pvp",MIN(Skills!I13,15),Skills!I13)/Skills!H13+0.000000001),1)</f>
        <v/>
      </c>
      <c r="H716">
        <f>1-(1-Skills!J13/100)^Skills!K13</f>
        <v/>
      </c>
      <c r="I716" t="inlineStr">
        <is>
          <t>1</t>
        </is>
      </c>
      <c r="J716" t="inlineStr"/>
      <c r="K716" t="inlineStr"/>
      <c r="L716" t="inlineStr"/>
      <c r="M716" t="inlineStr"/>
      <c r="N716" t="inlineStr"/>
      <c r="O716">
        <f>(1-Summary!$B$11)*T716+Summary!$B$11*V716</f>
        <v/>
      </c>
      <c r="P716">
        <f>IF(B742=0,0,O716/B742)</f>
        <v/>
      </c>
      <c r="Q716">
        <f>IFERROR(1/IF(Inputs!$B$39="pvp",15,MAX(0.1,Skills!D13-IF(TRUE=TRUE,Inputs!$B$33,0))),0)</f>
        <v/>
      </c>
      <c r="R716">
        <f>IF(AND(Inputs!$B$39&lt;&gt;"pvp",Inputs!$B$44&gt;0),IF(Inputs!$B$44&lt;=0,0,(INT(Inputs!$B$44/IF(Inputs!$B$39="pvp",15,MAX(0.1,Skills!D13-IF(TRUE=TRUE,Inputs!$B$33,0))))+1)),0)</f>
        <v/>
      </c>
      <c r="S716">
        <f>IFERROR(O716/N716,0)</f>
        <v/>
      </c>
      <c r="T716" t="n">
        <v>0</v>
      </c>
      <c r="V716" t="n">
        <v>0</v>
      </c>
    </row>
    <row r="717">
      <c r="A717">
        <f>Skills!A14</f>
        <v/>
      </c>
      <c r="B717">
        <f>Skills!B14</f>
        <v/>
      </c>
      <c r="C717">
        <f>Inputs!$B$3&gt;=115</f>
        <v/>
      </c>
      <c r="D717">
        <f>IF(Skills!C14=1,60+Inputs!$B$26+Inputs!$B$30,IF(Skills!C14=2,90+Inputs!$B$27+Inputs!$B$30,IF(Skills!C14=3,120+Inputs!$B$28+Inputs!$B$30,MAX(0,(Inputs!$B$3-100)*3)+Inputs!$B$29+Inputs!$B$30)))</f>
        <v/>
      </c>
      <c r="E717">
        <f>INDEX(FactorTable!$B$2:$Y$301, MATCH(ROUND(MIN(300,MAX(1,D717)),0), FactorTable!$A$2:$A$301,0), Skills!M14+1)</f>
        <v/>
      </c>
      <c r="F717">
        <f>IF(Skills!N14=TRUE,(Skills!L14/10)*(E717/1000),Skills!L14/10)+Skills!O14</f>
        <v/>
      </c>
      <c r="G717">
        <f>Skills!G14*IF(Skills!H14&gt;0,INT(IF(Inputs!$B$39="pvp",MIN(Skills!I14,15),Skills!I14)/Skills!H14+0.000000001),1)</f>
        <v/>
      </c>
      <c r="H717">
        <f>1-(1-Skills!J14/100)^Skills!K14</f>
        <v/>
      </c>
      <c r="I717" t="inlineStr">
        <is>
          <t>1</t>
        </is>
      </c>
      <c r="J717" t="inlineStr"/>
      <c r="K717" t="inlineStr"/>
      <c r="L717" t="inlineStr"/>
      <c r="M717" t="inlineStr"/>
      <c r="N717" t="inlineStr"/>
      <c r="O717">
        <f>(1-Summary!$B$11)*T717+Summary!$B$11*V717</f>
        <v/>
      </c>
      <c r="P717">
        <f>IF(B742=0,0,O717/B742)</f>
        <v/>
      </c>
      <c r="Q717">
        <f>IFERROR(1/IF(Inputs!$B$39="pvp",15,MAX(0.1,Skills!D14-IF(TRUE=TRUE,Inputs!$B$33,0))),0)</f>
        <v/>
      </c>
      <c r="R717">
        <f>IF(AND(Inputs!$B$39&lt;&gt;"pvp",Inputs!$B$44&gt;0),IF(Inputs!$B$44&lt;=0,0,(INT(Inputs!$B$44/IF(Inputs!$B$39="pvp",15,MAX(0.1,Skills!D14-IF(TRUE=TRUE,Inputs!$B$33,0))))+1)),0)</f>
        <v/>
      </c>
      <c r="S717">
        <f>IFERROR(O717/N717,0)</f>
        <v/>
      </c>
      <c r="T717" t="n">
        <v>0</v>
      </c>
      <c r="V717" t="n">
        <v>0</v>
      </c>
    </row>
    <row r="718">
      <c r="A718">
        <f>Skills!A15</f>
        <v/>
      </c>
      <c r="B718">
        <f>Skills!B15</f>
        <v/>
      </c>
      <c r="C718">
        <f>Inputs!$B$3&gt;=66</f>
        <v/>
      </c>
      <c r="D718">
        <f>IF(Skills!C15=1,60+Inputs!$B$26+Inputs!$B$30,IF(Skills!C15=2,90+Inputs!$B$27+Inputs!$B$30,IF(Skills!C15=3,120+Inputs!$B$28+Inputs!$B$30,MAX(0,(Inputs!$B$3-100)*3)+Inputs!$B$29+Inputs!$B$30)))</f>
        <v/>
      </c>
      <c r="E718">
        <f>INDEX(FactorTable!$B$2:$Y$301, MATCH(ROUND(MIN(300,MAX(1,D718)),0), FactorTable!$A$2:$A$301,0), Skills!M15+1)</f>
        <v/>
      </c>
      <c r="F718">
        <f>IF(Skills!N15=TRUE,(Skills!L15/10)*(E718/1000),Skills!L15/10)+Skills!O15</f>
        <v/>
      </c>
      <c r="G718">
        <f>Skills!G15*IF(Skills!H15&gt;0,INT(IF(Inputs!$B$39="pvp",MIN(Skills!I15,15),Skills!I15)/Skills!H15+0.000000001),1)</f>
        <v/>
      </c>
      <c r="H718">
        <f>1-(1-Skills!J15/100)^Skills!K15</f>
        <v/>
      </c>
      <c r="I718" t="inlineStr">
        <is>
          <t>1</t>
        </is>
      </c>
      <c r="J718" t="inlineStr"/>
      <c r="K718" t="inlineStr"/>
      <c r="L718" t="inlineStr"/>
      <c r="M718" t="inlineStr"/>
      <c r="N718" t="inlineStr"/>
      <c r="O718">
        <f>(1-Summary!$B$11)*T718+Summary!$B$11*V718</f>
        <v/>
      </c>
      <c r="P718">
        <f>IF(B742=0,0,O718/B742)</f>
        <v/>
      </c>
      <c r="Q718">
        <f>IFERROR(1/IF(Inputs!$B$39="pvp",15,MAX(0.1,Skills!D15-IF(TRUE=TRUE,Inputs!$B$33,0))),0)</f>
        <v/>
      </c>
      <c r="R718">
        <f>IF(AND(Inputs!$B$39&lt;&gt;"pvp",Inputs!$B$44&gt;0),IF(Inputs!$B$44&lt;=0,0,(INT(Inputs!$B$44/IF(Inputs!$B$39="pvp",15,MAX(0.1,Skills!D15-IF(TRUE=TRUE,Inputs!$B$33,0))))+1)),0)</f>
        <v/>
      </c>
      <c r="S718">
        <f>IFERROR(O718/N718,0)</f>
        <v/>
      </c>
      <c r="T718" t="n">
        <v>0</v>
      </c>
      <c r="V718" t="n">
        <v>0</v>
      </c>
    </row>
    <row r="719">
      <c r="A719">
        <f>Skills!A16</f>
        <v/>
      </c>
      <c r="B719">
        <f>Skills!B16</f>
        <v/>
      </c>
      <c r="C719">
        <f>Inputs!$B$3&gt;=45</f>
        <v/>
      </c>
      <c r="D719">
        <f>IF(Skills!C16=1,60+Inputs!$B$26+Inputs!$B$30,IF(Skills!C16=2,90+Inputs!$B$27+Inputs!$B$30,IF(Skills!C16=3,120+Inputs!$B$28+Inputs!$B$30,MAX(0,(Inputs!$B$3-100)*3)+Inputs!$B$29+Inputs!$B$30)))</f>
        <v/>
      </c>
      <c r="E719">
        <f>INDEX(FactorTable!$B$2:$Y$301, MATCH(ROUND(MIN(300,MAX(1,D719)),0), FactorTable!$A$2:$A$301,0), Skills!M16+1)</f>
        <v/>
      </c>
      <c r="F719">
        <f>IF(Skills!N16=TRUE,(Skills!L16/10)*(E719/1000),Skills!L16/10)+Skills!O16</f>
        <v/>
      </c>
      <c r="G719">
        <f>Skills!G16*IF(Skills!H16&gt;0,INT(IF(Inputs!$B$39="pvp",MIN(Skills!I16,15),Skills!I16)/Skills!H16+0.000000001),1)</f>
        <v/>
      </c>
      <c r="H719">
        <f>1-(1-Skills!J16/100)^Skills!K16</f>
        <v/>
      </c>
      <c r="I719" t="inlineStr">
        <is>
          <t>1</t>
        </is>
      </c>
      <c r="J719" t="inlineStr"/>
      <c r="K719" t="inlineStr"/>
      <c r="L719" t="inlineStr"/>
      <c r="M719" t="inlineStr"/>
      <c r="N719" t="inlineStr"/>
      <c r="O719">
        <f>(1-Summary!$B$11)*T719+Summary!$B$11*V719</f>
        <v/>
      </c>
      <c r="P719">
        <f>IF(B742=0,0,O719/B742)</f>
        <v/>
      </c>
      <c r="Q719">
        <f>IFERROR(1/IF(Inputs!$B$39="pvp",15,MAX(0.1,Skills!D16-IF(TRUE=TRUE,Inputs!$B$33,0))),0)</f>
        <v/>
      </c>
      <c r="R719">
        <f>IF(AND(Inputs!$B$39&lt;&gt;"pvp",Inputs!$B$44&gt;0),IF(Inputs!$B$44&lt;=0,0,(INT(Inputs!$B$44/IF(Inputs!$B$39="pvp",15,MAX(0.1,Skills!D16-IF(TRUE=TRUE,Inputs!$B$33,0))))+1)),0)</f>
        <v/>
      </c>
      <c r="S719">
        <f>IFERROR(O719/N719,0)</f>
        <v/>
      </c>
      <c r="T719" t="n">
        <v>0</v>
      </c>
      <c r="V719" t="n">
        <v>0</v>
      </c>
    </row>
    <row r="720">
      <c r="A720">
        <f>Skills!A17</f>
        <v/>
      </c>
      <c r="B720">
        <f>Skills!B17</f>
        <v/>
      </c>
      <c r="C720">
        <f>Inputs!$B$3&gt;=35</f>
        <v/>
      </c>
      <c r="D720">
        <f>IF(Skills!C17=1,60+Inputs!$B$26+Inputs!$B$30,IF(Skills!C17=2,90+Inputs!$B$27+Inputs!$B$30,IF(Skills!C17=3,120+Inputs!$B$28+Inputs!$B$30,MAX(0,(Inputs!$B$3-100)*3)+Inputs!$B$29+Inputs!$B$30)))</f>
        <v/>
      </c>
      <c r="E720">
        <f>INDEX(FactorTable!$B$2:$Y$301, MATCH(ROUND(MIN(300,MAX(1,D720)),0), FactorTable!$A$2:$A$301,0), Skills!M17+1)</f>
        <v/>
      </c>
      <c r="F720">
        <f>IF(Skills!N17=TRUE,(Skills!L17/10)*(E720/1000),Skills!L17/10)+Skills!O17</f>
        <v/>
      </c>
      <c r="G720">
        <f>Skills!G17*IF(Skills!H17&gt;0,INT(IF(Inputs!$B$39="pvp",MIN(Skills!I17,15),Skills!I17)/Skills!H17+0.000000001),1)</f>
        <v/>
      </c>
      <c r="H720">
        <f>1-(1-Skills!J17/100)^Skills!K17</f>
        <v/>
      </c>
      <c r="I720" t="inlineStr">
        <is>
          <t>1</t>
        </is>
      </c>
      <c r="J720" t="inlineStr"/>
      <c r="K720" t="inlineStr"/>
      <c r="L720" t="inlineStr"/>
      <c r="M720" t="inlineStr"/>
      <c r="N720" t="inlineStr"/>
      <c r="O720">
        <f>(1-Summary!$B$11)*T720+Summary!$B$11*V720</f>
        <v/>
      </c>
      <c r="P720">
        <f>IF(B742=0,0,O720/B742)</f>
        <v/>
      </c>
      <c r="Q720">
        <f>IFERROR(1/IF(Inputs!$B$39="pvp",15,MAX(0.1,Skills!D17-IF(TRUE=TRUE,Inputs!$B$33,0))),0)</f>
        <v/>
      </c>
      <c r="R720">
        <f>IF(AND(Inputs!$B$39&lt;&gt;"pvp",Inputs!$B$44&gt;0),IF(Inputs!$B$44&lt;=0,0,(INT(Inputs!$B$44/IF(Inputs!$B$39="pvp",15,MAX(0.1,Skills!D17-IF(TRUE=TRUE,Inputs!$B$33,0))))+1)),0)</f>
        <v/>
      </c>
      <c r="S720">
        <f>IFERROR(O720/N720,0)</f>
        <v/>
      </c>
      <c r="T720" t="n">
        <v>0</v>
      </c>
      <c r="V720" t="n">
        <v>0</v>
      </c>
    </row>
    <row r="721">
      <c r="A721">
        <f>Skills!A18</f>
        <v/>
      </c>
      <c r="B721">
        <f>Skills!B18</f>
        <v/>
      </c>
      <c r="C721">
        <f>Inputs!$B$3&gt;=72</f>
        <v/>
      </c>
      <c r="D721">
        <f>IF(Skills!C18=1,60+Inputs!$B$26+Inputs!$B$30,IF(Skills!C18=2,90+Inputs!$B$27+Inputs!$B$30,IF(Skills!C18=3,120+Inputs!$B$28+Inputs!$B$30,MAX(0,(Inputs!$B$3-100)*3)+Inputs!$B$29+Inputs!$B$30)))</f>
        <v/>
      </c>
      <c r="E721">
        <f>INDEX(FactorTable!$B$2:$Y$301, MATCH(ROUND(MIN(300,MAX(1,D721)),0), FactorTable!$A$2:$A$301,0), Skills!M18+1)</f>
        <v/>
      </c>
      <c r="F721">
        <f>IF(Skills!N18=TRUE,(Skills!L18/10)*(E721/1000),Skills!L18/10)+Skills!O18</f>
        <v/>
      </c>
      <c r="G721">
        <f>Skills!G18*IF(Skills!H18&gt;0,INT(IF(Inputs!$B$39="pvp",MIN(Skills!I18,15),Skills!I18)/Skills!H18+0.000000001),1)</f>
        <v/>
      </c>
      <c r="H721">
        <f>1-(1-Skills!J18/100)^Skills!K18</f>
        <v/>
      </c>
      <c r="I721" t="inlineStr">
        <is>
          <t>1</t>
        </is>
      </c>
      <c r="J721" t="inlineStr"/>
      <c r="K721" t="inlineStr"/>
      <c r="L721" t="inlineStr"/>
      <c r="M721" t="inlineStr"/>
      <c r="N721" t="inlineStr"/>
      <c r="O721">
        <f>(1-Summary!$B$11)*T721+Summary!$B$11*V721</f>
        <v/>
      </c>
      <c r="P721">
        <f>IF(B742=0,0,O721/B742)</f>
        <v/>
      </c>
      <c r="Q721">
        <f>IFERROR(1/IF(Inputs!$B$39="pvp",15,MAX(0.1,Skills!D18-IF(TRUE=TRUE,Inputs!$B$33,0))),0)</f>
        <v/>
      </c>
      <c r="R721">
        <f>IF(AND(Inputs!$B$39&lt;&gt;"pvp",Inputs!$B$44&gt;0),IF(Inputs!$B$44&lt;=0,0,(INT(Inputs!$B$44/IF(Inputs!$B$39="pvp",15,MAX(0.1,Skills!D18-IF(TRUE=TRUE,Inputs!$B$33,0))))+1)),0)</f>
        <v/>
      </c>
      <c r="S721">
        <f>IFERROR(O721/N721,0)</f>
        <v/>
      </c>
      <c r="T721" t="n">
        <v>0</v>
      </c>
      <c r="V721" t="n">
        <v>0</v>
      </c>
    </row>
    <row r="722">
      <c r="A722">
        <f>Skills!A19</f>
        <v/>
      </c>
      <c r="B722">
        <f>Skills!B19</f>
        <v/>
      </c>
      <c r="C722">
        <f>Inputs!$B$3&gt;=72</f>
        <v/>
      </c>
      <c r="D722">
        <f>IF(Skills!C19=1,60+Inputs!$B$26+Inputs!$B$30,IF(Skills!C19=2,90+Inputs!$B$27+Inputs!$B$30,IF(Skills!C19=3,120+Inputs!$B$28+Inputs!$B$30,MAX(0,(Inputs!$B$3-100)*3)+Inputs!$B$29+Inputs!$B$30)))</f>
        <v/>
      </c>
      <c r="E722">
        <f>INDEX(FactorTable!$B$2:$Y$301, MATCH(ROUND(MIN(300,MAX(1,D722)),0), FactorTable!$A$2:$A$301,0), Skills!M19+1)</f>
        <v/>
      </c>
      <c r="F722">
        <f>IF(Skills!N19=TRUE,(Skills!L19/10)*(E722/1000),Skills!L19/10)+Skills!O19</f>
        <v/>
      </c>
      <c r="G722">
        <f>Skills!G19*IF(Skills!H19&gt;0,INT(IF(Inputs!$B$39="pvp",MIN(Skills!I19,15),Skills!I19)/Skills!H19+0.000000001),1)</f>
        <v/>
      </c>
      <c r="H722">
        <f>1-(1-Skills!J19/100)^Skills!K19</f>
        <v/>
      </c>
      <c r="I722" t="inlineStr">
        <is>
          <t>1</t>
        </is>
      </c>
      <c r="J722" t="inlineStr"/>
      <c r="K722" t="inlineStr"/>
      <c r="L722" t="inlineStr"/>
      <c r="M722" t="inlineStr"/>
      <c r="N722" t="inlineStr"/>
      <c r="O722">
        <f>(1-Summary!$B$11)*T722+Summary!$B$11*V722</f>
        <v/>
      </c>
      <c r="P722">
        <f>IF(B742=0,0,O722/B742)</f>
        <v/>
      </c>
      <c r="Q722">
        <f>IFERROR(1/IF(Inputs!$B$39="pvp",15,MAX(0.1,Skills!D19-IF(TRUE=TRUE,Inputs!$B$33,0))),0)</f>
        <v/>
      </c>
      <c r="R722">
        <f>IF(AND(Inputs!$B$39&lt;&gt;"pvp",Inputs!$B$44&gt;0),IF(Inputs!$B$44&lt;=0,0,(INT(Inputs!$B$44/IF(Inputs!$B$39="pvp",15,MAX(0.1,Skills!D19-IF(TRUE=TRUE,Inputs!$B$33,0))))+1)),0)</f>
        <v/>
      </c>
      <c r="S722">
        <f>IFERROR(O722/N722,0)</f>
        <v/>
      </c>
      <c r="T722" t="n">
        <v>0</v>
      </c>
      <c r="V722" t="n">
        <v>0</v>
      </c>
    </row>
    <row r="723">
      <c r="A723">
        <f>Skills!A20</f>
        <v/>
      </c>
      <c r="B723">
        <f>Skills!B20</f>
        <v/>
      </c>
      <c r="C723">
        <f>TRUE</f>
        <v/>
      </c>
      <c r="D723">
        <f>IF(Skills!C20=1,60+Inputs!$B$26+Inputs!$B$30,IF(Skills!C20=2,90+Inputs!$B$27+Inputs!$B$30,IF(Skills!C20=3,120+Inputs!$B$28+Inputs!$B$30,MAX(0,(Inputs!$B$3-100)*3)+Inputs!$B$29+Inputs!$B$30)))</f>
        <v/>
      </c>
      <c r="E723">
        <f>INDEX(FactorTable!$B$2:$Y$301, MATCH(ROUND(MIN(300,MAX(1,D723)),0), FactorTable!$A$2:$A$301,0), Skills!M20+1)</f>
        <v/>
      </c>
      <c r="F723">
        <f>IF(Skills!N20=TRUE,(Skills!L20/10)*(E723/1000),Skills!L20/10)+Skills!O20</f>
        <v/>
      </c>
      <c r="G723">
        <f>Skills!G20*IF(Skills!H20&gt;0,INT(IF(Inputs!$B$39="pvp",MIN(Skills!I20,15),Skills!I20)/Skills!H20+0.000000001),1)</f>
        <v/>
      </c>
      <c r="H723">
        <f>1-(1-Skills!J20/100)^Skills!K20</f>
        <v/>
      </c>
      <c r="I723" t="inlineStr">
        <is>
          <t>1</t>
        </is>
      </c>
      <c r="J723" t="inlineStr"/>
      <c r="K723" t="inlineStr"/>
      <c r="L723" t="inlineStr"/>
      <c r="M723" t="inlineStr"/>
      <c r="N723" t="inlineStr"/>
      <c r="O723">
        <f>(1-Summary!$B$11)*T723+Summary!$B$11*V723</f>
        <v/>
      </c>
      <c r="P723">
        <f>IF(B742=0,0,O723/B742)</f>
        <v/>
      </c>
      <c r="Q723">
        <f>IFERROR(1/IF(Inputs!$B$39="pvp",15,MAX(0.1,Skills!D20-IF(TRUE=TRUE,Inputs!$B$33,0))),0)</f>
        <v/>
      </c>
      <c r="R723">
        <f>IF(AND(Inputs!$B$39&lt;&gt;"pvp",Inputs!$B$44&gt;0),IF(Inputs!$B$44&lt;=0,0,(INT(Inputs!$B$44/IF(Inputs!$B$39="pvp",15,MAX(0.1,Skills!D20-IF(TRUE=TRUE,Inputs!$B$33,0))))+1)),0)</f>
        <v/>
      </c>
      <c r="S723">
        <f>IFERROR(O723/N723,0)</f>
        <v/>
      </c>
      <c r="T723" t="n">
        <v>0</v>
      </c>
      <c r="V723" t="n">
        <v>0</v>
      </c>
    </row>
    <row r="724">
      <c r="A724">
        <f>Skills!A21</f>
        <v/>
      </c>
      <c r="B724">
        <f>Skills!B21</f>
        <v/>
      </c>
      <c r="C724">
        <f>Inputs!$B$3&gt;=33</f>
        <v/>
      </c>
      <c r="D724">
        <f>IF(Skills!C21=1,60+Inputs!$B$26+Inputs!$B$30,IF(Skills!C21=2,90+Inputs!$B$27+Inputs!$B$30,IF(Skills!C21=3,120+Inputs!$B$28+Inputs!$B$30,MAX(0,(Inputs!$B$3-100)*3)+Inputs!$B$29+Inputs!$B$30)))</f>
        <v/>
      </c>
      <c r="E724">
        <f>INDEX(FactorTable!$B$2:$Y$301, MATCH(ROUND(MIN(300,MAX(1,D724)),0), FactorTable!$A$2:$A$301,0), Skills!M21+1)</f>
        <v/>
      </c>
      <c r="F724">
        <f>IF(Skills!N21=TRUE,(Skills!L21/10)*(E724/1000),Skills!L21/10)+Skills!O21</f>
        <v/>
      </c>
      <c r="G724">
        <f>Skills!G21*IF(Skills!H21&gt;0,INT(IF(Inputs!$B$39="pvp",MIN(Skills!I21,15),Skills!I21)/Skills!H21+0.000000001),1)</f>
        <v/>
      </c>
      <c r="H724">
        <f>1-(1-Skills!J21/100)^Skills!K21</f>
        <v/>
      </c>
      <c r="I724" t="inlineStr">
        <is>
          <t>1</t>
        </is>
      </c>
      <c r="J724" t="inlineStr"/>
      <c r="K724" t="inlineStr"/>
      <c r="L724" t="inlineStr"/>
      <c r="M724" t="inlineStr"/>
      <c r="N724" t="inlineStr"/>
      <c r="O724">
        <f>(1-Summary!$B$11)*T724+Summary!$B$11*V724</f>
        <v/>
      </c>
      <c r="P724">
        <f>IF(B742=0,0,O724/B742)</f>
        <v/>
      </c>
      <c r="Q724" t="n">
        <v>0</v>
      </c>
      <c r="R724" t="n">
        <v>0</v>
      </c>
      <c r="S724">
        <f>IFERROR(O724/N724,0)</f>
        <v/>
      </c>
      <c r="T724" t="n">
        <v>0</v>
      </c>
      <c r="V724" t="n">
        <v>0</v>
      </c>
    </row>
    <row r="725">
      <c r="A725">
        <f>Skills!A22</f>
        <v/>
      </c>
      <c r="B725">
        <f>Skills!B22</f>
        <v/>
      </c>
      <c r="C725">
        <f>Inputs!$B$3&gt;=43</f>
        <v/>
      </c>
      <c r="D725">
        <f>IF(Skills!C22=1,60+Inputs!$B$26+Inputs!$B$30,IF(Skills!C22=2,90+Inputs!$B$27+Inputs!$B$30,IF(Skills!C22=3,120+Inputs!$B$28+Inputs!$B$30,MAX(0,(Inputs!$B$3-100)*3)+Inputs!$B$29+Inputs!$B$30)))</f>
        <v/>
      </c>
      <c r="E725">
        <f>INDEX(FactorTable!$B$2:$Y$301, MATCH(ROUND(MIN(300,MAX(1,D725)),0), FactorTable!$A$2:$A$301,0), Skills!M22+1)</f>
        <v/>
      </c>
      <c r="F725">
        <f>IF(Skills!N22=TRUE,(Skills!L22/10)*(E725/1000),Skills!L22/10)+Skills!O22</f>
        <v/>
      </c>
      <c r="G725">
        <f>Skills!G22*IF(Skills!H22&gt;0,INT(IF(Inputs!$B$39="pvp",MIN(Skills!I22,15),Skills!I22)/Skills!H22+0.000000001),1)</f>
        <v/>
      </c>
      <c r="H725">
        <f>1-(1-Skills!J22/100)^Skills!K22</f>
        <v/>
      </c>
      <c r="I725" t="inlineStr">
        <is>
          <t>1</t>
        </is>
      </c>
      <c r="J725" t="inlineStr"/>
      <c r="K725" t="inlineStr"/>
      <c r="L725" t="inlineStr"/>
      <c r="M725" t="inlineStr"/>
      <c r="N725" t="inlineStr"/>
      <c r="O725">
        <f>(1-Summary!$B$11)*T725+Summary!$B$11*V725</f>
        <v/>
      </c>
      <c r="P725">
        <f>IF(B742=0,0,O725/B742)</f>
        <v/>
      </c>
      <c r="Q725" t="n">
        <v>0</v>
      </c>
      <c r="R725" t="n">
        <v>0</v>
      </c>
      <c r="S725">
        <f>IFERROR(O725/N725,0)</f>
        <v/>
      </c>
      <c r="T725" t="n">
        <v>0</v>
      </c>
      <c r="V725" t="n">
        <v>0</v>
      </c>
    </row>
    <row r="726">
      <c r="A726">
        <f>Skills!A23</f>
        <v/>
      </c>
      <c r="B726">
        <f>Skills!B23</f>
        <v/>
      </c>
      <c r="C726">
        <f>Inputs!$B$3&gt;=120</f>
        <v/>
      </c>
      <c r="D726">
        <f>IF(Skills!C23=1,60+Inputs!$B$26+Inputs!$B$30,IF(Skills!C23=2,90+Inputs!$B$27+Inputs!$B$30,IF(Skills!C23=3,120+Inputs!$B$28+Inputs!$B$30,MAX(0,(Inputs!$B$3-100)*3)+Inputs!$B$29+Inputs!$B$30)))</f>
        <v/>
      </c>
      <c r="E726">
        <f>INDEX(FactorTable!$B$2:$Y$301, MATCH(ROUND(MIN(300,MAX(1,D726)),0), FactorTable!$A$2:$A$301,0), Skills!M23+1)</f>
        <v/>
      </c>
      <c r="F726">
        <f>IF(Skills!N23=TRUE,(Skills!L23/10)*(E726/1000),Skills!L23/10)+Skills!O23</f>
        <v/>
      </c>
      <c r="G726">
        <f>Skills!G23*IF(Skills!H23&gt;0,INT(IF(Inputs!$B$39="pvp",MIN(Skills!I23,15),Skills!I23)/Skills!H23+0.000000001),1)</f>
        <v/>
      </c>
      <c r="H726">
        <f>1-(1-Skills!J23/100)^Skills!K23</f>
        <v/>
      </c>
      <c r="I726" t="inlineStr">
        <is>
          <t>1</t>
        </is>
      </c>
      <c r="J726" t="inlineStr"/>
      <c r="K726" t="inlineStr"/>
      <c r="L726" t="inlineStr"/>
      <c r="M726" t="inlineStr"/>
      <c r="N726" t="inlineStr"/>
      <c r="O726">
        <f>(1-Summary!$B$11)*T726+Summary!$B$11*V726</f>
        <v/>
      </c>
      <c r="P726">
        <f>IF(B742=0,0,O726/B742)</f>
        <v/>
      </c>
      <c r="Q726" t="n">
        <v>0</v>
      </c>
      <c r="R726" t="n">
        <v>0</v>
      </c>
      <c r="S726">
        <f>IFERROR(O726/N726,0)</f>
        <v/>
      </c>
      <c r="T726" t="n">
        <v>0</v>
      </c>
      <c r="V726" t="n">
        <v>0</v>
      </c>
    </row>
    <row r="727">
      <c r="A727">
        <f>Skills!A24</f>
        <v/>
      </c>
      <c r="B727">
        <f>Skills!B24</f>
        <v/>
      </c>
      <c r="C727">
        <f>Inputs!$B$3&gt;=120</f>
        <v/>
      </c>
      <c r="D727">
        <f>IF(Skills!C24=1,60+Inputs!$B$26+Inputs!$B$30,IF(Skills!C24=2,90+Inputs!$B$27+Inputs!$B$30,IF(Skills!C24=3,120+Inputs!$B$28+Inputs!$B$30,MAX(0,(Inputs!$B$3-100)*3)+Inputs!$B$29+Inputs!$B$30)))</f>
        <v/>
      </c>
      <c r="E727">
        <f>INDEX(FactorTable!$B$2:$Y$301, MATCH(ROUND(MIN(300,MAX(1,D727)),0), FactorTable!$A$2:$A$301,0), Skills!M24+1)</f>
        <v/>
      </c>
      <c r="F727">
        <f>IF(Skills!N24=TRUE,(Skills!L24/10)*(E727/1000),Skills!L24/10)+Skills!O24</f>
        <v/>
      </c>
      <c r="G727">
        <f>Skills!G24*IF(Skills!H24&gt;0,INT(IF(Inputs!$B$39="pvp",MIN(Skills!I24,15),Skills!I24)/Skills!H24+0.000000001),1)</f>
        <v/>
      </c>
      <c r="H727">
        <f>1-(1-Skills!J24/100)^Skills!K24</f>
        <v/>
      </c>
      <c r="I727" t="inlineStr">
        <is>
          <t>1</t>
        </is>
      </c>
      <c r="J727" t="inlineStr"/>
      <c r="K727" t="inlineStr"/>
      <c r="L727" t="inlineStr"/>
      <c r="M727" t="inlineStr"/>
      <c r="N727" t="inlineStr"/>
      <c r="O727">
        <f>(1-Summary!$B$11)*T727+Summary!$B$11*V727</f>
        <v/>
      </c>
      <c r="P727">
        <f>IF(B742=0,0,O727/B742)</f>
        <v/>
      </c>
      <c r="Q727" t="n">
        <v>0</v>
      </c>
      <c r="R727" t="n">
        <v>0</v>
      </c>
      <c r="S727">
        <f>IFERROR(O727/N727,0)</f>
        <v/>
      </c>
      <c r="T727" t="n">
        <v>0</v>
      </c>
      <c r="V727" t="n">
        <v>0</v>
      </c>
    </row>
    <row r="728">
      <c r="A728">
        <f>Skills!A25</f>
        <v/>
      </c>
      <c r="B728">
        <f>Skills!B25</f>
        <v/>
      </c>
      <c r="C728">
        <f>Inputs!$B$3&gt;=125</f>
        <v/>
      </c>
      <c r="D728">
        <f>IF(Skills!C25=1,60+Inputs!$B$26+Inputs!$B$30,IF(Skills!C25=2,90+Inputs!$B$27+Inputs!$B$30,IF(Skills!C25=3,120+Inputs!$B$28+Inputs!$B$30,MAX(0,(Inputs!$B$3-100)*3)+Inputs!$B$29+Inputs!$B$30)))</f>
        <v/>
      </c>
      <c r="E728">
        <f>INDEX(FactorTable!$B$2:$Y$301, MATCH(ROUND(MIN(300,MAX(1,D728)),0), FactorTable!$A$2:$A$301,0), Skills!M25+1)</f>
        <v/>
      </c>
      <c r="F728">
        <f>IF(Skills!N25=TRUE,(Skills!L25/10)*(E728/1000),Skills!L25/10)+Skills!O25</f>
        <v/>
      </c>
      <c r="G728">
        <f>Skills!G25*IF(Skills!H25&gt;0,INT(IF(Inputs!$B$39="pvp",MIN(Skills!I25,15),Skills!I25)/Skills!H25+0.000000001),1)</f>
        <v/>
      </c>
      <c r="H728">
        <f>1-(1-Skills!J25/100)^Skills!K25</f>
        <v/>
      </c>
      <c r="I728" t="inlineStr">
        <is>
          <t>1</t>
        </is>
      </c>
      <c r="J728" t="inlineStr"/>
      <c r="K728" t="inlineStr"/>
      <c r="L728" t="inlineStr"/>
      <c r="M728" t="inlineStr"/>
      <c r="N728" t="inlineStr"/>
      <c r="O728">
        <f>(1-Summary!$B$11)*T728+Summary!$B$11*V728</f>
        <v/>
      </c>
      <c r="P728">
        <f>IF(B742=0,0,O728/B742)</f>
        <v/>
      </c>
      <c r="Q728" t="n">
        <v>0</v>
      </c>
      <c r="R728" t="n">
        <v>0</v>
      </c>
      <c r="S728">
        <f>IFERROR(O728/N728,0)</f>
        <v/>
      </c>
      <c r="T728" t="n">
        <v>0</v>
      </c>
      <c r="V728" t="n">
        <v>0</v>
      </c>
    </row>
    <row r="729">
      <c r="A729">
        <f>Skills!A26</f>
        <v/>
      </c>
      <c r="B729">
        <f>Skills!B26</f>
        <v/>
      </c>
      <c r="C729">
        <f>Inputs!$B$3&gt;=107</f>
        <v/>
      </c>
      <c r="D729">
        <f>IF(Skills!C26=1,60+Inputs!$B$26+Inputs!$B$30,IF(Skills!C26=2,90+Inputs!$B$27+Inputs!$B$30,IF(Skills!C26=3,120+Inputs!$B$28+Inputs!$B$30,MAX(0,(Inputs!$B$3-100)*3)+Inputs!$B$29+Inputs!$B$30)))</f>
        <v/>
      </c>
      <c r="E729">
        <f>INDEX(FactorTable!$B$2:$Y$301, MATCH(ROUND(MIN(300,MAX(1,D729)),0), FactorTable!$A$2:$A$301,0), Skills!M26+1)</f>
        <v/>
      </c>
      <c r="F729">
        <f>IF(Skills!N26=TRUE,(Skills!L26/10)*(E729/1000),Skills!L26/10)+Skills!O26</f>
        <v/>
      </c>
      <c r="G729">
        <f>Skills!G26*IF(Skills!H26&gt;0,INT(IF(Inputs!$B$39="pvp",MIN(Skills!I26,15),Skills!I26)/Skills!H26+0.000000001),1)</f>
        <v/>
      </c>
      <c r="H729">
        <f>1-(1-Skills!J26/100)^Skills!K26</f>
        <v/>
      </c>
      <c r="I729" t="inlineStr">
        <is>
          <t>1</t>
        </is>
      </c>
      <c r="J729" t="inlineStr"/>
      <c r="K729" t="inlineStr"/>
      <c r="L729" t="inlineStr"/>
      <c r="M729" t="inlineStr"/>
      <c r="N729" t="inlineStr"/>
      <c r="O729">
        <f>(1-Summary!$B$11)*T729+Summary!$B$11*V729</f>
        <v/>
      </c>
      <c r="P729">
        <f>IF(B742=0,0,O729/B742)</f>
        <v/>
      </c>
      <c r="Q729" t="n">
        <v>0</v>
      </c>
      <c r="R729" t="n">
        <v>0</v>
      </c>
      <c r="S729">
        <f>IFERROR(O729/N729,0)</f>
        <v/>
      </c>
      <c r="T729" t="n">
        <v>0</v>
      </c>
      <c r="V729" t="n">
        <v>0</v>
      </c>
    </row>
    <row r="731">
      <c r="A731" t="inlineStr">
        <is>
          <t>Attack% Bucket Multiplier</t>
        </is>
      </c>
      <c r="B731">
        <f>(1+(((C716=TRUE)*F716*IF(AND(Inputs!$B$39&lt;&gt;"pvp",Inputs!$B$44&gt;0),(((R716-1)*MIN((Skills!T13*(1+Inputs!$B$35/100)),(1/Q716))+MIN((Skills!T13*(1+Inputs!$B$35/100)),MAX(0,Inputs!$B$44-((R716-1)*(1/Q716)))))/Inputs!$B$44),IF(Inputs!$B$39="pvp",MIN((Skills!T13*(1+Inputs!$B$35/100)),15)/15,MIN(1,(Skills!T13*(1+Inputs!$B$35/100))/(1/Q716)))))+((C717=TRUE)*F717*IF(AND(Inputs!$B$39&lt;&gt;"pvp",Inputs!$B$44&gt;0),(((R717-1)*MIN((Skills!T14*(1+Inputs!$B$35/100)),(1/Q717))+MIN((Skills!T14*(1+Inputs!$B$35/100)),MAX(0,Inputs!$B$44-((R717-1)*(1/Q717)))))/Inputs!$B$44),IF(Inputs!$B$39="pvp",MIN((Skills!T14*(1+Inputs!$B$35/100)),15)/15,MIN(1,(Skills!T14*(1+Inputs!$B$35/100))/(1/Q717)))))+((C718=TRUE)*F718*IF(AND(Inputs!$B$39&lt;&gt;"pvp",Inputs!$B$44&gt;0),(((R718-1)*MIN((Skills!T15*(1+Inputs!$B$35/100)),(1/Q718))+MIN((Skills!T15*(1+Inputs!$B$35/100)),MAX(0,Inputs!$B$44-((R718-1)*(1/Q718)))))/Inputs!$B$44),IF(Inputs!$B$39="pvp",MIN((Skills!T15*(1+Inputs!$B$35/100)),15)/15,MIN(1,(Skills!T15*(1+Inputs!$B$35/100))/(1/Q718)))))+((C719=TRUE)*F719*IF(AND(Inputs!$B$39&lt;&gt;"pvp",Inputs!$B$44&gt;0),(((R719-1)*MIN((Skills!T16*(1+Inputs!$B$35/100)),(1/Q719))+MIN((Skills!T16*(1+Inputs!$B$35/100)),MAX(0,Inputs!$B$44-((R719-1)*(1/Q719)))))/Inputs!$B$44),IF(Inputs!$B$39="pvp",MIN((Skills!T16*(1+Inputs!$B$35/100)),15)/15,MIN(1,(Skills!T16*(1+Inputs!$B$35/100))/(1/Q719)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732">
      <c r="A732" t="inlineStr">
        <is>
          <t>Global Crit Rate Bonus % (Lord of Darkness)</t>
        </is>
      </c>
      <c r="B732">
        <f>((C721=TRUE)*F721*(Skills!J18/100)*IF(AND(Inputs!$B$39&lt;&gt;"pvp",Inputs!$B$44&gt;0),(((R721-1)*MIN((Skills!T18*(1+Inputs!$B$35/100)),(1/Q721))+MIN((Skills!T18*(1+Inputs!$B$35/100)),MAX(0,Inputs!$B$44-((R721-1)*(1/Q721)))))/Inputs!$B$44),IF(Inputs!$B$39="pvp",MIN((Skills!T18*(1+Inputs!$B$35/100)),15)/15,MIN(1,(Skills!T18*(1+Inputs!$B$35/100))/(1/Q721)))))</f>
        <v/>
      </c>
    </row>
    <row r="733">
      <c r="A733" t="inlineStr">
        <is>
          <t>Attack Speed Buff Bonus %</t>
        </is>
      </c>
      <c r="B733">
        <f>((C723=TRUE)*F723*IF(AND(Inputs!$B$39&lt;&gt;"pvp",Inputs!$B$44&gt;0),(((R723-1)*MIN((Skills!T20*(1+Inputs!$B$35/100)),(1/Q723))+MIN((Skills!T20*(1+Inputs!$B$35/100)),MAX(0,Inputs!$B$44-((R723-1)*(1/Q723)))))/Inputs!$B$44),IF(Inputs!$B$39="pvp",MIN((Skills!T20*(1+Inputs!$B$35/100)),15)/15,MIN(1,(Skills!T20*(1+Inputs!$B$35/100))/(1/Q723)))))</f>
        <v/>
      </c>
    </row>
    <row r="734">
      <c r="A734" t="inlineStr">
        <is>
          <t>Actions Per Second</t>
        </is>
      </c>
      <c r="B734">
        <f>1+MIN(150,150*(1-(1-(Inputs!$B$12+((C724=TRUE)*(F724-Calc!F21)))/150)*(1-B733/150)))/100</f>
        <v/>
      </c>
    </row>
    <row r="735">
      <c r="A735" t="inlineStr">
        <is>
          <t>Skill + Buff Cast Rate</t>
        </is>
      </c>
      <c r="B735">
        <f>IF(AND(Inputs!$B$39&lt;&gt;"pvp",Inputs!$B$44&gt;0),SUMPRODUCT((Skills!E2:E26=TRUE)*(C705:C729=TRUE)*R705:R729*Skills!F2:F26)/Inputs!$B$44,SUMPRODUCT((Skills!E2:E26=TRUE)*(C705:C729=TRUE)*Q705:Q729*Skills!F2:F26))</f>
        <v/>
      </c>
    </row>
    <row r="736">
      <c r="A736" t="inlineStr">
        <is>
          <t>Dark Impale Casts Per Second</t>
        </is>
      </c>
      <c r="B736">
        <f>MAX(0,B734-B735)</f>
        <v/>
      </c>
    </row>
    <row r="737">
      <c r="A737" t="inlineStr">
        <is>
          <t>Global Critical Damage Bonus % (Lord of Darkness)</t>
        </is>
      </c>
      <c r="B737">
        <f>((C722=TRUE)*F722*(Skills!J19/100)*IF(AND(Inputs!$B$39&lt;&gt;"pvp",Inputs!$B$44&gt;0),(((R722-1)*MIN((Skills!T19*(1+Inputs!$B$35/100)),(1/Q722))+MIN((Skills!T19*(1+Inputs!$B$35/100)),MAX(0,Inputs!$B$44-((R722-1)*(1/Q722)))))/Inputs!$B$44),IF(Inputs!$B$39="pvp",MIN((Skills!T19*(1+Inputs!$B$35/100)),15)/15,MIN(1,(Skills!T19*(1+Inputs!$B$35/100))/(1/Q722)))))</f>
        <v/>
      </c>
    </row>
    <row r="738">
      <c r="A738" t="inlineStr">
        <is>
          <t>Global Final Damage Bonus % (unused)</t>
        </is>
      </c>
      <c r="B738" t="n">
        <v>0</v>
      </c>
    </row>
    <row r="739">
      <c r="A739" t="inlineStr">
        <is>
          <t>Buff-Casting Startup Delay (s, fixed-duration only)</t>
        </is>
      </c>
      <c r="B739">
        <f>IF(AND(Inputs!$B$39&lt;&gt;"pvp",Inputs!$B$44&gt;0),SUMPRODUCT((Skills!T2:T26&gt;0)*(Skills!E2:E26=TRUE)*(C705:C729=TRUE))/B734,0)</f>
        <v/>
      </c>
    </row>
    <row r="740">
      <c r="A740" t="inlineStr">
        <is>
          <t>Boss-Only Total DPS (this block's swept value)</t>
        </is>
      </c>
      <c r="B740">
        <f>SUM(T705:T729)</f>
        <v/>
      </c>
    </row>
    <row r="741">
      <c r="A741" t="inlineStr">
        <is>
          <t>Normal-Only Total DPS (this block's swept value)</t>
        </is>
      </c>
      <c r="B741">
        <f>SUM(V705:V729)</f>
        <v/>
      </c>
    </row>
    <row r="742">
      <c r="A742" s="6" t="inlineStr">
        <is>
          <t>TOTAL DPS</t>
        </is>
      </c>
      <c r="B742" s="6">
        <f>SUM(O705:O729)</f>
        <v/>
      </c>
    </row>
    <row r="745">
      <c r="A745" s="6" t="inlineStr">
        <is>
          <t>Stat: BASIC_ATTACK_DAMAGE %</t>
        </is>
      </c>
    </row>
    <row r="746">
      <c r="A746" s="5" t="inlineStr">
        <is>
          <t>Key</t>
        </is>
      </c>
      <c r="B746" s="5" t="inlineStr">
        <is>
          <t>Name</t>
        </is>
      </c>
      <c r="C746" s="5" t="inlineStr">
        <is>
          <t>Unlocked</t>
        </is>
      </c>
      <c r="D746" s="5" t="inlineStr">
        <is>
          <t>InputLevel</t>
        </is>
      </c>
      <c r="E746" s="5" t="inlineStr">
        <is>
          <t>Factor</t>
        </is>
      </c>
      <c r="F746" s="5" t="inlineStr">
        <is>
          <t>CoefficientPercent</t>
        </is>
      </c>
      <c r="G746" s="5" t="inlineStr">
        <is>
          <t>EffectiveHits</t>
        </is>
      </c>
      <c r="H746" s="5" t="inlineStr">
        <is>
          <t>ProcProbability</t>
        </is>
      </c>
      <c r="I746" s="5" t="inlineStr">
        <is>
          <t>MapleHeroMultiplier</t>
        </is>
      </c>
      <c r="J746" s="5" t="inlineStr">
        <is>
          <t>BaseDamage</t>
        </is>
      </c>
      <c r="K746" s="5" t="inlineStr">
        <is>
          <t>BaseHitDamage</t>
        </is>
      </c>
      <c r="L746" s="5" t="inlineStr">
        <is>
          <t>NonCritAvg</t>
        </is>
      </c>
      <c r="M746" s="5" t="inlineStr">
        <is>
          <t>CritAvg</t>
        </is>
      </c>
      <c r="N746" s="5" t="inlineStr">
        <is>
          <t>ExpectedDamage(perHit)</t>
        </is>
      </c>
      <c r="O746" s="5" t="inlineStr">
        <is>
          <t>DPS</t>
        </is>
      </c>
      <c r="P746" s="5" t="inlineStr">
        <is>
          <t>% of Total</t>
        </is>
      </c>
      <c r="Q746" s="5" t="inlineStr">
        <is>
          <t>InvCooldown</t>
        </is>
      </c>
      <c r="R746" s="5" t="inlineStr">
        <is>
          <t>CastsInFight</t>
        </is>
      </c>
      <c r="S746" s="5" t="inlineStr">
        <is>
          <t>HitRate(perSec)</t>
        </is>
      </c>
      <c r="U746" t="inlineStr">
        <is>
          <t>helpers</t>
        </is>
      </c>
    </row>
    <row r="747">
      <c r="A747">
        <f>Skills!A2</f>
        <v/>
      </c>
      <c r="B747">
        <f>Skills!B2</f>
        <v/>
      </c>
      <c r="C747">
        <f>Inputs!$B$3&gt;=100</f>
        <v/>
      </c>
      <c r="D747" t="inlineStr"/>
      <c r="E747" t="inlineStr"/>
      <c r="F747">
        <f>U749+Skills!O2</f>
        <v/>
      </c>
      <c r="G747">
        <f>Skills!G2*IF(Skills!H2&gt;0,INT(IF(Inputs!$B$39="pvp",MIN(Skills!I2,15),Skills!I2)/Skills!H2+0.000000001),1)</f>
        <v/>
      </c>
      <c r="H747">
        <f>1-(1-Skills!J2/100)^Skills!K2</f>
        <v/>
      </c>
      <c r="I747" t="inlineStr">
        <is>
          <t>1</t>
        </is>
      </c>
      <c r="J747">
        <f>((Inputs!$B$6*(1+Inputs!$B$7/100))+(((Inputs!$B$13*(1+Inputs!$B$14/100))-(Inputs!$B$13*(1+Inputs!$B$14/100)))+0.25*(Inputs!$B$15-Inputs!$B$15))*(1+Inputs!$B$7/100))*(F747/100)</f>
        <v/>
      </c>
      <c r="K747">
        <f>J747*(1+(((Inputs!$B$13+IF(Inputs!$B$3&gt;=38,(10*INDEX(FactorTable!$B$2:$Y$301, MATCH(ROUND(MIN(300,MAX(1,Inputs!$B$3)),0), FactorTable!$A$2:$A$301,0), 23)/1000)/100*(Inputs!$B$8*(1+Inputs!$B$9/100)),0))*(1+Inputs!$B$14/100))*0.01+Inputs!$B$15*0.0025)/100)*(1+Inputs!$B$16/100)*(1+Inputs!$B$17/100)*(5000/(6000+Inputs!$B$43*(1-(Inputs!$B$20+0)/100)))*(1+(Inputs!$B$25+((C770=TRUE)*(F770-Calc!F25))+((C771=TRUE)*(F771-Calc!F26))+B780)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+1)+0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gt;=100),MIN(100,((Inputs!$B$10+0+B774+(ArtifactsInput!$M$24-ArtifactsInput!$M$24)*CHOOSE(ArtifactsInput!$N$24+1,10,12,14,16,18,20)+IF(ArtifactsInput!$M$10,CHOOSE(ArtifactsInput!$N$10+1,15,18,21,24,27,30)*(IF(Inputs!$B$39="pvp",MIN(15,15)/15,IF(AND(Inputs!$B$39&lt;&gt;"pvp",Inputs!$B$44&gt;0),MIN(15,Inputs!$B$44)/(Inputs!$B$44),0))),0)))-100),0))*CHOOSE(ArtifactsInput!$N$42+1,0.6,0.72,0.84,0.96,1.08,1.2))),Inputs!$B$19+((C768=TRUE)*(F768-Calc!F23))+(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gt;=100),CHOOSE(ArtifactsInput!$N$42+1,40,48,56,64,72,80),0))))/100)*((1+(((C758=TRUE)*F758*IF(AND(Inputs!$B$39&lt;&gt;"pvp",Inputs!$B$44&gt;0),(((R758-1)*MIN((Skills!T13*(1+Inputs!$B$35/100)),(1/Q758))+MIN((Skills!T13*(1+Inputs!$B$35/100)),MAX(0,Inputs!$B$44-((R758-1)*(1/Q758)))))/Inputs!$B$44),IF(Inputs!$B$39="pvp",MIN((Skills!T13*(1+Inputs!$B$35/100)),15)/15,MIN(1,(Skills!T13*(1+Inputs!$B$35/100))/(1/Q758)))))+((C759=TRUE)*F759*IF(AND(Inputs!$B$39&lt;&gt;"pvp",Inputs!$B$44&gt;0),(((R759-1)*MIN((Skills!T14*(1+Inputs!$B$35/100)),(1/Q759))+MIN((Skills!T14*(1+Inputs!$B$35/100)),MAX(0,Inputs!$B$44-((R759-1)*(1/Q759)))))/Inputs!$B$44),IF(Inputs!$B$39="pvp",MIN((Skills!T14*(1+Inputs!$B$35/100)),15)/15,MIN(1,(Skills!T14*(1+Inputs!$B$35/100))/(1/Q759)))))+((C760=TRUE)*F760*IF(AND(Inputs!$B$39&lt;&gt;"pvp",Inputs!$B$44&gt;0),(((R760-1)*MIN((Skills!T15*(1+Inputs!$B$35/100)),(1/Q760))+MIN((Skills!T15*(1+Inputs!$B$35/100)),MAX(0,Inputs!$B$44-((R760-1)*(1/Q760)))))/Inputs!$B$44),IF(Inputs!$B$39="pvp",MIN((Skills!T15*(1+Inputs!$B$35/100)),15)/15,MIN(1,(Skills!T15*(1+Inputs!$B$35/100))/(1/Q760)))))+((C761=TRUE)*F761*IF(AND(Inputs!$B$39&lt;&gt;"pvp",Inputs!$B$44&gt;0),(((R761-1)*MIN((Skills!T16*(1+Inputs!$B$35/100)),(1/Q761))+MIN((Skills!T16*(1+Inputs!$B$35/100)),MAX(0,Inputs!$B$44-((R761-1)*(1/Q761)))))/Inputs!$B$44),IF(Inputs!$B$39="pvp",MIN((Skills!T16*(1+Inputs!$B$35/100)),15)/15,MIN(1,(Skills!T16*(1+Inputs!$B$35/100))/(1/Q761)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747)</f>
        <v/>
      </c>
      <c r="L747">
        <f>K747*(MIN(Inputs!$B$23+((C767=TRUE)*(F767-Calc!F22)),(Inputs!$B$24+((C769=TRUE)*(F769-Calc!F24))+(IF(ArtifactsInput!$M$15,CHOOSE(ArtifactsInput!$N$15+1,25,30,35,40,45,50)/100*(Inputs!$B$12-Inputs!$B$12),0))))/100+(Inputs!$B$24+((C769=TRUE)*(F769-Calc!F24))+(IF(ArtifactsInput!$M$15,CHOOSE(ArtifactsInput!$N$15+1,25,30,35,40,45,50)/100*(Inputs!$B$12-Inputs!$B$12),0)))/100)/2</f>
        <v/>
      </c>
      <c r="M747">
        <f>L747*(1+(Inputs!$B$11+0+B779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747">
        <f>L747*(1-MIN((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747*(MIN((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47">
        <f>(1-Summary!$B$11)*T747+Summary!$B$11*V747</f>
        <v/>
      </c>
      <c r="P747">
        <f>IF(B784=0,0,O747/B784)</f>
        <v/>
      </c>
      <c r="Q747" t="n">
        <v>0</v>
      </c>
      <c r="R747" t="n">
        <v>0</v>
      </c>
      <c r="S747">
        <f>IFERROR(O747/N747,0)</f>
        <v/>
      </c>
      <c r="T747">
        <f>IF(C747,(Skills!G2*N747*B778)*IF(Inputs!$B$39="pvp",1,1+(Inputs!$B$21+0+Skills!P2+((C762=TRUE)*F762*IF(AND(Inputs!$B$39&lt;&gt;"pvp",Inputs!$B$44&gt;0),(((R762-1)*MIN((Skills!T17*(1+Inputs!$B$35/100)),(1/Q762))+MIN((Skills!T17*(1+Inputs!$B$35/100)),MAX(0,Inputs!$B$44-((R762-1)*(1/Q762)))))/Inputs!$B$44),IF(Inputs!$B$39="pvp",MIN((Skills!T17*(1+Inputs!$B$35/100)),15)/15,MIN(1,(Skills!T17*(1+Inputs!$B$35/100))/(1/Q762)))))+((C750=TRUE)*IF(Inputs!$B$3&gt;=126,10*MIN(1,15*Q750),0))+((C759=TRUE)*IF(Inputs!$B$39="pvp",20,(1-Summary!$B$11)*(20)+Summary!$B$11*(0))*IF(AND(Inputs!$B$39&lt;&gt;"pvp",Inputs!$B$44&gt;0),(((R759-1)*MIN((Skills!T14*(1+Inputs!$B$35/100)),(1/Q759))+MIN((Skills!T14*(1+Inputs!$B$35/100)),MAX(0,Inputs!$B$44-((R759-1)*(1/Q759)))))/Inputs!$B$44),IF(Inputs!$B$39="pvp",MIN((Skills!T14*(1+Inputs!$B$35/100)),15)/15,MIN(1,(Skills!T14*(1+Inputs!$B$35/100))/(1/Q759)))))+((C758=TRUE)*IF(Inputs!$B$3&gt;=82,IF(Inputs!$B$39="pvp",20,(1-Summary!$B$11)*(20)+Summary!$B$11*(0)),0)*IF(AND(Inputs!$B$39&lt;&gt;"pvp",Inputs!$B$44&gt;0),(((R758-1)*MIN((Skills!T13*(1+Inputs!$B$35/100)),(1/Q758))+MIN((Skills!T13*(1+Inputs!$B$35/100)),MAX(0,Inputs!$B$44-((R758-1)*(1/Q758)))))/Inputs!$B$44),IF(Inputs!$B$39="pvp",MIN((Skills!T13*(1+Inputs!$B$35/100)),15)/15,MIN(1,(Skills!T13*(1+Inputs!$B$35/100))/(1/Q758)))))+(IF(AND(ArtifactsInput!$M$35,Inputs!$B$4&lt;&gt;"Chapter Hunt"),CHOOSE(ArtifactsInput!$N$35+1,15,18,21,24,27,30)*(1-EXP(-(0.2*B776)*5)),0)+IF(AND(ArtifactsInput!$M$22,Inputs!$B$4&lt;&gt;"Chapter Hunt"),CHOOSE(ArtifactsInput!$N$22+1,10,12,14,16,18,20)*((0*(((0.15*B776*5))^0/1)+1*(((0.15*B776*5))^1/1)+2*(((0.15*B776*5))^2/2)+3*(((0.15*B776*5))^3/6)+4*(((0.15*B776*5))^4/24)+5*(((0.15*B776*5))^5/120))/((((0.15*B776*5))^0/1)+(((0.15*B776*5))^1/1)+(((0.15*B776*5))^2/2)+(((0.15*B776*5))^3/6)+(((0.15*B776*5))^4/24)+(((0.15*B776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747*(1-MIN(100,(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747*(MIN(100,(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747*(1-MIN(100,(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747*(MIN(100,(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747">
        <f>MAX(0,(Inputs!$B$3-100)*3)+Inputs!$B$29+Inputs!$B$30</f>
        <v/>
      </c>
      <c r="V747">
        <f>IF(C747,(Skills!G2*N747*B778)*IF(Inputs!$B$39="pvp",1,(1+(Inputs!$B$22+Skills!Q2+((C762=TRUE)*F762*IF(AND(Inputs!$B$39&lt;&gt;"pvp",Inputs!$B$44&gt;0),(((R762-1)*MIN((Skills!T17*(1+Inputs!$B$35/100)),(1/Q762))+MIN((Skills!T17*(1+Inputs!$B$35/100)),MAX(0,Inputs!$B$44-((R762-1)*(1/Q762)))))/Inputs!$B$44),IF(Inputs!$B$39="pvp",MIN((Skills!T17*(1+Inputs!$B$35/100)),15)/15,MIN(1,(Skills!T17*(1+Inputs!$B$35/100))/(1/Q762)))))+((C750=TRUE)*IF(Inputs!$B$3&gt;=126,10*MIN(1,15*Q750),0))+((C759=TRUE)*IF(Inputs!$B$39="pvp",20,(1-Summary!$B$11)*(20)+Summary!$B$11*(0))*IF(AND(Inputs!$B$39&lt;&gt;"pvp",Inputs!$B$44&gt;0),(((R759-1)*MIN((Skills!T14*(1+Inputs!$B$35/100)),(1/Q759))+MIN((Skills!T14*(1+Inputs!$B$35/100)),MAX(0,Inputs!$B$44-((R759-1)*(1/Q759)))))/Inputs!$B$44),IF(Inputs!$B$39="pvp",MIN((Skills!T14*(1+Inputs!$B$35/100)),15)/15,MIN(1,(Skills!T14*(1+Inputs!$B$35/100))/(1/Q759)))))+((C758=TRUE)*IF(Inputs!$B$3&gt;=82,IF(Inputs!$B$39="pvp",20,(1-Summary!$B$11)*(20)+Summary!$B$11*(0)),0)*IF(AND(Inputs!$B$39&lt;&gt;"pvp",Inputs!$B$44&gt;0),(((R758-1)*MIN((Skills!T13*(1+Inputs!$B$35/100)),(1/Q758))+MIN((Skills!T13*(1+Inputs!$B$35/100)),MAX(0,Inputs!$B$44-((R758-1)*(1/Q758)))))/Inputs!$B$44),IF(Inputs!$B$39="pvp",MIN((Skills!T13*(1+Inputs!$B$35/100)),15)/15,MIN(1,(Skills!T13*(1+Inputs!$B$35/100))/(1/Q758)))))+(IF(AND(ArtifactsInput!$M$35,Inputs!$B$4&lt;&gt;"Chapter Hunt"),CHOOSE(ArtifactsInput!$N$35+1,15,18,21,24,27,30)*(1-EXP(-(0.2*B776)*5)),0)+IF(AND(ArtifactsInput!$M$22,Inputs!$B$4&lt;&gt;"Chapter Hunt"),CHOOSE(ArtifactsInput!$N$22+1,10,12,14,16,18,20)*((0*(((0.15*B776*5))^0/1)+1*(((0.15*B776*5))^1/1)+2*(((0.15*B776*5))^2/2)+3*(((0.15*B776*5))^3/6)+4*(((0.15*B776*5))^4/24)+5*(((0.15*B776*5))^5/120))/((((0.15*B776*5))^0/1)+(((0.15*B776*5))^1/1)+(((0.15*B776*5))^2/2)+(((0.15*B776*5))^3/6)+(((0.15*B776*5))^4/24)+(((0.15*B776*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48">
      <c r="A748">
        <f>Skills!A3</f>
        <v/>
      </c>
      <c r="B748">
        <f>Skills!B3</f>
        <v/>
      </c>
      <c r="C748">
        <f>Inputs!$B$3&gt;=50</f>
        <v/>
      </c>
      <c r="D748">
        <f>IF(Skills!C3=1,60+Inputs!$B$26+Inputs!$B$30,IF(Skills!C3=2,90+Inputs!$B$27+Inputs!$B$30,IF(Skills!C3=3,120+Inputs!$B$28+Inputs!$B$30,MAX(0,(Inputs!$B$3-100)*3)+Inputs!$B$29+Inputs!$B$30)))</f>
        <v/>
      </c>
      <c r="E748">
        <f>INDEX(FactorTable!$B$2:$Y$301, MATCH(ROUND(MIN(300,MAX(1,D748)),0), FactorTable!$A$2:$A$301,0), Skills!M3+1)</f>
        <v/>
      </c>
      <c r="F748">
        <f>IF(Skills!N3=TRUE,(Skills!L3/10)*(E748/1000),Skills!L3/10)+Skills!O3</f>
        <v/>
      </c>
      <c r="G748" t="inlineStr"/>
      <c r="H748" t="inlineStr"/>
      <c r="I748" t="inlineStr">
        <is>
          <t>1</t>
        </is>
      </c>
      <c r="J748" t="inlineStr"/>
      <c r="K748" t="inlineStr"/>
      <c r="L748" t="inlineStr"/>
      <c r="M748" t="inlineStr"/>
      <c r="N748" t="inlineStr"/>
      <c r="O748" t="inlineStr"/>
      <c r="P748" t="inlineStr"/>
      <c r="Q748" t="inlineStr"/>
      <c r="R748" t="inlineStr"/>
      <c r="S748" t="inlineStr"/>
      <c r="U748">
        <f>INDEX(FactorTable!$B$2:$Y$301, MATCH(ROUND(MIN(300,MAX(1,U747)),0), FactorTable!$A$2:$A$301,0), 22)</f>
        <v/>
      </c>
    </row>
    <row r="749">
      <c r="A749">
        <f>Skills!A4</f>
        <v/>
      </c>
      <c r="B749">
        <f>Skills!B4</f>
        <v/>
      </c>
      <c r="C749">
        <f>Inputs!$B$3&gt;=105</f>
        <v/>
      </c>
      <c r="D749">
        <f>IF(Skills!C4=1,60+Inputs!$B$26+Inputs!$B$30,IF(Skills!C4=2,90+Inputs!$B$27+Inputs!$B$30,IF(Skills!C4=3,120+Inputs!$B$28+Inputs!$B$30,MAX(0,(Inputs!$B$3-100)*3)+Inputs!$B$29+Inputs!$B$30)))</f>
        <v/>
      </c>
      <c r="E749">
        <f>INDEX(FactorTable!$B$2:$Y$301, MATCH(ROUND(MIN(300,MAX(1,D749)),0), FactorTable!$A$2:$A$301,0), Skills!M4+1)</f>
        <v/>
      </c>
      <c r="F749">
        <f>IF(Skills!N4=TRUE,(Skills!L4/10)*(E749/1000),Skills!L4/10)+Skills!O4</f>
        <v/>
      </c>
      <c r="G749" t="inlineStr"/>
      <c r="H749" t="inlineStr"/>
      <c r="I749" t="inlineStr">
        <is>
          <t>1</t>
        </is>
      </c>
      <c r="J749" t="inlineStr"/>
      <c r="K749" t="inlineStr"/>
      <c r="L749" t="inlineStr"/>
      <c r="M749" t="inlineStr"/>
      <c r="N749" t="inlineStr"/>
      <c r="O749" t="inlineStr"/>
      <c r="P749" t="inlineStr"/>
      <c r="Q749" t="inlineStr"/>
      <c r="R749" t="inlineStr"/>
      <c r="S749" t="inlineStr"/>
      <c r="U749">
        <f>290*U748/1000</f>
        <v/>
      </c>
    </row>
    <row r="750">
      <c r="A750">
        <f>Skills!A5</f>
        <v/>
      </c>
      <c r="B750">
        <f>Skills!B5</f>
        <v/>
      </c>
      <c r="C750">
        <f>Inputs!$B$3&gt;=117</f>
        <v/>
      </c>
      <c r="D750">
        <f>IF(Skills!C5=1,60+Inputs!$B$26+Inputs!$B$30,IF(Skills!C5=2,90+Inputs!$B$27+Inputs!$B$30,IF(Skills!C5=3,120+Inputs!$B$28+Inputs!$B$30,MAX(0,(Inputs!$B$3-100)*3)+Inputs!$B$29+Inputs!$B$30)))</f>
        <v/>
      </c>
      <c r="E750">
        <f>INDEX(FactorTable!$B$2:$Y$301, MATCH(ROUND(MIN(300,MAX(1,D750)),0), FactorTable!$A$2:$A$301,0), Skills!M5+1)</f>
        <v/>
      </c>
      <c r="F750">
        <f>IF(Skills!N5=TRUE,(Skills!L5/10)*(E750/1000),Skills!L5/10)+Skills!O5</f>
        <v/>
      </c>
      <c r="G750">
        <f>Skills!G5*IF(Skills!H5&gt;0,INT(IF(Inputs!$B$39="pvp",MIN(Skills!I5,15),Skills!I5)/Skills!H5+0.000000001),1)</f>
        <v/>
      </c>
      <c r="H750">
        <f>1-(1-Skills!J5/100)^Skills!K5</f>
        <v/>
      </c>
      <c r="I750" t="inlineStr">
        <is>
          <t>1</t>
        </is>
      </c>
      <c r="J750">
        <f>((Inputs!$B$6*(1+Inputs!$B$7/100))+(((Inputs!$B$13*(1+Inputs!$B$14/100))-(Inputs!$B$13*(1+Inputs!$B$14/100)))+0.25*(Inputs!$B$15-Inputs!$B$15))*(1+Inputs!$B$7/100))*(F750/100)</f>
        <v/>
      </c>
      <c r="K750">
        <f>J750*(1+(((Inputs!$B$13+IF(Inputs!$B$3&gt;=38,(10*INDEX(FactorTable!$B$2:$Y$301, MATCH(ROUND(MIN(300,MAX(1,Inputs!$B$3)),0), FactorTable!$A$2:$A$301,0), 23)/1000)/100*(Inputs!$B$8*(1+Inputs!$B$9/100)),0))*(1+Inputs!$B$14/100))*0.01+Inputs!$B$15*0.0025)/100)*(1+Inputs!$B$16/100)*(1+Inputs!$B$17/100)*(5000/(6000+Inputs!$B$43*(1-(Inputs!$B$20+0)/100)))*(1+(Inputs!$B$25+((C770=TRUE)*(F770-Calc!F25))+((C771=TRUE)*(F771-Calc!F26))+B780)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+1)+0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gt;=100),MIN(100,((Inputs!$B$10+0+B774+(ArtifactsInput!$M$24-ArtifactsInput!$M$24)*CHOOSE(ArtifactsInput!$N$24+1,10,12,14,16,18,20)+IF(ArtifactsInput!$M$10,CHOOSE(ArtifactsInput!$N$10+1,15,18,21,24,27,30)*(IF(Inputs!$B$39="pvp",MIN(15,15)/15,IF(AND(Inputs!$B$39&lt;&gt;"pvp",Inputs!$B$44&gt;0),MIN(15,Inputs!$B$44)/(Inputs!$B$44),0))),0)))-100),0))*CHOOSE(ArtifactsInput!$N$42+1,0.6,0.72,0.84,0.96,1.08,1.2))),Inputs!$B$19+((C768=TRUE)*(F768-Calc!F23))+(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gt;=100),CHOOSE(ArtifactsInput!$N$42+1,40,48,56,64,72,80),0))))/100)*((1+(((C758=TRUE)*F758*IF(AND(Inputs!$B$39&lt;&gt;"pvp",Inputs!$B$44&gt;0),(((R758-1)*MIN((Skills!T13*(1+Inputs!$B$35/100)),(1/Q758))+MIN((Skills!T13*(1+Inputs!$B$35/100)),MAX(0,Inputs!$B$44-((R758-1)*(1/Q758)))))/Inputs!$B$44),IF(Inputs!$B$39="pvp",MIN((Skills!T13*(1+Inputs!$B$35/100)),15)/15,MIN(1,(Skills!T13*(1+Inputs!$B$35/100))/(1/Q758)))))+((C759=TRUE)*F759*IF(AND(Inputs!$B$39&lt;&gt;"pvp",Inputs!$B$44&gt;0),(((R759-1)*MIN((Skills!T14*(1+Inputs!$B$35/100)),(1/Q759))+MIN((Skills!T14*(1+Inputs!$B$35/100)),MAX(0,Inputs!$B$44-((R759-1)*(1/Q759)))))/Inputs!$B$44),IF(Inputs!$B$39="pvp",MIN((Skills!T14*(1+Inputs!$B$35/100)),15)/15,MIN(1,(Skills!T14*(1+Inputs!$B$35/100))/(1/Q759)))))+((C760=TRUE)*F760*IF(AND(Inputs!$B$39&lt;&gt;"pvp",Inputs!$B$44&gt;0),(((R760-1)*MIN((Skills!T15*(1+Inputs!$B$35/100)),(1/Q760))+MIN((Skills!T15*(1+Inputs!$B$35/100)),MAX(0,Inputs!$B$44-((R760-1)*(1/Q760)))))/Inputs!$B$44),IF(Inputs!$B$39="pvp",MIN((Skills!T15*(1+Inputs!$B$35/100)),15)/15,MIN(1,(Skills!T15*(1+Inputs!$B$35/100))/(1/Q760)))))+((C761=TRUE)*F761*IF(AND(Inputs!$B$39&lt;&gt;"pvp",Inputs!$B$44&gt;0),(((R761-1)*MIN((Skills!T16*(1+Inputs!$B$35/100)),(1/Q761))+MIN((Skills!T16*(1+Inputs!$B$35/100)),MAX(0,Inputs!$B$44-((R761-1)*(1/Q761)))))/Inputs!$B$44),IF(Inputs!$B$39="pvp",MIN((Skills!T16*(1+Inputs!$B$35/100)),15)/15,MIN(1,(Skills!T16*(1+Inputs!$B$35/100))/(1/Q761)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750)</f>
        <v/>
      </c>
      <c r="L750">
        <f>K750*(MIN(Inputs!$B$23+((C767=TRUE)*(F767-Calc!F22)),(Inputs!$B$24+((C769=TRUE)*(F769-Calc!F24))+(IF(ArtifactsInput!$M$15,CHOOSE(ArtifactsInput!$N$15+1,25,30,35,40,45,50)/100*(Inputs!$B$12-Inputs!$B$12),0))))/100+(Inputs!$B$24+((C769=TRUE)*(F769-Calc!F24))+(IF(ArtifactsInput!$M$15,CHOOSE(ArtifactsInput!$N$15+1,25,30,35,40,45,50)/100*(Inputs!$B$12-Inputs!$B$12),0)))/100)/2</f>
        <v/>
      </c>
      <c r="M750">
        <f>L750*(1+(Inputs!$B$11+0+B779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750">
        <f>L750*(1-MIN((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750*(MIN((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50">
        <f>(1-Summary!$B$11)*T750+Summary!$B$11*V750</f>
        <v/>
      </c>
      <c r="P750">
        <f>IF(B784=0,0,O750/B784)</f>
        <v/>
      </c>
      <c r="Q750">
        <f>IFERROR(1/IF(Inputs!$B$39="pvp",15,MAX(0.1,Skills!D5-IF(TRUE=TRUE,Inputs!$B$33,0))),0)</f>
        <v/>
      </c>
      <c r="R750">
        <f>IF(AND(Inputs!$B$39&lt;&gt;"pvp",Inputs!$B$44&gt;0),IF(MAX(0,Inputs!$B$44-B781)&lt;=0,0,(INT(MAX(0,Inputs!$B$44-B781)/IF(Inputs!$B$39="pvp",15,MAX(0.1,Skills!D5-IF(TRUE=TRUE,Inputs!$B$33,0))))+1)),0)</f>
        <v/>
      </c>
      <c r="S750">
        <f>IFERROR(O750/N750,0)</f>
        <v/>
      </c>
      <c r="T750">
        <f>IF(C750,(H750*N750*IF(AND(Inputs!$B$39&lt;&gt;"pvp",Inputs!$B$44&gt;0),((Skills!G5*((R750-1)*IF(Skills!H5&gt;0,INT(Skills!I5/Skills!H5+0.000000001),1)+IF(Skills!H5&gt;0,INT(MIN(Skills!I5,MAX(0,MAX(0,Inputs!$B$44-B781)-((R750-1)*IF(Inputs!$B$39="pvp",15,MAX(0.1,Skills!D5-IF(TRUE=TRUE,Inputs!$B$33,0))))))/Skills!H5+0.000000001),1)))/Inputs!$B$44),G750*Q750))*IF(Inputs!$B$39="pvp",1,1+(Inputs!$B$21+0+Skills!P5+((C762=TRUE)*F762*IF(AND(Inputs!$B$39&lt;&gt;"pvp",Inputs!$B$44&gt;0),(((R762-1)*MIN((Skills!T17*(1+Inputs!$B$35/100)),(1/Q762))+MIN((Skills!T17*(1+Inputs!$B$35/100)),MAX(0,Inputs!$B$44-((R762-1)*(1/Q762)))))/Inputs!$B$44),IF(Inputs!$B$39="pvp",MIN((Skills!T17*(1+Inputs!$B$35/100)),15)/15,MIN(1,(Skills!T17*(1+Inputs!$B$35/100))/(1/Q762)))))+((C750=TRUE)*IF(Inputs!$B$3&gt;=126,10*MIN(1,15*Q750),0))+((C759=TRUE)*IF(Inputs!$B$39="pvp",20,(1-Summary!$B$11)*(20)+Summary!$B$11*(0))*IF(AND(Inputs!$B$39&lt;&gt;"pvp",Inputs!$B$44&gt;0),(((R759-1)*MIN((Skills!T14*(1+Inputs!$B$35/100)),(1/Q759))+MIN((Skills!T14*(1+Inputs!$B$35/100)),MAX(0,Inputs!$B$44-((R759-1)*(1/Q759)))))/Inputs!$B$44),IF(Inputs!$B$39="pvp",MIN((Skills!T14*(1+Inputs!$B$35/100)),15)/15,MIN(1,(Skills!T14*(1+Inputs!$B$35/100))/(1/Q759)))))+((C758=TRUE)*IF(Inputs!$B$3&gt;=82,IF(Inputs!$B$39="pvp",20,(1-Summary!$B$11)*(20)+Summary!$B$11*(0)),0)*IF(AND(Inputs!$B$39&lt;&gt;"pvp",Inputs!$B$44&gt;0),(((R758-1)*MIN((Skills!T13*(1+Inputs!$B$35/100)),(1/Q758))+MIN((Skills!T13*(1+Inputs!$B$35/100)),MAX(0,Inputs!$B$44-((R758-1)*(1/Q758)))))/Inputs!$B$44),IF(Inputs!$B$39="pvp",MIN((Skills!T13*(1+Inputs!$B$35/100)),15)/15,MIN(1,(Skills!T13*(1+Inputs!$B$35/100))/(1/Q758)))))+(IF(AND(ArtifactsInput!$M$35,Inputs!$B$4&lt;&gt;"Chapter Hunt"),CHOOSE(ArtifactsInput!$N$35+1,15,18,21,24,27,30)*(1-EXP(-(0.2*B776)*5)),0)+IF(AND(ArtifactsInput!$M$22,Inputs!$B$4&lt;&gt;"Chapter Hunt"),CHOOSE(ArtifactsInput!$N$22+1,10,12,14,16,18,20)*((0*(((0.15*B776*5))^0/1)+1*(((0.15*B776*5))^1/1)+2*(((0.15*B776*5))^2/2)+3*(((0.15*B776*5))^3/6)+4*(((0.15*B776*5))^4/24)+5*(((0.15*B776*5))^5/120))/((((0.15*B776*5))^0/1)+(((0.15*B776*5))^1/1)+(((0.15*B776*5))^2/2)+(((0.15*B776*5))^3/6)+(((0.15*B776*5))^4/24)+(((0.15*B776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750*(1-MIN(100,(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750*(MIN(100,(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750*(1-MIN(100,(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750*(MIN(100,(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50">
        <f>IF(C750,(H750*N750*IF(AND(Inputs!$B$39&lt;&gt;"pvp",Inputs!$B$44&gt;0),((Skills!G5*((R750-1)*IF(Skills!H5&gt;0,INT(Skills!I5/Skills!H5+0.000000001),1)+IF(Skills!H5&gt;0,INT(MIN(Skills!I5,MAX(0,MAX(0,Inputs!$B$44-B781)-((R750-1)*IF(Inputs!$B$39="pvp",15,MAX(0.1,Skills!D5-IF(TRUE=TRUE,Inputs!$B$33,0))))))/Skills!H5+0.000000001),1)))/Inputs!$B$44),G750*Q750))*IF(Inputs!$B$39="pvp",1,(1+(Inputs!$B$22+Skills!Q5+((C762=TRUE)*F762*IF(AND(Inputs!$B$39&lt;&gt;"pvp",Inputs!$B$44&gt;0),(((R762-1)*MIN((Skills!T17*(1+Inputs!$B$35/100)),(1/Q762))+MIN((Skills!T17*(1+Inputs!$B$35/100)),MAX(0,Inputs!$B$44-((R762-1)*(1/Q762)))))/Inputs!$B$44),IF(Inputs!$B$39="pvp",MIN((Skills!T17*(1+Inputs!$B$35/100)),15)/15,MIN(1,(Skills!T17*(1+Inputs!$B$35/100))/(1/Q762)))))+((C750=TRUE)*IF(Inputs!$B$3&gt;=126,10*MIN(1,15*Q750),0))+((C759=TRUE)*IF(Inputs!$B$39="pvp",20,(1-Summary!$B$11)*(20)+Summary!$B$11*(0))*IF(AND(Inputs!$B$39&lt;&gt;"pvp",Inputs!$B$44&gt;0),(((R759-1)*MIN((Skills!T14*(1+Inputs!$B$35/100)),(1/Q759))+MIN((Skills!T14*(1+Inputs!$B$35/100)),MAX(0,Inputs!$B$44-((R759-1)*(1/Q759)))))/Inputs!$B$44),IF(Inputs!$B$39="pvp",MIN((Skills!T14*(1+Inputs!$B$35/100)),15)/15,MIN(1,(Skills!T14*(1+Inputs!$B$35/100))/(1/Q759)))))+((C758=TRUE)*IF(Inputs!$B$3&gt;=82,IF(Inputs!$B$39="pvp",20,(1-Summary!$B$11)*(20)+Summary!$B$11*(0)),0)*IF(AND(Inputs!$B$39&lt;&gt;"pvp",Inputs!$B$44&gt;0),(((R758-1)*MIN((Skills!T13*(1+Inputs!$B$35/100)),(1/Q758))+MIN((Skills!T13*(1+Inputs!$B$35/100)),MAX(0,Inputs!$B$44-((R758-1)*(1/Q758)))))/Inputs!$B$44),IF(Inputs!$B$39="pvp",MIN((Skills!T13*(1+Inputs!$B$35/100)),15)/15,MIN(1,(Skills!T13*(1+Inputs!$B$35/100))/(1/Q758)))))+(IF(AND(ArtifactsInput!$M$35,Inputs!$B$4&lt;&gt;"Chapter Hunt"),CHOOSE(ArtifactsInput!$N$35+1,15,18,21,24,27,30)*(1-EXP(-(0.2*B776)*5)),0)+IF(AND(ArtifactsInput!$M$22,Inputs!$B$4&lt;&gt;"Chapter Hunt"),CHOOSE(ArtifactsInput!$N$22+1,10,12,14,16,18,20)*((0*(((0.15*B776*5))^0/1)+1*(((0.15*B776*5))^1/1)+2*(((0.15*B776*5))^2/2)+3*(((0.15*B776*5))^3/6)+4*(((0.15*B776*5))^4/24)+5*(((0.15*B776*5))^5/120))/((((0.15*B776*5))^0/1)+(((0.15*B776*5))^1/1)+(((0.15*B776*5))^2/2)+(((0.15*B776*5))^3/6)+(((0.15*B776*5))^4/24)+(((0.15*B776*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51">
      <c r="A751">
        <f>Skills!A6</f>
        <v/>
      </c>
      <c r="B751">
        <f>Skills!B6</f>
        <v/>
      </c>
      <c r="C751">
        <f>Inputs!$B$3&gt;=103</f>
        <v/>
      </c>
      <c r="D751">
        <f>IF(Skills!C6=1,60+Inputs!$B$26+Inputs!$B$30,IF(Skills!C6=2,90+Inputs!$B$27+Inputs!$B$30,IF(Skills!C6=3,120+Inputs!$B$28+Inputs!$B$30,MAX(0,(Inputs!$B$3-100)*3)+Inputs!$B$29+Inputs!$B$30)))</f>
        <v/>
      </c>
      <c r="E751">
        <f>INDEX(FactorTable!$B$2:$Y$301, MATCH(ROUND(MIN(300,MAX(1,D751)),0), FactorTable!$A$2:$A$301,0), Skills!M6+1)</f>
        <v/>
      </c>
      <c r="F751">
        <f>IF(Skills!N6=TRUE,(Skills!L6/10)*(E751/1000),Skills!L6/10)+Skills!O6</f>
        <v/>
      </c>
      <c r="G751">
        <f>Skills!G6*IF(Skills!H6&gt;0,INT(IF(Inputs!$B$39="pvp",MIN(Skills!I6,15),Skills!I6)/Skills!H6+0.000000001),1)</f>
        <v/>
      </c>
      <c r="H751">
        <f>1-(1-Skills!J6/100)^Skills!K6</f>
        <v/>
      </c>
      <c r="I751" t="inlineStr">
        <is>
          <t>1</t>
        </is>
      </c>
      <c r="J751">
        <f>((Inputs!$B$6*(1+Inputs!$B$7/100))+(((Inputs!$B$13*(1+Inputs!$B$14/100))-(Inputs!$B$13*(1+Inputs!$B$14/100)))+0.25*(Inputs!$B$15-Inputs!$B$15))*(1+Inputs!$B$7/100))*(F751/100)</f>
        <v/>
      </c>
      <c r="K751">
        <f>J751*(1+(((Inputs!$B$13+IF(Inputs!$B$3&gt;=38,(10*INDEX(FactorTable!$B$2:$Y$301, MATCH(ROUND(MIN(300,MAX(1,Inputs!$B$3)),0), FactorTable!$A$2:$A$301,0), 23)/1000)/100*(Inputs!$B$8*(1+Inputs!$B$9/100)),0))*(1+Inputs!$B$14/100))*0.01+Inputs!$B$15*0.0025)/100)*(1+Inputs!$B$16/100)*(1+Inputs!$B$17/100)*(5000/(6000+Inputs!$B$43*(1-(Inputs!$B$20+0)/100)))*(1+(Inputs!$B$25+((C770=TRUE)*(F770-Calc!F25))+((C771=TRUE)*(F771-Calc!F26))+B780)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+1)+0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gt;=100),MIN(100,((Inputs!$B$10+0+B774+(ArtifactsInput!$M$24-ArtifactsInput!$M$24)*CHOOSE(ArtifactsInput!$N$24+1,10,12,14,16,18,20)+IF(ArtifactsInput!$M$10,CHOOSE(ArtifactsInput!$N$10+1,15,18,21,24,27,30)*(IF(Inputs!$B$39="pvp",MIN(15,15)/15,IF(AND(Inputs!$B$39&lt;&gt;"pvp",Inputs!$B$44&gt;0),MIN(15,Inputs!$B$44)/(Inputs!$B$44),0))),0)))-100),0))*CHOOSE(ArtifactsInput!$N$42+1,0.6,0.72,0.84,0.96,1.08,1.2))),Inputs!$B$19+((C768=TRUE)*(F768-Calc!F23))+(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gt;=100),CHOOSE(ArtifactsInput!$N$42+1,40,48,56,64,72,80),0))))/100)*((1+(((C758=TRUE)*F758*IF(AND(Inputs!$B$39&lt;&gt;"pvp",Inputs!$B$44&gt;0),(((R758-1)*MIN((Skills!T13*(1+Inputs!$B$35/100)),(1/Q758))+MIN((Skills!T13*(1+Inputs!$B$35/100)),MAX(0,Inputs!$B$44-((R758-1)*(1/Q758)))))/Inputs!$B$44),IF(Inputs!$B$39="pvp",MIN((Skills!T13*(1+Inputs!$B$35/100)),15)/15,MIN(1,(Skills!T13*(1+Inputs!$B$35/100))/(1/Q758)))))+((C759=TRUE)*F759*IF(AND(Inputs!$B$39&lt;&gt;"pvp",Inputs!$B$44&gt;0),(((R759-1)*MIN((Skills!T14*(1+Inputs!$B$35/100)),(1/Q759))+MIN((Skills!T14*(1+Inputs!$B$35/100)),MAX(0,Inputs!$B$44-((R759-1)*(1/Q759)))))/Inputs!$B$44),IF(Inputs!$B$39="pvp",MIN((Skills!T14*(1+Inputs!$B$35/100)),15)/15,MIN(1,(Skills!T14*(1+Inputs!$B$35/100))/(1/Q759)))))+((C760=TRUE)*F760*IF(AND(Inputs!$B$39&lt;&gt;"pvp",Inputs!$B$44&gt;0),(((R760-1)*MIN((Skills!T15*(1+Inputs!$B$35/100)),(1/Q760))+MIN((Skills!T15*(1+Inputs!$B$35/100)),MAX(0,Inputs!$B$44-((R760-1)*(1/Q760)))))/Inputs!$B$44),IF(Inputs!$B$39="pvp",MIN((Skills!T15*(1+Inputs!$B$35/100)),15)/15,MIN(1,(Skills!T15*(1+Inputs!$B$35/100))/(1/Q760)))))+((C761=TRUE)*F761*IF(AND(Inputs!$B$39&lt;&gt;"pvp",Inputs!$B$44&gt;0),(((R761-1)*MIN((Skills!T16*(1+Inputs!$B$35/100)),(1/Q761))+MIN((Skills!T16*(1+Inputs!$B$35/100)),MAX(0,Inputs!$B$44-((R761-1)*(1/Q761)))))/Inputs!$B$44),IF(Inputs!$B$39="pvp",MIN((Skills!T16*(1+Inputs!$B$35/100)),15)/15,MIN(1,(Skills!T16*(1+Inputs!$B$35/100))/(1/Q761)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751)</f>
        <v/>
      </c>
      <c r="L751">
        <f>K751*(MIN(Inputs!$B$23+((C767=TRUE)*(F767-Calc!F22)),(Inputs!$B$24+((C769=TRUE)*(F769-Calc!F24))+(IF(ArtifactsInput!$M$15,CHOOSE(ArtifactsInput!$N$15+1,25,30,35,40,45,50)/100*(Inputs!$B$12-Inputs!$B$12),0))))/100+(Inputs!$B$24+((C769=TRUE)*(F769-Calc!F24))+(IF(ArtifactsInput!$M$15,CHOOSE(ArtifactsInput!$N$15+1,25,30,35,40,45,50)/100*(Inputs!$B$12-Inputs!$B$12),0)))/100)/2</f>
        <v/>
      </c>
      <c r="M751">
        <f>L751*(1+(Inputs!$B$11+0+B779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751">
        <f>L751*(1-MIN((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751*(MIN((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51">
        <f>(1-Summary!$B$11)*T751+Summary!$B$11*V751</f>
        <v/>
      </c>
      <c r="P751">
        <f>IF(B784=0,0,O751/B784)</f>
        <v/>
      </c>
      <c r="Q751">
        <f>IFERROR(1/IF(Inputs!$B$39="pvp",15,MAX(0.1,Skills!D6-IF(TRUE=TRUE,Inputs!$B$33,0))),0)</f>
        <v/>
      </c>
      <c r="R751">
        <f>IF(AND(Inputs!$B$39&lt;&gt;"pvp",Inputs!$B$44&gt;0),IF(MAX(0,Inputs!$B$44-B781)&lt;=0,0,(INT(MAX(0,Inputs!$B$44-B781)/IF(Inputs!$B$39="pvp",15,MAX(0.1,Skills!D6-IF(TRUE=TRUE,Inputs!$B$33,0))))+1)),0)</f>
        <v/>
      </c>
      <c r="S751">
        <f>IFERROR(O751/N751,0)</f>
        <v/>
      </c>
      <c r="T751">
        <f>IF(C751,(H751*N751*IF(AND(Inputs!$B$39&lt;&gt;"pvp",Inputs!$B$44&gt;0),((Skills!G6*((R751-1)*IF(Skills!H6&gt;0,INT(Skills!I6/Skills!H6+0.000000001),1)+IF(Skills!H6&gt;0,INT(MIN(Skills!I6,MAX(0,MAX(0,Inputs!$B$44-B781)-((R751-1)*IF(Inputs!$B$39="pvp",15,MAX(0.1,Skills!D6-IF(TRUE=TRUE,Inputs!$B$33,0))))))/Skills!H6+0.000000001),1)))/Inputs!$B$44),G751*Q751))*IF(Inputs!$B$39="pvp",1,1+(Inputs!$B$21+0+Skills!P6+((C762=TRUE)*F762*IF(AND(Inputs!$B$39&lt;&gt;"pvp",Inputs!$B$44&gt;0),(((R762-1)*MIN((Skills!T17*(1+Inputs!$B$35/100)),(1/Q762))+MIN((Skills!T17*(1+Inputs!$B$35/100)),MAX(0,Inputs!$B$44-((R762-1)*(1/Q762)))))/Inputs!$B$44),IF(Inputs!$B$39="pvp",MIN((Skills!T17*(1+Inputs!$B$35/100)),15)/15,MIN(1,(Skills!T17*(1+Inputs!$B$35/100))/(1/Q762)))))+((C750=TRUE)*IF(Inputs!$B$3&gt;=126,10*MIN(1,15*Q750),0))+((C759=TRUE)*IF(Inputs!$B$39="pvp",20,(1-Summary!$B$11)*(20)+Summary!$B$11*(0))*IF(AND(Inputs!$B$39&lt;&gt;"pvp",Inputs!$B$44&gt;0),(((R759-1)*MIN((Skills!T14*(1+Inputs!$B$35/100)),(1/Q759))+MIN((Skills!T14*(1+Inputs!$B$35/100)),MAX(0,Inputs!$B$44-((R759-1)*(1/Q759)))))/Inputs!$B$44),IF(Inputs!$B$39="pvp",MIN((Skills!T14*(1+Inputs!$B$35/100)),15)/15,MIN(1,(Skills!T14*(1+Inputs!$B$35/100))/(1/Q759)))))+((C758=TRUE)*IF(Inputs!$B$3&gt;=82,IF(Inputs!$B$39="pvp",20,(1-Summary!$B$11)*(20)+Summary!$B$11*(0)),0)*IF(AND(Inputs!$B$39&lt;&gt;"pvp",Inputs!$B$44&gt;0),(((R758-1)*MIN((Skills!T13*(1+Inputs!$B$35/100)),(1/Q758))+MIN((Skills!T13*(1+Inputs!$B$35/100)),MAX(0,Inputs!$B$44-((R758-1)*(1/Q758)))))/Inputs!$B$44),IF(Inputs!$B$39="pvp",MIN((Skills!T13*(1+Inputs!$B$35/100)),15)/15,MIN(1,(Skills!T13*(1+Inputs!$B$35/100))/(1/Q758)))))+(IF(AND(ArtifactsInput!$M$35,Inputs!$B$4&lt;&gt;"Chapter Hunt"),CHOOSE(ArtifactsInput!$N$35+1,15,18,21,24,27,30)*(1-EXP(-(0.2*B776)*5)),0)+IF(AND(ArtifactsInput!$M$22,Inputs!$B$4&lt;&gt;"Chapter Hunt"),CHOOSE(ArtifactsInput!$N$22+1,10,12,14,16,18,20)*((0*(((0.15*B776*5))^0/1)+1*(((0.15*B776*5))^1/1)+2*(((0.15*B776*5))^2/2)+3*(((0.15*B776*5))^3/6)+4*(((0.15*B776*5))^4/24)+5*(((0.15*B776*5))^5/120))/((((0.15*B776*5))^0/1)+(((0.15*B776*5))^1/1)+(((0.15*B776*5))^2/2)+(((0.15*B776*5))^3/6)+(((0.15*B776*5))^4/24)+(((0.15*B776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751*(1-MIN(100,(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751*(MIN(100,(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751*(1-MIN(100,(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751*(MIN(100,(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51">
        <f>IF(C751,(H751*N751*IF(AND(Inputs!$B$39&lt;&gt;"pvp",Inputs!$B$44&gt;0),((Skills!G6*((R751-1)*IF(Skills!H6&gt;0,INT(Skills!I6/Skills!H6+0.000000001),1)+IF(Skills!H6&gt;0,INT(MIN(Skills!I6,MAX(0,MAX(0,Inputs!$B$44-B781)-((R751-1)*IF(Inputs!$B$39="pvp",15,MAX(0.1,Skills!D6-IF(TRUE=TRUE,Inputs!$B$33,0))))))/Skills!H6+0.000000001),1)))/Inputs!$B$44),G751*Q751))*IF(Inputs!$B$39="pvp",1,(1+(Inputs!$B$22+Skills!Q6+((C762=TRUE)*F762*IF(AND(Inputs!$B$39&lt;&gt;"pvp",Inputs!$B$44&gt;0),(((R762-1)*MIN((Skills!T17*(1+Inputs!$B$35/100)),(1/Q762))+MIN((Skills!T17*(1+Inputs!$B$35/100)),MAX(0,Inputs!$B$44-((R762-1)*(1/Q762)))))/Inputs!$B$44),IF(Inputs!$B$39="pvp",MIN((Skills!T17*(1+Inputs!$B$35/100)),15)/15,MIN(1,(Skills!T17*(1+Inputs!$B$35/100))/(1/Q762)))))+((C750=TRUE)*IF(Inputs!$B$3&gt;=126,10*MIN(1,15*Q750),0))+((C759=TRUE)*IF(Inputs!$B$39="pvp",20,(1-Summary!$B$11)*(20)+Summary!$B$11*(0))*IF(AND(Inputs!$B$39&lt;&gt;"pvp",Inputs!$B$44&gt;0),(((R759-1)*MIN((Skills!T14*(1+Inputs!$B$35/100)),(1/Q759))+MIN((Skills!T14*(1+Inputs!$B$35/100)),MAX(0,Inputs!$B$44-((R759-1)*(1/Q759)))))/Inputs!$B$44),IF(Inputs!$B$39="pvp",MIN((Skills!T14*(1+Inputs!$B$35/100)),15)/15,MIN(1,(Skills!T14*(1+Inputs!$B$35/100))/(1/Q759)))))+((C758=TRUE)*IF(Inputs!$B$3&gt;=82,IF(Inputs!$B$39="pvp",20,(1-Summary!$B$11)*(20)+Summary!$B$11*(0)),0)*IF(AND(Inputs!$B$39&lt;&gt;"pvp",Inputs!$B$44&gt;0),(((R758-1)*MIN((Skills!T13*(1+Inputs!$B$35/100)),(1/Q758))+MIN((Skills!T13*(1+Inputs!$B$35/100)),MAX(0,Inputs!$B$44-((R758-1)*(1/Q758)))))/Inputs!$B$44),IF(Inputs!$B$39="pvp",MIN((Skills!T13*(1+Inputs!$B$35/100)),15)/15,MIN(1,(Skills!T13*(1+Inputs!$B$35/100))/(1/Q758)))))+(IF(AND(ArtifactsInput!$M$35,Inputs!$B$4&lt;&gt;"Chapter Hunt"),CHOOSE(ArtifactsInput!$N$35+1,15,18,21,24,27,30)*(1-EXP(-(0.2*B776)*5)),0)+IF(AND(ArtifactsInput!$M$22,Inputs!$B$4&lt;&gt;"Chapter Hunt"),CHOOSE(ArtifactsInput!$N$22+1,10,12,14,16,18,20)*((0*(((0.15*B776*5))^0/1)+1*(((0.15*B776*5))^1/1)+2*(((0.15*B776*5))^2/2)+3*(((0.15*B776*5))^3/6)+4*(((0.15*B776*5))^4/24)+5*(((0.15*B776*5))^5/120))/((((0.15*B776*5))^0/1)+(((0.15*B776*5))^1/1)+(((0.15*B776*5))^2/2)+(((0.15*B776*5))^3/6)+(((0.15*B776*5))^4/24)+(((0.15*B776*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52">
      <c r="A752">
        <f>Skills!A7</f>
        <v/>
      </c>
      <c r="B752">
        <f>Skills!B7</f>
        <v/>
      </c>
      <c r="C752">
        <f>Inputs!$B$3&gt;=40</f>
        <v/>
      </c>
      <c r="D752">
        <f>IF(Skills!C7=1,60+Inputs!$B$26+Inputs!$B$30,IF(Skills!C7=2,90+Inputs!$B$27+Inputs!$B$30,IF(Skills!C7=3,120+Inputs!$B$28+Inputs!$B$30,MAX(0,(Inputs!$B$3-100)*3)+Inputs!$B$29+Inputs!$B$30)))</f>
        <v/>
      </c>
      <c r="E752">
        <f>INDEX(FactorTable!$B$2:$Y$301, MATCH(ROUND(MIN(300,MAX(1,D752)),0), FactorTable!$A$2:$A$301,0), Skills!M7+1)</f>
        <v/>
      </c>
      <c r="F752">
        <f>IF(Skills!N7=TRUE,(Skills!L7/10)*(E752/1000),Skills!L7/10)+Skills!O7</f>
        <v/>
      </c>
      <c r="G752">
        <f>Skills!G7*IF(Skills!H7&gt;0,INT(IF(Inputs!$B$39="pvp",MIN(Skills!I7,15),Skills!I7)/Skills!H7+0.000000001),1)</f>
        <v/>
      </c>
      <c r="H752">
        <f>1-(1-Skills!J7/100)^Skills!K7</f>
        <v/>
      </c>
      <c r="I752" t="inlineStr">
        <is>
          <t>1</t>
        </is>
      </c>
      <c r="J752">
        <f>((Inputs!$B$6*(1+Inputs!$B$7/100))+(((Inputs!$B$13*(1+Inputs!$B$14/100))-(Inputs!$B$13*(1+Inputs!$B$14/100)))+0.25*(Inputs!$B$15-Inputs!$B$15))*(1+Inputs!$B$7/100))*(F752/100)</f>
        <v/>
      </c>
      <c r="K752">
        <f>J752*(1+(((Inputs!$B$13+IF(Inputs!$B$3&gt;=38,(10*INDEX(FactorTable!$B$2:$Y$301, MATCH(ROUND(MIN(300,MAX(1,Inputs!$B$3)),0), FactorTable!$A$2:$A$301,0), 23)/1000)/100*(Inputs!$B$8*(1+Inputs!$B$9/100)),0))*(1+Inputs!$B$14/100))*0.01+Inputs!$B$15*0.0025)/100)*(1+Inputs!$B$16/100)*(1+Inputs!$B$17/100)*(5000/(6000+Inputs!$B$43*(1-(Inputs!$B$20+0)/100)))*(1+(Inputs!$B$25+((C770=TRUE)*(F770-Calc!F25))+((C771=TRUE)*(F771-Calc!F26))+B780)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756=TRUE,F756,0)/100)*(1+(IF(Skills!A7="DARK_IMPALE",(Inputs!$B$18+1)+0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gt;=100),MIN(100,((Inputs!$B$10+0+B774+(ArtifactsInput!$M$24-ArtifactsInput!$M$24)*CHOOSE(ArtifactsInput!$N$24+1,10,12,14,16,18,20)+IF(ArtifactsInput!$M$10,CHOOSE(ArtifactsInput!$N$10+1,15,18,21,24,27,30)*(IF(Inputs!$B$39="pvp",MIN(15,15)/15,IF(AND(Inputs!$B$39&lt;&gt;"pvp",Inputs!$B$44&gt;0),MIN(15,Inputs!$B$44)/(Inputs!$B$44),0))),0)))-100),0))*CHOOSE(ArtifactsInput!$N$42+1,0.6,0.72,0.84,0.96,1.08,1.2))),Inputs!$B$19+((C768=TRUE)*(F768-Calc!F23))+(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gt;=100),CHOOSE(ArtifactsInput!$N$42+1,40,48,56,64,72,80),0))))/100)*((1+(((C758=TRUE)*F758*IF(AND(Inputs!$B$39&lt;&gt;"pvp",Inputs!$B$44&gt;0),(((R758-1)*MIN((Skills!T13*(1+Inputs!$B$35/100)),(1/Q758))+MIN((Skills!T13*(1+Inputs!$B$35/100)),MAX(0,Inputs!$B$44-((R758-1)*(1/Q758)))))/Inputs!$B$44),IF(Inputs!$B$39="pvp",MIN((Skills!T13*(1+Inputs!$B$35/100)),15)/15,MIN(1,(Skills!T13*(1+Inputs!$B$35/100))/(1/Q758)))))+((C759=TRUE)*F759*IF(AND(Inputs!$B$39&lt;&gt;"pvp",Inputs!$B$44&gt;0),(((R759-1)*MIN((Skills!T14*(1+Inputs!$B$35/100)),(1/Q759))+MIN((Skills!T14*(1+Inputs!$B$35/100)),MAX(0,Inputs!$B$44-((R759-1)*(1/Q759)))))/Inputs!$B$44),IF(Inputs!$B$39="pvp",MIN((Skills!T14*(1+Inputs!$B$35/100)),15)/15,MIN(1,(Skills!T14*(1+Inputs!$B$35/100))/(1/Q759)))))+((C760=TRUE)*F760*IF(AND(Inputs!$B$39&lt;&gt;"pvp",Inputs!$B$44&gt;0),(((R760-1)*MIN((Skills!T15*(1+Inputs!$B$35/100)),(1/Q760))+MIN((Skills!T15*(1+Inputs!$B$35/100)),MAX(0,Inputs!$B$44-((R760-1)*(1/Q760)))))/Inputs!$B$44),IF(Inputs!$B$39="pvp",MIN((Skills!T15*(1+Inputs!$B$35/100)),15)/15,MIN(1,(Skills!T15*(1+Inputs!$B$35/100))/(1/Q760)))))+((C761=TRUE)*F761*IF(AND(Inputs!$B$39&lt;&gt;"pvp",Inputs!$B$44&gt;0),(((R761-1)*MIN((Skills!T16*(1+Inputs!$B$35/100)),(1/Q761))+MIN((Skills!T16*(1+Inputs!$B$35/100)),MAX(0,Inputs!$B$44-((R761-1)*(1/Q761)))))/Inputs!$B$44),IF(Inputs!$B$39="pvp",MIN((Skills!T16*(1+Inputs!$B$35/100)),15)/15,MIN(1,(Skills!T16*(1+Inputs!$B$35/100))/(1/Q761)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752)</f>
        <v/>
      </c>
      <c r="L752">
        <f>K752*(MIN(Inputs!$B$23+((C767=TRUE)*(F767-Calc!F22)),(Inputs!$B$24+((C769=TRUE)*(F769-Calc!F24))+(IF(ArtifactsInput!$M$15,CHOOSE(ArtifactsInput!$N$15+1,25,30,35,40,45,50)/100*(Inputs!$B$12-Inputs!$B$12),0))))/100+(Inputs!$B$24+((C769=TRUE)*(F769-Calc!F24))+(IF(ArtifactsInput!$M$15,CHOOSE(ArtifactsInput!$N$15+1,25,30,35,40,45,50)/100*(Inputs!$B$12-Inputs!$B$12),0)))/100)/2</f>
        <v/>
      </c>
      <c r="M752">
        <f>L752*(1+(Inputs!$B$11+0+B779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752">
        <f>L752*(1-MIN((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752*(MIN((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52">
        <f>(1-Summary!$B$11)*T752+Summary!$B$11*V752</f>
        <v/>
      </c>
      <c r="P752">
        <f>IF(B784=0,0,O752/B784)</f>
        <v/>
      </c>
      <c r="Q752">
        <f>IFERROR(1/IF(Inputs!$B$39="pvp",15,MAX(0.1,Skills!D7-IF(TRUE=TRUE,Inputs!$B$33,0))),0)</f>
        <v/>
      </c>
      <c r="R752">
        <f>IF(AND(Inputs!$B$39&lt;&gt;"pvp",Inputs!$B$44&gt;0),IF(MAX(0,Inputs!$B$44-B781)&lt;=0,0,(INT(MAX(0,Inputs!$B$44-B781)/IF(Inputs!$B$39="pvp",15,MAX(0.1,Skills!D7-IF(TRUE=TRUE,Inputs!$B$33,0))))+1)),0)</f>
        <v/>
      </c>
      <c r="S752">
        <f>IFERROR(O752/N752,0)</f>
        <v/>
      </c>
      <c r="T752">
        <f>IF(C752,(H752*N752*IF(AND(Inputs!$B$39&lt;&gt;"pvp",Inputs!$B$44&gt;0),((Skills!G7*((R752-1)*IF(Skills!H7&gt;0,INT(Skills!I7/Skills!H7+0.000000001),1)+IF(Skills!H7&gt;0,INT(MIN(Skills!I7,MAX(0,MAX(0,Inputs!$B$44-B781)-((R752-1)*IF(Inputs!$B$39="pvp",15,MAX(0.1,Skills!D7-IF(TRUE=TRUE,Inputs!$B$33,0))))))/Skills!H7+0.000000001),1)))/Inputs!$B$44),G752*Q752))*IF(Inputs!$B$39="pvp",1,1+(Inputs!$B$21+0+Skills!P7+((C762=TRUE)*F762*IF(AND(Inputs!$B$39&lt;&gt;"pvp",Inputs!$B$44&gt;0),(((R762-1)*MIN((Skills!T17*(1+Inputs!$B$35/100)),(1/Q762))+MIN((Skills!T17*(1+Inputs!$B$35/100)),MAX(0,Inputs!$B$44-((R762-1)*(1/Q762)))))/Inputs!$B$44),IF(Inputs!$B$39="pvp",MIN((Skills!T17*(1+Inputs!$B$35/100)),15)/15,MIN(1,(Skills!T17*(1+Inputs!$B$35/100))/(1/Q762)))))+((C750=TRUE)*IF(Inputs!$B$3&gt;=126,10*MIN(1,15*Q750),0))+((C759=TRUE)*IF(Inputs!$B$39="pvp",20,(1-Summary!$B$11)*(20)+Summary!$B$11*(0))*IF(AND(Inputs!$B$39&lt;&gt;"pvp",Inputs!$B$44&gt;0),(((R759-1)*MIN((Skills!T14*(1+Inputs!$B$35/100)),(1/Q759))+MIN((Skills!T14*(1+Inputs!$B$35/100)),MAX(0,Inputs!$B$44-((R759-1)*(1/Q759)))))/Inputs!$B$44),IF(Inputs!$B$39="pvp",MIN((Skills!T14*(1+Inputs!$B$35/100)),15)/15,MIN(1,(Skills!T14*(1+Inputs!$B$35/100))/(1/Q759)))))+((C758=TRUE)*IF(Inputs!$B$3&gt;=82,IF(Inputs!$B$39="pvp",20,(1-Summary!$B$11)*(20)+Summary!$B$11*(0)),0)*IF(AND(Inputs!$B$39&lt;&gt;"pvp",Inputs!$B$44&gt;0),(((R758-1)*MIN((Skills!T13*(1+Inputs!$B$35/100)),(1/Q758))+MIN((Skills!T13*(1+Inputs!$B$35/100)),MAX(0,Inputs!$B$44-((R758-1)*(1/Q758)))))/Inputs!$B$44),IF(Inputs!$B$39="pvp",MIN((Skills!T13*(1+Inputs!$B$35/100)),15)/15,MIN(1,(Skills!T13*(1+Inputs!$B$35/100))/(1/Q758)))))+(IF(AND(ArtifactsInput!$M$35,Inputs!$B$4&lt;&gt;"Chapter Hunt"),CHOOSE(ArtifactsInput!$N$35+1,15,18,21,24,27,30)*(1-EXP(-(0.2*B776)*5)),0)+IF(AND(ArtifactsInput!$M$22,Inputs!$B$4&lt;&gt;"Chapter Hunt"),CHOOSE(ArtifactsInput!$N$22+1,10,12,14,16,18,20)*((0*(((0.15*B776*5))^0/1)+1*(((0.15*B776*5))^1/1)+2*(((0.15*B776*5))^2/2)+3*(((0.15*B776*5))^3/6)+4*(((0.15*B776*5))^4/24)+5*(((0.15*B776*5))^5/120))/((((0.15*B776*5))^0/1)+(((0.15*B776*5))^1/1)+(((0.15*B776*5))^2/2)+(((0.15*B776*5))^3/6)+(((0.15*B776*5))^4/24)+(((0.15*B776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752*(1-MIN(100,(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752*(MIN(100,(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752*(1-MIN(100,(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752*(MIN(100,(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52">
        <f>IF(C752,(H752*N752*IF(AND(Inputs!$B$39&lt;&gt;"pvp",Inputs!$B$44&gt;0),((Skills!G7*((R752-1)*IF(Skills!H7&gt;0,INT(Skills!I7/Skills!H7+0.000000001),1)+IF(Skills!H7&gt;0,INT(MIN(Skills!I7,MAX(0,MAX(0,Inputs!$B$44-B781)-((R752-1)*IF(Inputs!$B$39="pvp",15,MAX(0.1,Skills!D7-IF(TRUE=TRUE,Inputs!$B$33,0))))))/Skills!H7+0.000000001),1)))/Inputs!$B$44),G752*Q752))*IF(Inputs!$B$39="pvp",1,(1+(Inputs!$B$22+Skills!Q7+((C762=TRUE)*F762*IF(AND(Inputs!$B$39&lt;&gt;"pvp",Inputs!$B$44&gt;0),(((R762-1)*MIN((Skills!T17*(1+Inputs!$B$35/100)),(1/Q762))+MIN((Skills!T17*(1+Inputs!$B$35/100)),MAX(0,Inputs!$B$44-((R762-1)*(1/Q762)))))/Inputs!$B$44),IF(Inputs!$B$39="pvp",MIN((Skills!T17*(1+Inputs!$B$35/100)),15)/15,MIN(1,(Skills!T17*(1+Inputs!$B$35/100))/(1/Q762)))))+((C750=TRUE)*IF(Inputs!$B$3&gt;=126,10*MIN(1,15*Q750),0))+((C759=TRUE)*IF(Inputs!$B$39="pvp",20,(1-Summary!$B$11)*(20)+Summary!$B$11*(0))*IF(AND(Inputs!$B$39&lt;&gt;"pvp",Inputs!$B$44&gt;0),(((R759-1)*MIN((Skills!T14*(1+Inputs!$B$35/100)),(1/Q759))+MIN((Skills!T14*(1+Inputs!$B$35/100)),MAX(0,Inputs!$B$44-((R759-1)*(1/Q759)))))/Inputs!$B$44),IF(Inputs!$B$39="pvp",MIN((Skills!T14*(1+Inputs!$B$35/100)),15)/15,MIN(1,(Skills!T14*(1+Inputs!$B$35/100))/(1/Q759)))))+((C758=TRUE)*IF(Inputs!$B$3&gt;=82,IF(Inputs!$B$39="pvp",20,(1-Summary!$B$11)*(20)+Summary!$B$11*(0)),0)*IF(AND(Inputs!$B$39&lt;&gt;"pvp",Inputs!$B$44&gt;0),(((R758-1)*MIN((Skills!T13*(1+Inputs!$B$35/100)),(1/Q758))+MIN((Skills!T13*(1+Inputs!$B$35/100)),MAX(0,Inputs!$B$44-((R758-1)*(1/Q758)))))/Inputs!$B$44),IF(Inputs!$B$39="pvp",MIN((Skills!T13*(1+Inputs!$B$35/100)),15)/15,MIN(1,(Skills!T13*(1+Inputs!$B$35/100))/(1/Q758)))))+(IF(AND(ArtifactsInput!$M$35,Inputs!$B$4&lt;&gt;"Chapter Hunt"),CHOOSE(ArtifactsInput!$N$35+1,15,18,21,24,27,30)*(1-EXP(-(0.2*B776)*5)),0)+IF(AND(ArtifactsInput!$M$22,Inputs!$B$4&lt;&gt;"Chapter Hunt"),CHOOSE(ArtifactsInput!$N$22+1,10,12,14,16,18,20)*((0*(((0.15*B776*5))^0/1)+1*(((0.15*B776*5))^1/1)+2*(((0.15*B776*5))^2/2)+3*(((0.15*B776*5))^3/6)+4*(((0.15*B776*5))^4/24)+5*(((0.15*B776*5))^5/120))/((((0.15*B776*5))^0/1)+(((0.15*B776*5))^1/1)+(((0.15*B776*5))^2/2)+(((0.15*B776*5))^3/6)+(((0.15*B776*5))^4/24)+(((0.15*B776*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53">
      <c r="A753">
        <f>Skills!A8</f>
        <v/>
      </c>
      <c r="B753">
        <f>Skills!B8</f>
        <v/>
      </c>
      <c r="C753">
        <f>Inputs!$B$3&gt;=75</f>
        <v/>
      </c>
      <c r="D753">
        <f>IF(Skills!C8=1,60+Inputs!$B$26+Inputs!$B$30,IF(Skills!C8=2,90+Inputs!$B$27+Inputs!$B$30,IF(Skills!C8=3,120+Inputs!$B$28+Inputs!$B$30,MAX(0,(Inputs!$B$3-100)*3)+Inputs!$B$29+Inputs!$B$30)))</f>
        <v/>
      </c>
      <c r="E753">
        <f>INDEX(FactorTable!$B$2:$Y$301, MATCH(ROUND(MIN(300,MAX(1,D753)),0), FactorTable!$A$2:$A$301,0), Skills!M8+1)</f>
        <v/>
      </c>
      <c r="F753">
        <f>IF(Skills!N8=TRUE,(Skills!L8/10)*(E753/1000),Skills!L8/10)+Skills!O8</f>
        <v/>
      </c>
      <c r="G753" t="inlineStr"/>
      <c r="H753" t="inlineStr"/>
      <c r="I753" t="inlineStr">
        <is>
          <t>1</t>
        </is>
      </c>
      <c r="J753" t="inlineStr"/>
      <c r="K753" t="inlineStr"/>
      <c r="L753" t="inlineStr"/>
      <c r="M753" t="inlineStr"/>
      <c r="N753" t="inlineStr"/>
      <c r="O753" t="inlineStr"/>
      <c r="P753" t="inlineStr"/>
      <c r="Q753" t="inlineStr"/>
      <c r="R753" t="inlineStr"/>
      <c r="S753" t="inlineStr"/>
    </row>
    <row r="754">
      <c r="A754">
        <f>Skills!A9</f>
        <v/>
      </c>
      <c r="B754">
        <f>Skills!B9</f>
        <v/>
      </c>
      <c r="C754">
        <f>Inputs!$B$3&gt;=60</f>
        <v/>
      </c>
      <c r="D754">
        <f>IF(Skills!C9=1,60+Inputs!$B$26+Inputs!$B$30,IF(Skills!C9=2,90+Inputs!$B$27+Inputs!$B$30,IF(Skills!C9=3,120+Inputs!$B$28+Inputs!$B$30,MAX(0,(Inputs!$B$3-100)*3)+Inputs!$B$29+Inputs!$B$30)))</f>
        <v/>
      </c>
      <c r="E754">
        <f>INDEX(FactorTable!$B$2:$Y$301, MATCH(ROUND(MIN(300,MAX(1,D754)),0), FactorTable!$A$2:$A$301,0), Skills!M9+1)</f>
        <v/>
      </c>
      <c r="F754">
        <f>IF(Skills!N9=TRUE,(Skills!L9/10)*(E754/1000),Skills!L9/10)+Skills!O9</f>
        <v/>
      </c>
      <c r="G754">
        <f>Skills!G9*IF(Skills!H9&gt;0,INT(IF(Inputs!$B$39="pvp",MIN(Skills!I9,15),Skills!I9)/Skills!H9+0.000000001),1)</f>
        <v/>
      </c>
      <c r="H754">
        <f>1-(1-Skills!J9/100)^Skills!K9</f>
        <v/>
      </c>
      <c r="I754" t="inlineStr">
        <is>
          <t>1</t>
        </is>
      </c>
      <c r="J754">
        <f>((Inputs!$B$6*(1+Inputs!$B$7/100))+(((Inputs!$B$13*(1+Inputs!$B$14/100))-(Inputs!$B$13*(1+Inputs!$B$14/100)))+0.25*(Inputs!$B$15-Inputs!$B$15))*(1+Inputs!$B$7/100))*(F754/100)</f>
        <v/>
      </c>
      <c r="K754">
        <f>J754*(1+(((Inputs!$B$13+IF(Inputs!$B$3&gt;=38,(10*INDEX(FactorTable!$B$2:$Y$301, MATCH(ROUND(MIN(300,MAX(1,Inputs!$B$3)),0), FactorTable!$A$2:$A$301,0), 23)/1000)/100*(Inputs!$B$8*(1+Inputs!$B$9/100)),0))*(1+Inputs!$B$14/100))*0.01+Inputs!$B$15*0.0025)/100)*(1+Inputs!$B$16/100)*(1+Inputs!$B$17/100)*(5000/(6000+Inputs!$B$43*(1-(Inputs!$B$20+0)/100)))*(1+(Inputs!$B$25+((C770=TRUE)*(F770-Calc!F25))+((C771=TRUE)*(F771-Calc!F26))+B780)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756=TRUE,F756,0)/100)*(1+(IF(Skills!A9="DARK_IMPALE",(Inputs!$B$18+1)+0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gt;=100),MIN(100,((Inputs!$B$10+0+B774+(ArtifactsInput!$M$24-ArtifactsInput!$M$24)*CHOOSE(ArtifactsInput!$N$24+1,10,12,14,16,18,20)+IF(ArtifactsInput!$M$10,CHOOSE(ArtifactsInput!$N$10+1,15,18,21,24,27,30)*(IF(Inputs!$B$39="pvp",MIN(15,15)/15,IF(AND(Inputs!$B$39&lt;&gt;"pvp",Inputs!$B$44&gt;0),MIN(15,Inputs!$B$44)/(Inputs!$B$44),0))),0)))-100),0))*CHOOSE(ArtifactsInput!$N$42+1,0.6,0.72,0.84,0.96,1.08,1.2))),Inputs!$B$19+((C768=TRUE)*(F768-Calc!F23))+(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gt;=100),CHOOSE(ArtifactsInput!$N$42+1,40,48,56,64,72,80),0))))/100)*((1+(((C758=TRUE)*F758*IF(AND(Inputs!$B$39&lt;&gt;"pvp",Inputs!$B$44&gt;0),(((R758-1)*MIN((Skills!T13*(1+Inputs!$B$35/100)),(1/Q758))+MIN((Skills!T13*(1+Inputs!$B$35/100)),MAX(0,Inputs!$B$44-((R758-1)*(1/Q758)))))/Inputs!$B$44),IF(Inputs!$B$39="pvp",MIN((Skills!T13*(1+Inputs!$B$35/100)),15)/15,MIN(1,(Skills!T13*(1+Inputs!$B$35/100))/(1/Q758)))))+((C759=TRUE)*F759*IF(AND(Inputs!$B$39&lt;&gt;"pvp",Inputs!$B$44&gt;0),(((R759-1)*MIN((Skills!T14*(1+Inputs!$B$35/100)),(1/Q759))+MIN((Skills!T14*(1+Inputs!$B$35/100)),MAX(0,Inputs!$B$44-((R759-1)*(1/Q759)))))/Inputs!$B$44),IF(Inputs!$B$39="pvp",MIN((Skills!T14*(1+Inputs!$B$35/100)),15)/15,MIN(1,(Skills!T14*(1+Inputs!$B$35/100))/(1/Q759)))))+((C760=TRUE)*F760*IF(AND(Inputs!$B$39&lt;&gt;"pvp",Inputs!$B$44&gt;0),(((R760-1)*MIN((Skills!T15*(1+Inputs!$B$35/100)),(1/Q760))+MIN((Skills!T15*(1+Inputs!$B$35/100)),MAX(0,Inputs!$B$44-((R760-1)*(1/Q760)))))/Inputs!$B$44),IF(Inputs!$B$39="pvp",MIN((Skills!T15*(1+Inputs!$B$35/100)),15)/15,MIN(1,(Skills!T15*(1+Inputs!$B$35/100))/(1/Q760)))))+((C761=TRUE)*F761*IF(AND(Inputs!$B$39&lt;&gt;"pvp",Inputs!$B$44&gt;0),(((R761-1)*MIN((Skills!T16*(1+Inputs!$B$35/100)),(1/Q761))+MIN((Skills!T16*(1+Inputs!$B$35/100)),MAX(0,Inputs!$B$44-((R761-1)*(1/Q761)))))/Inputs!$B$44),IF(Inputs!$B$39="pvp",MIN((Skills!T16*(1+Inputs!$B$35/100)),15)/15,MIN(1,(Skills!T16*(1+Inputs!$B$35/100))/(1/Q761)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754)</f>
        <v/>
      </c>
      <c r="L754">
        <f>K754*(MIN(Inputs!$B$23+((C767=TRUE)*(F767-Calc!F22)),(Inputs!$B$24+((C769=TRUE)*(F769-Calc!F24))+(IF(ArtifactsInput!$M$15,CHOOSE(ArtifactsInput!$N$15+1,25,30,35,40,45,50)/100*(Inputs!$B$12-Inputs!$B$12),0))))/100+(Inputs!$B$24+((C769=TRUE)*(F769-Calc!F24))+(IF(ArtifactsInput!$M$15,CHOOSE(ArtifactsInput!$N$15+1,25,30,35,40,45,50)/100*(Inputs!$B$12-Inputs!$B$12),0)))/100)/2</f>
        <v/>
      </c>
      <c r="M754">
        <f>L754*(1+(Inputs!$B$11+0+B779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754">
        <f>L754*(1-MIN((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754*(MIN((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54">
        <f>(1-Summary!$B$11)*T754+Summary!$B$11*V754</f>
        <v/>
      </c>
      <c r="P754">
        <f>IF(B784=0,0,O754/B784)</f>
        <v/>
      </c>
      <c r="Q754">
        <f>IFERROR(1/IF(Inputs!$B$39="pvp",15,MAX(0.1,Skills!D9-IF(TRUE=TRUE,Inputs!$B$33,0))),0)</f>
        <v/>
      </c>
      <c r="R754">
        <f>IF(AND(Inputs!$B$39&lt;&gt;"pvp",Inputs!$B$44&gt;0),IF(MAX(0,Inputs!$B$44-B781)&lt;=0,0,(INT(MAX(0,Inputs!$B$44-B781)/IF(Inputs!$B$39="pvp",15,MAX(0.1,Skills!D9-IF(TRUE=TRUE,Inputs!$B$33,0))))+1)),0)</f>
        <v/>
      </c>
      <c r="S754">
        <f>IFERROR(O754/N754,0)</f>
        <v/>
      </c>
      <c r="T754">
        <f>IF(C754,(H754*N754*IF(AND(Inputs!$B$39&lt;&gt;"pvp",Inputs!$B$44&gt;0),((Skills!G9*((R754-1)*IF(Skills!H9&gt;0,INT(Skills!I9/Skills!H9+0.000000001),1)+IF(Skills!H9&gt;0,INT(MIN(Skills!I9,MAX(0,MAX(0,Inputs!$B$44-B781)-((R754-1)*IF(Inputs!$B$39="pvp",15,MAX(0.1,Skills!D9-IF(TRUE=TRUE,Inputs!$B$33,0))))))/Skills!H9+0.000000001),1)))/Inputs!$B$44),G754*Q754))*IF(Inputs!$B$39="pvp",1,1+(Inputs!$B$21+0+Skills!P9+((C762=TRUE)*F762*IF(AND(Inputs!$B$39&lt;&gt;"pvp",Inputs!$B$44&gt;0),(((R762-1)*MIN((Skills!T17*(1+Inputs!$B$35/100)),(1/Q762))+MIN((Skills!T17*(1+Inputs!$B$35/100)),MAX(0,Inputs!$B$44-((R762-1)*(1/Q762)))))/Inputs!$B$44),IF(Inputs!$B$39="pvp",MIN((Skills!T17*(1+Inputs!$B$35/100)),15)/15,MIN(1,(Skills!T17*(1+Inputs!$B$35/100))/(1/Q762)))))+((C750=TRUE)*IF(Inputs!$B$3&gt;=126,10*MIN(1,15*Q750),0))+((C759=TRUE)*IF(Inputs!$B$39="pvp",20,(1-Summary!$B$11)*(20)+Summary!$B$11*(0))*IF(AND(Inputs!$B$39&lt;&gt;"pvp",Inputs!$B$44&gt;0),(((R759-1)*MIN((Skills!T14*(1+Inputs!$B$35/100)),(1/Q759))+MIN((Skills!T14*(1+Inputs!$B$35/100)),MAX(0,Inputs!$B$44-((R759-1)*(1/Q759)))))/Inputs!$B$44),IF(Inputs!$B$39="pvp",MIN((Skills!T14*(1+Inputs!$B$35/100)),15)/15,MIN(1,(Skills!T14*(1+Inputs!$B$35/100))/(1/Q759)))))+((C758=TRUE)*IF(Inputs!$B$3&gt;=82,IF(Inputs!$B$39="pvp",20,(1-Summary!$B$11)*(20)+Summary!$B$11*(0)),0)*IF(AND(Inputs!$B$39&lt;&gt;"pvp",Inputs!$B$44&gt;0),(((R758-1)*MIN((Skills!T13*(1+Inputs!$B$35/100)),(1/Q758))+MIN((Skills!T13*(1+Inputs!$B$35/100)),MAX(0,Inputs!$B$44-((R758-1)*(1/Q758)))))/Inputs!$B$44),IF(Inputs!$B$39="pvp",MIN((Skills!T13*(1+Inputs!$B$35/100)),15)/15,MIN(1,(Skills!T13*(1+Inputs!$B$35/100))/(1/Q758)))))+(IF(AND(ArtifactsInput!$M$35,Inputs!$B$4&lt;&gt;"Chapter Hunt"),CHOOSE(ArtifactsInput!$N$35+1,15,18,21,24,27,30)*(1-EXP(-(0.2*B776)*5)),0)+IF(AND(ArtifactsInput!$M$22,Inputs!$B$4&lt;&gt;"Chapter Hunt"),CHOOSE(ArtifactsInput!$N$22+1,10,12,14,16,18,20)*((0*(((0.15*B776*5))^0/1)+1*(((0.15*B776*5))^1/1)+2*(((0.15*B776*5))^2/2)+3*(((0.15*B776*5))^3/6)+4*(((0.15*B776*5))^4/24)+5*(((0.15*B776*5))^5/120))/((((0.15*B776*5))^0/1)+(((0.15*B776*5))^1/1)+(((0.15*B776*5))^2/2)+(((0.15*B776*5))^3/6)+(((0.15*B776*5))^4/24)+(((0.15*B776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754*(1-MIN(100,(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754*(MIN(100,(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754*(1-MIN(100,(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754*(MIN(100,(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54">
        <f>IF(C754,(H754*N754*IF(AND(Inputs!$B$39&lt;&gt;"pvp",Inputs!$B$44&gt;0),((Skills!G9*((R754-1)*IF(Skills!H9&gt;0,INT(Skills!I9/Skills!H9+0.000000001),1)+IF(Skills!H9&gt;0,INT(MIN(Skills!I9,MAX(0,MAX(0,Inputs!$B$44-B781)-((R754-1)*IF(Inputs!$B$39="pvp",15,MAX(0.1,Skills!D9-IF(TRUE=TRUE,Inputs!$B$33,0))))))/Skills!H9+0.000000001),1)))/Inputs!$B$44),G754*Q754))*IF(Inputs!$B$39="pvp",1,(1+(Inputs!$B$22+Skills!Q9+((C762=TRUE)*F762*IF(AND(Inputs!$B$39&lt;&gt;"pvp",Inputs!$B$44&gt;0),(((R762-1)*MIN((Skills!T17*(1+Inputs!$B$35/100)),(1/Q762))+MIN((Skills!T17*(1+Inputs!$B$35/100)),MAX(0,Inputs!$B$44-((R762-1)*(1/Q762)))))/Inputs!$B$44),IF(Inputs!$B$39="pvp",MIN((Skills!T17*(1+Inputs!$B$35/100)),15)/15,MIN(1,(Skills!T17*(1+Inputs!$B$35/100))/(1/Q762)))))+((C750=TRUE)*IF(Inputs!$B$3&gt;=126,10*MIN(1,15*Q750),0))+((C759=TRUE)*IF(Inputs!$B$39="pvp",20,(1-Summary!$B$11)*(20)+Summary!$B$11*(0))*IF(AND(Inputs!$B$39&lt;&gt;"pvp",Inputs!$B$44&gt;0),(((R759-1)*MIN((Skills!T14*(1+Inputs!$B$35/100)),(1/Q759))+MIN((Skills!T14*(1+Inputs!$B$35/100)),MAX(0,Inputs!$B$44-((R759-1)*(1/Q759)))))/Inputs!$B$44),IF(Inputs!$B$39="pvp",MIN((Skills!T14*(1+Inputs!$B$35/100)),15)/15,MIN(1,(Skills!T14*(1+Inputs!$B$35/100))/(1/Q759)))))+((C758=TRUE)*IF(Inputs!$B$3&gt;=82,IF(Inputs!$B$39="pvp",20,(1-Summary!$B$11)*(20)+Summary!$B$11*(0)),0)*IF(AND(Inputs!$B$39&lt;&gt;"pvp",Inputs!$B$44&gt;0),(((R758-1)*MIN((Skills!T13*(1+Inputs!$B$35/100)),(1/Q758))+MIN((Skills!T13*(1+Inputs!$B$35/100)),MAX(0,Inputs!$B$44-((R758-1)*(1/Q758)))))/Inputs!$B$44),IF(Inputs!$B$39="pvp",MIN((Skills!T13*(1+Inputs!$B$35/100)),15)/15,MIN(1,(Skills!T13*(1+Inputs!$B$35/100))/(1/Q758)))))+(IF(AND(ArtifactsInput!$M$35,Inputs!$B$4&lt;&gt;"Chapter Hunt"),CHOOSE(ArtifactsInput!$N$35+1,15,18,21,24,27,30)*(1-EXP(-(0.2*B776)*5)),0)+IF(AND(ArtifactsInput!$M$22,Inputs!$B$4&lt;&gt;"Chapter Hunt"),CHOOSE(ArtifactsInput!$N$22+1,10,12,14,16,18,20)*((0*(((0.15*B776*5))^0/1)+1*(((0.15*B776*5))^1/1)+2*(((0.15*B776*5))^2/2)+3*(((0.15*B776*5))^3/6)+4*(((0.15*B776*5))^4/24)+5*(((0.15*B776*5))^5/120))/((((0.15*B776*5))^0/1)+(((0.15*B776*5))^1/1)+(((0.15*B776*5))^2/2)+(((0.15*B776*5))^3/6)+(((0.15*B776*5))^4/24)+(((0.15*B776*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55">
      <c r="A755">
        <f>Skills!A10</f>
        <v/>
      </c>
      <c r="B755">
        <f>Skills!B10</f>
        <v/>
      </c>
      <c r="C755">
        <f>Inputs!$B$3&gt;=110</f>
        <v/>
      </c>
      <c r="D755">
        <f>IF(Skills!C10=1,60+Inputs!$B$26+Inputs!$B$30,IF(Skills!C10=2,90+Inputs!$B$27+Inputs!$B$30,IF(Skills!C10=3,120+Inputs!$B$28+Inputs!$B$30,MAX(0,(Inputs!$B$3-100)*3)+Inputs!$B$29+Inputs!$B$30)))</f>
        <v/>
      </c>
      <c r="E755">
        <f>INDEX(FactorTable!$B$2:$Y$301, MATCH(ROUND(MIN(300,MAX(1,D755)),0), FactorTable!$A$2:$A$301,0), Skills!M10+1)</f>
        <v/>
      </c>
      <c r="F755">
        <f>IF(Skills!N10=TRUE,(Skills!L10/10)*(E755/1000),Skills!L10/10)+Skills!O10</f>
        <v/>
      </c>
      <c r="G755">
        <f>Skills!G10*IF(Skills!H10&gt;0,INT(IF(Inputs!$B$39="pvp",MIN(Skills!I10,15),Skills!I10)/Skills!H10+0.000000001),1)</f>
        <v/>
      </c>
      <c r="H755">
        <f>1-(1-Skills!J10/100)^Skills!K10</f>
        <v/>
      </c>
      <c r="I755" t="inlineStr">
        <is>
          <t>1</t>
        </is>
      </c>
      <c r="J755">
        <f>((Inputs!$B$6*(1+Inputs!$B$7/100))+(((Inputs!$B$13*(1+Inputs!$B$14/100))-(Inputs!$B$13*(1+Inputs!$B$14/100)))+0.25*(Inputs!$B$15-Inputs!$B$15))*(1+Inputs!$B$7/100))*(F755/100)</f>
        <v/>
      </c>
      <c r="K755">
        <f>J755*(1+(((Inputs!$B$13+IF(Inputs!$B$3&gt;=38,(10*INDEX(FactorTable!$B$2:$Y$301, MATCH(ROUND(MIN(300,MAX(1,Inputs!$B$3)),0), FactorTable!$A$2:$A$301,0), 23)/1000)/100*(Inputs!$B$8*(1+Inputs!$B$9/100)),0))*(1+Inputs!$B$14/100))*0.01+Inputs!$B$15*0.0025)/100)*(1+Inputs!$B$16/100)*(1+Inputs!$B$17/100)*(5000/(6000+Inputs!$B$43*(1-(Inputs!$B$20+0)/100)))*(1+(Inputs!$B$25+((C770=TRUE)*(F770-Calc!F25))+((C771=TRUE)*(F771-Calc!F26))+B780)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+1)+0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gt;=100),MIN(100,((Inputs!$B$10+0+B774+(ArtifactsInput!$M$24-ArtifactsInput!$M$24)*CHOOSE(ArtifactsInput!$N$24+1,10,12,14,16,18,20)+IF(ArtifactsInput!$M$10,CHOOSE(ArtifactsInput!$N$10+1,15,18,21,24,27,30)*(IF(Inputs!$B$39="pvp",MIN(15,15)/15,IF(AND(Inputs!$B$39&lt;&gt;"pvp",Inputs!$B$44&gt;0),MIN(15,Inputs!$B$44)/(Inputs!$B$44),0))),0)))-100),0))*CHOOSE(ArtifactsInput!$N$42+1,0.6,0.72,0.84,0.96,1.08,1.2))),Inputs!$B$19+((C768=TRUE)*(F768-Calc!F23))+(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gt;=100),CHOOSE(ArtifactsInput!$N$42+1,40,48,56,64,72,80),0))))/100)*((1+(((C758=TRUE)*F758*IF(AND(Inputs!$B$39&lt;&gt;"pvp",Inputs!$B$44&gt;0),(((R758-1)*MIN((Skills!T13*(1+Inputs!$B$35/100)),(1/Q758))+MIN((Skills!T13*(1+Inputs!$B$35/100)),MAX(0,Inputs!$B$44-((R758-1)*(1/Q758)))))/Inputs!$B$44),IF(Inputs!$B$39="pvp",MIN((Skills!T13*(1+Inputs!$B$35/100)),15)/15,MIN(1,(Skills!T13*(1+Inputs!$B$35/100))/(1/Q758)))))+((C759=TRUE)*F759*IF(AND(Inputs!$B$39&lt;&gt;"pvp",Inputs!$B$44&gt;0),(((R759-1)*MIN((Skills!T14*(1+Inputs!$B$35/100)),(1/Q759))+MIN((Skills!T14*(1+Inputs!$B$35/100)),MAX(0,Inputs!$B$44-((R759-1)*(1/Q759)))))/Inputs!$B$44),IF(Inputs!$B$39="pvp",MIN((Skills!T14*(1+Inputs!$B$35/100)),15)/15,MIN(1,(Skills!T14*(1+Inputs!$B$35/100))/(1/Q759)))))+((C760=TRUE)*F760*IF(AND(Inputs!$B$39&lt;&gt;"pvp",Inputs!$B$44&gt;0),(((R760-1)*MIN((Skills!T15*(1+Inputs!$B$35/100)),(1/Q760))+MIN((Skills!T15*(1+Inputs!$B$35/100)),MAX(0,Inputs!$B$44-((R760-1)*(1/Q760)))))/Inputs!$B$44),IF(Inputs!$B$39="pvp",MIN((Skills!T15*(1+Inputs!$B$35/100)),15)/15,MIN(1,(Skills!T15*(1+Inputs!$B$35/100))/(1/Q760)))))+((C761=TRUE)*F761*IF(AND(Inputs!$B$39&lt;&gt;"pvp",Inputs!$B$44&gt;0),(((R761-1)*MIN((Skills!T16*(1+Inputs!$B$35/100)),(1/Q761))+MIN((Skills!T16*(1+Inputs!$B$35/100)),MAX(0,Inputs!$B$44-((R761-1)*(1/Q761)))))/Inputs!$B$44),IF(Inputs!$B$39="pvp",MIN((Skills!T16*(1+Inputs!$B$35/100)),15)/15,MIN(1,(Skills!T16*(1+Inputs!$B$35/100))/(1/Q761)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755)</f>
        <v/>
      </c>
      <c r="L755">
        <f>K755*(MIN(Inputs!$B$23+((C767=TRUE)*(F767-Calc!F22)),(Inputs!$B$24+((C769=TRUE)*(F769-Calc!F24))+(IF(ArtifactsInput!$M$15,CHOOSE(ArtifactsInput!$N$15+1,25,30,35,40,45,50)/100*(Inputs!$B$12-Inputs!$B$12),0))))/100+(Inputs!$B$24+((C769=TRUE)*(F769-Calc!F24))+(IF(ArtifactsInput!$M$15,CHOOSE(ArtifactsInput!$N$15+1,25,30,35,40,45,50)/100*(Inputs!$B$12-Inputs!$B$12),0)))/100)/2</f>
        <v/>
      </c>
      <c r="M755">
        <f>L755*(1+(Inputs!$B$11+0+B779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755">
        <f>L755*(1-MIN((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755*(MIN((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55">
        <f>(1-Summary!$B$11)*T755+Summary!$B$11*V755</f>
        <v/>
      </c>
      <c r="P755">
        <f>IF(B784=0,0,O755/B784)</f>
        <v/>
      </c>
      <c r="Q755">
        <f>IFERROR(1/IF(Inputs!$B$39="pvp",15,MAX(0.1,Skills!D10-IF(TRUE=TRUE,Inputs!$B$33,0))),0)</f>
        <v/>
      </c>
      <c r="R755">
        <f>IF(AND(Inputs!$B$39&lt;&gt;"pvp",Inputs!$B$44&gt;0),IF(MAX(0,Inputs!$B$44-B781)&lt;=0,0,(INT(MAX(0,Inputs!$B$44-B781)/IF(Inputs!$B$39="pvp",15,MAX(0.1,Skills!D10-IF(TRUE=TRUE,Inputs!$B$33,0))))+1)),0)</f>
        <v/>
      </c>
      <c r="S755">
        <f>IFERROR(O755/N755,0)</f>
        <v/>
      </c>
      <c r="T755">
        <f>IF(C755,(H755*N755*IF(AND(Inputs!$B$39&lt;&gt;"pvp",Inputs!$B$44&gt;0),((Skills!G10*((R755-1)*IF(Skills!H10&gt;0,INT(Skills!I10/Skills!H10+0.000000001),1)+IF(Skills!H10&gt;0,INT(MIN(Skills!I10,MAX(0,MAX(0,Inputs!$B$44-B781)-((R755-1)*IF(Inputs!$B$39="pvp",15,MAX(0.1,Skills!D10-IF(TRUE=TRUE,Inputs!$B$33,0))))))/Skills!H10+0.000000001),1)))/Inputs!$B$44),G755*Q755))*IF(Inputs!$B$39="pvp",1,1+(Inputs!$B$21+0+Skills!P10+((C762=TRUE)*F762*IF(AND(Inputs!$B$39&lt;&gt;"pvp",Inputs!$B$44&gt;0),(((R762-1)*MIN((Skills!T17*(1+Inputs!$B$35/100)),(1/Q762))+MIN((Skills!T17*(1+Inputs!$B$35/100)),MAX(0,Inputs!$B$44-((R762-1)*(1/Q762)))))/Inputs!$B$44),IF(Inputs!$B$39="pvp",MIN((Skills!T17*(1+Inputs!$B$35/100)),15)/15,MIN(1,(Skills!T17*(1+Inputs!$B$35/100))/(1/Q762)))))+((C750=TRUE)*IF(Inputs!$B$3&gt;=126,10*MIN(1,15*Q750),0))+((C759=TRUE)*IF(Inputs!$B$39="pvp",20,(1-Summary!$B$11)*(20)+Summary!$B$11*(0))*IF(AND(Inputs!$B$39&lt;&gt;"pvp",Inputs!$B$44&gt;0),(((R759-1)*MIN((Skills!T14*(1+Inputs!$B$35/100)),(1/Q759))+MIN((Skills!T14*(1+Inputs!$B$35/100)),MAX(0,Inputs!$B$44-((R759-1)*(1/Q759)))))/Inputs!$B$44),IF(Inputs!$B$39="pvp",MIN((Skills!T14*(1+Inputs!$B$35/100)),15)/15,MIN(1,(Skills!T14*(1+Inputs!$B$35/100))/(1/Q759)))))+((C758=TRUE)*IF(Inputs!$B$3&gt;=82,IF(Inputs!$B$39="pvp",20,(1-Summary!$B$11)*(20)+Summary!$B$11*(0)),0)*IF(AND(Inputs!$B$39&lt;&gt;"pvp",Inputs!$B$44&gt;0),(((R758-1)*MIN((Skills!T13*(1+Inputs!$B$35/100)),(1/Q758))+MIN((Skills!T13*(1+Inputs!$B$35/100)),MAX(0,Inputs!$B$44-((R758-1)*(1/Q758)))))/Inputs!$B$44),IF(Inputs!$B$39="pvp",MIN((Skills!T13*(1+Inputs!$B$35/100)),15)/15,MIN(1,(Skills!T13*(1+Inputs!$B$35/100))/(1/Q758)))))+(IF(AND(ArtifactsInput!$M$35,Inputs!$B$4&lt;&gt;"Chapter Hunt"),CHOOSE(ArtifactsInput!$N$35+1,15,18,21,24,27,30)*(1-EXP(-(0.2*B776)*5)),0)+IF(AND(ArtifactsInput!$M$22,Inputs!$B$4&lt;&gt;"Chapter Hunt"),CHOOSE(ArtifactsInput!$N$22+1,10,12,14,16,18,20)*((0*(((0.15*B776*5))^0/1)+1*(((0.15*B776*5))^1/1)+2*(((0.15*B776*5))^2/2)+3*(((0.15*B776*5))^3/6)+4*(((0.15*B776*5))^4/24)+5*(((0.15*B776*5))^5/120))/((((0.15*B776*5))^0/1)+(((0.15*B776*5))^1/1)+(((0.15*B776*5))^2/2)+(((0.15*B776*5))^3/6)+(((0.15*B776*5))^4/24)+(((0.15*B776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755*(1-MIN(100,(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755*(MIN(100,(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755*(1-MIN(100,(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755*(MIN(100,(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55">
        <f>IF(C755,(H755*N755*IF(AND(Inputs!$B$39&lt;&gt;"pvp",Inputs!$B$44&gt;0),((Skills!G10*((R755-1)*IF(Skills!H10&gt;0,INT(Skills!I10/Skills!H10+0.000000001),1)+IF(Skills!H10&gt;0,INT(MIN(Skills!I10,MAX(0,MAX(0,Inputs!$B$44-B781)-((R755-1)*IF(Inputs!$B$39="pvp",15,MAX(0.1,Skills!D10-IF(TRUE=TRUE,Inputs!$B$33,0))))))/Skills!H10+0.000000001),1)))/Inputs!$B$44),G755*Q755))*IF(Inputs!$B$39="pvp",1,(1+(Inputs!$B$22+Skills!Q10+((C762=TRUE)*F762*IF(AND(Inputs!$B$39&lt;&gt;"pvp",Inputs!$B$44&gt;0),(((R762-1)*MIN((Skills!T17*(1+Inputs!$B$35/100)),(1/Q762))+MIN((Skills!T17*(1+Inputs!$B$35/100)),MAX(0,Inputs!$B$44-((R762-1)*(1/Q762)))))/Inputs!$B$44),IF(Inputs!$B$39="pvp",MIN((Skills!T17*(1+Inputs!$B$35/100)),15)/15,MIN(1,(Skills!T17*(1+Inputs!$B$35/100))/(1/Q762)))))+((C750=TRUE)*IF(Inputs!$B$3&gt;=126,10*MIN(1,15*Q750),0))+((C759=TRUE)*IF(Inputs!$B$39="pvp",20,(1-Summary!$B$11)*(20)+Summary!$B$11*(0))*IF(AND(Inputs!$B$39&lt;&gt;"pvp",Inputs!$B$44&gt;0),(((R759-1)*MIN((Skills!T14*(1+Inputs!$B$35/100)),(1/Q759))+MIN((Skills!T14*(1+Inputs!$B$35/100)),MAX(0,Inputs!$B$44-((R759-1)*(1/Q759)))))/Inputs!$B$44),IF(Inputs!$B$39="pvp",MIN((Skills!T14*(1+Inputs!$B$35/100)),15)/15,MIN(1,(Skills!T14*(1+Inputs!$B$35/100))/(1/Q759)))))+((C758=TRUE)*IF(Inputs!$B$3&gt;=82,IF(Inputs!$B$39="pvp",20,(1-Summary!$B$11)*(20)+Summary!$B$11*(0)),0)*IF(AND(Inputs!$B$39&lt;&gt;"pvp",Inputs!$B$44&gt;0),(((R758-1)*MIN((Skills!T13*(1+Inputs!$B$35/100)),(1/Q758))+MIN((Skills!T13*(1+Inputs!$B$35/100)),MAX(0,Inputs!$B$44-((R758-1)*(1/Q758)))))/Inputs!$B$44),IF(Inputs!$B$39="pvp",MIN((Skills!T13*(1+Inputs!$B$35/100)),15)/15,MIN(1,(Skills!T13*(1+Inputs!$B$35/100))/(1/Q758)))))+(IF(AND(ArtifactsInput!$M$35,Inputs!$B$4&lt;&gt;"Chapter Hunt"),CHOOSE(ArtifactsInput!$N$35+1,15,18,21,24,27,30)*(1-EXP(-(0.2*B776)*5)),0)+IF(AND(ArtifactsInput!$M$22,Inputs!$B$4&lt;&gt;"Chapter Hunt"),CHOOSE(ArtifactsInput!$N$22+1,10,12,14,16,18,20)*((0*(((0.15*B776*5))^0/1)+1*(((0.15*B776*5))^1/1)+2*(((0.15*B776*5))^2/2)+3*(((0.15*B776*5))^3/6)+4*(((0.15*B776*5))^4/24)+5*(((0.15*B776*5))^5/120))/((((0.15*B776*5))^0/1)+(((0.15*B776*5))^1/1)+(((0.15*B776*5))^2/2)+(((0.15*B776*5))^3/6)+(((0.15*B776*5))^4/24)+(((0.15*B776*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56">
      <c r="A756">
        <f>Skills!A11</f>
        <v/>
      </c>
      <c r="B756">
        <f>Skills!B11</f>
        <v/>
      </c>
      <c r="C756">
        <f>Inputs!$B$3&gt;=100</f>
        <v/>
      </c>
      <c r="D756">
        <f>IF(Skills!C11=1,60+Inputs!$B$26+Inputs!$B$30,IF(Skills!C11=2,90+Inputs!$B$27+Inputs!$B$30,IF(Skills!C11=3,120+Inputs!$B$28+Inputs!$B$30,MAX(0,(Inputs!$B$3-100)*3)+Inputs!$B$29+Inputs!$B$30)))</f>
        <v/>
      </c>
      <c r="E756">
        <f>INDEX(FactorTable!$B$2:$Y$301, MATCH(ROUND(MIN(300,MAX(1,D756)),0), FactorTable!$A$2:$A$301,0), Skills!M11+1)</f>
        <v/>
      </c>
      <c r="F756">
        <f>IF(Skills!N11=TRUE,(Skills!L11/10)*(E756/1000),Skills!L11/10)+Skills!O11</f>
        <v/>
      </c>
      <c r="G756" t="inlineStr"/>
      <c r="H756" t="inlineStr"/>
      <c r="I756" t="inlineStr">
        <is>
          <t>1</t>
        </is>
      </c>
      <c r="J756" t="inlineStr"/>
      <c r="K756" t="inlineStr"/>
      <c r="L756" t="inlineStr"/>
      <c r="M756" t="inlineStr"/>
      <c r="N756" t="inlineStr"/>
      <c r="O756" t="inlineStr"/>
      <c r="P756" t="inlineStr"/>
      <c r="Q756" t="inlineStr"/>
      <c r="R756" t="inlineStr"/>
      <c r="S756" t="inlineStr"/>
    </row>
    <row r="757">
      <c r="A757">
        <f>Skills!A12</f>
        <v/>
      </c>
      <c r="B757">
        <f>Skills!B12</f>
        <v/>
      </c>
      <c r="C757">
        <f>Inputs!$B$3&gt;=63</f>
        <v/>
      </c>
      <c r="D757">
        <f>IF(Skills!C12=1,60+Inputs!$B$26+Inputs!$B$30,IF(Skills!C12=2,90+Inputs!$B$27+Inputs!$B$30,IF(Skills!C12=3,120+Inputs!$B$28+Inputs!$B$30,MAX(0,(Inputs!$B$3-100)*3)+Inputs!$B$29+Inputs!$B$30)))</f>
        <v/>
      </c>
      <c r="E757">
        <f>INDEX(FactorTable!$B$2:$Y$301, MATCH(ROUND(MIN(300,MAX(1,D757)),0), FactorTable!$A$2:$A$301,0), Skills!M12+1)</f>
        <v/>
      </c>
      <c r="F757">
        <f>IF(Skills!N12=TRUE,(Skills!L12/10)*(E757/1000),Skills!L12/10)+Skills!O12</f>
        <v/>
      </c>
      <c r="G757">
        <f>Skills!G12*IF(Skills!H12&gt;0,INT(IF(Inputs!$B$39="pvp",MIN(Skills!I12,15),Skills!I12)/Skills!H12+0.000000001),1)</f>
        <v/>
      </c>
      <c r="H757">
        <f>1-(1-Skills!J12/100)^Skills!K12</f>
        <v/>
      </c>
      <c r="I757" t="inlineStr">
        <is>
          <t>1</t>
        </is>
      </c>
      <c r="J757">
        <f>((Inputs!$B$6*(1+Inputs!$B$7/100))+(((Inputs!$B$13*(1+Inputs!$B$14/100))-(Inputs!$B$13*(1+Inputs!$B$14/100)))+0.25*(Inputs!$B$15-Inputs!$B$15))*(1+Inputs!$B$7/100))*(F757/100)</f>
        <v/>
      </c>
      <c r="K757">
        <f>J757*(1+(((Inputs!$B$13+IF(Inputs!$B$3&gt;=38,(10*INDEX(FactorTable!$B$2:$Y$301, MATCH(ROUND(MIN(300,MAX(1,Inputs!$B$3)),0), FactorTable!$A$2:$A$301,0), 23)/1000)/100*(Inputs!$B$8*(1+Inputs!$B$9/100)),0))*(1+Inputs!$B$14/100))*0.01+Inputs!$B$15*0.0025)/100)*(1+Inputs!$B$16/100)*(1+Inputs!$B$17/100)*(5000/(6000+Inputs!$B$43*(1-(Inputs!$B$20+0)/100)))*(1+(Inputs!$B$25+((C770=TRUE)*(F770-Calc!F25))+((C771=TRUE)*(F771-Calc!F26))+B780)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756=TRUE,F756,0)/100)*(1+(IF(Skills!A12="DARK_IMPALE",(Inputs!$B$18+1)+0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gt;=100),MIN(100,((Inputs!$B$10+0+B774+(ArtifactsInput!$M$24-ArtifactsInput!$M$24)*CHOOSE(ArtifactsInput!$N$24+1,10,12,14,16,18,20)+IF(ArtifactsInput!$M$10,CHOOSE(ArtifactsInput!$N$10+1,15,18,21,24,27,30)*(IF(Inputs!$B$39="pvp",MIN(15,15)/15,IF(AND(Inputs!$B$39&lt;&gt;"pvp",Inputs!$B$44&gt;0),MIN(15,Inputs!$B$44)/(Inputs!$B$44),0))),0)))-100),0))*CHOOSE(ArtifactsInput!$N$42+1,0.6,0.72,0.84,0.96,1.08,1.2))),Inputs!$B$19+((C768=TRUE)*(F768-Calc!F23))+(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gt;=100),CHOOSE(ArtifactsInput!$N$42+1,40,48,56,64,72,80),0))))/100)*((1+(((C758=TRUE)*F758*IF(AND(Inputs!$B$39&lt;&gt;"pvp",Inputs!$B$44&gt;0),(((R758-1)*MIN((Skills!T13*(1+Inputs!$B$35/100)),(1/Q758))+MIN((Skills!T13*(1+Inputs!$B$35/100)),MAX(0,Inputs!$B$44-((R758-1)*(1/Q758)))))/Inputs!$B$44),IF(Inputs!$B$39="pvp",MIN((Skills!T13*(1+Inputs!$B$35/100)),15)/15,MIN(1,(Skills!T13*(1+Inputs!$B$35/100))/(1/Q758)))))+((C759=TRUE)*F759*IF(AND(Inputs!$B$39&lt;&gt;"pvp",Inputs!$B$44&gt;0),(((R759-1)*MIN((Skills!T14*(1+Inputs!$B$35/100)),(1/Q759))+MIN((Skills!T14*(1+Inputs!$B$35/100)),MAX(0,Inputs!$B$44-((R759-1)*(1/Q759)))))/Inputs!$B$44),IF(Inputs!$B$39="pvp",MIN((Skills!T14*(1+Inputs!$B$35/100)),15)/15,MIN(1,(Skills!T14*(1+Inputs!$B$35/100))/(1/Q759)))))+((C760=TRUE)*F760*IF(AND(Inputs!$B$39&lt;&gt;"pvp",Inputs!$B$44&gt;0),(((R760-1)*MIN((Skills!T15*(1+Inputs!$B$35/100)),(1/Q760))+MIN((Skills!T15*(1+Inputs!$B$35/100)),MAX(0,Inputs!$B$44-((R760-1)*(1/Q760)))))/Inputs!$B$44),IF(Inputs!$B$39="pvp",MIN((Skills!T15*(1+Inputs!$B$35/100)),15)/15,MIN(1,(Skills!T15*(1+Inputs!$B$35/100))/(1/Q760)))))+((C761=TRUE)*F761*IF(AND(Inputs!$B$39&lt;&gt;"pvp",Inputs!$B$44&gt;0),(((R761-1)*MIN((Skills!T16*(1+Inputs!$B$35/100)),(1/Q761))+MIN((Skills!T16*(1+Inputs!$B$35/100)),MAX(0,Inputs!$B$44-((R761-1)*(1/Q761)))))/Inputs!$B$44),IF(Inputs!$B$39="pvp",MIN((Skills!T16*(1+Inputs!$B$35/100)),15)/15,MIN(1,(Skills!T16*(1+Inputs!$B$35/100))/(1/Q761)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757)</f>
        <v/>
      </c>
      <c r="L757">
        <f>K757*(MIN(Inputs!$B$23+((C767=TRUE)*(F767-Calc!F22)),(Inputs!$B$24+((C769=TRUE)*(F769-Calc!F24))+(IF(ArtifactsInput!$M$15,CHOOSE(ArtifactsInput!$N$15+1,25,30,35,40,45,50)/100*(Inputs!$B$12-Inputs!$B$12),0))))/100+(Inputs!$B$24+((C769=TRUE)*(F769-Calc!F24))+(IF(ArtifactsInput!$M$15,CHOOSE(ArtifactsInput!$N$15+1,25,30,35,40,45,50)/100*(Inputs!$B$12-Inputs!$B$12),0)))/100)/2</f>
        <v/>
      </c>
      <c r="M757">
        <f>L757*(1+(Inputs!$B$11+0+B779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757">
        <f>L757*(1-MIN((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757*(MIN((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57">
        <f>(1-Summary!$B$11)*T757+Summary!$B$11*V757</f>
        <v/>
      </c>
      <c r="P757">
        <f>IF(B784=0,0,O757/B784)</f>
        <v/>
      </c>
      <c r="Q757">
        <f>IFERROR(1/IF(Inputs!$B$39="pvp",15,MAX(0.1,Skills!D12-IF(TRUE=TRUE,Inputs!$B$33,0))),0)</f>
        <v/>
      </c>
      <c r="R757">
        <f>IF(AND(Inputs!$B$39&lt;&gt;"pvp",Inputs!$B$44&gt;0),IF(MAX(0,Inputs!$B$44-B781)&lt;=0,0,(INT(MAX(0,Inputs!$B$44-B781)/IF(Inputs!$B$39="pvp",15,MAX(0.1,Skills!D12-IF(TRUE=TRUE,Inputs!$B$33,0))))+1)),0)</f>
        <v/>
      </c>
      <c r="S757">
        <f>IFERROR(O757/N757,0)</f>
        <v/>
      </c>
      <c r="T757">
        <f>IF(C757,(H757*N757*IF(AND(Inputs!$B$39&lt;&gt;"pvp",Inputs!$B$44&gt;0),((Skills!G12*((R757-1)*IF(Skills!H12&gt;0,INT(Skills!I12/Skills!H12+0.000000001),1)+IF(Skills!H12&gt;0,INT(MIN(Skills!I12,MAX(0,MAX(0,Inputs!$B$44-B781)-((R757-1)*IF(Inputs!$B$39="pvp",15,MAX(0.1,Skills!D12-IF(TRUE=TRUE,Inputs!$B$33,0))))))/Skills!H12+0.000000001),1)))/Inputs!$B$44),G757*Q757))*IF(Inputs!$B$39="pvp",1,1+(Inputs!$B$21+0+Skills!P12+((C762=TRUE)*F762*IF(AND(Inputs!$B$39&lt;&gt;"pvp",Inputs!$B$44&gt;0),(((R762-1)*MIN((Skills!T17*(1+Inputs!$B$35/100)),(1/Q762))+MIN((Skills!T17*(1+Inputs!$B$35/100)),MAX(0,Inputs!$B$44-((R762-1)*(1/Q762)))))/Inputs!$B$44),IF(Inputs!$B$39="pvp",MIN((Skills!T17*(1+Inputs!$B$35/100)),15)/15,MIN(1,(Skills!T17*(1+Inputs!$B$35/100))/(1/Q762)))))+((C750=TRUE)*IF(Inputs!$B$3&gt;=126,10*MIN(1,15*Q750),0))+((C759=TRUE)*IF(Inputs!$B$39="pvp",20,(1-Summary!$B$11)*(20)+Summary!$B$11*(0))*IF(AND(Inputs!$B$39&lt;&gt;"pvp",Inputs!$B$44&gt;0),(((R759-1)*MIN((Skills!T14*(1+Inputs!$B$35/100)),(1/Q759))+MIN((Skills!T14*(1+Inputs!$B$35/100)),MAX(0,Inputs!$B$44-((R759-1)*(1/Q759)))))/Inputs!$B$44),IF(Inputs!$B$39="pvp",MIN((Skills!T14*(1+Inputs!$B$35/100)),15)/15,MIN(1,(Skills!T14*(1+Inputs!$B$35/100))/(1/Q759)))))+((C758=TRUE)*IF(Inputs!$B$3&gt;=82,IF(Inputs!$B$39="pvp",20,(1-Summary!$B$11)*(20)+Summary!$B$11*(0)),0)*IF(AND(Inputs!$B$39&lt;&gt;"pvp",Inputs!$B$44&gt;0),(((R758-1)*MIN((Skills!T13*(1+Inputs!$B$35/100)),(1/Q758))+MIN((Skills!T13*(1+Inputs!$B$35/100)),MAX(0,Inputs!$B$44-((R758-1)*(1/Q758)))))/Inputs!$B$44),IF(Inputs!$B$39="pvp",MIN((Skills!T13*(1+Inputs!$B$35/100)),15)/15,MIN(1,(Skills!T13*(1+Inputs!$B$35/100))/(1/Q758)))))+(IF(AND(ArtifactsInput!$M$35,Inputs!$B$4&lt;&gt;"Chapter Hunt"),CHOOSE(ArtifactsInput!$N$35+1,15,18,21,24,27,30)*(1-EXP(-(0.2*B776)*5)),0)+IF(AND(ArtifactsInput!$M$22,Inputs!$B$4&lt;&gt;"Chapter Hunt"),CHOOSE(ArtifactsInput!$N$22+1,10,12,14,16,18,20)*((0*(((0.15*B776*5))^0/1)+1*(((0.15*B776*5))^1/1)+2*(((0.15*B776*5))^2/2)+3*(((0.15*B776*5))^3/6)+4*(((0.15*B776*5))^4/24)+5*(((0.15*B776*5))^5/120))/((((0.15*B776*5))^0/1)+(((0.15*B776*5))^1/1)+(((0.15*B776*5))^2/2)+(((0.15*B776*5))^3/6)+(((0.15*B776*5))^4/24)+(((0.15*B776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757*(1-MIN(100,(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757*(MIN(100,(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757*(1-MIN(100,(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757*(MIN(100,(Inputs!$B$10+0+B774+(ArtifactsInput!$M$24-ArtifactsInput!$M$24)*CHOOSE(ArtifactsInput!$N$24+1,10,12,14,16,18,20)+(IF(AND(Inputs!$B$39&lt;&gt;"pvp",Inputs!$B$44=0),1,IF(IF(Inputs!$B$39="pvp",15,Inputs!$B$44)-(B781)&lt;=0,1,MAX(0,IF(Inputs!$B$39="pvp",15,Inputs!$B$44)-MAX(5,B781))/(IF(Inputs!$B$39="pvp",15,Inputs!$B$44)-(B781))))*IF(AND(ArtifactsInput!$M$42,((Inputs!$B$10+0+B774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57">
        <f>IF(C757,(H757*N757*IF(AND(Inputs!$B$39&lt;&gt;"pvp",Inputs!$B$44&gt;0),((Skills!G12*((R757-1)*IF(Skills!H12&gt;0,INT(Skills!I12/Skills!H12+0.000000001),1)+IF(Skills!H12&gt;0,INT(MIN(Skills!I12,MAX(0,MAX(0,Inputs!$B$44-B781)-((R757-1)*IF(Inputs!$B$39="pvp",15,MAX(0.1,Skills!D12-IF(TRUE=TRUE,Inputs!$B$33,0))))))/Skills!H12+0.000000001),1)))/Inputs!$B$44),G757*Q757))*IF(Inputs!$B$39="pvp",1,(1+(Inputs!$B$22+Skills!Q12+((C762=TRUE)*F762*IF(AND(Inputs!$B$39&lt;&gt;"pvp",Inputs!$B$44&gt;0),(((R762-1)*MIN((Skills!T17*(1+Inputs!$B$35/100)),(1/Q762))+MIN((Skills!T17*(1+Inputs!$B$35/100)),MAX(0,Inputs!$B$44-((R762-1)*(1/Q762)))))/Inputs!$B$44),IF(Inputs!$B$39="pvp",MIN((Skills!T17*(1+Inputs!$B$35/100)),15)/15,MIN(1,(Skills!T17*(1+Inputs!$B$35/100))/(1/Q762)))))+((C750=TRUE)*IF(Inputs!$B$3&gt;=126,10*MIN(1,15*Q750),0))+((C759=TRUE)*IF(Inputs!$B$39="pvp",20,(1-Summary!$B$11)*(20)+Summary!$B$11*(0))*IF(AND(Inputs!$B$39&lt;&gt;"pvp",Inputs!$B$44&gt;0),(((R759-1)*MIN((Skills!T14*(1+Inputs!$B$35/100)),(1/Q759))+MIN((Skills!T14*(1+Inputs!$B$35/100)),MAX(0,Inputs!$B$44-((R759-1)*(1/Q759)))))/Inputs!$B$44),IF(Inputs!$B$39="pvp",MIN((Skills!T14*(1+Inputs!$B$35/100)),15)/15,MIN(1,(Skills!T14*(1+Inputs!$B$35/100))/(1/Q759)))))+((C758=TRUE)*IF(Inputs!$B$3&gt;=82,IF(Inputs!$B$39="pvp",20,(1-Summary!$B$11)*(20)+Summary!$B$11*(0)),0)*IF(AND(Inputs!$B$39&lt;&gt;"pvp",Inputs!$B$44&gt;0),(((R758-1)*MIN((Skills!T13*(1+Inputs!$B$35/100)),(1/Q758))+MIN((Skills!T13*(1+Inputs!$B$35/100)),MAX(0,Inputs!$B$44-((R758-1)*(1/Q758)))))/Inputs!$B$44),IF(Inputs!$B$39="pvp",MIN((Skills!T13*(1+Inputs!$B$35/100)),15)/15,MIN(1,(Skills!T13*(1+Inputs!$B$35/100))/(1/Q758)))))+(IF(AND(ArtifactsInput!$M$35,Inputs!$B$4&lt;&gt;"Chapter Hunt"),CHOOSE(ArtifactsInput!$N$35+1,15,18,21,24,27,30)*(1-EXP(-(0.2*B776)*5)),0)+IF(AND(ArtifactsInput!$M$22,Inputs!$B$4&lt;&gt;"Chapter Hunt"),CHOOSE(ArtifactsInput!$N$22+1,10,12,14,16,18,20)*((0*(((0.15*B776*5))^0/1)+1*(((0.15*B776*5))^1/1)+2*(((0.15*B776*5))^2/2)+3*(((0.15*B776*5))^3/6)+4*(((0.15*B776*5))^4/24)+5*(((0.15*B776*5))^5/120))/((((0.15*B776*5))^0/1)+(((0.15*B776*5))^1/1)+(((0.15*B776*5))^2/2)+(((0.15*B776*5))^3/6)+(((0.15*B776*5))^4/24)+(((0.15*B776*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58">
      <c r="A758">
        <f>Skills!A13</f>
        <v/>
      </c>
      <c r="B758">
        <f>Skills!B13</f>
        <v/>
      </c>
      <c r="C758">
        <f>Inputs!$B$3&gt;=69</f>
        <v/>
      </c>
      <c r="D758">
        <f>IF(Skills!C13=1,60+Inputs!$B$26+Inputs!$B$30,IF(Skills!C13=2,90+Inputs!$B$27+Inputs!$B$30,IF(Skills!C13=3,120+Inputs!$B$28+Inputs!$B$30,MAX(0,(Inputs!$B$3-100)*3)+Inputs!$B$29+Inputs!$B$30)))</f>
        <v/>
      </c>
      <c r="E758">
        <f>INDEX(FactorTable!$B$2:$Y$301, MATCH(ROUND(MIN(300,MAX(1,D758)),0), FactorTable!$A$2:$A$301,0), Skills!M13+1)</f>
        <v/>
      </c>
      <c r="F758">
        <f>IF(Skills!N13=TRUE,(Skills!L13/10)*(E758/1000),Skills!L13/10)+Skills!O13</f>
        <v/>
      </c>
      <c r="G758">
        <f>Skills!G13*IF(Skills!H13&gt;0,INT(IF(Inputs!$B$39="pvp",MIN(Skills!I13,15),Skills!I13)/Skills!H13+0.000000001),1)</f>
        <v/>
      </c>
      <c r="H758">
        <f>1-(1-Skills!J13/100)^Skills!K13</f>
        <v/>
      </c>
      <c r="I758" t="inlineStr">
        <is>
          <t>1</t>
        </is>
      </c>
      <c r="J758" t="inlineStr"/>
      <c r="K758" t="inlineStr"/>
      <c r="L758" t="inlineStr"/>
      <c r="M758" t="inlineStr"/>
      <c r="N758" t="inlineStr"/>
      <c r="O758">
        <f>(1-Summary!$B$11)*T758+Summary!$B$11*V758</f>
        <v/>
      </c>
      <c r="P758">
        <f>IF(B784=0,0,O758/B784)</f>
        <v/>
      </c>
      <c r="Q758">
        <f>IFERROR(1/IF(Inputs!$B$39="pvp",15,MAX(0.1,Skills!D13-IF(TRUE=TRUE,Inputs!$B$33,0))),0)</f>
        <v/>
      </c>
      <c r="R758">
        <f>IF(AND(Inputs!$B$39&lt;&gt;"pvp",Inputs!$B$44&gt;0),IF(Inputs!$B$44&lt;=0,0,(INT(Inputs!$B$44/IF(Inputs!$B$39="pvp",15,MAX(0.1,Skills!D13-IF(TRUE=TRUE,Inputs!$B$33,0))))+1)),0)</f>
        <v/>
      </c>
      <c r="S758">
        <f>IFERROR(O758/N758,0)</f>
        <v/>
      </c>
      <c r="T758" t="n">
        <v>0</v>
      </c>
      <c r="V758" t="n">
        <v>0</v>
      </c>
    </row>
    <row r="759">
      <c r="A759">
        <f>Skills!A14</f>
        <v/>
      </c>
      <c r="B759">
        <f>Skills!B14</f>
        <v/>
      </c>
      <c r="C759">
        <f>Inputs!$B$3&gt;=115</f>
        <v/>
      </c>
      <c r="D759">
        <f>IF(Skills!C14=1,60+Inputs!$B$26+Inputs!$B$30,IF(Skills!C14=2,90+Inputs!$B$27+Inputs!$B$30,IF(Skills!C14=3,120+Inputs!$B$28+Inputs!$B$30,MAX(0,(Inputs!$B$3-100)*3)+Inputs!$B$29+Inputs!$B$30)))</f>
        <v/>
      </c>
      <c r="E759">
        <f>INDEX(FactorTable!$B$2:$Y$301, MATCH(ROUND(MIN(300,MAX(1,D759)),0), FactorTable!$A$2:$A$301,0), Skills!M14+1)</f>
        <v/>
      </c>
      <c r="F759">
        <f>IF(Skills!N14=TRUE,(Skills!L14/10)*(E759/1000),Skills!L14/10)+Skills!O14</f>
        <v/>
      </c>
      <c r="G759">
        <f>Skills!G14*IF(Skills!H14&gt;0,INT(IF(Inputs!$B$39="pvp",MIN(Skills!I14,15),Skills!I14)/Skills!H14+0.000000001),1)</f>
        <v/>
      </c>
      <c r="H759">
        <f>1-(1-Skills!J14/100)^Skills!K14</f>
        <v/>
      </c>
      <c r="I759" t="inlineStr">
        <is>
          <t>1</t>
        </is>
      </c>
      <c r="J759" t="inlineStr"/>
      <c r="K759" t="inlineStr"/>
      <c r="L759" t="inlineStr"/>
      <c r="M759" t="inlineStr"/>
      <c r="N759" t="inlineStr"/>
      <c r="O759">
        <f>(1-Summary!$B$11)*T759+Summary!$B$11*V759</f>
        <v/>
      </c>
      <c r="P759">
        <f>IF(B784=0,0,O759/B784)</f>
        <v/>
      </c>
      <c r="Q759">
        <f>IFERROR(1/IF(Inputs!$B$39="pvp",15,MAX(0.1,Skills!D14-IF(TRUE=TRUE,Inputs!$B$33,0))),0)</f>
        <v/>
      </c>
      <c r="R759">
        <f>IF(AND(Inputs!$B$39&lt;&gt;"pvp",Inputs!$B$44&gt;0),IF(Inputs!$B$44&lt;=0,0,(INT(Inputs!$B$44/IF(Inputs!$B$39="pvp",15,MAX(0.1,Skills!D14-IF(TRUE=TRUE,Inputs!$B$33,0))))+1)),0)</f>
        <v/>
      </c>
      <c r="S759">
        <f>IFERROR(O759/N759,0)</f>
        <v/>
      </c>
      <c r="T759" t="n">
        <v>0</v>
      </c>
      <c r="V759" t="n">
        <v>0</v>
      </c>
    </row>
    <row r="760">
      <c r="A760">
        <f>Skills!A15</f>
        <v/>
      </c>
      <c r="B760">
        <f>Skills!B15</f>
        <v/>
      </c>
      <c r="C760">
        <f>Inputs!$B$3&gt;=66</f>
        <v/>
      </c>
      <c r="D760">
        <f>IF(Skills!C15=1,60+Inputs!$B$26+Inputs!$B$30,IF(Skills!C15=2,90+Inputs!$B$27+Inputs!$B$30,IF(Skills!C15=3,120+Inputs!$B$28+Inputs!$B$30,MAX(0,(Inputs!$B$3-100)*3)+Inputs!$B$29+Inputs!$B$30)))</f>
        <v/>
      </c>
      <c r="E760">
        <f>INDEX(FactorTable!$B$2:$Y$301, MATCH(ROUND(MIN(300,MAX(1,D760)),0), FactorTable!$A$2:$A$301,0), Skills!M15+1)</f>
        <v/>
      </c>
      <c r="F760">
        <f>IF(Skills!N15=TRUE,(Skills!L15/10)*(E760/1000),Skills!L15/10)+Skills!O15</f>
        <v/>
      </c>
      <c r="G760">
        <f>Skills!G15*IF(Skills!H15&gt;0,INT(IF(Inputs!$B$39="pvp",MIN(Skills!I15,15),Skills!I15)/Skills!H15+0.000000001),1)</f>
        <v/>
      </c>
      <c r="H760">
        <f>1-(1-Skills!J15/100)^Skills!K15</f>
        <v/>
      </c>
      <c r="I760" t="inlineStr">
        <is>
          <t>1</t>
        </is>
      </c>
      <c r="J760" t="inlineStr"/>
      <c r="K760" t="inlineStr"/>
      <c r="L760" t="inlineStr"/>
      <c r="M760" t="inlineStr"/>
      <c r="N760" t="inlineStr"/>
      <c r="O760">
        <f>(1-Summary!$B$11)*T760+Summary!$B$11*V760</f>
        <v/>
      </c>
      <c r="P760">
        <f>IF(B784=0,0,O760/B784)</f>
        <v/>
      </c>
      <c r="Q760">
        <f>IFERROR(1/IF(Inputs!$B$39="pvp",15,MAX(0.1,Skills!D15-IF(TRUE=TRUE,Inputs!$B$33,0))),0)</f>
        <v/>
      </c>
      <c r="R760">
        <f>IF(AND(Inputs!$B$39&lt;&gt;"pvp",Inputs!$B$44&gt;0),IF(Inputs!$B$44&lt;=0,0,(INT(Inputs!$B$44/IF(Inputs!$B$39="pvp",15,MAX(0.1,Skills!D15-IF(TRUE=TRUE,Inputs!$B$33,0))))+1)),0)</f>
        <v/>
      </c>
      <c r="S760">
        <f>IFERROR(O760/N760,0)</f>
        <v/>
      </c>
      <c r="T760" t="n">
        <v>0</v>
      </c>
      <c r="V760" t="n">
        <v>0</v>
      </c>
    </row>
    <row r="761">
      <c r="A761">
        <f>Skills!A16</f>
        <v/>
      </c>
      <c r="B761">
        <f>Skills!B16</f>
        <v/>
      </c>
      <c r="C761">
        <f>Inputs!$B$3&gt;=45</f>
        <v/>
      </c>
      <c r="D761">
        <f>IF(Skills!C16=1,60+Inputs!$B$26+Inputs!$B$30,IF(Skills!C16=2,90+Inputs!$B$27+Inputs!$B$30,IF(Skills!C16=3,120+Inputs!$B$28+Inputs!$B$30,MAX(0,(Inputs!$B$3-100)*3)+Inputs!$B$29+Inputs!$B$30)))</f>
        <v/>
      </c>
      <c r="E761">
        <f>INDEX(FactorTable!$B$2:$Y$301, MATCH(ROUND(MIN(300,MAX(1,D761)),0), FactorTable!$A$2:$A$301,0), Skills!M16+1)</f>
        <v/>
      </c>
      <c r="F761">
        <f>IF(Skills!N16=TRUE,(Skills!L16/10)*(E761/1000),Skills!L16/10)+Skills!O16</f>
        <v/>
      </c>
      <c r="G761">
        <f>Skills!G16*IF(Skills!H16&gt;0,INT(IF(Inputs!$B$39="pvp",MIN(Skills!I16,15),Skills!I16)/Skills!H16+0.000000001),1)</f>
        <v/>
      </c>
      <c r="H761">
        <f>1-(1-Skills!J16/100)^Skills!K16</f>
        <v/>
      </c>
      <c r="I761" t="inlineStr">
        <is>
          <t>1</t>
        </is>
      </c>
      <c r="J761" t="inlineStr"/>
      <c r="K761" t="inlineStr"/>
      <c r="L761" t="inlineStr"/>
      <c r="M761" t="inlineStr"/>
      <c r="N761" t="inlineStr"/>
      <c r="O761">
        <f>(1-Summary!$B$11)*T761+Summary!$B$11*V761</f>
        <v/>
      </c>
      <c r="P761">
        <f>IF(B784=0,0,O761/B784)</f>
        <v/>
      </c>
      <c r="Q761">
        <f>IFERROR(1/IF(Inputs!$B$39="pvp",15,MAX(0.1,Skills!D16-IF(TRUE=TRUE,Inputs!$B$33,0))),0)</f>
        <v/>
      </c>
      <c r="R761">
        <f>IF(AND(Inputs!$B$39&lt;&gt;"pvp",Inputs!$B$44&gt;0),IF(Inputs!$B$44&lt;=0,0,(INT(Inputs!$B$44/IF(Inputs!$B$39="pvp",15,MAX(0.1,Skills!D16-IF(TRUE=TRUE,Inputs!$B$33,0))))+1)),0)</f>
        <v/>
      </c>
      <c r="S761">
        <f>IFERROR(O761/N761,0)</f>
        <v/>
      </c>
      <c r="T761" t="n">
        <v>0</v>
      </c>
      <c r="V761" t="n">
        <v>0</v>
      </c>
    </row>
    <row r="762">
      <c r="A762">
        <f>Skills!A17</f>
        <v/>
      </c>
      <c r="B762">
        <f>Skills!B17</f>
        <v/>
      </c>
      <c r="C762">
        <f>Inputs!$B$3&gt;=35</f>
        <v/>
      </c>
      <c r="D762">
        <f>IF(Skills!C17=1,60+Inputs!$B$26+Inputs!$B$30,IF(Skills!C17=2,90+Inputs!$B$27+Inputs!$B$30,IF(Skills!C17=3,120+Inputs!$B$28+Inputs!$B$30,MAX(0,(Inputs!$B$3-100)*3)+Inputs!$B$29+Inputs!$B$30)))</f>
        <v/>
      </c>
      <c r="E762">
        <f>INDEX(FactorTable!$B$2:$Y$301, MATCH(ROUND(MIN(300,MAX(1,D762)),0), FactorTable!$A$2:$A$301,0), Skills!M17+1)</f>
        <v/>
      </c>
      <c r="F762">
        <f>IF(Skills!N17=TRUE,(Skills!L17/10)*(E762/1000),Skills!L17/10)+Skills!O17</f>
        <v/>
      </c>
      <c r="G762">
        <f>Skills!G17*IF(Skills!H17&gt;0,INT(IF(Inputs!$B$39="pvp",MIN(Skills!I17,15),Skills!I17)/Skills!H17+0.000000001),1)</f>
        <v/>
      </c>
      <c r="H762">
        <f>1-(1-Skills!J17/100)^Skills!K17</f>
        <v/>
      </c>
      <c r="I762" t="inlineStr">
        <is>
          <t>1</t>
        </is>
      </c>
      <c r="J762" t="inlineStr"/>
      <c r="K762" t="inlineStr"/>
      <c r="L762" t="inlineStr"/>
      <c r="M762" t="inlineStr"/>
      <c r="N762" t="inlineStr"/>
      <c r="O762">
        <f>(1-Summary!$B$11)*T762+Summary!$B$11*V762</f>
        <v/>
      </c>
      <c r="P762">
        <f>IF(B784=0,0,O762/B784)</f>
        <v/>
      </c>
      <c r="Q762">
        <f>IFERROR(1/IF(Inputs!$B$39="pvp",15,MAX(0.1,Skills!D17-IF(TRUE=TRUE,Inputs!$B$33,0))),0)</f>
        <v/>
      </c>
      <c r="R762">
        <f>IF(AND(Inputs!$B$39&lt;&gt;"pvp",Inputs!$B$44&gt;0),IF(Inputs!$B$44&lt;=0,0,(INT(Inputs!$B$44/IF(Inputs!$B$39="pvp",15,MAX(0.1,Skills!D17-IF(TRUE=TRUE,Inputs!$B$33,0))))+1)),0)</f>
        <v/>
      </c>
      <c r="S762">
        <f>IFERROR(O762/N762,0)</f>
        <v/>
      </c>
      <c r="T762" t="n">
        <v>0</v>
      </c>
      <c r="V762" t="n">
        <v>0</v>
      </c>
    </row>
    <row r="763">
      <c r="A763">
        <f>Skills!A18</f>
        <v/>
      </c>
      <c r="B763">
        <f>Skills!B18</f>
        <v/>
      </c>
      <c r="C763">
        <f>Inputs!$B$3&gt;=72</f>
        <v/>
      </c>
      <c r="D763">
        <f>IF(Skills!C18=1,60+Inputs!$B$26+Inputs!$B$30,IF(Skills!C18=2,90+Inputs!$B$27+Inputs!$B$30,IF(Skills!C18=3,120+Inputs!$B$28+Inputs!$B$30,MAX(0,(Inputs!$B$3-100)*3)+Inputs!$B$29+Inputs!$B$30)))</f>
        <v/>
      </c>
      <c r="E763">
        <f>INDEX(FactorTable!$B$2:$Y$301, MATCH(ROUND(MIN(300,MAX(1,D763)),0), FactorTable!$A$2:$A$301,0), Skills!M18+1)</f>
        <v/>
      </c>
      <c r="F763">
        <f>IF(Skills!N18=TRUE,(Skills!L18/10)*(E763/1000),Skills!L18/10)+Skills!O18</f>
        <v/>
      </c>
      <c r="G763">
        <f>Skills!G18*IF(Skills!H18&gt;0,INT(IF(Inputs!$B$39="pvp",MIN(Skills!I18,15),Skills!I18)/Skills!H18+0.000000001),1)</f>
        <v/>
      </c>
      <c r="H763">
        <f>1-(1-Skills!J18/100)^Skills!K18</f>
        <v/>
      </c>
      <c r="I763" t="inlineStr">
        <is>
          <t>1</t>
        </is>
      </c>
      <c r="J763" t="inlineStr"/>
      <c r="K763" t="inlineStr"/>
      <c r="L763" t="inlineStr"/>
      <c r="M763" t="inlineStr"/>
      <c r="N763" t="inlineStr"/>
      <c r="O763">
        <f>(1-Summary!$B$11)*T763+Summary!$B$11*V763</f>
        <v/>
      </c>
      <c r="P763">
        <f>IF(B784=0,0,O763/B784)</f>
        <v/>
      </c>
      <c r="Q763">
        <f>IFERROR(1/IF(Inputs!$B$39="pvp",15,MAX(0.1,Skills!D18-IF(TRUE=TRUE,Inputs!$B$33,0))),0)</f>
        <v/>
      </c>
      <c r="R763">
        <f>IF(AND(Inputs!$B$39&lt;&gt;"pvp",Inputs!$B$44&gt;0),IF(Inputs!$B$44&lt;=0,0,(INT(Inputs!$B$44/IF(Inputs!$B$39="pvp",15,MAX(0.1,Skills!D18-IF(TRUE=TRUE,Inputs!$B$33,0))))+1)),0)</f>
        <v/>
      </c>
      <c r="S763">
        <f>IFERROR(O763/N763,0)</f>
        <v/>
      </c>
      <c r="T763" t="n">
        <v>0</v>
      </c>
      <c r="V763" t="n">
        <v>0</v>
      </c>
    </row>
    <row r="764">
      <c r="A764">
        <f>Skills!A19</f>
        <v/>
      </c>
      <c r="B764">
        <f>Skills!B19</f>
        <v/>
      </c>
      <c r="C764">
        <f>Inputs!$B$3&gt;=72</f>
        <v/>
      </c>
      <c r="D764">
        <f>IF(Skills!C19=1,60+Inputs!$B$26+Inputs!$B$30,IF(Skills!C19=2,90+Inputs!$B$27+Inputs!$B$30,IF(Skills!C19=3,120+Inputs!$B$28+Inputs!$B$30,MAX(0,(Inputs!$B$3-100)*3)+Inputs!$B$29+Inputs!$B$30)))</f>
        <v/>
      </c>
      <c r="E764">
        <f>INDEX(FactorTable!$B$2:$Y$301, MATCH(ROUND(MIN(300,MAX(1,D764)),0), FactorTable!$A$2:$A$301,0), Skills!M19+1)</f>
        <v/>
      </c>
      <c r="F764">
        <f>IF(Skills!N19=TRUE,(Skills!L19/10)*(E764/1000),Skills!L19/10)+Skills!O19</f>
        <v/>
      </c>
      <c r="G764">
        <f>Skills!G19*IF(Skills!H19&gt;0,INT(IF(Inputs!$B$39="pvp",MIN(Skills!I19,15),Skills!I19)/Skills!H19+0.000000001),1)</f>
        <v/>
      </c>
      <c r="H764">
        <f>1-(1-Skills!J19/100)^Skills!K19</f>
        <v/>
      </c>
      <c r="I764" t="inlineStr">
        <is>
          <t>1</t>
        </is>
      </c>
      <c r="J764" t="inlineStr"/>
      <c r="K764" t="inlineStr"/>
      <c r="L764" t="inlineStr"/>
      <c r="M764" t="inlineStr"/>
      <c r="N764" t="inlineStr"/>
      <c r="O764">
        <f>(1-Summary!$B$11)*T764+Summary!$B$11*V764</f>
        <v/>
      </c>
      <c r="P764">
        <f>IF(B784=0,0,O764/B784)</f>
        <v/>
      </c>
      <c r="Q764">
        <f>IFERROR(1/IF(Inputs!$B$39="pvp",15,MAX(0.1,Skills!D19-IF(TRUE=TRUE,Inputs!$B$33,0))),0)</f>
        <v/>
      </c>
      <c r="R764">
        <f>IF(AND(Inputs!$B$39&lt;&gt;"pvp",Inputs!$B$44&gt;0),IF(Inputs!$B$44&lt;=0,0,(INT(Inputs!$B$44/IF(Inputs!$B$39="pvp",15,MAX(0.1,Skills!D19-IF(TRUE=TRUE,Inputs!$B$33,0))))+1)),0)</f>
        <v/>
      </c>
      <c r="S764">
        <f>IFERROR(O764/N764,0)</f>
        <v/>
      </c>
      <c r="T764" t="n">
        <v>0</v>
      </c>
      <c r="V764" t="n">
        <v>0</v>
      </c>
    </row>
    <row r="765">
      <c r="A765">
        <f>Skills!A20</f>
        <v/>
      </c>
      <c r="B765">
        <f>Skills!B20</f>
        <v/>
      </c>
      <c r="C765">
        <f>TRUE</f>
        <v/>
      </c>
      <c r="D765">
        <f>IF(Skills!C20=1,60+Inputs!$B$26+Inputs!$B$30,IF(Skills!C20=2,90+Inputs!$B$27+Inputs!$B$30,IF(Skills!C20=3,120+Inputs!$B$28+Inputs!$B$30,MAX(0,(Inputs!$B$3-100)*3)+Inputs!$B$29+Inputs!$B$30)))</f>
        <v/>
      </c>
      <c r="E765">
        <f>INDEX(FactorTable!$B$2:$Y$301, MATCH(ROUND(MIN(300,MAX(1,D765)),0), FactorTable!$A$2:$A$301,0), Skills!M20+1)</f>
        <v/>
      </c>
      <c r="F765">
        <f>IF(Skills!N20=TRUE,(Skills!L20/10)*(E765/1000),Skills!L20/10)+Skills!O20</f>
        <v/>
      </c>
      <c r="G765">
        <f>Skills!G20*IF(Skills!H20&gt;0,INT(IF(Inputs!$B$39="pvp",MIN(Skills!I20,15),Skills!I20)/Skills!H20+0.000000001),1)</f>
        <v/>
      </c>
      <c r="H765">
        <f>1-(1-Skills!J20/100)^Skills!K20</f>
        <v/>
      </c>
      <c r="I765" t="inlineStr">
        <is>
          <t>1</t>
        </is>
      </c>
      <c r="J765" t="inlineStr"/>
      <c r="K765" t="inlineStr"/>
      <c r="L765" t="inlineStr"/>
      <c r="M765" t="inlineStr"/>
      <c r="N765" t="inlineStr"/>
      <c r="O765">
        <f>(1-Summary!$B$11)*T765+Summary!$B$11*V765</f>
        <v/>
      </c>
      <c r="P765">
        <f>IF(B784=0,0,O765/B784)</f>
        <v/>
      </c>
      <c r="Q765">
        <f>IFERROR(1/IF(Inputs!$B$39="pvp",15,MAX(0.1,Skills!D20-IF(TRUE=TRUE,Inputs!$B$33,0))),0)</f>
        <v/>
      </c>
      <c r="R765">
        <f>IF(AND(Inputs!$B$39&lt;&gt;"pvp",Inputs!$B$44&gt;0),IF(Inputs!$B$44&lt;=0,0,(INT(Inputs!$B$44/IF(Inputs!$B$39="pvp",15,MAX(0.1,Skills!D20-IF(TRUE=TRUE,Inputs!$B$33,0))))+1)),0)</f>
        <v/>
      </c>
      <c r="S765">
        <f>IFERROR(O765/N765,0)</f>
        <v/>
      </c>
      <c r="T765" t="n">
        <v>0</v>
      </c>
      <c r="V765" t="n">
        <v>0</v>
      </c>
    </row>
    <row r="766">
      <c r="A766">
        <f>Skills!A21</f>
        <v/>
      </c>
      <c r="B766">
        <f>Skills!B21</f>
        <v/>
      </c>
      <c r="C766">
        <f>Inputs!$B$3&gt;=33</f>
        <v/>
      </c>
      <c r="D766">
        <f>IF(Skills!C21=1,60+Inputs!$B$26+Inputs!$B$30,IF(Skills!C21=2,90+Inputs!$B$27+Inputs!$B$30,IF(Skills!C21=3,120+Inputs!$B$28+Inputs!$B$30,MAX(0,(Inputs!$B$3-100)*3)+Inputs!$B$29+Inputs!$B$30)))</f>
        <v/>
      </c>
      <c r="E766">
        <f>INDEX(FactorTable!$B$2:$Y$301, MATCH(ROUND(MIN(300,MAX(1,D766)),0), FactorTable!$A$2:$A$301,0), Skills!M21+1)</f>
        <v/>
      </c>
      <c r="F766">
        <f>IF(Skills!N21=TRUE,(Skills!L21/10)*(E766/1000),Skills!L21/10)+Skills!O21</f>
        <v/>
      </c>
      <c r="G766">
        <f>Skills!G21*IF(Skills!H21&gt;0,INT(IF(Inputs!$B$39="pvp",MIN(Skills!I21,15),Skills!I21)/Skills!H21+0.000000001),1)</f>
        <v/>
      </c>
      <c r="H766">
        <f>1-(1-Skills!J21/100)^Skills!K21</f>
        <v/>
      </c>
      <c r="I766" t="inlineStr">
        <is>
          <t>1</t>
        </is>
      </c>
      <c r="J766" t="inlineStr"/>
      <c r="K766" t="inlineStr"/>
      <c r="L766" t="inlineStr"/>
      <c r="M766" t="inlineStr"/>
      <c r="N766" t="inlineStr"/>
      <c r="O766">
        <f>(1-Summary!$B$11)*T766+Summary!$B$11*V766</f>
        <v/>
      </c>
      <c r="P766">
        <f>IF(B784=0,0,O766/B784)</f>
        <v/>
      </c>
      <c r="Q766" t="n">
        <v>0</v>
      </c>
      <c r="R766" t="n">
        <v>0</v>
      </c>
      <c r="S766">
        <f>IFERROR(O766/N766,0)</f>
        <v/>
      </c>
      <c r="T766" t="n">
        <v>0</v>
      </c>
      <c r="V766" t="n">
        <v>0</v>
      </c>
    </row>
    <row r="767">
      <c r="A767">
        <f>Skills!A22</f>
        <v/>
      </c>
      <c r="B767">
        <f>Skills!B22</f>
        <v/>
      </c>
      <c r="C767">
        <f>Inputs!$B$3&gt;=43</f>
        <v/>
      </c>
      <c r="D767">
        <f>IF(Skills!C22=1,60+Inputs!$B$26+Inputs!$B$30,IF(Skills!C22=2,90+Inputs!$B$27+Inputs!$B$30,IF(Skills!C22=3,120+Inputs!$B$28+Inputs!$B$30,MAX(0,(Inputs!$B$3-100)*3)+Inputs!$B$29+Inputs!$B$30)))</f>
        <v/>
      </c>
      <c r="E767">
        <f>INDEX(FactorTable!$B$2:$Y$301, MATCH(ROUND(MIN(300,MAX(1,D767)),0), FactorTable!$A$2:$A$301,0), Skills!M22+1)</f>
        <v/>
      </c>
      <c r="F767">
        <f>IF(Skills!N22=TRUE,(Skills!L22/10)*(E767/1000),Skills!L22/10)+Skills!O22</f>
        <v/>
      </c>
      <c r="G767">
        <f>Skills!G22*IF(Skills!H22&gt;0,INT(IF(Inputs!$B$39="pvp",MIN(Skills!I22,15),Skills!I22)/Skills!H22+0.000000001),1)</f>
        <v/>
      </c>
      <c r="H767">
        <f>1-(1-Skills!J22/100)^Skills!K22</f>
        <v/>
      </c>
      <c r="I767" t="inlineStr">
        <is>
          <t>1</t>
        </is>
      </c>
      <c r="J767" t="inlineStr"/>
      <c r="K767" t="inlineStr"/>
      <c r="L767" t="inlineStr"/>
      <c r="M767" t="inlineStr"/>
      <c r="N767" t="inlineStr"/>
      <c r="O767">
        <f>(1-Summary!$B$11)*T767+Summary!$B$11*V767</f>
        <v/>
      </c>
      <c r="P767">
        <f>IF(B784=0,0,O767/B784)</f>
        <v/>
      </c>
      <c r="Q767" t="n">
        <v>0</v>
      </c>
      <c r="R767" t="n">
        <v>0</v>
      </c>
      <c r="S767">
        <f>IFERROR(O767/N767,0)</f>
        <v/>
      </c>
      <c r="T767" t="n">
        <v>0</v>
      </c>
      <c r="V767" t="n">
        <v>0</v>
      </c>
    </row>
    <row r="768">
      <c r="A768">
        <f>Skills!A23</f>
        <v/>
      </c>
      <c r="B768">
        <f>Skills!B23</f>
        <v/>
      </c>
      <c r="C768">
        <f>Inputs!$B$3&gt;=120</f>
        <v/>
      </c>
      <c r="D768">
        <f>IF(Skills!C23=1,60+Inputs!$B$26+Inputs!$B$30,IF(Skills!C23=2,90+Inputs!$B$27+Inputs!$B$30,IF(Skills!C23=3,120+Inputs!$B$28+Inputs!$B$30,MAX(0,(Inputs!$B$3-100)*3)+Inputs!$B$29+Inputs!$B$30)))</f>
        <v/>
      </c>
      <c r="E768">
        <f>INDEX(FactorTable!$B$2:$Y$301, MATCH(ROUND(MIN(300,MAX(1,D768)),0), FactorTable!$A$2:$A$301,0), Skills!M23+1)</f>
        <v/>
      </c>
      <c r="F768">
        <f>IF(Skills!N23=TRUE,(Skills!L23/10)*(E768/1000),Skills!L23/10)+Skills!O23</f>
        <v/>
      </c>
      <c r="G768">
        <f>Skills!G23*IF(Skills!H23&gt;0,INT(IF(Inputs!$B$39="pvp",MIN(Skills!I23,15),Skills!I23)/Skills!H23+0.000000001),1)</f>
        <v/>
      </c>
      <c r="H768">
        <f>1-(1-Skills!J23/100)^Skills!K23</f>
        <v/>
      </c>
      <c r="I768" t="inlineStr">
        <is>
          <t>1</t>
        </is>
      </c>
      <c r="J768" t="inlineStr"/>
      <c r="K768" t="inlineStr"/>
      <c r="L768" t="inlineStr"/>
      <c r="M768" t="inlineStr"/>
      <c r="N768" t="inlineStr"/>
      <c r="O768">
        <f>(1-Summary!$B$11)*T768+Summary!$B$11*V768</f>
        <v/>
      </c>
      <c r="P768">
        <f>IF(B784=0,0,O768/B784)</f>
        <v/>
      </c>
      <c r="Q768" t="n">
        <v>0</v>
      </c>
      <c r="R768" t="n">
        <v>0</v>
      </c>
      <c r="S768">
        <f>IFERROR(O768/N768,0)</f>
        <v/>
      </c>
      <c r="T768" t="n">
        <v>0</v>
      </c>
      <c r="V768" t="n">
        <v>0</v>
      </c>
    </row>
    <row r="769">
      <c r="A769">
        <f>Skills!A24</f>
        <v/>
      </c>
      <c r="B769">
        <f>Skills!B24</f>
        <v/>
      </c>
      <c r="C769">
        <f>Inputs!$B$3&gt;=120</f>
        <v/>
      </c>
      <c r="D769">
        <f>IF(Skills!C24=1,60+Inputs!$B$26+Inputs!$B$30,IF(Skills!C24=2,90+Inputs!$B$27+Inputs!$B$30,IF(Skills!C24=3,120+Inputs!$B$28+Inputs!$B$30,MAX(0,(Inputs!$B$3-100)*3)+Inputs!$B$29+Inputs!$B$30)))</f>
        <v/>
      </c>
      <c r="E769">
        <f>INDEX(FactorTable!$B$2:$Y$301, MATCH(ROUND(MIN(300,MAX(1,D769)),0), FactorTable!$A$2:$A$301,0), Skills!M24+1)</f>
        <v/>
      </c>
      <c r="F769">
        <f>IF(Skills!N24=TRUE,(Skills!L24/10)*(E769/1000),Skills!L24/10)+Skills!O24</f>
        <v/>
      </c>
      <c r="G769">
        <f>Skills!G24*IF(Skills!H24&gt;0,INT(IF(Inputs!$B$39="pvp",MIN(Skills!I24,15),Skills!I24)/Skills!H24+0.000000001),1)</f>
        <v/>
      </c>
      <c r="H769">
        <f>1-(1-Skills!J24/100)^Skills!K24</f>
        <v/>
      </c>
      <c r="I769" t="inlineStr">
        <is>
          <t>1</t>
        </is>
      </c>
      <c r="J769" t="inlineStr"/>
      <c r="K769" t="inlineStr"/>
      <c r="L769" t="inlineStr"/>
      <c r="M769" t="inlineStr"/>
      <c r="N769" t="inlineStr"/>
      <c r="O769">
        <f>(1-Summary!$B$11)*T769+Summary!$B$11*V769</f>
        <v/>
      </c>
      <c r="P769">
        <f>IF(B784=0,0,O769/B784)</f>
        <v/>
      </c>
      <c r="Q769" t="n">
        <v>0</v>
      </c>
      <c r="R769" t="n">
        <v>0</v>
      </c>
      <c r="S769">
        <f>IFERROR(O769/N769,0)</f>
        <v/>
      </c>
      <c r="T769" t="n">
        <v>0</v>
      </c>
      <c r="V769" t="n">
        <v>0</v>
      </c>
    </row>
    <row r="770">
      <c r="A770">
        <f>Skills!A25</f>
        <v/>
      </c>
      <c r="B770">
        <f>Skills!B25</f>
        <v/>
      </c>
      <c r="C770">
        <f>Inputs!$B$3&gt;=125</f>
        <v/>
      </c>
      <c r="D770">
        <f>IF(Skills!C25=1,60+Inputs!$B$26+Inputs!$B$30,IF(Skills!C25=2,90+Inputs!$B$27+Inputs!$B$30,IF(Skills!C25=3,120+Inputs!$B$28+Inputs!$B$30,MAX(0,(Inputs!$B$3-100)*3)+Inputs!$B$29+Inputs!$B$30)))</f>
        <v/>
      </c>
      <c r="E770">
        <f>INDEX(FactorTable!$B$2:$Y$301, MATCH(ROUND(MIN(300,MAX(1,D770)),0), FactorTable!$A$2:$A$301,0), Skills!M25+1)</f>
        <v/>
      </c>
      <c r="F770">
        <f>IF(Skills!N25=TRUE,(Skills!L25/10)*(E770/1000),Skills!L25/10)+Skills!O25</f>
        <v/>
      </c>
      <c r="G770">
        <f>Skills!G25*IF(Skills!H25&gt;0,INT(IF(Inputs!$B$39="pvp",MIN(Skills!I25,15),Skills!I25)/Skills!H25+0.000000001),1)</f>
        <v/>
      </c>
      <c r="H770">
        <f>1-(1-Skills!J25/100)^Skills!K25</f>
        <v/>
      </c>
      <c r="I770" t="inlineStr">
        <is>
          <t>1</t>
        </is>
      </c>
      <c r="J770" t="inlineStr"/>
      <c r="K770" t="inlineStr"/>
      <c r="L770" t="inlineStr"/>
      <c r="M770" t="inlineStr"/>
      <c r="N770" t="inlineStr"/>
      <c r="O770">
        <f>(1-Summary!$B$11)*T770+Summary!$B$11*V770</f>
        <v/>
      </c>
      <c r="P770">
        <f>IF(B784=0,0,O770/B784)</f>
        <v/>
      </c>
      <c r="Q770" t="n">
        <v>0</v>
      </c>
      <c r="R770" t="n">
        <v>0</v>
      </c>
      <c r="S770">
        <f>IFERROR(O770/N770,0)</f>
        <v/>
      </c>
      <c r="T770" t="n">
        <v>0</v>
      </c>
      <c r="V770" t="n">
        <v>0</v>
      </c>
    </row>
    <row r="771">
      <c r="A771">
        <f>Skills!A26</f>
        <v/>
      </c>
      <c r="B771">
        <f>Skills!B26</f>
        <v/>
      </c>
      <c r="C771">
        <f>Inputs!$B$3&gt;=107</f>
        <v/>
      </c>
      <c r="D771">
        <f>IF(Skills!C26=1,60+Inputs!$B$26+Inputs!$B$30,IF(Skills!C26=2,90+Inputs!$B$27+Inputs!$B$30,IF(Skills!C26=3,120+Inputs!$B$28+Inputs!$B$30,MAX(0,(Inputs!$B$3-100)*3)+Inputs!$B$29+Inputs!$B$30)))</f>
        <v/>
      </c>
      <c r="E771">
        <f>INDEX(FactorTable!$B$2:$Y$301, MATCH(ROUND(MIN(300,MAX(1,D771)),0), FactorTable!$A$2:$A$301,0), Skills!M26+1)</f>
        <v/>
      </c>
      <c r="F771">
        <f>IF(Skills!N26=TRUE,(Skills!L26/10)*(E771/1000),Skills!L26/10)+Skills!O26</f>
        <v/>
      </c>
      <c r="G771">
        <f>Skills!G26*IF(Skills!H26&gt;0,INT(IF(Inputs!$B$39="pvp",MIN(Skills!I26,15),Skills!I26)/Skills!H26+0.000000001),1)</f>
        <v/>
      </c>
      <c r="H771">
        <f>1-(1-Skills!J26/100)^Skills!K26</f>
        <v/>
      </c>
      <c r="I771" t="inlineStr">
        <is>
          <t>1</t>
        </is>
      </c>
      <c r="J771" t="inlineStr"/>
      <c r="K771" t="inlineStr"/>
      <c r="L771" t="inlineStr"/>
      <c r="M771" t="inlineStr"/>
      <c r="N771" t="inlineStr"/>
      <c r="O771">
        <f>(1-Summary!$B$11)*T771+Summary!$B$11*V771</f>
        <v/>
      </c>
      <c r="P771">
        <f>IF(B784=0,0,O771/B784)</f>
        <v/>
      </c>
      <c r="Q771" t="n">
        <v>0</v>
      </c>
      <c r="R771" t="n">
        <v>0</v>
      </c>
      <c r="S771">
        <f>IFERROR(O771/N771,0)</f>
        <v/>
      </c>
      <c r="T771" t="n">
        <v>0</v>
      </c>
      <c r="V771" t="n">
        <v>0</v>
      </c>
    </row>
    <row r="773">
      <c r="A773" t="inlineStr">
        <is>
          <t>Attack% Bucket Multiplier</t>
        </is>
      </c>
      <c r="B773">
        <f>(1+(((C758=TRUE)*F758*IF(AND(Inputs!$B$39&lt;&gt;"pvp",Inputs!$B$44&gt;0),(((R758-1)*MIN((Skills!T13*(1+Inputs!$B$35/100)),(1/Q758))+MIN((Skills!T13*(1+Inputs!$B$35/100)),MAX(0,Inputs!$B$44-((R758-1)*(1/Q758)))))/Inputs!$B$44),IF(Inputs!$B$39="pvp",MIN((Skills!T13*(1+Inputs!$B$35/100)),15)/15,MIN(1,(Skills!T13*(1+Inputs!$B$35/100))/(1/Q758)))))+((C759=TRUE)*F759*IF(AND(Inputs!$B$39&lt;&gt;"pvp",Inputs!$B$44&gt;0),(((R759-1)*MIN((Skills!T14*(1+Inputs!$B$35/100)),(1/Q759))+MIN((Skills!T14*(1+Inputs!$B$35/100)),MAX(0,Inputs!$B$44-((R759-1)*(1/Q759)))))/Inputs!$B$44),IF(Inputs!$B$39="pvp",MIN((Skills!T14*(1+Inputs!$B$35/100)),15)/15,MIN(1,(Skills!T14*(1+Inputs!$B$35/100))/(1/Q759)))))+((C760=TRUE)*F760*IF(AND(Inputs!$B$39&lt;&gt;"pvp",Inputs!$B$44&gt;0),(((R760-1)*MIN((Skills!T15*(1+Inputs!$B$35/100)),(1/Q760))+MIN((Skills!T15*(1+Inputs!$B$35/100)),MAX(0,Inputs!$B$44-((R760-1)*(1/Q760)))))/Inputs!$B$44),IF(Inputs!$B$39="pvp",MIN((Skills!T15*(1+Inputs!$B$35/100)),15)/15,MIN(1,(Skills!T15*(1+Inputs!$B$35/100))/(1/Q760)))))+((C761=TRUE)*F761*IF(AND(Inputs!$B$39&lt;&gt;"pvp",Inputs!$B$44&gt;0),(((R761-1)*MIN((Skills!T16*(1+Inputs!$B$35/100)),(1/Q761))+MIN((Skills!T16*(1+Inputs!$B$35/100)),MAX(0,Inputs!$B$44-((R761-1)*(1/Q761)))))/Inputs!$B$44),IF(Inputs!$B$39="pvp",MIN((Skills!T16*(1+Inputs!$B$35/100)),15)/15,MIN(1,(Skills!T16*(1+Inputs!$B$35/100))/(1/Q761)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774">
      <c r="A774" t="inlineStr">
        <is>
          <t>Global Crit Rate Bonus % (Lord of Darkness)</t>
        </is>
      </c>
      <c r="B774">
        <f>((C763=TRUE)*F763*(Skills!J18/100)*IF(AND(Inputs!$B$39&lt;&gt;"pvp",Inputs!$B$44&gt;0),(((R763-1)*MIN((Skills!T18*(1+Inputs!$B$35/100)),(1/Q763))+MIN((Skills!T18*(1+Inputs!$B$35/100)),MAX(0,Inputs!$B$44-((R763-1)*(1/Q763)))))/Inputs!$B$44),IF(Inputs!$B$39="pvp",MIN((Skills!T18*(1+Inputs!$B$35/100)),15)/15,MIN(1,(Skills!T18*(1+Inputs!$B$35/100))/(1/Q763)))))</f>
        <v/>
      </c>
    </row>
    <row r="775">
      <c r="A775" t="inlineStr">
        <is>
          <t>Attack Speed Buff Bonus %</t>
        </is>
      </c>
      <c r="B775">
        <f>((C765=TRUE)*F765*IF(AND(Inputs!$B$39&lt;&gt;"pvp",Inputs!$B$44&gt;0),(((R765-1)*MIN((Skills!T20*(1+Inputs!$B$35/100)),(1/Q765))+MIN((Skills!T20*(1+Inputs!$B$35/100)),MAX(0,Inputs!$B$44-((R765-1)*(1/Q765)))))/Inputs!$B$44),IF(Inputs!$B$39="pvp",MIN((Skills!T20*(1+Inputs!$B$35/100)),15)/15,MIN(1,(Skills!T20*(1+Inputs!$B$35/100))/(1/Q765)))))</f>
        <v/>
      </c>
    </row>
    <row r="776">
      <c r="A776" t="inlineStr">
        <is>
          <t>Actions Per Second</t>
        </is>
      </c>
      <c r="B776">
        <f>1+MIN(150,150*(1-(1-(Inputs!$B$12+((C766=TRUE)*(F766-Calc!F21)))/150)*(1-B775/150)))/100</f>
        <v/>
      </c>
    </row>
    <row r="777">
      <c r="A777" t="inlineStr">
        <is>
          <t>Skill + Buff Cast Rate</t>
        </is>
      </c>
      <c r="B777">
        <f>IF(AND(Inputs!$B$39&lt;&gt;"pvp",Inputs!$B$44&gt;0),SUMPRODUCT((Skills!E2:E26=TRUE)*(C747:C771=TRUE)*R747:R771*Skills!F2:F26)/Inputs!$B$44,SUMPRODUCT((Skills!E2:E26=TRUE)*(C747:C771=TRUE)*Q747:Q771*Skills!F2:F26))</f>
        <v/>
      </c>
    </row>
    <row r="778">
      <c r="A778" t="inlineStr">
        <is>
          <t>Dark Impale Casts Per Second</t>
        </is>
      </c>
      <c r="B778">
        <f>MAX(0,B776-B777)</f>
        <v/>
      </c>
    </row>
    <row r="779">
      <c r="A779" t="inlineStr">
        <is>
          <t>Global Critical Damage Bonus % (Lord of Darkness)</t>
        </is>
      </c>
      <c r="B779">
        <f>((C764=TRUE)*F764*(Skills!J19/100)*IF(AND(Inputs!$B$39&lt;&gt;"pvp",Inputs!$B$44&gt;0),(((R764-1)*MIN((Skills!T19*(1+Inputs!$B$35/100)),(1/Q764))+MIN((Skills!T19*(1+Inputs!$B$35/100)),MAX(0,Inputs!$B$44-((R764-1)*(1/Q764)))))/Inputs!$B$44),IF(Inputs!$B$39="pvp",MIN((Skills!T19*(1+Inputs!$B$35/100)),15)/15,MIN(1,(Skills!T19*(1+Inputs!$B$35/100))/(1/Q764)))))</f>
        <v/>
      </c>
    </row>
    <row r="780">
      <c r="A780" t="inlineStr">
        <is>
          <t>Global Final Damage Bonus % (unused)</t>
        </is>
      </c>
      <c r="B780" t="n">
        <v>0</v>
      </c>
    </row>
    <row r="781">
      <c r="A781" t="inlineStr">
        <is>
          <t>Buff-Casting Startup Delay (s, fixed-duration only)</t>
        </is>
      </c>
      <c r="B781">
        <f>IF(AND(Inputs!$B$39&lt;&gt;"pvp",Inputs!$B$44&gt;0),SUMPRODUCT((Skills!T2:T26&gt;0)*(Skills!E2:E26=TRUE)*(C747:C771=TRUE))/B776,0)</f>
        <v/>
      </c>
    </row>
    <row r="782">
      <c r="A782" t="inlineStr">
        <is>
          <t>Boss-Only Total DPS (this block's swept value)</t>
        </is>
      </c>
      <c r="B782">
        <f>SUM(T747:T771)</f>
        <v/>
      </c>
    </row>
    <row r="783">
      <c r="A783" t="inlineStr">
        <is>
          <t>Normal-Only Total DPS (this block's swept value)</t>
        </is>
      </c>
      <c r="B783">
        <f>SUM(V747:V771)</f>
        <v/>
      </c>
    </row>
    <row r="784">
      <c r="A784" s="6" t="inlineStr">
        <is>
          <t>TOTAL DPS</t>
        </is>
      </c>
      <c r="B784" s="6">
        <f>SUM(O747:O771)</f>
        <v/>
      </c>
    </row>
    <row r="787">
      <c r="A787" s="6" t="inlineStr">
        <is>
          <t>Stat: SKILL_DAMAGE %</t>
        </is>
      </c>
    </row>
    <row r="788">
      <c r="A788" s="5" t="inlineStr">
        <is>
          <t>Key</t>
        </is>
      </c>
      <c r="B788" s="5" t="inlineStr">
        <is>
          <t>Name</t>
        </is>
      </c>
      <c r="C788" s="5" t="inlineStr">
        <is>
          <t>Unlocked</t>
        </is>
      </c>
      <c r="D788" s="5" t="inlineStr">
        <is>
          <t>InputLevel</t>
        </is>
      </c>
      <c r="E788" s="5" t="inlineStr">
        <is>
          <t>Factor</t>
        </is>
      </c>
      <c r="F788" s="5" t="inlineStr">
        <is>
          <t>CoefficientPercent</t>
        </is>
      </c>
      <c r="G788" s="5" t="inlineStr">
        <is>
          <t>EffectiveHits</t>
        </is>
      </c>
      <c r="H788" s="5" t="inlineStr">
        <is>
          <t>ProcProbability</t>
        </is>
      </c>
      <c r="I788" s="5" t="inlineStr">
        <is>
          <t>MapleHeroMultiplier</t>
        </is>
      </c>
      <c r="J788" s="5" t="inlineStr">
        <is>
          <t>BaseDamage</t>
        </is>
      </c>
      <c r="K788" s="5" t="inlineStr">
        <is>
          <t>BaseHitDamage</t>
        </is>
      </c>
      <c r="L788" s="5" t="inlineStr">
        <is>
          <t>NonCritAvg</t>
        </is>
      </c>
      <c r="M788" s="5" t="inlineStr">
        <is>
          <t>CritAvg</t>
        </is>
      </c>
      <c r="N788" s="5" t="inlineStr">
        <is>
          <t>ExpectedDamage(perHit)</t>
        </is>
      </c>
      <c r="O788" s="5" t="inlineStr">
        <is>
          <t>DPS</t>
        </is>
      </c>
      <c r="P788" s="5" t="inlineStr">
        <is>
          <t>% of Total</t>
        </is>
      </c>
      <c r="Q788" s="5" t="inlineStr">
        <is>
          <t>InvCooldown</t>
        </is>
      </c>
      <c r="R788" s="5" t="inlineStr">
        <is>
          <t>CastsInFight</t>
        </is>
      </c>
      <c r="S788" s="5" t="inlineStr">
        <is>
          <t>HitRate(perSec)</t>
        </is>
      </c>
      <c r="U788" t="inlineStr">
        <is>
          <t>helpers</t>
        </is>
      </c>
    </row>
    <row r="789">
      <c r="A789">
        <f>Skills!A2</f>
        <v/>
      </c>
      <c r="B789">
        <f>Skills!B2</f>
        <v/>
      </c>
      <c r="C789">
        <f>Inputs!$B$3&gt;=100</f>
        <v/>
      </c>
      <c r="D789" t="inlineStr"/>
      <c r="E789" t="inlineStr"/>
      <c r="F789">
        <f>U791+Skills!O2</f>
        <v/>
      </c>
      <c r="G789">
        <f>Skills!G2*IF(Skills!H2&gt;0,INT(IF(Inputs!$B$39="pvp",MIN(Skills!I2,15),Skills!I2)/Skills!H2+0.000000001),1)</f>
        <v/>
      </c>
      <c r="H789">
        <f>1-(1-Skills!J2/100)^Skills!K2</f>
        <v/>
      </c>
      <c r="I789" t="inlineStr">
        <is>
          <t>1</t>
        </is>
      </c>
      <c r="J789">
        <f>((Inputs!$B$6*(1+Inputs!$B$7/100))+(((Inputs!$B$13*(1+Inputs!$B$14/100))-(Inputs!$B$13*(1+Inputs!$B$14/100)))+0.25*(Inputs!$B$15-Inputs!$B$15))*(1+Inputs!$B$7/100))*(F789/100)</f>
        <v/>
      </c>
      <c r="K789">
        <f>J789*(1+(((Inputs!$B$13+IF(Inputs!$B$3&gt;=38,(10*INDEX(FactorTable!$B$2:$Y$301, MATCH(ROUND(MIN(300,MAX(1,Inputs!$B$3)),0), FactorTable!$A$2:$A$301,0), 23)/1000)/100*(Inputs!$B$8*(1+Inputs!$B$9/100)),0))*(1+Inputs!$B$14/100))*0.01+Inputs!$B$15*0.0025)/100)*(1+Inputs!$B$16/100)*(1+Inputs!$B$17/100)*(5000/(6000+Inputs!$B$43*(1-(Inputs!$B$20+0)/100)))*(1+(Inputs!$B$25+((C812=TRUE)*(F812-Calc!F25))+((C813=TRUE)*(F813-Calc!F26))+B822)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gt;=100),MIN(100,((Inputs!$B$10+0+B816+(ArtifactsInput!$M$24-ArtifactsInput!$M$24)*CHOOSE(ArtifactsInput!$N$24+1,10,12,14,16,18,20)+IF(ArtifactsInput!$M$10,CHOOSE(ArtifactsInput!$N$10+1,15,18,21,24,27,30)*(IF(Inputs!$B$39="pvp",MIN(15,15)/15,IF(AND(Inputs!$B$39&lt;&gt;"pvp",Inputs!$B$44&gt;0),MIN(15,Inputs!$B$44)/(Inputs!$B$44),0))),0)))-100),0))*CHOOSE(ArtifactsInput!$N$42+1,0.6,0.72,0.84,0.96,1.08,1.2))),(Inputs!$B$19+1)+((C810=TRUE)*(F810-Calc!F23))+(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gt;=100),CHOOSE(ArtifactsInput!$N$42+1,40,48,56,64,72,80),0))))/100)*((1+(((C800=TRUE)*F800*IF(AND(Inputs!$B$39&lt;&gt;"pvp",Inputs!$B$44&gt;0),(((R800-1)*MIN((Skills!T13*(1+Inputs!$B$35/100)),(1/Q800))+MIN((Skills!T13*(1+Inputs!$B$35/100)),MAX(0,Inputs!$B$44-((R800-1)*(1/Q800)))))/Inputs!$B$44),IF(Inputs!$B$39="pvp",MIN((Skills!T13*(1+Inputs!$B$35/100)),15)/15,MIN(1,(Skills!T13*(1+Inputs!$B$35/100))/(1/Q800)))))+((C801=TRUE)*F801*IF(AND(Inputs!$B$39&lt;&gt;"pvp",Inputs!$B$44&gt;0),(((R801-1)*MIN((Skills!T14*(1+Inputs!$B$35/100)),(1/Q801))+MIN((Skills!T14*(1+Inputs!$B$35/100)),MAX(0,Inputs!$B$44-((R801-1)*(1/Q801)))))/Inputs!$B$44),IF(Inputs!$B$39="pvp",MIN((Skills!T14*(1+Inputs!$B$35/100)),15)/15,MIN(1,(Skills!T14*(1+Inputs!$B$35/100))/(1/Q801)))))+((C802=TRUE)*F802*IF(AND(Inputs!$B$39&lt;&gt;"pvp",Inputs!$B$44&gt;0),(((R802-1)*MIN((Skills!T15*(1+Inputs!$B$35/100)),(1/Q802))+MIN((Skills!T15*(1+Inputs!$B$35/100)),MAX(0,Inputs!$B$44-((R802-1)*(1/Q802)))))/Inputs!$B$44),IF(Inputs!$B$39="pvp",MIN((Skills!T15*(1+Inputs!$B$35/100)),15)/15,MIN(1,(Skills!T15*(1+Inputs!$B$35/100))/(1/Q802)))))+((C803=TRUE)*F803*IF(AND(Inputs!$B$39&lt;&gt;"pvp",Inputs!$B$44&gt;0),(((R803-1)*MIN((Skills!T16*(1+Inputs!$B$35/100)),(1/Q803))+MIN((Skills!T16*(1+Inputs!$B$35/100)),MAX(0,Inputs!$B$44-((R803-1)*(1/Q803)))))/Inputs!$B$44),IF(Inputs!$B$39="pvp",MIN((Skills!T16*(1+Inputs!$B$35/100)),15)/15,MIN(1,(Skills!T16*(1+Inputs!$B$35/100))/(1/Q803)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789)</f>
        <v/>
      </c>
      <c r="L789">
        <f>K789*(MIN(Inputs!$B$23+((C809=TRUE)*(F809-Calc!F22)),(Inputs!$B$24+((C811=TRUE)*(F811-Calc!F24))+(IF(ArtifactsInput!$M$15,CHOOSE(ArtifactsInput!$N$15+1,25,30,35,40,45,50)/100*(Inputs!$B$12-Inputs!$B$12),0))))/100+(Inputs!$B$24+((C811=TRUE)*(F811-Calc!F24))+(IF(ArtifactsInput!$M$15,CHOOSE(ArtifactsInput!$N$15+1,25,30,35,40,45,50)/100*(Inputs!$B$12-Inputs!$B$12),0)))/100)/2</f>
        <v/>
      </c>
      <c r="M789">
        <f>L789*(1+(Inputs!$B$11+0+B821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789">
        <f>L789*(1-MIN((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789*(MIN((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89">
        <f>(1-Summary!$B$11)*T789+Summary!$B$11*V789</f>
        <v/>
      </c>
      <c r="P789">
        <f>IF(B826=0,0,O789/B826)</f>
        <v/>
      </c>
      <c r="Q789" t="n">
        <v>0</v>
      </c>
      <c r="R789" t="n">
        <v>0</v>
      </c>
      <c r="S789">
        <f>IFERROR(O789/N789,0)</f>
        <v/>
      </c>
      <c r="T789">
        <f>IF(C789,(Skills!G2*N789*B820)*IF(Inputs!$B$39="pvp",1,1+(Inputs!$B$21+0+Skills!P2+((C804=TRUE)*F804*IF(AND(Inputs!$B$39&lt;&gt;"pvp",Inputs!$B$44&gt;0),(((R804-1)*MIN((Skills!T17*(1+Inputs!$B$35/100)),(1/Q804))+MIN((Skills!T17*(1+Inputs!$B$35/100)),MAX(0,Inputs!$B$44-((R804-1)*(1/Q804)))))/Inputs!$B$44),IF(Inputs!$B$39="pvp",MIN((Skills!T17*(1+Inputs!$B$35/100)),15)/15,MIN(1,(Skills!T17*(1+Inputs!$B$35/100))/(1/Q804)))))+((C792=TRUE)*IF(Inputs!$B$3&gt;=126,10*MIN(1,15*Q792),0))+((C801=TRUE)*IF(Inputs!$B$39="pvp",20,(1-Summary!$B$11)*(20)+Summary!$B$11*(0))*IF(AND(Inputs!$B$39&lt;&gt;"pvp",Inputs!$B$44&gt;0),(((R801-1)*MIN((Skills!T14*(1+Inputs!$B$35/100)),(1/Q801))+MIN((Skills!T14*(1+Inputs!$B$35/100)),MAX(0,Inputs!$B$44-((R801-1)*(1/Q801)))))/Inputs!$B$44),IF(Inputs!$B$39="pvp",MIN((Skills!T14*(1+Inputs!$B$35/100)),15)/15,MIN(1,(Skills!T14*(1+Inputs!$B$35/100))/(1/Q801)))))+((C800=TRUE)*IF(Inputs!$B$3&gt;=82,IF(Inputs!$B$39="pvp",20,(1-Summary!$B$11)*(20)+Summary!$B$11*(0)),0)*IF(AND(Inputs!$B$39&lt;&gt;"pvp",Inputs!$B$44&gt;0),(((R800-1)*MIN((Skills!T13*(1+Inputs!$B$35/100)),(1/Q800))+MIN((Skills!T13*(1+Inputs!$B$35/100)),MAX(0,Inputs!$B$44-((R800-1)*(1/Q800)))))/Inputs!$B$44),IF(Inputs!$B$39="pvp",MIN((Skills!T13*(1+Inputs!$B$35/100)),15)/15,MIN(1,(Skills!T13*(1+Inputs!$B$35/100))/(1/Q800)))))+(IF(AND(ArtifactsInput!$M$35,Inputs!$B$4&lt;&gt;"Chapter Hunt"),CHOOSE(ArtifactsInput!$N$35+1,15,18,21,24,27,30)*(1-EXP(-(0.2*B818)*5)),0)+IF(AND(ArtifactsInput!$M$22,Inputs!$B$4&lt;&gt;"Chapter Hunt"),CHOOSE(ArtifactsInput!$N$22+1,10,12,14,16,18,20)*((0*(((0.15*B818*5))^0/1)+1*(((0.15*B818*5))^1/1)+2*(((0.15*B818*5))^2/2)+3*(((0.15*B818*5))^3/6)+4*(((0.15*B818*5))^4/24)+5*(((0.15*B818*5))^5/120))/((((0.15*B818*5))^0/1)+(((0.15*B818*5))^1/1)+(((0.15*B818*5))^2/2)+(((0.15*B818*5))^3/6)+(((0.15*B818*5))^4/24)+(((0.15*B818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789*(1-MIN(100,(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789*(MIN(100,(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789*(1-MIN(100,(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789*(MIN(100,(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789">
        <f>MAX(0,(Inputs!$B$3-100)*3)+Inputs!$B$29+Inputs!$B$30</f>
        <v/>
      </c>
      <c r="V789">
        <f>IF(C789,(Skills!G2*N789*B820)*IF(Inputs!$B$39="pvp",1,(1+(Inputs!$B$22+Skills!Q2+((C804=TRUE)*F804*IF(AND(Inputs!$B$39&lt;&gt;"pvp",Inputs!$B$44&gt;0),(((R804-1)*MIN((Skills!T17*(1+Inputs!$B$35/100)),(1/Q804))+MIN((Skills!T17*(1+Inputs!$B$35/100)),MAX(0,Inputs!$B$44-((R804-1)*(1/Q804)))))/Inputs!$B$44),IF(Inputs!$B$39="pvp",MIN((Skills!T17*(1+Inputs!$B$35/100)),15)/15,MIN(1,(Skills!T17*(1+Inputs!$B$35/100))/(1/Q804)))))+((C792=TRUE)*IF(Inputs!$B$3&gt;=126,10*MIN(1,15*Q792),0))+((C801=TRUE)*IF(Inputs!$B$39="pvp",20,(1-Summary!$B$11)*(20)+Summary!$B$11*(0))*IF(AND(Inputs!$B$39&lt;&gt;"pvp",Inputs!$B$44&gt;0),(((R801-1)*MIN((Skills!T14*(1+Inputs!$B$35/100)),(1/Q801))+MIN((Skills!T14*(1+Inputs!$B$35/100)),MAX(0,Inputs!$B$44-((R801-1)*(1/Q801)))))/Inputs!$B$44),IF(Inputs!$B$39="pvp",MIN((Skills!T14*(1+Inputs!$B$35/100)),15)/15,MIN(1,(Skills!T14*(1+Inputs!$B$35/100))/(1/Q801)))))+((C800=TRUE)*IF(Inputs!$B$3&gt;=82,IF(Inputs!$B$39="pvp",20,(1-Summary!$B$11)*(20)+Summary!$B$11*(0)),0)*IF(AND(Inputs!$B$39&lt;&gt;"pvp",Inputs!$B$44&gt;0),(((R800-1)*MIN((Skills!T13*(1+Inputs!$B$35/100)),(1/Q800))+MIN((Skills!T13*(1+Inputs!$B$35/100)),MAX(0,Inputs!$B$44-((R800-1)*(1/Q800)))))/Inputs!$B$44),IF(Inputs!$B$39="pvp",MIN((Skills!T13*(1+Inputs!$B$35/100)),15)/15,MIN(1,(Skills!T13*(1+Inputs!$B$35/100))/(1/Q800)))))+(IF(AND(ArtifactsInput!$M$35,Inputs!$B$4&lt;&gt;"Chapter Hunt"),CHOOSE(ArtifactsInput!$N$35+1,15,18,21,24,27,30)*(1-EXP(-(0.2*B818)*5)),0)+IF(AND(ArtifactsInput!$M$22,Inputs!$B$4&lt;&gt;"Chapter Hunt"),CHOOSE(ArtifactsInput!$N$22+1,10,12,14,16,18,20)*((0*(((0.15*B818*5))^0/1)+1*(((0.15*B818*5))^1/1)+2*(((0.15*B818*5))^2/2)+3*(((0.15*B818*5))^3/6)+4*(((0.15*B818*5))^4/24)+5*(((0.15*B818*5))^5/120))/((((0.15*B818*5))^0/1)+(((0.15*B818*5))^1/1)+(((0.15*B818*5))^2/2)+(((0.15*B818*5))^3/6)+(((0.15*B818*5))^4/24)+(((0.15*B818*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90">
      <c r="A790">
        <f>Skills!A3</f>
        <v/>
      </c>
      <c r="B790">
        <f>Skills!B3</f>
        <v/>
      </c>
      <c r="C790">
        <f>Inputs!$B$3&gt;=50</f>
        <v/>
      </c>
      <c r="D790">
        <f>IF(Skills!C3=1,60+Inputs!$B$26+Inputs!$B$30,IF(Skills!C3=2,90+Inputs!$B$27+Inputs!$B$30,IF(Skills!C3=3,120+Inputs!$B$28+Inputs!$B$30,MAX(0,(Inputs!$B$3-100)*3)+Inputs!$B$29+Inputs!$B$30)))</f>
        <v/>
      </c>
      <c r="E790">
        <f>INDEX(FactorTable!$B$2:$Y$301, MATCH(ROUND(MIN(300,MAX(1,D790)),0), FactorTable!$A$2:$A$301,0), Skills!M3+1)</f>
        <v/>
      </c>
      <c r="F790">
        <f>IF(Skills!N3=TRUE,(Skills!L3/10)*(E790/1000),Skills!L3/10)+Skills!O3</f>
        <v/>
      </c>
      <c r="G790" t="inlineStr"/>
      <c r="H790" t="inlineStr"/>
      <c r="I790" t="inlineStr">
        <is>
          <t>1</t>
        </is>
      </c>
      <c r="J790" t="inlineStr"/>
      <c r="K790" t="inlineStr"/>
      <c r="L790" t="inlineStr"/>
      <c r="M790" t="inlineStr"/>
      <c r="N790" t="inlineStr"/>
      <c r="O790" t="inlineStr"/>
      <c r="P790" t="inlineStr"/>
      <c r="Q790" t="inlineStr"/>
      <c r="R790" t="inlineStr"/>
      <c r="S790" t="inlineStr"/>
      <c r="U790">
        <f>INDEX(FactorTable!$B$2:$Y$301, MATCH(ROUND(MIN(300,MAX(1,U789)),0), FactorTable!$A$2:$A$301,0), 22)</f>
        <v/>
      </c>
    </row>
    <row r="791">
      <c r="A791">
        <f>Skills!A4</f>
        <v/>
      </c>
      <c r="B791">
        <f>Skills!B4</f>
        <v/>
      </c>
      <c r="C791">
        <f>Inputs!$B$3&gt;=105</f>
        <v/>
      </c>
      <c r="D791">
        <f>IF(Skills!C4=1,60+Inputs!$B$26+Inputs!$B$30,IF(Skills!C4=2,90+Inputs!$B$27+Inputs!$B$30,IF(Skills!C4=3,120+Inputs!$B$28+Inputs!$B$30,MAX(0,(Inputs!$B$3-100)*3)+Inputs!$B$29+Inputs!$B$30)))</f>
        <v/>
      </c>
      <c r="E791">
        <f>INDEX(FactorTable!$B$2:$Y$301, MATCH(ROUND(MIN(300,MAX(1,D791)),0), FactorTable!$A$2:$A$301,0), Skills!M4+1)</f>
        <v/>
      </c>
      <c r="F791">
        <f>IF(Skills!N4=TRUE,(Skills!L4/10)*(E791/1000),Skills!L4/10)+Skills!O4</f>
        <v/>
      </c>
      <c r="G791" t="inlineStr"/>
      <c r="H791" t="inlineStr"/>
      <c r="I791" t="inlineStr">
        <is>
          <t>1</t>
        </is>
      </c>
      <c r="J791" t="inlineStr"/>
      <c r="K791" t="inlineStr"/>
      <c r="L791" t="inlineStr"/>
      <c r="M791" t="inlineStr"/>
      <c r="N791" t="inlineStr"/>
      <c r="O791" t="inlineStr"/>
      <c r="P791" t="inlineStr"/>
      <c r="Q791" t="inlineStr"/>
      <c r="R791" t="inlineStr"/>
      <c r="S791" t="inlineStr"/>
      <c r="U791">
        <f>290*U790/1000</f>
        <v/>
      </c>
    </row>
    <row r="792">
      <c r="A792">
        <f>Skills!A5</f>
        <v/>
      </c>
      <c r="B792">
        <f>Skills!B5</f>
        <v/>
      </c>
      <c r="C792">
        <f>Inputs!$B$3&gt;=117</f>
        <v/>
      </c>
      <c r="D792">
        <f>IF(Skills!C5=1,60+Inputs!$B$26+Inputs!$B$30,IF(Skills!C5=2,90+Inputs!$B$27+Inputs!$B$30,IF(Skills!C5=3,120+Inputs!$B$28+Inputs!$B$30,MAX(0,(Inputs!$B$3-100)*3)+Inputs!$B$29+Inputs!$B$30)))</f>
        <v/>
      </c>
      <c r="E792">
        <f>INDEX(FactorTable!$B$2:$Y$301, MATCH(ROUND(MIN(300,MAX(1,D792)),0), FactorTable!$A$2:$A$301,0), Skills!M5+1)</f>
        <v/>
      </c>
      <c r="F792">
        <f>IF(Skills!N5=TRUE,(Skills!L5/10)*(E792/1000),Skills!L5/10)+Skills!O5</f>
        <v/>
      </c>
      <c r="G792">
        <f>Skills!G5*IF(Skills!H5&gt;0,INT(IF(Inputs!$B$39="pvp",MIN(Skills!I5,15),Skills!I5)/Skills!H5+0.000000001),1)</f>
        <v/>
      </c>
      <c r="H792">
        <f>1-(1-Skills!J5/100)^Skills!K5</f>
        <v/>
      </c>
      <c r="I792" t="inlineStr">
        <is>
          <t>1</t>
        </is>
      </c>
      <c r="J792">
        <f>((Inputs!$B$6*(1+Inputs!$B$7/100))+(((Inputs!$B$13*(1+Inputs!$B$14/100))-(Inputs!$B$13*(1+Inputs!$B$14/100)))+0.25*(Inputs!$B$15-Inputs!$B$15))*(1+Inputs!$B$7/100))*(F792/100)</f>
        <v/>
      </c>
      <c r="K792">
        <f>J792*(1+(((Inputs!$B$13+IF(Inputs!$B$3&gt;=38,(10*INDEX(FactorTable!$B$2:$Y$301, MATCH(ROUND(MIN(300,MAX(1,Inputs!$B$3)),0), FactorTable!$A$2:$A$301,0), 23)/1000)/100*(Inputs!$B$8*(1+Inputs!$B$9/100)),0))*(1+Inputs!$B$14/100))*0.01+Inputs!$B$15*0.0025)/100)*(1+Inputs!$B$16/100)*(1+Inputs!$B$17/100)*(5000/(6000+Inputs!$B$43*(1-(Inputs!$B$20+0)/100)))*(1+(Inputs!$B$25+((C812=TRUE)*(F812-Calc!F25))+((C813=TRUE)*(F813-Calc!F26))+B822)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gt;=100),MIN(100,((Inputs!$B$10+0+B816+(ArtifactsInput!$M$24-ArtifactsInput!$M$24)*CHOOSE(ArtifactsInput!$N$24+1,10,12,14,16,18,20)+IF(ArtifactsInput!$M$10,CHOOSE(ArtifactsInput!$N$10+1,15,18,21,24,27,30)*(IF(Inputs!$B$39="pvp",MIN(15,15)/15,IF(AND(Inputs!$B$39&lt;&gt;"pvp",Inputs!$B$44&gt;0),MIN(15,Inputs!$B$44)/(Inputs!$B$44),0))),0)))-100),0))*CHOOSE(ArtifactsInput!$N$42+1,0.6,0.72,0.84,0.96,1.08,1.2))),(Inputs!$B$19+1)+((C810=TRUE)*(F810-Calc!F23))+(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gt;=100),CHOOSE(ArtifactsInput!$N$42+1,40,48,56,64,72,80),0))))/100)*((1+(((C800=TRUE)*F800*IF(AND(Inputs!$B$39&lt;&gt;"pvp",Inputs!$B$44&gt;0),(((R800-1)*MIN((Skills!T13*(1+Inputs!$B$35/100)),(1/Q800))+MIN((Skills!T13*(1+Inputs!$B$35/100)),MAX(0,Inputs!$B$44-((R800-1)*(1/Q800)))))/Inputs!$B$44),IF(Inputs!$B$39="pvp",MIN((Skills!T13*(1+Inputs!$B$35/100)),15)/15,MIN(1,(Skills!T13*(1+Inputs!$B$35/100))/(1/Q800)))))+((C801=TRUE)*F801*IF(AND(Inputs!$B$39&lt;&gt;"pvp",Inputs!$B$44&gt;0),(((R801-1)*MIN((Skills!T14*(1+Inputs!$B$35/100)),(1/Q801))+MIN((Skills!T14*(1+Inputs!$B$35/100)),MAX(0,Inputs!$B$44-((R801-1)*(1/Q801)))))/Inputs!$B$44),IF(Inputs!$B$39="pvp",MIN((Skills!T14*(1+Inputs!$B$35/100)),15)/15,MIN(1,(Skills!T14*(1+Inputs!$B$35/100))/(1/Q801)))))+((C802=TRUE)*F802*IF(AND(Inputs!$B$39&lt;&gt;"pvp",Inputs!$B$44&gt;0),(((R802-1)*MIN((Skills!T15*(1+Inputs!$B$35/100)),(1/Q802))+MIN((Skills!T15*(1+Inputs!$B$35/100)),MAX(0,Inputs!$B$44-((R802-1)*(1/Q802)))))/Inputs!$B$44),IF(Inputs!$B$39="pvp",MIN((Skills!T15*(1+Inputs!$B$35/100)),15)/15,MIN(1,(Skills!T15*(1+Inputs!$B$35/100))/(1/Q802)))))+((C803=TRUE)*F803*IF(AND(Inputs!$B$39&lt;&gt;"pvp",Inputs!$B$44&gt;0),(((R803-1)*MIN((Skills!T16*(1+Inputs!$B$35/100)),(1/Q803))+MIN((Skills!T16*(1+Inputs!$B$35/100)),MAX(0,Inputs!$B$44-((R803-1)*(1/Q803)))))/Inputs!$B$44),IF(Inputs!$B$39="pvp",MIN((Skills!T16*(1+Inputs!$B$35/100)),15)/15,MIN(1,(Skills!T16*(1+Inputs!$B$35/100))/(1/Q803)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792)</f>
        <v/>
      </c>
      <c r="L792">
        <f>K792*(MIN(Inputs!$B$23+((C809=TRUE)*(F809-Calc!F22)),(Inputs!$B$24+((C811=TRUE)*(F811-Calc!F24))+(IF(ArtifactsInput!$M$15,CHOOSE(ArtifactsInput!$N$15+1,25,30,35,40,45,50)/100*(Inputs!$B$12-Inputs!$B$12),0))))/100+(Inputs!$B$24+((C811=TRUE)*(F811-Calc!F24))+(IF(ArtifactsInput!$M$15,CHOOSE(ArtifactsInput!$N$15+1,25,30,35,40,45,50)/100*(Inputs!$B$12-Inputs!$B$12),0)))/100)/2</f>
        <v/>
      </c>
      <c r="M792">
        <f>L792*(1+(Inputs!$B$11+0+B821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792">
        <f>L792*(1-MIN((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792*(MIN((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92">
        <f>(1-Summary!$B$11)*T792+Summary!$B$11*V792</f>
        <v/>
      </c>
      <c r="P792">
        <f>IF(B826=0,0,O792/B826)</f>
        <v/>
      </c>
      <c r="Q792">
        <f>IFERROR(1/IF(Inputs!$B$39="pvp",15,MAX(0.1,Skills!D5-IF(TRUE=TRUE,Inputs!$B$33,0))),0)</f>
        <v/>
      </c>
      <c r="R792">
        <f>IF(AND(Inputs!$B$39&lt;&gt;"pvp",Inputs!$B$44&gt;0),IF(MAX(0,Inputs!$B$44-B823)&lt;=0,0,(INT(MAX(0,Inputs!$B$44-B823)/IF(Inputs!$B$39="pvp",15,MAX(0.1,Skills!D5-IF(TRUE=TRUE,Inputs!$B$33,0))))+1)),0)</f>
        <v/>
      </c>
      <c r="S792">
        <f>IFERROR(O792/N792,0)</f>
        <v/>
      </c>
      <c r="T792">
        <f>IF(C792,(H792*N792*IF(AND(Inputs!$B$39&lt;&gt;"pvp",Inputs!$B$44&gt;0),((Skills!G5*((R792-1)*IF(Skills!H5&gt;0,INT(Skills!I5/Skills!H5+0.000000001),1)+IF(Skills!H5&gt;0,INT(MIN(Skills!I5,MAX(0,MAX(0,Inputs!$B$44-B823)-((R792-1)*IF(Inputs!$B$39="pvp",15,MAX(0.1,Skills!D5-IF(TRUE=TRUE,Inputs!$B$33,0))))))/Skills!H5+0.000000001),1)))/Inputs!$B$44),G792*Q792))*IF(Inputs!$B$39="pvp",1,1+(Inputs!$B$21+0+Skills!P5+((C804=TRUE)*F804*IF(AND(Inputs!$B$39&lt;&gt;"pvp",Inputs!$B$44&gt;0),(((R804-1)*MIN((Skills!T17*(1+Inputs!$B$35/100)),(1/Q804))+MIN((Skills!T17*(1+Inputs!$B$35/100)),MAX(0,Inputs!$B$44-((R804-1)*(1/Q804)))))/Inputs!$B$44),IF(Inputs!$B$39="pvp",MIN((Skills!T17*(1+Inputs!$B$35/100)),15)/15,MIN(1,(Skills!T17*(1+Inputs!$B$35/100))/(1/Q804)))))+((C792=TRUE)*IF(Inputs!$B$3&gt;=126,10*MIN(1,15*Q792),0))+((C801=TRUE)*IF(Inputs!$B$39="pvp",20,(1-Summary!$B$11)*(20)+Summary!$B$11*(0))*IF(AND(Inputs!$B$39&lt;&gt;"pvp",Inputs!$B$44&gt;0),(((R801-1)*MIN((Skills!T14*(1+Inputs!$B$35/100)),(1/Q801))+MIN((Skills!T14*(1+Inputs!$B$35/100)),MAX(0,Inputs!$B$44-((R801-1)*(1/Q801)))))/Inputs!$B$44),IF(Inputs!$B$39="pvp",MIN((Skills!T14*(1+Inputs!$B$35/100)),15)/15,MIN(1,(Skills!T14*(1+Inputs!$B$35/100))/(1/Q801)))))+((C800=TRUE)*IF(Inputs!$B$3&gt;=82,IF(Inputs!$B$39="pvp",20,(1-Summary!$B$11)*(20)+Summary!$B$11*(0)),0)*IF(AND(Inputs!$B$39&lt;&gt;"pvp",Inputs!$B$44&gt;0),(((R800-1)*MIN((Skills!T13*(1+Inputs!$B$35/100)),(1/Q800))+MIN((Skills!T13*(1+Inputs!$B$35/100)),MAX(0,Inputs!$B$44-((R800-1)*(1/Q800)))))/Inputs!$B$44),IF(Inputs!$B$39="pvp",MIN((Skills!T13*(1+Inputs!$B$35/100)),15)/15,MIN(1,(Skills!T13*(1+Inputs!$B$35/100))/(1/Q800)))))+(IF(AND(ArtifactsInput!$M$35,Inputs!$B$4&lt;&gt;"Chapter Hunt"),CHOOSE(ArtifactsInput!$N$35+1,15,18,21,24,27,30)*(1-EXP(-(0.2*B818)*5)),0)+IF(AND(ArtifactsInput!$M$22,Inputs!$B$4&lt;&gt;"Chapter Hunt"),CHOOSE(ArtifactsInput!$N$22+1,10,12,14,16,18,20)*((0*(((0.15*B818*5))^0/1)+1*(((0.15*B818*5))^1/1)+2*(((0.15*B818*5))^2/2)+3*(((0.15*B818*5))^3/6)+4*(((0.15*B818*5))^4/24)+5*(((0.15*B818*5))^5/120))/((((0.15*B818*5))^0/1)+(((0.15*B818*5))^1/1)+(((0.15*B818*5))^2/2)+(((0.15*B818*5))^3/6)+(((0.15*B818*5))^4/24)+(((0.15*B818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792*(1-MIN(100,(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792*(MIN(100,(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792*(1-MIN(100,(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792*(MIN(100,(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92">
        <f>IF(C792,(H792*N792*IF(AND(Inputs!$B$39&lt;&gt;"pvp",Inputs!$B$44&gt;0),((Skills!G5*((R792-1)*IF(Skills!H5&gt;0,INT(Skills!I5/Skills!H5+0.000000001),1)+IF(Skills!H5&gt;0,INT(MIN(Skills!I5,MAX(0,MAX(0,Inputs!$B$44-B823)-((R792-1)*IF(Inputs!$B$39="pvp",15,MAX(0.1,Skills!D5-IF(TRUE=TRUE,Inputs!$B$33,0))))))/Skills!H5+0.000000001),1)))/Inputs!$B$44),G792*Q792))*IF(Inputs!$B$39="pvp",1,(1+(Inputs!$B$22+Skills!Q5+((C804=TRUE)*F804*IF(AND(Inputs!$B$39&lt;&gt;"pvp",Inputs!$B$44&gt;0),(((R804-1)*MIN((Skills!T17*(1+Inputs!$B$35/100)),(1/Q804))+MIN((Skills!T17*(1+Inputs!$B$35/100)),MAX(0,Inputs!$B$44-((R804-1)*(1/Q804)))))/Inputs!$B$44),IF(Inputs!$B$39="pvp",MIN((Skills!T17*(1+Inputs!$B$35/100)),15)/15,MIN(1,(Skills!T17*(1+Inputs!$B$35/100))/(1/Q804)))))+((C792=TRUE)*IF(Inputs!$B$3&gt;=126,10*MIN(1,15*Q792),0))+((C801=TRUE)*IF(Inputs!$B$39="pvp",20,(1-Summary!$B$11)*(20)+Summary!$B$11*(0))*IF(AND(Inputs!$B$39&lt;&gt;"pvp",Inputs!$B$44&gt;0),(((R801-1)*MIN((Skills!T14*(1+Inputs!$B$35/100)),(1/Q801))+MIN((Skills!T14*(1+Inputs!$B$35/100)),MAX(0,Inputs!$B$44-((R801-1)*(1/Q801)))))/Inputs!$B$44),IF(Inputs!$B$39="pvp",MIN((Skills!T14*(1+Inputs!$B$35/100)),15)/15,MIN(1,(Skills!T14*(1+Inputs!$B$35/100))/(1/Q801)))))+((C800=TRUE)*IF(Inputs!$B$3&gt;=82,IF(Inputs!$B$39="pvp",20,(1-Summary!$B$11)*(20)+Summary!$B$11*(0)),0)*IF(AND(Inputs!$B$39&lt;&gt;"pvp",Inputs!$B$44&gt;0),(((R800-1)*MIN((Skills!T13*(1+Inputs!$B$35/100)),(1/Q800))+MIN((Skills!T13*(1+Inputs!$B$35/100)),MAX(0,Inputs!$B$44-((R800-1)*(1/Q800)))))/Inputs!$B$44),IF(Inputs!$B$39="pvp",MIN((Skills!T13*(1+Inputs!$B$35/100)),15)/15,MIN(1,(Skills!T13*(1+Inputs!$B$35/100))/(1/Q800)))))+(IF(AND(ArtifactsInput!$M$35,Inputs!$B$4&lt;&gt;"Chapter Hunt"),CHOOSE(ArtifactsInput!$N$35+1,15,18,21,24,27,30)*(1-EXP(-(0.2*B818)*5)),0)+IF(AND(ArtifactsInput!$M$22,Inputs!$B$4&lt;&gt;"Chapter Hunt"),CHOOSE(ArtifactsInput!$N$22+1,10,12,14,16,18,20)*((0*(((0.15*B818*5))^0/1)+1*(((0.15*B818*5))^1/1)+2*(((0.15*B818*5))^2/2)+3*(((0.15*B818*5))^3/6)+4*(((0.15*B818*5))^4/24)+5*(((0.15*B818*5))^5/120))/((((0.15*B818*5))^0/1)+(((0.15*B818*5))^1/1)+(((0.15*B818*5))^2/2)+(((0.15*B818*5))^3/6)+(((0.15*B818*5))^4/24)+(((0.15*B818*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93">
      <c r="A793">
        <f>Skills!A6</f>
        <v/>
      </c>
      <c r="B793">
        <f>Skills!B6</f>
        <v/>
      </c>
      <c r="C793">
        <f>Inputs!$B$3&gt;=103</f>
        <v/>
      </c>
      <c r="D793">
        <f>IF(Skills!C6=1,60+Inputs!$B$26+Inputs!$B$30,IF(Skills!C6=2,90+Inputs!$B$27+Inputs!$B$30,IF(Skills!C6=3,120+Inputs!$B$28+Inputs!$B$30,MAX(0,(Inputs!$B$3-100)*3)+Inputs!$B$29+Inputs!$B$30)))</f>
        <v/>
      </c>
      <c r="E793">
        <f>INDEX(FactorTable!$B$2:$Y$301, MATCH(ROUND(MIN(300,MAX(1,D793)),0), FactorTable!$A$2:$A$301,0), Skills!M6+1)</f>
        <v/>
      </c>
      <c r="F793">
        <f>IF(Skills!N6=TRUE,(Skills!L6/10)*(E793/1000),Skills!L6/10)+Skills!O6</f>
        <v/>
      </c>
      <c r="G793">
        <f>Skills!G6*IF(Skills!H6&gt;0,INT(IF(Inputs!$B$39="pvp",MIN(Skills!I6,15),Skills!I6)/Skills!H6+0.000000001),1)</f>
        <v/>
      </c>
      <c r="H793">
        <f>1-(1-Skills!J6/100)^Skills!K6</f>
        <v/>
      </c>
      <c r="I793" t="inlineStr">
        <is>
          <t>1</t>
        </is>
      </c>
      <c r="J793">
        <f>((Inputs!$B$6*(1+Inputs!$B$7/100))+(((Inputs!$B$13*(1+Inputs!$B$14/100))-(Inputs!$B$13*(1+Inputs!$B$14/100)))+0.25*(Inputs!$B$15-Inputs!$B$15))*(1+Inputs!$B$7/100))*(F793/100)</f>
        <v/>
      </c>
      <c r="K793">
        <f>J793*(1+(((Inputs!$B$13+IF(Inputs!$B$3&gt;=38,(10*INDEX(FactorTable!$B$2:$Y$301, MATCH(ROUND(MIN(300,MAX(1,Inputs!$B$3)),0), FactorTable!$A$2:$A$301,0), 23)/1000)/100*(Inputs!$B$8*(1+Inputs!$B$9/100)),0))*(1+Inputs!$B$14/100))*0.01+Inputs!$B$15*0.0025)/100)*(1+Inputs!$B$16/100)*(1+Inputs!$B$17/100)*(5000/(6000+Inputs!$B$43*(1-(Inputs!$B$20+0)/100)))*(1+(Inputs!$B$25+((C812=TRUE)*(F812-Calc!F25))+((C813=TRUE)*(F813-Calc!F26))+B822)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gt;=100),MIN(100,((Inputs!$B$10+0+B816+(ArtifactsInput!$M$24-ArtifactsInput!$M$24)*CHOOSE(ArtifactsInput!$N$24+1,10,12,14,16,18,20)+IF(ArtifactsInput!$M$10,CHOOSE(ArtifactsInput!$N$10+1,15,18,21,24,27,30)*(IF(Inputs!$B$39="pvp",MIN(15,15)/15,IF(AND(Inputs!$B$39&lt;&gt;"pvp",Inputs!$B$44&gt;0),MIN(15,Inputs!$B$44)/(Inputs!$B$44),0))),0)))-100),0))*CHOOSE(ArtifactsInput!$N$42+1,0.6,0.72,0.84,0.96,1.08,1.2))),(Inputs!$B$19+1)+((C810=TRUE)*(F810-Calc!F23))+(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gt;=100),CHOOSE(ArtifactsInput!$N$42+1,40,48,56,64,72,80),0))))/100)*((1+(((C800=TRUE)*F800*IF(AND(Inputs!$B$39&lt;&gt;"pvp",Inputs!$B$44&gt;0),(((R800-1)*MIN((Skills!T13*(1+Inputs!$B$35/100)),(1/Q800))+MIN((Skills!T13*(1+Inputs!$B$35/100)),MAX(0,Inputs!$B$44-((R800-1)*(1/Q800)))))/Inputs!$B$44),IF(Inputs!$B$39="pvp",MIN((Skills!T13*(1+Inputs!$B$35/100)),15)/15,MIN(1,(Skills!T13*(1+Inputs!$B$35/100))/(1/Q800)))))+((C801=TRUE)*F801*IF(AND(Inputs!$B$39&lt;&gt;"pvp",Inputs!$B$44&gt;0),(((R801-1)*MIN((Skills!T14*(1+Inputs!$B$35/100)),(1/Q801))+MIN((Skills!T14*(1+Inputs!$B$35/100)),MAX(0,Inputs!$B$44-((R801-1)*(1/Q801)))))/Inputs!$B$44),IF(Inputs!$B$39="pvp",MIN((Skills!T14*(1+Inputs!$B$35/100)),15)/15,MIN(1,(Skills!T14*(1+Inputs!$B$35/100))/(1/Q801)))))+((C802=TRUE)*F802*IF(AND(Inputs!$B$39&lt;&gt;"pvp",Inputs!$B$44&gt;0),(((R802-1)*MIN((Skills!T15*(1+Inputs!$B$35/100)),(1/Q802))+MIN((Skills!T15*(1+Inputs!$B$35/100)),MAX(0,Inputs!$B$44-((R802-1)*(1/Q802)))))/Inputs!$B$44),IF(Inputs!$B$39="pvp",MIN((Skills!T15*(1+Inputs!$B$35/100)),15)/15,MIN(1,(Skills!T15*(1+Inputs!$B$35/100))/(1/Q802)))))+((C803=TRUE)*F803*IF(AND(Inputs!$B$39&lt;&gt;"pvp",Inputs!$B$44&gt;0),(((R803-1)*MIN((Skills!T16*(1+Inputs!$B$35/100)),(1/Q803))+MIN((Skills!T16*(1+Inputs!$B$35/100)),MAX(0,Inputs!$B$44-((R803-1)*(1/Q803)))))/Inputs!$B$44),IF(Inputs!$B$39="pvp",MIN((Skills!T16*(1+Inputs!$B$35/100)),15)/15,MIN(1,(Skills!T16*(1+Inputs!$B$35/100))/(1/Q803)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793)</f>
        <v/>
      </c>
      <c r="L793">
        <f>K793*(MIN(Inputs!$B$23+((C809=TRUE)*(F809-Calc!F22)),(Inputs!$B$24+((C811=TRUE)*(F811-Calc!F24))+(IF(ArtifactsInput!$M$15,CHOOSE(ArtifactsInput!$N$15+1,25,30,35,40,45,50)/100*(Inputs!$B$12-Inputs!$B$12),0))))/100+(Inputs!$B$24+((C811=TRUE)*(F811-Calc!F24))+(IF(ArtifactsInput!$M$15,CHOOSE(ArtifactsInput!$N$15+1,25,30,35,40,45,50)/100*(Inputs!$B$12-Inputs!$B$12),0)))/100)/2</f>
        <v/>
      </c>
      <c r="M793">
        <f>L793*(1+(Inputs!$B$11+0+B821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793">
        <f>L793*(1-MIN((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793*(MIN((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93">
        <f>(1-Summary!$B$11)*T793+Summary!$B$11*V793</f>
        <v/>
      </c>
      <c r="P793">
        <f>IF(B826=0,0,O793/B826)</f>
        <v/>
      </c>
      <c r="Q793">
        <f>IFERROR(1/IF(Inputs!$B$39="pvp",15,MAX(0.1,Skills!D6-IF(TRUE=TRUE,Inputs!$B$33,0))),0)</f>
        <v/>
      </c>
      <c r="R793">
        <f>IF(AND(Inputs!$B$39&lt;&gt;"pvp",Inputs!$B$44&gt;0),IF(MAX(0,Inputs!$B$44-B823)&lt;=0,0,(INT(MAX(0,Inputs!$B$44-B823)/IF(Inputs!$B$39="pvp",15,MAX(0.1,Skills!D6-IF(TRUE=TRUE,Inputs!$B$33,0))))+1)),0)</f>
        <v/>
      </c>
      <c r="S793">
        <f>IFERROR(O793/N793,0)</f>
        <v/>
      </c>
      <c r="T793">
        <f>IF(C793,(H793*N793*IF(AND(Inputs!$B$39&lt;&gt;"pvp",Inputs!$B$44&gt;0),((Skills!G6*((R793-1)*IF(Skills!H6&gt;0,INT(Skills!I6/Skills!H6+0.000000001),1)+IF(Skills!H6&gt;0,INT(MIN(Skills!I6,MAX(0,MAX(0,Inputs!$B$44-B823)-((R793-1)*IF(Inputs!$B$39="pvp",15,MAX(0.1,Skills!D6-IF(TRUE=TRUE,Inputs!$B$33,0))))))/Skills!H6+0.000000001),1)))/Inputs!$B$44),G793*Q793))*IF(Inputs!$B$39="pvp",1,1+(Inputs!$B$21+0+Skills!P6+((C804=TRUE)*F804*IF(AND(Inputs!$B$39&lt;&gt;"pvp",Inputs!$B$44&gt;0),(((R804-1)*MIN((Skills!T17*(1+Inputs!$B$35/100)),(1/Q804))+MIN((Skills!T17*(1+Inputs!$B$35/100)),MAX(0,Inputs!$B$44-((R804-1)*(1/Q804)))))/Inputs!$B$44),IF(Inputs!$B$39="pvp",MIN((Skills!T17*(1+Inputs!$B$35/100)),15)/15,MIN(1,(Skills!T17*(1+Inputs!$B$35/100))/(1/Q804)))))+((C792=TRUE)*IF(Inputs!$B$3&gt;=126,10*MIN(1,15*Q792),0))+((C801=TRUE)*IF(Inputs!$B$39="pvp",20,(1-Summary!$B$11)*(20)+Summary!$B$11*(0))*IF(AND(Inputs!$B$39&lt;&gt;"pvp",Inputs!$B$44&gt;0),(((R801-1)*MIN((Skills!T14*(1+Inputs!$B$35/100)),(1/Q801))+MIN((Skills!T14*(1+Inputs!$B$35/100)),MAX(0,Inputs!$B$44-((R801-1)*(1/Q801)))))/Inputs!$B$44),IF(Inputs!$B$39="pvp",MIN((Skills!T14*(1+Inputs!$B$35/100)),15)/15,MIN(1,(Skills!T14*(1+Inputs!$B$35/100))/(1/Q801)))))+((C800=TRUE)*IF(Inputs!$B$3&gt;=82,IF(Inputs!$B$39="pvp",20,(1-Summary!$B$11)*(20)+Summary!$B$11*(0)),0)*IF(AND(Inputs!$B$39&lt;&gt;"pvp",Inputs!$B$44&gt;0),(((R800-1)*MIN((Skills!T13*(1+Inputs!$B$35/100)),(1/Q800))+MIN((Skills!T13*(1+Inputs!$B$35/100)),MAX(0,Inputs!$B$44-((R800-1)*(1/Q800)))))/Inputs!$B$44),IF(Inputs!$B$39="pvp",MIN((Skills!T13*(1+Inputs!$B$35/100)),15)/15,MIN(1,(Skills!T13*(1+Inputs!$B$35/100))/(1/Q800)))))+(IF(AND(ArtifactsInput!$M$35,Inputs!$B$4&lt;&gt;"Chapter Hunt"),CHOOSE(ArtifactsInput!$N$35+1,15,18,21,24,27,30)*(1-EXP(-(0.2*B818)*5)),0)+IF(AND(ArtifactsInput!$M$22,Inputs!$B$4&lt;&gt;"Chapter Hunt"),CHOOSE(ArtifactsInput!$N$22+1,10,12,14,16,18,20)*((0*(((0.15*B818*5))^0/1)+1*(((0.15*B818*5))^1/1)+2*(((0.15*B818*5))^2/2)+3*(((0.15*B818*5))^3/6)+4*(((0.15*B818*5))^4/24)+5*(((0.15*B818*5))^5/120))/((((0.15*B818*5))^0/1)+(((0.15*B818*5))^1/1)+(((0.15*B818*5))^2/2)+(((0.15*B818*5))^3/6)+(((0.15*B818*5))^4/24)+(((0.15*B818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793*(1-MIN(100,(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793*(MIN(100,(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793*(1-MIN(100,(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793*(MIN(100,(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93">
        <f>IF(C793,(H793*N793*IF(AND(Inputs!$B$39&lt;&gt;"pvp",Inputs!$B$44&gt;0),((Skills!G6*((R793-1)*IF(Skills!H6&gt;0,INT(Skills!I6/Skills!H6+0.000000001),1)+IF(Skills!H6&gt;0,INT(MIN(Skills!I6,MAX(0,MAX(0,Inputs!$B$44-B823)-((R793-1)*IF(Inputs!$B$39="pvp",15,MAX(0.1,Skills!D6-IF(TRUE=TRUE,Inputs!$B$33,0))))))/Skills!H6+0.000000001),1)))/Inputs!$B$44),G793*Q793))*IF(Inputs!$B$39="pvp",1,(1+(Inputs!$B$22+Skills!Q6+((C804=TRUE)*F804*IF(AND(Inputs!$B$39&lt;&gt;"pvp",Inputs!$B$44&gt;0),(((R804-1)*MIN((Skills!T17*(1+Inputs!$B$35/100)),(1/Q804))+MIN((Skills!T17*(1+Inputs!$B$35/100)),MAX(0,Inputs!$B$44-((R804-1)*(1/Q804)))))/Inputs!$B$44),IF(Inputs!$B$39="pvp",MIN((Skills!T17*(1+Inputs!$B$35/100)),15)/15,MIN(1,(Skills!T17*(1+Inputs!$B$35/100))/(1/Q804)))))+((C792=TRUE)*IF(Inputs!$B$3&gt;=126,10*MIN(1,15*Q792),0))+((C801=TRUE)*IF(Inputs!$B$39="pvp",20,(1-Summary!$B$11)*(20)+Summary!$B$11*(0))*IF(AND(Inputs!$B$39&lt;&gt;"pvp",Inputs!$B$44&gt;0),(((R801-1)*MIN((Skills!T14*(1+Inputs!$B$35/100)),(1/Q801))+MIN((Skills!T14*(1+Inputs!$B$35/100)),MAX(0,Inputs!$B$44-((R801-1)*(1/Q801)))))/Inputs!$B$44),IF(Inputs!$B$39="pvp",MIN((Skills!T14*(1+Inputs!$B$35/100)),15)/15,MIN(1,(Skills!T14*(1+Inputs!$B$35/100))/(1/Q801)))))+((C800=TRUE)*IF(Inputs!$B$3&gt;=82,IF(Inputs!$B$39="pvp",20,(1-Summary!$B$11)*(20)+Summary!$B$11*(0)),0)*IF(AND(Inputs!$B$39&lt;&gt;"pvp",Inputs!$B$44&gt;0),(((R800-1)*MIN((Skills!T13*(1+Inputs!$B$35/100)),(1/Q800))+MIN((Skills!T13*(1+Inputs!$B$35/100)),MAX(0,Inputs!$B$44-((R800-1)*(1/Q800)))))/Inputs!$B$44),IF(Inputs!$B$39="pvp",MIN((Skills!T13*(1+Inputs!$B$35/100)),15)/15,MIN(1,(Skills!T13*(1+Inputs!$B$35/100))/(1/Q800)))))+(IF(AND(ArtifactsInput!$M$35,Inputs!$B$4&lt;&gt;"Chapter Hunt"),CHOOSE(ArtifactsInput!$N$35+1,15,18,21,24,27,30)*(1-EXP(-(0.2*B818)*5)),0)+IF(AND(ArtifactsInput!$M$22,Inputs!$B$4&lt;&gt;"Chapter Hunt"),CHOOSE(ArtifactsInput!$N$22+1,10,12,14,16,18,20)*((0*(((0.15*B818*5))^0/1)+1*(((0.15*B818*5))^1/1)+2*(((0.15*B818*5))^2/2)+3*(((0.15*B818*5))^3/6)+4*(((0.15*B818*5))^4/24)+5*(((0.15*B818*5))^5/120))/((((0.15*B818*5))^0/1)+(((0.15*B818*5))^1/1)+(((0.15*B818*5))^2/2)+(((0.15*B818*5))^3/6)+(((0.15*B818*5))^4/24)+(((0.15*B818*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94">
      <c r="A794">
        <f>Skills!A7</f>
        <v/>
      </c>
      <c r="B794">
        <f>Skills!B7</f>
        <v/>
      </c>
      <c r="C794">
        <f>Inputs!$B$3&gt;=40</f>
        <v/>
      </c>
      <c r="D794">
        <f>IF(Skills!C7=1,60+Inputs!$B$26+Inputs!$B$30,IF(Skills!C7=2,90+Inputs!$B$27+Inputs!$B$30,IF(Skills!C7=3,120+Inputs!$B$28+Inputs!$B$30,MAX(0,(Inputs!$B$3-100)*3)+Inputs!$B$29+Inputs!$B$30)))</f>
        <v/>
      </c>
      <c r="E794">
        <f>INDEX(FactorTable!$B$2:$Y$301, MATCH(ROUND(MIN(300,MAX(1,D794)),0), FactorTable!$A$2:$A$301,0), Skills!M7+1)</f>
        <v/>
      </c>
      <c r="F794">
        <f>IF(Skills!N7=TRUE,(Skills!L7/10)*(E794/1000),Skills!L7/10)+Skills!O7</f>
        <v/>
      </c>
      <c r="G794">
        <f>Skills!G7*IF(Skills!H7&gt;0,INT(IF(Inputs!$B$39="pvp",MIN(Skills!I7,15),Skills!I7)/Skills!H7+0.000000001),1)</f>
        <v/>
      </c>
      <c r="H794">
        <f>1-(1-Skills!J7/100)^Skills!K7</f>
        <v/>
      </c>
      <c r="I794" t="inlineStr">
        <is>
          <t>1</t>
        </is>
      </c>
      <c r="J794">
        <f>((Inputs!$B$6*(1+Inputs!$B$7/100))+(((Inputs!$B$13*(1+Inputs!$B$14/100))-(Inputs!$B$13*(1+Inputs!$B$14/100)))+0.25*(Inputs!$B$15-Inputs!$B$15))*(1+Inputs!$B$7/100))*(F794/100)</f>
        <v/>
      </c>
      <c r="K794">
        <f>J794*(1+(((Inputs!$B$13+IF(Inputs!$B$3&gt;=38,(10*INDEX(FactorTable!$B$2:$Y$301, MATCH(ROUND(MIN(300,MAX(1,Inputs!$B$3)),0), FactorTable!$A$2:$A$301,0), 23)/1000)/100*(Inputs!$B$8*(1+Inputs!$B$9/100)),0))*(1+Inputs!$B$14/100))*0.01+Inputs!$B$15*0.0025)/100)*(1+Inputs!$B$16/100)*(1+Inputs!$B$17/100)*(5000/(6000+Inputs!$B$43*(1-(Inputs!$B$20+0)/100)))*(1+(Inputs!$B$25+((C812=TRUE)*(F812-Calc!F25))+((C813=TRUE)*(F813-Calc!F26))+B822)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798=TRUE,F798,0)/100)*(1+(IF(Skills!A7="DARK_IMPALE",Inputs!$B$18+0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gt;=100),MIN(100,((Inputs!$B$10+0+B816+(ArtifactsInput!$M$24-ArtifactsInput!$M$24)*CHOOSE(ArtifactsInput!$N$24+1,10,12,14,16,18,20)+IF(ArtifactsInput!$M$10,CHOOSE(ArtifactsInput!$N$10+1,15,18,21,24,27,30)*(IF(Inputs!$B$39="pvp",MIN(15,15)/15,IF(AND(Inputs!$B$39&lt;&gt;"pvp",Inputs!$B$44&gt;0),MIN(15,Inputs!$B$44)/(Inputs!$B$44),0))),0)))-100),0))*CHOOSE(ArtifactsInput!$N$42+1,0.6,0.72,0.84,0.96,1.08,1.2))),(Inputs!$B$19+1)+((C810=TRUE)*(F810-Calc!F23))+(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gt;=100),CHOOSE(ArtifactsInput!$N$42+1,40,48,56,64,72,80),0))))/100)*((1+(((C800=TRUE)*F800*IF(AND(Inputs!$B$39&lt;&gt;"pvp",Inputs!$B$44&gt;0),(((R800-1)*MIN((Skills!T13*(1+Inputs!$B$35/100)),(1/Q800))+MIN((Skills!T13*(1+Inputs!$B$35/100)),MAX(0,Inputs!$B$44-((R800-1)*(1/Q800)))))/Inputs!$B$44),IF(Inputs!$B$39="pvp",MIN((Skills!T13*(1+Inputs!$B$35/100)),15)/15,MIN(1,(Skills!T13*(1+Inputs!$B$35/100))/(1/Q800)))))+((C801=TRUE)*F801*IF(AND(Inputs!$B$39&lt;&gt;"pvp",Inputs!$B$44&gt;0),(((R801-1)*MIN((Skills!T14*(1+Inputs!$B$35/100)),(1/Q801))+MIN((Skills!T14*(1+Inputs!$B$35/100)),MAX(0,Inputs!$B$44-((R801-1)*(1/Q801)))))/Inputs!$B$44),IF(Inputs!$B$39="pvp",MIN((Skills!T14*(1+Inputs!$B$35/100)),15)/15,MIN(1,(Skills!T14*(1+Inputs!$B$35/100))/(1/Q801)))))+((C802=TRUE)*F802*IF(AND(Inputs!$B$39&lt;&gt;"pvp",Inputs!$B$44&gt;0),(((R802-1)*MIN((Skills!T15*(1+Inputs!$B$35/100)),(1/Q802))+MIN((Skills!T15*(1+Inputs!$B$35/100)),MAX(0,Inputs!$B$44-((R802-1)*(1/Q802)))))/Inputs!$B$44),IF(Inputs!$B$39="pvp",MIN((Skills!T15*(1+Inputs!$B$35/100)),15)/15,MIN(1,(Skills!T15*(1+Inputs!$B$35/100))/(1/Q802)))))+((C803=TRUE)*F803*IF(AND(Inputs!$B$39&lt;&gt;"pvp",Inputs!$B$44&gt;0),(((R803-1)*MIN((Skills!T16*(1+Inputs!$B$35/100)),(1/Q803))+MIN((Skills!T16*(1+Inputs!$B$35/100)),MAX(0,Inputs!$B$44-((R803-1)*(1/Q803)))))/Inputs!$B$44),IF(Inputs!$B$39="pvp",MIN((Skills!T16*(1+Inputs!$B$35/100)),15)/15,MIN(1,(Skills!T16*(1+Inputs!$B$35/100))/(1/Q803)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794)</f>
        <v/>
      </c>
      <c r="L794">
        <f>K794*(MIN(Inputs!$B$23+((C809=TRUE)*(F809-Calc!F22)),(Inputs!$B$24+((C811=TRUE)*(F811-Calc!F24))+(IF(ArtifactsInput!$M$15,CHOOSE(ArtifactsInput!$N$15+1,25,30,35,40,45,50)/100*(Inputs!$B$12-Inputs!$B$12),0))))/100+(Inputs!$B$24+((C811=TRUE)*(F811-Calc!F24))+(IF(ArtifactsInput!$M$15,CHOOSE(ArtifactsInput!$N$15+1,25,30,35,40,45,50)/100*(Inputs!$B$12-Inputs!$B$12),0)))/100)/2</f>
        <v/>
      </c>
      <c r="M794">
        <f>L794*(1+(Inputs!$B$11+0+B821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794">
        <f>L794*(1-MIN((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794*(MIN((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94">
        <f>(1-Summary!$B$11)*T794+Summary!$B$11*V794</f>
        <v/>
      </c>
      <c r="P794">
        <f>IF(B826=0,0,O794/B826)</f>
        <v/>
      </c>
      <c r="Q794">
        <f>IFERROR(1/IF(Inputs!$B$39="pvp",15,MAX(0.1,Skills!D7-IF(TRUE=TRUE,Inputs!$B$33,0))),0)</f>
        <v/>
      </c>
      <c r="R794">
        <f>IF(AND(Inputs!$B$39&lt;&gt;"pvp",Inputs!$B$44&gt;0),IF(MAX(0,Inputs!$B$44-B823)&lt;=0,0,(INT(MAX(0,Inputs!$B$44-B823)/IF(Inputs!$B$39="pvp",15,MAX(0.1,Skills!D7-IF(TRUE=TRUE,Inputs!$B$33,0))))+1)),0)</f>
        <v/>
      </c>
      <c r="S794">
        <f>IFERROR(O794/N794,0)</f>
        <v/>
      </c>
      <c r="T794">
        <f>IF(C794,(H794*N794*IF(AND(Inputs!$B$39&lt;&gt;"pvp",Inputs!$B$44&gt;0),((Skills!G7*((R794-1)*IF(Skills!H7&gt;0,INT(Skills!I7/Skills!H7+0.000000001),1)+IF(Skills!H7&gt;0,INT(MIN(Skills!I7,MAX(0,MAX(0,Inputs!$B$44-B823)-((R794-1)*IF(Inputs!$B$39="pvp",15,MAX(0.1,Skills!D7-IF(TRUE=TRUE,Inputs!$B$33,0))))))/Skills!H7+0.000000001),1)))/Inputs!$B$44),G794*Q794))*IF(Inputs!$B$39="pvp",1,1+(Inputs!$B$21+0+Skills!P7+((C804=TRUE)*F804*IF(AND(Inputs!$B$39&lt;&gt;"pvp",Inputs!$B$44&gt;0),(((R804-1)*MIN((Skills!T17*(1+Inputs!$B$35/100)),(1/Q804))+MIN((Skills!T17*(1+Inputs!$B$35/100)),MAX(0,Inputs!$B$44-((R804-1)*(1/Q804)))))/Inputs!$B$44),IF(Inputs!$B$39="pvp",MIN((Skills!T17*(1+Inputs!$B$35/100)),15)/15,MIN(1,(Skills!T17*(1+Inputs!$B$35/100))/(1/Q804)))))+((C792=TRUE)*IF(Inputs!$B$3&gt;=126,10*MIN(1,15*Q792),0))+((C801=TRUE)*IF(Inputs!$B$39="pvp",20,(1-Summary!$B$11)*(20)+Summary!$B$11*(0))*IF(AND(Inputs!$B$39&lt;&gt;"pvp",Inputs!$B$44&gt;0),(((R801-1)*MIN((Skills!T14*(1+Inputs!$B$35/100)),(1/Q801))+MIN((Skills!T14*(1+Inputs!$B$35/100)),MAX(0,Inputs!$B$44-((R801-1)*(1/Q801)))))/Inputs!$B$44),IF(Inputs!$B$39="pvp",MIN((Skills!T14*(1+Inputs!$B$35/100)),15)/15,MIN(1,(Skills!T14*(1+Inputs!$B$35/100))/(1/Q801)))))+((C800=TRUE)*IF(Inputs!$B$3&gt;=82,IF(Inputs!$B$39="pvp",20,(1-Summary!$B$11)*(20)+Summary!$B$11*(0)),0)*IF(AND(Inputs!$B$39&lt;&gt;"pvp",Inputs!$B$44&gt;0),(((R800-1)*MIN((Skills!T13*(1+Inputs!$B$35/100)),(1/Q800))+MIN((Skills!T13*(1+Inputs!$B$35/100)),MAX(0,Inputs!$B$44-((R800-1)*(1/Q800)))))/Inputs!$B$44),IF(Inputs!$B$39="pvp",MIN((Skills!T13*(1+Inputs!$B$35/100)),15)/15,MIN(1,(Skills!T13*(1+Inputs!$B$35/100))/(1/Q800)))))+(IF(AND(ArtifactsInput!$M$35,Inputs!$B$4&lt;&gt;"Chapter Hunt"),CHOOSE(ArtifactsInput!$N$35+1,15,18,21,24,27,30)*(1-EXP(-(0.2*B818)*5)),0)+IF(AND(ArtifactsInput!$M$22,Inputs!$B$4&lt;&gt;"Chapter Hunt"),CHOOSE(ArtifactsInput!$N$22+1,10,12,14,16,18,20)*((0*(((0.15*B818*5))^0/1)+1*(((0.15*B818*5))^1/1)+2*(((0.15*B818*5))^2/2)+3*(((0.15*B818*5))^3/6)+4*(((0.15*B818*5))^4/24)+5*(((0.15*B818*5))^5/120))/((((0.15*B818*5))^0/1)+(((0.15*B818*5))^1/1)+(((0.15*B818*5))^2/2)+(((0.15*B818*5))^3/6)+(((0.15*B818*5))^4/24)+(((0.15*B818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794*(1-MIN(100,(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794*(MIN(100,(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794*(1-MIN(100,(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794*(MIN(100,(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94">
        <f>IF(C794,(H794*N794*IF(AND(Inputs!$B$39&lt;&gt;"pvp",Inputs!$B$44&gt;0),((Skills!G7*((R794-1)*IF(Skills!H7&gt;0,INT(Skills!I7/Skills!H7+0.000000001),1)+IF(Skills!H7&gt;0,INT(MIN(Skills!I7,MAX(0,MAX(0,Inputs!$B$44-B823)-((R794-1)*IF(Inputs!$B$39="pvp",15,MAX(0.1,Skills!D7-IF(TRUE=TRUE,Inputs!$B$33,0))))))/Skills!H7+0.000000001),1)))/Inputs!$B$44),G794*Q794))*IF(Inputs!$B$39="pvp",1,(1+(Inputs!$B$22+Skills!Q7+((C804=TRUE)*F804*IF(AND(Inputs!$B$39&lt;&gt;"pvp",Inputs!$B$44&gt;0),(((R804-1)*MIN((Skills!T17*(1+Inputs!$B$35/100)),(1/Q804))+MIN((Skills!T17*(1+Inputs!$B$35/100)),MAX(0,Inputs!$B$44-((R804-1)*(1/Q804)))))/Inputs!$B$44),IF(Inputs!$B$39="pvp",MIN((Skills!T17*(1+Inputs!$B$35/100)),15)/15,MIN(1,(Skills!T17*(1+Inputs!$B$35/100))/(1/Q804)))))+((C792=TRUE)*IF(Inputs!$B$3&gt;=126,10*MIN(1,15*Q792),0))+((C801=TRUE)*IF(Inputs!$B$39="pvp",20,(1-Summary!$B$11)*(20)+Summary!$B$11*(0))*IF(AND(Inputs!$B$39&lt;&gt;"pvp",Inputs!$B$44&gt;0),(((R801-1)*MIN((Skills!T14*(1+Inputs!$B$35/100)),(1/Q801))+MIN((Skills!T14*(1+Inputs!$B$35/100)),MAX(0,Inputs!$B$44-((R801-1)*(1/Q801)))))/Inputs!$B$44),IF(Inputs!$B$39="pvp",MIN((Skills!T14*(1+Inputs!$B$35/100)),15)/15,MIN(1,(Skills!T14*(1+Inputs!$B$35/100))/(1/Q801)))))+((C800=TRUE)*IF(Inputs!$B$3&gt;=82,IF(Inputs!$B$39="pvp",20,(1-Summary!$B$11)*(20)+Summary!$B$11*(0)),0)*IF(AND(Inputs!$B$39&lt;&gt;"pvp",Inputs!$B$44&gt;0),(((R800-1)*MIN((Skills!T13*(1+Inputs!$B$35/100)),(1/Q800))+MIN((Skills!T13*(1+Inputs!$B$35/100)),MAX(0,Inputs!$B$44-((R800-1)*(1/Q800)))))/Inputs!$B$44),IF(Inputs!$B$39="pvp",MIN((Skills!T13*(1+Inputs!$B$35/100)),15)/15,MIN(1,(Skills!T13*(1+Inputs!$B$35/100))/(1/Q800)))))+(IF(AND(ArtifactsInput!$M$35,Inputs!$B$4&lt;&gt;"Chapter Hunt"),CHOOSE(ArtifactsInput!$N$35+1,15,18,21,24,27,30)*(1-EXP(-(0.2*B818)*5)),0)+IF(AND(ArtifactsInput!$M$22,Inputs!$B$4&lt;&gt;"Chapter Hunt"),CHOOSE(ArtifactsInput!$N$22+1,10,12,14,16,18,20)*((0*(((0.15*B818*5))^0/1)+1*(((0.15*B818*5))^1/1)+2*(((0.15*B818*5))^2/2)+3*(((0.15*B818*5))^3/6)+4*(((0.15*B818*5))^4/24)+5*(((0.15*B818*5))^5/120))/((((0.15*B818*5))^0/1)+(((0.15*B818*5))^1/1)+(((0.15*B818*5))^2/2)+(((0.15*B818*5))^3/6)+(((0.15*B818*5))^4/24)+(((0.15*B818*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95">
      <c r="A795">
        <f>Skills!A8</f>
        <v/>
      </c>
      <c r="B795">
        <f>Skills!B8</f>
        <v/>
      </c>
      <c r="C795">
        <f>Inputs!$B$3&gt;=75</f>
        <v/>
      </c>
      <c r="D795">
        <f>IF(Skills!C8=1,60+Inputs!$B$26+Inputs!$B$30,IF(Skills!C8=2,90+Inputs!$B$27+Inputs!$B$30,IF(Skills!C8=3,120+Inputs!$B$28+Inputs!$B$30,MAX(0,(Inputs!$B$3-100)*3)+Inputs!$B$29+Inputs!$B$30)))</f>
        <v/>
      </c>
      <c r="E795">
        <f>INDEX(FactorTable!$B$2:$Y$301, MATCH(ROUND(MIN(300,MAX(1,D795)),0), FactorTable!$A$2:$A$301,0), Skills!M8+1)</f>
        <v/>
      </c>
      <c r="F795">
        <f>IF(Skills!N8=TRUE,(Skills!L8/10)*(E795/1000),Skills!L8/10)+Skills!O8</f>
        <v/>
      </c>
      <c r="G795" t="inlineStr"/>
      <c r="H795" t="inlineStr"/>
      <c r="I795" t="inlineStr">
        <is>
          <t>1</t>
        </is>
      </c>
      <c r="J795" t="inlineStr"/>
      <c r="K795" t="inlineStr"/>
      <c r="L795" t="inlineStr"/>
      <c r="M795" t="inlineStr"/>
      <c r="N795" t="inlineStr"/>
      <c r="O795" t="inlineStr"/>
      <c r="P795" t="inlineStr"/>
      <c r="Q795" t="inlineStr"/>
      <c r="R795" t="inlineStr"/>
      <c r="S795" t="inlineStr"/>
    </row>
    <row r="796">
      <c r="A796">
        <f>Skills!A9</f>
        <v/>
      </c>
      <c r="B796">
        <f>Skills!B9</f>
        <v/>
      </c>
      <c r="C796">
        <f>Inputs!$B$3&gt;=60</f>
        <v/>
      </c>
      <c r="D796">
        <f>IF(Skills!C9=1,60+Inputs!$B$26+Inputs!$B$30,IF(Skills!C9=2,90+Inputs!$B$27+Inputs!$B$30,IF(Skills!C9=3,120+Inputs!$B$28+Inputs!$B$30,MAX(0,(Inputs!$B$3-100)*3)+Inputs!$B$29+Inputs!$B$30)))</f>
        <v/>
      </c>
      <c r="E796">
        <f>INDEX(FactorTable!$B$2:$Y$301, MATCH(ROUND(MIN(300,MAX(1,D796)),0), FactorTable!$A$2:$A$301,0), Skills!M9+1)</f>
        <v/>
      </c>
      <c r="F796">
        <f>IF(Skills!N9=TRUE,(Skills!L9/10)*(E796/1000),Skills!L9/10)+Skills!O9</f>
        <v/>
      </c>
      <c r="G796">
        <f>Skills!G9*IF(Skills!H9&gt;0,INT(IF(Inputs!$B$39="pvp",MIN(Skills!I9,15),Skills!I9)/Skills!H9+0.000000001),1)</f>
        <v/>
      </c>
      <c r="H796">
        <f>1-(1-Skills!J9/100)^Skills!K9</f>
        <v/>
      </c>
      <c r="I796" t="inlineStr">
        <is>
          <t>1</t>
        </is>
      </c>
      <c r="J796">
        <f>((Inputs!$B$6*(1+Inputs!$B$7/100))+(((Inputs!$B$13*(1+Inputs!$B$14/100))-(Inputs!$B$13*(1+Inputs!$B$14/100)))+0.25*(Inputs!$B$15-Inputs!$B$15))*(1+Inputs!$B$7/100))*(F796/100)</f>
        <v/>
      </c>
      <c r="K796">
        <f>J796*(1+(((Inputs!$B$13+IF(Inputs!$B$3&gt;=38,(10*INDEX(FactorTable!$B$2:$Y$301, MATCH(ROUND(MIN(300,MAX(1,Inputs!$B$3)),0), FactorTable!$A$2:$A$301,0), 23)/1000)/100*(Inputs!$B$8*(1+Inputs!$B$9/100)),0))*(1+Inputs!$B$14/100))*0.01+Inputs!$B$15*0.0025)/100)*(1+Inputs!$B$16/100)*(1+Inputs!$B$17/100)*(5000/(6000+Inputs!$B$43*(1-(Inputs!$B$20+0)/100)))*(1+(Inputs!$B$25+((C812=TRUE)*(F812-Calc!F25))+((C813=TRUE)*(F813-Calc!F26))+B822)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798=TRUE,F798,0)/100)*(1+(IF(Skills!A9="DARK_IMPALE",Inputs!$B$18+0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gt;=100),MIN(100,((Inputs!$B$10+0+B816+(ArtifactsInput!$M$24-ArtifactsInput!$M$24)*CHOOSE(ArtifactsInput!$N$24+1,10,12,14,16,18,20)+IF(ArtifactsInput!$M$10,CHOOSE(ArtifactsInput!$N$10+1,15,18,21,24,27,30)*(IF(Inputs!$B$39="pvp",MIN(15,15)/15,IF(AND(Inputs!$B$39&lt;&gt;"pvp",Inputs!$B$44&gt;0),MIN(15,Inputs!$B$44)/(Inputs!$B$44),0))),0)))-100),0))*CHOOSE(ArtifactsInput!$N$42+1,0.6,0.72,0.84,0.96,1.08,1.2))),(Inputs!$B$19+1)+((C810=TRUE)*(F810-Calc!F23))+(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gt;=100),CHOOSE(ArtifactsInput!$N$42+1,40,48,56,64,72,80),0))))/100)*((1+(((C800=TRUE)*F800*IF(AND(Inputs!$B$39&lt;&gt;"pvp",Inputs!$B$44&gt;0),(((R800-1)*MIN((Skills!T13*(1+Inputs!$B$35/100)),(1/Q800))+MIN((Skills!T13*(1+Inputs!$B$35/100)),MAX(0,Inputs!$B$44-((R800-1)*(1/Q800)))))/Inputs!$B$44),IF(Inputs!$B$39="pvp",MIN((Skills!T13*(1+Inputs!$B$35/100)),15)/15,MIN(1,(Skills!T13*(1+Inputs!$B$35/100))/(1/Q800)))))+((C801=TRUE)*F801*IF(AND(Inputs!$B$39&lt;&gt;"pvp",Inputs!$B$44&gt;0),(((R801-1)*MIN((Skills!T14*(1+Inputs!$B$35/100)),(1/Q801))+MIN((Skills!T14*(1+Inputs!$B$35/100)),MAX(0,Inputs!$B$44-((R801-1)*(1/Q801)))))/Inputs!$B$44),IF(Inputs!$B$39="pvp",MIN((Skills!T14*(1+Inputs!$B$35/100)),15)/15,MIN(1,(Skills!T14*(1+Inputs!$B$35/100))/(1/Q801)))))+((C802=TRUE)*F802*IF(AND(Inputs!$B$39&lt;&gt;"pvp",Inputs!$B$44&gt;0),(((R802-1)*MIN((Skills!T15*(1+Inputs!$B$35/100)),(1/Q802))+MIN((Skills!T15*(1+Inputs!$B$35/100)),MAX(0,Inputs!$B$44-((R802-1)*(1/Q802)))))/Inputs!$B$44),IF(Inputs!$B$39="pvp",MIN((Skills!T15*(1+Inputs!$B$35/100)),15)/15,MIN(1,(Skills!T15*(1+Inputs!$B$35/100))/(1/Q802)))))+((C803=TRUE)*F803*IF(AND(Inputs!$B$39&lt;&gt;"pvp",Inputs!$B$44&gt;0),(((R803-1)*MIN((Skills!T16*(1+Inputs!$B$35/100)),(1/Q803))+MIN((Skills!T16*(1+Inputs!$B$35/100)),MAX(0,Inputs!$B$44-((R803-1)*(1/Q803)))))/Inputs!$B$44),IF(Inputs!$B$39="pvp",MIN((Skills!T16*(1+Inputs!$B$35/100)),15)/15,MIN(1,(Skills!T16*(1+Inputs!$B$35/100))/(1/Q803)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796)</f>
        <v/>
      </c>
      <c r="L796">
        <f>K796*(MIN(Inputs!$B$23+((C809=TRUE)*(F809-Calc!F22)),(Inputs!$B$24+((C811=TRUE)*(F811-Calc!F24))+(IF(ArtifactsInput!$M$15,CHOOSE(ArtifactsInput!$N$15+1,25,30,35,40,45,50)/100*(Inputs!$B$12-Inputs!$B$12),0))))/100+(Inputs!$B$24+((C811=TRUE)*(F811-Calc!F24))+(IF(ArtifactsInput!$M$15,CHOOSE(ArtifactsInput!$N$15+1,25,30,35,40,45,50)/100*(Inputs!$B$12-Inputs!$B$12),0)))/100)/2</f>
        <v/>
      </c>
      <c r="M796">
        <f>L796*(1+(Inputs!$B$11+0+B821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796">
        <f>L796*(1-MIN((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796*(MIN((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96">
        <f>(1-Summary!$B$11)*T796+Summary!$B$11*V796</f>
        <v/>
      </c>
      <c r="P796">
        <f>IF(B826=0,0,O796/B826)</f>
        <v/>
      </c>
      <c r="Q796">
        <f>IFERROR(1/IF(Inputs!$B$39="pvp",15,MAX(0.1,Skills!D9-IF(TRUE=TRUE,Inputs!$B$33,0))),0)</f>
        <v/>
      </c>
      <c r="R796">
        <f>IF(AND(Inputs!$B$39&lt;&gt;"pvp",Inputs!$B$44&gt;0),IF(MAX(0,Inputs!$B$44-B823)&lt;=0,0,(INT(MAX(0,Inputs!$B$44-B823)/IF(Inputs!$B$39="pvp",15,MAX(0.1,Skills!D9-IF(TRUE=TRUE,Inputs!$B$33,0))))+1)),0)</f>
        <v/>
      </c>
      <c r="S796">
        <f>IFERROR(O796/N796,0)</f>
        <v/>
      </c>
      <c r="T796">
        <f>IF(C796,(H796*N796*IF(AND(Inputs!$B$39&lt;&gt;"pvp",Inputs!$B$44&gt;0),((Skills!G9*((R796-1)*IF(Skills!H9&gt;0,INT(Skills!I9/Skills!H9+0.000000001),1)+IF(Skills!H9&gt;0,INT(MIN(Skills!I9,MAX(0,MAX(0,Inputs!$B$44-B823)-((R796-1)*IF(Inputs!$B$39="pvp",15,MAX(0.1,Skills!D9-IF(TRUE=TRUE,Inputs!$B$33,0))))))/Skills!H9+0.000000001),1)))/Inputs!$B$44),G796*Q796))*IF(Inputs!$B$39="pvp",1,1+(Inputs!$B$21+0+Skills!P9+((C804=TRUE)*F804*IF(AND(Inputs!$B$39&lt;&gt;"pvp",Inputs!$B$44&gt;0),(((R804-1)*MIN((Skills!T17*(1+Inputs!$B$35/100)),(1/Q804))+MIN((Skills!T17*(1+Inputs!$B$35/100)),MAX(0,Inputs!$B$44-((R804-1)*(1/Q804)))))/Inputs!$B$44),IF(Inputs!$B$39="pvp",MIN((Skills!T17*(1+Inputs!$B$35/100)),15)/15,MIN(1,(Skills!T17*(1+Inputs!$B$35/100))/(1/Q804)))))+((C792=TRUE)*IF(Inputs!$B$3&gt;=126,10*MIN(1,15*Q792),0))+((C801=TRUE)*IF(Inputs!$B$39="pvp",20,(1-Summary!$B$11)*(20)+Summary!$B$11*(0))*IF(AND(Inputs!$B$39&lt;&gt;"pvp",Inputs!$B$44&gt;0),(((R801-1)*MIN((Skills!T14*(1+Inputs!$B$35/100)),(1/Q801))+MIN((Skills!T14*(1+Inputs!$B$35/100)),MAX(0,Inputs!$B$44-((R801-1)*(1/Q801)))))/Inputs!$B$44),IF(Inputs!$B$39="pvp",MIN((Skills!T14*(1+Inputs!$B$35/100)),15)/15,MIN(1,(Skills!T14*(1+Inputs!$B$35/100))/(1/Q801)))))+((C800=TRUE)*IF(Inputs!$B$3&gt;=82,IF(Inputs!$B$39="pvp",20,(1-Summary!$B$11)*(20)+Summary!$B$11*(0)),0)*IF(AND(Inputs!$B$39&lt;&gt;"pvp",Inputs!$B$44&gt;0),(((R800-1)*MIN((Skills!T13*(1+Inputs!$B$35/100)),(1/Q800))+MIN((Skills!T13*(1+Inputs!$B$35/100)),MAX(0,Inputs!$B$44-((R800-1)*(1/Q800)))))/Inputs!$B$44),IF(Inputs!$B$39="pvp",MIN((Skills!T13*(1+Inputs!$B$35/100)),15)/15,MIN(1,(Skills!T13*(1+Inputs!$B$35/100))/(1/Q800)))))+(IF(AND(ArtifactsInput!$M$35,Inputs!$B$4&lt;&gt;"Chapter Hunt"),CHOOSE(ArtifactsInput!$N$35+1,15,18,21,24,27,30)*(1-EXP(-(0.2*B818)*5)),0)+IF(AND(ArtifactsInput!$M$22,Inputs!$B$4&lt;&gt;"Chapter Hunt"),CHOOSE(ArtifactsInput!$N$22+1,10,12,14,16,18,20)*((0*(((0.15*B818*5))^0/1)+1*(((0.15*B818*5))^1/1)+2*(((0.15*B818*5))^2/2)+3*(((0.15*B818*5))^3/6)+4*(((0.15*B818*5))^4/24)+5*(((0.15*B818*5))^5/120))/((((0.15*B818*5))^0/1)+(((0.15*B818*5))^1/1)+(((0.15*B818*5))^2/2)+(((0.15*B818*5))^3/6)+(((0.15*B818*5))^4/24)+(((0.15*B818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796*(1-MIN(100,(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796*(MIN(100,(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796*(1-MIN(100,(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796*(MIN(100,(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96">
        <f>IF(C796,(H796*N796*IF(AND(Inputs!$B$39&lt;&gt;"pvp",Inputs!$B$44&gt;0),((Skills!G9*((R796-1)*IF(Skills!H9&gt;0,INT(Skills!I9/Skills!H9+0.000000001),1)+IF(Skills!H9&gt;0,INT(MIN(Skills!I9,MAX(0,MAX(0,Inputs!$B$44-B823)-((R796-1)*IF(Inputs!$B$39="pvp",15,MAX(0.1,Skills!D9-IF(TRUE=TRUE,Inputs!$B$33,0))))))/Skills!H9+0.000000001),1)))/Inputs!$B$44),G796*Q796))*IF(Inputs!$B$39="pvp",1,(1+(Inputs!$B$22+Skills!Q9+((C804=TRUE)*F804*IF(AND(Inputs!$B$39&lt;&gt;"pvp",Inputs!$B$44&gt;0),(((R804-1)*MIN((Skills!T17*(1+Inputs!$B$35/100)),(1/Q804))+MIN((Skills!T17*(1+Inputs!$B$35/100)),MAX(0,Inputs!$B$44-((R804-1)*(1/Q804)))))/Inputs!$B$44),IF(Inputs!$B$39="pvp",MIN((Skills!T17*(1+Inputs!$B$35/100)),15)/15,MIN(1,(Skills!T17*(1+Inputs!$B$35/100))/(1/Q804)))))+((C792=TRUE)*IF(Inputs!$B$3&gt;=126,10*MIN(1,15*Q792),0))+((C801=TRUE)*IF(Inputs!$B$39="pvp",20,(1-Summary!$B$11)*(20)+Summary!$B$11*(0))*IF(AND(Inputs!$B$39&lt;&gt;"pvp",Inputs!$B$44&gt;0),(((R801-1)*MIN((Skills!T14*(1+Inputs!$B$35/100)),(1/Q801))+MIN((Skills!T14*(1+Inputs!$B$35/100)),MAX(0,Inputs!$B$44-((R801-1)*(1/Q801)))))/Inputs!$B$44),IF(Inputs!$B$39="pvp",MIN((Skills!T14*(1+Inputs!$B$35/100)),15)/15,MIN(1,(Skills!T14*(1+Inputs!$B$35/100))/(1/Q801)))))+((C800=TRUE)*IF(Inputs!$B$3&gt;=82,IF(Inputs!$B$39="pvp",20,(1-Summary!$B$11)*(20)+Summary!$B$11*(0)),0)*IF(AND(Inputs!$B$39&lt;&gt;"pvp",Inputs!$B$44&gt;0),(((R800-1)*MIN((Skills!T13*(1+Inputs!$B$35/100)),(1/Q800))+MIN((Skills!T13*(1+Inputs!$B$35/100)),MAX(0,Inputs!$B$44-((R800-1)*(1/Q800)))))/Inputs!$B$44),IF(Inputs!$B$39="pvp",MIN((Skills!T13*(1+Inputs!$B$35/100)),15)/15,MIN(1,(Skills!T13*(1+Inputs!$B$35/100))/(1/Q800)))))+(IF(AND(ArtifactsInput!$M$35,Inputs!$B$4&lt;&gt;"Chapter Hunt"),CHOOSE(ArtifactsInput!$N$35+1,15,18,21,24,27,30)*(1-EXP(-(0.2*B818)*5)),0)+IF(AND(ArtifactsInput!$M$22,Inputs!$B$4&lt;&gt;"Chapter Hunt"),CHOOSE(ArtifactsInput!$N$22+1,10,12,14,16,18,20)*((0*(((0.15*B818*5))^0/1)+1*(((0.15*B818*5))^1/1)+2*(((0.15*B818*5))^2/2)+3*(((0.15*B818*5))^3/6)+4*(((0.15*B818*5))^4/24)+5*(((0.15*B818*5))^5/120))/((((0.15*B818*5))^0/1)+(((0.15*B818*5))^1/1)+(((0.15*B818*5))^2/2)+(((0.15*B818*5))^3/6)+(((0.15*B818*5))^4/24)+(((0.15*B818*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97">
      <c r="A797">
        <f>Skills!A10</f>
        <v/>
      </c>
      <c r="B797">
        <f>Skills!B10</f>
        <v/>
      </c>
      <c r="C797">
        <f>Inputs!$B$3&gt;=110</f>
        <v/>
      </c>
      <c r="D797">
        <f>IF(Skills!C10=1,60+Inputs!$B$26+Inputs!$B$30,IF(Skills!C10=2,90+Inputs!$B$27+Inputs!$B$30,IF(Skills!C10=3,120+Inputs!$B$28+Inputs!$B$30,MAX(0,(Inputs!$B$3-100)*3)+Inputs!$B$29+Inputs!$B$30)))</f>
        <v/>
      </c>
      <c r="E797">
        <f>INDEX(FactorTable!$B$2:$Y$301, MATCH(ROUND(MIN(300,MAX(1,D797)),0), FactorTable!$A$2:$A$301,0), Skills!M10+1)</f>
        <v/>
      </c>
      <c r="F797">
        <f>IF(Skills!N10=TRUE,(Skills!L10/10)*(E797/1000),Skills!L10/10)+Skills!O10</f>
        <v/>
      </c>
      <c r="G797">
        <f>Skills!G10*IF(Skills!H10&gt;0,INT(IF(Inputs!$B$39="pvp",MIN(Skills!I10,15),Skills!I10)/Skills!H10+0.000000001),1)</f>
        <v/>
      </c>
      <c r="H797">
        <f>1-(1-Skills!J10/100)^Skills!K10</f>
        <v/>
      </c>
      <c r="I797" t="inlineStr">
        <is>
          <t>1</t>
        </is>
      </c>
      <c r="J797">
        <f>((Inputs!$B$6*(1+Inputs!$B$7/100))+(((Inputs!$B$13*(1+Inputs!$B$14/100))-(Inputs!$B$13*(1+Inputs!$B$14/100)))+0.25*(Inputs!$B$15-Inputs!$B$15))*(1+Inputs!$B$7/100))*(F797/100)</f>
        <v/>
      </c>
      <c r="K797">
        <f>J797*(1+(((Inputs!$B$13+IF(Inputs!$B$3&gt;=38,(10*INDEX(FactorTable!$B$2:$Y$301, MATCH(ROUND(MIN(300,MAX(1,Inputs!$B$3)),0), FactorTable!$A$2:$A$301,0), 23)/1000)/100*(Inputs!$B$8*(1+Inputs!$B$9/100)),0))*(1+Inputs!$B$14/100))*0.01+Inputs!$B$15*0.0025)/100)*(1+Inputs!$B$16/100)*(1+Inputs!$B$17/100)*(5000/(6000+Inputs!$B$43*(1-(Inputs!$B$20+0)/100)))*(1+(Inputs!$B$25+((C812=TRUE)*(F812-Calc!F25))+((C813=TRUE)*(F813-Calc!F26))+B822)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gt;=100),MIN(100,((Inputs!$B$10+0+B816+(ArtifactsInput!$M$24-ArtifactsInput!$M$24)*CHOOSE(ArtifactsInput!$N$24+1,10,12,14,16,18,20)+IF(ArtifactsInput!$M$10,CHOOSE(ArtifactsInput!$N$10+1,15,18,21,24,27,30)*(IF(Inputs!$B$39="pvp",MIN(15,15)/15,IF(AND(Inputs!$B$39&lt;&gt;"pvp",Inputs!$B$44&gt;0),MIN(15,Inputs!$B$44)/(Inputs!$B$44),0))),0)))-100),0))*CHOOSE(ArtifactsInput!$N$42+1,0.6,0.72,0.84,0.96,1.08,1.2))),(Inputs!$B$19+1)+((C810=TRUE)*(F810-Calc!F23))+(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gt;=100),CHOOSE(ArtifactsInput!$N$42+1,40,48,56,64,72,80),0))))/100)*((1+(((C800=TRUE)*F800*IF(AND(Inputs!$B$39&lt;&gt;"pvp",Inputs!$B$44&gt;0),(((R800-1)*MIN((Skills!T13*(1+Inputs!$B$35/100)),(1/Q800))+MIN((Skills!T13*(1+Inputs!$B$35/100)),MAX(0,Inputs!$B$44-((R800-1)*(1/Q800)))))/Inputs!$B$44),IF(Inputs!$B$39="pvp",MIN((Skills!T13*(1+Inputs!$B$35/100)),15)/15,MIN(1,(Skills!T13*(1+Inputs!$B$35/100))/(1/Q800)))))+((C801=TRUE)*F801*IF(AND(Inputs!$B$39&lt;&gt;"pvp",Inputs!$B$44&gt;0),(((R801-1)*MIN((Skills!T14*(1+Inputs!$B$35/100)),(1/Q801))+MIN((Skills!T14*(1+Inputs!$B$35/100)),MAX(0,Inputs!$B$44-((R801-1)*(1/Q801)))))/Inputs!$B$44),IF(Inputs!$B$39="pvp",MIN((Skills!T14*(1+Inputs!$B$35/100)),15)/15,MIN(1,(Skills!T14*(1+Inputs!$B$35/100))/(1/Q801)))))+((C802=TRUE)*F802*IF(AND(Inputs!$B$39&lt;&gt;"pvp",Inputs!$B$44&gt;0),(((R802-1)*MIN((Skills!T15*(1+Inputs!$B$35/100)),(1/Q802))+MIN((Skills!T15*(1+Inputs!$B$35/100)),MAX(0,Inputs!$B$44-((R802-1)*(1/Q802)))))/Inputs!$B$44),IF(Inputs!$B$39="pvp",MIN((Skills!T15*(1+Inputs!$B$35/100)),15)/15,MIN(1,(Skills!T15*(1+Inputs!$B$35/100))/(1/Q802)))))+((C803=TRUE)*F803*IF(AND(Inputs!$B$39&lt;&gt;"pvp",Inputs!$B$44&gt;0),(((R803-1)*MIN((Skills!T16*(1+Inputs!$B$35/100)),(1/Q803))+MIN((Skills!T16*(1+Inputs!$B$35/100)),MAX(0,Inputs!$B$44-((R803-1)*(1/Q803)))))/Inputs!$B$44),IF(Inputs!$B$39="pvp",MIN((Skills!T16*(1+Inputs!$B$35/100)),15)/15,MIN(1,(Skills!T16*(1+Inputs!$B$35/100))/(1/Q803)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797)</f>
        <v/>
      </c>
      <c r="L797">
        <f>K797*(MIN(Inputs!$B$23+((C809=TRUE)*(F809-Calc!F22)),(Inputs!$B$24+((C811=TRUE)*(F811-Calc!F24))+(IF(ArtifactsInput!$M$15,CHOOSE(ArtifactsInput!$N$15+1,25,30,35,40,45,50)/100*(Inputs!$B$12-Inputs!$B$12),0))))/100+(Inputs!$B$24+((C811=TRUE)*(F811-Calc!F24))+(IF(ArtifactsInput!$M$15,CHOOSE(ArtifactsInput!$N$15+1,25,30,35,40,45,50)/100*(Inputs!$B$12-Inputs!$B$12),0)))/100)/2</f>
        <v/>
      </c>
      <c r="M797">
        <f>L797*(1+(Inputs!$B$11+0+B821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797">
        <f>L797*(1-MIN((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797*(MIN((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97">
        <f>(1-Summary!$B$11)*T797+Summary!$B$11*V797</f>
        <v/>
      </c>
      <c r="P797">
        <f>IF(B826=0,0,O797/B826)</f>
        <v/>
      </c>
      <c r="Q797">
        <f>IFERROR(1/IF(Inputs!$B$39="pvp",15,MAX(0.1,Skills!D10-IF(TRUE=TRUE,Inputs!$B$33,0))),0)</f>
        <v/>
      </c>
      <c r="R797">
        <f>IF(AND(Inputs!$B$39&lt;&gt;"pvp",Inputs!$B$44&gt;0),IF(MAX(0,Inputs!$B$44-B823)&lt;=0,0,(INT(MAX(0,Inputs!$B$44-B823)/IF(Inputs!$B$39="pvp",15,MAX(0.1,Skills!D10-IF(TRUE=TRUE,Inputs!$B$33,0))))+1)),0)</f>
        <v/>
      </c>
      <c r="S797">
        <f>IFERROR(O797/N797,0)</f>
        <v/>
      </c>
      <c r="T797">
        <f>IF(C797,(H797*N797*IF(AND(Inputs!$B$39&lt;&gt;"pvp",Inputs!$B$44&gt;0),((Skills!G10*((R797-1)*IF(Skills!H10&gt;0,INT(Skills!I10/Skills!H10+0.000000001),1)+IF(Skills!H10&gt;0,INT(MIN(Skills!I10,MAX(0,MAX(0,Inputs!$B$44-B823)-((R797-1)*IF(Inputs!$B$39="pvp",15,MAX(0.1,Skills!D10-IF(TRUE=TRUE,Inputs!$B$33,0))))))/Skills!H10+0.000000001),1)))/Inputs!$B$44),G797*Q797))*IF(Inputs!$B$39="pvp",1,1+(Inputs!$B$21+0+Skills!P10+((C804=TRUE)*F804*IF(AND(Inputs!$B$39&lt;&gt;"pvp",Inputs!$B$44&gt;0),(((R804-1)*MIN((Skills!T17*(1+Inputs!$B$35/100)),(1/Q804))+MIN((Skills!T17*(1+Inputs!$B$35/100)),MAX(0,Inputs!$B$44-((R804-1)*(1/Q804)))))/Inputs!$B$44),IF(Inputs!$B$39="pvp",MIN((Skills!T17*(1+Inputs!$B$35/100)),15)/15,MIN(1,(Skills!T17*(1+Inputs!$B$35/100))/(1/Q804)))))+((C792=TRUE)*IF(Inputs!$B$3&gt;=126,10*MIN(1,15*Q792),0))+((C801=TRUE)*IF(Inputs!$B$39="pvp",20,(1-Summary!$B$11)*(20)+Summary!$B$11*(0))*IF(AND(Inputs!$B$39&lt;&gt;"pvp",Inputs!$B$44&gt;0),(((R801-1)*MIN((Skills!T14*(1+Inputs!$B$35/100)),(1/Q801))+MIN((Skills!T14*(1+Inputs!$B$35/100)),MAX(0,Inputs!$B$44-((R801-1)*(1/Q801)))))/Inputs!$B$44),IF(Inputs!$B$39="pvp",MIN((Skills!T14*(1+Inputs!$B$35/100)),15)/15,MIN(1,(Skills!T14*(1+Inputs!$B$35/100))/(1/Q801)))))+((C800=TRUE)*IF(Inputs!$B$3&gt;=82,IF(Inputs!$B$39="pvp",20,(1-Summary!$B$11)*(20)+Summary!$B$11*(0)),0)*IF(AND(Inputs!$B$39&lt;&gt;"pvp",Inputs!$B$44&gt;0),(((R800-1)*MIN((Skills!T13*(1+Inputs!$B$35/100)),(1/Q800))+MIN((Skills!T13*(1+Inputs!$B$35/100)),MAX(0,Inputs!$B$44-((R800-1)*(1/Q800)))))/Inputs!$B$44),IF(Inputs!$B$39="pvp",MIN((Skills!T13*(1+Inputs!$B$35/100)),15)/15,MIN(1,(Skills!T13*(1+Inputs!$B$35/100))/(1/Q800)))))+(IF(AND(ArtifactsInput!$M$35,Inputs!$B$4&lt;&gt;"Chapter Hunt"),CHOOSE(ArtifactsInput!$N$35+1,15,18,21,24,27,30)*(1-EXP(-(0.2*B818)*5)),0)+IF(AND(ArtifactsInput!$M$22,Inputs!$B$4&lt;&gt;"Chapter Hunt"),CHOOSE(ArtifactsInput!$N$22+1,10,12,14,16,18,20)*((0*(((0.15*B818*5))^0/1)+1*(((0.15*B818*5))^1/1)+2*(((0.15*B818*5))^2/2)+3*(((0.15*B818*5))^3/6)+4*(((0.15*B818*5))^4/24)+5*(((0.15*B818*5))^5/120))/((((0.15*B818*5))^0/1)+(((0.15*B818*5))^1/1)+(((0.15*B818*5))^2/2)+(((0.15*B818*5))^3/6)+(((0.15*B818*5))^4/24)+(((0.15*B818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797*(1-MIN(100,(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797*(MIN(100,(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797*(1-MIN(100,(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797*(MIN(100,(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97">
        <f>IF(C797,(H797*N797*IF(AND(Inputs!$B$39&lt;&gt;"pvp",Inputs!$B$44&gt;0),((Skills!G10*((R797-1)*IF(Skills!H10&gt;0,INT(Skills!I10/Skills!H10+0.000000001),1)+IF(Skills!H10&gt;0,INT(MIN(Skills!I10,MAX(0,MAX(0,Inputs!$B$44-B823)-((R797-1)*IF(Inputs!$B$39="pvp",15,MAX(0.1,Skills!D10-IF(TRUE=TRUE,Inputs!$B$33,0))))))/Skills!H10+0.000000001),1)))/Inputs!$B$44),G797*Q797))*IF(Inputs!$B$39="pvp",1,(1+(Inputs!$B$22+Skills!Q10+((C804=TRUE)*F804*IF(AND(Inputs!$B$39&lt;&gt;"pvp",Inputs!$B$44&gt;0),(((R804-1)*MIN((Skills!T17*(1+Inputs!$B$35/100)),(1/Q804))+MIN((Skills!T17*(1+Inputs!$B$35/100)),MAX(0,Inputs!$B$44-((R804-1)*(1/Q804)))))/Inputs!$B$44),IF(Inputs!$B$39="pvp",MIN((Skills!T17*(1+Inputs!$B$35/100)),15)/15,MIN(1,(Skills!T17*(1+Inputs!$B$35/100))/(1/Q804)))))+((C792=TRUE)*IF(Inputs!$B$3&gt;=126,10*MIN(1,15*Q792),0))+((C801=TRUE)*IF(Inputs!$B$39="pvp",20,(1-Summary!$B$11)*(20)+Summary!$B$11*(0))*IF(AND(Inputs!$B$39&lt;&gt;"pvp",Inputs!$B$44&gt;0),(((R801-1)*MIN((Skills!T14*(1+Inputs!$B$35/100)),(1/Q801))+MIN((Skills!T14*(1+Inputs!$B$35/100)),MAX(0,Inputs!$B$44-((R801-1)*(1/Q801)))))/Inputs!$B$44),IF(Inputs!$B$39="pvp",MIN((Skills!T14*(1+Inputs!$B$35/100)),15)/15,MIN(1,(Skills!T14*(1+Inputs!$B$35/100))/(1/Q801)))))+((C800=TRUE)*IF(Inputs!$B$3&gt;=82,IF(Inputs!$B$39="pvp",20,(1-Summary!$B$11)*(20)+Summary!$B$11*(0)),0)*IF(AND(Inputs!$B$39&lt;&gt;"pvp",Inputs!$B$44&gt;0),(((R800-1)*MIN((Skills!T13*(1+Inputs!$B$35/100)),(1/Q800))+MIN((Skills!T13*(1+Inputs!$B$35/100)),MAX(0,Inputs!$B$44-((R800-1)*(1/Q800)))))/Inputs!$B$44),IF(Inputs!$B$39="pvp",MIN((Skills!T13*(1+Inputs!$B$35/100)),15)/15,MIN(1,(Skills!T13*(1+Inputs!$B$35/100))/(1/Q800)))))+(IF(AND(ArtifactsInput!$M$35,Inputs!$B$4&lt;&gt;"Chapter Hunt"),CHOOSE(ArtifactsInput!$N$35+1,15,18,21,24,27,30)*(1-EXP(-(0.2*B818)*5)),0)+IF(AND(ArtifactsInput!$M$22,Inputs!$B$4&lt;&gt;"Chapter Hunt"),CHOOSE(ArtifactsInput!$N$22+1,10,12,14,16,18,20)*((0*(((0.15*B818*5))^0/1)+1*(((0.15*B818*5))^1/1)+2*(((0.15*B818*5))^2/2)+3*(((0.15*B818*5))^3/6)+4*(((0.15*B818*5))^4/24)+5*(((0.15*B818*5))^5/120))/((((0.15*B818*5))^0/1)+(((0.15*B818*5))^1/1)+(((0.15*B818*5))^2/2)+(((0.15*B818*5))^3/6)+(((0.15*B818*5))^4/24)+(((0.15*B818*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98">
      <c r="A798">
        <f>Skills!A11</f>
        <v/>
      </c>
      <c r="B798">
        <f>Skills!B11</f>
        <v/>
      </c>
      <c r="C798">
        <f>Inputs!$B$3&gt;=100</f>
        <v/>
      </c>
      <c r="D798">
        <f>IF(Skills!C11=1,60+Inputs!$B$26+Inputs!$B$30,IF(Skills!C11=2,90+Inputs!$B$27+Inputs!$B$30,IF(Skills!C11=3,120+Inputs!$B$28+Inputs!$B$30,MAX(0,(Inputs!$B$3-100)*3)+Inputs!$B$29+Inputs!$B$30)))</f>
        <v/>
      </c>
      <c r="E798">
        <f>INDEX(FactorTable!$B$2:$Y$301, MATCH(ROUND(MIN(300,MAX(1,D798)),0), FactorTable!$A$2:$A$301,0), Skills!M11+1)</f>
        <v/>
      </c>
      <c r="F798">
        <f>IF(Skills!N11=TRUE,(Skills!L11/10)*(E798/1000),Skills!L11/10)+Skills!O11</f>
        <v/>
      </c>
      <c r="G798" t="inlineStr"/>
      <c r="H798" t="inlineStr"/>
      <c r="I798" t="inlineStr">
        <is>
          <t>1</t>
        </is>
      </c>
      <c r="J798" t="inlineStr"/>
      <c r="K798" t="inlineStr"/>
      <c r="L798" t="inlineStr"/>
      <c r="M798" t="inlineStr"/>
      <c r="N798" t="inlineStr"/>
      <c r="O798" t="inlineStr"/>
      <c r="P798" t="inlineStr"/>
      <c r="Q798" t="inlineStr"/>
      <c r="R798" t="inlineStr"/>
      <c r="S798" t="inlineStr"/>
    </row>
    <row r="799">
      <c r="A799">
        <f>Skills!A12</f>
        <v/>
      </c>
      <c r="B799">
        <f>Skills!B12</f>
        <v/>
      </c>
      <c r="C799">
        <f>Inputs!$B$3&gt;=63</f>
        <v/>
      </c>
      <c r="D799">
        <f>IF(Skills!C12=1,60+Inputs!$B$26+Inputs!$B$30,IF(Skills!C12=2,90+Inputs!$B$27+Inputs!$B$30,IF(Skills!C12=3,120+Inputs!$B$28+Inputs!$B$30,MAX(0,(Inputs!$B$3-100)*3)+Inputs!$B$29+Inputs!$B$30)))</f>
        <v/>
      </c>
      <c r="E799">
        <f>INDEX(FactorTable!$B$2:$Y$301, MATCH(ROUND(MIN(300,MAX(1,D799)),0), FactorTable!$A$2:$A$301,0), Skills!M12+1)</f>
        <v/>
      </c>
      <c r="F799">
        <f>IF(Skills!N12=TRUE,(Skills!L12/10)*(E799/1000),Skills!L12/10)+Skills!O12</f>
        <v/>
      </c>
      <c r="G799">
        <f>Skills!G12*IF(Skills!H12&gt;0,INT(IF(Inputs!$B$39="pvp",MIN(Skills!I12,15),Skills!I12)/Skills!H12+0.000000001),1)</f>
        <v/>
      </c>
      <c r="H799">
        <f>1-(1-Skills!J12/100)^Skills!K12</f>
        <v/>
      </c>
      <c r="I799" t="inlineStr">
        <is>
          <t>1</t>
        </is>
      </c>
      <c r="J799">
        <f>((Inputs!$B$6*(1+Inputs!$B$7/100))+(((Inputs!$B$13*(1+Inputs!$B$14/100))-(Inputs!$B$13*(1+Inputs!$B$14/100)))+0.25*(Inputs!$B$15-Inputs!$B$15))*(1+Inputs!$B$7/100))*(F799/100)</f>
        <v/>
      </c>
      <c r="K799">
        <f>J799*(1+(((Inputs!$B$13+IF(Inputs!$B$3&gt;=38,(10*INDEX(FactorTable!$B$2:$Y$301, MATCH(ROUND(MIN(300,MAX(1,Inputs!$B$3)),0), FactorTable!$A$2:$A$301,0), 23)/1000)/100*(Inputs!$B$8*(1+Inputs!$B$9/100)),0))*(1+Inputs!$B$14/100))*0.01+Inputs!$B$15*0.0025)/100)*(1+Inputs!$B$16/100)*(1+Inputs!$B$17/100)*(5000/(6000+Inputs!$B$43*(1-(Inputs!$B$20+0)/100)))*(1+(Inputs!$B$25+((C812=TRUE)*(F812-Calc!F25))+((C813=TRUE)*(F813-Calc!F26))+B822)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798=TRUE,F798,0)/100)*(1+(IF(Skills!A12="DARK_IMPALE",Inputs!$B$18+0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gt;=100),MIN(100,((Inputs!$B$10+0+B816+(ArtifactsInput!$M$24-ArtifactsInput!$M$24)*CHOOSE(ArtifactsInput!$N$24+1,10,12,14,16,18,20)+IF(ArtifactsInput!$M$10,CHOOSE(ArtifactsInput!$N$10+1,15,18,21,24,27,30)*(IF(Inputs!$B$39="pvp",MIN(15,15)/15,IF(AND(Inputs!$B$39&lt;&gt;"pvp",Inputs!$B$44&gt;0),MIN(15,Inputs!$B$44)/(Inputs!$B$44),0))),0)))-100),0))*CHOOSE(ArtifactsInput!$N$42+1,0.6,0.72,0.84,0.96,1.08,1.2))),(Inputs!$B$19+1)+((C810=TRUE)*(F810-Calc!F23))+(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gt;=100),CHOOSE(ArtifactsInput!$N$42+1,40,48,56,64,72,80),0))))/100)*((1+(((C800=TRUE)*F800*IF(AND(Inputs!$B$39&lt;&gt;"pvp",Inputs!$B$44&gt;0),(((R800-1)*MIN((Skills!T13*(1+Inputs!$B$35/100)),(1/Q800))+MIN((Skills!T13*(1+Inputs!$B$35/100)),MAX(0,Inputs!$B$44-((R800-1)*(1/Q800)))))/Inputs!$B$44),IF(Inputs!$B$39="pvp",MIN((Skills!T13*(1+Inputs!$B$35/100)),15)/15,MIN(1,(Skills!T13*(1+Inputs!$B$35/100))/(1/Q800)))))+((C801=TRUE)*F801*IF(AND(Inputs!$B$39&lt;&gt;"pvp",Inputs!$B$44&gt;0),(((R801-1)*MIN((Skills!T14*(1+Inputs!$B$35/100)),(1/Q801))+MIN((Skills!T14*(1+Inputs!$B$35/100)),MAX(0,Inputs!$B$44-((R801-1)*(1/Q801)))))/Inputs!$B$44),IF(Inputs!$B$39="pvp",MIN((Skills!T14*(1+Inputs!$B$35/100)),15)/15,MIN(1,(Skills!T14*(1+Inputs!$B$35/100))/(1/Q801)))))+((C802=TRUE)*F802*IF(AND(Inputs!$B$39&lt;&gt;"pvp",Inputs!$B$44&gt;0),(((R802-1)*MIN((Skills!T15*(1+Inputs!$B$35/100)),(1/Q802))+MIN((Skills!T15*(1+Inputs!$B$35/100)),MAX(0,Inputs!$B$44-((R802-1)*(1/Q802)))))/Inputs!$B$44),IF(Inputs!$B$39="pvp",MIN((Skills!T15*(1+Inputs!$B$35/100)),15)/15,MIN(1,(Skills!T15*(1+Inputs!$B$35/100))/(1/Q802)))))+((C803=TRUE)*F803*IF(AND(Inputs!$B$39&lt;&gt;"pvp",Inputs!$B$44&gt;0),(((R803-1)*MIN((Skills!T16*(1+Inputs!$B$35/100)),(1/Q803))+MIN((Skills!T16*(1+Inputs!$B$35/100)),MAX(0,Inputs!$B$44-((R803-1)*(1/Q803)))))/Inputs!$B$44),IF(Inputs!$B$39="pvp",MIN((Skills!T16*(1+Inputs!$B$35/100)),15)/15,MIN(1,(Skills!T16*(1+Inputs!$B$35/100))/(1/Q803)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799)</f>
        <v/>
      </c>
      <c r="L799">
        <f>K799*(MIN(Inputs!$B$23+((C809=TRUE)*(F809-Calc!F22)),(Inputs!$B$24+((C811=TRUE)*(F811-Calc!F24))+(IF(ArtifactsInput!$M$15,CHOOSE(ArtifactsInput!$N$15+1,25,30,35,40,45,50)/100*(Inputs!$B$12-Inputs!$B$12),0))))/100+(Inputs!$B$24+((C811=TRUE)*(F811-Calc!F24))+(IF(ArtifactsInput!$M$15,CHOOSE(ArtifactsInput!$N$15+1,25,30,35,40,45,50)/100*(Inputs!$B$12-Inputs!$B$12),0)))/100)/2</f>
        <v/>
      </c>
      <c r="M799">
        <f>L799*(1+(Inputs!$B$11+0+B821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799">
        <f>L799*(1-MIN((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799*(MIN((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99">
        <f>(1-Summary!$B$11)*T799+Summary!$B$11*V799</f>
        <v/>
      </c>
      <c r="P799">
        <f>IF(B826=0,0,O799/B826)</f>
        <v/>
      </c>
      <c r="Q799">
        <f>IFERROR(1/IF(Inputs!$B$39="pvp",15,MAX(0.1,Skills!D12-IF(TRUE=TRUE,Inputs!$B$33,0))),0)</f>
        <v/>
      </c>
      <c r="R799">
        <f>IF(AND(Inputs!$B$39&lt;&gt;"pvp",Inputs!$B$44&gt;0),IF(MAX(0,Inputs!$B$44-B823)&lt;=0,0,(INT(MAX(0,Inputs!$B$44-B823)/IF(Inputs!$B$39="pvp",15,MAX(0.1,Skills!D12-IF(TRUE=TRUE,Inputs!$B$33,0))))+1)),0)</f>
        <v/>
      </c>
      <c r="S799">
        <f>IFERROR(O799/N799,0)</f>
        <v/>
      </c>
      <c r="T799">
        <f>IF(C799,(H799*N799*IF(AND(Inputs!$B$39&lt;&gt;"pvp",Inputs!$B$44&gt;0),((Skills!G12*((R799-1)*IF(Skills!H12&gt;0,INT(Skills!I12/Skills!H12+0.000000001),1)+IF(Skills!H12&gt;0,INT(MIN(Skills!I12,MAX(0,MAX(0,Inputs!$B$44-B823)-((R799-1)*IF(Inputs!$B$39="pvp",15,MAX(0.1,Skills!D12-IF(TRUE=TRUE,Inputs!$B$33,0))))))/Skills!H12+0.000000001),1)))/Inputs!$B$44),G799*Q799))*IF(Inputs!$B$39="pvp",1,1+(Inputs!$B$21+0+Skills!P12+((C804=TRUE)*F804*IF(AND(Inputs!$B$39&lt;&gt;"pvp",Inputs!$B$44&gt;0),(((R804-1)*MIN((Skills!T17*(1+Inputs!$B$35/100)),(1/Q804))+MIN((Skills!T17*(1+Inputs!$B$35/100)),MAX(0,Inputs!$B$44-((R804-1)*(1/Q804)))))/Inputs!$B$44),IF(Inputs!$B$39="pvp",MIN((Skills!T17*(1+Inputs!$B$35/100)),15)/15,MIN(1,(Skills!T17*(1+Inputs!$B$35/100))/(1/Q804)))))+((C792=TRUE)*IF(Inputs!$B$3&gt;=126,10*MIN(1,15*Q792),0))+((C801=TRUE)*IF(Inputs!$B$39="pvp",20,(1-Summary!$B$11)*(20)+Summary!$B$11*(0))*IF(AND(Inputs!$B$39&lt;&gt;"pvp",Inputs!$B$44&gt;0),(((R801-1)*MIN((Skills!T14*(1+Inputs!$B$35/100)),(1/Q801))+MIN((Skills!T14*(1+Inputs!$B$35/100)),MAX(0,Inputs!$B$44-((R801-1)*(1/Q801)))))/Inputs!$B$44),IF(Inputs!$B$39="pvp",MIN((Skills!T14*(1+Inputs!$B$35/100)),15)/15,MIN(1,(Skills!T14*(1+Inputs!$B$35/100))/(1/Q801)))))+((C800=TRUE)*IF(Inputs!$B$3&gt;=82,IF(Inputs!$B$39="pvp",20,(1-Summary!$B$11)*(20)+Summary!$B$11*(0)),0)*IF(AND(Inputs!$B$39&lt;&gt;"pvp",Inputs!$B$44&gt;0),(((R800-1)*MIN((Skills!T13*(1+Inputs!$B$35/100)),(1/Q800))+MIN((Skills!T13*(1+Inputs!$B$35/100)),MAX(0,Inputs!$B$44-((R800-1)*(1/Q800)))))/Inputs!$B$44),IF(Inputs!$B$39="pvp",MIN((Skills!T13*(1+Inputs!$B$35/100)),15)/15,MIN(1,(Skills!T13*(1+Inputs!$B$35/100))/(1/Q800)))))+(IF(AND(ArtifactsInput!$M$35,Inputs!$B$4&lt;&gt;"Chapter Hunt"),CHOOSE(ArtifactsInput!$N$35+1,15,18,21,24,27,30)*(1-EXP(-(0.2*B818)*5)),0)+IF(AND(ArtifactsInput!$M$22,Inputs!$B$4&lt;&gt;"Chapter Hunt"),CHOOSE(ArtifactsInput!$N$22+1,10,12,14,16,18,20)*((0*(((0.15*B818*5))^0/1)+1*(((0.15*B818*5))^1/1)+2*(((0.15*B818*5))^2/2)+3*(((0.15*B818*5))^3/6)+4*(((0.15*B818*5))^4/24)+5*(((0.15*B818*5))^5/120))/((((0.15*B818*5))^0/1)+(((0.15*B818*5))^1/1)+(((0.15*B818*5))^2/2)+(((0.15*B818*5))^3/6)+(((0.15*B818*5))^4/24)+(((0.15*B818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799*(1-MIN(100,(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799*(MIN(100,(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799*(1-MIN(100,(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799*(MIN(100,(Inputs!$B$10+0+B816+(ArtifactsInput!$M$24-ArtifactsInput!$M$24)*CHOOSE(ArtifactsInput!$N$24+1,10,12,14,16,18,20)+(IF(AND(Inputs!$B$39&lt;&gt;"pvp",Inputs!$B$44=0),1,IF(IF(Inputs!$B$39="pvp",15,Inputs!$B$44)-(B823)&lt;=0,1,MAX(0,IF(Inputs!$B$39="pvp",15,Inputs!$B$44)-MAX(5,B823))/(IF(Inputs!$B$39="pvp",15,Inputs!$B$44)-(B823))))*IF(AND(ArtifactsInput!$M$42,((Inputs!$B$10+0+B816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799">
        <f>IF(C799,(H799*N799*IF(AND(Inputs!$B$39&lt;&gt;"pvp",Inputs!$B$44&gt;0),((Skills!G12*((R799-1)*IF(Skills!H12&gt;0,INT(Skills!I12/Skills!H12+0.000000001),1)+IF(Skills!H12&gt;0,INT(MIN(Skills!I12,MAX(0,MAX(0,Inputs!$B$44-B823)-((R799-1)*IF(Inputs!$B$39="pvp",15,MAX(0.1,Skills!D12-IF(TRUE=TRUE,Inputs!$B$33,0))))))/Skills!H12+0.000000001),1)))/Inputs!$B$44),G799*Q799))*IF(Inputs!$B$39="pvp",1,(1+(Inputs!$B$22+Skills!Q12+((C804=TRUE)*F804*IF(AND(Inputs!$B$39&lt;&gt;"pvp",Inputs!$B$44&gt;0),(((R804-1)*MIN((Skills!T17*(1+Inputs!$B$35/100)),(1/Q804))+MIN((Skills!T17*(1+Inputs!$B$35/100)),MAX(0,Inputs!$B$44-((R804-1)*(1/Q804)))))/Inputs!$B$44),IF(Inputs!$B$39="pvp",MIN((Skills!T17*(1+Inputs!$B$35/100)),15)/15,MIN(1,(Skills!T17*(1+Inputs!$B$35/100))/(1/Q804)))))+((C792=TRUE)*IF(Inputs!$B$3&gt;=126,10*MIN(1,15*Q792),0))+((C801=TRUE)*IF(Inputs!$B$39="pvp",20,(1-Summary!$B$11)*(20)+Summary!$B$11*(0))*IF(AND(Inputs!$B$39&lt;&gt;"pvp",Inputs!$B$44&gt;0),(((R801-1)*MIN((Skills!T14*(1+Inputs!$B$35/100)),(1/Q801))+MIN((Skills!T14*(1+Inputs!$B$35/100)),MAX(0,Inputs!$B$44-((R801-1)*(1/Q801)))))/Inputs!$B$44),IF(Inputs!$B$39="pvp",MIN((Skills!T14*(1+Inputs!$B$35/100)),15)/15,MIN(1,(Skills!T14*(1+Inputs!$B$35/100))/(1/Q801)))))+((C800=TRUE)*IF(Inputs!$B$3&gt;=82,IF(Inputs!$B$39="pvp",20,(1-Summary!$B$11)*(20)+Summary!$B$11*(0)),0)*IF(AND(Inputs!$B$39&lt;&gt;"pvp",Inputs!$B$44&gt;0),(((R800-1)*MIN((Skills!T13*(1+Inputs!$B$35/100)),(1/Q800))+MIN((Skills!T13*(1+Inputs!$B$35/100)),MAX(0,Inputs!$B$44-((R800-1)*(1/Q800)))))/Inputs!$B$44),IF(Inputs!$B$39="pvp",MIN((Skills!T13*(1+Inputs!$B$35/100)),15)/15,MIN(1,(Skills!T13*(1+Inputs!$B$35/100))/(1/Q800)))))+(IF(AND(ArtifactsInput!$M$35,Inputs!$B$4&lt;&gt;"Chapter Hunt"),CHOOSE(ArtifactsInput!$N$35+1,15,18,21,24,27,30)*(1-EXP(-(0.2*B818)*5)),0)+IF(AND(ArtifactsInput!$M$22,Inputs!$B$4&lt;&gt;"Chapter Hunt"),CHOOSE(ArtifactsInput!$N$22+1,10,12,14,16,18,20)*((0*(((0.15*B818*5))^0/1)+1*(((0.15*B818*5))^1/1)+2*(((0.15*B818*5))^2/2)+3*(((0.15*B818*5))^3/6)+4*(((0.15*B818*5))^4/24)+5*(((0.15*B818*5))^5/120))/((((0.15*B818*5))^0/1)+(((0.15*B818*5))^1/1)+(((0.15*B818*5))^2/2)+(((0.15*B818*5))^3/6)+(((0.15*B818*5))^4/24)+(((0.15*B818*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00">
      <c r="A800">
        <f>Skills!A13</f>
        <v/>
      </c>
      <c r="B800">
        <f>Skills!B13</f>
        <v/>
      </c>
      <c r="C800">
        <f>Inputs!$B$3&gt;=69</f>
        <v/>
      </c>
      <c r="D800">
        <f>IF(Skills!C13=1,60+Inputs!$B$26+Inputs!$B$30,IF(Skills!C13=2,90+Inputs!$B$27+Inputs!$B$30,IF(Skills!C13=3,120+Inputs!$B$28+Inputs!$B$30,MAX(0,(Inputs!$B$3-100)*3)+Inputs!$B$29+Inputs!$B$30)))</f>
        <v/>
      </c>
      <c r="E800">
        <f>INDEX(FactorTable!$B$2:$Y$301, MATCH(ROUND(MIN(300,MAX(1,D800)),0), FactorTable!$A$2:$A$301,0), Skills!M13+1)</f>
        <v/>
      </c>
      <c r="F800">
        <f>IF(Skills!N13=TRUE,(Skills!L13/10)*(E800/1000),Skills!L13/10)+Skills!O13</f>
        <v/>
      </c>
      <c r="G800">
        <f>Skills!G13*IF(Skills!H13&gt;0,INT(IF(Inputs!$B$39="pvp",MIN(Skills!I13,15),Skills!I13)/Skills!H13+0.000000001),1)</f>
        <v/>
      </c>
      <c r="H800">
        <f>1-(1-Skills!J13/100)^Skills!K13</f>
        <v/>
      </c>
      <c r="I800" t="inlineStr">
        <is>
          <t>1</t>
        </is>
      </c>
      <c r="J800" t="inlineStr"/>
      <c r="K800" t="inlineStr"/>
      <c r="L800" t="inlineStr"/>
      <c r="M800" t="inlineStr"/>
      <c r="N800" t="inlineStr"/>
      <c r="O800">
        <f>(1-Summary!$B$11)*T800+Summary!$B$11*V800</f>
        <v/>
      </c>
      <c r="P800">
        <f>IF(B826=0,0,O800/B826)</f>
        <v/>
      </c>
      <c r="Q800">
        <f>IFERROR(1/IF(Inputs!$B$39="pvp",15,MAX(0.1,Skills!D13-IF(TRUE=TRUE,Inputs!$B$33,0))),0)</f>
        <v/>
      </c>
      <c r="R800">
        <f>IF(AND(Inputs!$B$39&lt;&gt;"pvp",Inputs!$B$44&gt;0),IF(Inputs!$B$44&lt;=0,0,(INT(Inputs!$B$44/IF(Inputs!$B$39="pvp",15,MAX(0.1,Skills!D13-IF(TRUE=TRUE,Inputs!$B$33,0))))+1)),0)</f>
        <v/>
      </c>
      <c r="S800">
        <f>IFERROR(O800/N800,0)</f>
        <v/>
      </c>
      <c r="T800" t="n">
        <v>0</v>
      </c>
      <c r="V800" t="n">
        <v>0</v>
      </c>
    </row>
    <row r="801">
      <c r="A801">
        <f>Skills!A14</f>
        <v/>
      </c>
      <c r="B801">
        <f>Skills!B14</f>
        <v/>
      </c>
      <c r="C801">
        <f>Inputs!$B$3&gt;=115</f>
        <v/>
      </c>
      <c r="D801">
        <f>IF(Skills!C14=1,60+Inputs!$B$26+Inputs!$B$30,IF(Skills!C14=2,90+Inputs!$B$27+Inputs!$B$30,IF(Skills!C14=3,120+Inputs!$B$28+Inputs!$B$30,MAX(0,(Inputs!$B$3-100)*3)+Inputs!$B$29+Inputs!$B$30)))</f>
        <v/>
      </c>
      <c r="E801">
        <f>INDEX(FactorTable!$B$2:$Y$301, MATCH(ROUND(MIN(300,MAX(1,D801)),0), FactorTable!$A$2:$A$301,0), Skills!M14+1)</f>
        <v/>
      </c>
      <c r="F801">
        <f>IF(Skills!N14=TRUE,(Skills!L14/10)*(E801/1000),Skills!L14/10)+Skills!O14</f>
        <v/>
      </c>
      <c r="G801">
        <f>Skills!G14*IF(Skills!H14&gt;0,INT(IF(Inputs!$B$39="pvp",MIN(Skills!I14,15),Skills!I14)/Skills!H14+0.000000001),1)</f>
        <v/>
      </c>
      <c r="H801">
        <f>1-(1-Skills!J14/100)^Skills!K14</f>
        <v/>
      </c>
      <c r="I801" t="inlineStr">
        <is>
          <t>1</t>
        </is>
      </c>
      <c r="J801" t="inlineStr"/>
      <c r="K801" t="inlineStr"/>
      <c r="L801" t="inlineStr"/>
      <c r="M801" t="inlineStr"/>
      <c r="N801" t="inlineStr"/>
      <c r="O801">
        <f>(1-Summary!$B$11)*T801+Summary!$B$11*V801</f>
        <v/>
      </c>
      <c r="P801">
        <f>IF(B826=0,0,O801/B826)</f>
        <v/>
      </c>
      <c r="Q801">
        <f>IFERROR(1/IF(Inputs!$B$39="pvp",15,MAX(0.1,Skills!D14-IF(TRUE=TRUE,Inputs!$B$33,0))),0)</f>
        <v/>
      </c>
      <c r="R801">
        <f>IF(AND(Inputs!$B$39&lt;&gt;"pvp",Inputs!$B$44&gt;0),IF(Inputs!$B$44&lt;=0,0,(INT(Inputs!$B$44/IF(Inputs!$B$39="pvp",15,MAX(0.1,Skills!D14-IF(TRUE=TRUE,Inputs!$B$33,0))))+1)),0)</f>
        <v/>
      </c>
      <c r="S801">
        <f>IFERROR(O801/N801,0)</f>
        <v/>
      </c>
      <c r="T801" t="n">
        <v>0</v>
      </c>
      <c r="V801" t="n">
        <v>0</v>
      </c>
    </row>
    <row r="802">
      <c r="A802">
        <f>Skills!A15</f>
        <v/>
      </c>
      <c r="B802">
        <f>Skills!B15</f>
        <v/>
      </c>
      <c r="C802">
        <f>Inputs!$B$3&gt;=66</f>
        <v/>
      </c>
      <c r="D802">
        <f>IF(Skills!C15=1,60+Inputs!$B$26+Inputs!$B$30,IF(Skills!C15=2,90+Inputs!$B$27+Inputs!$B$30,IF(Skills!C15=3,120+Inputs!$B$28+Inputs!$B$30,MAX(0,(Inputs!$B$3-100)*3)+Inputs!$B$29+Inputs!$B$30)))</f>
        <v/>
      </c>
      <c r="E802">
        <f>INDEX(FactorTable!$B$2:$Y$301, MATCH(ROUND(MIN(300,MAX(1,D802)),0), FactorTable!$A$2:$A$301,0), Skills!M15+1)</f>
        <v/>
      </c>
      <c r="F802">
        <f>IF(Skills!N15=TRUE,(Skills!L15/10)*(E802/1000),Skills!L15/10)+Skills!O15</f>
        <v/>
      </c>
      <c r="G802">
        <f>Skills!G15*IF(Skills!H15&gt;0,INT(IF(Inputs!$B$39="pvp",MIN(Skills!I15,15),Skills!I15)/Skills!H15+0.000000001),1)</f>
        <v/>
      </c>
      <c r="H802">
        <f>1-(1-Skills!J15/100)^Skills!K15</f>
        <v/>
      </c>
      <c r="I802" t="inlineStr">
        <is>
          <t>1</t>
        </is>
      </c>
      <c r="J802" t="inlineStr"/>
      <c r="K802" t="inlineStr"/>
      <c r="L802" t="inlineStr"/>
      <c r="M802" t="inlineStr"/>
      <c r="N802" t="inlineStr"/>
      <c r="O802">
        <f>(1-Summary!$B$11)*T802+Summary!$B$11*V802</f>
        <v/>
      </c>
      <c r="P802">
        <f>IF(B826=0,0,O802/B826)</f>
        <v/>
      </c>
      <c r="Q802">
        <f>IFERROR(1/IF(Inputs!$B$39="pvp",15,MAX(0.1,Skills!D15-IF(TRUE=TRUE,Inputs!$B$33,0))),0)</f>
        <v/>
      </c>
      <c r="R802">
        <f>IF(AND(Inputs!$B$39&lt;&gt;"pvp",Inputs!$B$44&gt;0),IF(Inputs!$B$44&lt;=0,0,(INT(Inputs!$B$44/IF(Inputs!$B$39="pvp",15,MAX(0.1,Skills!D15-IF(TRUE=TRUE,Inputs!$B$33,0))))+1)),0)</f>
        <v/>
      </c>
      <c r="S802">
        <f>IFERROR(O802/N802,0)</f>
        <v/>
      </c>
      <c r="T802" t="n">
        <v>0</v>
      </c>
      <c r="V802" t="n">
        <v>0</v>
      </c>
    </row>
    <row r="803">
      <c r="A803">
        <f>Skills!A16</f>
        <v/>
      </c>
      <c r="B803">
        <f>Skills!B16</f>
        <v/>
      </c>
      <c r="C803">
        <f>Inputs!$B$3&gt;=45</f>
        <v/>
      </c>
      <c r="D803">
        <f>IF(Skills!C16=1,60+Inputs!$B$26+Inputs!$B$30,IF(Skills!C16=2,90+Inputs!$B$27+Inputs!$B$30,IF(Skills!C16=3,120+Inputs!$B$28+Inputs!$B$30,MAX(0,(Inputs!$B$3-100)*3)+Inputs!$B$29+Inputs!$B$30)))</f>
        <v/>
      </c>
      <c r="E803">
        <f>INDEX(FactorTable!$B$2:$Y$301, MATCH(ROUND(MIN(300,MAX(1,D803)),0), FactorTable!$A$2:$A$301,0), Skills!M16+1)</f>
        <v/>
      </c>
      <c r="F803">
        <f>IF(Skills!N16=TRUE,(Skills!L16/10)*(E803/1000),Skills!L16/10)+Skills!O16</f>
        <v/>
      </c>
      <c r="G803">
        <f>Skills!G16*IF(Skills!H16&gt;0,INT(IF(Inputs!$B$39="pvp",MIN(Skills!I16,15),Skills!I16)/Skills!H16+0.000000001),1)</f>
        <v/>
      </c>
      <c r="H803">
        <f>1-(1-Skills!J16/100)^Skills!K16</f>
        <v/>
      </c>
      <c r="I803" t="inlineStr">
        <is>
          <t>1</t>
        </is>
      </c>
      <c r="J803" t="inlineStr"/>
      <c r="K803" t="inlineStr"/>
      <c r="L803" t="inlineStr"/>
      <c r="M803" t="inlineStr"/>
      <c r="N803" t="inlineStr"/>
      <c r="O803">
        <f>(1-Summary!$B$11)*T803+Summary!$B$11*V803</f>
        <v/>
      </c>
      <c r="P803">
        <f>IF(B826=0,0,O803/B826)</f>
        <v/>
      </c>
      <c r="Q803">
        <f>IFERROR(1/IF(Inputs!$B$39="pvp",15,MAX(0.1,Skills!D16-IF(TRUE=TRUE,Inputs!$B$33,0))),0)</f>
        <v/>
      </c>
      <c r="R803">
        <f>IF(AND(Inputs!$B$39&lt;&gt;"pvp",Inputs!$B$44&gt;0),IF(Inputs!$B$44&lt;=0,0,(INT(Inputs!$B$44/IF(Inputs!$B$39="pvp",15,MAX(0.1,Skills!D16-IF(TRUE=TRUE,Inputs!$B$33,0))))+1)),0)</f>
        <v/>
      </c>
      <c r="S803">
        <f>IFERROR(O803/N803,0)</f>
        <v/>
      </c>
      <c r="T803" t="n">
        <v>0</v>
      </c>
      <c r="V803" t="n">
        <v>0</v>
      </c>
    </row>
    <row r="804">
      <c r="A804">
        <f>Skills!A17</f>
        <v/>
      </c>
      <c r="B804">
        <f>Skills!B17</f>
        <v/>
      </c>
      <c r="C804">
        <f>Inputs!$B$3&gt;=35</f>
        <v/>
      </c>
      <c r="D804">
        <f>IF(Skills!C17=1,60+Inputs!$B$26+Inputs!$B$30,IF(Skills!C17=2,90+Inputs!$B$27+Inputs!$B$30,IF(Skills!C17=3,120+Inputs!$B$28+Inputs!$B$30,MAX(0,(Inputs!$B$3-100)*3)+Inputs!$B$29+Inputs!$B$30)))</f>
        <v/>
      </c>
      <c r="E804">
        <f>INDEX(FactorTable!$B$2:$Y$301, MATCH(ROUND(MIN(300,MAX(1,D804)),0), FactorTable!$A$2:$A$301,0), Skills!M17+1)</f>
        <v/>
      </c>
      <c r="F804">
        <f>IF(Skills!N17=TRUE,(Skills!L17/10)*(E804/1000),Skills!L17/10)+Skills!O17</f>
        <v/>
      </c>
      <c r="G804">
        <f>Skills!G17*IF(Skills!H17&gt;0,INT(IF(Inputs!$B$39="pvp",MIN(Skills!I17,15),Skills!I17)/Skills!H17+0.000000001),1)</f>
        <v/>
      </c>
      <c r="H804">
        <f>1-(1-Skills!J17/100)^Skills!K17</f>
        <v/>
      </c>
      <c r="I804" t="inlineStr">
        <is>
          <t>1</t>
        </is>
      </c>
      <c r="J804" t="inlineStr"/>
      <c r="K804" t="inlineStr"/>
      <c r="L804" t="inlineStr"/>
      <c r="M804" t="inlineStr"/>
      <c r="N804" t="inlineStr"/>
      <c r="O804">
        <f>(1-Summary!$B$11)*T804+Summary!$B$11*V804</f>
        <v/>
      </c>
      <c r="P804">
        <f>IF(B826=0,0,O804/B826)</f>
        <v/>
      </c>
      <c r="Q804">
        <f>IFERROR(1/IF(Inputs!$B$39="pvp",15,MAX(0.1,Skills!D17-IF(TRUE=TRUE,Inputs!$B$33,0))),0)</f>
        <v/>
      </c>
      <c r="R804">
        <f>IF(AND(Inputs!$B$39&lt;&gt;"pvp",Inputs!$B$44&gt;0),IF(Inputs!$B$44&lt;=0,0,(INT(Inputs!$B$44/IF(Inputs!$B$39="pvp",15,MAX(0.1,Skills!D17-IF(TRUE=TRUE,Inputs!$B$33,0))))+1)),0)</f>
        <v/>
      </c>
      <c r="S804">
        <f>IFERROR(O804/N804,0)</f>
        <v/>
      </c>
      <c r="T804" t="n">
        <v>0</v>
      </c>
      <c r="V804" t="n">
        <v>0</v>
      </c>
    </row>
    <row r="805">
      <c r="A805">
        <f>Skills!A18</f>
        <v/>
      </c>
      <c r="B805">
        <f>Skills!B18</f>
        <v/>
      </c>
      <c r="C805">
        <f>Inputs!$B$3&gt;=72</f>
        <v/>
      </c>
      <c r="D805">
        <f>IF(Skills!C18=1,60+Inputs!$B$26+Inputs!$B$30,IF(Skills!C18=2,90+Inputs!$B$27+Inputs!$B$30,IF(Skills!C18=3,120+Inputs!$B$28+Inputs!$B$30,MAX(0,(Inputs!$B$3-100)*3)+Inputs!$B$29+Inputs!$B$30)))</f>
        <v/>
      </c>
      <c r="E805">
        <f>INDEX(FactorTable!$B$2:$Y$301, MATCH(ROUND(MIN(300,MAX(1,D805)),0), FactorTable!$A$2:$A$301,0), Skills!M18+1)</f>
        <v/>
      </c>
      <c r="F805">
        <f>IF(Skills!N18=TRUE,(Skills!L18/10)*(E805/1000),Skills!L18/10)+Skills!O18</f>
        <v/>
      </c>
      <c r="G805">
        <f>Skills!G18*IF(Skills!H18&gt;0,INT(IF(Inputs!$B$39="pvp",MIN(Skills!I18,15),Skills!I18)/Skills!H18+0.000000001),1)</f>
        <v/>
      </c>
      <c r="H805">
        <f>1-(1-Skills!J18/100)^Skills!K18</f>
        <v/>
      </c>
      <c r="I805" t="inlineStr">
        <is>
          <t>1</t>
        </is>
      </c>
      <c r="J805" t="inlineStr"/>
      <c r="K805" t="inlineStr"/>
      <c r="L805" t="inlineStr"/>
      <c r="M805" t="inlineStr"/>
      <c r="N805" t="inlineStr"/>
      <c r="O805">
        <f>(1-Summary!$B$11)*T805+Summary!$B$11*V805</f>
        <v/>
      </c>
      <c r="P805">
        <f>IF(B826=0,0,O805/B826)</f>
        <v/>
      </c>
      <c r="Q805">
        <f>IFERROR(1/IF(Inputs!$B$39="pvp",15,MAX(0.1,Skills!D18-IF(TRUE=TRUE,Inputs!$B$33,0))),0)</f>
        <v/>
      </c>
      <c r="R805">
        <f>IF(AND(Inputs!$B$39&lt;&gt;"pvp",Inputs!$B$44&gt;0),IF(Inputs!$B$44&lt;=0,0,(INT(Inputs!$B$44/IF(Inputs!$B$39="pvp",15,MAX(0.1,Skills!D18-IF(TRUE=TRUE,Inputs!$B$33,0))))+1)),0)</f>
        <v/>
      </c>
      <c r="S805">
        <f>IFERROR(O805/N805,0)</f>
        <v/>
      </c>
      <c r="T805" t="n">
        <v>0</v>
      </c>
      <c r="V805" t="n">
        <v>0</v>
      </c>
    </row>
    <row r="806">
      <c r="A806">
        <f>Skills!A19</f>
        <v/>
      </c>
      <c r="B806">
        <f>Skills!B19</f>
        <v/>
      </c>
      <c r="C806">
        <f>Inputs!$B$3&gt;=72</f>
        <v/>
      </c>
      <c r="D806">
        <f>IF(Skills!C19=1,60+Inputs!$B$26+Inputs!$B$30,IF(Skills!C19=2,90+Inputs!$B$27+Inputs!$B$30,IF(Skills!C19=3,120+Inputs!$B$28+Inputs!$B$30,MAX(0,(Inputs!$B$3-100)*3)+Inputs!$B$29+Inputs!$B$30)))</f>
        <v/>
      </c>
      <c r="E806">
        <f>INDEX(FactorTable!$B$2:$Y$301, MATCH(ROUND(MIN(300,MAX(1,D806)),0), FactorTable!$A$2:$A$301,0), Skills!M19+1)</f>
        <v/>
      </c>
      <c r="F806">
        <f>IF(Skills!N19=TRUE,(Skills!L19/10)*(E806/1000),Skills!L19/10)+Skills!O19</f>
        <v/>
      </c>
      <c r="G806">
        <f>Skills!G19*IF(Skills!H19&gt;0,INT(IF(Inputs!$B$39="pvp",MIN(Skills!I19,15),Skills!I19)/Skills!H19+0.000000001),1)</f>
        <v/>
      </c>
      <c r="H806">
        <f>1-(1-Skills!J19/100)^Skills!K19</f>
        <v/>
      </c>
      <c r="I806" t="inlineStr">
        <is>
          <t>1</t>
        </is>
      </c>
      <c r="J806" t="inlineStr"/>
      <c r="K806" t="inlineStr"/>
      <c r="L806" t="inlineStr"/>
      <c r="M806" t="inlineStr"/>
      <c r="N806" t="inlineStr"/>
      <c r="O806">
        <f>(1-Summary!$B$11)*T806+Summary!$B$11*V806</f>
        <v/>
      </c>
      <c r="P806">
        <f>IF(B826=0,0,O806/B826)</f>
        <v/>
      </c>
      <c r="Q806">
        <f>IFERROR(1/IF(Inputs!$B$39="pvp",15,MAX(0.1,Skills!D19-IF(TRUE=TRUE,Inputs!$B$33,0))),0)</f>
        <v/>
      </c>
      <c r="R806">
        <f>IF(AND(Inputs!$B$39&lt;&gt;"pvp",Inputs!$B$44&gt;0),IF(Inputs!$B$44&lt;=0,0,(INT(Inputs!$B$44/IF(Inputs!$B$39="pvp",15,MAX(0.1,Skills!D19-IF(TRUE=TRUE,Inputs!$B$33,0))))+1)),0)</f>
        <v/>
      </c>
      <c r="S806">
        <f>IFERROR(O806/N806,0)</f>
        <v/>
      </c>
      <c r="T806" t="n">
        <v>0</v>
      </c>
      <c r="V806" t="n">
        <v>0</v>
      </c>
    </row>
    <row r="807">
      <c r="A807">
        <f>Skills!A20</f>
        <v/>
      </c>
      <c r="B807">
        <f>Skills!B20</f>
        <v/>
      </c>
      <c r="C807">
        <f>TRUE</f>
        <v/>
      </c>
      <c r="D807">
        <f>IF(Skills!C20=1,60+Inputs!$B$26+Inputs!$B$30,IF(Skills!C20=2,90+Inputs!$B$27+Inputs!$B$30,IF(Skills!C20=3,120+Inputs!$B$28+Inputs!$B$30,MAX(0,(Inputs!$B$3-100)*3)+Inputs!$B$29+Inputs!$B$30)))</f>
        <v/>
      </c>
      <c r="E807">
        <f>INDEX(FactorTable!$B$2:$Y$301, MATCH(ROUND(MIN(300,MAX(1,D807)),0), FactorTable!$A$2:$A$301,0), Skills!M20+1)</f>
        <v/>
      </c>
      <c r="F807">
        <f>IF(Skills!N20=TRUE,(Skills!L20/10)*(E807/1000),Skills!L20/10)+Skills!O20</f>
        <v/>
      </c>
      <c r="G807">
        <f>Skills!G20*IF(Skills!H20&gt;0,INT(IF(Inputs!$B$39="pvp",MIN(Skills!I20,15),Skills!I20)/Skills!H20+0.000000001),1)</f>
        <v/>
      </c>
      <c r="H807">
        <f>1-(1-Skills!J20/100)^Skills!K20</f>
        <v/>
      </c>
      <c r="I807" t="inlineStr">
        <is>
          <t>1</t>
        </is>
      </c>
      <c r="J807" t="inlineStr"/>
      <c r="K807" t="inlineStr"/>
      <c r="L807" t="inlineStr"/>
      <c r="M807" t="inlineStr"/>
      <c r="N807" t="inlineStr"/>
      <c r="O807">
        <f>(1-Summary!$B$11)*T807+Summary!$B$11*V807</f>
        <v/>
      </c>
      <c r="P807">
        <f>IF(B826=0,0,O807/B826)</f>
        <v/>
      </c>
      <c r="Q807">
        <f>IFERROR(1/IF(Inputs!$B$39="pvp",15,MAX(0.1,Skills!D20-IF(TRUE=TRUE,Inputs!$B$33,0))),0)</f>
        <v/>
      </c>
      <c r="R807">
        <f>IF(AND(Inputs!$B$39&lt;&gt;"pvp",Inputs!$B$44&gt;0),IF(Inputs!$B$44&lt;=0,0,(INT(Inputs!$B$44/IF(Inputs!$B$39="pvp",15,MAX(0.1,Skills!D20-IF(TRUE=TRUE,Inputs!$B$33,0))))+1)),0)</f>
        <v/>
      </c>
      <c r="S807">
        <f>IFERROR(O807/N807,0)</f>
        <v/>
      </c>
      <c r="T807" t="n">
        <v>0</v>
      </c>
      <c r="V807" t="n">
        <v>0</v>
      </c>
    </row>
    <row r="808">
      <c r="A808">
        <f>Skills!A21</f>
        <v/>
      </c>
      <c r="B808">
        <f>Skills!B21</f>
        <v/>
      </c>
      <c r="C808">
        <f>Inputs!$B$3&gt;=33</f>
        <v/>
      </c>
      <c r="D808">
        <f>IF(Skills!C21=1,60+Inputs!$B$26+Inputs!$B$30,IF(Skills!C21=2,90+Inputs!$B$27+Inputs!$B$30,IF(Skills!C21=3,120+Inputs!$B$28+Inputs!$B$30,MAX(0,(Inputs!$B$3-100)*3)+Inputs!$B$29+Inputs!$B$30)))</f>
        <v/>
      </c>
      <c r="E808">
        <f>INDEX(FactorTable!$B$2:$Y$301, MATCH(ROUND(MIN(300,MAX(1,D808)),0), FactorTable!$A$2:$A$301,0), Skills!M21+1)</f>
        <v/>
      </c>
      <c r="F808">
        <f>IF(Skills!N21=TRUE,(Skills!L21/10)*(E808/1000),Skills!L21/10)+Skills!O21</f>
        <v/>
      </c>
      <c r="G808">
        <f>Skills!G21*IF(Skills!H21&gt;0,INT(IF(Inputs!$B$39="pvp",MIN(Skills!I21,15),Skills!I21)/Skills!H21+0.000000001),1)</f>
        <v/>
      </c>
      <c r="H808">
        <f>1-(1-Skills!J21/100)^Skills!K21</f>
        <v/>
      </c>
      <c r="I808" t="inlineStr">
        <is>
          <t>1</t>
        </is>
      </c>
      <c r="J808" t="inlineStr"/>
      <c r="K808" t="inlineStr"/>
      <c r="L808" t="inlineStr"/>
      <c r="M808" t="inlineStr"/>
      <c r="N808" t="inlineStr"/>
      <c r="O808">
        <f>(1-Summary!$B$11)*T808+Summary!$B$11*V808</f>
        <v/>
      </c>
      <c r="P808">
        <f>IF(B826=0,0,O808/B826)</f>
        <v/>
      </c>
      <c r="Q808" t="n">
        <v>0</v>
      </c>
      <c r="R808" t="n">
        <v>0</v>
      </c>
      <c r="S808">
        <f>IFERROR(O808/N808,0)</f>
        <v/>
      </c>
      <c r="T808" t="n">
        <v>0</v>
      </c>
      <c r="V808" t="n">
        <v>0</v>
      </c>
    </row>
    <row r="809">
      <c r="A809">
        <f>Skills!A22</f>
        <v/>
      </c>
      <c r="B809">
        <f>Skills!B22</f>
        <v/>
      </c>
      <c r="C809">
        <f>Inputs!$B$3&gt;=43</f>
        <v/>
      </c>
      <c r="D809">
        <f>IF(Skills!C22=1,60+Inputs!$B$26+Inputs!$B$30,IF(Skills!C22=2,90+Inputs!$B$27+Inputs!$B$30,IF(Skills!C22=3,120+Inputs!$B$28+Inputs!$B$30,MAX(0,(Inputs!$B$3-100)*3)+Inputs!$B$29+Inputs!$B$30)))</f>
        <v/>
      </c>
      <c r="E809">
        <f>INDEX(FactorTable!$B$2:$Y$301, MATCH(ROUND(MIN(300,MAX(1,D809)),0), FactorTable!$A$2:$A$301,0), Skills!M22+1)</f>
        <v/>
      </c>
      <c r="F809">
        <f>IF(Skills!N22=TRUE,(Skills!L22/10)*(E809/1000),Skills!L22/10)+Skills!O22</f>
        <v/>
      </c>
      <c r="G809">
        <f>Skills!G22*IF(Skills!H22&gt;0,INT(IF(Inputs!$B$39="pvp",MIN(Skills!I22,15),Skills!I22)/Skills!H22+0.000000001),1)</f>
        <v/>
      </c>
      <c r="H809">
        <f>1-(1-Skills!J22/100)^Skills!K22</f>
        <v/>
      </c>
      <c r="I809" t="inlineStr">
        <is>
          <t>1</t>
        </is>
      </c>
      <c r="J809" t="inlineStr"/>
      <c r="K809" t="inlineStr"/>
      <c r="L809" t="inlineStr"/>
      <c r="M809" t="inlineStr"/>
      <c r="N809" t="inlineStr"/>
      <c r="O809">
        <f>(1-Summary!$B$11)*T809+Summary!$B$11*V809</f>
        <v/>
      </c>
      <c r="P809">
        <f>IF(B826=0,0,O809/B826)</f>
        <v/>
      </c>
      <c r="Q809" t="n">
        <v>0</v>
      </c>
      <c r="R809" t="n">
        <v>0</v>
      </c>
      <c r="S809">
        <f>IFERROR(O809/N809,0)</f>
        <v/>
      </c>
      <c r="T809" t="n">
        <v>0</v>
      </c>
      <c r="V809" t="n">
        <v>0</v>
      </c>
    </row>
    <row r="810">
      <c r="A810">
        <f>Skills!A23</f>
        <v/>
      </c>
      <c r="B810">
        <f>Skills!B23</f>
        <v/>
      </c>
      <c r="C810">
        <f>Inputs!$B$3&gt;=120</f>
        <v/>
      </c>
      <c r="D810">
        <f>IF(Skills!C23=1,60+Inputs!$B$26+Inputs!$B$30,IF(Skills!C23=2,90+Inputs!$B$27+Inputs!$B$30,IF(Skills!C23=3,120+Inputs!$B$28+Inputs!$B$30,MAX(0,(Inputs!$B$3-100)*3)+Inputs!$B$29+Inputs!$B$30)))</f>
        <v/>
      </c>
      <c r="E810">
        <f>INDEX(FactorTable!$B$2:$Y$301, MATCH(ROUND(MIN(300,MAX(1,D810)),0), FactorTable!$A$2:$A$301,0), Skills!M23+1)</f>
        <v/>
      </c>
      <c r="F810">
        <f>IF(Skills!N23=TRUE,(Skills!L23/10)*(E810/1000),Skills!L23/10)+Skills!O23</f>
        <v/>
      </c>
      <c r="G810">
        <f>Skills!G23*IF(Skills!H23&gt;0,INT(IF(Inputs!$B$39="pvp",MIN(Skills!I23,15),Skills!I23)/Skills!H23+0.000000001),1)</f>
        <v/>
      </c>
      <c r="H810">
        <f>1-(1-Skills!J23/100)^Skills!K23</f>
        <v/>
      </c>
      <c r="I810" t="inlineStr">
        <is>
          <t>1</t>
        </is>
      </c>
      <c r="J810" t="inlineStr"/>
      <c r="K810" t="inlineStr"/>
      <c r="L810" t="inlineStr"/>
      <c r="M810" t="inlineStr"/>
      <c r="N810" t="inlineStr"/>
      <c r="O810">
        <f>(1-Summary!$B$11)*T810+Summary!$B$11*V810</f>
        <v/>
      </c>
      <c r="P810">
        <f>IF(B826=0,0,O810/B826)</f>
        <v/>
      </c>
      <c r="Q810" t="n">
        <v>0</v>
      </c>
      <c r="R810" t="n">
        <v>0</v>
      </c>
      <c r="S810">
        <f>IFERROR(O810/N810,0)</f>
        <v/>
      </c>
      <c r="T810" t="n">
        <v>0</v>
      </c>
      <c r="V810" t="n">
        <v>0</v>
      </c>
    </row>
    <row r="811">
      <c r="A811">
        <f>Skills!A24</f>
        <v/>
      </c>
      <c r="B811">
        <f>Skills!B24</f>
        <v/>
      </c>
      <c r="C811">
        <f>Inputs!$B$3&gt;=120</f>
        <v/>
      </c>
      <c r="D811">
        <f>IF(Skills!C24=1,60+Inputs!$B$26+Inputs!$B$30,IF(Skills!C24=2,90+Inputs!$B$27+Inputs!$B$30,IF(Skills!C24=3,120+Inputs!$B$28+Inputs!$B$30,MAX(0,(Inputs!$B$3-100)*3)+Inputs!$B$29+Inputs!$B$30)))</f>
        <v/>
      </c>
      <c r="E811">
        <f>INDEX(FactorTable!$B$2:$Y$301, MATCH(ROUND(MIN(300,MAX(1,D811)),0), FactorTable!$A$2:$A$301,0), Skills!M24+1)</f>
        <v/>
      </c>
      <c r="F811">
        <f>IF(Skills!N24=TRUE,(Skills!L24/10)*(E811/1000),Skills!L24/10)+Skills!O24</f>
        <v/>
      </c>
      <c r="G811">
        <f>Skills!G24*IF(Skills!H24&gt;0,INT(IF(Inputs!$B$39="pvp",MIN(Skills!I24,15),Skills!I24)/Skills!H24+0.000000001),1)</f>
        <v/>
      </c>
      <c r="H811">
        <f>1-(1-Skills!J24/100)^Skills!K24</f>
        <v/>
      </c>
      <c r="I811" t="inlineStr">
        <is>
          <t>1</t>
        </is>
      </c>
      <c r="J811" t="inlineStr"/>
      <c r="K811" t="inlineStr"/>
      <c r="L811" t="inlineStr"/>
      <c r="M811" t="inlineStr"/>
      <c r="N811" t="inlineStr"/>
      <c r="O811">
        <f>(1-Summary!$B$11)*T811+Summary!$B$11*V811</f>
        <v/>
      </c>
      <c r="P811">
        <f>IF(B826=0,0,O811/B826)</f>
        <v/>
      </c>
      <c r="Q811" t="n">
        <v>0</v>
      </c>
      <c r="R811" t="n">
        <v>0</v>
      </c>
      <c r="S811">
        <f>IFERROR(O811/N811,0)</f>
        <v/>
      </c>
      <c r="T811" t="n">
        <v>0</v>
      </c>
      <c r="V811" t="n">
        <v>0</v>
      </c>
    </row>
    <row r="812">
      <c r="A812">
        <f>Skills!A25</f>
        <v/>
      </c>
      <c r="B812">
        <f>Skills!B25</f>
        <v/>
      </c>
      <c r="C812">
        <f>Inputs!$B$3&gt;=125</f>
        <v/>
      </c>
      <c r="D812">
        <f>IF(Skills!C25=1,60+Inputs!$B$26+Inputs!$B$30,IF(Skills!C25=2,90+Inputs!$B$27+Inputs!$B$30,IF(Skills!C25=3,120+Inputs!$B$28+Inputs!$B$30,MAX(0,(Inputs!$B$3-100)*3)+Inputs!$B$29+Inputs!$B$30)))</f>
        <v/>
      </c>
      <c r="E812">
        <f>INDEX(FactorTable!$B$2:$Y$301, MATCH(ROUND(MIN(300,MAX(1,D812)),0), FactorTable!$A$2:$A$301,0), Skills!M25+1)</f>
        <v/>
      </c>
      <c r="F812">
        <f>IF(Skills!N25=TRUE,(Skills!L25/10)*(E812/1000),Skills!L25/10)+Skills!O25</f>
        <v/>
      </c>
      <c r="G812">
        <f>Skills!G25*IF(Skills!H25&gt;0,INT(IF(Inputs!$B$39="pvp",MIN(Skills!I25,15),Skills!I25)/Skills!H25+0.000000001),1)</f>
        <v/>
      </c>
      <c r="H812">
        <f>1-(1-Skills!J25/100)^Skills!K25</f>
        <v/>
      </c>
      <c r="I812" t="inlineStr">
        <is>
          <t>1</t>
        </is>
      </c>
      <c r="J812" t="inlineStr"/>
      <c r="K812" t="inlineStr"/>
      <c r="L812" t="inlineStr"/>
      <c r="M812" t="inlineStr"/>
      <c r="N812" t="inlineStr"/>
      <c r="O812">
        <f>(1-Summary!$B$11)*T812+Summary!$B$11*V812</f>
        <v/>
      </c>
      <c r="P812">
        <f>IF(B826=0,0,O812/B826)</f>
        <v/>
      </c>
      <c r="Q812" t="n">
        <v>0</v>
      </c>
      <c r="R812" t="n">
        <v>0</v>
      </c>
      <c r="S812">
        <f>IFERROR(O812/N812,0)</f>
        <v/>
      </c>
      <c r="T812" t="n">
        <v>0</v>
      </c>
      <c r="V812" t="n">
        <v>0</v>
      </c>
    </row>
    <row r="813">
      <c r="A813">
        <f>Skills!A26</f>
        <v/>
      </c>
      <c r="B813">
        <f>Skills!B26</f>
        <v/>
      </c>
      <c r="C813">
        <f>Inputs!$B$3&gt;=107</f>
        <v/>
      </c>
      <c r="D813">
        <f>IF(Skills!C26=1,60+Inputs!$B$26+Inputs!$B$30,IF(Skills!C26=2,90+Inputs!$B$27+Inputs!$B$30,IF(Skills!C26=3,120+Inputs!$B$28+Inputs!$B$30,MAX(0,(Inputs!$B$3-100)*3)+Inputs!$B$29+Inputs!$B$30)))</f>
        <v/>
      </c>
      <c r="E813">
        <f>INDEX(FactorTable!$B$2:$Y$301, MATCH(ROUND(MIN(300,MAX(1,D813)),0), FactorTable!$A$2:$A$301,0), Skills!M26+1)</f>
        <v/>
      </c>
      <c r="F813">
        <f>IF(Skills!N26=TRUE,(Skills!L26/10)*(E813/1000),Skills!L26/10)+Skills!O26</f>
        <v/>
      </c>
      <c r="G813">
        <f>Skills!G26*IF(Skills!H26&gt;0,INT(IF(Inputs!$B$39="pvp",MIN(Skills!I26,15),Skills!I26)/Skills!H26+0.000000001),1)</f>
        <v/>
      </c>
      <c r="H813">
        <f>1-(1-Skills!J26/100)^Skills!K26</f>
        <v/>
      </c>
      <c r="I813" t="inlineStr">
        <is>
          <t>1</t>
        </is>
      </c>
      <c r="J813" t="inlineStr"/>
      <c r="K813" t="inlineStr"/>
      <c r="L813" t="inlineStr"/>
      <c r="M813" t="inlineStr"/>
      <c r="N813" t="inlineStr"/>
      <c r="O813">
        <f>(1-Summary!$B$11)*T813+Summary!$B$11*V813</f>
        <v/>
      </c>
      <c r="P813">
        <f>IF(B826=0,0,O813/B826)</f>
        <v/>
      </c>
      <c r="Q813" t="n">
        <v>0</v>
      </c>
      <c r="R813" t="n">
        <v>0</v>
      </c>
      <c r="S813">
        <f>IFERROR(O813/N813,0)</f>
        <v/>
      </c>
      <c r="T813" t="n">
        <v>0</v>
      </c>
      <c r="V813" t="n">
        <v>0</v>
      </c>
    </row>
    <row r="815">
      <c r="A815" t="inlineStr">
        <is>
          <t>Attack% Bucket Multiplier</t>
        </is>
      </c>
      <c r="B815">
        <f>(1+(((C800=TRUE)*F800*IF(AND(Inputs!$B$39&lt;&gt;"pvp",Inputs!$B$44&gt;0),(((R800-1)*MIN((Skills!T13*(1+Inputs!$B$35/100)),(1/Q800))+MIN((Skills!T13*(1+Inputs!$B$35/100)),MAX(0,Inputs!$B$44-((R800-1)*(1/Q800)))))/Inputs!$B$44),IF(Inputs!$B$39="pvp",MIN((Skills!T13*(1+Inputs!$B$35/100)),15)/15,MIN(1,(Skills!T13*(1+Inputs!$B$35/100))/(1/Q800)))))+((C801=TRUE)*F801*IF(AND(Inputs!$B$39&lt;&gt;"pvp",Inputs!$B$44&gt;0),(((R801-1)*MIN((Skills!T14*(1+Inputs!$B$35/100)),(1/Q801))+MIN((Skills!T14*(1+Inputs!$B$35/100)),MAX(0,Inputs!$B$44-((R801-1)*(1/Q801)))))/Inputs!$B$44),IF(Inputs!$B$39="pvp",MIN((Skills!T14*(1+Inputs!$B$35/100)),15)/15,MIN(1,(Skills!T14*(1+Inputs!$B$35/100))/(1/Q801)))))+((C802=TRUE)*F802*IF(AND(Inputs!$B$39&lt;&gt;"pvp",Inputs!$B$44&gt;0),(((R802-1)*MIN((Skills!T15*(1+Inputs!$B$35/100)),(1/Q802))+MIN((Skills!T15*(1+Inputs!$B$35/100)),MAX(0,Inputs!$B$44-((R802-1)*(1/Q802)))))/Inputs!$B$44),IF(Inputs!$B$39="pvp",MIN((Skills!T15*(1+Inputs!$B$35/100)),15)/15,MIN(1,(Skills!T15*(1+Inputs!$B$35/100))/(1/Q802)))))+((C803=TRUE)*F803*IF(AND(Inputs!$B$39&lt;&gt;"pvp",Inputs!$B$44&gt;0),(((R803-1)*MIN((Skills!T16*(1+Inputs!$B$35/100)),(1/Q803))+MIN((Skills!T16*(1+Inputs!$B$35/100)),MAX(0,Inputs!$B$44-((R803-1)*(1/Q803)))))/Inputs!$B$44),IF(Inputs!$B$39="pvp",MIN((Skills!T16*(1+Inputs!$B$35/100)),15)/15,MIN(1,(Skills!T16*(1+Inputs!$B$35/100))/(1/Q803)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816">
      <c r="A816" t="inlineStr">
        <is>
          <t>Global Crit Rate Bonus % (Lord of Darkness)</t>
        </is>
      </c>
      <c r="B816">
        <f>((C805=TRUE)*F805*(Skills!J18/100)*IF(AND(Inputs!$B$39&lt;&gt;"pvp",Inputs!$B$44&gt;0),(((R805-1)*MIN((Skills!T18*(1+Inputs!$B$35/100)),(1/Q805))+MIN((Skills!T18*(1+Inputs!$B$35/100)),MAX(0,Inputs!$B$44-((R805-1)*(1/Q805)))))/Inputs!$B$44),IF(Inputs!$B$39="pvp",MIN((Skills!T18*(1+Inputs!$B$35/100)),15)/15,MIN(1,(Skills!T18*(1+Inputs!$B$35/100))/(1/Q805)))))</f>
        <v/>
      </c>
    </row>
    <row r="817">
      <c r="A817" t="inlineStr">
        <is>
          <t>Attack Speed Buff Bonus %</t>
        </is>
      </c>
      <c r="B817">
        <f>((C807=TRUE)*F807*IF(AND(Inputs!$B$39&lt;&gt;"pvp",Inputs!$B$44&gt;0),(((R807-1)*MIN((Skills!T20*(1+Inputs!$B$35/100)),(1/Q807))+MIN((Skills!T20*(1+Inputs!$B$35/100)),MAX(0,Inputs!$B$44-((R807-1)*(1/Q807)))))/Inputs!$B$44),IF(Inputs!$B$39="pvp",MIN((Skills!T20*(1+Inputs!$B$35/100)),15)/15,MIN(1,(Skills!T20*(1+Inputs!$B$35/100))/(1/Q807)))))</f>
        <v/>
      </c>
    </row>
    <row r="818">
      <c r="A818" t="inlineStr">
        <is>
          <t>Actions Per Second</t>
        </is>
      </c>
      <c r="B818">
        <f>1+MIN(150,150*(1-(1-(Inputs!$B$12+((C808=TRUE)*(F808-Calc!F21)))/150)*(1-B817/150)))/100</f>
        <v/>
      </c>
    </row>
    <row r="819">
      <c r="A819" t="inlineStr">
        <is>
          <t>Skill + Buff Cast Rate</t>
        </is>
      </c>
      <c r="B819">
        <f>IF(AND(Inputs!$B$39&lt;&gt;"pvp",Inputs!$B$44&gt;0),SUMPRODUCT((Skills!E2:E26=TRUE)*(C789:C813=TRUE)*R789:R813*Skills!F2:F26)/Inputs!$B$44,SUMPRODUCT((Skills!E2:E26=TRUE)*(C789:C813=TRUE)*Q789:Q813*Skills!F2:F26))</f>
        <v/>
      </c>
    </row>
    <row r="820">
      <c r="A820" t="inlineStr">
        <is>
          <t>Dark Impale Casts Per Second</t>
        </is>
      </c>
      <c r="B820">
        <f>MAX(0,B818-B819)</f>
        <v/>
      </c>
    </row>
    <row r="821">
      <c r="A821" t="inlineStr">
        <is>
          <t>Global Critical Damage Bonus % (Lord of Darkness)</t>
        </is>
      </c>
      <c r="B821">
        <f>((C806=TRUE)*F806*(Skills!J19/100)*IF(AND(Inputs!$B$39&lt;&gt;"pvp",Inputs!$B$44&gt;0),(((R806-1)*MIN((Skills!T19*(1+Inputs!$B$35/100)),(1/Q806))+MIN((Skills!T19*(1+Inputs!$B$35/100)),MAX(0,Inputs!$B$44-((R806-1)*(1/Q806)))))/Inputs!$B$44),IF(Inputs!$B$39="pvp",MIN((Skills!T19*(1+Inputs!$B$35/100)),15)/15,MIN(1,(Skills!T19*(1+Inputs!$B$35/100))/(1/Q806)))))</f>
        <v/>
      </c>
    </row>
    <row r="822">
      <c r="A822" t="inlineStr">
        <is>
          <t>Global Final Damage Bonus % (unused)</t>
        </is>
      </c>
      <c r="B822" t="n">
        <v>0</v>
      </c>
    </row>
    <row r="823">
      <c r="A823" t="inlineStr">
        <is>
          <t>Buff-Casting Startup Delay (s, fixed-duration only)</t>
        </is>
      </c>
      <c r="B823">
        <f>IF(AND(Inputs!$B$39&lt;&gt;"pvp",Inputs!$B$44&gt;0),SUMPRODUCT((Skills!T2:T26&gt;0)*(Skills!E2:E26=TRUE)*(C789:C813=TRUE))/B818,0)</f>
        <v/>
      </c>
    </row>
    <row r="824">
      <c r="A824" t="inlineStr">
        <is>
          <t>Boss-Only Total DPS (this block's swept value)</t>
        </is>
      </c>
      <c r="B824">
        <f>SUM(T789:T813)</f>
        <v/>
      </c>
    </row>
    <row r="825">
      <c r="A825" t="inlineStr">
        <is>
          <t>Normal-Only Total DPS (this block's swept value)</t>
        </is>
      </c>
      <c r="B825">
        <f>SUM(V789:V813)</f>
        <v/>
      </c>
    </row>
    <row r="826">
      <c r="A826" s="6" t="inlineStr">
        <is>
          <t>TOTAL DPS</t>
        </is>
      </c>
      <c r="B826" s="6">
        <f>SUM(O789:O813)</f>
        <v/>
      </c>
    </row>
    <row r="829">
      <c r="A829" s="6" t="inlineStr">
        <is>
          <t>Stat: Skill Level Bonus — 1st Job</t>
        </is>
      </c>
    </row>
    <row r="830">
      <c r="A830" s="5" t="inlineStr">
        <is>
          <t>Key</t>
        </is>
      </c>
      <c r="B830" s="5" t="inlineStr">
        <is>
          <t>Name</t>
        </is>
      </c>
      <c r="C830" s="5" t="inlineStr">
        <is>
          <t>Unlocked</t>
        </is>
      </c>
      <c r="D830" s="5" t="inlineStr">
        <is>
          <t>InputLevel</t>
        </is>
      </c>
      <c r="E830" s="5" t="inlineStr">
        <is>
          <t>Factor</t>
        </is>
      </c>
      <c r="F830" s="5" t="inlineStr">
        <is>
          <t>CoefficientPercent</t>
        </is>
      </c>
      <c r="G830" s="5" t="inlineStr">
        <is>
          <t>EffectiveHits</t>
        </is>
      </c>
      <c r="H830" s="5" t="inlineStr">
        <is>
          <t>ProcProbability</t>
        </is>
      </c>
      <c r="I830" s="5" t="inlineStr">
        <is>
          <t>MapleHeroMultiplier</t>
        </is>
      </c>
      <c r="J830" s="5" t="inlineStr">
        <is>
          <t>BaseDamage</t>
        </is>
      </c>
      <c r="K830" s="5" t="inlineStr">
        <is>
          <t>BaseHitDamage</t>
        </is>
      </c>
      <c r="L830" s="5" t="inlineStr">
        <is>
          <t>NonCritAvg</t>
        </is>
      </c>
      <c r="M830" s="5" t="inlineStr">
        <is>
          <t>CritAvg</t>
        </is>
      </c>
      <c r="N830" s="5" t="inlineStr">
        <is>
          <t>ExpectedDamage(perHit)</t>
        </is>
      </c>
      <c r="O830" s="5" t="inlineStr">
        <is>
          <t>DPS</t>
        </is>
      </c>
      <c r="P830" s="5" t="inlineStr">
        <is>
          <t>% of Total</t>
        </is>
      </c>
      <c r="Q830" s="5" t="inlineStr">
        <is>
          <t>InvCooldown</t>
        </is>
      </c>
      <c r="R830" s="5" t="inlineStr">
        <is>
          <t>CastsInFight</t>
        </is>
      </c>
      <c r="S830" s="5" t="inlineStr">
        <is>
          <t>HitRate(perSec)</t>
        </is>
      </c>
      <c r="U830" t="inlineStr">
        <is>
          <t>helpers</t>
        </is>
      </c>
    </row>
    <row r="831">
      <c r="A831">
        <f>Skills!A2</f>
        <v/>
      </c>
      <c r="B831">
        <f>Skills!B2</f>
        <v/>
      </c>
      <c r="C831">
        <f>Inputs!$B$3&gt;=100</f>
        <v/>
      </c>
      <c r="D831" t="inlineStr"/>
      <c r="E831" t="inlineStr"/>
      <c r="F831">
        <f>U833+Skills!O2</f>
        <v/>
      </c>
      <c r="G831">
        <f>Skills!G2*IF(Skills!H2&gt;0,INT(IF(Inputs!$B$39="pvp",MIN(Skills!I2,15),Skills!I2)/Skills!H2+0.000000001),1)</f>
        <v/>
      </c>
      <c r="H831">
        <f>1-(1-Skills!J2/100)^Skills!K2</f>
        <v/>
      </c>
      <c r="I831" t="inlineStr">
        <is>
          <t>1</t>
        </is>
      </c>
      <c r="J831">
        <f>((Inputs!$B$6*(1+Inputs!$B$7/100))+(((Inputs!$B$13*(1+Inputs!$B$14/100))-(Inputs!$B$13*(1+Inputs!$B$14/100)))+0.25*(Inputs!$B$15-Inputs!$B$15))*(1+Inputs!$B$7/100))*(F831/100)</f>
        <v/>
      </c>
      <c r="K831">
        <f>J831*(1+(((Inputs!$B$13+IF(Inputs!$B$3&gt;=38,(10*INDEX(FactorTable!$B$2:$Y$301, MATCH(ROUND(MIN(300,MAX(1,Inputs!$B$3)),0), FactorTable!$A$2:$A$301,0), 23)/1000)/100*(Inputs!$B$8*(1+Inputs!$B$9/100)),0))*(1+Inputs!$B$14/100))*0.01+Inputs!$B$15*0.0025)/100)*(1+Inputs!$B$16/100)*(1+Inputs!$B$17/100)*(5000/(6000+Inputs!$B$43*(1-(Inputs!$B$20+0)/100)))*(1+(Inputs!$B$25+((C854=TRUE)*(F854-Calc!F25))+((C855=TRUE)*(F855-Calc!F26))+B864)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gt;=100),MIN(100,((Inputs!$B$10+0+B858+(ArtifactsInput!$M$24-ArtifactsInput!$M$24)*CHOOSE(ArtifactsInput!$N$24+1,10,12,14,16,18,20)+IF(ArtifactsInput!$M$10,CHOOSE(ArtifactsInput!$N$10+1,15,18,21,24,27,30)*(IF(Inputs!$B$39="pvp",MIN(15,15)/15,IF(AND(Inputs!$B$39&lt;&gt;"pvp",Inputs!$B$44&gt;0),MIN(15,Inputs!$B$44)/(Inputs!$B$44),0))),0)))-100),0))*CHOOSE(ArtifactsInput!$N$42+1,0.6,0.72,0.84,0.96,1.08,1.2))),Inputs!$B$19+((C852=TRUE)*(F852-Calc!F23))+(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gt;=100),CHOOSE(ArtifactsInput!$N$42+1,40,48,56,64,72,80),0))))/100)*((1+(((C842=TRUE)*F842*IF(AND(Inputs!$B$39&lt;&gt;"pvp",Inputs!$B$44&gt;0),(((R842-1)*MIN((Skills!T13*(1+Inputs!$B$35/100)),(1/Q842))+MIN((Skills!T13*(1+Inputs!$B$35/100)),MAX(0,Inputs!$B$44-((R842-1)*(1/Q842)))))/Inputs!$B$44),IF(Inputs!$B$39="pvp",MIN((Skills!T13*(1+Inputs!$B$35/100)),15)/15,MIN(1,(Skills!T13*(1+Inputs!$B$35/100))/(1/Q842)))))+((C843=TRUE)*F843*IF(AND(Inputs!$B$39&lt;&gt;"pvp",Inputs!$B$44&gt;0),(((R843-1)*MIN((Skills!T14*(1+Inputs!$B$35/100)),(1/Q843))+MIN((Skills!T14*(1+Inputs!$B$35/100)),MAX(0,Inputs!$B$44-((R843-1)*(1/Q843)))))/Inputs!$B$44),IF(Inputs!$B$39="pvp",MIN((Skills!T14*(1+Inputs!$B$35/100)),15)/15,MIN(1,(Skills!T14*(1+Inputs!$B$35/100))/(1/Q843)))))+((C844=TRUE)*F844*IF(AND(Inputs!$B$39&lt;&gt;"pvp",Inputs!$B$44&gt;0),(((R844-1)*MIN((Skills!T15*(1+Inputs!$B$35/100)),(1/Q844))+MIN((Skills!T15*(1+Inputs!$B$35/100)),MAX(0,Inputs!$B$44-((R844-1)*(1/Q844)))))/Inputs!$B$44),IF(Inputs!$B$39="pvp",MIN((Skills!T15*(1+Inputs!$B$35/100)),15)/15,MIN(1,(Skills!T15*(1+Inputs!$B$35/100))/(1/Q844)))))+((C845=TRUE)*F845*IF(AND(Inputs!$B$39&lt;&gt;"pvp",Inputs!$B$44&gt;0),(((R845-1)*MIN((Skills!T16*(1+Inputs!$B$35/100)),(1/Q845))+MIN((Skills!T16*(1+Inputs!$B$35/100)),MAX(0,Inputs!$B$44-((R845-1)*(1/Q845)))))/Inputs!$B$44),IF(Inputs!$B$39="pvp",MIN((Skills!T16*(1+Inputs!$B$35/100)),15)/15,MIN(1,(Skills!T16*(1+Inputs!$B$35/100))/(1/Q845)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831)</f>
        <v/>
      </c>
      <c r="L831">
        <f>K831*(MIN(Inputs!$B$23+((C851=TRUE)*(F851-Calc!F22)),(Inputs!$B$24+((C853=TRUE)*(F853-Calc!F24))+(IF(ArtifactsInput!$M$15,CHOOSE(ArtifactsInput!$N$15+1,25,30,35,40,45,50)/100*(Inputs!$B$12-Inputs!$B$12),0))))/100+(Inputs!$B$24+((C853=TRUE)*(F853-Calc!F24))+(IF(ArtifactsInput!$M$15,CHOOSE(ArtifactsInput!$N$15+1,25,30,35,40,45,50)/100*(Inputs!$B$12-Inputs!$B$12),0)))/100)/2</f>
        <v/>
      </c>
      <c r="M831">
        <f>L831*(1+(Inputs!$B$11+0+B863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831">
        <f>L831*(1-MIN((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831*(MIN((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31">
        <f>(1-Summary!$B$11)*T831+Summary!$B$11*V831</f>
        <v/>
      </c>
      <c r="P831">
        <f>IF(B868=0,0,O831/B868)</f>
        <v/>
      </c>
      <c r="Q831" t="n">
        <v>0</v>
      </c>
      <c r="R831" t="n">
        <v>0</v>
      </c>
      <c r="S831">
        <f>IFERROR(O831/N831,0)</f>
        <v/>
      </c>
      <c r="T831">
        <f>IF(C831,(Skills!G2*N831*B862)*IF(Inputs!$B$39="pvp",1,1+(Inputs!$B$21+0+Skills!P2+((C846=TRUE)*F846*IF(AND(Inputs!$B$39&lt;&gt;"pvp",Inputs!$B$44&gt;0),(((R846-1)*MIN((Skills!T17*(1+Inputs!$B$35/100)),(1/Q846))+MIN((Skills!T17*(1+Inputs!$B$35/100)),MAX(0,Inputs!$B$44-((R846-1)*(1/Q846)))))/Inputs!$B$44),IF(Inputs!$B$39="pvp",MIN((Skills!T17*(1+Inputs!$B$35/100)),15)/15,MIN(1,(Skills!T17*(1+Inputs!$B$35/100))/(1/Q846)))))+((C834=TRUE)*IF(Inputs!$B$3&gt;=126,10*MIN(1,15*Q834),0))+((C843=TRUE)*IF(Inputs!$B$39="pvp",20,(1-Summary!$B$11)*(20)+Summary!$B$11*(0))*IF(AND(Inputs!$B$39&lt;&gt;"pvp",Inputs!$B$44&gt;0),(((R843-1)*MIN((Skills!T14*(1+Inputs!$B$35/100)),(1/Q843))+MIN((Skills!T14*(1+Inputs!$B$35/100)),MAX(0,Inputs!$B$44-((R843-1)*(1/Q843)))))/Inputs!$B$44),IF(Inputs!$B$39="pvp",MIN((Skills!T14*(1+Inputs!$B$35/100)),15)/15,MIN(1,(Skills!T14*(1+Inputs!$B$35/100))/(1/Q843)))))+((C842=TRUE)*IF(Inputs!$B$3&gt;=82,IF(Inputs!$B$39="pvp",20,(1-Summary!$B$11)*(20)+Summary!$B$11*(0)),0)*IF(AND(Inputs!$B$39&lt;&gt;"pvp",Inputs!$B$44&gt;0),(((R842-1)*MIN((Skills!T13*(1+Inputs!$B$35/100)),(1/Q842))+MIN((Skills!T13*(1+Inputs!$B$35/100)),MAX(0,Inputs!$B$44-((R842-1)*(1/Q842)))))/Inputs!$B$44),IF(Inputs!$B$39="pvp",MIN((Skills!T13*(1+Inputs!$B$35/100)),15)/15,MIN(1,(Skills!T13*(1+Inputs!$B$35/100))/(1/Q842)))))+(IF(AND(ArtifactsInput!$M$35,Inputs!$B$4&lt;&gt;"Chapter Hunt"),CHOOSE(ArtifactsInput!$N$35+1,15,18,21,24,27,30)*(1-EXP(-(0.2*B860)*5)),0)+IF(AND(ArtifactsInput!$M$22,Inputs!$B$4&lt;&gt;"Chapter Hunt"),CHOOSE(ArtifactsInput!$N$22+1,10,12,14,16,18,20)*((0*(((0.15*B860*5))^0/1)+1*(((0.15*B860*5))^1/1)+2*(((0.15*B860*5))^2/2)+3*(((0.15*B860*5))^3/6)+4*(((0.15*B860*5))^4/24)+5*(((0.15*B860*5))^5/120))/((((0.15*B860*5))^0/1)+(((0.15*B860*5))^1/1)+(((0.15*B860*5))^2/2)+(((0.15*B860*5))^3/6)+(((0.15*B860*5))^4/24)+(((0.15*B860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831*(1-MIN(100,(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831*(MIN(100,(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831*(1-MIN(100,(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831*(MIN(100,(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831">
        <f>MAX(0,(Inputs!$B$3-100)*3)+Inputs!$B$29+Inputs!$B$30</f>
        <v/>
      </c>
      <c r="V831">
        <f>IF(C831,(Skills!G2*N831*B862)*IF(Inputs!$B$39="pvp",1,(1+(Inputs!$B$22+Skills!Q2+((C846=TRUE)*F846*IF(AND(Inputs!$B$39&lt;&gt;"pvp",Inputs!$B$44&gt;0),(((R846-1)*MIN((Skills!T17*(1+Inputs!$B$35/100)),(1/Q846))+MIN((Skills!T17*(1+Inputs!$B$35/100)),MAX(0,Inputs!$B$44-((R846-1)*(1/Q846)))))/Inputs!$B$44),IF(Inputs!$B$39="pvp",MIN((Skills!T17*(1+Inputs!$B$35/100)),15)/15,MIN(1,(Skills!T17*(1+Inputs!$B$35/100))/(1/Q846)))))+((C834=TRUE)*IF(Inputs!$B$3&gt;=126,10*MIN(1,15*Q834),0))+((C843=TRUE)*IF(Inputs!$B$39="pvp",20,(1-Summary!$B$11)*(20)+Summary!$B$11*(0))*IF(AND(Inputs!$B$39&lt;&gt;"pvp",Inputs!$B$44&gt;0),(((R843-1)*MIN((Skills!T14*(1+Inputs!$B$35/100)),(1/Q843))+MIN((Skills!T14*(1+Inputs!$B$35/100)),MAX(0,Inputs!$B$44-((R843-1)*(1/Q843)))))/Inputs!$B$44),IF(Inputs!$B$39="pvp",MIN((Skills!T14*(1+Inputs!$B$35/100)),15)/15,MIN(1,(Skills!T14*(1+Inputs!$B$35/100))/(1/Q843)))))+((C842=TRUE)*IF(Inputs!$B$3&gt;=82,IF(Inputs!$B$39="pvp",20,(1-Summary!$B$11)*(20)+Summary!$B$11*(0)),0)*IF(AND(Inputs!$B$39&lt;&gt;"pvp",Inputs!$B$44&gt;0),(((R842-1)*MIN((Skills!T13*(1+Inputs!$B$35/100)),(1/Q842))+MIN((Skills!T13*(1+Inputs!$B$35/100)),MAX(0,Inputs!$B$44-((R842-1)*(1/Q842)))))/Inputs!$B$44),IF(Inputs!$B$39="pvp",MIN((Skills!T13*(1+Inputs!$B$35/100)),15)/15,MIN(1,(Skills!T13*(1+Inputs!$B$35/100))/(1/Q842)))))+(IF(AND(ArtifactsInput!$M$35,Inputs!$B$4&lt;&gt;"Chapter Hunt"),CHOOSE(ArtifactsInput!$N$35+1,15,18,21,24,27,30)*(1-EXP(-(0.2*B860)*5)),0)+IF(AND(ArtifactsInput!$M$22,Inputs!$B$4&lt;&gt;"Chapter Hunt"),CHOOSE(ArtifactsInput!$N$22+1,10,12,14,16,18,20)*((0*(((0.15*B860*5))^0/1)+1*(((0.15*B860*5))^1/1)+2*(((0.15*B860*5))^2/2)+3*(((0.15*B860*5))^3/6)+4*(((0.15*B860*5))^4/24)+5*(((0.15*B860*5))^5/120))/((((0.15*B860*5))^0/1)+(((0.15*B860*5))^1/1)+(((0.15*B860*5))^2/2)+(((0.15*B860*5))^3/6)+(((0.15*B860*5))^4/24)+(((0.15*B860*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32">
      <c r="A832">
        <f>Skills!A3</f>
        <v/>
      </c>
      <c r="B832">
        <f>Skills!B3</f>
        <v/>
      </c>
      <c r="C832">
        <f>Inputs!$B$3&gt;=50</f>
        <v/>
      </c>
      <c r="D832">
        <f>IF(Skills!C3=1,60+(Inputs!$B$26+1)+Inputs!$B$30,IF(Skills!C3=2,90+Inputs!$B$27+Inputs!$B$30,IF(Skills!C3=3,120+Inputs!$B$28+Inputs!$B$30,MAX(0,(Inputs!$B$3-100)*3)+Inputs!$B$29+Inputs!$B$30)))</f>
        <v/>
      </c>
      <c r="E832">
        <f>INDEX(FactorTable!$B$2:$Y$301, MATCH(ROUND(MIN(300,MAX(1,D832)),0), FactorTable!$A$2:$A$301,0), Skills!M3+1)</f>
        <v/>
      </c>
      <c r="F832">
        <f>IF(Skills!N3=TRUE,(Skills!L3/10)*(E832/1000),Skills!L3/10)+Skills!O3</f>
        <v/>
      </c>
      <c r="G832" t="inlineStr"/>
      <c r="H832" t="inlineStr"/>
      <c r="I832" t="inlineStr">
        <is>
          <t>1</t>
        </is>
      </c>
      <c r="J832" t="inlineStr"/>
      <c r="K832" t="inlineStr"/>
      <c r="L832" t="inlineStr"/>
      <c r="M832" t="inlineStr"/>
      <c r="N832" t="inlineStr"/>
      <c r="O832" t="inlineStr"/>
      <c r="P832" t="inlineStr"/>
      <c r="Q832" t="inlineStr"/>
      <c r="R832" t="inlineStr"/>
      <c r="S832" t="inlineStr"/>
      <c r="U832">
        <f>INDEX(FactorTable!$B$2:$Y$301, MATCH(ROUND(MIN(300,MAX(1,U831)),0), FactorTable!$A$2:$A$301,0), 22)</f>
        <v/>
      </c>
    </row>
    <row r="833">
      <c r="A833">
        <f>Skills!A4</f>
        <v/>
      </c>
      <c r="B833">
        <f>Skills!B4</f>
        <v/>
      </c>
      <c r="C833">
        <f>Inputs!$B$3&gt;=105</f>
        <v/>
      </c>
      <c r="D833">
        <f>IF(Skills!C4=1,60+(Inputs!$B$26+1)+Inputs!$B$30,IF(Skills!C4=2,90+Inputs!$B$27+Inputs!$B$30,IF(Skills!C4=3,120+Inputs!$B$28+Inputs!$B$30,MAX(0,(Inputs!$B$3-100)*3)+Inputs!$B$29+Inputs!$B$30)))</f>
        <v/>
      </c>
      <c r="E833">
        <f>INDEX(FactorTable!$B$2:$Y$301, MATCH(ROUND(MIN(300,MAX(1,D833)),0), FactorTable!$A$2:$A$301,0), Skills!M4+1)</f>
        <v/>
      </c>
      <c r="F833">
        <f>IF(Skills!N4=TRUE,(Skills!L4/10)*(E833/1000),Skills!L4/10)+Skills!O4</f>
        <v/>
      </c>
      <c r="G833" t="inlineStr"/>
      <c r="H833" t="inlineStr"/>
      <c r="I833" t="inlineStr">
        <is>
          <t>1</t>
        </is>
      </c>
      <c r="J833" t="inlineStr"/>
      <c r="K833" t="inlineStr"/>
      <c r="L833" t="inlineStr"/>
      <c r="M833" t="inlineStr"/>
      <c r="N833" t="inlineStr"/>
      <c r="O833" t="inlineStr"/>
      <c r="P833" t="inlineStr"/>
      <c r="Q833" t="inlineStr"/>
      <c r="R833" t="inlineStr"/>
      <c r="S833" t="inlineStr"/>
      <c r="U833">
        <f>290*U832/1000</f>
        <v/>
      </c>
    </row>
    <row r="834">
      <c r="A834">
        <f>Skills!A5</f>
        <v/>
      </c>
      <c r="B834">
        <f>Skills!B5</f>
        <v/>
      </c>
      <c r="C834">
        <f>Inputs!$B$3&gt;=117</f>
        <v/>
      </c>
      <c r="D834">
        <f>IF(Skills!C5=1,60+(Inputs!$B$26+1)+Inputs!$B$30,IF(Skills!C5=2,90+Inputs!$B$27+Inputs!$B$30,IF(Skills!C5=3,120+Inputs!$B$28+Inputs!$B$30,MAX(0,(Inputs!$B$3-100)*3)+Inputs!$B$29+Inputs!$B$30)))</f>
        <v/>
      </c>
      <c r="E834">
        <f>INDEX(FactorTable!$B$2:$Y$301, MATCH(ROUND(MIN(300,MAX(1,D834)),0), FactorTable!$A$2:$A$301,0), Skills!M5+1)</f>
        <v/>
      </c>
      <c r="F834">
        <f>IF(Skills!N5=TRUE,(Skills!L5/10)*(E834/1000),Skills!L5/10)+Skills!O5</f>
        <v/>
      </c>
      <c r="G834">
        <f>Skills!G5*IF(Skills!H5&gt;0,INT(IF(Inputs!$B$39="pvp",MIN(Skills!I5,15),Skills!I5)/Skills!H5+0.000000001),1)</f>
        <v/>
      </c>
      <c r="H834">
        <f>1-(1-Skills!J5/100)^Skills!K5</f>
        <v/>
      </c>
      <c r="I834" t="inlineStr">
        <is>
          <t>1</t>
        </is>
      </c>
      <c r="J834">
        <f>((Inputs!$B$6*(1+Inputs!$B$7/100))+(((Inputs!$B$13*(1+Inputs!$B$14/100))-(Inputs!$B$13*(1+Inputs!$B$14/100)))+0.25*(Inputs!$B$15-Inputs!$B$15))*(1+Inputs!$B$7/100))*(F834/100)</f>
        <v/>
      </c>
      <c r="K834">
        <f>J834*(1+(((Inputs!$B$13+IF(Inputs!$B$3&gt;=38,(10*INDEX(FactorTable!$B$2:$Y$301, MATCH(ROUND(MIN(300,MAX(1,Inputs!$B$3)),0), FactorTable!$A$2:$A$301,0), 23)/1000)/100*(Inputs!$B$8*(1+Inputs!$B$9/100)),0))*(1+Inputs!$B$14/100))*0.01+Inputs!$B$15*0.0025)/100)*(1+Inputs!$B$16/100)*(1+Inputs!$B$17/100)*(5000/(6000+Inputs!$B$43*(1-(Inputs!$B$20+0)/100)))*(1+(Inputs!$B$25+((C854=TRUE)*(F854-Calc!F25))+((C855=TRUE)*(F855-Calc!F26))+B864)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gt;=100),MIN(100,((Inputs!$B$10+0+B858+(ArtifactsInput!$M$24-ArtifactsInput!$M$24)*CHOOSE(ArtifactsInput!$N$24+1,10,12,14,16,18,20)+IF(ArtifactsInput!$M$10,CHOOSE(ArtifactsInput!$N$10+1,15,18,21,24,27,30)*(IF(Inputs!$B$39="pvp",MIN(15,15)/15,IF(AND(Inputs!$B$39&lt;&gt;"pvp",Inputs!$B$44&gt;0),MIN(15,Inputs!$B$44)/(Inputs!$B$44),0))),0)))-100),0))*CHOOSE(ArtifactsInput!$N$42+1,0.6,0.72,0.84,0.96,1.08,1.2))),Inputs!$B$19+((C852=TRUE)*(F852-Calc!F23))+(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gt;=100),CHOOSE(ArtifactsInput!$N$42+1,40,48,56,64,72,80),0))))/100)*((1+(((C842=TRUE)*F842*IF(AND(Inputs!$B$39&lt;&gt;"pvp",Inputs!$B$44&gt;0),(((R842-1)*MIN((Skills!T13*(1+Inputs!$B$35/100)),(1/Q842))+MIN((Skills!T13*(1+Inputs!$B$35/100)),MAX(0,Inputs!$B$44-((R842-1)*(1/Q842)))))/Inputs!$B$44),IF(Inputs!$B$39="pvp",MIN((Skills!T13*(1+Inputs!$B$35/100)),15)/15,MIN(1,(Skills!T13*(1+Inputs!$B$35/100))/(1/Q842)))))+((C843=TRUE)*F843*IF(AND(Inputs!$B$39&lt;&gt;"pvp",Inputs!$B$44&gt;0),(((R843-1)*MIN((Skills!T14*(1+Inputs!$B$35/100)),(1/Q843))+MIN((Skills!T14*(1+Inputs!$B$35/100)),MAX(0,Inputs!$B$44-((R843-1)*(1/Q843)))))/Inputs!$B$44),IF(Inputs!$B$39="pvp",MIN((Skills!T14*(1+Inputs!$B$35/100)),15)/15,MIN(1,(Skills!T14*(1+Inputs!$B$35/100))/(1/Q843)))))+((C844=TRUE)*F844*IF(AND(Inputs!$B$39&lt;&gt;"pvp",Inputs!$B$44&gt;0),(((R844-1)*MIN((Skills!T15*(1+Inputs!$B$35/100)),(1/Q844))+MIN((Skills!T15*(1+Inputs!$B$35/100)),MAX(0,Inputs!$B$44-((R844-1)*(1/Q844)))))/Inputs!$B$44),IF(Inputs!$B$39="pvp",MIN((Skills!T15*(1+Inputs!$B$35/100)),15)/15,MIN(1,(Skills!T15*(1+Inputs!$B$35/100))/(1/Q844)))))+((C845=TRUE)*F845*IF(AND(Inputs!$B$39&lt;&gt;"pvp",Inputs!$B$44&gt;0),(((R845-1)*MIN((Skills!T16*(1+Inputs!$B$35/100)),(1/Q845))+MIN((Skills!T16*(1+Inputs!$B$35/100)),MAX(0,Inputs!$B$44-((R845-1)*(1/Q845)))))/Inputs!$B$44),IF(Inputs!$B$39="pvp",MIN((Skills!T16*(1+Inputs!$B$35/100)),15)/15,MIN(1,(Skills!T16*(1+Inputs!$B$35/100))/(1/Q845)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834)</f>
        <v/>
      </c>
      <c r="L834">
        <f>K834*(MIN(Inputs!$B$23+((C851=TRUE)*(F851-Calc!F22)),(Inputs!$B$24+((C853=TRUE)*(F853-Calc!F24))+(IF(ArtifactsInput!$M$15,CHOOSE(ArtifactsInput!$N$15+1,25,30,35,40,45,50)/100*(Inputs!$B$12-Inputs!$B$12),0))))/100+(Inputs!$B$24+((C853=TRUE)*(F853-Calc!F24))+(IF(ArtifactsInput!$M$15,CHOOSE(ArtifactsInput!$N$15+1,25,30,35,40,45,50)/100*(Inputs!$B$12-Inputs!$B$12),0)))/100)/2</f>
        <v/>
      </c>
      <c r="M834">
        <f>L834*(1+(Inputs!$B$11+0+B863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834">
        <f>L834*(1-MIN((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834*(MIN((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34">
        <f>(1-Summary!$B$11)*T834+Summary!$B$11*V834</f>
        <v/>
      </c>
      <c r="P834">
        <f>IF(B868=0,0,O834/B868)</f>
        <v/>
      </c>
      <c r="Q834">
        <f>IFERROR(1/IF(Inputs!$B$39="pvp",15,MAX(0.1,Skills!D5-IF(TRUE=TRUE,Inputs!$B$33,0))),0)</f>
        <v/>
      </c>
      <c r="R834">
        <f>IF(AND(Inputs!$B$39&lt;&gt;"pvp",Inputs!$B$44&gt;0),IF(MAX(0,Inputs!$B$44-B865)&lt;=0,0,(INT(MAX(0,Inputs!$B$44-B865)/IF(Inputs!$B$39="pvp",15,MAX(0.1,Skills!D5-IF(TRUE=TRUE,Inputs!$B$33,0))))+1)),0)</f>
        <v/>
      </c>
      <c r="S834">
        <f>IFERROR(O834/N834,0)</f>
        <v/>
      </c>
      <c r="T834">
        <f>IF(C834,(H834*N834*IF(AND(Inputs!$B$39&lt;&gt;"pvp",Inputs!$B$44&gt;0),((Skills!G5*((R834-1)*IF(Skills!H5&gt;0,INT(Skills!I5/Skills!H5+0.000000001),1)+IF(Skills!H5&gt;0,INT(MIN(Skills!I5,MAX(0,MAX(0,Inputs!$B$44-B865)-((R834-1)*IF(Inputs!$B$39="pvp",15,MAX(0.1,Skills!D5-IF(TRUE=TRUE,Inputs!$B$33,0))))))/Skills!H5+0.000000001),1)))/Inputs!$B$44),G834*Q834))*IF(Inputs!$B$39="pvp",1,1+(Inputs!$B$21+0+Skills!P5+((C846=TRUE)*F846*IF(AND(Inputs!$B$39&lt;&gt;"pvp",Inputs!$B$44&gt;0),(((R846-1)*MIN((Skills!T17*(1+Inputs!$B$35/100)),(1/Q846))+MIN((Skills!T17*(1+Inputs!$B$35/100)),MAX(0,Inputs!$B$44-((R846-1)*(1/Q846)))))/Inputs!$B$44),IF(Inputs!$B$39="pvp",MIN((Skills!T17*(1+Inputs!$B$35/100)),15)/15,MIN(1,(Skills!T17*(1+Inputs!$B$35/100))/(1/Q846)))))+((C834=TRUE)*IF(Inputs!$B$3&gt;=126,10*MIN(1,15*Q834),0))+((C843=TRUE)*IF(Inputs!$B$39="pvp",20,(1-Summary!$B$11)*(20)+Summary!$B$11*(0))*IF(AND(Inputs!$B$39&lt;&gt;"pvp",Inputs!$B$44&gt;0),(((R843-1)*MIN((Skills!T14*(1+Inputs!$B$35/100)),(1/Q843))+MIN((Skills!T14*(1+Inputs!$B$35/100)),MAX(0,Inputs!$B$44-((R843-1)*(1/Q843)))))/Inputs!$B$44),IF(Inputs!$B$39="pvp",MIN((Skills!T14*(1+Inputs!$B$35/100)),15)/15,MIN(1,(Skills!T14*(1+Inputs!$B$35/100))/(1/Q843)))))+((C842=TRUE)*IF(Inputs!$B$3&gt;=82,IF(Inputs!$B$39="pvp",20,(1-Summary!$B$11)*(20)+Summary!$B$11*(0)),0)*IF(AND(Inputs!$B$39&lt;&gt;"pvp",Inputs!$B$44&gt;0),(((R842-1)*MIN((Skills!T13*(1+Inputs!$B$35/100)),(1/Q842))+MIN((Skills!T13*(1+Inputs!$B$35/100)),MAX(0,Inputs!$B$44-((R842-1)*(1/Q842)))))/Inputs!$B$44),IF(Inputs!$B$39="pvp",MIN((Skills!T13*(1+Inputs!$B$35/100)),15)/15,MIN(1,(Skills!T13*(1+Inputs!$B$35/100))/(1/Q842)))))+(IF(AND(ArtifactsInput!$M$35,Inputs!$B$4&lt;&gt;"Chapter Hunt"),CHOOSE(ArtifactsInput!$N$35+1,15,18,21,24,27,30)*(1-EXP(-(0.2*B860)*5)),0)+IF(AND(ArtifactsInput!$M$22,Inputs!$B$4&lt;&gt;"Chapter Hunt"),CHOOSE(ArtifactsInput!$N$22+1,10,12,14,16,18,20)*((0*(((0.15*B860*5))^0/1)+1*(((0.15*B860*5))^1/1)+2*(((0.15*B860*5))^2/2)+3*(((0.15*B860*5))^3/6)+4*(((0.15*B860*5))^4/24)+5*(((0.15*B860*5))^5/120))/((((0.15*B860*5))^0/1)+(((0.15*B860*5))^1/1)+(((0.15*B860*5))^2/2)+(((0.15*B860*5))^3/6)+(((0.15*B860*5))^4/24)+(((0.15*B860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834*(1-MIN(100,(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834*(MIN(100,(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834*(1-MIN(100,(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834*(MIN(100,(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34">
        <f>IF(C834,(H834*N834*IF(AND(Inputs!$B$39&lt;&gt;"pvp",Inputs!$B$44&gt;0),((Skills!G5*((R834-1)*IF(Skills!H5&gt;0,INT(Skills!I5/Skills!H5+0.000000001),1)+IF(Skills!H5&gt;0,INT(MIN(Skills!I5,MAX(0,MAX(0,Inputs!$B$44-B865)-((R834-1)*IF(Inputs!$B$39="pvp",15,MAX(0.1,Skills!D5-IF(TRUE=TRUE,Inputs!$B$33,0))))))/Skills!H5+0.000000001),1)))/Inputs!$B$44),G834*Q834))*IF(Inputs!$B$39="pvp",1,(1+(Inputs!$B$22+Skills!Q5+((C846=TRUE)*F846*IF(AND(Inputs!$B$39&lt;&gt;"pvp",Inputs!$B$44&gt;0),(((R846-1)*MIN((Skills!T17*(1+Inputs!$B$35/100)),(1/Q846))+MIN((Skills!T17*(1+Inputs!$B$35/100)),MAX(0,Inputs!$B$44-((R846-1)*(1/Q846)))))/Inputs!$B$44),IF(Inputs!$B$39="pvp",MIN((Skills!T17*(1+Inputs!$B$35/100)),15)/15,MIN(1,(Skills!T17*(1+Inputs!$B$35/100))/(1/Q846)))))+((C834=TRUE)*IF(Inputs!$B$3&gt;=126,10*MIN(1,15*Q834),0))+((C843=TRUE)*IF(Inputs!$B$39="pvp",20,(1-Summary!$B$11)*(20)+Summary!$B$11*(0))*IF(AND(Inputs!$B$39&lt;&gt;"pvp",Inputs!$B$44&gt;0),(((R843-1)*MIN((Skills!T14*(1+Inputs!$B$35/100)),(1/Q843))+MIN((Skills!T14*(1+Inputs!$B$35/100)),MAX(0,Inputs!$B$44-((R843-1)*(1/Q843)))))/Inputs!$B$44),IF(Inputs!$B$39="pvp",MIN((Skills!T14*(1+Inputs!$B$35/100)),15)/15,MIN(1,(Skills!T14*(1+Inputs!$B$35/100))/(1/Q843)))))+((C842=TRUE)*IF(Inputs!$B$3&gt;=82,IF(Inputs!$B$39="pvp",20,(1-Summary!$B$11)*(20)+Summary!$B$11*(0)),0)*IF(AND(Inputs!$B$39&lt;&gt;"pvp",Inputs!$B$44&gt;0),(((R842-1)*MIN((Skills!T13*(1+Inputs!$B$35/100)),(1/Q842))+MIN((Skills!T13*(1+Inputs!$B$35/100)),MAX(0,Inputs!$B$44-((R842-1)*(1/Q842)))))/Inputs!$B$44),IF(Inputs!$B$39="pvp",MIN((Skills!T13*(1+Inputs!$B$35/100)),15)/15,MIN(1,(Skills!T13*(1+Inputs!$B$35/100))/(1/Q842)))))+(IF(AND(ArtifactsInput!$M$35,Inputs!$B$4&lt;&gt;"Chapter Hunt"),CHOOSE(ArtifactsInput!$N$35+1,15,18,21,24,27,30)*(1-EXP(-(0.2*B860)*5)),0)+IF(AND(ArtifactsInput!$M$22,Inputs!$B$4&lt;&gt;"Chapter Hunt"),CHOOSE(ArtifactsInput!$N$22+1,10,12,14,16,18,20)*((0*(((0.15*B860*5))^0/1)+1*(((0.15*B860*5))^1/1)+2*(((0.15*B860*5))^2/2)+3*(((0.15*B860*5))^3/6)+4*(((0.15*B860*5))^4/24)+5*(((0.15*B860*5))^5/120))/((((0.15*B860*5))^0/1)+(((0.15*B860*5))^1/1)+(((0.15*B860*5))^2/2)+(((0.15*B860*5))^3/6)+(((0.15*B860*5))^4/24)+(((0.15*B860*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35">
      <c r="A835">
        <f>Skills!A6</f>
        <v/>
      </c>
      <c r="B835">
        <f>Skills!B6</f>
        <v/>
      </c>
      <c r="C835">
        <f>Inputs!$B$3&gt;=103</f>
        <v/>
      </c>
      <c r="D835">
        <f>IF(Skills!C6=1,60+(Inputs!$B$26+1)+Inputs!$B$30,IF(Skills!C6=2,90+Inputs!$B$27+Inputs!$B$30,IF(Skills!C6=3,120+Inputs!$B$28+Inputs!$B$30,MAX(0,(Inputs!$B$3-100)*3)+Inputs!$B$29+Inputs!$B$30)))</f>
        <v/>
      </c>
      <c r="E835">
        <f>INDEX(FactorTable!$B$2:$Y$301, MATCH(ROUND(MIN(300,MAX(1,D835)),0), FactorTable!$A$2:$A$301,0), Skills!M6+1)</f>
        <v/>
      </c>
      <c r="F835">
        <f>IF(Skills!N6=TRUE,(Skills!L6/10)*(E835/1000),Skills!L6/10)+Skills!O6</f>
        <v/>
      </c>
      <c r="G835">
        <f>Skills!G6*IF(Skills!H6&gt;0,INT(IF(Inputs!$B$39="pvp",MIN(Skills!I6,15),Skills!I6)/Skills!H6+0.000000001),1)</f>
        <v/>
      </c>
      <c r="H835">
        <f>1-(1-Skills!J6/100)^Skills!K6</f>
        <v/>
      </c>
      <c r="I835" t="inlineStr">
        <is>
          <t>1</t>
        </is>
      </c>
      <c r="J835">
        <f>((Inputs!$B$6*(1+Inputs!$B$7/100))+(((Inputs!$B$13*(1+Inputs!$B$14/100))-(Inputs!$B$13*(1+Inputs!$B$14/100)))+0.25*(Inputs!$B$15-Inputs!$B$15))*(1+Inputs!$B$7/100))*(F835/100)</f>
        <v/>
      </c>
      <c r="K835">
        <f>J835*(1+(((Inputs!$B$13+IF(Inputs!$B$3&gt;=38,(10*INDEX(FactorTable!$B$2:$Y$301, MATCH(ROUND(MIN(300,MAX(1,Inputs!$B$3)),0), FactorTable!$A$2:$A$301,0), 23)/1000)/100*(Inputs!$B$8*(1+Inputs!$B$9/100)),0))*(1+Inputs!$B$14/100))*0.01+Inputs!$B$15*0.0025)/100)*(1+Inputs!$B$16/100)*(1+Inputs!$B$17/100)*(5000/(6000+Inputs!$B$43*(1-(Inputs!$B$20+0)/100)))*(1+(Inputs!$B$25+((C854=TRUE)*(F854-Calc!F25))+((C855=TRUE)*(F855-Calc!F26))+B864)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gt;=100),MIN(100,((Inputs!$B$10+0+B858+(ArtifactsInput!$M$24-ArtifactsInput!$M$24)*CHOOSE(ArtifactsInput!$N$24+1,10,12,14,16,18,20)+IF(ArtifactsInput!$M$10,CHOOSE(ArtifactsInput!$N$10+1,15,18,21,24,27,30)*(IF(Inputs!$B$39="pvp",MIN(15,15)/15,IF(AND(Inputs!$B$39&lt;&gt;"pvp",Inputs!$B$44&gt;0),MIN(15,Inputs!$B$44)/(Inputs!$B$44),0))),0)))-100),0))*CHOOSE(ArtifactsInput!$N$42+1,0.6,0.72,0.84,0.96,1.08,1.2))),Inputs!$B$19+((C852=TRUE)*(F852-Calc!F23))+(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gt;=100),CHOOSE(ArtifactsInput!$N$42+1,40,48,56,64,72,80),0))))/100)*((1+(((C842=TRUE)*F842*IF(AND(Inputs!$B$39&lt;&gt;"pvp",Inputs!$B$44&gt;0),(((R842-1)*MIN((Skills!T13*(1+Inputs!$B$35/100)),(1/Q842))+MIN((Skills!T13*(1+Inputs!$B$35/100)),MAX(0,Inputs!$B$44-((R842-1)*(1/Q842)))))/Inputs!$B$44),IF(Inputs!$B$39="pvp",MIN((Skills!T13*(1+Inputs!$B$35/100)),15)/15,MIN(1,(Skills!T13*(1+Inputs!$B$35/100))/(1/Q842)))))+((C843=TRUE)*F843*IF(AND(Inputs!$B$39&lt;&gt;"pvp",Inputs!$B$44&gt;0),(((R843-1)*MIN((Skills!T14*(1+Inputs!$B$35/100)),(1/Q843))+MIN((Skills!T14*(1+Inputs!$B$35/100)),MAX(0,Inputs!$B$44-((R843-1)*(1/Q843)))))/Inputs!$B$44),IF(Inputs!$B$39="pvp",MIN((Skills!T14*(1+Inputs!$B$35/100)),15)/15,MIN(1,(Skills!T14*(1+Inputs!$B$35/100))/(1/Q843)))))+((C844=TRUE)*F844*IF(AND(Inputs!$B$39&lt;&gt;"pvp",Inputs!$B$44&gt;0),(((R844-1)*MIN((Skills!T15*(1+Inputs!$B$35/100)),(1/Q844))+MIN((Skills!T15*(1+Inputs!$B$35/100)),MAX(0,Inputs!$B$44-((R844-1)*(1/Q844)))))/Inputs!$B$44),IF(Inputs!$B$39="pvp",MIN((Skills!T15*(1+Inputs!$B$35/100)),15)/15,MIN(1,(Skills!T15*(1+Inputs!$B$35/100))/(1/Q844)))))+((C845=TRUE)*F845*IF(AND(Inputs!$B$39&lt;&gt;"pvp",Inputs!$B$44&gt;0),(((R845-1)*MIN((Skills!T16*(1+Inputs!$B$35/100)),(1/Q845))+MIN((Skills!T16*(1+Inputs!$B$35/100)),MAX(0,Inputs!$B$44-((R845-1)*(1/Q845)))))/Inputs!$B$44),IF(Inputs!$B$39="pvp",MIN((Skills!T16*(1+Inputs!$B$35/100)),15)/15,MIN(1,(Skills!T16*(1+Inputs!$B$35/100))/(1/Q845)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835)</f>
        <v/>
      </c>
      <c r="L835">
        <f>K835*(MIN(Inputs!$B$23+((C851=TRUE)*(F851-Calc!F22)),(Inputs!$B$24+((C853=TRUE)*(F853-Calc!F24))+(IF(ArtifactsInput!$M$15,CHOOSE(ArtifactsInput!$N$15+1,25,30,35,40,45,50)/100*(Inputs!$B$12-Inputs!$B$12),0))))/100+(Inputs!$B$24+((C853=TRUE)*(F853-Calc!F24))+(IF(ArtifactsInput!$M$15,CHOOSE(ArtifactsInput!$N$15+1,25,30,35,40,45,50)/100*(Inputs!$B$12-Inputs!$B$12),0)))/100)/2</f>
        <v/>
      </c>
      <c r="M835">
        <f>L835*(1+(Inputs!$B$11+0+B863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835">
        <f>L835*(1-MIN((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835*(MIN((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35">
        <f>(1-Summary!$B$11)*T835+Summary!$B$11*V835</f>
        <v/>
      </c>
      <c r="P835">
        <f>IF(B868=0,0,O835/B868)</f>
        <v/>
      </c>
      <c r="Q835">
        <f>IFERROR(1/IF(Inputs!$B$39="pvp",15,MAX(0.1,Skills!D6-IF(TRUE=TRUE,Inputs!$B$33,0))),0)</f>
        <v/>
      </c>
      <c r="R835">
        <f>IF(AND(Inputs!$B$39&lt;&gt;"pvp",Inputs!$B$44&gt;0),IF(MAX(0,Inputs!$B$44-B865)&lt;=0,0,(INT(MAX(0,Inputs!$B$44-B865)/IF(Inputs!$B$39="pvp",15,MAX(0.1,Skills!D6-IF(TRUE=TRUE,Inputs!$B$33,0))))+1)),0)</f>
        <v/>
      </c>
      <c r="S835">
        <f>IFERROR(O835/N835,0)</f>
        <v/>
      </c>
      <c r="T835">
        <f>IF(C835,(H835*N835*IF(AND(Inputs!$B$39&lt;&gt;"pvp",Inputs!$B$44&gt;0),((Skills!G6*((R835-1)*IF(Skills!H6&gt;0,INT(Skills!I6/Skills!H6+0.000000001),1)+IF(Skills!H6&gt;0,INT(MIN(Skills!I6,MAX(0,MAX(0,Inputs!$B$44-B865)-((R835-1)*IF(Inputs!$B$39="pvp",15,MAX(0.1,Skills!D6-IF(TRUE=TRUE,Inputs!$B$33,0))))))/Skills!H6+0.000000001),1)))/Inputs!$B$44),G835*Q835))*IF(Inputs!$B$39="pvp",1,1+(Inputs!$B$21+0+Skills!P6+((C846=TRUE)*F846*IF(AND(Inputs!$B$39&lt;&gt;"pvp",Inputs!$B$44&gt;0),(((R846-1)*MIN((Skills!T17*(1+Inputs!$B$35/100)),(1/Q846))+MIN((Skills!T17*(1+Inputs!$B$35/100)),MAX(0,Inputs!$B$44-((R846-1)*(1/Q846)))))/Inputs!$B$44),IF(Inputs!$B$39="pvp",MIN((Skills!T17*(1+Inputs!$B$35/100)),15)/15,MIN(1,(Skills!T17*(1+Inputs!$B$35/100))/(1/Q846)))))+((C834=TRUE)*IF(Inputs!$B$3&gt;=126,10*MIN(1,15*Q834),0))+((C843=TRUE)*IF(Inputs!$B$39="pvp",20,(1-Summary!$B$11)*(20)+Summary!$B$11*(0))*IF(AND(Inputs!$B$39&lt;&gt;"pvp",Inputs!$B$44&gt;0),(((R843-1)*MIN((Skills!T14*(1+Inputs!$B$35/100)),(1/Q843))+MIN((Skills!T14*(1+Inputs!$B$35/100)),MAX(0,Inputs!$B$44-((R843-1)*(1/Q843)))))/Inputs!$B$44),IF(Inputs!$B$39="pvp",MIN((Skills!T14*(1+Inputs!$B$35/100)),15)/15,MIN(1,(Skills!T14*(1+Inputs!$B$35/100))/(1/Q843)))))+((C842=TRUE)*IF(Inputs!$B$3&gt;=82,IF(Inputs!$B$39="pvp",20,(1-Summary!$B$11)*(20)+Summary!$B$11*(0)),0)*IF(AND(Inputs!$B$39&lt;&gt;"pvp",Inputs!$B$44&gt;0),(((R842-1)*MIN((Skills!T13*(1+Inputs!$B$35/100)),(1/Q842))+MIN((Skills!T13*(1+Inputs!$B$35/100)),MAX(0,Inputs!$B$44-((R842-1)*(1/Q842)))))/Inputs!$B$44),IF(Inputs!$B$39="pvp",MIN((Skills!T13*(1+Inputs!$B$35/100)),15)/15,MIN(1,(Skills!T13*(1+Inputs!$B$35/100))/(1/Q842)))))+(IF(AND(ArtifactsInput!$M$35,Inputs!$B$4&lt;&gt;"Chapter Hunt"),CHOOSE(ArtifactsInput!$N$35+1,15,18,21,24,27,30)*(1-EXP(-(0.2*B860)*5)),0)+IF(AND(ArtifactsInput!$M$22,Inputs!$B$4&lt;&gt;"Chapter Hunt"),CHOOSE(ArtifactsInput!$N$22+1,10,12,14,16,18,20)*((0*(((0.15*B860*5))^0/1)+1*(((0.15*B860*5))^1/1)+2*(((0.15*B860*5))^2/2)+3*(((0.15*B860*5))^3/6)+4*(((0.15*B860*5))^4/24)+5*(((0.15*B860*5))^5/120))/((((0.15*B860*5))^0/1)+(((0.15*B860*5))^1/1)+(((0.15*B860*5))^2/2)+(((0.15*B860*5))^3/6)+(((0.15*B860*5))^4/24)+(((0.15*B860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835*(1-MIN(100,(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835*(MIN(100,(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835*(1-MIN(100,(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835*(MIN(100,(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35">
        <f>IF(C835,(H835*N835*IF(AND(Inputs!$B$39&lt;&gt;"pvp",Inputs!$B$44&gt;0),((Skills!G6*((R835-1)*IF(Skills!H6&gt;0,INT(Skills!I6/Skills!H6+0.000000001),1)+IF(Skills!H6&gt;0,INT(MIN(Skills!I6,MAX(0,MAX(0,Inputs!$B$44-B865)-((R835-1)*IF(Inputs!$B$39="pvp",15,MAX(0.1,Skills!D6-IF(TRUE=TRUE,Inputs!$B$33,0))))))/Skills!H6+0.000000001),1)))/Inputs!$B$44),G835*Q835))*IF(Inputs!$B$39="pvp",1,(1+(Inputs!$B$22+Skills!Q6+((C846=TRUE)*F846*IF(AND(Inputs!$B$39&lt;&gt;"pvp",Inputs!$B$44&gt;0),(((R846-1)*MIN((Skills!T17*(1+Inputs!$B$35/100)),(1/Q846))+MIN((Skills!T17*(1+Inputs!$B$35/100)),MAX(0,Inputs!$B$44-((R846-1)*(1/Q846)))))/Inputs!$B$44),IF(Inputs!$B$39="pvp",MIN((Skills!T17*(1+Inputs!$B$35/100)),15)/15,MIN(1,(Skills!T17*(1+Inputs!$B$35/100))/(1/Q846)))))+((C834=TRUE)*IF(Inputs!$B$3&gt;=126,10*MIN(1,15*Q834),0))+((C843=TRUE)*IF(Inputs!$B$39="pvp",20,(1-Summary!$B$11)*(20)+Summary!$B$11*(0))*IF(AND(Inputs!$B$39&lt;&gt;"pvp",Inputs!$B$44&gt;0),(((R843-1)*MIN((Skills!T14*(1+Inputs!$B$35/100)),(1/Q843))+MIN((Skills!T14*(1+Inputs!$B$35/100)),MAX(0,Inputs!$B$44-((R843-1)*(1/Q843)))))/Inputs!$B$44),IF(Inputs!$B$39="pvp",MIN((Skills!T14*(1+Inputs!$B$35/100)),15)/15,MIN(1,(Skills!T14*(1+Inputs!$B$35/100))/(1/Q843)))))+((C842=TRUE)*IF(Inputs!$B$3&gt;=82,IF(Inputs!$B$39="pvp",20,(1-Summary!$B$11)*(20)+Summary!$B$11*(0)),0)*IF(AND(Inputs!$B$39&lt;&gt;"pvp",Inputs!$B$44&gt;0),(((R842-1)*MIN((Skills!T13*(1+Inputs!$B$35/100)),(1/Q842))+MIN((Skills!T13*(1+Inputs!$B$35/100)),MAX(0,Inputs!$B$44-((R842-1)*(1/Q842)))))/Inputs!$B$44),IF(Inputs!$B$39="pvp",MIN((Skills!T13*(1+Inputs!$B$35/100)),15)/15,MIN(1,(Skills!T13*(1+Inputs!$B$35/100))/(1/Q842)))))+(IF(AND(ArtifactsInput!$M$35,Inputs!$B$4&lt;&gt;"Chapter Hunt"),CHOOSE(ArtifactsInput!$N$35+1,15,18,21,24,27,30)*(1-EXP(-(0.2*B860)*5)),0)+IF(AND(ArtifactsInput!$M$22,Inputs!$B$4&lt;&gt;"Chapter Hunt"),CHOOSE(ArtifactsInput!$N$22+1,10,12,14,16,18,20)*((0*(((0.15*B860*5))^0/1)+1*(((0.15*B860*5))^1/1)+2*(((0.15*B860*5))^2/2)+3*(((0.15*B860*5))^3/6)+4*(((0.15*B860*5))^4/24)+5*(((0.15*B860*5))^5/120))/((((0.15*B860*5))^0/1)+(((0.15*B860*5))^1/1)+(((0.15*B860*5))^2/2)+(((0.15*B860*5))^3/6)+(((0.15*B860*5))^4/24)+(((0.15*B860*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36">
      <c r="A836">
        <f>Skills!A7</f>
        <v/>
      </c>
      <c r="B836">
        <f>Skills!B7</f>
        <v/>
      </c>
      <c r="C836">
        <f>Inputs!$B$3&gt;=40</f>
        <v/>
      </c>
      <c r="D836">
        <f>IF(Skills!C7=1,60+(Inputs!$B$26+1)+Inputs!$B$30,IF(Skills!C7=2,90+Inputs!$B$27+Inputs!$B$30,IF(Skills!C7=3,120+Inputs!$B$28+Inputs!$B$30,MAX(0,(Inputs!$B$3-100)*3)+Inputs!$B$29+Inputs!$B$30)))</f>
        <v/>
      </c>
      <c r="E836">
        <f>INDEX(FactorTable!$B$2:$Y$301, MATCH(ROUND(MIN(300,MAX(1,D836)),0), FactorTable!$A$2:$A$301,0), Skills!M7+1)</f>
        <v/>
      </c>
      <c r="F836">
        <f>IF(Skills!N7=TRUE,(Skills!L7/10)*(E836/1000),Skills!L7/10)+Skills!O7</f>
        <v/>
      </c>
      <c r="G836">
        <f>Skills!G7*IF(Skills!H7&gt;0,INT(IF(Inputs!$B$39="pvp",MIN(Skills!I7,15),Skills!I7)/Skills!H7+0.000000001),1)</f>
        <v/>
      </c>
      <c r="H836">
        <f>1-(1-Skills!J7/100)^Skills!K7</f>
        <v/>
      </c>
      <c r="I836" t="inlineStr">
        <is>
          <t>1</t>
        </is>
      </c>
      <c r="J836">
        <f>((Inputs!$B$6*(1+Inputs!$B$7/100))+(((Inputs!$B$13*(1+Inputs!$B$14/100))-(Inputs!$B$13*(1+Inputs!$B$14/100)))+0.25*(Inputs!$B$15-Inputs!$B$15))*(1+Inputs!$B$7/100))*(F836/100)</f>
        <v/>
      </c>
      <c r="K836">
        <f>J836*(1+(((Inputs!$B$13+IF(Inputs!$B$3&gt;=38,(10*INDEX(FactorTable!$B$2:$Y$301, MATCH(ROUND(MIN(300,MAX(1,Inputs!$B$3)),0), FactorTable!$A$2:$A$301,0), 23)/1000)/100*(Inputs!$B$8*(1+Inputs!$B$9/100)),0))*(1+Inputs!$B$14/100))*0.01+Inputs!$B$15*0.0025)/100)*(1+Inputs!$B$16/100)*(1+Inputs!$B$17/100)*(5000/(6000+Inputs!$B$43*(1-(Inputs!$B$20+0)/100)))*(1+(Inputs!$B$25+((C854=TRUE)*(F854-Calc!F25))+((C855=TRUE)*(F855-Calc!F26))+B864)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840=TRUE,F840,0)/100)*(1+(IF(Skills!A7="DARK_IMPALE",Inputs!$B$18+0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gt;=100),MIN(100,((Inputs!$B$10+0+B858+(ArtifactsInput!$M$24-ArtifactsInput!$M$24)*CHOOSE(ArtifactsInput!$N$24+1,10,12,14,16,18,20)+IF(ArtifactsInput!$M$10,CHOOSE(ArtifactsInput!$N$10+1,15,18,21,24,27,30)*(IF(Inputs!$B$39="pvp",MIN(15,15)/15,IF(AND(Inputs!$B$39&lt;&gt;"pvp",Inputs!$B$44&gt;0),MIN(15,Inputs!$B$44)/(Inputs!$B$44),0))),0)))-100),0))*CHOOSE(ArtifactsInput!$N$42+1,0.6,0.72,0.84,0.96,1.08,1.2))),Inputs!$B$19+((C852=TRUE)*(F852-Calc!F23))+(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gt;=100),CHOOSE(ArtifactsInput!$N$42+1,40,48,56,64,72,80),0))))/100)*((1+(((C842=TRUE)*F842*IF(AND(Inputs!$B$39&lt;&gt;"pvp",Inputs!$B$44&gt;0),(((R842-1)*MIN((Skills!T13*(1+Inputs!$B$35/100)),(1/Q842))+MIN((Skills!T13*(1+Inputs!$B$35/100)),MAX(0,Inputs!$B$44-((R842-1)*(1/Q842)))))/Inputs!$B$44),IF(Inputs!$B$39="pvp",MIN((Skills!T13*(1+Inputs!$B$35/100)),15)/15,MIN(1,(Skills!T13*(1+Inputs!$B$35/100))/(1/Q842)))))+((C843=TRUE)*F843*IF(AND(Inputs!$B$39&lt;&gt;"pvp",Inputs!$B$44&gt;0),(((R843-1)*MIN((Skills!T14*(1+Inputs!$B$35/100)),(1/Q843))+MIN((Skills!T14*(1+Inputs!$B$35/100)),MAX(0,Inputs!$B$44-((R843-1)*(1/Q843)))))/Inputs!$B$44),IF(Inputs!$B$39="pvp",MIN((Skills!T14*(1+Inputs!$B$35/100)),15)/15,MIN(1,(Skills!T14*(1+Inputs!$B$35/100))/(1/Q843)))))+((C844=TRUE)*F844*IF(AND(Inputs!$B$39&lt;&gt;"pvp",Inputs!$B$44&gt;0),(((R844-1)*MIN((Skills!T15*(1+Inputs!$B$35/100)),(1/Q844))+MIN((Skills!T15*(1+Inputs!$B$35/100)),MAX(0,Inputs!$B$44-((R844-1)*(1/Q844)))))/Inputs!$B$44),IF(Inputs!$B$39="pvp",MIN((Skills!T15*(1+Inputs!$B$35/100)),15)/15,MIN(1,(Skills!T15*(1+Inputs!$B$35/100))/(1/Q844)))))+((C845=TRUE)*F845*IF(AND(Inputs!$B$39&lt;&gt;"pvp",Inputs!$B$44&gt;0),(((R845-1)*MIN((Skills!T16*(1+Inputs!$B$35/100)),(1/Q845))+MIN((Skills!T16*(1+Inputs!$B$35/100)),MAX(0,Inputs!$B$44-((R845-1)*(1/Q845)))))/Inputs!$B$44),IF(Inputs!$B$39="pvp",MIN((Skills!T16*(1+Inputs!$B$35/100)),15)/15,MIN(1,(Skills!T16*(1+Inputs!$B$35/100))/(1/Q845)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836)</f>
        <v/>
      </c>
      <c r="L836">
        <f>K836*(MIN(Inputs!$B$23+((C851=TRUE)*(F851-Calc!F22)),(Inputs!$B$24+((C853=TRUE)*(F853-Calc!F24))+(IF(ArtifactsInput!$M$15,CHOOSE(ArtifactsInput!$N$15+1,25,30,35,40,45,50)/100*(Inputs!$B$12-Inputs!$B$12),0))))/100+(Inputs!$B$24+((C853=TRUE)*(F853-Calc!F24))+(IF(ArtifactsInput!$M$15,CHOOSE(ArtifactsInput!$N$15+1,25,30,35,40,45,50)/100*(Inputs!$B$12-Inputs!$B$12),0)))/100)/2</f>
        <v/>
      </c>
      <c r="M836">
        <f>L836*(1+(Inputs!$B$11+0+B863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836">
        <f>L836*(1-MIN((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836*(MIN((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36">
        <f>(1-Summary!$B$11)*T836+Summary!$B$11*V836</f>
        <v/>
      </c>
      <c r="P836">
        <f>IF(B868=0,0,O836/B868)</f>
        <v/>
      </c>
      <c r="Q836">
        <f>IFERROR(1/IF(Inputs!$B$39="pvp",15,MAX(0.1,Skills!D7-IF(TRUE=TRUE,Inputs!$B$33,0))),0)</f>
        <v/>
      </c>
      <c r="R836">
        <f>IF(AND(Inputs!$B$39&lt;&gt;"pvp",Inputs!$B$44&gt;0),IF(MAX(0,Inputs!$B$44-B865)&lt;=0,0,(INT(MAX(0,Inputs!$B$44-B865)/IF(Inputs!$B$39="pvp",15,MAX(0.1,Skills!D7-IF(TRUE=TRUE,Inputs!$B$33,0))))+1)),0)</f>
        <v/>
      </c>
      <c r="S836">
        <f>IFERROR(O836/N836,0)</f>
        <v/>
      </c>
      <c r="T836">
        <f>IF(C836,(H836*N836*IF(AND(Inputs!$B$39&lt;&gt;"pvp",Inputs!$B$44&gt;0),((Skills!G7*((R836-1)*IF(Skills!H7&gt;0,INT(Skills!I7/Skills!H7+0.000000001),1)+IF(Skills!H7&gt;0,INT(MIN(Skills!I7,MAX(0,MAX(0,Inputs!$B$44-B865)-((R836-1)*IF(Inputs!$B$39="pvp",15,MAX(0.1,Skills!D7-IF(TRUE=TRUE,Inputs!$B$33,0))))))/Skills!H7+0.000000001),1)))/Inputs!$B$44),G836*Q836))*IF(Inputs!$B$39="pvp",1,1+(Inputs!$B$21+0+Skills!P7+((C846=TRUE)*F846*IF(AND(Inputs!$B$39&lt;&gt;"pvp",Inputs!$B$44&gt;0),(((R846-1)*MIN((Skills!T17*(1+Inputs!$B$35/100)),(1/Q846))+MIN((Skills!T17*(1+Inputs!$B$35/100)),MAX(0,Inputs!$B$44-((R846-1)*(1/Q846)))))/Inputs!$B$44),IF(Inputs!$B$39="pvp",MIN((Skills!T17*(1+Inputs!$B$35/100)),15)/15,MIN(1,(Skills!T17*(1+Inputs!$B$35/100))/(1/Q846)))))+((C834=TRUE)*IF(Inputs!$B$3&gt;=126,10*MIN(1,15*Q834),0))+((C843=TRUE)*IF(Inputs!$B$39="pvp",20,(1-Summary!$B$11)*(20)+Summary!$B$11*(0))*IF(AND(Inputs!$B$39&lt;&gt;"pvp",Inputs!$B$44&gt;0),(((R843-1)*MIN((Skills!T14*(1+Inputs!$B$35/100)),(1/Q843))+MIN((Skills!T14*(1+Inputs!$B$35/100)),MAX(0,Inputs!$B$44-((R843-1)*(1/Q843)))))/Inputs!$B$44),IF(Inputs!$B$39="pvp",MIN((Skills!T14*(1+Inputs!$B$35/100)),15)/15,MIN(1,(Skills!T14*(1+Inputs!$B$35/100))/(1/Q843)))))+((C842=TRUE)*IF(Inputs!$B$3&gt;=82,IF(Inputs!$B$39="pvp",20,(1-Summary!$B$11)*(20)+Summary!$B$11*(0)),0)*IF(AND(Inputs!$B$39&lt;&gt;"pvp",Inputs!$B$44&gt;0),(((R842-1)*MIN((Skills!T13*(1+Inputs!$B$35/100)),(1/Q842))+MIN((Skills!T13*(1+Inputs!$B$35/100)),MAX(0,Inputs!$B$44-((R842-1)*(1/Q842)))))/Inputs!$B$44),IF(Inputs!$B$39="pvp",MIN((Skills!T13*(1+Inputs!$B$35/100)),15)/15,MIN(1,(Skills!T13*(1+Inputs!$B$35/100))/(1/Q842)))))+(IF(AND(ArtifactsInput!$M$35,Inputs!$B$4&lt;&gt;"Chapter Hunt"),CHOOSE(ArtifactsInput!$N$35+1,15,18,21,24,27,30)*(1-EXP(-(0.2*B860)*5)),0)+IF(AND(ArtifactsInput!$M$22,Inputs!$B$4&lt;&gt;"Chapter Hunt"),CHOOSE(ArtifactsInput!$N$22+1,10,12,14,16,18,20)*((0*(((0.15*B860*5))^0/1)+1*(((0.15*B860*5))^1/1)+2*(((0.15*B860*5))^2/2)+3*(((0.15*B860*5))^3/6)+4*(((0.15*B860*5))^4/24)+5*(((0.15*B860*5))^5/120))/((((0.15*B860*5))^0/1)+(((0.15*B860*5))^1/1)+(((0.15*B860*5))^2/2)+(((0.15*B860*5))^3/6)+(((0.15*B860*5))^4/24)+(((0.15*B860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836*(1-MIN(100,(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836*(MIN(100,(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836*(1-MIN(100,(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836*(MIN(100,(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36">
        <f>IF(C836,(H836*N836*IF(AND(Inputs!$B$39&lt;&gt;"pvp",Inputs!$B$44&gt;0),((Skills!G7*((R836-1)*IF(Skills!H7&gt;0,INT(Skills!I7/Skills!H7+0.000000001),1)+IF(Skills!H7&gt;0,INT(MIN(Skills!I7,MAX(0,MAX(0,Inputs!$B$44-B865)-((R836-1)*IF(Inputs!$B$39="pvp",15,MAX(0.1,Skills!D7-IF(TRUE=TRUE,Inputs!$B$33,0))))))/Skills!H7+0.000000001),1)))/Inputs!$B$44),G836*Q836))*IF(Inputs!$B$39="pvp",1,(1+(Inputs!$B$22+Skills!Q7+((C846=TRUE)*F846*IF(AND(Inputs!$B$39&lt;&gt;"pvp",Inputs!$B$44&gt;0),(((R846-1)*MIN((Skills!T17*(1+Inputs!$B$35/100)),(1/Q846))+MIN((Skills!T17*(1+Inputs!$B$35/100)),MAX(0,Inputs!$B$44-((R846-1)*(1/Q846)))))/Inputs!$B$44),IF(Inputs!$B$39="pvp",MIN((Skills!T17*(1+Inputs!$B$35/100)),15)/15,MIN(1,(Skills!T17*(1+Inputs!$B$35/100))/(1/Q846)))))+((C834=TRUE)*IF(Inputs!$B$3&gt;=126,10*MIN(1,15*Q834),0))+((C843=TRUE)*IF(Inputs!$B$39="pvp",20,(1-Summary!$B$11)*(20)+Summary!$B$11*(0))*IF(AND(Inputs!$B$39&lt;&gt;"pvp",Inputs!$B$44&gt;0),(((R843-1)*MIN((Skills!T14*(1+Inputs!$B$35/100)),(1/Q843))+MIN((Skills!T14*(1+Inputs!$B$35/100)),MAX(0,Inputs!$B$44-((R843-1)*(1/Q843)))))/Inputs!$B$44),IF(Inputs!$B$39="pvp",MIN((Skills!T14*(1+Inputs!$B$35/100)),15)/15,MIN(1,(Skills!T14*(1+Inputs!$B$35/100))/(1/Q843)))))+((C842=TRUE)*IF(Inputs!$B$3&gt;=82,IF(Inputs!$B$39="pvp",20,(1-Summary!$B$11)*(20)+Summary!$B$11*(0)),0)*IF(AND(Inputs!$B$39&lt;&gt;"pvp",Inputs!$B$44&gt;0),(((R842-1)*MIN((Skills!T13*(1+Inputs!$B$35/100)),(1/Q842))+MIN((Skills!T13*(1+Inputs!$B$35/100)),MAX(0,Inputs!$B$44-((R842-1)*(1/Q842)))))/Inputs!$B$44),IF(Inputs!$B$39="pvp",MIN((Skills!T13*(1+Inputs!$B$35/100)),15)/15,MIN(1,(Skills!T13*(1+Inputs!$B$35/100))/(1/Q842)))))+(IF(AND(ArtifactsInput!$M$35,Inputs!$B$4&lt;&gt;"Chapter Hunt"),CHOOSE(ArtifactsInput!$N$35+1,15,18,21,24,27,30)*(1-EXP(-(0.2*B860)*5)),0)+IF(AND(ArtifactsInput!$M$22,Inputs!$B$4&lt;&gt;"Chapter Hunt"),CHOOSE(ArtifactsInput!$N$22+1,10,12,14,16,18,20)*((0*(((0.15*B860*5))^0/1)+1*(((0.15*B860*5))^1/1)+2*(((0.15*B860*5))^2/2)+3*(((0.15*B860*5))^3/6)+4*(((0.15*B860*5))^4/24)+5*(((0.15*B860*5))^5/120))/((((0.15*B860*5))^0/1)+(((0.15*B860*5))^1/1)+(((0.15*B860*5))^2/2)+(((0.15*B860*5))^3/6)+(((0.15*B860*5))^4/24)+(((0.15*B860*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37">
      <c r="A837">
        <f>Skills!A8</f>
        <v/>
      </c>
      <c r="B837">
        <f>Skills!B8</f>
        <v/>
      </c>
      <c r="C837">
        <f>Inputs!$B$3&gt;=75</f>
        <v/>
      </c>
      <c r="D837">
        <f>IF(Skills!C8=1,60+(Inputs!$B$26+1)+Inputs!$B$30,IF(Skills!C8=2,90+Inputs!$B$27+Inputs!$B$30,IF(Skills!C8=3,120+Inputs!$B$28+Inputs!$B$30,MAX(0,(Inputs!$B$3-100)*3)+Inputs!$B$29+Inputs!$B$30)))</f>
        <v/>
      </c>
      <c r="E837">
        <f>INDEX(FactorTable!$B$2:$Y$301, MATCH(ROUND(MIN(300,MAX(1,D837)),0), FactorTable!$A$2:$A$301,0), Skills!M8+1)</f>
        <v/>
      </c>
      <c r="F837">
        <f>IF(Skills!N8=TRUE,(Skills!L8/10)*(E837/1000),Skills!L8/10)+Skills!O8</f>
        <v/>
      </c>
      <c r="G837" t="inlineStr"/>
      <c r="H837" t="inlineStr"/>
      <c r="I837" t="inlineStr">
        <is>
          <t>1</t>
        </is>
      </c>
      <c r="J837" t="inlineStr"/>
      <c r="K837" t="inlineStr"/>
      <c r="L837" t="inlineStr"/>
      <c r="M837" t="inlineStr"/>
      <c r="N837" t="inlineStr"/>
      <c r="O837" t="inlineStr"/>
      <c r="P837" t="inlineStr"/>
      <c r="Q837" t="inlineStr"/>
      <c r="R837" t="inlineStr"/>
      <c r="S837" t="inlineStr"/>
    </row>
    <row r="838">
      <c r="A838">
        <f>Skills!A9</f>
        <v/>
      </c>
      <c r="B838">
        <f>Skills!B9</f>
        <v/>
      </c>
      <c r="C838">
        <f>Inputs!$B$3&gt;=60</f>
        <v/>
      </c>
      <c r="D838">
        <f>IF(Skills!C9=1,60+(Inputs!$B$26+1)+Inputs!$B$30,IF(Skills!C9=2,90+Inputs!$B$27+Inputs!$B$30,IF(Skills!C9=3,120+Inputs!$B$28+Inputs!$B$30,MAX(0,(Inputs!$B$3-100)*3)+Inputs!$B$29+Inputs!$B$30)))</f>
        <v/>
      </c>
      <c r="E838">
        <f>INDEX(FactorTable!$B$2:$Y$301, MATCH(ROUND(MIN(300,MAX(1,D838)),0), FactorTable!$A$2:$A$301,0), Skills!M9+1)</f>
        <v/>
      </c>
      <c r="F838">
        <f>IF(Skills!N9=TRUE,(Skills!L9/10)*(E838/1000),Skills!L9/10)+Skills!O9</f>
        <v/>
      </c>
      <c r="G838">
        <f>Skills!G9*IF(Skills!H9&gt;0,INT(IF(Inputs!$B$39="pvp",MIN(Skills!I9,15),Skills!I9)/Skills!H9+0.000000001),1)</f>
        <v/>
      </c>
      <c r="H838">
        <f>1-(1-Skills!J9/100)^Skills!K9</f>
        <v/>
      </c>
      <c r="I838" t="inlineStr">
        <is>
          <t>1</t>
        </is>
      </c>
      <c r="J838">
        <f>((Inputs!$B$6*(1+Inputs!$B$7/100))+(((Inputs!$B$13*(1+Inputs!$B$14/100))-(Inputs!$B$13*(1+Inputs!$B$14/100)))+0.25*(Inputs!$B$15-Inputs!$B$15))*(1+Inputs!$B$7/100))*(F838/100)</f>
        <v/>
      </c>
      <c r="K838">
        <f>J838*(1+(((Inputs!$B$13+IF(Inputs!$B$3&gt;=38,(10*INDEX(FactorTable!$B$2:$Y$301, MATCH(ROUND(MIN(300,MAX(1,Inputs!$B$3)),0), FactorTable!$A$2:$A$301,0), 23)/1000)/100*(Inputs!$B$8*(1+Inputs!$B$9/100)),0))*(1+Inputs!$B$14/100))*0.01+Inputs!$B$15*0.0025)/100)*(1+Inputs!$B$16/100)*(1+Inputs!$B$17/100)*(5000/(6000+Inputs!$B$43*(1-(Inputs!$B$20+0)/100)))*(1+(Inputs!$B$25+((C854=TRUE)*(F854-Calc!F25))+((C855=TRUE)*(F855-Calc!F26))+B864)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840=TRUE,F840,0)/100)*(1+(IF(Skills!A9="DARK_IMPALE",Inputs!$B$18+0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gt;=100),MIN(100,((Inputs!$B$10+0+B858+(ArtifactsInput!$M$24-ArtifactsInput!$M$24)*CHOOSE(ArtifactsInput!$N$24+1,10,12,14,16,18,20)+IF(ArtifactsInput!$M$10,CHOOSE(ArtifactsInput!$N$10+1,15,18,21,24,27,30)*(IF(Inputs!$B$39="pvp",MIN(15,15)/15,IF(AND(Inputs!$B$39&lt;&gt;"pvp",Inputs!$B$44&gt;0),MIN(15,Inputs!$B$44)/(Inputs!$B$44),0))),0)))-100),0))*CHOOSE(ArtifactsInput!$N$42+1,0.6,0.72,0.84,0.96,1.08,1.2))),Inputs!$B$19+((C852=TRUE)*(F852-Calc!F23))+(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gt;=100),CHOOSE(ArtifactsInput!$N$42+1,40,48,56,64,72,80),0))))/100)*((1+(((C842=TRUE)*F842*IF(AND(Inputs!$B$39&lt;&gt;"pvp",Inputs!$B$44&gt;0),(((R842-1)*MIN((Skills!T13*(1+Inputs!$B$35/100)),(1/Q842))+MIN((Skills!T13*(1+Inputs!$B$35/100)),MAX(0,Inputs!$B$44-((R842-1)*(1/Q842)))))/Inputs!$B$44),IF(Inputs!$B$39="pvp",MIN((Skills!T13*(1+Inputs!$B$35/100)),15)/15,MIN(1,(Skills!T13*(1+Inputs!$B$35/100))/(1/Q842)))))+((C843=TRUE)*F843*IF(AND(Inputs!$B$39&lt;&gt;"pvp",Inputs!$B$44&gt;0),(((R843-1)*MIN((Skills!T14*(1+Inputs!$B$35/100)),(1/Q843))+MIN((Skills!T14*(1+Inputs!$B$35/100)),MAX(0,Inputs!$B$44-((R843-1)*(1/Q843)))))/Inputs!$B$44),IF(Inputs!$B$39="pvp",MIN((Skills!T14*(1+Inputs!$B$35/100)),15)/15,MIN(1,(Skills!T14*(1+Inputs!$B$35/100))/(1/Q843)))))+((C844=TRUE)*F844*IF(AND(Inputs!$B$39&lt;&gt;"pvp",Inputs!$B$44&gt;0),(((R844-1)*MIN((Skills!T15*(1+Inputs!$B$35/100)),(1/Q844))+MIN((Skills!T15*(1+Inputs!$B$35/100)),MAX(0,Inputs!$B$44-((R844-1)*(1/Q844)))))/Inputs!$B$44),IF(Inputs!$B$39="pvp",MIN((Skills!T15*(1+Inputs!$B$35/100)),15)/15,MIN(1,(Skills!T15*(1+Inputs!$B$35/100))/(1/Q844)))))+((C845=TRUE)*F845*IF(AND(Inputs!$B$39&lt;&gt;"pvp",Inputs!$B$44&gt;0),(((R845-1)*MIN((Skills!T16*(1+Inputs!$B$35/100)),(1/Q845))+MIN((Skills!T16*(1+Inputs!$B$35/100)),MAX(0,Inputs!$B$44-((R845-1)*(1/Q845)))))/Inputs!$B$44),IF(Inputs!$B$39="pvp",MIN((Skills!T16*(1+Inputs!$B$35/100)),15)/15,MIN(1,(Skills!T16*(1+Inputs!$B$35/100))/(1/Q845)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838)</f>
        <v/>
      </c>
      <c r="L838">
        <f>K838*(MIN(Inputs!$B$23+((C851=TRUE)*(F851-Calc!F22)),(Inputs!$B$24+((C853=TRUE)*(F853-Calc!F24))+(IF(ArtifactsInput!$M$15,CHOOSE(ArtifactsInput!$N$15+1,25,30,35,40,45,50)/100*(Inputs!$B$12-Inputs!$B$12),0))))/100+(Inputs!$B$24+((C853=TRUE)*(F853-Calc!F24))+(IF(ArtifactsInput!$M$15,CHOOSE(ArtifactsInput!$N$15+1,25,30,35,40,45,50)/100*(Inputs!$B$12-Inputs!$B$12),0)))/100)/2</f>
        <v/>
      </c>
      <c r="M838">
        <f>L838*(1+(Inputs!$B$11+0+B863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838">
        <f>L838*(1-MIN((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838*(MIN((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38">
        <f>(1-Summary!$B$11)*T838+Summary!$B$11*V838</f>
        <v/>
      </c>
      <c r="P838">
        <f>IF(B868=0,0,O838/B868)</f>
        <v/>
      </c>
      <c r="Q838">
        <f>IFERROR(1/IF(Inputs!$B$39="pvp",15,MAX(0.1,Skills!D9-IF(TRUE=TRUE,Inputs!$B$33,0))),0)</f>
        <v/>
      </c>
      <c r="R838">
        <f>IF(AND(Inputs!$B$39&lt;&gt;"pvp",Inputs!$B$44&gt;0),IF(MAX(0,Inputs!$B$44-B865)&lt;=0,0,(INT(MAX(0,Inputs!$B$44-B865)/IF(Inputs!$B$39="pvp",15,MAX(0.1,Skills!D9-IF(TRUE=TRUE,Inputs!$B$33,0))))+1)),0)</f>
        <v/>
      </c>
      <c r="S838">
        <f>IFERROR(O838/N838,0)</f>
        <v/>
      </c>
      <c r="T838">
        <f>IF(C838,(H838*N838*IF(AND(Inputs!$B$39&lt;&gt;"pvp",Inputs!$B$44&gt;0),((Skills!G9*((R838-1)*IF(Skills!H9&gt;0,INT(Skills!I9/Skills!H9+0.000000001),1)+IF(Skills!H9&gt;0,INT(MIN(Skills!I9,MAX(0,MAX(0,Inputs!$B$44-B865)-((R838-1)*IF(Inputs!$B$39="pvp",15,MAX(0.1,Skills!D9-IF(TRUE=TRUE,Inputs!$B$33,0))))))/Skills!H9+0.000000001),1)))/Inputs!$B$44),G838*Q838))*IF(Inputs!$B$39="pvp",1,1+(Inputs!$B$21+0+Skills!P9+((C846=TRUE)*F846*IF(AND(Inputs!$B$39&lt;&gt;"pvp",Inputs!$B$44&gt;0),(((R846-1)*MIN((Skills!T17*(1+Inputs!$B$35/100)),(1/Q846))+MIN((Skills!T17*(1+Inputs!$B$35/100)),MAX(0,Inputs!$B$44-((R846-1)*(1/Q846)))))/Inputs!$B$44),IF(Inputs!$B$39="pvp",MIN((Skills!T17*(1+Inputs!$B$35/100)),15)/15,MIN(1,(Skills!T17*(1+Inputs!$B$35/100))/(1/Q846)))))+((C834=TRUE)*IF(Inputs!$B$3&gt;=126,10*MIN(1,15*Q834),0))+((C843=TRUE)*IF(Inputs!$B$39="pvp",20,(1-Summary!$B$11)*(20)+Summary!$B$11*(0))*IF(AND(Inputs!$B$39&lt;&gt;"pvp",Inputs!$B$44&gt;0),(((R843-1)*MIN((Skills!T14*(1+Inputs!$B$35/100)),(1/Q843))+MIN((Skills!T14*(1+Inputs!$B$35/100)),MAX(0,Inputs!$B$44-((R843-1)*(1/Q843)))))/Inputs!$B$44),IF(Inputs!$B$39="pvp",MIN((Skills!T14*(1+Inputs!$B$35/100)),15)/15,MIN(1,(Skills!T14*(1+Inputs!$B$35/100))/(1/Q843)))))+((C842=TRUE)*IF(Inputs!$B$3&gt;=82,IF(Inputs!$B$39="pvp",20,(1-Summary!$B$11)*(20)+Summary!$B$11*(0)),0)*IF(AND(Inputs!$B$39&lt;&gt;"pvp",Inputs!$B$44&gt;0),(((R842-1)*MIN((Skills!T13*(1+Inputs!$B$35/100)),(1/Q842))+MIN((Skills!T13*(1+Inputs!$B$35/100)),MAX(0,Inputs!$B$44-((R842-1)*(1/Q842)))))/Inputs!$B$44),IF(Inputs!$B$39="pvp",MIN((Skills!T13*(1+Inputs!$B$35/100)),15)/15,MIN(1,(Skills!T13*(1+Inputs!$B$35/100))/(1/Q842)))))+(IF(AND(ArtifactsInput!$M$35,Inputs!$B$4&lt;&gt;"Chapter Hunt"),CHOOSE(ArtifactsInput!$N$35+1,15,18,21,24,27,30)*(1-EXP(-(0.2*B860)*5)),0)+IF(AND(ArtifactsInput!$M$22,Inputs!$B$4&lt;&gt;"Chapter Hunt"),CHOOSE(ArtifactsInput!$N$22+1,10,12,14,16,18,20)*((0*(((0.15*B860*5))^0/1)+1*(((0.15*B860*5))^1/1)+2*(((0.15*B860*5))^2/2)+3*(((0.15*B860*5))^3/6)+4*(((0.15*B860*5))^4/24)+5*(((0.15*B860*5))^5/120))/((((0.15*B860*5))^0/1)+(((0.15*B860*5))^1/1)+(((0.15*B860*5))^2/2)+(((0.15*B860*5))^3/6)+(((0.15*B860*5))^4/24)+(((0.15*B860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838*(1-MIN(100,(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838*(MIN(100,(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838*(1-MIN(100,(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838*(MIN(100,(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38">
        <f>IF(C838,(H838*N838*IF(AND(Inputs!$B$39&lt;&gt;"pvp",Inputs!$B$44&gt;0),((Skills!G9*((R838-1)*IF(Skills!H9&gt;0,INT(Skills!I9/Skills!H9+0.000000001),1)+IF(Skills!H9&gt;0,INT(MIN(Skills!I9,MAX(0,MAX(0,Inputs!$B$44-B865)-((R838-1)*IF(Inputs!$B$39="pvp",15,MAX(0.1,Skills!D9-IF(TRUE=TRUE,Inputs!$B$33,0))))))/Skills!H9+0.000000001),1)))/Inputs!$B$44),G838*Q838))*IF(Inputs!$B$39="pvp",1,(1+(Inputs!$B$22+Skills!Q9+((C846=TRUE)*F846*IF(AND(Inputs!$B$39&lt;&gt;"pvp",Inputs!$B$44&gt;0),(((R846-1)*MIN((Skills!T17*(1+Inputs!$B$35/100)),(1/Q846))+MIN((Skills!T17*(1+Inputs!$B$35/100)),MAX(0,Inputs!$B$44-((R846-1)*(1/Q846)))))/Inputs!$B$44),IF(Inputs!$B$39="pvp",MIN((Skills!T17*(1+Inputs!$B$35/100)),15)/15,MIN(1,(Skills!T17*(1+Inputs!$B$35/100))/(1/Q846)))))+((C834=TRUE)*IF(Inputs!$B$3&gt;=126,10*MIN(1,15*Q834),0))+((C843=TRUE)*IF(Inputs!$B$39="pvp",20,(1-Summary!$B$11)*(20)+Summary!$B$11*(0))*IF(AND(Inputs!$B$39&lt;&gt;"pvp",Inputs!$B$44&gt;0),(((R843-1)*MIN((Skills!T14*(1+Inputs!$B$35/100)),(1/Q843))+MIN((Skills!T14*(1+Inputs!$B$35/100)),MAX(0,Inputs!$B$44-((R843-1)*(1/Q843)))))/Inputs!$B$44),IF(Inputs!$B$39="pvp",MIN((Skills!T14*(1+Inputs!$B$35/100)),15)/15,MIN(1,(Skills!T14*(1+Inputs!$B$35/100))/(1/Q843)))))+((C842=TRUE)*IF(Inputs!$B$3&gt;=82,IF(Inputs!$B$39="pvp",20,(1-Summary!$B$11)*(20)+Summary!$B$11*(0)),0)*IF(AND(Inputs!$B$39&lt;&gt;"pvp",Inputs!$B$44&gt;0),(((R842-1)*MIN((Skills!T13*(1+Inputs!$B$35/100)),(1/Q842))+MIN((Skills!T13*(1+Inputs!$B$35/100)),MAX(0,Inputs!$B$44-((R842-1)*(1/Q842)))))/Inputs!$B$44),IF(Inputs!$B$39="pvp",MIN((Skills!T13*(1+Inputs!$B$35/100)),15)/15,MIN(1,(Skills!T13*(1+Inputs!$B$35/100))/(1/Q842)))))+(IF(AND(ArtifactsInput!$M$35,Inputs!$B$4&lt;&gt;"Chapter Hunt"),CHOOSE(ArtifactsInput!$N$35+1,15,18,21,24,27,30)*(1-EXP(-(0.2*B860)*5)),0)+IF(AND(ArtifactsInput!$M$22,Inputs!$B$4&lt;&gt;"Chapter Hunt"),CHOOSE(ArtifactsInput!$N$22+1,10,12,14,16,18,20)*((0*(((0.15*B860*5))^0/1)+1*(((0.15*B860*5))^1/1)+2*(((0.15*B860*5))^2/2)+3*(((0.15*B860*5))^3/6)+4*(((0.15*B860*5))^4/24)+5*(((0.15*B860*5))^5/120))/((((0.15*B860*5))^0/1)+(((0.15*B860*5))^1/1)+(((0.15*B860*5))^2/2)+(((0.15*B860*5))^3/6)+(((0.15*B860*5))^4/24)+(((0.15*B860*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39">
      <c r="A839">
        <f>Skills!A10</f>
        <v/>
      </c>
      <c r="B839">
        <f>Skills!B10</f>
        <v/>
      </c>
      <c r="C839">
        <f>Inputs!$B$3&gt;=110</f>
        <v/>
      </c>
      <c r="D839">
        <f>IF(Skills!C10=1,60+(Inputs!$B$26+1)+Inputs!$B$30,IF(Skills!C10=2,90+Inputs!$B$27+Inputs!$B$30,IF(Skills!C10=3,120+Inputs!$B$28+Inputs!$B$30,MAX(0,(Inputs!$B$3-100)*3)+Inputs!$B$29+Inputs!$B$30)))</f>
        <v/>
      </c>
      <c r="E839">
        <f>INDEX(FactorTable!$B$2:$Y$301, MATCH(ROUND(MIN(300,MAX(1,D839)),0), FactorTable!$A$2:$A$301,0), Skills!M10+1)</f>
        <v/>
      </c>
      <c r="F839">
        <f>IF(Skills!N10=TRUE,(Skills!L10/10)*(E839/1000),Skills!L10/10)+Skills!O10</f>
        <v/>
      </c>
      <c r="G839">
        <f>Skills!G10*IF(Skills!H10&gt;0,INT(IF(Inputs!$B$39="pvp",MIN(Skills!I10,15),Skills!I10)/Skills!H10+0.000000001),1)</f>
        <v/>
      </c>
      <c r="H839">
        <f>1-(1-Skills!J10/100)^Skills!K10</f>
        <v/>
      </c>
      <c r="I839" t="inlineStr">
        <is>
          <t>1</t>
        </is>
      </c>
      <c r="J839">
        <f>((Inputs!$B$6*(1+Inputs!$B$7/100))+(((Inputs!$B$13*(1+Inputs!$B$14/100))-(Inputs!$B$13*(1+Inputs!$B$14/100)))+0.25*(Inputs!$B$15-Inputs!$B$15))*(1+Inputs!$B$7/100))*(F839/100)</f>
        <v/>
      </c>
      <c r="K839">
        <f>J839*(1+(((Inputs!$B$13+IF(Inputs!$B$3&gt;=38,(10*INDEX(FactorTable!$B$2:$Y$301, MATCH(ROUND(MIN(300,MAX(1,Inputs!$B$3)),0), FactorTable!$A$2:$A$301,0), 23)/1000)/100*(Inputs!$B$8*(1+Inputs!$B$9/100)),0))*(1+Inputs!$B$14/100))*0.01+Inputs!$B$15*0.0025)/100)*(1+Inputs!$B$16/100)*(1+Inputs!$B$17/100)*(5000/(6000+Inputs!$B$43*(1-(Inputs!$B$20+0)/100)))*(1+(Inputs!$B$25+((C854=TRUE)*(F854-Calc!F25))+((C855=TRUE)*(F855-Calc!F26))+B864)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gt;=100),MIN(100,((Inputs!$B$10+0+B858+(ArtifactsInput!$M$24-ArtifactsInput!$M$24)*CHOOSE(ArtifactsInput!$N$24+1,10,12,14,16,18,20)+IF(ArtifactsInput!$M$10,CHOOSE(ArtifactsInput!$N$10+1,15,18,21,24,27,30)*(IF(Inputs!$B$39="pvp",MIN(15,15)/15,IF(AND(Inputs!$B$39&lt;&gt;"pvp",Inputs!$B$44&gt;0),MIN(15,Inputs!$B$44)/(Inputs!$B$44),0))),0)))-100),0))*CHOOSE(ArtifactsInput!$N$42+1,0.6,0.72,0.84,0.96,1.08,1.2))),Inputs!$B$19+((C852=TRUE)*(F852-Calc!F23))+(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gt;=100),CHOOSE(ArtifactsInput!$N$42+1,40,48,56,64,72,80),0))))/100)*((1+(((C842=TRUE)*F842*IF(AND(Inputs!$B$39&lt;&gt;"pvp",Inputs!$B$44&gt;0),(((R842-1)*MIN((Skills!T13*(1+Inputs!$B$35/100)),(1/Q842))+MIN((Skills!T13*(1+Inputs!$B$35/100)),MAX(0,Inputs!$B$44-((R842-1)*(1/Q842)))))/Inputs!$B$44),IF(Inputs!$B$39="pvp",MIN((Skills!T13*(1+Inputs!$B$35/100)),15)/15,MIN(1,(Skills!T13*(1+Inputs!$B$35/100))/(1/Q842)))))+((C843=TRUE)*F843*IF(AND(Inputs!$B$39&lt;&gt;"pvp",Inputs!$B$44&gt;0),(((R843-1)*MIN((Skills!T14*(1+Inputs!$B$35/100)),(1/Q843))+MIN((Skills!T14*(1+Inputs!$B$35/100)),MAX(0,Inputs!$B$44-((R843-1)*(1/Q843)))))/Inputs!$B$44),IF(Inputs!$B$39="pvp",MIN((Skills!T14*(1+Inputs!$B$35/100)),15)/15,MIN(1,(Skills!T14*(1+Inputs!$B$35/100))/(1/Q843)))))+((C844=TRUE)*F844*IF(AND(Inputs!$B$39&lt;&gt;"pvp",Inputs!$B$44&gt;0),(((R844-1)*MIN((Skills!T15*(1+Inputs!$B$35/100)),(1/Q844))+MIN((Skills!T15*(1+Inputs!$B$35/100)),MAX(0,Inputs!$B$44-((R844-1)*(1/Q844)))))/Inputs!$B$44),IF(Inputs!$B$39="pvp",MIN((Skills!T15*(1+Inputs!$B$35/100)),15)/15,MIN(1,(Skills!T15*(1+Inputs!$B$35/100))/(1/Q844)))))+((C845=TRUE)*F845*IF(AND(Inputs!$B$39&lt;&gt;"pvp",Inputs!$B$44&gt;0),(((R845-1)*MIN((Skills!T16*(1+Inputs!$B$35/100)),(1/Q845))+MIN((Skills!T16*(1+Inputs!$B$35/100)),MAX(0,Inputs!$B$44-((R845-1)*(1/Q845)))))/Inputs!$B$44),IF(Inputs!$B$39="pvp",MIN((Skills!T16*(1+Inputs!$B$35/100)),15)/15,MIN(1,(Skills!T16*(1+Inputs!$B$35/100))/(1/Q845)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839)</f>
        <v/>
      </c>
      <c r="L839">
        <f>K839*(MIN(Inputs!$B$23+((C851=TRUE)*(F851-Calc!F22)),(Inputs!$B$24+((C853=TRUE)*(F853-Calc!F24))+(IF(ArtifactsInput!$M$15,CHOOSE(ArtifactsInput!$N$15+1,25,30,35,40,45,50)/100*(Inputs!$B$12-Inputs!$B$12),0))))/100+(Inputs!$B$24+((C853=TRUE)*(F853-Calc!F24))+(IF(ArtifactsInput!$M$15,CHOOSE(ArtifactsInput!$N$15+1,25,30,35,40,45,50)/100*(Inputs!$B$12-Inputs!$B$12),0)))/100)/2</f>
        <v/>
      </c>
      <c r="M839">
        <f>L839*(1+(Inputs!$B$11+0+B863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839">
        <f>L839*(1-MIN((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839*(MIN((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39">
        <f>(1-Summary!$B$11)*T839+Summary!$B$11*V839</f>
        <v/>
      </c>
      <c r="P839">
        <f>IF(B868=0,0,O839/B868)</f>
        <v/>
      </c>
      <c r="Q839">
        <f>IFERROR(1/IF(Inputs!$B$39="pvp",15,MAX(0.1,Skills!D10-IF(TRUE=TRUE,Inputs!$B$33,0))),0)</f>
        <v/>
      </c>
      <c r="R839">
        <f>IF(AND(Inputs!$B$39&lt;&gt;"pvp",Inputs!$B$44&gt;0),IF(MAX(0,Inputs!$B$44-B865)&lt;=0,0,(INT(MAX(0,Inputs!$B$44-B865)/IF(Inputs!$B$39="pvp",15,MAX(0.1,Skills!D10-IF(TRUE=TRUE,Inputs!$B$33,0))))+1)),0)</f>
        <v/>
      </c>
      <c r="S839">
        <f>IFERROR(O839/N839,0)</f>
        <v/>
      </c>
      <c r="T839">
        <f>IF(C839,(H839*N839*IF(AND(Inputs!$B$39&lt;&gt;"pvp",Inputs!$B$44&gt;0),((Skills!G10*((R839-1)*IF(Skills!H10&gt;0,INT(Skills!I10/Skills!H10+0.000000001),1)+IF(Skills!H10&gt;0,INT(MIN(Skills!I10,MAX(0,MAX(0,Inputs!$B$44-B865)-((R839-1)*IF(Inputs!$B$39="pvp",15,MAX(0.1,Skills!D10-IF(TRUE=TRUE,Inputs!$B$33,0))))))/Skills!H10+0.000000001),1)))/Inputs!$B$44),G839*Q839))*IF(Inputs!$B$39="pvp",1,1+(Inputs!$B$21+0+Skills!P10+((C846=TRUE)*F846*IF(AND(Inputs!$B$39&lt;&gt;"pvp",Inputs!$B$44&gt;0),(((R846-1)*MIN((Skills!T17*(1+Inputs!$B$35/100)),(1/Q846))+MIN((Skills!T17*(1+Inputs!$B$35/100)),MAX(0,Inputs!$B$44-((R846-1)*(1/Q846)))))/Inputs!$B$44),IF(Inputs!$B$39="pvp",MIN((Skills!T17*(1+Inputs!$B$35/100)),15)/15,MIN(1,(Skills!T17*(1+Inputs!$B$35/100))/(1/Q846)))))+((C834=TRUE)*IF(Inputs!$B$3&gt;=126,10*MIN(1,15*Q834),0))+((C843=TRUE)*IF(Inputs!$B$39="pvp",20,(1-Summary!$B$11)*(20)+Summary!$B$11*(0))*IF(AND(Inputs!$B$39&lt;&gt;"pvp",Inputs!$B$44&gt;0),(((R843-1)*MIN((Skills!T14*(1+Inputs!$B$35/100)),(1/Q843))+MIN((Skills!T14*(1+Inputs!$B$35/100)),MAX(0,Inputs!$B$44-((R843-1)*(1/Q843)))))/Inputs!$B$44),IF(Inputs!$B$39="pvp",MIN((Skills!T14*(1+Inputs!$B$35/100)),15)/15,MIN(1,(Skills!T14*(1+Inputs!$B$35/100))/(1/Q843)))))+((C842=TRUE)*IF(Inputs!$B$3&gt;=82,IF(Inputs!$B$39="pvp",20,(1-Summary!$B$11)*(20)+Summary!$B$11*(0)),0)*IF(AND(Inputs!$B$39&lt;&gt;"pvp",Inputs!$B$44&gt;0),(((R842-1)*MIN((Skills!T13*(1+Inputs!$B$35/100)),(1/Q842))+MIN((Skills!T13*(1+Inputs!$B$35/100)),MAX(0,Inputs!$B$44-((R842-1)*(1/Q842)))))/Inputs!$B$44),IF(Inputs!$B$39="pvp",MIN((Skills!T13*(1+Inputs!$B$35/100)),15)/15,MIN(1,(Skills!T13*(1+Inputs!$B$35/100))/(1/Q842)))))+(IF(AND(ArtifactsInput!$M$35,Inputs!$B$4&lt;&gt;"Chapter Hunt"),CHOOSE(ArtifactsInput!$N$35+1,15,18,21,24,27,30)*(1-EXP(-(0.2*B860)*5)),0)+IF(AND(ArtifactsInput!$M$22,Inputs!$B$4&lt;&gt;"Chapter Hunt"),CHOOSE(ArtifactsInput!$N$22+1,10,12,14,16,18,20)*((0*(((0.15*B860*5))^0/1)+1*(((0.15*B860*5))^1/1)+2*(((0.15*B860*5))^2/2)+3*(((0.15*B860*5))^3/6)+4*(((0.15*B860*5))^4/24)+5*(((0.15*B860*5))^5/120))/((((0.15*B860*5))^0/1)+(((0.15*B860*5))^1/1)+(((0.15*B860*5))^2/2)+(((0.15*B860*5))^3/6)+(((0.15*B860*5))^4/24)+(((0.15*B860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839*(1-MIN(100,(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839*(MIN(100,(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839*(1-MIN(100,(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839*(MIN(100,(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39">
        <f>IF(C839,(H839*N839*IF(AND(Inputs!$B$39&lt;&gt;"pvp",Inputs!$B$44&gt;0),((Skills!G10*((R839-1)*IF(Skills!H10&gt;0,INT(Skills!I10/Skills!H10+0.000000001),1)+IF(Skills!H10&gt;0,INT(MIN(Skills!I10,MAX(0,MAX(0,Inputs!$B$44-B865)-((R839-1)*IF(Inputs!$B$39="pvp",15,MAX(0.1,Skills!D10-IF(TRUE=TRUE,Inputs!$B$33,0))))))/Skills!H10+0.000000001),1)))/Inputs!$B$44),G839*Q839))*IF(Inputs!$B$39="pvp",1,(1+(Inputs!$B$22+Skills!Q10+((C846=TRUE)*F846*IF(AND(Inputs!$B$39&lt;&gt;"pvp",Inputs!$B$44&gt;0),(((R846-1)*MIN((Skills!T17*(1+Inputs!$B$35/100)),(1/Q846))+MIN((Skills!T17*(1+Inputs!$B$35/100)),MAX(0,Inputs!$B$44-((R846-1)*(1/Q846)))))/Inputs!$B$44),IF(Inputs!$B$39="pvp",MIN((Skills!T17*(1+Inputs!$B$35/100)),15)/15,MIN(1,(Skills!T17*(1+Inputs!$B$35/100))/(1/Q846)))))+((C834=TRUE)*IF(Inputs!$B$3&gt;=126,10*MIN(1,15*Q834),0))+((C843=TRUE)*IF(Inputs!$B$39="pvp",20,(1-Summary!$B$11)*(20)+Summary!$B$11*(0))*IF(AND(Inputs!$B$39&lt;&gt;"pvp",Inputs!$B$44&gt;0),(((R843-1)*MIN((Skills!T14*(1+Inputs!$B$35/100)),(1/Q843))+MIN((Skills!T14*(1+Inputs!$B$35/100)),MAX(0,Inputs!$B$44-((R843-1)*(1/Q843)))))/Inputs!$B$44),IF(Inputs!$B$39="pvp",MIN((Skills!T14*(1+Inputs!$B$35/100)),15)/15,MIN(1,(Skills!T14*(1+Inputs!$B$35/100))/(1/Q843)))))+((C842=TRUE)*IF(Inputs!$B$3&gt;=82,IF(Inputs!$B$39="pvp",20,(1-Summary!$B$11)*(20)+Summary!$B$11*(0)),0)*IF(AND(Inputs!$B$39&lt;&gt;"pvp",Inputs!$B$44&gt;0),(((R842-1)*MIN((Skills!T13*(1+Inputs!$B$35/100)),(1/Q842))+MIN((Skills!T13*(1+Inputs!$B$35/100)),MAX(0,Inputs!$B$44-((R842-1)*(1/Q842)))))/Inputs!$B$44),IF(Inputs!$B$39="pvp",MIN((Skills!T13*(1+Inputs!$B$35/100)),15)/15,MIN(1,(Skills!T13*(1+Inputs!$B$35/100))/(1/Q842)))))+(IF(AND(ArtifactsInput!$M$35,Inputs!$B$4&lt;&gt;"Chapter Hunt"),CHOOSE(ArtifactsInput!$N$35+1,15,18,21,24,27,30)*(1-EXP(-(0.2*B860)*5)),0)+IF(AND(ArtifactsInput!$M$22,Inputs!$B$4&lt;&gt;"Chapter Hunt"),CHOOSE(ArtifactsInput!$N$22+1,10,12,14,16,18,20)*((0*(((0.15*B860*5))^0/1)+1*(((0.15*B860*5))^1/1)+2*(((0.15*B860*5))^2/2)+3*(((0.15*B860*5))^3/6)+4*(((0.15*B860*5))^4/24)+5*(((0.15*B860*5))^5/120))/((((0.15*B860*5))^0/1)+(((0.15*B860*5))^1/1)+(((0.15*B860*5))^2/2)+(((0.15*B860*5))^3/6)+(((0.15*B860*5))^4/24)+(((0.15*B860*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40">
      <c r="A840">
        <f>Skills!A11</f>
        <v/>
      </c>
      <c r="B840">
        <f>Skills!B11</f>
        <v/>
      </c>
      <c r="C840">
        <f>Inputs!$B$3&gt;=100</f>
        <v/>
      </c>
      <c r="D840">
        <f>IF(Skills!C11=1,60+(Inputs!$B$26+1)+Inputs!$B$30,IF(Skills!C11=2,90+Inputs!$B$27+Inputs!$B$30,IF(Skills!C11=3,120+Inputs!$B$28+Inputs!$B$30,MAX(0,(Inputs!$B$3-100)*3)+Inputs!$B$29+Inputs!$B$30)))</f>
        <v/>
      </c>
      <c r="E840">
        <f>INDEX(FactorTable!$B$2:$Y$301, MATCH(ROUND(MIN(300,MAX(1,D840)),0), FactorTable!$A$2:$A$301,0), Skills!M11+1)</f>
        <v/>
      </c>
      <c r="F840">
        <f>IF(Skills!N11=TRUE,(Skills!L11/10)*(E840/1000),Skills!L11/10)+Skills!O11</f>
        <v/>
      </c>
      <c r="G840" t="inlineStr"/>
      <c r="H840" t="inlineStr"/>
      <c r="I840" t="inlineStr">
        <is>
          <t>1</t>
        </is>
      </c>
      <c r="J840" t="inlineStr"/>
      <c r="K840" t="inlineStr"/>
      <c r="L840" t="inlineStr"/>
      <c r="M840" t="inlineStr"/>
      <c r="N840" t="inlineStr"/>
      <c r="O840" t="inlineStr"/>
      <c r="P840" t="inlineStr"/>
      <c r="Q840" t="inlineStr"/>
      <c r="R840" t="inlineStr"/>
      <c r="S840" t="inlineStr"/>
    </row>
    <row r="841">
      <c r="A841">
        <f>Skills!A12</f>
        <v/>
      </c>
      <c r="B841">
        <f>Skills!B12</f>
        <v/>
      </c>
      <c r="C841">
        <f>Inputs!$B$3&gt;=63</f>
        <v/>
      </c>
      <c r="D841">
        <f>IF(Skills!C12=1,60+(Inputs!$B$26+1)+Inputs!$B$30,IF(Skills!C12=2,90+Inputs!$B$27+Inputs!$B$30,IF(Skills!C12=3,120+Inputs!$B$28+Inputs!$B$30,MAX(0,(Inputs!$B$3-100)*3)+Inputs!$B$29+Inputs!$B$30)))</f>
        <v/>
      </c>
      <c r="E841">
        <f>INDEX(FactorTable!$B$2:$Y$301, MATCH(ROUND(MIN(300,MAX(1,D841)),0), FactorTable!$A$2:$A$301,0), Skills!M12+1)</f>
        <v/>
      </c>
      <c r="F841">
        <f>IF(Skills!N12=TRUE,(Skills!L12/10)*(E841/1000),Skills!L12/10)+Skills!O12</f>
        <v/>
      </c>
      <c r="G841">
        <f>Skills!G12*IF(Skills!H12&gt;0,INT(IF(Inputs!$B$39="pvp",MIN(Skills!I12,15),Skills!I12)/Skills!H12+0.000000001),1)</f>
        <v/>
      </c>
      <c r="H841">
        <f>1-(1-Skills!J12/100)^Skills!K12</f>
        <v/>
      </c>
      <c r="I841" t="inlineStr">
        <is>
          <t>1</t>
        </is>
      </c>
      <c r="J841">
        <f>((Inputs!$B$6*(1+Inputs!$B$7/100))+(((Inputs!$B$13*(1+Inputs!$B$14/100))-(Inputs!$B$13*(1+Inputs!$B$14/100)))+0.25*(Inputs!$B$15-Inputs!$B$15))*(1+Inputs!$B$7/100))*(F841/100)</f>
        <v/>
      </c>
      <c r="K841">
        <f>J841*(1+(((Inputs!$B$13+IF(Inputs!$B$3&gt;=38,(10*INDEX(FactorTable!$B$2:$Y$301, MATCH(ROUND(MIN(300,MAX(1,Inputs!$B$3)),0), FactorTable!$A$2:$A$301,0), 23)/1000)/100*(Inputs!$B$8*(1+Inputs!$B$9/100)),0))*(1+Inputs!$B$14/100))*0.01+Inputs!$B$15*0.0025)/100)*(1+Inputs!$B$16/100)*(1+Inputs!$B$17/100)*(5000/(6000+Inputs!$B$43*(1-(Inputs!$B$20+0)/100)))*(1+(Inputs!$B$25+((C854=TRUE)*(F854-Calc!F25))+((C855=TRUE)*(F855-Calc!F26))+B864)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840=TRUE,F840,0)/100)*(1+(IF(Skills!A12="DARK_IMPALE",Inputs!$B$18+0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gt;=100),MIN(100,((Inputs!$B$10+0+B858+(ArtifactsInput!$M$24-ArtifactsInput!$M$24)*CHOOSE(ArtifactsInput!$N$24+1,10,12,14,16,18,20)+IF(ArtifactsInput!$M$10,CHOOSE(ArtifactsInput!$N$10+1,15,18,21,24,27,30)*(IF(Inputs!$B$39="pvp",MIN(15,15)/15,IF(AND(Inputs!$B$39&lt;&gt;"pvp",Inputs!$B$44&gt;0),MIN(15,Inputs!$B$44)/(Inputs!$B$44),0))),0)))-100),0))*CHOOSE(ArtifactsInput!$N$42+1,0.6,0.72,0.84,0.96,1.08,1.2))),Inputs!$B$19+((C852=TRUE)*(F852-Calc!F23))+(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gt;=100),CHOOSE(ArtifactsInput!$N$42+1,40,48,56,64,72,80),0))))/100)*((1+(((C842=TRUE)*F842*IF(AND(Inputs!$B$39&lt;&gt;"pvp",Inputs!$B$44&gt;0),(((R842-1)*MIN((Skills!T13*(1+Inputs!$B$35/100)),(1/Q842))+MIN((Skills!T13*(1+Inputs!$B$35/100)),MAX(0,Inputs!$B$44-((R842-1)*(1/Q842)))))/Inputs!$B$44),IF(Inputs!$B$39="pvp",MIN((Skills!T13*(1+Inputs!$B$35/100)),15)/15,MIN(1,(Skills!T13*(1+Inputs!$B$35/100))/(1/Q842)))))+((C843=TRUE)*F843*IF(AND(Inputs!$B$39&lt;&gt;"pvp",Inputs!$B$44&gt;0),(((R843-1)*MIN((Skills!T14*(1+Inputs!$B$35/100)),(1/Q843))+MIN((Skills!T14*(1+Inputs!$B$35/100)),MAX(0,Inputs!$B$44-((R843-1)*(1/Q843)))))/Inputs!$B$44),IF(Inputs!$B$39="pvp",MIN((Skills!T14*(1+Inputs!$B$35/100)),15)/15,MIN(1,(Skills!T14*(1+Inputs!$B$35/100))/(1/Q843)))))+((C844=TRUE)*F844*IF(AND(Inputs!$B$39&lt;&gt;"pvp",Inputs!$B$44&gt;0),(((R844-1)*MIN((Skills!T15*(1+Inputs!$B$35/100)),(1/Q844))+MIN((Skills!T15*(1+Inputs!$B$35/100)),MAX(0,Inputs!$B$44-((R844-1)*(1/Q844)))))/Inputs!$B$44),IF(Inputs!$B$39="pvp",MIN((Skills!T15*(1+Inputs!$B$35/100)),15)/15,MIN(1,(Skills!T15*(1+Inputs!$B$35/100))/(1/Q844)))))+((C845=TRUE)*F845*IF(AND(Inputs!$B$39&lt;&gt;"pvp",Inputs!$B$44&gt;0),(((R845-1)*MIN((Skills!T16*(1+Inputs!$B$35/100)),(1/Q845))+MIN((Skills!T16*(1+Inputs!$B$35/100)),MAX(0,Inputs!$B$44-((R845-1)*(1/Q845)))))/Inputs!$B$44),IF(Inputs!$B$39="pvp",MIN((Skills!T16*(1+Inputs!$B$35/100)),15)/15,MIN(1,(Skills!T16*(1+Inputs!$B$35/100))/(1/Q845)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841)</f>
        <v/>
      </c>
      <c r="L841">
        <f>K841*(MIN(Inputs!$B$23+((C851=TRUE)*(F851-Calc!F22)),(Inputs!$B$24+((C853=TRUE)*(F853-Calc!F24))+(IF(ArtifactsInput!$M$15,CHOOSE(ArtifactsInput!$N$15+1,25,30,35,40,45,50)/100*(Inputs!$B$12-Inputs!$B$12),0))))/100+(Inputs!$B$24+((C853=TRUE)*(F853-Calc!F24))+(IF(ArtifactsInput!$M$15,CHOOSE(ArtifactsInput!$N$15+1,25,30,35,40,45,50)/100*(Inputs!$B$12-Inputs!$B$12),0)))/100)/2</f>
        <v/>
      </c>
      <c r="M841">
        <f>L841*(1+(Inputs!$B$11+0+B863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841">
        <f>L841*(1-MIN((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841*(MIN((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41">
        <f>(1-Summary!$B$11)*T841+Summary!$B$11*V841</f>
        <v/>
      </c>
      <c r="P841">
        <f>IF(B868=0,0,O841/B868)</f>
        <v/>
      </c>
      <c r="Q841">
        <f>IFERROR(1/IF(Inputs!$B$39="pvp",15,MAX(0.1,Skills!D12-IF(TRUE=TRUE,Inputs!$B$33,0))),0)</f>
        <v/>
      </c>
      <c r="R841">
        <f>IF(AND(Inputs!$B$39&lt;&gt;"pvp",Inputs!$B$44&gt;0),IF(MAX(0,Inputs!$B$44-B865)&lt;=0,0,(INT(MAX(0,Inputs!$B$44-B865)/IF(Inputs!$B$39="pvp",15,MAX(0.1,Skills!D12-IF(TRUE=TRUE,Inputs!$B$33,0))))+1)),0)</f>
        <v/>
      </c>
      <c r="S841">
        <f>IFERROR(O841/N841,0)</f>
        <v/>
      </c>
      <c r="T841">
        <f>IF(C841,(H841*N841*IF(AND(Inputs!$B$39&lt;&gt;"pvp",Inputs!$B$44&gt;0),((Skills!G12*((R841-1)*IF(Skills!H12&gt;0,INT(Skills!I12/Skills!H12+0.000000001),1)+IF(Skills!H12&gt;0,INT(MIN(Skills!I12,MAX(0,MAX(0,Inputs!$B$44-B865)-((R841-1)*IF(Inputs!$B$39="pvp",15,MAX(0.1,Skills!D12-IF(TRUE=TRUE,Inputs!$B$33,0))))))/Skills!H12+0.000000001),1)))/Inputs!$B$44),G841*Q841))*IF(Inputs!$B$39="pvp",1,1+(Inputs!$B$21+0+Skills!P12+((C846=TRUE)*F846*IF(AND(Inputs!$B$39&lt;&gt;"pvp",Inputs!$B$44&gt;0),(((R846-1)*MIN((Skills!T17*(1+Inputs!$B$35/100)),(1/Q846))+MIN((Skills!T17*(1+Inputs!$B$35/100)),MAX(0,Inputs!$B$44-((R846-1)*(1/Q846)))))/Inputs!$B$44),IF(Inputs!$B$39="pvp",MIN((Skills!T17*(1+Inputs!$B$35/100)),15)/15,MIN(1,(Skills!T17*(1+Inputs!$B$35/100))/(1/Q846)))))+((C834=TRUE)*IF(Inputs!$B$3&gt;=126,10*MIN(1,15*Q834),0))+((C843=TRUE)*IF(Inputs!$B$39="pvp",20,(1-Summary!$B$11)*(20)+Summary!$B$11*(0))*IF(AND(Inputs!$B$39&lt;&gt;"pvp",Inputs!$B$44&gt;0),(((R843-1)*MIN((Skills!T14*(1+Inputs!$B$35/100)),(1/Q843))+MIN((Skills!T14*(1+Inputs!$B$35/100)),MAX(0,Inputs!$B$44-((R843-1)*(1/Q843)))))/Inputs!$B$44),IF(Inputs!$B$39="pvp",MIN((Skills!T14*(1+Inputs!$B$35/100)),15)/15,MIN(1,(Skills!T14*(1+Inputs!$B$35/100))/(1/Q843)))))+((C842=TRUE)*IF(Inputs!$B$3&gt;=82,IF(Inputs!$B$39="pvp",20,(1-Summary!$B$11)*(20)+Summary!$B$11*(0)),0)*IF(AND(Inputs!$B$39&lt;&gt;"pvp",Inputs!$B$44&gt;0),(((R842-1)*MIN((Skills!T13*(1+Inputs!$B$35/100)),(1/Q842))+MIN((Skills!T13*(1+Inputs!$B$35/100)),MAX(0,Inputs!$B$44-((R842-1)*(1/Q842)))))/Inputs!$B$44),IF(Inputs!$B$39="pvp",MIN((Skills!T13*(1+Inputs!$B$35/100)),15)/15,MIN(1,(Skills!T13*(1+Inputs!$B$35/100))/(1/Q842)))))+(IF(AND(ArtifactsInput!$M$35,Inputs!$B$4&lt;&gt;"Chapter Hunt"),CHOOSE(ArtifactsInput!$N$35+1,15,18,21,24,27,30)*(1-EXP(-(0.2*B860)*5)),0)+IF(AND(ArtifactsInput!$M$22,Inputs!$B$4&lt;&gt;"Chapter Hunt"),CHOOSE(ArtifactsInput!$N$22+1,10,12,14,16,18,20)*((0*(((0.15*B860*5))^0/1)+1*(((0.15*B860*5))^1/1)+2*(((0.15*B860*5))^2/2)+3*(((0.15*B860*5))^3/6)+4*(((0.15*B860*5))^4/24)+5*(((0.15*B860*5))^5/120))/((((0.15*B860*5))^0/1)+(((0.15*B860*5))^1/1)+(((0.15*B860*5))^2/2)+(((0.15*B860*5))^3/6)+(((0.15*B860*5))^4/24)+(((0.15*B860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841*(1-MIN(100,(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841*(MIN(100,(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841*(1-MIN(100,(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841*(MIN(100,(Inputs!$B$10+0+B858+(ArtifactsInput!$M$24-ArtifactsInput!$M$24)*CHOOSE(ArtifactsInput!$N$24+1,10,12,14,16,18,20)+(IF(AND(Inputs!$B$39&lt;&gt;"pvp",Inputs!$B$44=0),1,IF(IF(Inputs!$B$39="pvp",15,Inputs!$B$44)-(B865)&lt;=0,1,MAX(0,IF(Inputs!$B$39="pvp",15,Inputs!$B$44)-MAX(5,B865))/(IF(Inputs!$B$39="pvp",15,Inputs!$B$44)-(B865))))*IF(AND(ArtifactsInput!$M$42,((Inputs!$B$10+0+B858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41">
        <f>IF(C841,(H841*N841*IF(AND(Inputs!$B$39&lt;&gt;"pvp",Inputs!$B$44&gt;0),((Skills!G12*((R841-1)*IF(Skills!H12&gt;0,INT(Skills!I12/Skills!H12+0.000000001),1)+IF(Skills!H12&gt;0,INT(MIN(Skills!I12,MAX(0,MAX(0,Inputs!$B$44-B865)-((R841-1)*IF(Inputs!$B$39="pvp",15,MAX(0.1,Skills!D12-IF(TRUE=TRUE,Inputs!$B$33,0))))))/Skills!H12+0.000000001),1)))/Inputs!$B$44),G841*Q841))*IF(Inputs!$B$39="pvp",1,(1+(Inputs!$B$22+Skills!Q12+((C846=TRUE)*F846*IF(AND(Inputs!$B$39&lt;&gt;"pvp",Inputs!$B$44&gt;0),(((R846-1)*MIN((Skills!T17*(1+Inputs!$B$35/100)),(1/Q846))+MIN((Skills!T17*(1+Inputs!$B$35/100)),MAX(0,Inputs!$B$44-((R846-1)*(1/Q846)))))/Inputs!$B$44),IF(Inputs!$B$39="pvp",MIN((Skills!T17*(1+Inputs!$B$35/100)),15)/15,MIN(1,(Skills!T17*(1+Inputs!$B$35/100))/(1/Q846)))))+((C834=TRUE)*IF(Inputs!$B$3&gt;=126,10*MIN(1,15*Q834),0))+((C843=TRUE)*IF(Inputs!$B$39="pvp",20,(1-Summary!$B$11)*(20)+Summary!$B$11*(0))*IF(AND(Inputs!$B$39&lt;&gt;"pvp",Inputs!$B$44&gt;0),(((R843-1)*MIN((Skills!T14*(1+Inputs!$B$35/100)),(1/Q843))+MIN((Skills!T14*(1+Inputs!$B$35/100)),MAX(0,Inputs!$B$44-((R843-1)*(1/Q843)))))/Inputs!$B$44),IF(Inputs!$B$39="pvp",MIN((Skills!T14*(1+Inputs!$B$35/100)),15)/15,MIN(1,(Skills!T14*(1+Inputs!$B$35/100))/(1/Q843)))))+((C842=TRUE)*IF(Inputs!$B$3&gt;=82,IF(Inputs!$B$39="pvp",20,(1-Summary!$B$11)*(20)+Summary!$B$11*(0)),0)*IF(AND(Inputs!$B$39&lt;&gt;"pvp",Inputs!$B$44&gt;0),(((R842-1)*MIN((Skills!T13*(1+Inputs!$B$35/100)),(1/Q842))+MIN((Skills!T13*(1+Inputs!$B$35/100)),MAX(0,Inputs!$B$44-((R842-1)*(1/Q842)))))/Inputs!$B$44),IF(Inputs!$B$39="pvp",MIN((Skills!T13*(1+Inputs!$B$35/100)),15)/15,MIN(1,(Skills!T13*(1+Inputs!$B$35/100))/(1/Q842)))))+(IF(AND(ArtifactsInput!$M$35,Inputs!$B$4&lt;&gt;"Chapter Hunt"),CHOOSE(ArtifactsInput!$N$35+1,15,18,21,24,27,30)*(1-EXP(-(0.2*B860)*5)),0)+IF(AND(ArtifactsInput!$M$22,Inputs!$B$4&lt;&gt;"Chapter Hunt"),CHOOSE(ArtifactsInput!$N$22+1,10,12,14,16,18,20)*((0*(((0.15*B860*5))^0/1)+1*(((0.15*B860*5))^1/1)+2*(((0.15*B860*5))^2/2)+3*(((0.15*B860*5))^3/6)+4*(((0.15*B860*5))^4/24)+5*(((0.15*B860*5))^5/120))/((((0.15*B860*5))^0/1)+(((0.15*B860*5))^1/1)+(((0.15*B860*5))^2/2)+(((0.15*B860*5))^3/6)+(((0.15*B860*5))^4/24)+(((0.15*B860*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42">
      <c r="A842">
        <f>Skills!A13</f>
        <v/>
      </c>
      <c r="B842">
        <f>Skills!B13</f>
        <v/>
      </c>
      <c r="C842">
        <f>Inputs!$B$3&gt;=69</f>
        <v/>
      </c>
      <c r="D842">
        <f>IF(Skills!C13=1,60+(Inputs!$B$26+1)+Inputs!$B$30,IF(Skills!C13=2,90+Inputs!$B$27+Inputs!$B$30,IF(Skills!C13=3,120+Inputs!$B$28+Inputs!$B$30,MAX(0,(Inputs!$B$3-100)*3)+Inputs!$B$29+Inputs!$B$30)))</f>
        <v/>
      </c>
      <c r="E842">
        <f>INDEX(FactorTable!$B$2:$Y$301, MATCH(ROUND(MIN(300,MAX(1,D842)),0), FactorTable!$A$2:$A$301,0), Skills!M13+1)</f>
        <v/>
      </c>
      <c r="F842">
        <f>IF(Skills!N13=TRUE,(Skills!L13/10)*(E842/1000),Skills!L13/10)+Skills!O13</f>
        <v/>
      </c>
      <c r="G842">
        <f>Skills!G13*IF(Skills!H13&gt;0,INT(IF(Inputs!$B$39="pvp",MIN(Skills!I13,15),Skills!I13)/Skills!H13+0.000000001),1)</f>
        <v/>
      </c>
      <c r="H842">
        <f>1-(1-Skills!J13/100)^Skills!K13</f>
        <v/>
      </c>
      <c r="I842" t="inlineStr">
        <is>
          <t>1</t>
        </is>
      </c>
      <c r="J842" t="inlineStr"/>
      <c r="K842" t="inlineStr"/>
      <c r="L842" t="inlineStr"/>
      <c r="M842" t="inlineStr"/>
      <c r="N842" t="inlineStr"/>
      <c r="O842">
        <f>(1-Summary!$B$11)*T842+Summary!$B$11*V842</f>
        <v/>
      </c>
      <c r="P842">
        <f>IF(B868=0,0,O842/B868)</f>
        <v/>
      </c>
      <c r="Q842">
        <f>IFERROR(1/IF(Inputs!$B$39="pvp",15,MAX(0.1,Skills!D13-IF(TRUE=TRUE,Inputs!$B$33,0))),0)</f>
        <v/>
      </c>
      <c r="R842">
        <f>IF(AND(Inputs!$B$39&lt;&gt;"pvp",Inputs!$B$44&gt;0),IF(Inputs!$B$44&lt;=0,0,(INT(Inputs!$B$44/IF(Inputs!$B$39="pvp",15,MAX(0.1,Skills!D13-IF(TRUE=TRUE,Inputs!$B$33,0))))+1)),0)</f>
        <v/>
      </c>
      <c r="S842">
        <f>IFERROR(O842/N842,0)</f>
        <v/>
      </c>
      <c r="T842" t="n">
        <v>0</v>
      </c>
      <c r="V842" t="n">
        <v>0</v>
      </c>
    </row>
    <row r="843">
      <c r="A843">
        <f>Skills!A14</f>
        <v/>
      </c>
      <c r="B843">
        <f>Skills!B14</f>
        <v/>
      </c>
      <c r="C843">
        <f>Inputs!$B$3&gt;=115</f>
        <v/>
      </c>
      <c r="D843">
        <f>IF(Skills!C14=1,60+(Inputs!$B$26+1)+Inputs!$B$30,IF(Skills!C14=2,90+Inputs!$B$27+Inputs!$B$30,IF(Skills!C14=3,120+Inputs!$B$28+Inputs!$B$30,MAX(0,(Inputs!$B$3-100)*3)+Inputs!$B$29+Inputs!$B$30)))</f>
        <v/>
      </c>
      <c r="E843">
        <f>INDEX(FactorTable!$B$2:$Y$301, MATCH(ROUND(MIN(300,MAX(1,D843)),0), FactorTable!$A$2:$A$301,0), Skills!M14+1)</f>
        <v/>
      </c>
      <c r="F843">
        <f>IF(Skills!N14=TRUE,(Skills!L14/10)*(E843/1000),Skills!L14/10)+Skills!O14</f>
        <v/>
      </c>
      <c r="G843">
        <f>Skills!G14*IF(Skills!H14&gt;0,INT(IF(Inputs!$B$39="pvp",MIN(Skills!I14,15),Skills!I14)/Skills!H14+0.000000001),1)</f>
        <v/>
      </c>
      <c r="H843">
        <f>1-(1-Skills!J14/100)^Skills!K14</f>
        <v/>
      </c>
      <c r="I843" t="inlineStr">
        <is>
          <t>1</t>
        </is>
      </c>
      <c r="J843" t="inlineStr"/>
      <c r="K843" t="inlineStr"/>
      <c r="L843" t="inlineStr"/>
      <c r="M843" t="inlineStr"/>
      <c r="N843" t="inlineStr"/>
      <c r="O843">
        <f>(1-Summary!$B$11)*T843+Summary!$B$11*V843</f>
        <v/>
      </c>
      <c r="P843">
        <f>IF(B868=0,0,O843/B868)</f>
        <v/>
      </c>
      <c r="Q843">
        <f>IFERROR(1/IF(Inputs!$B$39="pvp",15,MAX(0.1,Skills!D14-IF(TRUE=TRUE,Inputs!$B$33,0))),0)</f>
        <v/>
      </c>
      <c r="R843">
        <f>IF(AND(Inputs!$B$39&lt;&gt;"pvp",Inputs!$B$44&gt;0),IF(Inputs!$B$44&lt;=0,0,(INT(Inputs!$B$44/IF(Inputs!$B$39="pvp",15,MAX(0.1,Skills!D14-IF(TRUE=TRUE,Inputs!$B$33,0))))+1)),0)</f>
        <v/>
      </c>
      <c r="S843">
        <f>IFERROR(O843/N843,0)</f>
        <v/>
      </c>
      <c r="T843" t="n">
        <v>0</v>
      </c>
      <c r="V843" t="n">
        <v>0</v>
      </c>
    </row>
    <row r="844">
      <c r="A844">
        <f>Skills!A15</f>
        <v/>
      </c>
      <c r="B844">
        <f>Skills!B15</f>
        <v/>
      </c>
      <c r="C844">
        <f>Inputs!$B$3&gt;=66</f>
        <v/>
      </c>
      <c r="D844">
        <f>IF(Skills!C15=1,60+(Inputs!$B$26+1)+Inputs!$B$30,IF(Skills!C15=2,90+Inputs!$B$27+Inputs!$B$30,IF(Skills!C15=3,120+Inputs!$B$28+Inputs!$B$30,MAX(0,(Inputs!$B$3-100)*3)+Inputs!$B$29+Inputs!$B$30)))</f>
        <v/>
      </c>
      <c r="E844">
        <f>INDEX(FactorTable!$B$2:$Y$301, MATCH(ROUND(MIN(300,MAX(1,D844)),0), FactorTable!$A$2:$A$301,0), Skills!M15+1)</f>
        <v/>
      </c>
      <c r="F844">
        <f>IF(Skills!N15=TRUE,(Skills!L15/10)*(E844/1000),Skills!L15/10)+Skills!O15</f>
        <v/>
      </c>
      <c r="G844">
        <f>Skills!G15*IF(Skills!H15&gt;0,INT(IF(Inputs!$B$39="pvp",MIN(Skills!I15,15),Skills!I15)/Skills!H15+0.000000001),1)</f>
        <v/>
      </c>
      <c r="H844">
        <f>1-(1-Skills!J15/100)^Skills!K15</f>
        <v/>
      </c>
      <c r="I844" t="inlineStr">
        <is>
          <t>1</t>
        </is>
      </c>
      <c r="J844" t="inlineStr"/>
      <c r="K844" t="inlineStr"/>
      <c r="L844" t="inlineStr"/>
      <c r="M844" t="inlineStr"/>
      <c r="N844" t="inlineStr"/>
      <c r="O844">
        <f>(1-Summary!$B$11)*T844+Summary!$B$11*V844</f>
        <v/>
      </c>
      <c r="P844">
        <f>IF(B868=0,0,O844/B868)</f>
        <v/>
      </c>
      <c r="Q844">
        <f>IFERROR(1/IF(Inputs!$B$39="pvp",15,MAX(0.1,Skills!D15-IF(TRUE=TRUE,Inputs!$B$33,0))),0)</f>
        <v/>
      </c>
      <c r="R844">
        <f>IF(AND(Inputs!$B$39&lt;&gt;"pvp",Inputs!$B$44&gt;0),IF(Inputs!$B$44&lt;=0,0,(INT(Inputs!$B$44/IF(Inputs!$B$39="pvp",15,MAX(0.1,Skills!D15-IF(TRUE=TRUE,Inputs!$B$33,0))))+1)),0)</f>
        <v/>
      </c>
      <c r="S844">
        <f>IFERROR(O844/N844,0)</f>
        <v/>
      </c>
      <c r="T844" t="n">
        <v>0</v>
      </c>
      <c r="V844" t="n">
        <v>0</v>
      </c>
    </row>
    <row r="845">
      <c r="A845">
        <f>Skills!A16</f>
        <v/>
      </c>
      <c r="B845">
        <f>Skills!B16</f>
        <v/>
      </c>
      <c r="C845">
        <f>Inputs!$B$3&gt;=45</f>
        <v/>
      </c>
      <c r="D845">
        <f>IF(Skills!C16=1,60+(Inputs!$B$26+1)+Inputs!$B$30,IF(Skills!C16=2,90+Inputs!$B$27+Inputs!$B$30,IF(Skills!C16=3,120+Inputs!$B$28+Inputs!$B$30,MAX(0,(Inputs!$B$3-100)*3)+Inputs!$B$29+Inputs!$B$30)))</f>
        <v/>
      </c>
      <c r="E845">
        <f>INDEX(FactorTable!$B$2:$Y$301, MATCH(ROUND(MIN(300,MAX(1,D845)),0), FactorTable!$A$2:$A$301,0), Skills!M16+1)</f>
        <v/>
      </c>
      <c r="F845">
        <f>IF(Skills!N16=TRUE,(Skills!L16/10)*(E845/1000),Skills!L16/10)+Skills!O16</f>
        <v/>
      </c>
      <c r="G845">
        <f>Skills!G16*IF(Skills!H16&gt;0,INT(IF(Inputs!$B$39="pvp",MIN(Skills!I16,15),Skills!I16)/Skills!H16+0.000000001),1)</f>
        <v/>
      </c>
      <c r="H845">
        <f>1-(1-Skills!J16/100)^Skills!K16</f>
        <v/>
      </c>
      <c r="I845" t="inlineStr">
        <is>
          <t>1</t>
        </is>
      </c>
      <c r="J845" t="inlineStr"/>
      <c r="K845" t="inlineStr"/>
      <c r="L845" t="inlineStr"/>
      <c r="M845" t="inlineStr"/>
      <c r="N845" t="inlineStr"/>
      <c r="O845">
        <f>(1-Summary!$B$11)*T845+Summary!$B$11*V845</f>
        <v/>
      </c>
      <c r="P845">
        <f>IF(B868=0,0,O845/B868)</f>
        <v/>
      </c>
      <c r="Q845">
        <f>IFERROR(1/IF(Inputs!$B$39="pvp",15,MAX(0.1,Skills!D16-IF(TRUE=TRUE,Inputs!$B$33,0))),0)</f>
        <v/>
      </c>
      <c r="R845">
        <f>IF(AND(Inputs!$B$39&lt;&gt;"pvp",Inputs!$B$44&gt;0),IF(Inputs!$B$44&lt;=0,0,(INT(Inputs!$B$44/IF(Inputs!$B$39="pvp",15,MAX(0.1,Skills!D16-IF(TRUE=TRUE,Inputs!$B$33,0))))+1)),0)</f>
        <v/>
      </c>
      <c r="S845">
        <f>IFERROR(O845/N845,0)</f>
        <v/>
      </c>
      <c r="T845" t="n">
        <v>0</v>
      </c>
      <c r="V845" t="n">
        <v>0</v>
      </c>
    </row>
    <row r="846">
      <c r="A846">
        <f>Skills!A17</f>
        <v/>
      </c>
      <c r="B846">
        <f>Skills!B17</f>
        <v/>
      </c>
      <c r="C846">
        <f>Inputs!$B$3&gt;=35</f>
        <v/>
      </c>
      <c r="D846">
        <f>IF(Skills!C17=1,60+(Inputs!$B$26+1)+Inputs!$B$30,IF(Skills!C17=2,90+Inputs!$B$27+Inputs!$B$30,IF(Skills!C17=3,120+Inputs!$B$28+Inputs!$B$30,MAX(0,(Inputs!$B$3-100)*3)+Inputs!$B$29+Inputs!$B$30)))</f>
        <v/>
      </c>
      <c r="E846">
        <f>INDEX(FactorTable!$B$2:$Y$301, MATCH(ROUND(MIN(300,MAX(1,D846)),0), FactorTable!$A$2:$A$301,0), Skills!M17+1)</f>
        <v/>
      </c>
      <c r="F846">
        <f>IF(Skills!N17=TRUE,(Skills!L17/10)*(E846/1000),Skills!L17/10)+Skills!O17</f>
        <v/>
      </c>
      <c r="G846">
        <f>Skills!G17*IF(Skills!H17&gt;0,INT(IF(Inputs!$B$39="pvp",MIN(Skills!I17,15),Skills!I17)/Skills!H17+0.000000001),1)</f>
        <v/>
      </c>
      <c r="H846">
        <f>1-(1-Skills!J17/100)^Skills!K17</f>
        <v/>
      </c>
      <c r="I846" t="inlineStr">
        <is>
          <t>1</t>
        </is>
      </c>
      <c r="J846" t="inlineStr"/>
      <c r="K846" t="inlineStr"/>
      <c r="L846" t="inlineStr"/>
      <c r="M846" t="inlineStr"/>
      <c r="N846" t="inlineStr"/>
      <c r="O846">
        <f>(1-Summary!$B$11)*T846+Summary!$B$11*V846</f>
        <v/>
      </c>
      <c r="P846">
        <f>IF(B868=0,0,O846/B868)</f>
        <v/>
      </c>
      <c r="Q846">
        <f>IFERROR(1/IF(Inputs!$B$39="pvp",15,MAX(0.1,Skills!D17-IF(TRUE=TRUE,Inputs!$B$33,0))),0)</f>
        <v/>
      </c>
      <c r="R846">
        <f>IF(AND(Inputs!$B$39&lt;&gt;"pvp",Inputs!$B$44&gt;0),IF(Inputs!$B$44&lt;=0,0,(INT(Inputs!$B$44/IF(Inputs!$B$39="pvp",15,MAX(0.1,Skills!D17-IF(TRUE=TRUE,Inputs!$B$33,0))))+1)),0)</f>
        <v/>
      </c>
      <c r="S846">
        <f>IFERROR(O846/N846,0)</f>
        <v/>
      </c>
      <c r="T846" t="n">
        <v>0</v>
      </c>
      <c r="V846" t="n">
        <v>0</v>
      </c>
    </row>
    <row r="847">
      <c r="A847">
        <f>Skills!A18</f>
        <v/>
      </c>
      <c r="B847">
        <f>Skills!B18</f>
        <v/>
      </c>
      <c r="C847">
        <f>Inputs!$B$3&gt;=72</f>
        <v/>
      </c>
      <c r="D847">
        <f>IF(Skills!C18=1,60+(Inputs!$B$26+1)+Inputs!$B$30,IF(Skills!C18=2,90+Inputs!$B$27+Inputs!$B$30,IF(Skills!C18=3,120+Inputs!$B$28+Inputs!$B$30,MAX(0,(Inputs!$B$3-100)*3)+Inputs!$B$29+Inputs!$B$30)))</f>
        <v/>
      </c>
      <c r="E847">
        <f>INDEX(FactorTable!$B$2:$Y$301, MATCH(ROUND(MIN(300,MAX(1,D847)),0), FactorTable!$A$2:$A$301,0), Skills!M18+1)</f>
        <v/>
      </c>
      <c r="F847">
        <f>IF(Skills!N18=TRUE,(Skills!L18/10)*(E847/1000),Skills!L18/10)+Skills!O18</f>
        <v/>
      </c>
      <c r="G847">
        <f>Skills!G18*IF(Skills!H18&gt;0,INT(IF(Inputs!$B$39="pvp",MIN(Skills!I18,15),Skills!I18)/Skills!H18+0.000000001),1)</f>
        <v/>
      </c>
      <c r="H847">
        <f>1-(1-Skills!J18/100)^Skills!K18</f>
        <v/>
      </c>
      <c r="I847" t="inlineStr">
        <is>
          <t>1</t>
        </is>
      </c>
      <c r="J847" t="inlineStr"/>
      <c r="K847" t="inlineStr"/>
      <c r="L847" t="inlineStr"/>
      <c r="M847" t="inlineStr"/>
      <c r="N847" t="inlineStr"/>
      <c r="O847">
        <f>(1-Summary!$B$11)*T847+Summary!$B$11*V847</f>
        <v/>
      </c>
      <c r="P847">
        <f>IF(B868=0,0,O847/B868)</f>
        <v/>
      </c>
      <c r="Q847">
        <f>IFERROR(1/IF(Inputs!$B$39="pvp",15,MAX(0.1,Skills!D18-IF(TRUE=TRUE,Inputs!$B$33,0))),0)</f>
        <v/>
      </c>
      <c r="R847">
        <f>IF(AND(Inputs!$B$39&lt;&gt;"pvp",Inputs!$B$44&gt;0),IF(Inputs!$B$44&lt;=0,0,(INT(Inputs!$B$44/IF(Inputs!$B$39="pvp",15,MAX(0.1,Skills!D18-IF(TRUE=TRUE,Inputs!$B$33,0))))+1)),0)</f>
        <v/>
      </c>
      <c r="S847">
        <f>IFERROR(O847/N847,0)</f>
        <v/>
      </c>
      <c r="T847" t="n">
        <v>0</v>
      </c>
      <c r="V847" t="n">
        <v>0</v>
      </c>
    </row>
    <row r="848">
      <c r="A848">
        <f>Skills!A19</f>
        <v/>
      </c>
      <c r="B848">
        <f>Skills!B19</f>
        <v/>
      </c>
      <c r="C848">
        <f>Inputs!$B$3&gt;=72</f>
        <v/>
      </c>
      <c r="D848">
        <f>IF(Skills!C19=1,60+(Inputs!$B$26+1)+Inputs!$B$30,IF(Skills!C19=2,90+Inputs!$B$27+Inputs!$B$30,IF(Skills!C19=3,120+Inputs!$B$28+Inputs!$B$30,MAX(0,(Inputs!$B$3-100)*3)+Inputs!$B$29+Inputs!$B$30)))</f>
        <v/>
      </c>
      <c r="E848">
        <f>INDEX(FactorTable!$B$2:$Y$301, MATCH(ROUND(MIN(300,MAX(1,D848)),0), FactorTable!$A$2:$A$301,0), Skills!M19+1)</f>
        <v/>
      </c>
      <c r="F848">
        <f>IF(Skills!N19=TRUE,(Skills!L19/10)*(E848/1000),Skills!L19/10)+Skills!O19</f>
        <v/>
      </c>
      <c r="G848">
        <f>Skills!G19*IF(Skills!H19&gt;0,INT(IF(Inputs!$B$39="pvp",MIN(Skills!I19,15),Skills!I19)/Skills!H19+0.000000001),1)</f>
        <v/>
      </c>
      <c r="H848">
        <f>1-(1-Skills!J19/100)^Skills!K19</f>
        <v/>
      </c>
      <c r="I848" t="inlineStr">
        <is>
          <t>1</t>
        </is>
      </c>
      <c r="J848" t="inlineStr"/>
      <c r="K848" t="inlineStr"/>
      <c r="L848" t="inlineStr"/>
      <c r="M848" t="inlineStr"/>
      <c r="N848" t="inlineStr"/>
      <c r="O848">
        <f>(1-Summary!$B$11)*T848+Summary!$B$11*V848</f>
        <v/>
      </c>
      <c r="P848">
        <f>IF(B868=0,0,O848/B868)</f>
        <v/>
      </c>
      <c r="Q848">
        <f>IFERROR(1/IF(Inputs!$B$39="pvp",15,MAX(0.1,Skills!D19-IF(TRUE=TRUE,Inputs!$B$33,0))),0)</f>
        <v/>
      </c>
      <c r="R848">
        <f>IF(AND(Inputs!$B$39&lt;&gt;"pvp",Inputs!$B$44&gt;0),IF(Inputs!$B$44&lt;=0,0,(INT(Inputs!$B$44/IF(Inputs!$B$39="pvp",15,MAX(0.1,Skills!D19-IF(TRUE=TRUE,Inputs!$B$33,0))))+1)),0)</f>
        <v/>
      </c>
      <c r="S848">
        <f>IFERROR(O848/N848,0)</f>
        <v/>
      </c>
      <c r="T848" t="n">
        <v>0</v>
      </c>
      <c r="V848" t="n">
        <v>0</v>
      </c>
    </row>
    <row r="849">
      <c r="A849">
        <f>Skills!A20</f>
        <v/>
      </c>
      <c r="B849">
        <f>Skills!B20</f>
        <v/>
      </c>
      <c r="C849">
        <f>TRUE</f>
        <v/>
      </c>
      <c r="D849">
        <f>IF(Skills!C20=1,60+(Inputs!$B$26+1)+Inputs!$B$30,IF(Skills!C20=2,90+Inputs!$B$27+Inputs!$B$30,IF(Skills!C20=3,120+Inputs!$B$28+Inputs!$B$30,MAX(0,(Inputs!$B$3-100)*3)+Inputs!$B$29+Inputs!$B$30)))</f>
        <v/>
      </c>
      <c r="E849">
        <f>INDEX(FactorTable!$B$2:$Y$301, MATCH(ROUND(MIN(300,MAX(1,D849)),0), FactorTable!$A$2:$A$301,0), Skills!M20+1)</f>
        <v/>
      </c>
      <c r="F849">
        <f>IF(Skills!N20=TRUE,(Skills!L20/10)*(E849/1000),Skills!L20/10)+Skills!O20</f>
        <v/>
      </c>
      <c r="G849">
        <f>Skills!G20*IF(Skills!H20&gt;0,INT(IF(Inputs!$B$39="pvp",MIN(Skills!I20,15),Skills!I20)/Skills!H20+0.000000001),1)</f>
        <v/>
      </c>
      <c r="H849">
        <f>1-(1-Skills!J20/100)^Skills!K20</f>
        <v/>
      </c>
      <c r="I849" t="inlineStr">
        <is>
          <t>1</t>
        </is>
      </c>
      <c r="J849" t="inlineStr"/>
      <c r="K849" t="inlineStr"/>
      <c r="L849" t="inlineStr"/>
      <c r="M849" t="inlineStr"/>
      <c r="N849" t="inlineStr"/>
      <c r="O849">
        <f>(1-Summary!$B$11)*T849+Summary!$B$11*V849</f>
        <v/>
      </c>
      <c r="P849">
        <f>IF(B868=0,0,O849/B868)</f>
        <v/>
      </c>
      <c r="Q849">
        <f>IFERROR(1/IF(Inputs!$B$39="pvp",15,MAX(0.1,Skills!D20-IF(TRUE=TRUE,Inputs!$B$33,0))),0)</f>
        <v/>
      </c>
      <c r="R849">
        <f>IF(AND(Inputs!$B$39&lt;&gt;"pvp",Inputs!$B$44&gt;0),IF(Inputs!$B$44&lt;=0,0,(INT(Inputs!$B$44/IF(Inputs!$B$39="pvp",15,MAX(0.1,Skills!D20-IF(TRUE=TRUE,Inputs!$B$33,0))))+1)),0)</f>
        <v/>
      </c>
      <c r="S849">
        <f>IFERROR(O849/N849,0)</f>
        <v/>
      </c>
      <c r="T849" t="n">
        <v>0</v>
      </c>
      <c r="V849" t="n">
        <v>0</v>
      </c>
    </row>
    <row r="850">
      <c r="A850">
        <f>Skills!A21</f>
        <v/>
      </c>
      <c r="B850">
        <f>Skills!B21</f>
        <v/>
      </c>
      <c r="C850">
        <f>Inputs!$B$3&gt;=33</f>
        <v/>
      </c>
      <c r="D850">
        <f>IF(Skills!C21=1,60+(Inputs!$B$26+1)+Inputs!$B$30,IF(Skills!C21=2,90+Inputs!$B$27+Inputs!$B$30,IF(Skills!C21=3,120+Inputs!$B$28+Inputs!$B$30,MAX(0,(Inputs!$B$3-100)*3)+Inputs!$B$29+Inputs!$B$30)))</f>
        <v/>
      </c>
      <c r="E850">
        <f>INDEX(FactorTable!$B$2:$Y$301, MATCH(ROUND(MIN(300,MAX(1,D850)),0), FactorTable!$A$2:$A$301,0), Skills!M21+1)</f>
        <v/>
      </c>
      <c r="F850">
        <f>IF(Skills!N21=TRUE,(Skills!L21/10)*(E850/1000),Skills!L21/10)+Skills!O21</f>
        <v/>
      </c>
      <c r="G850">
        <f>Skills!G21*IF(Skills!H21&gt;0,INT(IF(Inputs!$B$39="pvp",MIN(Skills!I21,15),Skills!I21)/Skills!H21+0.000000001),1)</f>
        <v/>
      </c>
      <c r="H850">
        <f>1-(1-Skills!J21/100)^Skills!K21</f>
        <v/>
      </c>
      <c r="I850" t="inlineStr">
        <is>
          <t>1</t>
        </is>
      </c>
      <c r="J850" t="inlineStr"/>
      <c r="K850" t="inlineStr"/>
      <c r="L850" t="inlineStr"/>
      <c r="M850" t="inlineStr"/>
      <c r="N850" t="inlineStr"/>
      <c r="O850">
        <f>(1-Summary!$B$11)*T850+Summary!$B$11*V850</f>
        <v/>
      </c>
      <c r="P850">
        <f>IF(B868=0,0,O850/B868)</f>
        <v/>
      </c>
      <c r="Q850" t="n">
        <v>0</v>
      </c>
      <c r="R850" t="n">
        <v>0</v>
      </c>
      <c r="S850">
        <f>IFERROR(O850/N850,0)</f>
        <v/>
      </c>
      <c r="T850" t="n">
        <v>0</v>
      </c>
      <c r="V850" t="n">
        <v>0</v>
      </c>
    </row>
    <row r="851">
      <c r="A851">
        <f>Skills!A22</f>
        <v/>
      </c>
      <c r="B851">
        <f>Skills!B22</f>
        <v/>
      </c>
      <c r="C851">
        <f>Inputs!$B$3&gt;=43</f>
        <v/>
      </c>
      <c r="D851">
        <f>IF(Skills!C22=1,60+(Inputs!$B$26+1)+Inputs!$B$30,IF(Skills!C22=2,90+Inputs!$B$27+Inputs!$B$30,IF(Skills!C22=3,120+Inputs!$B$28+Inputs!$B$30,MAX(0,(Inputs!$B$3-100)*3)+Inputs!$B$29+Inputs!$B$30)))</f>
        <v/>
      </c>
      <c r="E851">
        <f>INDEX(FactorTable!$B$2:$Y$301, MATCH(ROUND(MIN(300,MAX(1,D851)),0), FactorTable!$A$2:$A$301,0), Skills!M22+1)</f>
        <v/>
      </c>
      <c r="F851">
        <f>IF(Skills!N22=TRUE,(Skills!L22/10)*(E851/1000),Skills!L22/10)+Skills!O22</f>
        <v/>
      </c>
      <c r="G851">
        <f>Skills!G22*IF(Skills!H22&gt;0,INT(IF(Inputs!$B$39="pvp",MIN(Skills!I22,15),Skills!I22)/Skills!H22+0.000000001),1)</f>
        <v/>
      </c>
      <c r="H851">
        <f>1-(1-Skills!J22/100)^Skills!K22</f>
        <v/>
      </c>
      <c r="I851" t="inlineStr">
        <is>
          <t>1</t>
        </is>
      </c>
      <c r="J851" t="inlineStr"/>
      <c r="K851" t="inlineStr"/>
      <c r="L851" t="inlineStr"/>
      <c r="M851" t="inlineStr"/>
      <c r="N851" t="inlineStr"/>
      <c r="O851">
        <f>(1-Summary!$B$11)*T851+Summary!$B$11*V851</f>
        <v/>
      </c>
      <c r="P851">
        <f>IF(B868=0,0,O851/B868)</f>
        <v/>
      </c>
      <c r="Q851" t="n">
        <v>0</v>
      </c>
      <c r="R851" t="n">
        <v>0</v>
      </c>
      <c r="S851">
        <f>IFERROR(O851/N851,0)</f>
        <v/>
      </c>
      <c r="T851" t="n">
        <v>0</v>
      </c>
      <c r="V851" t="n">
        <v>0</v>
      </c>
    </row>
    <row r="852">
      <c r="A852">
        <f>Skills!A23</f>
        <v/>
      </c>
      <c r="B852">
        <f>Skills!B23</f>
        <v/>
      </c>
      <c r="C852">
        <f>Inputs!$B$3&gt;=120</f>
        <v/>
      </c>
      <c r="D852">
        <f>IF(Skills!C23=1,60+(Inputs!$B$26+1)+Inputs!$B$30,IF(Skills!C23=2,90+Inputs!$B$27+Inputs!$B$30,IF(Skills!C23=3,120+Inputs!$B$28+Inputs!$B$30,MAX(0,(Inputs!$B$3-100)*3)+Inputs!$B$29+Inputs!$B$30)))</f>
        <v/>
      </c>
      <c r="E852">
        <f>INDEX(FactorTable!$B$2:$Y$301, MATCH(ROUND(MIN(300,MAX(1,D852)),0), FactorTable!$A$2:$A$301,0), Skills!M23+1)</f>
        <v/>
      </c>
      <c r="F852">
        <f>IF(Skills!N23=TRUE,(Skills!L23/10)*(E852/1000),Skills!L23/10)+Skills!O23</f>
        <v/>
      </c>
      <c r="G852">
        <f>Skills!G23*IF(Skills!H23&gt;0,INT(IF(Inputs!$B$39="pvp",MIN(Skills!I23,15),Skills!I23)/Skills!H23+0.000000001),1)</f>
        <v/>
      </c>
      <c r="H852">
        <f>1-(1-Skills!J23/100)^Skills!K23</f>
        <v/>
      </c>
      <c r="I852" t="inlineStr">
        <is>
          <t>1</t>
        </is>
      </c>
      <c r="J852" t="inlineStr"/>
      <c r="K852" t="inlineStr"/>
      <c r="L852" t="inlineStr"/>
      <c r="M852" t="inlineStr"/>
      <c r="N852" t="inlineStr"/>
      <c r="O852">
        <f>(1-Summary!$B$11)*T852+Summary!$B$11*V852</f>
        <v/>
      </c>
      <c r="P852">
        <f>IF(B868=0,0,O852/B868)</f>
        <v/>
      </c>
      <c r="Q852" t="n">
        <v>0</v>
      </c>
      <c r="R852" t="n">
        <v>0</v>
      </c>
      <c r="S852">
        <f>IFERROR(O852/N852,0)</f>
        <v/>
      </c>
      <c r="T852" t="n">
        <v>0</v>
      </c>
      <c r="V852" t="n">
        <v>0</v>
      </c>
    </row>
    <row r="853">
      <c r="A853">
        <f>Skills!A24</f>
        <v/>
      </c>
      <c r="B853">
        <f>Skills!B24</f>
        <v/>
      </c>
      <c r="C853">
        <f>Inputs!$B$3&gt;=120</f>
        <v/>
      </c>
      <c r="D853">
        <f>IF(Skills!C24=1,60+(Inputs!$B$26+1)+Inputs!$B$30,IF(Skills!C24=2,90+Inputs!$B$27+Inputs!$B$30,IF(Skills!C24=3,120+Inputs!$B$28+Inputs!$B$30,MAX(0,(Inputs!$B$3-100)*3)+Inputs!$B$29+Inputs!$B$30)))</f>
        <v/>
      </c>
      <c r="E853">
        <f>INDEX(FactorTable!$B$2:$Y$301, MATCH(ROUND(MIN(300,MAX(1,D853)),0), FactorTable!$A$2:$A$301,0), Skills!M24+1)</f>
        <v/>
      </c>
      <c r="F853">
        <f>IF(Skills!N24=TRUE,(Skills!L24/10)*(E853/1000),Skills!L24/10)+Skills!O24</f>
        <v/>
      </c>
      <c r="G853">
        <f>Skills!G24*IF(Skills!H24&gt;0,INT(IF(Inputs!$B$39="pvp",MIN(Skills!I24,15),Skills!I24)/Skills!H24+0.000000001),1)</f>
        <v/>
      </c>
      <c r="H853">
        <f>1-(1-Skills!J24/100)^Skills!K24</f>
        <v/>
      </c>
      <c r="I853" t="inlineStr">
        <is>
          <t>1</t>
        </is>
      </c>
      <c r="J853" t="inlineStr"/>
      <c r="K853" t="inlineStr"/>
      <c r="L853" t="inlineStr"/>
      <c r="M853" t="inlineStr"/>
      <c r="N853" t="inlineStr"/>
      <c r="O853">
        <f>(1-Summary!$B$11)*T853+Summary!$B$11*V853</f>
        <v/>
      </c>
      <c r="P853">
        <f>IF(B868=0,0,O853/B868)</f>
        <v/>
      </c>
      <c r="Q853" t="n">
        <v>0</v>
      </c>
      <c r="R853" t="n">
        <v>0</v>
      </c>
      <c r="S853">
        <f>IFERROR(O853/N853,0)</f>
        <v/>
      </c>
      <c r="T853" t="n">
        <v>0</v>
      </c>
      <c r="V853" t="n">
        <v>0</v>
      </c>
    </row>
    <row r="854">
      <c r="A854">
        <f>Skills!A25</f>
        <v/>
      </c>
      <c r="B854">
        <f>Skills!B25</f>
        <v/>
      </c>
      <c r="C854">
        <f>Inputs!$B$3&gt;=125</f>
        <v/>
      </c>
      <c r="D854">
        <f>IF(Skills!C25=1,60+(Inputs!$B$26+1)+Inputs!$B$30,IF(Skills!C25=2,90+Inputs!$B$27+Inputs!$B$30,IF(Skills!C25=3,120+Inputs!$B$28+Inputs!$B$30,MAX(0,(Inputs!$B$3-100)*3)+Inputs!$B$29+Inputs!$B$30)))</f>
        <v/>
      </c>
      <c r="E854">
        <f>INDEX(FactorTable!$B$2:$Y$301, MATCH(ROUND(MIN(300,MAX(1,D854)),0), FactorTable!$A$2:$A$301,0), Skills!M25+1)</f>
        <v/>
      </c>
      <c r="F854">
        <f>IF(Skills!N25=TRUE,(Skills!L25/10)*(E854/1000),Skills!L25/10)+Skills!O25</f>
        <v/>
      </c>
      <c r="G854">
        <f>Skills!G25*IF(Skills!H25&gt;0,INT(IF(Inputs!$B$39="pvp",MIN(Skills!I25,15),Skills!I25)/Skills!H25+0.000000001),1)</f>
        <v/>
      </c>
      <c r="H854">
        <f>1-(1-Skills!J25/100)^Skills!K25</f>
        <v/>
      </c>
      <c r="I854" t="inlineStr">
        <is>
          <t>1</t>
        </is>
      </c>
      <c r="J854" t="inlineStr"/>
      <c r="K854" t="inlineStr"/>
      <c r="L854" t="inlineStr"/>
      <c r="M854" t="inlineStr"/>
      <c r="N854" t="inlineStr"/>
      <c r="O854">
        <f>(1-Summary!$B$11)*T854+Summary!$B$11*V854</f>
        <v/>
      </c>
      <c r="P854">
        <f>IF(B868=0,0,O854/B868)</f>
        <v/>
      </c>
      <c r="Q854" t="n">
        <v>0</v>
      </c>
      <c r="R854" t="n">
        <v>0</v>
      </c>
      <c r="S854">
        <f>IFERROR(O854/N854,0)</f>
        <v/>
      </c>
      <c r="T854" t="n">
        <v>0</v>
      </c>
      <c r="V854" t="n">
        <v>0</v>
      </c>
    </row>
    <row r="855">
      <c r="A855">
        <f>Skills!A26</f>
        <v/>
      </c>
      <c r="B855">
        <f>Skills!B26</f>
        <v/>
      </c>
      <c r="C855">
        <f>Inputs!$B$3&gt;=107</f>
        <v/>
      </c>
      <c r="D855">
        <f>IF(Skills!C26=1,60+(Inputs!$B$26+1)+Inputs!$B$30,IF(Skills!C26=2,90+Inputs!$B$27+Inputs!$B$30,IF(Skills!C26=3,120+Inputs!$B$28+Inputs!$B$30,MAX(0,(Inputs!$B$3-100)*3)+Inputs!$B$29+Inputs!$B$30)))</f>
        <v/>
      </c>
      <c r="E855">
        <f>INDEX(FactorTable!$B$2:$Y$301, MATCH(ROUND(MIN(300,MAX(1,D855)),0), FactorTable!$A$2:$A$301,0), Skills!M26+1)</f>
        <v/>
      </c>
      <c r="F855">
        <f>IF(Skills!N26=TRUE,(Skills!L26/10)*(E855/1000),Skills!L26/10)+Skills!O26</f>
        <v/>
      </c>
      <c r="G855">
        <f>Skills!G26*IF(Skills!H26&gt;0,INT(IF(Inputs!$B$39="pvp",MIN(Skills!I26,15),Skills!I26)/Skills!H26+0.000000001),1)</f>
        <v/>
      </c>
      <c r="H855">
        <f>1-(1-Skills!J26/100)^Skills!K26</f>
        <v/>
      </c>
      <c r="I855" t="inlineStr">
        <is>
          <t>1</t>
        </is>
      </c>
      <c r="J855" t="inlineStr"/>
      <c r="K855" t="inlineStr"/>
      <c r="L855" t="inlineStr"/>
      <c r="M855" t="inlineStr"/>
      <c r="N855" t="inlineStr"/>
      <c r="O855">
        <f>(1-Summary!$B$11)*T855+Summary!$B$11*V855</f>
        <v/>
      </c>
      <c r="P855">
        <f>IF(B868=0,0,O855/B868)</f>
        <v/>
      </c>
      <c r="Q855" t="n">
        <v>0</v>
      </c>
      <c r="R855" t="n">
        <v>0</v>
      </c>
      <c r="S855">
        <f>IFERROR(O855/N855,0)</f>
        <v/>
      </c>
      <c r="T855" t="n">
        <v>0</v>
      </c>
      <c r="V855" t="n">
        <v>0</v>
      </c>
    </row>
    <row r="857">
      <c r="A857" t="inlineStr">
        <is>
          <t>Attack% Bucket Multiplier</t>
        </is>
      </c>
      <c r="B857">
        <f>(1+(((C842=TRUE)*F842*IF(AND(Inputs!$B$39&lt;&gt;"pvp",Inputs!$B$44&gt;0),(((R842-1)*MIN((Skills!T13*(1+Inputs!$B$35/100)),(1/Q842))+MIN((Skills!T13*(1+Inputs!$B$35/100)),MAX(0,Inputs!$B$44-((R842-1)*(1/Q842)))))/Inputs!$B$44),IF(Inputs!$B$39="pvp",MIN((Skills!T13*(1+Inputs!$B$35/100)),15)/15,MIN(1,(Skills!T13*(1+Inputs!$B$35/100))/(1/Q842)))))+((C843=TRUE)*F843*IF(AND(Inputs!$B$39&lt;&gt;"pvp",Inputs!$B$44&gt;0),(((R843-1)*MIN((Skills!T14*(1+Inputs!$B$35/100)),(1/Q843))+MIN((Skills!T14*(1+Inputs!$B$35/100)),MAX(0,Inputs!$B$44-((R843-1)*(1/Q843)))))/Inputs!$B$44),IF(Inputs!$B$39="pvp",MIN((Skills!T14*(1+Inputs!$B$35/100)),15)/15,MIN(1,(Skills!T14*(1+Inputs!$B$35/100))/(1/Q843)))))+((C844=TRUE)*F844*IF(AND(Inputs!$B$39&lt;&gt;"pvp",Inputs!$B$44&gt;0),(((R844-1)*MIN((Skills!T15*(1+Inputs!$B$35/100)),(1/Q844))+MIN((Skills!T15*(1+Inputs!$B$35/100)),MAX(0,Inputs!$B$44-((R844-1)*(1/Q844)))))/Inputs!$B$44),IF(Inputs!$B$39="pvp",MIN((Skills!T15*(1+Inputs!$B$35/100)),15)/15,MIN(1,(Skills!T15*(1+Inputs!$B$35/100))/(1/Q844)))))+((C845=TRUE)*F845*IF(AND(Inputs!$B$39&lt;&gt;"pvp",Inputs!$B$44&gt;0),(((R845-1)*MIN((Skills!T16*(1+Inputs!$B$35/100)),(1/Q845))+MIN((Skills!T16*(1+Inputs!$B$35/100)),MAX(0,Inputs!$B$44-((R845-1)*(1/Q845)))))/Inputs!$B$44),IF(Inputs!$B$39="pvp",MIN((Skills!T16*(1+Inputs!$B$35/100)),15)/15,MIN(1,(Skills!T16*(1+Inputs!$B$35/100))/(1/Q845)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858">
      <c r="A858" t="inlineStr">
        <is>
          <t>Global Crit Rate Bonus % (Lord of Darkness)</t>
        </is>
      </c>
      <c r="B858">
        <f>((C847=TRUE)*F847*(Skills!J18/100)*IF(AND(Inputs!$B$39&lt;&gt;"pvp",Inputs!$B$44&gt;0),(((R847-1)*MIN((Skills!T18*(1+Inputs!$B$35/100)),(1/Q847))+MIN((Skills!T18*(1+Inputs!$B$35/100)),MAX(0,Inputs!$B$44-((R847-1)*(1/Q847)))))/Inputs!$B$44),IF(Inputs!$B$39="pvp",MIN((Skills!T18*(1+Inputs!$B$35/100)),15)/15,MIN(1,(Skills!T18*(1+Inputs!$B$35/100))/(1/Q847)))))</f>
        <v/>
      </c>
    </row>
    <row r="859">
      <c r="A859" t="inlineStr">
        <is>
          <t>Attack Speed Buff Bonus %</t>
        </is>
      </c>
      <c r="B859">
        <f>((C849=TRUE)*F849*IF(AND(Inputs!$B$39&lt;&gt;"pvp",Inputs!$B$44&gt;0),(((R849-1)*MIN((Skills!T20*(1+Inputs!$B$35/100)),(1/Q849))+MIN((Skills!T20*(1+Inputs!$B$35/100)),MAX(0,Inputs!$B$44-((R849-1)*(1/Q849)))))/Inputs!$B$44),IF(Inputs!$B$39="pvp",MIN((Skills!T20*(1+Inputs!$B$35/100)),15)/15,MIN(1,(Skills!T20*(1+Inputs!$B$35/100))/(1/Q849)))))</f>
        <v/>
      </c>
    </row>
    <row r="860">
      <c r="A860" t="inlineStr">
        <is>
          <t>Actions Per Second</t>
        </is>
      </c>
      <c r="B860">
        <f>1+MIN(150,150*(1-(1-(Inputs!$B$12+((C850=TRUE)*(F850-Calc!F21)))/150)*(1-B859/150)))/100</f>
        <v/>
      </c>
    </row>
    <row r="861">
      <c r="A861" t="inlineStr">
        <is>
          <t>Skill + Buff Cast Rate</t>
        </is>
      </c>
      <c r="B861">
        <f>IF(AND(Inputs!$B$39&lt;&gt;"pvp",Inputs!$B$44&gt;0),SUMPRODUCT((Skills!E2:E26=TRUE)*(C831:C855=TRUE)*R831:R855*Skills!F2:F26)/Inputs!$B$44,SUMPRODUCT((Skills!E2:E26=TRUE)*(C831:C855=TRUE)*Q831:Q855*Skills!F2:F26))</f>
        <v/>
      </c>
    </row>
    <row r="862">
      <c r="A862" t="inlineStr">
        <is>
          <t>Dark Impale Casts Per Second</t>
        </is>
      </c>
      <c r="B862">
        <f>MAX(0,B860-B861)</f>
        <v/>
      </c>
    </row>
    <row r="863">
      <c r="A863" t="inlineStr">
        <is>
          <t>Global Critical Damage Bonus % (Lord of Darkness)</t>
        </is>
      </c>
      <c r="B863">
        <f>((C848=TRUE)*F848*(Skills!J19/100)*IF(AND(Inputs!$B$39&lt;&gt;"pvp",Inputs!$B$44&gt;0),(((R848-1)*MIN((Skills!T19*(1+Inputs!$B$35/100)),(1/Q848))+MIN((Skills!T19*(1+Inputs!$B$35/100)),MAX(0,Inputs!$B$44-((R848-1)*(1/Q848)))))/Inputs!$B$44),IF(Inputs!$B$39="pvp",MIN((Skills!T19*(1+Inputs!$B$35/100)),15)/15,MIN(1,(Skills!T19*(1+Inputs!$B$35/100))/(1/Q848)))))</f>
        <v/>
      </c>
    </row>
    <row r="864">
      <c r="A864" t="inlineStr">
        <is>
          <t>Global Final Damage Bonus % (unused)</t>
        </is>
      </c>
      <c r="B864" t="n">
        <v>0</v>
      </c>
    </row>
    <row r="865">
      <c r="A865" t="inlineStr">
        <is>
          <t>Buff-Casting Startup Delay (s, fixed-duration only)</t>
        </is>
      </c>
      <c r="B865">
        <f>IF(AND(Inputs!$B$39&lt;&gt;"pvp",Inputs!$B$44&gt;0),SUMPRODUCT((Skills!T2:T26&gt;0)*(Skills!E2:E26=TRUE)*(C831:C855=TRUE))/B860,0)</f>
        <v/>
      </c>
    </row>
    <row r="866">
      <c r="A866" t="inlineStr">
        <is>
          <t>Boss-Only Total DPS (this block's swept value)</t>
        </is>
      </c>
      <c r="B866">
        <f>SUM(T831:T855)</f>
        <v/>
      </c>
    </row>
    <row r="867">
      <c r="A867" t="inlineStr">
        <is>
          <t>Normal-Only Total DPS (this block's swept value)</t>
        </is>
      </c>
      <c r="B867">
        <f>SUM(V831:V855)</f>
        <v/>
      </c>
    </row>
    <row r="868">
      <c r="A868" s="6" t="inlineStr">
        <is>
          <t>TOTAL DPS</t>
        </is>
      </c>
      <c r="B868" s="6">
        <f>SUM(O831:O855)</f>
        <v/>
      </c>
    </row>
    <row r="871">
      <c r="A871" s="6" t="inlineStr">
        <is>
          <t>Stat: Skill Level Bonus — 2nd Job</t>
        </is>
      </c>
    </row>
    <row r="872">
      <c r="A872" s="5" t="inlineStr">
        <is>
          <t>Key</t>
        </is>
      </c>
      <c r="B872" s="5" t="inlineStr">
        <is>
          <t>Name</t>
        </is>
      </c>
      <c r="C872" s="5" t="inlineStr">
        <is>
          <t>Unlocked</t>
        </is>
      </c>
      <c r="D872" s="5" t="inlineStr">
        <is>
          <t>InputLevel</t>
        </is>
      </c>
      <c r="E872" s="5" t="inlineStr">
        <is>
          <t>Factor</t>
        </is>
      </c>
      <c r="F872" s="5" t="inlineStr">
        <is>
          <t>CoefficientPercent</t>
        </is>
      </c>
      <c r="G872" s="5" t="inlineStr">
        <is>
          <t>EffectiveHits</t>
        </is>
      </c>
      <c r="H872" s="5" t="inlineStr">
        <is>
          <t>ProcProbability</t>
        </is>
      </c>
      <c r="I872" s="5" t="inlineStr">
        <is>
          <t>MapleHeroMultiplier</t>
        </is>
      </c>
      <c r="J872" s="5" t="inlineStr">
        <is>
          <t>BaseDamage</t>
        </is>
      </c>
      <c r="K872" s="5" t="inlineStr">
        <is>
          <t>BaseHitDamage</t>
        </is>
      </c>
      <c r="L872" s="5" t="inlineStr">
        <is>
          <t>NonCritAvg</t>
        </is>
      </c>
      <c r="M872" s="5" t="inlineStr">
        <is>
          <t>CritAvg</t>
        </is>
      </c>
      <c r="N872" s="5" t="inlineStr">
        <is>
          <t>ExpectedDamage(perHit)</t>
        </is>
      </c>
      <c r="O872" s="5" t="inlineStr">
        <is>
          <t>DPS</t>
        </is>
      </c>
      <c r="P872" s="5" t="inlineStr">
        <is>
          <t>% of Total</t>
        </is>
      </c>
      <c r="Q872" s="5" t="inlineStr">
        <is>
          <t>InvCooldown</t>
        </is>
      </c>
      <c r="R872" s="5" t="inlineStr">
        <is>
          <t>CastsInFight</t>
        </is>
      </c>
      <c r="S872" s="5" t="inlineStr">
        <is>
          <t>HitRate(perSec)</t>
        </is>
      </c>
      <c r="U872" t="inlineStr">
        <is>
          <t>helpers</t>
        </is>
      </c>
    </row>
    <row r="873">
      <c r="A873">
        <f>Skills!A2</f>
        <v/>
      </c>
      <c r="B873">
        <f>Skills!B2</f>
        <v/>
      </c>
      <c r="C873">
        <f>Inputs!$B$3&gt;=100</f>
        <v/>
      </c>
      <c r="D873" t="inlineStr"/>
      <c r="E873" t="inlineStr"/>
      <c r="F873">
        <f>U875+Skills!O2</f>
        <v/>
      </c>
      <c r="G873">
        <f>Skills!G2*IF(Skills!H2&gt;0,INT(IF(Inputs!$B$39="pvp",MIN(Skills!I2,15),Skills!I2)/Skills!H2+0.000000001),1)</f>
        <v/>
      </c>
      <c r="H873">
        <f>1-(1-Skills!J2/100)^Skills!K2</f>
        <v/>
      </c>
      <c r="I873" t="inlineStr">
        <is>
          <t>1</t>
        </is>
      </c>
      <c r="J873">
        <f>((Inputs!$B$6*(1+Inputs!$B$7/100))+(((Inputs!$B$13*(1+Inputs!$B$14/100))-(Inputs!$B$13*(1+Inputs!$B$14/100)))+0.25*(Inputs!$B$15-Inputs!$B$15))*(1+Inputs!$B$7/100))*(F873/100)</f>
        <v/>
      </c>
      <c r="K873">
        <f>J873*(1+(((Inputs!$B$13+IF(Inputs!$B$3&gt;=38,(10*INDEX(FactorTable!$B$2:$Y$301, MATCH(ROUND(MIN(300,MAX(1,Inputs!$B$3)),0), FactorTable!$A$2:$A$301,0), 23)/1000)/100*(Inputs!$B$8*(1+Inputs!$B$9/100)),0))*(1+Inputs!$B$14/100))*0.01+Inputs!$B$15*0.0025)/100)*(1+Inputs!$B$16/100)*(1+Inputs!$B$17/100)*(5000/(6000+Inputs!$B$43*(1-(Inputs!$B$20+0)/100)))*(1+(Inputs!$B$25+((C896=TRUE)*(F896-Calc!F25))+((C897=TRUE)*(F897-Calc!F26))+B906)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gt;=100),MIN(100,((Inputs!$B$10+0+B900+(ArtifactsInput!$M$24-ArtifactsInput!$M$24)*CHOOSE(ArtifactsInput!$N$24+1,10,12,14,16,18,20)+IF(ArtifactsInput!$M$10,CHOOSE(ArtifactsInput!$N$10+1,15,18,21,24,27,30)*(IF(Inputs!$B$39="pvp",MIN(15,15)/15,IF(AND(Inputs!$B$39&lt;&gt;"pvp",Inputs!$B$44&gt;0),MIN(15,Inputs!$B$44)/(Inputs!$B$44),0))),0)))-100),0))*CHOOSE(ArtifactsInput!$N$42+1,0.6,0.72,0.84,0.96,1.08,1.2))),Inputs!$B$19+((C894=TRUE)*(F894-Calc!F23))+(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gt;=100),CHOOSE(ArtifactsInput!$N$42+1,40,48,56,64,72,80),0))))/100)*((1+(((C884=TRUE)*F884*IF(AND(Inputs!$B$39&lt;&gt;"pvp",Inputs!$B$44&gt;0),(((R884-1)*MIN((Skills!T13*(1+Inputs!$B$35/100)),(1/Q884))+MIN((Skills!T13*(1+Inputs!$B$35/100)),MAX(0,Inputs!$B$44-((R884-1)*(1/Q884)))))/Inputs!$B$44),IF(Inputs!$B$39="pvp",MIN((Skills!T13*(1+Inputs!$B$35/100)),15)/15,MIN(1,(Skills!T13*(1+Inputs!$B$35/100))/(1/Q884)))))+((C885=TRUE)*F885*IF(AND(Inputs!$B$39&lt;&gt;"pvp",Inputs!$B$44&gt;0),(((R885-1)*MIN((Skills!T14*(1+Inputs!$B$35/100)),(1/Q885))+MIN((Skills!T14*(1+Inputs!$B$35/100)),MAX(0,Inputs!$B$44-((R885-1)*(1/Q885)))))/Inputs!$B$44),IF(Inputs!$B$39="pvp",MIN((Skills!T14*(1+Inputs!$B$35/100)),15)/15,MIN(1,(Skills!T14*(1+Inputs!$B$35/100))/(1/Q885)))))+((C886=TRUE)*F886*IF(AND(Inputs!$B$39&lt;&gt;"pvp",Inputs!$B$44&gt;0),(((R886-1)*MIN((Skills!T15*(1+Inputs!$B$35/100)),(1/Q886))+MIN((Skills!T15*(1+Inputs!$B$35/100)),MAX(0,Inputs!$B$44-((R886-1)*(1/Q886)))))/Inputs!$B$44),IF(Inputs!$B$39="pvp",MIN((Skills!T15*(1+Inputs!$B$35/100)),15)/15,MIN(1,(Skills!T15*(1+Inputs!$B$35/100))/(1/Q886)))))+((C887=TRUE)*F887*IF(AND(Inputs!$B$39&lt;&gt;"pvp",Inputs!$B$44&gt;0),(((R887-1)*MIN((Skills!T16*(1+Inputs!$B$35/100)),(1/Q887))+MIN((Skills!T16*(1+Inputs!$B$35/100)),MAX(0,Inputs!$B$44-((R887-1)*(1/Q887)))))/Inputs!$B$44),IF(Inputs!$B$39="pvp",MIN((Skills!T16*(1+Inputs!$B$35/100)),15)/15,MIN(1,(Skills!T16*(1+Inputs!$B$35/100))/(1/Q887)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873)</f>
        <v/>
      </c>
      <c r="L873">
        <f>K873*(MIN(Inputs!$B$23+((C893=TRUE)*(F893-Calc!F22)),(Inputs!$B$24+((C895=TRUE)*(F895-Calc!F24))+(IF(ArtifactsInput!$M$15,CHOOSE(ArtifactsInput!$N$15+1,25,30,35,40,45,50)/100*(Inputs!$B$12-Inputs!$B$12),0))))/100+(Inputs!$B$24+((C895=TRUE)*(F895-Calc!F24))+(IF(ArtifactsInput!$M$15,CHOOSE(ArtifactsInput!$N$15+1,25,30,35,40,45,50)/100*(Inputs!$B$12-Inputs!$B$12),0)))/100)/2</f>
        <v/>
      </c>
      <c r="M873">
        <f>L873*(1+(Inputs!$B$11+0+B905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873">
        <f>L873*(1-MIN((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873*(MIN((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73">
        <f>(1-Summary!$B$11)*T873+Summary!$B$11*V873</f>
        <v/>
      </c>
      <c r="P873">
        <f>IF(B910=0,0,O873/B910)</f>
        <v/>
      </c>
      <c r="Q873" t="n">
        <v>0</v>
      </c>
      <c r="R873" t="n">
        <v>0</v>
      </c>
      <c r="S873">
        <f>IFERROR(O873/N873,0)</f>
        <v/>
      </c>
      <c r="T873">
        <f>IF(C873,(Skills!G2*N873*B904)*IF(Inputs!$B$39="pvp",1,1+(Inputs!$B$21+0+Skills!P2+((C888=TRUE)*F888*IF(AND(Inputs!$B$39&lt;&gt;"pvp",Inputs!$B$44&gt;0),(((R888-1)*MIN((Skills!T17*(1+Inputs!$B$35/100)),(1/Q888))+MIN((Skills!T17*(1+Inputs!$B$35/100)),MAX(0,Inputs!$B$44-((R888-1)*(1/Q888)))))/Inputs!$B$44),IF(Inputs!$B$39="pvp",MIN((Skills!T17*(1+Inputs!$B$35/100)),15)/15,MIN(1,(Skills!T17*(1+Inputs!$B$35/100))/(1/Q888)))))+((C876=TRUE)*IF(Inputs!$B$3&gt;=126,10*MIN(1,15*Q876),0))+((C885=TRUE)*IF(Inputs!$B$39="pvp",20,(1-Summary!$B$11)*(20)+Summary!$B$11*(0))*IF(AND(Inputs!$B$39&lt;&gt;"pvp",Inputs!$B$44&gt;0),(((R885-1)*MIN((Skills!T14*(1+Inputs!$B$35/100)),(1/Q885))+MIN((Skills!T14*(1+Inputs!$B$35/100)),MAX(0,Inputs!$B$44-((R885-1)*(1/Q885)))))/Inputs!$B$44),IF(Inputs!$B$39="pvp",MIN((Skills!T14*(1+Inputs!$B$35/100)),15)/15,MIN(1,(Skills!T14*(1+Inputs!$B$35/100))/(1/Q885)))))+((C884=TRUE)*IF(Inputs!$B$3&gt;=82,IF(Inputs!$B$39="pvp",20,(1-Summary!$B$11)*(20)+Summary!$B$11*(0)),0)*IF(AND(Inputs!$B$39&lt;&gt;"pvp",Inputs!$B$44&gt;0),(((R884-1)*MIN((Skills!T13*(1+Inputs!$B$35/100)),(1/Q884))+MIN((Skills!T13*(1+Inputs!$B$35/100)),MAX(0,Inputs!$B$44-((R884-1)*(1/Q884)))))/Inputs!$B$44),IF(Inputs!$B$39="pvp",MIN((Skills!T13*(1+Inputs!$B$35/100)),15)/15,MIN(1,(Skills!T13*(1+Inputs!$B$35/100))/(1/Q884)))))+(IF(AND(ArtifactsInput!$M$35,Inputs!$B$4&lt;&gt;"Chapter Hunt"),CHOOSE(ArtifactsInput!$N$35+1,15,18,21,24,27,30)*(1-EXP(-(0.2*B902)*5)),0)+IF(AND(ArtifactsInput!$M$22,Inputs!$B$4&lt;&gt;"Chapter Hunt"),CHOOSE(ArtifactsInput!$N$22+1,10,12,14,16,18,20)*((0*(((0.15*B902*5))^0/1)+1*(((0.15*B902*5))^1/1)+2*(((0.15*B902*5))^2/2)+3*(((0.15*B902*5))^3/6)+4*(((0.15*B902*5))^4/24)+5*(((0.15*B902*5))^5/120))/((((0.15*B902*5))^0/1)+(((0.15*B902*5))^1/1)+(((0.15*B902*5))^2/2)+(((0.15*B902*5))^3/6)+(((0.15*B902*5))^4/24)+(((0.15*B902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873*(1-MIN(100,(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873*(MIN(100,(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873*(1-MIN(100,(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873*(MIN(100,(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873">
        <f>MAX(0,(Inputs!$B$3-100)*3)+Inputs!$B$29+Inputs!$B$30</f>
        <v/>
      </c>
      <c r="V873">
        <f>IF(C873,(Skills!G2*N873*B904)*IF(Inputs!$B$39="pvp",1,(1+(Inputs!$B$22+Skills!Q2+((C888=TRUE)*F888*IF(AND(Inputs!$B$39&lt;&gt;"pvp",Inputs!$B$44&gt;0),(((R888-1)*MIN((Skills!T17*(1+Inputs!$B$35/100)),(1/Q888))+MIN((Skills!T17*(1+Inputs!$B$35/100)),MAX(0,Inputs!$B$44-((R888-1)*(1/Q888)))))/Inputs!$B$44),IF(Inputs!$B$39="pvp",MIN((Skills!T17*(1+Inputs!$B$35/100)),15)/15,MIN(1,(Skills!T17*(1+Inputs!$B$35/100))/(1/Q888)))))+((C876=TRUE)*IF(Inputs!$B$3&gt;=126,10*MIN(1,15*Q876),0))+((C885=TRUE)*IF(Inputs!$B$39="pvp",20,(1-Summary!$B$11)*(20)+Summary!$B$11*(0))*IF(AND(Inputs!$B$39&lt;&gt;"pvp",Inputs!$B$44&gt;0),(((R885-1)*MIN((Skills!T14*(1+Inputs!$B$35/100)),(1/Q885))+MIN((Skills!T14*(1+Inputs!$B$35/100)),MAX(0,Inputs!$B$44-((R885-1)*(1/Q885)))))/Inputs!$B$44),IF(Inputs!$B$39="pvp",MIN((Skills!T14*(1+Inputs!$B$35/100)),15)/15,MIN(1,(Skills!T14*(1+Inputs!$B$35/100))/(1/Q885)))))+((C884=TRUE)*IF(Inputs!$B$3&gt;=82,IF(Inputs!$B$39="pvp",20,(1-Summary!$B$11)*(20)+Summary!$B$11*(0)),0)*IF(AND(Inputs!$B$39&lt;&gt;"pvp",Inputs!$B$44&gt;0),(((R884-1)*MIN((Skills!T13*(1+Inputs!$B$35/100)),(1/Q884))+MIN((Skills!T13*(1+Inputs!$B$35/100)),MAX(0,Inputs!$B$44-((R884-1)*(1/Q884)))))/Inputs!$B$44),IF(Inputs!$B$39="pvp",MIN((Skills!T13*(1+Inputs!$B$35/100)),15)/15,MIN(1,(Skills!T13*(1+Inputs!$B$35/100))/(1/Q884)))))+(IF(AND(ArtifactsInput!$M$35,Inputs!$B$4&lt;&gt;"Chapter Hunt"),CHOOSE(ArtifactsInput!$N$35+1,15,18,21,24,27,30)*(1-EXP(-(0.2*B902)*5)),0)+IF(AND(ArtifactsInput!$M$22,Inputs!$B$4&lt;&gt;"Chapter Hunt"),CHOOSE(ArtifactsInput!$N$22+1,10,12,14,16,18,20)*((0*(((0.15*B902*5))^0/1)+1*(((0.15*B902*5))^1/1)+2*(((0.15*B902*5))^2/2)+3*(((0.15*B902*5))^3/6)+4*(((0.15*B902*5))^4/24)+5*(((0.15*B902*5))^5/120))/((((0.15*B902*5))^0/1)+(((0.15*B902*5))^1/1)+(((0.15*B902*5))^2/2)+(((0.15*B902*5))^3/6)+(((0.15*B902*5))^4/24)+(((0.15*B902*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74">
      <c r="A874">
        <f>Skills!A3</f>
        <v/>
      </c>
      <c r="B874">
        <f>Skills!B3</f>
        <v/>
      </c>
      <c r="C874">
        <f>Inputs!$B$3&gt;=50</f>
        <v/>
      </c>
      <c r="D874">
        <f>IF(Skills!C3=1,60+Inputs!$B$26+Inputs!$B$30,IF(Skills!C3=2,90+(Inputs!$B$27+1)+Inputs!$B$30,IF(Skills!C3=3,120+Inputs!$B$28+Inputs!$B$30,MAX(0,(Inputs!$B$3-100)*3)+Inputs!$B$29+Inputs!$B$30)))</f>
        <v/>
      </c>
      <c r="E874">
        <f>INDEX(FactorTable!$B$2:$Y$301, MATCH(ROUND(MIN(300,MAX(1,D874)),0), FactorTable!$A$2:$A$301,0), Skills!M3+1)</f>
        <v/>
      </c>
      <c r="F874">
        <f>IF(Skills!N3=TRUE,(Skills!L3/10)*(E874/1000),Skills!L3/10)+Skills!O3</f>
        <v/>
      </c>
      <c r="G874" t="inlineStr"/>
      <c r="H874" t="inlineStr"/>
      <c r="I874" t="inlineStr">
        <is>
          <t>1</t>
        </is>
      </c>
      <c r="J874" t="inlineStr"/>
      <c r="K874" t="inlineStr"/>
      <c r="L874" t="inlineStr"/>
      <c r="M874" t="inlineStr"/>
      <c r="N874" t="inlineStr"/>
      <c r="O874" t="inlineStr"/>
      <c r="P874" t="inlineStr"/>
      <c r="Q874" t="inlineStr"/>
      <c r="R874" t="inlineStr"/>
      <c r="S874" t="inlineStr"/>
      <c r="U874">
        <f>INDEX(FactorTable!$B$2:$Y$301, MATCH(ROUND(MIN(300,MAX(1,U873)),0), FactorTable!$A$2:$A$301,0), 22)</f>
        <v/>
      </c>
    </row>
    <row r="875">
      <c r="A875">
        <f>Skills!A4</f>
        <v/>
      </c>
      <c r="B875">
        <f>Skills!B4</f>
        <v/>
      </c>
      <c r="C875">
        <f>Inputs!$B$3&gt;=105</f>
        <v/>
      </c>
      <c r="D875">
        <f>IF(Skills!C4=1,60+Inputs!$B$26+Inputs!$B$30,IF(Skills!C4=2,90+(Inputs!$B$27+1)+Inputs!$B$30,IF(Skills!C4=3,120+Inputs!$B$28+Inputs!$B$30,MAX(0,(Inputs!$B$3-100)*3)+Inputs!$B$29+Inputs!$B$30)))</f>
        <v/>
      </c>
      <c r="E875">
        <f>INDEX(FactorTable!$B$2:$Y$301, MATCH(ROUND(MIN(300,MAX(1,D875)),0), FactorTable!$A$2:$A$301,0), Skills!M4+1)</f>
        <v/>
      </c>
      <c r="F875">
        <f>IF(Skills!N4=TRUE,(Skills!L4/10)*(E875/1000),Skills!L4/10)+Skills!O4</f>
        <v/>
      </c>
      <c r="G875" t="inlineStr"/>
      <c r="H875" t="inlineStr"/>
      <c r="I875" t="inlineStr">
        <is>
          <t>1</t>
        </is>
      </c>
      <c r="J875" t="inlineStr"/>
      <c r="K875" t="inlineStr"/>
      <c r="L875" t="inlineStr"/>
      <c r="M875" t="inlineStr"/>
      <c r="N875" t="inlineStr"/>
      <c r="O875" t="inlineStr"/>
      <c r="P875" t="inlineStr"/>
      <c r="Q875" t="inlineStr"/>
      <c r="R875" t="inlineStr"/>
      <c r="S875" t="inlineStr"/>
      <c r="U875">
        <f>290*U874/1000</f>
        <v/>
      </c>
    </row>
    <row r="876">
      <c r="A876">
        <f>Skills!A5</f>
        <v/>
      </c>
      <c r="B876">
        <f>Skills!B5</f>
        <v/>
      </c>
      <c r="C876">
        <f>Inputs!$B$3&gt;=117</f>
        <v/>
      </c>
      <c r="D876">
        <f>IF(Skills!C5=1,60+Inputs!$B$26+Inputs!$B$30,IF(Skills!C5=2,90+(Inputs!$B$27+1)+Inputs!$B$30,IF(Skills!C5=3,120+Inputs!$B$28+Inputs!$B$30,MAX(0,(Inputs!$B$3-100)*3)+Inputs!$B$29+Inputs!$B$30)))</f>
        <v/>
      </c>
      <c r="E876">
        <f>INDEX(FactorTable!$B$2:$Y$301, MATCH(ROUND(MIN(300,MAX(1,D876)),0), FactorTable!$A$2:$A$301,0), Skills!M5+1)</f>
        <v/>
      </c>
      <c r="F876">
        <f>IF(Skills!N5=TRUE,(Skills!L5/10)*(E876/1000),Skills!L5/10)+Skills!O5</f>
        <v/>
      </c>
      <c r="G876">
        <f>Skills!G5*IF(Skills!H5&gt;0,INT(IF(Inputs!$B$39="pvp",MIN(Skills!I5,15),Skills!I5)/Skills!H5+0.000000001),1)</f>
        <v/>
      </c>
      <c r="H876">
        <f>1-(1-Skills!J5/100)^Skills!K5</f>
        <v/>
      </c>
      <c r="I876" t="inlineStr">
        <is>
          <t>1</t>
        </is>
      </c>
      <c r="J876">
        <f>((Inputs!$B$6*(1+Inputs!$B$7/100))+(((Inputs!$B$13*(1+Inputs!$B$14/100))-(Inputs!$B$13*(1+Inputs!$B$14/100)))+0.25*(Inputs!$B$15-Inputs!$B$15))*(1+Inputs!$B$7/100))*(F876/100)</f>
        <v/>
      </c>
      <c r="K876">
        <f>J876*(1+(((Inputs!$B$13+IF(Inputs!$B$3&gt;=38,(10*INDEX(FactorTable!$B$2:$Y$301, MATCH(ROUND(MIN(300,MAX(1,Inputs!$B$3)),0), FactorTable!$A$2:$A$301,0), 23)/1000)/100*(Inputs!$B$8*(1+Inputs!$B$9/100)),0))*(1+Inputs!$B$14/100))*0.01+Inputs!$B$15*0.0025)/100)*(1+Inputs!$B$16/100)*(1+Inputs!$B$17/100)*(5000/(6000+Inputs!$B$43*(1-(Inputs!$B$20+0)/100)))*(1+(Inputs!$B$25+((C896=TRUE)*(F896-Calc!F25))+((C897=TRUE)*(F897-Calc!F26))+B906)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gt;=100),MIN(100,((Inputs!$B$10+0+B900+(ArtifactsInput!$M$24-ArtifactsInput!$M$24)*CHOOSE(ArtifactsInput!$N$24+1,10,12,14,16,18,20)+IF(ArtifactsInput!$M$10,CHOOSE(ArtifactsInput!$N$10+1,15,18,21,24,27,30)*(IF(Inputs!$B$39="pvp",MIN(15,15)/15,IF(AND(Inputs!$B$39&lt;&gt;"pvp",Inputs!$B$44&gt;0),MIN(15,Inputs!$B$44)/(Inputs!$B$44),0))),0)))-100),0))*CHOOSE(ArtifactsInput!$N$42+1,0.6,0.72,0.84,0.96,1.08,1.2))),Inputs!$B$19+((C894=TRUE)*(F894-Calc!F23))+(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gt;=100),CHOOSE(ArtifactsInput!$N$42+1,40,48,56,64,72,80),0))))/100)*((1+(((C884=TRUE)*F884*IF(AND(Inputs!$B$39&lt;&gt;"pvp",Inputs!$B$44&gt;0),(((R884-1)*MIN((Skills!T13*(1+Inputs!$B$35/100)),(1/Q884))+MIN((Skills!T13*(1+Inputs!$B$35/100)),MAX(0,Inputs!$B$44-((R884-1)*(1/Q884)))))/Inputs!$B$44),IF(Inputs!$B$39="pvp",MIN((Skills!T13*(1+Inputs!$B$35/100)),15)/15,MIN(1,(Skills!T13*(1+Inputs!$B$35/100))/(1/Q884)))))+((C885=TRUE)*F885*IF(AND(Inputs!$B$39&lt;&gt;"pvp",Inputs!$B$44&gt;0),(((R885-1)*MIN((Skills!T14*(1+Inputs!$B$35/100)),(1/Q885))+MIN((Skills!T14*(1+Inputs!$B$35/100)),MAX(0,Inputs!$B$44-((R885-1)*(1/Q885)))))/Inputs!$B$44),IF(Inputs!$B$39="pvp",MIN((Skills!T14*(1+Inputs!$B$35/100)),15)/15,MIN(1,(Skills!T14*(1+Inputs!$B$35/100))/(1/Q885)))))+((C886=TRUE)*F886*IF(AND(Inputs!$B$39&lt;&gt;"pvp",Inputs!$B$44&gt;0),(((R886-1)*MIN((Skills!T15*(1+Inputs!$B$35/100)),(1/Q886))+MIN((Skills!T15*(1+Inputs!$B$35/100)),MAX(0,Inputs!$B$44-((R886-1)*(1/Q886)))))/Inputs!$B$44),IF(Inputs!$B$39="pvp",MIN((Skills!T15*(1+Inputs!$B$35/100)),15)/15,MIN(1,(Skills!T15*(1+Inputs!$B$35/100))/(1/Q886)))))+((C887=TRUE)*F887*IF(AND(Inputs!$B$39&lt;&gt;"pvp",Inputs!$B$44&gt;0),(((R887-1)*MIN((Skills!T16*(1+Inputs!$B$35/100)),(1/Q887))+MIN((Skills!T16*(1+Inputs!$B$35/100)),MAX(0,Inputs!$B$44-((R887-1)*(1/Q887)))))/Inputs!$B$44),IF(Inputs!$B$39="pvp",MIN((Skills!T16*(1+Inputs!$B$35/100)),15)/15,MIN(1,(Skills!T16*(1+Inputs!$B$35/100))/(1/Q887)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876)</f>
        <v/>
      </c>
      <c r="L876">
        <f>K876*(MIN(Inputs!$B$23+((C893=TRUE)*(F893-Calc!F22)),(Inputs!$B$24+((C895=TRUE)*(F895-Calc!F24))+(IF(ArtifactsInput!$M$15,CHOOSE(ArtifactsInput!$N$15+1,25,30,35,40,45,50)/100*(Inputs!$B$12-Inputs!$B$12),0))))/100+(Inputs!$B$24+((C895=TRUE)*(F895-Calc!F24))+(IF(ArtifactsInput!$M$15,CHOOSE(ArtifactsInput!$N$15+1,25,30,35,40,45,50)/100*(Inputs!$B$12-Inputs!$B$12),0)))/100)/2</f>
        <v/>
      </c>
      <c r="M876">
        <f>L876*(1+(Inputs!$B$11+0+B905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876">
        <f>L876*(1-MIN((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876*(MIN((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76">
        <f>(1-Summary!$B$11)*T876+Summary!$B$11*V876</f>
        <v/>
      </c>
      <c r="P876">
        <f>IF(B910=0,0,O876/B910)</f>
        <v/>
      </c>
      <c r="Q876">
        <f>IFERROR(1/IF(Inputs!$B$39="pvp",15,MAX(0.1,Skills!D5-IF(TRUE=TRUE,Inputs!$B$33,0))),0)</f>
        <v/>
      </c>
      <c r="R876">
        <f>IF(AND(Inputs!$B$39&lt;&gt;"pvp",Inputs!$B$44&gt;0),IF(MAX(0,Inputs!$B$44-B907)&lt;=0,0,(INT(MAX(0,Inputs!$B$44-B907)/IF(Inputs!$B$39="pvp",15,MAX(0.1,Skills!D5-IF(TRUE=TRUE,Inputs!$B$33,0))))+1)),0)</f>
        <v/>
      </c>
      <c r="S876">
        <f>IFERROR(O876/N876,0)</f>
        <v/>
      </c>
      <c r="T876">
        <f>IF(C876,(H876*N876*IF(AND(Inputs!$B$39&lt;&gt;"pvp",Inputs!$B$44&gt;0),((Skills!G5*((R876-1)*IF(Skills!H5&gt;0,INT(Skills!I5/Skills!H5+0.000000001),1)+IF(Skills!H5&gt;0,INT(MIN(Skills!I5,MAX(0,MAX(0,Inputs!$B$44-B907)-((R876-1)*IF(Inputs!$B$39="pvp",15,MAX(0.1,Skills!D5-IF(TRUE=TRUE,Inputs!$B$33,0))))))/Skills!H5+0.000000001),1)))/Inputs!$B$44),G876*Q876))*IF(Inputs!$B$39="pvp",1,1+(Inputs!$B$21+0+Skills!P5+((C888=TRUE)*F888*IF(AND(Inputs!$B$39&lt;&gt;"pvp",Inputs!$B$44&gt;0),(((R888-1)*MIN((Skills!T17*(1+Inputs!$B$35/100)),(1/Q888))+MIN((Skills!T17*(1+Inputs!$B$35/100)),MAX(0,Inputs!$B$44-((R888-1)*(1/Q888)))))/Inputs!$B$44),IF(Inputs!$B$39="pvp",MIN((Skills!T17*(1+Inputs!$B$35/100)),15)/15,MIN(1,(Skills!T17*(1+Inputs!$B$35/100))/(1/Q888)))))+((C876=TRUE)*IF(Inputs!$B$3&gt;=126,10*MIN(1,15*Q876),0))+((C885=TRUE)*IF(Inputs!$B$39="pvp",20,(1-Summary!$B$11)*(20)+Summary!$B$11*(0))*IF(AND(Inputs!$B$39&lt;&gt;"pvp",Inputs!$B$44&gt;0),(((R885-1)*MIN((Skills!T14*(1+Inputs!$B$35/100)),(1/Q885))+MIN((Skills!T14*(1+Inputs!$B$35/100)),MAX(0,Inputs!$B$44-((R885-1)*(1/Q885)))))/Inputs!$B$44),IF(Inputs!$B$39="pvp",MIN((Skills!T14*(1+Inputs!$B$35/100)),15)/15,MIN(1,(Skills!T14*(1+Inputs!$B$35/100))/(1/Q885)))))+((C884=TRUE)*IF(Inputs!$B$3&gt;=82,IF(Inputs!$B$39="pvp",20,(1-Summary!$B$11)*(20)+Summary!$B$11*(0)),0)*IF(AND(Inputs!$B$39&lt;&gt;"pvp",Inputs!$B$44&gt;0),(((R884-1)*MIN((Skills!T13*(1+Inputs!$B$35/100)),(1/Q884))+MIN((Skills!T13*(1+Inputs!$B$35/100)),MAX(0,Inputs!$B$44-((R884-1)*(1/Q884)))))/Inputs!$B$44),IF(Inputs!$B$39="pvp",MIN((Skills!T13*(1+Inputs!$B$35/100)),15)/15,MIN(1,(Skills!T13*(1+Inputs!$B$35/100))/(1/Q884)))))+(IF(AND(ArtifactsInput!$M$35,Inputs!$B$4&lt;&gt;"Chapter Hunt"),CHOOSE(ArtifactsInput!$N$35+1,15,18,21,24,27,30)*(1-EXP(-(0.2*B902)*5)),0)+IF(AND(ArtifactsInput!$M$22,Inputs!$B$4&lt;&gt;"Chapter Hunt"),CHOOSE(ArtifactsInput!$N$22+1,10,12,14,16,18,20)*((0*(((0.15*B902*5))^0/1)+1*(((0.15*B902*5))^1/1)+2*(((0.15*B902*5))^2/2)+3*(((0.15*B902*5))^3/6)+4*(((0.15*B902*5))^4/24)+5*(((0.15*B902*5))^5/120))/((((0.15*B902*5))^0/1)+(((0.15*B902*5))^1/1)+(((0.15*B902*5))^2/2)+(((0.15*B902*5))^3/6)+(((0.15*B902*5))^4/24)+(((0.15*B902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876*(1-MIN(100,(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876*(MIN(100,(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876*(1-MIN(100,(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876*(MIN(100,(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76">
        <f>IF(C876,(H876*N876*IF(AND(Inputs!$B$39&lt;&gt;"pvp",Inputs!$B$44&gt;0),((Skills!G5*((R876-1)*IF(Skills!H5&gt;0,INT(Skills!I5/Skills!H5+0.000000001),1)+IF(Skills!H5&gt;0,INT(MIN(Skills!I5,MAX(0,MAX(0,Inputs!$B$44-B907)-((R876-1)*IF(Inputs!$B$39="pvp",15,MAX(0.1,Skills!D5-IF(TRUE=TRUE,Inputs!$B$33,0))))))/Skills!H5+0.000000001),1)))/Inputs!$B$44),G876*Q876))*IF(Inputs!$B$39="pvp",1,(1+(Inputs!$B$22+Skills!Q5+((C888=TRUE)*F888*IF(AND(Inputs!$B$39&lt;&gt;"pvp",Inputs!$B$44&gt;0),(((R888-1)*MIN((Skills!T17*(1+Inputs!$B$35/100)),(1/Q888))+MIN((Skills!T17*(1+Inputs!$B$35/100)),MAX(0,Inputs!$B$44-((R888-1)*(1/Q888)))))/Inputs!$B$44),IF(Inputs!$B$39="pvp",MIN((Skills!T17*(1+Inputs!$B$35/100)),15)/15,MIN(1,(Skills!T17*(1+Inputs!$B$35/100))/(1/Q888)))))+((C876=TRUE)*IF(Inputs!$B$3&gt;=126,10*MIN(1,15*Q876),0))+((C885=TRUE)*IF(Inputs!$B$39="pvp",20,(1-Summary!$B$11)*(20)+Summary!$B$11*(0))*IF(AND(Inputs!$B$39&lt;&gt;"pvp",Inputs!$B$44&gt;0),(((R885-1)*MIN((Skills!T14*(1+Inputs!$B$35/100)),(1/Q885))+MIN((Skills!T14*(1+Inputs!$B$35/100)),MAX(0,Inputs!$B$44-((R885-1)*(1/Q885)))))/Inputs!$B$44),IF(Inputs!$B$39="pvp",MIN((Skills!T14*(1+Inputs!$B$35/100)),15)/15,MIN(1,(Skills!T14*(1+Inputs!$B$35/100))/(1/Q885)))))+((C884=TRUE)*IF(Inputs!$B$3&gt;=82,IF(Inputs!$B$39="pvp",20,(1-Summary!$B$11)*(20)+Summary!$B$11*(0)),0)*IF(AND(Inputs!$B$39&lt;&gt;"pvp",Inputs!$B$44&gt;0),(((R884-1)*MIN((Skills!T13*(1+Inputs!$B$35/100)),(1/Q884))+MIN((Skills!T13*(1+Inputs!$B$35/100)),MAX(0,Inputs!$B$44-((R884-1)*(1/Q884)))))/Inputs!$B$44),IF(Inputs!$B$39="pvp",MIN((Skills!T13*(1+Inputs!$B$35/100)),15)/15,MIN(1,(Skills!T13*(1+Inputs!$B$35/100))/(1/Q884)))))+(IF(AND(ArtifactsInput!$M$35,Inputs!$B$4&lt;&gt;"Chapter Hunt"),CHOOSE(ArtifactsInput!$N$35+1,15,18,21,24,27,30)*(1-EXP(-(0.2*B902)*5)),0)+IF(AND(ArtifactsInput!$M$22,Inputs!$B$4&lt;&gt;"Chapter Hunt"),CHOOSE(ArtifactsInput!$N$22+1,10,12,14,16,18,20)*((0*(((0.15*B902*5))^0/1)+1*(((0.15*B902*5))^1/1)+2*(((0.15*B902*5))^2/2)+3*(((0.15*B902*5))^3/6)+4*(((0.15*B902*5))^4/24)+5*(((0.15*B902*5))^5/120))/((((0.15*B902*5))^0/1)+(((0.15*B902*5))^1/1)+(((0.15*B902*5))^2/2)+(((0.15*B902*5))^3/6)+(((0.15*B902*5))^4/24)+(((0.15*B902*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77">
      <c r="A877">
        <f>Skills!A6</f>
        <v/>
      </c>
      <c r="B877">
        <f>Skills!B6</f>
        <v/>
      </c>
      <c r="C877">
        <f>Inputs!$B$3&gt;=103</f>
        <v/>
      </c>
      <c r="D877">
        <f>IF(Skills!C6=1,60+Inputs!$B$26+Inputs!$B$30,IF(Skills!C6=2,90+(Inputs!$B$27+1)+Inputs!$B$30,IF(Skills!C6=3,120+Inputs!$B$28+Inputs!$B$30,MAX(0,(Inputs!$B$3-100)*3)+Inputs!$B$29+Inputs!$B$30)))</f>
        <v/>
      </c>
      <c r="E877">
        <f>INDEX(FactorTable!$B$2:$Y$301, MATCH(ROUND(MIN(300,MAX(1,D877)),0), FactorTable!$A$2:$A$301,0), Skills!M6+1)</f>
        <v/>
      </c>
      <c r="F877">
        <f>IF(Skills!N6=TRUE,(Skills!L6/10)*(E877/1000),Skills!L6/10)+Skills!O6</f>
        <v/>
      </c>
      <c r="G877">
        <f>Skills!G6*IF(Skills!H6&gt;0,INT(IF(Inputs!$B$39="pvp",MIN(Skills!I6,15),Skills!I6)/Skills!H6+0.000000001),1)</f>
        <v/>
      </c>
      <c r="H877">
        <f>1-(1-Skills!J6/100)^Skills!K6</f>
        <v/>
      </c>
      <c r="I877" t="inlineStr">
        <is>
          <t>1</t>
        </is>
      </c>
      <c r="J877">
        <f>((Inputs!$B$6*(1+Inputs!$B$7/100))+(((Inputs!$B$13*(1+Inputs!$B$14/100))-(Inputs!$B$13*(1+Inputs!$B$14/100)))+0.25*(Inputs!$B$15-Inputs!$B$15))*(1+Inputs!$B$7/100))*(F877/100)</f>
        <v/>
      </c>
      <c r="K877">
        <f>J877*(1+(((Inputs!$B$13+IF(Inputs!$B$3&gt;=38,(10*INDEX(FactorTable!$B$2:$Y$301, MATCH(ROUND(MIN(300,MAX(1,Inputs!$B$3)),0), FactorTable!$A$2:$A$301,0), 23)/1000)/100*(Inputs!$B$8*(1+Inputs!$B$9/100)),0))*(1+Inputs!$B$14/100))*0.01+Inputs!$B$15*0.0025)/100)*(1+Inputs!$B$16/100)*(1+Inputs!$B$17/100)*(5000/(6000+Inputs!$B$43*(1-(Inputs!$B$20+0)/100)))*(1+(Inputs!$B$25+((C896=TRUE)*(F896-Calc!F25))+((C897=TRUE)*(F897-Calc!F26))+B906)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gt;=100),MIN(100,((Inputs!$B$10+0+B900+(ArtifactsInput!$M$24-ArtifactsInput!$M$24)*CHOOSE(ArtifactsInput!$N$24+1,10,12,14,16,18,20)+IF(ArtifactsInput!$M$10,CHOOSE(ArtifactsInput!$N$10+1,15,18,21,24,27,30)*(IF(Inputs!$B$39="pvp",MIN(15,15)/15,IF(AND(Inputs!$B$39&lt;&gt;"pvp",Inputs!$B$44&gt;0),MIN(15,Inputs!$B$44)/(Inputs!$B$44),0))),0)))-100),0))*CHOOSE(ArtifactsInput!$N$42+1,0.6,0.72,0.84,0.96,1.08,1.2))),Inputs!$B$19+((C894=TRUE)*(F894-Calc!F23))+(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gt;=100),CHOOSE(ArtifactsInput!$N$42+1,40,48,56,64,72,80),0))))/100)*((1+(((C884=TRUE)*F884*IF(AND(Inputs!$B$39&lt;&gt;"pvp",Inputs!$B$44&gt;0),(((R884-1)*MIN((Skills!T13*(1+Inputs!$B$35/100)),(1/Q884))+MIN((Skills!T13*(1+Inputs!$B$35/100)),MAX(0,Inputs!$B$44-((R884-1)*(1/Q884)))))/Inputs!$B$44),IF(Inputs!$B$39="pvp",MIN((Skills!T13*(1+Inputs!$B$35/100)),15)/15,MIN(1,(Skills!T13*(1+Inputs!$B$35/100))/(1/Q884)))))+((C885=TRUE)*F885*IF(AND(Inputs!$B$39&lt;&gt;"pvp",Inputs!$B$44&gt;0),(((R885-1)*MIN((Skills!T14*(1+Inputs!$B$35/100)),(1/Q885))+MIN((Skills!T14*(1+Inputs!$B$35/100)),MAX(0,Inputs!$B$44-((R885-1)*(1/Q885)))))/Inputs!$B$44),IF(Inputs!$B$39="pvp",MIN((Skills!T14*(1+Inputs!$B$35/100)),15)/15,MIN(1,(Skills!T14*(1+Inputs!$B$35/100))/(1/Q885)))))+((C886=TRUE)*F886*IF(AND(Inputs!$B$39&lt;&gt;"pvp",Inputs!$B$44&gt;0),(((R886-1)*MIN((Skills!T15*(1+Inputs!$B$35/100)),(1/Q886))+MIN((Skills!T15*(1+Inputs!$B$35/100)),MAX(0,Inputs!$B$44-((R886-1)*(1/Q886)))))/Inputs!$B$44),IF(Inputs!$B$39="pvp",MIN((Skills!T15*(1+Inputs!$B$35/100)),15)/15,MIN(1,(Skills!T15*(1+Inputs!$B$35/100))/(1/Q886)))))+((C887=TRUE)*F887*IF(AND(Inputs!$B$39&lt;&gt;"pvp",Inputs!$B$44&gt;0),(((R887-1)*MIN((Skills!T16*(1+Inputs!$B$35/100)),(1/Q887))+MIN((Skills!T16*(1+Inputs!$B$35/100)),MAX(0,Inputs!$B$44-((R887-1)*(1/Q887)))))/Inputs!$B$44),IF(Inputs!$B$39="pvp",MIN((Skills!T16*(1+Inputs!$B$35/100)),15)/15,MIN(1,(Skills!T16*(1+Inputs!$B$35/100))/(1/Q887)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877)</f>
        <v/>
      </c>
      <c r="L877">
        <f>K877*(MIN(Inputs!$B$23+((C893=TRUE)*(F893-Calc!F22)),(Inputs!$B$24+((C895=TRUE)*(F895-Calc!F24))+(IF(ArtifactsInput!$M$15,CHOOSE(ArtifactsInput!$N$15+1,25,30,35,40,45,50)/100*(Inputs!$B$12-Inputs!$B$12),0))))/100+(Inputs!$B$24+((C895=TRUE)*(F895-Calc!F24))+(IF(ArtifactsInput!$M$15,CHOOSE(ArtifactsInput!$N$15+1,25,30,35,40,45,50)/100*(Inputs!$B$12-Inputs!$B$12),0)))/100)/2</f>
        <v/>
      </c>
      <c r="M877">
        <f>L877*(1+(Inputs!$B$11+0+B905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877">
        <f>L877*(1-MIN((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877*(MIN((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77">
        <f>(1-Summary!$B$11)*T877+Summary!$B$11*V877</f>
        <v/>
      </c>
      <c r="P877">
        <f>IF(B910=0,0,O877/B910)</f>
        <v/>
      </c>
      <c r="Q877">
        <f>IFERROR(1/IF(Inputs!$B$39="pvp",15,MAX(0.1,Skills!D6-IF(TRUE=TRUE,Inputs!$B$33,0))),0)</f>
        <v/>
      </c>
      <c r="R877">
        <f>IF(AND(Inputs!$B$39&lt;&gt;"pvp",Inputs!$B$44&gt;0),IF(MAX(0,Inputs!$B$44-B907)&lt;=0,0,(INT(MAX(0,Inputs!$B$44-B907)/IF(Inputs!$B$39="pvp",15,MAX(0.1,Skills!D6-IF(TRUE=TRUE,Inputs!$B$33,0))))+1)),0)</f>
        <v/>
      </c>
      <c r="S877">
        <f>IFERROR(O877/N877,0)</f>
        <v/>
      </c>
      <c r="T877">
        <f>IF(C877,(H877*N877*IF(AND(Inputs!$B$39&lt;&gt;"pvp",Inputs!$B$44&gt;0),((Skills!G6*((R877-1)*IF(Skills!H6&gt;0,INT(Skills!I6/Skills!H6+0.000000001),1)+IF(Skills!H6&gt;0,INT(MIN(Skills!I6,MAX(0,MAX(0,Inputs!$B$44-B907)-((R877-1)*IF(Inputs!$B$39="pvp",15,MAX(0.1,Skills!D6-IF(TRUE=TRUE,Inputs!$B$33,0))))))/Skills!H6+0.000000001),1)))/Inputs!$B$44),G877*Q877))*IF(Inputs!$B$39="pvp",1,1+(Inputs!$B$21+0+Skills!P6+((C888=TRUE)*F888*IF(AND(Inputs!$B$39&lt;&gt;"pvp",Inputs!$B$44&gt;0),(((R888-1)*MIN((Skills!T17*(1+Inputs!$B$35/100)),(1/Q888))+MIN((Skills!T17*(1+Inputs!$B$35/100)),MAX(0,Inputs!$B$44-((R888-1)*(1/Q888)))))/Inputs!$B$44),IF(Inputs!$B$39="pvp",MIN((Skills!T17*(1+Inputs!$B$35/100)),15)/15,MIN(1,(Skills!T17*(1+Inputs!$B$35/100))/(1/Q888)))))+((C876=TRUE)*IF(Inputs!$B$3&gt;=126,10*MIN(1,15*Q876),0))+((C885=TRUE)*IF(Inputs!$B$39="pvp",20,(1-Summary!$B$11)*(20)+Summary!$B$11*(0))*IF(AND(Inputs!$B$39&lt;&gt;"pvp",Inputs!$B$44&gt;0),(((R885-1)*MIN((Skills!T14*(1+Inputs!$B$35/100)),(1/Q885))+MIN((Skills!T14*(1+Inputs!$B$35/100)),MAX(0,Inputs!$B$44-((R885-1)*(1/Q885)))))/Inputs!$B$44),IF(Inputs!$B$39="pvp",MIN((Skills!T14*(1+Inputs!$B$35/100)),15)/15,MIN(1,(Skills!T14*(1+Inputs!$B$35/100))/(1/Q885)))))+((C884=TRUE)*IF(Inputs!$B$3&gt;=82,IF(Inputs!$B$39="pvp",20,(1-Summary!$B$11)*(20)+Summary!$B$11*(0)),0)*IF(AND(Inputs!$B$39&lt;&gt;"pvp",Inputs!$B$44&gt;0),(((R884-1)*MIN((Skills!T13*(1+Inputs!$B$35/100)),(1/Q884))+MIN((Skills!T13*(1+Inputs!$B$35/100)),MAX(0,Inputs!$B$44-((R884-1)*(1/Q884)))))/Inputs!$B$44),IF(Inputs!$B$39="pvp",MIN((Skills!T13*(1+Inputs!$B$35/100)),15)/15,MIN(1,(Skills!T13*(1+Inputs!$B$35/100))/(1/Q884)))))+(IF(AND(ArtifactsInput!$M$35,Inputs!$B$4&lt;&gt;"Chapter Hunt"),CHOOSE(ArtifactsInput!$N$35+1,15,18,21,24,27,30)*(1-EXP(-(0.2*B902)*5)),0)+IF(AND(ArtifactsInput!$M$22,Inputs!$B$4&lt;&gt;"Chapter Hunt"),CHOOSE(ArtifactsInput!$N$22+1,10,12,14,16,18,20)*((0*(((0.15*B902*5))^0/1)+1*(((0.15*B902*5))^1/1)+2*(((0.15*B902*5))^2/2)+3*(((0.15*B902*5))^3/6)+4*(((0.15*B902*5))^4/24)+5*(((0.15*B902*5))^5/120))/((((0.15*B902*5))^0/1)+(((0.15*B902*5))^1/1)+(((0.15*B902*5))^2/2)+(((0.15*B902*5))^3/6)+(((0.15*B902*5))^4/24)+(((0.15*B902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877*(1-MIN(100,(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877*(MIN(100,(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877*(1-MIN(100,(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877*(MIN(100,(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77">
        <f>IF(C877,(H877*N877*IF(AND(Inputs!$B$39&lt;&gt;"pvp",Inputs!$B$44&gt;0),((Skills!G6*((R877-1)*IF(Skills!H6&gt;0,INT(Skills!I6/Skills!H6+0.000000001),1)+IF(Skills!H6&gt;0,INT(MIN(Skills!I6,MAX(0,MAX(0,Inputs!$B$44-B907)-((R877-1)*IF(Inputs!$B$39="pvp",15,MAX(0.1,Skills!D6-IF(TRUE=TRUE,Inputs!$B$33,0))))))/Skills!H6+0.000000001),1)))/Inputs!$B$44),G877*Q877))*IF(Inputs!$B$39="pvp",1,(1+(Inputs!$B$22+Skills!Q6+((C888=TRUE)*F888*IF(AND(Inputs!$B$39&lt;&gt;"pvp",Inputs!$B$44&gt;0),(((R888-1)*MIN((Skills!T17*(1+Inputs!$B$35/100)),(1/Q888))+MIN((Skills!T17*(1+Inputs!$B$35/100)),MAX(0,Inputs!$B$44-((R888-1)*(1/Q888)))))/Inputs!$B$44),IF(Inputs!$B$39="pvp",MIN((Skills!T17*(1+Inputs!$B$35/100)),15)/15,MIN(1,(Skills!T17*(1+Inputs!$B$35/100))/(1/Q888)))))+((C876=TRUE)*IF(Inputs!$B$3&gt;=126,10*MIN(1,15*Q876),0))+((C885=TRUE)*IF(Inputs!$B$39="pvp",20,(1-Summary!$B$11)*(20)+Summary!$B$11*(0))*IF(AND(Inputs!$B$39&lt;&gt;"pvp",Inputs!$B$44&gt;0),(((R885-1)*MIN((Skills!T14*(1+Inputs!$B$35/100)),(1/Q885))+MIN((Skills!T14*(1+Inputs!$B$35/100)),MAX(0,Inputs!$B$44-((R885-1)*(1/Q885)))))/Inputs!$B$44),IF(Inputs!$B$39="pvp",MIN((Skills!T14*(1+Inputs!$B$35/100)),15)/15,MIN(1,(Skills!T14*(1+Inputs!$B$35/100))/(1/Q885)))))+((C884=TRUE)*IF(Inputs!$B$3&gt;=82,IF(Inputs!$B$39="pvp",20,(1-Summary!$B$11)*(20)+Summary!$B$11*(0)),0)*IF(AND(Inputs!$B$39&lt;&gt;"pvp",Inputs!$B$44&gt;0),(((R884-1)*MIN((Skills!T13*(1+Inputs!$B$35/100)),(1/Q884))+MIN((Skills!T13*(1+Inputs!$B$35/100)),MAX(0,Inputs!$B$44-((R884-1)*(1/Q884)))))/Inputs!$B$44),IF(Inputs!$B$39="pvp",MIN((Skills!T13*(1+Inputs!$B$35/100)),15)/15,MIN(1,(Skills!T13*(1+Inputs!$B$35/100))/(1/Q884)))))+(IF(AND(ArtifactsInput!$M$35,Inputs!$B$4&lt;&gt;"Chapter Hunt"),CHOOSE(ArtifactsInput!$N$35+1,15,18,21,24,27,30)*(1-EXP(-(0.2*B902)*5)),0)+IF(AND(ArtifactsInput!$M$22,Inputs!$B$4&lt;&gt;"Chapter Hunt"),CHOOSE(ArtifactsInput!$N$22+1,10,12,14,16,18,20)*((0*(((0.15*B902*5))^0/1)+1*(((0.15*B902*5))^1/1)+2*(((0.15*B902*5))^2/2)+3*(((0.15*B902*5))^3/6)+4*(((0.15*B902*5))^4/24)+5*(((0.15*B902*5))^5/120))/((((0.15*B902*5))^0/1)+(((0.15*B902*5))^1/1)+(((0.15*B902*5))^2/2)+(((0.15*B902*5))^3/6)+(((0.15*B902*5))^4/24)+(((0.15*B902*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78">
      <c r="A878">
        <f>Skills!A7</f>
        <v/>
      </c>
      <c r="B878">
        <f>Skills!B7</f>
        <v/>
      </c>
      <c r="C878">
        <f>Inputs!$B$3&gt;=40</f>
        <v/>
      </c>
      <c r="D878">
        <f>IF(Skills!C7=1,60+Inputs!$B$26+Inputs!$B$30,IF(Skills!C7=2,90+(Inputs!$B$27+1)+Inputs!$B$30,IF(Skills!C7=3,120+Inputs!$B$28+Inputs!$B$30,MAX(0,(Inputs!$B$3-100)*3)+Inputs!$B$29+Inputs!$B$30)))</f>
        <v/>
      </c>
      <c r="E878">
        <f>INDEX(FactorTable!$B$2:$Y$301, MATCH(ROUND(MIN(300,MAX(1,D878)),0), FactorTable!$A$2:$A$301,0), Skills!M7+1)</f>
        <v/>
      </c>
      <c r="F878">
        <f>IF(Skills!N7=TRUE,(Skills!L7/10)*(E878/1000),Skills!L7/10)+Skills!O7</f>
        <v/>
      </c>
      <c r="G878">
        <f>Skills!G7*IF(Skills!H7&gt;0,INT(IF(Inputs!$B$39="pvp",MIN(Skills!I7,15),Skills!I7)/Skills!H7+0.000000001),1)</f>
        <v/>
      </c>
      <c r="H878">
        <f>1-(1-Skills!J7/100)^Skills!K7</f>
        <v/>
      </c>
      <c r="I878" t="inlineStr">
        <is>
          <t>1</t>
        </is>
      </c>
      <c r="J878">
        <f>((Inputs!$B$6*(1+Inputs!$B$7/100))+(((Inputs!$B$13*(1+Inputs!$B$14/100))-(Inputs!$B$13*(1+Inputs!$B$14/100)))+0.25*(Inputs!$B$15-Inputs!$B$15))*(1+Inputs!$B$7/100))*(F878/100)</f>
        <v/>
      </c>
      <c r="K878">
        <f>J878*(1+(((Inputs!$B$13+IF(Inputs!$B$3&gt;=38,(10*INDEX(FactorTable!$B$2:$Y$301, MATCH(ROUND(MIN(300,MAX(1,Inputs!$B$3)),0), FactorTable!$A$2:$A$301,0), 23)/1000)/100*(Inputs!$B$8*(1+Inputs!$B$9/100)),0))*(1+Inputs!$B$14/100))*0.01+Inputs!$B$15*0.0025)/100)*(1+Inputs!$B$16/100)*(1+Inputs!$B$17/100)*(5000/(6000+Inputs!$B$43*(1-(Inputs!$B$20+0)/100)))*(1+(Inputs!$B$25+((C896=TRUE)*(F896-Calc!F25))+((C897=TRUE)*(F897-Calc!F26))+B906)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882=TRUE,F882,0)/100)*(1+(IF(Skills!A7="DARK_IMPALE",Inputs!$B$18+0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gt;=100),MIN(100,((Inputs!$B$10+0+B900+(ArtifactsInput!$M$24-ArtifactsInput!$M$24)*CHOOSE(ArtifactsInput!$N$24+1,10,12,14,16,18,20)+IF(ArtifactsInput!$M$10,CHOOSE(ArtifactsInput!$N$10+1,15,18,21,24,27,30)*(IF(Inputs!$B$39="pvp",MIN(15,15)/15,IF(AND(Inputs!$B$39&lt;&gt;"pvp",Inputs!$B$44&gt;0),MIN(15,Inputs!$B$44)/(Inputs!$B$44),0))),0)))-100),0))*CHOOSE(ArtifactsInput!$N$42+1,0.6,0.72,0.84,0.96,1.08,1.2))),Inputs!$B$19+((C894=TRUE)*(F894-Calc!F23))+(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gt;=100),CHOOSE(ArtifactsInput!$N$42+1,40,48,56,64,72,80),0))))/100)*((1+(((C884=TRUE)*F884*IF(AND(Inputs!$B$39&lt;&gt;"pvp",Inputs!$B$44&gt;0),(((R884-1)*MIN((Skills!T13*(1+Inputs!$B$35/100)),(1/Q884))+MIN((Skills!T13*(1+Inputs!$B$35/100)),MAX(0,Inputs!$B$44-((R884-1)*(1/Q884)))))/Inputs!$B$44),IF(Inputs!$B$39="pvp",MIN((Skills!T13*(1+Inputs!$B$35/100)),15)/15,MIN(1,(Skills!T13*(1+Inputs!$B$35/100))/(1/Q884)))))+((C885=TRUE)*F885*IF(AND(Inputs!$B$39&lt;&gt;"pvp",Inputs!$B$44&gt;0),(((R885-1)*MIN((Skills!T14*(1+Inputs!$B$35/100)),(1/Q885))+MIN((Skills!T14*(1+Inputs!$B$35/100)),MAX(0,Inputs!$B$44-((R885-1)*(1/Q885)))))/Inputs!$B$44),IF(Inputs!$B$39="pvp",MIN((Skills!T14*(1+Inputs!$B$35/100)),15)/15,MIN(1,(Skills!T14*(1+Inputs!$B$35/100))/(1/Q885)))))+((C886=TRUE)*F886*IF(AND(Inputs!$B$39&lt;&gt;"pvp",Inputs!$B$44&gt;0),(((R886-1)*MIN((Skills!T15*(1+Inputs!$B$35/100)),(1/Q886))+MIN((Skills!T15*(1+Inputs!$B$35/100)),MAX(0,Inputs!$B$44-((R886-1)*(1/Q886)))))/Inputs!$B$44),IF(Inputs!$B$39="pvp",MIN((Skills!T15*(1+Inputs!$B$35/100)),15)/15,MIN(1,(Skills!T15*(1+Inputs!$B$35/100))/(1/Q886)))))+((C887=TRUE)*F887*IF(AND(Inputs!$B$39&lt;&gt;"pvp",Inputs!$B$44&gt;0),(((R887-1)*MIN((Skills!T16*(1+Inputs!$B$35/100)),(1/Q887))+MIN((Skills!T16*(1+Inputs!$B$35/100)),MAX(0,Inputs!$B$44-((R887-1)*(1/Q887)))))/Inputs!$B$44),IF(Inputs!$B$39="pvp",MIN((Skills!T16*(1+Inputs!$B$35/100)),15)/15,MIN(1,(Skills!T16*(1+Inputs!$B$35/100))/(1/Q887)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878)</f>
        <v/>
      </c>
      <c r="L878">
        <f>K878*(MIN(Inputs!$B$23+((C893=TRUE)*(F893-Calc!F22)),(Inputs!$B$24+((C895=TRUE)*(F895-Calc!F24))+(IF(ArtifactsInput!$M$15,CHOOSE(ArtifactsInput!$N$15+1,25,30,35,40,45,50)/100*(Inputs!$B$12-Inputs!$B$12),0))))/100+(Inputs!$B$24+((C895=TRUE)*(F895-Calc!F24))+(IF(ArtifactsInput!$M$15,CHOOSE(ArtifactsInput!$N$15+1,25,30,35,40,45,50)/100*(Inputs!$B$12-Inputs!$B$12),0)))/100)/2</f>
        <v/>
      </c>
      <c r="M878">
        <f>L878*(1+(Inputs!$B$11+0+B905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878">
        <f>L878*(1-MIN((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878*(MIN((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78">
        <f>(1-Summary!$B$11)*T878+Summary!$B$11*V878</f>
        <v/>
      </c>
      <c r="P878">
        <f>IF(B910=0,0,O878/B910)</f>
        <v/>
      </c>
      <c r="Q878">
        <f>IFERROR(1/IF(Inputs!$B$39="pvp",15,MAX(0.1,Skills!D7-IF(TRUE=TRUE,Inputs!$B$33,0))),0)</f>
        <v/>
      </c>
      <c r="R878">
        <f>IF(AND(Inputs!$B$39&lt;&gt;"pvp",Inputs!$B$44&gt;0),IF(MAX(0,Inputs!$B$44-B907)&lt;=0,0,(INT(MAX(0,Inputs!$B$44-B907)/IF(Inputs!$B$39="pvp",15,MAX(0.1,Skills!D7-IF(TRUE=TRUE,Inputs!$B$33,0))))+1)),0)</f>
        <v/>
      </c>
      <c r="S878">
        <f>IFERROR(O878/N878,0)</f>
        <v/>
      </c>
      <c r="T878">
        <f>IF(C878,(H878*N878*IF(AND(Inputs!$B$39&lt;&gt;"pvp",Inputs!$B$44&gt;0),((Skills!G7*((R878-1)*IF(Skills!H7&gt;0,INT(Skills!I7/Skills!H7+0.000000001),1)+IF(Skills!H7&gt;0,INT(MIN(Skills!I7,MAX(0,MAX(0,Inputs!$B$44-B907)-((R878-1)*IF(Inputs!$B$39="pvp",15,MAX(0.1,Skills!D7-IF(TRUE=TRUE,Inputs!$B$33,0))))))/Skills!H7+0.000000001),1)))/Inputs!$B$44),G878*Q878))*IF(Inputs!$B$39="pvp",1,1+(Inputs!$B$21+0+Skills!P7+((C888=TRUE)*F888*IF(AND(Inputs!$B$39&lt;&gt;"pvp",Inputs!$B$44&gt;0),(((R888-1)*MIN((Skills!T17*(1+Inputs!$B$35/100)),(1/Q888))+MIN((Skills!T17*(1+Inputs!$B$35/100)),MAX(0,Inputs!$B$44-((R888-1)*(1/Q888)))))/Inputs!$B$44),IF(Inputs!$B$39="pvp",MIN((Skills!T17*(1+Inputs!$B$35/100)),15)/15,MIN(1,(Skills!T17*(1+Inputs!$B$35/100))/(1/Q888)))))+((C876=TRUE)*IF(Inputs!$B$3&gt;=126,10*MIN(1,15*Q876),0))+((C885=TRUE)*IF(Inputs!$B$39="pvp",20,(1-Summary!$B$11)*(20)+Summary!$B$11*(0))*IF(AND(Inputs!$B$39&lt;&gt;"pvp",Inputs!$B$44&gt;0),(((R885-1)*MIN((Skills!T14*(1+Inputs!$B$35/100)),(1/Q885))+MIN((Skills!T14*(1+Inputs!$B$35/100)),MAX(0,Inputs!$B$44-((R885-1)*(1/Q885)))))/Inputs!$B$44),IF(Inputs!$B$39="pvp",MIN((Skills!T14*(1+Inputs!$B$35/100)),15)/15,MIN(1,(Skills!T14*(1+Inputs!$B$35/100))/(1/Q885)))))+((C884=TRUE)*IF(Inputs!$B$3&gt;=82,IF(Inputs!$B$39="pvp",20,(1-Summary!$B$11)*(20)+Summary!$B$11*(0)),0)*IF(AND(Inputs!$B$39&lt;&gt;"pvp",Inputs!$B$44&gt;0),(((R884-1)*MIN((Skills!T13*(1+Inputs!$B$35/100)),(1/Q884))+MIN((Skills!T13*(1+Inputs!$B$35/100)),MAX(0,Inputs!$B$44-((R884-1)*(1/Q884)))))/Inputs!$B$44),IF(Inputs!$B$39="pvp",MIN((Skills!T13*(1+Inputs!$B$35/100)),15)/15,MIN(1,(Skills!T13*(1+Inputs!$B$35/100))/(1/Q884)))))+(IF(AND(ArtifactsInput!$M$35,Inputs!$B$4&lt;&gt;"Chapter Hunt"),CHOOSE(ArtifactsInput!$N$35+1,15,18,21,24,27,30)*(1-EXP(-(0.2*B902)*5)),0)+IF(AND(ArtifactsInput!$M$22,Inputs!$B$4&lt;&gt;"Chapter Hunt"),CHOOSE(ArtifactsInput!$N$22+1,10,12,14,16,18,20)*((0*(((0.15*B902*5))^0/1)+1*(((0.15*B902*5))^1/1)+2*(((0.15*B902*5))^2/2)+3*(((0.15*B902*5))^3/6)+4*(((0.15*B902*5))^4/24)+5*(((0.15*B902*5))^5/120))/((((0.15*B902*5))^0/1)+(((0.15*B902*5))^1/1)+(((0.15*B902*5))^2/2)+(((0.15*B902*5))^3/6)+(((0.15*B902*5))^4/24)+(((0.15*B902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878*(1-MIN(100,(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878*(MIN(100,(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878*(1-MIN(100,(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878*(MIN(100,(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78">
        <f>IF(C878,(H878*N878*IF(AND(Inputs!$B$39&lt;&gt;"pvp",Inputs!$B$44&gt;0),((Skills!G7*((R878-1)*IF(Skills!H7&gt;0,INT(Skills!I7/Skills!H7+0.000000001),1)+IF(Skills!H7&gt;0,INT(MIN(Skills!I7,MAX(0,MAX(0,Inputs!$B$44-B907)-((R878-1)*IF(Inputs!$B$39="pvp",15,MAX(0.1,Skills!D7-IF(TRUE=TRUE,Inputs!$B$33,0))))))/Skills!H7+0.000000001),1)))/Inputs!$B$44),G878*Q878))*IF(Inputs!$B$39="pvp",1,(1+(Inputs!$B$22+Skills!Q7+((C888=TRUE)*F888*IF(AND(Inputs!$B$39&lt;&gt;"pvp",Inputs!$B$44&gt;0),(((R888-1)*MIN((Skills!T17*(1+Inputs!$B$35/100)),(1/Q888))+MIN((Skills!T17*(1+Inputs!$B$35/100)),MAX(0,Inputs!$B$44-((R888-1)*(1/Q888)))))/Inputs!$B$44),IF(Inputs!$B$39="pvp",MIN((Skills!T17*(1+Inputs!$B$35/100)),15)/15,MIN(1,(Skills!T17*(1+Inputs!$B$35/100))/(1/Q888)))))+((C876=TRUE)*IF(Inputs!$B$3&gt;=126,10*MIN(1,15*Q876),0))+((C885=TRUE)*IF(Inputs!$B$39="pvp",20,(1-Summary!$B$11)*(20)+Summary!$B$11*(0))*IF(AND(Inputs!$B$39&lt;&gt;"pvp",Inputs!$B$44&gt;0),(((R885-1)*MIN((Skills!T14*(1+Inputs!$B$35/100)),(1/Q885))+MIN((Skills!T14*(1+Inputs!$B$35/100)),MAX(0,Inputs!$B$44-((R885-1)*(1/Q885)))))/Inputs!$B$44),IF(Inputs!$B$39="pvp",MIN((Skills!T14*(1+Inputs!$B$35/100)),15)/15,MIN(1,(Skills!T14*(1+Inputs!$B$35/100))/(1/Q885)))))+((C884=TRUE)*IF(Inputs!$B$3&gt;=82,IF(Inputs!$B$39="pvp",20,(1-Summary!$B$11)*(20)+Summary!$B$11*(0)),0)*IF(AND(Inputs!$B$39&lt;&gt;"pvp",Inputs!$B$44&gt;0),(((R884-1)*MIN((Skills!T13*(1+Inputs!$B$35/100)),(1/Q884))+MIN((Skills!T13*(1+Inputs!$B$35/100)),MAX(0,Inputs!$B$44-((R884-1)*(1/Q884)))))/Inputs!$B$44),IF(Inputs!$B$39="pvp",MIN((Skills!T13*(1+Inputs!$B$35/100)),15)/15,MIN(1,(Skills!T13*(1+Inputs!$B$35/100))/(1/Q884)))))+(IF(AND(ArtifactsInput!$M$35,Inputs!$B$4&lt;&gt;"Chapter Hunt"),CHOOSE(ArtifactsInput!$N$35+1,15,18,21,24,27,30)*(1-EXP(-(0.2*B902)*5)),0)+IF(AND(ArtifactsInput!$M$22,Inputs!$B$4&lt;&gt;"Chapter Hunt"),CHOOSE(ArtifactsInput!$N$22+1,10,12,14,16,18,20)*((0*(((0.15*B902*5))^0/1)+1*(((0.15*B902*5))^1/1)+2*(((0.15*B902*5))^2/2)+3*(((0.15*B902*5))^3/6)+4*(((0.15*B902*5))^4/24)+5*(((0.15*B902*5))^5/120))/((((0.15*B902*5))^0/1)+(((0.15*B902*5))^1/1)+(((0.15*B902*5))^2/2)+(((0.15*B902*5))^3/6)+(((0.15*B902*5))^4/24)+(((0.15*B902*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79">
      <c r="A879">
        <f>Skills!A8</f>
        <v/>
      </c>
      <c r="B879">
        <f>Skills!B8</f>
        <v/>
      </c>
      <c r="C879">
        <f>Inputs!$B$3&gt;=75</f>
        <v/>
      </c>
      <c r="D879">
        <f>IF(Skills!C8=1,60+Inputs!$B$26+Inputs!$B$30,IF(Skills!C8=2,90+(Inputs!$B$27+1)+Inputs!$B$30,IF(Skills!C8=3,120+Inputs!$B$28+Inputs!$B$30,MAX(0,(Inputs!$B$3-100)*3)+Inputs!$B$29+Inputs!$B$30)))</f>
        <v/>
      </c>
      <c r="E879">
        <f>INDEX(FactorTable!$B$2:$Y$301, MATCH(ROUND(MIN(300,MAX(1,D879)),0), FactorTable!$A$2:$A$301,0), Skills!M8+1)</f>
        <v/>
      </c>
      <c r="F879">
        <f>IF(Skills!N8=TRUE,(Skills!L8/10)*(E879/1000),Skills!L8/10)+Skills!O8</f>
        <v/>
      </c>
      <c r="G879" t="inlineStr"/>
      <c r="H879" t="inlineStr"/>
      <c r="I879" t="inlineStr">
        <is>
          <t>1</t>
        </is>
      </c>
      <c r="J879" t="inlineStr"/>
      <c r="K879" t="inlineStr"/>
      <c r="L879" t="inlineStr"/>
      <c r="M879" t="inlineStr"/>
      <c r="N879" t="inlineStr"/>
      <c r="O879" t="inlineStr"/>
      <c r="P879" t="inlineStr"/>
      <c r="Q879" t="inlineStr"/>
      <c r="R879" t="inlineStr"/>
      <c r="S879" t="inlineStr"/>
    </row>
    <row r="880">
      <c r="A880">
        <f>Skills!A9</f>
        <v/>
      </c>
      <c r="B880">
        <f>Skills!B9</f>
        <v/>
      </c>
      <c r="C880">
        <f>Inputs!$B$3&gt;=60</f>
        <v/>
      </c>
      <c r="D880">
        <f>IF(Skills!C9=1,60+Inputs!$B$26+Inputs!$B$30,IF(Skills!C9=2,90+(Inputs!$B$27+1)+Inputs!$B$30,IF(Skills!C9=3,120+Inputs!$B$28+Inputs!$B$30,MAX(0,(Inputs!$B$3-100)*3)+Inputs!$B$29+Inputs!$B$30)))</f>
        <v/>
      </c>
      <c r="E880">
        <f>INDEX(FactorTable!$B$2:$Y$301, MATCH(ROUND(MIN(300,MAX(1,D880)),0), FactorTable!$A$2:$A$301,0), Skills!M9+1)</f>
        <v/>
      </c>
      <c r="F880">
        <f>IF(Skills!N9=TRUE,(Skills!L9/10)*(E880/1000),Skills!L9/10)+Skills!O9</f>
        <v/>
      </c>
      <c r="G880">
        <f>Skills!G9*IF(Skills!H9&gt;0,INT(IF(Inputs!$B$39="pvp",MIN(Skills!I9,15),Skills!I9)/Skills!H9+0.000000001),1)</f>
        <v/>
      </c>
      <c r="H880">
        <f>1-(1-Skills!J9/100)^Skills!K9</f>
        <v/>
      </c>
      <c r="I880" t="inlineStr">
        <is>
          <t>1</t>
        </is>
      </c>
      <c r="J880">
        <f>((Inputs!$B$6*(1+Inputs!$B$7/100))+(((Inputs!$B$13*(1+Inputs!$B$14/100))-(Inputs!$B$13*(1+Inputs!$B$14/100)))+0.25*(Inputs!$B$15-Inputs!$B$15))*(1+Inputs!$B$7/100))*(F880/100)</f>
        <v/>
      </c>
      <c r="K880">
        <f>J880*(1+(((Inputs!$B$13+IF(Inputs!$B$3&gt;=38,(10*INDEX(FactorTable!$B$2:$Y$301, MATCH(ROUND(MIN(300,MAX(1,Inputs!$B$3)),0), FactorTable!$A$2:$A$301,0), 23)/1000)/100*(Inputs!$B$8*(1+Inputs!$B$9/100)),0))*(1+Inputs!$B$14/100))*0.01+Inputs!$B$15*0.0025)/100)*(1+Inputs!$B$16/100)*(1+Inputs!$B$17/100)*(5000/(6000+Inputs!$B$43*(1-(Inputs!$B$20+0)/100)))*(1+(Inputs!$B$25+((C896=TRUE)*(F896-Calc!F25))+((C897=TRUE)*(F897-Calc!F26))+B906)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882=TRUE,F882,0)/100)*(1+(IF(Skills!A9="DARK_IMPALE",Inputs!$B$18+0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gt;=100),MIN(100,((Inputs!$B$10+0+B900+(ArtifactsInput!$M$24-ArtifactsInput!$M$24)*CHOOSE(ArtifactsInput!$N$24+1,10,12,14,16,18,20)+IF(ArtifactsInput!$M$10,CHOOSE(ArtifactsInput!$N$10+1,15,18,21,24,27,30)*(IF(Inputs!$B$39="pvp",MIN(15,15)/15,IF(AND(Inputs!$B$39&lt;&gt;"pvp",Inputs!$B$44&gt;0),MIN(15,Inputs!$B$44)/(Inputs!$B$44),0))),0)))-100),0))*CHOOSE(ArtifactsInput!$N$42+1,0.6,0.72,0.84,0.96,1.08,1.2))),Inputs!$B$19+((C894=TRUE)*(F894-Calc!F23))+(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gt;=100),CHOOSE(ArtifactsInput!$N$42+1,40,48,56,64,72,80),0))))/100)*((1+(((C884=TRUE)*F884*IF(AND(Inputs!$B$39&lt;&gt;"pvp",Inputs!$B$44&gt;0),(((R884-1)*MIN((Skills!T13*(1+Inputs!$B$35/100)),(1/Q884))+MIN((Skills!T13*(1+Inputs!$B$35/100)),MAX(0,Inputs!$B$44-((R884-1)*(1/Q884)))))/Inputs!$B$44),IF(Inputs!$B$39="pvp",MIN((Skills!T13*(1+Inputs!$B$35/100)),15)/15,MIN(1,(Skills!T13*(1+Inputs!$B$35/100))/(1/Q884)))))+((C885=TRUE)*F885*IF(AND(Inputs!$B$39&lt;&gt;"pvp",Inputs!$B$44&gt;0),(((R885-1)*MIN((Skills!T14*(1+Inputs!$B$35/100)),(1/Q885))+MIN((Skills!T14*(1+Inputs!$B$35/100)),MAX(0,Inputs!$B$44-((R885-1)*(1/Q885)))))/Inputs!$B$44),IF(Inputs!$B$39="pvp",MIN((Skills!T14*(1+Inputs!$B$35/100)),15)/15,MIN(1,(Skills!T14*(1+Inputs!$B$35/100))/(1/Q885)))))+((C886=TRUE)*F886*IF(AND(Inputs!$B$39&lt;&gt;"pvp",Inputs!$B$44&gt;0),(((R886-1)*MIN((Skills!T15*(1+Inputs!$B$35/100)),(1/Q886))+MIN((Skills!T15*(1+Inputs!$B$35/100)),MAX(0,Inputs!$B$44-((R886-1)*(1/Q886)))))/Inputs!$B$44),IF(Inputs!$B$39="pvp",MIN((Skills!T15*(1+Inputs!$B$35/100)),15)/15,MIN(1,(Skills!T15*(1+Inputs!$B$35/100))/(1/Q886)))))+((C887=TRUE)*F887*IF(AND(Inputs!$B$39&lt;&gt;"pvp",Inputs!$B$44&gt;0),(((R887-1)*MIN((Skills!T16*(1+Inputs!$B$35/100)),(1/Q887))+MIN((Skills!T16*(1+Inputs!$B$35/100)),MAX(0,Inputs!$B$44-((R887-1)*(1/Q887)))))/Inputs!$B$44),IF(Inputs!$B$39="pvp",MIN((Skills!T16*(1+Inputs!$B$35/100)),15)/15,MIN(1,(Skills!T16*(1+Inputs!$B$35/100))/(1/Q887)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880)</f>
        <v/>
      </c>
      <c r="L880">
        <f>K880*(MIN(Inputs!$B$23+((C893=TRUE)*(F893-Calc!F22)),(Inputs!$B$24+((C895=TRUE)*(F895-Calc!F24))+(IF(ArtifactsInput!$M$15,CHOOSE(ArtifactsInput!$N$15+1,25,30,35,40,45,50)/100*(Inputs!$B$12-Inputs!$B$12),0))))/100+(Inputs!$B$24+((C895=TRUE)*(F895-Calc!F24))+(IF(ArtifactsInput!$M$15,CHOOSE(ArtifactsInput!$N$15+1,25,30,35,40,45,50)/100*(Inputs!$B$12-Inputs!$B$12),0)))/100)/2</f>
        <v/>
      </c>
      <c r="M880">
        <f>L880*(1+(Inputs!$B$11+0+B905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880">
        <f>L880*(1-MIN((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880*(MIN((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80">
        <f>(1-Summary!$B$11)*T880+Summary!$B$11*V880</f>
        <v/>
      </c>
      <c r="P880">
        <f>IF(B910=0,0,O880/B910)</f>
        <v/>
      </c>
      <c r="Q880">
        <f>IFERROR(1/IF(Inputs!$B$39="pvp",15,MAX(0.1,Skills!D9-IF(TRUE=TRUE,Inputs!$B$33,0))),0)</f>
        <v/>
      </c>
      <c r="R880">
        <f>IF(AND(Inputs!$B$39&lt;&gt;"pvp",Inputs!$B$44&gt;0),IF(MAX(0,Inputs!$B$44-B907)&lt;=0,0,(INT(MAX(0,Inputs!$B$44-B907)/IF(Inputs!$B$39="pvp",15,MAX(0.1,Skills!D9-IF(TRUE=TRUE,Inputs!$B$33,0))))+1)),0)</f>
        <v/>
      </c>
      <c r="S880">
        <f>IFERROR(O880/N880,0)</f>
        <v/>
      </c>
      <c r="T880">
        <f>IF(C880,(H880*N880*IF(AND(Inputs!$B$39&lt;&gt;"pvp",Inputs!$B$44&gt;0),((Skills!G9*((R880-1)*IF(Skills!H9&gt;0,INT(Skills!I9/Skills!H9+0.000000001),1)+IF(Skills!H9&gt;0,INT(MIN(Skills!I9,MAX(0,MAX(0,Inputs!$B$44-B907)-((R880-1)*IF(Inputs!$B$39="pvp",15,MAX(0.1,Skills!D9-IF(TRUE=TRUE,Inputs!$B$33,0))))))/Skills!H9+0.000000001),1)))/Inputs!$B$44),G880*Q880))*IF(Inputs!$B$39="pvp",1,1+(Inputs!$B$21+0+Skills!P9+((C888=TRUE)*F888*IF(AND(Inputs!$B$39&lt;&gt;"pvp",Inputs!$B$44&gt;0),(((R888-1)*MIN((Skills!T17*(1+Inputs!$B$35/100)),(1/Q888))+MIN((Skills!T17*(1+Inputs!$B$35/100)),MAX(0,Inputs!$B$44-((R888-1)*(1/Q888)))))/Inputs!$B$44),IF(Inputs!$B$39="pvp",MIN((Skills!T17*(1+Inputs!$B$35/100)),15)/15,MIN(1,(Skills!T17*(1+Inputs!$B$35/100))/(1/Q888)))))+((C876=TRUE)*IF(Inputs!$B$3&gt;=126,10*MIN(1,15*Q876),0))+((C885=TRUE)*IF(Inputs!$B$39="pvp",20,(1-Summary!$B$11)*(20)+Summary!$B$11*(0))*IF(AND(Inputs!$B$39&lt;&gt;"pvp",Inputs!$B$44&gt;0),(((R885-1)*MIN((Skills!T14*(1+Inputs!$B$35/100)),(1/Q885))+MIN((Skills!T14*(1+Inputs!$B$35/100)),MAX(0,Inputs!$B$44-((R885-1)*(1/Q885)))))/Inputs!$B$44),IF(Inputs!$B$39="pvp",MIN((Skills!T14*(1+Inputs!$B$35/100)),15)/15,MIN(1,(Skills!T14*(1+Inputs!$B$35/100))/(1/Q885)))))+((C884=TRUE)*IF(Inputs!$B$3&gt;=82,IF(Inputs!$B$39="pvp",20,(1-Summary!$B$11)*(20)+Summary!$B$11*(0)),0)*IF(AND(Inputs!$B$39&lt;&gt;"pvp",Inputs!$B$44&gt;0),(((R884-1)*MIN((Skills!T13*(1+Inputs!$B$35/100)),(1/Q884))+MIN((Skills!T13*(1+Inputs!$B$35/100)),MAX(0,Inputs!$B$44-((R884-1)*(1/Q884)))))/Inputs!$B$44),IF(Inputs!$B$39="pvp",MIN((Skills!T13*(1+Inputs!$B$35/100)),15)/15,MIN(1,(Skills!T13*(1+Inputs!$B$35/100))/(1/Q884)))))+(IF(AND(ArtifactsInput!$M$35,Inputs!$B$4&lt;&gt;"Chapter Hunt"),CHOOSE(ArtifactsInput!$N$35+1,15,18,21,24,27,30)*(1-EXP(-(0.2*B902)*5)),0)+IF(AND(ArtifactsInput!$M$22,Inputs!$B$4&lt;&gt;"Chapter Hunt"),CHOOSE(ArtifactsInput!$N$22+1,10,12,14,16,18,20)*((0*(((0.15*B902*5))^0/1)+1*(((0.15*B902*5))^1/1)+2*(((0.15*B902*5))^2/2)+3*(((0.15*B902*5))^3/6)+4*(((0.15*B902*5))^4/24)+5*(((0.15*B902*5))^5/120))/((((0.15*B902*5))^0/1)+(((0.15*B902*5))^1/1)+(((0.15*B902*5))^2/2)+(((0.15*B902*5))^3/6)+(((0.15*B902*5))^4/24)+(((0.15*B902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880*(1-MIN(100,(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880*(MIN(100,(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880*(1-MIN(100,(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880*(MIN(100,(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80">
        <f>IF(C880,(H880*N880*IF(AND(Inputs!$B$39&lt;&gt;"pvp",Inputs!$B$44&gt;0),((Skills!G9*((R880-1)*IF(Skills!H9&gt;0,INT(Skills!I9/Skills!H9+0.000000001),1)+IF(Skills!H9&gt;0,INT(MIN(Skills!I9,MAX(0,MAX(0,Inputs!$B$44-B907)-((R880-1)*IF(Inputs!$B$39="pvp",15,MAX(0.1,Skills!D9-IF(TRUE=TRUE,Inputs!$B$33,0))))))/Skills!H9+0.000000001),1)))/Inputs!$B$44),G880*Q880))*IF(Inputs!$B$39="pvp",1,(1+(Inputs!$B$22+Skills!Q9+((C888=TRUE)*F888*IF(AND(Inputs!$B$39&lt;&gt;"pvp",Inputs!$B$44&gt;0),(((R888-1)*MIN((Skills!T17*(1+Inputs!$B$35/100)),(1/Q888))+MIN((Skills!T17*(1+Inputs!$B$35/100)),MAX(0,Inputs!$B$44-((R888-1)*(1/Q888)))))/Inputs!$B$44),IF(Inputs!$B$39="pvp",MIN((Skills!T17*(1+Inputs!$B$35/100)),15)/15,MIN(1,(Skills!T17*(1+Inputs!$B$35/100))/(1/Q888)))))+((C876=TRUE)*IF(Inputs!$B$3&gt;=126,10*MIN(1,15*Q876),0))+((C885=TRUE)*IF(Inputs!$B$39="pvp",20,(1-Summary!$B$11)*(20)+Summary!$B$11*(0))*IF(AND(Inputs!$B$39&lt;&gt;"pvp",Inputs!$B$44&gt;0),(((R885-1)*MIN((Skills!T14*(1+Inputs!$B$35/100)),(1/Q885))+MIN((Skills!T14*(1+Inputs!$B$35/100)),MAX(0,Inputs!$B$44-((R885-1)*(1/Q885)))))/Inputs!$B$44),IF(Inputs!$B$39="pvp",MIN((Skills!T14*(1+Inputs!$B$35/100)),15)/15,MIN(1,(Skills!T14*(1+Inputs!$B$35/100))/(1/Q885)))))+((C884=TRUE)*IF(Inputs!$B$3&gt;=82,IF(Inputs!$B$39="pvp",20,(1-Summary!$B$11)*(20)+Summary!$B$11*(0)),0)*IF(AND(Inputs!$B$39&lt;&gt;"pvp",Inputs!$B$44&gt;0),(((R884-1)*MIN((Skills!T13*(1+Inputs!$B$35/100)),(1/Q884))+MIN((Skills!T13*(1+Inputs!$B$35/100)),MAX(0,Inputs!$B$44-((R884-1)*(1/Q884)))))/Inputs!$B$44),IF(Inputs!$B$39="pvp",MIN((Skills!T13*(1+Inputs!$B$35/100)),15)/15,MIN(1,(Skills!T13*(1+Inputs!$B$35/100))/(1/Q884)))))+(IF(AND(ArtifactsInput!$M$35,Inputs!$B$4&lt;&gt;"Chapter Hunt"),CHOOSE(ArtifactsInput!$N$35+1,15,18,21,24,27,30)*(1-EXP(-(0.2*B902)*5)),0)+IF(AND(ArtifactsInput!$M$22,Inputs!$B$4&lt;&gt;"Chapter Hunt"),CHOOSE(ArtifactsInput!$N$22+1,10,12,14,16,18,20)*((0*(((0.15*B902*5))^0/1)+1*(((0.15*B902*5))^1/1)+2*(((0.15*B902*5))^2/2)+3*(((0.15*B902*5))^3/6)+4*(((0.15*B902*5))^4/24)+5*(((0.15*B902*5))^5/120))/((((0.15*B902*5))^0/1)+(((0.15*B902*5))^1/1)+(((0.15*B902*5))^2/2)+(((0.15*B902*5))^3/6)+(((0.15*B902*5))^4/24)+(((0.15*B902*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81">
      <c r="A881">
        <f>Skills!A10</f>
        <v/>
      </c>
      <c r="B881">
        <f>Skills!B10</f>
        <v/>
      </c>
      <c r="C881">
        <f>Inputs!$B$3&gt;=110</f>
        <v/>
      </c>
      <c r="D881">
        <f>IF(Skills!C10=1,60+Inputs!$B$26+Inputs!$B$30,IF(Skills!C10=2,90+(Inputs!$B$27+1)+Inputs!$B$30,IF(Skills!C10=3,120+Inputs!$B$28+Inputs!$B$30,MAX(0,(Inputs!$B$3-100)*3)+Inputs!$B$29+Inputs!$B$30)))</f>
        <v/>
      </c>
      <c r="E881">
        <f>INDEX(FactorTable!$B$2:$Y$301, MATCH(ROUND(MIN(300,MAX(1,D881)),0), FactorTable!$A$2:$A$301,0), Skills!M10+1)</f>
        <v/>
      </c>
      <c r="F881">
        <f>IF(Skills!N10=TRUE,(Skills!L10/10)*(E881/1000),Skills!L10/10)+Skills!O10</f>
        <v/>
      </c>
      <c r="G881">
        <f>Skills!G10*IF(Skills!H10&gt;0,INT(IF(Inputs!$B$39="pvp",MIN(Skills!I10,15),Skills!I10)/Skills!H10+0.000000001),1)</f>
        <v/>
      </c>
      <c r="H881">
        <f>1-(1-Skills!J10/100)^Skills!K10</f>
        <v/>
      </c>
      <c r="I881" t="inlineStr">
        <is>
          <t>1</t>
        </is>
      </c>
      <c r="J881">
        <f>((Inputs!$B$6*(1+Inputs!$B$7/100))+(((Inputs!$B$13*(1+Inputs!$B$14/100))-(Inputs!$B$13*(1+Inputs!$B$14/100)))+0.25*(Inputs!$B$15-Inputs!$B$15))*(1+Inputs!$B$7/100))*(F881/100)</f>
        <v/>
      </c>
      <c r="K881">
        <f>J881*(1+(((Inputs!$B$13+IF(Inputs!$B$3&gt;=38,(10*INDEX(FactorTable!$B$2:$Y$301, MATCH(ROUND(MIN(300,MAX(1,Inputs!$B$3)),0), FactorTable!$A$2:$A$301,0), 23)/1000)/100*(Inputs!$B$8*(1+Inputs!$B$9/100)),0))*(1+Inputs!$B$14/100))*0.01+Inputs!$B$15*0.0025)/100)*(1+Inputs!$B$16/100)*(1+Inputs!$B$17/100)*(5000/(6000+Inputs!$B$43*(1-(Inputs!$B$20+0)/100)))*(1+(Inputs!$B$25+((C896=TRUE)*(F896-Calc!F25))+((C897=TRUE)*(F897-Calc!F26))+B906)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gt;=100),MIN(100,((Inputs!$B$10+0+B900+(ArtifactsInput!$M$24-ArtifactsInput!$M$24)*CHOOSE(ArtifactsInput!$N$24+1,10,12,14,16,18,20)+IF(ArtifactsInput!$M$10,CHOOSE(ArtifactsInput!$N$10+1,15,18,21,24,27,30)*(IF(Inputs!$B$39="pvp",MIN(15,15)/15,IF(AND(Inputs!$B$39&lt;&gt;"pvp",Inputs!$B$44&gt;0),MIN(15,Inputs!$B$44)/(Inputs!$B$44),0))),0)))-100),0))*CHOOSE(ArtifactsInput!$N$42+1,0.6,0.72,0.84,0.96,1.08,1.2))),Inputs!$B$19+((C894=TRUE)*(F894-Calc!F23))+(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gt;=100),CHOOSE(ArtifactsInput!$N$42+1,40,48,56,64,72,80),0))))/100)*((1+(((C884=TRUE)*F884*IF(AND(Inputs!$B$39&lt;&gt;"pvp",Inputs!$B$44&gt;0),(((R884-1)*MIN((Skills!T13*(1+Inputs!$B$35/100)),(1/Q884))+MIN((Skills!T13*(1+Inputs!$B$35/100)),MAX(0,Inputs!$B$44-((R884-1)*(1/Q884)))))/Inputs!$B$44),IF(Inputs!$B$39="pvp",MIN((Skills!T13*(1+Inputs!$B$35/100)),15)/15,MIN(1,(Skills!T13*(1+Inputs!$B$35/100))/(1/Q884)))))+((C885=TRUE)*F885*IF(AND(Inputs!$B$39&lt;&gt;"pvp",Inputs!$B$44&gt;0),(((R885-1)*MIN((Skills!T14*(1+Inputs!$B$35/100)),(1/Q885))+MIN((Skills!T14*(1+Inputs!$B$35/100)),MAX(0,Inputs!$B$44-((R885-1)*(1/Q885)))))/Inputs!$B$44),IF(Inputs!$B$39="pvp",MIN((Skills!T14*(1+Inputs!$B$35/100)),15)/15,MIN(1,(Skills!T14*(1+Inputs!$B$35/100))/(1/Q885)))))+((C886=TRUE)*F886*IF(AND(Inputs!$B$39&lt;&gt;"pvp",Inputs!$B$44&gt;0),(((R886-1)*MIN((Skills!T15*(1+Inputs!$B$35/100)),(1/Q886))+MIN((Skills!T15*(1+Inputs!$B$35/100)),MAX(0,Inputs!$B$44-((R886-1)*(1/Q886)))))/Inputs!$B$44),IF(Inputs!$B$39="pvp",MIN((Skills!T15*(1+Inputs!$B$35/100)),15)/15,MIN(1,(Skills!T15*(1+Inputs!$B$35/100))/(1/Q886)))))+((C887=TRUE)*F887*IF(AND(Inputs!$B$39&lt;&gt;"pvp",Inputs!$B$44&gt;0),(((R887-1)*MIN((Skills!T16*(1+Inputs!$B$35/100)),(1/Q887))+MIN((Skills!T16*(1+Inputs!$B$35/100)),MAX(0,Inputs!$B$44-((R887-1)*(1/Q887)))))/Inputs!$B$44),IF(Inputs!$B$39="pvp",MIN((Skills!T16*(1+Inputs!$B$35/100)),15)/15,MIN(1,(Skills!T16*(1+Inputs!$B$35/100))/(1/Q887)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881)</f>
        <v/>
      </c>
      <c r="L881">
        <f>K881*(MIN(Inputs!$B$23+((C893=TRUE)*(F893-Calc!F22)),(Inputs!$B$24+((C895=TRUE)*(F895-Calc!F24))+(IF(ArtifactsInput!$M$15,CHOOSE(ArtifactsInput!$N$15+1,25,30,35,40,45,50)/100*(Inputs!$B$12-Inputs!$B$12),0))))/100+(Inputs!$B$24+((C895=TRUE)*(F895-Calc!F24))+(IF(ArtifactsInput!$M$15,CHOOSE(ArtifactsInput!$N$15+1,25,30,35,40,45,50)/100*(Inputs!$B$12-Inputs!$B$12),0)))/100)/2</f>
        <v/>
      </c>
      <c r="M881">
        <f>L881*(1+(Inputs!$B$11+0+B905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881">
        <f>L881*(1-MIN((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881*(MIN((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81">
        <f>(1-Summary!$B$11)*T881+Summary!$B$11*V881</f>
        <v/>
      </c>
      <c r="P881">
        <f>IF(B910=0,0,O881/B910)</f>
        <v/>
      </c>
      <c r="Q881">
        <f>IFERROR(1/IF(Inputs!$B$39="pvp",15,MAX(0.1,Skills!D10-IF(TRUE=TRUE,Inputs!$B$33,0))),0)</f>
        <v/>
      </c>
      <c r="R881">
        <f>IF(AND(Inputs!$B$39&lt;&gt;"pvp",Inputs!$B$44&gt;0),IF(MAX(0,Inputs!$B$44-B907)&lt;=0,0,(INT(MAX(0,Inputs!$B$44-B907)/IF(Inputs!$B$39="pvp",15,MAX(0.1,Skills!D10-IF(TRUE=TRUE,Inputs!$B$33,0))))+1)),0)</f>
        <v/>
      </c>
      <c r="S881">
        <f>IFERROR(O881/N881,0)</f>
        <v/>
      </c>
      <c r="T881">
        <f>IF(C881,(H881*N881*IF(AND(Inputs!$B$39&lt;&gt;"pvp",Inputs!$B$44&gt;0),((Skills!G10*((R881-1)*IF(Skills!H10&gt;0,INT(Skills!I10/Skills!H10+0.000000001),1)+IF(Skills!H10&gt;0,INT(MIN(Skills!I10,MAX(0,MAX(0,Inputs!$B$44-B907)-((R881-1)*IF(Inputs!$B$39="pvp",15,MAX(0.1,Skills!D10-IF(TRUE=TRUE,Inputs!$B$33,0))))))/Skills!H10+0.000000001),1)))/Inputs!$B$44),G881*Q881))*IF(Inputs!$B$39="pvp",1,1+(Inputs!$B$21+0+Skills!P10+((C888=TRUE)*F888*IF(AND(Inputs!$B$39&lt;&gt;"pvp",Inputs!$B$44&gt;0),(((R888-1)*MIN((Skills!T17*(1+Inputs!$B$35/100)),(1/Q888))+MIN((Skills!T17*(1+Inputs!$B$35/100)),MAX(0,Inputs!$B$44-((R888-1)*(1/Q888)))))/Inputs!$B$44),IF(Inputs!$B$39="pvp",MIN((Skills!T17*(1+Inputs!$B$35/100)),15)/15,MIN(1,(Skills!T17*(1+Inputs!$B$35/100))/(1/Q888)))))+((C876=TRUE)*IF(Inputs!$B$3&gt;=126,10*MIN(1,15*Q876),0))+((C885=TRUE)*IF(Inputs!$B$39="pvp",20,(1-Summary!$B$11)*(20)+Summary!$B$11*(0))*IF(AND(Inputs!$B$39&lt;&gt;"pvp",Inputs!$B$44&gt;0),(((R885-1)*MIN((Skills!T14*(1+Inputs!$B$35/100)),(1/Q885))+MIN((Skills!T14*(1+Inputs!$B$35/100)),MAX(0,Inputs!$B$44-((R885-1)*(1/Q885)))))/Inputs!$B$44),IF(Inputs!$B$39="pvp",MIN((Skills!T14*(1+Inputs!$B$35/100)),15)/15,MIN(1,(Skills!T14*(1+Inputs!$B$35/100))/(1/Q885)))))+((C884=TRUE)*IF(Inputs!$B$3&gt;=82,IF(Inputs!$B$39="pvp",20,(1-Summary!$B$11)*(20)+Summary!$B$11*(0)),0)*IF(AND(Inputs!$B$39&lt;&gt;"pvp",Inputs!$B$44&gt;0),(((R884-1)*MIN((Skills!T13*(1+Inputs!$B$35/100)),(1/Q884))+MIN((Skills!T13*(1+Inputs!$B$35/100)),MAX(0,Inputs!$B$44-((R884-1)*(1/Q884)))))/Inputs!$B$44),IF(Inputs!$B$39="pvp",MIN((Skills!T13*(1+Inputs!$B$35/100)),15)/15,MIN(1,(Skills!T13*(1+Inputs!$B$35/100))/(1/Q884)))))+(IF(AND(ArtifactsInput!$M$35,Inputs!$B$4&lt;&gt;"Chapter Hunt"),CHOOSE(ArtifactsInput!$N$35+1,15,18,21,24,27,30)*(1-EXP(-(0.2*B902)*5)),0)+IF(AND(ArtifactsInput!$M$22,Inputs!$B$4&lt;&gt;"Chapter Hunt"),CHOOSE(ArtifactsInput!$N$22+1,10,12,14,16,18,20)*((0*(((0.15*B902*5))^0/1)+1*(((0.15*B902*5))^1/1)+2*(((0.15*B902*5))^2/2)+3*(((0.15*B902*5))^3/6)+4*(((0.15*B902*5))^4/24)+5*(((0.15*B902*5))^5/120))/((((0.15*B902*5))^0/1)+(((0.15*B902*5))^1/1)+(((0.15*B902*5))^2/2)+(((0.15*B902*5))^3/6)+(((0.15*B902*5))^4/24)+(((0.15*B902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881*(1-MIN(100,(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881*(MIN(100,(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881*(1-MIN(100,(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881*(MIN(100,(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81">
        <f>IF(C881,(H881*N881*IF(AND(Inputs!$B$39&lt;&gt;"pvp",Inputs!$B$44&gt;0),((Skills!G10*((R881-1)*IF(Skills!H10&gt;0,INT(Skills!I10/Skills!H10+0.000000001),1)+IF(Skills!H10&gt;0,INT(MIN(Skills!I10,MAX(0,MAX(0,Inputs!$B$44-B907)-((R881-1)*IF(Inputs!$B$39="pvp",15,MAX(0.1,Skills!D10-IF(TRUE=TRUE,Inputs!$B$33,0))))))/Skills!H10+0.000000001),1)))/Inputs!$B$44),G881*Q881))*IF(Inputs!$B$39="pvp",1,(1+(Inputs!$B$22+Skills!Q10+((C888=TRUE)*F888*IF(AND(Inputs!$B$39&lt;&gt;"pvp",Inputs!$B$44&gt;0),(((R888-1)*MIN((Skills!T17*(1+Inputs!$B$35/100)),(1/Q888))+MIN((Skills!T17*(1+Inputs!$B$35/100)),MAX(0,Inputs!$B$44-((R888-1)*(1/Q888)))))/Inputs!$B$44),IF(Inputs!$B$39="pvp",MIN((Skills!T17*(1+Inputs!$B$35/100)),15)/15,MIN(1,(Skills!T17*(1+Inputs!$B$35/100))/(1/Q888)))))+((C876=TRUE)*IF(Inputs!$B$3&gt;=126,10*MIN(1,15*Q876),0))+((C885=TRUE)*IF(Inputs!$B$39="pvp",20,(1-Summary!$B$11)*(20)+Summary!$B$11*(0))*IF(AND(Inputs!$B$39&lt;&gt;"pvp",Inputs!$B$44&gt;0),(((R885-1)*MIN((Skills!T14*(1+Inputs!$B$35/100)),(1/Q885))+MIN((Skills!T14*(1+Inputs!$B$35/100)),MAX(0,Inputs!$B$44-((R885-1)*(1/Q885)))))/Inputs!$B$44),IF(Inputs!$B$39="pvp",MIN((Skills!T14*(1+Inputs!$B$35/100)),15)/15,MIN(1,(Skills!T14*(1+Inputs!$B$35/100))/(1/Q885)))))+((C884=TRUE)*IF(Inputs!$B$3&gt;=82,IF(Inputs!$B$39="pvp",20,(1-Summary!$B$11)*(20)+Summary!$B$11*(0)),0)*IF(AND(Inputs!$B$39&lt;&gt;"pvp",Inputs!$B$44&gt;0),(((R884-1)*MIN((Skills!T13*(1+Inputs!$B$35/100)),(1/Q884))+MIN((Skills!T13*(1+Inputs!$B$35/100)),MAX(0,Inputs!$B$44-((R884-1)*(1/Q884)))))/Inputs!$B$44),IF(Inputs!$B$39="pvp",MIN((Skills!T13*(1+Inputs!$B$35/100)),15)/15,MIN(1,(Skills!T13*(1+Inputs!$B$35/100))/(1/Q884)))))+(IF(AND(ArtifactsInput!$M$35,Inputs!$B$4&lt;&gt;"Chapter Hunt"),CHOOSE(ArtifactsInput!$N$35+1,15,18,21,24,27,30)*(1-EXP(-(0.2*B902)*5)),0)+IF(AND(ArtifactsInput!$M$22,Inputs!$B$4&lt;&gt;"Chapter Hunt"),CHOOSE(ArtifactsInput!$N$22+1,10,12,14,16,18,20)*((0*(((0.15*B902*5))^0/1)+1*(((0.15*B902*5))^1/1)+2*(((0.15*B902*5))^2/2)+3*(((0.15*B902*5))^3/6)+4*(((0.15*B902*5))^4/24)+5*(((0.15*B902*5))^5/120))/((((0.15*B902*5))^0/1)+(((0.15*B902*5))^1/1)+(((0.15*B902*5))^2/2)+(((0.15*B902*5))^3/6)+(((0.15*B902*5))^4/24)+(((0.15*B902*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82">
      <c r="A882">
        <f>Skills!A11</f>
        <v/>
      </c>
      <c r="B882">
        <f>Skills!B11</f>
        <v/>
      </c>
      <c r="C882">
        <f>Inputs!$B$3&gt;=100</f>
        <v/>
      </c>
      <c r="D882">
        <f>IF(Skills!C11=1,60+Inputs!$B$26+Inputs!$B$30,IF(Skills!C11=2,90+(Inputs!$B$27+1)+Inputs!$B$30,IF(Skills!C11=3,120+Inputs!$B$28+Inputs!$B$30,MAX(0,(Inputs!$B$3-100)*3)+Inputs!$B$29+Inputs!$B$30)))</f>
        <v/>
      </c>
      <c r="E882">
        <f>INDEX(FactorTable!$B$2:$Y$301, MATCH(ROUND(MIN(300,MAX(1,D882)),0), FactorTable!$A$2:$A$301,0), Skills!M11+1)</f>
        <v/>
      </c>
      <c r="F882">
        <f>IF(Skills!N11=TRUE,(Skills!L11/10)*(E882/1000),Skills!L11/10)+Skills!O11</f>
        <v/>
      </c>
      <c r="G882" t="inlineStr"/>
      <c r="H882" t="inlineStr"/>
      <c r="I882" t="inlineStr">
        <is>
          <t>1</t>
        </is>
      </c>
      <c r="J882" t="inlineStr"/>
      <c r="K882" t="inlineStr"/>
      <c r="L882" t="inlineStr"/>
      <c r="M882" t="inlineStr"/>
      <c r="N882" t="inlineStr"/>
      <c r="O882" t="inlineStr"/>
      <c r="P882" t="inlineStr"/>
      <c r="Q882" t="inlineStr"/>
      <c r="R882" t="inlineStr"/>
      <c r="S882" t="inlineStr"/>
    </row>
    <row r="883">
      <c r="A883">
        <f>Skills!A12</f>
        <v/>
      </c>
      <c r="B883">
        <f>Skills!B12</f>
        <v/>
      </c>
      <c r="C883">
        <f>Inputs!$B$3&gt;=63</f>
        <v/>
      </c>
      <c r="D883">
        <f>IF(Skills!C12=1,60+Inputs!$B$26+Inputs!$B$30,IF(Skills!C12=2,90+(Inputs!$B$27+1)+Inputs!$B$30,IF(Skills!C12=3,120+Inputs!$B$28+Inputs!$B$30,MAX(0,(Inputs!$B$3-100)*3)+Inputs!$B$29+Inputs!$B$30)))</f>
        <v/>
      </c>
      <c r="E883">
        <f>INDEX(FactorTable!$B$2:$Y$301, MATCH(ROUND(MIN(300,MAX(1,D883)),0), FactorTable!$A$2:$A$301,0), Skills!M12+1)</f>
        <v/>
      </c>
      <c r="F883">
        <f>IF(Skills!N12=TRUE,(Skills!L12/10)*(E883/1000),Skills!L12/10)+Skills!O12</f>
        <v/>
      </c>
      <c r="G883">
        <f>Skills!G12*IF(Skills!H12&gt;0,INT(IF(Inputs!$B$39="pvp",MIN(Skills!I12,15),Skills!I12)/Skills!H12+0.000000001),1)</f>
        <v/>
      </c>
      <c r="H883">
        <f>1-(1-Skills!J12/100)^Skills!K12</f>
        <v/>
      </c>
      <c r="I883" t="inlineStr">
        <is>
          <t>1</t>
        </is>
      </c>
      <c r="J883">
        <f>((Inputs!$B$6*(1+Inputs!$B$7/100))+(((Inputs!$B$13*(1+Inputs!$B$14/100))-(Inputs!$B$13*(1+Inputs!$B$14/100)))+0.25*(Inputs!$B$15-Inputs!$B$15))*(1+Inputs!$B$7/100))*(F883/100)</f>
        <v/>
      </c>
      <c r="K883">
        <f>J883*(1+(((Inputs!$B$13+IF(Inputs!$B$3&gt;=38,(10*INDEX(FactorTable!$B$2:$Y$301, MATCH(ROUND(MIN(300,MAX(1,Inputs!$B$3)),0), FactorTable!$A$2:$A$301,0), 23)/1000)/100*(Inputs!$B$8*(1+Inputs!$B$9/100)),0))*(1+Inputs!$B$14/100))*0.01+Inputs!$B$15*0.0025)/100)*(1+Inputs!$B$16/100)*(1+Inputs!$B$17/100)*(5000/(6000+Inputs!$B$43*(1-(Inputs!$B$20+0)/100)))*(1+(Inputs!$B$25+((C896=TRUE)*(F896-Calc!F25))+((C897=TRUE)*(F897-Calc!F26))+B906)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882=TRUE,F882,0)/100)*(1+(IF(Skills!A12="DARK_IMPALE",Inputs!$B$18+0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gt;=100),MIN(100,((Inputs!$B$10+0+B900+(ArtifactsInput!$M$24-ArtifactsInput!$M$24)*CHOOSE(ArtifactsInput!$N$24+1,10,12,14,16,18,20)+IF(ArtifactsInput!$M$10,CHOOSE(ArtifactsInput!$N$10+1,15,18,21,24,27,30)*(IF(Inputs!$B$39="pvp",MIN(15,15)/15,IF(AND(Inputs!$B$39&lt;&gt;"pvp",Inputs!$B$44&gt;0),MIN(15,Inputs!$B$44)/(Inputs!$B$44),0))),0)))-100),0))*CHOOSE(ArtifactsInput!$N$42+1,0.6,0.72,0.84,0.96,1.08,1.2))),Inputs!$B$19+((C894=TRUE)*(F894-Calc!F23))+(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gt;=100),CHOOSE(ArtifactsInput!$N$42+1,40,48,56,64,72,80),0))))/100)*((1+(((C884=TRUE)*F884*IF(AND(Inputs!$B$39&lt;&gt;"pvp",Inputs!$B$44&gt;0),(((R884-1)*MIN((Skills!T13*(1+Inputs!$B$35/100)),(1/Q884))+MIN((Skills!T13*(1+Inputs!$B$35/100)),MAX(0,Inputs!$B$44-((R884-1)*(1/Q884)))))/Inputs!$B$44),IF(Inputs!$B$39="pvp",MIN((Skills!T13*(1+Inputs!$B$35/100)),15)/15,MIN(1,(Skills!T13*(1+Inputs!$B$35/100))/(1/Q884)))))+((C885=TRUE)*F885*IF(AND(Inputs!$B$39&lt;&gt;"pvp",Inputs!$B$44&gt;0),(((R885-1)*MIN((Skills!T14*(1+Inputs!$B$35/100)),(1/Q885))+MIN((Skills!T14*(1+Inputs!$B$35/100)),MAX(0,Inputs!$B$44-((R885-1)*(1/Q885)))))/Inputs!$B$44),IF(Inputs!$B$39="pvp",MIN((Skills!T14*(1+Inputs!$B$35/100)),15)/15,MIN(1,(Skills!T14*(1+Inputs!$B$35/100))/(1/Q885)))))+((C886=TRUE)*F886*IF(AND(Inputs!$B$39&lt;&gt;"pvp",Inputs!$B$44&gt;0),(((R886-1)*MIN((Skills!T15*(1+Inputs!$B$35/100)),(1/Q886))+MIN((Skills!T15*(1+Inputs!$B$35/100)),MAX(0,Inputs!$B$44-((R886-1)*(1/Q886)))))/Inputs!$B$44),IF(Inputs!$B$39="pvp",MIN((Skills!T15*(1+Inputs!$B$35/100)),15)/15,MIN(1,(Skills!T15*(1+Inputs!$B$35/100))/(1/Q886)))))+((C887=TRUE)*F887*IF(AND(Inputs!$B$39&lt;&gt;"pvp",Inputs!$B$44&gt;0),(((R887-1)*MIN((Skills!T16*(1+Inputs!$B$35/100)),(1/Q887))+MIN((Skills!T16*(1+Inputs!$B$35/100)),MAX(0,Inputs!$B$44-((R887-1)*(1/Q887)))))/Inputs!$B$44),IF(Inputs!$B$39="pvp",MIN((Skills!T16*(1+Inputs!$B$35/100)),15)/15,MIN(1,(Skills!T16*(1+Inputs!$B$35/100))/(1/Q887)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883)</f>
        <v/>
      </c>
      <c r="L883">
        <f>K883*(MIN(Inputs!$B$23+((C893=TRUE)*(F893-Calc!F22)),(Inputs!$B$24+((C895=TRUE)*(F895-Calc!F24))+(IF(ArtifactsInput!$M$15,CHOOSE(ArtifactsInput!$N$15+1,25,30,35,40,45,50)/100*(Inputs!$B$12-Inputs!$B$12),0))))/100+(Inputs!$B$24+((C895=TRUE)*(F895-Calc!F24))+(IF(ArtifactsInput!$M$15,CHOOSE(ArtifactsInput!$N$15+1,25,30,35,40,45,50)/100*(Inputs!$B$12-Inputs!$B$12),0)))/100)/2</f>
        <v/>
      </c>
      <c r="M883">
        <f>L883*(1+(Inputs!$B$11+0+B905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883">
        <f>L883*(1-MIN((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883*(MIN((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83">
        <f>(1-Summary!$B$11)*T883+Summary!$B$11*V883</f>
        <v/>
      </c>
      <c r="P883">
        <f>IF(B910=0,0,O883/B910)</f>
        <v/>
      </c>
      <c r="Q883">
        <f>IFERROR(1/IF(Inputs!$B$39="pvp",15,MAX(0.1,Skills!D12-IF(TRUE=TRUE,Inputs!$B$33,0))),0)</f>
        <v/>
      </c>
      <c r="R883">
        <f>IF(AND(Inputs!$B$39&lt;&gt;"pvp",Inputs!$B$44&gt;0),IF(MAX(0,Inputs!$B$44-B907)&lt;=0,0,(INT(MAX(0,Inputs!$B$44-B907)/IF(Inputs!$B$39="pvp",15,MAX(0.1,Skills!D12-IF(TRUE=TRUE,Inputs!$B$33,0))))+1)),0)</f>
        <v/>
      </c>
      <c r="S883">
        <f>IFERROR(O883/N883,0)</f>
        <v/>
      </c>
      <c r="T883">
        <f>IF(C883,(H883*N883*IF(AND(Inputs!$B$39&lt;&gt;"pvp",Inputs!$B$44&gt;0),((Skills!G12*((R883-1)*IF(Skills!H12&gt;0,INT(Skills!I12/Skills!H12+0.000000001),1)+IF(Skills!H12&gt;0,INT(MIN(Skills!I12,MAX(0,MAX(0,Inputs!$B$44-B907)-((R883-1)*IF(Inputs!$B$39="pvp",15,MAX(0.1,Skills!D12-IF(TRUE=TRUE,Inputs!$B$33,0))))))/Skills!H12+0.000000001),1)))/Inputs!$B$44),G883*Q883))*IF(Inputs!$B$39="pvp",1,1+(Inputs!$B$21+0+Skills!P12+((C888=TRUE)*F888*IF(AND(Inputs!$B$39&lt;&gt;"pvp",Inputs!$B$44&gt;0),(((R888-1)*MIN((Skills!T17*(1+Inputs!$B$35/100)),(1/Q888))+MIN((Skills!T17*(1+Inputs!$B$35/100)),MAX(0,Inputs!$B$44-((R888-1)*(1/Q888)))))/Inputs!$B$44),IF(Inputs!$B$39="pvp",MIN((Skills!T17*(1+Inputs!$B$35/100)),15)/15,MIN(1,(Skills!T17*(1+Inputs!$B$35/100))/(1/Q888)))))+((C876=TRUE)*IF(Inputs!$B$3&gt;=126,10*MIN(1,15*Q876),0))+((C885=TRUE)*IF(Inputs!$B$39="pvp",20,(1-Summary!$B$11)*(20)+Summary!$B$11*(0))*IF(AND(Inputs!$B$39&lt;&gt;"pvp",Inputs!$B$44&gt;0),(((R885-1)*MIN((Skills!T14*(1+Inputs!$B$35/100)),(1/Q885))+MIN((Skills!T14*(1+Inputs!$B$35/100)),MAX(0,Inputs!$B$44-((R885-1)*(1/Q885)))))/Inputs!$B$44),IF(Inputs!$B$39="pvp",MIN((Skills!T14*(1+Inputs!$B$35/100)),15)/15,MIN(1,(Skills!T14*(1+Inputs!$B$35/100))/(1/Q885)))))+((C884=TRUE)*IF(Inputs!$B$3&gt;=82,IF(Inputs!$B$39="pvp",20,(1-Summary!$B$11)*(20)+Summary!$B$11*(0)),0)*IF(AND(Inputs!$B$39&lt;&gt;"pvp",Inputs!$B$44&gt;0),(((R884-1)*MIN((Skills!T13*(1+Inputs!$B$35/100)),(1/Q884))+MIN((Skills!T13*(1+Inputs!$B$35/100)),MAX(0,Inputs!$B$44-((R884-1)*(1/Q884)))))/Inputs!$B$44),IF(Inputs!$B$39="pvp",MIN((Skills!T13*(1+Inputs!$B$35/100)),15)/15,MIN(1,(Skills!T13*(1+Inputs!$B$35/100))/(1/Q884)))))+(IF(AND(ArtifactsInput!$M$35,Inputs!$B$4&lt;&gt;"Chapter Hunt"),CHOOSE(ArtifactsInput!$N$35+1,15,18,21,24,27,30)*(1-EXP(-(0.2*B902)*5)),0)+IF(AND(ArtifactsInput!$M$22,Inputs!$B$4&lt;&gt;"Chapter Hunt"),CHOOSE(ArtifactsInput!$N$22+1,10,12,14,16,18,20)*((0*(((0.15*B902*5))^0/1)+1*(((0.15*B902*5))^1/1)+2*(((0.15*B902*5))^2/2)+3*(((0.15*B902*5))^3/6)+4*(((0.15*B902*5))^4/24)+5*(((0.15*B902*5))^5/120))/((((0.15*B902*5))^0/1)+(((0.15*B902*5))^1/1)+(((0.15*B902*5))^2/2)+(((0.15*B902*5))^3/6)+(((0.15*B902*5))^4/24)+(((0.15*B902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883*(1-MIN(100,(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883*(MIN(100,(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883*(1-MIN(100,(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883*(MIN(100,(Inputs!$B$10+0+B900+(ArtifactsInput!$M$24-ArtifactsInput!$M$24)*CHOOSE(ArtifactsInput!$N$24+1,10,12,14,16,18,20)+(IF(AND(Inputs!$B$39&lt;&gt;"pvp",Inputs!$B$44=0),1,IF(IF(Inputs!$B$39="pvp",15,Inputs!$B$44)-(B907)&lt;=0,1,MAX(0,IF(Inputs!$B$39="pvp",15,Inputs!$B$44)-MAX(5,B907))/(IF(Inputs!$B$39="pvp",15,Inputs!$B$44)-(B907))))*IF(AND(ArtifactsInput!$M$42,((Inputs!$B$10+0+B900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883">
        <f>IF(C883,(H883*N883*IF(AND(Inputs!$B$39&lt;&gt;"pvp",Inputs!$B$44&gt;0),((Skills!G12*((R883-1)*IF(Skills!H12&gt;0,INT(Skills!I12/Skills!H12+0.000000001),1)+IF(Skills!H12&gt;0,INT(MIN(Skills!I12,MAX(0,MAX(0,Inputs!$B$44-B907)-((R883-1)*IF(Inputs!$B$39="pvp",15,MAX(0.1,Skills!D12-IF(TRUE=TRUE,Inputs!$B$33,0))))))/Skills!H12+0.000000001),1)))/Inputs!$B$44),G883*Q883))*IF(Inputs!$B$39="pvp",1,(1+(Inputs!$B$22+Skills!Q12+((C888=TRUE)*F888*IF(AND(Inputs!$B$39&lt;&gt;"pvp",Inputs!$B$44&gt;0),(((R888-1)*MIN((Skills!T17*(1+Inputs!$B$35/100)),(1/Q888))+MIN((Skills!T17*(1+Inputs!$B$35/100)),MAX(0,Inputs!$B$44-((R888-1)*(1/Q888)))))/Inputs!$B$44),IF(Inputs!$B$39="pvp",MIN((Skills!T17*(1+Inputs!$B$35/100)),15)/15,MIN(1,(Skills!T17*(1+Inputs!$B$35/100))/(1/Q888)))))+((C876=TRUE)*IF(Inputs!$B$3&gt;=126,10*MIN(1,15*Q876),0))+((C885=TRUE)*IF(Inputs!$B$39="pvp",20,(1-Summary!$B$11)*(20)+Summary!$B$11*(0))*IF(AND(Inputs!$B$39&lt;&gt;"pvp",Inputs!$B$44&gt;0),(((R885-1)*MIN((Skills!T14*(1+Inputs!$B$35/100)),(1/Q885))+MIN((Skills!T14*(1+Inputs!$B$35/100)),MAX(0,Inputs!$B$44-((R885-1)*(1/Q885)))))/Inputs!$B$44),IF(Inputs!$B$39="pvp",MIN((Skills!T14*(1+Inputs!$B$35/100)),15)/15,MIN(1,(Skills!T14*(1+Inputs!$B$35/100))/(1/Q885)))))+((C884=TRUE)*IF(Inputs!$B$3&gt;=82,IF(Inputs!$B$39="pvp",20,(1-Summary!$B$11)*(20)+Summary!$B$11*(0)),0)*IF(AND(Inputs!$B$39&lt;&gt;"pvp",Inputs!$B$44&gt;0),(((R884-1)*MIN((Skills!T13*(1+Inputs!$B$35/100)),(1/Q884))+MIN((Skills!T13*(1+Inputs!$B$35/100)),MAX(0,Inputs!$B$44-((R884-1)*(1/Q884)))))/Inputs!$B$44),IF(Inputs!$B$39="pvp",MIN((Skills!T13*(1+Inputs!$B$35/100)),15)/15,MIN(1,(Skills!T13*(1+Inputs!$B$35/100))/(1/Q884)))))+(IF(AND(ArtifactsInput!$M$35,Inputs!$B$4&lt;&gt;"Chapter Hunt"),CHOOSE(ArtifactsInput!$N$35+1,15,18,21,24,27,30)*(1-EXP(-(0.2*B902)*5)),0)+IF(AND(ArtifactsInput!$M$22,Inputs!$B$4&lt;&gt;"Chapter Hunt"),CHOOSE(ArtifactsInput!$N$22+1,10,12,14,16,18,20)*((0*(((0.15*B902*5))^0/1)+1*(((0.15*B902*5))^1/1)+2*(((0.15*B902*5))^2/2)+3*(((0.15*B902*5))^3/6)+4*(((0.15*B902*5))^4/24)+5*(((0.15*B902*5))^5/120))/((((0.15*B902*5))^0/1)+(((0.15*B902*5))^1/1)+(((0.15*B902*5))^2/2)+(((0.15*B902*5))^3/6)+(((0.15*B902*5))^4/24)+(((0.15*B902*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84">
      <c r="A884">
        <f>Skills!A13</f>
        <v/>
      </c>
      <c r="B884">
        <f>Skills!B13</f>
        <v/>
      </c>
      <c r="C884">
        <f>Inputs!$B$3&gt;=69</f>
        <v/>
      </c>
      <c r="D884">
        <f>IF(Skills!C13=1,60+Inputs!$B$26+Inputs!$B$30,IF(Skills!C13=2,90+(Inputs!$B$27+1)+Inputs!$B$30,IF(Skills!C13=3,120+Inputs!$B$28+Inputs!$B$30,MAX(0,(Inputs!$B$3-100)*3)+Inputs!$B$29+Inputs!$B$30)))</f>
        <v/>
      </c>
      <c r="E884">
        <f>INDEX(FactorTable!$B$2:$Y$301, MATCH(ROUND(MIN(300,MAX(1,D884)),0), FactorTable!$A$2:$A$301,0), Skills!M13+1)</f>
        <v/>
      </c>
      <c r="F884">
        <f>IF(Skills!N13=TRUE,(Skills!L13/10)*(E884/1000),Skills!L13/10)+Skills!O13</f>
        <v/>
      </c>
      <c r="G884">
        <f>Skills!G13*IF(Skills!H13&gt;0,INT(IF(Inputs!$B$39="pvp",MIN(Skills!I13,15),Skills!I13)/Skills!H13+0.000000001),1)</f>
        <v/>
      </c>
      <c r="H884">
        <f>1-(1-Skills!J13/100)^Skills!K13</f>
        <v/>
      </c>
      <c r="I884" t="inlineStr">
        <is>
          <t>1</t>
        </is>
      </c>
      <c r="J884" t="inlineStr"/>
      <c r="K884" t="inlineStr"/>
      <c r="L884" t="inlineStr"/>
      <c r="M884" t="inlineStr"/>
      <c r="N884" t="inlineStr"/>
      <c r="O884">
        <f>(1-Summary!$B$11)*T884+Summary!$B$11*V884</f>
        <v/>
      </c>
      <c r="P884">
        <f>IF(B910=0,0,O884/B910)</f>
        <v/>
      </c>
      <c r="Q884">
        <f>IFERROR(1/IF(Inputs!$B$39="pvp",15,MAX(0.1,Skills!D13-IF(TRUE=TRUE,Inputs!$B$33,0))),0)</f>
        <v/>
      </c>
      <c r="R884">
        <f>IF(AND(Inputs!$B$39&lt;&gt;"pvp",Inputs!$B$44&gt;0),IF(Inputs!$B$44&lt;=0,0,(INT(Inputs!$B$44/IF(Inputs!$B$39="pvp",15,MAX(0.1,Skills!D13-IF(TRUE=TRUE,Inputs!$B$33,0))))+1)),0)</f>
        <v/>
      </c>
      <c r="S884">
        <f>IFERROR(O884/N884,0)</f>
        <v/>
      </c>
      <c r="T884" t="n">
        <v>0</v>
      </c>
      <c r="V884" t="n">
        <v>0</v>
      </c>
    </row>
    <row r="885">
      <c r="A885">
        <f>Skills!A14</f>
        <v/>
      </c>
      <c r="B885">
        <f>Skills!B14</f>
        <v/>
      </c>
      <c r="C885">
        <f>Inputs!$B$3&gt;=115</f>
        <v/>
      </c>
      <c r="D885">
        <f>IF(Skills!C14=1,60+Inputs!$B$26+Inputs!$B$30,IF(Skills!C14=2,90+(Inputs!$B$27+1)+Inputs!$B$30,IF(Skills!C14=3,120+Inputs!$B$28+Inputs!$B$30,MAX(0,(Inputs!$B$3-100)*3)+Inputs!$B$29+Inputs!$B$30)))</f>
        <v/>
      </c>
      <c r="E885">
        <f>INDEX(FactorTable!$B$2:$Y$301, MATCH(ROUND(MIN(300,MAX(1,D885)),0), FactorTable!$A$2:$A$301,0), Skills!M14+1)</f>
        <v/>
      </c>
      <c r="F885">
        <f>IF(Skills!N14=TRUE,(Skills!L14/10)*(E885/1000),Skills!L14/10)+Skills!O14</f>
        <v/>
      </c>
      <c r="G885">
        <f>Skills!G14*IF(Skills!H14&gt;0,INT(IF(Inputs!$B$39="pvp",MIN(Skills!I14,15),Skills!I14)/Skills!H14+0.000000001),1)</f>
        <v/>
      </c>
      <c r="H885">
        <f>1-(1-Skills!J14/100)^Skills!K14</f>
        <v/>
      </c>
      <c r="I885" t="inlineStr">
        <is>
          <t>1</t>
        </is>
      </c>
      <c r="J885" t="inlineStr"/>
      <c r="K885" t="inlineStr"/>
      <c r="L885" t="inlineStr"/>
      <c r="M885" t="inlineStr"/>
      <c r="N885" t="inlineStr"/>
      <c r="O885">
        <f>(1-Summary!$B$11)*T885+Summary!$B$11*V885</f>
        <v/>
      </c>
      <c r="P885">
        <f>IF(B910=0,0,O885/B910)</f>
        <v/>
      </c>
      <c r="Q885">
        <f>IFERROR(1/IF(Inputs!$B$39="pvp",15,MAX(0.1,Skills!D14-IF(TRUE=TRUE,Inputs!$B$33,0))),0)</f>
        <v/>
      </c>
      <c r="R885">
        <f>IF(AND(Inputs!$B$39&lt;&gt;"pvp",Inputs!$B$44&gt;0),IF(Inputs!$B$44&lt;=0,0,(INT(Inputs!$B$44/IF(Inputs!$B$39="pvp",15,MAX(0.1,Skills!D14-IF(TRUE=TRUE,Inputs!$B$33,0))))+1)),0)</f>
        <v/>
      </c>
      <c r="S885">
        <f>IFERROR(O885/N885,0)</f>
        <v/>
      </c>
      <c r="T885" t="n">
        <v>0</v>
      </c>
      <c r="V885" t="n">
        <v>0</v>
      </c>
    </row>
    <row r="886">
      <c r="A886">
        <f>Skills!A15</f>
        <v/>
      </c>
      <c r="B886">
        <f>Skills!B15</f>
        <v/>
      </c>
      <c r="C886">
        <f>Inputs!$B$3&gt;=66</f>
        <v/>
      </c>
      <c r="D886">
        <f>IF(Skills!C15=1,60+Inputs!$B$26+Inputs!$B$30,IF(Skills!C15=2,90+(Inputs!$B$27+1)+Inputs!$B$30,IF(Skills!C15=3,120+Inputs!$B$28+Inputs!$B$30,MAX(0,(Inputs!$B$3-100)*3)+Inputs!$B$29+Inputs!$B$30)))</f>
        <v/>
      </c>
      <c r="E886">
        <f>INDEX(FactorTable!$B$2:$Y$301, MATCH(ROUND(MIN(300,MAX(1,D886)),0), FactorTable!$A$2:$A$301,0), Skills!M15+1)</f>
        <v/>
      </c>
      <c r="F886">
        <f>IF(Skills!N15=TRUE,(Skills!L15/10)*(E886/1000),Skills!L15/10)+Skills!O15</f>
        <v/>
      </c>
      <c r="G886">
        <f>Skills!G15*IF(Skills!H15&gt;0,INT(IF(Inputs!$B$39="pvp",MIN(Skills!I15,15),Skills!I15)/Skills!H15+0.000000001),1)</f>
        <v/>
      </c>
      <c r="H886">
        <f>1-(1-Skills!J15/100)^Skills!K15</f>
        <v/>
      </c>
      <c r="I886" t="inlineStr">
        <is>
          <t>1</t>
        </is>
      </c>
      <c r="J886" t="inlineStr"/>
      <c r="K886" t="inlineStr"/>
      <c r="L886" t="inlineStr"/>
      <c r="M886" t="inlineStr"/>
      <c r="N886" t="inlineStr"/>
      <c r="O886">
        <f>(1-Summary!$B$11)*T886+Summary!$B$11*V886</f>
        <v/>
      </c>
      <c r="P886">
        <f>IF(B910=0,0,O886/B910)</f>
        <v/>
      </c>
      <c r="Q886">
        <f>IFERROR(1/IF(Inputs!$B$39="pvp",15,MAX(0.1,Skills!D15-IF(TRUE=TRUE,Inputs!$B$33,0))),0)</f>
        <v/>
      </c>
      <c r="R886">
        <f>IF(AND(Inputs!$B$39&lt;&gt;"pvp",Inputs!$B$44&gt;0),IF(Inputs!$B$44&lt;=0,0,(INT(Inputs!$B$44/IF(Inputs!$B$39="pvp",15,MAX(0.1,Skills!D15-IF(TRUE=TRUE,Inputs!$B$33,0))))+1)),0)</f>
        <v/>
      </c>
      <c r="S886">
        <f>IFERROR(O886/N886,0)</f>
        <v/>
      </c>
      <c r="T886" t="n">
        <v>0</v>
      </c>
      <c r="V886" t="n">
        <v>0</v>
      </c>
    </row>
    <row r="887">
      <c r="A887">
        <f>Skills!A16</f>
        <v/>
      </c>
      <c r="B887">
        <f>Skills!B16</f>
        <v/>
      </c>
      <c r="C887">
        <f>Inputs!$B$3&gt;=45</f>
        <v/>
      </c>
      <c r="D887">
        <f>IF(Skills!C16=1,60+Inputs!$B$26+Inputs!$B$30,IF(Skills!C16=2,90+(Inputs!$B$27+1)+Inputs!$B$30,IF(Skills!C16=3,120+Inputs!$B$28+Inputs!$B$30,MAX(0,(Inputs!$B$3-100)*3)+Inputs!$B$29+Inputs!$B$30)))</f>
        <v/>
      </c>
      <c r="E887">
        <f>INDEX(FactorTable!$B$2:$Y$301, MATCH(ROUND(MIN(300,MAX(1,D887)),0), FactorTable!$A$2:$A$301,0), Skills!M16+1)</f>
        <v/>
      </c>
      <c r="F887">
        <f>IF(Skills!N16=TRUE,(Skills!L16/10)*(E887/1000),Skills!L16/10)+Skills!O16</f>
        <v/>
      </c>
      <c r="G887">
        <f>Skills!G16*IF(Skills!H16&gt;0,INT(IF(Inputs!$B$39="pvp",MIN(Skills!I16,15),Skills!I16)/Skills!H16+0.000000001),1)</f>
        <v/>
      </c>
      <c r="H887">
        <f>1-(1-Skills!J16/100)^Skills!K16</f>
        <v/>
      </c>
      <c r="I887" t="inlineStr">
        <is>
          <t>1</t>
        </is>
      </c>
      <c r="J887" t="inlineStr"/>
      <c r="K887" t="inlineStr"/>
      <c r="L887" t="inlineStr"/>
      <c r="M887" t="inlineStr"/>
      <c r="N887" t="inlineStr"/>
      <c r="O887">
        <f>(1-Summary!$B$11)*T887+Summary!$B$11*V887</f>
        <v/>
      </c>
      <c r="P887">
        <f>IF(B910=0,0,O887/B910)</f>
        <v/>
      </c>
      <c r="Q887">
        <f>IFERROR(1/IF(Inputs!$B$39="pvp",15,MAX(0.1,Skills!D16-IF(TRUE=TRUE,Inputs!$B$33,0))),0)</f>
        <v/>
      </c>
      <c r="R887">
        <f>IF(AND(Inputs!$B$39&lt;&gt;"pvp",Inputs!$B$44&gt;0),IF(Inputs!$B$44&lt;=0,0,(INT(Inputs!$B$44/IF(Inputs!$B$39="pvp",15,MAX(0.1,Skills!D16-IF(TRUE=TRUE,Inputs!$B$33,0))))+1)),0)</f>
        <v/>
      </c>
      <c r="S887">
        <f>IFERROR(O887/N887,0)</f>
        <v/>
      </c>
      <c r="T887" t="n">
        <v>0</v>
      </c>
      <c r="V887" t="n">
        <v>0</v>
      </c>
    </row>
    <row r="888">
      <c r="A888">
        <f>Skills!A17</f>
        <v/>
      </c>
      <c r="B888">
        <f>Skills!B17</f>
        <v/>
      </c>
      <c r="C888">
        <f>Inputs!$B$3&gt;=35</f>
        <v/>
      </c>
      <c r="D888">
        <f>IF(Skills!C17=1,60+Inputs!$B$26+Inputs!$B$30,IF(Skills!C17=2,90+(Inputs!$B$27+1)+Inputs!$B$30,IF(Skills!C17=3,120+Inputs!$B$28+Inputs!$B$30,MAX(0,(Inputs!$B$3-100)*3)+Inputs!$B$29+Inputs!$B$30)))</f>
        <v/>
      </c>
      <c r="E888">
        <f>INDEX(FactorTable!$B$2:$Y$301, MATCH(ROUND(MIN(300,MAX(1,D888)),0), FactorTable!$A$2:$A$301,0), Skills!M17+1)</f>
        <v/>
      </c>
      <c r="F888">
        <f>IF(Skills!N17=TRUE,(Skills!L17/10)*(E888/1000),Skills!L17/10)+Skills!O17</f>
        <v/>
      </c>
      <c r="G888">
        <f>Skills!G17*IF(Skills!H17&gt;0,INT(IF(Inputs!$B$39="pvp",MIN(Skills!I17,15),Skills!I17)/Skills!H17+0.000000001),1)</f>
        <v/>
      </c>
      <c r="H888">
        <f>1-(1-Skills!J17/100)^Skills!K17</f>
        <v/>
      </c>
      <c r="I888" t="inlineStr">
        <is>
          <t>1</t>
        </is>
      </c>
      <c r="J888" t="inlineStr"/>
      <c r="K888" t="inlineStr"/>
      <c r="L888" t="inlineStr"/>
      <c r="M888" t="inlineStr"/>
      <c r="N888" t="inlineStr"/>
      <c r="O888">
        <f>(1-Summary!$B$11)*T888+Summary!$B$11*V888</f>
        <v/>
      </c>
      <c r="P888">
        <f>IF(B910=0,0,O888/B910)</f>
        <v/>
      </c>
      <c r="Q888">
        <f>IFERROR(1/IF(Inputs!$B$39="pvp",15,MAX(0.1,Skills!D17-IF(TRUE=TRUE,Inputs!$B$33,0))),0)</f>
        <v/>
      </c>
      <c r="R888">
        <f>IF(AND(Inputs!$B$39&lt;&gt;"pvp",Inputs!$B$44&gt;0),IF(Inputs!$B$44&lt;=0,0,(INT(Inputs!$B$44/IF(Inputs!$B$39="pvp",15,MAX(0.1,Skills!D17-IF(TRUE=TRUE,Inputs!$B$33,0))))+1)),0)</f>
        <v/>
      </c>
      <c r="S888">
        <f>IFERROR(O888/N888,0)</f>
        <v/>
      </c>
      <c r="T888" t="n">
        <v>0</v>
      </c>
      <c r="V888" t="n">
        <v>0</v>
      </c>
    </row>
    <row r="889">
      <c r="A889">
        <f>Skills!A18</f>
        <v/>
      </c>
      <c r="B889">
        <f>Skills!B18</f>
        <v/>
      </c>
      <c r="C889">
        <f>Inputs!$B$3&gt;=72</f>
        <v/>
      </c>
      <c r="D889">
        <f>IF(Skills!C18=1,60+Inputs!$B$26+Inputs!$B$30,IF(Skills!C18=2,90+(Inputs!$B$27+1)+Inputs!$B$30,IF(Skills!C18=3,120+Inputs!$B$28+Inputs!$B$30,MAX(0,(Inputs!$B$3-100)*3)+Inputs!$B$29+Inputs!$B$30)))</f>
        <v/>
      </c>
      <c r="E889">
        <f>INDEX(FactorTable!$B$2:$Y$301, MATCH(ROUND(MIN(300,MAX(1,D889)),0), FactorTable!$A$2:$A$301,0), Skills!M18+1)</f>
        <v/>
      </c>
      <c r="F889">
        <f>IF(Skills!N18=TRUE,(Skills!L18/10)*(E889/1000),Skills!L18/10)+Skills!O18</f>
        <v/>
      </c>
      <c r="G889">
        <f>Skills!G18*IF(Skills!H18&gt;0,INT(IF(Inputs!$B$39="pvp",MIN(Skills!I18,15),Skills!I18)/Skills!H18+0.000000001),1)</f>
        <v/>
      </c>
      <c r="H889">
        <f>1-(1-Skills!J18/100)^Skills!K18</f>
        <v/>
      </c>
      <c r="I889" t="inlineStr">
        <is>
          <t>1</t>
        </is>
      </c>
      <c r="J889" t="inlineStr"/>
      <c r="K889" t="inlineStr"/>
      <c r="L889" t="inlineStr"/>
      <c r="M889" t="inlineStr"/>
      <c r="N889" t="inlineStr"/>
      <c r="O889">
        <f>(1-Summary!$B$11)*T889+Summary!$B$11*V889</f>
        <v/>
      </c>
      <c r="P889">
        <f>IF(B910=0,0,O889/B910)</f>
        <v/>
      </c>
      <c r="Q889">
        <f>IFERROR(1/IF(Inputs!$B$39="pvp",15,MAX(0.1,Skills!D18-IF(TRUE=TRUE,Inputs!$B$33,0))),0)</f>
        <v/>
      </c>
      <c r="R889">
        <f>IF(AND(Inputs!$B$39&lt;&gt;"pvp",Inputs!$B$44&gt;0),IF(Inputs!$B$44&lt;=0,0,(INT(Inputs!$B$44/IF(Inputs!$B$39="pvp",15,MAX(0.1,Skills!D18-IF(TRUE=TRUE,Inputs!$B$33,0))))+1)),0)</f>
        <v/>
      </c>
      <c r="S889">
        <f>IFERROR(O889/N889,0)</f>
        <v/>
      </c>
      <c r="T889" t="n">
        <v>0</v>
      </c>
      <c r="V889" t="n">
        <v>0</v>
      </c>
    </row>
    <row r="890">
      <c r="A890">
        <f>Skills!A19</f>
        <v/>
      </c>
      <c r="B890">
        <f>Skills!B19</f>
        <v/>
      </c>
      <c r="C890">
        <f>Inputs!$B$3&gt;=72</f>
        <v/>
      </c>
      <c r="D890">
        <f>IF(Skills!C19=1,60+Inputs!$B$26+Inputs!$B$30,IF(Skills!C19=2,90+(Inputs!$B$27+1)+Inputs!$B$30,IF(Skills!C19=3,120+Inputs!$B$28+Inputs!$B$30,MAX(0,(Inputs!$B$3-100)*3)+Inputs!$B$29+Inputs!$B$30)))</f>
        <v/>
      </c>
      <c r="E890">
        <f>INDEX(FactorTable!$B$2:$Y$301, MATCH(ROUND(MIN(300,MAX(1,D890)),0), FactorTable!$A$2:$A$301,0), Skills!M19+1)</f>
        <v/>
      </c>
      <c r="F890">
        <f>IF(Skills!N19=TRUE,(Skills!L19/10)*(E890/1000),Skills!L19/10)+Skills!O19</f>
        <v/>
      </c>
      <c r="G890">
        <f>Skills!G19*IF(Skills!H19&gt;0,INT(IF(Inputs!$B$39="pvp",MIN(Skills!I19,15),Skills!I19)/Skills!H19+0.000000001),1)</f>
        <v/>
      </c>
      <c r="H890">
        <f>1-(1-Skills!J19/100)^Skills!K19</f>
        <v/>
      </c>
      <c r="I890" t="inlineStr">
        <is>
          <t>1</t>
        </is>
      </c>
      <c r="J890" t="inlineStr"/>
      <c r="K890" t="inlineStr"/>
      <c r="L890" t="inlineStr"/>
      <c r="M890" t="inlineStr"/>
      <c r="N890" t="inlineStr"/>
      <c r="O890">
        <f>(1-Summary!$B$11)*T890+Summary!$B$11*V890</f>
        <v/>
      </c>
      <c r="P890">
        <f>IF(B910=0,0,O890/B910)</f>
        <v/>
      </c>
      <c r="Q890">
        <f>IFERROR(1/IF(Inputs!$B$39="pvp",15,MAX(0.1,Skills!D19-IF(TRUE=TRUE,Inputs!$B$33,0))),0)</f>
        <v/>
      </c>
      <c r="R890">
        <f>IF(AND(Inputs!$B$39&lt;&gt;"pvp",Inputs!$B$44&gt;0),IF(Inputs!$B$44&lt;=0,0,(INT(Inputs!$B$44/IF(Inputs!$B$39="pvp",15,MAX(0.1,Skills!D19-IF(TRUE=TRUE,Inputs!$B$33,0))))+1)),0)</f>
        <v/>
      </c>
      <c r="S890">
        <f>IFERROR(O890/N890,0)</f>
        <v/>
      </c>
      <c r="T890" t="n">
        <v>0</v>
      </c>
      <c r="V890" t="n">
        <v>0</v>
      </c>
    </row>
    <row r="891">
      <c r="A891">
        <f>Skills!A20</f>
        <v/>
      </c>
      <c r="B891">
        <f>Skills!B20</f>
        <v/>
      </c>
      <c r="C891">
        <f>TRUE</f>
        <v/>
      </c>
      <c r="D891">
        <f>IF(Skills!C20=1,60+Inputs!$B$26+Inputs!$B$30,IF(Skills!C20=2,90+(Inputs!$B$27+1)+Inputs!$B$30,IF(Skills!C20=3,120+Inputs!$B$28+Inputs!$B$30,MAX(0,(Inputs!$B$3-100)*3)+Inputs!$B$29+Inputs!$B$30)))</f>
        <v/>
      </c>
      <c r="E891">
        <f>INDEX(FactorTable!$B$2:$Y$301, MATCH(ROUND(MIN(300,MAX(1,D891)),0), FactorTable!$A$2:$A$301,0), Skills!M20+1)</f>
        <v/>
      </c>
      <c r="F891">
        <f>IF(Skills!N20=TRUE,(Skills!L20/10)*(E891/1000),Skills!L20/10)+Skills!O20</f>
        <v/>
      </c>
      <c r="G891">
        <f>Skills!G20*IF(Skills!H20&gt;0,INT(IF(Inputs!$B$39="pvp",MIN(Skills!I20,15),Skills!I20)/Skills!H20+0.000000001),1)</f>
        <v/>
      </c>
      <c r="H891">
        <f>1-(1-Skills!J20/100)^Skills!K20</f>
        <v/>
      </c>
      <c r="I891" t="inlineStr">
        <is>
          <t>1</t>
        </is>
      </c>
      <c r="J891" t="inlineStr"/>
      <c r="K891" t="inlineStr"/>
      <c r="L891" t="inlineStr"/>
      <c r="M891" t="inlineStr"/>
      <c r="N891" t="inlineStr"/>
      <c r="O891">
        <f>(1-Summary!$B$11)*T891+Summary!$B$11*V891</f>
        <v/>
      </c>
      <c r="P891">
        <f>IF(B910=0,0,O891/B910)</f>
        <v/>
      </c>
      <c r="Q891">
        <f>IFERROR(1/IF(Inputs!$B$39="pvp",15,MAX(0.1,Skills!D20-IF(TRUE=TRUE,Inputs!$B$33,0))),0)</f>
        <v/>
      </c>
      <c r="R891">
        <f>IF(AND(Inputs!$B$39&lt;&gt;"pvp",Inputs!$B$44&gt;0),IF(Inputs!$B$44&lt;=0,0,(INT(Inputs!$B$44/IF(Inputs!$B$39="pvp",15,MAX(0.1,Skills!D20-IF(TRUE=TRUE,Inputs!$B$33,0))))+1)),0)</f>
        <v/>
      </c>
      <c r="S891">
        <f>IFERROR(O891/N891,0)</f>
        <v/>
      </c>
      <c r="T891" t="n">
        <v>0</v>
      </c>
      <c r="V891" t="n">
        <v>0</v>
      </c>
    </row>
    <row r="892">
      <c r="A892">
        <f>Skills!A21</f>
        <v/>
      </c>
      <c r="B892">
        <f>Skills!B21</f>
        <v/>
      </c>
      <c r="C892">
        <f>Inputs!$B$3&gt;=33</f>
        <v/>
      </c>
      <c r="D892">
        <f>IF(Skills!C21=1,60+Inputs!$B$26+Inputs!$B$30,IF(Skills!C21=2,90+(Inputs!$B$27+1)+Inputs!$B$30,IF(Skills!C21=3,120+Inputs!$B$28+Inputs!$B$30,MAX(0,(Inputs!$B$3-100)*3)+Inputs!$B$29+Inputs!$B$30)))</f>
        <v/>
      </c>
      <c r="E892">
        <f>INDEX(FactorTable!$B$2:$Y$301, MATCH(ROUND(MIN(300,MAX(1,D892)),0), FactorTable!$A$2:$A$301,0), Skills!M21+1)</f>
        <v/>
      </c>
      <c r="F892">
        <f>IF(Skills!N21=TRUE,(Skills!L21/10)*(E892/1000),Skills!L21/10)+Skills!O21</f>
        <v/>
      </c>
      <c r="G892">
        <f>Skills!G21*IF(Skills!H21&gt;0,INT(IF(Inputs!$B$39="pvp",MIN(Skills!I21,15),Skills!I21)/Skills!H21+0.000000001),1)</f>
        <v/>
      </c>
      <c r="H892">
        <f>1-(1-Skills!J21/100)^Skills!K21</f>
        <v/>
      </c>
      <c r="I892" t="inlineStr">
        <is>
          <t>1</t>
        </is>
      </c>
      <c r="J892" t="inlineStr"/>
      <c r="K892" t="inlineStr"/>
      <c r="L892" t="inlineStr"/>
      <c r="M892" t="inlineStr"/>
      <c r="N892" t="inlineStr"/>
      <c r="O892">
        <f>(1-Summary!$B$11)*T892+Summary!$B$11*V892</f>
        <v/>
      </c>
      <c r="P892">
        <f>IF(B910=0,0,O892/B910)</f>
        <v/>
      </c>
      <c r="Q892" t="n">
        <v>0</v>
      </c>
      <c r="R892" t="n">
        <v>0</v>
      </c>
      <c r="S892">
        <f>IFERROR(O892/N892,0)</f>
        <v/>
      </c>
      <c r="T892" t="n">
        <v>0</v>
      </c>
      <c r="V892" t="n">
        <v>0</v>
      </c>
    </row>
    <row r="893">
      <c r="A893">
        <f>Skills!A22</f>
        <v/>
      </c>
      <c r="B893">
        <f>Skills!B22</f>
        <v/>
      </c>
      <c r="C893">
        <f>Inputs!$B$3&gt;=43</f>
        <v/>
      </c>
      <c r="D893">
        <f>IF(Skills!C22=1,60+Inputs!$B$26+Inputs!$B$30,IF(Skills!C22=2,90+(Inputs!$B$27+1)+Inputs!$B$30,IF(Skills!C22=3,120+Inputs!$B$28+Inputs!$B$30,MAX(0,(Inputs!$B$3-100)*3)+Inputs!$B$29+Inputs!$B$30)))</f>
        <v/>
      </c>
      <c r="E893">
        <f>INDEX(FactorTable!$B$2:$Y$301, MATCH(ROUND(MIN(300,MAX(1,D893)),0), FactorTable!$A$2:$A$301,0), Skills!M22+1)</f>
        <v/>
      </c>
      <c r="F893">
        <f>IF(Skills!N22=TRUE,(Skills!L22/10)*(E893/1000),Skills!L22/10)+Skills!O22</f>
        <v/>
      </c>
      <c r="G893">
        <f>Skills!G22*IF(Skills!H22&gt;0,INT(IF(Inputs!$B$39="pvp",MIN(Skills!I22,15),Skills!I22)/Skills!H22+0.000000001),1)</f>
        <v/>
      </c>
      <c r="H893">
        <f>1-(1-Skills!J22/100)^Skills!K22</f>
        <v/>
      </c>
      <c r="I893" t="inlineStr">
        <is>
          <t>1</t>
        </is>
      </c>
      <c r="J893" t="inlineStr"/>
      <c r="K893" t="inlineStr"/>
      <c r="L893" t="inlineStr"/>
      <c r="M893" t="inlineStr"/>
      <c r="N893" t="inlineStr"/>
      <c r="O893">
        <f>(1-Summary!$B$11)*T893+Summary!$B$11*V893</f>
        <v/>
      </c>
      <c r="P893">
        <f>IF(B910=0,0,O893/B910)</f>
        <v/>
      </c>
      <c r="Q893" t="n">
        <v>0</v>
      </c>
      <c r="R893" t="n">
        <v>0</v>
      </c>
      <c r="S893">
        <f>IFERROR(O893/N893,0)</f>
        <v/>
      </c>
      <c r="T893" t="n">
        <v>0</v>
      </c>
      <c r="V893" t="n">
        <v>0</v>
      </c>
    </row>
    <row r="894">
      <c r="A894">
        <f>Skills!A23</f>
        <v/>
      </c>
      <c r="B894">
        <f>Skills!B23</f>
        <v/>
      </c>
      <c r="C894">
        <f>Inputs!$B$3&gt;=120</f>
        <v/>
      </c>
      <c r="D894">
        <f>IF(Skills!C23=1,60+Inputs!$B$26+Inputs!$B$30,IF(Skills!C23=2,90+(Inputs!$B$27+1)+Inputs!$B$30,IF(Skills!C23=3,120+Inputs!$B$28+Inputs!$B$30,MAX(0,(Inputs!$B$3-100)*3)+Inputs!$B$29+Inputs!$B$30)))</f>
        <v/>
      </c>
      <c r="E894">
        <f>INDEX(FactorTable!$B$2:$Y$301, MATCH(ROUND(MIN(300,MAX(1,D894)),0), FactorTable!$A$2:$A$301,0), Skills!M23+1)</f>
        <v/>
      </c>
      <c r="F894">
        <f>IF(Skills!N23=TRUE,(Skills!L23/10)*(E894/1000),Skills!L23/10)+Skills!O23</f>
        <v/>
      </c>
      <c r="G894">
        <f>Skills!G23*IF(Skills!H23&gt;0,INT(IF(Inputs!$B$39="pvp",MIN(Skills!I23,15),Skills!I23)/Skills!H23+0.000000001),1)</f>
        <v/>
      </c>
      <c r="H894">
        <f>1-(1-Skills!J23/100)^Skills!K23</f>
        <v/>
      </c>
      <c r="I894" t="inlineStr">
        <is>
          <t>1</t>
        </is>
      </c>
      <c r="J894" t="inlineStr"/>
      <c r="K894" t="inlineStr"/>
      <c r="L894" t="inlineStr"/>
      <c r="M894" t="inlineStr"/>
      <c r="N894" t="inlineStr"/>
      <c r="O894">
        <f>(1-Summary!$B$11)*T894+Summary!$B$11*V894</f>
        <v/>
      </c>
      <c r="P894">
        <f>IF(B910=0,0,O894/B910)</f>
        <v/>
      </c>
      <c r="Q894" t="n">
        <v>0</v>
      </c>
      <c r="R894" t="n">
        <v>0</v>
      </c>
      <c r="S894">
        <f>IFERROR(O894/N894,0)</f>
        <v/>
      </c>
      <c r="T894" t="n">
        <v>0</v>
      </c>
      <c r="V894" t="n">
        <v>0</v>
      </c>
    </row>
    <row r="895">
      <c r="A895">
        <f>Skills!A24</f>
        <v/>
      </c>
      <c r="B895">
        <f>Skills!B24</f>
        <v/>
      </c>
      <c r="C895">
        <f>Inputs!$B$3&gt;=120</f>
        <v/>
      </c>
      <c r="D895">
        <f>IF(Skills!C24=1,60+Inputs!$B$26+Inputs!$B$30,IF(Skills!C24=2,90+(Inputs!$B$27+1)+Inputs!$B$30,IF(Skills!C24=3,120+Inputs!$B$28+Inputs!$B$30,MAX(0,(Inputs!$B$3-100)*3)+Inputs!$B$29+Inputs!$B$30)))</f>
        <v/>
      </c>
      <c r="E895">
        <f>INDEX(FactorTable!$B$2:$Y$301, MATCH(ROUND(MIN(300,MAX(1,D895)),0), FactorTable!$A$2:$A$301,0), Skills!M24+1)</f>
        <v/>
      </c>
      <c r="F895">
        <f>IF(Skills!N24=TRUE,(Skills!L24/10)*(E895/1000),Skills!L24/10)+Skills!O24</f>
        <v/>
      </c>
      <c r="G895">
        <f>Skills!G24*IF(Skills!H24&gt;0,INT(IF(Inputs!$B$39="pvp",MIN(Skills!I24,15),Skills!I24)/Skills!H24+0.000000001),1)</f>
        <v/>
      </c>
      <c r="H895">
        <f>1-(1-Skills!J24/100)^Skills!K24</f>
        <v/>
      </c>
      <c r="I895" t="inlineStr">
        <is>
          <t>1</t>
        </is>
      </c>
      <c r="J895" t="inlineStr"/>
      <c r="K895" t="inlineStr"/>
      <c r="L895" t="inlineStr"/>
      <c r="M895" t="inlineStr"/>
      <c r="N895" t="inlineStr"/>
      <c r="O895">
        <f>(1-Summary!$B$11)*T895+Summary!$B$11*V895</f>
        <v/>
      </c>
      <c r="P895">
        <f>IF(B910=0,0,O895/B910)</f>
        <v/>
      </c>
      <c r="Q895" t="n">
        <v>0</v>
      </c>
      <c r="R895" t="n">
        <v>0</v>
      </c>
      <c r="S895">
        <f>IFERROR(O895/N895,0)</f>
        <v/>
      </c>
      <c r="T895" t="n">
        <v>0</v>
      </c>
      <c r="V895" t="n">
        <v>0</v>
      </c>
    </row>
    <row r="896">
      <c r="A896">
        <f>Skills!A25</f>
        <v/>
      </c>
      <c r="B896">
        <f>Skills!B25</f>
        <v/>
      </c>
      <c r="C896">
        <f>Inputs!$B$3&gt;=125</f>
        <v/>
      </c>
      <c r="D896">
        <f>IF(Skills!C25=1,60+Inputs!$B$26+Inputs!$B$30,IF(Skills!C25=2,90+(Inputs!$B$27+1)+Inputs!$B$30,IF(Skills!C25=3,120+Inputs!$B$28+Inputs!$B$30,MAX(0,(Inputs!$B$3-100)*3)+Inputs!$B$29+Inputs!$B$30)))</f>
        <v/>
      </c>
      <c r="E896">
        <f>INDEX(FactorTable!$B$2:$Y$301, MATCH(ROUND(MIN(300,MAX(1,D896)),0), FactorTable!$A$2:$A$301,0), Skills!M25+1)</f>
        <v/>
      </c>
      <c r="F896">
        <f>IF(Skills!N25=TRUE,(Skills!L25/10)*(E896/1000),Skills!L25/10)+Skills!O25</f>
        <v/>
      </c>
      <c r="G896">
        <f>Skills!G25*IF(Skills!H25&gt;0,INT(IF(Inputs!$B$39="pvp",MIN(Skills!I25,15),Skills!I25)/Skills!H25+0.000000001),1)</f>
        <v/>
      </c>
      <c r="H896">
        <f>1-(1-Skills!J25/100)^Skills!K25</f>
        <v/>
      </c>
      <c r="I896" t="inlineStr">
        <is>
          <t>1</t>
        </is>
      </c>
      <c r="J896" t="inlineStr"/>
      <c r="K896" t="inlineStr"/>
      <c r="L896" t="inlineStr"/>
      <c r="M896" t="inlineStr"/>
      <c r="N896" t="inlineStr"/>
      <c r="O896">
        <f>(1-Summary!$B$11)*T896+Summary!$B$11*V896</f>
        <v/>
      </c>
      <c r="P896">
        <f>IF(B910=0,0,O896/B910)</f>
        <v/>
      </c>
      <c r="Q896" t="n">
        <v>0</v>
      </c>
      <c r="R896" t="n">
        <v>0</v>
      </c>
      <c r="S896">
        <f>IFERROR(O896/N896,0)</f>
        <v/>
      </c>
      <c r="T896" t="n">
        <v>0</v>
      </c>
      <c r="V896" t="n">
        <v>0</v>
      </c>
    </row>
    <row r="897">
      <c r="A897">
        <f>Skills!A26</f>
        <v/>
      </c>
      <c r="B897">
        <f>Skills!B26</f>
        <v/>
      </c>
      <c r="C897">
        <f>Inputs!$B$3&gt;=107</f>
        <v/>
      </c>
      <c r="D897">
        <f>IF(Skills!C26=1,60+Inputs!$B$26+Inputs!$B$30,IF(Skills!C26=2,90+(Inputs!$B$27+1)+Inputs!$B$30,IF(Skills!C26=3,120+Inputs!$B$28+Inputs!$B$30,MAX(0,(Inputs!$B$3-100)*3)+Inputs!$B$29+Inputs!$B$30)))</f>
        <v/>
      </c>
      <c r="E897">
        <f>INDEX(FactorTable!$B$2:$Y$301, MATCH(ROUND(MIN(300,MAX(1,D897)),0), FactorTable!$A$2:$A$301,0), Skills!M26+1)</f>
        <v/>
      </c>
      <c r="F897">
        <f>IF(Skills!N26=TRUE,(Skills!L26/10)*(E897/1000),Skills!L26/10)+Skills!O26</f>
        <v/>
      </c>
      <c r="G897">
        <f>Skills!G26*IF(Skills!H26&gt;0,INT(IF(Inputs!$B$39="pvp",MIN(Skills!I26,15),Skills!I26)/Skills!H26+0.000000001),1)</f>
        <v/>
      </c>
      <c r="H897">
        <f>1-(1-Skills!J26/100)^Skills!K26</f>
        <v/>
      </c>
      <c r="I897" t="inlineStr">
        <is>
          <t>1</t>
        </is>
      </c>
      <c r="J897" t="inlineStr"/>
      <c r="K897" t="inlineStr"/>
      <c r="L897" t="inlineStr"/>
      <c r="M897" t="inlineStr"/>
      <c r="N897" t="inlineStr"/>
      <c r="O897">
        <f>(1-Summary!$B$11)*T897+Summary!$B$11*V897</f>
        <v/>
      </c>
      <c r="P897">
        <f>IF(B910=0,0,O897/B910)</f>
        <v/>
      </c>
      <c r="Q897" t="n">
        <v>0</v>
      </c>
      <c r="R897" t="n">
        <v>0</v>
      </c>
      <c r="S897">
        <f>IFERROR(O897/N897,0)</f>
        <v/>
      </c>
      <c r="T897" t="n">
        <v>0</v>
      </c>
      <c r="V897" t="n">
        <v>0</v>
      </c>
    </row>
    <row r="899">
      <c r="A899" t="inlineStr">
        <is>
          <t>Attack% Bucket Multiplier</t>
        </is>
      </c>
      <c r="B899">
        <f>(1+(((C884=TRUE)*F884*IF(AND(Inputs!$B$39&lt;&gt;"pvp",Inputs!$B$44&gt;0),(((R884-1)*MIN((Skills!T13*(1+Inputs!$B$35/100)),(1/Q884))+MIN((Skills!T13*(1+Inputs!$B$35/100)),MAX(0,Inputs!$B$44-((R884-1)*(1/Q884)))))/Inputs!$B$44),IF(Inputs!$B$39="pvp",MIN((Skills!T13*(1+Inputs!$B$35/100)),15)/15,MIN(1,(Skills!T13*(1+Inputs!$B$35/100))/(1/Q884)))))+((C885=TRUE)*F885*IF(AND(Inputs!$B$39&lt;&gt;"pvp",Inputs!$B$44&gt;0),(((R885-1)*MIN((Skills!T14*(1+Inputs!$B$35/100)),(1/Q885))+MIN((Skills!T14*(1+Inputs!$B$35/100)),MAX(0,Inputs!$B$44-((R885-1)*(1/Q885)))))/Inputs!$B$44),IF(Inputs!$B$39="pvp",MIN((Skills!T14*(1+Inputs!$B$35/100)),15)/15,MIN(1,(Skills!T14*(1+Inputs!$B$35/100))/(1/Q885)))))+((C886=TRUE)*F886*IF(AND(Inputs!$B$39&lt;&gt;"pvp",Inputs!$B$44&gt;0),(((R886-1)*MIN((Skills!T15*(1+Inputs!$B$35/100)),(1/Q886))+MIN((Skills!T15*(1+Inputs!$B$35/100)),MAX(0,Inputs!$B$44-((R886-1)*(1/Q886)))))/Inputs!$B$44),IF(Inputs!$B$39="pvp",MIN((Skills!T15*(1+Inputs!$B$35/100)),15)/15,MIN(1,(Skills!T15*(1+Inputs!$B$35/100))/(1/Q886)))))+((C887=TRUE)*F887*IF(AND(Inputs!$B$39&lt;&gt;"pvp",Inputs!$B$44&gt;0),(((R887-1)*MIN((Skills!T16*(1+Inputs!$B$35/100)),(1/Q887))+MIN((Skills!T16*(1+Inputs!$B$35/100)),MAX(0,Inputs!$B$44-((R887-1)*(1/Q887)))))/Inputs!$B$44),IF(Inputs!$B$39="pvp",MIN((Skills!T16*(1+Inputs!$B$35/100)),15)/15,MIN(1,(Skills!T16*(1+Inputs!$B$35/100))/(1/Q887)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900">
      <c r="A900" t="inlineStr">
        <is>
          <t>Global Crit Rate Bonus % (Lord of Darkness)</t>
        </is>
      </c>
      <c r="B900">
        <f>((C889=TRUE)*F889*(Skills!J18/100)*IF(AND(Inputs!$B$39&lt;&gt;"pvp",Inputs!$B$44&gt;0),(((R889-1)*MIN((Skills!T18*(1+Inputs!$B$35/100)),(1/Q889))+MIN((Skills!T18*(1+Inputs!$B$35/100)),MAX(0,Inputs!$B$44-((R889-1)*(1/Q889)))))/Inputs!$B$44),IF(Inputs!$B$39="pvp",MIN((Skills!T18*(1+Inputs!$B$35/100)),15)/15,MIN(1,(Skills!T18*(1+Inputs!$B$35/100))/(1/Q889)))))</f>
        <v/>
      </c>
    </row>
    <row r="901">
      <c r="A901" t="inlineStr">
        <is>
          <t>Attack Speed Buff Bonus %</t>
        </is>
      </c>
      <c r="B901">
        <f>((C891=TRUE)*F891*IF(AND(Inputs!$B$39&lt;&gt;"pvp",Inputs!$B$44&gt;0),(((R891-1)*MIN((Skills!T20*(1+Inputs!$B$35/100)),(1/Q891))+MIN((Skills!T20*(1+Inputs!$B$35/100)),MAX(0,Inputs!$B$44-((R891-1)*(1/Q891)))))/Inputs!$B$44),IF(Inputs!$B$39="pvp",MIN((Skills!T20*(1+Inputs!$B$35/100)),15)/15,MIN(1,(Skills!T20*(1+Inputs!$B$35/100))/(1/Q891)))))</f>
        <v/>
      </c>
    </row>
    <row r="902">
      <c r="A902" t="inlineStr">
        <is>
          <t>Actions Per Second</t>
        </is>
      </c>
      <c r="B902">
        <f>1+MIN(150,150*(1-(1-(Inputs!$B$12+((C892=TRUE)*(F892-Calc!F21)))/150)*(1-B901/150)))/100</f>
        <v/>
      </c>
    </row>
    <row r="903">
      <c r="A903" t="inlineStr">
        <is>
          <t>Skill + Buff Cast Rate</t>
        </is>
      </c>
      <c r="B903">
        <f>IF(AND(Inputs!$B$39&lt;&gt;"pvp",Inputs!$B$44&gt;0),SUMPRODUCT((Skills!E2:E26=TRUE)*(C873:C897=TRUE)*R873:R897*Skills!F2:F26)/Inputs!$B$44,SUMPRODUCT((Skills!E2:E26=TRUE)*(C873:C897=TRUE)*Q873:Q897*Skills!F2:F26))</f>
        <v/>
      </c>
    </row>
    <row r="904">
      <c r="A904" t="inlineStr">
        <is>
          <t>Dark Impale Casts Per Second</t>
        </is>
      </c>
      <c r="B904">
        <f>MAX(0,B902-B903)</f>
        <v/>
      </c>
    </row>
    <row r="905">
      <c r="A905" t="inlineStr">
        <is>
          <t>Global Critical Damage Bonus % (Lord of Darkness)</t>
        </is>
      </c>
      <c r="B905">
        <f>((C890=TRUE)*F890*(Skills!J19/100)*IF(AND(Inputs!$B$39&lt;&gt;"pvp",Inputs!$B$44&gt;0),(((R890-1)*MIN((Skills!T19*(1+Inputs!$B$35/100)),(1/Q890))+MIN((Skills!T19*(1+Inputs!$B$35/100)),MAX(0,Inputs!$B$44-((R890-1)*(1/Q890)))))/Inputs!$B$44),IF(Inputs!$B$39="pvp",MIN((Skills!T19*(1+Inputs!$B$35/100)),15)/15,MIN(1,(Skills!T19*(1+Inputs!$B$35/100))/(1/Q890)))))</f>
        <v/>
      </c>
    </row>
    <row r="906">
      <c r="A906" t="inlineStr">
        <is>
          <t>Global Final Damage Bonus % (unused)</t>
        </is>
      </c>
      <c r="B906" t="n">
        <v>0</v>
      </c>
    </row>
    <row r="907">
      <c r="A907" t="inlineStr">
        <is>
          <t>Buff-Casting Startup Delay (s, fixed-duration only)</t>
        </is>
      </c>
      <c r="B907">
        <f>IF(AND(Inputs!$B$39&lt;&gt;"pvp",Inputs!$B$44&gt;0),SUMPRODUCT((Skills!T2:T26&gt;0)*(Skills!E2:E26=TRUE)*(C873:C897=TRUE))/B902,0)</f>
        <v/>
      </c>
    </row>
    <row r="908">
      <c r="A908" t="inlineStr">
        <is>
          <t>Boss-Only Total DPS (this block's swept value)</t>
        </is>
      </c>
      <c r="B908">
        <f>SUM(T873:T897)</f>
        <v/>
      </c>
    </row>
    <row r="909">
      <c r="A909" t="inlineStr">
        <is>
          <t>Normal-Only Total DPS (this block's swept value)</t>
        </is>
      </c>
      <c r="B909">
        <f>SUM(V873:V897)</f>
        <v/>
      </c>
    </row>
    <row r="910">
      <c r="A910" s="6" t="inlineStr">
        <is>
          <t>TOTAL DPS</t>
        </is>
      </c>
      <c r="B910" s="6">
        <f>SUM(O873:O897)</f>
        <v/>
      </c>
    </row>
    <row r="913">
      <c r="A913" s="6" t="inlineStr">
        <is>
          <t>Stat: Skill Level Bonus — 3rd Job</t>
        </is>
      </c>
    </row>
    <row r="914">
      <c r="A914" s="5" t="inlineStr">
        <is>
          <t>Key</t>
        </is>
      </c>
      <c r="B914" s="5" t="inlineStr">
        <is>
          <t>Name</t>
        </is>
      </c>
      <c r="C914" s="5" t="inlineStr">
        <is>
          <t>Unlocked</t>
        </is>
      </c>
      <c r="D914" s="5" t="inlineStr">
        <is>
          <t>InputLevel</t>
        </is>
      </c>
      <c r="E914" s="5" t="inlineStr">
        <is>
          <t>Factor</t>
        </is>
      </c>
      <c r="F914" s="5" t="inlineStr">
        <is>
          <t>CoefficientPercent</t>
        </is>
      </c>
      <c r="G914" s="5" t="inlineStr">
        <is>
          <t>EffectiveHits</t>
        </is>
      </c>
      <c r="H914" s="5" t="inlineStr">
        <is>
          <t>ProcProbability</t>
        </is>
      </c>
      <c r="I914" s="5" t="inlineStr">
        <is>
          <t>MapleHeroMultiplier</t>
        </is>
      </c>
      <c r="J914" s="5" t="inlineStr">
        <is>
          <t>BaseDamage</t>
        </is>
      </c>
      <c r="K914" s="5" t="inlineStr">
        <is>
          <t>BaseHitDamage</t>
        </is>
      </c>
      <c r="L914" s="5" t="inlineStr">
        <is>
          <t>NonCritAvg</t>
        </is>
      </c>
      <c r="M914" s="5" t="inlineStr">
        <is>
          <t>CritAvg</t>
        </is>
      </c>
      <c r="N914" s="5" t="inlineStr">
        <is>
          <t>ExpectedDamage(perHit)</t>
        </is>
      </c>
      <c r="O914" s="5" t="inlineStr">
        <is>
          <t>DPS</t>
        </is>
      </c>
      <c r="P914" s="5" t="inlineStr">
        <is>
          <t>% of Total</t>
        </is>
      </c>
      <c r="Q914" s="5" t="inlineStr">
        <is>
          <t>InvCooldown</t>
        </is>
      </c>
      <c r="R914" s="5" t="inlineStr">
        <is>
          <t>CastsInFight</t>
        </is>
      </c>
      <c r="S914" s="5" t="inlineStr">
        <is>
          <t>HitRate(perSec)</t>
        </is>
      </c>
      <c r="U914" t="inlineStr">
        <is>
          <t>helpers</t>
        </is>
      </c>
    </row>
    <row r="915">
      <c r="A915">
        <f>Skills!A2</f>
        <v/>
      </c>
      <c r="B915">
        <f>Skills!B2</f>
        <v/>
      </c>
      <c r="C915">
        <f>Inputs!$B$3&gt;=100</f>
        <v/>
      </c>
      <c r="D915" t="inlineStr"/>
      <c r="E915" t="inlineStr"/>
      <c r="F915">
        <f>U917+Skills!O2</f>
        <v/>
      </c>
      <c r="G915">
        <f>Skills!G2*IF(Skills!H2&gt;0,INT(IF(Inputs!$B$39="pvp",MIN(Skills!I2,15),Skills!I2)/Skills!H2+0.000000001),1)</f>
        <v/>
      </c>
      <c r="H915">
        <f>1-(1-Skills!J2/100)^Skills!K2</f>
        <v/>
      </c>
      <c r="I915" t="inlineStr">
        <is>
          <t>1</t>
        </is>
      </c>
      <c r="J915">
        <f>((Inputs!$B$6*(1+Inputs!$B$7/100))+(((Inputs!$B$13*(1+Inputs!$B$14/100))-(Inputs!$B$13*(1+Inputs!$B$14/100)))+0.25*(Inputs!$B$15-Inputs!$B$15))*(1+Inputs!$B$7/100))*(F915/100)</f>
        <v/>
      </c>
      <c r="K915">
        <f>J915*(1+(((Inputs!$B$13+IF(Inputs!$B$3&gt;=38,(10*INDEX(FactorTable!$B$2:$Y$301, MATCH(ROUND(MIN(300,MAX(1,Inputs!$B$3)),0), FactorTable!$A$2:$A$301,0), 23)/1000)/100*(Inputs!$B$8*(1+Inputs!$B$9/100)),0))*(1+Inputs!$B$14/100))*0.01+Inputs!$B$15*0.0025)/100)*(1+Inputs!$B$16/100)*(1+Inputs!$B$17/100)*(5000/(6000+Inputs!$B$43*(1-(Inputs!$B$20+0)/100)))*(1+(Inputs!$B$25+((C938=TRUE)*(F938-Calc!F25))+((C939=TRUE)*(F939-Calc!F26))+B948)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gt;=100),MIN(100,((Inputs!$B$10+0+B942+(ArtifactsInput!$M$24-ArtifactsInput!$M$24)*CHOOSE(ArtifactsInput!$N$24+1,10,12,14,16,18,20)+IF(ArtifactsInput!$M$10,CHOOSE(ArtifactsInput!$N$10+1,15,18,21,24,27,30)*(IF(Inputs!$B$39="pvp",MIN(15,15)/15,IF(AND(Inputs!$B$39&lt;&gt;"pvp",Inputs!$B$44&gt;0),MIN(15,Inputs!$B$44)/(Inputs!$B$44),0))),0)))-100),0))*CHOOSE(ArtifactsInput!$N$42+1,0.6,0.72,0.84,0.96,1.08,1.2))),Inputs!$B$19+((C936=TRUE)*(F936-Calc!F23))+(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gt;=100),CHOOSE(ArtifactsInput!$N$42+1,40,48,56,64,72,80),0))))/100)*((1+(((C926=TRUE)*F926*IF(AND(Inputs!$B$39&lt;&gt;"pvp",Inputs!$B$44&gt;0),(((R926-1)*MIN((Skills!T13*(1+Inputs!$B$35/100)),(1/Q926))+MIN((Skills!T13*(1+Inputs!$B$35/100)),MAX(0,Inputs!$B$44-((R926-1)*(1/Q926)))))/Inputs!$B$44),IF(Inputs!$B$39="pvp",MIN((Skills!T13*(1+Inputs!$B$35/100)),15)/15,MIN(1,(Skills!T13*(1+Inputs!$B$35/100))/(1/Q926)))))+((C927=TRUE)*F927*IF(AND(Inputs!$B$39&lt;&gt;"pvp",Inputs!$B$44&gt;0),(((R927-1)*MIN((Skills!T14*(1+Inputs!$B$35/100)),(1/Q927))+MIN((Skills!T14*(1+Inputs!$B$35/100)),MAX(0,Inputs!$B$44-((R927-1)*(1/Q927)))))/Inputs!$B$44),IF(Inputs!$B$39="pvp",MIN((Skills!T14*(1+Inputs!$B$35/100)),15)/15,MIN(1,(Skills!T14*(1+Inputs!$B$35/100))/(1/Q927)))))+((C928=TRUE)*F928*IF(AND(Inputs!$B$39&lt;&gt;"pvp",Inputs!$B$44&gt;0),(((R928-1)*MIN((Skills!T15*(1+Inputs!$B$35/100)),(1/Q928))+MIN((Skills!T15*(1+Inputs!$B$35/100)),MAX(0,Inputs!$B$44-((R928-1)*(1/Q928)))))/Inputs!$B$44),IF(Inputs!$B$39="pvp",MIN((Skills!T15*(1+Inputs!$B$35/100)),15)/15,MIN(1,(Skills!T15*(1+Inputs!$B$35/100))/(1/Q928)))))+((C929=TRUE)*F929*IF(AND(Inputs!$B$39&lt;&gt;"pvp",Inputs!$B$44&gt;0),(((R929-1)*MIN((Skills!T16*(1+Inputs!$B$35/100)),(1/Q929))+MIN((Skills!T16*(1+Inputs!$B$35/100)),MAX(0,Inputs!$B$44-((R929-1)*(1/Q929)))))/Inputs!$B$44),IF(Inputs!$B$39="pvp",MIN((Skills!T16*(1+Inputs!$B$35/100)),15)/15,MIN(1,(Skills!T16*(1+Inputs!$B$35/100))/(1/Q929)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915)</f>
        <v/>
      </c>
      <c r="L915">
        <f>K915*(MIN(Inputs!$B$23+((C935=TRUE)*(F935-Calc!F22)),(Inputs!$B$24+((C937=TRUE)*(F937-Calc!F24))+(IF(ArtifactsInput!$M$15,CHOOSE(ArtifactsInput!$N$15+1,25,30,35,40,45,50)/100*(Inputs!$B$12-Inputs!$B$12),0))))/100+(Inputs!$B$24+((C937=TRUE)*(F937-Calc!F24))+(IF(ArtifactsInput!$M$15,CHOOSE(ArtifactsInput!$N$15+1,25,30,35,40,45,50)/100*(Inputs!$B$12-Inputs!$B$12),0)))/100)/2</f>
        <v/>
      </c>
      <c r="M915">
        <f>L915*(1+(Inputs!$B$11+0+B947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915">
        <f>L915*(1-MIN((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915*(MIN((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15">
        <f>(1-Summary!$B$11)*T915+Summary!$B$11*V915</f>
        <v/>
      </c>
      <c r="P915">
        <f>IF(B952=0,0,O915/B952)</f>
        <v/>
      </c>
      <c r="Q915" t="n">
        <v>0</v>
      </c>
      <c r="R915" t="n">
        <v>0</v>
      </c>
      <c r="S915">
        <f>IFERROR(O915/N915,0)</f>
        <v/>
      </c>
      <c r="T915">
        <f>IF(C915,(Skills!G2*N915*B946)*IF(Inputs!$B$39="pvp",1,1+(Inputs!$B$21+0+Skills!P2+((C930=TRUE)*F930*IF(AND(Inputs!$B$39&lt;&gt;"pvp",Inputs!$B$44&gt;0),(((R930-1)*MIN((Skills!T17*(1+Inputs!$B$35/100)),(1/Q930))+MIN((Skills!T17*(1+Inputs!$B$35/100)),MAX(0,Inputs!$B$44-((R930-1)*(1/Q930)))))/Inputs!$B$44),IF(Inputs!$B$39="pvp",MIN((Skills!T17*(1+Inputs!$B$35/100)),15)/15,MIN(1,(Skills!T17*(1+Inputs!$B$35/100))/(1/Q930)))))+((C918=TRUE)*IF(Inputs!$B$3&gt;=126,10*MIN(1,15*Q918),0))+((C927=TRUE)*IF(Inputs!$B$39="pvp",20,(1-Summary!$B$11)*(20)+Summary!$B$11*(0))*IF(AND(Inputs!$B$39&lt;&gt;"pvp",Inputs!$B$44&gt;0),(((R927-1)*MIN((Skills!T14*(1+Inputs!$B$35/100)),(1/Q927))+MIN((Skills!T14*(1+Inputs!$B$35/100)),MAX(0,Inputs!$B$44-((R927-1)*(1/Q927)))))/Inputs!$B$44),IF(Inputs!$B$39="pvp",MIN((Skills!T14*(1+Inputs!$B$35/100)),15)/15,MIN(1,(Skills!T14*(1+Inputs!$B$35/100))/(1/Q927)))))+((C926=TRUE)*IF(Inputs!$B$3&gt;=82,IF(Inputs!$B$39="pvp",20,(1-Summary!$B$11)*(20)+Summary!$B$11*(0)),0)*IF(AND(Inputs!$B$39&lt;&gt;"pvp",Inputs!$B$44&gt;0),(((R926-1)*MIN((Skills!T13*(1+Inputs!$B$35/100)),(1/Q926))+MIN((Skills!T13*(1+Inputs!$B$35/100)),MAX(0,Inputs!$B$44-((R926-1)*(1/Q926)))))/Inputs!$B$44),IF(Inputs!$B$39="pvp",MIN((Skills!T13*(1+Inputs!$B$35/100)),15)/15,MIN(1,(Skills!T13*(1+Inputs!$B$35/100))/(1/Q926)))))+(IF(AND(ArtifactsInput!$M$35,Inputs!$B$4&lt;&gt;"Chapter Hunt"),CHOOSE(ArtifactsInput!$N$35+1,15,18,21,24,27,30)*(1-EXP(-(0.2*B944)*5)),0)+IF(AND(ArtifactsInput!$M$22,Inputs!$B$4&lt;&gt;"Chapter Hunt"),CHOOSE(ArtifactsInput!$N$22+1,10,12,14,16,18,20)*((0*(((0.15*B944*5))^0/1)+1*(((0.15*B944*5))^1/1)+2*(((0.15*B944*5))^2/2)+3*(((0.15*B944*5))^3/6)+4*(((0.15*B944*5))^4/24)+5*(((0.15*B944*5))^5/120))/((((0.15*B944*5))^0/1)+(((0.15*B944*5))^1/1)+(((0.15*B944*5))^2/2)+(((0.15*B944*5))^3/6)+(((0.15*B944*5))^4/24)+(((0.15*B944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915*(1-MIN(100,(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915*(MIN(100,(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915*(1-MIN(100,(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915*(MIN(100,(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915">
        <f>MAX(0,(Inputs!$B$3-100)*3)+Inputs!$B$29+Inputs!$B$30</f>
        <v/>
      </c>
      <c r="V915">
        <f>IF(C915,(Skills!G2*N915*B946)*IF(Inputs!$B$39="pvp",1,(1+(Inputs!$B$22+Skills!Q2+((C930=TRUE)*F930*IF(AND(Inputs!$B$39&lt;&gt;"pvp",Inputs!$B$44&gt;0),(((R930-1)*MIN((Skills!T17*(1+Inputs!$B$35/100)),(1/Q930))+MIN((Skills!T17*(1+Inputs!$B$35/100)),MAX(0,Inputs!$B$44-((R930-1)*(1/Q930)))))/Inputs!$B$44),IF(Inputs!$B$39="pvp",MIN((Skills!T17*(1+Inputs!$B$35/100)),15)/15,MIN(1,(Skills!T17*(1+Inputs!$B$35/100))/(1/Q930)))))+((C918=TRUE)*IF(Inputs!$B$3&gt;=126,10*MIN(1,15*Q918),0))+((C927=TRUE)*IF(Inputs!$B$39="pvp",20,(1-Summary!$B$11)*(20)+Summary!$B$11*(0))*IF(AND(Inputs!$B$39&lt;&gt;"pvp",Inputs!$B$44&gt;0),(((R927-1)*MIN((Skills!T14*(1+Inputs!$B$35/100)),(1/Q927))+MIN((Skills!T14*(1+Inputs!$B$35/100)),MAX(0,Inputs!$B$44-((R927-1)*(1/Q927)))))/Inputs!$B$44),IF(Inputs!$B$39="pvp",MIN((Skills!T14*(1+Inputs!$B$35/100)),15)/15,MIN(1,(Skills!T14*(1+Inputs!$B$35/100))/(1/Q927)))))+((C926=TRUE)*IF(Inputs!$B$3&gt;=82,IF(Inputs!$B$39="pvp",20,(1-Summary!$B$11)*(20)+Summary!$B$11*(0)),0)*IF(AND(Inputs!$B$39&lt;&gt;"pvp",Inputs!$B$44&gt;0),(((R926-1)*MIN((Skills!T13*(1+Inputs!$B$35/100)),(1/Q926))+MIN((Skills!T13*(1+Inputs!$B$35/100)),MAX(0,Inputs!$B$44-((R926-1)*(1/Q926)))))/Inputs!$B$44),IF(Inputs!$B$39="pvp",MIN((Skills!T13*(1+Inputs!$B$35/100)),15)/15,MIN(1,(Skills!T13*(1+Inputs!$B$35/100))/(1/Q926)))))+(IF(AND(ArtifactsInput!$M$35,Inputs!$B$4&lt;&gt;"Chapter Hunt"),CHOOSE(ArtifactsInput!$N$35+1,15,18,21,24,27,30)*(1-EXP(-(0.2*B944)*5)),0)+IF(AND(ArtifactsInput!$M$22,Inputs!$B$4&lt;&gt;"Chapter Hunt"),CHOOSE(ArtifactsInput!$N$22+1,10,12,14,16,18,20)*((0*(((0.15*B944*5))^0/1)+1*(((0.15*B944*5))^1/1)+2*(((0.15*B944*5))^2/2)+3*(((0.15*B944*5))^3/6)+4*(((0.15*B944*5))^4/24)+5*(((0.15*B944*5))^5/120))/((((0.15*B944*5))^0/1)+(((0.15*B944*5))^1/1)+(((0.15*B944*5))^2/2)+(((0.15*B944*5))^3/6)+(((0.15*B944*5))^4/24)+(((0.15*B944*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16">
      <c r="A916">
        <f>Skills!A3</f>
        <v/>
      </c>
      <c r="B916">
        <f>Skills!B3</f>
        <v/>
      </c>
      <c r="C916">
        <f>Inputs!$B$3&gt;=50</f>
        <v/>
      </c>
      <c r="D916">
        <f>IF(Skills!C3=1,60+Inputs!$B$26+Inputs!$B$30,IF(Skills!C3=2,90+Inputs!$B$27+Inputs!$B$30,IF(Skills!C3=3,120+(Inputs!$B$28+1)+Inputs!$B$30,MAX(0,(Inputs!$B$3-100)*3)+Inputs!$B$29+Inputs!$B$30)))</f>
        <v/>
      </c>
      <c r="E916">
        <f>INDEX(FactorTable!$B$2:$Y$301, MATCH(ROUND(MIN(300,MAX(1,D916)),0), FactorTable!$A$2:$A$301,0), Skills!M3+1)</f>
        <v/>
      </c>
      <c r="F916">
        <f>IF(Skills!N3=TRUE,(Skills!L3/10)*(E916/1000),Skills!L3/10)+Skills!O3</f>
        <v/>
      </c>
      <c r="G916" t="inlineStr"/>
      <c r="H916" t="inlineStr"/>
      <c r="I916" t="inlineStr">
        <is>
          <t>1</t>
        </is>
      </c>
      <c r="J916" t="inlineStr"/>
      <c r="K916" t="inlineStr"/>
      <c r="L916" t="inlineStr"/>
      <c r="M916" t="inlineStr"/>
      <c r="N916" t="inlineStr"/>
      <c r="O916" t="inlineStr"/>
      <c r="P916" t="inlineStr"/>
      <c r="Q916" t="inlineStr"/>
      <c r="R916" t="inlineStr"/>
      <c r="S916" t="inlineStr"/>
      <c r="U916">
        <f>INDEX(FactorTable!$B$2:$Y$301, MATCH(ROUND(MIN(300,MAX(1,U915)),0), FactorTable!$A$2:$A$301,0), 22)</f>
        <v/>
      </c>
    </row>
    <row r="917">
      <c r="A917">
        <f>Skills!A4</f>
        <v/>
      </c>
      <c r="B917">
        <f>Skills!B4</f>
        <v/>
      </c>
      <c r="C917">
        <f>Inputs!$B$3&gt;=105</f>
        <v/>
      </c>
      <c r="D917">
        <f>IF(Skills!C4=1,60+Inputs!$B$26+Inputs!$B$30,IF(Skills!C4=2,90+Inputs!$B$27+Inputs!$B$30,IF(Skills!C4=3,120+(Inputs!$B$28+1)+Inputs!$B$30,MAX(0,(Inputs!$B$3-100)*3)+Inputs!$B$29+Inputs!$B$30)))</f>
        <v/>
      </c>
      <c r="E917">
        <f>INDEX(FactorTable!$B$2:$Y$301, MATCH(ROUND(MIN(300,MAX(1,D917)),0), FactorTable!$A$2:$A$301,0), Skills!M4+1)</f>
        <v/>
      </c>
      <c r="F917">
        <f>IF(Skills!N4=TRUE,(Skills!L4/10)*(E917/1000),Skills!L4/10)+Skills!O4</f>
        <v/>
      </c>
      <c r="G917" t="inlineStr"/>
      <c r="H917" t="inlineStr"/>
      <c r="I917" t="inlineStr">
        <is>
          <t>1</t>
        </is>
      </c>
      <c r="J917" t="inlineStr"/>
      <c r="K917" t="inlineStr"/>
      <c r="L917" t="inlineStr"/>
      <c r="M917" t="inlineStr"/>
      <c r="N917" t="inlineStr"/>
      <c r="O917" t="inlineStr"/>
      <c r="P917" t="inlineStr"/>
      <c r="Q917" t="inlineStr"/>
      <c r="R917" t="inlineStr"/>
      <c r="S917" t="inlineStr"/>
      <c r="U917">
        <f>290*U916/1000</f>
        <v/>
      </c>
    </row>
    <row r="918">
      <c r="A918">
        <f>Skills!A5</f>
        <v/>
      </c>
      <c r="B918">
        <f>Skills!B5</f>
        <v/>
      </c>
      <c r="C918">
        <f>Inputs!$B$3&gt;=117</f>
        <v/>
      </c>
      <c r="D918">
        <f>IF(Skills!C5=1,60+Inputs!$B$26+Inputs!$B$30,IF(Skills!C5=2,90+Inputs!$B$27+Inputs!$B$30,IF(Skills!C5=3,120+(Inputs!$B$28+1)+Inputs!$B$30,MAX(0,(Inputs!$B$3-100)*3)+Inputs!$B$29+Inputs!$B$30)))</f>
        <v/>
      </c>
      <c r="E918">
        <f>INDEX(FactorTable!$B$2:$Y$301, MATCH(ROUND(MIN(300,MAX(1,D918)),0), FactorTable!$A$2:$A$301,0), Skills!M5+1)</f>
        <v/>
      </c>
      <c r="F918">
        <f>IF(Skills!N5=TRUE,(Skills!L5/10)*(E918/1000),Skills!L5/10)+Skills!O5</f>
        <v/>
      </c>
      <c r="G918">
        <f>Skills!G5*IF(Skills!H5&gt;0,INT(IF(Inputs!$B$39="pvp",MIN(Skills!I5,15),Skills!I5)/Skills!H5+0.000000001),1)</f>
        <v/>
      </c>
      <c r="H918">
        <f>1-(1-Skills!J5/100)^Skills!K5</f>
        <v/>
      </c>
      <c r="I918" t="inlineStr">
        <is>
          <t>1</t>
        </is>
      </c>
      <c r="J918">
        <f>((Inputs!$B$6*(1+Inputs!$B$7/100))+(((Inputs!$B$13*(1+Inputs!$B$14/100))-(Inputs!$B$13*(1+Inputs!$B$14/100)))+0.25*(Inputs!$B$15-Inputs!$B$15))*(1+Inputs!$B$7/100))*(F918/100)</f>
        <v/>
      </c>
      <c r="K918">
        <f>J918*(1+(((Inputs!$B$13+IF(Inputs!$B$3&gt;=38,(10*INDEX(FactorTable!$B$2:$Y$301, MATCH(ROUND(MIN(300,MAX(1,Inputs!$B$3)),0), FactorTable!$A$2:$A$301,0), 23)/1000)/100*(Inputs!$B$8*(1+Inputs!$B$9/100)),0))*(1+Inputs!$B$14/100))*0.01+Inputs!$B$15*0.0025)/100)*(1+Inputs!$B$16/100)*(1+Inputs!$B$17/100)*(5000/(6000+Inputs!$B$43*(1-(Inputs!$B$20+0)/100)))*(1+(Inputs!$B$25+((C938=TRUE)*(F938-Calc!F25))+((C939=TRUE)*(F939-Calc!F26))+B948)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gt;=100),MIN(100,((Inputs!$B$10+0+B942+(ArtifactsInput!$M$24-ArtifactsInput!$M$24)*CHOOSE(ArtifactsInput!$N$24+1,10,12,14,16,18,20)+IF(ArtifactsInput!$M$10,CHOOSE(ArtifactsInput!$N$10+1,15,18,21,24,27,30)*(IF(Inputs!$B$39="pvp",MIN(15,15)/15,IF(AND(Inputs!$B$39&lt;&gt;"pvp",Inputs!$B$44&gt;0),MIN(15,Inputs!$B$44)/(Inputs!$B$44),0))),0)))-100),0))*CHOOSE(ArtifactsInput!$N$42+1,0.6,0.72,0.84,0.96,1.08,1.2))),Inputs!$B$19+((C936=TRUE)*(F936-Calc!F23))+(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gt;=100),CHOOSE(ArtifactsInput!$N$42+1,40,48,56,64,72,80),0))))/100)*((1+(((C926=TRUE)*F926*IF(AND(Inputs!$B$39&lt;&gt;"pvp",Inputs!$B$44&gt;0),(((R926-1)*MIN((Skills!T13*(1+Inputs!$B$35/100)),(1/Q926))+MIN((Skills!T13*(1+Inputs!$B$35/100)),MAX(0,Inputs!$B$44-((R926-1)*(1/Q926)))))/Inputs!$B$44),IF(Inputs!$B$39="pvp",MIN((Skills!T13*(1+Inputs!$B$35/100)),15)/15,MIN(1,(Skills!T13*(1+Inputs!$B$35/100))/(1/Q926)))))+((C927=TRUE)*F927*IF(AND(Inputs!$B$39&lt;&gt;"pvp",Inputs!$B$44&gt;0),(((R927-1)*MIN((Skills!T14*(1+Inputs!$B$35/100)),(1/Q927))+MIN((Skills!T14*(1+Inputs!$B$35/100)),MAX(0,Inputs!$B$44-((R927-1)*(1/Q927)))))/Inputs!$B$44),IF(Inputs!$B$39="pvp",MIN((Skills!T14*(1+Inputs!$B$35/100)),15)/15,MIN(1,(Skills!T14*(1+Inputs!$B$35/100))/(1/Q927)))))+((C928=TRUE)*F928*IF(AND(Inputs!$B$39&lt;&gt;"pvp",Inputs!$B$44&gt;0),(((R928-1)*MIN((Skills!T15*(1+Inputs!$B$35/100)),(1/Q928))+MIN((Skills!T15*(1+Inputs!$B$35/100)),MAX(0,Inputs!$B$44-((R928-1)*(1/Q928)))))/Inputs!$B$44),IF(Inputs!$B$39="pvp",MIN((Skills!T15*(1+Inputs!$B$35/100)),15)/15,MIN(1,(Skills!T15*(1+Inputs!$B$35/100))/(1/Q928)))))+((C929=TRUE)*F929*IF(AND(Inputs!$B$39&lt;&gt;"pvp",Inputs!$B$44&gt;0),(((R929-1)*MIN((Skills!T16*(1+Inputs!$B$35/100)),(1/Q929))+MIN((Skills!T16*(1+Inputs!$B$35/100)),MAX(0,Inputs!$B$44-((R929-1)*(1/Q929)))))/Inputs!$B$44),IF(Inputs!$B$39="pvp",MIN((Skills!T16*(1+Inputs!$B$35/100)),15)/15,MIN(1,(Skills!T16*(1+Inputs!$B$35/100))/(1/Q929)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918)</f>
        <v/>
      </c>
      <c r="L918">
        <f>K918*(MIN(Inputs!$B$23+((C935=TRUE)*(F935-Calc!F22)),(Inputs!$B$24+((C937=TRUE)*(F937-Calc!F24))+(IF(ArtifactsInput!$M$15,CHOOSE(ArtifactsInput!$N$15+1,25,30,35,40,45,50)/100*(Inputs!$B$12-Inputs!$B$12),0))))/100+(Inputs!$B$24+((C937=TRUE)*(F937-Calc!F24))+(IF(ArtifactsInput!$M$15,CHOOSE(ArtifactsInput!$N$15+1,25,30,35,40,45,50)/100*(Inputs!$B$12-Inputs!$B$12),0)))/100)/2</f>
        <v/>
      </c>
      <c r="M918">
        <f>L918*(1+(Inputs!$B$11+0+B947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918">
        <f>L918*(1-MIN((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918*(MIN((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18">
        <f>(1-Summary!$B$11)*T918+Summary!$B$11*V918</f>
        <v/>
      </c>
      <c r="P918">
        <f>IF(B952=0,0,O918/B952)</f>
        <v/>
      </c>
      <c r="Q918">
        <f>IFERROR(1/IF(Inputs!$B$39="pvp",15,MAX(0.1,Skills!D5-IF(TRUE=TRUE,Inputs!$B$33,0))),0)</f>
        <v/>
      </c>
      <c r="R918">
        <f>IF(AND(Inputs!$B$39&lt;&gt;"pvp",Inputs!$B$44&gt;0),IF(MAX(0,Inputs!$B$44-B949)&lt;=0,0,(INT(MAX(0,Inputs!$B$44-B949)/IF(Inputs!$B$39="pvp",15,MAX(0.1,Skills!D5-IF(TRUE=TRUE,Inputs!$B$33,0))))+1)),0)</f>
        <v/>
      </c>
      <c r="S918">
        <f>IFERROR(O918/N918,0)</f>
        <v/>
      </c>
      <c r="T918">
        <f>IF(C918,(H918*N918*IF(AND(Inputs!$B$39&lt;&gt;"pvp",Inputs!$B$44&gt;0),((Skills!G5*((R918-1)*IF(Skills!H5&gt;0,INT(Skills!I5/Skills!H5+0.000000001),1)+IF(Skills!H5&gt;0,INT(MIN(Skills!I5,MAX(0,MAX(0,Inputs!$B$44-B949)-((R918-1)*IF(Inputs!$B$39="pvp",15,MAX(0.1,Skills!D5-IF(TRUE=TRUE,Inputs!$B$33,0))))))/Skills!H5+0.000000001),1)))/Inputs!$B$44),G918*Q918))*IF(Inputs!$B$39="pvp",1,1+(Inputs!$B$21+0+Skills!P5+((C930=TRUE)*F930*IF(AND(Inputs!$B$39&lt;&gt;"pvp",Inputs!$B$44&gt;0),(((R930-1)*MIN((Skills!T17*(1+Inputs!$B$35/100)),(1/Q930))+MIN((Skills!T17*(1+Inputs!$B$35/100)),MAX(0,Inputs!$B$44-((R930-1)*(1/Q930)))))/Inputs!$B$44),IF(Inputs!$B$39="pvp",MIN((Skills!T17*(1+Inputs!$B$35/100)),15)/15,MIN(1,(Skills!T17*(1+Inputs!$B$35/100))/(1/Q930)))))+((C918=TRUE)*IF(Inputs!$B$3&gt;=126,10*MIN(1,15*Q918),0))+((C927=TRUE)*IF(Inputs!$B$39="pvp",20,(1-Summary!$B$11)*(20)+Summary!$B$11*(0))*IF(AND(Inputs!$B$39&lt;&gt;"pvp",Inputs!$B$44&gt;0),(((R927-1)*MIN((Skills!T14*(1+Inputs!$B$35/100)),(1/Q927))+MIN((Skills!T14*(1+Inputs!$B$35/100)),MAX(0,Inputs!$B$44-((R927-1)*(1/Q927)))))/Inputs!$B$44),IF(Inputs!$B$39="pvp",MIN((Skills!T14*(1+Inputs!$B$35/100)),15)/15,MIN(1,(Skills!T14*(1+Inputs!$B$35/100))/(1/Q927)))))+((C926=TRUE)*IF(Inputs!$B$3&gt;=82,IF(Inputs!$B$39="pvp",20,(1-Summary!$B$11)*(20)+Summary!$B$11*(0)),0)*IF(AND(Inputs!$B$39&lt;&gt;"pvp",Inputs!$B$44&gt;0),(((R926-1)*MIN((Skills!T13*(1+Inputs!$B$35/100)),(1/Q926))+MIN((Skills!T13*(1+Inputs!$B$35/100)),MAX(0,Inputs!$B$44-((R926-1)*(1/Q926)))))/Inputs!$B$44),IF(Inputs!$B$39="pvp",MIN((Skills!T13*(1+Inputs!$B$35/100)),15)/15,MIN(1,(Skills!T13*(1+Inputs!$B$35/100))/(1/Q926)))))+(IF(AND(ArtifactsInput!$M$35,Inputs!$B$4&lt;&gt;"Chapter Hunt"),CHOOSE(ArtifactsInput!$N$35+1,15,18,21,24,27,30)*(1-EXP(-(0.2*B944)*5)),0)+IF(AND(ArtifactsInput!$M$22,Inputs!$B$4&lt;&gt;"Chapter Hunt"),CHOOSE(ArtifactsInput!$N$22+1,10,12,14,16,18,20)*((0*(((0.15*B944*5))^0/1)+1*(((0.15*B944*5))^1/1)+2*(((0.15*B944*5))^2/2)+3*(((0.15*B944*5))^3/6)+4*(((0.15*B944*5))^4/24)+5*(((0.15*B944*5))^5/120))/((((0.15*B944*5))^0/1)+(((0.15*B944*5))^1/1)+(((0.15*B944*5))^2/2)+(((0.15*B944*5))^3/6)+(((0.15*B944*5))^4/24)+(((0.15*B944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918*(1-MIN(100,(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918*(MIN(100,(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918*(1-MIN(100,(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918*(MIN(100,(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18">
        <f>IF(C918,(H918*N918*IF(AND(Inputs!$B$39&lt;&gt;"pvp",Inputs!$B$44&gt;0),((Skills!G5*((R918-1)*IF(Skills!H5&gt;0,INT(Skills!I5/Skills!H5+0.000000001),1)+IF(Skills!H5&gt;0,INT(MIN(Skills!I5,MAX(0,MAX(0,Inputs!$B$44-B949)-((R918-1)*IF(Inputs!$B$39="pvp",15,MAX(0.1,Skills!D5-IF(TRUE=TRUE,Inputs!$B$33,0))))))/Skills!H5+0.000000001),1)))/Inputs!$B$44),G918*Q918))*IF(Inputs!$B$39="pvp",1,(1+(Inputs!$B$22+Skills!Q5+((C930=TRUE)*F930*IF(AND(Inputs!$B$39&lt;&gt;"pvp",Inputs!$B$44&gt;0),(((R930-1)*MIN((Skills!T17*(1+Inputs!$B$35/100)),(1/Q930))+MIN((Skills!T17*(1+Inputs!$B$35/100)),MAX(0,Inputs!$B$44-((R930-1)*(1/Q930)))))/Inputs!$B$44),IF(Inputs!$B$39="pvp",MIN((Skills!T17*(1+Inputs!$B$35/100)),15)/15,MIN(1,(Skills!T17*(1+Inputs!$B$35/100))/(1/Q930)))))+((C918=TRUE)*IF(Inputs!$B$3&gt;=126,10*MIN(1,15*Q918),0))+((C927=TRUE)*IF(Inputs!$B$39="pvp",20,(1-Summary!$B$11)*(20)+Summary!$B$11*(0))*IF(AND(Inputs!$B$39&lt;&gt;"pvp",Inputs!$B$44&gt;0),(((R927-1)*MIN((Skills!T14*(1+Inputs!$B$35/100)),(1/Q927))+MIN((Skills!T14*(1+Inputs!$B$35/100)),MAX(0,Inputs!$B$44-((R927-1)*(1/Q927)))))/Inputs!$B$44),IF(Inputs!$B$39="pvp",MIN((Skills!T14*(1+Inputs!$B$35/100)),15)/15,MIN(1,(Skills!T14*(1+Inputs!$B$35/100))/(1/Q927)))))+((C926=TRUE)*IF(Inputs!$B$3&gt;=82,IF(Inputs!$B$39="pvp",20,(1-Summary!$B$11)*(20)+Summary!$B$11*(0)),0)*IF(AND(Inputs!$B$39&lt;&gt;"pvp",Inputs!$B$44&gt;0),(((R926-1)*MIN((Skills!T13*(1+Inputs!$B$35/100)),(1/Q926))+MIN((Skills!T13*(1+Inputs!$B$35/100)),MAX(0,Inputs!$B$44-((R926-1)*(1/Q926)))))/Inputs!$B$44),IF(Inputs!$B$39="pvp",MIN((Skills!T13*(1+Inputs!$B$35/100)),15)/15,MIN(1,(Skills!T13*(1+Inputs!$B$35/100))/(1/Q926)))))+(IF(AND(ArtifactsInput!$M$35,Inputs!$B$4&lt;&gt;"Chapter Hunt"),CHOOSE(ArtifactsInput!$N$35+1,15,18,21,24,27,30)*(1-EXP(-(0.2*B944)*5)),0)+IF(AND(ArtifactsInput!$M$22,Inputs!$B$4&lt;&gt;"Chapter Hunt"),CHOOSE(ArtifactsInput!$N$22+1,10,12,14,16,18,20)*((0*(((0.15*B944*5))^0/1)+1*(((0.15*B944*5))^1/1)+2*(((0.15*B944*5))^2/2)+3*(((0.15*B944*5))^3/6)+4*(((0.15*B944*5))^4/24)+5*(((0.15*B944*5))^5/120))/((((0.15*B944*5))^0/1)+(((0.15*B944*5))^1/1)+(((0.15*B944*5))^2/2)+(((0.15*B944*5))^3/6)+(((0.15*B944*5))^4/24)+(((0.15*B944*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19">
      <c r="A919">
        <f>Skills!A6</f>
        <v/>
      </c>
      <c r="B919">
        <f>Skills!B6</f>
        <v/>
      </c>
      <c r="C919">
        <f>Inputs!$B$3&gt;=103</f>
        <v/>
      </c>
      <c r="D919">
        <f>IF(Skills!C6=1,60+Inputs!$B$26+Inputs!$B$30,IF(Skills!C6=2,90+Inputs!$B$27+Inputs!$B$30,IF(Skills!C6=3,120+(Inputs!$B$28+1)+Inputs!$B$30,MAX(0,(Inputs!$B$3-100)*3)+Inputs!$B$29+Inputs!$B$30)))</f>
        <v/>
      </c>
      <c r="E919">
        <f>INDEX(FactorTable!$B$2:$Y$301, MATCH(ROUND(MIN(300,MAX(1,D919)),0), FactorTable!$A$2:$A$301,0), Skills!M6+1)</f>
        <v/>
      </c>
      <c r="F919">
        <f>IF(Skills!N6=TRUE,(Skills!L6/10)*(E919/1000),Skills!L6/10)+Skills!O6</f>
        <v/>
      </c>
      <c r="G919">
        <f>Skills!G6*IF(Skills!H6&gt;0,INT(IF(Inputs!$B$39="pvp",MIN(Skills!I6,15),Skills!I6)/Skills!H6+0.000000001),1)</f>
        <v/>
      </c>
      <c r="H919">
        <f>1-(1-Skills!J6/100)^Skills!K6</f>
        <v/>
      </c>
      <c r="I919" t="inlineStr">
        <is>
          <t>1</t>
        </is>
      </c>
      <c r="J919">
        <f>((Inputs!$B$6*(1+Inputs!$B$7/100))+(((Inputs!$B$13*(1+Inputs!$B$14/100))-(Inputs!$B$13*(1+Inputs!$B$14/100)))+0.25*(Inputs!$B$15-Inputs!$B$15))*(1+Inputs!$B$7/100))*(F919/100)</f>
        <v/>
      </c>
      <c r="K919">
        <f>J919*(1+(((Inputs!$B$13+IF(Inputs!$B$3&gt;=38,(10*INDEX(FactorTable!$B$2:$Y$301, MATCH(ROUND(MIN(300,MAX(1,Inputs!$B$3)),0), FactorTable!$A$2:$A$301,0), 23)/1000)/100*(Inputs!$B$8*(1+Inputs!$B$9/100)),0))*(1+Inputs!$B$14/100))*0.01+Inputs!$B$15*0.0025)/100)*(1+Inputs!$B$16/100)*(1+Inputs!$B$17/100)*(5000/(6000+Inputs!$B$43*(1-(Inputs!$B$20+0)/100)))*(1+(Inputs!$B$25+((C938=TRUE)*(F938-Calc!F25))+((C939=TRUE)*(F939-Calc!F26))+B948)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gt;=100),MIN(100,((Inputs!$B$10+0+B942+(ArtifactsInput!$M$24-ArtifactsInput!$M$24)*CHOOSE(ArtifactsInput!$N$24+1,10,12,14,16,18,20)+IF(ArtifactsInput!$M$10,CHOOSE(ArtifactsInput!$N$10+1,15,18,21,24,27,30)*(IF(Inputs!$B$39="pvp",MIN(15,15)/15,IF(AND(Inputs!$B$39&lt;&gt;"pvp",Inputs!$B$44&gt;0),MIN(15,Inputs!$B$44)/(Inputs!$B$44),0))),0)))-100),0))*CHOOSE(ArtifactsInput!$N$42+1,0.6,0.72,0.84,0.96,1.08,1.2))),Inputs!$B$19+((C936=TRUE)*(F936-Calc!F23))+(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gt;=100),CHOOSE(ArtifactsInput!$N$42+1,40,48,56,64,72,80),0))))/100)*((1+(((C926=TRUE)*F926*IF(AND(Inputs!$B$39&lt;&gt;"pvp",Inputs!$B$44&gt;0),(((R926-1)*MIN((Skills!T13*(1+Inputs!$B$35/100)),(1/Q926))+MIN((Skills!T13*(1+Inputs!$B$35/100)),MAX(0,Inputs!$B$44-((R926-1)*(1/Q926)))))/Inputs!$B$44),IF(Inputs!$B$39="pvp",MIN((Skills!T13*(1+Inputs!$B$35/100)),15)/15,MIN(1,(Skills!T13*(1+Inputs!$B$35/100))/(1/Q926)))))+((C927=TRUE)*F927*IF(AND(Inputs!$B$39&lt;&gt;"pvp",Inputs!$B$44&gt;0),(((R927-1)*MIN((Skills!T14*(1+Inputs!$B$35/100)),(1/Q927))+MIN((Skills!T14*(1+Inputs!$B$35/100)),MAX(0,Inputs!$B$44-((R927-1)*(1/Q927)))))/Inputs!$B$44),IF(Inputs!$B$39="pvp",MIN((Skills!T14*(1+Inputs!$B$35/100)),15)/15,MIN(1,(Skills!T14*(1+Inputs!$B$35/100))/(1/Q927)))))+((C928=TRUE)*F928*IF(AND(Inputs!$B$39&lt;&gt;"pvp",Inputs!$B$44&gt;0),(((R928-1)*MIN((Skills!T15*(1+Inputs!$B$35/100)),(1/Q928))+MIN((Skills!T15*(1+Inputs!$B$35/100)),MAX(0,Inputs!$B$44-((R928-1)*(1/Q928)))))/Inputs!$B$44),IF(Inputs!$B$39="pvp",MIN((Skills!T15*(1+Inputs!$B$35/100)),15)/15,MIN(1,(Skills!T15*(1+Inputs!$B$35/100))/(1/Q928)))))+((C929=TRUE)*F929*IF(AND(Inputs!$B$39&lt;&gt;"pvp",Inputs!$B$44&gt;0),(((R929-1)*MIN((Skills!T16*(1+Inputs!$B$35/100)),(1/Q929))+MIN((Skills!T16*(1+Inputs!$B$35/100)),MAX(0,Inputs!$B$44-((R929-1)*(1/Q929)))))/Inputs!$B$44),IF(Inputs!$B$39="pvp",MIN((Skills!T16*(1+Inputs!$B$35/100)),15)/15,MIN(1,(Skills!T16*(1+Inputs!$B$35/100))/(1/Q929)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919)</f>
        <v/>
      </c>
      <c r="L919">
        <f>K919*(MIN(Inputs!$B$23+((C935=TRUE)*(F935-Calc!F22)),(Inputs!$B$24+((C937=TRUE)*(F937-Calc!F24))+(IF(ArtifactsInput!$M$15,CHOOSE(ArtifactsInput!$N$15+1,25,30,35,40,45,50)/100*(Inputs!$B$12-Inputs!$B$12),0))))/100+(Inputs!$B$24+((C937=TRUE)*(F937-Calc!F24))+(IF(ArtifactsInput!$M$15,CHOOSE(ArtifactsInput!$N$15+1,25,30,35,40,45,50)/100*(Inputs!$B$12-Inputs!$B$12),0)))/100)/2</f>
        <v/>
      </c>
      <c r="M919">
        <f>L919*(1+(Inputs!$B$11+0+B947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919">
        <f>L919*(1-MIN((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919*(MIN((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19">
        <f>(1-Summary!$B$11)*T919+Summary!$B$11*V919</f>
        <v/>
      </c>
      <c r="P919">
        <f>IF(B952=0,0,O919/B952)</f>
        <v/>
      </c>
      <c r="Q919">
        <f>IFERROR(1/IF(Inputs!$B$39="pvp",15,MAX(0.1,Skills!D6-IF(TRUE=TRUE,Inputs!$B$33,0))),0)</f>
        <v/>
      </c>
      <c r="R919">
        <f>IF(AND(Inputs!$B$39&lt;&gt;"pvp",Inputs!$B$44&gt;0),IF(MAX(0,Inputs!$B$44-B949)&lt;=0,0,(INT(MAX(0,Inputs!$B$44-B949)/IF(Inputs!$B$39="pvp",15,MAX(0.1,Skills!D6-IF(TRUE=TRUE,Inputs!$B$33,0))))+1)),0)</f>
        <v/>
      </c>
      <c r="S919">
        <f>IFERROR(O919/N919,0)</f>
        <v/>
      </c>
      <c r="T919">
        <f>IF(C919,(H919*N919*IF(AND(Inputs!$B$39&lt;&gt;"pvp",Inputs!$B$44&gt;0),((Skills!G6*((R919-1)*IF(Skills!H6&gt;0,INT(Skills!I6/Skills!H6+0.000000001),1)+IF(Skills!H6&gt;0,INT(MIN(Skills!I6,MAX(0,MAX(0,Inputs!$B$44-B949)-((R919-1)*IF(Inputs!$B$39="pvp",15,MAX(0.1,Skills!D6-IF(TRUE=TRUE,Inputs!$B$33,0))))))/Skills!H6+0.000000001),1)))/Inputs!$B$44),G919*Q919))*IF(Inputs!$B$39="pvp",1,1+(Inputs!$B$21+0+Skills!P6+((C930=TRUE)*F930*IF(AND(Inputs!$B$39&lt;&gt;"pvp",Inputs!$B$44&gt;0),(((R930-1)*MIN((Skills!T17*(1+Inputs!$B$35/100)),(1/Q930))+MIN((Skills!T17*(1+Inputs!$B$35/100)),MAX(0,Inputs!$B$44-((R930-1)*(1/Q930)))))/Inputs!$B$44),IF(Inputs!$B$39="pvp",MIN((Skills!T17*(1+Inputs!$B$35/100)),15)/15,MIN(1,(Skills!T17*(1+Inputs!$B$35/100))/(1/Q930)))))+((C918=TRUE)*IF(Inputs!$B$3&gt;=126,10*MIN(1,15*Q918),0))+((C927=TRUE)*IF(Inputs!$B$39="pvp",20,(1-Summary!$B$11)*(20)+Summary!$B$11*(0))*IF(AND(Inputs!$B$39&lt;&gt;"pvp",Inputs!$B$44&gt;0),(((R927-1)*MIN((Skills!T14*(1+Inputs!$B$35/100)),(1/Q927))+MIN((Skills!T14*(1+Inputs!$B$35/100)),MAX(0,Inputs!$B$44-((R927-1)*(1/Q927)))))/Inputs!$B$44),IF(Inputs!$B$39="pvp",MIN((Skills!T14*(1+Inputs!$B$35/100)),15)/15,MIN(1,(Skills!T14*(1+Inputs!$B$35/100))/(1/Q927)))))+((C926=TRUE)*IF(Inputs!$B$3&gt;=82,IF(Inputs!$B$39="pvp",20,(1-Summary!$B$11)*(20)+Summary!$B$11*(0)),0)*IF(AND(Inputs!$B$39&lt;&gt;"pvp",Inputs!$B$44&gt;0),(((R926-1)*MIN((Skills!T13*(1+Inputs!$B$35/100)),(1/Q926))+MIN((Skills!T13*(1+Inputs!$B$35/100)),MAX(0,Inputs!$B$44-((R926-1)*(1/Q926)))))/Inputs!$B$44),IF(Inputs!$B$39="pvp",MIN((Skills!T13*(1+Inputs!$B$35/100)),15)/15,MIN(1,(Skills!T13*(1+Inputs!$B$35/100))/(1/Q926)))))+(IF(AND(ArtifactsInput!$M$35,Inputs!$B$4&lt;&gt;"Chapter Hunt"),CHOOSE(ArtifactsInput!$N$35+1,15,18,21,24,27,30)*(1-EXP(-(0.2*B944)*5)),0)+IF(AND(ArtifactsInput!$M$22,Inputs!$B$4&lt;&gt;"Chapter Hunt"),CHOOSE(ArtifactsInput!$N$22+1,10,12,14,16,18,20)*((0*(((0.15*B944*5))^0/1)+1*(((0.15*B944*5))^1/1)+2*(((0.15*B944*5))^2/2)+3*(((0.15*B944*5))^3/6)+4*(((0.15*B944*5))^4/24)+5*(((0.15*B944*5))^5/120))/((((0.15*B944*5))^0/1)+(((0.15*B944*5))^1/1)+(((0.15*B944*5))^2/2)+(((0.15*B944*5))^3/6)+(((0.15*B944*5))^4/24)+(((0.15*B944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919*(1-MIN(100,(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919*(MIN(100,(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919*(1-MIN(100,(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919*(MIN(100,(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19">
        <f>IF(C919,(H919*N919*IF(AND(Inputs!$B$39&lt;&gt;"pvp",Inputs!$B$44&gt;0),((Skills!G6*((R919-1)*IF(Skills!H6&gt;0,INT(Skills!I6/Skills!H6+0.000000001),1)+IF(Skills!H6&gt;0,INT(MIN(Skills!I6,MAX(0,MAX(0,Inputs!$B$44-B949)-((R919-1)*IF(Inputs!$B$39="pvp",15,MAX(0.1,Skills!D6-IF(TRUE=TRUE,Inputs!$B$33,0))))))/Skills!H6+0.000000001),1)))/Inputs!$B$44),G919*Q919))*IF(Inputs!$B$39="pvp",1,(1+(Inputs!$B$22+Skills!Q6+((C930=TRUE)*F930*IF(AND(Inputs!$B$39&lt;&gt;"pvp",Inputs!$B$44&gt;0),(((R930-1)*MIN((Skills!T17*(1+Inputs!$B$35/100)),(1/Q930))+MIN((Skills!T17*(1+Inputs!$B$35/100)),MAX(0,Inputs!$B$44-((R930-1)*(1/Q930)))))/Inputs!$B$44),IF(Inputs!$B$39="pvp",MIN((Skills!T17*(1+Inputs!$B$35/100)),15)/15,MIN(1,(Skills!T17*(1+Inputs!$B$35/100))/(1/Q930)))))+((C918=TRUE)*IF(Inputs!$B$3&gt;=126,10*MIN(1,15*Q918),0))+((C927=TRUE)*IF(Inputs!$B$39="pvp",20,(1-Summary!$B$11)*(20)+Summary!$B$11*(0))*IF(AND(Inputs!$B$39&lt;&gt;"pvp",Inputs!$B$44&gt;0),(((R927-1)*MIN((Skills!T14*(1+Inputs!$B$35/100)),(1/Q927))+MIN((Skills!T14*(1+Inputs!$B$35/100)),MAX(0,Inputs!$B$44-((R927-1)*(1/Q927)))))/Inputs!$B$44),IF(Inputs!$B$39="pvp",MIN((Skills!T14*(1+Inputs!$B$35/100)),15)/15,MIN(1,(Skills!T14*(1+Inputs!$B$35/100))/(1/Q927)))))+((C926=TRUE)*IF(Inputs!$B$3&gt;=82,IF(Inputs!$B$39="pvp",20,(1-Summary!$B$11)*(20)+Summary!$B$11*(0)),0)*IF(AND(Inputs!$B$39&lt;&gt;"pvp",Inputs!$B$44&gt;0),(((R926-1)*MIN((Skills!T13*(1+Inputs!$B$35/100)),(1/Q926))+MIN((Skills!T13*(1+Inputs!$B$35/100)),MAX(0,Inputs!$B$44-((R926-1)*(1/Q926)))))/Inputs!$B$44),IF(Inputs!$B$39="pvp",MIN((Skills!T13*(1+Inputs!$B$35/100)),15)/15,MIN(1,(Skills!T13*(1+Inputs!$B$35/100))/(1/Q926)))))+(IF(AND(ArtifactsInput!$M$35,Inputs!$B$4&lt;&gt;"Chapter Hunt"),CHOOSE(ArtifactsInput!$N$35+1,15,18,21,24,27,30)*(1-EXP(-(0.2*B944)*5)),0)+IF(AND(ArtifactsInput!$M$22,Inputs!$B$4&lt;&gt;"Chapter Hunt"),CHOOSE(ArtifactsInput!$N$22+1,10,12,14,16,18,20)*((0*(((0.15*B944*5))^0/1)+1*(((0.15*B944*5))^1/1)+2*(((0.15*B944*5))^2/2)+3*(((0.15*B944*5))^3/6)+4*(((0.15*B944*5))^4/24)+5*(((0.15*B944*5))^5/120))/((((0.15*B944*5))^0/1)+(((0.15*B944*5))^1/1)+(((0.15*B944*5))^2/2)+(((0.15*B944*5))^3/6)+(((0.15*B944*5))^4/24)+(((0.15*B944*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20">
      <c r="A920">
        <f>Skills!A7</f>
        <v/>
      </c>
      <c r="B920">
        <f>Skills!B7</f>
        <v/>
      </c>
      <c r="C920">
        <f>Inputs!$B$3&gt;=40</f>
        <v/>
      </c>
      <c r="D920">
        <f>IF(Skills!C7=1,60+Inputs!$B$26+Inputs!$B$30,IF(Skills!C7=2,90+Inputs!$B$27+Inputs!$B$30,IF(Skills!C7=3,120+(Inputs!$B$28+1)+Inputs!$B$30,MAX(0,(Inputs!$B$3-100)*3)+Inputs!$B$29+Inputs!$B$30)))</f>
        <v/>
      </c>
      <c r="E920">
        <f>INDEX(FactorTable!$B$2:$Y$301, MATCH(ROUND(MIN(300,MAX(1,D920)),0), FactorTable!$A$2:$A$301,0), Skills!M7+1)</f>
        <v/>
      </c>
      <c r="F920">
        <f>IF(Skills!N7=TRUE,(Skills!L7/10)*(E920/1000),Skills!L7/10)+Skills!O7</f>
        <v/>
      </c>
      <c r="G920">
        <f>Skills!G7*IF(Skills!H7&gt;0,INT(IF(Inputs!$B$39="pvp",MIN(Skills!I7,15),Skills!I7)/Skills!H7+0.000000001),1)</f>
        <v/>
      </c>
      <c r="H920">
        <f>1-(1-Skills!J7/100)^Skills!K7</f>
        <v/>
      </c>
      <c r="I920" t="inlineStr">
        <is>
          <t>1</t>
        </is>
      </c>
      <c r="J920">
        <f>((Inputs!$B$6*(1+Inputs!$B$7/100))+(((Inputs!$B$13*(1+Inputs!$B$14/100))-(Inputs!$B$13*(1+Inputs!$B$14/100)))+0.25*(Inputs!$B$15-Inputs!$B$15))*(1+Inputs!$B$7/100))*(F920/100)</f>
        <v/>
      </c>
      <c r="K920">
        <f>J920*(1+(((Inputs!$B$13+IF(Inputs!$B$3&gt;=38,(10*INDEX(FactorTable!$B$2:$Y$301, MATCH(ROUND(MIN(300,MAX(1,Inputs!$B$3)),0), FactorTable!$A$2:$A$301,0), 23)/1000)/100*(Inputs!$B$8*(1+Inputs!$B$9/100)),0))*(1+Inputs!$B$14/100))*0.01+Inputs!$B$15*0.0025)/100)*(1+Inputs!$B$16/100)*(1+Inputs!$B$17/100)*(5000/(6000+Inputs!$B$43*(1-(Inputs!$B$20+0)/100)))*(1+(Inputs!$B$25+((C938=TRUE)*(F938-Calc!F25))+((C939=TRUE)*(F939-Calc!F26))+B948)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924=TRUE,F924,0)/100)*(1+(IF(Skills!A7="DARK_IMPALE",Inputs!$B$18+0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gt;=100),MIN(100,((Inputs!$B$10+0+B942+(ArtifactsInput!$M$24-ArtifactsInput!$M$24)*CHOOSE(ArtifactsInput!$N$24+1,10,12,14,16,18,20)+IF(ArtifactsInput!$M$10,CHOOSE(ArtifactsInput!$N$10+1,15,18,21,24,27,30)*(IF(Inputs!$B$39="pvp",MIN(15,15)/15,IF(AND(Inputs!$B$39&lt;&gt;"pvp",Inputs!$B$44&gt;0),MIN(15,Inputs!$B$44)/(Inputs!$B$44),0))),0)))-100),0))*CHOOSE(ArtifactsInput!$N$42+1,0.6,0.72,0.84,0.96,1.08,1.2))),Inputs!$B$19+((C936=TRUE)*(F936-Calc!F23))+(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gt;=100),CHOOSE(ArtifactsInput!$N$42+1,40,48,56,64,72,80),0))))/100)*((1+(((C926=TRUE)*F926*IF(AND(Inputs!$B$39&lt;&gt;"pvp",Inputs!$B$44&gt;0),(((R926-1)*MIN((Skills!T13*(1+Inputs!$B$35/100)),(1/Q926))+MIN((Skills!T13*(1+Inputs!$B$35/100)),MAX(0,Inputs!$B$44-((R926-1)*(1/Q926)))))/Inputs!$B$44),IF(Inputs!$B$39="pvp",MIN((Skills!T13*(1+Inputs!$B$35/100)),15)/15,MIN(1,(Skills!T13*(1+Inputs!$B$35/100))/(1/Q926)))))+((C927=TRUE)*F927*IF(AND(Inputs!$B$39&lt;&gt;"pvp",Inputs!$B$44&gt;0),(((R927-1)*MIN((Skills!T14*(1+Inputs!$B$35/100)),(1/Q927))+MIN((Skills!T14*(1+Inputs!$B$35/100)),MAX(0,Inputs!$B$44-((R927-1)*(1/Q927)))))/Inputs!$B$44),IF(Inputs!$B$39="pvp",MIN((Skills!T14*(1+Inputs!$B$35/100)),15)/15,MIN(1,(Skills!T14*(1+Inputs!$B$35/100))/(1/Q927)))))+((C928=TRUE)*F928*IF(AND(Inputs!$B$39&lt;&gt;"pvp",Inputs!$B$44&gt;0),(((R928-1)*MIN((Skills!T15*(1+Inputs!$B$35/100)),(1/Q928))+MIN((Skills!T15*(1+Inputs!$B$35/100)),MAX(0,Inputs!$B$44-((R928-1)*(1/Q928)))))/Inputs!$B$44),IF(Inputs!$B$39="pvp",MIN((Skills!T15*(1+Inputs!$B$35/100)),15)/15,MIN(1,(Skills!T15*(1+Inputs!$B$35/100))/(1/Q928)))))+((C929=TRUE)*F929*IF(AND(Inputs!$B$39&lt;&gt;"pvp",Inputs!$B$44&gt;0),(((R929-1)*MIN((Skills!T16*(1+Inputs!$B$35/100)),(1/Q929))+MIN((Skills!T16*(1+Inputs!$B$35/100)),MAX(0,Inputs!$B$44-((R929-1)*(1/Q929)))))/Inputs!$B$44),IF(Inputs!$B$39="pvp",MIN((Skills!T16*(1+Inputs!$B$35/100)),15)/15,MIN(1,(Skills!T16*(1+Inputs!$B$35/100))/(1/Q929)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920)</f>
        <v/>
      </c>
      <c r="L920">
        <f>K920*(MIN(Inputs!$B$23+((C935=TRUE)*(F935-Calc!F22)),(Inputs!$B$24+((C937=TRUE)*(F937-Calc!F24))+(IF(ArtifactsInput!$M$15,CHOOSE(ArtifactsInput!$N$15+1,25,30,35,40,45,50)/100*(Inputs!$B$12-Inputs!$B$12),0))))/100+(Inputs!$B$24+((C937=TRUE)*(F937-Calc!F24))+(IF(ArtifactsInput!$M$15,CHOOSE(ArtifactsInput!$N$15+1,25,30,35,40,45,50)/100*(Inputs!$B$12-Inputs!$B$12),0)))/100)/2</f>
        <v/>
      </c>
      <c r="M920">
        <f>L920*(1+(Inputs!$B$11+0+B947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920">
        <f>L920*(1-MIN((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920*(MIN((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20">
        <f>(1-Summary!$B$11)*T920+Summary!$B$11*V920</f>
        <v/>
      </c>
      <c r="P920">
        <f>IF(B952=0,0,O920/B952)</f>
        <v/>
      </c>
      <c r="Q920">
        <f>IFERROR(1/IF(Inputs!$B$39="pvp",15,MAX(0.1,Skills!D7-IF(TRUE=TRUE,Inputs!$B$33,0))),0)</f>
        <v/>
      </c>
      <c r="R920">
        <f>IF(AND(Inputs!$B$39&lt;&gt;"pvp",Inputs!$B$44&gt;0),IF(MAX(0,Inputs!$B$44-B949)&lt;=0,0,(INT(MAX(0,Inputs!$B$44-B949)/IF(Inputs!$B$39="pvp",15,MAX(0.1,Skills!D7-IF(TRUE=TRUE,Inputs!$B$33,0))))+1)),0)</f>
        <v/>
      </c>
      <c r="S920">
        <f>IFERROR(O920/N920,0)</f>
        <v/>
      </c>
      <c r="T920">
        <f>IF(C920,(H920*N920*IF(AND(Inputs!$B$39&lt;&gt;"pvp",Inputs!$B$44&gt;0),((Skills!G7*((R920-1)*IF(Skills!H7&gt;0,INT(Skills!I7/Skills!H7+0.000000001),1)+IF(Skills!H7&gt;0,INT(MIN(Skills!I7,MAX(0,MAX(0,Inputs!$B$44-B949)-((R920-1)*IF(Inputs!$B$39="pvp",15,MAX(0.1,Skills!D7-IF(TRUE=TRUE,Inputs!$B$33,0))))))/Skills!H7+0.000000001),1)))/Inputs!$B$44),G920*Q920))*IF(Inputs!$B$39="pvp",1,1+(Inputs!$B$21+0+Skills!P7+((C930=TRUE)*F930*IF(AND(Inputs!$B$39&lt;&gt;"pvp",Inputs!$B$44&gt;0),(((R930-1)*MIN((Skills!T17*(1+Inputs!$B$35/100)),(1/Q930))+MIN((Skills!T17*(1+Inputs!$B$35/100)),MAX(0,Inputs!$B$44-((R930-1)*(1/Q930)))))/Inputs!$B$44),IF(Inputs!$B$39="pvp",MIN((Skills!T17*(1+Inputs!$B$35/100)),15)/15,MIN(1,(Skills!T17*(1+Inputs!$B$35/100))/(1/Q930)))))+((C918=TRUE)*IF(Inputs!$B$3&gt;=126,10*MIN(1,15*Q918),0))+((C927=TRUE)*IF(Inputs!$B$39="pvp",20,(1-Summary!$B$11)*(20)+Summary!$B$11*(0))*IF(AND(Inputs!$B$39&lt;&gt;"pvp",Inputs!$B$44&gt;0),(((R927-1)*MIN((Skills!T14*(1+Inputs!$B$35/100)),(1/Q927))+MIN((Skills!T14*(1+Inputs!$B$35/100)),MAX(0,Inputs!$B$44-((R927-1)*(1/Q927)))))/Inputs!$B$44),IF(Inputs!$B$39="pvp",MIN((Skills!T14*(1+Inputs!$B$35/100)),15)/15,MIN(1,(Skills!T14*(1+Inputs!$B$35/100))/(1/Q927)))))+((C926=TRUE)*IF(Inputs!$B$3&gt;=82,IF(Inputs!$B$39="pvp",20,(1-Summary!$B$11)*(20)+Summary!$B$11*(0)),0)*IF(AND(Inputs!$B$39&lt;&gt;"pvp",Inputs!$B$44&gt;0),(((R926-1)*MIN((Skills!T13*(1+Inputs!$B$35/100)),(1/Q926))+MIN((Skills!T13*(1+Inputs!$B$35/100)),MAX(0,Inputs!$B$44-((R926-1)*(1/Q926)))))/Inputs!$B$44),IF(Inputs!$B$39="pvp",MIN((Skills!T13*(1+Inputs!$B$35/100)),15)/15,MIN(1,(Skills!T13*(1+Inputs!$B$35/100))/(1/Q926)))))+(IF(AND(ArtifactsInput!$M$35,Inputs!$B$4&lt;&gt;"Chapter Hunt"),CHOOSE(ArtifactsInput!$N$35+1,15,18,21,24,27,30)*(1-EXP(-(0.2*B944)*5)),0)+IF(AND(ArtifactsInput!$M$22,Inputs!$B$4&lt;&gt;"Chapter Hunt"),CHOOSE(ArtifactsInput!$N$22+1,10,12,14,16,18,20)*((0*(((0.15*B944*5))^0/1)+1*(((0.15*B944*5))^1/1)+2*(((0.15*B944*5))^2/2)+3*(((0.15*B944*5))^3/6)+4*(((0.15*B944*5))^4/24)+5*(((0.15*B944*5))^5/120))/((((0.15*B944*5))^0/1)+(((0.15*B944*5))^1/1)+(((0.15*B944*5))^2/2)+(((0.15*B944*5))^3/6)+(((0.15*B944*5))^4/24)+(((0.15*B944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920*(1-MIN(100,(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920*(MIN(100,(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920*(1-MIN(100,(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920*(MIN(100,(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20">
        <f>IF(C920,(H920*N920*IF(AND(Inputs!$B$39&lt;&gt;"pvp",Inputs!$B$44&gt;0),((Skills!G7*((R920-1)*IF(Skills!H7&gt;0,INT(Skills!I7/Skills!H7+0.000000001),1)+IF(Skills!H7&gt;0,INT(MIN(Skills!I7,MAX(0,MAX(0,Inputs!$B$44-B949)-((R920-1)*IF(Inputs!$B$39="pvp",15,MAX(0.1,Skills!D7-IF(TRUE=TRUE,Inputs!$B$33,0))))))/Skills!H7+0.000000001),1)))/Inputs!$B$44),G920*Q920))*IF(Inputs!$B$39="pvp",1,(1+(Inputs!$B$22+Skills!Q7+((C930=TRUE)*F930*IF(AND(Inputs!$B$39&lt;&gt;"pvp",Inputs!$B$44&gt;0),(((R930-1)*MIN((Skills!T17*(1+Inputs!$B$35/100)),(1/Q930))+MIN((Skills!T17*(1+Inputs!$B$35/100)),MAX(0,Inputs!$B$44-((R930-1)*(1/Q930)))))/Inputs!$B$44),IF(Inputs!$B$39="pvp",MIN((Skills!T17*(1+Inputs!$B$35/100)),15)/15,MIN(1,(Skills!T17*(1+Inputs!$B$35/100))/(1/Q930)))))+((C918=TRUE)*IF(Inputs!$B$3&gt;=126,10*MIN(1,15*Q918),0))+((C927=TRUE)*IF(Inputs!$B$39="pvp",20,(1-Summary!$B$11)*(20)+Summary!$B$11*(0))*IF(AND(Inputs!$B$39&lt;&gt;"pvp",Inputs!$B$44&gt;0),(((R927-1)*MIN((Skills!T14*(1+Inputs!$B$35/100)),(1/Q927))+MIN((Skills!T14*(1+Inputs!$B$35/100)),MAX(0,Inputs!$B$44-((R927-1)*(1/Q927)))))/Inputs!$B$44),IF(Inputs!$B$39="pvp",MIN((Skills!T14*(1+Inputs!$B$35/100)),15)/15,MIN(1,(Skills!T14*(1+Inputs!$B$35/100))/(1/Q927)))))+((C926=TRUE)*IF(Inputs!$B$3&gt;=82,IF(Inputs!$B$39="pvp",20,(1-Summary!$B$11)*(20)+Summary!$B$11*(0)),0)*IF(AND(Inputs!$B$39&lt;&gt;"pvp",Inputs!$B$44&gt;0),(((R926-1)*MIN((Skills!T13*(1+Inputs!$B$35/100)),(1/Q926))+MIN((Skills!T13*(1+Inputs!$B$35/100)),MAX(0,Inputs!$B$44-((R926-1)*(1/Q926)))))/Inputs!$B$44),IF(Inputs!$B$39="pvp",MIN((Skills!T13*(1+Inputs!$B$35/100)),15)/15,MIN(1,(Skills!T13*(1+Inputs!$B$35/100))/(1/Q926)))))+(IF(AND(ArtifactsInput!$M$35,Inputs!$B$4&lt;&gt;"Chapter Hunt"),CHOOSE(ArtifactsInput!$N$35+1,15,18,21,24,27,30)*(1-EXP(-(0.2*B944)*5)),0)+IF(AND(ArtifactsInput!$M$22,Inputs!$B$4&lt;&gt;"Chapter Hunt"),CHOOSE(ArtifactsInput!$N$22+1,10,12,14,16,18,20)*((0*(((0.15*B944*5))^0/1)+1*(((0.15*B944*5))^1/1)+2*(((0.15*B944*5))^2/2)+3*(((0.15*B944*5))^3/6)+4*(((0.15*B944*5))^4/24)+5*(((0.15*B944*5))^5/120))/((((0.15*B944*5))^0/1)+(((0.15*B944*5))^1/1)+(((0.15*B944*5))^2/2)+(((0.15*B944*5))^3/6)+(((0.15*B944*5))^4/24)+(((0.15*B944*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21">
      <c r="A921">
        <f>Skills!A8</f>
        <v/>
      </c>
      <c r="B921">
        <f>Skills!B8</f>
        <v/>
      </c>
      <c r="C921">
        <f>Inputs!$B$3&gt;=75</f>
        <v/>
      </c>
      <c r="D921">
        <f>IF(Skills!C8=1,60+Inputs!$B$26+Inputs!$B$30,IF(Skills!C8=2,90+Inputs!$B$27+Inputs!$B$30,IF(Skills!C8=3,120+(Inputs!$B$28+1)+Inputs!$B$30,MAX(0,(Inputs!$B$3-100)*3)+Inputs!$B$29+Inputs!$B$30)))</f>
        <v/>
      </c>
      <c r="E921">
        <f>INDEX(FactorTable!$B$2:$Y$301, MATCH(ROUND(MIN(300,MAX(1,D921)),0), FactorTable!$A$2:$A$301,0), Skills!M8+1)</f>
        <v/>
      </c>
      <c r="F921">
        <f>IF(Skills!N8=TRUE,(Skills!L8/10)*(E921/1000),Skills!L8/10)+Skills!O8</f>
        <v/>
      </c>
      <c r="G921" t="inlineStr"/>
      <c r="H921" t="inlineStr"/>
      <c r="I921" t="inlineStr">
        <is>
          <t>1</t>
        </is>
      </c>
      <c r="J921" t="inlineStr"/>
      <c r="K921" t="inlineStr"/>
      <c r="L921" t="inlineStr"/>
      <c r="M921" t="inlineStr"/>
      <c r="N921" t="inlineStr"/>
      <c r="O921" t="inlineStr"/>
      <c r="P921" t="inlineStr"/>
      <c r="Q921" t="inlineStr"/>
      <c r="R921" t="inlineStr"/>
      <c r="S921" t="inlineStr"/>
    </row>
    <row r="922">
      <c r="A922">
        <f>Skills!A9</f>
        <v/>
      </c>
      <c r="B922">
        <f>Skills!B9</f>
        <v/>
      </c>
      <c r="C922">
        <f>Inputs!$B$3&gt;=60</f>
        <v/>
      </c>
      <c r="D922">
        <f>IF(Skills!C9=1,60+Inputs!$B$26+Inputs!$B$30,IF(Skills!C9=2,90+Inputs!$B$27+Inputs!$B$30,IF(Skills!C9=3,120+(Inputs!$B$28+1)+Inputs!$B$30,MAX(0,(Inputs!$B$3-100)*3)+Inputs!$B$29+Inputs!$B$30)))</f>
        <v/>
      </c>
      <c r="E922">
        <f>INDEX(FactorTable!$B$2:$Y$301, MATCH(ROUND(MIN(300,MAX(1,D922)),0), FactorTable!$A$2:$A$301,0), Skills!M9+1)</f>
        <v/>
      </c>
      <c r="F922">
        <f>IF(Skills!N9=TRUE,(Skills!L9/10)*(E922/1000),Skills!L9/10)+Skills!O9</f>
        <v/>
      </c>
      <c r="G922">
        <f>Skills!G9*IF(Skills!H9&gt;0,INT(IF(Inputs!$B$39="pvp",MIN(Skills!I9,15),Skills!I9)/Skills!H9+0.000000001),1)</f>
        <v/>
      </c>
      <c r="H922">
        <f>1-(1-Skills!J9/100)^Skills!K9</f>
        <v/>
      </c>
      <c r="I922" t="inlineStr">
        <is>
          <t>1</t>
        </is>
      </c>
      <c r="J922">
        <f>((Inputs!$B$6*(1+Inputs!$B$7/100))+(((Inputs!$B$13*(1+Inputs!$B$14/100))-(Inputs!$B$13*(1+Inputs!$B$14/100)))+0.25*(Inputs!$B$15-Inputs!$B$15))*(1+Inputs!$B$7/100))*(F922/100)</f>
        <v/>
      </c>
      <c r="K922">
        <f>J922*(1+(((Inputs!$B$13+IF(Inputs!$B$3&gt;=38,(10*INDEX(FactorTable!$B$2:$Y$301, MATCH(ROUND(MIN(300,MAX(1,Inputs!$B$3)),0), FactorTable!$A$2:$A$301,0), 23)/1000)/100*(Inputs!$B$8*(1+Inputs!$B$9/100)),0))*(1+Inputs!$B$14/100))*0.01+Inputs!$B$15*0.0025)/100)*(1+Inputs!$B$16/100)*(1+Inputs!$B$17/100)*(5000/(6000+Inputs!$B$43*(1-(Inputs!$B$20+0)/100)))*(1+(Inputs!$B$25+((C938=TRUE)*(F938-Calc!F25))+((C939=TRUE)*(F939-Calc!F26))+B948)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924=TRUE,F924,0)/100)*(1+(IF(Skills!A9="DARK_IMPALE",Inputs!$B$18+0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gt;=100),MIN(100,((Inputs!$B$10+0+B942+(ArtifactsInput!$M$24-ArtifactsInput!$M$24)*CHOOSE(ArtifactsInput!$N$24+1,10,12,14,16,18,20)+IF(ArtifactsInput!$M$10,CHOOSE(ArtifactsInput!$N$10+1,15,18,21,24,27,30)*(IF(Inputs!$B$39="pvp",MIN(15,15)/15,IF(AND(Inputs!$B$39&lt;&gt;"pvp",Inputs!$B$44&gt;0),MIN(15,Inputs!$B$44)/(Inputs!$B$44),0))),0)))-100),0))*CHOOSE(ArtifactsInput!$N$42+1,0.6,0.72,0.84,0.96,1.08,1.2))),Inputs!$B$19+((C936=TRUE)*(F936-Calc!F23))+(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gt;=100),CHOOSE(ArtifactsInput!$N$42+1,40,48,56,64,72,80),0))))/100)*((1+(((C926=TRUE)*F926*IF(AND(Inputs!$B$39&lt;&gt;"pvp",Inputs!$B$44&gt;0),(((R926-1)*MIN((Skills!T13*(1+Inputs!$B$35/100)),(1/Q926))+MIN((Skills!T13*(1+Inputs!$B$35/100)),MAX(0,Inputs!$B$44-((R926-1)*(1/Q926)))))/Inputs!$B$44),IF(Inputs!$B$39="pvp",MIN((Skills!T13*(1+Inputs!$B$35/100)),15)/15,MIN(1,(Skills!T13*(1+Inputs!$B$35/100))/(1/Q926)))))+((C927=TRUE)*F927*IF(AND(Inputs!$B$39&lt;&gt;"pvp",Inputs!$B$44&gt;0),(((R927-1)*MIN((Skills!T14*(1+Inputs!$B$35/100)),(1/Q927))+MIN((Skills!T14*(1+Inputs!$B$35/100)),MAX(0,Inputs!$B$44-((R927-1)*(1/Q927)))))/Inputs!$B$44),IF(Inputs!$B$39="pvp",MIN((Skills!T14*(1+Inputs!$B$35/100)),15)/15,MIN(1,(Skills!T14*(1+Inputs!$B$35/100))/(1/Q927)))))+((C928=TRUE)*F928*IF(AND(Inputs!$B$39&lt;&gt;"pvp",Inputs!$B$44&gt;0),(((R928-1)*MIN((Skills!T15*(1+Inputs!$B$35/100)),(1/Q928))+MIN((Skills!T15*(1+Inputs!$B$35/100)),MAX(0,Inputs!$B$44-((R928-1)*(1/Q928)))))/Inputs!$B$44),IF(Inputs!$B$39="pvp",MIN((Skills!T15*(1+Inputs!$B$35/100)),15)/15,MIN(1,(Skills!T15*(1+Inputs!$B$35/100))/(1/Q928)))))+((C929=TRUE)*F929*IF(AND(Inputs!$B$39&lt;&gt;"pvp",Inputs!$B$44&gt;0),(((R929-1)*MIN((Skills!T16*(1+Inputs!$B$35/100)),(1/Q929))+MIN((Skills!T16*(1+Inputs!$B$35/100)),MAX(0,Inputs!$B$44-((R929-1)*(1/Q929)))))/Inputs!$B$44),IF(Inputs!$B$39="pvp",MIN((Skills!T16*(1+Inputs!$B$35/100)),15)/15,MIN(1,(Skills!T16*(1+Inputs!$B$35/100))/(1/Q929)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922)</f>
        <v/>
      </c>
      <c r="L922">
        <f>K922*(MIN(Inputs!$B$23+((C935=TRUE)*(F935-Calc!F22)),(Inputs!$B$24+((C937=TRUE)*(F937-Calc!F24))+(IF(ArtifactsInput!$M$15,CHOOSE(ArtifactsInput!$N$15+1,25,30,35,40,45,50)/100*(Inputs!$B$12-Inputs!$B$12),0))))/100+(Inputs!$B$24+((C937=TRUE)*(F937-Calc!F24))+(IF(ArtifactsInput!$M$15,CHOOSE(ArtifactsInput!$N$15+1,25,30,35,40,45,50)/100*(Inputs!$B$12-Inputs!$B$12),0)))/100)/2</f>
        <v/>
      </c>
      <c r="M922">
        <f>L922*(1+(Inputs!$B$11+0+B947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922">
        <f>L922*(1-MIN((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922*(MIN((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22">
        <f>(1-Summary!$B$11)*T922+Summary!$B$11*V922</f>
        <v/>
      </c>
      <c r="P922">
        <f>IF(B952=0,0,O922/B952)</f>
        <v/>
      </c>
      <c r="Q922">
        <f>IFERROR(1/IF(Inputs!$B$39="pvp",15,MAX(0.1,Skills!D9-IF(TRUE=TRUE,Inputs!$B$33,0))),0)</f>
        <v/>
      </c>
      <c r="R922">
        <f>IF(AND(Inputs!$B$39&lt;&gt;"pvp",Inputs!$B$44&gt;0),IF(MAX(0,Inputs!$B$44-B949)&lt;=0,0,(INT(MAX(0,Inputs!$B$44-B949)/IF(Inputs!$B$39="pvp",15,MAX(0.1,Skills!D9-IF(TRUE=TRUE,Inputs!$B$33,0))))+1)),0)</f>
        <v/>
      </c>
      <c r="S922">
        <f>IFERROR(O922/N922,0)</f>
        <v/>
      </c>
      <c r="T922">
        <f>IF(C922,(H922*N922*IF(AND(Inputs!$B$39&lt;&gt;"pvp",Inputs!$B$44&gt;0),((Skills!G9*((R922-1)*IF(Skills!H9&gt;0,INT(Skills!I9/Skills!H9+0.000000001),1)+IF(Skills!H9&gt;0,INT(MIN(Skills!I9,MAX(0,MAX(0,Inputs!$B$44-B949)-((R922-1)*IF(Inputs!$B$39="pvp",15,MAX(0.1,Skills!D9-IF(TRUE=TRUE,Inputs!$B$33,0))))))/Skills!H9+0.000000001),1)))/Inputs!$B$44),G922*Q922))*IF(Inputs!$B$39="pvp",1,1+(Inputs!$B$21+0+Skills!P9+((C930=TRUE)*F930*IF(AND(Inputs!$B$39&lt;&gt;"pvp",Inputs!$B$44&gt;0),(((R930-1)*MIN((Skills!T17*(1+Inputs!$B$35/100)),(1/Q930))+MIN((Skills!T17*(1+Inputs!$B$35/100)),MAX(0,Inputs!$B$44-((R930-1)*(1/Q930)))))/Inputs!$B$44),IF(Inputs!$B$39="pvp",MIN((Skills!T17*(1+Inputs!$B$35/100)),15)/15,MIN(1,(Skills!T17*(1+Inputs!$B$35/100))/(1/Q930)))))+((C918=TRUE)*IF(Inputs!$B$3&gt;=126,10*MIN(1,15*Q918),0))+((C927=TRUE)*IF(Inputs!$B$39="pvp",20,(1-Summary!$B$11)*(20)+Summary!$B$11*(0))*IF(AND(Inputs!$B$39&lt;&gt;"pvp",Inputs!$B$44&gt;0),(((R927-1)*MIN((Skills!T14*(1+Inputs!$B$35/100)),(1/Q927))+MIN((Skills!T14*(1+Inputs!$B$35/100)),MAX(0,Inputs!$B$44-((R927-1)*(1/Q927)))))/Inputs!$B$44),IF(Inputs!$B$39="pvp",MIN((Skills!T14*(1+Inputs!$B$35/100)),15)/15,MIN(1,(Skills!T14*(1+Inputs!$B$35/100))/(1/Q927)))))+((C926=TRUE)*IF(Inputs!$B$3&gt;=82,IF(Inputs!$B$39="pvp",20,(1-Summary!$B$11)*(20)+Summary!$B$11*(0)),0)*IF(AND(Inputs!$B$39&lt;&gt;"pvp",Inputs!$B$44&gt;0),(((R926-1)*MIN((Skills!T13*(1+Inputs!$B$35/100)),(1/Q926))+MIN((Skills!T13*(1+Inputs!$B$35/100)),MAX(0,Inputs!$B$44-((R926-1)*(1/Q926)))))/Inputs!$B$44),IF(Inputs!$B$39="pvp",MIN((Skills!T13*(1+Inputs!$B$35/100)),15)/15,MIN(1,(Skills!T13*(1+Inputs!$B$35/100))/(1/Q926)))))+(IF(AND(ArtifactsInput!$M$35,Inputs!$B$4&lt;&gt;"Chapter Hunt"),CHOOSE(ArtifactsInput!$N$35+1,15,18,21,24,27,30)*(1-EXP(-(0.2*B944)*5)),0)+IF(AND(ArtifactsInput!$M$22,Inputs!$B$4&lt;&gt;"Chapter Hunt"),CHOOSE(ArtifactsInput!$N$22+1,10,12,14,16,18,20)*((0*(((0.15*B944*5))^0/1)+1*(((0.15*B944*5))^1/1)+2*(((0.15*B944*5))^2/2)+3*(((0.15*B944*5))^3/6)+4*(((0.15*B944*5))^4/24)+5*(((0.15*B944*5))^5/120))/((((0.15*B944*5))^0/1)+(((0.15*B944*5))^1/1)+(((0.15*B944*5))^2/2)+(((0.15*B944*5))^3/6)+(((0.15*B944*5))^4/24)+(((0.15*B944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922*(1-MIN(100,(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922*(MIN(100,(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922*(1-MIN(100,(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922*(MIN(100,(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22">
        <f>IF(C922,(H922*N922*IF(AND(Inputs!$B$39&lt;&gt;"pvp",Inputs!$B$44&gt;0),((Skills!G9*((R922-1)*IF(Skills!H9&gt;0,INT(Skills!I9/Skills!H9+0.000000001),1)+IF(Skills!H9&gt;0,INT(MIN(Skills!I9,MAX(0,MAX(0,Inputs!$B$44-B949)-((R922-1)*IF(Inputs!$B$39="pvp",15,MAX(0.1,Skills!D9-IF(TRUE=TRUE,Inputs!$B$33,0))))))/Skills!H9+0.000000001),1)))/Inputs!$B$44),G922*Q922))*IF(Inputs!$B$39="pvp",1,(1+(Inputs!$B$22+Skills!Q9+((C930=TRUE)*F930*IF(AND(Inputs!$B$39&lt;&gt;"pvp",Inputs!$B$44&gt;0),(((R930-1)*MIN((Skills!T17*(1+Inputs!$B$35/100)),(1/Q930))+MIN((Skills!T17*(1+Inputs!$B$35/100)),MAX(0,Inputs!$B$44-((R930-1)*(1/Q930)))))/Inputs!$B$44),IF(Inputs!$B$39="pvp",MIN((Skills!T17*(1+Inputs!$B$35/100)),15)/15,MIN(1,(Skills!T17*(1+Inputs!$B$35/100))/(1/Q930)))))+((C918=TRUE)*IF(Inputs!$B$3&gt;=126,10*MIN(1,15*Q918),0))+((C927=TRUE)*IF(Inputs!$B$39="pvp",20,(1-Summary!$B$11)*(20)+Summary!$B$11*(0))*IF(AND(Inputs!$B$39&lt;&gt;"pvp",Inputs!$B$44&gt;0),(((R927-1)*MIN((Skills!T14*(1+Inputs!$B$35/100)),(1/Q927))+MIN((Skills!T14*(1+Inputs!$B$35/100)),MAX(0,Inputs!$B$44-((R927-1)*(1/Q927)))))/Inputs!$B$44),IF(Inputs!$B$39="pvp",MIN((Skills!T14*(1+Inputs!$B$35/100)),15)/15,MIN(1,(Skills!T14*(1+Inputs!$B$35/100))/(1/Q927)))))+((C926=TRUE)*IF(Inputs!$B$3&gt;=82,IF(Inputs!$B$39="pvp",20,(1-Summary!$B$11)*(20)+Summary!$B$11*(0)),0)*IF(AND(Inputs!$B$39&lt;&gt;"pvp",Inputs!$B$44&gt;0),(((R926-1)*MIN((Skills!T13*(1+Inputs!$B$35/100)),(1/Q926))+MIN((Skills!T13*(1+Inputs!$B$35/100)),MAX(0,Inputs!$B$44-((R926-1)*(1/Q926)))))/Inputs!$B$44),IF(Inputs!$B$39="pvp",MIN((Skills!T13*(1+Inputs!$B$35/100)),15)/15,MIN(1,(Skills!T13*(1+Inputs!$B$35/100))/(1/Q926)))))+(IF(AND(ArtifactsInput!$M$35,Inputs!$B$4&lt;&gt;"Chapter Hunt"),CHOOSE(ArtifactsInput!$N$35+1,15,18,21,24,27,30)*(1-EXP(-(0.2*B944)*5)),0)+IF(AND(ArtifactsInput!$M$22,Inputs!$B$4&lt;&gt;"Chapter Hunt"),CHOOSE(ArtifactsInput!$N$22+1,10,12,14,16,18,20)*((0*(((0.15*B944*5))^0/1)+1*(((0.15*B944*5))^1/1)+2*(((0.15*B944*5))^2/2)+3*(((0.15*B944*5))^3/6)+4*(((0.15*B944*5))^4/24)+5*(((0.15*B944*5))^5/120))/((((0.15*B944*5))^0/1)+(((0.15*B944*5))^1/1)+(((0.15*B944*5))^2/2)+(((0.15*B944*5))^3/6)+(((0.15*B944*5))^4/24)+(((0.15*B944*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23">
      <c r="A923">
        <f>Skills!A10</f>
        <v/>
      </c>
      <c r="B923">
        <f>Skills!B10</f>
        <v/>
      </c>
      <c r="C923">
        <f>Inputs!$B$3&gt;=110</f>
        <v/>
      </c>
      <c r="D923">
        <f>IF(Skills!C10=1,60+Inputs!$B$26+Inputs!$B$30,IF(Skills!C10=2,90+Inputs!$B$27+Inputs!$B$30,IF(Skills!C10=3,120+(Inputs!$B$28+1)+Inputs!$B$30,MAX(0,(Inputs!$B$3-100)*3)+Inputs!$B$29+Inputs!$B$30)))</f>
        <v/>
      </c>
      <c r="E923">
        <f>INDEX(FactorTable!$B$2:$Y$301, MATCH(ROUND(MIN(300,MAX(1,D923)),0), FactorTable!$A$2:$A$301,0), Skills!M10+1)</f>
        <v/>
      </c>
      <c r="F923">
        <f>IF(Skills!N10=TRUE,(Skills!L10/10)*(E923/1000),Skills!L10/10)+Skills!O10</f>
        <v/>
      </c>
      <c r="G923">
        <f>Skills!G10*IF(Skills!H10&gt;0,INT(IF(Inputs!$B$39="pvp",MIN(Skills!I10,15),Skills!I10)/Skills!H10+0.000000001),1)</f>
        <v/>
      </c>
      <c r="H923">
        <f>1-(1-Skills!J10/100)^Skills!K10</f>
        <v/>
      </c>
      <c r="I923" t="inlineStr">
        <is>
          <t>1</t>
        </is>
      </c>
      <c r="J923">
        <f>((Inputs!$B$6*(1+Inputs!$B$7/100))+(((Inputs!$B$13*(1+Inputs!$B$14/100))-(Inputs!$B$13*(1+Inputs!$B$14/100)))+0.25*(Inputs!$B$15-Inputs!$B$15))*(1+Inputs!$B$7/100))*(F923/100)</f>
        <v/>
      </c>
      <c r="K923">
        <f>J923*(1+(((Inputs!$B$13+IF(Inputs!$B$3&gt;=38,(10*INDEX(FactorTable!$B$2:$Y$301, MATCH(ROUND(MIN(300,MAX(1,Inputs!$B$3)),0), FactorTable!$A$2:$A$301,0), 23)/1000)/100*(Inputs!$B$8*(1+Inputs!$B$9/100)),0))*(1+Inputs!$B$14/100))*0.01+Inputs!$B$15*0.0025)/100)*(1+Inputs!$B$16/100)*(1+Inputs!$B$17/100)*(5000/(6000+Inputs!$B$43*(1-(Inputs!$B$20+0)/100)))*(1+(Inputs!$B$25+((C938=TRUE)*(F938-Calc!F25))+((C939=TRUE)*(F939-Calc!F26))+B948)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gt;=100),MIN(100,((Inputs!$B$10+0+B942+(ArtifactsInput!$M$24-ArtifactsInput!$M$24)*CHOOSE(ArtifactsInput!$N$24+1,10,12,14,16,18,20)+IF(ArtifactsInput!$M$10,CHOOSE(ArtifactsInput!$N$10+1,15,18,21,24,27,30)*(IF(Inputs!$B$39="pvp",MIN(15,15)/15,IF(AND(Inputs!$B$39&lt;&gt;"pvp",Inputs!$B$44&gt;0),MIN(15,Inputs!$B$44)/(Inputs!$B$44),0))),0)))-100),0))*CHOOSE(ArtifactsInput!$N$42+1,0.6,0.72,0.84,0.96,1.08,1.2))),Inputs!$B$19+((C936=TRUE)*(F936-Calc!F23))+(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gt;=100),CHOOSE(ArtifactsInput!$N$42+1,40,48,56,64,72,80),0))))/100)*((1+(((C926=TRUE)*F926*IF(AND(Inputs!$B$39&lt;&gt;"pvp",Inputs!$B$44&gt;0),(((R926-1)*MIN((Skills!T13*(1+Inputs!$B$35/100)),(1/Q926))+MIN((Skills!T13*(1+Inputs!$B$35/100)),MAX(0,Inputs!$B$44-((R926-1)*(1/Q926)))))/Inputs!$B$44),IF(Inputs!$B$39="pvp",MIN((Skills!T13*(1+Inputs!$B$35/100)),15)/15,MIN(1,(Skills!T13*(1+Inputs!$B$35/100))/(1/Q926)))))+((C927=TRUE)*F927*IF(AND(Inputs!$B$39&lt;&gt;"pvp",Inputs!$B$44&gt;0),(((R927-1)*MIN((Skills!T14*(1+Inputs!$B$35/100)),(1/Q927))+MIN((Skills!T14*(1+Inputs!$B$35/100)),MAX(0,Inputs!$B$44-((R927-1)*(1/Q927)))))/Inputs!$B$44),IF(Inputs!$B$39="pvp",MIN((Skills!T14*(1+Inputs!$B$35/100)),15)/15,MIN(1,(Skills!T14*(1+Inputs!$B$35/100))/(1/Q927)))))+((C928=TRUE)*F928*IF(AND(Inputs!$B$39&lt;&gt;"pvp",Inputs!$B$44&gt;0),(((R928-1)*MIN((Skills!T15*(1+Inputs!$B$35/100)),(1/Q928))+MIN((Skills!T15*(1+Inputs!$B$35/100)),MAX(0,Inputs!$B$44-((R928-1)*(1/Q928)))))/Inputs!$B$44),IF(Inputs!$B$39="pvp",MIN((Skills!T15*(1+Inputs!$B$35/100)),15)/15,MIN(1,(Skills!T15*(1+Inputs!$B$35/100))/(1/Q928)))))+((C929=TRUE)*F929*IF(AND(Inputs!$B$39&lt;&gt;"pvp",Inputs!$B$44&gt;0),(((R929-1)*MIN((Skills!T16*(1+Inputs!$B$35/100)),(1/Q929))+MIN((Skills!T16*(1+Inputs!$B$35/100)),MAX(0,Inputs!$B$44-((R929-1)*(1/Q929)))))/Inputs!$B$44),IF(Inputs!$B$39="pvp",MIN((Skills!T16*(1+Inputs!$B$35/100)),15)/15,MIN(1,(Skills!T16*(1+Inputs!$B$35/100))/(1/Q929)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923)</f>
        <v/>
      </c>
      <c r="L923">
        <f>K923*(MIN(Inputs!$B$23+((C935=TRUE)*(F935-Calc!F22)),(Inputs!$B$24+((C937=TRUE)*(F937-Calc!F24))+(IF(ArtifactsInput!$M$15,CHOOSE(ArtifactsInput!$N$15+1,25,30,35,40,45,50)/100*(Inputs!$B$12-Inputs!$B$12),0))))/100+(Inputs!$B$24+((C937=TRUE)*(F937-Calc!F24))+(IF(ArtifactsInput!$M$15,CHOOSE(ArtifactsInput!$N$15+1,25,30,35,40,45,50)/100*(Inputs!$B$12-Inputs!$B$12),0)))/100)/2</f>
        <v/>
      </c>
      <c r="M923">
        <f>L923*(1+(Inputs!$B$11+0+B947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923">
        <f>L923*(1-MIN((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923*(MIN((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23">
        <f>(1-Summary!$B$11)*T923+Summary!$B$11*V923</f>
        <v/>
      </c>
      <c r="P923">
        <f>IF(B952=0,0,O923/B952)</f>
        <v/>
      </c>
      <c r="Q923">
        <f>IFERROR(1/IF(Inputs!$B$39="pvp",15,MAX(0.1,Skills!D10-IF(TRUE=TRUE,Inputs!$B$33,0))),0)</f>
        <v/>
      </c>
      <c r="R923">
        <f>IF(AND(Inputs!$B$39&lt;&gt;"pvp",Inputs!$B$44&gt;0),IF(MAX(0,Inputs!$B$44-B949)&lt;=0,0,(INT(MAX(0,Inputs!$B$44-B949)/IF(Inputs!$B$39="pvp",15,MAX(0.1,Skills!D10-IF(TRUE=TRUE,Inputs!$B$33,0))))+1)),0)</f>
        <v/>
      </c>
      <c r="S923">
        <f>IFERROR(O923/N923,0)</f>
        <v/>
      </c>
      <c r="T923">
        <f>IF(C923,(H923*N923*IF(AND(Inputs!$B$39&lt;&gt;"pvp",Inputs!$B$44&gt;0),((Skills!G10*((R923-1)*IF(Skills!H10&gt;0,INT(Skills!I10/Skills!H10+0.000000001),1)+IF(Skills!H10&gt;0,INT(MIN(Skills!I10,MAX(0,MAX(0,Inputs!$B$44-B949)-((R923-1)*IF(Inputs!$B$39="pvp",15,MAX(0.1,Skills!D10-IF(TRUE=TRUE,Inputs!$B$33,0))))))/Skills!H10+0.000000001),1)))/Inputs!$B$44),G923*Q923))*IF(Inputs!$B$39="pvp",1,1+(Inputs!$B$21+0+Skills!P10+((C930=TRUE)*F930*IF(AND(Inputs!$B$39&lt;&gt;"pvp",Inputs!$B$44&gt;0),(((R930-1)*MIN((Skills!T17*(1+Inputs!$B$35/100)),(1/Q930))+MIN((Skills!T17*(1+Inputs!$B$35/100)),MAX(0,Inputs!$B$44-((R930-1)*(1/Q930)))))/Inputs!$B$44),IF(Inputs!$B$39="pvp",MIN((Skills!T17*(1+Inputs!$B$35/100)),15)/15,MIN(1,(Skills!T17*(1+Inputs!$B$35/100))/(1/Q930)))))+((C918=TRUE)*IF(Inputs!$B$3&gt;=126,10*MIN(1,15*Q918),0))+((C927=TRUE)*IF(Inputs!$B$39="pvp",20,(1-Summary!$B$11)*(20)+Summary!$B$11*(0))*IF(AND(Inputs!$B$39&lt;&gt;"pvp",Inputs!$B$44&gt;0),(((R927-1)*MIN((Skills!T14*(1+Inputs!$B$35/100)),(1/Q927))+MIN((Skills!T14*(1+Inputs!$B$35/100)),MAX(0,Inputs!$B$44-((R927-1)*(1/Q927)))))/Inputs!$B$44),IF(Inputs!$B$39="pvp",MIN((Skills!T14*(1+Inputs!$B$35/100)),15)/15,MIN(1,(Skills!T14*(1+Inputs!$B$35/100))/(1/Q927)))))+((C926=TRUE)*IF(Inputs!$B$3&gt;=82,IF(Inputs!$B$39="pvp",20,(1-Summary!$B$11)*(20)+Summary!$B$11*(0)),0)*IF(AND(Inputs!$B$39&lt;&gt;"pvp",Inputs!$B$44&gt;0),(((R926-1)*MIN((Skills!T13*(1+Inputs!$B$35/100)),(1/Q926))+MIN((Skills!T13*(1+Inputs!$B$35/100)),MAX(0,Inputs!$B$44-((R926-1)*(1/Q926)))))/Inputs!$B$44),IF(Inputs!$B$39="pvp",MIN((Skills!T13*(1+Inputs!$B$35/100)),15)/15,MIN(1,(Skills!T13*(1+Inputs!$B$35/100))/(1/Q926)))))+(IF(AND(ArtifactsInput!$M$35,Inputs!$B$4&lt;&gt;"Chapter Hunt"),CHOOSE(ArtifactsInput!$N$35+1,15,18,21,24,27,30)*(1-EXP(-(0.2*B944)*5)),0)+IF(AND(ArtifactsInput!$M$22,Inputs!$B$4&lt;&gt;"Chapter Hunt"),CHOOSE(ArtifactsInput!$N$22+1,10,12,14,16,18,20)*((0*(((0.15*B944*5))^0/1)+1*(((0.15*B944*5))^1/1)+2*(((0.15*B944*5))^2/2)+3*(((0.15*B944*5))^3/6)+4*(((0.15*B944*5))^4/24)+5*(((0.15*B944*5))^5/120))/((((0.15*B944*5))^0/1)+(((0.15*B944*5))^1/1)+(((0.15*B944*5))^2/2)+(((0.15*B944*5))^3/6)+(((0.15*B944*5))^4/24)+(((0.15*B944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923*(1-MIN(100,(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923*(MIN(100,(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923*(1-MIN(100,(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923*(MIN(100,(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23">
        <f>IF(C923,(H923*N923*IF(AND(Inputs!$B$39&lt;&gt;"pvp",Inputs!$B$44&gt;0),((Skills!G10*((R923-1)*IF(Skills!H10&gt;0,INT(Skills!I10/Skills!H10+0.000000001),1)+IF(Skills!H10&gt;0,INT(MIN(Skills!I10,MAX(0,MAX(0,Inputs!$B$44-B949)-((R923-1)*IF(Inputs!$B$39="pvp",15,MAX(0.1,Skills!D10-IF(TRUE=TRUE,Inputs!$B$33,0))))))/Skills!H10+0.000000001),1)))/Inputs!$B$44),G923*Q923))*IF(Inputs!$B$39="pvp",1,(1+(Inputs!$B$22+Skills!Q10+((C930=TRUE)*F930*IF(AND(Inputs!$B$39&lt;&gt;"pvp",Inputs!$B$44&gt;0),(((R930-1)*MIN((Skills!T17*(1+Inputs!$B$35/100)),(1/Q930))+MIN((Skills!T17*(1+Inputs!$B$35/100)),MAX(0,Inputs!$B$44-((R930-1)*(1/Q930)))))/Inputs!$B$44),IF(Inputs!$B$39="pvp",MIN((Skills!T17*(1+Inputs!$B$35/100)),15)/15,MIN(1,(Skills!T17*(1+Inputs!$B$35/100))/(1/Q930)))))+((C918=TRUE)*IF(Inputs!$B$3&gt;=126,10*MIN(1,15*Q918),0))+((C927=TRUE)*IF(Inputs!$B$39="pvp",20,(1-Summary!$B$11)*(20)+Summary!$B$11*(0))*IF(AND(Inputs!$B$39&lt;&gt;"pvp",Inputs!$B$44&gt;0),(((R927-1)*MIN((Skills!T14*(1+Inputs!$B$35/100)),(1/Q927))+MIN((Skills!T14*(1+Inputs!$B$35/100)),MAX(0,Inputs!$B$44-((R927-1)*(1/Q927)))))/Inputs!$B$44),IF(Inputs!$B$39="pvp",MIN((Skills!T14*(1+Inputs!$B$35/100)),15)/15,MIN(1,(Skills!T14*(1+Inputs!$B$35/100))/(1/Q927)))))+((C926=TRUE)*IF(Inputs!$B$3&gt;=82,IF(Inputs!$B$39="pvp",20,(1-Summary!$B$11)*(20)+Summary!$B$11*(0)),0)*IF(AND(Inputs!$B$39&lt;&gt;"pvp",Inputs!$B$44&gt;0),(((R926-1)*MIN((Skills!T13*(1+Inputs!$B$35/100)),(1/Q926))+MIN((Skills!T13*(1+Inputs!$B$35/100)),MAX(0,Inputs!$B$44-((R926-1)*(1/Q926)))))/Inputs!$B$44),IF(Inputs!$B$39="pvp",MIN((Skills!T13*(1+Inputs!$B$35/100)),15)/15,MIN(1,(Skills!T13*(1+Inputs!$B$35/100))/(1/Q926)))))+(IF(AND(ArtifactsInput!$M$35,Inputs!$B$4&lt;&gt;"Chapter Hunt"),CHOOSE(ArtifactsInput!$N$35+1,15,18,21,24,27,30)*(1-EXP(-(0.2*B944)*5)),0)+IF(AND(ArtifactsInput!$M$22,Inputs!$B$4&lt;&gt;"Chapter Hunt"),CHOOSE(ArtifactsInput!$N$22+1,10,12,14,16,18,20)*((0*(((0.15*B944*5))^0/1)+1*(((0.15*B944*5))^1/1)+2*(((0.15*B944*5))^2/2)+3*(((0.15*B944*5))^3/6)+4*(((0.15*B944*5))^4/24)+5*(((0.15*B944*5))^5/120))/((((0.15*B944*5))^0/1)+(((0.15*B944*5))^1/1)+(((0.15*B944*5))^2/2)+(((0.15*B944*5))^3/6)+(((0.15*B944*5))^4/24)+(((0.15*B944*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24">
      <c r="A924">
        <f>Skills!A11</f>
        <v/>
      </c>
      <c r="B924">
        <f>Skills!B11</f>
        <v/>
      </c>
      <c r="C924">
        <f>Inputs!$B$3&gt;=100</f>
        <v/>
      </c>
      <c r="D924">
        <f>IF(Skills!C11=1,60+Inputs!$B$26+Inputs!$B$30,IF(Skills!C11=2,90+Inputs!$B$27+Inputs!$B$30,IF(Skills!C11=3,120+(Inputs!$B$28+1)+Inputs!$B$30,MAX(0,(Inputs!$B$3-100)*3)+Inputs!$B$29+Inputs!$B$30)))</f>
        <v/>
      </c>
      <c r="E924">
        <f>INDEX(FactorTable!$B$2:$Y$301, MATCH(ROUND(MIN(300,MAX(1,D924)),0), FactorTable!$A$2:$A$301,0), Skills!M11+1)</f>
        <v/>
      </c>
      <c r="F924">
        <f>IF(Skills!N11=TRUE,(Skills!L11/10)*(E924/1000),Skills!L11/10)+Skills!O11</f>
        <v/>
      </c>
      <c r="G924" t="inlineStr"/>
      <c r="H924" t="inlineStr"/>
      <c r="I924" t="inlineStr">
        <is>
          <t>1</t>
        </is>
      </c>
      <c r="J924" t="inlineStr"/>
      <c r="K924" t="inlineStr"/>
      <c r="L924" t="inlineStr"/>
      <c r="M924" t="inlineStr"/>
      <c r="N924" t="inlineStr"/>
      <c r="O924" t="inlineStr"/>
      <c r="P924" t="inlineStr"/>
      <c r="Q924" t="inlineStr"/>
      <c r="R924" t="inlineStr"/>
      <c r="S924" t="inlineStr"/>
    </row>
    <row r="925">
      <c r="A925">
        <f>Skills!A12</f>
        <v/>
      </c>
      <c r="B925">
        <f>Skills!B12</f>
        <v/>
      </c>
      <c r="C925">
        <f>Inputs!$B$3&gt;=63</f>
        <v/>
      </c>
      <c r="D925">
        <f>IF(Skills!C12=1,60+Inputs!$B$26+Inputs!$B$30,IF(Skills!C12=2,90+Inputs!$B$27+Inputs!$B$30,IF(Skills!C12=3,120+(Inputs!$B$28+1)+Inputs!$B$30,MAX(0,(Inputs!$B$3-100)*3)+Inputs!$B$29+Inputs!$B$30)))</f>
        <v/>
      </c>
      <c r="E925">
        <f>INDEX(FactorTable!$B$2:$Y$301, MATCH(ROUND(MIN(300,MAX(1,D925)),0), FactorTable!$A$2:$A$301,0), Skills!M12+1)</f>
        <v/>
      </c>
      <c r="F925">
        <f>IF(Skills!N12=TRUE,(Skills!L12/10)*(E925/1000),Skills!L12/10)+Skills!O12</f>
        <v/>
      </c>
      <c r="G925">
        <f>Skills!G12*IF(Skills!H12&gt;0,INT(IF(Inputs!$B$39="pvp",MIN(Skills!I12,15),Skills!I12)/Skills!H12+0.000000001),1)</f>
        <v/>
      </c>
      <c r="H925">
        <f>1-(1-Skills!J12/100)^Skills!K12</f>
        <v/>
      </c>
      <c r="I925" t="inlineStr">
        <is>
          <t>1</t>
        </is>
      </c>
      <c r="J925">
        <f>((Inputs!$B$6*(1+Inputs!$B$7/100))+(((Inputs!$B$13*(1+Inputs!$B$14/100))-(Inputs!$B$13*(1+Inputs!$B$14/100)))+0.25*(Inputs!$B$15-Inputs!$B$15))*(1+Inputs!$B$7/100))*(F925/100)</f>
        <v/>
      </c>
      <c r="K925">
        <f>J925*(1+(((Inputs!$B$13+IF(Inputs!$B$3&gt;=38,(10*INDEX(FactorTable!$B$2:$Y$301, MATCH(ROUND(MIN(300,MAX(1,Inputs!$B$3)),0), FactorTable!$A$2:$A$301,0), 23)/1000)/100*(Inputs!$B$8*(1+Inputs!$B$9/100)),0))*(1+Inputs!$B$14/100))*0.01+Inputs!$B$15*0.0025)/100)*(1+Inputs!$B$16/100)*(1+Inputs!$B$17/100)*(5000/(6000+Inputs!$B$43*(1-(Inputs!$B$20+0)/100)))*(1+(Inputs!$B$25+((C938=TRUE)*(F938-Calc!F25))+((C939=TRUE)*(F939-Calc!F26))+B948)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924=TRUE,F924,0)/100)*(1+(IF(Skills!A12="DARK_IMPALE",Inputs!$B$18+0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gt;=100),MIN(100,((Inputs!$B$10+0+B942+(ArtifactsInput!$M$24-ArtifactsInput!$M$24)*CHOOSE(ArtifactsInput!$N$24+1,10,12,14,16,18,20)+IF(ArtifactsInput!$M$10,CHOOSE(ArtifactsInput!$N$10+1,15,18,21,24,27,30)*(IF(Inputs!$B$39="pvp",MIN(15,15)/15,IF(AND(Inputs!$B$39&lt;&gt;"pvp",Inputs!$B$44&gt;0),MIN(15,Inputs!$B$44)/(Inputs!$B$44),0))),0)))-100),0))*CHOOSE(ArtifactsInput!$N$42+1,0.6,0.72,0.84,0.96,1.08,1.2))),Inputs!$B$19+((C936=TRUE)*(F936-Calc!F23))+(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gt;=100),CHOOSE(ArtifactsInput!$N$42+1,40,48,56,64,72,80),0))))/100)*((1+(((C926=TRUE)*F926*IF(AND(Inputs!$B$39&lt;&gt;"pvp",Inputs!$B$44&gt;0),(((R926-1)*MIN((Skills!T13*(1+Inputs!$B$35/100)),(1/Q926))+MIN((Skills!T13*(1+Inputs!$B$35/100)),MAX(0,Inputs!$B$44-((R926-1)*(1/Q926)))))/Inputs!$B$44),IF(Inputs!$B$39="pvp",MIN((Skills!T13*(1+Inputs!$B$35/100)),15)/15,MIN(1,(Skills!T13*(1+Inputs!$B$35/100))/(1/Q926)))))+((C927=TRUE)*F927*IF(AND(Inputs!$B$39&lt;&gt;"pvp",Inputs!$B$44&gt;0),(((R927-1)*MIN((Skills!T14*(1+Inputs!$B$35/100)),(1/Q927))+MIN((Skills!T14*(1+Inputs!$B$35/100)),MAX(0,Inputs!$B$44-((R927-1)*(1/Q927)))))/Inputs!$B$44),IF(Inputs!$B$39="pvp",MIN((Skills!T14*(1+Inputs!$B$35/100)),15)/15,MIN(1,(Skills!T14*(1+Inputs!$B$35/100))/(1/Q927)))))+((C928=TRUE)*F928*IF(AND(Inputs!$B$39&lt;&gt;"pvp",Inputs!$B$44&gt;0),(((R928-1)*MIN((Skills!T15*(1+Inputs!$B$35/100)),(1/Q928))+MIN((Skills!T15*(1+Inputs!$B$35/100)),MAX(0,Inputs!$B$44-((R928-1)*(1/Q928)))))/Inputs!$B$44),IF(Inputs!$B$39="pvp",MIN((Skills!T15*(1+Inputs!$B$35/100)),15)/15,MIN(1,(Skills!T15*(1+Inputs!$B$35/100))/(1/Q928)))))+((C929=TRUE)*F929*IF(AND(Inputs!$B$39&lt;&gt;"pvp",Inputs!$B$44&gt;0),(((R929-1)*MIN((Skills!T16*(1+Inputs!$B$35/100)),(1/Q929))+MIN((Skills!T16*(1+Inputs!$B$35/100)),MAX(0,Inputs!$B$44-((R929-1)*(1/Q929)))))/Inputs!$B$44),IF(Inputs!$B$39="pvp",MIN((Skills!T16*(1+Inputs!$B$35/100)),15)/15,MIN(1,(Skills!T16*(1+Inputs!$B$35/100))/(1/Q929)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925)</f>
        <v/>
      </c>
      <c r="L925">
        <f>K925*(MIN(Inputs!$B$23+((C935=TRUE)*(F935-Calc!F22)),(Inputs!$B$24+((C937=TRUE)*(F937-Calc!F24))+(IF(ArtifactsInput!$M$15,CHOOSE(ArtifactsInput!$N$15+1,25,30,35,40,45,50)/100*(Inputs!$B$12-Inputs!$B$12),0))))/100+(Inputs!$B$24+((C937=TRUE)*(F937-Calc!F24))+(IF(ArtifactsInput!$M$15,CHOOSE(ArtifactsInput!$N$15+1,25,30,35,40,45,50)/100*(Inputs!$B$12-Inputs!$B$12),0)))/100)/2</f>
        <v/>
      </c>
      <c r="M925">
        <f>L925*(1+(Inputs!$B$11+0+B947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925">
        <f>L925*(1-MIN((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925*(MIN((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25">
        <f>(1-Summary!$B$11)*T925+Summary!$B$11*V925</f>
        <v/>
      </c>
      <c r="P925">
        <f>IF(B952=0,0,O925/B952)</f>
        <v/>
      </c>
      <c r="Q925">
        <f>IFERROR(1/IF(Inputs!$B$39="pvp",15,MAX(0.1,Skills!D12-IF(TRUE=TRUE,Inputs!$B$33,0))),0)</f>
        <v/>
      </c>
      <c r="R925">
        <f>IF(AND(Inputs!$B$39&lt;&gt;"pvp",Inputs!$B$44&gt;0),IF(MAX(0,Inputs!$B$44-B949)&lt;=0,0,(INT(MAX(0,Inputs!$B$44-B949)/IF(Inputs!$B$39="pvp",15,MAX(0.1,Skills!D12-IF(TRUE=TRUE,Inputs!$B$33,0))))+1)),0)</f>
        <v/>
      </c>
      <c r="S925">
        <f>IFERROR(O925/N925,0)</f>
        <v/>
      </c>
      <c r="T925">
        <f>IF(C925,(H925*N925*IF(AND(Inputs!$B$39&lt;&gt;"pvp",Inputs!$B$44&gt;0),((Skills!G12*((R925-1)*IF(Skills!H12&gt;0,INT(Skills!I12/Skills!H12+0.000000001),1)+IF(Skills!H12&gt;0,INT(MIN(Skills!I12,MAX(0,MAX(0,Inputs!$B$44-B949)-((R925-1)*IF(Inputs!$B$39="pvp",15,MAX(0.1,Skills!D12-IF(TRUE=TRUE,Inputs!$B$33,0))))))/Skills!H12+0.000000001),1)))/Inputs!$B$44),G925*Q925))*IF(Inputs!$B$39="pvp",1,1+(Inputs!$B$21+0+Skills!P12+((C930=TRUE)*F930*IF(AND(Inputs!$B$39&lt;&gt;"pvp",Inputs!$B$44&gt;0),(((R930-1)*MIN((Skills!T17*(1+Inputs!$B$35/100)),(1/Q930))+MIN((Skills!T17*(1+Inputs!$B$35/100)),MAX(0,Inputs!$B$44-((R930-1)*(1/Q930)))))/Inputs!$B$44),IF(Inputs!$B$39="pvp",MIN((Skills!T17*(1+Inputs!$B$35/100)),15)/15,MIN(1,(Skills!T17*(1+Inputs!$B$35/100))/(1/Q930)))))+((C918=TRUE)*IF(Inputs!$B$3&gt;=126,10*MIN(1,15*Q918),0))+((C927=TRUE)*IF(Inputs!$B$39="pvp",20,(1-Summary!$B$11)*(20)+Summary!$B$11*(0))*IF(AND(Inputs!$B$39&lt;&gt;"pvp",Inputs!$B$44&gt;0),(((R927-1)*MIN((Skills!T14*(1+Inputs!$B$35/100)),(1/Q927))+MIN((Skills!T14*(1+Inputs!$B$35/100)),MAX(0,Inputs!$B$44-((R927-1)*(1/Q927)))))/Inputs!$B$44),IF(Inputs!$B$39="pvp",MIN((Skills!T14*(1+Inputs!$B$35/100)),15)/15,MIN(1,(Skills!T14*(1+Inputs!$B$35/100))/(1/Q927)))))+((C926=TRUE)*IF(Inputs!$B$3&gt;=82,IF(Inputs!$B$39="pvp",20,(1-Summary!$B$11)*(20)+Summary!$B$11*(0)),0)*IF(AND(Inputs!$B$39&lt;&gt;"pvp",Inputs!$B$44&gt;0),(((R926-1)*MIN((Skills!T13*(1+Inputs!$B$35/100)),(1/Q926))+MIN((Skills!T13*(1+Inputs!$B$35/100)),MAX(0,Inputs!$B$44-((R926-1)*(1/Q926)))))/Inputs!$B$44),IF(Inputs!$B$39="pvp",MIN((Skills!T13*(1+Inputs!$B$35/100)),15)/15,MIN(1,(Skills!T13*(1+Inputs!$B$35/100))/(1/Q926)))))+(IF(AND(ArtifactsInput!$M$35,Inputs!$B$4&lt;&gt;"Chapter Hunt"),CHOOSE(ArtifactsInput!$N$35+1,15,18,21,24,27,30)*(1-EXP(-(0.2*B944)*5)),0)+IF(AND(ArtifactsInput!$M$22,Inputs!$B$4&lt;&gt;"Chapter Hunt"),CHOOSE(ArtifactsInput!$N$22+1,10,12,14,16,18,20)*((0*(((0.15*B944*5))^0/1)+1*(((0.15*B944*5))^1/1)+2*(((0.15*B944*5))^2/2)+3*(((0.15*B944*5))^3/6)+4*(((0.15*B944*5))^4/24)+5*(((0.15*B944*5))^5/120))/((((0.15*B944*5))^0/1)+(((0.15*B944*5))^1/1)+(((0.15*B944*5))^2/2)+(((0.15*B944*5))^3/6)+(((0.15*B944*5))^4/24)+(((0.15*B944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925*(1-MIN(100,(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925*(MIN(100,(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925*(1-MIN(100,(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925*(MIN(100,(Inputs!$B$10+0+B942+(ArtifactsInput!$M$24-ArtifactsInput!$M$24)*CHOOSE(ArtifactsInput!$N$24+1,10,12,14,16,18,20)+(IF(AND(Inputs!$B$39&lt;&gt;"pvp",Inputs!$B$44=0),1,IF(IF(Inputs!$B$39="pvp",15,Inputs!$B$44)-(B949)&lt;=0,1,MAX(0,IF(Inputs!$B$39="pvp",15,Inputs!$B$44)-MAX(5,B949))/(IF(Inputs!$B$39="pvp",15,Inputs!$B$44)-(B949))))*IF(AND(ArtifactsInput!$M$42,((Inputs!$B$10+0+B942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25">
        <f>IF(C925,(H925*N925*IF(AND(Inputs!$B$39&lt;&gt;"pvp",Inputs!$B$44&gt;0),((Skills!G12*((R925-1)*IF(Skills!H12&gt;0,INT(Skills!I12/Skills!H12+0.000000001),1)+IF(Skills!H12&gt;0,INT(MIN(Skills!I12,MAX(0,MAX(0,Inputs!$B$44-B949)-((R925-1)*IF(Inputs!$B$39="pvp",15,MAX(0.1,Skills!D12-IF(TRUE=TRUE,Inputs!$B$33,0))))))/Skills!H12+0.000000001),1)))/Inputs!$B$44),G925*Q925))*IF(Inputs!$B$39="pvp",1,(1+(Inputs!$B$22+Skills!Q12+((C930=TRUE)*F930*IF(AND(Inputs!$B$39&lt;&gt;"pvp",Inputs!$B$44&gt;0),(((R930-1)*MIN((Skills!T17*(1+Inputs!$B$35/100)),(1/Q930))+MIN((Skills!T17*(1+Inputs!$B$35/100)),MAX(0,Inputs!$B$44-((R930-1)*(1/Q930)))))/Inputs!$B$44),IF(Inputs!$B$39="pvp",MIN((Skills!T17*(1+Inputs!$B$35/100)),15)/15,MIN(1,(Skills!T17*(1+Inputs!$B$35/100))/(1/Q930)))))+((C918=TRUE)*IF(Inputs!$B$3&gt;=126,10*MIN(1,15*Q918),0))+((C927=TRUE)*IF(Inputs!$B$39="pvp",20,(1-Summary!$B$11)*(20)+Summary!$B$11*(0))*IF(AND(Inputs!$B$39&lt;&gt;"pvp",Inputs!$B$44&gt;0),(((R927-1)*MIN((Skills!T14*(1+Inputs!$B$35/100)),(1/Q927))+MIN((Skills!T14*(1+Inputs!$B$35/100)),MAX(0,Inputs!$B$44-((R927-1)*(1/Q927)))))/Inputs!$B$44),IF(Inputs!$B$39="pvp",MIN((Skills!T14*(1+Inputs!$B$35/100)),15)/15,MIN(1,(Skills!T14*(1+Inputs!$B$35/100))/(1/Q927)))))+((C926=TRUE)*IF(Inputs!$B$3&gt;=82,IF(Inputs!$B$39="pvp",20,(1-Summary!$B$11)*(20)+Summary!$B$11*(0)),0)*IF(AND(Inputs!$B$39&lt;&gt;"pvp",Inputs!$B$44&gt;0),(((R926-1)*MIN((Skills!T13*(1+Inputs!$B$35/100)),(1/Q926))+MIN((Skills!T13*(1+Inputs!$B$35/100)),MAX(0,Inputs!$B$44-((R926-1)*(1/Q926)))))/Inputs!$B$44),IF(Inputs!$B$39="pvp",MIN((Skills!T13*(1+Inputs!$B$35/100)),15)/15,MIN(1,(Skills!T13*(1+Inputs!$B$35/100))/(1/Q926)))))+(IF(AND(ArtifactsInput!$M$35,Inputs!$B$4&lt;&gt;"Chapter Hunt"),CHOOSE(ArtifactsInput!$N$35+1,15,18,21,24,27,30)*(1-EXP(-(0.2*B944)*5)),0)+IF(AND(ArtifactsInput!$M$22,Inputs!$B$4&lt;&gt;"Chapter Hunt"),CHOOSE(ArtifactsInput!$N$22+1,10,12,14,16,18,20)*((0*(((0.15*B944*5))^0/1)+1*(((0.15*B944*5))^1/1)+2*(((0.15*B944*5))^2/2)+3*(((0.15*B944*5))^3/6)+4*(((0.15*B944*5))^4/24)+5*(((0.15*B944*5))^5/120))/((((0.15*B944*5))^0/1)+(((0.15*B944*5))^1/1)+(((0.15*B944*5))^2/2)+(((0.15*B944*5))^3/6)+(((0.15*B944*5))^4/24)+(((0.15*B944*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26">
      <c r="A926">
        <f>Skills!A13</f>
        <v/>
      </c>
      <c r="B926">
        <f>Skills!B13</f>
        <v/>
      </c>
      <c r="C926">
        <f>Inputs!$B$3&gt;=69</f>
        <v/>
      </c>
      <c r="D926">
        <f>IF(Skills!C13=1,60+Inputs!$B$26+Inputs!$B$30,IF(Skills!C13=2,90+Inputs!$B$27+Inputs!$B$30,IF(Skills!C13=3,120+(Inputs!$B$28+1)+Inputs!$B$30,MAX(0,(Inputs!$B$3-100)*3)+Inputs!$B$29+Inputs!$B$30)))</f>
        <v/>
      </c>
      <c r="E926">
        <f>INDEX(FactorTable!$B$2:$Y$301, MATCH(ROUND(MIN(300,MAX(1,D926)),0), FactorTable!$A$2:$A$301,0), Skills!M13+1)</f>
        <v/>
      </c>
      <c r="F926">
        <f>IF(Skills!N13=TRUE,(Skills!L13/10)*(E926/1000),Skills!L13/10)+Skills!O13</f>
        <v/>
      </c>
      <c r="G926">
        <f>Skills!G13*IF(Skills!H13&gt;0,INT(IF(Inputs!$B$39="pvp",MIN(Skills!I13,15),Skills!I13)/Skills!H13+0.000000001),1)</f>
        <v/>
      </c>
      <c r="H926">
        <f>1-(1-Skills!J13/100)^Skills!K13</f>
        <v/>
      </c>
      <c r="I926" t="inlineStr">
        <is>
          <t>1</t>
        </is>
      </c>
      <c r="J926" t="inlineStr"/>
      <c r="K926" t="inlineStr"/>
      <c r="L926" t="inlineStr"/>
      <c r="M926" t="inlineStr"/>
      <c r="N926" t="inlineStr"/>
      <c r="O926">
        <f>(1-Summary!$B$11)*T926+Summary!$B$11*V926</f>
        <v/>
      </c>
      <c r="P926">
        <f>IF(B952=0,0,O926/B952)</f>
        <v/>
      </c>
      <c r="Q926">
        <f>IFERROR(1/IF(Inputs!$B$39="pvp",15,MAX(0.1,Skills!D13-IF(TRUE=TRUE,Inputs!$B$33,0))),0)</f>
        <v/>
      </c>
      <c r="R926">
        <f>IF(AND(Inputs!$B$39&lt;&gt;"pvp",Inputs!$B$44&gt;0),IF(Inputs!$B$44&lt;=0,0,(INT(Inputs!$B$44/IF(Inputs!$B$39="pvp",15,MAX(0.1,Skills!D13-IF(TRUE=TRUE,Inputs!$B$33,0))))+1)),0)</f>
        <v/>
      </c>
      <c r="S926">
        <f>IFERROR(O926/N926,0)</f>
        <v/>
      </c>
      <c r="T926" t="n">
        <v>0</v>
      </c>
      <c r="V926" t="n">
        <v>0</v>
      </c>
    </row>
    <row r="927">
      <c r="A927">
        <f>Skills!A14</f>
        <v/>
      </c>
      <c r="B927">
        <f>Skills!B14</f>
        <v/>
      </c>
      <c r="C927">
        <f>Inputs!$B$3&gt;=115</f>
        <v/>
      </c>
      <c r="D927">
        <f>IF(Skills!C14=1,60+Inputs!$B$26+Inputs!$B$30,IF(Skills!C14=2,90+Inputs!$B$27+Inputs!$B$30,IF(Skills!C14=3,120+(Inputs!$B$28+1)+Inputs!$B$30,MAX(0,(Inputs!$B$3-100)*3)+Inputs!$B$29+Inputs!$B$30)))</f>
        <v/>
      </c>
      <c r="E927">
        <f>INDEX(FactorTable!$B$2:$Y$301, MATCH(ROUND(MIN(300,MAX(1,D927)),0), FactorTable!$A$2:$A$301,0), Skills!M14+1)</f>
        <v/>
      </c>
      <c r="F927">
        <f>IF(Skills!N14=TRUE,(Skills!L14/10)*(E927/1000),Skills!L14/10)+Skills!O14</f>
        <v/>
      </c>
      <c r="G927">
        <f>Skills!G14*IF(Skills!H14&gt;0,INT(IF(Inputs!$B$39="pvp",MIN(Skills!I14,15),Skills!I14)/Skills!H14+0.000000001),1)</f>
        <v/>
      </c>
      <c r="H927">
        <f>1-(1-Skills!J14/100)^Skills!K14</f>
        <v/>
      </c>
      <c r="I927" t="inlineStr">
        <is>
          <t>1</t>
        </is>
      </c>
      <c r="J927" t="inlineStr"/>
      <c r="K927" t="inlineStr"/>
      <c r="L927" t="inlineStr"/>
      <c r="M927" t="inlineStr"/>
      <c r="N927" t="inlineStr"/>
      <c r="O927">
        <f>(1-Summary!$B$11)*T927+Summary!$B$11*V927</f>
        <v/>
      </c>
      <c r="P927">
        <f>IF(B952=0,0,O927/B952)</f>
        <v/>
      </c>
      <c r="Q927">
        <f>IFERROR(1/IF(Inputs!$B$39="pvp",15,MAX(0.1,Skills!D14-IF(TRUE=TRUE,Inputs!$B$33,0))),0)</f>
        <v/>
      </c>
      <c r="R927">
        <f>IF(AND(Inputs!$B$39&lt;&gt;"pvp",Inputs!$B$44&gt;0),IF(Inputs!$B$44&lt;=0,0,(INT(Inputs!$B$44/IF(Inputs!$B$39="pvp",15,MAX(0.1,Skills!D14-IF(TRUE=TRUE,Inputs!$B$33,0))))+1)),0)</f>
        <v/>
      </c>
      <c r="S927">
        <f>IFERROR(O927/N927,0)</f>
        <v/>
      </c>
      <c r="T927" t="n">
        <v>0</v>
      </c>
      <c r="V927" t="n">
        <v>0</v>
      </c>
    </row>
    <row r="928">
      <c r="A928">
        <f>Skills!A15</f>
        <v/>
      </c>
      <c r="B928">
        <f>Skills!B15</f>
        <v/>
      </c>
      <c r="C928">
        <f>Inputs!$B$3&gt;=66</f>
        <v/>
      </c>
      <c r="D928">
        <f>IF(Skills!C15=1,60+Inputs!$B$26+Inputs!$B$30,IF(Skills!C15=2,90+Inputs!$B$27+Inputs!$B$30,IF(Skills!C15=3,120+(Inputs!$B$28+1)+Inputs!$B$30,MAX(0,(Inputs!$B$3-100)*3)+Inputs!$B$29+Inputs!$B$30)))</f>
        <v/>
      </c>
      <c r="E928">
        <f>INDEX(FactorTable!$B$2:$Y$301, MATCH(ROUND(MIN(300,MAX(1,D928)),0), FactorTable!$A$2:$A$301,0), Skills!M15+1)</f>
        <v/>
      </c>
      <c r="F928">
        <f>IF(Skills!N15=TRUE,(Skills!L15/10)*(E928/1000),Skills!L15/10)+Skills!O15</f>
        <v/>
      </c>
      <c r="G928">
        <f>Skills!G15*IF(Skills!H15&gt;0,INT(IF(Inputs!$B$39="pvp",MIN(Skills!I15,15),Skills!I15)/Skills!H15+0.000000001),1)</f>
        <v/>
      </c>
      <c r="H928">
        <f>1-(1-Skills!J15/100)^Skills!K15</f>
        <v/>
      </c>
      <c r="I928" t="inlineStr">
        <is>
          <t>1</t>
        </is>
      </c>
      <c r="J928" t="inlineStr"/>
      <c r="K928" t="inlineStr"/>
      <c r="L928" t="inlineStr"/>
      <c r="M928" t="inlineStr"/>
      <c r="N928" t="inlineStr"/>
      <c r="O928">
        <f>(1-Summary!$B$11)*T928+Summary!$B$11*V928</f>
        <v/>
      </c>
      <c r="P928">
        <f>IF(B952=0,0,O928/B952)</f>
        <v/>
      </c>
      <c r="Q928">
        <f>IFERROR(1/IF(Inputs!$B$39="pvp",15,MAX(0.1,Skills!D15-IF(TRUE=TRUE,Inputs!$B$33,0))),0)</f>
        <v/>
      </c>
      <c r="R928">
        <f>IF(AND(Inputs!$B$39&lt;&gt;"pvp",Inputs!$B$44&gt;0),IF(Inputs!$B$44&lt;=0,0,(INT(Inputs!$B$44/IF(Inputs!$B$39="pvp",15,MAX(0.1,Skills!D15-IF(TRUE=TRUE,Inputs!$B$33,0))))+1)),0)</f>
        <v/>
      </c>
      <c r="S928">
        <f>IFERROR(O928/N928,0)</f>
        <v/>
      </c>
      <c r="T928" t="n">
        <v>0</v>
      </c>
      <c r="V928" t="n">
        <v>0</v>
      </c>
    </row>
    <row r="929">
      <c r="A929">
        <f>Skills!A16</f>
        <v/>
      </c>
      <c r="B929">
        <f>Skills!B16</f>
        <v/>
      </c>
      <c r="C929">
        <f>Inputs!$B$3&gt;=45</f>
        <v/>
      </c>
      <c r="D929">
        <f>IF(Skills!C16=1,60+Inputs!$B$26+Inputs!$B$30,IF(Skills!C16=2,90+Inputs!$B$27+Inputs!$B$30,IF(Skills!C16=3,120+(Inputs!$B$28+1)+Inputs!$B$30,MAX(0,(Inputs!$B$3-100)*3)+Inputs!$B$29+Inputs!$B$30)))</f>
        <v/>
      </c>
      <c r="E929">
        <f>INDEX(FactorTable!$B$2:$Y$301, MATCH(ROUND(MIN(300,MAX(1,D929)),0), FactorTable!$A$2:$A$301,0), Skills!M16+1)</f>
        <v/>
      </c>
      <c r="F929">
        <f>IF(Skills!N16=TRUE,(Skills!L16/10)*(E929/1000),Skills!L16/10)+Skills!O16</f>
        <v/>
      </c>
      <c r="G929">
        <f>Skills!G16*IF(Skills!H16&gt;0,INT(IF(Inputs!$B$39="pvp",MIN(Skills!I16,15),Skills!I16)/Skills!H16+0.000000001),1)</f>
        <v/>
      </c>
      <c r="H929">
        <f>1-(1-Skills!J16/100)^Skills!K16</f>
        <v/>
      </c>
      <c r="I929" t="inlineStr">
        <is>
          <t>1</t>
        </is>
      </c>
      <c r="J929" t="inlineStr"/>
      <c r="K929" t="inlineStr"/>
      <c r="L929" t="inlineStr"/>
      <c r="M929" t="inlineStr"/>
      <c r="N929" t="inlineStr"/>
      <c r="O929">
        <f>(1-Summary!$B$11)*T929+Summary!$B$11*V929</f>
        <v/>
      </c>
      <c r="P929">
        <f>IF(B952=0,0,O929/B952)</f>
        <v/>
      </c>
      <c r="Q929">
        <f>IFERROR(1/IF(Inputs!$B$39="pvp",15,MAX(0.1,Skills!D16-IF(TRUE=TRUE,Inputs!$B$33,0))),0)</f>
        <v/>
      </c>
      <c r="R929">
        <f>IF(AND(Inputs!$B$39&lt;&gt;"pvp",Inputs!$B$44&gt;0),IF(Inputs!$B$44&lt;=0,0,(INT(Inputs!$B$44/IF(Inputs!$B$39="pvp",15,MAX(0.1,Skills!D16-IF(TRUE=TRUE,Inputs!$B$33,0))))+1)),0)</f>
        <v/>
      </c>
      <c r="S929">
        <f>IFERROR(O929/N929,0)</f>
        <v/>
      </c>
      <c r="T929" t="n">
        <v>0</v>
      </c>
      <c r="V929" t="n">
        <v>0</v>
      </c>
    </row>
    <row r="930">
      <c r="A930">
        <f>Skills!A17</f>
        <v/>
      </c>
      <c r="B930">
        <f>Skills!B17</f>
        <v/>
      </c>
      <c r="C930">
        <f>Inputs!$B$3&gt;=35</f>
        <v/>
      </c>
      <c r="D930">
        <f>IF(Skills!C17=1,60+Inputs!$B$26+Inputs!$B$30,IF(Skills!C17=2,90+Inputs!$B$27+Inputs!$B$30,IF(Skills!C17=3,120+(Inputs!$B$28+1)+Inputs!$B$30,MAX(0,(Inputs!$B$3-100)*3)+Inputs!$B$29+Inputs!$B$30)))</f>
        <v/>
      </c>
      <c r="E930">
        <f>INDEX(FactorTable!$B$2:$Y$301, MATCH(ROUND(MIN(300,MAX(1,D930)),0), FactorTable!$A$2:$A$301,0), Skills!M17+1)</f>
        <v/>
      </c>
      <c r="F930">
        <f>IF(Skills!N17=TRUE,(Skills!L17/10)*(E930/1000),Skills!L17/10)+Skills!O17</f>
        <v/>
      </c>
      <c r="G930">
        <f>Skills!G17*IF(Skills!H17&gt;0,INT(IF(Inputs!$B$39="pvp",MIN(Skills!I17,15),Skills!I17)/Skills!H17+0.000000001),1)</f>
        <v/>
      </c>
      <c r="H930">
        <f>1-(1-Skills!J17/100)^Skills!K17</f>
        <v/>
      </c>
      <c r="I930" t="inlineStr">
        <is>
          <t>1</t>
        </is>
      </c>
      <c r="J930" t="inlineStr"/>
      <c r="K930" t="inlineStr"/>
      <c r="L930" t="inlineStr"/>
      <c r="M930" t="inlineStr"/>
      <c r="N930" t="inlineStr"/>
      <c r="O930">
        <f>(1-Summary!$B$11)*T930+Summary!$B$11*V930</f>
        <v/>
      </c>
      <c r="P930">
        <f>IF(B952=0,0,O930/B952)</f>
        <v/>
      </c>
      <c r="Q930">
        <f>IFERROR(1/IF(Inputs!$B$39="pvp",15,MAX(0.1,Skills!D17-IF(TRUE=TRUE,Inputs!$B$33,0))),0)</f>
        <v/>
      </c>
      <c r="R930">
        <f>IF(AND(Inputs!$B$39&lt;&gt;"pvp",Inputs!$B$44&gt;0),IF(Inputs!$B$44&lt;=0,0,(INT(Inputs!$B$44/IF(Inputs!$B$39="pvp",15,MAX(0.1,Skills!D17-IF(TRUE=TRUE,Inputs!$B$33,0))))+1)),0)</f>
        <v/>
      </c>
      <c r="S930">
        <f>IFERROR(O930/N930,0)</f>
        <v/>
      </c>
      <c r="T930" t="n">
        <v>0</v>
      </c>
      <c r="V930" t="n">
        <v>0</v>
      </c>
    </row>
    <row r="931">
      <c r="A931">
        <f>Skills!A18</f>
        <v/>
      </c>
      <c r="B931">
        <f>Skills!B18</f>
        <v/>
      </c>
      <c r="C931">
        <f>Inputs!$B$3&gt;=72</f>
        <v/>
      </c>
      <c r="D931">
        <f>IF(Skills!C18=1,60+Inputs!$B$26+Inputs!$B$30,IF(Skills!C18=2,90+Inputs!$B$27+Inputs!$B$30,IF(Skills!C18=3,120+(Inputs!$B$28+1)+Inputs!$B$30,MAX(0,(Inputs!$B$3-100)*3)+Inputs!$B$29+Inputs!$B$30)))</f>
        <v/>
      </c>
      <c r="E931">
        <f>INDEX(FactorTable!$B$2:$Y$301, MATCH(ROUND(MIN(300,MAX(1,D931)),0), FactorTable!$A$2:$A$301,0), Skills!M18+1)</f>
        <v/>
      </c>
      <c r="F931">
        <f>IF(Skills!N18=TRUE,(Skills!L18/10)*(E931/1000),Skills!L18/10)+Skills!O18</f>
        <v/>
      </c>
      <c r="G931">
        <f>Skills!G18*IF(Skills!H18&gt;0,INT(IF(Inputs!$B$39="pvp",MIN(Skills!I18,15),Skills!I18)/Skills!H18+0.000000001),1)</f>
        <v/>
      </c>
      <c r="H931">
        <f>1-(1-Skills!J18/100)^Skills!K18</f>
        <v/>
      </c>
      <c r="I931" t="inlineStr">
        <is>
          <t>1</t>
        </is>
      </c>
      <c r="J931" t="inlineStr"/>
      <c r="K931" t="inlineStr"/>
      <c r="L931" t="inlineStr"/>
      <c r="M931" t="inlineStr"/>
      <c r="N931" t="inlineStr"/>
      <c r="O931">
        <f>(1-Summary!$B$11)*T931+Summary!$B$11*V931</f>
        <v/>
      </c>
      <c r="P931">
        <f>IF(B952=0,0,O931/B952)</f>
        <v/>
      </c>
      <c r="Q931">
        <f>IFERROR(1/IF(Inputs!$B$39="pvp",15,MAX(0.1,Skills!D18-IF(TRUE=TRUE,Inputs!$B$33,0))),0)</f>
        <v/>
      </c>
      <c r="R931">
        <f>IF(AND(Inputs!$B$39&lt;&gt;"pvp",Inputs!$B$44&gt;0),IF(Inputs!$B$44&lt;=0,0,(INT(Inputs!$B$44/IF(Inputs!$B$39="pvp",15,MAX(0.1,Skills!D18-IF(TRUE=TRUE,Inputs!$B$33,0))))+1)),0)</f>
        <v/>
      </c>
      <c r="S931">
        <f>IFERROR(O931/N931,0)</f>
        <v/>
      </c>
      <c r="T931" t="n">
        <v>0</v>
      </c>
      <c r="V931" t="n">
        <v>0</v>
      </c>
    </row>
    <row r="932">
      <c r="A932">
        <f>Skills!A19</f>
        <v/>
      </c>
      <c r="B932">
        <f>Skills!B19</f>
        <v/>
      </c>
      <c r="C932">
        <f>Inputs!$B$3&gt;=72</f>
        <v/>
      </c>
      <c r="D932">
        <f>IF(Skills!C19=1,60+Inputs!$B$26+Inputs!$B$30,IF(Skills!C19=2,90+Inputs!$B$27+Inputs!$B$30,IF(Skills!C19=3,120+(Inputs!$B$28+1)+Inputs!$B$30,MAX(0,(Inputs!$B$3-100)*3)+Inputs!$B$29+Inputs!$B$30)))</f>
        <v/>
      </c>
      <c r="E932">
        <f>INDEX(FactorTable!$B$2:$Y$301, MATCH(ROUND(MIN(300,MAX(1,D932)),0), FactorTable!$A$2:$A$301,0), Skills!M19+1)</f>
        <v/>
      </c>
      <c r="F932">
        <f>IF(Skills!N19=TRUE,(Skills!L19/10)*(E932/1000),Skills!L19/10)+Skills!O19</f>
        <v/>
      </c>
      <c r="G932">
        <f>Skills!G19*IF(Skills!H19&gt;0,INT(IF(Inputs!$B$39="pvp",MIN(Skills!I19,15),Skills!I19)/Skills!H19+0.000000001),1)</f>
        <v/>
      </c>
      <c r="H932">
        <f>1-(1-Skills!J19/100)^Skills!K19</f>
        <v/>
      </c>
      <c r="I932" t="inlineStr">
        <is>
          <t>1</t>
        </is>
      </c>
      <c r="J932" t="inlineStr"/>
      <c r="K932" t="inlineStr"/>
      <c r="L932" t="inlineStr"/>
      <c r="M932" t="inlineStr"/>
      <c r="N932" t="inlineStr"/>
      <c r="O932">
        <f>(1-Summary!$B$11)*T932+Summary!$B$11*V932</f>
        <v/>
      </c>
      <c r="P932">
        <f>IF(B952=0,0,O932/B952)</f>
        <v/>
      </c>
      <c r="Q932">
        <f>IFERROR(1/IF(Inputs!$B$39="pvp",15,MAX(0.1,Skills!D19-IF(TRUE=TRUE,Inputs!$B$33,0))),0)</f>
        <v/>
      </c>
      <c r="R932">
        <f>IF(AND(Inputs!$B$39&lt;&gt;"pvp",Inputs!$B$44&gt;0),IF(Inputs!$B$44&lt;=0,0,(INT(Inputs!$B$44/IF(Inputs!$B$39="pvp",15,MAX(0.1,Skills!D19-IF(TRUE=TRUE,Inputs!$B$33,0))))+1)),0)</f>
        <v/>
      </c>
      <c r="S932">
        <f>IFERROR(O932/N932,0)</f>
        <v/>
      </c>
      <c r="T932" t="n">
        <v>0</v>
      </c>
      <c r="V932" t="n">
        <v>0</v>
      </c>
    </row>
    <row r="933">
      <c r="A933">
        <f>Skills!A20</f>
        <v/>
      </c>
      <c r="B933">
        <f>Skills!B20</f>
        <v/>
      </c>
      <c r="C933">
        <f>TRUE</f>
        <v/>
      </c>
      <c r="D933">
        <f>IF(Skills!C20=1,60+Inputs!$B$26+Inputs!$B$30,IF(Skills!C20=2,90+Inputs!$B$27+Inputs!$B$30,IF(Skills!C20=3,120+(Inputs!$B$28+1)+Inputs!$B$30,MAX(0,(Inputs!$B$3-100)*3)+Inputs!$B$29+Inputs!$B$30)))</f>
        <v/>
      </c>
      <c r="E933">
        <f>INDEX(FactorTable!$B$2:$Y$301, MATCH(ROUND(MIN(300,MAX(1,D933)),0), FactorTable!$A$2:$A$301,0), Skills!M20+1)</f>
        <v/>
      </c>
      <c r="F933">
        <f>IF(Skills!N20=TRUE,(Skills!L20/10)*(E933/1000),Skills!L20/10)+Skills!O20</f>
        <v/>
      </c>
      <c r="G933">
        <f>Skills!G20*IF(Skills!H20&gt;0,INT(IF(Inputs!$B$39="pvp",MIN(Skills!I20,15),Skills!I20)/Skills!H20+0.000000001),1)</f>
        <v/>
      </c>
      <c r="H933">
        <f>1-(1-Skills!J20/100)^Skills!K20</f>
        <v/>
      </c>
      <c r="I933" t="inlineStr">
        <is>
          <t>1</t>
        </is>
      </c>
      <c r="J933" t="inlineStr"/>
      <c r="K933" t="inlineStr"/>
      <c r="L933" t="inlineStr"/>
      <c r="M933" t="inlineStr"/>
      <c r="N933" t="inlineStr"/>
      <c r="O933">
        <f>(1-Summary!$B$11)*T933+Summary!$B$11*V933</f>
        <v/>
      </c>
      <c r="P933">
        <f>IF(B952=0,0,O933/B952)</f>
        <v/>
      </c>
      <c r="Q933">
        <f>IFERROR(1/IF(Inputs!$B$39="pvp",15,MAX(0.1,Skills!D20-IF(TRUE=TRUE,Inputs!$B$33,0))),0)</f>
        <v/>
      </c>
      <c r="R933">
        <f>IF(AND(Inputs!$B$39&lt;&gt;"pvp",Inputs!$B$44&gt;0),IF(Inputs!$B$44&lt;=0,0,(INT(Inputs!$B$44/IF(Inputs!$B$39="pvp",15,MAX(0.1,Skills!D20-IF(TRUE=TRUE,Inputs!$B$33,0))))+1)),0)</f>
        <v/>
      </c>
      <c r="S933">
        <f>IFERROR(O933/N933,0)</f>
        <v/>
      </c>
      <c r="T933" t="n">
        <v>0</v>
      </c>
      <c r="V933" t="n">
        <v>0</v>
      </c>
    </row>
    <row r="934">
      <c r="A934">
        <f>Skills!A21</f>
        <v/>
      </c>
      <c r="B934">
        <f>Skills!B21</f>
        <v/>
      </c>
      <c r="C934">
        <f>Inputs!$B$3&gt;=33</f>
        <v/>
      </c>
      <c r="D934">
        <f>IF(Skills!C21=1,60+Inputs!$B$26+Inputs!$B$30,IF(Skills!C21=2,90+Inputs!$B$27+Inputs!$B$30,IF(Skills!C21=3,120+(Inputs!$B$28+1)+Inputs!$B$30,MAX(0,(Inputs!$B$3-100)*3)+Inputs!$B$29+Inputs!$B$30)))</f>
        <v/>
      </c>
      <c r="E934">
        <f>INDEX(FactorTable!$B$2:$Y$301, MATCH(ROUND(MIN(300,MAX(1,D934)),0), FactorTable!$A$2:$A$301,0), Skills!M21+1)</f>
        <v/>
      </c>
      <c r="F934">
        <f>IF(Skills!N21=TRUE,(Skills!L21/10)*(E934/1000),Skills!L21/10)+Skills!O21</f>
        <v/>
      </c>
      <c r="G934">
        <f>Skills!G21*IF(Skills!H21&gt;0,INT(IF(Inputs!$B$39="pvp",MIN(Skills!I21,15),Skills!I21)/Skills!H21+0.000000001),1)</f>
        <v/>
      </c>
      <c r="H934">
        <f>1-(1-Skills!J21/100)^Skills!K21</f>
        <v/>
      </c>
      <c r="I934" t="inlineStr">
        <is>
          <t>1</t>
        </is>
      </c>
      <c r="J934" t="inlineStr"/>
      <c r="K934" t="inlineStr"/>
      <c r="L934" t="inlineStr"/>
      <c r="M934" t="inlineStr"/>
      <c r="N934" t="inlineStr"/>
      <c r="O934">
        <f>(1-Summary!$B$11)*T934+Summary!$B$11*V934</f>
        <v/>
      </c>
      <c r="P934">
        <f>IF(B952=0,0,O934/B952)</f>
        <v/>
      </c>
      <c r="Q934" t="n">
        <v>0</v>
      </c>
      <c r="R934" t="n">
        <v>0</v>
      </c>
      <c r="S934">
        <f>IFERROR(O934/N934,0)</f>
        <v/>
      </c>
      <c r="T934" t="n">
        <v>0</v>
      </c>
      <c r="V934" t="n">
        <v>0</v>
      </c>
    </row>
    <row r="935">
      <c r="A935">
        <f>Skills!A22</f>
        <v/>
      </c>
      <c r="B935">
        <f>Skills!B22</f>
        <v/>
      </c>
      <c r="C935">
        <f>Inputs!$B$3&gt;=43</f>
        <v/>
      </c>
      <c r="D935">
        <f>IF(Skills!C22=1,60+Inputs!$B$26+Inputs!$B$30,IF(Skills!C22=2,90+Inputs!$B$27+Inputs!$B$30,IF(Skills!C22=3,120+(Inputs!$B$28+1)+Inputs!$B$30,MAX(0,(Inputs!$B$3-100)*3)+Inputs!$B$29+Inputs!$B$30)))</f>
        <v/>
      </c>
      <c r="E935">
        <f>INDEX(FactorTable!$B$2:$Y$301, MATCH(ROUND(MIN(300,MAX(1,D935)),0), FactorTable!$A$2:$A$301,0), Skills!M22+1)</f>
        <v/>
      </c>
      <c r="F935">
        <f>IF(Skills!N22=TRUE,(Skills!L22/10)*(E935/1000),Skills!L22/10)+Skills!O22</f>
        <v/>
      </c>
      <c r="G935">
        <f>Skills!G22*IF(Skills!H22&gt;0,INT(IF(Inputs!$B$39="pvp",MIN(Skills!I22,15),Skills!I22)/Skills!H22+0.000000001),1)</f>
        <v/>
      </c>
      <c r="H935">
        <f>1-(1-Skills!J22/100)^Skills!K22</f>
        <v/>
      </c>
      <c r="I935" t="inlineStr">
        <is>
          <t>1</t>
        </is>
      </c>
      <c r="J935" t="inlineStr"/>
      <c r="K935" t="inlineStr"/>
      <c r="L935" t="inlineStr"/>
      <c r="M935" t="inlineStr"/>
      <c r="N935" t="inlineStr"/>
      <c r="O935">
        <f>(1-Summary!$B$11)*T935+Summary!$B$11*V935</f>
        <v/>
      </c>
      <c r="P935">
        <f>IF(B952=0,0,O935/B952)</f>
        <v/>
      </c>
      <c r="Q935" t="n">
        <v>0</v>
      </c>
      <c r="R935" t="n">
        <v>0</v>
      </c>
      <c r="S935">
        <f>IFERROR(O935/N935,0)</f>
        <v/>
      </c>
      <c r="T935" t="n">
        <v>0</v>
      </c>
      <c r="V935" t="n">
        <v>0</v>
      </c>
    </row>
    <row r="936">
      <c r="A936">
        <f>Skills!A23</f>
        <v/>
      </c>
      <c r="B936">
        <f>Skills!B23</f>
        <v/>
      </c>
      <c r="C936">
        <f>Inputs!$B$3&gt;=120</f>
        <v/>
      </c>
      <c r="D936">
        <f>IF(Skills!C23=1,60+Inputs!$B$26+Inputs!$B$30,IF(Skills!C23=2,90+Inputs!$B$27+Inputs!$B$30,IF(Skills!C23=3,120+(Inputs!$B$28+1)+Inputs!$B$30,MAX(0,(Inputs!$B$3-100)*3)+Inputs!$B$29+Inputs!$B$30)))</f>
        <v/>
      </c>
      <c r="E936">
        <f>INDEX(FactorTable!$B$2:$Y$301, MATCH(ROUND(MIN(300,MAX(1,D936)),0), FactorTable!$A$2:$A$301,0), Skills!M23+1)</f>
        <v/>
      </c>
      <c r="F936">
        <f>IF(Skills!N23=TRUE,(Skills!L23/10)*(E936/1000),Skills!L23/10)+Skills!O23</f>
        <v/>
      </c>
      <c r="G936">
        <f>Skills!G23*IF(Skills!H23&gt;0,INT(IF(Inputs!$B$39="pvp",MIN(Skills!I23,15),Skills!I23)/Skills!H23+0.000000001),1)</f>
        <v/>
      </c>
      <c r="H936">
        <f>1-(1-Skills!J23/100)^Skills!K23</f>
        <v/>
      </c>
      <c r="I936" t="inlineStr">
        <is>
          <t>1</t>
        </is>
      </c>
      <c r="J936" t="inlineStr"/>
      <c r="K936" t="inlineStr"/>
      <c r="L936" t="inlineStr"/>
      <c r="M936" t="inlineStr"/>
      <c r="N936" t="inlineStr"/>
      <c r="O936">
        <f>(1-Summary!$B$11)*T936+Summary!$B$11*V936</f>
        <v/>
      </c>
      <c r="P936">
        <f>IF(B952=0,0,O936/B952)</f>
        <v/>
      </c>
      <c r="Q936" t="n">
        <v>0</v>
      </c>
      <c r="R936" t="n">
        <v>0</v>
      </c>
      <c r="S936">
        <f>IFERROR(O936/N936,0)</f>
        <v/>
      </c>
      <c r="T936" t="n">
        <v>0</v>
      </c>
      <c r="V936" t="n">
        <v>0</v>
      </c>
    </row>
    <row r="937">
      <c r="A937">
        <f>Skills!A24</f>
        <v/>
      </c>
      <c r="B937">
        <f>Skills!B24</f>
        <v/>
      </c>
      <c r="C937">
        <f>Inputs!$B$3&gt;=120</f>
        <v/>
      </c>
      <c r="D937">
        <f>IF(Skills!C24=1,60+Inputs!$B$26+Inputs!$B$30,IF(Skills!C24=2,90+Inputs!$B$27+Inputs!$B$30,IF(Skills!C24=3,120+(Inputs!$B$28+1)+Inputs!$B$30,MAX(0,(Inputs!$B$3-100)*3)+Inputs!$B$29+Inputs!$B$30)))</f>
        <v/>
      </c>
      <c r="E937">
        <f>INDEX(FactorTable!$B$2:$Y$301, MATCH(ROUND(MIN(300,MAX(1,D937)),0), FactorTable!$A$2:$A$301,0), Skills!M24+1)</f>
        <v/>
      </c>
      <c r="F937">
        <f>IF(Skills!N24=TRUE,(Skills!L24/10)*(E937/1000),Skills!L24/10)+Skills!O24</f>
        <v/>
      </c>
      <c r="G937">
        <f>Skills!G24*IF(Skills!H24&gt;0,INT(IF(Inputs!$B$39="pvp",MIN(Skills!I24,15),Skills!I24)/Skills!H24+0.000000001),1)</f>
        <v/>
      </c>
      <c r="H937">
        <f>1-(1-Skills!J24/100)^Skills!K24</f>
        <v/>
      </c>
      <c r="I937" t="inlineStr">
        <is>
          <t>1</t>
        </is>
      </c>
      <c r="J937" t="inlineStr"/>
      <c r="K937" t="inlineStr"/>
      <c r="L937" t="inlineStr"/>
      <c r="M937" t="inlineStr"/>
      <c r="N937" t="inlineStr"/>
      <c r="O937">
        <f>(1-Summary!$B$11)*T937+Summary!$B$11*V937</f>
        <v/>
      </c>
      <c r="P937">
        <f>IF(B952=0,0,O937/B952)</f>
        <v/>
      </c>
      <c r="Q937" t="n">
        <v>0</v>
      </c>
      <c r="R937" t="n">
        <v>0</v>
      </c>
      <c r="S937">
        <f>IFERROR(O937/N937,0)</f>
        <v/>
      </c>
      <c r="T937" t="n">
        <v>0</v>
      </c>
      <c r="V937" t="n">
        <v>0</v>
      </c>
    </row>
    <row r="938">
      <c r="A938">
        <f>Skills!A25</f>
        <v/>
      </c>
      <c r="B938">
        <f>Skills!B25</f>
        <v/>
      </c>
      <c r="C938">
        <f>Inputs!$B$3&gt;=125</f>
        <v/>
      </c>
      <c r="D938">
        <f>IF(Skills!C25=1,60+Inputs!$B$26+Inputs!$B$30,IF(Skills!C25=2,90+Inputs!$B$27+Inputs!$B$30,IF(Skills!C25=3,120+(Inputs!$B$28+1)+Inputs!$B$30,MAX(0,(Inputs!$B$3-100)*3)+Inputs!$B$29+Inputs!$B$30)))</f>
        <v/>
      </c>
      <c r="E938">
        <f>INDEX(FactorTable!$B$2:$Y$301, MATCH(ROUND(MIN(300,MAX(1,D938)),0), FactorTable!$A$2:$A$301,0), Skills!M25+1)</f>
        <v/>
      </c>
      <c r="F938">
        <f>IF(Skills!N25=TRUE,(Skills!L25/10)*(E938/1000),Skills!L25/10)+Skills!O25</f>
        <v/>
      </c>
      <c r="G938">
        <f>Skills!G25*IF(Skills!H25&gt;0,INT(IF(Inputs!$B$39="pvp",MIN(Skills!I25,15),Skills!I25)/Skills!H25+0.000000001),1)</f>
        <v/>
      </c>
      <c r="H938">
        <f>1-(1-Skills!J25/100)^Skills!K25</f>
        <v/>
      </c>
      <c r="I938" t="inlineStr">
        <is>
          <t>1</t>
        </is>
      </c>
      <c r="J938" t="inlineStr"/>
      <c r="K938" t="inlineStr"/>
      <c r="L938" t="inlineStr"/>
      <c r="M938" t="inlineStr"/>
      <c r="N938" t="inlineStr"/>
      <c r="O938">
        <f>(1-Summary!$B$11)*T938+Summary!$B$11*V938</f>
        <v/>
      </c>
      <c r="P938">
        <f>IF(B952=0,0,O938/B952)</f>
        <v/>
      </c>
      <c r="Q938" t="n">
        <v>0</v>
      </c>
      <c r="R938" t="n">
        <v>0</v>
      </c>
      <c r="S938">
        <f>IFERROR(O938/N938,0)</f>
        <v/>
      </c>
      <c r="T938" t="n">
        <v>0</v>
      </c>
      <c r="V938" t="n">
        <v>0</v>
      </c>
    </row>
    <row r="939">
      <c r="A939">
        <f>Skills!A26</f>
        <v/>
      </c>
      <c r="B939">
        <f>Skills!B26</f>
        <v/>
      </c>
      <c r="C939">
        <f>Inputs!$B$3&gt;=107</f>
        <v/>
      </c>
      <c r="D939">
        <f>IF(Skills!C26=1,60+Inputs!$B$26+Inputs!$B$30,IF(Skills!C26=2,90+Inputs!$B$27+Inputs!$B$30,IF(Skills!C26=3,120+(Inputs!$B$28+1)+Inputs!$B$30,MAX(0,(Inputs!$B$3-100)*3)+Inputs!$B$29+Inputs!$B$30)))</f>
        <v/>
      </c>
      <c r="E939">
        <f>INDEX(FactorTable!$B$2:$Y$301, MATCH(ROUND(MIN(300,MAX(1,D939)),0), FactorTable!$A$2:$A$301,0), Skills!M26+1)</f>
        <v/>
      </c>
      <c r="F939">
        <f>IF(Skills!N26=TRUE,(Skills!L26/10)*(E939/1000),Skills!L26/10)+Skills!O26</f>
        <v/>
      </c>
      <c r="G939">
        <f>Skills!G26*IF(Skills!H26&gt;0,INT(IF(Inputs!$B$39="pvp",MIN(Skills!I26,15),Skills!I26)/Skills!H26+0.000000001),1)</f>
        <v/>
      </c>
      <c r="H939">
        <f>1-(1-Skills!J26/100)^Skills!K26</f>
        <v/>
      </c>
      <c r="I939" t="inlineStr">
        <is>
          <t>1</t>
        </is>
      </c>
      <c r="J939" t="inlineStr"/>
      <c r="K939" t="inlineStr"/>
      <c r="L939" t="inlineStr"/>
      <c r="M939" t="inlineStr"/>
      <c r="N939" t="inlineStr"/>
      <c r="O939">
        <f>(1-Summary!$B$11)*T939+Summary!$B$11*V939</f>
        <v/>
      </c>
      <c r="P939">
        <f>IF(B952=0,0,O939/B952)</f>
        <v/>
      </c>
      <c r="Q939" t="n">
        <v>0</v>
      </c>
      <c r="R939" t="n">
        <v>0</v>
      </c>
      <c r="S939">
        <f>IFERROR(O939/N939,0)</f>
        <v/>
      </c>
      <c r="T939" t="n">
        <v>0</v>
      </c>
      <c r="V939" t="n">
        <v>0</v>
      </c>
    </row>
    <row r="941">
      <c r="A941" t="inlineStr">
        <is>
          <t>Attack% Bucket Multiplier</t>
        </is>
      </c>
      <c r="B941">
        <f>(1+(((C926=TRUE)*F926*IF(AND(Inputs!$B$39&lt;&gt;"pvp",Inputs!$B$44&gt;0),(((R926-1)*MIN((Skills!T13*(1+Inputs!$B$35/100)),(1/Q926))+MIN((Skills!T13*(1+Inputs!$B$35/100)),MAX(0,Inputs!$B$44-((R926-1)*(1/Q926)))))/Inputs!$B$44),IF(Inputs!$B$39="pvp",MIN((Skills!T13*(1+Inputs!$B$35/100)),15)/15,MIN(1,(Skills!T13*(1+Inputs!$B$35/100))/(1/Q926)))))+((C927=TRUE)*F927*IF(AND(Inputs!$B$39&lt;&gt;"pvp",Inputs!$B$44&gt;0),(((R927-1)*MIN((Skills!T14*(1+Inputs!$B$35/100)),(1/Q927))+MIN((Skills!T14*(1+Inputs!$B$35/100)),MAX(0,Inputs!$B$44-((R927-1)*(1/Q927)))))/Inputs!$B$44),IF(Inputs!$B$39="pvp",MIN((Skills!T14*(1+Inputs!$B$35/100)),15)/15,MIN(1,(Skills!T14*(1+Inputs!$B$35/100))/(1/Q927)))))+((C928=TRUE)*F928*IF(AND(Inputs!$B$39&lt;&gt;"pvp",Inputs!$B$44&gt;0),(((R928-1)*MIN((Skills!T15*(1+Inputs!$B$35/100)),(1/Q928))+MIN((Skills!T15*(1+Inputs!$B$35/100)),MAX(0,Inputs!$B$44-((R928-1)*(1/Q928)))))/Inputs!$B$44),IF(Inputs!$B$39="pvp",MIN((Skills!T15*(1+Inputs!$B$35/100)),15)/15,MIN(1,(Skills!T15*(1+Inputs!$B$35/100))/(1/Q928)))))+((C929=TRUE)*F929*IF(AND(Inputs!$B$39&lt;&gt;"pvp",Inputs!$B$44&gt;0),(((R929-1)*MIN((Skills!T16*(1+Inputs!$B$35/100)),(1/Q929))+MIN((Skills!T16*(1+Inputs!$B$35/100)),MAX(0,Inputs!$B$44-((R929-1)*(1/Q929)))))/Inputs!$B$44),IF(Inputs!$B$39="pvp",MIN((Skills!T16*(1+Inputs!$B$35/100)),15)/15,MIN(1,(Skills!T16*(1+Inputs!$B$35/100))/(1/Q929)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942">
      <c r="A942" t="inlineStr">
        <is>
          <t>Global Crit Rate Bonus % (Lord of Darkness)</t>
        </is>
      </c>
      <c r="B942">
        <f>((C931=TRUE)*F931*(Skills!J18/100)*IF(AND(Inputs!$B$39&lt;&gt;"pvp",Inputs!$B$44&gt;0),(((R931-1)*MIN((Skills!T18*(1+Inputs!$B$35/100)),(1/Q931))+MIN((Skills!T18*(1+Inputs!$B$35/100)),MAX(0,Inputs!$B$44-((R931-1)*(1/Q931)))))/Inputs!$B$44),IF(Inputs!$B$39="pvp",MIN((Skills!T18*(1+Inputs!$B$35/100)),15)/15,MIN(1,(Skills!T18*(1+Inputs!$B$35/100))/(1/Q931)))))</f>
        <v/>
      </c>
    </row>
    <row r="943">
      <c r="A943" t="inlineStr">
        <is>
          <t>Attack Speed Buff Bonus %</t>
        </is>
      </c>
      <c r="B943">
        <f>((C933=TRUE)*F933*IF(AND(Inputs!$B$39&lt;&gt;"pvp",Inputs!$B$44&gt;0),(((R933-1)*MIN((Skills!T20*(1+Inputs!$B$35/100)),(1/Q933))+MIN((Skills!T20*(1+Inputs!$B$35/100)),MAX(0,Inputs!$B$44-((R933-1)*(1/Q933)))))/Inputs!$B$44),IF(Inputs!$B$39="pvp",MIN((Skills!T20*(1+Inputs!$B$35/100)),15)/15,MIN(1,(Skills!T20*(1+Inputs!$B$35/100))/(1/Q933)))))</f>
        <v/>
      </c>
    </row>
    <row r="944">
      <c r="A944" t="inlineStr">
        <is>
          <t>Actions Per Second</t>
        </is>
      </c>
      <c r="B944">
        <f>1+MIN(150,150*(1-(1-(Inputs!$B$12+((C934=TRUE)*(F934-Calc!F21)))/150)*(1-B943/150)))/100</f>
        <v/>
      </c>
    </row>
    <row r="945">
      <c r="A945" t="inlineStr">
        <is>
          <t>Skill + Buff Cast Rate</t>
        </is>
      </c>
      <c r="B945">
        <f>IF(AND(Inputs!$B$39&lt;&gt;"pvp",Inputs!$B$44&gt;0),SUMPRODUCT((Skills!E2:E26=TRUE)*(C915:C939=TRUE)*R915:R939*Skills!F2:F26)/Inputs!$B$44,SUMPRODUCT((Skills!E2:E26=TRUE)*(C915:C939=TRUE)*Q915:Q939*Skills!F2:F26))</f>
        <v/>
      </c>
    </row>
    <row r="946">
      <c r="A946" t="inlineStr">
        <is>
          <t>Dark Impale Casts Per Second</t>
        </is>
      </c>
      <c r="B946">
        <f>MAX(0,B944-B945)</f>
        <v/>
      </c>
    </row>
    <row r="947">
      <c r="A947" t="inlineStr">
        <is>
          <t>Global Critical Damage Bonus % (Lord of Darkness)</t>
        </is>
      </c>
      <c r="B947">
        <f>((C932=TRUE)*F932*(Skills!J19/100)*IF(AND(Inputs!$B$39&lt;&gt;"pvp",Inputs!$B$44&gt;0),(((R932-1)*MIN((Skills!T19*(1+Inputs!$B$35/100)),(1/Q932))+MIN((Skills!T19*(1+Inputs!$B$35/100)),MAX(0,Inputs!$B$44-((R932-1)*(1/Q932)))))/Inputs!$B$44),IF(Inputs!$B$39="pvp",MIN((Skills!T19*(1+Inputs!$B$35/100)),15)/15,MIN(1,(Skills!T19*(1+Inputs!$B$35/100))/(1/Q932)))))</f>
        <v/>
      </c>
    </row>
    <row r="948">
      <c r="A948" t="inlineStr">
        <is>
          <t>Global Final Damage Bonus % (unused)</t>
        </is>
      </c>
      <c r="B948" t="n">
        <v>0</v>
      </c>
    </row>
    <row r="949">
      <c r="A949" t="inlineStr">
        <is>
          <t>Buff-Casting Startup Delay (s, fixed-duration only)</t>
        </is>
      </c>
      <c r="B949">
        <f>IF(AND(Inputs!$B$39&lt;&gt;"pvp",Inputs!$B$44&gt;0),SUMPRODUCT((Skills!T2:T26&gt;0)*(Skills!E2:E26=TRUE)*(C915:C939=TRUE))/B944,0)</f>
        <v/>
      </c>
    </row>
    <row r="950">
      <c r="A950" t="inlineStr">
        <is>
          <t>Boss-Only Total DPS (this block's swept value)</t>
        </is>
      </c>
      <c r="B950">
        <f>SUM(T915:T939)</f>
        <v/>
      </c>
    </row>
    <row r="951">
      <c r="A951" t="inlineStr">
        <is>
          <t>Normal-Only Total DPS (this block's swept value)</t>
        </is>
      </c>
      <c r="B951">
        <f>SUM(V915:V939)</f>
        <v/>
      </c>
    </row>
    <row r="952">
      <c r="A952" s="6" t="inlineStr">
        <is>
          <t>TOTAL DPS</t>
        </is>
      </c>
      <c r="B952" s="6">
        <f>SUM(O915:O939)</f>
        <v/>
      </c>
    </row>
    <row r="955">
      <c r="A955" s="6" t="inlineStr">
        <is>
          <t>Stat: Skill Level Bonus — 4th Job</t>
        </is>
      </c>
    </row>
    <row r="956">
      <c r="A956" s="5" t="inlineStr">
        <is>
          <t>Key</t>
        </is>
      </c>
      <c r="B956" s="5" t="inlineStr">
        <is>
          <t>Name</t>
        </is>
      </c>
      <c r="C956" s="5" t="inlineStr">
        <is>
          <t>Unlocked</t>
        </is>
      </c>
      <c r="D956" s="5" t="inlineStr">
        <is>
          <t>InputLevel</t>
        </is>
      </c>
      <c r="E956" s="5" t="inlineStr">
        <is>
          <t>Factor</t>
        </is>
      </c>
      <c r="F956" s="5" t="inlineStr">
        <is>
          <t>CoefficientPercent</t>
        </is>
      </c>
      <c r="G956" s="5" t="inlineStr">
        <is>
          <t>EffectiveHits</t>
        </is>
      </c>
      <c r="H956" s="5" t="inlineStr">
        <is>
          <t>ProcProbability</t>
        </is>
      </c>
      <c r="I956" s="5" t="inlineStr">
        <is>
          <t>MapleHeroMultiplier</t>
        </is>
      </c>
      <c r="J956" s="5" t="inlineStr">
        <is>
          <t>BaseDamage</t>
        </is>
      </c>
      <c r="K956" s="5" t="inlineStr">
        <is>
          <t>BaseHitDamage</t>
        </is>
      </c>
      <c r="L956" s="5" t="inlineStr">
        <is>
          <t>NonCritAvg</t>
        </is>
      </c>
      <c r="M956" s="5" t="inlineStr">
        <is>
          <t>CritAvg</t>
        </is>
      </c>
      <c r="N956" s="5" t="inlineStr">
        <is>
          <t>ExpectedDamage(perHit)</t>
        </is>
      </c>
      <c r="O956" s="5" t="inlineStr">
        <is>
          <t>DPS</t>
        </is>
      </c>
      <c r="P956" s="5" t="inlineStr">
        <is>
          <t>% of Total</t>
        </is>
      </c>
      <c r="Q956" s="5" t="inlineStr">
        <is>
          <t>InvCooldown</t>
        </is>
      </c>
      <c r="R956" s="5" t="inlineStr">
        <is>
          <t>CastsInFight</t>
        </is>
      </c>
      <c r="S956" s="5" t="inlineStr">
        <is>
          <t>HitRate(perSec)</t>
        </is>
      </c>
      <c r="U956" t="inlineStr">
        <is>
          <t>helpers</t>
        </is>
      </c>
    </row>
    <row r="957">
      <c r="A957">
        <f>Skills!A2</f>
        <v/>
      </c>
      <c r="B957">
        <f>Skills!B2</f>
        <v/>
      </c>
      <c r="C957">
        <f>Inputs!$B$3&gt;=100</f>
        <v/>
      </c>
      <c r="D957" t="inlineStr"/>
      <c r="E957" t="inlineStr"/>
      <c r="F957">
        <f>U959+Skills!O2</f>
        <v/>
      </c>
      <c r="G957">
        <f>Skills!G2*IF(Skills!H2&gt;0,INT(IF(Inputs!$B$39="pvp",MIN(Skills!I2,15),Skills!I2)/Skills!H2+0.000000001),1)</f>
        <v/>
      </c>
      <c r="H957">
        <f>1-(1-Skills!J2/100)^Skills!K2</f>
        <v/>
      </c>
      <c r="I957" t="inlineStr">
        <is>
          <t>1</t>
        </is>
      </c>
      <c r="J957">
        <f>((Inputs!$B$6*(1+Inputs!$B$7/100))+(((Inputs!$B$13*(1+Inputs!$B$14/100))-(Inputs!$B$13*(1+Inputs!$B$14/100)))+0.25*(Inputs!$B$15-Inputs!$B$15))*(1+Inputs!$B$7/100))*(F957/100)</f>
        <v/>
      </c>
      <c r="K957">
        <f>J957*(1+(((Inputs!$B$13+IF(Inputs!$B$3&gt;=38,(10*INDEX(FactorTable!$B$2:$Y$301, MATCH(ROUND(MIN(300,MAX(1,Inputs!$B$3)),0), FactorTable!$A$2:$A$301,0), 23)/1000)/100*(Inputs!$B$8*(1+Inputs!$B$9/100)),0))*(1+Inputs!$B$14/100))*0.01+Inputs!$B$15*0.0025)/100)*(1+Inputs!$B$16/100)*(1+Inputs!$B$17/100)*(5000/(6000+Inputs!$B$43*(1-(Inputs!$B$20+0)/100)))*(1+(Inputs!$B$25+((C980=TRUE)*(F980-Calc!F25))+((C981=TRUE)*(F981-Calc!F26))+B990)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gt;=100),MIN(100,((Inputs!$B$10+0+B984+(ArtifactsInput!$M$24-ArtifactsInput!$M$24)*CHOOSE(ArtifactsInput!$N$24+1,10,12,14,16,18,20)+IF(ArtifactsInput!$M$10,CHOOSE(ArtifactsInput!$N$10+1,15,18,21,24,27,30)*(IF(Inputs!$B$39="pvp",MIN(15,15)/15,IF(AND(Inputs!$B$39&lt;&gt;"pvp",Inputs!$B$44&gt;0),MIN(15,Inputs!$B$44)/(Inputs!$B$44),0))),0)))-100),0))*CHOOSE(ArtifactsInput!$N$42+1,0.6,0.72,0.84,0.96,1.08,1.2))),Inputs!$B$19+((C978=TRUE)*(F978-Calc!F23))+(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gt;=100),CHOOSE(ArtifactsInput!$N$42+1,40,48,56,64,72,80),0))))/100)*((1+(((C968=TRUE)*F968*IF(AND(Inputs!$B$39&lt;&gt;"pvp",Inputs!$B$44&gt;0),(((R968-1)*MIN((Skills!T13*(1+Inputs!$B$35/100)),(1/Q968))+MIN((Skills!T13*(1+Inputs!$B$35/100)),MAX(0,Inputs!$B$44-((R968-1)*(1/Q968)))))/Inputs!$B$44),IF(Inputs!$B$39="pvp",MIN((Skills!T13*(1+Inputs!$B$35/100)),15)/15,MIN(1,(Skills!T13*(1+Inputs!$B$35/100))/(1/Q968)))))+((C969=TRUE)*F969*IF(AND(Inputs!$B$39&lt;&gt;"pvp",Inputs!$B$44&gt;0),(((R969-1)*MIN((Skills!T14*(1+Inputs!$B$35/100)),(1/Q969))+MIN((Skills!T14*(1+Inputs!$B$35/100)),MAX(0,Inputs!$B$44-((R969-1)*(1/Q969)))))/Inputs!$B$44),IF(Inputs!$B$39="pvp",MIN((Skills!T14*(1+Inputs!$B$35/100)),15)/15,MIN(1,(Skills!T14*(1+Inputs!$B$35/100))/(1/Q969)))))+((C970=TRUE)*F970*IF(AND(Inputs!$B$39&lt;&gt;"pvp",Inputs!$B$44&gt;0),(((R970-1)*MIN((Skills!T15*(1+Inputs!$B$35/100)),(1/Q970))+MIN((Skills!T15*(1+Inputs!$B$35/100)),MAX(0,Inputs!$B$44-((R970-1)*(1/Q970)))))/Inputs!$B$44),IF(Inputs!$B$39="pvp",MIN((Skills!T15*(1+Inputs!$B$35/100)),15)/15,MIN(1,(Skills!T15*(1+Inputs!$B$35/100))/(1/Q970)))))+((C971=TRUE)*F971*IF(AND(Inputs!$B$39&lt;&gt;"pvp",Inputs!$B$44&gt;0),(((R971-1)*MIN((Skills!T16*(1+Inputs!$B$35/100)),(1/Q971))+MIN((Skills!T16*(1+Inputs!$B$35/100)),MAX(0,Inputs!$B$44-((R971-1)*(1/Q971)))))/Inputs!$B$44),IF(Inputs!$B$39="pvp",MIN((Skills!T16*(1+Inputs!$B$35/100)),15)/15,MIN(1,(Skills!T16*(1+Inputs!$B$35/100))/(1/Q971)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957)</f>
        <v/>
      </c>
      <c r="L957">
        <f>K957*(MIN(Inputs!$B$23+((C977=TRUE)*(F977-Calc!F22)),(Inputs!$B$24+((C979=TRUE)*(F979-Calc!F24))+(IF(ArtifactsInput!$M$15,CHOOSE(ArtifactsInput!$N$15+1,25,30,35,40,45,50)/100*(Inputs!$B$12-Inputs!$B$12),0))))/100+(Inputs!$B$24+((C979=TRUE)*(F979-Calc!F24))+(IF(ArtifactsInput!$M$15,CHOOSE(ArtifactsInput!$N$15+1,25,30,35,40,45,50)/100*(Inputs!$B$12-Inputs!$B$12),0)))/100)/2</f>
        <v/>
      </c>
      <c r="M957">
        <f>L957*(1+(Inputs!$B$11+0+B989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957">
        <f>L957*(1-MIN((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957*(MIN((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57">
        <f>(1-Summary!$B$11)*T957+Summary!$B$11*V957</f>
        <v/>
      </c>
      <c r="P957">
        <f>IF(B994=0,0,O957/B994)</f>
        <v/>
      </c>
      <c r="Q957" t="n">
        <v>0</v>
      </c>
      <c r="R957" t="n">
        <v>0</v>
      </c>
      <c r="S957">
        <f>IFERROR(O957/N957,0)</f>
        <v/>
      </c>
      <c r="T957">
        <f>IF(C957,(Skills!G2*N957*B988)*IF(Inputs!$B$39="pvp",1,1+(Inputs!$B$21+0+Skills!P2+((C972=TRUE)*F972*IF(AND(Inputs!$B$39&lt;&gt;"pvp",Inputs!$B$44&gt;0),(((R972-1)*MIN((Skills!T17*(1+Inputs!$B$35/100)),(1/Q972))+MIN((Skills!T17*(1+Inputs!$B$35/100)),MAX(0,Inputs!$B$44-((R972-1)*(1/Q972)))))/Inputs!$B$44),IF(Inputs!$B$39="pvp",MIN((Skills!T17*(1+Inputs!$B$35/100)),15)/15,MIN(1,(Skills!T17*(1+Inputs!$B$35/100))/(1/Q972)))))+((C960=TRUE)*IF(Inputs!$B$3&gt;=126,10*MIN(1,15*Q960),0))+((C969=TRUE)*IF(Inputs!$B$39="pvp",20,(1-Summary!$B$11)*(20)+Summary!$B$11*(0))*IF(AND(Inputs!$B$39&lt;&gt;"pvp",Inputs!$B$44&gt;0),(((R969-1)*MIN((Skills!T14*(1+Inputs!$B$35/100)),(1/Q969))+MIN((Skills!T14*(1+Inputs!$B$35/100)),MAX(0,Inputs!$B$44-((R969-1)*(1/Q969)))))/Inputs!$B$44),IF(Inputs!$B$39="pvp",MIN((Skills!T14*(1+Inputs!$B$35/100)),15)/15,MIN(1,(Skills!T14*(1+Inputs!$B$35/100))/(1/Q969)))))+((C968=TRUE)*IF(Inputs!$B$3&gt;=82,IF(Inputs!$B$39="pvp",20,(1-Summary!$B$11)*(20)+Summary!$B$11*(0)),0)*IF(AND(Inputs!$B$39&lt;&gt;"pvp",Inputs!$B$44&gt;0),(((R968-1)*MIN((Skills!T13*(1+Inputs!$B$35/100)),(1/Q968))+MIN((Skills!T13*(1+Inputs!$B$35/100)),MAX(0,Inputs!$B$44-((R968-1)*(1/Q968)))))/Inputs!$B$44),IF(Inputs!$B$39="pvp",MIN((Skills!T13*(1+Inputs!$B$35/100)),15)/15,MIN(1,(Skills!T13*(1+Inputs!$B$35/100))/(1/Q968)))))+(IF(AND(ArtifactsInput!$M$35,Inputs!$B$4&lt;&gt;"Chapter Hunt"),CHOOSE(ArtifactsInput!$N$35+1,15,18,21,24,27,30)*(1-EXP(-(0.2*B986)*5)),0)+IF(AND(ArtifactsInput!$M$22,Inputs!$B$4&lt;&gt;"Chapter Hunt"),CHOOSE(ArtifactsInput!$N$22+1,10,12,14,16,18,20)*((0*(((0.15*B986*5))^0/1)+1*(((0.15*B986*5))^1/1)+2*(((0.15*B986*5))^2/2)+3*(((0.15*B986*5))^3/6)+4*(((0.15*B986*5))^4/24)+5*(((0.15*B986*5))^5/120))/((((0.15*B986*5))^0/1)+(((0.15*B986*5))^1/1)+(((0.15*B986*5))^2/2)+(((0.15*B986*5))^3/6)+(((0.15*B986*5))^4/24)+(((0.15*B986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957*(1-MIN(100,(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957*(MIN(100,(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957*(1-MIN(100,(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957*(MIN(100,(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957">
        <f>MAX(0,(Inputs!$B$3-100)*3)+(Inputs!$B$29+1)+Inputs!$B$30</f>
        <v/>
      </c>
      <c r="V957">
        <f>IF(C957,(Skills!G2*N957*B988)*IF(Inputs!$B$39="pvp",1,(1+(Inputs!$B$22+Skills!Q2+((C972=TRUE)*F972*IF(AND(Inputs!$B$39&lt;&gt;"pvp",Inputs!$B$44&gt;0),(((R972-1)*MIN((Skills!T17*(1+Inputs!$B$35/100)),(1/Q972))+MIN((Skills!T17*(1+Inputs!$B$35/100)),MAX(0,Inputs!$B$44-((R972-1)*(1/Q972)))))/Inputs!$B$44),IF(Inputs!$B$39="pvp",MIN((Skills!T17*(1+Inputs!$B$35/100)),15)/15,MIN(1,(Skills!T17*(1+Inputs!$B$35/100))/(1/Q972)))))+((C960=TRUE)*IF(Inputs!$B$3&gt;=126,10*MIN(1,15*Q960),0))+((C969=TRUE)*IF(Inputs!$B$39="pvp",20,(1-Summary!$B$11)*(20)+Summary!$B$11*(0))*IF(AND(Inputs!$B$39&lt;&gt;"pvp",Inputs!$B$44&gt;0),(((R969-1)*MIN((Skills!T14*(1+Inputs!$B$35/100)),(1/Q969))+MIN((Skills!T14*(1+Inputs!$B$35/100)),MAX(0,Inputs!$B$44-((R969-1)*(1/Q969)))))/Inputs!$B$44),IF(Inputs!$B$39="pvp",MIN((Skills!T14*(1+Inputs!$B$35/100)),15)/15,MIN(1,(Skills!T14*(1+Inputs!$B$35/100))/(1/Q969)))))+((C968=TRUE)*IF(Inputs!$B$3&gt;=82,IF(Inputs!$B$39="pvp",20,(1-Summary!$B$11)*(20)+Summary!$B$11*(0)),0)*IF(AND(Inputs!$B$39&lt;&gt;"pvp",Inputs!$B$44&gt;0),(((R968-1)*MIN((Skills!T13*(1+Inputs!$B$35/100)),(1/Q968))+MIN((Skills!T13*(1+Inputs!$B$35/100)),MAX(0,Inputs!$B$44-((R968-1)*(1/Q968)))))/Inputs!$B$44),IF(Inputs!$B$39="pvp",MIN((Skills!T13*(1+Inputs!$B$35/100)),15)/15,MIN(1,(Skills!T13*(1+Inputs!$B$35/100))/(1/Q968)))))+(IF(AND(ArtifactsInput!$M$35,Inputs!$B$4&lt;&gt;"Chapter Hunt"),CHOOSE(ArtifactsInput!$N$35+1,15,18,21,24,27,30)*(1-EXP(-(0.2*B986)*5)),0)+IF(AND(ArtifactsInput!$M$22,Inputs!$B$4&lt;&gt;"Chapter Hunt"),CHOOSE(ArtifactsInput!$N$22+1,10,12,14,16,18,20)*((0*(((0.15*B986*5))^0/1)+1*(((0.15*B986*5))^1/1)+2*(((0.15*B986*5))^2/2)+3*(((0.15*B986*5))^3/6)+4*(((0.15*B986*5))^4/24)+5*(((0.15*B986*5))^5/120))/((((0.15*B986*5))^0/1)+(((0.15*B986*5))^1/1)+(((0.15*B986*5))^2/2)+(((0.15*B986*5))^3/6)+(((0.15*B986*5))^4/24)+(((0.15*B986*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58">
      <c r="A958">
        <f>Skills!A3</f>
        <v/>
      </c>
      <c r="B958">
        <f>Skills!B3</f>
        <v/>
      </c>
      <c r="C958">
        <f>Inputs!$B$3&gt;=50</f>
        <v/>
      </c>
      <c r="D958">
        <f>IF(Skills!C3=1,60+Inputs!$B$26+Inputs!$B$30,IF(Skills!C3=2,90+Inputs!$B$27+Inputs!$B$30,IF(Skills!C3=3,120+Inputs!$B$28+Inputs!$B$30,MAX(0,(Inputs!$B$3-100)*3)+(Inputs!$B$29+1)+Inputs!$B$30)))</f>
        <v/>
      </c>
      <c r="E958">
        <f>INDEX(FactorTable!$B$2:$Y$301, MATCH(ROUND(MIN(300,MAX(1,D958)),0), FactorTable!$A$2:$A$301,0), Skills!M3+1)</f>
        <v/>
      </c>
      <c r="F958">
        <f>IF(Skills!N3=TRUE,(Skills!L3/10)*(E958/1000),Skills!L3/10)+Skills!O3</f>
        <v/>
      </c>
      <c r="G958" t="inlineStr"/>
      <c r="H958" t="inlineStr"/>
      <c r="I958" t="inlineStr">
        <is>
          <t>1</t>
        </is>
      </c>
      <c r="J958" t="inlineStr"/>
      <c r="K958" t="inlineStr"/>
      <c r="L958" t="inlineStr"/>
      <c r="M958" t="inlineStr"/>
      <c r="N958" t="inlineStr"/>
      <c r="O958" t="inlineStr"/>
      <c r="P958" t="inlineStr"/>
      <c r="Q958" t="inlineStr"/>
      <c r="R958" t="inlineStr"/>
      <c r="S958" t="inlineStr"/>
      <c r="U958">
        <f>INDEX(FactorTable!$B$2:$Y$301, MATCH(ROUND(MIN(300,MAX(1,U957)),0), FactorTable!$A$2:$A$301,0), 22)</f>
        <v/>
      </c>
    </row>
    <row r="959">
      <c r="A959">
        <f>Skills!A4</f>
        <v/>
      </c>
      <c r="B959">
        <f>Skills!B4</f>
        <v/>
      </c>
      <c r="C959">
        <f>Inputs!$B$3&gt;=105</f>
        <v/>
      </c>
      <c r="D959">
        <f>IF(Skills!C4=1,60+Inputs!$B$26+Inputs!$B$30,IF(Skills!C4=2,90+Inputs!$B$27+Inputs!$B$30,IF(Skills!C4=3,120+Inputs!$B$28+Inputs!$B$30,MAX(0,(Inputs!$B$3-100)*3)+(Inputs!$B$29+1)+Inputs!$B$30)))</f>
        <v/>
      </c>
      <c r="E959">
        <f>INDEX(FactorTable!$B$2:$Y$301, MATCH(ROUND(MIN(300,MAX(1,D959)),0), FactorTable!$A$2:$A$301,0), Skills!M4+1)</f>
        <v/>
      </c>
      <c r="F959">
        <f>IF(Skills!N4=TRUE,(Skills!L4/10)*(E959/1000),Skills!L4/10)+Skills!O4</f>
        <v/>
      </c>
      <c r="G959" t="inlineStr"/>
      <c r="H959" t="inlineStr"/>
      <c r="I959" t="inlineStr">
        <is>
          <t>1</t>
        </is>
      </c>
      <c r="J959" t="inlineStr"/>
      <c r="K959" t="inlineStr"/>
      <c r="L959" t="inlineStr"/>
      <c r="M959" t="inlineStr"/>
      <c r="N959" t="inlineStr"/>
      <c r="O959" t="inlineStr"/>
      <c r="P959" t="inlineStr"/>
      <c r="Q959" t="inlineStr"/>
      <c r="R959" t="inlineStr"/>
      <c r="S959" t="inlineStr"/>
      <c r="U959">
        <f>290*U958/1000</f>
        <v/>
      </c>
    </row>
    <row r="960">
      <c r="A960">
        <f>Skills!A5</f>
        <v/>
      </c>
      <c r="B960">
        <f>Skills!B5</f>
        <v/>
      </c>
      <c r="C960">
        <f>Inputs!$B$3&gt;=117</f>
        <v/>
      </c>
      <c r="D960">
        <f>IF(Skills!C5=1,60+Inputs!$B$26+Inputs!$B$30,IF(Skills!C5=2,90+Inputs!$B$27+Inputs!$B$30,IF(Skills!C5=3,120+Inputs!$B$28+Inputs!$B$30,MAX(0,(Inputs!$B$3-100)*3)+(Inputs!$B$29+1)+Inputs!$B$30)))</f>
        <v/>
      </c>
      <c r="E960">
        <f>INDEX(FactorTable!$B$2:$Y$301, MATCH(ROUND(MIN(300,MAX(1,D960)),0), FactorTable!$A$2:$A$301,0), Skills!M5+1)</f>
        <v/>
      </c>
      <c r="F960">
        <f>IF(Skills!N5=TRUE,(Skills!L5/10)*(E960/1000),Skills!L5/10)+Skills!O5</f>
        <v/>
      </c>
      <c r="G960">
        <f>Skills!G5*IF(Skills!H5&gt;0,INT(IF(Inputs!$B$39="pvp",MIN(Skills!I5,15),Skills!I5)/Skills!H5+0.000000001),1)</f>
        <v/>
      </c>
      <c r="H960">
        <f>1-(1-Skills!J5/100)^Skills!K5</f>
        <v/>
      </c>
      <c r="I960" t="inlineStr">
        <is>
          <t>1</t>
        </is>
      </c>
      <c r="J960">
        <f>((Inputs!$B$6*(1+Inputs!$B$7/100))+(((Inputs!$B$13*(1+Inputs!$B$14/100))-(Inputs!$B$13*(1+Inputs!$B$14/100)))+0.25*(Inputs!$B$15-Inputs!$B$15))*(1+Inputs!$B$7/100))*(F960/100)</f>
        <v/>
      </c>
      <c r="K960">
        <f>J960*(1+(((Inputs!$B$13+IF(Inputs!$B$3&gt;=38,(10*INDEX(FactorTable!$B$2:$Y$301, MATCH(ROUND(MIN(300,MAX(1,Inputs!$B$3)),0), FactorTable!$A$2:$A$301,0), 23)/1000)/100*(Inputs!$B$8*(1+Inputs!$B$9/100)),0))*(1+Inputs!$B$14/100))*0.01+Inputs!$B$15*0.0025)/100)*(1+Inputs!$B$16/100)*(1+Inputs!$B$17/100)*(5000/(6000+Inputs!$B$43*(1-(Inputs!$B$20+0)/100)))*(1+(Inputs!$B$25+((C980=TRUE)*(F980-Calc!F25))+((C981=TRUE)*(F981-Calc!F26))+B990)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gt;=100),MIN(100,((Inputs!$B$10+0+B984+(ArtifactsInput!$M$24-ArtifactsInput!$M$24)*CHOOSE(ArtifactsInput!$N$24+1,10,12,14,16,18,20)+IF(ArtifactsInput!$M$10,CHOOSE(ArtifactsInput!$N$10+1,15,18,21,24,27,30)*(IF(Inputs!$B$39="pvp",MIN(15,15)/15,IF(AND(Inputs!$B$39&lt;&gt;"pvp",Inputs!$B$44&gt;0),MIN(15,Inputs!$B$44)/(Inputs!$B$44),0))),0)))-100),0))*CHOOSE(ArtifactsInput!$N$42+1,0.6,0.72,0.84,0.96,1.08,1.2))),Inputs!$B$19+((C978=TRUE)*(F978-Calc!F23))+(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gt;=100),CHOOSE(ArtifactsInput!$N$42+1,40,48,56,64,72,80),0))))/100)*((1+(((C968=TRUE)*F968*IF(AND(Inputs!$B$39&lt;&gt;"pvp",Inputs!$B$44&gt;0),(((R968-1)*MIN((Skills!T13*(1+Inputs!$B$35/100)),(1/Q968))+MIN((Skills!T13*(1+Inputs!$B$35/100)),MAX(0,Inputs!$B$44-((R968-1)*(1/Q968)))))/Inputs!$B$44),IF(Inputs!$B$39="pvp",MIN((Skills!T13*(1+Inputs!$B$35/100)),15)/15,MIN(1,(Skills!T13*(1+Inputs!$B$35/100))/(1/Q968)))))+((C969=TRUE)*F969*IF(AND(Inputs!$B$39&lt;&gt;"pvp",Inputs!$B$44&gt;0),(((R969-1)*MIN((Skills!T14*(1+Inputs!$B$35/100)),(1/Q969))+MIN((Skills!T14*(1+Inputs!$B$35/100)),MAX(0,Inputs!$B$44-((R969-1)*(1/Q969)))))/Inputs!$B$44),IF(Inputs!$B$39="pvp",MIN((Skills!T14*(1+Inputs!$B$35/100)),15)/15,MIN(1,(Skills!T14*(1+Inputs!$B$35/100))/(1/Q969)))))+((C970=TRUE)*F970*IF(AND(Inputs!$B$39&lt;&gt;"pvp",Inputs!$B$44&gt;0),(((R970-1)*MIN((Skills!T15*(1+Inputs!$B$35/100)),(1/Q970))+MIN((Skills!T15*(1+Inputs!$B$35/100)),MAX(0,Inputs!$B$44-((R970-1)*(1/Q970)))))/Inputs!$B$44),IF(Inputs!$B$39="pvp",MIN((Skills!T15*(1+Inputs!$B$35/100)),15)/15,MIN(1,(Skills!T15*(1+Inputs!$B$35/100))/(1/Q970)))))+((C971=TRUE)*F971*IF(AND(Inputs!$B$39&lt;&gt;"pvp",Inputs!$B$44&gt;0),(((R971-1)*MIN((Skills!T16*(1+Inputs!$B$35/100)),(1/Q971))+MIN((Skills!T16*(1+Inputs!$B$35/100)),MAX(0,Inputs!$B$44-((R971-1)*(1/Q971)))))/Inputs!$B$44),IF(Inputs!$B$39="pvp",MIN((Skills!T16*(1+Inputs!$B$35/100)),15)/15,MIN(1,(Skills!T16*(1+Inputs!$B$35/100))/(1/Q971)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960)</f>
        <v/>
      </c>
      <c r="L960">
        <f>K960*(MIN(Inputs!$B$23+((C977=TRUE)*(F977-Calc!F22)),(Inputs!$B$24+((C979=TRUE)*(F979-Calc!F24))+(IF(ArtifactsInput!$M$15,CHOOSE(ArtifactsInput!$N$15+1,25,30,35,40,45,50)/100*(Inputs!$B$12-Inputs!$B$12),0))))/100+(Inputs!$B$24+((C979=TRUE)*(F979-Calc!F24))+(IF(ArtifactsInput!$M$15,CHOOSE(ArtifactsInput!$N$15+1,25,30,35,40,45,50)/100*(Inputs!$B$12-Inputs!$B$12),0)))/100)/2</f>
        <v/>
      </c>
      <c r="M960">
        <f>L960*(1+(Inputs!$B$11+0+B989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960">
        <f>L960*(1-MIN((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960*(MIN((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60">
        <f>(1-Summary!$B$11)*T960+Summary!$B$11*V960</f>
        <v/>
      </c>
      <c r="P960">
        <f>IF(B994=0,0,O960/B994)</f>
        <v/>
      </c>
      <c r="Q960">
        <f>IFERROR(1/IF(Inputs!$B$39="pvp",15,MAX(0.1,Skills!D5-IF(TRUE=TRUE,Inputs!$B$33,0))),0)</f>
        <v/>
      </c>
      <c r="R960">
        <f>IF(AND(Inputs!$B$39&lt;&gt;"pvp",Inputs!$B$44&gt;0),IF(MAX(0,Inputs!$B$44-B991)&lt;=0,0,(INT(MAX(0,Inputs!$B$44-B991)/IF(Inputs!$B$39="pvp",15,MAX(0.1,Skills!D5-IF(TRUE=TRUE,Inputs!$B$33,0))))+1)),0)</f>
        <v/>
      </c>
      <c r="S960">
        <f>IFERROR(O960/N960,0)</f>
        <v/>
      </c>
      <c r="T960">
        <f>IF(C960,(H960*N960*IF(AND(Inputs!$B$39&lt;&gt;"pvp",Inputs!$B$44&gt;0),((Skills!G5*((R960-1)*IF(Skills!H5&gt;0,INT(Skills!I5/Skills!H5+0.000000001),1)+IF(Skills!H5&gt;0,INT(MIN(Skills!I5,MAX(0,MAX(0,Inputs!$B$44-B991)-((R960-1)*IF(Inputs!$B$39="pvp",15,MAX(0.1,Skills!D5-IF(TRUE=TRUE,Inputs!$B$33,0))))))/Skills!H5+0.000000001),1)))/Inputs!$B$44),G960*Q960))*IF(Inputs!$B$39="pvp",1,1+(Inputs!$B$21+0+Skills!P5+((C972=TRUE)*F972*IF(AND(Inputs!$B$39&lt;&gt;"pvp",Inputs!$B$44&gt;0),(((R972-1)*MIN((Skills!T17*(1+Inputs!$B$35/100)),(1/Q972))+MIN((Skills!T17*(1+Inputs!$B$35/100)),MAX(0,Inputs!$B$44-((R972-1)*(1/Q972)))))/Inputs!$B$44),IF(Inputs!$B$39="pvp",MIN((Skills!T17*(1+Inputs!$B$35/100)),15)/15,MIN(1,(Skills!T17*(1+Inputs!$B$35/100))/(1/Q972)))))+((C960=TRUE)*IF(Inputs!$B$3&gt;=126,10*MIN(1,15*Q960),0))+((C969=TRUE)*IF(Inputs!$B$39="pvp",20,(1-Summary!$B$11)*(20)+Summary!$B$11*(0))*IF(AND(Inputs!$B$39&lt;&gt;"pvp",Inputs!$B$44&gt;0),(((R969-1)*MIN((Skills!T14*(1+Inputs!$B$35/100)),(1/Q969))+MIN((Skills!T14*(1+Inputs!$B$35/100)),MAX(0,Inputs!$B$44-((R969-1)*(1/Q969)))))/Inputs!$B$44),IF(Inputs!$B$39="pvp",MIN((Skills!T14*(1+Inputs!$B$35/100)),15)/15,MIN(1,(Skills!T14*(1+Inputs!$B$35/100))/(1/Q969)))))+((C968=TRUE)*IF(Inputs!$B$3&gt;=82,IF(Inputs!$B$39="pvp",20,(1-Summary!$B$11)*(20)+Summary!$B$11*(0)),0)*IF(AND(Inputs!$B$39&lt;&gt;"pvp",Inputs!$B$44&gt;0),(((R968-1)*MIN((Skills!T13*(1+Inputs!$B$35/100)),(1/Q968))+MIN((Skills!T13*(1+Inputs!$B$35/100)),MAX(0,Inputs!$B$44-((R968-1)*(1/Q968)))))/Inputs!$B$44),IF(Inputs!$B$39="pvp",MIN((Skills!T13*(1+Inputs!$B$35/100)),15)/15,MIN(1,(Skills!T13*(1+Inputs!$B$35/100))/(1/Q968)))))+(IF(AND(ArtifactsInput!$M$35,Inputs!$B$4&lt;&gt;"Chapter Hunt"),CHOOSE(ArtifactsInput!$N$35+1,15,18,21,24,27,30)*(1-EXP(-(0.2*B986)*5)),0)+IF(AND(ArtifactsInput!$M$22,Inputs!$B$4&lt;&gt;"Chapter Hunt"),CHOOSE(ArtifactsInput!$N$22+1,10,12,14,16,18,20)*((0*(((0.15*B986*5))^0/1)+1*(((0.15*B986*5))^1/1)+2*(((0.15*B986*5))^2/2)+3*(((0.15*B986*5))^3/6)+4*(((0.15*B986*5))^4/24)+5*(((0.15*B986*5))^5/120))/((((0.15*B986*5))^0/1)+(((0.15*B986*5))^1/1)+(((0.15*B986*5))^2/2)+(((0.15*B986*5))^3/6)+(((0.15*B986*5))^4/24)+(((0.15*B986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960*(1-MIN(100,(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960*(MIN(100,(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960*(1-MIN(100,(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960*(MIN(100,(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60">
        <f>IF(C960,(H960*N960*IF(AND(Inputs!$B$39&lt;&gt;"pvp",Inputs!$B$44&gt;0),((Skills!G5*((R960-1)*IF(Skills!H5&gt;0,INT(Skills!I5/Skills!H5+0.000000001),1)+IF(Skills!H5&gt;0,INT(MIN(Skills!I5,MAX(0,MAX(0,Inputs!$B$44-B991)-((R960-1)*IF(Inputs!$B$39="pvp",15,MAX(0.1,Skills!D5-IF(TRUE=TRUE,Inputs!$B$33,0))))))/Skills!H5+0.000000001),1)))/Inputs!$B$44),G960*Q960))*IF(Inputs!$B$39="pvp",1,(1+(Inputs!$B$22+Skills!Q5+((C972=TRUE)*F972*IF(AND(Inputs!$B$39&lt;&gt;"pvp",Inputs!$B$44&gt;0),(((R972-1)*MIN((Skills!T17*(1+Inputs!$B$35/100)),(1/Q972))+MIN((Skills!T17*(1+Inputs!$B$35/100)),MAX(0,Inputs!$B$44-((R972-1)*(1/Q972)))))/Inputs!$B$44),IF(Inputs!$B$39="pvp",MIN((Skills!T17*(1+Inputs!$B$35/100)),15)/15,MIN(1,(Skills!T17*(1+Inputs!$B$35/100))/(1/Q972)))))+((C960=TRUE)*IF(Inputs!$B$3&gt;=126,10*MIN(1,15*Q960),0))+((C969=TRUE)*IF(Inputs!$B$39="pvp",20,(1-Summary!$B$11)*(20)+Summary!$B$11*(0))*IF(AND(Inputs!$B$39&lt;&gt;"pvp",Inputs!$B$44&gt;0),(((R969-1)*MIN((Skills!T14*(1+Inputs!$B$35/100)),(1/Q969))+MIN((Skills!T14*(1+Inputs!$B$35/100)),MAX(0,Inputs!$B$44-((R969-1)*(1/Q969)))))/Inputs!$B$44),IF(Inputs!$B$39="pvp",MIN((Skills!T14*(1+Inputs!$B$35/100)),15)/15,MIN(1,(Skills!T14*(1+Inputs!$B$35/100))/(1/Q969)))))+((C968=TRUE)*IF(Inputs!$B$3&gt;=82,IF(Inputs!$B$39="pvp",20,(1-Summary!$B$11)*(20)+Summary!$B$11*(0)),0)*IF(AND(Inputs!$B$39&lt;&gt;"pvp",Inputs!$B$44&gt;0),(((R968-1)*MIN((Skills!T13*(1+Inputs!$B$35/100)),(1/Q968))+MIN((Skills!T13*(1+Inputs!$B$35/100)),MAX(0,Inputs!$B$44-((R968-1)*(1/Q968)))))/Inputs!$B$44),IF(Inputs!$B$39="pvp",MIN((Skills!T13*(1+Inputs!$B$35/100)),15)/15,MIN(1,(Skills!T13*(1+Inputs!$B$35/100))/(1/Q968)))))+(IF(AND(ArtifactsInput!$M$35,Inputs!$B$4&lt;&gt;"Chapter Hunt"),CHOOSE(ArtifactsInput!$N$35+1,15,18,21,24,27,30)*(1-EXP(-(0.2*B986)*5)),0)+IF(AND(ArtifactsInput!$M$22,Inputs!$B$4&lt;&gt;"Chapter Hunt"),CHOOSE(ArtifactsInput!$N$22+1,10,12,14,16,18,20)*((0*(((0.15*B986*5))^0/1)+1*(((0.15*B986*5))^1/1)+2*(((0.15*B986*5))^2/2)+3*(((0.15*B986*5))^3/6)+4*(((0.15*B986*5))^4/24)+5*(((0.15*B986*5))^5/120))/((((0.15*B986*5))^0/1)+(((0.15*B986*5))^1/1)+(((0.15*B986*5))^2/2)+(((0.15*B986*5))^3/6)+(((0.15*B986*5))^4/24)+(((0.15*B986*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61">
      <c r="A961">
        <f>Skills!A6</f>
        <v/>
      </c>
      <c r="B961">
        <f>Skills!B6</f>
        <v/>
      </c>
      <c r="C961">
        <f>Inputs!$B$3&gt;=103</f>
        <v/>
      </c>
      <c r="D961">
        <f>IF(Skills!C6=1,60+Inputs!$B$26+Inputs!$B$30,IF(Skills!C6=2,90+Inputs!$B$27+Inputs!$B$30,IF(Skills!C6=3,120+Inputs!$B$28+Inputs!$B$30,MAX(0,(Inputs!$B$3-100)*3)+(Inputs!$B$29+1)+Inputs!$B$30)))</f>
        <v/>
      </c>
      <c r="E961">
        <f>INDEX(FactorTable!$B$2:$Y$301, MATCH(ROUND(MIN(300,MAX(1,D961)),0), FactorTable!$A$2:$A$301,0), Skills!M6+1)</f>
        <v/>
      </c>
      <c r="F961">
        <f>IF(Skills!N6=TRUE,(Skills!L6/10)*(E961/1000),Skills!L6/10)+Skills!O6</f>
        <v/>
      </c>
      <c r="G961">
        <f>Skills!G6*IF(Skills!H6&gt;0,INT(IF(Inputs!$B$39="pvp",MIN(Skills!I6,15),Skills!I6)/Skills!H6+0.000000001),1)</f>
        <v/>
      </c>
      <c r="H961">
        <f>1-(1-Skills!J6/100)^Skills!K6</f>
        <v/>
      </c>
      <c r="I961" t="inlineStr">
        <is>
          <t>1</t>
        </is>
      </c>
      <c r="J961">
        <f>((Inputs!$B$6*(1+Inputs!$B$7/100))+(((Inputs!$B$13*(1+Inputs!$B$14/100))-(Inputs!$B$13*(1+Inputs!$B$14/100)))+0.25*(Inputs!$B$15-Inputs!$B$15))*(1+Inputs!$B$7/100))*(F961/100)</f>
        <v/>
      </c>
      <c r="K961">
        <f>J961*(1+(((Inputs!$B$13+IF(Inputs!$B$3&gt;=38,(10*INDEX(FactorTable!$B$2:$Y$301, MATCH(ROUND(MIN(300,MAX(1,Inputs!$B$3)),0), FactorTable!$A$2:$A$301,0), 23)/1000)/100*(Inputs!$B$8*(1+Inputs!$B$9/100)),0))*(1+Inputs!$B$14/100))*0.01+Inputs!$B$15*0.0025)/100)*(1+Inputs!$B$16/100)*(1+Inputs!$B$17/100)*(5000/(6000+Inputs!$B$43*(1-(Inputs!$B$20+0)/100)))*(1+(Inputs!$B$25+((C980=TRUE)*(F980-Calc!F25))+((C981=TRUE)*(F981-Calc!F26))+B990)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gt;=100),MIN(100,((Inputs!$B$10+0+B984+(ArtifactsInput!$M$24-ArtifactsInput!$M$24)*CHOOSE(ArtifactsInput!$N$24+1,10,12,14,16,18,20)+IF(ArtifactsInput!$M$10,CHOOSE(ArtifactsInput!$N$10+1,15,18,21,24,27,30)*(IF(Inputs!$B$39="pvp",MIN(15,15)/15,IF(AND(Inputs!$B$39&lt;&gt;"pvp",Inputs!$B$44&gt;0),MIN(15,Inputs!$B$44)/(Inputs!$B$44),0))),0)))-100),0))*CHOOSE(ArtifactsInput!$N$42+1,0.6,0.72,0.84,0.96,1.08,1.2))),Inputs!$B$19+((C978=TRUE)*(F978-Calc!F23))+(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gt;=100),CHOOSE(ArtifactsInput!$N$42+1,40,48,56,64,72,80),0))))/100)*((1+(((C968=TRUE)*F968*IF(AND(Inputs!$B$39&lt;&gt;"pvp",Inputs!$B$44&gt;0),(((R968-1)*MIN((Skills!T13*(1+Inputs!$B$35/100)),(1/Q968))+MIN((Skills!T13*(1+Inputs!$B$35/100)),MAX(0,Inputs!$B$44-((R968-1)*(1/Q968)))))/Inputs!$B$44),IF(Inputs!$B$39="pvp",MIN((Skills!T13*(1+Inputs!$B$35/100)),15)/15,MIN(1,(Skills!T13*(1+Inputs!$B$35/100))/(1/Q968)))))+((C969=TRUE)*F969*IF(AND(Inputs!$B$39&lt;&gt;"pvp",Inputs!$B$44&gt;0),(((R969-1)*MIN((Skills!T14*(1+Inputs!$B$35/100)),(1/Q969))+MIN((Skills!T14*(1+Inputs!$B$35/100)),MAX(0,Inputs!$B$44-((R969-1)*(1/Q969)))))/Inputs!$B$44),IF(Inputs!$B$39="pvp",MIN((Skills!T14*(1+Inputs!$B$35/100)),15)/15,MIN(1,(Skills!T14*(1+Inputs!$B$35/100))/(1/Q969)))))+((C970=TRUE)*F970*IF(AND(Inputs!$B$39&lt;&gt;"pvp",Inputs!$B$44&gt;0),(((R970-1)*MIN((Skills!T15*(1+Inputs!$B$35/100)),(1/Q970))+MIN((Skills!T15*(1+Inputs!$B$35/100)),MAX(0,Inputs!$B$44-((R970-1)*(1/Q970)))))/Inputs!$B$44),IF(Inputs!$B$39="pvp",MIN((Skills!T15*(1+Inputs!$B$35/100)),15)/15,MIN(1,(Skills!T15*(1+Inputs!$B$35/100))/(1/Q970)))))+((C971=TRUE)*F971*IF(AND(Inputs!$B$39&lt;&gt;"pvp",Inputs!$B$44&gt;0),(((R971-1)*MIN((Skills!T16*(1+Inputs!$B$35/100)),(1/Q971))+MIN((Skills!T16*(1+Inputs!$B$35/100)),MAX(0,Inputs!$B$44-((R971-1)*(1/Q971)))))/Inputs!$B$44),IF(Inputs!$B$39="pvp",MIN((Skills!T16*(1+Inputs!$B$35/100)),15)/15,MIN(1,(Skills!T16*(1+Inputs!$B$35/100))/(1/Q971)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961)</f>
        <v/>
      </c>
      <c r="L961">
        <f>K961*(MIN(Inputs!$B$23+((C977=TRUE)*(F977-Calc!F22)),(Inputs!$B$24+((C979=TRUE)*(F979-Calc!F24))+(IF(ArtifactsInput!$M$15,CHOOSE(ArtifactsInput!$N$15+1,25,30,35,40,45,50)/100*(Inputs!$B$12-Inputs!$B$12),0))))/100+(Inputs!$B$24+((C979=TRUE)*(F979-Calc!F24))+(IF(ArtifactsInput!$M$15,CHOOSE(ArtifactsInput!$N$15+1,25,30,35,40,45,50)/100*(Inputs!$B$12-Inputs!$B$12),0)))/100)/2</f>
        <v/>
      </c>
      <c r="M961">
        <f>L961*(1+(Inputs!$B$11+0+B989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961">
        <f>L961*(1-MIN((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961*(MIN((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61">
        <f>(1-Summary!$B$11)*T961+Summary!$B$11*V961</f>
        <v/>
      </c>
      <c r="P961">
        <f>IF(B994=0,0,O961/B994)</f>
        <v/>
      </c>
      <c r="Q961">
        <f>IFERROR(1/IF(Inputs!$B$39="pvp",15,MAX(0.1,Skills!D6-IF(TRUE=TRUE,Inputs!$B$33,0))),0)</f>
        <v/>
      </c>
      <c r="R961">
        <f>IF(AND(Inputs!$B$39&lt;&gt;"pvp",Inputs!$B$44&gt;0),IF(MAX(0,Inputs!$B$44-B991)&lt;=0,0,(INT(MAX(0,Inputs!$B$44-B991)/IF(Inputs!$B$39="pvp",15,MAX(0.1,Skills!D6-IF(TRUE=TRUE,Inputs!$B$33,0))))+1)),0)</f>
        <v/>
      </c>
      <c r="S961">
        <f>IFERROR(O961/N961,0)</f>
        <v/>
      </c>
      <c r="T961">
        <f>IF(C961,(H961*N961*IF(AND(Inputs!$B$39&lt;&gt;"pvp",Inputs!$B$44&gt;0),((Skills!G6*((R961-1)*IF(Skills!H6&gt;0,INT(Skills!I6/Skills!H6+0.000000001),1)+IF(Skills!H6&gt;0,INT(MIN(Skills!I6,MAX(0,MAX(0,Inputs!$B$44-B991)-((R961-1)*IF(Inputs!$B$39="pvp",15,MAX(0.1,Skills!D6-IF(TRUE=TRUE,Inputs!$B$33,0))))))/Skills!H6+0.000000001),1)))/Inputs!$B$44),G961*Q961))*IF(Inputs!$B$39="pvp",1,1+(Inputs!$B$21+0+Skills!P6+((C972=TRUE)*F972*IF(AND(Inputs!$B$39&lt;&gt;"pvp",Inputs!$B$44&gt;0),(((R972-1)*MIN((Skills!T17*(1+Inputs!$B$35/100)),(1/Q972))+MIN((Skills!T17*(1+Inputs!$B$35/100)),MAX(0,Inputs!$B$44-((R972-1)*(1/Q972)))))/Inputs!$B$44),IF(Inputs!$B$39="pvp",MIN((Skills!T17*(1+Inputs!$B$35/100)),15)/15,MIN(1,(Skills!T17*(1+Inputs!$B$35/100))/(1/Q972)))))+((C960=TRUE)*IF(Inputs!$B$3&gt;=126,10*MIN(1,15*Q960),0))+((C969=TRUE)*IF(Inputs!$B$39="pvp",20,(1-Summary!$B$11)*(20)+Summary!$B$11*(0))*IF(AND(Inputs!$B$39&lt;&gt;"pvp",Inputs!$B$44&gt;0),(((R969-1)*MIN((Skills!T14*(1+Inputs!$B$35/100)),(1/Q969))+MIN((Skills!T14*(1+Inputs!$B$35/100)),MAX(0,Inputs!$B$44-((R969-1)*(1/Q969)))))/Inputs!$B$44),IF(Inputs!$B$39="pvp",MIN((Skills!T14*(1+Inputs!$B$35/100)),15)/15,MIN(1,(Skills!T14*(1+Inputs!$B$35/100))/(1/Q969)))))+((C968=TRUE)*IF(Inputs!$B$3&gt;=82,IF(Inputs!$B$39="pvp",20,(1-Summary!$B$11)*(20)+Summary!$B$11*(0)),0)*IF(AND(Inputs!$B$39&lt;&gt;"pvp",Inputs!$B$44&gt;0),(((R968-1)*MIN((Skills!T13*(1+Inputs!$B$35/100)),(1/Q968))+MIN((Skills!T13*(1+Inputs!$B$35/100)),MAX(0,Inputs!$B$44-((R968-1)*(1/Q968)))))/Inputs!$B$44),IF(Inputs!$B$39="pvp",MIN((Skills!T13*(1+Inputs!$B$35/100)),15)/15,MIN(1,(Skills!T13*(1+Inputs!$B$35/100))/(1/Q968)))))+(IF(AND(ArtifactsInput!$M$35,Inputs!$B$4&lt;&gt;"Chapter Hunt"),CHOOSE(ArtifactsInput!$N$35+1,15,18,21,24,27,30)*(1-EXP(-(0.2*B986)*5)),0)+IF(AND(ArtifactsInput!$M$22,Inputs!$B$4&lt;&gt;"Chapter Hunt"),CHOOSE(ArtifactsInput!$N$22+1,10,12,14,16,18,20)*((0*(((0.15*B986*5))^0/1)+1*(((0.15*B986*5))^1/1)+2*(((0.15*B986*5))^2/2)+3*(((0.15*B986*5))^3/6)+4*(((0.15*B986*5))^4/24)+5*(((0.15*B986*5))^5/120))/((((0.15*B986*5))^0/1)+(((0.15*B986*5))^1/1)+(((0.15*B986*5))^2/2)+(((0.15*B986*5))^3/6)+(((0.15*B986*5))^4/24)+(((0.15*B986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961*(1-MIN(100,(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961*(MIN(100,(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961*(1-MIN(100,(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961*(MIN(100,(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61">
        <f>IF(C961,(H961*N961*IF(AND(Inputs!$B$39&lt;&gt;"pvp",Inputs!$B$44&gt;0),((Skills!G6*((R961-1)*IF(Skills!H6&gt;0,INT(Skills!I6/Skills!H6+0.000000001),1)+IF(Skills!H6&gt;0,INT(MIN(Skills!I6,MAX(0,MAX(0,Inputs!$B$44-B991)-((R961-1)*IF(Inputs!$B$39="pvp",15,MAX(0.1,Skills!D6-IF(TRUE=TRUE,Inputs!$B$33,0))))))/Skills!H6+0.000000001),1)))/Inputs!$B$44),G961*Q961))*IF(Inputs!$B$39="pvp",1,(1+(Inputs!$B$22+Skills!Q6+((C972=TRUE)*F972*IF(AND(Inputs!$B$39&lt;&gt;"pvp",Inputs!$B$44&gt;0),(((R972-1)*MIN((Skills!T17*(1+Inputs!$B$35/100)),(1/Q972))+MIN((Skills!T17*(1+Inputs!$B$35/100)),MAX(0,Inputs!$B$44-((R972-1)*(1/Q972)))))/Inputs!$B$44),IF(Inputs!$B$39="pvp",MIN((Skills!T17*(1+Inputs!$B$35/100)),15)/15,MIN(1,(Skills!T17*(1+Inputs!$B$35/100))/(1/Q972)))))+((C960=TRUE)*IF(Inputs!$B$3&gt;=126,10*MIN(1,15*Q960),0))+((C969=TRUE)*IF(Inputs!$B$39="pvp",20,(1-Summary!$B$11)*(20)+Summary!$B$11*(0))*IF(AND(Inputs!$B$39&lt;&gt;"pvp",Inputs!$B$44&gt;0),(((R969-1)*MIN((Skills!T14*(1+Inputs!$B$35/100)),(1/Q969))+MIN((Skills!T14*(1+Inputs!$B$35/100)),MAX(0,Inputs!$B$44-((R969-1)*(1/Q969)))))/Inputs!$B$44),IF(Inputs!$B$39="pvp",MIN((Skills!T14*(1+Inputs!$B$35/100)),15)/15,MIN(1,(Skills!T14*(1+Inputs!$B$35/100))/(1/Q969)))))+((C968=TRUE)*IF(Inputs!$B$3&gt;=82,IF(Inputs!$B$39="pvp",20,(1-Summary!$B$11)*(20)+Summary!$B$11*(0)),0)*IF(AND(Inputs!$B$39&lt;&gt;"pvp",Inputs!$B$44&gt;0),(((R968-1)*MIN((Skills!T13*(1+Inputs!$B$35/100)),(1/Q968))+MIN((Skills!T13*(1+Inputs!$B$35/100)),MAX(0,Inputs!$B$44-((R968-1)*(1/Q968)))))/Inputs!$B$44),IF(Inputs!$B$39="pvp",MIN((Skills!T13*(1+Inputs!$B$35/100)),15)/15,MIN(1,(Skills!T13*(1+Inputs!$B$35/100))/(1/Q968)))))+(IF(AND(ArtifactsInput!$M$35,Inputs!$B$4&lt;&gt;"Chapter Hunt"),CHOOSE(ArtifactsInput!$N$35+1,15,18,21,24,27,30)*(1-EXP(-(0.2*B986)*5)),0)+IF(AND(ArtifactsInput!$M$22,Inputs!$B$4&lt;&gt;"Chapter Hunt"),CHOOSE(ArtifactsInput!$N$22+1,10,12,14,16,18,20)*((0*(((0.15*B986*5))^0/1)+1*(((0.15*B986*5))^1/1)+2*(((0.15*B986*5))^2/2)+3*(((0.15*B986*5))^3/6)+4*(((0.15*B986*5))^4/24)+5*(((0.15*B986*5))^5/120))/((((0.15*B986*5))^0/1)+(((0.15*B986*5))^1/1)+(((0.15*B986*5))^2/2)+(((0.15*B986*5))^3/6)+(((0.15*B986*5))^4/24)+(((0.15*B986*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62">
      <c r="A962">
        <f>Skills!A7</f>
        <v/>
      </c>
      <c r="B962">
        <f>Skills!B7</f>
        <v/>
      </c>
      <c r="C962">
        <f>Inputs!$B$3&gt;=40</f>
        <v/>
      </c>
      <c r="D962">
        <f>IF(Skills!C7=1,60+Inputs!$B$26+Inputs!$B$30,IF(Skills!C7=2,90+Inputs!$B$27+Inputs!$B$30,IF(Skills!C7=3,120+Inputs!$B$28+Inputs!$B$30,MAX(0,(Inputs!$B$3-100)*3)+(Inputs!$B$29+1)+Inputs!$B$30)))</f>
        <v/>
      </c>
      <c r="E962">
        <f>INDEX(FactorTable!$B$2:$Y$301, MATCH(ROUND(MIN(300,MAX(1,D962)),0), FactorTable!$A$2:$A$301,0), Skills!M7+1)</f>
        <v/>
      </c>
      <c r="F962">
        <f>IF(Skills!N7=TRUE,(Skills!L7/10)*(E962/1000),Skills!L7/10)+Skills!O7</f>
        <v/>
      </c>
      <c r="G962">
        <f>Skills!G7*IF(Skills!H7&gt;0,INT(IF(Inputs!$B$39="pvp",MIN(Skills!I7,15),Skills!I7)/Skills!H7+0.000000001),1)</f>
        <v/>
      </c>
      <c r="H962">
        <f>1-(1-Skills!J7/100)^Skills!K7</f>
        <v/>
      </c>
      <c r="I962" t="inlineStr">
        <is>
          <t>1</t>
        </is>
      </c>
      <c r="J962">
        <f>((Inputs!$B$6*(1+Inputs!$B$7/100))+(((Inputs!$B$13*(1+Inputs!$B$14/100))-(Inputs!$B$13*(1+Inputs!$B$14/100)))+0.25*(Inputs!$B$15-Inputs!$B$15))*(1+Inputs!$B$7/100))*(F962/100)</f>
        <v/>
      </c>
      <c r="K962">
        <f>J962*(1+(((Inputs!$B$13+IF(Inputs!$B$3&gt;=38,(10*INDEX(FactorTable!$B$2:$Y$301, MATCH(ROUND(MIN(300,MAX(1,Inputs!$B$3)),0), FactorTable!$A$2:$A$301,0), 23)/1000)/100*(Inputs!$B$8*(1+Inputs!$B$9/100)),0))*(1+Inputs!$B$14/100))*0.01+Inputs!$B$15*0.0025)/100)*(1+Inputs!$B$16/100)*(1+Inputs!$B$17/100)*(5000/(6000+Inputs!$B$43*(1-(Inputs!$B$20+0)/100)))*(1+(Inputs!$B$25+((C980=TRUE)*(F980-Calc!F25))+((C981=TRUE)*(F981-Calc!F26))+B990)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966=TRUE,F966,0)/100)*(1+(IF(Skills!A7="DARK_IMPALE",Inputs!$B$18+0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gt;=100),MIN(100,((Inputs!$B$10+0+B984+(ArtifactsInput!$M$24-ArtifactsInput!$M$24)*CHOOSE(ArtifactsInput!$N$24+1,10,12,14,16,18,20)+IF(ArtifactsInput!$M$10,CHOOSE(ArtifactsInput!$N$10+1,15,18,21,24,27,30)*(IF(Inputs!$B$39="pvp",MIN(15,15)/15,IF(AND(Inputs!$B$39&lt;&gt;"pvp",Inputs!$B$44&gt;0),MIN(15,Inputs!$B$44)/(Inputs!$B$44),0))),0)))-100),0))*CHOOSE(ArtifactsInput!$N$42+1,0.6,0.72,0.84,0.96,1.08,1.2))),Inputs!$B$19+((C978=TRUE)*(F978-Calc!F23))+(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gt;=100),CHOOSE(ArtifactsInput!$N$42+1,40,48,56,64,72,80),0))))/100)*((1+(((C968=TRUE)*F968*IF(AND(Inputs!$B$39&lt;&gt;"pvp",Inputs!$B$44&gt;0),(((R968-1)*MIN((Skills!T13*(1+Inputs!$B$35/100)),(1/Q968))+MIN((Skills!T13*(1+Inputs!$B$35/100)),MAX(0,Inputs!$B$44-((R968-1)*(1/Q968)))))/Inputs!$B$44),IF(Inputs!$B$39="pvp",MIN((Skills!T13*(1+Inputs!$B$35/100)),15)/15,MIN(1,(Skills!T13*(1+Inputs!$B$35/100))/(1/Q968)))))+((C969=TRUE)*F969*IF(AND(Inputs!$B$39&lt;&gt;"pvp",Inputs!$B$44&gt;0),(((R969-1)*MIN((Skills!T14*(1+Inputs!$B$35/100)),(1/Q969))+MIN((Skills!T14*(1+Inputs!$B$35/100)),MAX(0,Inputs!$B$44-((R969-1)*(1/Q969)))))/Inputs!$B$44),IF(Inputs!$B$39="pvp",MIN((Skills!T14*(1+Inputs!$B$35/100)),15)/15,MIN(1,(Skills!T14*(1+Inputs!$B$35/100))/(1/Q969)))))+((C970=TRUE)*F970*IF(AND(Inputs!$B$39&lt;&gt;"pvp",Inputs!$B$44&gt;0),(((R970-1)*MIN((Skills!T15*(1+Inputs!$B$35/100)),(1/Q970))+MIN((Skills!T15*(1+Inputs!$B$35/100)),MAX(0,Inputs!$B$44-((R970-1)*(1/Q970)))))/Inputs!$B$44),IF(Inputs!$B$39="pvp",MIN((Skills!T15*(1+Inputs!$B$35/100)),15)/15,MIN(1,(Skills!T15*(1+Inputs!$B$35/100))/(1/Q970)))))+((C971=TRUE)*F971*IF(AND(Inputs!$B$39&lt;&gt;"pvp",Inputs!$B$44&gt;0),(((R971-1)*MIN((Skills!T16*(1+Inputs!$B$35/100)),(1/Q971))+MIN((Skills!T16*(1+Inputs!$B$35/100)),MAX(0,Inputs!$B$44-((R971-1)*(1/Q971)))))/Inputs!$B$44),IF(Inputs!$B$39="pvp",MIN((Skills!T16*(1+Inputs!$B$35/100)),15)/15,MIN(1,(Skills!T16*(1+Inputs!$B$35/100))/(1/Q971)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962)</f>
        <v/>
      </c>
      <c r="L962">
        <f>K962*(MIN(Inputs!$B$23+((C977=TRUE)*(F977-Calc!F22)),(Inputs!$B$24+((C979=TRUE)*(F979-Calc!F24))+(IF(ArtifactsInput!$M$15,CHOOSE(ArtifactsInput!$N$15+1,25,30,35,40,45,50)/100*(Inputs!$B$12-Inputs!$B$12),0))))/100+(Inputs!$B$24+((C979=TRUE)*(F979-Calc!F24))+(IF(ArtifactsInput!$M$15,CHOOSE(ArtifactsInput!$N$15+1,25,30,35,40,45,50)/100*(Inputs!$B$12-Inputs!$B$12),0)))/100)/2</f>
        <v/>
      </c>
      <c r="M962">
        <f>L962*(1+(Inputs!$B$11+0+B989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962">
        <f>L962*(1-MIN((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962*(MIN((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62">
        <f>(1-Summary!$B$11)*T962+Summary!$B$11*V962</f>
        <v/>
      </c>
      <c r="P962">
        <f>IF(B994=0,0,O962/B994)</f>
        <v/>
      </c>
      <c r="Q962">
        <f>IFERROR(1/IF(Inputs!$B$39="pvp",15,MAX(0.1,Skills!D7-IF(TRUE=TRUE,Inputs!$B$33,0))),0)</f>
        <v/>
      </c>
      <c r="R962">
        <f>IF(AND(Inputs!$B$39&lt;&gt;"pvp",Inputs!$B$44&gt;0),IF(MAX(0,Inputs!$B$44-B991)&lt;=0,0,(INT(MAX(0,Inputs!$B$44-B991)/IF(Inputs!$B$39="pvp",15,MAX(0.1,Skills!D7-IF(TRUE=TRUE,Inputs!$B$33,0))))+1)),0)</f>
        <v/>
      </c>
      <c r="S962">
        <f>IFERROR(O962/N962,0)</f>
        <v/>
      </c>
      <c r="T962">
        <f>IF(C962,(H962*N962*IF(AND(Inputs!$B$39&lt;&gt;"pvp",Inputs!$B$44&gt;0),((Skills!G7*((R962-1)*IF(Skills!H7&gt;0,INT(Skills!I7/Skills!H7+0.000000001),1)+IF(Skills!H7&gt;0,INT(MIN(Skills!I7,MAX(0,MAX(0,Inputs!$B$44-B991)-((R962-1)*IF(Inputs!$B$39="pvp",15,MAX(0.1,Skills!D7-IF(TRUE=TRUE,Inputs!$B$33,0))))))/Skills!H7+0.000000001),1)))/Inputs!$B$44),G962*Q962))*IF(Inputs!$B$39="pvp",1,1+(Inputs!$B$21+0+Skills!P7+((C972=TRUE)*F972*IF(AND(Inputs!$B$39&lt;&gt;"pvp",Inputs!$B$44&gt;0),(((R972-1)*MIN((Skills!T17*(1+Inputs!$B$35/100)),(1/Q972))+MIN((Skills!T17*(1+Inputs!$B$35/100)),MAX(0,Inputs!$B$44-((R972-1)*(1/Q972)))))/Inputs!$B$44),IF(Inputs!$B$39="pvp",MIN((Skills!T17*(1+Inputs!$B$35/100)),15)/15,MIN(1,(Skills!T17*(1+Inputs!$B$35/100))/(1/Q972)))))+((C960=TRUE)*IF(Inputs!$B$3&gt;=126,10*MIN(1,15*Q960),0))+((C969=TRUE)*IF(Inputs!$B$39="pvp",20,(1-Summary!$B$11)*(20)+Summary!$B$11*(0))*IF(AND(Inputs!$B$39&lt;&gt;"pvp",Inputs!$B$44&gt;0),(((R969-1)*MIN((Skills!T14*(1+Inputs!$B$35/100)),(1/Q969))+MIN((Skills!T14*(1+Inputs!$B$35/100)),MAX(0,Inputs!$B$44-((R969-1)*(1/Q969)))))/Inputs!$B$44),IF(Inputs!$B$39="pvp",MIN((Skills!T14*(1+Inputs!$B$35/100)),15)/15,MIN(1,(Skills!T14*(1+Inputs!$B$35/100))/(1/Q969)))))+((C968=TRUE)*IF(Inputs!$B$3&gt;=82,IF(Inputs!$B$39="pvp",20,(1-Summary!$B$11)*(20)+Summary!$B$11*(0)),0)*IF(AND(Inputs!$B$39&lt;&gt;"pvp",Inputs!$B$44&gt;0),(((R968-1)*MIN((Skills!T13*(1+Inputs!$B$35/100)),(1/Q968))+MIN((Skills!T13*(1+Inputs!$B$35/100)),MAX(0,Inputs!$B$44-((R968-1)*(1/Q968)))))/Inputs!$B$44),IF(Inputs!$B$39="pvp",MIN((Skills!T13*(1+Inputs!$B$35/100)),15)/15,MIN(1,(Skills!T13*(1+Inputs!$B$35/100))/(1/Q968)))))+(IF(AND(ArtifactsInput!$M$35,Inputs!$B$4&lt;&gt;"Chapter Hunt"),CHOOSE(ArtifactsInput!$N$35+1,15,18,21,24,27,30)*(1-EXP(-(0.2*B986)*5)),0)+IF(AND(ArtifactsInput!$M$22,Inputs!$B$4&lt;&gt;"Chapter Hunt"),CHOOSE(ArtifactsInput!$N$22+1,10,12,14,16,18,20)*((0*(((0.15*B986*5))^0/1)+1*(((0.15*B986*5))^1/1)+2*(((0.15*B986*5))^2/2)+3*(((0.15*B986*5))^3/6)+4*(((0.15*B986*5))^4/24)+5*(((0.15*B986*5))^5/120))/((((0.15*B986*5))^0/1)+(((0.15*B986*5))^1/1)+(((0.15*B986*5))^2/2)+(((0.15*B986*5))^3/6)+(((0.15*B986*5))^4/24)+(((0.15*B986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962*(1-MIN(100,(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962*(MIN(100,(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962*(1-MIN(100,(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962*(MIN(100,(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62">
        <f>IF(C962,(H962*N962*IF(AND(Inputs!$B$39&lt;&gt;"pvp",Inputs!$B$44&gt;0),((Skills!G7*((R962-1)*IF(Skills!H7&gt;0,INT(Skills!I7/Skills!H7+0.000000001),1)+IF(Skills!H7&gt;0,INT(MIN(Skills!I7,MAX(0,MAX(0,Inputs!$B$44-B991)-((R962-1)*IF(Inputs!$B$39="pvp",15,MAX(0.1,Skills!D7-IF(TRUE=TRUE,Inputs!$B$33,0))))))/Skills!H7+0.000000001),1)))/Inputs!$B$44),G962*Q962))*IF(Inputs!$B$39="pvp",1,(1+(Inputs!$B$22+Skills!Q7+((C972=TRUE)*F972*IF(AND(Inputs!$B$39&lt;&gt;"pvp",Inputs!$B$44&gt;0),(((R972-1)*MIN((Skills!T17*(1+Inputs!$B$35/100)),(1/Q972))+MIN((Skills!T17*(1+Inputs!$B$35/100)),MAX(0,Inputs!$B$44-((R972-1)*(1/Q972)))))/Inputs!$B$44),IF(Inputs!$B$39="pvp",MIN((Skills!T17*(1+Inputs!$B$35/100)),15)/15,MIN(1,(Skills!T17*(1+Inputs!$B$35/100))/(1/Q972)))))+((C960=TRUE)*IF(Inputs!$B$3&gt;=126,10*MIN(1,15*Q960),0))+((C969=TRUE)*IF(Inputs!$B$39="pvp",20,(1-Summary!$B$11)*(20)+Summary!$B$11*(0))*IF(AND(Inputs!$B$39&lt;&gt;"pvp",Inputs!$B$44&gt;0),(((R969-1)*MIN((Skills!T14*(1+Inputs!$B$35/100)),(1/Q969))+MIN((Skills!T14*(1+Inputs!$B$35/100)),MAX(0,Inputs!$B$44-((R969-1)*(1/Q969)))))/Inputs!$B$44),IF(Inputs!$B$39="pvp",MIN((Skills!T14*(1+Inputs!$B$35/100)),15)/15,MIN(1,(Skills!T14*(1+Inputs!$B$35/100))/(1/Q969)))))+((C968=TRUE)*IF(Inputs!$B$3&gt;=82,IF(Inputs!$B$39="pvp",20,(1-Summary!$B$11)*(20)+Summary!$B$11*(0)),0)*IF(AND(Inputs!$B$39&lt;&gt;"pvp",Inputs!$B$44&gt;0),(((R968-1)*MIN((Skills!T13*(1+Inputs!$B$35/100)),(1/Q968))+MIN((Skills!T13*(1+Inputs!$B$35/100)),MAX(0,Inputs!$B$44-((R968-1)*(1/Q968)))))/Inputs!$B$44),IF(Inputs!$B$39="pvp",MIN((Skills!T13*(1+Inputs!$B$35/100)),15)/15,MIN(1,(Skills!T13*(1+Inputs!$B$35/100))/(1/Q968)))))+(IF(AND(ArtifactsInput!$M$35,Inputs!$B$4&lt;&gt;"Chapter Hunt"),CHOOSE(ArtifactsInput!$N$35+1,15,18,21,24,27,30)*(1-EXP(-(0.2*B986)*5)),0)+IF(AND(ArtifactsInput!$M$22,Inputs!$B$4&lt;&gt;"Chapter Hunt"),CHOOSE(ArtifactsInput!$N$22+1,10,12,14,16,18,20)*((0*(((0.15*B986*5))^0/1)+1*(((0.15*B986*5))^1/1)+2*(((0.15*B986*5))^2/2)+3*(((0.15*B986*5))^3/6)+4*(((0.15*B986*5))^4/24)+5*(((0.15*B986*5))^5/120))/((((0.15*B986*5))^0/1)+(((0.15*B986*5))^1/1)+(((0.15*B986*5))^2/2)+(((0.15*B986*5))^3/6)+(((0.15*B986*5))^4/24)+(((0.15*B986*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63">
      <c r="A963">
        <f>Skills!A8</f>
        <v/>
      </c>
      <c r="B963">
        <f>Skills!B8</f>
        <v/>
      </c>
      <c r="C963">
        <f>Inputs!$B$3&gt;=75</f>
        <v/>
      </c>
      <c r="D963">
        <f>IF(Skills!C8=1,60+Inputs!$B$26+Inputs!$B$30,IF(Skills!C8=2,90+Inputs!$B$27+Inputs!$B$30,IF(Skills!C8=3,120+Inputs!$B$28+Inputs!$B$30,MAX(0,(Inputs!$B$3-100)*3)+(Inputs!$B$29+1)+Inputs!$B$30)))</f>
        <v/>
      </c>
      <c r="E963">
        <f>INDEX(FactorTable!$B$2:$Y$301, MATCH(ROUND(MIN(300,MAX(1,D963)),0), FactorTable!$A$2:$A$301,0), Skills!M8+1)</f>
        <v/>
      </c>
      <c r="F963">
        <f>IF(Skills!N8=TRUE,(Skills!L8/10)*(E963/1000),Skills!L8/10)+Skills!O8</f>
        <v/>
      </c>
      <c r="G963" t="inlineStr"/>
      <c r="H963" t="inlineStr"/>
      <c r="I963" t="inlineStr">
        <is>
          <t>1</t>
        </is>
      </c>
      <c r="J963" t="inlineStr"/>
      <c r="K963" t="inlineStr"/>
      <c r="L963" t="inlineStr"/>
      <c r="M963" t="inlineStr"/>
      <c r="N963" t="inlineStr"/>
      <c r="O963" t="inlineStr"/>
      <c r="P963" t="inlineStr"/>
      <c r="Q963" t="inlineStr"/>
      <c r="R963" t="inlineStr"/>
      <c r="S963" t="inlineStr"/>
    </row>
    <row r="964">
      <c r="A964">
        <f>Skills!A9</f>
        <v/>
      </c>
      <c r="B964">
        <f>Skills!B9</f>
        <v/>
      </c>
      <c r="C964">
        <f>Inputs!$B$3&gt;=60</f>
        <v/>
      </c>
      <c r="D964">
        <f>IF(Skills!C9=1,60+Inputs!$B$26+Inputs!$B$30,IF(Skills!C9=2,90+Inputs!$B$27+Inputs!$B$30,IF(Skills!C9=3,120+Inputs!$B$28+Inputs!$B$30,MAX(0,(Inputs!$B$3-100)*3)+(Inputs!$B$29+1)+Inputs!$B$30)))</f>
        <v/>
      </c>
      <c r="E964">
        <f>INDEX(FactorTable!$B$2:$Y$301, MATCH(ROUND(MIN(300,MAX(1,D964)),0), FactorTable!$A$2:$A$301,0), Skills!M9+1)</f>
        <v/>
      </c>
      <c r="F964">
        <f>IF(Skills!N9=TRUE,(Skills!L9/10)*(E964/1000),Skills!L9/10)+Skills!O9</f>
        <v/>
      </c>
      <c r="G964">
        <f>Skills!G9*IF(Skills!H9&gt;0,INT(IF(Inputs!$B$39="pvp",MIN(Skills!I9,15),Skills!I9)/Skills!H9+0.000000001),1)</f>
        <v/>
      </c>
      <c r="H964">
        <f>1-(1-Skills!J9/100)^Skills!K9</f>
        <v/>
      </c>
      <c r="I964" t="inlineStr">
        <is>
          <t>1</t>
        </is>
      </c>
      <c r="J964">
        <f>((Inputs!$B$6*(1+Inputs!$B$7/100))+(((Inputs!$B$13*(1+Inputs!$B$14/100))-(Inputs!$B$13*(1+Inputs!$B$14/100)))+0.25*(Inputs!$B$15-Inputs!$B$15))*(1+Inputs!$B$7/100))*(F964/100)</f>
        <v/>
      </c>
      <c r="K964">
        <f>J964*(1+(((Inputs!$B$13+IF(Inputs!$B$3&gt;=38,(10*INDEX(FactorTable!$B$2:$Y$301, MATCH(ROUND(MIN(300,MAX(1,Inputs!$B$3)),0), FactorTable!$A$2:$A$301,0), 23)/1000)/100*(Inputs!$B$8*(1+Inputs!$B$9/100)),0))*(1+Inputs!$B$14/100))*0.01+Inputs!$B$15*0.0025)/100)*(1+Inputs!$B$16/100)*(1+Inputs!$B$17/100)*(5000/(6000+Inputs!$B$43*(1-(Inputs!$B$20+0)/100)))*(1+(Inputs!$B$25+((C980=TRUE)*(F980-Calc!F25))+((C981=TRUE)*(F981-Calc!F26))+B990)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966=TRUE,F966,0)/100)*(1+(IF(Skills!A9="DARK_IMPALE",Inputs!$B$18+0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gt;=100),MIN(100,((Inputs!$B$10+0+B984+(ArtifactsInput!$M$24-ArtifactsInput!$M$24)*CHOOSE(ArtifactsInput!$N$24+1,10,12,14,16,18,20)+IF(ArtifactsInput!$M$10,CHOOSE(ArtifactsInput!$N$10+1,15,18,21,24,27,30)*(IF(Inputs!$B$39="pvp",MIN(15,15)/15,IF(AND(Inputs!$B$39&lt;&gt;"pvp",Inputs!$B$44&gt;0),MIN(15,Inputs!$B$44)/(Inputs!$B$44),0))),0)))-100),0))*CHOOSE(ArtifactsInput!$N$42+1,0.6,0.72,0.84,0.96,1.08,1.2))),Inputs!$B$19+((C978=TRUE)*(F978-Calc!F23))+(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gt;=100),CHOOSE(ArtifactsInput!$N$42+1,40,48,56,64,72,80),0))))/100)*((1+(((C968=TRUE)*F968*IF(AND(Inputs!$B$39&lt;&gt;"pvp",Inputs!$B$44&gt;0),(((R968-1)*MIN((Skills!T13*(1+Inputs!$B$35/100)),(1/Q968))+MIN((Skills!T13*(1+Inputs!$B$35/100)),MAX(0,Inputs!$B$44-((R968-1)*(1/Q968)))))/Inputs!$B$44),IF(Inputs!$B$39="pvp",MIN((Skills!T13*(1+Inputs!$B$35/100)),15)/15,MIN(1,(Skills!T13*(1+Inputs!$B$35/100))/(1/Q968)))))+((C969=TRUE)*F969*IF(AND(Inputs!$B$39&lt;&gt;"pvp",Inputs!$B$44&gt;0),(((R969-1)*MIN((Skills!T14*(1+Inputs!$B$35/100)),(1/Q969))+MIN((Skills!T14*(1+Inputs!$B$35/100)),MAX(0,Inputs!$B$44-((R969-1)*(1/Q969)))))/Inputs!$B$44),IF(Inputs!$B$39="pvp",MIN((Skills!T14*(1+Inputs!$B$35/100)),15)/15,MIN(1,(Skills!T14*(1+Inputs!$B$35/100))/(1/Q969)))))+((C970=TRUE)*F970*IF(AND(Inputs!$B$39&lt;&gt;"pvp",Inputs!$B$44&gt;0),(((R970-1)*MIN((Skills!T15*(1+Inputs!$B$35/100)),(1/Q970))+MIN((Skills!T15*(1+Inputs!$B$35/100)),MAX(0,Inputs!$B$44-((R970-1)*(1/Q970)))))/Inputs!$B$44),IF(Inputs!$B$39="pvp",MIN((Skills!T15*(1+Inputs!$B$35/100)),15)/15,MIN(1,(Skills!T15*(1+Inputs!$B$35/100))/(1/Q970)))))+((C971=TRUE)*F971*IF(AND(Inputs!$B$39&lt;&gt;"pvp",Inputs!$B$44&gt;0),(((R971-1)*MIN((Skills!T16*(1+Inputs!$B$35/100)),(1/Q971))+MIN((Skills!T16*(1+Inputs!$B$35/100)),MAX(0,Inputs!$B$44-((R971-1)*(1/Q971)))))/Inputs!$B$44),IF(Inputs!$B$39="pvp",MIN((Skills!T16*(1+Inputs!$B$35/100)),15)/15,MIN(1,(Skills!T16*(1+Inputs!$B$35/100))/(1/Q971)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964)</f>
        <v/>
      </c>
      <c r="L964">
        <f>K964*(MIN(Inputs!$B$23+((C977=TRUE)*(F977-Calc!F22)),(Inputs!$B$24+((C979=TRUE)*(F979-Calc!F24))+(IF(ArtifactsInput!$M$15,CHOOSE(ArtifactsInput!$N$15+1,25,30,35,40,45,50)/100*(Inputs!$B$12-Inputs!$B$12),0))))/100+(Inputs!$B$24+((C979=TRUE)*(F979-Calc!F24))+(IF(ArtifactsInput!$M$15,CHOOSE(ArtifactsInput!$N$15+1,25,30,35,40,45,50)/100*(Inputs!$B$12-Inputs!$B$12),0)))/100)/2</f>
        <v/>
      </c>
      <c r="M964">
        <f>L964*(1+(Inputs!$B$11+0+B989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964">
        <f>L964*(1-MIN((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964*(MIN((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64">
        <f>(1-Summary!$B$11)*T964+Summary!$B$11*V964</f>
        <v/>
      </c>
      <c r="P964">
        <f>IF(B994=0,0,O964/B994)</f>
        <v/>
      </c>
      <c r="Q964">
        <f>IFERROR(1/IF(Inputs!$B$39="pvp",15,MAX(0.1,Skills!D9-IF(TRUE=TRUE,Inputs!$B$33,0))),0)</f>
        <v/>
      </c>
      <c r="R964">
        <f>IF(AND(Inputs!$B$39&lt;&gt;"pvp",Inputs!$B$44&gt;0),IF(MAX(0,Inputs!$B$44-B991)&lt;=0,0,(INT(MAX(0,Inputs!$B$44-B991)/IF(Inputs!$B$39="pvp",15,MAX(0.1,Skills!D9-IF(TRUE=TRUE,Inputs!$B$33,0))))+1)),0)</f>
        <v/>
      </c>
      <c r="S964">
        <f>IFERROR(O964/N964,0)</f>
        <v/>
      </c>
      <c r="T964">
        <f>IF(C964,(H964*N964*IF(AND(Inputs!$B$39&lt;&gt;"pvp",Inputs!$B$44&gt;0),((Skills!G9*((R964-1)*IF(Skills!H9&gt;0,INT(Skills!I9/Skills!H9+0.000000001),1)+IF(Skills!H9&gt;0,INT(MIN(Skills!I9,MAX(0,MAX(0,Inputs!$B$44-B991)-((R964-1)*IF(Inputs!$B$39="pvp",15,MAX(0.1,Skills!D9-IF(TRUE=TRUE,Inputs!$B$33,0))))))/Skills!H9+0.000000001),1)))/Inputs!$B$44),G964*Q964))*IF(Inputs!$B$39="pvp",1,1+(Inputs!$B$21+0+Skills!P9+((C972=TRUE)*F972*IF(AND(Inputs!$B$39&lt;&gt;"pvp",Inputs!$B$44&gt;0),(((R972-1)*MIN((Skills!T17*(1+Inputs!$B$35/100)),(1/Q972))+MIN((Skills!T17*(1+Inputs!$B$35/100)),MAX(0,Inputs!$B$44-((R972-1)*(1/Q972)))))/Inputs!$B$44),IF(Inputs!$B$39="pvp",MIN((Skills!T17*(1+Inputs!$B$35/100)),15)/15,MIN(1,(Skills!T17*(1+Inputs!$B$35/100))/(1/Q972)))))+((C960=TRUE)*IF(Inputs!$B$3&gt;=126,10*MIN(1,15*Q960),0))+((C969=TRUE)*IF(Inputs!$B$39="pvp",20,(1-Summary!$B$11)*(20)+Summary!$B$11*(0))*IF(AND(Inputs!$B$39&lt;&gt;"pvp",Inputs!$B$44&gt;0),(((R969-1)*MIN((Skills!T14*(1+Inputs!$B$35/100)),(1/Q969))+MIN((Skills!T14*(1+Inputs!$B$35/100)),MAX(0,Inputs!$B$44-((R969-1)*(1/Q969)))))/Inputs!$B$44),IF(Inputs!$B$39="pvp",MIN((Skills!T14*(1+Inputs!$B$35/100)),15)/15,MIN(1,(Skills!T14*(1+Inputs!$B$35/100))/(1/Q969)))))+((C968=TRUE)*IF(Inputs!$B$3&gt;=82,IF(Inputs!$B$39="pvp",20,(1-Summary!$B$11)*(20)+Summary!$B$11*(0)),0)*IF(AND(Inputs!$B$39&lt;&gt;"pvp",Inputs!$B$44&gt;0),(((R968-1)*MIN((Skills!T13*(1+Inputs!$B$35/100)),(1/Q968))+MIN((Skills!T13*(1+Inputs!$B$35/100)),MAX(0,Inputs!$B$44-((R968-1)*(1/Q968)))))/Inputs!$B$44),IF(Inputs!$B$39="pvp",MIN((Skills!T13*(1+Inputs!$B$35/100)),15)/15,MIN(1,(Skills!T13*(1+Inputs!$B$35/100))/(1/Q968)))))+(IF(AND(ArtifactsInput!$M$35,Inputs!$B$4&lt;&gt;"Chapter Hunt"),CHOOSE(ArtifactsInput!$N$35+1,15,18,21,24,27,30)*(1-EXP(-(0.2*B986)*5)),0)+IF(AND(ArtifactsInput!$M$22,Inputs!$B$4&lt;&gt;"Chapter Hunt"),CHOOSE(ArtifactsInput!$N$22+1,10,12,14,16,18,20)*((0*(((0.15*B986*5))^0/1)+1*(((0.15*B986*5))^1/1)+2*(((0.15*B986*5))^2/2)+3*(((0.15*B986*5))^3/6)+4*(((0.15*B986*5))^4/24)+5*(((0.15*B986*5))^5/120))/((((0.15*B986*5))^0/1)+(((0.15*B986*5))^1/1)+(((0.15*B986*5))^2/2)+(((0.15*B986*5))^3/6)+(((0.15*B986*5))^4/24)+(((0.15*B986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964*(1-MIN(100,(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964*(MIN(100,(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964*(1-MIN(100,(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964*(MIN(100,(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64">
        <f>IF(C964,(H964*N964*IF(AND(Inputs!$B$39&lt;&gt;"pvp",Inputs!$B$44&gt;0),((Skills!G9*((R964-1)*IF(Skills!H9&gt;0,INT(Skills!I9/Skills!H9+0.000000001),1)+IF(Skills!H9&gt;0,INT(MIN(Skills!I9,MAX(0,MAX(0,Inputs!$B$44-B991)-((R964-1)*IF(Inputs!$B$39="pvp",15,MAX(0.1,Skills!D9-IF(TRUE=TRUE,Inputs!$B$33,0))))))/Skills!H9+0.000000001),1)))/Inputs!$B$44),G964*Q964))*IF(Inputs!$B$39="pvp",1,(1+(Inputs!$B$22+Skills!Q9+((C972=TRUE)*F972*IF(AND(Inputs!$B$39&lt;&gt;"pvp",Inputs!$B$44&gt;0),(((R972-1)*MIN((Skills!T17*(1+Inputs!$B$35/100)),(1/Q972))+MIN((Skills!T17*(1+Inputs!$B$35/100)),MAX(0,Inputs!$B$44-((R972-1)*(1/Q972)))))/Inputs!$B$44),IF(Inputs!$B$39="pvp",MIN((Skills!T17*(1+Inputs!$B$35/100)),15)/15,MIN(1,(Skills!T17*(1+Inputs!$B$35/100))/(1/Q972)))))+((C960=TRUE)*IF(Inputs!$B$3&gt;=126,10*MIN(1,15*Q960),0))+((C969=TRUE)*IF(Inputs!$B$39="pvp",20,(1-Summary!$B$11)*(20)+Summary!$B$11*(0))*IF(AND(Inputs!$B$39&lt;&gt;"pvp",Inputs!$B$44&gt;0),(((R969-1)*MIN((Skills!T14*(1+Inputs!$B$35/100)),(1/Q969))+MIN((Skills!T14*(1+Inputs!$B$35/100)),MAX(0,Inputs!$B$44-((R969-1)*(1/Q969)))))/Inputs!$B$44),IF(Inputs!$B$39="pvp",MIN((Skills!T14*(1+Inputs!$B$35/100)),15)/15,MIN(1,(Skills!T14*(1+Inputs!$B$35/100))/(1/Q969)))))+((C968=TRUE)*IF(Inputs!$B$3&gt;=82,IF(Inputs!$B$39="pvp",20,(1-Summary!$B$11)*(20)+Summary!$B$11*(0)),0)*IF(AND(Inputs!$B$39&lt;&gt;"pvp",Inputs!$B$44&gt;0),(((R968-1)*MIN((Skills!T13*(1+Inputs!$B$35/100)),(1/Q968))+MIN((Skills!T13*(1+Inputs!$B$35/100)),MAX(0,Inputs!$B$44-((R968-1)*(1/Q968)))))/Inputs!$B$44),IF(Inputs!$B$39="pvp",MIN((Skills!T13*(1+Inputs!$B$35/100)),15)/15,MIN(1,(Skills!T13*(1+Inputs!$B$35/100))/(1/Q968)))))+(IF(AND(ArtifactsInput!$M$35,Inputs!$B$4&lt;&gt;"Chapter Hunt"),CHOOSE(ArtifactsInput!$N$35+1,15,18,21,24,27,30)*(1-EXP(-(0.2*B986)*5)),0)+IF(AND(ArtifactsInput!$M$22,Inputs!$B$4&lt;&gt;"Chapter Hunt"),CHOOSE(ArtifactsInput!$N$22+1,10,12,14,16,18,20)*((0*(((0.15*B986*5))^0/1)+1*(((0.15*B986*5))^1/1)+2*(((0.15*B986*5))^2/2)+3*(((0.15*B986*5))^3/6)+4*(((0.15*B986*5))^4/24)+5*(((0.15*B986*5))^5/120))/((((0.15*B986*5))^0/1)+(((0.15*B986*5))^1/1)+(((0.15*B986*5))^2/2)+(((0.15*B986*5))^3/6)+(((0.15*B986*5))^4/24)+(((0.15*B986*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65">
      <c r="A965">
        <f>Skills!A10</f>
        <v/>
      </c>
      <c r="B965">
        <f>Skills!B10</f>
        <v/>
      </c>
      <c r="C965">
        <f>Inputs!$B$3&gt;=110</f>
        <v/>
      </c>
      <c r="D965">
        <f>IF(Skills!C10=1,60+Inputs!$B$26+Inputs!$B$30,IF(Skills!C10=2,90+Inputs!$B$27+Inputs!$B$30,IF(Skills!C10=3,120+Inputs!$B$28+Inputs!$B$30,MAX(0,(Inputs!$B$3-100)*3)+(Inputs!$B$29+1)+Inputs!$B$30)))</f>
        <v/>
      </c>
      <c r="E965">
        <f>INDEX(FactorTable!$B$2:$Y$301, MATCH(ROUND(MIN(300,MAX(1,D965)),0), FactorTable!$A$2:$A$301,0), Skills!M10+1)</f>
        <v/>
      </c>
      <c r="F965">
        <f>IF(Skills!N10=TRUE,(Skills!L10/10)*(E965/1000),Skills!L10/10)+Skills!O10</f>
        <v/>
      </c>
      <c r="G965">
        <f>Skills!G10*IF(Skills!H10&gt;0,INT(IF(Inputs!$B$39="pvp",MIN(Skills!I10,15),Skills!I10)/Skills!H10+0.000000001),1)</f>
        <v/>
      </c>
      <c r="H965">
        <f>1-(1-Skills!J10/100)^Skills!K10</f>
        <v/>
      </c>
      <c r="I965" t="inlineStr">
        <is>
          <t>1</t>
        </is>
      </c>
      <c r="J965">
        <f>((Inputs!$B$6*(1+Inputs!$B$7/100))+(((Inputs!$B$13*(1+Inputs!$B$14/100))-(Inputs!$B$13*(1+Inputs!$B$14/100)))+0.25*(Inputs!$B$15-Inputs!$B$15))*(1+Inputs!$B$7/100))*(F965/100)</f>
        <v/>
      </c>
      <c r="K965">
        <f>J965*(1+(((Inputs!$B$13+IF(Inputs!$B$3&gt;=38,(10*INDEX(FactorTable!$B$2:$Y$301, MATCH(ROUND(MIN(300,MAX(1,Inputs!$B$3)),0), FactorTable!$A$2:$A$301,0), 23)/1000)/100*(Inputs!$B$8*(1+Inputs!$B$9/100)),0))*(1+Inputs!$B$14/100))*0.01+Inputs!$B$15*0.0025)/100)*(1+Inputs!$B$16/100)*(1+Inputs!$B$17/100)*(5000/(6000+Inputs!$B$43*(1-(Inputs!$B$20+0)/100)))*(1+(Inputs!$B$25+((C980=TRUE)*(F980-Calc!F25))+((C981=TRUE)*(F981-Calc!F26))+B990)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gt;=100),MIN(100,((Inputs!$B$10+0+B984+(ArtifactsInput!$M$24-ArtifactsInput!$M$24)*CHOOSE(ArtifactsInput!$N$24+1,10,12,14,16,18,20)+IF(ArtifactsInput!$M$10,CHOOSE(ArtifactsInput!$N$10+1,15,18,21,24,27,30)*(IF(Inputs!$B$39="pvp",MIN(15,15)/15,IF(AND(Inputs!$B$39&lt;&gt;"pvp",Inputs!$B$44&gt;0),MIN(15,Inputs!$B$44)/(Inputs!$B$44),0))),0)))-100),0))*CHOOSE(ArtifactsInput!$N$42+1,0.6,0.72,0.84,0.96,1.08,1.2))),Inputs!$B$19+((C978=TRUE)*(F978-Calc!F23))+(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gt;=100),CHOOSE(ArtifactsInput!$N$42+1,40,48,56,64,72,80),0))))/100)*((1+(((C968=TRUE)*F968*IF(AND(Inputs!$B$39&lt;&gt;"pvp",Inputs!$B$44&gt;0),(((R968-1)*MIN((Skills!T13*(1+Inputs!$B$35/100)),(1/Q968))+MIN((Skills!T13*(1+Inputs!$B$35/100)),MAX(0,Inputs!$B$44-((R968-1)*(1/Q968)))))/Inputs!$B$44),IF(Inputs!$B$39="pvp",MIN((Skills!T13*(1+Inputs!$B$35/100)),15)/15,MIN(1,(Skills!T13*(1+Inputs!$B$35/100))/(1/Q968)))))+((C969=TRUE)*F969*IF(AND(Inputs!$B$39&lt;&gt;"pvp",Inputs!$B$44&gt;0),(((R969-1)*MIN((Skills!T14*(1+Inputs!$B$35/100)),(1/Q969))+MIN((Skills!T14*(1+Inputs!$B$35/100)),MAX(0,Inputs!$B$44-((R969-1)*(1/Q969)))))/Inputs!$B$44),IF(Inputs!$B$39="pvp",MIN((Skills!T14*(1+Inputs!$B$35/100)),15)/15,MIN(1,(Skills!T14*(1+Inputs!$B$35/100))/(1/Q969)))))+((C970=TRUE)*F970*IF(AND(Inputs!$B$39&lt;&gt;"pvp",Inputs!$B$44&gt;0),(((R970-1)*MIN((Skills!T15*(1+Inputs!$B$35/100)),(1/Q970))+MIN((Skills!T15*(1+Inputs!$B$35/100)),MAX(0,Inputs!$B$44-((R970-1)*(1/Q970)))))/Inputs!$B$44),IF(Inputs!$B$39="pvp",MIN((Skills!T15*(1+Inputs!$B$35/100)),15)/15,MIN(1,(Skills!T15*(1+Inputs!$B$35/100))/(1/Q970)))))+((C971=TRUE)*F971*IF(AND(Inputs!$B$39&lt;&gt;"pvp",Inputs!$B$44&gt;0),(((R971-1)*MIN((Skills!T16*(1+Inputs!$B$35/100)),(1/Q971))+MIN((Skills!T16*(1+Inputs!$B$35/100)),MAX(0,Inputs!$B$44-((R971-1)*(1/Q971)))))/Inputs!$B$44),IF(Inputs!$B$39="pvp",MIN((Skills!T16*(1+Inputs!$B$35/100)),15)/15,MIN(1,(Skills!T16*(1+Inputs!$B$35/100))/(1/Q971)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965)</f>
        <v/>
      </c>
      <c r="L965">
        <f>K965*(MIN(Inputs!$B$23+((C977=TRUE)*(F977-Calc!F22)),(Inputs!$B$24+((C979=TRUE)*(F979-Calc!F24))+(IF(ArtifactsInput!$M$15,CHOOSE(ArtifactsInput!$N$15+1,25,30,35,40,45,50)/100*(Inputs!$B$12-Inputs!$B$12),0))))/100+(Inputs!$B$24+((C979=TRUE)*(F979-Calc!F24))+(IF(ArtifactsInput!$M$15,CHOOSE(ArtifactsInput!$N$15+1,25,30,35,40,45,50)/100*(Inputs!$B$12-Inputs!$B$12),0)))/100)/2</f>
        <v/>
      </c>
      <c r="M965">
        <f>L965*(1+(Inputs!$B$11+0+B989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965">
        <f>L965*(1-MIN((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965*(MIN((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65">
        <f>(1-Summary!$B$11)*T965+Summary!$B$11*V965</f>
        <v/>
      </c>
      <c r="P965">
        <f>IF(B994=0,0,O965/B994)</f>
        <v/>
      </c>
      <c r="Q965">
        <f>IFERROR(1/IF(Inputs!$B$39="pvp",15,MAX(0.1,Skills!D10-IF(TRUE=TRUE,Inputs!$B$33,0))),0)</f>
        <v/>
      </c>
      <c r="R965">
        <f>IF(AND(Inputs!$B$39&lt;&gt;"pvp",Inputs!$B$44&gt;0),IF(MAX(0,Inputs!$B$44-B991)&lt;=0,0,(INT(MAX(0,Inputs!$B$44-B991)/IF(Inputs!$B$39="pvp",15,MAX(0.1,Skills!D10-IF(TRUE=TRUE,Inputs!$B$33,0))))+1)),0)</f>
        <v/>
      </c>
      <c r="S965">
        <f>IFERROR(O965/N965,0)</f>
        <v/>
      </c>
      <c r="T965">
        <f>IF(C965,(H965*N965*IF(AND(Inputs!$B$39&lt;&gt;"pvp",Inputs!$B$44&gt;0),((Skills!G10*((R965-1)*IF(Skills!H10&gt;0,INT(Skills!I10/Skills!H10+0.000000001),1)+IF(Skills!H10&gt;0,INT(MIN(Skills!I10,MAX(0,MAX(0,Inputs!$B$44-B991)-((R965-1)*IF(Inputs!$B$39="pvp",15,MAX(0.1,Skills!D10-IF(TRUE=TRUE,Inputs!$B$33,0))))))/Skills!H10+0.000000001),1)))/Inputs!$B$44),G965*Q965))*IF(Inputs!$B$39="pvp",1,1+(Inputs!$B$21+0+Skills!P10+((C972=TRUE)*F972*IF(AND(Inputs!$B$39&lt;&gt;"pvp",Inputs!$B$44&gt;0),(((R972-1)*MIN((Skills!T17*(1+Inputs!$B$35/100)),(1/Q972))+MIN((Skills!T17*(1+Inputs!$B$35/100)),MAX(0,Inputs!$B$44-((R972-1)*(1/Q972)))))/Inputs!$B$44),IF(Inputs!$B$39="pvp",MIN((Skills!T17*(1+Inputs!$B$35/100)),15)/15,MIN(1,(Skills!T17*(1+Inputs!$B$35/100))/(1/Q972)))))+((C960=TRUE)*IF(Inputs!$B$3&gt;=126,10*MIN(1,15*Q960),0))+((C969=TRUE)*IF(Inputs!$B$39="pvp",20,(1-Summary!$B$11)*(20)+Summary!$B$11*(0))*IF(AND(Inputs!$B$39&lt;&gt;"pvp",Inputs!$B$44&gt;0),(((R969-1)*MIN((Skills!T14*(1+Inputs!$B$35/100)),(1/Q969))+MIN((Skills!T14*(1+Inputs!$B$35/100)),MAX(0,Inputs!$B$44-((R969-1)*(1/Q969)))))/Inputs!$B$44),IF(Inputs!$B$39="pvp",MIN((Skills!T14*(1+Inputs!$B$35/100)),15)/15,MIN(1,(Skills!T14*(1+Inputs!$B$35/100))/(1/Q969)))))+((C968=TRUE)*IF(Inputs!$B$3&gt;=82,IF(Inputs!$B$39="pvp",20,(1-Summary!$B$11)*(20)+Summary!$B$11*(0)),0)*IF(AND(Inputs!$B$39&lt;&gt;"pvp",Inputs!$B$44&gt;0),(((R968-1)*MIN((Skills!T13*(1+Inputs!$B$35/100)),(1/Q968))+MIN((Skills!T13*(1+Inputs!$B$35/100)),MAX(0,Inputs!$B$44-((R968-1)*(1/Q968)))))/Inputs!$B$44),IF(Inputs!$B$39="pvp",MIN((Skills!T13*(1+Inputs!$B$35/100)),15)/15,MIN(1,(Skills!T13*(1+Inputs!$B$35/100))/(1/Q968)))))+(IF(AND(ArtifactsInput!$M$35,Inputs!$B$4&lt;&gt;"Chapter Hunt"),CHOOSE(ArtifactsInput!$N$35+1,15,18,21,24,27,30)*(1-EXP(-(0.2*B986)*5)),0)+IF(AND(ArtifactsInput!$M$22,Inputs!$B$4&lt;&gt;"Chapter Hunt"),CHOOSE(ArtifactsInput!$N$22+1,10,12,14,16,18,20)*((0*(((0.15*B986*5))^0/1)+1*(((0.15*B986*5))^1/1)+2*(((0.15*B986*5))^2/2)+3*(((0.15*B986*5))^3/6)+4*(((0.15*B986*5))^4/24)+5*(((0.15*B986*5))^5/120))/((((0.15*B986*5))^0/1)+(((0.15*B986*5))^1/1)+(((0.15*B986*5))^2/2)+(((0.15*B986*5))^3/6)+(((0.15*B986*5))^4/24)+(((0.15*B986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965*(1-MIN(100,(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965*(MIN(100,(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965*(1-MIN(100,(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965*(MIN(100,(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65">
        <f>IF(C965,(H965*N965*IF(AND(Inputs!$B$39&lt;&gt;"pvp",Inputs!$B$44&gt;0),((Skills!G10*((R965-1)*IF(Skills!H10&gt;0,INT(Skills!I10/Skills!H10+0.000000001),1)+IF(Skills!H10&gt;0,INT(MIN(Skills!I10,MAX(0,MAX(0,Inputs!$B$44-B991)-((R965-1)*IF(Inputs!$B$39="pvp",15,MAX(0.1,Skills!D10-IF(TRUE=TRUE,Inputs!$B$33,0))))))/Skills!H10+0.000000001),1)))/Inputs!$B$44),G965*Q965))*IF(Inputs!$B$39="pvp",1,(1+(Inputs!$B$22+Skills!Q10+((C972=TRUE)*F972*IF(AND(Inputs!$B$39&lt;&gt;"pvp",Inputs!$B$44&gt;0),(((R972-1)*MIN((Skills!T17*(1+Inputs!$B$35/100)),(1/Q972))+MIN((Skills!T17*(1+Inputs!$B$35/100)),MAX(0,Inputs!$B$44-((R972-1)*(1/Q972)))))/Inputs!$B$44),IF(Inputs!$B$39="pvp",MIN((Skills!T17*(1+Inputs!$B$35/100)),15)/15,MIN(1,(Skills!T17*(1+Inputs!$B$35/100))/(1/Q972)))))+((C960=TRUE)*IF(Inputs!$B$3&gt;=126,10*MIN(1,15*Q960),0))+((C969=TRUE)*IF(Inputs!$B$39="pvp",20,(1-Summary!$B$11)*(20)+Summary!$B$11*(0))*IF(AND(Inputs!$B$39&lt;&gt;"pvp",Inputs!$B$44&gt;0),(((R969-1)*MIN((Skills!T14*(1+Inputs!$B$35/100)),(1/Q969))+MIN((Skills!T14*(1+Inputs!$B$35/100)),MAX(0,Inputs!$B$44-((R969-1)*(1/Q969)))))/Inputs!$B$44),IF(Inputs!$B$39="pvp",MIN((Skills!T14*(1+Inputs!$B$35/100)),15)/15,MIN(1,(Skills!T14*(1+Inputs!$B$35/100))/(1/Q969)))))+((C968=TRUE)*IF(Inputs!$B$3&gt;=82,IF(Inputs!$B$39="pvp",20,(1-Summary!$B$11)*(20)+Summary!$B$11*(0)),0)*IF(AND(Inputs!$B$39&lt;&gt;"pvp",Inputs!$B$44&gt;0),(((R968-1)*MIN((Skills!T13*(1+Inputs!$B$35/100)),(1/Q968))+MIN((Skills!T13*(1+Inputs!$B$35/100)),MAX(0,Inputs!$B$44-((R968-1)*(1/Q968)))))/Inputs!$B$44),IF(Inputs!$B$39="pvp",MIN((Skills!T13*(1+Inputs!$B$35/100)),15)/15,MIN(1,(Skills!T13*(1+Inputs!$B$35/100))/(1/Q968)))))+(IF(AND(ArtifactsInput!$M$35,Inputs!$B$4&lt;&gt;"Chapter Hunt"),CHOOSE(ArtifactsInput!$N$35+1,15,18,21,24,27,30)*(1-EXP(-(0.2*B986)*5)),0)+IF(AND(ArtifactsInput!$M$22,Inputs!$B$4&lt;&gt;"Chapter Hunt"),CHOOSE(ArtifactsInput!$N$22+1,10,12,14,16,18,20)*((0*(((0.15*B986*5))^0/1)+1*(((0.15*B986*5))^1/1)+2*(((0.15*B986*5))^2/2)+3*(((0.15*B986*5))^3/6)+4*(((0.15*B986*5))^4/24)+5*(((0.15*B986*5))^5/120))/((((0.15*B986*5))^0/1)+(((0.15*B986*5))^1/1)+(((0.15*B986*5))^2/2)+(((0.15*B986*5))^3/6)+(((0.15*B986*5))^4/24)+(((0.15*B986*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66">
      <c r="A966">
        <f>Skills!A11</f>
        <v/>
      </c>
      <c r="B966">
        <f>Skills!B11</f>
        <v/>
      </c>
      <c r="C966">
        <f>Inputs!$B$3&gt;=100</f>
        <v/>
      </c>
      <c r="D966">
        <f>IF(Skills!C11=1,60+Inputs!$B$26+Inputs!$B$30,IF(Skills!C11=2,90+Inputs!$B$27+Inputs!$B$30,IF(Skills!C11=3,120+Inputs!$B$28+Inputs!$B$30,MAX(0,(Inputs!$B$3-100)*3)+(Inputs!$B$29+1)+Inputs!$B$30)))</f>
        <v/>
      </c>
      <c r="E966">
        <f>INDEX(FactorTable!$B$2:$Y$301, MATCH(ROUND(MIN(300,MAX(1,D966)),0), FactorTable!$A$2:$A$301,0), Skills!M11+1)</f>
        <v/>
      </c>
      <c r="F966">
        <f>IF(Skills!N11=TRUE,(Skills!L11/10)*(E966/1000),Skills!L11/10)+Skills!O11</f>
        <v/>
      </c>
      <c r="G966" t="inlineStr"/>
      <c r="H966" t="inlineStr"/>
      <c r="I966" t="inlineStr">
        <is>
          <t>1</t>
        </is>
      </c>
      <c r="J966" t="inlineStr"/>
      <c r="K966" t="inlineStr"/>
      <c r="L966" t="inlineStr"/>
      <c r="M966" t="inlineStr"/>
      <c r="N966" t="inlineStr"/>
      <c r="O966" t="inlineStr"/>
      <c r="P966" t="inlineStr"/>
      <c r="Q966" t="inlineStr"/>
      <c r="R966" t="inlineStr"/>
      <c r="S966" t="inlineStr"/>
    </row>
    <row r="967">
      <c r="A967">
        <f>Skills!A12</f>
        <v/>
      </c>
      <c r="B967">
        <f>Skills!B12</f>
        <v/>
      </c>
      <c r="C967">
        <f>Inputs!$B$3&gt;=63</f>
        <v/>
      </c>
      <c r="D967">
        <f>IF(Skills!C12=1,60+Inputs!$B$26+Inputs!$B$30,IF(Skills!C12=2,90+Inputs!$B$27+Inputs!$B$30,IF(Skills!C12=3,120+Inputs!$B$28+Inputs!$B$30,MAX(0,(Inputs!$B$3-100)*3)+(Inputs!$B$29+1)+Inputs!$B$30)))</f>
        <v/>
      </c>
      <c r="E967">
        <f>INDEX(FactorTable!$B$2:$Y$301, MATCH(ROUND(MIN(300,MAX(1,D967)),0), FactorTable!$A$2:$A$301,0), Skills!M12+1)</f>
        <v/>
      </c>
      <c r="F967">
        <f>IF(Skills!N12=TRUE,(Skills!L12/10)*(E967/1000),Skills!L12/10)+Skills!O12</f>
        <v/>
      </c>
      <c r="G967">
        <f>Skills!G12*IF(Skills!H12&gt;0,INT(IF(Inputs!$B$39="pvp",MIN(Skills!I12,15),Skills!I12)/Skills!H12+0.000000001),1)</f>
        <v/>
      </c>
      <c r="H967">
        <f>1-(1-Skills!J12/100)^Skills!K12</f>
        <v/>
      </c>
      <c r="I967" t="inlineStr">
        <is>
          <t>1</t>
        </is>
      </c>
      <c r="J967">
        <f>((Inputs!$B$6*(1+Inputs!$B$7/100))+(((Inputs!$B$13*(1+Inputs!$B$14/100))-(Inputs!$B$13*(1+Inputs!$B$14/100)))+0.25*(Inputs!$B$15-Inputs!$B$15))*(1+Inputs!$B$7/100))*(F967/100)</f>
        <v/>
      </c>
      <c r="K967">
        <f>J967*(1+(((Inputs!$B$13+IF(Inputs!$B$3&gt;=38,(10*INDEX(FactorTable!$B$2:$Y$301, MATCH(ROUND(MIN(300,MAX(1,Inputs!$B$3)),0), FactorTable!$A$2:$A$301,0), 23)/1000)/100*(Inputs!$B$8*(1+Inputs!$B$9/100)),0))*(1+Inputs!$B$14/100))*0.01+Inputs!$B$15*0.0025)/100)*(1+Inputs!$B$16/100)*(1+Inputs!$B$17/100)*(5000/(6000+Inputs!$B$43*(1-(Inputs!$B$20+0)/100)))*(1+(Inputs!$B$25+((C980=TRUE)*(F980-Calc!F25))+((C981=TRUE)*(F981-Calc!F26))+B990)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966=TRUE,F966,0)/100)*(1+(IF(Skills!A12="DARK_IMPALE",Inputs!$B$18+0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gt;=100),MIN(100,((Inputs!$B$10+0+B984+(ArtifactsInput!$M$24-ArtifactsInput!$M$24)*CHOOSE(ArtifactsInput!$N$24+1,10,12,14,16,18,20)+IF(ArtifactsInput!$M$10,CHOOSE(ArtifactsInput!$N$10+1,15,18,21,24,27,30)*(IF(Inputs!$B$39="pvp",MIN(15,15)/15,IF(AND(Inputs!$B$39&lt;&gt;"pvp",Inputs!$B$44&gt;0),MIN(15,Inputs!$B$44)/(Inputs!$B$44),0))),0)))-100),0))*CHOOSE(ArtifactsInput!$N$42+1,0.6,0.72,0.84,0.96,1.08,1.2))),Inputs!$B$19+((C978=TRUE)*(F978-Calc!F23))+(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gt;=100),CHOOSE(ArtifactsInput!$N$42+1,40,48,56,64,72,80),0))))/100)*((1+(((C968=TRUE)*F968*IF(AND(Inputs!$B$39&lt;&gt;"pvp",Inputs!$B$44&gt;0),(((R968-1)*MIN((Skills!T13*(1+Inputs!$B$35/100)),(1/Q968))+MIN((Skills!T13*(1+Inputs!$B$35/100)),MAX(0,Inputs!$B$44-((R968-1)*(1/Q968)))))/Inputs!$B$44),IF(Inputs!$B$39="pvp",MIN((Skills!T13*(1+Inputs!$B$35/100)),15)/15,MIN(1,(Skills!T13*(1+Inputs!$B$35/100))/(1/Q968)))))+((C969=TRUE)*F969*IF(AND(Inputs!$B$39&lt;&gt;"pvp",Inputs!$B$44&gt;0),(((R969-1)*MIN((Skills!T14*(1+Inputs!$B$35/100)),(1/Q969))+MIN((Skills!T14*(1+Inputs!$B$35/100)),MAX(0,Inputs!$B$44-((R969-1)*(1/Q969)))))/Inputs!$B$44),IF(Inputs!$B$39="pvp",MIN((Skills!T14*(1+Inputs!$B$35/100)),15)/15,MIN(1,(Skills!T14*(1+Inputs!$B$35/100))/(1/Q969)))))+((C970=TRUE)*F970*IF(AND(Inputs!$B$39&lt;&gt;"pvp",Inputs!$B$44&gt;0),(((R970-1)*MIN((Skills!T15*(1+Inputs!$B$35/100)),(1/Q970))+MIN((Skills!T15*(1+Inputs!$B$35/100)),MAX(0,Inputs!$B$44-((R970-1)*(1/Q970)))))/Inputs!$B$44),IF(Inputs!$B$39="pvp",MIN((Skills!T15*(1+Inputs!$B$35/100)),15)/15,MIN(1,(Skills!T15*(1+Inputs!$B$35/100))/(1/Q970)))))+((C971=TRUE)*F971*IF(AND(Inputs!$B$39&lt;&gt;"pvp",Inputs!$B$44&gt;0),(((R971-1)*MIN((Skills!T16*(1+Inputs!$B$35/100)),(1/Q971))+MIN((Skills!T16*(1+Inputs!$B$35/100)),MAX(0,Inputs!$B$44-((R971-1)*(1/Q971)))))/Inputs!$B$44),IF(Inputs!$B$39="pvp",MIN((Skills!T16*(1+Inputs!$B$35/100)),15)/15,MIN(1,(Skills!T16*(1+Inputs!$B$35/100))/(1/Q971)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967)</f>
        <v/>
      </c>
      <c r="L967">
        <f>K967*(MIN(Inputs!$B$23+((C977=TRUE)*(F977-Calc!F22)),(Inputs!$B$24+((C979=TRUE)*(F979-Calc!F24))+(IF(ArtifactsInput!$M$15,CHOOSE(ArtifactsInput!$N$15+1,25,30,35,40,45,50)/100*(Inputs!$B$12-Inputs!$B$12),0))))/100+(Inputs!$B$24+((C979=TRUE)*(F979-Calc!F24))+(IF(ArtifactsInput!$M$15,CHOOSE(ArtifactsInput!$N$15+1,25,30,35,40,45,50)/100*(Inputs!$B$12-Inputs!$B$12),0)))/100)/2</f>
        <v/>
      </c>
      <c r="M967">
        <f>L967*(1+(Inputs!$B$11+0+B989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967">
        <f>L967*(1-MIN((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967*(MIN((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67">
        <f>(1-Summary!$B$11)*T967+Summary!$B$11*V967</f>
        <v/>
      </c>
      <c r="P967">
        <f>IF(B994=0,0,O967/B994)</f>
        <v/>
      </c>
      <c r="Q967">
        <f>IFERROR(1/IF(Inputs!$B$39="pvp",15,MAX(0.1,Skills!D12-IF(TRUE=TRUE,Inputs!$B$33,0))),0)</f>
        <v/>
      </c>
      <c r="R967">
        <f>IF(AND(Inputs!$B$39&lt;&gt;"pvp",Inputs!$B$44&gt;0),IF(MAX(0,Inputs!$B$44-B991)&lt;=0,0,(INT(MAX(0,Inputs!$B$44-B991)/IF(Inputs!$B$39="pvp",15,MAX(0.1,Skills!D12-IF(TRUE=TRUE,Inputs!$B$33,0))))+1)),0)</f>
        <v/>
      </c>
      <c r="S967">
        <f>IFERROR(O967/N967,0)</f>
        <v/>
      </c>
      <c r="T967">
        <f>IF(C967,(H967*N967*IF(AND(Inputs!$B$39&lt;&gt;"pvp",Inputs!$B$44&gt;0),((Skills!G12*((R967-1)*IF(Skills!H12&gt;0,INT(Skills!I12/Skills!H12+0.000000001),1)+IF(Skills!H12&gt;0,INT(MIN(Skills!I12,MAX(0,MAX(0,Inputs!$B$44-B991)-((R967-1)*IF(Inputs!$B$39="pvp",15,MAX(0.1,Skills!D12-IF(TRUE=TRUE,Inputs!$B$33,0))))))/Skills!H12+0.000000001),1)))/Inputs!$B$44),G967*Q967))*IF(Inputs!$B$39="pvp",1,1+(Inputs!$B$21+0+Skills!P12+((C972=TRUE)*F972*IF(AND(Inputs!$B$39&lt;&gt;"pvp",Inputs!$B$44&gt;0),(((R972-1)*MIN((Skills!T17*(1+Inputs!$B$35/100)),(1/Q972))+MIN((Skills!T17*(1+Inputs!$B$35/100)),MAX(0,Inputs!$B$44-((R972-1)*(1/Q972)))))/Inputs!$B$44),IF(Inputs!$B$39="pvp",MIN((Skills!T17*(1+Inputs!$B$35/100)),15)/15,MIN(1,(Skills!T17*(1+Inputs!$B$35/100))/(1/Q972)))))+((C960=TRUE)*IF(Inputs!$B$3&gt;=126,10*MIN(1,15*Q960),0))+((C969=TRUE)*IF(Inputs!$B$39="pvp",20,(1-Summary!$B$11)*(20)+Summary!$B$11*(0))*IF(AND(Inputs!$B$39&lt;&gt;"pvp",Inputs!$B$44&gt;0),(((R969-1)*MIN((Skills!T14*(1+Inputs!$B$35/100)),(1/Q969))+MIN((Skills!T14*(1+Inputs!$B$35/100)),MAX(0,Inputs!$B$44-((R969-1)*(1/Q969)))))/Inputs!$B$44),IF(Inputs!$B$39="pvp",MIN((Skills!T14*(1+Inputs!$B$35/100)),15)/15,MIN(1,(Skills!T14*(1+Inputs!$B$35/100))/(1/Q969)))))+((C968=TRUE)*IF(Inputs!$B$3&gt;=82,IF(Inputs!$B$39="pvp",20,(1-Summary!$B$11)*(20)+Summary!$B$11*(0)),0)*IF(AND(Inputs!$B$39&lt;&gt;"pvp",Inputs!$B$44&gt;0),(((R968-1)*MIN((Skills!T13*(1+Inputs!$B$35/100)),(1/Q968))+MIN((Skills!T13*(1+Inputs!$B$35/100)),MAX(0,Inputs!$B$44-((R968-1)*(1/Q968)))))/Inputs!$B$44),IF(Inputs!$B$39="pvp",MIN((Skills!T13*(1+Inputs!$B$35/100)),15)/15,MIN(1,(Skills!T13*(1+Inputs!$B$35/100))/(1/Q968)))))+(IF(AND(ArtifactsInput!$M$35,Inputs!$B$4&lt;&gt;"Chapter Hunt"),CHOOSE(ArtifactsInput!$N$35+1,15,18,21,24,27,30)*(1-EXP(-(0.2*B986)*5)),0)+IF(AND(ArtifactsInput!$M$22,Inputs!$B$4&lt;&gt;"Chapter Hunt"),CHOOSE(ArtifactsInput!$N$22+1,10,12,14,16,18,20)*((0*(((0.15*B986*5))^0/1)+1*(((0.15*B986*5))^1/1)+2*(((0.15*B986*5))^2/2)+3*(((0.15*B986*5))^3/6)+4*(((0.15*B986*5))^4/24)+5*(((0.15*B986*5))^5/120))/((((0.15*B986*5))^0/1)+(((0.15*B986*5))^1/1)+(((0.15*B986*5))^2/2)+(((0.15*B986*5))^3/6)+(((0.15*B986*5))^4/24)+(((0.15*B986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967*(1-MIN(100,(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967*(MIN(100,(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967*(1-MIN(100,(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967*(MIN(100,(Inputs!$B$10+0+B984+(ArtifactsInput!$M$24-ArtifactsInput!$M$24)*CHOOSE(ArtifactsInput!$N$24+1,10,12,14,16,18,20)+(IF(AND(Inputs!$B$39&lt;&gt;"pvp",Inputs!$B$44=0),1,IF(IF(Inputs!$B$39="pvp",15,Inputs!$B$44)-(B991)&lt;=0,1,MAX(0,IF(Inputs!$B$39="pvp",15,Inputs!$B$44)-MAX(5,B991))/(IF(Inputs!$B$39="pvp",15,Inputs!$B$44)-(B991))))*IF(AND(ArtifactsInput!$M$42,((Inputs!$B$10+0+B984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967">
        <f>IF(C967,(H967*N967*IF(AND(Inputs!$B$39&lt;&gt;"pvp",Inputs!$B$44&gt;0),((Skills!G12*((R967-1)*IF(Skills!H12&gt;0,INT(Skills!I12/Skills!H12+0.000000001),1)+IF(Skills!H12&gt;0,INT(MIN(Skills!I12,MAX(0,MAX(0,Inputs!$B$44-B991)-((R967-1)*IF(Inputs!$B$39="pvp",15,MAX(0.1,Skills!D12-IF(TRUE=TRUE,Inputs!$B$33,0))))))/Skills!H12+0.000000001),1)))/Inputs!$B$44),G967*Q967))*IF(Inputs!$B$39="pvp",1,(1+(Inputs!$B$22+Skills!Q12+((C972=TRUE)*F972*IF(AND(Inputs!$B$39&lt;&gt;"pvp",Inputs!$B$44&gt;0),(((R972-1)*MIN((Skills!T17*(1+Inputs!$B$35/100)),(1/Q972))+MIN((Skills!T17*(1+Inputs!$B$35/100)),MAX(0,Inputs!$B$44-((R972-1)*(1/Q972)))))/Inputs!$B$44),IF(Inputs!$B$39="pvp",MIN((Skills!T17*(1+Inputs!$B$35/100)),15)/15,MIN(1,(Skills!T17*(1+Inputs!$B$35/100))/(1/Q972)))))+((C960=TRUE)*IF(Inputs!$B$3&gt;=126,10*MIN(1,15*Q960),0))+((C969=TRUE)*IF(Inputs!$B$39="pvp",20,(1-Summary!$B$11)*(20)+Summary!$B$11*(0))*IF(AND(Inputs!$B$39&lt;&gt;"pvp",Inputs!$B$44&gt;0),(((R969-1)*MIN((Skills!T14*(1+Inputs!$B$35/100)),(1/Q969))+MIN((Skills!T14*(1+Inputs!$B$35/100)),MAX(0,Inputs!$B$44-((R969-1)*(1/Q969)))))/Inputs!$B$44),IF(Inputs!$B$39="pvp",MIN((Skills!T14*(1+Inputs!$B$35/100)),15)/15,MIN(1,(Skills!T14*(1+Inputs!$B$35/100))/(1/Q969)))))+((C968=TRUE)*IF(Inputs!$B$3&gt;=82,IF(Inputs!$B$39="pvp",20,(1-Summary!$B$11)*(20)+Summary!$B$11*(0)),0)*IF(AND(Inputs!$B$39&lt;&gt;"pvp",Inputs!$B$44&gt;0),(((R968-1)*MIN((Skills!T13*(1+Inputs!$B$35/100)),(1/Q968))+MIN((Skills!T13*(1+Inputs!$B$35/100)),MAX(0,Inputs!$B$44-((R968-1)*(1/Q968)))))/Inputs!$B$44),IF(Inputs!$B$39="pvp",MIN((Skills!T13*(1+Inputs!$B$35/100)),15)/15,MIN(1,(Skills!T13*(1+Inputs!$B$35/100))/(1/Q968)))))+(IF(AND(ArtifactsInput!$M$35,Inputs!$B$4&lt;&gt;"Chapter Hunt"),CHOOSE(ArtifactsInput!$N$35+1,15,18,21,24,27,30)*(1-EXP(-(0.2*B986)*5)),0)+IF(AND(ArtifactsInput!$M$22,Inputs!$B$4&lt;&gt;"Chapter Hunt"),CHOOSE(ArtifactsInput!$N$22+1,10,12,14,16,18,20)*((0*(((0.15*B986*5))^0/1)+1*(((0.15*B986*5))^1/1)+2*(((0.15*B986*5))^2/2)+3*(((0.15*B986*5))^3/6)+4*(((0.15*B986*5))^4/24)+5*(((0.15*B986*5))^5/120))/((((0.15*B986*5))^0/1)+(((0.15*B986*5))^1/1)+(((0.15*B986*5))^2/2)+(((0.15*B986*5))^3/6)+(((0.15*B986*5))^4/24)+(((0.15*B986*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68">
      <c r="A968">
        <f>Skills!A13</f>
        <v/>
      </c>
      <c r="B968">
        <f>Skills!B13</f>
        <v/>
      </c>
      <c r="C968">
        <f>Inputs!$B$3&gt;=69</f>
        <v/>
      </c>
      <c r="D968">
        <f>IF(Skills!C13=1,60+Inputs!$B$26+Inputs!$B$30,IF(Skills!C13=2,90+Inputs!$B$27+Inputs!$B$30,IF(Skills!C13=3,120+Inputs!$B$28+Inputs!$B$30,MAX(0,(Inputs!$B$3-100)*3)+(Inputs!$B$29+1)+Inputs!$B$30)))</f>
        <v/>
      </c>
      <c r="E968">
        <f>INDEX(FactorTable!$B$2:$Y$301, MATCH(ROUND(MIN(300,MAX(1,D968)),0), FactorTable!$A$2:$A$301,0), Skills!M13+1)</f>
        <v/>
      </c>
      <c r="F968">
        <f>IF(Skills!N13=TRUE,(Skills!L13/10)*(E968/1000),Skills!L13/10)+Skills!O13</f>
        <v/>
      </c>
      <c r="G968">
        <f>Skills!G13*IF(Skills!H13&gt;0,INT(IF(Inputs!$B$39="pvp",MIN(Skills!I13,15),Skills!I13)/Skills!H13+0.000000001),1)</f>
        <v/>
      </c>
      <c r="H968">
        <f>1-(1-Skills!J13/100)^Skills!K13</f>
        <v/>
      </c>
      <c r="I968" t="inlineStr">
        <is>
          <t>1</t>
        </is>
      </c>
      <c r="J968" t="inlineStr"/>
      <c r="K968" t="inlineStr"/>
      <c r="L968" t="inlineStr"/>
      <c r="M968" t="inlineStr"/>
      <c r="N968" t="inlineStr"/>
      <c r="O968">
        <f>(1-Summary!$B$11)*T968+Summary!$B$11*V968</f>
        <v/>
      </c>
      <c r="P968">
        <f>IF(B994=0,0,O968/B994)</f>
        <v/>
      </c>
      <c r="Q968">
        <f>IFERROR(1/IF(Inputs!$B$39="pvp",15,MAX(0.1,Skills!D13-IF(TRUE=TRUE,Inputs!$B$33,0))),0)</f>
        <v/>
      </c>
      <c r="R968">
        <f>IF(AND(Inputs!$B$39&lt;&gt;"pvp",Inputs!$B$44&gt;0),IF(Inputs!$B$44&lt;=0,0,(INT(Inputs!$B$44/IF(Inputs!$B$39="pvp",15,MAX(0.1,Skills!D13-IF(TRUE=TRUE,Inputs!$B$33,0))))+1)),0)</f>
        <v/>
      </c>
      <c r="S968">
        <f>IFERROR(O968/N968,0)</f>
        <v/>
      </c>
      <c r="T968" t="n">
        <v>0</v>
      </c>
      <c r="V968" t="n">
        <v>0</v>
      </c>
    </row>
    <row r="969">
      <c r="A969">
        <f>Skills!A14</f>
        <v/>
      </c>
      <c r="B969">
        <f>Skills!B14</f>
        <v/>
      </c>
      <c r="C969">
        <f>Inputs!$B$3&gt;=115</f>
        <v/>
      </c>
      <c r="D969">
        <f>IF(Skills!C14=1,60+Inputs!$B$26+Inputs!$B$30,IF(Skills!C14=2,90+Inputs!$B$27+Inputs!$B$30,IF(Skills!C14=3,120+Inputs!$B$28+Inputs!$B$30,MAX(0,(Inputs!$B$3-100)*3)+(Inputs!$B$29+1)+Inputs!$B$30)))</f>
        <v/>
      </c>
      <c r="E969">
        <f>INDEX(FactorTable!$B$2:$Y$301, MATCH(ROUND(MIN(300,MAX(1,D969)),0), FactorTable!$A$2:$A$301,0), Skills!M14+1)</f>
        <v/>
      </c>
      <c r="F969">
        <f>IF(Skills!N14=TRUE,(Skills!L14/10)*(E969/1000),Skills!L14/10)+Skills!O14</f>
        <v/>
      </c>
      <c r="G969">
        <f>Skills!G14*IF(Skills!H14&gt;0,INT(IF(Inputs!$B$39="pvp",MIN(Skills!I14,15),Skills!I14)/Skills!H14+0.000000001),1)</f>
        <v/>
      </c>
      <c r="H969">
        <f>1-(1-Skills!J14/100)^Skills!K14</f>
        <v/>
      </c>
      <c r="I969" t="inlineStr">
        <is>
          <t>1</t>
        </is>
      </c>
      <c r="J969" t="inlineStr"/>
      <c r="K969" t="inlineStr"/>
      <c r="L969" t="inlineStr"/>
      <c r="M969" t="inlineStr"/>
      <c r="N969" t="inlineStr"/>
      <c r="O969">
        <f>(1-Summary!$B$11)*T969+Summary!$B$11*V969</f>
        <v/>
      </c>
      <c r="P969">
        <f>IF(B994=0,0,O969/B994)</f>
        <v/>
      </c>
      <c r="Q969">
        <f>IFERROR(1/IF(Inputs!$B$39="pvp",15,MAX(0.1,Skills!D14-IF(TRUE=TRUE,Inputs!$B$33,0))),0)</f>
        <v/>
      </c>
      <c r="R969">
        <f>IF(AND(Inputs!$B$39&lt;&gt;"pvp",Inputs!$B$44&gt;0),IF(Inputs!$B$44&lt;=0,0,(INT(Inputs!$B$44/IF(Inputs!$B$39="pvp",15,MAX(0.1,Skills!D14-IF(TRUE=TRUE,Inputs!$B$33,0))))+1)),0)</f>
        <v/>
      </c>
      <c r="S969">
        <f>IFERROR(O969/N969,0)</f>
        <v/>
      </c>
      <c r="T969" t="n">
        <v>0</v>
      </c>
      <c r="V969" t="n">
        <v>0</v>
      </c>
    </row>
    <row r="970">
      <c r="A970">
        <f>Skills!A15</f>
        <v/>
      </c>
      <c r="B970">
        <f>Skills!B15</f>
        <v/>
      </c>
      <c r="C970">
        <f>Inputs!$B$3&gt;=66</f>
        <v/>
      </c>
      <c r="D970">
        <f>IF(Skills!C15=1,60+Inputs!$B$26+Inputs!$B$30,IF(Skills!C15=2,90+Inputs!$B$27+Inputs!$B$30,IF(Skills!C15=3,120+Inputs!$B$28+Inputs!$B$30,MAX(0,(Inputs!$B$3-100)*3)+(Inputs!$B$29+1)+Inputs!$B$30)))</f>
        <v/>
      </c>
      <c r="E970">
        <f>INDEX(FactorTable!$B$2:$Y$301, MATCH(ROUND(MIN(300,MAX(1,D970)),0), FactorTable!$A$2:$A$301,0), Skills!M15+1)</f>
        <v/>
      </c>
      <c r="F970">
        <f>IF(Skills!N15=TRUE,(Skills!L15/10)*(E970/1000),Skills!L15/10)+Skills!O15</f>
        <v/>
      </c>
      <c r="G970">
        <f>Skills!G15*IF(Skills!H15&gt;0,INT(IF(Inputs!$B$39="pvp",MIN(Skills!I15,15),Skills!I15)/Skills!H15+0.000000001),1)</f>
        <v/>
      </c>
      <c r="H970">
        <f>1-(1-Skills!J15/100)^Skills!K15</f>
        <v/>
      </c>
      <c r="I970" t="inlineStr">
        <is>
          <t>1</t>
        </is>
      </c>
      <c r="J970" t="inlineStr"/>
      <c r="K970" t="inlineStr"/>
      <c r="L970" t="inlineStr"/>
      <c r="M970" t="inlineStr"/>
      <c r="N970" t="inlineStr"/>
      <c r="O970">
        <f>(1-Summary!$B$11)*T970+Summary!$B$11*V970</f>
        <v/>
      </c>
      <c r="P970">
        <f>IF(B994=0,0,O970/B994)</f>
        <v/>
      </c>
      <c r="Q970">
        <f>IFERROR(1/IF(Inputs!$B$39="pvp",15,MAX(0.1,Skills!D15-IF(TRUE=TRUE,Inputs!$B$33,0))),0)</f>
        <v/>
      </c>
      <c r="R970">
        <f>IF(AND(Inputs!$B$39&lt;&gt;"pvp",Inputs!$B$44&gt;0),IF(Inputs!$B$44&lt;=0,0,(INT(Inputs!$B$44/IF(Inputs!$B$39="pvp",15,MAX(0.1,Skills!D15-IF(TRUE=TRUE,Inputs!$B$33,0))))+1)),0)</f>
        <v/>
      </c>
      <c r="S970">
        <f>IFERROR(O970/N970,0)</f>
        <v/>
      </c>
      <c r="T970" t="n">
        <v>0</v>
      </c>
      <c r="V970" t="n">
        <v>0</v>
      </c>
    </row>
    <row r="971">
      <c r="A971">
        <f>Skills!A16</f>
        <v/>
      </c>
      <c r="B971">
        <f>Skills!B16</f>
        <v/>
      </c>
      <c r="C971">
        <f>Inputs!$B$3&gt;=45</f>
        <v/>
      </c>
      <c r="D971">
        <f>IF(Skills!C16=1,60+Inputs!$B$26+Inputs!$B$30,IF(Skills!C16=2,90+Inputs!$B$27+Inputs!$B$30,IF(Skills!C16=3,120+Inputs!$B$28+Inputs!$B$30,MAX(0,(Inputs!$B$3-100)*3)+(Inputs!$B$29+1)+Inputs!$B$30)))</f>
        <v/>
      </c>
      <c r="E971">
        <f>INDEX(FactorTable!$B$2:$Y$301, MATCH(ROUND(MIN(300,MAX(1,D971)),0), FactorTable!$A$2:$A$301,0), Skills!M16+1)</f>
        <v/>
      </c>
      <c r="F971">
        <f>IF(Skills!N16=TRUE,(Skills!L16/10)*(E971/1000),Skills!L16/10)+Skills!O16</f>
        <v/>
      </c>
      <c r="G971">
        <f>Skills!G16*IF(Skills!H16&gt;0,INT(IF(Inputs!$B$39="pvp",MIN(Skills!I16,15),Skills!I16)/Skills!H16+0.000000001),1)</f>
        <v/>
      </c>
      <c r="H971">
        <f>1-(1-Skills!J16/100)^Skills!K16</f>
        <v/>
      </c>
      <c r="I971" t="inlineStr">
        <is>
          <t>1</t>
        </is>
      </c>
      <c r="J971" t="inlineStr"/>
      <c r="K971" t="inlineStr"/>
      <c r="L971" t="inlineStr"/>
      <c r="M971" t="inlineStr"/>
      <c r="N971" t="inlineStr"/>
      <c r="O971">
        <f>(1-Summary!$B$11)*T971+Summary!$B$11*V971</f>
        <v/>
      </c>
      <c r="P971">
        <f>IF(B994=0,0,O971/B994)</f>
        <v/>
      </c>
      <c r="Q971">
        <f>IFERROR(1/IF(Inputs!$B$39="pvp",15,MAX(0.1,Skills!D16-IF(TRUE=TRUE,Inputs!$B$33,0))),0)</f>
        <v/>
      </c>
      <c r="R971">
        <f>IF(AND(Inputs!$B$39&lt;&gt;"pvp",Inputs!$B$44&gt;0),IF(Inputs!$B$44&lt;=0,0,(INT(Inputs!$B$44/IF(Inputs!$B$39="pvp",15,MAX(0.1,Skills!D16-IF(TRUE=TRUE,Inputs!$B$33,0))))+1)),0)</f>
        <v/>
      </c>
      <c r="S971">
        <f>IFERROR(O971/N971,0)</f>
        <v/>
      </c>
      <c r="T971" t="n">
        <v>0</v>
      </c>
      <c r="V971" t="n">
        <v>0</v>
      </c>
    </row>
    <row r="972">
      <c r="A972">
        <f>Skills!A17</f>
        <v/>
      </c>
      <c r="B972">
        <f>Skills!B17</f>
        <v/>
      </c>
      <c r="C972">
        <f>Inputs!$B$3&gt;=35</f>
        <v/>
      </c>
      <c r="D972">
        <f>IF(Skills!C17=1,60+Inputs!$B$26+Inputs!$B$30,IF(Skills!C17=2,90+Inputs!$B$27+Inputs!$B$30,IF(Skills!C17=3,120+Inputs!$B$28+Inputs!$B$30,MAX(0,(Inputs!$B$3-100)*3)+(Inputs!$B$29+1)+Inputs!$B$30)))</f>
        <v/>
      </c>
      <c r="E972">
        <f>INDEX(FactorTable!$B$2:$Y$301, MATCH(ROUND(MIN(300,MAX(1,D972)),0), FactorTable!$A$2:$A$301,0), Skills!M17+1)</f>
        <v/>
      </c>
      <c r="F972">
        <f>IF(Skills!N17=TRUE,(Skills!L17/10)*(E972/1000),Skills!L17/10)+Skills!O17</f>
        <v/>
      </c>
      <c r="G972">
        <f>Skills!G17*IF(Skills!H17&gt;0,INT(IF(Inputs!$B$39="pvp",MIN(Skills!I17,15),Skills!I17)/Skills!H17+0.000000001),1)</f>
        <v/>
      </c>
      <c r="H972">
        <f>1-(1-Skills!J17/100)^Skills!K17</f>
        <v/>
      </c>
      <c r="I972" t="inlineStr">
        <is>
          <t>1</t>
        </is>
      </c>
      <c r="J972" t="inlineStr"/>
      <c r="K972" t="inlineStr"/>
      <c r="L972" t="inlineStr"/>
      <c r="M972" t="inlineStr"/>
      <c r="N972" t="inlineStr"/>
      <c r="O972">
        <f>(1-Summary!$B$11)*T972+Summary!$B$11*V972</f>
        <v/>
      </c>
      <c r="P972">
        <f>IF(B994=0,0,O972/B994)</f>
        <v/>
      </c>
      <c r="Q972">
        <f>IFERROR(1/IF(Inputs!$B$39="pvp",15,MAX(0.1,Skills!D17-IF(TRUE=TRUE,Inputs!$B$33,0))),0)</f>
        <v/>
      </c>
      <c r="R972">
        <f>IF(AND(Inputs!$B$39&lt;&gt;"pvp",Inputs!$B$44&gt;0),IF(Inputs!$B$44&lt;=0,0,(INT(Inputs!$B$44/IF(Inputs!$B$39="pvp",15,MAX(0.1,Skills!D17-IF(TRUE=TRUE,Inputs!$B$33,0))))+1)),0)</f>
        <v/>
      </c>
      <c r="S972">
        <f>IFERROR(O972/N972,0)</f>
        <v/>
      </c>
      <c r="T972" t="n">
        <v>0</v>
      </c>
      <c r="V972" t="n">
        <v>0</v>
      </c>
    </row>
    <row r="973">
      <c r="A973">
        <f>Skills!A18</f>
        <v/>
      </c>
      <c r="B973">
        <f>Skills!B18</f>
        <v/>
      </c>
      <c r="C973">
        <f>Inputs!$B$3&gt;=72</f>
        <v/>
      </c>
      <c r="D973">
        <f>IF(Skills!C18=1,60+Inputs!$B$26+Inputs!$B$30,IF(Skills!C18=2,90+Inputs!$B$27+Inputs!$B$30,IF(Skills!C18=3,120+Inputs!$B$28+Inputs!$B$30,MAX(0,(Inputs!$B$3-100)*3)+(Inputs!$B$29+1)+Inputs!$B$30)))</f>
        <v/>
      </c>
      <c r="E973">
        <f>INDEX(FactorTable!$B$2:$Y$301, MATCH(ROUND(MIN(300,MAX(1,D973)),0), FactorTable!$A$2:$A$301,0), Skills!M18+1)</f>
        <v/>
      </c>
      <c r="F973">
        <f>IF(Skills!N18=TRUE,(Skills!L18/10)*(E973/1000),Skills!L18/10)+Skills!O18</f>
        <v/>
      </c>
      <c r="G973">
        <f>Skills!G18*IF(Skills!H18&gt;0,INT(IF(Inputs!$B$39="pvp",MIN(Skills!I18,15),Skills!I18)/Skills!H18+0.000000001),1)</f>
        <v/>
      </c>
      <c r="H973">
        <f>1-(1-Skills!J18/100)^Skills!K18</f>
        <v/>
      </c>
      <c r="I973" t="inlineStr">
        <is>
          <t>1</t>
        </is>
      </c>
      <c r="J973" t="inlineStr"/>
      <c r="K973" t="inlineStr"/>
      <c r="L973" t="inlineStr"/>
      <c r="M973" t="inlineStr"/>
      <c r="N973" t="inlineStr"/>
      <c r="O973">
        <f>(1-Summary!$B$11)*T973+Summary!$B$11*V973</f>
        <v/>
      </c>
      <c r="P973">
        <f>IF(B994=0,0,O973/B994)</f>
        <v/>
      </c>
      <c r="Q973">
        <f>IFERROR(1/IF(Inputs!$B$39="pvp",15,MAX(0.1,Skills!D18-IF(TRUE=TRUE,Inputs!$B$33,0))),0)</f>
        <v/>
      </c>
      <c r="R973">
        <f>IF(AND(Inputs!$B$39&lt;&gt;"pvp",Inputs!$B$44&gt;0),IF(Inputs!$B$44&lt;=0,0,(INT(Inputs!$B$44/IF(Inputs!$B$39="pvp",15,MAX(0.1,Skills!D18-IF(TRUE=TRUE,Inputs!$B$33,0))))+1)),0)</f>
        <v/>
      </c>
      <c r="S973">
        <f>IFERROR(O973/N973,0)</f>
        <v/>
      </c>
      <c r="T973" t="n">
        <v>0</v>
      </c>
      <c r="V973" t="n">
        <v>0</v>
      </c>
    </row>
    <row r="974">
      <c r="A974">
        <f>Skills!A19</f>
        <v/>
      </c>
      <c r="B974">
        <f>Skills!B19</f>
        <v/>
      </c>
      <c r="C974">
        <f>Inputs!$B$3&gt;=72</f>
        <v/>
      </c>
      <c r="D974">
        <f>IF(Skills!C19=1,60+Inputs!$B$26+Inputs!$B$30,IF(Skills!C19=2,90+Inputs!$B$27+Inputs!$B$30,IF(Skills!C19=3,120+Inputs!$B$28+Inputs!$B$30,MAX(0,(Inputs!$B$3-100)*3)+(Inputs!$B$29+1)+Inputs!$B$30)))</f>
        <v/>
      </c>
      <c r="E974">
        <f>INDEX(FactorTable!$B$2:$Y$301, MATCH(ROUND(MIN(300,MAX(1,D974)),0), FactorTable!$A$2:$A$301,0), Skills!M19+1)</f>
        <v/>
      </c>
      <c r="F974">
        <f>IF(Skills!N19=TRUE,(Skills!L19/10)*(E974/1000),Skills!L19/10)+Skills!O19</f>
        <v/>
      </c>
      <c r="G974">
        <f>Skills!G19*IF(Skills!H19&gt;0,INT(IF(Inputs!$B$39="pvp",MIN(Skills!I19,15),Skills!I19)/Skills!H19+0.000000001),1)</f>
        <v/>
      </c>
      <c r="H974">
        <f>1-(1-Skills!J19/100)^Skills!K19</f>
        <v/>
      </c>
      <c r="I974" t="inlineStr">
        <is>
          <t>1</t>
        </is>
      </c>
      <c r="J974" t="inlineStr"/>
      <c r="K974" t="inlineStr"/>
      <c r="L974" t="inlineStr"/>
      <c r="M974" t="inlineStr"/>
      <c r="N974" t="inlineStr"/>
      <c r="O974">
        <f>(1-Summary!$B$11)*T974+Summary!$B$11*V974</f>
        <v/>
      </c>
      <c r="P974">
        <f>IF(B994=0,0,O974/B994)</f>
        <v/>
      </c>
      <c r="Q974">
        <f>IFERROR(1/IF(Inputs!$B$39="pvp",15,MAX(0.1,Skills!D19-IF(TRUE=TRUE,Inputs!$B$33,0))),0)</f>
        <v/>
      </c>
      <c r="R974">
        <f>IF(AND(Inputs!$B$39&lt;&gt;"pvp",Inputs!$B$44&gt;0),IF(Inputs!$B$44&lt;=0,0,(INT(Inputs!$B$44/IF(Inputs!$B$39="pvp",15,MAX(0.1,Skills!D19-IF(TRUE=TRUE,Inputs!$B$33,0))))+1)),0)</f>
        <v/>
      </c>
      <c r="S974">
        <f>IFERROR(O974/N974,0)</f>
        <v/>
      </c>
      <c r="T974" t="n">
        <v>0</v>
      </c>
      <c r="V974" t="n">
        <v>0</v>
      </c>
    </row>
    <row r="975">
      <c r="A975">
        <f>Skills!A20</f>
        <v/>
      </c>
      <c r="B975">
        <f>Skills!B20</f>
        <v/>
      </c>
      <c r="C975">
        <f>TRUE</f>
        <v/>
      </c>
      <c r="D975">
        <f>IF(Skills!C20=1,60+Inputs!$B$26+Inputs!$B$30,IF(Skills!C20=2,90+Inputs!$B$27+Inputs!$B$30,IF(Skills!C20=3,120+Inputs!$B$28+Inputs!$B$30,MAX(0,(Inputs!$B$3-100)*3)+(Inputs!$B$29+1)+Inputs!$B$30)))</f>
        <v/>
      </c>
      <c r="E975">
        <f>INDEX(FactorTable!$B$2:$Y$301, MATCH(ROUND(MIN(300,MAX(1,D975)),0), FactorTable!$A$2:$A$301,0), Skills!M20+1)</f>
        <v/>
      </c>
      <c r="F975">
        <f>IF(Skills!N20=TRUE,(Skills!L20/10)*(E975/1000),Skills!L20/10)+Skills!O20</f>
        <v/>
      </c>
      <c r="G975">
        <f>Skills!G20*IF(Skills!H20&gt;0,INT(IF(Inputs!$B$39="pvp",MIN(Skills!I20,15),Skills!I20)/Skills!H20+0.000000001),1)</f>
        <v/>
      </c>
      <c r="H975">
        <f>1-(1-Skills!J20/100)^Skills!K20</f>
        <v/>
      </c>
      <c r="I975" t="inlineStr">
        <is>
          <t>1</t>
        </is>
      </c>
      <c r="J975" t="inlineStr"/>
      <c r="K975" t="inlineStr"/>
      <c r="L975" t="inlineStr"/>
      <c r="M975" t="inlineStr"/>
      <c r="N975" t="inlineStr"/>
      <c r="O975">
        <f>(1-Summary!$B$11)*T975+Summary!$B$11*V975</f>
        <v/>
      </c>
      <c r="P975">
        <f>IF(B994=0,0,O975/B994)</f>
        <v/>
      </c>
      <c r="Q975">
        <f>IFERROR(1/IF(Inputs!$B$39="pvp",15,MAX(0.1,Skills!D20-IF(TRUE=TRUE,Inputs!$B$33,0))),0)</f>
        <v/>
      </c>
      <c r="R975">
        <f>IF(AND(Inputs!$B$39&lt;&gt;"pvp",Inputs!$B$44&gt;0),IF(Inputs!$B$44&lt;=0,0,(INT(Inputs!$B$44/IF(Inputs!$B$39="pvp",15,MAX(0.1,Skills!D20-IF(TRUE=TRUE,Inputs!$B$33,0))))+1)),0)</f>
        <v/>
      </c>
      <c r="S975">
        <f>IFERROR(O975/N975,0)</f>
        <v/>
      </c>
      <c r="T975" t="n">
        <v>0</v>
      </c>
      <c r="V975" t="n">
        <v>0</v>
      </c>
    </row>
    <row r="976">
      <c r="A976">
        <f>Skills!A21</f>
        <v/>
      </c>
      <c r="B976">
        <f>Skills!B21</f>
        <v/>
      </c>
      <c r="C976">
        <f>Inputs!$B$3&gt;=33</f>
        <v/>
      </c>
      <c r="D976">
        <f>IF(Skills!C21=1,60+Inputs!$B$26+Inputs!$B$30,IF(Skills!C21=2,90+Inputs!$B$27+Inputs!$B$30,IF(Skills!C21=3,120+Inputs!$B$28+Inputs!$B$30,MAX(0,(Inputs!$B$3-100)*3)+(Inputs!$B$29+1)+Inputs!$B$30)))</f>
        <v/>
      </c>
      <c r="E976">
        <f>INDEX(FactorTable!$B$2:$Y$301, MATCH(ROUND(MIN(300,MAX(1,D976)),0), FactorTable!$A$2:$A$301,0), Skills!M21+1)</f>
        <v/>
      </c>
      <c r="F976">
        <f>IF(Skills!N21=TRUE,(Skills!L21/10)*(E976/1000),Skills!L21/10)+Skills!O21</f>
        <v/>
      </c>
      <c r="G976">
        <f>Skills!G21*IF(Skills!H21&gt;0,INT(IF(Inputs!$B$39="pvp",MIN(Skills!I21,15),Skills!I21)/Skills!H21+0.000000001),1)</f>
        <v/>
      </c>
      <c r="H976">
        <f>1-(1-Skills!J21/100)^Skills!K21</f>
        <v/>
      </c>
      <c r="I976" t="inlineStr">
        <is>
          <t>1</t>
        </is>
      </c>
      <c r="J976" t="inlineStr"/>
      <c r="K976" t="inlineStr"/>
      <c r="L976" t="inlineStr"/>
      <c r="M976" t="inlineStr"/>
      <c r="N976" t="inlineStr"/>
      <c r="O976">
        <f>(1-Summary!$B$11)*T976+Summary!$B$11*V976</f>
        <v/>
      </c>
      <c r="P976">
        <f>IF(B994=0,0,O976/B994)</f>
        <v/>
      </c>
      <c r="Q976" t="n">
        <v>0</v>
      </c>
      <c r="R976" t="n">
        <v>0</v>
      </c>
      <c r="S976">
        <f>IFERROR(O976/N976,0)</f>
        <v/>
      </c>
      <c r="T976" t="n">
        <v>0</v>
      </c>
      <c r="V976" t="n">
        <v>0</v>
      </c>
    </row>
    <row r="977">
      <c r="A977">
        <f>Skills!A22</f>
        <v/>
      </c>
      <c r="B977">
        <f>Skills!B22</f>
        <v/>
      </c>
      <c r="C977">
        <f>Inputs!$B$3&gt;=43</f>
        <v/>
      </c>
      <c r="D977">
        <f>IF(Skills!C22=1,60+Inputs!$B$26+Inputs!$B$30,IF(Skills!C22=2,90+Inputs!$B$27+Inputs!$B$30,IF(Skills!C22=3,120+Inputs!$B$28+Inputs!$B$30,MAX(0,(Inputs!$B$3-100)*3)+(Inputs!$B$29+1)+Inputs!$B$30)))</f>
        <v/>
      </c>
      <c r="E977">
        <f>INDEX(FactorTable!$B$2:$Y$301, MATCH(ROUND(MIN(300,MAX(1,D977)),0), FactorTable!$A$2:$A$301,0), Skills!M22+1)</f>
        <v/>
      </c>
      <c r="F977">
        <f>IF(Skills!N22=TRUE,(Skills!L22/10)*(E977/1000),Skills!L22/10)+Skills!O22</f>
        <v/>
      </c>
      <c r="G977">
        <f>Skills!G22*IF(Skills!H22&gt;0,INT(IF(Inputs!$B$39="pvp",MIN(Skills!I22,15),Skills!I22)/Skills!H22+0.000000001),1)</f>
        <v/>
      </c>
      <c r="H977">
        <f>1-(1-Skills!J22/100)^Skills!K22</f>
        <v/>
      </c>
      <c r="I977" t="inlineStr">
        <is>
          <t>1</t>
        </is>
      </c>
      <c r="J977" t="inlineStr"/>
      <c r="K977" t="inlineStr"/>
      <c r="L977" t="inlineStr"/>
      <c r="M977" t="inlineStr"/>
      <c r="N977" t="inlineStr"/>
      <c r="O977">
        <f>(1-Summary!$B$11)*T977+Summary!$B$11*V977</f>
        <v/>
      </c>
      <c r="P977">
        <f>IF(B994=0,0,O977/B994)</f>
        <v/>
      </c>
      <c r="Q977" t="n">
        <v>0</v>
      </c>
      <c r="R977" t="n">
        <v>0</v>
      </c>
      <c r="S977">
        <f>IFERROR(O977/N977,0)</f>
        <v/>
      </c>
      <c r="T977" t="n">
        <v>0</v>
      </c>
      <c r="V977" t="n">
        <v>0</v>
      </c>
    </row>
    <row r="978">
      <c r="A978">
        <f>Skills!A23</f>
        <v/>
      </c>
      <c r="B978">
        <f>Skills!B23</f>
        <v/>
      </c>
      <c r="C978">
        <f>Inputs!$B$3&gt;=120</f>
        <v/>
      </c>
      <c r="D978">
        <f>IF(Skills!C23=1,60+Inputs!$B$26+Inputs!$B$30,IF(Skills!C23=2,90+Inputs!$B$27+Inputs!$B$30,IF(Skills!C23=3,120+Inputs!$B$28+Inputs!$B$30,MAX(0,(Inputs!$B$3-100)*3)+(Inputs!$B$29+1)+Inputs!$B$30)))</f>
        <v/>
      </c>
      <c r="E978">
        <f>INDEX(FactorTable!$B$2:$Y$301, MATCH(ROUND(MIN(300,MAX(1,D978)),0), FactorTable!$A$2:$A$301,0), Skills!M23+1)</f>
        <v/>
      </c>
      <c r="F978">
        <f>IF(Skills!N23=TRUE,(Skills!L23/10)*(E978/1000),Skills!L23/10)+Skills!O23</f>
        <v/>
      </c>
      <c r="G978">
        <f>Skills!G23*IF(Skills!H23&gt;0,INT(IF(Inputs!$B$39="pvp",MIN(Skills!I23,15),Skills!I23)/Skills!H23+0.000000001),1)</f>
        <v/>
      </c>
      <c r="H978">
        <f>1-(1-Skills!J23/100)^Skills!K23</f>
        <v/>
      </c>
      <c r="I978" t="inlineStr">
        <is>
          <t>1</t>
        </is>
      </c>
      <c r="J978" t="inlineStr"/>
      <c r="K978" t="inlineStr"/>
      <c r="L978" t="inlineStr"/>
      <c r="M978" t="inlineStr"/>
      <c r="N978" t="inlineStr"/>
      <c r="O978">
        <f>(1-Summary!$B$11)*T978+Summary!$B$11*V978</f>
        <v/>
      </c>
      <c r="P978">
        <f>IF(B994=0,0,O978/B994)</f>
        <v/>
      </c>
      <c r="Q978" t="n">
        <v>0</v>
      </c>
      <c r="R978" t="n">
        <v>0</v>
      </c>
      <c r="S978">
        <f>IFERROR(O978/N978,0)</f>
        <v/>
      </c>
      <c r="T978" t="n">
        <v>0</v>
      </c>
      <c r="V978" t="n">
        <v>0</v>
      </c>
    </row>
    <row r="979">
      <c r="A979">
        <f>Skills!A24</f>
        <v/>
      </c>
      <c r="B979">
        <f>Skills!B24</f>
        <v/>
      </c>
      <c r="C979">
        <f>Inputs!$B$3&gt;=120</f>
        <v/>
      </c>
      <c r="D979">
        <f>IF(Skills!C24=1,60+Inputs!$B$26+Inputs!$B$30,IF(Skills!C24=2,90+Inputs!$B$27+Inputs!$B$30,IF(Skills!C24=3,120+Inputs!$B$28+Inputs!$B$30,MAX(0,(Inputs!$B$3-100)*3)+(Inputs!$B$29+1)+Inputs!$B$30)))</f>
        <v/>
      </c>
      <c r="E979">
        <f>INDEX(FactorTable!$B$2:$Y$301, MATCH(ROUND(MIN(300,MAX(1,D979)),0), FactorTable!$A$2:$A$301,0), Skills!M24+1)</f>
        <v/>
      </c>
      <c r="F979">
        <f>IF(Skills!N24=TRUE,(Skills!L24/10)*(E979/1000),Skills!L24/10)+Skills!O24</f>
        <v/>
      </c>
      <c r="G979">
        <f>Skills!G24*IF(Skills!H24&gt;0,INT(IF(Inputs!$B$39="pvp",MIN(Skills!I24,15),Skills!I24)/Skills!H24+0.000000001),1)</f>
        <v/>
      </c>
      <c r="H979">
        <f>1-(1-Skills!J24/100)^Skills!K24</f>
        <v/>
      </c>
      <c r="I979" t="inlineStr">
        <is>
          <t>1</t>
        </is>
      </c>
      <c r="J979" t="inlineStr"/>
      <c r="K979" t="inlineStr"/>
      <c r="L979" t="inlineStr"/>
      <c r="M979" t="inlineStr"/>
      <c r="N979" t="inlineStr"/>
      <c r="O979">
        <f>(1-Summary!$B$11)*T979+Summary!$B$11*V979</f>
        <v/>
      </c>
      <c r="P979">
        <f>IF(B994=0,0,O979/B994)</f>
        <v/>
      </c>
      <c r="Q979" t="n">
        <v>0</v>
      </c>
      <c r="R979" t="n">
        <v>0</v>
      </c>
      <c r="S979">
        <f>IFERROR(O979/N979,0)</f>
        <v/>
      </c>
      <c r="T979" t="n">
        <v>0</v>
      </c>
      <c r="V979" t="n">
        <v>0</v>
      </c>
    </row>
    <row r="980">
      <c r="A980">
        <f>Skills!A25</f>
        <v/>
      </c>
      <c r="B980">
        <f>Skills!B25</f>
        <v/>
      </c>
      <c r="C980">
        <f>Inputs!$B$3&gt;=125</f>
        <v/>
      </c>
      <c r="D980">
        <f>IF(Skills!C25=1,60+Inputs!$B$26+Inputs!$B$30,IF(Skills!C25=2,90+Inputs!$B$27+Inputs!$B$30,IF(Skills!C25=3,120+Inputs!$B$28+Inputs!$B$30,MAX(0,(Inputs!$B$3-100)*3)+(Inputs!$B$29+1)+Inputs!$B$30)))</f>
        <v/>
      </c>
      <c r="E980">
        <f>INDEX(FactorTable!$B$2:$Y$301, MATCH(ROUND(MIN(300,MAX(1,D980)),0), FactorTable!$A$2:$A$301,0), Skills!M25+1)</f>
        <v/>
      </c>
      <c r="F980">
        <f>IF(Skills!N25=TRUE,(Skills!L25/10)*(E980/1000),Skills!L25/10)+Skills!O25</f>
        <v/>
      </c>
      <c r="G980">
        <f>Skills!G25*IF(Skills!H25&gt;0,INT(IF(Inputs!$B$39="pvp",MIN(Skills!I25,15),Skills!I25)/Skills!H25+0.000000001),1)</f>
        <v/>
      </c>
      <c r="H980">
        <f>1-(1-Skills!J25/100)^Skills!K25</f>
        <v/>
      </c>
      <c r="I980" t="inlineStr">
        <is>
          <t>1</t>
        </is>
      </c>
      <c r="J980" t="inlineStr"/>
      <c r="K980" t="inlineStr"/>
      <c r="L980" t="inlineStr"/>
      <c r="M980" t="inlineStr"/>
      <c r="N980" t="inlineStr"/>
      <c r="O980">
        <f>(1-Summary!$B$11)*T980+Summary!$B$11*V980</f>
        <v/>
      </c>
      <c r="P980">
        <f>IF(B994=0,0,O980/B994)</f>
        <v/>
      </c>
      <c r="Q980" t="n">
        <v>0</v>
      </c>
      <c r="R980" t="n">
        <v>0</v>
      </c>
      <c r="S980">
        <f>IFERROR(O980/N980,0)</f>
        <v/>
      </c>
      <c r="T980" t="n">
        <v>0</v>
      </c>
      <c r="V980" t="n">
        <v>0</v>
      </c>
    </row>
    <row r="981">
      <c r="A981">
        <f>Skills!A26</f>
        <v/>
      </c>
      <c r="B981">
        <f>Skills!B26</f>
        <v/>
      </c>
      <c r="C981">
        <f>Inputs!$B$3&gt;=107</f>
        <v/>
      </c>
      <c r="D981">
        <f>IF(Skills!C26=1,60+Inputs!$B$26+Inputs!$B$30,IF(Skills!C26=2,90+Inputs!$B$27+Inputs!$B$30,IF(Skills!C26=3,120+Inputs!$B$28+Inputs!$B$30,MAX(0,(Inputs!$B$3-100)*3)+(Inputs!$B$29+1)+Inputs!$B$30)))</f>
        <v/>
      </c>
      <c r="E981">
        <f>INDEX(FactorTable!$B$2:$Y$301, MATCH(ROUND(MIN(300,MAX(1,D981)),0), FactorTable!$A$2:$A$301,0), Skills!M26+1)</f>
        <v/>
      </c>
      <c r="F981">
        <f>IF(Skills!N26=TRUE,(Skills!L26/10)*(E981/1000),Skills!L26/10)+Skills!O26</f>
        <v/>
      </c>
      <c r="G981">
        <f>Skills!G26*IF(Skills!H26&gt;0,INT(IF(Inputs!$B$39="pvp",MIN(Skills!I26,15),Skills!I26)/Skills!H26+0.000000001),1)</f>
        <v/>
      </c>
      <c r="H981">
        <f>1-(1-Skills!J26/100)^Skills!K26</f>
        <v/>
      </c>
      <c r="I981" t="inlineStr">
        <is>
          <t>1</t>
        </is>
      </c>
      <c r="J981" t="inlineStr"/>
      <c r="K981" t="inlineStr"/>
      <c r="L981" t="inlineStr"/>
      <c r="M981" t="inlineStr"/>
      <c r="N981" t="inlineStr"/>
      <c r="O981">
        <f>(1-Summary!$B$11)*T981+Summary!$B$11*V981</f>
        <v/>
      </c>
      <c r="P981">
        <f>IF(B994=0,0,O981/B994)</f>
        <v/>
      </c>
      <c r="Q981" t="n">
        <v>0</v>
      </c>
      <c r="R981" t="n">
        <v>0</v>
      </c>
      <c r="S981">
        <f>IFERROR(O981/N981,0)</f>
        <v/>
      </c>
      <c r="T981" t="n">
        <v>0</v>
      </c>
      <c r="V981" t="n">
        <v>0</v>
      </c>
    </row>
    <row r="983">
      <c r="A983" t="inlineStr">
        <is>
          <t>Attack% Bucket Multiplier</t>
        </is>
      </c>
      <c r="B983">
        <f>(1+(((C968=TRUE)*F968*IF(AND(Inputs!$B$39&lt;&gt;"pvp",Inputs!$B$44&gt;0),(((R968-1)*MIN((Skills!T13*(1+Inputs!$B$35/100)),(1/Q968))+MIN((Skills!T13*(1+Inputs!$B$35/100)),MAX(0,Inputs!$B$44-((R968-1)*(1/Q968)))))/Inputs!$B$44),IF(Inputs!$B$39="pvp",MIN((Skills!T13*(1+Inputs!$B$35/100)),15)/15,MIN(1,(Skills!T13*(1+Inputs!$B$35/100))/(1/Q968)))))+((C969=TRUE)*F969*IF(AND(Inputs!$B$39&lt;&gt;"pvp",Inputs!$B$44&gt;0),(((R969-1)*MIN((Skills!T14*(1+Inputs!$B$35/100)),(1/Q969))+MIN((Skills!T14*(1+Inputs!$B$35/100)),MAX(0,Inputs!$B$44-((R969-1)*(1/Q969)))))/Inputs!$B$44),IF(Inputs!$B$39="pvp",MIN((Skills!T14*(1+Inputs!$B$35/100)),15)/15,MIN(1,(Skills!T14*(1+Inputs!$B$35/100))/(1/Q969)))))+((C970=TRUE)*F970*IF(AND(Inputs!$B$39&lt;&gt;"pvp",Inputs!$B$44&gt;0),(((R970-1)*MIN((Skills!T15*(1+Inputs!$B$35/100)),(1/Q970))+MIN((Skills!T15*(1+Inputs!$B$35/100)),MAX(0,Inputs!$B$44-((R970-1)*(1/Q970)))))/Inputs!$B$44),IF(Inputs!$B$39="pvp",MIN((Skills!T15*(1+Inputs!$B$35/100)),15)/15,MIN(1,(Skills!T15*(1+Inputs!$B$35/100))/(1/Q970)))))+((C971=TRUE)*F971*IF(AND(Inputs!$B$39&lt;&gt;"pvp",Inputs!$B$44&gt;0),(((R971-1)*MIN((Skills!T16*(1+Inputs!$B$35/100)),(1/Q971))+MIN((Skills!T16*(1+Inputs!$B$35/100)),MAX(0,Inputs!$B$44-((R971-1)*(1/Q971)))))/Inputs!$B$44),IF(Inputs!$B$39="pvp",MIN((Skills!T16*(1+Inputs!$B$35/100)),15)/15,MIN(1,(Skills!T16*(1+Inputs!$B$35/100))/(1/Q971)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984">
      <c r="A984" t="inlineStr">
        <is>
          <t>Global Crit Rate Bonus % (Lord of Darkness)</t>
        </is>
      </c>
      <c r="B984">
        <f>((C973=TRUE)*F973*(Skills!J18/100)*IF(AND(Inputs!$B$39&lt;&gt;"pvp",Inputs!$B$44&gt;0),(((R973-1)*MIN((Skills!T18*(1+Inputs!$B$35/100)),(1/Q973))+MIN((Skills!T18*(1+Inputs!$B$35/100)),MAX(0,Inputs!$B$44-((R973-1)*(1/Q973)))))/Inputs!$B$44),IF(Inputs!$B$39="pvp",MIN((Skills!T18*(1+Inputs!$B$35/100)),15)/15,MIN(1,(Skills!T18*(1+Inputs!$B$35/100))/(1/Q973)))))</f>
        <v/>
      </c>
    </row>
    <row r="985">
      <c r="A985" t="inlineStr">
        <is>
          <t>Attack Speed Buff Bonus %</t>
        </is>
      </c>
      <c r="B985">
        <f>((C975=TRUE)*F975*IF(AND(Inputs!$B$39&lt;&gt;"pvp",Inputs!$B$44&gt;0),(((R975-1)*MIN((Skills!T20*(1+Inputs!$B$35/100)),(1/Q975))+MIN((Skills!T20*(1+Inputs!$B$35/100)),MAX(0,Inputs!$B$44-((R975-1)*(1/Q975)))))/Inputs!$B$44),IF(Inputs!$B$39="pvp",MIN((Skills!T20*(1+Inputs!$B$35/100)),15)/15,MIN(1,(Skills!T20*(1+Inputs!$B$35/100))/(1/Q975)))))</f>
        <v/>
      </c>
    </row>
    <row r="986">
      <c r="A986" t="inlineStr">
        <is>
          <t>Actions Per Second</t>
        </is>
      </c>
      <c r="B986">
        <f>1+MIN(150,150*(1-(1-(Inputs!$B$12+((C976=TRUE)*(F976-Calc!F21)))/150)*(1-B985/150)))/100</f>
        <v/>
      </c>
    </row>
    <row r="987">
      <c r="A987" t="inlineStr">
        <is>
          <t>Skill + Buff Cast Rate</t>
        </is>
      </c>
      <c r="B987">
        <f>IF(AND(Inputs!$B$39&lt;&gt;"pvp",Inputs!$B$44&gt;0),SUMPRODUCT((Skills!E2:E26=TRUE)*(C957:C981=TRUE)*R957:R981*Skills!F2:F26)/Inputs!$B$44,SUMPRODUCT((Skills!E2:E26=TRUE)*(C957:C981=TRUE)*Q957:Q981*Skills!F2:F26))</f>
        <v/>
      </c>
    </row>
    <row r="988">
      <c r="A988" t="inlineStr">
        <is>
          <t>Dark Impale Casts Per Second</t>
        </is>
      </c>
      <c r="B988">
        <f>MAX(0,B986-B987)</f>
        <v/>
      </c>
    </row>
    <row r="989">
      <c r="A989" t="inlineStr">
        <is>
          <t>Global Critical Damage Bonus % (Lord of Darkness)</t>
        </is>
      </c>
      <c r="B989">
        <f>((C974=TRUE)*F974*(Skills!J19/100)*IF(AND(Inputs!$B$39&lt;&gt;"pvp",Inputs!$B$44&gt;0),(((R974-1)*MIN((Skills!T19*(1+Inputs!$B$35/100)),(1/Q974))+MIN((Skills!T19*(1+Inputs!$B$35/100)),MAX(0,Inputs!$B$44-((R974-1)*(1/Q974)))))/Inputs!$B$44),IF(Inputs!$B$39="pvp",MIN((Skills!T19*(1+Inputs!$B$35/100)),15)/15,MIN(1,(Skills!T19*(1+Inputs!$B$35/100))/(1/Q974)))))</f>
        <v/>
      </c>
    </row>
    <row r="990">
      <c r="A990" t="inlineStr">
        <is>
          <t>Global Final Damage Bonus % (unused)</t>
        </is>
      </c>
      <c r="B990" t="n">
        <v>0</v>
      </c>
    </row>
    <row r="991">
      <c r="A991" t="inlineStr">
        <is>
          <t>Buff-Casting Startup Delay (s, fixed-duration only)</t>
        </is>
      </c>
      <c r="B991">
        <f>IF(AND(Inputs!$B$39&lt;&gt;"pvp",Inputs!$B$44&gt;0),SUMPRODUCT((Skills!T2:T26&gt;0)*(Skills!E2:E26=TRUE)*(C957:C981=TRUE))/B986,0)</f>
        <v/>
      </c>
    </row>
    <row r="992">
      <c r="A992" t="inlineStr">
        <is>
          <t>Boss-Only Total DPS (this block's swept value)</t>
        </is>
      </c>
      <c r="B992">
        <f>SUM(T957:T981)</f>
        <v/>
      </c>
    </row>
    <row r="993">
      <c r="A993" t="inlineStr">
        <is>
          <t>Normal-Only Total DPS (this block's swept value)</t>
        </is>
      </c>
      <c r="B993">
        <f>SUM(V957:V981)</f>
        <v/>
      </c>
    </row>
    <row r="994">
      <c r="A994" s="6" t="inlineStr">
        <is>
          <t>TOTAL DPS</t>
        </is>
      </c>
      <c r="B994" s="6">
        <f>SUM(O957:O981)</f>
        <v/>
      </c>
    </row>
    <row r="997">
      <c r="A997" s="6" t="inlineStr">
        <is>
          <t>Stat: Skill Level Bonus — All Skills</t>
        </is>
      </c>
    </row>
    <row r="998">
      <c r="A998" s="5" t="inlineStr">
        <is>
          <t>Key</t>
        </is>
      </c>
      <c r="B998" s="5" t="inlineStr">
        <is>
          <t>Name</t>
        </is>
      </c>
      <c r="C998" s="5" t="inlineStr">
        <is>
          <t>Unlocked</t>
        </is>
      </c>
      <c r="D998" s="5" t="inlineStr">
        <is>
          <t>InputLevel</t>
        </is>
      </c>
      <c r="E998" s="5" t="inlineStr">
        <is>
          <t>Factor</t>
        </is>
      </c>
      <c r="F998" s="5" t="inlineStr">
        <is>
          <t>CoefficientPercent</t>
        </is>
      </c>
      <c r="G998" s="5" t="inlineStr">
        <is>
          <t>EffectiveHits</t>
        </is>
      </c>
      <c r="H998" s="5" t="inlineStr">
        <is>
          <t>ProcProbability</t>
        </is>
      </c>
      <c r="I998" s="5" t="inlineStr">
        <is>
          <t>MapleHeroMultiplier</t>
        </is>
      </c>
      <c r="J998" s="5" t="inlineStr">
        <is>
          <t>BaseDamage</t>
        </is>
      </c>
      <c r="K998" s="5" t="inlineStr">
        <is>
          <t>BaseHitDamage</t>
        </is>
      </c>
      <c r="L998" s="5" t="inlineStr">
        <is>
          <t>NonCritAvg</t>
        </is>
      </c>
      <c r="M998" s="5" t="inlineStr">
        <is>
          <t>CritAvg</t>
        </is>
      </c>
      <c r="N998" s="5" t="inlineStr">
        <is>
          <t>ExpectedDamage(perHit)</t>
        </is>
      </c>
      <c r="O998" s="5" t="inlineStr">
        <is>
          <t>DPS</t>
        </is>
      </c>
      <c r="P998" s="5" t="inlineStr">
        <is>
          <t>% of Total</t>
        </is>
      </c>
      <c r="Q998" s="5" t="inlineStr">
        <is>
          <t>InvCooldown</t>
        </is>
      </c>
      <c r="R998" s="5" t="inlineStr">
        <is>
          <t>CastsInFight</t>
        </is>
      </c>
      <c r="S998" s="5" t="inlineStr">
        <is>
          <t>HitRate(perSec)</t>
        </is>
      </c>
      <c r="U998" t="inlineStr">
        <is>
          <t>helpers</t>
        </is>
      </c>
    </row>
    <row r="999">
      <c r="A999">
        <f>Skills!A2</f>
        <v/>
      </c>
      <c r="B999">
        <f>Skills!B2</f>
        <v/>
      </c>
      <c r="C999">
        <f>Inputs!$B$3&gt;=100</f>
        <v/>
      </c>
      <c r="D999" t="inlineStr"/>
      <c r="E999" t="inlineStr"/>
      <c r="F999">
        <f>U1001+Skills!O2</f>
        <v/>
      </c>
      <c r="G999">
        <f>Skills!G2*IF(Skills!H2&gt;0,INT(IF(Inputs!$B$39="pvp",MIN(Skills!I2,15),Skills!I2)/Skills!H2+0.000000001),1)</f>
        <v/>
      </c>
      <c r="H999">
        <f>1-(1-Skills!J2/100)^Skills!K2</f>
        <v/>
      </c>
      <c r="I999" t="inlineStr">
        <is>
          <t>1</t>
        </is>
      </c>
      <c r="J999">
        <f>((Inputs!$B$6*(1+Inputs!$B$7/100))+(((Inputs!$B$13*(1+Inputs!$B$14/100))-(Inputs!$B$13*(1+Inputs!$B$14/100)))+0.25*(Inputs!$B$15-Inputs!$B$15))*(1+Inputs!$B$7/100))*(F999/100)</f>
        <v/>
      </c>
      <c r="K999">
        <f>J999*(1+(((Inputs!$B$13+IF(Inputs!$B$3&gt;=38,(10*INDEX(FactorTable!$B$2:$Y$301, MATCH(ROUND(MIN(300,MAX(1,Inputs!$B$3)),0), FactorTable!$A$2:$A$301,0), 23)/1000)/100*(Inputs!$B$8*(1+Inputs!$B$9/100)),0))*(1+Inputs!$B$14/100))*0.01+Inputs!$B$15*0.0025)/100)*(1+Inputs!$B$16/100)*(1+Inputs!$B$17/100)*(5000/(6000+Inputs!$B$43*(1-(Inputs!$B$20+0)/100)))*(1+(Inputs!$B$25+((C1022=TRUE)*(F1022-Calc!F25))+((C1023=TRUE)*(F1023-Calc!F26))+B1032)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gt;=100),MIN(100,((Inputs!$B$10+0+B1026+(ArtifactsInput!$M$24-ArtifactsInput!$M$24)*CHOOSE(ArtifactsInput!$N$24+1,10,12,14,16,18,20)+IF(ArtifactsInput!$M$10,CHOOSE(ArtifactsInput!$N$10+1,15,18,21,24,27,30)*(IF(Inputs!$B$39="pvp",MIN(15,15)/15,IF(AND(Inputs!$B$39&lt;&gt;"pvp",Inputs!$B$44&gt;0),MIN(15,Inputs!$B$44)/(Inputs!$B$44),0))),0)))-100),0))*CHOOSE(ArtifactsInput!$N$42+1,0.6,0.72,0.84,0.96,1.08,1.2))),Inputs!$B$19+((C1020=TRUE)*(F1020-Calc!F23))+(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gt;=100),CHOOSE(ArtifactsInput!$N$42+1,40,48,56,64,72,80),0))))/100)*((1+(((C1010=TRUE)*F1010*IF(AND(Inputs!$B$39&lt;&gt;"pvp",Inputs!$B$44&gt;0),(((R1010-1)*MIN((Skills!T13*(1+Inputs!$B$35/100)),(1/Q1010))+MIN((Skills!T13*(1+Inputs!$B$35/100)),MAX(0,Inputs!$B$44-((R1010-1)*(1/Q1010)))))/Inputs!$B$44),IF(Inputs!$B$39="pvp",MIN((Skills!T13*(1+Inputs!$B$35/100)),15)/15,MIN(1,(Skills!T13*(1+Inputs!$B$35/100))/(1/Q1010)))))+((C1011=TRUE)*F1011*IF(AND(Inputs!$B$39&lt;&gt;"pvp",Inputs!$B$44&gt;0),(((R1011-1)*MIN((Skills!T14*(1+Inputs!$B$35/100)),(1/Q1011))+MIN((Skills!T14*(1+Inputs!$B$35/100)),MAX(0,Inputs!$B$44-((R1011-1)*(1/Q1011)))))/Inputs!$B$44),IF(Inputs!$B$39="pvp",MIN((Skills!T14*(1+Inputs!$B$35/100)),15)/15,MIN(1,(Skills!T14*(1+Inputs!$B$35/100))/(1/Q1011)))))+((C1012=TRUE)*F1012*IF(AND(Inputs!$B$39&lt;&gt;"pvp",Inputs!$B$44&gt;0),(((R1012-1)*MIN((Skills!T15*(1+Inputs!$B$35/100)),(1/Q1012))+MIN((Skills!T15*(1+Inputs!$B$35/100)),MAX(0,Inputs!$B$44-((R1012-1)*(1/Q1012)))))/Inputs!$B$44),IF(Inputs!$B$39="pvp",MIN((Skills!T15*(1+Inputs!$B$35/100)),15)/15,MIN(1,(Skills!T15*(1+Inputs!$B$35/100))/(1/Q1012)))))+((C1013=TRUE)*F1013*IF(AND(Inputs!$B$39&lt;&gt;"pvp",Inputs!$B$44&gt;0),(((R1013-1)*MIN((Skills!T16*(1+Inputs!$B$35/100)),(1/Q1013))+MIN((Skills!T16*(1+Inputs!$B$35/100)),MAX(0,Inputs!$B$44-((R1013-1)*(1/Q1013)))))/Inputs!$B$44),IF(Inputs!$B$39="pvp",MIN((Skills!T16*(1+Inputs!$B$35/100)),15)/15,MIN(1,(Skills!T16*(1+Inputs!$B$35/100))/(1/Q1013)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999)</f>
        <v/>
      </c>
      <c r="L999">
        <f>K999*(MIN(Inputs!$B$23+((C1019=TRUE)*(F1019-Calc!F22)),(Inputs!$B$24+((C1021=TRUE)*(F1021-Calc!F24))+(IF(ArtifactsInput!$M$15,CHOOSE(ArtifactsInput!$N$15+1,25,30,35,40,45,50)/100*(Inputs!$B$12-Inputs!$B$12),0))))/100+(Inputs!$B$24+((C1021=TRUE)*(F1021-Calc!F24))+(IF(ArtifactsInput!$M$15,CHOOSE(ArtifactsInput!$N$15+1,25,30,35,40,45,50)/100*(Inputs!$B$12-Inputs!$B$12),0)))/100)/2</f>
        <v/>
      </c>
      <c r="M999">
        <f>L999*(1+(Inputs!$B$11+0+B1031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999">
        <f>L999*(1-MIN((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999*(MIN((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99">
        <f>(1-Summary!$B$11)*T999+Summary!$B$11*V999</f>
        <v/>
      </c>
      <c r="P999">
        <f>IF(B1036=0,0,O999/B1036)</f>
        <v/>
      </c>
      <c r="Q999" t="n">
        <v>0</v>
      </c>
      <c r="R999" t="n">
        <v>0</v>
      </c>
      <c r="S999">
        <f>IFERROR(O999/N999,0)</f>
        <v/>
      </c>
      <c r="T999">
        <f>IF(C999,(Skills!G2*N999*B1030)*IF(Inputs!$B$39="pvp",1,1+(Inputs!$B$21+0+Skills!P2+((C1014=TRUE)*F1014*IF(AND(Inputs!$B$39&lt;&gt;"pvp",Inputs!$B$44&gt;0),(((R1014-1)*MIN((Skills!T17*(1+Inputs!$B$35/100)),(1/Q1014))+MIN((Skills!T17*(1+Inputs!$B$35/100)),MAX(0,Inputs!$B$44-((R1014-1)*(1/Q1014)))))/Inputs!$B$44),IF(Inputs!$B$39="pvp",MIN((Skills!T17*(1+Inputs!$B$35/100)),15)/15,MIN(1,(Skills!T17*(1+Inputs!$B$35/100))/(1/Q1014)))))+((C1002=TRUE)*IF(Inputs!$B$3&gt;=126,10*MIN(1,15*Q1002),0))+((C1011=TRUE)*IF(Inputs!$B$39="pvp",20,(1-Summary!$B$11)*(20)+Summary!$B$11*(0))*IF(AND(Inputs!$B$39&lt;&gt;"pvp",Inputs!$B$44&gt;0),(((R1011-1)*MIN((Skills!T14*(1+Inputs!$B$35/100)),(1/Q1011))+MIN((Skills!T14*(1+Inputs!$B$35/100)),MAX(0,Inputs!$B$44-((R1011-1)*(1/Q1011)))))/Inputs!$B$44),IF(Inputs!$B$39="pvp",MIN((Skills!T14*(1+Inputs!$B$35/100)),15)/15,MIN(1,(Skills!T14*(1+Inputs!$B$35/100))/(1/Q1011)))))+((C1010=TRUE)*IF(Inputs!$B$3&gt;=82,IF(Inputs!$B$39="pvp",20,(1-Summary!$B$11)*(20)+Summary!$B$11*(0)),0)*IF(AND(Inputs!$B$39&lt;&gt;"pvp",Inputs!$B$44&gt;0),(((R1010-1)*MIN((Skills!T13*(1+Inputs!$B$35/100)),(1/Q1010))+MIN((Skills!T13*(1+Inputs!$B$35/100)),MAX(0,Inputs!$B$44-((R1010-1)*(1/Q1010)))))/Inputs!$B$44),IF(Inputs!$B$39="pvp",MIN((Skills!T13*(1+Inputs!$B$35/100)),15)/15,MIN(1,(Skills!T13*(1+Inputs!$B$35/100))/(1/Q1010)))))+(IF(AND(ArtifactsInput!$M$35,Inputs!$B$4&lt;&gt;"Chapter Hunt"),CHOOSE(ArtifactsInput!$N$35+1,15,18,21,24,27,30)*(1-EXP(-(0.2*B1028)*5)),0)+IF(AND(ArtifactsInput!$M$22,Inputs!$B$4&lt;&gt;"Chapter Hunt"),CHOOSE(ArtifactsInput!$N$22+1,10,12,14,16,18,20)*((0*(((0.15*B1028*5))^0/1)+1*(((0.15*B1028*5))^1/1)+2*(((0.15*B1028*5))^2/2)+3*(((0.15*B1028*5))^3/6)+4*(((0.15*B1028*5))^4/24)+5*(((0.15*B1028*5))^5/120))/((((0.15*B1028*5))^0/1)+(((0.15*B1028*5))^1/1)+(((0.15*B1028*5))^2/2)+(((0.15*B1028*5))^3/6)+(((0.15*B1028*5))^4/24)+(((0.15*B1028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999*(1-MIN(100,(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999*(MIN(100,(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999*(1-MIN(100,(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999*(MIN(100,(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999">
        <f>MAX(0,(Inputs!$B$3-100)*3)+Inputs!$B$29+(Inputs!$B$30+1)</f>
        <v/>
      </c>
      <c r="V999">
        <f>IF(C999,(Skills!G2*N999*B1030)*IF(Inputs!$B$39="pvp",1,(1+(Inputs!$B$22+Skills!Q2+((C1014=TRUE)*F1014*IF(AND(Inputs!$B$39&lt;&gt;"pvp",Inputs!$B$44&gt;0),(((R1014-1)*MIN((Skills!T17*(1+Inputs!$B$35/100)),(1/Q1014))+MIN((Skills!T17*(1+Inputs!$B$35/100)),MAX(0,Inputs!$B$44-((R1014-1)*(1/Q1014)))))/Inputs!$B$44),IF(Inputs!$B$39="pvp",MIN((Skills!T17*(1+Inputs!$B$35/100)),15)/15,MIN(1,(Skills!T17*(1+Inputs!$B$35/100))/(1/Q1014)))))+((C1002=TRUE)*IF(Inputs!$B$3&gt;=126,10*MIN(1,15*Q1002),0))+((C1011=TRUE)*IF(Inputs!$B$39="pvp",20,(1-Summary!$B$11)*(20)+Summary!$B$11*(0))*IF(AND(Inputs!$B$39&lt;&gt;"pvp",Inputs!$B$44&gt;0),(((R1011-1)*MIN((Skills!T14*(1+Inputs!$B$35/100)),(1/Q1011))+MIN((Skills!T14*(1+Inputs!$B$35/100)),MAX(0,Inputs!$B$44-((R1011-1)*(1/Q1011)))))/Inputs!$B$44),IF(Inputs!$B$39="pvp",MIN((Skills!T14*(1+Inputs!$B$35/100)),15)/15,MIN(1,(Skills!T14*(1+Inputs!$B$35/100))/(1/Q1011)))))+((C1010=TRUE)*IF(Inputs!$B$3&gt;=82,IF(Inputs!$B$39="pvp",20,(1-Summary!$B$11)*(20)+Summary!$B$11*(0)),0)*IF(AND(Inputs!$B$39&lt;&gt;"pvp",Inputs!$B$44&gt;0),(((R1010-1)*MIN((Skills!T13*(1+Inputs!$B$35/100)),(1/Q1010))+MIN((Skills!T13*(1+Inputs!$B$35/100)),MAX(0,Inputs!$B$44-((R1010-1)*(1/Q1010)))))/Inputs!$B$44),IF(Inputs!$B$39="pvp",MIN((Skills!T13*(1+Inputs!$B$35/100)),15)/15,MIN(1,(Skills!T13*(1+Inputs!$B$35/100))/(1/Q1010)))))+(IF(AND(ArtifactsInput!$M$35,Inputs!$B$4&lt;&gt;"Chapter Hunt"),CHOOSE(ArtifactsInput!$N$35+1,15,18,21,24,27,30)*(1-EXP(-(0.2*B1028)*5)),0)+IF(AND(ArtifactsInput!$M$22,Inputs!$B$4&lt;&gt;"Chapter Hunt"),CHOOSE(ArtifactsInput!$N$22+1,10,12,14,16,18,20)*((0*(((0.15*B1028*5))^0/1)+1*(((0.15*B1028*5))^1/1)+2*(((0.15*B1028*5))^2/2)+3*(((0.15*B1028*5))^3/6)+4*(((0.15*B1028*5))^4/24)+5*(((0.15*B1028*5))^5/120))/((((0.15*B1028*5))^0/1)+(((0.15*B1028*5))^1/1)+(((0.15*B1028*5))^2/2)+(((0.15*B1028*5))^3/6)+(((0.15*B1028*5))^4/24)+(((0.15*B1028*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00">
      <c r="A1000">
        <f>Skills!A3</f>
        <v/>
      </c>
      <c r="B1000">
        <f>Skills!B3</f>
        <v/>
      </c>
      <c r="C1000">
        <f>Inputs!$B$3&gt;=50</f>
        <v/>
      </c>
      <c r="D1000">
        <f>IF(Skills!C3=1,60+Inputs!$B$26+(Inputs!$B$30+1),IF(Skills!C3=2,90+Inputs!$B$27+(Inputs!$B$30+1),IF(Skills!C3=3,120+Inputs!$B$28+(Inputs!$B$30+1),MAX(0,(Inputs!$B$3-100)*3)+Inputs!$B$29+(Inputs!$B$30+1))))</f>
        <v/>
      </c>
      <c r="E1000">
        <f>INDEX(FactorTable!$B$2:$Y$301, MATCH(ROUND(MIN(300,MAX(1,D1000)),0), FactorTable!$A$2:$A$301,0), Skills!M3+1)</f>
        <v/>
      </c>
      <c r="F1000">
        <f>IF(Skills!N3=TRUE,(Skills!L3/10)*(E1000/1000),Skills!L3/10)+Skills!O3</f>
        <v/>
      </c>
      <c r="G1000" t="inlineStr"/>
      <c r="H1000" t="inlineStr"/>
      <c r="I1000" t="inlineStr">
        <is>
          <t>1</t>
        </is>
      </c>
      <c r="J1000" t="inlineStr"/>
      <c r="K1000" t="inlineStr"/>
      <c r="L1000" t="inlineStr"/>
      <c r="M1000" t="inlineStr"/>
      <c r="N1000" t="inlineStr"/>
      <c r="O1000" t="inlineStr"/>
      <c r="P1000" t="inlineStr"/>
      <c r="Q1000" t="inlineStr"/>
      <c r="R1000" t="inlineStr"/>
      <c r="S1000" t="inlineStr"/>
      <c r="U1000">
        <f>INDEX(FactorTable!$B$2:$Y$301, MATCH(ROUND(MIN(300,MAX(1,U999)),0), FactorTable!$A$2:$A$301,0), 22)</f>
        <v/>
      </c>
    </row>
    <row r="1001">
      <c r="A1001">
        <f>Skills!A4</f>
        <v/>
      </c>
      <c r="B1001">
        <f>Skills!B4</f>
        <v/>
      </c>
      <c r="C1001">
        <f>Inputs!$B$3&gt;=105</f>
        <v/>
      </c>
      <c r="D1001">
        <f>IF(Skills!C4=1,60+Inputs!$B$26+(Inputs!$B$30+1),IF(Skills!C4=2,90+Inputs!$B$27+(Inputs!$B$30+1),IF(Skills!C4=3,120+Inputs!$B$28+(Inputs!$B$30+1),MAX(0,(Inputs!$B$3-100)*3)+Inputs!$B$29+(Inputs!$B$30+1))))</f>
        <v/>
      </c>
      <c r="E1001">
        <f>INDEX(FactorTable!$B$2:$Y$301, MATCH(ROUND(MIN(300,MAX(1,D1001)),0), FactorTable!$A$2:$A$301,0), Skills!M4+1)</f>
        <v/>
      </c>
      <c r="F1001">
        <f>IF(Skills!N4=TRUE,(Skills!L4/10)*(E1001/1000),Skills!L4/10)+Skills!O4</f>
        <v/>
      </c>
      <c r="G1001" t="inlineStr"/>
      <c r="H1001" t="inlineStr"/>
      <c r="I1001" t="inlineStr">
        <is>
          <t>1</t>
        </is>
      </c>
      <c r="J1001" t="inlineStr"/>
      <c r="K1001" t="inlineStr"/>
      <c r="L1001" t="inlineStr"/>
      <c r="M1001" t="inlineStr"/>
      <c r="N1001" t="inlineStr"/>
      <c r="O1001" t="inlineStr"/>
      <c r="P1001" t="inlineStr"/>
      <c r="Q1001" t="inlineStr"/>
      <c r="R1001" t="inlineStr"/>
      <c r="S1001" t="inlineStr"/>
      <c r="U1001">
        <f>290*U1000/1000</f>
        <v/>
      </c>
    </row>
    <row r="1002">
      <c r="A1002">
        <f>Skills!A5</f>
        <v/>
      </c>
      <c r="B1002">
        <f>Skills!B5</f>
        <v/>
      </c>
      <c r="C1002">
        <f>Inputs!$B$3&gt;=117</f>
        <v/>
      </c>
      <c r="D1002">
        <f>IF(Skills!C5=1,60+Inputs!$B$26+(Inputs!$B$30+1),IF(Skills!C5=2,90+Inputs!$B$27+(Inputs!$B$30+1),IF(Skills!C5=3,120+Inputs!$B$28+(Inputs!$B$30+1),MAX(0,(Inputs!$B$3-100)*3)+Inputs!$B$29+(Inputs!$B$30+1))))</f>
        <v/>
      </c>
      <c r="E1002">
        <f>INDEX(FactorTable!$B$2:$Y$301, MATCH(ROUND(MIN(300,MAX(1,D1002)),0), FactorTable!$A$2:$A$301,0), Skills!M5+1)</f>
        <v/>
      </c>
      <c r="F1002">
        <f>IF(Skills!N5=TRUE,(Skills!L5/10)*(E1002/1000),Skills!L5/10)+Skills!O5</f>
        <v/>
      </c>
      <c r="G1002">
        <f>Skills!G5*IF(Skills!H5&gt;0,INT(IF(Inputs!$B$39="pvp",MIN(Skills!I5,15),Skills!I5)/Skills!H5+0.000000001),1)</f>
        <v/>
      </c>
      <c r="H1002">
        <f>1-(1-Skills!J5/100)^Skills!K5</f>
        <v/>
      </c>
      <c r="I1002" t="inlineStr">
        <is>
          <t>1</t>
        </is>
      </c>
      <c r="J1002">
        <f>((Inputs!$B$6*(1+Inputs!$B$7/100))+(((Inputs!$B$13*(1+Inputs!$B$14/100))-(Inputs!$B$13*(1+Inputs!$B$14/100)))+0.25*(Inputs!$B$15-Inputs!$B$15))*(1+Inputs!$B$7/100))*(F1002/100)</f>
        <v/>
      </c>
      <c r="K1002">
        <f>J1002*(1+(((Inputs!$B$13+IF(Inputs!$B$3&gt;=38,(10*INDEX(FactorTable!$B$2:$Y$301, MATCH(ROUND(MIN(300,MAX(1,Inputs!$B$3)),0), FactorTable!$A$2:$A$301,0), 23)/1000)/100*(Inputs!$B$8*(1+Inputs!$B$9/100)),0))*(1+Inputs!$B$14/100))*0.01+Inputs!$B$15*0.0025)/100)*(1+Inputs!$B$16/100)*(1+Inputs!$B$17/100)*(5000/(6000+Inputs!$B$43*(1-(Inputs!$B$20+0)/100)))*(1+(Inputs!$B$25+((C1022=TRUE)*(F1022-Calc!F25))+((C1023=TRUE)*(F1023-Calc!F26))+B1032)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gt;=100),MIN(100,((Inputs!$B$10+0+B1026+(ArtifactsInput!$M$24-ArtifactsInput!$M$24)*CHOOSE(ArtifactsInput!$N$24+1,10,12,14,16,18,20)+IF(ArtifactsInput!$M$10,CHOOSE(ArtifactsInput!$N$10+1,15,18,21,24,27,30)*(IF(Inputs!$B$39="pvp",MIN(15,15)/15,IF(AND(Inputs!$B$39&lt;&gt;"pvp",Inputs!$B$44&gt;0),MIN(15,Inputs!$B$44)/(Inputs!$B$44),0))),0)))-100),0))*CHOOSE(ArtifactsInput!$N$42+1,0.6,0.72,0.84,0.96,1.08,1.2))),Inputs!$B$19+((C1020=TRUE)*(F1020-Calc!F23))+(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gt;=100),CHOOSE(ArtifactsInput!$N$42+1,40,48,56,64,72,80),0))))/100)*((1+(((C1010=TRUE)*F1010*IF(AND(Inputs!$B$39&lt;&gt;"pvp",Inputs!$B$44&gt;0),(((R1010-1)*MIN((Skills!T13*(1+Inputs!$B$35/100)),(1/Q1010))+MIN((Skills!T13*(1+Inputs!$B$35/100)),MAX(0,Inputs!$B$44-((R1010-1)*(1/Q1010)))))/Inputs!$B$44),IF(Inputs!$B$39="pvp",MIN((Skills!T13*(1+Inputs!$B$35/100)),15)/15,MIN(1,(Skills!T13*(1+Inputs!$B$35/100))/(1/Q1010)))))+((C1011=TRUE)*F1011*IF(AND(Inputs!$B$39&lt;&gt;"pvp",Inputs!$B$44&gt;0),(((R1011-1)*MIN((Skills!T14*(1+Inputs!$B$35/100)),(1/Q1011))+MIN((Skills!T14*(1+Inputs!$B$35/100)),MAX(0,Inputs!$B$44-((R1011-1)*(1/Q1011)))))/Inputs!$B$44),IF(Inputs!$B$39="pvp",MIN((Skills!T14*(1+Inputs!$B$35/100)),15)/15,MIN(1,(Skills!T14*(1+Inputs!$B$35/100))/(1/Q1011)))))+((C1012=TRUE)*F1012*IF(AND(Inputs!$B$39&lt;&gt;"pvp",Inputs!$B$44&gt;0),(((R1012-1)*MIN((Skills!T15*(1+Inputs!$B$35/100)),(1/Q1012))+MIN((Skills!T15*(1+Inputs!$B$35/100)),MAX(0,Inputs!$B$44-((R1012-1)*(1/Q1012)))))/Inputs!$B$44),IF(Inputs!$B$39="pvp",MIN((Skills!T15*(1+Inputs!$B$35/100)),15)/15,MIN(1,(Skills!T15*(1+Inputs!$B$35/100))/(1/Q1012)))))+((C1013=TRUE)*F1013*IF(AND(Inputs!$B$39&lt;&gt;"pvp",Inputs!$B$44&gt;0),(((R1013-1)*MIN((Skills!T16*(1+Inputs!$B$35/100)),(1/Q1013))+MIN((Skills!T16*(1+Inputs!$B$35/100)),MAX(0,Inputs!$B$44-((R1013-1)*(1/Q1013)))))/Inputs!$B$44),IF(Inputs!$B$39="pvp",MIN((Skills!T16*(1+Inputs!$B$35/100)),15)/15,MIN(1,(Skills!T16*(1+Inputs!$B$35/100))/(1/Q1013)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1002)</f>
        <v/>
      </c>
      <c r="L1002">
        <f>K1002*(MIN(Inputs!$B$23+((C1019=TRUE)*(F1019-Calc!F22)),(Inputs!$B$24+((C1021=TRUE)*(F1021-Calc!F24))+(IF(ArtifactsInput!$M$15,CHOOSE(ArtifactsInput!$N$15+1,25,30,35,40,45,50)/100*(Inputs!$B$12-Inputs!$B$12),0))))/100+(Inputs!$B$24+((C1021=TRUE)*(F1021-Calc!F24))+(IF(ArtifactsInput!$M$15,CHOOSE(ArtifactsInput!$N$15+1,25,30,35,40,45,50)/100*(Inputs!$B$12-Inputs!$B$12),0)))/100)/2</f>
        <v/>
      </c>
      <c r="M1002">
        <f>L1002*(1+(Inputs!$B$11+0+B1031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002">
        <f>L1002*(1-MIN((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1002*(MIN((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02">
        <f>(1-Summary!$B$11)*T1002+Summary!$B$11*V1002</f>
        <v/>
      </c>
      <c r="P1002">
        <f>IF(B1036=0,0,O1002/B1036)</f>
        <v/>
      </c>
      <c r="Q1002">
        <f>IFERROR(1/IF(Inputs!$B$39="pvp",15,MAX(0.1,Skills!D5-IF(TRUE=TRUE,Inputs!$B$33,0))),0)</f>
        <v/>
      </c>
      <c r="R1002">
        <f>IF(AND(Inputs!$B$39&lt;&gt;"pvp",Inputs!$B$44&gt;0),IF(MAX(0,Inputs!$B$44-B1033)&lt;=0,0,(INT(MAX(0,Inputs!$B$44-B1033)/IF(Inputs!$B$39="pvp",15,MAX(0.1,Skills!D5-IF(TRUE=TRUE,Inputs!$B$33,0))))+1)),0)</f>
        <v/>
      </c>
      <c r="S1002">
        <f>IFERROR(O1002/N1002,0)</f>
        <v/>
      </c>
      <c r="T1002">
        <f>IF(C1002,(H1002*N1002*IF(AND(Inputs!$B$39&lt;&gt;"pvp",Inputs!$B$44&gt;0),((Skills!G5*((R1002-1)*IF(Skills!H5&gt;0,INT(Skills!I5/Skills!H5+0.000000001),1)+IF(Skills!H5&gt;0,INT(MIN(Skills!I5,MAX(0,MAX(0,Inputs!$B$44-B1033)-((R1002-1)*IF(Inputs!$B$39="pvp",15,MAX(0.1,Skills!D5-IF(TRUE=TRUE,Inputs!$B$33,0))))))/Skills!H5+0.000000001),1)))/Inputs!$B$44),G1002*Q1002))*IF(Inputs!$B$39="pvp",1,1+(Inputs!$B$21+0+Skills!P5+((C1014=TRUE)*F1014*IF(AND(Inputs!$B$39&lt;&gt;"pvp",Inputs!$B$44&gt;0),(((R1014-1)*MIN((Skills!T17*(1+Inputs!$B$35/100)),(1/Q1014))+MIN((Skills!T17*(1+Inputs!$B$35/100)),MAX(0,Inputs!$B$44-((R1014-1)*(1/Q1014)))))/Inputs!$B$44),IF(Inputs!$B$39="pvp",MIN((Skills!T17*(1+Inputs!$B$35/100)),15)/15,MIN(1,(Skills!T17*(1+Inputs!$B$35/100))/(1/Q1014)))))+((C1002=TRUE)*IF(Inputs!$B$3&gt;=126,10*MIN(1,15*Q1002),0))+((C1011=TRUE)*IF(Inputs!$B$39="pvp",20,(1-Summary!$B$11)*(20)+Summary!$B$11*(0))*IF(AND(Inputs!$B$39&lt;&gt;"pvp",Inputs!$B$44&gt;0),(((R1011-1)*MIN((Skills!T14*(1+Inputs!$B$35/100)),(1/Q1011))+MIN((Skills!T14*(1+Inputs!$B$35/100)),MAX(0,Inputs!$B$44-((R1011-1)*(1/Q1011)))))/Inputs!$B$44),IF(Inputs!$B$39="pvp",MIN((Skills!T14*(1+Inputs!$B$35/100)),15)/15,MIN(1,(Skills!T14*(1+Inputs!$B$35/100))/(1/Q1011)))))+((C1010=TRUE)*IF(Inputs!$B$3&gt;=82,IF(Inputs!$B$39="pvp",20,(1-Summary!$B$11)*(20)+Summary!$B$11*(0)),0)*IF(AND(Inputs!$B$39&lt;&gt;"pvp",Inputs!$B$44&gt;0),(((R1010-1)*MIN((Skills!T13*(1+Inputs!$B$35/100)),(1/Q1010))+MIN((Skills!T13*(1+Inputs!$B$35/100)),MAX(0,Inputs!$B$44-((R1010-1)*(1/Q1010)))))/Inputs!$B$44),IF(Inputs!$B$39="pvp",MIN((Skills!T13*(1+Inputs!$B$35/100)),15)/15,MIN(1,(Skills!T13*(1+Inputs!$B$35/100))/(1/Q1010)))))+(IF(AND(ArtifactsInput!$M$35,Inputs!$B$4&lt;&gt;"Chapter Hunt"),CHOOSE(ArtifactsInput!$N$35+1,15,18,21,24,27,30)*(1-EXP(-(0.2*B1028)*5)),0)+IF(AND(ArtifactsInput!$M$22,Inputs!$B$4&lt;&gt;"Chapter Hunt"),CHOOSE(ArtifactsInput!$N$22+1,10,12,14,16,18,20)*((0*(((0.15*B1028*5))^0/1)+1*(((0.15*B1028*5))^1/1)+2*(((0.15*B1028*5))^2/2)+3*(((0.15*B1028*5))^3/6)+4*(((0.15*B1028*5))^4/24)+5*(((0.15*B1028*5))^5/120))/((((0.15*B1028*5))^0/1)+(((0.15*B1028*5))^1/1)+(((0.15*B1028*5))^2/2)+(((0.15*B1028*5))^3/6)+(((0.15*B1028*5))^4/24)+(((0.15*B1028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1002*(1-MIN(100,(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1002*(MIN(100,(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1002*(1-MIN(100,(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1002*(MIN(100,(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02">
        <f>IF(C1002,(H1002*N1002*IF(AND(Inputs!$B$39&lt;&gt;"pvp",Inputs!$B$44&gt;0),((Skills!G5*((R1002-1)*IF(Skills!H5&gt;0,INT(Skills!I5/Skills!H5+0.000000001),1)+IF(Skills!H5&gt;0,INT(MIN(Skills!I5,MAX(0,MAX(0,Inputs!$B$44-B1033)-((R1002-1)*IF(Inputs!$B$39="pvp",15,MAX(0.1,Skills!D5-IF(TRUE=TRUE,Inputs!$B$33,0))))))/Skills!H5+0.000000001),1)))/Inputs!$B$44),G1002*Q1002))*IF(Inputs!$B$39="pvp",1,(1+(Inputs!$B$22+Skills!Q5+((C1014=TRUE)*F1014*IF(AND(Inputs!$B$39&lt;&gt;"pvp",Inputs!$B$44&gt;0),(((R1014-1)*MIN((Skills!T17*(1+Inputs!$B$35/100)),(1/Q1014))+MIN((Skills!T17*(1+Inputs!$B$35/100)),MAX(0,Inputs!$B$44-((R1014-1)*(1/Q1014)))))/Inputs!$B$44),IF(Inputs!$B$39="pvp",MIN((Skills!T17*(1+Inputs!$B$35/100)),15)/15,MIN(1,(Skills!T17*(1+Inputs!$B$35/100))/(1/Q1014)))))+((C1002=TRUE)*IF(Inputs!$B$3&gt;=126,10*MIN(1,15*Q1002),0))+((C1011=TRUE)*IF(Inputs!$B$39="pvp",20,(1-Summary!$B$11)*(20)+Summary!$B$11*(0))*IF(AND(Inputs!$B$39&lt;&gt;"pvp",Inputs!$B$44&gt;0),(((R1011-1)*MIN((Skills!T14*(1+Inputs!$B$35/100)),(1/Q1011))+MIN((Skills!T14*(1+Inputs!$B$35/100)),MAX(0,Inputs!$B$44-((R1011-1)*(1/Q1011)))))/Inputs!$B$44),IF(Inputs!$B$39="pvp",MIN((Skills!T14*(1+Inputs!$B$35/100)),15)/15,MIN(1,(Skills!T14*(1+Inputs!$B$35/100))/(1/Q1011)))))+((C1010=TRUE)*IF(Inputs!$B$3&gt;=82,IF(Inputs!$B$39="pvp",20,(1-Summary!$B$11)*(20)+Summary!$B$11*(0)),0)*IF(AND(Inputs!$B$39&lt;&gt;"pvp",Inputs!$B$44&gt;0),(((R1010-1)*MIN((Skills!T13*(1+Inputs!$B$35/100)),(1/Q1010))+MIN((Skills!T13*(1+Inputs!$B$35/100)),MAX(0,Inputs!$B$44-((R1010-1)*(1/Q1010)))))/Inputs!$B$44),IF(Inputs!$B$39="pvp",MIN((Skills!T13*(1+Inputs!$B$35/100)),15)/15,MIN(1,(Skills!T13*(1+Inputs!$B$35/100))/(1/Q1010)))))+(IF(AND(ArtifactsInput!$M$35,Inputs!$B$4&lt;&gt;"Chapter Hunt"),CHOOSE(ArtifactsInput!$N$35+1,15,18,21,24,27,30)*(1-EXP(-(0.2*B1028)*5)),0)+IF(AND(ArtifactsInput!$M$22,Inputs!$B$4&lt;&gt;"Chapter Hunt"),CHOOSE(ArtifactsInput!$N$22+1,10,12,14,16,18,20)*((0*(((0.15*B1028*5))^0/1)+1*(((0.15*B1028*5))^1/1)+2*(((0.15*B1028*5))^2/2)+3*(((0.15*B1028*5))^3/6)+4*(((0.15*B1028*5))^4/24)+5*(((0.15*B1028*5))^5/120))/((((0.15*B1028*5))^0/1)+(((0.15*B1028*5))^1/1)+(((0.15*B1028*5))^2/2)+(((0.15*B1028*5))^3/6)+(((0.15*B1028*5))^4/24)+(((0.15*B1028*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03">
      <c r="A1003">
        <f>Skills!A6</f>
        <v/>
      </c>
      <c r="B1003">
        <f>Skills!B6</f>
        <v/>
      </c>
      <c r="C1003">
        <f>Inputs!$B$3&gt;=103</f>
        <v/>
      </c>
      <c r="D1003">
        <f>IF(Skills!C6=1,60+Inputs!$B$26+(Inputs!$B$30+1),IF(Skills!C6=2,90+Inputs!$B$27+(Inputs!$B$30+1),IF(Skills!C6=3,120+Inputs!$B$28+(Inputs!$B$30+1),MAX(0,(Inputs!$B$3-100)*3)+Inputs!$B$29+(Inputs!$B$30+1))))</f>
        <v/>
      </c>
      <c r="E1003">
        <f>INDEX(FactorTable!$B$2:$Y$301, MATCH(ROUND(MIN(300,MAX(1,D1003)),0), FactorTable!$A$2:$A$301,0), Skills!M6+1)</f>
        <v/>
      </c>
      <c r="F1003">
        <f>IF(Skills!N6=TRUE,(Skills!L6/10)*(E1003/1000),Skills!L6/10)+Skills!O6</f>
        <v/>
      </c>
      <c r="G1003">
        <f>Skills!G6*IF(Skills!H6&gt;0,INT(IF(Inputs!$B$39="pvp",MIN(Skills!I6,15),Skills!I6)/Skills!H6+0.000000001),1)</f>
        <v/>
      </c>
      <c r="H1003">
        <f>1-(1-Skills!J6/100)^Skills!K6</f>
        <v/>
      </c>
      <c r="I1003" t="inlineStr">
        <is>
          <t>1</t>
        </is>
      </c>
      <c r="J1003">
        <f>((Inputs!$B$6*(1+Inputs!$B$7/100))+(((Inputs!$B$13*(1+Inputs!$B$14/100))-(Inputs!$B$13*(1+Inputs!$B$14/100)))+0.25*(Inputs!$B$15-Inputs!$B$15))*(1+Inputs!$B$7/100))*(F1003/100)</f>
        <v/>
      </c>
      <c r="K1003">
        <f>J1003*(1+(((Inputs!$B$13+IF(Inputs!$B$3&gt;=38,(10*INDEX(FactorTable!$B$2:$Y$301, MATCH(ROUND(MIN(300,MAX(1,Inputs!$B$3)),0), FactorTable!$A$2:$A$301,0), 23)/1000)/100*(Inputs!$B$8*(1+Inputs!$B$9/100)),0))*(1+Inputs!$B$14/100))*0.01+Inputs!$B$15*0.0025)/100)*(1+Inputs!$B$16/100)*(1+Inputs!$B$17/100)*(5000/(6000+Inputs!$B$43*(1-(Inputs!$B$20+0)/100)))*(1+(Inputs!$B$25+((C1022=TRUE)*(F1022-Calc!F25))+((C1023=TRUE)*(F1023-Calc!F26))+B1032)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gt;=100),MIN(100,((Inputs!$B$10+0+B1026+(ArtifactsInput!$M$24-ArtifactsInput!$M$24)*CHOOSE(ArtifactsInput!$N$24+1,10,12,14,16,18,20)+IF(ArtifactsInput!$M$10,CHOOSE(ArtifactsInput!$N$10+1,15,18,21,24,27,30)*(IF(Inputs!$B$39="pvp",MIN(15,15)/15,IF(AND(Inputs!$B$39&lt;&gt;"pvp",Inputs!$B$44&gt;0),MIN(15,Inputs!$B$44)/(Inputs!$B$44),0))),0)))-100),0))*CHOOSE(ArtifactsInput!$N$42+1,0.6,0.72,0.84,0.96,1.08,1.2))),Inputs!$B$19+((C1020=TRUE)*(F1020-Calc!F23))+(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gt;=100),CHOOSE(ArtifactsInput!$N$42+1,40,48,56,64,72,80),0))))/100)*((1+(((C1010=TRUE)*F1010*IF(AND(Inputs!$B$39&lt;&gt;"pvp",Inputs!$B$44&gt;0),(((R1010-1)*MIN((Skills!T13*(1+Inputs!$B$35/100)),(1/Q1010))+MIN((Skills!T13*(1+Inputs!$B$35/100)),MAX(0,Inputs!$B$44-((R1010-1)*(1/Q1010)))))/Inputs!$B$44),IF(Inputs!$B$39="pvp",MIN((Skills!T13*(1+Inputs!$B$35/100)),15)/15,MIN(1,(Skills!T13*(1+Inputs!$B$35/100))/(1/Q1010)))))+((C1011=TRUE)*F1011*IF(AND(Inputs!$B$39&lt;&gt;"pvp",Inputs!$B$44&gt;0),(((R1011-1)*MIN((Skills!T14*(1+Inputs!$B$35/100)),(1/Q1011))+MIN((Skills!T14*(1+Inputs!$B$35/100)),MAX(0,Inputs!$B$44-((R1011-1)*(1/Q1011)))))/Inputs!$B$44),IF(Inputs!$B$39="pvp",MIN((Skills!T14*(1+Inputs!$B$35/100)),15)/15,MIN(1,(Skills!T14*(1+Inputs!$B$35/100))/(1/Q1011)))))+((C1012=TRUE)*F1012*IF(AND(Inputs!$B$39&lt;&gt;"pvp",Inputs!$B$44&gt;0),(((R1012-1)*MIN((Skills!T15*(1+Inputs!$B$35/100)),(1/Q1012))+MIN((Skills!T15*(1+Inputs!$B$35/100)),MAX(0,Inputs!$B$44-((R1012-1)*(1/Q1012)))))/Inputs!$B$44),IF(Inputs!$B$39="pvp",MIN((Skills!T15*(1+Inputs!$B$35/100)),15)/15,MIN(1,(Skills!T15*(1+Inputs!$B$35/100))/(1/Q1012)))))+((C1013=TRUE)*F1013*IF(AND(Inputs!$B$39&lt;&gt;"pvp",Inputs!$B$44&gt;0),(((R1013-1)*MIN((Skills!T16*(1+Inputs!$B$35/100)),(1/Q1013))+MIN((Skills!T16*(1+Inputs!$B$35/100)),MAX(0,Inputs!$B$44-((R1013-1)*(1/Q1013)))))/Inputs!$B$44),IF(Inputs!$B$39="pvp",MIN((Skills!T16*(1+Inputs!$B$35/100)),15)/15,MIN(1,(Skills!T16*(1+Inputs!$B$35/100))/(1/Q1013)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1003)</f>
        <v/>
      </c>
      <c r="L1003">
        <f>K1003*(MIN(Inputs!$B$23+((C1019=TRUE)*(F1019-Calc!F22)),(Inputs!$B$24+((C1021=TRUE)*(F1021-Calc!F24))+(IF(ArtifactsInput!$M$15,CHOOSE(ArtifactsInput!$N$15+1,25,30,35,40,45,50)/100*(Inputs!$B$12-Inputs!$B$12),0))))/100+(Inputs!$B$24+((C1021=TRUE)*(F1021-Calc!F24))+(IF(ArtifactsInput!$M$15,CHOOSE(ArtifactsInput!$N$15+1,25,30,35,40,45,50)/100*(Inputs!$B$12-Inputs!$B$12),0)))/100)/2</f>
        <v/>
      </c>
      <c r="M1003">
        <f>L1003*(1+(Inputs!$B$11+0+B1031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003">
        <f>L1003*(1-MIN((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1003*(MIN((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03">
        <f>(1-Summary!$B$11)*T1003+Summary!$B$11*V1003</f>
        <v/>
      </c>
      <c r="P1003">
        <f>IF(B1036=0,0,O1003/B1036)</f>
        <v/>
      </c>
      <c r="Q1003">
        <f>IFERROR(1/IF(Inputs!$B$39="pvp",15,MAX(0.1,Skills!D6-IF(TRUE=TRUE,Inputs!$B$33,0))),0)</f>
        <v/>
      </c>
      <c r="R1003">
        <f>IF(AND(Inputs!$B$39&lt;&gt;"pvp",Inputs!$B$44&gt;0),IF(MAX(0,Inputs!$B$44-B1033)&lt;=0,0,(INT(MAX(0,Inputs!$B$44-B1033)/IF(Inputs!$B$39="pvp",15,MAX(0.1,Skills!D6-IF(TRUE=TRUE,Inputs!$B$33,0))))+1)),0)</f>
        <v/>
      </c>
      <c r="S1003">
        <f>IFERROR(O1003/N1003,0)</f>
        <v/>
      </c>
      <c r="T1003">
        <f>IF(C1003,(H1003*N1003*IF(AND(Inputs!$B$39&lt;&gt;"pvp",Inputs!$B$44&gt;0),((Skills!G6*((R1003-1)*IF(Skills!H6&gt;0,INT(Skills!I6/Skills!H6+0.000000001),1)+IF(Skills!H6&gt;0,INT(MIN(Skills!I6,MAX(0,MAX(0,Inputs!$B$44-B1033)-((R1003-1)*IF(Inputs!$B$39="pvp",15,MAX(0.1,Skills!D6-IF(TRUE=TRUE,Inputs!$B$33,0))))))/Skills!H6+0.000000001),1)))/Inputs!$B$44),G1003*Q1003))*IF(Inputs!$B$39="pvp",1,1+(Inputs!$B$21+0+Skills!P6+((C1014=TRUE)*F1014*IF(AND(Inputs!$B$39&lt;&gt;"pvp",Inputs!$B$44&gt;0),(((R1014-1)*MIN((Skills!T17*(1+Inputs!$B$35/100)),(1/Q1014))+MIN((Skills!T17*(1+Inputs!$B$35/100)),MAX(0,Inputs!$B$44-((R1014-1)*(1/Q1014)))))/Inputs!$B$44),IF(Inputs!$B$39="pvp",MIN((Skills!T17*(1+Inputs!$B$35/100)),15)/15,MIN(1,(Skills!T17*(1+Inputs!$B$35/100))/(1/Q1014)))))+((C1002=TRUE)*IF(Inputs!$B$3&gt;=126,10*MIN(1,15*Q1002),0))+((C1011=TRUE)*IF(Inputs!$B$39="pvp",20,(1-Summary!$B$11)*(20)+Summary!$B$11*(0))*IF(AND(Inputs!$B$39&lt;&gt;"pvp",Inputs!$B$44&gt;0),(((R1011-1)*MIN((Skills!T14*(1+Inputs!$B$35/100)),(1/Q1011))+MIN((Skills!T14*(1+Inputs!$B$35/100)),MAX(0,Inputs!$B$44-((R1011-1)*(1/Q1011)))))/Inputs!$B$44),IF(Inputs!$B$39="pvp",MIN((Skills!T14*(1+Inputs!$B$35/100)),15)/15,MIN(1,(Skills!T14*(1+Inputs!$B$35/100))/(1/Q1011)))))+((C1010=TRUE)*IF(Inputs!$B$3&gt;=82,IF(Inputs!$B$39="pvp",20,(1-Summary!$B$11)*(20)+Summary!$B$11*(0)),0)*IF(AND(Inputs!$B$39&lt;&gt;"pvp",Inputs!$B$44&gt;0),(((R1010-1)*MIN((Skills!T13*(1+Inputs!$B$35/100)),(1/Q1010))+MIN((Skills!T13*(1+Inputs!$B$35/100)),MAX(0,Inputs!$B$44-((R1010-1)*(1/Q1010)))))/Inputs!$B$44),IF(Inputs!$B$39="pvp",MIN((Skills!T13*(1+Inputs!$B$35/100)),15)/15,MIN(1,(Skills!T13*(1+Inputs!$B$35/100))/(1/Q1010)))))+(IF(AND(ArtifactsInput!$M$35,Inputs!$B$4&lt;&gt;"Chapter Hunt"),CHOOSE(ArtifactsInput!$N$35+1,15,18,21,24,27,30)*(1-EXP(-(0.2*B1028)*5)),0)+IF(AND(ArtifactsInput!$M$22,Inputs!$B$4&lt;&gt;"Chapter Hunt"),CHOOSE(ArtifactsInput!$N$22+1,10,12,14,16,18,20)*((0*(((0.15*B1028*5))^0/1)+1*(((0.15*B1028*5))^1/1)+2*(((0.15*B1028*5))^2/2)+3*(((0.15*B1028*5))^3/6)+4*(((0.15*B1028*5))^4/24)+5*(((0.15*B1028*5))^5/120))/((((0.15*B1028*5))^0/1)+(((0.15*B1028*5))^1/1)+(((0.15*B1028*5))^2/2)+(((0.15*B1028*5))^3/6)+(((0.15*B1028*5))^4/24)+(((0.15*B1028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1003*(1-MIN(100,(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1003*(MIN(100,(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1003*(1-MIN(100,(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1003*(MIN(100,(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03">
        <f>IF(C1003,(H1003*N1003*IF(AND(Inputs!$B$39&lt;&gt;"pvp",Inputs!$B$44&gt;0),((Skills!G6*((R1003-1)*IF(Skills!H6&gt;0,INT(Skills!I6/Skills!H6+0.000000001),1)+IF(Skills!H6&gt;0,INT(MIN(Skills!I6,MAX(0,MAX(0,Inputs!$B$44-B1033)-((R1003-1)*IF(Inputs!$B$39="pvp",15,MAX(0.1,Skills!D6-IF(TRUE=TRUE,Inputs!$B$33,0))))))/Skills!H6+0.000000001),1)))/Inputs!$B$44),G1003*Q1003))*IF(Inputs!$B$39="pvp",1,(1+(Inputs!$B$22+Skills!Q6+((C1014=TRUE)*F1014*IF(AND(Inputs!$B$39&lt;&gt;"pvp",Inputs!$B$44&gt;0),(((R1014-1)*MIN((Skills!T17*(1+Inputs!$B$35/100)),(1/Q1014))+MIN((Skills!T17*(1+Inputs!$B$35/100)),MAX(0,Inputs!$B$44-((R1014-1)*(1/Q1014)))))/Inputs!$B$44),IF(Inputs!$B$39="pvp",MIN((Skills!T17*(1+Inputs!$B$35/100)),15)/15,MIN(1,(Skills!T17*(1+Inputs!$B$35/100))/(1/Q1014)))))+((C1002=TRUE)*IF(Inputs!$B$3&gt;=126,10*MIN(1,15*Q1002),0))+((C1011=TRUE)*IF(Inputs!$B$39="pvp",20,(1-Summary!$B$11)*(20)+Summary!$B$11*(0))*IF(AND(Inputs!$B$39&lt;&gt;"pvp",Inputs!$B$44&gt;0),(((R1011-1)*MIN((Skills!T14*(1+Inputs!$B$35/100)),(1/Q1011))+MIN((Skills!T14*(1+Inputs!$B$35/100)),MAX(0,Inputs!$B$44-((R1011-1)*(1/Q1011)))))/Inputs!$B$44),IF(Inputs!$B$39="pvp",MIN((Skills!T14*(1+Inputs!$B$35/100)),15)/15,MIN(1,(Skills!T14*(1+Inputs!$B$35/100))/(1/Q1011)))))+((C1010=TRUE)*IF(Inputs!$B$3&gt;=82,IF(Inputs!$B$39="pvp",20,(1-Summary!$B$11)*(20)+Summary!$B$11*(0)),0)*IF(AND(Inputs!$B$39&lt;&gt;"pvp",Inputs!$B$44&gt;0),(((R1010-1)*MIN((Skills!T13*(1+Inputs!$B$35/100)),(1/Q1010))+MIN((Skills!T13*(1+Inputs!$B$35/100)),MAX(0,Inputs!$B$44-((R1010-1)*(1/Q1010)))))/Inputs!$B$44),IF(Inputs!$B$39="pvp",MIN((Skills!T13*(1+Inputs!$B$35/100)),15)/15,MIN(1,(Skills!T13*(1+Inputs!$B$35/100))/(1/Q1010)))))+(IF(AND(ArtifactsInput!$M$35,Inputs!$B$4&lt;&gt;"Chapter Hunt"),CHOOSE(ArtifactsInput!$N$35+1,15,18,21,24,27,30)*(1-EXP(-(0.2*B1028)*5)),0)+IF(AND(ArtifactsInput!$M$22,Inputs!$B$4&lt;&gt;"Chapter Hunt"),CHOOSE(ArtifactsInput!$N$22+1,10,12,14,16,18,20)*((0*(((0.15*B1028*5))^0/1)+1*(((0.15*B1028*5))^1/1)+2*(((0.15*B1028*5))^2/2)+3*(((0.15*B1028*5))^3/6)+4*(((0.15*B1028*5))^4/24)+5*(((0.15*B1028*5))^5/120))/((((0.15*B1028*5))^0/1)+(((0.15*B1028*5))^1/1)+(((0.15*B1028*5))^2/2)+(((0.15*B1028*5))^3/6)+(((0.15*B1028*5))^4/24)+(((0.15*B1028*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04">
      <c r="A1004">
        <f>Skills!A7</f>
        <v/>
      </c>
      <c r="B1004">
        <f>Skills!B7</f>
        <v/>
      </c>
      <c r="C1004">
        <f>Inputs!$B$3&gt;=40</f>
        <v/>
      </c>
      <c r="D1004">
        <f>IF(Skills!C7=1,60+Inputs!$B$26+(Inputs!$B$30+1),IF(Skills!C7=2,90+Inputs!$B$27+(Inputs!$B$30+1),IF(Skills!C7=3,120+Inputs!$B$28+(Inputs!$B$30+1),MAX(0,(Inputs!$B$3-100)*3)+Inputs!$B$29+(Inputs!$B$30+1))))</f>
        <v/>
      </c>
      <c r="E1004">
        <f>INDEX(FactorTable!$B$2:$Y$301, MATCH(ROUND(MIN(300,MAX(1,D1004)),0), FactorTable!$A$2:$A$301,0), Skills!M7+1)</f>
        <v/>
      </c>
      <c r="F1004">
        <f>IF(Skills!N7=TRUE,(Skills!L7/10)*(E1004/1000),Skills!L7/10)+Skills!O7</f>
        <v/>
      </c>
      <c r="G1004">
        <f>Skills!G7*IF(Skills!H7&gt;0,INT(IF(Inputs!$B$39="pvp",MIN(Skills!I7,15),Skills!I7)/Skills!H7+0.000000001),1)</f>
        <v/>
      </c>
      <c r="H1004">
        <f>1-(1-Skills!J7/100)^Skills!K7</f>
        <v/>
      </c>
      <c r="I1004" t="inlineStr">
        <is>
          <t>1</t>
        </is>
      </c>
      <c r="J1004">
        <f>((Inputs!$B$6*(1+Inputs!$B$7/100))+(((Inputs!$B$13*(1+Inputs!$B$14/100))-(Inputs!$B$13*(1+Inputs!$B$14/100)))+0.25*(Inputs!$B$15-Inputs!$B$15))*(1+Inputs!$B$7/100))*(F1004/100)</f>
        <v/>
      </c>
      <c r="K1004">
        <f>J1004*(1+(((Inputs!$B$13+IF(Inputs!$B$3&gt;=38,(10*INDEX(FactorTable!$B$2:$Y$301, MATCH(ROUND(MIN(300,MAX(1,Inputs!$B$3)),0), FactorTable!$A$2:$A$301,0), 23)/1000)/100*(Inputs!$B$8*(1+Inputs!$B$9/100)),0))*(1+Inputs!$B$14/100))*0.01+Inputs!$B$15*0.0025)/100)*(1+Inputs!$B$16/100)*(1+Inputs!$B$17/100)*(5000/(6000+Inputs!$B$43*(1-(Inputs!$B$20+0)/100)))*(1+(Inputs!$B$25+((C1022=TRUE)*(F1022-Calc!F25))+((C1023=TRUE)*(F1023-Calc!F26))+B1032)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1008=TRUE,F1008,0)/100)*(1+(IF(Skills!A7="DARK_IMPALE",Inputs!$B$18+0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gt;=100),MIN(100,((Inputs!$B$10+0+B1026+(ArtifactsInput!$M$24-ArtifactsInput!$M$24)*CHOOSE(ArtifactsInput!$N$24+1,10,12,14,16,18,20)+IF(ArtifactsInput!$M$10,CHOOSE(ArtifactsInput!$N$10+1,15,18,21,24,27,30)*(IF(Inputs!$B$39="pvp",MIN(15,15)/15,IF(AND(Inputs!$B$39&lt;&gt;"pvp",Inputs!$B$44&gt;0),MIN(15,Inputs!$B$44)/(Inputs!$B$44),0))),0)))-100),0))*CHOOSE(ArtifactsInput!$N$42+1,0.6,0.72,0.84,0.96,1.08,1.2))),Inputs!$B$19+((C1020=TRUE)*(F1020-Calc!F23))+(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gt;=100),CHOOSE(ArtifactsInput!$N$42+1,40,48,56,64,72,80),0))))/100)*((1+(((C1010=TRUE)*F1010*IF(AND(Inputs!$B$39&lt;&gt;"pvp",Inputs!$B$44&gt;0),(((R1010-1)*MIN((Skills!T13*(1+Inputs!$B$35/100)),(1/Q1010))+MIN((Skills!T13*(1+Inputs!$B$35/100)),MAX(0,Inputs!$B$44-((R1010-1)*(1/Q1010)))))/Inputs!$B$44),IF(Inputs!$B$39="pvp",MIN((Skills!T13*(1+Inputs!$B$35/100)),15)/15,MIN(1,(Skills!T13*(1+Inputs!$B$35/100))/(1/Q1010)))))+((C1011=TRUE)*F1011*IF(AND(Inputs!$B$39&lt;&gt;"pvp",Inputs!$B$44&gt;0),(((R1011-1)*MIN((Skills!T14*(1+Inputs!$B$35/100)),(1/Q1011))+MIN((Skills!T14*(1+Inputs!$B$35/100)),MAX(0,Inputs!$B$44-((R1011-1)*(1/Q1011)))))/Inputs!$B$44),IF(Inputs!$B$39="pvp",MIN((Skills!T14*(1+Inputs!$B$35/100)),15)/15,MIN(1,(Skills!T14*(1+Inputs!$B$35/100))/(1/Q1011)))))+((C1012=TRUE)*F1012*IF(AND(Inputs!$B$39&lt;&gt;"pvp",Inputs!$B$44&gt;0),(((R1012-1)*MIN((Skills!T15*(1+Inputs!$B$35/100)),(1/Q1012))+MIN((Skills!T15*(1+Inputs!$B$35/100)),MAX(0,Inputs!$B$44-((R1012-1)*(1/Q1012)))))/Inputs!$B$44),IF(Inputs!$B$39="pvp",MIN((Skills!T15*(1+Inputs!$B$35/100)),15)/15,MIN(1,(Skills!T15*(1+Inputs!$B$35/100))/(1/Q1012)))))+((C1013=TRUE)*F1013*IF(AND(Inputs!$B$39&lt;&gt;"pvp",Inputs!$B$44&gt;0),(((R1013-1)*MIN((Skills!T16*(1+Inputs!$B$35/100)),(1/Q1013))+MIN((Skills!T16*(1+Inputs!$B$35/100)),MAX(0,Inputs!$B$44-((R1013-1)*(1/Q1013)))))/Inputs!$B$44),IF(Inputs!$B$39="pvp",MIN((Skills!T16*(1+Inputs!$B$35/100)),15)/15,MIN(1,(Skills!T16*(1+Inputs!$B$35/100))/(1/Q1013)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1004)</f>
        <v/>
      </c>
      <c r="L1004">
        <f>K1004*(MIN(Inputs!$B$23+((C1019=TRUE)*(F1019-Calc!F22)),(Inputs!$B$24+((C1021=TRUE)*(F1021-Calc!F24))+(IF(ArtifactsInput!$M$15,CHOOSE(ArtifactsInput!$N$15+1,25,30,35,40,45,50)/100*(Inputs!$B$12-Inputs!$B$12),0))))/100+(Inputs!$B$24+((C1021=TRUE)*(F1021-Calc!F24))+(IF(ArtifactsInput!$M$15,CHOOSE(ArtifactsInput!$N$15+1,25,30,35,40,45,50)/100*(Inputs!$B$12-Inputs!$B$12),0)))/100)/2</f>
        <v/>
      </c>
      <c r="M1004">
        <f>L1004*(1+(Inputs!$B$11+0+B1031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004">
        <f>L1004*(1-MIN((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1004*(MIN((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04">
        <f>(1-Summary!$B$11)*T1004+Summary!$B$11*V1004</f>
        <v/>
      </c>
      <c r="P1004">
        <f>IF(B1036=0,0,O1004/B1036)</f>
        <v/>
      </c>
      <c r="Q1004">
        <f>IFERROR(1/IF(Inputs!$B$39="pvp",15,MAX(0.1,Skills!D7-IF(TRUE=TRUE,Inputs!$B$33,0))),0)</f>
        <v/>
      </c>
      <c r="R1004">
        <f>IF(AND(Inputs!$B$39&lt;&gt;"pvp",Inputs!$B$44&gt;0),IF(MAX(0,Inputs!$B$44-B1033)&lt;=0,0,(INT(MAX(0,Inputs!$B$44-B1033)/IF(Inputs!$B$39="pvp",15,MAX(0.1,Skills!D7-IF(TRUE=TRUE,Inputs!$B$33,0))))+1)),0)</f>
        <v/>
      </c>
      <c r="S1004">
        <f>IFERROR(O1004/N1004,0)</f>
        <v/>
      </c>
      <c r="T1004">
        <f>IF(C1004,(H1004*N1004*IF(AND(Inputs!$B$39&lt;&gt;"pvp",Inputs!$B$44&gt;0),((Skills!G7*((R1004-1)*IF(Skills!H7&gt;0,INT(Skills!I7/Skills!H7+0.000000001),1)+IF(Skills!H7&gt;0,INT(MIN(Skills!I7,MAX(0,MAX(0,Inputs!$B$44-B1033)-((R1004-1)*IF(Inputs!$B$39="pvp",15,MAX(0.1,Skills!D7-IF(TRUE=TRUE,Inputs!$B$33,0))))))/Skills!H7+0.000000001),1)))/Inputs!$B$44),G1004*Q1004))*IF(Inputs!$B$39="pvp",1,1+(Inputs!$B$21+0+Skills!P7+((C1014=TRUE)*F1014*IF(AND(Inputs!$B$39&lt;&gt;"pvp",Inputs!$B$44&gt;0),(((R1014-1)*MIN((Skills!T17*(1+Inputs!$B$35/100)),(1/Q1014))+MIN((Skills!T17*(1+Inputs!$B$35/100)),MAX(0,Inputs!$B$44-((R1014-1)*(1/Q1014)))))/Inputs!$B$44),IF(Inputs!$B$39="pvp",MIN((Skills!T17*(1+Inputs!$B$35/100)),15)/15,MIN(1,(Skills!T17*(1+Inputs!$B$35/100))/(1/Q1014)))))+((C1002=TRUE)*IF(Inputs!$B$3&gt;=126,10*MIN(1,15*Q1002),0))+((C1011=TRUE)*IF(Inputs!$B$39="pvp",20,(1-Summary!$B$11)*(20)+Summary!$B$11*(0))*IF(AND(Inputs!$B$39&lt;&gt;"pvp",Inputs!$B$44&gt;0),(((R1011-1)*MIN((Skills!T14*(1+Inputs!$B$35/100)),(1/Q1011))+MIN((Skills!T14*(1+Inputs!$B$35/100)),MAX(0,Inputs!$B$44-((R1011-1)*(1/Q1011)))))/Inputs!$B$44),IF(Inputs!$B$39="pvp",MIN((Skills!T14*(1+Inputs!$B$35/100)),15)/15,MIN(1,(Skills!T14*(1+Inputs!$B$35/100))/(1/Q1011)))))+((C1010=TRUE)*IF(Inputs!$B$3&gt;=82,IF(Inputs!$B$39="pvp",20,(1-Summary!$B$11)*(20)+Summary!$B$11*(0)),0)*IF(AND(Inputs!$B$39&lt;&gt;"pvp",Inputs!$B$44&gt;0),(((R1010-1)*MIN((Skills!T13*(1+Inputs!$B$35/100)),(1/Q1010))+MIN((Skills!T13*(1+Inputs!$B$35/100)),MAX(0,Inputs!$B$44-((R1010-1)*(1/Q1010)))))/Inputs!$B$44),IF(Inputs!$B$39="pvp",MIN((Skills!T13*(1+Inputs!$B$35/100)),15)/15,MIN(1,(Skills!T13*(1+Inputs!$B$35/100))/(1/Q1010)))))+(IF(AND(ArtifactsInput!$M$35,Inputs!$B$4&lt;&gt;"Chapter Hunt"),CHOOSE(ArtifactsInput!$N$35+1,15,18,21,24,27,30)*(1-EXP(-(0.2*B1028)*5)),0)+IF(AND(ArtifactsInput!$M$22,Inputs!$B$4&lt;&gt;"Chapter Hunt"),CHOOSE(ArtifactsInput!$N$22+1,10,12,14,16,18,20)*((0*(((0.15*B1028*5))^0/1)+1*(((0.15*B1028*5))^1/1)+2*(((0.15*B1028*5))^2/2)+3*(((0.15*B1028*5))^3/6)+4*(((0.15*B1028*5))^4/24)+5*(((0.15*B1028*5))^5/120))/((((0.15*B1028*5))^0/1)+(((0.15*B1028*5))^1/1)+(((0.15*B1028*5))^2/2)+(((0.15*B1028*5))^3/6)+(((0.15*B1028*5))^4/24)+(((0.15*B1028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1004*(1-MIN(100,(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1004*(MIN(100,(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1004*(1-MIN(100,(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1004*(MIN(100,(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04">
        <f>IF(C1004,(H1004*N1004*IF(AND(Inputs!$B$39&lt;&gt;"pvp",Inputs!$B$44&gt;0),((Skills!G7*((R1004-1)*IF(Skills!H7&gt;0,INT(Skills!I7/Skills!H7+0.000000001),1)+IF(Skills!H7&gt;0,INT(MIN(Skills!I7,MAX(0,MAX(0,Inputs!$B$44-B1033)-((R1004-1)*IF(Inputs!$B$39="pvp",15,MAX(0.1,Skills!D7-IF(TRUE=TRUE,Inputs!$B$33,0))))))/Skills!H7+0.000000001),1)))/Inputs!$B$44),G1004*Q1004))*IF(Inputs!$B$39="pvp",1,(1+(Inputs!$B$22+Skills!Q7+((C1014=TRUE)*F1014*IF(AND(Inputs!$B$39&lt;&gt;"pvp",Inputs!$B$44&gt;0),(((R1014-1)*MIN((Skills!T17*(1+Inputs!$B$35/100)),(1/Q1014))+MIN((Skills!T17*(1+Inputs!$B$35/100)),MAX(0,Inputs!$B$44-((R1014-1)*(1/Q1014)))))/Inputs!$B$44),IF(Inputs!$B$39="pvp",MIN((Skills!T17*(1+Inputs!$B$35/100)),15)/15,MIN(1,(Skills!T17*(1+Inputs!$B$35/100))/(1/Q1014)))))+((C1002=TRUE)*IF(Inputs!$B$3&gt;=126,10*MIN(1,15*Q1002),0))+((C1011=TRUE)*IF(Inputs!$B$39="pvp",20,(1-Summary!$B$11)*(20)+Summary!$B$11*(0))*IF(AND(Inputs!$B$39&lt;&gt;"pvp",Inputs!$B$44&gt;0),(((R1011-1)*MIN((Skills!T14*(1+Inputs!$B$35/100)),(1/Q1011))+MIN((Skills!T14*(1+Inputs!$B$35/100)),MAX(0,Inputs!$B$44-((R1011-1)*(1/Q1011)))))/Inputs!$B$44),IF(Inputs!$B$39="pvp",MIN((Skills!T14*(1+Inputs!$B$35/100)),15)/15,MIN(1,(Skills!T14*(1+Inputs!$B$35/100))/(1/Q1011)))))+((C1010=TRUE)*IF(Inputs!$B$3&gt;=82,IF(Inputs!$B$39="pvp",20,(1-Summary!$B$11)*(20)+Summary!$B$11*(0)),0)*IF(AND(Inputs!$B$39&lt;&gt;"pvp",Inputs!$B$44&gt;0),(((R1010-1)*MIN((Skills!T13*(1+Inputs!$B$35/100)),(1/Q1010))+MIN((Skills!T13*(1+Inputs!$B$35/100)),MAX(0,Inputs!$B$44-((R1010-1)*(1/Q1010)))))/Inputs!$B$44),IF(Inputs!$B$39="pvp",MIN((Skills!T13*(1+Inputs!$B$35/100)),15)/15,MIN(1,(Skills!T13*(1+Inputs!$B$35/100))/(1/Q1010)))))+(IF(AND(ArtifactsInput!$M$35,Inputs!$B$4&lt;&gt;"Chapter Hunt"),CHOOSE(ArtifactsInput!$N$35+1,15,18,21,24,27,30)*(1-EXP(-(0.2*B1028)*5)),0)+IF(AND(ArtifactsInput!$M$22,Inputs!$B$4&lt;&gt;"Chapter Hunt"),CHOOSE(ArtifactsInput!$N$22+1,10,12,14,16,18,20)*((0*(((0.15*B1028*5))^0/1)+1*(((0.15*B1028*5))^1/1)+2*(((0.15*B1028*5))^2/2)+3*(((0.15*B1028*5))^3/6)+4*(((0.15*B1028*5))^4/24)+5*(((0.15*B1028*5))^5/120))/((((0.15*B1028*5))^0/1)+(((0.15*B1028*5))^1/1)+(((0.15*B1028*5))^2/2)+(((0.15*B1028*5))^3/6)+(((0.15*B1028*5))^4/24)+(((0.15*B1028*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05">
      <c r="A1005">
        <f>Skills!A8</f>
        <v/>
      </c>
      <c r="B1005">
        <f>Skills!B8</f>
        <v/>
      </c>
      <c r="C1005">
        <f>Inputs!$B$3&gt;=75</f>
        <v/>
      </c>
      <c r="D1005">
        <f>IF(Skills!C8=1,60+Inputs!$B$26+(Inputs!$B$30+1),IF(Skills!C8=2,90+Inputs!$B$27+(Inputs!$B$30+1),IF(Skills!C8=3,120+Inputs!$B$28+(Inputs!$B$30+1),MAX(0,(Inputs!$B$3-100)*3)+Inputs!$B$29+(Inputs!$B$30+1))))</f>
        <v/>
      </c>
      <c r="E1005">
        <f>INDEX(FactorTable!$B$2:$Y$301, MATCH(ROUND(MIN(300,MAX(1,D1005)),0), FactorTable!$A$2:$A$301,0), Skills!M8+1)</f>
        <v/>
      </c>
      <c r="F1005">
        <f>IF(Skills!N8=TRUE,(Skills!L8/10)*(E1005/1000),Skills!L8/10)+Skills!O8</f>
        <v/>
      </c>
      <c r="G1005" t="inlineStr"/>
      <c r="H1005" t="inlineStr"/>
      <c r="I1005" t="inlineStr">
        <is>
          <t>1</t>
        </is>
      </c>
      <c r="J1005" t="inlineStr"/>
      <c r="K1005" t="inlineStr"/>
      <c r="L1005" t="inlineStr"/>
      <c r="M1005" t="inlineStr"/>
      <c r="N1005" t="inlineStr"/>
      <c r="O1005" t="inlineStr"/>
      <c r="P1005" t="inlineStr"/>
      <c r="Q1005" t="inlineStr"/>
      <c r="R1005" t="inlineStr"/>
      <c r="S1005" t="inlineStr"/>
    </row>
    <row r="1006">
      <c r="A1006">
        <f>Skills!A9</f>
        <v/>
      </c>
      <c r="B1006">
        <f>Skills!B9</f>
        <v/>
      </c>
      <c r="C1006">
        <f>Inputs!$B$3&gt;=60</f>
        <v/>
      </c>
      <c r="D1006">
        <f>IF(Skills!C9=1,60+Inputs!$B$26+(Inputs!$B$30+1),IF(Skills!C9=2,90+Inputs!$B$27+(Inputs!$B$30+1),IF(Skills!C9=3,120+Inputs!$B$28+(Inputs!$B$30+1),MAX(0,(Inputs!$B$3-100)*3)+Inputs!$B$29+(Inputs!$B$30+1))))</f>
        <v/>
      </c>
      <c r="E1006">
        <f>INDEX(FactorTable!$B$2:$Y$301, MATCH(ROUND(MIN(300,MAX(1,D1006)),0), FactorTable!$A$2:$A$301,0), Skills!M9+1)</f>
        <v/>
      </c>
      <c r="F1006">
        <f>IF(Skills!N9=TRUE,(Skills!L9/10)*(E1006/1000),Skills!L9/10)+Skills!O9</f>
        <v/>
      </c>
      <c r="G1006">
        <f>Skills!G9*IF(Skills!H9&gt;0,INT(IF(Inputs!$B$39="pvp",MIN(Skills!I9,15),Skills!I9)/Skills!H9+0.000000001),1)</f>
        <v/>
      </c>
      <c r="H1006">
        <f>1-(1-Skills!J9/100)^Skills!K9</f>
        <v/>
      </c>
      <c r="I1006" t="inlineStr">
        <is>
          <t>1</t>
        </is>
      </c>
      <c r="J1006">
        <f>((Inputs!$B$6*(1+Inputs!$B$7/100))+(((Inputs!$B$13*(1+Inputs!$B$14/100))-(Inputs!$B$13*(1+Inputs!$B$14/100)))+0.25*(Inputs!$B$15-Inputs!$B$15))*(1+Inputs!$B$7/100))*(F1006/100)</f>
        <v/>
      </c>
      <c r="K1006">
        <f>J1006*(1+(((Inputs!$B$13+IF(Inputs!$B$3&gt;=38,(10*INDEX(FactorTable!$B$2:$Y$301, MATCH(ROUND(MIN(300,MAX(1,Inputs!$B$3)),0), FactorTable!$A$2:$A$301,0), 23)/1000)/100*(Inputs!$B$8*(1+Inputs!$B$9/100)),0))*(1+Inputs!$B$14/100))*0.01+Inputs!$B$15*0.0025)/100)*(1+Inputs!$B$16/100)*(1+Inputs!$B$17/100)*(5000/(6000+Inputs!$B$43*(1-(Inputs!$B$20+0)/100)))*(1+(Inputs!$B$25+((C1022=TRUE)*(F1022-Calc!F25))+((C1023=TRUE)*(F1023-Calc!F26))+B1032)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1008=TRUE,F1008,0)/100)*(1+(IF(Skills!A9="DARK_IMPALE",Inputs!$B$18+0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gt;=100),MIN(100,((Inputs!$B$10+0+B1026+(ArtifactsInput!$M$24-ArtifactsInput!$M$24)*CHOOSE(ArtifactsInput!$N$24+1,10,12,14,16,18,20)+IF(ArtifactsInput!$M$10,CHOOSE(ArtifactsInput!$N$10+1,15,18,21,24,27,30)*(IF(Inputs!$B$39="pvp",MIN(15,15)/15,IF(AND(Inputs!$B$39&lt;&gt;"pvp",Inputs!$B$44&gt;0),MIN(15,Inputs!$B$44)/(Inputs!$B$44),0))),0)))-100),0))*CHOOSE(ArtifactsInput!$N$42+1,0.6,0.72,0.84,0.96,1.08,1.2))),Inputs!$B$19+((C1020=TRUE)*(F1020-Calc!F23))+(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gt;=100),CHOOSE(ArtifactsInput!$N$42+1,40,48,56,64,72,80),0))))/100)*((1+(((C1010=TRUE)*F1010*IF(AND(Inputs!$B$39&lt;&gt;"pvp",Inputs!$B$44&gt;0),(((R1010-1)*MIN((Skills!T13*(1+Inputs!$B$35/100)),(1/Q1010))+MIN((Skills!T13*(1+Inputs!$B$35/100)),MAX(0,Inputs!$B$44-((R1010-1)*(1/Q1010)))))/Inputs!$B$44),IF(Inputs!$B$39="pvp",MIN((Skills!T13*(1+Inputs!$B$35/100)),15)/15,MIN(1,(Skills!T13*(1+Inputs!$B$35/100))/(1/Q1010)))))+((C1011=TRUE)*F1011*IF(AND(Inputs!$B$39&lt;&gt;"pvp",Inputs!$B$44&gt;0),(((R1011-1)*MIN((Skills!T14*(1+Inputs!$B$35/100)),(1/Q1011))+MIN((Skills!T14*(1+Inputs!$B$35/100)),MAX(0,Inputs!$B$44-((R1011-1)*(1/Q1011)))))/Inputs!$B$44),IF(Inputs!$B$39="pvp",MIN((Skills!T14*(1+Inputs!$B$35/100)),15)/15,MIN(1,(Skills!T14*(1+Inputs!$B$35/100))/(1/Q1011)))))+((C1012=TRUE)*F1012*IF(AND(Inputs!$B$39&lt;&gt;"pvp",Inputs!$B$44&gt;0),(((R1012-1)*MIN((Skills!T15*(1+Inputs!$B$35/100)),(1/Q1012))+MIN((Skills!T15*(1+Inputs!$B$35/100)),MAX(0,Inputs!$B$44-((R1012-1)*(1/Q1012)))))/Inputs!$B$44),IF(Inputs!$B$39="pvp",MIN((Skills!T15*(1+Inputs!$B$35/100)),15)/15,MIN(1,(Skills!T15*(1+Inputs!$B$35/100))/(1/Q1012)))))+((C1013=TRUE)*F1013*IF(AND(Inputs!$B$39&lt;&gt;"pvp",Inputs!$B$44&gt;0),(((R1013-1)*MIN((Skills!T16*(1+Inputs!$B$35/100)),(1/Q1013))+MIN((Skills!T16*(1+Inputs!$B$35/100)),MAX(0,Inputs!$B$44-((R1013-1)*(1/Q1013)))))/Inputs!$B$44),IF(Inputs!$B$39="pvp",MIN((Skills!T16*(1+Inputs!$B$35/100)),15)/15,MIN(1,(Skills!T16*(1+Inputs!$B$35/100))/(1/Q1013)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1006)</f>
        <v/>
      </c>
      <c r="L1006">
        <f>K1006*(MIN(Inputs!$B$23+((C1019=TRUE)*(F1019-Calc!F22)),(Inputs!$B$24+((C1021=TRUE)*(F1021-Calc!F24))+(IF(ArtifactsInput!$M$15,CHOOSE(ArtifactsInput!$N$15+1,25,30,35,40,45,50)/100*(Inputs!$B$12-Inputs!$B$12),0))))/100+(Inputs!$B$24+((C1021=TRUE)*(F1021-Calc!F24))+(IF(ArtifactsInput!$M$15,CHOOSE(ArtifactsInput!$N$15+1,25,30,35,40,45,50)/100*(Inputs!$B$12-Inputs!$B$12),0)))/100)/2</f>
        <v/>
      </c>
      <c r="M1006">
        <f>L1006*(1+(Inputs!$B$11+0+B1031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006">
        <f>L1006*(1-MIN((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1006*(MIN((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06">
        <f>(1-Summary!$B$11)*T1006+Summary!$B$11*V1006</f>
        <v/>
      </c>
      <c r="P1006">
        <f>IF(B1036=0,0,O1006/B1036)</f>
        <v/>
      </c>
      <c r="Q1006">
        <f>IFERROR(1/IF(Inputs!$B$39="pvp",15,MAX(0.1,Skills!D9-IF(TRUE=TRUE,Inputs!$B$33,0))),0)</f>
        <v/>
      </c>
      <c r="R1006">
        <f>IF(AND(Inputs!$B$39&lt;&gt;"pvp",Inputs!$B$44&gt;0),IF(MAX(0,Inputs!$B$44-B1033)&lt;=0,0,(INT(MAX(0,Inputs!$B$44-B1033)/IF(Inputs!$B$39="pvp",15,MAX(0.1,Skills!D9-IF(TRUE=TRUE,Inputs!$B$33,0))))+1)),0)</f>
        <v/>
      </c>
      <c r="S1006">
        <f>IFERROR(O1006/N1006,0)</f>
        <v/>
      </c>
      <c r="T1006">
        <f>IF(C1006,(H1006*N1006*IF(AND(Inputs!$B$39&lt;&gt;"pvp",Inputs!$B$44&gt;0),((Skills!G9*((R1006-1)*IF(Skills!H9&gt;0,INT(Skills!I9/Skills!H9+0.000000001),1)+IF(Skills!H9&gt;0,INT(MIN(Skills!I9,MAX(0,MAX(0,Inputs!$B$44-B1033)-((R1006-1)*IF(Inputs!$B$39="pvp",15,MAX(0.1,Skills!D9-IF(TRUE=TRUE,Inputs!$B$33,0))))))/Skills!H9+0.000000001),1)))/Inputs!$B$44),G1006*Q1006))*IF(Inputs!$B$39="pvp",1,1+(Inputs!$B$21+0+Skills!P9+((C1014=TRUE)*F1014*IF(AND(Inputs!$B$39&lt;&gt;"pvp",Inputs!$B$44&gt;0),(((R1014-1)*MIN((Skills!T17*(1+Inputs!$B$35/100)),(1/Q1014))+MIN((Skills!T17*(1+Inputs!$B$35/100)),MAX(0,Inputs!$B$44-((R1014-1)*(1/Q1014)))))/Inputs!$B$44),IF(Inputs!$B$39="pvp",MIN((Skills!T17*(1+Inputs!$B$35/100)),15)/15,MIN(1,(Skills!T17*(1+Inputs!$B$35/100))/(1/Q1014)))))+((C1002=TRUE)*IF(Inputs!$B$3&gt;=126,10*MIN(1,15*Q1002),0))+((C1011=TRUE)*IF(Inputs!$B$39="pvp",20,(1-Summary!$B$11)*(20)+Summary!$B$11*(0))*IF(AND(Inputs!$B$39&lt;&gt;"pvp",Inputs!$B$44&gt;0),(((R1011-1)*MIN((Skills!T14*(1+Inputs!$B$35/100)),(1/Q1011))+MIN((Skills!T14*(1+Inputs!$B$35/100)),MAX(0,Inputs!$B$44-((R1011-1)*(1/Q1011)))))/Inputs!$B$44),IF(Inputs!$B$39="pvp",MIN((Skills!T14*(1+Inputs!$B$35/100)),15)/15,MIN(1,(Skills!T14*(1+Inputs!$B$35/100))/(1/Q1011)))))+((C1010=TRUE)*IF(Inputs!$B$3&gt;=82,IF(Inputs!$B$39="pvp",20,(1-Summary!$B$11)*(20)+Summary!$B$11*(0)),0)*IF(AND(Inputs!$B$39&lt;&gt;"pvp",Inputs!$B$44&gt;0),(((R1010-1)*MIN((Skills!T13*(1+Inputs!$B$35/100)),(1/Q1010))+MIN((Skills!T13*(1+Inputs!$B$35/100)),MAX(0,Inputs!$B$44-((R1010-1)*(1/Q1010)))))/Inputs!$B$44),IF(Inputs!$B$39="pvp",MIN((Skills!T13*(1+Inputs!$B$35/100)),15)/15,MIN(1,(Skills!T13*(1+Inputs!$B$35/100))/(1/Q1010)))))+(IF(AND(ArtifactsInput!$M$35,Inputs!$B$4&lt;&gt;"Chapter Hunt"),CHOOSE(ArtifactsInput!$N$35+1,15,18,21,24,27,30)*(1-EXP(-(0.2*B1028)*5)),0)+IF(AND(ArtifactsInput!$M$22,Inputs!$B$4&lt;&gt;"Chapter Hunt"),CHOOSE(ArtifactsInput!$N$22+1,10,12,14,16,18,20)*((0*(((0.15*B1028*5))^0/1)+1*(((0.15*B1028*5))^1/1)+2*(((0.15*B1028*5))^2/2)+3*(((0.15*B1028*5))^3/6)+4*(((0.15*B1028*5))^4/24)+5*(((0.15*B1028*5))^5/120))/((((0.15*B1028*5))^0/1)+(((0.15*B1028*5))^1/1)+(((0.15*B1028*5))^2/2)+(((0.15*B1028*5))^3/6)+(((0.15*B1028*5))^4/24)+(((0.15*B1028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1006*(1-MIN(100,(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1006*(MIN(100,(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1006*(1-MIN(100,(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1006*(MIN(100,(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06">
        <f>IF(C1006,(H1006*N1006*IF(AND(Inputs!$B$39&lt;&gt;"pvp",Inputs!$B$44&gt;0),((Skills!G9*((R1006-1)*IF(Skills!H9&gt;0,INT(Skills!I9/Skills!H9+0.000000001),1)+IF(Skills!H9&gt;0,INT(MIN(Skills!I9,MAX(0,MAX(0,Inputs!$B$44-B1033)-((R1006-1)*IF(Inputs!$B$39="pvp",15,MAX(0.1,Skills!D9-IF(TRUE=TRUE,Inputs!$B$33,0))))))/Skills!H9+0.000000001),1)))/Inputs!$B$44),G1006*Q1006))*IF(Inputs!$B$39="pvp",1,(1+(Inputs!$B$22+Skills!Q9+((C1014=TRUE)*F1014*IF(AND(Inputs!$B$39&lt;&gt;"pvp",Inputs!$B$44&gt;0),(((R1014-1)*MIN((Skills!T17*(1+Inputs!$B$35/100)),(1/Q1014))+MIN((Skills!T17*(1+Inputs!$B$35/100)),MAX(0,Inputs!$B$44-((R1014-1)*(1/Q1014)))))/Inputs!$B$44),IF(Inputs!$B$39="pvp",MIN((Skills!T17*(1+Inputs!$B$35/100)),15)/15,MIN(1,(Skills!T17*(1+Inputs!$B$35/100))/(1/Q1014)))))+((C1002=TRUE)*IF(Inputs!$B$3&gt;=126,10*MIN(1,15*Q1002),0))+((C1011=TRUE)*IF(Inputs!$B$39="pvp",20,(1-Summary!$B$11)*(20)+Summary!$B$11*(0))*IF(AND(Inputs!$B$39&lt;&gt;"pvp",Inputs!$B$44&gt;0),(((R1011-1)*MIN((Skills!T14*(1+Inputs!$B$35/100)),(1/Q1011))+MIN((Skills!T14*(1+Inputs!$B$35/100)),MAX(0,Inputs!$B$44-((R1011-1)*(1/Q1011)))))/Inputs!$B$44),IF(Inputs!$B$39="pvp",MIN((Skills!T14*(1+Inputs!$B$35/100)),15)/15,MIN(1,(Skills!T14*(1+Inputs!$B$35/100))/(1/Q1011)))))+((C1010=TRUE)*IF(Inputs!$B$3&gt;=82,IF(Inputs!$B$39="pvp",20,(1-Summary!$B$11)*(20)+Summary!$B$11*(0)),0)*IF(AND(Inputs!$B$39&lt;&gt;"pvp",Inputs!$B$44&gt;0),(((R1010-1)*MIN((Skills!T13*(1+Inputs!$B$35/100)),(1/Q1010))+MIN((Skills!T13*(1+Inputs!$B$35/100)),MAX(0,Inputs!$B$44-((R1010-1)*(1/Q1010)))))/Inputs!$B$44),IF(Inputs!$B$39="pvp",MIN((Skills!T13*(1+Inputs!$B$35/100)),15)/15,MIN(1,(Skills!T13*(1+Inputs!$B$35/100))/(1/Q1010)))))+(IF(AND(ArtifactsInput!$M$35,Inputs!$B$4&lt;&gt;"Chapter Hunt"),CHOOSE(ArtifactsInput!$N$35+1,15,18,21,24,27,30)*(1-EXP(-(0.2*B1028)*5)),0)+IF(AND(ArtifactsInput!$M$22,Inputs!$B$4&lt;&gt;"Chapter Hunt"),CHOOSE(ArtifactsInput!$N$22+1,10,12,14,16,18,20)*((0*(((0.15*B1028*5))^0/1)+1*(((0.15*B1028*5))^1/1)+2*(((0.15*B1028*5))^2/2)+3*(((0.15*B1028*5))^3/6)+4*(((0.15*B1028*5))^4/24)+5*(((0.15*B1028*5))^5/120))/((((0.15*B1028*5))^0/1)+(((0.15*B1028*5))^1/1)+(((0.15*B1028*5))^2/2)+(((0.15*B1028*5))^3/6)+(((0.15*B1028*5))^4/24)+(((0.15*B1028*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07">
      <c r="A1007">
        <f>Skills!A10</f>
        <v/>
      </c>
      <c r="B1007">
        <f>Skills!B10</f>
        <v/>
      </c>
      <c r="C1007">
        <f>Inputs!$B$3&gt;=110</f>
        <v/>
      </c>
      <c r="D1007">
        <f>IF(Skills!C10=1,60+Inputs!$B$26+(Inputs!$B$30+1),IF(Skills!C10=2,90+Inputs!$B$27+(Inputs!$B$30+1),IF(Skills!C10=3,120+Inputs!$B$28+(Inputs!$B$30+1),MAX(0,(Inputs!$B$3-100)*3)+Inputs!$B$29+(Inputs!$B$30+1))))</f>
        <v/>
      </c>
      <c r="E1007">
        <f>INDEX(FactorTable!$B$2:$Y$301, MATCH(ROUND(MIN(300,MAX(1,D1007)),0), FactorTable!$A$2:$A$301,0), Skills!M10+1)</f>
        <v/>
      </c>
      <c r="F1007">
        <f>IF(Skills!N10=TRUE,(Skills!L10/10)*(E1007/1000),Skills!L10/10)+Skills!O10</f>
        <v/>
      </c>
      <c r="G1007">
        <f>Skills!G10*IF(Skills!H10&gt;0,INT(IF(Inputs!$B$39="pvp",MIN(Skills!I10,15),Skills!I10)/Skills!H10+0.000000001),1)</f>
        <v/>
      </c>
      <c r="H1007">
        <f>1-(1-Skills!J10/100)^Skills!K10</f>
        <v/>
      </c>
      <c r="I1007" t="inlineStr">
        <is>
          <t>1</t>
        </is>
      </c>
      <c r="J1007">
        <f>((Inputs!$B$6*(1+Inputs!$B$7/100))+(((Inputs!$B$13*(1+Inputs!$B$14/100))-(Inputs!$B$13*(1+Inputs!$B$14/100)))+0.25*(Inputs!$B$15-Inputs!$B$15))*(1+Inputs!$B$7/100))*(F1007/100)</f>
        <v/>
      </c>
      <c r="K1007">
        <f>J1007*(1+(((Inputs!$B$13+IF(Inputs!$B$3&gt;=38,(10*INDEX(FactorTable!$B$2:$Y$301, MATCH(ROUND(MIN(300,MAX(1,Inputs!$B$3)),0), FactorTable!$A$2:$A$301,0), 23)/1000)/100*(Inputs!$B$8*(1+Inputs!$B$9/100)),0))*(1+Inputs!$B$14/100))*0.01+Inputs!$B$15*0.0025)/100)*(1+Inputs!$B$16/100)*(1+Inputs!$B$17/100)*(5000/(6000+Inputs!$B$43*(1-(Inputs!$B$20+0)/100)))*(1+(Inputs!$B$25+((C1022=TRUE)*(F1022-Calc!F25))+((C1023=TRUE)*(F1023-Calc!F26))+B1032)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gt;=100),MIN(100,((Inputs!$B$10+0+B1026+(ArtifactsInput!$M$24-ArtifactsInput!$M$24)*CHOOSE(ArtifactsInput!$N$24+1,10,12,14,16,18,20)+IF(ArtifactsInput!$M$10,CHOOSE(ArtifactsInput!$N$10+1,15,18,21,24,27,30)*(IF(Inputs!$B$39="pvp",MIN(15,15)/15,IF(AND(Inputs!$B$39&lt;&gt;"pvp",Inputs!$B$44&gt;0),MIN(15,Inputs!$B$44)/(Inputs!$B$44),0))),0)))-100),0))*CHOOSE(ArtifactsInput!$N$42+1,0.6,0.72,0.84,0.96,1.08,1.2))),Inputs!$B$19+((C1020=TRUE)*(F1020-Calc!F23))+(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gt;=100),CHOOSE(ArtifactsInput!$N$42+1,40,48,56,64,72,80),0))))/100)*((1+(((C1010=TRUE)*F1010*IF(AND(Inputs!$B$39&lt;&gt;"pvp",Inputs!$B$44&gt;0),(((R1010-1)*MIN((Skills!T13*(1+Inputs!$B$35/100)),(1/Q1010))+MIN((Skills!T13*(1+Inputs!$B$35/100)),MAX(0,Inputs!$B$44-((R1010-1)*(1/Q1010)))))/Inputs!$B$44),IF(Inputs!$B$39="pvp",MIN((Skills!T13*(1+Inputs!$B$35/100)),15)/15,MIN(1,(Skills!T13*(1+Inputs!$B$35/100))/(1/Q1010)))))+((C1011=TRUE)*F1011*IF(AND(Inputs!$B$39&lt;&gt;"pvp",Inputs!$B$44&gt;0),(((R1011-1)*MIN((Skills!T14*(1+Inputs!$B$35/100)),(1/Q1011))+MIN((Skills!T14*(1+Inputs!$B$35/100)),MAX(0,Inputs!$B$44-((R1011-1)*(1/Q1011)))))/Inputs!$B$44),IF(Inputs!$B$39="pvp",MIN((Skills!T14*(1+Inputs!$B$35/100)),15)/15,MIN(1,(Skills!T14*(1+Inputs!$B$35/100))/(1/Q1011)))))+((C1012=TRUE)*F1012*IF(AND(Inputs!$B$39&lt;&gt;"pvp",Inputs!$B$44&gt;0),(((R1012-1)*MIN((Skills!T15*(1+Inputs!$B$35/100)),(1/Q1012))+MIN((Skills!T15*(1+Inputs!$B$35/100)),MAX(0,Inputs!$B$44-((R1012-1)*(1/Q1012)))))/Inputs!$B$44),IF(Inputs!$B$39="pvp",MIN((Skills!T15*(1+Inputs!$B$35/100)),15)/15,MIN(1,(Skills!T15*(1+Inputs!$B$35/100))/(1/Q1012)))))+((C1013=TRUE)*F1013*IF(AND(Inputs!$B$39&lt;&gt;"pvp",Inputs!$B$44&gt;0),(((R1013-1)*MIN((Skills!T16*(1+Inputs!$B$35/100)),(1/Q1013))+MIN((Skills!T16*(1+Inputs!$B$35/100)),MAX(0,Inputs!$B$44-((R1013-1)*(1/Q1013)))))/Inputs!$B$44),IF(Inputs!$B$39="pvp",MIN((Skills!T16*(1+Inputs!$B$35/100)),15)/15,MIN(1,(Skills!T16*(1+Inputs!$B$35/100))/(1/Q1013)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1007)</f>
        <v/>
      </c>
      <c r="L1007">
        <f>K1007*(MIN(Inputs!$B$23+((C1019=TRUE)*(F1019-Calc!F22)),(Inputs!$B$24+((C1021=TRUE)*(F1021-Calc!F24))+(IF(ArtifactsInput!$M$15,CHOOSE(ArtifactsInput!$N$15+1,25,30,35,40,45,50)/100*(Inputs!$B$12-Inputs!$B$12),0))))/100+(Inputs!$B$24+((C1021=TRUE)*(F1021-Calc!F24))+(IF(ArtifactsInput!$M$15,CHOOSE(ArtifactsInput!$N$15+1,25,30,35,40,45,50)/100*(Inputs!$B$12-Inputs!$B$12),0)))/100)/2</f>
        <v/>
      </c>
      <c r="M1007">
        <f>L1007*(1+(Inputs!$B$11+0+B1031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007">
        <f>L1007*(1-MIN((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1007*(MIN((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07">
        <f>(1-Summary!$B$11)*T1007+Summary!$B$11*V1007</f>
        <v/>
      </c>
      <c r="P1007">
        <f>IF(B1036=0,0,O1007/B1036)</f>
        <v/>
      </c>
      <c r="Q1007">
        <f>IFERROR(1/IF(Inputs!$B$39="pvp",15,MAX(0.1,Skills!D10-IF(TRUE=TRUE,Inputs!$B$33,0))),0)</f>
        <v/>
      </c>
      <c r="R1007">
        <f>IF(AND(Inputs!$B$39&lt;&gt;"pvp",Inputs!$B$44&gt;0),IF(MAX(0,Inputs!$B$44-B1033)&lt;=0,0,(INT(MAX(0,Inputs!$B$44-B1033)/IF(Inputs!$B$39="pvp",15,MAX(0.1,Skills!D10-IF(TRUE=TRUE,Inputs!$B$33,0))))+1)),0)</f>
        <v/>
      </c>
      <c r="S1007">
        <f>IFERROR(O1007/N1007,0)</f>
        <v/>
      </c>
      <c r="T1007">
        <f>IF(C1007,(H1007*N1007*IF(AND(Inputs!$B$39&lt;&gt;"pvp",Inputs!$B$44&gt;0),((Skills!G10*((R1007-1)*IF(Skills!H10&gt;0,INT(Skills!I10/Skills!H10+0.000000001),1)+IF(Skills!H10&gt;0,INT(MIN(Skills!I10,MAX(0,MAX(0,Inputs!$B$44-B1033)-((R1007-1)*IF(Inputs!$B$39="pvp",15,MAX(0.1,Skills!D10-IF(TRUE=TRUE,Inputs!$B$33,0))))))/Skills!H10+0.000000001),1)))/Inputs!$B$44),G1007*Q1007))*IF(Inputs!$B$39="pvp",1,1+(Inputs!$B$21+0+Skills!P10+((C1014=TRUE)*F1014*IF(AND(Inputs!$B$39&lt;&gt;"pvp",Inputs!$B$44&gt;0),(((R1014-1)*MIN((Skills!T17*(1+Inputs!$B$35/100)),(1/Q1014))+MIN((Skills!T17*(1+Inputs!$B$35/100)),MAX(0,Inputs!$B$44-((R1014-1)*(1/Q1014)))))/Inputs!$B$44),IF(Inputs!$B$39="pvp",MIN((Skills!T17*(1+Inputs!$B$35/100)),15)/15,MIN(1,(Skills!T17*(1+Inputs!$B$35/100))/(1/Q1014)))))+((C1002=TRUE)*IF(Inputs!$B$3&gt;=126,10*MIN(1,15*Q1002),0))+((C1011=TRUE)*IF(Inputs!$B$39="pvp",20,(1-Summary!$B$11)*(20)+Summary!$B$11*(0))*IF(AND(Inputs!$B$39&lt;&gt;"pvp",Inputs!$B$44&gt;0),(((R1011-1)*MIN((Skills!T14*(1+Inputs!$B$35/100)),(1/Q1011))+MIN((Skills!T14*(1+Inputs!$B$35/100)),MAX(0,Inputs!$B$44-((R1011-1)*(1/Q1011)))))/Inputs!$B$44),IF(Inputs!$B$39="pvp",MIN((Skills!T14*(1+Inputs!$B$35/100)),15)/15,MIN(1,(Skills!T14*(1+Inputs!$B$35/100))/(1/Q1011)))))+((C1010=TRUE)*IF(Inputs!$B$3&gt;=82,IF(Inputs!$B$39="pvp",20,(1-Summary!$B$11)*(20)+Summary!$B$11*(0)),0)*IF(AND(Inputs!$B$39&lt;&gt;"pvp",Inputs!$B$44&gt;0),(((R1010-1)*MIN((Skills!T13*(1+Inputs!$B$35/100)),(1/Q1010))+MIN((Skills!T13*(1+Inputs!$B$35/100)),MAX(0,Inputs!$B$44-((R1010-1)*(1/Q1010)))))/Inputs!$B$44),IF(Inputs!$B$39="pvp",MIN((Skills!T13*(1+Inputs!$B$35/100)),15)/15,MIN(1,(Skills!T13*(1+Inputs!$B$35/100))/(1/Q1010)))))+(IF(AND(ArtifactsInput!$M$35,Inputs!$B$4&lt;&gt;"Chapter Hunt"),CHOOSE(ArtifactsInput!$N$35+1,15,18,21,24,27,30)*(1-EXP(-(0.2*B1028)*5)),0)+IF(AND(ArtifactsInput!$M$22,Inputs!$B$4&lt;&gt;"Chapter Hunt"),CHOOSE(ArtifactsInput!$N$22+1,10,12,14,16,18,20)*((0*(((0.15*B1028*5))^0/1)+1*(((0.15*B1028*5))^1/1)+2*(((0.15*B1028*5))^2/2)+3*(((0.15*B1028*5))^3/6)+4*(((0.15*B1028*5))^4/24)+5*(((0.15*B1028*5))^5/120))/((((0.15*B1028*5))^0/1)+(((0.15*B1028*5))^1/1)+(((0.15*B1028*5))^2/2)+(((0.15*B1028*5))^3/6)+(((0.15*B1028*5))^4/24)+(((0.15*B1028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1007*(1-MIN(100,(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1007*(MIN(100,(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1007*(1-MIN(100,(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1007*(MIN(100,(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07">
        <f>IF(C1007,(H1007*N1007*IF(AND(Inputs!$B$39&lt;&gt;"pvp",Inputs!$B$44&gt;0),((Skills!G10*((R1007-1)*IF(Skills!H10&gt;0,INT(Skills!I10/Skills!H10+0.000000001),1)+IF(Skills!H10&gt;0,INT(MIN(Skills!I10,MAX(0,MAX(0,Inputs!$B$44-B1033)-((R1007-1)*IF(Inputs!$B$39="pvp",15,MAX(0.1,Skills!D10-IF(TRUE=TRUE,Inputs!$B$33,0))))))/Skills!H10+0.000000001),1)))/Inputs!$B$44),G1007*Q1007))*IF(Inputs!$B$39="pvp",1,(1+(Inputs!$B$22+Skills!Q10+((C1014=TRUE)*F1014*IF(AND(Inputs!$B$39&lt;&gt;"pvp",Inputs!$B$44&gt;0),(((R1014-1)*MIN((Skills!T17*(1+Inputs!$B$35/100)),(1/Q1014))+MIN((Skills!T17*(1+Inputs!$B$35/100)),MAX(0,Inputs!$B$44-((R1014-1)*(1/Q1014)))))/Inputs!$B$44),IF(Inputs!$B$39="pvp",MIN((Skills!T17*(1+Inputs!$B$35/100)),15)/15,MIN(1,(Skills!T17*(1+Inputs!$B$35/100))/(1/Q1014)))))+((C1002=TRUE)*IF(Inputs!$B$3&gt;=126,10*MIN(1,15*Q1002),0))+((C1011=TRUE)*IF(Inputs!$B$39="pvp",20,(1-Summary!$B$11)*(20)+Summary!$B$11*(0))*IF(AND(Inputs!$B$39&lt;&gt;"pvp",Inputs!$B$44&gt;0),(((R1011-1)*MIN((Skills!T14*(1+Inputs!$B$35/100)),(1/Q1011))+MIN((Skills!T14*(1+Inputs!$B$35/100)),MAX(0,Inputs!$B$44-((R1011-1)*(1/Q1011)))))/Inputs!$B$44),IF(Inputs!$B$39="pvp",MIN((Skills!T14*(1+Inputs!$B$35/100)),15)/15,MIN(1,(Skills!T14*(1+Inputs!$B$35/100))/(1/Q1011)))))+((C1010=TRUE)*IF(Inputs!$B$3&gt;=82,IF(Inputs!$B$39="pvp",20,(1-Summary!$B$11)*(20)+Summary!$B$11*(0)),0)*IF(AND(Inputs!$B$39&lt;&gt;"pvp",Inputs!$B$44&gt;0),(((R1010-1)*MIN((Skills!T13*(1+Inputs!$B$35/100)),(1/Q1010))+MIN((Skills!T13*(1+Inputs!$B$35/100)),MAX(0,Inputs!$B$44-((R1010-1)*(1/Q1010)))))/Inputs!$B$44),IF(Inputs!$B$39="pvp",MIN((Skills!T13*(1+Inputs!$B$35/100)),15)/15,MIN(1,(Skills!T13*(1+Inputs!$B$35/100))/(1/Q1010)))))+(IF(AND(ArtifactsInput!$M$35,Inputs!$B$4&lt;&gt;"Chapter Hunt"),CHOOSE(ArtifactsInput!$N$35+1,15,18,21,24,27,30)*(1-EXP(-(0.2*B1028)*5)),0)+IF(AND(ArtifactsInput!$M$22,Inputs!$B$4&lt;&gt;"Chapter Hunt"),CHOOSE(ArtifactsInput!$N$22+1,10,12,14,16,18,20)*((0*(((0.15*B1028*5))^0/1)+1*(((0.15*B1028*5))^1/1)+2*(((0.15*B1028*5))^2/2)+3*(((0.15*B1028*5))^3/6)+4*(((0.15*B1028*5))^4/24)+5*(((0.15*B1028*5))^5/120))/((((0.15*B1028*5))^0/1)+(((0.15*B1028*5))^1/1)+(((0.15*B1028*5))^2/2)+(((0.15*B1028*5))^3/6)+(((0.15*B1028*5))^4/24)+(((0.15*B1028*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08">
      <c r="A1008">
        <f>Skills!A11</f>
        <v/>
      </c>
      <c r="B1008">
        <f>Skills!B11</f>
        <v/>
      </c>
      <c r="C1008">
        <f>Inputs!$B$3&gt;=100</f>
        <v/>
      </c>
      <c r="D1008">
        <f>IF(Skills!C11=1,60+Inputs!$B$26+(Inputs!$B$30+1),IF(Skills!C11=2,90+Inputs!$B$27+(Inputs!$B$30+1),IF(Skills!C11=3,120+Inputs!$B$28+(Inputs!$B$30+1),MAX(0,(Inputs!$B$3-100)*3)+Inputs!$B$29+(Inputs!$B$30+1))))</f>
        <v/>
      </c>
      <c r="E1008">
        <f>INDEX(FactorTable!$B$2:$Y$301, MATCH(ROUND(MIN(300,MAX(1,D1008)),0), FactorTable!$A$2:$A$301,0), Skills!M11+1)</f>
        <v/>
      </c>
      <c r="F1008">
        <f>IF(Skills!N11=TRUE,(Skills!L11/10)*(E1008/1000),Skills!L11/10)+Skills!O11</f>
        <v/>
      </c>
      <c r="G1008" t="inlineStr"/>
      <c r="H1008" t="inlineStr"/>
      <c r="I1008" t="inlineStr">
        <is>
          <t>1</t>
        </is>
      </c>
      <c r="J1008" t="inlineStr"/>
      <c r="K1008" t="inlineStr"/>
      <c r="L1008" t="inlineStr"/>
      <c r="M1008" t="inlineStr"/>
      <c r="N1008" t="inlineStr"/>
      <c r="O1008" t="inlineStr"/>
      <c r="P1008" t="inlineStr"/>
      <c r="Q1008" t="inlineStr"/>
      <c r="R1008" t="inlineStr"/>
      <c r="S1008" t="inlineStr"/>
    </row>
    <row r="1009">
      <c r="A1009">
        <f>Skills!A12</f>
        <v/>
      </c>
      <c r="B1009">
        <f>Skills!B12</f>
        <v/>
      </c>
      <c r="C1009">
        <f>Inputs!$B$3&gt;=63</f>
        <v/>
      </c>
      <c r="D1009">
        <f>IF(Skills!C12=1,60+Inputs!$B$26+(Inputs!$B$30+1),IF(Skills!C12=2,90+Inputs!$B$27+(Inputs!$B$30+1),IF(Skills!C12=3,120+Inputs!$B$28+(Inputs!$B$30+1),MAX(0,(Inputs!$B$3-100)*3)+Inputs!$B$29+(Inputs!$B$30+1))))</f>
        <v/>
      </c>
      <c r="E1009">
        <f>INDEX(FactorTable!$B$2:$Y$301, MATCH(ROUND(MIN(300,MAX(1,D1009)),0), FactorTable!$A$2:$A$301,0), Skills!M12+1)</f>
        <v/>
      </c>
      <c r="F1009">
        <f>IF(Skills!N12=TRUE,(Skills!L12/10)*(E1009/1000),Skills!L12/10)+Skills!O12</f>
        <v/>
      </c>
      <c r="G1009">
        <f>Skills!G12*IF(Skills!H12&gt;0,INT(IF(Inputs!$B$39="pvp",MIN(Skills!I12,15),Skills!I12)/Skills!H12+0.000000001),1)</f>
        <v/>
      </c>
      <c r="H1009">
        <f>1-(1-Skills!J12/100)^Skills!K12</f>
        <v/>
      </c>
      <c r="I1009" t="inlineStr">
        <is>
          <t>1</t>
        </is>
      </c>
      <c r="J1009">
        <f>((Inputs!$B$6*(1+Inputs!$B$7/100))+(((Inputs!$B$13*(1+Inputs!$B$14/100))-(Inputs!$B$13*(1+Inputs!$B$14/100)))+0.25*(Inputs!$B$15-Inputs!$B$15))*(1+Inputs!$B$7/100))*(F1009/100)</f>
        <v/>
      </c>
      <c r="K1009">
        <f>J1009*(1+(((Inputs!$B$13+IF(Inputs!$B$3&gt;=38,(10*INDEX(FactorTable!$B$2:$Y$301, MATCH(ROUND(MIN(300,MAX(1,Inputs!$B$3)),0), FactorTable!$A$2:$A$301,0), 23)/1000)/100*(Inputs!$B$8*(1+Inputs!$B$9/100)),0))*(1+Inputs!$B$14/100))*0.01+Inputs!$B$15*0.0025)/100)*(1+Inputs!$B$16/100)*(1+Inputs!$B$17/100)*(5000/(6000+Inputs!$B$43*(1-(Inputs!$B$20+0)/100)))*(1+(Inputs!$B$25+((C1022=TRUE)*(F1022-Calc!F25))+((C1023=TRUE)*(F1023-Calc!F26))+B1032)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1008=TRUE,F1008,0)/100)*(1+(IF(Skills!A12="DARK_IMPALE",Inputs!$B$18+0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gt;=100),MIN(100,((Inputs!$B$10+0+B1026+(ArtifactsInput!$M$24-ArtifactsInput!$M$24)*CHOOSE(ArtifactsInput!$N$24+1,10,12,14,16,18,20)+IF(ArtifactsInput!$M$10,CHOOSE(ArtifactsInput!$N$10+1,15,18,21,24,27,30)*(IF(Inputs!$B$39="pvp",MIN(15,15)/15,IF(AND(Inputs!$B$39&lt;&gt;"pvp",Inputs!$B$44&gt;0),MIN(15,Inputs!$B$44)/(Inputs!$B$44),0))),0)))-100),0))*CHOOSE(ArtifactsInput!$N$42+1,0.6,0.72,0.84,0.96,1.08,1.2))),Inputs!$B$19+((C1020=TRUE)*(F1020-Calc!F23))+(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gt;=100),CHOOSE(ArtifactsInput!$N$42+1,40,48,56,64,72,80),0))))/100)*((1+(((C1010=TRUE)*F1010*IF(AND(Inputs!$B$39&lt;&gt;"pvp",Inputs!$B$44&gt;0),(((R1010-1)*MIN((Skills!T13*(1+Inputs!$B$35/100)),(1/Q1010))+MIN((Skills!T13*(1+Inputs!$B$35/100)),MAX(0,Inputs!$B$44-((R1010-1)*(1/Q1010)))))/Inputs!$B$44),IF(Inputs!$B$39="pvp",MIN((Skills!T13*(1+Inputs!$B$35/100)),15)/15,MIN(1,(Skills!T13*(1+Inputs!$B$35/100))/(1/Q1010)))))+((C1011=TRUE)*F1011*IF(AND(Inputs!$B$39&lt;&gt;"pvp",Inputs!$B$44&gt;0),(((R1011-1)*MIN((Skills!T14*(1+Inputs!$B$35/100)),(1/Q1011))+MIN((Skills!T14*(1+Inputs!$B$35/100)),MAX(0,Inputs!$B$44-((R1011-1)*(1/Q1011)))))/Inputs!$B$44),IF(Inputs!$B$39="pvp",MIN((Skills!T14*(1+Inputs!$B$35/100)),15)/15,MIN(1,(Skills!T14*(1+Inputs!$B$35/100))/(1/Q1011)))))+((C1012=TRUE)*F1012*IF(AND(Inputs!$B$39&lt;&gt;"pvp",Inputs!$B$44&gt;0),(((R1012-1)*MIN((Skills!T15*(1+Inputs!$B$35/100)),(1/Q1012))+MIN((Skills!T15*(1+Inputs!$B$35/100)),MAX(0,Inputs!$B$44-((R1012-1)*(1/Q1012)))))/Inputs!$B$44),IF(Inputs!$B$39="pvp",MIN((Skills!T15*(1+Inputs!$B$35/100)),15)/15,MIN(1,(Skills!T15*(1+Inputs!$B$35/100))/(1/Q1012)))))+((C1013=TRUE)*F1013*IF(AND(Inputs!$B$39&lt;&gt;"pvp",Inputs!$B$44&gt;0),(((R1013-1)*MIN((Skills!T16*(1+Inputs!$B$35/100)),(1/Q1013))+MIN((Skills!T16*(1+Inputs!$B$35/100)),MAX(0,Inputs!$B$44-((R1013-1)*(1/Q1013)))))/Inputs!$B$44),IF(Inputs!$B$39="pvp",MIN((Skills!T16*(1+Inputs!$B$35/100)),15)/15,MIN(1,(Skills!T16*(1+Inputs!$B$35/100))/(1/Q1013)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1009)</f>
        <v/>
      </c>
      <c r="L1009">
        <f>K1009*(MIN(Inputs!$B$23+((C1019=TRUE)*(F1019-Calc!F22)),(Inputs!$B$24+((C1021=TRUE)*(F1021-Calc!F24))+(IF(ArtifactsInput!$M$15,CHOOSE(ArtifactsInput!$N$15+1,25,30,35,40,45,50)/100*(Inputs!$B$12-Inputs!$B$12),0))))/100+(Inputs!$B$24+((C1021=TRUE)*(F1021-Calc!F24))+(IF(ArtifactsInput!$M$15,CHOOSE(ArtifactsInput!$N$15+1,25,30,35,40,45,50)/100*(Inputs!$B$12-Inputs!$B$12),0)))/100)/2</f>
        <v/>
      </c>
      <c r="M1009">
        <f>L1009*(1+(Inputs!$B$11+0+B1031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009">
        <f>L1009*(1-MIN((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1009*(MIN((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09">
        <f>(1-Summary!$B$11)*T1009+Summary!$B$11*V1009</f>
        <v/>
      </c>
      <c r="P1009">
        <f>IF(B1036=0,0,O1009/B1036)</f>
        <v/>
      </c>
      <c r="Q1009">
        <f>IFERROR(1/IF(Inputs!$B$39="pvp",15,MAX(0.1,Skills!D12-IF(TRUE=TRUE,Inputs!$B$33,0))),0)</f>
        <v/>
      </c>
      <c r="R1009">
        <f>IF(AND(Inputs!$B$39&lt;&gt;"pvp",Inputs!$B$44&gt;0),IF(MAX(0,Inputs!$B$44-B1033)&lt;=0,0,(INT(MAX(0,Inputs!$B$44-B1033)/IF(Inputs!$B$39="pvp",15,MAX(0.1,Skills!D12-IF(TRUE=TRUE,Inputs!$B$33,0))))+1)),0)</f>
        <v/>
      </c>
      <c r="S1009">
        <f>IFERROR(O1009/N1009,0)</f>
        <v/>
      </c>
      <c r="T1009">
        <f>IF(C1009,(H1009*N1009*IF(AND(Inputs!$B$39&lt;&gt;"pvp",Inputs!$B$44&gt;0),((Skills!G12*((R1009-1)*IF(Skills!H12&gt;0,INT(Skills!I12/Skills!H12+0.000000001),1)+IF(Skills!H12&gt;0,INT(MIN(Skills!I12,MAX(0,MAX(0,Inputs!$B$44-B1033)-((R1009-1)*IF(Inputs!$B$39="pvp",15,MAX(0.1,Skills!D12-IF(TRUE=TRUE,Inputs!$B$33,0))))))/Skills!H12+0.000000001),1)))/Inputs!$B$44),G1009*Q1009))*IF(Inputs!$B$39="pvp",1,1+(Inputs!$B$21+0+Skills!P12+((C1014=TRUE)*F1014*IF(AND(Inputs!$B$39&lt;&gt;"pvp",Inputs!$B$44&gt;0),(((R1014-1)*MIN((Skills!T17*(1+Inputs!$B$35/100)),(1/Q1014))+MIN((Skills!T17*(1+Inputs!$B$35/100)),MAX(0,Inputs!$B$44-((R1014-1)*(1/Q1014)))))/Inputs!$B$44),IF(Inputs!$B$39="pvp",MIN((Skills!T17*(1+Inputs!$B$35/100)),15)/15,MIN(1,(Skills!T17*(1+Inputs!$B$35/100))/(1/Q1014)))))+((C1002=TRUE)*IF(Inputs!$B$3&gt;=126,10*MIN(1,15*Q1002),0))+((C1011=TRUE)*IF(Inputs!$B$39="pvp",20,(1-Summary!$B$11)*(20)+Summary!$B$11*(0))*IF(AND(Inputs!$B$39&lt;&gt;"pvp",Inputs!$B$44&gt;0),(((R1011-1)*MIN((Skills!T14*(1+Inputs!$B$35/100)),(1/Q1011))+MIN((Skills!T14*(1+Inputs!$B$35/100)),MAX(0,Inputs!$B$44-((R1011-1)*(1/Q1011)))))/Inputs!$B$44),IF(Inputs!$B$39="pvp",MIN((Skills!T14*(1+Inputs!$B$35/100)),15)/15,MIN(1,(Skills!T14*(1+Inputs!$B$35/100))/(1/Q1011)))))+((C1010=TRUE)*IF(Inputs!$B$3&gt;=82,IF(Inputs!$B$39="pvp",20,(1-Summary!$B$11)*(20)+Summary!$B$11*(0)),0)*IF(AND(Inputs!$B$39&lt;&gt;"pvp",Inputs!$B$44&gt;0),(((R1010-1)*MIN((Skills!T13*(1+Inputs!$B$35/100)),(1/Q1010))+MIN((Skills!T13*(1+Inputs!$B$35/100)),MAX(0,Inputs!$B$44-((R1010-1)*(1/Q1010)))))/Inputs!$B$44),IF(Inputs!$B$39="pvp",MIN((Skills!T13*(1+Inputs!$B$35/100)),15)/15,MIN(1,(Skills!T13*(1+Inputs!$B$35/100))/(1/Q1010)))))+(IF(AND(ArtifactsInput!$M$35,Inputs!$B$4&lt;&gt;"Chapter Hunt"),CHOOSE(ArtifactsInput!$N$35+1,15,18,21,24,27,30)*(1-EXP(-(0.2*B1028)*5)),0)+IF(AND(ArtifactsInput!$M$22,Inputs!$B$4&lt;&gt;"Chapter Hunt"),CHOOSE(ArtifactsInput!$N$22+1,10,12,14,16,18,20)*((0*(((0.15*B1028*5))^0/1)+1*(((0.15*B1028*5))^1/1)+2*(((0.15*B1028*5))^2/2)+3*(((0.15*B1028*5))^3/6)+4*(((0.15*B1028*5))^4/24)+5*(((0.15*B1028*5))^5/120))/((((0.15*B1028*5))^0/1)+(((0.15*B1028*5))^1/1)+(((0.15*B1028*5))^2/2)+(((0.15*B1028*5))^3/6)+(((0.15*B1028*5))^4/24)+(((0.15*B1028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1009*(1-MIN(100,(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1009*(MIN(100,(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1009*(1-MIN(100,(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1009*(MIN(100,(Inputs!$B$10+0+B1026+(ArtifactsInput!$M$24-ArtifactsInput!$M$24)*CHOOSE(ArtifactsInput!$N$24+1,10,12,14,16,18,20)+(IF(AND(Inputs!$B$39&lt;&gt;"pvp",Inputs!$B$44=0),1,IF(IF(Inputs!$B$39="pvp",15,Inputs!$B$44)-(B1033)&lt;=0,1,MAX(0,IF(Inputs!$B$39="pvp",15,Inputs!$B$44)-MAX(5,B1033))/(IF(Inputs!$B$39="pvp",15,Inputs!$B$44)-(B1033))))*IF(AND(ArtifactsInput!$M$42,((Inputs!$B$10+0+B1026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09">
        <f>IF(C1009,(H1009*N1009*IF(AND(Inputs!$B$39&lt;&gt;"pvp",Inputs!$B$44&gt;0),((Skills!G12*((R1009-1)*IF(Skills!H12&gt;0,INT(Skills!I12/Skills!H12+0.000000001),1)+IF(Skills!H12&gt;0,INT(MIN(Skills!I12,MAX(0,MAX(0,Inputs!$B$44-B1033)-((R1009-1)*IF(Inputs!$B$39="pvp",15,MAX(0.1,Skills!D12-IF(TRUE=TRUE,Inputs!$B$33,0))))))/Skills!H12+0.000000001),1)))/Inputs!$B$44),G1009*Q1009))*IF(Inputs!$B$39="pvp",1,(1+(Inputs!$B$22+Skills!Q12+((C1014=TRUE)*F1014*IF(AND(Inputs!$B$39&lt;&gt;"pvp",Inputs!$B$44&gt;0),(((R1014-1)*MIN((Skills!T17*(1+Inputs!$B$35/100)),(1/Q1014))+MIN((Skills!T17*(1+Inputs!$B$35/100)),MAX(0,Inputs!$B$44-((R1014-1)*(1/Q1014)))))/Inputs!$B$44),IF(Inputs!$B$39="pvp",MIN((Skills!T17*(1+Inputs!$B$35/100)),15)/15,MIN(1,(Skills!T17*(1+Inputs!$B$35/100))/(1/Q1014)))))+((C1002=TRUE)*IF(Inputs!$B$3&gt;=126,10*MIN(1,15*Q1002),0))+((C1011=TRUE)*IF(Inputs!$B$39="pvp",20,(1-Summary!$B$11)*(20)+Summary!$B$11*(0))*IF(AND(Inputs!$B$39&lt;&gt;"pvp",Inputs!$B$44&gt;0),(((R1011-1)*MIN((Skills!T14*(1+Inputs!$B$35/100)),(1/Q1011))+MIN((Skills!T14*(1+Inputs!$B$35/100)),MAX(0,Inputs!$B$44-((R1011-1)*(1/Q1011)))))/Inputs!$B$44),IF(Inputs!$B$39="pvp",MIN((Skills!T14*(1+Inputs!$B$35/100)),15)/15,MIN(1,(Skills!T14*(1+Inputs!$B$35/100))/(1/Q1011)))))+((C1010=TRUE)*IF(Inputs!$B$3&gt;=82,IF(Inputs!$B$39="pvp",20,(1-Summary!$B$11)*(20)+Summary!$B$11*(0)),0)*IF(AND(Inputs!$B$39&lt;&gt;"pvp",Inputs!$B$44&gt;0),(((R1010-1)*MIN((Skills!T13*(1+Inputs!$B$35/100)),(1/Q1010))+MIN((Skills!T13*(1+Inputs!$B$35/100)),MAX(0,Inputs!$B$44-((R1010-1)*(1/Q1010)))))/Inputs!$B$44),IF(Inputs!$B$39="pvp",MIN((Skills!T13*(1+Inputs!$B$35/100)),15)/15,MIN(1,(Skills!T13*(1+Inputs!$B$35/100))/(1/Q1010)))))+(IF(AND(ArtifactsInput!$M$35,Inputs!$B$4&lt;&gt;"Chapter Hunt"),CHOOSE(ArtifactsInput!$N$35+1,15,18,21,24,27,30)*(1-EXP(-(0.2*B1028)*5)),0)+IF(AND(ArtifactsInput!$M$22,Inputs!$B$4&lt;&gt;"Chapter Hunt"),CHOOSE(ArtifactsInput!$N$22+1,10,12,14,16,18,20)*((0*(((0.15*B1028*5))^0/1)+1*(((0.15*B1028*5))^1/1)+2*(((0.15*B1028*5))^2/2)+3*(((0.15*B1028*5))^3/6)+4*(((0.15*B1028*5))^4/24)+5*(((0.15*B1028*5))^5/120))/((((0.15*B1028*5))^0/1)+(((0.15*B1028*5))^1/1)+(((0.15*B1028*5))^2/2)+(((0.15*B1028*5))^3/6)+(((0.15*B1028*5))^4/24)+(((0.15*B1028*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10">
      <c r="A1010">
        <f>Skills!A13</f>
        <v/>
      </c>
      <c r="B1010">
        <f>Skills!B13</f>
        <v/>
      </c>
      <c r="C1010">
        <f>Inputs!$B$3&gt;=69</f>
        <v/>
      </c>
      <c r="D1010">
        <f>IF(Skills!C13=1,60+Inputs!$B$26+(Inputs!$B$30+1),IF(Skills!C13=2,90+Inputs!$B$27+(Inputs!$B$30+1),IF(Skills!C13=3,120+Inputs!$B$28+(Inputs!$B$30+1),MAX(0,(Inputs!$B$3-100)*3)+Inputs!$B$29+(Inputs!$B$30+1))))</f>
        <v/>
      </c>
      <c r="E1010">
        <f>INDEX(FactorTable!$B$2:$Y$301, MATCH(ROUND(MIN(300,MAX(1,D1010)),0), FactorTable!$A$2:$A$301,0), Skills!M13+1)</f>
        <v/>
      </c>
      <c r="F1010">
        <f>IF(Skills!N13=TRUE,(Skills!L13/10)*(E1010/1000),Skills!L13/10)+Skills!O13</f>
        <v/>
      </c>
      <c r="G1010">
        <f>Skills!G13*IF(Skills!H13&gt;0,INT(IF(Inputs!$B$39="pvp",MIN(Skills!I13,15),Skills!I13)/Skills!H13+0.000000001),1)</f>
        <v/>
      </c>
      <c r="H1010">
        <f>1-(1-Skills!J13/100)^Skills!K13</f>
        <v/>
      </c>
      <c r="I1010" t="inlineStr">
        <is>
          <t>1</t>
        </is>
      </c>
      <c r="J1010" t="inlineStr"/>
      <c r="K1010" t="inlineStr"/>
      <c r="L1010" t="inlineStr"/>
      <c r="M1010" t="inlineStr"/>
      <c r="N1010" t="inlineStr"/>
      <c r="O1010">
        <f>(1-Summary!$B$11)*T1010+Summary!$B$11*V1010</f>
        <v/>
      </c>
      <c r="P1010">
        <f>IF(B1036=0,0,O1010/B1036)</f>
        <v/>
      </c>
      <c r="Q1010">
        <f>IFERROR(1/IF(Inputs!$B$39="pvp",15,MAX(0.1,Skills!D13-IF(TRUE=TRUE,Inputs!$B$33,0))),0)</f>
        <v/>
      </c>
      <c r="R1010">
        <f>IF(AND(Inputs!$B$39&lt;&gt;"pvp",Inputs!$B$44&gt;0),IF(Inputs!$B$44&lt;=0,0,(INT(Inputs!$B$44/IF(Inputs!$B$39="pvp",15,MAX(0.1,Skills!D13-IF(TRUE=TRUE,Inputs!$B$33,0))))+1)),0)</f>
        <v/>
      </c>
      <c r="S1010">
        <f>IFERROR(O1010/N1010,0)</f>
        <v/>
      </c>
      <c r="T1010" t="n">
        <v>0</v>
      </c>
      <c r="V1010" t="n">
        <v>0</v>
      </c>
    </row>
    <row r="1011">
      <c r="A1011">
        <f>Skills!A14</f>
        <v/>
      </c>
      <c r="B1011">
        <f>Skills!B14</f>
        <v/>
      </c>
      <c r="C1011">
        <f>Inputs!$B$3&gt;=115</f>
        <v/>
      </c>
      <c r="D1011">
        <f>IF(Skills!C14=1,60+Inputs!$B$26+(Inputs!$B$30+1),IF(Skills!C14=2,90+Inputs!$B$27+(Inputs!$B$30+1),IF(Skills!C14=3,120+Inputs!$B$28+(Inputs!$B$30+1),MAX(0,(Inputs!$B$3-100)*3)+Inputs!$B$29+(Inputs!$B$30+1))))</f>
        <v/>
      </c>
      <c r="E1011">
        <f>INDEX(FactorTable!$B$2:$Y$301, MATCH(ROUND(MIN(300,MAX(1,D1011)),0), FactorTable!$A$2:$A$301,0), Skills!M14+1)</f>
        <v/>
      </c>
      <c r="F1011">
        <f>IF(Skills!N14=TRUE,(Skills!L14/10)*(E1011/1000),Skills!L14/10)+Skills!O14</f>
        <v/>
      </c>
      <c r="G1011">
        <f>Skills!G14*IF(Skills!H14&gt;0,INT(IF(Inputs!$B$39="pvp",MIN(Skills!I14,15),Skills!I14)/Skills!H14+0.000000001),1)</f>
        <v/>
      </c>
      <c r="H1011">
        <f>1-(1-Skills!J14/100)^Skills!K14</f>
        <v/>
      </c>
      <c r="I1011" t="inlineStr">
        <is>
          <t>1</t>
        </is>
      </c>
      <c r="J1011" t="inlineStr"/>
      <c r="K1011" t="inlineStr"/>
      <c r="L1011" t="inlineStr"/>
      <c r="M1011" t="inlineStr"/>
      <c r="N1011" t="inlineStr"/>
      <c r="O1011">
        <f>(1-Summary!$B$11)*T1011+Summary!$B$11*V1011</f>
        <v/>
      </c>
      <c r="P1011">
        <f>IF(B1036=0,0,O1011/B1036)</f>
        <v/>
      </c>
      <c r="Q1011">
        <f>IFERROR(1/IF(Inputs!$B$39="pvp",15,MAX(0.1,Skills!D14-IF(TRUE=TRUE,Inputs!$B$33,0))),0)</f>
        <v/>
      </c>
      <c r="R1011">
        <f>IF(AND(Inputs!$B$39&lt;&gt;"pvp",Inputs!$B$44&gt;0),IF(Inputs!$B$44&lt;=0,0,(INT(Inputs!$B$44/IF(Inputs!$B$39="pvp",15,MAX(0.1,Skills!D14-IF(TRUE=TRUE,Inputs!$B$33,0))))+1)),0)</f>
        <v/>
      </c>
      <c r="S1011">
        <f>IFERROR(O1011/N1011,0)</f>
        <v/>
      </c>
      <c r="T1011" t="n">
        <v>0</v>
      </c>
      <c r="V1011" t="n">
        <v>0</v>
      </c>
    </row>
    <row r="1012">
      <c r="A1012">
        <f>Skills!A15</f>
        <v/>
      </c>
      <c r="B1012">
        <f>Skills!B15</f>
        <v/>
      </c>
      <c r="C1012">
        <f>Inputs!$B$3&gt;=66</f>
        <v/>
      </c>
      <c r="D1012">
        <f>IF(Skills!C15=1,60+Inputs!$B$26+(Inputs!$B$30+1),IF(Skills!C15=2,90+Inputs!$B$27+(Inputs!$B$30+1),IF(Skills!C15=3,120+Inputs!$B$28+(Inputs!$B$30+1),MAX(0,(Inputs!$B$3-100)*3)+Inputs!$B$29+(Inputs!$B$30+1))))</f>
        <v/>
      </c>
      <c r="E1012">
        <f>INDEX(FactorTable!$B$2:$Y$301, MATCH(ROUND(MIN(300,MAX(1,D1012)),0), FactorTable!$A$2:$A$301,0), Skills!M15+1)</f>
        <v/>
      </c>
      <c r="F1012">
        <f>IF(Skills!N15=TRUE,(Skills!L15/10)*(E1012/1000),Skills!L15/10)+Skills!O15</f>
        <v/>
      </c>
      <c r="G1012">
        <f>Skills!G15*IF(Skills!H15&gt;0,INT(IF(Inputs!$B$39="pvp",MIN(Skills!I15,15),Skills!I15)/Skills!H15+0.000000001),1)</f>
        <v/>
      </c>
      <c r="H1012">
        <f>1-(1-Skills!J15/100)^Skills!K15</f>
        <v/>
      </c>
      <c r="I1012" t="inlineStr">
        <is>
          <t>1</t>
        </is>
      </c>
      <c r="J1012" t="inlineStr"/>
      <c r="K1012" t="inlineStr"/>
      <c r="L1012" t="inlineStr"/>
      <c r="M1012" t="inlineStr"/>
      <c r="N1012" t="inlineStr"/>
      <c r="O1012">
        <f>(1-Summary!$B$11)*T1012+Summary!$B$11*V1012</f>
        <v/>
      </c>
      <c r="P1012">
        <f>IF(B1036=0,0,O1012/B1036)</f>
        <v/>
      </c>
      <c r="Q1012">
        <f>IFERROR(1/IF(Inputs!$B$39="pvp",15,MAX(0.1,Skills!D15-IF(TRUE=TRUE,Inputs!$B$33,0))),0)</f>
        <v/>
      </c>
      <c r="R1012">
        <f>IF(AND(Inputs!$B$39&lt;&gt;"pvp",Inputs!$B$44&gt;0),IF(Inputs!$B$44&lt;=0,0,(INT(Inputs!$B$44/IF(Inputs!$B$39="pvp",15,MAX(0.1,Skills!D15-IF(TRUE=TRUE,Inputs!$B$33,0))))+1)),0)</f>
        <v/>
      </c>
      <c r="S1012">
        <f>IFERROR(O1012/N1012,0)</f>
        <v/>
      </c>
      <c r="T1012" t="n">
        <v>0</v>
      </c>
      <c r="V1012" t="n">
        <v>0</v>
      </c>
    </row>
    <row r="1013">
      <c r="A1013">
        <f>Skills!A16</f>
        <v/>
      </c>
      <c r="B1013">
        <f>Skills!B16</f>
        <v/>
      </c>
      <c r="C1013">
        <f>Inputs!$B$3&gt;=45</f>
        <v/>
      </c>
      <c r="D1013">
        <f>IF(Skills!C16=1,60+Inputs!$B$26+(Inputs!$B$30+1),IF(Skills!C16=2,90+Inputs!$B$27+(Inputs!$B$30+1),IF(Skills!C16=3,120+Inputs!$B$28+(Inputs!$B$30+1),MAX(0,(Inputs!$B$3-100)*3)+Inputs!$B$29+(Inputs!$B$30+1))))</f>
        <v/>
      </c>
      <c r="E1013">
        <f>INDEX(FactorTable!$B$2:$Y$301, MATCH(ROUND(MIN(300,MAX(1,D1013)),0), FactorTable!$A$2:$A$301,0), Skills!M16+1)</f>
        <v/>
      </c>
      <c r="F1013">
        <f>IF(Skills!N16=TRUE,(Skills!L16/10)*(E1013/1000),Skills!L16/10)+Skills!O16</f>
        <v/>
      </c>
      <c r="G1013">
        <f>Skills!G16*IF(Skills!H16&gt;0,INT(IF(Inputs!$B$39="pvp",MIN(Skills!I16,15),Skills!I16)/Skills!H16+0.000000001),1)</f>
        <v/>
      </c>
      <c r="H1013">
        <f>1-(1-Skills!J16/100)^Skills!K16</f>
        <v/>
      </c>
      <c r="I1013" t="inlineStr">
        <is>
          <t>1</t>
        </is>
      </c>
      <c r="J1013" t="inlineStr"/>
      <c r="K1013" t="inlineStr"/>
      <c r="L1013" t="inlineStr"/>
      <c r="M1013" t="inlineStr"/>
      <c r="N1013" t="inlineStr"/>
      <c r="O1013">
        <f>(1-Summary!$B$11)*T1013+Summary!$B$11*V1013</f>
        <v/>
      </c>
      <c r="P1013">
        <f>IF(B1036=0,0,O1013/B1036)</f>
        <v/>
      </c>
      <c r="Q1013">
        <f>IFERROR(1/IF(Inputs!$B$39="pvp",15,MAX(0.1,Skills!D16-IF(TRUE=TRUE,Inputs!$B$33,0))),0)</f>
        <v/>
      </c>
      <c r="R1013">
        <f>IF(AND(Inputs!$B$39&lt;&gt;"pvp",Inputs!$B$44&gt;0),IF(Inputs!$B$44&lt;=0,0,(INT(Inputs!$B$44/IF(Inputs!$B$39="pvp",15,MAX(0.1,Skills!D16-IF(TRUE=TRUE,Inputs!$B$33,0))))+1)),0)</f>
        <v/>
      </c>
      <c r="S1013">
        <f>IFERROR(O1013/N1013,0)</f>
        <v/>
      </c>
      <c r="T1013" t="n">
        <v>0</v>
      </c>
      <c r="V1013" t="n">
        <v>0</v>
      </c>
    </row>
    <row r="1014">
      <c r="A1014">
        <f>Skills!A17</f>
        <v/>
      </c>
      <c r="B1014">
        <f>Skills!B17</f>
        <v/>
      </c>
      <c r="C1014">
        <f>Inputs!$B$3&gt;=35</f>
        <v/>
      </c>
      <c r="D1014">
        <f>IF(Skills!C17=1,60+Inputs!$B$26+(Inputs!$B$30+1),IF(Skills!C17=2,90+Inputs!$B$27+(Inputs!$B$30+1),IF(Skills!C17=3,120+Inputs!$B$28+(Inputs!$B$30+1),MAX(0,(Inputs!$B$3-100)*3)+Inputs!$B$29+(Inputs!$B$30+1))))</f>
        <v/>
      </c>
      <c r="E1014">
        <f>INDEX(FactorTable!$B$2:$Y$301, MATCH(ROUND(MIN(300,MAX(1,D1014)),0), FactorTable!$A$2:$A$301,0), Skills!M17+1)</f>
        <v/>
      </c>
      <c r="F1014">
        <f>IF(Skills!N17=TRUE,(Skills!L17/10)*(E1014/1000),Skills!L17/10)+Skills!O17</f>
        <v/>
      </c>
      <c r="G1014">
        <f>Skills!G17*IF(Skills!H17&gt;0,INT(IF(Inputs!$B$39="pvp",MIN(Skills!I17,15),Skills!I17)/Skills!H17+0.000000001),1)</f>
        <v/>
      </c>
      <c r="H1014">
        <f>1-(1-Skills!J17/100)^Skills!K17</f>
        <v/>
      </c>
      <c r="I1014" t="inlineStr">
        <is>
          <t>1</t>
        </is>
      </c>
      <c r="J1014" t="inlineStr"/>
      <c r="K1014" t="inlineStr"/>
      <c r="L1014" t="inlineStr"/>
      <c r="M1014" t="inlineStr"/>
      <c r="N1014" t="inlineStr"/>
      <c r="O1014">
        <f>(1-Summary!$B$11)*T1014+Summary!$B$11*V1014</f>
        <v/>
      </c>
      <c r="P1014">
        <f>IF(B1036=0,0,O1014/B1036)</f>
        <v/>
      </c>
      <c r="Q1014">
        <f>IFERROR(1/IF(Inputs!$B$39="pvp",15,MAX(0.1,Skills!D17-IF(TRUE=TRUE,Inputs!$B$33,0))),0)</f>
        <v/>
      </c>
      <c r="R1014">
        <f>IF(AND(Inputs!$B$39&lt;&gt;"pvp",Inputs!$B$44&gt;0),IF(Inputs!$B$44&lt;=0,0,(INT(Inputs!$B$44/IF(Inputs!$B$39="pvp",15,MAX(0.1,Skills!D17-IF(TRUE=TRUE,Inputs!$B$33,0))))+1)),0)</f>
        <v/>
      </c>
      <c r="S1014">
        <f>IFERROR(O1014/N1014,0)</f>
        <v/>
      </c>
      <c r="T1014" t="n">
        <v>0</v>
      </c>
      <c r="V1014" t="n">
        <v>0</v>
      </c>
    </row>
    <row r="1015">
      <c r="A1015">
        <f>Skills!A18</f>
        <v/>
      </c>
      <c r="B1015">
        <f>Skills!B18</f>
        <v/>
      </c>
      <c r="C1015">
        <f>Inputs!$B$3&gt;=72</f>
        <v/>
      </c>
      <c r="D1015">
        <f>IF(Skills!C18=1,60+Inputs!$B$26+(Inputs!$B$30+1),IF(Skills!C18=2,90+Inputs!$B$27+(Inputs!$B$30+1),IF(Skills!C18=3,120+Inputs!$B$28+(Inputs!$B$30+1),MAX(0,(Inputs!$B$3-100)*3)+Inputs!$B$29+(Inputs!$B$30+1))))</f>
        <v/>
      </c>
      <c r="E1015">
        <f>INDEX(FactorTable!$B$2:$Y$301, MATCH(ROUND(MIN(300,MAX(1,D1015)),0), FactorTable!$A$2:$A$301,0), Skills!M18+1)</f>
        <v/>
      </c>
      <c r="F1015">
        <f>IF(Skills!N18=TRUE,(Skills!L18/10)*(E1015/1000),Skills!L18/10)+Skills!O18</f>
        <v/>
      </c>
      <c r="G1015">
        <f>Skills!G18*IF(Skills!H18&gt;0,INT(IF(Inputs!$B$39="pvp",MIN(Skills!I18,15),Skills!I18)/Skills!H18+0.000000001),1)</f>
        <v/>
      </c>
      <c r="H1015">
        <f>1-(1-Skills!J18/100)^Skills!K18</f>
        <v/>
      </c>
      <c r="I1015" t="inlineStr">
        <is>
          <t>1</t>
        </is>
      </c>
      <c r="J1015" t="inlineStr"/>
      <c r="K1015" t="inlineStr"/>
      <c r="L1015" t="inlineStr"/>
      <c r="M1015" t="inlineStr"/>
      <c r="N1015" t="inlineStr"/>
      <c r="O1015">
        <f>(1-Summary!$B$11)*T1015+Summary!$B$11*V1015</f>
        <v/>
      </c>
      <c r="P1015">
        <f>IF(B1036=0,0,O1015/B1036)</f>
        <v/>
      </c>
      <c r="Q1015">
        <f>IFERROR(1/IF(Inputs!$B$39="pvp",15,MAX(0.1,Skills!D18-IF(TRUE=TRUE,Inputs!$B$33,0))),0)</f>
        <v/>
      </c>
      <c r="R1015">
        <f>IF(AND(Inputs!$B$39&lt;&gt;"pvp",Inputs!$B$44&gt;0),IF(Inputs!$B$44&lt;=0,0,(INT(Inputs!$B$44/IF(Inputs!$B$39="pvp",15,MAX(0.1,Skills!D18-IF(TRUE=TRUE,Inputs!$B$33,0))))+1)),0)</f>
        <v/>
      </c>
      <c r="S1015">
        <f>IFERROR(O1015/N1015,0)</f>
        <v/>
      </c>
      <c r="T1015" t="n">
        <v>0</v>
      </c>
      <c r="V1015" t="n">
        <v>0</v>
      </c>
    </row>
    <row r="1016">
      <c r="A1016">
        <f>Skills!A19</f>
        <v/>
      </c>
      <c r="B1016">
        <f>Skills!B19</f>
        <v/>
      </c>
      <c r="C1016">
        <f>Inputs!$B$3&gt;=72</f>
        <v/>
      </c>
      <c r="D1016">
        <f>IF(Skills!C19=1,60+Inputs!$B$26+(Inputs!$B$30+1),IF(Skills!C19=2,90+Inputs!$B$27+(Inputs!$B$30+1),IF(Skills!C19=3,120+Inputs!$B$28+(Inputs!$B$30+1),MAX(0,(Inputs!$B$3-100)*3)+Inputs!$B$29+(Inputs!$B$30+1))))</f>
        <v/>
      </c>
      <c r="E1016">
        <f>INDEX(FactorTable!$B$2:$Y$301, MATCH(ROUND(MIN(300,MAX(1,D1016)),0), FactorTable!$A$2:$A$301,0), Skills!M19+1)</f>
        <v/>
      </c>
      <c r="F1016">
        <f>IF(Skills!N19=TRUE,(Skills!L19/10)*(E1016/1000),Skills!L19/10)+Skills!O19</f>
        <v/>
      </c>
      <c r="G1016">
        <f>Skills!G19*IF(Skills!H19&gt;0,INT(IF(Inputs!$B$39="pvp",MIN(Skills!I19,15),Skills!I19)/Skills!H19+0.000000001),1)</f>
        <v/>
      </c>
      <c r="H1016">
        <f>1-(1-Skills!J19/100)^Skills!K19</f>
        <v/>
      </c>
      <c r="I1016" t="inlineStr">
        <is>
          <t>1</t>
        </is>
      </c>
      <c r="J1016" t="inlineStr"/>
      <c r="K1016" t="inlineStr"/>
      <c r="L1016" t="inlineStr"/>
      <c r="M1016" t="inlineStr"/>
      <c r="N1016" t="inlineStr"/>
      <c r="O1016">
        <f>(1-Summary!$B$11)*T1016+Summary!$B$11*V1016</f>
        <v/>
      </c>
      <c r="P1016">
        <f>IF(B1036=0,0,O1016/B1036)</f>
        <v/>
      </c>
      <c r="Q1016">
        <f>IFERROR(1/IF(Inputs!$B$39="pvp",15,MAX(0.1,Skills!D19-IF(TRUE=TRUE,Inputs!$B$33,0))),0)</f>
        <v/>
      </c>
      <c r="R1016">
        <f>IF(AND(Inputs!$B$39&lt;&gt;"pvp",Inputs!$B$44&gt;0),IF(Inputs!$B$44&lt;=0,0,(INT(Inputs!$B$44/IF(Inputs!$B$39="pvp",15,MAX(0.1,Skills!D19-IF(TRUE=TRUE,Inputs!$B$33,0))))+1)),0)</f>
        <v/>
      </c>
      <c r="S1016">
        <f>IFERROR(O1016/N1016,0)</f>
        <v/>
      </c>
      <c r="T1016" t="n">
        <v>0</v>
      </c>
      <c r="V1016" t="n">
        <v>0</v>
      </c>
    </row>
    <row r="1017">
      <c r="A1017">
        <f>Skills!A20</f>
        <v/>
      </c>
      <c r="B1017">
        <f>Skills!B20</f>
        <v/>
      </c>
      <c r="C1017">
        <f>TRUE</f>
        <v/>
      </c>
      <c r="D1017">
        <f>IF(Skills!C20=1,60+Inputs!$B$26+(Inputs!$B$30+1),IF(Skills!C20=2,90+Inputs!$B$27+(Inputs!$B$30+1),IF(Skills!C20=3,120+Inputs!$B$28+(Inputs!$B$30+1),MAX(0,(Inputs!$B$3-100)*3)+Inputs!$B$29+(Inputs!$B$30+1))))</f>
        <v/>
      </c>
      <c r="E1017">
        <f>INDEX(FactorTable!$B$2:$Y$301, MATCH(ROUND(MIN(300,MAX(1,D1017)),0), FactorTable!$A$2:$A$301,0), Skills!M20+1)</f>
        <v/>
      </c>
      <c r="F1017">
        <f>IF(Skills!N20=TRUE,(Skills!L20/10)*(E1017/1000),Skills!L20/10)+Skills!O20</f>
        <v/>
      </c>
      <c r="G1017">
        <f>Skills!G20*IF(Skills!H20&gt;0,INT(IF(Inputs!$B$39="pvp",MIN(Skills!I20,15),Skills!I20)/Skills!H20+0.000000001),1)</f>
        <v/>
      </c>
      <c r="H1017">
        <f>1-(1-Skills!J20/100)^Skills!K20</f>
        <v/>
      </c>
      <c r="I1017" t="inlineStr">
        <is>
          <t>1</t>
        </is>
      </c>
      <c r="J1017" t="inlineStr"/>
      <c r="K1017" t="inlineStr"/>
      <c r="L1017" t="inlineStr"/>
      <c r="M1017" t="inlineStr"/>
      <c r="N1017" t="inlineStr"/>
      <c r="O1017">
        <f>(1-Summary!$B$11)*T1017+Summary!$B$11*V1017</f>
        <v/>
      </c>
      <c r="P1017">
        <f>IF(B1036=0,0,O1017/B1036)</f>
        <v/>
      </c>
      <c r="Q1017">
        <f>IFERROR(1/IF(Inputs!$B$39="pvp",15,MAX(0.1,Skills!D20-IF(TRUE=TRUE,Inputs!$B$33,0))),0)</f>
        <v/>
      </c>
      <c r="R1017">
        <f>IF(AND(Inputs!$B$39&lt;&gt;"pvp",Inputs!$B$44&gt;0),IF(Inputs!$B$44&lt;=0,0,(INT(Inputs!$B$44/IF(Inputs!$B$39="pvp",15,MAX(0.1,Skills!D20-IF(TRUE=TRUE,Inputs!$B$33,0))))+1)),0)</f>
        <v/>
      </c>
      <c r="S1017">
        <f>IFERROR(O1017/N1017,0)</f>
        <v/>
      </c>
      <c r="T1017" t="n">
        <v>0</v>
      </c>
      <c r="V1017" t="n">
        <v>0</v>
      </c>
    </row>
    <row r="1018">
      <c r="A1018">
        <f>Skills!A21</f>
        <v/>
      </c>
      <c r="B1018">
        <f>Skills!B21</f>
        <v/>
      </c>
      <c r="C1018">
        <f>Inputs!$B$3&gt;=33</f>
        <v/>
      </c>
      <c r="D1018">
        <f>IF(Skills!C21=1,60+Inputs!$B$26+(Inputs!$B$30+1),IF(Skills!C21=2,90+Inputs!$B$27+(Inputs!$B$30+1),IF(Skills!C21=3,120+Inputs!$B$28+(Inputs!$B$30+1),MAX(0,(Inputs!$B$3-100)*3)+Inputs!$B$29+(Inputs!$B$30+1))))</f>
        <v/>
      </c>
      <c r="E1018">
        <f>INDEX(FactorTable!$B$2:$Y$301, MATCH(ROUND(MIN(300,MAX(1,D1018)),0), FactorTable!$A$2:$A$301,0), Skills!M21+1)</f>
        <v/>
      </c>
      <c r="F1018">
        <f>IF(Skills!N21=TRUE,(Skills!L21/10)*(E1018/1000),Skills!L21/10)+Skills!O21</f>
        <v/>
      </c>
      <c r="G1018">
        <f>Skills!G21*IF(Skills!H21&gt;0,INT(IF(Inputs!$B$39="pvp",MIN(Skills!I21,15),Skills!I21)/Skills!H21+0.000000001),1)</f>
        <v/>
      </c>
      <c r="H1018">
        <f>1-(1-Skills!J21/100)^Skills!K21</f>
        <v/>
      </c>
      <c r="I1018" t="inlineStr">
        <is>
          <t>1</t>
        </is>
      </c>
      <c r="J1018" t="inlineStr"/>
      <c r="K1018" t="inlineStr"/>
      <c r="L1018" t="inlineStr"/>
      <c r="M1018" t="inlineStr"/>
      <c r="N1018" t="inlineStr"/>
      <c r="O1018">
        <f>(1-Summary!$B$11)*T1018+Summary!$B$11*V1018</f>
        <v/>
      </c>
      <c r="P1018">
        <f>IF(B1036=0,0,O1018/B1036)</f>
        <v/>
      </c>
      <c r="Q1018" t="n">
        <v>0</v>
      </c>
      <c r="R1018" t="n">
        <v>0</v>
      </c>
      <c r="S1018">
        <f>IFERROR(O1018/N1018,0)</f>
        <v/>
      </c>
      <c r="T1018" t="n">
        <v>0</v>
      </c>
      <c r="V1018" t="n">
        <v>0</v>
      </c>
    </row>
    <row r="1019">
      <c r="A1019">
        <f>Skills!A22</f>
        <v/>
      </c>
      <c r="B1019">
        <f>Skills!B22</f>
        <v/>
      </c>
      <c r="C1019">
        <f>Inputs!$B$3&gt;=43</f>
        <v/>
      </c>
      <c r="D1019">
        <f>IF(Skills!C22=1,60+Inputs!$B$26+(Inputs!$B$30+1),IF(Skills!C22=2,90+Inputs!$B$27+(Inputs!$B$30+1),IF(Skills!C22=3,120+Inputs!$B$28+(Inputs!$B$30+1),MAX(0,(Inputs!$B$3-100)*3)+Inputs!$B$29+(Inputs!$B$30+1))))</f>
        <v/>
      </c>
      <c r="E1019">
        <f>INDEX(FactorTable!$B$2:$Y$301, MATCH(ROUND(MIN(300,MAX(1,D1019)),0), FactorTable!$A$2:$A$301,0), Skills!M22+1)</f>
        <v/>
      </c>
      <c r="F1019">
        <f>IF(Skills!N22=TRUE,(Skills!L22/10)*(E1019/1000),Skills!L22/10)+Skills!O22</f>
        <v/>
      </c>
      <c r="G1019">
        <f>Skills!G22*IF(Skills!H22&gt;0,INT(IF(Inputs!$B$39="pvp",MIN(Skills!I22,15),Skills!I22)/Skills!H22+0.000000001),1)</f>
        <v/>
      </c>
      <c r="H1019">
        <f>1-(1-Skills!J22/100)^Skills!K22</f>
        <v/>
      </c>
      <c r="I1019" t="inlineStr">
        <is>
          <t>1</t>
        </is>
      </c>
      <c r="J1019" t="inlineStr"/>
      <c r="K1019" t="inlineStr"/>
      <c r="L1019" t="inlineStr"/>
      <c r="M1019" t="inlineStr"/>
      <c r="N1019" t="inlineStr"/>
      <c r="O1019">
        <f>(1-Summary!$B$11)*T1019+Summary!$B$11*V1019</f>
        <v/>
      </c>
      <c r="P1019">
        <f>IF(B1036=0,0,O1019/B1036)</f>
        <v/>
      </c>
      <c r="Q1019" t="n">
        <v>0</v>
      </c>
      <c r="R1019" t="n">
        <v>0</v>
      </c>
      <c r="S1019">
        <f>IFERROR(O1019/N1019,0)</f>
        <v/>
      </c>
      <c r="T1019" t="n">
        <v>0</v>
      </c>
      <c r="V1019" t="n">
        <v>0</v>
      </c>
    </row>
    <row r="1020">
      <c r="A1020">
        <f>Skills!A23</f>
        <v/>
      </c>
      <c r="B1020">
        <f>Skills!B23</f>
        <v/>
      </c>
      <c r="C1020">
        <f>Inputs!$B$3&gt;=120</f>
        <v/>
      </c>
      <c r="D1020">
        <f>IF(Skills!C23=1,60+Inputs!$B$26+(Inputs!$B$30+1),IF(Skills!C23=2,90+Inputs!$B$27+(Inputs!$B$30+1),IF(Skills!C23=3,120+Inputs!$B$28+(Inputs!$B$30+1),MAX(0,(Inputs!$B$3-100)*3)+Inputs!$B$29+(Inputs!$B$30+1))))</f>
        <v/>
      </c>
      <c r="E1020">
        <f>INDEX(FactorTable!$B$2:$Y$301, MATCH(ROUND(MIN(300,MAX(1,D1020)),0), FactorTable!$A$2:$A$301,0), Skills!M23+1)</f>
        <v/>
      </c>
      <c r="F1020">
        <f>IF(Skills!N23=TRUE,(Skills!L23/10)*(E1020/1000),Skills!L23/10)+Skills!O23</f>
        <v/>
      </c>
      <c r="G1020">
        <f>Skills!G23*IF(Skills!H23&gt;0,INT(IF(Inputs!$B$39="pvp",MIN(Skills!I23,15),Skills!I23)/Skills!H23+0.000000001),1)</f>
        <v/>
      </c>
      <c r="H1020">
        <f>1-(1-Skills!J23/100)^Skills!K23</f>
        <v/>
      </c>
      <c r="I1020" t="inlineStr">
        <is>
          <t>1</t>
        </is>
      </c>
      <c r="J1020" t="inlineStr"/>
      <c r="K1020" t="inlineStr"/>
      <c r="L1020" t="inlineStr"/>
      <c r="M1020" t="inlineStr"/>
      <c r="N1020" t="inlineStr"/>
      <c r="O1020">
        <f>(1-Summary!$B$11)*T1020+Summary!$B$11*V1020</f>
        <v/>
      </c>
      <c r="P1020">
        <f>IF(B1036=0,0,O1020/B1036)</f>
        <v/>
      </c>
      <c r="Q1020" t="n">
        <v>0</v>
      </c>
      <c r="R1020" t="n">
        <v>0</v>
      </c>
      <c r="S1020">
        <f>IFERROR(O1020/N1020,0)</f>
        <v/>
      </c>
      <c r="T1020" t="n">
        <v>0</v>
      </c>
      <c r="V1020" t="n">
        <v>0</v>
      </c>
    </row>
    <row r="1021">
      <c r="A1021">
        <f>Skills!A24</f>
        <v/>
      </c>
      <c r="B1021">
        <f>Skills!B24</f>
        <v/>
      </c>
      <c r="C1021">
        <f>Inputs!$B$3&gt;=120</f>
        <v/>
      </c>
      <c r="D1021">
        <f>IF(Skills!C24=1,60+Inputs!$B$26+(Inputs!$B$30+1),IF(Skills!C24=2,90+Inputs!$B$27+(Inputs!$B$30+1),IF(Skills!C24=3,120+Inputs!$B$28+(Inputs!$B$30+1),MAX(0,(Inputs!$B$3-100)*3)+Inputs!$B$29+(Inputs!$B$30+1))))</f>
        <v/>
      </c>
      <c r="E1021">
        <f>INDEX(FactorTable!$B$2:$Y$301, MATCH(ROUND(MIN(300,MAX(1,D1021)),0), FactorTable!$A$2:$A$301,0), Skills!M24+1)</f>
        <v/>
      </c>
      <c r="F1021">
        <f>IF(Skills!N24=TRUE,(Skills!L24/10)*(E1021/1000),Skills!L24/10)+Skills!O24</f>
        <v/>
      </c>
      <c r="G1021">
        <f>Skills!G24*IF(Skills!H24&gt;0,INT(IF(Inputs!$B$39="pvp",MIN(Skills!I24,15),Skills!I24)/Skills!H24+0.000000001),1)</f>
        <v/>
      </c>
      <c r="H1021">
        <f>1-(1-Skills!J24/100)^Skills!K24</f>
        <v/>
      </c>
      <c r="I1021" t="inlineStr">
        <is>
          <t>1</t>
        </is>
      </c>
      <c r="J1021" t="inlineStr"/>
      <c r="K1021" t="inlineStr"/>
      <c r="L1021" t="inlineStr"/>
      <c r="M1021" t="inlineStr"/>
      <c r="N1021" t="inlineStr"/>
      <c r="O1021">
        <f>(1-Summary!$B$11)*T1021+Summary!$B$11*V1021</f>
        <v/>
      </c>
      <c r="P1021">
        <f>IF(B1036=0,0,O1021/B1036)</f>
        <v/>
      </c>
      <c r="Q1021" t="n">
        <v>0</v>
      </c>
      <c r="R1021" t="n">
        <v>0</v>
      </c>
      <c r="S1021">
        <f>IFERROR(O1021/N1021,0)</f>
        <v/>
      </c>
      <c r="T1021" t="n">
        <v>0</v>
      </c>
      <c r="V1021" t="n">
        <v>0</v>
      </c>
    </row>
    <row r="1022">
      <c r="A1022">
        <f>Skills!A25</f>
        <v/>
      </c>
      <c r="B1022">
        <f>Skills!B25</f>
        <v/>
      </c>
      <c r="C1022">
        <f>Inputs!$B$3&gt;=125</f>
        <v/>
      </c>
      <c r="D1022">
        <f>IF(Skills!C25=1,60+Inputs!$B$26+(Inputs!$B$30+1),IF(Skills!C25=2,90+Inputs!$B$27+(Inputs!$B$30+1),IF(Skills!C25=3,120+Inputs!$B$28+(Inputs!$B$30+1),MAX(0,(Inputs!$B$3-100)*3)+Inputs!$B$29+(Inputs!$B$30+1))))</f>
        <v/>
      </c>
      <c r="E1022">
        <f>INDEX(FactorTable!$B$2:$Y$301, MATCH(ROUND(MIN(300,MAX(1,D1022)),0), FactorTable!$A$2:$A$301,0), Skills!M25+1)</f>
        <v/>
      </c>
      <c r="F1022">
        <f>IF(Skills!N25=TRUE,(Skills!L25/10)*(E1022/1000),Skills!L25/10)+Skills!O25</f>
        <v/>
      </c>
      <c r="G1022">
        <f>Skills!G25*IF(Skills!H25&gt;0,INT(IF(Inputs!$B$39="pvp",MIN(Skills!I25,15),Skills!I25)/Skills!H25+0.000000001),1)</f>
        <v/>
      </c>
      <c r="H1022">
        <f>1-(1-Skills!J25/100)^Skills!K25</f>
        <v/>
      </c>
      <c r="I1022" t="inlineStr">
        <is>
          <t>1</t>
        </is>
      </c>
      <c r="J1022" t="inlineStr"/>
      <c r="K1022" t="inlineStr"/>
      <c r="L1022" t="inlineStr"/>
      <c r="M1022" t="inlineStr"/>
      <c r="N1022" t="inlineStr"/>
      <c r="O1022">
        <f>(1-Summary!$B$11)*T1022+Summary!$B$11*V1022</f>
        <v/>
      </c>
      <c r="P1022">
        <f>IF(B1036=0,0,O1022/B1036)</f>
        <v/>
      </c>
      <c r="Q1022" t="n">
        <v>0</v>
      </c>
      <c r="R1022" t="n">
        <v>0</v>
      </c>
      <c r="S1022">
        <f>IFERROR(O1022/N1022,0)</f>
        <v/>
      </c>
      <c r="T1022" t="n">
        <v>0</v>
      </c>
      <c r="V1022" t="n">
        <v>0</v>
      </c>
    </row>
    <row r="1023">
      <c r="A1023">
        <f>Skills!A26</f>
        <v/>
      </c>
      <c r="B1023">
        <f>Skills!B26</f>
        <v/>
      </c>
      <c r="C1023">
        <f>Inputs!$B$3&gt;=107</f>
        <v/>
      </c>
      <c r="D1023">
        <f>IF(Skills!C26=1,60+Inputs!$B$26+(Inputs!$B$30+1),IF(Skills!C26=2,90+Inputs!$B$27+(Inputs!$B$30+1),IF(Skills!C26=3,120+Inputs!$B$28+(Inputs!$B$30+1),MAX(0,(Inputs!$B$3-100)*3)+Inputs!$B$29+(Inputs!$B$30+1))))</f>
        <v/>
      </c>
      <c r="E1023">
        <f>INDEX(FactorTable!$B$2:$Y$301, MATCH(ROUND(MIN(300,MAX(1,D1023)),0), FactorTable!$A$2:$A$301,0), Skills!M26+1)</f>
        <v/>
      </c>
      <c r="F1023">
        <f>IF(Skills!N26=TRUE,(Skills!L26/10)*(E1023/1000),Skills!L26/10)+Skills!O26</f>
        <v/>
      </c>
      <c r="G1023">
        <f>Skills!G26*IF(Skills!H26&gt;0,INT(IF(Inputs!$B$39="pvp",MIN(Skills!I26,15),Skills!I26)/Skills!H26+0.000000001),1)</f>
        <v/>
      </c>
      <c r="H1023">
        <f>1-(1-Skills!J26/100)^Skills!K26</f>
        <v/>
      </c>
      <c r="I1023" t="inlineStr">
        <is>
          <t>1</t>
        </is>
      </c>
      <c r="J1023" t="inlineStr"/>
      <c r="K1023" t="inlineStr"/>
      <c r="L1023" t="inlineStr"/>
      <c r="M1023" t="inlineStr"/>
      <c r="N1023" t="inlineStr"/>
      <c r="O1023">
        <f>(1-Summary!$B$11)*T1023+Summary!$B$11*V1023</f>
        <v/>
      </c>
      <c r="P1023">
        <f>IF(B1036=0,0,O1023/B1036)</f>
        <v/>
      </c>
      <c r="Q1023" t="n">
        <v>0</v>
      </c>
      <c r="R1023" t="n">
        <v>0</v>
      </c>
      <c r="S1023">
        <f>IFERROR(O1023/N1023,0)</f>
        <v/>
      </c>
      <c r="T1023" t="n">
        <v>0</v>
      </c>
      <c r="V1023" t="n">
        <v>0</v>
      </c>
    </row>
    <row r="1025">
      <c r="A1025" t="inlineStr">
        <is>
          <t>Attack% Bucket Multiplier</t>
        </is>
      </c>
      <c r="B1025">
        <f>(1+(((C1010=TRUE)*F1010*IF(AND(Inputs!$B$39&lt;&gt;"pvp",Inputs!$B$44&gt;0),(((R1010-1)*MIN((Skills!T13*(1+Inputs!$B$35/100)),(1/Q1010))+MIN((Skills!T13*(1+Inputs!$B$35/100)),MAX(0,Inputs!$B$44-((R1010-1)*(1/Q1010)))))/Inputs!$B$44),IF(Inputs!$B$39="pvp",MIN((Skills!T13*(1+Inputs!$B$35/100)),15)/15,MIN(1,(Skills!T13*(1+Inputs!$B$35/100))/(1/Q1010)))))+((C1011=TRUE)*F1011*IF(AND(Inputs!$B$39&lt;&gt;"pvp",Inputs!$B$44&gt;0),(((R1011-1)*MIN((Skills!T14*(1+Inputs!$B$35/100)),(1/Q1011))+MIN((Skills!T14*(1+Inputs!$B$35/100)),MAX(0,Inputs!$B$44-((R1011-1)*(1/Q1011)))))/Inputs!$B$44),IF(Inputs!$B$39="pvp",MIN((Skills!T14*(1+Inputs!$B$35/100)),15)/15,MIN(1,(Skills!T14*(1+Inputs!$B$35/100))/(1/Q1011)))))+((C1012=TRUE)*F1012*IF(AND(Inputs!$B$39&lt;&gt;"pvp",Inputs!$B$44&gt;0),(((R1012-1)*MIN((Skills!T15*(1+Inputs!$B$35/100)),(1/Q1012))+MIN((Skills!T15*(1+Inputs!$B$35/100)),MAX(0,Inputs!$B$44-((R1012-1)*(1/Q1012)))))/Inputs!$B$44),IF(Inputs!$B$39="pvp",MIN((Skills!T15*(1+Inputs!$B$35/100)),15)/15,MIN(1,(Skills!T15*(1+Inputs!$B$35/100))/(1/Q1012)))))+((C1013=TRUE)*F1013*IF(AND(Inputs!$B$39&lt;&gt;"pvp",Inputs!$B$44&gt;0),(((R1013-1)*MIN((Skills!T16*(1+Inputs!$B$35/100)),(1/Q1013))+MIN((Skills!T16*(1+Inputs!$B$35/100)),MAX(0,Inputs!$B$44-((R1013-1)*(1/Q1013)))))/Inputs!$B$44),IF(Inputs!$B$39="pvp",MIN((Skills!T16*(1+Inputs!$B$35/100)),15)/15,MIN(1,(Skills!T16*(1+Inputs!$B$35/100))/(1/Q1013)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1026">
      <c r="A1026" t="inlineStr">
        <is>
          <t>Global Crit Rate Bonus % (Lord of Darkness)</t>
        </is>
      </c>
      <c r="B1026">
        <f>((C1015=TRUE)*F1015*(Skills!J18/100)*IF(AND(Inputs!$B$39&lt;&gt;"pvp",Inputs!$B$44&gt;0),(((R1015-1)*MIN((Skills!T18*(1+Inputs!$B$35/100)),(1/Q1015))+MIN((Skills!T18*(1+Inputs!$B$35/100)),MAX(0,Inputs!$B$44-((R1015-1)*(1/Q1015)))))/Inputs!$B$44),IF(Inputs!$B$39="pvp",MIN((Skills!T18*(1+Inputs!$B$35/100)),15)/15,MIN(1,(Skills!T18*(1+Inputs!$B$35/100))/(1/Q1015)))))</f>
        <v/>
      </c>
    </row>
    <row r="1027">
      <c r="A1027" t="inlineStr">
        <is>
          <t>Attack Speed Buff Bonus %</t>
        </is>
      </c>
      <c r="B1027">
        <f>((C1017=TRUE)*F1017*IF(AND(Inputs!$B$39&lt;&gt;"pvp",Inputs!$B$44&gt;0),(((R1017-1)*MIN((Skills!T20*(1+Inputs!$B$35/100)),(1/Q1017))+MIN((Skills!T20*(1+Inputs!$B$35/100)),MAX(0,Inputs!$B$44-((R1017-1)*(1/Q1017)))))/Inputs!$B$44),IF(Inputs!$B$39="pvp",MIN((Skills!T20*(1+Inputs!$B$35/100)),15)/15,MIN(1,(Skills!T20*(1+Inputs!$B$35/100))/(1/Q1017)))))</f>
        <v/>
      </c>
    </row>
    <row r="1028">
      <c r="A1028" t="inlineStr">
        <is>
          <t>Actions Per Second</t>
        </is>
      </c>
      <c r="B1028">
        <f>1+MIN(150,150*(1-(1-(Inputs!$B$12+((C1018=TRUE)*(F1018-Calc!F21)))/150)*(1-B1027/150)))/100</f>
        <v/>
      </c>
    </row>
    <row r="1029">
      <c r="A1029" t="inlineStr">
        <is>
          <t>Skill + Buff Cast Rate</t>
        </is>
      </c>
      <c r="B1029">
        <f>IF(AND(Inputs!$B$39&lt;&gt;"pvp",Inputs!$B$44&gt;0),SUMPRODUCT((Skills!E2:E26=TRUE)*(C999:C1023=TRUE)*R999:R1023*Skills!F2:F26)/Inputs!$B$44,SUMPRODUCT((Skills!E2:E26=TRUE)*(C999:C1023=TRUE)*Q999:Q1023*Skills!F2:F26))</f>
        <v/>
      </c>
    </row>
    <row r="1030">
      <c r="A1030" t="inlineStr">
        <is>
          <t>Dark Impale Casts Per Second</t>
        </is>
      </c>
      <c r="B1030">
        <f>MAX(0,B1028-B1029)</f>
        <v/>
      </c>
    </row>
    <row r="1031">
      <c r="A1031" t="inlineStr">
        <is>
          <t>Global Critical Damage Bonus % (Lord of Darkness)</t>
        </is>
      </c>
      <c r="B1031">
        <f>((C1016=TRUE)*F1016*(Skills!J19/100)*IF(AND(Inputs!$B$39&lt;&gt;"pvp",Inputs!$B$44&gt;0),(((R1016-1)*MIN((Skills!T19*(1+Inputs!$B$35/100)),(1/Q1016))+MIN((Skills!T19*(1+Inputs!$B$35/100)),MAX(0,Inputs!$B$44-((R1016-1)*(1/Q1016)))))/Inputs!$B$44),IF(Inputs!$B$39="pvp",MIN((Skills!T19*(1+Inputs!$B$35/100)),15)/15,MIN(1,(Skills!T19*(1+Inputs!$B$35/100))/(1/Q1016)))))</f>
        <v/>
      </c>
    </row>
    <row r="1032">
      <c r="A1032" t="inlineStr">
        <is>
          <t>Global Final Damage Bonus % (unused)</t>
        </is>
      </c>
      <c r="B1032" t="n">
        <v>0</v>
      </c>
    </row>
    <row r="1033">
      <c r="A1033" t="inlineStr">
        <is>
          <t>Buff-Casting Startup Delay (s, fixed-duration only)</t>
        </is>
      </c>
      <c r="B1033">
        <f>IF(AND(Inputs!$B$39&lt;&gt;"pvp",Inputs!$B$44&gt;0),SUMPRODUCT((Skills!T2:T26&gt;0)*(Skills!E2:E26=TRUE)*(C999:C1023=TRUE))/B1028,0)</f>
        <v/>
      </c>
    </row>
    <row r="1034">
      <c r="A1034" t="inlineStr">
        <is>
          <t>Boss-Only Total DPS (this block's swept value)</t>
        </is>
      </c>
      <c r="B1034">
        <f>SUM(T999:T1023)</f>
        <v/>
      </c>
    </row>
    <row r="1035">
      <c r="A1035" t="inlineStr">
        <is>
          <t>Normal-Only Total DPS (this block's swept value)</t>
        </is>
      </c>
      <c r="B1035">
        <f>SUM(V999:V1023)</f>
        <v/>
      </c>
    </row>
    <row r="1036">
      <c r="A1036" s="6" t="inlineStr">
        <is>
          <t>TOTAL DPS</t>
        </is>
      </c>
      <c r="B1036" s="6">
        <f>SUM(O999:O1023)</f>
        <v/>
      </c>
    </row>
    <row r="1039">
      <c r="A1039" s="6" t="inlineStr">
        <is>
          <t>Stat: Flat ATTACK</t>
        </is>
      </c>
    </row>
    <row r="1040">
      <c r="A1040" s="5" t="inlineStr">
        <is>
          <t>Key</t>
        </is>
      </c>
      <c r="B1040" s="5" t="inlineStr">
        <is>
          <t>Name</t>
        </is>
      </c>
      <c r="C1040" s="5" t="inlineStr">
        <is>
          <t>Unlocked</t>
        </is>
      </c>
      <c r="D1040" s="5" t="inlineStr">
        <is>
          <t>InputLevel</t>
        </is>
      </c>
      <c r="E1040" s="5" t="inlineStr">
        <is>
          <t>Factor</t>
        </is>
      </c>
      <c r="F1040" s="5" t="inlineStr">
        <is>
          <t>CoefficientPercent</t>
        </is>
      </c>
      <c r="G1040" s="5" t="inlineStr">
        <is>
          <t>EffectiveHits</t>
        </is>
      </c>
      <c r="H1040" s="5" t="inlineStr">
        <is>
          <t>ProcProbability</t>
        </is>
      </c>
      <c r="I1040" s="5" t="inlineStr">
        <is>
          <t>MapleHeroMultiplier</t>
        </is>
      </c>
      <c r="J1040" s="5" t="inlineStr">
        <is>
          <t>BaseDamage</t>
        </is>
      </c>
      <c r="K1040" s="5" t="inlineStr">
        <is>
          <t>BaseHitDamage</t>
        </is>
      </c>
      <c r="L1040" s="5" t="inlineStr">
        <is>
          <t>NonCritAvg</t>
        </is>
      </c>
      <c r="M1040" s="5" t="inlineStr">
        <is>
          <t>CritAvg</t>
        </is>
      </c>
      <c r="N1040" s="5" t="inlineStr">
        <is>
          <t>ExpectedDamage(perHit)</t>
        </is>
      </c>
      <c r="O1040" s="5" t="inlineStr">
        <is>
          <t>DPS</t>
        </is>
      </c>
      <c r="P1040" s="5" t="inlineStr">
        <is>
          <t>% of Total</t>
        </is>
      </c>
      <c r="Q1040" s="5" t="inlineStr">
        <is>
          <t>InvCooldown</t>
        </is>
      </c>
      <c r="R1040" s="5" t="inlineStr">
        <is>
          <t>CastsInFight</t>
        </is>
      </c>
      <c r="S1040" s="5" t="inlineStr">
        <is>
          <t>HitRate(perSec)</t>
        </is>
      </c>
      <c r="U1040" t="inlineStr">
        <is>
          <t>helpers</t>
        </is>
      </c>
    </row>
    <row r="1041">
      <c r="A1041">
        <f>Skills!A2</f>
        <v/>
      </c>
      <c r="B1041">
        <f>Skills!B2</f>
        <v/>
      </c>
      <c r="C1041">
        <f>Inputs!$B$3&gt;=100</f>
        <v/>
      </c>
      <c r="D1041" t="inlineStr"/>
      <c r="E1041" t="inlineStr"/>
      <c r="F1041">
        <f>U1043+Skills!O2</f>
        <v/>
      </c>
      <c r="G1041">
        <f>Skills!G2*IF(Skills!H2&gt;0,INT(IF(Inputs!$B$39="pvp",MIN(Skills!I2,15),Skills!I2)/Skills!H2+0.000000001),1)</f>
        <v/>
      </c>
      <c r="H1041">
        <f>1-(1-Skills!J2/100)^Skills!K2</f>
        <v/>
      </c>
      <c r="I1041" t="inlineStr">
        <is>
          <t>1</t>
        </is>
      </c>
      <c r="J1041">
        <f>(((Inputs!$B$6+1)*(1+Inputs!$B$7/100))+(((Inputs!$B$13*(1+Inputs!$B$14/100))-(Inputs!$B$13*(1+Inputs!$B$14/100)))+0.25*(Inputs!$B$15-Inputs!$B$15))*(1+Inputs!$B$7/100))*(F1041/100)</f>
        <v/>
      </c>
      <c r="K1041">
        <f>J1041*(1+(((Inputs!$B$13+IF(Inputs!$B$3&gt;=38,(10*INDEX(FactorTable!$B$2:$Y$301, MATCH(ROUND(MIN(300,MAX(1,Inputs!$B$3)),0), FactorTable!$A$2:$A$301,0), 23)/1000)/100*(Inputs!$B$8*(1+Inputs!$B$9/100)),0))*(1+Inputs!$B$14/100))*0.01+Inputs!$B$15*0.0025)/100)*(1+Inputs!$B$16/100)*(1+Inputs!$B$17/100)*(5000/(6000+Inputs!$B$43*(1-(Inputs!$B$20+0)/100)))*(1+(Inputs!$B$25+((C1064=TRUE)*(F1064-Calc!F25))+((C1065=TRUE)*(F1065-Calc!F26))+B1074)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gt;=100),MIN(100,((Inputs!$B$10+0+B1068+(ArtifactsInput!$M$24-ArtifactsInput!$M$24)*CHOOSE(ArtifactsInput!$N$24+1,10,12,14,16,18,20)+IF(ArtifactsInput!$M$10,CHOOSE(ArtifactsInput!$N$10+1,15,18,21,24,27,30)*(IF(Inputs!$B$39="pvp",MIN(15,15)/15,IF(AND(Inputs!$B$39&lt;&gt;"pvp",Inputs!$B$44&gt;0),MIN(15,Inputs!$B$44)/(Inputs!$B$44),0))),0)))-100),0))*CHOOSE(ArtifactsInput!$N$42+1,0.6,0.72,0.84,0.96,1.08,1.2))),Inputs!$B$19+((C1062=TRUE)*(F1062-Calc!F23))+(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gt;=100),CHOOSE(ArtifactsInput!$N$42+1,40,48,56,64,72,80),0))))/100)*((1+(((C1052=TRUE)*F1052*IF(AND(Inputs!$B$39&lt;&gt;"pvp",Inputs!$B$44&gt;0),(((R1052-1)*MIN((Skills!T13*(1+Inputs!$B$35/100)),(1/Q1052))+MIN((Skills!T13*(1+Inputs!$B$35/100)),MAX(0,Inputs!$B$44-((R1052-1)*(1/Q1052)))))/Inputs!$B$44),IF(Inputs!$B$39="pvp",MIN((Skills!T13*(1+Inputs!$B$35/100)),15)/15,MIN(1,(Skills!T13*(1+Inputs!$B$35/100))/(1/Q1052)))))+((C1053=TRUE)*F1053*IF(AND(Inputs!$B$39&lt;&gt;"pvp",Inputs!$B$44&gt;0),(((R1053-1)*MIN((Skills!T14*(1+Inputs!$B$35/100)),(1/Q1053))+MIN((Skills!T14*(1+Inputs!$B$35/100)),MAX(0,Inputs!$B$44-((R1053-1)*(1/Q1053)))))/Inputs!$B$44),IF(Inputs!$B$39="pvp",MIN((Skills!T14*(1+Inputs!$B$35/100)),15)/15,MIN(1,(Skills!T14*(1+Inputs!$B$35/100))/(1/Q1053)))))+((C1054=TRUE)*F1054*IF(AND(Inputs!$B$39&lt;&gt;"pvp",Inputs!$B$44&gt;0),(((R1054-1)*MIN((Skills!T15*(1+Inputs!$B$35/100)),(1/Q1054))+MIN((Skills!T15*(1+Inputs!$B$35/100)),MAX(0,Inputs!$B$44-((R1054-1)*(1/Q1054)))))/Inputs!$B$44),IF(Inputs!$B$39="pvp",MIN((Skills!T15*(1+Inputs!$B$35/100)),15)/15,MIN(1,(Skills!T15*(1+Inputs!$B$35/100))/(1/Q1054)))))+((C1055=TRUE)*F1055*IF(AND(Inputs!$B$39&lt;&gt;"pvp",Inputs!$B$44&gt;0),(((R1055-1)*MIN((Skills!T16*(1+Inputs!$B$35/100)),(1/Q1055))+MIN((Skills!T16*(1+Inputs!$B$35/100)),MAX(0,Inputs!$B$44-((R1055-1)*(1/Q1055)))))/Inputs!$B$44),IF(Inputs!$B$39="pvp",MIN((Skills!T16*(1+Inputs!$B$35/100)),15)/15,MIN(1,(Skills!T16*(1+Inputs!$B$35/100))/(1/Q1055)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1041)</f>
        <v/>
      </c>
      <c r="L1041">
        <f>K1041*(MIN(Inputs!$B$23+((C1061=TRUE)*(F1061-Calc!F22)),(Inputs!$B$24+((C1063=TRUE)*(F1063-Calc!F24))+(IF(ArtifactsInput!$M$15,CHOOSE(ArtifactsInput!$N$15+1,25,30,35,40,45,50)/100*(Inputs!$B$12-Inputs!$B$12),0))))/100+(Inputs!$B$24+((C1063=TRUE)*(F1063-Calc!F24))+(IF(ArtifactsInput!$M$15,CHOOSE(ArtifactsInput!$N$15+1,25,30,35,40,45,50)/100*(Inputs!$B$12-Inputs!$B$12),0)))/100)/2</f>
        <v/>
      </c>
      <c r="M1041">
        <f>L1041*(1+(Inputs!$B$11+0+B1073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041">
        <f>L1041*(1-MIN((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1041*(MIN((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41">
        <f>(1-Summary!$B$11)*T1041+Summary!$B$11*V1041</f>
        <v/>
      </c>
      <c r="P1041">
        <f>IF(B1078=0,0,O1041/B1078)</f>
        <v/>
      </c>
      <c r="Q1041" t="n">
        <v>0</v>
      </c>
      <c r="R1041" t="n">
        <v>0</v>
      </c>
      <c r="S1041">
        <f>IFERROR(O1041/N1041,0)</f>
        <v/>
      </c>
      <c r="T1041">
        <f>IF(C1041,(Skills!G2*N1041*B1072)*IF(Inputs!$B$39="pvp",1,1+(Inputs!$B$21+0+Skills!P2+((C1056=TRUE)*F1056*IF(AND(Inputs!$B$39&lt;&gt;"pvp",Inputs!$B$44&gt;0),(((R1056-1)*MIN((Skills!T17*(1+Inputs!$B$35/100)),(1/Q1056))+MIN((Skills!T17*(1+Inputs!$B$35/100)),MAX(0,Inputs!$B$44-((R1056-1)*(1/Q1056)))))/Inputs!$B$44),IF(Inputs!$B$39="pvp",MIN((Skills!T17*(1+Inputs!$B$35/100)),15)/15,MIN(1,(Skills!T17*(1+Inputs!$B$35/100))/(1/Q1056)))))+((C1044=TRUE)*IF(Inputs!$B$3&gt;=126,10*MIN(1,15*Q1044),0))+((C1053=TRUE)*IF(Inputs!$B$39="pvp",20,(1-Summary!$B$11)*(20)+Summary!$B$11*(0))*IF(AND(Inputs!$B$39&lt;&gt;"pvp",Inputs!$B$44&gt;0),(((R1053-1)*MIN((Skills!T14*(1+Inputs!$B$35/100)),(1/Q1053))+MIN((Skills!T14*(1+Inputs!$B$35/100)),MAX(0,Inputs!$B$44-((R1053-1)*(1/Q1053)))))/Inputs!$B$44),IF(Inputs!$B$39="pvp",MIN((Skills!T14*(1+Inputs!$B$35/100)),15)/15,MIN(1,(Skills!T14*(1+Inputs!$B$35/100))/(1/Q1053)))))+((C1052=TRUE)*IF(Inputs!$B$3&gt;=82,IF(Inputs!$B$39="pvp",20,(1-Summary!$B$11)*(20)+Summary!$B$11*(0)),0)*IF(AND(Inputs!$B$39&lt;&gt;"pvp",Inputs!$B$44&gt;0),(((R1052-1)*MIN((Skills!T13*(1+Inputs!$B$35/100)),(1/Q1052))+MIN((Skills!T13*(1+Inputs!$B$35/100)),MAX(0,Inputs!$B$44-((R1052-1)*(1/Q1052)))))/Inputs!$B$44),IF(Inputs!$B$39="pvp",MIN((Skills!T13*(1+Inputs!$B$35/100)),15)/15,MIN(1,(Skills!T13*(1+Inputs!$B$35/100))/(1/Q1052)))))+(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1041*(1-MIN(100,(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1041*(MIN(100,(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1041*(1-MIN(100,(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1041*(MIN(100,(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041">
        <f>MAX(0,(Inputs!$B$3-100)*3)+Inputs!$B$29+Inputs!$B$30</f>
        <v/>
      </c>
      <c r="V1041">
        <f>IF(C1041,(Skills!G2*N1041*B1072)*IF(Inputs!$B$39="pvp",1,(1+(Inputs!$B$22+Skills!Q2+((C1056=TRUE)*F1056*IF(AND(Inputs!$B$39&lt;&gt;"pvp",Inputs!$B$44&gt;0),(((R1056-1)*MIN((Skills!T17*(1+Inputs!$B$35/100)),(1/Q1056))+MIN((Skills!T17*(1+Inputs!$B$35/100)),MAX(0,Inputs!$B$44-((R1056-1)*(1/Q1056)))))/Inputs!$B$44),IF(Inputs!$B$39="pvp",MIN((Skills!T17*(1+Inputs!$B$35/100)),15)/15,MIN(1,(Skills!T17*(1+Inputs!$B$35/100))/(1/Q1056)))))+((C1044=TRUE)*IF(Inputs!$B$3&gt;=126,10*MIN(1,15*Q1044),0))+((C1053=TRUE)*IF(Inputs!$B$39="pvp",20,(1-Summary!$B$11)*(20)+Summary!$B$11*(0))*IF(AND(Inputs!$B$39&lt;&gt;"pvp",Inputs!$B$44&gt;0),(((R1053-1)*MIN((Skills!T14*(1+Inputs!$B$35/100)),(1/Q1053))+MIN((Skills!T14*(1+Inputs!$B$35/100)),MAX(0,Inputs!$B$44-((R1053-1)*(1/Q1053)))))/Inputs!$B$44),IF(Inputs!$B$39="pvp",MIN((Skills!T14*(1+Inputs!$B$35/100)),15)/15,MIN(1,(Skills!T14*(1+Inputs!$B$35/100))/(1/Q1053)))))+((C1052=TRUE)*IF(Inputs!$B$3&gt;=82,IF(Inputs!$B$39="pvp",20,(1-Summary!$B$11)*(20)+Summary!$B$11*(0)),0)*IF(AND(Inputs!$B$39&lt;&gt;"pvp",Inputs!$B$44&gt;0),(((R1052-1)*MIN((Skills!T13*(1+Inputs!$B$35/100)),(1/Q1052))+MIN((Skills!T13*(1+Inputs!$B$35/100)),MAX(0,Inputs!$B$44-((R1052-1)*(1/Q1052)))))/Inputs!$B$44),IF(Inputs!$B$39="pvp",MIN((Skills!T13*(1+Inputs!$B$35/100)),15)/15,MIN(1,(Skills!T13*(1+Inputs!$B$35/100))/(1/Q1052)))))+(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42">
      <c r="A1042">
        <f>Skills!A3</f>
        <v/>
      </c>
      <c r="B1042">
        <f>Skills!B3</f>
        <v/>
      </c>
      <c r="C1042">
        <f>Inputs!$B$3&gt;=50</f>
        <v/>
      </c>
      <c r="D1042">
        <f>IF(Skills!C3=1,60+Inputs!$B$26+Inputs!$B$30,IF(Skills!C3=2,90+Inputs!$B$27+Inputs!$B$30,IF(Skills!C3=3,120+Inputs!$B$28+Inputs!$B$30,MAX(0,(Inputs!$B$3-100)*3)+Inputs!$B$29+Inputs!$B$30)))</f>
        <v/>
      </c>
      <c r="E1042">
        <f>INDEX(FactorTable!$B$2:$Y$301, MATCH(ROUND(MIN(300,MAX(1,D1042)),0), FactorTable!$A$2:$A$301,0), Skills!M3+1)</f>
        <v/>
      </c>
      <c r="F1042">
        <f>IF(Skills!N3=TRUE,(Skills!L3/10)*(E1042/1000),Skills!L3/10)+Skills!O3</f>
        <v/>
      </c>
      <c r="G1042" t="inlineStr"/>
      <c r="H1042" t="inlineStr"/>
      <c r="I1042" t="inlineStr">
        <is>
          <t>1</t>
        </is>
      </c>
      <c r="J1042" t="inlineStr"/>
      <c r="K1042" t="inlineStr"/>
      <c r="L1042" t="inlineStr"/>
      <c r="M1042" t="inlineStr"/>
      <c r="N1042" t="inlineStr"/>
      <c r="O1042" t="inlineStr"/>
      <c r="P1042" t="inlineStr"/>
      <c r="Q1042" t="inlineStr"/>
      <c r="R1042" t="inlineStr"/>
      <c r="S1042" t="inlineStr"/>
      <c r="U1042">
        <f>INDEX(FactorTable!$B$2:$Y$301, MATCH(ROUND(MIN(300,MAX(1,U1041)),0), FactorTable!$A$2:$A$301,0), 22)</f>
        <v/>
      </c>
    </row>
    <row r="1043">
      <c r="A1043">
        <f>Skills!A4</f>
        <v/>
      </c>
      <c r="B1043">
        <f>Skills!B4</f>
        <v/>
      </c>
      <c r="C1043">
        <f>Inputs!$B$3&gt;=105</f>
        <v/>
      </c>
      <c r="D1043">
        <f>IF(Skills!C4=1,60+Inputs!$B$26+Inputs!$B$30,IF(Skills!C4=2,90+Inputs!$B$27+Inputs!$B$30,IF(Skills!C4=3,120+Inputs!$B$28+Inputs!$B$30,MAX(0,(Inputs!$B$3-100)*3)+Inputs!$B$29+Inputs!$B$30)))</f>
        <v/>
      </c>
      <c r="E1043">
        <f>INDEX(FactorTable!$B$2:$Y$301, MATCH(ROUND(MIN(300,MAX(1,D1043)),0), FactorTable!$A$2:$A$301,0), Skills!M4+1)</f>
        <v/>
      </c>
      <c r="F1043">
        <f>IF(Skills!N4=TRUE,(Skills!L4/10)*(E1043/1000),Skills!L4/10)+Skills!O4</f>
        <v/>
      </c>
      <c r="G1043" t="inlineStr"/>
      <c r="H1043" t="inlineStr"/>
      <c r="I1043" t="inlineStr">
        <is>
          <t>1</t>
        </is>
      </c>
      <c r="J1043" t="inlineStr"/>
      <c r="K1043" t="inlineStr"/>
      <c r="L1043" t="inlineStr"/>
      <c r="M1043" t="inlineStr"/>
      <c r="N1043" t="inlineStr"/>
      <c r="O1043" t="inlineStr"/>
      <c r="P1043" t="inlineStr"/>
      <c r="Q1043" t="inlineStr"/>
      <c r="R1043" t="inlineStr"/>
      <c r="S1043" t="inlineStr"/>
      <c r="U1043">
        <f>290*U1042/1000</f>
        <v/>
      </c>
    </row>
    <row r="1044">
      <c r="A1044">
        <f>Skills!A5</f>
        <v/>
      </c>
      <c r="B1044">
        <f>Skills!B5</f>
        <v/>
      </c>
      <c r="C1044">
        <f>Inputs!$B$3&gt;=117</f>
        <v/>
      </c>
      <c r="D1044">
        <f>IF(Skills!C5=1,60+Inputs!$B$26+Inputs!$B$30,IF(Skills!C5=2,90+Inputs!$B$27+Inputs!$B$30,IF(Skills!C5=3,120+Inputs!$B$28+Inputs!$B$30,MAX(0,(Inputs!$B$3-100)*3)+Inputs!$B$29+Inputs!$B$30)))</f>
        <v/>
      </c>
      <c r="E1044">
        <f>INDEX(FactorTable!$B$2:$Y$301, MATCH(ROUND(MIN(300,MAX(1,D1044)),0), FactorTable!$A$2:$A$301,0), Skills!M5+1)</f>
        <v/>
      </c>
      <c r="F1044">
        <f>IF(Skills!N5=TRUE,(Skills!L5/10)*(E1044/1000),Skills!L5/10)+Skills!O5</f>
        <v/>
      </c>
      <c r="G1044">
        <f>Skills!G5*IF(Skills!H5&gt;0,INT(IF(Inputs!$B$39="pvp",MIN(Skills!I5,15),Skills!I5)/Skills!H5+0.000000001),1)</f>
        <v/>
      </c>
      <c r="H1044">
        <f>1-(1-Skills!J5/100)^Skills!K5</f>
        <v/>
      </c>
      <c r="I1044" t="inlineStr">
        <is>
          <t>1</t>
        </is>
      </c>
      <c r="J1044">
        <f>(((Inputs!$B$6+1)*(1+Inputs!$B$7/100))+(((Inputs!$B$13*(1+Inputs!$B$14/100))-(Inputs!$B$13*(1+Inputs!$B$14/100)))+0.25*(Inputs!$B$15-Inputs!$B$15))*(1+Inputs!$B$7/100))*(F1044/100)</f>
        <v/>
      </c>
      <c r="K1044">
        <f>J1044*(1+(((Inputs!$B$13+IF(Inputs!$B$3&gt;=38,(10*INDEX(FactorTable!$B$2:$Y$301, MATCH(ROUND(MIN(300,MAX(1,Inputs!$B$3)),0), FactorTable!$A$2:$A$301,0), 23)/1000)/100*(Inputs!$B$8*(1+Inputs!$B$9/100)),0))*(1+Inputs!$B$14/100))*0.01+Inputs!$B$15*0.0025)/100)*(1+Inputs!$B$16/100)*(1+Inputs!$B$17/100)*(5000/(6000+Inputs!$B$43*(1-(Inputs!$B$20+0)/100)))*(1+(Inputs!$B$25+((C1064=TRUE)*(F1064-Calc!F25))+((C1065=TRUE)*(F1065-Calc!F26))+B1074)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gt;=100),MIN(100,((Inputs!$B$10+0+B1068+(ArtifactsInput!$M$24-ArtifactsInput!$M$24)*CHOOSE(ArtifactsInput!$N$24+1,10,12,14,16,18,20)+IF(ArtifactsInput!$M$10,CHOOSE(ArtifactsInput!$N$10+1,15,18,21,24,27,30)*(IF(Inputs!$B$39="pvp",MIN(15,15)/15,IF(AND(Inputs!$B$39&lt;&gt;"pvp",Inputs!$B$44&gt;0),MIN(15,Inputs!$B$44)/(Inputs!$B$44),0))),0)))-100),0))*CHOOSE(ArtifactsInput!$N$42+1,0.6,0.72,0.84,0.96,1.08,1.2))),Inputs!$B$19+((C1062=TRUE)*(F1062-Calc!F23))+(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gt;=100),CHOOSE(ArtifactsInput!$N$42+1,40,48,56,64,72,80),0))))/100)*((1+(((C1052=TRUE)*F1052*IF(AND(Inputs!$B$39&lt;&gt;"pvp",Inputs!$B$44&gt;0),(((R1052-1)*MIN((Skills!T13*(1+Inputs!$B$35/100)),(1/Q1052))+MIN((Skills!T13*(1+Inputs!$B$35/100)),MAX(0,Inputs!$B$44-((R1052-1)*(1/Q1052)))))/Inputs!$B$44),IF(Inputs!$B$39="pvp",MIN((Skills!T13*(1+Inputs!$B$35/100)),15)/15,MIN(1,(Skills!T13*(1+Inputs!$B$35/100))/(1/Q1052)))))+((C1053=TRUE)*F1053*IF(AND(Inputs!$B$39&lt;&gt;"pvp",Inputs!$B$44&gt;0),(((R1053-1)*MIN((Skills!T14*(1+Inputs!$B$35/100)),(1/Q1053))+MIN((Skills!T14*(1+Inputs!$B$35/100)),MAX(0,Inputs!$B$44-((R1053-1)*(1/Q1053)))))/Inputs!$B$44),IF(Inputs!$B$39="pvp",MIN((Skills!T14*(1+Inputs!$B$35/100)),15)/15,MIN(1,(Skills!T14*(1+Inputs!$B$35/100))/(1/Q1053)))))+((C1054=TRUE)*F1054*IF(AND(Inputs!$B$39&lt;&gt;"pvp",Inputs!$B$44&gt;0),(((R1054-1)*MIN((Skills!T15*(1+Inputs!$B$35/100)),(1/Q1054))+MIN((Skills!T15*(1+Inputs!$B$35/100)),MAX(0,Inputs!$B$44-((R1054-1)*(1/Q1054)))))/Inputs!$B$44),IF(Inputs!$B$39="pvp",MIN((Skills!T15*(1+Inputs!$B$35/100)),15)/15,MIN(1,(Skills!T15*(1+Inputs!$B$35/100))/(1/Q1054)))))+((C1055=TRUE)*F1055*IF(AND(Inputs!$B$39&lt;&gt;"pvp",Inputs!$B$44&gt;0),(((R1055-1)*MIN((Skills!T16*(1+Inputs!$B$35/100)),(1/Q1055))+MIN((Skills!T16*(1+Inputs!$B$35/100)),MAX(0,Inputs!$B$44-((R1055-1)*(1/Q1055)))))/Inputs!$B$44),IF(Inputs!$B$39="pvp",MIN((Skills!T16*(1+Inputs!$B$35/100)),15)/15,MIN(1,(Skills!T16*(1+Inputs!$B$35/100))/(1/Q1055)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1044)</f>
        <v/>
      </c>
      <c r="L1044">
        <f>K1044*(MIN(Inputs!$B$23+((C1061=TRUE)*(F1061-Calc!F22)),(Inputs!$B$24+((C1063=TRUE)*(F1063-Calc!F24))+(IF(ArtifactsInput!$M$15,CHOOSE(ArtifactsInput!$N$15+1,25,30,35,40,45,50)/100*(Inputs!$B$12-Inputs!$B$12),0))))/100+(Inputs!$B$24+((C1063=TRUE)*(F1063-Calc!F24))+(IF(ArtifactsInput!$M$15,CHOOSE(ArtifactsInput!$N$15+1,25,30,35,40,45,50)/100*(Inputs!$B$12-Inputs!$B$12),0)))/100)/2</f>
        <v/>
      </c>
      <c r="M1044">
        <f>L1044*(1+(Inputs!$B$11+0+B1073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044">
        <f>L1044*(1-MIN((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1044*(MIN((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44">
        <f>(1-Summary!$B$11)*T1044+Summary!$B$11*V1044</f>
        <v/>
      </c>
      <c r="P1044">
        <f>IF(B1078=0,0,O1044/B1078)</f>
        <v/>
      </c>
      <c r="Q1044">
        <f>IFERROR(1/IF(Inputs!$B$39="pvp",15,MAX(0.1,Skills!D5-IF(TRUE=TRUE,Inputs!$B$33,0))),0)</f>
        <v/>
      </c>
      <c r="R1044">
        <f>IF(AND(Inputs!$B$39&lt;&gt;"pvp",Inputs!$B$44&gt;0),IF(MAX(0,Inputs!$B$44-B1075)&lt;=0,0,(INT(MAX(0,Inputs!$B$44-B1075)/IF(Inputs!$B$39="pvp",15,MAX(0.1,Skills!D5-IF(TRUE=TRUE,Inputs!$B$33,0))))+1)),0)</f>
        <v/>
      </c>
      <c r="S1044">
        <f>IFERROR(O1044/N1044,0)</f>
        <v/>
      </c>
      <c r="T1044">
        <f>IF(C1044,(H1044*N1044*IF(AND(Inputs!$B$39&lt;&gt;"pvp",Inputs!$B$44&gt;0),((Skills!G5*((R1044-1)*IF(Skills!H5&gt;0,INT(Skills!I5/Skills!H5+0.000000001),1)+IF(Skills!H5&gt;0,INT(MIN(Skills!I5,MAX(0,MAX(0,Inputs!$B$44-B1075)-((R1044-1)*IF(Inputs!$B$39="pvp",15,MAX(0.1,Skills!D5-IF(TRUE=TRUE,Inputs!$B$33,0))))))/Skills!H5+0.000000001),1)))/Inputs!$B$44),G1044*Q1044))*IF(Inputs!$B$39="pvp",1,1+(Inputs!$B$21+0+Skills!P5+((C1056=TRUE)*F1056*IF(AND(Inputs!$B$39&lt;&gt;"pvp",Inputs!$B$44&gt;0),(((R1056-1)*MIN((Skills!T17*(1+Inputs!$B$35/100)),(1/Q1056))+MIN((Skills!T17*(1+Inputs!$B$35/100)),MAX(0,Inputs!$B$44-((R1056-1)*(1/Q1056)))))/Inputs!$B$44),IF(Inputs!$B$39="pvp",MIN((Skills!T17*(1+Inputs!$B$35/100)),15)/15,MIN(1,(Skills!T17*(1+Inputs!$B$35/100))/(1/Q1056)))))+((C1044=TRUE)*IF(Inputs!$B$3&gt;=126,10*MIN(1,15*Q1044),0))+((C1053=TRUE)*IF(Inputs!$B$39="pvp",20,(1-Summary!$B$11)*(20)+Summary!$B$11*(0))*IF(AND(Inputs!$B$39&lt;&gt;"pvp",Inputs!$B$44&gt;0),(((R1053-1)*MIN((Skills!T14*(1+Inputs!$B$35/100)),(1/Q1053))+MIN((Skills!T14*(1+Inputs!$B$35/100)),MAX(0,Inputs!$B$44-((R1053-1)*(1/Q1053)))))/Inputs!$B$44),IF(Inputs!$B$39="pvp",MIN((Skills!T14*(1+Inputs!$B$35/100)),15)/15,MIN(1,(Skills!T14*(1+Inputs!$B$35/100))/(1/Q1053)))))+((C1052=TRUE)*IF(Inputs!$B$3&gt;=82,IF(Inputs!$B$39="pvp",20,(1-Summary!$B$11)*(20)+Summary!$B$11*(0)),0)*IF(AND(Inputs!$B$39&lt;&gt;"pvp",Inputs!$B$44&gt;0),(((R1052-1)*MIN((Skills!T13*(1+Inputs!$B$35/100)),(1/Q1052))+MIN((Skills!T13*(1+Inputs!$B$35/100)),MAX(0,Inputs!$B$44-((R1052-1)*(1/Q1052)))))/Inputs!$B$44),IF(Inputs!$B$39="pvp",MIN((Skills!T13*(1+Inputs!$B$35/100)),15)/15,MIN(1,(Skills!T13*(1+Inputs!$B$35/100))/(1/Q1052)))))+(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1044*(1-MIN(100,(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1044*(MIN(100,(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1044*(1-MIN(100,(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1044*(MIN(100,(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44">
        <f>IF(C1044,(H1044*N1044*IF(AND(Inputs!$B$39&lt;&gt;"pvp",Inputs!$B$44&gt;0),((Skills!G5*((R1044-1)*IF(Skills!H5&gt;0,INT(Skills!I5/Skills!H5+0.000000001),1)+IF(Skills!H5&gt;0,INT(MIN(Skills!I5,MAX(0,MAX(0,Inputs!$B$44-B1075)-((R1044-1)*IF(Inputs!$B$39="pvp",15,MAX(0.1,Skills!D5-IF(TRUE=TRUE,Inputs!$B$33,0))))))/Skills!H5+0.000000001),1)))/Inputs!$B$44),G1044*Q1044))*IF(Inputs!$B$39="pvp",1,(1+(Inputs!$B$22+Skills!Q5+((C1056=TRUE)*F1056*IF(AND(Inputs!$B$39&lt;&gt;"pvp",Inputs!$B$44&gt;0),(((R1056-1)*MIN((Skills!T17*(1+Inputs!$B$35/100)),(1/Q1056))+MIN((Skills!T17*(1+Inputs!$B$35/100)),MAX(0,Inputs!$B$44-((R1056-1)*(1/Q1056)))))/Inputs!$B$44),IF(Inputs!$B$39="pvp",MIN((Skills!T17*(1+Inputs!$B$35/100)),15)/15,MIN(1,(Skills!T17*(1+Inputs!$B$35/100))/(1/Q1056)))))+((C1044=TRUE)*IF(Inputs!$B$3&gt;=126,10*MIN(1,15*Q1044),0))+((C1053=TRUE)*IF(Inputs!$B$39="pvp",20,(1-Summary!$B$11)*(20)+Summary!$B$11*(0))*IF(AND(Inputs!$B$39&lt;&gt;"pvp",Inputs!$B$44&gt;0),(((R1053-1)*MIN((Skills!T14*(1+Inputs!$B$35/100)),(1/Q1053))+MIN((Skills!T14*(1+Inputs!$B$35/100)),MAX(0,Inputs!$B$44-((R1053-1)*(1/Q1053)))))/Inputs!$B$44),IF(Inputs!$B$39="pvp",MIN((Skills!T14*(1+Inputs!$B$35/100)),15)/15,MIN(1,(Skills!T14*(1+Inputs!$B$35/100))/(1/Q1053)))))+((C1052=TRUE)*IF(Inputs!$B$3&gt;=82,IF(Inputs!$B$39="pvp",20,(1-Summary!$B$11)*(20)+Summary!$B$11*(0)),0)*IF(AND(Inputs!$B$39&lt;&gt;"pvp",Inputs!$B$44&gt;0),(((R1052-1)*MIN((Skills!T13*(1+Inputs!$B$35/100)),(1/Q1052))+MIN((Skills!T13*(1+Inputs!$B$35/100)),MAX(0,Inputs!$B$44-((R1052-1)*(1/Q1052)))))/Inputs!$B$44),IF(Inputs!$B$39="pvp",MIN((Skills!T13*(1+Inputs!$B$35/100)),15)/15,MIN(1,(Skills!T13*(1+Inputs!$B$35/100))/(1/Q1052)))))+(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45">
      <c r="A1045">
        <f>Skills!A6</f>
        <v/>
      </c>
      <c r="B1045">
        <f>Skills!B6</f>
        <v/>
      </c>
      <c r="C1045">
        <f>Inputs!$B$3&gt;=103</f>
        <v/>
      </c>
      <c r="D1045">
        <f>IF(Skills!C6=1,60+Inputs!$B$26+Inputs!$B$30,IF(Skills!C6=2,90+Inputs!$B$27+Inputs!$B$30,IF(Skills!C6=3,120+Inputs!$B$28+Inputs!$B$30,MAX(0,(Inputs!$B$3-100)*3)+Inputs!$B$29+Inputs!$B$30)))</f>
        <v/>
      </c>
      <c r="E1045">
        <f>INDEX(FactorTable!$B$2:$Y$301, MATCH(ROUND(MIN(300,MAX(1,D1045)),0), FactorTable!$A$2:$A$301,0), Skills!M6+1)</f>
        <v/>
      </c>
      <c r="F1045">
        <f>IF(Skills!N6=TRUE,(Skills!L6/10)*(E1045/1000),Skills!L6/10)+Skills!O6</f>
        <v/>
      </c>
      <c r="G1045">
        <f>Skills!G6*IF(Skills!H6&gt;0,INT(IF(Inputs!$B$39="pvp",MIN(Skills!I6,15),Skills!I6)/Skills!H6+0.000000001),1)</f>
        <v/>
      </c>
      <c r="H1045">
        <f>1-(1-Skills!J6/100)^Skills!K6</f>
        <v/>
      </c>
      <c r="I1045" t="inlineStr">
        <is>
          <t>1</t>
        </is>
      </c>
      <c r="J1045">
        <f>(((Inputs!$B$6+1)*(1+Inputs!$B$7/100))+(((Inputs!$B$13*(1+Inputs!$B$14/100))-(Inputs!$B$13*(1+Inputs!$B$14/100)))+0.25*(Inputs!$B$15-Inputs!$B$15))*(1+Inputs!$B$7/100))*(F1045/100)</f>
        <v/>
      </c>
      <c r="K1045">
        <f>J1045*(1+(((Inputs!$B$13+IF(Inputs!$B$3&gt;=38,(10*INDEX(FactorTable!$B$2:$Y$301, MATCH(ROUND(MIN(300,MAX(1,Inputs!$B$3)),0), FactorTable!$A$2:$A$301,0), 23)/1000)/100*(Inputs!$B$8*(1+Inputs!$B$9/100)),0))*(1+Inputs!$B$14/100))*0.01+Inputs!$B$15*0.0025)/100)*(1+Inputs!$B$16/100)*(1+Inputs!$B$17/100)*(5000/(6000+Inputs!$B$43*(1-(Inputs!$B$20+0)/100)))*(1+(Inputs!$B$25+((C1064=TRUE)*(F1064-Calc!F25))+((C1065=TRUE)*(F1065-Calc!F26))+B1074)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gt;=100),MIN(100,((Inputs!$B$10+0+B1068+(ArtifactsInput!$M$24-ArtifactsInput!$M$24)*CHOOSE(ArtifactsInput!$N$24+1,10,12,14,16,18,20)+IF(ArtifactsInput!$M$10,CHOOSE(ArtifactsInput!$N$10+1,15,18,21,24,27,30)*(IF(Inputs!$B$39="pvp",MIN(15,15)/15,IF(AND(Inputs!$B$39&lt;&gt;"pvp",Inputs!$B$44&gt;0),MIN(15,Inputs!$B$44)/(Inputs!$B$44),0))),0)))-100),0))*CHOOSE(ArtifactsInput!$N$42+1,0.6,0.72,0.84,0.96,1.08,1.2))),Inputs!$B$19+((C1062=TRUE)*(F1062-Calc!F23))+(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gt;=100),CHOOSE(ArtifactsInput!$N$42+1,40,48,56,64,72,80),0))))/100)*((1+(((C1052=TRUE)*F1052*IF(AND(Inputs!$B$39&lt;&gt;"pvp",Inputs!$B$44&gt;0),(((R1052-1)*MIN((Skills!T13*(1+Inputs!$B$35/100)),(1/Q1052))+MIN((Skills!T13*(1+Inputs!$B$35/100)),MAX(0,Inputs!$B$44-((R1052-1)*(1/Q1052)))))/Inputs!$B$44),IF(Inputs!$B$39="pvp",MIN((Skills!T13*(1+Inputs!$B$35/100)),15)/15,MIN(1,(Skills!T13*(1+Inputs!$B$35/100))/(1/Q1052)))))+((C1053=TRUE)*F1053*IF(AND(Inputs!$B$39&lt;&gt;"pvp",Inputs!$B$44&gt;0),(((R1053-1)*MIN((Skills!T14*(1+Inputs!$B$35/100)),(1/Q1053))+MIN((Skills!T14*(1+Inputs!$B$35/100)),MAX(0,Inputs!$B$44-((R1053-1)*(1/Q1053)))))/Inputs!$B$44),IF(Inputs!$B$39="pvp",MIN((Skills!T14*(1+Inputs!$B$35/100)),15)/15,MIN(1,(Skills!T14*(1+Inputs!$B$35/100))/(1/Q1053)))))+((C1054=TRUE)*F1054*IF(AND(Inputs!$B$39&lt;&gt;"pvp",Inputs!$B$44&gt;0),(((R1054-1)*MIN((Skills!T15*(1+Inputs!$B$35/100)),(1/Q1054))+MIN((Skills!T15*(1+Inputs!$B$35/100)),MAX(0,Inputs!$B$44-((R1054-1)*(1/Q1054)))))/Inputs!$B$44),IF(Inputs!$B$39="pvp",MIN((Skills!T15*(1+Inputs!$B$35/100)),15)/15,MIN(1,(Skills!T15*(1+Inputs!$B$35/100))/(1/Q1054)))))+((C1055=TRUE)*F1055*IF(AND(Inputs!$B$39&lt;&gt;"pvp",Inputs!$B$44&gt;0),(((R1055-1)*MIN((Skills!T16*(1+Inputs!$B$35/100)),(1/Q1055))+MIN((Skills!T16*(1+Inputs!$B$35/100)),MAX(0,Inputs!$B$44-((R1055-1)*(1/Q1055)))))/Inputs!$B$44),IF(Inputs!$B$39="pvp",MIN((Skills!T16*(1+Inputs!$B$35/100)),15)/15,MIN(1,(Skills!T16*(1+Inputs!$B$35/100))/(1/Q1055)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1045)</f>
        <v/>
      </c>
      <c r="L1045">
        <f>K1045*(MIN(Inputs!$B$23+((C1061=TRUE)*(F1061-Calc!F22)),(Inputs!$B$24+((C1063=TRUE)*(F1063-Calc!F24))+(IF(ArtifactsInput!$M$15,CHOOSE(ArtifactsInput!$N$15+1,25,30,35,40,45,50)/100*(Inputs!$B$12-Inputs!$B$12),0))))/100+(Inputs!$B$24+((C1063=TRUE)*(F1063-Calc!F24))+(IF(ArtifactsInput!$M$15,CHOOSE(ArtifactsInput!$N$15+1,25,30,35,40,45,50)/100*(Inputs!$B$12-Inputs!$B$12),0)))/100)/2</f>
        <v/>
      </c>
      <c r="M1045">
        <f>L1045*(1+(Inputs!$B$11+0+B1073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045">
        <f>L1045*(1-MIN((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1045*(MIN((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45">
        <f>(1-Summary!$B$11)*T1045+Summary!$B$11*V1045</f>
        <v/>
      </c>
      <c r="P1045">
        <f>IF(B1078=0,0,O1045/B1078)</f>
        <v/>
      </c>
      <c r="Q1045">
        <f>IFERROR(1/IF(Inputs!$B$39="pvp",15,MAX(0.1,Skills!D6-IF(TRUE=TRUE,Inputs!$B$33,0))),0)</f>
        <v/>
      </c>
      <c r="R1045">
        <f>IF(AND(Inputs!$B$39&lt;&gt;"pvp",Inputs!$B$44&gt;0),IF(MAX(0,Inputs!$B$44-B1075)&lt;=0,0,(INT(MAX(0,Inputs!$B$44-B1075)/IF(Inputs!$B$39="pvp",15,MAX(0.1,Skills!D6-IF(TRUE=TRUE,Inputs!$B$33,0))))+1)),0)</f>
        <v/>
      </c>
      <c r="S1045">
        <f>IFERROR(O1045/N1045,0)</f>
        <v/>
      </c>
      <c r="T1045">
        <f>IF(C1045,(H1045*N1045*IF(AND(Inputs!$B$39&lt;&gt;"pvp",Inputs!$B$44&gt;0),((Skills!G6*((R1045-1)*IF(Skills!H6&gt;0,INT(Skills!I6/Skills!H6+0.000000001),1)+IF(Skills!H6&gt;0,INT(MIN(Skills!I6,MAX(0,MAX(0,Inputs!$B$44-B1075)-((R1045-1)*IF(Inputs!$B$39="pvp",15,MAX(0.1,Skills!D6-IF(TRUE=TRUE,Inputs!$B$33,0))))))/Skills!H6+0.000000001),1)))/Inputs!$B$44),G1045*Q1045))*IF(Inputs!$B$39="pvp",1,1+(Inputs!$B$21+0+Skills!P6+((C1056=TRUE)*F1056*IF(AND(Inputs!$B$39&lt;&gt;"pvp",Inputs!$B$44&gt;0),(((R1056-1)*MIN((Skills!T17*(1+Inputs!$B$35/100)),(1/Q1056))+MIN((Skills!T17*(1+Inputs!$B$35/100)),MAX(0,Inputs!$B$44-((R1056-1)*(1/Q1056)))))/Inputs!$B$44),IF(Inputs!$B$39="pvp",MIN((Skills!T17*(1+Inputs!$B$35/100)),15)/15,MIN(1,(Skills!T17*(1+Inputs!$B$35/100))/(1/Q1056)))))+((C1044=TRUE)*IF(Inputs!$B$3&gt;=126,10*MIN(1,15*Q1044),0))+((C1053=TRUE)*IF(Inputs!$B$39="pvp",20,(1-Summary!$B$11)*(20)+Summary!$B$11*(0))*IF(AND(Inputs!$B$39&lt;&gt;"pvp",Inputs!$B$44&gt;0),(((R1053-1)*MIN((Skills!T14*(1+Inputs!$B$35/100)),(1/Q1053))+MIN((Skills!T14*(1+Inputs!$B$35/100)),MAX(0,Inputs!$B$44-((R1053-1)*(1/Q1053)))))/Inputs!$B$44),IF(Inputs!$B$39="pvp",MIN((Skills!T14*(1+Inputs!$B$35/100)),15)/15,MIN(1,(Skills!T14*(1+Inputs!$B$35/100))/(1/Q1053)))))+((C1052=TRUE)*IF(Inputs!$B$3&gt;=82,IF(Inputs!$B$39="pvp",20,(1-Summary!$B$11)*(20)+Summary!$B$11*(0)),0)*IF(AND(Inputs!$B$39&lt;&gt;"pvp",Inputs!$B$44&gt;0),(((R1052-1)*MIN((Skills!T13*(1+Inputs!$B$35/100)),(1/Q1052))+MIN((Skills!T13*(1+Inputs!$B$35/100)),MAX(0,Inputs!$B$44-((R1052-1)*(1/Q1052)))))/Inputs!$B$44),IF(Inputs!$B$39="pvp",MIN((Skills!T13*(1+Inputs!$B$35/100)),15)/15,MIN(1,(Skills!T13*(1+Inputs!$B$35/100))/(1/Q1052)))))+(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1045*(1-MIN(100,(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1045*(MIN(100,(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1045*(1-MIN(100,(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1045*(MIN(100,(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45">
        <f>IF(C1045,(H1045*N1045*IF(AND(Inputs!$B$39&lt;&gt;"pvp",Inputs!$B$44&gt;0),((Skills!G6*((R1045-1)*IF(Skills!H6&gt;0,INT(Skills!I6/Skills!H6+0.000000001),1)+IF(Skills!H6&gt;0,INT(MIN(Skills!I6,MAX(0,MAX(0,Inputs!$B$44-B1075)-((R1045-1)*IF(Inputs!$B$39="pvp",15,MAX(0.1,Skills!D6-IF(TRUE=TRUE,Inputs!$B$33,0))))))/Skills!H6+0.000000001),1)))/Inputs!$B$44),G1045*Q1045))*IF(Inputs!$B$39="pvp",1,(1+(Inputs!$B$22+Skills!Q6+((C1056=TRUE)*F1056*IF(AND(Inputs!$B$39&lt;&gt;"pvp",Inputs!$B$44&gt;0),(((R1056-1)*MIN((Skills!T17*(1+Inputs!$B$35/100)),(1/Q1056))+MIN((Skills!T17*(1+Inputs!$B$35/100)),MAX(0,Inputs!$B$44-((R1056-1)*(1/Q1056)))))/Inputs!$B$44),IF(Inputs!$B$39="pvp",MIN((Skills!T17*(1+Inputs!$B$35/100)),15)/15,MIN(1,(Skills!T17*(1+Inputs!$B$35/100))/(1/Q1056)))))+((C1044=TRUE)*IF(Inputs!$B$3&gt;=126,10*MIN(1,15*Q1044),0))+((C1053=TRUE)*IF(Inputs!$B$39="pvp",20,(1-Summary!$B$11)*(20)+Summary!$B$11*(0))*IF(AND(Inputs!$B$39&lt;&gt;"pvp",Inputs!$B$44&gt;0),(((R1053-1)*MIN((Skills!T14*(1+Inputs!$B$35/100)),(1/Q1053))+MIN((Skills!T14*(1+Inputs!$B$35/100)),MAX(0,Inputs!$B$44-((R1053-1)*(1/Q1053)))))/Inputs!$B$44),IF(Inputs!$B$39="pvp",MIN((Skills!T14*(1+Inputs!$B$35/100)),15)/15,MIN(1,(Skills!T14*(1+Inputs!$B$35/100))/(1/Q1053)))))+((C1052=TRUE)*IF(Inputs!$B$3&gt;=82,IF(Inputs!$B$39="pvp",20,(1-Summary!$B$11)*(20)+Summary!$B$11*(0)),0)*IF(AND(Inputs!$B$39&lt;&gt;"pvp",Inputs!$B$44&gt;0),(((R1052-1)*MIN((Skills!T13*(1+Inputs!$B$35/100)),(1/Q1052))+MIN((Skills!T13*(1+Inputs!$B$35/100)),MAX(0,Inputs!$B$44-((R1052-1)*(1/Q1052)))))/Inputs!$B$44),IF(Inputs!$B$39="pvp",MIN((Skills!T13*(1+Inputs!$B$35/100)),15)/15,MIN(1,(Skills!T13*(1+Inputs!$B$35/100))/(1/Q1052)))))+(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46">
      <c r="A1046">
        <f>Skills!A7</f>
        <v/>
      </c>
      <c r="B1046">
        <f>Skills!B7</f>
        <v/>
      </c>
      <c r="C1046">
        <f>Inputs!$B$3&gt;=40</f>
        <v/>
      </c>
      <c r="D1046">
        <f>IF(Skills!C7=1,60+Inputs!$B$26+Inputs!$B$30,IF(Skills!C7=2,90+Inputs!$B$27+Inputs!$B$30,IF(Skills!C7=3,120+Inputs!$B$28+Inputs!$B$30,MAX(0,(Inputs!$B$3-100)*3)+Inputs!$B$29+Inputs!$B$30)))</f>
        <v/>
      </c>
      <c r="E1046">
        <f>INDEX(FactorTable!$B$2:$Y$301, MATCH(ROUND(MIN(300,MAX(1,D1046)),0), FactorTable!$A$2:$A$301,0), Skills!M7+1)</f>
        <v/>
      </c>
      <c r="F1046">
        <f>IF(Skills!N7=TRUE,(Skills!L7/10)*(E1046/1000),Skills!L7/10)+Skills!O7</f>
        <v/>
      </c>
      <c r="G1046">
        <f>Skills!G7*IF(Skills!H7&gt;0,INT(IF(Inputs!$B$39="pvp",MIN(Skills!I7,15),Skills!I7)/Skills!H7+0.000000001),1)</f>
        <v/>
      </c>
      <c r="H1046">
        <f>1-(1-Skills!J7/100)^Skills!K7</f>
        <v/>
      </c>
      <c r="I1046" t="inlineStr">
        <is>
          <t>1</t>
        </is>
      </c>
      <c r="J1046">
        <f>(((Inputs!$B$6+1)*(1+Inputs!$B$7/100))+(((Inputs!$B$13*(1+Inputs!$B$14/100))-(Inputs!$B$13*(1+Inputs!$B$14/100)))+0.25*(Inputs!$B$15-Inputs!$B$15))*(1+Inputs!$B$7/100))*(F1046/100)</f>
        <v/>
      </c>
      <c r="K1046">
        <f>J1046*(1+(((Inputs!$B$13+IF(Inputs!$B$3&gt;=38,(10*INDEX(FactorTable!$B$2:$Y$301, MATCH(ROUND(MIN(300,MAX(1,Inputs!$B$3)),0), FactorTable!$A$2:$A$301,0), 23)/1000)/100*(Inputs!$B$8*(1+Inputs!$B$9/100)),0))*(1+Inputs!$B$14/100))*0.01+Inputs!$B$15*0.0025)/100)*(1+Inputs!$B$16/100)*(1+Inputs!$B$17/100)*(5000/(6000+Inputs!$B$43*(1-(Inputs!$B$20+0)/100)))*(1+(Inputs!$B$25+((C1064=TRUE)*(F1064-Calc!F25))+((C1065=TRUE)*(F1065-Calc!F26))+B1074)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1050=TRUE,F1050,0)/100)*(1+(IF(Skills!A7="DARK_IMPALE",Inputs!$B$18+0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gt;=100),MIN(100,((Inputs!$B$10+0+B1068+(ArtifactsInput!$M$24-ArtifactsInput!$M$24)*CHOOSE(ArtifactsInput!$N$24+1,10,12,14,16,18,20)+IF(ArtifactsInput!$M$10,CHOOSE(ArtifactsInput!$N$10+1,15,18,21,24,27,30)*(IF(Inputs!$B$39="pvp",MIN(15,15)/15,IF(AND(Inputs!$B$39&lt;&gt;"pvp",Inputs!$B$44&gt;0),MIN(15,Inputs!$B$44)/(Inputs!$B$44),0))),0)))-100),0))*CHOOSE(ArtifactsInput!$N$42+1,0.6,0.72,0.84,0.96,1.08,1.2))),Inputs!$B$19+((C1062=TRUE)*(F1062-Calc!F23))+(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gt;=100),CHOOSE(ArtifactsInput!$N$42+1,40,48,56,64,72,80),0))))/100)*((1+(((C1052=TRUE)*F1052*IF(AND(Inputs!$B$39&lt;&gt;"pvp",Inputs!$B$44&gt;0),(((R1052-1)*MIN((Skills!T13*(1+Inputs!$B$35/100)),(1/Q1052))+MIN((Skills!T13*(1+Inputs!$B$35/100)),MAX(0,Inputs!$B$44-((R1052-1)*(1/Q1052)))))/Inputs!$B$44),IF(Inputs!$B$39="pvp",MIN((Skills!T13*(1+Inputs!$B$35/100)),15)/15,MIN(1,(Skills!T13*(1+Inputs!$B$35/100))/(1/Q1052)))))+((C1053=TRUE)*F1053*IF(AND(Inputs!$B$39&lt;&gt;"pvp",Inputs!$B$44&gt;0),(((R1053-1)*MIN((Skills!T14*(1+Inputs!$B$35/100)),(1/Q1053))+MIN((Skills!T14*(1+Inputs!$B$35/100)),MAX(0,Inputs!$B$44-((R1053-1)*(1/Q1053)))))/Inputs!$B$44),IF(Inputs!$B$39="pvp",MIN((Skills!T14*(1+Inputs!$B$35/100)),15)/15,MIN(1,(Skills!T14*(1+Inputs!$B$35/100))/(1/Q1053)))))+((C1054=TRUE)*F1054*IF(AND(Inputs!$B$39&lt;&gt;"pvp",Inputs!$B$44&gt;0),(((R1054-1)*MIN((Skills!T15*(1+Inputs!$B$35/100)),(1/Q1054))+MIN((Skills!T15*(1+Inputs!$B$35/100)),MAX(0,Inputs!$B$44-((R1054-1)*(1/Q1054)))))/Inputs!$B$44),IF(Inputs!$B$39="pvp",MIN((Skills!T15*(1+Inputs!$B$35/100)),15)/15,MIN(1,(Skills!T15*(1+Inputs!$B$35/100))/(1/Q1054)))))+((C1055=TRUE)*F1055*IF(AND(Inputs!$B$39&lt;&gt;"pvp",Inputs!$B$44&gt;0),(((R1055-1)*MIN((Skills!T16*(1+Inputs!$B$35/100)),(1/Q1055))+MIN((Skills!T16*(1+Inputs!$B$35/100)),MAX(0,Inputs!$B$44-((R1055-1)*(1/Q1055)))))/Inputs!$B$44),IF(Inputs!$B$39="pvp",MIN((Skills!T16*(1+Inputs!$B$35/100)),15)/15,MIN(1,(Skills!T16*(1+Inputs!$B$35/100))/(1/Q1055)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1046)</f>
        <v/>
      </c>
      <c r="L1046">
        <f>K1046*(MIN(Inputs!$B$23+((C1061=TRUE)*(F1061-Calc!F22)),(Inputs!$B$24+((C1063=TRUE)*(F1063-Calc!F24))+(IF(ArtifactsInput!$M$15,CHOOSE(ArtifactsInput!$N$15+1,25,30,35,40,45,50)/100*(Inputs!$B$12-Inputs!$B$12),0))))/100+(Inputs!$B$24+((C1063=TRUE)*(F1063-Calc!F24))+(IF(ArtifactsInput!$M$15,CHOOSE(ArtifactsInput!$N$15+1,25,30,35,40,45,50)/100*(Inputs!$B$12-Inputs!$B$12),0)))/100)/2</f>
        <v/>
      </c>
      <c r="M1046">
        <f>L1046*(1+(Inputs!$B$11+0+B1073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046">
        <f>L1046*(1-MIN((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1046*(MIN((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46">
        <f>(1-Summary!$B$11)*T1046+Summary!$B$11*V1046</f>
        <v/>
      </c>
      <c r="P1046">
        <f>IF(B1078=0,0,O1046/B1078)</f>
        <v/>
      </c>
      <c r="Q1046">
        <f>IFERROR(1/IF(Inputs!$B$39="pvp",15,MAX(0.1,Skills!D7-IF(TRUE=TRUE,Inputs!$B$33,0))),0)</f>
        <v/>
      </c>
      <c r="R1046">
        <f>IF(AND(Inputs!$B$39&lt;&gt;"pvp",Inputs!$B$44&gt;0),IF(MAX(0,Inputs!$B$44-B1075)&lt;=0,0,(INT(MAX(0,Inputs!$B$44-B1075)/IF(Inputs!$B$39="pvp",15,MAX(0.1,Skills!D7-IF(TRUE=TRUE,Inputs!$B$33,0))))+1)),0)</f>
        <v/>
      </c>
      <c r="S1046">
        <f>IFERROR(O1046/N1046,0)</f>
        <v/>
      </c>
      <c r="T1046">
        <f>IF(C1046,(H1046*N1046*IF(AND(Inputs!$B$39&lt;&gt;"pvp",Inputs!$B$44&gt;0),((Skills!G7*((R1046-1)*IF(Skills!H7&gt;0,INT(Skills!I7/Skills!H7+0.000000001),1)+IF(Skills!H7&gt;0,INT(MIN(Skills!I7,MAX(0,MAX(0,Inputs!$B$44-B1075)-((R1046-1)*IF(Inputs!$B$39="pvp",15,MAX(0.1,Skills!D7-IF(TRUE=TRUE,Inputs!$B$33,0))))))/Skills!H7+0.000000001),1)))/Inputs!$B$44),G1046*Q1046))*IF(Inputs!$B$39="pvp",1,1+(Inputs!$B$21+0+Skills!P7+((C1056=TRUE)*F1056*IF(AND(Inputs!$B$39&lt;&gt;"pvp",Inputs!$B$44&gt;0),(((R1056-1)*MIN((Skills!T17*(1+Inputs!$B$35/100)),(1/Q1056))+MIN((Skills!T17*(1+Inputs!$B$35/100)),MAX(0,Inputs!$B$44-((R1056-1)*(1/Q1056)))))/Inputs!$B$44),IF(Inputs!$B$39="pvp",MIN((Skills!T17*(1+Inputs!$B$35/100)),15)/15,MIN(1,(Skills!T17*(1+Inputs!$B$35/100))/(1/Q1056)))))+((C1044=TRUE)*IF(Inputs!$B$3&gt;=126,10*MIN(1,15*Q1044),0))+((C1053=TRUE)*IF(Inputs!$B$39="pvp",20,(1-Summary!$B$11)*(20)+Summary!$B$11*(0))*IF(AND(Inputs!$B$39&lt;&gt;"pvp",Inputs!$B$44&gt;0),(((R1053-1)*MIN((Skills!T14*(1+Inputs!$B$35/100)),(1/Q1053))+MIN((Skills!T14*(1+Inputs!$B$35/100)),MAX(0,Inputs!$B$44-((R1053-1)*(1/Q1053)))))/Inputs!$B$44),IF(Inputs!$B$39="pvp",MIN((Skills!T14*(1+Inputs!$B$35/100)),15)/15,MIN(1,(Skills!T14*(1+Inputs!$B$35/100))/(1/Q1053)))))+((C1052=TRUE)*IF(Inputs!$B$3&gt;=82,IF(Inputs!$B$39="pvp",20,(1-Summary!$B$11)*(20)+Summary!$B$11*(0)),0)*IF(AND(Inputs!$B$39&lt;&gt;"pvp",Inputs!$B$44&gt;0),(((R1052-1)*MIN((Skills!T13*(1+Inputs!$B$35/100)),(1/Q1052))+MIN((Skills!T13*(1+Inputs!$B$35/100)),MAX(0,Inputs!$B$44-((R1052-1)*(1/Q1052)))))/Inputs!$B$44),IF(Inputs!$B$39="pvp",MIN((Skills!T13*(1+Inputs!$B$35/100)),15)/15,MIN(1,(Skills!T13*(1+Inputs!$B$35/100))/(1/Q1052)))))+(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1046*(1-MIN(100,(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1046*(MIN(100,(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1046*(1-MIN(100,(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1046*(MIN(100,(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46">
        <f>IF(C1046,(H1046*N1046*IF(AND(Inputs!$B$39&lt;&gt;"pvp",Inputs!$B$44&gt;0),((Skills!G7*((R1046-1)*IF(Skills!H7&gt;0,INT(Skills!I7/Skills!H7+0.000000001),1)+IF(Skills!H7&gt;0,INT(MIN(Skills!I7,MAX(0,MAX(0,Inputs!$B$44-B1075)-((R1046-1)*IF(Inputs!$B$39="pvp",15,MAX(0.1,Skills!D7-IF(TRUE=TRUE,Inputs!$B$33,0))))))/Skills!H7+0.000000001),1)))/Inputs!$B$44),G1046*Q1046))*IF(Inputs!$B$39="pvp",1,(1+(Inputs!$B$22+Skills!Q7+((C1056=TRUE)*F1056*IF(AND(Inputs!$B$39&lt;&gt;"pvp",Inputs!$B$44&gt;0),(((R1056-1)*MIN((Skills!T17*(1+Inputs!$B$35/100)),(1/Q1056))+MIN((Skills!T17*(1+Inputs!$B$35/100)),MAX(0,Inputs!$B$44-((R1056-1)*(1/Q1056)))))/Inputs!$B$44),IF(Inputs!$B$39="pvp",MIN((Skills!T17*(1+Inputs!$B$35/100)),15)/15,MIN(1,(Skills!T17*(1+Inputs!$B$35/100))/(1/Q1056)))))+((C1044=TRUE)*IF(Inputs!$B$3&gt;=126,10*MIN(1,15*Q1044),0))+((C1053=TRUE)*IF(Inputs!$B$39="pvp",20,(1-Summary!$B$11)*(20)+Summary!$B$11*(0))*IF(AND(Inputs!$B$39&lt;&gt;"pvp",Inputs!$B$44&gt;0),(((R1053-1)*MIN((Skills!T14*(1+Inputs!$B$35/100)),(1/Q1053))+MIN((Skills!T14*(1+Inputs!$B$35/100)),MAX(0,Inputs!$B$44-((R1053-1)*(1/Q1053)))))/Inputs!$B$44),IF(Inputs!$B$39="pvp",MIN((Skills!T14*(1+Inputs!$B$35/100)),15)/15,MIN(1,(Skills!T14*(1+Inputs!$B$35/100))/(1/Q1053)))))+((C1052=TRUE)*IF(Inputs!$B$3&gt;=82,IF(Inputs!$B$39="pvp",20,(1-Summary!$B$11)*(20)+Summary!$B$11*(0)),0)*IF(AND(Inputs!$B$39&lt;&gt;"pvp",Inputs!$B$44&gt;0),(((R1052-1)*MIN((Skills!T13*(1+Inputs!$B$35/100)),(1/Q1052))+MIN((Skills!T13*(1+Inputs!$B$35/100)),MAX(0,Inputs!$B$44-((R1052-1)*(1/Q1052)))))/Inputs!$B$44),IF(Inputs!$B$39="pvp",MIN((Skills!T13*(1+Inputs!$B$35/100)),15)/15,MIN(1,(Skills!T13*(1+Inputs!$B$35/100))/(1/Q1052)))))+(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47">
      <c r="A1047">
        <f>Skills!A8</f>
        <v/>
      </c>
      <c r="B1047">
        <f>Skills!B8</f>
        <v/>
      </c>
      <c r="C1047">
        <f>Inputs!$B$3&gt;=75</f>
        <v/>
      </c>
      <c r="D1047">
        <f>IF(Skills!C8=1,60+Inputs!$B$26+Inputs!$B$30,IF(Skills!C8=2,90+Inputs!$B$27+Inputs!$B$30,IF(Skills!C8=3,120+Inputs!$B$28+Inputs!$B$30,MAX(0,(Inputs!$B$3-100)*3)+Inputs!$B$29+Inputs!$B$30)))</f>
        <v/>
      </c>
      <c r="E1047">
        <f>INDEX(FactorTable!$B$2:$Y$301, MATCH(ROUND(MIN(300,MAX(1,D1047)),0), FactorTable!$A$2:$A$301,0), Skills!M8+1)</f>
        <v/>
      </c>
      <c r="F1047">
        <f>IF(Skills!N8=TRUE,(Skills!L8/10)*(E1047/1000),Skills!L8/10)+Skills!O8</f>
        <v/>
      </c>
      <c r="G1047" t="inlineStr"/>
      <c r="H1047" t="inlineStr"/>
      <c r="I1047" t="inlineStr">
        <is>
          <t>1</t>
        </is>
      </c>
      <c r="J1047" t="inlineStr"/>
      <c r="K1047" t="inlineStr"/>
      <c r="L1047" t="inlineStr"/>
      <c r="M1047" t="inlineStr"/>
      <c r="N1047" t="inlineStr"/>
      <c r="O1047" t="inlineStr"/>
      <c r="P1047" t="inlineStr"/>
      <c r="Q1047" t="inlineStr"/>
      <c r="R1047" t="inlineStr"/>
      <c r="S1047" t="inlineStr"/>
    </row>
    <row r="1048">
      <c r="A1048">
        <f>Skills!A9</f>
        <v/>
      </c>
      <c r="B1048">
        <f>Skills!B9</f>
        <v/>
      </c>
      <c r="C1048">
        <f>Inputs!$B$3&gt;=60</f>
        <v/>
      </c>
      <c r="D1048">
        <f>IF(Skills!C9=1,60+Inputs!$B$26+Inputs!$B$30,IF(Skills!C9=2,90+Inputs!$B$27+Inputs!$B$30,IF(Skills!C9=3,120+Inputs!$B$28+Inputs!$B$30,MAX(0,(Inputs!$B$3-100)*3)+Inputs!$B$29+Inputs!$B$30)))</f>
        <v/>
      </c>
      <c r="E1048">
        <f>INDEX(FactorTable!$B$2:$Y$301, MATCH(ROUND(MIN(300,MAX(1,D1048)),0), FactorTable!$A$2:$A$301,0), Skills!M9+1)</f>
        <v/>
      </c>
      <c r="F1048">
        <f>IF(Skills!N9=TRUE,(Skills!L9/10)*(E1048/1000),Skills!L9/10)+Skills!O9</f>
        <v/>
      </c>
      <c r="G1048">
        <f>Skills!G9*IF(Skills!H9&gt;0,INT(IF(Inputs!$B$39="pvp",MIN(Skills!I9,15),Skills!I9)/Skills!H9+0.000000001),1)</f>
        <v/>
      </c>
      <c r="H1048">
        <f>1-(1-Skills!J9/100)^Skills!K9</f>
        <v/>
      </c>
      <c r="I1048" t="inlineStr">
        <is>
          <t>1</t>
        </is>
      </c>
      <c r="J1048">
        <f>(((Inputs!$B$6+1)*(1+Inputs!$B$7/100))+(((Inputs!$B$13*(1+Inputs!$B$14/100))-(Inputs!$B$13*(1+Inputs!$B$14/100)))+0.25*(Inputs!$B$15-Inputs!$B$15))*(1+Inputs!$B$7/100))*(F1048/100)</f>
        <v/>
      </c>
      <c r="K1048">
        <f>J1048*(1+(((Inputs!$B$13+IF(Inputs!$B$3&gt;=38,(10*INDEX(FactorTable!$B$2:$Y$301, MATCH(ROUND(MIN(300,MAX(1,Inputs!$B$3)),0), FactorTable!$A$2:$A$301,0), 23)/1000)/100*(Inputs!$B$8*(1+Inputs!$B$9/100)),0))*(1+Inputs!$B$14/100))*0.01+Inputs!$B$15*0.0025)/100)*(1+Inputs!$B$16/100)*(1+Inputs!$B$17/100)*(5000/(6000+Inputs!$B$43*(1-(Inputs!$B$20+0)/100)))*(1+(Inputs!$B$25+((C1064=TRUE)*(F1064-Calc!F25))+((C1065=TRUE)*(F1065-Calc!F26))+B1074)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1050=TRUE,F1050,0)/100)*(1+(IF(Skills!A9="DARK_IMPALE",Inputs!$B$18+0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gt;=100),MIN(100,((Inputs!$B$10+0+B1068+(ArtifactsInput!$M$24-ArtifactsInput!$M$24)*CHOOSE(ArtifactsInput!$N$24+1,10,12,14,16,18,20)+IF(ArtifactsInput!$M$10,CHOOSE(ArtifactsInput!$N$10+1,15,18,21,24,27,30)*(IF(Inputs!$B$39="pvp",MIN(15,15)/15,IF(AND(Inputs!$B$39&lt;&gt;"pvp",Inputs!$B$44&gt;0),MIN(15,Inputs!$B$44)/(Inputs!$B$44),0))),0)))-100),0))*CHOOSE(ArtifactsInput!$N$42+1,0.6,0.72,0.84,0.96,1.08,1.2))),Inputs!$B$19+((C1062=TRUE)*(F1062-Calc!F23))+(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gt;=100),CHOOSE(ArtifactsInput!$N$42+1,40,48,56,64,72,80),0))))/100)*((1+(((C1052=TRUE)*F1052*IF(AND(Inputs!$B$39&lt;&gt;"pvp",Inputs!$B$44&gt;0),(((R1052-1)*MIN((Skills!T13*(1+Inputs!$B$35/100)),(1/Q1052))+MIN((Skills!T13*(1+Inputs!$B$35/100)),MAX(0,Inputs!$B$44-((R1052-1)*(1/Q1052)))))/Inputs!$B$44),IF(Inputs!$B$39="pvp",MIN((Skills!T13*(1+Inputs!$B$35/100)),15)/15,MIN(1,(Skills!T13*(1+Inputs!$B$35/100))/(1/Q1052)))))+((C1053=TRUE)*F1053*IF(AND(Inputs!$B$39&lt;&gt;"pvp",Inputs!$B$44&gt;0),(((R1053-1)*MIN((Skills!T14*(1+Inputs!$B$35/100)),(1/Q1053))+MIN((Skills!T14*(1+Inputs!$B$35/100)),MAX(0,Inputs!$B$44-((R1053-1)*(1/Q1053)))))/Inputs!$B$44),IF(Inputs!$B$39="pvp",MIN((Skills!T14*(1+Inputs!$B$35/100)),15)/15,MIN(1,(Skills!T14*(1+Inputs!$B$35/100))/(1/Q1053)))))+((C1054=TRUE)*F1054*IF(AND(Inputs!$B$39&lt;&gt;"pvp",Inputs!$B$44&gt;0),(((R1054-1)*MIN((Skills!T15*(1+Inputs!$B$35/100)),(1/Q1054))+MIN((Skills!T15*(1+Inputs!$B$35/100)),MAX(0,Inputs!$B$44-((R1054-1)*(1/Q1054)))))/Inputs!$B$44),IF(Inputs!$B$39="pvp",MIN((Skills!T15*(1+Inputs!$B$35/100)),15)/15,MIN(1,(Skills!T15*(1+Inputs!$B$35/100))/(1/Q1054)))))+((C1055=TRUE)*F1055*IF(AND(Inputs!$B$39&lt;&gt;"pvp",Inputs!$B$44&gt;0),(((R1055-1)*MIN((Skills!T16*(1+Inputs!$B$35/100)),(1/Q1055))+MIN((Skills!T16*(1+Inputs!$B$35/100)),MAX(0,Inputs!$B$44-((R1055-1)*(1/Q1055)))))/Inputs!$B$44),IF(Inputs!$B$39="pvp",MIN((Skills!T16*(1+Inputs!$B$35/100)),15)/15,MIN(1,(Skills!T16*(1+Inputs!$B$35/100))/(1/Q1055)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1048)</f>
        <v/>
      </c>
      <c r="L1048">
        <f>K1048*(MIN(Inputs!$B$23+((C1061=TRUE)*(F1061-Calc!F22)),(Inputs!$B$24+((C1063=TRUE)*(F1063-Calc!F24))+(IF(ArtifactsInput!$M$15,CHOOSE(ArtifactsInput!$N$15+1,25,30,35,40,45,50)/100*(Inputs!$B$12-Inputs!$B$12),0))))/100+(Inputs!$B$24+((C1063=TRUE)*(F1063-Calc!F24))+(IF(ArtifactsInput!$M$15,CHOOSE(ArtifactsInput!$N$15+1,25,30,35,40,45,50)/100*(Inputs!$B$12-Inputs!$B$12),0)))/100)/2</f>
        <v/>
      </c>
      <c r="M1048">
        <f>L1048*(1+(Inputs!$B$11+0+B1073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048">
        <f>L1048*(1-MIN((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1048*(MIN((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48">
        <f>(1-Summary!$B$11)*T1048+Summary!$B$11*V1048</f>
        <v/>
      </c>
      <c r="P1048">
        <f>IF(B1078=0,0,O1048/B1078)</f>
        <v/>
      </c>
      <c r="Q1048">
        <f>IFERROR(1/IF(Inputs!$B$39="pvp",15,MAX(0.1,Skills!D9-IF(TRUE=TRUE,Inputs!$B$33,0))),0)</f>
        <v/>
      </c>
      <c r="R1048">
        <f>IF(AND(Inputs!$B$39&lt;&gt;"pvp",Inputs!$B$44&gt;0),IF(MAX(0,Inputs!$B$44-B1075)&lt;=0,0,(INT(MAX(0,Inputs!$B$44-B1075)/IF(Inputs!$B$39="pvp",15,MAX(0.1,Skills!D9-IF(TRUE=TRUE,Inputs!$B$33,0))))+1)),0)</f>
        <v/>
      </c>
      <c r="S1048">
        <f>IFERROR(O1048/N1048,0)</f>
        <v/>
      </c>
      <c r="T1048">
        <f>IF(C1048,(H1048*N1048*IF(AND(Inputs!$B$39&lt;&gt;"pvp",Inputs!$B$44&gt;0),((Skills!G9*((R1048-1)*IF(Skills!H9&gt;0,INT(Skills!I9/Skills!H9+0.000000001),1)+IF(Skills!H9&gt;0,INT(MIN(Skills!I9,MAX(0,MAX(0,Inputs!$B$44-B1075)-((R1048-1)*IF(Inputs!$B$39="pvp",15,MAX(0.1,Skills!D9-IF(TRUE=TRUE,Inputs!$B$33,0))))))/Skills!H9+0.000000001),1)))/Inputs!$B$44),G1048*Q1048))*IF(Inputs!$B$39="pvp",1,1+(Inputs!$B$21+0+Skills!P9+((C1056=TRUE)*F1056*IF(AND(Inputs!$B$39&lt;&gt;"pvp",Inputs!$B$44&gt;0),(((R1056-1)*MIN((Skills!T17*(1+Inputs!$B$35/100)),(1/Q1056))+MIN((Skills!T17*(1+Inputs!$B$35/100)),MAX(0,Inputs!$B$44-((R1056-1)*(1/Q1056)))))/Inputs!$B$44),IF(Inputs!$B$39="pvp",MIN((Skills!T17*(1+Inputs!$B$35/100)),15)/15,MIN(1,(Skills!T17*(1+Inputs!$B$35/100))/(1/Q1056)))))+((C1044=TRUE)*IF(Inputs!$B$3&gt;=126,10*MIN(1,15*Q1044),0))+((C1053=TRUE)*IF(Inputs!$B$39="pvp",20,(1-Summary!$B$11)*(20)+Summary!$B$11*(0))*IF(AND(Inputs!$B$39&lt;&gt;"pvp",Inputs!$B$44&gt;0),(((R1053-1)*MIN((Skills!T14*(1+Inputs!$B$35/100)),(1/Q1053))+MIN((Skills!T14*(1+Inputs!$B$35/100)),MAX(0,Inputs!$B$44-((R1053-1)*(1/Q1053)))))/Inputs!$B$44),IF(Inputs!$B$39="pvp",MIN((Skills!T14*(1+Inputs!$B$35/100)),15)/15,MIN(1,(Skills!T14*(1+Inputs!$B$35/100))/(1/Q1053)))))+((C1052=TRUE)*IF(Inputs!$B$3&gt;=82,IF(Inputs!$B$39="pvp",20,(1-Summary!$B$11)*(20)+Summary!$B$11*(0)),0)*IF(AND(Inputs!$B$39&lt;&gt;"pvp",Inputs!$B$44&gt;0),(((R1052-1)*MIN((Skills!T13*(1+Inputs!$B$35/100)),(1/Q1052))+MIN((Skills!T13*(1+Inputs!$B$35/100)),MAX(0,Inputs!$B$44-((R1052-1)*(1/Q1052)))))/Inputs!$B$44),IF(Inputs!$B$39="pvp",MIN((Skills!T13*(1+Inputs!$B$35/100)),15)/15,MIN(1,(Skills!T13*(1+Inputs!$B$35/100))/(1/Q1052)))))+(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1048*(1-MIN(100,(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1048*(MIN(100,(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1048*(1-MIN(100,(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1048*(MIN(100,(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48">
        <f>IF(C1048,(H1048*N1048*IF(AND(Inputs!$B$39&lt;&gt;"pvp",Inputs!$B$44&gt;0),((Skills!G9*((R1048-1)*IF(Skills!H9&gt;0,INT(Skills!I9/Skills!H9+0.000000001),1)+IF(Skills!H9&gt;0,INT(MIN(Skills!I9,MAX(0,MAX(0,Inputs!$B$44-B1075)-((R1048-1)*IF(Inputs!$B$39="pvp",15,MAX(0.1,Skills!D9-IF(TRUE=TRUE,Inputs!$B$33,0))))))/Skills!H9+0.000000001),1)))/Inputs!$B$44),G1048*Q1048))*IF(Inputs!$B$39="pvp",1,(1+(Inputs!$B$22+Skills!Q9+((C1056=TRUE)*F1056*IF(AND(Inputs!$B$39&lt;&gt;"pvp",Inputs!$B$44&gt;0),(((R1056-1)*MIN((Skills!T17*(1+Inputs!$B$35/100)),(1/Q1056))+MIN((Skills!T17*(1+Inputs!$B$35/100)),MAX(0,Inputs!$B$44-((R1056-1)*(1/Q1056)))))/Inputs!$B$44),IF(Inputs!$B$39="pvp",MIN((Skills!T17*(1+Inputs!$B$35/100)),15)/15,MIN(1,(Skills!T17*(1+Inputs!$B$35/100))/(1/Q1056)))))+((C1044=TRUE)*IF(Inputs!$B$3&gt;=126,10*MIN(1,15*Q1044),0))+((C1053=TRUE)*IF(Inputs!$B$39="pvp",20,(1-Summary!$B$11)*(20)+Summary!$B$11*(0))*IF(AND(Inputs!$B$39&lt;&gt;"pvp",Inputs!$B$44&gt;0),(((R1053-1)*MIN((Skills!T14*(1+Inputs!$B$35/100)),(1/Q1053))+MIN((Skills!T14*(1+Inputs!$B$35/100)),MAX(0,Inputs!$B$44-((R1053-1)*(1/Q1053)))))/Inputs!$B$44),IF(Inputs!$B$39="pvp",MIN((Skills!T14*(1+Inputs!$B$35/100)),15)/15,MIN(1,(Skills!T14*(1+Inputs!$B$35/100))/(1/Q1053)))))+((C1052=TRUE)*IF(Inputs!$B$3&gt;=82,IF(Inputs!$B$39="pvp",20,(1-Summary!$B$11)*(20)+Summary!$B$11*(0)),0)*IF(AND(Inputs!$B$39&lt;&gt;"pvp",Inputs!$B$44&gt;0),(((R1052-1)*MIN((Skills!T13*(1+Inputs!$B$35/100)),(1/Q1052))+MIN((Skills!T13*(1+Inputs!$B$35/100)),MAX(0,Inputs!$B$44-((R1052-1)*(1/Q1052)))))/Inputs!$B$44),IF(Inputs!$B$39="pvp",MIN((Skills!T13*(1+Inputs!$B$35/100)),15)/15,MIN(1,(Skills!T13*(1+Inputs!$B$35/100))/(1/Q1052)))))+(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49">
      <c r="A1049">
        <f>Skills!A10</f>
        <v/>
      </c>
      <c r="B1049">
        <f>Skills!B10</f>
        <v/>
      </c>
      <c r="C1049">
        <f>Inputs!$B$3&gt;=110</f>
        <v/>
      </c>
      <c r="D1049">
        <f>IF(Skills!C10=1,60+Inputs!$B$26+Inputs!$B$30,IF(Skills!C10=2,90+Inputs!$B$27+Inputs!$B$30,IF(Skills!C10=3,120+Inputs!$B$28+Inputs!$B$30,MAX(0,(Inputs!$B$3-100)*3)+Inputs!$B$29+Inputs!$B$30)))</f>
        <v/>
      </c>
      <c r="E1049">
        <f>INDEX(FactorTable!$B$2:$Y$301, MATCH(ROUND(MIN(300,MAX(1,D1049)),0), FactorTable!$A$2:$A$301,0), Skills!M10+1)</f>
        <v/>
      </c>
      <c r="F1049">
        <f>IF(Skills!N10=TRUE,(Skills!L10/10)*(E1049/1000),Skills!L10/10)+Skills!O10</f>
        <v/>
      </c>
      <c r="G1049">
        <f>Skills!G10*IF(Skills!H10&gt;0,INT(IF(Inputs!$B$39="pvp",MIN(Skills!I10,15),Skills!I10)/Skills!H10+0.000000001),1)</f>
        <v/>
      </c>
      <c r="H1049">
        <f>1-(1-Skills!J10/100)^Skills!K10</f>
        <v/>
      </c>
      <c r="I1049" t="inlineStr">
        <is>
          <t>1</t>
        </is>
      </c>
      <c r="J1049">
        <f>(((Inputs!$B$6+1)*(1+Inputs!$B$7/100))+(((Inputs!$B$13*(1+Inputs!$B$14/100))-(Inputs!$B$13*(1+Inputs!$B$14/100)))+0.25*(Inputs!$B$15-Inputs!$B$15))*(1+Inputs!$B$7/100))*(F1049/100)</f>
        <v/>
      </c>
      <c r="K1049">
        <f>J1049*(1+(((Inputs!$B$13+IF(Inputs!$B$3&gt;=38,(10*INDEX(FactorTable!$B$2:$Y$301, MATCH(ROUND(MIN(300,MAX(1,Inputs!$B$3)),0), FactorTable!$A$2:$A$301,0), 23)/1000)/100*(Inputs!$B$8*(1+Inputs!$B$9/100)),0))*(1+Inputs!$B$14/100))*0.01+Inputs!$B$15*0.0025)/100)*(1+Inputs!$B$16/100)*(1+Inputs!$B$17/100)*(5000/(6000+Inputs!$B$43*(1-(Inputs!$B$20+0)/100)))*(1+(Inputs!$B$25+((C1064=TRUE)*(F1064-Calc!F25))+((C1065=TRUE)*(F1065-Calc!F26))+B1074)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gt;=100),MIN(100,((Inputs!$B$10+0+B1068+(ArtifactsInput!$M$24-ArtifactsInput!$M$24)*CHOOSE(ArtifactsInput!$N$24+1,10,12,14,16,18,20)+IF(ArtifactsInput!$M$10,CHOOSE(ArtifactsInput!$N$10+1,15,18,21,24,27,30)*(IF(Inputs!$B$39="pvp",MIN(15,15)/15,IF(AND(Inputs!$B$39&lt;&gt;"pvp",Inputs!$B$44&gt;0),MIN(15,Inputs!$B$44)/(Inputs!$B$44),0))),0)))-100),0))*CHOOSE(ArtifactsInput!$N$42+1,0.6,0.72,0.84,0.96,1.08,1.2))),Inputs!$B$19+((C1062=TRUE)*(F1062-Calc!F23))+(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gt;=100),CHOOSE(ArtifactsInput!$N$42+1,40,48,56,64,72,80),0))))/100)*((1+(((C1052=TRUE)*F1052*IF(AND(Inputs!$B$39&lt;&gt;"pvp",Inputs!$B$44&gt;0),(((R1052-1)*MIN((Skills!T13*(1+Inputs!$B$35/100)),(1/Q1052))+MIN((Skills!T13*(1+Inputs!$B$35/100)),MAX(0,Inputs!$B$44-((R1052-1)*(1/Q1052)))))/Inputs!$B$44),IF(Inputs!$B$39="pvp",MIN((Skills!T13*(1+Inputs!$B$35/100)),15)/15,MIN(1,(Skills!T13*(1+Inputs!$B$35/100))/(1/Q1052)))))+((C1053=TRUE)*F1053*IF(AND(Inputs!$B$39&lt;&gt;"pvp",Inputs!$B$44&gt;0),(((R1053-1)*MIN((Skills!T14*(1+Inputs!$B$35/100)),(1/Q1053))+MIN((Skills!T14*(1+Inputs!$B$35/100)),MAX(0,Inputs!$B$44-((R1053-1)*(1/Q1053)))))/Inputs!$B$44),IF(Inputs!$B$39="pvp",MIN((Skills!T14*(1+Inputs!$B$35/100)),15)/15,MIN(1,(Skills!T14*(1+Inputs!$B$35/100))/(1/Q1053)))))+((C1054=TRUE)*F1054*IF(AND(Inputs!$B$39&lt;&gt;"pvp",Inputs!$B$44&gt;0),(((R1054-1)*MIN((Skills!T15*(1+Inputs!$B$35/100)),(1/Q1054))+MIN((Skills!T15*(1+Inputs!$B$35/100)),MAX(0,Inputs!$B$44-((R1054-1)*(1/Q1054)))))/Inputs!$B$44),IF(Inputs!$B$39="pvp",MIN((Skills!T15*(1+Inputs!$B$35/100)),15)/15,MIN(1,(Skills!T15*(1+Inputs!$B$35/100))/(1/Q1054)))))+((C1055=TRUE)*F1055*IF(AND(Inputs!$B$39&lt;&gt;"pvp",Inputs!$B$44&gt;0),(((R1055-1)*MIN((Skills!T16*(1+Inputs!$B$35/100)),(1/Q1055))+MIN((Skills!T16*(1+Inputs!$B$35/100)),MAX(0,Inputs!$B$44-((R1055-1)*(1/Q1055)))))/Inputs!$B$44),IF(Inputs!$B$39="pvp",MIN((Skills!T16*(1+Inputs!$B$35/100)),15)/15,MIN(1,(Skills!T16*(1+Inputs!$B$35/100))/(1/Q1055)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1049)</f>
        <v/>
      </c>
      <c r="L1049">
        <f>K1049*(MIN(Inputs!$B$23+((C1061=TRUE)*(F1061-Calc!F22)),(Inputs!$B$24+((C1063=TRUE)*(F1063-Calc!F24))+(IF(ArtifactsInput!$M$15,CHOOSE(ArtifactsInput!$N$15+1,25,30,35,40,45,50)/100*(Inputs!$B$12-Inputs!$B$12),0))))/100+(Inputs!$B$24+((C1063=TRUE)*(F1063-Calc!F24))+(IF(ArtifactsInput!$M$15,CHOOSE(ArtifactsInput!$N$15+1,25,30,35,40,45,50)/100*(Inputs!$B$12-Inputs!$B$12),0)))/100)/2</f>
        <v/>
      </c>
      <c r="M1049">
        <f>L1049*(1+(Inputs!$B$11+0+B1073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049">
        <f>L1049*(1-MIN((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1049*(MIN((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49">
        <f>(1-Summary!$B$11)*T1049+Summary!$B$11*V1049</f>
        <v/>
      </c>
      <c r="P1049">
        <f>IF(B1078=0,0,O1049/B1078)</f>
        <v/>
      </c>
      <c r="Q1049">
        <f>IFERROR(1/IF(Inputs!$B$39="pvp",15,MAX(0.1,Skills!D10-IF(TRUE=TRUE,Inputs!$B$33,0))),0)</f>
        <v/>
      </c>
      <c r="R1049">
        <f>IF(AND(Inputs!$B$39&lt;&gt;"pvp",Inputs!$B$44&gt;0),IF(MAX(0,Inputs!$B$44-B1075)&lt;=0,0,(INT(MAX(0,Inputs!$B$44-B1075)/IF(Inputs!$B$39="pvp",15,MAX(0.1,Skills!D10-IF(TRUE=TRUE,Inputs!$B$33,0))))+1)),0)</f>
        <v/>
      </c>
      <c r="S1049">
        <f>IFERROR(O1049/N1049,0)</f>
        <v/>
      </c>
      <c r="T1049">
        <f>IF(C1049,(H1049*N1049*IF(AND(Inputs!$B$39&lt;&gt;"pvp",Inputs!$B$44&gt;0),((Skills!G10*((R1049-1)*IF(Skills!H10&gt;0,INT(Skills!I10/Skills!H10+0.000000001),1)+IF(Skills!H10&gt;0,INT(MIN(Skills!I10,MAX(0,MAX(0,Inputs!$B$44-B1075)-((R1049-1)*IF(Inputs!$B$39="pvp",15,MAX(0.1,Skills!D10-IF(TRUE=TRUE,Inputs!$B$33,0))))))/Skills!H10+0.000000001),1)))/Inputs!$B$44),G1049*Q1049))*IF(Inputs!$B$39="pvp",1,1+(Inputs!$B$21+0+Skills!P10+((C1056=TRUE)*F1056*IF(AND(Inputs!$B$39&lt;&gt;"pvp",Inputs!$B$44&gt;0),(((R1056-1)*MIN((Skills!T17*(1+Inputs!$B$35/100)),(1/Q1056))+MIN((Skills!T17*(1+Inputs!$B$35/100)),MAX(0,Inputs!$B$44-((R1056-1)*(1/Q1056)))))/Inputs!$B$44),IF(Inputs!$B$39="pvp",MIN((Skills!T17*(1+Inputs!$B$35/100)),15)/15,MIN(1,(Skills!T17*(1+Inputs!$B$35/100))/(1/Q1056)))))+((C1044=TRUE)*IF(Inputs!$B$3&gt;=126,10*MIN(1,15*Q1044),0))+((C1053=TRUE)*IF(Inputs!$B$39="pvp",20,(1-Summary!$B$11)*(20)+Summary!$B$11*(0))*IF(AND(Inputs!$B$39&lt;&gt;"pvp",Inputs!$B$44&gt;0),(((R1053-1)*MIN((Skills!T14*(1+Inputs!$B$35/100)),(1/Q1053))+MIN((Skills!T14*(1+Inputs!$B$35/100)),MAX(0,Inputs!$B$44-((R1053-1)*(1/Q1053)))))/Inputs!$B$44),IF(Inputs!$B$39="pvp",MIN((Skills!T14*(1+Inputs!$B$35/100)),15)/15,MIN(1,(Skills!T14*(1+Inputs!$B$35/100))/(1/Q1053)))))+((C1052=TRUE)*IF(Inputs!$B$3&gt;=82,IF(Inputs!$B$39="pvp",20,(1-Summary!$B$11)*(20)+Summary!$B$11*(0)),0)*IF(AND(Inputs!$B$39&lt;&gt;"pvp",Inputs!$B$44&gt;0),(((R1052-1)*MIN((Skills!T13*(1+Inputs!$B$35/100)),(1/Q1052))+MIN((Skills!T13*(1+Inputs!$B$35/100)),MAX(0,Inputs!$B$44-((R1052-1)*(1/Q1052)))))/Inputs!$B$44),IF(Inputs!$B$39="pvp",MIN((Skills!T13*(1+Inputs!$B$35/100)),15)/15,MIN(1,(Skills!T13*(1+Inputs!$B$35/100))/(1/Q1052)))))+(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1049*(1-MIN(100,(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1049*(MIN(100,(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1049*(1-MIN(100,(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1049*(MIN(100,(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49">
        <f>IF(C1049,(H1049*N1049*IF(AND(Inputs!$B$39&lt;&gt;"pvp",Inputs!$B$44&gt;0),((Skills!G10*((R1049-1)*IF(Skills!H10&gt;0,INT(Skills!I10/Skills!H10+0.000000001),1)+IF(Skills!H10&gt;0,INT(MIN(Skills!I10,MAX(0,MAX(0,Inputs!$B$44-B1075)-((R1049-1)*IF(Inputs!$B$39="pvp",15,MAX(0.1,Skills!D10-IF(TRUE=TRUE,Inputs!$B$33,0))))))/Skills!H10+0.000000001),1)))/Inputs!$B$44),G1049*Q1049))*IF(Inputs!$B$39="pvp",1,(1+(Inputs!$B$22+Skills!Q10+((C1056=TRUE)*F1056*IF(AND(Inputs!$B$39&lt;&gt;"pvp",Inputs!$B$44&gt;0),(((R1056-1)*MIN((Skills!T17*(1+Inputs!$B$35/100)),(1/Q1056))+MIN((Skills!T17*(1+Inputs!$B$35/100)),MAX(0,Inputs!$B$44-((R1056-1)*(1/Q1056)))))/Inputs!$B$44),IF(Inputs!$B$39="pvp",MIN((Skills!T17*(1+Inputs!$B$35/100)),15)/15,MIN(1,(Skills!T17*(1+Inputs!$B$35/100))/(1/Q1056)))))+((C1044=TRUE)*IF(Inputs!$B$3&gt;=126,10*MIN(1,15*Q1044),0))+((C1053=TRUE)*IF(Inputs!$B$39="pvp",20,(1-Summary!$B$11)*(20)+Summary!$B$11*(0))*IF(AND(Inputs!$B$39&lt;&gt;"pvp",Inputs!$B$44&gt;0),(((R1053-1)*MIN((Skills!T14*(1+Inputs!$B$35/100)),(1/Q1053))+MIN((Skills!T14*(1+Inputs!$B$35/100)),MAX(0,Inputs!$B$44-((R1053-1)*(1/Q1053)))))/Inputs!$B$44),IF(Inputs!$B$39="pvp",MIN((Skills!T14*(1+Inputs!$B$35/100)),15)/15,MIN(1,(Skills!T14*(1+Inputs!$B$35/100))/(1/Q1053)))))+((C1052=TRUE)*IF(Inputs!$B$3&gt;=82,IF(Inputs!$B$39="pvp",20,(1-Summary!$B$11)*(20)+Summary!$B$11*(0)),0)*IF(AND(Inputs!$B$39&lt;&gt;"pvp",Inputs!$B$44&gt;0),(((R1052-1)*MIN((Skills!T13*(1+Inputs!$B$35/100)),(1/Q1052))+MIN((Skills!T13*(1+Inputs!$B$35/100)),MAX(0,Inputs!$B$44-((R1052-1)*(1/Q1052)))))/Inputs!$B$44),IF(Inputs!$B$39="pvp",MIN((Skills!T13*(1+Inputs!$B$35/100)),15)/15,MIN(1,(Skills!T13*(1+Inputs!$B$35/100))/(1/Q1052)))))+(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50">
      <c r="A1050">
        <f>Skills!A11</f>
        <v/>
      </c>
      <c r="B1050">
        <f>Skills!B11</f>
        <v/>
      </c>
      <c r="C1050">
        <f>Inputs!$B$3&gt;=100</f>
        <v/>
      </c>
      <c r="D1050">
        <f>IF(Skills!C11=1,60+Inputs!$B$26+Inputs!$B$30,IF(Skills!C11=2,90+Inputs!$B$27+Inputs!$B$30,IF(Skills!C11=3,120+Inputs!$B$28+Inputs!$B$30,MAX(0,(Inputs!$B$3-100)*3)+Inputs!$B$29+Inputs!$B$30)))</f>
        <v/>
      </c>
      <c r="E1050">
        <f>INDEX(FactorTable!$B$2:$Y$301, MATCH(ROUND(MIN(300,MAX(1,D1050)),0), FactorTable!$A$2:$A$301,0), Skills!M11+1)</f>
        <v/>
      </c>
      <c r="F1050">
        <f>IF(Skills!N11=TRUE,(Skills!L11/10)*(E1050/1000),Skills!L11/10)+Skills!O11</f>
        <v/>
      </c>
      <c r="G1050" t="inlineStr"/>
      <c r="H1050" t="inlineStr"/>
      <c r="I1050" t="inlineStr">
        <is>
          <t>1</t>
        </is>
      </c>
      <c r="J1050" t="inlineStr"/>
      <c r="K1050" t="inlineStr"/>
      <c r="L1050" t="inlineStr"/>
      <c r="M1050" t="inlineStr"/>
      <c r="N1050" t="inlineStr"/>
      <c r="O1050" t="inlineStr"/>
      <c r="P1050" t="inlineStr"/>
      <c r="Q1050" t="inlineStr"/>
      <c r="R1050" t="inlineStr"/>
      <c r="S1050" t="inlineStr"/>
    </row>
    <row r="1051">
      <c r="A1051">
        <f>Skills!A12</f>
        <v/>
      </c>
      <c r="B1051">
        <f>Skills!B12</f>
        <v/>
      </c>
      <c r="C1051">
        <f>Inputs!$B$3&gt;=63</f>
        <v/>
      </c>
      <c r="D1051">
        <f>IF(Skills!C12=1,60+Inputs!$B$26+Inputs!$B$30,IF(Skills!C12=2,90+Inputs!$B$27+Inputs!$B$30,IF(Skills!C12=3,120+Inputs!$B$28+Inputs!$B$30,MAX(0,(Inputs!$B$3-100)*3)+Inputs!$B$29+Inputs!$B$30)))</f>
        <v/>
      </c>
      <c r="E1051">
        <f>INDEX(FactorTable!$B$2:$Y$301, MATCH(ROUND(MIN(300,MAX(1,D1051)),0), FactorTable!$A$2:$A$301,0), Skills!M12+1)</f>
        <v/>
      </c>
      <c r="F1051">
        <f>IF(Skills!N12=TRUE,(Skills!L12/10)*(E1051/1000),Skills!L12/10)+Skills!O12</f>
        <v/>
      </c>
      <c r="G1051">
        <f>Skills!G12*IF(Skills!H12&gt;0,INT(IF(Inputs!$B$39="pvp",MIN(Skills!I12,15),Skills!I12)/Skills!H12+0.000000001),1)</f>
        <v/>
      </c>
      <c r="H1051">
        <f>1-(1-Skills!J12/100)^Skills!K12</f>
        <v/>
      </c>
      <c r="I1051" t="inlineStr">
        <is>
          <t>1</t>
        </is>
      </c>
      <c r="J1051">
        <f>(((Inputs!$B$6+1)*(1+Inputs!$B$7/100))+(((Inputs!$B$13*(1+Inputs!$B$14/100))-(Inputs!$B$13*(1+Inputs!$B$14/100)))+0.25*(Inputs!$B$15-Inputs!$B$15))*(1+Inputs!$B$7/100))*(F1051/100)</f>
        <v/>
      </c>
      <c r="K1051">
        <f>J1051*(1+(((Inputs!$B$13+IF(Inputs!$B$3&gt;=38,(10*INDEX(FactorTable!$B$2:$Y$301, MATCH(ROUND(MIN(300,MAX(1,Inputs!$B$3)),0), FactorTable!$A$2:$A$301,0), 23)/1000)/100*(Inputs!$B$8*(1+Inputs!$B$9/100)),0))*(1+Inputs!$B$14/100))*0.01+Inputs!$B$15*0.0025)/100)*(1+Inputs!$B$16/100)*(1+Inputs!$B$17/100)*(5000/(6000+Inputs!$B$43*(1-(Inputs!$B$20+0)/100)))*(1+(Inputs!$B$25+((C1064=TRUE)*(F1064-Calc!F25))+((C1065=TRUE)*(F1065-Calc!F26))+B1074)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1050=TRUE,F1050,0)/100)*(1+(IF(Skills!A12="DARK_IMPALE",Inputs!$B$18+0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gt;=100),MIN(100,((Inputs!$B$10+0+B1068+(ArtifactsInput!$M$24-ArtifactsInput!$M$24)*CHOOSE(ArtifactsInput!$N$24+1,10,12,14,16,18,20)+IF(ArtifactsInput!$M$10,CHOOSE(ArtifactsInput!$N$10+1,15,18,21,24,27,30)*(IF(Inputs!$B$39="pvp",MIN(15,15)/15,IF(AND(Inputs!$B$39&lt;&gt;"pvp",Inputs!$B$44&gt;0),MIN(15,Inputs!$B$44)/(Inputs!$B$44),0))),0)))-100),0))*CHOOSE(ArtifactsInput!$N$42+1,0.6,0.72,0.84,0.96,1.08,1.2))),Inputs!$B$19+((C1062=TRUE)*(F1062-Calc!F23))+(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gt;=100),CHOOSE(ArtifactsInput!$N$42+1,40,48,56,64,72,80),0))))/100)*((1+(((C1052=TRUE)*F1052*IF(AND(Inputs!$B$39&lt;&gt;"pvp",Inputs!$B$44&gt;0),(((R1052-1)*MIN((Skills!T13*(1+Inputs!$B$35/100)),(1/Q1052))+MIN((Skills!T13*(1+Inputs!$B$35/100)),MAX(0,Inputs!$B$44-((R1052-1)*(1/Q1052)))))/Inputs!$B$44),IF(Inputs!$B$39="pvp",MIN((Skills!T13*(1+Inputs!$B$35/100)),15)/15,MIN(1,(Skills!T13*(1+Inputs!$B$35/100))/(1/Q1052)))))+((C1053=TRUE)*F1053*IF(AND(Inputs!$B$39&lt;&gt;"pvp",Inputs!$B$44&gt;0),(((R1053-1)*MIN((Skills!T14*(1+Inputs!$B$35/100)),(1/Q1053))+MIN((Skills!T14*(1+Inputs!$B$35/100)),MAX(0,Inputs!$B$44-((R1053-1)*(1/Q1053)))))/Inputs!$B$44),IF(Inputs!$B$39="pvp",MIN((Skills!T14*(1+Inputs!$B$35/100)),15)/15,MIN(1,(Skills!T14*(1+Inputs!$B$35/100))/(1/Q1053)))))+((C1054=TRUE)*F1054*IF(AND(Inputs!$B$39&lt;&gt;"pvp",Inputs!$B$44&gt;0),(((R1054-1)*MIN((Skills!T15*(1+Inputs!$B$35/100)),(1/Q1054))+MIN((Skills!T15*(1+Inputs!$B$35/100)),MAX(0,Inputs!$B$44-((R1054-1)*(1/Q1054)))))/Inputs!$B$44),IF(Inputs!$B$39="pvp",MIN((Skills!T15*(1+Inputs!$B$35/100)),15)/15,MIN(1,(Skills!T15*(1+Inputs!$B$35/100))/(1/Q1054)))))+((C1055=TRUE)*F1055*IF(AND(Inputs!$B$39&lt;&gt;"pvp",Inputs!$B$44&gt;0),(((R1055-1)*MIN((Skills!T16*(1+Inputs!$B$35/100)),(1/Q1055))+MIN((Skills!T16*(1+Inputs!$B$35/100)),MAX(0,Inputs!$B$44-((R1055-1)*(1/Q1055)))))/Inputs!$B$44),IF(Inputs!$B$39="pvp",MIN((Skills!T16*(1+Inputs!$B$35/100)),15)/15,MIN(1,(Skills!T16*(1+Inputs!$B$35/100))/(1/Q1055)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1051)</f>
        <v/>
      </c>
      <c r="L1051">
        <f>K1051*(MIN(Inputs!$B$23+((C1061=TRUE)*(F1061-Calc!F22)),(Inputs!$B$24+((C1063=TRUE)*(F1063-Calc!F24))+(IF(ArtifactsInput!$M$15,CHOOSE(ArtifactsInput!$N$15+1,25,30,35,40,45,50)/100*(Inputs!$B$12-Inputs!$B$12),0))))/100+(Inputs!$B$24+((C1063=TRUE)*(F1063-Calc!F24))+(IF(ArtifactsInput!$M$15,CHOOSE(ArtifactsInput!$N$15+1,25,30,35,40,45,50)/100*(Inputs!$B$12-Inputs!$B$12),0)))/100)/2</f>
        <v/>
      </c>
      <c r="M1051">
        <f>L1051*(1+(Inputs!$B$11+0+B1073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051">
        <f>L1051*(1-MIN((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1051*(MIN((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51">
        <f>(1-Summary!$B$11)*T1051+Summary!$B$11*V1051</f>
        <v/>
      </c>
      <c r="P1051">
        <f>IF(B1078=0,0,O1051/B1078)</f>
        <v/>
      </c>
      <c r="Q1051">
        <f>IFERROR(1/IF(Inputs!$B$39="pvp",15,MAX(0.1,Skills!D12-IF(TRUE=TRUE,Inputs!$B$33,0))),0)</f>
        <v/>
      </c>
      <c r="R1051">
        <f>IF(AND(Inputs!$B$39&lt;&gt;"pvp",Inputs!$B$44&gt;0),IF(MAX(0,Inputs!$B$44-B1075)&lt;=0,0,(INT(MAX(0,Inputs!$B$44-B1075)/IF(Inputs!$B$39="pvp",15,MAX(0.1,Skills!D12-IF(TRUE=TRUE,Inputs!$B$33,0))))+1)),0)</f>
        <v/>
      </c>
      <c r="S1051">
        <f>IFERROR(O1051/N1051,0)</f>
        <v/>
      </c>
      <c r="T1051">
        <f>IF(C1051,(H1051*N1051*IF(AND(Inputs!$B$39&lt;&gt;"pvp",Inputs!$B$44&gt;0),((Skills!G12*((R1051-1)*IF(Skills!H12&gt;0,INT(Skills!I12/Skills!H12+0.000000001),1)+IF(Skills!H12&gt;0,INT(MIN(Skills!I12,MAX(0,MAX(0,Inputs!$B$44-B1075)-((R1051-1)*IF(Inputs!$B$39="pvp",15,MAX(0.1,Skills!D12-IF(TRUE=TRUE,Inputs!$B$33,0))))))/Skills!H12+0.000000001),1)))/Inputs!$B$44),G1051*Q1051))*IF(Inputs!$B$39="pvp",1,1+(Inputs!$B$21+0+Skills!P12+((C1056=TRUE)*F1056*IF(AND(Inputs!$B$39&lt;&gt;"pvp",Inputs!$B$44&gt;0),(((R1056-1)*MIN((Skills!T17*(1+Inputs!$B$35/100)),(1/Q1056))+MIN((Skills!T17*(1+Inputs!$B$35/100)),MAX(0,Inputs!$B$44-((R1056-1)*(1/Q1056)))))/Inputs!$B$44),IF(Inputs!$B$39="pvp",MIN((Skills!T17*(1+Inputs!$B$35/100)),15)/15,MIN(1,(Skills!T17*(1+Inputs!$B$35/100))/(1/Q1056)))))+((C1044=TRUE)*IF(Inputs!$B$3&gt;=126,10*MIN(1,15*Q1044),0))+((C1053=TRUE)*IF(Inputs!$B$39="pvp",20,(1-Summary!$B$11)*(20)+Summary!$B$11*(0))*IF(AND(Inputs!$B$39&lt;&gt;"pvp",Inputs!$B$44&gt;0),(((R1053-1)*MIN((Skills!T14*(1+Inputs!$B$35/100)),(1/Q1053))+MIN((Skills!T14*(1+Inputs!$B$35/100)),MAX(0,Inputs!$B$44-((R1053-1)*(1/Q1053)))))/Inputs!$B$44),IF(Inputs!$B$39="pvp",MIN((Skills!T14*(1+Inputs!$B$35/100)),15)/15,MIN(1,(Skills!T14*(1+Inputs!$B$35/100))/(1/Q1053)))))+((C1052=TRUE)*IF(Inputs!$B$3&gt;=82,IF(Inputs!$B$39="pvp",20,(1-Summary!$B$11)*(20)+Summary!$B$11*(0)),0)*IF(AND(Inputs!$B$39&lt;&gt;"pvp",Inputs!$B$44&gt;0),(((R1052-1)*MIN((Skills!T13*(1+Inputs!$B$35/100)),(1/Q1052))+MIN((Skills!T13*(1+Inputs!$B$35/100)),MAX(0,Inputs!$B$44-((R1052-1)*(1/Q1052)))))/Inputs!$B$44),IF(Inputs!$B$39="pvp",MIN((Skills!T13*(1+Inputs!$B$35/100)),15)/15,MIN(1,(Skills!T13*(1+Inputs!$B$35/100))/(1/Q1052)))))+(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1051*(1-MIN(100,(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1051*(MIN(100,(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1051*(1-MIN(100,(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1051*(MIN(100,(Inputs!$B$10+0+B1068+(ArtifactsInput!$M$24-ArtifactsInput!$M$24)*CHOOSE(ArtifactsInput!$N$24+1,10,12,14,16,18,20)+(IF(AND(Inputs!$B$39&lt;&gt;"pvp",Inputs!$B$44=0),1,IF(IF(Inputs!$B$39="pvp",15,Inputs!$B$44)-(B1075)&lt;=0,1,MAX(0,IF(Inputs!$B$39="pvp",15,Inputs!$B$44)-MAX(5,B1075))/(IF(Inputs!$B$39="pvp",15,Inputs!$B$44)-(B1075))))*IF(AND(ArtifactsInput!$M$42,((Inputs!$B$10+0+B1068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51">
        <f>IF(C1051,(H1051*N1051*IF(AND(Inputs!$B$39&lt;&gt;"pvp",Inputs!$B$44&gt;0),((Skills!G12*((R1051-1)*IF(Skills!H12&gt;0,INT(Skills!I12/Skills!H12+0.000000001),1)+IF(Skills!H12&gt;0,INT(MIN(Skills!I12,MAX(0,MAX(0,Inputs!$B$44-B1075)-((R1051-1)*IF(Inputs!$B$39="pvp",15,MAX(0.1,Skills!D12-IF(TRUE=TRUE,Inputs!$B$33,0))))))/Skills!H12+0.000000001),1)))/Inputs!$B$44),G1051*Q1051))*IF(Inputs!$B$39="pvp",1,(1+(Inputs!$B$22+Skills!Q12+((C1056=TRUE)*F1056*IF(AND(Inputs!$B$39&lt;&gt;"pvp",Inputs!$B$44&gt;0),(((R1056-1)*MIN((Skills!T17*(1+Inputs!$B$35/100)),(1/Q1056))+MIN((Skills!T17*(1+Inputs!$B$35/100)),MAX(0,Inputs!$B$44-((R1056-1)*(1/Q1056)))))/Inputs!$B$44),IF(Inputs!$B$39="pvp",MIN((Skills!T17*(1+Inputs!$B$35/100)),15)/15,MIN(1,(Skills!T17*(1+Inputs!$B$35/100))/(1/Q1056)))))+((C1044=TRUE)*IF(Inputs!$B$3&gt;=126,10*MIN(1,15*Q1044),0))+((C1053=TRUE)*IF(Inputs!$B$39="pvp",20,(1-Summary!$B$11)*(20)+Summary!$B$11*(0))*IF(AND(Inputs!$B$39&lt;&gt;"pvp",Inputs!$B$44&gt;0),(((R1053-1)*MIN((Skills!T14*(1+Inputs!$B$35/100)),(1/Q1053))+MIN((Skills!T14*(1+Inputs!$B$35/100)),MAX(0,Inputs!$B$44-((R1053-1)*(1/Q1053)))))/Inputs!$B$44),IF(Inputs!$B$39="pvp",MIN((Skills!T14*(1+Inputs!$B$35/100)),15)/15,MIN(1,(Skills!T14*(1+Inputs!$B$35/100))/(1/Q1053)))))+((C1052=TRUE)*IF(Inputs!$B$3&gt;=82,IF(Inputs!$B$39="pvp",20,(1-Summary!$B$11)*(20)+Summary!$B$11*(0)),0)*IF(AND(Inputs!$B$39&lt;&gt;"pvp",Inputs!$B$44&gt;0),(((R1052-1)*MIN((Skills!T13*(1+Inputs!$B$35/100)),(1/Q1052))+MIN((Skills!T13*(1+Inputs!$B$35/100)),MAX(0,Inputs!$B$44-((R1052-1)*(1/Q1052)))))/Inputs!$B$44),IF(Inputs!$B$39="pvp",MIN((Skills!T13*(1+Inputs!$B$35/100)),15)/15,MIN(1,(Skills!T13*(1+Inputs!$B$35/100))/(1/Q1052)))))+(IF(AND(ArtifactsInput!$M$35,Inputs!$B$4&lt;&gt;"Chapter Hunt"),CHOOSE(ArtifactsInput!$N$35+1,15,18,21,24,27,30)*(1-EXP(-(0.2*B1070)*5)),0)+IF(AND(ArtifactsInput!$M$22,Inputs!$B$4&lt;&gt;"Chapter Hunt"),CHOOSE(ArtifactsInput!$N$22+1,10,12,14,16,18,20)*((0*(((0.15*B1070*5))^0/1)+1*(((0.15*B1070*5))^1/1)+2*(((0.15*B1070*5))^2/2)+3*(((0.15*B1070*5))^3/6)+4*(((0.15*B1070*5))^4/24)+5*(((0.15*B1070*5))^5/120))/((((0.15*B1070*5))^0/1)+(((0.15*B1070*5))^1/1)+(((0.15*B1070*5))^2/2)+(((0.15*B1070*5))^3/6)+(((0.15*B1070*5))^4/24)+(((0.15*B1070*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52">
      <c r="A1052">
        <f>Skills!A13</f>
        <v/>
      </c>
      <c r="B1052">
        <f>Skills!B13</f>
        <v/>
      </c>
      <c r="C1052">
        <f>Inputs!$B$3&gt;=69</f>
        <v/>
      </c>
      <c r="D1052">
        <f>IF(Skills!C13=1,60+Inputs!$B$26+Inputs!$B$30,IF(Skills!C13=2,90+Inputs!$B$27+Inputs!$B$30,IF(Skills!C13=3,120+Inputs!$B$28+Inputs!$B$30,MAX(0,(Inputs!$B$3-100)*3)+Inputs!$B$29+Inputs!$B$30)))</f>
        <v/>
      </c>
      <c r="E1052">
        <f>INDEX(FactorTable!$B$2:$Y$301, MATCH(ROUND(MIN(300,MAX(1,D1052)),0), FactorTable!$A$2:$A$301,0), Skills!M13+1)</f>
        <v/>
      </c>
      <c r="F1052">
        <f>IF(Skills!N13=TRUE,(Skills!L13/10)*(E1052/1000),Skills!L13/10)+Skills!O13</f>
        <v/>
      </c>
      <c r="G1052">
        <f>Skills!G13*IF(Skills!H13&gt;0,INT(IF(Inputs!$B$39="pvp",MIN(Skills!I13,15),Skills!I13)/Skills!H13+0.000000001),1)</f>
        <v/>
      </c>
      <c r="H1052">
        <f>1-(1-Skills!J13/100)^Skills!K13</f>
        <v/>
      </c>
      <c r="I1052" t="inlineStr">
        <is>
          <t>1</t>
        </is>
      </c>
      <c r="J1052" t="inlineStr"/>
      <c r="K1052" t="inlineStr"/>
      <c r="L1052" t="inlineStr"/>
      <c r="M1052" t="inlineStr"/>
      <c r="N1052" t="inlineStr"/>
      <c r="O1052">
        <f>(1-Summary!$B$11)*T1052+Summary!$B$11*V1052</f>
        <v/>
      </c>
      <c r="P1052">
        <f>IF(B1078=0,0,O1052/B1078)</f>
        <v/>
      </c>
      <c r="Q1052">
        <f>IFERROR(1/IF(Inputs!$B$39="pvp",15,MAX(0.1,Skills!D13-IF(TRUE=TRUE,Inputs!$B$33,0))),0)</f>
        <v/>
      </c>
      <c r="R1052">
        <f>IF(AND(Inputs!$B$39&lt;&gt;"pvp",Inputs!$B$44&gt;0),IF(Inputs!$B$44&lt;=0,0,(INT(Inputs!$B$44/IF(Inputs!$B$39="pvp",15,MAX(0.1,Skills!D13-IF(TRUE=TRUE,Inputs!$B$33,0))))+1)),0)</f>
        <v/>
      </c>
      <c r="S1052">
        <f>IFERROR(O1052/N1052,0)</f>
        <v/>
      </c>
      <c r="T1052" t="n">
        <v>0</v>
      </c>
      <c r="V1052" t="n">
        <v>0</v>
      </c>
    </row>
    <row r="1053">
      <c r="A1053">
        <f>Skills!A14</f>
        <v/>
      </c>
      <c r="B1053">
        <f>Skills!B14</f>
        <v/>
      </c>
      <c r="C1053">
        <f>Inputs!$B$3&gt;=115</f>
        <v/>
      </c>
      <c r="D1053">
        <f>IF(Skills!C14=1,60+Inputs!$B$26+Inputs!$B$30,IF(Skills!C14=2,90+Inputs!$B$27+Inputs!$B$30,IF(Skills!C14=3,120+Inputs!$B$28+Inputs!$B$30,MAX(0,(Inputs!$B$3-100)*3)+Inputs!$B$29+Inputs!$B$30)))</f>
        <v/>
      </c>
      <c r="E1053">
        <f>INDEX(FactorTable!$B$2:$Y$301, MATCH(ROUND(MIN(300,MAX(1,D1053)),0), FactorTable!$A$2:$A$301,0), Skills!M14+1)</f>
        <v/>
      </c>
      <c r="F1053">
        <f>IF(Skills!N14=TRUE,(Skills!L14/10)*(E1053/1000),Skills!L14/10)+Skills!O14</f>
        <v/>
      </c>
      <c r="G1053">
        <f>Skills!G14*IF(Skills!H14&gt;0,INT(IF(Inputs!$B$39="pvp",MIN(Skills!I14,15),Skills!I14)/Skills!H14+0.000000001),1)</f>
        <v/>
      </c>
      <c r="H1053">
        <f>1-(1-Skills!J14/100)^Skills!K14</f>
        <v/>
      </c>
      <c r="I1053" t="inlineStr">
        <is>
          <t>1</t>
        </is>
      </c>
      <c r="J1053" t="inlineStr"/>
      <c r="K1053" t="inlineStr"/>
      <c r="L1053" t="inlineStr"/>
      <c r="M1053" t="inlineStr"/>
      <c r="N1053" t="inlineStr"/>
      <c r="O1053">
        <f>(1-Summary!$B$11)*T1053+Summary!$B$11*V1053</f>
        <v/>
      </c>
      <c r="P1053">
        <f>IF(B1078=0,0,O1053/B1078)</f>
        <v/>
      </c>
      <c r="Q1053">
        <f>IFERROR(1/IF(Inputs!$B$39="pvp",15,MAX(0.1,Skills!D14-IF(TRUE=TRUE,Inputs!$B$33,0))),0)</f>
        <v/>
      </c>
      <c r="R1053">
        <f>IF(AND(Inputs!$B$39&lt;&gt;"pvp",Inputs!$B$44&gt;0),IF(Inputs!$B$44&lt;=0,0,(INT(Inputs!$B$44/IF(Inputs!$B$39="pvp",15,MAX(0.1,Skills!D14-IF(TRUE=TRUE,Inputs!$B$33,0))))+1)),0)</f>
        <v/>
      </c>
      <c r="S1053">
        <f>IFERROR(O1053/N1053,0)</f>
        <v/>
      </c>
      <c r="T1053" t="n">
        <v>0</v>
      </c>
      <c r="V1053" t="n">
        <v>0</v>
      </c>
    </row>
    <row r="1054">
      <c r="A1054">
        <f>Skills!A15</f>
        <v/>
      </c>
      <c r="B1054">
        <f>Skills!B15</f>
        <v/>
      </c>
      <c r="C1054">
        <f>Inputs!$B$3&gt;=66</f>
        <v/>
      </c>
      <c r="D1054">
        <f>IF(Skills!C15=1,60+Inputs!$B$26+Inputs!$B$30,IF(Skills!C15=2,90+Inputs!$B$27+Inputs!$B$30,IF(Skills!C15=3,120+Inputs!$B$28+Inputs!$B$30,MAX(0,(Inputs!$B$3-100)*3)+Inputs!$B$29+Inputs!$B$30)))</f>
        <v/>
      </c>
      <c r="E1054">
        <f>INDEX(FactorTable!$B$2:$Y$301, MATCH(ROUND(MIN(300,MAX(1,D1054)),0), FactorTable!$A$2:$A$301,0), Skills!M15+1)</f>
        <v/>
      </c>
      <c r="F1054">
        <f>IF(Skills!N15=TRUE,(Skills!L15/10)*(E1054/1000),Skills!L15/10)+Skills!O15</f>
        <v/>
      </c>
      <c r="G1054">
        <f>Skills!G15*IF(Skills!H15&gt;0,INT(IF(Inputs!$B$39="pvp",MIN(Skills!I15,15),Skills!I15)/Skills!H15+0.000000001),1)</f>
        <v/>
      </c>
      <c r="H1054">
        <f>1-(1-Skills!J15/100)^Skills!K15</f>
        <v/>
      </c>
      <c r="I1054" t="inlineStr">
        <is>
          <t>1</t>
        </is>
      </c>
      <c r="J1054" t="inlineStr"/>
      <c r="K1054" t="inlineStr"/>
      <c r="L1054" t="inlineStr"/>
      <c r="M1054" t="inlineStr"/>
      <c r="N1054" t="inlineStr"/>
      <c r="O1054">
        <f>(1-Summary!$B$11)*T1054+Summary!$B$11*V1054</f>
        <v/>
      </c>
      <c r="P1054">
        <f>IF(B1078=0,0,O1054/B1078)</f>
        <v/>
      </c>
      <c r="Q1054">
        <f>IFERROR(1/IF(Inputs!$B$39="pvp",15,MAX(0.1,Skills!D15-IF(TRUE=TRUE,Inputs!$B$33,0))),0)</f>
        <v/>
      </c>
      <c r="R1054">
        <f>IF(AND(Inputs!$B$39&lt;&gt;"pvp",Inputs!$B$44&gt;0),IF(Inputs!$B$44&lt;=0,0,(INT(Inputs!$B$44/IF(Inputs!$B$39="pvp",15,MAX(0.1,Skills!D15-IF(TRUE=TRUE,Inputs!$B$33,0))))+1)),0)</f>
        <v/>
      </c>
      <c r="S1054">
        <f>IFERROR(O1054/N1054,0)</f>
        <v/>
      </c>
      <c r="T1054" t="n">
        <v>0</v>
      </c>
      <c r="V1054" t="n">
        <v>0</v>
      </c>
    </row>
    <row r="1055">
      <c r="A1055">
        <f>Skills!A16</f>
        <v/>
      </c>
      <c r="B1055">
        <f>Skills!B16</f>
        <v/>
      </c>
      <c r="C1055">
        <f>Inputs!$B$3&gt;=45</f>
        <v/>
      </c>
      <c r="D1055">
        <f>IF(Skills!C16=1,60+Inputs!$B$26+Inputs!$B$30,IF(Skills!C16=2,90+Inputs!$B$27+Inputs!$B$30,IF(Skills!C16=3,120+Inputs!$B$28+Inputs!$B$30,MAX(0,(Inputs!$B$3-100)*3)+Inputs!$B$29+Inputs!$B$30)))</f>
        <v/>
      </c>
      <c r="E1055">
        <f>INDEX(FactorTable!$B$2:$Y$301, MATCH(ROUND(MIN(300,MAX(1,D1055)),0), FactorTable!$A$2:$A$301,0), Skills!M16+1)</f>
        <v/>
      </c>
      <c r="F1055">
        <f>IF(Skills!N16=TRUE,(Skills!L16/10)*(E1055/1000),Skills!L16/10)+Skills!O16</f>
        <v/>
      </c>
      <c r="G1055">
        <f>Skills!G16*IF(Skills!H16&gt;0,INT(IF(Inputs!$B$39="pvp",MIN(Skills!I16,15),Skills!I16)/Skills!H16+0.000000001),1)</f>
        <v/>
      </c>
      <c r="H1055">
        <f>1-(1-Skills!J16/100)^Skills!K16</f>
        <v/>
      </c>
      <c r="I1055" t="inlineStr">
        <is>
          <t>1</t>
        </is>
      </c>
      <c r="J1055" t="inlineStr"/>
      <c r="K1055" t="inlineStr"/>
      <c r="L1055" t="inlineStr"/>
      <c r="M1055" t="inlineStr"/>
      <c r="N1055" t="inlineStr"/>
      <c r="O1055">
        <f>(1-Summary!$B$11)*T1055+Summary!$B$11*V1055</f>
        <v/>
      </c>
      <c r="P1055">
        <f>IF(B1078=0,0,O1055/B1078)</f>
        <v/>
      </c>
      <c r="Q1055">
        <f>IFERROR(1/IF(Inputs!$B$39="pvp",15,MAX(0.1,Skills!D16-IF(TRUE=TRUE,Inputs!$B$33,0))),0)</f>
        <v/>
      </c>
      <c r="R1055">
        <f>IF(AND(Inputs!$B$39&lt;&gt;"pvp",Inputs!$B$44&gt;0),IF(Inputs!$B$44&lt;=0,0,(INT(Inputs!$B$44/IF(Inputs!$B$39="pvp",15,MAX(0.1,Skills!D16-IF(TRUE=TRUE,Inputs!$B$33,0))))+1)),0)</f>
        <v/>
      </c>
      <c r="S1055">
        <f>IFERROR(O1055/N1055,0)</f>
        <v/>
      </c>
      <c r="T1055" t="n">
        <v>0</v>
      </c>
      <c r="V1055" t="n">
        <v>0</v>
      </c>
    </row>
    <row r="1056">
      <c r="A1056">
        <f>Skills!A17</f>
        <v/>
      </c>
      <c r="B1056">
        <f>Skills!B17</f>
        <v/>
      </c>
      <c r="C1056">
        <f>Inputs!$B$3&gt;=35</f>
        <v/>
      </c>
      <c r="D1056">
        <f>IF(Skills!C17=1,60+Inputs!$B$26+Inputs!$B$30,IF(Skills!C17=2,90+Inputs!$B$27+Inputs!$B$30,IF(Skills!C17=3,120+Inputs!$B$28+Inputs!$B$30,MAX(0,(Inputs!$B$3-100)*3)+Inputs!$B$29+Inputs!$B$30)))</f>
        <v/>
      </c>
      <c r="E1056">
        <f>INDEX(FactorTable!$B$2:$Y$301, MATCH(ROUND(MIN(300,MAX(1,D1056)),0), FactorTable!$A$2:$A$301,0), Skills!M17+1)</f>
        <v/>
      </c>
      <c r="F1056">
        <f>IF(Skills!N17=TRUE,(Skills!L17/10)*(E1056/1000),Skills!L17/10)+Skills!O17</f>
        <v/>
      </c>
      <c r="G1056">
        <f>Skills!G17*IF(Skills!H17&gt;0,INT(IF(Inputs!$B$39="pvp",MIN(Skills!I17,15),Skills!I17)/Skills!H17+0.000000001),1)</f>
        <v/>
      </c>
      <c r="H1056">
        <f>1-(1-Skills!J17/100)^Skills!K17</f>
        <v/>
      </c>
      <c r="I1056" t="inlineStr">
        <is>
          <t>1</t>
        </is>
      </c>
      <c r="J1056" t="inlineStr"/>
      <c r="K1056" t="inlineStr"/>
      <c r="L1056" t="inlineStr"/>
      <c r="M1056" t="inlineStr"/>
      <c r="N1056" t="inlineStr"/>
      <c r="O1056">
        <f>(1-Summary!$B$11)*T1056+Summary!$B$11*V1056</f>
        <v/>
      </c>
      <c r="P1056">
        <f>IF(B1078=0,0,O1056/B1078)</f>
        <v/>
      </c>
      <c r="Q1056">
        <f>IFERROR(1/IF(Inputs!$B$39="pvp",15,MAX(0.1,Skills!D17-IF(TRUE=TRUE,Inputs!$B$33,0))),0)</f>
        <v/>
      </c>
      <c r="R1056">
        <f>IF(AND(Inputs!$B$39&lt;&gt;"pvp",Inputs!$B$44&gt;0),IF(Inputs!$B$44&lt;=0,0,(INT(Inputs!$B$44/IF(Inputs!$B$39="pvp",15,MAX(0.1,Skills!D17-IF(TRUE=TRUE,Inputs!$B$33,0))))+1)),0)</f>
        <v/>
      </c>
      <c r="S1056">
        <f>IFERROR(O1056/N1056,0)</f>
        <v/>
      </c>
      <c r="T1056" t="n">
        <v>0</v>
      </c>
      <c r="V1056" t="n">
        <v>0</v>
      </c>
    </row>
    <row r="1057">
      <c r="A1057">
        <f>Skills!A18</f>
        <v/>
      </c>
      <c r="B1057">
        <f>Skills!B18</f>
        <v/>
      </c>
      <c r="C1057">
        <f>Inputs!$B$3&gt;=72</f>
        <v/>
      </c>
      <c r="D1057">
        <f>IF(Skills!C18=1,60+Inputs!$B$26+Inputs!$B$30,IF(Skills!C18=2,90+Inputs!$B$27+Inputs!$B$30,IF(Skills!C18=3,120+Inputs!$B$28+Inputs!$B$30,MAX(0,(Inputs!$B$3-100)*3)+Inputs!$B$29+Inputs!$B$30)))</f>
        <v/>
      </c>
      <c r="E1057">
        <f>INDEX(FactorTable!$B$2:$Y$301, MATCH(ROUND(MIN(300,MAX(1,D1057)),0), FactorTable!$A$2:$A$301,0), Skills!M18+1)</f>
        <v/>
      </c>
      <c r="F1057">
        <f>IF(Skills!N18=TRUE,(Skills!L18/10)*(E1057/1000),Skills!L18/10)+Skills!O18</f>
        <v/>
      </c>
      <c r="G1057">
        <f>Skills!G18*IF(Skills!H18&gt;0,INT(IF(Inputs!$B$39="pvp",MIN(Skills!I18,15),Skills!I18)/Skills!H18+0.000000001),1)</f>
        <v/>
      </c>
      <c r="H1057">
        <f>1-(1-Skills!J18/100)^Skills!K18</f>
        <v/>
      </c>
      <c r="I1057" t="inlineStr">
        <is>
          <t>1</t>
        </is>
      </c>
      <c r="J1057" t="inlineStr"/>
      <c r="K1057" t="inlineStr"/>
      <c r="L1057" t="inlineStr"/>
      <c r="M1057" t="inlineStr"/>
      <c r="N1057" t="inlineStr"/>
      <c r="O1057">
        <f>(1-Summary!$B$11)*T1057+Summary!$B$11*V1057</f>
        <v/>
      </c>
      <c r="P1057">
        <f>IF(B1078=0,0,O1057/B1078)</f>
        <v/>
      </c>
      <c r="Q1057">
        <f>IFERROR(1/IF(Inputs!$B$39="pvp",15,MAX(0.1,Skills!D18-IF(TRUE=TRUE,Inputs!$B$33,0))),0)</f>
        <v/>
      </c>
      <c r="R1057">
        <f>IF(AND(Inputs!$B$39&lt;&gt;"pvp",Inputs!$B$44&gt;0),IF(Inputs!$B$44&lt;=0,0,(INT(Inputs!$B$44/IF(Inputs!$B$39="pvp",15,MAX(0.1,Skills!D18-IF(TRUE=TRUE,Inputs!$B$33,0))))+1)),0)</f>
        <v/>
      </c>
      <c r="S1057">
        <f>IFERROR(O1057/N1057,0)</f>
        <v/>
      </c>
      <c r="T1057" t="n">
        <v>0</v>
      </c>
      <c r="V1057" t="n">
        <v>0</v>
      </c>
    </row>
    <row r="1058">
      <c r="A1058">
        <f>Skills!A19</f>
        <v/>
      </c>
      <c r="B1058">
        <f>Skills!B19</f>
        <v/>
      </c>
      <c r="C1058">
        <f>Inputs!$B$3&gt;=72</f>
        <v/>
      </c>
      <c r="D1058">
        <f>IF(Skills!C19=1,60+Inputs!$B$26+Inputs!$B$30,IF(Skills!C19=2,90+Inputs!$B$27+Inputs!$B$30,IF(Skills!C19=3,120+Inputs!$B$28+Inputs!$B$30,MAX(0,(Inputs!$B$3-100)*3)+Inputs!$B$29+Inputs!$B$30)))</f>
        <v/>
      </c>
      <c r="E1058">
        <f>INDEX(FactorTable!$B$2:$Y$301, MATCH(ROUND(MIN(300,MAX(1,D1058)),0), FactorTable!$A$2:$A$301,0), Skills!M19+1)</f>
        <v/>
      </c>
      <c r="F1058">
        <f>IF(Skills!N19=TRUE,(Skills!L19/10)*(E1058/1000),Skills!L19/10)+Skills!O19</f>
        <v/>
      </c>
      <c r="G1058">
        <f>Skills!G19*IF(Skills!H19&gt;0,INT(IF(Inputs!$B$39="pvp",MIN(Skills!I19,15),Skills!I19)/Skills!H19+0.000000001),1)</f>
        <v/>
      </c>
      <c r="H1058">
        <f>1-(1-Skills!J19/100)^Skills!K19</f>
        <v/>
      </c>
      <c r="I1058" t="inlineStr">
        <is>
          <t>1</t>
        </is>
      </c>
      <c r="J1058" t="inlineStr"/>
      <c r="K1058" t="inlineStr"/>
      <c r="L1058" t="inlineStr"/>
      <c r="M1058" t="inlineStr"/>
      <c r="N1058" t="inlineStr"/>
      <c r="O1058">
        <f>(1-Summary!$B$11)*T1058+Summary!$B$11*V1058</f>
        <v/>
      </c>
      <c r="P1058">
        <f>IF(B1078=0,0,O1058/B1078)</f>
        <v/>
      </c>
      <c r="Q1058">
        <f>IFERROR(1/IF(Inputs!$B$39="pvp",15,MAX(0.1,Skills!D19-IF(TRUE=TRUE,Inputs!$B$33,0))),0)</f>
        <v/>
      </c>
      <c r="R1058">
        <f>IF(AND(Inputs!$B$39&lt;&gt;"pvp",Inputs!$B$44&gt;0),IF(Inputs!$B$44&lt;=0,0,(INT(Inputs!$B$44/IF(Inputs!$B$39="pvp",15,MAX(0.1,Skills!D19-IF(TRUE=TRUE,Inputs!$B$33,0))))+1)),0)</f>
        <v/>
      </c>
      <c r="S1058">
        <f>IFERROR(O1058/N1058,0)</f>
        <v/>
      </c>
      <c r="T1058" t="n">
        <v>0</v>
      </c>
      <c r="V1058" t="n">
        <v>0</v>
      </c>
    </row>
    <row r="1059">
      <c r="A1059">
        <f>Skills!A20</f>
        <v/>
      </c>
      <c r="B1059">
        <f>Skills!B20</f>
        <v/>
      </c>
      <c r="C1059">
        <f>TRUE</f>
        <v/>
      </c>
      <c r="D1059">
        <f>IF(Skills!C20=1,60+Inputs!$B$26+Inputs!$B$30,IF(Skills!C20=2,90+Inputs!$B$27+Inputs!$B$30,IF(Skills!C20=3,120+Inputs!$B$28+Inputs!$B$30,MAX(0,(Inputs!$B$3-100)*3)+Inputs!$B$29+Inputs!$B$30)))</f>
        <v/>
      </c>
      <c r="E1059">
        <f>INDEX(FactorTable!$B$2:$Y$301, MATCH(ROUND(MIN(300,MAX(1,D1059)),0), FactorTable!$A$2:$A$301,0), Skills!M20+1)</f>
        <v/>
      </c>
      <c r="F1059">
        <f>IF(Skills!N20=TRUE,(Skills!L20/10)*(E1059/1000),Skills!L20/10)+Skills!O20</f>
        <v/>
      </c>
      <c r="G1059">
        <f>Skills!G20*IF(Skills!H20&gt;0,INT(IF(Inputs!$B$39="pvp",MIN(Skills!I20,15),Skills!I20)/Skills!H20+0.000000001),1)</f>
        <v/>
      </c>
      <c r="H1059">
        <f>1-(1-Skills!J20/100)^Skills!K20</f>
        <v/>
      </c>
      <c r="I1059" t="inlineStr">
        <is>
          <t>1</t>
        </is>
      </c>
      <c r="J1059" t="inlineStr"/>
      <c r="K1059" t="inlineStr"/>
      <c r="L1059" t="inlineStr"/>
      <c r="M1059" t="inlineStr"/>
      <c r="N1059" t="inlineStr"/>
      <c r="O1059">
        <f>(1-Summary!$B$11)*T1059+Summary!$B$11*V1059</f>
        <v/>
      </c>
      <c r="P1059">
        <f>IF(B1078=0,0,O1059/B1078)</f>
        <v/>
      </c>
      <c r="Q1059">
        <f>IFERROR(1/IF(Inputs!$B$39="pvp",15,MAX(0.1,Skills!D20-IF(TRUE=TRUE,Inputs!$B$33,0))),0)</f>
        <v/>
      </c>
      <c r="R1059">
        <f>IF(AND(Inputs!$B$39&lt;&gt;"pvp",Inputs!$B$44&gt;0),IF(Inputs!$B$44&lt;=0,0,(INT(Inputs!$B$44/IF(Inputs!$B$39="pvp",15,MAX(0.1,Skills!D20-IF(TRUE=TRUE,Inputs!$B$33,0))))+1)),0)</f>
        <v/>
      </c>
      <c r="S1059">
        <f>IFERROR(O1059/N1059,0)</f>
        <v/>
      </c>
      <c r="T1059" t="n">
        <v>0</v>
      </c>
      <c r="V1059" t="n">
        <v>0</v>
      </c>
    </row>
    <row r="1060">
      <c r="A1060">
        <f>Skills!A21</f>
        <v/>
      </c>
      <c r="B1060">
        <f>Skills!B21</f>
        <v/>
      </c>
      <c r="C1060">
        <f>Inputs!$B$3&gt;=33</f>
        <v/>
      </c>
      <c r="D1060">
        <f>IF(Skills!C21=1,60+Inputs!$B$26+Inputs!$B$30,IF(Skills!C21=2,90+Inputs!$B$27+Inputs!$B$30,IF(Skills!C21=3,120+Inputs!$B$28+Inputs!$B$30,MAX(0,(Inputs!$B$3-100)*3)+Inputs!$B$29+Inputs!$B$30)))</f>
        <v/>
      </c>
      <c r="E1060">
        <f>INDEX(FactorTable!$B$2:$Y$301, MATCH(ROUND(MIN(300,MAX(1,D1060)),0), FactorTable!$A$2:$A$301,0), Skills!M21+1)</f>
        <v/>
      </c>
      <c r="F1060">
        <f>IF(Skills!N21=TRUE,(Skills!L21/10)*(E1060/1000),Skills!L21/10)+Skills!O21</f>
        <v/>
      </c>
      <c r="G1060">
        <f>Skills!G21*IF(Skills!H21&gt;0,INT(IF(Inputs!$B$39="pvp",MIN(Skills!I21,15),Skills!I21)/Skills!H21+0.000000001),1)</f>
        <v/>
      </c>
      <c r="H1060">
        <f>1-(1-Skills!J21/100)^Skills!K21</f>
        <v/>
      </c>
      <c r="I1060" t="inlineStr">
        <is>
          <t>1</t>
        </is>
      </c>
      <c r="J1060" t="inlineStr"/>
      <c r="K1060" t="inlineStr"/>
      <c r="L1060" t="inlineStr"/>
      <c r="M1060" t="inlineStr"/>
      <c r="N1060" t="inlineStr"/>
      <c r="O1060">
        <f>(1-Summary!$B$11)*T1060+Summary!$B$11*V1060</f>
        <v/>
      </c>
      <c r="P1060">
        <f>IF(B1078=0,0,O1060/B1078)</f>
        <v/>
      </c>
      <c r="Q1060" t="n">
        <v>0</v>
      </c>
      <c r="R1060" t="n">
        <v>0</v>
      </c>
      <c r="S1060">
        <f>IFERROR(O1060/N1060,0)</f>
        <v/>
      </c>
      <c r="T1060" t="n">
        <v>0</v>
      </c>
      <c r="V1060" t="n">
        <v>0</v>
      </c>
    </row>
    <row r="1061">
      <c r="A1061">
        <f>Skills!A22</f>
        <v/>
      </c>
      <c r="B1061">
        <f>Skills!B22</f>
        <v/>
      </c>
      <c r="C1061">
        <f>Inputs!$B$3&gt;=43</f>
        <v/>
      </c>
      <c r="D1061">
        <f>IF(Skills!C22=1,60+Inputs!$B$26+Inputs!$B$30,IF(Skills!C22=2,90+Inputs!$B$27+Inputs!$B$30,IF(Skills!C22=3,120+Inputs!$B$28+Inputs!$B$30,MAX(0,(Inputs!$B$3-100)*3)+Inputs!$B$29+Inputs!$B$30)))</f>
        <v/>
      </c>
      <c r="E1061">
        <f>INDEX(FactorTable!$B$2:$Y$301, MATCH(ROUND(MIN(300,MAX(1,D1061)),0), FactorTable!$A$2:$A$301,0), Skills!M22+1)</f>
        <v/>
      </c>
      <c r="F1061">
        <f>IF(Skills!N22=TRUE,(Skills!L22/10)*(E1061/1000),Skills!L22/10)+Skills!O22</f>
        <v/>
      </c>
      <c r="G1061">
        <f>Skills!G22*IF(Skills!H22&gt;0,INT(IF(Inputs!$B$39="pvp",MIN(Skills!I22,15),Skills!I22)/Skills!H22+0.000000001),1)</f>
        <v/>
      </c>
      <c r="H1061">
        <f>1-(1-Skills!J22/100)^Skills!K22</f>
        <v/>
      </c>
      <c r="I1061" t="inlineStr">
        <is>
          <t>1</t>
        </is>
      </c>
      <c r="J1061" t="inlineStr"/>
      <c r="K1061" t="inlineStr"/>
      <c r="L1061" t="inlineStr"/>
      <c r="M1061" t="inlineStr"/>
      <c r="N1061" t="inlineStr"/>
      <c r="O1061">
        <f>(1-Summary!$B$11)*T1061+Summary!$B$11*V1061</f>
        <v/>
      </c>
      <c r="P1061">
        <f>IF(B1078=0,0,O1061/B1078)</f>
        <v/>
      </c>
      <c r="Q1061" t="n">
        <v>0</v>
      </c>
      <c r="R1061" t="n">
        <v>0</v>
      </c>
      <c r="S1061">
        <f>IFERROR(O1061/N1061,0)</f>
        <v/>
      </c>
      <c r="T1061" t="n">
        <v>0</v>
      </c>
      <c r="V1061" t="n">
        <v>0</v>
      </c>
    </row>
    <row r="1062">
      <c r="A1062">
        <f>Skills!A23</f>
        <v/>
      </c>
      <c r="B1062">
        <f>Skills!B23</f>
        <v/>
      </c>
      <c r="C1062">
        <f>Inputs!$B$3&gt;=120</f>
        <v/>
      </c>
      <c r="D1062">
        <f>IF(Skills!C23=1,60+Inputs!$B$26+Inputs!$B$30,IF(Skills!C23=2,90+Inputs!$B$27+Inputs!$B$30,IF(Skills!C23=3,120+Inputs!$B$28+Inputs!$B$30,MAX(0,(Inputs!$B$3-100)*3)+Inputs!$B$29+Inputs!$B$30)))</f>
        <v/>
      </c>
      <c r="E1062">
        <f>INDEX(FactorTable!$B$2:$Y$301, MATCH(ROUND(MIN(300,MAX(1,D1062)),0), FactorTable!$A$2:$A$301,0), Skills!M23+1)</f>
        <v/>
      </c>
      <c r="F1062">
        <f>IF(Skills!N23=TRUE,(Skills!L23/10)*(E1062/1000),Skills!L23/10)+Skills!O23</f>
        <v/>
      </c>
      <c r="G1062">
        <f>Skills!G23*IF(Skills!H23&gt;0,INT(IF(Inputs!$B$39="pvp",MIN(Skills!I23,15),Skills!I23)/Skills!H23+0.000000001),1)</f>
        <v/>
      </c>
      <c r="H1062">
        <f>1-(1-Skills!J23/100)^Skills!K23</f>
        <v/>
      </c>
      <c r="I1062" t="inlineStr">
        <is>
          <t>1</t>
        </is>
      </c>
      <c r="J1062" t="inlineStr"/>
      <c r="K1062" t="inlineStr"/>
      <c r="L1062" t="inlineStr"/>
      <c r="M1062" t="inlineStr"/>
      <c r="N1062" t="inlineStr"/>
      <c r="O1062">
        <f>(1-Summary!$B$11)*T1062+Summary!$B$11*V1062</f>
        <v/>
      </c>
      <c r="P1062">
        <f>IF(B1078=0,0,O1062/B1078)</f>
        <v/>
      </c>
      <c r="Q1062" t="n">
        <v>0</v>
      </c>
      <c r="R1062" t="n">
        <v>0</v>
      </c>
      <c r="S1062">
        <f>IFERROR(O1062/N1062,0)</f>
        <v/>
      </c>
      <c r="T1062" t="n">
        <v>0</v>
      </c>
      <c r="V1062" t="n">
        <v>0</v>
      </c>
    </row>
    <row r="1063">
      <c r="A1063">
        <f>Skills!A24</f>
        <v/>
      </c>
      <c r="B1063">
        <f>Skills!B24</f>
        <v/>
      </c>
      <c r="C1063">
        <f>Inputs!$B$3&gt;=120</f>
        <v/>
      </c>
      <c r="D1063">
        <f>IF(Skills!C24=1,60+Inputs!$B$26+Inputs!$B$30,IF(Skills!C24=2,90+Inputs!$B$27+Inputs!$B$30,IF(Skills!C24=3,120+Inputs!$B$28+Inputs!$B$30,MAX(0,(Inputs!$B$3-100)*3)+Inputs!$B$29+Inputs!$B$30)))</f>
        <v/>
      </c>
      <c r="E1063">
        <f>INDEX(FactorTable!$B$2:$Y$301, MATCH(ROUND(MIN(300,MAX(1,D1063)),0), FactorTable!$A$2:$A$301,0), Skills!M24+1)</f>
        <v/>
      </c>
      <c r="F1063">
        <f>IF(Skills!N24=TRUE,(Skills!L24/10)*(E1063/1000),Skills!L24/10)+Skills!O24</f>
        <v/>
      </c>
      <c r="G1063">
        <f>Skills!G24*IF(Skills!H24&gt;0,INT(IF(Inputs!$B$39="pvp",MIN(Skills!I24,15),Skills!I24)/Skills!H24+0.000000001),1)</f>
        <v/>
      </c>
      <c r="H1063">
        <f>1-(1-Skills!J24/100)^Skills!K24</f>
        <v/>
      </c>
      <c r="I1063" t="inlineStr">
        <is>
          <t>1</t>
        </is>
      </c>
      <c r="J1063" t="inlineStr"/>
      <c r="K1063" t="inlineStr"/>
      <c r="L1063" t="inlineStr"/>
      <c r="M1063" t="inlineStr"/>
      <c r="N1063" t="inlineStr"/>
      <c r="O1063">
        <f>(1-Summary!$B$11)*T1063+Summary!$B$11*V1063</f>
        <v/>
      </c>
      <c r="P1063">
        <f>IF(B1078=0,0,O1063/B1078)</f>
        <v/>
      </c>
      <c r="Q1063" t="n">
        <v>0</v>
      </c>
      <c r="R1063" t="n">
        <v>0</v>
      </c>
      <c r="S1063">
        <f>IFERROR(O1063/N1063,0)</f>
        <v/>
      </c>
      <c r="T1063" t="n">
        <v>0</v>
      </c>
      <c r="V1063" t="n">
        <v>0</v>
      </c>
    </row>
    <row r="1064">
      <c r="A1064">
        <f>Skills!A25</f>
        <v/>
      </c>
      <c r="B1064">
        <f>Skills!B25</f>
        <v/>
      </c>
      <c r="C1064">
        <f>Inputs!$B$3&gt;=125</f>
        <v/>
      </c>
      <c r="D1064">
        <f>IF(Skills!C25=1,60+Inputs!$B$26+Inputs!$B$30,IF(Skills!C25=2,90+Inputs!$B$27+Inputs!$B$30,IF(Skills!C25=3,120+Inputs!$B$28+Inputs!$B$30,MAX(0,(Inputs!$B$3-100)*3)+Inputs!$B$29+Inputs!$B$30)))</f>
        <v/>
      </c>
      <c r="E1064">
        <f>INDEX(FactorTable!$B$2:$Y$301, MATCH(ROUND(MIN(300,MAX(1,D1064)),0), FactorTable!$A$2:$A$301,0), Skills!M25+1)</f>
        <v/>
      </c>
      <c r="F1064">
        <f>IF(Skills!N25=TRUE,(Skills!L25/10)*(E1064/1000),Skills!L25/10)+Skills!O25</f>
        <v/>
      </c>
      <c r="G1064">
        <f>Skills!G25*IF(Skills!H25&gt;0,INT(IF(Inputs!$B$39="pvp",MIN(Skills!I25,15),Skills!I25)/Skills!H25+0.000000001),1)</f>
        <v/>
      </c>
      <c r="H1064">
        <f>1-(1-Skills!J25/100)^Skills!K25</f>
        <v/>
      </c>
      <c r="I1064" t="inlineStr">
        <is>
          <t>1</t>
        </is>
      </c>
      <c r="J1064" t="inlineStr"/>
      <c r="K1064" t="inlineStr"/>
      <c r="L1064" t="inlineStr"/>
      <c r="M1064" t="inlineStr"/>
      <c r="N1064" t="inlineStr"/>
      <c r="O1064">
        <f>(1-Summary!$B$11)*T1064+Summary!$B$11*V1064</f>
        <v/>
      </c>
      <c r="P1064">
        <f>IF(B1078=0,0,O1064/B1078)</f>
        <v/>
      </c>
      <c r="Q1064" t="n">
        <v>0</v>
      </c>
      <c r="R1064" t="n">
        <v>0</v>
      </c>
      <c r="S1064">
        <f>IFERROR(O1064/N1064,0)</f>
        <v/>
      </c>
      <c r="T1064" t="n">
        <v>0</v>
      </c>
      <c r="V1064" t="n">
        <v>0</v>
      </c>
    </row>
    <row r="1065">
      <c r="A1065">
        <f>Skills!A26</f>
        <v/>
      </c>
      <c r="B1065">
        <f>Skills!B26</f>
        <v/>
      </c>
      <c r="C1065">
        <f>Inputs!$B$3&gt;=107</f>
        <v/>
      </c>
      <c r="D1065">
        <f>IF(Skills!C26=1,60+Inputs!$B$26+Inputs!$B$30,IF(Skills!C26=2,90+Inputs!$B$27+Inputs!$B$30,IF(Skills!C26=3,120+Inputs!$B$28+Inputs!$B$30,MAX(0,(Inputs!$B$3-100)*3)+Inputs!$B$29+Inputs!$B$30)))</f>
        <v/>
      </c>
      <c r="E1065">
        <f>INDEX(FactorTable!$B$2:$Y$301, MATCH(ROUND(MIN(300,MAX(1,D1065)),0), FactorTable!$A$2:$A$301,0), Skills!M26+1)</f>
        <v/>
      </c>
      <c r="F1065">
        <f>IF(Skills!N26=TRUE,(Skills!L26/10)*(E1065/1000),Skills!L26/10)+Skills!O26</f>
        <v/>
      </c>
      <c r="G1065">
        <f>Skills!G26*IF(Skills!H26&gt;0,INT(IF(Inputs!$B$39="pvp",MIN(Skills!I26,15),Skills!I26)/Skills!H26+0.000000001),1)</f>
        <v/>
      </c>
      <c r="H1065">
        <f>1-(1-Skills!J26/100)^Skills!K26</f>
        <v/>
      </c>
      <c r="I1065" t="inlineStr">
        <is>
          <t>1</t>
        </is>
      </c>
      <c r="J1065" t="inlineStr"/>
      <c r="K1065" t="inlineStr"/>
      <c r="L1065" t="inlineStr"/>
      <c r="M1065" t="inlineStr"/>
      <c r="N1065" t="inlineStr"/>
      <c r="O1065">
        <f>(1-Summary!$B$11)*T1065+Summary!$B$11*V1065</f>
        <v/>
      </c>
      <c r="P1065">
        <f>IF(B1078=0,0,O1065/B1078)</f>
        <v/>
      </c>
      <c r="Q1065" t="n">
        <v>0</v>
      </c>
      <c r="R1065" t="n">
        <v>0</v>
      </c>
      <c r="S1065">
        <f>IFERROR(O1065/N1065,0)</f>
        <v/>
      </c>
      <c r="T1065" t="n">
        <v>0</v>
      </c>
      <c r="V1065" t="n">
        <v>0</v>
      </c>
    </row>
    <row r="1067">
      <c r="A1067" t="inlineStr">
        <is>
          <t>Attack% Bucket Multiplier</t>
        </is>
      </c>
      <c r="B1067">
        <f>(1+(((C1052=TRUE)*F1052*IF(AND(Inputs!$B$39&lt;&gt;"pvp",Inputs!$B$44&gt;0),(((R1052-1)*MIN((Skills!T13*(1+Inputs!$B$35/100)),(1/Q1052))+MIN((Skills!T13*(1+Inputs!$B$35/100)),MAX(0,Inputs!$B$44-((R1052-1)*(1/Q1052)))))/Inputs!$B$44),IF(Inputs!$B$39="pvp",MIN((Skills!T13*(1+Inputs!$B$35/100)),15)/15,MIN(1,(Skills!T13*(1+Inputs!$B$35/100))/(1/Q1052)))))+((C1053=TRUE)*F1053*IF(AND(Inputs!$B$39&lt;&gt;"pvp",Inputs!$B$44&gt;0),(((R1053-1)*MIN((Skills!T14*(1+Inputs!$B$35/100)),(1/Q1053))+MIN((Skills!T14*(1+Inputs!$B$35/100)),MAX(0,Inputs!$B$44-((R1053-1)*(1/Q1053)))))/Inputs!$B$44),IF(Inputs!$B$39="pvp",MIN((Skills!T14*(1+Inputs!$B$35/100)),15)/15,MIN(1,(Skills!T14*(1+Inputs!$B$35/100))/(1/Q1053)))))+((C1054=TRUE)*F1054*IF(AND(Inputs!$B$39&lt;&gt;"pvp",Inputs!$B$44&gt;0),(((R1054-1)*MIN((Skills!T15*(1+Inputs!$B$35/100)),(1/Q1054))+MIN((Skills!T15*(1+Inputs!$B$35/100)),MAX(0,Inputs!$B$44-((R1054-1)*(1/Q1054)))))/Inputs!$B$44),IF(Inputs!$B$39="pvp",MIN((Skills!T15*(1+Inputs!$B$35/100)),15)/15,MIN(1,(Skills!T15*(1+Inputs!$B$35/100))/(1/Q1054)))))+((C1055=TRUE)*F1055*IF(AND(Inputs!$B$39&lt;&gt;"pvp",Inputs!$B$44&gt;0),(((R1055-1)*MIN((Skills!T16*(1+Inputs!$B$35/100)),(1/Q1055))+MIN((Skills!T16*(1+Inputs!$B$35/100)),MAX(0,Inputs!$B$44-((R1055-1)*(1/Q1055)))))/Inputs!$B$44),IF(Inputs!$B$39="pvp",MIN((Skills!T16*(1+Inputs!$B$35/100)),15)/15,MIN(1,(Skills!T16*(1+Inputs!$B$35/100))/(1/Q1055)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1068">
      <c r="A1068" t="inlineStr">
        <is>
          <t>Global Crit Rate Bonus % (Lord of Darkness)</t>
        </is>
      </c>
      <c r="B1068">
        <f>((C1057=TRUE)*F1057*(Skills!J18/100)*IF(AND(Inputs!$B$39&lt;&gt;"pvp",Inputs!$B$44&gt;0),(((R1057-1)*MIN((Skills!T18*(1+Inputs!$B$35/100)),(1/Q1057))+MIN((Skills!T18*(1+Inputs!$B$35/100)),MAX(0,Inputs!$B$44-((R1057-1)*(1/Q1057)))))/Inputs!$B$44),IF(Inputs!$B$39="pvp",MIN((Skills!T18*(1+Inputs!$B$35/100)),15)/15,MIN(1,(Skills!T18*(1+Inputs!$B$35/100))/(1/Q1057)))))</f>
        <v/>
      </c>
    </row>
    <row r="1069">
      <c r="A1069" t="inlineStr">
        <is>
          <t>Attack Speed Buff Bonus %</t>
        </is>
      </c>
      <c r="B1069">
        <f>((C1059=TRUE)*F1059*IF(AND(Inputs!$B$39&lt;&gt;"pvp",Inputs!$B$44&gt;0),(((R1059-1)*MIN((Skills!T20*(1+Inputs!$B$35/100)),(1/Q1059))+MIN((Skills!T20*(1+Inputs!$B$35/100)),MAX(0,Inputs!$B$44-((R1059-1)*(1/Q1059)))))/Inputs!$B$44),IF(Inputs!$B$39="pvp",MIN((Skills!T20*(1+Inputs!$B$35/100)),15)/15,MIN(1,(Skills!T20*(1+Inputs!$B$35/100))/(1/Q1059)))))</f>
        <v/>
      </c>
    </row>
    <row r="1070">
      <c r="A1070" t="inlineStr">
        <is>
          <t>Actions Per Second</t>
        </is>
      </c>
      <c r="B1070">
        <f>1+MIN(150,150*(1-(1-(Inputs!$B$12+((C1060=TRUE)*(F1060-Calc!F21)))/150)*(1-B1069/150)))/100</f>
        <v/>
      </c>
    </row>
    <row r="1071">
      <c r="A1071" t="inlineStr">
        <is>
          <t>Skill + Buff Cast Rate</t>
        </is>
      </c>
      <c r="B1071">
        <f>IF(AND(Inputs!$B$39&lt;&gt;"pvp",Inputs!$B$44&gt;0),SUMPRODUCT((Skills!E2:E26=TRUE)*(C1041:C1065=TRUE)*R1041:R1065*Skills!F2:F26)/Inputs!$B$44,SUMPRODUCT((Skills!E2:E26=TRUE)*(C1041:C1065=TRUE)*Q1041:Q1065*Skills!F2:F26))</f>
        <v/>
      </c>
    </row>
    <row r="1072">
      <c r="A1072" t="inlineStr">
        <is>
          <t>Dark Impale Casts Per Second</t>
        </is>
      </c>
      <c r="B1072">
        <f>MAX(0,B1070-B1071)</f>
        <v/>
      </c>
    </row>
    <row r="1073">
      <c r="A1073" t="inlineStr">
        <is>
          <t>Global Critical Damage Bonus % (Lord of Darkness)</t>
        </is>
      </c>
      <c r="B1073">
        <f>((C1058=TRUE)*F1058*(Skills!J19/100)*IF(AND(Inputs!$B$39&lt;&gt;"pvp",Inputs!$B$44&gt;0),(((R1058-1)*MIN((Skills!T19*(1+Inputs!$B$35/100)),(1/Q1058))+MIN((Skills!T19*(1+Inputs!$B$35/100)),MAX(0,Inputs!$B$44-((R1058-1)*(1/Q1058)))))/Inputs!$B$44),IF(Inputs!$B$39="pvp",MIN((Skills!T19*(1+Inputs!$B$35/100)),15)/15,MIN(1,(Skills!T19*(1+Inputs!$B$35/100))/(1/Q1058)))))</f>
        <v/>
      </c>
    </row>
    <row r="1074">
      <c r="A1074" t="inlineStr">
        <is>
          <t>Global Final Damage Bonus % (unused)</t>
        </is>
      </c>
      <c r="B1074" t="n">
        <v>0</v>
      </c>
    </row>
    <row r="1075">
      <c r="A1075" t="inlineStr">
        <is>
          <t>Buff-Casting Startup Delay (s, fixed-duration only)</t>
        </is>
      </c>
      <c r="B1075">
        <f>IF(AND(Inputs!$B$39&lt;&gt;"pvp",Inputs!$B$44&gt;0),SUMPRODUCT((Skills!T2:T26&gt;0)*(Skills!E2:E26=TRUE)*(C1041:C1065=TRUE))/B1070,0)</f>
        <v/>
      </c>
    </row>
    <row r="1076">
      <c r="A1076" t="inlineStr">
        <is>
          <t>Boss-Only Total DPS (this block's swept value)</t>
        </is>
      </c>
      <c r="B1076">
        <f>SUM(T1041:T1065)</f>
        <v/>
      </c>
    </row>
    <row r="1077">
      <c r="A1077" t="inlineStr">
        <is>
          <t>Normal-Only Total DPS (this block's swept value)</t>
        </is>
      </c>
      <c r="B1077">
        <f>SUM(V1041:V1065)</f>
        <v/>
      </c>
    </row>
    <row r="1078">
      <c r="A1078" s="6" t="inlineStr">
        <is>
          <t>TOTAL DPS</t>
        </is>
      </c>
      <c r="B1078" s="6">
        <f>SUM(O1041:O1065)</f>
        <v/>
      </c>
    </row>
    <row r="1081">
      <c r="A1081" s="6" t="inlineStr">
        <is>
          <t>Stat: ATTACK %</t>
        </is>
      </c>
    </row>
    <row r="1082">
      <c r="A1082" s="5" t="inlineStr">
        <is>
          <t>Key</t>
        </is>
      </c>
      <c r="B1082" s="5" t="inlineStr">
        <is>
          <t>Name</t>
        </is>
      </c>
      <c r="C1082" s="5" t="inlineStr">
        <is>
          <t>Unlocked</t>
        </is>
      </c>
      <c r="D1082" s="5" t="inlineStr">
        <is>
          <t>InputLevel</t>
        </is>
      </c>
      <c r="E1082" s="5" t="inlineStr">
        <is>
          <t>Factor</t>
        </is>
      </c>
      <c r="F1082" s="5" t="inlineStr">
        <is>
          <t>CoefficientPercent</t>
        </is>
      </c>
      <c r="G1082" s="5" t="inlineStr">
        <is>
          <t>EffectiveHits</t>
        </is>
      </c>
      <c r="H1082" s="5" t="inlineStr">
        <is>
          <t>ProcProbability</t>
        </is>
      </c>
      <c r="I1082" s="5" t="inlineStr">
        <is>
          <t>MapleHeroMultiplier</t>
        </is>
      </c>
      <c r="J1082" s="5" t="inlineStr">
        <is>
          <t>BaseDamage</t>
        </is>
      </c>
      <c r="K1082" s="5" t="inlineStr">
        <is>
          <t>BaseHitDamage</t>
        </is>
      </c>
      <c r="L1082" s="5" t="inlineStr">
        <is>
          <t>NonCritAvg</t>
        </is>
      </c>
      <c r="M1082" s="5" t="inlineStr">
        <is>
          <t>CritAvg</t>
        </is>
      </c>
      <c r="N1082" s="5" t="inlineStr">
        <is>
          <t>ExpectedDamage(perHit)</t>
        </is>
      </c>
      <c r="O1082" s="5" t="inlineStr">
        <is>
          <t>DPS</t>
        </is>
      </c>
      <c r="P1082" s="5" t="inlineStr">
        <is>
          <t>% of Total</t>
        </is>
      </c>
      <c r="Q1082" s="5" t="inlineStr">
        <is>
          <t>InvCooldown</t>
        </is>
      </c>
      <c r="R1082" s="5" t="inlineStr">
        <is>
          <t>CastsInFight</t>
        </is>
      </c>
      <c r="S1082" s="5" t="inlineStr">
        <is>
          <t>HitRate(perSec)</t>
        </is>
      </c>
      <c r="U1082" t="inlineStr">
        <is>
          <t>helpers</t>
        </is>
      </c>
    </row>
    <row r="1083">
      <c r="A1083">
        <f>Skills!A2</f>
        <v/>
      </c>
      <c r="B1083">
        <f>Skills!B2</f>
        <v/>
      </c>
      <c r="C1083">
        <f>Inputs!$B$3&gt;=100</f>
        <v/>
      </c>
      <c r="D1083" t="inlineStr"/>
      <c r="E1083" t="inlineStr"/>
      <c r="F1083">
        <f>U1085+Skills!O2</f>
        <v/>
      </c>
      <c r="G1083">
        <f>Skills!G2*IF(Skills!H2&gt;0,INT(IF(Inputs!$B$39="pvp",MIN(Skills!I2,15),Skills!I2)/Skills!H2+0.000000001),1)</f>
        <v/>
      </c>
      <c r="H1083">
        <f>1-(1-Skills!J2/100)^Skills!K2</f>
        <v/>
      </c>
      <c r="I1083" t="inlineStr">
        <is>
          <t>1</t>
        </is>
      </c>
      <c r="J1083">
        <f>((Inputs!$B$6*(1+(Inputs!$B$7+1)/100))+(((Inputs!$B$13*(1+Inputs!$B$14/100))-(Inputs!$B$13*(1+Inputs!$B$14/100)))+0.25*(Inputs!$B$15-Inputs!$B$15))*(1+(Inputs!$B$7+1)/100))*(F1083/100)</f>
        <v/>
      </c>
      <c r="K1083">
        <f>J1083*(1+(((Inputs!$B$13+IF(Inputs!$B$3&gt;=38,(10*INDEX(FactorTable!$B$2:$Y$301, MATCH(ROUND(MIN(300,MAX(1,Inputs!$B$3)),0), FactorTable!$A$2:$A$301,0), 23)/1000)/100*(Inputs!$B$8*(1+Inputs!$B$9/100)),0))*(1+Inputs!$B$14/100))*0.01+Inputs!$B$15*0.0025)/100)*(1+Inputs!$B$16/100)*(1+Inputs!$B$17/100)*(5000/(6000+Inputs!$B$43*(1-(Inputs!$B$20+0)/100)))*(1+(Inputs!$B$25+((C1106=TRUE)*(F1106-Calc!F25))+((C1107=TRUE)*(F1107-Calc!F26))+B1116)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gt;=100),MIN(100,((Inputs!$B$10+0+B1110+(ArtifactsInput!$M$24-ArtifactsInput!$M$24)*CHOOSE(ArtifactsInput!$N$24+1,10,12,14,16,18,20)+IF(ArtifactsInput!$M$10,CHOOSE(ArtifactsInput!$N$10+1,15,18,21,24,27,30)*(IF(Inputs!$B$39="pvp",MIN(15,15)/15,IF(AND(Inputs!$B$39&lt;&gt;"pvp",Inputs!$B$44&gt;0),MIN(15,Inputs!$B$44)/(Inputs!$B$44),0))),0)))-100),0))*CHOOSE(ArtifactsInput!$N$42+1,0.6,0.72,0.84,0.96,1.08,1.2))),Inputs!$B$19+((C1104=TRUE)*(F1104-Calc!F23))+(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gt;=100),CHOOSE(ArtifactsInput!$N$42+1,40,48,56,64,72,80),0))))/100)*((1+(((C1094=TRUE)*F1094*IF(AND(Inputs!$B$39&lt;&gt;"pvp",Inputs!$B$44&gt;0),(((R1094-1)*MIN((Skills!T13*(1+Inputs!$B$35/100)),(1/Q1094))+MIN((Skills!T13*(1+Inputs!$B$35/100)),MAX(0,Inputs!$B$44-((R1094-1)*(1/Q1094)))))/Inputs!$B$44),IF(Inputs!$B$39="pvp",MIN((Skills!T13*(1+Inputs!$B$35/100)),15)/15,MIN(1,(Skills!T13*(1+Inputs!$B$35/100))/(1/Q1094)))))+((C1095=TRUE)*F1095*IF(AND(Inputs!$B$39&lt;&gt;"pvp",Inputs!$B$44&gt;0),(((R1095-1)*MIN((Skills!T14*(1+Inputs!$B$35/100)),(1/Q1095))+MIN((Skills!T14*(1+Inputs!$B$35/100)),MAX(0,Inputs!$B$44-((R1095-1)*(1/Q1095)))))/Inputs!$B$44),IF(Inputs!$B$39="pvp",MIN((Skills!T14*(1+Inputs!$B$35/100)),15)/15,MIN(1,(Skills!T14*(1+Inputs!$B$35/100))/(1/Q1095)))))+((C1096=TRUE)*F1096*IF(AND(Inputs!$B$39&lt;&gt;"pvp",Inputs!$B$44&gt;0),(((R1096-1)*MIN((Skills!T15*(1+Inputs!$B$35/100)),(1/Q1096))+MIN((Skills!T15*(1+Inputs!$B$35/100)),MAX(0,Inputs!$B$44-((R1096-1)*(1/Q1096)))))/Inputs!$B$44),IF(Inputs!$B$39="pvp",MIN((Skills!T15*(1+Inputs!$B$35/100)),15)/15,MIN(1,(Skills!T15*(1+Inputs!$B$35/100))/(1/Q1096)))))+((C1097=TRUE)*F1097*IF(AND(Inputs!$B$39&lt;&gt;"pvp",Inputs!$B$44&gt;0),(((R1097-1)*MIN((Skills!T16*(1+Inputs!$B$35/100)),(1/Q1097))+MIN((Skills!T16*(1+Inputs!$B$35/100)),MAX(0,Inputs!$B$44-((R1097-1)*(1/Q1097)))))/Inputs!$B$44),IF(Inputs!$B$39="pvp",MIN((Skills!T16*(1+Inputs!$B$35/100)),15)/15,MIN(1,(Skills!T16*(1+Inputs!$B$35/100))/(1/Q1097)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1083)</f>
        <v/>
      </c>
      <c r="L1083">
        <f>K1083*(MIN(Inputs!$B$23+((C1103=TRUE)*(F1103-Calc!F22)),(Inputs!$B$24+((C1105=TRUE)*(F1105-Calc!F24))+(IF(ArtifactsInput!$M$15,CHOOSE(ArtifactsInput!$N$15+1,25,30,35,40,45,50)/100*(Inputs!$B$12-Inputs!$B$12),0))))/100+(Inputs!$B$24+((C1105=TRUE)*(F1105-Calc!F24))+(IF(ArtifactsInput!$M$15,CHOOSE(ArtifactsInput!$N$15+1,25,30,35,40,45,50)/100*(Inputs!$B$12-Inputs!$B$12),0)))/100)/2</f>
        <v/>
      </c>
      <c r="M1083">
        <f>L1083*(1+(Inputs!$B$11+0+B1115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083">
        <f>L1083*(1-MIN((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1083*(MIN((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83">
        <f>(1-Summary!$B$11)*T1083+Summary!$B$11*V1083</f>
        <v/>
      </c>
      <c r="P1083">
        <f>IF(B1120=0,0,O1083/B1120)</f>
        <v/>
      </c>
      <c r="Q1083" t="n">
        <v>0</v>
      </c>
      <c r="R1083" t="n">
        <v>0</v>
      </c>
      <c r="S1083">
        <f>IFERROR(O1083/N1083,0)</f>
        <v/>
      </c>
      <c r="T1083">
        <f>IF(C1083,(Skills!G2*N1083*B1114)*IF(Inputs!$B$39="pvp",1,1+(Inputs!$B$21+0+Skills!P2+((C1098=TRUE)*F1098*IF(AND(Inputs!$B$39&lt;&gt;"pvp",Inputs!$B$44&gt;0),(((R1098-1)*MIN((Skills!T17*(1+Inputs!$B$35/100)),(1/Q1098))+MIN((Skills!T17*(1+Inputs!$B$35/100)),MAX(0,Inputs!$B$44-((R1098-1)*(1/Q1098)))))/Inputs!$B$44),IF(Inputs!$B$39="pvp",MIN((Skills!T17*(1+Inputs!$B$35/100)),15)/15,MIN(1,(Skills!T17*(1+Inputs!$B$35/100))/(1/Q1098)))))+((C1086=TRUE)*IF(Inputs!$B$3&gt;=126,10*MIN(1,15*Q1086),0))+((C1095=TRUE)*IF(Inputs!$B$39="pvp",20,(1-Summary!$B$11)*(20)+Summary!$B$11*(0))*IF(AND(Inputs!$B$39&lt;&gt;"pvp",Inputs!$B$44&gt;0),(((R1095-1)*MIN((Skills!T14*(1+Inputs!$B$35/100)),(1/Q1095))+MIN((Skills!T14*(1+Inputs!$B$35/100)),MAX(0,Inputs!$B$44-((R1095-1)*(1/Q1095)))))/Inputs!$B$44),IF(Inputs!$B$39="pvp",MIN((Skills!T14*(1+Inputs!$B$35/100)),15)/15,MIN(1,(Skills!T14*(1+Inputs!$B$35/100))/(1/Q1095)))))+((C1094=TRUE)*IF(Inputs!$B$3&gt;=82,IF(Inputs!$B$39="pvp",20,(1-Summary!$B$11)*(20)+Summary!$B$11*(0)),0)*IF(AND(Inputs!$B$39&lt;&gt;"pvp",Inputs!$B$44&gt;0),(((R1094-1)*MIN((Skills!T13*(1+Inputs!$B$35/100)),(1/Q1094))+MIN((Skills!T13*(1+Inputs!$B$35/100)),MAX(0,Inputs!$B$44-((R1094-1)*(1/Q1094)))))/Inputs!$B$44),IF(Inputs!$B$39="pvp",MIN((Skills!T13*(1+Inputs!$B$35/100)),15)/15,MIN(1,(Skills!T13*(1+Inputs!$B$35/100))/(1/Q1094)))))+(IF(AND(ArtifactsInput!$M$35,Inputs!$B$4&lt;&gt;"Chapter Hunt"),CHOOSE(ArtifactsInput!$N$35+1,15,18,21,24,27,30)*(1-EXP(-(0.2*B1112)*5)),0)+IF(AND(ArtifactsInput!$M$22,Inputs!$B$4&lt;&gt;"Chapter Hunt"),CHOOSE(ArtifactsInput!$N$22+1,10,12,14,16,18,20)*((0*(((0.15*B1112*5))^0/1)+1*(((0.15*B1112*5))^1/1)+2*(((0.15*B1112*5))^2/2)+3*(((0.15*B1112*5))^3/6)+4*(((0.15*B1112*5))^4/24)+5*(((0.15*B1112*5))^5/120))/((((0.15*B1112*5))^0/1)+(((0.15*B1112*5))^1/1)+(((0.15*B1112*5))^2/2)+(((0.15*B1112*5))^3/6)+(((0.15*B1112*5))^4/24)+(((0.15*B1112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1083*(1-MIN(100,(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1083*(MIN(100,(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1083*(1-MIN(100,(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1083*(MIN(100,(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083">
        <f>MAX(0,(Inputs!$B$3-100)*3)+Inputs!$B$29+Inputs!$B$30</f>
        <v/>
      </c>
      <c r="V1083">
        <f>IF(C1083,(Skills!G2*N1083*B1114)*IF(Inputs!$B$39="pvp",1,(1+(Inputs!$B$22+Skills!Q2+((C1098=TRUE)*F1098*IF(AND(Inputs!$B$39&lt;&gt;"pvp",Inputs!$B$44&gt;0),(((R1098-1)*MIN((Skills!T17*(1+Inputs!$B$35/100)),(1/Q1098))+MIN((Skills!T17*(1+Inputs!$B$35/100)),MAX(0,Inputs!$B$44-((R1098-1)*(1/Q1098)))))/Inputs!$B$44),IF(Inputs!$B$39="pvp",MIN((Skills!T17*(1+Inputs!$B$35/100)),15)/15,MIN(1,(Skills!T17*(1+Inputs!$B$35/100))/(1/Q1098)))))+((C1086=TRUE)*IF(Inputs!$B$3&gt;=126,10*MIN(1,15*Q1086),0))+((C1095=TRUE)*IF(Inputs!$B$39="pvp",20,(1-Summary!$B$11)*(20)+Summary!$B$11*(0))*IF(AND(Inputs!$B$39&lt;&gt;"pvp",Inputs!$B$44&gt;0),(((R1095-1)*MIN((Skills!T14*(1+Inputs!$B$35/100)),(1/Q1095))+MIN((Skills!T14*(1+Inputs!$B$35/100)),MAX(0,Inputs!$B$44-((R1095-1)*(1/Q1095)))))/Inputs!$B$44),IF(Inputs!$B$39="pvp",MIN((Skills!T14*(1+Inputs!$B$35/100)),15)/15,MIN(1,(Skills!T14*(1+Inputs!$B$35/100))/(1/Q1095)))))+((C1094=TRUE)*IF(Inputs!$B$3&gt;=82,IF(Inputs!$B$39="pvp",20,(1-Summary!$B$11)*(20)+Summary!$B$11*(0)),0)*IF(AND(Inputs!$B$39&lt;&gt;"pvp",Inputs!$B$44&gt;0),(((R1094-1)*MIN((Skills!T13*(1+Inputs!$B$35/100)),(1/Q1094))+MIN((Skills!T13*(1+Inputs!$B$35/100)),MAX(0,Inputs!$B$44-((R1094-1)*(1/Q1094)))))/Inputs!$B$44),IF(Inputs!$B$39="pvp",MIN((Skills!T13*(1+Inputs!$B$35/100)),15)/15,MIN(1,(Skills!T13*(1+Inputs!$B$35/100))/(1/Q1094)))))+(IF(AND(ArtifactsInput!$M$35,Inputs!$B$4&lt;&gt;"Chapter Hunt"),CHOOSE(ArtifactsInput!$N$35+1,15,18,21,24,27,30)*(1-EXP(-(0.2*B1112)*5)),0)+IF(AND(ArtifactsInput!$M$22,Inputs!$B$4&lt;&gt;"Chapter Hunt"),CHOOSE(ArtifactsInput!$N$22+1,10,12,14,16,18,20)*((0*(((0.15*B1112*5))^0/1)+1*(((0.15*B1112*5))^1/1)+2*(((0.15*B1112*5))^2/2)+3*(((0.15*B1112*5))^3/6)+4*(((0.15*B1112*5))^4/24)+5*(((0.15*B1112*5))^5/120))/((((0.15*B1112*5))^0/1)+(((0.15*B1112*5))^1/1)+(((0.15*B1112*5))^2/2)+(((0.15*B1112*5))^3/6)+(((0.15*B1112*5))^4/24)+(((0.15*B1112*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84">
      <c r="A1084">
        <f>Skills!A3</f>
        <v/>
      </c>
      <c r="B1084">
        <f>Skills!B3</f>
        <v/>
      </c>
      <c r="C1084">
        <f>Inputs!$B$3&gt;=50</f>
        <v/>
      </c>
      <c r="D1084">
        <f>IF(Skills!C3=1,60+Inputs!$B$26+Inputs!$B$30,IF(Skills!C3=2,90+Inputs!$B$27+Inputs!$B$30,IF(Skills!C3=3,120+Inputs!$B$28+Inputs!$B$30,MAX(0,(Inputs!$B$3-100)*3)+Inputs!$B$29+Inputs!$B$30)))</f>
        <v/>
      </c>
      <c r="E1084">
        <f>INDEX(FactorTable!$B$2:$Y$301, MATCH(ROUND(MIN(300,MAX(1,D1084)),0), FactorTable!$A$2:$A$301,0), Skills!M3+1)</f>
        <v/>
      </c>
      <c r="F1084">
        <f>IF(Skills!N3=TRUE,(Skills!L3/10)*(E1084/1000),Skills!L3/10)+Skills!O3</f>
        <v/>
      </c>
      <c r="G1084" t="inlineStr"/>
      <c r="H1084" t="inlineStr"/>
      <c r="I1084" t="inlineStr">
        <is>
          <t>1</t>
        </is>
      </c>
      <c r="J1084" t="inlineStr"/>
      <c r="K1084" t="inlineStr"/>
      <c r="L1084" t="inlineStr"/>
      <c r="M1084" t="inlineStr"/>
      <c r="N1084" t="inlineStr"/>
      <c r="O1084" t="inlineStr"/>
      <c r="P1084" t="inlineStr"/>
      <c r="Q1084" t="inlineStr"/>
      <c r="R1084" t="inlineStr"/>
      <c r="S1084" t="inlineStr"/>
      <c r="U1084">
        <f>INDEX(FactorTable!$B$2:$Y$301, MATCH(ROUND(MIN(300,MAX(1,U1083)),0), FactorTable!$A$2:$A$301,0), 22)</f>
        <v/>
      </c>
    </row>
    <row r="1085">
      <c r="A1085">
        <f>Skills!A4</f>
        <v/>
      </c>
      <c r="B1085">
        <f>Skills!B4</f>
        <v/>
      </c>
      <c r="C1085">
        <f>Inputs!$B$3&gt;=105</f>
        <v/>
      </c>
      <c r="D1085">
        <f>IF(Skills!C4=1,60+Inputs!$B$26+Inputs!$B$30,IF(Skills!C4=2,90+Inputs!$B$27+Inputs!$B$30,IF(Skills!C4=3,120+Inputs!$B$28+Inputs!$B$30,MAX(0,(Inputs!$B$3-100)*3)+Inputs!$B$29+Inputs!$B$30)))</f>
        <v/>
      </c>
      <c r="E1085">
        <f>INDEX(FactorTable!$B$2:$Y$301, MATCH(ROUND(MIN(300,MAX(1,D1085)),0), FactorTable!$A$2:$A$301,0), Skills!M4+1)</f>
        <v/>
      </c>
      <c r="F1085">
        <f>IF(Skills!N4=TRUE,(Skills!L4/10)*(E1085/1000),Skills!L4/10)+Skills!O4</f>
        <v/>
      </c>
      <c r="G1085" t="inlineStr"/>
      <c r="H1085" t="inlineStr"/>
      <c r="I1085" t="inlineStr">
        <is>
          <t>1</t>
        </is>
      </c>
      <c r="J1085" t="inlineStr"/>
      <c r="K1085" t="inlineStr"/>
      <c r="L1085" t="inlineStr"/>
      <c r="M1085" t="inlineStr"/>
      <c r="N1085" t="inlineStr"/>
      <c r="O1085" t="inlineStr"/>
      <c r="P1085" t="inlineStr"/>
      <c r="Q1085" t="inlineStr"/>
      <c r="R1085" t="inlineStr"/>
      <c r="S1085" t="inlineStr"/>
      <c r="U1085">
        <f>290*U1084/1000</f>
        <v/>
      </c>
    </row>
    <row r="1086">
      <c r="A1086">
        <f>Skills!A5</f>
        <v/>
      </c>
      <c r="B1086">
        <f>Skills!B5</f>
        <v/>
      </c>
      <c r="C1086">
        <f>Inputs!$B$3&gt;=117</f>
        <v/>
      </c>
      <c r="D1086">
        <f>IF(Skills!C5=1,60+Inputs!$B$26+Inputs!$B$30,IF(Skills!C5=2,90+Inputs!$B$27+Inputs!$B$30,IF(Skills!C5=3,120+Inputs!$B$28+Inputs!$B$30,MAX(0,(Inputs!$B$3-100)*3)+Inputs!$B$29+Inputs!$B$30)))</f>
        <v/>
      </c>
      <c r="E1086">
        <f>INDEX(FactorTable!$B$2:$Y$301, MATCH(ROUND(MIN(300,MAX(1,D1086)),0), FactorTable!$A$2:$A$301,0), Skills!M5+1)</f>
        <v/>
      </c>
      <c r="F1086">
        <f>IF(Skills!N5=TRUE,(Skills!L5/10)*(E1086/1000),Skills!L5/10)+Skills!O5</f>
        <v/>
      </c>
      <c r="G1086">
        <f>Skills!G5*IF(Skills!H5&gt;0,INT(IF(Inputs!$B$39="pvp",MIN(Skills!I5,15),Skills!I5)/Skills!H5+0.000000001),1)</f>
        <v/>
      </c>
      <c r="H1086">
        <f>1-(1-Skills!J5/100)^Skills!K5</f>
        <v/>
      </c>
      <c r="I1086" t="inlineStr">
        <is>
          <t>1</t>
        </is>
      </c>
      <c r="J1086">
        <f>((Inputs!$B$6*(1+(Inputs!$B$7+1)/100))+(((Inputs!$B$13*(1+Inputs!$B$14/100))-(Inputs!$B$13*(1+Inputs!$B$14/100)))+0.25*(Inputs!$B$15-Inputs!$B$15))*(1+(Inputs!$B$7+1)/100))*(F1086/100)</f>
        <v/>
      </c>
      <c r="K1086">
        <f>J1086*(1+(((Inputs!$B$13+IF(Inputs!$B$3&gt;=38,(10*INDEX(FactorTable!$B$2:$Y$301, MATCH(ROUND(MIN(300,MAX(1,Inputs!$B$3)),0), FactorTable!$A$2:$A$301,0), 23)/1000)/100*(Inputs!$B$8*(1+Inputs!$B$9/100)),0))*(1+Inputs!$B$14/100))*0.01+Inputs!$B$15*0.0025)/100)*(1+Inputs!$B$16/100)*(1+Inputs!$B$17/100)*(5000/(6000+Inputs!$B$43*(1-(Inputs!$B$20+0)/100)))*(1+(Inputs!$B$25+((C1106=TRUE)*(F1106-Calc!F25))+((C1107=TRUE)*(F1107-Calc!F26))+B1116)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gt;=100),MIN(100,((Inputs!$B$10+0+B1110+(ArtifactsInput!$M$24-ArtifactsInput!$M$24)*CHOOSE(ArtifactsInput!$N$24+1,10,12,14,16,18,20)+IF(ArtifactsInput!$M$10,CHOOSE(ArtifactsInput!$N$10+1,15,18,21,24,27,30)*(IF(Inputs!$B$39="pvp",MIN(15,15)/15,IF(AND(Inputs!$B$39&lt;&gt;"pvp",Inputs!$B$44&gt;0),MIN(15,Inputs!$B$44)/(Inputs!$B$44),0))),0)))-100),0))*CHOOSE(ArtifactsInput!$N$42+1,0.6,0.72,0.84,0.96,1.08,1.2))),Inputs!$B$19+((C1104=TRUE)*(F1104-Calc!F23))+(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gt;=100),CHOOSE(ArtifactsInput!$N$42+1,40,48,56,64,72,80),0))))/100)*((1+(((C1094=TRUE)*F1094*IF(AND(Inputs!$B$39&lt;&gt;"pvp",Inputs!$B$44&gt;0),(((R1094-1)*MIN((Skills!T13*(1+Inputs!$B$35/100)),(1/Q1094))+MIN((Skills!T13*(1+Inputs!$B$35/100)),MAX(0,Inputs!$B$44-((R1094-1)*(1/Q1094)))))/Inputs!$B$44),IF(Inputs!$B$39="pvp",MIN((Skills!T13*(1+Inputs!$B$35/100)),15)/15,MIN(1,(Skills!T13*(1+Inputs!$B$35/100))/(1/Q1094)))))+((C1095=TRUE)*F1095*IF(AND(Inputs!$B$39&lt;&gt;"pvp",Inputs!$B$44&gt;0),(((R1095-1)*MIN((Skills!T14*(1+Inputs!$B$35/100)),(1/Q1095))+MIN((Skills!T14*(1+Inputs!$B$35/100)),MAX(0,Inputs!$B$44-((R1095-1)*(1/Q1095)))))/Inputs!$B$44),IF(Inputs!$B$39="pvp",MIN((Skills!T14*(1+Inputs!$B$35/100)),15)/15,MIN(1,(Skills!T14*(1+Inputs!$B$35/100))/(1/Q1095)))))+((C1096=TRUE)*F1096*IF(AND(Inputs!$B$39&lt;&gt;"pvp",Inputs!$B$44&gt;0),(((R1096-1)*MIN((Skills!T15*(1+Inputs!$B$35/100)),(1/Q1096))+MIN((Skills!T15*(1+Inputs!$B$35/100)),MAX(0,Inputs!$B$44-((R1096-1)*(1/Q1096)))))/Inputs!$B$44),IF(Inputs!$B$39="pvp",MIN((Skills!T15*(1+Inputs!$B$35/100)),15)/15,MIN(1,(Skills!T15*(1+Inputs!$B$35/100))/(1/Q1096)))))+((C1097=TRUE)*F1097*IF(AND(Inputs!$B$39&lt;&gt;"pvp",Inputs!$B$44&gt;0),(((R1097-1)*MIN((Skills!T16*(1+Inputs!$B$35/100)),(1/Q1097))+MIN((Skills!T16*(1+Inputs!$B$35/100)),MAX(0,Inputs!$B$44-((R1097-1)*(1/Q1097)))))/Inputs!$B$44),IF(Inputs!$B$39="pvp",MIN((Skills!T16*(1+Inputs!$B$35/100)),15)/15,MIN(1,(Skills!T16*(1+Inputs!$B$35/100))/(1/Q1097)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1086)</f>
        <v/>
      </c>
      <c r="L1086">
        <f>K1086*(MIN(Inputs!$B$23+((C1103=TRUE)*(F1103-Calc!F22)),(Inputs!$B$24+((C1105=TRUE)*(F1105-Calc!F24))+(IF(ArtifactsInput!$M$15,CHOOSE(ArtifactsInput!$N$15+1,25,30,35,40,45,50)/100*(Inputs!$B$12-Inputs!$B$12),0))))/100+(Inputs!$B$24+((C1105=TRUE)*(F1105-Calc!F24))+(IF(ArtifactsInput!$M$15,CHOOSE(ArtifactsInput!$N$15+1,25,30,35,40,45,50)/100*(Inputs!$B$12-Inputs!$B$12),0)))/100)/2</f>
        <v/>
      </c>
      <c r="M1086">
        <f>L1086*(1+(Inputs!$B$11+0+B1115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086">
        <f>L1086*(1-MIN((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1086*(MIN((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86">
        <f>(1-Summary!$B$11)*T1086+Summary!$B$11*V1086</f>
        <v/>
      </c>
      <c r="P1086">
        <f>IF(B1120=0,0,O1086/B1120)</f>
        <v/>
      </c>
      <c r="Q1086">
        <f>IFERROR(1/IF(Inputs!$B$39="pvp",15,MAX(0.1,Skills!D5-IF(TRUE=TRUE,Inputs!$B$33,0))),0)</f>
        <v/>
      </c>
      <c r="R1086">
        <f>IF(AND(Inputs!$B$39&lt;&gt;"pvp",Inputs!$B$44&gt;0),IF(MAX(0,Inputs!$B$44-B1117)&lt;=0,0,(INT(MAX(0,Inputs!$B$44-B1117)/IF(Inputs!$B$39="pvp",15,MAX(0.1,Skills!D5-IF(TRUE=TRUE,Inputs!$B$33,0))))+1)),0)</f>
        <v/>
      </c>
      <c r="S1086">
        <f>IFERROR(O1086/N1086,0)</f>
        <v/>
      </c>
      <c r="T1086">
        <f>IF(C1086,(H1086*N1086*IF(AND(Inputs!$B$39&lt;&gt;"pvp",Inputs!$B$44&gt;0),((Skills!G5*((R1086-1)*IF(Skills!H5&gt;0,INT(Skills!I5/Skills!H5+0.000000001),1)+IF(Skills!H5&gt;0,INT(MIN(Skills!I5,MAX(0,MAX(0,Inputs!$B$44-B1117)-((R1086-1)*IF(Inputs!$B$39="pvp",15,MAX(0.1,Skills!D5-IF(TRUE=TRUE,Inputs!$B$33,0))))))/Skills!H5+0.000000001),1)))/Inputs!$B$44),G1086*Q1086))*IF(Inputs!$B$39="pvp",1,1+(Inputs!$B$21+0+Skills!P5+((C1098=TRUE)*F1098*IF(AND(Inputs!$B$39&lt;&gt;"pvp",Inputs!$B$44&gt;0),(((R1098-1)*MIN((Skills!T17*(1+Inputs!$B$35/100)),(1/Q1098))+MIN((Skills!T17*(1+Inputs!$B$35/100)),MAX(0,Inputs!$B$44-((R1098-1)*(1/Q1098)))))/Inputs!$B$44),IF(Inputs!$B$39="pvp",MIN((Skills!T17*(1+Inputs!$B$35/100)),15)/15,MIN(1,(Skills!T17*(1+Inputs!$B$35/100))/(1/Q1098)))))+((C1086=TRUE)*IF(Inputs!$B$3&gt;=126,10*MIN(1,15*Q1086),0))+((C1095=TRUE)*IF(Inputs!$B$39="pvp",20,(1-Summary!$B$11)*(20)+Summary!$B$11*(0))*IF(AND(Inputs!$B$39&lt;&gt;"pvp",Inputs!$B$44&gt;0),(((R1095-1)*MIN((Skills!T14*(1+Inputs!$B$35/100)),(1/Q1095))+MIN((Skills!T14*(1+Inputs!$B$35/100)),MAX(0,Inputs!$B$44-((R1095-1)*(1/Q1095)))))/Inputs!$B$44),IF(Inputs!$B$39="pvp",MIN((Skills!T14*(1+Inputs!$B$35/100)),15)/15,MIN(1,(Skills!T14*(1+Inputs!$B$35/100))/(1/Q1095)))))+((C1094=TRUE)*IF(Inputs!$B$3&gt;=82,IF(Inputs!$B$39="pvp",20,(1-Summary!$B$11)*(20)+Summary!$B$11*(0)),0)*IF(AND(Inputs!$B$39&lt;&gt;"pvp",Inputs!$B$44&gt;0),(((R1094-1)*MIN((Skills!T13*(1+Inputs!$B$35/100)),(1/Q1094))+MIN((Skills!T13*(1+Inputs!$B$35/100)),MAX(0,Inputs!$B$44-((R1094-1)*(1/Q1094)))))/Inputs!$B$44),IF(Inputs!$B$39="pvp",MIN((Skills!T13*(1+Inputs!$B$35/100)),15)/15,MIN(1,(Skills!T13*(1+Inputs!$B$35/100))/(1/Q1094)))))+(IF(AND(ArtifactsInput!$M$35,Inputs!$B$4&lt;&gt;"Chapter Hunt"),CHOOSE(ArtifactsInput!$N$35+1,15,18,21,24,27,30)*(1-EXP(-(0.2*B1112)*5)),0)+IF(AND(ArtifactsInput!$M$22,Inputs!$B$4&lt;&gt;"Chapter Hunt"),CHOOSE(ArtifactsInput!$N$22+1,10,12,14,16,18,20)*((0*(((0.15*B1112*5))^0/1)+1*(((0.15*B1112*5))^1/1)+2*(((0.15*B1112*5))^2/2)+3*(((0.15*B1112*5))^3/6)+4*(((0.15*B1112*5))^4/24)+5*(((0.15*B1112*5))^5/120))/((((0.15*B1112*5))^0/1)+(((0.15*B1112*5))^1/1)+(((0.15*B1112*5))^2/2)+(((0.15*B1112*5))^3/6)+(((0.15*B1112*5))^4/24)+(((0.15*B1112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1086*(1-MIN(100,(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1086*(MIN(100,(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1086*(1-MIN(100,(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1086*(MIN(100,(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86">
        <f>IF(C1086,(H1086*N1086*IF(AND(Inputs!$B$39&lt;&gt;"pvp",Inputs!$B$44&gt;0),((Skills!G5*((R1086-1)*IF(Skills!H5&gt;0,INT(Skills!I5/Skills!H5+0.000000001),1)+IF(Skills!H5&gt;0,INT(MIN(Skills!I5,MAX(0,MAX(0,Inputs!$B$44-B1117)-((R1086-1)*IF(Inputs!$B$39="pvp",15,MAX(0.1,Skills!D5-IF(TRUE=TRUE,Inputs!$B$33,0))))))/Skills!H5+0.000000001),1)))/Inputs!$B$44),G1086*Q1086))*IF(Inputs!$B$39="pvp",1,(1+(Inputs!$B$22+Skills!Q5+((C1098=TRUE)*F1098*IF(AND(Inputs!$B$39&lt;&gt;"pvp",Inputs!$B$44&gt;0),(((R1098-1)*MIN((Skills!T17*(1+Inputs!$B$35/100)),(1/Q1098))+MIN((Skills!T17*(1+Inputs!$B$35/100)),MAX(0,Inputs!$B$44-((R1098-1)*(1/Q1098)))))/Inputs!$B$44),IF(Inputs!$B$39="pvp",MIN((Skills!T17*(1+Inputs!$B$35/100)),15)/15,MIN(1,(Skills!T17*(1+Inputs!$B$35/100))/(1/Q1098)))))+((C1086=TRUE)*IF(Inputs!$B$3&gt;=126,10*MIN(1,15*Q1086),0))+((C1095=TRUE)*IF(Inputs!$B$39="pvp",20,(1-Summary!$B$11)*(20)+Summary!$B$11*(0))*IF(AND(Inputs!$B$39&lt;&gt;"pvp",Inputs!$B$44&gt;0),(((R1095-1)*MIN((Skills!T14*(1+Inputs!$B$35/100)),(1/Q1095))+MIN((Skills!T14*(1+Inputs!$B$35/100)),MAX(0,Inputs!$B$44-((R1095-1)*(1/Q1095)))))/Inputs!$B$44),IF(Inputs!$B$39="pvp",MIN((Skills!T14*(1+Inputs!$B$35/100)),15)/15,MIN(1,(Skills!T14*(1+Inputs!$B$35/100))/(1/Q1095)))))+((C1094=TRUE)*IF(Inputs!$B$3&gt;=82,IF(Inputs!$B$39="pvp",20,(1-Summary!$B$11)*(20)+Summary!$B$11*(0)),0)*IF(AND(Inputs!$B$39&lt;&gt;"pvp",Inputs!$B$44&gt;0),(((R1094-1)*MIN((Skills!T13*(1+Inputs!$B$35/100)),(1/Q1094))+MIN((Skills!T13*(1+Inputs!$B$35/100)),MAX(0,Inputs!$B$44-((R1094-1)*(1/Q1094)))))/Inputs!$B$44),IF(Inputs!$B$39="pvp",MIN((Skills!T13*(1+Inputs!$B$35/100)),15)/15,MIN(1,(Skills!T13*(1+Inputs!$B$35/100))/(1/Q1094)))))+(IF(AND(ArtifactsInput!$M$35,Inputs!$B$4&lt;&gt;"Chapter Hunt"),CHOOSE(ArtifactsInput!$N$35+1,15,18,21,24,27,30)*(1-EXP(-(0.2*B1112)*5)),0)+IF(AND(ArtifactsInput!$M$22,Inputs!$B$4&lt;&gt;"Chapter Hunt"),CHOOSE(ArtifactsInput!$N$22+1,10,12,14,16,18,20)*((0*(((0.15*B1112*5))^0/1)+1*(((0.15*B1112*5))^1/1)+2*(((0.15*B1112*5))^2/2)+3*(((0.15*B1112*5))^3/6)+4*(((0.15*B1112*5))^4/24)+5*(((0.15*B1112*5))^5/120))/((((0.15*B1112*5))^0/1)+(((0.15*B1112*5))^1/1)+(((0.15*B1112*5))^2/2)+(((0.15*B1112*5))^3/6)+(((0.15*B1112*5))^4/24)+(((0.15*B1112*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87">
      <c r="A1087">
        <f>Skills!A6</f>
        <v/>
      </c>
      <c r="B1087">
        <f>Skills!B6</f>
        <v/>
      </c>
      <c r="C1087">
        <f>Inputs!$B$3&gt;=103</f>
        <v/>
      </c>
      <c r="D1087">
        <f>IF(Skills!C6=1,60+Inputs!$B$26+Inputs!$B$30,IF(Skills!C6=2,90+Inputs!$B$27+Inputs!$B$30,IF(Skills!C6=3,120+Inputs!$B$28+Inputs!$B$30,MAX(0,(Inputs!$B$3-100)*3)+Inputs!$B$29+Inputs!$B$30)))</f>
        <v/>
      </c>
      <c r="E1087">
        <f>INDEX(FactorTable!$B$2:$Y$301, MATCH(ROUND(MIN(300,MAX(1,D1087)),0), FactorTable!$A$2:$A$301,0), Skills!M6+1)</f>
        <v/>
      </c>
      <c r="F1087">
        <f>IF(Skills!N6=TRUE,(Skills!L6/10)*(E1087/1000),Skills!L6/10)+Skills!O6</f>
        <v/>
      </c>
      <c r="G1087">
        <f>Skills!G6*IF(Skills!H6&gt;0,INT(IF(Inputs!$B$39="pvp",MIN(Skills!I6,15),Skills!I6)/Skills!H6+0.000000001),1)</f>
        <v/>
      </c>
      <c r="H1087">
        <f>1-(1-Skills!J6/100)^Skills!K6</f>
        <v/>
      </c>
      <c r="I1087" t="inlineStr">
        <is>
          <t>1</t>
        </is>
      </c>
      <c r="J1087">
        <f>((Inputs!$B$6*(1+(Inputs!$B$7+1)/100))+(((Inputs!$B$13*(1+Inputs!$B$14/100))-(Inputs!$B$13*(1+Inputs!$B$14/100)))+0.25*(Inputs!$B$15-Inputs!$B$15))*(1+(Inputs!$B$7+1)/100))*(F1087/100)</f>
        <v/>
      </c>
      <c r="K1087">
        <f>J1087*(1+(((Inputs!$B$13+IF(Inputs!$B$3&gt;=38,(10*INDEX(FactorTable!$B$2:$Y$301, MATCH(ROUND(MIN(300,MAX(1,Inputs!$B$3)),0), FactorTable!$A$2:$A$301,0), 23)/1000)/100*(Inputs!$B$8*(1+Inputs!$B$9/100)),0))*(1+Inputs!$B$14/100))*0.01+Inputs!$B$15*0.0025)/100)*(1+Inputs!$B$16/100)*(1+Inputs!$B$17/100)*(5000/(6000+Inputs!$B$43*(1-(Inputs!$B$20+0)/100)))*(1+(Inputs!$B$25+((C1106=TRUE)*(F1106-Calc!F25))+((C1107=TRUE)*(F1107-Calc!F26))+B1116)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gt;=100),MIN(100,((Inputs!$B$10+0+B1110+(ArtifactsInput!$M$24-ArtifactsInput!$M$24)*CHOOSE(ArtifactsInput!$N$24+1,10,12,14,16,18,20)+IF(ArtifactsInput!$M$10,CHOOSE(ArtifactsInput!$N$10+1,15,18,21,24,27,30)*(IF(Inputs!$B$39="pvp",MIN(15,15)/15,IF(AND(Inputs!$B$39&lt;&gt;"pvp",Inputs!$B$44&gt;0),MIN(15,Inputs!$B$44)/(Inputs!$B$44),0))),0)))-100),0))*CHOOSE(ArtifactsInput!$N$42+1,0.6,0.72,0.84,0.96,1.08,1.2))),Inputs!$B$19+((C1104=TRUE)*(F1104-Calc!F23))+(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gt;=100),CHOOSE(ArtifactsInput!$N$42+1,40,48,56,64,72,80),0))))/100)*((1+(((C1094=TRUE)*F1094*IF(AND(Inputs!$B$39&lt;&gt;"pvp",Inputs!$B$44&gt;0),(((R1094-1)*MIN((Skills!T13*(1+Inputs!$B$35/100)),(1/Q1094))+MIN((Skills!T13*(1+Inputs!$B$35/100)),MAX(0,Inputs!$B$44-((R1094-1)*(1/Q1094)))))/Inputs!$B$44),IF(Inputs!$B$39="pvp",MIN((Skills!T13*(1+Inputs!$B$35/100)),15)/15,MIN(1,(Skills!T13*(1+Inputs!$B$35/100))/(1/Q1094)))))+((C1095=TRUE)*F1095*IF(AND(Inputs!$B$39&lt;&gt;"pvp",Inputs!$B$44&gt;0),(((R1095-1)*MIN((Skills!T14*(1+Inputs!$B$35/100)),(1/Q1095))+MIN((Skills!T14*(1+Inputs!$B$35/100)),MAX(0,Inputs!$B$44-((R1095-1)*(1/Q1095)))))/Inputs!$B$44),IF(Inputs!$B$39="pvp",MIN((Skills!T14*(1+Inputs!$B$35/100)),15)/15,MIN(1,(Skills!T14*(1+Inputs!$B$35/100))/(1/Q1095)))))+((C1096=TRUE)*F1096*IF(AND(Inputs!$B$39&lt;&gt;"pvp",Inputs!$B$44&gt;0),(((R1096-1)*MIN((Skills!T15*(1+Inputs!$B$35/100)),(1/Q1096))+MIN((Skills!T15*(1+Inputs!$B$35/100)),MAX(0,Inputs!$B$44-((R1096-1)*(1/Q1096)))))/Inputs!$B$44),IF(Inputs!$B$39="pvp",MIN((Skills!T15*(1+Inputs!$B$35/100)),15)/15,MIN(1,(Skills!T15*(1+Inputs!$B$35/100))/(1/Q1096)))))+((C1097=TRUE)*F1097*IF(AND(Inputs!$B$39&lt;&gt;"pvp",Inputs!$B$44&gt;0),(((R1097-1)*MIN((Skills!T16*(1+Inputs!$B$35/100)),(1/Q1097))+MIN((Skills!T16*(1+Inputs!$B$35/100)),MAX(0,Inputs!$B$44-((R1097-1)*(1/Q1097)))))/Inputs!$B$44),IF(Inputs!$B$39="pvp",MIN((Skills!T16*(1+Inputs!$B$35/100)),15)/15,MIN(1,(Skills!T16*(1+Inputs!$B$35/100))/(1/Q1097)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1087)</f>
        <v/>
      </c>
      <c r="L1087">
        <f>K1087*(MIN(Inputs!$B$23+((C1103=TRUE)*(F1103-Calc!F22)),(Inputs!$B$24+((C1105=TRUE)*(F1105-Calc!F24))+(IF(ArtifactsInput!$M$15,CHOOSE(ArtifactsInput!$N$15+1,25,30,35,40,45,50)/100*(Inputs!$B$12-Inputs!$B$12),0))))/100+(Inputs!$B$24+((C1105=TRUE)*(F1105-Calc!F24))+(IF(ArtifactsInput!$M$15,CHOOSE(ArtifactsInput!$N$15+1,25,30,35,40,45,50)/100*(Inputs!$B$12-Inputs!$B$12),0)))/100)/2</f>
        <v/>
      </c>
      <c r="M1087">
        <f>L1087*(1+(Inputs!$B$11+0+B1115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087">
        <f>L1087*(1-MIN((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1087*(MIN((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87">
        <f>(1-Summary!$B$11)*T1087+Summary!$B$11*V1087</f>
        <v/>
      </c>
      <c r="P1087">
        <f>IF(B1120=0,0,O1087/B1120)</f>
        <v/>
      </c>
      <c r="Q1087">
        <f>IFERROR(1/IF(Inputs!$B$39="pvp",15,MAX(0.1,Skills!D6-IF(TRUE=TRUE,Inputs!$B$33,0))),0)</f>
        <v/>
      </c>
      <c r="R1087">
        <f>IF(AND(Inputs!$B$39&lt;&gt;"pvp",Inputs!$B$44&gt;0),IF(MAX(0,Inputs!$B$44-B1117)&lt;=0,0,(INT(MAX(0,Inputs!$B$44-B1117)/IF(Inputs!$B$39="pvp",15,MAX(0.1,Skills!D6-IF(TRUE=TRUE,Inputs!$B$33,0))))+1)),0)</f>
        <v/>
      </c>
      <c r="S1087">
        <f>IFERROR(O1087/N1087,0)</f>
        <v/>
      </c>
      <c r="T1087">
        <f>IF(C1087,(H1087*N1087*IF(AND(Inputs!$B$39&lt;&gt;"pvp",Inputs!$B$44&gt;0),((Skills!G6*((R1087-1)*IF(Skills!H6&gt;0,INT(Skills!I6/Skills!H6+0.000000001),1)+IF(Skills!H6&gt;0,INT(MIN(Skills!I6,MAX(0,MAX(0,Inputs!$B$44-B1117)-((R1087-1)*IF(Inputs!$B$39="pvp",15,MAX(0.1,Skills!D6-IF(TRUE=TRUE,Inputs!$B$33,0))))))/Skills!H6+0.000000001),1)))/Inputs!$B$44),G1087*Q1087))*IF(Inputs!$B$39="pvp",1,1+(Inputs!$B$21+0+Skills!P6+((C1098=TRUE)*F1098*IF(AND(Inputs!$B$39&lt;&gt;"pvp",Inputs!$B$44&gt;0),(((R1098-1)*MIN((Skills!T17*(1+Inputs!$B$35/100)),(1/Q1098))+MIN((Skills!T17*(1+Inputs!$B$35/100)),MAX(0,Inputs!$B$44-((R1098-1)*(1/Q1098)))))/Inputs!$B$44),IF(Inputs!$B$39="pvp",MIN((Skills!T17*(1+Inputs!$B$35/100)),15)/15,MIN(1,(Skills!T17*(1+Inputs!$B$35/100))/(1/Q1098)))))+((C1086=TRUE)*IF(Inputs!$B$3&gt;=126,10*MIN(1,15*Q1086),0))+((C1095=TRUE)*IF(Inputs!$B$39="pvp",20,(1-Summary!$B$11)*(20)+Summary!$B$11*(0))*IF(AND(Inputs!$B$39&lt;&gt;"pvp",Inputs!$B$44&gt;0),(((R1095-1)*MIN((Skills!T14*(1+Inputs!$B$35/100)),(1/Q1095))+MIN((Skills!T14*(1+Inputs!$B$35/100)),MAX(0,Inputs!$B$44-((R1095-1)*(1/Q1095)))))/Inputs!$B$44),IF(Inputs!$B$39="pvp",MIN((Skills!T14*(1+Inputs!$B$35/100)),15)/15,MIN(1,(Skills!T14*(1+Inputs!$B$35/100))/(1/Q1095)))))+((C1094=TRUE)*IF(Inputs!$B$3&gt;=82,IF(Inputs!$B$39="pvp",20,(1-Summary!$B$11)*(20)+Summary!$B$11*(0)),0)*IF(AND(Inputs!$B$39&lt;&gt;"pvp",Inputs!$B$44&gt;0),(((R1094-1)*MIN((Skills!T13*(1+Inputs!$B$35/100)),(1/Q1094))+MIN((Skills!T13*(1+Inputs!$B$35/100)),MAX(0,Inputs!$B$44-((R1094-1)*(1/Q1094)))))/Inputs!$B$44),IF(Inputs!$B$39="pvp",MIN((Skills!T13*(1+Inputs!$B$35/100)),15)/15,MIN(1,(Skills!T13*(1+Inputs!$B$35/100))/(1/Q1094)))))+(IF(AND(ArtifactsInput!$M$35,Inputs!$B$4&lt;&gt;"Chapter Hunt"),CHOOSE(ArtifactsInput!$N$35+1,15,18,21,24,27,30)*(1-EXP(-(0.2*B1112)*5)),0)+IF(AND(ArtifactsInput!$M$22,Inputs!$B$4&lt;&gt;"Chapter Hunt"),CHOOSE(ArtifactsInput!$N$22+1,10,12,14,16,18,20)*((0*(((0.15*B1112*5))^0/1)+1*(((0.15*B1112*5))^1/1)+2*(((0.15*B1112*5))^2/2)+3*(((0.15*B1112*5))^3/6)+4*(((0.15*B1112*5))^4/24)+5*(((0.15*B1112*5))^5/120))/((((0.15*B1112*5))^0/1)+(((0.15*B1112*5))^1/1)+(((0.15*B1112*5))^2/2)+(((0.15*B1112*5))^3/6)+(((0.15*B1112*5))^4/24)+(((0.15*B1112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1087*(1-MIN(100,(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1087*(MIN(100,(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1087*(1-MIN(100,(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1087*(MIN(100,(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87">
        <f>IF(C1087,(H1087*N1087*IF(AND(Inputs!$B$39&lt;&gt;"pvp",Inputs!$B$44&gt;0),((Skills!G6*((R1087-1)*IF(Skills!H6&gt;0,INT(Skills!I6/Skills!H6+0.000000001),1)+IF(Skills!H6&gt;0,INT(MIN(Skills!I6,MAX(0,MAX(0,Inputs!$B$44-B1117)-((R1087-1)*IF(Inputs!$B$39="pvp",15,MAX(0.1,Skills!D6-IF(TRUE=TRUE,Inputs!$B$33,0))))))/Skills!H6+0.000000001),1)))/Inputs!$B$44),G1087*Q1087))*IF(Inputs!$B$39="pvp",1,(1+(Inputs!$B$22+Skills!Q6+((C1098=TRUE)*F1098*IF(AND(Inputs!$B$39&lt;&gt;"pvp",Inputs!$B$44&gt;0),(((R1098-1)*MIN((Skills!T17*(1+Inputs!$B$35/100)),(1/Q1098))+MIN((Skills!T17*(1+Inputs!$B$35/100)),MAX(0,Inputs!$B$44-((R1098-1)*(1/Q1098)))))/Inputs!$B$44),IF(Inputs!$B$39="pvp",MIN((Skills!T17*(1+Inputs!$B$35/100)),15)/15,MIN(1,(Skills!T17*(1+Inputs!$B$35/100))/(1/Q1098)))))+((C1086=TRUE)*IF(Inputs!$B$3&gt;=126,10*MIN(1,15*Q1086),0))+((C1095=TRUE)*IF(Inputs!$B$39="pvp",20,(1-Summary!$B$11)*(20)+Summary!$B$11*(0))*IF(AND(Inputs!$B$39&lt;&gt;"pvp",Inputs!$B$44&gt;0),(((R1095-1)*MIN((Skills!T14*(1+Inputs!$B$35/100)),(1/Q1095))+MIN((Skills!T14*(1+Inputs!$B$35/100)),MAX(0,Inputs!$B$44-((R1095-1)*(1/Q1095)))))/Inputs!$B$44),IF(Inputs!$B$39="pvp",MIN((Skills!T14*(1+Inputs!$B$35/100)),15)/15,MIN(1,(Skills!T14*(1+Inputs!$B$35/100))/(1/Q1095)))))+((C1094=TRUE)*IF(Inputs!$B$3&gt;=82,IF(Inputs!$B$39="pvp",20,(1-Summary!$B$11)*(20)+Summary!$B$11*(0)),0)*IF(AND(Inputs!$B$39&lt;&gt;"pvp",Inputs!$B$44&gt;0),(((R1094-1)*MIN((Skills!T13*(1+Inputs!$B$35/100)),(1/Q1094))+MIN((Skills!T13*(1+Inputs!$B$35/100)),MAX(0,Inputs!$B$44-((R1094-1)*(1/Q1094)))))/Inputs!$B$44),IF(Inputs!$B$39="pvp",MIN((Skills!T13*(1+Inputs!$B$35/100)),15)/15,MIN(1,(Skills!T13*(1+Inputs!$B$35/100))/(1/Q1094)))))+(IF(AND(ArtifactsInput!$M$35,Inputs!$B$4&lt;&gt;"Chapter Hunt"),CHOOSE(ArtifactsInput!$N$35+1,15,18,21,24,27,30)*(1-EXP(-(0.2*B1112)*5)),0)+IF(AND(ArtifactsInput!$M$22,Inputs!$B$4&lt;&gt;"Chapter Hunt"),CHOOSE(ArtifactsInput!$N$22+1,10,12,14,16,18,20)*((0*(((0.15*B1112*5))^0/1)+1*(((0.15*B1112*5))^1/1)+2*(((0.15*B1112*5))^2/2)+3*(((0.15*B1112*5))^3/6)+4*(((0.15*B1112*5))^4/24)+5*(((0.15*B1112*5))^5/120))/((((0.15*B1112*5))^0/1)+(((0.15*B1112*5))^1/1)+(((0.15*B1112*5))^2/2)+(((0.15*B1112*5))^3/6)+(((0.15*B1112*5))^4/24)+(((0.15*B1112*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88">
      <c r="A1088">
        <f>Skills!A7</f>
        <v/>
      </c>
      <c r="B1088">
        <f>Skills!B7</f>
        <v/>
      </c>
      <c r="C1088">
        <f>Inputs!$B$3&gt;=40</f>
        <v/>
      </c>
      <c r="D1088">
        <f>IF(Skills!C7=1,60+Inputs!$B$26+Inputs!$B$30,IF(Skills!C7=2,90+Inputs!$B$27+Inputs!$B$30,IF(Skills!C7=3,120+Inputs!$B$28+Inputs!$B$30,MAX(0,(Inputs!$B$3-100)*3)+Inputs!$B$29+Inputs!$B$30)))</f>
        <v/>
      </c>
      <c r="E1088">
        <f>INDEX(FactorTable!$B$2:$Y$301, MATCH(ROUND(MIN(300,MAX(1,D1088)),0), FactorTable!$A$2:$A$301,0), Skills!M7+1)</f>
        <v/>
      </c>
      <c r="F1088">
        <f>IF(Skills!N7=TRUE,(Skills!L7/10)*(E1088/1000),Skills!L7/10)+Skills!O7</f>
        <v/>
      </c>
      <c r="G1088">
        <f>Skills!G7*IF(Skills!H7&gt;0,INT(IF(Inputs!$B$39="pvp",MIN(Skills!I7,15),Skills!I7)/Skills!H7+0.000000001),1)</f>
        <v/>
      </c>
      <c r="H1088">
        <f>1-(1-Skills!J7/100)^Skills!K7</f>
        <v/>
      </c>
      <c r="I1088" t="inlineStr">
        <is>
          <t>1</t>
        </is>
      </c>
      <c r="J1088">
        <f>((Inputs!$B$6*(1+(Inputs!$B$7+1)/100))+(((Inputs!$B$13*(1+Inputs!$B$14/100))-(Inputs!$B$13*(1+Inputs!$B$14/100)))+0.25*(Inputs!$B$15-Inputs!$B$15))*(1+(Inputs!$B$7+1)/100))*(F1088/100)</f>
        <v/>
      </c>
      <c r="K1088">
        <f>J1088*(1+(((Inputs!$B$13+IF(Inputs!$B$3&gt;=38,(10*INDEX(FactorTable!$B$2:$Y$301, MATCH(ROUND(MIN(300,MAX(1,Inputs!$B$3)),0), FactorTable!$A$2:$A$301,0), 23)/1000)/100*(Inputs!$B$8*(1+Inputs!$B$9/100)),0))*(1+Inputs!$B$14/100))*0.01+Inputs!$B$15*0.0025)/100)*(1+Inputs!$B$16/100)*(1+Inputs!$B$17/100)*(5000/(6000+Inputs!$B$43*(1-(Inputs!$B$20+0)/100)))*(1+(Inputs!$B$25+((C1106=TRUE)*(F1106-Calc!F25))+((C1107=TRUE)*(F1107-Calc!F26))+B1116)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1092=TRUE,F1092,0)/100)*(1+(IF(Skills!A7="DARK_IMPALE",Inputs!$B$18+0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gt;=100),MIN(100,((Inputs!$B$10+0+B1110+(ArtifactsInput!$M$24-ArtifactsInput!$M$24)*CHOOSE(ArtifactsInput!$N$24+1,10,12,14,16,18,20)+IF(ArtifactsInput!$M$10,CHOOSE(ArtifactsInput!$N$10+1,15,18,21,24,27,30)*(IF(Inputs!$B$39="pvp",MIN(15,15)/15,IF(AND(Inputs!$B$39&lt;&gt;"pvp",Inputs!$B$44&gt;0),MIN(15,Inputs!$B$44)/(Inputs!$B$44),0))),0)))-100),0))*CHOOSE(ArtifactsInput!$N$42+1,0.6,0.72,0.84,0.96,1.08,1.2))),Inputs!$B$19+((C1104=TRUE)*(F1104-Calc!F23))+(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gt;=100),CHOOSE(ArtifactsInput!$N$42+1,40,48,56,64,72,80),0))))/100)*((1+(((C1094=TRUE)*F1094*IF(AND(Inputs!$B$39&lt;&gt;"pvp",Inputs!$B$44&gt;0),(((R1094-1)*MIN((Skills!T13*(1+Inputs!$B$35/100)),(1/Q1094))+MIN((Skills!T13*(1+Inputs!$B$35/100)),MAX(0,Inputs!$B$44-((R1094-1)*(1/Q1094)))))/Inputs!$B$44),IF(Inputs!$B$39="pvp",MIN((Skills!T13*(1+Inputs!$B$35/100)),15)/15,MIN(1,(Skills!T13*(1+Inputs!$B$35/100))/(1/Q1094)))))+((C1095=TRUE)*F1095*IF(AND(Inputs!$B$39&lt;&gt;"pvp",Inputs!$B$44&gt;0),(((R1095-1)*MIN((Skills!T14*(1+Inputs!$B$35/100)),(1/Q1095))+MIN((Skills!T14*(1+Inputs!$B$35/100)),MAX(0,Inputs!$B$44-((R1095-1)*(1/Q1095)))))/Inputs!$B$44),IF(Inputs!$B$39="pvp",MIN((Skills!T14*(1+Inputs!$B$35/100)),15)/15,MIN(1,(Skills!T14*(1+Inputs!$B$35/100))/(1/Q1095)))))+((C1096=TRUE)*F1096*IF(AND(Inputs!$B$39&lt;&gt;"pvp",Inputs!$B$44&gt;0),(((R1096-1)*MIN((Skills!T15*(1+Inputs!$B$35/100)),(1/Q1096))+MIN((Skills!T15*(1+Inputs!$B$35/100)),MAX(0,Inputs!$B$44-((R1096-1)*(1/Q1096)))))/Inputs!$B$44),IF(Inputs!$B$39="pvp",MIN((Skills!T15*(1+Inputs!$B$35/100)),15)/15,MIN(1,(Skills!T15*(1+Inputs!$B$35/100))/(1/Q1096)))))+((C1097=TRUE)*F1097*IF(AND(Inputs!$B$39&lt;&gt;"pvp",Inputs!$B$44&gt;0),(((R1097-1)*MIN((Skills!T16*(1+Inputs!$B$35/100)),(1/Q1097))+MIN((Skills!T16*(1+Inputs!$B$35/100)),MAX(0,Inputs!$B$44-((R1097-1)*(1/Q1097)))))/Inputs!$B$44),IF(Inputs!$B$39="pvp",MIN((Skills!T16*(1+Inputs!$B$35/100)),15)/15,MIN(1,(Skills!T16*(1+Inputs!$B$35/100))/(1/Q1097)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1088)</f>
        <v/>
      </c>
      <c r="L1088">
        <f>K1088*(MIN(Inputs!$B$23+((C1103=TRUE)*(F1103-Calc!F22)),(Inputs!$B$24+((C1105=TRUE)*(F1105-Calc!F24))+(IF(ArtifactsInput!$M$15,CHOOSE(ArtifactsInput!$N$15+1,25,30,35,40,45,50)/100*(Inputs!$B$12-Inputs!$B$12),0))))/100+(Inputs!$B$24+((C1105=TRUE)*(F1105-Calc!F24))+(IF(ArtifactsInput!$M$15,CHOOSE(ArtifactsInput!$N$15+1,25,30,35,40,45,50)/100*(Inputs!$B$12-Inputs!$B$12),0)))/100)/2</f>
        <v/>
      </c>
      <c r="M1088">
        <f>L1088*(1+(Inputs!$B$11+0+B1115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088">
        <f>L1088*(1-MIN((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1088*(MIN((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88">
        <f>(1-Summary!$B$11)*T1088+Summary!$B$11*V1088</f>
        <v/>
      </c>
      <c r="P1088">
        <f>IF(B1120=0,0,O1088/B1120)</f>
        <v/>
      </c>
      <c r="Q1088">
        <f>IFERROR(1/IF(Inputs!$B$39="pvp",15,MAX(0.1,Skills!D7-IF(TRUE=TRUE,Inputs!$B$33,0))),0)</f>
        <v/>
      </c>
      <c r="R1088">
        <f>IF(AND(Inputs!$B$39&lt;&gt;"pvp",Inputs!$B$44&gt;0),IF(MAX(0,Inputs!$B$44-B1117)&lt;=0,0,(INT(MAX(0,Inputs!$B$44-B1117)/IF(Inputs!$B$39="pvp",15,MAX(0.1,Skills!D7-IF(TRUE=TRUE,Inputs!$B$33,0))))+1)),0)</f>
        <v/>
      </c>
      <c r="S1088">
        <f>IFERROR(O1088/N1088,0)</f>
        <v/>
      </c>
      <c r="T1088">
        <f>IF(C1088,(H1088*N1088*IF(AND(Inputs!$B$39&lt;&gt;"pvp",Inputs!$B$44&gt;0),((Skills!G7*((R1088-1)*IF(Skills!H7&gt;0,INT(Skills!I7/Skills!H7+0.000000001),1)+IF(Skills!H7&gt;0,INT(MIN(Skills!I7,MAX(0,MAX(0,Inputs!$B$44-B1117)-((R1088-1)*IF(Inputs!$B$39="pvp",15,MAX(0.1,Skills!D7-IF(TRUE=TRUE,Inputs!$B$33,0))))))/Skills!H7+0.000000001),1)))/Inputs!$B$44),G1088*Q1088))*IF(Inputs!$B$39="pvp",1,1+(Inputs!$B$21+0+Skills!P7+((C1098=TRUE)*F1098*IF(AND(Inputs!$B$39&lt;&gt;"pvp",Inputs!$B$44&gt;0),(((R1098-1)*MIN((Skills!T17*(1+Inputs!$B$35/100)),(1/Q1098))+MIN((Skills!T17*(1+Inputs!$B$35/100)),MAX(0,Inputs!$B$44-((R1098-1)*(1/Q1098)))))/Inputs!$B$44),IF(Inputs!$B$39="pvp",MIN((Skills!T17*(1+Inputs!$B$35/100)),15)/15,MIN(1,(Skills!T17*(1+Inputs!$B$35/100))/(1/Q1098)))))+((C1086=TRUE)*IF(Inputs!$B$3&gt;=126,10*MIN(1,15*Q1086),0))+((C1095=TRUE)*IF(Inputs!$B$39="pvp",20,(1-Summary!$B$11)*(20)+Summary!$B$11*(0))*IF(AND(Inputs!$B$39&lt;&gt;"pvp",Inputs!$B$44&gt;0),(((R1095-1)*MIN((Skills!T14*(1+Inputs!$B$35/100)),(1/Q1095))+MIN((Skills!T14*(1+Inputs!$B$35/100)),MAX(0,Inputs!$B$44-((R1095-1)*(1/Q1095)))))/Inputs!$B$44),IF(Inputs!$B$39="pvp",MIN((Skills!T14*(1+Inputs!$B$35/100)),15)/15,MIN(1,(Skills!T14*(1+Inputs!$B$35/100))/(1/Q1095)))))+((C1094=TRUE)*IF(Inputs!$B$3&gt;=82,IF(Inputs!$B$39="pvp",20,(1-Summary!$B$11)*(20)+Summary!$B$11*(0)),0)*IF(AND(Inputs!$B$39&lt;&gt;"pvp",Inputs!$B$44&gt;0),(((R1094-1)*MIN((Skills!T13*(1+Inputs!$B$35/100)),(1/Q1094))+MIN((Skills!T13*(1+Inputs!$B$35/100)),MAX(0,Inputs!$B$44-((R1094-1)*(1/Q1094)))))/Inputs!$B$44),IF(Inputs!$B$39="pvp",MIN((Skills!T13*(1+Inputs!$B$35/100)),15)/15,MIN(1,(Skills!T13*(1+Inputs!$B$35/100))/(1/Q1094)))))+(IF(AND(ArtifactsInput!$M$35,Inputs!$B$4&lt;&gt;"Chapter Hunt"),CHOOSE(ArtifactsInput!$N$35+1,15,18,21,24,27,30)*(1-EXP(-(0.2*B1112)*5)),0)+IF(AND(ArtifactsInput!$M$22,Inputs!$B$4&lt;&gt;"Chapter Hunt"),CHOOSE(ArtifactsInput!$N$22+1,10,12,14,16,18,20)*((0*(((0.15*B1112*5))^0/1)+1*(((0.15*B1112*5))^1/1)+2*(((0.15*B1112*5))^2/2)+3*(((0.15*B1112*5))^3/6)+4*(((0.15*B1112*5))^4/24)+5*(((0.15*B1112*5))^5/120))/((((0.15*B1112*5))^0/1)+(((0.15*B1112*5))^1/1)+(((0.15*B1112*5))^2/2)+(((0.15*B1112*5))^3/6)+(((0.15*B1112*5))^4/24)+(((0.15*B1112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1088*(1-MIN(100,(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1088*(MIN(100,(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1088*(1-MIN(100,(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1088*(MIN(100,(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88">
        <f>IF(C1088,(H1088*N1088*IF(AND(Inputs!$B$39&lt;&gt;"pvp",Inputs!$B$44&gt;0),((Skills!G7*((R1088-1)*IF(Skills!H7&gt;0,INT(Skills!I7/Skills!H7+0.000000001),1)+IF(Skills!H7&gt;0,INT(MIN(Skills!I7,MAX(0,MAX(0,Inputs!$B$44-B1117)-((R1088-1)*IF(Inputs!$B$39="pvp",15,MAX(0.1,Skills!D7-IF(TRUE=TRUE,Inputs!$B$33,0))))))/Skills!H7+0.000000001),1)))/Inputs!$B$44),G1088*Q1088))*IF(Inputs!$B$39="pvp",1,(1+(Inputs!$B$22+Skills!Q7+((C1098=TRUE)*F1098*IF(AND(Inputs!$B$39&lt;&gt;"pvp",Inputs!$B$44&gt;0),(((R1098-1)*MIN((Skills!T17*(1+Inputs!$B$35/100)),(1/Q1098))+MIN((Skills!T17*(1+Inputs!$B$35/100)),MAX(0,Inputs!$B$44-((R1098-1)*(1/Q1098)))))/Inputs!$B$44),IF(Inputs!$B$39="pvp",MIN((Skills!T17*(1+Inputs!$B$35/100)),15)/15,MIN(1,(Skills!T17*(1+Inputs!$B$35/100))/(1/Q1098)))))+((C1086=TRUE)*IF(Inputs!$B$3&gt;=126,10*MIN(1,15*Q1086),0))+((C1095=TRUE)*IF(Inputs!$B$39="pvp",20,(1-Summary!$B$11)*(20)+Summary!$B$11*(0))*IF(AND(Inputs!$B$39&lt;&gt;"pvp",Inputs!$B$44&gt;0),(((R1095-1)*MIN((Skills!T14*(1+Inputs!$B$35/100)),(1/Q1095))+MIN((Skills!T14*(1+Inputs!$B$35/100)),MAX(0,Inputs!$B$44-((R1095-1)*(1/Q1095)))))/Inputs!$B$44),IF(Inputs!$B$39="pvp",MIN((Skills!T14*(1+Inputs!$B$35/100)),15)/15,MIN(1,(Skills!T14*(1+Inputs!$B$35/100))/(1/Q1095)))))+((C1094=TRUE)*IF(Inputs!$B$3&gt;=82,IF(Inputs!$B$39="pvp",20,(1-Summary!$B$11)*(20)+Summary!$B$11*(0)),0)*IF(AND(Inputs!$B$39&lt;&gt;"pvp",Inputs!$B$44&gt;0),(((R1094-1)*MIN((Skills!T13*(1+Inputs!$B$35/100)),(1/Q1094))+MIN((Skills!T13*(1+Inputs!$B$35/100)),MAX(0,Inputs!$B$44-((R1094-1)*(1/Q1094)))))/Inputs!$B$44),IF(Inputs!$B$39="pvp",MIN((Skills!T13*(1+Inputs!$B$35/100)),15)/15,MIN(1,(Skills!T13*(1+Inputs!$B$35/100))/(1/Q1094)))))+(IF(AND(ArtifactsInput!$M$35,Inputs!$B$4&lt;&gt;"Chapter Hunt"),CHOOSE(ArtifactsInput!$N$35+1,15,18,21,24,27,30)*(1-EXP(-(0.2*B1112)*5)),0)+IF(AND(ArtifactsInput!$M$22,Inputs!$B$4&lt;&gt;"Chapter Hunt"),CHOOSE(ArtifactsInput!$N$22+1,10,12,14,16,18,20)*((0*(((0.15*B1112*5))^0/1)+1*(((0.15*B1112*5))^1/1)+2*(((0.15*B1112*5))^2/2)+3*(((0.15*B1112*5))^3/6)+4*(((0.15*B1112*5))^4/24)+5*(((0.15*B1112*5))^5/120))/((((0.15*B1112*5))^0/1)+(((0.15*B1112*5))^1/1)+(((0.15*B1112*5))^2/2)+(((0.15*B1112*5))^3/6)+(((0.15*B1112*5))^4/24)+(((0.15*B1112*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89">
      <c r="A1089">
        <f>Skills!A8</f>
        <v/>
      </c>
      <c r="B1089">
        <f>Skills!B8</f>
        <v/>
      </c>
      <c r="C1089">
        <f>Inputs!$B$3&gt;=75</f>
        <v/>
      </c>
      <c r="D1089">
        <f>IF(Skills!C8=1,60+Inputs!$B$26+Inputs!$B$30,IF(Skills!C8=2,90+Inputs!$B$27+Inputs!$B$30,IF(Skills!C8=3,120+Inputs!$B$28+Inputs!$B$30,MAX(0,(Inputs!$B$3-100)*3)+Inputs!$B$29+Inputs!$B$30)))</f>
        <v/>
      </c>
      <c r="E1089">
        <f>INDEX(FactorTable!$B$2:$Y$301, MATCH(ROUND(MIN(300,MAX(1,D1089)),0), FactorTable!$A$2:$A$301,0), Skills!M8+1)</f>
        <v/>
      </c>
      <c r="F1089">
        <f>IF(Skills!N8=TRUE,(Skills!L8/10)*(E1089/1000),Skills!L8/10)+Skills!O8</f>
        <v/>
      </c>
      <c r="G1089" t="inlineStr"/>
      <c r="H1089" t="inlineStr"/>
      <c r="I1089" t="inlineStr">
        <is>
          <t>1</t>
        </is>
      </c>
      <c r="J1089" t="inlineStr"/>
      <c r="K1089" t="inlineStr"/>
      <c r="L1089" t="inlineStr"/>
      <c r="M1089" t="inlineStr"/>
      <c r="N1089" t="inlineStr"/>
      <c r="O1089" t="inlineStr"/>
      <c r="P1089" t="inlineStr"/>
      <c r="Q1089" t="inlineStr"/>
      <c r="R1089" t="inlineStr"/>
      <c r="S1089" t="inlineStr"/>
    </row>
    <row r="1090">
      <c r="A1090">
        <f>Skills!A9</f>
        <v/>
      </c>
      <c r="B1090">
        <f>Skills!B9</f>
        <v/>
      </c>
      <c r="C1090">
        <f>Inputs!$B$3&gt;=60</f>
        <v/>
      </c>
      <c r="D1090">
        <f>IF(Skills!C9=1,60+Inputs!$B$26+Inputs!$B$30,IF(Skills!C9=2,90+Inputs!$B$27+Inputs!$B$30,IF(Skills!C9=3,120+Inputs!$B$28+Inputs!$B$30,MAX(0,(Inputs!$B$3-100)*3)+Inputs!$B$29+Inputs!$B$30)))</f>
        <v/>
      </c>
      <c r="E1090">
        <f>INDEX(FactorTable!$B$2:$Y$301, MATCH(ROUND(MIN(300,MAX(1,D1090)),0), FactorTable!$A$2:$A$301,0), Skills!M9+1)</f>
        <v/>
      </c>
      <c r="F1090">
        <f>IF(Skills!N9=TRUE,(Skills!L9/10)*(E1090/1000),Skills!L9/10)+Skills!O9</f>
        <v/>
      </c>
      <c r="G1090">
        <f>Skills!G9*IF(Skills!H9&gt;0,INT(IF(Inputs!$B$39="pvp",MIN(Skills!I9,15),Skills!I9)/Skills!H9+0.000000001),1)</f>
        <v/>
      </c>
      <c r="H1090">
        <f>1-(1-Skills!J9/100)^Skills!K9</f>
        <v/>
      </c>
      <c r="I1090" t="inlineStr">
        <is>
          <t>1</t>
        </is>
      </c>
      <c r="J1090">
        <f>((Inputs!$B$6*(1+(Inputs!$B$7+1)/100))+(((Inputs!$B$13*(1+Inputs!$B$14/100))-(Inputs!$B$13*(1+Inputs!$B$14/100)))+0.25*(Inputs!$B$15-Inputs!$B$15))*(1+(Inputs!$B$7+1)/100))*(F1090/100)</f>
        <v/>
      </c>
      <c r="K1090">
        <f>J1090*(1+(((Inputs!$B$13+IF(Inputs!$B$3&gt;=38,(10*INDEX(FactorTable!$B$2:$Y$301, MATCH(ROUND(MIN(300,MAX(1,Inputs!$B$3)),0), FactorTable!$A$2:$A$301,0), 23)/1000)/100*(Inputs!$B$8*(1+Inputs!$B$9/100)),0))*(1+Inputs!$B$14/100))*0.01+Inputs!$B$15*0.0025)/100)*(1+Inputs!$B$16/100)*(1+Inputs!$B$17/100)*(5000/(6000+Inputs!$B$43*(1-(Inputs!$B$20+0)/100)))*(1+(Inputs!$B$25+((C1106=TRUE)*(F1106-Calc!F25))+((C1107=TRUE)*(F1107-Calc!F26))+B1116)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1092=TRUE,F1092,0)/100)*(1+(IF(Skills!A9="DARK_IMPALE",Inputs!$B$18+0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gt;=100),MIN(100,((Inputs!$B$10+0+B1110+(ArtifactsInput!$M$24-ArtifactsInput!$M$24)*CHOOSE(ArtifactsInput!$N$24+1,10,12,14,16,18,20)+IF(ArtifactsInput!$M$10,CHOOSE(ArtifactsInput!$N$10+1,15,18,21,24,27,30)*(IF(Inputs!$B$39="pvp",MIN(15,15)/15,IF(AND(Inputs!$B$39&lt;&gt;"pvp",Inputs!$B$44&gt;0),MIN(15,Inputs!$B$44)/(Inputs!$B$44),0))),0)))-100),0))*CHOOSE(ArtifactsInput!$N$42+1,0.6,0.72,0.84,0.96,1.08,1.2))),Inputs!$B$19+((C1104=TRUE)*(F1104-Calc!F23))+(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gt;=100),CHOOSE(ArtifactsInput!$N$42+1,40,48,56,64,72,80),0))))/100)*((1+(((C1094=TRUE)*F1094*IF(AND(Inputs!$B$39&lt;&gt;"pvp",Inputs!$B$44&gt;0),(((R1094-1)*MIN((Skills!T13*(1+Inputs!$B$35/100)),(1/Q1094))+MIN((Skills!T13*(1+Inputs!$B$35/100)),MAX(0,Inputs!$B$44-((R1094-1)*(1/Q1094)))))/Inputs!$B$44),IF(Inputs!$B$39="pvp",MIN((Skills!T13*(1+Inputs!$B$35/100)),15)/15,MIN(1,(Skills!T13*(1+Inputs!$B$35/100))/(1/Q1094)))))+((C1095=TRUE)*F1095*IF(AND(Inputs!$B$39&lt;&gt;"pvp",Inputs!$B$44&gt;0),(((R1095-1)*MIN((Skills!T14*(1+Inputs!$B$35/100)),(1/Q1095))+MIN((Skills!T14*(1+Inputs!$B$35/100)),MAX(0,Inputs!$B$44-((R1095-1)*(1/Q1095)))))/Inputs!$B$44),IF(Inputs!$B$39="pvp",MIN((Skills!T14*(1+Inputs!$B$35/100)),15)/15,MIN(1,(Skills!T14*(1+Inputs!$B$35/100))/(1/Q1095)))))+((C1096=TRUE)*F1096*IF(AND(Inputs!$B$39&lt;&gt;"pvp",Inputs!$B$44&gt;0),(((R1096-1)*MIN((Skills!T15*(1+Inputs!$B$35/100)),(1/Q1096))+MIN((Skills!T15*(1+Inputs!$B$35/100)),MAX(0,Inputs!$B$44-((R1096-1)*(1/Q1096)))))/Inputs!$B$44),IF(Inputs!$B$39="pvp",MIN((Skills!T15*(1+Inputs!$B$35/100)),15)/15,MIN(1,(Skills!T15*(1+Inputs!$B$35/100))/(1/Q1096)))))+((C1097=TRUE)*F1097*IF(AND(Inputs!$B$39&lt;&gt;"pvp",Inputs!$B$44&gt;0),(((R1097-1)*MIN((Skills!T16*(1+Inputs!$B$35/100)),(1/Q1097))+MIN((Skills!T16*(1+Inputs!$B$35/100)),MAX(0,Inputs!$B$44-((R1097-1)*(1/Q1097)))))/Inputs!$B$44),IF(Inputs!$B$39="pvp",MIN((Skills!T16*(1+Inputs!$B$35/100)),15)/15,MIN(1,(Skills!T16*(1+Inputs!$B$35/100))/(1/Q1097)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1090)</f>
        <v/>
      </c>
      <c r="L1090">
        <f>K1090*(MIN(Inputs!$B$23+((C1103=TRUE)*(F1103-Calc!F22)),(Inputs!$B$24+((C1105=TRUE)*(F1105-Calc!F24))+(IF(ArtifactsInput!$M$15,CHOOSE(ArtifactsInput!$N$15+1,25,30,35,40,45,50)/100*(Inputs!$B$12-Inputs!$B$12),0))))/100+(Inputs!$B$24+((C1105=TRUE)*(F1105-Calc!F24))+(IF(ArtifactsInput!$M$15,CHOOSE(ArtifactsInput!$N$15+1,25,30,35,40,45,50)/100*(Inputs!$B$12-Inputs!$B$12),0)))/100)/2</f>
        <v/>
      </c>
      <c r="M1090">
        <f>L1090*(1+(Inputs!$B$11+0+B1115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090">
        <f>L1090*(1-MIN((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1090*(MIN((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90">
        <f>(1-Summary!$B$11)*T1090+Summary!$B$11*V1090</f>
        <v/>
      </c>
      <c r="P1090">
        <f>IF(B1120=0,0,O1090/B1120)</f>
        <v/>
      </c>
      <c r="Q1090">
        <f>IFERROR(1/IF(Inputs!$B$39="pvp",15,MAX(0.1,Skills!D9-IF(TRUE=TRUE,Inputs!$B$33,0))),0)</f>
        <v/>
      </c>
      <c r="R1090">
        <f>IF(AND(Inputs!$B$39&lt;&gt;"pvp",Inputs!$B$44&gt;0),IF(MAX(0,Inputs!$B$44-B1117)&lt;=0,0,(INT(MAX(0,Inputs!$B$44-B1117)/IF(Inputs!$B$39="pvp",15,MAX(0.1,Skills!D9-IF(TRUE=TRUE,Inputs!$B$33,0))))+1)),0)</f>
        <v/>
      </c>
      <c r="S1090">
        <f>IFERROR(O1090/N1090,0)</f>
        <v/>
      </c>
      <c r="T1090">
        <f>IF(C1090,(H1090*N1090*IF(AND(Inputs!$B$39&lt;&gt;"pvp",Inputs!$B$44&gt;0),((Skills!G9*((R1090-1)*IF(Skills!H9&gt;0,INT(Skills!I9/Skills!H9+0.000000001),1)+IF(Skills!H9&gt;0,INT(MIN(Skills!I9,MAX(0,MAX(0,Inputs!$B$44-B1117)-((R1090-1)*IF(Inputs!$B$39="pvp",15,MAX(0.1,Skills!D9-IF(TRUE=TRUE,Inputs!$B$33,0))))))/Skills!H9+0.000000001),1)))/Inputs!$B$44),G1090*Q1090))*IF(Inputs!$B$39="pvp",1,1+(Inputs!$B$21+0+Skills!P9+((C1098=TRUE)*F1098*IF(AND(Inputs!$B$39&lt;&gt;"pvp",Inputs!$B$44&gt;0),(((R1098-1)*MIN((Skills!T17*(1+Inputs!$B$35/100)),(1/Q1098))+MIN((Skills!T17*(1+Inputs!$B$35/100)),MAX(0,Inputs!$B$44-((R1098-1)*(1/Q1098)))))/Inputs!$B$44),IF(Inputs!$B$39="pvp",MIN((Skills!T17*(1+Inputs!$B$35/100)),15)/15,MIN(1,(Skills!T17*(1+Inputs!$B$35/100))/(1/Q1098)))))+((C1086=TRUE)*IF(Inputs!$B$3&gt;=126,10*MIN(1,15*Q1086),0))+((C1095=TRUE)*IF(Inputs!$B$39="pvp",20,(1-Summary!$B$11)*(20)+Summary!$B$11*(0))*IF(AND(Inputs!$B$39&lt;&gt;"pvp",Inputs!$B$44&gt;0),(((R1095-1)*MIN((Skills!T14*(1+Inputs!$B$35/100)),(1/Q1095))+MIN((Skills!T14*(1+Inputs!$B$35/100)),MAX(0,Inputs!$B$44-((R1095-1)*(1/Q1095)))))/Inputs!$B$44),IF(Inputs!$B$39="pvp",MIN((Skills!T14*(1+Inputs!$B$35/100)),15)/15,MIN(1,(Skills!T14*(1+Inputs!$B$35/100))/(1/Q1095)))))+((C1094=TRUE)*IF(Inputs!$B$3&gt;=82,IF(Inputs!$B$39="pvp",20,(1-Summary!$B$11)*(20)+Summary!$B$11*(0)),0)*IF(AND(Inputs!$B$39&lt;&gt;"pvp",Inputs!$B$44&gt;0),(((R1094-1)*MIN((Skills!T13*(1+Inputs!$B$35/100)),(1/Q1094))+MIN((Skills!T13*(1+Inputs!$B$35/100)),MAX(0,Inputs!$B$44-((R1094-1)*(1/Q1094)))))/Inputs!$B$44),IF(Inputs!$B$39="pvp",MIN((Skills!T13*(1+Inputs!$B$35/100)),15)/15,MIN(1,(Skills!T13*(1+Inputs!$B$35/100))/(1/Q1094)))))+(IF(AND(ArtifactsInput!$M$35,Inputs!$B$4&lt;&gt;"Chapter Hunt"),CHOOSE(ArtifactsInput!$N$35+1,15,18,21,24,27,30)*(1-EXP(-(0.2*B1112)*5)),0)+IF(AND(ArtifactsInput!$M$22,Inputs!$B$4&lt;&gt;"Chapter Hunt"),CHOOSE(ArtifactsInput!$N$22+1,10,12,14,16,18,20)*((0*(((0.15*B1112*5))^0/1)+1*(((0.15*B1112*5))^1/1)+2*(((0.15*B1112*5))^2/2)+3*(((0.15*B1112*5))^3/6)+4*(((0.15*B1112*5))^4/24)+5*(((0.15*B1112*5))^5/120))/((((0.15*B1112*5))^0/1)+(((0.15*B1112*5))^1/1)+(((0.15*B1112*5))^2/2)+(((0.15*B1112*5))^3/6)+(((0.15*B1112*5))^4/24)+(((0.15*B1112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1090*(1-MIN(100,(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1090*(MIN(100,(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1090*(1-MIN(100,(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1090*(MIN(100,(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90">
        <f>IF(C1090,(H1090*N1090*IF(AND(Inputs!$B$39&lt;&gt;"pvp",Inputs!$B$44&gt;0),((Skills!G9*((R1090-1)*IF(Skills!H9&gt;0,INT(Skills!I9/Skills!H9+0.000000001),1)+IF(Skills!H9&gt;0,INT(MIN(Skills!I9,MAX(0,MAX(0,Inputs!$B$44-B1117)-((R1090-1)*IF(Inputs!$B$39="pvp",15,MAX(0.1,Skills!D9-IF(TRUE=TRUE,Inputs!$B$33,0))))))/Skills!H9+0.000000001),1)))/Inputs!$B$44),G1090*Q1090))*IF(Inputs!$B$39="pvp",1,(1+(Inputs!$B$22+Skills!Q9+((C1098=TRUE)*F1098*IF(AND(Inputs!$B$39&lt;&gt;"pvp",Inputs!$B$44&gt;0),(((R1098-1)*MIN((Skills!T17*(1+Inputs!$B$35/100)),(1/Q1098))+MIN((Skills!T17*(1+Inputs!$B$35/100)),MAX(0,Inputs!$B$44-((R1098-1)*(1/Q1098)))))/Inputs!$B$44),IF(Inputs!$B$39="pvp",MIN((Skills!T17*(1+Inputs!$B$35/100)),15)/15,MIN(1,(Skills!T17*(1+Inputs!$B$35/100))/(1/Q1098)))))+((C1086=TRUE)*IF(Inputs!$B$3&gt;=126,10*MIN(1,15*Q1086),0))+((C1095=TRUE)*IF(Inputs!$B$39="pvp",20,(1-Summary!$B$11)*(20)+Summary!$B$11*(0))*IF(AND(Inputs!$B$39&lt;&gt;"pvp",Inputs!$B$44&gt;0),(((R1095-1)*MIN((Skills!T14*(1+Inputs!$B$35/100)),(1/Q1095))+MIN((Skills!T14*(1+Inputs!$B$35/100)),MAX(0,Inputs!$B$44-((R1095-1)*(1/Q1095)))))/Inputs!$B$44),IF(Inputs!$B$39="pvp",MIN((Skills!T14*(1+Inputs!$B$35/100)),15)/15,MIN(1,(Skills!T14*(1+Inputs!$B$35/100))/(1/Q1095)))))+((C1094=TRUE)*IF(Inputs!$B$3&gt;=82,IF(Inputs!$B$39="pvp",20,(1-Summary!$B$11)*(20)+Summary!$B$11*(0)),0)*IF(AND(Inputs!$B$39&lt;&gt;"pvp",Inputs!$B$44&gt;0),(((R1094-1)*MIN((Skills!T13*(1+Inputs!$B$35/100)),(1/Q1094))+MIN((Skills!T13*(1+Inputs!$B$35/100)),MAX(0,Inputs!$B$44-((R1094-1)*(1/Q1094)))))/Inputs!$B$44),IF(Inputs!$B$39="pvp",MIN((Skills!T13*(1+Inputs!$B$35/100)),15)/15,MIN(1,(Skills!T13*(1+Inputs!$B$35/100))/(1/Q1094)))))+(IF(AND(ArtifactsInput!$M$35,Inputs!$B$4&lt;&gt;"Chapter Hunt"),CHOOSE(ArtifactsInput!$N$35+1,15,18,21,24,27,30)*(1-EXP(-(0.2*B1112)*5)),0)+IF(AND(ArtifactsInput!$M$22,Inputs!$B$4&lt;&gt;"Chapter Hunt"),CHOOSE(ArtifactsInput!$N$22+1,10,12,14,16,18,20)*((0*(((0.15*B1112*5))^0/1)+1*(((0.15*B1112*5))^1/1)+2*(((0.15*B1112*5))^2/2)+3*(((0.15*B1112*5))^3/6)+4*(((0.15*B1112*5))^4/24)+5*(((0.15*B1112*5))^5/120))/((((0.15*B1112*5))^0/1)+(((0.15*B1112*5))^1/1)+(((0.15*B1112*5))^2/2)+(((0.15*B1112*5))^3/6)+(((0.15*B1112*5))^4/24)+(((0.15*B1112*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91">
      <c r="A1091">
        <f>Skills!A10</f>
        <v/>
      </c>
      <c r="B1091">
        <f>Skills!B10</f>
        <v/>
      </c>
      <c r="C1091">
        <f>Inputs!$B$3&gt;=110</f>
        <v/>
      </c>
      <c r="D1091">
        <f>IF(Skills!C10=1,60+Inputs!$B$26+Inputs!$B$30,IF(Skills!C10=2,90+Inputs!$B$27+Inputs!$B$30,IF(Skills!C10=3,120+Inputs!$B$28+Inputs!$B$30,MAX(0,(Inputs!$B$3-100)*3)+Inputs!$B$29+Inputs!$B$30)))</f>
        <v/>
      </c>
      <c r="E1091">
        <f>INDEX(FactorTable!$B$2:$Y$301, MATCH(ROUND(MIN(300,MAX(1,D1091)),0), FactorTable!$A$2:$A$301,0), Skills!M10+1)</f>
        <v/>
      </c>
      <c r="F1091">
        <f>IF(Skills!N10=TRUE,(Skills!L10/10)*(E1091/1000),Skills!L10/10)+Skills!O10</f>
        <v/>
      </c>
      <c r="G1091">
        <f>Skills!G10*IF(Skills!H10&gt;0,INT(IF(Inputs!$B$39="pvp",MIN(Skills!I10,15),Skills!I10)/Skills!H10+0.000000001),1)</f>
        <v/>
      </c>
      <c r="H1091">
        <f>1-(1-Skills!J10/100)^Skills!K10</f>
        <v/>
      </c>
      <c r="I1091" t="inlineStr">
        <is>
          <t>1</t>
        </is>
      </c>
      <c r="J1091">
        <f>((Inputs!$B$6*(1+(Inputs!$B$7+1)/100))+(((Inputs!$B$13*(1+Inputs!$B$14/100))-(Inputs!$B$13*(1+Inputs!$B$14/100)))+0.25*(Inputs!$B$15-Inputs!$B$15))*(1+(Inputs!$B$7+1)/100))*(F1091/100)</f>
        <v/>
      </c>
      <c r="K1091">
        <f>J1091*(1+(((Inputs!$B$13+IF(Inputs!$B$3&gt;=38,(10*INDEX(FactorTable!$B$2:$Y$301, MATCH(ROUND(MIN(300,MAX(1,Inputs!$B$3)),0), FactorTable!$A$2:$A$301,0), 23)/1000)/100*(Inputs!$B$8*(1+Inputs!$B$9/100)),0))*(1+Inputs!$B$14/100))*0.01+Inputs!$B$15*0.0025)/100)*(1+Inputs!$B$16/100)*(1+Inputs!$B$17/100)*(5000/(6000+Inputs!$B$43*(1-(Inputs!$B$20+0)/100)))*(1+(Inputs!$B$25+((C1106=TRUE)*(F1106-Calc!F25))+((C1107=TRUE)*(F1107-Calc!F26))+B1116)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gt;=100),MIN(100,((Inputs!$B$10+0+B1110+(ArtifactsInput!$M$24-ArtifactsInput!$M$24)*CHOOSE(ArtifactsInput!$N$24+1,10,12,14,16,18,20)+IF(ArtifactsInput!$M$10,CHOOSE(ArtifactsInput!$N$10+1,15,18,21,24,27,30)*(IF(Inputs!$B$39="pvp",MIN(15,15)/15,IF(AND(Inputs!$B$39&lt;&gt;"pvp",Inputs!$B$44&gt;0),MIN(15,Inputs!$B$44)/(Inputs!$B$44),0))),0)))-100),0))*CHOOSE(ArtifactsInput!$N$42+1,0.6,0.72,0.84,0.96,1.08,1.2))),Inputs!$B$19+((C1104=TRUE)*(F1104-Calc!F23))+(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gt;=100),CHOOSE(ArtifactsInput!$N$42+1,40,48,56,64,72,80),0))))/100)*((1+(((C1094=TRUE)*F1094*IF(AND(Inputs!$B$39&lt;&gt;"pvp",Inputs!$B$44&gt;0),(((R1094-1)*MIN((Skills!T13*(1+Inputs!$B$35/100)),(1/Q1094))+MIN((Skills!T13*(1+Inputs!$B$35/100)),MAX(0,Inputs!$B$44-((R1094-1)*(1/Q1094)))))/Inputs!$B$44),IF(Inputs!$B$39="pvp",MIN((Skills!T13*(1+Inputs!$B$35/100)),15)/15,MIN(1,(Skills!T13*(1+Inputs!$B$35/100))/(1/Q1094)))))+((C1095=TRUE)*F1095*IF(AND(Inputs!$B$39&lt;&gt;"pvp",Inputs!$B$44&gt;0),(((R1095-1)*MIN((Skills!T14*(1+Inputs!$B$35/100)),(1/Q1095))+MIN((Skills!T14*(1+Inputs!$B$35/100)),MAX(0,Inputs!$B$44-((R1095-1)*(1/Q1095)))))/Inputs!$B$44),IF(Inputs!$B$39="pvp",MIN((Skills!T14*(1+Inputs!$B$35/100)),15)/15,MIN(1,(Skills!T14*(1+Inputs!$B$35/100))/(1/Q1095)))))+((C1096=TRUE)*F1096*IF(AND(Inputs!$B$39&lt;&gt;"pvp",Inputs!$B$44&gt;0),(((R1096-1)*MIN((Skills!T15*(1+Inputs!$B$35/100)),(1/Q1096))+MIN((Skills!T15*(1+Inputs!$B$35/100)),MAX(0,Inputs!$B$44-((R1096-1)*(1/Q1096)))))/Inputs!$B$44),IF(Inputs!$B$39="pvp",MIN((Skills!T15*(1+Inputs!$B$35/100)),15)/15,MIN(1,(Skills!T15*(1+Inputs!$B$35/100))/(1/Q1096)))))+((C1097=TRUE)*F1097*IF(AND(Inputs!$B$39&lt;&gt;"pvp",Inputs!$B$44&gt;0),(((R1097-1)*MIN((Skills!T16*(1+Inputs!$B$35/100)),(1/Q1097))+MIN((Skills!T16*(1+Inputs!$B$35/100)),MAX(0,Inputs!$B$44-((R1097-1)*(1/Q1097)))))/Inputs!$B$44),IF(Inputs!$B$39="pvp",MIN((Skills!T16*(1+Inputs!$B$35/100)),15)/15,MIN(1,(Skills!T16*(1+Inputs!$B$35/100))/(1/Q1097)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1091)</f>
        <v/>
      </c>
      <c r="L1091">
        <f>K1091*(MIN(Inputs!$B$23+((C1103=TRUE)*(F1103-Calc!F22)),(Inputs!$B$24+((C1105=TRUE)*(F1105-Calc!F24))+(IF(ArtifactsInput!$M$15,CHOOSE(ArtifactsInput!$N$15+1,25,30,35,40,45,50)/100*(Inputs!$B$12-Inputs!$B$12),0))))/100+(Inputs!$B$24+((C1105=TRUE)*(F1105-Calc!F24))+(IF(ArtifactsInput!$M$15,CHOOSE(ArtifactsInput!$N$15+1,25,30,35,40,45,50)/100*(Inputs!$B$12-Inputs!$B$12),0)))/100)/2</f>
        <v/>
      </c>
      <c r="M1091">
        <f>L1091*(1+(Inputs!$B$11+0+B1115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091">
        <f>L1091*(1-MIN((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1091*(MIN((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91">
        <f>(1-Summary!$B$11)*T1091+Summary!$B$11*V1091</f>
        <v/>
      </c>
      <c r="P1091">
        <f>IF(B1120=0,0,O1091/B1120)</f>
        <v/>
      </c>
      <c r="Q1091">
        <f>IFERROR(1/IF(Inputs!$B$39="pvp",15,MAX(0.1,Skills!D10-IF(TRUE=TRUE,Inputs!$B$33,0))),0)</f>
        <v/>
      </c>
      <c r="R1091">
        <f>IF(AND(Inputs!$B$39&lt;&gt;"pvp",Inputs!$B$44&gt;0),IF(MAX(0,Inputs!$B$44-B1117)&lt;=0,0,(INT(MAX(0,Inputs!$B$44-B1117)/IF(Inputs!$B$39="pvp",15,MAX(0.1,Skills!D10-IF(TRUE=TRUE,Inputs!$B$33,0))))+1)),0)</f>
        <v/>
      </c>
      <c r="S1091">
        <f>IFERROR(O1091/N1091,0)</f>
        <v/>
      </c>
      <c r="T1091">
        <f>IF(C1091,(H1091*N1091*IF(AND(Inputs!$B$39&lt;&gt;"pvp",Inputs!$B$44&gt;0),((Skills!G10*((R1091-1)*IF(Skills!H10&gt;0,INT(Skills!I10/Skills!H10+0.000000001),1)+IF(Skills!H10&gt;0,INT(MIN(Skills!I10,MAX(0,MAX(0,Inputs!$B$44-B1117)-((R1091-1)*IF(Inputs!$B$39="pvp",15,MAX(0.1,Skills!D10-IF(TRUE=TRUE,Inputs!$B$33,0))))))/Skills!H10+0.000000001),1)))/Inputs!$B$44),G1091*Q1091))*IF(Inputs!$B$39="pvp",1,1+(Inputs!$B$21+0+Skills!P10+((C1098=TRUE)*F1098*IF(AND(Inputs!$B$39&lt;&gt;"pvp",Inputs!$B$44&gt;0),(((R1098-1)*MIN((Skills!T17*(1+Inputs!$B$35/100)),(1/Q1098))+MIN((Skills!T17*(1+Inputs!$B$35/100)),MAX(0,Inputs!$B$44-((R1098-1)*(1/Q1098)))))/Inputs!$B$44),IF(Inputs!$B$39="pvp",MIN((Skills!T17*(1+Inputs!$B$35/100)),15)/15,MIN(1,(Skills!T17*(1+Inputs!$B$35/100))/(1/Q1098)))))+((C1086=TRUE)*IF(Inputs!$B$3&gt;=126,10*MIN(1,15*Q1086),0))+((C1095=TRUE)*IF(Inputs!$B$39="pvp",20,(1-Summary!$B$11)*(20)+Summary!$B$11*(0))*IF(AND(Inputs!$B$39&lt;&gt;"pvp",Inputs!$B$44&gt;0),(((R1095-1)*MIN((Skills!T14*(1+Inputs!$B$35/100)),(1/Q1095))+MIN((Skills!T14*(1+Inputs!$B$35/100)),MAX(0,Inputs!$B$44-((R1095-1)*(1/Q1095)))))/Inputs!$B$44),IF(Inputs!$B$39="pvp",MIN((Skills!T14*(1+Inputs!$B$35/100)),15)/15,MIN(1,(Skills!T14*(1+Inputs!$B$35/100))/(1/Q1095)))))+((C1094=TRUE)*IF(Inputs!$B$3&gt;=82,IF(Inputs!$B$39="pvp",20,(1-Summary!$B$11)*(20)+Summary!$B$11*(0)),0)*IF(AND(Inputs!$B$39&lt;&gt;"pvp",Inputs!$B$44&gt;0),(((R1094-1)*MIN((Skills!T13*(1+Inputs!$B$35/100)),(1/Q1094))+MIN((Skills!T13*(1+Inputs!$B$35/100)),MAX(0,Inputs!$B$44-((R1094-1)*(1/Q1094)))))/Inputs!$B$44),IF(Inputs!$B$39="pvp",MIN((Skills!T13*(1+Inputs!$B$35/100)),15)/15,MIN(1,(Skills!T13*(1+Inputs!$B$35/100))/(1/Q1094)))))+(IF(AND(ArtifactsInput!$M$35,Inputs!$B$4&lt;&gt;"Chapter Hunt"),CHOOSE(ArtifactsInput!$N$35+1,15,18,21,24,27,30)*(1-EXP(-(0.2*B1112)*5)),0)+IF(AND(ArtifactsInput!$M$22,Inputs!$B$4&lt;&gt;"Chapter Hunt"),CHOOSE(ArtifactsInput!$N$22+1,10,12,14,16,18,20)*((0*(((0.15*B1112*5))^0/1)+1*(((0.15*B1112*5))^1/1)+2*(((0.15*B1112*5))^2/2)+3*(((0.15*B1112*5))^3/6)+4*(((0.15*B1112*5))^4/24)+5*(((0.15*B1112*5))^5/120))/((((0.15*B1112*5))^0/1)+(((0.15*B1112*5))^1/1)+(((0.15*B1112*5))^2/2)+(((0.15*B1112*5))^3/6)+(((0.15*B1112*5))^4/24)+(((0.15*B1112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1091*(1-MIN(100,(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1091*(MIN(100,(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1091*(1-MIN(100,(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1091*(MIN(100,(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91">
        <f>IF(C1091,(H1091*N1091*IF(AND(Inputs!$B$39&lt;&gt;"pvp",Inputs!$B$44&gt;0),((Skills!G10*((R1091-1)*IF(Skills!H10&gt;0,INT(Skills!I10/Skills!H10+0.000000001),1)+IF(Skills!H10&gt;0,INT(MIN(Skills!I10,MAX(0,MAX(0,Inputs!$B$44-B1117)-((R1091-1)*IF(Inputs!$B$39="pvp",15,MAX(0.1,Skills!D10-IF(TRUE=TRUE,Inputs!$B$33,0))))))/Skills!H10+0.000000001),1)))/Inputs!$B$44),G1091*Q1091))*IF(Inputs!$B$39="pvp",1,(1+(Inputs!$B$22+Skills!Q10+((C1098=TRUE)*F1098*IF(AND(Inputs!$B$39&lt;&gt;"pvp",Inputs!$B$44&gt;0),(((R1098-1)*MIN((Skills!T17*(1+Inputs!$B$35/100)),(1/Q1098))+MIN((Skills!T17*(1+Inputs!$B$35/100)),MAX(0,Inputs!$B$44-((R1098-1)*(1/Q1098)))))/Inputs!$B$44),IF(Inputs!$B$39="pvp",MIN((Skills!T17*(1+Inputs!$B$35/100)),15)/15,MIN(1,(Skills!T17*(1+Inputs!$B$35/100))/(1/Q1098)))))+((C1086=TRUE)*IF(Inputs!$B$3&gt;=126,10*MIN(1,15*Q1086),0))+((C1095=TRUE)*IF(Inputs!$B$39="pvp",20,(1-Summary!$B$11)*(20)+Summary!$B$11*(0))*IF(AND(Inputs!$B$39&lt;&gt;"pvp",Inputs!$B$44&gt;0),(((R1095-1)*MIN((Skills!T14*(1+Inputs!$B$35/100)),(1/Q1095))+MIN((Skills!T14*(1+Inputs!$B$35/100)),MAX(0,Inputs!$B$44-((R1095-1)*(1/Q1095)))))/Inputs!$B$44),IF(Inputs!$B$39="pvp",MIN((Skills!T14*(1+Inputs!$B$35/100)),15)/15,MIN(1,(Skills!T14*(1+Inputs!$B$35/100))/(1/Q1095)))))+((C1094=TRUE)*IF(Inputs!$B$3&gt;=82,IF(Inputs!$B$39="pvp",20,(1-Summary!$B$11)*(20)+Summary!$B$11*(0)),0)*IF(AND(Inputs!$B$39&lt;&gt;"pvp",Inputs!$B$44&gt;0),(((R1094-1)*MIN((Skills!T13*(1+Inputs!$B$35/100)),(1/Q1094))+MIN((Skills!T13*(1+Inputs!$B$35/100)),MAX(0,Inputs!$B$44-((R1094-1)*(1/Q1094)))))/Inputs!$B$44),IF(Inputs!$B$39="pvp",MIN((Skills!T13*(1+Inputs!$B$35/100)),15)/15,MIN(1,(Skills!T13*(1+Inputs!$B$35/100))/(1/Q1094)))))+(IF(AND(ArtifactsInput!$M$35,Inputs!$B$4&lt;&gt;"Chapter Hunt"),CHOOSE(ArtifactsInput!$N$35+1,15,18,21,24,27,30)*(1-EXP(-(0.2*B1112)*5)),0)+IF(AND(ArtifactsInput!$M$22,Inputs!$B$4&lt;&gt;"Chapter Hunt"),CHOOSE(ArtifactsInput!$N$22+1,10,12,14,16,18,20)*((0*(((0.15*B1112*5))^0/1)+1*(((0.15*B1112*5))^1/1)+2*(((0.15*B1112*5))^2/2)+3*(((0.15*B1112*5))^3/6)+4*(((0.15*B1112*5))^4/24)+5*(((0.15*B1112*5))^5/120))/((((0.15*B1112*5))^0/1)+(((0.15*B1112*5))^1/1)+(((0.15*B1112*5))^2/2)+(((0.15*B1112*5))^3/6)+(((0.15*B1112*5))^4/24)+(((0.15*B1112*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92">
      <c r="A1092">
        <f>Skills!A11</f>
        <v/>
      </c>
      <c r="B1092">
        <f>Skills!B11</f>
        <v/>
      </c>
      <c r="C1092">
        <f>Inputs!$B$3&gt;=100</f>
        <v/>
      </c>
      <c r="D1092">
        <f>IF(Skills!C11=1,60+Inputs!$B$26+Inputs!$B$30,IF(Skills!C11=2,90+Inputs!$B$27+Inputs!$B$30,IF(Skills!C11=3,120+Inputs!$B$28+Inputs!$B$30,MAX(0,(Inputs!$B$3-100)*3)+Inputs!$B$29+Inputs!$B$30)))</f>
        <v/>
      </c>
      <c r="E1092">
        <f>INDEX(FactorTable!$B$2:$Y$301, MATCH(ROUND(MIN(300,MAX(1,D1092)),0), FactorTable!$A$2:$A$301,0), Skills!M11+1)</f>
        <v/>
      </c>
      <c r="F1092">
        <f>IF(Skills!N11=TRUE,(Skills!L11/10)*(E1092/1000),Skills!L11/10)+Skills!O11</f>
        <v/>
      </c>
      <c r="G1092" t="inlineStr"/>
      <c r="H1092" t="inlineStr"/>
      <c r="I1092" t="inlineStr">
        <is>
          <t>1</t>
        </is>
      </c>
      <c r="J1092" t="inlineStr"/>
      <c r="K1092" t="inlineStr"/>
      <c r="L1092" t="inlineStr"/>
      <c r="M1092" t="inlineStr"/>
      <c r="N1092" t="inlineStr"/>
      <c r="O1092" t="inlineStr"/>
      <c r="P1092" t="inlineStr"/>
      <c r="Q1092" t="inlineStr"/>
      <c r="R1092" t="inlineStr"/>
      <c r="S1092" t="inlineStr"/>
    </row>
    <row r="1093">
      <c r="A1093">
        <f>Skills!A12</f>
        <v/>
      </c>
      <c r="B1093">
        <f>Skills!B12</f>
        <v/>
      </c>
      <c r="C1093">
        <f>Inputs!$B$3&gt;=63</f>
        <v/>
      </c>
      <c r="D1093">
        <f>IF(Skills!C12=1,60+Inputs!$B$26+Inputs!$B$30,IF(Skills!C12=2,90+Inputs!$B$27+Inputs!$B$30,IF(Skills!C12=3,120+Inputs!$B$28+Inputs!$B$30,MAX(0,(Inputs!$B$3-100)*3)+Inputs!$B$29+Inputs!$B$30)))</f>
        <v/>
      </c>
      <c r="E1093">
        <f>INDEX(FactorTable!$B$2:$Y$301, MATCH(ROUND(MIN(300,MAX(1,D1093)),0), FactorTable!$A$2:$A$301,0), Skills!M12+1)</f>
        <v/>
      </c>
      <c r="F1093">
        <f>IF(Skills!N12=TRUE,(Skills!L12/10)*(E1093/1000),Skills!L12/10)+Skills!O12</f>
        <v/>
      </c>
      <c r="G1093">
        <f>Skills!G12*IF(Skills!H12&gt;0,INT(IF(Inputs!$B$39="pvp",MIN(Skills!I12,15),Skills!I12)/Skills!H12+0.000000001),1)</f>
        <v/>
      </c>
      <c r="H1093">
        <f>1-(1-Skills!J12/100)^Skills!K12</f>
        <v/>
      </c>
      <c r="I1093" t="inlineStr">
        <is>
          <t>1</t>
        </is>
      </c>
      <c r="J1093">
        <f>((Inputs!$B$6*(1+(Inputs!$B$7+1)/100))+(((Inputs!$B$13*(1+Inputs!$B$14/100))-(Inputs!$B$13*(1+Inputs!$B$14/100)))+0.25*(Inputs!$B$15-Inputs!$B$15))*(1+(Inputs!$B$7+1)/100))*(F1093/100)</f>
        <v/>
      </c>
      <c r="K1093">
        <f>J1093*(1+(((Inputs!$B$13+IF(Inputs!$B$3&gt;=38,(10*INDEX(FactorTable!$B$2:$Y$301, MATCH(ROUND(MIN(300,MAX(1,Inputs!$B$3)),0), FactorTable!$A$2:$A$301,0), 23)/1000)/100*(Inputs!$B$8*(1+Inputs!$B$9/100)),0))*(1+Inputs!$B$14/100))*0.01+Inputs!$B$15*0.0025)/100)*(1+Inputs!$B$16/100)*(1+Inputs!$B$17/100)*(5000/(6000+Inputs!$B$43*(1-(Inputs!$B$20+0)/100)))*(1+(Inputs!$B$25+((C1106=TRUE)*(F1106-Calc!F25))+((C1107=TRUE)*(F1107-Calc!F26))+B1116)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1092=TRUE,F1092,0)/100)*(1+(IF(Skills!A12="DARK_IMPALE",Inputs!$B$18+0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gt;=100),MIN(100,((Inputs!$B$10+0+B1110+(ArtifactsInput!$M$24-ArtifactsInput!$M$24)*CHOOSE(ArtifactsInput!$N$24+1,10,12,14,16,18,20)+IF(ArtifactsInput!$M$10,CHOOSE(ArtifactsInput!$N$10+1,15,18,21,24,27,30)*(IF(Inputs!$B$39="pvp",MIN(15,15)/15,IF(AND(Inputs!$B$39&lt;&gt;"pvp",Inputs!$B$44&gt;0),MIN(15,Inputs!$B$44)/(Inputs!$B$44),0))),0)))-100),0))*CHOOSE(ArtifactsInput!$N$42+1,0.6,0.72,0.84,0.96,1.08,1.2))),Inputs!$B$19+((C1104=TRUE)*(F1104-Calc!F23))+(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gt;=100),CHOOSE(ArtifactsInput!$N$42+1,40,48,56,64,72,80),0))))/100)*((1+(((C1094=TRUE)*F1094*IF(AND(Inputs!$B$39&lt;&gt;"pvp",Inputs!$B$44&gt;0),(((R1094-1)*MIN((Skills!T13*(1+Inputs!$B$35/100)),(1/Q1094))+MIN((Skills!T13*(1+Inputs!$B$35/100)),MAX(0,Inputs!$B$44-((R1094-1)*(1/Q1094)))))/Inputs!$B$44),IF(Inputs!$B$39="pvp",MIN((Skills!T13*(1+Inputs!$B$35/100)),15)/15,MIN(1,(Skills!T13*(1+Inputs!$B$35/100))/(1/Q1094)))))+((C1095=TRUE)*F1095*IF(AND(Inputs!$B$39&lt;&gt;"pvp",Inputs!$B$44&gt;0),(((R1095-1)*MIN((Skills!T14*(1+Inputs!$B$35/100)),(1/Q1095))+MIN((Skills!T14*(1+Inputs!$B$35/100)),MAX(0,Inputs!$B$44-((R1095-1)*(1/Q1095)))))/Inputs!$B$44),IF(Inputs!$B$39="pvp",MIN((Skills!T14*(1+Inputs!$B$35/100)),15)/15,MIN(1,(Skills!T14*(1+Inputs!$B$35/100))/(1/Q1095)))))+((C1096=TRUE)*F1096*IF(AND(Inputs!$B$39&lt;&gt;"pvp",Inputs!$B$44&gt;0),(((R1096-1)*MIN((Skills!T15*(1+Inputs!$B$35/100)),(1/Q1096))+MIN((Skills!T15*(1+Inputs!$B$35/100)),MAX(0,Inputs!$B$44-((R1096-1)*(1/Q1096)))))/Inputs!$B$44),IF(Inputs!$B$39="pvp",MIN((Skills!T15*(1+Inputs!$B$35/100)),15)/15,MIN(1,(Skills!T15*(1+Inputs!$B$35/100))/(1/Q1096)))))+((C1097=TRUE)*F1097*IF(AND(Inputs!$B$39&lt;&gt;"pvp",Inputs!$B$44&gt;0),(((R1097-1)*MIN((Skills!T16*(1+Inputs!$B$35/100)),(1/Q1097))+MIN((Skills!T16*(1+Inputs!$B$35/100)),MAX(0,Inputs!$B$44-((R1097-1)*(1/Q1097)))))/Inputs!$B$44),IF(Inputs!$B$39="pvp",MIN((Skills!T16*(1+Inputs!$B$35/100)),15)/15,MIN(1,(Skills!T16*(1+Inputs!$B$35/100))/(1/Q1097)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1093)</f>
        <v/>
      </c>
      <c r="L1093">
        <f>K1093*(MIN(Inputs!$B$23+((C1103=TRUE)*(F1103-Calc!F22)),(Inputs!$B$24+((C1105=TRUE)*(F1105-Calc!F24))+(IF(ArtifactsInput!$M$15,CHOOSE(ArtifactsInput!$N$15+1,25,30,35,40,45,50)/100*(Inputs!$B$12-Inputs!$B$12),0))))/100+(Inputs!$B$24+((C1105=TRUE)*(F1105-Calc!F24))+(IF(ArtifactsInput!$M$15,CHOOSE(ArtifactsInput!$N$15+1,25,30,35,40,45,50)/100*(Inputs!$B$12-Inputs!$B$12),0)))/100)/2</f>
        <v/>
      </c>
      <c r="M1093">
        <f>L1093*(1+(Inputs!$B$11+0+B1115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093">
        <f>L1093*(1-MIN((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1093*(MIN((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93">
        <f>(1-Summary!$B$11)*T1093+Summary!$B$11*V1093</f>
        <v/>
      </c>
      <c r="P1093">
        <f>IF(B1120=0,0,O1093/B1120)</f>
        <v/>
      </c>
      <c r="Q1093">
        <f>IFERROR(1/IF(Inputs!$B$39="pvp",15,MAX(0.1,Skills!D12-IF(TRUE=TRUE,Inputs!$B$33,0))),0)</f>
        <v/>
      </c>
      <c r="R1093">
        <f>IF(AND(Inputs!$B$39&lt;&gt;"pvp",Inputs!$B$44&gt;0),IF(MAX(0,Inputs!$B$44-B1117)&lt;=0,0,(INT(MAX(0,Inputs!$B$44-B1117)/IF(Inputs!$B$39="pvp",15,MAX(0.1,Skills!D12-IF(TRUE=TRUE,Inputs!$B$33,0))))+1)),0)</f>
        <v/>
      </c>
      <c r="S1093">
        <f>IFERROR(O1093/N1093,0)</f>
        <v/>
      </c>
      <c r="T1093">
        <f>IF(C1093,(H1093*N1093*IF(AND(Inputs!$B$39&lt;&gt;"pvp",Inputs!$B$44&gt;0),((Skills!G12*((R1093-1)*IF(Skills!H12&gt;0,INT(Skills!I12/Skills!H12+0.000000001),1)+IF(Skills!H12&gt;0,INT(MIN(Skills!I12,MAX(0,MAX(0,Inputs!$B$44-B1117)-((R1093-1)*IF(Inputs!$B$39="pvp",15,MAX(0.1,Skills!D12-IF(TRUE=TRUE,Inputs!$B$33,0))))))/Skills!H12+0.000000001),1)))/Inputs!$B$44),G1093*Q1093))*IF(Inputs!$B$39="pvp",1,1+(Inputs!$B$21+0+Skills!P12+((C1098=TRUE)*F1098*IF(AND(Inputs!$B$39&lt;&gt;"pvp",Inputs!$B$44&gt;0),(((R1098-1)*MIN((Skills!T17*(1+Inputs!$B$35/100)),(1/Q1098))+MIN((Skills!T17*(1+Inputs!$B$35/100)),MAX(0,Inputs!$B$44-((R1098-1)*(1/Q1098)))))/Inputs!$B$44),IF(Inputs!$B$39="pvp",MIN((Skills!T17*(1+Inputs!$B$35/100)),15)/15,MIN(1,(Skills!T17*(1+Inputs!$B$35/100))/(1/Q1098)))))+((C1086=TRUE)*IF(Inputs!$B$3&gt;=126,10*MIN(1,15*Q1086),0))+((C1095=TRUE)*IF(Inputs!$B$39="pvp",20,(1-Summary!$B$11)*(20)+Summary!$B$11*(0))*IF(AND(Inputs!$B$39&lt;&gt;"pvp",Inputs!$B$44&gt;0),(((R1095-1)*MIN((Skills!T14*(1+Inputs!$B$35/100)),(1/Q1095))+MIN((Skills!T14*(1+Inputs!$B$35/100)),MAX(0,Inputs!$B$44-((R1095-1)*(1/Q1095)))))/Inputs!$B$44),IF(Inputs!$B$39="pvp",MIN((Skills!T14*(1+Inputs!$B$35/100)),15)/15,MIN(1,(Skills!T14*(1+Inputs!$B$35/100))/(1/Q1095)))))+((C1094=TRUE)*IF(Inputs!$B$3&gt;=82,IF(Inputs!$B$39="pvp",20,(1-Summary!$B$11)*(20)+Summary!$B$11*(0)),0)*IF(AND(Inputs!$B$39&lt;&gt;"pvp",Inputs!$B$44&gt;0),(((R1094-1)*MIN((Skills!T13*(1+Inputs!$B$35/100)),(1/Q1094))+MIN((Skills!T13*(1+Inputs!$B$35/100)),MAX(0,Inputs!$B$44-((R1094-1)*(1/Q1094)))))/Inputs!$B$44),IF(Inputs!$B$39="pvp",MIN((Skills!T13*(1+Inputs!$B$35/100)),15)/15,MIN(1,(Skills!T13*(1+Inputs!$B$35/100))/(1/Q1094)))))+(IF(AND(ArtifactsInput!$M$35,Inputs!$B$4&lt;&gt;"Chapter Hunt"),CHOOSE(ArtifactsInput!$N$35+1,15,18,21,24,27,30)*(1-EXP(-(0.2*B1112)*5)),0)+IF(AND(ArtifactsInput!$M$22,Inputs!$B$4&lt;&gt;"Chapter Hunt"),CHOOSE(ArtifactsInput!$N$22+1,10,12,14,16,18,20)*((0*(((0.15*B1112*5))^0/1)+1*(((0.15*B1112*5))^1/1)+2*(((0.15*B1112*5))^2/2)+3*(((0.15*B1112*5))^3/6)+4*(((0.15*B1112*5))^4/24)+5*(((0.15*B1112*5))^5/120))/((((0.15*B1112*5))^0/1)+(((0.15*B1112*5))^1/1)+(((0.15*B1112*5))^2/2)+(((0.15*B1112*5))^3/6)+(((0.15*B1112*5))^4/24)+(((0.15*B1112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1093*(1-MIN(100,(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1093*(MIN(100,(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1093*(1-MIN(100,(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1093*(MIN(100,(Inputs!$B$10+0+B1110+(ArtifactsInput!$M$24-ArtifactsInput!$M$24)*CHOOSE(ArtifactsInput!$N$24+1,10,12,14,16,18,20)+(IF(AND(Inputs!$B$39&lt;&gt;"pvp",Inputs!$B$44=0),1,IF(IF(Inputs!$B$39="pvp",15,Inputs!$B$44)-(B1117)&lt;=0,1,MAX(0,IF(Inputs!$B$39="pvp",15,Inputs!$B$44)-MAX(5,B1117))/(IF(Inputs!$B$39="pvp",15,Inputs!$B$44)-(B1117))))*IF(AND(ArtifactsInput!$M$42,((Inputs!$B$10+0+B1110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093">
        <f>IF(C1093,(H1093*N1093*IF(AND(Inputs!$B$39&lt;&gt;"pvp",Inputs!$B$44&gt;0),((Skills!G12*((R1093-1)*IF(Skills!H12&gt;0,INT(Skills!I12/Skills!H12+0.000000001),1)+IF(Skills!H12&gt;0,INT(MIN(Skills!I12,MAX(0,MAX(0,Inputs!$B$44-B1117)-((R1093-1)*IF(Inputs!$B$39="pvp",15,MAX(0.1,Skills!D12-IF(TRUE=TRUE,Inputs!$B$33,0))))))/Skills!H12+0.000000001),1)))/Inputs!$B$44),G1093*Q1093))*IF(Inputs!$B$39="pvp",1,(1+(Inputs!$B$22+Skills!Q12+((C1098=TRUE)*F1098*IF(AND(Inputs!$B$39&lt;&gt;"pvp",Inputs!$B$44&gt;0),(((R1098-1)*MIN((Skills!T17*(1+Inputs!$B$35/100)),(1/Q1098))+MIN((Skills!T17*(1+Inputs!$B$35/100)),MAX(0,Inputs!$B$44-((R1098-1)*(1/Q1098)))))/Inputs!$B$44),IF(Inputs!$B$39="pvp",MIN((Skills!T17*(1+Inputs!$B$35/100)),15)/15,MIN(1,(Skills!T17*(1+Inputs!$B$35/100))/(1/Q1098)))))+((C1086=TRUE)*IF(Inputs!$B$3&gt;=126,10*MIN(1,15*Q1086),0))+((C1095=TRUE)*IF(Inputs!$B$39="pvp",20,(1-Summary!$B$11)*(20)+Summary!$B$11*(0))*IF(AND(Inputs!$B$39&lt;&gt;"pvp",Inputs!$B$44&gt;0),(((R1095-1)*MIN((Skills!T14*(1+Inputs!$B$35/100)),(1/Q1095))+MIN((Skills!T14*(1+Inputs!$B$35/100)),MAX(0,Inputs!$B$44-((R1095-1)*(1/Q1095)))))/Inputs!$B$44),IF(Inputs!$B$39="pvp",MIN((Skills!T14*(1+Inputs!$B$35/100)),15)/15,MIN(1,(Skills!T14*(1+Inputs!$B$35/100))/(1/Q1095)))))+((C1094=TRUE)*IF(Inputs!$B$3&gt;=82,IF(Inputs!$B$39="pvp",20,(1-Summary!$B$11)*(20)+Summary!$B$11*(0)),0)*IF(AND(Inputs!$B$39&lt;&gt;"pvp",Inputs!$B$44&gt;0),(((R1094-1)*MIN((Skills!T13*(1+Inputs!$B$35/100)),(1/Q1094))+MIN((Skills!T13*(1+Inputs!$B$35/100)),MAX(0,Inputs!$B$44-((R1094-1)*(1/Q1094)))))/Inputs!$B$44),IF(Inputs!$B$39="pvp",MIN((Skills!T13*(1+Inputs!$B$35/100)),15)/15,MIN(1,(Skills!T13*(1+Inputs!$B$35/100))/(1/Q1094)))))+(IF(AND(ArtifactsInput!$M$35,Inputs!$B$4&lt;&gt;"Chapter Hunt"),CHOOSE(ArtifactsInput!$N$35+1,15,18,21,24,27,30)*(1-EXP(-(0.2*B1112)*5)),0)+IF(AND(ArtifactsInput!$M$22,Inputs!$B$4&lt;&gt;"Chapter Hunt"),CHOOSE(ArtifactsInput!$N$22+1,10,12,14,16,18,20)*((0*(((0.15*B1112*5))^0/1)+1*(((0.15*B1112*5))^1/1)+2*(((0.15*B1112*5))^2/2)+3*(((0.15*B1112*5))^3/6)+4*(((0.15*B1112*5))^4/24)+5*(((0.15*B1112*5))^5/120))/((((0.15*B1112*5))^0/1)+(((0.15*B1112*5))^1/1)+(((0.15*B1112*5))^2/2)+(((0.15*B1112*5))^3/6)+(((0.15*B1112*5))^4/24)+(((0.15*B1112*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94">
      <c r="A1094">
        <f>Skills!A13</f>
        <v/>
      </c>
      <c r="B1094">
        <f>Skills!B13</f>
        <v/>
      </c>
      <c r="C1094">
        <f>Inputs!$B$3&gt;=69</f>
        <v/>
      </c>
      <c r="D1094">
        <f>IF(Skills!C13=1,60+Inputs!$B$26+Inputs!$B$30,IF(Skills!C13=2,90+Inputs!$B$27+Inputs!$B$30,IF(Skills!C13=3,120+Inputs!$B$28+Inputs!$B$30,MAX(0,(Inputs!$B$3-100)*3)+Inputs!$B$29+Inputs!$B$30)))</f>
        <v/>
      </c>
      <c r="E1094">
        <f>INDEX(FactorTable!$B$2:$Y$301, MATCH(ROUND(MIN(300,MAX(1,D1094)),0), FactorTable!$A$2:$A$301,0), Skills!M13+1)</f>
        <v/>
      </c>
      <c r="F1094">
        <f>IF(Skills!N13=TRUE,(Skills!L13/10)*(E1094/1000),Skills!L13/10)+Skills!O13</f>
        <v/>
      </c>
      <c r="G1094">
        <f>Skills!G13*IF(Skills!H13&gt;0,INT(IF(Inputs!$B$39="pvp",MIN(Skills!I13,15),Skills!I13)/Skills!H13+0.000000001),1)</f>
        <v/>
      </c>
      <c r="H1094">
        <f>1-(1-Skills!J13/100)^Skills!K13</f>
        <v/>
      </c>
      <c r="I1094" t="inlineStr">
        <is>
          <t>1</t>
        </is>
      </c>
      <c r="J1094" t="inlineStr"/>
      <c r="K1094" t="inlineStr"/>
      <c r="L1094" t="inlineStr"/>
      <c r="M1094" t="inlineStr"/>
      <c r="N1094" t="inlineStr"/>
      <c r="O1094">
        <f>(1-Summary!$B$11)*T1094+Summary!$B$11*V1094</f>
        <v/>
      </c>
      <c r="P1094">
        <f>IF(B1120=0,0,O1094/B1120)</f>
        <v/>
      </c>
      <c r="Q1094">
        <f>IFERROR(1/IF(Inputs!$B$39="pvp",15,MAX(0.1,Skills!D13-IF(TRUE=TRUE,Inputs!$B$33,0))),0)</f>
        <v/>
      </c>
      <c r="R1094">
        <f>IF(AND(Inputs!$B$39&lt;&gt;"pvp",Inputs!$B$44&gt;0),IF(Inputs!$B$44&lt;=0,0,(INT(Inputs!$B$44/IF(Inputs!$B$39="pvp",15,MAX(0.1,Skills!D13-IF(TRUE=TRUE,Inputs!$B$33,0))))+1)),0)</f>
        <v/>
      </c>
      <c r="S1094">
        <f>IFERROR(O1094/N1094,0)</f>
        <v/>
      </c>
      <c r="T1094" t="n">
        <v>0</v>
      </c>
      <c r="V1094" t="n">
        <v>0</v>
      </c>
    </row>
    <row r="1095">
      <c r="A1095">
        <f>Skills!A14</f>
        <v/>
      </c>
      <c r="B1095">
        <f>Skills!B14</f>
        <v/>
      </c>
      <c r="C1095">
        <f>Inputs!$B$3&gt;=115</f>
        <v/>
      </c>
      <c r="D1095">
        <f>IF(Skills!C14=1,60+Inputs!$B$26+Inputs!$B$30,IF(Skills!C14=2,90+Inputs!$B$27+Inputs!$B$30,IF(Skills!C14=3,120+Inputs!$B$28+Inputs!$B$30,MAX(0,(Inputs!$B$3-100)*3)+Inputs!$B$29+Inputs!$B$30)))</f>
        <v/>
      </c>
      <c r="E1095">
        <f>INDEX(FactorTable!$B$2:$Y$301, MATCH(ROUND(MIN(300,MAX(1,D1095)),0), FactorTable!$A$2:$A$301,0), Skills!M14+1)</f>
        <v/>
      </c>
      <c r="F1095">
        <f>IF(Skills!N14=TRUE,(Skills!L14/10)*(E1095/1000),Skills!L14/10)+Skills!O14</f>
        <v/>
      </c>
      <c r="G1095">
        <f>Skills!G14*IF(Skills!H14&gt;0,INT(IF(Inputs!$B$39="pvp",MIN(Skills!I14,15),Skills!I14)/Skills!H14+0.000000001),1)</f>
        <v/>
      </c>
      <c r="H1095">
        <f>1-(1-Skills!J14/100)^Skills!K14</f>
        <v/>
      </c>
      <c r="I1095" t="inlineStr">
        <is>
          <t>1</t>
        </is>
      </c>
      <c r="J1095" t="inlineStr"/>
      <c r="K1095" t="inlineStr"/>
      <c r="L1095" t="inlineStr"/>
      <c r="M1095" t="inlineStr"/>
      <c r="N1095" t="inlineStr"/>
      <c r="O1095">
        <f>(1-Summary!$B$11)*T1095+Summary!$B$11*V1095</f>
        <v/>
      </c>
      <c r="P1095">
        <f>IF(B1120=0,0,O1095/B1120)</f>
        <v/>
      </c>
      <c r="Q1095">
        <f>IFERROR(1/IF(Inputs!$B$39="pvp",15,MAX(0.1,Skills!D14-IF(TRUE=TRUE,Inputs!$B$33,0))),0)</f>
        <v/>
      </c>
      <c r="R1095">
        <f>IF(AND(Inputs!$B$39&lt;&gt;"pvp",Inputs!$B$44&gt;0),IF(Inputs!$B$44&lt;=0,0,(INT(Inputs!$B$44/IF(Inputs!$B$39="pvp",15,MAX(0.1,Skills!D14-IF(TRUE=TRUE,Inputs!$B$33,0))))+1)),0)</f>
        <v/>
      </c>
      <c r="S1095">
        <f>IFERROR(O1095/N1095,0)</f>
        <v/>
      </c>
      <c r="T1095" t="n">
        <v>0</v>
      </c>
      <c r="V1095" t="n">
        <v>0</v>
      </c>
    </row>
    <row r="1096">
      <c r="A1096">
        <f>Skills!A15</f>
        <v/>
      </c>
      <c r="B1096">
        <f>Skills!B15</f>
        <v/>
      </c>
      <c r="C1096">
        <f>Inputs!$B$3&gt;=66</f>
        <v/>
      </c>
      <c r="D1096">
        <f>IF(Skills!C15=1,60+Inputs!$B$26+Inputs!$B$30,IF(Skills!C15=2,90+Inputs!$B$27+Inputs!$B$30,IF(Skills!C15=3,120+Inputs!$B$28+Inputs!$B$30,MAX(0,(Inputs!$B$3-100)*3)+Inputs!$B$29+Inputs!$B$30)))</f>
        <v/>
      </c>
      <c r="E1096">
        <f>INDEX(FactorTable!$B$2:$Y$301, MATCH(ROUND(MIN(300,MAX(1,D1096)),0), FactorTable!$A$2:$A$301,0), Skills!M15+1)</f>
        <v/>
      </c>
      <c r="F1096">
        <f>IF(Skills!N15=TRUE,(Skills!L15/10)*(E1096/1000),Skills!L15/10)+Skills!O15</f>
        <v/>
      </c>
      <c r="G1096">
        <f>Skills!G15*IF(Skills!H15&gt;0,INT(IF(Inputs!$B$39="pvp",MIN(Skills!I15,15),Skills!I15)/Skills!H15+0.000000001),1)</f>
        <v/>
      </c>
      <c r="H1096">
        <f>1-(1-Skills!J15/100)^Skills!K15</f>
        <v/>
      </c>
      <c r="I1096" t="inlineStr">
        <is>
          <t>1</t>
        </is>
      </c>
      <c r="J1096" t="inlineStr"/>
      <c r="K1096" t="inlineStr"/>
      <c r="L1096" t="inlineStr"/>
      <c r="M1096" t="inlineStr"/>
      <c r="N1096" t="inlineStr"/>
      <c r="O1096">
        <f>(1-Summary!$B$11)*T1096+Summary!$B$11*V1096</f>
        <v/>
      </c>
      <c r="P1096">
        <f>IF(B1120=0,0,O1096/B1120)</f>
        <v/>
      </c>
      <c r="Q1096">
        <f>IFERROR(1/IF(Inputs!$B$39="pvp",15,MAX(0.1,Skills!D15-IF(TRUE=TRUE,Inputs!$B$33,0))),0)</f>
        <v/>
      </c>
      <c r="R1096">
        <f>IF(AND(Inputs!$B$39&lt;&gt;"pvp",Inputs!$B$44&gt;0),IF(Inputs!$B$44&lt;=0,0,(INT(Inputs!$B$44/IF(Inputs!$B$39="pvp",15,MAX(0.1,Skills!D15-IF(TRUE=TRUE,Inputs!$B$33,0))))+1)),0)</f>
        <v/>
      </c>
      <c r="S1096">
        <f>IFERROR(O1096/N1096,0)</f>
        <v/>
      </c>
      <c r="T1096" t="n">
        <v>0</v>
      </c>
      <c r="V1096" t="n">
        <v>0</v>
      </c>
    </row>
    <row r="1097">
      <c r="A1097">
        <f>Skills!A16</f>
        <v/>
      </c>
      <c r="B1097">
        <f>Skills!B16</f>
        <v/>
      </c>
      <c r="C1097">
        <f>Inputs!$B$3&gt;=45</f>
        <v/>
      </c>
      <c r="D1097">
        <f>IF(Skills!C16=1,60+Inputs!$B$26+Inputs!$B$30,IF(Skills!C16=2,90+Inputs!$B$27+Inputs!$B$30,IF(Skills!C16=3,120+Inputs!$B$28+Inputs!$B$30,MAX(0,(Inputs!$B$3-100)*3)+Inputs!$B$29+Inputs!$B$30)))</f>
        <v/>
      </c>
      <c r="E1097">
        <f>INDEX(FactorTable!$B$2:$Y$301, MATCH(ROUND(MIN(300,MAX(1,D1097)),0), FactorTable!$A$2:$A$301,0), Skills!M16+1)</f>
        <v/>
      </c>
      <c r="F1097">
        <f>IF(Skills!N16=TRUE,(Skills!L16/10)*(E1097/1000),Skills!L16/10)+Skills!O16</f>
        <v/>
      </c>
      <c r="G1097">
        <f>Skills!G16*IF(Skills!H16&gt;0,INT(IF(Inputs!$B$39="pvp",MIN(Skills!I16,15),Skills!I16)/Skills!H16+0.000000001),1)</f>
        <v/>
      </c>
      <c r="H1097">
        <f>1-(1-Skills!J16/100)^Skills!K16</f>
        <v/>
      </c>
      <c r="I1097" t="inlineStr">
        <is>
          <t>1</t>
        </is>
      </c>
      <c r="J1097" t="inlineStr"/>
      <c r="K1097" t="inlineStr"/>
      <c r="L1097" t="inlineStr"/>
      <c r="M1097" t="inlineStr"/>
      <c r="N1097" t="inlineStr"/>
      <c r="O1097">
        <f>(1-Summary!$B$11)*T1097+Summary!$B$11*V1097</f>
        <v/>
      </c>
      <c r="P1097">
        <f>IF(B1120=0,0,O1097/B1120)</f>
        <v/>
      </c>
      <c r="Q1097">
        <f>IFERROR(1/IF(Inputs!$B$39="pvp",15,MAX(0.1,Skills!D16-IF(TRUE=TRUE,Inputs!$B$33,0))),0)</f>
        <v/>
      </c>
      <c r="R1097">
        <f>IF(AND(Inputs!$B$39&lt;&gt;"pvp",Inputs!$B$44&gt;0),IF(Inputs!$B$44&lt;=0,0,(INT(Inputs!$B$44/IF(Inputs!$B$39="pvp",15,MAX(0.1,Skills!D16-IF(TRUE=TRUE,Inputs!$B$33,0))))+1)),0)</f>
        <v/>
      </c>
      <c r="S1097">
        <f>IFERROR(O1097/N1097,0)</f>
        <v/>
      </c>
      <c r="T1097" t="n">
        <v>0</v>
      </c>
      <c r="V1097" t="n">
        <v>0</v>
      </c>
    </row>
    <row r="1098">
      <c r="A1098">
        <f>Skills!A17</f>
        <v/>
      </c>
      <c r="B1098">
        <f>Skills!B17</f>
        <v/>
      </c>
      <c r="C1098">
        <f>Inputs!$B$3&gt;=35</f>
        <v/>
      </c>
      <c r="D1098">
        <f>IF(Skills!C17=1,60+Inputs!$B$26+Inputs!$B$30,IF(Skills!C17=2,90+Inputs!$B$27+Inputs!$B$30,IF(Skills!C17=3,120+Inputs!$B$28+Inputs!$B$30,MAX(0,(Inputs!$B$3-100)*3)+Inputs!$B$29+Inputs!$B$30)))</f>
        <v/>
      </c>
      <c r="E1098">
        <f>INDEX(FactorTable!$B$2:$Y$301, MATCH(ROUND(MIN(300,MAX(1,D1098)),0), FactorTable!$A$2:$A$301,0), Skills!M17+1)</f>
        <v/>
      </c>
      <c r="F1098">
        <f>IF(Skills!N17=TRUE,(Skills!L17/10)*(E1098/1000),Skills!L17/10)+Skills!O17</f>
        <v/>
      </c>
      <c r="G1098">
        <f>Skills!G17*IF(Skills!H17&gt;0,INT(IF(Inputs!$B$39="pvp",MIN(Skills!I17,15),Skills!I17)/Skills!H17+0.000000001),1)</f>
        <v/>
      </c>
      <c r="H1098">
        <f>1-(1-Skills!J17/100)^Skills!K17</f>
        <v/>
      </c>
      <c r="I1098" t="inlineStr">
        <is>
          <t>1</t>
        </is>
      </c>
      <c r="J1098" t="inlineStr"/>
      <c r="K1098" t="inlineStr"/>
      <c r="L1098" t="inlineStr"/>
      <c r="M1098" t="inlineStr"/>
      <c r="N1098" t="inlineStr"/>
      <c r="O1098">
        <f>(1-Summary!$B$11)*T1098+Summary!$B$11*V1098</f>
        <v/>
      </c>
      <c r="P1098">
        <f>IF(B1120=0,0,O1098/B1120)</f>
        <v/>
      </c>
      <c r="Q1098">
        <f>IFERROR(1/IF(Inputs!$B$39="pvp",15,MAX(0.1,Skills!D17-IF(TRUE=TRUE,Inputs!$B$33,0))),0)</f>
        <v/>
      </c>
      <c r="R1098">
        <f>IF(AND(Inputs!$B$39&lt;&gt;"pvp",Inputs!$B$44&gt;0),IF(Inputs!$B$44&lt;=0,0,(INT(Inputs!$B$44/IF(Inputs!$B$39="pvp",15,MAX(0.1,Skills!D17-IF(TRUE=TRUE,Inputs!$B$33,0))))+1)),0)</f>
        <v/>
      </c>
      <c r="S1098">
        <f>IFERROR(O1098/N1098,0)</f>
        <v/>
      </c>
      <c r="T1098" t="n">
        <v>0</v>
      </c>
      <c r="V1098" t="n">
        <v>0</v>
      </c>
    </row>
    <row r="1099">
      <c r="A1099">
        <f>Skills!A18</f>
        <v/>
      </c>
      <c r="B1099">
        <f>Skills!B18</f>
        <v/>
      </c>
      <c r="C1099">
        <f>Inputs!$B$3&gt;=72</f>
        <v/>
      </c>
      <c r="D1099">
        <f>IF(Skills!C18=1,60+Inputs!$B$26+Inputs!$B$30,IF(Skills!C18=2,90+Inputs!$B$27+Inputs!$B$30,IF(Skills!C18=3,120+Inputs!$B$28+Inputs!$B$30,MAX(0,(Inputs!$B$3-100)*3)+Inputs!$B$29+Inputs!$B$30)))</f>
        <v/>
      </c>
      <c r="E1099">
        <f>INDEX(FactorTable!$B$2:$Y$301, MATCH(ROUND(MIN(300,MAX(1,D1099)),0), FactorTable!$A$2:$A$301,0), Skills!M18+1)</f>
        <v/>
      </c>
      <c r="F1099">
        <f>IF(Skills!N18=TRUE,(Skills!L18/10)*(E1099/1000),Skills!L18/10)+Skills!O18</f>
        <v/>
      </c>
      <c r="G1099">
        <f>Skills!G18*IF(Skills!H18&gt;0,INT(IF(Inputs!$B$39="pvp",MIN(Skills!I18,15),Skills!I18)/Skills!H18+0.000000001),1)</f>
        <v/>
      </c>
      <c r="H1099">
        <f>1-(1-Skills!J18/100)^Skills!K18</f>
        <v/>
      </c>
      <c r="I1099" t="inlineStr">
        <is>
          <t>1</t>
        </is>
      </c>
      <c r="J1099" t="inlineStr"/>
      <c r="K1099" t="inlineStr"/>
      <c r="L1099" t="inlineStr"/>
      <c r="M1099" t="inlineStr"/>
      <c r="N1099" t="inlineStr"/>
      <c r="O1099">
        <f>(1-Summary!$B$11)*T1099+Summary!$B$11*V1099</f>
        <v/>
      </c>
      <c r="P1099">
        <f>IF(B1120=0,0,O1099/B1120)</f>
        <v/>
      </c>
      <c r="Q1099">
        <f>IFERROR(1/IF(Inputs!$B$39="pvp",15,MAX(0.1,Skills!D18-IF(TRUE=TRUE,Inputs!$B$33,0))),0)</f>
        <v/>
      </c>
      <c r="R1099">
        <f>IF(AND(Inputs!$B$39&lt;&gt;"pvp",Inputs!$B$44&gt;0),IF(Inputs!$B$44&lt;=0,0,(INT(Inputs!$B$44/IF(Inputs!$B$39="pvp",15,MAX(0.1,Skills!D18-IF(TRUE=TRUE,Inputs!$B$33,0))))+1)),0)</f>
        <v/>
      </c>
      <c r="S1099">
        <f>IFERROR(O1099/N1099,0)</f>
        <v/>
      </c>
      <c r="T1099" t="n">
        <v>0</v>
      </c>
      <c r="V1099" t="n">
        <v>0</v>
      </c>
    </row>
    <row r="1100">
      <c r="A1100">
        <f>Skills!A19</f>
        <v/>
      </c>
      <c r="B1100">
        <f>Skills!B19</f>
        <v/>
      </c>
      <c r="C1100">
        <f>Inputs!$B$3&gt;=72</f>
        <v/>
      </c>
      <c r="D1100">
        <f>IF(Skills!C19=1,60+Inputs!$B$26+Inputs!$B$30,IF(Skills!C19=2,90+Inputs!$B$27+Inputs!$B$30,IF(Skills!C19=3,120+Inputs!$B$28+Inputs!$B$30,MAX(0,(Inputs!$B$3-100)*3)+Inputs!$B$29+Inputs!$B$30)))</f>
        <v/>
      </c>
      <c r="E1100">
        <f>INDEX(FactorTable!$B$2:$Y$301, MATCH(ROUND(MIN(300,MAX(1,D1100)),0), FactorTable!$A$2:$A$301,0), Skills!M19+1)</f>
        <v/>
      </c>
      <c r="F1100">
        <f>IF(Skills!N19=TRUE,(Skills!L19/10)*(E1100/1000),Skills!L19/10)+Skills!O19</f>
        <v/>
      </c>
      <c r="G1100">
        <f>Skills!G19*IF(Skills!H19&gt;0,INT(IF(Inputs!$B$39="pvp",MIN(Skills!I19,15),Skills!I19)/Skills!H19+0.000000001),1)</f>
        <v/>
      </c>
      <c r="H1100">
        <f>1-(1-Skills!J19/100)^Skills!K19</f>
        <v/>
      </c>
      <c r="I1100" t="inlineStr">
        <is>
          <t>1</t>
        </is>
      </c>
      <c r="J1100" t="inlineStr"/>
      <c r="K1100" t="inlineStr"/>
      <c r="L1100" t="inlineStr"/>
      <c r="M1100" t="inlineStr"/>
      <c r="N1100" t="inlineStr"/>
      <c r="O1100">
        <f>(1-Summary!$B$11)*T1100+Summary!$B$11*V1100</f>
        <v/>
      </c>
      <c r="P1100">
        <f>IF(B1120=0,0,O1100/B1120)</f>
        <v/>
      </c>
      <c r="Q1100">
        <f>IFERROR(1/IF(Inputs!$B$39="pvp",15,MAX(0.1,Skills!D19-IF(TRUE=TRUE,Inputs!$B$33,0))),0)</f>
        <v/>
      </c>
      <c r="R1100">
        <f>IF(AND(Inputs!$B$39&lt;&gt;"pvp",Inputs!$B$44&gt;0),IF(Inputs!$B$44&lt;=0,0,(INT(Inputs!$B$44/IF(Inputs!$B$39="pvp",15,MAX(0.1,Skills!D19-IF(TRUE=TRUE,Inputs!$B$33,0))))+1)),0)</f>
        <v/>
      </c>
      <c r="S1100">
        <f>IFERROR(O1100/N1100,0)</f>
        <v/>
      </c>
      <c r="T1100" t="n">
        <v>0</v>
      </c>
      <c r="V1100" t="n">
        <v>0</v>
      </c>
    </row>
    <row r="1101">
      <c r="A1101">
        <f>Skills!A20</f>
        <v/>
      </c>
      <c r="B1101">
        <f>Skills!B20</f>
        <v/>
      </c>
      <c r="C1101">
        <f>TRUE</f>
        <v/>
      </c>
      <c r="D1101">
        <f>IF(Skills!C20=1,60+Inputs!$B$26+Inputs!$B$30,IF(Skills!C20=2,90+Inputs!$B$27+Inputs!$B$30,IF(Skills!C20=3,120+Inputs!$B$28+Inputs!$B$30,MAX(0,(Inputs!$B$3-100)*3)+Inputs!$B$29+Inputs!$B$30)))</f>
        <v/>
      </c>
      <c r="E1101">
        <f>INDEX(FactorTable!$B$2:$Y$301, MATCH(ROUND(MIN(300,MAX(1,D1101)),0), FactorTable!$A$2:$A$301,0), Skills!M20+1)</f>
        <v/>
      </c>
      <c r="F1101">
        <f>IF(Skills!N20=TRUE,(Skills!L20/10)*(E1101/1000),Skills!L20/10)+Skills!O20</f>
        <v/>
      </c>
      <c r="G1101">
        <f>Skills!G20*IF(Skills!H20&gt;0,INT(IF(Inputs!$B$39="pvp",MIN(Skills!I20,15),Skills!I20)/Skills!H20+0.000000001),1)</f>
        <v/>
      </c>
      <c r="H1101">
        <f>1-(1-Skills!J20/100)^Skills!K20</f>
        <v/>
      </c>
      <c r="I1101" t="inlineStr">
        <is>
          <t>1</t>
        </is>
      </c>
      <c r="J1101" t="inlineStr"/>
      <c r="K1101" t="inlineStr"/>
      <c r="L1101" t="inlineStr"/>
      <c r="M1101" t="inlineStr"/>
      <c r="N1101" t="inlineStr"/>
      <c r="O1101">
        <f>(1-Summary!$B$11)*T1101+Summary!$B$11*V1101</f>
        <v/>
      </c>
      <c r="P1101">
        <f>IF(B1120=0,0,O1101/B1120)</f>
        <v/>
      </c>
      <c r="Q1101">
        <f>IFERROR(1/IF(Inputs!$B$39="pvp",15,MAX(0.1,Skills!D20-IF(TRUE=TRUE,Inputs!$B$33,0))),0)</f>
        <v/>
      </c>
      <c r="R1101">
        <f>IF(AND(Inputs!$B$39&lt;&gt;"pvp",Inputs!$B$44&gt;0),IF(Inputs!$B$44&lt;=0,0,(INT(Inputs!$B$44/IF(Inputs!$B$39="pvp",15,MAX(0.1,Skills!D20-IF(TRUE=TRUE,Inputs!$B$33,0))))+1)),0)</f>
        <v/>
      </c>
      <c r="S1101">
        <f>IFERROR(O1101/N1101,0)</f>
        <v/>
      </c>
      <c r="T1101" t="n">
        <v>0</v>
      </c>
      <c r="V1101" t="n">
        <v>0</v>
      </c>
    </row>
    <row r="1102">
      <c r="A1102">
        <f>Skills!A21</f>
        <v/>
      </c>
      <c r="B1102">
        <f>Skills!B21</f>
        <v/>
      </c>
      <c r="C1102">
        <f>Inputs!$B$3&gt;=33</f>
        <v/>
      </c>
      <c r="D1102">
        <f>IF(Skills!C21=1,60+Inputs!$B$26+Inputs!$B$30,IF(Skills!C21=2,90+Inputs!$B$27+Inputs!$B$30,IF(Skills!C21=3,120+Inputs!$B$28+Inputs!$B$30,MAX(0,(Inputs!$B$3-100)*3)+Inputs!$B$29+Inputs!$B$30)))</f>
        <v/>
      </c>
      <c r="E1102">
        <f>INDEX(FactorTable!$B$2:$Y$301, MATCH(ROUND(MIN(300,MAX(1,D1102)),0), FactorTable!$A$2:$A$301,0), Skills!M21+1)</f>
        <v/>
      </c>
      <c r="F1102">
        <f>IF(Skills!N21=TRUE,(Skills!L21/10)*(E1102/1000),Skills!L21/10)+Skills!O21</f>
        <v/>
      </c>
      <c r="G1102">
        <f>Skills!G21*IF(Skills!H21&gt;0,INT(IF(Inputs!$B$39="pvp",MIN(Skills!I21,15),Skills!I21)/Skills!H21+0.000000001),1)</f>
        <v/>
      </c>
      <c r="H1102">
        <f>1-(1-Skills!J21/100)^Skills!K21</f>
        <v/>
      </c>
      <c r="I1102" t="inlineStr">
        <is>
          <t>1</t>
        </is>
      </c>
      <c r="J1102" t="inlineStr"/>
      <c r="K1102" t="inlineStr"/>
      <c r="L1102" t="inlineStr"/>
      <c r="M1102" t="inlineStr"/>
      <c r="N1102" t="inlineStr"/>
      <c r="O1102">
        <f>(1-Summary!$B$11)*T1102+Summary!$B$11*V1102</f>
        <v/>
      </c>
      <c r="P1102">
        <f>IF(B1120=0,0,O1102/B1120)</f>
        <v/>
      </c>
      <c r="Q1102" t="n">
        <v>0</v>
      </c>
      <c r="R1102" t="n">
        <v>0</v>
      </c>
      <c r="S1102">
        <f>IFERROR(O1102/N1102,0)</f>
        <v/>
      </c>
      <c r="T1102" t="n">
        <v>0</v>
      </c>
      <c r="V1102" t="n">
        <v>0</v>
      </c>
    </row>
    <row r="1103">
      <c r="A1103">
        <f>Skills!A22</f>
        <v/>
      </c>
      <c r="B1103">
        <f>Skills!B22</f>
        <v/>
      </c>
      <c r="C1103">
        <f>Inputs!$B$3&gt;=43</f>
        <v/>
      </c>
      <c r="D1103">
        <f>IF(Skills!C22=1,60+Inputs!$B$26+Inputs!$B$30,IF(Skills!C22=2,90+Inputs!$B$27+Inputs!$B$30,IF(Skills!C22=3,120+Inputs!$B$28+Inputs!$B$30,MAX(0,(Inputs!$B$3-100)*3)+Inputs!$B$29+Inputs!$B$30)))</f>
        <v/>
      </c>
      <c r="E1103">
        <f>INDEX(FactorTable!$B$2:$Y$301, MATCH(ROUND(MIN(300,MAX(1,D1103)),0), FactorTable!$A$2:$A$301,0), Skills!M22+1)</f>
        <v/>
      </c>
      <c r="F1103">
        <f>IF(Skills!N22=TRUE,(Skills!L22/10)*(E1103/1000),Skills!L22/10)+Skills!O22</f>
        <v/>
      </c>
      <c r="G1103">
        <f>Skills!G22*IF(Skills!H22&gt;0,INT(IF(Inputs!$B$39="pvp",MIN(Skills!I22,15),Skills!I22)/Skills!H22+0.000000001),1)</f>
        <v/>
      </c>
      <c r="H1103">
        <f>1-(1-Skills!J22/100)^Skills!K22</f>
        <v/>
      </c>
      <c r="I1103" t="inlineStr">
        <is>
          <t>1</t>
        </is>
      </c>
      <c r="J1103" t="inlineStr"/>
      <c r="K1103" t="inlineStr"/>
      <c r="L1103" t="inlineStr"/>
      <c r="M1103" t="inlineStr"/>
      <c r="N1103" t="inlineStr"/>
      <c r="O1103">
        <f>(1-Summary!$B$11)*T1103+Summary!$B$11*V1103</f>
        <v/>
      </c>
      <c r="P1103">
        <f>IF(B1120=0,0,O1103/B1120)</f>
        <v/>
      </c>
      <c r="Q1103" t="n">
        <v>0</v>
      </c>
      <c r="R1103" t="n">
        <v>0</v>
      </c>
      <c r="S1103">
        <f>IFERROR(O1103/N1103,0)</f>
        <v/>
      </c>
      <c r="T1103" t="n">
        <v>0</v>
      </c>
      <c r="V1103" t="n">
        <v>0</v>
      </c>
    </row>
    <row r="1104">
      <c r="A1104">
        <f>Skills!A23</f>
        <v/>
      </c>
      <c r="B1104">
        <f>Skills!B23</f>
        <v/>
      </c>
      <c r="C1104">
        <f>Inputs!$B$3&gt;=120</f>
        <v/>
      </c>
      <c r="D1104">
        <f>IF(Skills!C23=1,60+Inputs!$B$26+Inputs!$B$30,IF(Skills!C23=2,90+Inputs!$B$27+Inputs!$B$30,IF(Skills!C23=3,120+Inputs!$B$28+Inputs!$B$30,MAX(0,(Inputs!$B$3-100)*3)+Inputs!$B$29+Inputs!$B$30)))</f>
        <v/>
      </c>
      <c r="E1104">
        <f>INDEX(FactorTable!$B$2:$Y$301, MATCH(ROUND(MIN(300,MAX(1,D1104)),0), FactorTable!$A$2:$A$301,0), Skills!M23+1)</f>
        <v/>
      </c>
      <c r="F1104">
        <f>IF(Skills!N23=TRUE,(Skills!L23/10)*(E1104/1000),Skills!L23/10)+Skills!O23</f>
        <v/>
      </c>
      <c r="G1104">
        <f>Skills!G23*IF(Skills!H23&gt;0,INT(IF(Inputs!$B$39="pvp",MIN(Skills!I23,15),Skills!I23)/Skills!H23+0.000000001),1)</f>
        <v/>
      </c>
      <c r="H1104">
        <f>1-(1-Skills!J23/100)^Skills!K23</f>
        <v/>
      </c>
      <c r="I1104" t="inlineStr">
        <is>
          <t>1</t>
        </is>
      </c>
      <c r="J1104" t="inlineStr"/>
      <c r="K1104" t="inlineStr"/>
      <c r="L1104" t="inlineStr"/>
      <c r="M1104" t="inlineStr"/>
      <c r="N1104" t="inlineStr"/>
      <c r="O1104">
        <f>(1-Summary!$B$11)*T1104+Summary!$B$11*V1104</f>
        <v/>
      </c>
      <c r="P1104">
        <f>IF(B1120=0,0,O1104/B1120)</f>
        <v/>
      </c>
      <c r="Q1104" t="n">
        <v>0</v>
      </c>
      <c r="R1104" t="n">
        <v>0</v>
      </c>
      <c r="S1104">
        <f>IFERROR(O1104/N1104,0)</f>
        <v/>
      </c>
      <c r="T1104" t="n">
        <v>0</v>
      </c>
      <c r="V1104" t="n">
        <v>0</v>
      </c>
    </row>
    <row r="1105">
      <c r="A1105">
        <f>Skills!A24</f>
        <v/>
      </c>
      <c r="B1105">
        <f>Skills!B24</f>
        <v/>
      </c>
      <c r="C1105">
        <f>Inputs!$B$3&gt;=120</f>
        <v/>
      </c>
      <c r="D1105">
        <f>IF(Skills!C24=1,60+Inputs!$B$26+Inputs!$B$30,IF(Skills!C24=2,90+Inputs!$B$27+Inputs!$B$30,IF(Skills!C24=3,120+Inputs!$B$28+Inputs!$B$30,MAX(0,(Inputs!$B$3-100)*3)+Inputs!$B$29+Inputs!$B$30)))</f>
        <v/>
      </c>
      <c r="E1105">
        <f>INDEX(FactorTable!$B$2:$Y$301, MATCH(ROUND(MIN(300,MAX(1,D1105)),0), FactorTable!$A$2:$A$301,0), Skills!M24+1)</f>
        <v/>
      </c>
      <c r="F1105">
        <f>IF(Skills!N24=TRUE,(Skills!L24/10)*(E1105/1000),Skills!L24/10)+Skills!O24</f>
        <v/>
      </c>
      <c r="G1105">
        <f>Skills!G24*IF(Skills!H24&gt;0,INT(IF(Inputs!$B$39="pvp",MIN(Skills!I24,15),Skills!I24)/Skills!H24+0.000000001),1)</f>
        <v/>
      </c>
      <c r="H1105">
        <f>1-(1-Skills!J24/100)^Skills!K24</f>
        <v/>
      </c>
      <c r="I1105" t="inlineStr">
        <is>
          <t>1</t>
        </is>
      </c>
      <c r="J1105" t="inlineStr"/>
      <c r="K1105" t="inlineStr"/>
      <c r="L1105" t="inlineStr"/>
      <c r="M1105" t="inlineStr"/>
      <c r="N1105" t="inlineStr"/>
      <c r="O1105">
        <f>(1-Summary!$B$11)*T1105+Summary!$B$11*V1105</f>
        <v/>
      </c>
      <c r="P1105">
        <f>IF(B1120=0,0,O1105/B1120)</f>
        <v/>
      </c>
      <c r="Q1105" t="n">
        <v>0</v>
      </c>
      <c r="R1105" t="n">
        <v>0</v>
      </c>
      <c r="S1105">
        <f>IFERROR(O1105/N1105,0)</f>
        <v/>
      </c>
      <c r="T1105" t="n">
        <v>0</v>
      </c>
      <c r="V1105" t="n">
        <v>0</v>
      </c>
    </row>
    <row r="1106">
      <c r="A1106">
        <f>Skills!A25</f>
        <v/>
      </c>
      <c r="B1106">
        <f>Skills!B25</f>
        <v/>
      </c>
      <c r="C1106">
        <f>Inputs!$B$3&gt;=125</f>
        <v/>
      </c>
      <c r="D1106">
        <f>IF(Skills!C25=1,60+Inputs!$B$26+Inputs!$B$30,IF(Skills!C25=2,90+Inputs!$B$27+Inputs!$B$30,IF(Skills!C25=3,120+Inputs!$B$28+Inputs!$B$30,MAX(0,(Inputs!$B$3-100)*3)+Inputs!$B$29+Inputs!$B$30)))</f>
        <v/>
      </c>
      <c r="E1106">
        <f>INDEX(FactorTable!$B$2:$Y$301, MATCH(ROUND(MIN(300,MAX(1,D1106)),0), FactorTable!$A$2:$A$301,0), Skills!M25+1)</f>
        <v/>
      </c>
      <c r="F1106">
        <f>IF(Skills!N25=TRUE,(Skills!L25/10)*(E1106/1000),Skills!L25/10)+Skills!O25</f>
        <v/>
      </c>
      <c r="G1106">
        <f>Skills!G25*IF(Skills!H25&gt;0,INT(IF(Inputs!$B$39="pvp",MIN(Skills!I25,15),Skills!I25)/Skills!H25+0.000000001),1)</f>
        <v/>
      </c>
      <c r="H1106">
        <f>1-(1-Skills!J25/100)^Skills!K25</f>
        <v/>
      </c>
      <c r="I1106" t="inlineStr">
        <is>
          <t>1</t>
        </is>
      </c>
      <c r="J1106" t="inlineStr"/>
      <c r="K1106" t="inlineStr"/>
      <c r="L1106" t="inlineStr"/>
      <c r="M1106" t="inlineStr"/>
      <c r="N1106" t="inlineStr"/>
      <c r="O1106">
        <f>(1-Summary!$B$11)*T1106+Summary!$B$11*V1106</f>
        <v/>
      </c>
      <c r="P1106">
        <f>IF(B1120=0,0,O1106/B1120)</f>
        <v/>
      </c>
      <c r="Q1106" t="n">
        <v>0</v>
      </c>
      <c r="R1106" t="n">
        <v>0</v>
      </c>
      <c r="S1106">
        <f>IFERROR(O1106/N1106,0)</f>
        <v/>
      </c>
      <c r="T1106" t="n">
        <v>0</v>
      </c>
      <c r="V1106" t="n">
        <v>0</v>
      </c>
    </row>
    <row r="1107">
      <c r="A1107">
        <f>Skills!A26</f>
        <v/>
      </c>
      <c r="B1107">
        <f>Skills!B26</f>
        <v/>
      </c>
      <c r="C1107">
        <f>Inputs!$B$3&gt;=107</f>
        <v/>
      </c>
      <c r="D1107">
        <f>IF(Skills!C26=1,60+Inputs!$B$26+Inputs!$B$30,IF(Skills!C26=2,90+Inputs!$B$27+Inputs!$B$30,IF(Skills!C26=3,120+Inputs!$B$28+Inputs!$B$30,MAX(0,(Inputs!$B$3-100)*3)+Inputs!$B$29+Inputs!$B$30)))</f>
        <v/>
      </c>
      <c r="E1107">
        <f>INDEX(FactorTable!$B$2:$Y$301, MATCH(ROUND(MIN(300,MAX(1,D1107)),0), FactorTable!$A$2:$A$301,0), Skills!M26+1)</f>
        <v/>
      </c>
      <c r="F1107">
        <f>IF(Skills!N26=TRUE,(Skills!L26/10)*(E1107/1000),Skills!L26/10)+Skills!O26</f>
        <v/>
      </c>
      <c r="G1107">
        <f>Skills!G26*IF(Skills!H26&gt;0,INT(IF(Inputs!$B$39="pvp",MIN(Skills!I26,15),Skills!I26)/Skills!H26+0.000000001),1)</f>
        <v/>
      </c>
      <c r="H1107">
        <f>1-(1-Skills!J26/100)^Skills!K26</f>
        <v/>
      </c>
      <c r="I1107" t="inlineStr">
        <is>
          <t>1</t>
        </is>
      </c>
      <c r="J1107" t="inlineStr"/>
      <c r="K1107" t="inlineStr"/>
      <c r="L1107" t="inlineStr"/>
      <c r="M1107" t="inlineStr"/>
      <c r="N1107" t="inlineStr"/>
      <c r="O1107">
        <f>(1-Summary!$B$11)*T1107+Summary!$B$11*V1107</f>
        <v/>
      </c>
      <c r="P1107">
        <f>IF(B1120=0,0,O1107/B1120)</f>
        <v/>
      </c>
      <c r="Q1107" t="n">
        <v>0</v>
      </c>
      <c r="R1107" t="n">
        <v>0</v>
      </c>
      <c r="S1107">
        <f>IFERROR(O1107/N1107,0)</f>
        <v/>
      </c>
      <c r="T1107" t="n">
        <v>0</v>
      </c>
      <c r="V1107" t="n">
        <v>0</v>
      </c>
    </row>
    <row r="1109">
      <c r="A1109" t="inlineStr">
        <is>
          <t>Attack% Bucket Multiplier</t>
        </is>
      </c>
      <c r="B1109">
        <f>(1+(((C1094=TRUE)*F1094*IF(AND(Inputs!$B$39&lt;&gt;"pvp",Inputs!$B$44&gt;0),(((R1094-1)*MIN((Skills!T13*(1+Inputs!$B$35/100)),(1/Q1094))+MIN((Skills!T13*(1+Inputs!$B$35/100)),MAX(0,Inputs!$B$44-((R1094-1)*(1/Q1094)))))/Inputs!$B$44),IF(Inputs!$B$39="pvp",MIN((Skills!T13*(1+Inputs!$B$35/100)),15)/15,MIN(1,(Skills!T13*(1+Inputs!$B$35/100))/(1/Q1094)))))+((C1095=TRUE)*F1095*IF(AND(Inputs!$B$39&lt;&gt;"pvp",Inputs!$B$44&gt;0),(((R1095-1)*MIN((Skills!T14*(1+Inputs!$B$35/100)),(1/Q1095))+MIN((Skills!T14*(1+Inputs!$B$35/100)),MAX(0,Inputs!$B$44-((R1095-1)*(1/Q1095)))))/Inputs!$B$44),IF(Inputs!$B$39="pvp",MIN((Skills!T14*(1+Inputs!$B$35/100)),15)/15,MIN(1,(Skills!T14*(1+Inputs!$B$35/100))/(1/Q1095)))))+((C1096=TRUE)*F1096*IF(AND(Inputs!$B$39&lt;&gt;"pvp",Inputs!$B$44&gt;0),(((R1096-1)*MIN((Skills!T15*(1+Inputs!$B$35/100)),(1/Q1096))+MIN((Skills!T15*(1+Inputs!$B$35/100)),MAX(0,Inputs!$B$44-((R1096-1)*(1/Q1096)))))/Inputs!$B$44),IF(Inputs!$B$39="pvp",MIN((Skills!T15*(1+Inputs!$B$35/100)),15)/15,MIN(1,(Skills!T15*(1+Inputs!$B$35/100))/(1/Q1096)))))+((C1097=TRUE)*F1097*IF(AND(Inputs!$B$39&lt;&gt;"pvp",Inputs!$B$44&gt;0),(((R1097-1)*MIN((Skills!T16*(1+Inputs!$B$35/100)),(1/Q1097))+MIN((Skills!T16*(1+Inputs!$B$35/100)),MAX(0,Inputs!$B$44-((R1097-1)*(1/Q1097)))))/Inputs!$B$44),IF(Inputs!$B$39="pvp",MIN((Skills!T16*(1+Inputs!$B$35/100)),15)/15,MIN(1,(Skills!T16*(1+Inputs!$B$35/100))/(1/Q1097)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1110">
      <c r="A1110" t="inlineStr">
        <is>
          <t>Global Crit Rate Bonus % (Lord of Darkness)</t>
        </is>
      </c>
      <c r="B1110">
        <f>((C1099=TRUE)*F1099*(Skills!J18/100)*IF(AND(Inputs!$B$39&lt;&gt;"pvp",Inputs!$B$44&gt;0),(((R1099-1)*MIN((Skills!T18*(1+Inputs!$B$35/100)),(1/Q1099))+MIN((Skills!T18*(1+Inputs!$B$35/100)),MAX(0,Inputs!$B$44-((R1099-1)*(1/Q1099)))))/Inputs!$B$44),IF(Inputs!$B$39="pvp",MIN((Skills!T18*(1+Inputs!$B$35/100)),15)/15,MIN(1,(Skills!T18*(1+Inputs!$B$35/100))/(1/Q1099)))))</f>
        <v/>
      </c>
    </row>
    <row r="1111">
      <c r="A1111" t="inlineStr">
        <is>
          <t>Attack Speed Buff Bonus %</t>
        </is>
      </c>
      <c r="B1111">
        <f>((C1101=TRUE)*F1101*IF(AND(Inputs!$B$39&lt;&gt;"pvp",Inputs!$B$44&gt;0),(((R1101-1)*MIN((Skills!T20*(1+Inputs!$B$35/100)),(1/Q1101))+MIN((Skills!T20*(1+Inputs!$B$35/100)),MAX(0,Inputs!$B$44-((R1101-1)*(1/Q1101)))))/Inputs!$B$44),IF(Inputs!$B$39="pvp",MIN((Skills!T20*(1+Inputs!$B$35/100)),15)/15,MIN(1,(Skills!T20*(1+Inputs!$B$35/100))/(1/Q1101)))))</f>
        <v/>
      </c>
    </row>
    <row r="1112">
      <c r="A1112" t="inlineStr">
        <is>
          <t>Actions Per Second</t>
        </is>
      </c>
      <c r="B1112">
        <f>1+MIN(150,150*(1-(1-(Inputs!$B$12+((C1102=TRUE)*(F1102-Calc!F21)))/150)*(1-B1111/150)))/100</f>
        <v/>
      </c>
    </row>
    <row r="1113">
      <c r="A1113" t="inlineStr">
        <is>
          <t>Skill + Buff Cast Rate</t>
        </is>
      </c>
      <c r="B1113">
        <f>IF(AND(Inputs!$B$39&lt;&gt;"pvp",Inputs!$B$44&gt;0),SUMPRODUCT((Skills!E2:E26=TRUE)*(C1083:C1107=TRUE)*R1083:R1107*Skills!F2:F26)/Inputs!$B$44,SUMPRODUCT((Skills!E2:E26=TRUE)*(C1083:C1107=TRUE)*Q1083:Q1107*Skills!F2:F26))</f>
        <v/>
      </c>
    </row>
    <row r="1114">
      <c r="A1114" t="inlineStr">
        <is>
          <t>Dark Impale Casts Per Second</t>
        </is>
      </c>
      <c r="B1114">
        <f>MAX(0,B1112-B1113)</f>
        <v/>
      </c>
    </row>
    <row r="1115">
      <c r="A1115" t="inlineStr">
        <is>
          <t>Global Critical Damage Bonus % (Lord of Darkness)</t>
        </is>
      </c>
      <c r="B1115">
        <f>((C1100=TRUE)*F1100*(Skills!J19/100)*IF(AND(Inputs!$B$39&lt;&gt;"pvp",Inputs!$B$44&gt;0),(((R1100-1)*MIN((Skills!T19*(1+Inputs!$B$35/100)),(1/Q1100))+MIN((Skills!T19*(1+Inputs!$B$35/100)),MAX(0,Inputs!$B$44-((R1100-1)*(1/Q1100)))))/Inputs!$B$44),IF(Inputs!$B$39="pvp",MIN((Skills!T19*(1+Inputs!$B$35/100)),15)/15,MIN(1,(Skills!T19*(1+Inputs!$B$35/100))/(1/Q1100)))))</f>
        <v/>
      </c>
    </row>
    <row r="1116">
      <c r="A1116" t="inlineStr">
        <is>
          <t>Global Final Damage Bonus % (unused)</t>
        </is>
      </c>
      <c r="B1116" t="n">
        <v>0</v>
      </c>
    </row>
    <row r="1117">
      <c r="A1117" t="inlineStr">
        <is>
          <t>Buff-Casting Startup Delay (s, fixed-duration only)</t>
        </is>
      </c>
      <c r="B1117">
        <f>IF(AND(Inputs!$B$39&lt;&gt;"pvp",Inputs!$B$44&gt;0),SUMPRODUCT((Skills!T2:T26&gt;0)*(Skills!E2:E26=TRUE)*(C1083:C1107=TRUE))/B1112,0)</f>
        <v/>
      </c>
    </row>
    <row r="1118">
      <c r="A1118" t="inlineStr">
        <is>
          <t>Boss-Only Total DPS (this block's swept value)</t>
        </is>
      </c>
      <c r="B1118">
        <f>SUM(T1083:T1107)</f>
        <v/>
      </c>
    </row>
    <row r="1119">
      <c r="A1119" t="inlineStr">
        <is>
          <t>Normal-Only Total DPS (this block's swept value)</t>
        </is>
      </c>
      <c r="B1119">
        <f>SUM(V1083:V1107)</f>
        <v/>
      </c>
    </row>
    <row r="1120">
      <c r="A1120" s="6" t="inlineStr">
        <is>
          <t>TOTAL DPS</t>
        </is>
      </c>
      <c r="B1120" s="6">
        <f>SUM(O1083:O1107)</f>
        <v/>
      </c>
    </row>
    <row r="1123">
      <c r="A1123" s="6" t="inlineStr">
        <is>
          <t>Stat: Skill Cooldown Decrease (seconds)</t>
        </is>
      </c>
    </row>
    <row r="1124">
      <c r="A1124" s="5" t="inlineStr">
        <is>
          <t>Key</t>
        </is>
      </c>
      <c r="B1124" s="5" t="inlineStr">
        <is>
          <t>Name</t>
        </is>
      </c>
      <c r="C1124" s="5" t="inlineStr">
        <is>
          <t>Unlocked</t>
        </is>
      </c>
      <c r="D1124" s="5" t="inlineStr">
        <is>
          <t>InputLevel</t>
        </is>
      </c>
      <c r="E1124" s="5" t="inlineStr">
        <is>
          <t>Factor</t>
        </is>
      </c>
      <c r="F1124" s="5" t="inlineStr">
        <is>
          <t>CoefficientPercent</t>
        </is>
      </c>
      <c r="G1124" s="5" t="inlineStr">
        <is>
          <t>EffectiveHits</t>
        </is>
      </c>
      <c r="H1124" s="5" t="inlineStr">
        <is>
          <t>ProcProbability</t>
        </is>
      </c>
      <c r="I1124" s="5" t="inlineStr">
        <is>
          <t>MapleHeroMultiplier</t>
        </is>
      </c>
      <c r="J1124" s="5" t="inlineStr">
        <is>
          <t>BaseDamage</t>
        </is>
      </c>
      <c r="K1124" s="5" t="inlineStr">
        <is>
          <t>BaseHitDamage</t>
        </is>
      </c>
      <c r="L1124" s="5" t="inlineStr">
        <is>
          <t>NonCritAvg</t>
        </is>
      </c>
      <c r="M1124" s="5" t="inlineStr">
        <is>
          <t>CritAvg</t>
        </is>
      </c>
      <c r="N1124" s="5" t="inlineStr">
        <is>
          <t>ExpectedDamage(perHit)</t>
        </is>
      </c>
      <c r="O1124" s="5" t="inlineStr">
        <is>
          <t>DPS</t>
        </is>
      </c>
      <c r="P1124" s="5" t="inlineStr">
        <is>
          <t>% of Total</t>
        </is>
      </c>
      <c r="Q1124" s="5" t="inlineStr">
        <is>
          <t>InvCooldown</t>
        </is>
      </c>
      <c r="R1124" s="5" t="inlineStr">
        <is>
          <t>CastsInFight</t>
        </is>
      </c>
      <c r="S1124" s="5" t="inlineStr">
        <is>
          <t>HitRate(perSec)</t>
        </is>
      </c>
      <c r="U1124" t="inlineStr">
        <is>
          <t>helpers</t>
        </is>
      </c>
    </row>
    <row r="1125">
      <c r="A1125">
        <f>Skills!A2</f>
        <v/>
      </c>
      <c r="B1125">
        <f>Skills!B2</f>
        <v/>
      </c>
      <c r="C1125">
        <f>Inputs!$B$3&gt;=100</f>
        <v/>
      </c>
      <c r="D1125" t="inlineStr"/>
      <c r="E1125" t="inlineStr"/>
      <c r="F1125">
        <f>U1127+Skills!O2</f>
        <v/>
      </c>
      <c r="G1125">
        <f>Skills!G2*IF(Skills!H2&gt;0,INT(IF(Inputs!$B$39="pvp",MIN(Skills!I2,15),Skills!I2)/Skills!H2+0.000000001),1)</f>
        <v/>
      </c>
      <c r="H1125">
        <f>1-(1-Skills!J2/100)^Skills!K2</f>
        <v/>
      </c>
      <c r="I1125" t="inlineStr">
        <is>
          <t>1</t>
        </is>
      </c>
      <c r="J1125">
        <f>((Inputs!$B$6*(1+Inputs!$B$7/100))+(((Inputs!$B$13*(1+Inputs!$B$14/100))-(Inputs!$B$13*(1+Inputs!$B$14/100)))+0.25*(Inputs!$B$15-Inputs!$B$15))*(1+Inputs!$B$7/100))*(F1125/100)</f>
        <v/>
      </c>
      <c r="K1125">
        <f>J1125*(1+(((Inputs!$B$13+IF(Inputs!$B$3&gt;=38,(10*INDEX(FactorTable!$B$2:$Y$301, MATCH(ROUND(MIN(300,MAX(1,Inputs!$B$3)),0), FactorTable!$A$2:$A$301,0), 23)/1000)/100*(Inputs!$B$8*(1+Inputs!$B$9/100)),0))*(1+Inputs!$B$14/100))*0.01+Inputs!$B$15*0.0025)/100)*(1+Inputs!$B$16/100)*(1+Inputs!$B$17/100)*(5000/(6000+Inputs!$B$43*(1-(Inputs!$B$20+0)/100)))*(1+(Inputs!$B$25+((C1148=TRUE)*(F1148-Calc!F25))+((C1149=TRUE)*(F1149-Calc!F26))+B1158)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gt;=100),MIN(100,((Inputs!$B$10+0+B1152+(ArtifactsInput!$M$24-ArtifactsInput!$M$24)*CHOOSE(ArtifactsInput!$N$24+1,10,12,14,16,18,20)+IF(ArtifactsInput!$M$10,CHOOSE(ArtifactsInput!$N$10+1,15,18,21,24,27,30)*(IF(Inputs!$B$39="pvp",MIN(15,15)/15,IF(AND(Inputs!$B$39&lt;&gt;"pvp",Inputs!$B$44&gt;0),MIN(15,Inputs!$B$44)/(Inputs!$B$44),0))),0)))-100),0))*CHOOSE(ArtifactsInput!$N$42+1,0.6,0.72,0.84,0.96,1.08,1.2))),Inputs!$B$19+((C1146=TRUE)*(F1146-Calc!F23))+(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gt;=100),CHOOSE(ArtifactsInput!$N$42+1,40,48,56,64,72,80),0))))/100)*((1+(((C1136=TRUE)*F1136*IF(AND(Inputs!$B$39&lt;&gt;"pvp",Inputs!$B$44&gt;0),(((R1136-1)*MIN((Skills!T13*(1+Inputs!$B$35/100)),(1/Q1136))+MIN((Skills!T13*(1+Inputs!$B$35/100)),MAX(0,Inputs!$B$44-((R1136-1)*(1/Q1136)))))/Inputs!$B$44),IF(Inputs!$B$39="pvp",MIN((Skills!T13*(1+Inputs!$B$35/100)),15)/15,MIN(1,(Skills!T13*(1+Inputs!$B$35/100))/(1/Q1136)))))+((C1137=TRUE)*F1137*IF(AND(Inputs!$B$39&lt;&gt;"pvp",Inputs!$B$44&gt;0),(((R1137-1)*MIN((Skills!T14*(1+Inputs!$B$35/100)),(1/Q1137))+MIN((Skills!T14*(1+Inputs!$B$35/100)),MAX(0,Inputs!$B$44-((R1137-1)*(1/Q1137)))))/Inputs!$B$44),IF(Inputs!$B$39="pvp",MIN((Skills!T14*(1+Inputs!$B$35/100)),15)/15,MIN(1,(Skills!T14*(1+Inputs!$B$35/100))/(1/Q1137)))))+((C1138=TRUE)*F1138*IF(AND(Inputs!$B$39&lt;&gt;"pvp",Inputs!$B$44&gt;0),(((R1138-1)*MIN((Skills!T15*(1+Inputs!$B$35/100)),(1/Q1138))+MIN((Skills!T15*(1+Inputs!$B$35/100)),MAX(0,Inputs!$B$44-((R1138-1)*(1/Q1138)))))/Inputs!$B$44),IF(Inputs!$B$39="pvp",MIN((Skills!T15*(1+Inputs!$B$35/100)),15)/15,MIN(1,(Skills!T15*(1+Inputs!$B$35/100))/(1/Q1138)))))+((C1139=TRUE)*F1139*IF(AND(Inputs!$B$39&lt;&gt;"pvp",Inputs!$B$44&gt;0),(((R1139-1)*MIN((Skills!T16*(1+Inputs!$B$35/100)),(1/Q1139))+MIN((Skills!T16*(1+Inputs!$B$35/100)),MAX(0,Inputs!$B$44-((R1139-1)*(1/Q1139)))))/Inputs!$B$44),IF(Inputs!$B$39="pvp",MIN((Skills!T16*(1+Inputs!$B$35/100)),15)/15,MIN(1,(Skills!T16*(1+Inputs!$B$35/100))/(1/Q1139)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1125)</f>
        <v/>
      </c>
      <c r="L1125">
        <f>K1125*(MIN(Inputs!$B$23+((C1145=TRUE)*(F1145-Calc!F22)),(Inputs!$B$24+((C1147=TRUE)*(F1147-Calc!F24))+(IF(ArtifactsInput!$M$15,CHOOSE(ArtifactsInput!$N$15+1,25,30,35,40,45,50)/100*(Inputs!$B$12-Inputs!$B$12),0))))/100+(Inputs!$B$24+((C1147=TRUE)*(F1147-Calc!F24))+(IF(ArtifactsInput!$M$15,CHOOSE(ArtifactsInput!$N$15+1,25,30,35,40,45,50)/100*(Inputs!$B$12-Inputs!$B$12),0)))/100)/2</f>
        <v/>
      </c>
      <c r="M1125">
        <f>L1125*(1+(Inputs!$B$11+0+B1157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125">
        <f>L1125*(1-MIN((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1125*(MIN((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25">
        <f>(1-Summary!$B$11)*T1125+Summary!$B$11*V1125</f>
        <v/>
      </c>
      <c r="P1125">
        <f>IF(B1162=0,0,O1125/B1162)</f>
        <v/>
      </c>
      <c r="Q1125" t="n">
        <v>0</v>
      </c>
      <c r="R1125" t="n">
        <v>0</v>
      </c>
      <c r="S1125">
        <f>IFERROR(O1125/N1125,0)</f>
        <v/>
      </c>
      <c r="T1125">
        <f>IF(C1125,(Skills!G2*N1125*B1156)*IF(Inputs!$B$39="pvp",1,1+(Inputs!$B$21+0+Skills!P2+((C1140=TRUE)*F1140*IF(AND(Inputs!$B$39&lt;&gt;"pvp",Inputs!$B$44&gt;0),(((R1140-1)*MIN((Skills!T17*(1+Inputs!$B$35/100)),(1/Q1140))+MIN((Skills!T17*(1+Inputs!$B$35/100)),MAX(0,Inputs!$B$44-((R1140-1)*(1/Q1140)))))/Inputs!$B$44),IF(Inputs!$B$39="pvp",MIN((Skills!T17*(1+Inputs!$B$35/100)),15)/15,MIN(1,(Skills!T17*(1+Inputs!$B$35/100))/(1/Q1140)))))+((C1128=TRUE)*IF(Inputs!$B$3&gt;=126,10*MIN(1,15*Q1128),0))+((C1137=TRUE)*IF(Inputs!$B$39="pvp",20,(1-Summary!$B$11)*(20)+Summary!$B$11*(0))*IF(AND(Inputs!$B$39&lt;&gt;"pvp",Inputs!$B$44&gt;0),(((R1137-1)*MIN((Skills!T14*(1+Inputs!$B$35/100)),(1/Q1137))+MIN((Skills!T14*(1+Inputs!$B$35/100)),MAX(0,Inputs!$B$44-((R1137-1)*(1/Q1137)))))/Inputs!$B$44),IF(Inputs!$B$39="pvp",MIN((Skills!T14*(1+Inputs!$B$35/100)),15)/15,MIN(1,(Skills!T14*(1+Inputs!$B$35/100))/(1/Q1137)))))+((C1136=TRUE)*IF(Inputs!$B$3&gt;=82,IF(Inputs!$B$39="pvp",20,(1-Summary!$B$11)*(20)+Summary!$B$11*(0)),0)*IF(AND(Inputs!$B$39&lt;&gt;"pvp",Inputs!$B$44&gt;0),(((R1136-1)*MIN((Skills!T13*(1+Inputs!$B$35/100)),(1/Q1136))+MIN((Skills!T13*(1+Inputs!$B$35/100)),MAX(0,Inputs!$B$44-((R1136-1)*(1/Q1136)))))/Inputs!$B$44),IF(Inputs!$B$39="pvp",MIN((Skills!T13*(1+Inputs!$B$35/100)),15)/15,MIN(1,(Skills!T13*(1+Inputs!$B$35/100))/(1/Q1136)))))+(IF(AND(ArtifactsInput!$M$35,Inputs!$B$4&lt;&gt;"Chapter Hunt"),CHOOSE(ArtifactsInput!$N$35+1,15,18,21,24,27,30)*(1-EXP(-(0.2*B1154)*5)),0)+IF(AND(ArtifactsInput!$M$22,Inputs!$B$4&lt;&gt;"Chapter Hunt"),CHOOSE(ArtifactsInput!$N$22+1,10,12,14,16,18,20)*((0*(((0.15*B1154*5))^0/1)+1*(((0.15*B1154*5))^1/1)+2*(((0.15*B1154*5))^2/2)+3*(((0.15*B1154*5))^3/6)+4*(((0.15*B1154*5))^4/24)+5*(((0.15*B1154*5))^5/120))/((((0.15*B1154*5))^0/1)+(((0.15*B1154*5))^1/1)+(((0.15*B1154*5))^2/2)+(((0.15*B1154*5))^3/6)+(((0.15*B1154*5))^4/24)+(((0.15*B1154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1125*(1-MIN(100,(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1125*(MIN(100,(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1125*(1-MIN(100,(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1125*(MIN(100,(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125">
        <f>MAX(0,(Inputs!$B$3-100)*3)+Inputs!$B$29+Inputs!$B$30</f>
        <v/>
      </c>
      <c r="V1125">
        <f>IF(C1125,(Skills!G2*N1125*B1156)*IF(Inputs!$B$39="pvp",1,(1+(Inputs!$B$22+Skills!Q2+((C1140=TRUE)*F1140*IF(AND(Inputs!$B$39&lt;&gt;"pvp",Inputs!$B$44&gt;0),(((R1140-1)*MIN((Skills!T17*(1+Inputs!$B$35/100)),(1/Q1140))+MIN((Skills!T17*(1+Inputs!$B$35/100)),MAX(0,Inputs!$B$44-((R1140-1)*(1/Q1140)))))/Inputs!$B$44),IF(Inputs!$B$39="pvp",MIN((Skills!T17*(1+Inputs!$B$35/100)),15)/15,MIN(1,(Skills!T17*(1+Inputs!$B$35/100))/(1/Q1140)))))+((C1128=TRUE)*IF(Inputs!$B$3&gt;=126,10*MIN(1,15*Q1128),0))+((C1137=TRUE)*IF(Inputs!$B$39="pvp",20,(1-Summary!$B$11)*(20)+Summary!$B$11*(0))*IF(AND(Inputs!$B$39&lt;&gt;"pvp",Inputs!$B$44&gt;0),(((R1137-1)*MIN((Skills!T14*(1+Inputs!$B$35/100)),(1/Q1137))+MIN((Skills!T14*(1+Inputs!$B$35/100)),MAX(0,Inputs!$B$44-((R1137-1)*(1/Q1137)))))/Inputs!$B$44),IF(Inputs!$B$39="pvp",MIN((Skills!T14*(1+Inputs!$B$35/100)),15)/15,MIN(1,(Skills!T14*(1+Inputs!$B$35/100))/(1/Q1137)))))+((C1136=TRUE)*IF(Inputs!$B$3&gt;=82,IF(Inputs!$B$39="pvp",20,(1-Summary!$B$11)*(20)+Summary!$B$11*(0)),0)*IF(AND(Inputs!$B$39&lt;&gt;"pvp",Inputs!$B$44&gt;0),(((R1136-1)*MIN((Skills!T13*(1+Inputs!$B$35/100)),(1/Q1136))+MIN((Skills!T13*(1+Inputs!$B$35/100)),MAX(0,Inputs!$B$44-((R1136-1)*(1/Q1136)))))/Inputs!$B$44),IF(Inputs!$B$39="pvp",MIN((Skills!T13*(1+Inputs!$B$35/100)),15)/15,MIN(1,(Skills!T13*(1+Inputs!$B$35/100))/(1/Q1136)))))+(IF(AND(ArtifactsInput!$M$35,Inputs!$B$4&lt;&gt;"Chapter Hunt"),CHOOSE(ArtifactsInput!$N$35+1,15,18,21,24,27,30)*(1-EXP(-(0.2*B1154)*5)),0)+IF(AND(ArtifactsInput!$M$22,Inputs!$B$4&lt;&gt;"Chapter Hunt"),CHOOSE(ArtifactsInput!$N$22+1,10,12,14,16,18,20)*((0*(((0.15*B1154*5))^0/1)+1*(((0.15*B1154*5))^1/1)+2*(((0.15*B1154*5))^2/2)+3*(((0.15*B1154*5))^3/6)+4*(((0.15*B1154*5))^4/24)+5*(((0.15*B1154*5))^5/120))/((((0.15*B1154*5))^0/1)+(((0.15*B1154*5))^1/1)+(((0.15*B1154*5))^2/2)+(((0.15*B1154*5))^3/6)+(((0.15*B1154*5))^4/24)+(((0.15*B1154*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26">
      <c r="A1126">
        <f>Skills!A3</f>
        <v/>
      </c>
      <c r="B1126">
        <f>Skills!B3</f>
        <v/>
      </c>
      <c r="C1126">
        <f>Inputs!$B$3&gt;=50</f>
        <v/>
      </c>
      <c r="D1126">
        <f>IF(Skills!C3=1,60+Inputs!$B$26+Inputs!$B$30,IF(Skills!C3=2,90+Inputs!$B$27+Inputs!$B$30,IF(Skills!C3=3,120+Inputs!$B$28+Inputs!$B$30,MAX(0,(Inputs!$B$3-100)*3)+Inputs!$B$29+Inputs!$B$30)))</f>
        <v/>
      </c>
      <c r="E1126">
        <f>INDEX(FactorTable!$B$2:$Y$301, MATCH(ROUND(MIN(300,MAX(1,D1126)),0), FactorTable!$A$2:$A$301,0), Skills!M3+1)</f>
        <v/>
      </c>
      <c r="F1126">
        <f>IF(Skills!N3=TRUE,(Skills!L3/10)*(E1126/1000),Skills!L3/10)+Skills!O3</f>
        <v/>
      </c>
      <c r="G1126" t="inlineStr"/>
      <c r="H1126" t="inlineStr"/>
      <c r="I1126" t="inlineStr">
        <is>
          <t>1</t>
        </is>
      </c>
      <c r="J1126" t="inlineStr"/>
      <c r="K1126" t="inlineStr"/>
      <c r="L1126" t="inlineStr"/>
      <c r="M1126" t="inlineStr"/>
      <c r="N1126" t="inlineStr"/>
      <c r="O1126" t="inlineStr"/>
      <c r="P1126" t="inlineStr"/>
      <c r="Q1126" t="inlineStr"/>
      <c r="R1126" t="inlineStr"/>
      <c r="S1126" t="inlineStr"/>
      <c r="U1126">
        <f>INDEX(FactorTable!$B$2:$Y$301, MATCH(ROUND(MIN(300,MAX(1,U1125)),0), FactorTable!$A$2:$A$301,0), 22)</f>
        <v/>
      </c>
    </row>
    <row r="1127">
      <c r="A1127">
        <f>Skills!A4</f>
        <v/>
      </c>
      <c r="B1127">
        <f>Skills!B4</f>
        <v/>
      </c>
      <c r="C1127">
        <f>Inputs!$B$3&gt;=105</f>
        <v/>
      </c>
      <c r="D1127">
        <f>IF(Skills!C4=1,60+Inputs!$B$26+Inputs!$B$30,IF(Skills!C4=2,90+Inputs!$B$27+Inputs!$B$30,IF(Skills!C4=3,120+Inputs!$B$28+Inputs!$B$30,MAX(0,(Inputs!$B$3-100)*3)+Inputs!$B$29+Inputs!$B$30)))</f>
        <v/>
      </c>
      <c r="E1127">
        <f>INDEX(FactorTable!$B$2:$Y$301, MATCH(ROUND(MIN(300,MAX(1,D1127)),0), FactorTable!$A$2:$A$301,0), Skills!M4+1)</f>
        <v/>
      </c>
      <c r="F1127">
        <f>IF(Skills!N4=TRUE,(Skills!L4/10)*(E1127/1000),Skills!L4/10)+Skills!O4</f>
        <v/>
      </c>
      <c r="G1127" t="inlineStr"/>
      <c r="H1127" t="inlineStr"/>
      <c r="I1127" t="inlineStr">
        <is>
          <t>1</t>
        </is>
      </c>
      <c r="J1127" t="inlineStr"/>
      <c r="K1127" t="inlineStr"/>
      <c r="L1127" t="inlineStr"/>
      <c r="M1127" t="inlineStr"/>
      <c r="N1127" t="inlineStr"/>
      <c r="O1127" t="inlineStr"/>
      <c r="P1127" t="inlineStr"/>
      <c r="Q1127" t="inlineStr"/>
      <c r="R1127" t="inlineStr"/>
      <c r="S1127" t="inlineStr"/>
      <c r="U1127">
        <f>290*U1126/1000</f>
        <v/>
      </c>
    </row>
    <row r="1128">
      <c r="A1128">
        <f>Skills!A5</f>
        <v/>
      </c>
      <c r="B1128">
        <f>Skills!B5</f>
        <v/>
      </c>
      <c r="C1128">
        <f>Inputs!$B$3&gt;=117</f>
        <v/>
      </c>
      <c r="D1128">
        <f>IF(Skills!C5=1,60+Inputs!$B$26+Inputs!$B$30,IF(Skills!C5=2,90+Inputs!$B$27+Inputs!$B$30,IF(Skills!C5=3,120+Inputs!$B$28+Inputs!$B$30,MAX(0,(Inputs!$B$3-100)*3)+Inputs!$B$29+Inputs!$B$30)))</f>
        <v/>
      </c>
      <c r="E1128">
        <f>INDEX(FactorTable!$B$2:$Y$301, MATCH(ROUND(MIN(300,MAX(1,D1128)),0), FactorTable!$A$2:$A$301,0), Skills!M5+1)</f>
        <v/>
      </c>
      <c r="F1128">
        <f>IF(Skills!N5=TRUE,(Skills!L5/10)*(E1128/1000),Skills!L5/10)+Skills!O5</f>
        <v/>
      </c>
      <c r="G1128">
        <f>Skills!G5*IF(Skills!H5&gt;0,INT(IF(Inputs!$B$39="pvp",MIN(Skills!I5,15),Skills!I5)/Skills!H5+0.000000001),1)</f>
        <v/>
      </c>
      <c r="H1128">
        <f>1-(1-Skills!J5/100)^Skills!K5</f>
        <v/>
      </c>
      <c r="I1128" t="inlineStr">
        <is>
          <t>1</t>
        </is>
      </c>
      <c r="J1128">
        <f>((Inputs!$B$6*(1+Inputs!$B$7/100))+(((Inputs!$B$13*(1+Inputs!$B$14/100))-(Inputs!$B$13*(1+Inputs!$B$14/100)))+0.25*(Inputs!$B$15-Inputs!$B$15))*(1+Inputs!$B$7/100))*(F1128/100)</f>
        <v/>
      </c>
      <c r="K1128">
        <f>J1128*(1+(((Inputs!$B$13+IF(Inputs!$B$3&gt;=38,(10*INDEX(FactorTable!$B$2:$Y$301, MATCH(ROUND(MIN(300,MAX(1,Inputs!$B$3)),0), FactorTable!$A$2:$A$301,0), 23)/1000)/100*(Inputs!$B$8*(1+Inputs!$B$9/100)),0))*(1+Inputs!$B$14/100))*0.01+Inputs!$B$15*0.0025)/100)*(1+Inputs!$B$16/100)*(1+Inputs!$B$17/100)*(5000/(6000+Inputs!$B$43*(1-(Inputs!$B$20+0)/100)))*(1+(Inputs!$B$25+((C1148=TRUE)*(F1148-Calc!F25))+((C1149=TRUE)*(F1149-Calc!F26))+B1158)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gt;=100),MIN(100,((Inputs!$B$10+0+B1152+(ArtifactsInput!$M$24-ArtifactsInput!$M$24)*CHOOSE(ArtifactsInput!$N$24+1,10,12,14,16,18,20)+IF(ArtifactsInput!$M$10,CHOOSE(ArtifactsInput!$N$10+1,15,18,21,24,27,30)*(IF(Inputs!$B$39="pvp",MIN(15,15)/15,IF(AND(Inputs!$B$39&lt;&gt;"pvp",Inputs!$B$44&gt;0),MIN(15,Inputs!$B$44)/(Inputs!$B$44),0))),0)))-100),0))*CHOOSE(ArtifactsInput!$N$42+1,0.6,0.72,0.84,0.96,1.08,1.2))),Inputs!$B$19+((C1146=TRUE)*(F1146-Calc!F23))+(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gt;=100),CHOOSE(ArtifactsInput!$N$42+1,40,48,56,64,72,80),0))))/100)*((1+(((C1136=TRUE)*F1136*IF(AND(Inputs!$B$39&lt;&gt;"pvp",Inputs!$B$44&gt;0),(((R1136-1)*MIN((Skills!T13*(1+Inputs!$B$35/100)),(1/Q1136))+MIN((Skills!T13*(1+Inputs!$B$35/100)),MAX(0,Inputs!$B$44-((R1136-1)*(1/Q1136)))))/Inputs!$B$44),IF(Inputs!$B$39="pvp",MIN((Skills!T13*(1+Inputs!$B$35/100)),15)/15,MIN(1,(Skills!T13*(1+Inputs!$B$35/100))/(1/Q1136)))))+((C1137=TRUE)*F1137*IF(AND(Inputs!$B$39&lt;&gt;"pvp",Inputs!$B$44&gt;0),(((R1137-1)*MIN((Skills!T14*(1+Inputs!$B$35/100)),(1/Q1137))+MIN((Skills!T14*(1+Inputs!$B$35/100)),MAX(0,Inputs!$B$44-((R1137-1)*(1/Q1137)))))/Inputs!$B$44),IF(Inputs!$B$39="pvp",MIN((Skills!T14*(1+Inputs!$B$35/100)),15)/15,MIN(1,(Skills!T14*(1+Inputs!$B$35/100))/(1/Q1137)))))+((C1138=TRUE)*F1138*IF(AND(Inputs!$B$39&lt;&gt;"pvp",Inputs!$B$44&gt;0),(((R1138-1)*MIN((Skills!T15*(1+Inputs!$B$35/100)),(1/Q1138))+MIN((Skills!T15*(1+Inputs!$B$35/100)),MAX(0,Inputs!$B$44-((R1138-1)*(1/Q1138)))))/Inputs!$B$44),IF(Inputs!$B$39="pvp",MIN((Skills!T15*(1+Inputs!$B$35/100)),15)/15,MIN(1,(Skills!T15*(1+Inputs!$B$35/100))/(1/Q1138)))))+((C1139=TRUE)*F1139*IF(AND(Inputs!$B$39&lt;&gt;"pvp",Inputs!$B$44&gt;0),(((R1139-1)*MIN((Skills!T16*(1+Inputs!$B$35/100)),(1/Q1139))+MIN((Skills!T16*(1+Inputs!$B$35/100)),MAX(0,Inputs!$B$44-((R1139-1)*(1/Q1139)))))/Inputs!$B$44),IF(Inputs!$B$39="pvp",MIN((Skills!T16*(1+Inputs!$B$35/100)),15)/15,MIN(1,(Skills!T16*(1+Inputs!$B$35/100))/(1/Q1139)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1128)</f>
        <v/>
      </c>
      <c r="L1128">
        <f>K1128*(MIN(Inputs!$B$23+((C1145=TRUE)*(F1145-Calc!F22)),(Inputs!$B$24+((C1147=TRUE)*(F1147-Calc!F24))+(IF(ArtifactsInput!$M$15,CHOOSE(ArtifactsInput!$N$15+1,25,30,35,40,45,50)/100*(Inputs!$B$12-Inputs!$B$12),0))))/100+(Inputs!$B$24+((C1147=TRUE)*(F1147-Calc!F24))+(IF(ArtifactsInput!$M$15,CHOOSE(ArtifactsInput!$N$15+1,25,30,35,40,45,50)/100*(Inputs!$B$12-Inputs!$B$12),0)))/100)/2</f>
        <v/>
      </c>
      <c r="M1128">
        <f>L1128*(1+(Inputs!$B$11+0+B1157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128">
        <f>L1128*(1-MIN((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1128*(MIN((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28">
        <f>(1-Summary!$B$11)*T1128+Summary!$B$11*V1128</f>
        <v/>
      </c>
      <c r="P1128">
        <f>IF(B1162=0,0,O1128/B1162)</f>
        <v/>
      </c>
      <c r="Q1128">
        <f>IFERROR(1/IF(Inputs!$B$39="pvp",15,MAX(0.1,Skills!D5-IF(TRUE=TRUE,(Inputs!$B$33+1),0))),0)</f>
        <v/>
      </c>
      <c r="R1128">
        <f>IF(AND(Inputs!$B$39&lt;&gt;"pvp",Inputs!$B$44&gt;0),IF(MAX(0,Inputs!$B$44-B1159)&lt;=0,0,(INT(MAX(0,Inputs!$B$44-B1159)/IF(Inputs!$B$39="pvp",15,MAX(0.1,Skills!D5-IF(TRUE=TRUE,(Inputs!$B$33+1),0))))+1)),0)</f>
        <v/>
      </c>
      <c r="S1128">
        <f>IFERROR(O1128/N1128,0)</f>
        <v/>
      </c>
      <c r="T1128">
        <f>IF(C1128,(H1128*N1128*IF(AND(Inputs!$B$39&lt;&gt;"pvp",Inputs!$B$44&gt;0),((Skills!G5*((R1128-1)*IF(Skills!H5&gt;0,INT(Skills!I5/Skills!H5+0.000000001),1)+IF(Skills!H5&gt;0,INT(MIN(Skills!I5,MAX(0,MAX(0,Inputs!$B$44-B1159)-((R1128-1)*IF(Inputs!$B$39="pvp",15,MAX(0.1,Skills!D5-IF(TRUE=TRUE,(Inputs!$B$33+1),0))))))/Skills!H5+0.000000001),1)))/Inputs!$B$44),G1128*Q1128))*IF(Inputs!$B$39="pvp",1,1+(Inputs!$B$21+0+Skills!P5+((C1140=TRUE)*F1140*IF(AND(Inputs!$B$39&lt;&gt;"pvp",Inputs!$B$44&gt;0),(((R1140-1)*MIN((Skills!T17*(1+Inputs!$B$35/100)),(1/Q1140))+MIN((Skills!T17*(1+Inputs!$B$35/100)),MAX(0,Inputs!$B$44-((R1140-1)*(1/Q1140)))))/Inputs!$B$44),IF(Inputs!$B$39="pvp",MIN((Skills!T17*(1+Inputs!$B$35/100)),15)/15,MIN(1,(Skills!T17*(1+Inputs!$B$35/100))/(1/Q1140)))))+((C1128=TRUE)*IF(Inputs!$B$3&gt;=126,10*MIN(1,15*Q1128),0))+((C1137=TRUE)*IF(Inputs!$B$39="pvp",20,(1-Summary!$B$11)*(20)+Summary!$B$11*(0))*IF(AND(Inputs!$B$39&lt;&gt;"pvp",Inputs!$B$44&gt;0),(((R1137-1)*MIN((Skills!T14*(1+Inputs!$B$35/100)),(1/Q1137))+MIN((Skills!T14*(1+Inputs!$B$35/100)),MAX(0,Inputs!$B$44-((R1137-1)*(1/Q1137)))))/Inputs!$B$44),IF(Inputs!$B$39="pvp",MIN((Skills!T14*(1+Inputs!$B$35/100)),15)/15,MIN(1,(Skills!T14*(1+Inputs!$B$35/100))/(1/Q1137)))))+((C1136=TRUE)*IF(Inputs!$B$3&gt;=82,IF(Inputs!$B$39="pvp",20,(1-Summary!$B$11)*(20)+Summary!$B$11*(0)),0)*IF(AND(Inputs!$B$39&lt;&gt;"pvp",Inputs!$B$44&gt;0),(((R1136-1)*MIN((Skills!T13*(1+Inputs!$B$35/100)),(1/Q1136))+MIN((Skills!T13*(1+Inputs!$B$35/100)),MAX(0,Inputs!$B$44-((R1136-1)*(1/Q1136)))))/Inputs!$B$44),IF(Inputs!$B$39="pvp",MIN((Skills!T13*(1+Inputs!$B$35/100)),15)/15,MIN(1,(Skills!T13*(1+Inputs!$B$35/100))/(1/Q1136)))))+(IF(AND(ArtifactsInput!$M$35,Inputs!$B$4&lt;&gt;"Chapter Hunt"),CHOOSE(ArtifactsInput!$N$35+1,15,18,21,24,27,30)*(1-EXP(-(0.2*B1154)*5)),0)+IF(AND(ArtifactsInput!$M$22,Inputs!$B$4&lt;&gt;"Chapter Hunt"),CHOOSE(ArtifactsInput!$N$22+1,10,12,14,16,18,20)*((0*(((0.15*B1154*5))^0/1)+1*(((0.15*B1154*5))^1/1)+2*(((0.15*B1154*5))^2/2)+3*(((0.15*B1154*5))^3/6)+4*(((0.15*B1154*5))^4/24)+5*(((0.15*B1154*5))^5/120))/((((0.15*B1154*5))^0/1)+(((0.15*B1154*5))^1/1)+(((0.15*B1154*5))^2/2)+(((0.15*B1154*5))^3/6)+(((0.15*B1154*5))^4/24)+(((0.15*B1154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1128*(1-MIN(100,(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1128*(MIN(100,(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1128*(1-MIN(100,(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1128*(MIN(100,(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28">
        <f>IF(C1128,(H1128*N1128*IF(AND(Inputs!$B$39&lt;&gt;"pvp",Inputs!$B$44&gt;0),((Skills!G5*((R1128-1)*IF(Skills!H5&gt;0,INT(Skills!I5/Skills!H5+0.000000001),1)+IF(Skills!H5&gt;0,INT(MIN(Skills!I5,MAX(0,MAX(0,Inputs!$B$44-B1159)-((R1128-1)*IF(Inputs!$B$39="pvp",15,MAX(0.1,Skills!D5-IF(TRUE=TRUE,(Inputs!$B$33+1),0))))))/Skills!H5+0.000000001),1)))/Inputs!$B$44),G1128*Q1128))*IF(Inputs!$B$39="pvp",1,(1+(Inputs!$B$22+Skills!Q5+((C1140=TRUE)*F1140*IF(AND(Inputs!$B$39&lt;&gt;"pvp",Inputs!$B$44&gt;0),(((R1140-1)*MIN((Skills!T17*(1+Inputs!$B$35/100)),(1/Q1140))+MIN((Skills!T17*(1+Inputs!$B$35/100)),MAX(0,Inputs!$B$44-((R1140-1)*(1/Q1140)))))/Inputs!$B$44),IF(Inputs!$B$39="pvp",MIN((Skills!T17*(1+Inputs!$B$35/100)),15)/15,MIN(1,(Skills!T17*(1+Inputs!$B$35/100))/(1/Q1140)))))+((C1128=TRUE)*IF(Inputs!$B$3&gt;=126,10*MIN(1,15*Q1128),0))+((C1137=TRUE)*IF(Inputs!$B$39="pvp",20,(1-Summary!$B$11)*(20)+Summary!$B$11*(0))*IF(AND(Inputs!$B$39&lt;&gt;"pvp",Inputs!$B$44&gt;0),(((R1137-1)*MIN((Skills!T14*(1+Inputs!$B$35/100)),(1/Q1137))+MIN((Skills!T14*(1+Inputs!$B$35/100)),MAX(0,Inputs!$B$44-((R1137-1)*(1/Q1137)))))/Inputs!$B$44),IF(Inputs!$B$39="pvp",MIN((Skills!T14*(1+Inputs!$B$35/100)),15)/15,MIN(1,(Skills!T14*(1+Inputs!$B$35/100))/(1/Q1137)))))+((C1136=TRUE)*IF(Inputs!$B$3&gt;=82,IF(Inputs!$B$39="pvp",20,(1-Summary!$B$11)*(20)+Summary!$B$11*(0)),0)*IF(AND(Inputs!$B$39&lt;&gt;"pvp",Inputs!$B$44&gt;0),(((R1136-1)*MIN((Skills!T13*(1+Inputs!$B$35/100)),(1/Q1136))+MIN((Skills!T13*(1+Inputs!$B$35/100)),MAX(0,Inputs!$B$44-((R1136-1)*(1/Q1136)))))/Inputs!$B$44),IF(Inputs!$B$39="pvp",MIN((Skills!T13*(1+Inputs!$B$35/100)),15)/15,MIN(1,(Skills!T13*(1+Inputs!$B$35/100))/(1/Q1136)))))+(IF(AND(ArtifactsInput!$M$35,Inputs!$B$4&lt;&gt;"Chapter Hunt"),CHOOSE(ArtifactsInput!$N$35+1,15,18,21,24,27,30)*(1-EXP(-(0.2*B1154)*5)),0)+IF(AND(ArtifactsInput!$M$22,Inputs!$B$4&lt;&gt;"Chapter Hunt"),CHOOSE(ArtifactsInput!$N$22+1,10,12,14,16,18,20)*((0*(((0.15*B1154*5))^0/1)+1*(((0.15*B1154*5))^1/1)+2*(((0.15*B1154*5))^2/2)+3*(((0.15*B1154*5))^3/6)+4*(((0.15*B1154*5))^4/24)+5*(((0.15*B1154*5))^5/120))/((((0.15*B1154*5))^0/1)+(((0.15*B1154*5))^1/1)+(((0.15*B1154*5))^2/2)+(((0.15*B1154*5))^3/6)+(((0.15*B1154*5))^4/24)+(((0.15*B1154*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29">
      <c r="A1129">
        <f>Skills!A6</f>
        <v/>
      </c>
      <c r="B1129">
        <f>Skills!B6</f>
        <v/>
      </c>
      <c r="C1129">
        <f>Inputs!$B$3&gt;=103</f>
        <v/>
      </c>
      <c r="D1129">
        <f>IF(Skills!C6=1,60+Inputs!$B$26+Inputs!$B$30,IF(Skills!C6=2,90+Inputs!$B$27+Inputs!$B$30,IF(Skills!C6=3,120+Inputs!$B$28+Inputs!$B$30,MAX(0,(Inputs!$B$3-100)*3)+Inputs!$B$29+Inputs!$B$30)))</f>
        <v/>
      </c>
      <c r="E1129">
        <f>INDEX(FactorTable!$B$2:$Y$301, MATCH(ROUND(MIN(300,MAX(1,D1129)),0), FactorTable!$A$2:$A$301,0), Skills!M6+1)</f>
        <v/>
      </c>
      <c r="F1129">
        <f>IF(Skills!N6=TRUE,(Skills!L6/10)*(E1129/1000),Skills!L6/10)+Skills!O6</f>
        <v/>
      </c>
      <c r="G1129">
        <f>Skills!G6*IF(Skills!H6&gt;0,INT(IF(Inputs!$B$39="pvp",MIN(Skills!I6,15),Skills!I6)/Skills!H6+0.000000001),1)</f>
        <v/>
      </c>
      <c r="H1129">
        <f>1-(1-Skills!J6/100)^Skills!K6</f>
        <v/>
      </c>
      <c r="I1129" t="inlineStr">
        <is>
          <t>1</t>
        </is>
      </c>
      <c r="J1129">
        <f>((Inputs!$B$6*(1+Inputs!$B$7/100))+(((Inputs!$B$13*(1+Inputs!$B$14/100))-(Inputs!$B$13*(1+Inputs!$B$14/100)))+0.25*(Inputs!$B$15-Inputs!$B$15))*(1+Inputs!$B$7/100))*(F1129/100)</f>
        <v/>
      </c>
      <c r="K1129">
        <f>J1129*(1+(((Inputs!$B$13+IF(Inputs!$B$3&gt;=38,(10*INDEX(FactorTable!$B$2:$Y$301, MATCH(ROUND(MIN(300,MAX(1,Inputs!$B$3)),0), FactorTable!$A$2:$A$301,0), 23)/1000)/100*(Inputs!$B$8*(1+Inputs!$B$9/100)),0))*(1+Inputs!$B$14/100))*0.01+Inputs!$B$15*0.0025)/100)*(1+Inputs!$B$16/100)*(1+Inputs!$B$17/100)*(5000/(6000+Inputs!$B$43*(1-(Inputs!$B$20+0)/100)))*(1+(Inputs!$B$25+((C1148=TRUE)*(F1148-Calc!F25))+((C1149=TRUE)*(F1149-Calc!F26))+B1158)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gt;=100),MIN(100,((Inputs!$B$10+0+B1152+(ArtifactsInput!$M$24-ArtifactsInput!$M$24)*CHOOSE(ArtifactsInput!$N$24+1,10,12,14,16,18,20)+IF(ArtifactsInput!$M$10,CHOOSE(ArtifactsInput!$N$10+1,15,18,21,24,27,30)*(IF(Inputs!$B$39="pvp",MIN(15,15)/15,IF(AND(Inputs!$B$39&lt;&gt;"pvp",Inputs!$B$44&gt;0),MIN(15,Inputs!$B$44)/(Inputs!$B$44),0))),0)))-100),0))*CHOOSE(ArtifactsInput!$N$42+1,0.6,0.72,0.84,0.96,1.08,1.2))),Inputs!$B$19+((C1146=TRUE)*(F1146-Calc!F23))+(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gt;=100),CHOOSE(ArtifactsInput!$N$42+1,40,48,56,64,72,80),0))))/100)*((1+(((C1136=TRUE)*F1136*IF(AND(Inputs!$B$39&lt;&gt;"pvp",Inputs!$B$44&gt;0),(((R1136-1)*MIN((Skills!T13*(1+Inputs!$B$35/100)),(1/Q1136))+MIN((Skills!T13*(1+Inputs!$B$35/100)),MAX(0,Inputs!$B$44-((R1136-1)*(1/Q1136)))))/Inputs!$B$44),IF(Inputs!$B$39="pvp",MIN((Skills!T13*(1+Inputs!$B$35/100)),15)/15,MIN(1,(Skills!T13*(1+Inputs!$B$35/100))/(1/Q1136)))))+((C1137=TRUE)*F1137*IF(AND(Inputs!$B$39&lt;&gt;"pvp",Inputs!$B$44&gt;0),(((R1137-1)*MIN((Skills!T14*(1+Inputs!$B$35/100)),(1/Q1137))+MIN((Skills!T14*(1+Inputs!$B$35/100)),MAX(0,Inputs!$B$44-((R1137-1)*(1/Q1137)))))/Inputs!$B$44),IF(Inputs!$B$39="pvp",MIN((Skills!T14*(1+Inputs!$B$35/100)),15)/15,MIN(1,(Skills!T14*(1+Inputs!$B$35/100))/(1/Q1137)))))+((C1138=TRUE)*F1138*IF(AND(Inputs!$B$39&lt;&gt;"pvp",Inputs!$B$44&gt;0),(((R1138-1)*MIN((Skills!T15*(1+Inputs!$B$35/100)),(1/Q1138))+MIN((Skills!T15*(1+Inputs!$B$35/100)),MAX(0,Inputs!$B$44-((R1138-1)*(1/Q1138)))))/Inputs!$B$44),IF(Inputs!$B$39="pvp",MIN((Skills!T15*(1+Inputs!$B$35/100)),15)/15,MIN(1,(Skills!T15*(1+Inputs!$B$35/100))/(1/Q1138)))))+((C1139=TRUE)*F1139*IF(AND(Inputs!$B$39&lt;&gt;"pvp",Inputs!$B$44&gt;0),(((R1139-1)*MIN((Skills!T16*(1+Inputs!$B$35/100)),(1/Q1139))+MIN((Skills!T16*(1+Inputs!$B$35/100)),MAX(0,Inputs!$B$44-((R1139-1)*(1/Q1139)))))/Inputs!$B$44),IF(Inputs!$B$39="pvp",MIN((Skills!T16*(1+Inputs!$B$35/100)),15)/15,MIN(1,(Skills!T16*(1+Inputs!$B$35/100))/(1/Q1139)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1129)</f>
        <v/>
      </c>
      <c r="L1129">
        <f>K1129*(MIN(Inputs!$B$23+((C1145=TRUE)*(F1145-Calc!F22)),(Inputs!$B$24+((C1147=TRUE)*(F1147-Calc!F24))+(IF(ArtifactsInput!$M$15,CHOOSE(ArtifactsInput!$N$15+1,25,30,35,40,45,50)/100*(Inputs!$B$12-Inputs!$B$12),0))))/100+(Inputs!$B$24+((C1147=TRUE)*(F1147-Calc!F24))+(IF(ArtifactsInput!$M$15,CHOOSE(ArtifactsInput!$N$15+1,25,30,35,40,45,50)/100*(Inputs!$B$12-Inputs!$B$12),0)))/100)/2</f>
        <v/>
      </c>
      <c r="M1129">
        <f>L1129*(1+(Inputs!$B$11+0+B1157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129">
        <f>L1129*(1-MIN((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1129*(MIN((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29">
        <f>(1-Summary!$B$11)*T1129+Summary!$B$11*V1129</f>
        <v/>
      </c>
      <c r="P1129">
        <f>IF(B1162=0,0,O1129/B1162)</f>
        <v/>
      </c>
      <c r="Q1129">
        <f>IFERROR(1/IF(Inputs!$B$39="pvp",15,MAX(0.1,Skills!D6-IF(TRUE=TRUE,(Inputs!$B$33+1),0))),0)</f>
        <v/>
      </c>
      <c r="R1129">
        <f>IF(AND(Inputs!$B$39&lt;&gt;"pvp",Inputs!$B$44&gt;0),IF(MAX(0,Inputs!$B$44-B1159)&lt;=0,0,(INT(MAX(0,Inputs!$B$44-B1159)/IF(Inputs!$B$39="pvp",15,MAX(0.1,Skills!D6-IF(TRUE=TRUE,(Inputs!$B$33+1),0))))+1)),0)</f>
        <v/>
      </c>
      <c r="S1129">
        <f>IFERROR(O1129/N1129,0)</f>
        <v/>
      </c>
      <c r="T1129">
        <f>IF(C1129,(H1129*N1129*IF(AND(Inputs!$B$39&lt;&gt;"pvp",Inputs!$B$44&gt;0),((Skills!G6*((R1129-1)*IF(Skills!H6&gt;0,INT(Skills!I6/Skills!H6+0.000000001),1)+IF(Skills!H6&gt;0,INT(MIN(Skills!I6,MAX(0,MAX(0,Inputs!$B$44-B1159)-((R1129-1)*IF(Inputs!$B$39="pvp",15,MAX(0.1,Skills!D6-IF(TRUE=TRUE,(Inputs!$B$33+1),0))))))/Skills!H6+0.000000001),1)))/Inputs!$B$44),G1129*Q1129))*IF(Inputs!$B$39="pvp",1,1+(Inputs!$B$21+0+Skills!P6+((C1140=TRUE)*F1140*IF(AND(Inputs!$B$39&lt;&gt;"pvp",Inputs!$B$44&gt;0),(((R1140-1)*MIN((Skills!T17*(1+Inputs!$B$35/100)),(1/Q1140))+MIN((Skills!T17*(1+Inputs!$B$35/100)),MAX(0,Inputs!$B$44-((R1140-1)*(1/Q1140)))))/Inputs!$B$44),IF(Inputs!$B$39="pvp",MIN((Skills!T17*(1+Inputs!$B$35/100)),15)/15,MIN(1,(Skills!T17*(1+Inputs!$B$35/100))/(1/Q1140)))))+((C1128=TRUE)*IF(Inputs!$B$3&gt;=126,10*MIN(1,15*Q1128),0))+((C1137=TRUE)*IF(Inputs!$B$39="pvp",20,(1-Summary!$B$11)*(20)+Summary!$B$11*(0))*IF(AND(Inputs!$B$39&lt;&gt;"pvp",Inputs!$B$44&gt;0),(((R1137-1)*MIN((Skills!T14*(1+Inputs!$B$35/100)),(1/Q1137))+MIN((Skills!T14*(1+Inputs!$B$35/100)),MAX(0,Inputs!$B$44-((R1137-1)*(1/Q1137)))))/Inputs!$B$44),IF(Inputs!$B$39="pvp",MIN((Skills!T14*(1+Inputs!$B$35/100)),15)/15,MIN(1,(Skills!T14*(1+Inputs!$B$35/100))/(1/Q1137)))))+((C1136=TRUE)*IF(Inputs!$B$3&gt;=82,IF(Inputs!$B$39="pvp",20,(1-Summary!$B$11)*(20)+Summary!$B$11*(0)),0)*IF(AND(Inputs!$B$39&lt;&gt;"pvp",Inputs!$B$44&gt;0),(((R1136-1)*MIN((Skills!T13*(1+Inputs!$B$35/100)),(1/Q1136))+MIN((Skills!T13*(1+Inputs!$B$35/100)),MAX(0,Inputs!$B$44-((R1136-1)*(1/Q1136)))))/Inputs!$B$44),IF(Inputs!$B$39="pvp",MIN((Skills!T13*(1+Inputs!$B$35/100)),15)/15,MIN(1,(Skills!T13*(1+Inputs!$B$35/100))/(1/Q1136)))))+(IF(AND(ArtifactsInput!$M$35,Inputs!$B$4&lt;&gt;"Chapter Hunt"),CHOOSE(ArtifactsInput!$N$35+1,15,18,21,24,27,30)*(1-EXP(-(0.2*B1154)*5)),0)+IF(AND(ArtifactsInput!$M$22,Inputs!$B$4&lt;&gt;"Chapter Hunt"),CHOOSE(ArtifactsInput!$N$22+1,10,12,14,16,18,20)*((0*(((0.15*B1154*5))^0/1)+1*(((0.15*B1154*5))^1/1)+2*(((0.15*B1154*5))^2/2)+3*(((0.15*B1154*5))^3/6)+4*(((0.15*B1154*5))^4/24)+5*(((0.15*B1154*5))^5/120))/((((0.15*B1154*5))^0/1)+(((0.15*B1154*5))^1/1)+(((0.15*B1154*5))^2/2)+(((0.15*B1154*5))^3/6)+(((0.15*B1154*5))^4/24)+(((0.15*B1154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1129*(1-MIN(100,(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1129*(MIN(100,(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1129*(1-MIN(100,(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1129*(MIN(100,(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29">
        <f>IF(C1129,(H1129*N1129*IF(AND(Inputs!$B$39&lt;&gt;"pvp",Inputs!$B$44&gt;0),((Skills!G6*((R1129-1)*IF(Skills!H6&gt;0,INT(Skills!I6/Skills!H6+0.000000001),1)+IF(Skills!H6&gt;0,INT(MIN(Skills!I6,MAX(0,MAX(0,Inputs!$B$44-B1159)-((R1129-1)*IF(Inputs!$B$39="pvp",15,MAX(0.1,Skills!D6-IF(TRUE=TRUE,(Inputs!$B$33+1),0))))))/Skills!H6+0.000000001),1)))/Inputs!$B$44),G1129*Q1129))*IF(Inputs!$B$39="pvp",1,(1+(Inputs!$B$22+Skills!Q6+((C1140=TRUE)*F1140*IF(AND(Inputs!$B$39&lt;&gt;"pvp",Inputs!$B$44&gt;0),(((R1140-1)*MIN((Skills!T17*(1+Inputs!$B$35/100)),(1/Q1140))+MIN((Skills!T17*(1+Inputs!$B$35/100)),MAX(0,Inputs!$B$44-((R1140-1)*(1/Q1140)))))/Inputs!$B$44),IF(Inputs!$B$39="pvp",MIN((Skills!T17*(1+Inputs!$B$35/100)),15)/15,MIN(1,(Skills!T17*(1+Inputs!$B$35/100))/(1/Q1140)))))+((C1128=TRUE)*IF(Inputs!$B$3&gt;=126,10*MIN(1,15*Q1128),0))+((C1137=TRUE)*IF(Inputs!$B$39="pvp",20,(1-Summary!$B$11)*(20)+Summary!$B$11*(0))*IF(AND(Inputs!$B$39&lt;&gt;"pvp",Inputs!$B$44&gt;0),(((R1137-1)*MIN((Skills!T14*(1+Inputs!$B$35/100)),(1/Q1137))+MIN((Skills!T14*(1+Inputs!$B$35/100)),MAX(0,Inputs!$B$44-((R1137-1)*(1/Q1137)))))/Inputs!$B$44),IF(Inputs!$B$39="pvp",MIN((Skills!T14*(1+Inputs!$B$35/100)),15)/15,MIN(1,(Skills!T14*(1+Inputs!$B$35/100))/(1/Q1137)))))+((C1136=TRUE)*IF(Inputs!$B$3&gt;=82,IF(Inputs!$B$39="pvp",20,(1-Summary!$B$11)*(20)+Summary!$B$11*(0)),0)*IF(AND(Inputs!$B$39&lt;&gt;"pvp",Inputs!$B$44&gt;0),(((R1136-1)*MIN((Skills!T13*(1+Inputs!$B$35/100)),(1/Q1136))+MIN((Skills!T13*(1+Inputs!$B$35/100)),MAX(0,Inputs!$B$44-((R1136-1)*(1/Q1136)))))/Inputs!$B$44),IF(Inputs!$B$39="pvp",MIN((Skills!T13*(1+Inputs!$B$35/100)),15)/15,MIN(1,(Skills!T13*(1+Inputs!$B$35/100))/(1/Q1136)))))+(IF(AND(ArtifactsInput!$M$35,Inputs!$B$4&lt;&gt;"Chapter Hunt"),CHOOSE(ArtifactsInput!$N$35+1,15,18,21,24,27,30)*(1-EXP(-(0.2*B1154)*5)),0)+IF(AND(ArtifactsInput!$M$22,Inputs!$B$4&lt;&gt;"Chapter Hunt"),CHOOSE(ArtifactsInput!$N$22+1,10,12,14,16,18,20)*((0*(((0.15*B1154*5))^0/1)+1*(((0.15*B1154*5))^1/1)+2*(((0.15*B1154*5))^2/2)+3*(((0.15*B1154*5))^3/6)+4*(((0.15*B1154*5))^4/24)+5*(((0.15*B1154*5))^5/120))/((((0.15*B1154*5))^0/1)+(((0.15*B1154*5))^1/1)+(((0.15*B1154*5))^2/2)+(((0.15*B1154*5))^3/6)+(((0.15*B1154*5))^4/24)+(((0.15*B1154*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30">
      <c r="A1130">
        <f>Skills!A7</f>
        <v/>
      </c>
      <c r="B1130">
        <f>Skills!B7</f>
        <v/>
      </c>
      <c r="C1130">
        <f>Inputs!$B$3&gt;=40</f>
        <v/>
      </c>
      <c r="D1130">
        <f>IF(Skills!C7=1,60+Inputs!$B$26+Inputs!$B$30,IF(Skills!C7=2,90+Inputs!$B$27+Inputs!$B$30,IF(Skills!C7=3,120+Inputs!$B$28+Inputs!$B$30,MAX(0,(Inputs!$B$3-100)*3)+Inputs!$B$29+Inputs!$B$30)))</f>
        <v/>
      </c>
      <c r="E1130">
        <f>INDEX(FactorTable!$B$2:$Y$301, MATCH(ROUND(MIN(300,MAX(1,D1130)),0), FactorTable!$A$2:$A$301,0), Skills!M7+1)</f>
        <v/>
      </c>
      <c r="F1130">
        <f>IF(Skills!N7=TRUE,(Skills!L7/10)*(E1130/1000),Skills!L7/10)+Skills!O7</f>
        <v/>
      </c>
      <c r="G1130">
        <f>Skills!G7*IF(Skills!H7&gt;0,INT(IF(Inputs!$B$39="pvp",MIN(Skills!I7,15),Skills!I7)/Skills!H7+0.000000001),1)</f>
        <v/>
      </c>
      <c r="H1130">
        <f>1-(1-Skills!J7/100)^Skills!K7</f>
        <v/>
      </c>
      <c r="I1130" t="inlineStr">
        <is>
          <t>1</t>
        </is>
      </c>
      <c r="J1130">
        <f>((Inputs!$B$6*(1+Inputs!$B$7/100))+(((Inputs!$B$13*(1+Inputs!$B$14/100))-(Inputs!$B$13*(1+Inputs!$B$14/100)))+0.25*(Inputs!$B$15-Inputs!$B$15))*(1+Inputs!$B$7/100))*(F1130/100)</f>
        <v/>
      </c>
      <c r="K1130">
        <f>J1130*(1+(((Inputs!$B$13+IF(Inputs!$B$3&gt;=38,(10*INDEX(FactorTable!$B$2:$Y$301, MATCH(ROUND(MIN(300,MAX(1,Inputs!$B$3)),0), FactorTable!$A$2:$A$301,0), 23)/1000)/100*(Inputs!$B$8*(1+Inputs!$B$9/100)),0))*(1+Inputs!$B$14/100))*0.01+Inputs!$B$15*0.0025)/100)*(1+Inputs!$B$16/100)*(1+Inputs!$B$17/100)*(5000/(6000+Inputs!$B$43*(1-(Inputs!$B$20+0)/100)))*(1+(Inputs!$B$25+((C1148=TRUE)*(F1148-Calc!F25))+((C1149=TRUE)*(F1149-Calc!F26))+B1158)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1134=TRUE,F1134,0)/100)*(1+(IF(Skills!A7="DARK_IMPALE",Inputs!$B$18+0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gt;=100),MIN(100,((Inputs!$B$10+0+B1152+(ArtifactsInput!$M$24-ArtifactsInput!$M$24)*CHOOSE(ArtifactsInput!$N$24+1,10,12,14,16,18,20)+IF(ArtifactsInput!$M$10,CHOOSE(ArtifactsInput!$N$10+1,15,18,21,24,27,30)*(IF(Inputs!$B$39="pvp",MIN(15,15)/15,IF(AND(Inputs!$B$39&lt;&gt;"pvp",Inputs!$B$44&gt;0),MIN(15,Inputs!$B$44)/(Inputs!$B$44),0))),0)))-100),0))*CHOOSE(ArtifactsInput!$N$42+1,0.6,0.72,0.84,0.96,1.08,1.2))),Inputs!$B$19+((C1146=TRUE)*(F1146-Calc!F23))+(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gt;=100),CHOOSE(ArtifactsInput!$N$42+1,40,48,56,64,72,80),0))))/100)*((1+(((C1136=TRUE)*F1136*IF(AND(Inputs!$B$39&lt;&gt;"pvp",Inputs!$B$44&gt;0),(((R1136-1)*MIN((Skills!T13*(1+Inputs!$B$35/100)),(1/Q1136))+MIN((Skills!T13*(1+Inputs!$B$35/100)),MAX(0,Inputs!$B$44-((R1136-1)*(1/Q1136)))))/Inputs!$B$44),IF(Inputs!$B$39="pvp",MIN((Skills!T13*(1+Inputs!$B$35/100)),15)/15,MIN(1,(Skills!T13*(1+Inputs!$B$35/100))/(1/Q1136)))))+((C1137=TRUE)*F1137*IF(AND(Inputs!$B$39&lt;&gt;"pvp",Inputs!$B$44&gt;0),(((R1137-1)*MIN((Skills!T14*(1+Inputs!$B$35/100)),(1/Q1137))+MIN((Skills!T14*(1+Inputs!$B$35/100)),MAX(0,Inputs!$B$44-((R1137-1)*(1/Q1137)))))/Inputs!$B$44),IF(Inputs!$B$39="pvp",MIN((Skills!T14*(1+Inputs!$B$35/100)),15)/15,MIN(1,(Skills!T14*(1+Inputs!$B$35/100))/(1/Q1137)))))+((C1138=TRUE)*F1138*IF(AND(Inputs!$B$39&lt;&gt;"pvp",Inputs!$B$44&gt;0),(((R1138-1)*MIN((Skills!T15*(1+Inputs!$B$35/100)),(1/Q1138))+MIN((Skills!T15*(1+Inputs!$B$35/100)),MAX(0,Inputs!$B$44-((R1138-1)*(1/Q1138)))))/Inputs!$B$44),IF(Inputs!$B$39="pvp",MIN((Skills!T15*(1+Inputs!$B$35/100)),15)/15,MIN(1,(Skills!T15*(1+Inputs!$B$35/100))/(1/Q1138)))))+((C1139=TRUE)*F1139*IF(AND(Inputs!$B$39&lt;&gt;"pvp",Inputs!$B$44&gt;0),(((R1139-1)*MIN((Skills!T16*(1+Inputs!$B$35/100)),(1/Q1139))+MIN((Skills!T16*(1+Inputs!$B$35/100)),MAX(0,Inputs!$B$44-((R1139-1)*(1/Q1139)))))/Inputs!$B$44),IF(Inputs!$B$39="pvp",MIN((Skills!T16*(1+Inputs!$B$35/100)),15)/15,MIN(1,(Skills!T16*(1+Inputs!$B$35/100))/(1/Q1139)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1130)</f>
        <v/>
      </c>
      <c r="L1130">
        <f>K1130*(MIN(Inputs!$B$23+((C1145=TRUE)*(F1145-Calc!F22)),(Inputs!$B$24+((C1147=TRUE)*(F1147-Calc!F24))+(IF(ArtifactsInput!$M$15,CHOOSE(ArtifactsInput!$N$15+1,25,30,35,40,45,50)/100*(Inputs!$B$12-Inputs!$B$12),0))))/100+(Inputs!$B$24+((C1147=TRUE)*(F1147-Calc!F24))+(IF(ArtifactsInput!$M$15,CHOOSE(ArtifactsInput!$N$15+1,25,30,35,40,45,50)/100*(Inputs!$B$12-Inputs!$B$12),0)))/100)/2</f>
        <v/>
      </c>
      <c r="M1130">
        <f>L1130*(1+(Inputs!$B$11+0+B1157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130">
        <f>L1130*(1-MIN((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1130*(MIN((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30">
        <f>(1-Summary!$B$11)*T1130+Summary!$B$11*V1130</f>
        <v/>
      </c>
      <c r="P1130">
        <f>IF(B1162=0,0,O1130/B1162)</f>
        <v/>
      </c>
      <c r="Q1130">
        <f>IFERROR(1/IF(Inputs!$B$39="pvp",15,MAX(0.1,Skills!D7-IF(TRUE=TRUE,(Inputs!$B$33+1),0))),0)</f>
        <v/>
      </c>
      <c r="R1130">
        <f>IF(AND(Inputs!$B$39&lt;&gt;"pvp",Inputs!$B$44&gt;0),IF(MAX(0,Inputs!$B$44-B1159)&lt;=0,0,(INT(MAX(0,Inputs!$B$44-B1159)/IF(Inputs!$B$39="pvp",15,MAX(0.1,Skills!D7-IF(TRUE=TRUE,(Inputs!$B$33+1),0))))+1)),0)</f>
        <v/>
      </c>
      <c r="S1130">
        <f>IFERROR(O1130/N1130,0)</f>
        <v/>
      </c>
      <c r="T1130">
        <f>IF(C1130,(H1130*N1130*IF(AND(Inputs!$B$39&lt;&gt;"pvp",Inputs!$B$44&gt;0),((Skills!G7*((R1130-1)*IF(Skills!H7&gt;0,INT(Skills!I7/Skills!H7+0.000000001),1)+IF(Skills!H7&gt;0,INT(MIN(Skills!I7,MAX(0,MAX(0,Inputs!$B$44-B1159)-((R1130-1)*IF(Inputs!$B$39="pvp",15,MAX(0.1,Skills!D7-IF(TRUE=TRUE,(Inputs!$B$33+1),0))))))/Skills!H7+0.000000001),1)))/Inputs!$B$44),G1130*Q1130))*IF(Inputs!$B$39="pvp",1,1+(Inputs!$B$21+0+Skills!P7+((C1140=TRUE)*F1140*IF(AND(Inputs!$B$39&lt;&gt;"pvp",Inputs!$B$44&gt;0),(((R1140-1)*MIN((Skills!T17*(1+Inputs!$B$35/100)),(1/Q1140))+MIN((Skills!T17*(1+Inputs!$B$35/100)),MAX(0,Inputs!$B$44-((R1140-1)*(1/Q1140)))))/Inputs!$B$44),IF(Inputs!$B$39="pvp",MIN((Skills!T17*(1+Inputs!$B$35/100)),15)/15,MIN(1,(Skills!T17*(1+Inputs!$B$35/100))/(1/Q1140)))))+((C1128=TRUE)*IF(Inputs!$B$3&gt;=126,10*MIN(1,15*Q1128),0))+((C1137=TRUE)*IF(Inputs!$B$39="pvp",20,(1-Summary!$B$11)*(20)+Summary!$B$11*(0))*IF(AND(Inputs!$B$39&lt;&gt;"pvp",Inputs!$B$44&gt;0),(((R1137-1)*MIN((Skills!T14*(1+Inputs!$B$35/100)),(1/Q1137))+MIN((Skills!T14*(1+Inputs!$B$35/100)),MAX(0,Inputs!$B$44-((R1137-1)*(1/Q1137)))))/Inputs!$B$44),IF(Inputs!$B$39="pvp",MIN((Skills!T14*(1+Inputs!$B$35/100)),15)/15,MIN(1,(Skills!T14*(1+Inputs!$B$35/100))/(1/Q1137)))))+((C1136=TRUE)*IF(Inputs!$B$3&gt;=82,IF(Inputs!$B$39="pvp",20,(1-Summary!$B$11)*(20)+Summary!$B$11*(0)),0)*IF(AND(Inputs!$B$39&lt;&gt;"pvp",Inputs!$B$44&gt;0),(((R1136-1)*MIN((Skills!T13*(1+Inputs!$B$35/100)),(1/Q1136))+MIN((Skills!T13*(1+Inputs!$B$35/100)),MAX(0,Inputs!$B$44-((R1136-1)*(1/Q1136)))))/Inputs!$B$44),IF(Inputs!$B$39="pvp",MIN((Skills!T13*(1+Inputs!$B$35/100)),15)/15,MIN(1,(Skills!T13*(1+Inputs!$B$35/100))/(1/Q1136)))))+(IF(AND(ArtifactsInput!$M$35,Inputs!$B$4&lt;&gt;"Chapter Hunt"),CHOOSE(ArtifactsInput!$N$35+1,15,18,21,24,27,30)*(1-EXP(-(0.2*B1154)*5)),0)+IF(AND(ArtifactsInput!$M$22,Inputs!$B$4&lt;&gt;"Chapter Hunt"),CHOOSE(ArtifactsInput!$N$22+1,10,12,14,16,18,20)*((0*(((0.15*B1154*5))^0/1)+1*(((0.15*B1154*5))^1/1)+2*(((0.15*B1154*5))^2/2)+3*(((0.15*B1154*5))^3/6)+4*(((0.15*B1154*5))^4/24)+5*(((0.15*B1154*5))^5/120))/((((0.15*B1154*5))^0/1)+(((0.15*B1154*5))^1/1)+(((0.15*B1154*5))^2/2)+(((0.15*B1154*5))^3/6)+(((0.15*B1154*5))^4/24)+(((0.15*B1154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1130*(1-MIN(100,(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1130*(MIN(100,(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1130*(1-MIN(100,(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1130*(MIN(100,(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30">
        <f>IF(C1130,(H1130*N1130*IF(AND(Inputs!$B$39&lt;&gt;"pvp",Inputs!$B$44&gt;0),((Skills!G7*((R1130-1)*IF(Skills!H7&gt;0,INT(Skills!I7/Skills!H7+0.000000001),1)+IF(Skills!H7&gt;0,INT(MIN(Skills!I7,MAX(0,MAX(0,Inputs!$B$44-B1159)-((R1130-1)*IF(Inputs!$B$39="pvp",15,MAX(0.1,Skills!D7-IF(TRUE=TRUE,(Inputs!$B$33+1),0))))))/Skills!H7+0.000000001),1)))/Inputs!$B$44),G1130*Q1130))*IF(Inputs!$B$39="pvp",1,(1+(Inputs!$B$22+Skills!Q7+((C1140=TRUE)*F1140*IF(AND(Inputs!$B$39&lt;&gt;"pvp",Inputs!$B$44&gt;0),(((R1140-1)*MIN((Skills!T17*(1+Inputs!$B$35/100)),(1/Q1140))+MIN((Skills!T17*(1+Inputs!$B$35/100)),MAX(0,Inputs!$B$44-((R1140-1)*(1/Q1140)))))/Inputs!$B$44),IF(Inputs!$B$39="pvp",MIN((Skills!T17*(1+Inputs!$B$35/100)),15)/15,MIN(1,(Skills!T17*(1+Inputs!$B$35/100))/(1/Q1140)))))+((C1128=TRUE)*IF(Inputs!$B$3&gt;=126,10*MIN(1,15*Q1128),0))+((C1137=TRUE)*IF(Inputs!$B$39="pvp",20,(1-Summary!$B$11)*(20)+Summary!$B$11*(0))*IF(AND(Inputs!$B$39&lt;&gt;"pvp",Inputs!$B$44&gt;0),(((R1137-1)*MIN((Skills!T14*(1+Inputs!$B$35/100)),(1/Q1137))+MIN((Skills!T14*(1+Inputs!$B$35/100)),MAX(0,Inputs!$B$44-((R1137-1)*(1/Q1137)))))/Inputs!$B$44),IF(Inputs!$B$39="pvp",MIN((Skills!T14*(1+Inputs!$B$35/100)),15)/15,MIN(1,(Skills!T14*(1+Inputs!$B$35/100))/(1/Q1137)))))+((C1136=TRUE)*IF(Inputs!$B$3&gt;=82,IF(Inputs!$B$39="pvp",20,(1-Summary!$B$11)*(20)+Summary!$B$11*(0)),0)*IF(AND(Inputs!$B$39&lt;&gt;"pvp",Inputs!$B$44&gt;0),(((R1136-1)*MIN((Skills!T13*(1+Inputs!$B$35/100)),(1/Q1136))+MIN((Skills!T13*(1+Inputs!$B$35/100)),MAX(0,Inputs!$B$44-((R1136-1)*(1/Q1136)))))/Inputs!$B$44),IF(Inputs!$B$39="pvp",MIN((Skills!T13*(1+Inputs!$B$35/100)),15)/15,MIN(1,(Skills!T13*(1+Inputs!$B$35/100))/(1/Q1136)))))+(IF(AND(ArtifactsInput!$M$35,Inputs!$B$4&lt;&gt;"Chapter Hunt"),CHOOSE(ArtifactsInput!$N$35+1,15,18,21,24,27,30)*(1-EXP(-(0.2*B1154)*5)),0)+IF(AND(ArtifactsInput!$M$22,Inputs!$B$4&lt;&gt;"Chapter Hunt"),CHOOSE(ArtifactsInput!$N$22+1,10,12,14,16,18,20)*((0*(((0.15*B1154*5))^0/1)+1*(((0.15*B1154*5))^1/1)+2*(((0.15*B1154*5))^2/2)+3*(((0.15*B1154*5))^3/6)+4*(((0.15*B1154*5))^4/24)+5*(((0.15*B1154*5))^5/120))/((((0.15*B1154*5))^0/1)+(((0.15*B1154*5))^1/1)+(((0.15*B1154*5))^2/2)+(((0.15*B1154*5))^3/6)+(((0.15*B1154*5))^4/24)+(((0.15*B1154*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31">
      <c r="A1131">
        <f>Skills!A8</f>
        <v/>
      </c>
      <c r="B1131">
        <f>Skills!B8</f>
        <v/>
      </c>
      <c r="C1131">
        <f>Inputs!$B$3&gt;=75</f>
        <v/>
      </c>
      <c r="D1131">
        <f>IF(Skills!C8=1,60+Inputs!$B$26+Inputs!$B$30,IF(Skills!C8=2,90+Inputs!$B$27+Inputs!$B$30,IF(Skills!C8=3,120+Inputs!$B$28+Inputs!$B$30,MAX(0,(Inputs!$B$3-100)*3)+Inputs!$B$29+Inputs!$B$30)))</f>
        <v/>
      </c>
      <c r="E1131">
        <f>INDEX(FactorTable!$B$2:$Y$301, MATCH(ROUND(MIN(300,MAX(1,D1131)),0), FactorTable!$A$2:$A$301,0), Skills!M8+1)</f>
        <v/>
      </c>
      <c r="F1131">
        <f>IF(Skills!N8=TRUE,(Skills!L8/10)*(E1131/1000),Skills!L8/10)+Skills!O8</f>
        <v/>
      </c>
      <c r="G1131" t="inlineStr"/>
      <c r="H1131" t="inlineStr"/>
      <c r="I1131" t="inlineStr">
        <is>
          <t>1</t>
        </is>
      </c>
      <c r="J1131" t="inlineStr"/>
      <c r="K1131" t="inlineStr"/>
      <c r="L1131" t="inlineStr"/>
      <c r="M1131" t="inlineStr"/>
      <c r="N1131" t="inlineStr"/>
      <c r="O1131" t="inlineStr"/>
      <c r="P1131" t="inlineStr"/>
      <c r="Q1131" t="inlineStr"/>
      <c r="R1131" t="inlineStr"/>
      <c r="S1131" t="inlineStr"/>
    </row>
    <row r="1132">
      <c r="A1132">
        <f>Skills!A9</f>
        <v/>
      </c>
      <c r="B1132">
        <f>Skills!B9</f>
        <v/>
      </c>
      <c r="C1132">
        <f>Inputs!$B$3&gt;=60</f>
        <v/>
      </c>
      <c r="D1132">
        <f>IF(Skills!C9=1,60+Inputs!$B$26+Inputs!$B$30,IF(Skills!C9=2,90+Inputs!$B$27+Inputs!$B$30,IF(Skills!C9=3,120+Inputs!$B$28+Inputs!$B$30,MAX(0,(Inputs!$B$3-100)*3)+Inputs!$B$29+Inputs!$B$30)))</f>
        <v/>
      </c>
      <c r="E1132">
        <f>INDEX(FactorTable!$B$2:$Y$301, MATCH(ROUND(MIN(300,MAX(1,D1132)),0), FactorTable!$A$2:$A$301,0), Skills!M9+1)</f>
        <v/>
      </c>
      <c r="F1132">
        <f>IF(Skills!N9=TRUE,(Skills!L9/10)*(E1132/1000),Skills!L9/10)+Skills!O9</f>
        <v/>
      </c>
      <c r="G1132">
        <f>Skills!G9*IF(Skills!H9&gt;0,INT(IF(Inputs!$B$39="pvp",MIN(Skills!I9,15),Skills!I9)/Skills!H9+0.000000001),1)</f>
        <v/>
      </c>
      <c r="H1132">
        <f>1-(1-Skills!J9/100)^Skills!K9</f>
        <v/>
      </c>
      <c r="I1132" t="inlineStr">
        <is>
          <t>1</t>
        </is>
      </c>
      <c r="J1132">
        <f>((Inputs!$B$6*(1+Inputs!$B$7/100))+(((Inputs!$B$13*(1+Inputs!$B$14/100))-(Inputs!$B$13*(1+Inputs!$B$14/100)))+0.25*(Inputs!$B$15-Inputs!$B$15))*(1+Inputs!$B$7/100))*(F1132/100)</f>
        <v/>
      </c>
      <c r="K1132">
        <f>J1132*(1+(((Inputs!$B$13+IF(Inputs!$B$3&gt;=38,(10*INDEX(FactorTable!$B$2:$Y$301, MATCH(ROUND(MIN(300,MAX(1,Inputs!$B$3)),0), FactorTable!$A$2:$A$301,0), 23)/1000)/100*(Inputs!$B$8*(1+Inputs!$B$9/100)),0))*(1+Inputs!$B$14/100))*0.01+Inputs!$B$15*0.0025)/100)*(1+Inputs!$B$16/100)*(1+Inputs!$B$17/100)*(5000/(6000+Inputs!$B$43*(1-(Inputs!$B$20+0)/100)))*(1+(Inputs!$B$25+((C1148=TRUE)*(F1148-Calc!F25))+((C1149=TRUE)*(F1149-Calc!F26))+B1158)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1134=TRUE,F1134,0)/100)*(1+(IF(Skills!A9="DARK_IMPALE",Inputs!$B$18+0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gt;=100),MIN(100,((Inputs!$B$10+0+B1152+(ArtifactsInput!$M$24-ArtifactsInput!$M$24)*CHOOSE(ArtifactsInput!$N$24+1,10,12,14,16,18,20)+IF(ArtifactsInput!$M$10,CHOOSE(ArtifactsInput!$N$10+1,15,18,21,24,27,30)*(IF(Inputs!$B$39="pvp",MIN(15,15)/15,IF(AND(Inputs!$B$39&lt;&gt;"pvp",Inputs!$B$44&gt;0),MIN(15,Inputs!$B$44)/(Inputs!$B$44),0))),0)))-100),0))*CHOOSE(ArtifactsInput!$N$42+1,0.6,0.72,0.84,0.96,1.08,1.2))),Inputs!$B$19+((C1146=TRUE)*(F1146-Calc!F23))+(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gt;=100),CHOOSE(ArtifactsInput!$N$42+1,40,48,56,64,72,80),0))))/100)*((1+(((C1136=TRUE)*F1136*IF(AND(Inputs!$B$39&lt;&gt;"pvp",Inputs!$B$44&gt;0),(((R1136-1)*MIN((Skills!T13*(1+Inputs!$B$35/100)),(1/Q1136))+MIN((Skills!T13*(1+Inputs!$B$35/100)),MAX(0,Inputs!$B$44-((R1136-1)*(1/Q1136)))))/Inputs!$B$44),IF(Inputs!$B$39="pvp",MIN((Skills!T13*(1+Inputs!$B$35/100)),15)/15,MIN(1,(Skills!T13*(1+Inputs!$B$35/100))/(1/Q1136)))))+((C1137=TRUE)*F1137*IF(AND(Inputs!$B$39&lt;&gt;"pvp",Inputs!$B$44&gt;0),(((R1137-1)*MIN((Skills!T14*(1+Inputs!$B$35/100)),(1/Q1137))+MIN((Skills!T14*(1+Inputs!$B$35/100)),MAX(0,Inputs!$B$44-((R1137-1)*(1/Q1137)))))/Inputs!$B$44),IF(Inputs!$B$39="pvp",MIN((Skills!T14*(1+Inputs!$B$35/100)),15)/15,MIN(1,(Skills!T14*(1+Inputs!$B$35/100))/(1/Q1137)))))+((C1138=TRUE)*F1138*IF(AND(Inputs!$B$39&lt;&gt;"pvp",Inputs!$B$44&gt;0),(((R1138-1)*MIN((Skills!T15*(1+Inputs!$B$35/100)),(1/Q1138))+MIN((Skills!T15*(1+Inputs!$B$35/100)),MAX(0,Inputs!$B$44-((R1138-1)*(1/Q1138)))))/Inputs!$B$44),IF(Inputs!$B$39="pvp",MIN((Skills!T15*(1+Inputs!$B$35/100)),15)/15,MIN(1,(Skills!T15*(1+Inputs!$B$35/100))/(1/Q1138)))))+((C1139=TRUE)*F1139*IF(AND(Inputs!$B$39&lt;&gt;"pvp",Inputs!$B$44&gt;0),(((R1139-1)*MIN((Skills!T16*(1+Inputs!$B$35/100)),(1/Q1139))+MIN((Skills!T16*(1+Inputs!$B$35/100)),MAX(0,Inputs!$B$44-((R1139-1)*(1/Q1139)))))/Inputs!$B$44),IF(Inputs!$B$39="pvp",MIN((Skills!T16*(1+Inputs!$B$35/100)),15)/15,MIN(1,(Skills!T16*(1+Inputs!$B$35/100))/(1/Q1139)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1132)</f>
        <v/>
      </c>
      <c r="L1132">
        <f>K1132*(MIN(Inputs!$B$23+((C1145=TRUE)*(F1145-Calc!F22)),(Inputs!$B$24+((C1147=TRUE)*(F1147-Calc!F24))+(IF(ArtifactsInput!$M$15,CHOOSE(ArtifactsInput!$N$15+1,25,30,35,40,45,50)/100*(Inputs!$B$12-Inputs!$B$12),0))))/100+(Inputs!$B$24+((C1147=TRUE)*(F1147-Calc!F24))+(IF(ArtifactsInput!$M$15,CHOOSE(ArtifactsInput!$N$15+1,25,30,35,40,45,50)/100*(Inputs!$B$12-Inputs!$B$12),0)))/100)/2</f>
        <v/>
      </c>
      <c r="M1132">
        <f>L1132*(1+(Inputs!$B$11+0+B1157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132">
        <f>L1132*(1-MIN((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1132*(MIN((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32">
        <f>(1-Summary!$B$11)*T1132+Summary!$B$11*V1132</f>
        <v/>
      </c>
      <c r="P1132">
        <f>IF(B1162=0,0,O1132/B1162)</f>
        <v/>
      </c>
      <c r="Q1132">
        <f>IFERROR(1/IF(Inputs!$B$39="pvp",15,MAX(0.1,Skills!D9-IF(TRUE=TRUE,(Inputs!$B$33+1),0))),0)</f>
        <v/>
      </c>
      <c r="R1132">
        <f>IF(AND(Inputs!$B$39&lt;&gt;"pvp",Inputs!$B$44&gt;0),IF(MAX(0,Inputs!$B$44-B1159)&lt;=0,0,(INT(MAX(0,Inputs!$B$44-B1159)/IF(Inputs!$B$39="pvp",15,MAX(0.1,Skills!D9-IF(TRUE=TRUE,(Inputs!$B$33+1),0))))+1)),0)</f>
        <v/>
      </c>
      <c r="S1132">
        <f>IFERROR(O1132/N1132,0)</f>
        <v/>
      </c>
      <c r="T1132">
        <f>IF(C1132,(H1132*N1132*IF(AND(Inputs!$B$39&lt;&gt;"pvp",Inputs!$B$44&gt;0),((Skills!G9*((R1132-1)*IF(Skills!H9&gt;0,INT(Skills!I9/Skills!H9+0.000000001),1)+IF(Skills!H9&gt;0,INT(MIN(Skills!I9,MAX(0,MAX(0,Inputs!$B$44-B1159)-((R1132-1)*IF(Inputs!$B$39="pvp",15,MAX(0.1,Skills!D9-IF(TRUE=TRUE,(Inputs!$B$33+1),0))))))/Skills!H9+0.000000001),1)))/Inputs!$B$44),G1132*Q1132))*IF(Inputs!$B$39="pvp",1,1+(Inputs!$B$21+0+Skills!P9+((C1140=TRUE)*F1140*IF(AND(Inputs!$B$39&lt;&gt;"pvp",Inputs!$B$44&gt;0),(((R1140-1)*MIN((Skills!T17*(1+Inputs!$B$35/100)),(1/Q1140))+MIN((Skills!T17*(1+Inputs!$B$35/100)),MAX(0,Inputs!$B$44-((R1140-1)*(1/Q1140)))))/Inputs!$B$44),IF(Inputs!$B$39="pvp",MIN((Skills!T17*(1+Inputs!$B$35/100)),15)/15,MIN(1,(Skills!T17*(1+Inputs!$B$35/100))/(1/Q1140)))))+((C1128=TRUE)*IF(Inputs!$B$3&gt;=126,10*MIN(1,15*Q1128),0))+((C1137=TRUE)*IF(Inputs!$B$39="pvp",20,(1-Summary!$B$11)*(20)+Summary!$B$11*(0))*IF(AND(Inputs!$B$39&lt;&gt;"pvp",Inputs!$B$44&gt;0),(((R1137-1)*MIN((Skills!T14*(1+Inputs!$B$35/100)),(1/Q1137))+MIN((Skills!T14*(1+Inputs!$B$35/100)),MAX(0,Inputs!$B$44-((R1137-1)*(1/Q1137)))))/Inputs!$B$44),IF(Inputs!$B$39="pvp",MIN((Skills!T14*(1+Inputs!$B$35/100)),15)/15,MIN(1,(Skills!T14*(1+Inputs!$B$35/100))/(1/Q1137)))))+((C1136=TRUE)*IF(Inputs!$B$3&gt;=82,IF(Inputs!$B$39="pvp",20,(1-Summary!$B$11)*(20)+Summary!$B$11*(0)),0)*IF(AND(Inputs!$B$39&lt;&gt;"pvp",Inputs!$B$44&gt;0),(((R1136-1)*MIN((Skills!T13*(1+Inputs!$B$35/100)),(1/Q1136))+MIN((Skills!T13*(1+Inputs!$B$35/100)),MAX(0,Inputs!$B$44-((R1136-1)*(1/Q1136)))))/Inputs!$B$44),IF(Inputs!$B$39="pvp",MIN((Skills!T13*(1+Inputs!$B$35/100)),15)/15,MIN(1,(Skills!T13*(1+Inputs!$B$35/100))/(1/Q1136)))))+(IF(AND(ArtifactsInput!$M$35,Inputs!$B$4&lt;&gt;"Chapter Hunt"),CHOOSE(ArtifactsInput!$N$35+1,15,18,21,24,27,30)*(1-EXP(-(0.2*B1154)*5)),0)+IF(AND(ArtifactsInput!$M$22,Inputs!$B$4&lt;&gt;"Chapter Hunt"),CHOOSE(ArtifactsInput!$N$22+1,10,12,14,16,18,20)*((0*(((0.15*B1154*5))^0/1)+1*(((0.15*B1154*5))^1/1)+2*(((0.15*B1154*5))^2/2)+3*(((0.15*B1154*5))^3/6)+4*(((0.15*B1154*5))^4/24)+5*(((0.15*B1154*5))^5/120))/((((0.15*B1154*5))^0/1)+(((0.15*B1154*5))^1/1)+(((0.15*B1154*5))^2/2)+(((0.15*B1154*5))^3/6)+(((0.15*B1154*5))^4/24)+(((0.15*B1154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1132*(1-MIN(100,(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1132*(MIN(100,(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1132*(1-MIN(100,(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1132*(MIN(100,(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32">
        <f>IF(C1132,(H1132*N1132*IF(AND(Inputs!$B$39&lt;&gt;"pvp",Inputs!$B$44&gt;0),((Skills!G9*((R1132-1)*IF(Skills!H9&gt;0,INT(Skills!I9/Skills!H9+0.000000001),1)+IF(Skills!H9&gt;0,INT(MIN(Skills!I9,MAX(0,MAX(0,Inputs!$B$44-B1159)-((R1132-1)*IF(Inputs!$B$39="pvp",15,MAX(0.1,Skills!D9-IF(TRUE=TRUE,(Inputs!$B$33+1),0))))))/Skills!H9+0.000000001),1)))/Inputs!$B$44),G1132*Q1132))*IF(Inputs!$B$39="pvp",1,(1+(Inputs!$B$22+Skills!Q9+((C1140=TRUE)*F1140*IF(AND(Inputs!$B$39&lt;&gt;"pvp",Inputs!$B$44&gt;0),(((R1140-1)*MIN((Skills!T17*(1+Inputs!$B$35/100)),(1/Q1140))+MIN((Skills!T17*(1+Inputs!$B$35/100)),MAX(0,Inputs!$B$44-((R1140-1)*(1/Q1140)))))/Inputs!$B$44),IF(Inputs!$B$39="pvp",MIN((Skills!T17*(1+Inputs!$B$35/100)),15)/15,MIN(1,(Skills!T17*(1+Inputs!$B$35/100))/(1/Q1140)))))+((C1128=TRUE)*IF(Inputs!$B$3&gt;=126,10*MIN(1,15*Q1128),0))+((C1137=TRUE)*IF(Inputs!$B$39="pvp",20,(1-Summary!$B$11)*(20)+Summary!$B$11*(0))*IF(AND(Inputs!$B$39&lt;&gt;"pvp",Inputs!$B$44&gt;0),(((R1137-1)*MIN((Skills!T14*(1+Inputs!$B$35/100)),(1/Q1137))+MIN((Skills!T14*(1+Inputs!$B$35/100)),MAX(0,Inputs!$B$44-((R1137-1)*(1/Q1137)))))/Inputs!$B$44),IF(Inputs!$B$39="pvp",MIN((Skills!T14*(1+Inputs!$B$35/100)),15)/15,MIN(1,(Skills!T14*(1+Inputs!$B$35/100))/(1/Q1137)))))+((C1136=TRUE)*IF(Inputs!$B$3&gt;=82,IF(Inputs!$B$39="pvp",20,(1-Summary!$B$11)*(20)+Summary!$B$11*(0)),0)*IF(AND(Inputs!$B$39&lt;&gt;"pvp",Inputs!$B$44&gt;0),(((R1136-1)*MIN((Skills!T13*(1+Inputs!$B$35/100)),(1/Q1136))+MIN((Skills!T13*(1+Inputs!$B$35/100)),MAX(0,Inputs!$B$44-((R1136-1)*(1/Q1136)))))/Inputs!$B$44),IF(Inputs!$B$39="pvp",MIN((Skills!T13*(1+Inputs!$B$35/100)),15)/15,MIN(1,(Skills!T13*(1+Inputs!$B$35/100))/(1/Q1136)))))+(IF(AND(ArtifactsInput!$M$35,Inputs!$B$4&lt;&gt;"Chapter Hunt"),CHOOSE(ArtifactsInput!$N$35+1,15,18,21,24,27,30)*(1-EXP(-(0.2*B1154)*5)),0)+IF(AND(ArtifactsInput!$M$22,Inputs!$B$4&lt;&gt;"Chapter Hunt"),CHOOSE(ArtifactsInput!$N$22+1,10,12,14,16,18,20)*((0*(((0.15*B1154*5))^0/1)+1*(((0.15*B1154*5))^1/1)+2*(((0.15*B1154*5))^2/2)+3*(((0.15*B1154*5))^3/6)+4*(((0.15*B1154*5))^4/24)+5*(((0.15*B1154*5))^5/120))/((((0.15*B1154*5))^0/1)+(((0.15*B1154*5))^1/1)+(((0.15*B1154*5))^2/2)+(((0.15*B1154*5))^3/6)+(((0.15*B1154*5))^4/24)+(((0.15*B1154*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33">
      <c r="A1133">
        <f>Skills!A10</f>
        <v/>
      </c>
      <c r="B1133">
        <f>Skills!B10</f>
        <v/>
      </c>
      <c r="C1133">
        <f>Inputs!$B$3&gt;=110</f>
        <v/>
      </c>
      <c r="D1133">
        <f>IF(Skills!C10=1,60+Inputs!$B$26+Inputs!$B$30,IF(Skills!C10=2,90+Inputs!$B$27+Inputs!$B$30,IF(Skills!C10=3,120+Inputs!$B$28+Inputs!$B$30,MAX(0,(Inputs!$B$3-100)*3)+Inputs!$B$29+Inputs!$B$30)))</f>
        <v/>
      </c>
      <c r="E1133">
        <f>INDEX(FactorTable!$B$2:$Y$301, MATCH(ROUND(MIN(300,MAX(1,D1133)),0), FactorTable!$A$2:$A$301,0), Skills!M10+1)</f>
        <v/>
      </c>
      <c r="F1133">
        <f>IF(Skills!N10=TRUE,(Skills!L10/10)*(E1133/1000),Skills!L10/10)+Skills!O10</f>
        <v/>
      </c>
      <c r="G1133">
        <f>Skills!G10*IF(Skills!H10&gt;0,INT(IF(Inputs!$B$39="pvp",MIN(Skills!I10,15),Skills!I10)/Skills!H10+0.000000001),1)</f>
        <v/>
      </c>
      <c r="H1133">
        <f>1-(1-Skills!J10/100)^Skills!K10</f>
        <v/>
      </c>
      <c r="I1133" t="inlineStr">
        <is>
          <t>1</t>
        </is>
      </c>
      <c r="J1133">
        <f>((Inputs!$B$6*(1+Inputs!$B$7/100))+(((Inputs!$B$13*(1+Inputs!$B$14/100))-(Inputs!$B$13*(1+Inputs!$B$14/100)))+0.25*(Inputs!$B$15-Inputs!$B$15))*(1+Inputs!$B$7/100))*(F1133/100)</f>
        <v/>
      </c>
      <c r="K1133">
        <f>J1133*(1+(((Inputs!$B$13+IF(Inputs!$B$3&gt;=38,(10*INDEX(FactorTable!$B$2:$Y$301, MATCH(ROUND(MIN(300,MAX(1,Inputs!$B$3)),0), FactorTable!$A$2:$A$301,0), 23)/1000)/100*(Inputs!$B$8*(1+Inputs!$B$9/100)),0))*(1+Inputs!$B$14/100))*0.01+Inputs!$B$15*0.0025)/100)*(1+Inputs!$B$16/100)*(1+Inputs!$B$17/100)*(5000/(6000+Inputs!$B$43*(1-(Inputs!$B$20+0)/100)))*(1+(Inputs!$B$25+((C1148=TRUE)*(F1148-Calc!F25))+((C1149=TRUE)*(F1149-Calc!F26))+B1158)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gt;=100),MIN(100,((Inputs!$B$10+0+B1152+(ArtifactsInput!$M$24-ArtifactsInput!$M$24)*CHOOSE(ArtifactsInput!$N$24+1,10,12,14,16,18,20)+IF(ArtifactsInput!$M$10,CHOOSE(ArtifactsInput!$N$10+1,15,18,21,24,27,30)*(IF(Inputs!$B$39="pvp",MIN(15,15)/15,IF(AND(Inputs!$B$39&lt;&gt;"pvp",Inputs!$B$44&gt;0),MIN(15,Inputs!$B$44)/(Inputs!$B$44),0))),0)))-100),0))*CHOOSE(ArtifactsInput!$N$42+1,0.6,0.72,0.84,0.96,1.08,1.2))),Inputs!$B$19+((C1146=TRUE)*(F1146-Calc!F23))+(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gt;=100),CHOOSE(ArtifactsInput!$N$42+1,40,48,56,64,72,80),0))))/100)*((1+(((C1136=TRUE)*F1136*IF(AND(Inputs!$B$39&lt;&gt;"pvp",Inputs!$B$44&gt;0),(((R1136-1)*MIN((Skills!T13*(1+Inputs!$B$35/100)),(1/Q1136))+MIN((Skills!T13*(1+Inputs!$B$35/100)),MAX(0,Inputs!$B$44-((R1136-1)*(1/Q1136)))))/Inputs!$B$44),IF(Inputs!$B$39="pvp",MIN((Skills!T13*(1+Inputs!$B$35/100)),15)/15,MIN(1,(Skills!T13*(1+Inputs!$B$35/100))/(1/Q1136)))))+((C1137=TRUE)*F1137*IF(AND(Inputs!$B$39&lt;&gt;"pvp",Inputs!$B$44&gt;0),(((R1137-1)*MIN((Skills!T14*(1+Inputs!$B$35/100)),(1/Q1137))+MIN((Skills!T14*(1+Inputs!$B$35/100)),MAX(0,Inputs!$B$44-((R1137-1)*(1/Q1137)))))/Inputs!$B$44),IF(Inputs!$B$39="pvp",MIN((Skills!T14*(1+Inputs!$B$35/100)),15)/15,MIN(1,(Skills!T14*(1+Inputs!$B$35/100))/(1/Q1137)))))+((C1138=TRUE)*F1138*IF(AND(Inputs!$B$39&lt;&gt;"pvp",Inputs!$B$44&gt;0),(((R1138-1)*MIN((Skills!T15*(1+Inputs!$B$35/100)),(1/Q1138))+MIN((Skills!T15*(1+Inputs!$B$35/100)),MAX(0,Inputs!$B$44-((R1138-1)*(1/Q1138)))))/Inputs!$B$44),IF(Inputs!$B$39="pvp",MIN((Skills!T15*(1+Inputs!$B$35/100)),15)/15,MIN(1,(Skills!T15*(1+Inputs!$B$35/100))/(1/Q1138)))))+((C1139=TRUE)*F1139*IF(AND(Inputs!$B$39&lt;&gt;"pvp",Inputs!$B$44&gt;0),(((R1139-1)*MIN((Skills!T16*(1+Inputs!$B$35/100)),(1/Q1139))+MIN((Skills!T16*(1+Inputs!$B$35/100)),MAX(0,Inputs!$B$44-((R1139-1)*(1/Q1139)))))/Inputs!$B$44),IF(Inputs!$B$39="pvp",MIN((Skills!T16*(1+Inputs!$B$35/100)),15)/15,MIN(1,(Skills!T16*(1+Inputs!$B$35/100))/(1/Q1139)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1133)</f>
        <v/>
      </c>
      <c r="L1133">
        <f>K1133*(MIN(Inputs!$B$23+((C1145=TRUE)*(F1145-Calc!F22)),(Inputs!$B$24+((C1147=TRUE)*(F1147-Calc!F24))+(IF(ArtifactsInput!$M$15,CHOOSE(ArtifactsInput!$N$15+1,25,30,35,40,45,50)/100*(Inputs!$B$12-Inputs!$B$12),0))))/100+(Inputs!$B$24+((C1147=TRUE)*(F1147-Calc!F24))+(IF(ArtifactsInput!$M$15,CHOOSE(ArtifactsInput!$N$15+1,25,30,35,40,45,50)/100*(Inputs!$B$12-Inputs!$B$12),0)))/100)/2</f>
        <v/>
      </c>
      <c r="M1133">
        <f>L1133*(1+(Inputs!$B$11+0+B1157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133">
        <f>L1133*(1-MIN((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1133*(MIN((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33">
        <f>(1-Summary!$B$11)*T1133+Summary!$B$11*V1133</f>
        <v/>
      </c>
      <c r="P1133">
        <f>IF(B1162=0,0,O1133/B1162)</f>
        <v/>
      </c>
      <c r="Q1133">
        <f>IFERROR(1/IF(Inputs!$B$39="pvp",15,MAX(0.1,Skills!D10-IF(TRUE=TRUE,(Inputs!$B$33+1),0))),0)</f>
        <v/>
      </c>
      <c r="R1133">
        <f>IF(AND(Inputs!$B$39&lt;&gt;"pvp",Inputs!$B$44&gt;0),IF(MAX(0,Inputs!$B$44-B1159)&lt;=0,0,(INT(MAX(0,Inputs!$B$44-B1159)/IF(Inputs!$B$39="pvp",15,MAX(0.1,Skills!D10-IF(TRUE=TRUE,(Inputs!$B$33+1),0))))+1)),0)</f>
        <v/>
      </c>
      <c r="S1133">
        <f>IFERROR(O1133/N1133,0)</f>
        <v/>
      </c>
      <c r="T1133">
        <f>IF(C1133,(H1133*N1133*IF(AND(Inputs!$B$39&lt;&gt;"pvp",Inputs!$B$44&gt;0),((Skills!G10*((R1133-1)*IF(Skills!H10&gt;0,INT(Skills!I10/Skills!H10+0.000000001),1)+IF(Skills!H10&gt;0,INT(MIN(Skills!I10,MAX(0,MAX(0,Inputs!$B$44-B1159)-((R1133-1)*IF(Inputs!$B$39="pvp",15,MAX(0.1,Skills!D10-IF(TRUE=TRUE,(Inputs!$B$33+1),0))))))/Skills!H10+0.000000001),1)))/Inputs!$B$44),G1133*Q1133))*IF(Inputs!$B$39="pvp",1,1+(Inputs!$B$21+0+Skills!P10+((C1140=TRUE)*F1140*IF(AND(Inputs!$B$39&lt;&gt;"pvp",Inputs!$B$44&gt;0),(((R1140-1)*MIN((Skills!T17*(1+Inputs!$B$35/100)),(1/Q1140))+MIN((Skills!T17*(1+Inputs!$B$35/100)),MAX(0,Inputs!$B$44-((R1140-1)*(1/Q1140)))))/Inputs!$B$44),IF(Inputs!$B$39="pvp",MIN((Skills!T17*(1+Inputs!$B$35/100)),15)/15,MIN(1,(Skills!T17*(1+Inputs!$B$35/100))/(1/Q1140)))))+((C1128=TRUE)*IF(Inputs!$B$3&gt;=126,10*MIN(1,15*Q1128),0))+((C1137=TRUE)*IF(Inputs!$B$39="pvp",20,(1-Summary!$B$11)*(20)+Summary!$B$11*(0))*IF(AND(Inputs!$B$39&lt;&gt;"pvp",Inputs!$B$44&gt;0),(((R1137-1)*MIN((Skills!T14*(1+Inputs!$B$35/100)),(1/Q1137))+MIN((Skills!T14*(1+Inputs!$B$35/100)),MAX(0,Inputs!$B$44-((R1137-1)*(1/Q1137)))))/Inputs!$B$44),IF(Inputs!$B$39="pvp",MIN((Skills!T14*(1+Inputs!$B$35/100)),15)/15,MIN(1,(Skills!T14*(1+Inputs!$B$35/100))/(1/Q1137)))))+((C1136=TRUE)*IF(Inputs!$B$3&gt;=82,IF(Inputs!$B$39="pvp",20,(1-Summary!$B$11)*(20)+Summary!$B$11*(0)),0)*IF(AND(Inputs!$B$39&lt;&gt;"pvp",Inputs!$B$44&gt;0),(((R1136-1)*MIN((Skills!T13*(1+Inputs!$B$35/100)),(1/Q1136))+MIN((Skills!T13*(1+Inputs!$B$35/100)),MAX(0,Inputs!$B$44-((R1136-1)*(1/Q1136)))))/Inputs!$B$44),IF(Inputs!$B$39="pvp",MIN((Skills!T13*(1+Inputs!$B$35/100)),15)/15,MIN(1,(Skills!T13*(1+Inputs!$B$35/100))/(1/Q1136)))))+(IF(AND(ArtifactsInput!$M$35,Inputs!$B$4&lt;&gt;"Chapter Hunt"),CHOOSE(ArtifactsInput!$N$35+1,15,18,21,24,27,30)*(1-EXP(-(0.2*B1154)*5)),0)+IF(AND(ArtifactsInput!$M$22,Inputs!$B$4&lt;&gt;"Chapter Hunt"),CHOOSE(ArtifactsInput!$N$22+1,10,12,14,16,18,20)*((0*(((0.15*B1154*5))^0/1)+1*(((0.15*B1154*5))^1/1)+2*(((0.15*B1154*5))^2/2)+3*(((0.15*B1154*5))^3/6)+4*(((0.15*B1154*5))^4/24)+5*(((0.15*B1154*5))^5/120))/((((0.15*B1154*5))^0/1)+(((0.15*B1154*5))^1/1)+(((0.15*B1154*5))^2/2)+(((0.15*B1154*5))^3/6)+(((0.15*B1154*5))^4/24)+(((0.15*B1154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1133*(1-MIN(100,(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1133*(MIN(100,(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1133*(1-MIN(100,(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1133*(MIN(100,(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33">
        <f>IF(C1133,(H1133*N1133*IF(AND(Inputs!$B$39&lt;&gt;"pvp",Inputs!$B$44&gt;0),((Skills!G10*((R1133-1)*IF(Skills!H10&gt;0,INT(Skills!I10/Skills!H10+0.000000001),1)+IF(Skills!H10&gt;0,INT(MIN(Skills!I10,MAX(0,MAX(0,Inputs!$B$44-B1159)-((R1133-1)*IF(Inputs!$B$39="pvp",15,MAX(0.1,Skills!D10-IF(TRUE=TRUE,(Inputs!$B$33+1),0))))))/Skills!H10+0.000000001),1)))/Inputs!$B$44),G1133*Q1133))*IF(Inputs!$B$39="pvp",1,(1+(Inputs!$B$22+Skills!Q10+((C1140=TRUE)*F1140*IF(AND(Inputs!$B$39&lt;&gt;"pvp",Inputs!$B$44&gt;0),(((R1140-1)*MIN((Skills!T17*(1+Inputs!$B$35/100)),(1/Q1140))+MIN((Skills!T17*(1+Inputs!$B$35/100)),MAX(0,Inputs!$B$44-((R1140-1)*(1/Q1140)))))/Inputs!$B$44),IF(Inputs!$B$39="pvp",MIN((Skills!T17*(1+Inputs!$B$35/100)),15)/15,MIN(1,(Skills!T17*(1+Inputs!$B$35/100))/(1/Q1140)))))+((C1128=TRUE)*IF(Inputs!$B$3&gt;=126,10*MIN(1,15*Q1128),0))+((C1137=TRUE)*IF(Inputs!$B$39="pvp",20,(1-Summary!$B$11)*(20)+Summary!$B$11*(0))*IF(AND(Inputs!$B$39&lt;&gt;"pvp",Inputs!$B$44&gt;0),(((R1137-1)*MIN((Skills!T14*(1+Inputs!$B$35/100)),(1/Q1137))+MIN((Skills!T14*(1+Inputs!$B$35/100)),MAX(0,Inputs!$B$44-((R1137-1)*(1/Q1137)))))/Inputs!$B$44),IF(Inputs!$B$39="pvp",MIN((Skills!T14*(1+Inputs!$B$35/100)),15)/15,MIN(1,(Skills!T14*(1+Inputs!$B$35/100))/(1/Q1137)))))+((C1136=TRUE)*IF(Inputs!$B$3&gt;=82,IF(Inputs!$B$39="pvp",20,(1-Summary!$B$11)*(20)+Summary!$B$11*(0)),0)*IF(AND(Inputs!$B$39&lt;&gt;"pvp",Inputs!$B$44&gt;0),(((R1136-1)*MIN((Skills!T13*(1+Inputs!$B$35/100)),(1/Q1136))+MIN((Skills!T13*(1+Inputs!$B$35/100)),MAX(0,Inputs!$B$44-((R1136-1)*(1/Q1136)))))/Inputs!$B$44),IF(Inputs!$B$39="pvp",MIN((Skills!T13*(1+Inputs!$B$35/100)),15)/15,MIN(1,(Skills!T13*(1+Inputs!$B$35/100))/(1/Q1136)))))+(IF(AND(ArtifactsInput!$M$35,Inputs!$B$4&lt;&gt;"Chapter Hunt"),CHOOSE(ArtifactsInput!$N$35+1,15,18,21,24,27,30)*(1-EXP(-(0.2*B1154)*5)),0)+IF(AND(ArtifactsInput!$M$22,Inputs!$B$4&lt;&gt;"Chapter Hunt"),CHOOSE(ArtifactsInput!$N$22+1,10,12,14,16,18,20)*((0*(((0.15*B1154*5))^0/1)+1*(((0.15*B1154*5))^1/1)+2*(((0.15*B1154*5))^2/2)+3*(((0.15*B1154*5))^3/6)+4*(((0.15*B1154*5))^4/24)+5*(((0.15*B1154*5))^5/120))/((((0.15*B1154*5))^0/1)+(((0.15*B1154*5))^1/1)+(((0.15*B1154*5))^2/2)+(((0.15*B1154*5))^3/6)+(((0.15*B1154*5))^4/24)+(((0.15*B1154*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34">
      <c r="A1134">
        <f>Skills!A11</f>
        <v/>
      </c>
      <c r="B1134">
        <f>Skills!B11</f>
        <v/>
      </c>
      <c r="C1134">
        <f>Inputs!$B$3&gt;=100</f>
        <v/>
      </c>
      <c r="D1134">
        <f>IF(Skills!C11=1,60+Inputs!$B$26+Inputs!$B$30,IF(Skills!C11=2,90+Inputs!$B$27+Inputs!$B$30,IF(Skills!C11=3,120+Inputs!$B$28+Inputs!$B$30,MAX(0,(Inputs!$B$3-100)*3)+Inputs!$B$29+Inputs!$B$30)))</f>
        <v/>
      </c>
      <c r="E1134">
        <f>INDEX(FactorTable!$B$2:$Y$301, MATCH(ROUND(MIN(300,MAX(1,D1134)),0), FactorTable!$A$2:$A$301,0), Skills!M11+1)</f>
        <v/>
      </c>
      <c r="F1134">
        <f>IF(Skills!N11=TRUE,(Skills!L11/10)*(E1134/1000),Skills!L11/10)+Skills!O11</f>
        <v/>
      </c>
      <c r="G1134" t="inlineStr"/>
      <c r="H1134" t="inlineStr"/>
      <c r="I1134" t="inlineStr">
        <is>
          <t>1</t>
        </is>
      </c>
      <c r="J1134" t="inlineStr"/>
      <c r="K1134" t="inlineStr"/>
      <c r="L1134" t="inlineStr"/>
      <c r="M1134" t="inlineStr"/>
      <c r="N1134" t="inlineStr"/>
      <c r="O1134" t="inlineStr"/>
      <c r="P1134" t="inlineStr"/>
      <c r="Q1134" t="inlineStr"/>
      <c r="R1134" t="inlineStr"/>
      <c r="S1134" t="inlineStr"/>
    </row>
    <row r="1135">
      <c r="A1135">
        <f>Skills!A12</f>
        <v/>
      </c>
      <c r="B1135">
        <f>Skills!B12</f>
        <v/>
      </c>
      <c r="C1135">
        <f>Inputs!$B$3&gt;=63</f>
        <v/>
      </c>
      <c r="D1135">
        <f>IF(Skills!C12=1,60+Inputs!$B$26+Inputs!$B$30,IF(Skills!C12=2,90+Inputs!$B$27+Inputs!$B$30,IF(Skills!C12=3,120+Inputs!$B$28+Inputs!$B$30,MAX(0,(Inputs!$B$3-100)*3)+Inputs!$B$29+Inputs!$B$30)))</f>
        <v/>
      </c>
      <c r="E1135">
        <f>INDEX(FactorTable!$B$2:$Y$301, MATCH(ROUND(MIN(300,MAX(1,D1135)),0), FactorTable!$A$2:$A$301,0), Skills!M12+1)</f>
        <v/>
      </c>
      <c r="F1135">
        <f>IF(Skills!N12=TRUE,(Skills!L12/10)*(E1135/1000),Skills!L12/10)+Skills!O12</f>
        <v/>
      </c>
      <c r="G1135">
        <f>Skills!G12*IF(Skills!H12&gt;0,INT(IF(Inputs!$B$39="pvp",MIN(Skills!I12,15),Skills!I12)/Skills!H12+0.000000001),1)</f>
        <v/>
      </c>
      <c r="H1135">
        <f>1-(1-Skills!J12/100)^Skills!K12</f>
        <v/>
      </c>
      <c r="I1135" t="inlineStr">
        <is>
          <t>1</t>
        </is>
      </c>
      <c r="J1135">
        <f>((Inputs!$B$6*(1+Inputs!$B$7/100))+(((Inputs!$B$13*(1+Inputs!$B$14/100))-(Inputs!$B$13*(1+Inputs!$B$14/100)))+0.25*(Inputs!$B$15-Inputs!$B$15))*(1+Inputs!$B$7/100))*(F1135/100)</f>
        <v/>
      </c>
      <c r="K1135">
        <f>J1135*(1+(((Inputs!$B$13+IF(Inputs!$B$3&gt;=38,(10*INDEX(FactorTable!$B$2:$Y$301, MATCH(ROUND(MIN(300,MAX(1,Inputs!$B$3)),0), FactorTable!$A$2:$A$301,0), 23)/1000)/100*(Inputs!$B$8*(1+Inputs!$B$9/100)),0))*(1+Inputs!$B$14/100))*0.01+Inputs!$B$15*0.0025)/100)*(1+Inputs!$B$16/100)*(1+Inputs!$B$17/100)*(5000/(6000+Inputs!$B$43*(1-(Inputs!$B$20+0)/100)))*(1+(Inputs!$B$25+((C1148=TRUE)*(F1148-Calc!F25))+((C1149=TRUE)*(F1149-Calc!F26))+B1158)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1134=TRUE,F1134,0)/100)*(1+(IF(Skills!A12="DARK_IMPALE",Inputs!$B$18+0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gt;=100),MIN(100,((Inputs!$B$10+0+B1152+(ArtifactsInput!$M$24-ArtifactsInput!$M$24)*CHOOSE(ArtifactsInput!$N$24+1,10,12,14,16,18,20)+IF(ArtifactsInput!$M$10,CHOOSE(ArtifactsInput!$N$10+1,15,18,21,24,27,30)*(IF(Inputs!$B$39="pvp",MIN(15,15)/15,IF(AND(Inputs!$B$39&lt;&gt;"pvp",Inputs!$B$44&gt;0),MIN(15,Inputs!$B$44)/(Inputs!$B$44),0))),0)))-100),0))*CHOOSE(ArtifactsInput!$N$42+1,0.6,0.72,0.84,0.96,1.08,1.2))),Inputs!$B$19+((C1146=TRUE)*(F1146-Calc!F23))+(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gt;=100),CHOOSE(ArtifactsInput!$N$42+1,40,48,56,64,72,80),0))))/100)*((1+(((C1136=TRUE)*F1136*IF(AND(Inputs!$B$39&lt;&gt;"pvp",Inputs!$B$44&gt;0),(((R1136-1)*MIN((Skills!T13*(1+Inputs!$B$35/100)),(1/Q1136))+MIN((Skills!T13*(1+Inputs!$B$35/100)),MAX(0,Inputs!$B$44-((R1136-1)*(1/Q1136)))))/Inputs!$B$44),IF(Inputs!$B$39="pvp",MIN((Skills!T13*(1+Inputs!$B$35/100)),15)/15,MIN(1,(Skills!T13*(1+Inputs!$B$35/100))/(1/Q1136)))))+((C1137=TRUE)*F1137*IF(AND(Inputs!$B$39&lt;&gt;"pvp",Inputs!$B$44&gt;0),(((R1137-1)*MIN((Skills!T14*(1+Inputs!$B$35/100)),(1/Q1137))+MIN((Skills!T14*(1+Inputs!$B$35/100)),MAX(0,Inputs!$B$44-((R1137-1)*(1/Q1137)))))/Inputs!$B$44),IF(Inputs!$B$39="pvp",MIN((Skills!T14*(1+Inputs!$B$35/100)),15)/15,MIN(1,(Skills!T14*(1+Inputs!$B$35/100))/(1/Q1137)))))+((C1138=TRUE)*F1138*IF(AND(Inputs!$B$39&lt;&gt;"pvp",Inputs!$B$44&gt;0),(((R1138-1)*MIN((Skills!T15*(1+Inputs!$B$35/100)),(1/Q1138))+MIN((Skills!T15*(1+Inputs!$B$35/100)),MAX(0,Inputs!$B$44-((R1138-1)*(1/Q1138)))))/Inputs!$B$44),IF(Inputs!$B$39="pvp",MIN((Skills!T15*(1+Inputs!$B$35/100)),15)/15,MIN(1,(Skills!T15*(1+Inputs!$B$35/100))/(1/Q1138)))))+((C1139=TRUE)*F1139*IF(AND(Inputs!$B$39&lt;&gt;"pvp",Inputs!$B$44&gt;0),(((R1139-1)*MIN((Skills!T16*(1+Inputs!$B$35/100)),(1/Q1139))+MIN((Skills!T16*(1+Inputs!$B$35/100)),MAX(0,Inputs!$B$44-((R1139-1)*(1/Q1139)))))/Inputs!$B$44),IF(Inputs!$B$39="pvp",MIN((Skills!T16*(1+Inputs!$B$35/100)),15)/15,MIN(1,(Skills!T16*(1+Inputs!$B$35/100))/(1/Q1139)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1135)</f>
        <v/>
      </c>
      <c r="L1135">
        <f>K1135*(MIN(Inputs!$B$23+((C1145=TRUE)*(F1145-Calc!F22)),(Inputs!$B$24+((C1147=TRUE)*(F1147-Calc!F24))+(IF(ArtifactsInput!$M$15,CHOOSE(ArtifactsInput!$N$15+1,25,30,35,40,45,50)/100*(Inputs!$B$12-Inputs!$B$12),0))))/100+(Inputs!$B$24+((C1147=TRUE)*(F1147-Calc!F24))+(IF(ArtifactsInput!$M$15,CHOOSE(ArtifactsInput!$N$15+1,25,30,35,40,45,50)/100*(Inputs!$B$12-Inputs!$B$12),0)))/100)/2</f>
        <v/>
      </c>
      <c r="M1135">
        <f>L1135*(1+(Inputs!$B$11+0+B1157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135">
        <f>L1135*(1-MIN((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1135*(MIN((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35">
        <f>(1-Summary!$B$11)*T1135+Summary!$B$11*V1135</f>
        <v/>
      </c>
      <c r="P1135">
        <f>IF(B1162=0,0,O1135/B1162)</f>
        <v/>
      </c>
      <c r="Q1135">
        <f>IFERROR(1/IF(Inputs!$B$39="pvp",15,MAX(0.1,Skills!D12-IF(TRUE=TRUE,(Inputs!$B$33+1),0))),0)</f>
        <v/>
      </c>
      <c r="R1135">
        <f>IF(AND(Inputs!$B$39&lt;&gt;"pvp",Inputs!$B$44&gt;0),IF(MAX(0,Inputs!$B$44-B1159)&lt;=0,0,(INT(MAX(0,Inputs!$B$44-B1159)/IF(Inputs!$B$39="pvp",15,MAX(0.1,Skills!D12-IF(TRUE=TRUE,(Inputs!$B$33+1),0))))+1)),0)</f>
        <v/>
      </c>
      <c r="S1135">
        <f>IFERROR(O1135/N1135,0)</f>
        <v/>
      </c>
      <c r="T1135">
        <f>IF(C1135,(H1135*N1135*IF(AND(Inputs!$B$39&lt;&gt;"pvp",Inputs!$B$44&gt;0),((Skills!G12*((R1135-1)*IF(Skills!H12&gt;0,INT(Skills!I12/Skills!H12+0.000000001),1)+IF(Skills!H12&gt;0,INT(MIN(Skills!I12,MAX(0,MAX(0,Inputs!$B$44-B1159)-((R1135-1)*IF(Inputs!$B$39="pvp",15,MAX(0.1,Skills!D12-IF(TRUE=TRUE,(Inputs!$B$33+1),0))))))/Skills!H12+0.000000001),1)))/Inputs!$B$44),G1135*Q1135))*IF(Inputs!$B$39="pvp",1,1+(Inputs!$B$21+0+Skills!P12+((C1140=TRUE)*F1140*IF(AND(Inputs!$B$39&lt;&gt;"pvp",Inputs!$B$44&gt;0),(((R1140-1)*MIN((Skills!T17*(1+Inputs!$B$35/100)),(1/Q1140))+MIN((Skills!T17*(1+Inputs!$B$35/100)),MAX(0,Inputs!$B$44-((R1140-1)*(1/Q1140)))))/Inputs!$B$44),IF(Inputs!$B$39="pvp",MIN((Skills!T17*(1+Inputs!$B$35/100)),15)/15,MIN(1,(Skills!T17*(1+Inputs!$B$35/100))/(1/Q1140)))))+((C1128=TRUE)*IF(Inputs!$B$3&gt;=126,10*MIN(1,15*Q1128),0))+((C1137=TRUE)*IF(Inputs!$B$39="pvp",20,(1-Summary!$B$11)*(20)+Summary!$B$11*(0))*IF(AND(Inputs!$B$39&lt;&gt;"pvp",Inputs!$B$44&gt;0),(((R1137-1)*MIN((Skills!T14*(1+Inputs!$B$35/100)),(1/Q1137))+MIN((Skills!T14*(1+Inputs!$B$35/100)),MAX(0,Inputs!$B$44-((R1137-1)*(1/Q1137)))))/Inputs!$B$44),IF(Inputs!$B$39="pvp",MIN((Skills!T14*(1+Inputs!$B$35/100)),15)/15,MIN(1,(Skills!T14*(1+Inputs!$B$35/100))/(1/Q1137)))))+((C1136=TRUE)*IF(Inputs!$B$3&gt;=82,IF(Inputs!$B$39="pvp",20,(1-Summary!$B$11)*(20)+Summary!$B$11*(0)),0)*IF(AND(Inputs!$B$39&lt;&gt;"pvp",Inputs!$B$44&gt;0),(((R1136-1)*MIN((Skills!T13*(1+Inputs!$B$35/100)),(1/Q1136))+MIN((Skills!T13*(1+Inputs!$B$35/100)),MAX(0,Inputs!$B$44-((R1136-1)*(1/Q1136)))))/Inputs!$B$44),IF(Inputs!$B$39="pvp",MIN((Skills!T13*(1+Inputs!$B$35/100)),15)/15,MIN(1,(Skills!T13*(1+Inputs!$B$35/100))/(1/Q1136)))))+(IF(AND(ArtifactsInput!$M$35,Inputs!$B$4&lt;&gt;"Chapter Hunt"),CHOOSE(ArtifactsInput!$N$35+1,15,18,21,24,27,30)*(1-EXP(-(0.2*B1154)*5)),0)+IF(AND(ArtifactsInput!$M$22,Inputs!$B$4&lt;&gt;"Chapter Hunt"),CHOOSE(ArtifactsInput!$N$22+1,10,12,14,16,18,20)*((0*(((0.15*B1154*5))^0/1)+1*(((0.15*B1154*5))^1/1)+2*(((0.15*B1154*5))^2/2)+3*(((0.15*B1154*5))^3/6)+4*(((0.15*B1154*5))^4/24)+5*(((0.15*B1154*5))^5/120))/((((0.15*B1154*5))^0/1)+(((0.15*B1154*5))^1/1)+(((0.15*B1154*5))^2/2)+(((0.15*B1154*5))^3/6)+(((0.15*B1154*5))^4/24)+(((0.15*B1154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1135*(1-MIN(100,(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1135*(MIN(100,(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1135*(1-MIN(100,(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1135*(MIN(100,(Inputs!$B$10+0+B1152+(ArtifactsInput!$M$24-ArtifactsInput!$M$24)*CHOOSE(ArtifactsInput!$N$24+1,10,12,14,16,18,20)+(IF(AND(Inputs!$B$39&lt;&gt;"pvp",Inputs!$B$44=0),1,IF(IF(Inputs!$B$39="pvp",15,Inputs!$B$44)-(B1159)&lt;=0,1,MAX(0,IF(Inputs!$B$39="pvp",15,Inputs!$B$44)-MAX(5,B1159))/(IF(Inputs!$B$39="pvp",15,Inputs!$B$44)-(B1159))))*IF(AND(ArtifactsInput!$M$42,((Inputs!$B$10+0+B1152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35">
        <f>IF(C1135,(H1135*N1135*IF(AND(Inputs!$B$39&lt;&gt;"pvp",Inputs!$B$44&gt;0),((Skills!G12*((R1135-1)*IF(Skills!H12&gt;0,INT(Skills!I12/Skills!H12+0.000000001),1)+IF(Skills!H12&gt;0,INT(MIN(Skills!I12,MAX(0,MAX(0,Inputs!$B$44-B1159)-((R1135-1)*IF(Inputs!$B$39="pvp",15,MAX(0.1,Skills!D12-IF(TRUE=TRUE,(Inputs!$B$33+1),0))))))/Skills!H12+0.000000001),1)))/Inputs!$B$44),G1135*Q1135))*IF(Inputs!$B$39="pvp",1,(1+(Inputs!$B$22+Skills!Q12+((C1140=TRUE)*F1140*IF(AND(Inputs!$B$39&lt;&gt;"pvp",Inputs!$B$44&gt;0),(((R1140-1)*MIN((Skills!T17*(1+Inputs!$B$35/100)),(1/Q1140))+MIN((Skills!T17*(1+Inputs!$B$35/100)),MAX(0,Inputs!$B$44-((R1140-1)*(1/Q1140)))))/Inputs!$B$44),IF(Inputs!$B$39="pvp",MIN((Skills!T17*(1+Inputs!$B$35/100)),15)/15,MIN(1,(Skills!T17*(1+Inputs!$B$35/100))/(1/Q1140)))))+((C1128=TRUE)*IF(Inputs!$B$3&gt;=126,10*MIN(1,15*Q1128),0))+((C1137=TRUE)*IF(Inputs!$B$39="pvp",20,(1-Summary!$B$11)*(20)+Summary!$B$11*(0))*IF(AND(Inputs!$B$39&lt;&gt;"pvp",Inputs!$B$44&gt;0),(((R1137-1)*MIN((Skills!T14*(1+Inputs!$B$35/100)),(1/Q1137))+MIN((Skills!T14*(1+Inputs!$B$35/100)),MAX(0,Inputs!$B$44-((R1137-1)*(1/Q1137)))))/Inputs!$B$44),IF(Inputs!$B$39="pvp",MIN((Skills!T14*(1+Inputs!$B$35/100)),15)/15,MIN(1,(Skills!T14*(1+Inputs!$B$35/100))/(1/Q1137)))))+((C1136=TRUE)*IF(Inputs!$B$3&gt;=82,IF(Inputs!$B$39="pvp",20,(1-Summary!$B$11)*(20)+Summary!$B$11*(0)),0)*IF(AND(Inputs!$B$39&lt;&gt;"pvp",Inputs!$B$44&gt;0),(((R1136-1)*MIN((Skills!T13*(1+Inputs!$B$35/100)),(1/Q1136))+MIN((Skills!T13*(1+Inputs!$B$35/100)),MAX(0,Inputs!$B$44-((R1136-1)*(1/Q1136)))))/Inputs!$B$44),IF(Inputs!$B$39="pvp",MIN((Skills!T13*(1+Inputs!$B$35/100)),15)/15,MIN(1,(Skills!T13*(1+Inputs!$B$35/100))/(1/Q1136)))))+(IF(AND(ArtifactsInput!$M$35,Inputs!$B$4&lt;&gt;"Chapter Hunt"),CHOOSE(ArtifactsInput!$N$35+1,15,18,21,24,27,30)*(1-EXP(-(0.2*B1154)*5)),0)+IF(AND(ArtifactsInput!$M$22,Inputs!$B$4&lt;&gt;"Chapter Hunt"),CHOOSE(ArtifactsInput!$N$22+1,10,12,14,16,18,20)*((0*(((0.15*B1154*5))^0/1)+1*(((0.15*B1154*5))^1/1)+2*(((0.15*B1154*5))^2/2)+3*(((0.15*B1154*5))^3/6)+4*(((0.15*B1154*5))^4/24)+5*(((0.15*B1154*5))^5/120))/((((0.15*B1154*5))^0/1)+(((0.15*B1154*5))^1/1)+(((0.15*B1154*5))^2/2)+(((0.15*B1154*5))^3/6)+(((0.15*B1154*5))^4/24)+(((0.15*B1154*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36">
      <c r="A1136">
        <f>Skills!A13</f>
        <v/>
      </c>
      <c r="B1136">
        <f>Skills!B13</f>
        <v/>
      </c>
      <c r="C1136">
        <f>Inputs!$B$3&gt;=69</f>
        <v/>
      </c>
      <c r="D1136">
        <f>IF(Skills!C13=1,60+Inputs!$B$26+Inputs!$B$30,IF(Skills!C13=2,90+Inputs!$B$27+Inputs!$B$30,IF(Skills!C13=3,120+Inputs!$B$28+Inputs!$B$30,MAX(0,(Inputs!$B$3-100)*3)+Inputs!$B$29+Inputs!$B$30)))</f>
        <v/>
      </c>
      <c r="E1136">
        <f>INDEX(FactorTable!$B$2:$Y$301, MATCH(ROUND(MIN(300,MAX(1,D1136)),0), FactorTable!$A$2:$A$301,0), Skills!M13+1)</f>
        <v/>
      </c>
      <c r="F1136">
        <f>IF(Skills!N13=TRUE,(Skills!L13/10)*(E1136/1000),Skills!L13/10)+Skills!O13</f>
        <v/>
      </c>
      <c r="G1136">
        <f>Skills!G13*IF(Skills!H13&gt;0,INT(IF(Inputs!$B$39="pvp",MIN(Skills!I13,15),Skills!I13)/Skills!H13+0.000000001),1)</f>
        <v/>
      </c>
      <c r="H1136">
        <f>1-(1-Skills!J13/100)^Skills!K13</f>
        <v/>
      </c>
      <c r="I1136" t="inlineStr">
        <is>
          <t>1</t>
        </is>
      </c>
      <c r="J1136" t="inlineStr"/>
      <c r="K1136" t="inlineStr"/>
      <c r="L1136" t="inlineStr"/>
      <c r="M1136" t="inlineStr"/>
      <c r="N1136" t="inlineStr"/>
      <c r="O1136">
        <f>(1-Summary!$B$11)*T1136+Summary!$B$11*V1136</f>
        <v/>
      </c>
      <c r="P1136">
        <f>IF(B1162=0,0,O1136/B1162)</f>
        <v/>
      </c>
      <c r="Q1136">
        <f>IFERROR(1/IF(Inputs!$B$39="pvp",15,MAX(0.1,Skills!D13-IF(TRUE=TRUE,(Inputs!$B$33+1),0))),0)</f>
        <v/>
      </c>
      <c r="R1136">
        <f>IF(AND(Inputs!$B$39&lt;&gt;"pvp",Inputs!$B$44&gt;0),IF(Inputs!$B$44&lt;=0,0,(INT(Inputs!$B$44/IF(Inputs!$B$39="pvp",15,MAX(0.1,Skills!D13-IF(TRUE=TRUE,(Inputs!$B$33+1),0))))+1)),0)</f>
        <v/>
      </c>
      <c r="S1136">
        <f>IFERROR(O1136/N1136,0)</f>
        <v/>
      </c>
      <c r="T1136" t="n">
        <v>0</v>
      </c>
      <c r="V1136" t="n">
        <v>0</v>
      </c>
    </row>
    <row r="1137">
      <c r="A1137">
        <f>Skills!A14</f>
        <v/>
      </c>
      <c r="B1137">
        <f>Skills!B14</f>
        <v/>
      </c>
      <c r="C1137">
        <f>Inputs!$B$3&gt;=115</f>
        <v/>
      </c>
      <c r="D1137">
        <f>IF(Skills!C14=1,60+Inputs!$B$26+Inputs!$B$30,IF(Skills!C14=2,90+Inputs!$B$27+Inputs!$B$30,IF(Skills!C14=3,120+Inputs!$B$28+Inputs!$B$30,MAX(0,(Inputs!$B$3-100)*3)+Inputs!$B$29+Inputs!$B$30)))</f>
        <v/>
      </c>
      <c r="E1137">
        <f>INDEX(FactorTable!$B$2:$Y$301, MATCH(ROUND(MIN(300,MAX(1,D1137)),0), FactorTable!$A$2:$A$301,0), Skills!M14+1)</f>
        <v/>
      </c>
      <c r="F1137">
        <f>IF(Skills!N14=TRUE,(Skills!L14/10)*(E1137/1000),Skills!L14/10)+Skills!O14</f>
        <v/>
      </c>
      <c r="G1137">
        <f>Skills!G14*IF(Skills!H14&gt;0,INT(IF(Inputs!$B$39="pvp",MIN(Skills!I14,15),Skills!I14)/Skills!H14+0.000000001),1)</f>
        <v/>
      </c>
      <c r="H1137">
        <f>1-(1-Skills!J14/100)^Skills!K14</f>
        <v/>
      </c>
      <c r="I1137" t="inlineStr">
        <is>
          <t>1</t>
        </is>
      </c>
      <c r="J1137" t="inlineStr"/>
      <c r="K1137" t="inlineStr"/>
      <c r="L1137" t="inlineStr"/>
      <c r="M1137" t="inlineStr"/>
      <c r="N1137" t="inlineStr"/>
      <c r="O1137">
        <f>(1-Summary!$B$11)*T1137+Summary!$B$11*V1137</f>
        <v/>
      </c>
      <c r="P1137">
        <f>IF(B1162=0,0,O1137/B1162)</f>
        <v/>
      </c>
      <c r="Q1137">
        <f>IFERROR(1/IF(Inputs!$B$39="pvp",15,MAX(0.1,Skills!D14-IF(TRUE=TRUE,(Inputs!$B$33+1),0))),0)</f>
        <v/>
      </c>
      <c r="R1137">
        <f>IF(AND(Inputs!$B$39&lt;&gt;"pvp",Inputs!$B$44&gt;0),IF(Inputs!$B$44&lt;=0,0,(INT(Inputs!$B$44/IF(Inputs!$B$39="pvp",15,MAX(0.1,Skills!D14-IF(TRUE=TRUE,(Inputs!$B$33+1),0))))+1)),0)</f>
        <v/>
      </c>
      <c r="S1137">
        <f>IFERROR(O1137/N1137,0)</f>
        <v/>
      </c>
      <c r="T1137" t="n">
        <v>0</v>
      </c>
      <c r="V1137" t="n">
        <v>0</v>
      </c>
    </row>
    <row r="1138">
      <c r="A1138">
        <f>Skills!A15</f>
        <v/>
      </c>
      <c r="B1138">
        <f>Skills!B15</f>
        <v/>
      </c>
      <c r="C1138">
        <f>Inputs!$B$3&gt;=66</f>
        <v/>
      </c>
      <c r="D1138">
        <f>IF(Skills!C15=1,60+Inputs!$B$26+Inputs!$B$30,IF(Skills!C15=2,90+Inputs!$B$27+Inputs!$B$30,IF(Skills!C15=3,120+Inputs!$B$28+Inputs!$B$30,MAX(0,(Inputs!$B$3-100)*3)+Inputs!$B$29+Inputs!$B$30)))</f>
        <v/>
      </c>
      <c r="E1138">
        <f>INDEX(FactorTable!$B$2:$Y$301, MATCH(ROUND(MIN(300,MAX(1,D1138)),0), FactorTable!$A$2:$A$301,0), Skills!M15+1)</f>
        <v/>
      </c>
      <c r="F1138">
        <f>IF(Skills!N15=TRUE,(Skills!L15/10)*(E1138/1000),Skills!L15/10)+Skills!O15</f>
        <v/>
      </c>
      <c r="G1138">
        <f>Skills!G15*IF(Skills!H15&gt;0,INT(IF(Inputs!$B$39="pvp",MIN(Skills!I15,15),Skills!I15)/Skills!H15+0.000000001),1)</f>
        <v/>
      </c>
      <c r="H1138">
        <f>1-(1-Skills!J15/100)^Skills!K15</f>
        <v/>
      </c>
      <c r="I1138" t="inlineStr">
        <is>
          <t>1</t>
        </is>
      </c>
      <c r="J1138" t="inlineStr"/>
      <c r="K1138" t="inlineStr"/>
      <c r="L1138" t="inlineStr"/>
      <c r="M1138" t="inlineStr"/>
      <c r="N1138" t="inlineStr"/>
      <c r="O1138">
        <f>(1-Summary!$B$11)*T1138+Summary!$B$11*V1138</f>
        <v/>
      </c>
      <c r="P1138">
        <f>IF(B1162=0,0,O1138/B1162)</f>
        <v/>
      </c>
      <c r="Q1138">
        <f>IFERROR(1/IF(Inputs!$B$39="pvp",15,MAX(0.1,Skills!D15-IF(TRUE=TRUE,(Inputs!$B$33+1),0))),0)</f>
        <v/>
      </c>
      <c r="R1138">
        <f>IF(AND(Inputs!$B$39&lt;&gt;"pvp",Inputs!$B$44&gt;0),IF(Inputs!$B$44&lt;=0,0,(INT(Inputs!$B$44/IF(Inputs!$B$39="pvp",15,MAX(0.1,Skills!D15-IF(TRUE=TRUE,(Inputs!$B$33+1),0))))+1)),0)</f>
        <v/>
      </c>
      <c r="S1138">
        <f>IFERROR(O1138/N1138,0)</f>
        <v/>
      </c>
      <c r="T1138" t="n">
        <v>0</v>
      </c>
      <c r="V1138" t="n">
        <v>0</v>
      </c>
    </row>
    <row r="1139">
      <c r="A1139">
        <f>Skills!A16</f>
        <v/>
      </c>
      <c r="B1139">
        <f>Skills!B16</f>
        <v/>
      </c>
      <c r="C1139">
        <f>Inputs!$B$3&gt;=45</f>
        <v/>
      </c>
      <c r="D1139">
        <f>IF(Skills!C16=1,60+Inputs!$B$26+Inputs!$B$30,IF(Skills!C16=2,90+Inputs!$B$27+Inputs!$B$30,IF(Skills!C16=3,120+Inputs!$B$28+Inputs!$B$30,MAX(0,(Inputs!$B$3-100)*3)+Inputs!$B$29+Inputs!$B$30)))</f>
        <v/>
      </c>
      <c r="E1139">
        <f>INDEX(FactorTable!$B$2:$Y$301, MATCH(ROUND(MIN(300,MAX(1,D1139)),0), FactorTable!$A$2:$A$301,0), Skills!M16+1)</f>
        <v/>
      </c>
      <c r="F1139">
        <f>IF(Skills!N16=TRUE,(Skills!L16/10)*(E1139/1000),Skills!L16/10)+Skills!O16</f>
        <v/>
      </c>
      <c r="G1139">
        <f>Skills!G16*IF(Skills!H16&gt;0,INT(IF(Inputs!$B$39="pvp",MIN(Skills!I16,15),Skills!I16)/Skills!H16+0.000000001),1)</f>
        <v/>
      </c>
      <c r="H1139">
        <f>1-(1-Skills!J16/100)^Skills!K16</f>
        <v/>
      </c>
      <c r="I1139" t="inlineStr">
        <is>
          <t>1</t>
        </is>
      </c>
      <c r="J1139" t="inlineStr"/>
      <c r="K1139" t="inlineStr"/>
      <c r="L1139" t="inlineStr"/>
      <c r="M1139" t="inlineStr"/>
      <c r="N1139" t="inlineStr"/>
      <c r="O1139">
        <f>(1-Summary!$B$11)*T1139+Summary!$B$11*V1139</f>
        <v/>
      </c>
      <c r="P1139">
        <f>IF(B1162=0,0,O1139/B1162)</f>
        <v/>
      </c>
      <c r="Q1139">
        <f>IFERROR(1/IF(Inputs!$B$39="pvp",15,MAX(0.1,Skills!D16-IF(TRUE=TRUE,(Inputs!$B$33+1),0))),0)</f>
        <v/>
      </c>
      <c r="R1139">
        <f>IF(AND(Inputs!$B$39&lt;&gt;"pvp",Inputs!$B$44&gt;0),IF(Inputs!$B$44&lt;=0,0,(INT(Inputs!$B$44/IF(Inputs!$B$39="pvp",15,MAX(0.1,Skills!D16-IF(TRUE=TRUE,(Inputs!$B$33+1),0))))+1)),0)</f>
        <v/>
      </c>
      <c r="S1139">
        <f>IFERROR(O1139/N1139,0)</f>
        <v/>
      </c>
      <c r="T1139" t="n">
        <v>0</v>
      </c>
      <c r="V1139" t="n">
        <v>0</v>
      </c>
    </row>
    <row r="1140">
      <c r="A1140">
        <f>Skills!A17</f>
        <v/>
      </c>
      <c r="B1140">
        <f>Skills!B17</f>
        <v/>
      </c>
      <c r="C1140">
        <f>Inputs!$B$3&gt;=35</f>
        <v/>
      </c>
      <c r="D1140">
        <f>IF(Skills!C17=1,60+Inputs!$B$26+Inputs!$B$30,IF(Skills!C17=2,90+Inputs!$B$27+Inputs!$B$30,IF(Skills!C17=3,120+Inputs!$B$28+Inputs!$B$30,MAX(0,(Inputs!$B$3-100)*3)+Inputs!$B$29+Inputs!$B$30)))</f>
        <v/>
      </c>
      <c r="E1140">
        <f>INDEX(FactorTable!$B$2:$Y$301, MATCH(ROUND(MIN(300,MAX(1,D1140)),0), FactorTable!$A$2:$A$301,0), Skills!M17+1)</f>
        <v/>
      </c>
      <c r="F1140">
        <f>IF(Skills!N17=TRUE,(Skills!L17/10)*(E1140/1000),Skills!L17/10)+Skills!O17</f>
        <v/>
      </c>
      <c r="G1140">
        <f>Skills!G17*IF(Skills!H17&gt;0,INT(IF(Inputs!$B$39="pvp",MIN(Skills!I17,15),Skills!I17)/Skills!H17+0.000000001),1)</f>
        <v/>
      </c>
      <c r="H1140">
        <f>1-(1-Skills!J17/100)^Skills!K17</f>
        <v/>
      </c>
      <c r="I1140" t="inlineStr">
        <is>
          <t>1</t>
        </is>
      </c>
      <c r="J1140" t="inlineStr"/>
      <c r="K1140" t="inlineStr"/>
      <c r="L1140" t="inlineStr"/>
      <c r="M1140" t="inlineStr"/>
      <c r="N1140" t="inlineStr"/>
      <c r="O1140">
        <f>(1-Summary!$B$11)*T1140+Summary!$B$11*V1140</f>
        <v/>
      </c>
      <c r="P1140">
        <f>IF(B1162=0,0,O1140/B1162)</f>
        <v/>
      </c>
      <c r="Q1140">
        <f>IFERROR(1/IF(Inputs!$B$39="pvp",15,MAX(0.1,Skills!D17-IF(TRUE=TRUE,(Inputs!$B$33+1),0))),0)</f>
        <v/>
      </c>
      <c r="R1140">
        <f>IF(AND(Inputs!$B$39&lt;&gt;"pvp",Inputs!$B$44&gt;0),IF(Inputs!$B$44&lt;=0,0,(INT(Inputs!$B$44/IF(Inputs!$B$39="pvp",15,MAX(0.1,Skills!D17-IF(TRUE=TRUE,(Inputs!$B$33+1),0))))+1)),0)</f>
        <v/>
      </c>
      <c r="S1140">
        <f>IFERROR(O1140/N1140,0)</f>
        <v/>
      </c>
      <c r="T1140" t="n">
        <v>0</v>
      </c>
      <c r="V1140" t="n">
        <v>0</v>
      </c>
    </row>
    <row r="1141">
      <c r="A1141">
        <f>Skills!A18</f>
        <v/>
      </c>
      <c r="B1141">
        <f>Skills!B18</f>
        <v/>
      </c>
      <c r="C1141">
        <f>Inputs!$B$3&gt;=72</f>
        <v/>
      </c>
      <c r="D1141">
        <f>IF(Skills!C18=1,60+Inputs!$B$26+Inputs!$B$30,IF(Skills!C18=2,90+Inputs!$B$27+Inputs!$B$30,IF(Skills!C18=3,120+Inputs!$B$28+Inputs!$B$30,MAX(0,(Inputs!$B$3-100)*3)+Inputs!$B$29+Inputs!$B$30)))</f>
        <v/>
      </c>
      <c r="E1141">
        <f>INDEX(FactorTable!$B$2:$Y$301, MATCH(ROUND(MIN(300,MAX(1,D1141)),0), FactorTable!$A$2:$A$301,0), Skills!M18+1)</f>
        <v/>
      </c>
      <c r="F1141">
        <f>IF(Skills!N18=TRUE,(Skills!L18/10)*(E1141/1000),Skills!L18/10)+Skills!O18</f>
        <v/>
      </c>
      <c r="G1141">
        <f>Skills!G18*IF(Skills!H18&gt;0,INT(IF(Inputs!$B$39="pvp",MIN(Skills!I18,15),Skills!I18)/Skills!H18+0.000000001),1)</f>
        <v/>
      </c>
      <c r="H1141">
        <f>1-(1-Skills!J18/100)^Skills!K18</f>
        <v/>
      </c>
      <c r="I1141" t="inlineStr">
        <is>
          <t>1</t>
        </is>
      </c>
      <c r="J1141" t="inlineStr"/>
      <c r="K1141" t="inlineStr"/>
      <c r="L1141" t="inlineStr"/>
      <c r="M1141" t="inlineStr"/>
      <c r="N1141" t="inlineStr"/>
      <c r="O1141">
        <f>(1-Summary!$B$11)*T1141+Summary!$B$11*V1141</f>
        <v/>
      </c>
      <c r="P1141">
        <f>IF(B1162=0,0,O1141/B1162)</f>
        <v/>
      </c>
      <c r="Q1141">
        <f>IFERROR(1/IF(Inputs!$B$39="pvp",15,MAX(0.1,Skills!D18-IF(TRUE=TRUE,(Inputs!$B$33+1),0))),0)</f>
        <v/>
      </c>
      <c r="R1141">
        <f>IF(AND(Inputs!$B$39&lt;&gt;"pvp",Inputs!$B$44&gt;0),IF(Inputs!$B$44&lt;=0,0,(INT(Inputs!$B$44/IF(Inputs!$B$39="pvp",15,MAX(0.1,Skills!D18-IF(TRUE=TRUE,(Inputs!$B$33+1),0))))+1)),0)</f>
        <v/>
      </c>
      <c r="S1141">
        <f>IFERROR(O1141/N1141,0)</f>
        <v/>
      </c>
      <c r="T1141" t="n">
        <v>0</v>
      </c>
      <c r="V1141" t="n">
        <v>0</v>
      </c>
    </row>
    <row r="1142">
      <c r="A1142">
        <f>Skills!A19</f>
        <v/>
      </c>
      <c r="B1142">
        <f>Skills!B19</f>
        <v/>
      </c>
      <c r="C1142">
        <f>Inputs!$B$3&gt;=72</f>
        <v/>
      </c>
      <c r="D1142">
        <f>IF(Skills!C19=1,60+Inputs!$B$26+Inputs!$B$30,IF(Skills!C19=2,90+Inputs!$B$27+Inputs!$B$30,IF(Skills!C19=3,120+Inputs!$B$28+Inputs!$B$30,MAX(0,(Inputs!$B$3-100)*3)+Inputs!$B$29+Inputs!$B$30)))</f>
        <v/>
      </c>
      <c r="E1142">
        <f>INDEX(FactorTable!$B$2:$Y$301, MATCH(ROUND(MIN(300,MAX(1,D1142)),0), FactorTable!$A$2:$A$301,0), Skills!M19+1)</f>
        <v/>
      </c>
      <c r="F1142">
        <f>IF(Skills!N19=TRUE,(Skills!L19/10)*(E1142/1000),Skills!L19/10)+Skills!O19</f>
        <v/>
      </c>
      <c r="G1142">
        <f>Skills!G19*IF(Skills!H19&gt;0,INT(IF(Inputs!$B$39="pvp",MIN(Skills!I19,15),Skills!I19)/Skills!H19+0.000000001),1)</f>
        <v/>
      </c>
      <c r="H1142">
        <f>1-(1-Skills!J19/100)^Skills!K19</f>
        <v/>
      </c>
      <c r="I1142" t="inlineStr">
        <is>
          <t>1</t>
        </is>
      </c>
      <c r="J1142" t="inlineStr"/>
      <c r="K1142" t="inlineStr"/>
      <c r="L1142" t="inlineStr"/>
      <c r="M1142" t="inlineStr"/>
      <c r="N1142" t="inlineStr"/>
      <c r="O1142">
        <f>(1-Summary!$B$11)*T1142+Summary!$B$11*V1142</f>
        <v/>
      </c>
      <c r="P1142">
        <f>IF(B1162=0,0,O1142/B1162)</f>
        <v/>
      </c>
      <c r="Q1142">
        <f>IFERROR(1/IF(Inputs!$B$39="pvp",15,MAX(0.1,Skills!D19-IF(TRUE=TRUE,(Inputs!$B$33+1),0))),0)</f>
        <v/>
      </c>
      <c r="R1142">
        <f>IF(AND(Inputs!$B$39&lt;&gt;"pvp",Inputs!$B$44&gt;0),IF(Inputs!$B$44&lt;=0,0,(INT(Inputs!$B$44/IF(Inputs!$B$39="pvp",15,MAX(0.1,Skills!D19-IF(TRUE=TRUE,(Inputs!$B$33+1),0))))+1)),0)</f>
        <v/>
      </c>
      <c r="S1142">
        <f>IFERROR(O1142/N1142,0)</f>
        <v/>
      </c>
      <c r="T1142" t="n">
        <v>0</v>
      </c>
      <c r="V1142" t="n">
        <v>0</v>
      </c>
    </row>
    <row r="1143">
      <c r="A1143">
        <f>Skills!A20</f>
        <v/>
      </c>
      <c r="B1143">
        <f>Skills!B20</f>
        <v/>
      </c>
      <c r="C1143">
        <f>TRUE</f>
        <v/>
      </c>
      <c r="D1143">
        <f>IF(Skills!C20=1,60+Inputs!$B$26+Inputs!$B$30,IF(Skills!C20=2,90+Inputs!$B$27+Inputs!$B$30,IF(Skills!C20=3,120+Inputs!$B$28+Inputs!$B$30,MAX(0,(Inputs!$B$3-100)*3)+Inputs!$B$29+Inputs!$B$30)))</f>
        <v/>
      </c>
      <c r="E1143">
        <f>INDEX(FactorTable!$B$2:$Y$301, MATCH(ROUND(MIN(300,MAX(1,D1143)),0), FactorTable!$A$2:$A$301,0), Skills!M20+1)</f>
        <v/>
      </c>
      <c r="F1143">
        <f>IF(Skills!N20=TRUE,(Skills!L20/10)*(E1143/1000),Skills!L20/10)+Skills!O20</f>
        <v/>
      </c>
      <c r="G1143">
        <f>Skills!G20*IF(Skills!H20&gt;0,INT(IF(Inputs!$B$39="pvp",MIN(Skills!I20,15),Skills!I20)/Skills!H20+0.000000001),1)</f>
        <v/>
      </c>
      <c r="H1143">
        <f>1-(1-Skills!J20/100)^Skills!K20</f>
        <v/>
      </c>
      <c r="I1143" t="inlineStr">
        <is>
          <t>1</t>
        </is>
      </c>
      <c r="J1143" t="inlineStr"/>
      <c r="K1143" t="inlineStr"/>
      <c r="L1143" t="inlineStr"/>
      <c r="M1143" t="inlineStr"/>
      <c r="N1143" t="inlineStr"/>
      <c r="O1143">
        <f>(1-Summary!$B$11)*T1143+Summary!$B$11*V1143</f>
        <v/>
      </c>
      <c r="P1143">
        <f>IF(B1162=0,0,O1143/B1162)</f>
        <v/>
      </c>
      <c r="Q1143">
        <f>IFERROR(1/IF(Inputs!$B$39="pvp",15,MAX(0.1,Skills!D20-IF(TRUE=TRUE,(Inputs!$B$33+1),0))),0)</f>
        <v/>
      </c>
      <c r="R1143">
        <f>IF(AND(Inputs!$B$39&lt;&gt;"pvp",Inputs!$B$44&gt;0),IF(Inputs!$B$44&lt;=0,0,(INT(Inputs!$B$44/IF(Inputs!$B$39="pvp",15,MAX(0.1,Skills!D20-IF(TRUE=TRUE,(Inputs!$B$33+1),0))))+1)),0)</f>
        <v/>
      </c>
      <c r="S1143">
        <f>IFERROR(O1143/N1143,0)</f>
        <v/>
      </c>
      <c r="T1143" t="n">
        <v>0</v>
      </c>
      <c r="V1143" t="n">
        <v>0</v>
      </c>
    </row>
    <row r="1144">
      <c r="A1144">
        <f>Skills!A21</f>
        <v/>
      </c>
      <c r="B1144">
        <f>Skills!B21</f>
        <v/>
      </c>
      <c r="C1144">
        <f>Inputs!$B$3&gt;=33</f>
        <v/>
      </c>
      <c r="D1144">
        <f>IF(Skills!C21=1,60+Inputs!$B$26+Inputs!$B$30,IF(Skills!C21=2,90+Inputs!$B$27+Inputs!$B$30,IF(Skills!C21=3,120+Inputs!$B$28+Inputs!$B$30,MAX(0,(Inputs!$B$3-100)*3)+Inputs!$B$29+Inputs!$B$30)))</f>
        <v/>
      </c>
      <c r="E1144">
        <f>INDEX(FactorTable!$B$2:$Y$301, MATCH(ROUND(MIN(300,MAX(1,D1144)),0), FactorTable!$A$2:$A$301,0), Skills!M21+1)</f>
        <v/>
      </c>
      <c r="F1144">
        <f>IF(Skills!N21=TRUE,(Skills!L21/10)*(E1144/1000),Skills!L21/10)+Skills!O21</f>
        <v/>
      </c>
      <c r="G1144">
        <f>Skills!G21*IF(Skills!H21&gt;0,INT(IF(Inputs!$B$39="pvp",MIN(Skills!I21,15),Skills!I21)/Skills!H21+0.000000001),1)</f>
        <v/>
      </c>
      <c r="H1144">
        <f>1-(1-Skills!J21/100)^Skills!K21</f>
        <v/>
      </c>
      <c r="I1144" t="inlineStr">
        <is>
          <t>1</t>
        </is>
      </c>
      <c r="J1144" t="inlineStr"/>
      <c r="K1144" t="inlineStr"/>
      <c r="L1144" t="inlineStr"/>
      <c r="M1144" t="inlineStr"/>
      <c r="N1144" t="inlineStr"/>
      <c r="O1144">
        <f>(1-Summary!$B$11)*T1144+Summary!$B$11*V1144</f>
        <v/>
      </c>
      <c r="P1144">
        <f>IF(B1162=0,0,O1144/B1162)</f>
        <v/>
      </c>
      <c r="Q1144" t="n">
        <v>0</v>
      </c>
      <c r="R1144" t="n">
        <v>0</v>
      </c>
      <c r="S1144">
        <f>IFERROR(O1144/N1144,0)</f>
        <v/>
      </c>
      <c r="T1144" t="n">
        <v>0</v>
      </c>
      <c r="V1144" t="n">
        <v>0</v>
      </c>
    </row>
    <row r="1145">
      <c r="A1145">
        <f>Skills!A22</f>
        <v/>
      </c>
      <c r="B1145">
        <f>Skills!B22</f>
        <v/>
      </c>
      <c r="C1145">
        <f>Inputs!$B$3&gt;=43</f>
        <v/>
      </c>
      <c r="D1145">
        <f>IF(Skills!C22=1,60+Inputs!$B$26+Inputs!$B$30,IF(Skills!C22=2,90+Inputs!$B$27+Inputs!$B$30,IF(Skills!C22=3,120+Inputs!$B$28+Inputs!$B$30,MAX(0,(Inputs!$B$3-100)*3)+Inputs!$B$29+Inputs!$B$30)))</f>
        <v/>
      </c>
      <c r="E1145">
        <f>INDEX(FactorTable!$B$2:$Y$301, MATCH(ROUND(MIN(300,MAX(1,D1145)),0), FactorTable!$A$2:$A$301,0), Skills!M22+1)</f>
        <v/>
      </c>
      <c r="F1145">
        <f>IF(Skills!N22=TRUE,(Skills!L22/10)*(E1145/1000),Skills!L22/10)+Skills!O22</f>
        <v/>
      </c>
      <c r="G1145">
        <f>Skills!G22*IF(Skills!H22&gt;0,INT(IF(Inputs!$B$39="pvp",MIN(Skills!I22,15),Skills!I22)/Skills!H22+0.000000001),1)</f>
        <v/>
      </c>
      <c r="H1145">
        <f>1-(1-Skills!J22/100)^Skills!K22</f>
        <v/>
      </c>
      <c r="I1145" t="inlineStr">
        <is>
          <t>1</t>
        </is>
      </c>
      <c r="J1145" t="inlineStr"/>
      <c r="K1145" t="inlineStr"/>
      <c r="L1145" t="inlineStr"/>
      <c r="M1145" t="inlineStr"/>
      <c r="N1145" t="inlineStr"/>
      <c r="O1145">
        <f>(1-Summary!$B$11)*T1145+Summary!$B$11*V1145</f>
        <v/>
      </c>
      <c r="P1145">
        <f>IF(B1162=0,0,O1145/B1162)</f>
        <v/>
      </c>
      <c r="Q1145" t="n">
        <v>0</v>
      </c>
      <c r="R1145" t="n">
        <v>0</v>
      </c>
      <c r="S1145">
        <f>IFERROR(O1145/N1145,0)</f>
        <v/>
      </c>
      <c r="T1145" t="n">
        <v>0</v>
      </c>
      <c r="V1145" t="n">
        <v>0</v>
      </c>
    </row>
    <row r="1146">
      <c r="A1146">
        <f>Skills!A23</f>
        <v/>
      </c>
      <c r="B1146">
        <f>Skills!B23</f>
        <v/>
      </c>
      <c r="C1146">
        <f>Inputs!$B$3&gt;=120</f>
        <v/>
      </c>
      <c r="D1146">
        <f>IF(Skills!C23=1,60+Inputs!$B$26+Inputs!$B$30,IF(Skills!C23=2,90+Inputs!$B$27+Inputs!$B$30,IF(Skills!C23=3,120+Inputs!$B$28+Inputs!$B$30,MAX(0,(Inputs!$B$3-100)*3)+Inputs!$B$29+Inputs!$B$30)))</f>
        <v/>
      </c>
      <c r="E1146">
        <f>INDEX(FactorTable!$B$2:$Y$301, MATCH(ROUND(MIN(300,MAX(1,D1146)),0), FactorTable!$A$2:$A$301,0), Skills!M23+1)</f>
        <v/>
      </c>
      <c r="F1146">
        <f>IF(Skills!N23=TRUE,(Skills!L23/10)*(E1146/1000),Skills!L23/10)+Skills!O23</f>
        <v/>
      </c>
      <c r="G1146">
        <f>Skills!G23*IF(Skills!H23&gt;0,INT(IF(Inputs!$B$39="pvp",MIN(Skills!I23,15),Skills!I23)/Skills!H23+0.000000001),1)</f>
        <v/>
      </c>
      <c r="H1146">
        <f>1-(1-Skills!J23/100)^Skills!K23</f>
        <v/>
      </c>
      <c r="I1146" t="inlineStr">
        <is>
          <t>1</t>
        </is>
      </c>
      <c r="J1146" t="inlineStr"/>
      <c r="K1146" t="inlineStr"/>
      <c r="L1146" t="inlineStr"/>
      <c r="M1146" t="inlineStr"/>
      <c r="N1146" t="inlineStr"/>
      <c r="O1146">
        <f>(1-Summary!$B$11)*T1146+Summary!$B$11*V1146</f>
        <v/>
      </c>
      <c r="P1146">
        <f>IF(B1162=0,0,O1146/B1162)</f>
        <v/>
      </c>
      <c r="Q1146" t="n">
        <v>0</v>
      </c>
      <c r="R1146" t="n">
        <v>0</v>
      </c>
      <c r="S1146">
        <f>IFERROR(O1146/N1146,0)</f>
        <v/>
      </c>
      <c r="T1146" t="n">
        <v>0</v>
      </c>
      <c r="V1146" t="n">
        <v>0</v>
      </c>
    </row>
    <row r="1147">
      <c r="A1147">
        <f>Skills!A24</f>
        <v/>
      </c>
      <c r="B1147">
        <f>Skills!B24</f>
        <v/>
      </c>
      <c r="C1147">
        <f>Inputs!$B$3&gt;=120</f>
        <v/>
      </c>
      <c r="D1147">
        <f>IF(Skills!C24=1,60+Inputs!$B$26+Inputs!$B$30,IF(Skills!C24=2,90+Inputs!$B$27+Inputs!$B$30,IF(Skills!C24=3,120+Inputs!$B$28+Inputs!$B$30,MAX(0,(Inputs!$B$3-100)*3)+Inputs!$B$29+Inputs!$B$30)))</f>
        <v/>
      </c>
      <c r="E1147">
        <f>INDEX(FactorTable!$B$2:$Y$301, MATCH(ROUND(MIN(300,MAX(1,D1147)),0), FactorTable!$A$2:$A$301,0), Skills!M24+1)</f>
        <v/>
      </c>
      <c r="F1147">
        <f>IF(Skills!N24=TRUE,(Skills!L24/10)*(E1147/1000),Skills!L24/10)+Skills!O24</f>
        <v/>
      </c>
      <c r="G1147">
        <f>Skills!G24*IF(Skills!H24&gt;0,INT(IF(Inputs!$B$39="pvp",MIN(Skills!I24,15),Skills!I24)/Skills!H24+0.000000001),1)</f>
        <v/>
      </c>
      <c r="H1147">
        <f>1-(1-Skills!J24/100)^Skills!K24</f>
        <v/>
      </c>
      <c r="I1147" t="inlineStr">
        <is>
          <t>1</t>
        </is>
      </c>
      <c r="J1147" t="inlineStr"/>
      <c r="K1147" t="inlineStr"/>
      <c r="L1147" t="inlineStr"/>
      <c r="M1147" t="inlineStr"/>
      <c r="N1147" t="inlineStr"/>
      <c r="O1147">
        <f>(1-Summary!$B$11)*T1147+Summary!$B$11*V1147</f>
        <v/>
      </c>
      <c r="P1147">
        <f>IF(B1162=0,0,O1147/B1162)</f>
        <v/>
      </c>
      <c r="Q1147" t="n">
        <v>0</v>
      </c>
      <c r="R1147" t="n">
        <v>0</v>
      </c>
      <c r="S1147">
        <f>IFERROR(O1147/N1147,0)</f>
        <v/>
      </c>
      <c r="T1147" t="n">
        <v>0</v>
      </c>
      <c r="V1147" t="n">
        <v>0</v>
      </c>
    </row>
    <row r="1148">
      <c r="A1148">
        <f>Skills!A25</f>
        <v/>
      </c>
      <c r="B1148">
        <f>Skills!B25</f>
        <v/>
      </c>
      <c r="C1148">
        <f>Inputs!$B$3&gt;=125</f>
        <v/>
      </c>
      <c r="D1148">
        <f>IF(Skills!C25=1,60+Inputs!$B$26+Inputs!$B$30,IF(Skills!C25=2,90+Inputs!$B$27+Inputs!$B$30,IF(Skills!C25=3,120+Inputs!$B$28+Inputs!$B$30,MAX(0,(Inputs!$B$3-100)*3)+Inputs!$B$29+Inputs!$B$30)))</f>
        <v/>
      </c>
      <c r="E1148">
        <f>INDEX(FactorTable!$B$2:$Y$301, MATCH(ROUND(MIN(300,MAX(1,D1148)),0), FactorTable!$A$2:$A$301,0), Skills!M25+1)</f>
        <v/>
      </c>
      <c r="F1148">
        <f>IF(Skills!N25=TRUE,(Skills!L25/10)*(E1148/1000),Skills!L25/10)+Skills!O25</f>
        <v/>
      </c>
      <c r="G1148">
        <f>Skills!G25*IF(Skills!H25&gt;0,INT(IF(Inputs!$B$39="pvp",MIN(Skills!I25,15),Skills!I25)/Skills!H25+0.000000001),1)</f>
        <v/>
      </c>
      <c r="H1148">
        <f>1-(1-Skills!J25/100)^Skills!K25</f>
        <v/>
      </c>
      <c r="I1148" t="inlineStr">
        <is>
          <t>1</t>
        </is>
      </c>
      <c r="J1148" t="inlineStr"/>
      <c r="K1148" t="inlineStr"/>
      <c r="L1148" t="inlineStr"/>
      <c r="M1148" t="inlineStr"/>
      <c r="N1148" t="inlineStr"/>
      <c r="O1148">
        <f>(1-Summary!$B$11)*T1148+Summary!$B$11*V1148</f>
        <v/>
      </c>
      <c r="P1148">
        <f>IF(B1162=0,0,O1148/B1162)</f>
        <v/>
      </c>
      <c r="Q1148" t="n">
        <v>0</v>
      </c>
      <c r="R1148" t="n">
        <v>0</v>
      </c>
      <c r="S1148">
        <f>IFERROR(O1148/N1148,0)</f>
        <v/>
      </c>
      <c r="T1148" t="n">
        <v>0</v>
      </c>
      <c r="V1148" t="n">
        <v>0</v>
      </c>
    </row>
    <row r="1149">
      <c r="A1149">
        <f>Skills!A26</f>
        <v/>
      </c>
      <c r="B1149">
        <f>Skills!B26</f>
        <v/>
      </c>
      <c r="C1149">
        <f>Inputs!$B$3&gt;=107</f>
        <v/>
      </c>
      <c r="D1149">
        <f>IF(Skills!C26=1,60+Inputs!$B$26+Inputs!$B$30,IF(Skills!C26=2,90+Inputs!$B$27+Inputs!$B$30,IF(Skills!C26=3,120+Inputs!$B$28+Inputs!$B$30,MAX(0,(Inputs!$B$3-100)*3)+Inputs!$B$29+Inputs!$B$30)))</f>
        <v/>
      </c>
      <c r="E1149">
        <f>INDEX(FactorTable!$B$2:$Y$301, MATCH(ROUND(MIN(300,MAX(1,D1149)),0), FactorTable!$A$2:$A$301,0), Skills!M26+1)</f>
        <v/>
      </c>
      <c r="F1149">
        <f>IF(Skills!N26=TRUE,(Skills!L26/10)*(E1149/1000),Skills!L26/10)+Skills!O26</f>
        <v/>
      </c>
      <c r="G1149">
        <f>Skills!G26*IF(Skills!H26&gt;0,INT(IF(Inputs!$B$39="pvp",MIN(Skills!I26,15),Skills!I26)/Skills!H26+0.000000001),1)</f>
        <v/>
      </c>
      <c r="H1149">
        <f>1-(1-Skills!J26/100)^Skills!K26</f>
        <v/>
      </c>
      <c r="I1149" t="inlineStr">
        <is>
          <t>1</t>
        </is>
      </c>
      <c r="J1149" t="inlineStr"/>
      <c r="K1149" t="inlineStr"/>
      <c r="L1149" t="inlineStr"/>
      <c r="M1149" t="inlineStr"/>
      <c r="N1149" t="inlineStr"/>
      <c r="O1149">
        <f>(1-Summary!$B$11)*T1149+Summary!$B$11*V1149</f>
        <v/>
      </c>
      <c r="P1149">
        <f>IF(B1162=0,0,O1149/B1162)</f>
        <v/>
      </c>
      <c r="Q1149" t="n">
        <v>0</v>
      </c>
      <c r="R1149" t="n">
        <v>0</v>
      </c>
      <c r="S1149">
        <f>IFERROR(O1149/N1149,0)</f>
        <v/>
      </c>
      <c r="T1149" t="n">
        <v>0</v>
      </c>
      <c r="V1149" t="n">
        <v>0</v>
      </c>
    </row>
    <row r="1151">
      <c r="A1151" t="inlineStr">
        <is>
          <t>Attack% Bucket Multiplier</t>
        </is>
      </c>
      <c r="B1151">
        <f>(1+(((C1136=TRUE)*F1136*IF(AND(Inputs!$B$39&lt;&gt;"pvp",Inputs!$B$44&gt;0),(((R1136-1)*MIN((Skills!T13*(1+Inputs!$B$35/100)),(1/Q1136))+MIN((Skills!T13*(1+Inputs!$B$35/100)),MAX(0,Inputs!$B$44-((R1136-1)*(1/Q1136)))))/Inputs!$B$44),IF(Inputs!$B$39="pvp",MIN((Skills!T13*(1+Inputs!$B$35/100)),15)/15,MIN(1,(Skills!T13*(1+Inputs!$B$35/100))/(1/Q1136)))))+((C1137=TRUE)*F1137*IF(AND(Inputs!$B$39&lt;&gt;"pvp",Inputs!$B$44&gt;0),(((R1137-1)*MIN((Skills!T14*(1+Inputs!$B$35/100)),(1/Q1137))+MIN((Skills!T14*(1+Inputs!$B$35/100)),MAX(0,Inputs!$B$44-((R1137-1)*(1/Q1137)))))/Inputs!$B$44),IF(Inputs!$B$39="pvp",MIN((Skills!T14*(1+Inputs!$B$35/100)),15)/15,MIN(1,(Skills!T14*(1+Inputs!$B$35/100))/(1/Q1137)))))+((C1138=TRUE)*F1138*IF(AND(Inputs!$B$39&lt;&gt;"pvp",Inputs!$B$44&gt;0),(((R1138-1)*MIN((Skills!T15*(1+Inputs!$B$35/100)),(1/Q1138))+MIN((Skills!T15*(1+Inputs!$B$35/100)),MAX(0,Inputs!$B$44-((R1138-1)*(1/Q1138)))))/Inputs!$B$44),IF(Inputs!$B$39="pvp",MIN((Skills!T15*(1+Inputs!$B$35/100)),15)/15,MIN(1,(Skills!T15*(1+Inputs!$B$35/100))/(1/Q1138)))))+((C1139=TRUE)*F1139*IF(AND(Inputs!$B$39&lt;&gt;"pvp",Inputs!$B$44&gt;0),(((R1139-1)*MIN((Skills!T16*(1+Inputs!$B$35/100)),(1/Q1139))+MIN((Skills!T16*(1+Inputs!$B$35/100)),MAX(0,Inputs!$B$44-((R1139-1)*(1/Q1139)))))/Inputs!$B$44),IF(Inputs!$B$39="pvp",MIN((Skills!T16*(1+Inputs!$B$35/100)),15)/15,MIN(1,(Skills!T16*(1+Inputs!$B$35/100))/(1/Q1139)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1152">
      <c r="A1152" t="inlineStr">
        <is>
          <t>Global Crit Rate Bonus % (Lord of Darkness)</t>
        </is>
      </c>
      <c r="B1152">
        <f>((C1141=TRUE)*F1141*(Skills!J18/100)*IF(AND(Inputs!$B$39&lt;&gt;"pvp",Inputs!$B$44&gt;0),(((R1141-1)*MIN((Skills!T18*(1+Inputs!$B$35/100)),(1/Q1141))+MIN((Skills!T18*(1+Inputs!$B$35/100)),MAX(0,Inputs!$B$44-((R1141-1)*(1/Q1141)))))/Inputs!$B$44),IF(Inputs!$B$39="pvp",MIN((Skills!T18*(1+Inputs!$B$35/100)),15)/15,MIN(1,(Skills!T18*(1+Inputs!$B$35/100))/(1/Q1141)))))</f>
        <v/>
      </c>
    </row>
    <row r="1153">
      <c r="A1153" t="inlineStr">
        <is>
          <t>Attack Speed Buff Bonus %</t>
        </is>
      </c>
      <c r="B1153">
        <f>((C1143=TRUE)*F1143*IF(AND(Inputs!$B$39&lt;&gt;"pvp",Inputs!$B$44&gt;0),(((R1143-1)*MIN((Skills!T20*(1+Inputs!$B$35/100)),(1/Q1143))+MIN((Skills!T20*(1+Inputs!$B$35/100)),MAX(0,Inputs!$B$44-((R1143-1)*(1/Q1143)))))/Inputs!$B$44),IF(Inputs!$B$39="pvp",MIN((Skills!T20*(1+Inputs!$B$35/100)),15)/15,MIN(1,(Skills!T20*(1+Inputs!$B$35/100))/(1/Q1143)))))</f>
        <v/>
      </c>
    </row>
    <row r="1154">
      <c r="A1154" t="inlineStr">
        <is>
          <t>Actions Per Second</t>
        </is>
      </c>
      <c r="B1154">
        <f>1+MIN(150,150*(1-(1-(Inputs!$B$12+((C1144=TRUE)*(F1144-Calc!F21)))/150)*(1-B1153/150)))/100</f>
        <v/>
      </c>
    </row>
    <row r="1155">
      <c r="A1155" t="inlineStr">
        <is>
          <t>Skill + Buff Cast Rate</t>
        </is>
      </c>
      <c r="B1155">
        <f>IF(AND(Inputs!$B$39&lt;&gt;"pvp",Inputs!$B$44&gt;0),SUMPRODUCT((Skills!E2:E26=TRUE)*(C1125:C1149=TRUE)*R1125:R1149*Skills!F2:F26)/Inputs!$B$44,SUMPRODUCT((Skills!E2:E26=TRUE)*(C1125:C1149=TRUE)*Q1125:Q1149*Skills!F2:F26))</f>
        <v/>
      </c>
    </row>
    <row r="1156">
      <c r="A1156" t="inlineStr">
        <is>
          <t>Dark Impale Casts Per Second</t>
        </is>
      </c>
      <c r="B1156">
        <f>MAX(0,B1154-B1155)</f>
        <v/>
      </c>
    </row>
    <row r="1157">
      <c r="A1157" t="inlineStr">
        <is>
          <t>Global Critical Damage Bonus % (Lord of Darkness)</t>
        </is>
      </c>
      <c r="B1157">
        <f>((C1142=TRUE)*F1142*(Skills!J19/100)*IF(AND(Inputs!$B$39&lt;&gt;"pvp",Inputs!$B$44&gt;0),(((R1142-1)*MIN((Skills!T19*(1+Inputs!$B$35/100)),(1/Q1142))+MIN((Skills!T19*(1+Inputs!$B$35/100)),MAX(0,Inputs!$B$44-((R1142-1)*(1/Q1142)))))/Inputs!$B$44),IF(Inputs!$B$39="pvp",MIN((Skills!T19*(1+Inputs!$B$35/100)),15)/15,MIN(1,(Skills!T19*(1+Inputs!$B$35/100))/(1/Q1142)))))</f>
        <v/>
      </c>
    </row>
    <row r="1158">
      <c r="A1158" t="inlineStr">
        <is>
          <t>Global Final Damage Bonus % (unused)</t>
        </is>
      </c>
      <c r="B1158" t="n">
        <v>0</v>
      </c>
    </row>
    <row r="1159">
      <c r="A1159" t="inlineStr">
        <is>
          <t>Buff-Casting Startup Delay (s, fixed-duration only)</t>
        </is>
      </c>
      <c r="B1159">
        <f>IF(AND(Inputs!$B$39&lt;&gt;"pvp",Inputs!$B$44&gt;0),SUMPRODUCT((Skills!T2:T26&gt;0)*(Skills!E2:E26=TRUE)*(C1125:C1149=TRUE))/B1154,0)</f>
        <v/>
      </c>
    </row>
    <row r="1160">
      <c r="A1160" t="inlineStr">
        <is>
          <t>Boss-Only Total DPS (this block's swept value)</t>
        </is>
      </c>
      <c r="B1160">
        <f>SUM(T1125:T1149)</f>
        <v/>
      </c>
    </row>
    <row r="1161">
      <c r="A1161" t="inlineStr">
        <is>
          <t>Normal-Only Total DPS (this block's swept value)</t>
        </is>
      </c>
      <c r="B1161">
        <f>SUM(V1125:V1149)</f>
        <v/>
      </c>
    </row>
    <row r="1162">
      <c r="A1162" s="6" t="inlineStr">
        <is>
          <t>TOTAL DPS</t>
        </is>
      </c>
      <c r="B1162" s="6">
        <f>SUM(O1125:O1149)</f>
        <v/>
      </c>
    </row>
    <row r="1165">
      <c r="A1165" s="6" t="inlineStr">
        <is>
          <t>Stat: Basic Attack Target Increase (flat)</t>
        </is>
      </c>
    </row>
    <row r="1166">
      <c r="A1166" s="5" t="inlineStr">
        <is>
          <t>Key</t>
        </is>
      </c>
      <c r="B1166" s="5" t="inlineStr">
        <is>
          <t>Name</t>
        </is>
      </c>
      <c r="C1166" s="5" t="inlineStr">
        <is>
          <t>Unlocked</t>
        </is>
      </c>
      <c r="D1166" s="5" t="inlineStr">
        <is>
          <t>InputLevel</t>
        </is>
      </c>
      <c r="E1166" s="5" t="inlineStr">
        <is>
          <t>Factor</t>
        </is>
      </c>
      <c r="F1166" s="5" t="inlineStr">
        <is>
          <t>CoefficientPercent</t>
        </is>
      </c>
      <c r="G1166" s="5" t="inlineStr">
        <is>
          <t>EffectiveHits</t>
        </is>
      </c>
      <c r="H1166" s="5" t="inlineStr">
        <is>
          <t>ProcProbability</t>
        </is>
      </c>
      <c r="I1166" s="5" t="inlineStr">
        <is>
          <t>MapleHeroMultiplier</t>
        </is>
      </c>
      <c r="J1166" s="5" t="inlineStr">
        <is>
          <t>BaseDamage</t>
        </is>
      </c>
      <c r="K1166" s="5" t="inlineStr">
        <is>
          <t>BaseHitDamage</t>
        </is>
      </c>
      <c r="L1166" s="5" t="inlineStr">
        <is>
          <t>NonCritAvg</t>
        </is>
      </c>
      <c r="M1166" s="5" t="inlineStr">
        <is>
          <t>CritAvg</t>
        </is>
      </c>
      <c r="N1166" s="5" t="inlineStr">
        <is>
          <t>ExpectedDamage(perHit)</t>
        </is>
      </c>
      <c r="O1166" s="5" t="inlineStr">
        <is>
          <t>DPS</t>
        </is>
      </c>
      <c r="P1166" s="5" t="inlineStr">
        <is>
          <t>% of Total</t>
        </is>
      </c>
      <c r="Q1166" s="5" t="inlineStr">
        <is>
          <t>InvCooldown</t>
        </is>
      </c>
      <c r="R1166" s="5" t="inlineStr">
        <is>
          <t>CastsInFight</t>
        </is>
      </c>
      <c r="S1166" s="5" t="inlineStr">
        <is>
          <t>HitRate(perSec)</t>
        </is>
      </c>
      <c r="U1166" t="inlineStr">
        <is>
          <t>helpers</t>
        </is>
      </c>
    </row>
    <row r="1167">
      <c r="A1167">
        <f>Skills!A2</f>
        <v/>
      </c>
      <c r="B1167">
        <f>Skills!B2</f>
        <v/>
      </c>
      <c r="C1167">
        <f>Inputs!$B$3&gt;=100</f>
        <v/>
      </c>
      <c r="D1167" t="inlineStr"/>
      <c r="E1167" t="inlineStr"/>
      <c r="F1167">
        <f>U1169+Skills!O2</f>
        <v/>
      </c>
      <c r="G1167">
        <f>Skills!G2*IF(Skills!H2&gt;0,INT(IF(Inputs!$B$39="pvp",MIN(Skills!I2,15),Skills!I2)/Skills!H2+0.000000001),1)</f>
        <v/>
      </c>
      <c r="H1167">
        <f>1-(1-Skills!J2/100)^Skills!K2</f>
        <v/>
      </c>
      <c r="I1167" t="inlineStr">
        <is>
          <t>1</t>
        </is>
      </c>
      <c r="J1167">
        <f>((Inputs!$B$6*(1+Inputs!$B$7/100))+(((Inputs!$B$13*(1+Inputs!$B$14/100))-(Inputs!$B$13*(1+Inputs!$B$14/100)))+0.25*(Inputs!$B$15-Inputs!$B$15))*(1+Inputs!$B$7/100))*(F1167/100)</f>
        <v/>
      </c>
      <c r="K1167">
        <f>J1167*(1+(((Inputs!$B$13+IF(Inputs!$B$3&gt;=38,(10*INDEX(FactorTable!$B$2:$Y$301, MATCH(ROUND(MIN(300,MAX(1,Inputs!$B$3)),0), FactorTable!$A$2:$A$301,0), 23)/1000)/100*(Inputs!$B$8*(1+Inputs!$B$9/100)),0))*(1+Inputs!$B$14/100))*0.01+Inputs!$B$15*0.0025)/100)*(1+Inputs!$B$16/100)*(1+Inputs!$B$17/100)*(5000/(6000+Inputs!$B$43*(1-(Inputs!$B$20+0)/100)))*(1+(Inputs!$B$25+((C1190=TRUE)*(F1190-Calc!F25))+((C1191=TRUE)*(F1191-Calc!F26))+B1200)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gt;=100),MIN(100,((Inputs!$B$10+0+B1194+(ArtifactsInput!$M$24-ArtifactsInput!$M$24)*CHOOSE(ArtifactsInput!$N$24+1,10,12,14,16,18,20)+IF(ArtifactsInput!$M$10,CHOOSE(ArtifactsInput!$N$10+1,15,18,21,24,27,30)*(IF(Inputs!$B$39="pvp",MIN(15,15)/15,IF(AND(Inputs!$B$39&lt;&gt;"pvp",Inputs!$B$44&gt;0),MIN(15,Inputs!$B$44)/(Inputs!$B$44),0))),0)))-100),0))*CHOOSE(ArtifactsInput!$N$42+1,0.6,0.72,0.84,0.96,1.08,1.2))),Inputs!$B$19+((C1188=TRUE)*(F1188-Calc!F23))+(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gt;=100),CHOOSE(ArtifactsInput!$N$42+1,40,48,56,64,72,80),0))))/100)*((1+(((C1178=TRUE)*F1178*IF(AND(Inputs!$B$39&lt;&gt;"pvp",Inputs!$B$44&gt;0),(((R1178-1)*MIN((Skills!T13*(1+Inputs!$B$35/100)),(1/Q1178))+MIN((Skills!T13*(1+Inputs!$B$35/100)),MAX(0,Inputs!$B$44-((R1178-1)*(1/Q1178)))))/Inputs!$B$44),IF(Inputs!$B$39="pvp",MIN((Skills!T13*(1+Inputs!$B$35/100)),15)/15,MIN(1,(Skills!T13*(1+Inputs!$B$35/100))/(1/Q1178)))))+((C1179=TRUE)*F1179*IF(AND(Inputs!$B$39&lt;&gt;"pvp",Inputs!$B$44&gt;0),(((R1179-1)*MIN((Skills!T14*(1+Inputs!$B$35/100)),(1/Q1179))+MIN((Skills!T14*(1+Inputs!$B$35/100)),MAX(0,Inputs!$B$44-((R1179-1)*(1/Q1179)))))/Inputs!$B$44),IF(Inputs!$B$39="pvp",MIN((Skills!T14*(1+Inputs!$B$35/100)),15)/15,MIN(1,(Skills!T14*(1+Inputs!$B$35/100))/(1/Q1179)))))+((C1180=TRUE)*F1180*IF(AND(Inputs!$B$39&lt;&gt;"pvp",Inputs!$B$44&gt;0),(((R1180-1)*MIN((Skills!T15*(1+Inputs!$B$35/100)),(1/Q1180))+MIN((Skills!T15*(1+Inputs!$B$35/100)),MAX(0,Inputs!$B$44-((R1180-1)*(1/Q1180)))))/Inputs!$B$44),IF(Inputs!$B$39="pvp",MIN((Skills!T15*(1+Inputs!$B$35/100)),15)/15,MIN(1,(Skills!T15*(1+Inputs!$B$35/100))/(1/Q1180)))))+((C1181=TRUE)*F1181*IF(AND(Inputs!$B$39&lt;&gt;"pvp",Inputs!$B$44&gt;0),(((R1181-1)*MIN((Skills!T16*(1+Inputs!$B$35/100)),(1/Q1181))+MIN((Skills!T16*(1+Inputs!$B$35/100)),MAX(0,Inputs!$B$44-((R1181-1)*(1/Q1181)))))/Inputs!$B$44),IF(Inputs!$B$39="pvp",MIN((Skills!T16*(1+Inputs!$B$35/100)),15)/15,MIN(1,(Skills!T16*(1+Inputs!$B$35/100))/(1/Q1181)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1167)</f>
        <v/>
      </c>
      <c r="L1167">
        <f>K1167*(MIN(Inputs!$B$23+((C1187=TRUE)*(F1187-Calc!F22)),(Inputs!$B$24+((C1189=TRUE)*(F1189-Calc!F24))+(IF(ArtifactsInput!$M$15,CHOOSE(ArtifactsInput!$N$15+1,25,30,35,40,45,50)/100*(Inputs!$B$12-Inputs!$B$12),0))))/100+(Inputs!$B$24+((C1189=TRUE)*(F1189-Calc!F24))+(IF(ArtifactsInput!$M$15,CHOOSE(ArtifactsInput!$N$15+1,25,30,35,40,45,50)/100*(Inputs!$B$12-Inputs!$B$12),0)))/100)/2</f>
        <v/>
      </c>
      <c r="M1167">
        <f>L1167*(1+(Inputs!$B$11+0+B1199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167">
        <f>L1167*(1-MIN((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1167*(MIN((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67">
        <f>(1-Summary!$B$11)*T1167+Summary!$B$11*V1167</f>
        <v/>
      </c>
      <c r="P1167">
        <f>IF(B1204=0,0,O1167/B1204)</f>
        <v/>
      </c>
      <c r="Q1167" t="n">
        <v>0</v>
      </c>
      <c r="R1167" t="n">
        <v>0</v>
      </c>
      <c r="S1167">
        <f>IFERROR(O1167/N1167,0)</f>
        <v/>
      </c>
      <c r="T1167">
        <f>IF(C1167,(Skills!G2*N1167*B1198)*IF(Inputs!$B$39="pvp",1,1+(Inputs!$B$21+0+Skills!P2+((C1182=TRUE)*F1182*IF(AND(Inputs!$B$39&lt;&gt;"pvp",Inputs!$B$44&gt;0),(((R1182-1)*MIN((Skills!T17*(1+Inputs!$B$35/100)),(1/Q1182))+MIN((Skills!T17*(1+Inputs!$B$35/100)),MAX(0,Inputs!$B$44-((R1182-1)*(1/Q1182)))))/Inputs!$B$44),IF(Inputs!$B$39="pvp",MIN((Skills!T17*(1+Inputs!$B$35/100)),15)/15,MIN(1,(Skills!T17*(1+Inputs!$B$35/100))/(1/Q1182)))))+((C1170=TRUE)*IF(Inputs!$B$3&gt;=126,10*MIN(1,15*Q1170),0))+((C1179=TRUE)*IF(Inputs!$B$39="pvp",20,(1-Summary!$B$11)*(20)+Summary!$B$11*(0))*IF(AND(Inputs!$B$39&lt;&gt;"pvp",Inputs!$B$44&gt;0),(((R1179-1)*MIN((Skills!T14*(1+Inputs!$B$35/100)),(1/Q1179))+MIN((Skills!T14*(1+Inputs!$B$35/100)),MAX(0,Inputs!$B$44-((R1179-1)*(1/Q1179)))))/Inputs!$B$44),IF(Inputs!$B$39="pvp",MIN((Skills!T14*(1+Inputs!$B$35/100)),15)/15,MIN(1,(Skills!T14*(1+Inputs!$B$35/100))/(1/Q1179)))))+((C1178=TRUE)*IF(Inputs!$B$3&gt;=82,IF(Inputs!$B$39="pvp",20,(1-Summary!$B$11)*(20)+Summary!$B$11*(0)),0)*IF(AND(Inputs!$B$39&lt;&gt;"pvp",Inputs!$B$44&gt;0),(((R1178-1)*MIN((Skills!T13*(1+Inputs!$B$35/100)),(1/Q1178))+MIN((Skills!T13*(1+Inputs!$B$35/100)),MAX(0,Inputs!$B$44-((R1178-1)*(1/Q1178)))))/Inputs!$B$44),IF(Inputs!$B$39="pvp",MIN((Skills!T13*(1+Inputs!$B$35/100)),15)/15,MIN(1,(Skills!T13*(1+Inputs!$B$35/100))/(1/Q1178)))))+(IF(AND(ArtifactsInput!$M$35,Inputs!$B$4&lt;&gt;"Chapter Hunt"),CHOOSE(ArtifactsInput!$N$35+1,15,18,21,24,27,30)*(1-EXP(-(0.2*B1196)*5)),0)+IF(AND(ArtifactsInput!$M$22,Inputs!$B$4&lt;&gt;"Chapter Hunt"),CHOOSE(ArtifactsInput!$N$22+1,10,12,14,16,18,20)*((0*(((0.15*B1196*5))^0/1)+1*(((0.15*B1196*5))^1/1)+2*(((0.15*B1196*5))^2/2)+3*(((0.15*B1196*5))^3/6)+4*(((0.15*B1196*5))^4/24)+5*(((0.15*B1196*5))^5/120))/((((0.15*B1196*5))^0/1)+(((0.15*B1196*5))^1/1)+(((0.15*B1196*5))^2/2)+(((0.15*B1196*5))^3/6)+(((0.15*B1196*5))^4/24)+(((0.15*B1196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1167*(1-MIN(100,(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1167*(MIN(100,(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1167*(1-MIN(100,(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1167*(MIN(100,(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167">
        <f>MAX(0,(Inputs!$B$3-100)*3)+Inputs!$B$29+Inputs!$B$30</f>
        <v/>
      </c>
      <c r="V1167">
        <f>IF(C1167,(Skills!G2*N1167*B1198)*IF(Inputs!$B$39="pvp",1,(1+(Inputs!$B$22+Skills!Q2+((C1182=TRUE)*F1182*IF(AND(Inputs!$B$39&lt;&gt;"pvp",Inputs!$B$44&gt;0),(((R1182-1)*MIN((Skills!T17*(1+Inputs!$B$35/100)),(1/Q1182))+MIN((Skills!T17*(1+Inputs!$B$35/100)),MAX(0,Inputs!$B$44-((R1182-1)*(1/Q1182)))))/Inputs!$B$44),IF(Inputs!$B$39="pvp",MIN((Skills!T17*(1+Inputs!$B$35/100)),15)/15,MIN(1,(Skills!T17*(1+Inputs!$B$35/100))/(1/Q1182)))))+((C1170=TRUE)*IF(Inputs!$B$3&gt;=126,10*MIN(1,15*Q1170),0))+((C1179=TRUE)*IF(Inputs!$B$39="pvp",20,(1-Summary!$B$11)*(20)+Summary!$B$11*(0))*IF(AND(Inputs!$B$39&lt;&gt;"pvp",Inputs!$B$44&gt;0),(((R1179-1)*MIN((Skills!T14*(1+Inputs!$B$35/100)),(1/Q1179))+MIN((Skills!T14*(1+Inputs!$B$35/100)),MAX(0,Inputs!$B$44-((R1179-1)*(1/Q1179)))))/Inputs!$B$44),IF(Inputs!$B$39="pvp",MIN((Skills!T14*(1+Inputs!$B$35/100)),15)/15,MIN(1,(Skills!T14*(1+Inputs!$B$35/100))/(1/Q1179)))))+((C1178=TRUE)*IF(Inputs!$B$3&gt;=82,IF(Inputs!$B$39="pvp",20,(1-Summary!$B$11)*(20)+Summary!$B$11*(0)),0)*IF(AND(Inputs!$B$39&lt;&gt;"pvp",Inputs!$B$44&gt;0),(((R1178-1)*MIN((Skills!T13*(1+Inputs!$B$35/100)),(1/Q1178))+MIN((Skills!T13*(1+Inputs!$B$35/100)),MAX(0,Inputs!$B$44-((R1178-1)*(1/Q1178)))))/Inputs!$B$44),IF(Inputs!$B$39="pvp",MIN((Skills!T13*(1+Inputs!$B$35/100)),15)/15,MIN(1,(Skills!T13*(1+Inputs!$B$35/100))/(1/Q1178)))))+(IF(AND(ArtifactsInput!$M$35,Inputs!$B$4&lt;&gt;"Chapter Hunt"),CHOOSE(ArtifactsInput!$N$35+1,15,18,21,24,27,30)*(1-EXP(-(0.2*B1196)*5)),0)+IF(AND(ArtifactsInput!$M$22,Inputs!$B$4&lt;&gt;"Chapter Hunt"),CHOOSE(ArtifactsInput!$N$22+1,10,12,14,16,18,20)*((0*(((0.15*B1196*5))^0/1)+1*(((0.15*B1196*5))^1/1)+2*(((0.15*B1196*5))^2/2)+3*(((0.15*B1196*5))^3/6)+4*(((0.15*B1196*5))^4/24)+5*(((0.15*B1196*5))^5/120))/((((0.15*B1196*5))^0/1)+(((0.15*B1196*5))^1/1)+(((0.15*B1196*5))^2/2)+(((0.15*B1196*5))^3/6)+(((0.15*B1196*5))^4/24)+(((0.15*B1196*5))^5/120))),0))+(IF(ArtifactsInput!$M$33,CHOOSE(ArtifactsInput!$N$33+1,30,36,42,48,54,60),0)))/100)*(MIN((6+(Inputs!$B$34+1)),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68">
      <c r="A1168">
        <f>Skills!A3</f>
        <v/>
      </c>
      <c r="B1168">
        <f>Skills!B3</f>
        <v/>
      </c>
      <c r="C1168">
        <f>Inputs!$B$3&gt;=50</f>
        <v/>
      </c>
      <c r="D1168">
        <f>IF(Skills!C3=1,60+Inputs!$B$26+Inputs!$B$30,IF(Skills!C3=2,90+Inputs!$B$27+Inputs!$B$30,IF(Skills!C3=3,120+Inputs!$B$28+Inputs!$B$30,MAX(0,(Inputs!$B$3-100)*3)+Inputs!$B$29+Inputs!$B$30)))</f>
        <v/>
      </c>
      <c r="E1168">
        <f>INDEX(FactorTable!$B$2:$Y$301, MATCH(ROUND(MIN(300,MAX(1,D1168)),0), FactorTable!$A$2:$A$301,0), Skills!M3+1)</f>
        <v/>
      </c>
      <c r="F1168">
        <f>IF(Skills!N3=TRUE,(Skills!L3/10)*(E1168/1000),Skills!L3/10)+Skills!O3</f>
        <v/>
      </c>
      <c r="G1168" t="inlineStr"/>
      <c r="H1168" t="inlineStr"/>
      <c r="I1168" t="inlineStr">
        <is>
          <t>1</t>
        </is>
      </c>
      <c r="J1168" t="inlineStr"/>
      <c r="K1168" t="inlineStr"/>
      <c r="L1168" t="inlineStr"/>
      <c r="M1168" t="inlineStr"/>
      <c r="N1168" t="inlineStr"/>
      <c r="O1168" t="inlineStr"/>
      <c r="P1168" t="inlineStr"/>
      <c r="Q1168" t="inlineStr"/>
      <c r="R1168" t="inlineStr"/>
      <c r="S1168" t="inlineStr"/>
      <c r="U1168">
        <f>INDEX(FactorTable!$B$2:$Y$301, MATCH(ROUND(MIN(300,MAX(1,U1167)),0), FactorTable!$A$2:$A$301,0), 22)</f>
        <v/>
      </c>
    </row>
    <row r="1169">
      <c r="A1169">
        <f>Skills!A4</f>
        <v/>
      </c>
      <c r="B1169">
        <f>Skills!B4</f>
        <v/>
      </c>
      <c r="C1169">
        <f>Inputs!$B$3&gt;=105</f>
        <v/>
      </c>
      <c r="D1169">
        <f>IF(Skills!C4=1,60+Inputs!$B$26+Inputs!$B$30,IF(Skills!C4=2,90+Inputs!$B$27+Inputs!$B$30,IF(Skills!C4=3,120+Inputs!$B$28+Inputs!$B$30,MAX(0,(Inputs!$B$3-100)*3)+Inputs!$B$29+Inputs!$B$30)))</f>
        <v/>
      </c>
      <c r="E1169">
        <f>INDEX(FactorTable!$B$2:$Y$301, MATCH(ROUND(MIN(300,MAX(1,D1169)),0), FactorTable!$A$2:$A$301,0), Skills!M4+1)</f>
        <v/>
      </c>
      <c r="F1169">
        <f>IF(Skills!N4=TRUE,(Skills!L4/10)*(E1169/1000),Skills!L4/10)+Skills!O4</f>
        <v/>
      </c>
      <c r="G1169" t="inlineStr"/>
      <c r="H1169" t="inlineStr"/>
      <c r="I1169" t="inlineStr">
        <is>
          <t>1</t>
        </is>
      </c>
      <c r="J1169" t="inlineStr"/>
      <c r="K1169" t="inlineStr"/>
      <c r="L1169" t="inlineStr"/>
      <c r="M1169" t="inlineStr"/>
      <c r="N1169" t="inlineStr"/>
      <c r="O1169" t="inlineStr"/>
      <c r="P1169" t="inlineStr"/>
      <c r="Q1169" t="inlineStr"/>
      <c r="R1169" t="inlineStr"/>
      <c r="S1169" t="inlineStr"/>
      <c r="U1169">
        <f>290*U1168/1000</f>
        <v/>
      </c>
    </row>
    <row r="1170">
      <c r="A1170">
        <f>Skills!A5</f>
        <v/>
      </c>
      <c r="B1170">
        <f>Skills!B5</f>
        <v/>
      </c>
      <c r="C1170">
        <f>Inputs!$B$3&gt;=117</f>
        <v/>
      </c>
      <c r="D1170">
        <f>IF(Skills!C5=1,60+Inputs!$B$26+Inputs!$B$30,IF(Skills!C5=2,90+Inputs!$B$27+Inputs!$B$30,IF(Skills!C5=3,120+Inputs!$B$28+Inputs!$B$30,MAX(0,(Inputs!$B$3-100)*3)+Inputs!$B$29+Inputs!$B$30)))</f>
        <v/>
      </c>
      <c r="E1170">
        <f>INDEX(FactorTable!$B$2:$Y$301, MATCH(ROUND(MIN(300,MAX(1,D1170)),0), FactorTable!$A$2:$A$301,0), Skills!M5+1)</f>
        <v/>
      </c>
      <c r="F1170">
        <f>IF(Skills!N5=TRUE,(Skills!L5/10)*(E1170/1000),Skills!L5/10)+Skills!O5</f>
        <v/>
      </c>
      <c r="G1170">
        <f>Skills!G5*IF(Skills!H5&gt;0,INT(IF(Inputs!$B$39="pvp",MIN(Skills!I5,15),Skills!I5)/Skills!H5+0.000000001),1)</f>
        <v/>
      </c>
      <c r="H1170">
        <f>1-(1-Skills!J5/100)^Skills!K5</f>
        <v/>
      </c>
      <c r="I1170" t="inlineStr">
        <is>
          <t>1</t>
        </is>
      </c>
      <c r="J1170">
        <f>((Inputs!$B$6*(1+Inputs!$B$7/100))+(((Inputs!$B$13*(1+Inputs!$B$14/100))-(Inputs!$B$13*(1+Inputs!$B$14/100)))+0.25*(Inputs!$B$15-Inputs!$B$15))*(1+Inputs!$B$7/100))*(F1170/100)</f>
        <v/>
      </c>
      <c r="K1170">
        <f>J1170*(1+(((Inputs!$B$13+IF(Inputs!$B$3&gt;=38,(10*INDEX(FactorTable!$B$2:$Y$301, MATCH(ROUND(MIN(300,MAX(1,Inputs!$B$3)),0), FactorTable!$A$2:$A$301,0), 23)/1000)/100*(Inputs!$B$8*(1+Inputs!$B$9/100)),0))*(1+Inputs!$B$14/100))*0.01+Inputs!$B$15*0.0025)/100)*(1+Inputs!$B$16/100)*(1+Inputs!$B$17/100)*(5000/(6000+Inputs!$B$43*(1-(Inputs!$B$20+0)/100)))*(1+(Inputs!$B$25+((C1190=TRUE)*(F1190-Calc!F25))+((C1191=TRUE)*(F1191-Calc!F26))+B1200)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gt;=100),MIN(100,((Inputs!$B$10+0+B1194+(ArtifactsInput!$M$24-ArtifactsInput!$M$24)*CHOOSE(ArtifactsInput!$N$24+1,10,12,14,16,18,20)+IF(ArtifactsInput!$M$10,CHOOSE(ArtifactsInput!$N$10+1,15,18,21,24,27,30)*(IF(Inputs!$B$39="pvp",MIN(15,15)/15,IF(AND(Inputs!$B$39&lt;&gt;"pvp",Inputs!$B$44&gt;0),MIN(15,Inputs!$B$44)/(Inputs!$B$44),0))),0)))-100),0))*CHOOSE(ArtifactsInput!$N$42+1,0.6,0.72,0.84,0.96,1.08,1.2))),Inputs!$B$19+((C1188=TRUE)*(F1188-Calc!F23))+(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gt;=100),CHOOSE(ArtifactsInput!$N$42+1,40,48,56,64,72,80),0))))/100)*((1+(((C1178=TRUE)*F1178*IF(AND(Inputs!$B$39&lt;&gt;"pvp",Inputs!$B$44&gt;0),(((R1178-1)*MIN((Skills!T13*(1+Inputs!$B$35/100)),(1/Q1178))+MIN((Skills!T13*(1+Inputs!$B$35/100)),MAX(0,Inputs!$B$44-((R1178-1)*(1/Q1178)))))/Inputs!$B$44),IF(Inputs!$B$39="pvp",MIN((Skills!T13*(1+Inputs!$B$35/100)),15)/15,MIN(1,(Skills!T13*(1+Inputs!$B$35/100))/(1/Q1178)))))+((C1179=TRUE)*F1179*IF(AND(Inputs!$B$39&lt;&gt;"pvp",Inputs!$B$44&gt;0),(((R1179-1)*MIN((Skills!T14*(1+Inputs!$B$35/100)),(1/Q1179))+MIN((Skills!T14*(1+Inputs!$B$35/100)),MAX(0,Inputs!$B$44-((R1179-1)*(1/Q1179)))))/Inputs!$B$44),IF(Inputs!$B$39="pvp",MIN((Skills!T14*(1+Inputs!$B$35/100)),15)/15,MIN(1,(Skills!T14*(1+Inputs!$B$35/100))/(1/Q1179)))))+((C1180=TRUE)*F1180*IF(AND(Inputs!$B$39&lt;&gt;"pvp",Inputs!$B$44&gt;0),(((R1180-1)*MIN((Skills!T15*(1+Inputs!$B$35/100)),(1/Q1180))+MIN((Skills!T15*(1+Inputs!$B$35/100)),MAX(0,Inputs!$B$44-((R1180-1)*(1/Q1180)))))/Inputs!$B$44),IF(Inputs!$B$39="pvp",MIN((Skills!T15*(1+Inputs!$B$35/100)),15)/15,MIN(1,(Skills!T15*(1+Inputs!$B$35/100))/(1/Q1180)))))+((C1181=TRUE)*F1181*IF(AND(Inputs!$B$39&lt;&gt;"pvp",Inputs!$B$44&gt;0),(((R1181-1)*MIN((Skills!T16*(1+Inputs!$B$35/100)),(1/Q1181))+MIN((Skills!T16*(1+Inputs!$B$35/100)),MAX(0,Inputs!$B$44-((R1181-1)*(1/Q1181)))))/Inputs!$B$44),IF(Inputs!$B$39="pvp",MIN((Skills!T16*(1+Inputs!$B$35/100)),15)/15,MIN(1,(Skills!T16*(1+Inputs!$B$35/100))/(1/Q1181)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1170)</f>
        <v/>
      </c>
      <c r="L1170">
        <f>K1170*(MIN(Inputs!$B$23+((C1187=TRUE)*(F1187-Calc!F22)),(Inputs!$B$24+((C1189=TRUE)*(F1189-Calc!F24))+(IF(ArtifactsInput!$M$15,CHOOSE(ArtifactsInput!$N$15+1,25,30,35,40,45,50)/100*(Inputs!$B$12-Inputs!$B$12),0))))/100+(Inputs!$B$24+((C1189=TRUE)*(F1189-Calc!F24))+(IF(ArtifactsInput!$M$15,CHOOSE(ArtifactsInput!$N$15+1,25,30,35,40,45,50)/100*(Inputs!$B$12-Inputs!$B$12),0)))/100)/2</f>
        <v/>
      </c>
      <c r="M1170">
        <f>L1170*(1+(Inputs!$B$11+0+B1199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170">
        <f>L1170*(1-MIN((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1170*(MIN((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70">
        <f>(1-Summary!$B$11)*T1170+Summary!$B$11*V1170</f>
        <v/>
      </c>
      <c r="P1170">
        <f>IF(B1204=0,0,O1170/B1204)</f>
        <v/>
      </c>
      <c r="Q1170">
        <f>IFERROR(1/IF(Inputs!$B$39="pvp",15,MAX(0.1,Skills!D5-IF(TRUE=TRUE,Inputs!$B$33,0))),0)</f>
        <v/>
      </c>
      <c r="R1170">
        <f>IF(AND(Inputs!$B$39&lt;&gt;"pvp",Inputs!$B$44&gt;0),IF(MAX(0,Inputs!$B$44-B1201)&lt;=0,0,(INT(MAX(0,Inputs!$B$44-B1201)/IF(Inputs!$B$39="pvp",15,MAX(0.1,Skills!D5-IF(TRUE=TRUE,Inputs!$B$33,0))))+1)),0)</f>
        <v/>
      </c>
      <c r="S1170">
        <f>IFERROR(O1170/N1170,0)</f>
        <v/>
      </c>
      <c r="T1170">
        <f>IF(C1170,(H1170*N1170*IF(AND(Inputs!$B$39&lt;&gt;"pvp",Inputs!$B$44&gt;0),((Skills!G5*((R1170-1)*IF(Skills!H5&gt;0,INT(Skills!I5/Skills!H5+0.000000001),1)+IF(Skills!H5&gt;0,INT(MIN(Skills!I5,MAX(0,MAX(0,Inputs!$B$44-B1201)-((R1170-1)*IF(Inputs!$B$39="pvp",15,MAX(0.1,Skills!D5-IF(TRUE=TRUE,Inputs!$B$33,0))))))/Skills!H5+0.000000001),1)))/Inputs!$B$44),G1170*Q1170))*IF(Inputs!$B$39="pvp",1,1+(Inputs!$B$21+0+Skills!P5+((C1182=TRUE)*F1182*IF(AND(Inputs!$B$39&lt;&gt;"pvp",Inputs!$B$44&gt;0),(((R1182-1)*MIN((Skills!T17*(1+Inputs!$B$35/100)),(1/Q1182))+MIN((Skills!T17*(1+Inputs!$B$35/100)),MAX(0,Inputs!$B$44-((R1182-1)*(1/Q1182)))))/Inputs!$B$44),IF(Inputs!$B$39="pvp",MIN((Skills!T17*(1+Inputs!$B$35/100)),15)/15,MIN(1,(Skills!T17*(1+Inputs!$B$35/100))/(1/Q1182)))))+((C1170=TRUE)*IF(Inputs!$B$3&gt;=126,10*MIN(1,15*Q1170),0))+((C1179=TRUE)*IF(Inputs!$B$39="pvp",20,(1-Summary!$B$11)*(20)+Summary!$B$11*(0))*IF(AND(Inputs!$B$39&lt;&gt;"pvp",Inputs!$B$44&gt;0),(((R1179-1)*MIN((Skills!T14*(1+Inputs!$B$35/100)),(1/Q1179))+MIN((Skills!T14*(1+Inputs!$B$35/100)),MAX(0,Inputs!$B$44-((R1179-1)*(1/Q1179)))))/Inputs!$B$44),IF(Inputs!$B$39="pvp",MIN((Skills!T14*(1+Inputs!$B$35/100)),15)/15,MIN(1,(Skills!T14*(1+Inputs!$B$35/100))/(1/Q1179)))))+((C1178=TRUE)*IF(Inputs!$B$3&gt;=82,IF(Inputs!$B$39="pvp",20,(1-Summary!$B$11)*(20)+Summary!$B$11*(0)),0)*IF(AND(Inputs!$B$39&lt;&gt;"pvp",Inputs!$B$44&gt;0),(((R1178-1)*MIN((Skills!T13*(1+Inputs!$B$35/100)),(1/Q1178))+MIN((Skills!T13*(1+Inputs!$B$35/100)),MAX(0,Inputs!$B$44-((R1178-1)*(1/Q1178)))))/Inputs!$B$44),IF(Inputs!$B$39="pvp",MIN((Skills!T13*(1+Inputs!$B$35/100)),15)/15,MIN(1,(Skills!T13*(1+Inputs!$B$35/100))/(1/Q1178)))))+(IF(AND(ArtifactsInput!$M$35,Inputs!$B$4&lt;&gt;"Chapter Hunt"),CHOOSE(ArtifactsInput!$N$35+1,15,18,21,24,27,30)*(1-EXP(-(0.2*B1196)*5)),0)+IF(AND(ArtifactsInput!$M$22,Inputs!$B$4&lt;&gt;"Chapter Hunt"),CHOOSE(ArtifactsInput!$N$22+1,10,12,14,16,18,20)*((0*(((0.15*B1196*5))^0/1)+1*(((0.15*B1196*5))^1/1)+2*(((0.15*B1196*5))^2/2)+3*(((0.15*B1196*5))^3/6)+4*(((0.15*B1196*5))^4/24)+5*(((0.15*B1196*5))^5/120))/((((0.15*B1196*5))^0/1)+(((0.15*B1196*5))^1/1)+(((0.15*B1196*5))^2/2)+(((0.15*B1196*5))^3/6)+(((0.15*B1196*5))^4/24)+(((0.15*B1196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1170*(1-MIN(100,(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1170*(MIN(100,(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1170*(1-MIN(100,(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1170*(MIN(100,(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70">
        <f>IF(C1170,(H1170*N1170*IF(AND(Inputs!$B$39&lt;&gt;"pvp",Inputs!$B$44&gt;0),((Skills!G5*((R1170-1)*IF(Skills!H5&gt;0,INT(Skills!I5/Skills!H5+0.000000001),1)+IF(Skills!H5&gt;0,INT(MIN(Skills!I5,MAX(0,MAX(0,Inputs!$B$44-B1201)-((R1170-1)*IF(Inputs!$B$39="pvp",15,MAX(0.1,Skills!D5-IF(TRUE=TRUE,Inputs!$B$33,0))))))/Skills!H5+0.000000001),1)))/Inputs!$B$44),G1170*Q1170))*IF(Inputs!$B$39="pvp",1,(1+(Inputs!$B$22+Skills!Q5+((C1182=TRUE)*F1182*IF(AND(Inputs!$B$39&lt;&gt;"pvp",Inputs!$B$44&gt;0),(((R1182-1)*MIN((Skills!T17*(1+Inputs!$B$35/100)),(1/Q1182))+MIN((Skills!T17*(1+Inputs!$B$35/100)),MAX(0,Inputs!$B$44-((R1182-1)*(1/Q1182)))))/Inputs!$B$44),IF(Inputs!$B$39="pvp",MIN((Skills!T17*(1+Inputs!$B$35/100)),15)/15,MIN(1,(Skills!T17*(1+Inputs!$B$35/100))/(1/Q1182)))))+((C1170=TRUE)*IF(Inputs!$B$3&gt;=126,10*MIN(1,15*Q1170),0))+((C1179=TRUE)*IF(Inputs!$B$39="pvp",20,(1-Summary!$B$11)*(20)+Summary!$B$11*(0))*IF(AND(Inputs!$B$39&lt;&gt;"pvp",Inputs!$B$44&gt;0),(((R1179-1)*MIN((Skills!T14*(1+Inputs!$B$35/100)),(1/Q1179))+MIN((Skills!T14*(1+Inputs!$B$35/100)),MAX(0,Inputs!$B$44-((R1179-1)*(1/Q1179)))))/Inputs!$B$44),IF(Inputs!$B$39="pvp",MIN((Skills!T14*(1+Inputs!$B$35/100)),15)/15,MIN(1,(Skills!T14*(1+Inputs!$B$35/100))/(1/Q1179)))))+((C1178=TRUE)*IF(Inputs!$B$3&gt;=82,IF(Inputs!$B$39="pvp",20,(1-Summary!$B$11)*(20)+Summary!$B$11*(0)),0)*IF(AND(Inputs!$B$39&lt;&gt;"pvp",Inputs!$B$44&gt;0),(((R1178-1)*MIN((Skills!T13*(1+Inputs!$B$35/100)),(1/Q1178))+MIN((Skills!T13*(1+Inputs!$B$35/100)),MAX(0,Inputs!$B$44-((R1178-1)*(1/Q1178)))))/Inputs!$B$44),IF(Inputs!$B$39="pvp",MIN((Skills!T13*(1+Inputs!$B$35/100)),15)/15,MIN(1,(Skills!T13*(1+Inputs!$B$35/100))/(1/Q1178)))))+(IF(AND(ArtifactsInput!$M$35,Inputs!$B$4&lt;&gt;"Chapter Hunt"),CHOOSE(ArtifactsInput!$N$35+1,15,18,21,24,27,30)*(1-EXP(-(0.2*B1196)*5)),0)+IF(AND(ArtifactsInput!$M$22,Inputs!$B$4&lt;&gt;"Chapter Hunt"),CHOOSE(ArtifactsInput!$N$22+1,10,12,14,16,18,20)*((0*(((0.15*B1196*5))^0/1)+1*(((0.15*B1196*5))^1/1)+2*(((0.15*B1196*5))^2/2)+3*(((0.15*B1196*5))^3/6)+4*(((0.15*B1196*5))^4/24)+5*(((0.15*B1196*5))^5/120))/((((0.15*B1196*5))^0/1)+(((0.15*B1196*5))^1/1)+(((0.15*B1196*5))^2/2)+(((0.15*B1196*5))^3/6)+(((0.15*B1196*5))^4/24)+(((0.15*B1196*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71">
      <c r="A1171">
        <f>Skills!A6</f>
        <v/>
      </c>
      <c r="B1171">
        <f>Skills!B6</f>
        <v/>
      </c>
      <c r="C1171">
        <f>Inputs!$B$3&gt;=103</f>
        <v/>
      </c>
      <c r="D1171">
        <f>IF(Skills!C6=1,60+Inputs!$B$26+Inputs!$B$30,IF(Skills!C6=2,90+Inputs!$B$27+Inputs!$B$30,IF(Skills!C6=3,120+Inputs!$B$28+Inputs!$B$30,MAX(0,(Inputs!$B$3-100)*3)+Inputs!$B$29+Inputs!$B$30)))</f>
        <v/>
      </c>
      <c r="E1171">
        <f>INDEX(FactorTable!$B$2:$Y$301, MATCH(ROUND(MIN(300,MAX(1,D1171)),0), FactorTable!$A$2:$A$301,0), Skills!M6+1)</f>
        <v/>
      </c>
      <c r="F1171">
        <f>IF(Skills!N6=TRUE,(Skills!L6/10)*(E1171/1000),Skills!L6/10)+Skills!O6</f>
        <v/>
      </c>
      <c r="G1171">
        <f>Skills!G6*IF(Skills!H6&gt;0,INT(IF(Inputs!$B$39="pvp",MIN(Skills!I6,15),Skills!I6)/Skills!H6+0.000000001),1)</f>
        <v/>
      </c>
      <c r="H1171">
        <f>1-(1-Skills!J6/100)^Skills!K6</f>
        <v/>
      </c>
      <c r="I1171" t="inlineStr">
        <is>
          <t>1</t>
        </is>
      </c>
      <c r="J1171">
        <f>((Inputs!$B$6*(1+Inputs!$B$7/100))+(((Inputs!$B$13*(1+Inputs!$B$14/100))-(Inputs!$B$13*(1+Inputs!$B$14/100)))+0.25*(Inputs!$B$15-Inputs!$B$15))*(1+Inputs!$B$7/100))*(F1171/100)</f>
        <v/>
      </c>
      <c r="K1171">
        <f>J1171*(1+(((Inputs!$B$13+IF(Inputs!$B$3&gt;=38,(10*INDEX(FactorTable!$B$2:$Y$301, MATCH(ROUND(MIN(300,MAX(1,Inputs!$B$3)),0), FactorTable!$A$2:$A$301,0), 23)/1000)/100*(Inputs!$B$8*(1+Inputs!$B$9/100)),0))*(1+Inputs!$B$14/100))*0.01+Inputs!$B$15*0.0025)/100)*(1+Inputs!$B$16/100)*(1+Inputs!$B$17/100)*(5000/(6000+Inputs!$B$43*(1-(Inputs!$B$20+0)/100)))*(1+(Inputs!$B$25+((C1190=TRUE)*(F1190-Calc!F25))+((C1191=TRUE)*(F1191-Calc!F26))+B1200)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gt;=100),MIN(100,((Inputs!$B$10+0+B1194+(ArtifactsInput!$M$24-ArtifactsInput!$M$24)*CHOOSE(ArtifactsInput!$N$24+1,10,12,14,16,18,20)+IF(ArtifactsInput!$M$10,CHOOSE(ArtifactsInput!$N$10+1,15,18,21,24,27,30)*(IF(Inputs!$B$39="pvp",MIN(15,15)/15,IF(AND(Inputs!$B$39&lt;&gt;"pvp",Inputs!$B$44&gt;0),MIN(15,Inputs!$B$44)/(Inputs!$B$44),0))),0)))-100),0))*CHOOSE(ArtifactsInput!$N$42+1,0.6,0.72,0.84,0.96,1.08,1.2))),Inputs!$B$19+((C1188=TRUE)*(F1188-Calc!F23))+(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gt;=100),CHOOSE(ArtifactsInput!$N$42+1,40,48,56,64,72,80),0))))/100)*((1+(((C1178=TRUE)*F1178*IF(AND(Inputs!$B$39&lt;&gt;"pvp",Inputs!$B$44&gt;0),(((R1178-1)*MIN((Skills!T13*(1+Inputs!$B$35/100)),(1/Q1178))+MIN((Skills!T13*(1+Inputs!$B$35/100)),MAX(0,Inputs!$B$44-((R1178-1)*(1/Q1178)))))/Inputs!$B$44),IF(Inputs!$B$39="pvp",MIN((Skills!T13*(1+Inputs!$B$35/100)),15)/15,MIN(1,(Skills!T13*(1+Inputs!$B$35/100))/(1/Q1178)))))+((C1179=TRUE)*F1179*IF(AND(Inputs!$B$39&lt;&gt;"pvp",Inputs!$B$44&gt;0),(((R1179-1)*MIN((Skills!T14*(1+Inputs!$B$35/100)),(1/Q1179))+MIN((Skills!T14*(1+Inputs!$B$35/100)),MAX(0,Inputs!$B$44-((R1179-1)*(1/Q1179)))))/Inputs!$B$44),IF(Inputs!$B$39="pvp",MIN((Skills!T14*(1+Inputs!$B$35/100)),15)/15,MIN(1,(Skills!T14*(1+Inputs!$B$35/100))/(1/Q1179)))))+((C1180=TRUE)*F1180*IF(AND(Inputs!$B$39&lt;&gt;"pvp",Inputs!$B$44&gt;0),(((R1180-1)*MIN((Skills!T15*(1+Inputs!$B$35/100)),(1/Q1180))+MIN((Skills!T15*(1+Inputs!$B$35/100)),MAX(0,Inputs!$B$44-((R1180-1)*(1/Q1180)))))/Inputs!$B$44),IF(Inputs!$B$39="pvp",MIN((Skills!T15*(1+Inputs!$B$35/100)),15)/15,MIN(1,(Skills!T15*(1+Inputs!$B$35/100))/(1/Q1180)))))+((C1181=TRUE)*F1181*IF(AND(Inputs!$B$39&lt;&gt;"pvp",Inputs!$B$44&gt;0),(((R1181-1)*MIN((Skills!T16*(1+Inputs!$B$35/100)),(1/Q1181))+MIN((Skills!T16*(1+Inputs!$B$35/100)),MAX(0,Inputs!$B$44-((R1181-1)*(1/Q1181)))))/Inputs!$B$44),IF(Inputs!$B$39="pvp",MIN((Skills!T16*(1+Inputs!$B$35/100)),15)/15,MIN(1,(Skills!T16*(1+Inputs!$B$35/100))/(1/Q1181)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1171)</f>
        <v/>
      </c>
      <c r="L1171">
        <f>K1171*(MIN(Inputs!$B$23+((C1187=TRUE)*(F1187-Calc!F22)),(Inputs!$B$24+((C1189=TRUE)*(F1189-Calc!F24))+(IF(ArtifactsInput!$M$15,CHOOSE(ArtifactsInput!$N$15+1,25,30,35,40,45,50)/100*(Inputs!$B$12-Inputs!$B$12),0))))/100+(Inputs!$B$24+((C1189=TRUE)*(F1189-Calc!F24))+(IF(ArtifactsInput!$M$15,CHOOSE(ArtifactsInput!$N$15+1,25,30,35,40,45,50)/100*(Inputs!$B$12-Inputs!$B$12),0)))/100)/2</f>
        <v/>
      </c>
      <c r="M1171">
        <f>L1171*(1+(Inputs!$B$11+0+B1199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171">
        <f>L1171*(1-MIN((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1171*(MIN((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71">
        <f>(1-Summary!$B$11)*T1171+Summary!$B$11*V1171</f>
        <v/>
      </c>
      <c r="P1171">
        <f>IF(B1204=0,0,O1171/B1204)</f>
        <v/>
      </c>
      <c r="Q1171">
        <f>IFERROR(1/IF(Inputs!$B$39="pvp",15,MAX(0.1,Skills!D6-IF(TRUE=TRUE,Inputs!$B$33,0))),0)</f>
        <v/>
      </c>
      <c r="R1171">
        <f>IF(AND(Inputs!$B$39&lt;&gt;"pvp",Inputs!$B$44&gt;0),IF(MAX(0,Inputs!$B$44-B1201)&lt;=0,0,(INT(MAX(0,Inputs!$B$44-B1201)/IF(Inputs!$B$39="pvp",15,MAX(0.1,Skills!D6-IF(TRUE=TRUE,Inputs!$B$33,0))))+1)),0)</f>
        <v/>
      </c>
      <c r="S1171">
        <f>IFERROR(O1171/N1171,0)</f>
        <v/>
      </c>
      <c r="T1171">
        <f>IF(C1171,(H1171*N1171*IF(AND(Inputs!$B$39&lt;&gt;"pvp",Inputs!$B$44&gt;0),((Skills!G6*((R1171-1)*IF(Skills!H6&gt;0,INT(Skills!I6/Skills!H6+0.000000001),1)+IF(Skills!H6&gt;0,INT(MIN(Skills!I6,MAX(0,MAX(0,Inputs!$B$44-B1201)-((R1171-1)*IF(Inputs!$B$39="pvp",15,MAX(0.1,Skills!D6-IF(TRUE=TRUE,Inputs!$B$33,0))))))/Skills!H6+0.000000001),1)))/Inputs!$B$44),G1171*Q1171))*IF(Inputs!$B$39="pvp",1,1+(Inputs!$B$21+0+Skills!P6+((C1182=TRUE)*F1182*IF(AND(Inputs!$B$39&lt;&gt;"pvp",Inputs!$B$44&gt;0),(((R1182-1)*MIN((Skills!T17*(1+Inputs!$B$35/100)),(1/Q1182))+MIN((Skills!T17*(1+Inputs!$B$35/100)),MAX(0,Inputs!$B$44-((R1182-1)*(1/Q1182)))))/Inputs!$B$44),IF(Inputs!$B$39="pvp",MIN((Skills!T17*(1+Inputs!$B$35/100)),15)/15,MIN(1,(Skills!T17*(1+Inputs!$B$35/100))/(1/Q1182)))))+((C1170=TRUE)*IF(Inputs!$B$3&gt;=126,10*MIN(1,15*Q1170),0))+((C1179=TRUE)*IF(Inputs!$B$39="pvp",20,(1-Summary!$B$11)*(20)+Summary!$B$11*(0))*IF(AND(Inputs!$B$39&lt;&gt;"pvp",Inputs!$B$44&gt;0),(((R1179-1)*MIN((Skills!T14*(1+Inputs!$B$35/100)),(1/Q1179))+MIN((Skills!T14*(1+Inputs!$B$35/100)),MAX(0,Inputs!$B$44-((R1179-1)*(1/Q1179)))))/Inputs!$B$44),IF(Inputs!$B$39="pvp",MIN((Skills!T14*(1+Inputs!$B$35/100)),15)/15,MIN(1,(Skills!T14*(1+Inputs!$B$35/100))/(1/Q1179)))))+((C1178=TRUE)*IF(Inputs!$B$3&gt;=82,IF(Inputs!$B$39="pvp",20,(1-Summary!$B$11)*(20)+Summary!$B$11*(0)),0)*IF(AND(Inputs!$B$39&lt;&gt;"pvp",Inputs!$B$44&gt;0),(((R1178-1)*MIN((Skills!T13*(1+Inputs!$B$35/100)),(1/Q1178))+MIN((Skills!T13*(1+Inputs!$B$35/100)),MAX(0,Inputs!$B$44-((R1178-1)*(1/Q1178)))))/Inputs!$B$44),IF(Inputs!$B$39="pvp",MIN((Skills!T13*(1+Inputs!$B$35/100)),15)/15,MIN(1,(Skills!T13*(1+Inputs!$B$35/100))/(1/Q1178)))))+(IF(AND(ArtifactsInput!$M$35,Inputs!$B$4&lt;&gt;"Chapter Hunt"),CHOOSE(ArtifactsInput!$N$35+1,15,18,21,24,27,30)*(1-EXP(-(0.2*B1196)*5)),0)+IF(AND(ArtifactsInput!$M$22,Inputs!$B$4&lt;&gt;"Chapter Hunt"),CHOOSE(ArtifactsInput!$N$22+1,10,12,14,16,18,20)*((0*(((0.15*B1196*5))^0/1)+1*(((0.15*B1196*5))^1/1)+2*(((0.15*B1196*5))^2/2)+3*(((0.15*B1196*5))^3/6)+4*(((0.15*B1196*5))^4/24)+5*(((0.15*B1196*5))^5/120))/((((0.15*B1196*5))^0/1)+(((0.15*B1196*5))^1/1)+(((0.15*B1196*5))^2/2)+(((0.15*B1196*5))^3/6)+(((0.15*B1196*5))^4/24)+(((0.15*B1196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1171*(1-MIN(100,(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1171*(MIN(100,(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1171*(1-MIN(100,(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1171*(MIN(100,(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71">
        <f>IF(C1171,(H1171*N1171*IF(AND(Inputs!$B$39&lt;&gt;"pvp",Inputs!$B$44&gt;0),((Skills!G6*((R1171-1)*IF(Skills!H6&gt;0,INT(Skills!I6/Skills!H6+0.000000001),1)+IF(Skills!H6&gt;0,INT(MIN(Skills!I6,MAX(0,MAX(0,Inputs!$B$44-B1201)-((R1171-1)*IF(Inputs!$B$39="pvp",15,MAX(0.1,Skills!D6-IF(TRUE=TRUE,Inputs!$B$33,0))))))/Skills!H6+0.000000001),1)))/Inputs!$B$44),G1171*Q1171))*IF(Inputs!$B$39="pvp",1,(1+(Inputs!$B$22+Skills!Q6+((C1182=TRUE)*F1182*IF(AND(Inputs!$B$39&lt;&gt;"pvp",Inputs!$B$44&gt;0),(((R1182-1)*MIN((Skills!T17*(1+Inputs!$B$35/100)),(1/Q1182))+MIN((Skills!T17*(1+Inputs!$B$35/100)),MAX(0,Inputs!$B$44-((R1182-1)*(1/Q1182)))))/Inputs!$B$44),IF(Inputs!$B$39="pvp",MIN((Skills!T17*(1+Inputs!$B$35/100)),15)/15,MIN(1,(Skills!T17*(1+Inputs!$B$35/100))/(1/Q1182)))))+((C1170=TRUE)*IF(Inputs!$B$3&gt;=126,10*MIN(1,15*Q1170),0))+((C1179=TRUE)*IF(Inputs!$B$39="pvp",20,(1-Summary!$B$11)*(20)+Summary!$B$11*(0))*IF(AND(Inputs!$B$39&lt;&gt;"pvp",Inputs!$B$44&gt;0),(((R1179-1)*MIN((Skills!T14*(1+Inputs!$B$35/100)),(1/Q1179))+MIN((Skills!T14*(1+Inputs!$B$35/100)),MAX(0,Inputs!$B$44-((R1179-1)*(1/Q1179)))))/Inputs!$B$44),IF(Inputs!$B$39="pvp",MIN((Skills!T14*(1+Inputs!$B$35/100)),15)/15,MIN(1,(Skills!T14*(1+Inputs!$B$35/100))/(1/Q1179)))))+((C1178=TRUE)*IF(Inputs!$B$3&gt;=82,IF(Inputs!$B$39="pvp",20,(1-Summary!$B$11)*(20)+Summary!$B$11*(0)),0)*IF(AND(Inputs!$B$39&lt;&gt;"pvp",Inputs!$B$44&gt;0),(((R1178-1)*MIN((Skills!T13*(1+Inputs!$B$35/100)),(1/Q1178))+MIN((Skills!T13*(1+Inputs!$B$35/100)),MAX(0,Inputs!$B$44-((R1178-1)*(1/Q1178)))))/Inputs!$B$44),IF(Inputs!$B$39="pvp",MIN((Skills!T13*(1+Inputs!$B$35/100)),15)/15,MIN(1,(Skills!T13*(1+Inputs!$B$35/100))/(1/Q1178)))))+(IF(AND(ArtifactsInput!$M$35,Inputs!$B$4&lt;&gt;"Chapter Hunt"),CHOOSE(ArtifactsInput!$N$35+1,15,18,21,24,27,30)*(1-EXP(-(0.2*B1196)*5)),0)+IF(AND(ArtifactsInput!$M$22,Inputs!$B$4&lt;&gt;"Chapter Hunt"),CHOOSE(ArtifactsInput!$N$22+1,10,12,14,16,18,20)*((0*(((0.15*B1196*5))^0/1)+1*(((0.15*B1196*5))^1/1)+2*(((0.15*B1196*5))^2/2)+3*(((0.15*B1196*5))^3/6)+4*(((0.15*B1196*5))^4/24)+5*(((0.15*B1196*5))^5/120))/((((0.15*B1196*5))^0/1)+(((0.15*B1196*5))^1/1)+(((0.15*B1196*5))^2/2)+(((0.15*B1196*5))^3/6)+(((0.15*B1196*5))^4/24)+(((0.15*B1196*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72">
      <c r="A1172">
        <f>Skills!A7</f>
        <v/>
      </c>
      <c r="B1172">
        <f>Skills!B7</f>
        <v/>
      </c>
      <c r="C1172">
        <f>Inputs!$B$3&gt;=40</f>
        <v/>
      </c>
      <c r="D1172">
        <f>IF(Skills!C7=1,60+Inputs!$B$26+Inputs!$B$30,IF(Skills!C7=2,90+Inputs!$B$27+Inputs!$B$30,IF(Skills!C7=3,120+Inputs!$B$28+Inputs!$B$30,MAX(0,(Inputs!$B$3-100)*3)+Inputs!$B$29+Inputs!$B$30)))</f>
        <v/>
      </c>
      <c r="E1172">
        <f>INDEX(FactorTable!$B$2:$Y$301, MATCH(ROUND(MIN(300,MAX(1,D1172)),0), FactorTable!$A$2:$A$301,0), Skills!M7+1)</f>
        <v/>
      </c>
      <c r="F1172">
        <f>IF(Skills!N7=TRUE,(Skills!L7/10)*(E1172/1000),Skills!L7/10)+Skills!O7</f>
        <v/>
      </c>
      <c r="G1172">
        <f>Skills!G7*IF(Skills!H7&gt;0,INT(IF(Inputs!$B$39="pvp",MIN(Skills!I7,15),Skills!I7)/Skills!H7+0.000000001),1)</f>
        <v/>
      </c>
      <c r="H1172">
        <f>1-(1-Skills!J7/100)^Skills!K7</f>
        <v/>
      </c>
      <c r="I1172" t="inlineStr">
        <is>
          <t>1</t>
        </is>
      </c>
      <c r="J1172">
        <f>((Inputs!$B$6*(1+Inputs!$B$7/100))+(((Inputs!$B$13*(1+Inputs!$B$14/100))-(Inputs!$B$13*(1+Inputs!$B$14/100)))+0.25*(Inputs!$B$15-Inputs!$B$15))*(1+Inputs!$B$7/100))*(F1172/100)</f>
        <v/>
      </c>
      <c r="K1172">
        <f>J1172*(1+(((Inputs!$B$13+IF(Inputs!$B$3&gt;=38,(10*INDEX(FactorTable!$B$2:$Y$301, MATCH(ROUND(MIN(300,MAX(1,Inputs!$B$3)),0), FactorTable!$A$2:$A$301,0), 23)/1000)/100*(Inputs!$B$8*(1+Inputs!$B$9/100)),0))*(1+Inputs!$B$14/100))*0.01+Inputs!$B$15*0.0025)/100)*(1+Inputs!$B$16/100)*(1+Inputs!$B$17/100)*(5000/(6000+Inputs!$B$43*(1-(Inputs!$B$20+0)/100)))*(1+(Inputs!$B$25+((C1190=TRUE)*(F1190-Calc!F25))+((C1191=TRUE)*(F1191-Calc!F26))+B1200)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1176=TRUE,F1176,0)/100)*(1+(IF(Skills!A7="DARK_IMPALE",Inputs!$B$18+0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gt;=100),MIN(100,((Inputs!$B$10+0+B1194+(ArtifactsInput!$M$24-ArtifactsInput!$M$24)*CHOOSE(ArtifactsInput!$N$24+1,10,12,14,16,18,20)+IF(ArtifactsInput!$M$10,CHOOSE(ArtifactsInput!$N$10+1,15,18,21,24,27,30)*(IF(Inputs!$B$39="pvp",MIN(15,15)/15,IF(AND(Inputs!$B$39&lt;&gt;"pvp",Inputs!$B$44&gt;0),MIN(15,Inputs!$B$44)/(Inputs!$B$44),0))),0)))-100),0))*CHOOSE(ArtifactsInput!$N$42+1,0.6,0.72,0.84,0.96,1.08,1.2))),Inputs!$B$19+((C1188=TRUE)*(F1188-Calc!F23))+(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gt;=100),CHOOSE(ArtifactsInput!$N$42+1,40,48,56,64,72,80),0))))/100)*((1+(((C1178=TRUE)*F1178*IF(AND(Inputs!$B$39&lt;&gt;"pvp",Inputs!$B$44&gt;0),(((R1178-1)*MIN((Skills!T13*(1+Inputs!$B$35/100)),(1/Q1178))+MIN((Skills!T13*(1+Inputs!$B$35/100)),MAX(0,Inputs!$B$44-((R1178-1)*(1/Q1178)))))/Inputs!$B$44),IF(Inputs!$B$39="pvp",MIN((Skills!T13*(1+Inputs!$B$35/100)),15)/15,MIN(1,(Skills!T13*(1+Inputs!$B$35/100))/(1/Q1178)))))+((C1179=TRUE)*F1179*IF(AND(Inputs!$B$39&lt;&gt;"pvp",Inputs!$B$44&gt;0),(((R1179-1)*MIN((Skills!T14*(1+Inputs!$B$35/100)),(1/Q1179))+MIN((Skills!T14*(1+Inputs!$B$35/100)),MAX(0,Inputs!$B$44-((R1179-1)*(1/Q1179)))))/Inputs!$B$44),IF(Inputs!$B$39="pvp",MIN((Skills!T14*(1+Inputs!$B$35/100)),15)/15,MIN(1,(Skills!T14*(1+Inputs!$B$35/100))/(1/Q1179)))))+((C1180=TRUE)*F1180*IF(AND(Inputs!$B$39&lt;&gt;"pvp",Inputs!$B$44&gt;0),(((R1180-1)*MIN((Skills!T15*(1+Inputs!$B$35/100)),(1/Q1180))+MIN((Skills!T15*(1+Inputs!$B$35/100)),MAX(0,Inputs!$B$44-((R1180-1)*(1/Q1180)))))/Inputs!$B$44),IF(Inputs!$B$39="pvp",MIN((Skills!T15*(1+Inputs!$B$35/100)),15)/15,MIN(1,(Skills!T15*(1+Inputs!$B$35/100))/(1/Q1180)))))+((C1181=TRUE)*F1181*IF(AND(Inputs!$B$39&lt;&gt;"pvp",Inputs!$B$44&gt;0),(((R1181-1)*MIN((Skills!T16*(1+Inputs!$B$35/100)),(1/Q1181))+MIN((Skills!T16*(1+Inputs!$B$35/100)),MAX(0,Inputs!$B$44-((R1181-1)*(1/Q1181)))))/Inputs!$B$44),IF(Inputs!$B$39="pvp",MIN((Skills!T16*(1+Inputs!$B$35/100)),15)/15,MIN(1,(Skills!T16*(1+Inputs!$B$35/100))/(1/Q1181)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1172)</f>
        <v/>
      </c>
      <c r="L1172">
        <f>K1172*(MIN(Inputs!$B$23+((C1187=TRUE)*(F1187-Calc!F22)),(Inputs!$B$24+((C1189=TRUE)*(F1189-Calc!F24))+(IF(ArtifactsInput!$M$15,CHOOSE(ArtifactsInput!$N$15+1,25,30,35,40,45,50)/100*(Inputs!$B$12-Inputs!$B$12),0))))/100+(Inputs!$B$24+((C1189=TRUE)*(F1189-Calc!F24))+(IF(ArtifactsInput!$M$15,CHOOSE(ArtifactsInput!$N$15+1,25,30,35,40,45,50)/100*(Inputs!$B$12-Inputs!$B$12),0)))/100)/2</f>
        <v/>
      </c>
      <c r="M1172">
        <f>L1172*(1+(Inputs!$B$11+0+B1199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172">
        <f>L1172*(1-MIN((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1172*(MIN((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72">
        <f>(1-Summary!$B$11)*T1172+Summary!$B$11*V1172</f>
        <v/>
      </c>
      <c r="P1172">
        <f>IF(B1204=0,0,O1172/B1204)</f>
        <v/>
      </c>
      <c r="Q1172">
        <f>IFERROR(1/IF(Inputs!$B$39="pvp",15,MAX(0.1,Skills!D7-IF(TRUE=TRUE,Inputs!$B$33,0))),0)</f>
        <v/>
      </c>
      <c r="R1172">
        <f>IF(AND(Inputs!$B$39&lt;&gt;"pvp",Inputs!$B$44&gt;0),IF(MAX(0,Inputs!$B$44-B1201)&lt;=0,0,(INT(MAX(0,Inputs!$B$44-B1201)/IF(Inputs!$B$39="pvp",15,MAX(0.1,Skills!D7-IF(TRUE=TRUE,Inputs!$B$33,0))))+1)),0)</f>
        <v/>
      </c>
      <c r="S1172">
        <f>IFERROR(O1172/N1172,0)</f>
        <v/>
      </c>
      <c r="T1172">
        <f>IF(C1172,(H1172*N1172*IF(AND(Inputs!$B$39&lt;&gt;"pvp",Inputs!$B$44&gt;0),((Skills!G7*((R1172-1)*IF(Skills!H7&gt;0,INT(Skills!I7/Skills!H7+0.000000001),1)+IF(Skills!H7&gt;0,INT(MIN(Skills!I7,MAX(0,MAX(0,Inputs!$B$44-B1201)-((R1172-1)*IF(Inputs!$B$39="pvp",15,MAX(0.1,Skills!D7-IF(TRUE=TRUE,Inputs!$B$33,0))))))/Skills!H7+0.000000001),1)))/Inputs!$B$44),G1172*Q1172))*IF(Inputs!$B$39="pvp",1,1+(Inputs!$B$21+0+Skills!P7+((C1182=TRUE)*F1182*IF(AND(Inputs!$B$39&lt;&gt;"pvp",Inputs!$B$44&gt;0),(((R1182-1)*MIN((Skills!T17*(1+Inputs!$B$35/100)),(1/Q1182))+MIN((Skills!T17*(1+Inputs!$B$35/100)),MAX(0,Inputs!$B$44-((R1182-1)*(1/Q1182)))))/Inputs!$B$44),IF(Inputs!$B$39="pvp",MIN((Skills!T17*(1+Inputs!$B$35/100)),15)/15,MIN(1,(Skills!T17*(1+Inputs!$B$35/100))/(1/Q1182)))))+((C1170=TRUE)*IF(Inputs!$B$3&gt;=126,10*MIN(1,15*Q1170),0))+((C1179=TRUE)*IF(Inputs!$B$39="pvp",20,(1-Summary!$B$11)*(20)+Summary!$B$11*(0))*IF(AND(Inputs!$B$39&lt;&gt;"pvp",Inputs!$B$44&gt;0),(((R1179-1)*MIN((Skills!T14*(1+Inputs!$B$35/100)),(1/Q1179))+MIN((Skills!T14*(1+Inputs!$B$35/100)),MAX(0,Inputs!$B$44-((R1179-1)*(1/Q1179)))))/Inputs!$B$44),IF(Inputs!$B$39="pvp",MIN((Skills!T14*(1+Inputs!$B$35/100)),15)/15,MIN(1,(Skills!T14*(1+Inputs!$B$35/100))/(1/Q1179)))))+((C1178=TRUE)*IF(Inputs!$B$3&gt;=82,IF(Inputs!$B$39="pvp",20,(1-Summary!$B$11)*(20)+Summary!$B$11*(0)),0)*IF(AND(Inputs!$B$39&lt;&gt;"pvp",Inputs!$B$44&gt;0),(((R1178-1)*MIN((Skills!T13*(1+Inputs!$B$35/100)),(1/Q1178))+MIN((Skills!T13*(1+Inputs!$B$35/100)),MAX(0,Inputs!$B$44-((R1178-1)*(1/Q1178)))))/Inputs!$B$44),IF(Inputs!$B$39="pvp",MIN((Skills!T13*(1+Inputs!$B$35/100)),15)/15,MIN(1,(Skills!T13*(1+Inputs!$B$35/100))/(1/Q1178)))))+(IF(AND(ArtifactsInput!$M$35,Inputs!$B$4&lt;&gt;"Chapter Hunt"),CHOOSE(ArtifactsInput!$N$35+1,15,18,21,24,27,30)*(1-EXP(-(0.2*B1196)*5)),0)+IF(AND(ArtifactsInput!$M$22,Inputs!$B$4&lt;&gt;"Chapter Hunt"),CHOOSE(ArtifactsInput!$N$22+1,10,12,14,16,18,20)*((0*(((0.15*B1196*5))^0/1)+1*(((0.15*B1196*5))^1/1)+2*(((0.15*B1196*5))^2/2)+3*(((0.15*B1196*5))^3/6)+4*(((0.15*B1196*5))^4/24)+5*(((0.15*B1196*5))^5/120))/((((0.15*B1196*5))^0/1)+(((0.15*B1196*5))^1/1)+(((0.15*B1196*5))^2/2)+(((0.15*B1196*5))^3/6)+(((0.15*B1196*5))^4/24)+(((0.15*B1196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1172*(1-MIN(100,(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1172*(MIN(100,(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1172*(1-MIN(100,(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1172*(MIN(100,(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72">
        <f>IF(C1172,(H1172*N1172*IF(AND(Inputs!$B$39&lt;&gt;"pvp",Inputs!$B$44&gt;0),((Skills!G7*((R1172-1)*IF(Skills!H7&gt;0,INT(Skills!I7/Skills!H7+0.000000001),1)+IF(Skills!H7&gt;0,INT(MIN(Skills!I7,MAX(0,MAX(0,Inputs!$B$44-B1201)-((R1172-1)*IF(Inputs!$B$39="pvp",15,MAX(0.1,Skills!D7-IF(TRUE=TRUE,Inputs!$B$33,0))))))/Skills!H7+0.000000001),1)))/Inputs!$B$44),G1172*Q1172))*IF(Inputs!$B$39="pvp",1,(1+(Inputs!$B$22+Skills!Q7+((C1182=TRUE)*F1182*IF(AND(Inputs!$B$39&lt;&gt;"pvp",Inputs!$B$44&gt;0),(((R1182-1)*MIN((Skills!T17*(1+Inputs!$B$35/100)),(1/Q1182))+MIN((Skills!T17*(1+Inputs!$B$35/100)),MAX(0,Inputs!$B$44-((R1182-1)*(1/Q1182)))))/Inputs!$B$44),IF(Inputs!$B$39="pvp",MIN((Skills!T17*(1+Inputs!$B$35/100)),15)/15,MIN(1,(Skills!T17*(1+Inputs!$B$35/100))/(1/Q1182)))))+((C1170=TRUE)*IF(Inputs!$B$3&gt;=126,10*MIN(1,15*Q1170),0))+((C1179=TRUE)*IF(Inputs!$B$39="pvp",20,(1-Summary!$B$11)*(20)+Summary!$B$11*(0))*IF(AND(Inputs!$B$39&lt;&gt;"pvp",Inputs!$B$44&gt;0),(((R1179-1)*MIN((Skills!T14*(1+Inputs!$B$35/100)),(1/Q1179))+MIN((Skills!T14*(1+Inputs!$B$35/100)),MAX(0,Inputs!$B$44-((R1179-1)*(1/Q1179)))))/Inputs!$B$44),IF(Inputs!$B$39="pvp",MIN((Skills!T14*(1+Inputs!$B$35/100)),15)/15,MIN(1,(Skills!T14*(1+Inputs!$B$35/100))/(1/Q1179)))))+((C1178=TRUE)*IF(Inputs!$B$3&gt;=82,IF(Inputs!$B$39="pvp",20,(1-Summary!$B$11)*(20)+Summary!$B$11*(0)),0)*IF(AND(Inputs!$B$39&lt;&gt;"pvp",Inputs!$B$44&gt;0),(((R1178-1)*MIN((Skills!T13*(1+Inputs!$B$35/100)),(1/Q1178))+MIN((Skills!T13*(1+Inputs!$B$35/100)),MAX(0,Inputs!$B$44-((R1178-1)*(1/Q1178)))))/Inputs!$B$44),IF(Inputs!$B$39="pvp",MIN((Skills!T13*(1+Inputs!$B$35/100)),15)/15,MIN(1,(Skills!T13*(1+Inputs!$B$35/100))/(1/Q1178)))))+(IF(AND(ArtifactsInput!$M$35,Inputs!$B$4&lt;&gt;"Chapter Hunt"),CHOOSE(ArtifactsInput!$N$35+1,15,18,21,24,27,30)*(1-EXP(-(0.2*B1196)*5)),0)+IF(AND(ArtifactsInput!$M$22,Inputs!$B$4&lt;&gt;"Chapter Hunt"),CHOOSE(ArtifactsInput!$N$22+1,10,12,14,16,18,20)*((0*(((0.15*B1196*5))^0/1)+1*(((0.15*B1196*5))^1/1)+2*(((0.15*B1196*5))^2/2)+3*(((0.15*B1196*5))^3/6)+4*(((0.15*B1196*5))^4/24)+5*(((0.15*B1196*5))^5/120))/((((0.15*B1196*5))^0/1)+(((0.15*B1196*5))^1/1)+(((0.15*B1196*5))^2/2)+(((0.15*B1196*5))^3/6)+(((0.15*B1196*5))^4/24)+(((0.15*B1196*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73">
      <c r="A1173">
        <f>Skills!A8</f>
        <v/>
      </c>
      <c r="B1173">
        <f>Skills!B8</f>
        <v/>
      </c>
      <c r="C1173">
        <f>Inputs!$B$3&gt;=75</f>
        <v/>
      </c>
      <c r="D1173">
        <f>IF(Skills!C8=1,60+Inputs!$B$26+Inputs!$B$30,IF(Skills!C8=2,90+Inputs!$B$27+Inputs!$B$30,IF(Skills!C8=3,120+Inputs!$B$28+Inputs!$B$30,MAX(0,(Inputs!$B$3-100)*3)+Inputs!$B$29+Inputs!$B$30)))</f>
        <v/>
      </c>
      <c r="E1173">
        <f>INDEX(FactorTable!$B$2:$Y$301, MATCH(ROUND(MIN(300,MAX(1,D1173)),0), FactorTable!$A$2:$A$301,0), Skills!M8+1)</f>
        <v/>
      </c>
      <c r="F1173">
        <f>IF(Skills!N8=TRUE,(Skills!L8/10)*(E1173/1000),Skills!L8/10)+Skills!O8</f>
        <v/>
      </c>
      <c r="G1173" t="inlineStr"/>
      <c r="H1173" t="inlineStr"/>
      <c r="I1173" t="inlineStr">
        <is>
          <t>1</t>
        </is>
      </c>
      <c r="J1173" t="inlineStr"/>
      <c r="K1173" t="inlineStr"/>
      <c r="L1173" t="inlineStr"/>
      <c r="M1173" t="inlineStr"/>
      <c r="N1173" t="inlineStr"/>
      <c r="O1173" t="inlineStr"/>
      <c r="P1173" t="inlineStr"/>
      <c r="Q1173" t="inlineStr"/>
      <c r="R1173" t="inlineStr"/>
      <c r="S1173" t="inlineStr"/>
    </row>
    <row r="1174">
      <c r="A1174">
        <f>Skills!A9</f>
        <v/>
      </c>
      <c r="B1174">
        <f>Skills!B9</f>
        <v/>
      </c>
      <c r="C1174">
        <f>Inputs!$B$3&gt;=60</f>
        <v/>
      </c>
      <c r="D1174">
        <f>IF(Skills!C9=1,60+Inputs!$B$26+Inputs!$B$30,IF(Skills!C9=2,90+Inputs!$B$27+Inputs!$B$30,IF(Skills!C9=3,120+Inputs!$B$28+Inputs!$B$30,MAX(0,(Inputs!$B$3-100)*3)+Inputs!$B$29+Inputs!$B$30)))</f>
        <v/>
      </c>
      <c r="E1174">
        <f>INDEX(FactorTable!$B$2:$Y$301, MATCH(ROUND(MIN(300,MAX(1,D1174)),0), FactorTable!$A$2:$A$301,0), Skills!M9+1)</f>
        <v/>
      </c>
      <c r="F1174">
        <f>IF(Skills!N9=TRUE,(Skills!L9/10)*(E1174/1000),Skills!L9/10)+Skills!O9</f>
        <v/>
      </c>
      <c r="G1174">
        <f>Skills!G9*IF(Skills!H9&gt;0,INT(IF(Inputs!$B$39="pvp",MIN(Skills!I9,15),Skills!I9)/Skills!H9+0.000000001),1)</f>
        <v/>
      </c>
      <c r="H1174">
        <f>1-(1-Skills!J9/100)^Skills!K9</f>
        <v/>
      </c>
      <c r="I1174" t="inlineStr">
        <is>
          <t>1</t>
        </is>
      </c>
      <c r="J1174">
        <f>((Inputs!$B$6*(1+Inputs!$B$7/100))+(((Inputs!$B$13*(1+Inputs!$B$14/100))-(Inputs!$B$13*(1+Inputs!$B$14/100)))+0.25*(Inputs!$B$15-Inputs!$B$15))*(1+Inputs!$B$7/100))*(F1174/100)</f>
        <v/>
      </c>
      <c r="K1174">
        <f>J1174*(1+(((Inputs!$B$13+IF(Inputs!$B$3&gt;=38,(10*INDEX(FactorTable!$B$2:$Y$301, MATCH(ROUND(MIN(300,MAX(1,Inputs!$B$3)),0), FactorTable!$A$2:$A$301,0), 23)/1000)/100*(Inputs!$B$8*(1+Inputs!$B$9/100)),0))*(1+Inputs!$B$14/100))*0.01+Inputs!$B$15*0.0025)/100)*(1+Inputs!$B$16/100)*(1+Inputs!$B$17/100)*(5000/(6000+Inputs!$B$43*(1-(Inputs!$B$20+0)/100)))*(1+(Inputs!$B$25+((C1190=TRUE)*(F1190-Calc!F25))+((C1191=TRUE)*(F1191-Calc!F26))+B1200)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1176=TRUE,F1176,0)/100)*(1+(IF(Skills!A9="DARK_IMPALE",Inputs!$B$18+0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gt;=100),MIN(100,((Inputs!$B$10+0+B1194+(ArtifactsInput!$M$24-ArtifactsInput!$M$24)*CHOOSE(ArtifactsInput!$N$24+1,10,12,14,16,18,20)+IF(ArtifactsInput!$M$10,CHOOSE(ArtifactsInput!$N$10+1,15,18,21,24,27,30)*(IF(Inputs!$B$39="pvp",MIN(15,15)/15,IF(AND(Inputs!$B$39&lt;&gt;"pvp",Inputs!$B$44&gt;0),MIN(15,Inputs!$B$44)/(Inputs!$B$44),0))),0)))-100),0))*CHOOSE(ArtifactsInput!$N$42+1,0.6,0.72,0.84,0.96,1.08,1.2))),Inputs!$B$19+((C1188=TRUE)*(F1188-Calc!F23))+(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gt;=100),CHOOSE(ArtifactsInput!$N$42+1,40,48,56,64,72,80),0))))/100)*((1+(((C1178=TRUE)*F1178*IF(AND(Inputs!$B$39&lt;&gt;"pvp",Inputs!$B$44&gt;0),(((R1178-1)*MIN((Skills!T13*(1+Inputs!$B$35/100)),(1/Q1178))+MIN((Skills!T13*(1+Inputs!$B$35/100)),MAX(0,Inputs!$B$44-((R1178-1)*(1/Q1178)))))/Inputs!$B$44),IF(Inputs!$B$39="pvp",MIN((Skills!T13*(1+Inputs!$B$35/100)),15)/15,MIN(1,(Skills!T13*(1+Inputs!$B$35/100))/(1/Q1178)))))+((C1179=TRUE)*F1179*IF(AND(Inputs!$B$39&lt;&gt;"pvp",Inputs!$B$44&gt;0),(((R1179-1)*MIN((Skills!T14*(1+Inputs!$B$35/100)),(1/Q1179))+MIN((Skills!T14*(1+Inputs!$B$35/100)),MAX(0,Inputs!$B$44-((R1179-1)*(1/Q1179)))))/Inputs!$B$44),IF(Inputs!$B$39="pvp",MIN((Skills!T14*(1+Inputs!$B$35/100)),15)/15,MIN(1,(Skills!T14*(1+Inputs!$B$35/100))/(1/Q1179)))))+((C1180=TRUE)*F1180*IF(AND(Inputs!$B$39&lt;&gt;"pvp",Inputs!$B$44&gt;0),(((R1180-1)*MIN((Skills!T15*(1+Inputs!$B$35/100)),(1/Q1180))+MIN((Skills!T15*(1+Inputs!$B$35/100)),MAX(0,Inputs!$B$44-((R1180-1)*(1/Q1180)))))/Inputs!$B$44),IF(Inputs!$B$39="pvp",MIN((Skills!T15*(1+Inputs!$B$35/100)),15)/15,MIN(1,(Skills!T15*(1+Inputs!$B$35/100))/(1/Q1180)))))+((C1181=TRUE)*F1181*IF(AND(Inputs!$B$39&lt;&gt;"pvp",Inputs!$B$44&gt;0),(((R1181-1)*MIN((Skills!T16*(1+Inputs!$B$35/100)),(1/Q1181))+MIN((Skills!T16*(1+Inputs!$B$35/100)),MAX(0,Inputs!$B$44-((R1181-1)*(1/Q1181)))))/Inputs!$B$44),IF(Inputs!$B$39="pvp",MIN((Skills!T16*(1+Inputs!$B$35/100)),15)/15,MIN(1,(Skills!T16*(1+Inputs!$B$35/100))/(1/Q1181)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1174)</f>
        <v/>
      </c>
      <c r="L1174">
        <f>K1174*(MIN(Inputs!$B$23+((C1187=TRUE)*(F1187-Calc!F22)),(Inputs!$B$24+((C1189=TRUE)*(F1189-Calc!F24))+(IF(ArtifactsInput!$M$15,CHOOSE(ArtifactsInput!$N$15+1,25,30,35,40,45,50)/100*(Inputs!$B$12-Inputs!$B$12),0))))/100+(Inputs!$B$24+((C1189=TRUE)*(F1189-Calc!F24))+(IF(ArtifactsInput!$M$15,CHOOSE(ArtifactsInput!$N$15+1,25,30,35,40,45,50)/100*(Inputs!$B$12-Inputs!$B$12),0)))/100)/2</f>
        <v/>
      </c>
      <c r="M1174">
        <f>L1174*(1+(Inputs!$B$11+0+B1199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174">
        <f>L1174*(1-MIN((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1174*(MIN((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74">
        <f>(1-Summary!$B$11)*T1174+Summary!$B$11*V1174</f>
        <v/>
      </c>
      <c r="P1174">
        <f>IF(B1204=0,0,O1174/B1204)</f>
        <v/>
      </c>
      <c r="Q1174">
        <f>IFERROR(1/IF(Inputs!$B$39="pvp",15,MAX(0.1,Skills!D9-IF(TRUE=TRUE,Inputs!$B$33,0))),0)</f>
        <v/>
      </c>
      <c r="R1174">
        <f>IF(AND(Inputs!$B$39&lt;&gt;"pvp",Inputs!$B$44&gt;0),IF(MAX(0,Inputs!$B$44-B1201)&lt;=0,0,(INT(MAX(0,Inputs!$B$44-B1201)/IF(Inputs!$B$39="pvp",15,MAX(0.1,Skills!D9-IF(TRUE=TRUE,Inputs!$B$33,0))))+1)),0)</f>
        <v/>
      </c>
      <c r="S1174">
        <f>IFERROR(O1174/N1174,0)</f>
        <v/>
      </c>
      <c r="T1174">
        <f>IF(C1174,(H1174*N1174*IF(AND(Inputs!$B$39&lt;&gt;"pvp",Inputs!$B$44&gt;0),((Skills!G9*((R1174-1)*IF(Skills!H9&gt;0,INT(Skills!I9/Skills!H9+0.000000001),1)+IF(Skills!H9&gt;0,INT(MIN(Skills!I9,MAX(0,MAX(0,Inputs!$B$44-B1201)-((R1174-1)*IF(Inputs!$B$39="pvp",15,MAX(0.1,Skills!D9-IF(TRUE=TRUE,Inputs!$B$33,0))))))/Skills!H9+0.000000001),1)))/Inputs!$B$44),G1174*Q1174))*IF(Inputs!$B$39="pvp",1,1+(Inputs!$B$21+0+Skills!P9+((C1182=TRUE)*F1182*IF(AND(Inputs!$B$39&lt;&gt;"pvp",Inputs!$B$44&gt;0),(((R1182-1)*MIN((Skills!T17*(1+Inputs!$B$35/100)),(1/Q1182))+MIN((Skills!T17*(1+Inputs!$B$35/100)),MAX(0,Inputs!$B$44-((R1182-1)*(1/Q1182)))))/Inputs!$B$44),IF(Inputs!$B$39="pvp",MIN((Skills!T17*(1+Inputs!$B$35/100)),15)/15,MIN(1,(Skills!T17*(1+Inputs!$B$35/100))/(1/Q1182)))))+((C1170=TRUE)*IF(Inputs!$B$3&gt;=126,10*MIN(1,15*Q1170),0))+((C1179=TRUE)*IF(Inputs!$B$39="pvp",20,(1-Summary!$B$11)*(20)+Summary!$B$11*(0))*IF(AND(Inputs!$B$39&lt;&gt;"pvp",Inputs!$B$44&gt;0),(((R1179-1)*MIN((Skills!T14*(1+Inputs!$B$35/100)),(1/Q1179))+MIN((Skills!T14*(1+Inputs!$B$35/100)),MAX(0,Inputs!$B$44-((R1179-1)*(1/Q1179)))))/Inputs!$B$44),IF(Inputs!$B$39="pvp",MIN((Skills!T14*(1+Inputs!$B$35/100)),15)/15,MIN(1,(Skills!T14*(1+Inputs!$B$35/100))/(1/Q1179)))))+((C1178=TRUE)*IF(Inputs!$B$3&gt;=82,IF(Inputs!$B$39="pvp",20,(1-Summary!$B$11)*(20)+Summary!$B$11*(0)),0)*IF(AND(Inputs!$B$39&lt;&gt;"pvp",Inputs!$B$44&gt;0),(((R1178-1)*MIN((Skills!T13*(1+Inputs!$B$35/100)),(1/Q1178))+MIN((Skills!T13*(1+Inputs!$B$35/100)),MAX(0,Inputs!$B$44-((R1178-1)*(1/Q1178)))))/Inputs!$B$44),IF(Inputs!$B$39="pvp",MIN((Skills!T13*(1+Inputs!$B$35/100)),15)/15,MIN(1,(Skills!T13*(1+Inputs!$B$35/100))/(1/Q1178)))))+(IF(AND(ArtifactsInput!$M$35,Inputs!$B$4&lt;&gt;"Chapter Hunt"),CHOOSE(ArtifactsInput!$N$35+1,15,18,21,24,27,30)*(1-EXP(-(0.2*B1196)*5)),0)+IF(AND(ArtifactsInput!$M$22,Inputs!$B$4&lt;&gt;"Chapter Hunt"),CHOOSE(ArtifactsInput!$N$22+1,10,12,14,16,18,20)*((0*(((0.15*B1196*5))^0/1)+1*(((0.15*B1196*5))^1/1)+2*(((0.15*B1196*5))^2/2)+3*(((0.15*B1196*5))^3/6)+4*(((0.15*B1196*5))^4/24)+5*(((0.15*B1196*5))^5/120))/((((0.15*B1196*5))^0/1)+(((0.15*B1196*5))^1/1)+(((0.15*B1196*5))^2/2)+(((0.15*B1196*5))^3/6)+(((0.15*B1196*5))^4/24)+(((0.15*B1196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1174*(1-MIN(100,(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1174*(MIN(100,(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1174*(1-MIN(100,(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1174*(MIN(100,(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74">
        <f>IF(C1174,(H1174*N1174*IF(AND(Inputs!$B$39&lt;&gt;"pvp",Inputs!$B$44&gt;0),((Skills!G9*((R1174-1)*IF(Skills!H9&gt;0,INT(Skills!I9/Skills!H9+0.000000001),1)+IF(Skills!H9&gt;0,INT(MIN(Skills!I9,MAX(0,MAX(0,Inputs!$B$44-B1201)-((R1174-1)*IF(Inputs!$B$39="pvp",15,MAX(0.1,Skills!D9-IF(TRUE=TRUE,Inputs!$B$33,0))))))/Skills!H9+0.000000001),1)))/Inputs!$B$44),G1174*Q1174))*IF(Inputs!$B$39="pvp",1,(1+(Inputs!$B$22+Skills!Q9+((C1182=TRUE)*F1182*IF(AND(Inputs!$B$39&lt;&gt;"pvp",Inputs!$B$44&gt;0),(((R1182-1)*MIN((Skills!T17*(1+Inputs!$B$35/100)),(1/Q1182))+MIN((Skills!T17*(1+Inputs!$B$35/100)),MAX(0,Inputs!$B$44-((R1182-1)*(1/Q1182)))))/Inputs!$B$44),IF(Inputs!$B$39="pvp",MIN((Skills!T17*(1+Inputs!$B$35/100)),15)/15,MIN(1,(Skills!T17*(1+Inputs!$B$35/100))/(1/Q1182)))))+((C1170=TRUE)*IF(Inputs!$B$3&gt;=126,10*MIN(1,15*Q1170),0))+((C1179=TRUE)*IF(Inputs!$B$39="pvp",20,(1-Summary!$B$11)*(20)+Summary!$B$11*(0))*IF(AND(Inputs!$B$39&lt;&gt;"pvp",Inputs!$B$44&gt;0),(((R1179-1)*MIN((Skills!T14*(1+Inputs!$B$35/100)),(1/Q1179))+MIN((Skills!T14*(1+Inputs!$B$35/100)),MAX(0,Inputs!$B$44-((R1179-1)*(1/Q1179)))))/Inputs!$B$44),IF(Inputs!$B$39="pvp",MIN((Skills!T14*(1+Inputs!$B$35/100)),15)/15,MIN(1,(Skills!T14*(1+Inputs!$B$35/100))/(1/Q1179)))))+((C1178=TRUE)*IF(Inputs!$B$3&gt;=82,IF(Inputs!$B$39="pvp",20,(1-Summary!$B$11)*(20)+Summary!$B$11*(0)),0)*IF(AND(Inputs!$B$39&lt;&gt;"pvp",Inputs!$B$44&gt;0),(((R1178-1)*MIN((Skills!T13*(1+Inputs!$B$35/100)),(1/Q1178))+MIN((Skills!T13*(1+Inputs!$B$35/100)),MAX(0,Inputs!$B$44-((R1178-1)*(1/Q1178)))))/Inputs!$B$44),IF(Inputs!$B$39="pvp",MIN((Skills!T13*(1+Inputs!$B$35/100)),15)/15,MIN(1,(Skills!T13*(1+Inputs!$B$35/100))/(1/Q1178)))))+(IF(AND(ArtifactsInput!$M$35,Inputs!$B$4&lt;&gt;"Chapter Hunt"),CHOOSE(ArtifactsInput!$N$35+1,15,18,21,24,27,30)*(1-EXP(-(0.2*B1196)*5)),0)+IF(AND(ArtifactsInput!$M$22,Inputs!$B$4&lt;&gt;"Chapter Hunt"),CHOOSE(ArtifactsInput!$N$22+1,10,12,14,16,18,20)*((0*(((0.15*B1196*5))^0/1)+1*(((0.15*B1196*5))^1/1)+2*(((0.15*B1196*5))^2/2)+3*(((0.15*B1196*5))^3/6)+4*(((0.15*B1196*5))^4/24)+5*(((0.15*B1196*5))^5/120))/((((0.15*B1196*5))^0/1)+(((0.15*B1196*5))^1/1)+(((0.15*B1196*5))^2/2)+(((0.15*B1196*5))^3/6)+(((0.15*B1196*5))^4/24)+(((0.15*B1196*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75">
      <c r="A1175">
        <f>Skills!A10</f>
        <v/>
      </c>
      <c r="B1175">
        <f>Skills!B10</f>
        <v/>
      </c>
      <c r="C1175">
        <f>Inputs!$B$3&gt;=110</f>
        <v/>
      </c>
      <c r="D1175">
        <f>IF(Skills!C10=1,60+Inputs!$B$26+Inputs!$B$30,IF(Skills!C10=2,90+Inputs!$B$27+Inputs!$B$30,IF(Skills!C10=3,120+Inputs!$B$28+Inputs!$B$30,MAX(0,(Inputs!$B$3-100)*3)+Inputs!$B$29+Inputs!$B$30)))</f>
        <v/>
      </c>
      <c r="E1175">
        <f>INDEX(FactorTable!$B$2:$Y$301, MATCH(ROUND(MIN(300,MAX(1,D1175)),0), FactorTable!$A$2:$A$301,0), Skills!M10+1)</f>
        <v/>
      </c>
      <c r="F1175">
        <f>IF(Skills!N10=TRUE,(Skills!L10/10)*(E1175/1000),Skills!L10/10)+Skills!O10</f>
        <v/>
      </c>
      <c r="G1175">
        <f>Skills!G10*IF(Skills!H10&gt;0,INT(IF(Inputs!$B$39="pvp",MIN(Skills!I10,15),Skills!I10)/Skills!H10+0.000000001),1)</f>
        <v/>
      </c>
      <c r="H1175">
        <f>1-(1-Skills!J10/100)^Skills!K10</f>
        <v/>
      </c>
      <c r="I1175" t="inlineStr">
        <is>
          <t>1</t>
        </is>
      </c>
      <c r="J1175">
        <f>((Inputs!$B$6*(1+Inputs!$B$7/100))+(((Inputs!$B$13*(1+Inputs!$B$14/100))-(Inputs!$B$13*(1+Inputs!$B$14/100)))+0.25*(Inputs!$B$15-Inputs!$B$15))*(1+Inputs!$B$7/100))*(F1175/100)</f>
        <v/>
      </c>
      <c r="K1175">
        <f>J1175*(1+(((Inputs!$B$13+IF(Inputs!$B$3&gt;=38,(10*INDEX(FactorTable!$B$2:$Y$301, MATCH(ROUND(MIN(300,MAX(1,Inputs!$B$3)),0), FactorTable!$A$2:$A$301,0), 23)/1000)/100*(Inputs!$B$8*(1+Inputs!$B$9/100)),0))*(1+Inputs!$B$14/100))*0.01+Inputs!$B$15*0.0025)/100)*(1+Inputs!$B$16/100)*(1+Inputs!$B$17/100)*(5000/(6000+Inputs!$B$43*(1-(Inputs!$B$20+0)/100)))*(1+(Inputs!$B$25+((C1190=TRUE)*(F1190-Calc!F25))+((C1191=TRUE)*(F1191-Calc!F26))+B1200)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gt;=100),MIN(100,((Inputs!$B$10+0+B1194+(ArtifactsInput!$M$24-ArtifactsInput!$M$24)*CHOOSE(ArtifactsInput!$N$24+1,10,12,14,16,18,20)+IF(ArtifactsInput!$M$10,CHOOSE(ArtifactsInput!$N$10+1,15,18,21,24,27,30)*(IF(Inputs!$B$39="pvp",MIN(15,15)/15,IF(AND(Inputs!$B$39&lt;&gt;"pvp",Inputs!$B$44&gt;0),MIN(15,Inputs!$B$44)/(Inputs!$B$44),0))),0)))-100),0))*CHOOSE(ArtifactsInput!$N$42+1,0.6,0.72,0.84,0.96,1.08,1.2))),Inputs!$B$19+((C1188=TRUE)*(F1188-Calc!F23))+(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gt;=100),CHOOSE(ArtifactsInput!$N$42+1,40,48,56,64,72,80),0))))/100)*((1+(((C1178=TRUE)*F1178*IF(AND(Inputs!$B$39&lt;&gt;"pvp",Inputs!$B$44&gt;0),(((R1178-1)*MIN((Skills!T13*(1+Inputs!$B$35/100)),(1/Q1178))+MIN((Skills!T13*(1+Inputs!$B$35/100)),MAX(0,Inputs!$B$44-((R1178-1)*(1/Q1178)))))/Inputs!$B$44),IF(Inputs!$B$39="pvp",MIN((Skills!T13*(1+Inputs!$B$35/100)),15)/15,MIN(1,(Skills!T13*(1+Inputs!$B$35/100))/(1/Q1178)))))+((C1179=TRUE)*F1179*IF(AND(Inputs!$B$39&lt;&gt;"pvp",Inputs!$B$44&gt;0),(((R1179-1)*MIN((Skills!T14*(1+Inputs!$B$35/100)),(1/Q1179))+MIN((Skills!T14*(1+Inputs!$B$35/100)),MAX(0,Inputs!$B$44-((R1179-1)*(1/Q1179)))))/Inputs!$B$44),IF(Inputs!$B$39="pvp",MIN((Skills!T14*(1+Inputs!$B$35/100)),15)/15,MIN(1,(Skills!T14*(1+Inputs!$B$35/100))/(1/Q1179)))))+((C1180=TRUE)*F1180*IF(AND(Inputs!$B$39&lt;&gt;"pvp",Inputs!$B$44&gt;0),(((R1180-1)*MIN((Skills!T15*(1+Inputs!$B$35/100)),(1/Q1180))+MIN((Skills!T15*(1+Inputs!$B$35/100)),MAX(0,Inputs!$B$44-((R1180-1)*(1/Q1180)))))/Inputs!$B$44),IF(Inputs!$B$39="pvp",MIN((Skills!T15*(1+Inputs!$B$35/100)),15)/15,MIN(1,(Skills!T15*(1+Inputs!$B$35/100))/(1/Q1180)))))+((C1181=TRUE)*F1181*IF(AND(Inputs!$B$39&lt;&gt;"pvp",Inputs!$B$44&gt;0),(((R1181-1)*MIN((Skills!T16*(1+Inputs!$B$35/100)),(1/Q1181))+MIN((Skills!T16*(1+Inputs!$B$35/100)),MAX(0,Inputs!$B$44-((R1181-1)*(1/Q1181)))))/Inputs!$B$44),IF(Inputs!$B$39="pvp",MIN((Skills!T16*(1+Inputs!$B$35/100)),15)/15,MIN(1,(Skills!T16*(1+Inputs!$B$35/100))/(1/Q1181)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1175)</f>
        <v/>
      </c>
      <c r="L1175">
        <f>K1175*(MIN(Inputs!$B$23+((C1187=TRUE)*(F1187-Calc!F22)),(Inputs!$B$24+((C1189=TRUE)*(F1189-Calc!F24))+(IF(ArtifactsInput!$M$15,CHOOSE(ArtifactsInput!$N$15+1,25,30,35,40,45,50)/100*(Inputs!$B$12-Inputs!$B$12),0))))/100+(Inputs!$B$24+((C1189=TRUE)*(F1189-Calc!F24))+(IF(ArtifactsInput!$M$15,CHOOSE(ArtifactsInput!$N$15+1,25,30,35,40,45,50)/100*(Inputs!$B$12-Inputs!$B$12),0)))/100)/2</f>
        <v/>
      </c>
      <c r="M1175">
        <f>L1175*(1+(Inputs!$B$11+0+B1199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175">
        <f>L1175*(1-MIN((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1175*(MIN((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75">
        <f>(1-Summary!$B$11)*T1175+Summary!$B$11*V1175</f>
        <v/>
      </c>
      <c r="P1175">
        <f>IF(B1204=0,0,O1175/B1204)</f>
        <v/>
      </c>
      <c r="Q1175">
        <f>IFERROR(1/IF(Inputs!$B$39="pvp",15,MAX(0.1,Skills!D10-IF(TRUE=TRUE,Inputs!$B$33,0))),0)</f>
        <v/>
      </c>
      <c r="R1175">
        <f>IF(AND(Inputs!$B$39&lt;&gt;"pvp",Inputs!$B$44&gt;0),IF(MAX(0,Inputs!$B$44-B1201)&lt;=0,0,(INT(MAX(0,Inputs!$B$44-B1201)/IF(Inputs!$B$39="pvp",15,MAX(0.1,Skills!D10-IF(TRUE=TRUE,Inputs!$B$33,0))))+1)),0)</f>
        <v/>
      </c>
      <c r="S1175">
        <f>IFERROR(O1175/N1175,0)</f>
        <v/>
      </c>
      <c r="T1175">
        <f>IF(C1175,(H1175*N1175*IF(AND(Inputs!$B$39&lt;&gt;"pvp",Inputs!$B$44&gt;0),((Skills!G10*((R1175-1)*IF(Skills!H10&gt;0,INT(Skills!I10/Skills!H10+0.000000001),1)+IF(Skills!H10&gt;0,INT(MIN(Skills!I10,MAX(0,MAX(0,Inputs!$B$44-B1201)-((R1175-1)*IF(Inputs!$B$39="pvp",15,MAX(0.1,Skills!D10-IF(TRUE=TRUE,Inputs!$B$33,0))))))/Skills!H10+0.000000001),1)))/Inputs!$B$44),G1175*Q1175))*IF(Inputs!$B$39="pvp",1,1+(Inputs!$B$21+0+Skills!P10+((C1182=TRUE)*F1182*IF(AND(Inputs!$B$39&lt;&gt;"pvp",Inputs!$B$44&gt;0),(((R1182-1)*MIN((Skills!T17*(1+Inputs!$B$35/100)),(1/Q1182))+MIN((Skills!T17*(1+Inputs!$B$35/100)),MAX(0,Inputs!$B$44-((R1182-1)*(1/Q1182)))))/Inputs!$B$44),IF(Inputs!$B$39="pvp",MIN((Skills!T17*(1+Inputs!$B$35/100)),15)/15,MIN(1,(Skills!T17*(1+Inputs!$B$35/100))/(1/Q1182)))))+((C1170=TRUE)*IF(Inputs!$B$3&gt;=126,10*MIN(1,15*Q1170),0))+((C1179=TRUE)*IF(Inputs!$B$39="pvp",20,(1-Summary!$B$11)*(20)+Summary!$B$11*(0))*IF(AND(Inputs!$B$39&lt;&gt;"pvp",Inputs!$B$44&gt;0),(((R1179-1)*MIN((Skills!T14*(1+Inputs!$B$35/100)),(1/Q1179))+MIN((Skills!T14*(1+Inputs!$B$35/100)),MAX(0,Inputs!$B$44-((R1179-1)*(1/Q1179)))))/Inputs!$B$44),IF(Inputs!$B$39="pvp",MIN((Skills!T14*(1+Inputs!$B$35/100)),15)/15,MIN(1,(Skills!T14*(1+Inputs!$B$35/100))/(1/Q1179)))))+((C1178=TRUE)*IF(Inputs!$B$3&gt;=82,IF(Inputs!$B$39="pvp",20,(1-Summary!$B$11)*(20)+Summary!$B$11*(0)),0)*IF(AND(Inputs!$B$39&lt;&gt;"pvp",Inputs!$B$44&gt;0),(((R1178-1)*MIN((Skills!T13*(1+Inputs!$B$35/100)),(1/Q1178))+MIN((Skills!T13*(1+Inputs!$B$35/100)),MAX(0,Inputs!$B$44-((R1178-1)*(1/Q1178)))))/Inputs!$B$44),IF(Inputs!$B$39="pvp",MIN((Skills!T13*(1+Inputs!$B$35/100)),15)/15,MIN(1,(Skills!T13*(1+Inputs!$B$35/100))/(1/Q1178)))))+(IF(AND(ArtifactsInput!$M$35,Inputs!$B$4&lt;&gt;"Chapter Hunt"),CHOOSE(ArtifactsInput!$N$35+1,15,18,21,24,27,30)*(1-EXP(-(0.2*B1196)*5)),0)+IF(AND(ArtifactsInput!$M$22,Inputs!$B$4&lt;&gt;"Chapter Hunt"),CHOOSE(ArtifactsInput!$N$22+1,10,12,14,16,18,20)*((0*(((0.15*B1196*5))^0/1)+1*(((0.15*B1196*5))^1/1)+2*(((0.15*B1196*5))^2/2)+3*(((0.15*B1196*5))^3/6)+4*(((0.15*B1196*5))^4/24)+5*(((0.15*B1196*5))^5/120))/((((0.15*B1196*5))^0/1)+(((0.15*B1196*5))^1/1)+(((0.15*B1196*5))^2/2)+(((0.15*B1196*5))^3/6)+(((0.15*B1196*5))^4/24)+(((0.15*B1196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1175*(1-MIN(100,(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1175*(MIN(100,(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1175*(1-MIN(100,(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1175*(MIN(100,(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75">
        <f>IF(C1175,(H1175*N1175*IF(AND(Inputs!$B$39&lt;&gt;"pvp",Inputs!$B$44&gt;0),((Skills!G10*((R1175-1)*IF(Skills!H10&gt;0,INT(Skills!I10/Skills!H10+0.000000001),1)+IF(Skills!H10&gt;0,INT(MIN(Skills!I10,MAX(0,MAX(0,Inputs!$B$44-B1201)-((R1175-1)*IF(Inputs!$B$39="pvp",15,MAX(0.1,Skills!D10-IF(TRUE=TRUE,Inputs!$B$33,0))))))/Skills!H10+0.000000001),1)))/Inputs!$B$44),G1175*Q1175))*IF(Inputs!$B$39="pvp",1,(1+(Inputs!$B$22+Skills!Q10+((C1182=TRUE)*F1182*IF(AND(Inputs!$B$39&lt;&gt;"pvp",Inputs!$B$44&gt;0),(((R1182-1)*MIN((Skills!T17*(1+Inputs!$B$35/100)),(1/Q1182))+MIN((Skills!T17*(1+Inputs!$B$35/100)),MAX(0,Inputs!$B$44-((R1182-1)*(1/Q1182)))))/Inputs!$B$44),IF(Inputs!$B$39="pvp",MIN((Skills!T17*(1+Inputs!$B$35/100)),15)/15,MIN(1,(Skills!T17*(1+Inputs!$B$35/100))/(1/Q1182)))))+((C1170=TRUE)*IF(Inputs!$B$3&gt;=126,10*MIN(1,15*Q1170),0))+((C1179=TRUE)*IF(Inputs!$B$39="pvp",20,(1-Summary!$B$11)*(20)+Summary!$B$11*(0))*IF(AND(Inputs!$B$39&lt;&gt;"pvp",Inputs!$B$44&gt;0),(((R1179-1)*MIN((Skills!T14*(1+Inputs!$B$35/100)),(1/Q1179))+MIN((Skills!T14*(1+Inputs!$B$35/100)),MAX(0,Inputs!$B$44-((R1179-1)*(1/Q1179)))))/Inputs!$B$44),IF(Inputs!$B$39="pvp",MIN((Skills!T14*(1+Inputs!$B$35/100)),15)/15,MIN(1,(Skills!T14*(1+Inputs!$B$35/100))/(1/Q1179)))))+((C1178=TRUE)*IF(Inputs!$B$3&gt;=82,IF(Inputs!$B$39="pvp",20,(1-Summary!$B$11)*(20)+Summary!$B$11*(0)),0)*IF(AND(Inputs!$B$39&lt;&gt;"pvp",Inputs!$B$44&gt;0),(((R1178-1)*MIN((Skills!T13*(1+Inputs!$B$35/100)),(1/Q1178))+MIN((Skills!T13*(1+Inputs!$B$35/100)),MAX(0,Inputs!$B$44-((R1178-1)*(1/Q1178)))))/Inputs!$B$44),IF(Inputs!$B$39="pvp",MIN((Skills!T13*(1+Inputs!$B$35/100)),15)/15,MIN(1,(Skills!T13*(1+Inputs!$B$35/100))/(1/Q1178)))))+(IF(AND(ArtifactsInput!$M$35,Inputs!$B$4&lt;&gt;"Chapter Hunt"),CHOOSE(ArtifactsInput!$N$35+1,15,18,21,24,27,30)*(1-EXP(-(0.2*B1196)*5)),0)+IF(AND(ArtifactsInput!$M$22,Inputs!$B$4&lt;&gt;"Chapter Hunt"),CHOOSE(ArtifactsInput!$N$22+1,10,12,14,16,18,20)*((0*(((0.15*B1196*5))^0/1)+1*(((0.15*B1196*5))^1/1)+2*(((0.15*B1196*5))^2/2)+3*(((0.15*B1196*5))^3/6)+4*(((0.15*B1196*5))^4/24)+5*(((0.15*B1196*5))^5/120))/((((0.15*B1196*5))^0/1)+(((0.15*B1196*5))^1/1)+(((0.15*B1196*5))^2/2)+(((0.15*B1196*5))^3/6)+(((0.15*B1196*5))^4/24)+(((0.15*B1196*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76">
      <c r="A1176">
        <f>Skills!A11</f>
        <v/>
      </c>
      <c r="B1176">
        <f>Skills!B11</f>
        <v/>
      </c>
      <c r="C1176">
        <f>Inputs!$B$3&gt;=100</f>
        <v/>
      </c>
      <c r="D1176">
        <f>IF(Skills!C11=1,60+Inputs!$B$26+Inputs!$B$30,IF(Skills!C11=2,90+Inputs!$B$27+Inputs!$B$30,IF(Skills!C11=3,120+Inputs!$B$28+Inputs!$B$30,MAX(0,(Inputs!$B$3-100)*3)+Inputs!$B$29+Inputs!$B$30)))</f>
        <v/>
      </c>
      <c r="E1176">
        <f>INDEX(FactorTable!$B$2:$Y$301, MATCH(ROUND(MIN(300,MAX(1,D1176)),0), FactorTable!$A$2:$A$301,0), Skills!M11+1)</f>
        <v/>
      </c>
      <c r="F1176">
        <f>IF(Skills!N11=TRUE,(Skills!L11/10)*(E1176/1000),Skills!L11/10)+Skills!O11</f>
        <v/>
      </c>
      <c r="G1176" t="inlineStr"/>
      <c r="H1176" t="inlineStr"/>
      <c r="I1176" t="inlineStr">
        <is>
          <t>1</t>
        </is>
      </c>
      <c r="J1176" t="inlineStr"/>
      <c r="K1176" t="inlineStr"/>
      <c r="L1176" t="inlineStr"/>
      <c r="M1176" t="inlineStr"/>
      <c r="N1176" t="inlineStr"/>
      <c r="O1176" t="inlineStr"/>
      <c r="P1176" t="inlineStr"/>
      <c r="Q1176" t="inlineStr"/>
      <c r="R1176" t="inlineStr"/>
      <c r="S1176" t="inlineStr"/>
    </row>
    <row r="1177">
      <c r="A1177">
        <f>Skills!A12</f>
        <v/>
      </c>
      <c r="B1177">
        <f>Skills!B12</f>
        <v/>
      </c>
      <c r="C1177">
        <f>Inputs!$B$3&gt;=63</f>
        <v/>
      </c>
      <c r="D1177">
        <f>IF(Skills!C12=1,60+Inputs!$B$26+Inputs!$B$30,IF(Skills!C12=2,90+Inputs!$B$27+Inputs!$B$30,IF(Skills!C12=3,120+Inputs!$B$28+Inputs!$B$30,MAX(0,(Inputs!$B$3-100)*3)+Inputs!$B$29+Inputs!$B$30)))</f>
        <v/>
      </c>
      <c r="E1177">
        <f>INDEX(FactorTable!$B$2:$Y$301, MATCH(ROUND(MIN(300,MAX(1,D1177)),0), FactorTable!$A$2:$A$301,0), Skills!M12+1)</f>
        <v/>
      </c>
      <c r="F1177">
        <f>IF(Skills!N12=TRUE,(Skills!L12/10)*(E1177/1000),Skills!L12/10)+Skills!O12</f>
        <v/>
      </c>
      <c r="G1177">
        <f>Skills!G12*IF(Skills!H12&gt;0,INT(IF(Inputs!$B$39="pvp",MIN(Skills!I12,15),Skills!I12)/Skills!H12+0.000000001),1)</f>
        <v/>
      </c>
      <c r="H1177">
        <f>1-(1-Skills!J12/100)^Skills!K12</f>
        <v/>
      </c>
      <c r="I1177" t="inlineStr">
        <is>
          <t>1</t>
        </is>
      </c>
      <c r="J1177">
        <f>((Inputs!$B$6*(1+Inputs!$B$7/100))+(((Inputs!$B$13*(1+Inputs!$B$14/100))-(Inputs!$B$13*(1+Inputs!$B$14/100)))+0.25*(Inputs!$B$15-Inputs!$B$15))*(1+Inputs!$B$7/100))*(F1177/100)</f>
        <v/>
      </c>
      <c r="K1177">
        <f>J1177*(1+(((Inputs!$B$13+IF(Inputs!$B$3&gt;=38,(10*INDEX(FactorTable!$B$2:$Y$301, MATCH(ROUND(MIN(300,MAX(1,Inputs!$B$3)),0), FactorTable!$A$2:$A$301,0), 23)/1000)/100*(Inputs!$B$8*(1+Inputs!$B$9/100)),0))*(1+Inputs!$B$14/100))*0.01+Inputs!$B$15*0.0025)/100)*(1+Inputs!$B$16/100)*(1+Inputs!$B$17/100)*(5000/(6000+Inputs!$B$43*(1-(Inputs!$B$20+0)/100)))*(1+(Inputs!$B$25+((C1190=TRUE)*(F1190-Calc!F25))+((C1191=TRUE)*(F1191-Calc!F26))+B1200)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1176=TRUE,F1176,0)/100)*(1+(IF(Skills!A12="DARK_IMPALE",Inputs!$B$18+0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gt;=100),MIN(100,((Inputs!$B$10+0+B1194+(ArtifactsInput!$M$24-ArtifactsInput!$M$24)*CHOOSE(ArtifactsInput!$N$24+1,10,12,14,16,18,20)+IF(ArtifactsInput!$M$10,CHOOSE(ArtifactsInput!$N$10+1,15,18,21,24,27,30)*(IF(Inputs!$B$39="pvp",MIN(15,15)/15,IF(AND(Inputs!$B$39&lt;&gt;"pvp",Inputs!$B$44&gt;0),MIN(15,Inputs!$B$44)/(Inputs!$B$44),0))),0)))-100),0))*CHOOSE(ArtifactsInput!$N$42+1,0.6,0.72,0.84,0.96,1.08,1.2))),Inputs!$B$19+((C1188=TRUE)*(F1188-Calc!F23))+(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gt;=100),CHOOSE(ArtifactsInput!$N$42+1,40,48,56,64,72,80),0))))/100)*((1+(((C1178=TRUE)*F1178*IF(AND(Inputs!$B$39&lt;&gt;"pvp",Inputs!$B$44&gt;0),(((R1178-1)*MIN((Skills!T13*(1+Inputs!$B$35/100)),(1/Q1178))+MIN((Skills!T13*(1+Inputs!$B$35/100)),MAX(0,Inputs!$B$44-((R1178-1)*(1/Q1178)))))/Inputs!$B$44),IF(Inputs!$B$39="pvp",MIN((Skills!T13*(1+Inputs!$B$35/100)),15)/15,MIN(1,(Skills!T13*(1+Inputs!$B$35/100))/(1/Q1178)))))+((C1179=TRUE)*F1179*IF(AND(Inputs!$B$39&lt;&gt;"pvp",Inputs!$B$44&gt;0),(((R1179-1)*MIN((Skills!T14*(1+Inputs!$B$35/100)),(1/Q1179))+MIN((Skills!T14*(1+Inputs!$B$35/100)),MAX(0,Inputs!$B$44-((R1179-1)*(1/Q1179)))))/Inputs!$B$44),IF(Inputs!$B$39="pvp",MIN((Skills!T14*(1+Inputs!$B$35/100)),15)/15,MIN(1,(Skills!T14*(1+Inputs!$B$35/100))/(1/Q1179)))))+((C1180=TRUE)*F1180*IF(AND(Inputs!$B$39&lt;&gt;"pvp",Inputs!$B$44&gt;0),(((R1180-1)*MIN((Skills!T15*(1+Inputs!$B$35/100)),(1/Q1180))+MIN((Skills!T15*(1+Inputs!$B$35/100)),MAX(0,Inputs!$B$44-((R1180-1)*(1/Q1180)))))/Inputs!$B$44),IF(Inputs!$B$39="pvp",MIN((Skills!T15*(1+Inputs!$B$35/100)),15)/15,MIN(1,(Skills!T15*(1+Inputs!$B$35/100))/(1/Q1180)))))+((C1181=TRUE)*F1181*IF(AND(Inputs!$B$39&lt;&gt;"pvp",Inputs!$B$44&gt;0),(((R1181-1)*MIN((Skills!T16*(1+Inputs!$B$35/100)),(1/Q1181))+MIN((Skills!T16*(1+Inputs!$B$35/100)),MAX(0,Inputs!$B$44-((R1181-1)*(1/Q1181)))))/Inputs!$B$44),IF(Inputs!$B$39="pvp",MIN((Skills!T16*(1+Inputs!$B$35/100)),15)/15,MIN(1,(Skills!T16*(1+Inputs!$B$35/100))/(1/Q1181)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1177)</f>
        <v/>
      </c>
      <c r="L1177">
        <f>K1177*(MIN(Inputs!$B$23+((C1187=TRUE)*(F1187-Calc!F22)),(Inputs!$B$24+((C1189=TRUE)*(F1189-Calc!F24))+(IF(ArtifactsInput!$M$15,CHOOSE(ArtifactsInput!$N$15+1,25,30,35,40,45,50)/100*(Inputs!$B$12-Inputs!$B$12),0))))/100+(Inputs!$B$24+((C1189=TRUE)*(F1189-Calc!F24))+(IF(ArtifactsInput!$M$15,CHOOSE(ArtifactsInput!$N$15+1,25,30,35,40,45,50)/100*(Inputs!$B$12-Inputs!$B$12),0)))/100)/2</f>
        <v/>
      </c>
      <c r="M1177">
        <f>L1177*(1+(Inputs!$B$11+0+B1199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177">
        <f>L1177*(1-MIN((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1177*(MIN((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77">
        <f>(1-Summary!$B$11)*T1177+Summary!$B$11*V1177</f>
        <v/>
      </c>
      <c r="P1177">
        <f>IF(B1204=0,0,O1177/B1204)</f>
        <v/>
      </c>
      <c r="Q1177">
        <f>IFERROR(1/IF(Inputs!$B$39="pvp",15,MAX(0.1,Skills!D12-IF(TRUE=TRUE,Inputs!$B$33,0))),0)</f>
        <v/>
      </c>
      <c r="R1177">
        <f>IF(AND(Inputs!$B$39&lt;&gt;"pvp",Inputs!$B$44&gt;0),IF(MAX(0,Inputs!$B$44-B1201)&lt;=0,0,(INT(MAX(0,Inputs!$B$44-B1201)/IF(Inputs!$B$39="pvp",15,MAX(0.1,Skills!D12-IF(TRUE=TRUE,Inputs!$B$33,0))))+1)),0)</f>
        <v/>
      </c>
      <c r="S1177">
        <f>IFERROR(O1177/N1177,0)</f>
        <v/>
      </c>
      <c r="T1177">
        <f>IF(C1177,(H1177*N1177*IF(AND(Inputs!$B$39&lt;&gt;"pvp",Inputs!$B$44&gt;0),((Skills!G12*((R1177-1)*IF(Skills!H12&gt;0,INT(Skills!I12/Skills!H12+0.000000001),1)+IF(Skills!H12&gt;0,INT(MIN(Skills!I12,MAX(0,MAX(0,Inputs!$B$44-B1201)-((R1177-1)*IF(Inputs!$B$39="pvp",15,MAX(0.1,Skills!D12-IF(TRUE=TRUE,Inputs!$B$33,0))))))/Skills!H12+0.000000001),1)))/Inputs!$B$44),G1177*Q1177))*IF(Inputs!$B$39="pvp",1,1+(Inputs!$B$21+0+Skills!P12+((C1182=TRUE)*F1182*IF(AND(Inputs!$B$39&lt;&gt;"pvp",Inputs!$B$44&gt;0),(((R1182-1)*MIN((Skills!T17*(1+Inputs!$B$35/100)),(1/Q1182))+MIN((Skills!T17*(1+Inputs!$B$35/100)),MAX(0,Inputs!$B$44-((R1182-1)*(1/Q1182)))))/Inputs!$B$44),IF(Inputs!$B$39="pvp",MIN((Skills!T17*(1+Inputs!$B$35/100)),15)/15,MIN(1,(Skills!T17*(1+Inputs!$B$35/100))/(1/Q1182)))))+((C1170=TRUE)*IF(Inputs!$B$3&gt;=126,10*MIN(1,15*Q1170),0))+((C1179=TRUE)*IF(Inputs!$B$39="pvp",20,(1-Summary!$B$11)*(20)+Summary!$B$11*(0))*IF(AND(Inputs!$B$39&lt;&gt;"pvp",Inputs!$B$44&gt;0),(((R1179-1)*MIN((Skills!T14*(1+Inputs!$B$35/100)),(1/Q1179))+MIN((Skills!T14*(1+Inputs!$B$35/100)),MAX(0,Inputs!$B$44-((R1179-1)*(1/Q1179)))))/Inputs!$B$44),IF(Inputs!$B$39="pvp",MIN((Skills!T14*(1+Inputs!$B$35/100)),15)/15,MIN(1,(Skills!T14*(1+Inputs!$B$35/100))/(1/Q1179)))))+((C1178=TRUE)*IF(Inputs!$B$3&gt;=82,IF(Inputs!$B$39="pvp",20,(1-Summary!$B$11)*(20)+Summary!$B$11*(0)),0)*IF(AND(Inputs!$B$39&lt;&gt;"pvp",Inputs!$B$44&gt;0),(((R1178-1)*MIN((Skills!T13*(1+Inputs!$B$35/100)),(1/Q1178))+MIN((Skills!T13*(1+Inputs!$B$35/100)),MAX(0,Inputs!$B$44-((R1178-1)*(1/Q1178)))))/Inputs!$B$44),IF(Inputs!$B$39="pvp",MIN((Skills!T13*(1+Inputs!$B$35/100)),15)/15,MIN(1,(Skills!T13*(1+Inputs!$B$35/100))/(1/Q1178)))))+(IF(AND(ArtifactsInput!$M$35,Inputs!$B$4&lt;&gt;"Chapter Hunt"),CHOOSE(ArtifactsInput!$N$35+1,15,18,21,24,27,30)*(1-EXP(-(0.2*B1196)*5)),0)+IF(AND(ArtifactsInput!$M$22,Inputs!$B$4&lt;&gt;"Chapter Hunt"),CHOOSE(ArtifactsInput!$N$22+1,10,12,14,16,18,20)*((0*(((0.15*B1196*5))^0/1)+1*(((0.15*B1196*5))^1/1)+2*(((0.15*B1196*5))^2/2)+3*(((0.15*B1196*5))^3/6)+4*(((0.15*B1196*5))^4/24)+5*(((0.15*B1196*5))^5/120))/((((0.15*B1196*5))^0/1)+(((0.15*B1196*5))^1/1)+(((0.15*B1196*5))^2/2)+(((0.15*B1196*5))^3/6)+(((0.15*B1196*5))^4/24)+(((0.15*B1196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1177*(1-MIN(100,(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1177*(MIN(100,(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1177*(1-MIN(100,(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1177*(MIN(100,(Inputs!$B$10+0+B1194+(ArtifactsInput!$M$24-ArtifactsInput!$M$24)*CHOOSE(ArtifactsInput!$N$24+1,10,12,14,16,18,20)+(IF(AND(Inputs!$B$39&lt;&gt;"pvp",Inputs!$B$44=0),1,IF(IF(Inputs!$B$39="pvp",15,Inputs!$B$44)-(B1201)&lt;=0,1,MAX(0,IF(Inputs!$B$39="pvp",15,Inputs!$B$44)-MAX(5,B1201))/(IF(Inputs!$B$39="pvp",15,Inputs!$B$44)-(B1201))))*IF(AND(ArtifactsInput!$M$42,((Inputs!$B$10+0+B1194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177">
        <f>IF(C1177,(H1177*N1177*IF(AND(Inputs!$B$39&lt;&gt;"pvp",Inputs!$B$44&gt;0),((Skills!G12*((R1177-1)*IF(Skills!H12&gt;0,INT(Skills!I12/Skills!H12+0.000000001),1)+IF(Skills!H12&gt;0,INT(MIN(Skills!I12,MAX(0,MAX(0,Inputs!$B$44-B1201)-((R1177-1)*IF(Inputs!$B$39="pvp",15,MAX(0.1,Skills!D12-IF(TRUE=TRUE,Inputs!$B$33,0))))))/Skills!H12+0.000000001),1)))/Inputs!$B$44),G1177*Q1177))*IF(Inputs!$B$39="pvp",1,(1+(Inputs!$B$22+Skills!Q12+((C1182=TRUE)*F1182*IF(AND(Inputs!$B$39&lt;&gt;"pvp",Inputs!$B$44&gt;0),(((R1182-1)*MIN((Skills!T17*(1+Inputs!$B$35/100)),(1/Q1182))+MIN((Skills!T17*(1+Inputs!$B$35/100)),MAX(0,Inputs!$B$44-((R1182-1)*(1/Q1182)))))/Inputs!$B$44),IF(Inputs!$B$39="pvp",MIN((Skills!T17*(1+Inputs!$B$35/100)),15)/15,MIN(1,(Skills!T17*(1+Inputs!$B$35/100))/(1/Q1182)))))+((C1170=TRUE)*IF(Inputs!$B$3&gt;=126,10*MIN(1,15*Q1170),0))+((C1179=TRUE)*IF(Inputs!$B$39="pvp",20,(1-Summary!$B$11)*(20)+Summary!$B$11*(0))*IF(AND(Inputs!$B$39&lt;&gt;"pvp",Inputs!$B$44&gt;0),(((R1179-1)*MIN((Skills!T14*(1+Inputs!$B$35/100)),(1/Q1179))+MIN((Skills!T14*(1+Inputs!$B$35/100)),MAX(0,Inputs!$B$44-((R1179-1)*(1/Q1179)))))/Inputs!$B$44),IF(Inputs!$B$39="pvp",MIN((Skills!T14*(1+Inputs!$B$35/100)),15)/15,MIN(1,(Skills!T14*(1+Inputs!$B$35/100))/(1/Q1179)))))+((C1178=TRUE)*IF(Inputs!$B$3&gt;=82,IF(Inputs!$B$39="pvp",20,(1-Summary!$B$11)*(20)+Summary!$B$11*(0)),0)*IF(AND(Inputs!$B$39&lt;&gt;"pvp",Inputs!$B$44&gt;0),(((R1178-1)*MIN((Skills!T13*(1+Inputs!$B$35/100)),(1/Q1178))+MIN((Skills!T13*(1+Inputs!$B$35/100)),MAX(0,Inputs!$B$44-((R1178-1)*(1/Q1178)))))/Inputs!$B$44),IF(Inputs!$B$39="pvp",MIN((Skills!T13*(1+Inputs!$B$35/100)),15)/15,MIN(1,(Skills!T13*(1+Inputs!$B$35/100))/(1/Q1178)))))+(IF(AND(ArtifactsInput!$M$35,Inputs!$B$4&lt;&gt;"Chapter Hunt"),CHOOSE(ArtifactsInput!$N$35+1,15,18,21,24,27,30)*(1-EXP(-(0.2*B1196)*5)),0)+IF(AND(ArtifactsInput!$M$22,Inputs!$B$4&lt;&gt;"Chapter Hunt"),CHOOSE(ArtifactsInput!$N$22+1,10,12,14,16,18,20)*((0*(((0.15*B1196*5))^0/1)+1*(((0.15*B1196*5))^1/1)+2*(((0.15*B1196*5))^2/2)+3*(((0.15*B1196*5))^3/6)+4*(((0.15*B1196*5))^4/24)+5*(((0.15*B1196*5))^5/120))/((((0.15*B1196*5))^0/1)+(((0.15*B1196*5))^1/1)+(((0.15*B1196*5))^2/2)+(((0.15*B1196*5))^3/6)+(((0.15*B1196*5))^4/24)+(((0.15*B1196*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78">
      <c r="A1178">
        <f>Skills!A13</f>
        <v/>
      </c>
      <c r="B1178">
        <f>Skills!B13</f>
        <v/>
      </c>
      <c r="C1178">
        <f>Inputs!$B$3&gt;=69</f>
        <v/>
      </c>
      <c r="D1178">
        <f>IF(Skills!C13=1,60+Inputs!$B$26+Inputs!$B$30,IF(Skills!C13=2,90+Inputs!$B$27+Inputs!$B$30,IF(Skills!C13=3,120+Inputs!$B$28+Inputs!$B$30,MAX(0,(Inputs!$B$3-100)*3)+Inputs!$B$29+Inputs!$B$30)))</f>
        <v/>
      </c>
      <c r="E1178">
        <f>INDEX(FactorTable!$B$2:$Y$301, MATCH(ROUND(MIN(300,MAX(1,D1178)),0), FactorTable!$A$2:$A$301,0), Skills!M13+1)</f>
        <v/>
      </c>
      <c r="F1178">
        <f>IF(Skills!N13=TRUE,(Skills!L13/10)*(E1178/1000),Skills!L13/10)+Skills!O13</f>
        <v/>
      </c>
      <c r="G1178">
        <f>Skills!G13*IF(Skills!H13&gt;0,INT(IF(Inputs!$B$39="pvp",MIN(Skills!I13,15),Skills!I13)/Skills!H13+0.000000001),1)</f>
        <v/>
      </c>
      <c r="H1178">
        <f>1-(1-Skills!J13/100)^Skills!K13</f>
        <v/>
      </c>
      <c r="I1178" t="inlineStr">
        <is>
          <t>1</t>
        </is>
      </c>
      <c r="J1178" t="inlineStr"/>
      <c r="K1178" t="inlineStr"/>
      <c r="L1178" t="inlineStr"/>
      <c r="M1178" t="inlineStr"/>
      <c r="N1178" t="inlineStr"/>
      <c r="O1178">
        <f>(1-Summary!$B$11)*T1178+Summary!$B$11*V1178</f>
        <v/>
      </c>
      <c r="P1178">
        <f>IF(B1204=0,0,O1178/B1204)</f>
        <v/>
      </c>
      <c r="Q1178">
        <f>IFERROR(1/IF(Inputs!$B$39="pvp",15,MAX(0.1,Skills!D13-IF(TRUE=TRUE,Inputs!$B$33,0))),0)</f>
        <v/>
      </c>
      <c r="R1178">
        <f>IF(AND(Inputs!$B$39&lt;&gt;"pvp",Inputs!$B$44&gt;0),IF(Inputs!$B$44&lt;=0,0,(INT(Inputs!$B$44/IF(Inputs!$B$39="pvp",15,MAX(0.1,Skills!D13-IF(TRUE=TRUE,Inputs!$B$33,0))))+1)),0)</f>
        <v/>
      </c>
      <c r="S1178">
        <f>IFERROR(O1178/N1178,0)</f>
        <v/>
      </c>
      <c r="T1178" t="n">
        <v>0</v>
      </c>
      <c r="V1178" t="n">
        <v>0</v>
      </c>
    </row>
    <row r="1179">
      <c r="A1179">
        <f>Skills!A14</f>
        <v/>
      </c>
      <c r="B1179">
        <f>Skills!B14</f>
        <v/>
      </c>
      <c r="C1179">
        <f>Inputs!$B$3&gt;=115</f>
        <v/>
      </c>
      <c r="D1179">
        <f>IF(Skills!C14=1,60+Inputs!$B$26+Inputs!$B$30,IF(Skills!C14=2,90+Inputs!$B$27+Inputs!$B$30,IF(Skills!C14=3,120+Inputs!$B$28+Inputs!$B$30,MAX(0,(Inputs!$B$3-100)*3)+Inputs!$B$29+Inputs!$B$30)))</f>
        <v/>
      </c>
      <c r="E1179">
        <f>INDEX(FactorTable!$B$2:$Y$301, MATCH(ROUND(MIN(300,MAX(1,D1179)),0), FactorTable!$A$2:$A$301,0), Skills!M14+1)</f>
        <v/>
      </c>
      <c r="F1179">
        <f>IF(Skills!N14=TRUE,(Skills!L14/10)*(E1179/1000),Skills!L14/10)+Skills!O14</f>
        <v/>
      </c>
      <c r="G1179">
        <f>Skills!G14*IF(Skills!H14&gt;0,INT(IF(Inputs!$B$39="pvp",MIN(Skills!I14,15),Skills!I14)/Skills!H14+0.000000001),1)</f>
        <v/>
      </c>
      <c r="H1179">
        <f>1-(1-Skills!J14/100)^Skills!K14</f>
        <v/>
      </c>
      <c r="I1179" t="inlineStr">
        <is>
          <t>1</t>
        </is>
      </c>
      <c r="J1179" t="inlineStr"/>
      <c r="K1179" t="inlineStr"/>
      <c r="L1179" t="inlineStr"/>
      <c r="M1179" t="inlineStr"/>
      <c r="N1179" t="inlineStr"/>
      <c r="O1179">
        <f>(1-Summary!$B$11)*T1179+Summary!$B$11*V1179</f>
        <v/>
      </c>
      <c r="P1179">
        <f>IF(B1204=0,0,O1179/B1204)</f>
        <v/>
      </c>
      <c r="Q1179">
        <f>IFERROR(1/IF(Inputs!$B$39="pvp",15,MAX(0.1,Skills!D14-IF(TRUE=TRUE,Inputs!$B$33,0))),0)</f>
        <v/>
      </c>
      <c r="R1179">
        <f>IF(AND(Inputs!$B$39&lt;&gt;"pvp",Inputs!$B$44&gt;0),IF(Inputs!$B$44&lt;=0,0,(INT(Inputs!$B$44/IF(Inputs!$B$39="pvp",15,MAX(0.1,Skills!D14-IF(TRUE=TRUE,Inputs!$B$33,0))))+1)),0)</f>
        <v/>
      </c>
      <c r="S1179">
        <f>IFERROR(O1179/N1179,0)</f>
        <v/>
      </c>
      <c r="T1179" t="n">
        <v>0</v>
      </c>
      <c r="V1179" t="n">
        <v>0</v>
      </c>
    </row>
    <row r="1180">
      <c r="A1180">
        <f>Skills!A15</f>
        <v/>
      </c>
      <c r="B1180">
        <f>Skills!B15</f>
        <v/>
      </c>
      <c r="C1180">
        <f>Inputs!$B$3&gt;=66</f>
        <v/>
      </c>
      <c r="D1180">
        <f>IF(Skills!C15=1,60+Inputs!$B$26+Inputs!$B$30,IF(Skills!C15=2,90+Inputs!$B$27+Inputs!$B$30,IF(Skills!C15=3,120+Inputs!$B$28+Inputs!$B$30,MAX(0,(Inputs!$B$3-100)*3)+Inputs!$B$29+Inputs!$B$30)))</f>
        <v/>
      </c>
      <c r="E1180">
        <f>INDEX(FactorTable!$B$2:$Y$301, MATCH(ROUND(MIN(300,MAX(1,D1180)),0), FactorTable!$A$2:$A$301,0), Skills!M15+1)</f>
        <v/>
      </c>
      <c r="F1180">
        <f>IF(Skills!N15=TRUE,(Skills!L15/10)*(E1180/1000),Skills!L15/10)+Skills!O15</f>
        <v/>
      </c>
      <c r="G1180">
        <f>Skills!G15*IF(Skills!H15&gt;0,INT(IF(Inputs!$B$39="pvp",MIN(Skills!I15,15),Skills!I15)/Skills!H15+0.000000001),1)</f>
        <v/>
      </c>
      <c r="H1180">
        <f>1-(1-Skills!J15/100)^Skills!K15</f>
        <v/>
      </c>
      <c r="I1180" t="inlineStr">
        <is>
          <t>1</t>
        </is>
      </c>
      <c r="J1180" t="inlineStr"/>
      <c r="K1180" t="inlineStr"/>
      <c r="L1180" t="inlineStr"/>
      <c r="M1180" t="inlineStr"/>
      <c r="N1180" t="inlineStr"/>
      <c r="O1180">
        <f>(1-Summary!$B$11)*T1180+Summary!$B$11*V1180</f>
        <v/>
      </c>
      <c r="P1180">
        <f>IF(B1204=0,0,O1180/B1204)</f>
        <v/>
      </c>
      <c r="Q1180">
        <f>IFERROR(1/IF(Inputs!$B$39="pvp",15,MAX(0.1,Skills!D15-IF(TRUE=TRUE,Inputs!$B$33,0))),0)</f>
        <v/>
      </c>
      <c r="R1180">
        <f>IF(AND(Inputs!$B$39&lt;&gt;"pvp",Inputs!$B$44&gt;0),IF(Inputs!$B$44&lt;=0,0,(INT(Inputs!$B$44/IF(Inputs!$B$39="pvp",15,MAX(0.1,Skills!D15-IF(TRUE=TRUE,Inputs!$B$33,0))))+1)),0)</f>
        <v/>
      </c>
      <c r="S1180">
        <f>IFERROR(O1180/N1180,0)</f>
        <v/>
      </c>
      <c r="T1180" t="n">
        <v>0</v>
      </c>
      <c r="V1180" t="n">
        <v>0</v>
      </c>
    </row>
    <row r="1181">
      <c r="A1181">
        <f>Skills!A16</f>
        <v/>
      </c>
      <c r="B1181">
        <f>Skills!B16</f>
        <v/>
      </c>
      <c r="C1181">
        <f>Inputs!$B$3&gt;=45</f>
        <v/>
      </c>
      <c r="D1181">
        <f>IF(Skills!C16=1,60+Inputs!$B$26+Inputs!$B$30,IF(Skills!C16=2,90+Inputs!$B$27+Inputs!$B$30,IF(Skills!C16=3,120+Inputs!$B$28+Inputs!$B$30,MAX(0,(Inputs!$B$3-100)*3)+Inputs!$B$29+Inputs!$B$30)))</f>
        <v/>
      </c>
      <c r="E1181">
        <f>INDEX(FactorTable!$B$2:$Y$301, MATCH(ROUND(MIN(300,MAX(1,D1181)),0), FactorTable!$A$2:$A$301,0), Skills!M16+1)</f>
        <v/>
      </c>
      <c r="F1181">
        <f>IF(Skills!N16=TRUE,(Skills!L16/10)*(E1181/1000),Skills!L16/10)+Skills!O16</f>
        <v/>
      </c>
      <c r="G1181">
        <f>Skills!G16*IF(Skills!H16&gt;0,INT(IF(Inputs!$B$39="pvp",MIN(Skills!I16,15),Skills!I16)/Skills!H16+0.000000001),1)</f>
        <v/>
      </c>
      <c r="H1181">
        <f>1-(1-Skills!J16/100)^Skills!K16</f>
        <v/>
      </c>
      <c r="I1181" t="inlineStr">
        <is>
          <t>1</t>
        </is>
      </c>
      <c r="J1181" t="inlineStr"/>
      <c r="K1181" t="inlineStr"/>
      <c r="L1181" t="inlineStr"/>
      <c r="M1181" t="inlineStr"/>
      <c r="N1181" t="inlineStr"/>
      <c r="O1181">
        <f>(1-Summary!$B$11)*T1181+Summary!$B$11*V1181</f>
        <v/>
      </c>
      <c r="P1181">
        <f>IF(B1204=0,0,O1181/B1204)</f>
        <v/>
      </c>
      <c r="Q1181">
        <f>IFERROR(1/IF(Inputs!$B$39="pvp",15,MAX(0.1,Skills!D16-IF(TRUE=TRUE,Inputs!$B$33,0))),0)</f>
        <v/>
      </c>
      <c r="R1181">
        <f>IF(AND(Inputs!$B$39&lt;&gt;"pvp",Inputs!$B$44&gt;0),IF(Inputs!$B$44&lt;=0,0,(INT(Inputs!$B$44/IF(Inputs!$B$39="pvp",15,MAX(0.1,Skills!D16-IF(TRUE=TRUE,Inputs!$B$33,0))))+1)),0)</f>
        <v/>
      </c>
      <c r="S1181">
        <f>IFERROR(O1181/N1181,0)</f>
        <v/>
      </c>
      <c r="T1181" t="n">
        <v>0</v>
      </c>
      <c r="V1181" t="n">
        <v>0</v>
      </c>
    </row>
    <row r="1182">
      <c r="A1182">
        <f>Skills!A17</f>
        <v/>
      </c>
      <c r="B1182">
        <f>Skills!B17</f>
        <v/>
      </c>
      <c r="C1182">
        <f>Inputs!$B$3&gt;=35</f>
        <v/>
      </c>
      <c r="D1182">
        <f>IF(Skills!C17=1,60+Inputs!$B$26+Inputs!$B$30,IF(Skills!C17=2,90+Inputs!$B$27+Inputs!$B$30,IF(Skills!C17=3,120+Inputs!$B$28+Inputs!$B$30,MAX(0,(Inputs!$B$3-100)*3)+Inputs!$B$29+Inputs!$B$30)))</f>
        <v/>
      </c>
      <c r="E1182">
        <f>INDEX(FactorTable!$B$2:$Y$301, MATCH(ROUND(MIN(300,MAX(1,D1182)),0), FactorTable!$A$2:$A$301,0), Skills!M17+1)</f>
        <v/>
      </c>
      <c r="F1182">
        <f>IF(Skills!N17=TRUE,(Skills!L17/10)*(E1182/1000),Skills!L17/10)+Skills!O17</f>
        <v/>
      </c>
      <c r="G1182">
        <f>Skills!G17*IF(Skills!H17&gt;0,INT(IF(Inputs!$B$39="pvp",MIN(Skills!I17,15),Skills!I17)/Skills!H17+0.000000001),1)</f>
        <v/>
      </c>
      <c r="H1182">
        <f>1-(1-Skills!J17/100)^Skills!K17</f>
        <v/>
      </c>
      <c r="I1182" t="inlineStr">
        <is>
          <t>1</t>
        </is>
      </c>
      <c r="J1182" t="inlineStr"/>
      <c r="K1182" t="inlineStr"/>
      <c r="L1182" t="inlineStr"/>
      <c r="M1182" t="inlineStr"/>
      <c r="N1182" t="inlineStr"/>
      <c r="O1182">
        <f>(1-Summary!$B$11)*T1182+Summary!$B$11*V1182</f>
        <v/>
      </c>
      <c r="P1182">
        <f>IF(B1204=0,0,O1182/B1204)</f>
        <v/>
      </c>
      <c r="Q1182">
        <f>IFERROR(1/IF(Inputs!$B$39="pvp",15,MAX(0.1,Skills!D17-IF(TRUE=TRUE,Inputs!$B$33,0))),0)</f>
        <v/>
      </c>
      <c r="R1182">
        <f>IF(AND(Inputs!$B$39&lt;&gt;"pvp",Inputs!$B$44&gt;0),IF(Inputs!$B$44&lt;=0,0,(INT(Inputs!$B$44/IF(Inputs!$B$39="pvp",15,MAX(0.1,Skills!D17-IF(TRUE=TRUE,Inputs!$B$33,0))))+1)),0)</f>
        <v/>
      </c>
      <c r="S1182">
        <f>IFERROR(O1182/N1182,0)</f>
        <v/>
      </c>
      <c r="T1182" t="n">
        <v>0</v>
      </c>
      <c r="V1182" t="n">
        <v>0</v>
      </c>
    </row>
    <row r="1183">
      <c r="A1183">
        <f>Skills!A18</f>
        <v/>
      </c>
      <c r="B1183">
        <f>Skills!B18</f>
        <v/>
      </c>
      <c r="C1183">
        <f>Inputs!$B$3&gt;=72</f>
        <v/>
      </c>
      <c r="D1183">
        <f>IF(Skills!C18=1,60+Inputs!$B$26+Inputs!$B$30,IF(Skills!C18=2,90+Inputs!$B$27+Inputs!$B$30,IF(Skills!C18=3,120+Inputs!$B$28+Inputs!$B$30,MAX(0,(Inputs!$B$3-100)*3)+Inputs!$B$29+Inputs!$B$30)))</f>
        <v/>
      </c>
      <c r="E1183">
        <f>INDEX(FactorTable!$B$2:$Y$301, MATCH(ROUND(MIN(300,MAX(1,D1183)),0), FactorTable!$A$2:$A$301,0), Skills!M18+1)</f>
        <v/>
      </c>
      <c r="F1183">
        <f>IF(Skills!N18=TRUE,(Skills!L18/10)*(E1183/1000),Skills!L18/10)+Skills!O18</f>
        <v/>
      </c>
      <c r="G1183">
        <f>Skills!G18*IF(Skills!H18&gt;0,INT(IF(Inputs!$B$39="pvp",MIN(Skills!I18,15),Skills!I18)/Skills!H18+0.000000001),1)</f>
        <v/>
      </c>
      <c r="H1183">
        <f>1-(1-Skills!J18/100)^Skills!K18</f>
        <v/>
      </c>
      <c r="I1183" t="inlineStr">
        <is>
          <t>1</t>
        </is>
      </c>
      <c r="J1183" t="inlineStr"/>
      <c r="K1183" t="inlineStr"/>
      <c r="L1183" t="inlineStr"/>
      <c r="M1183" t="inlineStr"/>
      <c r="N1183" t="inlineStr"/>
      <c r="O1183">
        <f>(1-Summary!$B$11)*T1183+Summary!$B$11*V1183</f>
        <v/>
      </c>
      <c r="P1183">
        <f>IF(B1204=0,0,O1183/B1204)</f>
        <v/>
      </c>
      <c r="Q1183">
        <f>IFERROR(1/IF(Inputs!$B$39="pvp",15,MAX(0.1,Skills!D18-IF(TRUE=TRUE,Inputs!$B$33,0))),0)</f>
        <v/>
      </c>
      <c r="R1183">
        <f>IF(AND(Inputs!$B$39&lt;&gt;"pvp",Inputs!$B$44&gt;0),IF(Inputs!$B$44&lt;=0,0,(INT(Inputs!$B$44/IF(Inputs!$B$39="pvp",15,MAX(0.1,Skills!D18-IF(TRUE=TRUE,Inputs!$B$33,0))))+1)),0)</f>
        <v/>
      </c>
      <c r="S1183">
        <f>IFERROR(O1183/N1183,0)</f>
        <v/>
      </c>
      <c r="T1183" t="n">
        <v>0</v>
      </c>
      <c r="V1183" t="n">
        <v>0</v>
      </c>
    </row>
    <row r="1184">
      <c r="A1184">
        <f>Skills!A19</f>
        <v/>
      </c>
      <c r="B1184">
        <f>Skills!B19</f>
        <v/>
      </c>
      <c r="C1184">
        <f>Inputs!$B$3&gt;=72</f>
        <v/>
      </c>
      <c r="D1184">
        <f>IF(Skills!C19=1,60+Inputs!$B$26+Inputs!$B$30,IF(Skills!C19=2,90+Inputs!$B$27+Inputs!$B$30,IF(Skills!C19=3,120+Inputs!$B$28+Inputs!$B$30,MAX(0,(Inputs!$B$3-100)*3)+Inputs!$B$29+Inputs!$B$30)))</f>
        <v/>
      </c>
      <c r="E1184">
        <f>INDEX(FactorTable!$B$2:$Y$301, MATCH(ROUND(MIN(300,MAX(1,D1184)),0), FactorTable!$A$2:$A$301,0), Skills!M19+1)</f>
        <v/>
      </c>
      <c r="F1184">
        <f>IF(Skills!N19=TRUE,(Skills!L19/10)*(E1184/1000),Skills!L19/10)+Skills!O19</f>
        <v/>
      </c>
      <c r="G1184">
        <f>Skills!G19*IF(Skills!H19&gt;0,INT(IF(Inputs!$B$39="pvp",MIN(Skills!I19,15),Skills!I19)/Skills!H19+0.000000001),1)</f>
        <v/>
      </c>
      <c r="H1184">
        <f>1-(1-Skills!J19/100)^Skills!K19</f>
        <v/>
      </c>
      <c r="I1184" t="inlineStr">
        <is>
          <t>1</t>
        </is>
      </c>
      <c r="J1184" t="inlineStr"/>
      <c r="K1184" t="inlineStr"/>
      <c r="L1184" t="inlineStr"/>
      <c r="M1184" t="inlineStr"/>
      <c r="N1184" t="inlineStr"/>
      <c r="O1184">
        <f>(1-Summary!$B$11)*T1184+Summary!$B$11*V1184</f>
        <v/>
      </c>
      <c r="P1184">
        <f>IF(B1204=0,0,O1184/B1204)</f>
        <v/>
      </c>
      <c r="Q1184">
        <f>IFERROR(1/IF(Inputs!$B$39="pvp",15,MAX(0.1,Skills!D19-IF(TRUE=TRUE,Inputs!$B$33,0))),0)</f>
        <v/>
      </c>
      <c r="R1184">
        <f>IF(AND(Inputs!$B$39&lt;&gt;"pvp",Inputs!$B$44&gt;0),IF(Inputs!$B$44&lt;=0,0,(INT(Inputs!$B$44/IF(Inputs!$B$39="pvp",15,MAX(0.1,Skills!D19-IF(TRUE=TRUE,Inputs!$B$33,0))))+1)),0)</f>
        <v/>
      </c>
      <c r="S1184">
        <f>IFERROR(O1184/N1184,0)</f>
        <v/>
      </c>
      <c r="T1184" t="n">
        <v>0</v>
      </c>
      <c r="V1184" t="n">
        <v>0</v>
      </c>
    </row>
    <row r="1185">
      <c r="A1185">
        <f>Skills!A20</f>
        <v/>
      </c>
      <c r="B1185">
        <f>Skills!B20</f>
        <v/>
      </c>
      <c r="C1185">
        <f>TRUE</f>
        <v/>
      </c>
      <c r="D1185">
        <f>IF(Skills!C20=1,60+Inputs!$B$26+Inputs!$B$30,IF(Skills!C20=2,90+Inputs!$B$27+Inputs!$B$30,IF(Skills!C20=3,120+Inputs!$B$28+Inputs!$B$30,MAX(0,(Inputs!$B$3-100)*3)+Inputs!$B$29+Inputs!$B$30)))</f>
        <v/>
      </c>
      <c r="E1185">
        <f>INDEX(FactorTable!$B$2:$Y$301, MATCH(ROUND(MIN(300,MAX(1,D1185)),0), FactorTable!$A$2:$A$301,0), Skills!M20+1)</f>
        <v/>
      </c>
      <c r="F1185">
        <f>IF(Skills!N20=TRUE,(Skills!L20/10)*(E1185/1000),Skills!L20/10)+Skills!O20</f>
        <v/>
      </c>
      <c r="G1185">
        <f>Skills!G20*IF(Skills!H20&gt;0,INT(IF(Inputs!$B$39="pvp",MIN(Skills!I20,15),Skills!I20)/Skills!H20+0.000000001),1)</f>
        <v/>
      </c>
      <c r="H1185">
        <f>1-(1-Skills!J20/100)^Skills!K20</f>
        <v/>
      </c>
      <c r="I1185" t="inlineStr">
        <is>
          <t>1</t>
        </is>
      </c>
      <c r="J1185" t="inlineStr"/>
      <c r="K1185" t="inlineStr"/>
      <c r="L1185" t="inlineStr"/>
      <c r="M1185" t="inlineStr"/>
      <c r="N1185" t="inlineStr"/>
      <c r="O1185">
        <f>(1-Summary!$B$11)*T1185+Summary!$B$11*V1185</f>
        <v/>
      </c>
      <c r="P1185">
        <f>IF(B1204=0,0,O1185/B1204)</f>
        <v/>
      </c>
      <c r="Q1185">
        <f>IFERROR(1/IF(Inputs!$B$39="pvp",15,MAX(0.1,Skills!D20-IF(TRUE=TRUE,Inputs!$B$33,0))),0)</f>
        <v/>
      </c>
      <c r="R1185">
        <f>IF(AND(Inputs!$B$39&lt;&gt;"pvp",Inputs!$B$44&gt;0),IF(Inputs!$B$44&lt;=0,0,(INT(Inputs!$B$44/IF(Inputs!$B$39="pvp",15,MAX(0.1,Skills!D20-IF(TRUE=TRUE,Inputs!$B$33,0))))+1)),0)</f>
        <v/>
      </c>
      <c r="S1185">
        <f>IFERROR(O1185/N1185,0)</f>
        <v/>
      </c>
      <c r="T1185" t="n">
        <v>0</v>
      </c>
      <c r="V1185" t="n">
        <v>0</v>
      </c>
    </row>
    <row r="1186">
      <c r="A1186">
        <f>Skills!A21</f>
        <v/>
      </c>
      <c r="B1186">
        <f>Skills!B21</f>
        <v/>
      </c>
      <c r="C1186">
        <f>Inputs!$B$3&gt;=33</f>
        <v/>
      </c>
      <c r="D1186">
        <f>IF(Skills!C21=1,60+Inputs!$B$26+Inputs!$B$30,IF(Skills!C21=2,90+Inputs!$B$27+Inputs!$B$30,IF(Skills!C21=3,120+Inputs!$B$28+Inputs!$B$30,MAX(0,(Inputs!$B$3-100)*3)+Inputs!$B$29+Inputs!$B$30)))</f>
        <v/>
      </c>
      <c r="E1186">
        <f>INDEX(FactorTable!$B$2:$Y$301, MATCH(ROUND(MIN(300,MAX(1,D1186)),0), FactorTable!$A$2:$A$301,0), Skills!M21+1)</f>
        <v/>
      </c>
      <c r="F1186">
        <f>IF(Skills!N21=TRUE,(Skills!L21/10)*(E1186/1000),Skills!L21/10)+Skills!O21</f>
        <v/>
      </c>
      <c r="G1186">
        <f>Skills!G21*IF(Skills!H21&gt;0,INT(IF(Inputs!$B$39="pvp",MIN(Skills!I21,15),Skills!I21)/Skills!H21+0.000000001),1)</f>
        <v/>
      </c>
      <c r="H1186">
        <f>1-(1-Skills!J21/100)^Skills!K21</f>
        <v/>
      </c>
      <c r="I1186" t="inlineStr">
        <is>
          <t>1</t>
        </is>
      </c>
      <c r="J1186" t="inlineStr"/>
      <c r="K1186" t="inlineStr"/>
      <c r="L1186" t="inlineStr"/>
      <c r="M1186" t="inlineStr"/>
      <c r="N1186" t="inlineStr"/>
      <c r="O1186">
        <f>(1-Summary!$B$11)*T1186+Summary!$B$11*V1186</f>
        <v/>
      </c>
      <c r="P1186">
        <f>IF(B1204=0,0,O1186/B1204)</f>
        <v/>
      </c>
      <c r="Q1186" t="n">
        <v>0</v>
      </c>
      <c r="R1186" t="n">
        <v>0</v>
      </c>
      <c r="S1186">
        <f>IFERROR(O1186/N1186,0)</f>
        <v/>
      </c>
      <c r="T1186" t="n">
        <v>0</v>
      </c>
      <c r="V1186" t="n">
        <v>0</v>
      </c>
    </row>
    <row r="1187">
      <c r="A1187">
        <f>Skills!A22</f>
        <v/>
      </c>
      <c r="B1187">
        <f>Skills!B22</f>
        <v/>
      </c>
      <c r="C1187">
        <f>Inputs!$B$3&gt;=43</f>
        <v/>
      </c>
      <c r="D1187">
        <f>IF(Skills!C22=1,60+Inputs!$B$26+Inputs!$B$30,IF(Skills!C22=2,90+Inputs!$B$27+Inputs!$B$30,IF(Skills!C22=3,120+Inputs!$B$28+Inputs!$B$30,MAX(0,(Inputs!$B$3-100)*3)+Inputs!$B$29+Inputs!$B$30)))</f>
        <v/>
      </c>
      <c r="E1187">
        <f>INDEX(FactorTable!$B$2:$Y$301, MATCH(ROUND(MIN(300,MAX(1,D1187)),0), FactorTable!$A$2:$A$301,0), Skills!M22+1)</f>
        <v/>
      </c>
      <c r="F1187">
        <f>IF(Skills!N22=TRUE,(Skills!L22/10)*(E1187/1000),Skills!L22/10)+Skills!O22</f>
        <v/>
      </c>
      <c r="G1187">
        <f>Skills!G22*IF(Skills!H22&gt;0,INT(IF(Inputs!$B$39="pvp",MIN(Skills!I22,15),Skills!I22)/Skills!H22+0.000000001),1)</f>
        <v/>
      </c>
      <c r="H1187">
        <f>1-(1-Skills!J22/100)^Skills!K22</f>
        <v/>
      </c>
      <c r="I1187" t="inlineStr">
        <is>
          <t>1</t>
        </is>
      </c>
      <c r="J1187" t="inlineStr"/>
      <c r="K1187" t="inlineStr"/>
      <c r="L1187" t="inlineStr"/>
      <c r="M1187" t="inlineStr"/>
      <c r="N1187" t="inlineStr"/>
      <c r="O1187">
        <f>(1-Summary!$B$11)*T1187+Summary!$B$11*V1187</f>
        <v/>
      </c>
      <c r="P1187">
        <f>IF(B1204=0,0,O1187/B1204)</f>
        <v/>
      </c>
      <c r="Q1187" t="n">
        <v>0</v>
      </c>
      <c r="R1187" t="n">
        <v>0</v>
      </c>
      <c r="S1187">
        <f>IFERROR(O1187/N1187,0)</f>
        <v/>
      </c>
      <c r="T1187" t="n">
        <v>0</v>
      </c>
      <c r="V1187" t="n">
        <v>0</v>
      </c>
    </row>
    <row r="1188">
      <c r="A1188">
        <f>Skills!A23</f>
        <v/>
      </c>
      <c r="B1188">
        <f>Skills!B23</f>
        <v/>
      </c>
      <c r="C1188">
        <f>Inputs!$B$3&gt;=120</f>
        <v/>
      </c>
      <c r="D1188">
        <f>IF(Skills!C23=1,60+Inputs!$B$26+Inputs!$B$30,IF(Skills!C23=2,90+Inputs!$B$27+Inputs!$B$30,IF(Skills!C23=3,120+Inputs!$B$28+Inputs!$B$30,MAX(0,(Inputs!$B$3-100)*3)+Inputs!$B$29+Inputs!$B$30)))</f>
        <v/>
      </c>
      <c r="E1188">
        <f>INDEX(FactorTable!$B$2:$Y$301, MATCH(ROUND(MIN(300,MAX(1,D1188)),0), FactorTable!$A$2:$A$301,0), Skills!M23+1)</f>
        <v/>
      </c>
      <c r="F1188">
        <f>IF(Skills!N23=TRUE,(Skills!L23/10)*(E1188/1000),Skills!L23/10)+Skills!O23</f>
        <v/>
      </c>
      <c r="G1188">
        <f>Skills!G23*IF(Skills!H23&gt;0,INT(IF(Inputs!$B$39="pvp",MIN(Skills!I23,15),Skills!I23)/Skills!H23+0.000000001),1)</f>
        <v/>
      </c>
      <c r="H1188">
        <f>1-(1-Skills!J23/100)^Skills!K23</f>
        <v/>
      </c>
      <c r="I1188" t="inlineStr">
        <is>
          <t>1</t>
        </is>
      </c>
      <c r="J1188" t="inlineStr"/>
      <c r="K1188" t="inlineStr"/>
      <c r="L1188" t="inlineStr"/>
      <c r="M1188" t="inlineStr"/>
      <c r="N1188" t="inlineStr"/>
      <c r="O1188">
        <f>(1-Summary!$B$11)*T1188+Summary!$B$11*V1188</f>
        <v/>
      </c>
      <c r="P1188">
        <f>IF(B1204=0,0,O1188/B1204)</f>
        <v/>
      </c>
      <c r="Q1188" t="n">
        <v>0</v>
      </c>
      <c r="R1188" t="n">
        <v>0</v>
      </c>
      <c r="S1188">
        <f>IFERROR(O1188/N1188,0)</f>
        <v/>
      </c>
      <c r="T1188" t="n">
        <v>0</v>
      </c>
      <c r="V1188" t="n">
        <v>0</v>
      </c>
    </row>
    <row r="1189">
      <c r="A1189">
        <f>Skills!A24</f>
        <v/>
      </c>
      <c r="B1189">
        <f>Skills!B24</f>
        <v/>
      </c>
      <c r="C1189">
        <f>Inputs!$B$3&gt;=120</f>
        <v/>
      </c>
      <c r="D1189">
        <f>IF(Skills!C24=1,60+Inputs!$B$26+Inputs!$B$30,IF(Skills!C24=2,90+Inputs!$B$27+Inputs!$B$30,IF(Skills!C24=3,120+Inputs!$B$28+Inputs!$B$30,MAX(0,(Inputs!$B$3-100)*3)+Inputs!$B$29+Inputs!$B$30)))</f>
        <v/>
      </c>
      <c r="E1189">
        <f>INDEX(FactorTable!$B$2:$Y$301, MATCH(ROUND(MIN(300,MAX(1,D1189)),0), FactorTable!$A$2:$A$301,0), Skills!M24+1)</f>
        <v/>
      </c>
      <c r="F1189">
        <f>IF(Skills!N24=TRUE,(Skills!L24/10)*(E1189/1000),Skills!L24/10)+Skills!O24</f>
        <v/>
      </c>
      <c r="G1189">
        <f>Skills!G24*IF(Skills!H24&gt;0,INT(IF(Inputs!$B$39="pvp",MIN(Skills!I24,15),Skills!I24)/Skills!H24+0.000000001),1)</f>
        <v/>
      </c>
      <c r="H1189">
        <f>1-(1-Skills!J24/100)^Skills!K24</f>
        <v/>
      </c>
      <c r="I1189" t="inlineStr">
        <is>
          <t>1</t>
        </is>
      </c>
      <c r="J1189" t="inlineStr"/>
      <c r="K1189" t="inlineStr"/>
      <c r="L1189" t="inlineStr"/>
      <c r="M1189" t="inlineStr"/>
      <c r="N1189" t="inlineStr"/>
      <c r="O1189">
        <f>(1-Summary!$B$11)*T1189+Summary!$B$11*V1189</f>
        <v/>
      </c>
      <c r="P1189">
        <f>IF(B1204=0,0,O1189/B1204)</f>
        <v/>
      </c>
      <c r="Q1189" t="n">
        <v>0</v>
      </c>
      <c r="R1189" t="n">
        <v>0</v>
      </c>
      <c r="S1189">
        <f>IFERROR(O1189/N1189,0)</f>
        <v/>
      </c>
      <c r="T1189" t="n">
        <v>0</v>
      </c>
      <c r="V1189" t="n">
        <v>0</v>
      </c>
    </row>
    <row r="1190">
      <c r="A1190">
        <f>Skills!A25</f>
        <v/>
      </c>
      <c r="B1190">
        <f>Skills!B25</f>
        <v/>
      </c>
      <c r="C1190">
        <f>Inputs!$B$3&gt;=125</f>
        <v/>
      </c>
      <c r="D1190">
        <f>IF(Skills!C25=1,60+Inputs!$B$26+Inputs!$B$30,IF(Skills!C25=2,90+Inputs!$B$27+Inputs!$B$30,IF(Skills!C25=3,120+Inputs!$B$28+Inputs!$B$30,MAX(0,(Inputs!$B$3-100)*3)+Inputs!$B$29+Inputs!$B$30)))</f>
        <v/>
      </c>
      <c r="E1190">
        <f>INDEX(FactorTable!$B$2:$Y$301, MATCH(ROUND(MIN(300,MAX(1,D1190)),0), FactorTable!$A$2:$A$301,0), Skills!M25+1)</f>
        <v/>
      </c>
      <c r="F1190">
        <f>IF(Skills!N25=TRUE,(Skills!L25/10)*(E1190/1000),Skills!L25/10)+Skills!O25</f>
        <v/>
      </c>
      <c r="G1190">
        <f>Skills!G25*IF(Skills!H25&gt;0,INT(IF(Inputs!$B$39="pvp",MIN(Skills!I25,15),Skills!I25)/Skills!H25+0.000000001),1)</f>
        <v/>
      </c>
      <c r="H1190">
        <f>1-(1-Skills!J25/100)^Skills!K25</f>
        <v/>
      </c>
      <c r="I1190" t="inlineStr">
        <is>
          <t>1</t>
        </is>
      </c>
      <c r="J1190" t="inlineStr"/>
      <c r="K1190" t="inlineStr"/>
      <c r="L1190" t="inlineStr"/>
      <c r="M1190" t="inlineStr"/>
      <c r="N1190" t="inlineStr"/>
      <c r="O1190">
        <f>(1-Summary!$B$11)*T1190+Summary!$B$11*V1190</f>
        <v/>
      </c>
      <c r="P1190">
        <f>IF(B1204=0,0,O1190/B1204)</f>
        <v/>
      </c>
      <c r="Q1190" t="n">
        <v>0</v>
      </c>
      <c r="R1190" t="n">
        <v>0</v>
      </c>
      <c r="S1190">
        <f>IFERROR(O1190/N1190,0)</f>
        <v/>
      </c>
      <c r="T1190" t="n">
        <v>0</v>
      </c>
      <c r="V1190" t="n">
        <v>0</v>
      </c>
    </row>
    <row r="1191">
      <c r="A1191">
        <f>Skills!A26</f>
        <v/>
      </c>
      <c r="B1191">
        <f>Skills!B26</f>
        <v/>
      </c>
      <c r="C1191">
        <f>Inputs!$B$3&gt;=107</f>
        <v/>
      </c>
      <c r="D1191">
        <f>IF(Skills!C26=1,60+Inputs!$B$26+Inputs!$B$30,IF(Skills!C26=2,90+Inputs!$B$27+Inputs!$B$30,IF(Skills!C26=3,120+Inputs!$B$28+Inputs!$B$30,MAX(0,(Inputs!$B$3-100)*3)+Inputs!$B$29+Inputs!$B$30)))</f>
        <v/>
      </c>
      <c r="E1191">
        <f>INDEX(FactorTable!$B$2:$Y$301, MATCH(ROUND(MIN(300,MAX(1,D1191)),0), FactorTable!$A$2:$A$301,0), Skills!M26+1)</f>
        <v/>
      </c>
      <c r="F1191">
        <f>IF(Skills!N26=TRUE,(Skills!L26/10)*(E1191/1000),Skills!L26/10)+Skills!O26</f>
        <v/>
      </c>
      <c r="G1191">
        <f>Skills!G26*IF(Skills!H26&gt;0,INT(IF(Inputs!$B$39="pvp",MIN(Skills!I26,15),Skills!I26)/Skills!H26+0.000000001),1)</f>
        <v/>
      </c>
      <c r="H1191">
        <f>1-(1-Skills!J26/100)^Skills!K26</f>
        <v/>
      </c>
      <c r="I1191" t="inlineStr">
        <is>
          <t>1</t>
        </is>
      </c>
      <c r="J1191" t="inlineStr"/>
      <c r="K1191" t="inlineStr"/>
      <c r="L1191" t="inlineStr"/>
      <c r="M1191" t="inlineStr"/>
      <c r="N1191" t="inlineStr"/>
      <c r="O1191">
        <f>(1-Summary!$B$11)*T1191+Summary!$B$11*V1191</f>
        <v/>
      </c>
      <c r="P1191">
        <f>IF(B1204=0,0,O1191/B1204)</f>
        <v/>
      </c>
      <c r="Q1191" t="n">
        <v>0</v>
      </c>
      <c r="R1191" t="n">
        <v>0</v>
      </c>
      <c r="S1191">
        <f>IFERROR(O1191/N1191,0)</f>
        <v/>
      </c>
      <c r="T1191" t="n">
        <v>0</v>
      </c>
      <c r="V1191" t="n">
        <v>0</v>
      </c>
    </row>
    <row r="1193">
      <c r="A1193" t="inlineStr">
        <is>
          <t>Attack% Bucket Multiplier</t>
        </is>
      </c>
      <c r="B1193">
        <f>(1+(((C1178=TRUE)*F1178*IF(AND(Inputs!$B$39&lt;&gt;"pvp",Inputs!$B$44&gt;0),(((R1178-1)*MIN((Skills!T13*(1+Inputs!$B$35/100)),(1/Q1178))+MIN((Skills!T13*(1+Inputs!$B$35/100)),MAX(0,Inputs!$B$44-((R1178-1)*(1/Q1178)))))/Inputs!$B$44),IF(Inputs!$B$39="pvp",MIN((Skills!T13*(1+Inputs!$B$35/100)),15)/15,MIN(1,(Skills!T13*(1+Inputs!$B$35/100))/(1/Q1178)))))+((C1179=TRUE)*F1179*IF(AND(Inputs!$B$39&lt;&gt;"pvp",Inputs!$B$44&gt;0),(((R1179-1)*MIN((Skills!T14*(1+Inputs!$B$35/100)),(1/Q1179))+MIN((Skills!T14*(1+Inputs!$B$35/100)),MAX(0,Inputs!$B$44-((R1179-1)*(1/Q1179)))))/Inputs!$B$44),IF(Inputs!$B$39="pvp",MIN((Skills!T14*(1+Inputs!$B$35/100)),15)/15,MIN(1,(Skills!T14*(1+Inputs!$B$35/100))/(1/Q1179)))))+((C1180=TRUE)*F1180*IF(AND(Inputs!$B$39&lt;&gt;"pvp",Inputs!$B$44&gt;0),(((R1180-1)*MIN((Skills!T15*(1+Inputs!$B$35/100)),(1/Q1180))+MIN((Skills!T15*(1+Inputs!$B$35/100)),MAX(0,Inputs!$B$44-((R1180-1)*(1/Q1180)))))/Inputs!$B$44),IF(Inputs!$B$39="pvp",MIN((Skills!T15*(1+Inputs!$B$35/100)),15)/15,MIN(1,(Skills!T15*(1+Inputs!$B$35/100))/(1/Q1180)))))+((C1181=TRUE)*F1181*IF(AND(Inputs!$B$39&lt;&gt;"pvp",Inputs!$B$44&gt;0),(((R1181-1)*MIN((Skills!T16*(1+Inputs!$B$35/100)),(1/Q1181))+MIN((Skills!T16*(1+Inputs!$B$35/100)),MAX(0,Inputs!$B$44-((R1181-1)*(1/Q1181)))))/Inputs!$B$44),IF(Inputs!$B$39="pvp",MIN((Skills!T16*(1+Inputs!$B$35/100)),15)/15,MIN(1,(Skills!T16*(1+Inputs!$B$35/100))/(1/Q1181)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1194">
      <c r="A1194" t="inlineStr">
        <is>
          <t>Global Crit Rate Bonus % (Lord of Darkness)</t>
        </is>
      </c>
      <c r="B1194">
        <f>((C1183=TRUE)*F1183*(Skills!J18/100)*IF(AND(Inputs!$B$39&lt;&gt;"pvp",Inputs!$B$44&gt;0),(((R1183-1)*MIN((Skills!T18*(1+Inputs!$B$35/100)),(1/Q1183))+MIN((Skills!T18*(1+Inputs!$B$35/100)),MAX(0,Inputs!$B$44-((R1183-1)*(1/Q1183)))))/Inputs!$B$44),IF(Inputs!$B$39="pvp",MIN((Skills!T18*(1+Inputs!$B$35/100)),15)/15,MIN(1,(Skills!T18*(1+Inputs!$B$35/100))/(1/Q1183)))))</f>
        <v/>
      </c>
    </row>
    <row r="1195">
      <c r="A1195" t="inlineStr">
        <is>
          <t>Attack Speed Buff Bonus %</t>
        </is>
      </c>
      <c r="B1195">
        <f>((C1185=TRUE)*F1185*IF(AND(Inputs!$B$39&lt;&gt;"pvp",Inputs!$B$44&gt;0),(((R1185-1)*MIN((Skills!T20*(1+Inputs!$B$35/100)),(1/Q1185))+MIN((Skills!T20*(1+Inputs!$B$35/100)),MAX(0,Inputs!$B$44-((R1185-1)*(1/Q1185)))))/Inputs!$B$44),IF(Inputs!$B$39="pvp",MIN((Skills!T20*(1+Inputs!$B$35/100)),15)/15,MIN(1,(Skills!T20*(1+Inputs!$B$35/100))/(1/Q1185)))))</f>
        <v/>
      </c>
    </row>
    <row r="1196">
      <c r="A1196" t="inlineStr">
        <is>
          <t>Actions Per Second</t>
        </is>
      </c>
      <c r="B1196">
        <f>1+MIN(150,150*(1-(1-(Inputs!$B$12+((C1186=TRUE)*(F1186-Calc!F21)))/150)*(1-B1195/150)))/100</f>
        <v/>
      </c>
    </row>
    <row r="1197">
      <c r="A1197" t="inlineStr">
        <is>
          <t>Skill + Buff Cast Rate</t>
        </is>
      </c>
      <c r="B1197">
        <f>IF(AND(Inputs!$B$39&lt;&gt;"pvp",Inputs!$B$44&gt;0),SUMPRODUCT((Skills!E2:E26=TRUE)*(C1167:C1191=TRUE)*R1167:R1191*Skills!F2:F26)/Inputs!$B$44,SUMPRODUCT((Skills!E2:E26=TRUE)*(C1167:C1191=TRUE)*Q1167:Q1191*Skills!F2:F26))</f>
        <v/>
      </c>
    </row>
    <row r="1198">
      <c r="A1198" t="inlineStr">
        <is>
          <t>Dark Impale Casts Per Second</t>
        </is>
      </c>
      <c r="B1198">
        <f>MAX(0,B1196-B1197)</f>
        <v/>
      </c>
    </row>
    <row r="1199">
      <c r="A1199" t="inlineStr">
        <is>
          <t>Global Critical Damage Bonus % (Lord of Darkness)</t>
        </is>
      </c>
      <c r="B1199">
        <f>((C1184=TRUE)*F1184*(Skills!J19/100)*IF(AND(Inputs!$B$39&lt;&gt;"pvp",Inputs!$B$44&gt;0),(((R1184-1)*MIN((Skills!T19*(1+Inputs!$B$35/100)),(1/Q1184))+MIN((Skills!T19*(1+Inputs!$B$35/100)),MAX(0,Inputs!$B$44-((R1184-1)*(1/Q1184)))))/Inputs!$B$44),IF(Inputs!$B$39="pvp",MIN((Skills!T19*(1+Inputs!$B$35/100)),15)/15,MIN(1,(Skills!T19*(1+Inputs!$B$35/100))/(1/Q1184)))))</f>
        <v/>
      </c>
    </row>
    <row r="1200">
      <c r="A1200" t="inlineStr">
        <is>
          <t>Global Final Damage Bonus % (unused)</t>
        </is>
      </c>
      <c r="B1200" t="n">
        <v>0</v>
      </c>
    </row>
    <row r="1201">
      <c r="A1201" t="inlineStr">
        <is>
          <t>Buff-Casting Startup Delay (s, fixed-duration only)</t>
        </is>
      </c>
      <c r="B1201">
        <f>IF(AND(Inputs!$B$39&lt;&gt;"pvp",Inputs!$B$44&gt;0),SUMPRODUCT((Skills!T2:T26&gt;0)*(Skills!E2:E26=TRUE)*(C1167:C1191=TRUE))/B1196,0)</f>
        <v/>
      </c>
    </row>
    <row r="1202">
      <c r="A1202" t="inlineStr">
        <is>
          <t>Boss-Only Total DPS (this block's swept value)</t>
        </is>
      </c>
      <c r="B1202">
        <f>SUM(T1167:T1191)</f>
        <v/>
      </c>
    </row>
    <row r="1203">
      <c r="A1203" t="inlineStr">
        <is>
          <t>Normal-Only Total DPS (this block's swept value)</t>
        </is>
      </c>
      <c r="B1203">
        <f>SUM(V1167:V1191)</f>
        <v/>
      </c>
    </row>
    <row r="1204">
      <c r="A1204" s="6" t="inlineStr">
        <is>
          <t>TOTAL DPS</t>
        </is>
      </c>
      <c r="B1204" s="6">
        <f>SUM(O1167:O1191)</f>
        <v/>
      </c>
    </row>
    <row r="1207">
      <c r="A1207" s="6" t="inlineStr">
        <is>
          <t>Stat: Buff Duration Increase %</t>
        </is>
      </c>
    </row>
    <row r="1208">
      <c r="A1208" s="5" t="inlineStr">
        <is>
          <t>Key</t>
        </is>
      </c>
      <c r="B1208" s="5" t="inlineStr">
        <is>
          <t>Name</t>
        </is>
      </c>
      <c r="C1208" s="5" t="inlineStr">
        <is>
          <t>Unlocked</t>
        </is>
      </c>
      <c r="D1208" s="5" t="inlineStr">
        <is>
          <t>InputLevel</t>
        </is>
      </c>
      <c r="E1208" s="5" t="inlineStr">
        <is>
          <t>Factor</t>
        </is>
      </c>
      <c r="F1208" s="5" t="inlineStr">
        <is>
          <t>CoefficientPercent</t>
        </is>
      </c>
      <c r="G1208" s="5" t="inlineStr">
        <is>
          <t>EffectiveHits</t>
        </is>
      </c>
      <c r="H1208" s="5" t="inlineStr">
        <is>
          <t>ProcProbability</t>
        </is>
      </c>
      <c r="I1208" s="5" t="inlineStr">
        <is>
          <t>MapleHeroMultiplier</t>
        </is>
      </c>
      <c r="J1208" s="5" t="inlineStr">
        <is>
          <t>BaseDamage</t>
        </is>
      </c>
      <c r="K1208" s="5" t="inlineStr">
        <is>
          <t>BaseHitDamage</t>
        </is>
      </c>
      <c r="L1208" s="5" t="inlineStr">
        <is>
          <t>NonCritAvg</t>
        </is>
      </c>
      <c r="M1208" s="5" t="inlineStr">
        <is>
          <t>CritAvg</t>
        </is>
      </c>
      <c r="N1208" s="5" t="inlineStr">
        <is>
          <t>ExpectedDamage(perHit)</t>
        </is>
      </c>
      <c r="O1208" s="5" t="inlineStr">
        <is>
          <t>DPS</t>
        </is>
      </c>
      <c r="P1208" s="5" t="inlineStr">
        <is>
          <t>% of Total</t>
        </is>
      </c>
      <c r="Q1208" s="5" t="inlineStr">
        <is>
          <t>InvCooldown</t>
        </is>
      </c>
      <c r="R1208" s="5" t="inlineStr">
        <is>
          <t>CastsInFight</t>
        </is>
      </c>
      <c r="S1208" s="5" t="inlineStr">
        <is>
          <t>HitRate(perSec)</t>
        </is>
      </c>
      <c r="U1208" t="inlineStr">
        <is>
          <t>helpers</t>
        </is>
      </c>
    </row>
    <row r="1209">
      <c r="A1209">
        <f>Skills!A2</f>
        <v/>
      </c>
      <c r="B1209">
        <f>Skills!B2</f>
        <v/>
      </c>
      <c r="C1209">
        <f>Inputs!$B$3&gt;=100</f>
        <v/>
      </c>
      <c r="D1209" t="inlineStr"/>
      <c r="E1209" t="inlineStr"/>
      <c r="F1209">
        <f>U1211+Skills!O2</f>
        <v/>
      </c>
      <c r="G1209">
        <f>Skills!G2*IF(Skills!H2&gt;0,INT(IF(Inputs!$B$39="pvp",MIN(Skills!I2,15),Skills!I2)/Skills!H2+0.000000001),1)</f>
        <v/>
      </c>
      <c r="H1209">
        <f>1-(1-Skills!J2/100)^Skills!K2</f>
        <v/>
      </c>
      <c r="I1209" t="inlineStr">
        <is>
          <t>1</t>
        </is>
      </c>
      <c r="J1209">
        <f>((Inputs!$B$6*(1+Inputs!$B$7/100))+(((Inputs!$B$13*(1+Inputs!$B$14/100))-(Inputs!$B$13*(1+Inputs!$B$14/100)))+0.25*(Inputs!$B$15-Inputs!$B$15))*(1+Inputs!$B$7/100))*(F1209/100)</f>
        <v/>
      </c>
      <c r="K1209">
        <f>J1209*(1+(((Inputs!$B$13+IF(Inputs!$B$3&gt;=38,(10*INDEX(FactorTable!$B$2:$Y$301, MATCH(ROUND(MIN(300,MAX(1,Inputs!$B$3)),0), FactorTable!$A$2:$A$301,0), 23)/1000)/100*(Inputs!$B$8*(1+Inputs!$B$9/100)),0))*(1+Inputs!$B$14/100))*0.01+Inputs!$B$15*0.0025)/100)*(1+Inputs!$B$16/100)*(1+Inputs!$B$17/100)*(5000/(6000+Inputs!$B$43*(1-(Inputs!$B$20+0)/100)))*(1+(Inputs!$B$25+((C1232=TRUE)*(F1232-Calc!F25))+((C1233=TRUE)*(F1233-Calc!F26))+B1242)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gt;=100),MIN(100,((Inputs!$B$10+0+B1236+(ArtifactsInput!$M$24-ArtifactsInput!$M$24)*CHOOSE(ArtifactsInput!$N$24+1,10,12,14,16,18,20)+IF(ArtifactsInput!$M$10,CHOOSE(ArtifactsInput!$N$10+1,15,18,21,24,27,30)*(IF(Inputs!$B$39="pvp",MIN(15,15)/15,IF(AND(Inputs!$B$39&lt;&gt;"pvp",Inputs!$B$44&gt;0),MIN(15,Inputs!$B$44)/(Inputs!$B$44),0))),0)))-100),0))*CHOOSE(ArtifactsInput!$N$42+1,0.6,0.72,0.84,0.96,1.08,1.2))),Inputs!$B$19+((C1230=TRUE)*(F1230-Calc!F23))+(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gt;=100),CHOOSE(ArtifactsInput!$N$42+1,40,48,56,64,72,80),0))))/100)*((1+(((C1220=TRUE)*F1220*IF(AND(Inputs!$B$39&lt;&gt;"pvp",Inputs!$B$44&gt;0),(((R1220-1)*MIN((Skills!T13*(1+(Inputs!$B$35+1)/100)),(1/Q1220))+MIN((Skills!T13*(1+(Inputs!$B$35+1)/100)),MAX(0,Inputs!$B$44-((R1220-1)*(1/Q1220)))))/Inputs!$B$44),IF(Inputs!$B$39="pvp",MIN((Skills!T13*(1+(Inputs!$B$35+1)/100)),15)/15,MIN(1,(Skills!T13*(1+(Inputs!$B$35+1)/100))/(1/Q1220)))))+((C1221=TRUE)*F1221*IF(AND(Inputs!$B$39&lt;&gt;"pvp",Inputs!$B$44&gt;0),(((R1221-1)*MIN((Skills!T14*(1+(Inputs!$B$35+1)/100)),(1/Q1221))+MIN((Skills!T14*(1+(Inputs!$B$35+1)/100)),MAX(0,Inputs!$B$44-((R1221-1)*(1/Q1221)))))/Inputs!$B$44),IF(Inputs!$B$39="pvp",MIN((Skills!T14*(1+(Inputs!$B$35+1)/100)),15)/15,MIN(1,(Skills!T14*(1+(Inputs!$B$35+1)/100))/(1/Q1221)))))+((C1222=TRUE)*F1222*IF(AND(Inputs!$B$39&lt;&gt;"pvp",Inputs!$B$44&gt;0),(((R1222-1)*MIN((Skills!T15*(1+(Inputs!$B$35+1)/100)),(1/Q1222))+MIN((Skills!T15*(1+(Inputs!$B$35+1)/100)),MAX(0,Inputs!$B$44-((R1222-1)*(1/Q1222)))))/Inputs!$B$44),IF(Inputs!$B$39="pvp",MIN((Skills!T15*(1+(Inputs!$B$35+1)/100)),15)/15,MIN(1,(Skills!T15*(1+(Inputs!$B$35+1)/100))/(1/Q1222)))))+((C1223=TRUE)*F1223*IF(AND(Inputs!$B$39&lt;&gt;"pvp",Inputs!$B$44&gt;0),(((R1223-1)*MIN((Skills!T16*(1+(Inputs!$B$35+1)/100)),(1/Q1223))+MIN((Skills!T16*(1+(Inputs!$B$35+1)/100)),MAX(0,Inputs!$B$44-((R1223-1)*(1/Q1223)))))/Inputs!$B$44),IF(Inputs!$B$39="pvp",MIN((Skills!T16*(1+(Inputs!$B$35+1)/100)),15)/15,MIN(1,(Skills!T16*(1+(Inputs!$B$35+1)/100))/(1/Q1223)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1209)</f>
        <v/>
      </c>
      <c r="L1209">
        <f>K1209*(MIN(Inputs!$B$23+((C1229=TRUE)*(F1229-Calc!F22)),(Inputs!$B$24+((C1231=TRUE)*(F1231-Calc!F24))+(IF(ArtifactsInput!$M$15,CHOOSE(ArtifactsInput!$N$15+1,25,30,35,40,45,50)/100*(Inputs!$B$12-Inputs!$B$12),0))))/100+(Inputs!$B$24+((C1231=TRUE)*(F1231-Calc!F24))+(IF(ArtifactsInput!$M$15,CHOOSE(ArtifactsInput!$N$15+1,25,30,35,40,45,50)/100*(Inputs!$B$12-Inputs!$B$12),0)))/100)/2</f>
        <v/>
      </c>
      <c r="M1209">
        <f>L1209*(1+(Inputs!$B$11+0+B1241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209">
        <f>L1209*(1-MIN((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1209*(MIN((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09">
        <f>(1-Summary!$B$11)*T1209+Summary!$B$11*V1209</f>
        <v/>
      </c>
      <c r="P1209">
        <f>IF(B1246=0,0,O1209/B1246)</f>
        <v/>
      </c>
      <c r="Q1209" t="n">
        <v>0</v>
      </c>
      <c r="R1209" t="n">
        <v>0</v>
      </c>
      <c r="S1209">
        <f>IFERROR(O1209/N1209,0)</f>
        <v/>
      </c>
      <c r="T1209">
        <f>IF(C1209,(Skills!G2*N1209*B1240)*IF(Inputs!$B$39="pvp",1,1+(Inputs!$B$21+0+Skills!P2+((C1224=TRUE)*F1224*IF(AND(Inputs!$B$39&lt;&gt;"pvp",Inputs!$B$44&gt;0),(((R1224-1)*MIN((Skills!T17*(1+(Inputs!$B$35+1)/100)),(1/Q1224))+MIN((Skills!T17*(1+(Inputs!$B$35+1)/100)),MAX(0,Inputs!$B$44-((R1224-1)*(1/Q1224)))))/Inputs!$B$44),IF(Inputs!$B$39="pvp",MIN((Skills!T17*(1+(Inputs!$B$35+1)/100)),15)/15,MIN(1,(Skills!T17*(1+(Inputs!$B$35+1)/100))/(1/Q1224)))))+((C1212=TRUE)*IF(Inputs!$B$3&gt;=126,10*MIN(1,15*Q1212),0))+((C1221=TRUE)*IF(Inputs!$B$39="pvp",20,(1-Summary!$B$11)*(20)+Summary!$B$11*(0))*IF(AND(Inputs!$B$39&lt;&gt;"pvp",Inputs!$B$44&gt;0),(((R1221-1)*MIN((Skills!T14*(1+(Inputs!$B$35+1)/100)),(1/Q1221))+MIN((Skills!T14*(1+(Inputs!$B$35+1)/100)),MAX(0,Inputs!$B$44-((R1221-1)*(1/Q1221)))))/Inputs!$B$44),IF(Inputs!$B$39="pvp",MIN((Skills!T14*(1+(Inputs!$B$35+1)/100)),15)/15,MIN(1,(Skills!T14*(1+(Inputs!$B$35+1)/100))/(1/Q1221)))))+((C1220=TRUE)*IF(Inputs!$B$3&gt;=82,IF(Inputs!$B$39="pvp",20,(1-Summary!$B$11)*(20)+Summary!$B$11*(0)),0)*IF(AND(Inputs!$B$39&lt;&gt;"pvp",Inputs!$B$44&gt;0),(((R1220-1)*MIN((Skills!T13*(1+(Inputs!$B$35+1)/100)),(1/Q1220))+MIN((Skills!T13*(1+(Inputs!$B$35+1)/100)),MAX(0,Inputs!$B$44-((R1220-1)*(1/Q1220)))))/Inputs!$B$44),IF(Inputs!$B$39="pvp",MIN((Skills!T13*(1+(Inputs!$B$35+1)/100)),15)/15,MIN(1,(Skills!T13*(1+(Inputs!$B$35+1)/100))/(1/Q1220)))))+(IF(AND(ArtifactsInput!$M$35,Inputs!$B$4&lt;&gt;"Chapter Hunt"),CHOOSE(ArtifactsInput!$N$35+1,15,18,21,24,27,30)*(1-EXP(-(0.2*B1238)*5)),0)+IF(AND(ArtifactsInput!$M$22,Inputs!$B$4&lt;&gt;"Chapter Hunt"),CHOOSE(ArtifactsInput!$N$22+1,10,12,14,16,18,20)*((0*(((0.15*B1238*5))^0/1)+1*(((0.15*B1238*5))^1/1)+2*(((0.15*B1238*5))^2/2)+3*(((0.15*B1238*5))^3/6)+4*(((0.15*B1238*5))^4/24)+5*(((0.15*B1238*5))^5/120))/((((0.15*B1238*5))^0/1)+(((0.15*B1238*5))^1/1)+(((0.15*B1238*5))^2/2)+(((0.15*B1238*5))^3/6)+(((0.15*B1238*5))^4/24)+(((0.15*B1238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1209*(1-MIN(100,(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1209*(MIN(100,(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1209*(1-MIN(100,(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1209*(MIN(100,(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09">
        <f>MAX(0,(Inputs!$B$3-100)*3)+Inputs!$B$29+Inputs!$B$30</f>
        <v/>
      </c>
      <c r="V1209">
        <f>IF(C1209,(Skills!G2*N1209*B1240)*IF(Inputs!$B$39="pvp",1,(1+(Inputs!$B$22+Skills!Q2+((C1224=TRUE)*F1224*IF(AND(Inputs!$B$39&lt;&gt;"pvp",Inputs!$B$44&gt;0),(((R1224-1)*MIN((Skills!T17*(1+(Inputs!$B$35+1)/100)),(1/Q1224))+MIN((Skills!T17*(1+(Inputs!$B$35+1)/100)),MAX(0,Inputs!$B$44-((R1224-1)*(1/Q1224)))))/Inputs!$B$44),IF(Inputs!$B$39="pvp",MIN((Skills!T17*(1+(Inputs!$B$35+1)/100)),15)/15,MIN(1,(Skills!T17*(1+(Inputs!$B$35+1)/100))/(1/Q1224)))))+((C1212=TRUE)*IF(Inputs!$B$3&gt;=126,10*MIN(1,15*Q1212),0))+((C1221=TRUE)*IF(Inputs!$B$39="pvp",20,(1-Summary!$B$11)*(20)+Summary!$B$11*(0))*IF(AND(Inputs!$B$39&lt;&gt;"pvp",Inputs!$B$44&gt;0),(((R1221-1)*MIN((Skills!T14*(1+(Inputs!$B$35+1)/100)),(1/Q1221))+MIN((Skills!T14*(1+(Inputs!$B$35+1)/100)),MAX(0,Inputs!$B$44-((R1221-1)*(1/Q1221)))))/Inputs!$B$44),IF(Inputs!$B$39="pvp",MIN((Skills!T14*(1+(Inputs!$B$35+1)/100)),15)/15,MIN(1,(Skills!T14*(1+(Inputs!$B$35+1)/100))/(1/Q1221)))))+((C1220=TRUE)*IF(Inputs!$B$3&gt;=82,IF(Inputs!$B$39="pvp",20,(1-Summary!$B$11)*(20)+Summary!$B$11*(0)),0)*IF(AND(Inputs!$B$39&lt;&gt;"pvp",Inputs!$B$44&gt;0),(((R1220-1)*MIN((Skills!T13*(1+(Inputs!$B$35+1)/100)),(1/Q1220))+MIN((Skills!T13*(1+(Inputs!$B$35+1)/100)),MAX(0,Inputs!$B$44-((R1220-1)*(1/Q1220)))))/Inputs!$B$44),IF(Inputs!$B$39="pvp",MIN((Skills!T13*(1+(Inputs!$B$35+1)/100)),15)/15,MIN(1,(Skills!T13*(1+(Inputs!$B$35+1)/100))/(1/Q1220)))))+(IF(AND(ArtifactsInput!$M$35,Inputs!$B$4&lt;&gt;"Chapter Hunt"),CHOOSE(ArtifactsInput!$N$35+1,15,18,21,24,27,30)*(1-EXP(-(0.2*B1238)*5)),0)+IF(AND(ArtifactsInput!$M$22,Inputs!$B$4&lt;&gt;"Chapter Hunt"),CHOOSE(ArtifactsInput!$N$22+1,10,12,14,16,18,20)*((0*(((0.15*B1238*5))^0/1)+1*(((0.15*B1238*5))^1/1)+2*(((0.15*B1238*5))^2/2)+3*(((0.15*B1238*5))^3/6)+4*(((0.15*B1238*5))^4/24)+5*(((0.15*B1238*5))^5/120))/((((0.15*B1238*5))^0/1)+(((0.15*B1238*5))^1/1)+(((0.15*B1238*5))^2/2)+(((0.15*B1238*5))^3/6)+(((0.15*B1238*5))^4/24)+(((0.15*B1238*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10">
      <c r="A1210">
        <f>Skills!A3</f>
        <v/>
      </c>
      <c r="B1210">
        <f>Skills!B3</f>
        <v/>
      </c>
      <c r="C1210">
        <f>Inputs!$B$3&gt;=50</f>
        <v/>
      </c>
      <c r="D1210">
        <f>IF(Skills!C3=1,60+Inputs!$B$26+Inputs!$B$30,IF(Skills!C3=2,90+Inputs!$B$27+Inputs!$B$30,IF(Skills!C3=3,120+Inputs!$B$28+Inputs!$B$30,MAX(0,(Inputs!$B$3-100)*3)+Inputs!$B$29+Inputs!$B$30)))</f>
        <v/>
      </c>
      <c r="E1210">
        <f>INDEX(FactorTable!$B$2:$Y$301, MATCH(ROUND(MIN(300,MAX(1,D1210)),0), FactorTable!$A$2:$A$301,0), Skills!M3+1)</f>
        <v/>
      </c>
      <c r="F1210">
        <f>IF(Skills!N3=TRUE,(Skills!L3/10)*(E1210/1000),Skills!L3/10)+Skills!O3</f>
        <v/>
      </c>
      <c r="G1210" t="inlineStr"/>
      <c r="H1210" t="inlineStr"/>
      <c r="I1210" t="inlineStr">
        <is>
          <t>1</t>
        </is>
      </c>
      <c r="J1210" t="inlineStr"/>
      <c r="K1210" t="inlineStr"/>
      <c r="L1210" t="inlineStr"/>
      <c r="M1210" t="inlineStr"/>
      <c r="N1210" t="inlineStr"/>
      <c r="O1210" t="inlineStr"/>
      <c r="P1210" t="inlineStr"/>
      <c r="Q1210" t="inlineStr"/>
      <c r="R1210" t="inlineStr"/>
      <c r="S1210" t="inlineStr"/>
      <c r="U1210">
        <f>INDEX(FactorTable!$B$2:$Y$301, MATCH(ROUND(MIN(300,MAX(1,U1209)),0), FactorTable!$A$2:$A$301,0), 22)</f>
        <v/>
      </c>
    </row>
    <row r="1211">
      <c r="A1211">
        <f>Skills!A4</f>
        <v/>
      </c>
      <c r="B1211">
        <f>Skills!B4</f>
        <v/>
      </c>
      <c r="C1211">
        <f>Inputs!$B$3&gt;=105</f>
        <v/>
      </c>
      <c r="D1211">
        <f>IF(Skills!C4=1,60+Inputs!$B$26+Inputs!$B$30,IF(Skills!C4=2,90+Inputs!$B$27+Inputs!$B$30,IF(Skills!C4=3,120+Inputs!$B$28+Inputs!$B$30,MAX(0,(Inputs!$B$3-100)*3)+Inputs!$B$29+Inputs!$B$30)))</f>
        <v/>
      </c>
      <c r="E1211">
        <f>INDEX(FactorTable!$B$2:$Y$301, MATCH(ROUND(MIN(300,MAX(1,D1211)),0), FactorTable!$A$2:$A$301,0), Skills!M4+1)</f>
        <v/>
      </c>
      <c r="F1211">
        <f>IF(Skills!N4=TRUE,(Skills!L4/10)*(E1211/1000),Skills!L4/10)+Skills!O4</f>
        <v/>
      </c>
      <c r="G1211" t="inlineStr"/>
      <c r="H1211" t="inlineStr"/>
      <c r="I1211" t="inlineStr">
        <is>
          <t>1</t>
        </is>
      </c>
      <c r="J1211" t="inlineStr"/>
      <c r="K1211" t="inlineStr"/>
      <c r="L1211" t="inlineStr"/>
      <c r="M1211" t="inlineStr"/>
      <c r="N1211" t="inlineStr"/>
      <c r="O1211" t="inlineStr"/>
      <c r="P1211" t="inlineStr"/>
      <c r="Q1211" t="inlineStr"/>
      <c r="R1211" t="inlineStr"/>
      <c r="S1211" t="inlineStr"/>
      <c r="U1211">
        <f>290*U1210/1000</f>
        <v/>
      </c>
    </row>
    <row r="1212">
      <c r="A1212">
        <f>Skills!A5</f>
        <v/>
      </c>
      <c r="B1212">
        <f>Skills!B5</f>
        <v/>
      </c>
      <c r="C1212">
        <f>Inputs!$B$3&gt;=117</f>
        <v/>
      </c>
      <c r="D1212">
        <f>IF(Skills!C5=1,60+Inputs!$B$26+Inputs!$B$30,IF(Skills!C5=2,90+Inputs!$B$27+Inputs!$B$30,IF(Skills!C5=3,120+Inputs!$B$28+Inputs!$B$30,MAX(0,(Inputs!$B$3-100)*3)+Inputs!$B$29+Inputs!$B$30)))</f>
        <v/>
      </c>
      <c r="E1212">
        <f>INDEX(FactorTable!$B$2:$Y$301, MATCH(ROUND(MIN(300,MAX(1,D1212)),0), FactorTable!$A$2:$A$301,0), Skills!M5+1)</f>
        <v/>
      </c>
      <c r="F1212">
        <f>IF(Skills!N5=TRUE,(Skills!L5/10)*(E1212/1000),Skills!L5/10)+Skills!O5</f>
        <v/>
      </c>
      <c r="G1212">
        <f>Skills!G5*IF(Skills!H5&gt;0,INT(IF(Inputs!$B$39="pvp",MIN(Skills!I5,15),Skills!I5)/Skills!H5+0.000000001),1)</f>
        <v/>
      </c>
      <c r="H1212">
        <f>1-(1-Skills!J5/100)^Skills!K5</f>
        <v/>
      </c>
      <c r="I1212" t="inlineStr">
        <is>
          <t>1</t>
        </is>
      </c>
      <c r="J1212">
        <f>((Inputs!$B$6*(1+Inputs!$B$7/100))+(((Inputs!$B$13*(1+Inputs!$B$14/100))-(Inputs!$B$13*(1+Inputs!$B$14/100)))+0.25*(Inputs!$B$15-Inputs!$B$15))*(1+Inputs!$B$7/100))*(F1212/100)</f>
        <v/>
      </c>
      <c r="K1212">
        <f>J1212*(1+(((Inputs!$B$13+IF(Inputs!$B$3&gt;=38,(10*INDEX(FactorTable!$B$2:$Y$301, MATCH(ROUND(MIN(300,MAX(1,Inputs!$B$3)),0), FactorTable!$A$2:$A$301,0), 23)/1000)/100*(Inputs!$B$8*(1+Inputs!$B$9/100)),0))*(1+Inputs!$B$14/100))*0.01+Inputs!$B$15*0.0025)/100)*(1+Inputs!$B$16/100)*(1+Inputs!$B$17/100)*(5000/(6000+Inputs!$B$43*(1-(Inputs!$B$20+0)/100)))*(1+(Inputs!$B$25+((C1232=TRUE)*(F1232-Calc!F25))+((C1233=TRUE)*(F1233-Calc!F26))+B1242)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gt;=100),MIN(100,((Inputs!$B$10+0+B1236+(ArtifactsInput!$M$24-ArtifactsInput!$M$24)*CHOOSE(ArtifactsInput!$N$24+1,10,12,14,16,18,20)+IF(ArtifactsInput!$M$10,CHOOSE(ArtifactsInput!$N$10+1,15,18,21,24,27,30)*(IF(Inputs!$B$39="pvp",MIN(15,15)/15,IF(AND(Inputs!$B$39&lt;&gt;"pvp",Inputs!$B$44&gt;0),MIN(15,Inputs!$B$44)/(Inputs!$B$44),0))),0)))-100),0))*CHOOSE(ArtifactsInput!$N$42+1,0.6,0.72,0.84,0.96,1.08,1.2))),Inputs!$B$19+((C1230=TRUE)*(F1230-Calc!F23))+(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gt;=100),CHOOSE(ArtifactsInput!$N$42+1,40,48,56,64,72,80),0))))/100)*((1+(((C1220=TRUE)*F1220*IF(AND(Inputs!$B$39&lt;&gt;"pvp",Inputs!$B$44&gt;0),(((R1220-1)*MIN((Skills!T13*(1+(Inputs!$B$35+1)/100)),(1/Q1220))+MIN((Skills!T13*(1+(Inputs!$B$35+1)/100)),MAX(0,Inputs!$B$44-((R1220-1)*(1/Q1220)))))/Inputs!$B$44),IF(Inputs!$B$39="pvp",MIN((Skills!T13*(1+(Inputs!$B$35+1)/100)),15)/15,MIN(1,(Skills!T13*(1+(Inputs!$B$35+1)/100))/(1/Q1220)))))+((C1221=TRUE)*F1221*IF(AND(Inputs!$B$39&lt;&gt;"pvp",Inputs!$B$44&gt;0),(((R1221-1)*MIN((Skills!T14*(1+(Inputs!$B$35+1)/100)),(1/Q1221))+MIN((Skills!T14*(1+(Inputs!$B$35+1)/100)),MAX(0,Inputs!$B$44-((R1221-1)*(1/Q1221)))))/Inputs!$B$44),IF(Inputs!$B$39="pvp",MIN((Skills!T14*(1+(Inputs!$B$35+1)/100)),15)/15,MIN(1,(Skills!T14*(1+(Inputs!$B$35+1)/100))/(1/Q1221)))))+((C1222=TRUE)*F1222*IF(AND(Inputs!$B$39&lt;&gt;"pvp",Inputs!$B$44&gt;0),(((R1222-1)*MIN((Skills!T15*(1+(Inputs!$B$35+1)/100)),(1/Q1222))+MIN((Skills!T15*(1+(Inputs!$B$35+1)/100)),MAX(0,Inputs!$B$44-((R1222-1)*(1/Q1222)))))/Inputs!$B$44),IF(Inputs!$B$39="pvp",MIN((Skills!T15*(1+(Inputs!$B$35+1)/100)),15)/15,MIN(1,(Skills!T15*(1+(Inputs!$B$35+1)/100))/(1/Q1222)))))+((C1223=TRUE)*F1223*IF(AND(Inputs!$B$39&lt;&gt;"pvp",Inputs!$B$44&gt;0),(((R1223-1)*MIN((Skills!T16*(1+(Inputs!$B$35+1)/100)),(1/Q1223))+MIN((Skills!T16*(1+(Inputs!$B$35+1)/100)),MAX(0,Inputs!$B$44-((R1223-1)*(1/Q1223)))))/Inputs!$B$44),IF(Inputs!$B$39="pvp",MIN((Skills!T16*(1+(Inputs!$B$35+1)/100)),15)/15,MIN(1,(Skills!T16*(1+(Inputs!$B$35+1)/100))/(1/Q1223)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1212)</f>
        <v/>
      </c>
      <c r="L1212">
        <f>K1212*(MIN(Inputs!$B$23+((C1229=TRUE)*(F1229-Calc!F22)),(Inputs!$B$24+((C1231=TRUE)*(F1231-Calc!F24))+(IF(ArtifactsInput!$M$15,CHOOSE(ArtifactsInput!$N$15+1,25,30,35,40,45,50)/100*(Inputs!$B$12-Inputs!$B$12),0))))/100+(Inputs!$B$24+((C1231=TRUE)*(F1231-Calc!F24))+(IF(ArtifactsInput!$M$15,CHOOSE(ArtifactsInput!$N$15+1,25,30,35,40,45,50)/100*(Inputs!$B$12-Inputs!$B$12),0)))/100)/2</f>
        <v/>
      </c>
      <c r="M1212">
        <f>L1212*(1+(Inputs!$B$11+0+B1241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212">
        <f>L1212*(1-MIN((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1212*(MIN((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12">
        <f>(1-Summary!$B$11)*T1212+Summary!$B$11*V1212</f>
        <v/>
      </c>
      <c r="P1212">
        <f>IF(B1246=0,0,O1212/B1246)</f>
        <v/>
      </c>
      <c r="Q1212">
        <f>IFERROR(1/IF(Inputs!$B$39="pvp",15,MAX(0.1,Skills!D5-IF(TRUE=TRUE,Inputs!$B$33,0))),0)</f>
        <v/>
      </c>
      <c r="R1212">
        <f>IF(AND(Inputs!$B$39&lt;&gt;"pvp",Inputs!$B$44&gt;0),IF(MAX(0,Inputs!$B$44-B1243)&lt;=0,0,(INT(MAX(0,Inputs!$B$44-B1243)/IF(Inputs!$B$39="pvp",15,MAX(0.1,Skills!D5-IF(TRUE=TRUE,Inputs!$B$33,0))))+1)),0)</f>
        <v/>
      </c>
      <c r="S1212">
        <f>IFERROR(O1212/N1212,0)</f>
        <v/>
      </c>
      <c r="T1212">
        <f>IF(C1212,(H1212*N1212*IF(AND(Inputs!$B$39&lt;&gt;"pvp",Inputs!$B$44&gt;0),((Skills!G5*((R1212-1)*IF(Skills!H5&gt;0,INT(Skills!I5/Skills!H5+0.000000001),1)+IF(Skills!H5&gt;0,INT(MIN(Skills!I5,MAX(0,MAX(0,Inputs!$B$44-B1243)-((R1212-1)*IF(Inputs!$B$39="pvp",15,MAX(0.1,Skills!D5-IF(TRUE=TRUE,Inputs!$B$33,0))))))/Skills!H5+0.000000001),1)))/Inputs!$B$44),G1212*Q1212))*IF(Inputs!$B$39="pvp",1,1+(Inputs!$B$21+0+Skills!P5+((C1224=TRUE)*F1224*IF(AND(Inputs!$B$39&lt;&gt;"pvp",Inputs!$B$44&gt;0),(((R1224-1)*MIN((Skills!T17*(1+(Inputs!$B$35+1)/100)),(1/Q1224))+MIN((Skills!T17*(1+(Inputs!$B$35+1)/100)),MAX(0,Inputs!$B$44-((R1224-1)*(1/Q1224)))))/Inputs!$B$44),IF(Inputs!$B$39="pvp",MIN((Skills!T17*(1+(Inputs!$B$35+1)/100)),15)/15,MIN(1,(Skills!T17*(1+(Inputs!$B$35+1)/100))/(1/Q1224)))))+((C1212=TRUE)*IF(Inputs!$B$3&gt;=126,10*MIN(1,15*Q1212),0))+((C1221=TRUE)*IF(Inputs!$B$39="pvp",20,(1-Summary!$B$11)*(20)+Summary!$B$11*(0))*IF(AND(Inputs!$B$39&lt;&gt;"pvp",Inputs!$B$44&gt;0),(((R1221-1)*MIN((Skills!T14*(1+(Inputs!$B$35+1)/100)),(1/Q1221))+MIN((Skills!T14*(1+(Inputs!$B$35+1)/100)),MAX(0,Inputs!$B$44-((R1221-1)*(1/Q1221)))))/Inputs!$B$44),IF(Inputs!$B$39="pvp",MIN((Skills!T14*(1+(Inputs!$B$35+1)/100)),15)/15,MIN(1,(Skills!T14*(1+(Inputs!$B$35+1)/100))/(1/Q1221)))))+((C1220=TRUE)*IF(Inputs!$B$3&gt;=82,IF(Inputs!$B$39="pvp",20,(1-Summary!$B$11)*(20)+Summary!$B$11*(0)),0)*IF(AND(Inputs!$B$39&lt;&gt;"pvp",Inputs!$B$44&gt;0),(((R1220-1)*MIN((Skills!T13*(1+(Inputs!$B$35+1)/100)),(1/Q1220))+MIN((Skills!T13*(1+(Inputs!$B$35+1)/100)),MAX(0,Inputs!$B$44-((R1220-1)*(1/Q1220)))))/Inputs!$B$44),IF(Inputs!$B$39="pvp",MIN((Skills!T13*(1+(Inputs!$B$35+1)/100)),15)/15,MIN(1,(Skills!T13*(1+(Inputs!$B$35+1)/100))/(1/Q1220)))))+(IF(AND(ArtifactsInput!$M$35,Inputs!$B$4&lt;&gt;"Chapter Hunt"),CHOOSE(ArtifactsInput!$N$35+1,15,18,21,24,27,30)*(1-EXP(-(0.2*B1238)*5)),0)+IF(AND(ArtifactsInput!$M$22,Inputs!$B$4&lt;&gt;"Chapter Hunt"),CHOOSE(ArtifactsInput!$N$22+1,10,12,14,16,18,20)*((0*(((0.15*B1238*5))^0/1)+1*(((0.15*B1238*5))^1/1)+2*(((0.15*B1238*5))^2/2)+3*(((0.15*B1238*5))^3/6)+4*(((0.15*B1238*5))^4/24)+5*(((0.15*B1238*5))^5/120))/((((0.15*B1238*5))^0/1)+(((0.15*B1238*5))^1/1)+(((0.15*B1238*5))^2/2)+(((0.15*B1238*5))^3/6)+(((0.15*B1238*5))^4/24)+(((0.15*B1238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1212*(1-MIN(100,(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1212*(MIN(100,(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1212*(1-MIN(100,(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1212*(MIN(100,(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12">
        <f>IF(C1212,(H1212*N1212*IF(AND(Inputs!$B$39&lt;&gt;"pvp",Inputs!$B$44&gt;0),((Skills!G5*((R1212-1)*IF(Skills!H5&gt;0,INT(Skills!I5/Skills!H5+0.000000001),1)+IF(Skills!H5&gt;0,INT(MIN(Skills!I5,MAX(0,MAX(0,Inputs!$B$44-B1243)-((R1212-1)*IF(Inputs!$B$39="pvp",15,MAX(0.1,Skills!D5-IF(TRUE=TRUE,Inputs!$B$33,0))))))/Skills!H5+0.000000001),1)))/Inputs!$B$44),G1212*Q1212))*IF(Inputs!$B$39="pvp",1,(1+(Inputs!$B$22+Skills!Q5+((C1224=TRUE)*F1224*IF(AND(Inputs!$B$39&lt;&gt;"pvp",Inputs!$B$44&gt;0),(((R1224-1)*MIN((Skills!T17*(1+(Inputs!$B$35+1)/100)),(1/Q1224))+MIN((Skills!T17*(1+(Inputs!$B$35+1)/100)),MAX(0,Inputs!$B$44-((R1224-1)*(1/Q1224)))))/Inputs!$B$44),IF(Inputs!$B$39="pvp",MIN((Skills!T17*(1+(Inputs!$B$35+1)/100)),15)/15,MIN(1,(Skills!T17*(1+(Inputs!$B$35+1)/100))/(1/Q1224)))))+((C1212=TRUE)*IF(Inputs!$B$3&gt;=126,10*MIN(1,15*Q1212),0))+((C1221=TRUE)*IF(Inputs!$B$39="pvp",20,(1-Summary!$B$11)*(20)+Summary!$B$11*(0))*IF(AND(Inputs!$B$39&lt;&gt;"pvp",Inputs!$B$44&gt;0),(((R1221-1)*MIN((Skills!T14*(1+(Inputs!$B$35+1)/100)),(1/Q1221))+MIN((Skills!T14*(1+(Inputs!$B$35+1)/100)),MAX(0,Inputs!$B$44-((R1221-1)*(1/Q1221)))))/Inputs!$B$44),IF(Inputs!$B$39="pvp",MIN((Skills!T14*(1+(Inputs!$B$35+1)/100)),15)/15,MIN(1,(Skills!T14*(1+(Inputs!$B$35+1)/100))/(1/Q1221)))))+((C1220=TRUE)*IF(Inputs!$B$3&gt;=82,IF(Inputs!$B$39="pvp",20,(1-Summary!$B$11)*(20)+Summary!$B$11*(0)),0)*IF(AND(Inputs!$B$39&lt;&gt;"pvp",Inputs!$B$44&gt;0),(((R1220-1)*MIN((Skills!T13*(1+(Inputs!$B$35+1)/100)),(1/Q1220))+MIN((Skills!T13*(1+(Inputs!$B$35+1)/100)),MAX(0,Inputs!$B$44-((R1220-1)*(1/Q1220)))))/Inputs!$B$44),IF(Inputs!$B$39="pvp",MIN((Skills!T13*(1+(Inputs!$B$35+1)/100)),15)/15,MIN(1,(Skills!T13*(1+(Inputs!$B$35+1)/100))/(1/Q1220)))))+(IF(AND(ArtifactsInput!$M$35,Inputs!$B$4&lt;&gt;"Chapter Hunt"),CHOOSE(ArtifactsInput!$N$35+1,15,18,21,24,27,30)*(1-EXP(-(0.2*B1238)*5)),0)+IF(AND(ArtifactsInput!$M$22,Inputs!$B$4&lt;&gt;"Chapter Hunt"),CHOOSE(ArtifactsInput!$N$22+1,10,12,14,16,18,20)*((0*(((0.15*B1238*5))^0/1)+1*(((0.15*B1238*5))^1/1)+2*(((0.15*B1238*5))^2/2)+3*(((0.15*B1238*5))^3/6)+4*(((0.15*B1238*5))^4/24)+5*(((0.15*B1238*5))^5/120))/((((0.15*B1238*5))^0/1)+(((0.15*B1238*5))^1/1)+(((0.15*B1238*5))^2/2)+(((0.15*B1238*5))^3/6)+(((0.15*B1238*5))^4/24)+(((0.15*B1238*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13">
      <c r="A1213">
        <f>Skills!A6</f>
        <v/>
      </c>
      <c r="B1213">
        <f>Skills!B6</f>
        <v/>
      </c>
      <c r="C1213">
        <f>Inputs!$B$3&gt;=103</f>
        <v/>
      </c>
      <c r="D1213">
        <f>IF(Skills!C6=1,60+Inputs!$B$26+Inputs!$B$30,IF(Skills!C6=2,90+Inputs!$B$27+Inputs!$B$30,IF(Skills!C6=3,120+Inputs!$B$28+Inputs!$B$30,MAX(0,(Inputs!$B$3-100)*3)+Inputs!$B$29+Inputs!$B$30)))</f>
        <v/>
      </c>
      <c r="E1213">
        <f>INDEX(FactorTable!$B$2:$Y$301, MATCH(ROUND(MIN(300,MAX(1,D1213)),0), FactorTable!$A$2:$A$301,0), Skills!M6+1)</f>
        <v/>
      </c>
      <c r="F1213">
        <f>IF(Skills!N6=TRUE,(Skills!L6/10)*(E1213/1000),Skills!L6/10)+Skills!O6</f>
        <v/>
      </c>
      <c r="G1213">
        <f>Skills!G6*IF(Skills!H6&gt;0,INT(IF(Inputs!$B$39="pvp",MIN(Skills!I6,15),Skills!I6)/Skills!H6+0.000000001),1)</f>
        <v/>
      </c>
      <c r="H1213">
        <f>1-(1-Skills!J6/100)^Skills!K6</f>
        <v/>
      </c>
      <c r="I1213" t="inlineStr">
        <is>
          <t>1</t>
        </is>
      </c>
      <c r="J1213">
        <f>((Inputs!$B$6*(1+Inputs!$B$7/100))+(((Inputs!$B$13*(1+Inputs!$B$14/100))-(Inputs!$B$13*(1+Inputs!$B$14/100)))+0.25*(Inputs!$B$15-Inputs!$B$15))*(1+Inputs!$B$7/100))*(F1213/100)</f>
        <v/>
      </c>
      <c r="K1213">
        <f>J1213*(1+(((Inputs!$B$13+IF(Inputs!$B$3&gt;=38,(10*INDEX(FactorTable!$B$2:$Y$301, MATCH(ROUND(MIN(300,MAX(1,Inputs!$B$3)),0), FactorTable!$A$2:$A$301,0), 23)/1000)/100*(Inputs!$B$8*(1+Inputs!$B$9/100)),0))*(1+Inputs!$B$14/100))*0.01+Inputs!$B$15*0.0025)/100)*(1+Inputs!$B$16/100)*(1+Inputs!$B$17/100)*(5000/(6000+Inputs!$B$43*(1-(Inputs!$B$20+0)/100)))*(1+(Inputs!$B$25+((C1232=TRUE)*(F1232-Calc!F25))+((C1233=TRUE)*(F1233-Calc!F26))+B1242)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gt;=100),MIN(100,((Inputs!$B$10+0+B1236+(ArtifactsInput!$M$24-ArtifactsInput!$M$24)*CHOOSE(ArtifactsInput!$N$24+1,10,12,14,16,18,20)+IF(ArtifactsInput!$M$10,CHOOSE(ArtifactsInput!$N$10+1,15,18,21,24,27,30)*(IF(Inputs!$B$39="pvp",MIN(15,15)/15,IF(AND(Inputs!$B$39&lt;&gt;"pvp",Inputs!$B$44&gt;0),MIN(15,Inputs!$B$44)/(Inputs!$B$44),0))),0)))-100),0))*CHOOSE(ArtifactsInput!$N$42+1,0.6,0.72,0.84,0.96,1.08,1.2))),Inputs!$B$19+((C1230=TRUE)*(F1230-Calc!F23))+(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gt;=100),CHOOSE(ArtifactsInput!$N$42+1,40,48,56,64,72,80),0))))/100)*((1+(((C1220=TRUE)*F1220*IF(AND(Inputs!$B$39&lt;&gt;"pvp",Inputs!$B$44&gt;0),(((R1220-1)*MIN((Skills!T13*(1+(Inputs!$B$35+1)/100)),(1/Q1220))+MIN((Skills!T13*(1+(Inputs!$B$35+1)/100)),MAX(0,Inputs!$B$44-((R1220-1)*(1/Q1220)))))/Inputs!$B$44),IF(Inputs!$B$39="pvp",MIN((Skills!T13*(1+(Inputs!$B$35+1)/100)),15)/15,MIN(1,(Skills!T13*(1+(Inputs!$B$35+1)/100))/(1/Q1220)))))+((C1221=TRUE)*F1221*IF(AND(Inputs!$B$39&lt;&gt;"pvp",Inputs!$B$44&gt;0),(((R1221-1)*MIN((Skills!T14*(1+(Inputs!$B$35+1)/100)),(1/Q1221))+MIN((Skills!T14*(1+(Inputs!$B$35+1)/100)),MAX(0,Inputs!$B$44-((R1221-1)*(1/Q1221)))))/Inputs!$B$44),IF(Inputs!$B$39="pvp",MIN((Skills!T14*(1+(Inputs!$B$35+1)/100)),15)/15,MIN(1,(Skills!T14*(1+(Inputs!$B$35+1)/100))/(1/Q1221)))))+((C1222=TRUE)*F1222*IF(AND(Inputs!$B$39&lt;&gt;"pvp",Inputs!$B$44&gt;0),(((R1222-1)*MIN((Skills!T15*(1+(Inputs!$B$35+1)/100)),(1/Q1222))+MIN((Skills!T15*(1+(Inputs!$B$35+1)/100)),MAX(0,Inputs!$B$44-((R1222-1)*(1/Q1222)))))/Inputs!$B$44),IF(Inputs!$B$39="pvp",MIN((Skills!T15*(1+(Inputs!$B$35+1)/100)),15)/15,MIN(1,(Skills!T15*(1+(Inputs!$B$35+1)/100))/(1/Q1222)))))+((C1223=TRUE)*F1223*IF(AND(Inputs!$B$39&lt;&gt;"pvp",Inputs!$B$44&gt;0),(((R1223-1)*MIN((Skills!T16*(1+(Inputs!$B$35+1)/100)),(1/Q1223))+MIN((Skills!T16*(1+(Inputs!$B$35+1)/100)),MAX(0,Inputs!$B$44-((R1223-1)*(1/Q1223)))))/Inputs!$B$44),IF(Inputs!$B$39="pvp",MIN((Skills!T16*(1+(Inputs!$B$35+1)/100)),15)/15,MIN(1,(Skills!T16*(1+(Inputs!$B$35+1)/100))/(1/Q1223)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1213)</f>
        <v/>
      </c>
      <c r="L1213">
        <f>K1213*(MIN(Inputs!$B$23+((C1229=TRUE)*(F1229-Calc!F22)),(Inputs!$B$24+((C1231=TRUE)*(F1231-Calc!F24))+(IF(ArtifactsInput!$M$15,CHOOSE(ArtifactsInput!$N$15+1,25,30,35,40,45,50)/100*(Inputs!$B$12-Inputs!$B$12),0))))/100+(Inputs!$B$24+((C1231=TRUE)*(F1231-Calc!F24))+(IF(ArtifactsInput!$M$15,CHOOSE(ArtifactsInput!$N$15+1,25,30,35,40,45,50)/100*(Inputs!$B$12-Inputs!$B$12),0)))/100)/2</f>
        <v/>
      </c>
      <c r="M1213">
        <f>L1213*(1+(Inputs!$B$11+0+B1241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213">
        <f>L1213*(1-MIN((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1213*(MIN((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13">
        <f>(1-Summary!$B$11)*T1213+Summary!$B$11*V1213</f>
        <v/>
      </c>
      <c r="P1213">
        <f>IF(B1246=0,0,O1213/B1246)</f>
        <v/>
      </c>
      <c r="Q1213">
        <f>IFERROR(1/IF(Inputs!$B$39="pvp",15,MAX(0.1,Skills!D6-IF(TRUE=TRUE,Inputs!$B$33,0))),0)</f>
        <v/>
      </c>
      <c r="R1213">
        <f>IF(AND(Inputs!$B$39&lt;&gt;"pvp",Inputs!$B$44&gt;0),IF(MAX(0,Inputs!$B$44-B1243)&lt;=0,0,(INT(MAX(0,Inputs!$B$44-B1243)/IF(Inputs!$B$39="pvp",15,MAX(0.1,Skills!D6-IF(TRUE=TRUE,Inputs!$B$33,0))))+1)),0)</f>
        <v/>
      </c>
      <c r="S1213">
        <f>IFERROR(O1213/N1213,0)</f>
        <v/>
      </c>
      <c r="T1213">
        <f>IF(C1213,(H1213*N1213*IF(AND(Inputs!$B$39&lt;&gt;"pvp",Inputs!$B$44&gt;0),((Skills!G6*((R1213-1)*IF(Skills!H6&gt;0,INT(Skills!I6/Skills!H6+0.000000001),1)+IF(Skills!H6&gt;0,INT(MIN(Skills!I6,MAX(0,MAX(0,Inputs!$B$44-B1243)-((R1213-1)*IF(Inputs!$B$39="pvp",15,MAX(0.1,Skills!D6-IF(TRUE=TRUE,Inputs!$B$33,0))))))/Skills!H6+0.000000001),1)))/Inputs!$B$44),G1213*Q1213))*IF(Inputs!$B$39="pvp",1,1+(Inputs!$B$21+0+Skills!P6+((C1224=TRUE)*F1224*IF(AND(Inputs!$B$39&lt;&gt;"pvp",Inputs!$B$44&gt;0),(((R1224-1)*MIN((Skills!T17*(1+(Inputs!$B$35+1)/100)),(1/Q1224))+MIN((Skills!T17*(1+(Inputs!$B$35+1)/100)),MAX(0,Inputs!$B$44-((R1224-1)*(1/Q1224)))))/Inputs!$B$44),IF(Inputs!$B$39="pvp",MIN((Skills!T17*(1+(Inputs!$B$35+1)/100)),15)/15,MIN(1,(Skills!T17*(1+(Inputs!$B$35+1)/100))/(1/Q1224)))))+((C1212=TRUE)*IF(Inputs!$B$3&gt;=126,10*MIN(1,15*Q1212),0))+((C1221=TRUE)*IF(Inputs!$B$39="pvp",20,(1-Summary!$B$11)*(20)+Summary!$B$11*(0))*IF(AND(Inputs!$B$39&lt;&gt;"pvp",Inputs!$B$44&gt;0),(((R1221-1)*MIN((Skills!T14*(1+(Inputs!$B$35+1)/100)),(1/Q1221))+MIN((Skills!T14*(1+(Inputs!$B$35+1)/100)),MAX(0,Inputs!$B$44-((R1221-1)*(1/Q1221)))))/Inputs!$B$44),IF(Inputs!$B$39="pvp",MIN((Skills!T14*(1+(Inputs!$B$35+1)/100)),15)/15,MIN(1,(Skills!T14*(1+(Inputs!$B$35+1)/100))/(1/Q1221)))))+((C1220=TRUE)*IF(Inputs!$B$3&gt;=82,IF(Inputs!$B$39="pvp",20,(1-Summary!$B$11)*(20)+Summary!$B$11*(0)),0)*IF(AND(Inputs!$B$39&lt;&gt;"pvp",Inputs!$B$44&gt;0),(((R1220-1)*MIN((Skills!T13*(1+(Inputs!$B$35+1)/100)),(1/Q1220))+MIN((Skills!T13*(1+(Inputs!$B$35+1)/100)),MAX(0,Inputs!$B$44-((R1220-1)*(1/Q1220)))))/Inputs!$B$44),IF(Inputs!$B$39="pvp",MIN((Skills!T13*(1+(Inputs!$B$35+1)/100)),15)/15,MIN(1,(Skills!T13*(1+(Inputs!$B$35+1)/100))/(1/Q1220)))))+(IF(AND(ArtifactsInput!$M$35,Inputs!$B$4&lt;&gt;"Chapter Hunt"),CHOOSE(ArtifactsInput!$N$35+1,15,18,21,24,27,30)*(1-EXP(-(0.2*B1238)*5)),0)+IF(AND(ArtifactsInput!$M$22,Inputs!$B$4&lt;&gt;"Chapter Hunt"),CHOOSE(ArtifactsInput!$N$22+1,10,12,14,16,18,20)*((0*(((0.15*B1238*5))^0/1)+1*(((0.15*B1238*5))^1/1)+2*(((0.15*B1238*5))^2/2)+3*(((0.15*B1238*5))^3/6)+4*(((0.15*B1238*5))^4/24)+5*(((0.15*B1238*5))^5/120))/((((0.15*B1238*5))^0/1)+(((0.15*B1238*5))^1/1)+(((0.15*B1238*5))^2/2)+(((0.15*B1238*5))^3/6)+(((0.15*B1238*5))^4/24)+(((0.15*B1238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1213*(1-MIN(100,(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1213*(MIN(100,(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1213*(1-MIN(100,(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1213*(MIN(100,(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13">
        <f>IF(C1213,(H1213*N1213*IF(AND(Inputs!$B$39&lt;&gt;"pvp",Inputs!$B$44&gt;0),((Skills!G6*((R1213-1)*IF(Skills!H6&gt;0,INT(Skills!I6/Skills!H6+0.000000001),1)+IF(Skills!H6&gt;0,INT(MIN(Skills!I6,MAX(0,MAX(0,Inputs!$B$44-B1243)-((R1213-1)*IF(Inputs!$B$39="pvp",15,MAX(0.1,Skills!D6-IF(TRUE=TRUE,Inputs!$B$33,0))))))/Skills!H6+0.000000001),1)))/Inputs!$B$44),G1213*Q1213))*IF(Inputs!$B$39="pvp",1,(1+(Inputs!$B$22+Skills!Q6+((C1224=TRUE)*F1224*IF(AND(Inputs!$B$39&lt;&gt;"pvp",Inputs!$B$44&gt;0),(((R1224-1)*MIN((Skills!T17*(1+(Inputs!$B$35+1)/100)),(1/Q1224))+MIN((Skills!T17*(1+(Inputs!$B$35+1)/100)),MAX(0,Inputs!$B$44-((R1224-1)*(1/Q1224)))))/Inputs!$B$44),IF(Inputs!$B$39="pvp",MIN((Skills!T17*(1+(Inputs!$B$35+1)/100)),15)/15,MIN(1,(Skills!T17*(1+(Inputs!$B$35+1)/100))/(1/Q1224)))))+((C1212=TRUE)*IF(Inputs!$B$3&gt;=126,10*MIN(1,15*Q1212),0))+((C1221=TRUE)*IF(Inputs!$B$39="pvp",20,(1-Summary!$B$11)*(20)+Summary!$B$11*(0))*IF(AND(Inputs!$B$39&lt;&gt;"pvp",Inputs!$B$44&gt;0),(((R1221-1)*MIN((Skills!T14*(1+(Inputs!$B$35+1)/100)),(1/Q1221))+MIN((Skills!T14*(1+(Inputs!$B$35+1)/100)),MAX(0,Inputs!$B$44-((R1221-1)*(1/Q1221)))))/Inputs!$B$44),IF(Inputs!$B$39="pvp",MIN((Skills!T14*(1+(Inputs!$B$35+1)/100)),15)/15,MIN(1,(Skills!T14*(1+(Inputs!$B$35+1)/100))/(1/Q1221)))))+((C1220=TRUE)*IF(Inputs!$B$3&gt;=82,IF(Inputs!$B$39="pvp",20,(1-Summary!$B$11)*(20)+Summary!$B$11*(0)),0)*IF(AND(Inputs!$B$39&lt;&gt;"pvp",Inputs!$B$44&gt;0),(((R1220-1)*MIN((Skills!T13*(1+(Inputs!$B$35+1)/100)),(1/Q1220))+MIN((Skills!T13*(1+(Inputs!$B$35+1)/100)),MAX(0,Inputs!$B$44-((R1220-1)*(1/Q1220)))))/Inputs!$B$44),IF(Inputs!$B$39="pvp",MIN((Skills!T13*(1+(Inputs!$B$35+1)/100)),15)/15,MIN(1,(Skills!T13*(1+(Inputs!$B$35+1)/100))/(1/Q1220)))))+(IF(AND(ArtifactsInput!$M$35,Inputs!$B$4&lt;&gt;"Chapter Hunt"),CHOOSE(ArtifactsInput!$N$35+1,15,18,21,24,27,30)*(1-EXP(-(0.2*B1238)*5)),0)+IF(AND(ArtifactsInput!$M$22,Inputs!$B$4&lt;&gt;"Chapter Hunt"),CHOOSE(ArtifactsInput!$N$22+1,10,12,14,16,18,20)*((0*(((0.15*B1238*5))^0/1)+1*(((0.15*B1238*5))^1/1)+2*(((0.15*B1238*5))^2/2)+3*(((0.15*B1238*5))^3/6)+4*(((0.15*B1238*5))^4/24)+5*(((0.15*B1238*5))^5/120))/((((0.15*B1238*5))^0/1)+(((0.15*B1238*5))^1/1)+(((0.15*B1238*5))^2/2)+(((0.15*B1238*5))^3/6)+(((0.15*B1238*5))^4/24)+(((0.15*B1238*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14">
      <c r="A1214">
        <f>Skills!A7</f>
        <v/>
      </c>
      <c r="B1214">
        <f>Skills!B7</f>
        <v/>
      </c>
      <c r="C1214">
        <f>Inputs!$B$3&gt;=40</f>
        <v/>
      </c>
      <c r="D1214">
        <f>IF(Skills!C7=1,60+Inputs!$B$26+Inputs!$B$30,IF(Skills!C7=2,90+Inputs!$B$27+Inputs!$B$30,IF(Skills!C7=3,120+Inputs!$B$28+Inputs!$B$30,MAX(0,(Inputs!$B$3-100)*3)+Inputs!$B$29+Inputs!$B$30)))</f>
        <v/>
      </c>
      <c r="E1214">
        <f>INDEX(FactorTable!$B$2:$Y$301, MATCH(ROUND(MIN(300,MAX(1,D1214)),0), FactorTable!$A$2:$A$301,0), Skills!M7+1)</f>
        <v/>
      </c>
      <c r="F1214">
        <f>IF(Skills!N7=TRUE,(Skills!L7/10)*(E1214/1000),Skills!L7/10)+Skills!O7</f>
        <v/>
      </c>
      <c r="G1214">
        <f>Skills!G7*IF(Skills!H7&gt;0,INT(IF(Inputs!$B$39="pvp",MIN(Skills!I7,15),Skills!I7)/Skills!H7+0.000000001),1)</f>
        <v/>
      </c>
      <c r="H1214">
        <f>1-(1-Skills!J7/100)^Skills!K7</f>
        <v/>
      </c>
      <c r="I1214" t="inlineStr">
        <is>
          <t>1</t>
        </is>
      </c>
      <c r="J1214">
        <f>((Inputs!$B$6*(1+Inputs!$B$7/100))+(((Inputs!$B$13*(1+Inputs!$B$14/100))-(Inputs!$B$13*(1+Inputs!$B$14/100)))+0.25*(Inputs!$B$15-Inputs!$B$15))*(1+Inputs!$B$7/100))*(F1214/100)</f>
        <v/>
      </c>
      <c r="K1214">
        <f>J1214*(1+(((Inputs!$B$13+IF(Inputs!$B$3&gt;=38,(10*INDEX(FactorTable!$B$2:$Y$301, MATCH(ROUND(MIN(300,MAX(1,Inputs!$B$3)),0), FactorTable!$A$2:$A$301,0), 23)/1000)/100*(Inputs!$B$8*(1+Inputs!$B$9/100)),0))*(1+Inputs!$B$14/100))*0.01+Inputs!$B$15*0.0025)/100)*(1+Inputs!$B$16/100)*(1+Inputs!$B$17/100)*(5000/(6000+Inputs!$B$43*(1-(Inputs!$B$20+0)/100)))*(1+(Inputs!$B$25+((C1232=TRUE)*(F1232-Calc!F25))+((C1233=TRUE)*(F1233-Calc!F26))+B1242)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1218=TRUE,F1218,0)/100)*(1+(IF(Skills!A7="DARK_IMPALE",Inputs!$B$18+0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gt;=100),MIN(100,((Inputs!$B$10+0+B1236+(ArtifactsInput!$M$24-ArtifactsInput!$M$24)*CHOOSE(ArtifactsInput!$N$24+1,10,12,14,16,18,20)+IF(ArtifactsInput!$M$10,CHOOSE(ArtifactsInput!$N$10+1,15,18,21,24,27,30)*(IF(Inputs!$B$39="pvp",MIN(15,15)/15,IF(AND(Inputs!$B$39&lt;&gt;"pvp",Inputs!$B$44&gt;0),MIN(15,Inputs!$B$44)/(Inputs!$B$44),0))),0)))-100),0))*CHOOSE(ArtifactsInput!$N$42+1,0.6,0.72,0.84,0.96,1.08,1.2))),Inputs!$B$19+((C1230=TRUE)*(F1230-Calc!F23))+(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gt;=100),CHOOSE(ArtifactsInput!$N$42+1,40,48,56,64,72,80),0))))/100)*((1+(((C1220=TRUE)*F1220*IF(AND(Inputs!$B$39&lt;&gt;"pvp",Inputs!$B$44&gt;0),(((R1220-1)*MIN((Skills!T13*(1+(Inputs!$B$35+1)/100)),(1/Q1220))+MIN((Skills!T13*(1+(Inputs!$B$35+1)/100)),MAX(0,Inputs!$B$44-((R1220-1)*(1/Q1220)))))/Inputs!$B$44),IF(Inputs!$B$39="pvp",MIN((Skills!T13*(1+(Inputs!$B$35+1)/100)),15)/15,MIN(1,(Skills!T13*(1+(Inputs!$B$35+1)/100))/(1/Q1220)))))+((C1221=TRUE)*F1221*IF(AND(Inputs!$B$39&lt;&gt;"pvp",Inputs!$B$44&gt;0),(((R1221-1)*MIN((Skills!T14*(1+(Inputs!$B$35+1)/100)),(1/Q1221))+MIN((Skills!T14*(1+(Inputs!$B$35+1)/100)),MAX(0,Inputs!$B$44-((R1221-1)*(1/Q1221)))))/Inputs!$B$44),IF(Inputs!$B$39="pvp",MIN((Skills!T14*(1+(Inputs!$B$35+1)/100)),15)/15,MIN(1,(Skills!T14*(1+(Inputs!$B$35+1)/100))/(1/Q1221)))))+((C1222=TRUE)*F1222*IF(AND(Inputs!$B$39&lt;&gt;"pvp",Inputs!$B$44&gt;0),(((R1222-1)*MIN((Skills!T15*(1+(Inputs!$B$35+1)/100)),(1/Q1222))+MIN((Skills!T15*(1+(Inputs!$B$35+1)/100)),MAX(0,Inputs!$B$44-((R1222-1)*(1/Q1222)))))/Inputs!$B$44),IF(Inputs!$B$39="pvp",MIN((Skills!T15*(1+(Inputs!$B$35+1)/100)),15)/15,MIN(1,(Skills!T15*(1+(Inputs!$B$35+1)/100))/(1/Q1222)))))+((C1223=TRUE)*F1223*IF(AND(Inputs!$B$39&lt;&gt;"pvp",Inputs!$B$44&gt;0),(((R1223-1)*MIN((Skills!T16*(1+(Inputs!$B$35+1)/100)),(1/Q1223))+MIN((Skills!T16*(1+(Inputs!$B$35+1)/100)),MAX(0,Inputs!$B$44-((R1223-1)*(1/Q1223)))))/Inputs!$B$44),IF(Inputs!$B$39="pvp",MIN((Skills!T16*(1+(Inputs!$B$35+1)/100)),15)/15,MIN(1,(Skills!T16*(1+(Inputs!$B$35+1)/100))/(1/Q1223)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1214)</f>
        <v/>
      </c>
      <c r="L1214">
        <f>K1214*(MIN(Inputs!$B$23+((C1229=TRUE)*(F1229-Calc!F22)),(Inputs!$B$24+((C1231=TRUE)*(F1231-Calc!F24))+(IF(ArtifactsInput!$M$15,CHOOSE(ArtifactsInput!$N$15+1,25,30,35,40,45,50)/100*(Inputs!$B$12-Inputs!$B$12),0))))/100+(Inputs!$B$24+((C1231=TRUE)*(F1231-Calc!F24))+(IF(ArtifactsInput!$M$15,CHOOSE(ArtifactsInput!$N$15+1,25,30,35,40,45,50)/100*(Inputs!$B$12-Inputs!$B$12),0)))/100)/2</f>
        <v/>
      </c>
      <c r="M1214">
        <f>L1214*(1+(Inputs!$B$11+0+B1241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214">
        <f>L1214*(1-MIN((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1214*(MIN((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14">
        <f>(1-Summary!$B$11)*T1214+Summary!$B$11*V1214</f>
        <v/>
      </c>
      <c r="P1214">
        <f>IF(B1246=0,0,O1214/B1246)</f>
        <v/>
      </c>
      <c r="Q1214">
        <f>IFERROR(1/IF(Inputs!$B$39="pvp",15,MAX(0.1,Skills!D7-IF(TRUE=TRUE,Inputs!$B$33,0))),0)</f>
        <v/>
      </c>
      <c r="R1214">
        <f>IF(AND(Inputs!$B$39&lt;&gt;"pvp",Inputs!$B$44&gt;0),IF(MAX(0,Inputs!$B$44-B1243)&lt;=0,0,(INT(MAX(0,Inputs!$B$44-B1243)/IF(Inputs!$B$39="pvp",15,MAX(0.1,Skills!D7-IF(TRUE=TRUE,Inputs!$B$33,0))))+1)),0)</f>
        <v/>
      </c>
      <c r="S1214">
        <f>IFERROR(O1214/N1214,0)</f>
        <v/>
      </c>
      <c r="T1214">
        <f>IF(C1214,(H1214*N1214*IF(AND(Inputs!$B$39&lt;&gt;"pvp",Inputs!$B$44&gt;0),((Skills!G7*((R1214-1)*IF(Skills!H7&gt;0,INT(Skills!I7/Skills!H7+0.000000001),1)+IF(Skills!H7&gt;0,INT(MIN(Skills!I7,MAX(0,MAX(0,Inputs!$B$44-B1243)-((R1214-1)*IF(Inputs!$B$39="pvp",15,MAX(0.1,Skills!D7-IF(TRUE=TRUE,Inputs!$B$33,0))))))/Skills!H7+0.000000001),1)))/Inputs!$B$44),G1214*Q1214))*IF(Inputs!$B$39="pvp",1,1+(Inputs!$B$21+0+Skills!P7+((C1224=TRUE)*F1224*IF(AND(Inputs!$B$39&lt;&gt;"pvp",Inputs!$B$44&gt;0),(((R1224-1)*MIN((Skills!T17*(1+(Inputs!$B$35+1)/100)),(1/Q1224))+MIN((Skills!T17*(1+(Inputs!$B$35+1)/100)),MAX(0,Inputs!$B$44-((R1224-1)*(1/Q1224)))))/Inputs!$B$44),IF(Inputs!$B$39="pvp",MIN((Skills!T17*(1+(Inputs!$B$35+1)/100)),15)/15,MIN(1,(Skills!T17*(1+(Inputs!$B$35+1)/100))/(1/Q1224)))))+((C1212=TRUE)*IF(Inputs!$B$3&gt;=126,10*MIN(1,15*Q1212),0))+((C1221=TRUE)*IF(Inputs!$B$39="pvp",20,(1-Summary!$B$11)*(20)+Summary!$B$11*(0))*IF(AND(Inputs!$B$39&lt;&gt;"pvp",Inputs!$B$44&gt;0),(((R1221-1)*MIN((Skills!T14*(1+(Inputs!$B$35+1)/100)),(1/Q1221))+MIN((Skills!T14*(1+(Inputs!$B$35+1)/100)),MAX(0,Inputs!$B$44-((R1221-1)*(1/Q1221)))))/Inputs!$B$44),IF(Inputs!$B$39="pvp",MIN((Skills!T14*(1+(Inputs!$B$35+1)/100)),15)/15,MIN(1,(Skills!T14*(1+(Inputs!$B$35+1)/100))/(1/Q1221)))))+((C1220=TRUE)*IF(Inputs!$B$3&gt;=82,IF(Inputs!$B$39="pvp",20,(1-Summary!$B$11)*(20)+Summary!$B$11*(0)),0)*IF(AND(Inputs!$B$39&lt;&gt;"pvp",Inputs!$B$44&gt;0),(((R1220-1)*MIN((Skills!T13*(1+(Inputs!$B$35+1)/100)),(1/Q1220))+MIN((Skills!T13*(1+(Inputs!$B$35+1)/100)),MAX(0,Inputs!$B$44-((R1220-1)*(1/Q1220)))))/Inputs!$B$44),IF(Inputs!$B$39="pvp",MIN((Skills!T13*(1+(Inputs!$B$35+1)/100)),15)/15,MIN(1,(Skills!T13*(1+(Inputs!$B$35+1)/100))/(1/Q1220)))))+(IF(AND(ArtifactsInput!$M$35,Inputs!$B$4&lt;&gt;"Chapter Hunt"),CHOOSE(ArtifactsInput!$N$35+1,15,18,21,24,27,30)*(1-EXP(-(0.2*B1238)*5)),0)+IF(AND(ArtifactsInput!$M$22,Inputs!$B$4&lt;&gt;"Chapter Hunt"),CHOOSE(ArtifactsInput!$N$22+1,10,12,14,16,18,20)*((0*(((0.15*B1238*5))^0/1)+1*(((0.15*B1238*5))^1/1)+2*(((0.15*B1238*5))^2/2)+3*(((0.15*B1238*5))^3/6)+4*(((0.15*B1238*5))^4/24)+5*(((0.15*B1238*5))^5/120))/((((0.15*B1238*5))^0/1)+(((0.15*B1238*5))^1/1)+(((0.15*B1238*5))^2/2)+(((0.15*B1238*5))^3/6)+(((0.15*B1238*5))^4/24)+(((0.15*B1238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1214*(1-MIN(100,(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1214*(MIN(100,(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1214*(1-MIN(100,(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1214*(MIN(100,(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14">
        <f>IF(C1214,(H1214*N1214*IF(AND(Inputs!$B$39&lt;&gt;"pvp",Inputs!$B$44&gt;0),((Skills!G7*((R1214-1)*IF(Skills!H7&gt;0,INT(Skills!I7/Skills!H7+0.000000001),1)+IF(Skills!H7&gt;0,INT(MIN(Skills!I7,MAX(0,MAX(0,Inputs!$B$44-B1243)-((R1214-1)*IF(Inputs!$B$39="pvp",15,MAX(0.1,Skills!D7-IF(TRUE=TRUE,Inputs!$B$33,0))))))/Skills!H7+0.000000001),1)))/Inputs!$B$44),G1214*Q1214))*IF(Inputs!$B$39="pvp",1,(1+(Inputs!$B$22+Skills!Q7+((C1224=TRUE)*F1224*IF(AND(Inputs!$B$39&lt;&gt;"pvp",Inputs!$B$44&gt;0),(((R1224-1)*MIN((Skills!T17*(1+(Inputs!$B$35+1)/100)),(1/Q1224))+MIN((Skills!T17*(1+(Inputs!$B$35+1)/100)),MAX(0,Inputs!$B$44-((R1224-1)*(1/Q1224)))))/Inputs!$B$44),IF(Inputs!$B$39="pvp",MIN((Skills!T17*(1+(Inputs!$B$35+1)/100)),15)/15,MIN(1,(Skills!T17*(1+(Inputs!$B$35+1)/100))/(1/Q1224)))))+((C1212=TRUE)*IF(Inputs!$B$3&gt;=126,10*MIN(1,15*Q1212),0))+((C1221=TRUE)*IF(Inputs!$B$39="pvp",20,(1-Summary!$B$11)*(20)+Summary!$B$11*(0))*IF(AND(Inputs!$B$39&lt;&gt;"pvp",Inputs!$B$44&gt;0),(((R1221-1)*MIN((Skills!T14*(1+(Inputs!$B$35+1)/100)),(1/Q1221))+MIN((Skills!T14*(1+(Inputs!$B$35+1)/100)),MAX(0,Inputs!$B$44-((R1221-1)*(1/Q1221)))))/Inputs!$B$44),IF(Inputs!$B$39="pvp",MIN((Skills!T14*(1+(Inputs!$B$35+1)/100)),15)/15,MIN(1,(Skills!T14*(1+(Inputs!$B$35+1)/100))/(1/Q1221)))))+((C1220=TRUE)*IF(Inputs!$B$3&gt;=82,IF(Inputs!$B$39="pvp",20,(1-Summary!$B$11)*(20)+Summary!$B$11*(0)),0)*IF(AND(Inputs!$B$39&lt;&gt;"pvp",Inputs!$B$44&gt;0),(((R1220-1)*MIN((Skills!T13*(1+(Inputs!$B$35+1)/100)),(1/Q1220))+MIN((Skills!T13*(1+(Inputs!$B$35+1)/100)),MAX(0,Inputs!$B$44-((R1220-1)*(1/Q1220)))))/Inputs!$B$44),IF(Inputs!$B$39="pvp",MIN((Skills!T13*(1+(Inputs!$B$35+1)/100)),15)/15,MIN(1,(Skills!T13*(1+(Inputs!$B$35+1)/100))/(1/Q1220)))))+(IF(AND(ArtifactsInput!$M$35,Inputs!$B$4&lt;&gt;"Chapter Hunt"),CHOOSE(ArtifactsInput!$N$35+1,15,18,21,24,27,30)*(1-EXP(-(0.2*B1238)*5)),0)+IF(AND(ArtifactsInput!$M$22,Inputs!$B$4&lt;&gt;"Chapter Hunt"),CHOOSE(ArtifactsInput!$N$22+1,10,12,14,16,18,20)*((0*(((0.15*B1238*5))^0/1)+1*(((0.15*B1238*5))^1/1)+2*(((0.15*B1238*5))^2/2)+3*(((0.15*B1238*5))^3/6)+4*(((0.15*B1238*5))^4/24)+5*(((0.15*B1238*5))^5/120))/((((0.15*B1238*5))^0/1)+(((0.15*B1238*5))^1/1)+(((0.15*B1238*5))^2/2)+(((0.15*B1238*5))^3/6)+(((0.15*B1238*5))^4/24)+(((0.15*B1238*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15">
      <c r="A1215">
        <f>Skills!A8</f>
        <v/>
      </c>
      <c r="B1215">
        <f>Skills!B8</f>
        <v/>
      </c>
      <c r="C1215">
        <f>Inputs!$B$3&gt;=75</f>
        <v/>
      </c>
      <c r="D1215">
        <f>IF(Skills!C8=1,60+Inputs!$B$26+Inputs!$B$30,IF(Skills!C8=2,90+Inputs!$B$27+Inputs!$B$30,IF(Skills!C8=3,120+Inputs!$B$28+Inputs!$B$30,MAX(0,(Inputs!$B$3-100)*3)+Inputs!$B$29+Inputs!$B$30)))</f>
        <v/>
      </c>
      <c r="E1215">
        <f>INDEX(FactorTable!$B$2:$Y$301, MATCH(ROUND(MIN(300,MAX(1,D1215)),0), FactorTable!$A$2:$A$301,0), Skills!M8+1)</f>
        <v/>
      </c>
      <c r="F1215">
        <f>IF(Skills!N8=TRUE,(Skills!L8/10)*(E1215/1000),Skills!L8/10)+Skills!O8</f>
        <v/>
      </c>
      <c r="G1215" t="inlineStr"/>
      <c r="H1215" t="inlineStr"/>
      <c r="I1215" t="inlineStr">
        <is>
          <t>1</t>
        </is>
      </c>
      <c r="J1215" t="inlineStr"/>
      <c r="K1215" t="inlineStr"/>
      <c r="L1215" t="inlineStr"/>
      <c r="M1215" t="inlineStr"/>
      <c r="N1215" t="inlineStr"/>
      <c r="O1215" t="inlineStr"/>
      <c r="P1215" t="inlineStr"/>
      <c r="Q1215" t="inlineStr"/>
      <c r="R1215" t="inlineStr"/>
      <c r="S1215" t="inlineStr"/>
    </row>
    <row r="1216">
      <c r="A1216">
        <f>Skills!A9</f>
        <v/>
      </c>
      <c r="B1216">
        <f>Skills!B9</f>
        <v/>
      </c>
      <c r="C1216">
        <f>Inputs!$B$3&gt;=60</f>
        <v/>
      </c>
      <c r="D1216">
        <f>IF(Skills!C9=1,60+Inputs!$B$26+Inputs!$B$30,IF(Skills!C9=2,90+Inputs!$B$27+Inputs!$B$30,IF(Skills!C9=3,120+Inputs!$B$28+Inputs!$B$30,MAX(0,(Inputs!$B$3-100)*3)+Inputs!$B$29+Inputs!$B$30)))</f>
        <v/>
      </c>
      <c r="E1216">
        <f>INDEX(FactorTable!$B$2:$Y$301, MATCH(ROUND(MIN(300,MAX(1,D1216)),0), FactorTable!$A$2:$A$301,0), Skills!M9+1)</f>
        <v/>
      </c>
      <c r="F1216">
        <f>IF(Skills!N9=TRUE,(Skills!L9/10)*(E1216/1000),Skills!L9/10)+Skills!O9</f>
        <v/>
      </c>
      <c r="G1216">
        <f>Skills!G9*IF(Skills!H9&gt;0,INT(IF(Inputs!$B$39="pvp",MIN(Skills!I9,15),Skills!I9)/Skills!H9+0.000000001),1)</f>
        <v/>
      </c>
      <c r="H1216">
        <f>1-(1-Skills!J9/100)^Skills!K9</f>
        <v/>
      </c>
      <c r="I1216" t="inlineStr">
        <is>
          <t>1</t>
        </is>
      </c>
      <c r="J1216">
        <f>((Inputs!$B$6*(1+Inputs!$B$7/100))+(((Inputs!$B$13*(1+Inputs!$B$14/100))-(Inputs!$B$13*(1+Inputs!$B$14/100)))+0.25*(Inputs!$B$15-Inputs!$B$15))*(1+Inputs!$B$7/100))*(F1216/100)</f>
        <v/>
      </c>
      <c r="K1216">
        <f>J1216*(1+(((Inputs!$B$13+IF(Inputs!$B$3&gt;=38,(10*INDEX(FactorTable!$B$2:$Y$301, MATCH(ROUND(MIN(300,MAX(1,Inputs!$B$3)),0), FactorTable!$A$2:$A$301,0), 23)/1000)/100*(Inputs!$B$8*(1+Inputs!$B$9/100)),0))*(1+Inputs!$B$14/100))*0.01+Inputs!$B$15*0.0025)/100)*(1+Inputs!$B$16/100)*(1+Inputs!$B$17/100)*(5000/(6000+Inputs!$B$43*(1-(Inputs!$B$20+0)/100)))*(1+(Inputs!$B$25+((C1232=TRUE)*(F1232-Calc!F25))+((C1233=TRUE)*(F1233-Calc!F26))+B1242)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1218=TRUE,F1218,0)/100)*(1+(IF(Skills!A9="DARK_IMPALE",Inputs!$B$18+0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gt;=100),MIN(100,((Inputs!$B$10+0+B1236+(ArtifactsInput!$M$24-ArtifactsInput!$M$24)*CHOOSE(ArtifactsInput!$N$24+1,10,12,14,16,18,20)+IF(ArtifactsInput!$M$10,CHOOSE(ArtifactsInput!$N$10+1,15,18,21,24,27,30)*(IF(Inputs!$B$39="pvp",MIN(15,15)/15,IF(AND(Inputs!$B$39&lt;&gt;"pvp",Inputs!$B$44&gt;0),MIN(15,Inputs!$B$44)/(Inputs!$B$44),0))),0)))-100),0))*CHOOSE(ArtifactsInput!$N$42+1,0.6,0.72,0.84,0.96,1.08,1.2))),Inputs!$B$19+((C1230=TRUE)*(F1230-Calc!F23))+(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gt;=100),CHOOSE(ArtifactsInput!$N$42+1,40,48,56,64,72,80),0))))/100)*((1+(((C1220=TRUE)*F1220*IF(AND(Inputs!$B$39&lt;&gt;"pvp",Inputs!$B$44&gt;0),(((R1220-1)*MIN((Skills!T13*(1+(Inputs!$B$35+1)/100)),(1/Q1220))+MIN((Skills!T13*(1+(Inputs!$B$35+1)/100)),MAX(0,Inputs!$B$44-((R1220-1)*(1/Q1220)))))/Inputs!$B$44),IF(Inputs!$B$39="pvp",MIN((Skills!T13*(1+(Inputs!$B$35+1)/100)),15)/15,MIN(1,(Skills!T13*(1+(Inputs!$B$35+1)/100))/(1/Q1220)))))+((C1221=TRUE)*F1221*IF(AND(Inputs!$B$39&lt;&gt;"pvp",Inputs!$B$44&gt;0),(((R1221-1)*MIN((Skills!T14*(1+(Inputs!$B$35+1)/100)),(1/Q1221))+MIN((Skills!T14*(1+(Inputs!$B$35+1)/100)),MAX(0,Inputs!$B$44-((R1221-1)*(1/Q1221)))))/Inputs!$B$44),IF(Inputs!$B$39="pvp",MIN((Skills!T14*(1+(Inputs!$B$35+1)/100)),15)/15,MIN(1,(Skills!T14*(1+(Inputs!$B$35+1)/100))/(1/Q1221)))))+((C1222=TRUE)*F1222*IF(AND(Inputs!$B$39&lt;&gt;"pvp",Inputs!$B$44&gt;0),(((R1222-1)*MIN((Skills!T15*(1+(Inputs!$B$35+1)/100)),(1/Q1222))+MIN((Skills!T15*(1+(Inputs!$B$35+1)/100)),MAX(0,Inputs!$B$44-((R1222-1)*(1/Q1222)))))/Inputs!$B$44),IF(Inputs!$B$39="pvp",MIN((Skills!T15*(1+(Inputs!$B$35+1)/100)),15)/15,MIN(1,(Skills!T15*(1+(Inputs!$B$35+1)/100))/(1/Q1222)))))+((C1223=TRUE)*F1223*IF(AND(Inputs!$B$39&lt;&gt;"pvp",Inputs!$B$44&gt;0),(((R1223-1)*MIN((Skills!T16*(1+(Inputs!$B$35+1)/100)),(1/Q1223))+MIN((Skills!T16*(1+(Inputs!$B$35+1)/100)),MAX(0,Inputs!$B$44-((R1223-1)*(1/Q1223)))))/Inputs!$B$44),IF(Inputs!$B$39="pvp",MIN((Skills!T16*(1+(Inputs!$B$35+1)/100)),15)/15,MIN(1,(Skills!T16*(1+(Inputs!$B$35+1)/100))/(1/Q1223)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1216)</f>
        <v/>
      </c>
      <c r="L1216">
        <f>K1216*(MIN(Inputs!$B$23+((C1229=TRUE)*(F1229-Calc!F22)),(Inputs!$B$24+((C1231=TRUE)*(F1231-Calc!F24))+(IF(ArtifactsInput!$M$15,CHOOSE(ArtifactsInput!$N$15+1,25,30,35,40,45,50)/100*(Inputs!$B$12-Inputs!$B$12),0))))/100+(Inputs!$B$24+((C1231=TRUE)*(F1231-Calc!F24))+(IF(ArtifactsInput!$M$15,CHOOSE(ArtifactsInput!$N$15+1,25,30,35,40,45,50)/100*(Inputs!$B$12-Inputs!$B$12),0)))/100)/2</f>
        <v/>
      </c>
      <c r="M1216">
        <f>L1216*(1+(Inputs!$B$11+0+B1241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216">
        <f>L1216*(1-MIN((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1216*(MIN((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16">
        <f>(1-Summary!$B$11)*T1216+Summary!$B$11*V1216</f>
        <v/>
      </c>
      <c r="P1216">
        <f>IF(B1246=0,0,O1216/B1246)</f>
        <v/>
      </c>
      <c r="Q1216">
        <f>IFERROR(1/IF(Inputs!$B$39="pvp",15,MAX(0.1,Skills!D9-IF(TRUE=TRUE,Inputs!$B$33,0))),0)</f>
        <v/>
      </c>
      <c r="R1216">
        <f>IF(AND(Inputs!$B$39&lt;&gt;"pvp",Inputs!$B$44&gt;0),IF(MAX(0,Inputs!$B$44-B1243)&lt;=0,0,(INT(MAX(0,Inputs!$B$44-B1243)/IF(Inputs!$B$39="pvp",15,MAX(0.1,Skills!D9-IF(TRUE=TRUE,Inputs!$B$33,0))))+1)),0)</f>
        <v/>
      </c>
      <c r="S1216">
        <f>IFERROR(O1216/N1216,0)</f>
        <v/>
      </c>
      <c r="T1216">
        <f>IF(C1216,(H1216*N1216*IF(AND(Inputs!$B$39&lt;&gt;"pvp",Inputs!$B$44&gt;0),((Skills!G9*((R1216-1)*IF(Skills!H9&gt;0,INT(Skills!I9/Skills!H9+0.000000001),1)+IF(Skills!H9&gt;0,INT(MIN(Skills!I9,MAX(0,MAX(0,Inputs!$B$44-B1243)-((R1216-1)*IF(Inputs!$B$39="pvp",15,MAX(0.1,Skills!D9-IF(TRUE=TRUE,Inputs!$B$33,0))))))/Skills!H9+0.000000001),1)))/Inputs!$B$44),G1216*Q1216))*IF(Inputs!$B$39="pvp",1,1+(Inputs!$B$21+0+Skills!P9+((C1224=TRUE)*F1224*IF(AND(Inputs!$B$39&lt;&gt;"pvp",Inputs!$B$44&gt;0),(((R1224-1)*MIN((Skills!T17*(1+(Inputs!$B$35+1)/100)),(1/Q1224))+MIN((Skills!T17*(1+(Inputs!$B$35+1)/100)),MAX(0,Inputs!$B$44-((R1224-1)*(1/Q1224)))))/Inputs!$B$44),IF(Inputs!$B$39="pvp",MIN((Skills!T17*(1+(Inputs!$B$35+1)/100)),15)/15,MIN(1,(Skills!T17*(1+(Inputs!$B$35+1)/100))/(1/Q1224)))))+((C1212=TRUE)*IF(Inputs!$B$3&gt;=126,10*MIN(1,15*Q1212),0))+((C1221=TRUE)*IF(Inputs!$B$39="pvp",20,(1-Summary!$B$11)*(20)+Summary!$B$11*(0))*IF(AND(Inputs!$B$39&lt;&gt;"pvp",Inputs!$B$44&gt;0),(((R1221-1)*MIN((Skills!T14*(1+(Inputs!$B$35+1)/100)),(1/Q1221))+MIN((Skills!T14*(1+(Inputs!$B$35+1)/100)),MAX(0,Inputs!$B$44-((R1221-1)*(1/Q1221)))))/Inputs!$B$44),IF(Inputs!$B$39="pvp",MIN((Skills!T14*(1+(Inputs!$B$35+1)/100)),15)/15,MIN(1,(Skills!T14*(1+(Inputs!$B$35+1)/100))/(1/Q1221)))))+((C1220=TRUE)*IF(Inputs!$B$3&gt;=82,IF(Inputs!$B$39="pvp",20,(1-Summary!$B$11)*(20)+Summary!$B$11*(0)),0)*IF(AND(Inputs!$B$39&lt;&gt;"pvp",Inputs!$B$44&gt;0),(((R1220-1)*MIN((Skills!T13*(1+(Inputs!$B$35+1)/100)),(1/Q1220))+MIN((Skills!T13*(1+(Inputs!$B$35+1)/100)),MAX(0,Inputs!$B$44-((R1220-1)*(1/Q1220)))))/Inputs!$B$44),IF(Inputs!$B$39="pvp",MIN((Skills!T13*(1+(Inputs!$B$35+1)/100)),15)/15,MIN(1,(Skills!T13*(1+(Inputs!$B$35+1)/100))/(1/Q1220)))))+(IF(AND(ArtifactsInput!$M$35,Inputs!$B$4&lt;&gt;"Chapter Hunt"),CHOOSE(ArtifactsInput!$N$35+1,15,18,21,24,27,30)*(1-EXP(-(0.2*B1238)*5)),0)+IF(AND(ArtifactsInput!$M$22,Inputs!$B$4&lt;&gt;"Chapter Hunt"),CHOOSE(ArtifactsInput!$N$22+1,10,12,14,16,18,20)*((0*(((0.15*B1238*5))^0/1)+1*(((0.15*B1238*5))^1/1)+2*(((0.15*B1238*5))^2/2)+3*(((0.15*B1238*5))^3/6)+4*(((0.15*B1238*5))^4/24)+5*(((0.15*B1238*5))^5/120))/((((0.15*B1238*5))^0/1)+(((0.15*B1238*5))^1/1)+(((0.15*B1238*5))^2/2)+(((0.15*B1238*5))^3/6)+(((0.15*B1238*5))^4/24)+(((0.15*B1238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1216*(1-MIN(100,(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1216*(MIN(100,(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1216*(1-MIN(100,(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1216*(MIN(100,(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16">
        <f>IF(C1216,(H1216*N1216*IF(AND(Inputs!$B$39&lt;&gt;"pvp",Inputs!$B$44&gt;0),((Skills!G9*((R1216-1)*IF(Skills!H9&gt;0,INT(Skills!I9/Skills!H9+0.000000001),1)+IF(Skills!H9&gt;0,INT(MIN(Skills!I9,MAX(0,MAX(0,Inputs!$B$44-B1243)-((R1216-1)*IF(Inputs!$B$39="pvp",15,MAX(0.1,Skills!D9-IF(TRUE=TRUE,Inputs!$B$33,0))))))/Skills!H9+0.000000001),1)))/Inputs!$B$44),G1216*Q1216))*IF(Inputs!$B$39="pvp",1,(1+(Inputs!$B$22+Skills!Q9+((C1224=TRUE)*F1224*IF(AND(Inputs!$B$39&lt;&gt;"pvp",Inputs!$B$44&gt;0),(((R1224-1)*MIN((Skills!T17*(1+(Inputs!$B$35+1)/100)),(1/Q1224))+MIN((Skills!T17*(1+(Inputs!$B$35+1)/100)),MAX(0,Inputs!$B$44-((R1224-1)*(1/Q1224)))))/Inputs!$B$44),IF(Inputs!$B$39="pvp",MIN((Skills!T17*(1+(Inputs!$B$35+1)/100)),15)/15,MIN(1,(Skills!T17*(1+(Inputs!$B$35+1)/100))/(1/Q1224)))))+((C1212=TRUE)*IF(Inputs!$B$3&gt;=126,10*MIN(1,15*Q1212),0))+((C1221=TRUE)*IF(Inputs!$B$39="pvp",20,(1-Summary!$B$11)*(20)+Summary!$B$11*(0))*IF(AND(Inputs!$B$39&lt;&gt;"pvp",Inputs!$B$44&gt;0),(((R1221-1)*MIN((Skills!T14*(1+(Inputs!$B$35+1)/100)),(1/Q1221))+MIN((Skills!T14*(1+(Inputs!$B$35+1)/100)),MAX(0,Inputs!$B$44-((R1221-1)*(1/Q1221)))))/Inputs!$B$44),IF(Inputs!$B$39="pvp",MIN((Skills!T14*(1+(Inputs!$B$35+1)/100)),15)/15,MIN(1,(Skills!T14*(1+(Inputs!$B$35+1)/100))/(1/Q1221)))))+((C1220=TRUE)*IF(Inputs!$B$3&gt;=82,IF(Inputs!$B$39="pvp",20,(1-Summary!$B$11)*(20)+Summary!$B$11*(0)),0)*IF(AND(Inputs!$B$39&lt;&gt;"pvp",Inputs!$B$44&gt;0),(((R1220-1)*MIN((Skills!T13*(1+(Inputs!$B$35+1)/100)),(1/Q1220))+MIN((Skills!T13*(1+(Inputs!$B$35+1)/100)),MAX(0,Inputs!$B$44-((R1220-1)*(1/Q1220)))))/Inputs!$B$44),IF(Inputs!$B$39="pvp",MIN((Skills!T13*(1+(Inputs!$B$35+1)/100)),15)/15,MIN(1,(Skills!T13*(1+(Inputs!$B$35+1)/100))/(1/Q1220)))))+(IF(AND(ArtifactsInput!$M$35,Inputs!$B$4&lt;&gt;"Chapter Hunt"),CHOOSE(ArtifactsInput!$N$35+1,15,18,21,24,27,30)*(1-EXP(-(0.2*B1238)*5)),0)+IF(AND(ArtifactsInput!$M$22,Inputs!$B$4&lt;&gt;"Chapter Hunt"),CHOOSE(ArtifactsInput!$N$22+1,10,12,14,16,18,20)*((0*(((0.15*B1238*5))^0/1)+1*(((0.15*B1238*5))^1/1)+2*(((0.15*B1238*5))^2/2)+3*(((0.15*B1238*5))^3/6)+4*(((0.15*B1238*5))^4/24)+5*(((0.15*B1238*5))^5/120))/((((0.15*B1238*5))^0/1)+(((0.15*B1238*5))^1/1)+(((0.15*B1238*5))^2/2)+(((0.15*B1238*5))^3/6)+(((0.15*B1238*5))^4/24)+(((0.15*B1238*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17">
      <c r="A1217">
        <f>Skills!A10</f>
        <v/>
      </c>
      <c r="B1217">
        <f>Skills!B10</f>
        <v/>
      </c>
      <c r="C1217">
        <f>Inputs!$B$3&gt;=110</f>
        <v/>
      </c>
      <c r="D1217">
        <f>IF(Skills!C10=1,60+Inputs!$B$26+Inputs!$B$30,IF(Skills!C10=2,90+Inputs!$B$27+Inputs!$B$30,IF(Skills!C10=3,120+Inputs!$B$28+Inputs!$B$30,MAX(0,(Inputs!$B$3-100)*3)+Inputs!$B$29+Inputs!$B$30)))</f>
        <v/>
      </c>
      <c r="E1217">
        <f>INDEX(FactorTable!$B$2:$Y$301, MATCH(ROUND(MIN(300,MAX(1,D1217)),0), FactorTable!$A$2:$A$301,0), Skills!M10+1)</f>
        <v/>
      </c>
      <c r="F1217">
        <f>IF(Skills!N10=TRUE,(Skills!L10/10)*(E1217/1000),Skills!L10/10)+Skills!O10</f>
        <v/>
      </c>
      <c r="G1217">
        <f>Skills!G10*IF(Skills!H10&gt;0,INT(IF(Inputs!$B$39="pvp",MIN(Skills!I10,15),Skills!I10)/Skills!H10+0.000000001),1)</f>
        <v/>
      </c>
      <c r="H1217">
        <f>1-(1-Skills!J10/100)^Skills!K10</f>
        <v/>
      </c>
      <c r="I1217" t="inlineStr">
        <is>
          <t>1</t>
        </is>
      </c>
      <c r="J1217">
        <f>((Inputs!$B$6*(1+Inputs!$B$7/100))+(((Inputs!$B$13*(1+Inputs!$B$14/100))-(Inputs!$B$13*(1+Inputs!$B$14/100)))+0.25*(Inputs!$B$15-Inputs!$B$15))*(1+Inputs!$B$7/100))*(F1217/100)</f>
        <v/>
      </c>
      <c r="K1217">
        <f>J1217*(1+(((Inputs!$B$13+IF(Inputs!$B$3&gt;=38,(10*INDEX(FactorTable!$B$2:$Y$301, MATCH(ROUND(MIN(300,MAX(1,Inputs!$B$3)),0), FactorTable!$A$2:$A$301,0), 23)/1000)/100*(Inputs!$B$8*(1+Inputs!$B$9/100)),0))*(1+Inputs!$B$14/100))*0.01+Inputs!$B$15*0.0025)/100)*(1+Inputs!$B$16/100)*(1+Inputs!$B$17/100)*(5000/(6000+Inputs!$B$43*(1-(Inputs!$B$20+0)/100)))*(1+(Inputs!$B$25+((C1232=TRUE)*(F1232-Calc!F25))+((C1233=TRUE)*(F1233-Calc!F26))+B1242)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gt;=100),MIN(100,((Inputs!$B$10+0+B1236+(ArtifactsInput!$M$24-ArtifactsInput!$M$24)*CHOOSE(ArtifactsInput!$N$24+1,10,12,14,16,18,20)+IF(ArtifactsInput!$M$10,CHOOSE(ArtifactsInput!$N$10+1,15,18,21,24,27,30)*(IF(Inputs!$B$39="pvp",MIN(15,15)/15,IF(AND(Inputs!$B$39&lt;&gt;"pvp",Inputs!$B$44&gt;0),MIN(15,Inputs!$B$44)/(Inputs!$B$44),0))),0)))-100),0))*CHOOSE(ArtifactsInput!$N$42+1,0.6,0.72,0.84,0.96,1.08,1.2))),Inputs!$B$19+((C1230=TRUE)*(F1230-Calc!F23))+(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gt;=100),CHOOSE(ArtifactsInput!$N$42+1,40,48,56,64,72,80),0))))/100)*((1+(((C1220=TRUE)*F1220*IF(AND(Inputs!$B$39&lt;&gt;"pvp",Inputs!$B$44&gt;0),(((R1220-1)*MIN((Skills!T13*(1+(Inputs!$B$35+1)/100)),(1/Q1220))+MIN((Skills!T13*(1+(Inputs!$B$35+1)/100)),MAX(0,Inputs!$B$44-((R1220-1)*(1/Q1220)))))/Inputs!$B$44),IF(Inputs!$B$39="pvp",MIN((Skills!T13*(1+(Inputs!$B$35+1)/100)),15)/15,MIN(1,(Skills!T13*(1+(Inputs!$B$35+1)/100))/(1/Q1220)))))+((C1221=TRUE)*F1221*IF(AND(Inputs!$B$39&lt;&gt;"pvp",Inputs!$B$44&gt;0),(((R1221-1)*MIN((Skills!T14*(1+(Inputs!$B$35+1)/100)),(1/Q1221))+MIN((Skills!T14*(1+(Inputs!$B$35+1)/100)),MAX(0,Inputs!$B$44-((R1221-1)*(1/Q1221)))))/Inputs!$B$44),IF(Inputs!$B$39="pvp",MIN((Skills!T14*(1+(Inputs!$B$35+1)/100)),15)/15,MIN(1,(Skills!T14*(1+(Inputs!$B$35+1)/100))/(1/Q1221)))))+((C1222=TRUE)*F1222*IF(AND(Inputs!$B$39&lt;&gt;"pvp",Inputs!$B$44&gt;0),(((R1222-1)*MIN((Skills!T15*(1+(Inputs!$B$35+1)/100)),(1/Q1222))+MIN((Skills!T15*(1+(Inputs!$B$35+1)/100)),MAX(0,Inputs!$B$44-((R1222-1)*(1/Q1222)))))/Inputs!$B$44),IF(Inputs!$B$39="pvp",MIN((Skills!T15*(1+(Inputs!$B$35+1)/100)),15)/15,MIN(1,(Skills!T15*(1+(Inputs!$B$35+1)/100))/(1/Q1222)))))+((C1223=TRUE)*F1223*IF(AND(Inputs!$B$39&lt;&gt;"pvp",Inputs!$B$44&gt;0),(((R1223-1)*MIN((Skills!T16*(1+(Inputs!$B$35+1)/100)),(1/Q1223))+MIN((Skills!T16*(1+(Inputs!$B$35+1)/100)),MAX(0,Inputs!$B$44-((R1223-1)*(1/Q1223)))))/Inputs!$B$44),IF(Inputs!$B$39="pvp",MIN((Skills!T16*(1+(Inputs!$B$35+1)/100)),15)/15,MIN(1,(Skills!T16*(1+(Inputs!$B$35+1)/100))/(1/Q1223)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1217)</f>
        <v/>
      </c>
      <c r="L1217">
        <f>K1217*(MIN(Inputs!$B$23+((C1229=TRUE)*(F1229-Calc!F22)),(Inputs!$B$24+((C1231=TRUE)*(F1231-Calc!F24))+(IF(ArtifactsInput!$M$15,CHOOSE(ArtifactsInput!$N$15+1,25,30,35,40,45,50)/100*(Inputs!$B$12-Inputs!$B$12),0))))/100+(Inputs!$B$24+((C1231=TRUE)*(F1231-Calc!F24))+(IF(ArtifactsInput!$M$15,CHOOSE(ArtifactsInput!$N$15+1,25,30,35,40,45,50)/100*(Inputs!$B$12-Inputs!$B$12),0)))/100)/2</f>
        <v/>
      </c>
      <c r="M1217">
        <f>L1217*(1+(Inputs!$B$11+0+B1241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217">
        <f>L1217*(1-MIN((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1217*(MIN((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17">
        <f>(1-Summary!$B$11)*T1217+Summary!$B$11*V1217</f>
        <v/>
      </c>
      <c r="P1217">
        <f>IF(B1246=0,0,O1217/B1246)</f>
        <v/>
      </c>
      <c r="Q1217">
        <f>IFERROR(1/IF(Inputs!$B$39="pvp",15,MAX(0.1,Skills!D10-IF(TRUE=TRUE,Inputs!$B$33,0))),0)</f>
        <v/>
      </c>
      <c r="R1217">
        <f>IF(AND(Inputs!$B$39&lt;&gt;"pvp",Inputs!$B$44&gt;0),IF(MAX(0,Inputs!$B$44-B1243)&lt;=0,0,(INT(MAX(0,Inputs!$B$44-B1243)/IF(Inputs!$B$39="pvp",15,MAX(0.1,Skills!D10-IF(TRUE=TRUE,Inputs!$B$33,0))))+1)),0)</f>
        <v/>
      </c>
      <c r="S1217">
        <f>IFERROR(O1217/N1217,0)</f>
        <v/>
      </c>
      <c r="T1217">
        <f>IF(C1217,(H1217*N1217*IF(AND(Inputs!$B$39&lt;&gt;"pvp",Inputs!$B$44&gt;0),((Skills!G10*((R1217-1)*IF(Skills!H10&gt;0,INT(Skills!I10/Skills!H10+0.000000001),1)+IF(Skills!H10&gt;0,INT(MIN(Skills!I10,MAX(0,MAX(0,Inputs!$B$44-B1243)-((R1217-1)*IF(Inputs!$B$39="pvp",15,MAX(0.1,Skills!D10-IF(TRUE=TRUE,Inputs!$B$33,0))))))/Skills!H10+0.000000001),1)))/Inputs!$B$44),G1217*Q1217))*IF(Inputs!$B$39="pvp",1,1+(Inputs!$B$21+0+Skills!P10+((C1224=TRUE)*F1224*IF(AND(Inputs!$B$39&lt;&gt;"pvp",Inputs!$B$44&gt;0),(((R1224-1)*MIN((Skills!T17*(1+(Inputs!$B$35+1)/100)),(1/Q1224))+MIN((Skills!T17*(1+(Inputs!$B$35+1)/100)),MAX(0,Inputs!$B$44-((R1224-1)*(1/Q1224)))))/Inputs!$B$44),IF(Inputs!$B$39="pvp",MIN((Skills!T17*(1+(Inputs!$B$35+1)/100)),15)/15,MIN(1,(Skills!T17*(1+(Inputs!$B$35+1)/100))/(1/Q1224)))))+((C1212=TRUE)*IF(Inputs!$B$3&gt;=126,10*MIN(1,15*Q1212),0))+((C1221=TRUE)*IF(Inputs!$B$39="pvp",20,(1-Summary!$B$11)*(20)+Summary!$B$11*(0))*IF(AND(Inputs!$B$39&lt;&gt;"pvp",Inputs!$B$44&gt;0),(((R1221-1)*MIN((Skills!T14*(1+(Inputs!$B$35+1)/100)),(1/Q1221))+MIN((Skills!T14*(1+(Inputs!$B$35+1)/100)),MAX(0,Inputs!$B$44-((R1221-1)*(1/Q1221)))))/Inputs!$B$44),IF(Inputs!$B$39="pvp",MIN((Skills!T14*(1+(Inputs!$B$35+1)/100)),15)/15,MIN(1,(Skills!T14*(1+(Inputs!$B$35+1)/100))/(1/Q1221)))))+((C1220=TRUE)*IF(Inputs!$B$3&gt;=82,IF(Inputs!$B$39="pvp",20,(1-Summary!$B$11)*(20)+Summary!$B$11*(0)),0)*IF(AND(Inputs!$B$39&lt;&gt;"pvp",Inputs!$B$44&gt;0),(((R1220-1)*MIN((Skills!T13*(1+(Inputs!$B$35+1)/100)),(1/Q1220))+MIN((Skills!T13*(1+(Inputs!$B$35+1)/100)),MAX(0,Inputs!$B$44-((R1220-1)*(1/Q1220)))))/Inputs!$B$44),IF(Inputs!$B$39="pvp",MIN((Skills!T13*(1+(Inputs!$B$35+1)/100)),15)/15,MIN(1,(Skills!T13*(1+(Inputs!$B$35+1)/100))/(1/Q1220)))))+(IF(AND(ArtifactsInput!$M$35,Inputs!$B$4&lt;&gt;"Chapter Hunt"),CHOOSE(ArtifactsInput!$N$35+1,15,18,21,24,27,30)*(1-EXP(-(0.2*B1238)*5)),0)+IF(AND(ArtifactsInput!$M$22,Inputs!$B$4&lt;&gt;"Chapter Hunt"),CHOOSE(ArtifactsInput!$N$22+1,10,12,14,16,18,20)*((0*(((0.15*B1238*5))^0/1)+1*(((0.15*B1238*5))^1/1)+2*(((0.15*B1238*5))^2/2)+3*(((0.15*B1238*5))^3/6)+4*(((0.15*B1238*5))^4/24)+5*(((0.15*B1238*5))^5/120))/((((0.15*B1238*5))^0/1)+(((0.15*B1238*5))^1/1)+(((0.15*B1238*5))^2/2)+(((0.15*B1238*5))^3/6)+(((0.15*B1238*5))^4/24)+(((0.15*B1238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1217*(1-MIN(100,(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1217*(MIN(100,(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1217*(1-MIN(100,(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1217*(MIN(100,(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17">
        <f>IF(C1217,(H1217*N1217*IF(AND(Inputs!$B$39&lt;&gt;"pvp",Inputs!$B$44&gt;0),((Skills!G10*((R1217-1)*IF(Skills!H10&gt;0,INT(Skills!I10/Skills!H10+0.000000001),1)+IF(Skills!H10&gt;0,INT(MIN(Skills!I10,MAX(0,MAX(0,Inputs!$B$44-B1243)-((R1217-1)*IF(Inputs!$B$39="pvp",15,MAX(0.1,Skills!D10-IF(TRUE=TRUE,Inputs!$B$33,0))))))/Skills!H10+0.000000001),1)))/Inputs!$B$44),G1217*Q1217))*IF(Inputs!$B$39="pvp",1,(1+(Inputs!$B$22+Skills!Q10+((C1224=TRUE)*F1224*IF(AND(Inputs!$B$39&lt;&gt;"pvp",Inputs!$B$44&gt;0),(((R1224-1)*MIN((Skills!T17*(1+(Inputs!$B$35+1)/100)),(1/Q1224))+MIN((Skills!T17*(1+(Inputs!$B$35+1)/100)),MAX(0,Inputs!$B$44-((R1224-1)*(1/Q1224)))))/Inputs!$B$44),IF(Inputs!$B$39="pvp",MIN((Skills!T17*(1+(Inputs!$B$35+1)/100)),15)/15,MIN(1,(Skills!T17*(1+(Inputs!$B$35+1)/100))/(1/Q1224)))))+((C1212=TRUE)*IF(Inputs!$B$3&gt;=126,10*MIN(1,15*Q1212),0))+((C1221=TRUE)*IF(Inputs!$B$39="pvp",20,(1-Summary!$B$11)*(20)+Summary!$B$11*(0))*IF(AND(Inputs!$B$39&lt;&gt;"pvp",Inputs!$B$44&gt;0),(((R1221-1)*MIN((Skills!T14*(1+(Inputs!$B$35+1)/100)),(1/Q1221))+MIN((Skills!T14*(1+(Inputs!$B$35+1)/100)),MAX(0,Inputs!$B$44-((R1221-1)*(1/Q1221)))))/Inputs!$B$44),IF(Inputs!$B$39="pvp",MIN((Skills!T14*(1+(Inputs!$B$35+1)/100)),15)/15,MIN(1,(Skills!T14*(1+(Inputs!$B$35+1)/100))/(1/Q1221)))))+((C1220=TRUE)*IF(Inputs!$B$3&gt;=82,IF(Inputs!$B$39="pvp",20,(1-Summary!$B$11)*(20)+Summary!$B$11*(0)),0)*IF(AND(Inputs!$B$39&lt;&gt;"pvp",Inputs!$B$44&gt;0),(((R1220-1)*MIN((Skills!T13*(1+(Inputs!$B$35+1)/100)),(1/Q1220))+MIN((Skills!T13*(1+(Inputs!$B$35+1)/100)),MAX(0,Inputs!$B$44-((R1220-1)*(1/Q1220)))))/Inputs!$B$44),IF(Inputs!$B$39="pvp",MIN((Skills!T13*(1+(Inputs!$B$35+1)/100)),15)/15,MIN(1,(Skills!T13*(1+(Inputs!$B$35+1)/100))/(1/Q1220)))))+(IF(AND(ArtifactsInput!$M$35,Inputs!$B$4&lt;&gt;"Chapter Hunt"),CHOOSE(ArtifactsInput!$N$35+1,15,18,21,24,27,30)*(1-EXP(-(0.2*B1238)*5)),0)+IF(AND(ArtifactsInput!$M$22,Inputs!$B$4&lt;&gt;"Chapter Hunt"),CHOOSE(ArtifactsInput!$N$22+1,10,12,14,16,18,20)*((0*(((0.15*B1238*5))^0/1)+1*(((0.15*B1238*5))^1/1)+2*(((0.15*B1238*5))^2/2)+3*(((0.15*B1238*5))^3/6)+4*(((0.15*B1238*5))^4/24)+5*(((0.15*B1238*5))^5/120))/((((0.15*B1238*5))^0/1)+(((0.15*B1238*5))^1/1)+(((0.15*B1238*5))^2/2)+(((0.15*B1238*5))^3/6)+(((0.15*B1238*5))^4/24)+(((0.15*B1238*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18">
      <c r="A1218">
        <f>Skills!A11</f>
        <v/>
      </c>
      <c r="B1218">
        <f>Skills!B11</f>
        <v/>
      </c>
      <c r="C1218">
        <f>Inputs!$B$3&gt;=100</f>
        <v/>
      </c>
      <c r="D1218">
        <f>IF(Skills!C11=1,60+Inputs!$B$26+Inputs!$B$30,IF(Skills!C11=2,90+Inputs!$B$27+Inputs!$B$30,IF(Skills!C11=3,120+Inputs!$B$28+Inputs!$B$30,MAX(0,(Inputs!$B$3-100)*3)+Inputs!$B$29+Inputs!$B$30)))</f>
        <v/>
      </c>
      <c r="E1218">
        <f>INDEX(FactorTable!$B$2:$Y$301, MATCH(ROUND(MIN(300,MAX(1,D1218)),0), FactorTable!$A$2:$A$301,0), Skills!M11+1)</f>
        <v/>
      </c>
      <c r="F1218">
        <f>IF(Skills!N11=TRUE,(Skills!L11/10)*(E1218/1000),Skills!L11/10)+Skills!O11</f>
        <v/>
      </c>
      <c r="G1218" t="inlineStr"/>
      <c r="H1218" t="inlineStr"/>
      <c r="I1218" t="inlineStr">
        <is>
          <t>1</t>
        </is>
      </c>
      <c r="J1218" t="inlineStr"/>
      <c r="K1218" t="inlineStr"/>
      <c r="L1218" t="inlineStr"/>
      <c r="M1218" t="inlineStr"/>
      <c r="N1218" t="inlineStr"/>
      <c r="O1218" t="inlineStr"/>
      <c r="P1218" t="inlineStr"/>
      <c r="Q1218" t="inlineStr"/>
      <c r="R1218" t="inlineStr"/>
      <c r="S1218" t="inlineStr"/>
    </row>
    <row r="1219">
      <c r="A1219">
        <f>Skills!A12</f>
        <v/>
      </c>
      <c r="B1219">
        <f>Skills!B12</f>
        <v/>
      </c>
      <c r="C1219">
        <f>Inputs!$B$3&gt;=63</f>
        <v/>
      </c>
      <c r="D1219">
        <f>IF(Skills!C12=1,60+Inputs!$B$26+Inputs!$B$30,IF(Skills!C12=2,90+Inputs!$B$27+Inputs!$B$30,IF(Skills!C12=3,120+Inputs!$B$28+Inputs!$B$30,MAX(0,(Inputs!$B$3-100)*3)+Inputs!$B$29+Inputs!$B$30)))</f>
        <v/>
      </c>
      <c r="E1219">
        <f>INDEX(FactorTable!$B$2:$Y$301, MATCH(ROUND(MIN(300,MAX(1,D1219)),0), FactorTable!$A$2:$A$301,0), Skills!M12+1)</f>
        <v/>
      </c>
      <c r="F1219">
        <f>IF(Skills!N12=TRUE,(Skills!L12/10)*(E1219/1000),Skills!L12/10)+Skills!O12</f>
        <v/>
      </c>
      <c r="G1219">
        <f>Skills!G12*IF(Skills!H12&gt;0,INT(IF(Inputs!$B$39="pvp",MIN(Skills!I12,15),Skills!I12)/Skills!H12+0.000000001),1)</f>
        <v/>
      </c>
      <c r="H1219">
        <f>1-(1-Skills!J12/100)^Skills!K12</f>
        <v/>
      </c>
      <c r="I1219" t="inlineStr">
        <is>
          <t>1</t>
        </is>
      </c>
      <c r="J1219">
        <f>((Inputs!$B$6*(1+Inputs!$B$7/100))+(((Inputs!$B$13*(1+Inputs!$B$14/100))-(Inputs!$B$13*(1+Inputs!$B$14/100)))+0.25*(Inputs!$B$15-Inputs!$B$15))*(1+Inputs!$B$7/100))*(F1219/100)</f>
        <v/>
      </c>
      <c r="K1219">
        <f>J1219*(1+(((Inputs!$B$13+IF(Inputs!$B$3&gt;=38,(10*INDEX(FactorTable!$B$2:$Y$301, MATCH(ROUND(MIN(300,MAX(1,Inputs!$B$3)),0), FactorTable!$A$2:$A$301,0), 23)/1000)/100*(Inputs!$B$8*(1+Inputs!$B$9/100)),0))*(1+Inputs!$B$14/100))*0.01+Inputs!$B$15*0.0025)/100)*(1+Inputs!$B$16/100)*(1+Inputs!$B$17/100)*(5000/(6000+Inputs!$B$43*(1-(Inputs!$B$20+0)/100)))*(1+(Inputs!$B$25+((C1232=TRUE)*(F1232-Calc!F25))+((C1233=TRUE)*(F1233-Calc!F26))+B1242)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1218=TRUE,F1218,0)/100)*(1+(IF(Skills!A12="DARK_IMPALE",Inputs!$B$18+0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gt;=100),MIN(100,((Inputs!$B$10+0+B1236+(ArtifactsInput!$M$24-ArtifactsInput!$M$24)*CHOOSE(ArtifactsInput!$N$24+1,10,12,14,16,18,20)+IF(ArtifactsInput!$M$10,CHOOSE(ArtifactsInput!$N$10+1,15,18,21,24,27,30)*(IF(Inputs!$B$39="pvp",MIN(15,15)/15,IF(AND(Inputs!$B$39&lt;&gt;"pvp",Inputs!$B$44&gt;0),MIN(15,Inputs!$B$44)/(Inputs!$B$44),0))),0)))-100),0))*CHOOSE(ArtifactsInput!$N$42+1,0.6,0.72,0.84,0.96,1.08,1.2))),Inputs!$B$19+((C1230=TRUE)*(F1230-Calc!F23))+(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gt;=100),CHOOSE(ArtifactsInput!$N$42+1,40,48,56,64,72,80),0))))/100)*((1+(((C1220=TRUE)*F1220*IF(AND(Inputs!$B$39&lt;&gt;"pvp",Inputs!$B$44&gt;0),(((R1220-1)*MIN((Skills!T13*(1+(Inputs!$B$35+1)/100)),(1/Q1220))+MIN((Skills!T13*(1+(Inputs!$B$35+1)/100)),MAX(0,Inputs!$B$44-((R1220-1)*(1/Q1220)))))/Inputs!$B$44),IF(Inputs!$B$39="pvp",MIN((Skills!T13*(1+(Inputs!$B$35+1)/100)),15)/15,MIN(1,(Skills!T13*(1+(Inputs!$B$35+1)/100))/(1/Q1220)))))+((C1221=TRUE)*F1221*IF(AND(Inputs!$B$39&lt;&gt;"pvp",Inputs!$B$44&gt;0),(((R1221-1)*MIN((Skills!T14*(1+(Inputs!$B$35+1)/100)),(1/Q1221))+MIN((Skills!T14*(1+(Inputs!$B$35+1)/100)),MAX(0,Inputs!$B$44-((R1221-1)*(1/Q1221)))))/Inputs!$B$44),IF(Inputs!$B$39="pvp",MIN((Skills!T14*(1+(Inputs!$B$35+1)/100)),15)/15,MIN(1,(Skills!T14*(1+(Inputs!$B$35+1)/100))/(1/Q1221)))))+((C1222=TRUE)*F1222*IF(AND(Inputs!$B$39&lt;&gt;"pvp",Inputs!$B$44&gt;0),(((R1222-1)*MIN((Skills!T15*(1+(Inputs!$B$35+1)/100)),(1/Q1222))+MIN((Skills!T15*(1+(Inputs!$B$35+1)/100)),MAX(0,Inputs!$B$44-((R1222-1)*(1/Q1222)))))/Inputs!$B$44),IF(Inputs!$B$39="pvp",MIN((Skills!T15*(1+(Inputs!$B$35+1)/100)),15)/15,MIN(1,(Skills!T15*(1+(Inputs!$B$35+1)/100))/(1/Q1222)))))+((C1223=TRUE)*F1223*IF(AND(Inputs!$B$39&lt;&gt;"pvp",Inputs!$B$44&gt;0),(((R1223-1)*MIN((Skills!T16*(1+(Inputs!$B$35+1)/100)),(1/Q1223))+MIN((Skills!T16*(1+(Inputs!$B$35+1)/100)),MAX(0,Inputs!$B$44-((R1223-1)*(1/Q1223)))))/Inputs!$B$44),IF(Inputs!$B$39="pvp",MIN((Skills!T16*(1+(Inputs!$B$35+1)/100)),15)/15,MIN(1,(Skills!T16*(1+(Inputs!$B$35+1)/100))/(1/Q1223)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1219)</f>
        <v/>
      </c>
      <c r="L1219">
        <f>K1219*(MIN(Inputs!$B$23+((C1229=TRUE)*(F1229-Calc!F22)),(Inputs!$B$24+((C1231=TRUE)*(F1231-Calc!F24))+(IF(ArtifactsInput!$M$15,CHOOSE(ArtifactsInput!$N$15+1,25,30,35,40,45,50)/100*(Inputs!$B$12-Inputs!$B$12),0))))/100+(Inputs!$B$24+((C1231=TRUE)*(F1231-Calc!F24))+(IF(ArtifactsInput!$M$15,CHOOSE(ArtifactsInput!$N$15+1,25,30,35,40,45,50)/100*(Inputs!$B$12-Inputs!$B$12),0)))/100)/2</f>
        <v/>
      </c>
      <c r="M1219">
        <f>L1219*(1+(Inputs!$B$11+0+B1241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219">
        <f>L1219*(1-MIN((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1219*(MIN((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19">
        <f>(1-Summary!$B$11)*T1219+Summary!$B$11*V1219</f>
        <v/>
      </c>
      <c r="P1219">
        <f>IF(B1246=0,0,O1219/B1246)</f>
        <v/>
      </c>
      <c r="Q1219">
        <f>IFERROR(1/IF(Inputs!$B$39="pvp",15,MAX(0.1,Skills!D12-IF(TRUE=TRUE,Inputs!$B$33,0))),0)</f>
        <v/>
      </c>
      <c r="R1219">
        <f>IF(AND(Inputs!$B$39&lt;&gt;"pvp",Inputs!$B$44&gt;0),IF(MAX(0,Inputs!$B$44-B1243)&lt;=0,0,(INT(MAX(0,Inputs!$B$44-B1243)/IF(Inputs!$B$39="pvp",15,MAX(0.1,Skills!D12-IF(TRUE=TRUE,Inputs!$B$33,0))))+1)),0)</f>
        <v/>
      </c>
      <c r="S1219">
        <f>IFERROR(O1219/N1219,0)</f>
        <v/>
      </c>
      <c r="T1219">
        <f>IF(C1219,(H1219*N1219*IF(AND(Inputs!$B$39&lt;&gt;"pvp",Inputs!$B$44&gt;0),((Skills!G12*((R1219-1)*IF(Skills!H12&gt;0,INT(Skills!I12/Skills!H12+0.000000001),1)+IF(Skills!H12&gt;0,INT(MIN(Skills!I12,MAX(0,MAX(0,Inputs!$B$44-B1243)-((R1219-1)*IF(Inputs!$B$39="pvp",15,MAX(0.1,Skills!D12-IF(TRUE=TRUE,Inputs!$B$33,0))))))/Skills!H12+0.000000001),1)))/Inputs!$B$44),G1219*Q1219))*IF(Inputs!$B$39="pvp",1,1+(Inputs!$B$21+0+Skills!P12+((C1224=TRUE)*F1224*IF(AND(Inputs!$B$39&lt;&gt;"pvp",Inputs!$B$44&gt;0),(((R1224-1)*MIN((Skills!T17*(1+(Inputs!$B$35+1)/100)),(1/Q1224))+MIN((Skills!T17*(1+(Inputs!$B$35+1)/100)),MAX(0,Inputs!$B$44-((R1224-1)*(1/Q1224)))))/Inputs!$B$44),IF(Inputs!$B$39="pvp",MIN((Skills!T17*(1+(Inputs!$B$35+1)/100)),15)/15,MIN(1,(Skills!T17*(1+(Inputs!$B$35+1)/100))/(1/Q1224)))))+((C1212=TRUE)*IF(Inputs!$B$3&gt;=126,10*MIN(1,15*Q1212),0))+((C1221=TRUE)*IF(Inputs!$B$39="pvp",20,(1-Summary!$B$11)*(20)+Summary!$B$11*(0))*IF(AND(Inputs!$B$39&lt;&gt;"pvp",Inputs!$B$44&gt;0),(((R1221-1)*MIN((Skills!T14*(1+(Inputs!$B$35+1)/100)),(1/Q1221))+MIN((Skills!T14*(1+(Inputs!$B$35+1)/100)),MAX(0,Inputs!$B$44-((R1221-1)*(1/Q1221)))))/Inputs!$B$44),IF(Inputs!$B$39="pvp",MIN((Skills!T14*(1+(Inputs!$B$35+1)/100)),15)/15,MIN(1,(Skills!T14*(1+(Inputs!$B$35+1)/100))/(1/Q1221)))))+((C1220=TRUE)*IF(Inputs!$B$3&gt;=82,IF(Inputs!$B$39="pvp",20,(1-Summary!$B$11)*(20)+Summary!$B$11*(0)),0)*IF(AND(Inputs!$B$39&lt;&gt;"pvp",Inputs!$B$44&gt;0),(((R1220-1)*MIN((Skills!T13*(1+(Inputs!$B$35+1)/100)),(1/Q1220))+MIN((Skills!T13*(1+(Inputs!$B$35+1)/100)),MAX(0,Inputs!$B$44-((R1220-1)*(1/Q1220)))))/Inputs!$B$44),IF(Inputs!$B$39="pvp",MIN((Skills!T13*(1+(Inputs!$B$35+1)/100)),15)/15,MIN(1,(Skills!T13*(1+(Inputs!$B$35+1)/100))/(1/Q1220)))))+(IF(AND(ArtifactsInput!$M$35,Inputs!$B$4&lt;&gt;"Chapter Hunt"),CHOOSE(ArtifactsInput!$N$35+1,15,18,21,24,27,30)*(1-EXP(-(0.2*B1238)*5)),0)+IF(AND(ArtifactsInput!$M$22,Inputs!$B$4&lt;&gt;"Chapter Hunt"),CHOOSE(ArtifactsInput!$N$22+1,10,12,14,16,18,20)*((0*(((0.15*B1238*5))^0/1)+1*(((0.15*B1238*5))^1/1)+2*(((0.15*B1238*5))^2/2)+3*(((0.15*B1238*5))^3/6)+4*(((0.15*B1238*5))^4/24)+5*(((0.15*B1238*5))^5/120))/((((0.15*B1238*5))^0/1)+(((0.15*B1238*5))^1/1)+(((0.15*B1238*5))^2/2)+(((0.15*B1238*5))^3/6)+(((0.15*B1238*5))^4/24)+(((0.15*B1238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1219*(1-MIN(100,(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1219*(MIN(100,(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1219*(1-MIN(100,(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1219*(MIN(100,(Inputs!$B$10+0+B1236+(ArtifactsInput!$M$24-ArtifactsInput!$M$24)*CHOOSE(ArtifactsInput!$N$24+1,10,12,14,16,18,20)+(IF(AND(Inputs!$B$39&lt;&gt;"pvp",Inputs!$B$44=0),1,IF(IF(Inputs!$B$39="pvp",15,Inputs!$B$44)-(B1243)&lt;=0,1,MAX(0,IF(Inputs!$B$39="pvp",15,Inputs!$B$44)-MAX(5,B1243))/(IF(Inputs!$B$39="pvp",15,Inputs!$B$44)-(B1243))))*IF(AND(ArtifactsInput!$M$42,((Inputs!$B$10+0+B1236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19">
        <f>IF(C1219,(H1219*N1219*IF(AND(Inputs!$B$39&lt;&gt;"pvp",Inputs!$B$44&gt;0),((Skills!G12*((R1219-1)*IF(Skills!H12&gt;0,INT(Skills!I12/Skills!H12+0.000000001),1)+IF(Skills!H12&gt;0,INT(MIN(Skills!I12,MAX(0,MAX(0,Inputs!$B$44-B1243)-((R1219-1)*IF(Inputs!$B$39="pvp",15,MAX(0.1,Skills!D12-IF(TRUE=TRUE,Inputs!$B$33,0))))))/Skills!H12+0.000000001),1)))/Inputs!$B$44),G1219*Q1219))*IF(Inputs!$B$39="pvp",1,(1+(Inputs!$B$22+Skills!Q12+((C1224=TRUE)*F1224*IF(AND(Inputs!$B$39&lt;&gt;"pvp",Inputs!$B$44&gt;0),(((R1224-1)*MIN((Skills!T17*(1+(Inputs!$B$35+1)/100)),(1/Q1224))+MIN((Skills!T17*(1+(Inputs!$B$35+1)/100)),MAX(0,Inputs!$B$44-((R1224-1)*(1/Q1224)))))/Inputs!$B$44),IF(Inputs!$B$39="pvp",MIN((Skills!T17*(1+(Inputs!$B$35+1)/100)),15)/15,MIN(1,(Skills!T17*(1+(Inputs!$B$35+1)/100))/(1/Q1224)))))+((C1212=TRUE)*IF(Inputs!$B$3&gt;=126,10*MIN(1,15*Q1212),0))+((C1221=TRUE)*IF(Inputs!$B$39="pvp",20,(1-Summary!$B$11)*(20)+Summary!$B$11*(0))*IF(AND(Inputs!$B$39&lt;&gt;"pvp",Inputs!$B$44&gt;0),(((R1221-1)*MIN((Skills!T14*(1+(Inputs!$B$35+1)/100)),(1/Q1221))+MIN((Skills!T14*(1+(Inputs!$B$35+1)/100)),MAX(0,Inputs!$B$44-((R1221-1)*(1/Q1221)))))/Inputs!$B$44),IF(Inputs!$B$39="pvp",MIN((Skills!T14*(1+(Inputs!$B$35+1)/100)),15)/15,MIN(1,(Skills!T14*(1+(Inputs!$B$35+1)/100))/(1/Q1221)))))+((C1220=TRUE)*IF(Inputs!$B$3&gt;=82,IF(Inputs!$B$39="pvp",20,(1-Summary!$B$11)*(20)+Summary!$B$11*(0)),0)*IF(AND(Inputs!$B$39&lt;&gt;"pvp",Inputs!$B$44&gt;0),(((R1220-1)*MIN((Skills!T13*(1+(Inputs!$B$35+1)/100)),(1/Q1220))+MIN((Skills!T13*(1+(Inputs!$B$35+1)/100)),MAX(0,Inputs!$B$44-((R1220-1)*(1/Q1220)))))/Inputs!$B$44),IF(Inputs!$B$39="pvp",MIN((Skills!T13*(1+(Inputs!$B$35+1)/100)),15)/15,MIN(1,(Skills!T13*(1+(Inputs!$B$35+1)/100))/(1/Q1220)))))+(IF(AND(ArtifactsInput!$M$35,Inputs!$B$4&lt;&gt;"Chapter Hunt"),CHOOSE(ArtifactsInput!$N$35+1,15,18,21,24,27,30)*(1-EXP(-(0.2*B1238)*5)),0)+IF(AND(ArtifactsInput!$M$22,Inputs!$B$4&lt;&gt;"Chapter Hunt"),CHOOSE(ArtifactsInput!$N$22+1,10,12,14,16,18,20)*((0*(((0.15*B1238*5))^0/1)+1*(((0.15*B1238*5))^1/1)+2*(((0.15*B1238*5))^2/2)+3*(((0.15*B1238*5))^3/6)+4*(((0.15*B1238*5))^4/24)+5*(((0.15*B1238*5))^5/120))/((((0.15*B1238*5))^0/1)+(((0.15*B1238*5))^1/1)+(((0.15*B1238*5))^2/2)+(((0.15*B1238*5))^3/6)+(((0.15*B1238*5))^4/24)+(((0.15*B1238*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20">
      <c r="A1220">
        <f>Skills!A13</f>
        <v/>
      </c>
      <c r="B1220">
        <f>Skills!B13</f>
        <v/>
      </c>
      <c r="C1220">
        <f>Inputs!$B$3&gt;=69</f>
        <v/>
      </c>
      <c r="D1220">
        <f>IF(Skills!C13=1,60+Inputs!$B$26+Inputs!$B$30,IF(Skills!C13=2,90+Inputs!$B$27+Inputs!$B$30,IF(Skills!C13=3,120+Inputs!$B$28+Inputs!$B$30,MAX(0,(Inputs!$B$3-100)*3)+Inputs!$B$29+Inputs!$B$30)))</f>
        <v/>
      </c>
      <c r="E1220">
        <f>INDEX(FactorTable!$B$2:$Y$301, MATCH(ROUND(MIN(300,MAX(1,D1220)),0), FactorTable!$A$2:$A$301,0), Skills!M13+1)</f>
        <v/>
      </c>
      <c r="F1220">
        <f>IF(Skills!N13=TRUE,(Skills!L13/10)*(E1220/1000),Skills!L13/10)+Skills!O13</f>
        <v/>
      </c>
      <c r="G1220">
        <f>Skills!G13*IF(Skills!H13&gt;0,INT(IF(Inputs!$B$39="pvp",MIN(Skills!I13,15),Skills!I13)/Skills!H13+0.000000001),1)</f>
        <v/>
      </c>
      <c r="H1220">
        <f>1-(1-Skills!J13/100)^Skills!K13</f>
        <v/>
      </c>
      <c r="I1220" t="inlineStr">
        <is>
          <t>1</t>
        </is>
      </c>
      <c r="J1220" t="inlineStr"/>
      <c r="K1220" t="inlineStr"/>
      <c r="L1220" t="inlineStr"/>
      <c r="M1220" t="inlineStr"/>
      <c r="N1220" t="inlineStr"/>
      <c r="O1220">
        <f>(1-Summary!$B$11)*T1220+Summary!$B$11*V1220</f>
        <v/>
      </c>
      <c r="P1220">
        <f>IF(B1246=0,0,O1220/B1246)</f>
        <v/>
      </c>
      <c r="Q1220">
        <f>IFERROR(1/IF(Inputs!$B$39="pvp",15,MAX(0.1,Skills!D13-IF(TRUE=TRUE,Inputs!$B$33,0))),0)</f>
        <v/>
      </c>
      <c r="R1220">
        <f>IF(AND(Inputs!$B$39&lt;&gt;"pvp",Inputs!$B$44&gt;0),IF(Inputs!$B$44&lt;=0,0,(INT(Inputs!$B$44/IF(Inputs!$B$39="pvp",15,MAX(0.1,Skills!D13-IF(TRUE=TRUE,Inputs!$B$33,0))))+1)),0)</f>
        <v/>
      </c>
      <c r="S1220">
        <f>IFERROR(O1220/N1220,0)</f>
        <v/>
      </c>
      <c r="T1220" t="n">
        <v>0</v>
      </c>
      <c r="V1220" t="n">
        <v>0</v>
      </c>
    </row>
    <row r="1221">
      <c r="A1221">
        <f>Skills!A14</f>
        <v/>
      </c>
      <c r="B1221">
        <f>Skills!B14</f>
        <v/>
      </c>
      <c r="C1221">
        <f>Inputs!$B$3&gt;=115</f>
        <v/>
      </c>
      <c r="D1221">
        <f>IF(Skills!C14=1,60+Inputs!$B$26+Inputs!$B$30,IF(Skills!C14=2,90+Inputs!$B$27+Inputs!$B$30,IF(Skills!C14=3,120+Inputs!$B$28+Inputs!$B$30,MAX(0,(Inputs!$B$3-100)*3)+Inputs!$B$29+Inputs!$B$30)))</f>
        <v/>
      </c>
      <c r="E1221">
        <f>INDEX(FactorTable!$B$2:$Y$301, MATCH(ROUND(MIN(300,MAX(1,D1221)),0), FactorTable!$A$2:$A$301,0), Skills!M14+1)</f>
        <v/>
      </c>
      <c r="F1221">
        <f>IF(Skills!N14=TRUE,(Skills!L14/10)*(E1221/1000),Skills!L14/10)+Skills!O14</f>
        <v/>
      </c>
      <c r="G1221">
        <f>Skills!G14*IF(Skills!H14&gt;0,INT(IF(Inputs!$B$39="pvp",MIN(Skills!I14,15),Skills!I14)/Skills!H14+0.000000001),1)</f>
        <v/>
      </c>
      <c r="H1221">
        <f>1-(1-Skills!J14/100)^Skills!K14</f>
        <v/>
      </c>
      <c r="I1221" t="inlineStr">
        <is>
          <t>1</t>
        </is>
      </c>
      <c r="J1221" t="inlineStr"/>
      <c r="K1221" t="inlineStr"/>
      <c r="L1221" t="inlineStr"/>
      <c r="M1221" t="inlineStr"/>
      <c r="N1221" t="inlineStr"/>
      <c r="O1221">
        <f>(1-Summary!$B$11)*T1221+Summary!$B$11*V1221</f>
        <v/>
      </c>
      <c r="P1221">
        <f>IF(B1246=0,0,O1221/B1246)</f>
        <v/>
      </c>
      <c r="Q1221">
        <f>IFERROR(1/IF(Inputs!$B$39="pvp",15,MAX(0.1,Skills!D14-IF(TRUE=TRUE,Inputs!$B$33,0))),0)</f>
        <v/>
      </c>
      <c r="R1221">
        <f>IF(AND(Inputs!$B$39&lt;&gt;"pvp",Inputs!$B$44&gt;0),IF(Inputs!$B$44&lt;=0,0,(INT(Inputs!$B$44/IF(Inputs!$B$39="pvp",15,MAX(0.1,Skills!D14-IF(TRUE=TRUE,Inputs!$B$33,0))))+1)),0)</f>
        <v/>
      </c>
      <c r="S1221">
        <f>IFERROR(O1221/N1221,0)</f>
        <v/>
      </c>
      <c r="T1221" t="n">
        <v>0</v>
      </c>
      <c r="V1221" t="n">
        <v>0</v>
      </c>
    </row>
    <row r="1222">
      <c r="A1222">
        <f>Skills!A15</f>
        <v/>
      </c>
      <c r="B1222">
        <f>Skills!B15</f>
        <v/>
      </c>
      <c r="C1222">
        <f>Inputs!$B$3&gt;=66</f>
        <v/>
      </c>
      <c r="D1222">
        <f>IF(Skills!C15=1,60+Inputs!$B$26+Inputs!$B$30,IF(Skills!C15=2,90+Inputs!$B$27+Inputs!$B$30,IF(Skills!C15=3,120+Inputs!$B$28+Inputs!$B$30,MAX(0,(Inputs!$B$3-100)*3)+Inputs!$B$29+Inputs!$B$30)))</f>
        <v/>
      </c>
      <c r="E1222">
        <f>INDEX(FactorTable!$B$2:$Y$301, MATCH(ROUND(MIN(300,MAX(1,D1222)),0), FactorTable!$A$2:$A$301,0), Skills!M15+1)</f>
        <v/>
      </c>
      <c r="F1222">
        <f>IF(Skills!N15=TRUE,(Skills!L15/10)*(E1222/1000),Skills!L15/10)+Skills!O15</f>
        <v/>
      </c>
      <c r="G1222">
        <f>Skills!G15*IF(Skills!H15&gt;0,INT(IF(Inputs!$B$39="pvp",MIN(Skills!I15,15),Skills!I15)/Skills!H15+0.000000001),1)</f>
        <v/>
      </c>
      <c r="H1222">
        <f>1-(1-Skills!J15/100)^Skills!K15</f>
        <v/>
      </c>
      <c r="I1222" t="inlineStr">
        <is>
          <t>1</t>
        </is>
      </c>
      <c r="J1222" t="inlineStr"/>
      <c r="K1222" t="inlineStr"/>
      <c r="L1222" t="inlineStr"/>
      <c r="M1222" t="inlineStr"/>
      <c r="N1222" t="inlineStr"/>
      <c r="O1222">
        <f>(1-Summary!$B$11)*T1222+Summary!$B$11*V1222</f>
        <v/>
      </c>
      <c r="P1222">
        <f>IF(B1246=0,0,O1222/B1246)</f>
        <v/>
      </c>
      <c r="Q1222">
        <f>IFERROR(1/IF(Inputs!$B$39="pvp",15,MAX(0.1,Skills!D15-IF(TRUE=TRUE,Inputs!$B$33,0))),0)</f>
        <v/>
      </c>
      <c r="R1222">
        <f>IF(AND(Inputs!$B$39&lt;&gt;"pvp",Inputs!$B$44&gt;0),IF(Inputs!$B$44&lt;=0,0,(INT(Inputs!$B$44/IF(Inputs!$B$39="pvp",15,MAX(0.1,Skills!D15-IF(TRUE=TRUE,Inputs!$B$33,0))))+1)),0)</f>
        <v/>
      </c>
      <c r="S1222">
        <f>IFERROR(O1222/N1222,0)</f>
        <v/>
      </c>
      <c r="T1222" t="n">
        <v>0</v>
      </c>
      <c r="V1222" t="n">
        <v>0</v>
      </c>
    </row>
    <row r="1223">
      <c r="A1223">
        <f>Skills!A16</f>
        <v/>
      </c>
      <c r="B1223">
        <f>Skills!B16</f>
        <v/>
      </c>
      <c r="C1223">
        <f>Inputs!$B$3&gt;=45</f>
        <v/>
      </c>
      <c r="D1223">
        <f>IF(Skills!C16=1,60+Inputs!$B$26+Inputs!$B$30,IF(Skills!C16=2,90+Inputs!$B$27+Inputs!$B$30,IF(Skills!C16=3,120+Inputs!$B$28+Inputs!$B$30,MAX(0,(Inputs!$B$3-100)*3)+Inputs!$B$29+Inputs!$B$30)))</f>
        <v/>
      </c>
      <c r="E1223">
        <f>INDEX(FactorTable!$B$2:$Y$301, MATCH(ROUND(MIN(300,MAX(1,D1223)),0), FactorTable!$A$2:$A$301,0), Skills!M16+1)</f>
        <v/>
      </c>
      <c r="F1223">
        <f>IF(Skills!N16=TRUE,(Skills!L16/10)*(E1223/1000),Skills!L16/10)+Skills!O16</f>
        <v/>
      </c>
      <c r="G1223">
        <f>Skills!G16*IF(Skills!H16&gt;0,INT(IF(Inputs!$B$39="pvp",MIN(Skills!I16,15),Skills!I16)/Skills!H16+0.000000001),1)</f>
        <v/>
      </c>
      <c r="H1223">
        <f>1-(1-Skills!J16/100)^Skills!K16</f>
        <v/>
      </c>
      <c r="I1223" t="inlineStr">
        <is>
          <t>1</t>
        </is>
      </c>
      <c r="J1223" t="inlineStr"/>
      <c r="K1223" t="inlineStr"/>
      <c r="L1223" t="inlineStr"/>
      <c r="M1223" t="inlineStr"/>
      <c r="N1223" t="inlineStr"/>
      <c r="O1223">
        <f>(1-Summary!$B$11)*T1223+Summary!$B$11*V1223</f>
        <v/>
      </c>
      <c r="P1223">
        <f>IF(B1246=0,0,O1223/B1246)</f>
        <v/>
      </c>
      <c r="Q1223">
        <f>IFERROR(1/IF(Inputs!$B$39="pvp",15,MAX(0.1,Skills!D16-IF(TRUE=TRUE,Inputs!$B$33,0))),0)</f>
        <v/>
      </c>
      <c r="R1223">
        <f>IF(AND(Inputs!$B$39&lt;&gt;"pvp",Inputs!$B$44&gt;0),IF(Inputs!$B$44&lt;=0,0,(INT(Inputs!$B$44/IF(Inputs!$B$39="pvp",15,MAX(0.1,Skills!D16-IF(TRUE=TRUE,Inputs!$B$33,0))))+1)),0)</f>
        <v/>
      </c>
      <c r="S1223">
        <f>IFERROR(O1223/N1223,0)</f>
        <v/>
      </c>
      <c r="T1223" t="n">
        <v>0</v>
      </c>
      <c r="V1223" t="n">
        <v>0</v>
      </c>
    </row>
    <row r="1224">
      <c r="A1224">
        <f>Skills!A17</f>
        <v/>
      </c>
      <c r="B1224">
        <f>Skills!B17</f>
        <v/>
      </c>
      <c r="C1224">
        <f>Inputs!$B$3&gt;=35</f>
        <v/>
      </c>
      <c r="D1224">
        <f>IF(Skills!C17=1,60+Inputs!$B$26+Inputs!$B$30,IF(Skills!C17=2,90+Inputs!$B$27+Inputs!$B$30,IF(Skills!C17=3,120+Inputs!$B$28+Inputs!$B$30,MAX(0,(Inputs!$B$3-100)*3)+Inputs!$B$29+Inputs!$B$30)))</f>
        <v/>
      </c>
      <c r="E1224">
        <f>INDEX(FactorTable!$B$2:$Y$301, MATCH(ROUND(MIN(300,MAX(1,D1224)),0), FactorTable!$A$2:$A$301,0), Skills!M17+1)</f>
        <v/>
      </c>
      <c r="F1224">
        <f>IF(Skills!N17=TRUE,(Skills!L17/10)*(E1224/1000),Skills!L17/10)+Skills!O17</f>
        <v/>
      </c>
      <c r="G1224">
        <f>Skills!G17*IF(Skills!H17&gt;0,INT(IF(Inputs!$B$39="pvp",MIN(Skills!I17,15),Skills!I17)/Skills!H17+0.000000001),1)</f>
        <v/>
      </c>
      <c r="H1224">
        <f>1-(1-Skills!J17/100)^Skills!K17</f>
        <v/>
      </c>
      <c r="I1224" t="inlineStr">
        <is>
          <t>1</t>
        </is>
      </c>
      <c r="J1224" t="inlineStr"/>
      <c r="K1224" t="inlineStr"/>
      <c r="L1224" t="inlineStr"/>
      <c r="M1224" t="inlineStr"/>
      <c r="N1224" t="inlineStr"/>
      <c r="O1224">
        <f>(1-Summary!$B$11)*T1224+Summary!$B$11*V1224</f>
        <v/>
      </c>
      <c r="P1224">
        <f>IF(B1246=0,0,O1224/B1246)</f>
        <v/>
      </c>
      <c r="Q1224">
        <f>IFERROR(1/IF(Inputs!$B$39="pvp",15,MAX(0.1,Skills!D17-IF(TRUE=TRUE,Inputs!$B$33,0))),0)</f>
        <v/>
      </c>
      <c r="R1224">
        <f>IF(AND(Inputs!$B$39&lt;&gt;"pvp",Inputs!$B$44&gt;0),IF(Inputs!$B$44&lt;=0,0,(INT(Inputs!$B$44/IF(Inputs!$B$39="pvp",15,MAX(0.1,Skills!D17-IF(TRUE=TRUE,Inputs!$B$33,0))))+1)),0)</f>
        <v/>
      </c>
      <c r="S1224">
        <f>IFERROR(O1224/N1224,0)</f>
        <v/>
      </c>
      <c r="T1224" t="n">
        <v>0</v>
      </c>
      <c r="V1224" t="n">
        <v>0</v>
      </c>
    </row>
    <row r="1225">
      <c r="A1225">
        <f>Skills!A18</f>
        <v/>
      </c>
      <c r="B1225">
        <f>Skills!B18</f>
        <v/>
      </c>
      <c r="C1225">
        <f>Inputs!$B$3&gt;=72</f>
        <v/>
      </c>
      <c r="D1225">
        <f>IF(Skills!C18=1,60+Inputs!$B$26+Inputs!$B$30,IF(Skills!C18=2,90+Inputs!$B$27+Inputs!$B$30,IF(Skills!C18=3,120+Inputs!$B$28+Inputs!$B$30,MAX(0,(Inputs!$B$3-100)*3)+Inputs!$B$29+Inputs!$B$30)))</f>
        <v/>
      </c>
      <c r="E1225">
        <f>INDEX(FactorTable!$B$2:$Y$301, MATCH(ROUND(MIN(300,MAX(1,D1225)),0), FactorTable!$A$2:$A$301,0), Skills!M18+1)</f>
        <v/>
      </c>
      <c r="F1225">
        <f>IF(Skills!N18=TRUE,(Skills!L18/10)*(E1225/1000),Skills!L18/10)+Skills!O18</f>
        <v/>
      </c>
      <c r="G1225">
        <f>Skills!G18*IF(Skills!H18&gt;0,INT(IF(Inputs!$B$39="pvp",MIN(Skills!I18,15),Skills!I18)/Skills!H18+0.000000001),1)</f>
        <v/>
      </c>
      <c r="H1225">
        <f>1-(1-Skills!J18/100)^Skills!K18</f>
        <v/>
      </c>
      <c r="I1225" t="inlineStr">
        <is>
          <t>1</t>
        </is>
      </c>
      <c r="J1225" t="inlineStr"/>
      <c r="K1225" t="inlineStr"/>
      <c r="L1225" t="inlineStr"/>
      <c r="M1225" t="inlineStr"/>
      <c r="N1225" t="inlineStr"/>
      <c r="O1225">
        <f>(1-Summary!$B$11)*T1225+Summary!$B$11*V1225</f>
        <v/>
      </c>
      <c r="P1225">
        <f>IF(B1246=0,0,O1225/B1246)</f>
        <v/>
      </c>
      <c r="Q1225">
        <f>IFERROR(1/IF(Inputs!$B$39="pvp",15,MAX(0.1,Skills!D18-IF(TRUE=TRUE,Inputs!$B$33,0))),0)</f>
        <v/>
      </c>
      <c r="R1225">
        <f>IF(AND(Inputs!$B$39&lt;&gt;"pvp",Inputs!$B$44&gt;0),IF(Inputs!$B$44&lt;=0,0,(INT(Inputs!$B$44/IF(Inputs!$B$39="pvp",15,MAX(0.1,Skills!D18-IF(TRUE=TRUE,Inputs!$B$33,0))))+1)),0)</f>
        <v/>
      </c>
      <c r="S1225">
        <f>IFERROR(O1225/N1225,0)</f>
        <v/>
      </c>
      <c r="T1225" t="n">
        <v>0</v>
      </c>
      <c r="V1225" t="n">
        <v>0</v>
      </c>
    </row>
    <row r="1226">
      <c r="A1226">
        <f>Skills!A19</f>
        <v/>
      </c>
      <c r="B1226">
        <f>Skills!B19</f>
        <v/>
      </c>
      <c r="C1226">
        <f>Inputs!$B$3&gt;=72</f>
        <v/>
      </c>
      <c r="D1226">
        <f>IF(Skills!C19=1,60+Inputs!$B$26+Inputs!$B$30,IF(Skills!C19=2,90+Inputs!$B$27+Inputs!$B$30,IF(Skills!C19=3,120+Inputs!$B$28+Inputs!$B$30,MAX(0,(Inputs!$B$3-100)*3)+Inputs!$B$29+Inputs!$B$30)))</f>
        <v/>
      </c>
      <c r="E1226">
        <f>INDEX(FactorTable!$B$2:$Y$301, MATCH(ROUND(MIN(300,MAX(1,D1226)),0), FactorTable!$A$2:$A$301,0), Skills!M19+1)</f>
        <v/>
      </c>
      <c r="F1226">
        <f>IF(Skills!N19=TRUE,(Skills!L19/10)*(E1226/1000),Skills!L19/10)+Skills!O19</f>
        <v/>
      </c>
      <c r="G1226">
        <f>Skills!G19*IF(Skills!H19&gt;0,INT(IF(Inputs!$B$39="pvp",MIN(Skills!I19,15),Skills!I19)/Skills!H19+0.000000001),1)</f>
        <v/>
      </c>
      <c r="H1226">
        <f>1-(1-Skills!J19/100)^Skills!K19</f>
        <v/>
      </c>
      <c r="I1226" t="inlineStr">
        <is>
          <t>1</t>
        </is>
      </c>
      <c r="J1226" t="inlineStr"/>
      <c r="K1226" t="inlineStr"/>
      <c r="L1226" t="inlineStr"/>
      <c r="M1226" t="inlineStr"/>
      <c r="N1226" t="inlineStr"/>
      <c r="O1226">
        <f>(1-Summary!$B$11)*T1226+Summary!$B$11*V1226</f>
        <v/>
      </c>
      <c r="P1226">
        <f>IF(B1246=0,0,O1226/B1246)</f>
        <v/>
      </c>
      <c r="Q1226">
        <f>IFERROR(1/IF(Inputs!$B$39="pvp",15,MAX(0.1,Skills!D19-IF(TRUE=TRUE,Inputs!$B$33,0))),0)</f>
        <v/>
      </c>
      <c r="R1226">
        <f>IF(AND(Inputs!$B$39&lt;&gt;"pvp",Inputs!$B$44&gt;0),IF(Inputs!$B$44&lt;=0,0,(INT(Inputs!$B$44/IF(Inputs!$B$39="pvp",15,MAX(0.1,Skills!D19-IF(TRUE=TRUE,Inputs!$B$33,0))))+1)),0)</f>
        <v/>
      </c>
      <c r="S1226">
        <f>IFERROR(O1226/N1226,0)</f>
        <v/>
      </c>
      <c r="T1226" t="n">
        <v>0</v>
      </c>
      <c r="V1226" t="n">
        <v>0</v>
      </c>
    </row>
    <row r="1227">
      <c r="A1227">
        <f>Skills!A20</f>
        <v/>
      </c>
      <c r="B1227">
        <f>Skills!B20</f>
        <v/>
      </c>
      <c r="C1227">
        <f>TRUE</f>
        <v/>
      </c>
      <c r="D1227">
        <f>IF(Skills!C20=1,60+Inputs!$B$26+Inputs!$B$30,IF(Skills!C20=2,90+Inputs!$B$27+Inputs!$B$30,IF(Skills!C20=3,120+Inputs!$B$28+Inputs!$B$30,MAX(0,(Inputs!$B$3-100)*3)+Inputs!$B$29+Inputs!$B$30)))</f>
        <v/>
      </c>
      <c r="E1227">
        <f>INDEX(FactorTable!$B$2:$Y$301, MATCH(ROUND(MIN(300,MAX(1,D1227)),0), FactorTable!$A$2:$A$301,0), Skills!M20+1)</f>
        <v/>
      </c>
      <c r="F1227">
        <f>IF(Skills!N20=TRUE,(Skills!L20/10)*(E1227/1000),Skills!L20/10)+Skills!O20</f>
        <v/>
      </c>
      <c r="G1227">
        <f>Skills!G20*IF(Skills!H20&gt;0,INT(IF(Inputs!$B$39="pvp",MIN(Skills!I20,15),Skills!I20)/Skills!H20+0.000000001),1)</f>
        <v/>
      </c>
      <c r="H1227">
        <f>1-(1-Skills!J20/100)^Skills!K20</f>
        <v/>
      </c>
      <c r="I1227" t="inlineStr">
        <is>
          <t>1</t>
        </is>
      </c>
      <c r="J1227" t="inlineStr"/>
      <c r="K1227" t="inlineStr"/>
      <c r="L1227" t="inlineStr"/>
      <c r="M1227" t="inlineStr"/>
      <c r="N1227" t="inlineStr"/>
      <c r="O1227">
        <f>(1-Summary!$B$11)*T1227+Summary!$B$11*V1227</f>
        <v/>
      </c>
      <c r="P1227">
        <f>IF(B1246=0,0,O1227/B1246)</f>
        <v/>
      </c>
      <c r="Q1227">
        <f>IFERROR(1/IF(Inputs!$B$39="pvp",15,MAX(0.1,Skills!D20-IF(TRUE=TRUE,Inputs!$B$33,0))),0)</f>
        <v/>
      </c>
      <c r="R1227">
        <f>IF(AND(Inputs!$B$39&lt;&gt;"pvp",Inputs!$B$44&gt;0),IF(Inputs!$B$44&lt;=0,0,(INT(Inputs!$B$44/IF(Inputs!$B$39="pvp",15,MAX(0.1,Skills!D20-IF(TRUE=TRUE,Inputs!$B$33,0))))+1)),0)</f>
        <v/>
      </c>
      <c r="S1227">
        <f>IFERROR(O1227/N1227,0)</f>
        <v/>
      </c>
      <c r="T1227" t="n">
        <v>0</v>
      </c>
      <c r="V1227" t="n">
        <v>0</v>
      </c>
    </row>
    <row r="1228">
      <c r="A1228">
        <f>Skills!A21</f>
        <v/>
      </c>
      <c r="B1228">
        <f>Skills!B21</f>
        <v/>
      </c>
      <c r="C1228">
        <f>Inputs!$B$3&gt;=33</f>
        <v/>
      </c>
      <c r="D1228">
        <f>IF(Skills!C21=1,60+Inputs!$B$26+Inputs!$B$30,IF(Skills!C21=2,90+Inputs!$B$27+Inputs!$B$30,IF(Skills!C21=3,120+Inputs!$B$28+Inputs!$B$30,MAX(0,(Inputs!$B$3-100)*3)+Inputs!$B$29+Inputs!$B$30)))</f>
        <v/>
      </c>
      <c r="E1228">
        <f>INDEX(FactorTable!$B$2:$Y$301, MATCH(ROUND(MIN(300,MAX(1,D1228)),0), FactorTable!$A$2:$A$301,0), Skills!M21+1)</f>
        <v/>
      </c>
      <c r="F1228">
        <f>IF(Skills!N21=TRUE,(Skills!L21/10)*(E1228/1000),Skills!L21/10)+Skills!O21</f>
        <v/>
      </c>
      <c r="G1228">
        <f>Skills!G21*IF(Skills!H21&gt;0,INT(IF(Inputs!$B$39="pvp",MIN(Skills!I21,15),Skills!I21)/Skills!H21+0.000000001),1)</f>
        <v/>
      </c>
      <c r="H1228">
        <f>1-(1-Skills!J21/100)^Skills!K21</f>
        <v/>
      </c>
      <c r="I1228" t="inlineStr">
        <is>
          <t>1</t>
        </is>
      </c>
      <c r="J1228" t="inlineStr"/>
      <c r="K1228" t="inlineStr"/>
      <c r="L1228" t="inlineStr"/>
      <c r="M1228" t="inlineStr"/>
      <c r="N1228" t="inlineStr"/>
      <c r="O1228">
        <f>(1-Summary!$B$11)*T1228+Summary!$B$11*V1228</f>
        <v/>
      </c>
      <c r="P1228">
        <f>IF(B1246=0,0,O1228/B1246)</f>
        <v/>
      </c>
      <c r="Q1228" t="n">
        <v>0</v>
      </c>
      <c r="R1228" t="n">
        <v>0</v>
      </c>
      <c r="S1228">
        <f>IFERROR(O1228/N1228,0)</f>
        <v/>
      </c>
      <c r="T1228" t="n">
        <v>0</v>
      </c>
      <c r="V1228" t="n">
        <v>0</v>
      </c>
    </row>
    <row r="1229">
      <c r="A1229">
        <f>Skills!A22</f>
        <v/>
      </c>
      <c r="B1229">
        <f>Skills!B22</f>
        <v/>
      </c>
      <c r="C1229">
        <f>Inputs!$B$3&gt;=43</f>
        <v/>
      </c>
      <c r="D1229">
        <f>IF(Skills!C22=1,60+Inputs!$B$26+Inputs!$B$30,IF(Skills!C22=2,90+Inputs!$B$27+Inputs!$B$30,IF(Skills!C22=3,120+Inputs!$B$28+Inputs!$B$30,MAX(0,(Inputs!$B$3-100)*3)+Inputs!$B$29+Inputs!$B$30)))</f>
        <v/>
      </c>
      <c r="E1229">
        <f>INDEX(FactorTable!$B$2:$Y$301, MATCH(ROUND(MIN(300,MAX(1,D1229)),0), FactorTable!$A$2:$A$301,0), Skills!M22+1)</f>
        <v/>
      </c>
      <c r="F1229">
        <f>IF(Skills!N22=TRUE,(Skills!L22/10)*(E1229/1000),Skills!L22/10)+Skills!O22</f>
        <v/>
      </c>
      <c r="G1229">
        <f>Skills!G22*IF(Skills!H22&gt;0,INT(IF(Inputs!$B$39="pvp",MIN(Skills!I22,15),Skills!I22)/Skills!H22+0.000000001),1)</f>
        <v/>
      </c>
      <c r="H1229">
        <f>1-(1-Skills!J22/100)^Skills!K22</f>
        <v/>
      </c>
      <c r="I1229" t="inlineStr">
        <is>
          <t>1</t>
        </is>
      </c>
      <c r="J1229" t="inlineStr"/>
      <c r="K1229" t="inlineStr"/>
      <c r="L1229" t="inlineStr"/>
      <c r="M1229" t="inlineStr"/>
      <c r="N1229" t="inlineStr"/>
      <c r="O1229">
        <f>(1-Summary!$B$11)*T1229+Summary!$B$11*V1229</f>
        <v/>
      </c>
      <c r="P1229">
        <f>IF(B1246=0,0,O1229/B1246)</f>
        <v/>
      </c>
      <c r="Q1229" t="n">
        <v>0</v>
      </c>
      <c r="R1229" t="n">
        <v>0</v>
      </c>
      <c r="S1229">
        <f>IFERROR(O1229/N1229,0)</f>
        <v/>
      </c>
      <c r="T1229" t="n">
        <v>0</v>
      </c>
      <c r="V1229" t="n">
        <v>0</v>
      </c>
    </row>
    <row r="1230">
      <c r="A1230">
        <f>Skills!A23</f>
        <v/>
      </c>
      <c r="B1230">
        <f>Skills!B23</f>
        <v/>
      </c>
      <c r="C1230">
        <f>Inputs!$B$3&gt;=120</f>
        <v/>
      </c>
      <c r="D1230">
        <f>IF(Skills!C23=1,60+Inputs!$B$26+Inputs!$B$30,IF(Skills!C23=2,90+Inputs!$B$27+Inputs!$B$30,IF(Skills!C23=3,120+Inputs!$B$28+Inputs!$B$30,MAX(0,(Inputs!$B$3-100)*3)+Inputs!$B$29+Inputs!$B$30)))</f>
        <v/>
      </c>
      <c r="E1230">
        <f>INDEX(FactorTable!$B$2:$Y$301, MATCH(ROUND(MIN(300,MAX(1,D1230)),0), FactorTable!$A$2:$A$301,0), Skills!M23+1)</f>
        <v/>
      </c>
      <c r="F1230">
        <f>IF(Skills!N23=TRUE,(Skills!L23/10)*(E1230/1000),Skills!L23/10)+Skills!O23</f>
        <v/>
      </c>
      <c r="G1230">
        <f>Skills!G23*IF(Skills!H23&gt;0,INT(IF(Inputs!$B$39="pvp",MIN(Skills!I23,15),Skills!I23)/Skills!H23+0.000000001),1)</f>
        <v/>
      </c>
      <c r="H1230">
        <f>1-(1-Skills!J23/100)^Skills!K23</f>
        <v/>
      </c>
      <c r="I1230" t="inlineStr">
        <is>
          <t>1</t>
        </is>
      </c>
      <c r="J1230" t="inlineStr"/>
      <c r="K1230" t="inlineStr"/>
      <c r="L1230" t="inlineStr"/>
      <c r="M1230" t="inlineStr"/>
      <c r="N1230" t="inlineStr"/>
      <c r="O1230">
        <f>(1-Summary!$B$11)*T1230+Summary!$B$11*V1230</f>
        <v/>
      </c>
      <c r="P1230">
        <f>IF(B1246=0,0,O1230/B1246)</f>
        <v/>
      </c>
      <c r="Q1230" t="n">
        <v>0</v>
      </c>
      <c r="R1230" t="n">
        <v>0</v>
      </c>
      <c r="S1230">
        <f>IFERROR(O1230/N1230,0)</f>
        <v/>
      </c>
      <c r="T1230" t="n">
        <v>0</v>
      </c>
      <c r="V1230" t="n">
        <v>0</v>
      </c>
    </row>
    <row r="1231">
      <c r="A1231">
        <f>Skills!A24</f>
        <v/>
      </c>
      <c r="B1231">
        <f>Skills!B24</f>
        <v/>
      </c>
      <c r="C1231">
        <f>Inputs!$B$3&gt;=120</f>
        <v/>
      </c>
      <c r="D1231">
        <f>IF(Skills!C24=1,60+Inputs!$B$26+Inputs!$B$30,IF(Skills!C24=2,90+Inputs!$B$27+Inputs!$B$30,IF(Skills!C24=3,120+Inputs!$B$28+Inputs!$B$30,MAX(0,(Inputs!$B$3-100)*3)+Inputs!$B$29+Inputs!$B$30)))</f>
        <v/>
      </c>
      <c r="E1231">
        <f>INDEX(FactorTable!$B$2:$Y$301, MATCH(ROUND(MIN(300,MAX(1,D1231)),0), FactorTable!$A$2:$A$301,0), Skills!M24+1)</f>
        <v/>
      </c>
      <c r="F1231">
        <f>IF(Skills!N24=TRUE,(Skills!L24/10)*(E1231/1000),Skills!L24/10)+Skills!O24</f>
        <v/>
      </c>
      <c r="G1231">
        <f>Skills!G24*IF(Skills!H24&gt;0,INT(IF(Inputs!$B$39="pvp",MIN(Skills!I24,15),Skills!I24)/Skills!H24+0.000000001),1)</f>
        <v/>
      </c>
      <c r="H1231">
        <f>1-(1-Skills!J24/100)^Skills!K24</f>
        <v/>
      </c>
      <c r="I1231" t="inlineStr">
        <is>
          <t>1</t>
        </is>
      </c>
      <c r="J1231" t="inlineStr"/>
      <c r="K1231" t="inlineStr"/>
      <c r="L1231" t="inlineStr"/>
      <c r="M1231" t="inlineStr"/>
      <c r="N1231" t="inlineStr"/>
      <c r="O1231">
        <f>(1-Summary!$B$11)*T1231+Summary!$B$11*V1231</f>
        <v/>
      </c>
      <c r="P1231">
        <f>IF(B1246=0,0,O1231/B1246)</f>
        <v/>
      </c>
      <c r="Q1231" t="n">
        <v>0</v>
      </c>
      <c r="R1231" t="n">
        <v>0</v>
      </c>
      <c r="S1231">
        <f>IFERROR(O1231/N1231,0)</f>
        <v/>
      </c>
      <c r="T1231" t="n">
        <v>0</v>
      </c>
      <c r="V1231" t="n">
        <v>0</v>
      </c>
    </row>
    <row r="1232">
      <c r="A1232">
        <f>Skills!A25</f>
        <v/>
      </c>
      <c r="B1232">
        <f>Skills!B25</f>
        <v/>
      </c>
      <c r="C1232">
        <f>Inputs!$B$3&gt;=125</f>
        <v/>
      </c>
      <c r="D1232">
        <f>IF(Skills!C25=1,60+Inputs!$B$26+Inputs!$B$30,IF(Skills!C25=2,90+Inputs!$B$27+Inputs!$B$30,IF(Skills!C25=3,120+Inputs!$B$28+Inputs!$B$30,MAX(0,(Inputs!$B$3-100)*3)+Inputs!$B$29+Inputs!$B$30)))</f>
        <v/>
      </c>
      <c r="E1232">
        <f>INDEX(FactorTable!$B$2:$Y$301, MATCH(ROUND(MIN(300,MAX(1,D1232)),0), FactorTable!$A$2:$A$301,0), Skills!M25+1)</f>
        <v/>
      </c>
      <c r="F1232">
        <f>IF(Skills!N25=TRUE,(Skills!L25/10)*(E1232/1000),Skills!L25/10)+Skills!O25</f>
        <v/>
      </c>
      <c r="G1232">
        <f>Skills!G25*IF(Skills!H25&gt;0,INT(IF(Inputs!$B$39="pvp",MIN(Skills!I25,15),Skills!I25)/Skills!H25+0.000000001),1)</f>
        <v/>
      </c>
      <c r="H1232">
        <f>1-(1-Skills!J25/100)^Skills!K25</f>
        <v/>
      </c>
      <c r="I1232" t="inlineStr">
        <is>
          <t>1</t>
        </is>
      </c>
      <c r="J1232" t="inlineStr"/>
      <c r="K1232" t="inlineStr"/>
      <c r="L1232" t="inlineStr"/>
      <c r="M1232" t="inlineStr"/>
      <c r="N1232" t="inlineStr"/>
      <c r="O1232">
        <f>(1-Summary!$B$11)*T1232+Summary!$B$11*V1232</f>
        <v/>
      </c>
      <c r="P1232">
        <f>IF(B1246=0,0,O1232/B1246)</f>
        <v/>
      </c>
      <c r="Q1232" t="n">
        <v>0</v>
      </c>
      <c r="R1232" t="n">
        <v>0</v>
      </c>
      <c r="S1232">
        <f>IFERROR(O1232/N1232,0)</f>
        <v/>
      </c>
      <c r="T1232" t="n">
        <v>0</v>
      </c>
      <c r="V1232" t="n">
        <v>0</v>
      </c>
    </row>
    <row r="1233">
      <c r="A1233">
        <f>Skills!A26</f>
        <v/>
      </c>
      <c r="B1233">
        <f>Skills!B26</f>
        <v/>
      </c>
      <c r="C1233">
        <f>Inputs!$B$3&gt;=107</f>
        <v/>
      </c>
      <c r="D1233">
        <f>IF(Skills!C26=1,60+Inputs!$B$26+Inputs!$B$30,IF(Skills!C26=2,90+Inputs!$B$27+Inputs!$B$30,IF(Skills!C26=3,120+Inputs!$B$28+Inputs!$B$30,MAX(0,(Inputs!$B$3-100)*3)+Inputs!$B$29+Inputs!$B$30)))</f>
        <v/>
      </c>
      <c r="E1233">
        <f>INDEX(FactorTable!$B$2:$Y$301, MATCH(ROUND(MIN(300,MAX(1,D1233)),0), FactorTable!$A$2:$A$301,0), Skills!M26+1)</f>
        <v/>
      </c>
      <c r="F1233">
        <f>IF(Skills!N26=TRUE,(Skills!L26/10)*(E1233/1000),Skills!L26/10)+Skills!O26</f>
        <v/>
      </c>
      <c r="G1233">
        <f>Skills!G26*IF(Skills!H26&gt;0,INT(IF(Inputs!$B$39="pvp",MIN(Skills!I26,15),Skills!I26)/Skills!H26+0.000000001),1)</f>
        <v/>
      </c>
      <c r="H1233">
        <f>1-(1-Skills!J26/100)^Skills!K26</f>
        <v/>
      </c>
      <c r="I1233" t="inlineStr">
        <is>
          <t>1</t>
        </is>
      </c>
      <c r="J1233" t="inlineStr"/>
      <c r="K1233" t="inlineStr"/>
      <c r="L1233" t="inlineStr"/>
      <c r="M1233" t="inlineStr"/>
      <c r="N1233" t="inlineStr"/>
      <c r="O1233">
        <f>(1-Summary!$B$11)*T1233+Summary!$B$11*V1233</f>
        <v/>
      </c>
      <c r="P1233">
        <f>IF(B1246=0,0,O1233/B1246)</f>
        <v/>
      </c>
      <c r="Q1233" t="n">
        <v>0</v>
      </c>
      <c r="R1233" t="n">
        <v>0</v>
      </c>
      <c r="S1233">
        <f>IFERROR(O1233/N1233,0)</f>
        <v/>
      </c>
      <c r="T1233" t="n">
        <v>0</v>
      </c>
      <c r="V1233" t="n">
        <v>0</v>
      </c>
    </row>
    <row r="1235">
      <c r="A1235" t="inlineStr">
        <is>
          <t>Attack% Bucket Multiplier</t>
        </is>
      </c>
      <c r="B1235">
        <f>(1+(((C1220=TRUE)*F1220*IF(AND(Inputs!$B$39&lt;&gt;"pvp",Inputs!$B$44&gt;0),(((R1220-1)*MIN((Skills!T13*(1+(Inputs!$B$35+1)/100)),(1/Q1220))+MIN((Skills!T13*(1+(Inputs!$B$35+1)/100)),MAX(0,Inputs!$B$44-((R1220-1)*(1/Q1220)))))/Inputs!$B$44),IF(Inputs!$B$39="pvp",MIN((Skills!T13*(1+(Inputs!$B$35+1)/100)),15)/15,MIN(1,(Skills!T13*(1+(Inputs!$B$35+1)/100))/(1/Q1220)))))+((C1221=TRUE)*F1221*IF(AND(Inputs!$B$39&lt;&gt;"pvp",Inputs!$B$44&gt;0),(((R1221-1)*MIN((Skills!T14*(1+(Inputs!$B$35+1)/100)),(1/Q1221))+MIN((Skills!T14*(1+(Inputs!$B$35+1)/100)),MAX(0,Inputs!$B$44-((R1221-1)*(1/Q1221)))))/Inputs!$B$44),IF(Inputs!$B$39="pvp",MIN((Skills!T14*(1+(Inputs!$B$35+1)/100)),15)/15,MIN(1,(Skills!T14*(1+(Inputs!$B$35+1)/100))/(1/Q1221)))))+((C1222=TRUE)*F1222*IF(AND(Inputs!$B$39&lt;&gt;"pvp",Inputs!$B$44&gt;0),(((R1222-1)*MIN((Skills!T15*(1+(Inputs!$B$35+1)/100)),(1/Q1222))+MIN((Skills!T15*(1+(Inputs!$B$35+1)/100)),MAX(0,Inputs!$B$44-((R1222-1)*(1/Q1222)))))/Inputs!$B$44),IF(Inputs!$B$39="pvp",MIN((Skills!T15*(1+(Inputs!$B$35+1)/100)),15)/15,MIN(1,(Skills!T15*(1+(Inputs!$B$35+1)/100))/(1/Q1222)))))+((C1223=TRUE)*F1223*IF(AND(Inputs!$B$39&lt;&gt;"pvp",Inputs!$B$44&gt;0),(((R1223-1)*MIN((Skills!T16*(1+(Inputs!$B$35+1)/100)),(1/Q1223))+MIN((Skills!T16*(1+(Inputs!$B$35+1)/100)),MAX(0,Inputs!$B$44-((R1223-1)*(1/Q1223)))))/Inputs!$B$44),IF(Inputs!$B$39="pvp",MIN((Skills!T16*(1+(Inputs!$B$35+1)/100)),15)/15,MIN(1,(Skills!T16*(1+(Inputs!$B$35+1)/100))/(1/Q1223)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1236">
      <c r="A1236" t="inlineStr">
        <is>
          <t>Global Crit Rate Bonus % (Lord of Darkness)</t>
        </is>
      </c>
      <c r="B1236">
        <f>((C1225=TRUE)*F1225*(Skills!J18/100)*IF(AND(Inputs!$B$39&lt;&gt;"pvp",Inputs!$B$44&gt;0),(((R1225-1)*MIN((Skills!T18*(1+(Inputs!$B$35+1)/100)),(1/Q1225))+MIN((Skills!T18*(1+(Inputs!$B$35+1)/100)),MAX(0,Inputs!$B$44-((R1225-1)*(1/Q1225)))))/Inputs!$B$44),IF(Inputs!$B$39="pvp",MIN((Skills!T18*(1+(Inputs!$B$35+1)/100)),15)/15,MIN(1,(Skills!T18*(1+(Inputs!$B$35+1)/100))/(1/Q1225)))))</f>
        <v/>
      </c>
    </row>
    <row r="1237">
      <c r="A1237" t="inlineStr">
        <is>
          <t>Attack Speed Buff Bonus %</t>
        </is>
      </c>
      <c r="B1237">
        <f>((C1227=TRUE)*F1227*IF(AND(Inputs!$B$39&lt;&gt;"pvp",Inputs!$B$44&gt;0),(((R1227-1)*MIN((Skills!T20*(1+(Inputs!$B$35+1)/100)),(1/Q1227))+MIN((Skills!T20*(1+(Inputs!$B$35+1)/100)),MAX(0,Inputs!$B$44-((R1227-1)*(1/Q1227)))))/Inputs!$B$44),IF(Inputs!$B$39="pvp",MIN((Skills!T20*(1+(Inputs!$B$35+1)/100)),15)/15,MIN(1,(Skills!T20*(1+(Inputs!$B$35+1)/100))/(1/Q1227)))))</f>
        <v/>
      </c>
    </row>
    <row r="1238">
      <c r="A1238" t="inlineStr">
        <is>
          <t>Actions Per Second</t>
        </is>
      </c>
      <c r="B1238">
        <f>1+MIN(150,150*(1-(1-(Inputs!$B$12+((C1228=TRUE)*(F1228-Calc!F21)))/150)*(1-B1237/150)))/100</f>
        <v/>
      </c>
    </row>
    <row r="1239">
      <c r="A1239" t="inlineStr">
        <is>
          <t>Skill + Buff Cast Rate</t>
        </is>
      </c>
      <c r="B1239">
        <f>IF(AND(Inputs!$B$39&lt;&gt;"pvp",Inputs!$B$44&gt;0),SUMPRODUCT((Skills!E2:E26=TRUE)*(C1209:C1233=TRUE)*R1209:R1233*Skills!F2:F26)/Inputs!$B$44,SUMPRODUCT((Skills!E2:E26=TRUE)*(C1209:C1233=TRUE)*Q1209:Q1233*Skills!F2:F26))</f>
        <v/>
      </c>
    </row>
    <row r="1240">
      <c r="A1240" t="inlineStr">
        <is>
          <t>Dark Impale Casts Per Second</t>
        </is>
      </c>
      <c r="B1240">
        <f>MAX(0,B1238-B1239)</f>
        <v/>
      </c>
    </row>
    <row r="1241">
      <c r="A1241" t="inlineStr">
        <is>
          <t>Global Critical Damage Bonus % (Lord of Darkness)</t>
        </is>
      </c>
      <c r="B1241">
        <f>((C1226=TRUE)*F1226*(Skills!J19/100)*IF(AND(Inputs!$B$39&lt;&gt;"pvp",Inputs!$B$44&gt;0),(((R1226-1)*MIN((Skills!T19*(1+(Inputs!$B$35+1)/100)),(1/Q1226))+MIN((Skills!T19*(1+(Inputs!$B$35+1)/100)),MAX(0,Inputs!$B$44-((R1226-1)*(1/Q1226)))))/Inputs!$B$44),IF(Inputs!$B$39="pvp",MIN((Skills!T19*(1+(Inputs!$B$35+1)/100)),15)/15,MIN(1,(Skills!T19*(1+(Inputs!$B$35+1)/100))/(1/Q1226)))))</f>
        <v/>
      </c>
    </row>
    <row r="1242">
      <c r="A1242" t="inlineStr">
        <is>
          <t>Global Final Damage Bonus % (unused)</t>
        </is>
      </c>
      <c r="B1242" t="n">
        <v>0</v>
      </c>
    </row>
    <row r="1243">
      <c r="A1243" t="inlineStr">
        <is>
          <t>Buff-Casting Startup Delay (s, fixed-duration only)</t>
        </is>
      </c>
      <c r="B1243">
        <f>IF(AND(Inputs!$B$39&lt;&gt;"pvp",Inputs!$B$44&gt;0),SUMPRODUCT((Skills!T2:T26&gt;0)*(Skills!E2:E26=TRUE)*(C1209:C1233=TRUE))/B1238,0)</f>
        <v/>
      </c>
    </row>
    <row r="1244">
      <c r="A1244" t="inlineStr">
        <is>
          <t>Boss-Only Total DPS (this block's swept value)</t>
        </is>
      </c>
      <c r="B1244">
        <f>SUM(T1209:T1233)</f>
        <v/>
      </c>
    </row>
    <row r="1245">
      <c r="A1245" t="inlineStr">
        <is>
          <t>Normal-Only Total DPS (this block's swept value)</t>
        </is>
      </c>
      <c r="B1245">
        <f>SUM(V1209:V1233)</f>
        <v/>
      </c>
    </row>
    <row r="1246">
      <c r="A1246" s="6" t="inlineStr">
        <is>
          <t>TOTAL DPS</t>
        </is>
      </c>
      <c r="B1246" s="6">
        <f>SUM(O1209:O1233)</f>
        <v/>
      </c>
    </row>
    <row r="1249">
      <c r="A1249" s="6" t="inlineStr">
        <is>
          <t>Stat: Charm of the Undead (Equip)</t>
        </is>
      </c>
    </row>
    <row r="1250">
      <c r="A1250" s="5" t="inlineStr">
        <is>
          <t>Key</t>
        </is>
      </c>
      <c r="B1250" s="5" t="inlineStr">
        <is>
          <t>Name</t>
        </is>
      </c>
      <c r="C1250" s="5" t="inlineStr">
        <is>
          <t>Unlocked</t>
        </is>
      </c>
      <c r="D1250" s="5" t="inlineStr">
        <is>
          <t>InputLevel</t>
        </is>
      </c>
      <c r="E1250" s="5" t="inlineStr">
        <is>
          <t>Factor</t>
        </is>
      </c>
      <c r="F1250" s="5" t="inlineStr">
        <is>
          <t>CoefficientPercent</t>
        </is>
      </c>
      <c r="G1250" s="5" t="inlineStr">
        <is>
          <t>EffectiveHits</t>
        </is>
      </c>
      <c r="H1250" s="5" t="inlineStr">
        <is>
          <t>ProcProbability</t>
        </is>
      </c>
      <c r="I1250" s="5" t="inlineStr">
        <is>
          <t>MapleHeroMultiplier</t>
        </is>
      </c>
      <c r="J1250" s="5" t="inlineStr">
        <is>
          <t>BaseDamage</t>
        </is>
      </c>
      <c r="K1250" s="5" t="inlineStr">
        <is>
          <t>BaseHitDamage</t>
        </is>
      </c>
      <c r="L1250" s="5" t="inlineStr">
        <is>
          <t>NonCritAvg</t>
        </is>
      </c>
      <c r="M1250" s="5" t="inlineStr">
        <is>
          <t>CritAvg</t>
        </is>
      </c>
      <c r="N1250" s="5" t="inlineStr">
        <is>
          <t>ExpectedDamage(perHit)</t>
        </is>
      </c>
      <c r="O1250" s="5" t="inlineStr">
        <is>
          <t>DPS</t>
        </is>
      </c>
      <c r="P1250" s="5" t="inlineStr">
        <is>
          <t>% of Total</t>
        </is>
      </c>
      <c r="Q1250" s="5" t="inlineStr">
        <is>
          <t>InvCooldown</t>
        </is>
      </c>
      <c r="R1250" s="5" t="inlineStr">
        <is>
          <t>CastsInFight</t>
        </is>
      </c>
      <c r="S1250" s="5" t="inlineStr">
        <is>
          <t>HitRate(perSec)</t>
        </is>
      </c>
      <c r="U1250" t="inlineStr">
        <is>
          <t>helpers</t>
        </is>
      </c>
    </row>
    <row r="1251">
      <c r="A1251">
        <f>Skills!A2</f>
        <v/>
      </c>
      <c r="B1251">
        <f>Skills!B2</f>
        <v/>
      </c>
      <c r="C1251">
        <f>Inputs!$B$3&gt;=100</f>
        <v/>
      </c>
      <c r="D1251" t="inlineStr"/>
      <c r="E1251" t="inlineStr"/>
      <c r="F1251">
        <f>U1253+Skills!O2</f>
        <v/>
      </c>
      <c r="G1251">
        <f>Skills!G2*IF(Skills!H2&gt;0,INT(IF(Inputs!$B$39="pvp",MIN(Skills!I2,15),Skills!I2)/Skills!H2+0.000000001),1)</f>
        <v/>
      </c>
      <c r="H1251">
        <f>1-(1-Skills!J2/100)^Skills!K2</f>
        <v/>
      </c>
      <c r="I1251" t="inlineStr">
        <is>
          <t>1</t>
        </is>
      </c>
      <c r="J1251">
        <f>((Inputs!$B$6*(1+Inputs!$B$7/100))+(((Inputs!$B$13*(1+Inputs!$B$14/100))-(Inputs!$B$13*(1+Inputs!$B$14/100)))+0.25*(Inputs!$B$15-Inputs!$B$15))*(1+Inputs!$B$7/100))*(F1251/100)</f>
        <v/>
      </c>
      <c r="K1251">
        <f>J1251*(1+(((Inputs!$B$13+IF(Inputs!$B$3&gt;=38,(10*INDEX(FactorTable!$B$2:$Y$301, MATCH(ROUND(MIN(300,MAX(1,Inputs!$B$3)),0), FactorTable!$A$2:$A$301,0), 23)/1000)/100*(Inputs!$B$8*(1+Inputs!$B$9/100)),0))*(1+Inputs!$B$14/100))*0.01+Inputs!$B$15*0.0025)/100)*(1+Inputs!$B$16/100)*(1+Inputs!$B$17/100)*(5000/(6000+Inputs!$B$43*(1-(Inputs!$B$20+0)/100)))*(1+(Inputs!$B$25+((C1274=TRUE)*(F1274-Calc!F25))+((C1275=TRUE)*(F1275-Calc!F26))+B1284)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gt;=100),MIN(100,((Inputs!$B$10+0+B1278+(ArtifactsInput!$M$24-ArtifactsInput!$M$24)*CHOOSE(ArtifactsInput!$N$24+1,10,12,14,16,18,20)+IF(ArtifactsInput!$M$10,CHOOSE(ArtifactsInput!$N$10+1,15,18,21,24,27,30)*(IF(Inputs!$B$39="pvp",MIN(15,15)/15,IF(AND(Inputs!$B$39&lt;&gt;"pvp",Inputs!$B$44&gt;0),MIN(15,Inputs!$B$44)/(Inputs!$B$44),0))),0)))-100),0))*CHOOSE(ArtifactsInput!$N$42+1,0.6,0.72,0.84,0.96,1.08,1.2))),Inputs!$B$19+((C1272=TRUE)*(F1272-Calc!F23))+(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gt;=100),CHOOSE(ArtifactsInput!$N$42+1,40,48,56,64,72,80),0))))/100)*((1+(((C1262=TRUE)*F1262*IF(AND(Inputs!$B$39&lt;&gt;"pvp",Inputs!$B$44&gt;0),(((R1262-1)*MIN((Skills!T13*(1+Inputs!$B$35/100)),(1/Q1262))+MIN((Skills!T13*(1+Inputs!$B$35/100)),MAX(0,Inputs!$B$44-((R1262-1)*(1/Q1262)))))/Inputs!$B$44),IF(Inputs!$B$39="pvp",MIN((Skills!T13*(1+Inputs!$B$35/100)),15)/15,MIN(1,(Skills!T13*(1+Inputs!$B$35/100))/(1/Q1262)))))+((C1263=TRUE)*F1263*IF(AND(Inputs!$B$39&lt;&gt;"pvp",Inputs!$B$44&gt;0),(((R1263-1)*MIN((Skills!T14*(1+Inputs!$B$35/100)),(1/Q1263))+MIN((Skills!T14*(1+Inputs!$B$35/100)),MAX(0,Inputs!$B$44-((R1263-1)*(1/Q1263)))))/Inputs!$B$44),IF(Inputs!$B$39="pvp",MIN((Skills!T14*(1+Inputs!$B$35/100)),15)/15,MIN(1,(Skills!T14*(1+Inputs!$B$35/100))/(1/Q1263)))))+((C1264=TRUE)*F1264*IF(AND(Inputs!$B$39&lt;&gt;"pvp",Inputs!$B$44&gt;0),(((R1264-1)*MIN((Skills!T15*(1+Inputs!$B$35/100)),(1/Q1264))+MIN((Skills!T15*(1+Inputs!$B$35/100)),MAX(0,Inputs!$B$44-((R1264-1)*(1/Q1264)))))/Inputs!$B$44),IF(Inputs!$B$39="pvp",MIN((Skills!T15*(1+Inputs!$B$35/100)),15)/15,MIN(1,(Skills!T15*(1+Inputs!$B$35/100))/(1/Q1264)))))+((C1265=TRUE)*F1265*IF(AND(Inputs!$B$39&lt;&gt;"pvp",Inputs!$B$44&gt;0),(((R1265-1)*MIN((Skills!T16*(1+Inputs!$B$35/100)),(1/Q1265))+MIN((Skills!T16*(1+Inputs!$B$35/100)),MAX(0,Inputs!$B$44-((R1265-1)*(1/Q1265)))))/Inputs!$B$44),IF(Inputs!$B$39="pvp",MIN((Skills!T16*(1+Inputs!$B$35/100)),15)/15,MIN(1,(Skills!T16*(1+Inputs!$B$35/100))/(1/Q1265)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1251)</f>
        <v/>
      </c>
      <c r="L1251">
        <f>K1251*(MIN(Inputs!$B$23+((C1271=TRUE)*(F1271-Calc!F22)),(Inputs!$B$24+((C1273=TRUE)*(F1273-Calc!F24))+(IF(ArtifactsInput!$M$15,CHOOSE(ArtifactsInput!$N$15+1,25,30,35,40,45,50)/100*(Inputs!$B$12-Inputs!$B$12),0))))/100+(Inputs!$B$24+((C1273=TRUE)*(F1273-Calc!F24))+(IF(ArtifactsInput!$M$15,CHOOSE(ArtifactsInput!$N$15+1,25,30,35,40,45,50)/100*(Inputs!$B$12-Inputs!$B$12),0)))/100)/2</f>
        <v/>
      </c>
      <c r="M1251">
        <f>L1251*(1+(Inputs!$B$11+0+B1283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251">
        <f>L1251*(1-MIN((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1251*(MIN((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51">
        <f>(1-Summary!$B$11)*T1251+Summary!$B$11*V1251</f>
        <v/>
      </c>
      <c r="P1251">
        <f>IF(B1288=0,0,O1251/B1288)</f>
        <v/>
      </c>
      <c r="Q1251" t="n">
        <v>0</v>
      </c>
      <c r="R1251" t="n">
        <v>0</v>
      </c>
      <c r="S1251">
        <f>IFERROR(O1251/N1251,0)</f>
        <v/>
      </c>
      <c r="T1251">
        <f>IF(C1251,(Skills!G2*N1251*B1282)*IF(Inputs!$B$39="pvp",1,1+(Inputs!$B$21+0+Skills!P2+((C1266=TRUE)*F1266*IF(AND(Inputs!$B$39&lt;&gt;"pvp",Inputs!$B$44&gt;0),(((R1266-1)*MIN((Skills!T17*(1+Inputs!$B$35/100)),(1/Q1266))+MIN((Skills!T17*(1+Inputs!$B$35/100)),MAX(0,Inputs!$B$44-((R1266-1)*(1/Q1266)))))/Inputs!$B$44),IF(Inputs!$B$39="pvp",MIN((Skills!T17*(1+Inputs!$B$35/100)),15)/15,MIN(1,(Skills!T17*(1+Inputs!$B$35/100))/(1/Q1266)))))+((C1254=TRUE)*IF(Inputs!$B$3&gt;=126,10*MIN(1,15*Q1254),0))+((C1263=TRUE)*IF(Inputs!$B$39="pvp",20,(1-Summary!$B$11)*(20)+Summary!$B$11*(0))*IF(AND(Inputs!$B$39&lt;&gt;"pvp",Inputs!$B$44&gt;0),(((R1263-1)*MIN((Skills!T14*(1+Inputs!$B$35/100)),(1/Q1263))+MIN((Skills!T14*(1+Inputs!$B$35/100)),MAX(0,Inputs!$B$44-((R1263-1)*(1/Q1263)))))/Inputs!$B$44),IF(Inputs!$B$39="pvp",MIN((Skills!T14*(1+Inputs!$B$35/100)),15)/15,MIN(1,(Skills!T14*(1+Inputs!$B$35/100))/(1/Q1263)))))+((C1262=TRUE)*IF(Inputs!$B$3&gt;=82,IF(Inputs!$B$39="pvp",20,(1-Summary!$B$11)*(20)+Summary!$B$11*(0)),0)*IF(AND(Inputs!$B$39&lt;&gt;"pvp",Inputs!$B$44&gt;0),(((R1262-1)*MIN((Skills!T13*(1+Inputs!$B$35/100)),(1/Q1262))+MIN((Skills!T13*(1+Inputs!$B$35/100)),MAX(0,Inputs!$B$44-((R1262-1)*(1/Q1262)))))/Inputs!$B$44),IF(Inputs!$B$39="pvp",MIN((Skills!T13*(1+Inputs!$B$35/100)),15)/15,MIN(1,(Skills!T13*(1+Inputs!$B$35/100))/(1/Q1262)))))+(IF(AND(ArtifactsInput!$M$35,Inputs!$B$4&lt;&gt;"Chapter Hunt"),CHOOSE(ArtifactsInput!$N$35+1,15,18,21,24,27,30)*(1-EXP(-(0.2*B1280)*5)),0)+IF(AND(ArtifactsInput!$M$22,Inputs!$B$4&lt;&gt;"Chapter Hunt"),CHOOSE(ArtifactsInput!$N$22+1,10,12,14,16,18,20)*((0*(((0.15*B1280*5))^0/1)+1*(((0.15*B1280*5))^1/1)+2*(((0.15*B1280*5))^2/2)+3*(((0.15*B1280*5))^3/6)+4*(((0.15*B1280*5))^4/24)+5*(((0.15*B1280*5))^5/120))/((((0.15*B1280*5))^0/1)+(((0.15*B1280*5))^1/1)+(((0.15*B1280*5))^2/2)+(((0.15*B1280*5))^3/6)+(((0.15*B1280*5))^4/24)+(((0.15*B1280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1251*(1-MIN(100,(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1251*(MIN(100,(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1251*(1-MIN(100,(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1251*(MIN(100,(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51">
        <f>MAX(0,(Inputs!$B$3-100)*3)+Inputs!$B$29+Inputs!$B$30</f>
        <v/>
      </c>
      <c r="V1251">
        <f>IF(C1251,(Skills!G2*N1251*B1282)*IF(Inputs!$B$39="pvp",1,(1+(Inputs!$B$22+Skills!Q2+((C1266=TRUE)*F1266*IF(AND(Inputs!$B$39&lt;&gt;"pvp",Inputs!$B$44&gt;0),(((R1266-1)*MIN((Skills!T17*(1+Inputs!$B$35/100)),(1/Q1266))+MIN((Skills!T17*(1+Inputs!$B$35/100)),MAX(0,Inputs!$B$44-((R1266-1)*(1/Q1266)))))/Inputs!$B$44),IF(Inputs!$B$39="pvp",MIN((Skills!T17*(1+Inputs!$B$35/100)),15)/15,MIN(1,(Skills!T17*(1+Inputs!$B$35/100))/(1/Q1266)))))+((C1254=TRUE)*IF(Inputs!$B$3&gt;=126,10*MIN(1,15*Q1254),0))+((C1263=TRUE)*IF(Inputs!$B$39="pvp",20,(1-Summary!$B$11)*(20)+Summary!$B$11*(0))*IF(AND(Inputs!$B$39&lt;&gt;"pvp",Inputs!$B$44&gt;0),(((R1263-1)*MIN((Skills!T14*(1+Inputs!$B$35/100)),(1/Q1263))+MIN((Skills!T14*(1+Inputs!$B$35/100)),MAX(0,Inputs!$B$44-((R1263-1)*(1/Q1263)))))/Inputs!$B$44),IF(Inputs!$B$39="pvp",MIN((Skills!T14*(1+Inputs!$B$35/100)),15)/15,MIN(1,(Skills!T14*(1+Inputs!$B$35/100))/(1/Q1263)))))+((C1262=TRUE)*IF(Inputs!$B$3&gt;=82,IF(Inputs!$B$39="pvp",20,(1-Summary!$B$11)*(20)+Summary!$B$11*(0)),0)*IF(AND(Inputs!$B$39&lt;&gt;"pvp",Inputs!$B$44&gt;0),(((R1262-1)*MIN((Skills!T13*(1+Inputs!$B$35/100)),(1/Q1262))+MIN((Skills!T13*(1+Inputs!$B$35/100)),MAX(0,Inputs!$B$44-((R1262-1)*(1/Q1262)))))/Inputs!$B$44),IF(Inputs!$B$39="pvp",MIN((Skills!T13*(1+Inputs!$B$35/100)),15)/15,MIN(1,(Skills!T13*(1+Inputs!$B$35/100))/(1/Q1262)))))+(IF(AND(ArtifactsInput!$M$35,Inputs!$B$4&lt;&gt;"Chapter Hunt"),CHOOSE(ArtifactsInput!$N$35+1,15,18,21,24,27,30)*(1-EXP(-(0.2*B1280)*5)),0)+IF(AND(ArtifactsInput!$M$22,Inputs!$B$4&lt;&gt;"Chapter Hunt"),CHOOSE(ArtifactsInput!$N$22+1,10,12,14,16,18,20)*((0*(((0.15*B1280*5))^0/1)+1*(((0.15*B1280*5))^1/1)+2*(((0.15*B1280*5))^2/2)+3*(((0.15*B1280*5))^3/6)+4*(((0.15*B1280*5))^4/24)+5*(((0.15*B1280*5))^5/120))/((((0.15*B1280*5))^0/1)+(((0.15*B1280*5))^1/1)+(((0.15*B1280*5))^2/2)+(((0.15*B1280*5))^3/6)+(((0.15*B1280*5))^4/24)+(((0.15*B1280*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52">
      <c r="A1252">
        <f>Skills!A3</f>
        <v/>
      </c>
      <c r="B1252">
        <f>Skills!B3</f>
        <v/>
      </c>
      <c r="C1252">
        <f>Inputs!$B$3&gt;=50</f>
        <v/>
      </c>
      <c r="D1252">
        <f>IF(Skills!C3=1,60+Inputs!$B$26+Inputs!$B$30,IF(Skills!C3=2,90+Inputs!$B$27+Inputs!$B$30,IF(Skills!C3=3,120+Inputs!$B$28+Inputs!$B$30,MAX(0,(Inputs!$B$3-100)*3)+Inputs!$B$29+Inputs!$B$30)))</f>
        <v/>
      </c>
      <c r="E1252">
        <f>INDEX(FactorTable!$B$2:$Y$301, MATCH(ROUND(MIN(300,MAX(1,D1252)),0), FactorTable!$A$2:$A$301,0), Skills!M3+1)</f>
        <v/>
      </c>
      <c r="F1252">
        <f>IF(Skills!N3=TRUE,(Skills!L3/10)*(E1252/1000),Skills!L3/10)+Skills!O3</f>
        <v/>
      </c>
      <c r="G1252" t="inlineStr"/>
      <c r="H1252" t="inlineStr"/>
      <c r="I1252" t="inlineStr">
        <is>
          <t>1</t>
        </is>
      </c>
      <c r="J1252" t="inlineStr"/>
      <c r="K1252" t="inlineStr"/>
      <c r="L1252" t="inlineStr"/>
      <c r="M1252" t="inlineStr"/>
      <c r="N1252" t="inlineStr"/>
      <c r="O1252" t="inlineStr"/>
      <c r="P1252" t="inlineStr"/>
      <c r="Q1252" t="inlineStr"/>
      <c r="R1252" t="inlineStr"/>
      <c r="S1252" t="inlineStr"/>
      <c r="U1252">
        <f>INDEX(FactorTable!$B$2:$Y$301, MATCH(ROUND(MIN(300,MAX(1,U1251)),0), FactorTable!$A$2:$A$301,0), 22)</f>
        <v/>
      </c>
    </row>
    <row r="1253">
      <c r="A1253">
        <f>Skills!A4</f>
        <v/>
      </c>
      <c r="B1253">
        <f>Skills!B4</f>
        <v/>
      </c>
      <c r="C1253">
        <f>Inputs!$B$3&gt;=105</f>
        <v/>
      </c>
      <c r="D1253">
        <f>IF(Skills!C4=1,60+Inputs!$B$26+Inputs!$B$30,IF(Skills!C4=2,90+Inputs!$B$27+Inputs!$B$30,IF(Skills!C4=3,120+Inputs!$B$28+Inputs!$B$30,MAX(0,(Inputs!$B$3-100)*3)+Inputs!$B$29+Inputs!$B$30)))</f>
        <v/>
      </c>
      <c r="E1253">
        <f>INDEX(FactorTable!$B$2:$Y$301, MATCH(ROUND(MIN(300,MAX(1,D1253)),0), FactorTable!$A$2:$A$301,0), Skills!M4+1)</f>
        <v/>
      </c>
      <c r="F1253">
        <f>IF(Skills!N4=TRUE,(Skills!L4/10)*(E1253/1000),Skills!L4/10)+Skills!O4</f>
        <v/>
      </c>
      <c r="G1253" t="inlineStr"/>
      <c r="H1253" t="inlineStr"/>
      <c r="I1253" t="inlineStr">
        <is>
          <t>1</t>
        </is>
      </c>
      <c r="J1253" t="inlineStr"/>
      <c r="K1253" t="inlineStr"/>
      <c r="L1253" t="inlineStr"/>
      <c r="M1253" t="inlineStr"/>
      <c r="N1253" t="inlineStr"/>
      <c r="O1253" t="inlineStr"/>
      <c r="P1253" t="inlineStr"/>
      <c r="Q1253" t="inlineStr"/>
      <c r="R1253" t="inlineStr"/>
      <c r="S1253" t="inlineStr"/>
      <c r="U1253">
        <f>290*U1252/1000</f>
        <v/>
      </c>
    </row>
    <row r="1254">
      <c r="A1254">
        <f>Skills!A5</f>
        <v/>
      </c>
      <c r="B1254">
        <f>Skills!B5</f>
        <v/>
      </c>
      <c r="C1254">
        <f>Inputs!$B$3&gt;=117</f>
        <v/>
      </c>
      <c r="D1254">
        <f>IF(Skills!C5=1,60+Inputs!$B$26+Inputs!$B$30,IF(Skills!C5=2,90+Inputs!$B$27+Inputs!$B$30,IF(Skills!C5=3,120+Inputs!$B$28+Inputs!$B$30,MAX(0,(Inputs!$B$3-100)*3)+Inputs!$B$29+Inputs!$B$30)))</f>
        <v/>
      </c>
      <c r="E1254">
        <f>INDEX(FactorTable!$B$2:$Y$301, MATCH(ROUND(MIN(300,MAX(1,D1254)),0), FactorTable!$A$2:$A$301,0), Skills!M5+1)</f>
        <v/>
      </c>
      <c r="F1254">
        <f>IF(Skills!N5=TRUE,(Skills!L5/10)*(E1254/1000),Skills!L5/10)+Skills!O5</f>
        <v/>
      </c>
      <c r="G1254">
        <f>Skills!G5*IF(Skills!H5&gt;0,INT(IF(Inputs!$B$39="pvp",MIN(Skills!I5,15),Skills!I5)/Skills!H5+0.000000001),1)</f>
        <v/>
      </c>
      <c r="H1254">
        <f>1-(1-Skills!J5/100)^Skills!K5</f>
        <v/>
      </c>
      <c r="I1254" t="inlineStr">
        <is>
          <t>1</t>
        </is>
      </c>
      <c r="J1254">
        <f>((Inputs!$B$6*(1+Inputs!$B$7/100))+(((Inputs!$B$13*(1+Inputs!$B$14/100))-(Inputs!$B$13*(1+Inputs!$B$14/100)))+0.25*(Inputs!$B$15-Inputs!$B$15))*(1+Inputs!$B$7/100))*(F1254/100)</f>
        <v/>
      </c>
      <c r="K1254">
        <f>J1254*(1+(((Inputs!$B$13+IF(Inputs!$B$3&gt;=38,(10*INDEX(FactorTable!$B$2:$Y$301, MATCH(ROUND(MIN(300,MAX(1,Inputs!$B$3)),0), FactorTable!$A$2:$A$301,0), 23)/1000)/100*(Inputs!$B$8*(1+Inputs!$B$9/100)),0))*(1+Inputs!$B$14/100))*0.01+Inputs!$B$15*0.0025)/100)*(1+Inputs!$B$16/100)*(1+Inputs!$B$17/100)*(5000/(6000+Inputs!$B$43*(1-(Inputs!$B$20+0)/100)))*(1+(Inputs!$B$25+((C1274=TRUE)*(F1274-Calc!F25))+((C1275=TRUE)*(F1275-Calc!F26))+B1284)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gt;=100),MIN(100,((Inputs!$B$10+0+B1278+(ArtifactsInput!$M$24-ArtifactsInput!$M$24)*CHOOSE(ArtifactsInput!$N$24+1,10,12,14,16,18,20)+IF(ArtifactsInput!$M$10,CHOOSE(ArtifactsInput!$N$10+1,15,18,21,24,27,30)*(IF(Inputs!$B$39="pvp",MIN(15,15)/15,IF(AND(Inputs!$B$39&lt;&gt;"pvp",Inputs!$B$44&gt;0),MIN(15,Inputs!$B$44)/(Inputs!$B$44),0))),0)))-100),0))*CHOOSE(ArtifactsInput!$N$42+1,0.6,0.72,0.84,0.96,1.08,1.2))),Inputs!$B$19+((C1272=TRUE)*(F1272-Calc!F23))+(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gt;=100),CHOOSE(ArtifactsInput!$N$42+1,40,48,56,64,72,80),0))))/100)*((1+(((C1262=TRUE)*F1262*IF(AND(Inputs!$B$39&lt;&gt;"pvp",Inputs!$B$44&gt;0),(((R1262-1)*MIN((Skills!T13*(1+Inputs!$B$35/100)),(1/Q1262))+MIN((Skills!T13*(1+Inputs!$B$35/100)),MAX(0,Inputs!$B$44-((R1262-1)*(1/Q1262)))))/Inputs!$B$44),IF(Inputs!$B$39="pvp",MIN((Skills!T13*(1+Inputs!$B$35/100)),15)/15,MIN(1,(Skills!T13*(1+Inputs!$B$35/100))/(1/Q1262)))))+((C1263=TRUE)*F1263*IF(AND(Inputs!$B$39&lt;&gt;"pvp",Inputs!$B$44&gt;0),(((R1263-1)*MIN((Skills!T14*(1+Inputs!$B$35/100)),(1/Q1263))+MIN((Skills!T14*(1+Inputs!$B$35/100)),MAX(0,Inputs!$B$44-((R1263-1)*(1/Q1263)))))/Inputs!$B$44),IF(Inputs!$B$39="pvp",MIN((Skills!T14*(1+Inputs!$B$35/100)),15)/15,MIN(1,(Skills!T14*(1+Inputs!$B$35/100))/(1/Q1263)))))+((C1264=TRUE)*F1264*IF(AND(Inputs!$B$39&lt;&gt;"pvp",Inputs!$B$44&gt;0),(((R1264-1)*MIN((Skills!T15*(1+Inputs!$B$35/100)),(1/Q1264))+MIN((Skills!T15*(1+Inputs!$B$35/100)),MAX(0,Inputs!$B$44-((R1264-1)*(1/Q1264)))))/Inputs!$B$44),IF(Inputs!$B$39="pvp",MIN((Skills!T15*(1+Inputs!$B$35/100)),15)/15,MIN(1,(Skills!T15*(1+Inputs!$B$35/100))/(1/Q1264)))))+((C1265=TRUE)*F1265*IF(AND(Inputs!$B$39&lt;&gt;"pvp",Inputs!$B$44&gt;0),(((R1265-1)*MIN((Skills!T16*(1+Inputs!$B$35/100)),(1/Q1265))+MIN((Skills!T16*(1+Inputs!$B$35/100)),MAX(0,Inputs!$B$44-((R1265-1)*(1/Q1265)))))/Inputs!$B$44),IF(Inputs!$B$39="pvp",MIN((Skills!T16*(1+Inputs!$B$35/100)),15)/15,MIN(1,(Skills!T16*(1+Inputs!$B$35/100))/(1/Q1265)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1254)</f>
        <v/>
      </c>
      <c r="L1254">
        <f>K1254*(MIN(Inputs!$B$23+((C1271=TRUE)*(F1271-Calc!F22)),(Inputs!$B$24+((C1273=TRUE)*(F1273-Calc!F24))+(IF(ArtifactsInput!$M$15,CHOOSE(ArtifactsInput!$N$15+1,25,30,35,40,45,50)/100*(Inputs!$B$12-Inputs!$B$12),0))))/100+(Inputs!$B$24+((C1273=TRUE)*(F1273-Calc!F24))+(IF(ArtifactsInput!$M$15,CHOOSE(ArtifactsInput!$N$15+1,25,30,35,40,45,50)/100*(Inputs!$B$12-Inputs!$B$12),0)))/100)/2</f>
        <v/>
      </c>
      <c r="M1254">
        <f>L1254*(1+(Inputs!$B$11+0+B1283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254">
        <f>L1254*(1-MIN((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1254*(MIN((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54">
        <f>(1-Summary!$B$11)*T1254+Summary!$B$11*V1254</f>
        <v/>
      </c>
      <c r="P1254">
        <f>IF(B1288=0,0,O1254/B1288)</f>
        <v/>
      </c>
      <c r="Q1254">
        <f>IFERROR(1/IF(Inputs!$B$39="pvp",15,MAX(0.1,Skills!D5-IF(TRUE=TRUE,Inputs!$B$33,0))),0)</f>
        <v/>
      </c>
      <c r="R1254">
        <f>IF(AND(Inputs!$B$39&lt;&gt;"pvp",Inputs!$B$44&gt;0),IF(MAX(0,Inputs!$B$44-B1285)&lt;=0,0,(INT(MAX(0,Inputs!$B$44-B1285)/IF(Inputs!$B$39="pvp",15,MAX(0.1,Skills!D5-IF(TRUE=TRUE,Inputs!$B$33,0))))+1)),0)</f>
        <v/>
      </c>
      <c r="S1254">
        <f>IFERROR(O1254/N1254,0)</f>
        <v/>
      </c>
      <c r="T1254">
        <f>IF(C1254,(H1254*N1254*IF(AND(Inputs!$B$39&lt;&gt;"pvp",Inputs!$B$44&gt;0),((Skills!G5*((R1254-1)*IF(Skills!H5&gt;0,INT(Skills!I5/Skills!H5+0.000000001),1)+IF(Skills!H5&gt;0,INT(MIN(Skills!I5,MAX(0,MAX(0,Inputs!$B$44-B1285)-((R1254-1)*IF(Inputs!$B$39="pvp",15,MAX(0.1,Skills!D5-IF(TRUE=TRUE,Inputs!$B$33,0))))))/Skills!H5+0.000000001),1)))/Inputs!$B$44),G1254*Q1254))*IF(Inputs!$B$39="pvp",1,1+(Inputs!$B$21+0+Skills!P5+((C1266=TRUE)*F1266*IF(AND(Inputs!$B$39&lt;&gt;"pvp",Inputs!$B$44&gt;0),(((R1266-1)*MIN((Skills!T17*(1+Inputs!$B$35/100)),(1/Q1266))+MIN((Skills!T17*(1+Inputs!$B$35/100)),MAX(0,Inputs!$B$44-((R1266-1)*(1/Q1266)))))/Inputs!$B$44),IF(Inputs!$B$39="pvp",MIN((Skills!T17*(1+Inputs!$B$35/100)),15)/15,MIN(1,(Skills!T17*(1+Inputs!$B$35/100))/(1/Q1266)))))+((C1254=TRUE)*IF(Inputs!$B$3&gt;=126,10*MIN(1,15*Q1254),0))+((C1263=TRUE)*IF(Inputs!$B$39="pvp",20,(1-Summary!$B$11)*(20)+Summary!$B$11*(0))*IF(AND(Inputs!$B$39&lt;&gt;"pvp",Inputs!$B$44&gt;0),(((R1263-1)*MIN((Skills!T14*(1+Inputs!$B$35/100)),(1/Q1263))+MIN((Skills!T14*(1+Inputs!$B$35/100)),MAX(0,Inputs!$B$44-((R1263-1)*(1/Q1263)))))/Inputs!$B$44),IF(Inputs!$B$39="pvp",MIN((Skills!T14*(1+Inputs!$B$35/100)),15)/15,MIN(1,(Skills!T14*(1+Inputs!$B$35/100))/(1/Q1263)))))+((C1262=TRUE)*IF(Inputs!$B$3&gt;=82,IF(Inputs!$B$39="pvp",20,(1-Summary!$B$11)*(20)+Summary!$B$11*(0)),0)*IF(AND(Inputs!$B$39&lt;&gt;"pvp",Inputs!$B$44&gt;0),(((R1262-1)*MIN((Skills!T13*(1+Inputs!$B$35/100)),(1/Q1262))+MIN((Skills!T13*(1+Inputs!$B$35/100)),MAX(0,Inputs!$B$44-((R1262-1)*(1/Q1262)))))/Inputs!$B$44),IF(Inputs!$B$39="pvp",MIN((Skills!T13*(1+Inputs!$B$35/100)),15)/15,MIN(1,(Skills!T13*(1+Inputs!$B$35/100))/(1/Q1262)))))+(IF(AND(ArtifactsInput!$M$35,Inputs!$B$4&lt;&gt;"Chapter Hunt"),CHOOSE(ArtifactsInput!$N$35+1,15,18,21,24,27,30)*(1-EXP(-(0.2*B1280)*5)),0)+IF(AND(ArtifactsInput!$M$22,Inputs!$B$4&lt;&gt;"Chapter Hunt"),CHOOSE(ArtifactsInput!$N$22+1,10,12,14,16,18,20)*((0*(((0.15*B1280*5))^0/1)+1*(((0.15*B1280*5))^1/1)+2*(((0.15*B1280*5))^2/2)+3*(((0.15*B1280*5))^3/6)+4*(((0.15*B1280*5))^4/24)+5*(((0.15*B1280*5))^5/120))/((((0.15*B1280*5))^0/1)+(((0.15*B1280*5))^1/1)+(((0.15*B1280*5))^2/2)+(((0.15*B1280*5))^3/6)+(((0.15*B1280*5))^4/24)+(((0.15*B1280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1254*(1-MIN(100,(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1254*(MIN(100,(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1254*(1-MIN(100,(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1254*(MIN(100,(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54">
        <f>IF(C1254,(H1254*N1254*IF(AND(Inputs!$B$39&lt;&gt;"pvp",Inputs!$B$44&gt;0),((Skills!G5*((R1254-1)*IF(Skills!H5&gt;0,INT(Skills!I5/Skills!H5+0.000000001),1)+IF(Skills!H5&gt;0,INT(MIN(Skills!I5,MAX(0,MAX(0,Inputs!$B$44-B1285)-((R1254-1)*IF(Inputs!$B$39="pvp",15,MAX(0.1,Skills!D5-IF(TRUE=TRUE,Inputs!$B$33,0))))))/Skills!H5+0.000000001),1)))/Inputs!$B$44),G1254*Q1254))*IF(Inputs!$B$39="pvp",1,(1+(Inputs!$B$22+Skills!Q5+((C1266=TRUE)*F1266*IF(AND(Inputs!$B$39&lt;&gt;"pvp",Inputs!$B$44&gt;0),(((R1266-1)*MIN((Skills!T17*(1+Inputs!$B$35/100)),(1/Q1266))+MIN((Skills!T17*(1+Inputs!$B$35/100)),MAX(0,Inputs!$B$44-((R1266-1)*(1/Q1266)))))/Inputs!$B$44),IF(Inputs!$B$39="pvp",MIN((Skills!T17*(1+Inputs!$B$35/100)),15)/15,MIN(1,(Skills!T17*(1+Inputs!$B$35/100))/(1/Q1266)))))+((C1254=TRUE)*IF(Inputs!$B$3&gt;=126,10*MIN(1,15*Q1254),0))+((C1263=TRUE)*IF(Inputs!$B$39="pvp",20,(1-Summary!$B$11)*(20)+Summary!$B$11*(0))*IF(AND(Inputs!$B$39&lt;&gt;"pvp",Inputs!$B$44&gt;0),(((R1263-1)*MIN((Skills!T14*(1+Inputs!$B$35/100)),(1/Q1263))+MIN((Skills!T14*(1+Inputs!$B$35/100)),MAX(0,Inputs!$B$44-((R1263-1)*(1/Q1263)))))/Inputs!$B$44),IF(Inputs!$B$39="pvp",MIN((Skills!T14*(1+Inputs!$B$35/100)),15)/15,MIN(1,(Skills!T14*(1+Inputs!$B$35/100))/(1/Q1263)))))+((C1262=TRUE)*IF(Inputs!$B$3&gt;=82,IF(Inputs!$B$39="pvp",20,(1-Summary!$B$11)*(20)+Summary!$B$11*(0)),0)*IF(AND(Inputs!$B$39&lt;&gt;"pvp",Inputs!$B$44&gt;0),(((R1262-1)*MIN((Skills!T13*(1+Inputs!$B$35/100)),(1/Q1262))+MIN((Skills!T13*(1+Inputs!$B$35/100)),MAX(0,Inputs!$B$44-((R1262-1)*(1/Q1262)))))/Inputs!$B$44),IF(Inputs!$B$39="pvp",MIN((Skills!T13*(1+Inputs!$B$35/100)),15)/15,MIN(1,(Skills!T13*(1+Inputs!$B$35/100))/(1/Q1262)))))+(IF(AND(ArtifactsInput!$M$35,Inputs!$B$4&lt;&gt;"Chapter Hunt"),CHOOSE(ArtifactsInput!$N$35+1,15,18,21,24,27,30)*(1-EXP(-(0.2*B1280)*5)),0)+IF(AND(ArtifactsInput!$M$22,Inputs!$B$4&lt;&gt;"Chapter Hunt"),CHOOSE(ArtifactsInput!$N$22+1,10,12,14,16,18,20)*((0*(((0.15*B1280*5))^0/1)+1*(((0.15*B1280*5))^1/1)+2*(((0.15*B1280*5))^2/2)+3*(((0.15*B1280*5))^3/6)+4*(((0.15*B1280*5))^4/24)+5*(((0.15*B1280*5))^5/120))/((((0.15*B1280*5))^0/1)+(((0.15*B1280*5))^1/1)+(((0.15*B1280*5))^2/2)+(((0.15*B1280*5))^3/6)+(((0.15*B1280*5))^4/24)+(((0.15*B1280*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55">
      <c r="A1255">
        <f>Skills!A6</f>
        <v/>
      </c>
      <c r="B1255">
        <f>Skills!B6</f>
        <v/>
      </c>
      <c r="C1255">
        <f>Inputs!$B$3&gt;=103</f>
        <v/>
      </c>
      <c r="D1255">
        <f>IF(Skills!C6=1,60+Inputs!$B$26+Inputs!$B$30,IF(Skills!C6=2,90+Inputs!$B$27+Inputs!$B$30,IF(Skills!C6=3,120+Inputs!$B$28+Inputs!$B$30,MAX(0,(Inputs!$B$3-100)*3)+Inputs!$B$29+Inputs!$B$30)))</f>
        <v/>
      </c>
      <c r="E1255">
        <f>INDEX(FactorTable!$B$2:$Y$301, MATCH(ROUND(MIN(300,MAX(1,D1255)),0), FactorTable!$A$2:$A$301,0), Skills!M6+1)</f>
        <v/>
      </c>
      <c r="F1255">
        <f>IF(Skills!N6=TRUE,(Skills!L6/10)*(E1255/1000),Skills!L6/10)+Skills!O6</f>
        <v/>
      </c>
      <c r="G1255">
        <f>Skills!G6*IF(Skills!H6&gt;0,INT(IF(Inputs!$B$39="pvp",MIN(Skills!I6,15),Skills!I6)/Skills!H6+0.000000001),1)</f>
        <v/>
      </c>
      <c r="H1255">
        <f>1-(1-Skills!J6/100)^Skills!K6</f>
        <v/>
      </c>
      <c r="I1255" t="inlineStr">
        <is>
          <t>1</t>
        </is>
      </c>
      <c r="J1255">
        <f>((Inputs!$B$6*(1+Inputs!$B$7/100))+(((Inputs!$B$13*(1+Inputs!$B$14/100))-(Inputs!$B$13*(1+Inputs!$B$14/100)))+0.25*(Inputs!$B$15-Inputs!$B$15))*(1+Inputs!$B$7/100))*(F1255/100)</f>
        <v/>
      </c>
      <c r="K1255">
        <f>J1255*(1+(((Inputs!$B$13+IF(Inputs!$B$3&gt;=38,(10*INDEX(FactorTable!$B$2:$Y$301, MATCH(ROUND(MIN(300,MAX(1,Inputs!$B$3)),0), FactorTable!$A$2:$A$301,0), 23)/1000)/100*(Inputs!$B$8*(1+Inputs!$B$9/100)),0))*(1+Inputs!$B$14/100))*0.01+Inputs!$B$15*0.0025)/100)*(1+Inputs!$B$16/100)*(1+Inputs!$B$17/100)*(5000/(6000+Inputs!$B$43*(1-(Inputs!$B$20+0)/100)))*(1+(Inputs!$B$25+((C1274=TRUE)*(F1274-Calc!F25))+((C1275=TRUE)*(F1275-Calc!F26))+B1284)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gt;=100),MIN(100,((Inputs!$B$10+0+B1278+(ArtifactsInput!$M$24-ArtifactsInput!$M$24)*CHOOSE(ArtifactsInput!$N$24+1,10,12,14,16,18,20)+IF(ArtifactsInput!$M$10,CHOOSE(ArtifactsInput!$N$10+1,15,18,21,24,27,30)*(IF(Inputs!$B$39="pvp",MIN(15,15)/15,IF(AND(Inputs!$B$39&lt;&gt;"pvp",Inputs!$B$44&gt;0),MIN(15,Inputs!$B$44)/(Inputs!$B$44),0))),0)))-100),0))*CHOOSE(ArtifactsInput!$N$42+1,0.6,0.72,0.84,0.96,1.08,1.2))),Inputs!$B$19+((C1272=TRUE)*(F1272-Calc!F23))+(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gt;=100),CHOOSE(ArtifactsInput!$N$42+1,40,48,56,64,72,80),0))))/100)*((1+(((C1262=TRUE)*F1262*IF(AND(Inputs!$B$39&lt;&gt;"pvp",Inputs!$B$44&gt;0),(((R1262-1)*MIN((Skills!T13*(1+Inputs!$B$35/100)),(1/Q1262))+MIN((Skills!T13*(1+Inputs!$B$35/100)),MAX(0,Inputs!$B$44-((R1262-1)*(1/Q1262)))))/Inputs!$B$44),IF(Inputs!$B$39="pvp",MIN((Skills!T13*(1+Inputs!$B$35/100)),15)/15,MIN(1,(Skills!T13*(1+Inputs!$B$35/100))/(1/Q1262)))))+((C1263=TRUE)*F1263*IF(AND(Inputs!$B$39&lt;&gt;"pvp",Inputs!$B$44&gt;0),(((R1263-1)*MIN((Skills!T14*(1+Inputs!$B$35/100)),(1/Q1263))+MIN((Skills!T14*(1+Inputs!$B$35/100)),MAX(0,Inputs!$B$44-((R1263-1)*(1/Q1263)))))/Inputs!$B$44),IF(Inputs!$B$39="pvp",MIN((Skills!T14*(1+Inputs!$B$35/100)),15)/15,MIN(1,(Skills!T14*(1+Inputs!$B$35/100))/(1/Q1263)))))+((C1264=TRUE)*F1264*IF(AND(Inputs!$B$39&lt;&gt;"pvp",Inputs!$B$44&gt;0),(((R1264-1)*MIN((Skills!T15*(1+Inputs!$B$35/100)),(1/Q1264))+MIN((Skills!T15*(1+Inputs!$B$35/100)),MAX(0,Inputs!$B$44-((R1264-1)*(1/Q1264)))))/Inputs!$B$44),IF(Inputs!$B$39="pvp",MIN((Skills!T15*(1+Inputs!$B$35/100)),15)/15,MIN(1,(Skills!T15*(1+Inputs!$B$35/100))/(1/Q1264)))))+((C1265=TRUE)*F1265*IF(AND(Inputs!$B$39&lt;&gt;"pvp",Inputs!$B$44&gt;0),(((R1265-1)*MIN((Skills!T16*(1+Inputs!$B$35/100)),(1/Q1265))+MIN((Skills!T16*(1+Inputs!$B$35/100)),MAX(0,Inputs!$B$44-((R1265-1)*(1/Q1265)))))/Inputs!$B$44),IF(Inputs!$B$39="pvp",MIN((Skills!T16*(1+Inputs!$B$35/100)),15)/15,MIN(1,(Skills!T16*(1+Inputs!$B$35/100))/(1/Q1265)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1255)</f>
        <v/>
      </c>
      <c r="L1255">
        <f>K1255*(MIN(Inputs!$B$23+((C1271=TRUE)*(F1271-Calc!F22)),(Inputs!$B$24+((C1273=TRUE)*(F1273-Calc!F24))+(IF(ArtifactsInput!$M$15,CHOOSE(ArtifactsInput!$N$15+1,25,30,35,40,45,50)/100*(Inputs!$B$12-Inputs!$B$12),0))))/100+(Inputs!$B$24+((C1273=TRUE)*(F1273-Calc!F24))+(IF(ArtifactsInput!$M$15,CHOOSE(ArtifactsInput!$N$15+1,25,30,35,40,45,50)/100*(Inputs!$B$12-Inputs!$B$12),0)))/100)/2</f>
        <v/>
      </c>
      <c r="M1255">
        <f>L1255*(1+(Inputs!$B$11+0+B1283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255">
        <f>L1255*(1-MIN((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1255*(MIN((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55">
        <f>(1-Summary!$B$11)*T1255+Summary!$B$11*V1255</f>
        <v/>
      </c>
      <c r="P1255">
        <f>IF(B1288=0,0,O1255/B1288)</f>
        <v/>
      </c>
      <c r="Q1255">
        <f>IFERROR(1/IF(Inputs!$B$39="pvp",15,MAX(0.1,Skills!D6-IF(TRUE=TRUE,Inputs!$B$33,0))),0)</f>
        <v/>
      </c>
      <c r="R1255">
        <f>IF(AND(Inputs!$B$39&lt;&gt;"pvp",Inputs!$B$44&gt;0),IF(MAX(0,Inputs!$B$44-B1285)&lt;=0,0,(INT(MAX(0,Inputs!$B$44-B1285)/IF(Inputs!$B$39="pvp",15,MAX(0.1,Skills!D6-IF(TRUE=TRUE,Inputs!$B$33,0))))+1)),0)</f>
        <v/>
      </c>
      <c r="S1255">
        <f>IFERROR(O1255/N1255,0)</f>
        <v/>
      </c>
      <c r="T1255">
        <f>IF(C1255,(H1255*N1255*IF(AND(Inputs!$B$39&lt;&gt;"pvp",Inputs!$B$44&gt;0),((Skills!G6*((R1255-1)*IF(Skills!H6&gt;0,INT(Skills!I6/Skills!H6+0.000000001),1)+IF(Skills!H6&gt;0,INT(MIN(Skills!I6,MAX(0,MAX(0,Inputs!$B$44-B1285)-((R1255-1)*IF(Inputs!$B$39="pvp",15,MAX(0.1,Skills!D6-IF(TRUE=TRUE,Inputs!$B$33,0))))))/Skills!H6+0.000000001),1)))/Inputs!$B$44),G1255*Q1255))*IF(Inputs!$B$39="pvp",1,1+(Inputs!$B$21+0+Skills!P6+((C1266=TRUE)*F1266*IF(AND(Inputs!$B$39&lt;&gt;"pvp",Inputs!$B$44&gt;0),(((R1266-1)*MIN((Skills!T17*(1+Inputs!$B$35/100)),(1/Q1266))+MIN((Skills!T17*(1+Inputs!$B$35/100)),MAX(0,Inputs!$B$44-((R1266-1)*(1/Q1266)))))/Inputs!$B$44),IF(Inputs!$B$39="pvp",MIN((Skills!T17*(1+Inputs!$B$35/100)),15)/15,MIN(1,(Skills!T17*(1+Inputs!$B$35/100))/(1/Q1266)))))+((C1254=TRUE)*IF(Inputs!$B$3&gt;=126,10*MIN(1,15*Q1254),0))+((C1263=TRUE)*IF(Inputs!$B$39="pvp",20,(1-Summary!$B$11)*(20)+Summary!$B$11*(0))*IF(AND(Inputs!$B$39&lt;&gt;"pvp",Inputs!$B$44&gt;0),(((R1263-1)*MIN((Skills!T14*(1+Inputs!$B$35/100)),(1/Q1263))+MIN((Skills!T14*(1+Inputs!$B$35/100)),MAX(0,Inputs!$B$44-((R1263-1)*(1/Q1263)))))/Inputs!$B$44),IF(Inputs!$B$39="pvp",MIN((Skills!T14*(1+Inputs!$B$35/100)),15)/15,MIN(1,(Skills!T14*(1+Inputs!$B$35/100))/(1/Q1263)))))+((C1262=TRUE)*IF(Inputs!$B$3&gt;=82,IF(Inputs!$B$39="pvp",20,(1-Summary!$B$11)*(20)+Summary!$B$11*(0)),0)*IF(AND(Inputs!$B$39&lt;&gt;"pvp",Inputs!$B$44&gt;0),(((R1262-1)*MIN((Skills!T13*(1+Inputs!$B$35/100)),(1/Q1262))+MIN((Skills!T13*(1+Inputs!$B$35/100)),MAX(0,Inputs!$B$44-((R1262-1)*(1/Q1262)))))/Inputs!$B$44),IF(Inputs!$B$39="pvp",MIN((Skills!T13*(1+Inputs!$B$35/100)),15)/15,MIN(1,(Skills!T13*(1+Inputs!$B$35/100))/(1/Q1262)))))+(IF(AND(ArtifactsInput!$M$35,Inputs!$B$4&lt;&gt;"Chapter Hunt"),CHOOSE(ArtifactsInput!$N$35+1,15,18,21,24,27,30)*(1-EXP(-(0.2*B1280)*5)),0)+IF(AND(ArtifactsInput!$M$22,Inputs!$B$4&lt;&gt;"Chapter Hunt"),CHOOSE(ArtifactsInput!$N$22+1,10,12,14,16,18,20)*((0*(((0.15*B1280*5))^0/1)+1*(((0.15*B1280*5))^1/1)+2*(((0.15*B1280*5))^2/2)+3*(((0.15*B1280*5))^3/6)+4*(((0.15*B1280*5))^4/24)+5*(((0.15*B1280*5))^5/120))/((((0.15*B1280*5))^0/1)+(((0.15*B1280*5))^1/1)+(((0.15*B1280*5))^2/2)+(((0.15*B1280*5))^3/6)+(((0.15*B1280*5))^4/24)+(((0.15*B1280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1255*(1-MIN(100,(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1255*(MIN(100,(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1255*(1-MIN(100,(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1255*(MIN(100,(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55">
        <f>IF(C1255,(H1255*N1255*IF(AND(Inputs!$B$39&lt;&gt;"pvp",Inputs!$B$44&gt;0),((Skills!G6*((R1255-1)*IF(Skills!H6&gt;0,INT(Skills!I6/Skills!H6+0.000000001),1)+IF(Skills!H6&gt;0,INT(MIN(Skills!I6,MAX(0,MAX(0,Inputs!$B$44-B1285)-((R1255-1)*IF(Inputs!$B$39="pvp",15,MAX(0.1,Skills!D6-IF(TRUE=TRUE,Inputs!$B$33,0))))))/Skills!H6+0.000000001),1)))/Inputs!$B$44),G1255*Q1255))*IF(Inputs!$B$39="pvp",1,(1+(Inputs!$B$22+Skills!Q6+((C1266=TRUE)*F1266*IF(AND(Inputs!$B$39&lt;&gt;"pvp",Inputs!$B$44&gt;0),(((R1266-1)*MIN((Skills!T17*(1+Inputs!$B$35/100)),(1/Q1266))+MIN((Skills!T17*(1+Inputs!$B$35/100)),MAX(0,Inputs!$B$44-((R1266-1)*(1/Q1266)))))/Inputs!$B$44),IF(Inputs!$B$39="pvp",MIN((Skills!T17*(1+Inputs!$B$35/100)),15)/15,MIN(1,(Skills!T17*(1+Inputs!$B$35/100))/(1/Q1266)))))+((C1254=TRUE)*IF(Inputs!$B$3&gt;=126,10*MIN(1,15*Q1254),0))+((C1263=TRUE)*IF(Inputs!$B$39="pvp",20,(1-Summary!$B$11)*(20)+Summary!$B$11*(0))*IF(AND(Inputs!$B$39&lt;&gt;"pvp",Inputs!$B$44&gt;0),(((R1263-1)*MIN((Skills!T14*(1+Inputs!$B$35/100)),(1/Q1263))+MIN((Skills!T14*(1+Inputs!$B$35/100)),MAX(0,Inputs!$B$44-((R1263-1)*(1/Q1263)))))/Inputs!$B$44),IF(Inputs!$B$39="pvp",MIN((Skills!T14*(1+Inputs!$B$35/100)),15)/15,MIN(1,(Skills!T14*(1+Inputs!$B$35/100))/(1/Q1263)))))+((C1262=TRUE)*IF(Inputs!$B$3&gt;=82,IF(Inputs!$B$39="pvp",20,(1-Summary!$B$11)*(20)+Summary!$B$11*(0)),0)*IF(AND(Inputs!$B$39&lt;&gt;"pvp",Inputs!$B$44&gt;0),(((R1262-1)*MIN((Skills!T13*(1+Inputs!$B$35/100)),(1/Q1262))+MIN((Skills!T13*(1+Inputs!$B$35/100)),MAX(0,Inputs!$B$44-((R1262-1)*(1/Q1262)))))/Inputs!$B$44),IF(Inputs!$B$39="pvp",MIN((Skills!T13*(1+Inputs!$B$35/100)),15)/15,MIN(1,(Skills!T13*(1+Inputs!$B$35/100))/(1/Q1262)))))+(IF(AND(ArtifactsInput!$M$35,Inputs!$B$4&lt;&gt;"Chapter Hunt"),CHOOSE(ArtifactsInput!$N$35+1,15,18,21,24,27,30)*(1-EXP(-(0.2*B1280)*5)),0)+IF(AND(ArtifactsInput!$M$22,Inputs!$B$4&lt;&gt;"Chapter Hunt"),CHOOSE(ArtifactsInput!$N$22+1,10,12,14,16,18,20)*((0*(((0.15*B1280*5))^0/1)+1*(((0.15*B1280*5))^1/1)+2*(((0.15*B1280*5))^2/2)+3*(((0.15*B1280*5))^3/6)+4*(((0.15*B1280*5))^4/24)+5*(((0.15*B1280*5))^5/120))/((((0.15*B1280*5))^0/1)+(((0.15*B1280*5))^1/1)+(((0.15*B1280*5))^2/2)+(((0.15*B1280*5))^3/6)+(((0.15*B1280*5))^4/24)+(((0.15*B1280*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56">
      <c r="A1256">
        <f>Skills!A7</f>
        <v/>
      </c>
      <c r="B1256">
        <f>Skills!B7</f>
        <v/>
      </c>
      <c r="C1256">
        <f>Inputs!$B$3&gt;=40</f>
        <v/>
      </c>
      <c r="D1256">
        <f>IF(Skills!C7=1,60+Inputs!$B$26+Inputs!$B$30,IF(Skills!C7=2,90+Inputs!$B$27+Inputs!$B$30,IF(Skills!C7=3,120+Inputs!$B$28+Inputs!$B$30,MAX(0,(Inputs!$B$3-100)*3)+Inputs!$B$29+Inputs!$B$30)))</f>
        <v/>
      </c>
      <c r="E1256">
        <f>INDEX(FactorTable!$B$2:$Y$301, MATCH(ROUND(MIN(300,MAX(1,D1256)),0), FactorTable!$A$2:$A$301,0), Skills!M7+1)</f>
        <v/>
      </c>
      <c r="F1256">
        <f>IF(Skills!N7=TRUE,(Skills!L7/10)*(E1256/1000),Skills!L7/10)+Skills!O7</f>
        <v/>
      </c>
      <c r="G1256">
        <f>Skills!G7*IF(Skills!H7&gt;0,INT(IF(Inputs!$B$39="pvp",MIN(Skills!I7,15),Skills!I7)/Skills!H7+0.000000001),1)</f>
        <v/>
      </c>
      <c r="H1256">
        <f>1-(1-Skills!J7/100)^Skills!K7</f>
        <v/>
      </c>
      <c r="I1256" t="inlineStr">
        <is>
          <t>1</t>
        </is>
      </c>
      <c r="J1256">
        <f>((Inputs!$B$6*(1+Inputs!$B$7/100))+(((Inputs!$B$13*(1+Inputs!$B$14/100))-(Inputs!$B$13*(1+Inputs!$B$14/100)))+0.25*(Inputs!$B$15-Inputs!$B$15))*(1+Inputs!$B$7/100))*(F1256/100)</f>
        <v/>
      </c>
      <c r="K1256">
        <f>J1256*(1+(((Inputs!$B$13+IF(Inputs!$B$3&gt;=38,(10*INDEX(FactorTable!$B$2:$Y$301, MATCH(ROUND(MIN(300,MAX(1,Inputs!$B$3)),0), FactorTable!$A$2:$A$301,0), 23)/1000)/100*(Inputs!$B$8*(1+Inputs!$B$9/100)),0))*(1+Inputs!$B$14/100))*0.01+Inputs!$B$15*0.0025)/100)*(1+Inputs!$B$16/100)*(1+Inputs!$B$17/100)*(5000/(6000+Inputs!$B$43*(1-(Inputs!$B$20+0)/100)))*(1+(Inputs!$B$25+((C1274=TRUE)*(F1274-Calc!F25))+((C1275=TRUE)*(F1275-Calc!F26))+B1284)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1260=TRUE,F1260,0)/100)*(1+(IF(Skills!A7="DARK_IMPALE",Inputs!$B$18+0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gt;=100),MIN(100,((Inputs!$B$10+0+B1278+(ArtifactsInput!$M$24-ArtifactsInput!$M$24)*CHOOSE(ArtifactsInput!$N$24+1,10,12,14,16,18,20)+IF(ArtifactsInput!$M$10,CHOOSE(ArtifactsInput!$N$10+1,15,18,21,24,27,30)*(IF(Inputs!$B$39="pvp",MIN(15,15)/15,IF(AND(Inputs!$B$39&lt;&gt;"pvp",Inputs!$B$44&gt;0),MIN(15,Inputs!$B$44)/(Inputs!$B$44),0))),0)))-100),0))*CHOOSE(ArtifactsInput!$N$42+1,0.6,0.72,0.84,0.96,1.08,1.2))),Inputs!$B$19+((C1272=TRUE)*(F1272-Calc!F23))+(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gt;=100),CHOOSE(ArtifactsInput!$N$42+1,40,48,56,64,72,80),0))))/100)*((1+(((C1262=TRUE)*F1262*IF(AND(Inputs!$B$39&lt;&gt;"pvp",Inputs!$B$44&gt;0),(((R1262-1)*MIN((Skills!T13*(1+Inputs!$B$35/100)),(1/Q1262))+MIN((Skills!T13*(1+Inputs!$B$35/100)),MAX(0,Inputs!$B$44-((R1262-1)*(1/Q1262)))))/Inputs!$B$44),IF(Inputs!$B$39="pvp",MIN((Skills!T13*(1+Inputs!$B$35/100)),15)/15,MIN(1,(Skills!T13*(1+Inputs!$B$35/100))/(1/Q1262)))))+((C1263=TRUE)*F1263*IF(AND(Inputs!$B$39&lt;&gt;"pvp",Inputs!$B$44&gt;0),(((R1263-1)*MIN((Skills!T14*(1+Inputs!$B$35/100)),(1/Q1263))+MIN((Skills!T14*(1+Inputs!$B$35/100)),MAX(0,Inputs!$B$44-((R1263-1)*(1/Q1263)))))/Inputs!$B$44),IF(Inputs!$B$39="pvp",MIN((Skills!T14*(1+Inputs!$B$35/100)),15)/15,MIN(1,(Skills!T14*(1+Inputs!$B$35/100))/(1/Q1263)))))+((C1264=TRUE)*F1264*IF(AND(Inputs!$B$39&lt;&gt;"pvp",Inputs!$B$44&gt;0),(((R1264-1)*MIN((Skills!T15*(1+Inputs!$B$35/100)),(1/Q1264))+MIN((Skills!T15*(1+Inputs!$B$35/100)),MAX(0,Inputs!$B$44-((R1264-1)*(1/Q1264)))))/Inputs!$B$44),IF(Inputs!$B$39="pvp",MIN((Skills!T15*(1+Inputs!$B$35/100)),15)/15,MIN(1,(Skills!T15*(1+Inputs!$B$35/100))/(1/Q1264)))))+((C1265=TRUE)*F1265*IF(AND(Inputs!$B$39&lt;&gt;"pvp",Inputs!$B$44&gt;0),(((R1265-1)*MIN((Skills!T16*(1+Inputs!$B$35/100)),(1/Q1265))+MIN((Skills!T16*(1+Inputs!$B$35/100)),MAX(0,Inputs!$B$44-((R1265-1)*(1/Q1265)))))/Inputs!$B$44),IF(Inputs!$B$39="pvp",MIN((Skills!T16*(1+Inputs!$B$35/100)),15)/15,MIN(1,(Skills!T16*(1+Inputs!$B$35/100))/(1/Q1265)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1256)</f>
        <v/>
      </c>
      <c r="L1256">
        <f>K1256*(MIN(Inputs!$B$23+((C1271=TRUE)*(F1271-Calc!F22)),(Inputs!$B$24+((C1273=TRUE)*(F1273-Calc!F24))+(IF(ArtifactsInput!$M$15,CHOOSE(ArtifactsInput!$N$15+1,25,30,35,40,45,50)/100*(Inputs!$B$12-Inputs!$B$12),0))))/100+(Inputs!$B$24+((C1273=TRUE)*(F1273-Calc!F24))+(IF(ArtifactsInput!$M$15,CHOOSE(ArtifactsInput!$N$15+1,25,30,35,40,45,50)/100*(Inputs!$B$12-Inputs!$B$12),0)))/100)/2</f>
        <v/>
      </c>
      <c r="M1256">
        <f>L1256*(1+(Inputs!$B$11+0+B1283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256">
        <f>L1256*(1-MIN((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1256*(MIN((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56">
        <f>(1-Summary!$B$11)*T1256+Summary!$B$11*V1256</f>
        <v/>
      </c>
      <c r="P1256">
        <f>IF(B1288=0,0,O1256/B1288)</f>
        <v/>
      </c>
      <c r="Q1256">
        <f>IFERROR(1/IF(Inputs!$B$39="pvp",15,MAX(0.1,Skills!D7-IF(TRUE=TRUE,Inputs!$B$33,0))),0)</f>
        <v/>
      </c>
      <c r="R1256">
        <f>IF(AND(Inputs!$B$39&lt;&gt;"pvp",Inputs!$B$44&gt;0),IF(MAX(0,Inputs!$B$44-B1285)&lt;=0,0,(INT(MAX(0,Inputs!$B$44-B1285)/IF(Inputs!$B$39="pvp",15,MAX(0.1,Skills!D7-IF(TRUE=TRUE,Inputs!$B$33,0))))+1)),0)</f>
        <v/>
      </c>
      <c r="S1256">
        <f>IFERROR(O1256/N1256,0)</f>
        <v/>
      </c>
      <c r="T1256">
        <f>IF(C1256,(H1256*N1256*IF(AND(Inputs!$B$39&lt;&gt;"pvp",Inputs!$B$44&gt;0),((Skills!G7*((R1256-1)*IF(Skills!H7&gt;0,INT(Skills!I7/Skills!H7+0.000000001),1)+IF(Skills!H7&gt;0,INT(MIN(Skills!I7,MAX(0,MAX(0,Inputs!$B$44-B1285)-((R1256-1)*IF(Inputs!$B$39="pvp",15,MAX(0.1,Skills!D7-IF(TRUE=TRUE,Inputs!$B$33,0))))))/Skills!H7+0.000000001),1)))/Inputs!$B$44),G1256*Q1256))*IF(Inputs!$B$39="pvp",1,1+(Inputs!$B$21+0+Skills!P7+((C1266=TRUE)*F1266*IF(AND(Inputs!$B$39&lt;&gt;"pvp",Inputs!$B$44&gt;0),(((R1266-1)*MIN((Skills!T17*(1+Inputs!$B$35/100)),(1/Q1266))+MIN((Skills!T17*(1+Inputs!$B$35/100)),MAX(0,Inputs!$B$44-((R1266-1)*(1/Q1266)))))/Inputs!$B$44),IF(Inputs!$B$39="pvp",MIN((Skills!T17*(1+Inputs!$B$35/100)),15)/15,MIN(1,(Skills!T17*(1+Inputs!$B$35/100))/(1/Q1266)))))+((C1254=TRUE)*IF(Inputs!$B$3&gt;=126,10*MIN(1,15*Q1254),0))+((C1263=TRUE)*IF(Inputs!$B$39="pvp",20,(1-Summary!$B$11)*(20)+Summary!$B$11*(0))*IF(AND(Inputs!$B$39&lt;&gt;"pvp",Inputs!$B$44&gt;0),(((R1263-1)*MIN((Skills!T14*(1+Inputs!$B$35/100)),(1/Q1263))+MIN((Skills!T14*(1+Inputs!$B$35/100)),MAX(0,Inputs!$B$44-((R1263-1)*(1/Q1263)))))/Inputs!$B$44),IF(Inputs!$B$39="pvp",MIN((Skills!T14*(1+Inputs!$B$35/100)),15)/15,MIN(1,(Skills!T14*(1+Inputs!$B$35/100))/(1/Q1263)))))+((C1262=TRUE)*IF(Inputs!$B$3&gt;=82,IF(Inputs!$B$39="pvp",20,(1-Summary!$B$11)*(20)+Summary!$B$11*(0)),0)*IF(AND(Inputs!$B$39&lt;&gt;"pvp",Inputs!$B$44&gt;0),(((R1262-1)*MIN((Skills!T13*(1+Inputs!$B$35/100)),(1/Q1262))+MIN((Skills!T13*(1+Inputs!$B$35/100)),MAX(0,Inputs!$B$44-((R1262-1)*(1/Q1262)))))/Inputs!$B$44),IF(Inputs!$B$39="pvp",MIN((Skills!T13*(1+Inputs!$B$35/100)),15)/15,MIN(1,(Skills!T13*(1+Inputs!$B$35/100))/(1/Q1262)))))+(IF(AND(ArtifactsInput!$M$35,Inputs!$B$4&lt;&gt;"Chapter Hunt"),CHOOSE(ArtifactsInput!$N$35+1,15,18,21,24,27,30)*(1-EXP(-(0.2*B1280)*5)),0)+IF(AND(ArtifactsInput!$M$22,Inputs!$B$4&lt;&gt;"Chapter Hunt"),CHOOSE(ArtifactsInput!$N$22+1,10,12,14,16,18,20)*((0*(((0.15*B1280*5))^0/1)+1*(((0.15*B1280*5))^1/1)+2*(((0.15*B1280*5))^2/2)+3*(((0.15*B1280*5))^3/6)+4*(((0.15*B1280*5))^4/24)+5*(((0.15*B1280*5))^5/120))/((((0.15*B1280*5))^0/1)+(((0.15*B1280*5))^1/1)+(((0.15*B1280*5))^2/2)+(((0.15*B1280*5))^3/6)+(((0.15*B1280*5))^4/24)+(((0.15*B1280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1256*(1-MIN(100,(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1256*(MIN(100,(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1256*(1-MIN(100,(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1256*(MIN(100,(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56">
        <f>IF(C1256,(H1256*N1256*IF(AND(Inputs!$B$39&lt;&gt;"pvp",Inputs!$B$44&gt;0),((Skills!G7*((R1256-1)*IF(Skills!H7&gt;0,INT(Skills!I7/Skills!H7+0.000000001),1)+IF(Skills!H7&gt;0,INT(MIN(Skills!I7,MAX(0,MAX(0,Inputs!$B$44-B1285)-((R1256-1)*IF(Inputs!$B$39="pvp",15,MAX(0.1,Skills!D7-IF(TRUE=TRUE,Inputs!$B$33,0))))))/Skills!H7+0.000000001),1)))/Inputs!$B$44),G1256*Q1256))*IF(Inputs!$B$39="pvp",1,(1+(Inputs!$B$22+Skills!Q7+((C1266=TRUE)*F1266*IF(AND(Inputs!$B$39&lt;&gt;"pvp",Inputs!$B$44&gt;0),(((R1266-1)*MIN((Skills!T17*(1+Inputs!$B$35/100)),(1/Q1266))+MIN((Skills!T17*(1+Inputs!$B$35/100)),MAX(0,Inputs!$B$44-((R1266-1)*(1/Q1266)))))/Inputs!$B$44),IF(Inputs!$B$39="pvp",MIN((Skills!T17*(1+Inputs!$B$35/100)),15)/15,MIN(1,(Skills!T17*(1+Inputs!$B$35/100))/(1/Q1266)))))+((C1254=TRUE)*IF(Inputs!$B$3&gt;=126,10*MIN(1,15*Q1254),0))+((C1263=TRUE)*IF(Inputs!$B$39="pvp",20,(1-Summary!$B$11)*(20)+Summary!$B$11*(0))*IF(AND(Inputs!$B$39&lt;&gt;"pvp",Inputs!$B$44&gt;0),(((R1263-1)*MIN((Skills!T14*(1+Inputs!$B$35/100)),(1/Q1263))+MIN((Skills!T14*(1+Inputs!$B$35/100)),MAX(0,Inputs!$B$44-((R1263-1)*(1/Q1263)))))/Inputs!$B$44),IF(Inputs!$B$39="pvp",MIN((Skills!T14*(1+Inputs!$B$35/100)),15)/15,MIN(1,(Skills!T14*(1+Inputs!$B$35/100))/(1/Q1263)))))+((C1262=TRUE)*IF(Inputs!$B$3&gt;=82,IF(Inputs!$B$39="pvp",20,(1-Summary!$B$11)*(20)+Summary!$B$11*(0)),0)*IF(AND(Inputs!$B$39&lt;&gt;"pvp",Inputs!$B$44&gt;0),(((R1262-1)*MIN((Skills!T13*(1+Inputs!$B$35/100)),(1/Q1262))+MIN((Skills!T13*(1+Inputs!$B$35/100)),MAX(0,Inputs!$B$44-((R1262-1)*(1/Q1262)))))/Inputs!$B$44),IF(Inputs!$B$39="pvp",MIN((Skills!T13*(1+Inputs!$B$35/100)),15)/15,MIN(1,(Skills!T13*(1+Inputs!$B$35/100))/(1/Q1262)))))+(IF(AND(ArtifactsInput!$M$35,Inputs!$B$4&lt;&gt;"Chapter Hunt"),CHOOSE(ArtifactsInput!$N$35+1,15,18,21,24,27,30)*(1-EXP(-(0.2*B1280)*5)),0)+IF(AND(ArtifactsInput!$M$22,Inputs!$B$4&lt;&gt;"Chapter Hunt"),CHOOSE(ArtifactsInput!$N$22+1,10,12,14,16,18,20)*((0*(((0.15*B1280*5))^0/1)+1*(((0.15*B1280*5))^1/1)+2*(((0.15*B1280*5))^2/2)+3*(((0.15*B1280*5))^3/6)+4*(((0.15*B1280*5))^4/24)+5*(((0.15*B1280*5))^5/120))/((((0.15*B1280*5))^0/1)+(((0.15*B1280*5))^1/1)+(((0.15*B1280*5))^2/2)+(((0.15*B1280*5))^3/6)+(((0.15*B1280*5))^4/24)+(((0.15*B1280*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57">
      <c r="A1257">
        <f>Skills!A8</f>
        <v/>
      </c>
      <c r="B1257">
        <f>Skills!B8</f>
        <v/>
      </c>
      <c r="C1257">
        <f>Inputs!$B$3&gt;=75</f>
        <v/>
      </c>
      <c r="D1257">
        <f>IF(Skills!C8=1,60+Inputs!$B$26+Inputs!$B$30,IF(Skills!C8=2,90+Inputs!$B$27+Inputs!$B$30,IF(Skills!C8=3,120+Inputs!$B$28+Inputs!$B$30,MAX(0,(Inputs!$B$3-100)*3)+Inputs!$B$29+Inputs!$B$30)))</f>
        <v/>
      </c>
      <c r="E1257">
        <f>INDEX(FactorTable!$B$2:$Y$301, MATCH(ROUND(MIN(300,MAX(1,D1257)),0), FactorTable!$A$2:$A$301,0), Skills!M8+1)</f>
        <v/>
      </c>
      <c r="F1257">
        <f>IF(Skills!N8=TRUE,(Skills!L8/10)*(E1257/1000),Skills!L8/10)+Skills!O8</f>
        <v/>
      </c>
      <c r="G1257" t="inlineStr"/>
      <c r="H1257" t="inlineStr"/>
      <c r="I1257" t="inlineStr">
        <is>
          <t>1</t>
        </is>
      </c>
      <c r="J1257" t="inlineStr"/>
      <c r="K1257" t="inlineStr"/>
      <c r="L1257" t="inlineStr"/>
      <c r="M1257" t="inlineStr"/>
      <c r="N1257" t="inlineStr"/>
      <c r="O1257" t="inlineStr"/>
      <c r="P1257" t="inlineStr"/>
      <c r="Q1257" t="inlineStr"/>
      <c r="R1257" t="inlineStr"/>
      <c r="S1257" t="inlineStr"/>
    </row>
    <row r="1258">
      <c r="A1258">
        <f>Skills!A9</f>
        <v/>
      </c>
      <c r="B1258">
        <f>Skills!B9</f>
        <v/>
      </c>
      <c r="C1258">
        <f>Inputs!$B$3&gt;=60</f>
        <v/>
      </c>
      <c r="D1258">
        <f>IF(Skills!C9=1,60+Inputs!$B$26+Inputs!$B$30,IF(Skills!C9=2,90+Inputs!$B$27+Inputs!$B$30,IF(Skills!C9=3,120+Inputs!$B$28+Inputs!$B$30,MAX(0,(Inputs!$B$3-100)*3)+Inputs!$B$29+Inputs!$B$30)))</f>
        <v/>
      </c>
      <c r="E1258">
        <f>INDEX(FactorTable!$B$2:$Y$301, MATCH(ROUND(MIN(300,MAX(1,D1258)),0), FactorTable!$A$2:$A$301,0), Skills!M9+1)</f>
        <v/>
      </c>
      <c r="F1258">
        <f>IF(Skills!N9=TRUE,(Skills!L9/10)*(E1258/1000),Skills!L9/10)+Skills!O9</f>
        <v/>
      </c>
      <c r="G1258">
        <f>Skills!G9*IF(Skills!H9&gt;0,INT(IF(Inputs!$B$39="pvp",MIN(Skills!I9,15),Skills!I9)/Skills!H9+0.000000001),1)</f>
        <v/>
      </c>
      <c r="H1258">
        <f>1-(1-Skills!J9/100)^Skills!K9</f>
        <v/>
      </c>
      <c r="I1258" t="inlineStr">
        <is>
          <t>1</t>
        </is>
      </c>
      <c r="J1258">
        <f>((Inputs!$B$6*(1+Inputs!$B$7/100))+(((Inputs!$B$13*(1+Inputs!$B$14/100))-(Inputs!$B$13*(1+Inputs!$B$14/100)))+0.25*(Inputs!$B$15-Inputs!$B$15))*(1+Inputs!$B$7/100))*(F1258/100)</f>
        <v/>
      </c>
      <c r="K1258">
        <f>J1258*(1+(((Inputs!$B$13+IF(Inputs!$B$3&gt;=38,(10*INDEX(FactorTable!$B$2:$Y$301, MATCH(ROUND(MIN(300,MAX(1,Inputs!$B$3)),0), FactorTable!$A$2:$A$301,0), 23)/1000)/100*(Inputs!$B$8*(1+Inputs!$B$9/100)),0))*(1+Inputs!$B$14/100))*0.01+Inputs!$B$15*0.0025)/100)*(1+Inputs!$B$16/100)*(1+Inputs!$B$17/100)*(5000/(6000+Inputs!$B$43*(1-(Inputs!$B$20+0)/100)))*(1+(Inputs!$B$25+((C1274=TRUE)*(F1274-Calc!F25))+((C1275=TRUE)*(F1275-Calc!F26))+B1284)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1260=TRUE,F1260,0)/100)*(1+(IF(Skills!A9="DARK_IMPALE",Inputs!$B$18+0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gt;=100),MIN(100,((Inputs!$B$10+0+B1278+(ArtifactsInput!$M$24-ArtifactsInput!$M$24)*CHOOSE(ArtifactsInput!$N$24+1,10,12,14,16,18,20)+IF(ArtifactsInput!$M$10,CHOOSE(ArtifactsInput!$N$10+1,15,18,21,24,27,30)*(IF(Inputs!$B$39="pvp",MIN(15,15)/15,IF(AND(Inputs!$B$39&lt;&gt;"pvp",Inputs!$B$44&gt;0),MIN(15,Inputs!$B$44)/(Inputs!$B$44),0))),0)))-100),0))*CHOOSE(ArtifactsInput!$N$42+1,0.6,0.72,0.84,0.96,1.08,1.2))),Inputs!$B$19+((C1272=TRUE)*(F1272-Calc!F23))+(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gt;=100),CHOOSE(ArtifactsInput!$N$42+1,40,48,56,64,72,80),0))))/100)*((1+(((C1262=TRUE)*F1262*IF(AND(Inputs!$B$39&lt;&gt;"pvp",Inputs!$B$44&gt;0),(((R1262-1)*MIN((Skills!T13*(1+Inputs!$B$35/100)),(1/Q1262))+MIN((Skills!T13*(1+Inputs!$B$35/100)),MAX(0,Inputs!$B$44-((R1262-1)*(1/Q1262)))))/Inputs!$B$44),IF(Inputs!$B$39="pvp",MIN((Skills!T13*(1+Inputs!$B$35/100)),15)/15,MIN(1,(Skills!T13*(1+Inputs!$B$35/100))/(1/Q1262)))))+((C1263=TRUE)*F1263*IF(AND(Inputs!$B$39&lt;&gt;"pvp",Inputs!$B$44&gt;0),(((R1263-1)*MIN((Skills!T14*(1+Inputs!$B$35/100)),(1/Q1263))+MIN((Skills!T14*(1+Inputs!$B$35/100)),MAX(0,Inputs!$B$44-((R1263-1)*(1/Q1263)))))/Inputs!$B$44),IF(Inputs!$B$39="pvp",MIN((Skills!T14*(1+Inputs!$B$35/100)),15)/15,MIN(1,(Skills!T14*(1+Inputs!$B$35/100))/(1/Q1263)))))+((C1264=TRUE)*F1264*IF(AND(Inputs!$B$39&lt;&gt;"pvp",Inputs!$B$44&gt;0),(((R1264-1)*MIN((Skills!T15*(1+Inputs!$B$35/100)),(1/Q1264))+MIN((Skills!T15*(1+Inputs!$B$35/100)),MAX(0,Inputs!$B$44-((R1264-1)*(1/Q1264)))))/Inputs!$B$44),IF(Inputs!$B$39="pvp",MIN((Skills!T15*(1+Inputs!$B$35/100)),15)/15,MIN(1,(Skills!T15*(1+Inputs!$B$35/100))/(1/Q1264)))))+((C1265=TRUE)*F1265*IF(AND(Inputs!$B$39&lt;&gt;"pvp",Inputs!$B$44&gt;0),(((R1265-1)*MIN((Skills!T16*(1+Inputs!$B$35/100)),(1/Q1265))+MIN((Skills!T16*(1+Inputs!$B$35/100)),MAX(0,Inputs!$B$44-((R1265-1)*(1/Q1265)))))/Inputs!$B$44),IF(Inputs!$B$39="pvp",MIN((Skills!T16*(1+Inputs!$B$35/100)),15)/15,MIN(1,(Skills!T16*(1+Inputs!$B$35/100))/(1/Q1265)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1258)</f>
        <v/>
      </c>
      <c r="L1258">
        <f>K1258*(MIN(Inputs!$B$23+((C1271=TRUE)*(F1271-Calc!F22)),(Inputs!$B$24+((C1273=TRUE)*(F1273-Calc!F24))+(IF(ArtifactsInput!$M$15,CHOOSE(ArtifactsInput!$N$15+1,25,30,35,40,45,50)/100*(Inputs!$B$12-Inputs!$B$12),0))))/100+(Inputs!$B$24+((C1273=TRUE)*(F1273-Calc!F24))+(IF(ArtifactsInput!$M$15,CHOOSE(ArtifactsInput!$N$15+1,25,30,35,40,45,50)/100*(Inputs!$B$12-Inputs!$B$12),0)))/100)/2</f>
        <v/>
      </c>
      <c r="M1258">
        <f>L1258*(1+(Inputs!$B$11+0+B1283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258">
        <f>L1258*(1-MIN((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1258*(MIN((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58">
        <f>(1-Summary!$B$11)*T1258+Summary!$B$11*V1258</f>
        <v/>
      </c>
      <c r="P1258">
        <f>IF(B1288=0,0,O1258/B1288)</f>
        <v/>
      </c>
      <c r="Q1258">
        <f>IFERROR(1/IF(Inputs!$B$39="pvp",15,MAX(0.1,Skills!D9-IF(TRUE=TRUE,Inputs!$B$33,0))),0)</f>
        <v/>
      </c>
      <c r="R1258">
        <f>IF(AND(Inputs!$B$39&lt;&gt;"pvp",Inputs!$B$44&gt;0),IF(MAX(0,Inputs!$B$44-B1285)&lt;=0,0,(INT(MAX(0,Inputs!$B$44-B1285)/IF(Inputs!$B$39="pvp",15,MAX(0.1,Skills!D9-IF(TRUE=TRUE,Inputs!$B$33,0))))+1)),0)</f>
        <v/>
      </c>
      <c r="S1258">
        <f>IFERROR(O1258/N1258,0)</f>
        <v/>
      </c>
      <c r="T1258">
        <f>IF(C1258,(H1258*N1258*IF(AND(Inputs!$B$39&lt;&gt;"pvp",Inputs!$B$44&gt;0),((Skills!G9*((R1258-1)*IF(Skills!H9&gt;0,INT(Skills!I9/Skills!H9+0.000000001),1)+IF(Skills!H9&gt;0,INT(MIN(Skills!I9,MAX(0,MAX(0,Inputs!$B$44-B1285)-((R1258-1)*IF(Inputs!$B$39="pvp",15,MAX(0.1,Skills!D9-IF(TRUE=TRUE,Inputs!$B$33,0))))))/Skills!H9+0.000000001),1)))/Inputs!$B$44),G1258*Q1258))*IF(Inputs!$B$39="pvp",1,1+(Inputs!$B$21+0+Skills!P9+((C1266=TRUE)*F1266*IF(AND(Inputs!$B$39&lt;&gt;"pvp",Inputs!$B$44&gt;0),(((R1266-1)*MIN((Skills!T17*(1+Inputs!$B$35/100)),(1/Q1266))+MIN((Skills!T17*(1+Inputs!$B$35/100)),MAX(0,Inputs!$B$44-((R1266-1)*(1/Q1266)))))/Inputs!$B$44),IF(Inputs!$B$39="pvp",MIN((Skills!T17*(1+Inputs!$B$35/100)),15)/15,MIN(1,(Skills!T17*(1+Inputs!$B$35/100))/(1/Q1266)))))+((C1254=TRUE)*IF(Inputs!$B$3&gt;=126,10*MIN(1,15*Q1254),0))+((C1263=TRUE)*IF(Inputs!$B$39="pvp",20,(1-Summary!$B$11)*(20)+Summary!$B$11*(0))*IF(AND(Inputs!$B$39&lt;&gt;"pvp",Inputs!$B$44&gt;0),(((R1263-1)*MIN((Skills!T14*(1+Inputs!$B$35/100)),(1/Q1263))+MIN((Skills!T14*(1+Inputs!$B$35/100)),MAX(0,Inputs!$B$44-((R1263-1)*(1/Q1263)))))/Inputs!$B$44),IF(Inputs!$B$39="pvp",MIN((Skills!T14*(1+Inputs!$B$35/100)),15)/15,MIN(1,(Skills!T14*(1+Inputs!$B$35/100))/(1/Q1263)))))+((C1262=TRUE)*IF(Inputs!$B$3&gt;=82,IF(Inputs!$B$39="pvp",20,(1-Summary!$B$11)*(20)+Summary!$B$11*(0)),0)*IF(AND(Inputs!$B$39&lt;&gt;"pvp",Inputs!$B$44&gt;0),(((R1262-1)*MIN((Skills!T13*(1+Inputs!$B$35/100)),(1/Q1262))+MIN((Skills!T13*(1+Inputs!$B$35/100)),MAX(0,Inputs!$B$44-((R1262-1)*(1/Q1262)))))/Inputs!$B$44),IF(Inputs!$B$39="pvp",MIN((Skills!T13*(1+Inputs!$B$35/100)),15)/15,MIN(1,(Skills!T13*(1+Inputs!$B$35/100))/(1/Q1262)))))+(IF(AND(ArtifactsInput!$M$35,Inputs!$B$4&lt;&gt;"Chapter Hunt"),CHOOSE(ArtifactsInput!$N$35+1,15,18,21,24,27,30)*(1-EXP(-(0.2*B1280)*5)),0)+IF(AND(ArtifactsInput!$M$22,Inputs!$B$4&lt;&gt;"Chapter Hunt"),CHOOSE(ArtifactsInput!$N$22+1,10,12,14,16,18,20)*((0*(((0.15*B1280*5))^0/1)+1*(((0.15*B1280*5))^1/1)+2*(((0.15*B1280*5))^2/2)+3*(((0.15*B1280*5))^3/6)+4*(((0.15*B1280*5))^4/24)+5*(((0.15*B1280*5))^5/120))/((((0.15*B1280*5))^0/1)+(((0.15*B1280*5))^1/1)+(((0.15*B1280*5))^2/2)+(((0.15*B1280*5))^3/6)+(((0.15*B1280*5))^4/24)+(((0.15*B1280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1258*(1-MIN(100,(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1258*(MIN(100,(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1258*(1-MIN(100,(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1258*(MIN(100,(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58">
        <f>IF(C1258,(H1258*N1258*IF(AND(Inputs!$B$39&lt;&gt;"pvp",Inputs!$B$44&gt;0),((Skills!G9*((R1258-1)*IF(Skills!H9&gt;0,INT(Skills!I9/Skills!H9+0.000000001),1)+IF(Skills!H9&gt;0,INT(MIN(Skills!I9,MAX(0,MAX(0,Inputs!$B$44-B1285)-((R1258-1)*IF(Inputs!$B$39="pvp",15,MAX(0.1,Skills!D9-IF(TRUE=TRUE,Inputs!$B$33,0))))))/Skills!H9+0.000000001),1)))/Inputs!$B$44),G1258*Q1258))*IF(Inputs!$B$39="pvp",1,(1+(Inputs!$B$22+Skills!Q9+((C1266=TRUE)*F1266*IF(AND(Inputs!$B$39&lt;&gt;"pvp",Inputs!$B$44&gt;0),(((R1266-1)*MIN((Skills!T17*(1+Inputs!$B$35/100)),(1/Q1266))+MIN((Skills!T17*(1+Inputs!$B$35/100)),MAX(0,Inputs!$B$44-((R1266-1)*(1/Q1266)))))/Inputs!$B$44),IF(Inputs!$B$39="pvp",MIN((Skills!T17*(1+Inputs!$B$35/100)),15)/15,MIN(1,(Skills!T17*(1+Inputs!$B$35/100))/(1/Q1266)))))+((C1254=TRUE)*IF(Inputs!$B$3&gt;=126,10*MIN(1,15*Q1254),0))+((C1263=TRUE)*IF(Inputs!$B$39="pvp",20,(1-Summary!$B$11)*(20)+Summary!$B$11*(0))*IF(AND(Inputs!$B$39&lt;&gt;"pvp",Inputs!$B$44&gt;0),(((R1263-1)*MIN((Skills!T14*(1+Inputs!$B$35/100)),(1/Q1263))+MIN((Skills!T14*(1+Inputs!$B$35/100)),MAX(0,Inputs!$B$44-((R1263-1)*(1/Q1263)))))/Inputs!$B$44),IF(Inputs!$B$39="pvp",MIN((Skills!T14*(1+Inputs!$B$35/100)),15)/15,MIN(1,(Skills!T14*(1+Inputs!$B$35/100))/(1/Q1263)))))+((C1262=TRUE)*IF(Inputs!$B$3&gt;=82,IF(Inputs!$B$39="pvp",20,(1-Summary!$B$11)*(20)+Summary!$B$11*(0)),0)*IF(AND(Inputs!$B$39&lt;&gt;"pvp",Inputs!$B$44&gt;0),(((R1262-1)*MIN((Skills!T13*(1+Inputs!$B$35/100)),(1/Q1262))+MIN((Skills!T13*(1+Inputs!$B$35/100)),MAX(0,Inputs!$B$44-((R1262-1)*(1/Q1262)))))/Inputs!$B$44),IF(Inputs!$B$39="pvp",MIN((Skills!T13*(1+Inputs!$B$35/100)),15)/15,MIN(1,(Skills!T13*(1+Inputs!$B$35/100))/(1/Q1262)))))+(IF(AND(ArtifactsInput!$M$35,Inputs!$B$4&lt;&gt;"Chapter Hunt"),CHOOSE(ArtifactsInput!$N$35+1,15,18,21,24,27,30)*(1-EXP(-(0.2*B1280)*5)),0)+IF(AND(ArtifactsInput!$M$22,Inputs!$B$4&lt;&gt;"Chapter Hunt"),CHOOSE(ArtifactsInput!$N$22+1,10,12,14,16,18,20)*((0*(((0.15*B1280*5))^0/1)+1*(((0.15*B1280*5))^1/1)+2*(((0.15*B1280*5))^2/2)+3*(((0.15*B1280*5))^3/6)+4*(((0.15*B1280*5))^4/24)+5*(((0.15*B1280*5))^5/120))/((((0.15*B1280*5))^0/1)+(((0.15*B1280*5))^1/1)+(((0.15*B1280*5))^2/2)+(((0.15*B1280*5))^3/6)+(((0.15*B1280*5))^4/24)+(((0.15*B1280*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59">
      <c r="A1259">
        <f>Skills!A10</f>
        <v/>
      </c>
      <c r="B1259">
        <f>Skills!B10</f>
        <v/>
      </c>
      <c r="C1259">
        <f>Inputs!$B$3&gt;=110</f>
        <v/>
      </c>
      <c r="D1259">
        <f>IF(Skills!C10=1,60+Inputs!$B$26+Inputs!$B$30,IF(Skills!C10=2,90+Inputs!$B$27+Inputs!$B$30,IF(Skills!C10=3,120+Inputs!$B$28+Inputs!$B$30,MAX(0,(Inputs!$B$3-100)*3)+Inputs!$B$29+Inputs!$B$30)))</f>
        <v/>
      </c>
      <c r="E1259">
        <f>INDEX(FactorTable!$B$2:$Y$301, MATCH(ROUND(MIN(300,MAX(1,D1259)),0), FactorTable!$A$2:$A$301,0), Skills!M10+1)</f>
        <v/>
      </c>
      <c r="F1259">
        <f>IF(Skills!N10=TRUE,(Skills!L10/10)*(E1259/1000),Skills!L10/10)+Skills!O10</f>
        <v/>
      </c>
      <c r="G1259">
        <f>Skills!G10*IF(Skills!H10&gt;0,INT(IF(Inputs!$B$39="pvp",MIN(Skills!I10,15),Skills!I10)/Skills!H10+0.000000001),1)</f>
        <v/>
      </c>
      <c r="H1259">
        <f>1-(1-Skills!J10/100)^Skills!K10</f>
        <v/>
      </c>
      <c r="I1259" t="inlineStr">
        <is>
          <t>1</t>
        </is>
      </c>
      <c r="J1259">
        <f>((Inputs!$B$6*(1+Inputs!$B$7/100))+(((Inputs!$B$13*(1+Inputs!$B$14/100))-(Inputs!$B$13*(1+Inputs!$B$14/100)))+0.25*(Inputs!$B$15-Inputs!$B$15))*(1+Inputs!$B$7/100))*(F1259/100)</f>
        <v/>
      </c>
      <c r="K1259">
        <f>J1259*(1+(((Inputs!$B$13+IF(Inputs!$B$3&gt;=38,(10*INDEX(FactorTable!$B$2:$Y$301, MATCH(ROUND(MIN(300,MAX(1,Inputs!$B$3)),0), FactorTable!$A$2:$A$301,0), 23)/1000)/100*(Inputs!$B$8*(1+Inputs!$B$9/100)),0))*(1+Inputs!$B$14/100))*0.01+Inputs!$B$15*0.0025)/100)*(1+Inputs!$B$16/100)*(1+Inputs!$B$17/100)*(5000/(6000+Inputs!$B$43*(1-(Inputs!$B$20+0)/100)))*(1+(Inputs!$B$25+((C1274=TRUE)*(F1274-Calc!F25))+((C1275=TRUE)*(F1275-Calc!F26))+B1284)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gt;=100),MIN(100,((Inputs!$B$10+0+B1278+(ArtifactsInput!$M$24-ArtifactsInput!$M$24)*CHOOSE(ArtifactsInput!$N$24+1,10,12,14,16,18,20)+IF(ArtifactsInput!$M$10,CHOOSE(ArtifactsInput!$N$10+1,15,18,21,24,27,30)*(IF(Inputs!$B$39="pvp",MIN(15,15)/15,IF(AND(Inputs!$B$39&lt;&gt;"pvp",Inputs!$B$44&gt;0),MIN(15,Inputs!$B$44)/(Inputs!$B$44),0))),0)))-100),0))*CHOOSE(ArtifactsInput!$N$42+1,0.6,0.72,0.84,0.96,1.08,1.2))),Inputs!$B$19+((C1272=TRUE)*(F1272-Calc!F23))+(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gt;=100),CHOOSE(ArtifactsInput!$N$42+1,40,48,56,64,72,80),0))))/100)*((1+(((C1262=TRUE)*F1262*IF(AND(Inputs!$B$39&lt;&gt;"pvp",Inputs!$B$44&gt;0),(((R1262-1)*MIN((Skills!T13*(1+Inputs!$B$35/100)),(1/Q1262))+MIN((Skills!T13*(1+Inputs!$B$35/100)),MAX(0,Inputs!$B$44-((R1262-1)*(1/Q1262)))))/Inputs!$B$44),IF(Inputs!$B$39="pvp",MIN((Skills!T13*(1+Inputs!$B$35/100)),15)/15,MIN(1,(Skills!T13*(1+Inputs!$B$35/100))/(1/Q1262)))))+((C1263=TRUE)*F1263*IF(AND(Inputs!$B$39&lt;&gt;"pvp",Inputs!$B$44&gt;0),(((R1263-1)*MIN((Skills!T14*(1+Inputs!$B$35/100)),(1/Q1263))+MIN((Skills!T14*(1+Inputs!$B$35/100)),MAX(0,Inputs!$B$44-((R1263-1)*(1/Q1263)))))/Inputs!$B$44),IF(Inputs!$B$39="pvp",MIN((Skills!T14*(1+Inputs!$B$35/100)),15)/15,MIN(1,(Skills!T14*(1+Inputs!$B$35/100))/(1/Q1263)))))+((C1264=TRUE)*F1264*IF(AND(Inputs!$B$39&lt;&gt;"pvp",Inputs!$B$44&gt;0),(((R1264-1)*MIN((Skills!T15*(1+Inputs!$B$35/100)),(1/Q1264))+MIN((Skills!T15*(1+Inputs!$B$35/100)),MAX(0,Inputs!$B$44-((R1264-1)*(1/Q1264)))))/Inputs!$B$44),IF(Inputs!$B$39="pvp",MIN((Skills!T15*(1+Inputs!$B$35/100)),15)/15,MIN(1,(Skills!T15*(1+Inputs!$B$35/100))/(1/Q1264)))))+((C1265=TRUE)*F1265*IF(AND(Inputs!$B$39&lt;&gt;"pvp",Inputs!$B$44&gt;0),(((R1265-1)*MIN((Skills!T16*(1+Inputs!$B$35/100)),(1/Q1265))+MIN((Skills!T16*(1+Inputs!$B$35/100)),MAX(0,Inputs!$B$44-((R1265-1)*(1/Q1265)))))/Inputs!$B$44),IF(Inputs!$B$39="pvp",MIN((Skills!T16*(1+Inputs!$B$35/100)),15)/15,MIN(1,(Skills!T16*(1+Inputs!$B$35/100))/(1/Q1265)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1259)</f>
        <v/>
      </c>
      <c r="L1259">
        <f>K1259*(MIN(Inputs!$B$23+((C1271=TRUE)*(F1271-Calc!F22)),(Inputs!$B$24+((C1273=TRUE)*(F1273-Calc!F24))+(IF(ArtifactsInput!$M$15,CHOOSE(ArtifactsInput!$N$15+1,25,30,35,40,45,50)/100*(Inputs!$B$12-Inputs!$B$12),0))))/100+(Inputs!$B$24+((C1273=TRUE)*(F1273-Calc!F24))+(IF(ArtifactsInput!$M$15,CHOOSE(ArtifactsInput!$N$15+1,25,30,35,40,45,50)/100*(Inputs!$B$12-Inputs!$B$12),0)))/100)/2</f>
        <v/>
      </c>
      <c r="M1259">
        <f>L1259*(1+(Inputs!$B$11+0+B1283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259">
        <f>L1259*(1-MIN((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1259*(MIN((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59">
        <f>(1-Summary!$B$11)*T1259+Summary!$B$11*V1259</f>
        <v/>
      </c>
      <c r="P1259">
        <f>IF(B1288=0,0,O1259/B1288)</f>
        <v/>
      </c>
      <c r="Q1259">
        <f>IFERROR(1/IF(Inputs!$B$39="pvp",15,MAX(0.1,Skills!D10-IF(TRUE=TRUE,Inputs!$B$33,0))),0)</f>
        <v/>
      </c>
      <c r="R1259">
        <f>IF(AND(Inputs!$B$39&lt;&gt;"pvp",Inputs!$B$44&gt;0),IF(MAX(0,Inputs!$B$44-B1285)&lt;=0,0,(INT(MAX(0,Inputs!$B$44-B1285)/IF(Inputs!$B$39="pvp",15,MAX(0.1,Skills!D10-IF(TRUE=TRUE,Inputs!$B$33,0))))+1)),0)</f>
        <v/>
      </c>
      <c r="S1259">
        <f>IFERROR(O1259/N1259,0)</f>
        <v/>
      </c>
      <c r="T1259">
        <f>IF(C1259,(H1259*N1259*IF(AND(Inputs!$B$39&lt;&gt;"pvp",Inputs!$B$44&gt;0),((Skills!G10*((R1259-1)*IF(Skills!H10&gt;0,INT(Skills!I10/Skills!H10+0.000000001),1)+IF(Skills!H10&gt;0,INT(MIN(Skills!I10,MAX(0,MAX(0,Inputs!$B$44-B1285)-((R1259-1)*IF(Inputs!$B$39="pvp",15,MAX(0.1,Skills!D10-IF(TRUE=TRUE,Inputs!$B$33,0))))))/Skills!H10+0.000000001),1)))/Inputs!$B$44),G1259*Q1259))*IF(Inputs!$B$39="pvp",1,1+(Inputs!$B$21+0+Skills!P10+((C1266=TRUE)*F1266*IF(AND(Inputs!$B$39&lt;&gt;"pvp",Inputs!$B$44&gt;0),(((R1266-1)*MIN((Skills!T17*(1+Inputs!$B$35/100)),(1/Q1266))+MIN((Skills!T17*(1+Inputs!$B$35/100)),MAX(0,Inputs!$B$44-((R1266-1)*(1/Q1266)))))/Inputs!$B$44),IF(Inputs!$B$39="pvp",MIN((Skills!T17*(1+Inputs!$B$35/100)),15)/15,MIN(1,(Skills!T17*(1+Inputs!$B$35/100))/(1/Q1266)))))+((C1254=TRUE)*IF(Inputs!$B$3&gt;=126,10*MIN(1,15*Q1254),0))+((C1263=TRUE)*IF(Inputs!$B$39="pvp",20,(1-Summary!$B$11)*(20)+Summary!$B$11*(0))*IF(AND(Inputs!$B$39&lt;&gt;"pvp",Inputs!$B$44&gt;0),(((R1263-1)*MIN((Skills!T14*(1+Inputs!$B$35/100)),(1/Q1263))+MIN((Skills!T14*(1+Inputs!$B$35/100)),MAX(0,Inputs!$B$44-((R1263-1)*(1/Q1263)))))/Inputs!$B$44),IF(Inputs!$B$39="pvp",MIN((Skills!T14*(1+Inputs!$B$35/100)),15)/15,MIN(1,(Skills!T14*(1+Inputs!$B$35/100))/(1/Q1263)))))+((C1262=TRUE)*IF(Inputs!$B$3&gt;=82,IF(Inputs!$B$39="pvp",20,(1-Summary!$B$11)*(20)+Summary!$B$11*(0)),0)*IF(AND(Inputs!$B$39&lt;&gt;"pvp",Inputs!$B$44&gt;0),(((R1262-1)*MIN((Skills!T13*(1+Inputs!$B$35/100)),(1/Q1262))+MIN((Skills!T13*(1+Inputs!$B$35/100)),MAX(0,Inputs!$B$44-((R1262-1)*(1/Q1262)))))/Inputs!$B$44),IF(Inputs!$B$39="pvp",MIN((Skills!T13*(1+Inputs!$B$35/100)),15)/15,MIN(1,(Skills!T13*(1+Inputs!$B$35/100))/(1/Q1262)))))+(IF(AND(ArtifactsInput!$M$35,Inputs!$B$4&lt;&gt;"Chapter Hunt"),CHOOSE(ArtifactsInput!$N$35+1,15,18,21,24,27,30)*(1-EXP(-(0.2*B1280)*5)),0)+IF(AND(ArtifactsInput!$M$22,Inputs!$B$4&lt;&gt;"Chapter Hunt"),CHOOSE(ArtifactsInput!$N$22+1,10,12,14,16,18,20)*((0*(((0.15*B1280*5))^0/1)+1*(((0.15*B1280*5))^1/1)+2*(((0.15*B1280*5))^2/2)+3*(((0.15*B1280*5))^3/6)+4*(((0.15*B1280*5))^4/24)+5*(((0.15*B1280*5))^5/120))/((((0.15*B1280*5))^0/1)+(((0.15*B1280*5))^1/1)+(((0.15*B1280*5))^2/2)+(((0.15*B1280*5))^3/6)+(((0.15*B1280*5))^4/24)+(((0.15*B1280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1259*(1-MIN(100,(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1259*(MIN(100,(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1259*(1-MIN(100,(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1259*(MIN(100,(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59">
        <f>IF(C1259,(H1259*N1259*IF(AND(Inputs!$B$39&lt;&gt;"pvp",Inputs!$B$44&gt;0),((Skills!G10*((R1259-1)*IF(Skills!H10&gt;0,INT(Skills!I10/Skills!H10+0.000000001),1)+IF(Skills!H10&gt;0,INT(MIN(Skills!I10,MAX(0,MAX(0,Inputs!$B$44-B1285)-((R1259-1)*IF(Inputs!$B$39="pvp",15,MAX(0.1,Skills!D10-IF(TRUE=TRUE,Inputs!$B$33,0))))))/Skills!H10+0.000000001),1)))/Inputs!$B$44),G1259*Q1259))*IF(Inputs!$B$39="pvp",1,(1+(Inputs!$B$22+Skills!Q10+((C1266=TRUE)*F1266*IF(AND(Inputs!$B$39&lt;&gt;"pvp",Inputs!$B$44&gt;0),(((R1266-1)*MIN((Skills!T17*(1+Inputs!$B$35/100)),(1/Q1266))+MIN((Skills!T17*(1+Inputs!$B$35/100)),MAX(0,Inputs!$B$44-((R1266-1)*(1/Q1266)))))/Inputs!$B$44),IF(Inputs!$B$39="pvp",MIN((Skills!T17*(1+Inputs!$B$35/100)),15)/15,MIN(1,(Skills!T17*(1+Inputs!$B$35/100))/(1/Q1266)))))+((C1254=TRUE)*IF(Inputs!$B$3&gt;=126,10*MIN(1,15*Q1254),0))+((C1263=TRUE)*IF(Inputs!$B$39="pvp",20,(1-Summary!$B$11)*(20)+Summary!$B$11*(0))*IF(AND(Inputs!$B$39&lt;&gt;"pvp",Inputs!$B$44&gt;0),(((R1263-1)*MIN((Skills!T14*(1+Inputs!$B$35/100)),(1/Q1263))+MIN((Skills!T14*(1+Inputs!$B$35/100)),MAX(0,Inputs!$B$44-((R1263-1)*(1/Q1263)))))/Inputs!$B$44),IF(Inputs!$B$39="pvp",MIN((Skills!T14*(1+Inputs!$B$35/100)),15)/15,MIN(1,(Skills!T14*(1+Inputs!$B$35/100))/(1/Q1263)))))+((C1262=TRUE)*IF(Inputs!$B$3&gt;=82,IF(Inputs!$B$39="pvp",20,(1-Summary!$B$11)*(20)+Summary!$B$11*(0)),0)*IF(AND(Inputs!$B$39&lt;&gt;"pvp",Inputs!$B$44&gt;0),(((R1262-1)*MIN((Skills!T13*(1+Inputs!$B$35/100)),(1/Q1262))+MIN((Skills!T13*(1+Inputs!$B$35/100)),MAX(0,Inputs!$B$44-((R1262-1)*(1/Q1262)))))/Inputs!$B$44),IF(Inputs!$B$39="pvp",MIN((Skills!T13*(1+Inputs!$B$35/100)),15)/15,MIN(1,(Skills!T13*(1+Inputs!$B$35/100))/(1/Q1262)))))+(IF(AND(ArtifactsInput!$M$35,Inputs!$B$4&lt;&gt;"Chapter Hunt"),CHOOSE(ArtifactsInput!$N$35+1,15,18,21,24,27,30)*(1-EXP(-(0.2*B1280)*5)),0)+IF(AND(ArtifactsInput!$M$22,Inputs!$B$4&lt;&gt;"Chapter Hunt"),CHOOSE(ArtifactsInput!$N$22+1,10,12,14,16,18,20)*((0*(((0.15*B1280*5))^0/1)+1*(((0.15*B1280*5))^1/1)+2*(((0.15*B1280*5))^2/2)+3*(((0.15*B1280*5))^3/6)+4*(((0.15*B1280*5))^4/24)+5*(((0.15*B1280*5))^5/120))/((((0.15*B1280*5))^0/1)+(((0.15*B1280*5))^1/1)+(((0.15*B1280*5))^2/2)+(((0.15*B1280*5))^3/6)+(((0.15*B1280*5))^4/24)+(((0.15*B1280*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60">
      <c r="A1260">
        <f>Skills!A11</f>
        <v/>
      </c>
      <c r="B1260">
        <f>Skills!B11</f>
        <v/>
      </c>
      <c r="C1260">
        <f>Inputs!$B$3&gt;=100</f>
        <v/>
      </c>
      <c r="D1260">
        <f>IF(Skills!C11=1,60+Inputs!$B$26+Inputs!$B$30,IF(Skills!C11=2,90+Inputs!$B$27+Inputs!$B$30,IF(Skills!C11=3,120+Inputs!$B$28+Inputs!$B$30,MAX(0,(Inputs!$B$3-100)*3)+Inputs!$B$29+Inputs!$B$30)))</f>
        <v/>
      </c>
      <c r="E1260">
        <f>INDEX(FactorTable!$B$2:$Y$301, MATCH(ROUND(MIN(300,MAX(1,D1260)),0), FactorTable!$A$2:$A$301,0), Skills!M11+1)</f>
        <v/>
      </c>
      <c r="F1260">
        <f>IF(Skills!N11=TRUE,(Skills!L11/10)*(E1260/1000),Skills!L11/10)+Skills!O11</f>
        <v/>
      </c>
      <c r="G1260" t="inlineStr"/>
      <c r="H1260" t="inlineStr"/>
      <c r="I1260" t="inlineStr">
        <is>
          <t>1</t>
        </is>
      </c>
      <c r="J1260" t="inlineStr"/>
      <c r="K1260" t="inlineStr"/>
      <c r="L1260" t="inlineStr"/>
      <c r="M1260" t="inlineStr"/>
      <c r="N1260" t="inlineStr"/>
      <c r="O1260" t="inlineStr"/>
      <c r="P1260" t="inlineStr"/>
      <c r="Q1260" t="inlineStr"/>
      <c r="R1260" t="inlineStr"/>
      <c r="S1260" t="inlineStr"/>
    </row>
    <row r="1261">
      <c r="A1261">
        <f>Skills!A12</f>
        <v/>
      </c>
      <c r="B1261">
        <f>Skills!B12</f>
        <v/>
      </c>
      <c r="C1261">
        <f>Inputs!$B$3&gt;=63</f>
        <v/>
      </c>
      <c r="D1261">
        <f>IF(Skills!C12=1,60+Inputs!$B$26+Inputs!$B$30,IF(Skills!C12=2,90+Inputs!$B$27+Inputs!$B$30,IF(Skills!C12=3,120+Inputs!$B$28+Inputs!$B$30,MAX(0,(Inputs!$B$3-100)*3)+Inputs!$B$29+Inputs!$B$30)))</f>
        <v/>
      </c>
      <c r="E1261">
        <f>INDEX(FactorTable!$B$2:$Y$301, MATCH(ROUND(MIN(300,MAX(1,D1261)),0), FactorTable!$A$2:$A$301,0), Skills!M12+1)</f>
        <v/>
      </c>
      <c r="F1261">
        <f>IF(Skills!N12=TRUE,(Skills!L12/10)*(E1261/1000),Skills!L12/10)+Skills!O12</f>
        <v/>
      </c>
      <c r="G1261">
        <f>Skills!G12*IF(Skills!H12&gt;0,INT(IF(Inputs!$B$39="pvp",MIN(Skills!I12,15),Skills!I12)/Skills!H12+0.000000001),1)</f>
        <v/>
      </c>
      <c r="H1261">
        <f>1-(1-Skills!J12/100)^Skills!K12</f>
        <v/>
      </c>
      <c r="I1261" t="inlineStr">
        <is>
          <t>1</t>
        </is>
      </c>
      <c r="J1261">
        <f>((Inputs!$B$6*(1+Inputs!$B$7/100))+(((Inputs!$B$13*(1+Inputs!$B$14/100))-(Inputs!$B$13*(1+Inputs!$B$14/100)))+0.25*(Inputs!$B$15-Inputs!$B$15))*(1+Inputs!$B$7/100))*(F1261/100)</f>
        <v/>
      </c>
      <c r="K1261">
        <f>J1261*(1+(((Inputs!$B$13+IF(Inputs!$B$3&gt;=38,(10*INDEX(FactorTable!$B$2:$Y$301, MATCH(ROUND(MIN(300,MAX(1,Inputs!$B$3)),0), FactorTable!$A$2:$A$301,0), 23)/1000)/100*(Inputs!$B$8*(1+Inputs!$B$9/100)),0))*(1+Inputs!$B$14/100))*0.01+Inputs!$B$15*0.0025)/100)*(1+Inputs!$B$16/100)*(1+Inputs!$B$17/100)*(5000/(6000+Inputs!$B$43*(1-(Inputs!$B$20+0)/100)))*(1+(Inputs!$B$25+((C1274=TRUE)*(F1274-Calc!F25))+((C1275=TRUE)*(F1275-Calc!F26))+B1284)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1260=TRUE,F1260,0)/100)*(1+(IF(Skills!A12="DARK_IMPALE",Inputs!$B$18+0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gt;=100),MIN(100,((Inputs!$B$10+0+B1278+(ArtifactsInput!$M$24-ArtifactsInput!$M$24)*CHOOSE(ArtifactsInput!$N$24+1,10,12,14,16,18,20)+IF(ArtifactsInput!$M$10,CHOOSE(ArtifactsInput!$N$10+1,15,18,21,24,27,30)*(IF(Inputs!$B$39="pvp",MIN(15,15)/15,IF(AND(Inputs!$B$39&lt;&gt;"pvp",Inputs!$B$44&gt;0),MIN(15,Inputs!$B$44)/(Inputs!$B$44),0))),0)))-100),0))*CHOOSE(ArtifactsInput!$N$42+1,0.6,0.72,0.84,0.96,1.08,1.2))),Inputs!$B$19+((C1272=TRUE)*(F1272-Calc!F23))+(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gt;=100),CHOOSE(ArtifactsInput!$N$42+1,40,48,56,64,72,80),0))))/100)*((1+(((C1262=TRUE)*F1262*IF(AND(Inputs!$B$39&lt;&gt;"pvp",Inputs!$B$44&gt;0),(((R1262-1)*MIN((Skills!T13*(1+Inputs!$B$35/100)),(1/Q1262))+MIN((Skills!T13*(1+Inputs!$B$35/100)),MAX(0,Inputs!$B$44-((R1262-1)*(1/Q1262)))))/Inputs!$B$44),IF(Inputs!$B$39="pvp",MIN((Skills!T13*(1+Inputs!$B$35/100)),15)/15,MIN(1,(Skills!T13*(1+Inputs!$B$35/100))/(1/Q1262)))))+((C1263=TRUE)*F1263*IF(AND(Inputs!$B$39&lt;&gt;"pvp",Inputs!$B$44&gt;0),(((R1263-1)*MIN((Skills!T14*(1+Inputs!$B$35/100)),(1/Q1263))+MIN((Skills!T14*(1+Inputs!$B$35/100)),MAX(0,Inputs!$B$44-((R1263-1)*(1/Q1263)))))/Inputs!$B$44),IF(Inputs!$B$39="pvp",MIN((Skills!T14*(1+Inputs!$B$35/100)),15)/15,MIN(1,(Skills!T14*(1+Inputs!$B$35/100))/(1/Q1263)))))+((C1264=TRUE)*F1264*IF(AND(Inputs!$B$39&lt;&gt;"pvp",Inputs!$B$44&gt;0),(((R1264-1)*MIN((Skills!T15*(1+Inputs!$B$35/100)),(1/Q1264))+MIN((Skills!T15*(1+Inputs!$B$35/100)),MAX(0,Inputs!$B$44-((R1264-1)*(1/Q1264)))))/Inputs!$B$44),IF(Inputs!$B$39="pvp",MIN((Skills!T15*(1+Inputs!$B$35/100)),15)/15,MIN(1,(Skills!T15*(1+Inputs!$B$35/100))/(1/Q1264)))))+((C1265=TRUE)*F1265*IF(AND(Inputs!$B$39&lt;&gt;"pvp",Inputs!$B$44&gt;0),(((R1265-1)*MIN((Skills!T16*(1+Inputs!$B$35/100)),(1/Q1265))+MIN((Skills!T16*(1+Inputs!$B$35/100)),MAX(0,Inputs!$B$44-((R1265-1)*(1/Q1265)))))/Inputs!$B$44),IF(Inputs!$B$39="pvp",MIN((Skills!T16*(1+Inputs!$B$35/100)),15)/15,MIN(1,(Skills!T16*(1+Inputs!$B$35/100))/(1/Q1265)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1261)</f>
        <v/>
      </c>
      <c r="L1261">
        <f>K1261*(MIN(Inputs!$B$23+((C1271=TRUE)*(F1271-Calc!F22)),(Inputs!$B$24+((C1273=TRUE)*(F1273-Calc!F24))+(IF(ArtifactsInput!$M$15,CHOOSE(ArtifactsInput!$N$15+1,25,30,35,40,45,50)/100*(Inputs!$B$12-Inputs!$B$12),0))))/100+(Inputs!$B$24+((C1273=TRUE)*(F1273-Calc!F24))+(IF(ArtifactsInput!$M$15,CHOOSE(ArtifactsInput!$N$15+1,25,30,35,40,45,50)/100*(Inputs!$B$12-Inputs!$B$12),0)))/100)/2</f>
        <v/>
      </c>
      <c r="M1261">
        <f>L1261*(1+(Inputs!$B$11+0+B1283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261">
        <f>L1261*(1-MIN((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1261*(MIN((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61">
        <f>(1-Summary!$B$11)*T1261+Summary!$B$11*V1261</f>
        <v/>
      </c>
      <c r="P1261">
        <f>IF(B1288=0,0,O1261/B1288)</f>
        <v/>
      </c>
      <c r="Q1261">
        <f>IFERROR(1/IF(Inputs!$B$39="pvp",15,MAX(0.1,Skills!D12-IF(TRUE=TRUE,Inputs!$B$33,0))),0)</f>
        <v/>
      </c>
      <c r="R1261">
        <f>IF(AND(Inputs!$B$39&lt;&gt;"pvp",Inputs!$B$44&gt;0),IF(MAX(0,Inputs!$B$44-B1285)&lt;=0,0,(INT(MAX(0,Inputs!$B$44-B1285)/IF(Inputs!$B$39="pvp",15,MAX(0.1,Skills!D12-IF(TRUE=TRUE,Inputs!$B$33,0))))+1)),0)</f>
        <v/>
      </c>
      <c r="S1261">
        <f>IFERROR(O1261/N1261,0)</f>
        <v/>
      </c>
      <c r="T1261">
        <f>IF(C1261,(H1261*N1261*IF(AND(Inputs!$B$39&lt;&gt;"pvp",Inputs!$B$44&gt;0),((Skills!G12*((R1261-1)*IF(Skills!H12&gt;0,INT(Skills!I12/Skills!H12+0.000000001),1)+IF(Skills!H12&gt;0,INT(MIN(Skills!I12,MAX(0,MAX(0,Inputs!$B$44-B1285)-((R1261-1)*IF(Inputs!$B$39="pvp",15,MAX(0.1,Skills!D12-IF(TRUE=TRUE,Inputs!$B$33,0))))))/Skills!H12+0.000000001),1)))/Inputs!$B$44),G1261*Q1261))*IF(Inputs!$B$39="pvp",1,1+(Inputs!$B$21+0+Skills!P12+((C1266=TRUE)*F1266*IF(AND(Inputs!$B$39&lt;&gt;"pvp",Inputs!$B$44&gt;0),(((R1266-1)*MIN((Skills!T17*(1+Inputs!$B$35/100)),(1/Q1266))+MIN((Skills!T17*(1+Inputs!$B$35/100)),MAX(0,Inputs!$B$44-((R1266-1)*(1/Q1266)))))/Inputs!$B$44),IF(Inputs!$B$39="pvp",MIN((Skills!T17*(1+Inputs!$B$35/100)),15)/15,MIN(1,(Skills!T17*(1+Inputs!$B$35/100))/(1/Q1266)))))+((C1254=TRUE)*IF(Inputs!$B$3&gt;=126,10*MIN(1,15*Q1254),0))+((C1263=TRUE)*IF(Inputs!$B$39="pvp",20,(1-Summary!$B$11)*(20)+Summary!$B$11*(0))*IF(AND(Inputs!$B$39&lt;&gt;"pvp",Inputs!$B$44&gt;0),(((R1263-1)*MIN((Skills!T14*(1+Inputs!$B$35/100)),(1/Q1263))+MIN((Skills!T14*(1+Inputs!$B$35/100)),MAX(0,Inputs!$B$44-((R1263-1)*(1/Q1263)))))/Inputs!$B$44),IF(Inputs!$B$39="pvp",MIN((Skills!T14*(1+Inputs!$B$35/100)),15)/15,MIN(1,(Skills!T14*(1+Inputs!$B$35/100))/(1/Q1263)))))+((C1262=TRUE)*IF(Inputs!$B$3&gt;=82,IF(Inputs!$B$39="pvp",20,(1-Summary!$B$11)*(20)+Summary!$B$11*(0)),0)*IF(AND(Inputs!$B$39&lt;&gt;"pvp",Inputs!$B$44&gt;0),(((R1262-1)*MIN((Skills!T13*(1+Inputs!$B$35/100)),(1/Q1262))+MIN((Skills!T13*(1+Inputs!$B$35/100)),MAX(0,Inputs!$B$44-((R1262-1)*(1/Q1262)))))/Inputs!$B$44),IF(Inputs!$B$39="pvp",MIN((Skills!T13*(1+Inputs!$B$35/100)),15)/15,MIN(1,(Skills!T13*(1+Inputs!$B$35/100))/(1/Q1262)))))+(IF(AND(ArtifactsInput!$M$35,Inputs!$B$4&lt;&gt;"Chapter Hunt"),CHOOSE(ArtifactsInput!$N$35+1,15,18,21,24,27,30)*(1-EXP(-(0.2*B1280)*5)),0)+IF(AND(ArtifactsInput!$M$22,Inputs!$B$4&lt;&gt;"Chapter Hunt"),CHOOSE(ArtifactsInput!$N$22+1,10,12,14,16,18,20)*((0*(((0.15*B1280*5))^0/1)+1*(((0.15*B1280*5))^1/1)+2*(((0.15*B1280*5))^2/2)+3*(((0.15*B1280*5))^3/6)+4*(((0.15*B1280*5))^4/24)+5*(((0.15*B1280*5))^5/120))/((((0.15*B1280*5))^0/1)+(((0.15*B1280*5))^1/1)+(((0.15*B1280*5))^2/2)+(((0.15*B1280*5))^3/6)+(((0.15*B1280*5))^4/24)+(((0.15*B1280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1261*(1-MIN(100,(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1261*(MIN(100,(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1261*(1-MIN(100,(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1261*(MIN(100,(Inputs!$B$10+0+B1278+(ArtifactsInput!$M$24-ArtifactsInput!$M$24)*CHOOSE(ArtifactsInput!$N$24+1,10,12,14,16,18,20)+(IF(AND(Inputs!$B$39&lt;&gt;"pvp",Inputs!$B$44=0),1,IF(IF(Inputs!$B$39="pvp",15,Inputs!$B$44)-(B1285)&lt;=0,1,MAX(0,IF(Inputs!$B$39="pvp",15,Inputs!$B$44)-MAX(5,B1285))/(IF(Inputs!$B$39="pvp",15,Inputs!$B$44)-(B1285))))*IF(AND(ArtifactsInput!$M$42,((Inputs!$B$10+0+B1278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61">
        <f>IF(C1261,(H1261*N1261*IF(AND(Inputs!$B$39&lt;&gt;"pvp",Inputs!$B$44&gt;0),((Skills!G12*((R1261-1)*IF(Skills!H12&gt;0,INT(Skills!I12/Skills!H12+0.000000001),1)+IF(Skills!H12&gt;0,INT(MIN(Skills!I12,MAX(0,MAX(0,Inputs!$B$44-B1285)-((R1261-1)*IF(Inputs!$B$39="pvp",15,MAX(0.1,Skills!D12-IF(TRUE=TRUE,Inputs!$B$33,0))))))/Skills!H12+0.000000001),1)))/Inputs!$B$44),G1261*Q1261))*IF(Inputs!$B$39="pvp",1,(1+(Inputs!$B$22+Skills!Q12+((C1266=TRUE)*F1266*IF(AND(Inputs!$B$39&lt;&gt;"pvp",Inputs!$B$44&gt;0),(((R1266-1)*MIN((Skills!T17*(1+Inputs!$B$35/100)),(1/Q1266))+MIN((Skills!T17*(1+Inputs!$B$35/100)),MAX(0,Inputs!$B$44-((R1266-1)*(1/Q1266)))))/Inputs!$B$44),IF(Inputs!$B$39="pvp",MIN((Skills!T17*(1+Inputs!$B$35/100)),15)/15,MIN(1,(Skills!T17*(1+Inputs!$B$35/100))/(1/Q1266)))))+((C1254=TRUE)*IF(Inputs!$B$3&gt;=126,10*MIN(1,15*Q1254),0))+((C1263=TRUE)*IF(Inputs!$B$39="pvp",20,(1-Summary!$B$11)*(20)+Summary!$B$11*(0))*IF(AND(Inputs!$B$39&lt;&gt;"pvp",Inputs!$B$44&gt;0),(((R1263-1)*MIN((Skills!T14*(1+Inputs!$B$35/100)),(1/Q1263))+MIN((Skills!T14*(1+Inputs!$B$35/100)),MAX(0,Inputs!$B$44-((R1263-1)*(1/Q1263)))))/Inputs!$B$44),IF(Inputs!$B$39="pvp",MIN((Skills!T14*(1+Inputs!$B$35/100)),15)/15,MIN(1,(Skills!T14*(1+Inputs!$B$35/100))/(1/Q1263)))))+((C1262=TRUE)*IF(Inputs!$B$3&gt;=82,IF(Inputs!$B$39="pvp",20,(1-Summary!$B$11)*(20)+Summary!$B$11*(0)),0)*IF(AND(Inputs!$B$39&lt;&gt;"pvp",Inputs!$B$44&gt;0),(((R1262-1)*MIN((Skills!T13*(1+Inputs!$B$35/100)),(1/Q1262))+MIN((Skills!T13*(1+Inputs!$B$35/100)),MAX(0,Inputs!$B$44-((R1262-1)*(1/Q1262)))))/Inputs!$B$44),IF(Inputs!$B$39="pvp",MIN((Skills!T13*(1+Inputs!$B$35/100)),15)/15,MIN(1,(Skills!T13*(1+Inputs!$B$35/100))/(1/Q1262)))))+(IF(AND(ArtifactsInput!$M$35,Inputs!$B$4&lt;&gt;"Chapter Hunt"),CHOOSE(ArtifactsInput!$N$35+1,15,18,21,24,27,30)*(1-EXP(-(0.2*B1280)*5)),0)+IF(AND(ArtifactsInput!$M$22,Inputs!$B$4&lt;&gt;"Chapter Hunt"),CHOOSE(ArtifactsInput!$N$22+1,10,12,14,16,18,20)*((0*(((0.15*B1280*5))^0/1)+1*(((0.15*B1280*5))^1/1)+2*(((0.15*B1280*5))^2/2)+3*(((0.15*B1280*5))^3/6)+4*(((0.15*B1280*5))^4/24)+5*(((0.15*B1280*5))^5/120))/((((0.15*B1280*5))^0/1)+(((0.15*B1280*5))^1/1)+(((0.15*B1280*5))^2/2)+(((0.15*B1280*5))^3/6)+(((0.15*B1280*5))^4/24)+(((0.15*B1280*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62">
      <c r="A1262">
        <f>Skills!A13</f>
        <v/>
      </c>
      <c r="B1262">
        <f>Skills!B13</f>
        <v/>
      </c>
      <c r="C1262">
        <f>Inputs!$B$3&gt;=69</f>
        <v/>
      </c>
      <c r="D1262">
        <f>IF(Skills!C13=1,60+Inputs!$B$26+Inputs!$B$30,IF(Skills!C13=2,90+Inputs!$B$27+Inputs!$B$30,IF(Skills!C13=3,120+Inputs!$B$28+Inputs!$B$30,MAX(0,(Inputs!$B$3-100)*3)+Inputs!$B$29+Inputs!$B$30)))</f>
        <v/>
      </c>
      <c r="E1262">
        <f>INDEX(FactorTable!$B$2:$Y$301, MATCH(ROUND(MIN(300,MAX(1,D1262)),0), FactorTable!$A$2:$A$301,0), Skills!M13+1)</f>
        <v/>
      </c>
      <c r="F1262">
        <f>IF(Skills!N13=TRUE,(Skills!L13/10)*(E1262/1000),Skills!L13/10)+Skills!O13</f>
        <v/>
      </c>
      <c r="G1262">
        <f>Skills!G13*IF(Skills!H13&gt;0,INT(IF(Inputs!$B$39="pvp",MIN(Skills!I13,15),Skills!I13)/Skills!H13+0.000000001),1)</f>
        <v/>
      </c>
      <c r="H1262">
        <f>1-(1-Skills!J13/100)^Skills!K13</f>
        <v/>
      </c>
      <c r="I1262" t="inlineStr">
        <is>
          <t>1</t>
        </is>
      </c>
      <c r="J1262" t="inlineStr"/>
      <c r="K1262" t="inlineStr"/>
      <c r="L1262" t="inlineStr"/>
      <c r="M1262" t="inlineStr"/>
      <c r="N1262" t="inlineStr"/>
      <c r="O1262">
        <f>(1-Summary!$B$11)*T1262+Summary!$B$11*V1262</f>
        <v/>
      </c>
      <c r="P1262">
        <f>IF(B1288=0,0,O1262/B1288)</f>
        <v/>
      </c>
      <c r="Q1262">
        <f>IFERROR(1/IF(Inputs!$B$39="pvp",15,MAX(0.1,Skills!D13-IF(TRUE=TRUE,Inputs!$B$33,0))),0)</f>
        <v/>
      </c>
      <c r="R1262">
        <f>IF(AND(Inputs!$B$39&lt;&gt;"pvp",Inputs!$B$44&gt;0),IF(Inputs!$B$44&lt;=0,0,(INT(Inputs!$B$44/IF(Inputs!$B$39="pvp",15,MAX(0.1,Skills!D13-IF(TRUE=TRUE,Inputs!$B$33,0))))+1)),0)</f>
        <v/>
      </c>
      <c r="S1262">
        <f>IFERROR(O1262/N1262,0)</f>
        <v/>
      </c>
      <c r="T1262" t="n">
        <v>0</v>
      </c>
      <c r="V1262" t="n">
        <v>0</v>
      </c>
    </row>
    <row r="1263">
      <c r="A1263">
        <f>Skills!A14</f>
        <v/>
      </c>
      <c r="B1263">
        <f>Skills!B14</f>
        <v/>
      </c>
      <c r="C1263">
        <f>Inputs!$B$3&gt;=115</f>
        <v/>
      </c>
      <c r="D1263">
        <f>IF(Skills!C14=1,60+Inputs!$B$26+Inputs!$B$30,IF(Skills!C14=2,90+Inputs!$B$27+Inputs!$B$30,IF(Skills!C14=3,120+Inputs!$B$28+Inputs!$B$30,MAX(0,(Inputs!$B$3-100)*3)+Inputs!$B$29+Inputs!$B$30)))</f>
        <v/>
      </c>
      <c r="E1263">
        <f>INDEX(FactorTable!$B$2:$Y$301, MATCH(ROUND(MIN(300,MAX(1,D1263)),0), FactorTable!$A$2:$A$301,0), Skills!M14+1)</f>
        <v/>
      </c>
      <c r="F1263">
        <f>IF(Skills!N14=TRUE,(Skills!L14/10)*(E1263/1000),Skills!L14/10)+Skills!O14</f>
        <v/>
      </c>
      <c r="G1263">
        <f>Skills!G14*IF(Skills!H14&gt;0,INT(IF(Inputs!$B$39="pvp",MIN(Skills!I14,15),Skills!I14)/Skills!H14+0.000000001),1)</f>
        <v/>
      </c>
      <c r="H1263">
        <f>1-(1-Skills!J14/100)^Skills!K14</f>
        <v/>
      </c>
      <c r="I1263" t="inlineStr">
        <is>
          <t>1</t>
        </is>
      </c>
      <c r="J1263" t="inlineStr"/>
      <c r="K1263" t="inlineStr"/>
      <c r="L1263" t="inlineStr"/>
      <c r="M1263" t="inlineStr"/>
      <c r="N1263" t="inlineStr"/>
      <c r="O1263">
        <f>(1-Summary!$B$11)*T1263+Summary!$B$11*V1263</f>
        <v/>
      </c>
      <c r="P1263">
        <f>IF(B1288=0,0,O1263/B1288)</f>
        <v/>
      </c>
      <c r="Q1263">
        <f>IFERROR(1/IF(Inputs!$B$39="pvp",15,MAX(0.1,Skills!D14-IF(TRUE=TRUE,Inputs!$B$33,0))),0)</f>
        <v/>
      </c>
      <c r="R1263">
        <f>IF(AND(Inputs!$B$39&lt;&gt;"pvp",Inputs!$B$44&gt;0),IF(Inputs!$B$44&lt;=0,0,(INT(Inputs!$B$44/IF(Inputs!$B$39="pvp",15,MAX(0.1,Skills!D14-IF(TRUE=TRUE,Inputs!$B$33,0))))+1)),0)</f>
        <v/>
      </c>
      <c r="S1263">
        <f>IFERROR(O1263/N1263,0)</f>
        <v/>
      </c>
      <c r="T1263" t="n">
        <v>0</v>
      </c>
      <c r="V1263" t="n">
        <v>0</v>
      </c>
    </row>
    <row r="1264">
      <c r="A1264">
        <f>Skills!A15</f>
        <v/>
      </c>
      <c r="B1264">
        <f>Skills!B15</f>
        <v/>
      </c>
      <c r="C1264">
        <f>Inputs!$B$3&gt;=66</f>
        <v/>
      </c>
      <c r="D1264">
        <f>IF(Skills!C15=1,60+Inputs!$B$26+Inputs!$B$30,IF(Skills!C15=2,90+Inputs!$B$27+Inputs!$B$30,IF(Skills!C15=3,120+Inputs!$B$28+Inputs!$B$30,MAX(0,(Inputs!$B$3-100)*3)+Inputs!$B$29+Inputs!$B$30)))</f>
        <v/>
      </c>
      <c r="E1264">
        <f>INDEX(FactorTable!$B$2:$Y$301, MATCH(ROUND(MIN(300,MAX(1,D1264)),0), FactorTable!$A$2:$A$301,0), Skills!M15+1)</f>
        <v/>
      </c>
      <c r="F1264">
        <f>IF(Skills!N15=TRUE,(Skills!L15/10)*(E1264/1000),Skills!L15/10)+Skills!O15</f>
        <v/>
      </c>
      <c r="G1264">
        <f>Skills!G15*IF(Skills!H15&gt;0,INT(IF(Inputs!$B$39="pvp",MIN(Skills!I15,15),Skills!I15)/Skills!H15+0.000000001),1)</f>
        <v/>
      </c>
      <c r="H1264">
        <f>1-(1-Skills!J15/100)^Skills!K15</f>
        <v/>
      </c>
      <c r="I1264" t="inlineStr">
        <is>
          <t>1</t>
        </is>
      </c>
      <c r="J1264" t="inlineStr"/>
      <c r="K1264" t="inlineStr"/>
      <c r="L1264" t="inlineStr"/>
      <c r="M1264" t="inlineStr"/>
      <c r="N1264" t="inlineStr"/>
      <c r="O1264">
        <f>(1-Summary!$B$11)*T1264+Summary!$B$11*V1264</f>
        <v/>
      </c>
      <c r="P1264">
        <f>IF(B1288=0,0,O1264/B1288)</f>
        <v/>
      </c>
      <c r="Q1264">
        <f>IFERROR(1/IF(Inputs!$B$39="pvp",15,MAX(0.1,Skills!D15-IF(TRUE=TRUE,Inputs!$B$33,0))),0)</f>
        <v/>
      </c>
      <c r="R1264">
        <f>IF(AND(Inputs!$B$39&lt;&gt;"pvp",Inputs!$B$44&gt;0),IF(Inputs!$B$44&lt;=0,0,(INT(Inputs!$B$44/IF(Inputs!$B$39="pvp",15,MAX(0.1,Skills!D15-IF(TRUE=TRUE,Inputs!$B$33,0))))+1)),0)</f>
        <v/>
      </c>
      <c r="S1264">
        <f>IFERROR(O1264/N1264,0)</f>
        <v/>
      </c>
      <c r="T1264" t="n">
        <v>0</v>
      </c>
      <c r="V1264" t="n">
        <v>0</v>
      </c>
    </row>
    <row r="1265">
      <c r="A1265">
        <f>Skills!A16</f>
        <v/>
      </c>
      <c r="B1265">
        <f>Skills!B16</f>
        <v/>
      </c>
      <c r="C1265">
        <f>Inputs!$B$3&gt;=45</f>
        <v/>
      </c>
      <c r="D1265">
        <f>IF(Skills!C16=1,60+Inputs!$B$26+Inputs!$B$30,IF(Skills!C16=2,90+Inputs!$B$27+Inputs!$B$30,IF(Skills!C16=3,120+Inputs!$B$28+Inputs!$B$30,MAX(0,(Inputs!$B$3-100)*3)+Inputs!$B$29+Inputs!$B$30)))</f>
        <v/>
      </c>
      <c r="E1265">
        <f>INDEX(FactorTable!$B$2:$Y$301, MATCH(ROUND(MIN(300,MAX(1,D1265)),0), FactorTable!$A$2:$A$301,0), Skills!M16+1)</f>
        <v/>
      </c>
      <c r="F1265">
        <f>IF(Skills!N16=TRUE,(Skills!L16/10)*(E1265/1000),Skills!L16/10)+Skills!O16</f>
        <v/>
      </c>
      <c r="G1265">
        <f>Skills!G16*IF(Skills!H16&gt;0,INT(IF(Inputs!$B$39="pvp",MIN(Skills!I16,15),Skills!I16)/Skills!H16+0.000000001),1)</f>
        <v/>
      </c>
      <c r="H1265">
        <f>1-(1-Skills!J16/100)^Skills!K16</f>
        <v/>
      </c>
      <c r="I1265" t="inlineStr">
        <is>
          <t>1</t>
        </is>
      </c>
      <c r="J1265" t="inlineStr"/>
      <c r="K1265" t="inlineStr"/>
      <c r="L1265" t="inlineStr"/>
      <c r="M1265" t="inlineStr"/>
      <c r="N1265" t="inlineStr"/>
      <c r="O1265">
        <f>(1-Summary!$B$11)*T1265+Summary!$B$11*V1265</f>
        <v/>
      </c>
      <c r="P1265">
        <f>IF(B1288=0,0,O1265/B1288)</f>
        <v/>
      </c>
      <c r="Q1265">
        <f>IFERROR(1/IF(Inputs!$B$39="pvp",15,MAX(0.1,Skills!D16-IF(TRUE=TRUE,Inputs!$B$33,0))),0)</f>
        <v/>
      </c>
      <c r="R1265">
        <f>IF(AND(Inputs!$B$39&lt;&gt;"pvp",Inputs!$B$44&gt;0),IF(Inputs!$B$44&lt;=0,0,(INT(Inputs!$B$44/IF(Inputs!$B$39="pvp",15,MAX(0.1,Skills!D16-IF(TRUE=TRUE,Inputs!$B$33,0))))+1)),0)</f>
        <v/>
      </c>
      <c r="S1265">
        <f>IFERROR(O1265/N1265,0)</f>
        <v/>
      </c>
      <c r="T1265" t="n">
        <v>0</v>
      </c>
      <c r="V1265" t="n">
        <v>0</v>
      </c>
    </row>
    <row r="1266">
      <c r="A1266">
        <f>Skills!A17</f>
        <v/>
      </c>
      <c r="B1266">
        <f>Skills!B17</f>
        <v/>
      </c>
      <c r="C1266">
        <f>Inputs!$B$3&gt;=35</f>
        <v/>
      </c>
      <c r="D1266">
        <f>IF(Skills!C17=1,60+Inputs!$B$26+Inputs!$B$30,IF(Skills!C17=2,90+Inputs!$B$27+Inputs!$B$30,IF(Skills!C17=3,120+Inputs!$B$28+Inputs!$B$30,MAX(0,(Inputs!$B$3-100)*3)+Inputs!$B$29+Inputs!$B$30)))</f>
        <v/>
      </c>
      <c r="E1266">
        <f>INDEX(FactorTable!$B$2:$Y$301, MATCH(ROUND(MIN(300,MAX(1,D1266)),0), FactorTable!$A$2:$A$301,0), Skills!M17+1)</f>
        <v/>
      </c>
      <c r="F1266">
        <f>IF(Skills!N17=TRUE,(Skills!L17/10)*(E1266/1000),Skills!L17/10)+Skills!O17</f>
        <v/>
      </c>
      <c r="G1266">
        <f>Skills!G17*IF(Skills!H17&gt;0,INT(IF(Inputs!$B$39="pvp",MIN(Skills!I17,15),Skills!I17)/Skills!H17+0.000000001),1)</f>
        <v/>
      </c>
      <c r="H1266">
        <f>1-(1-Skills!J17/100)^Skills!K17</f>
        <v/>
      </c>
      <c r="I1266" t="inlineStr">
        <is>
          <t>1</t>
        </is>
      </c>
      <c r="J1266" t="inlineStr"/>
      <c r="K1266" t="inlineStr"/>
      <c r="L1266" t="inlineStr"/>
      <c r="M1266" t="inlineStr"/>
      <c r="N1266" t="inlineStr"/>
      <c r="O1266">
        <f>(1-Summary!$B$11)*T1266+Summary!$B$11*V1266</f>
        <v/>
      </c>
      <c r="P1266">
        <f>IF(B1288=0,0,O1266/B1288)</f>
        <v/>
      </c>
      <c r="Q1266">
        <f>IFERROR(1/IF(Inputs!$B$39="pvp",15,MAX(0.1,Skills!D17-IF(TRUE=TRUE,Inputs!$B$33,0))),0)</f>
        <v/>
      </c>
      <c r="R1266">
        <f>IF(AND(Inputs!$B$39&lt;&gt;"pvp",Inputs!$B$44&gt;0),IF(Inputs!$B$44&lt;=0,0,(INT(Inputs!$B$44/IF(Inputs!$B$39="pvp",15,MAX(0.1,Skills!D17-IF(TRUE=TRUE,Inputs!$B$33,0))))+1)),0)</f>
        <v/>
      </c>
      <c r="S1266">
        <f>IFERROR(O1266/N1266,0)</f>
        <v/>
      </c>
      <c r="T1266" t="n">
        <v>0</v>
      </c>
      <c r="V1266" t="n">
        <v>0</v>
      </c>
    </row>
    <row r="1267">
      <c r="A1267">
        <f>Skills!A18</f>
        <v/>
      </c>
      <c r="B1267">
        <f>Skills!B18</f>
        <v/>
      </c>
      <c r="C1267">
        <f>Inputs!$B$3&gt;=72</f>
        <v/>
      </c>
      <c r="D1267">
        <f>IF(Skills!C18=1,60+Inputs!$B$26+Inputs!$B$30,IF(Skills!C18=2,90+Inputs!$B$27+Inputs!$B$30,IF(Skills!C18=3,120+Inputs!$B$28+Inputs!$B$30,MAX(0,(Inputs!$B$3-100)*3)+Inputs!$B$29+Inputs!$B$30)))</f>
        <v/>
      </c>
      <c r="E1267">
        <f>INDEX(FactorTable!$B$2:$Y$301, MATCH(ROUND(MIN(300,MAX(1,D1267)),0), FactorTable!$A$2:$A$301,0), Skills!M18+1)</f>
        <v/>
      </c>
      <c r="F1267">
        <f>IF(Skills!N18=TRUE,(Skills!L18/10)*(E1267/1000),Skills!L18/10)+Skills!O18</f>
        <v/>
      </c>
      <c r="G1267">
        <f>Skills!G18*IF(Skills!H18&gt;0,INT(IF(Inputs!$B$39="pvp",MIN(Skills!I18,15),Skills!I18)/Skills!H18+0.000000001),1)</f>
        <v/>
      </c>
      <c r="H1267">
        <f>1-(1-Skills!J18/100)^Skills!K18</f>
        <v/>
      </c>
      <c r="I1267" t="inlineStr">
        <is>
          <t>1</t>
        </is>
      </c>
      <c r="J1267" t="inlineStr"/>
      <c r="K1267" t="inlineStr"/>
      <c r="L1267" t="inlineStr"/>
      <c r="M1267" t="inlineStr"/>
      <c r="N1267" t="inlineStr"/>
      <c r="O1267">
        <f>(1-Summary!$B$11)*T1267+Summary!$B$11*V1267</f>
        <v/>
      </c>
      <c r="P1267">
        <f>IF(B1288=0,0,O1267/B1288)</f>
        <v/>
      </c>
      <c r="Q1267">
        <f>IFERROR(1/IF(Inputs!$B$39="pvp",15,MAX(0.1,Skills!D18-IF(TRUE=TRUE,Inputs!$B$33,0))),0)</f>
        <v/>
      </c>
      <c r="R1267">
        <f>IF(AND(Inputs!$B$39&lt;&gt;"pvp",Inputs!$B$44&gt;0),IF(Inputs!$B$44&lt;=0,0,(INT(Inputs!$B$44/IF(Inputs!$B$39="pvp",15,MAX(0.1,Skills!D18-IF(TRUE=TRUE,Inputs!$B$33,0))))+1)),0)</f>
        <v/>
      </c>
      <c r="S1267">
        <f>IFERROR(O1267/N1267,0)</f>
        <v/>
      </c>
      <c r="T1267" t="n">
        <v>0</v>
      </c>
      <c r="V1267" t="n">
        <v>0</v>
      </c>
    </row>
    <row r="1268">
      <c r="A1268">
        <f>Skills!A19</f>
        <v/>
      </c>
      <c r="B1268">
        <f>Skills!B19</f>
        <v/>
      </c>
      <c r="C1268">
        <f>Inputs!$B$3&gt;=72</f>
        <v/>
      </c>
      <c r="D1268">
        <f>IF(Skills!C19=1,60+Inputs!$B$26+Inputs!$B$30,IF(Skills!C19=2,90+Inputs!$B$27+Inputs!$B$30,IF(Skills!C19=3,120+Inputs!$B$28+Inputs!$B$30,MAX(0,(Inputs!$B$3-100)*3)+Inputs!$B$29+Inputs!$B$30)))</f>
        <v/>
      </c>
      <c r="E1268">
        <f>INDEX(FactorTable!$B$2:$Y$301, MATCH(ROUND(MIN(300,MAX(1,D1268)),0), FactorTable!$A$2:$A$301,0), Skills!M19+1)</f>
        <v/>
      </c>
      <c r="F1268">
        <f>IF(Skills!N19=TRUE,(Skills!L19/10)*(E1268/1000),Skills!L19/10)+Skills!O19</f>
        <v/>
      </c>
      <c r="G1268">
        <f>Skills!G19*IF(Skills!H19&gt;0,INT(IF(Inputs!$B$39="pvp",MIN(Skills!I19,15),Skills!I19)/Skills!H19+0.000000001),1)</f>
        <v/>
      </c>
      <c r="H1268">
        <f>1-(1-Skills!J19/100)^Skills!K19</f>
        <v/>
      </c>
      <c r="I1268" t="inlineStr">
        <is>
          <t>1</t>
        </is>
      </c>
      <c r="J1268" t="inlineStr"/>
      <c r="K1268" t="inlineStr"/>
      <c r="L1268" t="inlineStr"/>
      <c r="M1268" t="inlineStr"/>
      <c r="N1268" t="inlineStr"/>
      <c r="O1268">
        <f>(1-Summary!$B$11)*T1268+Summary!$B$11*V1268</f>
        <v/>
      </c>
      <c r="P1268">
        <f>IF(B1288=0,0,O1268/B1288)</f>
        <v/>
      </c>
      <c r="Q1268">
        <f>IFERROR(1/IF(Inputs!$B$39="pvp",15,MAX(0.1,Skills!D19-IF(TRUE=TRUE,Inputs!$B$33,0))),0)</f>
        <v/>
      </c>
      <c r="R1268">
        <f>IF(AND(Inputs!$B$39&lt;&gt;"pvp",Inputs!$B$44&gt;0),IF(Inputs!$B$44&lt;=0,0,(INT(Inputs!$B$44/IF(Inputs!$B$39="pvp",15,MAX(0.1,Skills!D19-IF(TRUE=TRUE,Inputs!$B$33,0))))+1)),0)</f>
        <v/>
      </c>
      <c r="S1268">
        <f>IFERROR(O1268/N1268,0)</f>
        <v/>
      </c>
      <c r="T1268" t="n">
        <v>0</v>
      </c>
      <c r="V1268" t="n">
        <v>0</v>
      </c>
    </row>
    <row r="1269">
      <c r="A1269">
        <f>Skills!A20</f>
        <v/>
      </c>
      <c r="B1269">
        <f>Skills!B20</f>
        <v/>
      </c>
      <c r="C1269">
        <f>TRUE</f>
        <v/>
      </c>
      <c r="D1269">
        <f>IF(Skills!C20=1,60+Inputs!$B$26+Inputs!$B$30,IF(Skills!C20=2,90+Inputs!$B$27+Inputs!$B$30,IF(Skills!C20=3,120+Inputs!$B$28+Inputs!$B$30,MAX(0,(Inputs!$B$3-100)*3)+Inputs!$B$29+Inputs!$B$30)))</f>
        <v/>
      </c>
      <c r="E1269">
        <f>INDEX(FactorTable!$B$2:$Y$301, MATCH(ROUND(MIN(300,MAX(1,D1269)),0), FactorTable!$A$2:$A$301,0), Skills!M20+1)</f>
        <v/>
      </c>
      <c r="F1269">
        <f>IF(Skills!N20=TRUE,(Skills!L20/10)*(E1269/1000),Skills!L20/10)+Skills!O20</f>
        <v/>
      </c>
      <c r="G1269">
        <f>Skills!G20*IF(Skills!H20&gt;0,INT(IF(Inputs!$B$39="pvp",MIN(Skills!I20,15),Skills!I20)/Skills!H20+0.000000001),1)</f>
        <v/>
      </c>
      <c r="H1269">
        <f>1-(1-Skills!J20/100)^Skills!K20</f>
        <v/>
      </c>
      <c r="I1269" t="inlineStr">
        <is>
          <t>1</t>
        </is>
      </c>
      <c r="J1269" t="inlineStr"/>
      <c r="K1269" t="inlineStr"/>
      <c r="L1269" t="inlineStr"/>
      <c r="M1269" t="inlineStr"/>
      <c r="N1269" t="inlineStr"/>
      <c r="O1269">
        <f>(1-Summary!$B$11)*T1269+Summary!$B$11*V1269</f>
        <v/>
      </c>
      <c r="P1269">
        <f>IF(B1288=0,0,O1269/B1288)</f>
        <v/>
      </c>
      <c r="Q1269">
        <f>IFERROR(1/IF(Inputs!$B$39="pvp",15,MAX(0.1,Skills!D20-IF(TRUE=TRUE,Inputs!$B$33,0))),0)</f>
        <v/>
      </c>
      <c r="R1269">
        <f>IF(AND(Inputs!$B$39&lt;&gt;"pvp",Inputs!$B$44&gt;0),IF(Inputs!$B$44&lt;=0,0,(INT(Inputs!$B$44/IF(Inputs!$B$39="pvp",15,MAX(0.1,Skills!D20-IF(TRUE=TRUE,Inputs!$B$33,0))))+1)),0)</f>
        <v/>
      </c>
      <c r="S1269">
        <f>IFERROR(O1269/N1269,0)</f>
        <v/>
      </c>
      <c r="T1269" t="n">
        <v>0</v>
      </c>
      <c r="V1269" t="n">
        <v>0</v>
      </c>
    </row>
    <row r="1270">
      <c r="A1270">
        <f>Skills!A21</f>
        <v/>
      </c>
      <c r="B1270">
        <f>Skills!B21</f>
        <v/>
      </c>
      <c r="C1270">
        <f>Inputs!$B$3&gt;=33</f>
        <v/>
      </c>
      <c r="D1270">
        <f>IF(Skills!C21=1,60+Inputs!$B$26+Inputs!$B$30,IF(Skills!C21=2,90+Inputs!$B$27+Inputs!$B$30,IF(Skills!C21=3,120+Inputs!$B$28+Inputs!$B$30,MAX(0,(Inputs!$B$3-100)*3)+Inputs!$B$29+Inputs!$B$30)))</f>
        <v/>
      </c>
      <c r="E1270">
        <f>INDEX(FactorTable!$B$2:$Y$301, MATCH(ROUND(MIN(300,MAX(1,D1270)),0), FactorTable!$A$2:$A$301,0), Skills!M21+1)</f>
        <v/>
      </c>
      <c r="F1270">
        <f>IF(Skills!N21=TRUE,(Skills!L21/10)*(E1270/1000),Skills!L21/10)+Skills!O21</f>
        <v/>
      </c>
      <c r="G1270">
        <f>Skills!G21*IF(Skills!H21&gt;0,INT(IF(Inputs!$B$39="pvp",MIN(Skills!I21,15),Skills!I21)/Skills!H21+0.000000001),1)</f>
        <v/>
      </c>
      <c r="H1270">
        <f>1-(1-Skills!J21/100)^Skills!K21</f>
        <v/>
      </c>
      <c r="I1270" t="inlineStr">
        <is>
          <t>1</t>
        </is>
      </c>
      <c r="J1270" t="inlineStr"/>
      <c r="K1270" t="inlineStr"/>
      <c r="L1270" t="inlineStr"/>
      <c r="M1270" t="inlineStr"/>
      <c r="N1270" t="inlineStr"/>
      <c r="O1270">
        <f>(1-Summary!$B$11)*T1270+Summary!$B$11*V1270</f>
        <v/>
      </c>
      <c r="P1270">
        <f>IF(B1288=0,0,O1270/B1288)</f>
        <v/>
      </c>
      <c r="Q1270" t="n">
        <v>0</v>
      </c>
      <c r="R1270" t="n">
        <v>0</v>
      </c>
      <c r="S1270">
        <f>IFERROR(O1270/N1270,0)</f>
        <v/>
      </c>
      <c r="T1270" t="n">
        <v>0</v>
      </c>
      <c r="V1270" t="n">
        <v>0</v>
      </c>
    </row>
    <row r="1271">
      <c r="A1271">
        <f>Skills!A22</f>
        <v/>
      </c>
      <c r="B1271">
        <f>Skills!B22</f>
        <v/>
      </c>
      <c r="C1271">
        <f>Inputs!$B$3&gt;=43</f>
        <v/>
      </c>
      <c r="D1271">
        <f>IF(Skills!C22=1,60+Inputs!$B$26+Inputs!$B$30,IF(Skills!C22=2,90+Inputs!$B$27+Inputs!$B$30,IF(Skills!C22=3,120+Inputs!$B$28+Inputs!$B$30,MAX(0,(Inputs!$B$3-100)*3)+Inputs!$B$29+Inputs!$B$30)))</f>
        <v/>
      </c>
      <c r="E1271">
        <f>INDEX(FactorTable!$B$2:$Y$301, MATCH(ROUND(MIN(300,MAX(1,D1271)),0), FactorTable!$A$2:$A$301,0), Skills!M22+1)</f>
        <v/>
      </c>
      <c r="F1271">
        <f>IF(Skills!N22=TRUE,(Skills!L22/10)*(E1271/1000),Skills!L22/10)+Skills!O22</f>
        <v/>
      </c>
      <c r="G1271">
        <f>Skills!G22*IF(Skills!H22&gt;0,INT(IF(Inputs!$B$39="pvp",MIN(Skills!I22,15),Skills!I22)/Skills!H22+0.000000001),1)</f>
        <v/>
      </c>
      <c r="H1271">
        <f>1-(1-Skills!J22/100)^Skills!K22</f>
        <v/>
      </c>
      <c r="I1271" t="inlineStr">
        <is>
          <t>1</t>
        </is>
      </c>
      <c r="J1271" t="inlineStr"/>
      <c r="K1271" t="inlineStr"/>
      <c r="L1271" t="inlineStr"/>
      <c r="M1271" t="inlineStr"/>
      <c r="N1271" t="inlineStr"/>
      <c r="O1271">
        <f>(1-Summary!$B$11)*T1271+Summary!$B$11*V1271</f>
        <v/>
      </c>
      <c r="P1271">
        <f>IF(B1288=0,0,O1271/B1288)</f>
        <v/>
      </c>
      <c r="Q1271" t="n">
        <v>0</v>
      </c>
      <c r="R1271" t="n">
        <v>0</v>
      </c>
      <c r="S1271">
        <f>IFERROR(O1271/N1271,0)</f>
        <v/>
      </c>
      <c r="T1271" t="n">
        <v>0</v>
      </c>
      <c r="V1271" t="n">
        <v>0</v>
      </c>
    </row>
    <row r="1272">
      <c r="A1272">
        <f>Skills!A23</f>
        <v/>
      </c>
      <c r="B1272">
        <f>Skills!B23</f>
        <v/>
      </c>
      <c r="C1272">
        <f>Inputs!$B$3&gt;=120</f>
        <v/>
      </c>
      <c r="D1272">
        <f>IF(Skills!C23=1,60+Inputs!$B$26+Inputs!$B$30,IF(Skills!C23=2,90+Inputs!$B$27+Inputs!$B$30,IF(Skills!C23=3,120+Inputs!$B$28+Inputs!$B$30,MAX(0,(Inputs!$B$3-100)*3)+Inputs!$B$29+Inputs!$B$30)))</f>
        <v/>
      </c>
      <c r="E1272">
        <f>INDEX(FactorTable!$B$2:$Y$301, MATCH(ROUND(MIN(300,MAX(1,D1272)),0), FactorTable!$A$2:$A$301,0), Skills!M23+1)</f>
        <v/>
      </c>
      <c r="F1272">
        <f>IF(Skills!N23=TRUE,(Skills!L23/10)*(E1272/1000),Skills!L23/10)+Skills!O23</f>
        <v/>
      </c>
      <c r="G1272">
        <f>Skills!G23*IF(Skills!H23&gt;0,INT(IF(Inputs!$B$39="pvp",MIN(Skills!I23,15),Skills!I23)/Skills!H23+0.000000001),1)</f>
        <v/>
      </c>
      <c r="H1272">
        <f>1-(1-Skills!J23/100)^Skills!K23</f>
        <v/>
      </c>
      <c r="I1272" t="inlineStr">
        <is>
          <t>1</t>
        </is>
      </c>
      <c r="J1272" t="inlineStr"/>
      <c r="K1272" t="inlineStr"/>
      <c r="L1272" t="inlineStr"/>
      <c r="M1272" t="inlineStr"/>
      <c r="N1272" t="inlineStr"/>
      <c r="O1272">
        <f>(1-Summary!$B$11)*T1272+Summary!$B$11*V1272</f>
        <v/>
      </c>
      <c r="P1272">
        <f>IF(B1288=0,0,O1272/B1288)</f>
        <v/>
      </c>
      <c r="Q1272" t="n">
        <v>0</v>
      </c>
      <c r="R1272" t="n">
        <v>0</v>
      </c>
      <c r="S1272">
        <f>IFERROR(O1272/N1272,0)</f>
        <v/>
      </c>
      <c r="T1272" t="n">
        <v>0</v>
      </c>
      <c r="V1272" t="n">
        <v>0</v>
      </c>
    </row>
    <row r="1273">
      <c r="A1273">
        <f>Skills!A24</f>
        <v/>
      </c>
      <c r="B1273">
        <f>Skills!B24</f>
        <v/>
      </c>
      <c r="C1273">
        <f>Inputs!$B$3&gt;=120</f>
        <v/>
      </c>
      <c r="D1273">
        <f>IF(Skills!C24=1,60+Inputs!$B$26+Inputs!$B$30,IF(Skills!C24=2,90+Inputs!$B$27+Inputs!$B$30,IF(Skills!C24=3,120+Inputs!$B$28+Inputs!$B$30,MAX(0,(Inputs!$B$3-100)*3)+Inputs!$B$29+Inputs!$B$30)))</f>
        <v/>
      </c>
      <c r="E1273">
        <f>INDEX(FactorTable!$B$2:$Y$301, MATCH(ROUND(MIN(300,MAX(1,D1273)),0), FactorTable!$A$2:$A$301,0), Skills!M24+1)</f>
        <v/>
      </c>
      <c r="F1273">
        <f>IF(Skills!N24=TRUE,(Skills!L24/10)*(E1273/1000),Skills!L24/10)+Skills!O24</f>
        <v/>
      </c>
      <c r="G1273">
        <f>Skills!G24*IF(Skills!H24&gt;0,INT(IF(Inputs!$B$39="pvp",MIN(Skills!I24,15),Skills!I24)/Skills!H24+0.000000001),1)</f>
        <v/>
      </c>
      <c r="H1273">
        <f>1-(1-Skills!J24/100)^Skills!K24</f>
        <v/>
      </c>
      <c r="I1273" t="inlineStr">
        <is>
          <t>1</t>
        </is>
      </c>
      <c r="J1273" t="inlineStr"/>
      <c r="K1273" t="inlineStr"/>
      <c r="L1273" t="inlineStr"/>
      <c r="M1273" t="inlineStr"/>
      <c r="N1273" t="inlineStr"/>
      <c r="O1273">
        <f>(1-Summary!$B$11)*T1273+Summary!$B$11*V1273</f>
        <v/>
      </c>
      <c r="P1273">
        <f>IF(B1288=0,0,O1273/B1288)</f>
        <v/>
      </c>
      <c r="Q1273" t="n">
        <v>0</v>
      </c>
      <c r="R1273" t="n">
        <v>0</v>
      </c>
      <c r="S1273">
        <f>IFERROR(O1273/N1273,0)</f>
        <v/>
      </c>
      <c r="T1273" t="n">
        <v>0</v>
      </c>
      <c r="V1273" t="n">
        <v>0</v>
      </c>
    </row>
    <row r="1274">
      <c r="A1274">
        <f>Skills!A25</f>
        <v/>
      </c>
      <c r="B1274">
        <f>Skills!B25</f>
        <v/>
      </c>
      <c r="C1274">
        <f>Inputs!$B$3&gt;=125</f>
        <v/>
      </c>
      <c r="D1274">
        <f>IF(Skills!C25=1,60+Inputs!$B$26+Inputs!$B$30,IF(Skills!C25=2,90+Inputs!$B$27+Inputs!$B$30,IF(Skills!C25=3,120+Inputs!$B$28+Inputs!$B$30,MAX(0,(Inputs!$B$3-100)*3)+Inputs!$B$29+Inputs!$B$30)))</f>
        <v/>
      </c>
      <c r="E1274">
        <f>INDEX(FactorTable!$B$2:$Y$301, MATCH(ROUND(MIN(300,MAX(1,D1274)),0), FactorTable!$A$2:$A$301,0), Skills!M25+1)</f>
        <v/>
      </c>
      <c r="F1274">
        <f>IF(Skills!N25=TRUE,(Skills!L25/10)*(E1274/1000),Skills!L25/10)+Skills!O25</f>
        <v/>
      </c>
      <c r="G1274">
        <f>Skills!G25*IF(Skills!H25&gt;0,INT(IF(Inputs!$B$39="pvp",MIN(Skills!I25,15),Skills!I25)/Skills!H25+0.000000001),1)</f>
        <v/>
      </c>
      <c r="H1274">
        <f>1-(1-Skills!J25/100)^Skills!K25</f>
        <v/>
      </c>
      <c r="I1274" t="inlineStr">
        <is>
          <t>1</t>
        </is>
      </c>
      <c r="J1274" t="inlineStr"/>
      <c r="K1274" t="inlineStr"/>
      <c r="L1274" t="inlineStr"/>
      <c r="M1274" t="inlineStr"/>
      <c r="N1274" t="inlineStr"/>
      <c r="O1274">
        <f>(1-Summary!$B$11)*T1274+Summary!$B$11*V1274</f>
        <v/>
      </c>
      <c r="P1274">
        <f>IF(B1288=0,0,O1274/B1288)</f>
        <v/>
      </c>
      <c r="Q1274" t="n">
        <v>0</v>
      </c>
      <c r="R1274" t="n">
        <v>0</v>
      </c>
      <c r="S1274">
        <f>IFERROR(O1274/N1274,0)</f>
        <v/>
      </c>
      <c r="T1274" t="n">
        <v>0</v>
      </c>
      <c r="V1274" t="n">
        <v>0</v>
      </c>
    </row>
    <row r="1275">
      <c r="A1275">
        <f>Skills!A26</f>
        <v/>
      </c>
      <c r="B1275">
        <f>Skills!B26</f>
        <v/>
      </c>
      <c r="C1275">
        <f>Inputs!$B$3&gt;=107</f>
        <v/>
      </c>
      <c r="D1275">
        <f>IF(Skills!C26=1,60+Inputs!$B$26+Inputs!$B$30,IF(Skills!C26=2,90+Inputs!$B$27+Inputs!$B$30,IF(Skills!C26=3,120+Inputs!$B$28+Inputs!$B$30,MAX(0,(Inputs!$B$3-100)*3)+Inputs!$B$29+Inputs!$B$30)))</f>
        <v/>
      </c>
      <c r="E1275">
        <f>INDEX(FactorTable!$B$2:$Y$301, MATCH(ROUND(MIN(300,MAX(1,D1275)),0), FactorTable!$A$2:$A$301,0), Skills!M26+1)</f>
        <v/>
      </c>
      <c r="F1275">
        <f>IF(Skills!N26=TRUE,(Skills!L26/10)*(E1275/1000),Skills!L26/10)+Skills!O26</f>
        <v/>
      </c>
      <c r="G1275">
        <f>Skills!G26*IF(Skills!H26&gt;0,INT(IF(Inputs!$B$39="pvp",MIN(Skills!I26,15),Skills!I26)/Skills!H26+0.000000001),1)</f>
        <v/>
      </c>
      <c r="H1275">
        <f>1-(1-Skills!J26/100)^Skills!K26</f>
        <v/>
      </c>
      <c r="I1275" t="inlineStr">
        <is>
          <t>1</t>
        </is>
      </c>
      <c r="J1275" t="inlineStr"/>
      <c r="K1275" t="inlineStr"/>
      <c r="L1275" t="inlineStr"/>
      <c r="M1275" t="inlineStr"/>
      <c r="N1275" t="inlineStr"/>
      <c r="O1275">
        <f>(1-Summary!$B$11)*T1275+Summary!$B$11*V1275</f>
        <v/>
      </c>
      <c r="P1275">
        <f>IF(B1288=0,0,O1275/B1288)</f>
        <v/>
      </c>
      <c r="Q1275" t="n">
        <v>0</v>
      </c>
      <c r="R1275" t="n">
        <v>0</v>
      </c>
      <c r="S1275">
        <f>IFERROR(O1275/N1275,0)</f>
        <v/>
      </c>
      <c r="T1275" t="n">
        <v>0</v>
      </c>
      <c r="V1275" t="n">
        <v>0</v>
      </c>
    </row>
    <row r="1277">
      <c r="A1277" t="inlineStr">
        <is>
          <t>Attack% Bucket Multiplier</t>
        </is>
      </c>
      <c r="B1277">
        <f>(1+(((C1262=TRUE)*F1262*IF(AND(Inputs!$B$39&lt;&gt;"pvp",Inputs!$B$44&gt;0),(((R1262-1)*MIN((Skills!T13*(1+Inputs!$B$35/100)),(1/Q1262))+MIN((Skills!T13*(1+Inputs!$B$35/100)),MAX(0,Inputs!$B$44-((R1262-1)*(1/Q1262)))))/Inputs!$B$44),IF(Inputs!$B$39="pvp",MIN((Skills!T13*(1+Inputs!$B$35/100)),15)/15,MIN(1,(Skills!T13*(1+Inputs!$B$35/100))/(1/Q1262)))))+((C1263=TRUE)*F1263*IF(AND(Inputs!$B$39&lt;&gt;"pvp",Inputs!$B$44&gt;0),(((R1263-1)*MIN((Skills!T14*(1+Inputs!$B$35/100)),(1/Q1263))+MIN((Skills!T14*(1+Inputs!$B$35/100)),MAX(0,Inputs!$B$44-((R1263-1)*(1/Q1263)))))/Inputs!$B$44),IF(Inputs!$B$39="pvp",MIN((Skills!T14*(1+Inputs!$B$35/100)),15)/15,MIN(1,(Skills!T14*(1+Inputs!$B$35/100))/(1/Q1263)))))+((C1264=TRUE)*F1264*IF(AND(Inputs!$B$39&lt;&gt;"pvp",Inputs!$B$44&gt;0),(((R1264-1)*MIN((Skills!T15*(1+Inputs!$B$35/100)),(1/Q1264))+MIN((Skills!T15*(1+Inputs!$B$35/100)),MAX(0,Inputs!$B$44-((R1264-1)*(1/Q1264)))))/Inputs!$B$44),IF(Inputs!$B$39="pvp",MIN((Skills!T15*(1+Inputs!$B$35/100)),15)/15,MIN(1,(Skills!T15*(1+Inputs!$B$35/100))/(1/Q1264)))))+((C1265=TRUE)*F1265*IF(AND(Inputs!$B$39&lt;&gt;"pvp",Inputs!$B$44&gt;0),(((R1265-1)*MIN((Skills!T16*(1+Inputs!$B$35/100)),(1/Q1265))+MIN((Skills!T16*(1+Inputs!$B$35/100)),MAX(0,Inputs!$B$44-((R1265-1)*(1/Q1265)))))/Inputs!$B$44),IF(Inputs!$B$39="pvp",MIN((Skills!T16*(1+Inputs!$B$35/100)),15)/15,MIN(1,(Skills!T16*(1+Inputs!$B$35/100))/(1/Q1265)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$39&lt;&gt;"pvp",Inputs!$B$44=0),0.5,(5*INT(MAX(0,IF(Inputs!$B$39="pvp",15,Inputs!$B$44)-10)/10)+MIN((MAX(0,IF(Inputs!$B$39="pvp",15,Inputs!$B$44)-10)-10*INT(MAX(0,IF(Inputs!$B$39="pvp",15,Inputs!$B$44)-10)/10)),5))/IF(Inputs!$B$39="pvp",15,Inputs!$B$44))),0)))/100)</f>
        <v/>
      </c>
    </row>
    <row r="1278">
      <c r="A1278" t="inlineStr">
        <is>
          <t>Global Crit Rate Bonus % (Lord of Darkness)</t>
        </is>
      </c>
      <c r="B1278">
        <f>((C1267=TRUE)*F1267*(Skills!J18/100)*IF(AND(Inputs!$B$39&lt;&gt;"pvp",Inputs!$B$44&gt;0),(((R1267-1)*MIN((Skills!T18*(1+Inputs!$B$35/100)),(1/Q1267))+MIN((Skills!T18*(1+Inputs!$B$35/100)),MAX(0,Inputs!$B$44-((R1267-1)*(1/Q1267)))))/Inputs!$B$44),IF(Inputs!$B$39="pvp",MIN((Skills!T18*(1+Inputs!$B$35/100)),15)/15,MIN(1,(Skills!T18*(1+Inputs!$B$35/100))/(1/Q1267)))))</f>
        <v/>
      </c>
    </row>
    <row r="1279">
      <c r="A1279" t="inlineStr">
        <is>
          <t>Attack Speed Buff Bonus %</t>
        </is>
      </c>
      <c r="B1279">
        <f>((C1269=TRUE)*F1269*IF(AND(Inputs!$B$39&lt;&gt;"pvp",Inputs!$B$44&gt;0),(((R1269-1)*MIN((Skills!T20*(1+Inputs!$B$35/100)),(1/Q1269))+MIN((Skills!T20*(1+Inputs!$B$35/100)),MAX(0,Inputs!$B$44-((R1269-1)*(1/Q1269)))))/Inputs!$B$44),IF(Inputs!$B$39="pvp",MIN((Skills!T20*(1+Inputs!$B$35/100)),15)/15,MIN(1,(Skills!T20*(1+Inputs!$B$35/100))/(1/Q1269)))))</f>
        <v/>
      </c>
    </row>
    <row r="1280">
      <c r="A1280" t="inlineStr">
        <is>
          <t>Actions Per Second</t>
        </is>
      </c>
      <c r="B1280">
        <f>1+MIN(150,150*(1-(1-(Inputs!$B$12+((C1270=TRUE)*(F1270-Calc!F21)))/150)*(1-B1279/150)))/100</f>
        <v/>
      </c>
    </row>
    <row r="1281">
      <c r="A1281" t="inlineStr">
        <is>
          <t>Skill + Buff Cast Rate</t>
        </is>
      </c>
      <c r="B1281">
        <f>IF(AND(Inputs!$B$39&lt;&gt;"pvp",Inputs!$B$44&gt;0),SUMPRODUCT((Skills!E2:E26=TRUE)*(C1251:C1275=TRUE)*R1251:R1275*Skills!F2:F26)/Inputs!$B$44,SUMPRODUCT((Skills!E2:E26=TRUE)*(C1251:C1275=TRUE)*Q1251:Q1275*Skills!F2:F26))</f>
        <v/>
      </c>
    </row>
    <row r="1282">
      <c r="A1282" t="inlineStr">
        <is>
          <t>Dark Impale Casts Per Second</t>
        </is>
      </c>
      <c r="B1282">
        <f>MAX(0,B1280-B1281)</f>
        <v/>
      </c>
    </row>
    <row r="1283">
      <c r="A1283" t="inlineStr">
        <is>
          <t>Global Critical Damage Bonus % (Lord of Darkness)</t>
        </is>
      </c>
      <c r="B1283">
        <f>((C1268=TRUE)*F1268*(Skills!J19/100)*IF(AND(Inputs!$B$39&lt;&gt;"pvp",Inputs!$B$44&gt;0),(((R1268-1)*MIN((Skills!T19*(1+Inputs!$B$35/100)),(1/Q1268))+MIN((Skills!T19*(1+Inputs!$B$35/100)),MAX(0,Inputs!$B$44-((R1268-1)*(1/Q1268)))))/Inputs!$B$44),IF(Inputs!$B$39="pvp",MIN((Skills!T19*(1+Inputs!$B$35/100)),15)/15,MIN(1,(Skills!T19*(1+Inputs!$B$35/100))/(1/Q1268)))))</f>
        <v/>
      </c>
    </row>
    <row r="1284">
      <c r="A1284" t="inlineStr">
        <is>
          <t>Global Final Damage Bonus % (unused)</t>
        </is>
      </c>
      <c r="B1284" t="n">
        <v>0</v>
      </c>
    </row>
    <row r="1285">
      <c r="A1285" t="inlineStr">
        <is>
          <t>Buff-Casting Startup Delay (s, fixed-duration only)</t>
        </is>
      </c>
      <c r="B1285">
        <f>IF(AND(Inputs!$B$39&lt;&gt;"pvp",Inputs!$B$44&gt;0),SUMPRODUCT((Skills!T2:T26&gt;0)*(Skills!E2:E26=TRUE)*(C1251:C1275=TRUE))/B1280,0)</f>
        <v/>
      </c>
    </row>
    <row r="1286">
      <c r="A1286" t="inlineStr">
        <is>
          <t>Boss-Only Total DPS (this block's swept value)</t>
        </is>
      </c>
      <c r="B1286">
        <f>SUM(T1251:T1275)</f>
        <v/>
      </c>
    </row>
    <row r="1287">
      <c r="A1287" t="inlineStr">
        <is>
          <t>Normal-Only Total DPS (this block's swept value)</t>
        </is>
      </c>
      <c r="B1287">
        <f>SUM(V1251:V1275)</f>
        <v/>
      </c>
    </row>
    <row r="1288">
      <c r="A1288" s="6" t="inlineStr">
        <is>
          <t>TOTAL DPS</t>
        </is>
      </c>
      <c r="B1288" s="6">
        <f>SUM(O1251:O1275)</f>
        <v/>
      </c>
    </row>
    <row r="1291">
      <c r="A1291" s="6" t="inlineStr">
        <is>
          <t>Stat: Pig's Ribbon (Equip)</t>
        </is>
      </c>
    </row>
    <row r="1292">
      <c r="A1292" s="5" t="inlineStr">
        <is>
          <t>Key</t>
        </is>
      </c>
      <c r="B1292" s="5" t="inlineStr">
        <is>
          <t>Name</t>
        </is>
      </c>
      <c r="C1292" s="5" t="inlineStr">
        <is>
          <t>Unlocked</t>
        </is>
      </c>
      <c r="D1292" s="5" t="inlineStr">
        <is>
          <t>InputLevel</t>
        </is>
      </c>
      <c r="E1292" s="5" t="inlineStr">
        <is>
          <t>Factor</t>
        </is>
      </c>
      <c r="F1292" s="5" t="inlineStr">
        <is>
          <t>CoefficientPercent</t>
        </is>
      </c>
      <c r="G1292" s="5" t="inlineStr">
        <is>
          <t>EffectiveHits</t>
        </is>
      </c>
      <c r="H1292" s="5" t="inlineStr">
        <is>
          <t>ProcProbability</t>
        </is>
      </c>
      <c r="I1292" s="5" t="inlineStr">
        <is>
          <t>MapleHeroMultiplier</t>
        </is>
      </c>
      <c r="J1292" s="5" t="inlineStr">
        <is>
          <t>BaseDamage</t>
        </is>
      </c>
      <c r="K1292" s="5" t="inlineStr">
        <is>
          <t>BaseHitDamage</t>
        </is>
      </c>
      <c r="L1292" s="5" t="inlineStr">
        <is>
          <t>NonCritAvg</t>
        </is>
      </c>
      <c r="M1292" s="5" t="inlineStr">
        <is>
          <t>CritAvg</t>
        </is>
      </c>
      <c r="N1292" s="5" t="inlineStr">
        <is>
          <t>ExpectedDamage(perHit)</t>
        </is>
      </c>
      <c r="O1292" s="5" t="inlineStr">
        <is>
          <t>DPS</t>
        </is>
      </c>
      <c r="P1292" s="5" t="inlineStr">
        <is>
          <t>% of Total</t>
        </is>
      </c>
      <c r="Q1292" s="5" t="inlineStr">
        <is>
          <t>InvCooldown</t>
        </is>
      </c>
      <c r="R1292" s="5" t="inlineStr">
        <is>
          <t>CastsInFight</t>
        </is>
      </c>
      <c r="S1292" s="5" t="inlineStr">
        <is>
          <t>HitRate(perSec)</t>
        </is>
      </c>
      <c r="U1292" t="inlineStr">
        <is>
          <t>helpers</t>
        </is>
      </c>
    </row>
    <row r="1293">
      <c r="A1293">
        <f>Skills!A2</f>
        <v/>
      </c>
      <c r="B1293">
        <f>Skills!B2</f>
        <v/>
      </c>
      <c r="C1293">
        <f>Inputs!$B$3&gt;=100</f>
        <v/>
      </c>
      <c r="D1293" t="inlineStr"/>
      <c r="E1293" t="inlineStr"/>
      <c r="F1293">
        <f>U1295+Skills!O2</f>
        <v/>
      </c>
      <c r="G1293">
        <f>Skills!G2*IF(Skills!H2&gt;0,INT(IF(Inputs!$B$39="pvp",MIN(Skills!I2,15),Skills!I2)/Skills!H2+0.000000001),1)</f>
        <v/>
      </c>
      <c r="H1293">
        <f>1-(1-Skills!J2/100)^Skills!K2</f>
        <v/>
      </c>
      <c r="I1293" t="inlineStr">
        <is>
          <t>1</t>
        </is>
      </c>
      <c r="J1293">
        <f>((Inputs!$B$6*(1+Inputs!$B$7/100))+(((Inputs!$B$13*(1+Inputs!$B$14/100))-(Inputs!$B$13*(1+Inputs!$B$14/100)))+0.25*(Inputs!$B$15-Inputs!$B$15))*(1+Inputs!$B$7/100))*(F1293/100)</f>
        <v/>
      </c>
      <c r="K1293">
        <f>J1293*(1+(((Inputs!$B$13+IF(Inputs!$B$3&gt;=38,(10*INDEX(FactorTable!$B$2:$Y$301, MATCH(ROUND(MIN(300,MAX(1,Inputs!$B$3)),0), FactorTable!$A$2:$A$301,0), 23)/1000)/100*(Inputs!$B$8*(1+Inputs!$B$9/100)),0))*(1+Inputs!$B$14/100))*0.01+Inputs!$B$15*0.0025)/100)*(1+Inputs!$B$16/100)*(1+Inputs!$B$17/100)*(5000/(6000+Inputs!$B$43*(1-(Inputs!$B$20+0)/100)))*(1+(Inputs!$B$25+((C1316=TRUE)*(F1316-Calc!F25))+((C1317=TRUE)*(F1317-Calc!F26))+B1326)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gt;=100),MIN(100,((Inputs!$B$10+0+B1320+(ArtifactsInput!$M$24-ArtifactsInput!$M$24)*CHOOSE(ArtifactsInput!$N$24+1,10,12,14,16,18,20)+IF(ArtifactsInput!$M$10,CHOOSE(ArtifactsInput!$N$10+1,15,18,21,24,27,30)*(IF(Inputs!$B$39="pvp",MIN(15,15)/15,IF(AND(Inputs!$B$39&lt;&gt;"pvp",Inputs!$B$44&gt;0),MIN(15,Inputs!$B$44)/(Inputs!$B$44),0))),0)))-100),0))*CHOOSE(ArtifactsInput!$N$42+1,0.6,0.72,0.84,0.96,1.08,1.2))),Inputs!$B$19+((C1314=TRUE)*(F1314-Calc!F23))+(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gt;=100),CHOOSE(ArtifactsInput!$N$42+1,40,48,56,64,72,80),0))))/100)*((1+(((C1304=TRUE)*F1304*IF(AND(Inputs!$B$39&lt;&gt;"pvp",Inputs!$B$44&gt;0),(((R1304-1)*MIN((Skills!T13*(1+Inputs!$B$35/100)),(1/Q1304))+MIN((Skills!T13*(1+Inputs!$B$35/100)),MAX(0,Inputs!$B$44-((R1304-1)*(1/Q1304)))))/Inputs!$B$44),IF(Inputs!$B$39="pvp",MIN((Skills!T13*(1+Inputs!$B$35/100)),15)/15,MIN(1,(Skills!T13*(1+Inputs!$B$35/100))/(1/Q1304)))))+((C1305=TRUE)*F1305*IF(AND(Inputs!$B$39&lt;&gt;"pvp",Inputs!$B$44&gt;0),(((R1305-1)*MIN((Skills!T14*(1+Inputs!$B$35/100)),(1/Q1305))+MIN((Skills!T14*(1+Inputs!$B$35/100)),MAX(0,Inputs!$B$44-((R1305-1)*(1/Q1305)))))/Inputs!$B$44),IF(Inputs!$B$39="pvp",MIN((Skills!T14*(1+Inputs!$B$35/100)),15)/15,MIN(1,(Skills!T14*(1+Inputs!$B$35/100))/(1/Q1305)))))+((C1306=TRUE)*F1306*IF(AND(Inputs!$B$39&lt;&gt;"pvp",Inputs!$B$44&gt;0),(((R1306-1)*MIN((Skills!T15*(1+Inputs!$B$35/100)),(1/Q1306))+MIN((Skills!T15*(1+Inputs!$B$35/100)),MAX(0,Inputs!$B$44-((R1306-1)*(1/Q1306)))))/Inputs!$B$44),IF(Inputs!$B$39="pvp",MIN((Skills!T15*(1+Inputs!$B$35/100)),15)/15,MIN(1,(Skills!T15*(1+Inputs!$B$35/100))/(1/Q1306)))))+((C1307=TRUE)*F1307*IF(AND(Inputs!$B$39&lt;&gt;"pvp",Inputs!$B$44&gt;0),(((R1307-1)*MIN((Skills!T16*(1+Inputs!$B$35/100)),(1/Q1307))+MIN((Skills!T16*(1+Inputs!$B$35/100)),MAX(0,Inputs!$B$44-((R1307-1)*(1/Q1307)))))/Inputs!$B$44),IF(Inputs!$B$39="pvp",MIN((Skills!T16*(1+Inputs!$B$35/100)),15)/15,MIN(1,(Skills!T16*(1+Inputs!$B$35/100))/(1/Q1307)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1293)</f>
        <v/>
      </c>
      <c r="L1293">
        <f>K1293*(MIN(Inputs!$B$23+((C1313=TRUE)*(F1313-Calc!F22)),(Inputs!$B$24+((C1315=TRUE)*(F1315-Calc!F24))+(IF(ArtifactsInput!$M$15,CHOOSE(ArtifactsInput!$N$15+1,25,30,35,40,45,50)/100*(Inputs!$B$12-Inputs!$B$12),0))))/100+(Inputs!$B$24+((C1315=TRUE)*(F1315-Calc!F24))+(IF(ArtifactsInput!$M$15,CHOOSE(ArtifactsInput!$N$15+1,25,30,35,40,45,50)/100*(Inputs!$B$12-Inputs!$B$12),0)))/100)/2</f>
        <v/>
      </c>
      <c r="M1293">
        <f>L1293*(1+(Inputs!$B$11+0+B1325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293">
        <f>L1293*(1-MIN((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1293*(MIN((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93">
        <f>(1-Summary!$B$11)*T1293+Summary!$B$11*V1293</f>
        <v/>
      </c>
      <c r="P1293">
        <f>IF(B1330=0,0,O1293/B1330)</f>
        <v/>
      </c>
      <c r="Q1293" t="n">
        <v>0</v>
      </c>
      <c r="R1293" t="n">
        <v>0</v>
      </c>
      <c r="S1293">
        <f>IFERROR(O1293/N1293,0)</f>
        <v/>
      </c>
      <c r="T1293">
        <f>IF(C1293,(Skills!G2*N1293*B1324)*IF(Inputs!$B$39="pvp",1,1+(Inputs!$B$21+0+Skills!P2+((C1308=TRUE)*F1308*IF(AND(Inputs!$B$39&lt;&gt;"pvp",Inputs!$B$44&gt;0),(((R1308-1)*MIN((Skills!T17*(1+Inputs!$B$35/100)),(1/Q1308))+MIN((Skills!T17*(1+Inputs!$B$35/100)),MAX(0,Inputs!$B$44-((R1308-1)*(1/Q1308)))))/Inputs!$B$44),IF(Inputs!$B$39="pvp",MIN((Skills!T17*(1+Inputs!$B$35/100)),15)/15,MIN(1,(Skills!T17*(1+Inputs!$B$35/100))/(1/Q1308)))))+((C1296=TRUE)*IF(Inputs!$B$3&gt;=126,10*MIN(1,15*Q1296),0))+((C1305=TRUE)*IF(Inputs!$B$39="pvp",20,(1-Summary!$B$11)*(20)+Summary!$B$11*(0))*IF(AND(Inputs!$B$39&lt;&gt;"pvp",Inputs!$B$44&gt;0),(((R1305-1)*MIN((Skills!T14*(1+Inputs!$B$35/100)),(1/Q1305))+MIN((Skills!T14*(1+Inputs!$B$35/100)),MAX(0,Inputs!$B$44-((R1305-1)*(1/Q1305)))))/Inputs!$B$44),IF(Inputs!$B$39="pvp",MIN((Skills!T14*(1+Inputs!$B$35/100)),15)/15,MIN(1,(Skills!T14*(1+Inputs!$B$35/100))/(1/Q1305)))))+((C1304=TRUE)*IF(Inputs!$B$3&gt;=82,IF(Inputs!$B$39="pvp",20,(1-Summary!$B$11)*(20)+Summary!$B$11*(0)),0)*IF(AND(Inputs!$B$39&lt;&gt;"pvp",Inputs!$B$44&gt;0),(((R1304-1)*MIN((Skills!T13*(1+Inputs!$B$35/100)),(1/Q1304))+MIN((Skills!T13*(1+Inputs!$B$35/100)),MAX(0,Inputs!$B$44-((R1304-1)*(1/Q1304)))))/Inputs!$B$44),IF(Inputs!$B$39="pvp",MIN((Skills!T13*(1+Inputs!$B$35/100)),15)/15,MIN(1,(Skills!T13*(1+Inputs!$B$35/100))/(1/Q1304)))))+(IF(AND(ArtifactsInput!$M$35,Inputs!$B$4&lt;&gt;"Chapter Hunt"),CHOOSE(ArtifactsInput!$N$35+1,15,18,21,24,27,30)*(1-EXP(-(0.2*B1322)*5)),0)+IF(AND(ArtifactsInput!$M$22,Inputs!$B$4&lt;&gt;"Chapter Hunt"),CHOOSE(ArtifactsInput!$N$22+1,10,12,14,16,18,20)*((0*(((0.15*B1322*5))^0/1)+1*(((0.15*B1322*5))^1/1)+2*(((0.15*B1322*5))^2/2)+3*(((0.15*B1322*5))^3/6)+4*(((0.15*B1322*5))^4/24)+5*(((0.15*B1322*5))^5/120))/((((0.15*B1322*5))^0/1)+(((0.15*B1322*5))^1/1)+(((0.15*B1322*5))^2/2)+(((0.15*B1322*5))^3/6)+(((0.15*B1322*5))^4/24)+(((0.15*B1322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1293*(1-MIN(100,(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1293*(MIN(100,(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1293*(1-MIN(100,(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1293*(MIN(100,(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93">
        <f>MAX(0,(Inputs!$B$3-100)*3)+Inputs!$B$29+Inputs!$B$30</f>
        <v/>
      </c>
      <c r="V1293">
        <f>IF(C1293,(Skills!G2*N1293*B1324)*IF(Inputs!$B$39="pvp",1,(1+(Inputs!$B$22+Skills!Q2+((C1308=TRUE)*F1308*IF(AND(Inputs!$B$39&lt;&gt;"pvp",Inputs!$B$44&gt;0),(((R1308-1)*MIN((Skills!T17*(1+Inputs!$B$35/100)),(1/Q1308))+MIN((Skills!T17*(1+Inputs!$B$35/100)),MAX(0,Inputs!$B$44-((R1308-1)*(1/Q1308)))))/Inputs!$B$44),IF(Inputs!$B$39="pvp",MIN((Skills!T17*(1+Inputs!$B$35/100)),15)/15,MIN(1,(Skills!T17*(1+Inputs!$B$35/100))/(1/Q1308)))))+((C1296=TRUE)*IF(Inputs!$B$3&gt;=126,10*MIN(1,15*Q1296),0))+((C1305=TRUE)*IF(Inputs!$B$39="pvp",20,(1-Summary!$B$11)*(20)+Summary!$B$11*(0))*IF(AND(Inputs!$B$39&lt;&gt;"pvp",Inputs!$B$44&gt;0),(((R1305-1)*MIN((Skills!T14*(1+Inputs!$B$35/100)),(1/Q1305))+MIN((Skills!T14*(1+Inputs!$B$35/100)),MAX(0,Inputs!$B$44-((R1305-1)*(1/Q1305)))))/Inputs!$B$44),IF(Inputs!$B$39="pvp",MIN((Skills!T14*(1+Inputs!$B$35/100)),15)/15,MIN(1,(Skills!T14*(1+Inputs!$B$35/100))/(1/Q1305)))))+((C1304=TRUE)*IF(Inputs!$B$3&gt;=82,IF(Inputs!$B$39="pvp",20,(1-Summary!$B$11)*(20)+Summary!$B$11*(0)),0)*IF(AND(Inputs!$B$39&lt;&gt;"pvp",Inputs!$B$44&gt;0),(((R1304-1)*MIN((Skills!T13*(1+Inputs!$B$35/100)),(1/Q1304))+MIN((Skills!T13*(1+Inputs!$B$35/100)),MAX(0,Inputs!$B$44-((R1304-1)*(1/Q1304)))))/Inputs!$B$44),IF(Inputs!$B$39="pvp",MIN((Skills!T13*(1+Inputs!$B$35/100)),15)/15,MIN(1,(Skills!T13*(1+Inputs!$B$35/100))/(1/Q1304)))))+(IF(AND(ArtifactsInput!$M$35,Inputs!$B$4&lt;&gt;"Chapter Hunt"),CHOOSE(ArtifactsInput!$N$35+1,15,18,21,24,27,30)*(1-EXP(-(0.2*B1322)*5)),0)+IF(AND(ArtifactsInput!$M$22,Inputs!$B$4&lt;&gt;"Chapter Hunt"),CHOOSE(ArtifactsInput!$N$22+1,10,12,14,16,18,20)*((0*(((0.15*B1322*5))^0/1)+1*(((0.15*B1322*5))^1/1)+2*(((0.15*B1322*5))^2/2)+3*(((0.15*B1322*5))^3/6)+4*(((0.15*B1322*5))^4/24)+5*(((0.15*B1322*5))^5/120))/((((0.15*B1322*5))^0/1)+(((0.15*B1322*5))^1/1)+(((0.15*B1322*5))^2/2)+(((0.15*B1322*5))^3/6)+(((0.15*B1322*5))^4/24)+(((0.15*B1322*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94">
      <c r="A1294">
        <f>Skills!A3</f>
        <v/>
      </c>
      <c r="B1294">
        <f>Skills!B3</f>
        <v/>
      </c>
      <c r="C1294">
        <f>Inputs!$B$3&gt;=50</f>
        <v/>
      </c>
      <c r="D1294">
        <f>IF(Skills!C3=1,60+Inputs!$B$26+Inputs!$B$30,IF(Skills!C3=2,90+Inputs!$B$27+Inputs!$B$30,IF(Skills!C3=3,120+Inputs!$B$28+Inputs!$B$30,MAX(0,(Inputs!$B$3-100)*3)+Inputs!$B$29+Inputs!$B$30)))</f>
        <v/>
      </c>
      <c r="E1294">
        <f>INDEX(FactorTable!$B$2:$Y$301, MATCH(ROUND(MIN(300,MAX(1,D1294)),0), FactorTable!$A$2:$A$301,0), Skills!M3+1)</f>
        <v/>
      </c>
      <c r="F1294">
        <f>IF(Skills!N3=TRUE,(Skills!L3/10)*(E1294/1000),Skills!L3/10)+Skills!O3</f>
        <v/>
      </c>
      <c r="G1294" t="inlineStr"/>
      <c r="H1294" t="inlineStr"/>
      <c r="I1294" t="inlineStr">
        <is>
          <t>1</t>
        </is>
      </c>
      <c r="J1294" t="inlineStr"/>
      <c r="K1294" t="inlineStr"/>
      <c r="L1294" t="inlineStr"/>
      <c r="M1294" t="inlineStr"/>
      <c r="N1294" t="inlineStr"/>
      <c r="O1294" t="inlineStr"/>
      <c r="P1294" t="inlineStr"/>
      <c r="Q1294" t="inlineStr"/>
      <c r="R1294" t="inlineStr"/>
      <c r="S1294" t="inlineStr"/>
      <c r="U1294">
        <f>INDEX(FactorTable!$B$2:$Y$301, MATCH(ROUND(MIN(300,MAX(1,U1293)),0), FactorTable!$A$2:$A$301,0), 22)</f>
        <v/>
      </c>
    </row>
    <row r="1295">
      <c r="A1295">
        <f>Skills!A4</f>
        <v/>
      </c>
      <c r="B1295">
        <f>Skills!B4</f>
        <v/>
      </c>
      <c r="C1295">
        <f>Inputs!$B$3&gt;=105</f>
        <v/>
      </c>
      <c r="D1295">
        <f>IF(Skills!C4=1,60+Inputs!$B$26+Inputs!$B$30,IF(Skills!C4=2,90+Inputs!$B$27+Inputs!$B$30,IF(Skills!C4=3,120+Inputs!$B$28+Inputs!$B$30,MAX(0,(Inputs!$B$3-100)*3)+Inputs!$B$29+Inputs!$B$30)))</f>
        <v/>
      </c>
      <c r="E1295">
        <f>INDEX(FactorTable!$B$2:$Y$301, MATCH(ROUND(MIN(300,MAX(1,D1295)),0), FactorTable!$A$2:$A$301,0), Skills!M4+1)</f>
        <v/>
      </c>
      <c r="F1295">
        <f>IF(Skills!N4=TRUE,(Skills!L4/10)*(E1295/1000),Skills!L4/10)+Skills!O4</f>
        <v/>
      </c>
      <c r="G1295" t="inlineStr"/>
      <c r="H1295" t="inlineStr"/>
      <c r="I1295" t="inlineStr">
        <is>
          <t>1</t>
        </is>
      </c>
      <c r="J1295" t="inlineStr"/>
      <c r="K1295" t="inlineStr"/>
      <c r="L1295" t="inlineStr"/>
      <c r="M1295" t="inlineStr"/>
      <c r="N1295" t="inlineStr"/>
      <c r="O1295" t="inlineStr"/>
      <c r="P1295" t="inlineStr"/>
      <c r="Q1295" t="inlineStr"/>
      <c r="R1295" t="inlineStr"/>
      <c r="S1295" t="inlineStr"/>
      <c r="U1295">
        <f>290*U1294/1000</f>
        <v/>
      </c>
    </row>
    <row r="1296">
      <c r="A1296">
        <f>Skills!A5</f>
        <v/>
      </c>
      <c r="B1296">
        <f>Skills!B5</f>
        <v/>
      </c>
      <c r="C1296">
        <f>Inputs!$B$3&gt;=117</f>
        <v/>
      </c>
      <c r="D1296">
        <f>IF(Skills!C5=1,60+Inputs!$B$26+Inputs!$B$30,IF(Skills!C5=2,90+Inputs!$B$27+Inputs!$B$30,IF(Skills!C5=3,120+Inputs!$B$28+Inputs!$B$30,MAX(0,(Inputs!$B$3-100)*3)+Inputs!$B$29+Inputs!$B$30)))</f>
        <v/>
      </c>
      <c r="E1296">
        <f>INDEX(FactorTable!$B$2:$Y$301, MATCH(ROUND(MIN(300,MAX(1,D1296)),0), FactorTable!$A$2:$A$301,0), Skills!M5+1)</f>
        <v/>
      </c>
      <c r="F1296">
        <f>IF(Skills!N5=TRUE,(Skills!L5/10)*(E1296/1000),Skills!L5/10)+Skills!O5</f>
        <v/>
      </c>
      <c r="G1296">
        <f>Skills!G5*IF(Skills!H5&gt;0,INT(IF(Inputs!$B$39="pvp",MIN(Skills!I5,15),Skills!I5)/Skills!H5+0.000000001),1)</f>
        <v/>
      </c>
      <c r="H1296">
        <f>1-(1-Skills!J5/100)^Skills!K5</f>
        <v/>
      </c>
      <c r="I1296" t="inlineStr">
        <is>
          <t>1</t>
        </is>
      </c>
      <c r="J1296">
        <f>((Inputs!$B$6*(1+Inputs!$B$7/100))+(((Inputs!$B$13*(1+Inputs!$B$14/100))-(Inputs!$B$13*(1+Inputs!$B$14/100)))+0.25*(Inputs!$B$15-Inputs!$B$15))*(1+Inputs!$B$7/100))*(F1296/100)</f>
        <v/>
      </c>
      <c r="K1296">
        <f>J1296*(1+(((Inputs!$B$13+IF(Inputs!$B$3&gt;=38,(10*INDEX(FactorTable!$B$2:$Y$301, MATCH(ROUND(MIN(300,MAX(1,Inputs!$B$3)),0), FactorTable!$A$2:$A$301,0), 23)/1000)/100*(Inputs!$B$8*(1+Inputs!$B$9/100)),0))*(1+Inputs!$B$14/100))*0.01+Inputs!$B$15*0.0025)/100)*(1+Inputs!$B$16/100)*(1+Inputs!$B$17/100)*(5000/(6000+Inputs!$B$43*(1-(Inputs!$B$20+0)/100)))*(1+(Inputs!$B$25+((C1316=TRUE)*(F1316-Calc!F25))+((C1317=TRUE)*(F1317-Calc!F26))+B1326)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gt;=100),MIN(100,((Inputs!$B$10+0+B1320+(ArtifactsInput!$M$24-ArtifactsInput!$M$24)*CHOOSE(ArtifactsInput!$N$24+1,10,12,14,16,18,20)+IF(ArtifactsInput!$M$10,CHOOSE(ArtifactsInput!$N$10+1,15,18,21,24,27,30)*(IF(Inputs!$B$39="pvp",MIN(15,15)/15,IF(AND(Inputs!$B$39&lt;&gt;"pvp",Inputs!$B$44&gt;0),MIN(15,Inputs!$B$44)/(Inputs!$B$44),0))),0)))-100),0))*CHOOSE(ArtifactsInput!$N$42+1,0.6,0.72,0.84,0.96,1.08,1.2))),Inputs!$B$19+((C1314=TRUE)*(F1314-Calc!F23))+(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gt;=100),CHOOSE(ArtifactsInput!$N$42+1,40,48,56,64,72,80),0))))/100)*((1+(((C1304=TRUE)*F1304*IF(AND(Inputs!$B$39&lt;&gt;"pvp",Inputs!$B$44&gt;0),(((R1304-1)*MIN((Skills!T13*(1+Inputs!$B$35/100)),(1/Q1304))+MIN((Skills!T13*(1+Inputs!$B$35/100)),MAX(0,Inputs!$B$44-((R1304-1)*(1/Q1304)))))/Inputs!$B$44),IF(Inputs!$B$39="pvp",MIN((Skills!T13*(1+Inputs!$B$35/100)),15)/15,MIN(1,(Skills!T13*(1+Inputs!$B$35/100))/(1/Q1304)))))+((C1305=TRUE)*F1305*IF(AND(Inputs!$B$39&lt;&gt;"pvp",Inputs!$B$44&gt;0),(((R1305-1)*MIN((Skills!T14*(1+Inputs!$B$35/100)),(1/Q1305))+MIN((Skills!T14*(1+Inputs!$B$35/100)),MAX(0,Inputs!$B$44-((R1305-1)*(1/Q1305)))))/Inputs!$B$44),IF(Inputs!$B$39="pvp",MIN((Skills!T14*(1+Inputs!$B$35/100)),15)/15,MIN(1,(Skills!T14*(1+Inputs!$B$35/100))/(1/Q1305)))))+((C1306=TRUE)*F1306*IF(AND(Inputs!$B$39&lt;&gt;"pvp",Inputs!$B$44&gt;0),(((R1306-1)*MIN((Skills!T15*(1+Inputs!$B$35/100)),(1/Q1306))+MIN((Skills!T15*(1+Inputs!$B$35/100)),MAX(0,Inputs!$B$44-((R1306-1)*(1/Q1306)))))/Inputs!$B$44),IF(Inputs!$B$39="pvp",MIN((Skills!T15*(1+Inputs!$B$35/100)),15)/15,MIN(1,(Skills!T15*(1+Inputs!$B$35/100))/(1/Q1306)))))+((C1307=TRUE)*F1307*IF(AND(Inputs!$B$39&lt;&gt;"pvp",Inputs!$B$44&gt;0),(((R1307-1)*MIN((Skills!T16*(1+Inputs!$B$35/100)),(1/Q1307))+MIN((Skills!T16*(1+Inputs!$B$35/100)),MAX(0,Inputs!$B$44-((R1307-1)*(1/Q1307)))))/Inputs!$B$44),IF(Inputs!$B$39="pvp",MIN((Skills!T16*(1+Inputs!$B$35/100)),15)/15,MIN(1,(Skills!T16*(1+Inputs!$B$35/100))/(1/Q1307)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1296)</f>
        <v/>
      </c>
      <c r="L1296">
        <f>K1296*(MIN(Inputs!$B$23+((C1313=TRUE)*(F1313-Calc!F22)),(Inputs!$B$24+((C1315=TRUE)*(F1315-Calc!F24))+(IF(ArtifactsInput!$M$15,CHOOSE(ArtifactsInput!$N$15+1,25,30,35,40,45,50)/100*(Inputs!$B$12-Inputs!$B$12),0))))/100+(Inputs!$B$24+((C1315=TRUE)*(F1315-Calc!F24))+(IF(ArtifactsInput!$M$15,CHOOSE(ArtifactsInput!$N$15+1,25,30,35,40,45,50)/100*(Inputs!$B$12-Inputs!$B$12),0)))/100)/2</f>
        <v/>
      </c>
      <c r="M1296">
        <f>L1296*(1+(Inputs!$B$11+0+B1325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296">
        <f>L1296*(1-MIN((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1296*(MIN((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96">
        <f>(1-Summary!$B$11)*T1296+Summary!$B$11*V1296</f>
        <v/>
      </c>
      <c r="P1296">
        <f>IF(B1330=0,0,O1296/B1330)</f>
        <v/>
      </c>
      <c r="Q1296">
        <f>IFERROR(1/IF(Inputs!$B$39="pvp",15,MAX(0.1,Skills!D5-IF(TRUE=TRUE,Inputs!$B$33,0))),0)</f>
        <v/>
      </c>
      <c r="R1296">
        <f>IF(AND(Inputs!$B$39&lt;&gt;"pvp",Inputs!$B$44&gt;0),IF(MAX(0,Inputs!$B$44-B1327)&lt;=0,0,(INT(MAX(0,Inputs!$B$44-B1327)/IF(Inputs!$B$39="pvp",15,MAX(0.1,Skills!D5-IF(TRUE=TRUE,Inputs!$B$33,0))))+1)),0)</f>
        <v/>
      </c>
      <c r="S1296">
        <f>IFERROR(O1296/N1296,0)</f>
        <v/>
      </c>
      <c r="T1296">
        <f>IF(C1296,(H1296*N1296*IF(AND(Inputs!$B$39&lt;&gt;"pvp",Inputs!$B$44&gt;0),((Skills!G5*((R1296-1)*IF(Skills!H5&gt;0,INT(Skills!I5/Skills!H5+0.000000001),1)+IF(Skills!H5&gt;0,INT(MIN(Skills!I5,MAX(0,MAX(0,Inputs!$B$44-B1327)-((R1296-1)*IF(Inputs!$B$39="pvp",15,MAX(0.1,Skills!D5-IF(TRUE=TRUE,Inputs!$B$33,0))))))/Skills!H5+0.000000001),1)))/Inputs!$B$44),G1296*Q1296))*IF(Inputs!$B$39="pvp",1,1+(Inputs!$B$21+0+Skills!P5+((C1308=TRUE)*F1308*IF(AND(Inputs!$B$39&lt;&gt;"pvp",Inputs!$B$44&gt;0),(((R1308-1)*MIN((Skills!T17*(1+Inputs!$B$35/100)),(1/Q1308))+MIN((Skills!T17*(1+Inputs!$B$35/100)),MAX(0,Inputs!$B$44-((R1308-1)*(1/Q1308)))))/Inputs!$B$44),IF(Inputs!$B$39="pvp",MIN((Skills!T17*(1+Inputs!$B$35/100)),15)/15,MIN(1,(Skills!T17*(1+Inputs!$B$35/100))/(1/Q1308)))))+((C1296=TRUE)*IF(Inputs!$B$3&gt;=126,10*MIN(1,15*Q1296),0))+((C1305=TRUE)*IF(Inputs!$B$39="pvp",20,(1-Summary!$B$11)*(20)+Summary!$B$11*(0))*IF(AND(Inputs!$B$39&lt;&gt;"pvp",Inputs!$B$44&gt;0),(((R1305-1)*MIN((Skills!T14*(1+Inputs!$B$35/100)),(1/Q1305))+MIN((Skills!T14*(1+Inputs!$B$35/100)),MAX(0,Inputs!$B$44-((R1305-1)*(1/Q1305)))))/Inputs!$B$44),IF(Inputs!$B$39="pvp",MIN((Skills!T14*(1+Inputs!$B$35/100)),15)/15,MIN(1,(Skills!T14*(1+Inputs!$B$35/100))/(1/Q1305)))))+((C1304=TRUE)*IF(Inputs!$B$3&gt;=82,IF(Inputs!$B$39="pvp",20,(1-Summary!$B$11)*(20)+Summary!$B$11*(0)),0)*IF(AND(Inputs!$B$39&lt;&gt;"pvp",Inputs!$B$44&gt;0),(((R1304-1)*MIN((Skills!T13*(1+Inputs!$B$35/100)),(1/Q1304))+MIN((Skills!T13*(1+Inputs!$B$35/100)),MAX(0,Inputs!$B$44-((R1304-1)*(1/Q1304)))))/Inputs!$B$44),IF(Inputs!$B$39="pvp",MIN((Skills!T13*(1+Inputs!$B$35/100)),15)/15,MIN(1,(Skills!T13*(1+Inputs!$B$35/100))/(1/Q1304)))))+(IF(AND(ArtifactsInput!$M$35,Inputs!$B$4&lt;&gt;"Chapter Hunt"),CHOOSE(ArtifactsInput!$N$35+1,15,18,21,24,27,30)*(1-EXP(-(0.2*B1322)*5)),0)+IF(AND(ArtifactsInput!$M$22,Inputs!$B$4&lt;&gt;"Chapter Hunt"),CHOOSE(ArtifactsInput!$N$22+1,10,12,14,16,18,20)*((0*(((0.15*B1322*5))^0/1)+1*(((0.15*B1322*5))^1/1)+2*(((0.15*B1322*5))^2/2)+3*(((0.15*B1322*5))^3/6)+4*(((0.15*B1322*5))^4/24)+5*(((0.15*B1322*5))^5/120))/((((0.15*B1322*5))^0/1)+(((0.15*B1322*5))^1/1)+(((0.15*B1322*5))^2/2)+(((0.15*B1322*5))^3/6)+(((0.15*B1322*5))^4/24)+(((0.15*B1322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1296*(1-MIN(100,(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1296*(MIN(100,(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1296*(1-MIN(100,(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1296*(MIN(100,(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96">
        <f>IF(C1296,(H1296*N1296*IF(AND(Inputs!$B$39&lt;&gt;"pvp",Inputs!$B$44&gt;0),((Skills!G5*((R1296-1)*IF(Skills!H5&gt;0,INT(Skills!I5/Skills!H5+0.000000001),1)+IF(Skills!H5&gt;0,INT(MIN(Skills!I5,MAX(0,MAX(0,Inputs!$B$44-B1327)-((R1296-1)*IF(Inputs!$B$39="pvp",15,MAX(0.1,Skills!D5-IF(TRUE=TRUE,Inputs!$B$33,0))))))/Skills!H5+0.000000001),1)))/Inputs!$B$44),G1296*Q1296))*IF(Inputs!$B$39="pvp",1,(1+(Inputs!$B$22+Skills!Q5+((C1308=TRUE)*F1308*IF(AND(Inputs!$B$39&lt;&gt;"pvp",Inputs!$B$44&gt;0),(((R1308-1)*MIN((Skills!T17*(1+Inputs!$B$35/100)),(1/Q1308))+MIN((Skills!T17*(1+Inputs!$B$35/100)),MAX(0,Inputs!$B$44-((R1308-1)*(1/Q1308)))))/Inputs!$B$44),IF(Inputs!$B$39="pvp",MIN((Skills!T17*(1+Inputs!$B$35/100)),15)/15,MIN(1,(Skills!T17*(1+Inputs!$B$35/100))/(1/Q1308)))))+((C1296=TRUE)*IF(Inputs!$B$3&gt;=126,10*MIN(1,15*Q1296),0))+((C1305=TRUE)*IF(Inputs!$B$39="pvp",20,(1-Summary!$B$11)*(20)+Summary!$B$11*(0))*IF(AND(Inputs!$B$39&lt;&gt;"pvp",Inputs!$B$44&gt;0),(((R1305-1)*MIN((Skills!T14*(1+Inputs!$B$35/100)),(1/Q1305))+MIN((Skills!T14*(1+Inputs!$B$35/100)),MAX(0,Inputs!$B$44-((R1305-1)*(1/Q1305)))))/Inputs!$B$44),IF(Inputs!$B$39="pvp",MIN((Skills!T14*(1+Inputs!$B$35/100)),15)/15,MIN(1,(Skills!T14*(1+Inputs!$B$35/100))/(1/Q1305)))))+((C1304=TRUE)*IF(Inputs!$B$3&gt;=82,IF(Inputs!$B$39="pvp",20,(1-Summary!$B$11)*(20)+Summary!$B$11*(0)),0)*IF(AND(Inputs!$B$39&lt;&gt;"pvp",Inputs!$B$44&gt;0),(((R1304-1)*MIN((Skills!T13*(1+Inputs!$B$35/100)),(1/Q1304))+MIN((Skills!T13*(1+Inputs!$B$35/100)),MAX(0,Inputs!$B$44-((R1304-1)*(1/Q1304)))))/Inputs!$B$44),IF(Inputs!$B$39="pvp",MIN((Skills!T13*(1+Inputs!$B$35/100)),15)/15,MIN(1,(Skills!T13*(1+Inputs!$B$35/100))/(1/Q1304)))))+(IF(AND(ArtifactsInput!$M$35,Inputs!$B$4&lt;&gt;"Chapter Hunt"),CHOOSE(ArtifactsInput!$N$35+1,15,18,21,24,27,30)*(1-EXP(-(0.2*B1322)*5)),0)+IF(AND(ArtifactsInput!$M$22,Inputs!$B$4&lt;&gt;"Chapter Hunt"),CHOOSE(ArtifactsInput!$N$22+1,10,12,14,16,18,20)*((0*(((0.15*B1322*5))^0/1)+1*(((0.15*B1322*5))^1/1)+2*(((0.15*B1322*5))^2/2)+3*(((0.15*B1322*5))^3/6)+4*(((0.15*B1322*5))^4/24)+5*(((0.15*B1322*5))^5/120))/((((0.15*B1322*5))^0/1)+(((0.15*B1322*5))^1/1)+(((0.15*B1322*5))^2/2)+(((0.15*B1322*5))^3/6)+(((0.15*B1322*5))^4/24)+(((0.15*B1322*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97">
      <c r="A1297">
        <f>Skills!A6</f>
        <v/>
      </c>
      <c r="B1297">
        <f>Skills!B6</f>
        <v/>
      </c>
      <c r="C1297">
        <f>Inputs!$B$3&gt;=103</f>
        <v/>
      </c>
      <c r="D1297">
        <f>IF(Skills!C6=1,60+Inputs!$B$26+Inputs!$B$30,IF(Skills!C6=2,90+Inputs!$B$27+Inputs!$B$30,IF(Skills!C6=3,120+Inputs!$B$28+Inputs!$B$30,MAX(0,(Inputs!$B$3-100)*3)+Inputs!$B$29+Inputs!$B$30)))</f>
        <v/>
      </c>
      <c r="E1297">
        <f>INDEX(FactorTable!$B$2:$Y$301, MATCH(ROUND(MIN(300,MAX(1,D1297)),0), FactorTable!$A$2:$A$301,0), Skills!M6+1)</f>
        <v/>
      </c>
      <c r="F1297">
        <f>IF(Skills!N6=TRUE,(Skills!L6/10)*(E1297/1000),Skills!L6/10)+Skills!O6</f>
        <v/>
      </c>
      <c r="G1297">
        <f>Skills!G6*IF(Skills!H6&gt;0,INT(IF(Inputs!$B$39="pvp",MIN(Skills!I6,15),Skills!I6)/Skills!H6+0.000000001),1)</f>
        <v/>
      </c>
      <c r="H1297">
        <f>1-(1-Skills!J6/100)^Skills!K6</f>
        <v/>
      </c>
      <c r="I1297" t="inlineStr">
        <is>
          <t>1</t>
        </is>
      </c>
      <c r="J1297">
        <f>((Inputs!$B$6*(1+Inputs!$B$7/100))+(((Inputs!$B$13*(1+Inputs!$B$14/100))-(Inputs!$B$13*(1+Inputs!$B$14/100)))+0.25*(Inputs!$B$15-Inputs!$B$15))*(1+Inputs!$B$7/100))*(F1297/100)</f>
        <v/>
      </c>
      <c r="K1297">
        <f>J1297*(1+(((Inputs!$B$13+IF(Inputs!$B$3&gt;=38,(10*INDEX(FactorTable!$B$2:$Y$301, MATCH(ROUND(MIN(300,MAX(1,Inputs!$B$3)),0), FactorTable!$A$2:$A$301,0), 23)/1000)/100*(Inputs!$B$8*(1+Inputs!$B$9/100)),0))*(1+Inputs!$B$14/100))*0.01+Inputs!$B$15*0.0025)/100)*(1+Inputs!$B$16/100)*(1+Inputs!$B$17/100)*(5000/(6000+Inputs!$B$43*(1-(Inputs!$B$20+0)/100)))*(1+(Inputs!$B$25+((C1316=TRUE)*(F1316-Calc!F25))+((C1317=TRUE)*(F1317-Calc!F26))+B1326)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gt;=100),MIN(100,((Inputs!$B$10+0+B1320+(ArtifactsInput!$M$24-ArtifactsInput!$M$24)*CHOOSE(ArtifactsInput!$N$24+1,10,12,14,16,18,20)+IF(ArtifactsInput!$M$10,CHOOSE(ArtifactsInput!$N$10+1,15,18,21,24,27,30)*(IF(Inputs!$B$39="pvp",MIN(15,15)/15,IF(AND(Inputs!$B$39&lt;&gt;"pvp",Inputs!$B$44&gt;0),MIN(15,Inputs!$B$44)/(Inputs!$B$44),0))),0)))-100),0))*CHOOSE(ArtifactsInput!$N$42+1,0.6,0.72,0.84,0.96,1.08,1.2))),Inputs!$B$19+((C1314=TRUE)*(F1314-Calc!F23))+(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gt;=100),CHOOSE(ArtifactsInput!$N$42+1,40,48,56,64,72,80),0))))/100)*((1+(((C1304=TRUE)*F1304*IF(AND(Inputs!$B$39&lt;&gt;"pvp",Inputs!$B$44&gt;0),(((R1304-1)*MIN((Skills!T13*(1+Inputs!$B$35/100)),(1/Q1304))+MIN((Skills!T13*(1+Inputs!$B$35/100)),MAX(0,Inputs!$B$44-((R1304-1)*(1/Q1304)))))/Inputs!$B$44),IF(Inputs!$B$39="pvp",MIN((Skills!T13*(1+Inputs!$B$35/100)),15)/15,MIN(1,(Skills!T13*(1+Inputs!$B$35/100))/(1/Q1304)))))+((C1305=TRUE)*F1305*IF(AND(Inputs!$B$39&lt;&gt;"pvp",Inputs!$B$44&gt;0),(((R1305-1)*MIN((Skills!T14*(1+Inputs!$B$35/100)),(1/Q1305))+MIN((Skills!T14*(1+Inputs!$B$35/100)),MAX(0,Inputs!$B$44-((R1305-1)*(1/Q1305)))))/Inputs!$B$44),IF(Inputs!$B$39="pvp",MIN((Skills!T14*(1+Inputs!$B$35/100)),15)/15,MIN(1,(Skills!T14*(1+Inputs!$B$35/100))/(1/Q1305)))))+((C1306=TRUE)*F1306*IF(AND(Inputs!$B$39&lt;&gt;"pvp",Inputs!$B$44&gt;0),(((R1306-1)*MIN((Skills!T15*(1+Inputs!$B$35/100)),(1/Q1306))+MIN((Skills!T15*(1+Inputs!$B$35/100)),MAX(0,Inputs!$B$44-((R1306-1)*(1/Q1306)))))/Inputs!$B$44),IF(Inputs!$B$39="pvp",MIN((Skills!T15*(1+Inputs!$B$35/100)),15)/15,MIN(1,(Skills!T15*(1+Inputs!$B$35/100))/(1/Q1306)))))+((C1307=TRUE)*F1307*IF(AND(Inputs!$B$39&lt;&gt;"pvp",Inputs!$B$44&gt;0),(((R1307-1)*MIN((Skills!T16*(1+Inputs!$B$35/100)),(1/Q1307))+MIN((Skills!T16*(1+Inputs!$B$35/100)),MAX(0,Inputs!$B$44-((R1307-1)*(1/Q1307)))))/Inputs!$B$44),IF(Inputs!$B$39="pvp",MIN((Skills!T16*(1+Inputs!$B$35/100)),15)/15,MIN(1,(Skills!T16*(1+Inputs!$B$35/100))/(1/Q1307)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1297)</f>
        <v/>
      </c>
      <c r="L1297">
        <f>K1297*(MIN(Inputs!$B$23+((C1313=TRUE)*(F1313-Calc!F22)),(Inputs!$B$24+((C1315=TRUE)*(F1315-Calc!F24))+(IF(ArtifactsInput!$M$15,CHOOSE(ArtifactsInput!$N$15+1,25,30,35,40,45,50)/100*(Inputs!$B$12-Inputs!$B$12),0))))/100+(Inputs!$B$24+((C1315=TRUE)*(F1315-Calc!F24))+(IF(ArtifactsInput!$M$15,CHOOSE(ArtifactsInput!$N$15+1,25,30,35,40,45,50)/100*(Inputs!$B$12-Inputs!$B$12),0)))/100)/2</f>
        <v/>
      </c>
      <c r="M1297">
        <f>L1297*(1+(Inputs!$B$11+0+B1325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297">
        <f>L1297*(1-MIN((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1297*(MIN((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97">
        <f>(1-Summary!$B$11)*T1297+Summary!$B$11*V1297</f>
        <v/>
      </c>
      <c r="P1297">
        <f>IF(B1330=0,0,O1297/B1330)</f>
        <v/>
      </c>
      <c r="Q1297">
        <f>IFERROR(1/IF(Inputs!$B$39="pvp",15,MAX(0.1,Skills!D6-IF(TRUE=TRUE,Inputs!$B$33,0))),0)</f>
        <v/>
      </c>
      <c r="R1297">
        <f>IF(AND(Inputs!$B$39&lt;&gt;"pvp",Inputs!$B$44&gt;0),IF(MAX(0,Inputs!$B$44-B1327)&lt;=0,0,(INT(MAX(0,Inputs!$B$44-B1327)/IF(Inputs!$B$39="pvp",15,MAX(0.1,Skills!D6-IF(TRUE=TRUE,Inputs!$B$33,0))))+1)),0)</f>
        <v/>
      </c>
      <c r="S1297">
        <f>IFERROR(O1297/N1297,0)</f>
        <v/>
      </c>
      <c r="T1297">
        <f>IF(C1297,(H1297*N1297*IF(AND(Inputs!$B$39&lt;&gt;"pvp",Inputs!$B$44&gt;0),((Skills!G6*((R1297-1)*IF(Skills!H6&gt;0,INT(Skills!I6/Skills!H6+0.000000001),1)+IF(Skills!H6&gt;0,INT(MIN(Skills!I6,MAX(0,MAX(0,Inputs!$B$44-B1327)-((R1297-1)*IF(Inputs!$B$39="pvp",15,MAX(0.1,Skills!D6-IF(TRUE=TRUE,Inputs!$B$33,0))))))/Skills!H6+0.000000001),1)))/Inputs!$B$44),G1297*Q1297))*IF(Inputs!$B$39="pvp",1,1+(Inputs!$B$21+0+Skills!P6+((C1308=TRUE)*F1308*IF(AND(Inputs!$B$39&lt;&gt;"pvp",Inputs!$B$44&gt;0),(((R1308-1)*MIN((Skills!T17*(1+Inputs!$B$35/100)),(1/Q1308))+MIN((Skills!T17*(1+Inputs!$B$35/100)),MAX(0,Inputs!$B$44-((R1308-1)*(1/Q1308)))))/Inputs!$B$44),IF(Inputs!$B$39="pvp",MIN((Skills!T17*(1+Inputs!$B$35/100)),15)/15,MIN(1,(Skills!T17*(1+Inputs!$B$35/100))/(1/Q1308)))))+((C1296=TRUE)*IF(Inputs!$B$3&gt;=126,10*MIN(1,15*Q1296),0))+((C1305=TRUE)*IF(Inputs!$B$39="pvp",20,(1-Summary!$B$11)*(20)+Summary!$B$11*(0))*IF(AND(Inputs!$B$39&lt;&gt;"pvp",Inputs!$B$44&gt;0),(((R1305-1)*MIN((Skills!T14*(1+Inputs!$B$35/100)),(1/Q1305))+MIN((Skills!T14*(1+Inputs!$B$35/100)),MAX(0,Inputs!$B$44-((R1305-1)*(1/Q1305)))))/Inputs!$B$44),IF(Inputs!$B$39="pvp",MIN((Skills!T14*(1+Inputs!$B$35/100)),15)/15,MIN(1,(Skills!T14*(1+Inputs!$B$35/100))/(1/Q1305)))))+((C1304=TRUE)*IF(Inputs!$B$3&gt;=82,IF(Inputs!$B$39="pvp",20,(1-Summary!$B$11)*(20)+Summary!$B$11*(0)),0)*IF(AND(Inputs!$B$39&lt;&gt;"pvp",Inputs!$B$44&gt;0),(((R1304-1)*MIN((Skills!T13*(1+Inputs!$B$35/100)),(1/Q1304))+MIN((Skills!T13*(1+Inputs!$B$35/100)),MAX(0,Inputs!$B$44-((R1304-1)*(1/Q1304)))))/Inputs!$B$44),IF(Inputs!$B$39="pvp",MIN((Skills!T13*(1+Inputs!$B$35/100)),15)/15,MIN(1,(Skills!T13*(1+Inputs!$B$35/100))/(1/Q1304)))))+(IF(AND(ArtifactsInput!$M$35,Inputs!$B$4&lt;&gt;"Chapter Hunt"),CHOOSE(ArtifactsInput!$N$35+1,15,18,21,24,27,30)*(1-EXP(-(0.2*B1322)*5)),0)+IF(AND(ArtifactsInput!$M$22,Inputs!$B$4&lt;&gt;"Chapter Hunt"),CHOOSE(ArtifactsInput!$N$22+1,10,12,14,16,18,20)*((0*(((0.15*B1322*5))^0/1)+1*(((0.15*B1322*5))^1/1)+2*(((0.15*B1322*5))^2/2)+3*(((0.15*B1322*5))^3/6)+4*(((0.15*B1322*5))^4/24)+5*(((0.15*B1322*5))^5/120))/((((0.15*B1322*5))^0/1)+(((0.15*B1322*5))^1/1)+(((0.15*B1322*5))^2/2)+(((0.15*B1322*5))^3/6)+(((0.15*B1322*5))^4/24)+(((0.15*B1322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1297*(1-MIN(100,(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1297*(MIN(100,(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1297*(1-MIN(100,(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1297*(MIN(100,(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97">
        <f>IF(C1297,(H1297*N1297*IF(AND(Inputs!$B$39&lt;&gt;"pvp",Inputs!$B$44&gt;0),((Skills!G6*((R1297-1)*IF(Skills!H6&gt;0,INT(Skills!I6/Skills!H6+0.000000001),1)+IF(Skills!H6&gt;0,INT(MIN(Skills!I6,MAX(0,MAX(0,Inputs!$B$44-B1327)-((R1297-1)*IF(Inputs!$B$39="pvp",15,MAX(0.1,Skills!D6-IF(TRUE=TRUE,Inputs!$B$33,0))))))/Skills!H6+0.000000001),1)))/Inputs!$B$44),G1297*Q1297))*IF(Inputs!$B$39="pvp",1,(1+(Inputs!$B$22+Skills!Q6+((C1308=TRUE)*F1308*IF(AND(Inputs!$B$39&lt;&gt;"pvp",Inputs!$B$44&gt;0),(((R1308-1)*MIN((Skills!T17*(1+Inputs!$B$35/100)),(1/Q1308))+MIN((Skills!T17*(1+Inputs!$B$35/100)),MAX(0,Inputs!$B$44-((R1308-1)*(1/Q1308)))))/Inputs!$B$44),IF(Inputs!$B$39="pvp",MIN((Skills!T17*(1+Inputs!$B$35/100)),15)/15,MIN(1,(Skills!T17*(1+Inputs!$B$35/100))/(1/Q1308)))))+((C1296=TRUE)*IF(Inputs!$B$3&gt;=126,10*MIN(1,15*Q1296),0))+((C1305=TRUE)*IF(Inputs!$B$39="pvp",20,(1-Summary!$B$11)*(20)+Summary!$B$11*(0))*IF(AND(Inputs!$B$39&lt;&gt;"pvp",Inputs!$B$44&gt;0),(((R1305-1)*MIN((Skills!T14*(1+Inputs!$B$35/100)),(1/Q1305))+MIN((Skills!T14*(1+Inputs!$B$35/100)),MAX(0,Inputs!$B$44-((R1305-1)*(1/Q1305)))))/Inputs!$B$44),IF(Inputs!$B$39="pvp",MIN((Skills!T14*(1+Inputs!$B$35/100)),15)/15,MIN(1,(Skills!T14*(1+Inputs!$B$35/100))/(1/Q1305)))))+((C1304=TRUE)*IF(Inputs!$B$3&gt;=82,IF(Inputs!$B$39="pvp",20,(1-Summary!$B$11)*(20)+Summary!$B$11*(0)),0)*IF(AND(Inputs!$B$39&lt;&gt;"pvp",Inputs!$B$44&gt;0),(((R1304-1)*MIN((Skills!T13*(1+Inputs!$B$35/100)),(1/Q1304))+MIN((Skills!T13*(1+Inputs!$B$35/100)),MAX(0,Inputs!$B$44-((R1304-1)*(1/Q1304)))))/Inputs!$B$44),IF(Inputs!$B$39="pvp",MIN((Skills!T13*(1+Inputs!$B$35/100)),15)/15,MIN(1,(Skills!T13*(1+Inputs!$B$35/100))/(1/Q1304)))))+(IF(AND(ArtifactsInput!$M$35,Inputs!$B$4&lt;&gt;"Chapter Hunt"),CHOOSE(ArtifactsInput!$N$35+1,15,18,21,24,27,30)*(1-EXP(-(0.2*B1322)*5)),0)+IF(AND(ArtifactsInput!$M$22,Inputs!$B$4&lt;&gt;"Chapter Hunt"),CHOOSE(ArtifactsInput!$N$22+1,10,12,14,16,18,20)*((0*(((0.15*B1322*5))^0/1)+1*(((0.15*B1322*5))^1/1)+2*(((0.15*B1322*5))^2/2)+3*(((0.15*B1322*5))^3/6)+4*(((0.15*B1322*5))^4/24)+5*(((0.15*B1322*5))^5/120))/((((0.15*B1322*5))^0/1)+(((0.15*B1322*5))^1/1)+(((0.15*B1322*5))^2/2)+(((0.15*B1322*5))^3/6)+(((0.15*B1322*5))^4/24)+(((0.15*B1322*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98">
      <c r="A1298">
        <f>Skills!A7</f>
        <v/>
      </c>
      <c r="B1298">
        <f>Skills!B7</f>
        <v/>
      </c>
      <c r="C1298">
        <f>Inputs!$B$3&gt;=40</f>
        <v/>
      </c>
      <c r="D1298">
        <f>IF(Skills!C7=1,60+Inputs!$B$26+Inputs!$B$30,IF(Skills!C7=2,90+Inputs!$B$27+Inputs!$B$30,IF(Skills!C7=3,120+Inputs!$B$28+Inputs!$B$30,MAX(0,(Inputs!$B$3-100)*3)+Inputs!$B$29+Inputs!$B$30)))</f>
        <v/>
      </c>
      <c r="E1298">
        <f>INDEX(FactorTable!$B$2:$Y$301, MATCH(ROUND(MIN(300,MAX(1,D1298)),0), FactorTable!$A$2:$A$301,0), Skills!M7+1)</f>
        <v/>
      </c>
      <c r="F1298">
        <f>IF(Skills!N7=TRUE,(Skills!L7/10)*(E1298/1000),Skills!L7/10)+Skills!O7</f>
        <v/>
      </c>
      <c r="G1298">
        <f>Skills!G7*IF(Skills!H7&gt;0,INT(IF(Inputs!$B$39="pvp",MIN(Skills!I7,15),Skills!I7)/Skills!H7+0.000000001),1)</f>
        <v/>
      </c>
      <c r="H1298">
        <f>1-(1-Skills!J7/100)^Skills!K7</f>
        <v/>
      </c>
      <c r="I1298" t="inlineStr">
        <is>
          <t>1</t>
        </is>
      </c>
      <c r="J1298">
        <f>((Inputs!$B$6*(1+Inputs!$B$7/100))+(((Inputs!$B$13*(1+Inputs!$B$14/100))-(Inputs!$B$13*(1+Inputs!$B$14/100)))+0.25*(Inputs!$B$15-Inputs!$B$15))*(1+Inputs!$B$7/100))*(F1298/100)</f>
        <v/>
      </c>
      <c r="K1298">
        <f>J1298*(1+(((Inputs!$B$13+IF(Inputs!$B$3&gt;=38,(10*INDEX(FactorTable!$B$2:$Y$301, MATCH(ROUND(MIN(300,MAX(1,Inputs!$B$3)),0), FactorTable!$A$2:$A$301,0), 23)/1000)/100*(Inputs!$B$8*(1+Inputs!$B$9/100)),0))*(1+Inputs!$B$14/100))*0.01+Inputs!$B$15*0.0025)/100)*(1+Inputs!$B$16/100)*(1+Inputs!$B$17/100)*(5000/(6000+Inputs!$B$43*(1-(Inputs!$B$20+0)/100)))*(1+(Inputs!$B$25+((C1316=TRUE)*(F1316-Calc!F25))+((C1317=TRUE)*(F1317-Calc!F26))+B1326)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1302=TRUE,F1302,0)/100)*(1+(IF(Skills!A7="DARK_IMPALE",Inputs!$B$18+0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gt;=100),MIN(100,((Inputs!$B$10+0+B1320+(ArtifactsInput!$M$24-ArtifactsInput!$M$24)*CHOOSE(ArtifactsInput!$N$24+1,10,12,14,16,18,20)+IF(ArtifactsInput!$M$10,CHOOSE(ArtifactsInput!$N$10+1,15,18,21,24,27,30)*(IF(Inputs!$B$39="pvp",MIN(15,15)/15,IF(AND(Inputs!$B$39&lt;&gt;"pvp",Inputs!$B$44&gt;0),MIN(15,Inputs!$B$44)/(Inputs!$B$44),0))),0)))-100),0))*CHOOSE(ArtifactsInput!$N$42+1,0.6,0.72,0.84,0.96,1.08,1.2))),Inputs!$B$19+((C1314=TRUE)*(F1314-Calc!F23))+(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gt;=100),CHOOSE(ArtifactsInput!$N$42+1,40,48,56,64,72,80),0))))/100)*((1+(((C1304=TRUE)*F1304*IF(AND(Inputs!$B$39&lt;&gt;"pvp",Inputs!$B$44&gt;0),(((R1304-1)*MIN((Skills!T13*(1+Inputs!$B$35/100)),(1/Q1304))+MIN((Skills!T13*(1+Inputs!$B$35/100)),MAX(0,Inputs!$B$44-((R1304-1)*(1/Q1304)))))/Inputs!$B$44),IF(Inputs!$B$39="pvp",MIN((Skills!T13*(1+Inputs!$B$35/100)),15)/15,MIN(1,(Skills!T13*(1+Inputs!$B$35/100))/(1/Q1304)))))+((C1305=TRUE)*F1305*IF(AND(Inputs!$B$39&lt;&gt;"pvp",Inputs!$B$44&gt;0),(((R1305-1)*MIN((Skills!T14*(1+Inputs!$B$35/100)),(1/Q1305))+MIN((Skills!T14*(1+Inputs!$B$35/100)),MAX(0,Inputs!$B$44-((R1305-1)*(1/Q1305)))))/Inputs!$B$44),IF(Inputs!$B$39="pvp",MIN((Skills!T14*(1+Inputs!$B$35/100)),15)/15,MIN(1,(Skills!T14*(1+Inputs!$B$35/100))/(1/Q1305)))))+((C1306=TRUE)*F1306*IF(AND(Inputs!$B$39&lt;&gt;"pvp",Inputs!$B$44&gt;0),(((R1306-1)*MIN((Skills!T15*(1+Inputs!$B$35/100)),(1/Q1306))+MIN((Skills!T15*(1+Inputs!$B$35/100)),MAX(0,Inputs!$B$44-((R1306-1)*(1/Q1306)))))/Inputs!$B$44),IF(Inputs!$B$39="pvp",MIN((Skills!T15*(1+Inputs!$B$35/100)),15)/15,MIN(1,(Skills!T15*(1+Inputs!$B$35/100))/(1/Q1306)))))+((C1307=TRUE)*F1307*IF(AND(Inputs!$B$39&lt;&gt;"pvp",Inputs!$B$44&gt;0),(((R1307-1)*MIN((Skills!T16*(1+Inputs!$B$35/100)),(1/Q1307))+MIN((Skills!T16*(1+Inputs!$B$35/100)),MAX(0,Inputs!$B$44-((R1307-1)*(1/Q1307)))))/Inputs!$B$44),IF(Inputs!$B$39="pvp",MIN((Skills!T16*(1+Inputs!$B$35/100)),15)/15,MIN(1,(Skills!T16*(1+Inputs!$B$35/100))/(1/Q1307)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1298)</f>
        <v/>
      </c>
      <c r="L1298">
        <f>K1298*(MIN(Inputs!$B$23+((C1313=TRUE)*(F1313-Calc!F22)),(Inputs!$B$24+((C1315=TRUE)*(F1315-Calc!F24))+(IF(ArtifactsInput!$M$15,CHOOSE(ArtifactsInput!$N$15+1,25,30,35,40,45,50)/100*(Inputs!$B$12-Inputs!$B$12),0))))/100+(Inputs!$B$24+((C1315=TRUE)*(F1315-Calc!F24))+(IF(ArtifactsInput!$M$15,CHOOSE(ArtifactsInput!$N$15+1,25,30,35,40,45,50)/100*(Inputs!$B$12-Inputs!$B$12),0)))/100)/2</f>
        <v/>
      </c>
      <c r="M1298">
        <f>L1298*(1+(Inputs!$B$11+0+B1325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298">
        <f>L1298*(1-MIN((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1298*(MIN((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98">
        <f>(1-Summary!$B$11)*T1298+Summary!$B$11*V1298</f>
        <v/>
      </c>
      <c r="P1298">
        <f>IF(B1330=0,0,O1298/B1330)</f>
        <v/>
      </c>
      <c r="Q1298">
        <f>IFERROR(1/IF(Inputs!$B$39="pvp",15,MAX(0.1,Skills!D7-IF(TRUE=TRUE,Inputs!$B$33,0))),0)</f>
        <v/>
      </c>
      <c r="R1298">
        <f>IF(AND(Inputs!$B$39&lt;&gt;"pvp",Inputs!$B$44&gt;0),IF(MAX(0,Inputs!$B$44-B1327)&lt;=0,0,(INT(MAX(0,Inputs!$B$44-B1327)/IF(Inputs!$B$39="pvp",15,MAX(0.1,Skills!D7-IF(TRUE=TRUE,Inputs!$B$33,0))))+1)),0)</f>
        <v/>
      </c>
      <c r="S1298">
        <f>IFERROR(O1298/N1298,0)</f>
        <v/>
      </c>
      <c r="T1298">
        <f>IF(C1298,(H1298*N1298*IF(AND(Inputs!$B$39&lt;&gt;"pvp",Inputs!$B$44&gt;0),((Skills!G7*((R1298-1)*IF(Skills!H7&gt;0,INT(Skills!I7/Skills!H7+0.000000001),1)+IF(Skills!H7&gt;0,INT(MIN(Skills!I7,MAX(0,MAX(0,Inputs!$B$44-B1327)-((R1298-1)*IF(Inputs!$B$39="pvp",15,MAX(0.1,Skills!D7-IF(TRUE=TRUE,Inputs!$B$33,0))))))/Skills!H7+0.000000001),1)))/Inputs!$B$44),G1298*Q1298))*IF(Inputs!$B$39="pvp",1,1+(Inputs!$B$21+0+Skills!P7+((C1308=TRUE)*F1308*IF(AND(Inputs!$B$39&lt;&gt;"pvp",Inputs!$B$44&gt;0),(((R1308-1)*MIN((Skills!T17*(1+Inputs!$B$35/100)),(1/Q1308))+MIN((Skills!T17*(1+Inputs!$B$35/100)),MAX(0,Inputs!$B$44-((R1308-1)*(1/Q1308)))))/Inputs!$B$44),IF(Inputs!$B$39="pvp",MIN((Skills!T17*(1+Inputs!$B$35/100)),15)/15,MIN(1,(Skills!T17*(1+Inputs!$B$35/100))/(1/Q1308)))))+((C1296=TRUE)*IF(Inputs!$B$3&gt;=126,10*MIN(1,15*Q1296),0))+((C1305=TRUE)*IF(Inputs!$B$39="pvp",20,(1-Summary!$B$11)*(20)+Summary!$B$11*(0))*IF(AND(Inputs!$B$39&lt;&gt;"pvp",Inputs!$B$44&gt;0),(((R1305-1)*MIN((Skills!T14*(1+Inputs!$B$35/100)),(1/Q1305))+MIN((Skills!T14*(1+Inputs!$B$35/100)),MAX(0,Inputs!$B$44-((R1305-1)*(1/Q1305)))))/Inputs!$B$44),IF(Inputs!$B$39="pvp",MIN((Skills!T14*(1+Inputs!$B$35/100)),15)/15,MIN(1,(Skills!T14*(1+Inputs!$B$35/100))/(1/Q1305)))))+((C1304=TRUE)*IF(Inputs!$B$3&gt;=82,IF(Inputs!$B$39="pvp",20,(1-Summary!$B$11)*(20)+Summary!$B$11*(0)),0)*IF(AND(Inputs!$B$39&lt;&gt;"pvp",Inputs!$B$44&gt;0),(((R1304-1)*MIN((Skills!T13*(1+Inputs!$B$35/100)),(1/Q1304))+MIN((Skills!T13*(1+Inputs!$B$35/100)),MAX(0,Inputs!$B$44-((R1304-1)*(1/Q1304)))))/Inputs!$B$44),IF(Inputs!$B$39="pvp",MIN((Skills!T13*(1+Inputs!$B$35/100)),15)/15,MIN(1,(Skills!T13*(1+Inputs!$B$35/100))/(1/Q1304)))))+(IF(AND(ArtifactsInput!$M$35,Inputs!$B$4&lt;&gt;"Chapter Hunt"),CHOOSE(ArtifactsInput!$N$35+1,15,18,21,24,27,30)*(1-EXP(-(0.2*B1322)*5)),0)+IF(AND(ArtifactsInput!$M$22,Inputs!$B$4&lt;&gt;"Chapter Hunt"),CHOOSE(ArtifactsInput!$N$22+1,10,12,14,16,18,20)*((0*(((0.15*B1322*5))^0/1)+1*(((0.15*B1322*5))^1/1)+2*(((0.15*B1322*5))^2/2)+3*(((0.15*B1322*5))^3/6)+4*(((0.15*B1322*5))^4/24)+5*(((0.15*B1322*5))^5/120))/((((0.15*B1322*5))^0/1)+(((0.15*B1322*5))^1/1)+(((0.15*B1322*5))^2/2)+(((0.15*B1322*5))^3/6)+(((0.15*B1322*5))^4/24)+(((0.15*B1322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1298*(1-MIN(100,(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1298*(MIN(100,(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1298*(1-MIN(100,(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1298*(MIN(100,(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298">
        <f>IF(C1298,(H1298*N1298*IF(AND(Inputs!$B$39&lt;&gt;"pvp",Inputs!$B$44&gt;0),((Skills!G7*((R1298-1)*IF(Skills!H7&gt;0,INT(Skills!I7/Skills!H7+0.000000001),1)+IF(Skills!H7&gt;0,INT(MIN(Skills!I7,MAX(0,MAX(0,Inputs!$B$44-B1327)-((R1298-1)*IF(Inputs!$B$39="pvp",15,MAX(0.1,Skills!D7-IF(TRUE=TRUE,Inputs!$B$33,0))))))/Skills!H7+0.000000001),1)))/Inputs!$B$44),G1298*Q1298))*IF(Inputs!$B$39="pvp",1,(1+(Inputs!$B$22+Skills!Q7+((C1308=TRUE)*F1308*IF(AND(Inputs!$B$39&lt;&gt;"pvp",Inputs!$B$44&gt;0),(((R1308-1)*MIN((Skills!T17*(1+Inputs!$B$35/100)),(1/Q1308))+MIN((Skills!T17*(1+Inputs!$B$35/100)),MAX(0,Inputs!$B$44-((R1308-1)*(1/Q1308)))))/Inputs!$B$44),IF(Inputs!$B$39="pvp",MIN((Skills!T17*(1+Inputs!$B$35/100)),15)/15,MIN(1,(Skills!T17*(1+Inputs!$B$35/100))/(1/Q1308)))))+((C1296=TRUE)*IF(Inputs!$B$3&gt;=126,10*MIN(1,15*Q1296),0))+((C1305=TRUE)*IF(Inputs!$B$39="pvp",20,(1-Summary!$B$11)*(20)+Summary!$B$11*(0))*IF(AND(Inputs!$B$39&lt;&gt;"pvp",Inputs!$B$44&gt;0),(((R1305-1)*MIN((Skills!T14*(1+Inputs!$B$35/100)),(1/Q1305))+MIN((Skills!T14*(1+Inputs!$B$35/100)),MAX(0,Inputs!$B$44-((R1305-1)*(1/Q1305)))))/Inputs!$B$44),IF(Inputs!$B$39="pvp",MIN((Skills!T14*(1+Inputs!$B$35/100)),15)/15,MIN(1,(Skills!T14*(1+Inputs!$B$35/100))/(1/Q1305)))))+((C1304=TRUE)*IF(Inputs!$B$3&gt;=82,IF(Inputs!$B$39="pvp",20,(1-Summary!$B$11)*(20)+Summary!$B$11*(0)),0)*IF(AND(Inputs!$B$39&lt;&gt;"pvp",Inputs!$B$44&gt;0),(((R1304-1)*MIN((Skills!T13*(1+Inputs!$B$35/100)),(1/Q1304))+MIN((Skills!T13*(1+Inputs!$B$35/100)),MAX(0,Inputs!$B$44-((R1304-1)*(1/Q1304)))))/Inputs!$B$44),IF(Inputs!$B$39="pvp",MIN((Skills!T13*(1+Inputs!$B$35/100)),15)/15,MIN(1,(Skills!T13*(1+Inputs!$B$35/100))/(1/Q1304)))))+(IF(AND(ArtifactsInput!$M$35,Inputs!$B$4&lt;&gt;"Chapter Hunt"),CHOOSE(ArtifactsInput!$N$35+1,15,18,21,24,27,30)*(1-EXP(-(0.2*B1322)*5)),0)+IF(AND(ArtifactsInput!$M$22,Inputs!$B$4&lt;&gt;"Chapter Hunt"),CHOOSE(ArtifactsInput!$N$22+1,10,12,14,16,18,20)*((0*(((0.15*B1322*5))^0/1)+1*(((0.15*B1322*5))^1/1)+2*(((0.15*B1322*5))^2/2)+3*(((0.15*B1322*5))^3/6)+4*(((0.15*B1322*5))^4/24)+5*(((0.15*B1322*5))^5/120))/((((0.15*B1322*5))^0/1)+(((0.15*B1322*5))^1/1)+(((0.15*B1322*5))^2/2)+(((0.15*B1322*5))^3/6)+(((0.15*B1322*5))^4/24)+(((0.15*B1322*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99">
      <c r="A1299">
        <f>Skills!A8</f>
        <v/>
      </c>
      <c r="B1299">
        <f>Skills!B8</f>
        <v/>
      </c>
      <c r="C1299">
        <f>Inputs!$B$3&gt;=75</f>
        <v/>
      </c>
      <c r="D1299">
        <f>IF(Skills!C8=1,60+Inputs!$B$26+Inputs!$B$30,IF(Skills!C8=2,90+Inputs!$B$27+Inputs!$B$30,IF(Skills!C8=3,120+Inputs!$B$28+Inputs!$B$30,MAX(0,(Inputs!$B$3-100)*3)+Inputs!$B$29+Inputs!$B$30)))</f>
        <v/>
      </c>
      <c r="E1299">
        <f>INDEX(FactorTable!$B$2:$Y$301, MATCH(ROUND(MIN(300,MAX(1,D1299)),0), FactorTable!$A$2:$A$301,0), Skills!M8+1)</f>
        <v/>
      </c>
      <c r="F1299">
        <f>IF(Skills!N8=TRUE,(Skills!L8/10)*(E1299/1000),Skills!L8/10)+Skills!O8</f>
        <v/>
      </c>
      <c r="G1299" t="inlineStr"/>
      <c r="H1299" t="inlineStr"/>
      <c r="I1299" t="inlineStr">
        <is>
          <t>1</t>
        </is>
      </c>
      <c r="J1299" t="inlineStr"/>
      <c r="K1299" t="inlineStr"/>
      <c r="L1299" t="inlineStr"/>
      <c r="M1299" t="inlineStr"/>
      <c r="N1299" t="inlineStr"/>
      <c r="O1299" t="inlineStr"/>
      <c r="P1299" t="inlineStr"/>
      <c r="Q1299" t="inlineStr"/>
      <c r="R1299" t="inlineStr"/>
      <c r="S1299" t="inlineStr"/>
    </row>
    <row r="1300">
      <c r="A1300">
        <f>Skills!A9</f>
        <v/>
      </c>
      <c r="B1300">
        <f>Skills!B9</f>
        <v/>
      </c>
      <c r="C1300">
        <f>Inputs!$B$3&gt;=60</f>
        <v/>
      </c>
      <c r="D1300">
        <f>IF(Skills!C9=1,60+Inputs!$B$26+Inputs!$B$30,IF(Skills!C9=2,90+Inputs!$B$27+Inputs!$B$30,IF(Skills!C9=3,120+Inputs!$B$28+Inputs!$B$30,MAX(0,(Inputs!$B$3-100)*3)+Inputs!$B$29+Inputs!$B$30)))</f>
        <v/>
      </c>
      <c r="E1300">
        <f>INDEX(FactorTable!$B$2:$Y$301, MATCH(ROUND(MIN(300,MAX(1,D1300)),0), FactorTable!$A$2:$A$301,0), Skills!M9+1)</f>
        <v/>
      </c>
      <c r="F1300">
        <f>IF(Skills!N9=TRUE,(Skills!L9/10)*(E1300/1000),Skills!L9/10)+Skills!O9</f>
        <v/>
      </c>
      <c r="G1300">
        <f>Skills!G9*IF(Skills!H9&gt;0,INT(IF(Inputs!$B$39="pvp",MIN(Skills!I9,15),Skills!I9)/Skills!H9+0.000000001),1)</f>
        <v/>
      </c>
      <c r="H1300">
        <f>1-(1-Skills!J9/100)^Skills!K9</f>
        <v/>
      </c>
      <c r="I1300" t="inlineStr">
        <is>
          <t>1</t>
        </is>
      </c>
      <c r="J1300">
        <f>((Inputs!$B$6*(1+Inputs!$B$7/100))+(((Inputs!$B$13*(1+Inputs!$B$14/100))-(Inputs!$B$13*(1+Inputs!$B$14/100)))+0.25*(Inputs!$B$15-Inputs!$B$15))*(1+Inputs!$B$7/100))*(F1300/100)</f>
        <v/>
      </c>
      <c r="K1300">
        <f>J1300*(1+(((Inputs!$B$13+IF(Inputs!$B$3&gt;=38,(10*INDEX(FactorTable!$B$2:$Y$301, MATCH(ROUND(MIN(300,MAX(1,Inputs!$B$3)),0), FactorTable!$A$2:$A$301,0), 23)/1000)/100*(Inputs!$B$8*(1+Inputs!$B$9/100)),0))*(1+Inputs!$B$14/100))*0.01+Inputs!$B$15*0.0025)/100)*(1+Inputs!$B$16/100)*(1+Inputs!$B$17/100)*(5000/(6000+Inputs!$B$43*(1-(Inputs!$B$20+0)/100)))*(1+(Inputs!$B$25+((C1316=TRUE)*(F1316-Calc!F25))+((C1317=TRUE)*(F1317-Calc!F26))+B1326)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1302=TRUE,F1302,0)/100)*(1+(IF(Skills!A9="DARK_IMPALE",Inputs!$B$18+0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gt;=100),MIN(100,((Inputs!$B$10+0+B1320+(ArtifactsInput!$M$24-ArtifactsInput!$M$24)*CHOOSE(ArtifactsInput!$N$24+1,10,12,14,16,18,20)+IF(ArtifactsInput!$M$10,CHOOSE(ArtifactsInput!$N$10+1,15,18,21,24,27,30)*(IF(Inputs!$B$39="pvp",MIN(15,15)/15,IF(AND(Inputs!$B$39&lt;&gt;"pvp",Inputs!$B$44&gt;0),MIN(15,Inputs!$B$44)/(Inputs!$B$44),0))),0)))-100),0))*CHOOSE(ArtifactsInput!$N$42+1,0.6,0.72,0.84,0.96,1.08,1.2))),Inputs!$B$19+((C1314=TRUE)*(F1314-Calc!F23))+(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gt;=100),CHOOSE(ArtifactsInput!$N$42+1,40,48,56,64,72,80),0))))/100)*((1+(((C1304=TRUE)*F1304*IF(AND(Inputs!$B$39&lt;&gt;"pvp",Inputs!$B$44&gt;0),(((R1304-1)*MIN((Skills!T13*(1+Inputs!$B$35/100)),(1/Q1304))+MIN((Skills!T13*(1+Inputs!$B$35/100)),MAX(0,Inputs!$B$44-((R1304-1)*(1/Q1304)))))/Inputs!$B$44),IF(Inputs!$B$39="pvp",MIN((Skills!T13*(1+Inputs!$B$35/100)),15)/15,MIN(1,(Skills!T13*(1+Inputs!$B$35/100))/(1/Q1304)))))+((C1305=TRUE)*F1305*IF(AND(Inputs!$B$39&lt;&gt;"pvp",Inputs!$B$44&gt;0),(((R1305-1)*MIN((Skills!T14*(1+Inputs!$B$35/100)),(1/Q1305))+MIN((Skills!T14*(1+Inputs!$B$35/100)),MAX(0,Inputs!$B$44-((R1305-1)*(1/Q1305)))))/Inputs!$B$44),IF(Inputs!$B$39="pvp",MIN((Skills!T14*(1+Inputs!$B$35/100)),15)/15,MIN(1,(Skills!T14*(1+Inputs!$B$35/100))/(1/Q1305)))))+((C1306=TRUE)*F1306*IF(AND(Inputs!$B$39&lt;&gt;"pvp",Inputs!$B$44&gt;0),(((R1306-1)*MIN((Skills!T15*(1+Inputs!$B$35/100)),(1/Q1306))+MIN((Skills!T15*(1+Inputs!$B$35/100)),MAX(0,Inputs!$B$44-((R1306-1)*(1/Q1306)))))/Inputs!$B$44),IF(Inputs!$B$39="pvp",MIN((Skills!T15*(1+Inputs!$B$35/100)),15)/15,MIN(1,(Skills!T15*(1+Inputs!$B$35/100))/(1/Q1306)))))+((C1307=TRUE)*F1307*IF(AND(Inputs!$B$39&lt;&gt;"pvp",Inputs!$B$44&gt;0),(((R1307-1)*MIN((Skills!T16*(1+Inputs!$B$35/100)),(1/Q1307))+MIN((Skills!T16*(1+Inputs!$B$35/100)),MAX(0,Inputs!$B$44-((R1307-1)*(1/Q1307)))))/Inputs!$B$44),IF(Inputs!$B$39="pvp",MIN((Skills!T16*(1+Inputs!$B$35/100)),15)/15,MIN(1,(Skills!T16*(1+Inputs!$B$35/100))/(1/Q1307)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1300)</f>
        <v/>
      </c>
      <c r="L1300">
        <f>K1300*(MIN(Inputs!$B$23+((C1313=TRUE)*(F1313-Calc!F22)),(Inputs!$B$24+((C1315=TRUE)*(F1315-Calc!F24))+(IF(ArtifactsInput!$M$15,CHOOSE(ArtifactsInput!$N$15+1,25,30,35,40,45,50)/100*(Inputs!$B$12-Inputs!$B$12),0))))/100+(Inputs!$B$24+((C1315=TRUE)*(F1315-Calc!F24))+(IF(ArtifactsInput!$M$15,CHOOSE(ArtifactsInput!$N$15+1,25,30,35,40,45,50)/100*(Inputs!$B$12-Inputs!$B$12),0)))/100)/2</f>
        <v/>
      </c>
      <c r="M1300">
        <f>L1300*(1+(Inputs!$B$11+0+B1325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300">
        <f>L1300*(1-MIN((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1300*(MIN((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00">
        <f>(1-Summary!$B$11)*T1300+Summary!$B$11*V1300</f>
        <v/>
      </c>
      <c r="P1300">
        <f>IF(B1330=0,0,O1300/B1330)</f>
        <v/>
      </c>
      <c r="Q1300">
        <f>IFERROR(1/IF(Inputs!$B$39="pvp",15,MAX(0.1,Skills!D9-IF(TRUE=TRUE,Inputs!$B$33,0))),0)</f>
        <v/>
      </c>
      <c r="R1300">
        <f>IF(AND(Inputs!$B$39&lt;&gt;"pvp",Inputs!$B$44&gt;0),IF(MAX(0,Inputs!$B$44-B1327)&lt;=0,0,(INT(MAX(0,Inputs!$B$44-B1327)/IF(Inputs!$B$39="pvp",15,MAX(0.1,Skills!D9-IF(TRUE=TRUE,Inputs!$B$33,0))))+1)),0)</f>
        <v/>
      </c>
      <c r="S1300">
        <f>IFERROR(O1300/N1300,0)</f>
        <v/>
      </c>
      <c r="T1300">
        <f>IF(C1300,(H1300*N1300*IF(AND(Inputs!$B$39&lt;&gt;"pvp",Inputs!$B$44&gt;0),((Skills!G9*((R1300-1)*IF(Skills!H9&gt;0,INT(Skills!I9/Skills!H9+0.000000001),1)+IF(Skills!H9&gt;0,INT(MIN(Skills!I9,MAX(0,MAX(0,Inputs!$B$44-B1327)-((R1300-1)*IF(Inputs!$B$39="pvp",15,MAX(0.1,Skills!D9-IF(TRUE=TRUE,Inputs!$B$33,0))))))/Skills!H9+0.000000001),1)))/Inputs!$B$44),G1300*Q1300))*IF(Inputs!$B$39="pvp",1,1+(Inputs!$B$21+0+Skills!P9+((C1308=TRUE)*F1308*IF(AND(Inputs!$B$39&lt;&gt;"pvp",Inputs!$B$44&gt;0),(((R1308-1)*MIN((Skills!T17*(1+Inputs!$B$35/100)),(1/Q1308))+MIN((Skills!T17*(1+Inputs!$B$35/100)),MAX(0,Inputs!$B$44-((R1308-1)*(1/Q1308)))))/Inputs!$B$44),IF(Inputs!$B$39="pvp",MIN((Skills!T17*(1+Inputs!$B$35/100)),15)/15,MIN(1,(Skills!T17*(1+Inputs!$B$35/100))/(1/Q1308)))))+((C1296=TRUE)*IF(Inputs!$B$3&gt;=126,10*MIN(1,15*Q1296),0))+((C1305=TRUE)*IF(Inputs!$B$39="pvp",20,(1-Summary!$B$11)*(20)+Summary!$B$11*(0))*IF(AND(Inputs!$B$39&lt;&gt;"pvp",Inputs!$B$44&gt;0),(((R1305-1)*MIN((Skills!T14*(1+Inputs!$B$35/100)),(1/Q1305))+MIN((Skills!T14*(1+Inputs!$B$35/100)),MAX(0,Inputs!$B$44-((R1305-1)*(1/Q1305)))))/Inputs!$B$44),IF(Inputs!$B$39="pvp",MIN((Skills!T14*(1+Inputs!$B$35/100)),15)/15,MIN(1,(Skills!T14*(1+Inputs!$B$35/100))/(1/Q1305)))))+((C1304=TRUE)*IF(Inputs!$B$3&gt;=82,IF(Inputs!$B$39="pvp",20,(1-Summary!$B$11)*(20)+Summary!$B$11*(0)),0)*IF(AND(Inputs!$B$39&lt;&gt;"pvp",Inputs!$B$44&gt;0),(((R1304-1)*MIN((Skills!T13*(1+Inputs!$B$35/100)),(1/Q1304))+MIN((Skills!T13*(1+Inputs!$B$35/100)),MAX(0,Inputs!$B$44-((R1304-1)*(1/Q1304)))))/Inputs!$B$44),IF(Inputs!$B$39="pvp",MIN((Skills!T13*(1+Inputs!$B$35/100)),15)/15,MIN(1,(Skills!T13*(1+Inputs!$B$35/100))/(1/Q1304)))))+(IF(AND(ArtifactsInput!$M$35,Inputs!$B$4&lt;&gt;"Chapter Hunt"),CHOOSE(ArtifactsInput!$N$35+1,15,18,21,24,27,30)*(1-EXP(-(0.2*B1322)*5)),0)+IF(AND(ArtifactsInput!$M$22,Inputs!$B$4&lt;&gt;"Chapter Hunt"),CHOOSE(ArtifactsInput!$N$22+1,10,12,14,16,18,20)*((0*(((0.15*B1322*5))^0/1)+1*(((0.15*B1322*5))^1/1)+2*(((0.15*B1322*5))^2/2)+3*(((0.15*B1322*5))^3/6)+4*(((0.15*B1322*5))^4/24)+5*(((0.15*B1322*5))^5/120))/((((0.15*B1322*5))^0/1)+(((0.15*B1322*5))^1/1)+(((0.15*B1322*5))^2/2)+(((0.15*B1322*5))^3/6)+(((0.15*B1322*5))^4/24)+(((0.15*B1322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1300*(1-MIN(100,(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1300*(MIN(100,(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1300*(1-MIN(100,(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1300*(MIN(100,(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00">
        <f>IF(C1300,(H1300*N1300*IF(AND(Inputs!$B$39&lt;&gt;"pvp",Inputs!$B$44&gt;0),((Skills!G9*((R1300-1)*IF(Skills!H9&gt;0,INT(Skills!I9/Skills!H9+0.000000001),1)+IF(Skills!H9&gt;0,INT(MIN(Skills!I9,MAX(0,MAX(0,Inputs!$B$44-B1327)-((R1300-1)*IF(Inputs!$B$39="pvp",15,MAX(0.1,Skills!D9-IF(TRUE=TRUE,Inputs!$B$33,0))))))/Skills!H9+0.000000001),1)))/Inputs!$B$44),G1300*Q1300))*IF(Inputs!$B$39="pvp",1,(1+(Inputs!$B$22+Skills!Q9+((C1308=TRUE)*F1308*IF(AND(Inputs!$B$39&lt;&gt;"pvp",Inputs!$B$44&gt;0),(((R1308-1)*MIN((Skills!T17*(1+Inputs!$B$35/100)),(1/Q1308))+MIN((Skills!T17*(1+Inputs!$B$35/100)),MAX(0,Inputs!$B$44-((R1308-1)*(1/Q1308)))))/Inputs!$B$44),IF(Inputs!$B$39="pvp",MIN((Skills!T17*(1+Inputs!$B$35/100)),15)/15,MIN(1,(Skills!T17*(1+Inputs!$B$35/100))/(1/Q1308)))))+((C1296=TRUE)*IF(Inputs!$B$3&gt;=126,10*MIN(1,15*Q1296),0))+((C1305=TRUE)*IF(Inputs!$B$39="pvp",20,(1-Summary!$B$11)*(20)+Summary!$B$11*(0))*IF(AND(Inputs!$B$39&lt;&gt;"pvp",Inputs!$B$44&gt;0),(((R1305-1)*MIN((Skills!T14*(1+Inputs!$B$35/100)),(1/Q1305))+MIN((Skills!T14*(1+Inputs!$B$35/100)),MAX(0,Inputs!$B$44-((R1305-1)*(1/Q1305)))))/Inputs!$B$44),IF(Inputs!$B$39="pvp",MIN((Skills!T14*(1+Inputs!$B$35/100)),15)/15,MIN(1,(Skills!T14*(1+Inputs!$B$35/100))/(1/Q1305)))))+((C1304=TRUE)*IF(Inputs!$B$3&gt;=82,IF(Inputs!$B$39="pvp",20,(1-Summary!$B$11)*(20)+Summary!$B$11*(0)),0)*IF(AND(Inputs!$B$39&lt;&gt;"pvp",Inputs!$B$44&gt;0),(((R1304-1)*MIN((Skills!T13*(1+Inputs!$B$35/100)),(1/Q1304))+MIN((Skills!T13*(1+Inputs!$B$35/100)),MAX(0,Inputs!$B$44-((R1304-1)*(1/Q1304)))))/Inputs!$B$44),IF(Inputs!$B$39="pvp",MIN((Skills!T13*(1+Inputs!$B$35/100)),15)/15,MIN(1,(Skills!T13*(1+Inputs!$B$35/100))/(1/Q1304)))))+(IF(AND(ArtifactsInput!$M$35,Inputs!$B$4&lt;&gt;"Chapter Hunt"),CHOOSE(ArtifactsInput!$N$35+1,15,18,21,24,27,30)*(1-EXP(-(0.2*B1322)*5)),0)+IF(AND(ArtifactsInput!$M$22,Inputs!$B$4&lt;&gt;"Chapter Hunt"),CHOOSE(ArtifactsInput!$N$22+1,10,12,14,16,18,20)*((0*(((0.15*B1322*5))^0/1)+1*(((0.15*B1322*5))^1/1)+2*(((0.15*B1322*5))^2/2)+3*(((0.15*B1322*5))^3/6)+4*(((0.15*B1322*5))^4/24)+5*(((0.15*B1322*5))^5/120))/((((0.15*B1322*5))^0/1)+(((0.15*B1322*5))^1/1)+(((0.15*B1322*5))^2/2)+(((0.15*B1322*5))^3/6)+(((0.15*B1322*5))^4/24)+(((0.15*B1322*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01">
      <c r="A1301">
        <f>Skills!A10</f>
        <v/>
      </c>
      <c r="B1301">
        <f>Skills!B10</f>
        <v/>
      </c>
      <c r="C1301">
        <f>Inputs!$B$3&gt;=110</f>
        <v/>
      </c>
      <c r="D1301">
        <f>IF(Skills!C10=1,60+Inputs!$B$26+Inputs!$B$30,IF(Skills!C10=2,90+Inputs!$B$27+Inputs!$B$30,IF(Skills!C10=3,120+Inputs!$B$28+Inputs!$B$30,MAX(0,(Inputs!$B$3-100)*3)+Inputs!$B$29+Inputs!$B$30)))</f>
        <v/>
      </c>
      <c r="E1301">
        <f>INDEX(FactorTable!$B$2:$Y$301, MATCH(ROUND(MIN(300,MAX(1,D1301)),0), FactorTable!$A$2:$A$301,0), Skills!M10+1)</f>
        <v/>
      </c>
      <c r="F1301">
        <f>IF(Skills!N10=TRUE,(Skills!L10/10)*(E1301/1000),Skills!L10/10)+Skills!O10</f>
        <v/>
      </c>
      <c r="G1301">
        <f>Skills!G10*IF(Skills!H10&gt;0,INT(IF(Inputs!$B$39="pvp",MIN(Skills!I10,15),Skills!I10)/Skills!H10+0.000000001),1)</f>
        <v/>
      </c>
      <c r="H1301">
        <f>1-(1-Skills!J10/100)^Skills!K10</f>
        <v/>
      </c>
      <c r="I1301" t="inlineStr">
        <is>
          <t>1</t>
        </is>
      </c>
      <c r="J1301">
        <f>((Inputs!$B$6*(1+Inputs!$B$7/100))+(((Inputs!$B$13*(1+Inputs!$B$14/100))-(Inputs!$B$13*(1+Inputs!$B$14/100)))+0.25*(Inputs!$B$15-Inputs!$B$15))*(1+Inputs!$B$7/100))*(F1301/100)</f>
        <v/>
      </c>
      <c r="K1301">
        <f>J1301*(1+(((Inputs!$B$13+IF(Inputs!$B$3&gt;=38,(10*INDEX(FactorTable!$B$2:$Y$301, MATCH(ROUND(MIN(300,MAX(1,Inputs!$B$3)),0), FactorTable!$A$2:$A$301,0), 23)/1000)/100*(Inputs!$B$8*(1+Inputs!$B$9/100)),0))*(1+Inputs!$B$14/100))*0.01+Inputs!$B$15*0.0025)/100)*(1+Inputs!$B$16/100)*(1+Inputs!$B$17/100)*(5000/(6000+Inputs!$B$43*(1-(Inputs!$B$20+0)/100)))*(1+(Inputs!$B$25+((C1316=TRUE)*(F1316-Calc!F25))+((C1317=TRUE)*(F1317-Calc!F26))+B1326)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gt;=100),MIN(100,((Inputs!$B$10+0+B1320+(ArtifactsInput!$M$24-ArtifactsInput!$M$24)*CHOOSE(ArtifactsInput!$N$24+1,10,12,14,16,18,20)+IF(ArtifactsInput!$M$10,CHOOSE(ArtifactsInput!$N$10+1,15,18,21,24,27,30)*(IF(Inputs!$B$39="pvp",MIN(15,15)/15,IF(AND(Inputs!$B$39&lt;&gt;"pvp",Inputs!$B$44&gt;0),MIN(15,Inputs!$B$44)/(Inputs!$B$44),0))),0)))-100),0))*CHOOSE(ArtifactsInput!$N$42+1,0.6,0.72,0.84,0.96,1.08,1.2))),Inputs!$B$19+((C1314=TRUE)*(F1314-Calc!F23))+(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gt;=100),CHOOSE(ArtifactsInput!$N$42+1,40,48,56,64,72,80),0))))/100)*((1+(((C1304=TRUE)*F1304*IF(AND(Inputs!$B$39&lt;&gt;"pvp",Inputs!$B$44&gt;0),(((R1304-1)*MIN((Skills!T13*(1+Inputs!$B$35/100)),(1/Q1304))+MIN((Skills!T13*(1+Inputs!$B$35/100)),MAX(0,Inputs!$B$44-((R1304-1)*(1/Q1304)))))/Inputs!$B$44),IF(Inputs!$B$39="pvp",MIN((Skills!T13*(1+Inputs!$B$35/100)),15)/15,MIN(1,(Skills!T13*(1+Inputs!$B$35/100))/(1/Q1304)))))+((C1305=TRUE)*F1305*IF(AND(Inputs!$B$39&lt;&gt;"pvp",Inputs!$B$44&gt;0),(((R1305-1)*MIN((Skills!T14*(1+Inputs!$B$35/100)),(1/Q1305))+MIN((Skills!T14*(1+Inputs!$B$35/100)),MAX(0,Inputs!$B$44-((R1305-1)*(1/Q1305)))))/Inputs!$B$44),IF(Inputs!$B$39="pvp",MIN((Skills!T14*(1+Inputs!$B$35/100)),15)/15,MIN(1,(Skills!T14*(1+Inputs!$B$35/100))/(1/Q1305)))))+((C1306=TRUE)*F1306*IF(AND(Inputs!$B$39&lt;&gt;"pvp",Inputs!$B$44&gt;0),(((R1306-1)*MIN((Skills!T15*(1+Inputs!$B$35/100)),(1/Q1306))+MIN((Skills!T15*(1+Inputs!$B$35/100)),MAX(0,Inputs!$B$44-((R1306-1)*(1/Q1306)))))/Inputs!$B$44),IF(Inputs!$B$39="pvp",MIN((Skills!T15*(1+Inputs!$B$35/100)),15)/15,MIN(1,(Skills!T15*(1+Inputs!$B$35/100))/(1/Q1306)))))+((C1307=TRUE)*F1307*IF(AND(Inputs!$B$39&lt;&gt;"pvp",Inputs!$B$44&gt;0),(((R1307-1)*MIN((Skills!T16*(1+Inputs!$B$35/100)),(1/Q1307))+MIN((Skills!T16*(1+Inputs!$B$35/100)),MAX(0,Inputs!$B$44-((R1307-1)*(1/Q1307)))))/Inputs!$B$44),IF(Inputs!$B$39="pvp",MIN((Skills!T16*(1+Inputs!$B$35/100)),15)/15,MIN(1,(Skills!T16*(1+Inputs!$B$35/100))/(1/Q1307)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1301)</f>
        <v/>
      </c>
      <c r="L1301">
        <f>K1301*(MIN(Inputs!$B$23+((C1313=TRUE)*(F1313-Calc!F22)),(Inputs!$B$24+((C1315=TRUE)*(F1315-Calc!F24))+(IF(ArtifactsInput!$M$15,CHOOSE(ArtifactsInput!$N$15+1,25,30,35,40,45,50)/100*(Inputs!$B$12-Inputs!$B$12),0))))/100+(Inputs!$B$24+((C1315=TRUE)*(F1315-Calc!F24))+(IF(ArtifactsInput!$M$15,CHOOSE(ArtifactsInput!$N$15+1,25,30,35,40,45,50)/100*(Inputs!$B$12-Inputs!$B$12),0)))/100)/2</f>
        <v/>
      </c>
      <c r="M1301">
        <f>L1301*(1+(Inputs!$B$11+0+B1325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301">
        <f>L1301*(1-MIN((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1301*(MIN((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01">
        <f>(1-Summary!$B$11)*T1301+Summary!$B$11*V1301</f>
        <v/>
      </c>
      <c r="P1301">
        <f>IF(B1330=0,0,O1301/B1330)</f>
        <v/>
      </c>
      <c r="Q1301">
        <f>IFERROR(1/IF(Inputs!$B$39="pvp",15,MAX(0.1,Skills!D10-IF(TRUE=TRUE,Inputs!$B$33,0))),0)</f>
        <v/>
      </c>
      <c r="R1301">
        <f>IF(AND(Inputs!$B$39&lt;&gt;"pvp",Inputs!$B$44&gt;0),IF(MAX(0,Inputs!$B$44-B1327)&lt;=0,0,(INT(MAX(0,Inputs!$B$44-B1327)/IF(Inputs!$B$39="pvp",15,MAX(0.1,Skills!D10-IF(TRUE=TRUE,Inputs!$B$33,0))))+1)),0)</f>
        <v/>
      </c>
      <c r="S1301">
        <f>IFERROR(O1301/N1301,0)</f>
        <v/>
      </c>
      <c r="T1301">
        <f>IF(C1301,(H1301*N1301*IF(AND(Inputs!$B$39&lt;&gt;"pvp",Inputs!$B$44&gt;0),((Skills!G10*((R1301-1)*IF(Skills!H10&gt;0,INT(Skills!I10/Skills!H10+0.000000001),1)+IF(Skills!H10&gt;0,INT(MIN(Skills!I10,MAX(0,MAX(0,Inputs!$B$44-B1327)-((R1301-1)*IF(Inputs!$B$39="pvp",15,MAX(0.1,Skills!D10-IF(TRUE=TRUE,Inputs!$B$33,0))))))/Skills!H10+0.000000001),1)))/Inputs!$B$44),G1301*Q1301))*IF(Inputs!$B$39="pvp",1,1+(Inputs!$B$21+0+Skills!P10+((C1308=TRUE)*F1308*IF(AND(Inputs!$B$39&lt;&gt;"pvp",Inputs!$B$44&gt;0),(((R1308-1)*MIN((Skills!T17*(1+Inputs!$B$35/100)),(1/Q1308))+MIN((Skills!T17*(1+Inputs!$B$35/100)),MAX(0,Inputs!$B$44-((R1308-1)*(1/Q1308)))))/Inputs!$B$44),IF(Inputs!$B$39="pvp",MIN((Skills!T17*(1+Inputs!$B$35/100)),15)/15,MIN(1,(Skills!T17*(1+Inputs!$B$35/100))/(1/Q1308)))))+((C1296=TRUE)*IF(Inputs!$B$3&gt;=126,10*MIN(1,15*Q1296),0))+((C1305=TRUE)*IF(Inputs!$B$39="pvp",20,(1-Summary!$B$11)*(20)+Summary!$B$11*(0))*IF(AND(Inputs!$B$39&lt;&gt;"pvp",Inputs!$B$44&gt;0),(((R1305-1)*MIN((Skills!T14*(1+Inputs!$B$35/100)),(1/Q1305))+MIN((Skills!T14*(1+Inputs!$B$35/100)),MAX(0,Inputs!$B$44-((R1305-1)*(1/Q1305)))))/Inputs!$B$44),IF(Inputs!$B$39="pvp",MIN((Skills!T14*(1+Inputs!$B$35/100)),15)/15,MIN(1,(Skills!T14*(1+Inputs!$B$35/100))/(1/Q1305)))))+((C1304=TRUE)*IF(Inputs!$B$3&gt;=82,IF(Inputs!$B$39="pvp",20,(1-Summary!$B$11)*(20)+Summary!$B$11*(0)),0)*IF(AND(Inputs!$B$39&lt;&gt;"pvp",Inputs!$B$44&gt;0),(((R1304-1)*MIN((Skills!T13*(1+Inputs!$B$35/100)),(1/Q1304))+MIN((Skills!T13*(1+Inputs!$B$35/100)),MAX(0,Inputs!$B$44-((R1304-1)*(1/Q1304)))))/Inputs!$B$44),IF(Inputs!$B$39="pvp",MIN((Skills!T13*(1+Inputs!$B$35/100)),15)/15,MIN(1,(Skills!T13*(1+Inputs!$B$35/100))/(1/Q1304)))))+(IF(AND(ArtifactsInput!$M$35,Inputs!$B$4&lt;&gt;"Chapter Hunt"),CHOOSE(ArtifactsInput!$N$35+1,15,18,21,24,27,30)*(1-EXP(-(0.2*B1322)*5)),0)+IF(AND(ArtifactsInput!$M$22,Inputs!$B$4&lt;&gt;"Chapter Hunt"),CHOOSE(ArtifactsInput!$N$22+1,10,12,14,16,18,20)*((0*(((0.15*B1322*5))^0/1)+1*(((0.15*B1322*5))^1/1)+2*(((0.15*B1322*5))^2/2)+3*(((0.15*B1322*5))^3/6)+4*(((0.15*B1322*5))^4/24)+5*(((0.15*B1322*5))^5/120))/((((0.15*B1322*5))^0/1)+(((0.15*B1322*5))^1/1)+(((0.15*B1322*5))^2/2)+(((0.15*B1322*5))^3/6)+(((0.15*B1322*5))^4/24)+(((0.15*B1322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1301*(1-MIN(100,(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1301*(MIN(100,(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1301*(1-MIN(100,(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1301*(MIN(100,(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01">
        <f>IF(C1301,(H1301*N1301*IF(AND(Inputs!$B$39&lt;&gt;"pvp",Inputs!$B$44&gt;0),((Skills!G10*((R1301-1)*IF(Skills!H10&gt;0,INT(Skills!I10/Skills!H10+0.000000001),1)+IF(Skills!H10&gt;0,INT(MIN(Skills!I10,MAX(0,MAX(0,Inputs!$B$44-B1327)-((R1301-1)*IF(Inputs!$B$39="pvp",15,MAX(0.1,Skills!D10-IF(TRUE=TRUE,Inputs!$B$33,0))))))/Skills!H10+0.000000001),1)))/Inputs!$B$44),G1301*Q1301))*IF(Inputs!$B$39="pvp",1,(1+(Inputs!$B$22+Skills!Q10+((C1308=TRUE)*F1308*IF(AND(Inputs!$B$39&lt;&gt;"pvp",Inputs!$B$44&gt;0),(((R1308-1)*MIN((Skills!T17*(1+Inputs!$B$35/100)),(1/Q1308))+MIN((Skills!T17*(1+Inputs!$B$35/100)),MAX(0,Inputs!$B$44-((R1308-1)*(1/Q1308)))))/Inputs!$B$44),IF(Inputs!$B$39="pvp",MIN((Skills!T17*(1+Inputs!$B$35/100)),15)/15,MIN(1,(Skills!T17*(1+Inputs!$B$35/100))/(1/Q1308)))))+((C1296=TRUE)*IF(Inputs!$B$3&gt;=126,10*MIN(1,15*Q1296),0))+((C1305=TRUE)*IF(Inputs!$B$39="pvp",20,(1-Summary!$B$11)*(20)+Summary!$B$11*(0))*IF(AND(Inputs!$B$39&lt;&gt;"pvp",Inputs!$B$44&gt;0),(((R1305-1)*MIN((Skills!T14*(1+Inputs!$B$35/100)),(1/Q1305))+MIN((Skills!T14*(1+Inputs!$B$35/100)),MAX(0,Inputs!$B$44-((R1305-1)*(1/Q1305)))))/Inputs!$B$44),IF(Inputs!$B$39="pvp",MIN((Skills!T14*(1+Inputs!$B$35/100)),15)/15,MIN(1,(Skills!T14*(1+Inputs!$B$35/100))/(1/Q1305)))))+((C1304=TRUE)*IF(Inputs!$B$3&gt;=82,IF(Inputs!$B$39="pvp",20,(1-Summary!$B$11)*(20)+Summary!$B$11*(0)),0)*IF(AND(Inputs!$B$39&lt;&gt;"pvp",Inputs!$B$44&gt;0),(((R1304-1)*MIN((Skills!T13*(1+Inputs!$B$35/100)),(1/Q1304))+MIN((Skills!T13*(1+Inputs!$B$35/100)),MAX(0,Inputs!$B$44-((R1304-1)*(1/Q1304)))))/Inputs!$B$44),IF(Inputs!$B$39="pvp",MIN((Skills!T13*(1+Inputs!$B$35/100)),15)/15,MIN(1,(Skills!T13*(1+Inputs!$B$35/100))/(1/Q1304)))))+(IF(AND(ArtifactsInput!$M$35,Inputs!$B$4&lt;&gt;"Chapter Hunt"),CHOOSE(ArtifactsInput!$N$35+1,15,18,21,24,27,30)*(1-EXP(-(0.2*B1322)*5)),0)+IF(AND(ArtifactsInput!$M$22,Inputs!$B$4&lt;&gt;"Chapter Hunt"),CHOOSE(ArtifactsInput!$N$22+1,10,12,14,16,18,20)*((0*(((0.15*B1322*5))^0/1)+1*(((0.15*B1322*5))^1/1)+2*(((0.15*B1322*5))^2/2)+3*(((0.15*B1322*5))^3/6)+4*(((0.15*B1322*5))^4/24)+5*(((0.15*B1322*5))^5/120))/((((0.15*B1322*5))^0/1)+(((0.15*B1322*5))^1/1)+(((0.15*B1322*5))^2/2)+(((0.15*B1322*5))^3/6)+(((0.15*B1322*5))^4/24)+(((0.15*B1322*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02">
      <c r="A1302">
        <f>Skills!A11</f>
        <v/>
      </c>
      <c r="B1302">
        <f>Skills!B11</f>
        <v/>
      </c>
      <c r="C1302">
        <f>Inputs!$B$3&gt;=100</f>
        <v/>
      </c>
      <c r="D1302">
        <f>IF(Skills!C11=1,60+Inputs!$B$26+Inputs!$B$30,IF(Skills!C11=2,90+Inputs!$B$27+Inputs!$B$30,IF(Skills!C11=3,120+Inputs!$B$28+Inputs!$B$30,MAX(0,(Inputs!$B$3-100)*3)+Inputs!$B$29+Inputs!$B$30)))</f>
        <v/>
      </c>
      <c r="E1302">
        <f>INDEX(FactorTable!$B$2:$Y$301, MATCH(ROUND(MIN(300,MAX(1,D1302)),0), FactorTable!$A$2:$A$301,0), Skills!M11+1)</f>
        <v/>
      </c>
      <c r="F1302">
        <f>IF(Skills!N11=TRUE,(Skills!L11/10)*(E1302/1000),Skills!L11/10)+Skills!O11</f>
        <v/>
      </c>
      <c r="G1302" t="inlineStr"/>
      <c r="H1302" t="inlineStr"/>
      <c r="I1302" t="inlineStr">
        <is>
          <t>1</t>
        </is>
      </c>
      <c r="J1302" t="inlineStr"/>
      <c r="K1302" t="inlineStr"/>
      <c r="L1302" t="inlineStr"/>
      <c r="M1302" t="inlineStr"/>
      <c r="N1302" t="inlineStr"/>
      <c r="O1302" t="inlineStr"/>
      <c r="P1302" t="inlineStr"/>
      <c r="Q1302" t="inlineStr"/>
      <c r="R1302" t="inlineStr"/>
      <c r="S1302" t="inlineStr"/>
    </row>
    <row r="1303">
      <c r="A1303">
        <f>Skills!A12</f>
        <v/>
      </c>
      <c r="B1303">
        <f>Skills!B12</f>
        <v/>
      </c>
      <c r="C1303">
        <f>Inputs!$B$3&gt;=63</f>
        <v/>
      </c>
      <c r="D1303">
        <f>IF(Skills!C12=1,60+Inputs!$B$26+Inputs!$B$30,IF(Skills!C12=2,90+Inputs!$B$27+Inputs!$B$30,IF(Skills!C12=3,120+Inputs!$B$28+Inputs!$B$30,MAX(0,(Inputs!$B$3-100)*3)+Inputs!$B$29+Inputs!$B$30)))</f>
        <v/>
      </c>
      <c r="E1303">
        <f>INDEX(FactorTable!$B$2:$Y$301, MATCH(ROUND(MIN(300,MAX(1,D1303)),0), FactorTable!$A$2:$A$301,0), Skills!M12+1)</f>
        <v/>
      </c>
      <c r="F1303">
        <f>IF(Skills!N12=TRUE,(Skills!L12/10)*(E1303/1000),Skills!L12/10)+Skills!O12</f>
        <v/>
      </c>
      <c r="G1303">
        <f>Skills!G12*IF(Skills!H12&gt;0,INT(IF(Inputs!$B$39="pvp",MIN(Skills!I12,15),Skills!I12)/Skills!H12+0.000000001),1)</f>
        <v/>
      </c>
      <c r="H1303">
        <f>1-(1-Skills!J12/100)^Skills!K12</f>
        <v/>
      </c>
      <c r="I1303" t="inlineStr">
        <is>
          <t>1</t>
        </is>
      </c>
      <c r="J1303">
        <f>((Inputs!$B$6*(1+Inputs!$B$7/100))+(((Inputs!$B$13*(1+Inputs!$B$14/100))-(Inputs!$B$13*(1+Inputs!$B$14/100)))+0.25*(Inputs!$B$15-Inputs!$B$15))*(1+Inputs!$B$7/100))*(F1303/100)</f>
        <v/>
      </c>
      <c r="K1303">
        <f>J1303*(1+(((Inputs!$B$13+IF(Inputs!$B$3&gt;=38,(10*INDEX(FactorTable!$B$2:$Y$301, MATCH(ROUND(MIN(300,MAX(1,Inputs!$B$3)),0), FactorTable!$A$2:$A$301,0), 23)/1000)/100*(Inputs!$B$8*(1+Inputs!$B$9/100)),0))*(1+Inputs!$B$14/100))*0.01+Inputs!$B$15*0.0025)/100)*(1+Inputs!$B$16/100)*(1+Inputs!$B$17/100)*(5000/(6000+Inputs!$B$43*(1-(Inputs!$B$20+0)/100)))*(1+(Inputs!$B$25+((C1316=TRUE)*(F1316-Calc!F25))+((C1317=TRUE)*(F1317-Calc!F26))+B1326)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1302=TRUE,F1302,0)/100)*(1+(IF(Skills!A12="DARK_IMPALE",Inputs!$B$18+0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gt;=100),MIN(100,((Inputs!$B$10+0+B1320+(ArtifactsInput!$M$24-ArtifactsInput!$M$24)*CHOOSE(ArtifactsInput!$N$24+1,10,12,14,16,18,20)+IF(ArtifactsInput!$M$10,CHOOSE(ArtifactsInput!$N$10+1,15,18,21,24,27,30)*(IF(Inputs!$B$39="pvp",MIN(15,15)/15,IF(AND(Inputs!$B$39&lt;&gt;"pvp",Inputs!$B$44&gt;0),MIN(15,Inputs!$B$44)/(Inputs!$B$44),0))),0)))-100),0))*CHOOSE(ArtifactsInput!$N$42+1,0.6,0.72,0.84,0.96,1.08,1.2))),Inputs!$B$19+((C1314=TRUE)*(F1314-Calc!F23))+(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gt;=100),CHOOSE(ArtifactsInput!$N$42+1,40,48,56,64,72,80),0))))/100)*((1+(((C1304=TRUE)*F1304*IF(AND(Inputs!$B$39&lt;&gt;"pvp",Inputs!$B$44&gt;0),(((R1304-1)*MIN((Skills!T13*(1+Inputs!$B$35/100)),(1/Q1304))+MIN((Skills!T13*(1+Inputs!$B$35/100)),MAX(0,Inputs!$B$44-((R1304-1)*(1/Q1304)))))/Inputs!$B$44),IF(Inputs!$B$39="pvp",MIN((Skills!T13*(1+Inputs!$B$35/100)),15)/15,MIN(1,(Skills!T13*(1+Inputs!$B$35/100))/(1/Q1304)))))+((C1305=TRUE)*F1305*IF(AND(Inputs!$B$39&lt;&gt;"pvp",Inputs!$B$44&gt;0),(((R1305-1)*MIN((Skills!T14*(1+Inputs!$B$35/100)),(1/Q1305))+MIN((Skills!T14*(1+Inputs!$B$35/100)),MAX(0,Inputs!$B$44-((R1305-1)*(1/Q1305)))))/Inputs!$B$44),IF(Inputs!$B$39="pvp",MIN((Skills!T14*(1+Inputs!$B$35/100)),15)/15,MIN(1,(Skills!T14*(1+Inputs!$B$35/100))/(1/Q1305)))))+((C1306=TRUE)*F1306*IF(AND(Inputs!$B$39&lt;&gt;"pvp",Inputs!$B$44&gt;0),(((R1306-1)*MIN((Skills!T15*(1+Inputs!$B$35/100)),(1/Q1306))+MIN((Skills!T15*(1+Inputs!$B$35/100)),MAX(0,Inputs!$B$44-((R1306-1)*(1/Q1306)))))/Inputs!$B$44),IF(Inputs!$B$39="pvp",MIN((Skills!T15*(1+Inputs!$B$35/100)),15)/15,MIN(1,(Skills!T15*(1+Inputs!$B$35/100))/(1/Q1306)))))+((C1307=TRUE)*F1307*IF(AND(Inputs!$B$39&lt;&gt;"pvp",Inputs!$B$44&gt;0),(((R1307-1)*MIN((Skills!T16*(1+Inputs!$B$35/100)),(1/Q1307))+MIN((Skills!T16*(1+Inputs!$B$35/100)),MAX(0,Inputs!$B$44-((R1307-1)*(1/Q1307)))))/Inputs!$B$44),IF(Inputs!$B$39="pvp",MIN((Skills!T16*(1+Inputs!$B$35/100)),15)/15,MIN(1,(Skills!T16*(1+Inputs!$B$35/100))/(1/Q1307)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1303)</f>
        <v/>
      </c>
      <c r="L1303">
        <f>K1303*(MIN(Inputs!$B$23+((C1313=TRUE)*(F1313-Calc!F22)),(Inputs!$B$24+((C1315=TRUE)*(F1315-Calc!F24))+(IF(ArtifactsInput!$M$15,CHOOSE(ArtifactsInput!$N$15+1,25,30,35,40,45,50)/100*(Inputs!$B$12-Inputs!$B$12),0))))/100+(Inputs!$B$24+((C1315=TRUE)*(F1315-Calc!F24))+(IF(ArtifactsInput!$M$15,CHOOSE(ArtifactsInput!$N$15+1,25,30,35,40,45,50)/100*(Inputs!$B$12-Inputs!$B$12),0)))/100)/2</f>
        <v/>
      </c>
      <c r="M1303">
        <f>L1303*(1+(Inputs!$B$11+0+B1325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303">
        <f>L1303*(1-MIN((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1303*(MIN((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03">
        <f>(1-Summary!$B$11)*T1303+Summary!$B$11*V1303</f>
        <v/>
      </c>
      <c r="P1303">
        <f>IF(B1330=0,0,O1303/B1330)</f>
        <v/>
      </c>
      <c r="Q1303">
        <f>IFERROR(1/IF(Inputs!$B$39="pvp",15,MAX(0.1,Skills!D12-IF(TRUE=TRUE,Inputs!$B$33,0))),0)</f>
        <v/>
      </c>
      <c r="R1303">
        <f>IF(AND(Inputs!$B$39&lt;&gt;"pvp",Inputs!$B$44&gt;0),IF(MAX(0,Inputs!$B$44-B1327)&lt;=0,0,(INT(MAX(0,Inputs!$B$44-B1327)/IF(Inputs!$B$39="pvp",15,MAX(0.1,Skills!D12-IF(TRUE=TRUE,Inputs!$B$33,0))))+1)),0)</f>
        <v/>
      </c>
      <c r="S1303">
        <f>IFERROR(O1303/N1303,0)</f>
        <v/>
      </c>
      <c r="T1303">
        <f>IF(C1303,(H1303*N1303*IF(AND(Inputs!$B$39&lt;&gt;"pvp",Inputs!$B$44&gt;0),((Skills!G12*((R1303-1)*IF(Skills!H12&gt;0,INT(Skills!I12/Skills!H12+0.000000001),1)+IF(Skills!H12&gt;0,INT(MIN(Skills!I12,MAX(0,MAX(0,Inputs!$B$44-B1327)-((R1303-1)*IF(Inputs!$B$39="pvp",15,MAX(0.1,Skills!D12-IF(TRUE=TRUE,Inputs!$B$33,0))))))/Skills!H12+0.000000001),1)))/Inputs!$B$44),G1303*Q1303))*IF(Inputs!$B$39="pvp",1,1+(Inputs!$B$21+0+Skills!P12+((C1308=TRUE)*F1308*IF(AND(Inputs!$B$39&lt;&gt;"pvp",Inputs!$B$44&gt;0),(((R1308-1)*MIN((Skills!T17*(1+Inputs!$B$35/100)),(1/Q1308))+MIN((Skills!T17*(1+Inputs!$B$35/100)),MAX(0,Inputs!$B$44-((R1308-1)*(1/Q1308)))))/Inputs!$B$44),IF(Inputs!$B$39="pvp",MIN((Skills!T17*(1+Inputs!$B$35/100)),15)/15,MIN(1,(Skills!T17*(1+Inputs!$B$35/100))/(1/Q1308)))))+((C1296=TRUE)*IF(Inputs!$B$3&gt;=126,10*MIN(1,15*Q1296),0))+((C1305=TRUE)*IF(Inputs!$B$39="pvp",20,(1-Summary!$B$11)*(20)+Summary!$B$11*(0))*IF(AND(Inputs!$B$39&lt;&gt;"pvp",Inputs!$B$44&gt;0),(((R1305-1)*MIN((Skills!T14*(1+Inputs!$B$35/100)),(1/Q1305))+MIN((Skills!T14*(1+Inputs!$B$35/100)),MAX(0,Inputs!$B$44-((R1305-1)*(1/Q1305)))))/Inputs!$B$44),IF(Inputs!$B$39="pvp",MIN((Skills!T14*(1+Inputs!$B$35/100)),15)/15,MIN(1,(Skills!T14*(1+Inputs!$B$35/100))/(1/Q1305)))))+((C1304=TRUE)*IF(Inputs!$B$3&gt;=82,IF(Inputs!$B$39="pvp",20,(1-Summary!$B$11)*(20)+Summary!$B$11*(0)),0)*IF(AND(Inputs!$B$39&lt;&gt;"pvp",Inputs!$B$44&gt;0),(((R1304-1)*MIN((Skills!T13*(1+Inputs!$B$35/100)),(1/Q1304))+MIN((Skills!T13*(1+Inputs!$B$35/100)),MAX(0,Inputs!$B$44-((R1304-1)*(1/Q1304)))))/Inputs!$B$44),IF(Inputs!$B$39="pvp",MIN((Skills!T13*(1+Inputs!$B$35/100)),15)/15,MIN(1,(Skills!T13*(1+Inputs!$B$35/100))/(1/Q1304)))))+(IF(AND(ArtifactsInput!$M$35,Inputs!$B$4&lt;&gt;"Chapter Hunt"),CHOOSE(ArtifactsInput!$N$35+1,15,18,21,24,27,30)*(1-EXP(-(0.2*B1322)*5)),0)+IF(AND(ArtifactsInput!$M$22,Inputs!$B$4&lt;&gt;"Chapter Hunt"),CHOOSE(ArtifactsInput!$N$22+1,10,12,14,16,18,20)*((0*(((0.15*B1322*5))^0/1)+1*(((0.15*B1322*5))^1/1)+2*(((0.15*B1322*5))^2/2)+3*(((0.15*B1322*5))^3/6)+4*(((0.15*B1322*5))^4/24)+5*(((0.15*B1322*5))^5/120))/((((0.15*B1322*5))^0/1)+(((0.15*B1322*5))^1/1)+(((0.15*B1322*5))^2/2)+(((0.15*B1322*5))^3/6)+(((0.15*B1322*5))^4/24)+(((0.15*B1322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1303*(1-MIN(100,(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1303*(MIN(100,(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1303*(1-MIN(100,(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1303*(MIN(100,(Inputs!$B$10+0+B1320+(ArtifactsInput!$M$24-ArtifactsInput!$M$24)*CHOOSE(ArtifactsInput!$N$24+1,10,12,14,16,18,20)+(IF(AND(Inputs!$B$39&lt;&gt;"pvp",Inputs!$B$44=0),1,IF(IF(Inputs!$B$39="pvp",15,Inputs!$B$44)-(B1327)&lt;=0,1,MAX(0,IF(Inputs!$B$39="pvp",15,Inputs!$B$44)-MAX(5,B1327))/(IF(Inputs!$B$39="pvp",15,Inputs!$B$44)-(B1327))))*IF(AND(ArtifactsInput!$M$42,((Inputs!$B$10+0+B1320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03">
        <f>IF(C1303,(H1303*N1303*IF(AND(Inputs!$B$39&lt;&gt;"pvp",Inputs!$B$44&gt;0),((Skills!G12*((R1303-1)*IF(Skills!H12&gt;0,INT(Skills!I12/Skills!H12+0.000000001),1)+IF(Skills!H12&gt;0,INT(MIN(Skills!I12,MAX(0,MAX(0,Inputs!$B$44-B1327)-((R1303-1)*IF(Inputs!$B$39="pvp",15,MAX(0.1,Skills!D12-IF(TRUE=TRUE,Inputs!$B$33,0))))))/Skills!H12+0.000000001),1)))/Inputs!$B$44),G1303*Q1303))*IF(Inputs!$B$39="pvp",1,(1+(Inputs!$B$22+Skills!Q12+((C1308=TRUE)*F1308*IF(AND(Inputs!$B$39&lt;&gt;"pvp",Inputs!$B$44&gt;0),(((R1308-1)*MIN((Skills!T17*(1+Inputs!$B$35/100)),(1/Q1308))+MIN((Skills!T17*(1+Inputs!$B$35/100)),MAX(0,Inputs!$B$44-((R1308-1)*(1/Q1308)))))/Inputs!$B$44),IF(Inputs!$B$39="pvp",MIN((Skills!T17*(1+Inputs!$B$35/100)),15)/15,MIN(1,(Skills!T17*(1+Inputs!$B$35/100))/(1/Q1308)))))+((C1296=TRUE)*IF(Inputs!$B$3&gt;=126,10*MIN(1,15*Q1296),0))+((C1305=TRUE)*IF(Inputs!$B$39="pvp",20,(1-Summary!$B$11)*(20)+Summary!$B$11*(0))*IF(AND(Inputs!$B$39&lt;&gt;"pvp",Inputs!$B$44&gt;0),(((R1305-1)*MIN((Skills!T14*(1+Inputs!$B$35/100)),(1/Q1305))+MIN((Skills!T14*(1+Inputs!$B$35/100)),MAX(0,Inputs!$B$44-((R1305-1)*(1/Q1305)))))/Inputs!$B$44),IF(Inputs!$B$39="pvp",MIN((Skills!T14*(1+Inputs!$B$35/100)),15)/15,MIN(1,(Skills!T14*(1+Inputs!$B$35/100))/(1/Q1305)))))+((C1304=TRUE)*IF(Inputs!$B$3&gt;=82,IF(Inputs!$B$39="pvp",20,(1-Summary!$B$11)*(20)+Summary!$B$11*(0)),0)*IF(AND(Inputs!$B$39&lt;&gt;"pvp",Inputs!$B$44&gt;0),(((R1304-1)*MIN((Skills!T13*(1+Inputs!$B$35/100)),(1/Q1304))+MIN((Skills!T13*(1+Inputs!$B$35/100)),MAX(0,Inputs!$B$44-((R1304-1)*(1/Q1304)))))/Inputs!$B$44),IF(Inputs!$B$39="pvp",MIN((Skills!T13*(1+Inputs!$B$35/100)),15)/15,MIN(1,(Skills!T13*(1+Inputs!$B$35/100))/(1/Q1304)))))+(IF(AND(ArtifactsInput!$M$35,Inputs!$B$4&lt;&gt;"Chapter Hunt"),CHOOSE(ArtifactsInput!$N$35+1,15,18,21,24,27,30)*(1-EXP(-(0.2*B1322)*5)),0)+IF(AND(ArtifactsInput!$M$22,Inputs!$B$4&lt;&gt;"Chapter Hunt"),CHOOSE(ArtifactsInput!$N$22+1,10,12,14,16,18,20)*((0*(((0.15*B1322*5))^0/1)+1*(((0.15*B1322*5))^1/1)+2*(((0.15*B1322*5))^2/2)+3*(((0.15*B1322*5))^3/6)+4*(((0.15*B1322*5))^4/24)+5*(((0.15*B1322*5))^5/120))/((((0.15*B1322*5))^0/1)+(((0.15*B1322*5))^1/1)+(((0.15*B1322*5))^2/2)+(((0.15*B1322*5))^3/6)+(((0.15*B1322*5))^4/24)+(((0.15*B1322*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04">
      <c r="A1304">
        <f>Skills!A13</f>
        <v/>
      </c>
      <c r="B1304">
        <f>Skills!B13</f>
        <v/>
      </c>
      <c r="C1304">
        <f>Inputs!$B$3&gt;=69</f>
        <v/>
      </c>
      <c r="D1304">
        <f>IF(Skills!C13=1,60+Inputs!$B$26+Inputs!$B$30,IF(Skills!C13=2,90+Inputs!$B$27+Inputs!$B$30,IF(Skills!C13=3,120+Inputs!$B$28+Inputs!$B$30,MAX(0,(Inputs!$B$3-100)*3)+Inputs!$B$29+Inputs!$B$30)))</f>
        <v/>
      </c>
      <c r="E1304">
        <f>INDEX(FactorTable!$B$2:$Y$301, MATCH(ROUND(MIN(300,MAX(1,D1304)),0), FactorTable!$A$2:$A$301,0), Skills!M13+1)</f>
        <v/>
      </c>
      <c r="F1304">
        <f>IF(Skills!N13=TRUE,(Skills!L13/10)*(E1304/1000),Skills!L13/10)+Skills!O13</f>
        <v/>
      </c>
      <c r="G1304">
        <f>Skills!G13*IF(Skills!H13&gt;0,INT(IF(Inputs!$B$39="pvp",MIN(Skills!I13,15),Skills!I13)/Skills!H13+0.000000001),1)</f>
        <v/>
      </c>
      <c r="H1304">
        <f>1-(1-Skills!J13/100)^Skills!K13</f>
        <v/>
      </c>
      <c r="I1304" t="inlineStr">
        <is>
          <t>1</t>
        </is>
      </c>
      <c r="J1304" t="inlineStr"/>
      <c r="K1304" t="inlineStr"/>
      <c r="L1304" t="inlineStr"/>
      <c r="M1304" t="inlineStr"/>
      <c r="N1304" t="inlineStr"/>
      <c r="O1304">
        <f>(1-Summary!$B$11)*T1304+Summary!$B$11*V1304</f>
        <v/>
      </c>
      <c r="P1304">
        <f>IF(B1330=0,0,O1304/B1330)</f>
        <v/>
      </c>
      <c r="Q1304">
        <f>IFERROR(1/IF(Inputs!$B$39="pvp",15,MAX(0.1,Skills!D13-IF(TRUE=TRUE,Inputs!$B$33,0))),0)</f>
        <v/>
      </c>
      <c r="R1304">
        <f>IF(AND(Inputs!$B$39&lt;&gt;"pvp",Inputs!$B$44&gt;0),IF(Inputs!$B$44&lt;=0,0,(INT(Inputs!$B$44/IF(Inputs!$B$39="pvp",15,MAX(0.1,Skills!D13-IF(TRUE=TRUE,Inputs!$B$33,0))))+1)),0)</f>
        <v/>
      </c>
      <c r="S1304">
        <f>IFERROR(O1304/N1304,0)</f>
        <v/>
      </c>
      <c r="T1304" t="n">
        <v>0</v>
      </c>
      <c r="V1304" t="n">
        <v>0</v>
      </c>
    </row>
    <row r="1305">
      <c r="A1305">
        <f>Skills!A14</f>
        <v/>
      </c>
      <c r="B1305">
        <f>Skills!B14</f>
        <v/>
      </c>
      <c r="C1305">
        <f>Inputs!$B$3&gt;=115</f>
        <v/>
      </c>
      <c r="D1305">
        <f>IF(Skills!C14=1,60+Inputs!$B$26+Inputs!$B$30,IF(Skills!C14=2,90+Inputs!$B$27+Inputs!$B$30,IF(Skills!C14=3,120+Inputs!$B$28+Inputs!$B$30,MAX(0,(Inputs!$B$3-100)*3)+Inputs!$B$29+Inputs!$B$30)))</f>
        <v/>
      </c>
      <c r="E1305">
        <f>INDEX(FactorTable!$B$2:$Y$301, MATCH(ROUND(MIN(300,MAX(1,D1305)),0), FactorTable!$A$2:$A$301,0), Skills!M14+1)</f>
        <v/>
      </c>
      <c r="F1305">
        <f>IF(Skills!N14=TRUE,(Skills!L14/10)*(E1305/1000),Skills!L14/10)+Skills!O14</f>
        <v/>
      </c>
      <c r="G1305">
        <f>Skills!G14*IF(Skills!H14&gt;0,INT(IF(Inputs!$B$39="pvp",MIN(Skills!I14,15),Skills!I14)/Skills!H14+0.000000001),1)</f>
        <v/>
      </c>
      <c r="H1305">
        <f>1-(1-Skills!J14/100)^Skills!K14</f>
        <v/>
      </c>
      <c r="I1305" t="inlineStr">
        <is>
          <t>1</t>
        </is>
      </c>
      <c r="J1305" t="inlineStr"/>
      <c r="K1305" t="inlineStr"/>
      <c r="L1305" t="inlineStr"/>
      <c r="M1305" t="inlineStr"/>
      <c r="N1305" t="inlineStr"/>
      <c r="O1305">
        <f>(1-Summary!$B$11)*T1305+Summary!$B$11*V1305</f>
        <v/>
      </c>
      <c r="P1305">
        <f>IF(B1330=0,0,O1305/B1330)</f>
        <v/>
      </c>
      <c r="Q1305">
        <f>IFERROR(1/IF(Inputs!$B$39="pvp",15,MAX(0.1,Skills!D14-IF(TRUE=TRUE,Inputs!$B$33,0))),0)</f>
        <v/>
      </c>
      <c r="R1305">
        <f>IF(AND(Inputs!$B$39&lt;&gt;"pvp",Inputs!$B$44&gt;0),IF(Inputs!$B$44&lt;=0,0,(INT(Inputs!$B$44/IF(Inputs!$B$39="pvp",15,MAX(0.1,Skills!D14-IF(TRUE=TRUE,Inputs!$B$33,0))))+1)),0)</f>
        <v/>
      </c>
      <c r="S1305">
        <f>IFERROR(O1305/N1305,0)</f>
        <v/>
      </c>
      <c r="T1305" t="n">
        <v>0</v>
      </c>
      <c r="V1305" t="n">
        <v>0</v>
      </c>
    </row>
    <row r="1306">
      <c r="A1306">
        <f>Skills!A15</f>
        <v/>
      </c>
      <c r="B1306">
        <f>Skills!B15</f>
        <v/>
      </c>
      <c r="C1306">
        <f>Inputs!$B$3&gt;=66</f>
        <v/>
      </c>
      <c r="D1306">
        <f>IF(Skills!C15=1,60+Inputs!$B$26+Inputs!$B$30,IF(Skills!C15=2,90+Inputs!$B$27+Inputs!$B$30,IF(Skills!C15=3,120+Inputs!$B$28+Inputs!$B$30,MAX(0,(Inputs!$B$3-100)*3)+Inputs!$B$29+Inputs!$B$30)))</f>
        <v/>
      </c>
      <c r="E1306">
        <f>INDEX(FactorTable!$B$2:$Y$301, MATCH(ROUND(MIN(300,MAX(1,D1306)),0), FactorTable!$A$2:$A$301,0), Skills!M15+1)</f>
        <v/>
      </c>
      <c r="F1306">
        <f>IF(Skills!N15=TRUE,(Skills!L15/10)*(E1306/1000),Skills!L15/10)+Skills!O15</f>
        <v/>
      </c>
      <c r="G1306">
        <f>Skills!G15*IF(Skills!H15&gt;0,INT(IF(Inputs!$B$39="pvp",MIN(Skills!I15,15),Skills!I15)/Skills!H15+0.000000001),1)</f>
        <v/>
      </c>
      <c r="H1306">
        <f>1-(1-Skills!J15/100)^Skills!K15</f>
        <v/>
      </c>
      <c r="I1306" t="inlineStr">
        <is>
          <t>1</t>
        </is>
      </c>
      <c r="J1306" t="inlineStr"/>
      <c r="K1306" t="inlineStr"/>
      <c r="L1306" t="inlineStr"/>
      <c r="M1306" t="inlineStr"/>
      <c r="N1306" t="inlineStr"/>
      <c r="O1306">
        <f>(1-Summary!$B$11)*T1306+Summary!$B$11*V1306</f>
        <v/>
      </c>
      <c r="P1306">
        <f>IF(B1330=0,0,O1306/B1330)</f>
        <v/>
      </c>
      <c r="Q1306">
        <f>IFERROR(1/IF(Inputs!$B$39="pvp",15,MAX(0.1,Skills!D15-IF(TRUE=TRUE,Inputs!$B$33,0))),0)</f>
        <v/>
      </c>
      <c r="R1306">
        <f>IF(AND(Inputs!$B$39&lt;&gt;"pvp",Inputs!$B$44&gt;0),IF(Inputs!$B$44&lt;=0,0,(INT(Inputs!$B$44/IF(Inputs!$B$39="pvp",15,MAX(0.1,Skills!D15-IF(TRUE=TRUE,Inputs!$B$33,0))))+1)),0)</f>
        <v/>
      </c>
      <c r="S1306">
        <f>IFERROR(O1306/N1306,0)</f>
        <v/>
      </c>
      <c r="T1306" t="n">
        <v>0</v>
      </c>
      <c r="V1306" t="n">
        <v>0</v>
      </c>
    </row>
    <row r="1307">
      <c r="A1307">
        <f>Skills!A16</f>
        <v/>
      </c>
      <c r="B1307">
        <f>Skills!B16</f>
        <v/>
      </c>
      <c r="C1307">
        <f>Inputs!$B$3&gt;=45</f>
        <v/>
      </c>
      <c r="D1307">
        <f>IF(Skills!C16=1,60+Inputs!$B$26+Inputs!$B$30,IF(Skills!C16=2,90+Inputs!$B$27+Inputs!$B$30,IF(Skills!C16=3,120+Inputs!$B$28+Inputs!$B$30,MAX(0,(Inputs!$B$3-100)*3)+Inputs!$B$29+Inputs!$B$30)))</f>
        <v/>
      </c>
      <c r="E1307">
        <f>INDEX(FactorTable!$B$2:$Y$301, MATCH(ROUND(MIN(300,MAX(1,D1307)),0), FactorTable!$A$2:$A$301,0), Skills!M16+1)</f>
        <v/>
      </c>
      <c r="F1307">
        <f>IF(Skills!N16=TRUE,(Skills!L16/10)*(E1307/1000),Skills!L16/10)+Skills!O16</f>
        <v/>
      </c>
      <c r="G1307">
        <f>Skills!G16*IF(Skills!H16&gt;0,INT(IF(Inputs!$B$39="pvp",MIN(Skills!I16,15),Skills!I16)/Skills!H16+0.000000001),1)</f>
        <v/>
      </c>
      <c r="H1307">
        <f>1-(1-Skills!J16/100)^Skills!K16</f>
        <v/>
      </c>
      <c r="I1307" t="inlineStr">
        <is>
          <t>1</t>
        </is>
      </c>
      <c r="J1307" t="inlineStr"/>
      <c r="K1307" t="inlineStr"/>
      <c r="L1307" t="inlineStr"/>
      <c r="M1307" t="inlineStr"/>
      <c r="N1307" t="inlineStr"/>
      <c r="O1307">
        <f>(1-Summary!$B$11)*T1307+Summary!$B$11*V1307</f>
        <v/>
      </c>
      <c r="P1307">
        <f>IF(B1330=0,0,O1307/B1330)</f>
        <v/>
      </c>
      <c r="Q1307">
        <f>IFERROR(1/IF(Inputs!$B$39="pvp",15,MAX(0.1,Skills!D16-IF(TRUE=TRUE,Inputs!$B$33,0))),0)</f>
        <v/>
      </c>
      <c r="R1307">
        <f>IF(AND(Inputs!$B$39&lt;&gt;"pvp",Inputs!$B$44&gt;0),IF(Inputs!$B$44&lt;=0,0,(INT(Inputs!$B$44/IF(Inputs!$B$39="pvp",15,MAX(0.1,Skills!D16-IF(TRUE=TRUE,Inputs!$B$33,0))))+1)),0)</f>
        <v/>
      </c>
      <c r="S1307">
        <f>IFERROR(O1307/N1307,0)</f>
        <v/>
      </c>
      <c r="T1307" t="n">
        <v>0</v>
      </c>
      <c r="V1307" t="n">
        <v>0</v>
      </c>
    </row>
    <row r="1308">
      <c r="A1308">
        <f>Skills!A17</f>
        <v/>
      </c>
      <c r="B1308">
        <f>Skills!B17</f>
        <v/>
      </c>
      <c r="C1308">
        <f>Inputs!$B$3&gt;=35</f>
        <v/>
      </c>
      <c r="D1308">
        <f>IF(Skills!C17=1,60+Inputs!$B$26+Inputs!$B$30,IF(Skills!C17=2,90+Inputs!$B$27+Inputs!$B$30,IF(Skills!C17=3,120+Inputs!$B$28+Inputs!$B$30,MAX(0,(Inputs!$B$3-100)*3)+Inputs!$B$29+Inputs!$B$30)))</f>
        <v/>
      </c>
      <c r="E1308">
        <f>INDEX(FactorTable!$B$2:$Y$301, MATCH(ROUND(MIN(300,MAX(1,D1308)),0), FactorTable!$A$2:$A$301,0), Skills!M17+1)</f>
        <v/>
      </c>
      <c r="F1308">
        <f>IF(Skills!N17=TRUE,(Skills!L17/10)*(E1308/1000),Skills!L17/10)+Skills!O17</f>
        <v/>
      </c>
      <c r="G1308">
        <f>Skills!G17*IF(Skills!H17&gt;0,INT(IF(Inputs!$B$39="pvp",MIN(Skills!I17,15),Skills!I17)/Skills!H17+0.000000001),1)</f>
        <v/>
      </c>
      <c r="H1308">
        <f>1-(1-Skills!J17/100)^Skills!K17</f>
        <v/>
      </c>
      <c r="I1308" t="inlineStr">
        <is>
          <t>1</t>
        </is>
      </c>
      <c r="J1308" t="inlineStr"/>
      <c r="K1308" t="inlineStr"/>
      <c r="L1308" t="inlineStr"/>
      <c r="M1308" t="inlineStr"/>
      <c r="N1308" t="inlineStr"/>
      <c r="O1308">
        <f>(1-Summary!$B$11)*T1308+Summary!$B$11*V1308</f>
        <v/>
      </c>
      <c r="P1308">
        <f>IF(B1330=0,0,O1308/B1330)</f>
        <v/>
      </c>
      <c r="Q1308">
        <f>IFERROR(1/IF(Inputs!$B$39="pvp",15,MAX(0.1,Skills!D17-IF(TRUE=TRUE,Inputs!$B$33,0))),0)</f>
        <v/>
      </c>
      <c r="R1308">
        <f>IF(AND(Inputs!$B$39&lt;&gt;"pvp",Inputs!$B$44&gt;0),IF(Inputs!$B$44&lt;=0,0,(INT(Inputs!$B$44/IF(Inputs!$B$39="pvp",15,MAX(0.1,Skills!D17-IF(TRUE=TRUE,Inputs!$B$33,0))))+1)),0)</f>
        <v/>
      </c>
      <c r="S1308">
        <f>IFERROR(O1308/N1308,0)</f>
        <v/>
      </c>
      <c r="T1308" t="n">
        <v>0</v>
      </c>
      <c r="V1308" t="n">
        <v>0</v>
      </c>
    </row>
    <row r="1309">
      <c r="A1309">
        <f>Skills!A18</f>
        <v/>
      </c>
      <c r="B1309">
        <f>Skills!B18</f>
        <v/>
      </c>
      <c r="C1309">
        <f>Inputs!$B$3&gt;=72</f>
        <v/>
      </c>
      <c r="D1309">
        <f>IF(Skills!C18=1,60+Inputs!$B$26+Inputs!$B$30,IF(Skills!C18=2,90+Inputs!$B$27+Inputs!$B$30,IF(Skills!C18=3,120+Inputs!$B$28+Inputs!$B$30,MAX(0,(Inputs!$B$3-100)*3)+Inputs!$B$29+Inputs!$B$30)))</f>
        <v/>
      </c>
      <c r="E1309">
        <f>INDEX(FactorTable!$B$2:$Y$301, MATCH(ROUND(MIN(300,MAX(1,D1309)),0), FactorTable!$A$2:$A$301,0), Skills!M18+1)</f>
        <v/>
      </c>
      <c r="F1309">
        <f>IF(Skills!N18=TRUE,(Skills!L18/10)*(E1309/1000),Skills!L18/10)+Skills!O18</f>
        <v/>
      </c>
      <c r="G1309">
        <f>Skills!G18*IF(Skills!H18&gt;0,INT(IF(Inputs!$B$39="pvp",MIN(Skills!I18,15),Skills!I18)/Skills!H18+0.000000001),1)</f>
        <v/>
      </c>
      <c r="H1309">
        <f>1-(1-Skills!J18/100)^Skills!K18</f>
        <v/>
      </c>
      <c r="I1309" t="inlineStr">
        <is>
          <t>1</t>
        </is>
      </c>
      <c r="J1309" t="inlineStr"/>
      <c r="K1309" t="inlineStr"/>
      <c r="L1309" t="inlineStr"/>
      <c r="M1309" t="inlineStr"/>
      <c r="N1309" t="inlineStr"/>
      <c r="O1309">
        <f>(1-Summary!$B$11)*T1309+Summary!$B$11*V1309</f>
        <v/>
      </c>
      <c r="P1309">
        <f>IF(B1330=0,0,O1309/B1330)</f>
        <v/>
      </c>
      <c r="Q1309">
        <f>IFERROR(1/IF(Inputs!$B$39="pvp",15,MAX(0.1,Skills!D18-IF(TRUE=TRUE,Inputs!$B$33,0))),0)</f>
        <v/>
      </c>
      <c r="R1309">
        <f>IF(AND(Inputs!$B$39&lt;&gt;"pvp",Inputs!$B$44&gt;0),IF(Inputs!$B$44&lt;=0,0,(INT(Inputs!$B$44/IF(Inputs!$B$39="pvp",15,MAX(0.1,Skills!D18-IF(TRUE=TRUE,Inputs!$B$33,0))))+1)),0)</f>
        <v/>
      </c>
      <c r="S1309">
        <f>IFERROR(O1309/N1309,0)</f>
        <v/>
      </c>
      <c r="T1309" t="n">
        <v>0</v>
      </c>
      <c r="V1309" t="n">
        <v>0</v>
      </c>
    </row>
    <row r="1310">
      <c r="A1310">
        <f>Skills!A19</f>
        <v/>
      </c>
      <c r="B1310">
        <f>Skills!B19</f>
        <v/>
      </c>
      <c r="C1310">
        <f>Inputs!$B$3&gt;=72</f>
        <v/>
      </c>
      <c r="D1310">
        <f>IF(Skills!C19=1,60+Inputs!$B$26+Inputs!$B$30,IF(Skills!C19=2,90+Inputs!$B$27+Inputs!$B$30,IF(Skills!C19=3,120+Inputs!$B$28+Inputs!$B$30,MAX(0,(Inputs!$B$3-100)*3)+Inputs!$B$29+Inputs!$B$30)))</f>
        <v/>
      </c>
      <c r="E1310">
        <f>INDEX(FactorTable!$B$2:$Y$301, MATCH(ROUND(MIN(300,MAX(1,D1310)),0), FactorTable!$A$2:$A$301,0), Skills!M19+1)</f>
        <v/>
      </c>
      <c r="F1310">
        <f>IF(Skills!N19=TRUE,(Skills!L19/10)*(E1310/1000),Skills!L19/10)+Skills!O19</f>
        <v/>
      </c>
      <c r="G1310">
        <f>Skills!G19*IF(Skills!H19&gt;0,INT(IF(Inputs!$B$39="pvp",MIN(Skills!I19,15),Skills!I19)/Skills!H19+0.000000001),1)</f>
        <v/>
      </c>
      <c r="H1310">
        <f>1-(1-Skills!J19/100)^Skills!K19</f>
        <v/>
      </c>
      <c r="I1310" t="inlineStr">
        <is>
          <t>1</t>
        </is>
      </c>
      <c r="J1310" t="inlineStr"/>
      <c r="K1310" t="inlineStr"/>
      <c r="L1310" t="inlineStr"/>
      <c r="M1310" t="inlineStr"/>
      <c r="N1310" t="inlineStr"/>
      <c r="O1310">
        <f>(1-Summary!$B$11)*T1310+Summary!$B$11*V1310</f>
        <v/>
      </c>
      <c r="P1310">
        <f>IF(B1330=0,0,O1310/B1330)</f>
        <v/>
      </c>
      <c r="Q1310">
        <f>IFERROR(1/IF(Inputs!$B$39="pvp",15,MAX(0.1,Skills!D19-IF(TRUE=TRUE,Inputs!$B$33,0))),0)</f>
        <v/>
      </c>
      <c r="R1310">
        <f>IF(AND(Inputs!$B$39&lt;&gt;"pvp",Inputs!$B$44&gt;0),IF(Inputs!$B$44&lt;=0,0,(INT(Inputs!$B$44/IF(Inputs!$B$39="pvp",15,MAX(0.1,Skills!D19-IF(TRUE=TRUE,Inputs!$B$33,0))))+1)),0)</f>
        <v/>
      </c>
      <c r="S1310">
        <f>IFERROR(O1310/N1310,0)</f>
        <v/>
      </c>
      <c r="T1310" t="n">
        <v>0</v>
      </c>
      <c r="V1310" t="n">
        <v>0</v>
      </c>
    </row>
    <row r="1311">
      <c r="A1311">
        <f>Skills!A20</f>
        <v/>
      </c>
      <c r="B1311">
        <f>Skills!B20</f>
        <v/>
      </c>
      <c r="C1311">
        <f>TRUE</f>
        <v/>
      </c>
      <c r="D1311">
        <f>IF(Skills!C20=1,60+Inputs!$B$26+Inputs!$B$30,IF(Skills!C20=2,90+Inputs!$B$27+Inputs!$B$30,IF(Skills!C20=3,120+Inputs!$B$28+Inputs!$B$30,MAX(0,(Inputs!$B$3-100)*3)+Inputs!$B$29+Inputs!$B$30)))</f>
        <v/>
      </c>
      <c r="E1311">
        <f>INDEX(FactorTable!$B$2:$Y$301, MATCH(ROUND(MIN(300,MAX(1,D1311)),0), FactorTable!$A$2:$A$301,0), Skills!M20+1)</f>
        <v/>
      </c>
      <c r="F1311">
        <f>IF(Skills!N20=TRUE,(Skills!L20/10)*(E1311/1000),Skills!L20/10)+Skills!O20</f>
        <v/>
      </c>
      <c r="G1311">
        <f>Skills!G20*IF(Skills!H20&gt;0,INT(IF(Inputs!$B$39="pvp",MIN(Skills!I20,15),Skills!I20)/Skills!H20+0.000000001),1)</f>
        <v/>
      </c>
      <c r="H1311">
        <f>1-(1-Skills!J20/100)^Skills!K20</f>
        <v/>
      </c>
      <c r="I1311" t="inlineStr">
        <is>
          <t>1</t>
        </is>
      </c>
      <c r="J1311" t="inlineStr"/>
      <c r="K1311" t="inlineStr"/>
      <c r="L1311" t="inlineStr"/>
      <c r="M1311" t="inlineStr"/>
      <c r="N1311" t="inlineStr"/>
      <c r="O1311">
        <f>(1-Summary!$B$11)*T1311+Summary!$B$11*V1311</f>
        <v/>
      </c>
      <c r="P1311">
        <f>IF(B1330=0,0,O1311/B1330)</f>
        <v/>
      </c>
      <c r="Q1311">
        <f>IFERROR(1/IF(Inputs!$B$39="pvp",15,MAX(0.1,Skills!D20-IF(TRUE=TRUE,Inputs!$B$33,0))),0)</f>
        <v/>
      </c>
      <c r="R1311">
        <f>IF(AND(Inputs!$B$39&lt;&gt;"pvp",Inputs!$B$44&gt;0),IF(Inputs!$B$44&lt;=0,0,(INT(Inputs!$B$44/IF(Inputs!$B$39="pvp",15,MAX(0.1,Skills!D20-IF(TRUE=TRUE,Inputs!$B$33,0))))+1)),0)</f>
        <v/>
      </c>
      <c r="S1311">
        <f>IFERROR(O1311/N1311,0)</f>
        <v/>
      </c>
      <c r="T1311" t="n">
        <v>0</v>
      </c>
      <c r="V1311" t="n">
        <v>0</v>
      </c>
    </row>
    <row r="1312">
      <c r="A1312">
        <f>Skills!A21</f>
        <v/>
      </c>
      <c r="B1312">
        <f>Skills!B21</f>
        <v/>
      </c>
      <c r="C1312">
        <f>Inputs!$B$3&gt;=33</f>
        <v/>
      </c>
      <c r="D1312">
        <f>IF(Skills!C21=1,60+Inputs!$B$26+Inputs!$B$30,IF(Skills!C21=2,90+Inputs!$B$27+Inputs!$B$30,IF(Skills!C21=3,120+Inputs!$B$28+Inputs!$B$30,MAX(0,(Inputs!$B$3-100)*3)+Inputs!$B$29+Inputs!$B$30)))</f>
        <v/>
      </c>
      <c r="E1312">
        <f>INDEX(FactorTable!$B$2:$Y$301, MATCH(ROUND(MIN(300,MAX(1,D1312)),0), FactorTable!$A$2:$A$301,0), Skills!M21+1)</f>
        <v/>
      </c>
      <c r="F1312">
        <f>IF(Skills!N21=TRUE,(Skills!L21/10)*(E1312/1000),Skills!L21/10)+Skills!O21</f>
        <v/>
      </c>
      <c r="G1312">
        <f>Skills!G21*IF(Skills!H21&gt;0,INT(IF(Inputs!$B$39="pvp",MIN(Skills!I21,15),Skills!I21)/Skills!H21+0.000000001),1)</f>
        <v/>
      </c>
      <c r="H1312">
        <f>1-(1-Skills!J21/100)^Skills!K21</f>
        <v/>
      </c>
      <c r="I1312" t="inlineStr">
        <is>
          <t>1</t>
        </is>
      </c>
      <c r="J1312" t="inlineStr"/>
      <c r="K1312" t="inlineStr"/>
      <c r="L1312" t="inlineStr"/>
      <c r="M1312" t="inlineStr"/>
      <c r="N1312" t="inlineStr"/>
      <c r="O1312">
        <f>(1-Summary!$B$11)*T1312+Summary!$B$11*V1312</f>
        <v/>
      </c>
      <c r="P1312">
        <f>IF(B1330=0,0,O1312/B1330)</f>
        <v/>
      </c>
      <c r="Q1312" t="n">
        <v>0</v>
      </c>
      <c r="R1312" t="n">
        <v>0</v>
      </c>
      <c r="S1312">
        <f>IFERROR(O1312/N1312,0)</f>
        <v/>
      </c>
      <c r="T1312" t="n">
        <v>0</v>
      </c>
      <c r="V1312" t="n">
        <v>0</v>
      </c>
    </row>
    <row r="1313">
      <c r="A1313">
        <f>Skills!A22</f>
        <v/>
      </c>
      <c r="B1313">
        <f>Skills!B22</f>
        <v/>
      </c>
      <c r="C1313">
        <f>Inputs!$B$3&gt;=43</f>
        <v/>
      </c>
      <c r="D1313">
        <f>IF(Skills!C22=1,60+Inputs!$B$26+Inputs!$B$30,IF(Skills!C22=2,90+Inputs!$B$27+Inputs!$B$30,IF(Skills!C22=3,120+Inputs!$B$28+Inputs!$B$30,MAX(0,(Inputs!$B$3-100)*3)+Inputs!$B$29+Inputs!$B$30)))</f>
        <v/>
      </c>
      <c r="E1313">
        <f>INDEX(FactorTable!$B$2:$Y$301, MATCH(ROUND(MIN(300,MAX(1,D1313)),0), FactorTable!$A$2:$A$301,0), Skills!M22+1)</f>
        <v/>
      </c>
      <c r="F1313">
        <f>IF(Skills!N22=TRUE,(Skills!L22/10)*(E1313/1000),Skills!L22/10)+Skills!O22</f>
        <v/>
      </c>
      <c r="G1313">
        <f>Skills!G22*IF(Skills!H22&gt;0,INT(IF(Inputs!$B$39="pvp",MIN(Skills!I22,15),Skills!I22)/Skills!H22+0.000000001),1)</f>
        <v/>
      </c>
      <c r="H1313">
        <f>1-(1-Skills!J22/100)^Skills!K22</f>
        <v/>
      </c>
      <c r="I1313" t="inlineStr">
        <is>
          <t>1</t>
        </is>
      </c>
      <c r="J1313" t="inlineStr"/>
      <c r="K1313" t="inlineStr"/>
      <c r="L1313" t="inlineStr"/>
      <c r="M1313" t="inlineStr"/>
      <c r="N1313" t="inlineStr"/>
      <c r="O1313">
        <f>(1-Summary!$B$11)*T1313+Summary!$B$11*V1313</f>
        <v/>
      </c>
      <c r="P1313">
        <f>IF(B1330=0,0,O1313/B1330)</f>
        <v/>
      </c>
      <c r="Q1313" t="n">
        <v>0</v>
      </c>
      <c r="R1313" t="n">
        <v>0</v>
      </c>
      <c r="S1313">
        <f>IFERROR(O1313/N1313,0)</f>
        <v/>
      </c>
      <c r="T1313" t="n">
        <v>0</v>
      </c>
      <c r="V1313" t="n">
        <v>0</v>
      </c>
    </row>
    <row r="1314">
      <c r="A1314">
        <f>Skills!A23</f>
        <v/>
      </c>
      <c r="B1314">
        <f>Skills!B23</f>
        <v/>
      </c>
      <c r="C1314">
        <f>Inputs!$B$3&gt;=120</f>
        <v/>
      </c>
      <c r="D1314">
        <f>IF(Skills!C23=1,60+Inputs!$B$26+Inputs!$B$30,IF(Skills!C23=2,90+Inputs!$B$27+Inputs!$B$30,IF(Skills!C23=3,120+Inputs!$B$28+Inputs!$B$30,MAX(0,(Inputs!$B$3-100)*3)+Inputs!$B$29+Inputs!$B$30)))</f>
        <v/>
      </c>
      <c r="E1314">
        <f>INDEX(FactorTable!$B$2:$Y$301, MATCH(ROUND(MIN(300,MAX(1,D1314)),0), FactorTable!$A$2:$A$301,0), Skills!M23+1)</f>
        <v/>
      </c>
      <c r="F1314">
        <f>IF(Skills!N23=TRUE,(Skills!L23/10)*(E1314/1000),Skills!L23/10)+Skills!O23</f>
        <v/>
      </c>
      <c r="G1314">
        <f>Skills!G23*IF(Skills!H23&gt;0,INT(IF(Inputs!$B$39="pvp",MIN(Skills!I23,15),Skills!I23)/Skills!H23+0.000000001),1)</f>
        <v/>
      </c>
      <c r="H1314">
        <f>1-(1-Skills!J23/100)^Skills!K23</f>
        <v/>
      </c>
      <c r="I1314" t="inlineStr">
        <is>
          <t>1</t>
        </is>
      </c>
      <c r="J1314" t="inlineStr"/>
      <c r="K1314" t="inlineStr"/>
      <c r="L1314" t="inlineStr"/>
      <c r="M1314" t="inlineStr"/>
      <c r="N1314" t="inlineStr"/>
      <c r="O1314">
        <f>(1-Summary!$B$11)*T1314+Summary!$B$11*V1314</f>
        <v/>
      </c>
      <c r="P1314">
        <f>IF(B1330=0,0,O1314/B1330)</f>
        <v/>
      </c>
      <c r="Q1314" t="n">
        <v>0</v>
      </c>
      <c r="R1314" t="n">
        <v>0</v>
      </c>
      <c r="S1314">
        <f>IFERROR(O1314/N1314,0)</f>
        <v/>
      </c>
      <c r="T1314" t="n">
        <v>0</v>
      </c>
      <c r="V1314" t="n">
        <v>0</v>
      </c>
    </row>
    <row r="1315">
      <c r="A1315">
        <f>Skills!A24</f>
        <v/>
      </c>
      <c r="B1315">
        <f>Skills!B24</f>
        <v/>
      </c>
      <c r="C1315">
        <f>Inputs!$B$3&gt;=120</f>
        <v/>
      </c>
      <c r="D1315">
        <f>IF(Skills!C24=1,60+Inputs!$B$26+Inputs!$B$30,IF(Skills!C24=2,90+Inputs!$B$27+Inputs!$B$30,IF(Skills!C24=3,120+Inputs!$B$28+Inputs!$B$30,MAX(0,(Inputs!$B$3-100)*3)+Inputs!$B$29+Inputs!$B$30)))</f>
        <v/>
      </c>
      <c r="E1315">
        <f>INDEX(FactorTable!$B$2:$Y$301, MATCH(ROUND(MIN(300,MAX(1,D1315)),0), FactorTable!$A$2:$A$301,0), Skills!M24+1)</f>
        <v/>
      </c>
      <c r="F1315">
        <f>IF(Skills!N24=TRUE,(Skills!L24/10)*(E1315/1000),Skills!L24/10)+Skills!O24</f>
        <v/>
      </c>
      <c r="G1315">
        <f>Skills!G24*IF(Skills!H24&gt;0,INT(IF(Inputs!$B$39="pvp",MIN(Skills!I24,15),Skills!I24)/Skills!H24+0.000000001),1)</f>
        <v/>
      </c>
      <c r="H1315">
        <f>1-(1-Skills!J24/100)^Skills!K24</f>
        <v/>
      </c>
      <c r="I1315" t="inlineStr">
        <is>
          <t>1</t>
        </is>
      </c>
      <c r="J1315" t="inlineStr"/>
      <c r="K1315" t="inlineStr"/>
      <c r="L1315" t="inlineStr"/>
      <c r="M1315" t="inlineStr"/>
      <c r="N1315" t="inlineStr"/>
      <c r="O1315">
        <f>(1-Summary!$B$11)*T1315+Summary!$B$11*V1315</f>
        <v/>
      </c>
      <c r="P1315">
        <f>IF(B1330=0,0,O1315/B1330)</f>
        <v/>
      </c>
      <c r="Q1315" t="n">
        <v>0</v>
      </c>
      <c r="R1315" t="n">
        <v>0</v>
      </c>
      <c r="S1315">
        <f>IFERROR(O1315/N1315,0)</f>
        <v/>
      </c>
      <c r="T1315" t="n">
        <v>0</v>
      </c>
      <c r="V1315" t="n">
        <v>0</v>
      </c>
    </row>
    <row r="1316">
      <c r="A1316">
        <f>Skills!A25</f>
        <v/>
      </c>
      <c r="B1316">
        <f>Skills!B25</f>
        <v/>
      </c>
      <c r="C1316">
        <f>Inputs!$B$3&gt;=125</f>
        <v/>
      </c>
      <c r="D1316">
        <f>IF(Skills!C25=1,60+Inputs!$B$26+Inputs!$B$30,IF(Skills!C25=2,90+Inputs!$B$27+Inputs!$B$30,IF(Skills!C25=3,120+Inputs!$B$28+Inputs!$B$30,MAX(0,(Inputs!$B$3-100)*3)+Inputs!$B$29+Inputs!$B$30)))</f>
        <v/>
      </c>
      <c r="E1316">
        <f>INDEX(FactorTable!$B$2:$Y$301, MATCH(ROUND(MIN(300,MAX(1,D1316)),0), FactorTable!$A$2:$A$301,0), Skills!M25+1)</f>
        <v/>
      </c>
      <c r="F1316">
        <f>IF(Skills!N25=TRUE,(Skills!L25/10)*(E1316/1000),Skills!L25/10)+Skills!O25</f>
        <v/>
      </c>
      <c r="G1316">
        <f>Skills!G25*IF(Skills!H25&gt;0,INT(IF(Inputs!$B$39="pvp",MIN(Skills!I25,15),Skills!I25)/Skills!H25+0.000000001),1)</f>
        <v/>
      </c>
      <c r="H1316">
        <f>1-(1-Skills!J25/100)^Skills!K25</f>
        <v/>
      </c>
      <c r="I1316" t="inlineStr">
        <is>
          <t>1</t>
        </is>
      </c>
      <c r="J1316" t="inlineStr"/>
      <c r="K1316" t="inlineStr"/>
      <c r="L1316" t="inlineStr"/>
      <c r="M1316" t="inlineStr"/>
      <c r="N1316" t="inlineStr"/>
      <c r="O1316">
        <f>(1-Summary!$B$11)*T1316+Summary!$B$11*V1316</f>
        <v/>
      </c>
      <c r="P1316">
        <f>IF(B1330=0,0,O1316/B1330)</f>
        <v/>
      </c>
      <c r="Q1316" t="n">
        <v>0</v>
      </c>
      <c r="R1316" t="n">
        <v>0</v>
      </c>
      <c r="S1316">
        <f>IFERROR(O1316/N1316,0)</f>
        <v/>
      </c>
      <c r="T1316" t="n">
        <v>0</v>
      </c>
      <c r="V1316" t="n">
        <v>0</v>
      </c>
    </row>
    <row r="1317">
      <c r="A1317">
        <f>Skills!A26</f>
        <v/>
      </c>
      <c r="B1317">
        <f>Skills!B26</f>
        <v/>
      </c>
      <c r="C1317">
        <f>Inputs!$B$3&gt;=107</f>
        <v/>
      </c>
      <c r="D1317">
        <f>IF(Skills!C26=1,60+Inputs!$B$26+Inputs!$B$30,IF(Skills!C26=2,90+Inputs!$B$27+Inputs!$B$30,IF(Skills!C26=3,120+Inputs!$B$28+Inputs!$B$30,MAX(0,(Inputs!$B$3-100)*3)+Inputs!$B$29+Inputs!$B$30)))</f>
        <v/>
      </c>
      <c r="E1317">
        <f>INDEX(FactorTable!$B$2:$Y$301, MATCH(ROUND(MIN(300,MAX(1,D1317)),0), FactorTable!$A$2:$A$301,0), Skills!M26+1)</f>
        <v/>
      </c>
      <c r="F1317">
        <f>IF(Skills!N26=TRUE,(Skills!L26/10)*(E1317/1000),Skills!L26/10)+Skills!O26</f>
        <v/>
      </c>
      <c r="G1317">
        <f>Skills!G26*IF(Skills!H26&gt;0,INT(IF(Inputs!$B$39="pvp",MIN(Skills!I26,15),Skills!I26)/Skills!H26+0.000000001),1)</f>
        <v/>
      </c>
      <c r="H1317">
        <f>1-(1-Skills!J26/100)^Skills!K26</f>
        <v/>
      </c>
      <c r="I1317" t="inlineStr">
        <is>
          <t>1</t>
        </is>
      </c>
      <c r="J1317" t="inlineStr"/>
      <c r="K1317" t="inlineStr"/>
      <c r="L1317" t="inlineStr"/>
      <c r="M1317" t="inlineStr"/>
      <c r="N1317" t="inlineStr"/>
      <c r="O1317">
        <f>(1-Summary!$B$11)*T1317+Summary!$B$11*V1317</f>
        <v/>
      </c>
      <c r="P1317">
        <f>IF(B1330=0,0,O1317/B1330)</f>
        <v/>
      </c>
      <c r="Q1317" t="n">
        <v>0</v>
      </c>
      <c r="R1317" t="n">
        <v>0</v>
      </c>
      <c r="S1317">
        <f>IFERROR(O1317/N1317,0)</f>
        <v/>
      </c>
      <c r="T1317" t="n">
        <v>0</v>
      </c>
      <c r="V1317" t="n">
        <v>0</v>
      </c>
    </row>
    <row r="1319">
      <c r="A1319" t="inlineStr">
        <is>
          <t>Attack% Bucket Multiplier</t>
        </is>
      </c>
      <c r="B1319">
        <f>(1+(((C1304=TRUE)*F1304*IF(AND(Inputs!$B$39&lt;&gt;"pvp",Inputs!$B$44&gt;0),(((R1304-1)*MIN((Skills!T13*(1+Inputs!$B$35/100)),(1/Q1304))+MIN((Skills!T13*(1+Inputs!$B$35/100)),MAX(0,Inputs!$B$44-((R1304-1)*(1/Q1304)))))/Inputs!$B$44),IF(Inputs!$B$39="pvp",MIN((Skills!T13*(1+Inputs!$B$35/100)),15)/15,MIN(1,(Skills!T13*(1+Inputs!$B$35/100))/(1/Q1304)))))+((C1305=TRUE)*F1305*IF(AND(Inputs!$B$39&lt;&gt;"pvp",Inputs!$B$44&gt;0),(((R1305-1)*MIN((Skills!T14*(1+Inputs!$B$35/100)),(1/Q1305))+MIN((Skills!T14*(1+Inputs!$B$35/100)),MAX(0,Inputs!$B$44-((R1305-1)*(1/Q1305)))))/Inputs!$B$44),IF(Inputs!$B$39="pvp",MIN((Skills!T14*(1+Inputs!$B$35/100)),15)/15,MIN(1,(Skills!T14*(1+Inputs!$B$35/100))/(1/Q1305)))))+((C1306=TRUE)*F1306*IF(AND(Inputs!$B$39&lt;&gt;"pvp",Inputs!$B$44&gt;0),(((R1306-1)*MIN((Skills!T15*(1+Inputs!$B$35/100)),(1/Q1306))+MIN((Skills!T15*(1+Inputs!$B$35/100)),MAX(0,Inputs!$B$44-((R1306-1)*(1/Q1306)))))/Inputs!$B$44),IF(Inputs!$B$39="pvp",MIN((Skills!T15*(1+Inputs!$B$35/100)),15)/15,MIN(1,(Skills!T15*(1+Inputs!$B$35/100))/(1/Q1306)))))+((C1307=TRUE)*F1307*IF(AND(Inputs!$B$39&lt;&gt;"pvp",Inputs!$B$44&gt;0),(((R1307-1)*MIN((Skills!T16*(1+Inputs!$B$35/100)),(1/Q1307))+MIN((Skills!T16*(1+Inputs!$B$35/100)),MAX(0,Inputs!$B$44-((R1307-1)*(1/Q1307)))))/Inputs!$B$44),IF(Inputs!$B$39="pvp",MIN((Skills!T16*(1+Inputs!$B$35/100)),15)/15,MIN(1,(Skills!T16*(1+Inputs!$B$35/100))/(1/Q1307)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1320">
      <c r="A1320" t="inlineStr">
        <is>
          <t>Global Crit Rate Bonus % (Lord of Darkness)</t>
        </is>
      </c>
      <c r="B1320">
        <f>((C1309=TRUE)*F1309*(Skills!J18/100)*IF(AND(Inputs!$B$39&lt;&gt;"pvp",Inputs!$B$44&gt;0),(((R1309-1)*MIN((Skills!T18*(1+Inputs!$B$35/100)),(1/Q1309))+MIN((Skills!T18*(1+Inputs!$B$35/100)),MAX(0,Inputs!$B$44-((R1309-1)*(1/Q1309)))))/Inputs!$B$44),IF(Inputs!$B$39="pvp",MIN((Skills!T18*(1+Inputs!$B$35/100)),15)/15,MIN(1,(Skills!T18*(1+Inputs!$B$35/100))/(1/Q1309)))))</f>
        <v/>
      </c>
    </row>
    <row r="1321">
      <c r="A1321" t="inlineStr">
        <is>
          <t>Attack Speed Buff Bonus %</t>
        </is>
      </c>
      <c r="B1321">
        <f>((C1311=TRUE)*F1311*IF(AND(Inputs!$B$39&lt;&gt;"pvp",Inputs!$B$44&gt;0),(((R1311-1)*MIN((Skills!T20*(1+Inputs!$B$35/100)),(1/Q1311))+MIN((Skills!T20*(1+Inputs!$B$35/100)),MAX(0,Inputs!$B$44-((R1311-1)*(1/Q1311)))))/Inputs!$B$44),IF(Inputs!$B$39="pvp",MIN((Skills!T20*(1+Inputs!$B$35/100)),15)/15,MIN(1,(Skills!T20*(1+Inputs!$B$35/100))/(1/Q1311)))))</f>
        <v/>
      </c>
    </row>
    <row r="1322">
      <c r="A1322" t="inlineStr">
        <is>
          <t>Actions Per Second</t>
        </is>
      </c>
      <c r="B1322">
        <f>1+MIN(150,150*(1-(1-(Inputs!$B$12+((C1312=TRUE)*(F1312-Calc!F21)))/150)*(1-B1321/150)))/100</f>
        <v/>
      </c>
    </row>
    <row r="1323">
      <c r="A1323" t="inlineStr">
        <is>
          <t>Skill + Buff Cast Rate</t>
        </is>
      </c>
      <c r="B1323">
        <f>IF(AND(Inputs!$B$39&lt;&gt;"pvp",Inputs!$B$44&gt;0),SUMPRODUCT((Skills!E2:E26=TRUE)*(C1293:C1317=TRUE)*R1293:R1317*Skills!F2:F26)/Inputs!$B$44,SUMPRODUCT((Skills!E2:E26=TRUE)*(C1293:C1317=TRUE)*Q1293:Q1317*Skills!F2:F26))</f>
        <v/>
      </c>
    </row>
    <row r="1324">
      <c r="A1324" t="inlineStr">
        <is>
          <t>Dark Impale Casts Per Second</t>
        </is>
      </c>
      <c r="B1324">
        <f>MAX(0,B1322-B1323)</f>
        <v/>
      </c>
    </row>
    <row r="1325">
      <c r="A1325" t="inlineStr">
        <is>
          <t>Global Critical Damage Bonus % (Lord of Darkness)</t>
        </is>
      </c>
      <c r="B1325">
        <f>((C1310=TRUE)*F1310*(Skills!J19/100)*IF(AND(Inputs!$B$39&lt;&gt;"pvp",Inputs!$B$44&gt;0),(((R1310-1)*MIN((Skills!T19*(1+Inputs!$B$35/100)),(1/Q1310))+MIN((Skills!T19*(1+Inputs!$B$35/100)),MAX(0,Inputs!$B$44-((R1310-1)*(1/Q1310)))))/Inputs!$B$44),IF(Inputs!$B$39="pvp",MIN((Skills!T19*(1+Inputs!$B$35/100)),15)/15,MIN(1,(Skills!T19*(1+Inputs!$B$35/100))/(1/Q1310)))))</f>
        <v/>
      </c>
    </row>
    <row r="1326">
      <c r="A1326" t="inlineStr">
        <is>
          <t>Global Final Damage Bonus % (unused)</t>
        </is>
      </c>
      <c r="B1326" t="n">
        <v>0</v>
      </c>
    </row>
    <row r="1327">
      <c r="A1327" t="inlineStr">
        <is>
          <t>Buff-Casting Startup Delay (s, fixed-duration only)</t>
        </is>
      </c>
      <c r="B1327">
        <f>IF(AND(Inputs!$B$39&lt;&gt;"pvp",Inputs!$B$44&gt;0),SUMPRODUCT((Skills!T2:T26&gt;0)*(Skills!E2:E26=TRUE)*(C1293:C1317=TRUE))/B1322,0)</f>
        <v/>
      </c>
    </row>
    <row r="1328">
      <c r="A1328" t="inlineStr">
        <is>
          <t>Boss-Only Total DPS (this block's swept value)</t>
        </is>
      </c>
      <c r="B1328">
        <f>SUM(T1293:T1317)</f>
        <v/>
      </c>
    </row>
    <row r="1329">
      <c r="A1329" t="inlineStr">
        <is>
          <t>Normal-Only Total DPS (this block's swept value)</t>
        </is>
      </c>
      <c r="B1329">
        <f>SUM(V1293:V1317)</f>
        <v/>
      </c>
    </row>
    <row r="1330">
      <c r="A1330" s="6" t="inlineStr">
        <is>
          <t>TOTAL DPS</t>
        </is>
      </c>
      <c r="B1330" s="6">
        <f>SUM(O1293:O1317)</f>
        <v/>
      </c>
    </row>
    <row r="1333">
      <c r="A1333" s="6" t="inlineStr">
        <is>
          <t>Stat: Shamaness Marble (Equip)</t>
        </is>
      </c>
    </row>
    <row r="1334">
      <c r="A1334" s="5" t="inlineStr">
        <is>
          <t>Key</t>
        </is>
      </c>
      <c r="B1334" s="5" t="inlineStr">
        <is>
          <t>Name</t>
        </is>
      </c>
      <c r="C1334" s="5" t="inlineStr">
        <is>
          <t>Unlocked</t>
        </is>
      </c>
      <c r="D1334" s="5" t="inlineStr">
        <is>
          <t>InputLevel</t>
        </is>
      </c>
      <c r="E1334" s="5" t="inlineStr">
        <is>
          <t>Factor</t>
        </is>
      </c>
      <c r="F1334" s="5" t="inlineStr">
        <is>
          <t>CoefficientPercent</t>
        </is>
      </c>
      <c r="G1334" s="5" t="inlineStr">
        <is>
          <t>EffectiveHits</t>
        </is>
      </c>
      <c r="H1334" s="5" t="inlineStr">
        <is>
          <t>ProcProbability</t>
        </is>
      </c>
      <c r="I1334" s="5" t="inlineStr">
        <is>
          <t>MapleHeroMultiplier</t>
        </is>
      </c>
      <c r="J1334" s="5" t="inlineStr">
        <is>
          <t>BaseDamage</t>
        </is>
      </c>
      <c r="K1334" s="5" t="inlineStr">
        <is>
          <t>BaseHitDamage</t>
        </is>
      </c>
      <c r="L1334" s="5" t="inlineStr">
        <is>
          <t>NonCritAvg</t>
        </is>
      </c>
      <c r="M1334" s="5" t="inlineStr">
        <is>
          <t>CritAvg</t>
        </is>
      </c>
      <c r="N1334" s="5" t="inlineStr">
        <is>
          <t>ExpectedDamage(perHit)</t>
        </is>
      </c>
      <c r="O1334" s="5" t="inlineStr">
        <is>
          <t>DPS</t>
        </is>
      </c>
      <c r="P1334" s="5" t="inlineStr">
        <is>
          <t>% of Total</t>
        </is>
      </c>
      <c r="Q1334" s="5" t="inlineStr">
        <is>
          <t>InvCooldown</t>
        </is>
      </c>
      <c r="R1334" s="5" t="inlineStr">
        <is>
          <t>CastsInFight</t>
        </is>
      </c>
      <c r="S1334" s="5" t="inlineStr">
        <is>
          <t>HitRate(perSec)</t>
        </is>
      </c>
      <c r="U1334" t="inlineStr">
        <is>
          <t>helpers</t>
        </is>
      </c>
    </row>
    <row r="1335">
      <c r="A1335">
        <f>Skills!A2</f>
        <v/>
      </c>
      <c r="B1335">
        <f>Skills!B2</f>
        <v/>
      </c>
      <c r="C1335">
        <f>Inputs!$B$3&gt;=100</f>
        <v/>
      </c>
      <c r="D1335" t="inlineStr"/>
      <c r="E1335" t="inlineStr"/>
      <c r="F1335">
        <f>U1337+Skills!O2</f>
        <v/>
      </c>
      <c r="G1335">
        <f>Skills!G2*IF(Skills!H2&gt;0,INT(IF(Inputs!$B$39="pvp",MIN(Skills!I2,15),Skills!I2)/Skills!H2+0.000000001),1)</f>
        <v/>
      </c>
      <c r="H1335">
        <f>1-(1-Skills!J2/100)^Skills!K2</f>
        <v/>
      </c>
      <c r="I1335" t="inlineStr">
        <is>
          <t>1</t>
        </is>
      </c>
      <c r="J1335">
        <f>((Inputs!$B$6*(1+Inputs!$B$7/100))+(((Inputs!$B$13*(1+Inputs!$B$14/100))-(Inputs!$B$13*(1+Inputs!$B$14/100)))+0.25*(Inputs!$B$15-Inputs!$B$15))*(1+Inputs!$B$7/100))*(F1335/100)</f>
        <v/>
      </c>
      <c r="K1335">
        <f>J1335*(1+(((Inputs!$B$13+IF(Inputs!$B$3&gt;=38,(10*INDEX(FactorTable!$B$2:$Y$301, MATCH(ROUND(MIN(300,MAX(1,Inputs!$B$3)),0), FactorTable!$A$2:$A$301,0), 23)/1000)/100*(Inputs!$B$8*(1+Inputs!$B$9/100)),0))*(1+Inputs!$B$14/100))*0.01+Inputs!$B$15*0.0025)/100)*(1+Inputs!$B$16/100)*(1+Inputs!$B$17/100)*(5000/(6000+Inputs!$B$43*(1-(Inputs!$B$20+0)/100)))*(1+(Inputs!$B$25+((C1358=TRUE)*(F1358-Calc!F25))+((C1359=TRUE)*(F1359-Calc!F26))+B1368)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gt;=100),MIN(100,((Inputs!$B$10+0+B1362+(ArtifactsInput!$M$24-ArtifactsInput!$M$24)*CHOOSE(ArtifactsInput!$N$24+1,10,12,14,16,18,20)+IF(ArtifactsInput!$M$10,CHOOSE(ArtifactsInput!$N$10+1,15,18,21,24,27,30)*(IF(Inputs!$B$39="pvp",MIN(15,15)/15,IF(AND(Inputs!$B$39&lt;&gt;"pvp",Inputs!$B$44&gt;0),MIN(15,Inputs!$B$44)/(Inputs!$B$44),0))),0)))-100),0))*CHOOSE(ArtifactsInput!$N$42+1,0.6,0.72,0.84,0.96,1.08,1.2))),Inputs!$B$19+((C1356=TRUE)*(F1356-Calc!F23))+(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gt;=100),CHOOSE(ArtifactsInput!$N$42+1,40,48,56,64,72,80),0))))/100)*((1+(((C1346=TRUE)*F1346*IF(AND(Inputs!$B$39&lt;&gt;"pvp",Inputs!$B$44&gt;0),(((R1346-1)*MIN((Skills!T13*(1+Inputs!$B$35/100)),(1/Q1346))+MIN((Skills!T13*(1+Inputs!$B$35/100)),MAX(0,Inputs!$B$44-((R1346-1)*(1/Q1346)))))/Inputs!$B$44),IF(Inputs!$B$39="pvp",MIN((Skills!T13*(1+Inputs!$B$35/100)),15)/15,MIN(1,(Skills!T13*(1+Inputs!$B$35/100))/(1/Q1346)))))+((C1347=TRUE)*F1347*IF(AND(Inputs!$B$39&lt;&gt;"pvp",Inputs!$B$44&gt;0),(((R1347-1)*MIN((Skills!T14*(1+Inputs!$B$35/100)),(1/Q1347))+MIN((Skills!T14*(1+Inputs!$B$35/100)),MAX(0,Inputs!$B$44-((R1347-1)*(1/Q1347)))))/Inputs!$B$44),IF(Inputs!$B$39="pvp",MIN((Skills!T14*(1+Inputs!$B$35/100)),15)/15,MIN(1,(Skills!T14*(1+Inputs!$B$35/100))/(1/Q1347)))))+((C1348=TRUE)*F1348*IF(AND(Inputs!$B$39&lt;&gt;"pvp",Inputs!$B$44&gt;0),(((R1348-1)*MIN((Skills!T15*(1+Inputs!$B$35/100)),(1/Q1348))+MIN((Skills!T15*(1+Inputs!$B$35/100)),MAX(0,Inputs!$B$44-((R1348-1)*(1/Q1348)))))/Inputs!$B$44),IF(Inputs!$B$39="pvp",MIN((Skills!T15*(1+Inputs!$B$35/100)),15)/15,MIN(1,(Skills!T15*(1+Inputs!$B$35/100))/(1/Q1348)))))+((C1349=TRUE)*F1349*IF(AND(Inputs!$B$39&lt;&gt;"pvp",Inputs!$B$44&gt;0),(((R1349-1)*MIN((Skills!T16*(1+Inputs!$B$35/100)),(1/Q1349))+MIN((Skills!T16*(1+Inputs!$B$35/100)),MAX(0,Inputs!$B$44-((R1349-1)*(1/Q1349)))))/Inputs!$B$44),IF(Inputs!$B$39="pvp",MIN((Skills!T16*(1+Inputs!$B$35/100)),15)/15,MIN(1,(Skills!T16*(1+Inputs!$B$35/100))/(1/Q1349)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1335)</f>
        <v/>
      </c>
      <c r="L1335">
        <f>K1335*(MIN(Inputs!$B$23+((C1355=TRUE)*(F1355-Calc!F22)),(Inputs!$B$24+((C1357=TRUE)*(F1357-Calc!F24))+(IF(ArtifactsInput!$M$15,CHOOSE(ArtifactsInput!$N$15+1,25,30,35,40,45,50)/100*(Inputs!$B$12-Inputs!$B$12),0))))/100+(Inputs!$B$24+((C1357=TRUE)*(F1357-Calc!F24))+(IF(ArtifactsInput!$M$15,CHOOSE(ArtifactsInput!$N$15+1,25,30,35,40,45,50)/100*(Inputs!$B$12-Inputs!$B$12),0)))/100)/2</f>
        <v/>
      </c>
      <c r="M1335">
        <f>L1335*(1+(Inputs!$B$11+0+B1367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335">
        <f>L1335*(1-MIN((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1335*(MIN((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35">
        <f>(1-Summary!$B$11)*T1335+Summary!$B$11*V1335</f>
        <v/>
      </c>
      <c r="P1335">
        <f>IF(B1372=0,0,O1335/B1372)</f>
        <v/>
      </c>
      <c r="Q1335" t="n">
        <v>0</v>
      </c>
      <c r="R1335" t="n">
        <v>0</v>
      </c>
      <c r="S1335">
        <f>IFERROR(O1335/N1335,0)</f>
        <v/>
      </c>
      <c r="T1335">
        <f>IF(C1335,(Skills!G2*N1335*B1366)*IF(Inputs!$B$39="pvp",1,1+(Inputs!$B$21+0+Skills!P2+((C1350=TRUE)*F1350*IF(AND(Inputs!$B$39&lt;&gt;"pvp",Inputs!$B$44&gt;0),(((R1350-1)*MIN((Skills!T17*(1+Inputs!$B$35/100)),(1/Q1350))+MIN((Skills!T17*(1+Inputs!$B$35/100)),MAX(0,Inputs!$B$44-((R1350-1)*(1/Q1350)))))/Inputs!$B$44),IF(Inputs!$B$39="pvp",MIN((Skills!T17*(1+Inputs!$B$35/100)),15)/15,MIN(1,(Skills!T17*(1+Inputs!$B$35/100))/(1/Q1350)))))+((C1338=TRUE)*IF(Inputs!$B$3&gt;=126,10*MIN(1,15*Q1338),0))+((C1347=TRUE)*IF(Inputs!$B$39="pvp",20,(1-Summary!$B$11)*(20)+Summary!$B$11*(0))*IF(AND(Inputs!$B$39&lt;&gt;"pvp",Inputs!$B$44&gt;0),(((R1347-1)*MIN((Skills!T14*(1+Inputs!$B$35/100)),(1/Q1347))+MIN((Skills!T14*(1+Inputs!$B$35/100)),MAX(0,Inputs!$B$44-((R1347-1)*(1/Q1347)))))/Inputs!$B$44),IF(Inputs!$B$39="pvp",MIN((Skills!T14*(1+Inputs!$B$35/100)),15)/15,MIN(1,(Skills!T14*(1+Inputs!$B$35/100))/(1/Q1347)))))+((C1346=TRUE)*IF(Inputs!$B$3&gt;=82,IF(Inputs!$B$39="pvp",20,(1-Summary!$B$11)*(20)+Summary!$B$11*(0)),0)*IF(AND(Inputs!$B$39&lt;&gt;"pvp",Inputs!$B$44&gt;0),(((R1346-1)*MIN((Skills!T13*(1+Inputs!$B$35/100)),(1/Q1346))+MIN((Skills!T13*(1+Inputs!$B$35/100)),MAX(0,Inputs!$B$44-((R1346-1)*(1/Q1346)))))/Inputs!$B$44),IF(Inputs!$B$39="pvp",MIN((Skills!T13*(1+Inputs!$B$35/100)),15)/15,MIN(1,(Skills!T13*(1+Inputs!$B$35/100))/(1/Q1346)))))+(IF(AND(ArtifactsInput!$M$35,Inputs!$B$4&lt;&gt;"Chapter Hunt"),CHOOSE(ArtifactsInput!$N$35+1,15,18,21,24,27,30)*(1-EXP(-(0.2*B1364)*5)),0)+IF(AND(ArtifactsInput!$M$22,Inputs!$B$4&lt;&gt;"Chapter Hunt"),CHOOSE(ArtifactsInput!$N$22+1,10,12,14,16,18,20)*((0*(((0.15*B1364*5))^0/1)+1*(((0.15*B1364*5))^1/1)+2*(((0.15*B1364*5))^2/2)+3*(((0.15*B1364*5))^3/6)+4*(((0.15*B1364*5))^4/24)+5*(((0.15*B1364*5))^5/120))/((((0.15*B1364*5))^0/1)+(((0.15*B1364*5))^1/1)+(((0.15*B1364*5))^2/2)+(((0.15*B1364*5))^3/6)+(((0.15*B1364*5))^4/24)+(((0.15*B1364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1335*(1-MIN(100,(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1335*(MIN(100,(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1335*(1-MIN(100,(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1335*(MIN(100,(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335">
        <f>MAX(0,(Inputs!$B$3-100)*3)+Inputs!$B$29+Inputs!$B$30</f>
        <v/>
      </c>
      <c r="V1335">
        <f>IF(C1335,(Skills!G2*N1335*B1366)*IF(Inputs!$B$39="pvp",1,(1+(Inputs!$B$22+Skills!Q2+((C1350=TRUE)*F1350*IF(AND(Inputs!$B$39&lt;&gt;"pvp",Inputs!$B$44&gt;0),(((R1350-1)*MIN((Skills!T17*(1+Inputs!$B$35/100)),(1/Q1350))+MIN((Skills!T17*(1+Inputs!$B$35/100)),MAX(0,Inputs!$B$44-((R1350-1)*(1/Q1350)))))/Inputs!$B$44),IF(Inputs!$B$39="pvp",MIN((Skills!T17*(1+Inputs!$B$35/100)),15)/15,MIN(1,(Skills!T17*(1+Inputs!$B$35/100))/(1/Q1350)))))+((C1338=TRUE)*IF(Inputs!$B$3&gt;=126,10*MIN(1,15*Q1338),0))+((C1347=TRUE)*IF(Inputs!$B$39="pvp",20,(1-Summary!$B$11)*(20)+Summary!$B$11*(0))*IF(AND(Inputs!$B$39&lt;&gt;"pvp",Inputs!$B$44&gt;0),(((R1347-1)*MIN((Skills!T14*(1+Inputs!$B$35/100)),(1/Q1347))+MIN((Skills!T14*(1+Inputs!$B$35/100)),MAX(0,Inputs!$B$44-((R1347-1)*(1/Q1347)))))/Inputs!$B$44),IF(Inputs!$B$39="pvp",MIN((Skills!T14*(1+Inputs!$B$35/100)),15)/15,MIN(1,(Skills!T14*(1+Inputs!$B$35/100))/(1/Q1347)))))+((C1346=TRUE)*IF(Inputs!$B$3&gt;=82,IF(Inputs!$B$39="pvp",20,(1-Summary!$B$11)*(20)+Summary!$B$11*(0)),0)*IF(AND(Inputs!$B$39&lt;&gt;"pvp",Inputs!$B$44&gt;0),(((R1346-1)*MIN((Skills!T13*(1+Inputs!$B$35/100)),(1/Q1346))+MIN((Skills!T13*(1+Inputs!$B$35/100)),MAX(0,Inputs!$B$44-((R1346-1)*(1/Q1346)))))/Inputs!$B$44),IF(Inputs!$B$39="pvp",MIN((Skills!T13*(1+Inputs!$B$35/100)),15)/15,MIN(1,(Skills!T13*(1+Inputs!$B$35/100))/(1/Q1346)))))+(IF(AND(ArtifactsInput!$M$35,Inputs!$B$4&lt;&gt;"Chapter Hunt"),CHOOSE(ArtifactsInput!$N$35+1,15,18,21,24,27,30)*(1-EXP(-(0.2*B1364)*5)),0)+IF(AND(ArtifactsInput!$M$22,Inputs!$B$4&lt;&gt;"Chapter Hunt"),CHOOSE(ArtifactsInput!$N$22+1,10,12,14,16,18,20)*((0*(((0.15*B1364*5))^0/1)+1*(((0.15*B1364*5))^1/1)+2*(((0.15*B1364*5))^2/2)+3*(((0.15*B1364*5))^3/6)+4*(((0.15*B1364*5))^4/24)+5*(((0.15*B1364*5))^5/120))/((((0.15*B1364*5))^0/1)+(((0.15*B1364*5))^1/1)+(((0.15*B1364*5))^2/2)+(((0.15*B1364*5))^3/6)+(((0.15*B1364*5))^4/24)+(((0.15*B1364*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36">
      <c r="A1336">
        <f>Skills!A3</f>
        <v/>
      </c>
      <c r="B1336">
        <f>Skills!B3</f>
        <v/>
      </c>
      <c r="C1336">
        <f>Inputs!$B$3&gt;=50</f>
        <v/>
      </c>
      <c r="D1336">
        <f>IF(Skills!C3=1,60+Inputs!$B$26+Inputs!$B$30,IF(Skills!C3=2,90+Inputs!$B$27+Inputs!$B$30,IF(Skills!C3=3,120+Inputs!$B$28+Inputs!$B$30,MAX(0,(Inputs!$B$3-100)*3)+Inputs!$B$29+Inputs!$B$30)))</f>
        <v/>
      </c>
      <c r="E1336">
        <f>INDEX(FactorTable!$B$2:$Y$301, MATCH(ROUND(MIN(300,MAX(1,D1336)),0), FactorTable!$A$2:$A$301,0), Skills!M3+1)</f>
        <v/>
      </c>
      <c r="F1336">
        <f>IF(Skills!N3=TRUE,(Skills!L3/10)*(E1336/1000),Skills!L3/10)+Skills!O3</f>
        <v/>
      </c>
      <c r="G1336" t="inlineStr"/>
      <c r="H1336" t="inlineStr"/>
      <c r="I1336" t="inlineStr">
        <is>
          <t>1</t>
        </is>
      </c>
      <c r="J1336" t="inlineStr"/>
      <c r="K1336" t="inlineStr"/>
      <c r="L1336" t="inlineStr"/>
      <c r="M1336" t="inlineStr"/>
      <c r="N1336" t="inlineStr"/>
      <c r="O1336" t="inlineStr"/>
      <c r="P1336" t="inlineStr"/>
      <c r="Q1336" t="inlineStr"/>
      <c r="R1336" t="inlineStr"/>
      <c r="S1336" t="inlineStr"/>
      <c r="U1336">
        <f>INDEX(FactorTable!$B$2:$Y$301, MATCH(ROUND(MIN(300,MAX(1,U1335)),0), FactorTable!$A$2:$A$301,0), 22)</f>
        <v/>
      </c>
    </row>
    <row r="1337">
      <c r="A1337">
        <f>Skills!A4</f>
        <v/>
      </c>
      <c r="B1337">
        <f>Skills!B4</f>
        <v/>
      </c>
      <c r="C1337">
        <f>Inputs!$B$3&gt;=105</f>
        <v/>
      </c>
      <c r="D1337">
        <f>IF(Skills!C4=1,60+Inputs!$B$26+Inputs!$B$30,IF(Skills!C4=2,90+Inputs!$B$27+Inputs!$B$30,IF(Skills!C4=3,120+Inputs!$B$28+Inputs!$B$30,MAX(0,(Inputs!$B$3-100)*3)+Inputs!$B$29+Inputs!$B$30)))</f>
        <v/>
      </c>
      <c r="E1337">
        <f>INDEX(FactorTable!$B$2:$Y$301, MATCH(ROUND(MIN(300,MAX(1,D1337)),0), FactorTable!$A$2:$A$301,0), Skills!M4+1)</f>
        <v/>
      </c>
      <c r="F1337">
        <f>IF(Skills!N4=TRUE,(Skills!L4/10)*(E1337/1000),Skills!L4/10)+Skills!O4</f>
        <v/>
      </c>
      <c r="G1337" t="inlineStr"/>
      <c r="H1337" t="inlineStr"/>
      <c r="I1337" t="inlineStr">
        <is>
          <t>1</t>
        </is>
      </c>
      <c r="J1337" t="inlineStr"/>
      <c r="K1337" t="inlineStr"/>
      <c r="L1337" t="inlineStr"/>
      <c r="M1337" t="inlineStr"/>
      <c r="N1337" t="inlineStr"/>
      <c r="O1337" t="inlineStr"/>
      <c r="P1337" t="inlineStr"/>
      <c r="Q1337" t="inlineStr"/>
      <c r="R1337" t="inlineStr"/>
      <c r="S1337" t="inlineStr"/>
      <c r="U1337">
        <f>290*U1336/1000</f>
        <v/>
      </c>
    </row>
    <row r="1338">
      <c r="A1338">
        <f>Skills!A5</f>
        <v/>
      </c>
      <c r="B1338">
        <f>Skills!B5</f>
        <v/>
      </c>
      <c r="C1338">
        <f>Inputs!$B$3&gt;=117</f>
        <v/>
      </c>
      <c r="D1338">
        <f>IF(Skills!C5=1,60+Inputs!$B$26+Inputs!$B$30,IF(Skills!C5=2,90+Inputs!$B$27+Inputs!$B$30,IF(Skills!C5=3,120+Inputs!$B$28+Inputs!$B$30,MAX(0,(Inputs!$B$3-100)*3)+Inputs!$B$29+Inputs!$B$30)))</f>
        <v/>
      </c>
      <c r="E1338">
        <f>INDEX(FactorTable!$B$2:$Y$301, MATCH(ROUND(MIN(300,MAX(1,D1338)),0), FactorTable!$A$2:$A$301,0), Skills!M5+1)</f>
        <v/>
      </c>
      <c r="F1338">
        <f>IF(Skills!N5=TRUE,(Skills!L5/10)*(E1338/1000),Skills!L5/10)+Skills!O5</f>
        <v/>
      </c>
      <c r="G1338">
        <f>Skills!G5*IF(Skills!H5&gt;0,INT(IF(Inputs!$B$39="pvp",MIN(Skills!I5,15),Skills!I5)/Skills!H5+0.000000001),1)</f>
        <v/>
      </c>
      <c r="H1338">
        <f>1-(1-Skills!J5/100)^Skills!K5</f>
        <v/>
      </c>
      <c r="I1338" t="inlineStr">
        <is>
          <t>1</t>
        </is>
      </c>
      <c r="J1338">
        <f>((Inputs!$B$6*(1+Inputs!$B$7/100))+(((Inputs!$B$13*(1+Inputs!$B$14/100))-(Inputs!$B$13*(1+Inputs!$B$14/100)))+0.25*(Inputs!$B$15-Inputs!$B$15))*(1+Inputs!$B$7/100))*(F1338/100)</f>
        <v/>
      </c>
      <c r="K1338">
        <f>J1338*(1+(((Inputs!$B$13+IF(Inputs!$B$3&gt;=38,(10*INDEX(FactorTable!$B$2:$Y$301, MATCH(ROUND(MIN(300,MAX(1,Inputs!$B$3)),0), FactorTable!$A$2:$A$301,0), 23)/1000)/100*(Inputs!$B$8*(1+Inputs!$B$9/100)),0))*(1+Inputs!$B$14/100))*0.01+Inputs!$B$15*0.0025)/100)*(1+Inputs!$B$16/100)*(1+Inputs!$B$17/100)*(5000/(6000+Inputs!$B$43*(1-(Inputs!$B$20+0)/100)))*(1+(Inputs!$B$25+((C1358=TRUE)*(F1358-Calc!F25))+((C1359=TRUE)*(F1359-Calc!F26))+B1368)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gt;=100),MIN(100,((Inputs!$B$10+0+B1362+(ArtifactsInput!$M$24-ArtifactsInput!$M$24)*CHOOSE(ArtifactsInput!$N$24+1,10,12,14,16,18,20)+IF(ArtifactsInput!$M$10,CHOOSE(ArtifactsInput!$N$10+1,15,18,21,24,27,30)*(IF(Inputs!$B$39="pvp",MIN(15,15)/15,IF(AND(Inputs!$B$39&lt;&gt;"pvp",Inputs!$B$44&gt;0),MIN(15,Inputs!$B$44)/(Inputs!$B$44),0))),0)))-100),0))*CHOOSE(ArtifactsInput!$N$42+1,0.6,0.72,0.84,0.96,1.08,1.2))),Inputs!$B$19+((C1356=TRUE)*(F1356-Calc!F23))+(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gt;=100),CHOOSE(ArtifactsInput!$N$42+1,40,48,56,64,72,80),0))))/100)*((1+(((C1346=TRUE)*F1346*IF(AND(Inputs!$B$39&lt;&gt;"pvp",Inputs!$B$44&gt;0),(((R1346-1)*MIN((Skills!T13*(1+Inputs!$B$35/100)),(1/Q1346))+MIN((Skills!T13*(1+Inputs!$B$35/100)),MAX(0,Inputs!$B$44-((R1346-1)*(1/Q1346)))))/Inputs!$B$44),IF(Inputs!$B$39="pvp",MIN((Skills!T13*(1+Inputs!$B$35/100)),15)/15,MIN(1,(Skills!T13*(1+Inputs!$B$35/100))/(1/Q1346)))))+((C1347=TRUE)*F1347*IF(AND(Inputs!$B$39&lt;&gt;"pvp",Inputs!$B$44&gt;0),(((R1347-1)*MIN((Skills!T14*(1+Inputs!$B$35/100)),(1/Q1347))+MIN((Skills!T14*(1+Inputs!$B$35/100)),MAX(0,Inputs!$B$44-((R1347-1)*(1/Q1347)))))/Inputs!$B$44),IF(Inputs!$B$39="pvp",MIN((Skills!T14*(1+Inputs!$B$35/100)),15)/15,MIN(1,(Skills!T14*(1+Inputs!$B$35/100))/(1/Q1347)))))+((C1348=TRUE)*F1348*IF(AND(Inputs!$B$39&lt;&gt;"pvp",Inputs!$B$44&gt;0),(((R1348-1)*MIN((Skills!T15*(1+Inputs!$B$35/100)),(1/Q1348))+MIN((Skills!T15*(1+Inputs!$B$35/100)),MAX(0,Inputs!$B$44-((R1348-1)*(1/Q1348)))))/Inputs!$B$44),IF(Inputs!$B$39="pvp",MIN((Skills!T15*(1+Inputs!$B$35/100)),15)/15,MIN(1,(Skills!T15*(1+Inputs!$B$35/100))/(1/Q1348)))))+((C1349=TRUE)*F1349*IF(AND(Inputs!$B$39&lt;&gt;"pvp",Inputs!$B$44&gt;0),(((R1349-1)*MIN((Skills!T16*(1+Inputs!$B$35/100)),(1/Q1349))+MIN((Skills!T16*(1+Inputs!$B$35/100)),MAX(0,Inputs!$B$44-((R1349-1)*(1/Q1349)))))/Inputs!$B$44),IF(Inputs!$B$39="pvp",MIN((Skills!T16*(1+Inputs!$B$35/100)),15)/15,MIN(1,(Skills!T16*(1+Inputs!$B$35/100))/(1/Q1349)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1338)</f>
        <v/>
      </c>
      <c r="L1338">
        <f>K1338*(MIN(Inputs!$B$23+((C1355=TRUE)*(F1355-Calc!F22)),(Inputs!$B$24+((C1357=TRUE)*(F1357-Calc!F24))+(IF(ArtifactsInput!$M$15,CHOOSE(ArtifactsInput!$N$15+1,25,30,35,40,45,50)/100*(Inputs!$B$12-Inputs!$B$12),0))))/100+(Inputs!$B$24+((C1357=TRUE)*(F1357-Calc!F24))+(IF(ArtifactsInput!$M$15,CHOOSE(ArtifactsInput!$N$15+1,25,30,35,40,45,50)/100*(Inputs!$B$12-Inputs!$B$12),0)))/100)/2</f>
        <v/>
      </c>
      <c r="M1338">
        <f>L1338*(1+(Inputs!$B$11+0+B1367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338">
        <f>L1338*(1-MIN((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1338*(MIN((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38">
        <f>(1-Summary!$B$11)*T1338+Summary!$B$11*V1338</f>
        <v/>
      </c>
      <c r="P1338">
        <f>IF(B1372=0,0,O1338/B1372)</f>
        <v/>
      </c>
      <c r="Q1338">
        <f>IFERROR(1/IF(Inputs!$B$39="pvp",15,MAX(0.1,Skills!D5-IF(TRUE=TRUE,Inputs!$B$33,0))),0)</f>
        <v/>
      </c>
      <c r="R1338">
        <f>IF(AND(Inputs!$B$39&lt;&gt;"pvp",Inputs!$B$44&gt;0),IF(MAX(0,Inputs!$B$44-B1369)&lt;=0,0,(INT(MAX(0,Inputs!$B$44-B1369)/IF(Inputs!$B$39="pvp",15,MAX(0.1,Skills!D5-IF(TRUE=TRUE,Inputs!$B$33,0))))+1)),0)</f>
        <v/>
      </c>
      <c r="S1338">
        <f>IFERROR(O1338/N1338,0)</f>
        <v/>
      </c>
      <c r="T1338">
        <f>IF(C1338,(H1338*N1338*IF(AND(Inputs!$B$39&lt;&gt;"pvp",Inputs!$B$44&gt;0),((Skills!G5*((R1338-1)*IF(Skills!H5&gt;0,INT(Skills!I5/Skills!H5+0.000000001),1)+IF(Skills!H5&gt;0,INT(MIN(Skills!I5,MAX(0,MAX(0,Inputs!$B$44-B1369)-((R1338-1)*IF(Inputs!$B$39="pvp",15,MAX(0.1,Skills!D5-IF(TRUE=TRUE,Inputs!$B$33,0))))))/Skills!H5+0.000000001),1)))/Inputs!$B$44),G1338*Q1338))*IF(Inputs!$B$39="pvp",1,1+(Inputs!$B$21+0+Skills!P5+((C1350=TRUE)*F1350*IF(AND(Inputs!$B$39&lt;&gt;"pvp",Inputs!$B$44&gt;0),(((R1350-1)*MIN((Skills!T17*(1+Inputs!$B$35/100)),(1/Q1350))+MIN((Skills!T17*(1+Inputs!$B$35/100)),MAX(0,Inputs!$B$44-((R1350-1)*(1/Q1350)))))/Inputs!$B$44),IF(Inputs!$B$39="pvp",MIN((Skills!T17*(1+Inputs!$B$35/100)),15)/15,MIN(1,(Skills!T17*(1+Inputs!$B$35/100))/(1/Q1350)))))+((C1338=TRUE)*IF(Inputs!$B$3&gt;=126,10*MIN(1,15*Q1338),0))+((C1347=TRUE)*IF(Inputs!$B$39="pvp",20,(1-Summary!$B$11)*(20)+Summary!$B$11*(0))*IF(AND(Inputs!$B$39&lt;&gt;"pvp",Inputs!$B$44&gt;0),(((R1347-1)*MIN((Skills!T14*(1+Inputs!$B$35/100)),(1/Q1347))+MIN((Skills!T14*(1+Inputs!$B$35/100)),MAX(0,Inputs!$B$44-((R1347-1)*(1/Q1347)))))/Inputs!$B$44),IF(Inputs!$B$39="pvp",MIN((Skills!T14*(1+Inputs!$B$35/100)),15)/15,MIN(1,(Skills!T14*(1+Inputs!$B$35/100))/(1/Q1347)))))+((C1346=TRUE)*IF(Inputs!$B$3&gt;=82,IF(Inputs!$B$39="pvp",20,(1-Summary!$B$11)*(20)+Summary!$B$11*(0)),0)*IF(AND(Inputs!$B$39&lt;&gt;"pvp",Inputs!$B$44&gt;0),(((R1346-1)*MIN((Skills!T13*(1+Inputs!$B$35/100)),(1/Q1346))+MIN((Skills!T13*(1+Inputs!$B$35/100)),MAX(0,Inputs!$B$44-((R1346-1)*(1/Q1346)))))/Inputs!$B$44),IF(Inputs!$B$39="pvp",MIN((Skills!T13*(1+Inputs!$B$35/100)),15)/15,MIN(1,(Skills!T13*(1+Inputs!$B$35/100))/(1/Q1346)))))+(IF(AND(ArtifactsInput!$M$35,Inputs!$B$4&lt;&gt;"Chapter Hunt"),CHOOSE(ArtifactsInput!$N$35+1,15,18,21,24,27,30)*(1-EXP(-(0.2*B1364)*5)),0)+IF(AND(ArtifactsInput!$M$22,Inputs!$B$4&lt;&gt;"Chapter Hunt"),CHOOSE(ArtifactsInput!$N$22+1,10,12,14,16,18,20)*((0*(((0.15*B1364*5))^0/1)+1*(((0.15*B1364*5))^1/1)+2*(((0.15*B1364*5))^2/2)+3*(((0.15*B1364*5))^3/6)+4*(((0.15*B1364*5))^4/24)+5*(((0.15*B1364*5))^5/120))/((((0.15*B1364*5))^0/1)+(((0.15*B1364*5))^1/1)+(((0.15*B1364*5))^2/2)+(((0.15*B1364*5))^3/6)+(((0.15*B1364*5))^4/24)+(((0.15*B1364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1338*(1-MIN(100,(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1338*(MIN(100,(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1338*(1-MIN(100,(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1338*(MIN(100,(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38">
        <f>IF(C1338,(H1338*N1338*IF(AND(Inputs!$B$39&lt;&gt;"pvp",Inputs!$B$44&gt;0),((Skills!G5*((R1338-1)*IF(Skills!H5&gt;0,INT(Skills!I5/Skills!H5+0.000000001),1)+IF(Skills!H5&gt;0,INT(MIN(Skills!I5,MAX(0,MAX(0,Inputs!$B$44-B1369)-((R1338-1)*IF(Inputs!$B$39="pvp",15,MAX(0.1,Skills!D5-IF(TRUE=TRUE,Inputs!$B$33,0))))))/Skills!H5+0.000000001),1)))/Inputs!$B$44),G1338*Q1338))*IF(Inputs!$B$39="pvp",1,(1+(Inputs!$B$22+Skills!Q5+((C1350=TRUE)*F1350*IF(AND(Inputs!$B$39&lt;&gt;"pvp",Inputs!$B$44&gt;0),(((R1350-1)*MIN((Skills!T17*(1+Inputs!$B$35/100)),(1/Q1350))+MIN((Skills!T17*(1+Inputs!$B$35/100)),MAX(0,Inputs!$B$44-((R1350-1)*(1/Q1350)))))/Inputs!$B$44),IF(Inputs!$B$39="pvp",MIN((Skills!T17*(1+Inputs!$B$35/100)),15)/15,MIN(1,(Skills!T17*(1+Inputs!$B$35/100))/(1/Q1350)))))+((C1338=TRUE)*IF(Inputs!$B$3&gt;=126,10*MIN(1,15*Q1338),0))+((C1347=TRUE)*IF(Inputs!$B$39="pvp",20,(1-Summary!$B$11)*(20)+Summary!$B$11*(0))*IF(AND(Inputs!$B$39&lt;&gt;"pvp",Inputs!$B$44&gt;0),(((R1347-1)*MIN((Skills!T14*(1+Inputs!$B$35/100)),(1/Q1347))+MIN((Skills!T14*(1+Inputs!$B$35/100)),MAX(0,Inputs!$B$44-((R1347-1)*(1/Q1347)))))/Inputs!$B$44),IF(Inputs!$B$39="pvp",MIN((Skills!T14*(1+Inputs!$B$35/100)),15)/15,MIN(1,(Skills!T14*(1+Inputs!$B$35/100))/(1/Q1347)))))+((C1346=TRUE)*IF(Inputs!$B$3&gt;=82,IF(Inputs!$B$39="pvp",20,(1-Summary!$B$11)*(20)+Summary!$B$11*(0)),0)*IF(AND(Inputs!$B$39&lt;&gt;"pvp",Inputs!$B$44&gt;0),(((R1346-1)*MIN((Skills!T13*(1+Inputs!$B$35/100)),(1/Q1346))+MIN((Skills!T13*(1+Inputs!$B$35/100)),MAX(0,Inputs!$B$44-((R1346-1)*(1/Q1346)))))/Inputs!$B$44),IF(Inputs!$B$39="pvp",MIN((Skills!T13*(1+Inputs!$B$35/100)),15)/15,MIN(1,(Skills!T13*(1+Inputs!$B$35/100))/(1/Q1346)))))+(IF(AND(ArtifactsInput!$M$35,Inputs!$B$4&lt;&gt;"Chapter Hunt"),CHOOSE(ArtifactsInput!$N$35+1,15,18,21,24,27,30)*(1-EXP(-(0.2*B1364)*5)),0)+IF(AND(ArtifactsInput!$M$22,Inputs!$B$4&lt;&gt;"Chapter Hunt"),CHOOSE(ArtifactsInput!$N$22+1,10,12,14,16,18,20)*((0*(((0.15*B1364*5))^0/1)+1*(((0.15*B1364*5))^1/1)+2*(((0.15*B1364*5))^2/2)+3*(((0.15*B1364*5))^3/6)+4*(((0.15*B1364*5))^4/24)+5*(((0.15*B1364*5))^5/120))/((((0.15*B1364*5))^0/1)+(((0.15*B1364*5))^1/1)+(((0.15*B1364*5))^2/2)+(((0.15*B1364*5))^3/6)+(((0.15*B1364*5))^4/24)+(((0.15*B1364*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39">
      <c r="A1339">
        <f>Skills!A6</f>
        <v/>
      </c>
      <c r="B1339">
        <f>Skills!B6</f>
        <v/>
      </c>
      <c r="C1339">
        <f>Inputs!$B$3&gt;=103</f>
        <v/>
      </c>
      <c r="D1339">
        <f>IF(Skills!C6=1,60+Inputs!$B$26+Inputs!$B$30,IF(Skills!C6=2,90+Inputs!$B$27+Inputs!$B$30,IF(Skills!C6=3,120+Inputs!$B$28+Inputs!$B$30,MAX(0,(Inputs!$B$3-100)*3)+Inputs!$B$29+Inputs!$B$30)))</f>
        <v/>
      </c>
      <c r="E1339">
        <f>INDEX(FactorTable!$B$2:$Y$301, MATCH(ROUND(MIN(300,MAX(1,D1339)),0), FactorTable!$A$2:$A$301,0), Skills!M6+1)</f>
        <v/>
      </c>
      <c r="F1339">
        <f>IF(Skills!N6=TRUE,(Skills!L6/10)*(E1339/1000),Skills!L6/10)+Skills!O6</f>
        <v/>
      </c>
      <c r="G1339">
        <f>Skills!G6*IF(Skills!H6&gt;0,INT(IF(Inputs!$B$39="pvp",MIN(Skills!I6,15),Skills!I6)/Skills!H6+0.000000001),1)</f>
        <v/>
      </c>
      <c r="H1339">
        <f>1-(1-Skills!J6/100)^Skills!K6</f>
        <v/>
      </c>
      <c r="I1339" t="inlineStr">
        <is>
          <t>1</t>
        </is>
      </c>
      <c r="J1339">
        <f>((Inputs!$B$6*(1+Inputs!$B$7/100))+(((Inputs!$B$13*(1+Inputs!$B$14/100))-(Inputs!$B$13*(1+Inputs!$B$14/100)))+0.25*(Inputs!$B$15-Inputs!$B$15))*(1+Inputs!$B$7/100))*(F1339/100)</f>
        <v/>
      </c>
      <c r="K1339">
        <f>J1339*(1+(((Inputs!$B$13+IF(Inputs!$B$3&gt;=38,(10*INDEX(FactorTable!$B$2:$Y$301, MATCH(ROUND(MIN(300,MAX(1,Inputs!$B$3)),0), FactorTable!$A$2:$A$301,0), 23)/1000)/100*(Inputs!$B$8*(1+Inputs!$B$9/100)),0))*(1+Inputs!$B$14/100))*0.01+Inputs!$B$15*0.0025)/100)*(1+Inputs!$B$16/100)*(1+Inputs!$B$17/100)*(5000/(6000+Inputs!$B$43*(1-(Inputs!$B$20+0)/100)))*(1+(Inputs!$B$25+((C1358=TRUE)*(F1358-Calc!F25))+((C1359=TRUE)*(F1359-Calc!F26))+B1368)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gt;=100),MIN(100,((Inputs!$B$10+0+B1362+(ArtifactsInput!$M$24-ArtifactsInput!$M$24)*CHOOSE(ArtifactsInput!$N$24+1,10,12,14,16,18,20)+IF(ArtifactsInput!$M$10,CHOOSE(ArtifactsInput!$N$10+1,15,18,21,24,27,30)*(IF(Inputs!$B$39="pvp",MIN(15,15)/15,IF(AND(Inputs!$B$39&lt;&gt;"pvp",Inputs!$B$44&gt;0),MIN(15,Inputs!$B$44)/(Inputs!$B$44),0))),0)))-100),0))*CHOOSE(ArtifactsInput!$N$42+1,0.6,0.72,0.84,0.96,1.08,1.2))),Inputs!$B$19+((C1356=TRUE)*(F1356-Calc!F23))+(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gt;=100),CHOOSE(ArtifactsInput!$N$42+1,40,48,56,64,72,80),0))))/100)*((1+(((C1346=TRUE)*F1346*IF(AND(Inputs!$B$39&lt;&gt;"pvp",Inputs!$B$44&gt;0),(((R1346-1)*MIN((Skills!T13*(1+Inputs!$B$35/100)),(1/Q1346))+MIN((Skills!T13*(1+Inputs!$B$35/100)),MAX(0,Inputs!$B$44-((R1346-1)*(1/Q1346)))))/Inputs!$B$44),IF(Inputs!$B$39="pvp",MIN((Skills!T13*(1+Inputs!$B$35/100)),15)/15,MIN(1,(Skills!T13*(1+Inputs!$B$35/100))/(1/Q1346)))))+((C1347=TRUE)*F1347*IF(AND(Inputs!$B$39&lt;&gt;"pvp",Inputs!$B$44&gt;0),(((R1347-1)*MIN((Skills!T14*(1+Inputs!$B$35/100)),(1/Q1347))+MIN((Skills!T14*(1+Inputs!$B$35/100)),MAX(0,Inputs!$B$44-((R1347-1)*(1/Q1347)))))/Inputs!$B$44),IF(Inputs!$B$39="pvp",MIN((Skills!T14*(1+Inputs!$B$35/100)),15)/15,MIN(1,(Skills!T14*(1+Inputs!$B$35/100))/(1/Q1347)))))+((C1348=TRUE)*F1348*IF(AND(Inputs!$B$39&lt;&gt;"pvp",Inputs!$B$44&gt;0),(((R1348-1)*MIN((Skills!T15*(1+Inputs!$B$35/100)),(1/Q1348))+MIN((Skills!T15*(1+Inputs!$B$35/100)),MAX(0,Inputs!$B$44-((R1348-1)*(1/Q1348)))))/Inputs!$B$44),IF(Inputs!$B$39="pvp",MIN((Skills!T15*(1+Inputs!$B$35/100)),15)/15,MIN(1,(Skills!T15*(1+Inputs!$B$35/100))/(1/Q1348)))))+((C1349=TRUE)*F1349*IF(AND(Inputs!$B$39&lt;&gt;"pvp",Inputs!$B$44&gt;0),(((R1349-1)*MIN((Skills!T16*(1+Inputs!$B$35/100)),(1/Q1349))+MIN((Skills!T16*(1+Inputs!$B$35/100)),MAX(0,Inputs!$B$44-((R1349-1)*(1/Q1349)))))/Inputs!$B$44),IF(Inputs!$B$39="pvp",MIN((Skills!T16*(1+Inputs!$B$35/100)),15)/15,MIN(1,(Skills!T16*(1+Inputs!$B$35/100))/(1/Q1349)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1339)</f>
        <v/>
      </c>
      <c r="L1339">
        <f>K1339*(MIN(Inputs!$B$23+((C1355=TRUE)*(F1355-Calc!F22)),(Inputs!$B$24+((C1357=TRUE)*(F1357-Calc!F24))+(IF(ArtifactsInput!$M$15,CHOOSE(ArtifactsInput!$N$15+1,25,30,35,40,45,50)/100*(Inputs!$B$12-Inputs!$B$12),0))))/100+(Inputs!$B$24+((C1357=TRUE)*(F1357-Calc!F24))+(IF(ArtifactsInput!$M$15,CHOOSE(ArtifactsInput!$N$15+1,25,30,35,40,45,50)/100*(Inputs!$B$12-Inputs!$B$12),0)))/100)/2</f>
        <v/>
      </c>
      <c r="M1339">
        <f>L1339*(1+(Inputs!$B$11+0+B1367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339">
        <f>L1339*(1-MIN((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1339*(MIN((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39">
        <f>(1-Summary!$B$11)*T1339+Summary!$B$11*V1339</f>
        <v/>
      </c>
      <c r="P1339">
        <f>IF(B1372=0,0,O1339/B1372)</f>
        <v/>
      </c>
      <c r="Q1339">
        <f>IFERROR(1/IF(Inputs!$B$39="pvp",15,MAX(0.1,Skills!D6-IF(TRUE=TRUE,Inputs!$B$33,0))),0)</f>
        <v/>
      </c>
      <c r="R1339">
        <f>IF(AND(Inputs!$B$39&lt;&gt;"pvp",Inputs!$B$44&gt;0),IF(MAX(0,Inputs!$B$44-B1369)&lt;=0,0,(INT(MAX(0,Inputs!$B$44-B1369)/IF(Inputs!$B$39="pvp",15,MAX(0.1,Skills!D6-IF(TRUE=TRUE,Inputs!$B$33,0))))+1)),0)</f>
        <v/>
      </c>
      <c r="S1339">
        <f>IFERROR(O1339/N1339,0)</f>
        <v/>
      </c>
      <c r="T1339">
        <f>IF(C1339,(H1339*N1339*IF(AND(Inputs!$B$39&lt;&gt;"pvp",Inputs!$B$44&gt;0),((Skills!G6*((R1339-1)*IF(Skills!H6&gt;0,INT(Skills!I6/Skills!H6+0.000000001),1)+IF(Skills!H6&gt;0,INT(MIN(Skills!I6,MAX(0,MAX(0,Inputs!$B$44-B1369)-((R1339-1)*IF(Inputs!$B$39="pvp",15,MAX(0.1,Skills!D6-IF(TRUE=TRUE,Inputs!$B$33,0))))))/Skills!H6+0.000000001),1)))/Inputs!$B$44),G1339*Q1339))*IF(Inputs!$B$39="pvp",1,1+(Inputs!$B$21+0+Skills!P6+((C1350=TRUE)*F1350*IF(AND(Inputs!$B$39&lt;&gt;"pvp",Inputs!$B$44&gt;0),(((R1350-1)*MIN((Skills!T17*(1+Inputs!$B$35/100)),(1/Q1350))+MIN((Skills!T17*(1+Inputs!$B$35/100)),MAX(0,Inputs!$B$44-((R1350-1)*(1/Q1350)))))/Inputs!$B$44),IF(Inputs!$B$39="pvp",MIN((Skills!T17*(1+Inputs!$B$35/100)),15)/15,MIN(1,(Skills!T17*(1+Inputs!$B$35/100))/(1/Q1350)))))+((C1338=TRUE)*IF(Inputs!$B$3&gt;=126,10*MIN(1,15*Q1338),0))+((C1347=TRUE)*IF(Inputs!$B$39="pvp",20,(1-Summary!$B$11)*(20)+Summary!$B$11*(0))*IF(AND(Inputs!$B$39&lt;&gt;"pvp",Inputs!$B$44&gt;0),(((R1347-1)*MIN((Skills!T14*(1+Inputs!$B$35/100)),(1/Q1347))+MIN((Skills!T14*(1+Inputs!$B$35/100)),MAX(0,Inputs!$B$44-((R1347-1)*(1/Q1347)))))/Inputs!$B$44),IF(Inputs!$B$39="pvp",MIN((Skills!T14*(1+Inputs!$B$35/100)),15)/15,MIN(1,(Skills!T14*(1+Inputs!$B$35/100))/(1/Q1347)))))+((C1346=TRUE)*IF(Inputs!$B$3&gt;=82,IF(Inputs!$B$39="pvp",20,(1-Summary!$B$11)*(20)+Summary!$B$11*(0)),0)*IF(AND(Inputs!$B$39&lt;&gt;"pvp",Inputs!$B$44&gt;0),(((R1346-1)*MIN((Skills!T13*(1+Inputs!$B$35/100)),(1/Q1346))+MIN((Skills!T13*(1+Inputs!$B$35/100)),MAX(0,Inputs!$B$44-((R1346-1)*(1/Q1346)))))/Inputs!$B$44),IF(Inputs!$B$39="pvp",MIN((Skills!T13*(1+Inputs!$B$35/100)),15)/15,MIN(1,(Skills!T13*(1+Inputs!$B$35/100))/(1/Q1346)))))+(IF(AND(ArtifactsInput!$M$35,Inputs!$B$4&lt;&gt;"Chapter Hunt"),CHOOSE(ArtifactsInput!$N$35+1,15,18,21,24,27,30)*(1-EXP(-(0.2*B1364)*5)),0)+IF(AND(ArtifactsInput!$M$22,Inputs!$B$4&lt;&gt;"Chapter Hunt"),CHOOSE(ArtifactsInput!$N$22+1,10,12,14,16,18,20)*((0*(((0.15*B1364*5))^0/1)+1*(((0.15*B1364*5))^1/1)+2*(((0.15*B1364*5))^2/2)+3*(((0.15*B1364*5))^3/6)+4*(((0.15*B1364*5))^4/24)+5*(((0.15*B1364*5))^5/120))/((((0.15*B1364*5))^0/1)+(((0.15*B1364*5))^1/1)+(((0.15*B1364*5))^2/2)+(((0.15*B1364*5))^3/6)+(((0.15*B1364*5))^4/24)+(((0.15*B1364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1339*(1-MIN(100,(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1339*(MIN(100,(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1339*(1-MIN(100,(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1339*(MIN(100,(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39">
        <f>IF(C1339,(H1339*N1339*IF(AND(Inputs!$B$39&lt;&gt;"pvp",Inputs!$B$44&gt;0),((Skills!G6*((R1339-1)*IF(Skills!H6&gt;0,INT(Skills!I6/Skills!H6+0.000000001),1)+IF(Skills!H6&gt;0,INT(MIN(Skills!I6,MAX(0,MAX(0,Inputs!$B$44-B1369)-((R1339-1)*IF(Inputs!$B$39="pvp",15,MAX(0.1,Skills!D6-IF(TRUE=TRUE,Inputs!$B$33,0))))))/Skills!H6+0.000000001),1)))/Inputs!$B$44),G1339*Q1339))*IF(Inputs!$B$39="pvp",1,(1+(Inputs!$B$22+Skills!Q6+((C1350=TRUE)*F1350*IF(AND(Inputs!$B$39&lt;&gt;"pvp",Inputs!$B$44&gt;0),(((R1350-1)*MIN((Skills!T17*(1+Inputs!$B$35/100)),(1/Q1350))+MIN((Skills!T17*(1+Inputs!$B$35/100)),MAX(0,Inputs!$B$44-((R1350-1)*(1/Q1350)))))/Inputs!$B$44),IF(Inputs!$B$39="pvp",MIN((Skills!T17*(1+Inputs!$B$35/100)),15)/15,MIN(1,(Skills!T17*(1+Inputs!$B$35/100))/(1/Q1350)))))+((C1338=TRUE)*IF(Inputs!$B$3&gt;=126,10*MIN(1,15*Q1338),0))+((C1347=TRUE)*IF(Inputs!$B$39="pvp",20,(1-Summary!$B$11)*(20)+Summary!$B$11*(0))*IF(AND(Inputs!$B$39&lt;&gt;"pvp",Inputs!$B$44&gt;0),(((R1347-1)*MIN((Skills!T14*(1+Inputs!$B$35/100)),(1/Q1347))+MIN((Skills!T14*(1+Inputs!$B$35/100)),MAX(0,Inputs!$B$44-((R1347-1)*(1/Q1347)))))/Inputs!$B$44),IF(Inputs!$B$39="pvp",MIN((Skills!T14*(1+Inputs!$B$35/100)),15)/15,MIN(1,(Skills!T14*(1+Inputs!$B$35/100))/(1/Q1347)))))+((C1346=TRUE)*IF(Inputs!$B$3&gt;=82,IF(Inputs!$B$39="pvp",20,(1-Summary!$B$11)*(20)+Summary!$B$11*(0)),0)*IF(AND(Inputs!$B$39&lt;&gt;"pvp",Inputs!$B$44&gt;0),(((R1346-1)*MIN((Skills!T13*(1+Inputs!$B$35/100)),(1/Q1346))+MIN((Skills!T13*(1+Inputs!$B$35/100)),MAX(0,Inputs!$B$44-((R1346-1)*(1/Q1346)))))/Inputs!$B$44),IF(Inputs!$B$39="pvp",MIN((Skills!T13*(1+Inputs!$B$35/100)),15)/15,MIN(1,(Skills!T13*(1+Inputs!$B$35/100))/(1/Q1346)))))+(IF(AND(ArtifactsInput!$M$35,Inputs!$B$4&lt;&gt;"Chapter Hunt"),CHOOSE(ArtifactsInput!$N$35+1,15,18,21,24,27,30)*(1-EXP(-(0.2*B1364)*5)),0)+IF(AND(ArtifactsInput!$M$22,Inputs!$B$4&lt;&gt;"Chapter Hunt"),CHOOSE(ArtifactsInput!$N$22+1,10,12,14,16,18,20)*((0*(((0.15*B1364*5))^0/1)+1*(((0.15*B1364*5))^1/1)+2*(((0.15*B1364*5))^2/2)+3*(((0.15*B1364*5))^3/6)+4*(((0.15*B1364*5))^4/24)+5*(((0.15*B1364*5))^5/120))/((((0.15*B1364*5))^0/1)+(((0.15*B1364*5))^1/1)+(((0.15*B1364*5))^2/2)+(((0.15*B1364*5))^3/6)+(((0.15*B1364*5))^4/24)+(((0.15*B1364*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40">
      <c r="A1340">
        <f>Skills!A7</f>
        <v/>
      </c>
      <c r="B1340">
        <f>Skills!B7</f>
        <v/>
      </c>
      <c r="C1340">
        <f>Inputs!$B$3&gt;=40</f>
        <v/>
      </c>
      <c r="D1340">
        <f>IF(Skills!C7=1,60+Inputs!$B$26+Inputs!$B$30,IF(Skills!C7=2,90+Inputs!$B$27+Inputs!$B$30,IF(Skills!C7=3,120+Inputs!$B$28+Inputs!$B$30,MAX(0,(Inputs!$B$3-100)*3)+Inputs!$B$29+Inputs!$B$30)))</f>
        <v/>
      </c>
      <c r="E1340">
        <f>INDEX(FactorTable!$B$2:$Y$301, MATCH(ROUND(MIN(300,MAX(1,D1340)),0), FactorTable!$A$2:$A$301,0), Skills!M7+1)</f>
        <v/>
      </c>
      <c r="F1340">
        <f>IF(Skills!N7=TRUE,(Skills!L7/10)*(E1340/1000),Skills!L7/10)+Skills!O7</f>
        <v/>
      </c>
      <c r="G1340">
        <f>Skills!G7*IF(Skills!H7&gt;0,INT(IF(Inputs!$B$39="pvp",MIN(Skills!I7,15),Skills!I7)/Skills!H7+0.000000001),1)</f>
        <v/>
      </c>
      <c r="H1340">
        <f>1-(1-Skills!J7/100)^Skills!K7</f>
        <v/>
      </c>
      <c r="I1340" t="inlineStr">
        <is>
          <t>1</t>
        </is>
      </c>
      <c r="J1340">
        <f>((Inputs!$B$6*(1+Inputs!$B$7/100))+(((Inputs!$B$13*(1+Inputs!$B$14/100))-(Inputs!$B$13*(1+Inputs!$B$14/100)))+0.25*(Inputs!$B$15-Inputs!$B$15))*(1+Inputs!$B$7/100))*(F1340/100)</f>
        <v/>
      </c>
      <c r="K1340">
        <f>J1340*(1+(((Inputs!$B$13+IF(Inputs!$B$3&gt;=38,(10*INDEX(FactorTable!$B$2:$Y$301, MATCH(ROUND(MIN(300,MAX(1,Inputs!$B$3)),0), FactorTable!$A$2:$A$301,0), 23)/1000)/100*(Inputs!$B$8*(1+Inputs!$B$9/100)),0))*(1+Inputs!$B$14/100))*0.01+Inputs!$B$15*0.0025)/100)*(1+Inputs!$B$16/100)*(1+Inputs!$B$17/100)*(5000/(6000+Inputs!$B$43*(1-(Inputs!$B$20+0)/100)))*(1+(Inputs!$B$25+((C1358=TRUE)*(F1358-Calc!F25))+((C1359=TRUE)*(F1359-Calc!F26))+B1368)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1344=TRUE,F1344,0)/100)*(1+(IF(Skills!A7="DARK_IMPALE",Inputs!$B$18+0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gt;=100),MIN(100,((Inputs!$B$10+0+B1362+(ArtifactsInput!$M$24-ArtifactsInput!$M$24)*CHOOSE(ArtifactsInput!$N$24+1,10,12,14,16,18,20)+IF(ArtifactsInput!$M$10,CHOOSE(ArtifactsInput!$N$10+1,15,18,21,24,27,30)*(IF(Inputs!$B$39="pvp",MIN(15,15)/15,IF(AND(Inputs!$B$39&lt;&gt;"pvp",Inputs!$B$44&gt;0),MIN(15,Inputs!$B$44)/(Inputs!$B$44),0))),0)))-100),0))*CHOOSE(ArtifactsInput!$N$42+1,0.6,0.72,0.84,0.96,1.08,1.2))),Inputs!$B$19+((C1356=TRUE)*(F1356-Calc!F23))+(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gt;=100),CHOOSE(ArtifactsInput!$N$42+1,40,48,56,64,72,80),0))))/100)*((1+(((C1346=TRUE)*F1346*IF(AND(Inputs!$B$39&lt;&gt;"pvp",Inputs!$B$44&gt;0),(((R1346-1)*MIN((Skills!T13*(1+Inputs!$B$35/100)),(1/Q1346))+MIN((Skills!T13*(1+Inputs!$B$35/100)),MAX(0,Inputs!$B$44-((R1346-1)*(1/Q1346)))))/Inputs!$B$44),IF(Inputs!$B$39="pvp",MIN((Skills!T13*(1+Inputs!$B$35/100)),15)/15,MIN(1,(Skills!T13*(1+Inputs!$B$35/100))/(1/Q1346)))))+((C1347=TRUE)*F1347*IF(AND(Inputs!$B$39&lt;&gt;"pvp",Inputs!$B$44&gt;0),(((R1347-1)*MIN((Skills!T14*(1+Inputs!$B$35/100)),(1/Q1347))+MIN((Skills!T14*(1+Inputs!$B$35/100)),MAX(0,Inputs!$B$44-((R1347-1)*(1/Q1347)))))/Inputs!$B$44),IF(Inputs!$B$39="pvp",MIN((Skills!T14*(1+Inputs!$B$35/100)),15)/15,MIN(1,(Skills!T14*(1+Inputs!$B$35/100))/(1/Q1347)))))+((C1348=TRUE)*F1348*IF(AND(Inputs!$B$39&lt;&gt;"pvp",Inputs!$B$44&gt;0),(((R1348-1)*MIN((Skills!T15*(1+Inputs!$B$35/100)),(1/Q1348))+MIN((Skills!T15*(1+Inputs!$B$35/100)),MAX(0,Inputs!$B$44-((R1348-1)*(1/Q1348)))))/Inputs!$B$44),IF(Inputs!$B$39="pvp",MIN((Skills!T15*(1+Inputs!$B$35/100)),15)/15,MIN(1,(Skills!T15*(1+Inputs!$B$35/100))/(1/Q1348)))))+((C1349=TRUE)*F1349*IF(AND(Inputs!$B$39&lt;&gt;"pvp",Inputs!$B$44&gt;0),(((R1349-1)*MIN((Skills!T16*(1+Inputs!$B$35/100)),(1/Q1349))+MIN((Skills!T16*(1+Inputs!$B$35/100)),MAX(0,Inputs!$B$44-((R1349-1)*(1/Q1349)))))/Inputs!$B$44),IF(Inputs!$B$39="pvp",MIN((Skills!T16*(1+Inputs!$B$35/100)),15)/15,MIN(1,(Skills!T16*(1+Inputs!$B$35/100))/(1/Q1349)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1340)</f>
        <v/>
      </c>
      <c r="L1340">
        <f>K1340*(MIN(Inputs!$B$23+((C1355=TRUE)*(F1355-Calc!F22)),(Inputs!$B$24+((C1357=TRUE)*(F1357-Calc!F24))+(IF(ArtifactsInput!$M$15,CHOOSE(ArtifactsInput!$N$15+1,25,30,35,40,45,50)/100*(Inputs!$B$12-Inputs!$B$12),0))))/100+(Inputs!$B$24+((C1357=TRUE)*(F1357-Calc!F24))+(IF(ArtifactsInput!$M$15,CHOOSE(ArtifactsInput!$N$15+1,25,30,35,40,45,50)/100*(Inputs!$B$12-Inputs!$B$12),0)))/100)/2</f>
        <v/>
      </c>
      <c r="M1340">
        <f>L1340*(1+(Inputs!$B$11+0+B1367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340">
        <f>L1340*(1-MIN((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1340*(MIN((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40">
        <f>(1-Summary!$B$11)*T1340+Summary!$B$11*V1340</f>
        <v/>
      </c>
      <c r="P1340">
        <f>IF(B1372=0,0,O1340/B1372)</f>
        <v/>
      </c>
      <c r="Q1340">
        <f>IFERROR(1/IF(Inputs!$B$39="pvp",15,MAX(0.1,Skills!D7-IF(TRUE=TRUE,Inputs!$B$33,0))),0)</f>
        <v/>
      </c>
      <c r="R1340">
        <f>IF(AND(Inputs!$B$39&lt;&gt;"pvp",Inputs!$B$44&gt;0),IF(MAX(0,Inputs!$B$44-B1369)&lt;=0,0,(INT(MAX(0,Inputs!$B$44-B1369)/IF(Inputs!$B$39="pvp",15,MAX(0.1,Skills!D7-IF(TRUE=TRUE,Inputs!$B$33,0))))+1)),0)</f>
        <v/>
      </c>
      <c r="S1340">
        <f>IFERROR(O1340/N1340,0)</f>
        <v/>
      </c>
      <c r="T1340">
        <f>IF(C1340,(H1340*N1340*IF(AND(Inputs!$B$39&lt;&gt;"pvp",Inputs!$B$44&gt;0),((Skills!G7*((R1340-1)*IF(Skills!H7&gt;0,INT(Skills!I7/Skills!H7+0.000000001),1)+IF(Skills!H7&gt;0,INT(MIN(Skills!I7,MAX(0,MAX(0,Inputs!$B$44-B1369)-((R1340-1)*IF(Inputs!$B$39="pvp",15,MAX(0.1,Skills!D7-IF(TRUE=TRUE,Inputs!$B$33,0))))))/Skills!H7+0.000000001),1)))/Inputs!$B$44),G1340*Q1340))*IF(Inputs!$B$39="pvp",1,1+(Inputs!$B$21+0+Skills!P7+((C1350=TRUE)*F1350*IF(AND(Inputs!$B$39&lt;&gt;"pvp",Inputs!$B$44&gt;0),(((R1350-1)*MIN((Skills!T17*(1+Inputs!$B$35/100)),(1/Q1350))+MIN((Skills!T17*(1+Inputs!$B$35/100)),MAX(0,Inputs!$B$44-((R1350-1)*(1/Q1350)))))/Inputs!$B$44),IF(Inputs!$B$39="pvp",MIN((Skills!T17*(1+Inputs!$B$35/100)),15)/15,MIN(1,(Skills!T17*(1+Inputs!$B$35/100))/(1/Q1350)))))+((C1338=TRUE)*IF(Inputs!$B$3&gt;=126,10*MIN(1,15*Q1338),0))+((C1347=TRUE)*IF(Inputs!$B$39="pvp",20,(1-Summary!$B$11)*(20)+Summary!$B$11*(0))*IF(AND(Inputs!$B$39&lt;&gt;"pvp",Inputs!$B$44&gt;0),(((R1347-1)*MIN((Skills!T14*(1+Inputs!$B$35/100)),(1/Q1347))+MIN((Skills!T14*(1+Inputs!$B$35/100)),MAX(0,Inputs!$B$44-((R1347-1)*(1/Q1347)))))/Inputs!$B$44),IF(Inputs!$B$39="pvp",MIN((Skills!T14*(1+Inputs!$B$35/100)),15)/15,MIN(1,(Skills!T14*(1+Inputs!$B$35/100))/(1/Q1347)))))+((C1346=TRUE)*IF(Inputs!$B$3&gt;=82,IF(Inputs!$B$39="pvp",20,(1-Summary!$B$11)*(20)+Summary!$B$11*(0)),0)*IF(AND(Inputs!$B$39&lt;&gt;"pvp",Inputs!$B$44&gt;0),(((R1346-1)*MIN((Skills!T13*(1+Inputs!$B$35/100)),(1/Q1346))+MIN((Skills!T13*(1+Inputs!$B$35/100)),MAX(0,Inputs!$B$44-((R1346-1)*(1/Q1346)))))/Inputs!$B$44),IF(Inputs!$B$39="pvp",MIN((Skills!T13*(1+Inputs!$B$35/100)),15)/15,MIN(1,(Skills!T13*(1+Inputs!$B$35/100))/(1/Q1346)))))+(IF(AND(ArtifactsInput!$M$35,Inputs!$B$4&lt;&gt;"Chapter Hunt"),CHOOSE(ArtifactsInput!$N$35+1,15,18,21,24,27,30)*(1-EXP(-(0.2*B1364)*5)),0)+IF(AND(ArtifactsInput!$M$22,Inputs!$B$4&lt;&gt;"Chapter Hunt"),CHOOSE(ArtifactsInput!$N$22+1,10,12,14,16,18,20)*((0*(((0.15*B1364*5))^0/1)+1*(((0.15*B1364*5))^1/1)+2*(((0.15*B1364*5))^2/2)+3*(((0.15*B1364*5))^3/6)+4*(((0.15*B1364*5))^4/24)+5*(((0.15*B1364*5))^5/120))/((((0.15*B1364*5))^0/1)+(((0.15*B1364*5))^1/1)+(((0.15*B1364*5))^2/2)+(((0.15*B1364*5))^3/6)+(((0.15*B1364*5))^4/24)+(((0.15*B1364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1340*(1-MIN(100,(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1340*(MIN(100,(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1340*(1-MIN(100,(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1340*(MIN(100,(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40">
        <f>IF(C1340,(H1340*N1340*IF(AND(Inputs!$B$39&lt;&gt;"pvp",Inputs!$B$44&gt;0),((Skills!G7*((R1340-1)*IF(Skills!H7&gt;0,INT(Skills!I7/Skills!H7+0.000000001),1)+IF(Skills!H7&gt;0,INT(MIN(Skills!I7,MAX(0,MAX(0,Inputs!$B$44-B1369)-((R1340-1)*IF(Inputs!$B$39="pvp",15,MAX(0.1,Skills!D7-IF(TRUE=TRUE,Inputs!$B$33,0))))))/Skills!H7+0.000000001),1)))/Inputs!$B$44),G1340*Q1340))*IF(Inputs!$B$39="pvp",1,(1+(Inputs!$B$22+Skills!Q7+((C1350=TRUE)*F1350*IF(AND(Inputs!$B$39&lt;&gt;"pvp",Inputs!$B$44&gt;0),(((R1350-1)*MIN((Skills!T17*(1+Inputs!$B$35/100)),(1/Q1350))+MIN((Skills!T17*(1+Inputs!$B$35/100)),MAX(0,Inputs!$B$44-((R1350-1)*(1/Q1350)))))/Inputs!$B$44),IF(Inputs!$B$39="pvp",MIN((Skills!T17*(1+Inputs!$B$35/100)),15)/15,MIN(1,(Skills!T17*(1+Inputs!$B$35/100))/(1/Q1350)))))+((C1338=TRUE)*IF(Inputs!$B$3&gt;=126,10*MIN(1,15*Q1338),0))+((C1347=TRUE)*IF(Inputs!$B$39="pvp",20,(1-Summary!$B$11)*(20)+Summary!$B$11*(0))*IF(AND(Inputs!$B$39&lt;&gt;"pvp",Inputs!$B$44&gt;0),(((R1347-1)*MIN((Skills!T14*(1+Inputs!$B$35/100)),(1/Q1347))+MIN((Skills!T14*(1+Inputs!$B$35/100)),MAX(0,Inputs!$B$44-((R1347-1)*(1/Q1347)))))/Inputs!$B$44),IF(Inputs!$B$39="pvp",MIN((Skills!T14*(1+Inputs!$B$35/100)),15)/15,MIN(1,(Skills!T14*(1+Inputs!$B$35/100))/(1/Q1347)))))+((C1346=TRUE)*IF(Inputs!$B$3&gt;=82,IF(Inputs!$B$39="pvp",20,(1-Summary!$B$11)*(20)+Summary!$B$11*(0)),0)*IF(AND(Inputs!$B$39&lt;&gt;"pvp",Inputs!$B$44&gt;0),(((R1346-1)*MIN((Skills!T13*(1+Inputs!$B$35/100)),(1/Q1346))+MIN((Skills!T13*(1+Inputs!$B$35/100)),MAX(0,Inputs!$B$44-((R1346-1)*(1/Q1346)))))/Inputs!$B$44),IF(Inputs!$B$39="pvp",MIN((Skills!T13*(1+Inputs!$B$35/100)),15)/15,MIN(1,(Skills!T13*(1+Inputs!$B$35/100))/(1/Q1346)))))+(IF(AND(ArtifactsInput!$M$35,Inputs!$B$4&lt;&gt;"Chapter Hunt"),CHOOSE(ArtifactsInput!$N$35+1,15,18,21,24,27,30)*(1-EXP(-(0.2*B1364)*5)),0)+IF(AND(ArtifactsInput!$M$22,Inputs!$B$4&lt;&gt;"Chapter Hunt"),CHOOSE(ArtifactsInput!$N$22+1,10,12,14,16,18,20)*((0*(((0.15*B1364*5))^0/1)+1*(((0.15*B1364*5))^1/1)+2*(((0.15*B1364*5))^2/2)+3*(((0.15*B1364*5))^3/6)+4*(((0.15*B1364*5))^4/24)+5*(((0.15*B1364*5))^5/120))/((((0.15*B1364*5))^0/1)+(((0.15*B1364*5))^1/1)+(((0.15*B1364*5))^2/2)+(((0.15*B1364*5))^3/6)+(((0.15*B1364*5))^4/24)+(((0.15*B1364*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41">
      <c r="A1341">
        <f>Skills!A8</f>
        <v/>
      </c>
      <c r="B1341">
        <f>Skills!B8</f>
        <v/>
      </c>
      <c r="C1341">
        <f>Inputs!$B$3&gt;=75</f>
        <v/>
      </c>
      <c r="D1341">
        <f>IF(Skills!C8=1,60+Inputs!$B$26+Inputs!$B$30,IF(Skills!C8=2,90+Inputs!$B$27+Inputs!$B$30,IF(Skills!C8=3,120+Inputs!$B$28+Inputs!$B$30,MAX(0,(Inputs!$B$3-100)*3)+Inputs!$B$29+Inputs!$B$30)))</f>
        <v/>
      </c>
      <c r="E1341">
        <f>INDEX(FactorTable!$B$2:$Y$301, MATCH(ROUND(MIN(300,MAX(1,D1341)),0), FactorTable!$A$2:$A$301,0), Skills!M8+1)</f>
        <v/>
      </c>
      <c r="F1341">
        <f>IF(Skills!N8=TRUE,(Skills!L8/10)*(E1341/1000),Skills!L8/10)+Skills!O8</f>
        <v/>
      </c>
      <c r="G1341" t="inlineStr"/>
      <c r="H1341" t="inlineStr"/>
      <c r="I1341" t="inlineStr">
        <is>
          <t>1</t>
        </is>
      </c>
      <c r="J1341" t="inlineStr"/>
      <c r="K1341" t="inlineStr"/>
      <c r="L1341" t="inlineStr"/>
      <c r="M1341" t="inlineStr"/>
      <c r="N1341" t="inlineStr"/>
      <c r="O1341" t="inlineStr"/>
      <c r="P1341" t="inlineStr"/>
      <c r="Q1341" t="inlineStr"/>
      <c r="R1341" t="inlineStr"/>
      <c r="S1341" t="inlineStr"/>
    </row>
    <row r="1342">
      <c r="A1342">
        <f>Skills!A9</f>
        <v/>
      </c>
      <c r="B1342">
        <f>Skills!B9</f>
        <v/>
      </c>
      <c r="C1342">
        <f>Inputs!$B$3&gt;=60</f>
        <v/>
      </c>
      <c r="D1342">
        <f>IF(Skills!C9=1,60+Inputs!$B$26+Inputs!$B$30,IF(Skills!C9=2,90+Inputs!$B$27+Inputs!$B$30,IF(Skills!C9=3,120+Inputs!$B$28+Inputs!$B$30,MAX(0,(Inputs!$B$3-100)*3)+Inputs!$B$29+Inputs!$B$30)))</f>
        <v/>
      </c>
      <c r="E1342">
        <f>INDEX(FactorTable!$B$2:$Y$301, MATCH(ROUND(MIN(300,MAX(1,D1342)),0), FactorTable!$A$2:$A$301,0), Skills!M9+1)</f>
        <v/>
      </c>
      <c r="F1342">
        <f>IF(Skills!N9=TRUE,(Skills!L9/10)*(E1342/1000),Skills!L9/10)+Skills!O9</f>
        <v/>
      </c>
      <c r="G1342">
        <f>Skills!G9*IF(Skills!H9&gt;0,INT(IF(Inputs!$B$39="pvp",MIN(Skills!I9,15),Skills!I9)/Skills!H9+0.000000001),1)</f>
        <v/>
      </c>
      <c r="H1342">
        <f>1-(1-Skills!J9/100)^Skills!K9</f>
        <v/>
      </c>
      <c r="I1342" t="inlineStr">
        <is>
          <t>1</t>
        </is>
      </c>
      <c r="J1342">
        <f>((Inputs!$B$6*(1+Inputs!$B$7/100))+(((Inputs!$B$13*(1+Inputs!$B$14/100))-(Inputs!$B$13*(1+Inputs!$B$14/100)))+0.25*(Inputs!$B$15-Inputs!$B$15))*(1+Inputs!$B$7/100))*(F1342/100)</f>
        <v/>
      </c>
      <c r="K1342">
        <f>J1342*(1+(((Inputs!$B$13+IF(Inputs!$B$3&gt;=38,(10*INDEX(FactorTable!$B$2:$Y$301, MATCH(ROUND(MIN(300,MAX(1,Inputs!$B$3)),0), FactorTable!$A$2:$A$301,0), 23)/1000)/100*(Inputs!$B$8*(1+Inputs!$B$9/100)),0))*(1+Inputs!$B$14/100))*0.01+Inputs!$B$15*0.0025)/100)*(1+Inputs!$B$16/100)*(1+Inputs!$B$17/100)*(5000/(6000+Inputs!$B$43*(1-(Inputs!$B$20+0)/100)))*(1+(Inputs!$B$25+((C1358=TRUE)*(F1358-Calc!F25))+((C1359=TRUE)*(F1359-Calc!F26))+B1368)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1344=TRUE,F1344,0)/100)*(1+(IF(Skills!A9="DARK_IMPALE",Inputs!$B$18+0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gt;=100),MIN(100,((Inputs!$B$10+0+B1362+(ArtifactsInput!$M$24-ArtifactsInput!$M$24)*CHOOSE(ArtifactsInput!$N$24+1,10,12,14,16,18,20)+IF(ArtifactsInput!$M$10,CHOOSE(ArtifactsInput!$N$10+1,15,18,21,24,27,30)*(IF(Inputs!$B$39="pvp",MIN(15,15)/15,IF(AND(Inputs!$B$39&lt;&gt;"pvp",Inputs!$B$44&gt;0),MIN(15,Inputs!$B$44)/(Inputs!$B$44),0))),0)))-100),0))*CHOOSE(ArtifactsInput!$N$42+1,0.6,0.72,0.84,0.96,1.08,1.2))),Inputs!$B$19+((C1356=TRUE)*(F1356-Calc!F23))+(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gt;=100),CHOOSE(ArtifactsInput!$N$42+1,40,48,56,64,72,80),0))))/100)*((1+(((C1346=TRUE)*F1346*IF(AND(Inputs!$B$39&lt;&gt;"pvp",Inputs!$B$44&gt;0),(((R1346-1)*MIN((Skills!T13*(1+Inputs!$B$35/100)),(1/Q1346))+MIN((Skills!T13*(1+Inputs!$B$35/100)),MAX(0,Inputs!$B$44-((R1346-1)*(1/Q1346)))))/Inputs!$B$44),IF(Inputs!$B$39="pvp",MIN((Skills!T13*(1+Inputs!$B$35/100)),15)/15,MIN(1,(Skills!T13*(1+Inputs!$B$35/100))/(1/Q1346)))))+((C1347=TRUE)*F1347*IF(AND(Inputs!$B$39&lt;&gt;"pvp",Inputs!$B$44&gt;0),(((R1347-1)*MIN((Skills!T14*(1+Inputs!$B$35/100)),(1/Q1347))+MIN((Skills!T14*(1+Inputs!$B$35/100)),MAX(0,Inputs!$B$44-((R1347-1)*(1/Q1347)))))/Inputs!$B$44),IF(Inputs!$B$39="pvp",MIN((Skills!T14*(1+Inputs!$B$35/100)),15)/15,MIN(1,(Skills!T14*(1+Inputs!$B$35/100))/(1/Q1347)))))+((C1348=TRUE)*F1348*IF(AND(Inputs!$B$39&lt;&gt;"pvp",Inputs!$B$44&gt;0),(((R1348-1)*MIN((Skills!T15*(1+Inputs!$B$35/100)),(1/Q1348))+MIN((Skills!T15*(1+Inputs!$B$35/100)),MAX(0,Inputs!$B$44-((R1348-1)*(1/Q1348)))))/Inputs!$B$44),IF(Inputs!$B$39="pvp",MIN((Skills!T15*(1+Inputs!$B$35/100)),15)/15,MIN(1,(Skills!T15*(1+Inputs!$B$35/100))/(1/Q1348)))))+((C1349=TRUE)*F1349*IF(AND(Inputs!$B$39&lt;&gt;"pvp",Inputs!$B$44&gt;0),(((R1349-1)*MIN((Skills!T16*(1+Inputs!$B$35/100)),(1/Q1349))+MIN((Skills!T16*(1+Inputs!$B$35/100)),MAX(0,Inputs!$B$44-((R1349-1)*(1/Q1349)))))/Inputs!$B$44),IF(Inputs!$B$39="pvp",MIN((Skills!T16*(1+Inputs!$B$35/100)),15)/15,MIN(1,(Skills!T16*(1+Inputs!$B$35/100))/(1/Q1349)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1342)</f>
        <v/>
      </c>
      <c r="L1342">
        <f>K1342*(MIN(Inputs!$B$23+((C1355=TRUE)*(F1355-Calc!F22)),(Inputs!$B$24+((C1357=TRUE)*(F1357-Calc!F24))+(IF(ArtifactsInput!$M$15,CHOOSE(ArtifactsInput!$N$15+1,25,30,35,40,45,50)/100*(Inputs!$B$12-Inputs!$B$12),0))))/100+(Inputs!$B$24+((C1357=TRUE)*(F1357-Calc!F24))+(IF(ArtifactsInput!$M$15,CHOOSE(ArtifactsInput!$N$15+1,25,30,35,40,45,50)/100*(Inputs!$B$12-Inputs!$B$12),0)))/100)/2</f>
        <v/>
      </c>
      <c r="M1342">
        <f>L1342*(1+(Inputs!$B$11+0+B1367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342">
        <f>L1342*(1-MIN((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1342*(MIN((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42">
        <f>(1-Summary!$B$11)*T1342+Summary!$B$11*V1342</f>
        <v/>
      </c>
      <c r="P1342">
        <f>IF(B1372=0,0,O1342/B1372)</f>
        <v/>
      </c>
      <c r="Q1342">
        <f>IFERROR(1/IF(Inputs!$B$39="pvp",15,MAX(0.1,Skills!D9-IF(TRUE=TRUE,Inputs!$B$33,0))),0)</f>
        <v/>
      </c>
      <c r="R1342">
        <f>IF(AND(Inputs!$B$39&lt;&gt;"pvp",Inputs!$B$44&gt;0),IF(MAX(0,Inputs!$B$44-B1369)&lt;=0,0,(INT(MAX(0,Inputs!$B$44-B1369)/IF(Inputs!$B$39="pvp",15,MAX(0.1,Skills!D9-IF(TRUE=TRUE,Inputs!$B$33,0))))+1)),0)</f>
        <v/>
      </c>
      <c r="S1342">
        <f>IFERROR(O1342/N1342,0)</f>
        <v/>
      </c>
      <c r="T1342">
        <f>IF(C1342,(H1342*N1342*IF(AND(Inputs!$B$39&lt;&gt;"pvp",Inputs!$B$44&gt;0),((Skills!G9*((R1342-1)*IF(Skills!H9&gt;0,INT(Skills!I9/Skills!H9+0.000000001),1)+IF(Skills!H9&gt;0,INT(MIN(Skills!I9,MAX(0,MAX(0,Inputs!$B$44-B1369)-((R1342-1)*IF(Inputs!$B$39="pvp",15,MAX(0.1,Skills!D9-IF(TRUE=TRUE,Inputs!$B$33,0))))))/Skills!H9+0.000000001),1)))/Inputs!$B$44),G1342*Q1342))*IF(Inputs!$B$39="pvp",1,1+(Inputs!$B$21+0+Skills!P9+((C1350=TRUE)*F1350*IF(AND(Inputs!$B$39&lt;&gt;"pvp",Inputs!$B$44&gt;0),(((R1350-1)*MIN((Skills!T17*(1+Inputs!$B$35/100)),(1/Q1350))+MIN((Skills!T17*(1+Inputs!$B$35/100)),MAX(0,Inputs!$B$44-((R1350-1)*(1/Q1350)))))/Inputs!$B$44),IF(Inputs!$B$39="pvp",MIN((Skills!T17*(1+Inputs!$B$35/100)),15)/15,MIN(1,(Skills!T17*(1+Inputs!$B$35/100))/(1/Q1350)))))+((C1338=TRUE)*IF(Inputs!$B$3&gt;=126,10*MIN(1,15*Q1338),0))+((C1347=TRUE)*IF(Inputs!$B$39="pvp",20,(1-Summary!$B$11)*(20)+Summary!$B$11*(0))*IF(AND(Inputs!$B$39&lt;&gt;"pvp",Inputs!$B$44&gt;0),(((R1347-1)*MIN((Skills!T14*(1+Inputs!$B$35/100)),(1/Q1347))+MIN((Skills!T14*(1+Inputs!$B$35/100)),MAX(0,Inputs!$B$44-((R1347-1)*(1/Q1347)))))/Inputs!$B$44),IF(Inputs!$B$39="pvp",MIN((Skills!T14*(1+Inputs!$B$35/100)),15)/15,MIN(1,(Skills!T14*(1+Inputs!$B$35/100))/(1/Q1347)))))+((C1346=TRUE)*IF(Inputs!$B$3&gt;=82,IF(Inputs!$B$39="pvp",20,(1-Summary!$B$11)*(20)+Summary!$B$11*(0)),0)*IF(AND(Inputs!$B$39&lt;&gt;"pvp",Inputs!$B$44&gt;0),(((R1346-1)*MIN((Skills!T13*(1+Inputs!$B$35/100)),(1/Q1346))+MIN((Skills!T13*(1+Inputs!$B$35/100)),MAX(0,Inputs!$B$44-((R1346-1)*(1/Q1346)))))/Inputs!$B$44),IF(Inputs!$B$39="pvp",MIN((Skills!T13*(1+Inputs!$B$35/100)),15)/15,MIN(1,(Skills!T13*(1+Inputs!$B$35/100))/(1/Q1346)))))+(IF(AND(ArtifactsInput!$M$35,Inputs!$B$4&lt;&gt;"Chapter Hunt"),CHOOSE(ArtifactsInput!$N$35+1,15,18,21,24,27,30)*(1-EXP(-(0.2*B1364)*5)),0)+IF(AND(ArtifactsInput!$M$22,Inputs!$B$4&lt;&gt;"Chapter Hunt"),CHOOSE(ArtifactsInput!$N$22+1,10,12,14,16,18,20)*((0*(((0.15*B1364*5))^0/1)+1*(((0.15*B1364*5))^1/1)+2*(((0.15*B1364*5))^2/2)+3*(((0.15*B1364*5))^3/6)+4*(((0.15*B1364*5))^4/24)+5*(((0.15*B1364*5))^5/120))/((((0.15*B1364*5))^0/1)+(((0.15*B1364*5))^1/1)+(((0.15*B1364*5))^2/2)+(((0.15*B1364*5))^3/6)+(((0.15*B1364*5))^4/24)+(((0.15*B1364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1342*(1-MIN(100,(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1342*(MIN(100,(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1342*(1-MIN(100,(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1342*(MIN(100,(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42">
        <f>IF(C1342,(H1342*N1342*IF(AND(Inputs!$B$39&lt;&gt;"pvp",Inputs!$B$44&gt;0),((Skills!G9*((R1342-1)*IF(Skills!H9&gt;0,INT(Skills!I9/Skills!H9+0.000000001),1)+IF(Skills!H9&gt;0,INT(MIN(Skills!I9,MAX(0,MAX(0,Inputs!$B$44-B1369)-((R1342-1)*IF(Inputs!$B$39="pvp",15,MAX(0.1,Skills!D9-IF(TRUE=TRUE,Inputs!$B$33,0))))))/Skills!H9+0.000000001),1)))/Inputs!$B$44),G1342*Q1342))*IF(Inputs!$B$39="pvp",1,(1+(Inputs!$B$22+Skills!Q9+((C1350=TRUE)*F1350*IF(AND(Inputs!$B$39&lt;&gt;"pvp",Inputs!$B$44&gt;0),(((R1350-1)*MIN((Skills!T17*(1+Inputs!$B$35/100)),(1/Q1350))+MIN((Skills!T17*(1+Inputs!$B$35/100)),MAX(0,Inputs!$B$44-((R1350-1)*(1/Q1350)))))/Inputs!$B$44),IF(Inputs!$B$39="pvp",MIN((Skills!T17*(1+Inputs!$B$35/100)),15)/15,MIN(1,(Skills!T17*(1+Inputs!$B$35/100))/(1/Q1350)))))+((C1338=TRUE)*IF(Inputs!$B$3&gt;=126,10*MIN(1,15*Q1338),0))+((C1347=TRUE)*IF(Inputs!$B$39="pvp",20,(1-Summary!$B$11)*(20)+Summary!$B$11*(0))*IF(AND(Inputs!$B$39&lt;&gt;"pvp",Inputs!$B$44&gt;0),(((R1347-1)*MIN((Skills!T14*(1+Inputs!$B$35/100)),(1/Q1347))+MIN((Skills!T14*(1+Inputs!$B$35/100)),MAX(0,Inputs!$B$44-((R1347-1)*(1/Q1347)))))/Inputs!$B$44),IF(Inputs!$B$39="pvp",MIN((Skills!T14*(1+Inputs!$B$35/100)),15)/15,MIN(1,(Skills!T14*(1+Inputs!$B$35/100))/(1/Q1347)))))+((C1346=TRUE)*IF(Inputs!$B$3&gt;=82,IF(Inputs!$B$39="pvp",20,(1-Summary!$B$11)*(20)+Summary!$B$11*(0)),0)*IF(AND(Inputs!$B$39&lt;&gt;"pvp",Inputs!$B$44&gt;0),(((R1346-1)*MIN((Skills!T13*(1+Inputs!$B$35/100)),(1/Q1346))+MIN((Skills!T13*(1+Inputs!$B$35/100)),MAX(0,Inputs!$B$44-((R1346-1)*(1/Q1346)))))/Inputs!$B$44),IF(Inputs!$B$39="pvp",MIN((Skills!T13*(1+Inputs!$B$35/100)),15)/15,MIN(1,(Skills!T13*(1+Inputs!$B$35/100))/(1/Q1346)))))+(IF(AND(ArtifactsInput!$M$35,Inputs!$B$4&lt;&gt;"Chapter Hunt"),CHOOSE(ArtifactsInput!$N$35+1,15,18,21,24,27,30)*(1-EXP(-(0.2*B1364)*5)),0)+IF(AND(ArtifactsInput!$M$22,Inputs!$B$4&lt;&gt;"Chapter Hunt"),CHOOSE(ArtifactsInput!$N$22+1,10,12,14,16,18,20)*((0*(((0.15*B1364*5))^0/1)+1*(((0.15*B1364*5))^1/1)+2*(((0.15*B1364*5))^2/2)+3*(((0.15*B1364*5))^3/6)+4*(((0.15*B1364*5))^4/24)+5*(((0.15*B1364*5))^5/120))/((((0.15*B1364*5))^0/1)+(((0.15*B1364*5))^1/1)+(((0.15*B1364*5))^2/2)+(((0.15*B1364*5))^3/6)+(((0.15*B1364*5))^4/24)+(((0.15*B1364*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43">
      <c r="A1343">
        <f>Skills!A10</f>
        <v/>
      </c>
      <c r="B1343">
        <f>Skills!B10</f>
        <v/>
      </c>
      <c r="C1343">
        <f>Inputs!$B$3&gt;=110</f>
        <v/>
      </c>
      <c r="D1343">
        <f>IF(Skills!C10=1,60+Inputs!$B$26+Inputs!$B$30,IF(Skills!C10=2,90+Inputs!$B$27+Inputs!$B$30,IF(Skills!C10=3,120+Inputs!$B$28+Inputs!$B$30,MAX(0,(Inputs!$B$3-100)*3)+Inputs!$B$29+Inputs!$B$30)))</f>
        <v/>
      </c>
      <c r="E1343">
        <f>INDEX(FactorTable!$B$2:$Y$301, MATCH(ROUND(MIN(300,MAX(1,D1343)),0), FactorTable!$A$2:$A$301,0), Skills!M10+1)</f>
        <v/>
      </c>
      <c r="F1343">
        <f>IF(Skills!N10=TRUE,(Skills!L10/10)*(E1343/1000),Skills!L10/10)+Skills!O10</f>
        <v/>
      </c>
      <c r="G1343">
        <f>Skills!G10*IF(Skills!H10&gt;0,INT(IF(Inputs!$B$39="pvp",MIN(Skills!I10,15),Skills!I10)/Skills!H10+0.000000001),1)</f>
        <v/>
      </c>
      <c r="H1343">
        <f>1-(1-Skills!J10/100)^Skills!K10</f>
        <v/>
      </c>
      <c r="I1343" t="inlineStr">
        <is>
          <t>1</t>
        </is>
      </c>
      <c r="J1343">
        <f>((Inputs!$B$6*(1+Inputs!$B$7/100))+(((Inputs!$B$13*(1+Inputs!$B$14/100))-(Inputs!$B$13*(1+Inputs!$B$14/100)))+0.25*(Inputs!$B$15-Inputs!$B$15))*(1+Inputs!$B$7/100))*(F1343/100)</f>
        <v/>
      </c>
      <c r="K1343">
        <f>J1343*(1+(((Inputs!$B$13+IF(Inputs!$B$3&gt;=38,(10*INDEX(FactorTable!$B$2:$Y$301, MATCH(ROUND(MIN(300,MAX(1,Inputs!$B$3)),0), FactorTable!$A$2:$A$301,0), 23)/1000)/100*(Inputs!$B$8*(1+Inputs!$B$9/100)),0))*(1+Inputs!$B$14/100))*0.01+Inputs!$B$15*0.0025)/100)*(1+Inputs!$B$16/100)*(1+Inputs!$B$17/100)*(5000/(6000+Inputs!$B$43*(1-(Inputs!$B$20+0)/100)))*(1+(Inputs!$B$25+((C1358=TRUE)*(F1358-Calc!F25))+((C1359=TRUE)*(F1359-Calc!F26))+B1368)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gt;=100),MIN(100,((Inputs!$B$10+0+B1362+(ArtifactsInput!$M$24-ArtifactsInput!$M$24)*CHOOSE(ArtifactsInput!$N$24+1,10,12,14,16,18,20)+IF(ArtifactsInput!$M$10,CHOOSE(ArtifactsInput!$N$10+1,15,18,21,24,27,30)*(IF(Inputs!$B$39="pvp",MIN(15,15)/15,IF(AND(Inputs!$B$39&lt;&gt;"pvp",Inputs!$B$44&gt;0),MIN(15,Inputs!$B$44)/(Inputs!$B$44),0))),0)))-100),0))*CHOOSE(ArtifactsInput!$N$42+1,0.6,0.72,0.84,0.96,1.08,1.2))),Inputs!$B$19+((C1356=TRUE)*(F1356-Calc!F23))+(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gt;=100),CHOOSE(ArtifactsInput!$N$42+1,40,48,56,64,72,80),0))))/100)*((1+(((C1346=TRUE)*F1346*IF(AND(Inputs!$B$39&lt;&gt;"pvp",Inputs!$B$44&gt;0),(((R1346-1)*MIN((Skills!T13*(1+Inputs!$B$35/100)),(1/Q1346))+MIN((Skills!T13*(1+Inputs!$B$35/100)),MAX(0,Inputs!$B$44-((R1346-1)*(1/Q1346)))))/Inputs!$B$44),IF(Inputs!$B$39="pvp",MIN((Skills!T13*(1+Inputs!$B$35/100)),15)/15,MIN(1,(Skills!T13*(1+Inputs!$B$35/100))/(1/Q1346)))))+((C1347=TRUE)*F1347*IF(AND(Inputs!$B$39&lt;&gt;"pvp",Inputs!$B$44&gt;0),(((R1347-1)*MIN((Skills!T14*(1+Inputs!$B$35/100)),(1/Q1347))+MIN((Skills!T14*(1+Inputs!$B$35/100)),MAX(0,Inputs!$B$44-((R1347-1)*(1/Q1347)))))/Inputs!$B$44),IF(Inputs!$B$39="pvp",MIN((Skills!T14*(1+Inputs!$B$35/100)),15)/15,MIN(1,(Skills!T14*(1+Inputs!$B$35/100))/(1/Q1347)))))+((C1348=TRUE)*F1348*IF(AND(Inputs!$B$39&lt;&gt;"pvp",Inputs!$B$44&gt;0),(((R1348-1)*MIN((Skills!T15*(1+Inputs!$B$35/100)),(1/Q1348))+MIN((Skills!T15*(1+Inputs!$B$35/100)),MAX(0,Inputs!$B$44-((R1348-1)*(1/Q1348)))))/Inputs!$B$44),IF(Inputs!$B$39="pvp",MIN((Skills!T15*(1+Inputs!$B$35/100)),15)/15,MIN(1,(Skills!T15*(1+Inputs!$B$35/100))/(1/Q1348)))))+((C1349=TRUE)*F1349*IF(AND(Inputs!$B$39&lt;&gt;"pvp",Inputs!$B$44&gt;0),(((R1349-1)*MIN((Skills!T16*(1+Inputs!$B$35/100)),(1/Q1349))+MIN((Skills!T16*(1+Inputs!$B$35/100)),MAX(0,Inputs!$B$44-((R1349-1)*(1/Q1349)))))/Inputs!$B$44),IF(Inputs!$B$39="pvp",MIN((Skills!T16*(1+Inputs!$B$35/100)),15)/15,MIN(1,(Skills!T16*(1+Inputs!$B$35/100))/(1/Q1349)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1343)</f>
        <v/>
      </c>
      <c r="L1343">
        <f>K1343*(MIN(Inputs!$B$23+((C1355=TRUE)*(F1355-Calc!F22)),(Inputs!$B$24+((C1357=TRUE)*(F1357-Calc!F24))+(IF(ArtifactsInput!$M$15,CHOOSE(ArtifactsInput!$N$15+1,25,30,35,40,45,50)/100*(Inputs!$B$12-Inputs!$B$12),0))))/100+(Inputs!$B$24+((C1357=TRUE)*(F1357-Calc!F24))+(IF(ArtifactsInput!$M$15,CHOOSE(ArtifactsInput!$N$15+1,25,30,35,40,45,50)/100*(Inputs!$B$12-Inputs!$B$12),0)))/100)/2</f>
        <v/>
      </c>
      <c r="M1343">
        <f>L1343*(1+(Inputs!$B$11+0+B1367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343">
        <f>L1343*(1-MIN((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1343*(MIN((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43">
        <f>(1-Summary!$B$11)*T1343+Summary!$B$11*V1343</f>
        <v/>
      </c>
      <c r="P1343">
        <f>IF(B1372=0,0,O1343/B1372)</f>
        <v/>
      </c>
      <c r="Q1343">
        <f>IFERROR(1/IF(Inputs!$B$39="pvp",15,MAX(0.1,Skills!D10-IF(TRUE=TRUE,Inputs!$B$33,0))),0)</f>
        <v/>
      </c>
      <c r="R1343">
        <f>IF(AND(Inputs!$B$39&lt;&gt;"pvp",Inputs!$B$44&gt;0),IF(MAX(0,Inputs!$B$44-B1369)&lt;=0,0,(INT(MAX(0,Inputs!$B$44-B1369)/IF(Inputs!$B$39="pvp",15,MAX(0.1,Skills!D10-IF(TRUE=TRUE,Inputs!$B$33,0))))+1)),0)</f>
        <v/>
      </c>
      <c r="S1343">
        <f>IFERROR(O1343/N1343,0)</f>
        <v/>
      </c>
      <c r="T1343">
        <f>IF(C1343,(H1343*N1343*IF(AND(Inputs!$B$39&lt;&gt;"pvp",Inputs!$B$44&gt;0),((Skills!G10*((R1343-1)*IF(Skills!H10&gt;0,INT(Skills!I10/Skills!H10+0.000000001),1)+IF(Skills!H10&gt;0,INT(MIN(Skills!I10,MAX(0,MAX(0,Inputs!$B$44-B1369)-((R1343-1)*IF(Inputs!$B$39="pvp",15,MAX(0.1,Skills!D10-IF(TRUE=TRUE,Inputs!$B$33,0))))))/Skills!H10+0.000000001),1)))/Inputs!$B$44),G1343*Q1343))*IF(Inputs!$B$39="pvp",1,1+(Inputs!$B$21+0+Skills!P10+((C1350=TRUE)*F1350*IF(AND(Inputs!$B$39&lt;&gt;"pvp",Inputs!$B$44&gt;0),(((R1350-1)*MIN((Skills!T17*(1+Inputs!$B$35/100)),(1/Q1350))+MIN((Skills!T17*(1+Inputs!$B$35/100)),MAX(0,Inputs!$B$44-((R1350-1)*(1/Q1350)))))/Inputs!$B$44),IF(Inputs!$B$39="pvp",MIN((Skills!T17*(1+Inputs!$B$35/100)),15)/15,MIN(1,(Skills!T17*(1+Inputs!$B$35/100))/(1/Q1350)))))+((C1338=TRUE)*IF(Inputs!$B$3&gt;=126,10*MIN(1,15*Q1338),0))+((C1347=TRUE)*IF(Inputs!$B$39="pvp",20,(1-Summary!$B$11)*(20)+Summary!$B$11*(0))*IF(AND(Inputs!$B$39&lt;&gt;"pvp",Inputs!$B$44&gt;0),(((R1347-1)*MIN((Skills!T14*(1+Inputs!$B$35/100)),(1/Q1347))+MIN((Skills!T14*(1+Inputs!$B$35/100)),MAX(0,Inputs!$B$44-((R1347-1)*(1/Q1347)))))/Inputs!$B$44),IF(Inputs!$B$39="pvp",MIN((Skills!T14*(1+Inputs!$B$35/100)),15)/15,MIN(1,(Skills!T14*(1+Inputs!$B$35/100))/(1/Q1347)))))+((C1346=TRUE)*IF(Inputs!$B$3&gt;=82,IF(Inputs!$B$39="pvp",20,(1-Summary!$B$11)*(20)+Summary!$B$11*(0)),0)*IF(AND(Inputs!$B$39&lt;&gt;"pvp",Inputs!$B$44&gt;0),(((R1346-1)*MIN((Skills!T13*(1+Inputs!$B$35/100)),(1/Q1346))+MIN((Skills!T13*(1+Inputs!$B$35/100)),MAX(0,Inputs!$B$44-((R1346-1)*(1/Q1346)))))/Inputs!$B$44),IF(Inputs!$B$39="pvp",MIN((Skills!T13*(1+Inputs!$B$35/100)),15)/15,MIN(1,(Skills!T13*(1+Inputs!$B$35/100))/(1/Q1346)))))+(IF(AND(ArtifactsInput!$M$35,Inputs!$B$4&lt;&gt;"Chapter Hunt"),CHOOSE(ArtifactsInput!$N$35+1,15,18,21,24,27,30)*(1-EXP(-(0.2*B1364)*5)),0)+IF(AND(ArtifactsInput!$M$22,Inputs!$B$4&lt;&gt;"Chapter Hunt"),CHOOSE(ArtifactsInput!$N$22+1,10,12,14,16,18,20)*((0*(((0.15*B1364*5))^0/1)+1*(((0.15*B1364*5))^1/1)+2*(((0.15*B1364*5))^2/2)+3*(((0.15*B1364*5))^3/6)+4*(((0.15*B1364*5))^4/24)+5*(((0.15*B1364*5))^5/120))/((((0.15*B1364*5))^0/1)+(((0.15*B1364*5))^1/1)+(((0.15*B1364*5))^2/2)+(((0.15*B1364*5))^3/6)+(((0.15*B1364*5))^4/24)+(((0.15*B1364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1343*(1-MIN(100,(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1343*(MIN(100,(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1343*(1-MIN(100,(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1343*(MIN(100,(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43">
        <f>IF(C1343,(H1343*N1343*IF(AND(Inputs!$B$39&lt;&gt;"pvp",Inputs!$B$44&gt;0),((Skills!G10*((R1343-1)*IF(Skills!H10&gt;0,INT(Skills!I10/Skills!H10+0.000000001),1)+IF(Skills!H10&gt;0,INT(MIN(Skills!I10,MAX(0,MAX(0,Inputs!$B$44-B1369)-((R1343-1)*IF(Inputs!$B$39="pvp",15,MAX(0.1,Skills!D10-IF(TRUE=TRUE,Inputs!$B$33,0))))))/Skills!H10+0.000000001),1)))/Inputs!$B$44),G1343*Q1343))*IF(Inputs!$B$39="pvp",1,(1+(Inputs!$B$22+Skills!Q10+((C1350=TRUE)*F1350*IF(AND(Inputs!$B$39&lt;&gt;"pvp",Inputs!$B$44&gt;0),(((R1350-1)*MIN((Skills!T17*(1+Inputs!$B$35/100)),(1/Q1350))+MIN((Skills!T17*(1+Inputs!$B$35/100)),MAX(0,Inputs!$B$44-((R1350-1)*(1/Q1350)))))/Inputs!$B$44),IF(Inputs!$B$39="pvp",MIN((Skills!T17*(1+Inputs!$B$35/100)),15)/15,MIN(1,(Skills!T17*(1+Inputs!$B$35/100))/(1/Q1350)))))+((C1338=TRUE)*IF(Inputs!$B$3&gt;=126,10*MIN(1,15*Q1338),0))+((C1347=TRUE)*IF(Inputs!$B$39="pvp",20,(1-Summary!$B$11)*(20)+Summary!$B$11*(0))*IF(AND(Inputs!$B$39&lt;&gt;"pvp",Inputs!$B$44&gt;0),(((R1347-1)*MIN((Skills!T14*(1+Inputs!$B$35/100)),(1/Q1347))+MIN((Skills!T14*(1+Inputs!$B$35/100)),MAX(0,Inputs!$B$44-((R1347-1)*(1/Q1347)))))/Inputs!$B$44),IF(Inputs!$B$39="pvp",MIN((Skills!T14*(1+Inputs!$B$35/100)),15)/15,MIN(1,(Skills!T14*(1+Inputs!$B$35/100))/(1/Q1347)))))+((C1346=TRUE)*IF(Inputs!$B$3&gt;=82,IF(Inputs!$B$39="pvp",20,(1-Summary!$B$11)*(20)+Summary!$B$11*(0)),0)*IF(AND(Inputs!$B$39&lt;&gt;"pvp",Inputs!$B$44&gt;0),(((R1346-1)*MIN((Skills!T13*(1+Inputs!$B$35/100)),(1/Q1346))+MIN((Skills!T13*(1+Inputs!$B$35/100)),MAX(0,Inputs!$B$44-((R1346-1)*(1/Q1346)))))/Inputs!$B$44),IF(Inputs!$B$39="pvp",MIN((Skills!T13*(1+Inputs!$B$35/100)),15)/15,MIN(1,(Skills!T13*(1+Inputs!$B$35/100))/(1/Q1346)))))+(IF(AND(ArtifactsInput!$M$35,Inputs!$B$4&lt;&gt;"Chapter Hunt"),CHOOSE(ArtifactsInput!$N$35+1,15,18,21,24,27,30)*(1-EXP(-(0.2*B1364)*5)),0)+IF(AND(ArtifactsInput!$M$22,Inputs!$B$4&lt;&gt;"Chapter Hunt"),CHOOSE(ArtifactsInput!$N$22+1,10,12,14,16,18,20)*((0*(((0.15*B1364*5))^0/1)+1*(((0.15*B1364*5))^1/1)+2*(((0.15*B1364*5))^2/2)+3*(((0.15*B1364*5))^3/6)+4*(((0.15*B1364*5))^4/24)+5*(((0.15*B1364*5))^5/120))/((((0.15*B1364*5))^0/1)+(((0.15*B1364*5))^1/1)+(((0.15*B1364*5))^2/2)+(((0.15*B1364*5))^3/6)+(((0.15*B1364*5))^4/24)+(((0.15*B1364*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44">
      <c r="A1344">
        <f>Skills!A11</f>
        <v/>
      </c>
      <c r="B1344">
        <f>Skills!B11</f>
        <v/>
      </c>
      <c r="C1344">
        <f>Inputs!$B$3&gt;=100</f>
        <v/>
      </c>
      <c r="D1344">
        <f>IF(Skills!C11=1,60+Inputs!$B$26+Inputs!$B$30,IF(Skills!C11=2,90+Inputs!$B$27+Inputs!$B$30,IF(Skills!C11=3,120+Inputs!$B$28+Inputs!$B$30,MAX(0,(Inputs!$B$3-100)*3)+Inputs!$B$29+Inputs!$B$30)))</f>
        <v/>
      </c>
      <c r="E1344">
        <f>INDEX(FactorTable!$B$2:$Y$301, MATCH(ROUND(MIN(300,MAX(1,D1344)),0), FactorTable!$A$2:$A$301,0), Skills!M11+1)</f>
        <v/>
      </c>
      <c r="F1344">
        <f>IF(Skills!N11=TRUE,(Skills!L11/10)*(E1344/1000),Skills!L11/10)+Skills!O11</f>
        <v/>
      </c>
      <c r="G1344" t="inlineStr"/>
      <c r="H1344" t="inlineStr"/>
      <c r="I1344" t="inlineStr">
        <is>
          <t>1</t>
        </is>
      </c>
      <c r="J1344" t="inlineStr"/>
      <c r="K1344" t="inlineStr"/>
      <c r="L1344" t="inlineStr"/>
      <c r="M1344" t="inlineStr"/>
      <c r="N1344" t="inlineStr"/>
      <c r="O1344" t="inlineStr"/>
      <c r="P1344" t="inlineStr"/>
      <c r="Q1344" t="inlineStr"/>
      <c r="R1344" t="inlineStr"/>
      <c r="S1344" t="inlineStr"/>
    </row>
    <row r="1345">
      <c r="A1345">
        <f>Skills!A12</f>
        <v/>
      </c>
      <c r="B1345">
        <f>Skills!B12</f>
        <v/>
      </c>
      <c r="C1345">
        <f>Inputs!$B$3&gt;=63</f>
        <v/>
      </c>
      <c r="D1345">
        <f>IF(Skills!C12=1,60+Inputs!$B$26+Inputs!$B$30,IF(Skills!C12=2,90+Inputs!$B$27+Inputs!$B$30,IF(Skills!C12=3,120+Inputs!$B$28+Inputs!$B$30,MAX(0,(Inputs!$B$3-100)*3)+Inputs!$B$29+Inputs!$B$30)))</f>
        <v/>
      </c>
      <c r="E1345">
        <f>INDEX(FactorTable!$B$2:$Y$301, MATCH(ROUND(MIN(300,MAX(1,D1345)),0), FactorTable!$A$2:$A$301,0), Skills!M12+1)</f>
        <v/>
      </c>
      <c r="F1345">
        <f>IF(Skills!N12=TRUE,(Skills!L12/10)*(E1345/1000),Skills!L12/10)+Skills!O12</f>
        <v/>
      </c>
      <c r="G1345">
        <f>Skills!G12*IF(Skills!H12&gt;0,INT(IF(Inputs!$B$39="pvp",MIN(Skills!I12,15),Skills!I12)/Skills!H12+0.000000001),1)</f>
        <v/>
      </c>
      <c r="H1345">
        <f>1-(1-Skills!J12/100)^Skills!K12</f>
        <v/>
      </c>
      <c r="I1345" t="inlineStr">
        <is>
          <t>1</t>
        </is>
      </c>
      <c r="J1345">
        <f>((Inputs!$B$6*(1+Inputs!$B$7/100))+(((Inputs!$B$13*(1+Inputs!$B$14/100))-(Inputs!$B$13*(1+Inputs!$B$14/100)))+0.25*(Inputs!$B$15-Inputs!$B$15))*(1+Inputs!$B$7/100))*(F1345/100)</f>
        <v/>
      </c>
      <c r="K1345">
        <f>J1345*(1+(((Inputs!$B$13+IF(Inputs!$B$3&gt;=38,(10*INDEX(FactorTable!$B$2:$Y$301, MATCH(ROUND(MIN(300,MAX(1,Inputs!$B$3)),0), FactorTable!$A$2:$A$301,0), 23)/1000)/100*(Inputs!$B$8*(1+Inputs!$B$9/100)),0))*(1+Inputs!$B$14/100))*0.01+Inputs!$B$15*0.0025)/100)*(1+Inputs!$B$16/100)*(1+Inputs!$B$17/100)*(5000/(6000+Inputs!$B$43*(1-(Inputs!$B$20+0)/100)))*(1+(Inputs!$B$25+((C1358=TRUE)*(F1358-Calc!F25))+((C1359=TRUE)*(F1359-Calc!F26))+B1368)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1344=TRUE,F1344,0)/100)*(1+(IF(Skills!A12="DARK_IMPALE",Inputs!$B$18+0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gt;=100),MIN(100,((Inputs!$B$10+0+B1362+(ArtifactsInput!$M$24-ArtifactsInput!$M$24)*CHOOSE(ArtifactsInput!$N$24+1,10,12,14,16,18,20)+IF(ArtifactsInput!$M$10,CHOOSE(ArtifactsInput!$N$10+1,15,18,21,24,27,30)*(IF(Inputs!$B$39="pvp",MIN(15,15)/15,IF(AND(Inputs!$B$39&lt;&gt;"pvp",Inputs!$B$44&gt;0),MIN(15,Inputs!$B$44)/(Inputs!$B$44),0))),0)))-100),0))*CHOOSE(ArtifactsInput!$N$42+1,0.6,0.72,0.84,0.96,1.08,1.2))),Inputs!$B$19+((C1356=TRUE)*(F1356-Calc!F23))+(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gt;=100),CHOOSE(ArtifactsInput!$N$42+1,40,48,56,64,72,80),0))))/100)*((1+(((C1346=TRUE)*F1346*IF(AND(Inputs!$B$39&lt;&gt;"pvp",Inputs!$B$44&gt;0),(((R1346-1)*MIN((Skills!T13*(1+Inputs!$B$35/100)),(1/Q1346))+MIN((Skills!T13*(1+Inputs!$B$35/100)),MAX(0,Inputs!$B$44-((R1346-1)*(1/Q1346)))))/Inputs!$B$44),IF(Inputs!$B$39="pvp",MIN((Skills!T13*(1+Inputs!$B$35/100)),15)/15,MIN(1,(Skills!T13*(1+Inputs!$B$35/100))/(1/Q1346)))))+((C1347=TRUE)*F1347*IF(AND(Inputs!$B$39&lt;&gt;"pvp",Inputs!$B$44&gt;0),(((R1347-1)*MIN((Skills!T14*(1+Inputs!$B$35/100)),(1/Q1347))+MIN((Skills!T14*(1+Inputs!$B$35/100)),MAX(0,Inputs!$B$44-((R1347-1)*(1/Q1347)))))/Inputs!$B$44),IF(Inputs!$B$39="pvp",MIN((Skills!T14*(1+Inputs!$B$35/100)),15)/15,MIN(1,(Skills!T14*(1+Inputs!$B$35/100))/(1/Q1347)))))+((C1348=TRUE)*F1348*IF(AND(Inputs!$B$39&lt;&gt;"pvp",Inputs!$B$44&gt;0),(((R1348-1)*MIN((Skills!T15*(1+Inputs!$B$35/100)),(1/Q1348))+MIN((Skills!T15*(1+Inputs!$B$35/100)),MAX(0,Inputs!$B$44-((R1348-1)*(1/Q1348)))))/Inputs!$B$44),IF(Inputs!$B$39="pvp",MIN((Skills!T15*(1+Inputs!$B$35/100)),15)/15,MIN(1,(Skills!T15*(1+Inputs!$B$35/100))/(1/Q1348)))))+((C1349=TRUE)*F1349*IF(AND(Inputs!$B$39&lt;&gt;"pvp",Inputs!$B$44&gt;0),(((R1349-1)*MIN((Skills!T16*(1+Inputs!$B$35/100)),(1/Q1349))+MIN((Skills!T16*(1+Inputs!$B$35/100)),MAX(0,Inputs!$B$44-((R1349-1)*(1/Q1349)))))/Inputs!$B$44),IF(Inputs!$B$39="pvp",MIN((Skills!T16*(1+Inputs!$B$35/100)),15)/15,MIN(1,(Skills!T16*(1+Inputs!$B$35/100))/(1/Q1349)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1345)</f>
        <v/>
      </c>
      <c r="L1345">
        <f>K1345*(MIN(Inputs!$B$23+((C1355=TRUE)*(F1355-Calc!F22)),(Inputs!$B$24+((C1357=TRUE)*(F1357-Calc!F24))+(IF(ArtifactsInput!$M$15,CHOOSE(ArtifactsInput!$N$15+1,25,30,35,40,45,50)/100*(Inputs!$B$12-Inputs!$B$12),0))))/100+(Inputs!$B$24+((C1357=TRUE)*(F1357-Calc!F24))+(IF(ArtifactsInput!$M$15,CHOOSE(ArtifactsInput!$N$15+1,25,30,35,40,45,50)/100*(Inputs!$B$12-Inputs!$B$12),0)))/100)/2</f>
        <v/>
      </c>
      <c r="M1345">
        <f>L1345*(1+(Inputs!$B$11+0+B1367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345">
        <f>L1345*(1-MIN((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1345*(MIN((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45">
        <f>(1-Summary!$B$11)*T1345+Summary!$B$11*V1345</f>
        <v/>
      </c>
      <c r="P1345">
        <f>IF(B1372=0,0,O1345/B1372)</f>
        <v/>
      </c>
      <c r="Q1345">
        <f>IFERROR(1/IF(Inputs!$B$39="pvp",15,MAX(0.1,Skills!D12-IF(TRUE=TRUE,Inputs!$B$33,0))),0)</f>
        <v/>
      </c>
      <c r="R1345">
        <f>IF(AND(Inputs!$B$39&lt;&gt;"pvp",Inputs!$B$44&gt;0),IF(MAX(0,Inputs!$B$44-B1369)&lt;=0,0,(INT(MAX(0,Inputs!$B$44-B1369)/IF(Inputs!$B$39="pvp",15,MAX(0.1,Skills!D12-IF(TRUE=TRUE,Inputs!$B$33,0))))+1)),0)</f>
        <v/>
      </c>
      <c r="S1345">
        <f>IFERROR(O1345/N1345,0)</f>
        <v/>
      </c>
      <c r="T1345">
        <f>IF(C1345,(H1345*N1345*IF(AND(Inputs!$B$39&lt;&gt;"pvp",Inputs!$B$44&gt;0),((Skills!G12*((R1345-1)*IF(Skills!H12&gt;0,INT(Skills!I12/Skills!H12+0.000000001),1)+IF(Skills!H12&gt;0,INT(MIN(Skills!I12,MAX(0,MAX(0,Inputs!$B$44-B1369)-((R1345-1)*IF(Inputs!$B$39="pvp",15,MAX(0.1,Skills!D12-IF(TRUE=TRUE,Inputs!$B$33,0))))))/Skills!H12+0.000000001),1)))/Inputs!$B$44),G1345*Q1345))*IF(Inputs!$B$39="pvp",1,1+(Inputs!$B$21+0+Skills!P12+((C1350=TRUE)*F1350*IF(AND(Inputs!$B$39&lt;&gt;"pvp",Inputs!$B$44&gt;0),(((R1350-1)*MIN((Skills!T17*(1+Inputs!$B$35/100)),(1/Q1350))+MIN((Skills!T17*(1+Inputs!$B$35/100)),MAX(0,Inputs!$B$44-((R1350-1)*(1/Q1350)))))/Inputs!$B$44),IF(Inputs!$B$39="pvp",MIN((Skills!T17*(1+Inputs!$B$35/100)),15)/15,MIN(1,(Skills!T17*(1+Inputs!$B$35/100))/(1/Q1350)))))+((C1338=TRUE)*IF(Inputs!$B$3&gt;=126,10*MIN(1,15*Q1338),0))+((C1347=TRUE)*IF(Inputs!$B$39="pvp",20,(1-Summary!$B$11)*(20)+Summary!$B$11*(0))*IF(AND(Inputs!$B$39&lt;&gt;"pvp",Inputs!$B$44&gt;0),(((R1347-1)*MIN((Skills!T14*(1+Inputs!$B$35/100)),(1/Q1347))+MIN((Skills!T14*(1+Inputs!$B$35/100)),MAX(0,Inputs!$B$44-((R1347-1)*(1/Q1347)))))/Inputs!$B$44),IF(Inputs!$B$39="pvp",MIN((Skills!T14*(1+Inputs!$B$35/100)),15)/15,MIN(1,(Skills!T14*(1+Inputs!$B$35/100))/(1/Q1347)))))+((C1346=TRUE)*IF(Inputs!$B$3&gt;=82,IF(Inputs!$B$39="pvp",20,(1-Summary!$B$11)*(20)+Summary!$B$11*(0)),0)*IF(AND(Inputs!$B$39&lt;&gt;"pvp",Inputs!$B$44&gt;0),(((R1346-1)*MIN((Skills!T13*(1+Inputs!$B$35/100)),(1/Q1346))+MIN((Skills!T13*(1+Inputs!$B$35/100)),MAX(0,Inputs!$B$44-((R1346-1)*(1/Q1346)))))/Inputs!$B$44),IF(Inputs!$B$39="pvp",MIN((Skills!T13*(1+Inputs!$B$35/100)),15)/15,MIN(1,(Skills!T13*(1+Inputs!$B$35/100))/(1/Q1346)))))+(IF(AND(ArtifactsInput!$M$35,Inputs!$B$4&lt;&gt;"Chapter Hunt"),CHOOSE(ArtifactsInput!$N$35+1,15,18,21,24,27,30)*(1-EXP(-(0.2*B1364)*5)),0)+IF(AND(ArtifactsInput!$M$22,Inputs!$B$4&lt;&gt;"Chapter Hunt"),CHOOSE(ArtifactsInput!$N$22+1,10,12,14,16,18,20)*((0*(((0.15*B1364*5))^0/1)+1*(((0.15*B1364*5))^1/1)+2*(((0.15*B1364*5))^2/2)+3*(((0.15*B1364*5))^3/6)+4*(((0.15*B1364*5))^4/24)+5*(((0.15*B1364*5))^5/120))/((((0.15*B1364*5))^0/1)+(((0.15*B1364*5))^1/1)+(((0.15*B1364*5))^2/2)+(((0.15*B1364*5))^3/6)+(((0.15*B1364*5))^4/24)+(((0.15*B1364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1345*(1-MIN(100,(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1345*(MIN(100,(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1345*(1-MIN(100,(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1345*(MIN(100,(Inputs!$B$10+0+B1362+(ArtifactsInput!$M$24-ArtifactsInput!$M$24)*CHOOSE(ArtifactsInput!$N$24+1,10,12,14,16,18,20)+(IF(AND(Inputs!$B$39&lt;&gt;"pvp",Inputs!$B$44=0),1,IF(IF(Inputs!$B$39="pvp",15,Inputs!$B$44)-(B1369)&lt;=0,1,MAX(0,IF(Inputs!$B$39="pvp",15,Inputs!$B$44)-MAX(5,B1369))/(IF(Inputs!$B$39="pvp",15,Inputs!$B$44)-(B1369))))*IF(AND(ArtifactsInput!$M$42,((Inputs!$B$10+0+B1362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45">
        <f>IF(C1345,(H1345*N1345*IF(AND(Inputs!$B$39&lt;&gt;"pvp",Inputs!$B$44&gt;0),((Skills!G12*((R1345-1)*IF(Skills!H12&gt;0,INT(Skills!I12/Skills!H12+0.000000001),1)+IF(Skills!H12&gt;0,INT(MIN(Skills!I12,MAX(0,MAX(0,Inputs!$B$44-B1369)-((R1345-1)*IF(Inputs!$B$39="pvp",15,MAX(0.1,Skills!D12-IF(TRUE=TRUE,Inputs!$B$33,0))))))/Skills!H12+0.000000001),1)))/Inputs!$B$44),G1345*Q1345))*IF(Inputs!$B$39="pvp",1,(1+(Inputs!$B$22+Skills!Q12+((C1350=TRUE)*F1350*IF(AND(Inputs!$B$39&lt;&gt;"pvp",Inputs!$B$44&gt;0),(((R1350-1)*MIN((Skills!T17*(1+Inputs!$B$35/100)),(1/Q1350))+MIN((Skills!T17*(1+Inputs!$B$35/100)),MAX(0,Inputs!$B$44-((R1350-1)*(1/Q1350)))))/Inputs!$B$44),IF(Inputs!$B$39="pvp",MIN((Skills!T17*(1+Inputs!$B$35/100)),15)/15,MIN(1,(Skills!T17*(1+Inputs!$B$35/100))/(1/Q1350)))))+((C1338=TRUE)*IF(Inputs!$B$3&gt;=126,10*MIN(1,15*Q1338),0))+((C1347=TRUE)*IF(Inputs!$B$39="pvp",20,(1-Summary!$B$11)*(20)+Summary!$B$11*(0))*IF(AND(Inputs!$B$39&lt;&gt;"pvp",Inputs!$B$44&gt;0),(((R1347-1)*MIN((Skills!T14*(1+Inputs!$B$35/100)),(1/Q1347))+MIN((Skills!T14*(1+Inputs!$B$35/100)),MAX(0,Inputs!$B$44-((R1347-1)*(1/Q1347)))))/Inputs!$B$44),IF(Inputs!$B$39="pvp",MIN((Skills!T14*(1+Inputs!$B$35/100)),15)/15,MIN(1,(Skills!T14*(1+Inputs!$B$35/100))/(1/Q1347)))))+((C1346=TRUE)*IF(Inputs!$B$3&gt;=82,IF(Inputs!$B$39="pvp",20,(1-Summary!$B$11)*(20)+Summary!$B$11*(0)),0)*IF(AND(Inputs!$B$39&lt;&gt;"pvp",Inputs!$B$44&gt;0),(((R1346-1)*MIN((Skills!T13*(1+Inputs!$B$35/100)),(1/Q1346))+MIN((Skills!T13*(1+Inputs!$B$35/100)),MAX(0,Inputs!$B$44-((R1346-1)*(1/Q1346)))))/Inputs!$B$44),IF(Inputs!$B$39="pvp",MIN((Skills!T13*(1+Inputs!$B$35/100)),15)/15,MIN(1,(Skills!T13*(1+Inputs!$B$35/100))/(1/Q1346)))))+(IF(AND(ArtifactsInput!$M$35,Inputs!$B$4&lt;&gt;"Chapter Hunt"),CHOOSE(ArtifactsInput!$N$35+1,15,18,21,24,27,30)*(1-EXP(-(0.2*B1364)*5)),0)+IF(AND(ArtifactsInput!$M$22,Inputs!$B$4&lt;&gt;"Chapter Hunt"),CHOOSE(ArtifactsInput!$N$22+1,10,12,14,16,18,20)*((0*(((0.15*B1364*5))^0/1)+1*(((0.15*B1364*5))^1/1)+2*(((0.15*B1364*5))^2/2)+3*(((0.15*B1364*5))^3/6)+4*(((0.15*B1364*5))^4/24)+5*(((0.15*B1364*5))^5/120))/((((0.15*B1364*5))^0/1)+(((0.15*B1364*5))^1/1)+(((0.15*B1364*5))^2/2)+(((0.15*B1364*5))^3/6)+(((0.15*B1364*5))^4/24)+(((0.15*B1364*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46">
      <c r="A1346">
        <f>Skills!A13</f>
        <v/>
      </c>
      <c r="B1346">
        <f>Skills!B13</f>
        <v/>
      </c>
      <c r="C1346">
        <f>Inputs!$B$3&gt;=69</f>
        <v/>
      </c>
      <c r="D1346">
        <f>IF(Skills!C13=1,60+Inputs!$B$26+Inputs!$B$30,IF(Skills!C13=2,90+Inputs!$B$27+Inputs!$B$30,IF(Skills!C13=3,120+Inputs!$B$28+Inputs!$B$30,MAX(0,(Inputs!$B$3-100)*3)+Inputs!$B$29+Inputs!$B$30)))</f>
        <v/>
      </c>
      <c r="E1346">
        <f>INDEX(FactorTable!$B$2:$Y$301, MATCH(ROUND(MIN(300,MAX(1,D1346)),0), FactorTable!$A$2:$A$301,0), Skills!M13+1)</f>
        <v/>
      </c>
      <c r="F1346">
        <f>IF(Skills!N13=TRUE,(Skills!L13/10)*(E1346/1000),Skills!L13/10)+Skills!O13</f>
        <v/>
      </c>
      <c r="G1346">
        <f>Skills!G13*IF(Skills!H13&gt;0,INT(IF(Inputs!$B$39="pvp",MIN(Skills!I13,15),Skills!I13)/Skills!H13+0.000000001),1)</f>
        <v/>
      </c>
      <c r="H1346">
        <f>1-(1-Skills!J13/100)^Skills!K13</f>
        <v/>
      </c>
      <c r="I1346" t="inlineStr">
        <is>
          <t>1</t>
        </is>
      </c>
      <c r="J1346" t="inlineStr"/>
      <c r="K1346" t="inlineStr"/>
      <c r="L1346" t="inlineStr"/>
      <c r="M1346" t="inlineStr"/>
      <c r="N1346" t="inlineStr"/>
      <c r="O1346">
        <f>(1-Summary!$B$11)*T1346+Summary!$B$11*V1346</f>
        <v/>
      </c>
      <c r="P1346">
        <f>IF(B1372=0,0,O1346/B1372)</f>
        <v/>
      </c>
      <c r="Q1346">
        <f>IFERROR(1/IF(Inputs!$B$39="pvp",15,MAX(0.1,Skills!D13-IF(TRUE=TRUE,Inputs!$B$33,0))),0)</f>
        <v/>
      </c>
      <c r="R1346">
        <f>IF(AND(Inputs!$B$39&lt;&gt;"pvp",Inputs!$B$44&gt;0),IF(Inputs!$B$44&lt;=0,0,(INT(Inputs!$B$44/IF(Inputs!$B$39="pvp",15,MAX(0.1,Skills!D13-IF(TRUE=TRUE,Inputs!$B$33,0))))+1)),0)</f>
        <v/>
      </c>
      <c r="S1346">
        <f>IFERROR(O1346/N1346,0)</f>
        <v/>
      </c>
      <c r="T1346" t="n">
        <v>0</v>
      </c>
      <c r="V1346" t="n">
        <v>0</v>
      </c>
    </row>
    <row r="1347">
      <c r="A1347">
        <f>Skills!A14</f>
        <v/>
      </c>
      <c r="B1347">
        <f>Skills!B14</f>
        <v/>
      </c>
      <c r="C1347">
        <f>Inputs!$B$3&gt;=115</f>
        <v/>
      </c>
      <c r="D1347">
        <f>IF(Skills!C14=1,60+Inputs!$B$26+Inputs!$B$30,IF(Skills!C14=2,90+Inputs!$B$27+Inputs!$B$30,IF(Skills!C14=3,120+Inputs!$B$28+Inputs!$B$30,MAX(0,(Inputs!$B$3-100)*3)+Inputs!$B$29+Inputs!$B$30)))</f>
        <v/>
      </c>
      <c r="E1347">
        <f>INDEX(FactorTable!$B$2:$Y$301, MATCH(ROUND(MIN(300,MAX(1,D1347)),0), FactorTable!$A$2:$A$301,0), Skills!M14+1)</f>
        <v/>
      </c>
      <c r="F1347">
        <f>IF(Skills!N14=TRUE,(Skills!L14/10)*(E1347/1000),Skills!L14/10)+Skills!O14</f>
        <v/>
      </c>
      <c r="G1347">
        <f>Skills!G14*IF(Skills!H14&gt;0,INT(IF(Inputs!$B$39="pvp",MIN(Skills!I14,15),Skills!I14)/Skills!H14+0.000000001),1)</f>
        <v/>
      </c>
      <c r="H1347">
        <f>1-(1-Skills!J14/100)^Skills!K14</f>
        <v/>
      </c>
      <c r="I1347" t="inlineStr">
        <is>
          <t>1</t>
        </is>
      </c>
      <c r="J1347" t="inlineStr"/>
      <c r="K1347" t="inlineStr"/>
      <c r="L1347" t="inlineStr"/>
      <c r="M1347" t="inlineStr"/>
      <c r="N1347" t="inlineStr"/>
      <c r="O1347">
        <f>(1-Summary!$B$11)*T1347+Summary!$B$11*V1347</f>
        <v/>
      </c>
      <c r="P1347">
        <f>IF(B1372=0,0,O1347/B1372)</f>
        <v/>
      </c>
      <c r="Q1347">
        <f>IFERROR(1/IF(Inputs!$B$39="pvp",15,MAX(0.1,Skills!D14-IF(TRUE=TRUE,Inputs!$B$33,0))),0)</f>
        <v/>
      </c>
      <c r="R1347">
        <f>IF(AND(Inputs!$B$39&lt;&gt;"pvp",Inputs!$B$44&gt;0),IF(Inputs!$B$44&lt;=0,0,(INT(Inputs!$B$44/IF(Inputs!$B$39="pvp",15,MAX(0.1,Skills!D14-IF(TRUE=TRUE,Inputs!$B$33,0))))+1)),0)</f>
        <v/>
      </c>
      <c r="S1347">
        <f>IFERROR(O1347/N1347,0)</f>
        <v/>
      </c>
      <c r="T1347" t="n">
        <v>0</v>
      </c>
      <c r="V1347" t="n">
        <v>0</v>
      </c>
    </row>
    <row r="1348">
      <c r="A1348">
        <f>Skills!A15</f>
        <v/>
      </c>
      <c r="B1348">
        <f>Skills!B15</f>
        <v/>
      </c>
      <c r="C1348">
        <f>Inputs!$B$3&gt;=66</f>
        <v/>
      </c>
      <c r="D1348">
        <f>IF(Skills!C15=1,60+Inputs!$B$26+Inputs!$B$30,IF(Skills!C15=2,90+Inputs!$B$27+Inputs!$B$30,IF(Skills!C15=3,120+Inputs!$B$28+Inputs!$B$30,MAX(0,(Inputs!$B$3-100)*3)+Inputs!$B$29+Inputs!$B$30)))</f>
        <v/>
      </c>
      <c r="E1348">
        <f>INDEX(FactorTable!$B$2:$Y$301, MATCH(ROUND(MIN(300,MAX(1,D1348)),0), FactorTable!$A$2:$A$301,0), Skills!M15+1)</f>
        <v/>
      </c>
      <c r="F1348">
        <f>IF(Skills!N15=TRUE,(Skills!L15/10)*(E1348/1000),Skills!L15/10)+Skills!O15</f>
        <v/>
      </c>
      <c r="G1348">
        <f>Skills!G15*IF(Skills!H15&gt;0,INT(IF(Inputs!$B$39="pvp",MIN(Skills!I15,15),Skills!I15)/Skills!H15+0.000000001),1)</f>
        <v/>
      </c>
      <c r="H1348">
        <f>1-(1-Skills!J15/100)^Skills!K15</f>
        <v/>
      </c>
      <c r="I1348" t="inlineStr">
        <is>
          <t>1</t>
        </is>
      </c>
      <c r="J1348" t="inlineStr"/>
      <c r="K1348" t="inlineStr"/>
      <c r="L1348" t="inlineStr"/>
      <c r="M1348" t="inlineStr"/>
      <c r="N1348" t="inlineStr"/>
      <c r="O1348">
        <f>(1-Summary!$B$11)*T1348+Summary!$B$11*V1348</f>
        <v/>
      </c>
      <c r="P1348">
        <f>IF(B1372=0,0,O1348/B1372)</f>
        <v/>
      </c>
      <c r="Q1348">
        <f>IFERROR(1/IF(Inputs!$B$39="pvp",15,MAX(0.1,Skills!D15-IF(TRUE=TRUE,Inputs!$B$33,0))),0)</f>
        <v/>
      </c>
      <c r="R1348">
        <f>IF(AND(Inputs!$B$39&lt;&gt;"pvp",Inputs!$B$44&gt;0),IF(Inputs!$B$44&lt;=0,0,(INT(Inputs!$B$44/IF(Inputs!$B$39="pvp",15,MAX(0.1,Skills!D15-IF(TRUE=TRUE,Inputs!$B$33,0))))+1)),0)</f>
        <v/>
      </c>
      <c r="S1348">
        <f>IFERROR(O1348/N1348,0)</f>
        <v/>
      </c>
      <c r="T1348" t="n">
        <v>0</v>
      </c>
      <c r="V1348" t="n">
        <v>0</v>
      </c>
    </row>
    <row r="1349">
      <c r="A1349">
        <f>Skills!A16</f>
        <v/>
      </c>
      <c r="B1349">
        <f>Skills!B16</f>
        <v/>
      </c>
      <c r="C1349">
        <f>Inputs!$B$3&gt;=45</f>
        <v/>
      </c>
      <c r="D1349">
        <f>IF(Skills!C16=1,60+Inputs!$B$26+Inputs!$B$30,IF(Skills!C16=2,90+Inputs!$B$27+Inputs!$B$30,IF(Skills!C16=3,120+Inputs!$B$28+Inputs!$B$30,MAX(0,(Inputs!$B$3-100)*3)+Inputs!$B$29+Inputs!$B$30)))</f>
        <v/>
      </c>
      <c r="E1349">
        <f>INDEX(FactorTable!$B$2:$Y$301, MATCH(ROUND(MIN(300,MAX(1,D1349)),0), FactorTable!$A$2:$A$301,0), Skills!M16+1)</f>
        <v/>
      </c>
      <c r="F1349">
        <f>IF(Skills!N16=TRUE,(Skills!L16/10)*(E1349/1000),Skills!L16/10)+Skills!O16</f>
        <v/>
      </c>
      <c r="G1349">
        <f>Skills!G16*IF(Skills!H16&gt;0,INT(IF(Inputs!$B$39="pvp",MIN(Skills!I16,15),Skills!I16)/Skills!H16+0.000000001),1)</f>
        <v/>
      </c>
      <c r="H1349">
        <f>1-(1-Skills!J16/100)^Skills!K16</f>
        <v/>
      </c>
      <c r="I1349" t="inlineStr">
        <is>
          <t>1</t>
        </is>
      </c>
      <c r="J1349" t="inlineStr"/>
      <c r="K1349" t="inlineStr"/>
      <c r="L1349" t="inlineStr"/>
      <c r="M1349" t="inlineStr"/>
      <c r="N1349" t="inlineStr"/>
      <c r="O1349">
        <f>(1-Summary!$B$11)*T1349+Summary!$B$11*V1349</f>
        <v/>
      </c>
      <c r="P1349">
        <f>IF(B1372=0,0,O1349/B1372)</f>
        <v/>
      </c>
      <c r="Q1349">
        <f>IFERROR(1/IF(Inputs!$B$39="pvp",15,MAX(0.1,Skills!D16-IF(TRUE=TRUE,Inputs!$B$33,0))),0)</f>
        <v/>
      </c>
      <c r="R1349">
        <f>IF(AND(Inputs!$B$39&lt;&gt;"pvp",Inputs!$B$44&gt;0),IF(Inputs!$B$44&lt;=0,0,(INT(Inputs!$B$44/IF(Inputs!$B$39="pvp",15,MAX(0.1,Skills!D16-IF(TRUE=TRUE,Inputs!$B$33,0))))+1)),0)</f>
        <v/>
      </c>
      <c r="S1349">
        <f>IFERROR(O1349/N1349,0)</f>
        <v/>
      </c>
      <c r="T1349" t="n">
        <v>0</v>
      </c>
      <c r="V1349" t="n">
        <v>0</v>
      </c>
    </row>
    <row r="1350">
      <c r="A1350">
        <f>Skills!A17</f>
        <v/>
      </c>
      <c r="B1350">
        <f>Skills!B17</f>
        <v/>
      </c>
      <c r="C1350">
        <f>Inputs!$B$3&gt;=35</f>
        <v/>
      </c>
      <c r="D1350">
        <f>IF(Skills!C17=1,60+Inputs!$B$26+Inputs!$B$30,IF(Skills!C17=2,90+Inputs!$B$27+Inputs!$B$30,IF(Skills!C17=3,120+Inputs!$B$28+Inputs!$B$30,MAX(0,(Inputs!$B$3-100)*3)+Inputs!$B$29+Inputs!$B$30)))</f>
        <v/>
      </c>
      <c r="E1350">
        <f>INDEX(FactorTable!$B$2:$Y$301, MATCH(ROUND(MIN(300,MAX(1,D1350)),0), FactorTable!$A$2:$A$301,0), Skills!M17+1)</f>
        <v/>
      </c>
      <c r="F1350">
        <f>IF(Skills!N17=TRUE,(Skills!L17/10)*(E1350/1000),Skills!L17/10)+Skills!O17</f>
        <v/>
      </c>
      <c r="G1350">
        <f>Skills!G17*IF(Skills!H17&gt;0,INT(IF(Inputs!$B$39="pvp",MIN(Skills!I17,15),Skills!I17)/Skills!H17+0.000000001),1)</f>
        <v/>
      </c>
      <c r="H1350">
        <f>1-(1-Skills!J17/100)^Skills!K17</f>
        <v/>
      </c>
      <c r="I1350" t="inlineStr">
        <is>
          <t>1</t>
        </is>
      </c>
      <c r="J1350" t="inlineStr"/>
      <c r="K1350" t="inlineStr"/>
      <c r="L1350" t="inlineStr"/>
      <c r="M1350" t="inlineStr"/>
      <c r="N1350" t="inlineStr"/>
      <c r="O1350">
        <f>(1-Summary!$B$11)*T1350+Summary!$B$11*V1350</f>
        <v/>
      </c>
      <c r="P1350">
        <f>IF(B1372=0,0,O1350/B1372)</f>
        <v/>
      </c>
      <c r="Q1350">
        <f>IFERROR(1/IF(Inputs!$B$39="pvp",15,MAX(0.1,Skills!D17-IF(TRUE=TRUE,Inputs!$B$33,0))),0)</f>
        <v/>
      </c>
      <c r="R1350">
        <f>IF(AND(Inputs!$B$39&lt;&gt;"pvp",Inputs!$B$44&gt;0),IF(Inputs!$B$44&lt;=0,0,(INT(Inputs!$B$44/IF(Inputs!$B$39="pvp",15,MAX(0.1,Skills!D17-IF(TRUE=TRUE,Inputs!$B$33,0))))+1)),0)</f>
        <v/>
      </c>
      <c r="S1350">
        <f>IFERROR(O1350/N1350,0)</f>
        <v/>
      </c>
      <c r="T1350" t="n">
        <v>0</v>
      </c>
      <c r="V1350" t="n">
        <v>0</v>
      </c>
    </row>
    <row r="1351">
      <c r="A1351">
        <f>Skills!A18</f>
        <v/>
      </c>
      <c r="B1351">
        <f>Skills!B18</f>
        <v/>
      </c>
      <c r="C1351">
        <f>Inputs!$B$3&gt;=72</f>
        <v/>
      </c>
      <c r="D1351">
        <f>IF(Skills!C18=1,60+Inputs!$B$26+Inputs!$B$30,IF(Skills!C18=2,90+Inputs!$B$27+Inputs!$B$30,IF(Skills!C18=3,120+Inputs!$B$28+Inputs!$B$30,MAX(0,(Inputs!$B$3-100)*3)+Inputs!$B$29+Inputs!$B$30)))</f>
        <v/>
      </c>
      <c r="E1351">
        <f>INDEX(FactorTable!$B$2:$Y$301, MATCH(ROUND(MIN(300,MAX(1,D1351)),0), FactorTable!$A$2:$A$301,0), Skills!M18+1)</f>
        <v/>
      </c>
      <c r="F1351">
        <f>IF(Skills!N18=TRUE,(Skills!L18/10)*(E1351/1000),Skills!L18/10)+Skills!O18</f>
        <v/>
      </c>
      <c r="G1351">
        <f>Skills!G18*IF(Skills!H18&gt;0,INT(IF(Inputs!$B$39="pvp",MIN(Skills!I18,15),Skills!I18)/Skills!H18+0.000000001),1)</f>
        <v/>
      </c>
      <c r="H1351">
        <f>1-(1-Skills!J18/100)^Skills!K18</f>
        <v/>
      </c>
      <c r="I1351" t="inlineStr">
        <is>
          <t>1</t>
        </is>
      </c>
      <c r="J1351" t="inlineStr"/>
      <c r="K1351" t="inlineStr"/>
      <c r="L1351" t="inlineStr"/>
      <c r="M1351" t="inlineStr"/>
      <c r="N1351" t="inlineStr"/>
      <c r="O1351">
        <f>(1-Summary!$B$11)*T1351+Summary!$B$11*V1351</f>
        <v/>
      </c>
      <c r="P1351">
        <f>IF(B1372=0,0,O1351/B1372)</f>
        <v/>
      </c>
      <c r="Q1351">
        <f>IFERROR(1/IF(Inputs!$B$39="pvp",15,MAX(0.1,Skills!D18-IF(TRUE=TRUE,Inputs!$B$33,0))),0)</f>
        <v/>
      </c>
      <c r="R1351">
        <f>IF(AND(Inputs!$B$39&lt;&gt;"pvp",Inputs!$B$44&gt;0),IF(Inputs!$B$44&lt;=0,0,(INT(Inputs!$B$44/IF(Inputs!$B$39="pvp",15,MAX(0.1,Skills!D18-IF(TRUE=TRUE,Inputs!$B$33,0))))+1)),0)</f>
        <v/>
      </c>
      <c r="S1351">
        <f>IFERROR(O1351/N1351,0)</f>
        <v/>
      </c>
      <c r="T1351" t="n">
        <v>0</v>
      </c>
      <c r="V1351" t="n">
        <v>0</v>
      </c>
    </row>
    <row r="1352">
      <c r="A1352">
        <f>Skills!A19</f>
        <v/>
      </c>
      <c r="B1352">
        <f>Skills!B19</f>
        <v/>
      </c>
      <c r="C1352">
        <f>Inputs!$B$3&gt;=72</f>
        <v/>
      </c>
      <c r="D1352">
        <f>IF(Skills!C19=1,60+Inputs!$B$26+Inputs!$B$30,IF(Skills!C19=2,90+Inputs!$B$27+Inputs!$B$30,IF(Skills!C19=3,120+Inputs!$B$28+Inputs!$B$30,MAX(0,(Inputs!$B$3-100)*3)+Inputs!$B$29+Inputs!$B$30)))</f>
        <v/>
      </c>
      <c r="E1352">
        <f>INDEX(FactorTable!$B$2:$Y$301, MATCH(ROUND(MIN(300,MAX(1,D1352)),0), FactorTable!$A$2:$A$301,0), Skills!M19+1)</f>
        <v/>
      </c>
      <c r="F1352">
        <f>IF(Skills!N19=TRUE,(Skills!L19/10)*(E1352/1000),Skills!L19/10)+Skills!O19</f>
        <v/>
      </c>
      <c r="G1352">
        <f>Skills!G19*IF(Skills!H19&gt;0,INT(IF(Inputs!$B$39="pvp",MIN(Skills!I19,15),Skills!I19)/Skills!H19+0.000000001),1)</f>
        <v/>
      </c>
      <c r="H1352">
        <f>1-(1-Skills!J19/100)^Skills!K19</f>
        <v/>
      </c>
      <c r="I1352" t="inlineStr">
        <is>
          <t>1</t>
        </is>
      </c>
      <c r="J1352" t="inlineStr"/>
      <c r="K1352" t="inlineStr"/>
      <c r="L1352" t="inlineStr"/>
      <c r="M1352" t="inlineStr"/>
      <c r="N1352" t="inlineStr"/>
      <c r="O1352">
        <f>(1-Summary!$B$11)*T1352+Summary!$B$11*V1352</f>
        <v/>
      </c>
      <c r="P1352">
        <f>IF(B1372=0,0,O1352/B1372)</f>
        <v/>
      </c>
      <c r="Q1352">
        <f>IFERROR(1/IF(Inputs!$B$39="pvp",15,MAX(0.1,Skills!D19-IF(TRUE=TRUE,Inputs!$B$33,0))),0)</f>
        <v/>
      </c>
      <c r="R1352">
        <f>IF(AND(Inputs!$B$39&lt;&gt;"pvp",Inputs!$B$44&gt;0),IF(Inputs!$B$44&lt;=0,0,(INT(Inputs!$B$44/IF(Inputs!$B$39="pvp",15,MAX(0.1,Skills!D19-IF(TRUE=TRUE,Inputs!$B$33,0))))+1)),0)</f>
        <v/>
      </c>
      <c r="S1352">
        <f>IFERROR(O1352/N1352,0)</f>
        <v/>
      </c>
      <c r="T1352" t="n">
        <v>0</v>
      </c>
      <c r="V1352" t="n">
        <v>0</v>
      </c>
    </row>
    <row r="1353">
      <c r="A1353">
        <f>Skills!A20</f>
        <v/>
      </c>
      <c r="B1353">
        <f>Skills!B20</f>
        <v/>
      </c>
      <c r="C1353">
        <f>TRUE</f>
        <v/>
      </c>
      <c r="D1353">
        <f>IF(Skills!C20=1,60+Inputs!$B$26+Inputs!$B$30,IF(Skills!C20=2,90+Inputs!$B$27+Inputs!$B$30,IF(Skills!C20=3,120+Inputs!$B$28+Inputs!$B$30,MAX(0,(Inputs!$B$3-100)*3)+Inputs!$B$29+Inputs!$B$30)))</f>
        <v/>
      </c>
      <c r="E1353">
        <f>INDEX(FactorTable!$B$2:$Y$301, MATCH(ROUND(MIN(300,MAX(1,D1353)),0), FactorTable!$A$2:$A$301,0), Skills!M20+1)</f>
        <v/>
      </c>
      <c r="F1353">
        <f>IF(Skills!N20=TRUE,(Skills!L20/10)*(E1353/1000),Skills!L20/10)+Skills!O20</f>
        <v/>
      </c>
      <c r="G1353">
        <f>Skills!G20*IF(Skills!H20&gt;0,INT(IF(Inputs!$B$39="pvp",MIN(Skills!I20,15),Skills!I20)/Skills!H20+0.000000001),1)</f>
        <v/>
      </c>
      <c r="H1353">
        <f>1-(1-Skills!J20/100)^Skills!K20</f>
        <v/>
      </c>
      <c r="I1353" t="inlineStr">
        <is>
          <t>1</t>
        </is>
      </c>
      <c r="J1353" t="inlineStr"/>
      <c r="K1353" t="inlineStr"/>
      <c r="L1353" t="inlineStr"/>
      <c r="M1353" t="inlineStr"/>
      <c r="N1353" t="inlineStr"/>
      <c r="O1353">
        <f>(1-Summary!$B$11)*T1353+Summary!$B$11*V1353</f>
        <v/>
      </c>
      <c r="P1353">
        <f>IF(B1372=0,0,O1353/B1372)</f>
        <v/>
      </c>
      <c r="Q1353">
        <f>IFERROR(1/IF(Inputs!$B$39="pvp",15,MAX(0.1,Skills!D20-IF(TRUE=TRUE,Inputs!$B$33,0))),0)</f>
        <v/>
      </c>
      <c r="R1353">
        <f>IF(AND(Inputs!$B$39&lt;&gt;"pvp",Inputs!$B$44&gt;0),IF(Inputs!$B$44&lt;=0,0,(INT(Inputs!$B$44/IF(Inputs!$B$39="pvp",15,MAX(0.1,Skills!D20-IF(TRUE=TRUE,Inputs!$B$33,0))))+1)),0)</f>
        <v/>
      </c>
      <c r="S1353">
        <f>IFERROR(O1353/N1353,0)</f>
        <v/>
      </c>
      <c r="T1353" t="n">
        <v>0</v>
      </c>
      <c r="V1353" t="n">
        <v>0</v>
      </c>
    </row>
    <row r="1354">
      <c r="A1354">
        <f>Skills!A21</f>
        <v/>
      </c>
      <c r="B1354">
        <f>Skills!B21</f>
        <v/>
      </c>
      <c r="C1354">
        <f>Inputs!$B$3&gt;=33</f>
        <v/>
      </c>
      <c r="D1354">
        <f>IF(Skills!C21=1,60+Inputs!$B$26+Inputs!$B$30,IF(Skills!C21=2,90+Inputs!$B$27+Inputs!$B$30,IF(Skills!C21=3,120+Inputs!$B$28+Inputs!$B$30,MAX(0,(Inputs!$B$3-100)*3)+Inputs!$B$29+Inputs!$B$30)))</f>
        <v/>
      </c>
      <c r="E1354">
        <f>INDEX(FactorTable!$B$2:$Y$301, MATCH(ROUND(MIN(300,MAX(1,D1354)),0), FactorTable!$A$2:$A$301,0), Skills!M21+1)</f>
        <v/>
      </c>
      <c r="F1354">
        <f>IF(Skills!N21=TRUE,(Skills!L21/10)*(E1354/1000),Skills!L21/10)+Skills!O21</f>
        <v/>
      </c>
      <c r="G1354">
        <f>Skills!G21*IF(Skills!H21&gt;0,INT(IF(Inputs!$B$39="pvp",MIN(Skills!I21,15),Skills!I21)/Skills!H21+0.000000001),1)</f>
        <v/>
      </c>
      <c r="H1354">
        <f>1-(1-Skills!J21/100)^Skills!K21</f>
        <v/>
      </c>
      <c r="I1354" t="inlineStr">
        <is>
          <t>1</t>
        </is>
      </c>
      <c r="J1354" t="inlineStr"/>
      <c r="K1354" t="inlineStr"/>
      <c r="L1354" t="inlineStr"/>
      <c r="M1354" t="inlineStr"/>
      <c r="N1354" t="inlineStr"/>
      <c r="O1354">
        <f>(1-Summary!$B$11)*T1354+Summary!$B$11*V1354</f>
        <v/>
      </c>
      <c r="P1354">
        <f>IF(B1372=0,0,O1354/B1372)</f>
        <v/>
      </c>
      <c r="Q1354" t="n">
        <v>0</v>
      </c>
      <c r="R1354" t="n">
        <v>0</v>
      </c>
      <c r="S1354">
        <f>IFERROR(O1354/N1354,0)</f>
        <v/>
      </c>
      <c r="T1354" t="n">
        <v>0</v>
      </c>
      <c r="V1354" t="n">
        <v>0</v>
      </c>
    </row>
    <row r="1355">
      <c r="A1355">
        <f>Skills!A22</f>
        <v/>
      </c>
      <c r="B1355">
        <f>Skills!B22</f>
        <v/>
      </c>
      <c r="C1355">
        <f>Inputs!$B$3&gt;=43</f>
        <v/>
      </c>
      <c r="D1355">
        <f>IF(Skills!C22=1,60+Inputs!$B$26+Inputs!$B$30,IF(Skills!C22=2,90+Inputs!$B$27+Inputs!$B$30,IF(Skills!C22=3,120+Inputs!$B$28+Inputs!$B$30,MAX(0,(Inputs!$B$3-100)*3)+Inputs!$B$29+Inputs!$B$30)))</f>
        <v/>
      </c>
      <c r="E1355">
        <f>INDEX(FactorTable!$B$2:$Y$301, MATCH(ROUND(MIN(300,MAX(1,D1355)),0), FactorTable!$A$2:$A$301,0), Skills!M22+1)</f>
        <v/>
      </c>
      <c r="F1355">
        <f>IF(Skills!N22=TRUE,(Skills!L22/10)*(E1355/1000),Skills!L22/10)+Skills!O22</f>
        <v/>
      </c>
      <c r="G1355">
        <f>Skills!G22*IF(Skills!H22&gt;0,INT(IF(Inputs!$B$39="pvp",MIN(Skills!I22,15),Skills!I22)/Skills!H22+0.000000001),1)</f>
        <v/>
      </c>
      <c r="H1355">
        <f>1-(1-Skills!J22/100)^Skills!K22</f>
        <v/>
      </c>
      <c r="I1355" t="inlineStr">
        <is>
          <t>1</t>
        </is>
      </c>
      <c r="J1355" t="inlineStr"/>
      <c r="K1355" t="inlineStr"/>
      <c r="L1355" t="inlineStr"/>
      <c r="M1355" t="inlineStr"/>
      <c r="N1355" t="inlineStr"/>
      <c r="O1355">
        <f>(1-Summary!$B$11)*T1355+Summary!$B$11*V1355</f>
        <v/>
      </c>
      <c r="P1355">
        <f>IF(B1372=0,0,O1355/B1372)</f>
        <v/>
      </c>
      <c r="Q1355" t="n">
        <v>0</v>
      </c>
      <c r="R1355" t="n">
        <v>0</v>
      </c>
      <c r="S1355">
        <f>IFERROR(O1355/N1355,0)</f>
        <v/>
      </c>
      <c r="T1355" t="n">
        <v>0</v>
      </c>
      <c r="V1355" t="n">
        <v>0</v>
      </c>
    </row>
    <row r="1356">
      <c r="A1356">
        <f>Skills!A23</f>
        <v/>
      </c>
      <c r="B1356">
        <f>Skills!B23</f>
        <v/>
      </c>
      <c r="C1356">
        <f>Inputs!$B$3&gt;=120</f>
        <v/>
      </c>
      <c r="D1356">
        <f>IF(Skills!C23=1,60+Inputs!$B$26+Inputs!$B$30,IF(Skills!C23=2,90+Inputs!$B$27+Inputs!$B$30,IF(Skills!C23=3,120+Inputs!$B$28+Inputs!$B$30,MAX(0,(Inputs!$B$3-100)*3)+Inputs!$B$29+Inputs!$B$30)))</f>
        <v/>
      </c>
      <c r="E1356">
        <f>INDEX(FactorTable!$B$2:$Y$301, MATCH(ROUND(MIN(300,MAX(1,D1356)),0), FactorTable!$A$2:$A$301,0), Skills!M23+1)</f>
        <v/>
      </c>
      <c r="F1356">
        <f>IF(Skills!N23=TRUE,(Skills!L23/10)*(E1356/1000),Skills!L23/10)+Skills!O23</f>
        <v/>
      </c>
      <c r="G1356">
        <f>Skills!G23*IF(Skills!H23&gt;0,INT(IF(Inputs!$B$39="pvp",MIN(Skills!I23,15),Skills!I23)/Skills!H23+0.000000001),1)</f>
        <v/>
      </c>
      <c r="H1356">
        <f>1-(1-Skills!J23/100)^Skills!K23</f>
        <v/>
      </c>
      <c r="I1356" t="inlineStr">
        <is>
          <t>1</t>
        </is>
      </c>
      <c r="J1356" t="inlineStr"/>
      <c r="K1356" t="inlineStr"/>
      <c r="L1356" t="inlineStr"/>
      <c r="M1356" t="inlineStr"/>
      <c r="N1356" t="inlineStr"/>
      <c r="O1356">
        <f>(1-Summary!$B$11)*T1356+Summary!$B$11*V1356</f>
        <v/>
      </c>
      <c r="P1356">
        <f>IF(B1372=0,0,O1356/B1372)</f>
        <v/>
      </c>
      <c r="Q1356" t="n">
        <v>0</v>
      </c>
      <c r="R1356" t="n">
        <v>0</v>
      </c>
      <c r="S1356">
        <f>IFERROR(O1356/N1356,0)</f>
        <v/>
      </c>
      <c r="T1356" t="n">
        <v>0</v>
      </c>
      <c r="V1356" t="n">
        <v>0</v>
      </c>
    </row>
    <row r="1357">
      <c r="A1357">
        <f>Skills!A24</f>
        <v/>
      </c>
      <c r="B1357">
        <f>Skills!B24</f>
        <v/>
      </c>
      <c r="C1357">
        <f>Inputs!$B$3&gt;=120</f>
        <v/>
      </c>
      <c r="D1357">
        <f>IF(Skills!C24=1,60+Inputs!$B$26+Inputs!$B$30,IF(Skills!C24=2,90+Inputs!$B$27+Inputs!$B$30,IF(Skills!C24=3,120+Inputs!$B$28+Inputs!$B$30,MAX(0,(Inputs!$B$3-100)*3)+Inputs!$B$29+Inputs!$B$30)))</f>
        <v/>
      </c>
      <c r="E1357">
        <f>INDEX(FactorTable!$B$2:$Y$301, MATCH(ROUND(MIN(300,MAX(1,D1357)),0), FactorTable!$A$2:$A$301,0), Skills!M24+1)</f>
        <v/>
      </c>
      <c r="F1357">
        <f>IF(Skills!N24=TRUE,(Skills!L24/10)*(E1357/1000),Skills!L24/10)+Skills!O24</f>
        <v/>
      </c>
      <c r="G1357">
        <f>Skills!G24*IF(Skills!H24&gt;0,INT(IF(Inputs!$B$39="pvp",MIN(Skills!I24,15),Skills!I24)/Skills!H24+0.000000001),1)</f>
        <v/>
      </c>
      <c r="H1357">
        <f>1-(1-Skills!J24/100)^Skills!K24</f>
        <v/>
      </c>
      <c r="I1357" t="inlineStr">
        <is>
          <t>1</t>
        </is>
      </c>
      <c r="J1357" t="inlineStr"/>
      <c r="K1357" t="inlineStr"/>
      <c r="L1357" t="inlineStr"/>
      <c r="M1357" t="inlineStr"/>
      <c r="N1357" t="inlineStr"/>
      <c r="O1357">
        <f>(1-Summary!$B$11)*T1357+Summary!$B$11*V1357</f>
        <v/>
      </c>
      <c r="P1357">
        <f>IF(B1372=0,0,O1357/B1372)</f>
        <v/>
      </c>
      <c r="Q1357" t="n">
        <v>0</v>
      </c>
      <c r="R1357" t="n">
        <v>0</v>
      </c>
      <c r="S1357">
        <f>IFERROR(O1357/N1357,0)</f>
        <v/>
      </c>
      <c r="T1357" t="n">
        <v>0</v>
      </c>
      <c r="V1357" t="n">
        <v>0</v>
      </c>
    </row>
    <row r="1358">
      <c r="A1358">
        <f>Skills!A25</f>
        <v/>
      </c>
      <c r="B1358">
        <f>Skills!B25</f>
        <v/>
      </c>
      <c r="C1358">
        <f>Inputs!$B$3&gt;=125</f>
        <v/>
      </c>
      <c r="D1358">
        <f>IF(Skills!C25=1,60+Inputs!$B$26+Inputs!$B$30,IF(Skills!C25=2,90+Inputs!$B$27+Inputs!$B$30,IF(Skills!C25=3,120+Inputs!$B$28+Inputs!$B$30,MAX(0,(Inputs!$B$3-100)*3)+Inputs!$B$29+Inputs!$B$30)))</f>
        <v/>
      </c>
      <c r="E1358">
        <f>INDEX(FactorTable!$B$2:$Y$301, MATCH(ROUND(MIN(300,MAX(1,D1358)),0), FactorTable!$A$2:$A$301,0), Skills!M25+1)</f>
        <v/>
      </c>
      <c r="F1358">
        <f>IF(Skills!N25=TRUE,(Skills!L25/10)*(E1358/1000),Skills!L25/10)+Skills!O25</f>
        <v/>
      </c>
      <c r="G1358">
        <f>Skills!G25*IF(Skills!H25&gt;0,INT(IF(Inputs!$B$39="pvp",MIN(Skills!I25,15),Skills!I25)/Skills!H25+0.000000001),1)</f>
        <v/>
      </c>
      <c r="H1358">
        <f>1-(1-Skills!J25/100)^Skills!K25</f>
        <v/>
      </c>
      <c r="I1358" t="inlineStr">
        <is>
          <t>1</t>
        </is>
      </c>
      <c r="J1358" t="inlineStr"/>
      <c r="K1358" t="inlineStr"/>
      <c r="L1358" t="inlineStr"/>
      <c r="M1358" t="inlineStr"/>
      <c r="N1358" t="inlineStr"/>
      <c r="O1358">
        <f>(1-Summary!$B$11)*T1358+Summary!$B$11*V1358</f>
        <v/>
      </c>
      <c r="P1358">
        <f>IF(B1372=0,0,O1358/B1372)</f>
        <v/>
      </c>
      <c r="Q1358" t="n">
        <v>0</v>
      </c>
      <c r="R1358" t="n">
        <v>0</v>
      </c>
      <c r="S1358">
        <f>IFERROR(O1358/N1358,0)</f>
        <v/>
      </c>
      <c r="T1358" t="n">
        <v>0</v>
      </c>
      <c r="V1358" t="n">
        <v>0</v>
      </c>
    </row>
    <row r="1359">
      <c r="A1359">
        <f>Skills!A26</f>
        <v/>
      </c>
      <c r="B1359">
        <f>Skills!B26</f>
        <v/>
      </c>
      <c r="C1359">
        <f>Inputs!$B$3&gt;=107</f>
        <v/>
      </c>
      <c r="D1359">
        <f>IF(Skills!C26=1,60+Inputs!$B$26+Inputs!$B$30,IF(Skills!C26=2,90+Inputs!$B$27+Inputs!$B$30,IF(Skills!C26=3,120+Inputs!$B$28+Inputs!$B$30,MAX(0,(Inputs!$B$3-100)*3)+Inputs!$B$29+Inputs!$B$30)))</f>
        <v/>
      </c>
      <c r="E1359">
        <f>INDEX(FactorTable!$B$2:$Y$301, MATCH(ROUND(MIN(300,MAX(1,D1359)),0), FactorTable!$A$2:$A$301,0), Skills!M26+1)</f>
        <v/>
      </c>
      <c r="F1359">
        <f>IF(Skills!N26=TRUE,(Skills!L26/10)*(E1359/1000),Skills!L26/10)+Skills!O26</f>
        <v/>
      </c>
      <c r="G1359">
        <f>Skills!G26*IF(Skills!H26&gt;0,INT(IF(Inputs!$B$39="pvp",MIN(Skills!I26,15),Skills!I26)/Skills!H26+0.000000001),1)</f>
        <v/>
      </c>
      <c r="H1359">
        <f>1-(1-Skills!J26/100)^Skills!K26</f>
        <v/>
      </c>
      <c r="I1359" t="inlineStr">
        <is>
          <t>1</t>
        </is>
      </c>
      <c r="J1359" t="inlineStr"/>
      <c r="K1359" t="inlineStr"/>
      <c r="L1359" t="inlineStr"/>
      <c r="M1359" t="inlineStr"/>
      <c r="N1359" t="inlineStr"/>
      <c r="O1359">
        <f>(1-Summary!$B$11)*T1359+Summary!$B$11*V1359</f>
        <v/>
      </c>
      <c r="P1359">
        <f>IF(B1372=0,0,O1359/B1372)</f>
        <v/>
      </c>
      <c r="Q1359" t="n">
        <v>0</v>
      </c>
      <c r="R1359" t="n">
        <v>0</v>
      </c>
      <c r="S1359">
        <f>IFERROR(O1359/N1359,0)</f>
        <v/>
      </c>
      <c r="T1359" t="n">
        <v>0</v>
      </c>
      <c r="V1359" t="n">
        <v>0</v>
      </c>
    </row>
    <row r="1361">
      <c r="A1361" t="inlineStr">
        <is>
          <t>Attack% Bucket Multiplier</t>
        </is>
      </c>
      <c r="B1361">
        <f>(1+(((C1346=TRUE)*F1346*IF(AND(Inputs!$B$39&lt;&gt;"pvp",Inputs!$B$44&gt;0),(((R1346-1)*MIN((Skills!T13*(1+Inputs!$B$35/100)),(1/Q1346))+MIN((Skills!T13*(1+Inputs!$B$35/100)),MAX(0,Inputs!$B$44-((R1346-1)*(1/Q1346)))))/Inputs!$B$44),IF(Inputs!$B$39="pvp",MIN((Skills!T13*(1+Inputs!$B$35/100)),15)/15,MIN(1,(Skills!T13*(1+Inputs!$B$35/100))/(1/Q1346)))))+((C1347=TRUE)*F1347*IF(AND(Inputs!$B$39&lt;&gt;"pvp",Inputs!$B$44&gt;0),(((R1347-1)*MIN((Skills!T14*(1+Inputs!$B$35/100)),(1/Q1347))+MIN((Skills!T14*(1+Inputs!$B$35/100)),MAX(0,Inputs!$B$44-((R1347-1)*(1/Q1347)))))/Inputs!$B$44),IF(Inputs!$B$39="pvp",MIN((Skills!T14*(1+Inputs!$B$35/100)),15)/15,MIN(1,(Skills!T14*(1+Inputs!$B$35/100))/(1/Q1347)))))+((C1348=TRUE)*F1348*IF(AND(Inputs!$B$39&lt;&gt;"pvp",Inputs!$B$44&gt;0),(((R1348-1)*MIN((Skills!T15*(1+Inputs!$B$35/100)),(1/Q1348))+MIN((Skills!T15*(1+Inputs!$B$35/100)),MAX(0,Inputs!$B$44-((R1348-1)*(1/Q1348)))))/Inputs!$B$44),IF(Inputs!$B$39="pvp",MIN((Skills!T15*(1+Inputs!$B$35/100)),15)/15,MIN(1,(Skills!T15*(1+Inputs!$B$35/100))/(1/Q1348)))))+((C1349=TRUE)*F1349*IF(AND(Inputs!$B$39&lt;&gt;"pvp",Inputs!$B$44&gt;0),(((R1349-1)*MIN((Skills!T16*(1+Inputs!$B$35/100)),(1/Q1349))+MIN((Skills!T16*(1+Inputs!$B$35/100)),MAX(0,Inputs!$B$44-((R1349-1)*(1/Q1349)))))/Inputs!$B$44),IF(Inputs!$B$39="pvp",MIN((Skills!T16*(1+Inputs!$B$35/100)),15)/15,MIN(1,(Skills!T16*(1+Inputs!$B$35/100))/(1/Q1349)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1362">
      <c r="A1362" t="inlineStr">
        <is>
          <t>Global Crit Rate Bonus % (Lord of Darkness)</t>
        </is>
      </c>
      <c r="B1362">
        <f>((C1351=TRUE)*F1351*(Skills!J18/100)*IF(AND(Inputs!$B$39&lt;&gt;"pvp",Inputs!$B$44&gt;0),(((R1351-1)*MIN((Skills!T18*(1+Inputs!$B$35/100)),(1/Q1351))+MIN((Skills!T18*(1+Inputs!$B$35/100)),MAX(0,Inputs!$B$44-((R1351-1)*(1/Q1351)))))/Inputs!$B$44),IF(Inputs!$B$39="pvp",MIN((Skills!T18*(1+Inputs!$B$35/100)),15)/15,MIN(1,(Skills!T18*(1+Inputs!$B$35/100))/(1/Q1351)))))</f>
        <v/>
      </c>
    </row>
    <row r="1363">
      <c r="A1363" t="inlineStr">
        <is>
          <t>Attack Speed Buff Bonus %</t>
        </is>
      </c>
      <c r="B1363">
        <f>((C1353=TRUE)*F1353*IF(AND(Inputs!$B$39&lt;&gt;"pvp",Inputs!$B$44&gt;0),(((R1353-1)*MIN((Skills!T20*(1+Inputs!$B$35/100)),(1/Q1353))+MIN((Skills!T20*(1+Inputs!$B$35/100)),MAX(0,Inputs!$B$44-((R1353-1)*(1/Q1353)))))/Inputs!$B$44),IF(Inputs!$B$39="pvp",MIN((Skills!T20*(1+Inputs!$B$35/100)),15)/15,MIN(1,(Skills!T20*(1+Inputs!$B$35/100))/(1/Q1353)))))</f>
        <v/>
      </c>
    </row>
    <row r="1364">
      <c r="A1364" t="inlineStr">
        <is>
          <t>Actions Per Second</t>
        </is>
      </c>
      <c r="B1364">
        <f>1+MIN(150,150*(1-(1-(Inputs!$B$12+((C1354=TRUE)*(F1354-Calc!F21)))/150)*(1-B1363/150)))/100</f>
        <v/>
      </c>
    </row>
    <row r="1365">
      <c r="A1365" t="inlineStr">
        <is>
          <t>Skill + Buff Cast Rate</t>
        </is>
      </c>
      <c r="B1365">
        <f>IF(AND(Inputs!$B$39&lt;&gt;"pvp",Inputs!$B$44&gt;0),SUMPRODUCT((Skills!E2:E26=TRUE)*(C1335:C1359=TRUE)*R1335:R1359*Skills!F2:F26)/Inputs!$B$44,SUMPRODUCT((Skills!E2:E26=TRUE)*(C1335:C1359=TRUE)*Q1335:Q1359*Skills!F2:F26))</f>
        <v/>
      </c>
    </row>
    <row r="1366">
      <c r="A1366" t="inlineStr">
        <is>
          <t>Dark Impale Casts Per Second</t>
        </is>
      </c>
      <c r="B1366">
        <f>MAX(0,B1364-B1365)</f>
        <v/>
      </c>
    </row>
    <row r="1367">
      <c r="A1367" t="inlineStr">
        <is>
          <t>Global Critical Damage Bonus % (Lord of Darkness)</t>
        </is>
      </c>
      <c r="B1367">
        <f>((C1352=TRUE)*F1352*(Skills!J19/100)*IF(AND(Inputs!$B$39&lt;&gt;"pvp",Inputs!$B$44&gt;0),(((R1352-1)*MIN((Skills!T19*(1+Inputs!$B$35/100)),(1/Q1352))+MIN((Skills!T19*(1+Inputs!$B$35/100)),MAX(0,Inputs!$B$44-((R1352-1)*(1/Q1352)))))/Inputs!$B$44),IF(Inputs!$B$39="pvp",MIN((Skills!T19*(1+Inputs!$B$35/100)),15)/15,MIN(1,(Skills!T19*(1+Inputs!$B$35/100))/(1/Q1352)))))</f>
        <v/>
      </c>
    </row>
    <row r="1368">
      <c r="A1368" t="inlineStr">
        <is>
          <t>Global Final Damage Bonus % (unused)</t>
        </is>
      </c>
      <c r="B1368" t="n">
        <v>0</v>
      </c>
    </row>
    <row r="1369">
      <c r="A1369" t="inlineStr">
        <is>
          <t>Buff-Casting Startup Delay (s, fixed-duration only)</t>
        </is>
      </c>
      <c r="B1369">
        <f>IF(AND(Inputs!$B$39&lt;&gt;"pvp",Inputs!$B$44&gt;0),SUMPRODUCT((Skills!T2:T26&gt;0)*(Skills!E2:E26=TRUE)*(C1335:C1359=TRUE))/B1364,0)</f>
        <v/>
      </c>
    </row>
    <row r="1370">
      <c r="A1370" t="inlineStr">
        <is>
          <t>Boss-Only Total DPS (this block's swept value)</t>
        </is>
      </c>
      <c r="B1370">
        <f>SUM(T1335:T1359)</f>
        <v/>
      </c>
    </row>
    <row r="1371">
      <c r="A1371" t="inlineStr">
        <is>
          <t>Normal-Only Total DPS (this block's swept value)</t>
        </is>
      </c>
      <c r="B1371">
        <f>SUM(V1335:V1359)</f>
        <v/>
      </c>
    </row>
    <row r="1372">
      <c r="A1372" s="6" t="inlineStr">
        <is>
          <t>TOTAL DPS</t>
        </is>
      </c>
      <c r="B1372" s="6">
        <f>SUM(O1335:O1359)</f>
        <v/>
      </c>
    </row>
    <row r="1375">
      <c r="A1375" s="6" t="inlineStr">
        <is>
          <t>Stat: The Contract of Darkness (Equip)</t>
        </is>
      </c>
    </row>
    <row r="1376">
      <c r="A1376" s="5" t="inlineStr">
        <is>
          <t>Key</t>
        </is>
      </c>
      <c r="B1376" s="5" t="inlineStr">
        <is>
          <t>Name</t>
        </is>
      </c>
      <c r="C1376" s="5" t="inlineStr">
        <is>
          <t>Unlocked</t>
        </is>
      </c>
      <c r="D1376" s="5" t="inlineStr">
        <is>
          <t>InputLevel</t>
        </is>
      </c>
      <c r="E1376" s="5" t="inlineStr">
        <is>
          <t>Factor</t>
        </is>
      </c>
      <c r="F1376" s="5" t="inlineStr">
        <is>
          <t>CoefficientPercent</t>
        </is>
      </c>
      <c r="G1376" s="5" t="inlineStr">
        <is>
          <t>EffectiveHits</t>
        </is>
      </c>
      <c r="H1376" s="5" t="inlineStr">
        <is>
          <t>ProcProbability</t>
        </is>
      </c>
      <c r="I1376" s="5" t="inlineStr">
        <is>
          <t>MapleHeroMultiplier</t>
        </is>
      </c>
      <c r="J1376" s="5" t="inlineStr">
        <is>
          <t>BaseDamage</t>
        </is>
      </c>
      <c r="K1376" s="5" t="inlineStr">
        <is>
          <t>BaseHitDamage</t>
        </is>
      </c>
      <c r="L1376" s="5" t="inlineStr">
        <is>
          <t>NonCritAvg</t>
        </is>
      </c>
      <c r="M1376" s="5" t="inlineStr">
        <is>
          <t>CritAvg</t>
        </is>
      </c>
      <c r="N1376" s="5" t="inlineStr">
        <is>
          <t>ExpectedDamage(perHit)</t>
        </is>
      </c>
      <c r="O1376" s="5" t="inlineStr">
        <is>
          <t>DPS</t>
        </is>
      </c>
      <c r="P1376" s="5" t="inlineStr">
        <is>
          <t>% of Total</t>
        </is>
      </c>
      <c r="Q1376" s="5" t="inlineStr">
        <is>
          <t>InvCooldown</t>
        </is>
      </c>
      <c r="R1376" s="5" t="inlineStr">
        <is>
          <t>CastsInFight</t>
        </is>
      </c>
      <c r="S1376" s="5" t="inlineStr">
        <is>
          <t>HitRate(perSec)</t>
        </is>
      </c>
      <c r="U1376" t="inlineStr">
        <is>
          <t>helpers</t>
        </is>
      </c>
    </row>
    <row r="1377">
      <c r="A1377">
        <f>Skills!A2</f>
        <v/>
      </c>
      <c r="B1377">
        <f>Skills!B2</f>
        <v/>
      </c>
      <c r="C1377">
        <f>Inputs!$B$3&gt;=100</f>
        <v/>
      </c>
      <c r="D1377" t="inlineStr"/>
      <c r="E1377" t="inlineStr"/>
      <c r="F1377">
        <f>U1379+Skills!O2</f>
        <v/>
      </c>
      <c r="G1377">
        <f>Skills!G2*IF(Skills!H2&gt;0,INT(IF(Inputs!$B$39="pvp",MIN(Skills!I2,15),Skills!I2)/Skills!H2+0.000000001),1)</f>
        <v/>
      </c>
      <c r="H1377">
        <f>1-(1-Skills!J2/100)^Skills!K2</f>
        <v/>
      </c>
      <c r="I1377" t="inlineStr">
        <is>
          <t>1</t>
        </is>
      </c>
      <c r="J1377">
        <f>((Inputs!$B$6*(1+Inputs!$B$7/100))+(((Inputs!$B$13*(1+Inputs!$B$14/100))-(Inputs!$B$13*(1+Inputs!$B$14/100)))+0.25*(Inputs!$B$15-Inputs!$B$15))*(1+Inputs!$B$7/100))*(F1377/100)</f>
        <v/>
      </c>
      <c r="K1377">
        <f>J1377*(1+(((Inputs!$B$13+IF(Inputs!$B$3&gt;=38,(10*INDEX(FactorTable!$B$2:$Y$301, MATCH(ROUND(MIN(300,MAX(1,Inputs!$B$3)),0), FactorTable!$A$2:$A$301,0), 23)/1000)/100*(Inputs!$B$8*(1+Inputs!$B$9/100)),0))*(1+Inputs!$B$14/100))*0.01+Inputs!$B$15*0.0025)/100)*(1+Inputs!$B$16/100)*(1+Inputs!$B$17/100)*(5000/(6000+Inputs!$B$43*(1-(Inputs!$B$20+0)/100)))*(1+(Inputs!$B$25+((C1400=TRUE)*(F1400-Calc!F25))+((C1401=TRUE)*(F1401-Calc!F26))+B1410)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gt;=100),MIN(100,((Inputs!$B$10+0+B1404+(ArtifactsInput!$M$24-ArtifactsInput!$M$24)*CHOOSE(ArtifactsInput!$N$24+1,10,12,14,16,18,20)+IF(ArtifactsInput!$M$10,CHOOSE(ArtifactsInput!$N$10+1,15,18,21,24,27,30)*(IF(Inputs!$B$39="pvp",MIN(15,15)/15,IF(AND(Inputs!$B$39&lt;&gt;"pvp",Inputs!$B$44&gt;0),MIN(15,Inputs!$B$44)/(Inputs!$B$44),0))),0)))-100),0))*CHOOSE(ArtifactsInput!$N$42+1,0.6,0.72,0.84,0.96,1.08,1.2))),Inputs!$B$19+((C1398=TRUE)*(F1398-Calc!F23))+(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gt;=100),CHOOSE(ArtifactsInput!$N$42+1,40,48,56,64,72,80),0))))/100)*((1+(((C1388=TRUE)*F1388*IF(AND(Inputs!$B$39&lt;&gt;"pvp",Inputs!$B$44&gt;0),(((R1388-1)*MIN((Skills!T13*(1+Inputs!$B$35/100)),(1/Q1388))+MIN((Skills!T13*(1+Inputs!$B$35/100)),MAX(0,Inputs!$B$44-((R1388-1)*(1/Q1388)))))/Inputs!$B$44),IF(Inputs!$B$39="pvp",MIN((Skills!T13*(1+Inputs!$B$35/100)),15)/15,MIN(1,(Skills!T13*(1+Inputs!$B$35/100))/(1/Q1388)))))+((C1389=TRUE)*F1389*IF(AND(Inputs!$B$39&lt;&gt;"pvp",Inputs!$B$44&gt;0),(((R1389-1)*MIN((Skills!T14*(1+Inputs!$B$35/100)),(1/Q1389))+MIN((Skills!T14*(1+Inputs!$B$35/100)),MAX(0,Inputs!$B$44-((R1389-1)*(1/Q1389)))))/Inputs!$B$44),IF(Inputs!$B$39="pvp",MIN((Skills!T14*(1+Inputs!$B$35/100)),15)/15,MIN(1,(Skills!T14*(1+Inputs!$B$35/100))/(1/Q1389)))))+((C1390=TRUE)*F1390*IF(AND(Inputs!$B$39&lt;&gt;"pvp",Inputs!$B$44&gt;0),(((R1390-1)*MIN((Skills!T15*(1+Inputs!$B$35/100)),(1/Q1390))+MIN((Skills!T15*(1+Inputs!$B$35/100)),MAX(0,Inputs!$B$44-((R1390-1)*(1/Q1390)))))/Inputs!$B$44),IF(Inputs!$B$39="pvp",MIN((Skills!T15*(1+Inputs!$B$35/100)),15)/15,MIN(1,(Skills!T15*(1+Inputs!$B$35/100))/(1/Q1390)))))+((C1391=TRUE)*F1391*IF(AND(Inputs!$B$39&lt;&gt;"pvp",Inputs!$B$44&gt;0),(((R1391-1)*MIN((Skills!T16*(1+Inputs!$B$35/100)),(1/Q1391))+MIN((Skills!T16*(1+Inputs!$B$35/100)),MAX(0,Inputs!$B$44-((R1391-1)*(1/Q1391)))))/Inputs!$B$44),IF(Inputs!$B$39="pvp",MIN((Skills!T16*(1+Inputs!$B$35/100)),15)/15,MIN(1,(Skills!T16*(1+Inputs!$B$35/100))/(1/Q1391)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1377)</f>
        <v/>
      </c>
      <c r="L1377">
        <f>K1377*(MIN(Inputs!$B$23+((C1397=TRUE)*(F1397-Calc!F22)),(Inputs!$B$24+((C1399=TRUE)*(F1399-Calc!F24))+(IF(ArtifactsInput!$M$15,CHOOSE(ArtifactsInput!$N$15+1,25,30,35,40,45,50)/100*(Inputs!$B$12-Inputs!$B$12),0))))/100+(Inputs!$B$24+((C1399=TRUE)*(F1399-Calc!F24))+(IF(ArtifactsInput!$M$15,CHOOSE(ArtifactsInput!$N$15+1,25,30,35,40,45,50)/100*(Inputs!$B$12-Inputs!$B$12),0)))/100)/2</f>
        <v/>
      </c>
      <c r="M1377">
        <f>L1377*(1+(Inputs!$B$11+0+B1409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377">
        <f>L1377*(1-MIN((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1377*(MIN((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77">
        <f>(1-Summary!$B$11)*T1377+Summary!$B$11*V1377</f>
        <v/>
      </c>
      <c r="P1377">
        <f>IF(B1414=0,0,O1377/B1414)</f>
        <v/>
      </c>
      <c r="Q1377" t="n">
        <v>0</v>
      </c>
      <c r="R1377" t="n">
        <v>0</v>
      </c>
      <c r="S1377">
        <f>IFERROR(O1377/N1377,0)</f>
        <v/>
      </c>
      <c r="T1377">
        <f>IF(C1377,(Skills!G2*N1377*B1408)*IF(Inputs!$B$39="pvp",1,1+(Inputs!$B$21+0+Skills!P2+((C1392=TRUE)*F1392*IF(AND(Inputs!$B$39&lt;&gt;"pvp",Inputs!$B$44&gt;0),(((R1392-1)*MIN((Skills!T17*(1+Inputs!$B$35/100)),(1/Q1392))+MIN((Skills!T17*(1+Inputs!$B$35/100)),MAX(0,Inputs!$B$44-((R1392-1)*(1/Q1392)))))/Inputs!$B$44),IF(Inputs!$B$39="pvp",MIN((Skills!T17*(1+Inputs!$B$35/100)),15)/15,MIN(1,(Skills!T17*(1+Inputs!$B$35/100))/(1/Q1392)))))+((C1380=TRUE)*IF(Inputs!$B$3&gt;=126,10*MIN(1,15*Q1380),0))+((C1389=TRUE)*IF(Inputs!$B$39="pvp",20,(1-Summary!$B$11)*(20)+Summary!$B$11*(0))*IF(AND(Inputs!$B$39&lt;&gt;"pvp",Inputs!$B$44&gt;0),(((R1389-1)*MIN((Skills!T14*(1+Inputs!$B$35/100)),(1/Q1389))+MIN((Skills!T14*(1+Inputs!$B$35/100)),MAX(0,Inputs!$B$44-((R1389-1)*(1/Q1389)))))/Inputs!$B$44),IF(Inputs!$B$39="pvp",MIN((Skills!T14*(1+Inputs!$B$35/100)),15)/15,MIN(1,(Skills!T14*(1+Inputs!$B$35/100))/(1/Q1389)))))+((C1388=TRUE)*IF(Inputs!$B$3&gt;=82,IF(Inputs!$B$39="pvp",20,(1-Summary!$B$11)*(20)+Summary!$B$11*(0)),0)*IF(AND(Inputs!$B$39&lt;&gt;"pvp",Inputs!$B$44&gt;0),(((R1388-1)*MIN((Skills!T13*(1+Inputs!$B$35/100)),(1/Q1388))+MIN((Skills!T13*(1+Inputs!$B$35/100)),MAX(0,Inputs!$B$44-((R1388-1)*(1/Q1388)))))/Inputs!$B$44),IF(Inputs!$B$39="pvp",MIN((Skills!T13*(1+Inputs!$B$35/100)),15)/15,MIN(1,(Skills!T13*(1+Inputs!$B$35/100))/(1/Q1388)))))+(IF(AND(ArtifactsInput!$M$35,Inputs!$B$4&lt;&gt;"Chapter Hunt"),CHOOSE(ArtifactsInput!$N$35+1,15,18,21,24,27,30)*(1-EXP(-(0.2*B1406)*5)),0)+IF(AND(ArtifactsInput!$M$22,Inputs!$B$4&lt;&gt;"Chapter Hunt"),CHOOSE(ArtifactsInput!$N$22+1,10,12,14,16,18,20)*((0*(((0.15*B1406*5))^0/1)+1*(((0.15*B1406*5))^1/1)+2*(((0.15*B1406*5))^2/2)+3*(((0.15*B1406*5))^3/6)+4*(((0.15*B1406*5))^4/24)+5*(((0.15*B1406*5))^5/120))/((((0.15*B1406*5))^0/1)+(((0.15*B1406*5))^1/1)+(((0.15*B1406*5))^2/2)+(((0.15*B1406*5))^3/6)+(((0.15*B1406*5))^4/24)+(((0.15*B1406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1377*(1-MIN(100,(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M1377*(MIN(100,(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L1377*(1-MIN(100,(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1377*(MIN(100,(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377">
        <f>MAX(0,(Inputs!$B$3-100)*3)+Inputs!$B$29+Inputs!$B$30</f>
        <v/>
      </c>
      <c r="V1377">
        <f>IF(C1377,(Skills!G2*N1377*B1408)*IF(Inputs!$B$39="pvp",1,(1+(Inputs!$B$22+Skills!Q2+((C1392=TRUE)*F1392*IF(AND(Inputs!$B$39&lt;&gt;"pvp",Inputs!$B$44&gt;0),(((R1392-1)*MIN((Skills!T17*(1+Inputs!$B$35/100)),(1/Q1392))+MIN((Skills!T17*(1+Inputs!$B$35/100)),MAX(0,Inputs!$B$44-((R1392-1)*(1/Q1392)))))/Inputs!$B$44),IF(Inputs!$B$39="pvp",MIN((Skills!T17*(1+Inputs!$B$35/100)),15)/15,MIN(1,(Skills!T17*(1+Inputs!$B$35/100))/(1/Q1392)))))+((C1380=TRUE)*IF(Inputs!$B$3&gt;=126,10*MIN(1,15*Q1380),0))+((C1389=TRUE)*IF(Inputs!$B$39="pvp",20,(1-Summary!$B$11)*(20)+Summary!$B$11*(0))*IF(AND(Inputs!$B$39&lt;&gt;"pvp",Inputs!$B$44&gt;0),(((R1389-1)*MIN((Skills!T14*(1+Inputs!$B$35/100)),(1/Q1389))+MIN((Skills!T14*(1+Inputs!$B$35/100)),MAX(0,Inputs!$B$44-((R1389-1)*(1/Q1389)))))/Inputs!$B$44),IF(Inputs!$B$39="pvp",MIN((Skills!T14*(1+Inputs!$B$35/100)),15)/15,MIN(1,(Skills!T14*(1+Inputs!$B$35/100))/(1/Q1389)))))+((C1388=TRUE)*IF(Inputs!$B$3&gt;=82,IF(Inputs!$B$39="pvp",20,(1-Summary!$B$11)*(20)+Summary!$B$11*(0)),0)*IF(AND(Inputs!$B$39&lt;&gt;"pvp",Inputs!$B$44&gt;0),(((R1388-1)*MIN((Skills!T13*(1+Inputs!$B$35/100)),(1/Q1388))+MIN((Skills!T13*(1+Inputs!$B$35/100)),MAX(0,Inputs!$B$44-((R1388-1)*(1/Q1388)))))/Inputs!$B$44),IF(Inputs!$B$39="pvp",MIN((Skills!T13*(1+Inputs!$B$35/100)),15)/15,MIN(1,(Skills!T13*(1+Inputs!$B$35/100))/(1/Q1388)))))+(IF(AND(ArtifactsInput!$M$35,Inputs!$B$4&lt;&gt;"Chapter Hunt"),CHOOSE(ArtifactsInput!$N$35+1,15,18,21,24,27,30)*(1-EXP(-(0.2*B1406)*5)),0)+IF(AND(ArtifactsInput!$M$22,Inputs!$B$4&lt;&gt;"Chapter Hunt"),CHOOSE(ArtifactsInput!$N$22+1,10,12,14,16,18,20)*((0*(((0.15*B1406*5))^0/1)+1*(((0.15*B1406*5))^1/1)+2*(((0.15*B1406*5))^2/2)+3*(((0.15*B1406*5))^3/6)+4*(((0.15*B1406*5))^4/24)+5*(((0.15*B1406*5))^5/120))/((((0.15*B1406*5))^0/1)+(((0.15*B1406*5))^1/1)+(((0.15*B1406*5))^2/2)+(((0.15*B1406*5))^3/6)+(((0.15*B1406*5))^4/24)+(((0.15*B1406*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78">
      <c r="A1378">
        <f>Skills!A3</f>
        <v/>
      </c>
      <c r="B1378">
        <f>Skills!B3</f>
        <v/>
      </c>
      <c r="C1378">
        <f>Inputs!$B$3&gt;=50</f>
        <v/>
      </c>
      <c r="D1378">
        <f>IF(Skills!C3=1,60+Inputs!$B$26+Inputs!$B$30,IF(Skills!C3=2,90+Inputs!$B$27+Inputs!$B$30,IF(Skills!C3=3,120+Inputs!$B$28+Inputs!$B$30,MAX(0,(Inputs!$B$3-100)*3)+Inputs!$B$29+Inputs!$B$30)))</f>
        <v/>
      </c>
      <c r="E1378">
        <f>INDEX(FactorTable!$B$2:$Y$301, MATCH(ROUND(MIN(300,MAX(1,D1378)),0), FactorTable!$A$2:$A$301,0), Skills!M3+1)</f>
        <v/>
      </c>
      <c r="F1378">
        <f>IF(Skills!N3=TRUE,(Skills!L3/10)*(E1378/1000),Skills!L3/10)+Skills!O3</f>
        <v/>
      </c>
      <c r="G1378" t="inlineStr"/>
      <c r="H1378" t="inlineStr"/>
      <c r="I1378" t="inlineStr">
        <is>
          <t>1</t>
        </is>
      </c>
      <c r="J1378" t="inlineStr"/>
      <c r="K1378" t="inlineStr"/>
      <c r="L1378" t="inlineStr"/>
      <c r="M1378" t="inlineStr"/>
      <c r="N1378" t="inlineStr"/>
      <c r="O1378" t="inlineStr"/>
      <c r="P1378" t="inlineStr"/>
      <c r="Q1378" t="inlineStr"/>
      <c r="R1378" t="inlineStr"/>
      <c r="S1378" t="inlineStr"/>
      <c r="U1378">
        <f>INDEX(FactorTable!$B$2:$Y$301, MATCH(ROUND(MIN(300,MAX(1,U1377)),0), FactorTable!$A$2:$A$301,0), 22)</f>
        <v/>
      </c>
    </row>
    <row r="1379">
      <c r="A1379">
        <f>Skills!A4</f>
        <v/>
      </c>
      <c r="B1379">
        <f>Skills!B4</f>
        <v/>
      </c>
      <c r="C1379">
        <f>Inputs!$B$3&gt;=105</f>
        <v/>
      </c>
      <c r="D1379">
        <f>IF(Skills!C4=1,60+Inputs!$B$26+Inputs!$B$30,IF(Skills!C4=2,90+Inputs!$B$27+Inputs!$B$30,IF(Skills!C4=3,120+Inputs!$B$28+Inputs!$B$30,MAX(0,(Inputs!$B$3-100)*3)+Inputs!$B$29+Inputs!$B$30)))</f>
        <v/>
      </c>
      <c r="E1379">
        <f>INDEX(FactorTable!$B$2:$Y$301, MATCH(ROUND(MIN(300,MAX(1,D1379)),0), FactorTable!$A$2:$A$301,0), Skills!M4+1)</f>
        <v/>
      </c>
      <c r="F1379">
        <f>IF(Skills!N4=TRUE,(Skills!L4/10)*(E1379/1000),Skills!L4/10)+Skills!O4</f>
        <v/>
      </c>
      <c r="G1379" t="inlineStr"/>
      <c r="H1379" t="inlineStr"/>
      <c r="I1379" t="inlineStr">
        <is>
          <t>1</t>
        </is>
      </c>
      <c r="J1379" t="inlineStr"/>
      <c r="K1379" t="inlineStr"/>
      <c r="L1379" t="inlineStr"/>
      <c r="M1379" t="inlineStr"/>
      <c r="N1379" t="inlineStr"/>
      <c r="O1379" t="inlineStr"/>
      <c r="P1379" t="inlineStr"/>
      <c r="Q1379" t="inlineStr"/>
      <c r="R1379" t="inlineStr"/>
      <c r="S1379" t="inlineStr"/>
      <c r="U1379">
        <f>290*U1378/1000</f>
        <v/>
      </c>
    </row>
    <row r="1380">
      <c r="A1380">
        <f>Skills!A5</f>
        <v/>
      </c>
      <c r="B1380">
        <f>Skills!B5</f>
        <v/>
      </c>
      <c r="C1380">
        <f>Inputs!$B$3&gt;=117</f>
        <v/>
      </c>
      <c r="D1380">
        <f>IF(Skills!C5=1,60+Inputs!$B$26+Inputs!$B$30,IF(Skills!C5=2,90+Inputs!$B$27+Inputs!$B$30,IF(Skills!C5=3,120+Inputs!$B$28+Inputs!$B$30,MAX(0,(Inputs!$B$3-100)*3)+Inputs!$B$29+Inputs!$B$30)))</f>
        <v/>
      </c>
      <c r="E1380">
        <f>INDEX(FactorTable!$B$2:$Y$301, MATCH(ROUND(MIN(300,MAX(1,D1380)),0), FactorTable!$A$2:$A$301,0), Skills!M5+1)</f>
        <v/>
      </c>
      <c r="F1380">
        <f>IF(Skills!N5=TRUE,(Skills!L5/10)*(E1380/1000),Skills!L5/10)+Skills!O5</f>
        <v/>
      </c>
      <c r="G1380">
        <f>Skills!G5*IF(Skills!H5&gt;0,INT(IF(Inputs!$B$39="pvp",MIN(Skills!I5,15),Skills!I5)/Skills!H5+0.000000001),1)</f>
        <v/>
      </c>
      <c r="H1380">
        <f>1-(1-Skills!J5/100)^Skills!K5</f>
        <v/>
      </c>
      <c r="I1380" t="inlineStr">
        <is>
          <t>1</t>
        </is>
      </c>
      <c r="J1380">
        <f>((Inputs!$B$6*(1+Inputs!$B$7/100))+(((Inputs!$B$13*(1+Inputs!$B$14/100))-(Inputs!$B$13*(1+Inputs!$B$14/100)))+0.25*(Inputs!$B$15-Inputs!$B$15))*(1+Inputs!$B$7/100))*(F1380/100)</f>
        <v/>
      </c>
      <c r="K1380">
        <f>J1380*(1+(((Inputs!$B$13+IF(Inputs!$B$3&gt;=38,(10*INDEX(FactorTable!$B$2:$Y$301, MATCH(ROUND(MIN(300,MAX(1,Inputs!$B$3)),0), FactorTable!$A$2:$A$301,0), 23)/1000)/100*(Inputs!$B$8*(1+Inputs!$B$9/100)),0))*(1+Inputs!$B$14/100))*0.01+Inputs!$B$15*0.0025)/100)*(1+Inputs!$B$16/100)*(1+Inputs!$B$17/100)*(5000/(6000+Inputs!$B$43*(1-(Inputs!$B$20+0)/100)))*(1+(Inputs!$B$25+((C1400=TRUE)*(F1400-Calc!F25))+((C1401=TRUE)*(F1401-Calc!F26))+B1410)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gt;=100),MIN(100,((Inputs!$B$10+0+B1404+(ArtifactsInput!$M$24-ArtifactsInput!$M$24)*CHOOSE(ArtifactsInput!$N$24+1,10,12,14,16,18,20)+IF(ArtifactsInput!$M$10,CHOOSE(ArtifactsInput!$N$10+1,15,18,21,24,27,30)*(IF(Inputs!$B$39="pvp",MIN(15,15)/15,IF(AND(Inputs!$B$39&lt;&gt;"pvp",Inputs!$B$44&gt;0),MIN(15,Inputs!$B$44)/(Inputs!$B$44),0))),0)))-100),0))*CHOOSE(ArtifactsInput!$N$42+1,0.6,0.72,0.84,0.96,1.08,1.2))),Inputs!$B$19+((C1398=TRUE)*(F1398-Calc!F23))+(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gt;=100),CHOOSE(ArtifactsInput!$N$42+1,40,48,56,64,72,80),0))))/100)*((1+(((C1388=TRUE)*F1388*IF(AND(Inputs!$B$39&lt;&gt;"pvp",Inputs!$B$44&gt;0),(((R1388-1)*MIN((Skills!T13*(1+Inputs!$B$35/100)),(1/Q1388))+MIN((Skills!T13*(1+Inputs!$B$35/100)),MAX(0,Inputs!$B$44-((R1388-1)*(1/Q1388)))))/Inputs!$B$44),IF(Inputs!$B$39="pvp",MIN((Skills!T13*(1+Inputs!$B$35/100)),15)/15,MIN(1,(Skills!T13*(1+Inputs!$B$35/100))/(1/Q1388)))))+((C1389=TRUE)*F1389*IF(AND(Inputs!$B$39&lt;&gt;"pvp",Inputs!$B$44&gt;0),(((R1389-1)*MIN((Skills!T14*(1+Inputs!$B$35/100)),(1/Q1389))+MIN((Skills!T14*(1+Inputs!$B$35/100)),MAX(0,Inputs!$B$44-((R1389-1)*(1/Q1389)))))/Inputs!$B$44),IF(Inputs!$B$39="pvp",MIN((Skills!T14*(1+Inputs!$B$35/100)),15)/15,MIN(1,(Skills!T14*(1+Inputs!$B$35/100))/(1/Q1389)))))+((C1390=TRUE)*F1390*IF(AND(Inputs!$B$39&lt;&gt;"pvp",Inputs!$B$44&gt;0),(((R1390-1)*MIN((Skills!T15*(1+Inputs!$B$35/100)),(1/Q1390))+MIN((Skills!T15*(1+Inputs!$B$35/100)),MAX(0,Inputs!$B$44-((R1390-1)*(1/Q1390)))))/Inputs!$B$44),IF(Inputs!$B$39="pvp",MIN((Skills!T15*(1+Inputs!$B$35/100)),15)/15,MIN(1,(Skills!T15*(1+Inputs!$B$35/100))/(1/Q1390)))))+((C1391=TRUE)*F1391*IF(AND(Inputs!$B$39&lt;&gt;"pvp",Inputs!$B$44&gt;0),(((R1391-1)*MIN((Skills!T16*(1+Inputs!$B$35/100)),(1/Q1391))+MIN((Skills!T16*(1+Inputs!$B$35/100)),MAX(0,Inputs!$B$44-((R1391-1)*(1/Q1391)))))/Inputs!$B$44),IF(Inputs!$B$39="pvp",MIN((Skills!T16*(1+Inputs!$B$35/100)),15)/15,MIN(1,(Skills!T16*(1+Inputs!$B$35/100))/(1/Q1391)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1380)</f>
        <v/>
      </c>
      <c r="L1380">
        <f>K1380*(MIN(Inputs!$B$23+((C1397=TRUE)*(F1397-Calc!F22)),(Inputs!$B$24+((C1399=TRUE)*(F1399-Calc!F24))+(IF(ArtifactsInput!$M$15,CHOOSE(ArtifactsInput!$N$15+1,25,30,35,40,45,50)/100*(Inputs!$B$12-Inputs!$B$12),0))))/100+(Inputs!$B$24+((C1399=TRUE)*(F1399-Calc!F24))+(IF(ArtifactsInput!$M$15,CHOOSE(ArtifactsInput!$N$15+1,25,30,35,40,45,50)/100*(Inputs!$B$12-Inputs!$B$12),0)))/100)/2</f>
        <v/>
      </c>
      <c r="M1380">
        <f>L1380*(1+(Inputs!$B$11+0+B1409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380">
        <f>L1380*(1-MIN((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1380*(MIN((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80">
        <f>(1-Summary!$B$11)*T1380+Summary!$B$11*V1380</f>
        <v/>
      </c>
      <c r="P1380">
        <f>IF(B1414=0,0,O1380/B1414)</f>
        <v/>
      </c>
      <c r="Q1380">
        <f>IFERROR(1/IF(Inputs!$B$39="pvp",15,MAX(0.1,Skills!D5-IF(TRUE=TRUE,Inputs!$B$33,0))),0)</f>
        <v/>
      </c>
      <c r="R1380">
        <f>IF(AND(Inputs!$B$39&lt;&gt;"pvp",Inputs!$B$44&gt;0),IF(MAX(0,Inputs!$B$44-B1411)&lt;=0,0,(INT(MAX(0,Inputs!$B$44-B1411)/IF(Inputs!$B$39="pvp",15,MAX(0.1,Skills!D5-IF(TRUE=TRUE,Inputs!$B$33,0))))+1)),0)</f>
        <v/>
      </c>
      <c r="S1380">
        <f>IFERROR(O1380/N1380,0)</f>
        <v/>
      </c>
      <c r="T1380">
        <f>IF(C1380,(H1380*N1380*IF(AND(Inputs!$B$39&lt;&gt;"pvp",Inputs!$B$44&gt;0),((Skills!G5*((R1380-1)*IF(Skills!H5&gt;0,INT(Skills!I5/Skills!H5+0.000000001),1)+IF(Skills!H5&gt;0,INT(MIN(Skills!I5,MAX(0,MAX(0,Inputs!$B$44-B1411)-((R1380-1)*IF(Inputs!$B$39="pvp",15,MAX(0.1,Skills!D5-IF(TRUE=TRUE,Inputs!$B$33,0))))))/Skills!H5+0.000000001),1)))/Inputs!$B$44),G1380*Q1380))*IF(Inputs!$B$39="pvp",1,1+(Inputs!$B$21+0+Skills!P5+((C1392=TRUE)*F1392*IF(AND(Inputs!$B$39&lt;&gt;"pvp",Inputs!$B$44&gt;0),(((R1392-1)*MIN((Skills!T17*(1+Inputs!$B$35/100)),(1/Q1392))+MIN((Skills!T17*(1+Inputs!$B$35/100)),MAX(0,Inputs!$B$44-((R1392-1)*(1/Q1392)))))/Inputs!$B$44),IF(Inputs!$B$39="pvp",MIN((Skills!T17*(1+Inputs!$B$35/100)),15)/15,MIN(1,(Skills!T17*(1+Inputs!$B$35/100))/(1/Q1392)))))+((C1380=TRUE)*IF(Inputs!$B$3&gt;=126,10*MIN(1,15*Q1380),0))+((C1389=TRUE)*IF(Inputs!$B$39="pvp",20,(1-Summary!$B$11)*(20)+Summary!$B$11*(0))*IF(AND(Inputs!$B$39&lt;&gt;"pvp",Inputs!$B$44&gt;0),(((R1389-1)*MIN((Skills!T14*(1+Inputs!$B$35/100)),(1/Q1389))+MIN((Skills!T14*(1+Inputs!$B$35/100)),MAX(0,Inputs!$B$44-((R1389-1)*(1/Q1389)))))/Inputs!$B$44),IF(Inputs!$B$39="pvp",MIN((Skills!T14*(1+Inputs!$B$35/100)),15)/15,MIN(1,(Skills!T14*(1+Inputs!$B$35/100))/(1/Q1389)))))+((C1388=TRUE)*IF(Inputs!$B$3&gt;=82,IF(Inputs!$B$39="pvp",20,(1-Summary!$B$11)*(20)+Summary!$B$11*(0)),0)*IF(AND(Inputs!$B$39&lt;&gt;"pvp",Inputs!$B$44&gt;0),(((R1388-1)*MIN((Skills!T13*(1+Inputs!$B$35/100)),(1/Q1388))+MIN((Skills!T13*(1+Inputs!$B$35/100)),MAX(0,Inputs!$B$44-((R1388-1)*(1/Q1388)))))/Inputs!$B$44),IF(Inputs!$B$39="pvp",MIN((Skills!T13*(1+Inputs!$B$35/100)),15)/15,MIN(1,(Skills!T13*(1+Inputs!$B$35/100))/(1/Q1388)))))+(IF(AND(ArtifactsInput!$M$35,Inputs!$B$4&lt;&gt;"Chapter Hunt"),CHOOSE(ArtifactsInput!$N$35+1,15,18,21,24,27,30)*(1-EXP(-(0.2*B1406)*5)),0)+IF(AND(ArtifactsInput!$M$22,Inputs!$B$4&lt;&gt;"Chapter Hunt"),CHOOSE(ArtifactsInput!$N$22+1,10,12,14,16,18,20)*((0*(((0.15*B1406*5))^0/1)+1*(((0.15*B1406*5))^1/1)+2*(((0.15*B1406*5))^2/2)+3*(((0.15*B1406*5))^3/6)+4*(((0.15*B1406*5))^4/24)+5*(((0.15*B1406*5))^5/120))/((((0.15*B1406*5))^0/1)+(((0.15*B1406*5))^1/1)+(((0.15*B1406*5))^2/2)+(((0.15*B1406*5))^3/6)+(((0.15*B1406*5))^4/24)+(((0.15*B1406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1380*(1-MIN(100,(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M1380*(MIN(100,(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L1380*(1-MIN(100,(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1380*(MIN(100,(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80">
        <f>IF(C1380,(H1380*N1380*IF(AND(Inputs!$B$39&lt;&gt;"pvp",Inputs!$B$44&gt;0),((Skills!G5*((R1380-1)*IF(Skills!H5&gt;0,INT(Skills!I5/Skills!H5+0.000000001),1)+IF(Skills!H5&gt;0,INT(MIN(Skills!I5,MAX(0,MAX(0,Inputs!$B$44-B1411)-((R1380-1)*IF(Inputs!$B$39="pvp",15,MAX(0.1,Skills!D5-IF(TRUE=TRUE,Inputs!$B$33,0))))))/Skills!H5+0.000000001),1)))/Inputs!$B$44),G1380*Q1380))*IF(Inputs!$B$39="pvp",1,(1+(Inputs!$B$22+Skills!Q5+((C1392=TRUE)*F1392*IF(AND(Inputs!$B$39&lt;&gt;"pvp",Inputs!$B$44&gt;0),(((R1392-1)*MIN((Skills!T17*(1+Inputs!$B$35/100)),(1/Q1392))+MIN((Skills!T17*(1+Inputs!$B$35/100)),MAX(0,Inputs!$B$44-((R1392-1)*(1/Q1392)))))/Inputs!$B$44),IF(Inputs!$B$39="pvp",MIN((Skills!T17*(1+Inputs!$B$35/100)),15)/15,MIN(1,(Skills!T17*(1+Inputs!$B$35/100))/(1/Q1392)))))+((C1380=TRUE)*IF(Inputs!$B$3&gt;=126,10*MIN(1,15*Q1380),0))+((C1389=TRUE)*IF(Inputs!$B$39="pvp",20,(1-Summary!$B$11)*(20)+Summary!$B$11*(0))*IF(AND(Inputs!$B$39&lt;&gt;"pvp",Inputs!$B$44&gt;0),(((R1389-1)*MIN((Skills!T14*(1+Inputs!$B$35/100)),(1/Q1389))+MIN((Skills!T14*(1+Inputs!$B$35/100)),MAX(0,Inputs!$B$44-((R1389-1)*(1/Q1389)))))/Inputs!$B$44),IF(Inputs!$B$39="pvp",MIN((Skills!T14*(1+Inputs!$B$35/100)),15)/15,MIN(1,(Skills!T14*(1+Inputs!$B$35/100))/(1/Q1389)))))+((C1388=TRUE)*IF(Inputs!$B$3&gt;=82,IF(Inputs!$B$39="pvp",20,(1-Summary!$B$11)*(20)+Summary!$B$11*(0)),0)*IF(AND(Inputs!$B$39&lt;&gt;"pvp",Inputs!$B$44&gt;0),(((R1388-1)*MIN((Skills!T13*(1+Inputs!$B$35/100)),(1/Q1388))+MIN((Skills!T13*(1+Inputs!$B$35/100)),MAX(0,Inputs!$B$44-((R1388-1)*(1/Q1388)))))/Inputs!$B$44),IF(Inputs!$B$39="pvp",MIN((Skills!T13*(1+Inputs!$B$35/100)),15)/15,MIN(1,(Skills!T13*(1+Inputs!$B$35/100))/(1/Q1388)))))+(IF(AND(ArtifactsInput!$M$35,Inputs!$B$4&lt;&gt;"Chapter Hunt"),CHOOSE(ArtifactsInput!$N$35+1,15,18,21,24,27,30)*(1-EXP(-(0.2*B1406)*5)),0)+IF(AND(ArtifactsInput!$M$22,Inputs!$B$4&lt;&gt;"Chapter Hunt"),CHOOSE(ArtifactsInput!$N$22+1,10,12,14,16,18,20)*((0*(((0.15*B1406*5))^0/1)+1*(((0.15*B1406*5))^1/1)+2*(((0.15*B1406*5))^2/2)+3*(((0.15*B1406*5))^3/6)+4*(((0.15*B1406*5))^4/24)+5*(((0.15*B1406*5))^5/120))/((((0.15*B1406*5))^0/1)+(((0.15*B1406*5))^1/1)+(((0.15*B1406*5))^2/2)+(((0.15*B1406*5))^3/6)+(((0.15*B1406*5))^4/24)+(((0.15*B1406*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81">
      <c r="A1381">
        <f>Skills!A6</f>
        <v/>
      </c>
      <c r="B1381">
        <f>Skills!B6</f>
        <v/>
      </c>
      <c r="C1381">
        <f>Inputs!$B$3&gt;=103</f>
        <v/>
      </c>
      <c r="D1381">
        <f>IF(Skills!C6=1,60+Inputs!$B$26+Inputs!$B$30,IF(Skills!C6=2,90+Inputs!$B$27+Inputs!$B$30,IF(Skills!C6=3,120+Inputs!$B$28+Inputs!$B$30,MAX(0,(Inputs!$B$3-100)*3)+Inputs!$B$29+Inputs!$B$30)))</f>
        <v/>
      </c>
      <c r="E1381">
        <f>INDEX(FactorTable!$B$2:$Y$301, MATCH(ROUND(MIN(300,MAX(1,D1381)),0), FactorTable!$A$2:$A$301,0), Skills!M6+1)</f>
        <v/>
      </c>
      <c r="F1381">
        <f>IF(Skills!N6=TRUE,(Skills!L6/10)*(E1381/1000),Skills!L6/10)+Skills!O6</f>
        <v/>
      </c>
      <c r="G1381">
        <f>Skills!G6*IF(Skills!H6&gt;0,INT(IF(Inputs!$B$39="pvp",MIN(Skills!I6,15),Skills!I6)/Skills!H6+0.000000001),1)</f>
        <v/>
      </c>
      <c r="H1381">
        <f>1-(1-Skills!J6/100)^Skills!K6</f>
        <v/>
      </c>
      <c r="I1381" t="inlineStr">
        <is>
          <t>1</t>
        </is>
      </c>
      <c r="J1381">
        <f>((Inputs!$B$6*(1+Inputs!$B$7/100))+(((Inputs!$B$13*(1+Inputs!$B$14/100))-(Inputs!$B$13*(1+Inputs!$B$14/100)))+0.25*(Inputs!$B$15-Inputs!$B$15))*(1+Inputs!$B$7/100))*(F1381/100)</f>
        <v/>
      </c>
      <c r="K1381">
        <f>J1381*(1+(((Inputs!$B$13+IF(Inputs!$B$3&gt;=38,(10*INDEX(FactorTable!$B$2:$Y$301, MATCH(ROUND(MIN(300,MAX(1,Inputs!$B$3)),0), FactorTable!$A$2:$A$301,0), 23)/1000)/100*(Inputs!$B$8*(1+Inputs!$B$9/100)),0))*(1+Inputs!$B$14/100))*0.01+Inputs!$B$15*0.0025)/100)*(1+Inputs!$B$16/100)*(1+Inputs!$B$17/100)*(5000/(6000+Inputs!$B$43*(1-(Inputs!$B$20+0)/100)))*(1+(Inputs!$B$25+((C1400=TRUE)*(F1400-Calc!F25))+((C1401=TRUE)*(F1401-Calc!F26))+B1410)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gt;=100),MIN(100,((Inputs!$B$10+0+B1404+(ArtifactsInput!$M$24-ArtifactsInput!$M$24)*CHOOSE(ArtifactsInput!$N$24+1,10,12,14,16,18,20)+IF(ArtifactsInput!$M$10,CHOOSE(ArtifactsInput!$N$10+1,15,18,21,24,27,30)*(IF(Inputs!$B$39="pvp",MIN(15,15)/15,IF(AND(Inputs!$B$39&lt;&gt;"pvp",Inputs!$B$44&gt;0),MIN(15,Inputs!$B$44)/(Inputs!$B$44),0))),0)))-100),0))*CHOOSE(ArtifactsInput!$N$42+1,0.6,0.72,0.84,0.96,1.08,1.2))),Inputs!$B$19+((C1398=TRUE)*(F1398-Calc!F23))+(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gt;=100),CHOOSE(ArtifactsInput!$N$42+1,40,48,56,64,72,80),0))))/100)*((1+(((C1388=TRUE)*F1388*IF(AND(Inputs!$B$39&lt;&gt;"pvp",Inputs!$B$44&gt;0),(((R1388-1)*MIN((Skills!T13*(1+Inputs!$B$35/100)),(1/Q1388))+MIN((Skills!T13*(1+Inputs!$B$35/100)),MAX(0,Inputs!$B$44-((R1388-1)*(1/Q1388)))))/Inputs!$B$44),IF(Inputs!$B$39="pvp",MIN((Skills!T13*(1+Inputs!$B$35/100)),15)/15,MIN(1,(Skills!T13*(1+Inputs!$B$35/100))/(1/Q1388)))))+((C1389=TRUE)*F1389*IF(AND(Inputs!$B$39&lt;&gt;"pvp",Inputs!$B$44&gt;0),(((R1389-1)*MIN((Skills!T14*(1+Inputs!$B$35/100)),(1/Q1389))+MIN((Skills!T14*(1+Inputs!$B$35/100)),MAX(0,Inputs!$B$44-((R1389-1)*(1/Q1389)))))/Inputs!$B$44),IF(Inputs!$B$39="pvp",MIN((Skills!T14*(1+Inputs!$B$35/100)),15)/15,MIN(1,(Skills!T14*(1+Inputs!$B$35/100))/(1/Q1389)))))+((C1390=TRUE)*F1390*IF(AND(Inputs!$B$39&lt;&gt;"pvp",Inputs!$B$44&gt;0),(((R1390-1)*MIN((Skills!T15*(1+Inputs!$B$35/100)),(1/Q1390))+MIN((Skills!T15*(1+Inputs!$B$35/100)),MAX(0,Inputs!$B$44-((R1390-1)*(1/Q1390)))))/Inputs!$B$44),IF(Inputs!$B$39="pvp",MIN((Skills!T15*(1+Inputs!$B$35/100)),15)/15,MIN(1,(Skills!T15*(1+Inputs!$B$35/100))/(1/Q1390)))))+((C1391=TRUE)*F1391*IF(AND(Inputs!$B$39&lt;&gt;"pvp",Inputs!$B$44&gt;0),(((R1391-1)*MIN((Skills!T16*(1+Inputs!$B$35/100)),(1/Q1391))+MIN((Skills!T16*(1+Inputs!$B$35/100)),MAX(0,Inputs!$B$44-((R1391-1)*(1/Q1391)))))/Inputs!$B$44),IF(Inputs!$B$39="pvp",MIN((Skills!T16*(1+Inputs!$B$35/100)),15)/15,MIN(1,(Skills!T16*(1+Inputs!$B$35/100))/(1/Q1391)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1381)</f>
        <v/>
      </c>
      <c r="L1381">
        <f>K1381*(MIN(Inputs!$B$23+((C1397=TRUE)*(F1397-Calc!F22)),(Inputs!$B$24+((C1399=TRUE)*(F1399-Calc!F24))+(IF(ArtifactsInput!$M$15,CHOOSE(ArtifactsInput!$N$15+1,25,30,35,40,45,50)/100*(Inputs!$B$12-Inputs!$B$12),0))))/100+(Inputs!$B$24+((C1399=TRUE)*(F1399-Calc!F24))+(IF(ArtifactsInput!$M$15,CHOOSE(ArtifactsInput!$N$15+1,25,30,35,40,45,50)/100*(Inputs!$B$12-Inputs!$B$12),0)))/100)/2</f>
        <v/>
      </c>
      <c r="M1381">
        <f>L1381*(1+(Inputs!$B$11+0+B1409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381">
        <f>L1381*(1-MIN((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1381*(MIN((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81">
        <f>(1-Summary!$B$11)*T1381+Summary!$B$11*V1381</f>
        <v/>
      </c>
      <c r="P1381">
        <f>IF(B1414=0,0,O1381/B1414)</f>
        <v/>
      </c>
      <c r="Q1381">
        <f>IFERROR(1/IF(Inputs!$B$39="pvp",15,MAX(0.1,Skills!D6-IF(TRUE=TRUE,Inputs!$B$33,0))),0)</f>
        <v/>
      </c>
      <c r="R1381">
        <f>IF(AND(Inputs!$B$39&lt;&gt;"pvp",Inputs!$B$44&gt;0),IF(MAX(0,Inputs!$B$44-B1411)&lt;=0,0,(INT(MAX(0,Inputs!$B$44-B1411)/IF(Inputs!$B$39="pvp",15,MAX(0.1,Skills!D6-IF(TRUE=TRUE,Inputs!$B$33,0))))+1)),0)</f>
        <v/>
      </c>
      <c r="S1381">
        <f>IFERROR(O1381/N1381,0)</f>
        <v/>
      </c>
      <c r="T1381">
        <f>IF(C1381,(H1381*N1381*IF(AND(Inputs!$B$39&lt;&gt;"pvp",Inputs!$B$44&gt;0),((Skills!G6*((R1381-1)*IF(Skills!H6&gt;0,INT(Skills!I6/Skills!H6+0.000000001),1)+IF(Skills!H6&gt;0,INT(MIN(Skills!I6,MAX(0,MAX(0,Inputs!$B$44-B1411)-((R1381-1)*IF(Inputs!$B$39="pvp",15,MAX(0.1,Skills!D6-IF(TRUE=TRUE,Inputs!$B$33,0))))))/Skills!H6+0.000000001),1)))/Inputs!$B$44),G1381*Q1381))*IF(Inputs!$B$39="pvp",1,1+(Inputs!$B$21+0+Skills!P6+((C1392=TRUE)*F1392*IF(AND(Inputs!$B$39&lt;&gt;"pvp",Inputs!$B$44&gt;0),(((R1392-1)*MIN((Skills!T17*(1+Inputs!$B$35/100)),(1/Q1392))+MIN((Skills!T17*(1+Inputs!$B$35/100)),MAX(0,Inputs!$B$44-((R1392-1)*(1/Q1392)))))/Inputs!$B$44),IF(Inputs!$B$39="pvp",MIN((Skills!T17*(1+Inputs!$B$35/100)),15)/15,MIN(1,(Skills!T17*(1+Inputs!$B$35/100))/(1/Q1392)))))+((C1380=TRUE)*IF(Inputs!$B$3&gt;=126,10*MIN(1,15*Q1380),0))+((C1389=TRUE)*IF(Inputs!$B$39="pvp",20,(1-Summary!$B$11)*(20)+Summary!$B$11*(0))*IF(AND(Inputs!$B$39&lt;&gt;"pvp",Inputs!$B$44&gt;0),(((R1389-1)*MIN((Skills!T14*(1+Inputs!$B$35/100)),(1/Q1389))+MIN((Skills!T14*(1+Inputs!$B$35/100)),MAX(0,Inputs!$B$44-((R1389-1)*(1/Q1389)))))/Inputs!$B$44),IF(Inputs!$B$39="pvp",MIN((Skills!T14*(1+Inputs!$B$35/100)),15)/15,MIN(1,(Skills!T14*(1+Inputs!$B$35/100))/(1/Q1389)))))+((C1388=TRUE)*IF(Inputs!$B$3&gt;=82,IF(Inputs!$B$39="pvp",20,(1-Summary!$B$11)*(20)+Summary!$B$11*(0)),0)*IF(AND(Inputs!$B$39&lt;&gt;"pvp",Inputs!$B$44&gt;0),(((R1388-1)*MIN((Skills!T13*(1+Inputs!$B$35/100)),(1/Q1388))+MIN((Skills!T13*(1+Inputs!$B$35/100)),MAX(0,Inputs!$B$44-((R1388-1)*(1/Q1388)))))/Inputs!$B$44),IF(Inputs!$B$39="pvp",MIN((Skills!T13*(1+Inputs!$B$35/100)),15)/15,MIN(1,(Skills!T13*(1+Inputs!$B$35/100))/(1/Q1388)))))+(IF(AND(ArtifactsInput!$M$35,Inputs!$B$4&lt;&gt;"Chapter Hunt"),CHOOSE(ArtifactsInput!$N$35+1,15,18,21,24,27,30)*(1-EXP(-(0.2*B1406)*5)),0)+IF(AND(ArtifactsInput!$M$22,Inputs!$B$4&lt;&gt;"Chapter Hunt"),CHOOSE(ArtifactsInput!$N$22+1,10,12,14,16,18,20)*((0*(((0.15*B1406*5))^0/1)+1*(((0.15*B1406*5))^1/1)+2*(((0.15*B1406*5))^2/2)+3*(((0.15*B1406*5))^3/6)+4*(((0.15*B1406*5))^4/24)+5*(((0.15*B1406*5))^5/120))/((((0.15*B1406*5))^0/1)+(((0.15*B1406*5))^1/1)+(((0.15*B1406*5))^2/2)+(((0.15*B1406*5))^3/6)+(((0.15*B1406*5))^4/24)+(((0.15*B1406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1381*(1-MIN(100,(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M1381*(MIN(100,(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L1381*(1-MIN(100,(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1381*(MIN(100,(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81">
        <f>IF(C1381,(H1381*N1381*IF(AND(Inputs!$B$39&lt;&gt;"pvp",Inputs!$B$44&gt;0),((Skills!G6*((R1381-1)*IF(Skills!H6&gt;0,INT(Skills!I6/Skills!H6+0.000000001),1)+IF(Skills!H6&gt;0,INT(MIN(Skills!I6,MAX(0,MAX(0,Inputs!$B$44-B1411)-((R1381-1)*IF(Inputs!$B$39="pvp",15,MAX(0.1,Skills!D6-IF(TRUE=TRUE,Inputs!$B$33,0))))))/Skills!H6+0.000000001),1)))/Inputs!$B$44),G1381*Q1381))*IF(Inputs!$B$39="pvp",1,(1+(Inputs!$B$22+Skills!Q6+((C1392=TRUE)*F1392*IF(AND(Inputs!$B$39&lt;&gt;"pvp",Inputs!$B$44&gt;0),(((R1392-1)*MIN((Skills!T17*(1+Inputs!$B$35/100)),(1/Q1392))+MIN((Skills!T17*(1+Inputs!$B$35/100)),MAX(0,Inputs!$B$44-((R1392-1)*(1/Q1392)))))/Inputs!$B$44),IF(Inputs!$B$39="pvp",MIN((Skills!T17*(1+Inputs!$B$35/100)),15)/15,MIN(1,(Skills!T17*(1+Inputs!$B$35/100))/(1/Q1392)))))+((C1380=TRUE)*IF(Inputs!$B$3&gt;=126,10*MIN(1,15*Q1380),0))+((C1389=TRUE)*IF(Inputs!$B$39="pvp",20,(1-Summary!$B$11)*(20)+Summary!$B$11*(0))*IF(AND(Inputs!$B$39&lt;&gt;"pvp",Inputs!$B$44&gt;0),(((R1389-1)*MIN((Skills!T14*(1+Inputs!$B$35/100)),(1/Q1389))+MIN((Skills!T14*(1+Inputs!$B$35/100)),MAX(0,Inputs!$B$44-((R1389-1)*(1/Q1389)))))/Inputs!$B$44),IF(Inputs!$B$39="pvp",MIN((Skills!T14*(1+Inputs!$B$35/100)),15)/15,MIN(1,(Skills!T14*(1+Inputs!$B$35/100))/(1/Q1389)))))+((C1388=TRUE)*IF(Inputs!$B$3&gt;=82,IF(Inputs!$B$39="pvp",20,(1-Summary!$B$11)*(20)+Summary!$B$11*(0)),0)*IF(AND(Inputs!$B$39&lt;&gt;"pvp",Inputs!$B$44&gt;0),(((R1388-1)*MIN((Skills!T13*(1+Inputs!$B$35/100)),(1/Q1388))+MIN((Skills!T13*(1+Inputs!$B$35/100)),MAX(0,Inputs!$B$44-((R1388-1)*(1/Q1388)))))/Inputs!$B$44),IF(Inputs!$B$39="pvp",MIN((Skills!T13*(1+Inputs!$B$35/100)),15)/15,MIN(1,(Skills!T13*(1+Inputs!$B$35/100))/(1/Q1388)))))+(IF(AND(ArtifactsInput!$M$35,Inputs!$B$4&lt;&gt;"Chapter Hunt"),CHOOSE(ArtifactsInput!$N$35+1,15,18,21,24,27,30)*(1-EXP(-(0.2*B1406)*5)),0)+IF(AND(ArtifactsInput!$M$22,Inputs!$B$4&lt;&gt;"Chapter Hunt"),CHOOSE(ArtifactsInput!$N$22+1,10,12,14,16,18,20)*((0*(((0.15*B1406*5))^0/1)+1*(((0.15*B1406*5))^1/1)+2*(((0.15*B1406*5))^2/2)+3*(((0.15*B1406*5))^3/6)+4*(((0.15*B1406*5))^4/24)+5*(((0.15*B1406*5))^5/120))/((((0.15*B1406*5))^0/1)+(((0.15*B1406*5))^1/1)+(((0.15*B1406*5))^2/2)+(((0.15*B1406*5))^3/6)+(((0.15*B1406*5))^4/24)+(((0.15*B1406*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82">
      <c r="A1382">
        <f>Skills!A7</f>
        <v/>
      </c>
      <c r="B1382">
        <f>Skills!B7</f>
        <v/>
      </c>
      <c r="C1382">
        <f>Inputs!$B$3&gt;=40</f>
        <v/>
      </c>
      <c r="D1382">
        <f>IF(Skills!C7=1,60+Inputs!$B$26+Inputs!$B$30,IF(Skills!C7=2,90+Inputs!$B$27+Inputs!$B$30,IF(Skills!C7=3,120+Inputs!$B$28+Inputs!$B$30,MAX(0,(Inputs!$B$3-100)*3)+Inputs!$B$29+Inputs!$B$30)))</f>
        <v/>
      </c>
      <c r="E1382">
        <f>INDEX(FactorTable!$B$2:$Y$301, MATCH(ROUND(MIN(300,MAX(1,D1382)),0), FactorTable!$A$2:$A$301,0), Skills!M7+1)</f>
        <v/>
      </c>
      <c r="F1382">
        <f>IF(Skills!N7=TRUE,(Skills!L7/10)*(E1382/1000),Skills!L7/10)+Skills!O7</f>
        <v/>
      </c>
      <c r="G1382">
        <f>Skills!G7*IF(Skills!H7&gt;0,INT(IF(Inputs!$B$39="pvp",MIN(Skills!I7,15),Skills!I7)/Skills!H7+0.000000001),1)</f>
        <v/>
      </c>
      <c r="H1382">
        <f>1-(1-Skills!J7/100)^Skills!K7</f>
        <v/>
      </c>
      <c r="I1382" t="inlineStr">
        <is>
          <t>1</t>
        </is>
      </c>
      <c r="J1382">
        <f>((Inputs!$B$6*(1+Inputs!$B$7/100))+(((Inputs!$B$13*(1+Inputs!$B$14/100))-(Inputs!$B$13*(1+Inputs!$B$14/100)))+0.25*(Inputs!$B$15-Inputs!$B$15))*(1+Inputs!$B$7/100))*(F1382/100)</f>
        <v/>
      </c>
      <c r="K1382">
        <f>J1382*(1+(((Inputs!$B$13+IF(Inputs!$B$3&gt;=38,(10*INDEX(FactorTable!$B$2:$Y$301, MATCH(ROUND(MIN(300,MAX(1,Inputs!$B$3)),0), FactorTable!$A$2:$A$301,0), 23)/1000)/100*(Inputs!$B$8*(1+Inputs!$B$9/100)),0))*(1+Inputs!$B$14/100))*0.01+Inputs!$B$15*0.0025)/100)*(1+Inputs!$B$16/100)*(1+Inputs!$B$17/100)*(5000/(6000+Inputs!$B$43*(1-(Inputs!$B$20+0)/100)))*(1+(Inputs!$B$25+((C1400=TRUE)*(F1400-Calc!F25))+((C1401=TRUE)*(F1401-Calc!F26))+B1410)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1386=TRUE,F1386,0)/100)*(1+(IF(Skills!A7="DARK_IMPALE",Inputs!$B$18+0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gt;=100),MIN(100,((Inputs!$B$10+0+B1404+(ArtifactsInput!$M$24-ArtifactsInput!$M$24)*CHOOSE(ArtifactsInput!$N$24+1,10,12,14,16,18,20)+IF(ArtifactsInput!$M$10,CHOOSE(ArtifactsInput!$N$10+1,15,18,21,24,27,30)*(IF(Inputs!$B$39="pvp",MIN(15,15)/15,IF(AND(Inputs!$B$39&lt;&gt;"pvp",Inputs!$B$44&gt;0),MIN(15,Inputs!$B$44)/(Inputs!$B$44),0))),0)))-100),0))*CHOOSE(ArtifactsInput!$N$42+1,0.6,0.72,0.84,0.96,1.08,1.2))),Inputs!$B$19+((C1398=TRUE)*(F1398-Calc!F23))+(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gt;=100),CHOOSE(ArtifactsInput!$N$42+1,40,48,56,64,72,80),0))))/100)*((1+(((C1388=TRUE)*F1388*IF(AND(Inputs!$B$39&lt;&gt;"pvp",Inputs!$B$44&gt;0),(((R1388-1)*MIN((Skills!T13*(1+Inputs!$B$35/100)),(1/Q1388))+MIN((Skills!T13*(1+Inputs!$B$35/100)),MAX(0,Inputs!$B$44-((R1388-1)*(1/Q1388)))))/Inputs!$B$44),IF(Inputs!$B$39="pvp",MIN((Skills!T13*(1+Inputs!$B$35/100)),15)/15,MIN(1,(Skills!T13*(1+Inputs!$B$35/100))/(1/Q1388)))))+((C1389=TRUE)*F1389*IF(AND(Inputs!$B$39&lt;&gt;"pvp",Inputs!$B$44&gt;0),(((R1389-1)*MIN((Skills!T14*(1+Inputs!$B$35/100)),(1/Q1389))+MIN((Skills!T14*(1+Inputs!$B$35/100)),MAX(0,Inputs!$B$44-((R1389-1)*(1/Q1389)))))/Inputs!$B$44),IF(Inputs!$B$39="pvp",MIN((Skills!T14*(1+Inputs!$B$35/100)),15)/15,MIN(1,(Skills!T14*(1+Inputs!$B$35/100))/(1/Q1389)))))+((C1390=TRUE)*F1390*IF(AND(Inputs!$B$39&lt;&gt;"pvp",Inputs!$B$44&gt;0),(((R1390-1)*MIN((Skills!T15*(1+Inputs!$B$35/100)),(1/Q1390))+MIN((Skills!T15*(1+Inputs!$B$35/100)),MAX(0,Inputs!$B$44-((R1390-1)*(1/Q1390)))))/Inputs!$B$44),IF(Inputs!$B$39="pvp",MIN((Skills!T15*(1+Inputs!$B$35/100)),15)/15,MIN(1,(Skills!T15*(1+Inputs!$B$35/100))/(1/Q1390)))))+((C1391=TRUE)*F1391*IF(AND(Inputs!$B$39&lt;&gt;"pvp",Inputs!$B$44&gt;0),(((R1391-1)*MIN((Skills!T16*(1+Inputs!$B$35/100)),(1/Q1391))+MIN((Skills!T16*(1+Inputs!$B$35/100)),MAX(0,Inputs!$B$44-((R1391-1)*(1/Q1391)))))/Inputs!$B$44),IF(Inputs!$B$39="pvp",MIN((Skills!T16*(1+Inputs!$B$35/100)),15)/15,MIN(1,(Skills!T16*(1+Inputs!$B$35/100))/(1/Q1391)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1382)</f>
        <v/>
      </c>
      <c r="L1382">
        <f>K1382*(MIN(Inputs!$B$23+((C1397=TRUE)*(F1397-Calc!F22)),(Inputs!$B$24+((C1399=TRUE)*(F1399-Calc!F24))+(IF(ArtifactsInput!$M$15,CHOOSE(ArtifactsInput!$N$15+1,25,30,35,40,45,50)/100*(Inputs!$B$12-Inputs!$B$12),0))))/100+(Inputs!$B$24+((C1399=TRUE)*(F1399-Calc!F24))+(IF(ArtifactsInput!$M$15,CHOOSE(ArtifactsInput!$N$15+1,25,30,35,40,45,50)/100*(Inputs!$B$12-Inputs!$B$12),0)))/100)/2</f>
        <v/>
      </c>
      <c r="M1382">
        <f>L1382*(1+(Inputs!$B$11+0+B1409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382">
        <f>L1382*(1-MIN((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1382*(MIN((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82">
        <f>(1-Summary!$B$11)*T1382+Summary!$B$11*V1382</f>
        <v/>
      </c>
      <c r="P1382">
        <f>IF(B1414=0,0,O1382/B1414)</f>
        <v/>
      </c>
      <c r="Q1382">
        <f>IFERROR(1/IF(Inputs!$B$39="pvp",15,MAX(0.1,Skills!D7-IF(TRUE=TRUE,Inputs!$B$33,0))),0)</f>
        <v/>
      </c>
      <c r="R1382">
        <f>IF(AND(Inputs!$B$39&lt;&gt;"pvp",Inputs!$B$44&gt;0),IF(MAX(0,Inputs!$B$44-B1411)&lt;=0,0,(INT(MAX(0,Inputs!$B$44-B1411)/IF(Inputs!$B$39="pvp",15,MAX(0.1,Skills!D7-IF(TRUE=TRUE,Inputs!$B$33,0))))+1)),0)</f>
        <v/>
      </c>
      <c r="S1382">
        <f>IFERROR(O1382/N1382,0)</f>
        <v/>
      </c>
      <c r="T1382">
        <f>IF(C1382,(H1382*N1382*IF(AND(Inputs!$B$39&lt;&gt;"pvp",Inputs!$B$44&gt;0),((Skills!G7*((R1382-1)*IF(Skills!H7&gt;0,INT(Skills!I7/Skills!H7+0.000000001),1)+IF(Skills!H7&gt;0,INT(MIN(Skills!I7,MAX(0,MAX(0,Inputs!$B$44-B1411)-((R1382-1)*IF(Inputs!$B$39="pvp",15,MAX(0.1,Skills!D7-IF(TRUE=TRUE,Inputs!$B$33,0))))))/Skills!H7+0.000000001),1)))/Inputs!$B$44),G1382*Q1382))*IF(Inputs!$B$39="pvp",1,1+(Inputs!$B$21+0+Skills!P7+((C1392=TRUE)*F1392*IF(AND(Inputs!$B$39&lt;&gt;"pvp",Inputs!$B$44&gt;0),(((R1392-1)*MIN((Skills!T17*(1+Inputs!$B$35/100)),(1/Q1392))+MIN((Skills!T17*(1+Inputs!$B$35/100)),MAX(0,Inputs!$B$44-((R1392-1)*(1/Q1392)))))/Inputs!$B$44),IF(Inputs!$B$39="pvp",MIN((Skills!T17*(1+Inputs!$B$35/100)),15)/15,MIN(1,(Skills!T17*(1+Inputs!$B$35/100))/(1/Q1392)))))+((C1380=TRUE)*IF(Inputs!$B$3&gt;=126,10*MIN(1,15*Q1380),0))+((C1389=TRUE)*IF(Inputs!$B$39="pvp",20,(1-Summary!$B$11)*(20)+Summary!$B$11*(0))*IF(AND(Inputs!$B$39&lt;&gt;"pvp",Inputs!$B$44&gt;0),(((R1389-1)*MIN((Skills!T14*(1+Inputs!$B$35/100)),(1/Q1389))+MIN((Skills!T14*(1+Inputs!$B$35/100)),MAX(0,Inputs!$B$44-((R1389-1)*(1/Q1389)))))/Inputs!$B$44),IF(Inputs!$B$39="pvp",MIN((Skills!T14*(1+Inputs!$B$35/100)),15)/15,MIN(1,(Skills!T14*(1+Inputs!$B$35/100))/(1/Q1389)))))+((C1388=TRUE)*IF(Inputs!$B$3&gt;=82,IF(Inputs!$B$39="pvp",20,(1-Summary!$B$11)*(20)+Summary!$B$11*(0)),0)*IF(AND(Inputs!$B$39&lt;&gt;"pvp",Inputs!$B$44&gt;0),(((R1388-1)*MIN((Skills!T13*(1+Inputs!$B$35/100)),(1/Q1388))+MIN((Skills!T13*(1+Inputs!$B$35/100)),MAX(0,Inputs!$B$44-((R1388-1)*(1/Q1388)))))/Inputs!$B$44),IF(Inputs!$B$39="pvp",MIN((Skills!T13*(1+Inputs!$B$35/100)),15)/15,MIN(1,(Skills!T13*(1+Inputs!$B$35/100))/(1/Q1388)))))+(IF(AND(ArtifactsInput!$M$35,Inputs!$B$4&lt;&gt;"Chapter Hunt"),CHOOSE(ArtifactsInput!$N$35+1,15,18,21,24,27,30)*(1-EXP(-(0.2*B1406)*5)),0)+IF(AND(ArtifactsInput!$M$22,Inputs!$B$4&lt;&gt;"Chapter Hunt"),CHOOSE(ArtifactsInput!$N$22+1,10,12,14,16,18,20)*((0*(((0.15*B1406*5))^0/1)+1*(((0.15*B1406*5))^1/1)+2*(((0.15*B1406*5))^2/2)+3*(((0.15*B1406*5))^3/6)+4*(((0.15*B1406*5))^4/24)+5*(((0.15*B1406*5))^5/120))/((((0.15*B1406*5))^0/1)+(((0.15*B1406*5))^1/1)+(((0.15*B1406*5))^2/2)+(((0.15*B1406*5))^3/6)+(((0.15*B1406*5))^4/24)+(((0.15*B1406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1382*(1-MIN(100,(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M1382*(MIN(100,(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L1382*(1-MIN(100,(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1382*(MIN(100,(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82">
        <f>IF(C1382,(H1382*N1382*IF(AND(Inputs!$B$39&lt;&gt;"pvp",Inputs!$B$44&gt;0),((Skills!G7*((R1382-1)*IF(Skills!H7&gt;0,INT(Skills!I7/Skills!H7+0.000000001),1)+IF(Skills!H7&gt;0,INT(MIN(Skills!I7,MAX(0,MAX(0,Inputs!$B$44-B1411)-((R1382-1)*IF(Inputs!$B$39="pvp",15,MAX(0.1,Skills!D7-IF(TRUE=TRUE,Inputs!$B$33,0))))))/Skills!H7+0.000000001),1)))/Inputs!$B$44),G1382*Q1382))*IF(Inputs!$B$39="pvp",1,(1+(Inputs!$B$22+Skills!Q7+((C1392=TRUE)*F1392*IF(AND(Inputs!$B$39&lt;&gt;"pvp",Inputs!$B$44&gt;0),(((R1392-1)*MIN((Skills!T17*(1+Inputs!$B$35/100)),(1/Q1392))+MIN((Skills!T17*(1+Inputs!$B$35/100)),MAX(0,Inputs!$B$44-((R1392-1)*(1/Q1392)))))/Inputs!$B$44),IF(Inputs!$B$39="pvp",MIN((Skills!T17*(1+Inputs!$B$35/100)),15)/15,MIN(1,(Skills!T17*(1+Inputs!$B$35/100))/(1/Q1392)))))+((C1380=TRUE)*IF(Inputs!$B$3&gt;=126,10*MIN(1,15*Q1380),0))+((C1389=TRUE)*IF(Inputs!$B$39="pvp",20,(1-Summary!$B$11)*(20)+Summary!$B$11*(0))*IF(AND(Inputs!$B$39&lt;&gt;"pvp",Inputs!$B$44&gt;0),(((R1389-1)*MIN((Skills!T14*(1+Inputs!$B$35/100)),(1/Q1389))+MIN((Skills!T14*(1+Inputs!$B$35/100)),MAX(0,Inputs!$B$44-((R1389-1)*(1/Q1389)))))/Inputs!$B$44),IF(Inputs!$B$39="pvp",MIN((Skills!T14*(1+Inputs!$B$35/100)),15)/15,MIN(1,(Skills!T14*(1+Inputs!$B$35/100))/(1/Q1389)))))+((C1388=TRUE)*IF(Inputs!$B$3&gt;=82,IF(Inputs!$B$39="pvp",20,(1-Summary!$B$11)*(20)+Summary!$B$11*(0)),0)*IF(AND(Inputs!$B$39&lt;&gt;"pvp",Inputs!$B$44&gt;0),(((R1388-1)*MIN((Skills!T13*(1+Inputs!$B$35/100)),(1/Q1388))+MIN((Skills!T13*(1+Inputs!$B$35/100)),MAX(0,Inputs!$B$44-((R1388-1)*(1/Q1388)))))/Inputs!$B$44),IF(Inputs!$B$39="pvp",MIN((Skills!T13*(1+Inputs!$B$35/100)),15)/15,MIN(1,(Skills!T13*(1+Inputs!$B$35/100))/(1/Q1388)))))+(IF(AND(ArtifactsInput!$M$35,Inputs!$B$4&lt;&gt;"Chapter Hunt"),CHOOSE(ArtifactsInput!$N$35+1,15,18,21,24,27,30)*(1-EXP(-(0.2*B1406)*5)),0)+IF(AND(ArtifactsInput!$M$22,Inputs!$B$4&lt;&gt;"Chapter Hunt"),CHOOSE(ArtifactsInput!$N$22+1,10,12,14,16,18,20)*((0*(((0.15*B1406*5))^0/1)+1*(((0.15*B1406*5))^1/1)+2*(((0.15*B1406*5))^2/2)+3*(((0.15*B1406*5))^3/6)+4*(((0.15*B1406*5))^4/24)+5*(((0.15*B1406*5))^5/120))/((((0.15*B1406*5))^0/1)+(((0.15*B1406*5))^1/1)+(((0.15*B1406*5))^2/2)+(((0.15*B1406*5))^3/6)+(((0.15*B1406*5))^4/24)+(((0.15*B1406*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83">
      <c r="A1383">
        <f>Skills!A8</f>
        <v/>
      </c>
      <c r="B1383">
        <f>Skills!B8</f>
        <v/>
      </c>
      <c r="C1383">
        <f>Inputs!$B$3&gt;=75</f>
        <v/>
      </c>
      <c r="D1383">
        <f>IF(Skills!C8=1,60+Inputs!$B$26+Inputs!$B$30,IF(Skills!C8=2,90+Inputs!$B$27+Inputs!$B$30,IF(Skills!C8=3,120+Inputs!$B$28+Inputs!$B$30,MAX(0,(Inputs!$B$3-100)*3)+Inputs!$B$29+Inputs!$B$30)))</f>
        <v/>
      </c>
      <c r="E1383">
        <f>INDEX(FactorTable!$B$2:$Y$301, MATCH(ROUND(MIN(300,MAX(1,D1383)),0), FactorTable!$A$2:$A$301,0), Skills!M8+1)</f>
        <v/>
      </c>
      <c r="F1383">
        <f>IF(Skills!N8=TRUE,(Skills!L8/10)*(E1383/1000),Skills!L8/10)+Skills!O8</f>
        <v/>
      </c>
      <c r="G1383" t="inlineStr"/>
      <c r="H1383" t="inlineStr"/>
      <c r="I1383" t="inlineStr">
        <is>
          <t>1</t>
        </is>
      </c>
      <c r="J1383" t="inlineStr"/>
      <c r="K1383" t="inlineStr"/>
      <c r="L1383" t="inlineStr"/>
      <c r="M1383" t="inlineStr"/>
      <c r="N1383" t="inlineStr"/>
      <c r="O1383" t="inlineStr"/>
      <c r="P1383" t="inlineStr"/>
      <c r="Q1383" t="inlineStr"/>
      <c r="R1383" t="inlineStr"/>
      <c r="S1383" t="inlineStr"/>
    </row>
    <row r="1384">
      <c r="A1384">
        <f>Skills!A9</f>
        <v/>
      </c>
      <c r="B1384">
        <f>Skills!B9</f>
        <v/>
      </c>
      <c r="C1384">
        <f>Inputs!$B$3&gt;=60</f>
        <v/>
      </c>
      <c r="D1384">
        <f>IF(Skills!C9=1,60+Inputs!$B$26+Inputs!$B$30,IF(Skills!C9=2,90+Inputs!$B$27+Inputs!$B$30,IF(Skills!C9=3,120+Inputs!$B$28+Inputs!$B$30,MAX(0,(Inputs!$B$3-100)*3)+Inputs!$B$29+Inputs!$B$30)))</f>
        <v/>
      </c>
      <c r="E1384">
        <f>INDEX(FactorTable!$B$2:$Y$301, MATCH(ROUND(MIN(300,MAX(1,D1384)),0), FactorTable!$A$2:$A$301,0), Skills!M9+1)</f>
        <v/>
      </c>
      <c r="F1384">
        <f>IF(Skills!N9=TRUE,(Skills!L9/10)*(E1384/1000),Skills!L9/10)+Skills!O9</f>
        <v/>
      </c>
      <c r="G1384">
        <f>Skills!G9*IF(Skills!H9&gt;0,INT(IF(Inputs!$B$39="pvp",MIN(Skills!I9,15),Skills!I9)/Skills!H9+0.000000001),1)</f>
        <v/>
      </c>
      <c r="H1384">
        <f>1-(1-Skills!J9/100)^Skills!K9</f>
        <v/>
      </c>
      <c r="I1384" t="inlineStr">
        <is>
          <t>1</t>
        </is>
      </c>
      <c r="J1384">
        <f>((Inputs!$B$6*(1+Inputs!$B$7/100))+(((Inputs!$B$13*(1+Inputs!$B$14/100))-(Inputs!$B$13*(1+Inputs!$B$14/100)))+0.25*(Inputs!$B$15-Inputs!$B$15))*(1+Inputs!$B$7/100))*(F1384/100)</f>
        <v/>
      </c>
      <c r="K1384">
        <f>J1384*(1+(((Inputs!$B$13+IF(Inputs!$B$3&gt;=38,(10*INDEX(FactorTable!$B$2:$Y$301, MATCH(ROUND(MIN(300,MAX(1,Inputs!$B$3)),0), FactorTable!$A$2:$A$301,0), 23)/1000)/100*(Inputs!$B$8*(1+Inputs!$B$9/100)),0))*(1+Inputs!$B$14/100))*0.01+Inputs!$B$15*0.0025)/100)*(1+Inputs!$B$16/100)*(1+Inputs!$B$17/100)*(5000/(6000+Inputs!$B$43*(1-(Inputs!$B$20+0)/100)))*(1+(Inputs!$B$25+((C1400=TRUE)*(F1400-Calc!F25))+((C1401=TRUE)*(F1401-Calc!F26))+B1410)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1386=TRUE,F1386,0)/100)*(1+(IF(Skills!A9="DARK_IMPALE",Inputs!$B$18+0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gt;=100),MIN(100,((Inputs!$B$10+0+B1404+(ArtifactsInput!$M$24-ArtifactsInput!$M$24)*CHOOSE(ArtifactsInput!$N$24+1,10,12,14,16,18,20)+IF(ArtifactsInput!$M$10,CHOOSE(ArtifactsInput!$N$10+1,15,18,21,24,27,30)*(IF(Inputs!$B$39="pvp",MIN(15,15)/15,IF(AND(Inputs!$B$39&lt;&gt;"pvp",Inputs!$B$44&gt;0),MIN(15,Inputs!$B$44)/(Inputs!$B$44),0))),0)))-100),0))*CHOOSE(ArtifactsInput!$N$42+1,0.6,0.72,0.84,0.96,1.08,1.2))),Inputs!$B$19+((C1398=TRUE)*(F1398-Calc!F23))+(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gt;=100),CHOOSE(ArtifactsInput!$N$42+1,40,48,56,64,72,80),0))))/100)*((1+(((C1388=TRUE)*F1388*IF(AND(Inputs!$B$39&lt;&gt;"pvp",Inputs!$B$44&gt;0),(((R1388-1)*MIN((Skills!T13*(1+Inputs!$B$35/100)),(1/Q1388))+MIN((Skills!T13*(1+Inputs!$B$35/100)),MAX(0,Inputs!$B$44-((R1388-1)*(1/Q1388)))))/Inputs!$B$44),IF(Inputs!$B$39="pvp",MIN((Skills!T13*(1+Inputs!$B$35/100)),15)/15,MIN(1,(Skills!T13*(1+Inputs!$B$35/100))/(1/Q1388)))))+((C1389=TRUE)*F1389*IF(AND(Inputs!$B$39&lt;&gt;"pvp",Inputs!$B$44&gt;0),(((R1389-1)*MIN((Skills!T14*(1+Inputs!$B$35/100)),(1/Q1389))+MIN((Skills!T14*(1+Inputs!$B$35/100)),MAX(0,Inputs!$B$44-((R1389-1)*(1/Q1389)))))/Inputs!$B$44),IF(Inputs!$B$39="pvp",MIN((Skills!T14*(1+Inputs!$B$35/100)),15)/15,MIN(1,(Skills!T14*(1+Inputs!$B$35/100))/(1/Q1389)))))+((C1390=TRUE)*F1390*IF(AND(Inputs!$B$39&lt;&gt;"pvp",Inputs!$B$44&gt;0),(((R1390-1)*MIN((Skills!T15*(1+Inputs!$B$35/100)),(1/Q1390))+MIN((Skills!T15*(1+Inputs!$B$35/100)),MAX(0,Inputs!$B$44-((R1390-1)*(1/Q1390)))))/Inputs!$B$44),IF(Inputs!$B$39="pvp",MIN((Skills!T15*(1+Inputs!$B$35/100)),15)/15,MIN(1,(Skills!T15*(1+Inputs!$B$35/100))/(1/Q1390)))))+((C1391=TRUE)*F1391*IF(AND(Inputs!$B$39&lt;&gt;"pvp",Inputs!$B$44&gt;0),(((R1391-1)*MIN((Skills!T16*(1+Inputs!$B$35/100)),(1/Q1391))+MIN((Skills!T16*(1+Inputs!$B$35/100)),MAX(0,Inputs!$B$44-((R1391-1)*(1/Q1391)))))/Inputs!$B$44),IF(Inputs!$B$39="pvp",MIN((Skills!T16*(1+Inputs!$B$35/100)),15)/15,MIN(1,(Skills!T16*(1+Inputs!$B$35/100))/(1/Q1391)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1384)</f>
        <v/>
      </c>
      <c r="L1384">
        <f>K1384*(MIN(Inputs!$B$23+((C1397=TRUE)*(F1397-Calc!F22)),(Inputs!$B$24+((C1399=TRUE)*(F1399-Calc!F24))+(IF(ArtifactsInput!$M$15,CHOOSE(ArtifactsInput!$N$15+1,25,30,35,40,45,50)/100*(Inputs!$B$12-Inputs!$B$12),0))))/100+(Inputs!$B$24+((C1399=TRUE)*(F1399-Calc!F24))+(IF(ArtifactsInput!$M$15,CHOOSE(ArtifactsInput!$N$15+1,25,30,35,40,45,50)/100*(Inputs!$B$12-Inputs!$B$12),0)))/100)/2</f>
        <v/>
      </c>
      <c r="M1384">
        <f>L1384*(1+(Inputs!$B$11+0+B1409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384">
        <f>L1384*(1-MIN((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1384*(MIN((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84">
        <f>(1-Summary!$B$11)*T1384+Summary!$B$11*V1384</f>
        <v/>
      </c>
      <c r="P1384">
        <f>IF(B1414=0,0,O1384/B1414)</f>
        <v/>
      </c>
      <c r="Q1384">
        <f>IFERROR(1/IF(Inputs!$B$39="pvp",15,MAX(0.1,Skills!D9-IF(TRUE=TRUE,Inputs!$B$33,0))),0)</f>
        <v/>
      </c>
      <c r="R1384">
        <f>IF(AND(Inputs!$B$39&lt;&gt;"pvp",Inputs!$B$44&gt;0),IF(MAX(0,Inputs!$B$44-B1411)&lt;=0,0,(INT(MAX(0,Inputs!$B$44-B1411)/IF(Inputs!$B$39="pvp",15,MAX(0.1,Skills!D9-IF(TRUE=TRUE,Inputs!$B$33,0))))+1)),0)</f>
        <v/>
      </c>
      <c r="S1384">
        <f>IFERROR(O1384/N1384,0)</f>
        <v/>
      </c>
      <c r="T1384">
        <f>IF(C1384,(H1384*N1384*IF(AND(Inputs!$B$39&lt;&gt;"pvp",Inputs!$B$44&gt;0),((Skills!G9*((R1384-1)*IF(Skills!H9&gt;0,INT(Skills!I9/Skills!H9+0.000000001),1)+IF(Skills!H9&gt;0,INT(MIN(Skills!I9,MAX(0,MAX(0,Inputs!$B$44-B1411)-((R1384-1)*IF(Inputs!$B$39="pvp",15,MAX(0.1,Skills!D9-IF(TRUE=TRUE,Inputs!$B$33,0))))))/Skills!H9+0.000000001),1)))/Inputs!$B$44),G1384*Q1384))*IF(Inputs!$B$39="pvp",1,1+(Inputs!$B$21+0+Skills!P9+((C1392=TRUE)*F1392*IF(AND(Inputs!$B$39&lt;&gt;"pvp",Inputs!$B$44&gt;0),(((R1392-1)*MIN((Skills!T17*(1+Inputs!$B$35/100)),(1/Q1392))+MIN((Skills!T17*(1+Inputs!$B$35/100)),MAX(0,Inputs!$B$44-((R1392-1)*(1/Q1392)))))/Inputs!$B$44),IF(Inputs!$B$39="pvp",MIN((Skills!T17*(1+Inputs!$B$35/100)),15)/15,MIN(1,(Skills!T17*(1+Inputs!$B$35/100))/(1/Q1392)))))+((C1380=TRUE)*IF(Inputs!$B$3&gt;=126,10*MIN(1,15*Q1380),0))+((C1389=TRUE)*IF(Inputs!$B$39="pvp",20,(1-Summary!$B$11)*(20)+Summary!$B$11*(0))*IF(AND(Inputs!$B$39&lt;&gt;"pvp",Inputs!$B$44&gt;0),(((R1389-1)*MIN((Skills!T14*(1+Inputs!$B$35/100)),(1/Q1389))+MIN((Skills!T14*(1+Inputs!$B$35/100)),MAX(0,Inputs!$B$44-((R1389-1)*(1/Q1389)))))/Inputs!$B$44),IF(Inputs!$B$39="pvp",MIN((Skills!T14*(1+Inputs!$B$35/100)),15)/15,MIN(1,(Skills!T14*(1+Inputs!$B$35/100))/(1/Q1389)))))+((C1388=TRUE)*IF(Inputs!$B$3&gt;=82,IF(Inputs!$B$39="pvp",20,(1-Summary!$B$11)*(20)+Summary!$B$11*(0)),0)*IF(AND(Inputs!$B$39&lt;&gt;"pvp",Inputs!$B$44&gt;0),(((R1388-1)*MIN((Skills!T13*(1+Inputs!$B$35/100)),(1/Q1388))+MIN((Skills!T13*(1+Inputs!$B$35/100)),MAX(0,Inputs!$B$44-((R1388-1)*(1/Q1388)))))/Inputs!$B$44),IF(Inputs!$B$39="pvp",MIN((Skills!T13*(1+Inputs!$B$35/100)),15)/15,MIN(1,(Skills!T13*(1+Inputs!$B$35/100))/(1/Q1388)))))+(IF(AND(ArtifactsInput!$M$35,Inputs!$B$4&lt;&gt;"Chapter Hunt"),CHOOSE(ArtifactsInput!$N$35+1,15,18,21,24,27,30)*(1-EXP(-(0.2*B1406)*5)),0)+IF(AND(ArtifactsInput!$M$22,Inputs!$B$4&lt;&gt;"Chapter Hunt"),CHOOSE(ArtifactsInput!$N$22+1,10,12,14,16,18,20)*((0*(((0.15*B1406*5))^0/1)+1*(((0.15*B1406*5))^1/1)+2*(((0.15*B1406*5))^2/2)+3*(((0.15*B1406*5))^3/6)+4*(((0.15*B1406*5))^4/24)+5*(((0.15*B1406*5))^5/120))/((((0.15*B1406*5))^0/1)+(((0.15*B1406*5))^1/1)+(((0.15*B1406*5))^2/2)+(((0.15*B1406*5))^3/6)+(((0.15*B1406*5))^4/24)+(((0.15*B1406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1384*(1-MIN(100,(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M1384*(MIN(100,(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L1384*(1-MIN(100,(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1384*(MIN(100,(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84">
        <f>IF(C1384,(H1384*N1384*IF(AND(Inputs!$B$39&lt;&gt;"pvp",Inputs!$B$44&gt;0),((Skills!G9*((R1384-1)*IF(Skills!H9&gt;0,INT(Skills!I9/Skills!H9+0.000000001),1)+IF(Skills!H9&gt;0,INT(MIN(Skills!I9,MAX(0,MAX(0,Inputs!$B$44-B1411)-((R1384-1)*IF(Inputs!$B$39="pvp",15,MAX(0.1,Skills!D9-IF(TRUE=TRUE,Inputs!$B$33,0))))))/Skills!H9+0.000000001),1)))/Inputs!$B$44),G1384*Q1384))*IF(Inputs!$B$39="pvp",1,(1+(Inputs!$B$22+Skills!Q9+((C1392=TRUE)*F1392*IF(AND(Inputs!$B$39&lt;&gt;"pvp",Inputs!$B$44&gt;0),(((R1392-1)*MIN((Skills!T17*(1+Inputs!$B$35/100)),(1/Q1392))+MIN((Skills!T17*(1+Inputs!$B$35/100)),MAX(0,Inputs!$B$44-((R1392-1)*(1/Q1392)))))/Inputs!$B$44),IF(Inputs!$B$39="pvp",MIN((Skills!T17*(1+Inputs!$B$35/100)),15)/15,MIN(1,(Skills!T17*(1+Inputs!$B$35/100))/(1/Q1392)))))+((C1380=TRUE)*IF(Inputs!$B$3&gt;=126,10*MIN(1,15*Q1380),0))+((C1389=TRUE)*IF(Inputs!$B$39="pvp",20,(1-Summary!$B$11)*(20)+Summary!$B$11*(0))*IF(AND(Inputs!$B$39&lt;&gt;"pvp",Inputs!$B$44&gt;0),(((R1389-1)*MIN((Skills!T14*(1+Inputs!$B$35/100)),(1/Q1389))+MIN((Skills!T14*(1+Inputs!$B$35/100)),MAX(0,Inputs!$B$44-((R1389-1)*(1/Q1389)))))/Inputs!$B$44),IF(Inputs!$B$39="pvp",MIN((Skills!T14*(1+Inputs!$B$35/100)),15)/15,MIN(1,(Skills!T14*(1+Inputs!$B$35/100))/(1/Q1389)))))+((C1388=TRUE)*IF(Inputs!$B$3&gt;=82,IF(Inputs!$B$39="pvp",20,(1-Summary!$B$11)*(20)+Summary!$B$11*(0)),0)*IF(AND(Inputs!$B$39&lt;&gt;"pvp",Inputs!$B$44&gt;0),(((R1388-1)*MIN((Skills!T13*(1+Inputs!$B$35/100)),(1/Q1388))+MIN((Skills!T13*(1+Inputs!$B$35/100)),MAX(0,Inputs!$B$44-((R1388-1)*(1/Q1388)))))/Inputs!$B$44),IF(Inputs!$B$39="pvp",MIN((Skills!T13*(1+Inputs!$B$35/100)),15)/15,MIN(1,(Skills!T13*(1+Inputs!$B$35/100))/(1/Q1388)))))+(IF(AND(ArtifactsInput!$M$35,Inputs!$B$4&lt;&gt;"Chapter Hunt"),CHOOSE(ArtifactsInput!$N$35+1,15,18,21,24,27,30)*(1-EXP(-(0.2*B1406)*5)),0)+IF(AND(ArtifactsInput!$M$22,Inputs!$B$4&lt;&gt;"Chapter Hunt"),CHOOSE(ArtifactsInput!$N$22+1,10,12,14,16,18,20)*((0*(((0.15*B1406*5))^0/1)+1*(((0.15*B1406*5))^1/1)+2*(((0.15*B1406*5))^2/2)+3*(((0.15*B1406*5))^3/6)+4*(((0.15*B1406*5))^4/24)+5*(((0.15*B1406*5))^5/120))/((((0.15*B1406*5))^0/1)+(((0.15*B1406*5))^1/1)+(((0.15*B1406*5))^2/2)+(((0.15*B1406*5))^3/6)+(((0.15*B1406*5))^4/24)+(((0.15*B1406*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85">
      <c r="A1385">
        <f>Skills!A10</f>
        <v/>
      </c>
      <c r="B1385">
        <f>Skills!B10</f>
        <v/>
      </c>
      <c r="C1385">
        <f>Inputs!$B$3&gt;=110</f>
        <v/>
      </c>
      <c r="D1385">
        <f>IF(Skills!C10=1,60+Inputs!$B$26+Inputs!$B$30,IF(Skills!C10=2,90+Inputs!$B$27+Inputs!$B$30,IF(Skills!C10=3,120+Inputs!$B$28+Inputs!$B$30,MAX(0,(Inputs!$B$3-100)*3)+Inputs!$B$29+Inputs!$B$30)))</f>
        <v/>
      </c>
      <c r="E1385">
        <f>INDEX(FactorTable!$B$2:$Y$301, MATCH(ROUND(MIN(300,MAX(1,D1385)),0), FactorTable!$A$2:$A$301,0), Skills!M10+1)</f>
        <v/>
      </c>
      <c r="F1385">
        <f>IF(Skills!N10=TRUE,(Skills!L10/10)*(E1385/1000),Skills!L10/10)+Skills!O10</f>
        <v/>
      </c>
      <c r="G1385">
        <f>Skills!G10*IF(Skills!H10&gt;0,INT(IF(Inputs!$B$39="pvp",MIN(Skills!I10,15),Skills!I10)/Skills!H10+0.000000001),1)</f>
        <v/>
      </c>
      <c r="H1385">
        <f>1-(1-Skills!J10/100)^Skills!K10</f>
        <v/>
      </c>
      <c r="I1385" t="inlineStr">
        <is>
          <t>1</t>
        </is>
      </c>
      <c r="J1385">
        <f>((Inputs!$B$6*(1+Inputs!$B$7/100))+(((Inputs!$B$13*(1+Inputs!$B$14/100))-(Inputs!$B$13*(1+Inputs!$B$14/100)))+0.25*(Inputs!$B$15-Inputs!$B$15))*(1+Inputs!$B$7/100))*(F1385/100)</f>
        <v/>
      </c>
      <c r="K1385">
        <f>J1385*(1+(((Inputs!$B$13+IF(Inputs!$B$3&gt;=38,(10*INDEX(FactorTable!$B$2:$Y$301, MATCH(ROUND(MIN(300,MAX(1,Inputs!$B$3)),0), FactorTable!$A$2:$A$301,0), 23)/1000)/100*(Inputs!$B$8*(1+Inputs!$B$9/100)),0))*(1+Inputs!$B$14/100))*0.01+Inputs!$B$15*0.0025)/100)*(1+Inputs!$B$16/100)*(1+Inputs!$B$17/100)*(5000/(6000+Inputs!$B$43*(1-(Inputs!$B$20+0)/100)))*(1+(Inputs!$B$25+((C1400=TRUE)*(F1400-Calc!F25))+((C1401=TRUE)*(F1401-Calc!F26))+B1410)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gt;=100),MIN(100,((Inputs!$B$10+0+B1404+(ArtifactsInput!$M$24-ArtifactsInput!$M$24)*CHOOSE(ArtifactsInput!$N$24+1,10,12,14,16,18,20)+IF(ArtifactsInput!$M$10,CHOOSE(ArtifactsInput!$N$10+1,15,18,21,24,27,30)*(IF(Inputs!$B$39="pvp",MIN(15,15)/15,IF(AND(Inputs!$B$39&lt;&gt;"pvp",Inputs!$B$44&gt;0),MIN(15,Inputs!$B$44)/(Inputs!$B$44),0))),0)))-100),0))*CHOOSE(ArtifactsInput!$N$42+1,0.6,0.72,0.84,0.96,1.08,1.2))),Inputs!$B$19+((C1398=TRUE)*(F1398-Calc!F23))+(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gt;=100),CHOOSE(ArtifactsInput!$N$42+1,40,48,56,64,72,80),0))))/100)*((1+(((C1388=TRUE)*F1388*IF(AND(Inputs!$B$39&lt;&gt;"pvp",Inputs!$B$44&gt;0),(((R1388-1)*MIN((Skills!T13*(1+Inputs!$B$35/100)),(1/Q1388))+MIN((Skills!T13*(1+Inputs!$B$35/100)),MAX(0,Inputs!$B$44-((R1388-1)*(1/Q1388)))))/Inputs!$B$44),IF(Inputs!$B$39="pvp",MIN((Skills!T13*(1+Inputs!$B$35/100)),15)/15,MIN(1,(Skills!T13*(1+Inputs!$B$35/100))/(1/Q1388)))))+((C1389=TRUE)*F1389*IF(AND(Inputs!$B$39&lt;&gt;"pvp",Inputs!$B$44&gt;0),(((R1389-1)*MIN((Skills!T14*(1+Inputs!$B$35/100)),(1/Q1389))+MIN((Skills!T14*(1+Inputs!$B$35/100)),MAX(0,Inputs!$B$44-((R1389-1)*(1/Q1389)))))/Inputs!$B$44),IF(Inputs!$B$39="pvp",MIN((Skills!T14*(1+Inputs!$B$35/100)),15)/15,MIN(1,(Skills!T14*(1+Inputs!$B$35/100))/(1/Q1389)))))+((C1390=TRUE)*F1390*IF(AND(Inputs!$B$39&lt;&gt;"pvp",Inputs!$B$44&gt;0),(((R1390-1)*MIN((Skills!T15*(1+Inputs!$B$35/100)),(1/Q1390))+MIN((Skills!T15*(1+Inputs!$B$35/100)),MAX(0,Inputs!$B$44-((R1390-1)*(1/Q1390)))))/Inputs!$B$44),IF(Inputs!$B$39="pvp",MIN((Skills!T15*(1+Inputs!$B$35/100)),15)/15,MIN(1,(Skills!T15*(1+Inputs!$B$35/100))/(1/Q1390)))))+((C1391=TRUE)*F1391*IF(AND(Inputs!$B$39&lt;&gt;"pvp",Inputs!$B$44&gt;0),(((R1391-1)*MIN((Skills!T16*(1+Inputs!$B$35/100)),(1/Q1391))+MIN((Skills!T16*(1+Inputs!$B$35/100)),MAX(0,Inputs!$B$44-((R1391-1)*(1/Q1391)))))/Inputs!$B$44),IF(Inputs!$B$39="pvp",MIN((Skills!T16*(1+Inputs!$B$35/100)),15)/15,MIN(1,(Skills!T16*(1+Inputs!$B$35/100))/(1/Q1391)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1385)</f>
        <v/>
      </c>
      <c r="L1385">
        <f>K1385*(MIN(Inputs!$B$23+((C1397=TRUE)*(F1397-Calc!F22)),(Inputs!$B$24+((C1399=TRUE)*(F1399-Calc!F24))+(IF(ArtifactsInput!$M$15,CHOOSE(ArtifactsInput!$N$15+1,25,30,35,40,45,50)/100*(Inputs!$B$12-Inputs!$B$12),0))))/100+(Inputs!$B$24+((C1399=TRUE)*(F1399-Calc!F24))+(IF(ArtifactsInput!$M$15,CHOOSE(ArtifactsInput!$N$15+1,25,30,35,40,45,50)/100*(Inputs!$B$12-Inputs!$B$12),0)))/100)/2</f>
        <v/>
      </c>
      <c r="M1385">
        <f>L1385*(1+(Inputs!$B$11+0+B1409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385">
        <f>L1385*(1-MIN((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1385*(MIN((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85">
        <f>(1-Summary!$B$11)*T1385+Summary!$B$11*V1385</f>
        <v/>
      </c>
      <c r="P1385">
        <f>IF(B1414=0,0,O1385/B1414)</f>
        <v/>
      </c>
      <c r="Q1385">
        <f>IFERROR(1/IF(Inputs!$B$39="pvp",15,MAX(0.1,Skills!D10-IF(TRUE=TRUE,Inputs!$B$33,0))),0)</f>
        <v/>
      </c>
      <c r="R1385">
        <f>IF(AND(Inputs!$B$39&lt;&gt;"pvp",Inputs!$B$44&gt;0),IF(MAX(0,Inputs!$B$44-B1411)&lt;=0,0,(INT(MAX(0,Inputs!$B$44-B1411)/IF(Inputs!$B$39="pvp",15,MAX(0.1,Skills!D10-IF(TRUE=TRUE,Inputs!$B$33,0))))+1)),0)</f>
        <v/>
      </c>
      <c r="S1385">
        <f>IFERROR(O1385/N1385,0)</f>
        <v/>
      </c>
      <c r="T1385">
        <f>IF(C1385,(H1385*N1385*IF(AND(Inputs!$B$39&lt;&gt;"pvp",Inputs!$B$44&gt;0),((Skills!G10*((R1385-1)*IF(Skills!H10&gt;0,INT(Skills!I10/Skills!H10+0.000000001),1)+IF(Skills!H10&gt;0,INT(MIN(Skills!I10,MAX(0,MAX(0,Inputs!$B$44-B1411)-((R1385-1)*IF(Inputs!$B$39="pvp",15,MAX(0.1,Skills!D10-IF(TRUE=TRUE,Inputs!$B$33,0))))))/Skills!H10+0.000000001),1)))/Inputs!$B$44),G1385*Q1385))*IF(Inputs!$B$39="pvp",1,1+(Inputs!$B$21+0+Skills!P10+((C1392=TRUE)*F1392*IF(AND(Inputs!$B$39&lt;&gt;"pvp",Inputs!$B$44&gt;0),(((R1392-1)*MIN((Skills!T17*(1+Inputs!$B$35/100)),(1/Q1392))+MIN((Skills!T17*(1+Inputs!$B$35/100)),MAX(0,Inputs!$B$44-((R1392-1)*(1/Q1392)))))/Inputs!$B$44),IF(Inputs!$B$39="pvp",MIN((Skills!T17*(1+Inputs!$B$35/100)),15)/15,MIN(1,(Skills!T17*(1+Inputs!$B$35/100))/(1/Q1392)))))+((C1380=TRUE)*IF(Inputs!$B$3&gt;=126,10*MIN(1,15*Q1380),0))+((C1389=TRUE)*IF(Inputs!$B$39="pvp",20,(1-Summary!$B$11)*(20)+Summary!$B$11*(0))*IF(AND(Inputs!$B$39&lt;&gt;"pvp",Inputs!$B$44&gt;0),(((R1389-1)*MIN((Skills!T14*(1+Inputs!$B$35/100)),(1/Q1389))+MIN((Skills!T14*(1+Inputs!$B$35/100)),MAX(0,Inputs!$B$44-((R1389-1)*(1/Q1389)))))/Inputs!$B$44),IF(Inputs!$B$39="pvp",MIN((Skills!T14*(1+Inputs!$B$35/100)),15)/15,MIN(1,(Skills!T14*(1+Inputs!$B$35/100))/(1/Q1389)))))+((C1388=TRUE)*IF(Inputs!$B$3&gt;=82,IF(Inputs!$B$39="pvp",20,(1-Summary!$B$11)*(20)+Summary!$B$11*(0)),0)*IF(AND(Inputs!$B$39&lt;&gt;"pvp",Inputs!$B$44&gt;0),(((R1388-1)*MIN((Skills!T13*(1+Inputs!$B$35/100)),(1/Q1388))+MIN((Skills!T13*(1+Inputs!$B$35/100)),MAX(0,Inputs!$B$44-((R1388-1)*(1/Q1388)))))/Inputs!$B$44),IF(Inputs!$B$39="pvp",MIN((Skills!T13*(1+Inputs!$B$35/100)),15)/15,MIN(1,(Skills!T13*(1+Inputs!$B$35/100))/(1/Q1388)))))+(IF(AND(ArtifactsInput!$M$35,Inputs!$B$4&lt;&gt;"Chapter Hunt"),CHOOSE(ArtifactsInput!$N$35+1,15,18,21,24,27,30)*(1-EXP(-(0.2*B1406)*5)),0)+IF(AND(ArtifactsInput!$M$22,Inputs!$B$4&lt;&gt;"Chapter Hunt"),CHOOSE(ArtifactsInput!$N$22+1,10,12,14,16,18,20)*((0*(((0.15*B1406*5))^0/1)+1*(((0.15*B1406*5))^1/1)+2*(((0.15*B1406*5))^2/2)+3*(((0.15*B1406*5))^3/6)+4*(((0.15*B1406*5))^4/24)+5*(((0.15*B1406*5))^5/120))/((((0.15*B1406*5))^0/1)+(((0.15*B1406*5))^1/1)+(((0.15*B1406*5))^2/2)+(((0.15*B1406*5))^3/6)+(((0.15*B1406*5))^4/24)+(((0.15*B1406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1385*(1-MIN(100,(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M1385*(MIN(100,(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L1385*(1-MIN(100,(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1385*(MIN(100,(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85">
        <f>IF(C1385,(H1385*N1385*IF(AND(Inputs!$B$39&lt;&gt;"pvp",Inputs!$B$44&gt;0),((Skills!G10*((R1385-1)*IF(Skills!H10&gt;0,INT(Skills!I10/Skills!H10+0.000000001),1)+IF(Skills!H10&gt;0,INT(MIN(Skills!I10,MAX(0,MAX(0,Inputs!$B$44-B1411)-((R1385-1)*IF(Inputs!$B$39="pvp",15,MAX(0.1,Skills!D10-IF(TRUE=TRUE,Inputs!$B$33,0))))))/Skills!H10+0.000000001),1)))/Inputs!$B$44),G1385*Q1385))*IF(Inputs!$B$39="pvp",1,(1+(Inputs!$B$22+Skills!Q10+((C1392=TRUE)*F1392*IF(AND(Inputs!$B$39&lt;&gt;"pvp",Inputs!$B$44&gt;0),(((R1392-1)*MIN((Skills!T17*(1+Inputs!$B$35/100)),(1/Q1392))+MIN((Skills!T17*(1+Inputs!$B$35/100)),MAX(0,Inputs!$B$44-((R1392-1)*(1/Q1392)))))/Inputs!$B$44),IF(Inputs!$B$39="pvp",MIN((Skills!T17*(1+Inputs!$B$35/100)),15)/15,MIN(1,(Skills!T17*(1+Inputs!$B$35/100))/(1/Q1392)))))+((C1380=TRUE)*IF(Inputs!$B$3&gt;=126,10*MIN(1,15*Q1380),0))+((C1389=TRUE)*IF(Inputs!$B$39="pvp",20,(1-Summary!$B$11)*(20)+Summary!$B$11*(0))*IF(AND(Inputs!$B$39&lt;&gt;"pvp",Inputs!$B$44&gt;0),(((R1389-1)*MIN((Skills!T14*(1+Inputs!$B$35/100)),(1/Q1389))+MIN((Skills!T14*(1+Inputs!$B$35/100)),MAX(0,Inputs!$B$44-((R1389-1)*(1/Q1389)))))/Inputs!$B$44),IF(Inputs!$B$39="pvp",MIN((Skills!T14*(1+Inputs!$B$35/100)),15)/15,MIN(1,(Skills!T14*(1+Inputs!$B$35/100))/(1/Q1389)))))+((C1388=TRUE)*IF(Inputs!$B$3&gt;=82,IF(Inputs!$B$39="pvp",20,(1-Summary!$B$11)*(20)+Summary!$B$11*(0)),0)*IF(AND(Inputs!$B$39&lt;&gt;"pvp",Inputs!$B$44&gt;0),(((R1388-1)*MIN((Skills!T13*(1+Inputs!$B$35/100)),(1/Q1388))+MIN((Skills!T13*(1+Inputs!$B$35/100)),MAX(0,Inputs!$B$44-((R1388-1)*(1/Q1388)))))/Inputs!$B$44),IF(Inputs!$B$39="pvp",MIN((Skills!T13*(1+Inputs!$B$35/100)),15)/15,MIN(1,(Skills!T13*(1+Inputs!$B$35/100))/(1/Q1388)))))+(IF(AND(ArtifactsInput!$M$35,Inputs!$B$4&lt;&gt;"Chapter Hunt"),CHOOSE(ArtifactsInput!$N$35+1,15,18,21,24,27,30)*(1-EXP(-(0.2*B1406)*5)),0)+IF(AND(ArtifactsInput!$M$22,Inputs!$B$4&lt;&gt;"Chapter Hunt"),CHOOSE(ArtifactsInput!$N$22+1,10,12,14,16,18,20)*((0*(((0.15*B1406*5))^0/1)+1*(((0.15*B1406*5))^1/1)+2*(((0.15*B1406*5))^2/2)+3*(((0.15*B1406*5))^3/6)+4*(((0.15*B1406*5))^4/24)+5*(((0.15*B1406*5))^5/120))/((((0.15*B1406*5))^0/1)+(((0.15*B1406*5))^1/1)+(((0.15*B1406*5))^2/2)+(((0.15*B1406*5))^3/6)+(((0.15*B1406*5))^4/24)+(((0.15*B1406*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86">
      <c r="A1386">
        <f>Skills!A11</f>
        <v/>
      </c>
      <c r="B1386">
        <f>Skills!B11</f>
        <v/>
      </c>
      <c r="C1386">
        <f>Inputs!$B$3&gt;=100</f>
        <v/>
      </c>
      <c r="D1386">
        <f>IF(Skills!C11=1,60+Inputs!$B$26+Inputs!$B$30,IF(Skills!C11=2,90+Inputs!$B$27+Inputs!$B$30,IF(Skills!C11=3,120+Inputs!$B$28+Inputs!$B$30,MAX(0,(Inputs!$B$3-100)*3)+Inputs!$B$29+Inputs!$B$30)))</f>
        <v/>
      </c>
      <c r="E1386">
        <f>INDEX(FactorTable!$B$2:$Y$301, MATCH(ROUND(MIN(300,MAX(1,D1386)),0), FactorTable!$A$2:$A$301,0), Skills!M11+1)</f>
        <v/>
      </c>
      <c r="F1386">
        <f>IF(Skills!N11=TRUE,(Skills!L11/10)*(E1386/1000),Skills!L11/10)+Skills!O11</f>
        <v/>
      </c>
      <c r="G1386" t="inlineStr"/>
      <c r="H1386" t="inlineStr"/>
      <c r="I1386" t="inlineStr">
        <is>
          <t>1</t>
        </is>
      </c>
      <c r="J1386" t="inlineStr"/>
      <c r="K1386" t="inlineStr"/>
      <c r="L1386" t="inlineStr"/>
      <c r="M1386" t="inlineStr"/>
      <c r="N1386" t="inlineStr"/>
      <c r="O1386" t="inlineStr"/>
      <c r="P1386" t="inlineStr"/>
      <c r="Q1386" t="inlineStr"/>
      <c r="R1386" t="inlineStr"/>
      <c r="S1386" t="inlineStr"/>
    </row>
    <row r="1387">
      <c r="A1387">
        <f>Skills!A12</f>
        <v/>
      </c>
      <c r="B1387">
        <f>Skills!B12</f>
        <v/>
      </c>
      <c r="C1387">
        <f>Inputs!$B$3&gt;=63</f>
        <v/>
      </c>
      <c r="D1387">
        <f>IF(Skills!C12=1,60+Inputs!$B$26+Inputs!$B$30,IF(Skills!C12=2,90+Inputs!$B$27+Inputs!$B$30,IF(Skills!C12=3,120+Inputs!$B$28+Inputs!$B$30,MAX(0,(Inputs!$B$3-100)*3)+Inputs!$B$29+Inputs!$B$30)))</f>
        <v/>
      </c>
      <c r="E1387">
        <f>INDEX(FactorTable!$B$2:$Y$301, MATCH(ROUND(MIN(300,MAX(1,D1387)),0), FactorTable!$A$2:$A$301,0), Skills!M12+1)</f>
        <v/>
      </c>
      <c r="F1387">
        <f>IF(Skills!N12=TRUE,(Skills!L12/10)*(E1387/1000),Skills!L12/10)+Skills!O12</f>
        <v/>
      </c>
      <c r="G1387">
        <f>Skills!G12*IF(Skills!H12&gt;0,INT(IF(Inputs!$B$39="pvp",MIN(Skills!I12,15),Skills!I12)/Skills!H12+0.000000001),1)</f>
        <v/>
      </c>
      <c r="H1387">
        <f>1-(1-Skills!J12/100)^Skills!K12</f>
        <v/>
      </c>
      <c r="I1387" t="inlineStr">
        <is>
          <t>1</t>
        </is>
      </c>
      <c r="J1387">
        <f>((Inputs!$B$6*(1+Inputs!$B$7/100))+(((Inputs!$B$13*(1+Inputs!$B$14/100))-(Inputs!$B$13*(1+Inputs!$B$14/100)))+0.25*(Inputs!$B$15-Inputs!$B$15))*(1+Inputs!$B$7/100))*(F1387/100)</f>
        <v/>
      </c>
      <c r="K1387">
        <f>J1387*(1+(((Inputs!$B$13+IF(Inputs!$B$3&gt;=38,(10*INDEX(FactorTable!$B$2:$Y$301, MATCH(ROUND(MIN(300,MAX(1,Inputs!$B$3)),0), FactorTable!$A$2:$A$301,0), 23)/1000)/100*(Inputs!$B$8*(1+Inputs!$B$9/100)),0))*(1+Inputs!$B$14/100))*0.01+Inputs!$B$15*0.0025)/100)*(1+Inputs!$B$16/100)*(1+Inputs!$B$17/100)*(5000/(6000+Inputs!$B$43*(1-(Inputs!$B$20+0)/100)))*(1+(Inputs!$B$25+((C1400=TRUE)*(F1400-Calc!F25))+((C1401=TRUE)*(F1401-Calc!F26))+B1410)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1386=TRUE,F1386,0)/100)*(1+(IF(Skills!A12="DARK_IMPALE",Inputs!$B$18+0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gt;=100),MIN(100,((Inputs!$B$10+0+B1404+(ArtifactsInput!$M$24-ArtifactsInput!$M$24)*CHOOSE(ArtifactsInput!$N$24+1,10,12,14,16,18,20)+IF(ArtifactsInput!$M$10,CHOOSE(ArtifactsInput!$N$10+1,15,18,21,24,27,30)*(IF(Inputs!$B$39="pvp",MIN(15,15)/15,IF(AND(Inputs!$B$39&lt;&gt;"pvp",Inputs!$B$44&gt;0),MIN(15,Inputs!$B$44)/(Inputs!$B$44),0))),0)))-100),0))*CHOOSE(ArtifactsInput!$N$42+1,0.6,0.72,0.84,0.96,1.08,1.2))),Inputs!$B$19+((C1398=TRUE)*(F1398-Calc!F23))+(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gt;=100),CHOOSE(ArtifactsInput!$N$42+1,40,48,56,64,72,80),0))))/100)*((1+(((C1388=TRUE)*F1388*IF(AND(Inputs!$B$39&lt;&gt;"pvp",Inputs!$B$44&gt;0),(((R1388-1)*MIN((Skills!T13*(1+Inputs!$B$35/100)),(1/Q1388))+MIN((Skills!T13*(1+Inputs!$B$35/100)),MAX(0,Inputs!$B$44-((R1388-1)*(1/Q1388)))))/Inputs!$B$44),IF(Inputs!$B$39="pvp",MIN((Skills!T13*(1+Inputs!$B$35/100)),15)/15,MIN(1,(Skills!T13*(1+Inputs!$B$35/100))/(1/Q1388)))))+((C1389=TRUE)*F1389*IF(AND(Inputs!$B$39&lt;&gt;"pvp",Inputs!$B$44&gt;0),(((R1389-1)*MIN((Skills!T14*(1+Inputs!$B$35/100)),(1/Q1389))+MIN((Skills!T14*(1+Inputs!$B$35/100)),MAX(0,Inputs!$B$44-((R1389-1)*(1/Q1389)))))/Inputs!$B$44),IF(Inputs!$B$39="pvp",MIN((Skills!T14*(1+Inputs!$B$35/100)),15)/15,MIN(1,(Skills!T14*(1+Inputs!$B$35/100))/(1/Q1389)))))+((C1390=TRUE)*F1390*IF(AND(Inputs!$B$39&lt;&gt;"pvp",Inputs!$B$44&gt;0),(((R1390-1)*MIN((Skills!T15*(1+Inputs!$B$35/100)),(1/Q1390))+MIN((Skills!T15*(1+Inputs!$B$35/100)),MAX(0,Inputs!$B$44-((R1390-1)*(1/Q1390)))))/Inputs!$B$44),IF(Inputs!$B$39="pvp",MIN((Skills!T15*(1+Inputs!$B$35/100)),15)/15,MIN(1,(Skills!T15*(1+Inputs!$B$35/100))/(1/Q1390)))))+((C1391=TRUE)*F1391*IF(AND(Inputs!$B$39&lt;&gt;"pvp",Inputs!$B$44&gt;0),(((R1391-1)*MIN((Skills!T16*(1+Inputs!$B$35/100)),(1/Q1391))+MIN((Skills!T16*(1+Inputs!$B$35/100)),MAX(0,Inputs!$B$44-((R1391-1)*(1/Q1391)))))/Inputs!$B$44),IF(Inputs!$B$39="pvp",MIN((Skills!T16*(1+Inputs!$B$35/100)),15)/15,MIN(1,(Skills!T16*(1+Inputs!$B$35/100))/(1/Q1391)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1387)</f>
        <v/>
      </c>
      <c r="L1387">
        <f>K1387*(MIN(Inputs!$B$23+((C1397=TRUE)*(F1397-Calc!F22)),(Inputs!$B$24+((C1399=TRUE)*(F1399-Calc!F24))+(IF(ArtifactsInput!$M$15,CHOOSE(ArtifactsInput!$N$15+1,25,30,35,40,45,50)/100*(Inputs!$B$12-Inputs!$B$12),0))))/100+(Inputs!$B$24+((C1399=TRUE)*(F1399-Calc!F24))+(IF(ArtifactsInput!$M$15,CHOOSE(ArtifactsInput!$N$15+1,25,30,35,40,45,50)/100*(Inputs!$B$12-Inputs!$B$12),0)))/100)/2</f>
        <v/>
      </c>
      <c r="M1387">
        <f>L1387*(1+(Inputs!$B$11+0+B1409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387">
        <f>L1387*(1-MIN((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1387*(MIN((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87">
        <f>(1-Summary!$B$11)*T1387+Summary!$B$11*V1387</f>
        <v/>
      </c>
      <c r="P1387">
        <f>IF(B1414=0,0,O1387/B1414)</f>
        <v/>
      </c>
      <c r="Q1387">
        <f>IFERROR(1/IF(Inputs!$B$39="pvp",15,MAX(0.1,Skills!D12-IF(TRUE=TRUE,Inputs!$B$33,0))),0)</f>
        <v/>
      </c>
      <c r="R1387">
        <f>IF(AND(Inputs!$B$39&lt;&gt;"pvp",Inputs!$B$44&gt;0),IF(MAX(0,Inputs!$B$44-B1411)&lt;=0,0,(INT(MAX(0,Inputs!$B$44-B1411)/IF(Inputs!$B$39="pvp",15,MAX(0.1,Skills!D12-IF(TRUE=TRUE,Inputs!$B$33,0))))+1)),0)</f>
        <v/>
      </c>
      <c r="S1387">
        <f>IFERROR(O1387/N1387,0)</f>
        <v/>
      </c>
      <c r="T1387">
        <f>IF(C1387,(H1387*N1387*IF(AND(Inputs!$B$39&lt;&gt;"pvp",Inputs!$B$44&gt;0),((Skills!G12*((R1387-1)*IF(Skills!H12&gt;0,INT(Skills!I12/Skills!H12+0.000000001),1)+IF(Skills!H12&gt;0,INT(MIN(Skills!I12,MAX(0,MAX(0,Inputs!$B$44-B1411)-((R1387-1)*IF(Inputs!$B$39="pvp",15,MAX(0.1,Skills!D12-IF(TRUE=TRUE,Inputs!$B$33,0))))))/Skills!H12+0.000000001),1)))/Inputs!$B$44),G1387*Q1387))*IF(Inputs!$B$39="pvp",1,1+(Inputs!$B$21+0+Skills!P12+((C1392=TRUE)*F1392*IF(AND(Inputs!$B$39&lt;&gt;"pvp",Inputs!$B$44&gt;0),(((R1392-1)*MIN((Skills!T17*(1+Inputs!$B$35/100)),(1/Q1392))+MIN((Skills!T17*(1+Inputs!$B$35/100)),MAX(0,Inputs!$B$44-((R1392-1)*(1/Q1392)))))/Inputs!$B$44),IF(Inputs!$B$39="pvp",MIN((Skills!T17*(1+Inputs!$B$35/100)),15)/15,MIN(1,(Skills!T17*(1+Inputs!$B$35/100))/(1/Q1392)))))+((C1380=TRUE)*IF(Inputs!$B$3&gt;=126,10*MIN(1,15*Q1380),0))+((C1389=TRUE)*IF(Inputs!$B$39="pvp",20,(1-Summary!$B$11)*(20)+Summary!$B$11*(0))*IF(AND(Inputs!$B$39&lt;&gt;"pvp",Inputs!$B$44&gt;0),(((R1389-1)*MIN((Skills!T14*(1+Inputs!$B$35/100)),(1/Q1389))+MIN((Skills!T14*(1+Inputs!$B$35/100)),MAX(0,Inputs!$B$44-((R1389-1)*(1/Q1389)))))/Inputs!$B$44),IF(Inputs!$B$39="pvp",MIN((Skills!T14*(1+Inputs!$B$35/100)),15)/15,MIN(1,(Skills!T14*(1+Inputs!$B$35/100))/(1/Q1389)))))+((C1388=TRUE)*IF(Inputs!$B$3&gt;=82,IF(Inputs!$B$39="pvp",20,(1-Summary!$B$11)*(20)+Summary!$B$11*(0)),0)*IF(AND(Inputs!$B$39&lt;&gt;"pvp",Inputs!$B$44&gt;0),(((R1388-1)*MIN((Skills!T13*(1+Inputs!$B$35/100)),(1/Q1388))+MIN((Skills!T13*(1+Inputs!$B$35/100)),MAX(0,Inputs!$B$44-((R1388-1)*(1/Q1388)))))/Inputs!$B$44),IF(Inputs!$B$39="pvp",MIN((Skills!T13*(1+Inputs!$B$35/100)),15)/15,MIN(1,(Skills!T13*(1+Inputs!$B$35/100))/(1/Q1388)))))+(IF(AND(ArtifactsInput!$M$35,Inputs!$B$4&lt;&gt;"Chapter Hunt"),CHOOSE(ArtifactsInput!$N$35+1,15,18,21,24,27,30)*(1-EXP(-(0.2*B1406)*5)),0)+IF(AND(ArtifactsInput!$M$22,Inputs!$B$4&lt;&gt;"Chapter Hunt"),CHOOSE(ArtifactsInput!$N$22+1,10,12,14,16,18,20)*((0*(((0.15*B1406*5))^0/1)+1*(((0.15*B1406*5))^1/1)+2*(((0.15*B1406*5))^2/2)+3*(((0.15*B1406*5))^3/6)+4*(((0.15*B1406*5))^4/24)+5*(((0.15*B1406*5))^5/120))/((((0.15*B1406*5))^0/1)+(((0.15*B1406*5))^1/1)+(((0.15*B1406*5))^2/2)+(((0.15*B1406*5))^3/6)+(((0.15*B1406*5))^4/24)+(((0.15*B1406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1387*(1-MIN(100,(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M1387*(MIN(100,(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L1387*(1-MIN(100,(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1387*(MIN(100,(Inputs!$B$10+0+B1404+(ArtifactsInput!$M$24-ArtifactsInput!$M$24)*CHOOSE(ArtifactsInput!$N$24+1,10,12,14,16,18,20)+(IF(AND(Inputs!$B$39&lt;&gt;"pvp",Inputs!$B$44=0),1,IF(IF(Inputs!$B$39="pvp",15,Inputs!$B$44)-(B1411)&lt;=0,1,MAX(0,IF(Inputs!$B$39="pvp",15,Inputs!$B$44)-MAX(5,B1411))/(IF(Inputs!$B$39="pvp",15,Inputs!$B$44)-(B1411))))*IF(AND(ArtifactsInput!$M$42,((Inputs!$B$10+0+B1404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387">
        <f>IF(C1387,(H1387*N1387*IF(AND(Inputs!$B$39&lt;&gt;"pvp",Inputs!$B$44&gt;0),((Skills!G12*((R1387-1)*IF(Skills!H12&gt;0,INT(Skills!I12/Skills!H12+0.000000001),1)+IF(Skills!H12&gt;0,INT(MIN(Skills!I12,MAX(0,MAX(0,Inputs!$B$44-B1411)-((R1387-1)*IF(Inputs!$B$39="pvp",15,MAX(0.1,Skills!D12-IF(TRUE=TRUE,Inputs!$B$33,0))))))/Skills!H12+0.000000001),1)))/Inputs!$B$44),G1387*Q1387))*IF(Inputs!$B$39="pvp",1,(1+(Inputs!$B$22+Skills!Q12+((C1392=TRUE)*F1392*IF(AND(Inputs!$B$39&lt;&gt;"pvp",Inputs!$B$44&gt;0),(((R1392-1)*MIN((Skills!T17*(1+Inputs!$B$35/100)),(1/Q1392))+MIN((Skills!T17*(1+Inputs!$B$35/100)),MAX(0,Inputs!$B$44-((R1392-1)*(1/Q1392)))))/Inputs!$B$44),IF(Inputs!$B$39="pvp",MIN((Skills!T17*(1+Inputs!$B$35/100)),15)/15,MIN(1,(Skills!T17*(1+Inputs!$B$35/100))/(1/Q1392)))))+((C1380=TRUE)*IF(Inputs!$B$3&gt;=126,10*MIN(1,15*Q1380),0))+((C1389=TRUE)*IF(Inputs!$B$39="pvp",20,(1-Summary!$B$11)*(20)+Summary!$B$11*(0))*IF(AND(Inputs!$B$39&lt;&gt;"pvp",Inputs!$B$44&gt;0),(((R1389-1)*MIN((Skills!T14*(1+Inputs!$B$35/100)),(1/Q1389))+MIN((Skills!T14*(1+Inputs!$B$35/100)),MAX(0,Inputs!$B$44-((R1389-1)*(1/Q1389)))))/Inputs!$B$44),IF(Inputs!$B$39="pvp",MIN((Skills!T14*(1+Inputs!$B$35/100)),15)/15,MIN(1,(Skills!T14*(1+Inputs!$B$35/100))/(1/Q1389)))))+((C1388=TRUE)*IF(Inputs!$B$3&gt;=82,IF(Inputs!$B$39="pvp",20,(1-Summary!$B$11)*(20)+Summary!$B$11*(0)),0)*IF(AND(Inputs!$B$39&lt;&gt;"pvp",Inputs!$B$44&gt;0),(((R1388-1)*MIN((Skills!T13*(1+Inputs!$B$35/100)),(1/Q1388))+MIN((Skills!T13*(1+Inputs!$B$35/100)),MAX(0,Inputs!$B$44-((R1388-1)*(1/Q1388)))))/Inputs!$B$44),IF(Inputs!$B$39="pvp",MIN((Skills!T13*(1+Inputs!$B$35/100)),15)/15,MIN(1,(Skills!T13*(1+Inputs!$B$35/100))/(1/Q1388)))))+(IF(AND(ArtifactsInput!$M$35,Inputs!$B$4&lt;&gt;"Chapter Hunt"),CHOOSE(ArtifactsInput!$N$35+1,15,18,21,24,27,30)*(1-EXP(-(0.2*B1406)*5)),0)+IF(AND(ArtifactsInput!$M$22,Inputs!$B$4&lt;&gt;"Chapter Hunt"),CHOOSE(ArtifactsInput!$N$22+1,10,12,14,16,18,20)*((0*(((0.15*B1406*5))^0/1)+1*(((0.15*B1406*5))^1/1)+2*(((0.15*B1406*5))^2/2)+3*(((0.15*B1406*5))^3/6)+4*(((0.15*B1406*5))^4/24)+5*(((0.15*B1406*5))^5/120))/((((0.15*B1406*5))^0/1)+(((0.15*B1406*5))^1/1)+(((0.15*B1406*5))^2/2)+(((0.15*B1406*5))^3/6)+(((0.15*B1406*5))^4/24)+(((0.15*B1406*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88">
      <c r="A1388">
        <f>Skills!A13</f>
        <v/>
      </c>
      <c r="B1388">
        <f>Skills!B13</f>
        <v/>
      </c>
      <c r="C1388">
        <f>Inputs!$B$3&gt;=69</f>
        <v/>
      </c>
      <c r="D1388">
        <f>IF(Skills!C13=1,60+Inputs!$B$26+Inputs!$B$30,IF(Skills!C13=2,90+Inputs!$B$27+Inputs!$B$30,IF(Skills!C13=3,120+Inputs!$B$28+Inputs!$B$30,MAX(0,(Inputs!$B$3-100)*3)+Inputs!$B$29+Inputs!$B$30)))</f>
        <v/>
      </c>
      <c r="E1388">
        <f>INDEX(FactorTable!$B$2:$Y$301, MATCH(ROUND(MIN(300,MAX(1,D1388)),0), FactorTable!$A$2:$A$301,0), Skills!M13+1)</f>
        <v/>
      </c>
      <c r="F1388">
        <f>IF(Skills!N13=TRUE,(Skills!L13/10)*(E1388/1000),Skills!L13/10)+Skills!O13</f>
        <v/>
      </c>
      <c r="G1388">
        <f>Skills!G13*IF(Skills!H13&gt;0,INT(IF(Inputs!$B$39="pvp",MIN(Skills!I13,15),Skills!I13)/Skills!H13+0.000000001),1)</f>
        <v/>
      </c>
      <c r="H1388">
        <f>1-(1-Skills!J13/100)^Skills!K13</f>
        <v/>
      </c>
      <c r="I1388" t="inlineStr">
        <is>
          <t>1</t>
        </is>
      </c>
      <c r="J1388" t="inlineStr"/>
      <c r="K1388" t="inlineStr"/>
      <c r="L1388" t="inlineStr"/>
      <c r="M1388" t="inlineStr"/>
      <c r="N1388" t="inlineStr"/>
      <c r="O1388">
        <f>(1-Summary!$B$11)*T1388+Summary!$B$11*V1388</f>
        <v/>
      </c>
      <c r="P1388">
        <f>IF(B1414=0,0,O1388/B1414)</f>
        <v/>
      </c>
      <c r="Q1388">
        <f>IFERROR(1/IF(Inputs!$B$39="pvp",15,MAX(0.1,Skills!D13-IF(TRUE=TRUE,Inputs!$B$33,0))),0)</f>
        <v/>
      </c>
      <c r="R1388">
        <f>IF(AND(Inputs!$B$39&lt;&gt;"pvp",Inputs!$B$44&gt;0),IF(Inputs!$B$44&lt;=0,0,(INT(Inputs!$B$44/IF(Inputs!$B$39="pvp",15,MAX(0.1,Skills!D13-IF(TRUE=TRUE,Inputs!$B$33,0))))+1)),0)</f>
        <v/>
      </c>
      <c r="S1388">
        <f>IFERROR(O1388/N1388,0)</f>
        <v/>
      </c>
      <c r="T1388" t="n">
        <v>0</v>
      </c>
      <c r="V1388" t="n">
        <v>0</v>
      </c>
    </row>
    <row r="1389">
      <c r="A1389">
        <f>Skills!A14</f>
        <v/>
      </c>
      <c r="B1389">
        <f>Skills!B14</f>
        <v/>
      </c>
      <c r="C1389">
        <f>Inputs!$B$3&gt;=115</f>
        <v/>
      </c>
      <c r="D1389">
        <f>IF(Skills!C14=1,60+Inputs!$B$26+Inputs!$B$30,IF(Skills!C14=2,90+Inputs!$B$27+Inputs!$B$30,IF(Skills!C14=3,120+Inputs!$B$28+Inputs!$B$30,MAX(0,(Inputs!$B$3-100)*3)+Inputs!$B$29+Inputs!$B$30)))</f>
        <v/>
      </c>
      <c r="E1389">
        <f>INDEX(FactorTable!$B$2:$Y$301, MATCH(ROUND(MIN(300,MAX(1,D1389)),0), FactorTable!$A$2:$A$301,0), Skills!M14+1)</f>
        <v/>
      </c>
      <c r="F1389">
        <f>IF(Skills!N14=TRUE,(Skills!L14/10)*(E1389/1000),Skills!L14/10)+Skills!O14</f>
        <v/>
      </c>
      <c r="G1389">
        <f>Skills!G14*IF(Skills!H14&gt;0,INT(IF(Inputs!$B$39="pvp",MIN(Skills!I14,15),Skills!I14)/Skills!H14+0.000000001),1)</f>
        <v/>
      </c>
      <c r="H1389">
        <f>1-(1-Skills!J14/100)^Skills!K14</f>
        <v/>
      </c>
      <c r="I1389" t="inlineStr">
        <is>
          <t>1</t>
        </is>
      </c>
      <c r="J1389" t="inlineStr"/>
      <c r="K1389" t="inlineStr"/>
      <c r="L1389" t="inlineStr"/>
      <c r="M1389" t="inlineStr"/>
      <c r="N1389" t="inlineStr"/>
      <c r="O1389">
        <f>(1-Summary!$B$11)*T1389+Summary!$B$11*V1389</f>
        <v/>
      </c>
      <c r="P1389">
        <f>IF(B1414=0,0,O1389/B1414)</f>
        <v/>
      </c>
      <c r="Q1389">
        <f>IFERROR(1/IF(Inputs!$B$39="pvp",15,MAX(0.1,Skills!D14-IF(TRUE=TRUE,Inputs!$B$33,0))),0)</f>
        <v/>
      </c>
      <c r="R1389">
        <f>IF(AND(Inputs!$B$39&lt;&gt;"pvp",Inputs!$B$44&gt;0),IF(Inputs!$B$44&lt;=0,0,(INT(Inputs!$B$44/IF(Inputs!$B$39="pvp",15,MAX(0.1,Skills!D14-IF(TRUE=TRUE,Inputs!$B$33,0))))+1)),0)</f>
        <v/>
      </c>
      <c r="S1389">
        <f>IFERROR(O1389/N1389,0)</f>
        <v/>
      </c>
      <c r="T1389" t="n">
        <v>0</v>
      </c>
      <c r="V1389" t="n">
        <v>0</v>
      </c>
    </row>
    <row r="1390">
      <c r="A1390">
        <f>Skills!A15</f>
        <v/>
      </c>
      <c r="B1390">
        <f>Skills!B15</f>
        <v/>
      </c>
      <c r="C1390">
        <f>Inputs!$B$3&gt;=66</f>
        <v/>
      </c>
      <c r="D1390">
        <f>IF(Skills!C15=1,60+Inputs!$B$26+Inputs!$B$30,IF(Skills!C15=2,90+Inputs!$B$27+Inputs!$B$30,IF(Skills!C15=3,120+Inputs!$B$28+Inputs!$B$30,MAX(0,(Inputs!$B$3-100)*3)+Inputs!$B$29+Inputs!$B$30)))</f>
        <v/>
      </c>
      <c r="E1390">
        <f>INDEX(FactorTable!$B$2:$Y$301, MATCH(ROUND(MIN(300,MAX(1,D1390)),0), FactorTable!$A$2:$A$301,0), Skills!M15+1)</f>
        <v/>
      </c>
      <c r="F1390">
        <f>IF(Skills!N15=TRUE,(Skills!L15/10)*(E1390/1000),Skills!L15/10)+Skills!O15</f>
        <v/>
      </c>
      <c r="G1390">
        <f>Skills!G15*IF(Skills!H15&gt;0,INT(IF(Inputs!$B$39="pvp",MIN(Skills!I15,15),Skills!I15)/Skills!H15+0.000000001),1)</f>
        <v/>
      </c>
      <c r="H1390">
        <f>1-(1-Skills!J15/100)^Skills!K15</f>
        <v/>
      </c>
      <c r="I1390" t="inlineStr">
        <is>
          <t>1</t>
        </is>
      </c>
      <c r="J1390" t="inlineStr"/>
      <c r="K1390" t="inlineStr"/>
      <c r="L1390" t="inlineStr"/>
      <c r="M1390" t="inlineStr"/>
      <c r="N1390" t="inlineStr"/>
      <c r="O1390">
        <f>(1-Summary!$B$11)*T1390+Summary!$B$11*V1390</f>
        <v/>
      </c>
      <c r="P1390">
        <f>IF(B1414=0,0,O1390/B1414)</f>
        <v/>
      </c>
      <c r="Q1390">
        <f>IFERROR(1/IF(Inputs!$B$39="pvp",15,MAX(0.1,Skills!D15-IF(TRUE=TRUE,Inputs!$B$33,0))),0)</f>
        <v/>
      </c>
      <c r="R1390">
        <f>IF(AND(Inputs!$B$39&lt;&gt;"pvp",Inputs!$B$44&gt;0),IF(Inputs!$B$44&lt;=0,0,(INT(Inputs!$B$44/IF(Inputs!$B$39="pvp",15,MAX(0.1,Skills!D15-IF(TRUE=TRUE,Inputs!$B$33,0))))+1)),0)</f>
        <v/>
      </c>
      <c r="S1390">
        <f>IFERROR(O1390/N1390,0)</f>
        <v/>
      </c>
      <c r="T1390" t="n">
        <v>0</v>
      </c>
      <c r="V1390" t="n">
        <v>0</v>
      </c>
    </row>
    <row r="1391">
      <c r="A1391">
        <f>Skills!A16</f>
        <v/>
      </c>
      <c r="B1391">
        <f>Skills!B16</f>
        <v/>
      </c>
      <c r="C1391">
        <f>Inputs!$B$3&gt;=45</f>
        <v/>
      </c>
      <c r="D1391">
        <f>IF(Skills!C16=1,60+Inputs!$B$26+Inputs!$B$30,IF(Skills!C16=2,90+Inputs!$B$27+Inputs!$B$30,IF(Skills!C16=3,120+Inputs!$B$28+Inputs!$B$30,MAX(0,(Inputs!$B$3-100)*3)+Inputs!$B$29+Inputs!$B$30)))</f>
        <v/>
      </c>
      <c r="E1391">
        <f>INDEX(FactorTable!$B$2:$Y$301, MATCH(ROUND(MIN(300,MAX(1,D1391)),0), FactorTable!$A$2:$A$301,0), Skills!M16+1)</f>
        <v/>
      </c>
      <c r="F1391">
        <f>IF(Skills!N16=TRUE,(Skills!L16/10)*(E1391/1000),Skills!L16/10)+Skills!O16</f>
        <v/>
      </c>
      <c r="G1391">
        <f>Skills!G16*IF(Skills!H16&gt;0,INT(IF(Inputs!$B$39="pvp",MIN(Skills!I16,15),Skills!I16)/Skills!H16+0.000000001),1)</f>
        <v/>
      </c>
      <c r="H1391">
        <f>1-(1-Skills!J16/100)^Skills!K16</f>
        <v/>
      </c>
      <c r="I1391" t="inlineStr">
        <is>
          <t>1</t>
        </is>
      </c>
      <c r="J1391" t="inlineStr"/>
      <c r="K1391" t="inlineStr"/>
      <c r="L1391" t="inlineStr"/>
      <c r="M1391" t="inlineStr"/>
      <c r="N1391" t="inlineStr"/>
      <c r="O1391">
        <f>(1-Summary!$B$11)*T1391+Summary!$B$11*V1391</f>
        <v/>
      </c>
      <c r="P1391">
        <f>IF(B1414=0,0,O1391/B1414)</f>
        <v/>
      </c>
      <c r="Q1391">
        <f>IFERROR(1/IF(Inputs!$B$39="pvp",15,MAX(0.1,Skills!D16-IF(TRUE=TRUE,Inputs!$B$33,0))),0)</f>
        <v/>
      </c>
      <c r="R1391">
        <f>IF(AND(Inputs!$B$39&lt;&gt;"pvp",Inputs!$B$44&gt;0),IF(Inputs!$B$44&lt;=0,0,(INT(Inputs!$B$44/IF(Inputs!$B$39="pvp",15,MAX(0.1,Skills!D16-IF(TRUE=TRUE,Inputs!$B$33,0))))+1)),0)</f>
        <v/>
      </c>
      <c r="S1391">
        <f>IFERROR(O1391/N1391,0)</f>
        <v/>
      </c>
      <c r="T1391" t="n">
        <v>0</v>
      </c>
      <c r="V1391" t="n">
        <v>0</v>
      </c>
    </row>
    <row r="1392">
      <c r="A1392">
        <f>Skills!A17</f>
        <v/>
      </c>
      <c r="B1392">
        <f>Skills!B17</f>
        <v/>
      </c>
      <c r="C1392">
        <f>Inputs!$B$3&gt;=35</f>
        <v/>
      </c>
      <c r="D1392">
        <f>IF(Skills!C17=1,60+Inputs!$B$26+Inputs!$B$30,IF(Skills!C17=2,90+Inputs!$B$27+Inputs!$B$30,IF(Skills!C17=3,120+Inputs!$B$28+Inputs!$B$30,MAX(0,(Inputs!$B$3-100)*3)+Inputs!$B$29+Inputs!$B$30)))</f>
        <v/>
      </c>
      <c r="E1392">
        <f>INDEX(FactorTable!$B$2:$Y$301, MATCH(ROUND(MIN(300,MAX(1,D1392)),0), FactorTable!$A$2:$A$301,0), Skills!M17+1)</f>
        <v/>
      </c>
      <c r="F1392">
        <f>IF(Skills!N17=TRUE,(Skills!L17/10)*(E1392/1000),Skills!L17/10)+Skills!O17</f>
        <v/>
      </c>
      <c r="G1392">
        <f>Skills!G17*IF(Skills!H17&gt;0,INT(IF(Inputs!$B$39="pvp",MIN(Skills!I17,15),Skills!I17)/Skills!H17+0.000000001),1)</f>
        <v/>
      </c>
      <c r="H1392">
        <f>1-(1-Skills!J17/100)^Skills!K17</f>
        <v/>
      </c>
      <c r="I1392" t="inlineStr">
        <is>
          <t>1</t>
        </is>
      </c>
      <c r="J1392" t="inlineStr"/>
      <c r="K1392" t="inlineStr"/>
      <c r="L1392" t="inlineStr"/>
      <c r="M1392" t="inlineStr"/>
      <c r="N1392" t="inlineStr"/>
      <c r="O1392">
        <f>(1-Summary!$B$11)*T1392+Summary!$B$11*V1392</f>
        <v/>
      </c>
      <c r="P1392">
        <f>IF(B1414=0,0,O1392/B1414)</f>
        <v/>
      </c>
      <c r="Q1392">
        <f>IFERROR(1/IF(Inputs!$B$39="pvp",15,MAX(0.1,Skills!D17-IF(TRUE=TRUE,Inputs!$B$33,0))),0)</f>
        <v/>
      </c>
      <c r="R1392">
        <f>IF(AND(Inputs!$B$39&lt;&gt;"pvp",Inputs!$B$44&gt;0),IF(Inputs!$B$44&lt;=0,0,(INT(Inputs!$B$44/IF(Inputs!$B$39="pvp",15,MAX(0.1,Skills!D17-IF(TRUE=TRUE,Inputs!$B$33,0))))+1)),0)</f>
        <v/>
      </c>
      <c r="S1392">
        <f>IFERROR(O1392/N1392,0)</f>
        <v/>
      </c>
      <c r="T1392" t="n">
        <v>0</v>
      </c>
      <c r="V1392" t="n">
        <v>0</v>
      </c>
    </row>
    <row r="1393">
      <c r="A1393">
        <f>Skills!A18</f>
        <v/>
      </c>
      <c r="B1393">
        <f>Skills!B18</f>
        <v/>
      </c>
      <c r="C1393">
        <f>Inputs!$B$3&gt;=72</f>
        <v/>
      </c>
      <c r="D1393">
        <f>IF(Skills!C18=1,60+Inputs!$B$26+Inputs!$B$30,IF(Skills!C18=2,90+Inputs!$B$27+Inputs!$B$30,IF(Skills!C18=3,120+Inputs!$B$28+Inputs!$B$30,MAX(0,(Inputs!$B$3-100)*3)+Inputs!$B$29+Inputs!$B$30)))</f>
        <v/>
      </c>
      <c r="E1393">
        <f>INDEX(FactorTable!$B$2:$Y$301, MATCH(ROUND(MIN(300,MAX(1,D1393)),0), FactorTable!$A$2:$A$301,0), Skills!M18+1)</f>
        <v/>
      </c>
      <c r="F1393">
        <f>IF(Skills!N18=TRUE,(Skills!L18/10)*(E1393/1000),Skills!L18/10)+Skills!O18</f>
        <v/>
      </c>
      <c r="G1393">
        <f>Skills!G18*IF(Skills!H18&gt;0,INT(IF(Inputs!$B$39="pvp",MIN(Skills!I18,15),Skills!I18)/Skills!H18+0.000000001),1)</f>
        <v/>
      </c>
      <c r="H1393">
        <f>1-(1-Skills!J18/100)^Skills!K18</f>
        <v/>
      </c>
      <c r="I1393" t="inlineStr">
        <is>
          <t>1</t>
        </is>
      </c>
      <c r="J1393" t="inlineStr"/>
      <c r="K1393" t="inlineStr"/>
      <c r="L1393" t="inlineStr"/>
      <c r="M1393" t="inlineStr"/>
      <c r="N1393" t="inlineStr"/>
      <c r="O1393">
        <f>(1-Summary!$B$11)*T1393+Summary!$B$11*V1393</f>
        <v/>
      </c>
      <c r="P1393">
        <f>IF(B1414=0,0,O1393/B1414)</f>
        <v/>
      </c>
      <c r="Q1393">
        <f>IFERROR(1/IF(Inputs!$B$39="pvp",15,MAX(0.1,Skills!D18-IF(TRUE=TRUE,Inputs!$B$33,0))),0)</f>
        <v/>
      </c>
      <c r="R1393">
        <f>IF(AND(Inputs!$B$39&lt;&gt;"pvp",Inputs!$B$44&gt;0),IF(Inputs!$B$44&lt;=0,0,(INT(Inputs!$B$44/IF(Inputs!$B$39="pvp",15,MAX(0.1,Skills!D18-IF(TRUE=TRUE,Inputs!$B$33,0))))+1)),0)</f>
        <v/>
      </c>
      <c r="S1393">
        <f>IFERROR(O1393/N1393,0)</f>
        <v/>
      </c>
      <c r="T1393" t="n">
        <v>0</v>
      </c>
      <c r="V1393" t="n">
        <v>0</v>
      </c>
    </row>
    <row r="1394">
      <c r="A1394">
        <f>Skills!A19</f>
        <v/>
      </c>
      <c r="B1394">
        <f>Skills!B19</f>
        <v/>
      </c>
      <c r="C1394">
        <f>Inputs!$B$3&gt;=72</f>
        <v/>
      </c>
      <c r="D1394">
        <f>IF(Skills!C19=1,60+Inputs!$B$26+Inputs!$B$30,IF(Skills!C19=2,90+Inputs!$B$27+Inputs!$B$30,IF(Skills!C19=3,120+Inputs!$B$28+Inputs!$B$30,MAX(0,(Inputs!$B$3-100)*3)+Inputs!$B$29+Inputs!$B$30)))</f>
        <v/>
      </c>
      <c r="E1394">
        <f>INDEX(FactorTable!$B$2:$Y$301, MATCH(ROUND(MIN(300,MAX(1,D1394)),0), FactorTable!$A$2:$A$301,0), Skills!M19+1)</f>
        <v/>
      </c>
      <c r="F1394">
        <f>IF(Skills!N19=TRUE,(Skills!L19/10)*(E1394/1000),Skills!L19/10)+Skills!O19</f>
        <v/>
      </c>
      <c r="G1394">
        <f>Skills!G19*IF(Skills!H19&gt;0,INT(IF(Inputs!$B$39="pvp",MIN(Skills!I19,15),Skills!I19)/Skills!H19+0.000000001),1)</f>
        <v/>
      </c>
      <c r="H1394">
        <f>1-(1-Skills!J19/100)^Skills!K19</f>
        <v/>
      </c>
      <c r="I1394" t="inlineStr">
        <is>
          <t>1</t>
        </is>
      </c>
      <c r="J1394" t="inlineStr"/>
      <c r="K1394" t="inlineStr"/>
      <c r="L1394" t="inlineStr"/>
      <c r="M1394" t="inlineStr"/>
      <c r="N1394" t="inlineStr"/>
      <c r="O1394">
        <f>(1-Summary!$B$11)*T1394+Summary!$B$11*V1394</f>
        <v/>
      </c>
      <c r="P1394">
        <f>IF(B1414=0,0,O1394/B1414)</f>
        <v/>
      </c>
      <c r="Q1394">
        <f>IFERROR(1/IF(Inputs!$B$39="pvp",15,MAX(0.1,Skills!D19-IF(TRUE=TRUE,Inputs!$B$33,0))),0)</f>
        <v/>
      </c>
      <c r="R1394">
        <f>IF(AND(Inputs!$B$39&lt;&gt;"pvp",Inputs!$B$44&gt;0),IF(Inputs!$B$44&lt;=0,0,(INT(Inputs!$B$44/IF(Inputs!$B$39="pvp",15,MAX(0.1,Skills!D19-IF(TRUE=TRUE,Inputs!$B$33,0))))+1)),0)</f>
        <v/>
      </c>
      <c r="S1394">
        <f>IFERROR(O1394/N1394,0)</f>
        <v/>
      </c>
      <c r="T1394" t="n">
        <v>0</v>
      </c>
      <c r="V1394" t="n">
        <v>0</v>
      </c>
    </row>
    <row r="1395">
      <c r="A1395">
        <f>Skills!A20</f>
        <v/>
      </c>
      <c r="B1395">
        <f>Skills!B20</f>
        <v/>
      </c>
      <c r="C1395">
        <f>TRUE</f>
        <v/>
      </c>
      <c r="D1395">
        <f>IF(Skills!C20=1,60+Inputs!$B$26+Inputs!$B$30,IF(Skills!C20=2,90+Inputs!$B$27+Inputs!$B$30,IF(Skills!C20=3,120+Inputs!$B$28+Inputs!$B$30,MAX(0,(Inputs!$B$3-100)*3)+Inputs!$B$29+Inputs!$B$30)))</f>
        <v/>
      </c>
      <c r="E1395">
        <f>INDEX(FactorTable!$B$2:$Y$301, MATCH(ROUND(MIN(300,MAX(1,D1395)),0), FactorTable!$A$2:$A$301,0), Skills!M20+1)</f>
        <v/>
      </c>
      <c r="F1395">
        <f>IF(Skills!N20=TRUE,(Skills!L20/10)*(E1395/1000),Skills!L20/10)+Skills!O20</f>
        <v/>
      </c>
      <c r="G1395">
        <f>Skills!G20*IF(Skills!H20&gt;0,INT(IF(Inputs!$B$39="pvp",MIN(Skills!I20,15),Skills!I20)/Skills!H20+0.000000001),1)</f>
        <v/>
      </c>
      <c r="H1395">
        <f>1-(1-Skills!J20/100)^Skills!K20</f>
        <v/>
      </c>
      <c r="I1395" t="inlineStr">
        <is>
          <t>1</t>
        </is>
      </c>
      <c r="J1395" t="inlineStr"/>
      <c r="K1395" t="inlineStr"/>
      <c r="L1395" t="inlineStr"/>
      <c r="M1395" t="inlineStr"/>
      <c r="N1395" t="inlineStr"/>
      <c r="O1395">
        <f>(1-Summary!$B$11)*T1395+Summary!$B$11*V1395</f>
        <v/>
      </c>
      <c r="P1395">
        <f>IF(B1414=0,0,O1395/B1414)</f>
        <v/>
      </c>
      <c r="Q1395">
        <f>IFERROR(1/IF(Inputs!$B$39="pvp",15,MAX(0.1,Skills!D20-IF(TRUE=TRUE,Inputs!$B$33,0))),0)</f>
        <v/>
      </c>
      <c r="R1395">
        <f>IF(AND(Inputs!$B$39&lt;&gt;"pvp",Inputs!$B$44&gt;0),IF(Inputs!$B$44&lt;=0,0,(INT(Inputs!$B$44/IF(Inputs!$B$39="pvp",15,MAX(0.1,Skills!D20-IF(TRUE=TRUE,Inputs!$B$33,0))))+1)),0)</f>
        <v/>
      </c>
      <c r="S1395">
        <f>IFERROR(O1395/N1395,0)</f>
        <v/>
      </c>
      <c r="T1395" t="n">
        <v>0</v>
      </c>
      <c r="V1395" t="n">
        <v>0</v>
      </c>
    </row>
    <row r="1396">
      <c r="A1396">
        <f>Skills!A21</f>
        <v/>
      </c>
      <c r="B1396">
        <f>Skills!B21</f>
        <v/>
      </c>
      <c r="C1396">
        <f>Inputs!$B$3&gt;=33</f>
        <v/>
      </c>
      <c r="D1396">
        <f>IF(Skills!C21=1,60+Inputs!$B$26+Inputs!$B$30,IF(Skills!C21=2,90+Inputs!$B$27+Inputs!$B$30,IF(Skills!C21=3,120+Inputs!$B$28+Inputs!$B$30,MAX(0,(Inputs!$B$3-100)*3)+Inputs!$B$29+Inputs!$B$30)))</f>
        <v/>
      </c>
      <c r="E1396">
        <f>INDEX(FactorTable!$B$2:$Y$301, MATCH(ROUND(MIN(300,MAX(1,D1396)),0), FactorTable!$A$2:$A$301,0), Skills!M21+1)</f>
        <v/>
      </c>
      <c r="F1396">
        <f>IF(Skills!N21=TRUE,(Skills!L21/10)*(E1396/1000),Skills!L21/10)+Skills!O21</f>
        <v/>
      </c>
      <c r="G1396">
        <f>Skills!G21*IF(Skills!H21&gt;0,INT(IF(Inputs!$B$39="pvp",MIN(Skills!I21,15),Skills!I21)/Skills!H21+0.000000001),1)</f>
        <v/>
      </c>
      <c r="H1396">
        <f>1-(1-Skills!J21/100)^Skills!K21</f>
        <v/>
      </c>
      <c r="I1396" t="inlineStr">
        <is>
          <t>1</t>
        </is>
      </c>
      <c r="J1396" t="inlineStr"/>
      <c r="K1396" t="inlineStr"/>
      <c r="L1396" t="inlineStr"/>
      <c r="M1396" t="inlineStr"/>
      <c r="N1396" t="inlineStr"/>
      <c r="O1396">
        <f>(1-Summary!$B$11)*T1396+Summary!$B$11*V1396</f>
        <v/>
      </c>
      <c r="P1396">
        <f>IF(B1414=0,0,O1396/B1414)</f>
        <v/>
      </c>
      <c r="Q1396" t="n">
        <v>0</v>
      </c>
      <c r="R1396" t="n">
        <v>0</v>
      </c>
      <c r="S1396">
        <f>IFERROR(O1396/N1396,0)</f>
        <v/>
      </c>
      <c r="T1396" t="n">
        <v>0</v>
      </c>
      <c r="V1396" t="n">
        <v>0</v>
      </c>
    </row>
    <row r="1397">
      <c r="A1397">
        <f>Skills!A22</f>
        <v/>
      </c>
      <c r="B1397">
        <f>Skills!B22</f>
        <v/>
      </c>
      <c r="C1397">
        <f>Inputs!$B$3&gt;=43</f>
        <v/>
      </c>
      <c r="D1397">
        <f>IF(Skills!C22=1,60+Inputs!$B$26+Inputs!$B$30,IF(Skills!C22=2,90+Inputs!$B$27+Inputs!$B$30,IF(Skills!C22=3,120+Inputs!$B$28+Inputs!$B$30,MAX(0,(Inputs!$B$3-100)*3)+Inputs!$B$29+Inputs!$B$30)))</f>
        <v/>
      </c>
      <c r="E1397">
        <f>INDEX(FactorTable!$B$2:$Y$301, MATCH(ROUND(MIN(300,MAX(1,D1397)),0), FactorTable!$A$2:$A$301,0), Skills!M22+1)</f>
        <v/>
      </c>
      <c r="F1397">
        <f>IF(Skills!N22=TRUE,(Skills!L22/10)*(E1397/1000),Skills!L22/10)+Skills!O22</f>
        <v/>
      </c>
      <c r="G1397">
        <f>Skills!G22*IF(Skills!H22&gt;0,INT(IF(Inputs!$B$39="pvp",MIN(Skills!I22,15),Skills!I22)/Skills!H22+0.000000001),1)</f>
        <v/>
      </c>
      <c r="H1397">
        <f>1-(1-Skills!J22/100)^Skills!K22</f>
        <v/>
      </c>
      <c r="I1397" t="inlineStr">
        <is>
          <t>1</t>
        </is>
      </c>
      <c r="J1397" t="inlineStr"/>
      <c r="K1397" t="inlineStr"/>
      <c r="L1397" t="inlineStr"/>
      <c r="M1397" t="inlineStr"/>
      <c r="N1397" t="inlineStr"/>
      <c r="O1397">
        <f>(1-Summary!$B$11)*T1397+Summary!$B$11*V1397</f>
        <v/>
      </c>
      <c r="P1397">
        <f>IF(B1414=0,0,O1397/B1414)</f>
        <v/>
      </c>
      <c r="Q1397" t="n">
        <v>0</v>
      </c>
      <c r="R1397" t="n">
        <v>0</v>
      </c>
      <c r="S1397">
        <f>IFERROR(O1397/N1397,0)</f>
        <v/>
      </c>
      <c r="T1397" t="n">
        <v>0</v>
      </c>
      <c r="V1397" t="n">
        <v>0</v>
      </c>
    </row>
    <row r="1398">
      <c r="A1398">
        <f>Skills!A23</f>
        <v/>
      </c>
      <c r="B1398">
        <f>Skills!B23</f>
        <v/>
      </c>
      <c r="C1398">
        <f>Inputs!$B$3&gt;=120</f>
        <v/>
      </c>
      <c r="D1398">
        <f>IF(Skills!C23=1,60+Inputs!$B$26+Inputs!$B$30,IF(Skills!C23=2,90+Inputs!$B$27+Inputs!$B$30,IF(Skills!C23=3,120+Inputs!$B$28+Inputs!$B$30,MAX(0,(Inputs!$B$3-100)*3)+Inputs!$B$29+Inputs!$B$30)))</f>
        <v/>
      </c>
      <c r="E1398">
        <f>INDEX(FactorTable!$B$2:$Y$301, MATCH(ROUND(MIN(300,MAX(1,D1398)),0), FactorTable!$A$2:$A$301,0), Skills!M23+1)</f>
        <v/>
      </c>
      <c r="F1398">
        <f>IF(Skills!N23=TRUE,(Skills!L23/10)*(E1398/1000),Skills!L23/10)+Skills!O23</f>
        <v/>
      </c>
      <c r="G1398">
        <f>Skills!G23*IF(Skills!H23&gt;0,INT(IF(Inputs!$B$39="pvp",MIN(Skills!I23,15),Skills!I23)/Skills!H23+0.000000001),1)</f>
        <v/>
      </c>
      <c r="H1398">
        <f>1-(1-Skills!J23/100)^Skills!K23</f>
        <v/>
      </c>
      <c r="I1398" t="inlineStr">
        <is>
          <t>1</t>
        </is>
      </c>
      <c r="J1398" t="inlineStr"/>
      <c r="K1398" t="inlineStr"/>
      <c r="L1398" t="inlineStr"/>
      <c r="M1398" t="inlineStr"/>
      <c r="N1398" t="inlineStr"/>
      <c r="O1398">
        <f>(1-Summary!$B$11)*T1398+Summary!$B$11*V1398</f>
        <v/>
      </c>
      <c r="P1398">
        <f>IF(B1414=0,0,O1398/B1414)</f>
        <v/>
      </c>
      <c r="Q1398" t="n">
        <v>0</v>
      </c>
      <c r="R1398" t="n">
        <v>0</v>
      </c>
      <c r="S1398">
        <f>IFERROR(O1398/N1398,0)</f>
        <v/>
      </c>
      <c r="T1398" t="n">
        <v>0</v>
      </c>
      <c r="V1398" t="n">
        <v>0</v>
      </c>
    </row>
    <row r="1399">
      <c r="A1399">
        <f>Skills!A24</f>
        <v/>
      </c>
      <c r="B1399">
        <f>Skills!B24</f>
        <v/>
      </c>
      <c r="C1399">
        <f>Inputs!$B$3&gt;=120</f>
        <v/>
      </c>
      <c r="D1399">
        <f>IF(Skills!C24=1,60+Inputs!$B$26+Inputs!$B$30,IF(Skills!C24=2,90+Inputs!$B$27+Inputs!$B$30,IF(Skills!C24=3,120+Inputs!$B$28+Inputs!$B$30,MAX(0,(Inputs!$B$3-100)*3)+Inputs!$B$29+Inputs!$B$30)))</f>
        <v/>
      </c>
      <c r="E1399">
        <f>INDEX(FactorTable!$B$2:$Y$301, MATCH(ROUND(MIN(300,MAX(1,D1399)),0), FactorTable!$A$2:$A$301,0), Skills!M24+1)</f>
        <v/>
      </c>
      <c r="F1399">
        <f>IF(Skills!N24=TRUE,(Skills!L24/10)*(E1399/1000),Skills!L24/10)+Skills!O24</f>
        <v/>
      </c>
      <c r="G1399">
        <f>Skills!G24*IF(Skills!H24&gt;0,INT(IF(Inputs!$B$39="pvp",MIN(Skills!I24,15),Skills!I24)/Skills!H24+0.000000001),1)</f>
        <v/>
      </c>
      <c r="H1399">
        <f>1-(1-Skills!J24/100)^Skills!K24</f>
        <v/>
      </c>
      <c r="I1399" t="inlineStr">
        <is>
          <t>1</t>
        </is>
      </c>
      <c r="J1399" t="inlineStr"/>
      <c r="K1399" t="inlineStr"/>
      <c r="L1399" t="inlineStr"/>
      <c r="M1399" t="inlineStr"/>
      <c r="N1399" t="inlineStr"/>
      <c r="O1399">
        <f>(1-Summary!$B$11)*T1399+Summary!$B$11*V1399</f>
        <v/>
      </c>
      <c r="P1399">
        <f>IF(B1414=0,0,O1399/B1414)</f>
        <v/>
      </c>
      <c r="Q1399" t="n">
        <v>0</v>
      </c>
      <c r="R1399" t="n">
        <v>0</v>
      </c>
      <c r="S1399">
        <f>IFERROR(O1399/N1399,0)</f>
        <v/>
      </c>
      <c r="T1399" t="n">
        <v>0</v>
      </c>
      <c r="V1399" t="n">
        <v>0</v>
      </c>
    </row>
    <row r="1400">
      <c r="A1400">
        <f>Skills!A25</f>
        <v/>
      </c>
      <c r="B1400">
        <f>Skills!B25</f>
        <v/>
      </c>
      <c r="C1400">
        <f>Inputs!$B$3&gt;=125</f>
        <v/>
      </c>
      <c r="D1400">
        <f>IF(Skills!C25=1,60+Inputs!$B$26+Inputs!$B$30,IF(Skills!C25=2,90+Inputs!$B$27+Inputs!$B$30,IF(Skills!C25=3,120+Inputs!$B$28+Inputs!$B$30,MAX(0,(Inputs!$B$3-100)*3)+Inputs!$B$29+Inputs!$B$30)))</f>
        <v/>
      </c>
      <c r="E1400">
        <f>INDEX(FactorTable!$B$2:$Y$301, MATCH(ROUND(MIN(300,MAX(1,D1400)),0), FactorTable!$A$2:$A$301,0), Skills!M25+1)</f>
        <v/>
      </c>
      <c r="F1400">
        <f>IF(Skills!N25=TRUE,(Skills!L25/10)*(E1400/1000),Skills!L25/10)+Skills!O25</f>
        <v/>
      </c>
      <c r="G1400">
        <f>Skills!G25*IF(Skills!H25&gt;0,INT(IF(Inputs!$B$39="pvp",MIN(Skills!I25,15),Skills!I25)/Skills!H25+0.000000001),1)</f>
        <v/>
      </c>
      <c r="H1400">
        <f>1-(1-Skills!J25/100)^Skills!K25</f>
        <v/>
      </c>
      <c r="I1400" t="inlineStr">
        <is>
          <t>1</t>
        </is>
      </c>
      <c r="J1400" t="inlineStr"/>
      <c r="K1400" t="inlineStr"/>
      <c r="L1400" t="inlineStr"/>
      <c r="M1400" t="inlineStr"/>
      <c r="N1400" t="inlineStr"/>
      <c r="O1400">
        <f>(1-Summary!$B$11)*T1400+Summary!$B$11*V1400</f>
        <v/>
      </c>
      <c r="P1400">
        <f>IF(B1414=0,0,O1400/B1414)</f>
        <v/>
      </c>
      <c r="Q1400" t="n">
        <v>0</v>
      </c>
      <c r="R1400" t="n">
        <v>0</v>
      </c>
      <c r="S1400">
        <f>IFERROR(O1400/N1400,0)</f>
        <v/>
      </c>
      <c r="T1400" t="n">
        <v>0</v>
      </c>
      <c r="V1400" t="n">
        <v>0</v>
      </c>
    </row>
    <row r="1401">
      <c r="A1401">
        <f>Skills!A26</f>
        <v/>
      </c>
      <c r="B1401">
        <f>Skills!B26</f>
        <v/>
      </c>
      <c r="C1401">
        <f>Inputs!$B$3&gt;=107</f>
        <v/>
      </c>
      <c r="D1401">
        <f>IF(Skills!C26=1,60+Inputs!$B$26+Inputs!$B$30,IF(Skills!C26=2,90+Inputs!$B$27+Inputs!$B$30,IF(Skills!C26=3,120+Inputs!$B$28+Inputs!$B$30,MAX(0,(Inputs!$B$3-100)*3)+Inputs!$B$29+Inputs!$B$30)))</f>
        <v/>
      </c>
      <c r="E1401">
        <f>INDEX(FactorTable!$B$2:$Y$301, MATCH(ROUND(MIN(300,MAX(1,D1401)),0), FactorTable!$A$2:$A$301,0), Skills!M26+1)</f>
        <v/>
      </c>
      <c r="F1401">
        <f>IF(Skills!N26=TRUE,(Skills!L26/10)*(E1401/1000),Skills!L26/10)+Skills!O26</f>
        <v/>
      </c>
      <c r="G1401">
        <f>Skills!G26*IF(Skills!H26&gt;0,INT(IF(Inputs!$B$39="pvp",MIN(Skills!I26,15),Skills!I26)/Skills!H26+0.000000001),1)</f>
        <v/>
      </c>
      <c r="H1401">
        <f>1-(1-Skills!J26/100)^Skills!K26</f>
        <v/>
      </c>
      <c r="I1401" t="inlineStr">
        <is>
          <t>1</t>
        </is>
      </c>
      <c r="J1401" t="inlineStr"/>
      <c r="K1401" t="inlineStr"/>
      <c r="L1401" t="inlineStr"/>
      <c r="M1401" t="inlineStr"/>
      <c r="N1401" t="inlineStr"/>
      <c r="O1401">
        <f>(1-Summary!$B$11)*T1401+Summary!$B$11*V1401</f>
        <v/>
      </c>
      <c r="P1401">
        <f>IF(B1414=0,0,O1401/B1414)</f>
        <v/>
      </c>
      <c r="Q1401" t="n">
        <v>0</v>
      </c>
      <c r="R1401" t="n">
        <v>0</v>
      </c>
      <c r="S1401">
        <f>IFERROR(O1401/N1401,0)</f>
        <v/>
      </c>
      <c r="T1401" t="n">
        <v>0</v>
      </c>
      <c r="V1401" t="n">
        <v>0</v>
      </c>
    </row>
    <row r="1403">
      <c r="A1403" t="inlineStr">
        <is>
          <t>Attack% Bucket Multiplier</t>
        </is>
      </c>
      <c r="B1403">
        <f>(1+(((C1388=TRUE)*F1388*IF(AND(Inputs!$B$39&lt;&gt;"pvp",Inputs!$B$44&gt;0),(((R1388-1)*MIN((Skills!T13*(1+Inputs!$B$35/100)),(1/Q1388))+MIN((Skills!T13*(1+Inputs!$B$35/100)),MAX(0,Inputs!$B$44-((R1388-1)*(1/Q1388)))))/Inputs!$B$44),IF(Inputs!$B$39="pvp",MIN((Skills!T13*(1+Inputs!$B$35/100)),15)/15,MIN(1,(Skills!T13*(1+Inputs!$B$35/100))/(1/Q1388)))))+((C1389=TRUE)*F1389*IF(AND(Inputs!$B$39&lt;&gt;"pvp",Inputs!$B$44&gt;0),(((R1389-1)*MIN((Skills!T14*(1+Inputs!$B$35/100)),(1/Q1389))+MIN((Skills!T14*(1+Inputs!$B$35/100)),MAX(0,Inputs!$B$44-((R1389-1)*(1/Q1389)))))/Inputs!$B$44),IF(Inputs!$B$39="pvp",MIN((Skills!T14*(1+Inputs!$B$35/100)),15)/15,MIN(1,(Skills!T14*(1+Inputs!$B$35/100))/(1/Q1389)))))+((C1390=TRUE)*F1390*IF(AND(Inputs!$B$39&lt;&gt;"pvp",Inputs!$B$44&gt;0),(((R1390-1)*MIN((Skills!T15*(1+Inputs!$B$35/100)),(1/Q1390))+MIN((Skills!T15*(1+Inputs!$B$35/100)),MAX(0,Inputs!$B$44-((R1390-1)*(1/Q1390)))))/Inputs!$B$44),IF(Inputs!$B$39="pvp",MIN((Skills!T15*(1+Inputs!$B$35/100)),15)/15,MIN(1,(Skills!T15*(1+Inputs!$B$35/100))/(1/Q1390)))))+((C1391=TRUE)*F1391*IF(AND(Inputs!$B$39&lt;&gt;"pvp",Inputs!$B$44&gt;0),(((R1391-1)*MIN((Skills!T16*(1+Inputs!$B$35/100)),(1/Q1391))+MIN((Skills!T16*(1+Inputs!$B$35/100)),MAX(0,Inputs!$B$44-((R1391-1)*(1/Q1391)))))/Inputs!$B$44),IF(Inputs!$B$39="pvp",MIN((Skills!T16*(1+Inputs!$B$35/100)),15)/15,MIN(1,(Skills!T16*(1+Inputs!$B$35/100))/(1/Q1391)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1404">
      <c r="A1404" t="inlineStr">
        <is>
          <t>Global Crit Rate Bonus % (Lord of Darkness)</t>
        </is>
      </c>
      <c r="B1404">
        <f>((C1393=TRUE)*F1393*(Skills!J18/100)*IF(AND(Inputs!$B$39&lt;&gt;"pvp",Inputs!$B$44&gt;0),(((R1393-1)*MIN((Skills!T18*(1+Inputs!$B$35/100)),(1/Q1393))+MIN((Skills!T18*(1+Inputs!$B$35/100)),MAX(0,Inputs!$B$44-((R1393-1)*(1/Q1393)))))/Inputs!$B$44),IF(Inputs!$B$39="pvp",MIN((Skills!T18*(1+Inputs!$B$35/100)),15)/15,MIN(1,(Skills!T18*(1+Inputs!$B$35/100))/(1/Q1393)))))</f>
        <v/>
      </c>
    </row>
    <row r="1405">
      <c r="A1405" t="inlineStr">
        <is>
          <t>Attack Speed Buff Bonus %</t>
        </is>
      </c>
      <c r="B1405">
        <f>((C1395=TRUE)*F1395*IF(AND(Inputs!$B$39&lt;&gt;"pvp",Inputs!$B$44&gt;0),(((R1395-1)*MIN((Skills!T20*(1+Inputs!$B$35/100)),(1/Q1395))+MIN((Skills!T20*(1+Inputs!$B$35/100)),MAX(0,Inputs!$B$44-((R1395-1)*(1/Q1395)))))/Inputs!$B$44),IF(Inputs!$B$39="pvp",MIN((Skills!T20*(1+Inputs!$B$35/100)),15)/15,MIN(1,(Skills!T20*(1+Inputs!$B$35/100))/(1/Q1395)))))</f>
        <v/>
      </c>
    </row>
    <row r="1406">
      <c r="A1406" t="inlineStr">
        <is>
          <t>Actions Per Second</t>
        </is>
      </c>
      <c r="B1406">
        <f>1+MIN(150,150*(1-(1-(Inputs!$B$12+((C1396=TRUE)*(F1396-Calc!F21)))/150)*(1-B1405/150)))/100</f>
        <v/>
      </c>
    </row>
    <row r="1407">
      <c r="A1407" t="inlineStr">
        <is>
          <t>Skill + Buff Cast Rate</t>
        </is>
      </c>
      <c r="B1407">
        <f>IF(AND(Inputs!$B$39&lt;&gt;"pvp",Inputs!$B$44&gt;0),SUMPRODUCT((Skills!E2:E26=TRUE)*(C1377:C1401=TRUE)*R1377:R1401*Skills!F2:F26)/Inputs!$B$44,SUMPRODUCT((Skills!E2:E26=TRUE)*(C1377:C1401=TRUE)*Q1377:Q1401*Skills!F2:F26))</f>
        <v/>
      </c>
    </row>
    <row r="1408">
      <c r="A1408" t="inlineStr">
        <is>
          <t>Dark Impale Casts Per Second</t>
        </is>
      </c>
      <c r="B1408">
        <f>MAX(0,B1406-B1407)</f>
        <v/>
      </c>
    </row>
    <row r="1409">
      <c r="A1409" t="inlineStr">
        <is>
          <t>Global Critical Damage Bonus % (Lord of Darkness)</t>
        </is>
      </c>
      <c r="B1409">
        <f>((C1394=TRUE)*F1394*(Skills!J19/100)*IF(AND(Inputs!$B$39&lt;&gt;"pvp",Inputs!$B$44&gt;0),(((R1394-1)*MIN((Skills!T19*(1+Inputs!$B$35/100)),(1/Q1394))+MIN((Skills!T19*(1+Inputs!$B$35/100)),MAX(0,Inputs!$B$44-((R1394-1)*(1/Q1394)))))/Inputs!$B$44),IF(Inputs!$B$39="pvp",MIN((Skills!T19*(1+Inputs!$B$35/100)),15)/15,MIN(1,(Skills!T19*(1+Inputs!$B$35/100))/(1/Q1394)))))</f>
        <v/>
      </c>
    </row>
    <row r="1410">
      <c r="A1410" t="inlineStr">
        <is>
          <t>Global Final Damage Bonus % (unused)</t>
        </is>
      </c>
      <c r="B1410" t="n">
        <v>0</v>
      </c>
    </row>
    <row r="1411">
      <c r="A1411" t="inlineStr">
        <is>
          <t>Buff-Casting Startup Delay (s, fixed-duration only)</t>
        </is>
      </c>
      <c r="B1411">
        <f>IF(AND(Inputs!$B$39&lt;&gt;"pvp",Inputs!$B$44&gt;0),SUMPRODUCT((Skills!T2:T26&gt;0)*(Skills!E2:E26=TRUE)*(C1377:C1401=TRUE))/B1406,0)</f>
        <v/>
      </c>
    </row>
    <row r="1412">
      <c r="A1412" t="inlineStr">
        <is>
          <t>Boss-Only Total DPS (this block's swept value)</t>
        </is>
      </c>
      <c r="B1412">
        <f>SUM(T1377:T1401)</f>
        <v/>
      </c>
    </row>
    <row r="1413">
      <c r="A1413" t="inlineStr">
        <is>
          <t>Normal-Only Total DPS (this block's swept value)</t>
        </is>
      </c>
      <c r="B1413">
        <f>SUM(V1377:V1401)</f>
        <v/>
      </c>
    </row>
    <row r="1414">
      <c r="A1414" s="6" t="inlineStr">
        <is>
          <t>TOTAL DPS</t>
        </is>
      </c>
      <c r="B1414" s="6">
        <f>SUM(O1377:O1401)</f>
        <v/>
      </c>
    </row>
    <row r="1417">
      <c r="A1417" s="6" t="inlineStr">
        <is>
          <t>Stat: Rainbow-colored Snail Shell (Equip)</t>
        </is>
      </c>
    </row>
    <row r="1418">
      <c r="A1418" s="5" t="inlineStr">
        <is>
          <t>Key</t>
        </is>
      </c>
      <c r="B1418" s="5" t="inlineStr">
        <is>
          <t>Name</t>
        </is>
      </c>
      <c r="C1418" s="5" t="inlineStr">
        <is>
          <t>Unlocked</t>
        </is>
      </c>
      <c r="D1418" s="5" t="inlineStr">
        <is>
          <t>InputLevel</t>
        </is>
      </c>
      <c r="E1418" s="5" t="inlineStr">
        <is>
          <t>Factor</t>
        </is>
      </c>
      <c r="F1418" s="5" t="inlineStr">
        <is>
          <t>CoefficientPercent</t>
        </is>
      </c>
      <c r="G1418" s="5" t="inlineStr">
        <is>
          <t>EffectiveHits</t>
        </is>
      </c>
      <c r="H1418" s="5" t="inlineStr">
        <is>
          <t>ProcProbability</t>
        </is>
      </c>
      <c r="I1418" s="5" t="inlineStr">
        <is>
          <t>MapleHeroMultiplier</t>
        </is>
      </c>
      <c r="J1418" s="5" t="inlineStr">
        <is>
          <t>BaseDamage</t>
        </is>
      </c>
      <c r="K1418" s="5" t="inlineStr">
        <is>
          <t>BaseHitDamage</t>
        </is>
      </c>
      <c r="L1418" s="5" t="inlineStr">
        <is>
          <t>NonCritAvg</t>
        </is>
      </c>
      <c r="M1418" s="5" t="inlineStr">
        <is>
          <t>CritAvg</t>
        </is>
      </c>
      <c r="N1418" s="5" t="inlineStr">
        <is>
          <t>ExpectedDamage(perHit)</t>
        </is>
      </c>
      <c r="O1418" s="5" t="inlineStr">
        <is>
          <t>DPS</t>
        </is>
      </c>
      <c r="P1418" s="5" t="inlineStr">
        <is>
          <t>% of Total</t>
        </is>
      </c>
      <c r="Q1418" s="5" t="inlineStr">
        <is>
          <t>InvCooldown</t>
        </is>
      </c>
      <c r="R1418" s="5" t="inlineStr">
        <is>
          <t>CastsInFight</t>
        </is>
      </c>
      <c r="S1418" s="5" t="inlineStr">
        <is>
          <t>HitRate(perSec)</t>
        </is>
      </c>
      <c r="U1418" t="inlineStr">
        <is>
          <t>helpers</t>
        </is>
      </c>
    </row>
    <row r="1419">
      <c r="A1419">
        <f>Skills!A2</f>
        <v/>
      </c>
      <c r="B1419">
        <f>Skills!B2</f>
        <v/>
      </c>
      <c r="C1419">
        <f>Inputs!$B$3&gt;=100</f>
        <v/>
      </c>
      <c r="D1419" t="inlineStr"/>
      <c r="E1419" t="inlineStr"/>
      <c r="F1419">
        <f>U1421+Skills!O2</f>
        <v/>
      </c>
      <c r="G1419">
        <f>Skills!G2*IF(Skills!H2&gt;0,INT(IF(Inputs!$B$39="pvp",MIN(Skills!I2,15),Skills!I2)/Skills!H2+0.000000001),1)</f>
        <v/>
      </c>
      <c r="H1419">
        <f>1-(1-Skills!J2/100)^Skills!K2</f>
        <v/>
      </c>
      <c r="I1419" t="inlineStr">
        <is>
          <t>1</t>
        </is>
      </c>
      <c r="J1419">
        <f>((Inputs!$B$6*(1+Inputs!$B$7/100))+(((Inputs!$B$13*(1+Inputs!$B$14/100))-(Inputs!$B$13*(1+Inputs!$B$14/100)))+0.25*(Inputs!$B$15-Inputs!$B$15))*(1+Inputs!$B$7/100))*(F1419/100)</f>
        <v/>
      </c>
      <c r="K1419">
        <f>J1419*(1+(((Inputs!$B$13+IF(Inputs!$B$3&gt;=38,(10*INDEX(FactorTable!$B$2:$Y$301, MATCH(ROUND(MIN(300,MAX(1,Inputs!$B$3)),0), FactorTable!$A$2:$A$301,0), 23)/1000)/100*(Inputs!$B$8*(1+Inputs!$B$9/100)),0))*(1+Inputs!$B$14/100))*0.01+Inputs!$B$15*0.0025)/100)*(1+Inputs!$B$16/100)*(1+Inputs!$B$17/100)*(5000/(6000+Inputs!$B$43*(1-(Inputs!$B$20+0)/100)))*(1+(Inputs!$B$25+((C1442=TRUE)*(F1442-Calc!F25))+((C1443=TRUE)*(F1443-Calc!F26))+B1452)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gt;=100),MIN(100,((Inputs!$B$10+0+B1446+(ArtifactsInput!$M$24-ArtifactsInput!$M$24)*CHOOSE(ArtifactsInput!$N$24+1,10,12,14,16,18,20)+IF(IF(ArtifactsInput!$M$10,FALSE,TRUE),CHOOSE(ArtifactsInput!$N$10+1,15,18,21,24,27,30)*(IF(Inputs!$B$39="pvp",MIN(15,15)/15,IF(AND(Inputs!$B$39&lt;&gt;"pvp",Inputs!$B$44&gt;0),MIN(15,Inputs!$B$44)/(Inputs!$B$44),0))),0)))-100),0))*CHOOSE(ArtifactsInput!$N$42+1,0.6,0.72,0.84,0.96,1.08,1.2))),Inputs!$B$19+((C1440=TRUE)*(F1440-Calc!F23))+(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gt;=100),CHOOSE(ArtifactsInput!$N$42+1,40,48,56,64,72,80),0))))/100)*((1+(((C1430=TRUE)*F1430*IF(AND(Inputs!$B$39&lt;&gt;"pvp",Inputs!$B$44&gt;0),(((R1430-1)*MIN((Skills!T13*(1+Inputs!$B$35/100)),(1/Q1430))+MIN((Skills!T13*(1+Inputs!$B$35/100)),MAX(0,Inputs!$B$44-((R1430-1)*(1/Q1430)))))/Inputs!$B$44),IF(Inputs!$B$39="pvp",MIN((Skills!T13*(1+Inputs!$B$35/100)),15)/15,MIN(1,(Skills!T13*(1+Inputs!$B$35/100))/(1/Q1430)))))+((C1431=TRUE)*F1431*IF(AND(Inputs!$B$39&lt;&gt;"pvp",Inputs!$B$44&gt;0),(((R1431-1)*MIN((Skills!T14*(1+Inputs!$B$35/100)),(1/Q1431))+MIN((Skills!T14*(1+Inputs!$B$35/100)),MAX(0,Inputs!$B$44-((R1431-1)*(1/Q1431)))))/Inputs!$B$44),IF(Inputs!$B$39="pvp",MIN((Skills!T14*(1+Inputs!$B$35/100)),15)/15,MIN(1,(Skills!T14*(1+Inputs!$B$35/100))/(1/Q1431)))))+((C1432=TRUE)*F1432*IF(AND(Inputs!$B$39&lt;&gt;"pvp",Inputs!$B$44&gt;0),(((R1432-1)*MIN((Skills!T15*(1+Inputs!$B$35/100)),(1/Q1432))+MIN((Skills!T15*(1+Inputs!$B$35/100)),MAX(0,Inputs!$B$44-((R1432-1)*(1/Q1432)))))/Inputs!$B$44),IF(Inputs!$B$39="pvp",MIN((Skills!T15*(1+Inputs!$B$35/100)),15)/15,MIN(1,(Skills!T15*(1+Inputs!$B$35/100))/(1/Q1432)))))+((C1433=TRUE)*F1433*IF(AND(Inputs!$B$39&lt;&gt;"pvp",Inputs!$B$44&gt;0),(((R1433-1)*MIN((Skills!T16*(1+Inputs!$B$35/100)),(1/Q1433))+MIN((Skills!T16*(1+Inputs!$B$35/100)),MAX(0,Inputs!$B$44-((R1433-1)*(1/Q1433)))))/Inputs!$B$44),IF(Inputs!$B$39="pvp",MIN((Skills!T16*(1+Inputs!$B$35/100)),15)/15,MIN(1,(Skills!T16*(1+Inputs!$B$35/100))/(1/Q1433)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1419)</f>
        <v/>
      </c>
      <c r="L1419">
        <f>K1419*(MIN(Inputs!$B$23+((C1439=TRUE)*(F1439-Calc!F22)),(Inputs!$B$24+((C1441=TRUE)*(F1441-Calc!F24))+(IF(ArtifactsInput!$M$15,CHOOSE(ArtifactsInput!$N$15+1,25,30,35,40,45,50)/100*(Inputs!$B$12-Inputs!$B$12),0))))/100+(Inputs!$B$24+((C1441=TRUE)*(F1441-Calc!F24))+(IF(ArtifactsInput!$M$15,CHOOSE(ArtifactsInput!$N$15+1,25,30,35,40,45,50)/100*(Inputs!$B$12-Inputs!$B$12),0)))/100)/2</f>
        <v/>
      </c>
      <c r="M1419">
        <f>L1419*(1+(Inputs!$B$11+0+B1451+(IF(ArtifactsInput!$M$24,CHOOSE(ArtifactsInput!$N$24+1,30,36,42,48,54,60)/100*(Inputs!$B$10-Inputs!$B$10),0)+IF(IF(ArtifactsInput!$M$10,FALSE,TRUE),CHOOSE(ArtifactsInput!$N$10+1,20,24,28,32,36,40)*(IF(Inputs!$B$39="pvp",MIN(15,15)/15,IF(AND(Inputs!$B$39&lt;&gt;"pvp",Inputs!$B$44&gt;0),MIN(15,Inputs!$B$44)/(Inputs!$B$44),0))),0)+IF(ArtifactsInput!$M$31,1.5*CHOOSE(ArtifactsInput!$N$31+1,20,24,28,32,36,40),0)))/100)</f>
        <v/>
      </c>
      <c r="N1419">
        <f>L1419*(1-MIN((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M1419*(MIN((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f>
        <v/>
      </c>
      <c r="O1419">
        <f>(1-Summary!$B$11)*T1419+Summary!$B$11*V1419</f>
        <v/>
      </c>
      <c r="P1419">
        <f>IF(B1456=0,0,O1419/B1456)</f>
        <v/>
      </c>
      <c r="Q1419" t="n">
        <v>0</v>
      </c>
      <c r="R1419" t="n">
        <v>0</v>
      </c>
      <c r="S1419">
        <f>IFERROR(O1419/N1419,0)</f>
        <v/>
      </c>
      <c r="T1419">
        <f>IF(C1419,(Skills!G2*N1419*B1450)*IF(Inputs!$B$39="pvp",1,1+(Inputs!$B$21+0+Skills!P2+((C1434=TRUE)*F1434*IF(AND(Inputs!$B$39&lt;&gt;"pvp",Inputs!$B$44&gt;0),(((R1434-1)*MIN((Skills!T17*(1+Inputs!$B$35/100)),(1/Q1434))+MIN((Skills!T17*(1+Inputs!$B$35/100)),MAX(0,Inputs!$B$44-((R1434-1)*(1/Q1434)))))/Inputs!$B$44),IF(Inputs!$B$39="pvp",MIN((Skills!T17*(1+Inputs!$B$35/100)),15)/15,MIN(1,(Skills!T17*(1+Inputs!$B$35/100))/(1/Q1434)))))+((C1422=TRUE)*IF(Inputs!$B$3&gt;=126,10*MIN(1,15*Q1422),0))+((C1431=TRUE)*IF(Inputs!$B$39="pvp",20,(1-Summary!$B$11)*(20)+Summary!$B$11*(0))*IF(AND(Inputs!$B$39&lt;&gt;"pvp",Inputs!$B$44&gt;0),(((R1431-1)*MIN((Skills!T14*(1+Inputs!$B$35/100)),(1/Q1431))+MIN((Skills!T14*(1+Inputs!$B$35/100)),MAX(0,Inputs!$B$44-((R1431-1)*(1/Q1431)))))/Inputs!$B$44),IF(Inputs!$B$39="pvp",MIN((Skills!T14*(1+Inputs!$B$35/100)),15)/15,MIN(1,(Skills!T14*(1+Inputs!$B$35/100))/(1/Q1431)))))+((C1430=TRUE)*IF(Inputs!$B$3&gt;=82,IF(Inputs!$B$39="pvp",20,(1-Summary!$B$11)*(20)+Summary!$B$11*(0)),0)*IF(AND(Inputs!$B$39&lt;&gt;"pvp",Inputs!$B$44&gt;0),(((R1430-1)*MIN((Skills!T13*(1+Inputs!$B$35/100)),(1/Q1430))+MIN((Skills!T13*(1+Inputs!$B$35/100)),MAX(0,Inputs!$B$44-((R1430-1)*(1/Q1430)))))/Inputs!$B$44),IF(Inputs!$B$39="pvp",MIN((Skills!T13*(1+Inputs!$B$35/100)),15)/15,MIN(1,(Skills!T13*(1+Inputs!$B$35/100))/(1/Q1430)))))+(IF(AND(ArtifactsInput!$M$35,Inputs!$B$4&lt;&gt;"Chapter Hunt"),CHOOSE(ArtifactsInput!$N$35+1,15,18,21,24,27,30)*(1-EXP(-(0.2*B1448)*5)),0)+IF(AND(ArtifactsInput!$M$22,Inputs!$B$4&lt;&gt;"Chapter Hunt"),CHOOSE(ArtifactsInput!$N$22+1,10,12,14,16,18,20)*((0*(((0.15*B1448*5))^0/1)+1*(((0.15*B1448*5))^1/1)+2*(((0.15*B1448*5))^2/2)+3*(((0.15*B1448*5))^3/6)+4*(((0.15*B1448*5))^4/24)+5*(((0.15*B1448*5))^5/120))/((((0.15*B1448*5))^0/1)+(((0.15*B1448*5))^1/1)+(((0.15*B1448*5))^2/2)+(((0.15*B1448*5))^3/6)+(((0.15*B1448*5))^4/24)+(((0.15*B1448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1419*(1-MIN(100,(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M1419*(MIN(100,(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L1419*(1-MIN(100,(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M1419*(MIN(100,(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419">
        <f>MAX(0,(Inputs!$B$3-100)*3)+Inputs!$B$29+Inputs!$B$30</f>
        <v/>
      </c>
      <c r="V1419">
        <f>IF(C1419,(Skills!G2*N1419*B1450)*IF(Inputs!$B$39="pvp",1,(1+(Inputs!$B$22+Skills!Q2+((C1434=TRUE)*F1434*IF(AND(Inputs!$B$39&lt;&gt;"pvp",Inputs!$B$44&gt;0),(((R1434-1)*MIN((Skills!T17*(1+Inputs!$B$35/100)),(1/Q1434))+MIN((Skills!T17*(1+Inputs!$B$35/100)),MAX(0,Inputs!$B$44-((R1434-1)*(1/Q1434)))))/Inputs!$B$44),IF(Inputs!$B$39="pvp",MIN((Skills!T17*(1+Inputs!$B$35/100)),15)/15,MIN(1,(Skills!T17*(1+Inputs!$B$35/100))/(1/Q1434)))))+((C1422=TRUE)*IF(Inputs!$B$3&gt;=126,10*MIN(1,15*Q1422),0))+((C1431=TRUE)*IF(Inputs!$B$39="pvp",20,(1-Summary!$B$11)*(20)+Summary!$B$11*(0))*IF(AND(Inputs!$B$39&lt;&gt;"pvp",Inputs!$B$44&gt;0),(((R1431-1)*MIN((Skills!T14*(1+Inputs!$B$35/100)),(1/Q1431))+MIN((Skills!T14*(1+Inputs!$B$35/100)),MAX(0,Inputs!$B$44-((R1431-1)*(1/Q1431)))))/Inputs!$B$44),IF(Inputs!$B$39="pvp",MIN((Skills!T14*(1+Inputs!$B$35/100)),15)/15,MIN(1,(Skills!T14*(1+Inputs!$B$35/100))/(1/Q1431)))))+((C1430=TRUE)*IF(Inputs!$B$3&gt;=82,IF(Inputs!$B$39="pvp",20,(1-Summary!$B$11)*(20)+Summary!$B$11*(0)),0)*IF(AND(Inputs!$B$39&lt;&gt;"pvp",Inputs!$B$44&gt;0),(((R1430-1)*MIN((Skills!T13*(1+Inputs!$B$35/100)),(1/Q1430))+MIN((Skills!T13*(1+Inputs!$B$35/100)),MAX(0,Inputs!$B$44-((R1430-1)*(1/Q1430)))))/Inputs!$B$44),IF(Inputs!$B$39="pvp",MIN((Skills!T13*(1+Inputs!$B$35/100)),15)/15,MIN(1,(Skills!T13*(1+Inputs!$B$35/100))/(1/Q1430)))))+(IF(AND(ArtifactsInput!$M$35,Inputs!$B$4&lt;&gt;"Chapter Hunt"),CHOOSE(ArtifactsInput!$N$35+1,15,18,21,24,27,30)*(1-EXP(-(0.2*B1448)*5)),0)+IF(AND(ArtifactsInput!$M$22,Inputs!$B$4&lt;&gt;"Chapter Hunt"),CHOOSE(ArtifactsInput!$N$22+1,10,12,14,16,18,20)*((0*(((0.15*B1448*5))^0/1)+1*(((0.15*B1448*5))^1/1)+2*(((0.15*B1448*5))^2/2)+3*(((0.15*B1448*5))^3/6)+4*(((0.15*B1448*5))^4/24)+5*(((0.15*B1448*5))^5/120))/((((0.15*B1448*5))^0/1)+(((0.15*B1448*5))^1/1)+(((0.15*B1448*5))^2/2)+(((0.15*B1448*5))^3/6)+(((0.15*B1448*5))^4/24)+(((0.15*B1448*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20">
      <c r="A1420">
        <f>Skills!A3</f>
        <v/>
      </c>
      <c r="B1420">
        <f>Skills!B3</f>
        <v/>
      </c>
      <c r="C1420">
        <f>Inputs!$B$3&gt;=50</f>
        <v/>
      </c>
      <c r="D1420">
        <f>IF(Skills!C3=1,60+Inputs!$B$26+Inputs!$B$30,IF(Skills!C3=2,90+Inputs!$B$27+Inputs!$B$30,IF(Skills!C3=3,120+Inputs!$B$28+Inputs!$B$30,MAX(0,(Inputs!$B$3-100)*3)+Inputs!$B$29+Inputs!$B$30)))</f>
        <v/>
      </c>
      <c r="E1420">
        <f>INDEX(FactorTable!$B$2:$Y$301, MATCH(ROUND(MIN(300,MAX(1,D1420)),0), FactorTable!$A$2:$A$301,0), Skills!M3+1)</f>
        <v/>
      </c>
      <c r="F1420">
        <f>IF(Skills!N3=TRUE,(Skills!L3/10)*(E1420/1000),Skills!L3/10)+Skills!O3</f>
        <v/>
      </c>
      <c r="G1420" t="inlineStr"/>
      <c r="H1420" t="inlineStr"/>
      <c r="I1420" t="inlineStr">
        <is>
          <t>1</t>
        </is>
      </c>
      <c r="J1420" t="inlineStr"/>
      <c r="K1420" t="inlineStr"/>
      <c r="L1420" t="inlineStr"/>
      <c r="M1420" t="inlineStr"/>
      <c r="N1420" t="inlineStr"/>
      <c r="O1420" t="inlineStr"/>
      <c r="P1420" t="inlineStr"/>
      <c r="Q1420" t="inlineStr"/>
      <c r="R1420" t="inlineStr"/>
      <c r="S1420" t="inlineStr"/>
      <c r="U1420">
        <f>INDEX(FactorTable!$B$2:$Y$301, MATCH(ROUND(MIN(300,MAX(1,U1419)),0), FactorTable!$A$2:$A$301,0), 22)</f>
        <v/>
      </c>
    </row>
    <row r="1421">
      <c r="A1421">
        <f>Skills!A4</f>
        <v/>
      </c>
      <c r="B1421">
        <f>Skills!B4</f>
        <v/>
      </c>
      <c r="C1421">
        <f>Inputs!$B$3&gt;=105</f>
        <v/>
      </c>
      <c r="D1421">
        <f>IF(Skills!C4=1,60+Inputs!$B$26+Inputs!$B$30,IF(Skills!C4=2,90+Inputs!$B$27+Inputs!$B$30,IF(Skills!C4=3,120+Inputs!$B$28+Inputs!$B$30,MAX(0,(Inputs!$B$3-100)*3)+Inputs!$B$29+Inputs!$B$30)))</f>
        <v/>
      </c>
      <c r="E1421">
        <f>INDEX(FactorTable!$B$2:$Y$301, MATCH(ROUND(MIN(300,MAX(1,D1421)),0), FactorTable!$A$2:$A$301,0), Skills!M4+1)</f>
        <v/>
      </c>
      <c r="F1421">
        <f>IF(Skills!N4=TRUE,(Skills!L4/10)*(E1421/1000),Skills!L4/10)+Skills!O4</f>
        <v/>
      </c>
      <c r="G1421" t="inlineStr"/>
      <c r="H1421" t="inlineStr"/>
      <c r="I1421" t="inlineStr">
        <is>
          <t>1</t>
        </is>
      </c>
      <c r="J1421" t="inlineStr"/>
      <c r="K1421" t="inlineStr"/>
      <c r="L1421" t="inlineStr"/>
      <c r="M1421" t="inlineStr"/>
      <c r="N1421" t="inlineStr"/>
      <c r="O1421" t="inlineStr"/>
      <c r="P1421" t="inlineStr"/>
      <c r="Q1421" t="inlineStr"/>
      <c r="R1421" t="inlineStr"/>
      <c r="S1421" t="inlineStr"/>
      <c r="U1421">
        <f>290*U1420/1000</f>
        <v/>
      </c>
    </row>
    <row r="1422">
      <c r="A1422">
        <f>Skills!A5</f>
        <v/>
      </c>
      <c r="B1422">
        <f>Skills!B5</f>
        <v/>
      </c>
      <c r="C1422">
        <f>Inputs!$B$3&gt;=117</f>
        <v/>
      </c>
      <c r="D1422">
        <f>IF(Skills!C5=1,60+Inputs!$B$26+Inputs!$B$30,IF(Skills!C5=2,90+Inputs!$B$27+Inputs!$B$30,IF(Skills!C5=3,120+Inputs!$B$28+Inputs!$B$30,MAX(0,(Inputs!$B$3-100)*3)+Inputs!$B$29+Inputs!$B$30)))</f>
        <v/>
      </c>
      <c r="E1422">
        <f>INDEX(FactorTable!$B$2:$Y$301, MATCH(ROUND(MIN(300,MAX(1,D1422)),0), FactorTable!$A$2:$A$301,0), Skills!M5+1)</f>
        <v/>
      </c>
      <c r="F1422">
        <f>IF(Skills!N5=TRUE,(Skills!L5/10)*(E1422/1000),Skills!L5/10)+Skills!O5</f>
        <v/>
      </c>
      <c r="G1422">
        <f>Skills!G5*IF(Skills!H5&gt;0,INT(IF(Inputs!$B$39="pvp",MIN(Skills!I5,15),Skills!I5)/Skills!H5+0.000000001),1)</f>
        <v/>
      </c>
      <c r="H1422">
        <f>1-(1-Skills!J5/100)^Skills!K5</f>
        <v/>
      </c>
      <c r="I1422" t="inlineStr">
        <is>
          <t>1</t>
        </is>
      </c>
      <c r="J1422">
        <f>((Inputs!$B$6*(1+Inputs!$B$7/100))+(((Inputs!$B$13*(1+Inputs!$B$14/100))-(Inputs!$B$13*(1+Inputs!$B$14/100)))+0.25*(Inputs!$B$15-Inputs!$B$15))*(1+Inputs!$B$7/100))*(F1422/100)</f>
        <v/>
      </c>
      <c r="K1422">
        <f>J1422*(1+(((Inputs!$B$13+IF(Inputs!$B$3&gt;=38,(10*INDEX(FactorTable!$B$2:$Y$301, MATCH(ROUND(MIN(300,MAX(1,Inputs!$B$3)),0), FactorTable!$A$2:$A$301,0), 23)/1000)/100*(Inputs!$B$8*(1+Inputs!$B$9/100)),0))*(1+Inputs!$B$14/100))*0.01+Inputs!$B$15*0.0025)/100)*(1+Inputs!$B$16/100)*(1+Inputs!$B$17/100)*(5000/(6000+Inputs!$B$43*(1-(Inputs!$B$20+0)/100)))*(1+(Inputs!$B$25+((C1442=TRUE)*(F1442-Calc!F25))+((C1443=TRUE)*(F1443-Calc!F26))+B1452)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gt;=100),MIN(100,((Inputs!$B$10+0+B1446+(ArtifactsInput!$M$24-ArtifactsInput!$M$24)*CHOOSE(ArtifactsInput!$N$24+1,10,12,14,16,18,20)+IF(IF(ArtifactsInput!$M$10,FALSE,TRUE),CHOOSE(ArtifactsInput!$N$10+1,15,18,21,24,27,30)*(IF(Inputs!$B$39="pvp",MIN(15,15)/15,IF(AND(Inputs!$B$39&lt;&gt;"pvp",Inputs!$B$44&gt;0),MIN(15,Inputs!$B$44)/(Inputs!$B$44),0))),0)))-100),0))*CHOOSE(ArtifactsInput!$N$42+1,0.6,0.72,0.84,0.96,1.08,1.2))),Inputs!$B$19+((C1440=TRUE)*(F1440-Calc!F23))+(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gt;=100),CHOOSE(ArtifactsInput!$N$42+1,40,48,56,64,72,80),0))))/100)*((1+(((C1430=TRUE)*F1430*IF(AND(Inputs!$B$39&lt;&gt;"pvp",Inputs!$B$44&gt;0),(((R1430-1)*MIN((Skills!T13*(1+Inputs!$B$35/100)),(1/Q1430))+MIN((Skills!T13*(1+Inputs!$B$35/100)),MAX(0,Inputs!$B$44-((R1430-1)*(1/Q1430)))))/Inputs!$B$44),IF(Inputs!$B$39="pvp",MIN((Skills!T13*(1+Inputs!$B$35/100)),15)/15,MIN(1,(Skills!T13*(1+Inputs!$B$35/100))/(1/Q1430)))))+((C1431=TRUE)*F1431*IF(AND(Inputs!$B$39&lt;&gt;"pvp",Inputs!$B$44&gt;0),(((R1431-1)*MIN((Skills!T14*(1+Inputs!$B$35/100)),(1/Q1431))+MIN((Skills!T14*(1+Inputs!$B$35/100)),MAX(0,Inputs!$B$44-((R1431-1)*(1/Q1431)))))/Inputs!$B$44),IF(Inputs!$B$39="pvp",MIN((Skills!T14*(1+Inputs!$B$35/100)),15)/15,MIN(1,(Skills!T14*(1+Inputs!$B$35/100))/(1/Q1431)))))+((C1432=TRUE)*F1432*IF(AND(Inputs!$B$39&lt;&gt;"pvp",Inputs!$B$44&gt;0),(((R1432-1)*MIN((Skills!T15*(1+Inputs!$B$35/100)),(1/Q1432))+MIN((Skills!T15*(1+Inputs!$B$35/100)),MAX(0,Inputs!$B$44-((R1432-1)*(1/Q1432)))))/Inputs!$B$44),IF(Inputs!$B$39="pvp",MIN((Skills!T15*(1+Inputs!$B$35/100)),15)/15,MIN(1,(Skills!T15*(1+Inputs!$B$35/100))/(1/Q1432)))))+((C1433=TRUE)*F1433*IF(AND(Inputs!$B$39&lt;&gt;"pvp",Inputs!$B$44&gt;0),(((R1433-1)*MIN((Skills!T16*(1+Inputs!$B$35/100)),(1/Q1433))+MIN((Skills!T16*(1+Inputs!$B$35/100)),MAX(0,Inputs!$B$44-((R1433-1)*(1/Q1433)))))/Inputs!$B$44),IF(Inputs!$B$39="pvp",MIN((Skills!T16*(1+Inputs!$B$35/100)),15)/15,MIN(1,(Skills!T16*(1+Inputs!$B$35/100))/(1/Q1433)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1422)</f>
        <v/>
      </c>
      <c r="L1422">
        <f>K1422*(MIN(Inputs!$B$23+((C1439=TRUE)*(F1439-Calc!F22)),(Inputs!$B$24+((C1441=TRUE)*(F1441-Calc!F24))+(IF(ArtifactsInput!$M$15,CHOOSE(ArtifactsInput!$N$15+1,25,30,35,40,45,50)/100*(Inputs!$B$12-Inputs!$B$12),0))))/100+(Inputs!$B$24+((C1441=TRUE)*(F1441-Calc!F24))+(IF(ArtifactsInput!$M$15,CHOOSE(ArtifactsInput!$N$15+1,25,30,35,40,45,50)/100*(Inputs!$B$12-Inputs!$B$12),0)))/100)/2</f>
        <v/>
      </c>
      <c r="M1422">
        <f>L1422*(1+(Inputs!$B$11+0+B1451+(IF(ArtifactsInput!$M$24,CHOOSE(ArtifactsInput!$N$24+1,30,36,42,48,54,60)/100*(Inputs!$B$10-Inputs!$B$10),0)+IF(IF(ArtifactsInput!$M$10,FALSE,TRUE),CHOOSE(ArtifactsInput!$N$10+1,20,24,28,32,36,40)*(IF(Inputs!$B$39="pvp",MIN(15,15)/15,IF(AND(Inputs!$B$39&lt;&gt;"pvp",Inputs!$B$44&gt;0),MIN(15,Inputs!$B$44)/(Inputs!$B$44),0))),0)+IF(ArtifactsInput!$M$31,1.5*CHOOSE(ArtifactsInput!$N$31+1,20,24,28,32,36,40),0)))/100)</f>
        <v/>
      </c>
      <c r="N1422">
        <f>L1422*(1-MIN((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M1422*(MIN((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f>
        <v/>
      </c>
      <c r="O1422">
        <f>(1-Summary!$B$11)*T1422+Summary!$B$11*V1422</f>
        <v/>
      </c>
      <c r="P1422">
        <f>IF(B1456=0,0,O1422/B1456)</f>
        <v/>
      </c>
      <c r="Q1422">
        <f>IFERROR(1/IF(Inputs!$B$39="pvp",15,MAX(0.1,Skills!D5-IF(TRUE=TRUE,Inputs!$B$33,0))),0)</f>
        <v/>
      </c>
      <c r="R1422">
        <f>IF(AND(Inputs!$B$39&lt;&gt;"pvp",Inputs!$B$44&gt;0),IF(MAX(0,Inputs!$B$44-B1453)&lt;=0,0,(INT(MAX(0,Inputs!$B$44-B1453)/IF(Inputs!$B$39="pvp",15,MAX(0.1,Skills!D5-IF(TRUE=TRUE,Inputs!$B$33,0))))+1)),0)</f>
        <v/>
      </c>
      <c r="S1422">
        <f>IFERROR(O1422/N1422,0)</f>
        <v/>
      </c>
      <c r="T1422">
        <f>IF(C1422,(H1422*N1422*IF(AND(Inputs!$B$39&lt;&gt;"pvp",Inputs!$B$44&gt;0),((Skills!G5*((R1422-1)*IF(Skills!H5&gt;0,INT(Skills!I5/Skills!H5+0.000000001),1)+IF(Skills!H5&gt;0,INT(MIN(Skills!I5,MAX(0,MAX(0,Inputs!$B$44-B1453)-((R1422-1)*IF(Inputs!$B$39="pvp",15,MAX(0.1,Skills!D5-IF(TRUE=TRUE,Inputs!$B$33,0))))))/Skills!H5+0.000000001),1)))/Inputs!$B$44),G1422*Q1422))*IF(Inputs!$B$39="pvp",1,1+(Inputs!$B$21+0+Skills!P5+((C1434=TRUE)*F1434*IF(AND(Inputs!$B$39&lt;&gt;"pvp",Inputs!$B$44&gt;0),(((R1434-1)*MIN((Skills!T17*(1+Inputs!$B$35/100)),(1/Q1434))+MIN((Skills!T17*(1+Inputs!$B$35/100)),MAX(0,Inputs!$B$44-((R1434-1)*(1/Q1434)))))/Inputs!$B$44),IF(Inputs!$B$39="pvp",MIN((Skills!T17*(1+Inputs!$B$35/100)),15)/15,MIN(1,(Skills!T17*(1+Inputs!$B$35/100))/(1/Q1434)))))+((C1422=TRUE)*IF(Inputs!$B$3&gt;=126,10*MIN(1,15*Q1422),0))+((C1431=TRUE)*IF(Inputs!$B$39="pvp",20,(1-Summary!$B$11)*(20)+Summary!$B$11*(0))*IF(AND(Inputs!$B$39&lt;&gt;"pvp",Inputs!$B$44&gt;0),(((R1431-1)*MIN((Skills!T14*(1+Inputs!$B$35/100)),(1/Q1431))+MIN((Skills!T14*(1+Inputs!$B$35/100)),MAX(0,Inputs!$B$44-((R1431-1)*(1/Q1431)))))/Inputs!$B$44),IF(Inputs!$B$39="pvp",MIN((Skills!T14*(1+Inputs!$B$35/100)),15)/15,MIN(1,(Skills!T14*(1+Inputs!$B$35/100))/(1/Q1431)))))+((C1430=TRUE)*IF(Inputs!$B$3&gt;=82,IF(Inputs!$B$39="pvp",20,(1-Summary!$B$11)*(20)+Summary!$B$11*(0)),0)*IF(AND(Inputs!$B$39&lt;&gt;"pvp",Inputs!$B$44&gt;0),(((R1430-1)*MIN((Skills!T13*(1+Inputs!$B$35/100)),(1/Q1430))+MIN((Skills!T13*(1+Inputs!$B$35/100)),MAX(0,Inputs!$B$44-((R1430-1)*(1/Q1430)))))/Inputs!$B$44),IF(Inputs!$B$39="pvp",MIN((Skills!T13*(1+Inputs!$B$35/100)),15)/15,MIN(1,(Skills!T13*(1+Inputs!$B$35/100))/(1/Q1430)))))+(IF(AND(ArtifactsInput!$M$35,Inputs!$B$4&lt;&gt;"Chapter Hunt"),CHOOSE(ArtifactsInput!$N$35+1,15,18,21,24,27,30)*(1-EXP(-(0.2*B1448)*5)),0)+IF(AND(ArtifactsInput!$M$22,Inputs!$B$4&lt;&gt;"Chapter Hunt"),CHOOSE(ArtifactsInput!$N$22+1,10,12,14,16,18,20)*((0*(((0.15*B1448*5))^0/1)+1*(((0.15*B1448*5))^1/1)+2*(((0.15*B1448*5))^2/2)+3*(((0.15*B1448*5))^3/6)+4*(((0.15*B1448*5))^4/24)+5*(((0.15*B1448*5))^5/120))/((((0.15*B1448*5))^0/1)+(((0.15*B1448*5))^1/1)+(((0.15*B1448*5))^2/2)+(((0.15*B1448*5))^3/6)+(((0.15*B1448*5))^4/24)+(((0.15*B1448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1422*(1-MIN(100,(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M1422*(MIN(100,(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L1422*(1-MIN(100,(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M1422*(MIN(100,(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22">
        <f>IF(C1422,(H1422*N1422*IF(AND(Inputs!$B$39&lt;&gt;"pvp",Inputs!$B$44&gt;0),((Skills!G5*((R1422-1)*IF(Skills!H5&gt;0,INT(Skills!I5/Skills!H5+0.000000001),1)+IF(Skills!H5&gt;0,INT(MIN(Skills!I5,MAX(0,MAX(0,Inputs!$B$44-B1453)-((R1422-1)*IF(Inputs!$B$39="pvp",15,MAX(0.1,Skills!D5-IF(TRUE=TRUE,Inputs!$B$33,0))))))/Skills!H5+0.000000001),1)))/Inputs!$B$44),G1422*Q1422))*IF(Inputs!$B$39="pvp",1,(1+(Inputs!$B$22+Skills!Q5+((C1434=TRUE)*F1434*IF(AND(Inputs!$B$39&lt;&gt;"pvp",Inputs!$B$44&gt;0),(((R1434-1)*MIN((Skills!T17*(1+Inputs!$B$35/100)),(1/Q1434))+MIN((Skills!T17*(1+Inputs!$B$35/100)),MAX(0,Inputs!$B$44-((R1434-1)*(1/Q1434)))))/Inputs!$B$44),IF(Inputs!$B$39="pvp",MIN((Skills!T17*(1+Inputs!$B$35/100)),15)/15,MIN(1,(Skills!T17*(1+Inputs!$B$35/100))/(1/Q1434)))))+((C1422=TRUE)*IF(Inputs!$B$3&gt;=126,10*MIN(1,15*Q1422),0))+((C1431=TRUE)*IF(Inputs!$B$39="pvp",20,(1-Summary!$B$11)*(20)+Summary!$B$11*(0))*IF(AND(Inputs!$B$39&lt;&gt;"pvp",Inputs!$B$44&gt;0),(((R1431-1)*MIN((Skills!T14*(1+Inputs!$B$35/100)),(1/Q1431))+MIN((Skills!T14*(1+Inputs!$B$35/100)),MAX(0,Inputs!$B$44-((R1431-1)*(1/Q1431)))))/Inputs!$B$44),IF(Inputs!$B$39="pvp",MIN((Skills!T14*(1+Inputs!$B$35/100)),15)/15,MIN(1,(Skills!T14*(1+Inputs!$B$35/100))/(1/Q1431)))))+((C1430=TRUE)*IF(Inputs!$B$3&gt;=82,IF(Inputs!$B$39="pvp",20,(1-Summary!$B$11)*(20)+Summary!$B$11*(0)),0)*IF(AND(Inputs!$B$39&lt;&gt;"pvp",Inputs!$B$44&gt;0),(((R1430-1)*MIN((Skills!T13*(1+Inputs!$B$35/100)),(1/Q1430))+MIN((Skills!T13*(1+Inputs!$B$35/100)),MAX(0,Inputs!$B$44-((R1430-1)*(1/Q1430)))))/Inputs!$B$44),IF(Inputs!$B$39="pvp",MIN((Skills!T13*(1+Inputs!$B$35/100)),15)/15,MIN(1,(Skills!T13*(1+Inputs!$B$35/100))/(1/Q1430)))))+(IF(AND(ArtifactsInput!$M$35,Inputs!$B$4&lt;&gt;"Chapter Hunt"),CHOOSE(ArtifactsInput!$N$35+1,15,18,21,24,27,30)*(1-EXP(-(0.2*B1448)*5)),0)+IF(AND(ArtifactsInput!$M$22,Inputs!$B$4&lt;&gt;"Chapter Hunt"),CHOOSE(ArtifactsInput!$N$22+1,10,12,14,16,18,20)*((0*(((0.15*B1448*5))^0/1)+1*(((0.15*B1448*5))^1/1)+2*(((0.15*B1448*5))^2/2)+3*(((0.15*B1448*5))^3/6)+4*(((0.15*B1448*5))^4/24)+5*(((0.15*B1448*5))^5/120))/((((0.15*B1448*5))^0/1)+(((0.15*B1448*5))^1/1)+(((0.15*B1448*5))^2/2)+(((0.15*B1448*5))^3/6)+(((0.15*B1448*5))^4/24)+(((0.15*B1448*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23">
      <c r="A1423">
        <f>Skills!A6</f>
        <v/>
      </c>
      <c r="B1423">
        <f>Skills!B6</f>
        <v/>
      </c>
      <c r="C1423">
        <f>Inputs!$B$3&gt;=103</f>
        <v/>
      </c>
      <c r="D1423">
        <f>IF(Skills!C6=1,60+Inputs!$B$26+Inputs!$B$30,IF(Skills!C6=2,90+Inputs!$B$27+Inputs!$B$30,IF(Skills!C6=3,120+Inputs!$B$28+Inputs!$B$30,MAX(0,(Inputs!$B$3-100)*3)+Inputs!$B$29+Inputs!$B$30)))</f>
        <v/>
      </c>
      <c r="E1423">
        <f>INDEX(FactorTable!$B$2:$Y$301, MATCH(ROUND(MIN(300,MAX(1,D1423)),0), FactorTable!$A$2:$A$301,0), Skills!M6+1)</f>
        <v/>
      </c>
      <c r="F1423">
        <f>IF(Skills!N6=TRUE,(Skills!L6/10)*(E1423/1000),Skills!L6/10)+Skills!O6</f>
        <v/>
      </c>
      <c r="G1423">
        <f>Skills!G6*IF(Skills!H6&gt;0,INT(IF(Inputs!$B$39="pvp",MIN(Skills!I6,15),Skills!I6)/Skills!H6+0.000000001),1)</f>
        <v/>
      </c>
      <c r="H1423">
        <f>1-(1-Skills!J6/100)^Skills!K6</f>
        <v/>
      </c>
      <c r="I1423" t="inlineStr">
        <is>
          <t>1</t>
        </is>
      </c>
      <c r="J1423">
        <f>((Inputs!$B$6*(1+Inputs!$B$7/100))+(((Inputs!$B$13*(1+Inputs!$B$14/100))-(Inputs!$B$13*(1+Inputs!$B$14/100)))+0.25*(Inputs!$B$15-Inputs!$B$15))*(1+Inputs!$B$7/100))*(F1423/100)</f>
        <v/>
      </c>
      <c r="K1423">
        <f>J1423*(1+(((Inputs!$B$13+IF(Inputs!$B$3&gt;=38,(10*INDEX(FactorTable!$B$2:$Y$301, MATCH(ROUND(MIN(300,MAX(1,Inputs!$B$3)),0), FactorTable!$A$2:$A$301,0), 23)/1000)/100*(Inputs!$B$8*(1+Inputs!$B$9/100)),0))*(1+Inputs!$B$14/100))*0.01+Inputs!$B$15*0.0025)/100)*(1+Inputs!$B$16/100)*(1+Inputs!$B$17/100)*(5000/(6000+Inputs!$B$43*(1-(Inputs!$B$20+0)/100)))*(1+(Inputs!$B$25+((C1442=TRUE)*(F1442-Calc!F25))+((C1443=TRUE)*(F1443-Calc!F26))+B1452)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gt;=100),MIN(100,((Inputs!$B$10+0+B1446+(ArtifactsInput!$M$24-ArtifactsInput!$M$24)*CHOOSE(ArtifactsInput!$N$24+1,10,12,14,16,18,20)+IF(IF(ArtifactsInput!$M$10,FALSE,TRUE),CHOOSE(ArtifactsInput!$N$10+1,15,18,21,24,27,30)*(IF(Inputs!$B$39="pvp",MIN(15,15)/15,IF(AND(Inputs!$B$39&lt;&gt;"pvp",Inputs!$B$44&gt;0),MIN(15,Inputs!$B$44)/(Inputs!$B$44),0))),0)))-100),0))*CHOOSE(ArtifactsInput!$N$42+1,0.6,0.72,0.84,0.96,1.08,1.2))),Inputs!$B$19+((C1440=TRUE)*(F1440-Calc!F23))+(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gt;=100),CHOOSE(ArtifactsInput!$N$42+1,40,48,56,64,72,80),0))))/100)*((1+(((C1430=TRUE)*F1430*IF(AND(Inputs!$B$39&lt;&gt;"pvp",Inputs!$B$44&gt;0),(((R1430-1)*MIN((Skills!T13*(1+Inputs!$B$35/100)),(1/Q1430))+MIN((Skills!T13*(1+Inputs!$B$35/100)),MAX(0,Inputs!$B$44-((R1430-1)*(1/Q1430)))))/Inputs!$B$44),IF(Inputs!$B$39="pvp",MIN((Skills!T13*(1+Inputs!$B$35/100)),15)/15,MIN(1,(Skills!T13*(1+Inputs!$B$35/100))/(1/Q1430)))))+((C1431=TRUE)*F1431*IF(AND(Inputs!$B$39&lt;&gt;"pvp",Inputs!$B$44&gt;0),(((R1431-1)*MIN((Skills!T14*(1+Inputs!$B$35/100)),(1/Q1431))+MIN((Skills!T14*(1+Inputs!$B$35/100)),MAX(0,Inputs!$B$44-((R1431-1)*(1/Q1431)))))/Inputs!$B$44),IF(Inputs!$B$39="pvp",MIN((Skills!T14*(1+Inputs!$B$35/100)),15)/15,MIN(1,(Skills!T14*(1+Inputs!$B$35/100))/(1/Q1431)))))+((C1432=TRUE)*F1432*IF(AND(Inputs!$B$39&lt;&gt;"pvp",Inputs!$B$44&gt;0),(((R1432-1)*MIN((Skills!T15*(1+Inputs!$B$35/100)),(1/Q1432))+MIN((Skills!T15*(1+Inputs!$B$35/100)),MAX(0,Inputs!$B$44-((R1432-1)*(1/Q1432)))))/Inputs!$B$44),IF(Inputs!$B$39="pvp",MIN((Skills!T15*(1+Inputs!$B$35/100)),15)/15,MIN(1,(Skills!T15*(1+Inputs!$B$35/100))/(1/Q1432)))))+((C1433=TRUE)*F1433*IF(AND(Inputs!$B$39&lt;&gt;"pvp",Inputs!$B$44&gt;0),(((R1433-1)*MIN((Skills!T16*(1+Inputs!$B$35/100)),(1/Q1433))+MIN((Skills!T16*(1+Inputs!$B$35/100)),MAX(0,Inputs!$B$44-((R1433-1)*(1/Q1433)))))/Inputs!$B$44),IF(Inputs!$B$39="pvp",MIN((Skills!T16*(1+Inputs!$B$35/100)),15)/15,MIN(1,(Skills!T16*(1+Inputs!$B$35/100))/(1/Q1433)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1423)</f>
        <v/>
      </c>
      <c r="L1423">
        <f>K1423*(MIN(Inputs!$B$23+((C1439=TRUE)*(F1439-Calc!F22)),(Inputs!$B$24+((C1441=TRUE)*(F1441-Calc!F24))+(IF(ArtifactsInput!$M$15,CHOOSE(ArtifactsInput!$N$15+1,25,30,35,40,45,50)/100*(Inputs!$B$12-Inputs!$B$12),0))))/100+(Inputs!$B$24+((C1441=TRUE)*(F1441-Calc!F24))+(IF(ArtifactsInput!$M$15,CHOOSE(ArtifactsInput!$N$15+1,25,30,35,40,45,50)/100*(Inputs!$B$12-Inputs!$B$12),0)))/100)/2</f>
        <v/>
      </c>
      <c r="M1423">
        <f>L1423*(1+(Inputs!$B$11+0+B1451+(IF(ArtifactsInput!$M$24,CHOOSE(ArtifactsInput!$N$24+1,30,36,42,48,54,60)/100*(Inputs!$B$10-Inputs!$B$10),0)+IF(IF(ArtifactsInput!$M$10,FALSE,TRUE),CHOOSE(ArtifactsInput!$N$10+1,20,24,28,32,36,40)*(IF(Inputs!$B$39="pvp",MIN(15,15)/15,IF(AND(Inputs!$B$39&lt;&gt;"pvp",Inputs!$B$44&gt;0),MIN(15,Inputs!$B$44)/(Inputs!$B$44),0))),0)+IF(ArtifactsInput!$M$31,1.5*CHOOSE(ArtifactsInput!$N$31+1,20,24,28,32,36,40),0)))/100)</f>
        <v/>
      </c>
      <c r="N1423">
        <f>L1423*(1-MIN((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M1423*(MIN((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f>
        <v/>
      </c>
      <c r="O1423">
        <f>(1-Summary!$B$11)*T1423+Summary!$B$11*V1423</f>
        <v/>
      </c>
      <c r="P1423">
        <f>IF(B1456=0,0,O1423/B1456)</f>
        <v/>
      </c>
      <c r="Q1423">
        <f>IFERROR(1/IF(Inputs!$B$39="pvp",15,MAX(0.1,Skills!D6-IF(TRUE=TRUE,Inputs!$B$33,0))),0)</f>
        <v/>
      </c>
      <c r="R1423">
        <f>IF(AND(Inputs!$B$39&lt;&gt;"pvp",Inputs!$B$44&gt;0),IF(MAX(0,Inputs!$B$44-B1453)&lt;=0,0,(INT(MAX(0,Inputs!$B$44-B1453)/IF(Inputs!$B$39="pvp",15,MAX(0.1,Skills!D6-IF(TRUE=TRUE,Inputs!$B$33,0))))+1)),0)</f>
        <v/>
      </c>
      <c r="S1423">
        <f>IFERROR(O1423/N1423,0)</f>
        <v/>
      </c>
      <c r="T1423">
        <f>IF(C1423,(H1423*N1423*IF(AND(Inputs!$B$39&lt;&gt;"pvp",Inputs!$B$44&gt;0),((Skills!G6*((R1423-1)*IF(Skills!H6&gt;0,INT(Skills!I6/Skills!H6+0.000000001),1)+IF(Skills!H6&gt;0,INT(MIN(Skills!I6,MAX(0,MAX(0,Inputs!$B$44-B1453)-((R1423-1)*IF(Inputs!$B$39="pvp",15,MAX(0.1,Skills!D6-IF(TRUE=TRUE,Inputs!$B$33,0))))))/Skills!H6+0.000000001),1)))/Inputs!$B$44),G1423*Q1423))*IF(Inputs!$B$39="pvp",1,1+(Inputs!$B$21+0+Skills!P6+((C1434=TRUE)*F1434*IF(AND(Inputs!$B$39&lt;&gt;"pvp",Inputs!$B$44&gt;0),(((R1434-1)*MIN((Skills!T17*(1+Inputs!$B$35/100)),(1/Q1434))+MIN((Skills!T17*(1+Inputs!$B$35/100)),MAX(0,Inputs!$B$44-((R1434-1)*(1/Q1434)))))/Inputs!$B$44),IF(Inputs!$B$39="pvp",MIN((Skills!T17*(1+Inputs!$B$35/100)),15)/15,MIN(1,(Skills!T17*(1+Inputs!$B$35/100))/(1/Q1434)))))+((C1422=TRUE)*IF(Inputs!$B$3&gt;=126,10*MIN(1,15*Q1422),0))+((C1431=TRUE)*IF(Inputs!$B$39="pvp",20,(1-Summary!$B$11)*(20)+Summary!$B$11*(0))*IF(AND(Inputs!$B$39&lt;&gt;"pvp",Inputs!$B$44&gt;0),(((R1431-1)*MIN((Skills!T14*(1+Inputs!$B$35/100)),(1/Q1431))+MIN((Skills!T14*(1+Inputs!$B$35/100)),MAX(0,Inputs!$B$44-((R1431-1)*(1/Q1431)))))/Inputs!$B$44),IF(Inputs!$B$39="pvp",MIN((Skills!T14*(1+Inputs!$B$35/100)),15)/15,MIN(1,(Skills!T14*(1+Inputs!$B$35/100))/(1/Q1431)))))+((C1430=TRUE)*IF(Inputs!$B$3&gt;=82,IF(Inputs!$B$39="pvp",20,(1-Summary!$B$11)*(20)+Summary!$B$11*(0)),0)*IF(AND(Inputs!$B$39&lt;&gt;"pvp",Inputs!$B$44&gt;0),(((R1430-1)*MIN((Skills!T13*(1+Inputs!$B$35/100)),(1/Q1430))+MIN((Skills!T13*(1+Inputs!$B$35/100)),MAX(0,Inputs!$B$44-((R1430-1)*(1/Q1430)))))/Inputs!$B$44),IF(Inputs!$B$39="pvp",MIN((Skills!T13*(1+Inputs!$B$35/100)),15)/15,MIN(1,(Skills!T13*(1+Inputs!$B$35/100))/(1/Q1430)))))+(IF(AND(ArtifactsInput!$M$35,Inputs!$B$4&lt;&gt;"Chapter Hunt"),CHOOSE(ArtifactsInput!$N$35+1,15,18,21,24,27,30)*(1-EXP(-(0.2*B1448)*5)),0)+IF(AND(ArtifactsInput!$M$22,Inputs!$B$4&lt;&gt;"Chapter Hunt"),CHOOSE(ArtifactsInput!$N$22+1,10,12,14,16,18,20)*((0*(((0.15*B1448*5))^0/1)+1*(((0.15*B1448*5))^1/1)+2*(((0.15*B1448*5))^2/2)+3*(((0.15*B1448*5))^3/6)+4*(((0.15*B1448*5))^4/24)+5*(((0.15*B1448*5))^5/120))/((((0.15*B1448*5))^0/1)+(((0.15*B1448*5))^1/1)+(((0.15*B1448*5))^2/2)+(((0.15*B1448*5))^3/6)+(((0.15*B1448*5))^4/24)+(((0.15*B1448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1423*(1-MIN(100,(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M1423*(MIN(100,(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L1423*(1-MIN(100,(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M1423*(MIN(100,(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23">
        <f>IF(C1423,(H1423*N1423*IF(AND(Inputs!$B$39&lt;&gt;"pvp",Inputs!$B$44&gt;0),((Skills!G6*((R1423-1)*IF(Skills!H6&gt;0,INT(Skills!I6/Skills!H6+0.000000001),1)+IF(Skills!H6&gt;0,INT(MIN(Skills!I6,MAX(0,MAX(0,Inputs!$B$44-B1453)-((R1423-1)*IF(Inputs!$B$39="pvp",15,MAX(0.1,Skills!D6-IF(TRUE=TRUE,Inputs!$B$33,0))))))/Skills!H6+0.000000001),1)))/Inputs!$B$44),G1423*Q1423))*IF(Inputs!$B$39="pvp",1,(1+(Inputs!$B$22+Skills!Q6+((C1434=TRUE)*F1434*IF(AND(Inputs!$B$39&lt;&gt;"pvp",Inputs!$B$44&gt;0),(((R1434-1)*MIN((Skills!T17*(1+Inputs!$B$35/100)),(1/Q1434))+MIN((Skills!T17*(1+Inputs!$B$35/100)),MAX(0,Inputs!$B$44-((R1434-1)*(1/Q1434)))))/Inputs!$B$44),IF(Inputs!$B$39="pvp",MIN((Skills!T17*(1+Inputs!$B$35/100)),15)/15,MIN(1,(Skills!T17*(1+Inputs!$B$35/100))/(1/Q1434)))))+((C1422=TRUE)*IF(Inputs!$B$3&gt;=126,10*MIN(1,15*Q1422),0))+((C1431=TRUE)*IF(Inputs!$B$39="pvp",20,(1-Summary!$B$11)*(20)+Summary!$B$11*(0))*IF(AND(Inputs!$B$39&lt;&gt;"pvp",Inputs!$B$44&gt;0),(((R1431-1)*MIN((Skills!T14*(1+Inputs!$B$35/100)),(1/Q1431))+MIN((Skills!T14*(1+Inputs!$B$35/100)),MAX(0,Inputs!$B$44-((R1431-1)*(1/Q1431)))))/Inputs!$B$44),IF(Inputs!$B$39="pvp",MIN((Skills!T14*(1+Inputs!$B$35/100)),15)/15,MIN(1,(Skills!T14*(1+Inputs!$B$35/100))/(1/Q1431)))))+((C1430=TRUE)*IF(Inputs!$B$3&gt;=82,IF(Inputs!$B$39="pvp",20,(1-Summary!$B$11)*(20)+Summary!$B$11*(0)),0)*IF(AND(Inputs!$B$39&lt;&gt;"pvp",Inputs!$B$44&gt;0),(((R1430-1)*MIN((Skills!T13*(1+Inputs!$B$35/100)),(1/Q1430))+MIN((Skills!T13*(1+Inputs!$B$35/100)),MAX(0,Inputs!$B$44-((R1430-1)*(1/Q1430)))))/Inputs!$B$44),IF(Inputs!$B$39="pvp",MIN((Skills!T13*(1+Inputs!$B$35/100)),15)/15,MIN(1,(Skills!T13*(1+Inputs!$B$35/100))/(1/Q1430)))))+(IF(AND(ArtifactsInput!$M$35,Inputs!$B$4&lt;&gt;"Chapter Hunt"),CHOOSE(ArtifactsInput!$N$35+1,15,18,21,24,27,30)*(1-EXP(-(0.2*B1448)*5)),0)+IF(AND(ArtifactsInput!$M$22,Inputs!$B$4&lt;&gt;"Chapter Hunt"),CHOOSE(ArtifactsInput!$N$22+1,10,12,14,16,18,20)*((0*(((0.15*B1448*5))^0/1)+1*(((0.15*B1448*5))^1/1)+2*(((0.15*B1448*5))^2/2)+3*(((0.15*B1448*5))^3/6)+4*(((0.15*B1448*5))^4/24)+5*(((0.15*B1448*5))^5/120))/((((0.15*B1448*5))^0/1)+(((0.15*B1448*5))^1/1)+(((0.15*B1448*5))^2/2)+(((0.15*B1448*5))^3/6)+(((0.15*B1448*5))^4/24)+(((0.15*B1448*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24">
      <c r="A1424">
        <f>Skills!A7</f>
        <v/>
      </c>
      <c r="B1424">
        <f>Skills!B7</f>
        <v/>
      </c>
      <c r="C1424">
        <f>Inputs!$B$3&gt;=40</f>
        <v/>
      </c>
      <c r="D1424">
        <f>IF(Skills!C7=1,60+Inputs!$B$26+Inputs!$B$30,IF(Skills!C7=2,90+Inputs!$B$27+Inputs!$B$30,IF(Skills!C7=3,120+Inputs!$B$28+Inputs!$B$30,MAX(0,(Inputs!$B$3-100)*3)+Inputs!$B$29+Inputs!$B$30)))</f>
        <v/>
      </c>
      <c r="E1424">
        <f>INDEX(FactorTable!$B$2:$Y$301, MATCH(ROUND(MIN(300,MAX(1,D1424)),0), FactorTable!$A$2:$A$301,0), Skills!M7+1)</f>
        <v/>
      </c>
      <c r="F1424">
        <f>IF(Skills!N7=TRUE,(Skills!L7/10)*(E1424/1000),Skills!L7/10)+Skills!O7</f>
        <v/>
      </c>
      <c r="G1424">
        <f>Skills!G7*IF(Skills!H7&gt;0,INT(IF(Inputs!$B$39="pvp",MIN(Skills!I7,15),Skills!I7)/Skills!H7+0.000000001),1)</f>
        <v/>
      </c>
      <c r="H1424">
        <f>1-(1-Skills!J7/100)^Skills!K7</f>
        <v/>
      </c>
      <c r="I1424" t="inlineStr">
        <is>
          <t>1</t>
        </is>
      </c>
      <c r="J1424">
        <f>((Inputs!$B$6*(1+Inputs!$B$7/100))+(((Inputs!$B$13*(1+Inputs!$B$14/100))-(Inputs!$B$13*(1+Inputs!$B$14/100)))+0.25*(Inputs!$B$15-Inputs!$B$15))*(1+Inputs!$B$7/100))*(F1424/100)</f>
        <v/>
      </c>
      <c r="K1424">
        <f>J1424*(1+(((Inputs!$B$13+IF(Inputs!$B$3&gt;=38,(10*INDEX(FactorTable!$B$2:$Y$301, MATCH(ROUND(MIN(300,MAX(1,Inputs!$B$3)),0), FactorTable!$A$2:$A$301,0), 23)/1000)/100*(Inputs!$B$8*(1+Inputs!$B$9/100)),0))*(1+Inputs!$B$14/100))*0.01+Inputs!$B$15*0.0025)/100)*(1+Inputs!$B$16/100)*(1+Inputs!$B$17/100)*(5000/(6000+Inputs!$B$43*(1-(Inputs!$B$20+0)/100)))*(1+(Inputs!$B$25+((C1442=TRUE)*(F1442-Calc!F25))+((C1443=TRUE)*(F1443-Calc!F26))+B1452)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1428=TRUE,F1428,0)/100)*(1+(IF(Skills!A7="DARK_IMPALE",Inputs!$B$18+0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gt;=100),MIN(100,((Inputs!$B$10+0+B1446+(ArtifactsInput!$M$24-ArtifactsInput!$M$24)*CHOOSE(ArtifactsInput!$N$24+1,10,12,14,16,18,20)+IF(IF(ArtifactsInput!$M$10,FALSE,TRUE),CHOOSE(ArtifactsInput!$N$10+1,15,18,21,24,27,30)*(IF(Inputs!$B$39="pvp",MIN(15,15)/15,IF(AND(Inputs!$B$39&lt;&gt;"pvp",Inputs!$B$44&gt;0),MIN(15,Inputs!$B$44)/(Inputs!$B$44),0))),0)))-100),0))*CHOOSE(ArtifactsInput!$N$42+1,0.6,0.72,0.84,0.96,1.08,1.2))),Inputs!$B$19+((C1440=TRUE)*(F1440-Calc!F23))+(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gt;=100),CHOOSE(ArtifactsInput!$N$42+1,40,48,56,64,72,80),0))))/100)*((1+(((C1430=TRUE)*F1430*IF(AND(Inputs!$B$39&lt;&gt;"pvp",Inputs!$B$44&gt;0),(((R1430-1)*MIN((Skills!T13*(1+Inputs!$B$35/100)),(1/Q1430))+MIN((Skills!T13*(1+Inputs!$B$35/100)),MAX(0,Inputs!$B$44-((R1430-1)*(1/Q1430)))))/Inputs!$B$44),IF(Inputs!$B$39="pvp",MIN((Skills!T13*(1+Inputs!$B$35/100)),15)/15,MIN(1,(Skills!T13*(1+Inputs!$B$35/100))/(1/Q1430)))))+((C1431=TRUE)*F1431*IF(AND(Inputs!$B$39&lt;&gt;"pvp",Inputs!$B$44&gt;0),(((R1431-1)*MIN((Skills!T14*(1+Inputs!$B$35/100)),(1/Q1431))+MIN((Skills!T14*(1+Inputs!$B$35/100)),MAX(0,Inputs!$B$44-((R1431-1)*(1/Q1431)))))/Inputs!$B$44),IF(Inputs!$B$39="pvp",MIN((Skills!T14*(1+Inputs!$B$35/100)),15)/15,MIN(1,(Skills!T14*(1+Inputs!$B$35/100))/(1/Q1431)))))+((C1432=TRUE)*F1432*IF(AND(Inputs!$B$39&lt;&gt;"pvp",Inputs!$B$44&gt;0),(((R1432-1)*MIN((Skills!T15*(1+Inputs!$B$35/100)),(1/Q1432))+MIN((Skills!T15*(1+Inputs!$B$35/100)),MAX(0,Inputs!$B$44-((R1432-1)*(1/Q1432)))))/Inputs!$B$44),IF(Inputs!$B$39="pvp",MIN((Skills!T15*(1+Inputs!$B$35/100)),15)/15,MIN(1,(Skills!T15*(1+Inputs!$B$35/100))/(1/Q1432)))))+((C1433=TRUE)*F1433*IF(AND(Inputs!$B$39&lt;&gt;"pvp",Inputs!$B$44&gt;0),(((R1433-1)*MIN((Skills!T16*(1+Inputs!$B$35/100)),(1/Q1433))+MIN((Skills!T16*(1+Inputs!$B$35/100)),MAX(0,Inputs!$B$44-((R1433-1)*(1/Q1433)))))/Inputs!$B$44),IF(Inputs!$B$39="pvp",MIN((Skills!T16*(1+Inputs!$B$35/100)),15)/15,MIN(1,(Skills!T16*(1+Inputs!$B$35/100))/(1/Q1433)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1424)</f>
        <v/>
      </c>
      <c r="L1424">
        <f>K1424*(MIN(Inputs!$B$23+((C1439=TRUE)*(F1439-Calc!F22)),(Inputs!$B$24+((C1441=TRUE)*(F1441-Calc!F24))+(IF(ArtifactsInput!$M$15,CHOOSE(ArtifactsInput!$N$15+1,25,30,35,40,45,50)/100*(Inputs!$B$12-Inputs!$B$12),0))))/100+(Inputs!$B$24+((C1441=TRUE)*(F1441-Calc!F24))+(IF(ArtifactsInput!$M$15,CHOOSE(ArtifactsInput!$N$15+1,25,30,35,40,45,50)/100*(Inputs!$B$12-Inputs!$B$12),0)))/100)/2</f>
        <v/>
      </c>
      <c r="M1424">
        <f>L1424*(1+(Inputs!$B$11+0+B1451+(IF(ArtifactsInput!$M$24,CHOOSE(ArtifactsInput!$N$24+1,30,36,42,48,54,60)/100*(Inputs!$B$10-Inputs!$B$10),0)+IF(IF(ArtifactsInput!$M$10,FALSE,TRUE),CHOOSE(ArtifactsInput!$N$10+1,20,24,28,32,36,40)*(IF(Inputs!$B$39="pvp",MIN(15,15)/15,IF(AND(Inputs!$B$39&lt;&gt;"pvp",Inputs!$B$44&gt;0),MIN(15,Inputs!$B$44)/(Inputs!$B$44),0))),0)+IF(ArtifactsInput!$M$31,1.5*CHOOSE(ArtifactsInput!$N$31+1,20,24,28,32,36,40),0)))/100)</f>
        <v/>
      </c>
      <c r="N1424">
        <f>L1424*(1-MIN((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M1424*(MIN((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f>
        <v/>
      </c>
      <c r="O1424">
        <f>(1-Summary!$B$11)*T1424+Summary!$B$11*V1424</f>
        <v/>
      </c>
      <c r="P1424">
        <f>IF(B1456=0,0,O1424/B1456)</f>
        <v/>
      </c>
      <c r="Q1424">
        <f>IFERROR(1/IF(Inputs!$B$39="pvp",15,MAX(0.1,Skills!D7-IF(TRUE=TRUE,Inputs!$B$33,0))),0)</f>
        <v/>
      </c>
      <c r="R1424">
        <f>IF(AND(Inputs!$B$39&lt;&gt;"pvp",Inputs!$B$44&gt;0),IF(MAX(0,Inputs!$B$44-B1453)&lt;=0,0,(INT(MAX(0,Inputs!$B$44-B1453)/IF(Inputs!$B$39="pvp",15,MAX(0.1,Skills!D7-IF(TRUE=TRUE,Inputs!$B$33,0))))+1)),0)</f>
        <v/>
      </c>
      <c r="S1424">
        <f>IFERROR(O1424/N1424,0)</f>
        <v/>
      </c>
      <c r="T1424">
        <f>IF(C1424,(H1424*N1424*IF(AND(Inputs!$B$39&lt;&gt;"pvp",Inputs!$B$44&gt;0),((Skills!G7*((R1424-1)*IF(Skills!H7&gt;0,INT(Skills!I7/Skills!H7+0.000000001),1)+IF(Skills!H7&gt;0,INT(MIN(Skills!I7,MAX(0,MAX(0,Inputs!$B$44-B1453)-((R1424-1)*IF(Inputs!$B$39="pvp",15,MAX(0.1,Skills!D7-IF(TRUE=TRUE,Inputs!$B$33,0))))))/Skills!H7+0.000000001),1)))/Inputs!$B$44),G1424*Q1424))*IF(Inputs!$B$39="pvp",1,1+(Inputs!$B$21+0+Skills!P7+((C1434=TRUE)*F1434*IF(AND(Inputs!$B$39&lt;&gt;"pvp",Inputs!$B$44&gt;0),(((R1434-1)*MIN((Skills!T17*(1+Inputs!$B$35/100)),(1/Q1434))+MIN((Skills!T17*(1+Inputs!$B$35/100)),MAX(0,Inputs!$B$44-((R1434-1)*(1/Q1434)))))/Inputs!$B$44),IF(Inputs!$B$39="pvp",MIN((Skills!T17*(1+Inputs!$B$35/100)),15)/15,MIN(1,(Skills!T17*(1+Inputs!$B$35/100))/(1/Q1434)))))+((C1422=TRUE)*IF(Inputs!$B$3&gt;=126,10*MIN(1,15*Q1422),0))+((C1431=TRUE)*IF(Inputs!$B$39="pvp",20,(1-Summary!$B$11)*(20)+Summary!$B$11*(0))*IF(AND(Inputs!$B$39&lt;&gt;"pvp",Inputs!$B$44&gt;0),(((R1431-1)*MIN((Skills!T14*(1+Inputs!$B$35/100)),(1/Q1431))+MIN((Skills!T14*(1+Inputs!$B$35/100)),MAX(0,Inputs!$B$44-((R1431-1)*(1/Q1431)))))/Inputs!$B$44),IF(Inputs!$B$39="pvp",MIN((Skills!T14*(1+Inputs!$B$35/100)),15)/15,MIN(1,(Skills!T14*(1+Inputs!$B$35/100))/(1/Q1431)))))+((C1430=TRUE)*IF(Inputs!$B$3&gt;=82,IF(Inputs!$B$39="pvp",20,(1-Summary!$B$11)*(20)+Summary!$B$11*(0)),0)*IF(AND(Inputs!$B$39&lt;&gt;"pvp",Inputs!$B$44&gt;0),(((R1430-1)*MIN((Skills!T13*(1+Inputs!$B$35/100)),(1/Q1430))+MIN((Skills!T13*(1+Inputs!$B$35/100)),MAX(0,Inputs!$B$44-((R1430-1)*(1/Q1430)))))/Inputs!$B$44),IF(Inputs!$B$39="pvp",MIN((Skills!T13*(1+Inputs!$B$35/100)),15)/15,MIN(1,(Skills!T13*(1+Inputs!$B$35/100))/(1/Q1430)))))+(IF(AND(ArtifactsInput!$M$35,Inputs!$B$4&lt;&gt;"Chapter Hunt"),CHOOSE(ArtifactsInput!$N$35+1,15,18,21,24,27,30)*(1-EXP(-(0.2*B1448)*5)),0)+IF(AND(ArtifactsInput!$M$22,Inputs!$B$4&lt;&gt;"Chapter Hunt"),CHOOSE(ArtifactsInput!$N$22+1,10,12,14,16,18,20)*((0*(((0.15*B1448*5))^0/1)+1*(((0.15*B1448*5))^1/1)+2*(((0.15*B1448*5))^2/2)+3*(((0.15*B1448*5))^3/6)+4*(((0.15*B1448*5))^4/24)+5*(((0.15*B1448*5))^5/120))/((((0.15*B1448*5))^0/1)+(((0.15*B1448*5))^1/1)+(((0.15*B1448*5))^2/2)+(((0.15*B1448*5))^3/6)+(((0.15*B1448*5))^4/24)+(((0.15*B1448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1424*(1-MIN(100,(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M1424*(MIN(100,(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L1424*(1-MIN(100,(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M1424*(MIN(100,(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24">
        <f>IF(C1424,(H1424*N1424*IF(AND(Inputs!$B$39&lt;&gt;"pvp",Inputs!$B$44&gt;0),((Skills!G7*((R1424-1)*IF(Skills!H7&gt;0,INT(Skills!I7/Skills!H7+0.000000001),1)+IF(Skills!H7&gt;0,INT(MIN(Skills!I7,MAX(0,MAX(0,Inputs!$B$44-B1453)-((R1424-1)*IF(Inputs!$B$39="pvp",15,MAX(0.1,Skills!D7-IF(TRUE=TRUE,Inputs!$B$33,0))))))/Skills!H7+0.000000001),1)))/Inputs!$B$44),G1424*Q1424))*IF(Inputs!$B$39="pvp",1,(1+(Inputs!$B$22+Skills!Q7+((C1434=TRUE)*F1434*IF(AND(Inputs!$B$39&lt;&gt;"pvp",Inputs!$B$44&gt;0),(((R1434-1)*MIN((Skills!T17*(1+Inputs!$B$35/100)),(1/Q1434))+MIN((Skills!T17*(1+Inputs!$B$35/100)),MAX(0,Inputs!$B$44-((R1434-1)*(1/Q1434)))))/Inputs!$B$44),IF(Inputs!$B$39="pvp",MIN((Skills!T17*(1+Inputs!$B$35/100)),15)/15,MIN(1,(Skills!T17*(1+Inputs!$B$35/100))/(1/Q1434)))))+((C1422=TRUE)*IF(Inputs!$B$3&gt;=126,10*MIN(1,15*Q1422),0))+((C1431=TRUE)*IF(Inputs!$B$39="pvp",20,(1-Summary!$B$11)*(20)+Summary!$B$11*(0))*IF(AND(Inputs!$B$39&lt;&gt;"pvp",Inputs!$B$44&gt;0),(((R1431-1)*MIN((Skills!T14*(1+Inputs!$B$35/100)),(1/Q1431))+MIN((Skills!T14*(1+Inputs!$B$35/100)),MAX(0,Inputs!$B$44-((R1431-1)*(1/Q1431)))))/Inputs!$B$44),IF(Inputs!$B$39="pvp",MIN((Skills!T14*(1+Inputs!$B$35/100)),15)/15,MIN(1,(Skills!T14*(1+Inputs!$B$35/100))/(1/Q1431)))))+((C1430=TRUE)*IF(Inputs!$B$3&gt;=82,IF(Inputs!$B$39="pvp",20,(1-Summary!$B$11)*(20)+Summary!$B$11*(0)),0)*IF(AND(Inputs!$B$39&lt;&gt;"pvp",Inputs!$B$44&gt;0),(((R1430-1)*MIN((Skills!T13*(1+Inputs!$B$35/100)),(1/Q1430))+MIN((Skills!T13*(1+Inputs!$B$35/100)),MAX(0,Inputs!$B$44-((R1430-1)*(1/Q1430)))))/Inputs!$B$44),IF(Inputs!$B$39="pvp",MIN((Skills!T13*(1+Inputs!$B$35/100)),15)/15,MIN(1,(Skills!T13*(1+Inputs!$B$35/100))/(1/Q1430)))))+(IF(AND(ArtifactsInput!$M$35,Inputs!$B$4&lt;&gt;"Chapter Hunt"),CHOOSE(ArtifactsInput!$N$35+1,15,18,21,24,27,30)*(1-EXP(-(0.2*B1448)*5)),0)+IF(AND(ArtifactsInput!$M$22,Inputs!$B$4&lt;&gt;"Chapter Hunt"),CHOOSE(ArtifactsInput!$N$22+1,10,12,14,16,18,20)*((0*(((0.15*B1448*5))^0/1)+1*(((0.15*B1448*5))^1/1)+2*(((0.15*B1448*5))^2/2)+3*(((0.15*B1448*5))^3/6)+4*(((0.15*B1448*5))^4/24)+5*(((0.15*B1448*5))^5/120))/((((0.15*B1448*5))^0/1)+(((0.15*B1448*5))^1/1)+(((0.15*B1448*5))^2/2)+(((0.15*B1448*5))^3/6)+(((0.15*B1448*5))^4/24)+(((0.15*B1448*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25">
      <c r="A1425">
        <f>Skills!A8</f>
        <v/>
      </c>
      <c r="B1425">
        <f>Skills!B8</f>
        <v/>
      </c>
      <c r="C1425">
        <f>Inputs!$B$3&gt;=75</f>
        <v/>
      </c>
      <c r="D1425">
        <f>IF(Skills!C8=1,60+Inputs!$B$26+Inputs!$B$30,IF(Skills!C8=2,90+Inputs!$B$27+Inputs!$B$30,IF(Skills!C8=3,120+Inputs!$B$28+Inputs!$B$30,MAX(0,(Inputs!$B$3-100)*3)+Inputs!$B$29+Inputs!$B$30)))</f>
        <v/>
      </c>
      <c r="E1425">
        <f>INDEX(FactorTable!$B$2:$Y$301, MATCH(ROUND(MIN(300,MAX(1,D1425)),0), FactorTable!$A$2:$A$301,0), Skills!M8+1)</f>
        <v/>
      </c>
      <c r="F1425">
        <f>IF(Skills!N8=TRUE,(Skills!L8/10)*(E1425/1000),Skills!L8/10)+Skills!O8</f>
        <v/>
      </c>
      <c r="G1425" t="inlineStr"/>
      <c r="H1425" t="inlineStr"/>
      <c r="I1425" t="inlineStr">
        <is>
          <t>1</t>
        </is>
      </c>
      <c r="J1425" t="inlineStr"/>
      <c r="K1425" t="inlineStr"/>
      <c r="L1425" t="inlineStr"/>
      <c r="M1425" t="inlineStr"/>
      <c r="N1425" t="inlineStr"/>
      <c r="O1425" t="inlineStr"/>
      <c r="P1425" t="inlineStr"/>
      <c r="Q1425" t="inlineStr"/>
      <c r="R1425" t="inlineStr"/>
      <c r="S1425" t="inlineStr"/>
    </row>
    <row r="1426">
      <c r="A1426">
        <f>Skills!A9</f>
        <v/>
      </c>
      <c r="B1426">
        <f>Skills!B9</f>
        <v/>
      </c>
      <c r="C1426">
        <f>Inputs!$B$3&gt;=60</f>
        <v/>
      </c>
      <c r="D1426">
        <f>IF(Skills!C9=1,60+Inputs!$B$26+Inputs!$B$30,IF(Skills!C9=2,90+Inputs!$B$27+Inputs!$B$30,IF(Skills!C9=3,120+Inputs!$B$28+Inputs!$B$30,MAX(0,(Inputs!$B$3-100)*3)+Inputs!$B$29+Inputs!$B$30)))</f>
        <v/>
      </c>
      <c r="E1426">
        <f>INDEX(FactorTable!$B$2:$Y$301, MATCH(ROUND(MIN(300,MAX(1,D1426)),0), FactorTable!$A$2:$A$301,0), Skills!M9+1)</f>
        <v/>
      </c>
      <c r="F1426">
        <f>IF(Skills!N9=TRUE,(Skills!L9/10)*(E1426/1000),Skills!L9/10)+Skills!O9</f>
        <v/>
      </c>
      <c r="G1426">
        <f>Skills!G9*IF(Skills!H9&gt;0,INT(IF(Inputs!$B$39="pvp",MIN(Skills!I9,15),Skills!I9)/Skills!H9+0.000000001),1)</f>
        <v/>
      </c>
      <c r="H1426">
        <f>1-(1-Skills!J9/100)^Skills!K9</f>
        <v/>
      </c>
      <c r="I1426" t="inlineStr">
        <is>
          <t>1</t>
        </is>
      </c>
      <c r="J1426">
        <f>((Inputs!$B$6*(1+Inputs!$B$7/100))+(((Inputs!$B$13*(1+Inputs!$B$14/100))-(Inputs!$B$13*(1+Inputs!$B$14/100)))+0.25*(Inputs!$B$15-Inputs!$B$15))*(1+Inputs!$B$7/100))*(F1426/100)</f>
        <v/>
      </c>
      <c r="K1426">
        <f>J1426*(1+(((Inputs!$B$13+IF(Inputs!$B$3&gt;=38,(10*INDEX(FactorTable!$B$2:$Y$301, MATCH(ROUND(MIN(300,MAX(1,Inputs!$B$3)),0), FactorTable!$A$2:$A$301,0), 23)/1000)/100*(Inputs!$B$8*(1+Inputs!$B$9/100)),0))*(1+Inputs!$B$14/100))*0.01+Inputs!$B$15*0.0025)/100)*(1+Inputs!$B$16/100)*(1+Inputs!$B$17/100)*(5000/(6000+Inputs!$B$43*(1-(Inputs!$B$20+0)/100)))*(1+(Inputs!$B$25+((C1442=TRUE)*(F1442-Calc!F25))+((C1443=TRUE)*(F1443-Calc!F26))+B1452)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1428=TRUE,F1428,0)/100)*(1+(IF(Skills!A9="DARK_IMPALE",Inputs!$B$18+0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gt;=100),MIN(100,((Inputs!$B$10+0+B1446+(ArtifactsInput!$M$24-ArtifactsInput!$M$24)*CHOOSE(ArtifactsInput!$N$24+1,10,12,14,16,18,20)+IF(IF(ArtifactsInput!$M$10,FALSE,TRUE),CHOOSE(ArtifactsInput!$N$10+1,15,18,21,24,27,30)*(IF(Inputs!$B$39="pvp",MIN(15,15)/15,IF(AND(Inputs!$B$39&lt;&gt;"pvp",Inputs!$B$44&gt;0),MIN(15,Inputs!$B$44)/(Inputs!$B$44),0))),0)))-100),0))*CHOOSE(ArtifactsInput!$N$42+1,0.6,0.72,0.84,0.96,1.08,1.2))),Inputs!$B$19+((C1440=TRUE)*(F1440-Calc!F23))+(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gt;=100),CHOOSE(ArtifactsInput!$N$42+1,40,48,56,64,72,80),0))))/100)*((1+(((C1430=TRUE)*F1430*IF(AND(Inputs!$B$39&lt;&gt;"pvp",Inputs!$B$44&gt;0),(((R1430-1)*MIN((Skills!T13*(1+Inputs!$B$35/100)),(1/Q1430))+MIN((Skills!T13*(1+Inputs!$B$35/100)),MAX(0,Inputs!$B$44-((R1430-1)*(1/Q1430)))))/Inputs!$B$44),IF(Inputs!$B$39="pvp",MIN((Skills!T13*(1+Inputs!$B$35/100)),15)/15,MIN(1,(Skills!T13*(1+Inputs!$B$35/100))/(1/Q1430)))))+((C1431=TRUE)*F1431*IF(AND(Inputs!$B$39&lt;&gt;"pvp",Inputs!$B$44&gt;0),(((R1431-1)*MIN((Skills!T14*(1+Inputs!$B$35/100)),(1/Q1431))+MIN((Skills!T14*(1+Inputs!$B$35/100)),MAX(0,Inputs!$B$44-((R1431-1)*(1/Q1431)))))/Inputs!$B$44),IF(Inputs!$B$39="pvp",MIN((Skills!T14*(1+Inputs!$B$35/100)),15)/15,MIN(1,(Skills!T14*(1+Inputs!$B$35/100))/(1/Q1431)))))+((C1432=TRUE)*F1432*IF(AND(Inputs!$B$39&lt;&gt;"pvp",Inputs!$B$44&gt;0),(((R1432-1)*MIN((Skills!T15*(1+Inputs!$B$35/100)),(1/Q1432))+MIN((Skills!T15*(1+Inputs!$B$35/100)),MAX(0,Inputs!$B$44-((R1432-1)*(1/Q1432)))))/Inputs!$B$44),IF(Inputs!$B$39="pvp",MIN((Skills!T15*(1+Inputs!$B$35/100)),15)/15,MIN(1,(Skills!T15*(1+Inputs!$B$35/100))/(1/Q1432)))))+((C1433=TRUE)*F1433*IF(AND(Inputs!$B$39&lt;&gt;"pvp",Inputs!$B$44&gt;0),(((R1433-1)*MIN((Skills!T16*(1+Inputs!$B$35/100)),(1/Q1433))+MIN((Skills!T16*(1+Inputs!$B$35/100)),MAX(0,Inputs!$B$44-((R1433-1)*(1/Q1433)))))/Inputs!$B$44),IF(Inputs!$B$39="pvp",MIN((Skills!T16*(1+Inputs!$B$35/100)),15)/15,MIN(1,(Skills!T16*(1+Inputs!$B$35/100))/(1/Q1433)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1426)</f>
        <v/>
      </c>
      <c r="L1426">
        <f>K1426*(MIN(Inputs!$B$23+((C1439=TRUE)*(F1439-Calc!F22)),(Inputs!$B$24+((C1441=TRUE)*(F1441-Calc!F24))+(IF(ArtifactsInput!$M$15,CHOOSE(ArtifactsInput!$N$15+1,25,30,35,40,45,50)/100*(Inputs!$B$12-Inputs!$B$12),0))))/100+(Inputs!$B$24+((C1441=TRUE)*(F1441-Calc!F24))+(IF(ArtifactsInput!$M$15,CHOOSE(ArtifactsInput!$N$15+1,25,30,35,40,45,50)/100*(Inputs!$B$12-Inputs!$B$12),0)))/100)/2</f>
        <v/>
      </c>
      <c r="M1426">
        <f>L1426*(1+(Inputs!$B$11+0+B1451+(IF(ArtifactsInput!$M$24,CHOOSE(ArtifactsInput!$N$24+1,30,36,42,48,54,60)/100*(Inputs!$B$10-Inputs!$B$10),0)+IF(IF(ArtifactsInput!$M$10,FALSE,TRUE),CHOOSE(ArtifactsInput!$N$10+1,20,24,28,32,36,40)*(IF(Inputs!$B$39="pvp",MIN(15,15)/15,IF(AND(Inputs!$B$39&lt;&gt;"pvp",Inputs!$B$44&gt;0),MIN(15,Inputs!$B$44)/(Inputs!$B$44),0))),0)+IF(ArtifactsInput!$M$31,1.5*CHOOSE(ArtifactsInput!$N$31+1,20,24,28,32,36,40),0)))/100)</f>
        <v/>
      </c>
      <c r="N1426">
        <f>L1426*(1-MIN((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M1426*(MIN((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f>
        <v/>
      </c>
      <c r="O1426">
        <f>(1-Summary!$B$11)*T1426+Summary!$B$11*V1426</f>
        <v/>
      </c>
      <c r="P1426">
        <f>IF(B1456=0,0,O1426/B1456)</f>
        <v/>
      </c>
      <c r="Q1426">
        <f>IFERROR(1/IF(Inputs!$B$39="pvp",15,MAX(0.1,Skills!D9-IF(TRUE=TRUE,Inputs!$B$33,0))),0)</f>
        <v/>
      </c>
      <c r="R1426">
        <f>IF(AND(Inputs!$B$39&lt;&gt;"pvp",Inputs!$B$44&gt;0),IF(MAX(0,Inputs!$B$44-B1453)&lt;=0,0,(INT(MAX(0,Inputs!$B$44-B1453)/IF(Inputs!$B$39="pvp",15,MAX(0.1,Skills!D9-IF(TRUE=TRUE,Inputs!$B$33,0))))+1)),0)</f>
        <v/>
      </c>
      <c r="S1426">
        <f>IFERROR(O1426/N1426,0)</f>
        <v/>
      </c>
      <c r="T1426">
        <f>IF(C1426,(H1426*N1426*IF(AND(Inputs!$B$39&lt;&gt;"pvp",Inputs!$B$44&gt;0),((Skills!G9*((R1426-1)*IF(Skills!H9&gt;0,INT(Skills!I9/Skills!H9+0.000000001),1)+IF(Skills!H9&gt;0,INT(MIN(Skills!I9,MAX(0,MAX(0,Inputs!$B$44-B1453)-((R1426-1)*IF(Inputs!$B$39="pvp",15,MAX(0.1,Skills!D9-IF(TRUE=TRUE,Inputs!$B$33,0))))))/Skills!H9+0.000000001),1)))/Inputs!$B$44),G1426*Q1426))*IF(Inputs!$B$39="pvp",1,1+(Inputs!$B$21+0+Skills!P9+((C1434=TRUE)*F1434*IF(AND(Inputs!$B$39&lt;&gt;"pvp",Inputs!$B$44&gt;0),(((R1434-1)*MIN((Skills!T17*(1+Inputs!$B$35/100)),(1/Q1434))+MIN((Skills!T17*(1+Inputs!$B$35/100)),MAX(0,Inputs!$B$44-((R1434-1)*(1/Q1434)))))/Inputs!$B$44),IF(Inputs!$B$39="pvp",MIN((Skills!T17*(1+Inputs!$B$35/100)),15)/15,MIN(1,(Skills!T17*(1+Inputs!$B$35/100))/(1/Q1434)))))+((C1422=TRUE)*IF(Inputs!$B$3&gt;=126,10*MIN(1,15*Q1422),0))+((C1431=TRUE)*IF(Inputs!$B$39="pvp",20,(1-Summary!$B$11)*(20)+Summary!$B$11*(0))*IF(AND(Inputs!$B$39&lt;&gt;"pvp",Inputs!$B$44&gt;0),(((R1431-1)*MIN((Skills!T14*(1+Inputs!$B$35/100)),(1/Q1431))+MIN((Skills!T14*(1+Inputs!$B$35/100)),MAX(0,Inputs!$B$44-((R1431-1)*(1/Q1431)))))/Inputs!$B$44),IF(Inputs!$B$39="pvp",MIN((Skills!T14*(1+Inputs!$B$35/100)),15)/15,MIN(1,(Skills!T14*(1+Inputs!$B$35/100))/(1/Q1431)))))+((C1430=TRUE)*IF(Inputs!$B$3&gt;=82,IF(Inputs!$B$39="pvp",20,(1-Summary!$B$11)*(20)+Summary!$B$11*(0)),0)*IF(AND(Inputs!$B$39&lt;&gt;"pvp",Inputs!$B$44&gt;0),(((R1430-1)*MIN((Skills!T13*(1+Inputs!$B$35/100)),(1/Q1430))+MIN((Skills!T13*(1+Inputs!$B$35/100)),MAX(0,Inputs!$B$44-((R1430-1)*(1/Q1430)))))/Inputs!$B$44),IF(Inputs!$B$39="pvp",MIN((Skills!T13*(1+Inputs!$B$35/100)),15)/15,MIN(1,(Skills!T13*(1+Inputs!$B$35/100))/(1/Q1430)))))+(IF(AND(ArtifactsInput!$M$35,Inputs!$B$4&lt;&gt;"Chapter Hunt"),CHOOSE(ArtifactsInput!$N$35+1,15,18,21,24,27,30)*(1-EXP(-(0.2*B1448)*5)),0)+IF(AND(ArtifactsInput!$M$22,Inputs!$B$4&lt;&gt;"Chapter Hunt"),CHOOSE(ArtifactsInput!$N$22+1,10,12,14,16,18,20)*((0*(((0.15*B1448*5))^0/1)+1*(((0.15*B1448*5))^1/1)+2*(((0.15*B1448*5))^2/2)+3*(((0.15*B1448*5))^3/6)+4*(((0.15*B1448*5))^4/24)+5*(((0.15*B1448*5))^5/120))/((((0.15*B1448*5))^0/1)+(((0.15*B1448*5))^1/1)+(((0.15*B1448*5))^2/2)+(((0.15*B1448*5))^3/6)+(((0.15*B1448*5))^4/24)+(((0.15*B1448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1426*(1-MIN(100,(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M1426*(MIN(100,(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L1426*(1-MIN(100,(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M1426*(MIN(100,(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26">
        <f>IF(C1426,(H1426*N1426*IF(AND(Inputs!$B$39&lt;&gt;"pvp",Inputs!$B$44&gt;0),((Skills!G9*((R1426-1)*IF(Skills!H9&gt;0,INT(Skills!I9/Skills!H9+0.000000001),1)+IF(Skills!H9&gt;0,INT(MIN(Skills!I9,MAX(0,MAX(0,Inputs!$B$44-B1453)-((R1426-1)*IF(Inputs!$B$39="pvp",15,MAX(0.1,Skills!D9-IF(TRUE=TRUE,Inputs!$B$33,0))))))/Skills!H9+0.000000001),1)))/Inputs!$B$44),G1426*Q1426))*IF(Inputs!$B$39="pvp",1,(1+(Inputs!$B$22+Skills!Q9+((C1434=TRUE)*F1434*IF(AND(Inputs!$B$39&lt;&gt;"pvp",Inputs!$B$44&gt;0),(((R1434-1)*MIN((Skills!T17*(1+Inputs!$B$35/100)),(1/Q1434))+MIN((Skills!T17*(1+Inputs!$B$35/100)),MAX(0,Inputs!$B$44-((R1434-1)*(1/Q1434)))))/Inputs!$B$44),IF(Inputs!$B$39="pvp",MIN((Skills!T17*(1+Inputs!$B$35/100)),15)/15,MIN(1,(Skills!T17*(1+Inputs!$B$35/100))/(1/Q1434)))))+((C1422=TRUE)*IF(Inputs!$B$3&gt;=126,10*MIN(1,15*Q1422),0))+((C1431=TRUE)*IF(Inputs!$B$39="pvp",20,(1-Summary!$B$11)*(20)+Summary!$B$11*(0))*IF(AND(Inputs!$B$39&lt;&gt;"pvp",Inputs!$B$44&gt;0),(((R1431-1)*MIN((Skills!T14*(1+Inputs!$B$35/100)),(1/Q1431))+MIN((Skills!T14*(1+Inputs!$B$35/100)),MAX(0,Inputs!$B$44-((R1431-1)*(1/Q1431)))))/Inputs!$B$44),IF(Inputs!$B$39="pvp",MIN((Skills!T14*(1+Inputs!$B$35/100)),15)/15,MIN(1,(Skills!T14*(1+Inputs!$B$35/100))/(1/Q1431)))))+((C1430=TRUE)*IF(Inputs!$B$3&gt;=82,IF(Inputs!$B$39="pvp",20,(1-Summary!$B$11)*(20)+Summary!$B$11*(0)),0)*IF(AND(Inputs!$B$39&lt;&gt;"pvp",Inputs!$B$44&gt;0),(((R1430-1)*MIN((Skills!T13*(1+Inputs!$B$35/100)),(1/Q1430))+MIN((Skills!T13*(1+Inputs!$B$35/100)),MAX(0,Inputs!$B$44-((R1430-1)*(1/Q1430)))))/Inputs!$B$44),IF(Inputs!$B$39="pvp",MIN((Skills!T13*(1+Inputs!$B$35/100)),15)/15,MIN(1,(Skills!T13*(1+Inputs!$B$35/100))/(1/Q1430)))))+(IF(AND(ArtifactsInput!$M$35,Inputs!$B$4&lt;&gt;"Chapter Hunt"),CHOOSE(ArtifactsInput!$N$35+1,15,18,21,24,27,30)*(1-EXP(-(0.2*B1448)*5)),0)+IF(AND(ArtifactsInput!$M$22,Inputs!$B$4&lt;&gt;"Chapter Hunt"),CHOOSE(ArtifactsInput!$N$22+1,10,12,14,16,18,20)*((0*(((0.15*B1448*5))^0/1)+1*(((0.15*B1448*5))^1/1)+2*(((0.15*B1448*5))^2/2)+3*(((0.15*B1448*5))^3/6)+4*(((0.15*B1448*5))^4/24)+5*(((0.15*B1448*5))^5/120))/((((0.15*B1448*5))^0/1)+(((0.15*B1448*5))^1/1)+(((0.15*B1448*5))^2/2)+(((0.15*B1448*5))^3/6)+(((0.15*B1448*5))^4/24)+(((0.15*B1448*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27">
      <c r="A1427">
        <f>Skills!A10</f>
        <v/>
      </c>
      <c r="B1427">
        <f>Skills!B10</f>
        <v/>
      </c>
      <c r="C1427">
        <f>Inputs!$B$3&gt;=110</f>
        <v/>
      </c>
      <c r="D1427">
        <f>IF(Skills!C10=1,60+Inputs!$B$26+Inputs!$B$30,IF(Skills!C10=2,90+Inputs!$B$27+Inputs!$B$30,IF(Skills!C10=3,120+Inputs!$B$28+Inputs!$B$30,MAX(0,(Inputs!$B$3-100)*3)+Inputs!$B$29+Inputs!$B$30)))</f>
        <v/>
      </c>
      <c r="E1427">
        <f>INDEX(FactorTable!$B$2:$Y$301, MATCH(ROUND(MIN(300,MAX(1,D1427)),0), FactorTable!$A$2:$A$301,0), Skills!M10+1)</f>
        <v/>
      </c>
      <c r="F1427">
        <f>IF(Skills!N10=TRUE,(Skills!L10/10)*(E1427/1000),Skills!L10/10)+Skills!O10</f>
        <v/>
      </c>
      <c r="G1427">
        <f>Skills!G10*IF(Skills!H10&gt;0,INT(IF(Inputs!$B$39="pvp",MIN(Skills!I10,15),Skills!I10)/Skills!H10+0.000000001),1)</f>
        <v/>
      </c>
      <c r="H1427">
        <f>1-(1-Skills!J10/100)^Skills!K10</f>
        <v/>
      </c>
      <c r="I1427" t="inlineStr">
        <is>
          <t>1</t>
        </is>
      </c>
      <c r="J1427">
        <f>((Inputs!$B$6*(1+Inputs!$B$7/100))+(((Inputs!$B$13*(1+Inputs!$B$14/100))-(Inputs!$B$13*(1+Inputs!$B$14/100)))+0.25*(Inputs!$B$15-Inputs!$B$15))*(1+Inputs!$B$7/100))*(F1427/100)</f>
        <v/>
      </c>
      <c r="K1427">
        <f>J1427*(1+(((Inputs!$B$13+IF(Inputs!$B$3&gt;=38,(10*INDEX(FactorTable!$B$2:$Y$301, MATCH(ROUND(MIN(300,MAX(1,Inputs!$B$3)),0), FactorTable!$A$2:$A$301,0), 23)/1000)/100*(Inputs!$B$8*(1+Inputs!$B$9/100)),0))*(1+Inputs!$B$14/100))*0.01+Inputs!$B$15*0.0025)/100)*(1+Inputs!$B$16/100)*(1+Inputs!$B$17/100)*(5000/(6000+Inputs!$B$43*(1-(Inputs!$B$20+0)/100)))*(1+(Inputs!$B$25+((C1442=TRUE)*(F1442-Calc!F25))+((C1443=TRUE)*(F1443-Calc!F26))+B1452)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gt;=100),MIN(100,((Inputs!$B$10+0+B1446+(ArtifactsInput!$M$24-ArtifactsInput!$M$24)*CHOOSE(ArtifactsInput!$N$24+1,10,12,14,16,18,20)+IF(IF(ArtifactsInput!$M$10,FALSE,TRUE),CHOOSE(ArtifactsInput!$N$10+1,15,18,21,24,27,30)*(IF(Inputs!$B$39="pvp",MIN(15,15)/15,IF(AND(Inputs!$B$39&lt;&gt;"pvp",Inputs!$B$44&gt;0),MIN(15,Inputs!$B$44)/(Inputs!$B$44),0))),0)))-100),0))*CHOOSE(ArtifactsInput!$N$42+1,0.6,0.72,0.84,0.96,1.08,1.2))),Inputs!$B$19+((C1440=TRUE)*(F1440-Calc!F23))+(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gt;=100),CHOOSE(ArtifactsInput!$N$42+1,40,48,56,64,72,80),0))))/100)*((1+(((C1430=TRUE)*F1430*IF(AND(Inputs!$B$39&lt;&gt;"pvp",Inputs!$B$44&gt;0),(((R1430-1)*MIN((Skills!T13*(1+Inputs!$B$35/100)),(1/Q1430))+MIN((Skills!T13*(1+Inputs!$B$35/100)),MAX(0,Inputs!$B$44-((R1430-1)*(1/Q1430)))))/Inputs!$B$44),IF(Inputs!$B$39="pvp",MIN((Skills!T13*(1+Inputs!$B$35/100)),15)/15,MIN(1,(Skills!T13*(1+Inputs!$B$35/100))/(1/Q1430)))))+((C1431=TRUE)*F1431*IF(AND(Inputs!$B$39&lt;&gt;"pvp",Inputs!$B$44&gt;0),(((R1431-1)*MIN((Skills!T14*(1+Inputs!$B$35/100)),(1/Q1431))+MIN((Skills!T14*(1+Inputs!$B$35/100)),MAX(0,Inputs!$B$44-((R1431-1)*(1/Q1431)))))/Inputs!$B$44),IF(Inputs!$B$39="pvp",MIN((Skills!T14*(1+Inputs!$B$35/100)),15)/15,MIN(1,(Skills!T14*(1+Inputs!$B$35/100))/(1/Q1431)))))+((C1432=TRUE)*F1432*IF(AND(Inputs!$B$39&lt;&gt;"pvp",Inputs!$B$44&gt;0),(((R1432-1)*MIN((Skills!T15*(1+Inputs!$B$35/100)),(1/Q1432))+MIN((Skills!T15*(1+Inputs!$B$35/100)),MAX(0,Inputs!$B$44-((R1432-1)*(1/Q1432)))))/Inputs!$B$44),IF(Inputs!$B$39="pvp",MIN((Skills!T15*(1+Inputs!$B$35/100)),15)/15,MIN(1,(Skills!T15*(1+Inputs!$B$35/100))/(1/Q1432)))))+((C1433=TRUE)*F1433*IF(AND(Inputs!$B$39&lt;&gt;"pvp",Inputs!$B$44&gt;0),(((R1433-1)*MIN((Skills!T16*(1+Inputs!$B$35/100)),(1/Q1433))+MIN((Skills!T16*(1+Inputs!$B$35/100)),MAX(0,Inputs!$B$44-((R1433-1)*(1/Q1433)))))/Inputs!$B$44),IF(Inputs!$B$39="pvp",MIN((Skills!T16*(1+Inputs!$B$35/100)),15)/15,MIN(1,(Skills!T16*(1+Inputs!$B$35/100))/(1/Q1433)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1427)</f>
        <v/>
      </c>
      <c r="L1427">
        <f>K1427*(MIN(Inputs!$B$23+((C1439=TRUE)*(F1439-Calc!F22)),(Inputs!$B$24+((C1441=TRUE)*(F1441-Calc!F24))+(IF(ArtifactsInput!$M$15,CHOOSE(ArtifactsInput!$N$15+1,25,30,35,40,45,50)/100*(Inputs!$B$12-Inputs!$B$12),0))))/100+(Inputs!$B$24+((C1441=TRUE)*(F1441-Calc!F24))+(IF(ArtifactsInput!$M$15,CHOOSE(ArtifactsInput!$N$15+1,25,30,35,40,45,50)/100*(Inputs!$B$12-Inputs!$B$12),0)))/100)/2</f>
        <v/>
      </c>
      <c r="M1427">
        <f>L1427*(1+(Inputs!$B$11+0+B1451+(IF(ArtifactsInput!$M$24,CHOOSE(ArtifactsInput!$N$24+1,30,36,42,48,54,60)/100*(Inputs!$B$10-Inputs!$B$10),0)+IF(IF(ArtifactsInput!$M$10,FALSE,TRUE),CHOOSE(ArtifactsInput!$N$10+1,20,24,28,32,36,40)*(IF(Inputs!$B$39="pvp",MIN(15,15)/15,IF(AND(Inputs!$B$39&lt;&gt;"pvp",Inputs!$B$44&gt;0),MIN(15,Inputs!$B$44)/(Inputs!$B$44),0))),0)+IF(ArtifactsInput!$M$31,1.5*CHOOSE(ArtifactsInput!$N$31+1,20,24,28,32,36,40),0)))/100)</f>
        <v/>
      </c>
      <c r="N1427">
        <f>L1427*(1-MIN((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M1427*(MIN((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f>
        <v/>
      </c>
      <c r="O1427">
        <f>(1-Summary!$B$11)*T1427+Summary!$B$11*V1427</f>
        <v/>
      </c>
      <c r="P1427">
        <f>IF(B1456=0,0,O1427/B1456)</f>
        <v/>
      </c>
      <c r="Q1427">
        <f>IFERROR(1/IF(Inputs!$B$39="pvp",15,MAX(0.1,Skills!D10-IF(TRUE=TRUE,Inputs!$B$33,0))),0)</f>
        <v/>
      </c>
      <c r="R1427">
        <f>IF(AND(Inputs!$B$39&lt;&gt;"pvp",Inputs!$B$44&gt;0),IF(MAX(0,Inputs!$B$44-B1453)&lt;=0,0,(INT(MAX(0,Inputs!$B$44-B1453)/IF(Inputs!$B$39="pvp",15,MAX(0.1,Skills!D10-IF(TRUE=TRUE,Inputs!$B$33,0))))+1)),0)</f>
        <v/>
      </c>
      <c r="S1427">
        <f>IFERROR(O1427/N1427,0)</f>
        <v/>
      </c>
      <c r="T1427">
        <f>IF(C1427,(H1427*N1427*IF(AND(Inputs!$B$39&lt;&gt;"pvp",Inputs!$B$44&gt;0),((Skills!G10*((R1427-1)*IF(Skills!H10&gt;0,INT(Skills!I10/Skills!H10+0.000000001),1)+IF(Skills!H10&gt;0,INT(MIN(Skills!I10,MAX(0,MAX(0,Inputs!$B$44-B1453)-((R1427-1)*IF(Inputs!$B$39="pvp",15,MAX(0.1,Skills!D10-IF(TRUE=TRUE,Inputs!$B$33,0))))))/Skills!H10+0.000000001),1)))/Inputs!$B$44),G1427*Q1427))*IF(Inputs!$B$39="pvp",1,1+(Inputs!$B$21+0+Skills!P10+((C1434=TRUE)*F1434*IF(AND(Inputs!$B$39&lt;&gt;"pvp",Inputs!$B$44&gt;0),(((R1434-1)*MIN((Skills!T17*(1+Inputs!$B$35/100)),(1/Q1434))+MIN((Skills!T17*(1+Inputs!$B$35/100)),MAX(0,Inputs!$B$44-((R1434-1)*(1/Q1434)))))/Inputs!$B$44),IF(Inputs!$B$39="pvp",MIN((Skills!T17*(1+Inputs!$B$35/100)),15)/15,MIN(1,(Skills!T17*(1+Inputs!$B$35/100))/(1/Q1434)))))+((C1422=TRUE)*IF(Inputs!$B$3&gt;=126,10*MIN(1,15*Q1422),0))+((C1431=TRUE)*IF(Inputs!$B$39="pvp",20,(1-Summary!$B$11)*(20)+Summary!$B$11*(0))*IF(AND(Inputs!$B$39&lt;&gt;"pvp",Inputs!$B$44&gt;0),(((R1431-1)*MIN((Skills!T14*(1+Inputs!$B$35/100)),(1/Q1431))+MIN((Skills!T14*(1+Inputs!$B$35/100)),MAX(0,Inputs!$B$44-((R1431-1)*(1/Q1431)))))/Inputs!$B$44),IF(Inputs!$B$39="pvp",MIN((Skills!T14*(1+Inputs!$B$35/100)),15)/15,MIN(1,(Skills!T14*(1+Inputs!$B$35/100))/(1/Q1431)))))+((C1430=TRUE)*IF(Inputs!$B$3&gt;=82,IF(Inputs!$B$39="pvp",20,(1-Summary!$B$11)*(20)+Summary!$B$11*(0)),0)*IF(AND(Inputs!$B$39&lt;&gt;"pvp",Inputs!$B$44&gt;0),(((R1430-1)*MIN((Skills!T13*(1+Inputs!$B$35/100)),(1/Q1430))+MIN((Skills!T13*(1+Inputs!$B$35/100)),MAX(0,Inputs!$B$44-((R1430-1)*(1/Q1430)))))/Inputs!$B$44),IF(Inputs!$B$39="pvp",MIN((Skills!T13*(1+Inputs!$B$35/100)),15)/15,MIN(1,(Skills!T13*(1+Inputs!$B$35/100))/(1/Q1430)))))+(IF(AND(ArtifactsInput!$M$35,Inputs!$B$4&lt;&gt;"Chapter Hunt"),CHOOSE(ArtifactsInput!$N$35+1,15,18,21,24,27,30)*(1-EXP(-(0.2*B1448)*5)),0)+IF(AND(ArtifactsInput!$M$22,Inputs!$B$4&lt;&gt;"Chapter Hunt"),CHOOSE(ArtifactsInput!$N$22+1,10,12,14,16,18,20)*((0*(((0.15*B1448*5))^0/1)+1*(((0.15*B1448*5))^1/1)+2*(((0.15*B1448*5))^2/2)+3*(((0.15*B1448*5))^3/6)+4*(((0.15*B1448*5))^4/24)+5*(((0.15*B1448*5))^5/120))/((((0.15*B1448*5))^0/1)+(((0.15*B1448*5))^1/1)+(((0.15*B1448*5))^2/2)+(((0.15*B1448*5))^3/6)+(((0.15*B1448*5))^4/24)+(((0.15*B1448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1427*(1-MIN(100,(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M1427*(MIN(100,(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L1427*(1-MIN(100,(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M1427*(MIN(100,(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27">
        <f>IF(C1427,(H1427*N1427*IF(AND(Inputs!$B$39&lt;&gt;"pvp",Inputs!$B$44&gt;0),((Skills!G10*((R1427-1)*IF(Skills!H10&gt;0,INT(Skills!I10/Skills!H10+0.000000001),1)+IF(Skills!H10&gt;0,INT(MIN(Skills!I10,MAX(0,MAX(0,Inputs!$B$44-B1453)-((R1427-1)*IF(Inputs!$B$39="pvp",15,MAX(0.1,Skills!D10-IF(TRUE=TRUE,Inputs!$B$33,0))))))/Skills!H10+0.000000001),1)))/Inputs!$B$44),G1427*Q1427))*IF(Inputs!$B$39="pvp",1,(1+(Inputs!$B$22+Skills!Q10+((C1434=TRUE)*F1434*IF(AND(Inputs!$B$39&lt;&gt;"pvp",Inputs!$B$44&gt;0),(((R1434-1)*MIN((Skills!T17*(1+Inputs!$B$35/100)),(1/Q1434))+MIN((Skills!T17*(1+Inputs!$B$35/100)),MAX(0,Inputs!$B$44-((R1434-1)*(1/Q1434)))))/Inputs!$B$44),IF(Inputs!$B$39="pvp",MIN((Skills!T17*(1+Inputs!$B$35/100)),15)/15,MIN(1,(Skills!T17*(1+Inputs!$B$35/100))/(1/Q1434)))))+((C1422=TRUE)*IF(Inputs!$B$3&gt;=126,10*MIN(1,15*Q1422),0))+((C1431=TRUE)*IF(Inputs!$B$39="pvp",20,(1-Summary!$B$11)*(20)+Summary!$B$11*(0))*IF(AND(Inputs!$B$39&lt;&gt;"pvp",Inputs!$B$44&gt;0),(((R1431-1)*MIN((Skills!T14*(1+Inputs!$B$35/100)),(1/Q1431))+MIN((Skills!T14*(1+Inputs!$B$35/100)),MAX(0,Inputs!$B$44-((R1431-1)*(1/Q1431)))))/Inputs!$B$44),IF(Inputs!$B$39="pvp",MIN((Skills!T14*(1+Inputs!$B$35/100)),15)/15,MIN(1,(Skills!T14*(1+Inputs!$B$35/100))/(1/Q1431)))))+((C1430=TRUE)*IF(Inputs!$B$3&gt;=82,IF(Inputs!$B$39="pvp",20,(1-Summary!$B$11)*(20)+Summary!$B$11*(0)),0)*IF(AND(Inputs!$B$39&lt;&gt;"pvp",Inputs!$B$44&gt;0),(((R1430-1)*MIN((Skills!T13*(1+Inputs!$B$35/100)),(1/Q1430))+MIN((Skills!T13*(1+Inputs!$B$35/100)),MAX(0,Inputs!$B$44-((R1430-1)*(1/Q1430)))))/Inputs!$B$44),IF(Inputs!$B$39="pvp",MIN((Skills!T13*(1+Inputs!$B$35/100)),15)/15,MIN(1,(Skills!T13*(1+Inputs!$B$35/100))/(1/Q1430)))))+(IF(AND(ArtifactsInput!$M$35,Inputs!$B$4&lt;&gt;"Chapter Hunt"),CHOOSE(ArtifactsInput!$N$35+1,15,18,21,24,27,30)*(1-EXP(-(0.2*B1448)*5)),0)+IF(AND(ArtifactsInput!$M$22,Inputs!$B$4&lt;&gt;"Chapter Hunt"),CHOOSE(ArtifactsInput!$N$22+1,10,12,14,16,18,20)*((0*(((0.15*B1448*5))^0/1)+1*(((0.15*B1448*5))^1/1)+2*(((0.15*B1448*5))^2/2)+3*(((0.15*B1448*5))^3/6)+4*(((0.15*B1448*5))^4/24)+5*(((0.15*B1448*5))^5/120))/((((0.15*B1448*5))^0/1)+(((0.15*B1448*5))^1/1)+(((0.15*B1448*5))^2/2)+(((0.15*B1448*5))^3/6)+(((0.15*B1448*5))^4/24)+(((0.15*B1448*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28">
      <c r="A1428">
        <f>Skills!A11</f>
        <v/>
      </c>
      <c r="B1428">
        <f>Skills!B11</f>
        <v/>
      </c>
      <c r="C1428">
        <f>Inputs!$B$3&gt;=100</f>
        <v/>
      </c>
      <c r="D1428">
        <f>IF(Skills!C11=1,60+Inputs!$B$26+Inputs!$B$30,IF(Skills!C11=2,90+Inputs!$B$27+Inputs!$B$30,IF(Skills!C11=3,120+Inputs!$B$28+Inputs!$B$30,MAX(0,(Inputs!$B$3-100)*3)+Inputs!$B$29+Inputs!$B$30)))</f>
        <v/>
      </c>
      <c r="E1428">
        <f>INDEX(FactorTable!$B$2:$Y$301, MATCH(ROUND(MIN(300,MAX(1,D1428)),0), FactorTable!$A$2:$A$301,0), Skills!M11+1)</f>
        <v/>
      </c>
      <c r="F1428">
        <f>IF(Skills!N11=TRUE,(Skills!L11/10)*(E1428/1000),Skills!L11/10)+Skills!O11</f>
        <v/>
      </c>
      <c r="G1428" t="inlineStr"/>
      <c r="H1428" t="inlineStr"/>
      <c r="I1428" t="inlineStr">
        <is>
          <t>1</t>
        </is>
      </c>
      <c r="J1428" t="inlineStr"/>
      <c r="K1428" t="inlineStr"/>
      <c r="L1428" t="inlineStr"/>
      <c r="M1428" t="inlineStr"/>
      <c r="N1428" t="inlineStr"/>
      <c r="O1428" t="inlineStr"/>
      <c r="P1428" t="inlineStr"/>
      <c r="Q1428" t="inlineStr"/>
      <c r="R1428" t="inlineStr"/>
      <c r="S1428" t="inlineStr"/>
    </row>
    <row r="1429">
      <c r="A1429">
        <f>Skills!A12</f>
        <v/>
      </c>
      <c r="B1429">
        <f>Skills!B12</f>
        <v/>
      </c>
      <c r="C1429">
        <f>Inputs!$B$3&gt;=63</f>
        <v/>
      </c>
      <c r="D1429">
        <f>IF(Skills!C12=1,60+Inputs!$B$26+Inputs!$B$30,IF(Skills!C12=2,90+Inputs!$B$27+Inputs!$B$30,IF(Skills!C12=3,120+Inputs!$B$28+Inputs!$B$30,MAX(0,(Inputs!$B$3-100)*3)+Inputs!$B$29+Inputs!$B$30)))</f>
        <v/>
      </c>
      <c r="E1429">
        <f>INDEX(FactorTable!$B$2:$Y$301, MATCH(ROUND(MIN(300,MAX(1,D1429)),0), FactorTable!$A$2:$A$301,0), Skills!M12+1)</f>
        <v/>
      </c>
      <c r="F1429">
        <f>IF(Skills!N12=TRUE,(Skills!L12/10)*(E1429/1000),Skills!L12/10)+Skills!O12</f>
        <v/>
      </c>
      <c r="G1429">
        <f>Skills!G12*IF(Skills!H12&gt;0,INT(IF(Inputs!$B$39="pvp",MIN(Skills!I12,15),Skills!I12)/Skills!H12+0.000000001),1)</f>
        <v/>
      </c>
      <c r="H1429">
        <f>1-(1-Skills!J12/100)^Skills!K12</f>
        <v/>
      </c>
      <c r="I1429" t="inlineStr">
        <is>
          <t>1</t>
        </is>
      </c>
      <c r="J1429">
        <f>((Inputs!$B$6*(1+Inputs!$B$7/100))+(((Inputs!$B$13*(1+Inputs!$B$14/100))-(Inputs!$B$13*(1+Inputs!$B$14/100)))+0.25*(Inputs!$B$15-Inputs!$B$15))*(1+Inputs!$B$7/100))*(F1429/100)</f>
        <v/>
      </c>
      <c r="K1429">
        <f>J1429*(1+(((Inputs!$B$13+IF(Inputs!$B$3&gt;=38,(10*INDEX(FactorTable!$B$2:$Y$301, MATCH(ROUND(MIN(300,MAX(1,Inputs!$B$3)),0), FactorTable!$A$2:$A$301,0), 23)/1000)/100*(Inputs!$B$8*(1+Inputs!$B$9/100)),0))*(1+Inputs!$B$14/100))*0.01+Inputs!$B$15*0.0025)/100)*(1+Inputs!$B$16/100)*(1+Inputs!$B$17/100)*(5000/(6000+Inputs!$B$43*(1-(Inputs!$B$20+0)/100)))*(1+(Inputs!$B$25+((C1442=TRUE)*(F1442-Calc!F25))+((C1443=TRUE)*(F1443-Calc!F26))+B1452)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1428=TRUE,F1428,0)/100)*(1+(IF(Skills!A12="DARK_IMPALE",Inputs!$B$18+0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gt;=100),MIN(100,((Inputs!$B$10+0+B1446+(ArtifactsInput!$M$24-ArtifactsInput!$M$24)*CHOOSE(ArtifactsInput!$N$24+1,10,12,14,16,18,20)+IF(IF(ArtifactsInput!$M$10,FALSE,TRUE),CHOOSE(ArtifactsInput!$N$10+1,15,18,21,24,27,30)*(IF(Inputs!$B$39="pvp",MIN(15,15)/15,IF(AND(Inputs!$B$39&lt;&gt;"pvp",Inputs!$B$44&gt;0),MIN(15,Inputs!$B$44)/(Inputs!$B$44),0))),0)))-100),0))*CHOOSE(ArtifactsInput!$N$42+1,0.6,0.72,0.84,0.96,1.08,1.2))),Inputs!$B$19+((C1440=TRUE)*(F1440-Calc!F23))+(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gt;=100),CHOOSE(ArtifactsInput!$N$42+1,40,48,56,64,72,80),0))))/100)*((1+(((C1430=TRUE)*F1430*IF(AND(Inputs!$B$39&lt;&gt;"pvp",Inputs!$B$44&gt;0),(((R1430-1)*MIN((Skills!T13*(1+Inputs!$B$35/100)),(1/Q1430))+MIN((Skills!T13*(1+Inputs!$B$35/100)),MAX(0,Inputs!$B$44-((R1430-1)*(1/Q1430)))))/Inputs!$B$44),IF(Inputs!$B$39="pvp",MIN((Skills!T13*(1+Inputs!$B$35/100)),15)/15,MIN(1,(Skills!T13*(1+Inputs!$B$35/100))/(1/Q1430)))))+((C1431=TRUE)*F1431*IF(AND(Inputs!$B$39&lt;&gt;"pvp",Inputs!$B$44&gt;0),(((R1431-1)*MIN((Skills!T14*(1+Inputs!$B$35/100)),(1/Q1431))+MIN((Skills!T14*(1+Inputs!$B$35/100)),MAX(0,Inputs!$B$44-((R1431-1)*(1/Q1431)))))/Inputs!$B$44),IF(Inputs!$B$39="pvp",MIN((Skills!T14*(1+Inputs!$B$35/100)),15)/15,MIN(1,(Skills!T14*(1+Inputs!$B$35/100))/(1/Q1431)))))+((C1432=TRUE)*F1432*IF(AND(Inputs!$B$39&lt;&gt;"pvp",Inputs!$B$44&gt;0),(((R1432-1)*MIN((Skills!T15*(1+Inputs!$B$35/100)),(1/Q1432))+MIN((Skills!T15*(1+Inputs!$B$35/100)),MAX(0,Inputs!$B$44-((R1432-1)*(1/Q1432)))))/Inputs!$B$44),IF(Inputs!$B$39="pvp",MIN((Skills!T15*(1+Inputs!$B$35/100)),15)/15,MIN(1,(Skills!T15*(1+Inputs!$B$35/100))/(1/Q1432)))))+((C1433=TRUE)*F1433*IF(AND(Inputs!$B$39&lt;&gt;"pvp",Inputs!$B$44&gt;0),(((R1433-1)*MIN((Skills!T16*(1+Inputs!$B$35/100)),(1/Q1433))+MIN((Skills!T16*(1+Inputs!$B$35/100)),MAX(0,Inputs!$B$44-((R1433-1)*(1/Q1433)))))/Inputs!$B$44),IF(Inputs!$B$39="pvp",MIN((Skills!T16*(1+Inputs!$B$35/100)),15)/15,MIN(1,(Skills!T16*(1+Inputs!$B$35/100))/(1/Q1433)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1429)</f>
        <v/>
      </c>
      <c r="L1429">
        <f>K1429*(MIN(Inputs!$B$23+((C1439=TRUE)*(F1439-Calc!F22)),(Inputs!$B$24+((C1441=TRUE)*(F1441-Calc!F24))+(IF(ArtifactsInput!$M$15,CHOOSE(ArtifactsInput!$N$15+1,25,30,35,40,45,50)/100*(Inputs!$B$12-Inputs!$B$12),0))))/100+(Inputs!$B$24+((C1441=TRUE)*(F1441-Calc!F24))+(IF(ArtifactsInput!$M$15,CHOOSE(ArtifactsInput!$N$15+1,25,30,35,40,45,50)/100*(Inputs!$B$12-Inputs!$B$12),0)))/100)/2</f>
        <v/>
      </c>
      <c r="M1429">
        <f>L1429*(1+(Inputs!$B$11+0+B1451+(IF(ArtifactsInput!$M$24,CHOOSE(ArtifactsInput!$N$24+1,30,36,42,48,54,60)/100*(Inputs!$B$10-Inputs!$B$10),0)+IF(IF(ArtifactsInput!$M$10,FALSE,TRUE),CHOOSE(ArtifactsInput!$N$10+1,20,24,28,32,36,40)*(IF(Inputs!$B$39="pvp",MIN(15,15)/15,IF(AND(Inputs!$B$39&lt;&gt;"pvp",Inputs!$B$44&gt;0),MIN(15,Inputs!$B$44)/(Inputs!$B$44),0))),0)+IF(ArtifactsInput!$M$31,1.5*CHOOSE(ArtifactsInput!$N$31+1,20,24,28,32,36,40),0)))/100)</f>
        <v/>
      </c>
      <c r="N1429">
        <f>L1429*(1-MIN((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M1429*(MIN((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f>
        <v/>
      </c>
      <c r="O1429">
        <f>(1-Summary!$B$11)*T1429+Summary!$B$11*V1429</f>
        <v/>
      </c>
      <c r="P1429">
        <f>IF(B1456=0,0,O1429/B1456)</f>
        <v/>
      </c>
      <c r="Q1429">
        <f>IFERROR(1/IF(Inputs!$B$39="pvp",15,MAX(0.1,Skills!D12-IF(TRUE=TRUE,Inputs!$B$33,0))),0)</f>
        <v/>
      </c>
      <c r="R1429">
        <f>IF(AND(Inputs!$B$39&lt;&gt;"pvp",Inputs!$B$44&gt;0),IF(MAX(0,Inputs!$B$44-B1453)&lt;=0,0,(INT(MAX(0,Inputs!$B$44-B1453)/IF(Inputs!$B$39="pvp",15,MAX(0.1,Skills!D12-IF(TRUE=TRUE,Inputs!$B$33,0))))+1)),0)</f>
        <v/>
      </c>
      <c r="S1429">
        <f>IFERROR(O1429/N1429,0)</f>
        <v/>
      </c>
      <c r="T1429">
        <f>IF(C1429,(H1429*N1429*IF(AND(Inputs!$B$39&lt;&gt;"pvp",Inputs!$B$44&gt;0),((Skills!G12*((R1429-1)*IF(Skills!H12&gt;0,INT(Skills!I12/Skills!H12+0.000000001),1)+IF(Skills!H12&gt;0,INT(MIN(Skills!I12,MAX(0,MAX(0,Inputs!$B$44-B1453)-((R1429-1)*IF(Inputs!$B$39="pvp",15,MAX(0.1,Skills!D12-IF(TRUE=TRUE,Inputs!$B$33,0))))))/Skills!H12+0.000000001),1)))/Inputs!$B$44),G1429*Q1429))*IF(Inputs!$B$39="pvp",1,1+(Inputs!$B$21+0+Skills!P12+((C1434=TRUE)*F1434*IF(AND(Inputs!$B$39&lt;&gt;"pvp",Inputs!$B$44&gt;0),(((R1434-1)*MIN((Skills!T17*(1+Inputs!$B$35/100)),(1/Q1434))+MIN((Skills!T17*(1+Inputs!$B$35/100)),MAX(0,Inputs!$B$44-((R1434-1)*(1/Q1434)))))/Inputs!$B$44),IF(Inputs!$B$39="pvp",MIN((Skills!T17*(1+Inputs!$B$35/100)),15)/15,MIN(1,(Skills!T17*(1+Inputs!$B$35/100))/(1/Q1434)))))+((C1422=TRUE)*IF(Inputs!$B$3&gt;=126,10*MIN(1,15*Q1422),0))+((C1431=TRUE)*IF(Inputs!$B$39="pvp",20,(1-Summary!$B$11)*(20)+Summary!$B$11*(0))*IF(AND(Inputs!$B$39&lt;&gt;"pvp",Inputs!$B$44&gt;0),(((R1431-1)*MIN((Skills!T14*(1+Inputs!$B$35/100)),(1/Q1431))+MIN((Skills!T14*(1+Inputs!$B$35/100)),MAX(0,Inputs!$B$44-((R1431-1)*(1/Q1431)))))/Inputs!$B$44),IF(Inputs!$B$39="pvp",MIN((Skills!T14*(1+Inputs!$B$35/100)),15)/15,MIN(1,(Skills!T14*(1+Inputs!$B$35/100))/(1/Q1431)))))+((C1430=TRUE)*IF(Inputs!$B$3&gt;=82,IF(Inputs!$B$39="pvp",20,(1-Summary!$B$11)*(20)+Summary!$B$11*(0)),0)*IF(AND(Inputs!$B$39&lt;&gt;"pvp",Inputs!$B$44&gt;0),(((R1430-1)*MIN((Skills!T13*(1+Inputs!$B$35/100)),(1/Q1430))+MIN((Skills!T13*(1+Inputs!$B$35/100)),MAX(0,Inputs!$B$44-((R1430-1)*(1/Q1430)))))/Inputs!$B$44),IF(Inputs!$B$39="pvp",MIN((Skills!T13*(1+Inputs!$B$35/100)),15)/15,MIN(1,(Skills!T13*(1+Inputs!$B$35/100))/(1/Q1430)))))+(IF(AND(ArtifactsInput!$M$35,Inputs!$B$4&lt;&gt;"Chapter Hunt"),CHOOSE(ArtifactsInput!$N$35+1,15,18,21,24,27,30)*(1-EXP(-(0.2*B1448)*5)),0)+IF(AND(ArtifactsInput!$M$22,Inputs!$B$4&lt;&gt;"Chapter Hunt"),CHOOSE(ArtifactsInput!$N$22+1,10,12,14,16,18,20)*((0*(((0.15*B1448*5))^0/1)+1*(((0.15*B1448*5))^1/1)+2*(((0.15*B1448*5))^2/2)+3*(((0.15*B1448*5))^3/6)+4*(((0.15*B1448*5))^4/24)+5*(((0.15*B1448*5))^5/120))/((((0.15*B1448*5))^0/1)+(((0.15*B1448*5))^1/1)+(((0.15*B1448*5))^2/2)+(((0.15*B1448*5))^3/6)+(((0.15*B1448*5))^4/24)+(((0.15*B1448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1429*(1-MIN(100,(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M1429*(MIN(100,(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L1429*(1-MIN(100,(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M1429*(MIN(100,(Inputs!$B$10+0+B1446+(ArtifactsInput!$M$24-ArtifactsInput!$M$24)*CHOOSE(ArtifactsInput!$N$24+1,10,12,14,16,18,20)+(IF(AND(Inputs!$B$39&lt;&gt;"pvp",Inputs!$B$44=0),1,IF(IF(Inputs!$B$39="pvp",15,Inputs!$B$44)-(B1453)&lt;=0,1,MAX(0,IF(Inputs!$B$39="pvp",15,Inputs!$B$44)-MAX(5,B1453))/(IF(Inputs!$B$39="pvp",15,Inputs!$B$44)-(B1453))))*IF(AND(ArtifactsInput!$M$42,((Inputs!$B$10+0+B1446+(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29">
        <f>IF(C1429,(H1429*N1429*IF(AND(Inputs!$B$39&lt;&gt;"pvp",Inputs!$B$44&gt;0),((Skills!G12*((R1429-1)*IF(Skills!H12&gt;0,INT(Skills!I12/Skills!H12+0.000000001),1)+IF(Skills!H12&gt;0,INT(MIN(Skills!I12,MAX(0,MAX(0,Inputs!$B$44-B1453)-((R1429-1)*IF(Inputs!$B$39="pvp",15,MAX(0.1,Skills!D12-IF(TRUE=TRUE,Inputs!$B$33,0))))))/Skills!H12+0.000000001),1)))/Inputs!$B$44),G1429*Q1429))*IF(Inputs!$B$39="pvp",1,(1+(Inputs!$B$22+Skills!Q12+((C1434=TRUE)*F1434*IF(AND(Inputs!$B$39&lt;&gt;"pvp",Inputs!$B$44&gt;0),(((R1434-1)*MIN((Skills!T17*(1+Inputs!$B$35/100)),(1/Q1434))+MIN((Skills!T17*(1+Inputs!$B$35/100)),MAX(0,Inputs!$B$44-((R1434-1)*(1/Q1434)))))/Inputs!$B$44),IF(Inputs!$B$39="pvp",MIN((Skills!T17*(1+Inputs!$B$35/100)),15)/15,MIN(1,(Skills!T17*(1+Inputs!$B$35/100))/(1/Q1434)))))+((C1422=TRUE)*IF(Inputs!$B$3&gt;=126,10*MIN(1,15*Q1422),0))+((C1431=TRUE)*IF(Inputs!$B$39="pvp",20,(1-Summary!$B$11)*(20)+Summary!$B$11*(0))*IF(AND(Inputs!$B$39&lt;&gt;"pvp",Inputs!$B$44&gt;0),(((R1431-1)*MIN((Skills!T14*(1+Inputs!$B$35/100)),(1/Q1431))+MIN((Skills!T14*(1+Inputs!$B$35/100)),MAX(0,Inputs!$B$44-((R1431-1)*(1/Q1431)))))/Inputs!$B$44),IF(Inputs!$B$39="pvp",MIN((Skills!T14*(1+Inputs!$B$35/100)),15)/15,MIN(1,(Skills!T14*(1+Inputs!$B$35/100))/(1/Q1431)))))+((C1430=TRUE)*IF(Inputs!$B$3&gt;=82,IF(Inputs!$B$39="pvp",20,(1-Summary!$B$11)*(20)+Summary!$B$11*(0)),0)*IF(AND(Inputs!$B$39&lt;&gt;"pvp",Inputs!$B$44&gt;0),(((R1430-1)*MIN((Skills!T13*(1+Inputs!$B$35/100)),(1/Q1430))+MIN((Skills!T13*(1+Inputs!$B$35/100)),MAX(0,Inputs!$B$44-((R1430-1)*(1/Q1430)))))/Inputs!$B$44),IF(Inputs!$B$39="pvp",MIN((Skills!T13*(1+Inputs!$B$35/100)),15)/15,MIN(1,(Skills!T13*(1+Inputs!$B$35/100))/(1/Q1430)))))+(IF(AND(ArtifactsInput!$M$35,Inputs!$B$4&lt;&gt;"Chapter Hunt"),CHOOSE(ArtifactsInput!$N$35+1,15,18,21,24,27,30)*(1-EXP(-(0.2*B1448)*5)),0)+IF(AND(ArtifactsInput!$M$22,Inputs!$B$4&lt;&gt;"Chapter Hunt"),CHOOSE(ArtifactsInput!$N$22+1,10,12,14,16,18,20)*((0*(((0.15*B1448*5))^0/1)+1*(((0.15*B1448*5))^1/1)+2*(((0.15*B1448*5))^2/2)+3*(((0.15*B1448*5))^3/6)+4*(((0.15*B1448*5))^4/24)+5*(((0.15*B1448*5))^5/120))/((((0.15*B1448*5))^0/1)+(((0.15*B1448*5))^1/1)+(((0.15*B1448*5))^2/2)+(((0.15*B1448*5))^3/6)+(((0.15*B1448*5))^4/24)+(((0.15*B1448*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30">
      <c r="A1430">
        <f>Skills!A13</f>
        <v/>
      </c>
      <c r="B1430">
        <f>Skills!B13</f>
        <v/>
      </c>
      <c r="C1430">
        <f>Inputs!$B$3&gt;=69</f>
        <v/>
      </c>
      <c r="D1430">
        <f>IF(Skills!C13=1,60+Inputs!$B$26+Inputs!$B$30,IF(Skills!C13=2,90+Inputs!$B$27+Inputs!$B$30,IF(Skills!C13=3,120+Inputs!$B$28+Inputs!$B$30,MAX(0,(Inputs!$B$3-100)*3)+Inputs!$B$29+Inputs!$B$30)))</f>
        <v/>
      </c>
      <c r="E1430">
        <f>INDEX(FactorTable!$B$2:$Y$301, MATCH(ROUND(MIN(300,MAX(1,D1430)),0), FactorTable!$A$2:$A$301,0), Skills!M13+1)</f>
        <v/>
      </c>
      <c r="F1430">
        <f>IF(Skills!N13=TRUE,(Skills!L13/10)*(E1430/1000),Skills!L13/10)+Skills!O13</f>
        <v/>
      </c>
      <c r="G1430">
        <f>Skills!G13*IF(Skills!H13&gt;0,INT(IF(Inputs!$B$39="pvp",MIN(Skills!I13,15),Skills!I13)/Skills!H13+0.000000001),1)</f>
        <v/>
      </c>
      <c r="H1430">
        <f>1-(1-Skills!J13/100)^Skills!K13</f>
        <v/>
      </c>
      <c r="I1430" t="inlineStr">
        <is>
          <t>1</t>
        </is>
      </c>
      <c r="J1430" t="inlineStr"/>
      <c r="K1430" t="inlineStr"/>
      <c r="L1430" t="inlineStr"/>
      <c r="M1430" t="inlineStr"/>
      <c r="N1430" t="inlineStr"/>
      <c r="O1430">
        <f>(1-Summary!$B$11)*T1430+Summary!$B$11*V1430</f>
        <v/>
      </c>
      <c r="P1430">
        <f>IF(B1456=0,0,O1430/B1456)</f>
        <v/>
      </c>
      <c r="Q1430">
        <f>IFERROR(1/IF(Inputs!$B$39="pvp",15,MAX(0.1,Skills!D13-IF(TRUE=TRUE,Inputs!$B$33,0))),0)</f>
        <v/>
      </c>
      <c r="R1430">
        <f>IF(AND(Inputs!$B$39&lt;&gt;"pvp",Inputs!$B$44&gt;0),IF(Inputs!$B$44&lt;=0,0,(INT(Inputs!$B$44/IF(Inputs!$B$39="pvp",15,MAX(0.1,Skills!D13-IF(TRUE=TRUE,Inputs!$B$33,0))))+1)),0)</f>
        <v/>
      </c>
      <c r="S1430">
        <f>IFERROR(O1430/N1430,0)</f>
        <v/>
      </c>
      <c r="T1430" t="n">
        <v>0</v>
      </c>
      <c r="V1430" t="n">
        <v>0</v>
      </c>
    </row>
    <row r="1431">
      <c r="A1431">
        <f>Skills!A14</f>
        <v/>
      </c>
      <c r="B1431">
        <f>Skills!B14</f>
        <v/>
      </c>
      <c r="C1431">
        <f>Inputs!$B$3&gt;=115</f>
        <v/>
      </c>
      <c r="D1431">
        <f>IF(Skills!C14=1,60+Inputs!$B$26+Inputs!$B$30,IF(Skills!C14=2,90+Inputs!$B$27+Inputs!$B$30,IF(Skills!C14=3,120+Inputs!$B$28+Inputs!$B$30,MAX(0,(Inputs!$B$3-100)*3)+Inputs!$B$29+Inputs!$B$30)))</f>
        <v/>
      </c>
      <c r="E1431">
        <f>INDEX(FactorTable!$B$2:$Y$301, MATCH(ROUND(MIN(300,MAX(1,D1431)),0), FactorTable!$A$2:$A$301,0), Skills!M14+1)</f>
        <v/>
      </c>
      <c r="F1431">
        <f>IF(Skills!N14=TRUE,(Skills!L14/10)*(E1431/1000),Skills!L14/10)+Skills!O14</f>
        <v/>
      </c>
      <c r="G1431">
        <f>Skills!G14*IF(Skills!H14&gt;0,INT(IF(Inputs!$B$39="pvp",MIN(Skills!I14,15),Skills!I14)/Skills!H14+0.000000001),1)</f>
        <v/>
      </c>
      <c r="H1431">
        <f>1-(1-Skills!J14/100)^Skills!K14</f>
        <v/>
      </c>
      <c r="I1431" t="inlineStr">
        <is>
          <t>1</t>
        </is>
      </c>
      <c r="J1431" t="inlineStr"/>
      <c r="K1431" t="inlineStr"/>
      <c r="L1431" t="inlineStr"/>
      <c r="M1431" t="inlineStr"/>
      <c r="N1431" t="inlineStr"/>
      <c r="O1431">
        <f>(1-Summary!$B$11)*T1431+Summary!$B$11*V1431</f>
        <v/>
      </c>
      <c r="P1431">
        <f>IF(B1456=0,0,O1431/B1456)</f>
        <v/>
      </c>
      <c r="Q1431">
        <f>IFERROR(1/IF(Inputs!$B$39="pvp",15,MAX(0.1,Skills!D14-IF(TRUE=TRUE,Inputs!$B$33,0))),0)</f>
        <v/>
      </c>
      <c r="R1431">
        <f>IF(AND(Inputs!$B$39&lt;&gt;"pvp",Inputs!$B$44&gt;0),IF(Inputs!$B$44&lt;=0,0,(INT(Inputs!$B$44/IF(Inputs!$B$39="pvp",15,MAX(0.1,Skills!D14-IF(TRUE=TRUE,Inputs!$B$33,0))))+1)),0)</f>
        <v/>
      </c>
      <c r="S1431">
        <f>IFERROR(O1431/N1431,0)</f>
        <v/>
      </c>
      <c r="T1431" t="n">
        <v>0</v>
      </c>
      <c r="V1431" t="n">
        <v>0</v>
      </c>
    </row>
    <row r="1432">
      <c r="A1432">
        <f>Skills!A15</f>
        <v/>
      </c>
      <c r="B1432">
        <f>Skills!B15</f>
        <v/>
      </c>
      <c r="C1432">
        <f>Inputs!$B$3&gt;=66</f>
        <v/>
      </c>
      <c r="D1432">
        <f>IF(Skills!C15=1,60+Inputs!$B$26+Inputs!$B$30,IF(Skills!C15=2,90+Inputs!$B$27+Inputs!$B$30,IF(Skills!C15=3,120+Inputs!$B$28+Inputs!$B$30,MAX(0,(Inputs!$B$3-100)*3)+Inputs!$B$29+Inputs!$B$30)))</f>
        <v/>
      </c>
      <c r="E1432">
        <f>INDEX(FactorTable!$B$2:$Y$301, MATCH(ROUND(MIN(300,MAX(1,D1432)),0), FactorTable!$A$2:$A$301,0), Skills!M15+1)</f>
        <v/>
      </c>
      <c r="F1432">
        <f>IF(Skills!N15=TRUE,(Skills!L15/10)*(E1432/1000),Skills!L15/10)+Skills!O15</f>
        <v/>
      </c>
      <c r="G1432">
        <f>Skills!G15*IF(Skills!H15&gt;0,INT(IF(Inputs!$B$39="pvp",MIN(Skills!I15,15),Skills!I15)/Skills!H15+0.000000001),1)</f>
        <v/>
      </c>
      <c r="H1432">
        <f>1-(1-Skills!J15/100)^Skills!K15</f>
        <v/>
      </c>
      <c r="I1432" t="inlineStr">
        <is>
          <t>1</t>
        </is>
      </c>
      <c r="J1432" t="inlineStr"/>
      <c r="K1432" t="inlineStr"/>
      <c r="L1432" t="inlineStr"/>
      <c r="M1432" t="inlineStr"/>
      <c r="N1432" t="inlineStr"/>
      <c r="O1432">
        <f>(1-Summary!$B$11)*T1432+Summary!$B$11*V1432</f>
        <v/>
      </c>
      <c r="P1432">
        <f>IF(B1456=0,0,O1432/B1456)</f>
        <v/>
      </c>
      <c r="Q1432">
        <f>IFERROR(1/IF(Inputs!$B$39="pvp",15,MAX(0.1,Skills!D15-IF(TRUE=TRUE,Inputs!$B$33,0))),0)</f>
        <v/>
      </c>
      <c r="R1432">
        <f>IF(AND(Inputs!$B$39&lt;&gt;"pvp",Inputs!$B$44&gt;0),IF(Inputs!$B$44&lt;=0,0,(INT(Inputs!$B$44/IF(Inputs!$B$39="pvp",15,MAX(0.1,Skills!D15-IF(TRUE=TRUE,Inputs!$B$33,0))))+1)),0)</f>
        <v/>
      </c>
      <c r="S1432">
        <f>IFERROR(O1432/N1432,0)</f>
        <v/>
      </c>
      <c r="T1432" t="n">
        <v>0</v>
      </c>
      <c r="V1432" t="n">
        <v>0</v>
      </c>
    </row>
    <row r="1433">
      <c r="A1433">
        <f>Skills!A16</f>
        <v/>
      </c>
      <c r="B1433">
        <f>Skills!B16</f>
        <v/>
      </c>
      <c r="C1433">
        <f>Inputs!$B$3&gt;=45</f>
        <v/>
      </c>
      <c r="D1433">
        <f>IF(Skills!C16=1,60+Inputs!$B$26+Inputs!$B$30,IF(Skills!C16=2,90+Inputs!$B$27+Inputs!$B$30,IF(Skills!C16=3,120+Inputs!$B$28+Inputs!$B$30,MAX(0,(Inputs!$B$3-100)*3)+Inputs!$B$29+Inputs!$B$30)))</f>
        <v/>
      </c>
      <c r="E1433">
        <f>INDEX(FactorTable!$B$2:$Y$301, MATCH(ROUND(MIN(300,MAX(1,D1433)),0), FactorTable!$A$2:$A$301,0), Skills!M16+1)</f>
        <v/>
      </c>
      <c r="F1433">
        <f>IF(Skills!N16=TRUE,(Skills!L16/10)*(E1433/1000),Skills!L16/10)+Skills!O16</f>
        <v/>
      </c>
      <c r="G1433">
        <f>Skills!G16*IF(Skills!H16&gt;0,INT(IF(Inputs!$B$39="pvp",MIN(Skills!I16,15),Skills!I16)/Skills!H16+0.000000001),1)</f>
        <v/>
      </c>
      <c r="H1433">
        <f>1-(1-Skills!J16/100)^Skills!K16</f>
        <v/>
      </c>
      <c r="I1433" t="inlineStr">
        <is>
          <t>1</t>
        </is>
      </c>
      <c r="J1433" t="inlineStr"/>
      <c r="K1433" t="inlineStr"/>
      <c r="L1433" t="inlineStr"/>
      <c r="M1433" t="inlineStr"/>
      <c r="N1433" t="inlineStr"/>
      <c r="O1433">
        <f>(1-Summary!$B$11)*T1433+Summary!$B$11*V1433</f>
        <v/>
      </c>
      <c r="P1433">
        <f>IF(B1456=0,0,O1433/B1456)</f>
        <v/>
      </c>
      <c r="Q1433">
        <f>IFERROR(1/IF(Inputs!$B$39="pvp",15,MAX(0.1,Skills!D16-IF(TRUE=TRUE,Inputs!$B$33,0))),0)</f>
        <v/>
      </c>
      <c r="R1433">
        <f>IF(AND(Inputs!$B$39&lt;&gt;"pvp",Inputs!$B$44&gt;0),IF(Inputs!$B$44&lt;=0,0,(INT(Inputs!$B$44/IF(Inputs!$B$39="pvp",15,MAX(0.1,Skills!D16-IF(TRUE=TRUE,Inputs!$B$33,0))))+1)),0)</f>
        <v/>
      </c>
      <c r="S1433">
        <f>IFERROR(O1433/N1433,0)</f>
        <v/>
      </c>
      <c r="T1433" t="n">
        <v>0</v>
      </c>
      <c r="V1433" t="n">
        <v>0</v>
      </c>
    </row>
    <row r="1434">
      <c r="A1434">
        <f>Skills!A17</f>
        <v/>
      </c>
      <c r="B1434">
        <f>Skills!B17</f>
        <v/>
      </c>
      <c r="C1434">
        <f>Inputs!$B$3&gt;=35</f>
        <v/>
      </c>
      <c r="D1434">
        <f>IF(Skills!C17=1,60+Inputs!$B$26+Inputs!$B$30,IF(Skills!C17=2,90+Inputs!$B$27+Inputs!$B$30,IF(Skills!C17=3,120+Inputs!$B$28+Inputs!$B$30,MAX(0,(Inputs!$B$3-100)*3)+Inputs!$B$29+Inputs!$B$30)))</f>
        <v/>
      </c>
      <c r="E1434">
        <f>INDEX(FactorTable!$B$2:$Y$301, MATCH(ROUND(MIN(300,MAX(1,D1434)),0), FactorTable!$A$2:$A$301,0), Skills!M17+1)</f>
        <v/>
      </c>
      <c r="F1434">
        <f>IF(Skills!N17=TRUE,(Skills!L17/10)*(E1434/1000),Skills!L17/10)+Skills!O17</f>
        <v/>
      </c>
      <c r="G1434">
        <f>Skills!G17*IF(Skills!H17&gt;0,INT(IF(Inputs!$B$39="pvp",MIN(Skills!I17,15),Skills!I17)/Skills!H17+0.000000001),1)</f>
        <v/>
      </c>
      <c r="H1434">
        <f>1-(1-Skills!J17/100)^Skills!K17</f>
        <v/>
      </c>
      <c r="I1434" t="inlineStr">
        <is>
          <t>1</t>
        </is>
      </c>
      <c r="J1434" t="inlineStr"/>
      <c r="K1434" t="inlineStr"/>
      <c r="L1434" t="inlineStr"/>
      <c r="M1434" t="inlineStr"/>
      <c r="N1434" t="inlineStr"/>
      <c r="O1434">
        <f>(1-Summary!$B$11)*T1434+Summary!$B$11*V1434</f>
        <v/>
      </c>
      <c r="P1434">
        <f>IF(B1456=0,0,O1434/B1456)</f>
        <v/>
      </c>
      <c r="Q1434">
        <f>IFERROR(1/IF(Inputs!$B$39="pvp",15,MAX(0.1,Skills!D17-IF(TRUE=TRUE,Inputs!$B$33,0))),0)</f>
        <v/>
      </c>
      <c r="R1434">
        <f>IF(AND(Inputs!$B$39&lt;&gt;"pvp",Inputs!$B$44&gt;0),IF(Inputs!$B$44&lt;=0,0,(INT(Inputs!$B$44/IF(Inputs!$B$39="pvp",15,MAX(0.1,Skills!D17-IF(TRUE=TRUE,Inputs!$B$33,0))))+1)),0)</f>
        <v/>
      </c>
      <c r="S1434">
        <f>IFERROR(O1434/N1434,0)</f>
        <v/>
      </c>
      <c r="T1434" t="n">
        <v>0</v>
      </c>
      <c r="V1434" t="n">
        <v>0</v>
      </c>
    </row>
    <row r="1435">
      <c r="A1435">
        <f>Skills!A18</f>
        <v/>
      </c>
      <c r="B1435">
        <f>Skills!B18</f>
        <v/>
      </c>
      <c r="C1435">
        <f>Inputs!$B$3&gt;=72</f>
        <v/>
      </c>
      <c r="D1435">
        <f>IF(Skills!C18=1,60+Inputs!$B$26+Inputs!$B$30,IF(Skills!C18=2,90+Inputs!$B$27+Inputs!$B$30,IF(Skills!C18=3,120+Inputs!$B$28+Inputs!$B$30,MAX(0,(Inputs!$B$3-100)*3)+Inputs!$B$29+Inputs!$B$30)))</f>
        <v/>
      </c>
      <c r="E1435">
        <f>INDEX(FactorTable!$B$2:$Y$301, MATCH(ROUND(MIN(300,MAX(1,D1435)),0), FactorTable!$A$2:$A$301,0), Skills!M18+1)</f>
        <v/>
      </c>
      <c r="F1435">
        <f>IF(Skills!N18=TRUE,(Skills!L18/10)*(E1435/1000),Skills!L18/10)+Skills!O18</f>
        <v/>
      </c>
      <c r="G1435">
        <f>Skills!G18*IF(Skills!H18&gt;0,INT(IF(Inputs!$B$39="pvp",MIN(Skills!I18,15),Skills!I18)/Skills!H18+0.000000001),1)</f>
        <v/>
      </c>
      <c r="H1435">
        <f>1-(1-Skills!J18/100)^Skills!K18</f>
        <v/>
      </c>
      <c r="I1435" t="inlineStr">
        <is>
          <t>1</t>
        </is>
      </c>
      <c r="J1435" t="inlineStr"/>
      <c r="K1435" t="inlineStr"/>
      <c r="L1435" t="inlineStr"/>
      <c r="M1435" t="inlineStr"/>
      <c r="N1435" t="inlineStr"/>
      <c r="O1435">
        <f>(1-Summary!$B$11)*T1435+Summary!$B$11*V1435</f>
        <v/>
      </c>
      <c r="P1435">
        <f>IF(B1456=0,0,O1435/B1456)</f>
        <v/>
      </c>
      <c r="Q1435">
        <f>IFERROR(1/IF(Inputs!$B$39="pvp",15,MAX(0.1,Skills!D18-IF(TRUE=TRUE,Inputs!$B$33,0))),0)</f>
        <v/>
      </c>
      <c r="R1435">
        <f>IF(AND(Inputs!$B$39&lt;&gt;"pvp",Inputs!$B$44&gt;0),IF(Inputs!$B$44&lt;=0,0,(INT(Inputs!$B$44/IF(Inputs!$B$39="pvp",15,MAX(0.1,Skills!D18-IF(TRUE=TRUE,Inputs!$B$33,0))))+1)),0)</f>
        <v/>
      </c>
      <c r="S1435">
        <f>IFERROR(O1435/N1435,0)</f>
        <v/>
      </c>
      <c r="T1435" t="n">
        <v>0</v>
      </c>
      <c r="V1435" t="n">
        <v>0</v>
      </c>
    </row>
    <row r="1436">
      <c r="A1436">
        <f>Skills!A19</f>
        <v/>
      </c>
      <c r="B1436">
        <f>Skills!B19</f>
        <v/>
      </c>
      <c r="C1436">
        <f>Inputs!$B$3&gt;=72</f>
        <v/>
      </c>
      <c r="D1436">
        <f>IF(Skills!C19=1,60+Inputs!$B$26+Inputs!$B$30,IF(Skills!C19=2,90+Inputs!$B$27+Inputs!$B$30,IF(Skills!C19=3,120+Inputs!$B$28+Inputs!$B$30,MAX(0,(Inputs!$B$3-100)*3)+Inputs!$B$29+Inputs!$B$30)))</f>
        <v/>
      </c>
      <c r="E1436">
        <f>INDEX(FactorTable!$B$2:$Y$301, MATCH(ROUND(MIN(300,MAX(1,D1436)),0), FactorTable!$A$2:$A$301,0), Skills!M19+1)</f>
        <v/>
      </c>
      <c r="F1436">
        <f>IF(Skills!N19=TRUE,(Skills!L19/10)*(E1436/1000),Skills!L19/10)+Skills!O19</f>
        <v/>
      </c>
      <c r="G1436">
        <f>Skills!G19*IF(Skills!H19&gt;0,INT(IF(Inputs!$B$39="pvp",MIN(Skills!I19,15),Skills!I19)/Skills!H19+0.000000001),1)</f>
        <v/>
      </c>
      <c r="H1436">
        <f>1-(1-Skills!J19/100)^Skills!K19</f>
        <v/>
      </c>
      <c r="I1436" t="inlineStr">
        <is>
          <t>1</t>
        </is>
      </c>
      <c r="J1436" t="inlineStr"/>
      <c r="K1436" t="inlineStr"/>
      <c r="L1436" t="inlineStr"/>
      <c r="M1436" t="inlineStr"/>
      <c r="N1436" t="inlineStr"/>
      <c r="O1436">
        <f>(1-Summary!$B$11)*T1436+Summary!$B$11*V1436</f>
        <v/>
      </c>
      <c r="P1436">
        <f>IF(B1456=0,0,O1436/B1456)</f>
        <v/>
      </c>
      <c r="Q1436">
        <f>IFERROR(1/IF(Inputs!$B$39="pvp",15,MAX(0.1,Skills!D19-IF(TRUE=TRUE,Inputs!$B$33,0))),0)</f>
        <v/>
      </c>
      <c r="R1436">
        <f>IF(AND(Inputs!$B$39&lt;&gt;"pvp",Inputs!$B$44&gt;0),IF(Inputs!$B$44&lt;=0,0,(INT(Inputs!$B$44/IF(Inputs!$B$39="pvp",15,MAX(0.1,Skills!D19-IF(TRUE=TRUE,Inputs!$B$33,0))))+1)),0)</f>
        <v/>
      </c>
      <c r="S1436">
        <f>IFERROR(O1436/N1436,0)</f>
        <v/>
      </c>
      <c r="T1436" t="n">
        <v>0</v>
      </c>
      <c r="V1436" t="n">
        <v>0</v>
      </c>
    </row>
    <row r="1437">
      <c r="A1437">
        <f>Skills!A20</f>
        <v/>
      </c>
      <c r="B1437">
        <f>Skills!B20</f>
        <v/>
      </c>
      <c r="C1437">
        <f>TRUE</f>
        <v/>
      </c>
      <c r="D1437">
        <f>IF(Skills!C20=1,60+Inputs!$B$26+Inputs!$B$30,IF(Skills!C20=2,90+Inputs!$B$27+Inputs!$B$30,IF(Skills!C20=3,120+Inputs!$B$28+Inputs!$B$30,MAX(0,(Inputs!$B$3-100)*3)+Inputs!$B$29+Inputs!$B$30)))</f>
        <v/>
      </c>
      <c r="E1437">
        <f>INDEX(FactorTable!$B$2:$Y$301, MATCH(ROUND(MIN(300,MAX(1,D1437)),0), FactorTable!$A$2:$A$301,0), Skills!M20+1)</f>
        <v/>
      </c>
      <c r="F1437">
        <f>IF(Skills!N20=TRUE,(Skills!L20/10)*(E1437/1000),Skills!L20/10)+Skills!O20</f>
        <v/>
      </c>
      <c r="G1437">
        <f>Skills!G20*IF(Skills!H20&gt;0,INT(IF(Inputs!$B$39="pvp",MIN(Skills!I20,15),Skills!I20)/Skills!H20+0.000000001),1)</f>
        <v/>
      </c>
      <c r="H1437">
        <f>1-(1-Skills!J20/100)^Skills!K20</f>
        <v/>
      </c>
      <c r="I1437" t="inlineStr">
        <is>
          <t>1</t>
        </is>
      </c>
      <c r="J1437" t="inlineStr"/>
      <c r="K1437" t="inlineStr"/>
      <c r="L1437" t="inlineStr"/>
      <c r="M1437" t="inlineStr"/>
      <c r="N1437" t="inlineStr"/>
      <c r="O1437">
        <f>(1-Summary!$B$11)*T1437+Summary!$B$11*V1437</f>
        <v/>
      </c>
      <c r="P1437">
        <f>IF(B1456=0,0,O1437/B1456)</f>
        <v/>
      </c>
      <c r="Q1437">
        <f>IFERROR(1/IF(Inputs!$B$39="pvp",15,MAX(0.1,Skills!D20-IF(TRUE=TRUE,Inputs!$B$33,0))),0)</f>
        <v/>
      </c>
      <c r="R1437">
        <f>IF(AND(Inputs!$B$39&lt;&gt;"pvp",Inputs!$B$44&gt;0),IF(Inputs!$B$44&lt;=0,0,(INT(Inputs!$B$44/IF(Inputs!$B$39="pvp",15,MAX(0.1,Skills!D20-IF(TRUE=TRUE,Inputs!$B$33,0))))+1)),0)</f>
        <v/>
      </c>
      <c r="S1437">
        <f>IFERROR(O1437/N1437,0)</f>
        <v/>
      </c>
      <c r="T1437" t="n">
        <v>0</v>
      </c>
      <c r="V1437" t="n">
        <v>0</v>
      </c>
    </row>
    <row r="1438">
      <c r="A1438">
        <f>Skills!A21</f>
        <v/>
      </c>
      <c r="B1438">
        <f>Skills!B21</f>
        <v/>
      </c>
      <c r="C1438">
        <f>Inputs!$B$3&gt;=33</f>
        <v/>
      </c>
      <c r="D1438">
        <f>IF(Skills!C21=1,60+Inputs!$B$26+Inputs!$B$30,IF(Skills!C21=2,90+Inputs!$B$27+Inputs!$B$30,IF(Skills!C21=3,120+Inputs!$B$28+Inputs!$B$30,MAX(0,(Inputs!$B$3-100)*3)+Inputs!$B$29+Inputs!$B$30)))</f>
        <v/>
      </c>
      <c r="E1438">
        <f>INDEX(FactorTable!$B$2:$Y$301, MATCH(ROUND(MIN(300,MAX(1,D1438)),0), FactorTable!$A$2:$A$301,0), Skills!M21+1)</f>
        <v/>
      </c>
      <c r="F1438">
        <f>IF(Skills!N21=TRUE,(Skills!L21/10)*(E1438/1000),Skills!L21/10)+Skills!O21</f>
        <v/>
      </c>
      <c r="G1438">
        <f>Skills!G21*IF(Skills!H21&gt;0,INT(IF(Inputs!$B$39="pvp",MIN(Skills!I21,15),Skills!I21)/Skills!H21+0.000000001),1)</f>
        <v/>
      </c>
      <c r="H1438">
        <f>1-(1-Skills!J21/100)^Skills!K21</f>
        <v/>
      </c>
      <c r="I1438" t="inlineStr">
        <is>
          <t>1</t>
        </is>
      </c>
      <c r="J1438" t="inlineStr"/>
      <c r="K1438" t="inlineStr"/>
      <c r="L1438" t="inlineStr"/>
      <c r="M1438" t="inlineStr"/>
      <c r="N1438" t="inlineStr"/>
      <c r="O1438">
        <f>(1-Summary!$B$11)*T1438+Summary!$B$11*V1438</f>
        <v/>
      </c>
      <c r="P1438">
        <f>IF(B1456=0,0,O1438/B1456)</f>
        <v/>
      </c>
      <c r="Q1438" t="n">
        <v>0</v>
      </c>
      <c r="R1438" t="n">
        <v>0</v>
      </c>
      <c r="S1438">
        <f>IFERROR(O1438/N1438,0)</f>
        <v/>
      </c>
      <c r="T1438" t="n">
        <v>0</v>
      </c>
      <c r="V1438" t="n">
        <v>0</v>
      </c>
    </row>
    <row r="1439">
      <c r="A1439">
        <f>Skills!A22</f>
        <v/>
      </c>
      <c r="B1439">
        <f>Skills!B22</f>
        <v/>
      </c>
      <c r="C1439">
        <f>Inputs!$B$3&gt;=43</f>
        <v/>
      </c>
      <c r="D1439">
        <f>IF(Skills!C22=1,60+Inputs!$B$26+Inputs!$B$30,IF(Skills!C22=2,90+Inputs!$B$27+Inputs!$B$30,IF(Skills!C22=3,120+Inputs!$B$28+Inputs!$B$30,MAX(0,(Inputs!$B$3-100)*3)+Inputs!$B$29+Inputs!$B$30)))</f>
        <v/>
      </c>
      <c r="E1439">
        <f>INDEX(FactorTable!$B$2:$Y$301, MATCH(ROUND(MIN(300,MAX(1,D1439)),0), FactorTable!$A$2:$A$301,0), Skills!M22+1)</f>
        <v/>
      </c>
      <c r="F1439">
        <f>IF(Skills!N22=TRUE,(Skills!L22/10)*(E1439/1000),Skills!L22/10)+Skills!O22</f>
        <v/>
      </c>
      <c r="G1439">
        <f>Skills!G22*IF(Skills!H22&gt;0,INT(IF(Inputs!$B$39="pvp",MIN(Skills!I22,15),Skills!I22)/Skills!H22+0.000000001),1)</f>
        <v/>
      </c>
      <c r="H1439">
        <f>1-(1-Skills!J22/100)^Skills!K22</f>
        <v/>
      </c>
      <c r="I1439" t="inlineStr">
        <is>
          <t>1</t>
        </is>
      </c>
      <c r="J1439" t="inlineStr"/>
      <c r="K1439" t="inlineStr"/>
      <c r="L1439" t="inlineStr"/>
      <c r="M1439" t="inlineStr"/>
      <c r="N1439" t="inlineStr"/>
      <c r="O1439">
        <f>(1-Summary!$B$11)*T1439+Summary!$B$11*V1439</f>
        <v/>
      </c>
      <c r="P1439">
        <f>IF(B1456=0,0,O1439/B1456)</f>
        <v/>
      </c>
      <c r="Q1439" t="n">
        <v>0</v>
      </c>
      <c r="R1439" t="n">
        <v>0</v>
      </c>
      <c r="S1439">
        <f>IFERROR(O1439/N1439,0)</f>
        <v/>
      </c>
      <c r="T1439" t="n">
        <v>0</v>
      </c>
      <c r="V1439" t="n">
        <v>0</v>
      </c>
    </row>
    <row r="1440">
      <c r="A1440">
        <f>Skills!A23</f>
        <v/>
      </c>
      <c r="B1440">
        <f>Skills!B23</f>
        <v/>
      </c>
      <c r="C1440">
        <f>Inputs!$B$3&gt;=120</f>
        <v/>
      </c>
      <c r="D1440">
        <f>IF(Skills!C23=1,60+Inputs!$B$26+Inputs!$B$30,IF(Skills!C23=2,90+Inputs!$B$27+Inputs!$B$30,IF(Skills!C23=3,120+Inputs!$B$28+Inputs!$B$30,MAX(0,(Inputs!$B$3-100)*3)+Inputs!$B$29+Inputs!$B$30)))</f>
        <v/>
      </c>
      <c r="E1440">
        <f>INDEX(FactorTable!$B$2:$Y$301, MATCH(ROUND(MIN(300,MAX(1,D1440)),0), FactorTable!$A$2:$A$301,0), Skills!M23+1)</f>
        <v/>
      </c>
      <c r="F1440">
        <f>IF(Skills!N23=TRUE,(Skills!L23/10)*(E1440/1000),Skills!L23/10)+Skills!O23</f>
        <v/>
      </c>
      <c r="G1440">
        <f>Skills!G23*IF(Skills!H23&gt;0,INT(IF(Inputs!$B$39="pvp",MIN(Skills!I23,15),Skills!I23)/Skills!H23+0.000000001),1)</f>
        <v/>
      </c>
      <c r="H1440">
        <f>1-(1-Skills!J23/100)^Skills!K23</f>
        <v/>
      </c>
      <c r="I1440" t="inlineStr">
        <is>
          <t>1</t>
        </is>
      </c>
      <c r="J1440" t="inlineStr"/>
      <c r="K1440" t="inlineStr"/>
      <c r="L1440" t="inlineStr"/>
      <c r="M1440" t="inlineStr"/>
      <c r="N1440" t="inlineStr"/>
      <c r="O1440">
        <f>(1-Summary!$B$11)*T1440+Summary!$B$11*V1440</f>
        <v/>
      </c>
      <c r="P1440">
        <f>IF(B1456=0,0,O1440/B1456)</f>
        <v/>
      </c>
      <c r="Q1440" t="n">
        <v>0</v>
      </c>
      <c r="R1440" t="n">
        <v>0</v>
      </c>
      <c r="S1440">
        <f>IFERROR(O1440/N1440,0)</f>
        <v/>
      </c>
      <c r="T1440" t="n">
        <v>0</v>
      </c>
      <c r="V1440" t="n">
        <v>0</v>
      </c>
    </row>
    <row r="1441">
      <c r="A1441">
        <f>Skills!A24</f>
        <v/>
      </c>
      <c r="B1441">
        <f>Skills!B24</f>
        <v/>
      </c>
      <c r="C1441">
        <f>Inputs!$B$3&gt;=120</f>
        <v/>
      </c>
      <c r="D1441">
        <f>IF(Skills!C24=1,60+Inputs!$B$26+Inputs!$B$30,IF(Skills!C24=2,90+Inputs!$B$27+Inputs!$B$30,IF(Skills!C24=3,120+Inputs!$B$28+Inputs!$B$30,MAX(0,(Inputs!$B$3-100)*3)+Inputs!$B$29+Inputs!$B$30)))</f>
        <v/>
      </c>
      <c r="E1441">
        <f>INDEX(FactorTable!$B$2:$Y$301, MATCH(ROUND(MIN(300,MAX(1,D1441)),0), FactorTable!$A$2:$A$301,0), Skills!M24+1)</f>
        <v/>
      </c>
      <c r="F1441">
        <f>IF(Skills!N24=TRUE,(Skills!L24/10)*(E1441/1000),Skills!L24/10)+Skills!O24</f>
        <v/>
      </c>
      <c r="G1441">
        <f>Skills!G24*IF(Skills!H24&gt;0,INT(IF(Inputs!$B$39="pvp",MIN(Skills!I24,15),Skills!I24)/Skills!H24+0.000000001),1)</f>
        <v/>
      </c>
      <c r="H1441">
        <f>1-(1-Skills!J24/100)^Skills!K24</f>
        <v/>
      </c>
      <c r="I1441" t="inlineStr">
        <is>
          <t>1</t>
        </is>
      </c>
      <c r="J1441" t="inlineStr"/>
      <c r="K1441" t="inlineStr"/>
      <c r="L1441" t="inlineStr"/>
      <c r="M1441" t="inlineStr"/>
      <c r="N1441" t="inlineStr"/>
      <c r="O1441">
        <f>(1-Summary!$B$11)*T1441+Summary!$B$11*V1441</f>
        <v/>
      </c>
      <c r="P1441">
        <f>IF(B1456=0,0,O1441/B1456)</f>
        <v/>
      </c>
      <c r="Q1441" t="n">
        <v>0</v>
      </c>
      <c r="R1441" t="n">
        <v>0</v>
      </c>
      <c r="S1441">
        <f>IFERROR(O1441/N1441,0)</f>
        <v/>
      </c>
      <c r="T1441" t="n">
        <v>0</v>
      </c>
      <c r="V1441" t="n">
        <v>0</v>
      </c>
    </row>
    <row r="1442">
      <c r="A1442">
        <f>Skills!A25</f>
        <v/>
      </c>
      <c r="B1442">
        <f>Skills!B25</f>
        <v/>
      </c>
      <c r="C1442">
        <f>Inputs!$B$3&gt;=125</f>
        <v/>
      </c>
      <c r="D1442">
        <f>IF(Skills!C25=1,60+Inputs!$B$26+Inputs!$B$30,IF(Skills!C25=2,90+Inputs!$B$27+Inputs!$B$30,IF(Skills!C25=3,120+Inputs!$B$28+Inputs!$B$30,MAX(0,(Inputs!$B$3-100)*3)+Inputs!$B$29+Inputs!$B$30)))</f>
        <v/>
      </c>
      <c r="E1442">
        <f>INDEX(FactorTable!$B$2:$Y$301, MATCH(ROUND(MIN(300,MAX(1,D1442)),0), FactorTable!$A$2:$A$301,0), Skills!M25+1)</f>
        <v/>
      </c>
      <c r="F1442">
        <f>IF(Skills!N25=TRUE,(Skills!L25/10)*(E1442/1000),Skills!L25/10)+Skills!O25</f>
        <v/>
      </c>
      <c r="G1442">
        <f>Skills!G25*IF(Skills!H25&gt;0,INT(IF(Inputs!$B$39="pvp",MIN(Skills!I25,15),Skills!I25)/Skills!H25+0.000000001),1)</f>
        <v/>
      </c>
      <c r="H1442">
        <f>1-(1-Skills!J25/100)^Skills!K25</f>
        <v/>
      </c>
      <c r="I1442" t="inlineStr">
        <is>
          <t>1</t>
        </is>
      </c>
      <c r="J1442" t="inlineStr"/>
      <c r="K1442" t="inlineStr"/>
      <c r="L1442" t="inlineStr"/>
      <c r="M1442" t="inlineStr"/>
      <c r="N1442" t="inlineStr"/>
      <c r="O1442">
        <f>(1-Summary!$B$11)*T1442+Summary!$B$11*V1442</f>
        <v/>
      </c>
      <c r="P1442">
        <f>IF(B1456=0,0,O1442/B1456)</f>
        <v/>
      </c>
      <c r="Q1442" t="n">
        <v>0</v>
      </c>
      <c r="R1442" t="n">
        <v>0</v>
      </c>
      <c r="S1442">
        <f>IFERROR(O1442/N1442,0)</f>
        <v/>
      </c>
      <c r="T1442" t="n">
        <v>0</v>
      </c>
      <c r="V1442" t="n">
        <v>0</v>
      </c>
    </row>
    <row r="1443">
      <c r="A1443">
        <f>Skills!A26</f>
        <v/>
      </c>
      <c r="B1443">
        <f>Skills!B26</f>
        <v/>
      </c>
      <c r="C1443">
        <f>Inputs!$B$3&gt;=107</f>
        <v/>
      </c>
      <c r="D1443">
        <f>IF(Skills!C26=1,60+Inputs!$B$26+Inputs!$B$30,IF(Skills!C26=2,90+Inputs!$B$27+Inputs!$B$30,IF(Skills!C26=3,120+Inputs!$B$28+Inputs!$B$30,MAX(0,(Inputs!$B$3-100)*3)+Inputs!$B$29+Inputs!$B$30)))</f>
        <v/>
      </c>
      <c r="E1443">
        <f>INDEX(FactorTable!$B$2:$Y$301, MATCH(ROUND(MIN(300,MAX(1,D1443)),0), FactorTable!$A$2:$A$301,0), Skills!M26+1)</f>
        <v/>
      </c>
      <c r="F1443">
        <f>IF(Skills!N26=TRUE,(Skills!L26/10)*(E1443/1000),Skills!L26/10)+Skills!O26</f>
        <v/>
      </c>
      <c r="G1443">
        <f>Skills!G26*IF(Skills!H26&gt;0,INT(IF(Inputs!$B$39="pvp",MIN(Skills!I26,15),Skills!I26)/Skills!H26+0.000000001),1)</f>
        <v/>
      </c>
      <c r="H1443">
        <f>1-(1-Skills!J26/100)^Skills!K26</f>
        <v/>
      </c>
      <c r="I1443" t="inlineStr">
        <is>
          <t>1</t>
        </is>
      </c>
      <c r="J1443" t="inlineStr"/>
      <c r="K1443" t="inlineStr"/>
      <c r="L1443" t="inlineStr"/>
      <c r="M1443" t="inlineStr"/>
      <c r="N1443" t="inlineStr"/>
      <c r="O1443">
        <f>(1-Summary!$B$11)*T1443+Summary!$B$11*V1443</f>
        <v/>
      </c>
      <c r="P1443">
        <f>IF(B1456=0,0,O1443/B1456)</f>
        <v/>
      </c>
      <c r="Q1443" t="n">
        <v>0</v>
      </c>
      <c r="R1443" t="n">
        <v>0</v>
      </c>
      <c r="S1443">
        <f>IFERROR(O1443/N1443,0)</f>
        <v/>
      </c>
      <c r="T1443" t="n">
        <v>0</v>
      </c>
      <c r="V1443" t="n">
        <v>0</v>
      </c>
    </row>
    <row r="1445">
      <c r="A1445" t="inlineStr">
        <is>
          <t>Attack% Bucket Multiplier</t>
        </is>
      </c>
      <c r="B1445">
        <f>(1+(((C1430=TRUE)*F1430*IF(AND(Inputs!$B$39&lt;&gt;"pvp",Inputs!$B$44&gt;0),(((R1430-1)*MIN((Skills!T13*(1+Inputs!$B$35/100)),(1/Q1430))+MIN((Skills!T13*(1+Inputs!$B$35/100)),MAX(0,Inputs!$B$44-((R1430-1)*(1/Q1430)))))/Inputs!$B$44),IF(Inputs!$B$39="pvp",MIN((Skills!T13*(1+Inputs!$B$35/100)),15)/15,MIN(1,(Skills!T13*(1+Inputs!$B$35/100))/(1/Q1430)))))+((C1431=TRUE)*F1431*IF(AND(Inputs!$B$39&lt;&gt;"pvp",Inputs!$B$44&gt;0),(((R1431-1)*MIN((Skills!T14*(1+Inputs!$B$35/100)),(1/Q1431))+MIN((Skills!T14*(1+Inputs!$B$35/100)),MAX(0,Inputs!$B$44-((R1431-1)*(1/Q1431)))))/Inputs!$B$44),IF(Inputs!$B$39="pvp",MIN((Skills!T14*(1+Inputs!$B$35/100)),15)/15,MIN(1,(Skills!T14*(1+Inputs!$B$35/100))/(1/Q1431)))))+((C1432=TRUE)*F1432*IF(AND(Inputs!$B$39&lt;&gt;"pvp",Inputs!$B$44&gt;0),(((R1432-1)*MIN((Skills!T15*(1+Inputs!$B$35/100)),(1/Q1432))+MIN((Skills!T15*(1+Inputs!$B$35/100)),MAX(0,Inputs!$B$44-((R1432-1)*(1/Q1432)))))/Inputs!$B$44),IF(Inputs!$B$39="pvp",MIN((Skills!T15*(1+Inputs!$B$35/100)),15)/15,MIN(1,(Skills!T15*(1+Inputs!$B$35/100))/(1/Q1432)))))+((C1433=TRUE)*F1433*IF(AND(Inputs!$B$39&lt;&gt;"pvp",Inputs!$B$44&gt;0),(((R1433-1)*MIN((Skills!T16*(1+Inputs!$B$35/100)),(1/Q1433))+MIN((Skills!T16*(1+Inputs!$B$35/100)),MAX(0,Inputs!$B$44-((R1433-1)*(1/Q1433)))))/Inputs!$B$44),IF(Inputs!$B$39="pvp",MIN((Skills!T16*(1+Inputs!$B$35/100)),15)/15,MIN(1,(Skills!T16*(1+Inputs!$B$35/100))/(1/Q1433)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1446">
      <c r="A1446" t="inlineStr">
        <is>
          <t>Global Crit Rate Bonus % (Lord of Darkness)</t>
        </is>
      </c>
      <c r="B1446">
        <f>((C1435=TRUE)*F1435*(Skills!J18/100)*IF(AND(Inputs!$B$39&lt;&gt;"pvp",Inputs!$B$44&gt;0),(((R1435-1)*MIN((Skills!T18*(1+Inputs!$B$35/100)),(1/Q1435))+MIN((Skills!T18*(1+Inputs!$B$35/100)),MAX(0,Inputs!$B$44-((R1435-1)*(1/Q1435)))))/Inputs!$B$44),IF(Inputs!$B$39="pvp",MIN((Skills!T18*(1+Inputs!$B$35/100)),15)/15,MIN(1,(Skills!T18*(1+Inputs!$B$35/100))/(1/Q1435)))))</f>
        <v/>
      </c>
    </row>
    <row r="1447">
      <c r="A1447" t="inlineStr">
        <is>
          <t>Attack Speed Buff Bonus %</t>
        </is>
      </c>
      <c r="B1447">
        <f>((C1437=TRUE)*F1437*IF(AND(Inputs!$B$39&lt;&gt;"pvp",Inputs!$B$44&gt;0),(((R1437-1)*MIN((Skills!T20*(1+Inputs!$B$35/100)),(1/Q1437))+MIN((Skills!T20*(1+Inputs!$B$35/100)),MAX(0,Inputs!$B$44-((R1437-1)*(1/Q1437)))))/Inputs!$B$44),IF(Inputs!$B$39="pvp",MIN((Skills!T20*(1+Inputs!$B$35/100)),15)/15,MIN(1,(Skills!T20*(1+Inputs!$B$35/100))/(1/Q1437)))))</f>
        <v/>
      </c>
    </row>
    <row r="1448">
      <c r="A1448" t="inlineStr">
        <is>
          <t>Actions Per Second</t>
        </is>
      </c>
      <c r="B1448">
        <f>1+MIN(150,150*(1-(1-(Inputs!$B$12+((C1438=TRUE)*(F1438-Calc!F21)))/150)*(1-B1447/150)))/100</f>
        <v/>
      </c>
    </row>
    <row r="1449">
      <c r="A1449" t="inlineStr">
        <is>
          <t>Skill + Buff Cast Rate</t>
        </is>
      </c>
      <c r="B1449">
        <f>IF(AND(Inputs!$B$39&lt;&gt;"pvp",Inputs!$B$44&gt;0),SUMPRODUCT((Skills!E2:E26=TRUE)*(C1419:C1443=TRUE)*R1419:R1443*Skills!F2:F26)/Inputs!$B$44,SUMPRODUCT((Skills!E2:E26=TRUE)*(C1419:C1443=TRUE)*Q1419:Q1443*Skills!F2:F26))</f>
        <v/>
      </c>
    </row>
    <row r="1450">
      <c r="A1450" t="inlineStr">
        <is>
          <t>Dark Impale Casts Per Second</t>
        </is>
      </c>
      <c r="B1450">
        <f>MAX(0,B1448-B1449)</f>
        <v/>
      </c>
    </row>
    <row r="1451">
      <c r="A1451" t="inlineStr">
        <is>
          <t>Global Critical Damage Bonus % (Lord of Darkness)</t>
        </is>
      </c>
      <c r="B1451">
        <f>((C1436=TRUE)*F1436*(Skills!J19/100)*IF(AND(Inputs!$B$39&lt;&gt;"pvp",Inputs!$B$44&gt;0),(((R1436-1)*MIN((Skills!T19*(1+Inputs!$B$35/100)),(1/Q1436))+MIN((Skills!T19*(1+Inputs!$B$35/100)),MAX(0,Inputs!$B$44-((R1436-1)*(1/Q1436)))))/Inputs!$B$44),IF(Inputs!$B$39="pvp",MIN((Skills!T19*(1+Inputs!$B$35/100)),15)/15,MIN(1,(Skills!T19*(1+Inputs!$B$35/100))/(1/Q1436)))))</f>
        <v/>
      </c>
    </row>
    <row r="1452">
      <c r="A1452" t="inlineStr">
        <is>
          <t>Global Final Damage Bonus % (unused)</t>
        </is>
      </c>
      <c r="B1452" t="n">
        <v>0</v>
      </c>
    </row>
    <row r="1453">
      <c r="A1453" t="inlineStr">
        <is>
          <t>Buff-Casting Startup Delay (s, fixed-duration only)</t>
        </is>
      </c>
      <c r="B1453">
        <f>IF(AND(Inputs!$B$39&lt;&gt;"pvp",Inputs!$B$44&gt;0),SUMPRODUCT((Skills!T2:T26&gt;0)*(Skills!E2:E26=TRUE)*(C1419:C1443=TRUE))/B1448,0)</f>
        <v/>
      </c>
    </row>
    <row r="1454">
      <c r="A1454" t="inlineStr">
        <is>
          <t>Boss-Only Total DPS (this block's swept value)</t>
        </is>
      </c>
      <c r="B1454">
        <f>SUM(T1419:T1443)</f>
        <v/>
      </c>
    </row>
    <row r="1455">
      <c r="A1455" t="inlineStr">
        <is>
          <t>Normal-Only Total DPS (this block's swept value)</t>
        </is>
      </c>
      <c r="B1455">
        <f>SUM(V1419:V1443)</f>
        <v/>
      </c>
    </row>
    <row r="1456">
      <c r="A1456" s="6" t="inlineStr">
        <is>
          <t>TOTAL DPS</t>
        </is>
      </c>
      <c r="B1456" s="6">
        <f>SUM(O1419:O1443)</f>
        <v/>
      </c>
    </row>
    <row r="1459">
      <c r="A1459" s="6" t="inlineStr">
        <is>
          <t>Stat: Hexagon Necklace (Equip)</t>
        </is>
      </c>
    </row>
    <row r="1460">
      <c r="A1460" s="5" t="inlineStr">
        <is>
          <t>Key</t>
        </is>
      </c>
      <c r="B1460" s="5" t="inlineStr">
        <is>
          <t>Name</t>
        </is>
      </c>
      <c r="C1460" s="5" t="inlineStr">
        <is>
          <t>Unlocked</t>
        </is>
      </c>
      <c r="D1460" s="5" t="inlineStr">
        <is>
          <t>InputLevel</t>
        </is>
      </c>
      <c r="E1460" s="5" t="inlineStr">
        <is>
          <t>Factor</t>
        </is>
      </c>
      <c r="F1460" s="5" t="inlineStr">
        <is>
          <t>CoefficientPercent</t>
        </is>
      </c>
      <c r="G1460" s="5" t="inlineStr">
        <is>
          <t>EffectiveHits</t>
        </is>
      </c>
      <c r="H1460" s="5" t="inlineStr">
        <is>
          <t>ProcProbability</t>
        </is>
      </c>
      <c r="I1460" s="5" t="inlineStr">
        <is>
          <t>MapleHeroMultiplier</t>
        </is>
      </c>
      <c r="J1460" s="5" t="inlineStr">
        <is>
          <t>BaseDamage</t>
        </is>
      </c>
      <c r="K1460" s="5" t="inlineStr">
        <is>
          <t>BaseHitDamage</t>
        </is>
      </c>
      <c r="L1460" s="5" t="inlineStr">
        <is>
          <t>NonCritAvg</t>
        </is>
      </c>
      <c r="M1460" s="5" t="inlineStr">
        <is>
          <t>CritAvg</t>
        </is>
      </c>
      <c r="N1460" s="5" t="inlineStr">
        <is>
          <t>ExpectedDamage(perHit)</t>
        </is>
      </c>
      <c r="O1460" s="5" t="inlineStr">
        <is>
          <t>DPS</t>
        </is>
      </c>
      <c r="P1460" s="5" t="inlineStr">
        <is>
          <t>% of Total</t>
        </is>
      </c>
      <c r="Q1460" s="5" t="inlineStr">
        <is>
          <t>InvCooldown</t>
        </is>
      </c>
      <c r="R1460" s="5" t="inlineStr">
        <is>
          <t>CastsInFight</t>
        </is>
      </c>
      <c r="S1460" s="5" t="inlineStr">
        <is>
          <t>HitRate(perSec)</t>
        </is>
      </c>
      <c r="U1460" t="inlineStr">
        <is>
          <t>helpers</t>
        </is>
      </c>
    </row>
    <row r="1461">
      <c r="A1461">
        <f>Skills!A2</f>
        <v/>
      </c>
      <c r="B1461">
        <f>Skills!B2</f>
        <v/>
      </c>
      <c r="C1461">
        <f>Inputs!$B$3&gt;=100</f>
        <v/>
      </c>
      <c r="D1461" t="inlineStr"/>
      <c r="E1461" t="inlineStr"/>
      <c r="F1461">
        <f>U1463+Skills!O2</f>
        <v/>
      </c>
      <c r="G1461">
        <f>Skills!G2*IF(Skills!H2&gt;0,INT(IF(Inputs!$B$39="pvp",MIN(Skills!I2,15),Skills!I2)/Skills!H2+0.000000001),1)</f>
        <v/>
      </c>
      <c r="H1461">
        <f>1-(1-Skills!J2/100)^Skills!K2</f>
        <v/>
      </c>
      <c r="I1461" t="inlineStr">
        <is>
          <t>1</t>
        </is>
      </c>
      <c r="J1461">
        <f>((Inputs!$B$6*(1+Inputs!$B$7/100))+(((Inputs!$B$13*(1+Inputs!$B$14/100))-(Inputs!$B$13*(1+Inputs!$B$14/100)))+0.25*(Inputs!$B$15-Inputs!$B$15))*(1+Inputs!$B$7/100))*(F1461/100)</f>
        <v/>
      </c>
      <c r="K1461">
        <f>J1461*(1+(((Inputs!$B$13+IF(Inputs!$B$3&gt;=38,(10*INDEX(FactorTable!$B$2:$Y$301, MATCH(ROUND(MIN(300,MAX(1,Inputs!$B$3)),0), FactorTable!$A$2:$A$301,0), 23)/1000)/100*(Inputs!$B$8*(1+Inputs!$B$9/100)),0))*(1+Inputs!$B$14/100))*0.01+Inputs!$B$15*0.0025)/100)*(1+Inputs!$B$16/100)*(1+Inputs!$B$17/100)*(5000/(6000+Inputs!$B$43*(1-(Inputs!$B$20+0)/100)))*(1+(Inputs!$B$25+((C1484=TRUE)*(F1484-Calc!F25))+((C1485=TRUE)*(F1485-Calc!F26))+B1494)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gt;=100),MIN(100,((Inputs!$B$10+0+B1488+(ArtifactsInput!$M$24-ArtifactsInput!$M$24)*CHOOSE(ArtifactsInput!$N$24+1,10,12,14,16,18,20)+IF(ArtifactsInput!$M$10,CHOOSE(ArtifactsInput!$N$10+1,15,18,21,24,27,30)*(IF(Inputs!$B$39="pvp",MIN(15,15)/15,IF(AND(Inputs!$B$39&lt;&gt;"pvp",Inputs!$B$44&gt;0),MIN(15,Inputs!$B$44)/(Inputs!$B$44),0))),0)))-100),0))*CHOOSE(ArtifactsInput!$N$42+1,0.6,0.72,0.84,0.96,1.08,1.2))),Inputs!$B$19+((C1482=TRUE)*(F1482-Calc!F23))+(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gt;=100),CHOOSE(ArtifactsInput!$N$42+1,40,48,56,64,72,80),0))))/100)*((1+(((C1472=TRUE)*F1472*IF(AND(Inputs!$B$39&lt;&gt;"pvp",Inputs!$B$44&gt;0),(((R1472-1)*MIN((Skills!T13*(1+Inputs!$B$35/100)),(1/Q1472))+MIN((Skills!T13*(1+Inputs!$B$35/100)),MAX(0,Inputs!$B$44-((R1472-1)*(1/Q1472)))))/Inputs!$B$44),IF(Inputs!$B$39="pvp",MIN((Skills!T13*(1+Inputs!$B$35/100)),15)/15,MIN(1,(Skills!T13*(1+Inputs!$B$35/100))/(1/Q1472)))))+((C1473=TRUE)*F1473*IF(AND(Inputs!$B$39&lt;&gt;"pvp",Inputs!$B$44&gt;0),(((R1473-1)*MIN((Skills!T14*(1+Inputs!$B$35/100)),(1/Q1473))+MIN((Skills!T14*(1+Inputs!$B$35/100)),MAX(0,Inputs!$B$44-((R1473-1)*(1/Q1473)))))/Inputs!$B$44),IF(Inputs!$B$39="pvp",MIN((Skills!T14*(1+Inputs!$B$35/100)),15)/15,MIN(1,(Skills!T14*(1+Inputs!$B$35/100))/(1/Q1473)))))+((C1474=TRUE)*F1474*IF(AND(Inputs!$B$39&lt;&gt;"pvp",Inputs!$B$44&gt;0),(((R1474-1)*MIN((Skills!T15*(1+Inputs!$B$35/100)),(1/Q1474))+MIN((Skills!T15*(1+Inputs!$B$35/100)),MAX(0,Inputs!$B$44-((R1474-1)*(1/Q1474)))))/Inputs!$B$44),IF(Inputs!$B$39="pvp",MIN((Skills!T15*(1+Inputs!$B$35/100)),15)/15,MIN(1,(Skills!T15*(1+Inputs!$B$35/100))/(1/Q1474)))))+((C1475=TRUE)*F1475*IF(AND(Inputs!$B$39&lt;&gt;"pvp",Inputs!$B$44&gt;0),(((R1475-1)*MIN((Skills!T16*(1+Inputs!$B$35/100)),(1/Q1475))+MIN((Skills!T16*(1+Inputs!$B$35/100)),MAX(0,Inputs!$B$44-((R1475-1)*(1/Q1475)))))/Inputs!$B$44),IF(Inputs!$B$39="pvp",MIN((Skills!T16*(1+Inputs!$B$35/100)),15)/15,MIN(1,(Skills!T16*(1+Inputs!$B$35/100))/(1/Q1475)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IF(ArtifactsInput!$M$11,FALSE,TRUE),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1461)</f>
        <v/>
      </c>
      <c r="L1461">
        <f>K1461*(MIN(Inputs!$B$23+((C1481=TRUE)*(F1481-Calc!F22)),(Inputs!$B$24+((C1483=TRUE)*(F1483-Calc!F24))+(IF(ArtifactsInput!$M$15,CHOOSE(ArtifactsInput!$N$15+1,25,30,35,40,45,50)/100*(Inputs!$B$12-Inputs!$B$12),0))))/100+(Inputs!$B$24+((C1483=TRUE)*(F1483-Calc!F24))+(IF(ArtifactsInput!$M$15,CHOOSE(ArtifactsInput!$N$15+1,25,30,35,40,45,50)/100*(Inputs!$B$12-Inputs!$B$12),0)))/100)/2</f>
        <v/>
      </c>
      <c r="M1461">
        <f>L1461*(1+(Inputs!$B$11+0+B1493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461">
        <f>L1461*(1-MIN((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1461*(MIN((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61">
        <f>(1-Summary!$B$11)*T1461+Summary!$B$11*V1461</f>
        <v/>
      </c>
      <c r="P1461">
        <f>IF(B1498=0,0,O1461/B1498)</f>
        <v/>
      </c>
      <c r="Q1461" t="n">
        <v>0</v>
      </c>
      <c r="R1461" t="n">
        <v>0</v>
      </c>
      <c r="S1461">
        <f>IFERROR(O1461/N1461,0)</f>
        <v/>
      </c>
      <c r="T1461">
        <f>IF(C1461,(Skills!G2*N1461*B1492)*IF(Inputs!$B$39="pvp",1,1+(Inputs!$B$21+0+Skills!P2+((C1476=TRUE)*F1476*IF(AND(Inputs!$B$39&lt;&gt;"pvp",Inputs!$B$44&gt;0),(((R1476-1)*MIN((Skills!T17*(1+Inputs!$B$35/100)),(1/Q1476))+MIN((Skills!T17*(1+Inputs!$B$35/100)),MAX(0,Inputs!$B$44-((R1476-1)*(1/Q1476)))))/Inputs!$B$44),IF(Inputs!$B$39="pvp",MIN((Skills!T17*(1+Inputs!$B$35/100)),15)/15,MIN(1,(Skills!T17*(1+Inputs!$B$35/100))/(1/Q1476)))))+((C1464=TRUE)*IF(Inputs!$B$3&gt;=126,10*MIN(1,15*Q1464),0))+((C1473=TRUE)*IF(Inputs!$B$39="pvp",20,(1-Summary!$B$11)*(20)+Summary!$B$11*(0))*IF(AND(Inputs!$B$39&lt;&gt;"pvp",Inputs!$B$44&gt;0),(((R1473-1)*MIN((Skills!T14*(1+Inputs!$B$35/100)),(1/Q1473))+MIN((Skills!T14*(1+Inputs!$B$35/100)),MAX(0,Inputs!$B$44-((R1473-1)*(1/Q1473)))))/Inputs!$B$44),IF(Inputs!$B$39="pvp",MIN((Skills!T14*(1+Inputs!$B$35/100)),15)/15,MIN(1,(Skills!T14*(1+Inputs!$B$35/100))/(1/Q1473)))))+((C1472=TRUE)*IF(Inputs!$B$3&gt;=82,IF(Inputs!$B$39="pvp",20,(1-Summary!$B$11)*(20)+Summary!$B$11*(0)),0)*IF(AND(Inputs!$B$39&lt;&gt;"pvp",Inputs!$B$44&gt;0),(((R1472-1)*MIN((Skills!T13*(1+Inputs!$B$35/100)),(1/Q1472))+MIN((Skills!T13*(1+Inputs!$B$35/100)),MAX(0,Inputs!$B$44-((R1472-1)*(1/Q1472)))))/Inputs!$B$44),IF(Inputs!$B$39="pvp",MIN((Skills!T13*(1+Inputs!$B$35/100)),15)/15,MIN(1,(Skills!T13*(1+Inputs!$B$35/100))/(1/Q1472)))))+(IF(AND(ArtifactsInput!$M$35,Inputs!$B$4&lt;&gt;"Chapter Hunt"),CHOOSE(ArtifactsInput!$N$35+1,15,18,21,24,27,30)*(1-EXP(-(0.2*B1490)*5)),0)+IF(AND(ArtifactsInput!$M$22,Inputs!$B$4&lt;&gt;"Chapter Hunt"),CHOOSE(ArtifactsInput!$N$22+1,10,12,14,16,18,20)*((0*(((0.15*B1490*5))^0/1)+1*(((0.15*B1490*5))^1/1)+2*(((0.15*B1490*5))^2/2)+3*(((0.15*B1490*5))^3/6)+4*(((0.15*B1490*5))^4/24)+5*(((0.15*B1490*5))^5/120))/((((0.15*B1490*5))^0/1)+(((0.15*B1490*5))^1/1)+(((0.15*B1490*5))^2/2)+(((0.15*B1490*5))^3/6)+(((0.15*B1490*5))^4/24)+(((0.15*B1490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1461*(1-MIN(100,(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1461*(MIN(100,(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1461*(1-MIN(100,(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1461*(MIN(100,(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461">
        <f>MAX(0,(Inputs!$B$3-100)*3)+Inputs!$B$29+Inputs!$B$30</f>
        <v/>
      </c>
      <c r="V1461">
        <f>IF(C1461,(Skills!G2*N1461*B1492)*IF(Inputs!$B$39="pvp",1,(1+(Inputs!$B$22+Skills!Q2+((C1476=TRUE)*F1476*IF(AND(Inputs!$B$39&lt;&gt;"pvp",Inputs!$B$44&gt;0),(((R1476-1)*MIN((Skills!T17*(1+Inputs!$B$35/100)),(1/Q1476))+MIN((Skills!T17*(1+Inputs!$B$35/100)),MAX(0,Inputs!$B$44-((R1476-1)*(1/Q1476)))))/Inputs!$B$44),IF(Inputs!$B$39="pvp",MIN((Skills!T17*(1+Inputs!$B$35/100)),15)/15,MIN(1,(Skills!T17*(1+Inputs!$B$35/100))/(1/Q1476)))))+((C1464=TRUE)*IF(Inputs!$B$3&gt;=126,10*MIN(1,15*Q1464),0))+((C1473=TRUE)*IF(Inputs!$B$39="pvp",20,(1-Summary!$B$11)*(20)+Summary!$B$11*(0))*IF(AND(Inputs!$B$39&lt;&gt;"pvp",Inputs!$B$44&gt;0),(((R1473-1)*MIN((Skills!T14*(1+Inputs!$B$35/100)),(1/Q1473))+MIN((Skills!T14*(1+Inputs!$B$35/100)),MAX(0,Inputs!$B$44-((R1473-1)*(1/Q1473)))))/Inputs!$B$44),IF(Inputs!$B$39="pvp",MIN((Skills!T14*(1+Inputs!$B$35/100)),15)/15,MIN(1,(Skills!T14*(1+Inputs!$B$35/100))/(1/Q1473)))))+((C1472=TRUE)*IF(Inputs!$B$3&gt;=82,IF(Inputs!$B$39="pvp",20,(1-Summary!$B$11)*(20)+Summary!$B$11*(0)),0)*IF(AND(Inputs!$B$39&lt;&gt;"pvp",Inputs!$B$44&gt;0),(((R1472-1)*MIN((Skills!T13*(1+Inputs!$B$35/100)),(1/Q1472))+MIN((Skills!T13*(1+Inputs!$B$35/100)),MAX(0,Inputs!$B$44-((R1472-1)*(1/Q1472)))))/Inputs!$B$44),IF(Inputs!$B$39="pvp",MIN((Skills!T13*(1+Inputs!$B$35/100)),15)/15,MIN(1,(Skills!T13*(1+Inputs!$B$35/100))/(1/Q1472)))))+(IF(AND(ArtifactsInput!$M$35,Inputs!$B$4&lt;&gt;"Chapter Hunt"),CHOOSE(ArtifactsInput!$N$35+1,15,18,21,24,27,30)*(1-EXP(-(0.2*B1490)*5)),0)+IF(AND(ArtifactsInput!$M$22,Inputs!$B$4&lt;&gt;"Chapter Hunt"),CHOOSE(ArtifactsInput!$N$22+1,10,12,14,16,18,20)*((0*(((0.15*B1490*5))^0/1)+1*(((0.15*B1490*5))^1/1)+2*(((0.15*B1490*5))^2/2)+3*(((0.15*B1490*5))^3/6)+4*(((0.15*B1490*5))^4/24)+5*(((0.15*B1490*5))^5/120))/((((0.15*B1490*5))^0/1)+(((0.15*B1490*5))^1/1)+(((0.15*B1490*5))^2/2)+(((0.15*B1490*5))^3/6)+(((0.15*B1490*5))^4/24)+(((0.15*B1490*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62">
      <c r="A1462">
        <f>Skills!A3</f>
        <v/>
      </c>
      <c r="B1462">
        <f>Skills!B3</f>
        <v/>
      </c>
      <c r="C1462">
        <f>Inputs!$B$3&gt;=50</f>
        <v/>
      </c>
      <c r="D1462">
        <f>IF(Skills!C3=1,60+Inputs!$B$26+Inputs!$B$30,IF(Skills!C3=2,90+Inputs!$B$27+Inputs!$B$30,IF(Skills!C3=3,120+Inputs!$B$28+Inputs!$B$30,MAX(0,(Inputs!$B$3-100)*3)+Inputs!$B$29+Inputs!$B$30)))</f>
        <v/>
      </c>
      <c r="E1462">
        <f>INDEX(FactorTable!$B$2:$Y$301, MATCH(ROUND(MIN(300,MAX(1,D1462)),0), FactorTable!$A$2:$A$301,0), Skills!M3+1)</f>
        <v/>
      </c>
      <c r="F1462">
        <f>IF(Skills!N3=TRUE,(Skills!L3/10)*(E1462/1000),Skills!L3/10)+Skills!O3</f>
        <v/>
      </c>
      <c r="G1462" t="inlineStr"/>
      <c r="H1462" t="inlineStr"/>
      <c r="I1462" t="inlineStr">
        <is>
          <t>1</t>
        </is>
      </c>
      <c r="J1462" t="inlineStr"/>
      <c r="K1462" t="inlineStr"/>
      <c r="L1462" t="inlineStr"/>
      <c r="M1462" t="inlineStr"/>
      <c r="N1462" t="inlineStr"/>
      <c r="O1462" t="inlineStr"/>
      <c r="P1462" t="inlineStr"/>
      <c r="Q1462" t="inlineStr"/>
      <c r="R1462" t="inlineStr"/>
      <c r="S1462" t="inlineStr"/>
      <c r="U1462">
        <f>INDEX(FactorTable!$B$2:$Y$301, MATCH(ROUND(MIN(300,MAX(1,U1461)),0), FactorTable!$A$2:$A$301,0), 22)</f>
        <v/>
      </c>
    </row>
    <row r="1463">
      <c r="A1463">
        <f>Skills!A4</f>
        <v/>
      </c>
      <c r="B1463">
        <f>Skills!B4</f>
        <v/>
      </c>
      <c r="C1463">
        <f>Inputs!$B$3&gt;=105</f>
        <v/>
      </c>
      <c r="D1463">
        <f>IF(Skills!C4=1,60+Inputs!$B$26+Inputs!$B$30,IF(Skills!C4=2,90+Inputs!$B$27+Inputs!$B$30,IF(Skills!C4=3,120+Inputs!$B$28+Inputs!$B$30,MAX(0,(Inputs!$B$3-100)*3)+Inputs!$B$29+Inputs!$B$30)))</f>
        <v/>
      </c>
      <c r="E1463">
        <f>INDEX(FactorTable!$B$2:$Y$301, MATCH(ROUND(MIN(300,MAX(1,D1463)),0), FactorTable!$A$2:$A$301,0), Skills!M4+1)</f>
        <v/>
      </c>
      <c r="F1463">
        <f>IF(Skills!N4=TRUE,(Skills!L4/10)*(E1463/1000),Skills!L4/10)+Skills!O4</f>
        <v/>
      </c>
      <c r="G1463" t="inlineStr"/>
      <c r="H1463" t="inlineStr"/>
      <c r="I1463" t="inlineStr">
        <is>
          <t>1</t>
        </is>
      </c>
      <c r="J1463" t="inlineStr"/>
      <c r="K1463" t="inlineStr"/>
      <c r="L1463" t="inlineStr"/>
      <c r="M1463" t="inlineStr"/>
      <c r="N1463" t="inlineStr"/>
      <c r="O1463" t="inlineStr"/>
      <c r="P1463" t="inlineStr"/>
      <c r="Q1463" t="inlineStr"/>
      <c r="R1463" t="inlineStr"/>
      <c r="S1463" t="inlineStr"/>
      <c r="U1463">
        <f>290*U1462/1000</f>
        <v/>
      </c>
    </row>
    <row r="1464">
      <c r="A1464">
        <f>Skills!A5</f>
        <v/>
      </c>
      <c r="B1464">
        <f>Skills!B5</f>
        <v/>
      </c>
      <c r="C1464">
        <f>Inputs!$B$3&gt;=117</f>
        <v/>
      </c>
      <c r="D1464">
        <f>IF(Skills!C5=1,60+Inputs!$B$26+Inputs!$B$30,IF(Skills!C5=2,90+Inputs!$B$27+Inputs!$B$30,IF(Skills!C5=3,120+Inputs!$B$28+Inputs!$B$30,MAX(0,(Inputs!$B$3-100)*3)+Inputs!$B$29+Inputs!$B$30)))</f>
        <v/>
      </c>
      <c r="E1464">
        <f>INDEX(FactorTable!$B$2:$Y$301, MATCH(ROUND(MIN(300,MAX(1,D1464)),0), FactorTable!$A$2:$A$301,0), Skills!M5+1)</f>
        <v/>
      </c>
      <c r="F1464">
        <f>IF(Skills!N5=TRUE,(Skills!L5/10)*(E1464/1000),Skills!L5/10)+Skills!O5</f>
        <v/>
      </c>
      <c r="G1464">
        <f>Skills!G5*IF(Skills!H5&gt;0,INT(IF(Inputs!$B$39="pvp",MIN(Skills!I5,15),Skills!I5)/Skills!H5+0.000000001),1)</f>
        <v/>
      </c>
      <c r="H1464">
        <f>1-(1-Skills!J5/100)^Skills!K5</f>
        <v/>
      </c>
      <c r="I1464" t="inlineStr">
        <is>
          <t>1</t>
        </is>
      </c>
      <c r="J1464">
        <f>((Inputs!$B$6*(1+Inputs!$B$7/100))+(((Inputs!$B$13*(1+Inputs!$B$14/100))-(Inputs!$B$13*(1+Inputs!$B$14/100)))+0.25*(Inputs!$B$15-Inputs!$B$15))*(1+Inputs!$B$7/100))*(F1464/100)</f>
        <v/>
      </c>
      <c r="K1464">
        <f>J1464*(1+(((Inputs!$B$13+IF(Inputs!$B$3&gt;=38,(10*INDEX(FactorTable!$B$2:$Y$301, MATCH(ROUND(MIN(300,MAX(1,Inputs!$B$3)),0), FactorTable!$A$2:$A$301,0), 23)/1000)/100*(Inputs!$B$8*(1+Inputs!$B$9/100)),0))*(1+Inputs!$B$14/100))*0.01+Inputs!$B$15*0.0025)/100)*(1+Inputs!$B$16/100)*(1+Inputs!$B$17/100)*(5000/(6000+Inputs!$B$43*(1-(Inputs!$B$20+0)/100)))*(1+(Inputs!$B$25+((C1484=TRUE)*(F1484-Calc!F25))+((C1485=TRUE)*(F1485-Calc!F26))+B1494)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gt;=100),MIN(100,((Inputs!$B$10+0+B1488+(ArtifactsInput!$M$24-ArtifactsInput!$M$24)*CHOOSE(ArtifactsInput!$N$24+1,10,12,14,16,18,20)+IF(ArtifactsInput!$M$10,CHOOSE(ArtifactsInput!$N$10+1,15,18,21,24,27,30)*(IF(Inputs!$B$39="pvp",MIN(15,15)/15,IF(AND(Inputs!$B$39&lt;&gt;"pvp",Inputs!$B$44&gt;0),MIN(15,Inputs!$B$44)/(Inputs!$B$44),0))),0)))-100),0))*CHOOSE(ArtifactsInput!$N$42+1,0.6,0.72,0.84,0.96,1.08,1.2))),Inputs!$B$19+((C1482=TRUE)*(F1482-Calc!F23))+(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gt;=100),CHOOSE(ArtifactsInput!$N$42+1,40,48,56,64,72,80),0))))/100)*((1+(((C1472=TRUE)*F1472*IF(AND(Inputs!$B$39&lt;&gt;"pvp",Inputs!$B$44&gt;0),(((R1472-1)*MIN((Skills!T13*(1+Inputs!$B$35/100)),(1/Q1472))+MIN((Skills!T13*(1+Inputs!$B$35/100)),MAX(0,Inputs!$B$44-((R1472-1)*(1/Q1472)))))/Inputs!$B$44),IF(Inputs!$B$39="pvp",MIN((Skills!T13*(1+Inputs!$B$35/100)),15)/15,MIN(1,(Skills!T13*(1+Inputs!$B$35/100))/(1/Q1472)))))+((C1473=TRUE)*F1473*IF(AND(Inputs!$B$39&lt;&gt;"pvp",Inputs!$B$44&gt;0),(((R1473-1)*MIN((Skills!T14*(1+Inputs!$B$35/100)),(1/Q1473))+MIN((Skills!T14*(1+Inputs!$B$35/100)),MAX(0,Inputs!$B$44-((R1473-1)*(1/Q1473)))))/Inputs!$B$44),IF(Inputs!$B$39="pvp",MIN((Skills!T14*(1+Inputs!$B$35/100)),15)/15,MIN(1,(Skills!T14*(1+Inputs!$B$35/100))/(1/Q1473)))))+((C1474=TRUE)*F1474*IF(AND(Inputs!$B$39&lt;&gt;"pvp",Inputs!$B$44&gt;0),(((R1474-1)*MIN((Skills!T15*(1+Inputs!$B$35/100)),(1/Q1474))+MIN((Skills!T15*(1+Inputs!$B$35/100)),MAX(0,Inputs!$B$44-((R1474-1)*(1/Q1474)))))/Inputs!$B$44),IF(Inputs!$B$39="pvp",MIN((Skills!T15*(1+Inputs!$B$35/100)),15)/15,MIN(1,(Skills!T15*(1+Inputs!$B$35/100))/(1/Q1474)))))+((C1475=TRUE)*F1475*IF(AND(Inputs!$B$39&lt;&gt;"pvp",Inputs!$B$44&gt;0),(((R1475-1)*MIN((Skills!T16*(1+Inputs!$B$35/100)),(1/Q1475))+MIN((Skills!T16*(1+Inputs!$B$35/100)),MAX(0,Inputs!$B$44-((R1475-1)*(1/Q1475)))))/Inputs!$B$44),IF(Inputs!$B$39="pvp",MIN((Skills!T16*(1+Inputs!$B$35/100)),15)/15,MIN(1,(Skills!T16*(1+Inputs!$B$35/100))/(1/Q1475)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IF(ArtifactsInput!$M$11,FALSE,TRUE),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1464)</f>
        <v/>
      </c>
      <c r="L1464">
        <f>K1464*(MIN(Inputs!$B$23+((C1481=TRUE)*(F1481-Calc!F22)),(Inputs!$B$24+((C1483=TRUE)*(F1483-Calc!F24))+(IF(ArtifactsInput!$M$15,CHOOSE(ArtifactsInput!$N$15+1,25,30,35,40,45,50)/100*(Inputs!$B$12-Inputs!$B$12),0))))/100+(Inputs!$B$24+((C1483=TRUE)*(F1483-Calc!F24))+(IF(ArtifactsInput!$M$15,CHOOSE(ArtifactsInput!$N$15+1,25,30,35,40,45,50)/100*(Inputs!$B$12-Inputs!$B$12),0)))/100)/2</f>
        <v/>
      </c>
      <c r="M1464">
        <f>L1464*(1+(Inputs!$B$11+0+B1493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464">
        <f>L1464*(1-MIN((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1464*(MIN((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64">
        <f>(1-Summary!$B$11)*T1464+Summary!$B$11*V1464</f>
        <v/>
      </c>
      <c r="P1464">
        <f>IF(B1498=0,0,O1464/B1498)</f>
        <v/>
      </c>
      <c r="Q1464">
        <f>IFERROR(1/IF(Inputs!$B$39="pvp",15,MAX(0.1,Skills!D5-IF(TRUE=TRUE,Inputs!$B$33,0))),0)</f>
        <v/>
      </c>
      <c r="R1464">
        <f>IF(AND(Inputs!$B$39&lt;&gt;"pvp",Inputs!$B$44&gt;0),IF(MAX(0,Inputs!$B$44-B1495)&lt;=0,0,(INT(MAX(0,Inputs!$B$44-B1495)/IF(Inputs!$B$39="pvp",15,MAX(0.1,Skills!D5-IF(TRUE=TRUE,Inputs!$B$33,0))))+1)),0)</f>
        <v/>
      </c>
      <c r="S1464">
        <f>IFERROR(O1464/N1464,0)</f>
        <v/>
      </c>
      <c r="T1464">
        <f>IF(C1464,(H1464*N1464*IF(AND(Inputs!$B$39&lt;&gt;"pvp",Inputs!$B$44&gt;0),((Skills!G5*((R1464-1)*IF(Skills!H5&gt;0,INT(Skills!I5/Skills!H5+0.000000001),1)+IF(Skills!H5&gt;0,INT(MIN(Skills!I5,MAX(0,MAX(0,Inputs!$B$44-B1495)-((R1464-1)*IF(Inputs!$B$39="pvp",15,MAX(0.1,Skills!D5-IF(TRUE=TRUE,Inputs!$B$33,0))))))/Skills!H5+0.000000001),1)))/Inputs!$B$44),G1464*Q1464))*IF(Inputs!$B$39="pvp",1,1+(Inputs!$B$21+0+Skills!P5+((C1476=TRUE)*F1476*IF(AND(Inputs!$B$39&lt;&gt;"pvp",Inputs!$B$44&gt;0),(((R1476-1)*MIN((Skills!T17*(1+Inputs!$B$35/100)),(1/Q1476))+MIN((Skills!T17*(1+Inputs!$B$35/100)),MAX(0,Inputs!$B$44-((R1476-1)*(1/Q1476)))))/Inputs!$B$44),IF(Inputs!$B$39="pvp",MIN((Skills!T17*(1+Inputs!$B$35/100)),15)/15,MIN(1,(Skills!T17*(1+Inputs!$B$35/100))/(1/Q1476)))))+((C1464=TRUE)*IF(Inputs!$B$3&gt;=126,10*MIN(1,15*Q1464),0))+((C1473=TRUE)*IF(Inputs!$B$39="pvp",20,(1-Summary!$B$11)*(20)+Summary!$B$11*(0))*IF(AND(Inputs!$B$39&lt;&gt;"pvp",Inputs!$B$44&gt;0),(((R1473-1)*MIN((Skills!T14*(1+Inputs!$B$35/100)),(1/Q1473))+MIN((Skills!T14*(1+Inputs!$B$35/100)),MAX(0,Inputs!$B$44-((R1473-1)*(1/Q1473)))))/Inputs!$B$44),IF(Inputs!$B$39="pvp",MIN((Skills!T14*(1+Inputs!$B$35/100)),15)/15,MIN(1,(Skills!T14*(1+Inputs!$B$35/100))/(1/Q1473)))))+((C1472=TRUE)*IF(Inputs!$B$3&gt;=82,IF(Inputs!$B$39="pvp",20,(1-Summary!$B$11)*(20)+Summary!$B$11*(0)),0)*IF(AND(Inputs!$B$39&lt;&gt;"pvp",Inputs!$B$44&gt;0),(((R1472-1)*MIN((Skills!T13*(1+Inputs!$B$35/100)),(1/Q1472))+MIN((Skills!T13*(1+Inputs!$B$35/100)),MAX(0,Inputs!$B$44-((R1472-1)*(1/Q1472)))))/Inputs!$B$44),IF(Inputs!$B$39="pvp",MIN((Skills!T13*(1+Inputs!$B$35/100)),15)/15,MIN(1,(Skills!T13*(1+Inputs!$B$35/100))/(1/Q1472)))))+(IF(AND(ArtifactsInput!$M$35,Inputs!$B$4&lt;&gt;"Chapter Hunt"),CHOOSE(ArtifactsInput!$N$35+1,15,18,21,24,27,30)*(1-EXP(-(0.2*B1490)*5)),0)+IF(AND(ArtifactsInput!$M$22,Inputs!$B$4&lt;&gt;"Chapter Hunt"),CHOOSE(ArtifactsInput!$N$22+1,10,12,14,16,18,20)*((0*(((0.15*B1490*5))^0/1)+1*(((0.15*B1490*5))^1/1)+2*(((0.15*B1490*5))^2/2)+3*(((0.15*B1490*5))^3/6)+4*(((0.15*B1490*5))^4/24)+5*(((0.15*B1490*5))^5/120))/((((0.15*B1490*5))^0/1)+(((0.15*B1490*5))^1/1)+(((0.15*B1490*5))^2/2)+(((0.15*B1490*5))^3/6)+(((0.15*B1490*5))^4/24)+(((0.15*B1490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1464*(1-MIN(100,(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1464*(MIN(100,(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1464*(1-MIN(100,(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1464*(MIN(100,(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64">
        <f>IF(C1464,(H1464*N1464*IF(AND(Inputs!$B$39&lt;&gt;"pvp",Inputs!$B$44&gt;0),((Skills!G5*((R1464-1)*IF(Skills!H5&gt;0,INT(Skills!I5/Skills!H5+0.000000001),1)+IF(Skills!H5&gt;0,INT(MIN(Skills!I5,MAX(0,MAX(0,Inputs!$B$44-B1495)-((R1464-1)*IF(Inputs!$B$39="pvp",15,MAX(0.1,Skills!D5-IF(TRUE=TRUE,Inputs!$B$33,0))))))/Skills!H5+0.000000001),1)))/Inputs!$B$44),G1464*Q1464))*IF(Inputs!$B$39="pvp",1,(1+(Inputs!$B$22+Skills!Q5+((C1476=TRUE)*F1476*IF(AND(Inputs!$B$39&lt;&gt;"pvp",Inputs!$B$44&gt;0),(((R1476-1)*MIN((Skills!T17*(1+Inputs!$B$35/100)),(1/Q1476))+MIN((Skills!T17*(1+Inputs!$B$35/100)),MAX(0,Inputs!$B$44-((R1476-1)*(1/Q1476)))))/Inputs!$B$44),IF(Inputs!$B$39="pvp",MIN((Skills!T17*(1+Inputs!$B$35/100)),15)/15,MIN(1,(Skills!T17*(1+Inputs!$B$35/100))/(1/Q1476)))))+((C1464=TRUE)*IF(Inputs!$B$3&gt;=126,10*MIN(1,15*Q1464),0))+((C1473=TRUE)*IF(Inputs!$B$39="pvp",20,(1-Summary!$B$11)*(20)+Summary!$B$11*(0))*IF(AND(Inputs!$B$39&lt;&gt;"pvp",Inputs!$B$44&gt;0),(((R1473-1)*MIN((Skills!T14*(1+Inputs!$B$35/100)),(1/Q1473))+MIN((Skills!T14*(1+Inputs!$B$35/100)),MAX(0,Inputs!$B$44-((R1473-1)*(1/Q1473)))))/Inputs!$B$44),IF(Inputs!$B$39="pvp",MIN((Skills!T14*(1+Inputs!$B$35/100)),15)/15,MIN(1,(Skills!T14*(1+Inputs!$B$35/100))/(1/Q1473)))))+((C1472=TRUE)*IF(Inputs!$B$3&gt;=82,IF(Inputs!$B$39="pvp",20,(1-Summary!$B$11)*(20)+Summary!$B$11*(0)),0)*IF(AND(Inputs!$B$39&lt;&gt;"pvp",Inputs!$B$44&gt;0),(((R1472-1)*MIN((Skills!T13*(1+Inputs!$B$35/100)),(1/Q1472))+MIN((Skills!T13*(1+Inputs!$B$35/100)),MAX(0,Inputs!$B$44-((R1472-1)*(1/Q1472)))))/Inputs!$B$44),IF(Inputs!$B$39="pvp",MIN((Skills!T13*(1+Inputs!$B$35/100)),15)/15,MIN(1,(Skills!T13*(1+Inputs!$B$35/100))/(1/Q1472)))))+(IF(AND(ArtifactsInput!$M$35,Inputs!$B$4&lt;&gt;"Chapter Hunt"),CHOOSE(ArtifactsInput!$N$35+1,15,18,21,24,27,30)*(1-EXP(-(0.2*B1490)*5)),0)+IF(AND(ArtifactsInput!$M$22,Inputs!$B$4&lt;&gt;"Chapter Hunt"),CHOOSE(ArtifactsInput!$N$22+1,10,12,14,16,18,20)*((0*(((0.15*B1490*5))^0/1)+1*(((0.15*B1490*5))^1/1)+2*(((0.15*B1490*5))^2/2)+3*(((0.15*B1490*5))^3/6)+4*(((0.15*B1490*5))^4/24)+5*(((0.15*B1490*5))^5/120))/((((0.15*B1490*5))^0/1)+(((0.15*B1490*5))^1/1)+(((0.15*B1490*5))^2/2)+(((0.15*B1490*5))^3/6)+(((0.15*B1490*5))^4/24)+(((0.15*B1490*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65">
      <c r="A1465">
        <f>Skills!A6</f>
        <v/>
      </c>
      <c r="B1465">
        <f>Skills!B6</f>
        <v/>
      </c>
      <c r="C1465">
        <f>Inputs!$B$3&gt;=103</f>
        <v/>
      </c>
      <c r="D1465">
        <f>IF(Skills!C6=1,60+Inputs!$B$26+Inputs!$B$30,IF(Skills!C6=2,90+Inputs!$B$27+Inputs!$B$30,IF(Skills!C6=3,120+Inputs!$B$28+Inputs!$B$30,MAX(0,(Inputs!$B$3-100)*3)+Inputs!$B$29+Inputs!$B$30)))</f>
        <v/>
      </c>
      <c r="E1465">
        <f>INDEX(FactorTable!$B$2:$Y$301, MATCH(ROUND(MIN(300,MAX(1,D1465)),0), FactorTable!$A$2:$A$301,0), Skills!M6+1)</f>
        <v/>
      </c>
      <c r="F1465">
        <f>IF(Skills!N6=TRUE,(Skills!L6/10)*(E1465/1000),Skills!L6/10)+Skills!O6</f>
        <v/>
      </c>
      <c r="G1465">
        <f>Skills!G6*IF(Skills!H6&gt;0,INT(IF(Inputs!$B$39="pvp",MIN(Skills!I6,15),Skills!I6)/Skills!H6+0.000000001),1)</f>
        <v/>
      </c>
      <c r="H1465">
        <f>1-(1-Skills!J6/100)^Skills!K6</f>
        <v/>
      </c>
      <c r="I1465" t="inlineStr">
        <is>
          <t>1</t>
        </is>
      </c>
      <c r="J1465">
        <f>((Inputs!$B$6*(1+Inputs!$B$7/100))+(((Inputs!$B$13*(1+Inputs!$B$14/100))-(Inputs!$B$13*(1+Inputs!$B$14/100)))+0.25*(Inputs!$B$15-Inputs!$B$15))*(1+Inputs!$B$7/100))*(F1465/100)</f>
        <v/>
      </c>
      <c r="K1465">
        <f>J1465*(1+(((Inputs!$B$13+IF(Inputs!$B$3&gt;=38,(10*INDEX(FactorTable!$B$2:$Y$301, MATCH(ROUND(MIN(300,MAX(1,Inputs!$B$3)),0), FactorTable!$A$2:$A$301,0), 23)/1000)/100*(Inputs!$B$8*(1+Inputs!$B$9/100)),0))*(1+Inputs!$B$14/100))*0.01+Inputs!$B$15*0.0025)/100)*(1+Inputs!$B$16/100)*(1+Inputs!$B$17/100)*(5000/(6000+Inputs!$B$43*(1-(Inputs!$B$20+0)/100)))*(1+(Inputs!$B$25+((C1484=TRUE)*(F1484-Calc!F25))+((C1485=TRUE)*(F1485-Calc!F26))+B1494)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gt;=100),MIN(100,((Inputs!$B$10+0+B1488+(ArtifactsInput!$M$24-ArtifactsInput!$M$24)*CHOOSE(ArtifactsInput!$N$24+1,10,12,14,16,18,20)+IF(ArtifactsInput!$M$10,CHOOSE(ArtifactsInput!$N$10+1,15,18,21,24,27,30)*(IF(Inputs!$B$39="pvp",MIN(15,15)/15,IF(AND(Inputs!$B$39&lt;&gt;"pvp",Inputs!$B$44&gt;0),MIN(15,Inputs!$B$44)/(Inputs!$B$44),0))),0)))-100),0))*CHOOSE(ArtifactsInput!$N$42+1,0.6,0.72,0.84,0.96,1.08,1.2))),Inputs!$B$19+((C1482=TRUE)*(F1482-Calc!F23))+(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gt;=100),CHOOSE(ArtifactsInput!$N$42+1,40,48,56,64,72,80),0))))/100)*((1+(((C1472=TRUE)*F1472*IF(AND(Inputs!$B$39&lt;&gt;"pvp",Inputs!$B$44&gt;0),(((R1472-1)*MIN((Skills!T13*(1+Inputs!$B$35/100)),(1/Q1472))+MIN((Skills!T13*(1+Inputs!$B$35/100)),MAX(0,Inputs!$B$44-((R1472-1)*(1/Q1472)))))/Inputs!$B$44),IF(Inputs!$B$39="pvp",MIN((Skills!T13*(1+Inputs!$B$35/100)),15)/15,MIN(1,(Skills!T13*(1+Inputs!$B$35/100))/(1/Q1472)))))+((C1473=TRUE)*F1473*IF(AND(Inputs!$B$39&lt;&gt;"pvp",Inputs!$B$44&gt;0),(((R1473-1)*MIN((Skills!T14*(1+Inputs!$B$35/100)),(1/Q1473))+MIN((Skills!T14*(1+Inputs!$B$35/100)),MAX(0,Inputs!$B$44-((R1473-1)*(1/Q1473)))))/Inputs!$B$44),IF(Inputs!$B$39="pvp",MIN((Skills!T14*(1+Inputs!$B$35/100)),15)/15,MIN(1,(Skills!T14*(1+Inputs!$B$35/100))/(1/Q1473)))))+((C1474=TRUE)*F1474*IF(AND(Inputs!$B$39&lt;&gt;"pvp",Inputs!$B$44&gt;0),(((R1474-1)*MIN((Skills!T15*(1+Inputs!$B$35/100)),(1/Q1474))+MIN((Skills!T15*(1+Inputs!$B$35/100)),MAX(0,Inputs!$B$44-((R1474-1)*(1/Q1474)))))/Inputs!$B$44),IF(Inputs!$B$39="pvp",MIN((Skills!T15*(1+Inputs!$B$35/100)),15)/15,MIN(1,(Skills!T15*(1+Inputs!$B$35/100))/(1/Q1474)))))+((C1475=TRUE)*F1475*IF(AND(Inputs!$B$39&lt;&gt;"pvp",Inputs!$B$44&gt;0),(((R1475-1)*MIN((Skills!T16*(1+Inputs!$B$35/100)),(1/Q1475))+MIN((Skills!T16*(1+Inputs!$B$35/100)),MAX(0,Inputs!$B$44-((R1475-1)*(1/Q1475)))))/Inputs!$B$44),IF(Inputs!$B$39="pvp",MIN((Skills!T16*(1+Inputs!$B$35/100)),15)/15,MIN(1,(Skills!T16*(1+Inputs!$B$35/100))/(1/Q1475)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IF(ArtifactsInput!$M$11,FALSE,TRUE),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1465)</f>
        <v/>
      </c>
      <c r="L1465">
        <f>K1465*(MIN(Inputs!$B$23+((C1481=TRUE)*(F1481-Calc!F22)),(Inputs!$B$24+((C1483=TRUE)*(F1483-Calc!F24))+(IF(ArtifactsInput!$M$15,CHOOSE(ArtifactsInput!$N$15+1,25,30,35,40,45,50)/100*(Inputs!$B$12-Inputs!$B$12),0))))/100+(Inputs!$B$24+((C1483=TRUE)*(F1483-Calc!F24))+(IF(ArtifactsInput!$M$15,CHOOSE(ArtifactsInput!$N$15+1,25,30,35,40,45,50)/100*(Inputs!$B$12-Inputs!$B$12),0)))/100)/2</f>
        <v/>
      </c>
      <c r="M1465">
        <f>L1465*(1+(Inputs!$B$11+0+B1493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465">
        <f>L1465*(1-MIN((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1465*(MIN((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65">
        <f>(1-Summary!$B$11)*T1465+Summary!$B$11*V1465</f>
        <v/>
      </c>
      <c r="P1465">
        <f>IF(B1498=0,0,O1465/B1498)</f>
        <v/>
      </c>
      <c r="Q1465">
        <f>IFERROR(1/IF(Inputs!$B$39="pvp",15,MAX(0.1,Skills!D6-IF(TRUE=TRUE,Inputs!$B$33,0))),0)</f>
        <v/>
      </c>
      <c r="R1465">
        <f>IF(AND(Inputs!$B$39&lt;&gt;"pvp",Inputs!$B$44&gt;0),IF(MAX(0,Inputs!$B$44-B1495)&lt;=0,0,(INT(MAX(0,Inputs!$B$44-B1495)/IF(Inputs!$B$39="pvp",15,MAX(0.1,Skills!D6-IF(TRUE=TRUE,Inputs!$B$33,0))))+1)),0)</f>
        <v/>
      </c>
      <c r="S1465">
        <f>IFERROR(O1465/N1465,0)</f>
        <v/>
      </c>
      <c r="T1465">
        <f>IF(C1465,(H1465*N1465*IF(AND(Inputs!$B$39&lt;&gt;"pvp",Inputs!$B$44&gt;0),((Skills!G6*((R1465-1)*IF(Skills!H6&gt;0,INT(Skills!I6/Skills!H6+0.000000001),1)+IF(Skills!H6&gt;0,INT(MIN(Skills!I6,MAX(0,MAX(0,Inputs!$B$44-B1495)-((R1465-1)*IF(Inputs!$B$39="pvp",15,MAX(0.1,Skills!D6-IF(TRUE=TRUE,Inputs!$B$33,0))))))/Skills!H6+0.000000001),1)))/Inputs!$B$44),G1465*Q1465))*IF(Inputs!$B$39="pvp",1,1+(Inputs!$B$21+0+Skills!P6+((C1476=TRUE)*F1476*IF(AND(Inputs!$B$39&lt;&gt;"pvp",Inputs!$B$44&gt;0),(((R1476-1)*MIN((Skills!T17*(1+Inputs!$B$35/100)),(1/Q1476))+MIN((Skills!T17*(1+Inputs!$B$35/100)),MAX(0,Inputs!$B$44-((R1476-1)*(1/Q1476)))))/Inputs!$B$44),IF(Inputs!$B$39="pvp",MIN((Skills!T17*(1+Inputs!$B$35/100)),15)/15,MIN(1,(Skills!T17*(1+Inputs!$B$35/100))/(1/Q1476)))))+((C1464=TRUE)*IF(Inputs!$B$3&gt;=126,10*MIN(1,15*Q1464),0))+((C1473=TRUE)*IF(Inputs!$B$39="pvp",20,(1-Summary!$B$11)*(20)+Summary!$B$11*(0))*IF(AND(Inputs!$B$39&lt;&gt;"pvp",Inputs!$B$44&gt;0),(((R1473-1)*MIN((Skills!T14*(1+Inputs!$B$35/100)),(1/Q1473))+MIN((Skills!T14*(1+Inputs!$B$35/100)),MAX(0,Inputs!$B$44-((R1473-1)*(1/Q1473)))))/Inputs!$B$44),IF(Inputs!$B$39="pvp",MIN((Skills!T14*(1+Inputs!$B$35/100)),15)/15,MIN(1,(Skills!T14*(1+Inputs!$B$35/100))/(1/Q1473)))))+((C1472=TRUE)*IF(Inputs!$B$3&gt;=82,IF(Inputs!$B$39="pvp",20,(1-Summary!$B$11)*(20)+Summary!$B$11*(0)),0)*IF(AND(Inputs!$B$39&lt;&gt;"pvp",Inputs!$B$44&gt;0),(((R1472-1)*MIN((Skills!T13*(1+Inputs!$B$35/100)),(1/Q1472))+MIN((Skills!T13*(1+Inputs!$B$35/100)),MAX(0,Inputs!$B$44-((R1472-1)*(1/Q1472)))))/Inputs!$B$44),IF(Inputs!$B$39="pvp",MIN((Skills!T13*(1+Inputs!$B$35/100)),15)/15,MIN(1,(Skills!T13*(1+Inputs!$B$35/100))/(1/Q1472)))))+(IF(AND(ArtifactsInput!$M$35,Inputs!$B$4&lt;&gt;"Chapter Hunt"),CHOOSE(ArtifactsInput!$N$35+1,15,18,21,24,27,30)*(1-EXP(-(0.2*B1490)*5)),0)+IF(AND(ArtifactsInput!$M$22,Inputs!$B$4&lt;&gt;"Chapter Hunt"),CHOOSE(ArtifactsInput!$N$22+1,10,12,14,16,18,20)*((0*(((0.15*B1490*5))^0/1)+1*(((0.15*B1490*5))^1/1)+2*(((0.15*B1490*5))^2/2)+3*(((0.15*B1490*5))^3/6)+4*(((0.15*B1490*5))^4/24)+5*(((0.15*B1490*5))^5/120))/((((0.15*B1490*5))^0/1)+(((0.15*B1490*5))^1/1)+(((0.15*B1490*5))^2/2)+(((0.15*B1490*5))^3/6)+(((0.15*B1490*5))^4/24)+(((0.15*B1490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1465*(1-MIN(100,(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1465*(MIN(100,(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1465*(1-MIN(100,(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1465*(MIN(100,(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65">
        <f>IF(C1465,(H1465*N1465*IF(AND(Inputs!$B$39&lt;&gt;"pvp",Inputs!$B$44&gt;0),((Skills!G6*((R1465-1)*IF(Skills!H6&gt;0,INT(Skills!I6/Skills!H6+0.000000001),1)+IF(Skills!H6&gt;0,INT(MIN(Skills!I6,MAX(0,MAX(0,Inputs!$B$44-B1495)-((R1465-1)*IF(Inputs!$B$39="pvp",15,MAX(0.1,Skills!D6-IF(TRUE=TRUE,Inputs!$B$33,0))))))/Skills!H6+0.000000001),1)))/Inputs!$B$44),G1465*Q1465))*IF(Inputs!$B$39="pvp",1,(1+(Inputs!$B$22+Skills!Q6+((C1476=TRUE)*F1476*IF(AND(Inputs!$B$39&lt;&gt;"pvp",Inputs!$B$44&gt;0),(((R1476-1)*MIN((Skills!T17*(1+Inputs!$B$35/100)),(1/Q1476))+MIN((Skills!T17*(1+Inputs!$B$35/100)),MAX(0,Inputs!$B$44-((R1476-1)*(1/Q1476)))))/Inputs!$B$44),IF(Inputs!$B$39="pvp",MIN((Skills!T17*(1+Inputs!$B$35/100)),15)/15,MIN(1,(Skills!T17*(1+Inputs!$B$35/100))/(1/Q1476)))))+((C1464=TRUE)*IF(Inputs!$B$3&gt;=126,10*MIN(1,15*Q1464),0))+((C1473=TRUE)*IF(Inputs!$B$39="pvp",20,(1-Summary!$B$11)*(20)+Summary!$B$11*(0))*IF(AND(Inputs!$B$39&lt;&gt;"pvp",Inputs!$B$44&gt;0),(((R1473-1)*MIN((Skills!T14*(1+Inputs!$B$35/100)),(1/Q1473))+MIN((Skills!T14*(1+Inputs!$B$35/100)),MAX(0,Inputs!$B$44-((R1473-1)*(1/Q1473)))))/Inputs!$B$44),IF(Inputs!$B$39="pvp",MIN((Skills!T14*(1+Inputs!$B$35/100)),15)/15,MIN(1,(Skills!T14*(1+Inputs!$B$35/100))/(1/Q1473)))))+((C1472=TRUE)*IF(Inputs!$B$3&gt;=82,IF(Inputs!$B$39="pvp",20,(1-Summary!$B$11)*(20)+Summary!$B$11*(0)),0)*IF(AND(Inputs!$B$39&lt;&gt;"pvp",Inputs!$B$44&gt;0),(((R1472-1)*MIN((Skills!T13*(1+Inputs!$B$35/100)),(1/Q1472))+MIN((Skills!T13*(1+Inputs!$B$35/100)),MAX(0,Inputs!$B$44-((R1472-1)*(1/Q1472)))))/Inputs!$B$44),IF(Inputs!$B$39="pvp",MIN((Skills!T13*(1+Inputs!$B$35/100)),15)/15,MIN(1,(Skills!T13*(1+Inputs!$B$35/100))/(1/Q1472)))))+(IF(AND(ArtifactsInput!$M$35,Inputs!$B$4&lt;&gt;"Chapter Hunt"),CHOOSE(ArtifactsInput!$N$35+1,15,18,21,24,27,30)*(1-EXP(-(0.2*B1490)*5)),0)+IF(AND(ArtifactsInput!$M$22,Inputs!$B$4&lt;&gt;"Chapter Hunt"),CHOOSE(ArtifactsInput!$N$22+1,10,12,14,16,18,20)*((0*(((0.15*B1490*5))^0/1)+1*(((0.15*B1490*5))^1/1)+2*(((0.15*B1490*5))^2/2)+3*(((0.15*B1490*5))^3/6)+4*(((0.15*B1490*5))^4/24)+5*(((0.15*B1490*5))^5/120))/((((0.15*B1490*5))^0/1)+(((0.15*B1490*5))^1/1)+(((0.15*B1490*5))^2/2)+(((0.15*B1490*5))^3/6)+(((0.15*B1490*5))^4/24)+(((0.15*B1490*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66">
      <c r="A1466">
        <f>Skills!A7</f>
        <v/>
      </c>
      <c r="B1466">
        <f>Skills!B7</f>
        <v/>
      </c>
      <c r="C1466">
        <f>Inputs!$B$3&gt;=40</f>
        <v/>
      </c>
      <c r="D1466">
        <f>IF(Skills!C7=1,60+Inputs!$B$26+Inputs!$B$30,IF(Skills!C7=2,90+Inputs!$B$27+Inputs!$B$30,IF(Skills!C7=3,120+Inputs!$B$28+Inputs!$B$30,MAX(0,(Inputs!$B$3-100)*3)+Inputs!$B$29+Inputs!$B$30)))</f>
        <v/>
      </c>
      <c r="E1466">
        <f>INDEX(FactorTable!$B$2:$Y$301, MATCH(ROUND(MIN(300,MAX(1,D1466)),0), FactorTable!$A$2:$A$301,0), Skills!M7+1)</f>
        <v/>
      </c>
      <c r="F1466">
        <f>IF(Skills!N7=TRUE,(Skills!L7/10)*(E1466/1000),Skills!L7/10)+Skills!O7</f>
        <v/>
      </c>
      <c r="G1466">
        <f>Skills!G7*IF(Skills!H7&gt;0,INT(IF(Inputs!$B$39="pvp",MIN(Skills!I7,15),Skills!I7)/Skills!H7+0.000000001),1)</f>
        <v/>
      </c>
      <c r="H1466">
        <f>1-(1-Skills!J7/100)^Skills!K7</f>
        <v/>
      </c>
      <c r="I1466" t="inlineStr">
        <is>
          <t>1</t>
        </is>
      </c>
      <c r="J1466">
        <f>((Inputs!$B$6*(1+Inputs!$B$7/100))+(((Inputs!$B$13*(1+Inputs!$B$14/100))-(Inputs!$B$13*(1+Inputs!$B$14/100)))+0.25*(Inputs!$B$15-Inputs!$B$15))*(1+Inputs!$B$7/100))*(F1466/100)</f>
        <v/>
      </c>
      <c r="K1466">
        <f>J1466*(1+(((Inputs!$B$13+IF(Inputs!$B$3&gt;=38,(10*INDEX(FactorTable!$B$2:$Y$301, MATCH(ROUND(MIN(300,MAX(1,Inputs!$B$3)),0), FactorTable!$A$2:$A$301,0), 23)/1000)/100*(Inputs!$B$8*(1+Inputs!$B$9/100)),0))*(1+Inputs!$B$14/100))*0.01+Inputs!$B$15*0.0025)/100)*(1+Inputs!$B$16/100)*(1+Inputs!$B$17/100)*(5000/(6000+Inputs!$B$43*(1-(Inputs!$B$20+0)/100)))*(1+(Inputs!$B$25+((C1484=TRUE)*(F1484-Calc!F25))+((C1485=TRUE)*(F1485-Calc!F26))+B1494)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1470=TRUE,F1470,0)/100)*(1+(IF(Skills!A7="DARK_IMPALE",Inputs!$B$18+0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gt;=100),MIN(100,((Inputs!$B$10+0+B1488+(ArtifactsInput!$M$24-ArtifactsInput!$M$24)*CHOOSE(ArtifactsInput!$N$24+1,10,12,14,16,18,20)+IF(ArtifactsInput!$M$10,CHOOSE(ArtifactsInput!$N$10+1,15,18,21,24,27,30)*(IF(Inputs!$B$39="pvp",MIN(15,15)/15,IF(AND(Inputs!$B$39&lt;&gt;"pvp",Inputs!$B$44&gt;0),MIN(15,Inputs!$B$44)/(Inputs!$B$44),0))),0)))-100),0))*CHOOSE(ArtifactsInput!$N$42+1,0.6,0.72,0.84,0.96,1.08,1.2))),Inputs!$B$19+((C1482=TRUE)*(F1482-Calc!F23))+(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gt;=100),CHOOSE(ArtifactsInput!$N$42+1,40,48,56,64,72,80),0))))/100)*((1+(((C1472=TRUE)*F1472*IF(AND(Inputs!$B$39&lt;&gt;"pvp",Inputs!$B$44&gt;0),(((R1472-1)*MIN((Skills!T13*(1+Inputs!$B$35/100)),(1/Q1472))+MIN((Skills!T13*(1+Inputs!$B$35/100)),MAX(0,Inputs!$B$44-((R1472-1)*(1/Q1472)))))/Inputs!$B$44),IF(Inputs!$B$39="pvp",MIN((Skills!T13*(1+Inputs!$B$35/100)),15)/15,MIN(1,(Skills!T13*(1+Inputs!$B$35/100))/(1/Q1472)))))+((C1473=TRUE)*F1473*IF(AND(Inputs!$B$39&lt;&gt;"pvp",Inputs!$B$44&gt;0),(((R1473-1)*MIN((Skills!T14*(1+Inputs!$B$35/100)),(1/Q1473))+MIN((Skills!T14*(1+Inputs!$B$35/100)),MAX(0,Inputs!$B$44-((R1473-1)*(1/Q1473)))))/Inputs!$B$44),IF(Inputs!$B$39="pvp",MIN((Skills!T14*(1+Inputs!$B$35/100)),15)/15,MIN(1,(Skills!T14*(1+Inputs!$B$35/100))/(1/Q1473)))))+((C1474=TRUE)*F1474*IF(AND(Inputs!$B$39&lt;&gt;"pvp",Inputs!$B$44&gt;0),(((R1474-1)*MIN((Skills!T15*(1+Inputs!$B$35/100)),(1/Q1474))+MIN((Skills!T15*(1+Inputs!$B$35/100)),MAX(0,Inputs!$B$44-((R1474-1)*(1/Q1474)))))/Inputs!$B$44),IF(Inputs!$B$39="pvp",MIN((Skills!T15*(1+Inputs!$B$35/100)),15)/15,MIN(1,(Skills!T15*(1+Inputs!$B$35/100))/(1/Q1474)))))+((C1475=TRUE)*F1475*IF(AND(Inputs!$B$39&lt;&gt;"pvp",Inputs!$B$44&gt;0),(((R1475-1)*MIN((Skills!T16*(1+Inputs!$B$35/100)),(1/Q1475))+MIN((Skills!T16*(1+Inputs!$B$35/100)),MAX(0,Inputs!$B$44-((R1475-1)*(1/Q1475)))))/Inputs!$B$44),IF(Inputs!$B$39="pvp",MIN((Skills!T16*(1+Inputs!$B$35/100)),15)/15,MIN(1,(Skills!T16*(1+Inputs!$B$35/100))/(1/Q1475)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IF(ArtifactsInput!$M$11,FALSE,TRUE),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1466)</f>
        <v/>
      </c>
      <c r="L1466">
        <f>K1466*(MIN(Inputs!$B$23+((C1481=TRUE)*(F1481-Calc!F22)),(Inputs!$B$24+((C1483=TRUE)*(F1483-Calc!F24))+(IF(ArtifactsInput!$M$15,CHOOSE(ArtifactsInput!$N$15+1,25,30,35,40,45,50)/100*(Inputs!$B$12-Inputs!$B$12),0))))/100+(Inputs!$B$24+((C1483=TRUE)*(F1483-Calc!F24))+(IF(ArtifactsInput!$M$15,CHOOSE(ArtifactsInput!$N$15+1,25,30,35,40,45,50)/100*(Inputs!$B$12-Inputs!$B$12),0)))/100)/2</f>
        <v/>
      </c>
      <c r="M1466">
        <f>L1466*(1+(Inputs!$B$11+0+B1493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466">
        <f>L1466*(1-MIN((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1466*(MIN((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66">
        <f>(1-Summary!$B$11)*T1466+Summary!$B$11*V1466</f>
        <v/>
      </c>
      <c r="P1466">
        <f>IF(B1498=0,0,O1466/B1498)</f>
        <v/>
      </c>
      <c r="Q1466">
        <f>IFERROR(1/IF(Inputs!$B$39="pvp",15,MAX(0.1,Skills!D7-IF(TRUE=TRUE,Inputs!$B$33,0))),0)</f>
        <v/>
      </c>
      <c r="R1466">
        <f>IF(AND(Inputs!$B$39&lt;&gt;"pvp",Inputs!$B$44&gt;0),IF(MAX(0,Inputs!$B$44-B1495)&lt;=0,0,(INT(MAX(0,Inputs!$B$44-B1495)/IF(Inputs!$B$39="pvp",15,MAX(0.1,Skills!D7-IF(TRUE=TRUE,Inputs!$B$33,0))))+1)),0)</f>
        <v/>
      </c>
      <c r="S1466">
        <f>IFERROR(O1466/N1466,0)</f>
        <v/>
      </c>
      <c r="T1466">
        <f>IF(C1466,(H1466*N1466*IF(AND(Inputs!$B$39&lt;&gt;"pvp",Inputs!$B$44&gt;0),((Skills!G7*((R1466-1)*IF(Skills!H7&gt;0,INT(Skills!I7/Skills!H7+0.000000001),1)+IF(Skills!H7&gt;0,INT(MIN(Skills!I7,MAX(0,MAX(0,Inputs!$B$44-B1495)-((R1466-1)*IF(Inputs!$B$39="pvp",15,MAX(0.1,Skills!D7-IF(TRUE=TRUE,Inputs!$B$33,0))))))/Skills!H7+0.000000001),1)))/Inputs!$B$44),G1466*Q1466))*IF(Inputs!$B$39="pvp",1,1+(Inputs!$B$21+0+Skills!P7+((C1476=TRUE)*F1476*IF(AND(Inputs!$B$39&lt;&gt;"pvp",Inputs!$B$44&gt;0),(((R1476-1)*MIN((Skills!T17*(1+Inputs!$B$35/100)),(1/Q1476))+MIN((Skills!T17*(1+Inputs!$B$35/100)),MAX(0,Inputs!$B$44-((R1476-1)*(1/Q1476)))))/Inputs!$B$44),IF(Inputs!$B$39="pvp",MIN((Skills!T17*(1+Inputs!$B$35/100)),15)/15,MIN(1,(Skills!T17*(1+Inputs!$B$35/100))/(1/Q1476)))))+((C1464=TRUE)*IF(Inputs!$B$3&gt;=126,10*MIN(1,15*Q1464),0))+((C1473=TRUE)*IF(Inputs!$B$39="pvp",20,(1-Summary!$B$11)*(20)+Summary!$B$11*(0))*IF(AND(Inputs!$B$39&lt;&gt;"pvp",Inputs!$B$44&gt;0),(((R1473-1)*MIN((Skills!T14*(1+Inputs!$B$35/100)),(1/Q1473))+MIN((Skills!T14*(1+Inputs!$B$35/100)),MAX(0,Inputs!$B$44-((R1473-1)*(1/Q1473)))))/Inputs!$B$44),IF(Inputs!$B$39="pvp",MIN((Skills!T14*(1+Inputs!$B$35/100)),15)/15,MIN(1,(Skills!T14*(1+Inputs!$B$35/100))/(1/Q1473)))))+((C1472=TRUE)*IF(Inputs!$B$3&gt;=82,IF(Inputs!$B$39="pvp",20,(1-Summary!$B$11)*(20)+Summary!$B$11*(0)),0)*IF(AND(Inputs!$B$39&lt;&gt;"pvp",Inputs!$B$44&gt;0),(((R1472-1)*MIN((Skills!T13*(1+Inputs!$B$35/100)),(1/Q1472))+MIN((Skills!T13*(1+Inputs!$B$35/100)),MAX(0,Inputs!$B$44-((R1472-1)*(1/Q1472)))))/Inputs!$B$44),IF(Inputs!$B$39="pvp",MIN((Skills!T13*(1+Inputs!$B$35/100)),15)/15,MIN(1,(Skills!T13*(1+Inputs!$B$35/100))/(1/Q1472)))))+(IF(AND(ArtifactsInput!$M$35,Inputs!$B$4&lt;&gt;"Chapter Hunt"),CHOOSE(ArtifactsInput!$N$35+1,15,18,21,24,27,30)*(1-EXP(-(0.2*B1490)*5)),0)+IF(AND(ArtifactsInput!$M$22,Inputs!$B$4&lt;&gt;"Chapter Hunt"),CHOOSE(ArtifactsInput!$N$22+1,10,12,14,16,18,20)*((0*(((0.15*B1490*5))^0/1)+1*(((0.15*B1490*5))^1/1)+2*(((0.15*B1490*5))^2/2)+3*(((0.15*B1490*5))^3/6)+4*(((0.15*B1490*5))^4/24)+5*(((0.15*B1490*5))^5/120))/((((0.15*B1490*5))^0/1)+(((0.15*B1490*5))^1/1)+(((0.15*B1490*5))^2/2)+(((0.15*B1490*5))^3/6)+(((0.15*B1490*5))^4/24)+(((0.15*B1490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1466*(1-MIN(100,(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1466*(MIN(100,(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1466*(1-MIN(100,(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1466*(MIN(100,(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66">
        <f>IF(C1466,(H1466*N1466*IF(AND(Inputs!$B$39&lt;&gt;"pvp",Inputs!$B$44&gt;0),((Skills!G7*((R1466-1)*IF(Skills!H7&gt;0,INT(Skills!I7/Skills!H7+0.000000001),1)+IF(Skills!H7&gt;0,INT(MIN(Skills!I7,MAX(0,MAX(0,Inputs!$B$44-B1495)-((R1466-1)*IF(Inputs!$B$39="pvp",15,MAX(0.1,Skills!D7-IF(TRUE=TRUE,Inputs!$B$33,0))))))/Skills!H7+0.000000001),1)))/Inputs!$B$44),G1466*Q1466))*IF(Inputs!$B$39="pvp",1,(1+(Inputs!$B$22+Skills!Q7+((C1476=TRUE)*F1476*IF(AND(Inputs!$B$39&lt;&gt;"pvp",Inputs!$B$44&gt;0),(((R1476-1)*MIN((Skills!T17*(1+Inputs!$B$35/100)),(1/Q1476))+MIN((Skills!T17*(1+Inputs!$B$35/100)),MAX(0,Inputs!$B$44-((R1476-1)*(1/Q1476)))))/Inputs!$B$44),IF(Inputs!$B$39="pvp",MIN((Skills!T17*(1+Inputs!$B$35/100)),15)/15,MIN(1,(Skills!T17*(1+Inputs!$B$35/100))/(1/Q1476)))))+((C1464=TRUE)*IF(Inputs!$B$3&gt;=126,10*MIN(1,15*Q1464),0))+((C1473=TRUE)*IF(Inputs!$B$39="pvp",20,(1-Summary!$B$11)*(20)+Summary!$B$11*(0))*IF(AND(Inputs!$B$39&lt;&gt;"pvp",Inputs!$B$44&gt;0),(((R1473-1)*MIN((Skills!T14*(1+Inputs!$B$35/100)),(1/Q1473))+MIN((Skills!T14*(1+Inputs!$B$35/100)),MAX(0,Inputs!$B$44-((R1473-1)*(1/Q1473)))))/Inputs!$B$44),IF(Inputs!$B$39="pvp",MIN((Skills!T14*(1+Inputs!$B$35/100)),15)/15,MIN(1,(Skills!T14*(1+Inputs!$B$35/100))/(1/Q1473)))))+((C1472=TRUE)*IF(Inputs!$B$3&gt;=82,IF(Inputs!$B$39="pvp",20,(1-Summary!$B$11)*(20)+Summary!$B$11*(0)),0)*IF(AND(Inputs!$B$39&lt;&gt;"pvp",Inputs!$B$44&gt;0),(((R1472-1)*MIN((Skills!T13*(1+Inputs!$B$35/100)),(1/Q1472))+MIN((Skills!T13*(1+Inputs!$B$35/100)),MAX(0,Inputs!$B$44-((R1472-1)*(1/Q1472)))))/Inputs!$B$44),IF(Inputs!$B$39="pvp",MIN((Skills!T13*(1+Inputs!$B$35/100)),15)/15,MIN(1,(Skills!T13*(1+Inputs!$B$35/100))/(1/Q1472)))))+(IF(AND(ArtifactsInput!$M$35,Inputs!$B$4&lt;&gt;"Chapter Hunt"),CHOOSE(ArtifactsInput!$N$35+1,15,18,21,24,27,30)*(1-EXP(-(0.2*B1490)*5)),0)+IF(AND(ArtifactsInput!$M$22,Inputs!$B$4&lt;&gt;"Chapter Hunt"),CHOOSE(ArtifactsInput!$N$22+1,10,12,14,16,18,20)*((0*(((0.15*B1490*5))^0/1)+1*(((0.15*B1490*5))^1/1)+2*(((0.15*B1490*5))^2/2)+3*(((0.15*B1490*5))^3/6)+4*(((0.15*B1490*5))^4/24)+5*(((0.15*B1490*5))^5/120))/((((0.15*B1490*5))^0/1)+(((0.15*B1490*5))^1/1)+(((0.15*B1490*5))^2/2)+(((0.15*B1490*5))^3/6)+(((0.15*B1490*5))^4/24)+(((0.15*B1490*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67">
      <c r="A1467">
        <f>Skills!A8</f>
        <v/>
      </c>
      <c r="B1467">
        <f>Skills!B8</f>
        <v/>
      </c>
      <c r="C1467">
        <f>Inputs!$B$3&gt;=75</f>
        <v/>
      </c>
      <c r="D1467">
        <f>IF(Skills!C8=1,60+Inputs!$B$26+Inputs!$B$30,IF(Skills!C8=2,90+Inputs!$B$27+Inputs!$B$30,IF(Skills!C8=3,120+Inputs!$B$28+Inputs!$B$30,MAX(0,(Inputs!$B$3-100)*3)+Inputs!$B$29+Inputs!$B$30)))</f>
        <v/>
      </c>
      <c r="E1467">
        <f>INDEX(FactorTable!$B$2:$Y$301, MATCH(ROUND(MIN(300,MAX(1,D1467)),0), FactorTable!$A$2:$A$301,0), Skills!M8+1)</f>
        <v/>
      </c>
      <c r="F1467">
        <f>IF(Skills!N8=TRUE,(Skills!L8/10)*(E1467/1000),Skills!L8/10)+Skills!O8</f>
        <v/>
      </c>
      <c r="G1467" t="inlineStr"/>
      <c r="H1467" t="inlineStr"/>
      <c r="I1467" t="inlineStr">
        <is>
          <t>1</t>
        </is>
      </c>
      <c r="J1467" t="inlineStr"/>
      <c r="K1467" t="inlineStr"/>
      <c r="L1467" t="inlineStr"/>
      <c r="M1467" t="inlineStr"/>
      <c r="N1467" t="inlineStr"/>
      <c r="O1467" t="inlineStr"/>
      <c r="P1467" t="inlineStr"/>
      <c r="Q1467" t="inlineStr"/>
      <c r="R1467" t="inlineStr"/>
      <c r="S1467" t="inlineStr"/>
    </row>
    <row r="1468">
      <c r="A1468">
        <f>Skills!A9</f>
        <v/>
      </c>
      <c r="B1468">
        <f>Skills!B9</f>
        <v/>
      </c>
      <c r="C1468">
        <f>Inputs!$B$3&gt;=60</f>
        <v/>
      </c>
      <c r="D1468">
        <f>IF(Skills!C9=1,60+Inputs!$B$26+Inputs!$B$30,IF(Skills!C9=2,90+Inputs!$B$27+Inputs!$B$30,IF(Skills!C9=3,120+Inputs!$B$28+Inputs!$B$30,MAX(0,(Inputs!$B$3-100)*3)+Inputs!$B$29+Inputs!$B$30)))</f>
        <v/>
      </c>
      <c r="E1468">
        <f>INDEX(FactorTable!$B$2:$Y$301, MATCH(ROUND(MIN(300,MAX(1,D1468)),0), FactorTable!$A$2:$A$301,0), Skills!M9+1)</f>
        <v/>
      </c>
      <c r="F1468">
        <f>IF(Skills!N9=TRUE,(Skills!L9/10)*(E1468/1000),Skills!L9/10)+Skills!O9</f>
        <v/>
      </c>
      <c r="G1468">
        <f>Skills!G9*IF(Skills!H9&gt;0,INT(IF(Inputs!$B$39="pvp",MIN(Skills!I9,15),Skills!I9)/Skills!H9+0.000000001),1)</f>
        <v/>
      </c>
      <c r="H1468">
        <f>1-(1-Skills!J9/100)^Skills!K9</f>
        <v/>
      </c>
      <c r="I1468" t="inlineStr">
        <is>
          <t>1</t>
        </is>
      </c>
      <c r="J1468">
        <f>((Inputs!$B$6*(1+Inputs!$B$7/100))+(((Inputs!$B$13*(1+Inputs!$B$14/100))-(Inputs!$B$13*(1+Inputs!$B$14/100)))+0.25*(Inputs!$B$15-Inputs!$B$15))*(1+Inputs!$B$7/100))*(F1468/100)</f>
        <v/>
      </c>
      <c r="K1468">
        <f>J1468*(1+(((Inputs!$B$13+IF(Inputs!$B$3&gt;=38,(10*INDEX(FactorTable!$B$2:$Y$301, MATCH(ROUND(MIN(300,MAX(1,Inputs!$B$3)),0), FactorTable!$A$2:$A$301,0), 23)/1000)/100*(Inputs!$B$8*(1+Inputs!$B$9/100)),0))*(1+Inputs!$B$14/100))*0.01+Inputs!$B$15*0.0025)/100)*(1+Inputs!$B$16/100)*(1+Inputs!$B$17/100)*(5000/(6000+Inputs!$B$43*(1-(Inputs!$B$20+0)/100)))*(1+(Inputs!$B$25+((C1484=TRUE)*(F1484-Calc!F25))+((C1485=TRUE)*(F1485-Calc!F26))+B1494)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1470=TRUE,F1470,0)/100)*(1+(IF(Skills!A9="DARK_IMPALE",Inputs!$B$18+0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gt;=100),MIN(100,((Inputs!$B$10+0+B1488+(ArtifactsInput!$M$24-ArtifactsInput!$M$24)*CHOOSE(ArtifactsInput!$N$24+1,10,12,14,16,18,20)+IF(ArtifactsInput!$M$10,CHOOSE(ArtifactsInput!$N$10+1,15,18,21,24,27,30)*(IF(Inputs!$B$39="pvp",MIN(15,15)/15,IF(AND(Inputs!$B$39&lt;&gt;"pvp",Inputs!$B$44&gt;0),MIN(15,Inputs!$B$44)/(Inputs!$B$44),0))),0)))-100),0))*CHOOSE(ArtifactsInput!$N$42+1,0.6,0.72,0.84,0.96,1.08,1.2))),Inputs!$B$19+((C1482=TRUE)*(F1482-Calc!F23))+(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gt;=100),CHOOSE(ArtifactsInput!$N$42+1,40,48,56,64,72,80),0))))/100)*((1+(((C1472=TRUE)*F1472*IF(AND(Inputs!$B$39&lt;&gt;"pvp",Inputs!$B$44&gt;0),(((R1472-1)*MIN((Skills!T13*(1+Inputs!$B$35/100)),(1/Q1472))+MIN((Skills!T13*(1+Inputs!$B$35/100)),MAX(0,Inputs!$B$44-((R1472-1)*(1/Q1472)))))/Inputs!$B$44),IF(Inputs!$B$39="pvp",MIN((Skills!T13*(1+Inputs!$B$35/100)),15)/15,MIN(1,(Skills!T13*(1+Inputs!$B$35/100))/(1/Q1472)))))+((C1473=TRUE)*F1473*IF(AND(Inputs!$B$39&lt;&gt;"pvp",Inputs!$B$44&gt;0),(((R1473-1)*MIN((Skills!T14*(1+Inputs!$B$35/100)),(1/Q1473))+MIN((Skills!T14*(1+Inputs!$B$35/100)),MAX(0,Inputs!$B$44-((R1473-1)*(1/Q1473)))))/Inputs!$B$44),IF(Inputs!$B$39="pvp",MIN((Skills!T14*(1+Inputs!$B$35/100)),15)/15,MIN(1,(Skills!T14*(1+Inputs!$B$35/100))/(1/Q1473)))))+((C1474=TRUE)*F1474*IF(AND(Inputs!$B$39&lt;&gt;"pvp",Inputs!$B$44&gt;0),(((R1474-1)*MIN((Skills!T15*(1+Inputs!$B$35/100)),(1/Q1474))+MIN((Skills!T15*(1+Inputs!$B$35/100)),MAX(0,Inputs!$B$44-((R1474-1)*(1/Q1474)))))/Inputs!$B$44),IF(Inputs!$B$39="pvp",MIN((Skills!T15*(1+Inputs!$B$35/100)),15)/15,MIN(1,(Skills!T15*(1+Inputs!$B$35/100))/(1/Q1474)))))+((C1475=TRUE)*F1475*IF(AND(Inputs!$B$39&lt;&gt;"pvp",Inputs!$B$44&gt;0),(((R1475-1)*MIN((Skills!T16*(1+Inputs!$B$35/100)),(1/Q1475))+MIN((Skills!T16*(1+Inputs!$B$35/100)),MAX(0,Inputs!$B$44-((R1475-1)*(1/Q1475)))))/Inputs!$B$44),IF(Inputs!$B$39="pvp",MIN((Skills!T16*(1+Inputs!$B$35/100)),15)/15,MIN(1,(Skills!T16*(1+Inputs!$B$35/100))/(1/Q1475)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IF(ArtifactsInput!$M$11,FALSE,TRUE),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1468)</f>
        <v/>
      </c>
      <c r="L1468">
        <f>K1468*(MIN(Inputs!$B$23+((C1481=TRUE)*(F1481-Calc!F22)),(Inputs!$B$24+((C1483=TRUE)*(F1483-Calc!F24))+(IF(ArtifactsInput!$M$15,CHOOSE(ArtifactsInput!$N$15+1,25,30,35,40,45,50)/100*(Inputs!$B$12-Inputs!$B$12),0))))/100+(Inputs!$B$24+((C1483=TRUE)*(F1483-Calc!F24))+(IF(ArtifactsInput!$M$15,CHOOSE(ArtifactsInput!$N$15+1,25,30,35,40,45,50)/100*(Inputs!$B$12-Inputs!$B$12),0)))/100)/2</f>
        <v/>
      </c>
      <c r="M1468">
        <f>L1468*(1+(Inputs!$B$11+0+B1493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468">
        <f>L1468*(1-MIN((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1468*(MIN((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68">
        <f>(1-Summary!$B$11)*T1468+Summary!$B$11*V1468</f>
        <v/>
      </c>
      <c r="P1468">
        <f>IF(B1498=0,0,O1468/B1498)</f>
        <v/>
      </c>
      <c r="Q1468">
        <f>IFERROR(1/IF(Inputs!$B$39="pvp",15,MAX(0.1,Skills!D9-IF(TRUE=TRUE,Inputs!$B$33,0))),0)</f>
        <v/>
      </c>
      <c r="R1468">
        <f>IF(AND(Inputs!$B$39&lt;&gt;"pvp",Inputs!$B$44&gt;0),IF(MAX(0,Inputs!$B$44-B1495)&lt;=0,0,(INT(MAX(0,Inputs!$B$44-B1495)/IF(Inputs!$B$39="pvp",15,MAX(0.1,Skills!D9-IF(TRUE=TRUE,Inputs!$B$33,0))))+1)),0)</f>
        <v/>
      </c>
      <c r="S1468">
        <f>IFERROR(O1468/N1468,0)</f>
        <v/>
      </c>
      <c r="T1468">
        <f>IF(C1468,(H1468*N1468*IF(AND(Inputs!$B$39&lt;&gt;"pvp",Inputs!$B$44&gt;0),((Skills!G9*((R1468-1)*IF(Skills!H9&gt;0,INT(Skills!I9/Skills!H9+0.000000001),1)+IF(Skills!H9&gt;0,INT(MIN(Skills!I9,MAX(0,MAX(0,Inputs!$B$44-B1495)-((R1468-1)*IF(Inputs!$B$39="pvp",15,MAX(0.1,Skills!D9-IF(TRUE=TRUE,Inputs!$B$33,0))))))/Skills!H9+0.000000001),1)))/Inputs!$B$44),G1468*Q1468))*IF(Inputs!$B$39="pvp",1,1+(Inputs!$B$21+0+Skills!P9+((C1476=TRUE)*F1476*IF(AND(Inputs!$B$39&lt;&gt;"pvp",Inputs!$B$44&gt;0),(((R1476-1)*MIN((Skills!T17*(1+Inputs!$B$35/100)),(1/Q1476))+MIN((Skills!T17*(1+Inputs!$B$35/100)),MAX(0,Inputs!$B$44-((R1476-1)*(1/Q1476)))))/Inputs!$B$44),IF(Inputs!$B$39="pvp",MIN((Skills!T17*(1+Inputs!$B$35/100)),15)/15,MIN(1,(Skills!T17*(1+Inputs!$B$35/100))/(1/Q1476)))))+((C1464=TRUE)*IF(Inputs!$B$3&gt;=126,10*MIN(1,15*Q1464),0))+((C1473=TRUE)*IF(Inputs!$B$39="pvp",20,(1-Summary!$B$11)*(20)+Summary!$B$11*(0))*IF(AND(Inputs!$B$39&lt;&gt;"pvp",Inputs!$B$44&gt;0),(((R1473-1)*MIN((Skills!T14*(1+Inputs!$B$35/100)),(1/Q1473))+MIN((Skills!T14*(1+Inputs!$B$35/100)),MAX(0,Inputs!$B$44-((R1473-1)*(1/Q1473)))))/Inputs!$B$44),IF(Inputs!$B$39="pvp",MIN((Skills!T14*(1+Inputs!$B$35/100)),15)/15,MIN(1,(Skills!T14*(1+Inputs!$B$35/100))/(1/Q1473)))))+((C1472=TRUE)*IF(Inputs!$B$3&gt;=82,IF(Inputs!$B$39="pvp",20,(1-Summary!$B$11)*(20)+Summary!$B$11*(0)),0)*IF(AND(Inputs!$B$39&lt;&gt;"pvp",Inputs!$B$44&gt;0),(((R1472-1)*MIN((Skills!T13*(1+Inputs!$B$35/100)),(1/Q1472))+MIN((Skills!T13*(1+Inputs!$B$35/100)),MAX(0,Inputs!$B$44-((R1472-1)*(1/Q1472)))))/Inputs!$B$44),IF(Inputs!$B$39="pvp",MIN((Skills!T13*(1+Inputs!$B$35/100)),15)/15,MIN(1,(Skills!T13*(1+Inputs!$B$35/100))/(1/Q1472)))))+(IF(AND(ArtifactsInput!$M$35,Inputs!$B$4&lt;&gt;"Chapter Hunt"),CHOOSE(ArtifactsInput!$N$35+1,15,18,21,24,27,30)*(1-EXP(-(0.2*B1490)*5)),0)+IF(AND(ArtifactsInput!$M$22,Inputs!$B$4&lt;&gt;"Chapter Hunt"),CHOOSE(ArtifactsInput!$N$22+1,10,12,14,16,18,20)*((0*(((0.15*B1490*5))^0/1)+1*(((0.15*B1490*5))^1/1)+2*(((0.15*B1490*5))^2/2)+3*(((0.15*B1490*5))^3/6)+4*(((0.15*B1490*5))^4/24)+5*(((0.15*B1490*5))^5/120))/((((0.15*B1490*5))^0/1)+(((0.15*B1490*5))^1/1)+(((0.15*B1490*5))^2/2)+(((0.15*B1490*5))^3/6)+(((0.15*B1490*5))^4/24)+(((0.15*B1490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1468*(1-MIN(100,(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1468*(MIN(100,(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1468*(1-MIN(100,(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1468*(MIN(100,(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68">
        <f>IF(C1468,(H1468*N1468*IF(AND(Inputs!$B$39&lt;&gt;"pvp",Inputs!$B$44&gt;0),((Skills!G9*((R1468-1)*IF(Skills!H9&gt;0,INT(Skills!I9/Skills!H9+0.000000001),1)+IF(Skills!H9&gt;0,INT(MIN(Skills!I9,MAX(0,MAX(0,Inputs!$B$44-B1495)-((R1468-1)*IF(Inputs!$B$39="pvp",15,MAX(0.1,Skills!D9-IF(TRUE=TRUE,Inputs!$B$33,0))))))/Skills!H9+0.000000001),1)))/Inputs!$B$44),G1468*Q1468))*IF(Inputs!$B$39="pvp",1,(1+(Inputs!$B$22+Skills!Q9+((C1476=TRUE)*F1476*IF(AND(Inputs!$B$39&lt;&gt;"pvp",Inputs!$B$44&gt;0),(((R1476-1)*MIN((Skills!T17*(1+Inputs!$B$35/100)),(1/Q1476))+MIN((Skills!T17*(1+Inputs!$B$35/100)),MAX(0,Inputs!$B$44-((R1476-1)*(1/Q1476)))))/Inputs!$B$44),IF(Inputs!$B$39="pvp",MIN((Skills!T17*(1+Inputs!$B$35/100)),15)/15,MIN(1,(Skills!T17*(1+Inputs!$B$35/100))/(1/Q1476)))))+((C1464=TRUE)*IF(Inputs!$B$3&gt;=126,10*MIN(1,15*Q1464),0))+((C1473=TRUE)*IF(Inputs!$B$39="pvp",20,(1-Summary!$B$11)*(20)+Summary!$B$11*(0))*IF(AND(Inputs!$B$39&lt;&gt;"pvp",Inputs!$B$44&gt;0),(((R1473-1)*MIN((Skills!T14*(1+Inputs!$B$35/100)),(1/Q1473))+MIN((Skills!T14*(1+Inputs!$B$35/100)),MAX(0,Inputs!$B$44-((R1473-1)*(1/Q1473)))))/Inputs!$B$44),IF(Inputs!$B$39="pvp",MIN((Skills!T14*(1+Inputs!$B$35/100)),15)/15,MIN(1,(Skills!T14*(1+Inputs!$B$35/100))/(1/Q1473)))))+((C1472=TRUE)*IF(Inputs!$B$3&gt;=82,IF(Inputs!$B$39="pvp",20,(1-Summary!$B$11)*(20)+Summary!$B$11*(0)),0)*IF(AND(Inputs!$B$39&lt;&gt;"pvp",Inputs!$B$44&gt;0),(((R1472-1)*MIN((Skills!T13*(1+Inputs!$B$35/100)),(1/Q1472))+MIN((Skills!T13*(1+Inputs!$B$35/100)),MAX(0,Inputs!$B$44-((R1472-1)*(1/Q1472)))))/Inputs!$B$44),IF(Inputs!$B$39="pvp",MIN((Skills!T13*(1+Inputs!$B$35/100)),15)/15,MIN(1,(Skills!T13*(1+Inputs!$B$35/100))/(1/Q1472)))))+(IF(AND(ArtifactsInput!$M$35,Inputs!$B$4&lt;&gt;"Chapter Hunt"),CHOOSE(ArtifactsInput!$N$35+1,15,18,21,24,27,30)*(1-EXP(-(0.2*B1490)*5)),0)+IF(AND(ArtifactsInput!$M$22,Inputs!$B$4&lt;&gt;"Chapter Hunt"),CHOOSE(ArtifactsInput!$N$22+1,10,12,14,16,18,20)*((0*(((0.15*B1490*5))^0/1)+1*(((0.15*B1490*5))^1/1)+2*(((0.15*B1490*5))^2/2)+3*(((0.15*B1490*5))^3/6)+4*(((0.15*B1490*5))^4/24)+5*(((0.15*B1490*5))^5/120))/((((0.15*B1490*5))^0/1)+(((0.15*B1490*5))^1/1)+(((0.15*B1490*5))^2/2)+(((0.15*B1490*5))^3/6)+(((0.15*B1490*5))^4/24)+(((0.15*B1490*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69">
      <c r="A1469">
        <f>Skills!A10</f>
        <v/>
      </c>
      <c r="B1469">
        <f>Skills!B10</f>
        <v/>
      </c>
      <c r="C1469">
        <f>Inputs!$B$3&gt;=110</f>
        <v/>
      </c>
      <c r="D1469">
        <f>IF(Skills!C10=1,60+Inputs!$B$26+Inputs!$B$30,IF(Skills!C10=2,90+Inputs!$B$27+Inputs!$B$30,IF(Skills!C10=3,120+Inputs!$B$28+Inputs!$B$30,MAX(0,(Inputs!$B$3-100)*3)+Inputs!$B$29+Inputs!$B$30)))</f>
        <v/>
      </c>
      <c r="E1469">
        <f>INDEX(FactorTable!$B$2:$Y$301, MATCH(ROUND(MIN(300,MAX(1,D1469)),0), FactorTable!$A$2:$A$301,0), Skills!M10+1)</f>
        <v/>
      </c>
      <c r="F1469">
        <f>IF(Skills!N10=TRUE,(Skills!L10/10)*(E1469/1000),Skills!L10/10)+Skills!O10</f>
        <v/>
      </c>
      <c r="G1469">
        <f>Skills!G10*IF(Skills!H10&gt;0,INT(IF(Inputs!$B$39="pvp",MIN(Skills!I10,15),Skills!I10)/Skills!H10+0.000000001),1)</f>
        <v/>
      </c>
      <c r="H1469">
        <f>1-(1-Skills!J10/100)^Skills!K10</f>
        <v/>
      </c>
      <c r="I1469" t="inlineStr">
        <is>
          <t>1</t>
        </is>
      </c>
      <c r="J1469">
        <f>((Inputs!$B$6*(1+Inputs!$B$7/100))+(((Inputs!$B$13*(1+Inputs!$B$14/100))-(Inputs!$B$13*(1+Inputs!$B$14/100)))+0.25*(Inputs!$B$15-Inputs!$B$15))*(1+Inputs!$B$7/100))*(F1469/100)</f>
        <v/>
      </c>
      <c r="K1469">
        <f>J1469*(1+(((Inputs!$B$13+IF(Inputs!$B$3&gt;=38,(10*INDEX(FactorTable!$B$2:$Y$301, MATCH(ROUND(MIN(300,MAX(1,Inputs!$B$3)),0), FactorTable!$A$2:$A$301,0), 23)/1000)/100*(Inputs!$B$8*(1+Inputs!$B$9/100)),0))*(1+Inputs!$B$14/100))*0.01+Inputs!$B$15*0.0025)/100)*(1+Inputs!$B$16/100)*(1+Inputs!$B$17/100)*(5000/(6000+Inputs!$B$43*(1-(Inputs!$B$20+0)/100)))*(1+(Inputs!$B$25+((C1484=TRUE)*(F1484-Calc!F25))+((C1485=TRUE)*(F1485-Calc!F26))+B1494)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gt;=100),MIN(100,((Inputs!$B$10+0+B1488+(ArtifactsInput!$M$24-ArtifactsInput!$M$24)*CHOOSE(ArtifactsInput!$N$24+1,10,12,14,16,18,20)+IF(ArtifactsInput!$M$10,CHOOSE(ArtifactsInput!$N$10+1,15,18,21,24,27,30)*(IF(Inputs!$B$39="pvp",MIN(15,15)/15,IF(AND(Inputs!$B$39&lt;&gt;"pvp",Inputs!$B$44&gt;0),MIN(15,Inputs!$B$44)/(Inputs!$B$44),0))),0)))-100),0))*CHOOSE(ArtifactsInput!$N$42+1,0.6,0.72,0.84,0.96,1.08,1.2))),Inputs!$B$19+((C1482=TRUE)*(F1482-Calc!F23))+(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gt;=100),CHOOSE(ArtifactsInput!$N$42+1,40,48,56,64,72,80),0))))/100)*((1+(((C1472=TRUE)*F1472*IF(AND(Inputs!$B$39&lt;&gt;"pvp",Inputs!$B$44&gt;0),(((R1472-1)*MIN((Skills!T13*(1+Inputs!$B$35/100)),(1/Q1472))+MIN((Skills!T13*(1+Inputs!$B$35/100)),MAX(0,Inputs!$B$44-((R1472-1)*(1/Q1472)))))/Inputs!$B$44),IF(Inputs!$B$39="pvp",MIN((Skills!T13*(1+Inputs!$B$35/100)),15)/15,MIN(1,(Skills!T13*(1+Inputs!$B$35/100))/(1/Q1472)))))+((C1473=TRUE)*F1473*IF(AND(Inputs!$B$39&lt;&gt;"pvp",Inputs!$B$44&gt;0),(((R1473-1)*MIN((Skills!T14*(1+Inputs!$B$35/100)),(1/Q1473))+MIN((Skills!T14*(1+Inputs!$B$35/100)),MAX(0,Inputs!$B$44-((R1473-1)*(1/Q1473)))))/Inputs!$B$44),IF(Inputs!$B$39="pvp",MIN((Skills!T14*(1+Inputs!$B$35/100)),15)/15,MIN(1,(Skills!T14*(1+Inputs!$B$35/100))/(1/Q1473)))))+((C1474=TRUE)*F1474*IF(AND(Inputs!$B$39&lt;&gt;"pvp",Inputs!$B$44&gt;0),(((R1474-1)*MIN((Skills!T15*(1+Inputs!$B$35/100)),(1/Q1474))+MIN((Skills!T15*(1+Inputs!$B$35/100)),MAX(0,Inputs!$B$44-((R1474-1)*(1/Q1474)))))/Inputs!$B$44),IF(Inputs!$B$39="pvp",MIN((Skills!T15*(1+Inputs!$B$35/100)),15)/15,MIN(1,(Skills!T15*(1+Inputs!$B$35/100))/(1/Q1474)))))+((C1475=TRUE)*F1475*IF(AND(Inputs!$B$39&lt;&gt;"pvp",Inputs!$B$44&gt;0),(((R1475-1)*MIN((Skills!T16*(1+Inputs!$B$35/100)),(1/Q1475))+MIN((Skills!T16*(1+Inputs!$B$35/100)),MAX(0,Inputs!$B$44-((R1475-1)*(1/Q1475)))))/Inputs!$B$44),IF(Inputs!$B$39="pvp",MIN((Skills!T16*(1+Inputs!$B$35/100)),15)/15,MIN(1,(Skills!T16*(1+Inputs!$B$35/100))/(1/Q1475)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IF(ArtifactsInput!$M$11,FALSE,TRUE),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1469)</f>
        <v/>
      </c>
      <c r="L1469">
        <f>K1469*(MIN(Inputs!$B$23+((C1481=TRUE)*(F1481-Calc!F22)),(Inputs!$B$24+((C1483=TRUE)*(F1483-Calc!F24))+(IF(ArtifactsInput!$M$15,CHOOSE(ArtifactsInput!$N$15+1,25,30,35,40,45,50)/100*(Inputs!$B$12-Inputs!$B$12),0))))/100+(Inputs!$B$24+((C1483=TRUE)*(F1483-Calc!F24))+(IF(ArtifactsInput!$M$15,CHOOSE(ArtifactsInput!$N$15+1,25,30,35,40,45,50)/100*(Inputs!$B$12-Inputs!$B$12),0)))/100)/2</f>
        <v/>
      </c>
      <c r="M1469">
        <f>L1469*(1+(Inputs!$B$11+0+B1493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469">
        <f>L1469*(1-MIN((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1469*(MIN((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69">
        <f>(1-Summary!$B$11)*T1469+Summary!$B$11*V1469</f>
        <v/>
      </c>
      <c r="P1469">
        <f>IF(B1498=0,0,O1469/B1498)</f>
        <v/>
      </c>
      <c r="Q1469">
        <f>IFERROR(1/IF(Inputs!$B$39="pvp",15,MAX(0.1,Skills!D10-IF(TRUE=TRUE,Inputs!$B$33,0))),0)</f>
        <v/>
      </c>
      <c r="R1469">
        <f>IF(AND(Inputs!$B$39&lt;&gt;"pvp",Inputs!$B$44&gt;0),IF(MAX(0,Inputs!$B$44-B1495)&lt;=0,0,(INT(MAX(0,Inputs!$B$44-B1495)/IF(Inputs!$B$39="pvp",15,MAX(0.1,Skills!D10-IF(TRUE=TRUE,Inputs!$B$33,0))))+1)),0)</f>
        <v/>
      </c>
      <c r="S1469">
        <f>IFERROR(O1469/N1469,0)</f>
        <v/>
      </c>
      <c r="T1469">
        <f>IF(C1469,(H1469*N1469*IF(AND(Inputs!$B$39&lt;&gt;"pvp",Inputs!$B$44&gt;0),((Skills!G10*((R1469-1)*IF(Skills!H10&gt;0,INT(Skills!I10/Skills!H10+0.000000001),1)+IF(Skills!H10&gt;0,INT(MIN(Skills!I10,MAX(0,MAX(0,Inputs!$B$44-B1495)-((R1469-1)*IF(Inputs!$B$39="pvp",15,MAX(0.1,Skills!D10-IF(TRUE=TRUE,Inputs!$B$33,0))))))/Skills!H10+0.000000001),1)))/Inputs!$B$44),G1469*Q1469))*IF(Inputs!$B$39="pvp",1,1+(Inputs!$B$21+0+Skills!P10+((C1476=TRUE)*F1476*IF(AND(Inputs!$B$39&lt;&gt;"pvp",Inputs!$B$44&gt;0),(((R1476-1)*MIN((Skills!T17*(1+Inputs!$B$35/100)),(1/Q1476))+MIN((Skills!T17*(1+Inputs!$B$35/100)),MAX(0,Inputs!$B$44-((R1476-1)*(1/Q1476)))))/Inputs!$B$44),IF(Inputs!$B$39="pvp",MIN((Skills!T17*(1+Inputs!$B$35/100)),15)/15,MIN(1,(Skills!T17*(1+Inputs!$B$35/100))/(1/Q1476)))))+((C1464=TRUE)*IF(Inputs!$B$3&gt;=126,10*MIN(1,15*Q1464),0))+((C1473=TRUE)*IF(Inputs!$B$39="pvp",20,(1-Summary!$B$11)*(20)+Summary!$B$11*(0))*IF(AND(Inputs!$B$39&lt;&gt;"pvp",Inputs!$B$44&gt;0),(((R1473-1)*MIN((Skills!T14*(1+Inputs!$B$35/100)),(1/Q1473))+MIN((Skills!T14*(1+Inputs!$B$35/100)),MAX(0,Inputs!$B$44-((R1473-1)*(1/Q1473)))))/Inputs!$B$44),IF(Inputs!$B$39="pvp",MIN((Skills!T14*(1+Inputs!$B$35/100)),15)/15,MIN(1,(Skills!T14*(1+Inputs!$B$35/100))/(1/Q1473)))))+((C1472=TRUE)*IF(Inputs!$B$3&gt;=82,IF(Inputs!$B$39="pvp",20,(1-Summary!$B$11)*(20)+Summary!$B$11*(0)),0)*IF(AND(Inputs!$B$39&lt;&gt;"pvp",Inputs!$B$44&gt;0),(((R1472-1)*MIN((Skills!T13*(1+Inputs!$B$35/100)),(1/Q1472))+MIN((Skills!T13*(1+Inputs!$B$35/100)),MAX(0,Inputs!$B$44-((R1472-1)*(1/Q1472)))))/Inputs!$B$44),IF(Inputs!$B$39="pvp",MIN((Skills!T13*(1+Inputs!$B$35/100)),15)/15,MIN(1,(Skills!T13*(1+Inputs!$B$35/100))/(1/Q1472)))))+(IF(AND(ArtifactsInput!$M$35,Inputs!$B$4&lt;&gt;"Chapter Hunt"),CHOOSE(ArtifactsInput!$N$35+1,15,18,21,24,27,30)*(1-EXP(-(0.2*B1490)*5)),0)+IF(AND(ArtifactsInput!$M$22,Inputs!$B$4&lt;&gt;"Chapter Hunt"),CHOOSE(ArtifactsInput!$N$22+1,10,12,14,16,18,20)*((0*(((0.15*B1490*5))^0/1)+1*(((0.15*B1490*5))^1/1)+2*(((0.15*B1490*5))^2/2)+3*(((0.15*B1490*5))^3/6)+4*(((0.15*B1490*5))^4/24)+5*(((0.15*B1490*5))^5/120))/((((0.15*B1490*5))^0/1)+(((0.15*B1490*5))^1/1)+(((0.15*B1490*5))^2/2)+(((0.15*B1490*5))^3/6)+(((0.15*B1490*5))^4/24)+(((0.15*B1490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1469*(1-MIN(100,(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1469*(MIN(100,(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1469*(1-MIN(100,(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1469*(MIN(100,(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69">
        <f>IF(C1469,(H1469*N1469*IF(AND(Inputs!$B$39&lt;&gt;"pvp",Inputs!$B$44&gt;0),((Skills!G10*((R1469-1)*IF(Skills!H10&gt;0,INT(Skills!I10/Skills!H10+0.000000001),1)+IF(Skills!H10&gt;0,INT(MIN(Skills!I10,MAX(0,MAX(0,Inputs!$B$44-B1495)-((R1469-1)*IF(Inputs!$B$39="pvp",15,MAX(0.1,Skills!D10-IF(TRUE=TRUE,Inputs!$B$33,0))))))/Skills!H10+0.000000001),1)))/Inputs!$B$44),G1469*Q1469))*IF(Inputs!$B$39="pvp",1,(1+(Inputs!$B$22+Skills!Q10+((C1476=TRUE)*F1476*IF(AND(Inputs!$B$39&lt;&gt;"pvp",Inputs!$B$44&gt;0),(((R1476-1)*MIN((Skills!T17*(1+Inputs!$B$35/100)),(1/Q1476))+MIN((Skills!T17*(1+Inputs!$B$35/100)),MAX(0,Inputs!$B$44-((R1476-1)*(1/Q1476)))))/Inputs!$B$44),IF(Inputs!$B$39="pvp",MIN((Skills!T17*(1+Inputs!$B$35/100)),15)/15,MIN(1,(Skills!T17*(1+Inputs!$B$35/100))/(1/Q1476)))))+((C1464=TRUE)*IF(Inputs!$B$3&gt;=126,10*MIN(1,15*Q1464),0))+((C1473=TRUE)*IF(Inputs!$B$39="pvp",20,(1-Summary!$B$11)*(20)+Summary!$B$11*(0))*IF(AND(Inputs!$B$39&lt;&gt;"pvp",Inputs!$B$44&gt;0),(((R1473-1)*MIN((Skills!T14*(1+Inputs!$B$35/100)),(1/Q1473))+MIN((Skills!T14*(1+Inputs!$B$35/100)),MAX(0,Inputs!$B$44-((R1473-1)*(1/Q1473)))))/Inputs!$B$44),IF(Inputs!$B$39="pvp",MIN((Skills!T14*(1+Inputs!$B$35/100)),15)/15,MIN(1,(Skills!T14*(1+Inputs!$B$35/100))/(1/Q1473)))))+((C1472=TRUE)*IF(Inputs!$B$3&gt;=82,IF(Inputs!$B$39="pvp",20,(1-Summary!$B$11)*(20)+Summary!$B$11*(0)),0)*IF(AND(Inputs!$B$39&lt;&gt;"pvp",Inputs!$B$44&gt;0),(((R1472-1)*MIN((Skills!T13*(1+Inputs!$B$35/100)),(1/Q1472))+MIN((Skills!T13*(1+Inputs!$B$35/100)),MAX(0,Inputs!$B$44-((R1472-1)*(1/Q1472)))))/Inputs!$B$44),IF(Inputs!$B$39="pvp",MIN((Skills!T13*(1+Inputs!$B$35/100)),15)/15,MIN(1,(Skills!T13*(1+Inputs!$B$35/100))/(1/Q1472)))))+(IF(AND(ArtifactsInput!$M$35,Inputs!$B$4&lt;&gt;"Chapter Hunt"),CHOOSE(ArtifactsInput!$N$35+1,15,18,21,24,27,30)*(1-EXP(-(0.2*B1490)*5)),0)+IF(AND(ArtifactsInput!$M$22,Inputs!$B$4&lt;&gt;"Chapter Hunt"),CHOOSE(ArtifactsInput!$N$22+1,10,12,14,16,18,20)*((0*(((0.15*B1490*5))^0/1)+1*(((0.15*B1490*5))^1/1)+2*(((0.15*B1490*5))^2/2)+3*(((0.15*B1490*5))^3/6)+4*(((0.15*B1490*5))^4/24)+5*(((0.15*B1490*5))^5/120))/((((0.15*B1490*5))^0/1)+(((0.15*B1490*5))^1/1)+(((0.15*B1490*5))^2/2)+(((0.15*B1490*5))^3/6)+(((0.15*B1490*5))^4/24)+(((0.15*B1490*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70">
      <c r="A1470">
        <f>Skills!A11</f>
        <v/>
      </c>
      <c r="B1470">
        <f>Skills!B11</f>
        <v/>
      </c>
      <c r="C1470">
        <f>Inputs!$B$3&gt;=100</f>
        <v/>
      </c>
      <c r="D1470">
        <f>IF(Skills!C11=1,60+Inputs!$B$26+Inputs!$B$30,IF(Skills!C11=2,90+Inputs!$B$27+Inputs!$B$30,IF(Skills!C11=3,120+Inputs!$B$28+Inputs!$B$30,MAX(0,(Inputs!$B$3-100)*3)+Inputs!$B$29+Inputs!$B$30)))</f>
        <v/>
      </c>
      <c r="E1470">
        <f>INDEX(FactorTable!$B$2:$Y$301, MATCH(ROUND(MIN(300,MAX(1,D1470)),0), FactorTable!$A$2:$A$301,0), Skills!M11+1)</f>
        <v/>
      </c>
      <c r="F1470">
        <f>IF(Skills!N11=TRUE,(Skills!L11/10)*(E1470/1000),Skills!L11/10)+Skills!O11</f>
        <v/>
      </c>
      <c r="G1470" t="inlineStr"/>
      <c r="H1470" t="inlineStr"/>
      <c r="I1470" t="inlineStr">
        <is>
          <t>1</t>
        </is>
      </c>
      <c r="J1470" t="inlineStr"/>
      <c r="K1470" t="inlineStr"/>
      <c r="L1470" t="inlineStr"/>
      <c r="M1470" t="inlineStr"/>
      <c r="N1470" t="inlineStr"/>
      <c r="O1470" t="inlineStr"/>
      <c r="P1470" t="inlineStr"/>
      <c r="Q1470" t="inlineStr"/>
      <c r="R1470" t="inlineStr"/>
      <c r="S1470" t="inlineStr"/>
    </row>
    <row r="1471">
      <c r="A1471">
        <f>Skills!A12</f>
        <v/>
      </c>
      <c r="B1471">
        <f>Skills!B12</f>
        <v/>
      </c>
      <c r="C1471">
        <f>Inputs!$B$3&gt;=63</f>
        <v/>
      </c>
      <c r="D1471">
        <f>IF(Skills!C12=1,60+Inputs!$B$26+Inputs!$B$30,IF(Skills!C12=2,90+Inputs!$B$27+Inputs!$B$30,IF(Skills!C12=3,120+Inputs!$B$28+Inputs!$B$30,MAX(0,(Inputs!$B$3-100)*3)+Inputs!$B$29+Inputs!$B$30)))</f>
        <v/>
      </c>
      <c r="E1471">
        <f>INDEX(FactorTable!$B$2:$Y$301, MATCH(ROUND(MIN(300,MAX(1,D1471)),0), FactorTable!$A$2:$A$301,0), Skills!M12+1)</f>
        <v/>
      </c>
      <c r="F1471">
        <f>IF(Skills!N12=TRUE,(Skills!L12/10)*(E1471/1000),Skills!L12/10)+Skills!O12</f>
        <v/>
      </c>
      <c r="G1471">
        <f>Skills!G12*IF(Skills!H12&gt;0,INT(IF(Inputs!$B$39="pvp",MIN(Skills!I12,15),Skills!I12)/Skills!H12+0.000000001),1)</f>
        <v/>
      </c>
      <c r="H1471">
        <f>1-(1-Skills!J12/100)^Skills!K12</f>
        <v/>
      </c>
      <c r="I1471" t="inlineStr">
        <is>
          <t>1</t>
        </is>
      </c>
      <c r="J1471">
        <f>((Inputs!$B$6*(1+Inputs!$B$7/100))+(((Inputs!$B$13*(1+Inputs!$B$14/100))-(Inputs!$B$13*(1+Inputs!$B$14/100)))+0.25*(Inputs!$B$15-Inputs!$B$15))*(1+Inputs!$B$7/100))*(F1471/100)</f>
        <v/>
      </c>
      <c r="K1471">
        <f>J1471*(1+(((Inputs!$B$13+IF(Inputs!$B$3&gt;=38,(10*INDEX(FactorTable!$B$2:$Y$301, MATCH(ROUND(MIN(300,MAX(1,Inputs!$B$3)),0), FactorTable!$A$2:$A$301,0), 23)/1000)/100*(Inputs!$B$8*(1+Inputs!$B$9/100)),0))*(1+Inputs!$B$14/100))*0.01+Inputs!$B$15*0.0025)/100)*(1+Inputs!$B$16/100)*(1+Inputs!$B$17/100)*(5000/(6000+Inputs!$B$43*(1-(Inputs!$B$20+0)/100)))*(1+(Inputs!$B$25+((C1484=TRUE)*(F1484-Calc!F25))+((C1485=TRUE)*(F1485-Calc!F26))+B1494)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1470=TRUE,F1470,0)/100)*(1+(IF(Skills!A12="DARK_IMPALE",Inputs!$B$18+0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gt;=100),MIN(100,((Inputs!$B$10+0+B1488+(ArtifactsInput!$M$24-ArtifactsInput!$M$24)*CHOOSE(ArtifactsInput!$N$24+1,10,12,14,16,18,20)+IF(ArtifactsInput!$M$10,CHOOSE(ArtifactsInput!$N$10+1,15,18,21,24,27,30)*(IF(Inputs!$B$39="pvp",MIN(15,15)/15,IF(AND(Inputs!$B$39&lt;&gt;"pvp",Inputs!$B$44&gt;0),MIN(15,Inputs!$B$44)/(Inputs!$B$44),0))),0)))-100),0))*CHOOSE(ArtifactsInput!$N$42+1,0.6,0.72,0.84,0.96,1.08,1.2))),Inputs!$B$19+((C1482=TRUE)*(F1482-Calc!F23))+(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gt;=100),CHOOSE(ArtifactsInput!$N$42+1,40,48,56,64,72,80),0))))/100)*((1+(((C1472=TRUE)*F1472*IF(AND(Inputs!$B$39&lt;&gt;"pvp",Inputs!$B$44&gt;0),(((R1472-1)*MIN((Skills!T13*(1+Inputs!$B$35/100)),(1/Q1472))+MIN((Skills!T13*(1+Inputs!$B$35/100)),MAX(0,Inputs!$B$44-((R1472-1)*(1/Q1472)))))/Inputs!$B$44),IF(Inputs!$B$39="pvp",MIN((Skills!T13*(1+Inputs!$B$35/100)),15)/15,MIN(1,(Skills!T13*(1+Inputs!$B$35/100))/(1/Q1472)))))+((C1473=TRUE)*F1473*IF(AND(Inputs!$B$39&lt;&gt;"pvp",Inputs!$B$44&gt;0),(((R1473-1)*MIN((Skills!T14*(1+Inputs!$B$35/100)),(1/Q1473))+MIN((Skills!T14*(1+Inputs!$B$35/100)),MAX(0,Inputs!$B$44-((R1473-1)*(1/Q1473)))))/Inputs!$B$44),IF(Inputs!$B$39="pvp",MIN((Skills!T14*(1+Inputs!$B$35/100)),15)/15,MIN(1,(Skills!T14*(1+Inputs!$B$35/100))/(1/Q1473)))))+((C1474=TRUE)*F1474*IF(AND(Inputs!$B$39&lt;&gt;"pvp",Inputs!$B$44&gt;0),(((R1474-1)*MIN((Skills!T15*(1+Inputs!$B$35/100)),(1/Q1474))+MIN((Skills!T15*(1+Inputs!$B$35/100)),MAX(0,Inputs!$B$44-((R1474-1)*(1/Q1474)))))/Inputs!$B$44),IF(Inputs!$B$39="pvp",MIN((Skills!T15*(1+Inputs!$B$35/100)),15)/15,MIN(1,(Skills!T15*(1+Inputs!$B$35/100))/(1/Q1474)))))+((C1475=TRUE)*F1475*IF(AND(Inputs!$B$39&lt;&gt;"pvp",Inputs!$B$44&gt;0),(((R1475-1)*MIN((Skills!T16*(1+Inputs!$B$35/100)),(1/Q1475))+MIN((Skills!T16*(1+Inputs!$B$35/100)),MAX(0,Inputs!$B$44-((R1475-1)*(1/Q1475)))))/Inputs!$B$44),IF(Inputs!$B$39="pvp",MIN((Skills!T16*(1+Inputs!$B$35/100)),15)/15,MIN(1,(Skills!T16*(1+Inputs!$B$35/100))/(1/Q1475)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IF(ArtifactsInput!$M$11,FALSE,TRUE),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1471)</f>
        <v/>
      </c>
      <c r="L1471">
        <f>K1471*(MIN(Inputs!$B$23+((C1481=TRUE)*(F1481-Calc!F22)),(Inputs!$B$24+((C1483=TRUE)*(F1483-Calc!F24))+(IF(ArtifactsInput!$M$15,CHOOSE(ArtifactsInput!$N$15+1,25,30,35,40,45,50)/100*(Inputs!$B$12-Inputs!$B$12),0))))/100+(Inputs!$B$24+((C1483=TRUE)*(F1483-Calc!F24))+(IF(ArtifactsInput!$M$15,CHOOSE(ArtifactsInput!$N$15+1,25,30,35,40,45,50)/100*(Inputs!$B$12-Inputs!$B$12),0)))/100)/2</f>
        <v/>
      </c>
      <c r="M1471">
        <f>L1471*(1+(Inputs!$B$11+0+B1493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471">
        <f>L1471*(1-MIN((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1471*(MIN((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71">
        <f>(1-Summary!$B$11)*T1471+Summary!$B$11*V1471</f>
        <v/>
      </c>
      <c r="P1471">
        <f>IF(B1498=0,0,O1471/B1498)</f>
        <v/>
      </c>
      <c r="Q1471">
        <f>IFERROR(1/IF(Inputs!$B$39="pvp",15,MAX(0.1,Skills!D12-IF(TRUE=TRUE,Inputs!$B$33,0))),0)</f>
        <v/>
      </c>
      <c r="R1471">
        <f>IF(AND(Inputs!$B$39&lt;&gt;"pvp",Inputs!$B$44&gt;0),IF(MAX(0,Inputs!$B$44-B1495)&lt;=0,0,(INT(MAX(0,Inputs!$B$44-B1495)/IF(Inputs!$B$39="pvp",15,MAX(0.1,Skills!D12-IF(TRUE=TRUE,Inputs!$B$33,0))))+1)),0)</f>
        <v/>
      </c>
      <c r="S1471">
        <f>IFERROR(O1471/N1471,0)</f>
        <v/>
      </c>
      <c r="T1471">
        <f>IF(C1471,(H1471*N1471*IF(AND(Inputs!$B$39&lt;&gt;"pvp",Inputs!$B$44&gt;0),((Skills!G12*((R1471-1)*IF(Skills!H12&gt;0,INT(Skills!I12/Skills!H12+0.000000001),1)+IF(Skills!H12&gt;0,INT(MIN(Skills!I12,MAX(0,MAX(0,Inputs!$B$44-B1495)-((R1471-1)*IF(Inputs!$B$39="pvp",15,MAX(0.1,Skills!D12-IF(TRUE=TRUE,Inputs!$B$33,0))))))/Skills!H12+0.000000001),1)))/Inputs!$B$44),G1471*Q1471))*IF(Inputs!$B$39="pvp",1,1+(Inputs!$B$21+0+Skills!P12+((C1476=TRUE)*F1476*IF(AND(Inputs!$B$39&lt;&gt;"pvp",Inputs!$B$44&gt;0),(((R1476-1)*MIN((Skills!T17*(1+Inputs!$B$35/100)),(1/Q1476))+MIN((Skills!T17*(1+Inputs!$B$35/100)),MAX(0,Inputs!$B$44-((R1476-1)*(1/Q1476)))))/Inputs!$B$44),IF(Inputs!$B$39="pvp",MIN((Skills!T17*(1+Inputs!$B$35/100)),15)/15,MIN(1,(Skills!T17*(1+Inputs!$B$35/100))/(1/Q1476)))))+((C1464=TRUE)*IF(Inputs!$B$3&gt;=126,10*MIN(1,15*Q1464),0))+((C1473=TRUE)*IF(Inputs!$B$39="pvp",20,(1-Summary!$B$11)*(20)+Summary!$B$11*(0))*IF(AND(Inputs!$B$39&lt;&gt;"pvp",Inputs!$B$44&gt;0),(((R1473-1)*MIN((Skills!T14*(1+Inputs!$B$35/100)),(1/Q1473))+MIN((Skills!T14*(1+Inputs!$B$35/100)),MAX(0,Inputs!$B$44-((R1473-1)*(1/Q1473)))))/Inputs!$B$44),IF(Inputs!$B$39="pvp",MIN((Skills!T14*(1+Inputs!$B$35/100)),15)/15,MIN(1,(Skills!T14*(1+Inputs!$B$35/100))/(1/Q1473)))))+((C1472=TRUE)*IF(Inputs!$B$3&gt;=82,IF(Inputs!$B$39="pvp",20,(1-Summary!$B$11)*(20)+Summary!$B$11*(0)),0)*IF(AND(Inputs!$B$39&lt;&gt;"pvp",Inputs!$B$44&gt;0),(((R1472-1)*MIN((Skills!T13*(1+Inputs!$B$35/100)),(1/Q1472))+MIN((Skills!T13*(1+Inputs!$B$35/100)),MAX(0,Inputs!$B$44-((R1472-1)*(1/Q1472)))))/Inputs!$B$44),IF(Inputs!$B$39="pvp",MIN((Skills!T13*(1+Inputs!$B$35/100)),15)/15,MIN(1,(Skills!T13*(1+Inputs!$B$35/100))/(1/Q1472)))))+(IF(AND(ArtifactsInput!$M$35,Inputs!$B$4&lt;&gt;"Chapter Hunt"),CHOOSE(ArtifactsInput!$N$35+1,15,18,21,24,27,30)*(1-EXP(-(0.2*B1490)*5)),0)+IF(AND(ArtifactsInput!$M$22,Inputs!$B$4&lt;&gt;"Chapter Hunt"),CHOOSE(ArtifactsInput!$N$22+1,10,12,14,16,18,20)*((0*(((0.15*B1490*5))^0/1)+1*(((0.15*B1490*5))^1/1)+2*(((0.15*B1490*5))^2/2)+3*(((0.15*B1490*5))^3/6)+4*(((0.15*B1490*5))^4/24)+5*(((0.15*B1490*5))^5/120))/((((0.15*B1490*5))^0/1)+(((0.15*B1490*5))^1/1)+(((0.15*B1490*5))^2/2)+(((0.15*B1490*5))^3/6)+(((0.15*B1490*5))^4/24)+(((0.15*B1490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1471*(1-MIN(100,(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1471*(MIN(100,(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1471*(1-MIN(100,(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1471*(MIN(100,(Inputs!$B$10+0+B1488+(ArtifactsInput!$M$24-ArtifactsInput!$M$24)*CHOOSE(ArtifactsInput!$N$24+1,10,12,14,16,18,20)+(IF(AND(Inputs!$B$39&lt;&gt;"pvp",Inputs!$B$44=0),1,IF(IF(Inputs!$B$39="pvp",15,Inputs!$B$44)-(B1495)&lt;=0,1,MAX(0,IF(Inputs!$B$39="pvp",15,Inputs!$B$44)-MAX(5,B1495))/(IF(Inputs!$B$39="pvp",15,Inputs!$B$44)-(B1495))))*IF(AND(ArtifactsInput!$M$42,((Inputs!$B$10+0+B1488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471">
        <f>IF(C1471,(H1471*N1471*IF(AND(Inputs!$B$39&lt;&gt;"pvp",Inputs!$B$44&gt;0),((Skills!G12*((R1471-1)*IF(Skills!H12&gt;0,INT(Skills!I12/Skills!H12+0.000000001),1)+IF(Skills!H12&gt;0,INT(MIN(Skills!I12,MAX(0,MAX(0,Inputs!$B$44-B1495)-((R1471-1)*IF(Inputs!$B$39="pvp",15,MAX(0.1,Skills!D12-IF(TRUE=TRUE,Inputs!$B$33,0))))))/Skills!H12+0.000000001),1)))/Inputs!$B$44),G1471*Q1471))*IF(Inputs!$B$39="pvp",1,(1+(Inputs!$B$22+Skills!Q12+((C1476=TRUE)*F1476*IF(AND(Inputs!$B$39&lt;&gt;"pvp",Inputs!$B$44&gt;0),(((R1476-1)*MIN((Skills!T17*(1+Inputs!$B$35/100)),(1/Q1476))+MIN((Skills!T17*(1+Inputs!$B$35/100)),MAX(0,Inputs!$B$44-((R1476-1)*(1/Q1476)))))/Inputs!$B$44),IF(Inputs!$B$39="pvp",MIN((Skills!T17*(1+Inputs!$B$35/100)),15)/15,MIN(1,(Skills!T17*(1+Inputs!$B$35/100))/(1/Q1476)))))+((C1464=TRUE)*IF(Inputs!$B$3&gt;=126,10*MIN(1,15*Q1464),0))+((C1473=TRUE)*IF(Inputs!$B$39="pvp",20,(1-Summary!$B$11)*(20)+Summary!$B$11*(0))*IF(AND(Inputs!$B$39&lt;&gt;"pvp",Inputs!$B$44&gt;0),(((R1473-1)*MIN((Skills!T14*(1+Inputs!$B$35/100)),(1/Q1473))+MIN((Skills!T14*(1+Inputs!$B$35/100)),MAX(0,Inputs!$B$44-((R1473-1)*(1/Q1473)))))/Inputs!$B$44),IF(Inputs!$B$39="pvp",MIN((Skills!T14*(1+Inputs!$B$35/100)),15)/15,MIN(1,(Skills!T14*(1+Inputs!$B$35/100))/(1/Q1473)))))+((C1472=TRUE)*IF(Inputs!$B$3&gt;=82,IF(Inputs!$B$39="pvp",20,(1-Summary!$B$11)*(20)+Summary!$B$11*(0)),0)*IF(AND(Inputs!$B$39&lt;&gt;"pvp",Inputs!$B$44&gt;0),(((R1472-1)*MIN((Skills!T13*(1+Inputs!$B$35/100)),(1/Q1472))+MIN((Skills!T13*(1+Inputs!$B$35/100)),MAX(0,Inputs!$B$44-((R1472-1)*(1/Q1472)))))/Inputs!$B$44),IF(Inputs!$B$39="pvp",MIN((Skills!T13*(1+Inputs!$B$35/100)),15)/15,MIN(1,(Skills!T13*(1+Inputs!$B$35/100))/(1/Q1472)))))+(IF(AND(ArtifactsInput!$M$35,Inputs!$B$4&lt;&gt;"Chapter Hunt"),CHOOSE(ArtifactsInput!$N$35+1,15,18,21,24,27,30)*(1-EXP(-(0.2*B1490)*5)),0)+IF(AND(ArtifactsInput!$M$22,Inputs!$B$4&lt;&gt;"Chapter Hunt"),CHOOSE(ArtifactsInput!$N$22+1,10,12,14,16,18,20)*((0*(((0.15*B1490*5))^0/1)+1*(((0.15*B1490*5))^1/1)+2*(((0.15*B1490*5))^2/2)+3*(((0.15*B1490*5))^3/6)+4*(((0.15*B1490*5))^4/24)+5*(((0.15*B1490*5))^5/120))/((((0.15*B1490*5))^0/1)+(((0.15*B1490*5))^1/1)+(((0.15*B1490*5))^2/2)+(((0.15*B1490*5))^3/6)+(((0.15*B1490*5))^4/24)+(((0.15*B1490*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72">
      <c r="A1472">
        <f>Skills!A13</f>
        <v/>
      </c>
      <c r="B1472">
        <f>Skills!B13</f>
        <v/>
      </c>
      <c r="C1472">
        <f>Inputs!$B$3&gt;=69</f>
        <v/>
      </c>
      <c r="D1472">
        <f>IF(Skills!C13=1,60+Inputs!$B$26+Inputs!$B$30,IF(Skills!C13=2,90+Inputs!$B$27+Inputs!$B$30,IF(Skills!C13=3,120+Inputs!$B$28+Inputs!$B$30,MAX(0,(Inputs!$B$3-100)*3)+Inputs!$B$29+Inputs!$B$30)))</f>
        <v/>
      </c>
      <c r="E1472">
        <f>INDEX(FactorTable!$B$2:$Y$301, MATCH(ROUND(MIN(300,MAX(1,D1472)),0), FactorTable!$A$2:$A$301,0), Skills!M13+1)</f>
        <v/>
      </c>
      <c r="F1472">
        <f>IF(Skills!N13=TRUE,(Skills!L13/10)*(E1472/1000),Skills!L13/10)+Skills!O13</f>
        <v/>
      </c>
      <c r="G1472">
        <f>Skills!G13*IF(Skills!H13&gt;0,INT(IF(Inputs!$B$39="pvp",MIN(Skills!I13,15),Skills!I13)/Skills!H13+0.000000001),1)</f>
        <v/>
      </c>
      <c r="H1472">
        <f>1-(1-Skills!J13/100)^Skills!K13</f>
        <v/>
      </c>
      <c r="I1472" t="inlineStr">
        <is>
          <t>1</t>
        </is>
      </c>
      <c r="J1472" t="inlineStr"/>
      <c r="K1472" t="inlineStr"/>
      <c r="L1472" t="inlineStr"/>
      <c r="M1472" t="inlineStr"/>
      <c r="N1472" t="inlineStr"/>
      <c r="O1472">
        <f>(1-Summary!$B$11)*T1472+Summary!$B$11*V1472</f>
        <v/>
      </c>
      <c r="P1472">
        <f>IF(B1498=0,0,O1472/B1498)</f>
        <v/>
      </c>
      <c r="Q1472">
        <f>IFERROR(1/IF(Inputs!$B$39="pvp",15,MAX(0.1,Skills!D13-IF(TRUE=TRUE,Inputs!$B$33,0))),0)</f>
        <v/>
      </c>
      <c r="R1472">
        <f>IF(AND(Inputs!$B$39&lt;&gt;"pvp",Inputs!$B$44&gt;0),IF(Inputs!$B$44&lt;=0,0,(INT(Inputs!$B$44/IF(Inputs!$B$39="pvp",15,MAX(0.1,Skills!D13-IF(TRUE=TRUE,Inputs!$B$33,0))))+1)),0)</f>
        <v/>
      </c>
      <c r="S1472">
        <f>IFERROR(O1472/N1472,0)</f>
        <v/>
      </c>
      <c r="T1472" t="n">
        <v>0</v>
      </c>
      <c r="V1472" t="n">
        <v>0</v>
      </c>
    </row>
    <row r="1473">
      <c r="A1473">
        <f>Skills!A14</f>
        <v/>
      </c>
      <c r="B1473">
        <f>Skills!B14</f>
        <v/>
      </c>
      <c r="C1473">
        <f>Inputs!$B$3&gt;=115</f>
        <v/>
      </c>
      <c r="D1473">
        <f>IF(Skills!C14=1,60+Inputs!$B$26+Inputs!$B$30,IF(Skills!C14=2,90+Inputs!$B$27+Inputs!$B$30,IF(Skills!C14=3,120+Inputs!$B$28+Inputs!$B$30,MAX(0,(Inputs!$B$3-100)*3)+Inputs!$B$29+Inputs!$B$30)))</f>
        <v/>
      </c>
      <c r="E1473">
        <f>INDEX(FactorTable!$B$2:$Y$301, MATCH(ROUND(MIN(300,MAX(1,D1473)),0), FactorTable!$A$2:$A$301,0), Skills!M14+1)</f>
        <v/>
      </c>
      <c r="F1473">
        <f>IF(Skills!N14=TRUE,(Skills!L14/10)*(E1473/1000),Skills!L14/10)+Skills!O14</f>
        <v/>
      </c>
      <c r="G1473">
        <f>Skills!G14*IF(Skills!H14&gt;0,INT(IF(Inputs!$B$39="pvp",MIN(Skills!I14,15),Skills!I14)/Skills!H14+0.000000001),1)</f>
        <v/>
      </c>
      <c r="H1473">
        <f>1-(1-Skills!J14/100)^Skills!K14</f>
        <v/>
      </c>
      <c r="I1473" t="inlineStr">
        <is>
          <t>1</t>
        </is>
      </c>
      <c r="J1473" t="inlineStr"/>
      <c r="K1473" t="inlineStr"/>
      <c r="L1473" t="inlineStr"/>
      <c r="M1473" t="inlineStr"/>
      <c r="N1473" t="inlineStr"/>
      <c r="O1473">
        <f>(1-Summary!$B$11)*T1473+Summary!$B$11*V1473</f>
        <v/>
      </c>
      <c r="P1473">
        <f>IF(B1498=0,0,O1473/B1498)</f>
        <v/>
      </c>
      <c r="Q1473">
        <f>IFERROR(1/IF(Inputs!$B$39="pvp",15,MAX(0.1,Skills!D14-IF(TRUE=TRUE,Inputs!$B$33,0))),0)</f>
        <v/>
      </c>
      <c r="R1473">
        <f>IF(AND(Inputs!$B$39&lt;&gt;"pvp",Inputs!$B$44&gt;0),IF(Inputs!$B$44&lt;=0,0,(INT(Inputs!$B$44/IF(Inputs!$B$39="pvp",15,MAX(0.1,Skills!D14-IF(TRUE=TRUE,Inputs!$B$33,0))))+1)),0)</f>
        <v/>
      </c>
      <c r="S1473">
        <f>IFERROR(O1473/N1473,0)</f>
        <v/>
      </c>
      <c r="T1473" t="n">
        <v>0</v>
      </c>
      <c r="V1473" t="n">
        <v>0</v>
      </c>
    </row>
    <row r="1474">
      <c r="A1474">
        <f>Skills!A15</f>
        <v/>
      </c>
      <c r="B1474">
        <f>Skills!B15</f>
        <v/>
      </c>
      <c r="C1474">
        <f>Inputs!$B$3&gt;=66</f>
        <v/>
      </c>
      <c r="D1474">
        <f>IF(Skills!C15=1,60+Inputs!$B$26+Inputs!$B$30,IF(Skills!C15=2,90+Inputs!$B$27+Inputs!$B$30,IF(Skills!C15=3,120+Inputs!$B$28+Inputs!$B$30,MAX(0,(Inputs!$B$3-100)*3)+Inputs!$B$29+Inputs!$B$30)))</f>
        <v/>
      </c>
      <c r="E1474">
        <f>INDEX(FactorTable!$B$2:$Y$301, MATCH(ROUND(MIN(300,MAX(1,D1474)),0), FactorTable!$A$2:$A$301,0), Skills!M15+1)</f>
        <v/>
      </c>
      <c r="F1474">
        <f>IF(Skills!N15=TRUE,(Skills!L15/10)*(E1474/1000),Skills!L15/10)+Skills!O15</f>
        <v/>
      </c>
      <c r="G1474">
        <f>Skills!G15*IF(Skills!H15&gt;0,INT(IF(Inputs!$B$39="pvp",MIN(Skills!I15,15),Skills!I15)/Skills!H15+0.000000001),1)</f>
        <v/>
      </c>
      <c r="H1474">
        <f>1-(1-Skills!J15/100)^Skills!K15</f>
        <v/>
      </c>
      <c r="I1474" t="inlineStr">
        <is>
          <t>1</t>
        </is>
      </c>
      <c r="J1474" t="inlineStr"/>
      <c r="K1474" t="inlineStr"/>
      <c r="L1474" t="inlineStr"/>
      <c r="M1474" t="inlineStr"/>
      <c r="N1474" t="inlineStr"/>
      <c r="O1474">
        <f>(1-Summary!$B$11)*T1474+Summary!$B$11*V1474</f>
        <v/>
      </c>
      <c r="P1474">
        <f>IF(B1498=0,0,O1474/B1498)</f>
        <v/>
      </c>
      <c r="Q1474">
        <f>IFERROR(1/IF(Inputs!$B$39="pvp",15,MAX(0.1,Skills!D15-IF(TRUE=TRUE,Inputs!$B$33,0))),0)</f>
        <v/>
      </c>
      <c r="R1474">
        <f>IF(AND(Inputs!$B$39&lt;&gt;"pvp",Inputs!$B$44&gt;0),IF(Inputs!$B$44&lt;=0,0,(INT(Inputs!$B$44/IF(Inputs!$B$39="pvp",15,MAX(0.1,Skills!D15-IF(TRUE=TRUE,Inputs!$B$33,0))))+1)),0)</f>
        <v/>
      </c>
      <c r="S1474">
        <f>IFERROR(O1474/N1474,0)</f>
        <v/>
      </c>
      <c r="T1474" t="n">
        <v>0</v>
      </c>
      <c r="V1474" t="n">
        <v>0</v>
      </c>
    </row>
    <row r="1475">
      <c r="A1475">
        <f>Skills!A16</f>
        <v/>
      </c>
      <c r="B1475">
        <f>Skills!B16</f>
        <v/>
      </c>
      <c r="C1475">
        <f>Inputs!$B$3&gt;=45</f>
        <v/>
      </c>
      <c r="D1475">
        <f>IF(Skills!C16=1,60+Inputs!$B$26+Inputs!$B$30,IF(Skills!C16=2,90+Inputs!$B$27+Inputs!$B$30,IF(Skills!C16=3,120+Inputs!$B$28+Inputs!$B$30,MAX(0,(Inputs!$B$3-100)*3)+Inputs!$B$29+Inputs!$B$30)))</f>
        <v/>
      </c>
      <c r="E1475">
        <f>INDEX(FactorTable!$B$2:$Y$301, MATCH(ROUND(MIN(300,MAX(1,D1475)),0), FactorTable!$A$2:$A$301,0), Skills!M16+1)</f>
        <v/>
      </c>
      <c r="F1475">
        <f>IF(Skills!N16=TRUE,(Skills!L16/10)*(E1475/1000),Skills!L16/10)+Skills!O16</f>
        <v/>
      </c>
      <c r="G1475">
        <f>Skills!G16*IF(Skills!H16&gt;0,INT(IF(Inputs!$B$39="pvp",MIN(Skills!I16,15),Skills!I16)/Skills!H16+0.000000001),1)</f>
        <v/>
      </c>
      <c r="H1475">
        <f>1-(1-Skills!J16/100)^Skills!K16</f>
        <v/>
      </c>
      <c r="I1475" t="inlineStr">
        <is>
          <t>1</t>
        </is>
      </c>
      <c r="J1475" t="inlineStr"/>
      <c r="K1475" t="inlineStr"/>
      <c r="L1475" t="inlineStr"/>
      <c r="M1475" t="inlineStr"/>
      <c r="N1475" t="inlineStr"/>
      <c r="O1475">
        <f>(1-Summary!$B$11)*T1475+Summary!$B$11*V1475</f>
        <v/>
      </c>
      <c r="P1475">
        <f>IF(B1498=0,0,O1475/B1498)</f>
        <v/>
      </c>
      <c r="Q1475">
        <f>IFERROR(1/IF(Inputs!$B$39="pvp",15,MAX(0.1,Skills!D16-IF(TRUE=TRUE,Inputs!$B$33,0))),0)</f>
        <v/>
      </c>
      <c r="R1475">
        <f>IF(AND(Inputs!$B$39&lt;&gt;"pvp",Inputs!$B$44&gt;0),IF(Inputs!$B$44&lt;=0,0,(INT(Inputs!$B$44/IF(Inputs!$B$39="pvp",15,MAX(0.1,Skills!D16-IF(TRUE=TRUE,Inputs!$B$33,0))))+1)),0)</f>
        <v/>
      </c>
      <c r="S1475">
        <f>IFERROR(O1475/N1475,0)</f>
        <v/>
      </c>
      <c r="T1475" t="n">
        <v>0</v>
      </c>
      <c r="V1475" t="n">
        <v>0</v>
      </c>
    </row>
    <row r="1476">
      <c r="A1476">
        <f>Skills!A17</f>
        <v/>
      </c>
      <c r="B1476">
        <f>Skills!B17</f>
        <v/>
      </c>
      <c r="C1476">
        <f>Inputs!$B$3&gt;=35</f>
        <v/>
      </c>
      <c r="D1476">
        <f>IF(Skills!C17=1,60+Inputs!$B$26+Inputs!$B$30,IF(Skills!C17=2,90+Inputs!$B$27+Inputs!$B$30,IF(Skills!C17=3,120+Inputs!$B$28+Inputs!$B$30,MAX(0,(Inputs!$B$3-100)*3)+Inputs!$B$29+Inputs!$B$30)))</f>
        <v/>
      </c>
      <c r="E1476">
        <f>INDEX(FactorTable!$B$2:$Y$301, MATCH(ROUND(MIN(300,MAX(1,D1476)),0), FactorTable!$A$2:$A$301,0), Skills!M17+1)</f>
        <v/>
      </c>
      <c r="F1476">
        <f>IF(Skills!N17=TRUE,(Skills!L17/10)*(E1476/1000),Skills!L17/10)+Skills!O17</f>
        <v/>
      </c>
      <c r="G1476">
        <f>Skills!G17*IF(Skills!H17&gt;0,INT(IF(Inputs!$B$39="pvp",MIN(Skills!I17,15),Skills!I17)/Skills!H17+0.000000001),1)</f>
        <v/>
      </c>
      <c r="H1476">
        <f>1-(1-Skills!J17/100)^Skills!K17</f>
        <v/>
      </c>
      <c r="I1476" t="inlineStr">
        <is>
          <t>1</t>
        </is>
      </c>
      <c r="J1476" t="inlineStr"/>
      <c r="K1476" t="inlineStr"/>
      <c r="L1476" t="inlineStr"/>
      <c r="M1476" t="inlineStr"/>
      <c r="N1476" t="inlineStr"/>
      <c r="O1476">
        <f>(1-Summary!$B$11)*T1476+Summary!$B$11*V1476</f>
        <v/>
      </c>
      <c r="P1476">
        <f>IF(B1498=0,0,O1476/B1498)</f>
        <v/>
      </c>
      <c r="Q1476">
        <f>IFERROR(1/IF(Inputs!$B$39="pvp",15,MAX(0.1,Skills!D17-IF(TRUE=TRUE,Inputs!$B$33,0))),0)</f>
        <v/>
      </c>
      <c r="R1476">
        <f>IF(AND(Inputs!$B$39&lt;&gt;"pvp",Inputs!$B$44&gt;0),IF(Inputs!$B$44&lt;=0,0,(INT(Inputs!$B$44/IF(Inputs!$B$39="pvp",15,MAX(0.1,Skills!D17-IF(TRUE=TRUE,Inputs!$B$33,0))))+1)),0)</f>
        <v/>
      </c>
      <c r="S1476">
        <f>IFERROR(O1476/N1476,0)</f>
        <v/>
      </c>
      <c r="T1476" t="n">
        <v>0</v>
      </c>
      <c r="V1476" t="n">
        <v>0</v>
      </c>
    </row>
    <row r="1477">
      <c r="A1477">
        <f>Skills!A18</f>
        <v/>
      </c>
      <c r="B1477">
        <f>Skills!B18</f>
        <v/>
      </c>
      <c r="C1477">
        <f>Inputs!$B$3&gt;=72</f>
        <v/>
      </c>
      <c r="D1477">
        <f>IF(Skills!C18=1,60+Inputs!$B$26+Inputs!$B$30,IF(Skills!C18=2,90+Inputs!$B$27+Inputs!$B$30,IF(Skills!C18=3,120+Inputs!$B$28+Inputs!$B$30,MAX(0,(Inputs!$B$3-100)*3)+Inputs!$B$29+Inputs!$B$30)))</f>
        <v/>
      </c>
      <c r="E1477">
        <f>INDEX(FactorTable!$B$2:$Y$301, MATCH(ROUND(MIN(300,MAX(1,D1477)),0), FactorTable!$A$2:$A$301,0), Skills!M18+1)</f>
        <v/>
      </c>
      <c r="F1477">
        <f>IF(Skills!N18=TRUE,(Skills!L18/10)*(E1477/1000),Skills!L18/10)+Skills!O18</f>
        <v/>
      </c>
      <c r="G1477">
        <f>Skills!G18*IF(Skills!H18&gt;0,INT(IF(Inputs!$B$39="pvp",MIN(Skills!I18,15),Skills!I18)/Skills!H18+0.000000001),1)</f>
        <v/>
      </c>
      <c r="H1477">
        <f>1-(1-Skills!J18/100)^Skills!K18</f>
        <v/>
      </c>
      <c r="I1477" t="inlineStr">
        <is>
          <t>1</t>
        </is>
      </c>
      <c r="J1477" t="inlineStr"/>
      <c r="K1477" t="inlineStr"/>
      <c r="L1477" t="inlineStr"/>
      <c r="M1477" t="inlineStr"/>
      <c r="N1477" t="inlineStr"/>
      <c r="O1477">
        <f>(1-Summary!$B$11)*T1477+Summary!$B$11*V1477</f>
        <v/>
      </c>
      <c r="P1477">
        <f>IF(B1498=0,0,O1477/B1498)</f>
        <v/>
      </c>
      <c r="Q1477">
        <f>IFERROR(1/IF(Inputs!$B$39="pvp",15,MAX(0.1,Skills!D18-IF(TRUE=TRUE,Inputs!$B$33,0))),0)</f>
        <v/>
      </c>
      <c r="R1477">
        <f>IF(AND(Inputs!$B$39&lt;&gt;"pvp",Inputs!$B$44&gt;0),IF(Inputs!$B$44&lt;=0,0,(INT(Inputs!$B$44/IF(Inputs!$B$39="pvp",15,MAX(0.1,Skills!D18-IF(TRUE=TRUE,Inputs!$B$33,0))))+1)),0)</f>
        <v/>
      </c>
      <c r="S1477">
        <f>IFERROR(O1477/N1477,0)</f>
        <v/>
      </c>
      <c r="T1477" t="n">
        <v>0</v>
      </c>
      <c r="V1477" t="n">
        <v>0</v>
      </c>
    </row>
    <row r="1478">
      <c r="A1478">
        <f>Skills!A19</f>
        <v/>
      </c>
      <c r="B1478">
        <f>Skills!B19</f>
        <v/>
      </c>
      <c r="C1478">
        <f>Inputs!$B$3&gt;=72</f>
        <v/>
      </c>
      <c r="D1478">
        <f>IF(Skills!C19=1,60+Inputs!$B$26+Inputs!$B$30,IF(Skills!C19=2,90+Inputs!$B$27+Inputs!$B$30,IF(Skills!C19=3,120+Inputs!$B$28+Inputs!$B$30,MAX(0,(Inputs!$B$3-100)*3)+Inputs!$B$29+Inputs!$B$30)))</f>
        <v/>
      </c>
      <c r="E1478">
        <f>INDEX(FactorTable!$B$2:$Y$301, MATCH(ROUND(MIN(300,MAX(1,D1478)),0), FactorTable!$A$2:$A$301,0), Skills!M19+1)</f>
        <v/>
      </c>
      <c r="F1478">
        <f>IF(Skills!N19=TRUE,(Skills!L19/10)*(E1478/1000),Skills!L19/10)+Skills!O19</f>
        <v/>
      </c>
      <c r="G1478">
        <f>Skills!G19*IF(Skills!H19&gt;0,INT(IF(Inputs!$B$39="pvp",MIN(Skills!I19,15),Skills!I19)/Skills!H19+0.000000001),1)</f>
        <v/>
      </c>
      <c r="H1478">
        <f>1-(1-Skills!J19/100)^Skills!K19</f>
        <v/>
      </c>
      <c r="I1478" t="inlineStr">
        <is>
          <t>1</t>
        </is>
      </c>
      <c r="J1478" t="inlineStr"/>
      <c r="K1478" t="inlineStr"/>
      <c r="L1478" t="inlineStr"/>
      <c r="M1478" t="inlineStr"/>
      <c r="N1478" t="inlineStr"/>
      <c r="O1478">
        <f>(1-Summary!$B$11)*T1478+Summary!$B$11*V1478</f>
        <v/>
      </c>
      <c r="P1478">
        <f>IF(B1498=0,0,O1478/B1498)</f>
        <v/>
      </c>
      <c r="Q1478">
        <f>IFERROR(1/IF(Inputs!$B$39="pvp",15,MAX(0.1,Skills!D19-IF(TRUE=TRUE,Inputs!$B$33,0))),0)</f>
        <v/>
      </c>
      <c r="R1478">
        <f>IF(AND(Inputs!$B$39&lt;&gt;"pvp",Inputs!$B$44&gt;0),IF(Inputs!$B$44&lt;=0,0,(INT(Inputs!$B$44/IF(Inputs!$B$39="pvp",15,MAX(0.1,Skills!D19-IF(TRUE=TRUE,Inputs!$B$33,0))))+1)),0)</f>
        <v/>
      </c>
      <c r="S1478">
        <f>IFERROR(O1478/N1478,0)</f>
        <v/>
      </c>
      <c r="T1478" t="n">
        <v>0</v>
      </c>
      <c r="V1478" t="n">
        <v>0</v>
      </c>
    </row>
    <row r="1479">
      <c r="A1479">
        <f>Skills!A20</f>
        <v/>
      </c>
      <c r="B1479">
        <f>Skills!B20</f>
        <v/>
      </c>
      <c r="C1479">
        <f>TRUE</f>
        <v/>
      </c>
      <c r="D1479">
        <f>IF(Skills!C20=1,60+Inputs!$B$26+Inputs!$B$30,IF(Skills!C20=2,90+Inputs!$B$27+Inputs!$B$30,IF(Skills!C20=3,120+Inputs!$B$28+Inputs!$B$30,MAX(0,(Inputs!$B$3-100)*3)+Inputs!$B$29+Inputs!$B$30)))</f>
        <v/>
      </c>
      <c r="E1479">
        <f>INDEX(FactorTable!$B$2:$Y$301, MATCH(ROUND(MIN(300,MAX(1,D1479)),0), FactorTable!$A$2:$A$301,0), Skills!M20+1)</f>
        <v/>
      </c>
      <c r="F1479">
        <f>IF(Skills!N20=TRUE,(Skills!L20/10)*(E1479/1000),Skills!L20/10)+Skills!O20</f>
        <v/>
      </c>
      <c r="G1479">
        <f>Skills!G20*IF(Skills!H20&gt;0,INT(IF(Inputs!$B$39="pvp",MIN(Skills!I20,15),Skills!I20)/Skills!H20+0.000000001),1)</f>
        <v/>
      </c>
      <c r="H1479">
        <f>1-(1-Skills!J20/100)^Skills!K20</f>
        <v/>
      </c>
      <c r="I1479" t="inlineStr">
        <is>
          <t>1</t>
        </is>
      </c>
      <c r="J1479" t="inlineStr"/>
      <c r="K1479" t="inlineStr"/>
      <c r="L1479" t="inlineStr"/>
      <c r="M1479" t="inlineStr"/>
      <c r="N1479" t="inlineStr"/>
      <c r="O1479">
        <f>(1-Summary!$B$11)*T1479+Summary!$B$11*V1479</f>
        <v/>
      </c>
      <c r="P1479">
        <f>IF(B1498=0,0,O1479/B1498)</f>
        <v/>
      </c>
      <c r="Q1479">
        <f>IFERROR(1/IF(Inputs!$B$39="pvp",15,MAX(0.1,Skills!D20-IF(TRUE=TRUE,Inputs!$B$33,0))),0)</f>
        <v/>
      </c>
      <c r="R1479">
        <f>IF(AND(Inputs!$B$39&lt;&gt;"pvp",Inputs!$B$44&gt;0),IF(Inputs!$B$44&lt;=0,0,(INT(Inputs!$B$44/IF(Inputs!$B$39="pvp",15,MAX(0.1,Skills!D20-IF(TRUE=TRUE,Inputs!$B$33,0))))+1)),0)</f>
        <v/>
      </c>
      <c r="S1479">
        <f>IFERROR(O1479/N1479,0)</f>
        <v/>
      </c>
      <c r="T1479" t="n">
        <v>0</v>
      </c>
      <c r="V1479" t="n">
        <v>0</v>
      </c>
    </row>
    <row r="1480">
      <c r="A1480">
        <f>Skills!A21</f>
        <v/>
      </c>
      <c r="B1480">
        <f>Skills!B21</f>
        <v/>
      </c>
      <c r="C1480">
        <f>Inputs!$B$3&gt;=33</f>
        <v/>
      </c>
      <c r="D1480">
        <f>IF(Skills!C21=1,60+Inputs!$B$26+Inputs!$B$30,IF(Skills!C21=2,90+Inputs!$B$27+Inputs!$B$30,IF(Skills!C21=3,120+Inputs!$B$28+Inputs!$B$30,MAX(0,(Inputs!$B$3-100)*3)+Inputs!$B$29+Inputs!$B$30)))</f>
        <v/>
      </c>
      <c r="E1480">
        <f>INDEX(FactorTable!$B$2:$Y$301, MATCH(ROUND(MIN(300,MAX(1,D1480)),0), FactorTable!$A$2:$A$301,0), Skills!M21+1)</f>
        <v/>
      </c>
      <c r="F1480">
        <f>IF(Skills!N21=TRUE,(Skills!L21/10)*(E1480/1000),Skills!L21/10)+Skills!O21</f>
        <v/>
      </c>
      <c r="G1480">
        <f>Skills!G21*IF(Skills!H21&gt;0,INT(IF(Inputs!$B$39="pvp",MIN(Skills!I21,15),Skills!I21)/Skills!H21+0.000000001),1)</f>
        <v/>
      </c>
      <c r="H1480">
        <f>1-(1-Skills!J21/100)^Skills!K21</f>
        <v/>
      </c>
      <c r="I1480" t="inlineStr">
        <is>
          <t>1</t>
        </is>
      </c>
      <c r="J1480" t="inlineStr"/>
      <c r="K1480" t="inlineStr"/>
      <c r="L1480" t="inlineStr"/>
      <c r="M1480" t="inlineStr"/>
      <c r="N1480" t="inlineStr"/>
      <c r="O1480">
        <f>(1-Summary!$B$11)*T1480+Summary!$B$11*V1480</f>
        <v/>
      </c>
      <c r="P1480">
        <f>IF(B1498=0,0,O1480/B1498)</f>
        <v/>
      </c>
      <c r="Q1480" t="n">
        <v>0</v>
      </c>
      <c r="R1480" t="n">
        <v>0</v>
      </c>
      <c r="S1480">
        <f>IFERROR(O1480/N1480,0)</f>
        <v/>
      </c>
      <c r="T1480" t="n">
        <v>0</v>
      </c>
      <c r="V1480" t="n">
        <v>0</v>
      </c>
    </row>
    <row r="1481">
      <c r="A1481">
        <f>Skills!A22</f>
        <v/>
      </c>
      <c r="B1481">
        <f>Skills!B22</f>
        <v/>
      </c>
      <c r="C1481">
        <f>Inputs!$B$3&gt;=43</f>
        <v/>
      </c>
      <c r="D1481">
        <f>IF(Skills!C22=1,60+Inputs!$B$26+Inputs!$B$30,IF(Skills!C22=2,90+Inputs!$B$27+Inputs!$B$30,IF(Skills!C22=3,120+Inputs!$B$28+Inputs!$B$30,MAX(0,(Inputs!$B$3-100)*3)+Inputs!$B$29+Inputs!$B$30)))</f>
        <v/>
      </c>
      <c r="E1481">
        <f>INDEX(FactorTable!$B$2:$Y$301, MATCH(ROUND(MIN(300,MAX(1,D1481)),0), FactorTable!$A$2:$A$301,0), Skills!M22+1)</f>
        <v/>
      </c>
      <c r="F1481">
        <f>IF(Skills!N22=TRUE,(Skills!L22/10)*(E1481/1000),Skills!L22/10)+Skills!O22</f>
        <v/>
      </c>
      <c r="G1481">
        <f>Skills!G22*IF(Skills!H22&gt;0,INT(IF(Inputs!$B$39="pvp",MIN(Skills!I22,15),Skills!I22)/Skills!H22+0.000000001),1)</f>
        <v/>
      </c>
      <c r="H1481">
        <f>1-(1-Skills!J22/100)^Skills!K22</f>
        <v/>
      </c>
      <c r="I1481" t="inlineStr">
        <is>
          <t>1</t>
        </is>
      </c>
      <c r="J1481" t="inlineStr"/>
      <c r="K1481" t="inlineStr"/>
      <c r="L1481" t="inlineStr"/>
      <c r="M1481" t="inlineStr"/>
      <c r="N1481" t="inlineStr"/>
      <c r="O1481">
        <f>(1-Summary!$B$11)*T1481+Summary!$B$11*V1481</f>
        <v/>
      </c>
      <c r="P1481">
        <f>IF(B1498=0,0,O1481/B1498)</f>
        <v/>
      </c>
      <c r="Q1481" t="n">
        <v>0</v>
      </c>
      <c r="R1481" t="n">
        <v>0</v>
      </c>
      <c r="S1481">
        <f>IFERROR(O1481/N1481,0)</f>
        <v/>
      </c>
      <c r="T1481" t="n">
        <v>0</v>
      </c>
      <c r="V1481" t="n">
        <v>0</v>
      </c>
    </row>
    <row r="1482">
      <c r="A1482">
        <f>Skills!A23</f>
        <v/>
      </c>
      <c r="B1482">
        <f>Skills!B23</f>
        <v/>
      </c>
      <c r="C1482">
        <f>Inputs!$B$3&gt;=120</f>
        <v/>
      </c>
      <c r="D1482">
        <f>IF(Skills!C23=1,60+Inputs!$B$26+Inputs!$B$30,IF(Skills!C23=2,90+Inputs!$B$27+Inputs!$B$30,IF(Skills!C23=3,120+Inputs!$B$28+Inputs!$B$30,MAX(0,(Inputs!$B$3-100)*3)+Inputs!$B$29+Inputs!$B$30)))</f>
        <v/>
      </c>
      <c r="E1482">
        <f>INDEX(FactorTable!$B$2:$Y$301, MATCH(ROUND(MIN(300,MAX(1,D1482)),0), FactorTable!$A$2:$A$301,0), Skills!M23+1)</f>
        <v/>
      </c>
      <c r="F1482">
        <f>IF(Skills!N23=TRUE,(Skills!L23/10)*(E1482/1000),Skills!L23/10)+Skills!O23</f>
        <v/>
      </c>
      <c r="G1482">
        <f>Skills!G23*IF(Skills!H23&gt;0,INT(IF(Inputs!$B$39="pvp",MIN(Skills!I23,15),Skills!I23)/Skills!H23+0.000000001),1)</f>
        <v/>
      </c>
      <c r="H1482">
        <f>1-(1-Skills!J23/100)^Skills!K23</f>
        <v/>
      </c>
      <c r="I1482" t="inlineStr">
        <is>
          <t>1</t>
        </is>
      </c>
      <c r="J1482" t="inlineStr"/>
      <c r="K1482" t="inlineStr"/>
      <c r="L1482" t="inlineStr"/>
      <c r="M1482" t="inlineStr"/>
      <c r="N1482" t="inlineStr"/>
      <c r="O1482">
        <f>(1-Summary!$B$11)*T1482+Summary!$B$11*V1482</f>
        <v/>
      </c>
      <c r="P1482">
        <f>IF(B1498=0,0,O1482/B1498)</f>
        <v/>
      </c>
      <c r="Q1482" t="n">
        <v>0</v>
      </c>
      <c r="R1482" t="n">
        <v>0</v>
      </c>
      <c r="S1482">
        <f>IFERROR(O1482/N1482,0)</f>
        <v/>
      </c>
      <c r="T1482" t="n">
        <v>0</v>
      </c>
      <c r="V1482" t="n">
        <v>0</v>
      </c>
    </row>
    <row r="1483">
      <c r="A1483">
        <f>Skills!A24</f>
        <v/>
      </c>
      <c r="B1483">
        <f>Skills!B24</f>
        <v/>
      </c>
      <c r="C1483">
        <f>Inputs!$B$3&gt;=120</f>
        <v/>
      </c>
      <c r="D1483">
        <f>IF(Skills!C24=1,60+Inputs!$B$26+Inputs!$B$30,IF(Skills!C24=2,90+Inputs!$B$27+Inputs!$B$30,IF(Skills!C24=3,120+Inputs!$B$28+Inputs!$B$30,MAX(0,(Inputs!$B$3-100)*3)+Inputs!$B$29+Inputs!$B$30)))</f>
        <v/>
      </c>
      <c r="E1483">
        <f>INDEX(FactorTable!$B$2:$Y$301, MATCH(ROUND(MIN(300,MAX(1,D1483)),0), FactorTable!$A$2:$A$301,0), Skills!M24+1)</f>
        <v/>
      </c>
      <c r="F1483">
        <f>IF(Skills!N24=TRUE,(Skills!L24/10)*(E1483/1000),Skills!L24/10)+Skills!O24</f>
        <v/>
      </c>
      <c r="G1483">
        <f>Skills!G24*IF(Skills!H24&gt;0,INT(IF(Inputs!$B$39="pvp",MIN(Skills!I24,15),Skills!I24)/Skills!H24+0.000000001),1)</f>
        <v/>
      </c>
      <c r="H1483">
        <f>1-(1-Skills!J24/100)^Skills!K24</f>
        <v/>
      </c>
      <c r="I1483" t="inlineStr">
        <is>
          <t>1</t>
        </is>
      </c>
      <c r="J1483" t="inlineStr"/>
      <c r="K1483" t="inlineStr"/>
      <c r="L1483" t="inlineStr"/>
      <c r="M1483" t="inlineStr"/>
      <c r="N1483" t="inlineStr"/>
      <c r="O1483">
        <f>(1-Summary!$B$11)*T1483+Summary!$B$11*V1483</f>
        <v/>
      </c>
      <c r="P1483">
        <f>IF(B1498=0,0,O1483/B1498)</f>
        <v/>
      </c>
      <c r="Q1483" t="n">
        <v>0</v>
      </c>
      <c r="R1483" t="n">
        <v>0</v>
      </c>
      <c r="S1483">
        <f>IFERROR(O1483/N1483,0)</f>
        <v/>
      </c>
      <c r="T1483" t="n">
        <v>0</v>
      </c>
      <c r="V1483" t="n">
        <v>0</v>
      </c>
    </row>
    <row r="1484">
      <c r="A1484">
        <f>Skills!A25</f>
        <v/>
      </c>
      <c r="B1484">
        <f>Skills!B25</f>
        <v/>
      </c>
      <c r="C1484">
        <f>Inputs!$B$3&gt;=125</f>
        <v/>
      </c>
      <c r="D1484">
        <f>IF(Skills!C25=1,60+Inputs!$B$26+Inputs!$B$30,IF(Skills!C25=2,90+Inputs!$B$27+Inputs!$B$30,IF(Skills!C25=3,120+Inputs!$B$28+Inputs!$B$30,MAX(0,(Inputs!$B$3-100)*3)+Inputs!$B$29+Inputs!$B$30)))</f>
        <v/>
      </c>
      <c r="E1484">
        <f>INDEX(FactorTable!$B$2:$Y$301, MATCH(ROUND(MIN(300,MAX(1,D1484)),0), FactorTable!$A$2:$A$301,0), Skills!M25+1)</f>
        <v/>
      </c>
      <c r="F1484">
        <f>IF(Skills!N25=TRUE,(Skills!L25/10)*(E1484/1000),Skills!L25/10)+Skills!O25</f>
        <v/>
      </c>
      <c r="G1484">
        <f>Skills!G25*IF(Skills!H25&gt;0,INT(IF(Inputs!$B$39="pvp",MIN(Skills!I25,15),Skills!I25)/Skills!H25+0.000000001),1)</f>
        <v/>
      </c>
      <c r="H1484">
        <f>1-(1-Skills!J25/100)^Skills!K25</f>
        <v/>
      </c>
      <c r="I1484" t="inlineStr">
        <is>
          <t>1</t>
        </is>
      </c>
      <c r="J1484" t="inlineStr"/>
      <c r="K1484" t="inlineStr"/>
      <c r="L1484" t="inlineStr"/>
      <c r="M1484" t="inlineStr"/>
      <c r="N1484" t="inlineStr"/>
      <c r="O1484">
        <f>(1-Summary!$B$11)*T1484+Summary!$B$11*V1484</f>
        <v/>
      </c>
      <c r="P1484">
        <f>IF(B1498=0,0,O1484/B1498)</f>
        <v/>
      </c>
      <c r="Q1484" t="n">
        <v>0</v>
      </c>
      <c r="R1484" t="n">
        <v>0</v>
      </c>
      <c r="S1484">
        <f>IFERROR(O1484/N1484,0)</f>
        <v/>
      </c>
      <c r="T1484" t="n">
        <v>0</v>
      </c>
      <c r="V1484" t="n">
        <v>0</v>
      </c>
    </row>
    <row r="1485">
      <c r="A1485">
        <f>Skills!A26</f>
        <v/>
      </c>
      <c r="B1485">
        <f>Skills!B26</f>
        <v/>
      </c>
      <c r="C1485">
        <f>Inputs!$B$3&gt;=107</f>
        <v/>
      </c>
      <c r="D1485">
        <f>IF(Skills!C26=1,60+Inputs!$B$26+Inputs!$B$30,IF(Skills!C26=2,90+Inputs!$B$27+Inputs!$B$30,IF(Skills!C26=3,120+Inputs!$B$28+Inputs!$B$30,MAX(0,(Inputs!$B$3-100)*3)+Inputs!$B$29+Inputs!$B$30)))</f>
        <v/>
      </c>
      <c r="E1485">
        <f>INDEX(FactorTable!$B$2:$Y$301, MATCH(ROUND(MIN(300,MAX(1,D1485)),0), FactorTable!$A$2:$A$301,0), Skills!M26+1)</f>
        <v/>
      </c>
      <c r="F1485">
        <f>IF(Skills!N26=TRUE,(Skills!L26/10)*(E1485/1000),Skills!L26/10)+Skills!O26</f>
        <v/>
      </c>
      <c r="G1485">
        <f>Skills!G26*IF(Skills!H26&gt;0,INT(IF(Inputs!$B$39="pvp",MIN(Skills!I26,15),Skills!I26)/Skills!H26+0.000000001),1)</f>
        <v/>
      </c>
      <c r="H1485">
        <f>1-(1-Skills!J26/100)^Skills!K26</f>
        <v/>
      </c>
      <c r="I1485" t="inlineStr">
        <is>
          <t>1</t>
        </is>
      </c>
      <c r="J1485" t="inlineStr"/>
      <c r="K1485" t="inlineStr"/>
      <c r="L1485" t="inlineStr"/>
      <c r="M1485" t="inlineStr"/>
      <c r="N1485" t="inlineStr"/>
      <c r="O1485">
        <f>(1-Summary!$B$11)*T1485+Summary!$B$11*V1485</f>
        <v/>
      </c>
      <c r="P1485">
        <f>IF(B1498=0,0,O1485/B1498)</f>
        <v/>
      </c>
      <c r="Q1485" t="n">
        <v>0</v>
      </c>
      <c r="R1485" t="n">
        <v>0</v>
      </c>
      <c r="S1485">
        <f>IFERROR(O1485/N1485,0)</f>
        <v/>
      </c>
      <c r="T1485" t="n">
        <v>0</v>
      </c>
      <c r="V1485" t="n">
        <v>0</v>
      </c>
    </row>
    <row r="1487">
      <c r="A1487" t="inlineStr">
        <is>
          <t>Attack% Bucket Multiplier</t>
        </is>
      </c>
      <c r="B1487">
        <f>(1+(((C1472=TRUE)*F1472*IF(AND(Inputs!$B$39&lt;&gt;"pvp",Inputs!$B$44&gt;0),(((R1472-1)*MIN((Skills!T13*(1+Inputs!$B$35/100)),(1/Q1472))+MIN((Skills!T13*(1+Inputs!$B$35/100)),MAX(0,Inputs!$B$44-((R1472-1)*(1/Q1472)))))/Inputs!$B$44),IF(Inputs!$B$39="pvp",MIN((Skills!T13*(1+Inputs!$B$35/100)),15)/15,MIN(1,(Skills!T13*(1+Inputs!$B$35/100))/(1/Q1472)))))+((C1473=TRUE)*F1473*IF(AND(Inputs!$B$39&lt;&gt;"pvp",Inputs!$B$44&gt;0),(((R1473-1)*MIN((Skills!T14*(1+Inputs!$B$35/100)),(1/Q1473))+MIN((Skills!T14*(1+Inputs!$B$35/100)),MAX(0,Inputs!$B$44-((R1473-1)*(1/Q1473)))))/Inputs!$B$44),IF(Inputs!$B$39="pvp",MIN((Skills!T14*(1+Inputs!$B$35/100)),15)/15,MIN(1,(Skills!T14*(1+Inputs!$B$35/100))/(1/Q1473)))))+((C1474=TRUE)*F1474*IF(AND(Inputs!$B$39&lt;&gt;"pvp",Inputs!$B$44&gt;0),(((R1474-1)*MIN((Skills!T15*(1+Inputs!$B$35/100)),(1/Q1474))+MIN((Skills!T15*(1+Inputs!$B$35/100)),MAX(0,Inputs!$B$44-((R1474-1)*(1/Q1474)))))/Inputs!$B$44),IF(Inputs!$B$39="pvp",MIN((Skills!T15*(1+Inputs!$B$35/100)),15)/15,MIN(1,(Skills!T15*(1+Inputs!$B$35/100))/(1/Q1474)))))+((C1475=TRUE)*F1475*IF(AND(Inputs!$B$39&lt;&gt;"pvp",Inputs!$B$44&gt;0),(((R1475-1)*MIN((Skills!T16*(1+Inputs!$B$35/100)),(1/Q1475))+MIN((Skills!T16*(1+Inputs!$B$35/100)),MAX(0,Inputs!$B$44-((R1475-1)*(1/Q1475)))))/Inputs!$B$44),IF(Inputs!$B$39="pvp",MIN((Skills!T16*(1+Inputs!$B$35/100)),15)/15,MIN(1,(Skills!T16*(1+Inputs!$B$35/100))/(1/Q1475)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1488">
      <c r="A1488" t="inlineStr">
        <is>
          <t>Global Crit Rate Bonus % (Lord of Darkness)</t>
        </is>
      </c>
      <c r="B1488">
        <f>((C1477=TRUE)*F1477*(Skills!J18/100)*IF(AND(Inputs!$B$39&lt;&gt;"pvp",Inputs!$B$44&gt;0),(((R1477-1)*MIN((Skills!T18*(1+Inputs!$B$35/100)),(1/Q1477))+MIN((Skills!T18*(1+Inputs!$B$35/100)),MAX(0,Inputs!$B$44-((R1477-1)*(1/Q1477)))))/Inputs!$B$44),IF(Inputs!$B$39="pvp",MIN((Skills!T18*(1+Inputs!$B$35/100)),15)/15,MIN(1,(Skills!T18*(1+Inputs!$B$35/100))/(1/Q1477)))))</f>
        <v/>
      </c>
    </row>
    <row r="1489">
      <c r="A1489" t="inlineStr">
        <is>
          <t>Attack Speed Buff Bonus %</t>
        </is>
      </c>
      <c r="B1489">
        <f>((C1479=TRUE)*F1479*IF(AND(Inputs!$B$39&lt;&gt;"pvp",Inputs!$B$44&gt;0),(((R1479-1)*MIN((Skills!T20*(1+Inputs!$B$35/100)),(1/Q1479))+MIN((Skills!T20*(1+Inputs!$B$35/100)),MAX(0,Inputs!$B$44-((R1479-1)*(1/Q1479)))))/Inputs!$B$44),IF(Inputs!$B$39="pvp",MIN((Skills!T20*(1+Inputs!$B$35/100)),15)/15,MIN(1,(Skills!T20*(1+Inputs!$B$35/100))/(1/Q1479)))))</f>
        <v/>
      </c>
    </row>
    <row r="1490">
      <c r="A1490" t="inlineStr">
        <is>
          <t>Actions Per Second</t>
        </is>
      </c>
      <c r="B1490">
        <f>1+MIN(150,150*(1-(1-(Inputs!$B$12+((C1480=TRUE)*(F1480-Calc!F21)))/150)*(1-B1489/150)))/100</f>
        <v/>
      </c>
    </row>
    <row r="1491">
      <c r="A1491" t="inlineStr">
        <is>
          <t>Skill + Buff Cast Rate</t>
        </is>
      </c>
      <c r="B1491">
        <f>IF(AND(Inputs!$B$39&lt;&gt;"pvp",Inputs!$B$44&gt;0),SUMPRODUCT((Skills!E2:E26=TRUE)*(C1461:C1485=TRUE)*R1461:R1485*Skills!F2:F26)/Inputs!$B$44,SUMPRODUCT((Skills!E2:E26=TRUE)*(C1461:C1485=TRUE)*Q1461:Q1485*Skills!F2:F26))</f>
        <v/>
      </c>
    </row>
    <row r="1492">
      <c r="A1492" t="inlineStr">
        <is>
          <t>Dark Impale Casts Per Second</t>
        </is>
      </c>
      <c r="B1492">
        <f>MAX(0,B1490-B1491)</f>
        <v/>
      </c>
    </row>
    <row r="1493">
      <c r="A1493" t="inlineStr">
        <is>
          <t>Global Critical Damage Bonus % (Lord of Darkness)</t>
        </is>
      </c>
      <c r="B1493">
        <f>((C1478=TRUE)*F1478*(Skills!J19/100)*IF(AND(Inputs!$B$39&lt;&gt;"pvp",Inputs!$B$44&gt;0),(((R1478-1)*MIN((Skills!T19*(1+Inputs!$B$35/100)),(1/Q1478))+MIN((Skills!T19*(1+Inputs!$B$35/100)),MAX(0,Inputs!$B$44-((R1478-1)*(1/Q1478)))))/Inputs!$B$44),IF(Inputs!$B$39="pvp",MIN((Skills!T19*(1+Inputs!$B$35/100)),15)/15,MIN(1,(Skills!T19*(1+Inputs!$B$35/100))/(1/Q1478)))))</f>
        <v/>
      </c>
    </row>
    <row r="1494">
      <c r="A1494" t="inlineStr">
        <is>
          <t>Global Final Damage Bonus % (unused)</t>
        </is>
      </c>
      <c r="B1494" t="n">
        <v>0</v>
      </c>
    </row>
    <row r="1495">
      <c r="A1495" t="inlineStr">
        <is>
          <t>Buff-Casting Startup Delay (s, fixed-duration only)</t>
        </is>
      </c>
      <c r="B1495">
        <f>IF(AND(Inputs!$B$39&lt;&gt;"pvp",Inputs!$B$44&gt;0),SUMPRODUCT((Skills!T2:T26&gt;0)*(Skills!E2:E26=TRUE)*(C1461:C1485=TRUE))/B1490,0)</f>
        <v/>
      </c>
    </row>
    <row r="1496">
      <c r="A1496" t="inlineStr">
        <is>
          <t>Boss-Only Total DPS (this block's swept value)</t>
        </is>
      </c>
      <c r="B1496">
        <f>SUM(T1461:T1485)</f>
        <v/>
      </c>
    </row>
    <row r="1497">
      <c r="A1497" t="inlineStr">
        <is>
          <t>Normal-Only Total DPS (this block's swept value)</t>
        </is>
      </c>
      <c r="B1497">
        <f>SUM(V1461:V1485)</f>
        <v/>
      </c>
    </row>
    <row r="1498">
      <c r="A1498" s="6" t="inlineStr">
        <is>
          <t>TOTAL DPS</t>
        </is>
      </c>
      <c r="B1498" s="6">
        <f>SUM(O1461:O1485)</f>
        <v/>
      </c>
    </row>
    <row r="1501">
      <c r="A1501" s="6" t="inlineStr">
        <is>
          <t>Stat: Arwen's Glass Shoes (Equip)</t>
        </is>
      </c>
    </row>
    <row r="1502">
      <c r="A1502" s="5" t="inlineStr">
        <is>
          <t>Key</t>
        </is>
      </c>
      <c r="B1502" s="5" t="inlineStr">
        <is>
          <t>Name</t>
        </is>
      </c>
      <c r="C1502" s="5" t="inlineStr">
        <is>
          <t>Unlocked</t>
        </is>
      </c>
      <c r="D1502" s="5" t="inlineStr">
        <is>
          <t>InputLevel</t>
        </is>
      </c>
      <c r="E1502" s="5" t="inlineStr">
        <is>
          <t>Factor</t>
        </is>
      </c>
      <c r="F1502" s="5" t="inlineStr">
        <is>
          <t>CoefficientPercent</t>
        </is>
      </c>
      <c r="G1502" s="5" t="inlineStr">
        <is>
          <t>EffectiveHits</t>
        </is>
      </c>
      <c r="H1502" s="5" t="inlineStr">
        <is>
          <t>ProcProbability</t>
        </is>
      </c>
      <c r="I1502" s="5" t="inlineStr">
        <is>
          <t>MapleHeroMultiplier</t>
        </is>
      </c>
      <c r="J1502" s="5" t="inlineStr">
        <is>
          <t>BaseDamage</t>
        </is>
      </c>
      <c r="K1502" s="5" t="inlineStr">
        <is>
          <t>BaseHitDamage</t>
        </is>
      </c>
      <c r="L1502" s="5" t="inlineStr">
        <is>
          <t>NonCritAvg</t>
        </is>
      </c>
      <c r="M1502" s="5" t="inlineStr">
        <is>
          <t>CritAvg</t>
        </is>
      </c>
      <c r="N1502" s="5" t="inlineStr">
        <is>
          <t>ExpectedDamage(perHit)</t>
        </is>
      </c>
      <c r="O1502" s="5" t="inlineStr">
        <is>
          <t>DPS</t>
        </is>
      </c>
      <c r="P1502" s="5" t="inlineStr">
        <is>
          <t>% of Total</t>
        </is>
      </c>
      <c r="Q1502" s="5" t="inlineStr">
        <is>
          <t>InvCooldown</t>
        </is>
      </c>
      <c r="R1502" s="5" t="inlineStr">
        <is>
          <t>CastsInFight</t>
        </is>
      </c>
      <c r="S1502" s="5" t="inlineStr">
        <is>
          <t>HitRate(perSec)</t>
        </is>
      </c>
      <c r="U1502" t="inlineStr">
        <is>
          <t>helpers</t>
        </is>
      </c>
    </row>
    <row r="1503">
      <c r="A1503">
        <f>Skills!A2</f>
        <v/>
      </c>
      <c r="B1503">
        <f>Skills!B2</f>
        <v/>
      </c>
      <c r="C1503">
        <f>Inputs!$B$3&gt;=100</f>
        <v/>
      </c>
      <c r="D1503" t="inlineStr"/>
      <c r="E1503" t="inlineStr"/>
      <c r="F1503">
        <f>U1505+Skills!O2</f>
        <v/>
      </c>
      <c r="G1503">
        <f>Skills!G2*IF(Skills!H2&gt;0,INT(IF(Inputs!$B$39="pvp",MIN(Skills!I2,15),Skills!I2)/Skills!H2+0.000000001),1)</f>
        <v/>
      </c>
      <c r="H1503">
        <f>1-(1-Skills!J2/100)^Skills!K2</f>
        <v/>
      </c>
      <c r="I1503" t="inlineStr">
        <is>
          <t>1</t>
        </is>
      </c>
      <c r="J1503">
        <f>((Inputs!$B$6*(1+Inputs!$B$7/100))+(((Inputs!$B$13*(1+Inputs!$B$14/100))-(Inputs!$B$13*(1+Inputs!$B$14/100)))+0.25*(Inputs!$B$15-Inputs!$B$15))*(1+Inputs!$B$7/100))*(F1503/100)</f>
        <v/>
      </c>
      <c r="K1503">
        <f>J1503*(1+(((Inputs!$B$13+IF(Inputs!$B$3&gt;=38,(10*INDEX(FactorTable!$B$2:$Y$301, MATCH(ROUND(MIN(300,MAX(1,Inputs!$B$3)),0), FactorTable!$A$2:$A$301,0), 23)/1000)/100*(Inputs!$B$8*(1+Inputs!$B$9/100)),0))*(1+Inputs!$B$14/100))*0.01+Inputs!$B$15*0.0025)/100)*(1+Inputs!$B$16/100)*(1+Inputs!$B$17/100)*(5000/(6000+Inputs!$B$43*(1-(Inputs!$B$20+0)/100)))*(1+(Inputs!$B$25+((C1526=TRUE)*(F1526-Calc!F25))+((C1527=TRUE)*(F1527-Calc!F26))+B1536)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gt;=100),MIN(100,((Inputs!$B$10+0+B1530+(ArtifactsInput!$M$24-ArtifactsInput!$M$24)*CHOOSE(ArtifactsInput!$N$24+1,10,12,14,16,18,20)+IF(ArtifactsInput!$M$10,CHOOSE(ArtifactsInput!$N$10+1,15,18,21,24,27,30)*(IF(Inputs!$B$39="pvp",MIN(15,15)/15,IF(AND(Inputs!$B$39&lt;&gt;"pvp",Inputs!$B$44&gt;0),MIN(15,Inputs!$B$44)/(Inputs!$B$44),0))),0)))-100),0))*CHOOSE(ArtifactsInput!$N$42+1,0.6,0.72,0.84,0.96,1.08,1.2))),Inputs!$B$19+((C1524=TRUE)*(F1524-Calc!F23))+(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gt;=100),CHOOSE(ArtifactsInput!$N$42+1,40,48,56,64,72,80),0))))/100)*((1+(((C1514=TRUE)*F1514*IF(AND(Inputs!$B$39&lt;&gt;"pvp",Inputs!$B$44&gt;0),(((R1514-1)*MIN((Skills!T13*(1+Inputs!$B$35/100)),(1/Q1514))+MIN((Skills!T13*(1+Inputs!$B$35/100)),MAX(0,Inputs!$B$44-((R1514-1)*(1/Q1514)))))/Inputs!$B$44),IF(Inputs!$B$39="pvp",MIN((Skills!T13*(1+Inputs!$B$35/100)),15)/15,MIN(1,(Skills!T13*(1+Inputs!$B$35/100))/(1/Q1514)))))+((C1515=TRUE)*F1515*IF(AND(Inputs!$B$39&lt;&gt;"pvp",Inputs!$B$44&gt;0),(((R1515-1)*MIN((Skills!T14*(1+Inputs!$B$35/100)),(1/Q1515))+MIN((Skills!T14*(1+Inputs!$B$35/100)),MAX(0,Inputs!$B$44-((R1515-1)*(1/Q1515)))))/Inputs!$B$44),IF(Inputs!$B$39="pvp",MIN((Skills!T14*(1+Inputs!$B$35/100)),15)/15,MIN(1,(Skills!T14*(1+Inputs!$B$35/100))/(1/Q1515)))))+((C1516=TRUE)*F1516*IF(AND(Inputs!$B$39&lt;&gt;"pvp",Inputs!$B$44&gt;0),(((R1516-1)*MIN((Skills!T15*(1+Inputs!$B$35/100)),(1/Q1516))+MIN((Skills!T15*(1+Inputs!$B$35/100)),MAX(0,Inputs!$B$44-((R1516-1)*(1/Q1516)))))/Inputs!$B$44),IF(Inputs!$B$39="pvp",MIN((Skills!T15*(1+Inputs!$B$35/100)),15)/15,MIN(1,(Skills!T15*(1+Inputs!$B$35/100))/(1/Q1516)))))+((C1517=TRUE)*F1517*IF(AND(Inputs!$B$39&lt;&gt;"pvp",Inputs!$B$44&gt;0),(((R1517-1)*MIN((Skills!T16*(1+Inputs!$B$35/100)),(1/Q1517))+MIN((Skills!T16*(1+Inputs!$B$35/100)),MAX(0,Inputs!$B$44-((R1517-1)*(1/Q1517)))))/Inputs!$B$44),IF(Inputs!$B$39="pvp",MIN((Skills!T16*(1+Inputs!$B$35/100)),15)/15,MIN(1,(Skills!T16*(1+Inputs!$B$35/100))/(1/Q1517)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1503)</f>
        <v/>
      </c>
      <c r="L1503">
        <f>K1503*(MIN(Inputs!$B$23+((C1523=TRUE)*(F1523-Calc!F22)),(Inputs!$B$24+((C1525=TRUE)*(F1525-Calc!F24))+(IF(ArtifactsInput!$M$15,CHOOSE(ArtifactsInput!$N$15+1,25,30,35,40,45,50)/100*(Inputs!$B$12-Inputs!$B$12),0))))/100+(Inputs!$B$24+((C1525=TRUE)*(F1525-Calc!F24))+(IF(ArtifactsInput!$M$15,CHOOSE(ArtifactsInput!$N$15+1,25,30,35,40,45,50)/100*(Inputs!$B$12-Inputs!$B$12),0)))/100)/2</f>
        <v/>
      </c>
      <c r="M1503">
        <f>L1503*(1+(Inputs!$B$11+0+B1535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503">
        <f>L1503*(1-MIN((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1503*(MIN((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03">
        <f>(1-Summary!$B$11)*T1503+Summary!$B$11*V1503</f>
        <v/>
      </c>
      <c r="P1503">
        <f>IF(B1540=0,0,O1503/B1540)</f>
        <v/>
      </c>
      <c r="Q1503" t="n">
        <v>0</v>
      </c>
      <c r="R1503" t="n">
        <v>0</v>
      </c>
      <c r="S1503">
        <f>IFERROR(O1503/N1503,0)</f>
        <v/>
      </c>
      <c r="T1503">
        <f>IF(C1503,(Skills!G2*N1503*B1534)*IF(Inputs!$B$39="pvp",1,1+(Inputs!$B$21+0+Skills!P2+((C1518=TRUE)*F1518*IF(AND(Inputs!$B$39&lt;&gt;"pvp",Inputs!$B$44&gt;0),(((R1518-1)*MIN((Skills!T17*(1+Inputs!$B$35/100)),(1/Q1518))+MIN((Skills!T17*(1+Inputs!$B$35/100)),MAX(0,Inputs!$B$44-((R1518-1)*(1/Q1518)))))/Inputs!$B$44),IF(Inputs!$B$39="pvp",MIN((Skills!T17*(1+Inputs!$B$35/100)),15)/15,MIN(1,(Skills!T17*(1+Inputs!$B$35/100))/(1/Q1518)))))+((C1506=TRUE)*IF(Inputs!$B$3&gt;=126,10*MIN(1,15*Q1506),0))+((C1515=TRUE)*IF(Inputs!$B$39="pvp",20,(1-Summary!$B$11)*(20)+Summary!$B$11*(0))*IF(AND(Inputs!$B$39&lt;&gt;"pvp",Inputs!$B$44&gt;0),(((R1515-1)*MIN((Skills!T14*(1+Inputs!$B$35/100)),(1/Q1515))+MIN((Skills!T14*(1+Inputs!$B$35/100)),MAX(0,Inputs!$B$44-((R1515-1)*(1/Q1515)))))/Inputs!$B$44),IF(Inputs!$B$39="pvp",MIN((Skills!T14*(1+Inputs!$B$35/100)),15)/15,MIN(1,(Skills!T14*(1+Inputs!$B$35/100))/(1/Q1515)))))+((C1514=TRUE)*IF(Inputs!$B$3&gt;=82,IF(Inputs!$B$39="pvp",20,(1-Summary!$B$11)*(20)+Summary!$B$11*(0)),0)*IF(AND(Inputs!$B$39&lt;&gt;"pvp",Inputs!$B$44&gt;0),(((R1514-1)*MIN((Skills!T13*(1+Inputs!$B$35/100)),(1/Q1514))+MIN((Skills!T13*(1+Inputs!$B$35/100)),MAX(0,Inputs!$B$44-((R1514-1)*(1/Q1514)))))/Inputs!$B$44),IF(Inputs!$B$39="pvp",MIN((Skills!T13*(1+Inputs!$B$35/100)),15)/15,MIN(1,(Skills!T13*(1+Inputs!$B$35/100))/(1/Q1514)))))+(IF(AND(ArtifactsInput!$M$35,Inputs!$B$4&lt;&gt;"Chapter Hunt"),CHOOSE(ArtifactsInput!$N$35+1,15,18,21,24,27,30)*(1-EXP(-(0.2*B1532)*5)),0)+IF(AND(ArtifactsInput!$M$22,Inputs!$B$4&lt;&gt;"Chapter Hunt"),CHOOSE(ArtifactsInput!$N$22+1,10,12,14,16,18,20)*((0*(((0.15*B1532*5))^0/1)+1*(((0.15*B1532*5))^1/1)+2*(((0.15*B1532*5))^2/2)+3*(((0.15*B1532*5))^3/6)+4*(((0.15*B1532*5))^4/24)+5*(((0.15*B1532*5))^5/120))/((((0.15*B1532*5))^0/1)+(((0.15*B1532*5))^1/1)+(((0.15*B1532*5))^2/2)+(((0.15*B1532*5))^3/6)+(((0.15*B1532*5))^4/24)+(((0.15*B1532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1503*(1-MIN(100,(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1503*(MIN(100,(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1503*(1-MIN(100,(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1503*(MIN(100,(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503">
        <f>MAX(0,(Inputs!$B$3-100)*3)+Inputs!$B$29+Inputs!$B$30</f>
        <v/>
      </c>
      <c r="V1503">
        <f>IF(C1503,(Skills!G2*N1503*B1534)*IF(Inputs!$B$39="pvp",1,(1+(Inputs!$B$22+Skills!Q2+((C1518=TRUE)*F1518*IF(AND(Inputs!$B$39&lt;&gt;"pvp",Inputs!$B$44&gt;0),(((R1518-1)*MIN((Skills!T17*(1+Inputs!$B$35/100)),(1/Q1518))+MIN((Skills!T17*(1+Inputs!$B$35/100)),MAX(0,Inputs!$B$44-((R1518-1)*(1/Q1518)))))/Inputs!$B$44),IF(Inputs!$B$39="pvp",MIN((Skills!T17*(1+Inputs!$B$35/100)),15)/15,MIN(1,(Skills!T17*(1+Inputs!$B$35/100))/(1/Q1518)))))+((C1506=TRUE)*IF(Inputs!$B$3&gt;=126,10*MIN(1,15*Q1506),0))+((C1515=TRUE)*IF(Inputs!$B$39="pvp",20,(1-Summary!$B$11)*(20)+Summary!$B$11*(0))*IF(AND(Inputs!$B$39&lt;&gt;"pvp",Inputs!$B$44&gt;0),(((R1515-1)*MIN((Skills!T14*(1+Inputs!$B$35/100)),(1/Q1515))+MIN((Skills!T14*(1+Inputs!$B$35/100)),MAX(0,Inputs!$B$44-((R1515-1)*(1/Q1515)))))/Inputs!$B$44),IF(Inputs!$B$39="pvp",MIN((Skills!T14*(1+Inputs!$B$35/100)),15)/15,MIN(1,(Skills!T14*(1+Inputs!$B$35/100))/(1/Q1515)))))+((C1514=TRUE)*IF(Inputs!$B$3&gt;=82,IF(Inputs!$B$39="pvp",20,(1-Summary!$B$11)*(20)+Summary!$B$11*(0)),0)*IF(AND(Inputs!$B$39&lt;&gt;"pvp",Inputs!$B$44&gt;0),(((R1514-1)*MIN((Skills!T13*(1+Inputs!$B$35/100)),(1/Q1514))+MIN((Skills!T13*(1+Inputs!$B$35/100)),MAX(0,Inputs!$B$44-((R1514-1)*(1/Q1514)))))/Inputs!$B$44),IF(Inputs!$B$39="pvp",MIN((Skills!T13*(1+Inputs!$B$35/100)),15)/15,MIN(1,(Skills!T13*(1+Inputs!$B$35/100))/(1/Q1514)))))+(IF(AND(ArtifactsInput!$M$35,Inputs!$B$4&lt;&gt;"Chapter Hunt"),CHOOSE(ArtifactsInput!$N$35+1,15,18,21,24,27,30)*(1-EXP(-(0.2*B1532)*5)),0)+IF(AND(ArtifactsInput!$M$22,Inputs!$B$4&lt;&gt;"Chapter Hunt"),CHOOSE(ArtifactsInput!$N$22+1,10,12,14,16,18,20)*((0*(((0.15*B1532*5))^0/1)+1*(((0.15*B1532*5))^1/1)+2*(((0.15*B1532*5))^2/2)+3*(((0.15*B1532*5))^3/6)+4*(((0.15*B1532*5))^4/24)+5*(((0.15*B1532*5))^5/120))/((((0.15*B1532*5))^0/1)+(((0.15*B1532*5))^1/1)+(((0.15*B1532*5))^2/2)+(((0.15*B1532*5))^3/6)+(((0.15*B1532*5))^4/24)+(((0.15*B1532*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04">
      <c r="A1504">
        <f>Skills!A3</f>
        <v/>
      </c>
      <c r="B1504">
        <f>Skills!B3</f>
        <v/>
      </c>
      <c r="C1504">
        <f>Inputs!$B$3&gt;=50</f>
        <v/>
      </c>
      <c r="D1504">
        <f>IF(Skills!C3=1,60+Inputs!$B$26+Inputs!$B$30,IF(Skills!C3=2,90+Inputs!$B$27+Inputs!$B$30,IF(Skills!C3=3,120+Inputs!$B$28+Inputs!$B$30,MAX(0,(Inputs!$B$3-100)*3)+Inputs!$B$29+Inputs!$B$30)))</f>
        <v/>
      </c>
      <c r="E1504">
        <f>INDEX(FactorTable!$B$2:$Y$301, MATCH(ROUND(MIN(300,MAX(1,D1504)),0), FactorTable!$A$2:$A$301,0), Skills!M3+1)</f>
        <v/>
      </c>
      <c r="F1504">
        <f>IF(Skills!N3=TRUE,(Skills!L3/10)*(E1504/1000),Skills!L3/10)+Skills!O3</f>
        <v/>
      </c>
      <c r="G1504" t="inlineStr"/>
      <c r="H1504" t="inlineStr"/>
      <c r="I1504" t="inlineStr">
        <is>
          <t>1</t>
        </is>
      </c>
      <c r="J1504" t="inlineStr"/>
      <c r="K1504" t="inlineStr"/>
      <c r="L1504" t="inlineStr"/>
      <c r="M1504" t="inlineStr"/>
      <c r="N1504" t="inlineStr"/>
      <c r="O1504" t="inlineStr"/>
      <c r="P1504" t="inlineStr"/>
      <c r="Q1504" t="inlineStr"/>
      <c r="R1504" t="inlineStr"/>
      <c r="S1504" t="inlineStr"/>
      <c r="U1504">
        <f>INDEX(FactorTable!$B$2:$Y$301, MATCH(ROUND(MIN(300,MAX(1,U1503)),0), FactorTable!$A$2:$A$301,0), 22)</f>
        <v/>
      </c>
    </row>
    <row r="1505">
      <c r="A1505">
        <f>Skills!A4</f>
        <v/>
      </c>
      <c r="B1505">
        <f>Skills!B4</f>
        <v/>
      </c>
      <c r="C1505">
        <f>Inputs!$B$3&gt;=105</f>
        <v/>
      </c>
      <c r="D1505">
        <f>IF(Skills!C4=1,60+Inputs!$B$26+Inputs!$B$30,IF(Skills!C4=2,90+Inputs!$B$27+Inputs!$B$30,IF(Skills!C4=3,120+Inputs!$B$28+Inputs!$B$30,MAX(0,(Inputs!$B$3-100)*3)+Inputs!$B$29+Inputs!$B$30)))</f>
        <v/>
      </c>
      <c r="E1505">
        <f>INDEX(FactorTable!$B$2:$Y$301, MATCH(ROUND(MIN(300,MAX(1,D1505)),0), FactorTable!$A$2:$A$301,0), Skills!M4+1)</f>
        <v/>
      </c>
      <c r="F1505">
        <f>IF(Skills!N4=TRUE,(Skills!L4/10)*(E1505/1000),Skills!L4/10)+Skills!O4</f>
        <v/>
      </c>
      <c r="G1505" t="inlineStr"/>
      <c r="H1505" t="inlineStr"/>
      <c r="I1505" t="inlineStr">
        <is>
          <t>1</t>
        </is>
      </c>
      <c r="J1505" t="inlineStr"/>
      <c r="K1505" t="inlineStr"/>
      <c r="L1505" t="inlineStr"/>
      <c r="M1505" t="inlineStr"/>
      <c r="N1505" t="inlineStr"/>
      <c r="O1505" t="inlineStr"/>
      <c r="P1505" t="inlineStr"/>
      <c r="Q1505" t="inlineStr"/>
      <c r="R1505" t="inlineStr"/>
      <c r="S1505" t="inlineStr"/>
      <c r="U1505">
        <f>290*U1504/1000</f>
        <v/>
      </c>
    </row>
    <row r="1506">
      <c r="A1506">
        <f>Skills!A5</f>
        <v/>
      </c>
      <c r="B1506">
        <f>Skills!B5</f>
        <v/>
      </c>
      <c r="C1506">
        <f>Inputs!$B$3&gt;=117</f>
        <v/>
      </c>
      <c r="D1506">
        <f>IF(Skills!C5=1,60+Inputs!$B$26+Inputs!$B$30,IF(Skills!C5=2,90+Inputs!$B$27+Inputs!$B$30,IF(Skills!C5=3,120+Inputs!$B$28+Inputs!$B$30,MAX(0,(Inputs!$B$3-100)*3)+Inputs!$B$29+Inputs!$B$30)))</f>
        <v/>
      </c>
      <c r="E1506">
        <f>INDEX(FactorTable!$B$2:$Y$301, MATCH(ROUND(MIN(300,MAX(1,D1506)),0), FactorTable!$A$2:$A$301,0), Skills!M5+1)</f>
        <v/>
      </c>
      <c r="F1506">
        <f>IF(Skills!N5=TRUE,(Skills!L5/10)*(E1506/1000),Skills!L5/10)+Skills!O5</f>
        <v/>
      </c>
      <c r="G1506">
        <f>Skills!G5*IF(Skills!H5&gt;0,INT(IF(Inputs!$B$39="pvp",MIN(Skills!I5,15),Skills!I5)/Skills!H5+0.000000001),1)</f>
        <v/>
      </c>
      <c r="H1506">
        <f>1-(1-Skills!J5/100)^Skills!K5</f>
        <v/>
      </c>
      <c r="I1506" t="inlineStr">
        <is>
          <t>1</t>
        </is>
      </c>
      <c r="J1506">
        <f>((Inputs!$B$6*(1+Inputs!$B$7/100))+(((Inputs!$B$13*(1+Inputs!$B$14/100))-(Inputs!$B$13*(1+Inputs!$B$14/100)))+0.25*(Inputs!$B$15-Inputs!$B$15))*(1+Inputs!$B$7/100))*(F1506/100)</f>
        <v/>
      </c>
      <c r="K1506">
        <f>J1506*(1+(((Inputs!$B$13+IF(Inputs!$B$3&gt;=38,(10*INDEX(FactorTable!$B$2:$Y$301, MATCH(ROUND(MIN(300,MAX(1,Inputs!$B$3)),0), FactorTable!$A$2:$A$301,0), 23)/1000)/100*(Inputs!$B$8*(1+Inputs!$B$9/100)),0))*(1+Inputs!$B$14/100))*0.01+Inputs!$B$15*0.0025)/100)*(1+Inputs!$B$16/100)*(1+Inputs!$B$17/100)*(5000/(6000+Inputs!$B$43*(1-(Inputs!$B$20+0)/100)))*(1+(Inputs!$B$25+((C1526=TRUE)*(F1526-Calc!F25))+((C1527=TRUE)*(F1527-Calc!F26))+B1536)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gt;=100),MIN(100,((Inputs!$B$10+0+B1530+(ArtifactsInput!$M$24-ArtifactsInput!$M$24)*CHOOSE(ArtifactsInput!$N$24+1,10,12,14,16,18,20)+IF(ArtifactsInput!$M$10,CHOOSE(ArtifactsInput!$N$10+1,15,18,21,24,27,30)*(IF(Inputs!$B$39="pvp",MIN(15,15)/15,IF(AND(Inputs!$B$39&lt;&gt;"pvp",Inputs!$B$44&gt;0),MIN(15,Inputs!$B$44)/(Inputs!$B$44),0))),0)))-100),0))*CHOOSE(ArtifactsInput!$N$42+1,0.6,0.72,0.84,0.96,1.08,1.2))),Inputs!$B$19+((C1524=TRUE)*(F1524-Calc!F23))+(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gt;=100),CHOOSE(ArtifactsInput!$N$42+1,40,48,56,64,72,80),0))))/100)*((1+(((C1514=TRUE)*F1514*IF(AND(Inputs!$B$39&lt;&gt;"pvp",Inputs!$B$44&gt;0),(((R1514-1)*MIN((Skills!T13*(1+Inputs!$B$35/100)),(1/Q1514))+MIN((Skills!T13*(1+Inputs!$B$35/100)),MAX(0,Inputs!$B$44-((R1514-1)*(1/Q1514)))))/Inputs!$B$44),IF(Inputs!$B$39="pvp",MIN((Skills!T13*(1+Inputs!$B$35/100)),15)/15,MIN(1,(Skills!T13*(1+Inputs!$B$35/100))/(1/Q1514)))))+((C1515=TRUE)*F1515*IF(AND(Inputs!$B$39&lt;&gt;"pvp",Inputs!$B$44&gt;0),(((R1515-1)*MIN((Skills!T14*(1+Inputs!$B$35/100)),(1/Q1515))+MIN((Skills!T14*(1+Inputs!$B$35/100)),MAX(0,Inputs!$B$44-((R1515-1)*(1/Q1515)))))/Inputs!$B$44),IF(Inputs!$B$39="pvp",MIN((Skills!T14*(1+Inputs!$B$35/100)),15)/15,MIN(1,(Skills!T14*(1+Inputs!$B$35/100))/(1/Q1515)))))+((C1516=TRUE)*F1516*IF(AND(Inputs!$B$39&lt;&gt;"pvp",Inputs!$B$44&gt;0),(((R1516-1)*MIN((Skills!T15*(1+Inputs!$B$35/100)),(1/Q1516))+MIN((Skills!T15*(1+Inputs!$B$35/100)),MAX(0,Inputs!$B$44-((R1516-1)*(1/Q1516)))))/Inputs!$B$44),IF(Inputs!$B$39="pvp",MIN((Skills!T15*(1+Inputs!$B$35/100)),15)/15,MIN(1,(Skills!T15*(1+Inputs!$B$35/100))/(1/Q1516)))))+((C1517=TRUE)*F1517*IF(AND(Inputs!$B$39&lt;&gt;"pvp",Inputs!$B$44&gt;0),(((R1517-1)*MIN((Skills!T16*(1+Inputs!$B$35/100)),(1/Q1517))+MIN((Skills!T16*(1+Inputs!$B$35/100)),MAX(0,Inputs!$B$44-((R1517-1)*(1/Q1517)))))/Inputs!$B$44),IF(Inputs!$B$39="pvp",MIN((Skills!T16*(1+Inputs!$B$35/100)),15)/15,MIN(1,(Skills!T16*(1+Inputs!$B$35/100))/(1/Q1517)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1506)</f>
        <v/>
      </c>
      <c r="L1506">
        <f>K1506*(MIN(Inputs!$B$23+((C1523=TRUE)*(F1523-Calc!F22)),(Inputs!$B$24+((C1525=TRUE)*(F1525-Calc!F24))+(IF(ArtifactsInput!$M$15,CHOOSE(ArtifactsInput!$N$15+1,25,30,35,40,45,50)/100*(Inputs!$B$12-Inputs!$B$12),0))))/100+(Inputs!$B$24+((C1525=TRUE)*(F1525-Calc!F24))+(IF(ArtifactsInput!$M$15,CHOOSE(ArtifactsInput!$N$15+1,25,30,35,40,45,50)/100*(Inputs!$B$12-Inputs!$B$12),0)))/100)/2</f>
        <v/>
      </c>
      <c r="M1506">
        <f>L1506*(1+(Inputs!$B$11+0+B1535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506">
        <f>L1506*(1-MIN((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1506*(MIN((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06">
        <f>(1-Summary!$B$11)*T1506+Summary!$B$11*V1506</f>
        <v/>
      </c>
      <c r="P1506">
        <f>IF(B1540=0,0,O1506/B1540)</f>
        <v/>
      </c>
      <c r="Q1506">
        <f>IFERROR(1/IF(Inputs!$B$39="pvp",15,MAX(0.1,Skills!D5-IF(TRUE=TRUE,Inputs!$B$33,0))),0)</f>
        <v/>
      </c>
      <c r="R1506">
        <f>IF(AND(Inputs!$B$39&lt;&gt;"pvp",Inputs!$B$44&gt;0),IF(MAX(0,Inputs!$B$44-B1537)&lt;=0,0,(INT(MAX(0,Inputs!$B$44-B1537)/IF(Inputs!$B$39="pvp",15,MAX(0.1,Skills!D5-IF(TRUE=TRUE,Inputs!$B$33,0))))+1)),0)</f>
        <v/>
      </c>
      <c r="S1506">
        <f>IFERROR(O1506/N1506,0)</f>
        <v/>
      </c>
      <c r="T1506">
        <f>IF(C1506,(H1506*N1506*IF(AND(Inputs!$B$39&lt;&gt;"pvp",Inputs!$B$44&gt;0),((Skills!G5*((R1506-1)*IF(Skills!H5&gt;0,INT(Skills!I5/Skills!H5+0.000000001),1)+IF(Skills!H5&gt;0,INT(MIN(Skills!I5,MAX(0,MAX(0,Inputs!$B$44-B1537)-((R1506-1)*IF(Inputs!$B$39="pvp",15,MAX(0.1,Skills!D5-IF(TRUE=TRUE,Inputs!$B$33,0))))))/Skills!H5+0.000000001),1)))/Inputs!$B$44),G1506*Q1506))*IF(Inputs!$B$39="pvp",1,1+(Inputs!$B$21+0+Skills!P5+((C1518=TRUE)*F1518*IF(AND(Inputs!$B$39&lt;&gt;"pvp",Inputs!$B$44&gt;0),(((R1518-1)*MIN((Skills!T17*(1+Inputs!$B$35/100)),(1/Q1518))+MIN((Skills!T17*(1+Inputs!$B$35/100)),MAX(0,Inputs!$B$44-((R1518-1)*(1/Q1518)))))/Inputs!$B$44),IF(Inputs!$B$39="pvp",MIN((Skills!T17*(1+Inputs!$B$35/100)),15)/15,MIN(1,(Skills!T17*(1+Inputs!$B$35/100))/(1/Q1518)))))+((C1506=TRUE)*IF(Inputs!$B$3&gt;=126,10*MIN(1,15*Q1506),0))+((C1515=TRUE)*IF(Inputs!$B$39="pvp",20,(1-Summary!$B$11)*(20)+Summary!$B$11*(0))*IF(AND(Inputs!$B$39&lt;&gt;"pvp",Inputs!$B$44&gt;0),(((R1515-1)*MIN((Skills!T14*(1+Inputs!$B$35/100)),(1/Q1515))+MIN((Skills!T14*(1+Inputs!$B$35/100)),MAX(0,Inputs!$B$44-((R1515-1)*(1/Q1515)))))/Inputs!$B$44),IF(Inputs!$B$39="pvp",MIN((Skills!T14*(1+Inputs!$B$35/100)),15)/15,MIN(1,(Skills!T14*(1+Inputs!$B$35/100))/(1/Q1515)))))+((C1514=TRUE)*IF(Inputs!$B$3&gt;=82,IF(Inputs!$B$39="pvp",20,(1-Summary!$B$11)*(20)+Summary!$B$11*(0)),0)*IF(AND(Inputs!$B$39&lt;&gt;"pvp",Inputs!$B$44&gt;0),(((R1514-1)*MIN((Skills!T13*(1+Inputs!$B$35/100)),(1/Q1514))+MIN((Skills!T13*(1+Inputs!$B$35/100)),MAX(0,Inputs!$B$44-((R1514-1)*(1/Q1514)))))/Inputs!$B$44),IF(Inputs!$B$39="pvp",MIN((Skills!T13*(1+Inputs!$B$35/100)),15)/15,MIN(1,(Skills!T13*(1+Inputs!$B$35/100))/(1/Q1514)))))+(IF(AND(ArtifactsInput!$M$35,Inputs!$B$4&lt;&gt;"Chapter Hunt"),CHOOSE(ArtifactsInput!$N$35+1,15,18,21,24,27,30)*(1-EXP(-(0.2*B1532)*5)),0)+IF(AND(ArtifactsInput!$M$22,Inputs!$B$4&lt;&gt;"Chapter Hunt"),CHOOSE(ArtifactsInput!$N$22+1,10,12,14,16,18,20)*((0*(((0.15*B1532*5))^0/1)+1*(((0.15*B1532*5))^1/1)+2*(((0.15*B1532*5))^2/2)+3*(((0.15*B1532*5))^3/6)+4*(((0.15*B1532*5))^4/24)+5*(((0.15*B1532*5))^5/120))/((((0.15*B1532*5))^0/1)+(((0.15*B1532*5))^1/1)+(((0.15*B1532*5))^2/2)+(((0.15*B1532*5))^3/6)+(((0.15*B1532*5))^4/24)+(((0.15*B1532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1506*(1-MIN(100,(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1506*(MIN(100,(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1506*(1-MIN(100,(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1506*(MIN(100,(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06">
        <f>IF(C1506,(H1506*N1506*IF(AND(Inputs!$B$39&lt;&gt;"pvp",Inputs!$B$44&gt;0),((Skills!G5*((R1506-1)*IF(Skills!H5&gt;0,INT(Skills!I5/Skills!H5+0.000000001),1)+IF(Skills!H5&gt;0,INT(MIN(Skills!I5,MAX(0,MAX(0,Inputs!$B$44-B1537)-((R1506-1)*IF(Inputs!$B$39="pvp",15,MAX(0.1,Skills!D5-IF(TRUE=TRUE,Inputs!$B$33,0))))))/Skills!H5+0.000000001),1)))/Inputs!$B$44),G1506*Q1506))*IF(Inputs!$B$39="pvp",1,(1+(Inputs!$B$22+Skills!Q5+((C1518=TRUE)*F1518*IF(AND(Inputs!$B$39&lt;&gt;"pvp",Inputs!$B$44&gt;0),(((R1518-1)*MIN((Skills!T17*(1+Inputs!$B$35/100)),(1/Q1518))+MIN((Skills!T17*(1+Inputs!$B$35/100)),MAX(0,Inputs!$B$44-((R1518-1)*(1/Q1518)))))/Inputs!$B$44),IF(Inputs!$B$39="pvp",MIN((Skills!T17*(1+Inputs!$B$35/100)),15)/15,MIN(1,(Skills!T17*(1+Inputs!$B$35/100))/(1/Q1518)))))+((C1506=TRUE)*IF(Inputs!$B$3&gt;=126,10*MIN(1,15*Q1506),0))+((C1515=TRUE)*IF(Inputs!$B$39="pvp",20,(1-Summary!$B$11)*(20)+Summary!$B$11*(0))*IF(AND(Inputs!$B$39&lt;&gt;"pvp",Inputs!$B$44&gt;0),(((R1515-1)*MIN((Skills!T14*(1+Inputs!$B$35/100)),(1/Q1515))+MIN((Skills!T14*(1+Inputs!$B$35/100)),MAX(0,Inputs!$B$44-((R1515-1)*(1/Q1515)))))/Inputs!$B$44),IF(Inputs!$B$39="pvp",MIN((Skills!T14*(1+Inputs!$B$35/100)),15)/15,MIN(1,(Skills!T14*(1+Inputs!$B$35/100))/(1/Q1515)))))+((C1514=TRUE)*IF(Inputs!$B$3&gt;=82,IF(Inputs!$B$39="pvp",20,(1-Summary!$B$11)*(20)+Summary!$B$11*(0)),0)*IF(AND(Inputs!$B$39&lt;&gt;"pvp",Inputs!$B$44&gt;0),(((R1514-1)*MIN((Skills!T13*(1+Inputs!$B$35/100)),(1/Q1514))+MIN((Skills!T13*(1+Inputs!$B$35/100)),MAX(0,Inputs!$B$44-((R1514-1)*(1/Q1514)))))/Inputs!$B$44),IF(Inputs!$B$39="pvp",MIN((Skills!T13*(1+Inputs!$B$35/100)),15)/15,MIN(1,(Skills!T13*(1+Inputs!$B$35/100))/(1/Q1514)))))+(IF(AND(ArtifactsInput!$M$35,Inputs!$B$4&lt;&gt;"Chapter Hunt"),CHOOSE(ArtifactsInput!$N$35+1,15,18,21,24,27,30)*(1-EXP(-(0.2*B1532)*5)),0)+IF(AND(ArtifactsInput!$M$22,Inputs!$B$4&lt;&gt;"Chapter Hunt"),CHOOSE(ArtifactsInput!$N$22+1,10,12,14,16,18,20)*((0*(((0.15*B1532*5))^0/1)+1*(((0.15*B1532*5))^1/1)+2*(((0.15*B1532*5))^2/2)+3*(((0.15*B1532*5))^3/6)+4*(((0.15*B1532*5))^4/24)+5*(((0.15*B1532*5))^5/120))/((((0.15*B1532*5))^0/1)+(((0.15*B1532*5))^1/1)+(((0.15*B1532*5))^2/2)+(((0.15*B1532*5))^3/6)+(((0.15*B1532*5))^4/24)+(((0.15*B1532*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07">
      <c r="A1507">
        <f>Skills!A6</f>
        <v/>
      </c>
      <c r="B1507">
        <f>Skills!B6</f>
        <v/>
      </c>
      <c r="C1507">
        <f>Inputs!$B$3&gt;=103</f>
        <v/>
      </c>
      <c r="D1507">
        <f>IF(Skills!C6=1,60+Inputs!$B$26+Inputs!$B$30,IF(Skills!C6=2,90+Inputs!$B$27+Inputs!$B$30,IF(Skills!C6=3,120+Inputs!$B$28+Inputs!$B$30,MAX(0,(Inputs!$B$3-100)*3)+Inputs!$B$29+Inputs!$B$30)))</f>
        <v/>
      </c>
      <c r="E1507">
        <f>INDEX(FactorTable!$B$2:$Y$301, MATCH(ROUND(MIN(300,MAX(1,D1507)),0), FactorTable!$A$2:$A$301,0), Skills!M6+1)</f>
        <v/>
      </c>
      <c r="F1507">
        <f>IF(Skills!N6=TRUE,(Skills!L6/10)*(E1507/1000),Skills!L6/10)+Skills!O6</f>
        <v/>
      </c>
      <c r="G1507">
        <f>Skills!G6*IF(Skills!H6&gt;0,INT(IF(Inputs!$B$39="pvp",MIN(Skills!I6,15),Skills!I6)/Skills!H6+0.000000001),1)</f>
        <v/>
      </c>
      <c r="H1507">
        <f>1-(1-Skills!J6/100)^Skills!K6</f>
        <v/>
      </c>
      <c r="I1507" t="inlineStr">
        <is>
          <t>1</t>
        </is>
      </c>
      <c r="J1507">
        <f>((Inputs!$B$6*(1+Inputs!$B$7/100))+(((Inputs!$B$13*(1+Inputs!$B$14/100))-(Inputs!$B$13*(1+Inputs!$B$14/100)))+0.25*(Inputs!$B$15-Inputs!$B$15))*(1+Inputs!$B$7/100))*(F1507/100)</f>
        <v/>
      </c>
      <c r="K1507">
        <f>J1507*(1+(((Inputs!$B$13+IF(Inputs!$B$3&gt;=38,(10*INDEX(FactorTable!$B$2:$Y$301, MATCH(ROUND(MIN(300,MAX(1,Inputs!$B$3)),0), FactorTable!$A$2:$A$301,0), 23)/1000)/100*(Inputs!$B$8*(1+Inputs!$B$9/100)),0))*(1+Inputs!$B$14/100))*0.01+Inputs!$B$15*0.0025)/100)*(1+Inputs!$B$16/100)*(1+Inputs!$B$17/100)*(5000/(6000+Inputs!$B$43*(1-(Inputs!$B$20+0)/100)))*(1+(Inputs!$B$25+((C1526=TRUE)*(F1526-Calc!F25))+((C1527=TRUE)*(F1527-Calc!F26))+B1536)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gt;=100),MIN(100,((Inputs!$B$10+0+B1530+(ArtifactsInput!$M$24-ArtifactsInput!$M$24)*CHOOSE(ArtifactsInput!$N$24+1,10,12,14,16,18,20)+IF(ArtifactsInput!$M$10,CHOOSE(ArtifactsInput!$N$10+1,15,18,21,24,27,30)*(IF(Inputs!$B$39="pvp",MIN(15,15)/15,IF(AND(Inputs!$B$39&lt;&gt;"pvp",Inputs!$B$44&gt;0),MIN(15,Inputs!$B$44)/(Inputs!$B$44),0))),0)))-100),0))*CHOOSE(ArtifactsInput!$N$42+1,0.6,0.72,0.84,0.96,1.08,1.2))),Inputs!$B$19+((C1524=TRUE)*(F1524-Calc!F23))+(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gt;=100),CHOOSE(ArtifactsInput!$N$42+1,40,48,56,64,72,80),0))))/100)*((1+(((C1514=TRUE)*F1514*IF(AND(Inputs!$B$39&lt;&gt;"pvp",Inputs!$B$44&gt;0),(((R1514-1)*MIN((Skills!T13*(1+Inputs!$B$35/100)),(1/Q1514))+MIN((Skills!T13*(1+Inputs!$B$35/100)),MAX(0,Inputs!$B$44-((R1514-1)*(1/Q1514)))))/Inputs!$B$44),IF(Inputs!$B$39="pvp",MIN((Skills!T13*(1+Inputs!$B$35/100)),15)/15,MIN(1,(Skills!T13*(1+Inputs!$B$35/100))/(1/Q1514)))))+((C1515=TRUE)*F1515*IF(AND(Inputs!$B$39&lt;&gt;"pvp",Inputs!$B$44&gt;0),(((R1515-1)*MIN((Skills!T14*(1+Inputs!$B$35/100)),(1/Q1515))+MIN((Skills!T14*(1+Inputs!$B$35/100)),MAX(0,Inputs!$B$44-((R1515-1)*(1/Q1515)))))/Inputs!$B$44),IF(Inputs!$B$39="pvp",MIN((Skills!T14*(1+Inputs!$B$35/100)),15)/15,MIN(1,(Skills!T14*(1+Inputs!$B$35/100))/(1/Q1515)))))+((C1516=TRUE)*F1516*IF(AND(Inputs!$B$39&lt;&gt;"pvp",Inputs!$B$44&gt;0),(((R1516-1)*MIN((Skills!T15*(1+Inputs!$B$35/100)),(1/Q1516))+MIN((Skills!T15*(1+Inputs!$B$35/100)),MAX(0,Inputs!$B$44-((R1516-1)*(1/Q1516)))))/Inputs!$B$44),IF(Inputs!$B$39="pvp",MIN((Skills!T15*(1+Inputs!$B$35/100)),15)/15,MIN(1,(Skills!T15*(1+Inputs!$B$35/100))/(1/Q1516)))))+((C1517=TRUE)*F1517*IF(AND(Inputs!$B$39&lt;&gt;"pvp",Inputs!$B$44&gt;0),(((R1517-1)*MIN((Skills!T16*(1+Inputs!$B$35/100)),(1/Q1517))+MIN((Skills!T16*(1+Inputs!$B$35/100)),MAX(0,Inputs!$B$44-((R1517-1)*(1/Q1517)))))/Inputs!$B$44),IF(Inputs!$B$39="pvp",MIN((Skills!T16*(1+Inputs!$B$35/100)),15)/15,MIN(1,(Skills!T16*(1+Inputs!$B$35/100))/(1/Q1517)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1507)</f>
        <v/>
      </c>
      <c r="L1507">
        <f>K1507*(MIN(Inputs!$B$23+((C1523=TRUE)*(F1523-Calc!F22)),(Inputs!$B$24+((C1525=TRUE)*(F1525-Calc!F24))+(IF(ArtifactsInput!$M$15,CHOOSE(ArtifactsInput!$N$15+1,25,30,35,40,45,50)/100*(Inputs!$B$12-Inputs!$B$12),0))))/100+(Inputs!$B$24+((C1525=TRUE)*(F1525-Calc!F24))+(IF(ArtifactsInput!$M$15,CHOOSE(ArtifactsInput!$N$15+1,25,30,35,40,45,50)/100*(Inputs!$B$12-Inputs!$B$12),0)))/100)/2</f>
        <v/>
      </c>
      <c r="M1507">
        <f>L1507*(1+(Inputs!$B$11+0+B1535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507">
        <f>L1507*(1-MIN((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1507*(MIN((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07">
        <f>(1-Summary!$B$11)*T1507+Summary!$B$11*V1507</f>
        <v/>
      </c>
      <c r="P1507">
        <f>IF(B1540=0,0,O1507/B1540)</f>
        <v/>
      </c>
      <c r="Q1507">
        <f>IFERROR(1/IF(Inputs!$B$39="pvp",15,MAX(0.1,Skills!D6-IF(TRUE=TRUE,Inputs!$B$33,0))),0)</f>
        <v/>
      </c>
      <c r="R1507">
        <f>IF(AND(Inputs!$B$39&lt;&gt;"pvp",Inputs!$B$44&gt;0),IF(MAX(0,Inputs!$B$44-B1537)&lt;=0,0,(INT(MAX(0,Inputs!$B$44-B1537)/IF(Inputs!$B$39="pvp",15,MAX(0.1,Skills!D6-IF(TRUE=TRUE,Inputs!$B$33,0))))+1)),0)</f>
        <v/>
      </c>
      <c r="S1507">
        <f>IFERROR(O1507/N1507,0)</f>
        <v/>
      </c>
      <c r="T1507">
        <f>IF(C1507,(H1507*N1507*IF(AND(Inputs!$B$39&lt;&gt;"pvp",Inputs!$B$44&gt;0),((Skills!G6*((R1507-1)*IF(Skills!H6&gt;0,INT(Skills!I6/Skills!H6+0.000000001),1)+IF(Skills!H6&gt;0,INT(MIN(Skills!I6,MAX(0,MAX(0,Inputs!$B$44-B1537)-((R1507-1)*IF(Inputs!$B$39="pvp",15,MAX(0.1,Skills!D6-IF(TRUE=TRUE,Inputs!$B$33,0))))))/Skills!H6+0.000000001),1)))/Inputs!$B$44),G1507*Q1507))*IF(Inputs!$B$39="pvp",1,1+(Inputs!$B$21+0+Skills!P6+((C1518=TRUE)*F1518*IF(AND(Inputs!$B$39&lt;&gt;"pvp",Inputs!$B$44&gt;0),(((R1518-1)*MIN((Skills!T17*(1+Inputs!$B$35/100)),(1/Q1518))+MIN((Skills!T17*(1+Inputs!$B$35/100)),MAX(0,Inputs!$B$44-((R1518-1)*(1/Q1518)))))/Inputs!$B$44),IF(Inputs!$B$39="pvp",MIN((Skills!T17*(1+Inputs!$B$35/100)),15)/15,MIN(1,(Skills!T17*(1+Inputs!$B$35/100))/(1/Q1518)))))+((C1506=TRUE)*IF(Inputs!$B$3&gt;=126,10*MIN(1,15*Q1506),0))+((C1515=TRUE)*IF(Inputs!$B$39="pvp",20,(1-Summary!$B$11)*(20)+Summary!$B$11*(0))*IF(AND(Inputs!$B$39&lt;&gt;"pvp",Inputs!$B$44&gt;0),(((R1515-1)*MIN((Skills!T14*(1+Inputs!$B$35/100)),(1/Q1515))+MIN((Skills!T14*(1+Inputs!$B$35/100)),MAX(0,Inputs!$B$44-((R1515-1)*(1/Q1515)))))/Inputs!$B$44),IF(Inputs!$B$39="pvp",MIN((Skills!T14*(1+Inputs!$B$35/100)),15)/15,MIN(1,(Skills!T14*(1+Inputs!$B$35/100))/(1/Q1515)))))+((C1514=TRUE)*IF(Inputs!$B$3&gt;=82,IF(Inputs!$B$39="pvp",20,(1-Summary!$B$11)*(20)+Summary!$B$11*(0)),0)*IF(AND(Inputs!$B$39&lt;&gt;"pvp",Inputs!$B$44&gt;0),(((R1514-1)*MIN((Skills!T13*(1+Inputs!$B$35/100)),(1/Q1514))+MIN((Skills!T13*(1+Inputs!$B$35/100)),MAX(0,Inputs!$B$44-((R1514-1)*(1/Q1514)))))/Inputs!$B$44),IF(Inputs!$B$39="pvp",MIN((Skills!T13*(1+Inputs!$B$35/100)),15)/15,MIN(1,(Skills!T13*(1+Inputs!$B$35/100))/(1/Q1514)))))+(IF(AND(ArtifactsInput!$M$35,Inputs!$B$4&lt;&gt;"Chapter Hunt"),CHOOSE(ArtifactsInput!$N$35+1,15,18,21,24,27,30)*(1-EXP(-(0.2*B1532)*5)),0)+IF(AND(ArtifactsInput!$M$22,Inputs!$B$4&lt;&gt;"Chapter Hunt"),CHOOSE(ArtifactsInput!$N$22+1,10,12,14,16,18,20)*((0*(((0.15*B1532*5))^0/1)+1*(((0.15*B1532*5))^1/1)+2*(((0.15*B1532*5))^2/2)+3*(((0.15*B1532*5))^3/6)+4*(((0.15*B1532*5))^4/24)+5*(((0.15*B1532*5))^5/120))/((((0.15*B1532*5))^0/1)+(((0.15*B1532*5))^1/1)+(((0.15*B1532*5))^2/2)+(((0.15*B1532*5))^3/6)+(((0.15*B1532*5))^4/24)+(((0.15*B1532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1507*(1-MIN(100,(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1507*(MIN(100,(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1507*(1-MIN(100,(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1507*(MIN(100,(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07">
        <f>IF(C1507,(H1507*N1507*IF(AND(Inputs!$B$39&lt;&gt;"pvp",Inputs!$B$44&gt;0),((Skills!G6*((R1507-1)*IF(Skills!H6&gt;0,INT(Skills!I6/Skills!H6+0.000000001),1)+IF(Skills!H6&gt;0,INT(MIN(Skills!I6,MAX(0,MAX(0,Inputs!$B$44-B1537)-((R1507-1)*IF(Inputs!$B$39="pvp",15,MAX(0.1,Skills!D6-IF(TRUE=TRUE,Inputs!$B$33,0))))))/Skills!H6+0.000000001),1)))/Inputs!$B$44),G1507*Q1507))*IF(Inputs!$B$39="pvp",1,(1+(Inputs!$B$22+Skills!Q6+((C1518=TRUE)*F1518*IF(AND(Inputs!$B$39&lt;&gt;"pvp",Inputs!$B$44&gt;0),(((R1518-1)*MIN((Skills!T17*(1+Inputs!$B$35/100)),(1/Q1518))+MIN((Skills!T17*(1+Inputs!$B$35/100)),MAX(0,Inputs!$B$44-((R1518-1)*(1/Q1518)))))/Inputs!$B$44),IF(Inputs!$B$39="pvp",MIN((Skills!T17*(1+Inputs!$B$35/100)),15)/15,MIN(1,(Skills!T17*(1+Inputs!$B$35/100))/(1/Q1518)))))+((C1506=TRUE)*IF(Inputs!$B$3&gt;=126,10*MIN(1,15*Q1506),0))+((C1515=TRUE)*IF(Inputs!$B$39="pvp",20,(1-Summary!$B$11)*(20)+Summary!$B$11*(0))*IF(AND(Inputs!$B$39&lt;&gt;"pvp",Inputs!$B$44&gt;0),(((R1515-1)*MIN((Skills!T14*(1+Inputs!$B$35/100)),(1/Q1515))+MIN((Skills!T14*(1+Inputs!$B$35/100)),MAX(0,Inputs!$B$44-((R1515-1)*(1/Q1515)))))/Inputs!$B$44),IF(Inputs!$B$39="pvp",MIN((Skills!T14*(1+Inputs!$B$35/100)),15)/15,MIN(1,(Skills!T14*(1+Inputs!$B$35/100))/(1/Q1515)))))+((C1514=TRUE)*IF(Inputs!$B$3&gt;=82,IF(Inputs!$B$39="pvp",20,(1-Summary!$B$11)*(20)+Summary!$B$11*(0)),0)*IF(AND(Inputs!$B$39&lt;&gt;"pvp",Inputs!$B$44&gt;0),(((R1514-1)*MIN((Skills!T13*(1+Inputs!$B$35/100)),(1/Q1514))+MIN((Skills!T13*(1+Inputs!$B$35/100)),MAX(0,Inputs!$B$44-((R1514-1)*(1/Q1514)))))/Inputs!$B$44),IF(Inputs!$B$39="pvp",MIN((Skills!T13*(1+Inputs!$B$35/100)),15)/15,MIN(1,(Skills!T13*(1+Inputs!$B$35/100))/(1/Q1514)))))+(IF(AND(ArtifactsInput!$M$35,Inputs!$B$4&lt;&gt;"Chapter Hunt"),CHOOSE(ArtifactsInput!$N$35+1,15,18,21,24,27,30)*(1-EXP(-(0.2*B1532)*5)),0)+IF(AND(ArtifactsInput!$M$22,Inputs!$B$4&lt;&gt;"Chapter Hunt"),CHOOSE(ArtifactsInput!$N$22+1,10,12,14,16,18,20)*((0*(((0.15*B1532*5))^0/1)+1*(((0.15*B1532*5))^1/1)+2*(((0.15*B1532*5))^2/2)+3*(((0.15*B1532*5))^3/6)+4*(((0.15*B1532*5))^4/24)+5*(((0.15*B1532*5))^5/120))/((((0.15*B1532*5))^0/1)+(((0.15*B1532*5))^1/1)+(((0.15*B1532*5))^2/2)+(((0.15*B1532*5))^3/6)+(((0.15*B1532*5))^4/24)+(((0.15*B1532*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08">
      <c r="A1508">
        <f>Skills!A7</f>
        <v/>
      </c>
      <c r="B1508">
        <f>Skills!B7</f>
        <v/>
      </c>
      <c r="C1508">
        <f>Inputs!$B$3&gt;=40</f>
        <v/>
      </c>
      <c r="D1508">
        <f>IF(Skills!C7=1,60+Inputs!$B$26+Inputs!$B$30,IF(Skills!C7=2,90+Inputs!$B$27+Inputs!$B$30,IF(Skills!C7=3,120+Inputs!$B$28+Inputs!$B$30,MAX(0,(Inputs!$B$3-100)*3)+Inputs!$B$29+Inputs!$B$30)))</f>
        <v/>
      </c>
      <c r="E1508">
        <f>INDEX(FactorTable!$B$2:$Y$301, MATCH(ROUND(MIN(300,MAX(1,D1508)),0), FactorTable!$A$2:$A$301,0), Skills!M7+1)</f>
        <v/>
      </c>
      <c r="F1508">
        <f>IF(Skills!N7=TRUE,(Skills!L7/10)*(E1508/1000),Skills!L7/10)+Skills!O7</f>
        <v/>
      </c>
      <c r="G1508">
        <f>Skills!G7*IF(Skills!H7&gt;0,INT(IF(Inputs!$B$39="pvp",MIN(Skills!I7,15),Skills!I7)/Skills!H7+0.000000001),1)</f>
        <v/>
      </c>
      <c r="H1508">
        <f>1-(1-Skills!J7/100)^Skills!K7</f>
        <v/>
      </c>
      <c r="I1508" t="inlineStr">
        <is>
          <t>1</t>
        </is>
      </c>
      <c r="J1508">
        <f>((Inputs!$B$6*(1+Inputs!$B$7/100))+(((Inputs!$B$13*(1+Inputs!$B$14/100))-(Inputs!$B$13*(1+Inputs!$B$14/100)))+0.25*(Inputs!$B$15-Inputs!$B$15))*(1+Inputs!$B$7/100))*(F1508/100)</f>
        <v/>
      </c>
      <c r="K1508">
        <f>J1508*(1+(((Inputs!$B$13+IF(Inputs!$B$3&gt;=38,(10*INDEX(FactorTable!$B$2:$Y$301, MATCH(ROUND(MIN(300,MAX(1,Inputs!$B$3)),0), FactorTable!$A$2:$A$301,0), 23)/1000)/100*(Inputs!$B$8*(1+Inputs!$B$9/100)),0))*(1+Inputs!$B$14/100))*0.01+Inputs!$B$15*0.0025)/100)*(1+Inputs!$B$16/100)*(1+Inputs!$B$17/100)*(5000/(6000+Inputs!$B$43*(1-(Inputs!$B$20+0)/100)))*(1+(Inputs!$B$25+((C1526=TRUE)*(F1526-Calc!F25))+((C1527=TRUE)*(F1527-Calc!F26))+B1536)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1512=TRUE,F1512,0)/100)*(1+(IF(Skills!A7="DARK_IMPALE",Inputs!$B$18+0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gt;=100),MIN(100,((Inputs!$B$10+0+B1530+(ArtifactsInput!$M$24-ArtifactsInput!$M$24)*CHOOSE(ArtifactsInput!$N$24+1,10,12,14,16,18,20)+IF(ArtifactsInput!$M$10,CHOOSE(ArtifactsInput!$N$10+1,15,18,21,24,27,30)*(IF(Inputs!$B$39="pvp",MIN(15,15)/15,IF(AND(Inputs!$B$39&lt;&gt;"pvp",Inputs!$B$44&gt;0),MIN(15,Inputs!$B$44)/(Inputs!$B$44),0))),0)))-100),0))*CHOOSE(ArtifactsInput!$N$42+1,0.6,0.72,0.84,0.96,1.08,1.2))),Inputs!$B$19+((C1524=TRUE)*(F1524-Calc!F23))+(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gt;=100),CHOOSE(ArtifactsInput!$N$42+1,40,48,56,64,72,80),0))))/100)*((1+(((C1514=TRUE)*F1514*IF(AND(Inputs!$B$39&lt;&gt;"pvp",Inputs!$B$44&gt;0),(((R1514-1)*MIN((Skills!T13*(1+Inputs!$B$35/100)),(1/Q1514))+MIN((Skills!T13*(1+Inputs!$B$35/100)),MAX(0,Inputs!$B$44-((R1514-1)*(1/Q1514)))))/Inputs!$B$44),IF(Inputs!$B$39="pvp",MIN((Skills!T13*(1+Inputs!$B$35/100)),15)/15,MIN(1,(Skills!T13*(1+Inputs!$B$35/100))/(1/Q1514)))))+((C1515=TRUE)*F1515*IF(AND(Inputs!$B$39&lt;&gt;"pvp",Inputs!$B$44&gt;0),(((R1515-1)*MIN((Skills!T14*(1+Inputs!$B$35/100)),(1/Q1515))+MIN((Skills!T14*(1+Inputs!$B$35/100)),MAX(0,Inputs!$B$44-((R1515-1)*(1/Q1515)))))/Inputs!$B$44),IF(Inputs!$B$39="pvp",MIN((Skills!T14*(1+Inputs!$B$35/100)),15)/15,MIN(1,(Skills!T14*(1+Inputs!$B$35/100))/(1/Q1515)))))+((C1516=TRUE)*F1516*IF(AND(Inputs!$B$39&lt;&gt;"pvp",Inputs!$B$44&gt;0),(((R1516-1)*MIN((Skills!T15*(1+Inputs!$B$35/100)),(1/Q1516))+MIN((Skills!T15*(1+Inputs!$B$35/100)),MAX(0,Inputs!$B$44-((R1516-1)*(1/Q1516)))))/Inputs!$B$44),IF(Inputs!$B$39="pvp",MIN((Skills!T15*(1+Inputs!$B$35/100)),15)/15,MIN(1,(Skills!T15*(1+Inputs!$B$35/100))/(1/Q1516)))))+((C1517=TRUE)*F1517*IF(AND(Inputs!$B$39&lt;&gt;"pvp",Inputs!$B$44&gt;0),(((R1517-1)*MIN((Skills!T16*(1+Inputs!$B$35/100)),(1/Q1517))+MIN((Skills!T16*(1+Inputs!$B$35/100)),MAX(0,Inputs!$B$44-((R1517-1)*(1/Q1517)))))/Inputs!$B$44),IF(Inputs!$B$39="pvp",MIN((Skills!T16*(1+Inputs!$B$35/100)),15)/15,MIN(1,(Skills!T16*(1+Inputs!$B$35/100))/(1/Q1517)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1508)</f>
        <v/>
      </c>
      <c r="L1508">
        <f>K1508*(MIN(Inputs!$B$23+((C1523=TRUE)*(F1523-Calc!F22)),(Inputs!$B$24+((C1525=TRUE)*(F1525-Calc!F24))+(IF(ArtifactsInput!$M$15,CHOOSE(ArtifactsInput!$N$15+1,25,30,35,40,45,50)/100*(Inputs!$B$12-Inputs!$B$12),0))))/100+(Inputs!$B$24+((C1525=TRUE)*(F1525-Calc!F24))+(IF(ArtifactsInput!$M$15,CHOOSE(ArtifactsInput!$N$15+1,25,30,35,40,45,50)/100*(Inputs!$B$12-Inputs!$B$12),0)))/100)/2</f>
        <v/>
      </c>
      <c r="M1508">
        <f>L1508*(1+(Inputs!$B$11+0+B1535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508">
        <f>L1508*(1-MIN((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1508*(MIN((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08">
        <f>(1-Summary!$B$11)*T1508+Summary!$B$11*V1508</f>
        <v/>
      </c>
      <c r="P1508">
        <f>IF(B1540=0,0,O1508/B1540)</f>
        <v/>
      </c>
      <c r="Q1508">
        <f>IFERROR(1/IF(Inputs!$B$39="pvp",15,MAX(0.1,Skills!D7-IF(TRUE=TRUE,Inputs!$B$33,0))),0)</f>
        <v/>
      </c>
      <c r="R1508">
        <f>IF(AND(Inputs!$B$39&lt;&gt;"pvp",Inputs!$B$44&gt;0),IF(MAX(0,Inputs!$B$44-B1537)&lt;=0,0,(INT(MAX(0,Inputs!$B$44-B1537)/IF(Inputs!$B$39="pvp",15,MAX(0.1,Skills!D7-IF(TRUE=TRUE,Inputs!$B$33,0))))+1)),0)</f>
        <v/>
      </c>
      <c r="S1508">
        <f>IFERROR(O1508/N1508,0)</f>
        <v/>
      </c>
      <c r="T1508">
        <f>IF(C1508,(H1508*N1508*IF(AND(Inputs!$B$39&lt;&gt;"pvp",Inputs!$B$44&gt;0),((Skills!G7*((R1508-1)*IF(Skills!H7&gt;0,INT(Skills!I7/Skills!H7+0.000000001),1)+IF(Skills!H7&gt;0,INT(MIN(Skills!I7,MAX(0,MAX(0,Inputs!$B$44-B1537)-((R1508-1)*IF(Inputs!$B$39="pvp",15,MAX(0.1,Skills!D7-IF(TRUE=TRUE,Inputs!$B$33,0))))))/Skills!H7+0.000000001),1)))/Inputs!$B$44),G1508*Q1508))*IF(Inputs!$B$39="pvp",1,1+(Inputs!$B$21+0+Skills!P7+((C1518=TRUE)*F1518*IF(AND(Inputs!$B$39&lt;&gt;"pvp",Inputs!$B$44&gt;0),(((R1518-1)*MIN((Skills!T17*(1+Inputs!$B$35/100)),(1/Q1518))+MIN((Skills!T17*(1+Inputs!$B$35/100)),MAX(0,Inputs!$B$44-((R1518-1)*(1/Q1518)))))/Inputs!$B$44),IF(Inputs!$B$39="pvp",MIN((Skills!T17*(1+Inputs!$B$35/100)),15)/15,MIN(1,(Skills!T17*(1+Inputs!$B$35/100))/(1/Q1518)))))+((C1506=TRUE)*IF(Inputs!$B$3&gt;=126,10*MIN(1,15*Q1506),0))+((C1515=TRUE)*IF(Inputs!$B$39="pvp",20,(1-Summary!$B$11)*(20)+Summary!$B$11*(0))*IF(AND(Inputs!$B$39&lt;&gt;"pvp",Inputs!$B$44&gt;0),(((R1515-1)*MIN((Skills!T14*(1+Inputs!$B$35/100)),(1/Q1515))+MIN((Skills!T14*(1+Inputs!$B$35/100)),MAX(0,Inputs!$B$44-((R1515-1)*(1/Q1515)))))/Inputs!$B$44),IF(Inputs!$B$39="pvp",MIN((Skills!T14*(1+Inputs!$B$35/100)),15)/15,MIN(1,(Skills!T14*(1+Inputs!$B$35/100))/(1/Q1515)))))+((C1514=TRUE)*IF(Inputs!$B$3&gt;=82,IF(Inputs!$B$39="pvp",20,(1-Summary!$B$11)*(20)+Summary!$B$11*(0)),0)*IF(AND(Inputs!$B$39&lt;&gt;"pvp",Inputs!$B$44&gt;0),(((R1514-1)*MIN((Skills!T13*(1+Inputs!$B$35/100)),(1/Q1514))+MIN((Skills!T13*(1+Inputs!$B$35/100)),MAX(0,Inputs!$B$44-((R1514-1)*(1/Q1514)))))/Inputs!$B$44),IF(Inputs!$B$39="pvp",MIN((Skills!T13*(1+Inputs!$B$35/100)),15)/15,MIN(1,(Skills!T13*(1+Inputs!$B$35/100))/(1/Q1514)))))+(IF(AND(ArtifactsInput!$M$35,Inputs!$B$4&lt;&gt;"Chapter Hunt"),CHOOSE(ArtifactsInput!$N$35+1,15,18,21,24,27,30)*(1-EXP(-(0.2*B1532)*5)),0)+IF(AND(ArtifactsInput!$M$22,Inputs!$B$4&lt;&gt;"Chapter Hunt"),CHOOSE(ArtifactsInput!$N$22+1,10,12,14,16,18,20)*((0*(((0.15*B1532*5))^0/1)+1*(((0.15*B1532*5))^1/1)+2*(((0.15*B1532*5))^2/2)+3*(((0.15*B1532*5))^3/6)+4*(((0.15*B1532*5))^4/24)+5*(((0.15*B1532*5))^5/120))/((((0.15*B1532*5))^0/1)+(((0.15*B1532*5))^1/1)+(((0.15*B1532*5))^2/2)+(((0.15*B1532*5))^3/6)+(((0.15*B1532*5))^4/24)+(((0.15*B1532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1508*(1-MIN(100,(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1508*(MIN(100,(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1508*(1-MIN(100,(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1508*(MIN(100,(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08">
        <f>IF(C1508,(H1508*N1508*IF(AND(Inputs!$B$39&lt;&gt;"pvp",Inputs!$B$44&gt;0),((Skills!G7*((R1508-1)*IF(Skills!H7&gt;0,INT(Skills!I7/Skills!H7+0.000000001),1)+IF(Skills!H7&gt;0,INT(MIN(Skills!I7,MAX(0,MAX(0,Inputs!$B$44-B1537)-((R1508-1)*IF(Inputs!$B$39="pvp",15,MAX(0.1,Skills!D7-IF(TRUE=TRUE,Inputs!$B$33,0))))))/Skills!H7+0.000000001),1)))/Inputs!$B$44),G1508*Q1508))*IF(Inputs!$B$39="pvp",1,(1+(Inputs!$B$22+Skills!Q7+((C1518=TRUE)*F1518*IF(AND(Inputs!$B$39&lt;&gt;"pvp",Inputs!$B$44&gt;0),(((R1518-1)*MIN((Skills!T17*(1+Inputs!$B$35/100)),(1/Q1518))+MIN((Skills!T17*(1+Inputs!$B$35/100)),MAX(0,Inputs!$B$44-((R1518-1)*(1/Q1518)))))/Inputs!$B$44),IF(Inputs!$B$39="pvp",MIN((Skills!T17*(1+Inputs!$B$35/100)),15)/15,MIN(1,(Skills!T17*(1+Inputs!$B$35/100))/(1/Q1518)))))+((C1506=TRUE)*IF(Inputs!$B$3&gt;=126,10*MIN(1,15*Q1506),0))+((C1515=TRUE)*IF(Inputs!$B$39="pvp",20,(1-Summary!$B$11)*(20)+Summary!$B$11*(0))*IF(AND(Inputs!$B$39&lt;&gt;"pvp",Inputs!$B$44&gt;0),(((R1515-1)*MIN((Skills!T14*(1+Inputs!$B$35/100)),(1/Q1515))+MIN((Skills!T14*(1+Inputs!$B$35/100)),MAX(0,Inputs!$B$44-((R1515-1)*(1/Q1515)))))/Inputs!$B$44),IF(Inputs!$B$39="pvp",MIN((Skills!T14*(1+Inputs!$B$35/100)),15)/15,MIN(1,(Skills!T14*(1+Inputs!$B$35/100))/(1/Q1515)))))+((C1514=TRUE)*IF(Inputs!$B$3&gt;=82,IF(Inputs!$B$39="pvp",20,(1-Summary!$B$11)*(20)+Summary!$B$11*(0)),0)*IF(AND(Inputs!$B$39&lt;&gt;"pvp",Inputs!$B$44&gt;0),(((R1514-1)*MIN((Skills!T13*(1+Inputs!$B$35/100)),(1/Q1514))+MIN((Skills!T13*(1+Inputs!$B$35/100)),MAX(0,Inputs!$B$44-((R1514-1)*(1/Q1514)))))/Inputs!$B$44),IF(Inputs!$B$39="pvp",MIN((Skills!T13*(1+Inputs!$B$35/100)),15)/15,MIN(1,(Skills!T13*(1+Inputs!$B$35/100))/(1/Q1514)))))+(IF(AND(ArtifactsInput!$M$35,Inputs!$B$4&lt;&gt;"Chapter Hunt"),CHOOSE(ArtifactsInput!$N$35+1,15,18,21,24,27,30)*(1-EXP(-(0.2*B1532)*5)),0)+IF(AND(ArtifactsInput!$M$22,Inputs!$B$4&lt;&gt;"Chapter Hunt"),CHOOSE(ArtifactsInput!$N$22+1,10,12,14,16,18,20)*((0*(((0.15*B1532*5))^0/1)+1*(((0.15*B1532*5))^1/1)+2*(((0.15*B1532*5))^2/2)+3*(((0.15*B1532*5))^3/6)+4*(((0.15*B1532*5))^4/24)+5*(((0.15*B1532*5))^5/120))/((((0.15*B1532*5))^0/1)+(((0.15*B1532*5))^1/1)+(((0.15*B1532*5))^2/2)+(((0.15*B1532*5))^3/6)+(((0.15*B1532*5))^4/24)+(((0.15*B1532*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09">
      <c r="A1509">
        <f>Skills!A8</f>
        <v/>
      </c>
      <c r="B1509">
        <f>Skills!B8</f>
        <v/>
      </c>
      <c r="C1509">
        <f>Inputs!$B$3&gt;=75</f>
        <v/>
      </c>
      <c r="D1509">
        <f>IF(Skills!C8=1,60+Inputs!$B$26+Inputs!$B$30,IF(Skills!C8=2,90+Inputs!$B$27+Inputs!$B$30,IF(Skills!C8=3,120+Inputs!$B$28+Inputs!$B$30,MAX(0,(Inputs!$B$3-100)*3)+Inputs!$B$29+Inputs!$B$30)))</f>
        <v/>
      </c>
      <c r="E1509">
        <f>INDEX(FactorTable!$B$2:$Y$301, MATCH(ROUND(MIN(300,MAX(1,D1509)),0), FactorTable!$A$2:$A$301,0), Skills!M8+1)</f>
        <v/>
      </c>
      <c r="F1509">
        <f>IF(Skills!N8=TRUE,(Skills!L8/10)*(E1509/1000),Skills!L8/10)+Skills!O8</f>
        <v/>
      </c>
      <c r="G1509" t="inlineStr"/>
      <c r="H1509" t="inlineStr"/>
      <c r="I1509" t="inlineStr">
        <is>
          <t>1</t>
        </is>
      </c>
      <c r="J1509" t="inlineStr"/>
      <c r="K1509" t="inlineStr"/>
      <c r="L1509" t="inlineStr"/>
      <c r="M1509" t="inlineStr"/>
      <c r="N1509" t="inlineStr"/>
      <c r="O1509" t="inlineStr"/>
      <c r="P1509" t="inlineStr"/>
      <c r="Q1509" t="inlineStr"/>
      <c r="R1509" t="inlineStr"/>
      <c r="S1509" t="inlineStr"/>
    </row>
    <row r="1510">
      <c r="A1510">
        <f>Skills!A9</f>
        <v/>
      </c>
      <c r="B1510">
        <f>Skills!B9</f>
        <v/>
      </c>
      <c r="C1510">
        <f>Inputs!$B$3&gt;=60</f>
        <v/>
      </c>
      <c r="D1510">
        <f>IF(Skills!C9=1,60+Inputs!$B$26+Inputs!$B$30,IF(Skills!C9=2,90+Inputs!$B$27+Inputs!$B$30,IF(Skills!C9=3,120+Inputs!$B$28+Inputs!$B$30,MAX(0,(Inputs!$B$3-100)*3)+Inputs!$B$29+Inputs!$B$30)))</f>
        <v/>
      </c>
      <c r="E1510">
        <f>INDEX(FactorTable!$B$2:$Y$301, MATCH(ROUND(MIN(300,MAX(1,D1510)),0), FactorTable!$A$2:$A$301,0), Skills!M9+1)</f>
        <v/>
      </c>
      <c r="F1510">
        <f>IF(Skills!N9=TRUE,(Skills!L9/10)*(E1510/1000),Skills!L9/10)+Skills!O9</f>
        <v/>
      </c>
      <c r="G1510">
        <f>Skills!G9*IF(Skills!H9&gt;0,INT(IF(Inputs!$B$39="pvp",MIN(Skills!I9,15),Skills!I9)/Skills!H9+0.000000001),1)</f>
        <v/>
      </c>
      <c r="H1510">
        <f>1-(1-Skills!J9/100)^Skills!K9</f>
        <v/>
      </c>
      <c r="I1510" t="inlineStr">
        <is>
          <t>1</t>
        </is>
      </c>
      <c r="J1510">
        <f>((Inputs!$B$6*(1+Inputs!$B$7/100))+(((Inputs!$B$13*(1+Inputs!$B$14/100))-(Inputs!$B$13*(1+Inputs!$B$14/100)))+0.25*(Inputs!$B$15-Inputs!$B$15))*(1+Inputs!$B$7/100))*(F1510/100)</f>
        <v/>
      </c>
      <c r="K1510">
        <f>J1510*(1+(((Inputs!$B$13+IF(Inputs!$B$3&gt;=38,(10*INDEX(FactorTable!$B$2:$Y$301, MATCH(ROUND(MIN(300,MAX(1,Inputs!$B$3)),0), FactorTable!$A$2:$A$301,0), 23)/1000)/100*(Inputs!$B$8*(1+Inputs!$B$9/100)),0))*(1+Inputs!$B$14/100))*0.01+Inputs!$B$15*0.0025)/100)*(1+Inputs!$B$16/100)*(1+Inputs!$B$17/100)*(5000/(6000+Inputs!$B$43*(1-(Inputs!$B$20+0)/100)))*(1+(Inputs!$B$25+((C1526=TRUE)*(F1526-Calc!F25))+((C1527=TRUE)*(F1527-Calc!F26))+B1536)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1512=TRUE,F1512,0)/100)*(1+(IF(Skills!A9="DARK_IMPALE",Inputs!$B$18+0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gt;=100),MIN(100,((Inputs!$B$10+0+B1530+(ArtifactsInput!$M$24-ArtifactsInput!$M$24)*CHOOSE(ArtifactsInput!$N$24+1,10,12,14,16,18,20)+IF(ArtifactsInput!$M$10,CHOOSE(ArtifactsInput!$N$10+1,15,18,21,24,27,30)*(IF(Inputs!$B$39="pvp",MIN(15,15)/15,IF(AND(Inputs!$B$39&lt;&gt;"pvp",Inputs!$B$44&gt;0),MIN(15,Inputs!$B$44)/(Inputs!$B$44),0))),0)))-100),0))*CHOOSE(ArtifactsInput!$N$42+1,0.6,0.72,0.84,0.96,1.08,1.2))),Inputs!$B$19+((C1524=TRUE)*(F1524-Calc!F23))+(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gt;=100),CHOOSE(ArtifactsInput!$N$42+1,40,48,56,64,72,80),0))))/100)*((1+(((C1514=TRUE)*F1514*IF(AND(Inputs!$B$39&lt;&gt;"pvp",Inputs!$B$44&gt;0),(((R1514-1)*MIN((Skills!T13*(1+Inputs!$B$35/100)),(1/Q1514))+MIN((Skills!T13*(1+Inputs!$B$35/100)),MAX(0,Inputs!$B$44-((R1514-1)*(1/Q1514)))))/Inputs!$B$44),IF(Inputs!$B$39="pvp",MIN((Skills!T13*(1+Inputs!$B$35/100)),15)/15,MIN(1,(Skills!T13*(1+Inputs!$B$35/100))/(1/Q1514)))))+((C1515=TRUE)*F1515*IF(AND(Inputs!$B$39&lt;&gt;"pvp",Inputs!$B$44&gt;0),(((R1515-1)*MIN((Skills!T14*(1+Inputs!$B$35/100)),(1/Q1515))+MIN((Skills!T14*(1+Inputs!$B$35/100)),MAX(0,Inputs!$B$44-((R1515-1)*(1/Q1515)))))/Inputs!$B$44),IF(Inputs!$B$39="pvp",MIN((Skills!T14*(1+Inputs!$B$35/100)),15)/15,MIN(1,(Skills!T14*(1+Inputs!$B$35/100))/(1/Q1515)))))+((C1516=TRUE)*F1516*IF(AND(Inputs!$B$39&lt;&gt;"pvp",Inputs!$B$44&gt;0),(((R1516-1)*MIN((Skills!T15*(1+Inputs!$B$35/100)),(1/Q1516))+MIN((Skills!T15*(1+Inputs!$B$35/100)),MAX(0,Inputs!$B$44-((R1516-1)*(1/Q1516)))))/Inputs!$B$44),IF(Inputs!$B$39="pvp",MIN((Skills!T15*(1+Inputs!$B$35/100)),15)/15,MIN(1,(Skills!T15*(1+Inputs!$B$35/100))/(1/Q1516)))))+((C1517=TRUE)*F1517*IF(AND(Inputs!$B$39&lt;&gt;"pvp",Inputs!$B$44&gt;0),(((R1517-1)*MIN((Skills!T16*(1+Inputs!$B$35/100)),(1/Q1517))+MIN((Skills!T16*(1+Inputs!$B$35/100)),MAX(0,Inputs!$B$44-((R1517-1)*(1/Q1517)))))/Inputs!$B$44),IF(Inputs!$B$39="pvp",MIN((Skills!T16*(1+Inputs!$B$35/100)),15)/15,MIN(1,(Skills!T16*(1+Inputs!$B$35/100))/(1/Q1517)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1510)</f>
        <v/>
      </c>
      <c r="L1510">
        <f>K1510*(MIN(Inputs!$B$23+((C1523=TRUE)*(F1523-Calc!F22)),(Inputs!$B$24+((C1525=TRUE)*(F1525-Calc!F24))+(IF(ArtifactsInput!$M$15,CHOOSE(ArtifactsInput!$N$15+1,25,30,35,40,45,50)/100*(Inputs!$B$12-Inputs!$B$12),0))))/100+(Inputs!$B$24+((C1525=TRUE)*(F1525-Calc!F24))+(IF(ArtifactsInput!$M$15,CHOOSE(ArtifactsInput!$N$15+1,25,30,35,40,45,50)/100*(Inputs!$B$12-Inputs!$B$12),0)))/100)/2</f>
        <v/>
      </c>
      <c r="M1510">
        <f>L1510*(1+(Inputs!$B$11+0+B1535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510">
        <f>L1510*(1-MIN((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1510*(MIN((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10">
        <f>(1-Summary!$B$11)*T1510+Summary!$B$11*V1510</f>
        <v/>
      </c>
      <c r="P1510">
        <f>IF(B1540=0,0,O1510/B1540)</f>
        <v/>
      </c>
      <c r="Q1510">
        <f>IFERROR(1/IF(Inputs!$B$39="pvp",15,MAX(0.1,Skills!D9-IF(TRUE=TRUE,Inputs!$B$33,0))),0)</f>
        <v/>
      </c>
      <c r="R1510">
        <f>IF(AND(Inputs!$B$39&lt;&gt;"pvp",Inputs!$B$44&gt;0),IF(MAX(0,Inputs!$B$44-B1537)&lt;=0,0,(INT(MAX(0,Inputs!$B$44-B1537)/IF(Inputs!$B$39="pvp",15,MAX(0.1,Skills!D9-IF(TRUE=TRUE,Inputs!$B$33,0))))+1)),0)</f>
        <v/>
      </c>
      <c r="S1510">
        <f>IFERROR(O1510/N1510,0)</f>
        <v/>
      </c>
      <c r="T1510">
        <f>IF(C1510,(H1510*N1510*IF(AND(Inputs!$B$39&lt;&gt;"pvp",Inputs!$B$44&gt;0),((Skills!G9*((R1510-1)*IF(Skills!H9&gt;0,INT(Skills!I9/Skills!H9+0.000000001),1)+IF(Skills!H9&gt;0,INT(MIN(Skills!I9,MAX(0,MAX(0,Inputs!$B$44-B1537)-((R1510-1)*IF(Inputs!$B$39="pvp",15,MAX(0.1,Skills!D9-IF(TRUE=TRUE,Inputs!$B$33,0))))))/Skills!H9+0.000000001),1)))/Inputs!$B$44),G1510*Q1510))*IF(Inputs!$B$39="pvp",1,1+(Inputs!$B$21+0+Skills!P9+((C1518=TRUE)*F1518*IF(AND(Inputs!$B$39&lt;&gt;"pvp",Inputs!$B$44&gt;0),(((R1518-1)*MIN((Skills!T17*(1+Inputs!$B$35/100)),(1/Q1518))+MIN((Skills!T17*(1+Inputs!$B$35/100)),MAX(0,Inputs!$B$44-((R1518-1)*(1/Q1518)))))/Inputs!$B$44),IF(Inputs!$B$39="pvp",MIN((Skills!T17*(1+Inputs!$B$35/100)),15)/15,MIN(1,(Skills!T17*(1+Inputs!$B$35/100))/(1/Q1518)))))+((C1506=TRUE)*IF(Inputs!$B$3&gt;=126,10*MIN(1,15*Q1506),0))+((C1515=TRUE)*IF(Inputs!$B$39="pvp",20,(1-Summary!$B$11)*(20)+Summary!$B$11*(0))*IF(AND(Inputs!$B$39&lt;&gt;"pvp",Inputs!$B$44&gt;0),(((R1515-1)*MIN((Skills!T14*(1+Inputs!$B$35/100)),(1/Q1515))+MIN((Skills!T14*(1+Inputs!$B$35/100)),MAX(0,Inputs!$B$44-((R1515-1)*(1/Q1515)))))/Inputs!$B$44),IF(Inputs!$B$39="pvp",MIN((Skills!T14*(1+Inputs!$B$35/100)),15)/15,MIN(1,(Skills!T14*(1+Inputs!$B$35/100))/(1/Q1515)))))+((C1514=TRUE)*IF(Inputs!$B$3&gt;=82,IF(Inputs!$B$39="pvp",20,(1-Summary!$B$11)*(20)+Summary!$B$11*(0)),0)*IF(AND(Inputs!$B$39&lt;&gt;"pvp",Inputs!$B$44&gt;0),(((R1514-1)*MIN((Skills!T13*(1+Inputs!$B$35/100)),(1/Q1514))+MIN((Skills!T13*(1+Inputs!$B$35/100)),MAX(0,Inputs!$B$44-((R1514-1)*(1/Q1514)))))/Inputs!$B$44),IF(Inputs!$B$39="pvp",MIN((Skills!T13*(1+Inputs!$B$35/100)),15)/15,MIN(1,(Skills!T13*(1+Inputs!$B$35/100))/(1/Q1514)))))+(IF(AND(ArtifactsInput!$M$35,Inputs!$B$4&lt;&gt;"Chapter Hunt"),CHOOSE(ArtifactsInput!$N$35+1,15,18,21,24,27,30)*(1-EXP(-(0.2*B1532)*5)),0)+IF(AND(ArtifactsInput!$M$22,Inputs!$B$4&lt;&gt;"Chapter Hunt"),CHOOSE(ArtifactsInput!$N$22+1,10,12,14,16,18,20)*((0*(((0.15*B1532*5))^0/1)+1*(((0.15*B1532*5))^1/1)+2*(((0.15*B1532*5))^2/2)+3*(((0.15*B1532*5))^3/6)+4*(((0.15*B1532*5))^4/24)+5*(((0.15*B1532*5))^5/120))/((((0.15*B1532*5))^0/1)+(((0.15*B1532*5))^1/1)+(((0.15*B1532*5))^2/2)+(((0.15*B1532*5))^3/6)+(((0.15*B1532*5))^4/24)+(((0.15*B1532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1510*(1-MIN(100,(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1510*(MIN(100,(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1510*(1-MIN(100,(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1510*(MIN(100,(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10">
        <f>IF(C1510,(H1510*N1510*IF(AND(Inputs!$B$39&lt;&gt;"pvp",Inputs!$B$44&gt;0),((Skills!G9*((R1510-1)*IF(Skills!H9&gt;0,INT(Skills!I9/Skills!H9+0.000000001),1)+IF(Skills!H9&gt;0,INT(MIN(Skills!I9,MAX(0,MAX(0,Inputs!$B$44-B1537)-((R1510-1)*IF(Inputs!$B$39="pvp",15,MAX(0.1,Skills!D9-IF(TRUE=TRUE,Inputs!$B$33,0))))))/Skills!H9+0.000000001),1)))/Inputs!$B$44),G1510*Q1510))*IF(Inputs!$B$39="pvp",1,(1+(Inputs!$B$22+Skills!Q9+((C1518=TRUE)*F1518*IF(AND(Inputs!$B$39&lt;&gt;"pvp",Inputs!$B$44&gt;0),(((R1518-1)*MIN((Skills!T17*(1+Inputs!$B$35/100)),(1/Q1518))+MIN((Skills!T17*(1+Inputs!$B$35/100)),MAX(0,Inputs!$B$44-((R1518-1)*(1/Q1518)))))/Inputs!$B$44),IF(Inputs!$B$39="pvp",MIN((Skills!T17*(1+Inputs!$B$35/100)),15)/15,MIN(1,(Skills!T17*(1+Inputs!$B$35/100))/(1/Q1518)))))+((C1506=TRUE)*IF(Inputs!$B$3&gt;=126,10*MIN(1,15*Q1506),0))+((C1515=TRUE)*IF(Inputs!$B$39="pvp",20,(1-Summary!$B$11)*(20)+Summary!$B$11*(0))*IF(AND(Inputs!$B$39&lt;&gt;"pvp",Inputs!$B$44&gt;0),(((R1515-1)*MIN((Skills!T14*(1+Inputs!$B$35/100)),(1/Q1515))+MIN((Skills!T14*(1+Inputs!$B$35/100)),MAX(0,Inputs!$B$44-((R1515-1)*(1/Q1515)))))/Inputs!$B$44),IF(Inputs!$B$39="pvp",MIN((Skills!T14*(1+Inputs!$B$35/100)),15)/15,MIN(1,(Skills!T14*(1+Inputs!$B$35/100))/(1/Q1515)))))+((C1514=TRUE)*IF(Inputs!$B$3&gt;=82,IF(Inputs!$B$39="pvp",20,(1-Summary!$B$11)*(20)+Summary!$B$11*(0)),0)*IF(AND(Inputs!$B$39&lt;&gt;"pvp",Inputs!$B$44&gt;0),(((R1514-1)*MIN((Skills!T13*(1+Inputs!$B$35/100)),(1/Q1514))+MIN((Skills!T13*(1+Inputs!$B$35/100)),MAX(0,Inputs!$B$44-((R1514-1)*(1/Q1514)))))/Inputs!$B$44),IF(Inputs!$B$39="pvp",MIN((Skills!T13*(1+Inputs!$B$35/100)),15)/15,MIN(1,(Skills!T13*(1+Inputs!$B$35/100))/(1/Q1514)))))+(IF(AND(ArtifactsInput!$M$35,Inputs!$B$4&lt;&gt;"Chapter Hunt"),CHOOSE(ArtifactsInput!$N$35+1,15,18,21,24,27,30)*(1-EXP(-(0.2*B1532)*5)),0)+IF(AND(ArtifactsInput!$M$22,Inputs!$B$4&lt;&gt;"Chapter Hunt"),CHOOSE(ArtifactsInput!$N$22+1,10,12,14,16,18,20)*((0*(((0.15*B1532*5))^0/1)+1*(((0.15*B1532*5))^1/1)+2*(((0.15*B1532*5))^2/2)+3*(((0.15*B1532*5))^3/6)+4*(((0.15*B1532*5))^4/24)+5*(((0.15*B1532*5))^5/120))/((((0.15*B1532*5))^0/1)+(((0.15*B1532*5))^1/1)+(((0.15*B1532*5))^2/2)+(((0.15*B1532*5))^3/6)+(((0.15*B1532*5))^4/24)+(((0.15*B1532*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11">
      <c r="A1511">
        <f>Skills!A10</f>
        <v/>
      </c>
      <c r="B1511">
        <f>Skills!B10</f>
        <v/>
      </c>
      <c r="C1511">
        <f>Inputs!$B$3&gt;=110</f>
        <v/>
      </c>
      <c r="D1511">
        <f>IF(Skills!C10=1,60+Inputs!$B$26+Inputs!$B$30,IF(Skills!C10=2,90+Inputs!$B$27+Inputs!$B$30,IF(Skills!C10=3,120+Inputs!$B$28+Inputs!$B$30,MAX(0,(Inputs!$B$3-100)*3)+Inputs!$B$29+Inputs!$B$30)))</f>
        <v/>
      </c>
      <c r="E1511">
        <f>INDEX(FactorTable!$B$2:$Y$301, MATCH(ROUND(MIN(300,MAX(1,D1511)),0), FactorTable!$A$2:$A$301,0), Skills!M10+1)</f>
        <v/>
      </c>
      <c r="F1511">
        <f>IF(Skills!N10=TRUE,(Skills!L10/10)*(E1511/1000),Skills!L10/10)+Skills!O10</f>
        <v/>
      </c>
      <c r="G1511">
        <f>Skills!G10*IF(Skills!H10&gt;0,INT(IF(Inputs!$B$39="pvp",MIN(Skills!I10,15),Skills!I10)/Skills!H10+0.000000001),1)</f>
        <v/>
      </c>
      <c r="H1511">
        <f>1-(1-Skills!J10/100)^Skills!K10</f>
        <v/>
      </c>
      <c r="I1511" t="inlineStr">
        <is>
          <t>1</t>
        </is>
      </c>
      <c r="J1511">
        <f>((Inputs!$B$6*(1+Inputs!$B$7/100))+(((Inputs!$B$13*(1+Inputs!$B$14/100))-(Inputs!$B$13*(1+Inputs!$B$14/100)))+0.25*(Inputs!$B$15-Inputs!$B$15))*(1+Inputs!$B$7/100))*(F1511/100)</f>
        <v/>
      </c>
      <c r="K1511">
        <f>J1511*(1+(((Inputs!$B$13+IF(Inputs!$B$3&gt;=38,(10*INDEX(FactorTable!$B$2:$Y$301, MATCH(ROUND(MIN(300,MAX(1,Inputs!$B$3)),0), FactorTable!$A$2:$A$301,0), 23)/1000)/100*(Inputs!$B$8*(1+Inputs!$B$9/100)),0))*(1+Inputs!$B$14/100))*0.01+Inputs!$B$15*0.0025)/100)*(1+Inputs!$B$16/100)*(1+Inputs!$B$17/100)*(5000/(6000+Inputs!$B$43*(1-(Inputs!$B$20+0)/100)))*(1+(Inputs!$B$25+((C1526=TRUE)*(F1526-Calc!F25))+((C1527=TRUE)*(F1527-Calc!F26))+B1536)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gt;=100),MIN(100,((Inputs!$B$10+0+B1530+(ArtifactsInput!$M$24-ArtifactsInput!$M$24)*CHOOSE(ArtifactsInput!$N$24+1,10,12,14,16,18,20)+IF(ArtifactsInput!$M$10,CHOOSE(ArtifactsInput!$N$10+1,15,18,21,24,27,30)*(IF(Inputs!$B$39="pvp",MIN(15,15)/15,IF(AND(Inputs!$B$39&lt;&gt;"pvp",Inputs!$B$44&gt;0),MIN(15,Inputs!$B$44)/(Inputs!$B$44),0))),0)))-100),0))*CHOOSE(ArtifactsInput!$N$42+1,0.6,0.72,0.84,0.96,1.08,1.2))),Inputs!$B$19+((C1524=TRUE)*(F1524-Calc!F23))+(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gt;=100),CHOOSE(ArtifactsInput!$N$42+1,40,48,56,64,72,80),0))))/100)*((1+(((C1514=TRUE)*F1514*IF(AND(Inputs!$B$39&lt;&gt;"pvp",Inputs!$B$44&gt;0),(((R1514-1)*MIN((Skills!T13*(1+Inputs!$B$35/100)),(1/Q1514))+MIN((Skills!T13*(1+Inputs!$B$35/100)),MAX(0,Inputs!$B$44-((R1514-1)*(1/Q1514)))))/Inputs!$B$44),IF(Inputs!$B$39="pvp",MIN((Skills!T13*(1+Inputs!$B$35/100)),15)/15,MIN(1,(Skills!T13*(1+Inputs!$B$35/100))/(1/Q1514)))))+((C1515=TRUE)*F1515*IF(AND(Inputs!$B$39&lt;&gt;"pvp",Inputs!$B$44&gt;0),(((R1515-1)*MIN((Skills!T14*(1+Inputs!$B$35/100)),(1/Q1515))+MIN((Skills!T14*(1+Inputs!$B$35/100)),MAX(0,Inputs!$B$44-((R1515-1)*(1/Q1515)))))/Inputs!$B$44),IF(Inputs!$B$39="pvp",MIN((Skills!T14*(1+Inputs!$B$35/100)),15)/15,MIN(1,(Skills!T14*(1+Inputs!$B$35/100))/(1/Q1515)))))+((C1516=TRUE)*F1516*IF(AND(Inputs!$B$39&lt;&gt;"pvp",Inputs!$B$44&gt;0),(((R1516-1)*MIN((Skills!T15*(1+Inputs!$B$35/100)),(1/Q1516))+MIN((Skills!T15*(1+Inputs!$B$35/100)),MAX(0,Inputs!$B$44-((R1516-1)*(1/Q1516)))))/Inputs!$B$44),IF(Inputs!$B$39="pvp",MIN((Skills!T15*(1+Inputs!$B$35/100)),15)/15,MIN(1,(Skills!T15*(1+Inputs!$B$35/100))/(1/Q1516)))))+((C1517=TRUE)*F1517*IF(AND(Inputs!$B$39&lt;&gt;"pvp",Inputs!$B$44&gt;0),(((R1517-1)*MIN((Skills!T16*(1+Inputs!$B$35/100)),(1/Q1517))+MIN((Skills!T16*(1+Inputs!$B$35/100)),MAX(0,Inputs!$B$44-((R1517-1)*(1/Q1517)))))/Inputs!$B$44),IF(Inputs!$B$39="pvp",MIN((Skills!T16*(1+Inputs!$B$35/100)),15)/15,MIN(1,(Skills!T16*(1+Inputs!$B$35/100))/(1/Q1517)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1511)</f>
        <v/>
      </c>
      <c r="L1511">
        <f>K1511*(MIN(Inputs!$B$23+((C1523=TRUE)*(F1523-Calc!F22)),(Inputs!$B$24+((C1525=TRUE)*(F1525-Calc!F24))+(IF(ArtifactsInput!$M$15,CHOOSE(ArtifactsInput!$N$15+1,25,30,35,40,45,50)/100*(Inputs!$B$12-Inputs!$B$12),0))))/100+(Inputs!$B$24+((C1525=TRUE)*(F1525-Calc!F24))+(IF(ArtifactsInput!$M$15,CHOOSE(ArtifactsInput!$N$15+1,25,30,35,40,45,50)/100*(Inputs!$B$12-Inputs!$B$12),0)))/100)/2</f>
        <v/>
      </c>
      <c r="M1511">
        <f>L1511*(1+(Inputs!$B$11+0+B1535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511">
        <f>L1511*(1-MIN((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1511*(MIN((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11">
        <f>(1-Summary!$B$11)*T1511+Summary!$B$11*V1511</f>
        <v/>
      </c>
      <c r="P1511">
        <f>IF(B1540=0,0,O1511/B1540)</f>
        <v/>
      </c>
      <c r="Q1511">
        <f>IFERROR(1/IF(Inputs!$B$39="pvp",15,MAX(0.1,Skills!D10-IF(TRUE=TRUE,Inputs!$B$33,0))),0)</f>
        <v/>
      </c>
      <c r="R1511">
        <f>IF(AND(Inputs!$B$39&lt;&gt;"pvp",Inputs!$B$44&gt;0),IF(MAX(0,Inputs!$B$44-B1537)&lt;=0,0,(INT(MAX(0,Inputs!$B$44-B1537)/IF(Inputs!$B$39="pvp",15,MAX(0.1,Skills!D10-IF(TRUE=TRUE,Inputs!$B$33,0))))+1)),0)</f>
        <v/>
      </c>
      <c r="S1511">
        <f>IFERROR(O1511/N1511,0)</f>
        <v/>
      </c>
      <c r="T1511">
        <f>IF(C1511,(H1511*N1511*IF(AND(Inputs!$B$39&lt;&gt;"pvp",Inputs!$B$44&gt;0),((Skills!G10*((R1511-1)*IF(Skills!H10&gt;0,INT(Skills!I10/Skills!H10+0.000000001),1)+IF(Skills!H10&gt;0,INT(MIN(Skills!I10,MAX(0,MAX(0,Inputs!$B$44-B1537)-((R1511-1)*IF(Inputs!$B$39="pvp",15,MAX(0.1,Skills!D10-IF(TRUE=TRUE,Inputs!$B$33,0))))))/Skills!H10+0.000000001),1)))/Inputs!$B$44),G1511*Q1511))*IF(Inputs!$B$39="pvp",1,1+(Inputs!$B$21+0+Skills!P10+((C1518=TRUE)*F1518*IF(AND(Inputs!$B$39&lt;&gt;"pvp",Inputs!$B$44&gt;0),(((R1518-1)*MIN((Skills!T17*(1+Inputs!$B$35/100)),(1/Q1518))+MIN((Skills!T17*(1+Inputs!$B$35/100)),MAX(0,Inputs!$B$44-((R1518-1)*(1/Q1518)))))/Inputs!$B$44),IF(Inputs!$B$39="pvp",MIN((Skills!T17*(1+Inputs!$B$35/100)),15)/15,MIN(1,(Skills!T17*(1+Inputs!$B$35/100))/(1/Q1518)))))+((C1506=TRUE)*IF(Inputs!$B$3&gt;=126,10*MIN(1,15*Q1506),0))+((C1515=TRUE)*IF(Inputs!$B$39="pvp",20,(1-Summary!$B$11)*(20)+Summary!$B$11*(0))*IF(AND(Inputs!$B$39&lt;&gt;"pvp",Inputs!$B$44&gt;0),(((R1515-1)*MIN((Skills!T14*(1+Inputs!$B$35/100)),(1/Q1515))+MIN((Skills!T14*(1+Inputs!$B$35/100)),MAX(0,Inputs!$B$44-((R1515-1)*(1/Q1515)))))/Inputs!$B$44),IF(Inputs!$B$39="pvp",MIN((Skills!T14*(1+Inputs!$B$35/100)),15)/15,MIN(1,(Skills!T14*(1+Inputs!$B$35/100))/(1/Q1515)))))+((C1514=TRUE)*IF(Inputs!$B$3&gt;=82,IF(Inputs!$B$39="pvp",20,(1-Summary!$B$11)*(20)+Summary!$B$11*(0)),0)*IF(AND(Inputs!$B$39&lt;&gt;"pvp",Inputs!$B$44&gt;0),(((R1514-1)*MIN((Skills!T13*(1+Inputs!$B$35/100)),(1/Q1514))+MIN((Skills!T13*(1+Inputs!$B$35/100)),MAX(0,Inputs!$B$44-((R1514-1)*(1/Q1514)))))/Inputs!$B$44),IF(Inputs!$B$39="pvp",MIN((Skills!T13*(1+Inputs!$B$35/100)),15)/15,MIN(1,(Skills!T13*(1+Inputs!$B$35/100))/(1/Q1514)))))+(IF(AND(ArtifactsInput!$M$35,Inputs!$B$4&lt;&gt;"Chapter Hunt"),CHOOSE(ArtifactsInput!$N$35+1,15,18,21,24,27,30)*(1-EXP(-(0.2*B1532)*5)),0)+IF(AND(ArtifactsInput!$M$22,Inputs!$B$4&lt;&gt;"Chapter Hunt"),CHOOSE(ArtifactsInput!$N$22+1,10,12,14,16,18,20)*((0*(((0.15*B1532*5))^0/1)+1*(((0.15*B1532*5))^1/1)+2*(((0.15*B1532*5))^2/2)+3*(((0.15*B1532*5))^3/6)+4*(((0.15*B1532*5))^4/24)+5*(((0.15*B1532*5))^5/120))/((((0.15*B1532*5))^0/1)+(((0.15*B1532*5))^1/1)+(((0.15*B1532*5))^2/2)+(((0.15*B1532*5))^3/6)+(((0.15*B1532*5))^4/24)+(((0.15*B1532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1511*(1-MIN(100,(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1511*(MIN(100,(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1511*(1-MIN(100,(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1511*(MIN(100,(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11">
        <f>IF(C1511,(H1511*N1511*IF(AND(Inputs!$B$39&lt;&gt;"pvp",Inputs!$B$44&gt;0),((Skills!G10*((R1511-1)*IF(Skills!H10&gt;0,INT(Skills!I10/Skills!H10+0.000000001),1)+IF(Skills!H10&gt;0,INT(MIN(Skills!I10,MAX(0,MAX(0,Inputs!$B$44-B1537)-((R1511-1)*IF(Inputs!$B$39="pvp",15,MAX(0.1,Skills!D10-IF(TRUE=TRUE,Inputs!$B$33,0))))))/Skills!H10+0.000000001),1)))/Inputs!$B$44),G1511*Q1511))*IF(Inputs!$B$39="pvp",1,(1+(Inputs!$B$22+Skills!Q10+((C1518=TRUE)*F1518*IF(AND(Inputs!$B$39&lt;&gt;"pvp",Inputs!$B$44&gt;0),(((R1518-1)*MIN((Skills!T17*(1+Inputs!$B$35/100)),(1/Q1518))+MIN((Skills!T17*(1+Inputs!$B$35/100)),MAX(0,Inputs!$B$44-((R1518-1)*(1/Q1518)))))/Inputs!$B$44),IF(Inputs!$B$39="pvp",MIN((Skills!T17*(1+Inputs!$B$35/100)),15)/15,MIN(1,(Skills!T17*(1+Inputs!$B$35/100))/(1/Q1518)))))+((C1506=TRUE)*IF(Inputs!$B$3&gt;=126,10*MIN(1,15*Q1506),0))+((C1515=TRUE)*IF(Inputs!$B$39="pvp",20,(1-Summary!$B$11)*(20)+Summary!$B$11*(0))*IF(AND(Inputs!$B$39&lt;&gt;"pvp",Inputs!$B$44&gt;0),(((R1515-1)*MIN((Skills!T14*(1+Inputs!$B$35/100)),(1/Q1515))+MIN((Skills!T14*(1+Inputs!$B$35/100)),MAX(0,Inputs!$B$44-((R1515-1)*(1/Q1515)))))/Inputs!$B$44),IF(Inputs!$B$39="pvp",MIN((Skills!T14*(1+Inputs!$B$35/100)),15)/15,MIN(1,(Skills!T14*(1+Inputs!$B$35/100))/(1/Q1515)))))+((C1514=TRUE)*IF(Inputs!$B$3&gt;=82,IF(Inputs!$B$39="pvp",20,(1-Summary!$B$11)*(20)+Summary!$B$11*(0)),0)*IF(AND(Inputs!$B$39&lt;&gt;"pvp",Inputs!$B$44&gt;0),(((R1514-1)*MIN((Skills!T13*(1+Inputs!$B$35/100)),(1/Q1514))+MIN((Skills!T13*(1+Inputs!$B$35/100)),MAX(0,Inputs!$B$44-((R1514-1)*(1/Q1514)))))/Inputs!$B$44),IF(Inputs!$B$39="pvp",MIN((Skills!T13*(1+Inputs!$B$35/100)),15)/15,MIN(1,(Skills!T13*(1+Inputs!$B$35/100))/(1/Q1514)))))+(IF(AND(ArtifactsInput!$M$35,Inputs!$B$4&lt;&gt;"Chapter Hunt"),CHOOSE(ArtifactsInput!$N$35+1,15,18,21,24,27,30)*(1-EXP(-(0.2*B1532)*5)),0)+IF(AND(ArtifactsInput!$M$22,Inputs!$B$4&lt;&gt;"Chapter Hunt"),CHOOSE(ArtifactsInput!$N$22+1,10,12,14,16,18,20)*((0*(((0.15*B1532*5))^0/1)+1*(((0.15*B1532*5))^1/1)+2*(((0.15*B1532*5))^2/2)+3*(((0.15*B1532*5))^3/6)+4*(((0.15*B1532*5))^4/24)+5*(((0.15*B1532*5))^5/120))/((((0.15*B1532*5))^0/1)+(((0.15*B1532*5))^1/1)+(((0.15*B1532*5))^2/2)+(((0.15*B1532*5))^3/6)+(((0.15*B1532*5))^4/24)+(((0.15*B1532*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12">
      <c r="A1512">
        <f>Skills!A11</f>
        <v/>
      </c>
      <c r="B1512">
        <f>Skills!B11</f>
        <v/>
      </c>
      <c r="C1512">
        <f>Inputs!$B$3&gt;=100</f>
        <v/>
      </c>
      <c r="D1512">
        <f>IF(Skills!C11=1,60+Inputs!$B$26+Inputs!$B$30,IF(Skills!C11=2,90+Inputs!$B$27+Inputs!$B$30,IF(Skills!C11=3,120+Inputs!$B$28+Inputs!$B$30,MAX(0,(Inputs!$B$3-100)*3)+Inputs!$B$29+Inputs!$B$30)))</f>
        <v/>
      </c>
      <c r="E1512">
        <f>INDEX(FactorTable!$B$2:$Y$301, MATCH(ROUND(MIN(300,MAX(1,D1512)),0), FactorTable!$A$2:$A$301,0), Skills!M11+1)</f>
        <v/>
      </c>
      <c r="F1512">
        <f>IF(Skills!N11=TRUE,(Skills!L11/10)*(E1512/1000),Skills!L11/10)+Skills!O11</f>
        <v/>
      </c>
      <c r="G1512" t="inlineStr"/>
      <c r="H1512" t="inlineStr"/>
      <c r="I1512" t="inlineStr">
        <is>
          <t>1</t>
        </is>
      </c>
      <c r="J1512" t="inlineStr"/>
      <c r="K1512" t="inlineStr"/>
      <c r="L1512" t="inlineStr"/>
      <c r="M1512" t="inlineStr"/>
      <c r="N1512" t="inlineStr"/>
      <c r="O1512" t="inlineStr"/>
      <c r="P1512" t="inlineStr"/>
      <c r="Q1512" t="inlineStr"/>
      <c r="R1512" t="inlineStr"/>
      <c r="S1512" t="inlineStr"/>
    </row>
    <row r="1513">
      <c r="A1513">
        <f>Skills!A12</f>
        <v/>
      </c>
      <c r="B1513">
        <f>Skills!B12</f>
        <v/>
      </c>
      <c r="C1513">
        <f>Inputs!$B$3&gt;=63</f>
        <v/>
      </c>
      <c r="D1513">
        <f>IF(Skills!C12=1,60+Inputs!$B$26+Inputs!$B$30,IF(Skills!C12=2,90+Inputs!$B$27+Inputs!$B$30,IF(Skills!C12=3,120+Inputs!$B$28+Inputs!$B$30,MAX(0,(Inputs!$B$3-100)*3)+Inputs!$B$29+Inputs!$B$30)))</f>
        <v/>
      </c>
      <c r="E1513">
        <f>INDEX(FactorTable!$B$2:$Y$301, MATCH(ROUND(MIN(300,MAX(1,D1513)),0), FactorTable!$A$2:$A$301,0), Skills!M12+1)</f>
        <v/>
      </c>
      <c r="F1513">
        <f>IF(Skills!N12=TRUE,(Skills!L12/10)*(E1513/1000),Skills!L12/10)+Skills!O12</f>
        <v/>
      </c>
      <c r="G1513">
        <f>Skills!G12*IF(Skills!H12&gt;0,INT(IF(Inputs!$B$39="pvp",MIN(Skills!I12,15),Skills!I12)/Skills!H12+0.000000001),1)</f>
        <v/>
      </c>
      <c r="H1513">
        <f>1-(1-Skills!J12/100)^Skills!K12</f>
        <v/>
      </c>
      <c r="I1513" t="inlineStr">
        <is>
          <t>1</t>
        </is>
      </c>
      <c r="J1513">
        <f>((Inputs!$B$6*(1+Inputs!$B$7/100))+(((Inputs!$B$13*(1+Inputs!$B$14/100))-(Inputs!$B$13*(1+Inputs!$B$14/100)))+0.25*(Inputs!$B$15-Inputs!$B$15))*(1+Inputs!$B$7/100))*(F1513/100)</f>
        <v/>
      </c>
      <c r="K1513">
        <f>J1513*(1+(((Inputs!$B$13+IF(Inputs!$B$3&gt;=38,(10*INDEX(FactorTable!$B$2:$Y$301, MATCH(ROUND(MIN(300,MAX(1,Inputs!$B$3)),0), FactorTable!$A$2:$A$301,0), 23)/1000)/100*(Inputs!$B$8*(1+Inputs!$B$9/100)),0))*(1+Inputs!$B$14/100))*0.01+Inputs!$B$15*0.0025)/100)*(1+Inputs!$B$16/100)*(1+Inputs!$B$17/100)*(5000/(6000+Inputs!$B$43*(1-(Inputs!$B$20+0)/100)))*(1+(Inputs!$B$25+((C1526=TRUE)*(F1526-Calc!F25))+((C1527=TRUE)*(F1527-Calc!F26))+B1536)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1512=TRUE,F1512,0)/100)*(1+(IF(Skills!A12="DARK_IMPALE",Inputs!$B$18+0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gt;=100),MIN(100,((Inputs!$B$10+0+B1530+(ArtifactsInput!$M$24-ArtifactsInput!$M$24)*CHOOSE(ArtifactsInput!$N$24+1,10,12,14,16,18,20)+IF(ArtifactsInput!$M$10,CHOOSE(ArtifactsInput!$N$10+1,15,18,21,24,27,30)*(IF(Inputs!$B$39="pvp",MIN(15,15)/15,IF(AND(Inputs!$B$39&lt;&gt;"pvp",Inputs!$B$44&gt;0),MIN(15,Inputs!$B$44)/(Inputs!$B$44),0))),0)))-100),0))*CHOOSE(ArtifactsInput!$N$42+1,0.6,0.72,0.84,0.96,1.08,1.2))),Inputs!$B$19+((C1524=TRUE)*(F1524-Calc!F23))+(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gt;=100),CHOOSE(ArtifactsInput!$N$42+1,40,48,56,64,72,80),0))))/100)*((1+(((C1514=TRUE)*F1514*IF(AND(Inputs!$B$39&lt;&gt;"pvp",Inputs!$B$44&gt;0),(((R1514-1)*MIN((Skills!T13*(1+Inputs!$B$35/100)),(1/Q1514))+MIN((Skills!T13*(1+Inputs!$B$35/100)),MAX(0,Inputs!$B$44-((R1514-1)*(1/Q1514)))))/Inputs!$B$44),IF(Inputs!$B$39="pvp",MIN((Skills!T13*(1+Inputs!$B$35/100)),15)/15,MIN(1,(Skills!T13*(1+Inputs!$B$35/100))/(1/Q1514)))))+((C1515=TRUE)*F1515*IF(AND(Inputs!$B$39&lt;&gt;"pvp",Inputs!$B$44&gt;0),(((R1515-1)*MIN((Skills!T14*(1+Inputs!$B$35/100)),(1/Q1515))+MIN((Skills!T14*(1+Inputs!$B$35/100)),MAX(0,Inputs!$B$44-((R1515-1)*(1/Q1515)))))/Inputs!$B$44),IF(Inputs!$B$39="pvp",MIN((Skills!T14*(1+Inputs!$B$35/100)),15)/15,MIN(1,(Skills!T14*(1+Inputs!$B$35/100))/(1/Q1515)))))+((C1516=TRUE)*F1516*IF(AND(Inputs!$B$39&lt;&gt;"pvp",Inputs!$B$44&gt;0),(((R1516-1)*MIN((Skills!T15*(1+Inputs!$B$35/100)),(1/Q1516))+MIN((Skills!T15*(1+Inputs!$B$35/100)),MAX(0,Inputs!$B$44-((R1516-1)*(1/Q1516)))))/Inputs!$B$44),IF(Inputs!$B$39="pvp",MIN((Skills!T15*(1+Inputs!$B$35/100)),15)/15,MIN(1,(Skills!T15*(1+Inputs!$B$35/100))/(1/Q1516)))))+((C1517=TRUE)*F1517*IF(AND(Inputs!$B$39&lt;&gt;"pvp",Inputs!$B$44&gt;0),(((R1517-1)*MIN((Skills!T16*(1+Inputs!$B$35/100)),(1/Q1517))+MIN((Skills!T16*(1+Inputs!$B$35/100)),MAX(0,Inputs!$B$44-((R1517-1)*(1/Q1517)))))/Inputs!$B$44),IF(Inputs!$B$39="pvp",MIN((Skills!T16*(1+Inputs!$B$35/100)),15)/15,MIN(1,(Skills!T16*(1+Inputs!$B$35/100))/(1/Q1517)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1513)</f>
        <v/>
      </c>
      <c r="L1513">
        <f>K1513*(MIN(Inputs!$B$23+((C1523=TRUE)*(F1523-Calc!F22)),(Inputs!$B$24+((C1525=TRUE)*(F1525-Calc!F24))+(IF(ArtifactsInput!$M$15,CHOOSE(ArtifactsInput!$N$15+1,25,30,35,40,45,50)/100*(Inputs!$B$12-Inputs!$B$12),0))))/100+(Inputs!$B$24+((C1525=TRUE)*(F1525-Calc!F24))+(IF(ArtifactsInput!$M$15,CHOOSE(ArtifactsInput!$N$15+1,25,30,35,40,45,50)/100*(Inputs!$B$12-Inputs!$B$12),0)))/100)/2</f>
        <v/>
      </c>
      <c r="M1513">
        <f>L1513*(1+(Inputs!$B$11+0+B1535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513">
        <f>L1513*(1-MIN((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1513*(MIN((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13">
        <f>(1-Summary!$B$11)*T1513+Summary!$B$11*V1513</f>
        <v/>
      </c>
      <c r="P1513">
        <f>IF(B1540=0,0,O1513/B1540)</f>
        <v/>
      </c>
      <c r="Q1513">
        <f>IFERROR(1/IF(Inputs!$B$39="pvp",15,MAX(0.1,Skills!D12-IF(TRUE=TRUE,Inputs!$B$33,0))),0)</f>
        <v/>
      </c>
      <c r="R1513">
        <f>IF(AND(Inputs!$B$39&lt;&gt;"pvp",Inputs!$B$44&gt;0),IF(MAX(0,Inputs!$B$44-B1537)&lt;=0,0,(INT(MAX(0,Inputs!$B$44-B1537)/IF(Inputs!$B$39="pvp",15,MAX(0.1,Skills!D12-IF(TRUE=TRUE,Inputs!$B$33,0))))+1)),0)</f>
        <v/>
      </c>
      <c r="S1513">
        <f>IFERROR(O1513/N1513,0)</f>
        <v/>
      </c>
      <c r="T1513">
        <f>IF(C1513,(H1513*N1513*IF(AND(Inputs!$B$39&lt;&gt;"pvp",Inputs!$B$44&gt;0),((Skills!G12*((R1513-1)*IF(Skills!H12&gt;0,INT(Skills!I12/Skills!H12+0.000000001),1)+IF(Skills!H12&gt;0,INT(MIN(Skills!I12,MAX(0,MAX(0,Inputs!$B$44-B1537)-((R1513-1)*IF(Inputs!$B$39="pvp",15,MAX(0.1,Skills!D12-IF(TRUE=TRUE,Inputs!$B$33,0))))))/Skills!H12+0.000000001),1)))/Inputs!$B$44),G1513*Q1513))*IF(Inputs!$B$39="pvp",1,1+(Inputs!$B$21+0+Skills!P12+((C1518=TRUE)*F1518*IF(AND(Inputs!$B$39&lt;&gt;"pvp",Inputs!$B$44&gt;0),(((R1518-1)*MIN((Skills!T17*(1+Inputs!$B$35/100)),(1/Q1518))+MIN((Skills!T17*(1+Inputs!$B$35/100)),MAX(0,Inputs!$B$44-((R1518-1)*(1/Q1518)))))/Inputs!$B$44),IF(Inputs!$B$39="pvp",MIN((Skills!T17*(1+Inputs!$B$35/100)),15)/15,MIN(1,(Skills!T17*(1+Inputs!$B$35/100))/(1/Q1518)))))+((C1506=TRUE)*IF(Inputs!$B$3&gt;=126,10*MIN(1,15*Q1506),0))+((C1515=TRUE)*IF(Inputs!$B$39="pvp",20,(1-Summary!$B$11)*(20)+Summary!$B$11*(0))*IF(AND(Inputs!$B$39&lt;&gt;"pvp",Inputs!$B$44&gt;0),(((R1515-1)*MIN((Skills!T14*(1+Inputs!$B$35/100)),(1/Q1515))+MIN((Skills!T14*(1+Inputs!$B$35/100)),MAX(0,Inputs!$B$44-((R1515-1)*(1/Q1515)))))/Inputs!$B$44),IF(Inputs!$B$39="pvp",MIN((Skills!T14*(1+Inputs!$B$35/100)),15)/15,MIN(1,(Skills!T14*(1+Inputs!$B$35/100))/(1/Q1515)))))+((C1514=TRUE)*IF(Inputs!$B$3&gt;=82,IF(Inputs!$B$39="pvp",20,(1-Summary!$B$11)*(20)+Summary!$B$11*(0)),0)*IF(AND(Inputs!$B$39&lt;&gt;"pvp",Inputs!$B$44&gt;0),(((R1514-1)*MIN((Skills!T13*(1+Inputs!$B$35/100)),(1/Q1514))+MIN((Skills!T13*(1+Inputs!$B$35/100)),MAX(0,Inputs!$B$44-((R1514-1)*(1/Q1514)))))/Inputs!$B$44),IF(Inputs!$B$39="pvp",MIN((Skills!T13*(1+Inputs!$B$35/100)),15)/15,MIN(1,(Skills!T13*(1+Inputs!$B$35/100))/(1/Q1514)))))+(IF(AND(ArtifactsInput!$M$35,Inputs!$B$4&lt;&gt;"Chapter Hunt"),CHOOSE(ArtifactsInput!$N$35+1,15,18,21,24,27,30)*(1-EXP(-(0.2*B1532)*5)),0)+IF(AND(ArtifactsInput!$M$22,Inputs!$B$4&lt;&gt;"Chapter Hunt"),CHOOSE(ArtifactsInput!$N$22+1,10,12,14,16,18,20)*((0*(((0.15*B1532*5))^0/1)+1*(((0.15*B1532*5))^1/1)+2*(((0.15*B1532*5))^2/2)+3*(((0.15*B1532*5))^3/6)+4*(((0.15*B1532*5))^4/24)+5*(((0.15*B1532*5))^5/120))/((((0.15*B1532*5))^0/1)+(((0.15*B1532*5))^1/1)+(((0.15*B1532*5))^2/2)+(((0.15*B1532*5))^3/6)+(((0.15*B1532*5))^4/24)+(((0.15*B1532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1513*(1-MIN(100,(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1513*(MIN(100,(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1513*(1-MIN(100,(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1513*(MIN(100,(Inputs!$B$10+0+B1530+(ArtifactsInput!$M$24-ArtifactsInput!$M$24)*CHOOSE(ArtifactsInput!$N$24+1,10,12,14,16,18,20)+(IF(AND(Inputs!$B$39&lt;&gt;"pvp",Inputs!$B$44=0),1,IF(IF(Inputs!$B$39="pvp",15,Inputs!$B$44)-(B1537)&lt;=0,1,MAX(0,IF(Inputs!$B$39="pvp",15,Inputs!$B$44)-MAX(5,B1537))/(IF(Inputs!$B$39="pvp",15,Inputs!$B$44)-(B1537))))*IF(AND(ArtifactsInput!$M$42,((Inputs!$B$10+0+B1530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13">
        <f>IF(C1513,(H1513*N1513*IF(AND(Inputs!$B$39&lt;&gt;"pvp",Inputs!$B$44&gt;0),((Skills!G12*((R1513-1)*IF(Skills!H12&gt;0,INT(Skills!I12/Skills!H12+0.000000001),1)+IF(Skills!H12&gt;0,INT(MIN(Skills!I12,MAX(0,MAX(0,Inputs!$B$44-B1537)-((R1513-1)*IF(Inputs!$B$39="pvp",15,MAX(0.1,Skills!D12-IF(TRUE=TRUE,Inputs!$B$33,0))))))/Skills!H12+0.000000001),1)))/Inputs!$B$44),G1513*Q1513))*IF(Inputs!$B$39="pvp",1,(1+(Inputs!$B$22+Skills!Q12+((C1518=TRUE)*F1518*IF(AND(Inputs!$B$39&lt;&gt;"pvp",Inputs!$B$44&gt;0),(((R1518-1)*MIN((Skills!T17*(1+Inputs!$B$35/100)),(1/Q1518))+MIN((Skills!T17*(1+Inputs!$B$35/100)),MAX(0,Inputs!$B$44-((R1518-1)*(1/Q1518)))))/Inputs!$B$44),IF(Inputs!$B$39="pvp",MIN((Skills!T17*(1+Inputs!$B$35/100)),15)/15,MIN(1,(Skills!T17*(1+Inputs!$B$35/100))/(1/Q1518)))))+((C1506=TRUE)*IF(Inputs!$B$3&gt;=126,10*MIN(1,15*Q1506),0))+((C1515=TRUE)*IF(Inputs!$B$39="pvp",20,(1-Summary!$B$11)*(20)+Summary!$B$11*(0))*IF(AND(Inputs!$B$39&lt;&gt;"pvp",Inputs!$B$44&gt;0),(((R1515-1)*MIN((Skills!T14*(1+Inputs!$B$35/100)),(1/Q1515))+MIN((Skills!T14*(1+Inputs!$B$35/100)),MAX(0,Inputs!$B$44-((R1515-1)*(1/Q1515)))))/Inputs!$B$44),IF(Inputs!$B$39="pvp",MIN((Skills!T14*(1+Inputs!$B$35/100)),15)/15,MIN(1,(Skills!T14*(1+Inputs!$B$35/100))/(1/Q1515)))))+((C1514=TRUE)*IF(Inputs!$B$3&gt;=82,IF(Inputs!$B$39="pvp",20,(1-Summary!$B$11)*(20)+Summary!$B$11*(0)),0)*IF(AND(Inputs!$B$39&lt;&gt;"pvp",Inputs!$B$44&gt;0),(((R1514-1)*MIN((Skills!T13*(1+Inputs!$B$35/100)),(1/Q1514))+MIN((Skills!T13*(1+Inputs!$B$35/100)),MAX(0,Inputs!$B$44-((R1514-1)*(1/Q1514)))))/Inputs!$B$44),IF(Inputs!$B$39="pvp",MIN((Skills!T13*(1+Inputs!$B$35/100)),15)/15,MIN(1,(Skills!T13*(1+Inputs!$B$35/100))/(1/Q1514)))))+(IF(AND(ArtifactsInput!$M$35,Inputs!$B$4&lt;&gt;"Chapter Hunt"),CHOOSE(ArtifactsInput!$N$35+1,15,18,21,24,27,30)*(1-EXP(-(0.2*B1532)*5)),0)+IF(AND(ArtifactsInput!$M$22,Inputs!$B$4&lt;&gt;"Chapter Hunt"),CHOOSE(ArtifactsInput!$N$22+1,10,12,14,16,18,20)*((0*(((0.15*B1532*5))^0/1)+1*(((0.15*B1532*5))^1/1)+2*(((0.15*B1532*5))^2/2)+3*(((0.15*B1532*5))^3/6)+4*(((0.15*B1532*5))^4/24)+5*(((0.15*B1532*5))^5/120))/((((0.15*B1532*5))^0/1)+(((0.15*B1532*5))^1/1)+(((0.15*B1532*5))^2/2)+(((0.15*B1532*5))^3/6)+(((0.15*B1532*5))^4/24)+(((0.15*B1532*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14">
      <c r="A1514">
        <f>Skills!A13</f>
        <v/>
      </c>
      <c r="B1514">
        <f>Skills!B13</f>
        <v/>
      </c>
      <c r="C1514">
        <f>Inputs!$B$3&gt;=69</f>
        <v/>
      </c>
      <c r="D1514">
        <f>IF(Skills!C13=1,60+Inputs!$B$26+Inputs!$B$30,IF(Skills!C13=2,90+Inputs!$B$27+Inputs!$B$30,IF(Skills!C13=3,120+Inputs!$B$28+Inputs!$B$30,MAX(0,(Inputs!$B$3-100)*3)+Inputs!$B$29+Inputs!$B$30)))</f>
        <v/>
      </c>
      <c r="E1514">
        <f>INDEX(FactorTable!$B$2:$Y$301, MATCH(ROUND(MIN(300,MAX(1,D1514)),0), FactorTable!$A$2:$A$301,0), Skills!M13+1)</f>
        <v/>
      </c>
      <c r="F1514">
        <f>IF(Skills!N13=TRUE,(Skills!L13/10)*(E1514/1000),Skills!L13/10)+Skills!O13</f>
        <v/>
      </c>
      <c r="G1514">
        <f>Skills!G13*IF(Skills!H13&gt;0,INT(IF(Inputs!$B$39="pvp",MIN(Skills!I13,15),Skills!I13)/Skills!H13+0.000000001),1)</f>
        <v/>
      </c>
      <c r="H1514">
        <f>1-(1-Skills!J13/100)^Skills!K13</f>
        <v/>
      </c>
      <c r="I1514" t="inlineStr">
        <is>
          <t>1</t>
        </is>
      </c>
      <c r="J1514" t="inlineStr"/>
      <c r="K1514" t="inlineStr"/>
      <c r="L1514" t="inlineStr"/>
      <c r="M1514" t="inlineStr"/>
      <c r="N1514" t="inlineStr"/>
      <c r="O1514">
        <f>(1-Summary!$B$11)*T1514+Summary!$B$11*V1514</f>
        <v/>
      </c>
      <c r="P1514">
        <f>IF(B1540=0,0,O1514/B1540)</f>
        <v/>
      </c>
      <c r="Q1514">
        <f>IFERROR(1/IF(Inputs!$B$39="pvp",15,MAX(0.1,Skills!D13-IF(TRUE=TRUE,Inputs!$B$33,0))),0)</f>
        <v/>
      </c>
      <c r="R1514">
        <f>IF(AND(Inputs!$B$39&lt;&gt;"pvp",Inputs!$B$44&gt;0),IF(Inputs!$B$44&lt;=0,0,(INT(Inputs!$B$44/IF(Inputs!$B$39="pvp",15,MAX(0.1,Skills!D13-IF(TRUE=TRUE,Inputs!$B$33,0))))+1)),0)</f>
        <v/>
      </c>
      <c r="S1514">
        <f>IFERROR(O1514/N1514,0)</f>
        <v/>
      </c>
      <c r="T1514" t="n">
        <v>0</v>
      </c>
      <c r="V1514" t="n">
        <v>0</v>
      </c>
    </row>
    <row r="1515">
      <c r="A1515">
        <f>Skills!A14</f>
        <v/>
      </c>
      <c r="B1515">
        <f>Skills!B14</f>
        <v/>
      </c>
      <c r="C1515">
        <f>Inputs!$B$3&gt;=115</f>
        <v/>
      </c>
      <c r="D1515">
        <f>IF(Skills!C14=1,60+Inputs!$B$26+Inputs!$B$30,IF(Skills!C14=2,90+Inputs!$B$27+Inputs!$B$30,IF(Skills!C14=3,120+Inputs!$B$28+Inputs!$B$30,MAX(0,(Inputs!$B$3-100)*3)+Inputs!$B$29+Inputs!$B$30)))</f>
        <v/>
      </c>
      <c r="E1515">
        <f>INDEX(FactorTable!$B$2:$Y$301, MATCH(ROUND(MIN(300,MAX(1,D1515)),0), FactorTable!$A$2:$A$301,0), Skills!M14+1)</f>
        <v/>
      </c>
      <c r="F1515">
        <f>IF(Skills!N14=TRUE,(Skills!L14/10)*(E1515/1000),Skills!L14/10)+Skills!O14</f>
        <v/>
      </c>
      <c r="G1515">
        <f>Skills!G14*IF(Skills!H14&gt;0,INT(IF(Inputs!$B$39="pvp",MIN(Skills!I14,15),Skills!I14)/Skills!H14+0.000000001),1)</f>
        <v/>
      </c>
      <c r="H1515">
        <f>1-(1-Skills!J14/100)^Skills!K14</f>
        <v/>
      </c>
      <c r="I1515" t="inlineStr">
        <is>
          <t>1</t>
        </is>
      </c>
      <c r="J1515" t="inlineStr"/>
      <c r="K1515" t="inlineStr"/>
      <c r="L1515" t="inlineStr"/>
      <c r="M1515" t="inlineStr"/>
      <c r="N1515" t="inlineStr"/>
      <c r="O1515">
        <f>(1-Summary!$B$11)*T1515+Summary!$B$11*V1515</f>
        <v/>
      </c>
      <c r="P1515">
        <f>IF(B1540=0,0,O1515/B1540)</f>
        <v/>
      </c>
      <c r="Q1515">
        <f>IFERROR(1/IF(Inputs!$B$39="pvp",15,MAX(0.1,Skills!D14-IF(TRUE=TRUE,Inputs!$B$33,0))),0)</f>
        <v/>
      </c>
      <c r="R1515">
        <f>IF(AND(Inputs!$B$39&lt;&gt;"pvp",Inputs!$B$44&gt;0),IF(Inputs!$B$44&lt;=0,0,(INT(Inputs!$B$44/IF(Inputs!$B$39="pvp",15,MAX(0.1,Skills!D14-IF(TRUE=TRUE,Inputs!$B$33,0))))+1)),0)</f>
        <v/>
      </c>
      <c r="S1515">
        <f>IFERROR(O1515/N1515,0)</f>
        <v/>
      </c>
      <c r="T1515" t="n">
        <v>0</v>
      </c>
      <c r="V1515" t="n">
        <v>0</v>
      </c>
    </row>
    <row r="1516">
      <c r="A1516">
        <f>Skills!A15</f>
        <v/>
      </c>
      <c r="B1516">
        <f>Skills!B15</f>
        <v/>
      </c>
      <c r="C1516">
        <f>Inputs!$B$3&gt;=66</f>
        <v/>
      </c>
      <c r="D1516">
        <f>IF(Skills!C15=1,60+Inputs!$B$26+Inputs!$B$30,IF(Skills!C15=2,90+Inputs!$B$27+Inputs!$B$30,IF(Skills!C15=3,120+Inputs!$B$28+Inputs!$B$30,MAX(0,(Inputs!$B$3-100)*3)+Inputs!$B$29+Inputs!$B$30)))</f>
        <v/>
      </c>
      <c r="E1516">
        <f>INDEX(FactorTable!$B$2:$Y$301, MATCH(ROUND(MIN(300,MAX(1,D1516)),0), FactorTable!$A$2:$A$301,0), Skills!M15+1)</f>
        <v/>
      </c>
      <c r="F1516">
        <f>IF(Skills!N15=TRUE,(Skills!L15/10)*(E1516/1000),Skills!L15/10)+Skills!O15</f>
        <v/>
      </c>
      <c r="G1516">
        <f>Skills!G15*IF(Skills!H15&gt;0,INT(IF(Inputs!$B$39="pvp",MIN(Skills!I15,15),Skills!I15)/Skills!H15+0.000000001),1)</f>
        <v/>
      </c>
      <c r="H1516">
        <f>1-(1-Skills!J15/100)^Skills!K15</f>
        <v/>
      </c>
      <c r="I1516" t="inlineStr">
        <is>
          <t>1</t>
        </is>
      </c>
      <c r="J1516" t="inlineStr"/>
      <c r="K1516" t="inlineStr"/>
      <c r="L1516" t="inlineStr"/>
      <c r="M1516" t="inlineStr"/>
      <c r="N1516" t="inlineStr"/>
      <c r="O1516">
        <f>(1-Summary!$B$11)*T1516+Summary!$B$11*V1516</f>
        <v/>
      </c>
      <c r="P1516">
        <f>IF(B1540=0,0,O1516/B1540)</f>
        <v/>
      </c>
      <c r="Q1516">
        <f>IFERROR(1/IF(Inputs!$B$39="pvp",15,MAX(0.1,Skills!D15-IF(TRUE=TRUE,Inputs!$B$33,0))),0)</f>
        <v/>
      </c>
      <c r="R1516">
        <f>IF(AND(Inputs!$B$39&lt;&gt;"pvp",Inputs!$B$44&gt;0),IF(Inputs!$B$44&lt;=0,0,(INT(Inputs!$B$44/IF(Inputs!$B$39="pvp",15,MAX(0.1,Skills!D15-IF(TRUE=TRUE,Inputs!$B$33,0))))+1)),0)</f>
        <v/>
      </c>
      <c r="S1516">
        <f>IFERROR(O1516/N1516,0)</f>
        <v/>
      </c>
      <c r="T1516" t="n">
        <v>0</v>
      </c>
      <c r="V1516" t="n">
        <v>0</v>
      </c>
    </row>
    <row r="1517">
      <c r="A1517">
        <f>Skills!A16</f>
        <v/>
      </c>
      <c r="B1517">
        <f>Skills!B16</f>
        <v/>
      </c>
      <c r="C1517">
        <f>Inputs!$B$3&gt;=45</f>
        <v/>
      </c>
      <c r="D1517">
        <f>IF(Skills!C16=1,60+Inputs!$B$26+Inputs!$B$30,IF(Skills!C16=2,90+Inputs!$B$27+Inputs!$B$30,IF(Skills!C16=3,120+Inputs!$B$28+Inputs!$B$30,MAX(0,(Inputs!$B$3-100)*3)+Inputs!$B$29+Inputs!$B$30)))</f>
        <v/>
      </c>
      <c r="E1517">
        <f>INDEX(FactorTable!$B$2:$Y$301, MATCH(ROUND(MIN(300,MAX(1,D1517)),0), FactorTable!$A$2:$A$301,0), Skills!M16+1)</f>
        <v/>
      </c>
      <c r="F1517">
        <f>IF(Skills!N16=TRUE,(Skills!L16/10)*(E1517/1000),Skills!L16/10)+Skills!O16</f>
        <v/>
      </c>
      <c r="G1517">
        <f>Skills!G16*IF(Skills!H16&gt;0,INT(IF(Inputs!$B$39="pvp",MIN(Skills!I16,15),Skills!I16)/Skills!H16+0.000000001),1)</f>
        <v/>
      </c>
      <c r="H1517">
        <f>1-(1-Skills!J16/100)^Skills!K16</f>
        <v/>
      </c>
      <c r="I1517" t="inlineStr">
        <is>
          <t>1</t>
        </is>
      </c>
      <c r="J1517" t="inlineStr"/>
      <c r="K1517" t="inlineStr"/>
      <c r="L1517" t="inlineStr"/>
      <c r="M1517" t="inlineStr"/>
      <c r="N1517" t="inlineStr"/>
      <c r="O1517">
        <f>(1-Summary!$B$11)*T1517+Summary!$B$11*V1517</f>
        <v/>
      </c>
      <c r="P1517">
        <f>IF(B1540=0,0,O1517/B1540)</f>
        <v/>
      </c>
      <c r="Q1517">
        <f>IFERROR(1/IF(Inputs!$B$39="pvp",15,MAX(0.1,Skills!D16-IF(TRUE=TRUE,Inputs!$B$33,0))),0)</f>
        <v/>
      </c>
      <c r="R1517">
        <f>IF(AND(Inputs!$B$39&lt;&gt;"pvp",Inputs!$B$44&gt;0),IF(Inputs!$B$44&lt;=0,0,(INT(Inputs!$B$44/IF(Inputs!$B$39="pvp",15,MAX(0.1,Skills!D16-IF(TRUE=TRUE,Inputs!$B$33,0))))+1)),0)</f>
        <v/>
      </c>
      <c r="S1517">
        <f>IFERROR(O1517/N1517,0)</f>
        <v/>
      </c>
      <c r="T1517" t="n">
        <v>0</v>
      </c>
      <c r="V1517" t="n">
        <v>0</v>
      </c>
    </row>
    <row r="1518">
      <c r="A1518">
        <f>Skills!A17</f>
        <v/>
      </c>
      <c r="B1518">
        <f>Skills!B17</f>
        <v/>
      </c>
      <c r="C1518">
        <f>Inputs!$B$3&gt;=35</f>
        <v/>
      </c>
      <c r="D1518">
        <f>IF(Skills!C17=1,60+Inputs!$B$26+Inputs!$B$30,IF(Skills!C17=2,90+Inputs!$B$27+Inputs!$B$30,IF(Skills!C17=3,120+Inputs!$B$28+Inputs!$B$30,MAX(0,(Inputs!$B$3-100)*3)+Inputs!$B$29+Inputs!$B$30)))</f>
        <v/>
      </c>
      <c r="E1518">
        <f>INDEX(FactorTable!$B$2:$Y$301, MATCH(ROUND(MIN(300,MAX(1,D1518)),0), FactorTable!$A$2:$A$301,0), Skills!M17+1)</f>
        <v/>
      </c>
      <c r="F1518">
        <f>IF(Skills!N17=TRUE,(Skills!L17/10)*(E1518/1000),Skills!L17/10)+Skills!O17</f>
        <v/>
      </c>
      <c r="G1518">
        <f>Skills!G17*IF(Skills!H17&gt;0,INT(IF(Inputs!$B$39="pvp",MIN(Skills!I17,15),Skills!I17)/Skills!H17+0.000000001),1)</f>
        <v/>
      </c>
      <c r="H1518">
        <f>1-(1-Skills!J17/100)^Skills!K17</f>
        <v/>
      </c>
      <c r="I1518" t="inlineStr">
        <is>
          <t>1</t>
        </is>
      </c>
      <c r="J1518" t="inlineStr"/>
      <c r="K1518" t="inlineStr"/>
      <c r="L1518" t="inlineStr"/>
      <c r="M1518" t="inlineStr"/>
      <c r="N1518" t="inlineStr"/>
      <c r="O1518">
        <f>(1-Summary!$B$11)*T1518+Summary!$B$11*V1518</f>
        <v/>
      </c>
      <c r="P1518">
        <f>IF(B1540=0,0,O1518/B1540)</f>
        <v/>
      </c>
      <c r="Q1518">
        <f>IFERROR(1/IF(Inputs!$B$39="pvp",15,MAX(0.1,Skills!D17-IF(TRUE=TRUE,Inputs!$B$33,0))),0)</f>
        <v/>
      </c>
      <c r="R1518">
        <f>IF(AND(Inputs!$B$39&lt;&gt;"pvp",Inputs!$B$44&gt;0),IF(Inputs!$B$44&lt;=0,0,(INT(Inputs!$B$44/IF(Inputs!$B$39="pvp",15,MAX(0.1,Skills!D17-IF(TRUE=TRUE,Inputs!$B$33,0))))+1)),0)</f>
        <v/>
      </c>
      <c r="S1518">
        <f>IFERROR(O1518/N1518,0)</f>
        <v/>
      </c>
      <c r="T1518" t="n">
        <v>0</v>
      </c>
      <c r="V1518" t="n">
        <v>0</v>
      </c>
    </row>
    <row r="1519">
      <c r="A1519">
        <f>Skills!A18</f>
        <v/>
      </c>
      <c r="B1519">
        <f>Skills!B18</f>
        <v/>
      </c>
      <c r="C1519">
        <f>Inputs!$B$3&gt;=72</f>
        <v/>
      </c>
      <c r="D1519">
        <f>IF(Skills!C18=1,60+Inputs!$B$26+Inputs!$B$30,IF(Skills!C18=2,90+Inputs!$B$27+Inputs!$B$30,IF(Skills!C18=3,120+Inputs!$B$28+Inputs!$B$30,MAX(0,(Inputs!$B$3-100)*3)+Inputs!$B$29+Inputs!$B$30)))</f>
        <v/>
      </c>
      <c r="E1519">
        <f>INDEX(FactorTable!$B$2:$Y$301, MATCH(ROUND(MIN(300,MAX(1,D1519)),0), FactorTable!$A$2:$A$301,0), Skills!M18+1)</f>
        <v/>
      </c>
      <c r="F1519">
        <f>IF(Skills!N18=TRUE,(Skills!L18/10)*(E1519/1000),Skills!L18/10)+Skills!O18</f>
        <v/>
      </c>
      <c r="G1519">
        <f>Skills!G18*IF(Skills!H18&gt;0,INT(IF(Inputs!$B$39="pvp",MIN(Skills!I18,15),Skills!I18)/Skills!H18+0.000000001),1)</f>
        <v/>
      </c>
      <c r="H1519">
        <f>1-(1-Skills!J18/100)^Skills!K18</f>
        <v/>
      </c>
      <c r="I1519" t="inlineStr">
        <is>
          <t>1</t>
        </is>
      </c>
      <c r="J1519" t="inlineStr"/>
      <c r="K1519" t="inlineStr"/>
      <c r="L1519" t="inlineStr"/>
      <c r="M1519" t="inlineStr"/>
      <c r="N1519" t="inlineStr"/>
      <c r="O1519">
        <f>(1-Summary!$B$11)*T1519+Summary!$B$11*V1519</f>
        <v/>
      </c>
      <c r="P1519">
        <f>IF(B1540=0,0,O1519/B1540)</f>
        <v/>
      </c>
      <c r="Q1519">
        <f>IFERROR(1/IF(Inputs!$B$39="pvp",15,MAX(0.1,Skills!D18-IF(TRUE=TRUE,Inputs!$B$33,0))),0)</f>
        <v/>
      </c>
      <c r="R1519">
        <f>IF(AND(Inputs!$B$39&lt;&gt;"pvp",Inputs!$B$44&gt;0),IF(Inputs!$B$44&lt;=0,0,(INT(Inputs!$B$44/IF(Inputs!$B$39="pvp",15,MAX(0.1,Skills!D18-IF(TRUE=TRUE,Inputs!$B$33,0))))+1)),0)</f>
        <v/>
      </c>
      <c r="S1519">
        <f>IFERROR(O1519/N1519,0)</f>
        <v/>
      </c>
      <c r="T1519" t="n">
        <v>0</v>
      </c>
      <c r="V1519" t="n">
        <v>0</v>
      </c>
    </row>
    <row r="1520">
      <c r="A1520">
        <f>Skills!A19</f>
        <v/>
      </c>
      <c r="B1520">
        <f>Skills!B19</f>
        <v/>
      </c>
      <c r="C1520">
        <f>Inputs!$B$3&gt;=72</f>
        <v/>
      </c>
      <c r="D1520">
        <f>IF(Skills!C19=1,60+Inputs!$B$26+Inputs!$B$30,IF(Skills!C19=2,90+Inputs!$B$27+Inputs!$B$30,IF(Skills!C19=3,120+Inputs!$B$28+Inputs!$B$30,MAX(0,(Inputs!$B$3-100)*3)+Inputs!$B$29+Inputs!$B$30)))</f>
        <v/>
      </c>
      <c r="E1520">
        <f>INDEX(FactorTable!$B$2:$Y$301, MATCH(ROUND(MIN(300,MAX(1,D1520)),0), FactorTable!$A$2:$A$301,0), Skills!M19+1)</f>
        <v/>
      </c>
      <c r="F1520">
        <f>IF(Skills!N19=TRUE,(Skills!L19/10)*(E1520/1000),Skills!L19/10)+Skills!O19</f>
        <v/>
      </c>
      <c r="G1520">
        <f>Skills!G19*IF(Skills!H19&gt;0,INT(IF(Inputs!$B$39="pvp",MIN(Skills!I19,15),Skills!I19)/Skills!H19+0.000000001),1)</f>
        <v/>
      </c>
      <c r="H1520">
        <f>1-(1-Skills!J19/100)^Skills!K19</f>
        <v/>
      </c>
      <c r="I1520" t="inlineStr">
        <is>
          <t>1</t>
        </is>
      </c>
      <c r="J1520" t="inlineStr"/>
      <c r="K1520" t="inlineStr"/>
      <c r="L1520" t="inlineStr"/>
      <c r="M1520" t="inlineStr"/>
      <c r="N1520" t="inlineStr"/>
      <c r="O1520">
        <f>(1-Summary!$B$11)*T1520+Summary!$B$11*V1520</f>
        <v/>
      </c>
      <c r="P1520">
        <f>IF(B1540=0,0,O1520/B1540)</f>
        <v/>
      </c>
      <c r="Q1520">
        <f>IFERROR(1/IF(Inputs!$B$39="pvp",15,MAX(0.1,Skills!D19-IF(TRUE=TRUE,Inputs!$B$33,0))),0)</f>
        <v/>
      </c>
      <c r="R1520">
        <f>IF(AND(Inputs!$B$39&lt;&gt;"pvp",Inputs!$B$44&gt;0),IF(Inputs!$B$44&lt;=0,0,(INT(Inputs!$B$44/IF(Inputs!$B$39="pvp",15,MAX(0.1,Skills!D19-IF(TRUE=TRUE,Inputs!$B$33,0))))+1)),0)</f>
        <v/>
      </c>
      <c r="S1520">
        <f>IFERROR(O1520/N1520,0)</f>
        <v/>
      </c>
      <c r="T1520" t="n">
        <v>0</v>
      </c>
      <c r="V1520" t="n">
        <v>0</v>
      </c>
    </row>
    <row r="1521">
      <c r="A1521">
        <f>Skills!A20</f>
        <v/>
      </c>
      <c r="B1521">
        <f>Skills!B20</f>
        <v/>
      </c>
      <c r="C1521">
        <f>TRUE</f>
        <v/>
      </c>
      <c r="D1521">
        <f>IF(Skills!C20=1,60+Inputs!$B$26+Inputs!$B$30,IF(Skills!C20=2,90+Inputs!$B$27+Inputs!$B$30,IF(Skills!C20=3,120+Inputs!$B$28+Inputs!$B$30,MAX(0,(Inputs!$B$3-100)*3)+Inputs!$B$29+Inputs!$B$30)))</f>
        <v/>
      </c>
      <c r="E1521">
        <f>INDEX(FactorTable!$B$2:$Y$301, MATCH(ROUND(MIN(300,MAX(1,D1521)),0), FactorTable!$A$2:$A$301,0), Skills!M20+1)</f>
        <v/>
      </c>
      <c r="F1521">
        <f>IF(Skills!N20=TRUE,(Skills!L20/10)*(E1521/1000),Skills!L20/10)+Skills!O20</f>
        <v/>
      </c>
      <c r="G1521">
        <f>Skills!G20*IF(Skills!H20&gt;0,INT(IF(Inputs!$B$39="pvp",MIN(Skills!I20,15),Skills!I20)/Skills!H20+0.000000001),1)</f>
        <v/>
      </c>
      <c r="H1521">
        <f>1-(1-Skills!J20/100)^Skills!K20</f>
        <v/>
      </c>
      <c r="I1521" t="inlineStr">
        <is>
          <t>1</t>
        </is>
      </c>
      <c r="J1521" t="inlineStr"/>
      <c r="K1521" t="inlineStr"/>
      <c r="L1521" t="inlineStr"/>
      <c r="M1521" t="inlineStr"/>
      <c r="N1521" t="inlineStr"/>
      <c r="O1521">
        <f>(1-Summary!$B$11)*T1521+Summary!$B$11*V1521</f>
        <v/>
      </c>
      <c r="P1521">
        <f>IF(B1540=0,0,O1521/B1540)</f>
        <v/>
      </c>
      <c r="Q1521">
        <f>IFERROR(1/IF(Inputs!$B$39="pvp",15,MAX(0.1,Skills!D20-IF(TRUE=TRUE,Inputs!$B$33,0))),0)</f>
        <v/>
      </c>
      <c r="R1521">
        <f>IF(AND(Inputs!$B$39&lt;&gt;"pvp",Inputs!$B$44&gt;0),IF(Inputs!$B$44&lt;=0,0,(INT(Inputs!$B$44/IF(Inputs!$B$39="pvp",15,MAX(0.1,Skills!D20-IF(TRUE=TRUE,Inputs!$B$33,0))))+1)),0)</f>
        <v/>
      </c>
      <c r="S1521">
        <f>IFERROR(O1521/N1521,0)</f>
        <v/>
      </c>
      <c r="T1521" t="n">
        <v>0</v>
      </c>
      <c r="V1521" t="n">
        <v>0</v>
      </c>
    </row>
    <row r="1522">
      <c r="A1522">
        <f>Skills!A21</f>
        <v/>
      </c>
      <c r="B1522">
        <f>Skills!B21</f>
        <v/>
      </c>
      <c r="C1522">
        <f>Inputs!$B$3&gt;=33</f>
        <v/>
      </c>
      <c r="D1522">
        <f>IF(Skills!C21=1,60+Inputs!$B$26+Inputs!$B$30,IF(Skills!C21=2,90+Inputs!$B$27+Inputs!$B$30,IF(Skills!C21=3,120+Inputs!$B$28+Inputs!$B$30,MAX(0,(Inputs!$B$3-100)*3)+Inputs!$B$29+Inputs!$B$30)))</f>
        <v/>
      </c>
      <c r="E1522">
        <f>INDEX(FactorTable!$B$2:$Y$301, MATCH(ROUND(MIN(300,MAX(1,D1522)),0), FactorTable!$A$2:$A$301,0), Skills!M21+1)</f>
        <v/>
      </c>
      <c r="F1522">
        <f>IF(Skills!N21=TRUE,(Skills!L21/10)*(E1522/1000),Skills!L21/10)+Skills!O21</f>
        <v/>
      </c>
      <c r="G1522">
        <f>Skills!G21*IF(Skills!H21&gt;0,INT(IF(Inputs!$B$39="pvp",MIN(Skills!I21,15),Skills!I21)/Skills!H21+0.000000001),1)</f>
        <v/>
      </c>
      <c r="H1522">
        <f>1-(1-Skills!J21/100)^Skills!K21</f>
        <v/>
      </c>
      <c r="I1522" t="inlineStr">
        <is>
          <t>1</t>
        </is>
      </c>
      <c r="J1522" t="inlineStr"/>
      <c r="K1522" t="inlineStr"/>
      <c r="L1522" t="inlineStr"/>
      <c r="M1522" t="inlineStr"/>
      <c r="N1522" t="inlineStr"/>
      <c r="O1522">
        <f>(1-Summary!$B$11)*T1522+Summary!$B$11*V1522</f>
        <v/>
      </c>
      <c r="P1522">
        <f>IF(B1540=0,0,O1522/B1540)</f>
        <v/>
      </c>
      <c r="Q1522" t="n">
        <v>0</v>
      </c>
      <c r="R1522" t="n">
        <v>0</v>
      </c>
      <c r="S1522">
        <f>IFERROR(O1522/N1522,0)</f>
        <v/>
      </c>
      <c r="T1522" t="n">
        <v>0</v>
      </c>
      <c r="V1522" t="n">
        <v>0</v>
      </c>
    </row>
    <row r="1523">
      <c r="A1523">
        <f>Skills!A22</f>
        <v/>
      </c>
      <c r="B1523">
        <f>Skills!B22</f>
        <v/>
      </c>
      <c r="C1523">
        <f>Inputs!$B$3&gt;=43</f>
        <v/>
      </c>
      <c r="D1523">
        <f>IF(Skills!C22=1,60+Inputs!$B$26+Inputs!$B$30,IF(Skills!C22=2,90+Inputs!$B$27+Inputs!$B$30,IF(Skills!C22=3,120+Inputs!$B$28+Inputs!$B$30,MAX(0,(Inputs!$B$3-100)*3)+Inputs!$B$29+Inputs!$B$30)))</f>
        <v/>
      </c>
      <c r="E1523">
        <f>INDEX(FactorTable!$B$2:$Y$301, MATCH(ROUND(MIN(300,MAX(1,D1523)),0), FactorTable!$A$2:$A$301,0), Skills!M22+1)</f>
        <v/>
      </c>
      <c r="F1523">
        <f>IF(Skills!N22=TRUE,(Skills!L22/10)*(E1523/1000),Skills!L22/10)+Skills!O22</f>
        <v/>
      </c>
      <c r="G1523">
        <f>Skills!G22*IF(Skills!H22&gt;0,INT(IF(Inputs!$B$39="pvp",MIN(Skills!I22,15),Skills!I22)/Skills!H22+0.000000001),1)</f>
        <v/>
      </c>
      <c r="H1523">
        <f>1-(1-Skills!J22/100)^Skills!K22</f>
        <v/>
      </c>
      <c r="I1523" t="inlineStr">
        <is>
          <t>1</t>
        </is>
      </c>
      <c r="J1523" t="inlineStr"/>
      <c r="K1523" t="inlineStr"/>
      <c r="L1523" t="inlineStr"/>
      <c r="M1523" t="inlineStr"/>
      <c r="N1523" t="inlineStr"/>
      <c r="O1523">
        <f>(1-Summary!$B$11)*T1523+Summary!$B$11*V1523</f>
        <v/>
      </c>
      <c r="P1523">
        <f>IF(B1540=0,0,O1523/B1540)</f>
        <v/>
      </c>
      <c r="Q1523" t="n">
        <v>0</v>
      </c>
      <c r="R1523" t="n">
        <v>0</v>
      </c>
      <c r="S1523">
        <f>IFERROR(O1523/N1523,0)</f>
        <v/>
      </c>
      <c r="T1523" t="n">
        <v>0</v>
      </c>
      <c r="V1523" t="n">
        <v>0</v>
      </c>
    </row>
    <row r="1524">
      <c r="A1524">
        <f>Skills!A23</f>
        <v/>
      </c>
      <c r="B1524">
        <f>Skills!B23</f>
        <v/>
      </c>
      <c r="C1524">
        <f>Inputs!$B$3&gt;=120</f>
        <v/>
      </c>
      <c r="D1524">
        <f>IF(Skills!C23=1,60+Inputs!$B$26+Inputs!$B$30,IF(Skills!C23=2,90+Inputs!$B$27+Inputs!$B$30,IF(Skills!C23=3,120+Inputs!$B$28+Inputs!$B$30,MAX(0,(Inputs!$B$3-100)*3)+Inputs!$B$29+Inputs!$B$30)))</f>
        <v/>
      </c>
      <c r="E1524">
        <f>INDEX(FactorTable!$B$2:$Y$301, MATCH(ROUND(MIN(300,MAX(1,D1524)),0), FactorTable!$A$2:$A$301,0), Skills!M23+1)</f>
        <v/>
      </c>
      <c r="F1524">
        <f>IF(Skills!N23=TRUE,(Skills!L23/10)*(E1524/1000),Skills!L23/10)+Skills!O23</f>
        <v/>
      </c>
      <c r="G1524">
        <f>Skills!G23*IF(Skills!H23&gt;0,INT(IF(Inputs!$B$39="pvp",MIN(Skills!I23,15),Skills!I23)/Skills!H23+0.000000001),1)</f>
        <v/>
      </c>
      <c r="H1524">
        <f>1-(1-Skills!J23/100)^Skills!K23</f>
        <v/>
      </c>
      <c r="I1524" t="inlineStr">
        <is>
          <t>1</t>
        </is>
      </c>
      <c r="J1524" t="inlineStr"/>
      <c r="K1524" t="inlineStr"/>
      <c r="L1524" t="inlineStr"/>
      <c r="M1524" t="inlineStr"/>
      <c r="N1524" t="inlineStr"/>
      <c r="O1524">
        <f>(1-Summary!$B$11)*T1524+Summary!$B$11*V1524</f>
        <v/>
      </c>
      <c r="P1524">
        <f>IF(B1540=0,0,O1524/B1540)</f>
        <v/>
      </c>
      <c r="Q1524" t="n">
        <v>0</v>
      </c>
      <c r="R1524" t="n">
        <v>0</v>
      </c>
      <c r="S1524">
        <f>IFERROR(O1524/N1524,0)</f>
        <v/>
      </c>
      <c r="T1524" t="n">
        <v>0</v>
      </c>
      <c r="V1524" t="n">
        <v>0</v>
      </c>
    </row>
    <row r="1525">
      <c r="A1525">
        <f>Skills!A24</f>
        <v/>
      </c>
      <c r="B1525">
        <f>Skills!B24</f>
        <v/>
      </c>
      <c r="C1525">
        <f>Inputs!$B$3&gt;=120</f>
        <v/>
      </c>
      <c r="D1525">
        <f>IF(Skills!C24=1,60+Inputs!$B$26+Inputs!$B$30,IF(Skills!C24=2,90+Inputs!$B$27+Inputs!$B$30,IF(Skills!C24=3,120+Inputs!$B$28+Inputs!$B$30,MAX(0,(Inputs!$B$3-100)*3)+Inputs!$B$29+Inputs!$B$30)))</f>
        <v/>
      </c>
      <c r="E1525">
        <f>INDEX(FactorTable!$B$2:$Y$301, MATCH(ROUND(MIN(300,MAX(1,D1525)),0), FactorTable!$A$2:$A$301,0), Skills!M24+1)</f>
        <v/>
      </c>
      <c r="F1525">
        <f>IF(Skills!N24=TRUE,(Skills!L24/10)*(E1525/1000),Skills!L24/10)+Skills!O24</f>
        <v/>
      </c>
      <c r="G1525">
        <f>Skills!G24*IF(Skills!H24&gt;0,INT(IF(Inputs!$B$39="pvp",MIN(Skills!I24,15),Skills!I24)/Skills!H24+0.000000001),1)</f>
        <v/>
      </c>
      <c r="H1525">
        <f>1-(1-Skills!J24/100)^Skills!K24</f>
        <v/>
      </c>
      <c r="I1525" t="inlineStr">
        <is>
          <t>1</t>
        </is>
      </c>
      <c r="J1525" t="inlineStr"/>
      <c r="K1525" t="inlineStr"/>
      <c r="L1525" t="inlineStr"/>
      <c r="M1525" t="inlineStr"/>
      <c r="N1525" t="inlineStr"/>
      <c r="O1525">
        <f>(1-Summary!$B$11)*T1525+Summary!$B$11*V1525</f>
        <v/>
      </c>
      <c r="P1525">
        <f>IF(B1540=0,0,O1525/B1540)</f>
        <v/>
      </c>
      <c r="Q1525" t="n">
        <v>0</v>
      </c>
      <c r="R1525" t="n">
        <v>0</v>
      </c>
      <c r="S1525">
        <f>IFERROR(O1525/N1525,0)</f>
        <v/>
      </c>
      <c r="T1525" t="n">
        <v>0</v>
      </c>
      <c r="V1525" t="n">
        <v>0</v>
      </c>
    </row>
    <row r="1526">
      <c r="A1526">
        <f>Skills!A25</f>
        <v/>
      </c>
      <c r="B1526">
        <f>Skills!B25</f>
        <v/>
      </c>
      <c r="C1526">
        <f>Inputs!$B$3&gt;=125</f>
        <v/>
      </c>
      <c r="D1526">
        <f>IF(Skills!C25=1,60+Inputs!$B$26+Inputs!$B$30,IF(Skills!C25=2,90+Inputs!$B$27+Inputs!$B$30,IF(Skills!C25=3,120+Inputs!$B$28+Inputs!$B$30,MAX(0,(Inputs!$B$3-100)*3)+Inputs!$B$29+Inputs!$B$30)))</f>
        <v/>
      </c>
      <c r="E1526">
        <f>INDEX(FactorTable!$B$2:$Y$301, MATCH(ROUND(MIN(300,MAX(1,D1526)),0), FactorTable!$A$2:$A$301,0), Skills!M25+1)</f>
        <v/>
      </c>
      <c r="F1526">
        <f>IF(Skills!N25=TRUE,(Skills!L25/10)*(E1526/1000),Skills!L25/10)+Skills!O25</f>
        <v/>
      </c>
      <c r="G1526">
        <f>Skills!G25*IF(Skills!H25&gt;0,INT(IF(Inputs!$B$39="pvp",MIN(Skills!I25,15),Skills!I25)/Skills!H25+0.000000001),1)</f>
        <v/>
      </c>
      <c r="H1526">
        <f>1-(1-Skills!J25/100)^Skills!K25</f>
        <v/>
      </c>
      <c r="I1526" t="inlineStr">
        <is>
          <t>1</t>
        </is>
      </c>
      <c r="J1526" t="inlineStr"/>
      <c r="K1526" t="inlineStr"/>
      <c r="L1526" t="inlineStr"/>
      <c r="M1526" t="inlineStr"/>
      <c r="N1526" t="inlineStr"/>
      <c r="O1526">
        <f>(1-Summary!$B$11)*T1526+Summary!$B$11*V1526</f>
        <v/>
      </c>
      <c r="P1526">
        <f>IF(B1540=0,0,O1526/B1540)</f>
        <v/>
      </c>
      <c r="Q1526" t="n">
        <v>0</v>
      </c>
      <c r="R1526" t="n">
        <v>0</v>
      </c>
      <c r="S1526">
        <f>IFERROR(O1526/N1526,0)</f>
        <v/>
      </c>
      <c r="T1526" t="n">
        <v>0</v>
      </c>
      <c r="V1526" t="n">
        <v>0</v>
      </c>
    </row>
    <row r="1527">
      <c r="A1527">
        <f>Skills!A26</f>
        <v/>
      </c>
      <c r="B1527">
        <f>Skills!B26</f>
        <v/>
      </c>
      <c r="C1527">
        <f>Inputs!$B$3&gt;=107</f>
        <v/>
      </c>
      <c r="D1527">
        <f>IF(Skills!C26=1,60+Inputs!$B$26+Inputs!$B$30,IF(Skills!C26=2,90+Inputs!$B$27+Inputs!$B$30,IF(Skills!C26=3,120+Inputs!$B$28+Inputs!$B$30,MAX(0,(Inputs!$B$3-100)*3)+Inputs!$B$29+Inputs!$B$30)))</f>
        <v/>
      </c>
      <c r="E1527">
        <f>INDEX(FactorTable!$B$2:$Y$301, MATCH(ROUND(MIN(300,MAX(1,D1527)),0), FactorTable!$A$2:$A$301,0), Skills!M26+1)</f>
        <v/>
      </c>
      <c r="F1527">
        <f>IF(Skills!N26=TRUE,(Skills!L26/10)*(E1527/1000),Skills!L26/10)+Skills!O26</f>
        <v/>
      </c>
      <c r="G1527">
        <f>Skills!G26*IF(Skills!H26&gt;0,INT(IF(Inputs!$B$39="pvp",MIN(Skills!I26,15),Skills!I26)/Skills!H26+0.000000001),1)</f>
        <v/>
      </c>
      <c r="H1527">
        <f>1-(1-Skills!J26/100)^Skills!K26</f>
        <v/>
      </c>
      <c r="I1527" t="inlineStr">
        <is>
          <t>1</t>
        </is>
      </c>
      <c r="J1527" t="inlineStr"/>
      <c r="K1527" t="inlineStr"/>
      <c r="L1527" t="inlineStr"/>
      <c r="M1527" t="inlineStr"/>
      <c r="N1527" t="inlineStr"/>
      <c r="O1527">
        <f>(1-Summary!$B$11)*T1527+Summary!$B$11*V1527</f>
        <v/>
      </c>
      <c r="P1527">
        <f>IF(B1540=0,0,O1527/B1540)</f>
        <v/>
      </c>
      <c r="Q1527" t="n">
        <v>0</v>
      </c>
      <c r="R1527" t="n">
        <v>0</v>
      </c>
      <c r="S1527">
        <f>IFERROR(O1527/N1527,0)</f>
        <v/>
      </c>
      <c r="T1527" t="n">
        <v>0</v>
      </c>
      <c r="V1527" t="n">
        <v>0</v>
      </c>
    </row>
    <row r="1529">
      <c r="A1529" t="inlineStr">
        <is>
          <t>Attack% Bucket Multiplier</t>
        </is>
      </c>
      <c r="B1529">
        <f>(1+(((C1514=TRUE)*F1514*IF(AND(Inputs!$B$39&lt;&gt;"pvp",Inputs!$B$44&gt;0),(((R1514-1)*MIN((Skills!T13*(1+Inputs!$B$35/100)),(1/Q1514))+MIN((Skills!T13*(1+Inputs!$B$35/100)),MAX(0,Inputs!$B$44-((R1514-1)*(1/Q1514)))))/Inputs!$B$44),IF(Inputs!$B$39="pvp",MIN((Skills!T13*(1+Inputs!$B$35/100)),15)/15,MIN(1,(Skills!T13*(1+Inputs!$B$35/100))/(1/Q1514)))))+((C1515=TRUE)*F1515*IF(AND(Inputs!$B$39&lt;&gt;"pvp",Inputs!$B$44&gt;0),(((R1515-1)*MIN((Skills!T14*(1+Inputs!$B$35/100)),(1/Q1515))+MIN((Skills!T14*(1+Inputs!$B$35/100)),MAX(0,Inputs!$B$44-((R1515-1)*(1/Q1515)))))/Inputs!$B$44),IF(Inputs!$B$39="pvp",MIN((Skills!T14*(1+Inputs!$B$35/100)),15)/15,MIN(1,(Skills!T14*(1+Inputs!$B$35/100))/(1/Q1515)))))+((C1516=TRUE)*F1516*IF(AND(Inputs!$B$39&lt;&gt;"pvp",Inputs!$B$44&gt;0),(((R1516-1)*MIN((Skills!T15*(1+Inputs!$B$35/100)),(1/Q1516))+MIN((Skills!T15*(1+Inputs!$B$35/100)),MAX(0,Inputs!$B$44-((R1516-1)*(1/Q1516)))))/Inputs!$B$44),IF(Inputs!$B$39="pvp",MIN((Skills!T15*(1+Inputs!$B$35/100)),15)/15,MIN(1,(Skills!T15*(1+Inputs!$B$35/100))/(1/Q1516)))))+((C1517=TRUE)*F1517*IF(AND(Inputs!$B$39&lt;&gt;"pvp",Inputs!$B$44&gt;0),(((R1517-1)*MIN((Skills!T16*(1+Inputs!$B$35/100)),(1/Q1517))+MIN((Skills!T16*(1+Inputs!$B$35/100)),MAX(0,Inputs!$B$44-((R1517-1)*(1/Q1517)))))/Inputs!$B$44),IF(Inputs!$B$39="pvp",MIN((Skills!T16*(1+Inputs!$B$35/100)),15)/15,MIN(1,(Skills!T16*(1+Inputs!$B$35/100))/(1/Q1517)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1530">
      <c r="A1530" t="inlineStr">
        <is>
          <t>Global Crit Rate Bonus % (Lord of Darkness)</t>
        </is>
      </c>
      <c r="B1530">
        <f>((C1519=TRUE)*F1519*(Skills!J18/100)*IF(AND(Inputs!$B$39&lt;&gt;"pvp",Inputs!$B$44&gt;0),(((R1519-1)*MIN((Skills!T18*(1+Inputs!$B$35/100)),(1/Q1519))+MIN((Skills!T18*(1+Inputs!$B$35/100)),MAX(0,Inputs!$B$44-((R1519-1)*(1/Q1519)))))/Inputs!$B$44),IF(Inputs!$B$39="pvp",MIN((Skills!T18*(1+Inputs!$B$35/100)),15)/15,MIN(1,(Skills!T18*(1+Inputs!$B$35/100))/(1/Q1519)))))</f>
        <v/>
      </c>
    </row>
    <row r="1531">
      <c r="A1531" t="inlineStr">
        <is>
          <t>Attack Speed Buff Bonus %</t>
        </is>
      </c>
      <c r="B1531">
        <f>((C1521=TRUE)*F1521*IF(AND(Inputs!$B$39&lt;&gt;"pvp",Inputs!$B$44&gt;0),(((R1521-1)*MIN((Skills!T20*(1+Inputs!$B$35/100)),(1/Q1521))+MIN((Skills!T20*(1+Inputs!$B$35/100)),MAX(0,Inputs!$B$44-((R1521-1)*(1/Q1521)))))/Inputs!$B$44),IF(Inputs!$B$39="pvp",MIN((Skills!T20*(1+Inputs!$B$35/100)),15)/15,MIN(1,(Skills!T20*(1+Inputs!$B$35/100))/(1/Q1521)))))</f>
        <v/>
      </c>
    </row>
    <row r="1532">
      <c r="A1532" t="inlineStr">
        <is>
          <t>Actions Per Second</t>
        </is>
      </c>
      <c r="B1532">
        <f>1+MIN(150,150*(1-(1-(Inputs!$B$12+((C1522=TRUE)*(F1522-Calc!F21)))/150)*(1-B1531/150)))/100</f>
        <v/>
      </c>
    </row>
    <row r="1533">
      <c r="A1533" t="inlineStr">
        <is>
          <t>Skill + Buff Cast Rate</t>
        </is>
      </c>
      <c r="B1533">
        <f>IF(AND(Inputs!$B$39&lt;&gt;"pvp",Inputs!$B$44&gt;0),SUMPRODUCT((Skills!E2:E26=TRUE)*(C1503:C1527=TRUE)*R1503:R1527*Skills!F2:F26)/Inputs!$B$44,SUMPRODUCT((Skills!E2:E26=TRUE)*(C1503:C1527=TRUE)*Q1503:Q1527*Skills!F2:F26))</f>
        <v/>
      </c>
    </row>
    <row r="1534">
      <c r="A1534" t="inlineStr">
        <is>
          <t>Dark Impale Casts Per Second</t>
        </is>
      </c>
      <c r="B1534">
        <f>MAX(0,B1532-B1533)</f>
        <v/>
      </c>
    </row>
    <row r="1535">
      <c r="A1535" t="inlineStr">
        <is>
          <t>Global Critical Damage Bonus % (Lord of Darkness)</t>
        </is>
      </c>
      <c r="B1535">
        <f>((C1520=TRUE)*F1520*(Skills!J19/100)*IF(AND(Inputs!$B$39&lt;&gt;"pvp",Inputs!$B$44&gt;0),(((R1520-1)*MIN((Skills!T19*(1+Inputs!$B$35/100)),(1/Q1520))+MIN((Skills!T19*(1+Inputs!$B$35/100)),MAX(0,Inputs!$B$44-((R1520-1)*(1/Q1520)))))/Inputs!$B$44),IF(Inputs!$B$39="pvp",MIN((Skills!T19*(1+Inputs!$B$35/100)),15)/15,MIN(1,(Skills!T19*(1+Inputs!$B$35/100))/(1/Q1520)))))</f>
        <v/>
      </c>
    </row>
    <row r="1536">
      <c r="A1536" t="inlineStr">
        <is>
          <t>Global Final Damage Bonus % (unused)</t>
        </is>
      </c>
      <c r="B1536" t="n">
        <v>0</v>
      </c>
    </row>
    <row r="1537">
      <c r="A1537" t="inlineStr">
        <is>
          <t>Buff-Casting Startup Delay (s, fixed-duration only)</t>
        </is>
      </c>
      <c r="B1537">
        <f>IF(AND(Inputs!$B$39&lt;&gt;"pvp",Inputs!$B$44&gt;0),SUMPRODUCT((Skills!T2:T26&gt;0)*(Skills!E2:E26=TRUE)*(C1503:C1527=TRUE))/B1532,0)</f>
        <v/>
      </c>
    </row>
    <row r="1538">
      <c r="A1538" t="inlineStr">
        <is>
          <t>Boss-Only Total DPS (this block's swept value)</t>
        </is>
      </c>
      <c r="B1538">
        <f>SUM(T1503:T1527)</f>
        <v/>
      </c>
    </row>
    <row r="1539">
      <c r="A1539" t="inlineStr">
        <is>
          <t>Normal-Only Total DPS (this block's swept value)</t>
        </is>
      </c>
      <c r="B1539">
        <f>SUM(V1503:V1527)</f>
        <v/>
      </c>
    </row>
    <row r="1540">
      <c r="A1540" s="6" t="inlineStr">
        <is>
          <t>TOTAL DPS</t>
        </is>
      </c>
      <c r="B1540" s="6">
        <f>SUM(O1503:O1527)</f>
        <v/>
      </c>
    </row>
    <row r="1543">
      <c r="A1543" s="6" t="inlineStr">
        <is>
          <t>Stat: Mushmom's Cap (Equip)</t>
        </is>
      </c>
    </row>
    <row r="1544">
      <c r="A1544" s="5" t="inlineStr">
        <is>
          <t>Key</t>
        </is>
      </c>
      <c r="B1544" s="5" t="inlineStr">
        <is>
          <t>Name</t>
        </is>
      </c>
      <c r="C1544" s="5" t="inlineStr">
        <is>
          <t>Unlocked</t>
        </is>
      </c>
      <c r="D1544" s="5" t="inlineStr">
        <is>
          <t>InputLevel</t>
        </is>
      </c>
      <c r="E1544" s="5" t="inlineStr">
        <is>
          <t>Factor</t>
        </is>
      </c>
      <c r="F1544" s="5" t="inlineStr">
        <is>
          <t>CoefficientPercent</t>
        </is>
      </c>
      <c r="G1544" s="5" t="inlineStr">
        <is>
          <t>EffectiveHits</t>
        </is>
      </c>
      <c r="H1544" s="5" t="inlineStr">
        <is>
          <t>ProcProbability</t>
        </is>
      </c>
      <c r="I1544" s="5" t="inlineStr">
        <is>
          <t>MapleHeroMultiplier</t>
        </is>
      </c>
      <c r="J1544" s="5" t="inlineStr">
        <is>
          <t>BaseDamage</t>
        </is>
      </c>
      <c r="K1544" s="5" t="inlineStr">
        <is>
          <t>BaseHitDamage</t>
        </is>
      </c>
      <c r="L1544" s="5" t="inlineStr">
        <is>
          <t>NonCritAvg</t>
        </is>
      </c>
      <c r="M1544" s="5" t="inlineStr">
        <is>
          <t>CritAvg</t>
        </is>
      </c>
      <c r="N1544" s="5" t="inlineStr">
        <is>
          <t>ExpectedDamage(perHit)</t>
        </is>
      </c>
      <c r="O1544" s="5" t="inlineStr">
        <is>
          <t>DPS</t>
        </is>
      </c>
      <c r="P1544" s="5" t="inlineStr">
        <is>
          <t>% of Total</t>
        </is>
      </c>
      <c r="Q1544" s="5" t="inlineStr">
        <is>
          <t>InvCooldown</t>
        </is>
      </c>
      <c r="R1544" s="5" t="inlineStr">
        <is>
          <t>CastsInFight</t>
        </is>
      </c>
      <c r="S1544" s="5" t="inlineStr">
        <is>
          <t>HitRate(perSec)</t>
        </is>
      </c>
      <c r="U1544" t="inlineStr">
        <is>
          <t>helpers</t>
        </is>
      </c>
    </row>
    <row r="1545">
      <c r="A1545">
        <f>Skills!A2</f>
        <v/>
      </c>
      <c r="B1545">
        <f>Skills!B2</f>
        <v/>
      </c>
      <c r="C1545">
        <f>Inputs!$B$3&gt;=100</f>
        <v/>
      </c>
      <c r="D1545" t="inlineStr"/>
      <c r="E1545" t="inlineStr"/>
      <c r="F1545">
        <f>U1547+Skills!O2</f>
        <v/>
      </c>
      <c r="G1545">
        <f>Skills!G2*IF(Skills!H2&gt;0,INT(IF(Inputs!$B$39="pvp",MIN(Skills!I2,15),Skills!I2)/Skills!H2+0.000000001),1)</f>
        <v/>
      </c>
      <c r="H1545">
        <f>1-(1-Skills!J2/100)^Skills!K2</f>
        <v/>
      </c>
      <c r="I1545" t="inlineStr">
        <is>
          <t>1</t>
        </is>
      </c>
      <c r="J1545">
        <f>((Inputs!$B$6*(1+Inputs!$B$7/100))+(((Inputs!$B$13*(1+Inputs!$B$14/100))-(Inputs!$B$13*(1+Inputs!$B$14/100)))+0.25*(Inputs!$B$15-Inputs!$B$15))*(1+Inputs!$B$7/100))*(F1545/100)</f>
        <v/>
      </c>
      <c r="K1545">
        <f>J1545*(1+(((Inputs!$B$13+IF(Inputs!$B$3&gt;=38,(10*INDEX(FactorTable!$B$2:$Y$301, MATCH(ROUND(MIN(300,MAX(1,Inputs!$B$3)),0), FactorTable!$A$2:$A$301,0), 23)/1000)/100*(Inputs!$B$8*(1+Inputs!$B$9/100)),0))*(1+Inputs!$B$14/100))*0.01+Inputs!$B$15*0.0025)/100)*(1+Inputs!$B$16/100)*(1+Inputs!$B$17/100)*(5000/(6000+Inputs!$B$43*(1-(Inputs!$B$20+0)/100)))*(1+(Inputs!$B$25+((C1568=TRUE)*(F1568-Calc!F25))+((C1569=TRUE)*(F1569-Calc!F26))+B1578)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gt;=100),MIN(100,((Inputs!$B$10+0+B1572+(ArtifactsInput!$M$24-ArtifactsInput!$M$24)*CHOOSE(ArtifactsInput!$N$24+1,10,12,14,16,18,20)+IF(ArtifactsInput!$M$10,CHOOSE(ArtifactsInput!$N$10+1,15,18,21,24,27,30)*(IF(Inputs!$B$39="pvp",MIN(15,15)/15,IF(AND(Inputs!$B$39&lt;&gt;"pvp",Inputs!$B$44&gt;0),MIN(15,Inputs!$B$44)/(Inputs!$B$44),0))),0)))-100),0))*CHOOSE(ArtifactsInput!$N$42+1,0.6,0.72,0.84,0.96,1.08,1.2))),Inputs!$B$19+((C1566=TRUE)*(F1566-Calc!F23))+(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gt;=100),CHOOSE(ArtifactsInput!$N$42+1,40,48,56,64,72,80),0))))/100)*((1+(((C1556=TRUE)*F1556*IF(AND(Inputs!$B$39&lt;&gt;"pvp",Inputs!$B$44&gt;0),(((R1556-1)*MIN((Skills!T13*(1+Inputs!$B$35/100)),(1/Q1556))+MIN((Skills!T13*(1+Inputs!$B$35/100)),MAX(0,Inputs!$B$44-((R1556-1)*(1/Q1556)))))/Inputs!$B$44),IF(Inputs!$B$39="pvp",MIN((Skills!T13*(1+Inputs!$B$35/100)),15)/15,MIN(1,(Skills!T13*(1+Inputs!$B$35/100))/(1/Q1556)))))+((C1557=TRUE)*F1557*IF(AND(Inputs!$B$39&lt;&gt;"pvp",Inputs!$B$44&gt;0),(((R1557-1)*MIN((Skills!T14*(1+Inputs!$B$35/100)),(1/Q1557))+MIN((Skills!T14*(1+Inputs!$B$35/100)),MAX(0,Inputs!$B$44-((R1557-1)*(1/Q1557)))))/Inputs!$B$44),IF(Inputs!$B$39="pvp",MIN((Skills!T14*(1+Inputs!$B$35/100)),15)/15,MIN(1,(Skills!T14*(1+Inputs!$B$35/100))/(1/Q1557)))))+((C1558=TRUE)*F1558*IF(AND(Inputs!$B$39&lt;&gt;"pvp",Inputs!$B$44&gt;0),(((R1558-1)*MIN((Skills!T15*(1+Inputs!$B$35/100)),(1/Q1558))+MIN((Skills!T15*(1+Inputs!$B$35/100)),MAX(0,Inputs!$B$44-((R1558-1)*(1/Q1558)))))/Inputs!$B$44),IF(Inputs!$B$39="pvp",MIN((Skills!T15*(1+Inputs!$B$35/100)),15)/15,MIN(1,(Skills!T15*(1+Inputs!$B$35/100))/(1/Q1558)))))+((C1559=TRUE)*F1559*IF(AND(Inputs!$B$39&lt;&gt;"pvp",Inputs!$B$44&gt;0),(((R1559-1)*MIN((Skills!T16*(1+Inputs!$B$35/100)),(1/Q1559))+MIN((Skills!T16*(1+Inputs!$B$35/100)),MAX(0,Inputs!$B$44-((R1559-1)*(1/Q1559)))))/Inputs!$B$44),IF(Inputs!$B$39="pvp",MIN((Skills!T16*(1+Inputs!$B$35/100)),15)/15,MIN(1,(Skills!T16*(1+Inputs!$B$35/100))/(1/Q1559)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1545)</f>
        <v/>
      </c>
      <c r="L1545">
        <f>K1545*(MIN(Inputs!$B$23+((C1565=TRUE)*(F1565-Calc!F22)),(Inputs!$B$24+((C1567=TRUE)*(F1567-Calc!F24))+(IF(ArtifactsInput!$M$15,CHOOSE(ArtifactsInput!$N$15+1,25,30,35,40,45,50)/100*(Inputs!$B$12-Inputs!$B$12),0))))/100+(Inputs!$B$24+((C1567=TRUE)*(F1567-Calc!F24))+(IF(ArtifactsInput!$M$15,CHOOSE(ArtifactsInput!$N$15+1,25,30,35,40,45,50)/100*(Inputs!$B$12-Inputs!$B$12),0)))/100)/2</f>
        <v/>
      </c>
      <c r="M1545">
        <f>L1545*(1+(Inputs!$B$11+0+B1577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545">
        <f>L1545*(1-MIN((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1545*(MIN((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45">
        <f>(1-Summary!$B$11)*T1545+Summary!$B$11*V1545</f>
        <v/>
      </c>
      <c r="P1545">
        <f>IF(B1582=0,0,O1545/B1582)</f>
        <v/>
      </c>
      <c r="Q1545" t="n">
        <v>0</v>
      </c>
      <c r="R1545" t="n">
        <v>0</v>
      </c>
      <c r="S1545">
        <f>IFERROR(O1545/N1545,0)</f>
        <v/>
      </c>
      <c r="T1545">
        <f>IF(C1545,(Skills!G2*N1545*B1576)*IF(Inputs!$B$39="pvp",1,1+(Inputs!$B$21+0+Skills!P2+((C1560=TRUE)*F1560*IF(AND(Inputs!$B$39&lt;&gt;"pvp",Inputs!$B$44&gt;0),(((R1560-1)*MIN((Skills!T17*(1+Inputs!$B$35/100)),(1/Q1560))+MIN((Skills!T17*(1+Inputs!$B$35/100)),MAX(0,Inputs!$B$44-((R1560-1)*(1/Q1560)))))/Inputs!$B$44),IF(Inputs!$B$39="pvp",MIN((Skills!T17*(1+Inputs!$B$35/100)),15)/15,MIN(1,(Skills!T17*(1+Inputs!$B$35/100))/(1/Q1560)))))+((C1548=TRUE)*IF(Inputs!$B$3&gt;=126,10*MIN(1,15*Q1548),0))+((C1557=TRUE)*IF(Inputs!$B$39="pvp",20,(1-Summary!$B$11)*(20)+Summary!$B$11*(0))*IF(AND(Inputs!$B$39&lt;&gt;"pvp",Inputs!$B$44&gt;0),(((R1557-1)*MIN((Skills!T14*(1+Inputs!$B$35/100)),(1/Q1557))+MIN((Skills!T14*(1+Inputs!$B$35/100)),MAX(0,Inputs!$B$44-((R1557-1)*(1/Q1557)))))/Inputs!$B$44),IF(Inputs!$B$39="pvp",MIN((Skills!T14*(1+Inputs!$B$35/100)),15)/15,MIN(1,(Skills!T14*(1+Inputs!$B$35/100))/(1/Q1557)))))+((C1556=TRUE)*IF(Inputs!$B$3&gt;=82,IF(Inputs!$B$39="pvp",20,(1-Summary!$B$11)*(20)+Summary!$B$11*(0)),0)*IF(AND(Inputs!$B$39&lt;&gt;"pvp",Inputs!$B$44&gt;0),(((R1556-1)*MIN((Skills!T13*(1+Inputs!$B$35/100)),(1/Q1556))+MIN((Skills!T13*(1+Inputs!$B$35/100)),MAX(0,Inputs!$B$44-((R1556-1)*(1/Q1556)))))/Inputs!$B$44),IF(Inputs!$B$39="pvp",MIN((Skills!T13*(1+Inputs!$B$35/100)),15)/15,MIN(1,(Skills!T13*(1+Inputs!$B$35/100))/(1/Q1556)))))+(IF(AND(ArtifactsInput!$M$35,Inputs!$B$4&lt;&gt;"Chapter Hunt"),CHOOSE(ArtifactsInput!$N$35+1,15,18,21,24,27,30)*(1-EXP(-(0.2*B1574)*5)),0)+IF(AND(ArtifactsInput!$M$22,Inputs!$B$4&lt;&gt;"Chapter Hunt"),CHOOSE(ArtifactsInput!$N$22+1,10,12,14,16,18,20)*((0*(((0.15*B1574*5))^0/1)+1*(((0.15*B1574*5))^1/1)+2*(((0.15*B1574*5))^2/2)+3*(((0.15*B1574*5))^3/6)+4*(((0.15*B1574*5))^4/24)+5*(((0.15*B1574*5))^5/120))/((((0.15*B1574*5))^0/1)+(((0.15*B1574*5))^1/1)+(((0.15*B1574*5))^2/2)+(((0.15*B1574*5))^3/6)+(((0.15*B1574*5))^4/24)+(((0.15*B1574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1545*(1-MIN(100,(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1545*(MIN(100,(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1545*(1-MIN(100,(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1545*(MIN(100,(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545">
        <f>MAX(0,(Inputs!$B$3-100)*3)+Inputs!$B$29+Inputs!$B$30</f>
        <v/>
      </c>
      <c r="V1545">
        <f>IF(C1545,(Skills!G2*N1545*B1576)*IF(Inputs!$B$39="pvp",1,(1+(Inputs!$B$22+Skills!Q2+((C1560=TRUE)*F1560*IF(AND(Inputs!$B$39&lt;&gt;"pvp",Inputs!$B$44&gt;0),(((R1560-1)*MIN((Skills!T17*(1+Inputs!$B$35/100)),(1/Q1560))+MIN((Skills!T17*(1+Inputs!$B$35/100)),MAX(0,Inputs!$B$44-((R1560-1)*(1/Q1560)))))/Inputs!$B$44),IF(Inputs!$B$39="pvp",MIN((Skills!T17*(1+Inputs!$B$35/100)),15)/15,MIN(1,(Skills!T17*(1+Inputs!$B$35/100))/(1/Q1560)))))+((C1548=TRUE)*IF(Inputs!$B$3&gt;=126,10*MIN(1,15*Q1548),0))+((C1557=TRUE)*IF(Inputs!$B$39="pvp",20,(1-Summary!$B$11)*(20)+Summary!$B$11*(0))*IF(AND(Inputs!$B$39&lt;&gt;"pvp",Inputs!$B$44&gt;0),(((R1557-1)*MIN((Skills!T14*(1+Inputs!$B$35/100)),(1/Q1557))+MIN((Skills!T14*(1+Inputs!$B$35/100)),MAX(0,Inputs!$B$44-((R1557-1)*(1/Q1557)))))/Inputs!$B$44),IF(Inputs!$B$39="pvp",MIN((Skills!T14*(1+Inputs!$B$35/100)),15)/15,MIN(1,(Skills!T14*(1+Inputs!$B$35/100))/(1/Q1557)))))+((C1556=TRUE)*IF(Inputs!$B$3&gt;=82,IF(Inputs!$B$39="pvp",20,(1-Summary!$B$11)*(20)+Summary!$B$11*(0)),0)*IF(AND(Inputs!$B$39&lt;&gt;"pvp",Inputs!$B$44&gt;0),(((R1556-1)*MIN((Skills!T13*(1+Inputs!$B$35/100)),(1/Q1556))+MIN((Skills!T13*(1+Inputs!$B$35/100)),MAX(0,Inputs!$B$44-((R1556-1)*(1/Q1556)))))/Inputs!$B$44),IF(Inputs!$B$39="pvp",MIN((Skills!T13*(1+Inputs!$B$35/100)),15)/15,MIN(1,(Skills!T13*(1+Inputs!$B$35/100))/(1/Q1556)))))+(IF(AND(ArtifactsInput!$M$35,Inputs!$B$4&lt;&gt;"Chapter Hunt"),CHOOSE(ArtifactsInput!$N$35+1,15,18,21,24,27,30)*(1-EXP(-(0.2*B1574)*5)),0)+IF(AND(ArtifactsInput!$M$22,Inputs!$B$4&lt;&gt;"Chapter Hunt"),CHOOSE(ArtifactsInput!$N$22+1,10,12,14,16,18,20)*((0*(((0.15*B1574*5))^0/1)+1*(((0.15*B1574*5))^1/1)+2*(((0.15*B1574*5))^2/2)+3*(((0.15*B1574*5))^3/6)+4*(((0.15*B1574*5))^4/24)+5*(((0.15*B1574*5))^5/120))/((((0.15*B1574*5))^0/1)+(((0.15*B1574*5))^1/1)+(((0.15*B1574*5))^2/2)+(((0.15*B1574*5))^3/6)+(((0.15*B1574*5))^4/24)+(((0.15*B1574*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46">
      <c r="A1546">
        <f>Skills!A3</f>
        <v/>
      </c>
      <c r="B1546">
        <f>Skills!B3</f>
        <v/>
      </c>
      <c r="C1546">
        <f>Inputs!$B$3&gt;=50</f>
        <v/>
      </c>
      <c r="D1546">
        <f>IF(Skills!C3=1,60+Inputs!$B$26+Inputs!$B$30,IF(Skills!C3=2,90+Inputs!$B$27+Inputs!$B$30,IF(Skills!C3=3,120+Inputs!$B$28+Inputs!$B$30,MAX(0,(Inputs!$B$3-100)*3)+Inputs!$B$29+Inputs!$B$30)))</f>
        <v/>
      </c>
      <c r="E1546">
        <f>INDEX(FactorTable!$B$2:$Y$301, MATCH(ROUND(MIN(300,MAX(1,D1546)),0), FactorTable!$A$2:$A$301,0), Skills!M3+1)</f>
        <v/>
      </c>
      <c r="F1546">
        <f>IF(Skills!N3=TRUE,(Skills!L3/10)*(E1546/1000),Skills!L3/10)+Skills!O3</f>
        <v/>
      </c>
      <c r="G1546" t="inlineStr"/>
      <c r="H1546" t="inlineStr"/>
      <c r="I1546" t="inlineStr">
        <is>
          <t>1</t>
        </is>
      </c>
      <c r="J1546" t="inlineStr"/>
      <c r="K1546" t="inlineStr"/>
      <c r="L1546" t="inlineStr"/>
      <c r="M1546" t="inlineStr"/>
      <c r="N1546" t="inlineStr"/>
      <c r="O1546" t="inlineStr"/>
      <c r="P1546" t="inlineStr"/>
      <c r="Q1546" t="inlineStr"/>
      <c r="R1546" t="inlineStr"/>
      <c r="S1546" t="inlineStr"/>
      <c r="U1546">
        <f>INDEX(FactorTable!$B$2:$Y$301, MATCH(ROUND(MIN(300,MAX(1,U1545)),0), FactorTable!$A$2:$A$301,0), 22)</f>
        <v/>
      </c>
    </row>
    <row r="1547">
      <c r="A1547">
        <f>Skills!A4</f>
        <v/>
      </c>
      <c r="B1547">
        <f>Skills!B4</f>
        <v/>
      </c>
      <c r="C1547">
        <f>Inputs!$B$3&gt;=105</f>
        <v/>
      </c>
      <c r="D1547">
        <f>IF(Skills!C4=1,60+Inputs!$B$26+Inputs!$B$30,IF(Skills!C4=2,90+Inputs!$B$27+Inputs!$B$30,IF(Skills!C4=3,120+Inputs!$B$28+Inputs!$B$30,MAX(0,(Inputs!$B$3-100)*3)+Inputs!$B$29+Inputs!$B$30)))</f>
        <v/>
      </c>
      <c r="E1547">
        <f>INDEX(FactorTable!$B$2:$Y$301, MATCH(ROUND(MIN(300,MAX(1,D1547)),0), FactorTable!$A$2:$A$301,0), Skills!M4+1)</f>
        <v/>
      </c>
      <c r="F1547">
        <f>IF(Skills!N4=TRUE,(Skills!L4/10)*(E1547/1000),Skills!L4/10)+Skills!O4</f>
        <v/>
      </c>
      <c r="G1547" t="inlineStr"/>
      <c r="H1547" t="inlineStr"/>
      <c r="I1547" t="inlineStr">
        <is>
          <t>1</t>
        </is>
      </c>
      <c r="J1547" t="inlineStr"/>
      <c r="K1547" t="inlineStr"/>
      <c r="L1547" t="inlineStr"/>
      <c r="M1547" t="inlineStr"/>
      <c r="N1547" t="inlineStr"/>
      <c r="O1547" t="inlineStr"/>
      <c r="P1547" t="inlineStr"/>
      <c r="Q1547" t="inlineStr"/>
      <c r="R1547" t="inlineStr"/>
      <c r="S1547" t="inlineStr"/>
      <c r="U1547">
        <f>290*U1546/1000</f>
        <v/>
      </c>
    </row>
    <row r="1548">
      <c r="A1548">
        <f>Skills!A5</f>
        <v/>
      </c>
      <c r="B1548">
        <f>Skills!B5</f>
        <v/>
      </c>
      <c r="C1548">
        <f>Inputs!$B$3&gt;=117</f>
        <v/>
      </c>
      <c r="D1548">
        <f>IF(Skills!C5=1,60+Inputs!$B$26+Inputs!$B$30,IF(Skills!C5=2,90+Inputs!$B$27+Inputs!$B$30,IF(Skills!C5=3,120+Inputs!$B$28+Inputs!$B$30,MAX(0,(Inputs!$B$3-100)*3)+Inputs!$B$29+Inputs!$B$30)))</f>
        <v/>
      </c>
      <c r="E1548">
        <f>INDEX(FactorTable!$B$2:$Y$301, MATCH(ROUND(MIN(300,MAX(1,D1548)),0), FactorTable!$A$2:$A$301,0), Skills!M5+1)</f>
        <v/>
      </c>
      <c r="F1548">
        <f>IF(Skills!N5=TRUE,(Skills!L5/10)*(E1548/1000),Skills!L5/10)+Skills!O5</f>
        <v/>
      </c>
      <c r="G1548">
        <f>Skills!G5*IF(Skills!H5&gt;0,INT(IF(Inputs!$B$39="pvp",MIN(Skills!I5,15),Skills!I5)/Skills!H5+0.000000001),1)</f>
        <v/>
      </c>
      <c r="H1548">
        <f>1-(1-Skills!J5/100)^Skills!K5</f>
        <v/>
      </c>
      <c r="I1548" t="inlineStr">
        <is>
          <t>1</t>
        </is>
      </c>
      <c r="J1548">
        <f>((Inputs!$B$6*(1+Inputs!$B$7/100))+(((Inputs!$B$13*(1+Inputs!$B$14/100))-(Inputs!$B$13*(1+Inputs!$B$14/100)))+0.25*(Inputs!$B$15-Inputs!$B$15))*(1+Inputs!$B$7/100))*(F1548/100)</f>
        <v/>
      </c>
      <c r="K1548">
        <f>J1548*(1+(((Inputs!$B$13+IF(Inputs!$B$3&gt;=38,(10*INDEX(FactorTable!$B$2:$Y$301, MATCH(ROUND(MIN(300,MAX(1,Inputs!$B$3)),0), FactorTable!$A$2:$A$301,0), 23)/1000)/100*(Inputs!$B$8*(1+Inputs!$B$9/100)),0))*(1+Inputs!$B$14/100))*0.01+Inputs!$B$15*0.0025)/100)*(1+Inputs!$B$16/100)*(1+Inputs!$B$17/100)*(5000/(6000+Inputs!$B$43*(1-(Inputs!$B$20+0)/100)))*(1+(Inputs!$B$25+((C1568=TRUE)*(F1568-Calc!F25))+((C1569=TRUE)*(F1569-Calc!F26))+B1578)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gt;=100),MIN(100,((Inputs!$B$10+0+B1572+(ArtifactsInput!$M$24-ArtifactsInput!$M$24)*CHOOSE(ArtifactsInput!$N$24+1,10,12,14,16,18,20)+IF(ArtifactsInput!$M$10,CHOOSE(ArtifactsInput!$N$10+1,15,18,21,24,27,30)*(IF(Inputs!$B$39="pvp",MIN(15,15)/15,IF(AND(Inputs!$B$39&lt;&gt;"pvp",Inputs!$B$44&gt;0),MIN(15,Inputs!$B$44)/(Inputs!$B$44),0))),0)))-100),0))*CHOOSE(ArtifactsInput!$N$42+1,0.6,0.72,0.84,0.96,1.08,1.2))),Inputs!$B$19+((C1566=TRUE)*(F1566-Calc!F23))+(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gt;=100),CHOOSE(ArtifactsInput!$N$42+1,40,48,56,64,72,80),0))))/100)*((1+(((C1556=TRUE)*F1556*IF(AND(Inputs!$B$39&lt;&gt;"pvp",Inputs!$B$44&gt;0),(((R1556-1)*MIN((Skills!T13*(1+Inputs!$B$35/100)),(1/Q1556))+MIN((Skills!T13*(1+Inputs!$B$35/100)),MAX(0,Inputs!$B$44-((R1556-1)*(1/Q1556)))))/Inputs!$B$44),IF(Inputs!$B$39="pvp",MIN((Skills!T13*(1+Inputs!$B$35/100)),15)/15,MIN(1,(Skills!T13*(1+Inputs!$B$35/100))/(1/Q1556)))))+((C1557=TRUE)*F1557*IF(AND(Inputs!$B$39&lt;&gt;"pvp",Inputs!$B$44&gt;0),(((R1557-1)*MIN((Skills!T14*(1+Inputs!$B$35/100)),(1/Q1557))+MIN((Skills!T14*(1+Inputs!$B$35/100)),MAX(0,Inputs!$B$44-((R1557-1)*(1/Q1557)))))/Inputs!$B$44),IF(Inputs!$B$39="pvp",MIN((Skills!T14*(1+Inputs!$B$35/100)),15)/15,MIN(1,(Skills!T14*(1+Inputs!$B$35/100))/(1/Q1557)))))+((C1558=TRUE)*F1558*IF(AND(Inputs!$B$39&lt;&gt;"pvp",Inputs!$B$44&gt;0),(((R1558-1)*MIN((Skills!T15*(1+Inputs!$B$35/100)),(1/Q1558))+MIN((Skills!T15*(1+Inputs!$B$35/100)),MAX(0,Inputs!$B$44-((R1558-1)*(1/Q1558)))))/Inputs!$B$44),IF(Inputs!$B$39="pvp",MIN((Skills!T15*(1+Inputs!$B$35/100)),15)/15,MIN(1,(Skills!T15*(1+Inputs!$B$35/100))/(1/Q1558)))))+((C1559=TRUE)*F1559*IF(AND(Inputs!$B$39&lt;&gt;"pvp",Inputs!$B$44&gt;0),(((R1559-1)*MIN((Skills!T16*(1+Inputs!$B$35/100)),(1/Q1559))+MIN((Skills!T16*(1+Inputs!$B$35/100)),MAX(0,Inputs!$B$44-((R1559-1)*(1/Q1559)))))/Inputs!$B$44),IF(Inputs!$B$39="pvp",MIN((Skills!T16*(1+Inputs!$B$35/100)),15)/15,MIN(1,(Skills!T16*(1+Inputs!$B$35/100))/(1/Q1559)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1548)</f>
        <v/>
      </c>
      <c r="L1548">
        <f>K1548*(MIN(Inputs!$B$23+((C1565=TRUE)*(F1565-Calc!F22)),(Inputs!$B$24+((C1567=TRUE)*(F1567-Calc!F24))+(IF(ArtifactsInput!$M$15,CHOOSE(ArtifactsInput!$N$15+1,25,30,35,40,45,50)/100*(Inputs!$B$12-Inputs!$B$12),0))))/100+(Inputs!$B$24+((C1567=TRUE)*(F1567-Calc!F24))+(IF(ArtifactsInput!$M$15,CHOOSE(ArtifactsInput!$N$15+1,25,30,35,40,45,50)/100*(Inputs!$B$12-Inputs!$B$12),0)))/100)/2</f>
        <v/>
      </c>
      <c r="M1548">
        <f>L1548*(1+(Inputs!$B$11+0+B1577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548">
        <f>L1548*(1-MIN((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1548*(MIN((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48">
        <f>(1-Summary!$B$11)*T1548+Summary!$B$11*V1548</f>
        <v/>
      </c>
      <c r="P1548">
        <f>IF(B1582=0,0,O1548/B1582)</f>
        <v/>
      </c>
      <c r="Q1548">
        <f>IFERROR(1/IF(Inputs!$B$39="pvp",15,MAX(0.1,Skills!D5-IF(TRUE=TRUE,Inputs!$B$33,0))),0)</f>
        <v/>
      </c>
      <c r="R1548">
        <f>IF(AND(Inputs!$B$39&lt;&gt;"pvp",Inputs!$B$44&gt;0),IF(MAX(0,Inputs!$B$44-B1579)&lt;=0,0,(INT(MAX(0,Inputs!$B$44-B1579)/IF(Inputs!$B$39="pvp",15,MAX(0.1,Skills!D5-IF(TRUE=TRUE,Inputs!$B$33,0))))+1)),0)</f>
        <v/>
      </c>
      <c r="S1548">
        <f>IFERROR(O1548/N1548,0)</f>
        <v/>
      </c>
      <c r="T1548">
        <f>IF(C1548,(H1548*N1548*IF(AND(Inputs!$B$39&lt;&gt;"pvp",Inputs!$B$44&gt;0),((Skills!G5*((R1548-1)*IF(Skills!H5&gt;0,INT(Skills!I5/Skills!H5+0.000000001),1)+IF(Skills!H5&gt;0,INT(MIN(Skills!I5,MAX(0,MAX(0,Inputs!$B$44-B1579)-((R1548-1)*IF(Inputs!$B$39="pvp",15,MAX(0.1,Skills!D5-IF(TRUE=TRUE,Inputs!$B$33,0))))))/Skills!H5+0.000000001),1)))/Inputs!$B$44),G1548*Q1548))*IF(Inputs!$B$39="pvp",1,1+(Inputs!$B$21+0+Skills!P5+((C1560=TRUE)*F1560*IF(AND(Inputs!$B$39&lt;&gt;"pvp",Inputs!$B$44&gt;0),(((R1560-1)*MIN((Skills!T17*(1+Inputs!$B$35/100)),(1/Q1560))+MIN((Skills!T17*(1+Inputs!$B$35/100)),MAX(0,Inputs!$B$44-((R1560-1)*(1/Q1560)))))/Inputs!$B$44),IF(Inputs!$B$39="pvp",MIN((Skills!T17*(1+Inputs!$B$35/100)),15)/15,MIN(1,(Skills!T17*(1+Inputs!$B$35/100))/(1/Q1560)))))+((C1548=TRUE)*IF(Inputs!$B$3&gt;=126,10*MIN(1,15*Q1548),0))+((C1557=TRUE)*IF(Inputs!$B$39="pvp",20,(1-Summary!$B$11)*(20)+Summary!$B$11*(0))*IF(AND(Inputs!$B$39&lt;&gt;"pvp",Inputs!$B$44&gt;0),(((R1557-1)*MIN((Skills!T14*(1+Inputs!$B$35/100)),(1/Q1557))+MIN((Skills!T14*(1+Inputs!$B$35/100)),MAX(0,Inputs!$B$44-((R1557-1)*(1/Q1557)))))/Inputs!$B$44),IF(Inputs!$B$39="pvp",MIN((Skills!T14*(1+Inputs!$B$35/100)),15)/15,MIN(1,(Skills!T14*(1+Inputs!$B$35/100))/(1/Q1557)))))+((C1556=TRUE)*IF(Inputs!$B$3&gt;=82,IF(Inputs!$B$39="pvp",20,(1-Summary!$B$11)*(20)+Summary!$B$11*(0)),0)*IF(AND(Inputs!$B$39&lt;&gt;"pvp",Inputs!$B$44&gt;0),(((R1556-1)*MIN((Skills!T13*(1+Inputs!$B$35/100)),(1/Q1556))+MIN((Skills!T13*(1+Inputs!$B$35/100)),MAX(0,Inputs!$B$44-((R1556-1)*(1/Q1556)))))/Inputs!$B$44),IF(Inputs!$B$39="pvp",MIN((Skills!T13*(1+Inputs!$B$35/100)),15)/15,MIN(1,(Skills!T13*(1+Inputs!$B$35/100))/(1/Q1556)))))+(IF(AND(ArtifactsInput!$M$35,Inputs!$B$4&lt;&gt;"Chapter Hunt"),CHOOSE(ArtifactsInput!$N$35+1,15,18,21,24,27,30)*(1-EXP(-(0.2*B1574)*5)),0)+IF(AND(ArtifactsInput!$M$22,Inputs!$B$4&lt;&gt;"Chapter Hunt"),CHOOSE(ArtifactsInput!$N$22+1,10,12,14,16,18,20)*((0*(((0.15*B1574*5))^0/1)+1*(((0.15*B1574*5))^1/1)+2*(((0.15*B1574*5))^2/2)+3*(((0.15*B1574*5))^3/6)+4*(((0.15*B1574*5))^4/24)+5*(((0.15*B1574*5))^5/120))/((((0.15*B1574*5))^0/1)+(((0.15*B1574*5))^1/1)+(((0.15*B1574*5))^2/2)+(((0.15*B1574*5))^3/6)+(((0.15*B1574*5))^4/24)+(((0.15*B1574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1548*(1-MIN(100,(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1548*(MIN(100,(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1548*(1-MIN(100,(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1548*(MIN(100,(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48">
        <f>IF(C1548,(H1548*N1548*IF(AND(Inputs!$B$39&lt;&gt;"pvp",Inputs!$B$44&gt;0),((Skills!G5*((R1548-1)*IF(Skills!H5&gt;0,INT(Skills!I5/Skills!H5+0.000000001),1)+IF(Skills!H5&gt;0,INT(MIN(Skills!I5,MAX(0,MAX(0,Inputs!$B$44-B1579)-((R1548-1)*IF(Inputs!$B$39="pvp",15,MAX(0.1,Skills!D5-IF(TRUE=TRUE,Inputs!$B$33,0))))))/Skills!H5+0.000000001),1)))/Inputs!$B$44),G1548*Q1548))*IF(Inputs!$B$39="pvp",1,(1+(Inputs!$B$22+Skills!Q5+((C1560=TRUE)*F1560*IF(AND(Inputs!$B$39&lt;&gt;"pvp",Inputs!$B$44&gt;0),(((R1560-1)*MIN((Skills!T17*(1+Inputs!$B$35/100)),(1/Q1560))+MIN((Skills!T17*(1+Inputs!$B$35/100)),MAX(0,Inputs!$B$44-((R1560-1)*(1/Q1560)))))/Inputs!$B$44),IF(Inputs!$B$39="pvp",MIN((Skills!T17*(1+Inputs!$B$35/100)),15)/15,MIN(1,(Skills!T17*(1+Inputs!$B$35/100))/(1/Q1560)))))+((C1548=TRUE)*IF(Inputs!$B$3&gt;=126,10*MIN(1,15*Q1548),0))+((C1557=TRUE)*IF(Inputs!$B$39="pvp",20,(1-Summary!$B$11)*(20)+Summary!$B$11*(0))*IF(AND(Inputs!$B$39&lt;&gt;"pvp",Inputs!$B$44&gt;0),(((R1557-1)*MIN((Skills!T14*(1+Inputs!$B$35/100)),(1/Q1557))+MIN((Skills!T14*(1+Inputs!$B$35/100)),MAX(0,Inputs!$B$44-((R1557-1)*(1/Q1557)))))/Inputs!$B$44),IF(Inputs!$B$39="pvp",MIN((Skills!T14*(1+Inputs!$B$35/100)),15)/15,MIN(1,(Skills!T14*(1+Inputs!$B$35/100))/(1/Q1557)))))+((C1556=TRUE)*IF(Inputs!$B$3&gt;=82,IF(Inputs!$B$39="pvp",20,(1-Summary!$B$11)*(20)+Summary!$B$11*(0)),0)*IF(AND(Inputs!$B$39&lt;&gt;"pvp",Inputs!$B$44&gt;0),(((R1556-1)*MIN((Skills!T13*(1+Inputs!$B$35/100)),(1/Q1556))+MIN((Skills!T13*(1+Inputs!$B$35/100)),MAX(0,Inputs!$B$44-((R1556-1)*(1/Q1556)))))/Inputs!$B$44),IF(Inputs!$B$39="pvp",MIN((Skills!T13*(1+Inputs!$B$35/100)),15)/15,MIN(1,(Skills!T13*(1+Inputs!$B$35/100))/(1/Q1556)))))+(IF(AND(ArtifactsInput!$M$35,Inputs!$B$4&lt;&gt;"Chapter Hunt"),CHOOSE(ArtifactsInput!$N$35+1,15,18,21,24,27,30)*(1-EXP(-(0.2*B1574)*5)),0)+IF(AND(ArtifactsInput!$M$22,Inputs!$B$4&lt;&gt;"Chapter Hunt"),CHOOSE(ArtifactsInput!$N$22+1,10,12,14,16,18,20)*((0*(((0.15*B1574*5))^0/1)+1*(((0.15*B1574*5))^1/1)+2*(((0.15*B1574*5))^2/2)+3*(((0.15*B1574*5))^3/6)+4*(((0.15*B1574*5))^4/24)+5*(((0.15*B1574*5))^5/120))/((((0.15*B1574*5))^0/1)+(((0.15*B1574*5))^1/1)+(((0.15*B1574*5))^2/2)+(((0.15*B1574*5))^3/6)+(((0.15*B1574*5))^4/24)+(((0.15*B1574*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49">
      <c r="A1549">
        <f>Skills!A6</f>
        <v/>
      </c>
      <c r="B1549">
        <f>Skills!B6</f>
        <v/>
      </c>
      <c r="C1549">
        <f>Inputs!$B$3&gt;=103</f>
        <v/>
      </c>
      <c r="D1549">
        <f>IF(Skills!C6=1,60+Inputs!$B$26+Inputs!$B$30,IF(Skills!C6=2,90+Inputs!$B$27+Inputs!$B$30,IF(Skills!C6=3,120+Inputs!$B$28+Inputs!$B$30,MAX(0,(Inputs!$B$3-100)*3)+Inputs!$B$29+Inputs!$B$30)))</f>
        <v/>
      </c>
      <c r="E1549">
        <f>INDEX(FactorTable!$B$2:$Y$301, MATCH(ROUND(MIN(300,MAX(1,D1549)),0), FactorTable!$A$2:$A$301,0), Skills!M6+1)</f>
        <v/>
      </c>
      <c r="F1549">
        <f>IF(Skills!N6=TRUE,(Skills!L6/10)*(E1549/1000),Skills!L6/10)+Skills!O6</f>
        <v/>
      </c>
      <c r="G1549">
        <f>Skills!G6*IF(Skills!H6&gt;0,INT(IF(Inputs!$B$39="pvp",MIN(Skills!I6,15),Skills!I6)/Skills!H6+0.000000001),1)</f>
        <v/>
      </c>
      <c r="H1549">
        <f>1-(1-Skills!J6/100)^Skills!K6</f>
        <v/>
      </c>
      <c r="I1549" t="inlineStr">
        <is>
          <t>1</t>
        </is>
      </c>
      <c r="J1549">
        <f>((Inputs!$B$6*(1+Inputs!$B$7/100))+(((Inputs!$B$13*(1+Inputs!$B$14/100))-(Inputs!$B$13*(1+Inputs!$B$14/100)))+0.25*(Inputs!$B$15-Inputs!$B$15))*(1+Inputs!$B$7/100))*(F1549/100)</f>
        <v/>
      </c>
      <c r="K1549">
        <f>J1549*(1+(((Inputs!$B$13+IF(Inputs!$B$3&gt;=38,(10*INDEX(FactorTable!$B$2:$Y$301, MATCH(ROUND(MIN(300,MAX(1,Inputs!$B$3)),0), FactorTable!$A$2:$A$301,0), 23)/1000)/100*(Inputs!$B$8*(1+Inputs!$B$9/100)),0))*(1+Inputs!$B$14/100))*0.01+Inputs!$B$15*0.0025)/100)*(1+Inputs!$B$16/100)*(1+Inputs!$B$17/100)*(5000/(6000+Inputs!$B$43*(1-(Inputs!$B$20+0)/100)))*(1+(Inputs!$B$25+((C1568=TRUE)*(F1568-Calc!F25))+((C1569=TRUE)*(F1569-Calc!F26))+B1578)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gt;=100),MIN(100,((Inputs!$B$10+0+B1572+(ArtifactsInput!$M$24-ArtifactsInput!$M$24)*CHOOSE(ArtifactsInput!$N$24+1,10,12,14,16,18,20)+IF(ArtifactsInput!$M$10,CHOOSE(ArtifactsInput!$N$10+1,15,18,21,24,27,30)*(IF(Inputs!$B$39="pvp",MIN(15,15)/15,IF(AND(Inputs!$B$39&lt;&gt;"pvp",Inputs!$B$44&gt;0),MIN(15,Inputs!$B$44)/(Inputs!$B$44),0))),0)))-100),0))*CHOOSE(ArtifactsInput!$N$42+1,0.6,0.72,0.84,0.96,1.08,1.2))),Inputs!$B$19+((C1566=TRUE)*(F1566-Calc!F23))+(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gt;=100),CHOOSE(ArtifactsInput!$N$42+1,40,48,56,64,72,80),0))))/100)*((1+(((C1556=TRUE)*F1556*IF(AND(Inputs!$B$39&lt;&gt;"pvp",Inputs!$B$44&gt;0),(((R1556-1)*MIN((Skills!T13*(1+Inputs!$B$35/100)),(1/Q1556))+MIN((Skills!T13*(1+Inputs!$B$35/100)),MAX(0,Inputs!$B$44-((R1556-1)*(1/Q1556)))))/Inputs!$B$44),IF(Inputs!$B$39="pvp",MIN((Skills!T13*(1+Inputs!$B$35/100)),15)/15,MIN(1,(Skills!T13*(1+Inputs!$B$35/100))/(1/Q1556)))))+((C1557=TRUE)*F1557*IF(AND(Inputs!$B$39&lt;&gt;"pvp",Inputs!$B$44&gt;0),(((R1557-1)*MIN((Skills!T14*(1+Inputs!$B$35/100)),(1/Q1557))+MIN((Skills!T14*(1+Inputs!$B$35/100)),MAX(0,Inputs!$B$44-((R1557-1)*(1/Q1557)))))/Inputs!$B$44),IF(Inputs!$B$39="pvp",MIN((Skills!T14*(1+Inputs!$B$35/100)),15)/15,MIN(1,(Skills!T14*(1+Inputs!$B$35/100))/(1/Q1557)))))+((C1558=TRUE)*F1558*IF(AND(Inputs!$B$39&lt;&gt;"pvp",Inputs!$B$44&gt;0),(((R1558-1)*MIN((Skills!T15*(1+Inputs!$B$35/100)),(1/Q1558))+MIN((Skills!T15*(1+Inputs!$B$35/100)),MAX(0,Inputs!$B$44-((R1558-1)*(1/Q1558)))))/Inputs!$B$44),IF(Inputs!$B$39="pvp",MIN((Skills!T15*(1+Inputs!$B$35/100)),15)/15,MIN(1,(Skills!T15*(1+Inputs!$B$35/100))/(1/Q1558)))))+((C1559=TRUE)*F1559*IF(AND(Inputs!$B$39&lt;&gt;"pvp",Inputs!$B$44&gt;0),(((R1559-1)*MIN((Skills!T16*(1+Inputs!$B$35/100)),(1/Q1559))+MIN((Skills!T16*(1+Inputs!$B$35/100)),MAX(0,Inputs!$B$44-((R1559-1)*(1/Q1559)))))/Inputs!$B$44),IF(Inputs!$B$39="pvp",MIN((Skills!T16*(1+Inputs!$B$35/100)),15)/15,MIN(1,(Skills!T16*(1+Inputs!$B$35/100))/(1/Q1559)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1549)</f>
        <v/>
      </c>
      <c r="L1549">
        <f>K1549*(MIN(Inputs!$B$23+((C1565=TRUE)*(F1565-Calc!F22)),(Inputs!$B$24+((C1567=TRUE)*(F1567-Calc!F24))+(IF(ArtifactsInput!$M$15,CHOOSE(ArtifactsInput!$N$15+1,25,30,35,40,45,50)/100*(Inputs!$B$12-Inputs!$B$12),0))))/100+(Inputs!$B$24+((C1567=TRUE)*(F1567-Calc!F24))+(IF(ArtifactsInput!$M$15,CHOOSE(ArtifactsInput!$N$15+1,25,30,35,40,45,50)/100*(Inputs!$B$12-Inputs!$B$12),0)))/100)/2</f>
        <v/>
      </c>
      <c r="M1549">
        <f>L1549*(1+(Inputs!$B$11+0+B1577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549">
        <f>L1549*(1-MIN((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1549*(MIN((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49">
        <f>(1-Summary!$B$11)*T1549+Summary!$B$11*V1549</f>
        <v/>
      </c>
      <c r="P1549">
        <f>IF(B1582=0,0,O1549/B1582)</f>
        <v/>
      </c>
      <c r="Q1549">
        <f>IFERROR(1/IF(Inputs!$B$39="pvp",15,MAX(0.1,Skills!D6-IF(TRUE=TRUE,Inputs!$B$33,0))),0)</f>
        <v/>
      </c>
      <c r="R1549">
        <f>IF(AND(Inputs!$B$39&lt;&gt;"pvp",Inputs!$B$44&gt;0),IF(MAX(0,Inputs!$B$44-B1579)&lt;=0,0,(INT(MAX(0,Inputs!$B$44-B1579)/IF(Inputs!$B$39="pvp",15,MAX(0.1,Skills!D6-IF(TRUE=TRUE,Inputs!$B$33,0))))+1)),0)</f>
        <v/>
      </c>
      <c r="S1549">
        <f>IFERROR(O1549/N1549,0)</f>
        <v/>
      </c>
      <c r="T1549">
        <f>IF(C1549,(H1549*N1549*IF(AND(Inputs!$B$39&lt;&gt;"pvp",Inputs!$B$44&gt;0),((Skills!G6*((R1549-1)*IF(Skills!H6&gt;0,INT(Skills!I6/Skills!H6+0.000000001),1)+IF(Skills!H6&gt;0,INT(MIN(Skills!I6,MAX(0,MAX(0,Inputs!$B$44-B1579)-((R1549-1)*IF(Inputs!$B$39="pvp",15,MAX(0.1,Skills!D6-IF(TRUE=TRUE,Inputs!$B$33,0))))))/Skills!H6+0.000000001),1)))/Inputs!$B$44),G1549*Q1549))*IF(Inputs!$B$39="pvp",1,1+(Inputs!$B$21+0+Skills!P6+((C1560=TRUE)*F1560*IF(AND(Inputs!$B$39&lt;&gt;"pvp",Inputs!$B$44&gt;0),(((R1560-1)*MIN((Skills!T17*(1+Inputs!$B$35/100)),(1/Q1560))+MIN((Skills!T17*(1+Inputs!$B$35/100)),MAX(0,Inputs!$B$44-((R1560-1)*(1/Q1560)))))/Inputs!$B$44),IF(Inputs!$B$39="pvp",MIN((Skills!T17*(1+Inputs!$B$35/100)),15)/15,MIN(1,(Skills!T17*(1+Inputs!$B$35/100))/(1/Q1560)))))+((C1548=TRUE)*IF(Inputs!$B$3&gt;=126,10*MIN(1,15*Q1548),0))+((C1557=TRUE)*IF(Inputs!$B$39="pvp",20,(1-Summary!$B$11)*(20)+Summary!$B$11*(0))*IF(AND(Inputs!$B$39&lt;&gt;"pvp",Inputs!$B$44&gt;0),(((R1557-1)*MIN((Skills!T14*(1+Inputs!$B$35/100)),(1/Q1557))+MIN((Skills!T14*(1+Inputs!$B$35/100)),MAX(0,Inputs!$B$44-((R1557-1)*(1/Q1557)))))/Inputs!$B$44),IF(Inputs!$B$39="pvp",MIN((Skills!T14*(1+Inputs!$B$35/100)),15)/15,MIN(1,(Skills!T14*(1+Inputs!$B$35/100))/(1/Q1557)))))+((C1556=TRUE)*IF(Inputs!$B$3&gt;=82,IF(Inputs!$B$39="pvp",20,(1-Summary!$B$11)*(20)+Summary!$B$11*(0)),0)*IF(AND(Inputs!$B$39&lt;&gt;"pvp",Inputs!$B$44&gt;0),(((R1556-1)*MIN((Skills!T13*(1+Inputs!$B$35/100)),(1/Q1556))+MIN((Skills!T13*(1+Inputs!$B$35/100)),MAX(0,Inputs!$B$44-((R1556-1)*(1/Q1556)))))/Inputs!$B$44),IF(Inputs!$B$39="pvp",MIN((Skills!T13*(1+Inputs!$B$35/100)),15)/15,MIN(1,(Skills!T13*(1+Inputs!$B$35/100))/(1/Q1556)))))+(IF(AND(ArtifactsInput!$M$35,Inputs!$B$4&lt;&gt;"Chapter Hunt"),CHOOSE(ArtifactsInput!$N$35+1,15,18,21,24,27,30)*(1-EXP(-(0.2*B1574)*5)),0)+IF(AND(ArtifactsInput!$M$22,Inputs!$B$4&lt;&gt;"Chapter Hunt"),CHOOSE(ArtifactsInput!$N$22+1,10,12,14,16,18,20)*((0*(((0.15*B1574*5))^0/1)+1*(((0.15*B1574*5))^1/1)+2*(((0.15*B1574*5))^2/2)+3*(((0.15*B1574*5))^3/6)+4*(((0.15*B1574*5))^4/24)+5*(((0.15*B1574*5))^5/120))/((((0.15*B1574*5))^0/1)+(((0.15*B1574*5))^1/1)+(((0.15*B1574*5))^2/2)+(((0.15*B1574*5))^3/6)+(((0.15*B1574*5))^4/24)+(((0.15*B1574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1549*(1-MIN(100,(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1549*(MIN(100,(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1549*(1-MIN(100,(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1549*(MIN(100,(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49">
        <f>IF(C1549,(H1549*N1549*IF(AND(Inputs!$B$39&lt;&gt;"pvp",Inputs!$B$44&gt;0),((Skills!G6*((R1549-1)*IF(Skills!H6&gt;0,INT(Skills!I6/Skills!H6+0.000000001),1)+IF(Skills!H6&gt;0,INT(MIN(Skills!I6,MAX(0,MAX(0,Inputs!$B$44-B1579)-((R1549-1)*IF(Inputs!$B$39="pvp",15,MAX(0.1,Skills!D6-IF(TRUE=TRUE,Inputs!$B$33,0))))))/Skills!H6+0.000000001),1)))/Inputs!$B$44),G1549*Q1549))*IF(Inputs!$B$39="pvp",1,(1+(Inputs!$B$22+Skills!Q6+((C1560=TRUE)*F1560*IF(AND(Inputs!$B$39&lt;&gt;"pvp",Inputs!$B$44&gt;0),(((R1560-1)*MIN((Skills!T17*(1+Inputs!$B$35/100)),(1/Q1560))+MIN((Skills!T17*(1+Inputs!$B$35/100)),MAX(0,Inputs!$B$44-((R1560-1)*(1/Q1560)))))/Inputs!$B$44),IF(Inputs!$B$39="pvp",MIN((Skills!T17*(1+Inputs!$B$35/100)),15)/15,MIN(1,(Skills!T17*(1+Inputs!$B$35/100))/(1/Q1560)))))+((C1548=TRUE)*IF(Inputs!$B$3&gt;=126,10*MIN(1,15*Q1548),0))+((C1557=TRUE)*IF(Inputs!$B$39="pvp",20,(1-Summary!$B$11)*(20)+Summary!$B$11*(0))*IF(AND(Inputs!$B$39&lt;&gt;"pvp",Inputs!$B$44&gt;0),(((R1557-1)*MIN((Skills!T14*(1+Inputs!$B$35/100)),(1/Q1557))+MIN((Skills!T14*(1+Inputs!$B$35/100)),MAX(0,Inputs!$B$44-((R1557-1)*(1/Q1557)))))/Inputs!$B$44),IF(Inputs!$B$39="pvp",MIN((Skills!T14*(1+Inputs!$B$35/100)),15)/15,MIN(1,(Skills!T14*(1+Inputs!$B$35/100))/(1/Q1557)))))+((C1556=TRUE)*IF(Inputs!$B$3&gt;=82,IF(Inputs!$B$39="pvp",20,(1-Summary!$B$11)*(20)+Summary!$B$11*(0)),0)*IF(AND(Inputs!$B$39&lt;&gt;"pvp",Inputs!$B$44&gt;0),(((R1556-1)*MIN((Skills!T13*(1+Inputs!$B$35/100)),(1/Q1556))+MIN((Skills!T13*(1+Inputs!$B$35/100)),MAX(0,Inputs!$B$44-((R1556-1)*(1/Q1556)))))/Inputs!$B$44),IF(Inputs!$B$39="pvp",MIN((Skills!T13*(1+Inputs!$B$35/100)),15)/15,MIN(1,(Skills!T13*(1+Inputs!$B$35/100))/(1/Q1556)))))+(IF(AND(ArtifactsInput!$M$35,Inputs!$B$4&lt;&gt;"Chapter Hunt"),CHOOSE(ArtifactsInput!$N$35+1,15,18,21,24,27,30)*(1-EXP(-(0.2*B1574)*5)),0)+IF(AND(ArtifactsInput!$M$22,Inputs!$B$4&lt;&gt;"Chapter Hunt"),CHOOSE(ArtifactsInput!$N$22+1,10,12,14,16,18,20)*((0*(((0.15*B1574*5))^0/1)+1*(((0.15*B1574*5))^1/1)+2*(((0.15*B1574*5))^2/2)+3*(((0.15*B1574*5))^3/6)+4*(((0.15*B1574*5))^4/24)+5*(((0.15*B1574*5))^5/120))/((((0.15*B1574*5))^0/1)+(((0.15*B1574*5))^1/1)+(((0.15*B1574*5))^2/2)+(((0.15*B1574*5))^3/6)+(((0.15*B1574*5))^4/24)+(((0.15*B1574*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50">
      <c r="A1550">
        <f>Skills!A7</f>
        <v/>
      </c>
      <c r="B1550">
        <f>Skills!B7</f>
        <v/>
      </c>
      <c r="C1550">
        <f>Inputs!$B$3&gt;=40</f>
        <v/>
      </c>
      <c r="D1550">
        <f>IF(Skills!C7=1,60+Inputs!$B$26+Inputs!$B$30,IF(Skills!C7=2,90+Inputs!$B$27+Inputs!$B$30,IF(Skills!C7=3,120+Inputs!$B$28+Inputs!$B$30,MAX(0,(Inputs!$B$3-100)*3)+Inputs!$B$29+Inputs!$B$30)))</f>
        <v/>
      </c>
      <c r="E1550">
        <f>INDEX(FactorTable!$B$2:$Y$301, MATCH(ROUND(MIN(300,MAX(1,D1550)),0), FactorTable!$A$2:$A$301,0), Skills!M7+1)</f>
        <v/>
      </c>
      <c r="F1550">
        <f>IF(Skills!N7=TRUE,(Skills!L7/10)*(E1550/1000),Skills!L7/10)+Skills!O7</f>
        <v/>
      </c>
      <c r="G1550">
        <f>Skills!G7*IF(Skills!H7&gt;0,INT(IF(Inputs!$B$39="pvp",MIN(Skills!I7,15),Skills!I7)/Skills!H7+0.000000001),1)</f>
        <v/>
      </c>
      <c r="H1550">
        <f>1-(1-Skills!J7/100)^Skills!K7</f>
        <v/>
      </c>
      <c r="I1550" t="inlineStr">
        <is>
          <t>1</t>
        </is>
      </c>
      <c r="J1550">
        <f>((Inputs!$B$6*(1+Inputs!$B$7/100))+(((Inputs!$B$13*(1+Inputs!$B$14/100))-(Inputs!$B$13*(1+Inputs!$B$14/100)))+0.25*(Inputs!$B$15-Inputs!$B$15))*(1+Inputs!$B$7/100))*(F1550/100)</f>
        <v/>
      </c>
      <c r="K1550">
        <f>J1550*(1+(((Inputs!$B$13+IF(Inputs!$B$3&gt;=38,(10*INDEX(FactorTable!$B$2:$Y$301, MATCH(ROUND(MIN(300,MAX(1,Inputs!$B$3)),0), FactorTable!$A$2:$A$301,0), 23)/1000)/100*(Inputs!$B$8*(1+Inputs!$B$9/100)),0))*(1+Inputs!$B$14/100))*0.01+Inputs!$B$15*0.0025)/100)*(1+Inputs!$B$16/100)*(1+Inputs!$B$17/100)*(5000/(6000+Inputs!$B$43*(1-(Inputs!$B$20+0)/100)))*(1+(Inputs!$B$25+((C1568=TRUE)*(F1568-Calc!F25))+((C1569=TRUE)*(F1569-Calc!F26))+B1578)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1554=TRUE,F1554,0)/100)*(1+(IF(Skills!A7="DARK_IMPALE",Inputs!$B$18+0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gt;=100),MIN(100,((Inputs!$B$10+0+B1572+(ArtifactsInput!$M$24-ArtifactsInput!$M$24)*CHOOSE(ArtifactsInput!$N$24+1,10,12,14,16,18,20)+IF(ArtifactsInput!$M$10,CHOOSE(ArtifactsInput!$N$10+1,15,18,21,24,27,30)*(IF(Inputs!$B$39="pvp",MIN(15,15)/15,IF(AND(Inputs!$B$39&lt;&gt;"pvp",Inputs!$B$44&gt;0),MIN(15,Inputs!$B$44)/(Inputs!$B$44),0))),0)))-100),0))*CHOOSE(ArtifactsInput!$N$42+1,0.6,0.72,0.84,0.96,1.08,1.2))),Inputs!$B$19+((C1566=TRUE)*(F1566-Calc!F23))+(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gt;=100),CHOOSE(ArtifactsInput!$N$42+1,40,48,56,64,72,80),0))))/100)*((1+(((C1556=TRUE)*F1556*IF(AND(Inputs!$B$39&lt;&gt;"pvp",Inputs!$B$44&gt;0),(((R1556-1)*MIN((Skills!T13*(1+Inputs!$B$35/100)),(1/Q1556))+MIN((Skills!T13*(1+Inputs!$B$35/100)),MAX(0,Inputs!$B$44-((R1556-1)*(1/Q1556)))))/Inputs!$B$44),IF(Inputs!$B$39="pvp",MIN((Skills!T13*(1+Inputs!$B$35/100)),15)/15,MIN(1,(Skills!T13*(1+Inputs!$B$35/100))/(1/Q1556)))))+((C1557=TRUE)*F1557*IF(AND(Inputs!$B$39&lt;&gt;"pvp",Inputs!$B$44&gt;0),(((R1557-1)*MIN((Skills!T14*(1+Inputs!$B$35/100)),(1/Q1557))+MIN((Skills!T14*(1+Inputs!$B$35/100)),MAX(0,Inputs!$B$44-((R1557-1)*(1/Q1557)))))/Inputs!$B$44),IF(Inputs!$B$39="pvp",MIN((Skills!T14*(1+Inputs!$B$35/100)),15)/15,MIN(1,(Skills!T14*(1+Inputs!$B$35/100))/(1/Q1557)))))+((C1558=TRUE)*F1558*IF(AND(Inputs!$B$39&lt;&gt;"pvp",Inputs!$B$44&gt;0),(((R1558-1)*MIN((Skills!T15*(1+Inputs!$B$35/100)),(1/Q1558))+MIN((Skills!T15*(1+Inputs!$B$35/100)),MAX(0,Inputs!$B$44-((R1558-1)*(1/Q1558)))))/Inputs!$B$44),IF(Inputs!$B$39="pvp",MIN((Skills!T15*(1+Inputs!$B$35/100)),15)/15,MIN(1,(Skills!T15*(1+Inputs!$B$35/100))/(1/Q1558)))))+((C1559=TRUE)*F1559*IF(AND(Inputs!$B$39&lt;&gt;"pvp",Inputs!$B$44&gt;0),(((R1559-1)*MIN((Skills!T16*(1+Inputs!$B$35/100)),(1/Q1559))+MIN((Skills!T16*(1+Inputs!$B$35/100)),MAX(0,Inputs!$B$44-((R1559-1)*(1/Q1559)))))/Inputs!$B$44),IF(Inputs!$B$39="pvp",MIN((Skills!T16*(1+Inputs!$B$35/100)),15)/15,MIN(1,(Skills!T16*(1+Inputs!$B$35/100))/(1/Q1559)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1550)</f>
        <v/>
      </c>
      <c r="L1550">
        <f>K1550*(MIN(Inputs!$B$23+((C1565=TRUE)*(F1565-Calc!F22)),(Inputs!$B$24+((C1567=TRUE)*(F1567-Calc!F24))+(IF(ArtifactsInput!$M$15,CHOOSE(ArtifactsInput!$N$15+1,25,30,35,40,45,50)/100*(Inputs!$B$12-Inputs!$B$12),0))))/100+(Inputs!$B$24+((C1567=TRUE)*(F1567-Calc!F24))+(IF(ArtifactsInput!$M$15,CHOOSE(ArtifactsInput!$N$15+1,25,30,35,40,45,50)/100*(Inputs!$B$12-Inputs!$B$12),0)))/100)/2</f>
        <v/>
      </c>
      <c r="M1550">
        <f>L1550*(1+(Inputs!$B$11+0+B1577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550">
        <f>L1550*(1-MIN((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1550*(MIN((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50">
        <f>(1-Summary!$B$11)*T1550+Summary!$B$11*V1550</f>
        <v/>
      </c>
      <c r="P1550">
        <f>IF(B1582=0,0,O1550/B1582)</f>
        <v/>
      </c>
      <c r="Q1550">
        <f>IFERROR(1/IF(Inputs!$B$39="pvp",15,MAX(0.1,Skills!D7-IF(TRUE=TRUE,Inputs!$B$33,0))),0)</f>
        <v/>
      </c>
      <c r="R1550">
        <f>IF(AND(Inputs!$B$39&lt;&gt;"pvp",Inputs!$B$44&gt;0),IF(MAX(0,Inputs!$B$44-B1579)&lt;=0,0,(INT(MAX(0,Inputs!$B$44-B1579)/IF(Inputs!$B$39="pvp",15,MAX(0.1,Skills!D7-IF(TRUE=TRUE,Inputs!$B$33,0))))+1)),0)</f>
        <v/>
      </c>
      <c r="S1550">
        <f>IFERROR(O1550/N1550,0)</f>
        <v/>
      </c>
      <c r="T1550">
        <f>IF(C1550,(H1550*N1550*IF(AND(Inputs!$B$39&lt;&gt;"pvp",Inputs!$B$44&gt;0),((Skills!G7*((R1550-1)*IF(Skills!H7&gt;0,INT(Skills!I7/Skills!H7+0.000000001),1)+IF(Skills!H7&gt;0,INT(MIN(Skills!I7,MAX(0,MAX(0,Inputs!$B$44-B1579)-((R1550-1)*IF(Inputs!$B$39="pvp",15,MAX(0.1,Skills!D7-IF(TRUE=TRUE,Inputs!$B$33,0))))))/Skills!H7+0.000000001),1)))/Inputs!$B$44),G1550*Q1550))*IF(Inputs!$B$39="pvp",1,1+(Inputs!$B$21+0+Skills!P7+((C1560=TRUE)*F1560*IF(AND(Inputs!$B$39&lt;&gt;"pvp",Inputs!$B$44&gt;0),(((R1560-1)*MIN((Skills!T17*(1+Inputs!$B$35/100)),(1/Q1560))+MIN((Skills!T17*(1+Inputs!$B$35/100)),MAX(0,Inputs!$B$44-((R1560-1)*(1/Q1560)))))/Inputs!$B$44),IF(Inputs!$B$39="pvp",MIN((Skills!T17*(1+Inputs!$B$35/100)),15)/15,MIN(1,(Skills!T17*(1+Inputs!$B$35/100))/(1/Q1560)))))+((C1548=TRUE)*IF(Inputs!$B$3&gt;=126,10*MIN(1,15*Q1548),0))+((C1557=TRUE)*IF(Inputs!$B$39="pvp",20,(1-Summary!$B$11)*(20)+Summary!$B$11*(0))*IF(AND(Inputs!$B$39&lt;&gt;"pvp",Inputs!$B$44&gt;0),(((R1557-1)*MIN((Skills!T14*(1+Inputs!$B$35/100)),(1/Q1557))+MIN((Skills!T14*(1+Inputs!$B$35/100)),MAX(0,Inputs!$B$44-((R1557-1)*(1/Q1557)))))/Inputs!$B$44),IF(Inputs!$B$39="pvp",MIN((Skills!T14*(1+Inputs!$B$35/100)),15)/15,MIN(1,(Skills!T14*(1+Inputs!$B$35/100))/(1/Q1557)))))+((C1556=TRUE)*IF(Inputs!$B$3&gt;=82,IF(Inputs!$B$39="pvp",20,(1-Summary!$B$11)*(20)+Summary!$B$11*(0)),0)*IF(AND(Inputs!$B$39&lt;&gt;"pvp",Inputs!$B$44&gt;0),(((R1556-1)*MIN((Skills!T13*(1+Inputs!$B$35/100)),(1/Q1556))+MIN((Skills!T13*(1+Inputs!$B$35/100)),MAX(0,Inputs!$B$44-((R1556-1)*(1/Q1556)))))/Inputs!$B$44),IF(Inputs!$B$39="pvp",MIN((Skills!T13*(1+Inputs!$B$35/100)),15)/15,MIN(1,(Skills!T13*(1+Inputs!$B$35/100))/(1/Q1556)))))+(IF(AND(ArtifactsInput!$M$35,Inputs!$B$4&lt;&gt;"Chapter Hunt"),CHOOSE(ArtifactsInput!$N$35+1,15,18,21,24,27,30)*(1-EXP(-(0.2*B1574)*5)),0)+IF(AND(ArtifactsInput!$M$22,Inputs!$B$4&lt;&gt;"Chapter Hunt"),CHOOSE(ArtifactsInput!$N$22+1,10,12,14,16,18,20)*((0*(((0.15*B1574*5))^0/1)+1*(((0.15*B1574*5))^1/1)+2*(((0.15*B1574*5))^2/2)+3*(((0.15*B1574*5))^3/6)+4*(((0.15*B1574*5))^4/24)+5*(((0.15*B1574*5))^5/120))/((((0.15*B1574*5))^0/1)+(((0.15*B1574*5))^1/1)+(((0.15*B1574*5))^2/2)+(((0.15*B1574*5))^3/6)+(((0.15*B1574*5))^4/24)+(((0.15*B1574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1550*(1-MIN(100,(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1550*(MIN(100,(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1550*(1-MIN(100,(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1550*(MIN(100,(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50">
        <f>IF(C1550,(H1550*N1550*IF(AND(Inputs!$B$39&lt;&gt;"pvp",Inputs!$B$44&gt;0),((Skills!G7*((R1550-1)*IF(Skills!H7&gt;0,INT(Skills!I7/Skills!H7+0.000000001),1)+IF(Skills!H7&gt;0,INT(MIN(Skills!I7,MAX(0,MAX(0,Inputs!$B$44-B1579)-((R1550-1)*IF(Inputs!$B$39="pvp",15,MAX(0.1,Skills!D7-IF(TRUE=TRUE,Inputs!$B$33,0))))))/Skills!H7+0.000000001),1)))/Inputs!$B$44),G1550*Q1550))*IF(Inputs!$B$39="pvp",1,(1+(Inputs!$B$22+Skills!Q7+((C1560=TRUE)*F1560*IF(AND(Inputs!$B$39&lt;&gt;"pvp",Inputs!$B$44&gt;0),(((R1560-1)*MIN((Skills!T17*(1+Inputs!$B$35/100)),(1/Q1560))+MIN((Skills!T17*(1+Inputs!$B$35/100)),MAX(0,Inputs!$B$44-((R1560-1)*(1/Q1560)))))/Inputs!$B$44),IF(Inputs!$B$39="pvp",MIN((Skills!T17*(1+Inputs!$B$35/100)),15)/15,MIN(1,(Skills!T17*(1+Inputs!$B$35/100))/(1/Q1560)))))+((C1548=TRUE)*IF(Inputs!$B$3&gt;=126,10*MIN(1,15*Q1548),0))+((C1557=TRUE)*IF(Inputs!$B$39="pvp",20,(1-Summary!$B$11)*(20)+Summary!$B$11*(0))*IF(AND(Inputs!$B$39&lt;&gt;"pvp",Inputs!$B$44&gt;0),(((R1557-1)*MIN((Skills!T14*(1+Inputs!$B$35/100)),(1/Q1557))+MIN((Skills!T14*(1+Inputs!$B$35/100)),MAX(0,Inputs!$B$44-((R1557-1)*(1/Q1557)))))/Inputs!$B$44),IF(Inputs!$B$39="pvp",MIN((Skills!T14*(1+Inputs!$B$35/100)),15)/15,MIN(1,(Skills!T14*(1+Inputs!$B$35/100))/(1/Q1557)))))+((C1556=TRUE)*IF(Inputs!$B$3&gt;=82,IF(Inputs!$B$39="pvp",20,(1-Summary!$B$11)*(20)+Summary!$B$11*(0)),0)*IF(AND(Inputs!$B$39&lt;&gt;"pvp",Inputs!$B$44&gt;0),(((R1556-1)*MIN((Skills!T13*(1+Inputs!$B$35/100)),(1/Q1556))+MIN((Skills!T13*(1+Inputs!$B$35/100)),MAX(0,Inputs!$B$44-((R1556-1)*(1/Q1556)))))/Inputs!$B$44),IF(Inputs!$B$39="pvp",MIN((Skills!T13*(1+Inputs!$B$35/100)),15)/15,MIN(1,(Skills!T13*(1+Inputs!$B$35/100))/(1/Q1556)))))+(IF(AND(ArtifactsInput!$M$35,Inputs!$B$4&lt;&gt;"Chapter Hunt"),CHOOSE(ArtifactsInput!$N$35+1,15,18,21,24,27,30)*(1-EXP(-(0.2*B1574)*5)),0)+IF(AND(ArtifactsInput!$M$22,Inputs!$B$4&lt;&gt;"Chapter Hunt"),CHOOSE(ArtifactsInput!$N$22+1,10,12,14,16,18,20)*((0*(((0.15*B1574*5))^0/1)+1*(((0.15*B1574*5))^1/1)+2*(((0.15*B1574*5))^2/2)+3*(((0.15*B1574*5))^3/6)+4*(((0.15*B1574*5))^4/24)+5*(((0.15*B1574*5))^5/120))/((((0.15*B1574*5))^0/1)+(((0.15*B1574*5))^1/1)+(((0.15*B1574*5))^2/2)+(((0.15*B1574*5))^3/6)+(((0.15*B1574*5))^4/24)+(((0.15*B1574*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51">
      <c r="A1551">
        <f>Skills!A8</f>
        <v/>
      </c>
      <c r="B1551">
        <f>Skills!B8</f>
        <v/>
      </c>
      <c r="C1551">
        <f>Inputs!$B$3&gt;=75</f>
        <v/>
      </c>
      <c r="D1551">
        <f>IF(Skills!C8=1,60+Inputs!$B$26+Inputs!$B$30,IF(Skills!C8=2,90+Inputs!$B$27+Inputs!$B$30,IF(Skills!C8=3,120+Inputs!$B$28+Inputs!$B$30,MAX(0,(Inputs!$B$3-100)*3)+Inputs!$B$29+Inputs!$B$30)))</f>
        <v/>
      </c>
      <c r="E1551">
        <f>INDEX(FactorTable!$B$2:$Y$301, MATCH(ROUND(MIN(300,MAX(1,D1551)),0), FactorTable!$A$2:$A$301,0), Skills!M8+1)</f>
        <v/>
      </c>
      <c r="F1551">
        <f>IF(Skills!N8=TRUE,(Skills!L8/10)*(E1551/1000),Skills!L8/10)+Skills!O8</f>
        <v/>
      </c>
      <c r="G1551" t="inlineStr"/>
      <c r="H1551" t="inlineStr"/>
      <c r="I1551" t="inlineStr">
        <is>
          <t>1</t>
        </is>
      </c>
      <c r="J1551" t="inlineStr"/>
      <c r="K1551" t="inlineStr"/>
      <c r="L1551" t="inlineStr"/>
      <c r="M1551" t="inlineStr"/>
      <c r="N1551" t="inlineStr"/>
      <c r="O1551" t="inlineStr"/>
      <c r="P1551" t="inlineStr"/>
      <c r="Q1551" t="inlineStr"/>
      <c r="R1551" t="inlineStr"/>
      <c r="S1551" t="inlineStr"/>
    </row>
    <row r="1552">
      <c r="A1552">
        <f>Skills!A9</f>
        <v/>
      </c>
      <c r="B1552">
        <f>Skills!B9</f>
        <v/>
      </c>
      <c r="C1552">
        <f>Inputs!$B$3&gt;=60</f>
        <v/>
      </c>
      <c r="D1552">
        <f>IF(Skills!C9=1,60+Inputs!$B$26+Inputs!$B$30,IF(Skills!C9=2,90+Inputs!$B$27+Inputs!$B$30,IF(Skills!C9=3,120+Inputs!$B$28+Inputs!$B$30,MAX(0,(Inputs!$B$3-100)*3)+Inputs!$B$29+Inputs!$B$30)))</f>
        <v/>
      </c>
      <c r="E1552">
        <f>INDEX(FactorTable!$B$2:$Y$301, MATCH(ROUND(MIN(300,MAX(1,D1552)),0), FactorTable!$A$2:$A$301,0), Skills!M9+1)</f>
        <v/>
      </c>
      <c r="F1552">
        <f>IF(Skills!N9=TRUE,(Skills!L9/10)*(E1552/1000),Skills!L9/10)+Skills!O9</f>
        <v/>
      </c>
      <c r="G1552">
        <f>Skills!G9*IF(Skills!H9&gt;0,INT(IF(Inputs!$B$39="pvp",MIN(Skills!I9,15),Skills!I9)/Skills!H9+0.000000001),1)</f>
        <v/>
      </c>
      <c r="H1552">
        <f>1-(1-Skills!J9/100)^Skills!K9</f>
        <v/>
      </c>
      <c r="I1552" t="inlineStr">
        <is>
          <t>1</t>
        </is>
      </c>
      <c r="J1552">
        <f>((Inputs!$B$6*(1+Inputs!$B$7/100))+(((Inputs!$B$13*(1+Inputs!$B$14/100))-(Inputs!$B$13*(1+Inputs!$B$14/100)))+0.25*(Inputs!$B$15-Inputs!$B$15))*(1+Inputs!$B$7/100))*(F1552/100)</f>
        <v/>
      </c>
      <c r="K1552">
        <f>J1552*(1+(((Inputs!$B$13+IF(Inputs!$B$3&gt;=38,(10*INDEX(FactorTable!$B$2:$Y$301, MATCH(ROUND(MIN(300,MAX(1,Inputs!$B$3)),0), FactorTable!$A$2:$A$301,0), 23)/1000)/100*(Inputs!$B$8*(1+Inputs!$B$9/100)),0))*(1+Inputs!$B$14/100))*0.01+Inputs!$B$15*0.0025)/100)*(1+Inputs!$B$16/100)*(1+Inputs!$B$17/100)*(5000/(6000+Inputs!$B$43*(1-(Inputs!$B$20+0)/100)))*(1+(Inputs!$B$25+((C1568=TRUE)*(F1568-Calc!F25))+((C1569=TRUE)*(F1569-Calc!F26))+B1578)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1554=TRUE,F1554,0)/100)*(1+(IF(Skills!A9="DARK_IMPALE",Inputs!$B$18+0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gt;=100),MIN(100,((Inputs!$B$10+0+B1572+(ArtifactsInput!$M$24-ArtifactsInput!$M$24)*CHOOSE(ArtifactsInput!$N$24+1,10,12,14,16,18,20)+IF(ArtifactsInput!$M$10,CHOOSE(ArtifactsInput!$N$10+1,15,18,21,24,27,30)*(IF(Inputs!$B$39="pvp",MIN(15,15)/15,IF(AND(Inputs!$B$39&lt;&gt;"pvp",Inputs!$B$44&gt;0),MIN(15,Inputs!$B$44)/(Inputs!$B$44),0))),0)))-100),0))*CHOOSE(ArtifactsInput!$N$42+1,0.6,0.72,0.84,0.96,1.08,1.2))),Inputs!$B$19+((C1566=TRUE)*(F1566-Calc!F23))+(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gt;=100),CHOOSE(ArtifactsInput!$N$42+1,40,48,56,64,72,80),0))))/100)*((1+(((C1556=TRUE)*F1556*IF(AND(Inputs!$B$39&lt;&gt;"pvp",Inputs!$B$44&gt;0),(((R1556-1)*MIN((Skills!T13*(1+Inputs!$B$35/100)),(1/Q1556))+MIN((Skills!T13*(1+Inputs!$B$35/100)),MAX(0,Inputs!$B$44-((R1556-1)*(1/Q1556)))))/Inputs!$B$44),IF(Inputs!$B$39="pvp",MIN((Skills!T13*(1+Inputs!$B$35/100)),15)/15,MIN(1,(Skills!T13*(1+Inputs!$B$35/100))/(1/Q1556)))))+((C1557=TRUE)*F1557*IF(AND(Inputs!$B$39&lt;&gt;"pvp",Inputs!$B$44&gt;0),(((R1557-1)*MIN((Skills!T14*(1+Inputs!$B$35/100)),(1/Q1557))+MIN((Skills!T14*(1+Inputs!$B$35/100)),MAX(0,Inputs!$B$44-((R1557-1)*(1/Q1557)))))/Inputs!$B$44),IF(Inputs!$B$39="pvp",MIN((Skills!T14*(1+Inputs!$B$35/100)),15)/15,MIN(1,(Skills!T14*(1+Inputs!$B$35/100))/(1/Q1557)))))+((C1558=TRUE)*F1558*IF(AND(Inputs!$B$39&lt;&gt;"pvp",Inputs!$B$44&gt;0),(((R1558-1)*MIN((Skills!T15*(1+Inputs!$B$35/100)),(1/Q1558))+MIN((Skills!T15*(1+Inputs!$B$35/100)),MAX(0,Inputs!$B$44-((R1558-1)*(1/Q1558)))))/Inputs!$B$44),IF(Inputs!$B$39="pvp",MIN((Skills!T15*(1+Inputs!$B$35/100)),15)/15,MIN(1,(Skills!T15*(1+Inputs!$B$35/100))/(1/Q1558)))))+((C1559=TRUE)*F1559*IF(AND(Inputs!$B$39&lt;&gt;"pvp",Inputs!$B$44&gt;0),(((R1559-1)*MIN((Skills!T16*(1+Inputs!$B$35/100)),(1/Q1559))+MIN((Skills!T16*(1+Inputs!$B$35/100)),MAX(0,Inputs!$B$44-((R1559-1)*(1/Q1559)))))/Inputs!$B$44),IF(Inputs!$B$39="pvp",MIN((Skills!T16*(1+Inputs!$B$35/100)),15)/15,MIN(1,(Skills!T16*(1+Inputs!$B$35/100))/(1/Q1559)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1552)</f>
        <v/>
      </c>
      <c r="L1552">
        <f>K1552*(MIN(Inputs!$B$23+((C1565=TRUE)*(F1565-Calc!F22)),(Inputs!$B$24+((C1567=TRUE)*(F1567-Calc!F24))+(IF(ArtifactsInput!$M$15,CHOOSE(ArtifactsInput!$N$15+1,25,30,35,40,45,50)/100*(Inputs!$B$12-Inputs!$B$12),0))))/100+(Inputs!$B$24+((C1567=TRUE)*(F1567-Calc!F24))+(IF(ArtifactsInput!$M$15,CHOOSE(ArtifactsInput!$N$15+1,25,30,35,40,45,50)/100*(Inputs!$B$12-Inputs!$B$12),0)))/100)/2</f>
        <v/>
      </c>
      <c r="M1552">
        <f>L1552*(1+(Inputs!$B$11+0+B1577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552">
        <f>L1552*(1-MIN((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1552*(MIN((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52">
        <f>(1-Summary!$B$11)*T1552+Summary!$B$11*V1552</f>
        <v/>
      </c>
      <c r="P1552">
        <f>IF(B1582=0,0,O1552/B1582)</f>
        <v/>
      </c>
      <c r="Q1552">
        <f>IFERROR(1/IF(Inputs!$B$39="pvp",15,MAX(0.1,Skills!D9-IF(TRUE=TRUE,Inputs!$B$33,0))),0)</f>
        <v/>
      </c>
      <c r="R1552">
        <f>IF(AND(Inputs!$B$39&lt;&gt;"pvp",Inputs!$B$44&gt;0),IF(MAX(0,Inputs!$B$44-B1579)&lt;=0,0,(INT(MAX(0,Inputs!$B$44-B1579)/IF(Inputs!$B$39="pvp",15,MAX(0.1,Skills!D9-IF(TRUE=TRUE,Inputs!$B$33,0))))+1)),0)</f>
        <v/>
      </c>
      <c r="S1552">
        <f>IFERROR(O1552/N1552,0)</f>
        <v/>
      </c>
      <c r="T1552">
        <f>IF(C1552,(H1552*N1552*IF(AND(Inputs!$B$39&lt;&gt;"pvp",Inputs!$B$44&gt;0),((Skills!G9*((R1552-1)*IF(Skills!H9&gt;0,INT(Skills!I9/Skills!H9+0.000000001),1)+IF(Skills!H9&gt;0,INT(MIN(Skills!I9,MAX(0,MAX(0,Inputs!$B$44-B1579)-((R1552-1)*IF(Inputs!$B$39="pvp",15,MAX(0.1,Skills!D9-IF(TRUE=TRUE,Inputs!$B$33,0))))))/Skills!H9+0.000000001),1)))/Inputs!$B$44),G1552*Q1552))*IF(Inputs!$B$39="pvp",1,1+(Inputs!$B$21+0+Skills!P9+((C1560=TRUE)*F1560*IF(AND(Inputs!$B$39&lt;&gt;"pvp",Inputs!$B$44&gt;0),(((R1560-1)*MIN((Skills!T17*(1+Inputs!$B$35/100)),(1/Q1560))+MIN((Skills!T17*(1+Inputs!$B$35/100)),MAX(0,Inputs!$B$44-((R1560-1)*(1/Q1560)))))/Inputs!$B$44),IF(Inputs!$B$39="pvp",MIN((Skills!T17*(1+Inputs!$B$35/100)),15)/15,MIN(1,(Skills!T17*(1+Inputs!$B$35/100))/(1/Q1560)))))+((C1548=TRUE)*IF(Inputs!$B$3&gt;=126,10*MIN(1,15*Q1548),0))+((C1557=TRUE)*IF(Inputs!$B$39="pvp",20,(1-Summary!$B$11)*(20)+Summary!$B$11*(0))*IF(AND(Inputs!$B$39&lt;&gt;"pvp",Inputs!$B$44&gt;0),(((R1557-1)*MIN((Skills!T14*(1+Inputs!$B$35/100)),(1/Q1557))+MIN((Skills!T14*(1+Inputs!$B$35/100)),MAX(0,Inputs!$B$44-((R1557-1)*(1/Q1557)))))/Inputs!$B$44),IF(Inputs!$B$39="pvp",MIN((Skills!T14*(1+Inputs!$B$35/100)),15)/15,MIN(1,(Skills!T14*(1+Inputs!$B$35/100))/(1/Q1557)))))+((C1556=TRUE)*IF(Inputs!$B$3&gt;=82,IF(Inputs!$B$39="pvp",20,(1-Summary!$B$11)*(20)+Summary!$B$11*(0)),0)*IF(AND(Inputs!$B$39&lt;&gt;"pvp",Inputs!$B$44&gt;0),(((R1556-1)*MIN((Skills!T13*(1+Inputs!$B$35/100)),(1/Q1556))+MIN((Skills!T13*(1+Inputs!$B$35/100)),MAX(0,Inputs!$B$44-((R1556-1)*(1/Q1556)))))/Inputs!$B$44),IF(Inputs!$B$39="pvp",MIN((Skills!T13*(1+Inputs!$B$35/100)),15)/15,MIN(1,(Skills!T13*(1+Inputs!$B$35/100))/(1/Q1556)))))+(IF(AND(ArtifactsInput!$M$35,Inputs!$B$4&lt;&gt;"Chapter Hunt"),CHOOSE(ArtifactsInput!$N$35+1,15,18,21,24,27,30)*(1-EXP(-(0.2*B1574)*5)),0)+IF(AND(ArtifactsInput!$M$22,Inputs!$B$4&lt;&gt;"Chapter Hunt"),CHOOSE(ArtifactsInput!$N$22+1,10,12,14,16,18,20)*((0*(((0.15*B1574*5))^0/1)+1*(((0.15*B1574*5))^1/1)+2*(((0.15*B1574*5))^2/2)+3*(((0.15*B1574*5))^3/6)+4*(((0.15*B1574*5))^4/24)+5*(((0.15*B1574*5))^5/120))/((((0.15*B1574*5))^0/1)+(((0.15*B1574*5))^1/1)+(((0.15*B1574*5))^2/2)+(((0.15*B1574*5))^3/6)+(((0.15*B1574*5))^4/24)+(((0.15*B1574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1552*(1-MIN(100,(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1552*(MIN(100,(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1552*(1-MIN(100,(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1552*(MIN(100,(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52">
        <f>IF(C1552,(H1552*N1552*IF(AND(Inputs!$B$39&lt;&gt;"pvp",Inputs!$B$44&gt;0),((Skills!G9*((R1552-1)*IF(Skills!H9&gt;0,INT(Skills!I9/Skills!H9+0.000000001),1)+IF(Skills!H9&gt;0,INT(MIN(Skills!I9,MAX(0,MAX(0,Inputs!$B$44-B1579)-((R1552-1)*IF(Inputs!$B$39="pvp",15,MAX(0.1,Skills!D9-IF(TRUE=TRUE,Inputs!$B$33,0))))))/Skills!H9+0.000000001),1)))/Inputs!$B$44),G1552*Q1552))*IF(Inputs!$B$39="pvp",1,(1+(Inputs!$B$22+Skills!Q9+((C1560=TRUE)*F1560*IF(AND(Inputs!$B$39&lt;&gt;"pvp",Inputs!$B$44&gt;0),(((R1560-1)*MIN((Skills!T17*(1+Inputs!$B$35/100)),(1/Q1560))+MIN((Skills!T17*(1+Inputs!$B$35/100)),MAX(0,Inputs!$B$44-((R1560-1)*(1/Q1560)))))/Inputs!$B$44),IF(Inputs!$B$39="pvp",MIN((Skills!T17*(1+Inputs!$B$35/100)),15)/15,MIN(1,(Skills!T17*(1+Inputs!$B$35/100))/(1/Q1560)))))+((C1548=TRUE)*IF(Inputs!$B$3&gt;=126,10*MIN(1,15*Q1548),0))+((C1557=TRUE)*IF(Inputs!$B$39="pvp",20,(1-Summary!$B$11)*(20)+Summary!$B$11*(0))*IF(AND(Inputs!$B$39&lt;&gt;"pvp",Inputs!$B$44&gt;0),(((R1557-1)*MIN((Skills!T14*(1+Inputs!$B$35/100)),(1/Q1557))+MIN((Skills!T14*(1+Inputs!$B$35/100)),MAX(0,Inputs!$B$44-((R1557-1)*(1/Q1557)))))/Inputs!$B$44),IF(Inputs!$B$39="pvp",MIN((Skills!T14*(1+Inputs!$B$35/100)),15)/15,MIN(1,(Skills!T14*(1+Inputs!$B$35/100))/(1/Q1557)))))+((C1556=TRUE)*IF(Inputs!$B$3&gt;=82,IF(Inputs!$B$39="pvp",20,(1-Summary!$B$11)*(20)+Summary!$B$11*(0)),0)*IF(AND(Inputs!$B$39&lt;&gt;"pvp",Inputs!$B$44&gt;0),(((R1556-1)*MIN((Skills!T13*(1+Inputs!$B$35/100)),(1/Q1556))+MIN((Skills!T13*(1+Inputs!$B$35/100)),MAX(0,Inputs!$B$44-((R1556-1)*(1/Q1556)))))/Inputs!$B$44),IF(Inputs!$B$39="pvp",MIN((Skills!T13*(1+Inputs!$B$35/100)),15)/15,MIN(1,(Skills!T13*(1+Inputs!$B$35/100))/(1/Q1556)))))+(IF(AND(ArtifactsInput!$M$35,Inputs!$B$4&lt;&gt;"Chapter Hunt"),CHOOSE(ArtifactsInput!$N$35+1,15,18,21,24,27,30)*(1-EXP(-(0.2*B1574)*5)),0)+IF(AND(ArtifactsInput!$M$22,Inputs!$B$4&lt;&gt;"Chapter Hunt"),CHOOSE(ArtifactsInput!$N$22+1,10,12,14,16,18,20)*((0*(((0.15*B1574*5))^0/1)+1*(((0.15*B1574*5))^1/1)+2*(((0.15*B1574*5))^2/2)+3*(((0.15*B1574*5))^3/6)+4*(((0.15*B1574*5))^4/24)+5*(((0.15*B1574*5))^5/120))/((((0.15*B1574*5))^0/1)+(((0.15*B1574*5))^1/1)+(((0.15*B1574*5))^2/2)+(((0.15*B1574*5))^3/6)+(((0.15*B1574*5))^4/24)+(((0.15*B1574*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53">
      <c r="A1553">
        <f>Skills!A10</f>
        <v/>
      </c>
      <c r="B1553">
        <f>Skills!B10</f>
        <v/>
      </c>
      <c r="C1553">
        <f>Inputs!$B$3&gt;=110</f>
        <v/>
      </c>
      <c r="D1553">
        <f>IF(Skills!C10=1,60+Inputs!$B$26+Inputs!$B$30,IF(Skills!C10=2,90+Inputs!$B$27+Inputs!$B$30,IF(Skills!C10=3,120+Inputs!$B$28+Inputs!$B$30,MAX(0,(Inputs!$B$3-100)*3)+Inputs!$B$29+Inputs!$B$30)))</f>
        <v/>
      </c>
      <c r="E1553">
        <f>INDEX(FactorTable!$B$2:$Y$301, MATCH(ROUND(MIN(300,MAX(1,D1553)),0), FactorTable!$A$2:$A$301,0), Skills!M10+1)</f>
        <v/>
      </c>
      <c r="F1553">
        <f>IF(Skills!N10=TRUE,(Skills!L10/10)*(E1553/1000),Skills!L10/10)+Skills!O10</f>
        <v/>
      </c>
      <c r="G1553">
        <f>Skills!G10*IF(Skills!H10&gt;0,INT(IF(Inputs!$B$39="pvp",MIN(Skills!I10,15),Skills!I10)/Skills!H10+0.000000001),1)</f>
        <v/>
      </c>
      <c r="H1553">
        <f>1-(1-Skills!J10/100)^Skills!K10</f>
        <v/>
      </c>
      <c r="I1553" t="inlineStr">
        <is>
          <t>1</t>
        </is>
      </c>
      <c r="J1553">
        <f>((Inputs!$B$6*(1+Inputs!$B$7/100))+(((Inputs!$B$13*(1+Inputs!$B$14/100))-(Inputs!$B$13*(1+Inputs!$B$14/100)))+0.25*(Inputs!$B$15-Inputs!$B$15))*(1+Inputs!$B$7/100))*(F1553/100)</f>
        <v/>
      </c>
      <c r="K1553">
        <f>J1553*(1+(((Inputs!$B$13+IF(Inputs!$B$3&gt;=38,(10*INDEX(FactorTable!$B$2:$Y$301, MATCH(ROUND(MIN(300,MAX(1,Inputs!$B$3)),0), FactorTable!$A$2:$A$301,0), 23)/1000)/100*(Inputs!$B$8*(1+Inputs!$B$9/100)),0))*(1+Inputs!$B$14/100))*0.01+Inputs!$B$15*0.0025)/100)*(1+Inputs!$B$16/100)*(1+Inputs!$B$17/100)*(5000/(6000+Inputs!$B$43*(1-(Inputs!$B$20+0)/100)))*(1+(Inputs!$B$25+((C1568=TRUE)*(F1568-Calc!F25))+((C1569=TRUE)*(F1569-Calc!F26))+B1578)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gt;=100),MIN(100,((Inputs!$B$10+0+B1572+(ArtifactsInput!$M$24-ArtifactsInput!$M$24)*CHOOSE(ArtifactsInput!$N$24+1,10,12,14,16,18,20)+IF(ArtifactsInput!$M$10,CHOOSE(ArtifactsInput!$N$10+1,15,18,21,24,27,30)*(IF(Inputs!$B$39="pvp",MIN(15,15)/15,IF(AND(Inputs!$B$39&lt;&gt;"pvp",Inputs!$B$44&gt;0),MIN(15,Inputs!$B$44)/(Inputs!$B$44),0))),0)))-100),0))*CHOOSE(ArtifactsInput!$N$42+1,0.6,0.72,0.84,0.96,1.08,1.2))),Inputs!$B$19+((C1566=TRUE)*(F1566-Calc!F23))+(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gt;=100),CHOOSE(ArtifactsInput!$N$42+1,40,48,56,64,72,80),0))))/100)*((1+(((C1556=TRUE)*F1556*IF(AND(Inputs!$B$39&lt;&gt;"pvp",Inputs!$B$44&gt;0),(((R1556-1)*MIN((Skills!T13*(1+Inputs!$B$35/100)),(1/Q1556))+MIN((Skills!T13*(1+Inputs!$B$35/100)),MAX(0,Inputs!$B$44-((R1556-1)*(1/Q1556)))))/Inputs!$B$44),IF(Inputs!$B$39="pvp",MIN((Skills!T13*(1+Inputs!$B$35/100)),15)/15,MIN(1,(Skills!T13*(1+Inputs!$B$35/100))/(1/Q1556)))))+((C1557=TRUE)*F1557*IF(AND(Inputs!$B$39&lt;&gt;"pvp",Inputs!$B$44&gt;0),(((R1557-1)*MIN((Skills!T14*(1+Inputs!$B$35/100)),(1/Q1557))+MIN((Skills!T14*(1+Inputs!$B$35/100)),MAX(0,Inputs!$B$44-((R1557-1)*(1/Q1557)))))/Inputs!$B$44),IF(Inputs!$B$39="pvp",MIN((Skills!T14*(1+Inputs!$B$35/100)),15)/15,MIN(1,(Skills!T14*(1+Inputs!$B$35/100))/(1/Q1557)))))+((C1558=TRUE)*F1558*IF(AND(Inputs!$B$39&lt;&gt;"pvp",Inputs!$B$44&gt;0),(((R1558-1)*MIN((Skills!T15*(1+Inputs!$B$35/100)),(1/Q1558))+MIN((Skills!T15*(1+Inputs!$B$35/100)),MAX(0,Inputs!$B$44-((R1558-1)*(1/Q1558)))))/Inputs!$B$44),IF(Inputs!$B$39="pvp",MIN((Skills!T15*(1+Inputs!$B$35/100)),15)/15,MIN(1,(Skills!T15*(1+Inputs!$B$35/100))/(1/Q1558)))))+((C1559=TRUE)*F1559*IF(AND(Inputs!$B$39&lt;&gt;"pvp",Inputs!$B$44&gt;0),(((R1559-1)*MIN((Skills!T16*(1+Inputs!$B$35/100)),(1/Q1559))+MIN((Skills!T16*(1+Inputs!$B$35/100)),MAX(0,Inputs!$B$44-((R1559-1)*(1/Q1559)))))/Inputs!$B$44),IF(Inputs!$B$39="pvp",MIN((Skills!T16*(1+Inputs!$B$35/100)),15)/15,MIN(1,(Skills!T16*(1+Inputs!$B$35/100))/(1/Q1559)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1553)</f>
        <v/>
      </c>
      <c r="L1553">
        <f>K1553*(MIN(Inputs!$B$23+((C1565=TRUE)*(F1565-Calc!F22)),(Inputs!$B$24+((C1567=TRUE)*(F1567-Calc!F24))+(IF(ArtifactsInput!$M$15,CHOOSE(ArtifactsInput!$N$15+1,25,30,35,40,45,50)/100*(Inputs!$B$12-Inputs!$B$12),0))))/100+(Inputs!$B$24+((C1567=TRUE)*(F1567-Calc!F24))+(IF(ArtifactsInput!$M$15,CHOOSE(ArtifactsInput!$N$15+1,25,30,35,40,45,50)/100*(Inputs!$B$12-Inputs!$B$12),0)))/100)/2</f>
        <v/>
      </c>
      <c r="M1553">
        <f>L1553*(1+(Inputs!$B$11+0+B1577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553">
        <f>L1553*(1-MIN((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1553*(MIN((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53">
        <f>(1-Summary!$B$11)*T1553+Summary!$B$11*V1553</f>
        <v/>
      </c>
      <c r="P1553">
        <f>IF(B1582=0,0,O1553/B1582)</f>
        <v/>
      </c>
      <c r="Q1553">
        <f>IFERROR(1/IF(Inputs!$B$39="pvp",15,MAX(0.1,Skills!D10-IF(TRUE=TRUE,Inputs!$B$33,0))),0)</f>
        <v/>
      </c>
      <c r="R1553">
        <f>IF(AND(Inputs!$B$39&lt;&gt;"pvp",Inputs!$B$44&gt;0),IF(MAX(0,Inputs!$B$44-B1579)&lt;=0,0,(INT(MAX(0,Inputs!$B$44-B1579)/IF(Inputs!$B$39="pvp",15,MAX(0.1,Skills!D10-IF(TRUE=TRUE,Inputs!$B$33,0))))+1)),0)</f>
        <v/>
      </c>
      <c r="S1553">
        <f>IFERROR(O1553/N1553,0)</f>
        <v/>
      </c>
      <c r="T1553">
        <f>IF(C1553,(H1553*N1553*IF(AND(Inputs!$B$39&lt;&gt;"pvp",Inputs!$B$44&gt;0),((Skills!G10*((R1553-1)*IF(Skills!H10&gt;0,INT(Skills!I10/Skills!H10+0.000000001),1)+IF(Skills!H10&gt;0,INT(MIN(Skills!I10,MAX(0,MAX(0,Inputs!$B$44-B1579)-((R1553-1)*IF(Inputs!$B$39="pvp",15,MAX(0.1,Skills!D10-IF(TRUE=TRUE,Inputs!$B$33,0))))))/Skills!H10+0.000000001),1)))/Inputs!$B$44),G1553*Q1553))*IF(Inputs!$B$39="pvp",1,1+(Inputs!$B$21+0+Skills!P10+((C1560=TRUE)*F1560*IF(AND(Inputs!$B$39&lt;&gt;"pvp",Inputs!$B$44&gt;0),(((R1560-1)*MIN((Skills!T17*(1+Inputs!$B$35/100)),(1/Q1560))+MIN((Skills!T17*(1+Inputs!$B$35/100)),MAX(0,Inputs!$B$44-((R1560-1)*(1/Q1560)))))/Inputs!$B$44),IF(Inputs!$B$39="pvp",MIN((Skills!T17*(1+Inputs!$B$35/100)),15)/15,MIN(1,(Skills!T17*(1+Inputs!$B$35/100))/(1/Q1560)))))+((C1548=TRUE)*IF(Inputs!$B$3&gt;=126,10*MIN(1,15*Q1548),0))+((C1557=TRUE)*IF(Inputs!$B$39="pvp",20,(1-Summary!$B$11)*(20)+Summary!$B$11*(0))*IF(AND(Inputs!$B$39&lt;&gt;"pvp",Inputs!$B$44&gt;0),(((R1557-1)*MIN((Skills!T14*(1+Inputs!$B$35/100)),(1/Q1557))+MIN((Skills!T14*(1+Inputs!$B$35/100)),MAX(0,Inputs!$B$44-((R1557-1)*(1/Q1557)))))/Inputs!$B$44),IF(Inputs!$B$39="pvp",MIN((Skills!T14*(1+Inputs!$B$35/100)),15)/15,MIN(1,(Skills!T14*(1+Inputs!$B$35/100))/(1/Q1557)))))+((C1556=TRUE)*IF(Inputs!$B$3&gt;=82,IF(Inputs!$B$39="pvp",20,(1-Summary!$B$11)*(20)+Summary!$B$11*(0)),0)*IF(AND(Inputs!$B$39&lt;&gt;"pvp",Inputs!$B$44&gt;0),(((R1556-1)*MIN((Skills!T13*(1+Inputs!$B$35/100)),(1/Q1556))+MIN((Skills!T13*(1+Inputs!$B$35/100)),MAX(0,Inputs!$B$44-((R1556-1)*(1/Q1556)))))/Inputs!$B$44),IF(Inputs!$B$39="pvp",MIN((Skills!T13*(1+Inputs!$B$35/100)),15)/15,MIN(1,(Skills!T13*(1+Inputs!$B$35/100))/(1/Q1556)))))+(IF(AND(ArtifactsInput!$M$35,Inputs!$B$4&lt;&gt;"Chapter Hunt"),CHOOSE(ArtifactsInput!$N$35+1,15,18,21,24,27,30)*(1-EXP(-(0.2*B1574)*5)),0)+IF(AND(ArtifactsInput!$M$22,Inputs!$B$4&lt;&gt;"Chapter Hunt"),CHOOSE(ArtifactsInput!$N$22+1,10,12,14,16,18,20)*((0*(((0.15*B1574*5))^0/1)+1*(((0.15*B1574*5))^1/1)+2*(((0.15*B1574*5))^2/2)+3*(((0.15*B1574*5))^3/6)+4*(((0.15*B1574*5))^4/24)+5*(((0.15*B1574*5))^5/120))/((((0.15*B1574*5))^0/1)+(((0.15*B1574*5))^1/1)+(((0.15*B1574*5))^2/2)+(((0.15*B1574*5))^3/6)+(((0.15*B1574*5))^4/24)+(((0.15*B1574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1553*(1-MIN(100,(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1553*(MIN(100,(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1553*(1-MIN(100,(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1553*(MIN(100,(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53">
        <f>IF(C1553,(H1553*N1553*IF(AND(Inputs!$B$39&lt;&gt;"pvp",Inputs!$B$44&gt;0),((Skills!G10*((R1553-1)*IF(Skills!H10&gt;0,INT(Skills!I10/Skills!H10+0.000000001),1)+IF(Skills!H10&gt;0,INT(MIN(Skills!I10,MAX(0,MAX(0,Inputs!$B$44-B1579)-((R1553-1)*IF(Inputs!$B$39="pvp",15,MAX(0.1,Skills!D10-IF(TRUE=TRUE,Inputs!$B$33,0))))))/Skills!H10+0.000000001),1)))/Inputs!$B$44),G1553*Q1553))*IF(Inputs!$B$39="pvp",1,(1+(Inputs!$B$22+Skills!Q10+((C1560=TRUE)*F1560*IF(AND(Inputs!$B$39&lt;&gt;"pvp",Inputs!$B$44&gt;0),(((R1560-1)*MIN((Skills!T17*(1+Inputs!$B$35/100)),(1/Q1560))+MIN((Skills!T17*(1+Inputs!$B$35/100)),MAX(0,Inputs!$B$44-((R1560-1)*(1/Q1560)))))/Inputs!$B$44),IF(Inputs!$B$39="pvp",MIN((Skills!T17*(1+Inputs!$B$35/100)),15)/15,MIN(1,(Skills!T17*(1+Inputs!$B$35/100))/(1/Q1560)))))+((C1548=TRUE)*IF(Inputs!$B$3&gt;=126,10*MIN(1,15*Q1548),0))+((C1557=TRUE)*IF(Inputs!$B$39="pvp",20,(1-Summary!$B$11)*(20)+Summary!$B$11*(0))*IF(AND(Inputs!$B$39&lt;&gt;"pvp",Inputs!$B$44&gt;0),(((R1557-1)*MIN((Skills!T14*(1+Inputs!$B$35/100)),(1/Q1557))+MIN((Skills!T14*(1+Inputs!$B$35/100)),MAX(0,Inputs!$B$44-((R1557-1)*(1/Q1557)))))/Inputs!$B$44),IF(Inputs!$B$39="pvp",MIN((Skills!T14*(1+Inputs!$B$35/100)),15)/15,MIN(1,(Skills!T14*(1+Inputs!$B$35/100))/(1/Q1557)))))+((C1556=TRUE)*IF(Inputs!$B$3&gt;=82,IF(Inputs!$B$39="pvp",20,(1-Summary!$B$11)*(20)+Summary!$B$11*(0)),0)*IF(AND(Inputs!$B$39&lt;&gt;"pvp",Inputs!$B$44&gt;0),(((R1556-1)*MIN((Skills!T13*(1+Inputs!$B$35/100)),(1/Q1556))+MIN((Skills!T13*(1+Inputs!$B$35/100)),MAX(0,Inputs!$B$44-((R1556-1)*(1/Q1556)))))/Inputs!$B$44),IF(Inputs!$B$39="pvp",MIN((Skills!T13*(1+Inputs!$B$35/100)),15)/15,MIN(1,(Skills!T13*(1+Inputs!$B$35/100))/(1/Q1556)))))+(IF(AND(ArtifactsInput!$M$35,Inputs!$B$4&lt;&gt;"Chapter Hunt"),CHOOSE(ArtifactsInput!$N$35+1,15,18,21,24,27,30)*(1-EXP(-(0.2*B1574)*5)),0)+IF(AND(ArtifactsInput!$M$22,Inputs!$B$4&lt;&gt;"Chapter Hunt"),CHOOSE(ArtifactsInput!$N$22+1,10,12,14,16,18,20)*((0*(((0.15*B1574*5))^0/1)+1*(((0.15*B1574*5))^1/1)+2*(((0.15*B1574*5))^2/2)+3*(((0.15*B1574*5))^3/6)+4*(((0.15*B1574*5))^4/24)+5*(((0.15*B1574*5))^5/120))/((((0.15*B1574*5))^0/1)+(((0.15*B1574*5))^1/1)+(((0.15*B1574*5))^2/2)+(((0.15*B1574*5))^3/6)+(((0.15*B1574*5))^4/24)+(((0.15*B1574*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54">
      <c r="A1554">
        <f>Skills!A11</f>
        <v/>
      </c>
      <c r="B1554">
        <f>Skills!B11</f>
        <v/>
      </c>
      <c r="C1554">
        <f>Inputs!$B$3&gt;=100</f>
        <v/>
      </c>
      <c r="D1554">
        <f>IF(Skills!C11=1,60+Inputs!$B$26+Inputs!$B$30,IF(Skills!C11=2,90+Inputs!$B$27+Inputs!$B$30,IF(Skills!C11=3,120+Inputs!$B$28+Inputs!$B$30,MAX(0,(Inputs!$B$3-100)*3)+Inputs!$B$29+Inputs!$B$30)))</f>
        <v/>
      </c>
      <c r="E1554">
        <f>INDEX(FactorTable!$B$2:$Y$301, MATCH(ROUND(MIN(300,MAX(1,D1554)),0), FactorTable!$A$2:$A$301,0), Skills!M11+1)</f>
        <v/>
      </c>
      <c r="F1554">
        <f>IF(Skills!N11=TRUE,(Skills!L11/10)*(E1554/1000),Skills!L11/10)+Skills!O11</f>
        <v/>
      </c>
      <c r="G1554" t="inlineStr"/>
      <c r="H1554" t="inlineStr"/>
      <c r="I1554" t="inlineStr">
        <is>
          <t>1</t>
        </is>
      </c>
      <c r="J1554" t="inlineStr"/>
      <c r="K1554" t="inlineStr"/>
      <c r="L1554" t="inlineStr"/>
      <c r="M1554" t="inlineStr"/>
      <c r="N1554" t="inlineStr"/>
      <c r="O1554" t="inlineStr"/>
      <c r="P1554" t="inlineStr"/>
      <c r="Q1554" t="inlineStr"/>
      <c r="R1554" t="inlineStr"/>
      <c r="S1554" t="inlineStr"/>
    </row>
    <row r="1555">
      <c r="A1555">
        <f>Skills!A12</f>
        <v/>
      </c>
      <c r="B1555">
        <f>Skills!B12</f>
        <v/>
      </c>
      <c r="C1555">
        <f>Inputs!$B$3&gt;=63</f>
        <v/>
      </c>
      <c r="D1555">
        <f>IF(Skills!C12=1,60+Inputs!$B$26+Inputs!$B$30,IF(Skills!C12=2,90+Inputs!$B$27+Inputs!$B$30,IF(Skills!C12=3,120+Inputs!$B$28+Inputs!$B$30,MAX(0,(Inputs!$B$3-100)*3)+Inputs!$B$29+Inputs!$B$30)))</f>
        <v/>
      </c>
      <c r="E1555">
        <f>INDEX(FactorTable!$B$2:$Y$301, MATCH(ROUND(MIN(300,MAX(1,D1555)),0), FactorTable!$A$2:$A$301,0), Skills!M12+1)</f>
        <v/>
      </c>
      <c r="F1555">
        <f>IF(Skills!N12=TRUE,(Skills!L12/10)*(E1555/1000),Skills!L12/10)+Skills!O12</f>
        <v/>
      </c>
      <c r="G1555">
        <f>Skills!G12*IF(Skills!H12&gt;0,INT(IF(Inputs!$B$39="pvp",MIN(Skills!I12,15),Skills!I12)/Skills!H12+0.000000001),1)</f>
        <v/>
      </c>
      <c r="H1555">
        <f>1-(1-Skills!J12/100)^Skills!K12</f>
        <v/>
      </c>
      <c r="I1555" t="inlineStr">
        <is>
          <t>1</t>
        </is>
      </c>
      <c r="J1555">
        <f>((Inputs!$B$6*(1+Inputs!$B$7/100))+(((Inputs!$B$13*(1+Inputs!$B$14/100))-(Inputs!$B$13*(1+Inputs!$B$14/100)))+0.25*(Inputs!$B$15-Inputs!$B$15))*(1+Inputs!$B$7/100))*(F1555/100)</f>
        <v/>
      </c>
      <c r="K1555">
        <f>J1555*(1+(((Inputs!$B$13+IF(Inputs!$B$3&gt;=38,(10*INDEX(FactorTable!$B$2:$Y$301, MATCH(ROUND(MIN(300,MAX(1,Inputs!$B$3)),0), FactorTable!$A$2:$A$301,0), 23)/1000)/100*(Inputs!$B$8*(1+Inputs!$B$9/100)),0))*(1+Inputs!$B$14/100))*0.01+Inputs!$B$15*0.0025)/100)*(1+Inputs!$B$16/100)*(1+Inputs!$B$17/100)*(5000/(6000+Inputs!$B$43*(1-(Inputs!$B$20+0)/100)))*(1+(Inputs!$B$25+((C1568=TRUE)*(F1568-Calc!F25))+((C1569=TRUE)*(F1569-Calc!F26))+B1578)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1554=TRUE,F1554,0)/100)*(1+(IF(Skills!A12="DARK_IMPALE",Inputs!$B$18+0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gt;=100),MIN(100,((Inputs!$B$10+0+B1572+(ArtifactsInput!$M$24-ArtifactsInput!$M$24)*CHOOSE(ArtifactsInput!$N$24+1,10,12,14,16,18,20)+IF(ArtifactsInput!$M$10,CHOOSE(ArtifactsInput!$N$10+1,15,18,21,24,27,30)*(IF(Inputs!$B$39="pvp",MIN(15,15)/15,IF(AND(Inputs!$B$39&lt;&gt;"pvp",Inputs!$B$44&gt;0),MIN(15,Inputs!$B$44)/(Inputs!$B$44),0))),0)))-100),0))*CHOOSE(ArtifactsInput!$N$42+1,0.6,0.72,0.84,0.96,1.08,1.2))),Inputs!$B$19+((C1566=TRUE)*(F1566-Calc!F23))+(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gt;=100),CHOOSE(ArtifactsInput!$N$42+1,40,48,56,64,72,80),0))))/100)*((1+(((C1556=TRUE)*F1556*IF(AND(Inputs!$B$39&lt;&gt;"pvp",Inputs!$B$44&gt;0),(((R1556-1)*MIN((Skills!T13*(1+Inputs!$B$35/100)),(1/Q1556))+MIN((Skills!T13*(1+Inputs!$B$35/100)),MAX(0,Inputs!$B$44-((R1556-1)*(1/Q1556)))))/Inputs!$B$44),IF(Inputs!$B$39="pvp",MIN((Skills!T13*(1+Inputs!$B$35/100)),15)/15,MIN(1,(Skills!T13*(1+Inputs!$B$35/100))/(1/Q1556)))))+((C1557=TRUE)*F1557*IF(AND(Inputs!$B$39&lt;&gt;"pvp",Inputs!$B$44&gt;0),(((R1557-1)*MIN((Skills!T14*(1+Inputs!$B$35/100)),(1/Q1557))+MIN((Skills!T14*(1+Inputs!$B$35/100)),MAX(0,Inputs!$B$44-((R1557-1)*(1/Q1557)))))/Inputs!$B$44),IF(Inputs!$B$39="pvp",MIN((Skills!T14*(1+Inputs!$B$35/100)),15)/15,MIN(1,(Skills!T14*(1+Inputs!$B$35/100))/(1/Q1557)))))+((C1558=TRUE)*F1558*IF(AND(Inputs!$B$39&lt;&gt;"pvp",Inputs!$B$44&gt;0),(((R1558-1)*MIN((Skills!T15*(1+Inputs!$B$35/100)),(1/Q1558))+MIN((Skills!T15*(1+Inputs!$B$35/100)),MAX(0,Inputs!$B$44-((R1558-1)*(1/Q1558)))))/Inputs!$B$44),IF(Inputs!$B$39="pvp",MIN((Skills!T15*(1+Inputs!$B$35/100)),15)/15,MIN(1,(Skills!T15*(1+Inputs!$B$35/100))/(1/Q1558)))))+((C1559=TRUE)*F1559*IF(AND(Inputs!$B$39&lt;&gt;"pvp",Inputs!$B$44&gt;0),(((R1559-1)*MIN((Skills!T16*(1+Inputs!$B$35/100)),(1/Q1559))+MIN((Skills!T16*(1+Inputs!$B$35/100)),MAX(0,Inputs!$B$44-((R1559-1)*(1/Q1559)))))/Inputs!$B$44),IF(Inputs!$B$39="pvp",MIN((Skills!T16*(1+Inputs!$B$35/100)),15)/15,MIN(1,(Skills!T16*(1+Inputs!$B$35/100))/(1/Q1559)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1555)</f>
        <v/>
      </c>
      <c r="L1555">
        <f>K1555*(MIN(Inputs!$B$23+((C1565=TRUE)*(F1565-Calc!F22)),(Inputs!$B$24+((C1567=TRUE)*(F1567-Calc!F24))+(IF(ArtifactsInput!$M$15,CHOOSE(ArtifactsInput!$N$15+1,25,30,35,40,45,50)/100*(Inputs!$B$12-Inputs!$B$12),0))))/100+(Inputs!$B$24+((C1567=TRUE)*(F1567-Calc!F24))+(IF(ArtifactsInput!$M$15,CHOOSE(ArtifactsInput!$N$15+1,25,30,35,40,45,50)/100*(Inputs!$B$12-Inputs!$B$12),0)))/100)/2</f>
        <v/>
      </c>
      <c r="M1555">
        <f>L1555*(1+(Inputs!$B$11+0+B1577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555">
        <f>L1555*(1-MIN((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1555*(MIN((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55">
        <f>(1-Summary!$B$11)*T1555+Summary!$B$11*V1555</f>
        <v/>
      </c>
      <c r="P1555">
        <f>IF(B1582=0,0,O1555/B1582)</f>
        <v/>
      </c>
      <c r="Q1555">
        <f>IFERROR(1/IF(Inputs!$B$39="pvp",15,MAX(0.1,Skills!D12-IF(TRUE=TRUE,Inputs!$B$33,0))),0)</f>
        <v/>
      </c>
      <c r="R1555">
        <f>IF(AND(Inputs!$B$39&lt;&gt;"pvp",Inputs!$B$44&gt;0),IF(MAX(0,Inputs!$B$44-B1579)&lt;=0,0,(INT(MAX(0,Inputs!$B$44-B1579)/IF(Inputs!$B$39="pvp",15,MAX(0.1,Skills!D12-IF(TRUE=TRUE,Inputs!$B$33,0))))+1)),0)</f>
        <v/>
      </c>
      <c r="S1555">
        <f>IFERROR(O1555/N1555,0)</f>
        <v/>
      </c>
      <c r="T1555">
        <f>IF(C1555,(H1555*N1555*IF(AND(Inputs!$B$39&lt;&gt;"pvp",Inputs!$B$44&gt;0),((Skills!G12*((R1555-1)*IF(Skills!H12&gt;0,INT(Skills!I12/Skills!H12+0.000000001),1)+IF(Skills!H12&gt;0,INT(MIN(Skills!I12,MAX(0,MAX(0,Inputs!$B$44-B1579)-((R1555-1)*IF(Inputs!$B$39="pvp",15,MAX(0.1,Skills!D12-IF(TRUE=TRUE,Inputs!$B$33,0))))))/Skills!H12+0.000000001),1)))/Inputs!$B$44),G1555*Q1555))*IF(Inputs!$B$39="pvp",1,1+(Inputs!$B$21+0+Skills!P12+((C1560=TRUE)*F1560*IF(AND(Inputs!$B$39&lt;&gt;"pvp",Inputs!$B$44&gt;0),(((R1560-1)*MIN((Skills!T17*(1+Inputs!$B$35/100)),(1/Q1560))+MIN((Skills!T17*(1+Inputs!$B$35/100)),MAX(0,Inputs!$B$44-((R1560-1)*(1/Q1560)))))/Inputs!$B$44),IF(Inputs!$B$39="pvp",MIN((Skills!T17*(1+Inputs!$B$35/100)),15)/15,MIN(1,(Skills!T17*(1+Inputs!$B$35/100))/(1/Q1560)))))+((C1548=TRUE)*IF(Inputs!$B$3&gt;=126,10*MIN(1,15*Q1548),0))+((C1557=TRUE)*IF(Inputs!$B$39="pvp",20,(1-Summary!$B$11)*(20)+Summary!$B$11*(0))*IF(AND(Inputs!$B$39&lt;&gt;"pvp",Inputs!$B$44&gt;0),(((R1557-1)*MIN((Skills!T14*(1+Inputs!$B$35/100)),(1/Q1557))+MIN((Skills!T14*(1+Inputs!$B$35/100)),MAX(0,Inputs!$B$44-((R1557-1)*(1/Q1557)))))/Inputs!$B$44),IF(Inputs!$B$39="pvp",MIN((Skills!T14*(1+Inputs!$B$35/100)),15)/15,MIN(1,(Skills!T14*(1+Inputs!$B$35/100))/(1/Q1557)))))+((C1556=TRUE)*IF(Inputs!$B$3&gt;=82,IF(Inputs!$B$39="pvp",20,(1-Summary!$B$11)*(20)+Summary!$B$11*(0)),0)*IF(AND(Inputs!$B$39&lt;&gt;"pvp",Inputs!$B$44&gt;0),(((R1556-1)*MIN((Skills!T13*(1+Inputs!$B$35/100)),(1/Q1556))+MIN((Skills!T13*(1+Inputs!$B$35/100)),MAX(0,Inputs!$B$44-((R1556-1)*(1/Q1556)))))/Inputs!$B$44),IF(Inputs!$B$39="pvp",MIN((Skills!T13*(1+Inputs!$B$35/100)),15)/15,MIN(1,(Skills!T13*(1+Inputs!$B$35/100))/(1/Q1556)))))+(IF(AND(ArtifactsInput!$M$35,Inputs!$B$4&lt;&gt;"Chapter Hunt"),CHOOSE(ArtifactsInput!$N$35+1,15,18,21,24,27,30)*(1-EXP(-(0.2*B1574)*5)),0)+IF(AND(ArtifactsInput!$M$22,Inputs!$B$4&lt;&gt;"Chapter Hunt"),CHOOSE(ArtifactsInput!$N$22+1,10,12,14,16,18,20)*((0*(((0.15*B1574*5))^0/1)+1*(((0.15*B1574*5))^1/1)+2*(((0.15*B1574*5))^2/2)+3*(((0.15*B1574*5))^3/6)+4*(((0.15*B1574*5))^4/24)+5*(((0.15*B1574*5))^5/120))/((((0.15*B1574*5))^0/1)+(((0.15*B1574*5))^1/1)+(((0.15*B1574*5))^2/2)+(((0.15*B1574*5))^3/6)+(((0.15*B1574*5))^4/24)+(((0.15*B1574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1555*(1-MIN(100,(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1555*(MIN(100,(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1555*(1-MIN(100,(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1555*(MIN(100,(Inputs!$B$10+0+B1572+(ArtifactsInput!$M$24-ArtifactsInput!$M$24)*CHOOSE(ArtifactsInput!$N$24+1,10,12,14,16,18,20)+(IF(AND(Inputs!$B$39&lt;&gt;"pvp",Inputs!$B$44=0),1,IF(IF(Inputs!$B$39="pvp",15,Inputs!$B$44)-(B1579)&lt;=0,1,MAX(0,IF(Inputs!$B$39="pvp",15,Inputs!$B$44)-MAX(5,B1579))/(IF(Inputs!$B$39="pvp",15,Inputs!$B$44)-(B1579))))*IF(AND(ArtifactsInput!$M$42,((Inputs!$B$10+0+B1572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55">
        <f>IF(C1555,(H1555*N1555*IF(AND(Inputs!$B$39&lt;&gt;"pvp",Inputs!$B$44&gt;0),((Skills!G12*((R1555-1)*IF(Skills!H12&gt;0,INT(Skills!I12/Skills!H12+0.000000001),1)+IF(Skills!H12&gt;0,INT(MIN(Skills!I12,MAX(0,MAX(0,Inputs!$B$44-B1579)-((R1555-1)*IF(Inputs!$B$39="pvp",15,MAX(0.1,Skills!D12-IF(TRUE=TRUE,Inputs!$B$33,0))))))/Skills!H12+0.000000001),1)))/Inputs!$B$44),G1555*Q1555))*IF(Inputs!$B$39="pvp",1,(1+(Inputs!$B$22+Skills!Q12+((C1560=TRUE)*F1560*IF(AND(Inputs!$B$39&lt;&gt;"pvp",Inputs!$B$44&gt;0),(((R1560-1)*MIN((Skills!T17*(1+Inputs!$B$35/100)),(1/Q1560))+MIN((Skills!T17*(1+Inputs!$B$35/100)),MAX(0,Inputs!$B$44-((R1560-1)*(1/Q1560)))))/Inputs!$B$44),IF(Inputs!$B$39="pvp",MIN((Skills!T17*(1+Inputs!$B$35/100)),15)/15,MIN(1,(Skills!T17*(1+Inputs!$B$35/100))/(1/Q1560)))))+((C1548=TRUE)*IF(Inputs!$B$3&gt;=126,10*MIN(1,15*Q1548),0))+((C1557=TRUE)*IF(Inputs!$B$39="pvp",20,(1-Summary!$B$11)*(20)+Summary!$B$11*(0))*IF(AND(Inputs!$B$39&lt;&gt;"pvp",Inputs!$B$44&gt;0),(((R1557-1)*MIN((Skills!T14*(1+Inputs!$B$35/100)),(1/Q1557))+MIN((Skills!T14*(1+Inputs!$B$35/100)),MAX(0,Inputs!$B$44-((R1557-1)*(1/Q1557)))))/Inputs!$B$44),IF(Inputs!$B$39="pvp",MIN((Skills!T14*(1+Inputs!$B$35/100)),15)/15,MIN(1,(Skills!T14*(1+Inputs!$B$35/100))/(1/Q1557)))))+((C1556=TRUE)*IF(Inputs!$B$3&gt;=82,IF(Inputs!$B$39="pvp",20,(1-Summary!$B$11)*(20)+Summary!$B$11*(0)),0)*IF(AND(Inputs!$B$39&lt;&gt;"pvp",Inputs!$B$44&gt;0),(((R1556-1)*MIN((Skills!T13*(1+Inputs!$B$35/100)),(1/Q1556))+MIN((Skills!T13*(1+Inputs!$B$35/100)),MAX(0,Inputs!$B$44-((R1556-1)*(1/Q1556)))))/Inputs!$B$44),IF(Inputs!$B$39="pvp",MIN((Skills!T13*(1+Inputs!$B$35/100)),15)/15,MIN(1,(Skills!T13*(1+Inputs!$B$35/100))/(1/Q1556)))))+(IF(AND(ArtifactsInput!$M$35,Inputs!$B$4&lt;&gt;"Chapter Hunt"),CHOOSE(ArtifactsInput!$N$35+1,15,18,21,24,27,30)*(1-EXP(-(0.2*B1574)*5)),0)+IF(AND(ArtifactsInput!$M$22,Inputs!$B$4&lt;&gt;"Chapter Hunt"),CHOOSE(ArtifactsInput!$N$22+1,10,12,14,16,18,20)*((0*(((0.15*B1574*5))^0/1)+1*(((0.15*B1574*5))^1/1)+2*(((0.15*B1574*5))^2/2)+3*(((0.15*B1574*5))^3/6)+4*(((0.15*B1574*5))^4/24)+5*(((0.15*B1574*5))^5/120))/((((0.15*B1574*5))^0/1)+(((0.15*B1574*5))^1/1)+(((0.15*B1574*5))^2/2)+(((0.15*B1574*5))^3/6)+(((0.15*B1574*5))^4/24)+(((0.15*B1574*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56">
      <c r="A1556">
        <f>Skills!A13</f>
        <v/>
      </c>
      <c r="B1556">
        <f>Skills!B13</f>
        <v/>
      </c>
      <c r="C1556">
        <f>Inputs!$B$3&gt;=69</f>
        <v/>
      </c>
      <c r="D1556">
        <f>IF(Skills!C13=1,60+Inputs!$B$26+Inputs!$B$30,IF(Skills!C13=2,90+Inputs!$B$27+Inputs!$B$30,IF(Skills!C13=3,120+Inputs!$B$28+Inputs!$B$30,MAX(0,(Inputs!$B$3-100)*3)+Inputs!$B$29+Inputs!$B$30)))</f>
        <v/>
      </c>
      <c r="E1556">
        <f>INDEX(FactorTable!$B$2:$Y$301, MATCH(ROUND(MIN(300,MAX(1,D1556)),0), FactorTable!$A$2:$A$301,0), Skills!M13+1)</f>
        <v/>
      </c>
      <c r="F1556">
        <f>IF(Skills!N13=TRUE,(Skills!L13/10)*(E1556/1000),Skills!L13/10)+Skills!O13</f>
        <v/>
      </c>
      <c r="G1556">
        <f>Skills!G13*IF(Skills!H13&gt;0,INT(IF(Inputs!$B$39="pvp",MIN(Skills!I13,15),Skills!I13)/Skills!H13+0.000000001),1)</f>
        <v/>
      </c>
      <c r="H1556">
        <f>1-(1-Skills!J13/100)^Skills!K13</f>
        <v/>
      </c>
      <c r="I1556" t="inlineStr">
        <is>
          <t>1</t>
        </is>
      </c>
      <c r="J1556" t="inlineStr"/>
      <c r="K1556" t="inlineStr"/>
      <c r="L1556" t="inlineStr"/>
      <c r="M1556" t="inlineStr"/>
      <c r="N1556" t="inlineStr"/>
      <c r="O1556">
        <f>(1-Summary!$B$11)*T1556+Summary!$B$11*V1556</f>
        <v/>
      </c>
      <c r="P1556">
        <f>IF(B1582=0,0,O1556/B1582)</f>
        <v/>
      </c>
      <c r="Q1556">
        <f>IFERROR(1/IF(Inputs!$B$39="pvp",15,MAX(0.1,Skills!D13-IF(TRUE=TRUE,Inputs!$B$33,0))),0)</f>
        <v/>
      </c>
      <c r="R1556">
        <f>IF(AND(Inputs!$B$39&lt;&gt;"pvp",Inputs!$B$44&gt;0),IF(Inputs!$B$44&lt;=0,0,(INT(Inputs!$B$44/IF(Inputs!$B$39="pvp",15,MAX(0.1,Skills!D13-IF(TRUE=TRUE,Inputs!$B$33,0))))+1)),0)</f>
        <v/>
      </c>
      <c r="S1556">
        <f>IFERROR(O1556/N1556,0)</f>
        <v/>
      </c>
      <c r="T1556" t="n">
        <v>0</v>
      </c>
      <c r="V1556" t="n">
        <v>0</v>
      </c>
    </row>
    <row r="1557">
      <c r="A1557">
        <f>Skills!A14</f>
        <v/>
      </c>
      <c r="B1557">
        <f>Skills!B14</f>
        <v/>
      </c>
      <c r="C1557">
        <f>Inputs!$B$3&gt;=115</f>
        <v/>
      </c>
      <c r="D1557">
        <f>IF(Skills!C14=1,60+Inputs!$B$26+Inputs!$B$30,IF(Skills!C14=2,90+Inputs!$B$27+Inputs!$B$30,IF(Skills!C14=3,120+Inputs!$B$28+Inputs!$B$30,MAX(0,(Inputs!$B$3-100)*3)+Inputs!$B$29+Inputs!$B$30)))</f>
        <v/>
      </c>
      <c r="E1557">
        <f>INDEX(FactorTable!$B$2:$Y$301, MATCH(ROUND(MIN(300,MAX(1,D1557)),0), FactorTable!$A$2:$A$301,0), Skills!M14+1)</f>
        <v/>
      </c>
      <c r="F1557">
        <f>IF(Skills!N14=TRUE,(Skills!L14/10)*(E1557/1000),Skills!L14/10)+Skills!O14</f>
        <v/>
      </c>
      <c r="G1557">
        <f>Skills!G14*IF(Skills!H14&gt;0,INT(IF(Inputs!$B$39="pvp",MIN(Skills!I14,15),Skills!I14)/Skills!H14+0.000000001),1)</f>
        <v/>
      </c>
      <c r="H1557">
        <f>1-(1-Skills!J14/100)^Skills!K14</f>
        <v/>
      </c>
      <c r="I1557" t="inlineStr">
        <is>
          <t>1</t>
        </is>
      </c>
      <c r="J1557" t="inlineStr"/>
      <c r="K1557" t="inlineStr"/>
      <c r="L1557" t="inlineStr"/>
      <c r="M1557" t="inlineStr"/>
      <c r="N1557" t="inlineStr"/>
      <c r="O1557">
        <f>(1-Summary!$B$11)*T1557+Summary!$B$11*V1557</f>
        <v/>
      </c>
      <c r="P1557">
        <f>IF(B1582=0,0,O1557/B1582)</f>
        <v/>
      </c>
      <c r="Q1557">
        <f>IFERROR(1/IF(Inputs!$B$39="pvp",15,MAX(0.1,Skills!D14-IF(TRUE=TRUE,Inputs!$B$33,0))),0)</f>
        <v/>
      </c>
      <c r="R1557">
        <f>IF(AND(Inputs!$B$39&lt;&gt;"pvp",Inputs!$B$44&gt;0),IF(Inputs!$B$44&lt;=0,0,(INT(Inputs!$B$44/IF(Inputs!$B$39="pvp",15,MAX(0.1,Skills!D14-IF(TRUE=TRUE,Inputs!$B$33,0))))+1)),0)</f>
        <v/>
      </c>
      <c r="S1557">
        <f>IFERROR(O1557/N1557,0)</f>
        <v/>
      </c>
      <c r="T1557" t="n">
        <v>0</v>
      </c>
      <c r="V1557" t="n">
        <v>0</v>
      </c>
    </row>
    <row r="1558">
      <c r="A1558">
        <f>Skills!A15</f>
        <v/>
      </c>
      <c r="B1558">
        <f>Skills!B15</f>
        <v/>
      </c>
      <c r="C1558">
        <f>Inputs!$B$3&gt;=66</f>
        <v/>
      </c>
      <c r="D1558">
        <f>IF(Skills!C15=1,60+Inputs!$B$26+Inputs!$B$30,IF(Skills!C15=2,90+Inputs!$B$27+Inputs!$B$30,IF(Skills!C15=3,120+Inputs!$B$28+Inputs!$B$30,MAX(0,(Inputs!$B$3-100)*3)+Inputs!$B$29+Inputs!$B$30)))</f>
        <v/>
      </c>
      <c r="E1558">
        <f>INDEX(FactorTable!$B$2:$Y$301, MATCH(ROUND(MIN(300,MAX(1,D1558)),0), FactorTable!$A$2:$A$301,0), Skills!M15+1)</f>
        <v/>
      </c>
      <c r="F1558">
        <f>IF(Skills!N15=TRUE,(Skills!L15/10)*(E1558/1000),Skills!L15/10)+Skills!O15</f>
        <v/>
      </c>
      <c r="G1558">
        <f>Skills!G15*IF(Skills!H15&gt;0,INT(IF(Inputs!$B$39="pvp",MIN(Skills!I15,15),Skills!I15)/Skills!H15+0.000000001),1)</f>
        <v/>
      </c>
      <c r="H1558">
        <f>1-(1-Skills!J15/100)^Skills!K15</f>
        <v/>
      </c>
      <c r="I1558" t="inlineStr">
        <is>
          <t>1</t>
        </is>
      </c>
      <c r="J1558" t="inlineStr"/>
      <c r="K1558" t="inlineStr"/>
      <c r="L1558" t="inlineStr"/>
      <c r="M1558" t="inlineStr"/>
      <c r="N1558" t="inlineStr"/>
      <c r="O1558">
        <f>(1-Summary!$B$11)*T1558+Summary!$B$11*V1558</f>
        <v/>
      </c>
      <c r="P1558">
        <f>IF(B1582=0,0,O1558/B1582)</f>
        <v/>
      </c>
      <c r="Q1558">
        <f>IFERROR(1/IF(Inputs!$B$39="pvp",15,MAX(0.1,Skills!D15-IF(TRUE=TRUE,Inputs!$B$33,0))),0)</f>
        <v/>
      </c>
      <c r="R1558">
        <f>IF(AND(Inputs!$B$39&lt;&gt;"pvp",Inputs!$B$44&gt;0),IF(Inputs!$B$44&lt;=0,0,(INT(Inputs!$B$44/IF(Inputs!$B$39="pvp",15,MAX(0.1,Skills!D15-IF(TRUE=TRUE,Inputs!$B$33,0))))+1)),0)</f>
        <v/>
      </c>
      <c r="S1558">
        <f>IFERROR(O1558/N1558,0)</f>
        <v/>
      </c>
      <c r="T1558" t="n">
        <v>0</v>
      </c>
      <c r="V1558" t="n">
        <v>0</v>
      </c>
    </row>
    <row r="1559">
      <c r="A1559">
        <f>Skills!A16</f>
        <v/>
      </c>
      <c r="B1559">
        <f>Skills!B16</f>
        <v/>
      </c>
      <c r="C1559">
        <f>Inputs!$B$3&gt;=45</f>
        <v/>
      </c>
      <c r="D1559">
        <f>IF(Skills!C16=1,60+Inputs!$B$26+Inputs!$B$30,IF(Skills!C16=2,90+Inputs!$B$27+Inputs!$B$30,IF(Skills!C16=3,120+Inputs!$B$28+Inputs!$B$30,MAX(0,(Inputs!$B$3-100)*3)+Inputs!$B$29+Inputs!$B$30)))</f>
        <v/>
      </c>
      <c r="E1559">
        <f>INDEX(FactorTable!$B$2:$Y$301, MATCH(ROUND(MIN(300,MAX(1,D1559)),0), FactorTable!$A$2:$A$301,0), Skills!M16+1)</f>
        <v/>
      </c>
      <c r="F1559">
        <f>IF(Skills!N16=TRUE,(Skills!L16/10)*(E1559/1000),Skills!L16/10)+Skills!O16</f>
        <v/>
      </c>
      <c r="G1559">
        <f>Skills!G16*IF(Skills!H16&gt;0,INT(IF(Inputs!$B$39="pvp",MIN(Skills!I16,15),Skills!I16)/Skills!H16+0.000000001),1)</f>
        <v/>
      </c>
      <c r="H1559">
        <f>1-(1-Skills!J16/100)^Skills!K16</f>
        <v/>
      </c>
      <c r="I1559" t="inlineStr">
        <is>
          <t>1</t>
        </is>
      </c>
      <c r="J1559" t="inlineStr"/>
      <c r="K1559" t="inlineStr"/>
      <c r="L1559" t="inlineStr"/>
      <c r="M1559" t="inlineStr"/>
      <c r="N1559" t="inlineStr"/>
      <c r="O1559">
        <f>(1-Summary!$B$11)*T1559+Summary!$B$11*V1559</f>
        <v/>
      </c>
      <c r="P1559">
        <f>IF(B1582=0,0,O1559/B1582)</f>
        <v/>
      </c>
      <c r="Q1559">
        <f>IFERROR(1/IF(Inputs!$B$39="pvp",15,MAX(0.1,Skills!D16-IF(TRUE=TRUE,Inputs!$B$33,0))),0)</f>
        <v/>
      </c>
      <c r="R1559">
        <f>IF(AND(Inputs!$B$39&lt;&gt;"pvp",Inputs!$B$44&gt;0),IF(Inputs!$B$44&lt;=0,0,(INT(Inputs!$B$44/IF(Inputs!$B$39="pvp",15,MAX(0.1,Skills!D16-IF(TRUE=TRUE,Inputs!$B$33,0))))+1)),0)</f>
        <v/>
      </c>
      <c r="S1559">
        <f>IFERROR(O1559/N1559,0)</f>
        <v/>
      </c>
      <c r="T1559" t="n">
        <v>0</v>
      </c>
      <c r="V1559" t="n">
        <v>0</v>
      </c>
    </row>
    <row r="1560">
      <c r="A1560">
        <f>Skills!A17</f>
        <v/>
      </c>
      <c r="B1560">
        <f>Skills!B17</f>
        <v/>
      </c>
      <c r="C1560">
        <f>Inputs!$B$3&gt;=35</f>
        <v/>
      </c>
      <c r="D1560">
        <f>IF(Skills!C17=1,60+Inputs!$B$26+Inputs!$B$30,IF(Skills!C17=2,90+Inputs!$B$27+Inputs!$B$30,IF(Skills!C17=3,120+Inputs!$B$28+Inputs!$B$30,MAX(0,(Inputs!$B$3-100)*3)+Inputs!$B$29+Inputs!$B$30)))</f>
        <v/>
      </c>
      <c r="E1560">
        <f>INDEX(FactorTable!$B$2:$Y$301, MATCH(ROUND(MIN(300,MAX(1,D1560)),0), FactorTable!$A$2:$A$301,0), Skills!M17+1)</f>
        <v/>
      </c>
      <c r="F1560">
        <f>IF(Skills!N17=TRUE,(Skills!L17/10)*(E1560/1000),Skills!L17/10)+Skills!O17</f>
        <v/>
      </c>
      <c r="G1560">
        <f>Skills!G17*IF(Skills!H17&gt;0,INT(IF(Inputs!$B$39="pvp",MIN(Skills!I17,15),Skills!I17)/Skills!H17+0.000000001),1)</f>
        <v/>
      </c>
      <c r="H1560">
        <f>1-(1-Skills!J17/100)^Skills!K17</f>
        <v/>
      </c>
      <c r="I1560" t="inlineStr">
        <is>
          <t>1</t>
        </is>
      </c>
      <c r="J1560" t="inlineStr"/>
      <c r="K1560" t="inlineStr"/>
      <c r="L1560" t="inlineStr"/>
      <c r="M1560" t="inlineStr"/>
      <c r="N1560" t="inlineStr"/>
      <c r="O1560">
        <f>(1-Summary!$B$11)*T1560+Summary!$B$11*V1560</f>
        <v/>
      </c>
      <c r="P1560">
        <f>IF(B1582=0,0,O1560/B1582)</f>
        <v/>
      </c>
      <c r="Q1560">
        <f>IFERROR(1/IF(Inputs!$B$39="pvp",15,MAX(0.1,Skills!D17-IF(TRUE=TRUE,Inputs!$B$33,0))),0)</f>
        <v/>
      </c>
      <c r="R1560">
        <f>IF(AND(Inputs!$B$39&lt;&gt;"pvp",Inputs!$B$44&gt;0),IF(Inputs!$B$44&lt;=0,0,(INT(Inputs!$B$44/IF(Inputs!$B$39="pvp",15,MAX(0.1,Skills!D17-IF(TRUE=TRUE,Inputs!$B$33,0))))+1)),0)</f>
        <v/>
      </c>
      <c r="S1560">
        <f>IFERROR(O1560/N1560,0)</f>
        <v/>
      </c>
      <c r="T1560" t="n">
        <v>0</v>
      </c>
      <c r="V1560" t="n">
        <v>0</v>
      </c>
    </row>
    <row r="1561">
      <c r="A1561">
        <f>Skills!A18</f>
        <v/>
      </c>
      <c r="B1561">
        <f>Skills!B18</f>
        <v/>
      </c>
      <c r="C1561">
        <f>Inputs!$B$3&gt;=72</f>
        <v/>
      </c>
      <c r="D1561">
        <f>IF(Skills!C18=1,60+Inputs!$B$26+Inputs!$B$30,IF(Skills!C18=2,90+Inputs!$B$27+Inputs!$B$30,IF(Skills!C18=3,120+Inputs!$B$28+Inputs!$B$30,MAX(0,(Inputs!$B$3-100)*3)+Inputs!$B$29+Inputs!$B$30)))</f>
        <v/>
      </c>
      <c r="E1561">
        <f>INDEX(FactorTable!$B$2:$Y$301, MATCH(ROUND(MIN(300,MAX(1,D1561)),0), FactorTable!$A$2:$A$301,0), Skills!M18+1)</f>
        <v/>
      </c>
      <c r="F1561">
        <f>IF(Skills!N18=TRUE,(Skills!L18/10)*(E1561/1000),Skills!L18/10)+Skills!O18</f>
        <v/>
      </c>
      <c r="G1561">
        <f>Skills!G18*IF(Skills!H18&gt;0,INT(IF(Inputs!$B$39="pvp",MIN(Skills!I18,15),Skills!I18)/Skills!H18+0.000000001),1)</f>
        <v/>
      </c>
      <c r="H1561">
        <f>1-(1-Skills!J18/100)^Skills!K18</f>
        <v/>
      </c>
      <c r="I1561" t="inlineStr">
        <is>
          <t>1</t>
        </is>
      </c>
      <c r="J1561" t="inlineStr"/>
      <c r="K1561" t="inlineStr"/>
      <c r="L1561" t="inlineStr"/>
      <c r="M1561" t="inlineStr"/>
      <c r="N1561" t="inlineStr"/>
      <c r="O1561">
        <f>(1-Summary!$B$11)*T1561+Summary!$B$11*V1561</f>
        <v/>
      </c>
      <c r="P1561">
        <f>IF(B1582=0,0,O1561/B1582)</f>
        <v/>
      </c>
      <c r="Q1561">
        <f>IFERROR(1/IF(Inputs!$B$39="pvp",15,MAX(0.1,Skills!D18-IF(TRUE=TRUE,Inputs!$B$33,0))),0)</f>
        <v/>
      </c>
      <c r="R1561">
        <f>IF(AND(Inputs!$B$39&lt;&gt;"pvp",Inputs!$B$44&gt;0),IF(Inputs!$B$44&lt;=0,0,(INT(Inputs!$B$44/IF(Inputs!$B$39="pvp",15,MAX(0.1,Skills!D18-IF(TRUE=TRUE,Inputs!$B$33,0))))+1)),0)</f>
        <v/>
      </c>
      <c r="S1561">
        <f>IFERROR(O1561/N1561,0)</f>
        <v/>
      </c>
      <c r="T1561" t="n">
        <v>0</v>
      </c>
      <c r="V1561" t="n">
        <v>0</v>
      </c>
    </row>
    <row r="1562">
      <c r="A1562">
        <f>Skills!A19</f>
        <v/>
      </c>
      <c r="B1562">
        <f>Skills!B19</f>
        <v/>
      </c>
      <c r="C1562">
        <f>Inputs!$B$3&gt;=72</f>
        <v/>
      </c>
      <c r="D1562">
        <f>IF(Skills!C19=1,60+Inputs!$B$26+Inputs!$B$30,IF(Skills!C19=2,90+Inputs!$B$27+Inputs!$B$30,IF(Skills!C19=3,120+Inputs!$B$28+Inputs!$B$30,MAX(0,(Inputs!$B$3-100)*3)+Inputs!$B$29+Inputs!$B$30)))</f>
        <v/>
      </c>
      <c r="E1562">
        <f>INDEX(FactorTable!$B$2:$Y$301, MATCH(ROUND(MIN(300,MAX(1,D1562)),0), FactorTable!$A$2:$A$301,0), Skills!M19+1)</f>
        <v/>
      </c>
      <c r="F1562">
        <f>IF(Skills!N19=TRUE,(Skills!L19/10)*(E1562/1000),Skills!L19/10)+Skills!O19</f>
        <v/>
      </c>
      <c r="G1562">
        <f>Skills!G19*IF(Skills!H19&gt;0,INT(IF(Inputs!$B$39="pvp",MIN(Skills!I19,15),Skills!I19)/Skills!H19+0.000000001),1)</f>
        <v/>
      </c>
      <c r="H1562">
        <f>1-(1-Skills!J19/100)^Skills!K19</f>
        <v/>
      </c>
      <c r="I1562" t="inlineStr">
        <is>
          <t>1</t>
        </is>
      </c>
      <c r="J1562" t="inlineStr"/>
      <c r="K1562" t="inlineStr"/>
      <c r="L1562" t="inlineStr"/>
      <c r="M1562" t="inlineStr"/>
      <c r="N1562" t="inlineStr"/>
      <c r="O1562">
        <f>(1-Summary!$B$11)*T1562+Summary!$B$11*V1562</f>
        <v/>
      </c>
      <c r="P1562">
        <f>IF(B1582=0,0,O1562/B1582)</f>
        <v/>
      </c>
      <c r="Q1562">
        <f>IFERROR(1/IF(Inputs!$B$39="pvp",15,MAX(0.1,Skills!D19-IF(TRUE=TRUE,Inputs!$B$33,0))),0)</f>
        <v/>
      </c>
      <c r="R1562">
        <f>IF(AND(Inputs!$B$39&lt;&gt;"pvp",Inputs!$B$44&gt;0),IF(Inputs!$B$44&lt;=0,0,(INT(Inputs!$B$44/IF(Inputs!$B$39="pvp",15,MAX(0.1,Skills!D19-IF(TRUE=TRUE,Inputs!$B$33,0))))+1)),0)</f>
        <v/>
      </c>
      <c r="S1562">
        <f>IFERROR(O1562/N1562,0)</f>
        <v/>
      </c>
      <c r="T1562" t="n">
        <v>0</v>
      </c>
      <c r="V1562" t="n">
        <v>0</v>
      </c>
    </row>
    <row r="1563">
      <c r="A1563">
        <f>Skills!A20</f>
        <v/>
      </c>
      <c r="B1563">
        <f>Skills!B20</f>
        <v/>
      </c>
      <c r="C1563">
        <f>TRUE</f>
        <v/>
      </c>
      <c r="D1563">
        <f>IF(Skills!C20=1,60+Inputs!$B$26+Inputs!$B$30,IF(Skills!C20=2,90+Inputs!$B$27+Inputs!$B$30,IF(Skills!C20=3,120+Inputs!$B$28+Inputs!$B$30,MAX(0,(Inputs!$B$3-100)*3)+Inputs!$B$29+Inputs!$B$30)))</f>
        <v/>
      </c>
      <c r="E1563">
        <f>INDEX(FactorTable!$B$2:$Y$301, MATCH(ROUND(MIN(300,MAX(1,D1563)),0), FactorTable!$A$2:$A$301,0), Skills!M20+1)</f>
        <v/>
      </c>
      <c r="F1563">
        <f>IF(Skills!N20=TRUE,(Skills!L20/10)*(E1563/1000),Skills!L20/10)+Skills!O20</f>
        <v/>
      </c>
      <c r="G1563">
        <f>Skills!G20*IF(Skills!H20&gt;0,INT(IF(Inputs!$B$39="pvp",MIN(Skills!I20,15),Skills!I20)/Skills!H20+0.000000001),1)</f>
        <v/>
      </c>
      <c r="H1563">
        <f>1-(1-Skills!J20/100)^Skills!K20</f>
        <v/>
      </c>
      <c r="I1563" t="inlineStr">
        <is>
          <t>1</t>
        </is>
      </c>
      <c r="J1563" t="inlineStr"/>
      <c r="K1563" t="inlineStr"/>
      <c r="L1563" t="inlineStr"/>
      <c r="M1563" t="inlineStr"/>
      <c r="N1563" t="inlineStr"/>
      <c r="O1563">
        <f>(1-Summary!$B$11)*T1563+Summary!$B$11*V1563</f>
        <v/>
      </c>
      <c r="P1563">
        <f>IF(B1582=0,0,O1563/B1582)</f>
        <v/>
      </c>
      <c r="Q1563">
        <f>IFERROR(1/IF(Inputs!$B$39="pvp",15,MAX(0.1,Skills!D20-IF(TRUE=TRUE,Inputs!$B$33,0))),0)</f>
        <v/>
      </c>
      <c r="R1563">
        <f>IF(AND(Inputs!$B$39&lt;&gt;"pvp",Inputs!$B$44&gt;0),IF(Inputs!$B$44&lt;=0,0,(INT(Inputs!$B$44/IF(Inputs!$B$39="pvp",15,MAX(0.1,Skills!D20-IF(TRUE=TRUE,Inputs!$B$33,0))))+1)),0)</f>
        <v/>
      </c>
      <c r="S1563">
        <f>IFERROR(O1563/N1563,0)</f>
        <v/>
      </c>
      <c r="T1563" t="n">
        <v>0</v>
      </c>
      <c r="V1563" t="n">
        <v>0</v>
      </c>
    </row>
    <row r="1564">
      <c r="A1564">
        <f>Skills!A21</f>
        <v/>
      </c>
      <c r="B1564">
        <f>Skills!B21</f>
        <v/>
      </c>
      <c r="C1564">
        <f>Inputs!$B$3&gt;=33</f>
        <v/>
      </c>
      <c r="D1564">
        <f>IF(Skills!C21=1,60+Inputs!$B$26+Inputs!$B$30,IF(Skills!C21=2,90+Inputs!$B$27+Inputs!$B$30,IF(Skills!C21=3,120+Inputs!$B$28+Inputs!$B$30,MAX(0,(Inputs!$B$3-100)*3)+Inputs!$B$29+Inputs!$B$30)))</f>
        <v/>
      </c>
      <c r="E1564">
        <f>INDEX(FactorTable!$B$2:$Y$301, MATCH(ROUND(MIN(300,MAX(1,D1564)),0), FactorTable!$A$2:$A$301,0), Skills!M21+1)</f>
        <v/>
      </c>
      <c r="F1564">
        <f>IF(Skills!N21=TRUE,(Skills!L21/10)*(E1564/1000),Skills!L21/10)+Skills!O21</f>
        <v/>
      </c>
      <c r="G1564">
        <f>Skills!G21*IF(Skills!H21&gt;0,INT(IF(Inputs!$B$39="pvp",MIN(Skills!I21,15),Skills!I21)/Skills!H21+0.000000001),1)</f>
        <v/>
      </c>
      <c r="H1564">
        <f>1-(1-Skills!J21/100)^Skills!K21</f>
        <v/>
      </c>
      <c r="I1564" t="inlineStr">
        <is>
          <t>1</t>
        </is>
      </c>
      <c r="J1564" t="inlineStr"/>
      <c r="K1564" t="inlineStr"/>
      <c r="L1564" t="inlineStr"/>
      <c r="M1564" t="inlineStr"/>
      <c r="N1564" t="inlineStr"/>
      <c r="O1564">
        <f>(1-Summary!$B$11)*T1564+Summary!$B$11*V1564</f>
        <v/>
      </c>
      <c r="P1564">
        <f>IF(B1582=0,0,O1564/B1582)</f>
        <v/>
      </c>
      <c r="Q1564" t="n">
        <v>0</v>
      </c>
      <c r="R1564" t="n">
        <v>0</v>
      </c>
      <c r="S1564">
        <f>IFERROR(O1564/N1564,0)</f>
        <v/>
      </c>
      <c r="T1564" t="n">
        <v>0</v>
      </c>
      <c r="V1564" t="n">
        <v>0</v>
      </c>
    </row>
    <row r="1565">
      <c r="A1565">
        <f>Skills!A22</f>
        <v/>
      </c>
      <c r="B1565">
        <f>Skills!B22</f>
        <v/>
      </c>
      <c r="C1565">
        <f>Inputs!$B$3&gt;=43</f>
        <v/>
      </c>
      <c r="D1565">
        <f>IF(Skills!C22=1,60+Inputs!$B$26+Inputs!$B$30,IF(Skills!C22=2,90+Inputs!$B$27+Inputs!$B$30,IF(Skills!C22=3,120+Inputs!$B$28+Inputs!$B$30,MAX(0,(Inputs!$B$3-100)*3)+Inputs!$B$29+Inputs!$B$30)))</f>
        <v/>
      </c>
      <c r="E1565">
        <f>INDEX(FactorTable!$B$2:$Y$301, MATCH(ROUND(MIN(300,MAX(1,D1565)),0), FactorTable!$A$2:$A$301,0), Skills!M22+1)</f>
        <v/>
      </c>
      <c r="F1565">
        <f>IF(Skills!N22=TRUE,(Skills!L22/10)*(E1565/1000),Skills!L22/10)+Skills!O22</f>
        <v/>
      </c>
      <c r="G1565">
        <f>Skills!G22*IF(Skills!H22&gt;0,INT(IF(Inputs!$B$39="pvp",MIN(Skills!I22,15),Skills!I22)/Skills!H22+0.000000001),1)</f>
        <v/>
      </c>
      <c r="H1565">
        <f>1-(1-Skills!J22/100)^Skills!K22</f>
        <v/>
      </c>
      <c r="I1565" t="inlineStr">
        <is>
          <t>1</t>
        </is>
      </c>
      <c r="J1565" t="inlineStr"/>
      <c r="K1565" t="inlineStr"/>
      <c r="L1565" t="inlineStr"/>
      <c r="M1565" t="inlineStr"/>
      <c r="N1565" t="inlineStr"/>
      <c r="O1565">
        <f>(1-Summary!$B$11)*T1565+Summary!$B$11*V1565</f>
        <v/>
      </c>
      <c r="P1565">
        <f>IF(B1582=0,0,O1565/B1582)</f>
        <v/>
      </c>
      <c r="Q1565" t="n">
        <v>0</v>
      </c>
      <c r="R1565" t="n">
        <v>0</v>
      </c>
      <c r="S1565">
        <f>IFERROR(O1565/N1565,0)</f>
        <v/>
      </c>
      <c r="T1565" t="n">
        <v>0</v>
      </c>
      <c r="V1565" t="n">
        <v>0</v>
      </c>
    </row>
    <row r="1566">
      <c r="A1566">
        <f>Skills!A23</f>
        <v/>
      </c>
      <c r="B1566">
        <f>Skills!B23</f>
        <v/>
      </c>
      <c r="C1566">
        <f>Inputs!$B$3&gt;=120</f>
        <v/>
      </c>
      <c r="D1566">
        <f>IF(Skills!C23=1,60+Inputs!$B$26+Inputs!$B$30,IF(Skills!C23=2,90+Inputs!$B$27+Inputs!$B$30,IF(Skills!C23=3,120+Inputs!$B$28+Inputs!$B$30,MAX(0,(Inputs!$B$3-100)*3)+Inputs!$B$29+Inputs!$B$30)))</f>
        <v/>
      </c>
      <c r="E1566">
        <f>INDEX(FactorTable!$B$2:$Y$301, MATCH(ROUND(MIN(300,MAX(1,D1566)),0), FactorTable!$A$2:$A$301,0), Skills!M23+1)</f>
        <v/>
      </c>
      <c r="F1566">
        <f>IF(Skills!N23=TRUE,(Skills!L23/10)*(E1566/1000),Skills!L23/10)+Skills!O23</f>
        <v/>
      </c>
      <c r="G1566">
        <f>Skills!G23*IF(Skills!H23&gt;0,INT(IF(Inputs!$B$39="pvp",MIN(Skills!I23,15),Skills!I23)/Skills!H23+0.000000001),1)</f>
        <v/>
      </c>
      <c r="H1566">
        <f>1-(1-Skills!J23/100)^Skills!K23</f>
        <v/>
      </c>
      <c r="I1566" t="inlineStr">
        <is>
          <t>1</t>
        </is>
      </c>
      <c r="J1566" t="inlineStr"/>
      <c r="K1566" t="inlineStr"/>
      <c r="L1566" t="inlineStr"/>
      <c r="M1566" t="inlineStr"/>
      <c r="N1566" t="inlineStr"/>
      <c r="O1566">
        <f>(1-Summary!$B$11)*T1566+Summary!$B$11*V1566</f>
        <v/>
      </c>
      <c r="P1566">
        <f>IF(B1582=0,0,O1566/B1582)</f>
        <v/>
      </c>
      <c r="Q1566" t="n">
        <v>0</v>
      </c>
      <c r="R1566" t="n">
        <v>0</v>
      </c>
      <c r="S1566">
        <f>IFERROR(O1566/N1566,0)</f>
        <v/>
      </c>
      <c r="T1566" t="n">
        <v>0</v>
      </c>
      <c r="V1566" t="n">
        <v>0</v>
      </c>
    </row>
    <row r="1567">
      <c r="A1567">
        <f>Skills!A24</f>
        <v/>
      </c>
      <c r="B1567">
        <f>Skills!B24</f>
        <v/>
      </c>
      <c r="C1567">
        <f>Inputs!$B$3&gt;=120</f>
        <v/>
      </c>
      <c r="D1567">
        <f>IF(Skills!C24=1,60+Inputs!$B$26+Inputs!$B$30,IF(Skills!C24=2,90+Inputs!$B$27+Inputs!$B$30,IF(Skills!C24=3,120+Inputs!$B$28+Inputs!$B$30,MAX(0,(Inputs!$B$3-100)*3)+Inputs!$B$29+Inputs!$B$30)))</f>
        <v/>
      </c>
      <c r="E1567">
        <f>INDEX(FactorTable!$B$2:$Y$301, MATCH(ROUND(MIN(300,MAX(1,D1567)),0), FactorTable!$A$2:$A$301,0), Skills!M24+1)</f>
        <v/>
      </c>
      <c r="F1567">
        <f>IF(Skills!N24=TRUE,(Skills!L24/10)*(E1567/1000),Skills!L24/10)+Skills!O24</f>
        <v/>
      </c>
      <c r="G1567">
        <f>Skills!G24*IF(Skills!H24&gt;0,INT(IF(Inputs!$B$39="pvp",MIN(Skills!I24,15),Skills!I24)/Skills!H24+0.000000001),1)</f>
        <v/>
      </c>
      <c r="H1567">
        <f>1-(1-Skills!J24/100)^Skills!K24</f>
        <v/>
      </c>
      <c r="I1567" t="inlineStr">
        <is>
          <t>1</t>
        </is>
      </c>
      <c r="J1567" t="inlineStr"/>
      <c r="K1567" t="inlineStr"/>
      <c r="L1567" t="inlineStr"/>
      <c r="M1567" t="inlineStr"/>
      <c r="N1567" t="inlineStr"/>
      <c r="O1567">
        <f>(1-Summary!$B$11)*T1567+Summary!$B$11*V1567</f>
        <v/>
      </c>
      <c r="P1567">
        <f>IF(B1582=0,0,O1567/B1582)</f>
        <v/>
      </c>
      <c r="Q1567" t="n">
        <v>0</v>
      </c>
      <c r="R1567" t="n">
        <v>0</v>
      </c>
      <c r="S1567">
        <f>IFERROR(O1567/N1567,0)</f>
        <v/>
      </c>
      <c r="T1567" t="n">
        <v>0</v>
      </c>
      <c r="V1567" t="n">
        <v>0</v>
      </c>
    </row>
    <row r="1568">
      <c r="A1568">
        <f>Skills!A25</f>
        <v/>
      </c>
      <c r="B1568">
        <f>Skills!B25</f>
        <v/>
      </c>
      <c r="C1568">
        <f>Inputs!$B$3&gt;=125</f>
        <v/>
      </c>
      <c r="D1568">
        <f>IF(Skills!C25=1,60+Inputs!$B$26+Inputs!$B$30,IF(Skills!C25=2,90+Inputs!$B$27+Inputs!$B$30,IF(Skills!C25=3,120+Inputs!$B$28+Inputs!$B$30,MAX(0,(Inputs!$B$3-100)*3)+Inputs!$B$29+Inputs!$B$30)))</f>
        <v/>
      </c>
      <c r="E1568">
        <f>INDEX(FactorTable!$B$2:$Y$301, MATCH(ROUND(MIN(300,MAX(1,D1568)),0), FactorTable!$A$2:$A$301,0), Skills!M25+1)</f>
        <v/>
      </c>
      <c r="F1568">
        <f>IF(Skills!N25=TRUE,(Skills!L25/10)*(E1568/1000),Skills!L25/10)+Skills!O25</f>
        <v/>
      </c>
      <c r="G1568">
        <f>Skills!G25*IF(Skills!H25&gt;0,INT(IF(Inputs!$B$39="pvp",MIN(Skills!I25,15),Skills!I25)/Skills!H25+0.000000001),1)</f>
        <v/>
      </c>
      <c r="H1568">
        <f>1-(1-Skills!J25/100)^Skills!K25</f>
        <v/>
      </c>
      <c r="I1568" t="inlineStr">
        <is>
          <t>1</t>
        </is>
      </c>
      <c r="J1568" t="inlineStr"/>
      <c r="K1568" t="inlineStr"/>
      <c r="L1568" t="inlineStr"/>
      <c r="M1568" t="inlineStr"/>
      <c r="N1568" t="inlineStr"/>
      <c r="O1568">
        <f>(1-Summary!$B$11)*T1568+Summary!$B$11*V1568</f>
        <v/>
      </c>
      <c r="P1568">
        <f>IF(B1582=0,0,O1568/B1582)</f>
        <v/>
      </c>
      <c r="Q1568" t="n">
        <v>0</v>
      </c>
      <c r="R1568" t="n">
        <v>0</v>
      </c>
      <c r="S1568">
        <f>IFERROR(O1568/N1568,0)</f>
        <v/>
      </c>
      <c r="T1568" t="n">
        <v>0</v>
      </c>
      <c r="V1568" t="n">
        <v>0</v>
      </c>
    </row>
    <row r="1569">
      <c r="A1569">
        <f>Skills!A26</f>
        <v/>
      </c>
      <c r="B1569">
        <f>Skills!B26</f>
        <v/>
      </c>
      <c r="C1569">
        <f>Inputs!$B$3&gt;=107</f>
        <v/>
      </c>
      <c r="D1569">
        <f>IF(Skills!C26=1,60+Inputs!$B$26+Inputs!$B$30,IF(Skills!C26=2,90+Inputs!$B$27+Inputs!$B$30,IF(Skills!C26=3,120+Inputs!$B$28+Inputs!$B$30,MAX(0,(Inputs!$B$3-100)*3)+Inputs!$B$29+Inputs!$B$30)))</f>
        <v/>
      </c>
      <c r="E1569">
        <f>INDEX(FactorTable!$B$2:$Y$301, MATCH(ROUND(MIN(300,MAX(1,D1569)),0), FactorTable!$A$2:$A$301,0), Skills!M26+1)</f>
        <v/>
      </c>
      <c r="F1569">
        <f>IF(Skills!N26=TRUE,(Skills!L26/10)*(E1569/1000),Skills!L26/10)+Skills!O26</f>
        <v/>
      </c>
      <c r="G1569">
        <f>Skills!G26*IF(Skills!H26&gt;0,INT(IF(Inputs!$B$39="pvp",MIN(Skills!I26,15),Skills!I26)/Skills!H26+0.000000001),1)</f>
        <v/>
      </c>
      <c r="H1569">
        <f>1-(1-Skills!J26/100)^Skills!K26</f>
        <v/>
      </c>
      <c r="I1569" t="inlineStr">
        <is>
          <t>1</t>
        </is>
      </c>
      <c r="J1569" t="inlineStr"/>
      <c r="K1569" t="inlineStr"/>
      <c r="L1569" t="inlineStr"/>
      <c r="M1569" t="inlineStr"/>
      <c r="N1569" t="inlineStr"/>
      <c r="O1569">
        <f>(1-Summary!$B$11)*T1569+Summary!$B$11*V1569</f>
        <v/>
      </c>
      <c r="P1569">
        <f>IF(B1582=0,0,O1569/B1582)</f>
        <v/>
      </c>
      <c r="Q1569" t="n">
        <v>0</v>
      </c>
      <c r="R1569" t="n">
        <v>0</v>
      </c>
      <c r="S1569">
        <f>IFERROR(O1569/N1569,0)</f>
        <v/>
      </c>
      <c r="T1569" t="n">
        <v>0</v>
      </c>
      <c r="V1569" t="n">
        <v>0</v>
      </c>
    </row>
    <row r="1571">
      <c r="A1571" t="inlineStr">
        <is>
          <t>Attack% Bucket Multiplier</t>
        </is>
      </c>
      <c r="B1571">
        <f>(1+(((C1556=TRUE)*F1556*IF(AND(Inputs!$B$39&lt;&gt;"pvp",Inputs!$B$44&gt;0),(((R1556-1)*MIN((Skills!T13*(1+Inputs!$B$35/100)),(1/Q1556))+MIN((Skills!T13*(1+Inputs!$B$35/100)),MAX(0,Inputs!$B$44-((R1556-1)*(1/Q1556)))))/Inputs!$B$44),IF(Inputs!$B$39="pvp",MIN((Skills!T13*(1+Inputs!$B$35/100)),15)/15,MIN(1,(Skills!T13*(1+Inputs!$B$35/100))/(1/Q1556)))))+((C1557=TRUE)*F1557*IF(AND(Inputs!$B$39&lt;&gt;"pvp",Inputs!$B$44&gt;0),(((R1557-1)*MIN((Skills!T14*(1+Inputs!$B$35/100)),(1/Q1557))+MIN((Skills!T14*(1+Inputs!$B$35/100)),MAX(0,Inputs!$B$44-((R1557-1)*(1/Q1557)))))/Inputs!$B$44),IF(Inputs!$B$39="pvp",MIN((Skills!T14*(1+Inputs!$B$35/100)),15)/15,MIN(1,(Skills!T14*(1+Inputs!$B$35/100))/(1/Q1557)))))+((C1558=TRUE)*F1558*IF(AND(Inputs!$B$39&lt;&gt;"pvp",Inputs!$B$44&gt;0),(((R1558-1)*MIN((Skills!T15*(1+Inputs!$B$35/100)),(1/Q1558))+MIN((Skills!T15*(1+Inputs!$B$35/100)),MAX(0,Inputs!$B$44-((R1558-1)*(1/Q1558)))))/Inputs!$B$44),IF(Inputs!$B$39="pvp",MIN((Skills!T15*(1+Inputs!$B$35/100)),15)/15,MIN(1,(Skills!T15*(1+Inputs!$B$35/100))/(1/Q1558)))))+((C1559=TRUE)*F1559*IF(AND(Inputs!$B$39&lt;&gt;"pvp",Inputs!$B$44&gt;0),(((R1559-1)*MIN((Skills!T16*(1+Inputs!$B$35/100)),(1/Q1559))+MIN((Skills!T16*(1+Inputs!$B$35/100)),MAX(0,Inputs!$B$44-((R1559-1)*(1/Q1559)))))/Inputs!$B$44),IF(Inputs!$B$39="pvp",MIN((Skills!T16*(1+Inputs!$B$35/100)),15)/15,MIN(1,(Skills!T16*(1+Inputs!$B$35/100))/(1/Q1559)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1572">
      <c r="A1572" t="inlineStr">
        <is>
          <t>Global Crit Rate Bonus % (Lord of Darkness)</t>
        </is>
      </c>
      <c r="B1572">
        <f>((C1561=TRUE)*F1561*(Skills!J18/100)*IF(AND(Inputs!$B$39&lt;&gt;"pvp",Inputs!$B$44&gt;0),(((R1561-1)*MIN((Skills!T18*(1+Inputs!$B$35/100)),(1/Q1561))+MIN((Skills!T18*(1+Inputs!$B$35/100)),MAX(0,Inputs!$B$44-((R1561-1)*(1/Q1561)))))/Inputs!$B$44),IF(Inputs!$B$39="pvp",MIN((Skills!T18*(1+Inputs!$B$35/100)),15)/15,MIN(1,(Skills!T18*(1+Inputs!$B$35/100))/(1/Q1561)))))</f>
        <v/>
      </c>
    </row>
    <row r="1573">
      <c r="A1573" t="inlineStr">
        <is>
          <t>Attack Speed Buff Bonus %</t>
        </is>
      </c>
      <c r="B1573">
        <f>((C1563=TRUE)*F1563*IF(AND(Inputs!$B$39&lt;&gt;"pvp",Inputs!$B$44&gt;0),(((R1563-1)*MIN((Skills!T20*(1+Inputs!$B$35/100)),(1/Q1563))+MIN((Skills!T20*(1+Inputs!$B$35/100)),MAX(0,Inputs!$B$44-((R1563-1)*(1/Q1563)))))/Inputs!$B$44),IF(Inputs!$B$39="pvp",MIN((Skills!T20*(1+Inputs!$B$35/100)),15)/15,MIN(1,(Skills!T20*(1+Inputs!$B$35/100))/(1/Q1563)))))</f>
        <v/>
      </c>
    </row>
    <row r="1574">
      <c r="A1574" t="inlineStr">
        <is>
          <t>Actions Per Second</t>
        </is>
      </c>
      <c r="B1574">
        <f>1+MIN(150,150*(1-(1-(Inputs!$B$12+((C1564=TRUE)*(F1564-Calc!F21)))/150)*(1-B1573/150)))/100</f>
        <v/>
      </c>
    </row>
    <row r="1575">
      <c r="A1575" t="inlineStr">
        <is>
          <t>Skill + Buff Cast Rate</t>
        </is>
      </c>
      <c r="B1575">
        <f>IF(AND(Inputs!$B$39&lt;&gt;"pvp",Inputs!$B$44&gt;0),SUMPRODUCT((Skills!E2:E26=TRUE)*(C1545:C1569=TRUE)*R1545:R1569*Skills!F2:F26)/Inputs!$B$44,SUMPRODUCT((Skills!E2:E26=TRUE)*(C1545:C1569=TRUE)*Q1545:Q1569*Skills!F2:F26))</f>
        <v/>
      </c>
    </row>
    <row r="1576">
      <c r="A1576" t="inlineStr">
        <is>
          <t>Dark Impale Casts Per Second</t>
        </is>
      </c>
      <c r="B1576">
        <f>MAX(0,B1574-B1575)</f>
        <v/>
      </c>
    </row>
    <row r="1577">
      <c r="A1577" t="inlineStr">
        <is>
          <t>Global Critical Damage Bonus % (Lord of Darkness)</t>
        </is>
      </c>
      <c r="B1577">
        <f>((C1562=TRUE)*F1562*(Skills!J19/100)*IF(AND(Inputs!$B$39&lt;&gt;"pvp",Inputs!$B$44&gt;0),(((R1562-1)*MIN((Skills!T19*(1+Inputs!$B$35/100)),(1/Q1562))+MIN((Skills!T19*(1+Inputs!$B$35/100)),MAX(0,Inputs!$B$44-((R1562-1)*(1/Q1562)))))/Inputs!$B$44),IF(Inputs!$B$39="pvp",MIN((Skills!T19*(1+Inputs!$B$35/100)),15)/15,MIN(1,(Skills!T19*(1+Inputs!$B$35/100))/(1/Q1562)))))</f>
        <v/>
      </c>
    </row>
    <row r="1578">
      <c r="A1578" t="inlineStr">
        <is>
          <t>Global Final Damage Bonus % (unused)</t>
        </is>
      </c>
      <c r="B1578" t="n">
        <v>0</v>
      </c>
    </row>
    <row r="1579">
      <c r="A1579" t="inlineStr">
        <is>
          <t>Buff-Casting Startup Delay (s, fixed-duration only)</t>
        </is>
      </c>
      <c r="B1579">
        <f>IF(AND(Inputs!$B$39&lt;&gt;"pvp",Inputs!$B$44&gt;0),SUMPRODUCT((Skills!T2:T26&gt;0)*(Skills!E2:E26=TRUE)*(C1545:C1569=TRUE))/B1574,0)</f>
        <v/>
      </c>
    </row>
    <row r="1580">
      <c r="A1580" t="inlineStr">
        <is>
          <t>Boss-Only Total DPS (this block's swept value)</t>
        </is>
      </c>
      <c r="B1580">
        <f>SUM(T1545:T1569)</f>
        <v/>
      </c>
    </row>
    <row r="1581">
      <c r="A1581" t="inlineStr">
        <is>
          <t>Normal-Only Total DPS (this block's swept value)</t>
        </is>
      </c>
      <c r="B1581">
        <f>SUM(V1545:V1569)</f>
        <v/>
      </c>
    </row>
    <row r="1582">
      <c r="A1582" s="6" t="inlineStr">
        <is>
          <t>TOTAL DPS</t>
        </is>
      </c>
      <c r="B1582" s="6">
        <f>SUM(O1545:O1569)</f>
        <v/>
      </c>
    </row>
    <row r="1585">
      <c r="A1585" s="6" t="inlineStr">
        <is>
          <t>Stat: Clear Spring Water (Equip)</t>
        </is>
      </c>
    </row>
    <row r="1586">
      <c r="A1586" s="5" t="inlineStr">
        <is>
          <t>Key</t>
        </is>
      </c>
      <c r="B1586" s="5" t="inlineStr">
        <is>
          <t>Name</t>
        </is>
      </c>
      <c r="C1586" s="5" t="inlineStr">
        <is>
          <t>Unlocked</t>
        </is>
      </c>
      <c r="D1586" s="5" t="inlineStr">
        <is>
          <t>InputLevel</t>
        </is>
      </c>
      <c r="E1586" s="5" t="inlineStr">
        <is>
          <t>Factor</t>
        </is>
      </c>
      <c r="F1586" s="5" t="inlineStr">
        <is>
          <t>CoefficientPercent</t>
        </is>
      </c>
      <c r="G1586" s="5" t="inlineStr">
        <is>
          <t>EffectiveHits</t>
        </is>
      </c>
      <c r="H1586" s="5" t="inlineStr">
        <is>
          <t>ProcProbability</t>
        </is>
      </c>
      <c r="I1586" s="5" t="inlineStr">
        <is>
          <t>MapleHeroMultiplier</t>
        </is>
      </c>
      <c r="J1586" s="5" t="inlineStr">
        <is>
          <t>BaseDamage</t>
        </is>
      </c>
      <c r="K1586" s="5" t="inlineStr">
        <is>
          <t>BaseHitDamage</t>
        </is>
      </c>
      <c r="L1586" s="5" t="inlineStr">
        <is>
          <t>NonCritAvg</t>
        </is>
      </c>
      <c r="M1586" s="5" t="inlineStr">
        <is>
          <t>CritAvg</t>
        </is>
      </c>
      <c r="N1586" s="5" t="inlineStr">
        <is>
          <t>ExpectedDamage(perHit)</t>
        </is>
      </c>
      <c r="O1586" s="5" t="inlineStr">
        <is>
          <t>DPS</t>
        </is>
      </c>
      <c r="P1586" s="5" t="inlineStr">
        <is>
          <t>% of Total</t>
        </is>
      </c>
      <c r="Q1586" s="5" t="inlineStr">
        <is>
          <t>InvCooldown</t>
        </is>
      </c>
      <c r="R1586" s="5" t="inlineStr">
        <is>
          <t>CastsInFight</t>
        </is>
      </c>
      <c r="S1586" s="5" t="inlineStr">
        <is>
          <t>HitRate(perSec)</t>
        </is>
      </c>
      <c r="U1586" t="inlineStr">
        <is>
          <t>helpers</t>
        </is>
      </c>
    </row>
    <row r="1587">
      <c r="A1587">
        <f>Skills!A2</f>
        <v/>
      </c>
      <c r="B1587">
        <f>Skills!B2</f>
        <v/>
      </c>
      <c r="C1587">
        <f>Inputs!$B$3&gt;=100</f>
        <v/>
      </c>
      <c r="D1587" t="inlineStr"/>
      <c r="E1587" t="inlineStr"/>
      <c r="F1587">
        <f>U1589+Skills!O2</f>
        <v/>
      </c>
      <c r="G1587">
        <f>Skills!G2*IF(Skills!H2&gt;0,INT(IF(Inputs!$B$39="pvp",MIN(Skills!I2,15),Skills!I2)/Skills!H2+0.000000001),1)</f>
        <v/>
      </c>
      <c r="H1587">
        <f>1-(1-Skills!J2/100)^Skills!K2</f>
        <v/>
      </c>
      <c r="I1587" t="inlineStr">
        <is>
          <t>1</t>
        </is>
      </c>
      <c r="J1587">
        <f>((Inputs!$B$6*(1+Inputs!$B$7/100))+(((Inputs!$B$13*(1+Inputs!$B$14/100))-(Inputs!$B$13*(1+Inputs!$B$14/100)))+0.25*(Inputs!$B$15-Inputs!$B$15))*(1+Inputs!$B$7/100))*(F1587/100)</f>
        <v/>
      </c>
      <c r="K1587">
        <f>J1587*(1+(((Inputs!$B$13+IF(Inputs!$B$3&gt;=38,(10*INDEX(FactorTable!$B$2:$Y$301, MATCH(ROUND(MIN(300,MAX(1,Inputs!$B$3)),0), FactorTable!$A$2:$A$301,0), 23)/1000)/100*(Inputs!$B$8*(1+Inputs!$B$9/100)),0))*(1+Inputs!$B$14/100))*0.01+Inputs!$B$15*0.0025)/100)*(1+Inputs!$B$16/100)*(1+Inputs!$B$17/100)*(5000/(6000+Inputs!$B$43*(1-(Inputs!$B$20+0)/100)))*(1+(Inputs!$B$25+((C1610=TRUE)*(F1610-Calc!F25))+((C1611=TRUE)*(F1611-Calc!F26))+B1620)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Boss",2,1),0)/100)-1)*100+(IF(ArtifactsInput!$M$14,FALSE,TRUE)-ArtifactsInput!$M$14)*IF(OR(Inputs!$B$4="Weapon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gt;=100),MIN(100,((Inputs!$B$10+0+B1614+(ArtifactsInput!$M$24-ArtifactsInput!$M$24)*CHOOSE(ArtifactsInput!$N$24+1,10,12,14,16,18,20)+IF(ArtifactsInput!$M$10,CHOOSE(ArtifactsInput!$N$10+1,15,18,21,24,27,30)*(IF(Inputs!$B$39="pvp",MIN(15,15)/15,IF(AND(Inputs!$B$39&lt;&gt;"pvp",Inputs!$B$44&gt;0),MIN(15,Inputs!$B$44)/(Inputs!$B$44),0))),0)))-100),0))*CHOOSE(ArtifactsInput!$N$42+1,0.6,0.72,0.84,0.96,1.08,1.2))),Inputs!$B$19+((C1608=TRUE)*(F1608-Calc!F23))+(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gt;=100),CHOOSE(ArtifactsInput!$N$42+1,40,48,56,64,72,80),0))))/100)*((1+(((C1598=TRUE)*F1598*IF(AND(Inputs!$B$39&lt;&gt;"pvp",Inputs!$B$44&gt;0),(((R1598-1)*MIN((Skills!T13*(1+Inputs!$B$35/100)),(1/Q1598))+MIN((Skills!T13*(1+Inputs!$B$35/100)),MAX(0,Inputs!$B$44-((R1598-1)*(1/Q1598)))))/Inputs!$B$44),IF(Inputs!$B$39="pvp",MIN((Skills!T13*(1+Inputs!$B$35/100)),15)/15,MIN(1,(Skills!T13*(1+Inputs!$B$35/100))/(1/Q1598)))))+((C1599=TRUE)*F1599*IF(AND(Inputs!$B$39&lt;&gt;"pvp",Inputs!$B$44&gt;0),(((R1599-1)*MIN((Skills!T14*(1+Inputs!$B$35/100)),(1/Q1599))+MIN((Skills!T14*(1+Inputs!$B$35/100)),MAX(0,Inputs!$B$44-((R1599-1)*(1/Q1599)))))/Inputs!$B$44),IF(Inputs!$B$39="pvp",MIN((Skills!T14*(1+Inputs!$B$35/100)),15)/15,MIN(1,(Skills!T14*(1+Inputs!$B$35/100))/(1/Q1599)))))+((C1600=TRUE)*F1600*IF(AND(Inputs!$B$39&lt;&gt;"pvp",Inputs!$B$44&gt;0),(((R1600-1)*MIN((Skills!T15*(1+Inputs!$B$35/100)),(1/Q1600))+MIN((Skills!T15*(1+Inputs!$B$35/100)),MAX(0,Inputs!$B$44-((R1600-1)*(1/Q1600)))))/Inputs!$B$44),IF(Inputs!$B$39="pvp",MIN((Skills!T15*(1+Inputs!$B$35/100)),15)/15,MIN(1,(Skills!T15*(1+Inputs!$B$35/100))/(1/Q1600)))))+((C1601=TRUE)*F1601*IF(AND(Inputs!$B$39&lt;&gt;"pvp",Inputs!$B$44&gt;0),(((R1601-1)*MIN((Skills!T16*(1+Inputs!$B$35/100)),(1/Q1601))+MIN((Skills!T16*(1+Inputs!$B$35/100)),MAX(0,Inputs!$B$44-((R1601-1)*(1/Q1601)))))/Inputs!$B$44),IF(Inputs!$B$39="pvp",MIN((Skills!T16*(1+Inputs!$B$35/100)),15)/15,MIN(1,(Skills!T16*(1+Inputs!$B$35/100))/(1/Q1601)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1587)</f>
        <v/>
      </c>
      <c r="L1587">
        <f>K1587*(MIN(Inputs!$B$23+((C1607=TRUE)*(F1607-Calc!F22)),(Inputs!$B$24+((C1609=TRUE)*(F1609-Calc!F24))+(IF(ArtifactsInput!$M$15,CHOOSE(ArtifactsInput!$N$15+1,25,30,35,40,45,50)/100*(Inputs!$B$12-Inputs!$B$12),0))))/100+(Inputs!$B$24+((C1609=TRUE)*(F1609-Calc!F24))+(IF(ArtifactsInput!$M$15,CHOOSE(ArtifactsInput!$N$15+1,25,30,35,40,45,50)/100*(Inputs!$B$12-Inputs!$B$12),0)))/100)/2</f>
        <v/>
      </c>
      <c r="M1587">
        <f>L1587*(1+(Inputs!$B$11+0+B1619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587">
        <f>L1587*(1-MIN((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1587*(MIN((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87">
        <f>(1-Summary!$B$11)*T1587+Summary!$B$11*V1587</f>
        <v/>
      </c>
      <c r="P1587">
        <f>IF(B1624=0,0,O1587/B1624)</f>
        <v/>
      </c>
      <c r="Q1587" t="n">
        <v>0</v>
      </c>
      <c r="R1587" t="n">
        <v>0</v>
      </c>
      <c r="S1587">
        <f>IFERROR(O1587/N1587,0)</f>
        <v/>
      </c>
      <c r="T1587">
        <f>IF(C1587,(Skills!G2*N1587*B1618)*IF(Inputs!$B$39="pvp",1,1+(Inputs!$B$21+0+Skills!P2+((C1602=TRUE)*F1602*IF(AND(Inputs!$B$39&lt;&gt;"pvp",Inputs!$B$44&gt;0),(((R1602-1)*MIN((Skills!T17*(1+Inputs!$B$35/100)),(1/Q1602))+MIN((Skills!T17*(1+Inputs!$B$35/100)),MAX(0,Inputs!$B$44-((R1602-1)*(1/Q1602)))))/Inputs!$B$44),IF(Inputs!$B$39="pvp",MIN((Skills!T17*(1+Inputs!$B$35/100)),15)/15,MIN(1,(Skills!T17*(1+Inputs!$B$35/100))/(1/Q1602)))))+((C1590=TRUE)*IF(Inputs!$B$3&gt;=126,10*MIN(1,15*Q1590),0))+((C1599=TRUE)*IF(Inputs!$B$39="pvp",20,(1-Summary!$B$11)*(20)+Summary!$B$11*(0))*IF(AND(Inputs!$B$39&lt;&gt;"pvp",Inputs!$B$44&gt;0),(((R1599-1)*MIN((Skills!T14*(1+Inputs!$B$35/100)),(1/Q1599))+MIN((Skills!T14*(1+Inputs!$B$35/100)),MAX(0,Inputs!$B$44-((R1599-1)*(1/Q1599)))))/Inputs!$B$44),IF(Inputs!$B$39="pvp",MIN((Skills!T14*(1+Inputs!$B$35/100)),15)/15,MIN(1,(Skills!T14*(1+Inputs!$B$35/100))/(1/Q1599)))))+((C1598=TRUE)*IF(Inputs!$B$3&gt;=82,IF(Inputs!$B$39="pvp",20,(1-Summary!$B$11)*(20)+Summary!$B$11*(0)),0)*IF(AND(Inputs!$B$39&lt;&gt;"pvp",Inputs!$B$44&gt;0),(((R1598-1)*MIN((Skills!T13*(1+Inputs!$B$35/100)),(1/Q1598))+MIN((Skills!T13*(1+Inputs!$B$35/100)),MAX(0,Inputs!$B$44-((R1598-1)*(1/Q1598)))))/Inputs!$B$44),IF(Inputs!$B$39="pvp",MIN((Skills!T13*(1+Inputs!$B$35/100)),15)/15,MIN(1,(Skills!T13*(1+Inputs!$B$35/100))/(1/Q1598)))))+(IF(AND(ArtifactsInput!$M$35,Inputs!$B$4&lt;&gt;"Chapter Hunt"),CHOOSE(ArtifactsInput!$N$35+1,15,18,21,24,27,30)*(1-EXP(-(0.2*B1616)*5)),0)+IF(AND(ArtifactsInput!$M$22,Inputs!$B$4&lt;&gt;"Chapter Hunt"),CHOOSE(ArtifactsInput!$N$22+1,10,12,14,16,18,20)*((0*(((0.15*B1616*5))^0/1)+1*(((0.15*B1616*5))^1/1)+2*(((0.15*B1616*5))^2/2)+3*(((0.15*B1616*5))^3/6)+4*(((0.15*B1616*5))^4/24)+5*(((0.15*B1616*5))^5/120))/((((0.15*B1616*5))^0/1)+(((0.15*B1616*5))^1/1)+(((0.15*B1616*5))^2/2)+(((0.15*B1616*5))^3/6)+(((0.15*B1616*5))^4/24)+(((0.15*B1616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1587*(1-MIN(100,(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1587*(MIN(100,(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1587*(1-MIN(100,(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1587*(MIN(100,(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587">
        <f>MAX(0,(Inputs!$B$3-100)*3)+Inputs!$B$29+Inputs!$B$30</f>
        <v/>
      </c>
      <c r="V1587">
        <f>IF(C1587,(Skills!G2*N1587*B1618)*IF(Inputs!$B$39="pvp",1,(1+(Inputs!$B$22+Skills!Q2+((C1602=TRUE)*F1602*IF(AND(Inputs!$B$39&lt;&gt;"pvp",Inputs!$B$44&gt;0),(((R1602-1)*MIN((Skills!T17*(1+Inputs!$B$35/100)),(1/Q1602))+MIN((Skills!T17*(1+Inputs!$B$35/100)),MAX(0,Inputs!$B$44-((R1602-1)*(1/Q1602)))))/Inputs!$B$44),IF(Inputs!$B$39="pvp",MIN((Skills!T17*(1+Inputs!$B$35/100)),15)/15,MIN(1,(Skills!T17*(1+Inputs!$B$35/100))/(1/Q1602)))))+((C1590=TRUE)*IF(Inputs!$B$3&gt;=126,10*MIN(1,15*Q1590),0))+((C1599=TRUE)*IF(Inputs!$B$39="pvp",20,(1-Summary!$B$11)*(20)+Summary!$B$11*(0))*IF(AND(Inputs!$B$39&lt;&gt;"pvp",Inputs!$B$44&gt;0),(((R1599-1)*MIN((Skills!T14*(1+Inputs!$B$35/100)),(1/Q1599))+MIN((Skills!T14*(1+Inputs!$B$35/100)),MAX(0,Inputs!$B$44-((R1599-1)*(1/Q1599)))))/Inputs!$B$44),IF(Inputs!$B$39="pvp",MIN((Skills!T14*(1+Inputs!$B$35/100)),15)/15,MIN(1,(Skills!T14*(1+Inputs!$B$35/100))/(1/Q1599)))))+((C1598=TRUE)*IF(Inputs!$B$3&gt;=82,IF(Inputs!$B$39="pvp",20,(1-Summary!$B$11)*(20)+Summary!$B$11*(0)),0)*IF(AND(Inputs!$B$39&lt;&gt;"pvp",Inputs!$B$44&gt;0),(((R1598-1)*MIN((Skills!T13*(1+Inputs!$B$35/100)),(1/Q1598))+MIN((Skills!T13*(1+Inputs!$B$35/100)),MAX(0,Inputs!$B$44-((R1598-1)*(1/Q1598)))))/Inputs!$B$44),IF(Inputs!$B$39="pvp",MIN((Skills!T13*(1+Inputs!$B$35/100)),15)/15,MIN(1,(Skills!T13*(1+Inputs!$B$35/100))/(1/Q1598)))))+(IF(AND(ArtifactsInput!$M$35,Inputs!$B$4&lt;&gt;"Chapter Hunt"),CHOOSE(ArtifactsInput!$N$35+1,15,18,21,24,27,30)*(1-EXP(-(0.2*B1616)*5)),0)+IF(AND(ArtifactsInput!$M$22,Inputs!$B$4&lt;&gt;"Chapter Hunt"),CHOOSE(ArtifactsInput!$N$22+1,10,12,14,16,18,20)*((0*(((0.15*B1616*5))^0/1)+1*(((0.15*B1616*5))^1/1)+2*(((0.15*B1616*5))^2/2)+3*(((0.15*B1616*5))^3/6)+4*(((0.15*B1616*5))^4/24)+5*(((0.15*B1616*5))^5/120))/((((0.15*B1616*5))^0/1)+(((0.15*B1616*5))^1/1)+(((0.15*B1616*5))^2/2)+(((0.15*B1616*5))^3/6)+(((0.15*B1616*5))^4/24)+(((0.15*B1616*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88">
      <c r="A1588">
        <f>Skills!A3</f>
        <v/>
      </c>
      <c r="B1588">
        <f>Skills!B3</f>
        <v/>
      </c>
      <c r="C1588">
        <f>Inputs!$B$3&gt;=50</f>
        <v/>
      </c>
      <c r="D1588">
        <f>IF(Skills!C3=1,60+Inputs!$B$26+Inputs!$B$30,IF(Skills!C3=2,90+Inputs!$B$27+Inputs!$B$30,IF(Skills!C3=3,120+Inputs!$B$28+Inputs!$B$30,MAX(0,(Inputs!$B$3-100)*3)+Inputs!$B$29+Inputs!$B$30)))</f>
        <v/>
      </c>
      <c r="E1588">
        <f>INDEX(FactorTable!$B$2:$Y$301, MATCH(ROUND(MIN(300,MAX(1,D1588)),0), FactorTable!$A$2:$A$301,0), Skills!M3+1)</f>
        <v/>
      </c>
      <c r="F1588">
        <f>IF(Skills!N3=TRUE,(Skills!L3/10)*(E1588/1000),Skills!L3/10)+Skills!O3</f>
        <v/>
      </c>
      <c r="G1588" t="inlineStr"/>
      <c r="H1588" t="inlineStr"/>
      <c r="I1588" t="inlineStr">
        <is>
          <t>1</t>
        </is>
      </c>
      <c r="J1588" t="inlineStr"/>
      <c r="K1588" t="inlineStr"/>
      <c r="L1588" t="inlineStr"/>
      <c r="M1588" t="inlineStr"/>
      <c r="N1588" t="inlineStr"/>
      <c r="O1588" t="inlineStr"/>
      <c r="P1588" t="inlineStr"/>
      <c r="Q1588" t="inlineStr"/>
      <c r="R1588" t="inlineStr"/>
      <c r="S1588" t="inlineStr"/>
      <c r="U1588">
        <f>INDEX(FactorTable!$B$2:$Y$301, MATCH(ROUND(MIN(300,MAX(1,U1587)),0), FactorTable!$A$2:$A$301,0), 22)</f>
        <v/>
      </c>
    </row>
    <row r="1589">
      <c r="A1589">
        <f>Skills!A4</f>
        <v/>
      </c>
      <c r="B1589">
        <f>Skills!B4</f>
        <v/>
      </c>
      <c r="C1589">
        <f>Inputs!$B$3&gt;=105</f>
        <v/>
      </c>
      <c r="D1589">
        <f>IF(Skills!C4=1,60+Inputs!$B$26+Inputs!$B$30,IF(Skills!C4=2,90+Inputs!$B$27+Inputs!$B$30,IF(Skills!C4=3,120+Inputs!$B$28+Inputs!$B$30,MAX(0,(Inputs!$B$3-100)*3)+Inputs!$B$29+Inputs!$B$30)))</f>
        <v/>
      </c>
      <c r="E1589">
        <f>INDEX(FactorTable!$B$2:$Y$301, MATCH(ROUND(MIN(300,MAX(1,D1589)),0), FactorTable!$A$2:$A$301,0), Skills!M4+1)</f>
        <v/>
      </c>
      <c r="F1589">
        <f>IF(Skills!N4=TRUE,(Skills!L4/10)*(E1589/1000),Skills!L4/10)+Skills!O4</f>
        <v/>
      </c>
      <c r="G1589" t="inlineStr"/>
      <c r="H1589" t="inlineStr"/>
      <c r="I1589" t="inlineStr">
        <is>
          <t>1</t>
        </is>
      </c>
      <c r="J1589" t="inlineStr"/>
      <c r="K1589" t="inlineStr"/>
      <c r="L1589" t="inlineStr"/>
      <c r="M1589" t="inlineStr"/>
      <c r="N1589" t="inlineStr"/>
      <c r="O1589" t="inlineStr"/>
      <c r="P1589" t="inlineStr"/>
      <c r="Q1589" t="inlineStr"/>
      <c r="R1589" t="inlineStr"/>
      <c r="S1589" t="inlineStr"/>
      <c r="U1589">
        <f>290*U1588/1000</f>
        <v/>
      </c>
    </row>
    <row r="1590">
      <c r="A1590">
        <f>Skills!A5</f>
        <v/>
      </c>
      <c r="B1590">
        <f>Skills!B5</f>
        <v/>
      </c>
      <c r="C1590">
        <f>Inputs!$B$3&gt;=117</f>
        <v/>
      </c>
      <c r="D1590">
        <f>IF(Skills!C5=1,60+Inputs!$B$26+Inputs!$B$30,IF(Skills!C5=2,90+Inputs!$B$27+Inputs!$B$30,IF(Skills!C5=3,120+Inputs!$B$28+Inputs!$B$30,MAX(0,(Inputs!$B$3-100)*3)+Inputs!$B$29+Inputs!$B$30)))</f>
        <v/>
      </c>
      <c r="E1590">
        <f>INDEX(FactorTable!$B$2:$Y$301, MATCH(ROUND(MIN(300,MAX(1,D1590)),0), FactorTable!$A$2:$A$301,0), Skills!M5+1)</f>
        <v/>
      </c>
      <c r="F1590">
        <f>IF(Skills!N5=TRUE,(Skills!L5/10)*(E1590/1000),Skills!L5/10)+Skills!O5</f>
        <v/>
      </c>
      <c r="G1590">
        <f>Skills!G5*IF(Skills!H5&gt;0,INT(IF(Inputs!$B$39="pvp",MIN(Skills!I5,15),Skills!I5)/Skills!H5+0.000000001),1)</f>
        <v/>
      </c>
      <c r="H1590">
        <f>1-(1-Skills!J5/100)^Skills!K5</f>
        <v/>
      </c>
      <c r="I1590" t="inlineStr">
        <is>
          <t>1</t>
        </is>
      </c>
      <c r="J1590">
        <f>((Inputs!$B$6*(1+Inputs!$B$7/100))+(((Inputs!$B$13*(1+Inputs!$B$14/100))-(Inputs!$B$13*(1+Inputs!$B$14/100)))+0.25*(Inputs!$B$15-Inputs!$B$15))*(1+Inputs!$B$7/100))*(F1590/100)</f>
        <v/>
      </c>
      <c r="K1590">
        <f>J1590*(1+(((Inputs!$B$13+IF(Inputs!$B$3&gt;=38,(10*INDEX(FactorTable!$B$2:$Y$301, MATCH(ROUND(MIN(300,MAX(1,Inputs!$B$3)),0), FactorTable!$A$2:$A$301,0), 23)/1000)/100*(Inputs!$B$8*(1+Inputs!$B$9/100)),0))*(1+Inputs!$B$14/100))*0.01+Inputs!$B$15*0.0025)/100)*(1+Inputs!$B$16/100)*(1+Inputs!$B$17/100)*(5000/(6000+Inputs!$B$43*(1-(Inputs!$B$20+0)/100)))*(1+(Inputs!$B$25+((C1610=TRUE)*(F1610-Calc!F25))+((C1611=TRUE)*(F1611-Calc!F26))+B1620)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Boss",2,1),0)/100)-1)*100+(IF(ArtifactsInput!$M$14,FALSE,TRUE)-ArtifactsInput!$M$14)*IF(OR(Inputs!$B$4="Weapon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gt;=100),MIN(100,((Inputs!$B$10+0+B1614+(ArtifactsInput!$M$24-ArtifactsInput!$M$24)*CHOOSE(ArtifactsInput!$N$24+1,10,12,14,16,18,20)+IF(ArtifactsInput!$M$10,CHOOSE(ArtifactsInput!$N$10+1,15,18,21,24,27,30)*(IF(Inputs!$B$39="pvp",MIN(15,15)/15,IF(AND(Inputs!$B$39&lt;&gt;"pvp",Inputs!$B$44&gt;0),MIN(15,Inputs!$B$44)/(Inputs!$B$44),0))),0)))-100),0))*CHOOSE(ArtifactsInput!$N$42+1,0.6,0.72,0.84,0.96,1.08,1.2))),Inputs!$B$19+((C1608=TRUE)*(F1608-Calc!F23))+(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gt;=100),CHOOSE(ArtifactsInput!$N$42+1,40,48,56,64,72,80),0))))/100)*((1+(((C1598=TRUE)*F1598*IF(AND(Inputs!$B$39&lt;&gt;"pvp",Inputs!$B$44&gt;0),(((R1598-1)*MIN((Skills!T13*(1+Inputs!$B$35/100)),(1/Q1598))+MIN((Skills!T13*(1+Inputs!$B$35/100)),MAX(0,Inputs!$B$44-((R1598-1)*(1/Q1598)))))/Inputs!$B$44),IF(Inputs!$B$39="pvp",MIN((Skills!T13*(1+Inputs!$B$35/100)),15)/15,MIN(1,(Skills!T13*(1+Inputs!$B$35/100))/(1/Q1598)))))+((C1599=TRUE)*F1599*IF(AND(Inputs!$B$39&lt;&gt;"pvp",Inputs!$B$44&gt;0),(((R1599-1)*MIN((Skills!T14*(1+Inputs!$B$35/100)),(1/Q1599))+MIN((Skills!T14*(1+Inputs!$B$35/100)),MAX(0,Inputs!$B$44-((R1599-1)*(1/Q1599)))))/Inputs!$B$44),IF(Inputs!$B$39="pvp",MIN((Skills!T14*(1+Inputs!$B$35/100)),15)/15,MIN(1,(Skills!T14*(1+Inputs!$B$35/100))/(1/Q1599)))))+((C1600=TRUE)*F1600*IF(AND(Inputs!$B$39&lt;&gt;"pvp",Inputs!$B$44&gt;0),(((R1600-1)*MIN((Skills!T15*(1+Inputs!$B$35/100)),(1/Q1600))+MIN((Skills!T15*(1+Inputs!$B$35/100)),MAX(0,Inputs!$B$44-((R1600-1)*(1/Q1600)))))/Inputs!$B$44),IF(Inputs!$B$39="pvp",MIN((Skills!T15*(1+Inputs!$B$35/100)),15)/15,MIN(1,(Skills!T15*(1+Inputs!$B$35/100))/(1/Q1600)))))+((C1601=TRUE)*F1601*IF(AND(Inputs!$B$39&lt;&gt;"pvp",Inputs!$B$44&gt;0),(((R1601-1)*MIN((Skills!T16*(1+Inputs!$B$35/100)),(1/Q1601))+MIN((Skills!T16*(1+Inputs!$B$35/100)),MAX(0,Inputs!$B$44-((R1601-1)*(1/Q1601)))))/Inputs!$B$44),IF(Inputs!$B$39="pvp",MIN((Skills!T16*(1+Inputs!$B$35/100)),15)/15,MIN(1,(Skills!T16*(1+Inputs!$B$35/100))/(1/Q1601)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1590)</f>
        <v/>
      </c>
      <c r="L1590">
        <f>K1590*(MIN(Inputs!$B$23+((C1607=TRUE)*(F1607-Calc!F22)),(Inputs!$B$24+((C1609=TRUE)*(F1609-Calc!F24))+(IF(ArtifactsInput!$M$15,CHOOSE(ArtifactsInput!$N$15+1,25,30,35,40,45,50)/100*(Inputs!$B$12-Inputs!$B$12),0))))/100+(Inputs!$B$24+((C1609=TRUE)*(F1609-Calc!F24))+(IF(ArtifactsInput!$M$15,CHOOSE(ArtifactsInput!$N$15+1,25,30,35,40,45,50)/100*(Inputs!$B$12-Inputs!$B$12),0)))/100)/2</f>
        <v/>
      </c>
      <c r="M1590">
        <f>L1590*(1+(Inputs!$B$11+0+B1619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590">
        <f>L1590*(1-MIN((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1590*(MIN((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90">
        <f>(1-Summary!$B$11)*T1590+Summary!$B$11*V1590</f>
        <v/>
      </c>
      <c r="P1590">
        <f>IF(B1624=0,0,O1590/B1624)</f>
        <v/>
      </c>
      <c r="Q1590">
        <f>IFERROR(1/IF(Inputs!$B$39="pvp",15,MAX(0.1,Skills!D5-IF(TRUE=TRUE,Inputs!$B$33,0))),0)</f>
        <v/>
      </c>
      <c r="R1590">
        <f>IF(AND(Inputs!$B$39&lt;&gt;"pvp",Inputs!$B$44&gt;0),IF(MAX(0,Inputs!$B$44-B1621)&lt;=0,0,(INT(MAX(0,Inputs!$B$44-B1621)/IF(Inputs!$B$39="pvp",15,MAX(0.1,Skills!D5-IF(TRUE=TRUE,Inputs!$B$33,0))))+1)),0)</f>
        <v/>
      </c>
      <c r="S1590">
        <f>IFERROR(O1590/N1590,0)</f>
        <v/>
      </c>
      <c r="T1590">
        <f>IF(C1590,(H1590*N1590*IF(AND(Inputs!$B$39&lt;&gt;"pvp",Inputs!$B$44&gt;0),((Skills!G5*((R1590-1)*IF(Skills!H5&gt;0,INT(Skills!I5/Skills!H5+0.000000001),1)+IF(Skills!H5&gt;0,INT(MIN(Skills!I5,MAX(0,MAX(0,Inputs!$B$44-B1621)-((R1590-1)*IF(Inputs!$B$39="pvp",15,MAX(0.1,Skills!D5-IF(TRUE=TRUE,Inputs!$B$33,0))))))/Skills!H5+0.000000001),1)))/Inputs!$B$44),G1590*Q1590))*IF(Inputs!$B$39="pvp",1,1+(Inputs!$B$21+0+Skills!P5+((C1602=TRUE)*F1602*IF(AND(Inputs!$B$39&lt;&gt;"pvp",Inputs!$B$44&gt;0),(((R1602-1)*MIN((Skills!T17*(1+Inputs!$B$35/100)),(1/Q1602))+MIN((Skills!T17*(1+Inputs!$B$35/100)),MAX(0,Inputs!$B$44-((R1602-1)*(1/Q1602)))))/Inputs!$B$44),IF(Inputs!$B$39="pvp",MIN((Skills!T17*(1+Inputs!$B$35/100)),15)/15,MIN(1,(Skills!T17*(1+Inputs!$B$35/100))/(1/Q1602)))))+((C1590=TRUE)*IF(Inputs!$B$3&gt;=126,10*MIN(1,15*Q1590),0))+((C1599=TRUE)*IF(Inputs!$B$39="pvp",20,(1-Summary!$B$11)*(20)+Summary!$B$11*(0))*IF(AND(Inputs!$B$39&lt;&gt;"pvp",Inputs!$B$44&gt;0),(((R1599-1)*MIN((Skills!T14*(1+Inputs!$B$35/100)),(1/Q1599))+MIN((Skills!T14*(1+Inputs!$B$35/100)),MAX(0,Inputs!$B$44-((R1599-1)*(1/Q1599)))))/Inputs!$B$44),IF(Inputs!$B$39="pvp",MIN((Skills!T14*(1+Inputs!$B$35/100)),15)/15,MIN(1,(Skills!T14*(1+Inputs!$B$35/100))/(1/Q1599)))))+((C1598=TRUE)*IF(Inputs!$B$3&gt;=82,IF(Inputs!$B$39="pvp",20,(1-Summary!$B$11)*(20)+Summary!$B$11*(0)),0)*IF(AND(Inputs!$B$39&lt;&gt;"pvp",Inputs!$B$44&gt;0),(((R1598-1)*MIN((Skills!T13*(1+Inputs!$B$35/100)),(1/Q1598))+MIN((Skills!T13*(1+Inputs!$B$35/100)),MAX(0,Inputs!$B$44-((R1598-1)*(1/Q1598)))))/Inputs!$B$44),IF(Inputs!$B$39="pvp",MIN((Skills!T13*(1+Inputs!$B$35/100)),15)/15,MIN(1,(Skills!T13*(1+Inputs!$B$35/100))/(1/Q1598)))))+(IF(AND(ArtifactsInput!$M$35,Inputs!$B$4&lt;&gt;"Chapter Hunt"),CHOOSE(ArtifactsInput!$N$35+1,15,18,21,24,27,30)*(1-EXP(-(0.2*B1616)*5)),0)+IF(AND(ArtifactsInput!$M$22,Inputs!$B$4&lt;&gt;"Chapter Hunt"),CHOOSE(ArtifactsInput!$N$22+1,10,12,14,16,18,20)*((0*(((0.15*B1616*5))^0/1)+1*(((0.15*B1616*5))^1/1)+2*(((0.15*B1616*5))^2/2)+3*(((0.15*B1616*5))^3/6)+4*(((0.15*B1616*5))^4/24)+5*(((0.15*B1616*5))^5/120))/((((0.15*B1616*5))^0/1)+(((0.15*B1616*5))^1/1)+(((0.15*B1616*5))^2/2)+(((0.15*B1616*5))^3/6)+(((0.15*B1616*5))^4/24)+(((0.15*B1616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1590*(1-MIN(100,(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1590*(MIN(100,(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1590*(1-MIN(100,(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1590*(MIN(100,(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90">
        <f>IF(C1590,(H1590*N1590*IF(AND(Inputs!$B$39&lt;&gt;"pvp",Inputs!$B$44&gt;0),((Skills!G5*((R1590-1)*IF(Skills!H5&gt;0,INT(Skills!I5/Skills!H5+0.000000001),1)+IF(Skills!H5&gt;0,INT(MIN(Skills!I5,MAX(0,MAX(0,Inputs!$B$44-B1621)-((R1590-1)*IF(Inputs!$B$39="pvp",15,MAX(0.1,Skills!D5-IF(TRUE=TRUE,Inputs!$B$33,0))))))/Skills!H5+0.000000001),1)))/Inputs!$B$44),G1590*Q1590))*IF(Inputs!$B$39="pvp",1,(1+(Inputs!$B$22+Skills!Q5+((C1602=TRUE)*F1602*IF(AND(Inputs!$B$39&lt;&gt;"pvp",Inputs!$B$44&gt;0),(((R1602-1)*MIN((Skills!T17*(1+Inputs!$B$35/100)),(1/Q1602))+MIN((Skills!T17*(1+Inputs!$B$35/100)),MAX(0,Inputs!$B$44-((R1602-1)*(1/Q1602)))))/Inputs!$B$44),IF(Inputs!$B$39="pvp",MIN((Skills!T17*(1+Inputs!$B$35/100)),15)/15,MIN(1,(Skills!T17*(1+Inputs!$B$35/100))/(1/Q1602)))))+((C1590=TRUE)*IF(Inputs!$B$3&gt;=126,10*MIN(1,15*Q1590),0))+((C1599=TRUE)*IF(Inputs!$B$39="pvp",20,(1-Summary!$B$11)*(20)+Summary!$B$11*(0))*IF(AND(Inputs!$B$39&lt;&gt;"pvp",Inputs!$B$44&gt;0),(((R1599-1)*MIN((Skills!T14*(1+Inputs!$B$35/100)),(1/Q1599))+MIN((Skills!T14*(1+Inputs!$B$35/100)),MAX(0,Inputs!$B$44-((R1599-1)*(1/Q1599)))))/Inputs!$B$44),IF(Inputs!$B$39="pvp",MIN((Skills!T14*(1+Inputs!$B$35/100)),15)/15,MIN(1,(Skills!T14*(1+Inputs!$B$35/100))/(1/Q1599)))))+((C1598=TRUE)*IF(Inputs!$B$3&gt;=82,IF(Inputs!$B$39="pvp",20,(1-Summary!$B$11)*(20)+Summary!$B$11*(0)),0)*IF(AND(Inputs!$B$39&lt;&gt;"pvp",Inputs!$B$44&gt;0),(((R1598-1)*MIN((Skills!T13*(1+Inputs!$B$35/100)),(1/Q1598))+MIN((Skills!T13*(1+Inputs!$B$35/100)),MAX(0,Inputs!$B$44-((R1598-1)*(1/Q1598)))))/Inputs!$B$44),IF(Inputs!$B$39="pvp",MIN((Skills!T13*(1+Inputs!$B$35/100)),15)/15,MIN(1,(Skills!T13*(1+Inputs!$B$35/100))/(1/Q1598)))))+(IF(AND(ArtifactsInput!$M$35,Inputs!$B$4&lt;&gt;"Chapter Hunt"),CHOOSE(ArtifactsInput!$N$35+1,15,18,21,24,27,30)*(1-EXP(-(0.2*B1616)*5)),0)+IF(AND(ArtifactsInput!$M$22,Inputs!$B$4&lt;&gt;"Chapter Hunt"),CHOOSE(ArtifactsInput!$N$22+1,10,12,14,16,18,20)*((0*(((0.15*B1616*5))^0/1)+1*(((0.15*B1616*5))^1/1)+2*(((0.15*B1616*5))^2/2)+3*(((0.15*B1616*5))^3/6)+4*(((0.15*B1616*5))^4/24)+5*(((0.15*B1616*5))^5/120))/((((0.15*B1616*5))^0/1)+(((0.15*B1616*5))^1/1)+(((0.15*B1616*5))^2/2)+(((0.15*B1616*5))^3/6)+(((0.15*B1616*5))^4/24)+(((0.15*B1616*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91">
      <c r="A1591">
        <f>Skills!A6</f>
        <v/>
      </c>
      <c r="B1591">
        <f>Skills!B6</f>
        <v/>
      </c>
      <c r="C1591">
        <f>Inputs!$B$3&gt;=103</f>
        <v/>
      </c>
      <c r="D1591">
        <f>IF(Skills!C6=1,60+Inputs!$B$26+Inputs!$B$30,IF(Skills!C6=2,90+Inputs!$B$27+Inputs!$B$30,IF(Skills!C6=3,120+Inputs!$B$28+Inputs!$B$30,MAX(0,(Inputs!$B$3-100)*3)+Inputs!$B$29+Inputs!$B$30)))</f>
        <v/>
      </c>
      <c r="E1591">
        <f>INDEX(FactorTable!$B$2:$Y$301, MATCH(ROUND(MIN(300,MAX(1,D1591)),0), FactorTable!$A$2:$A$301,0), Skills!M6+1)</f>
        <v/>
      </c>
      <c r="F1591">
        <f>IF(Skills!N6=TRUE,(Skills!L6/10)*(E1591/1000),Skills!L6/10)+Skills!O6</f>
        <v/>
      </c>
      <c r="G1591">
        <f>Skills!G6*IF(Skills!H6&gt;0,INT(IF(Inputs!$B$39="pvp",MIN(Skills!I6,15),Skills!I6)/Skills!H6+0.000000001),1)</f>
        <v/>
      </c>
      <c r="H1591">
        <f>1-(1-Skills!J6/100)^Skills!K6</f>
        <v/>
      </c>
      <c r="I1591" t="inlineStr">
        <is>
          <t>1</t>
        </is>
      </c>
      <c r="J1591">
        <f>((Inputs!$B$6*(1+Inputs!$B$7/100))+(((Inputs!$B$13*(1+Inputs!$B$14/100))-(Inputs!$B$13*(1+Inputs!$B$14/100)))+0.25*(Inputs!$B$15-Inputs!$B$15))*(1+Inputs!$B$7/100))*(F1591/100)</f>
        <v/>
      </c>
      <c r="K1591">
        <f>J1591*(1+(((Inputs!$B$13+IF(Inputs!$B$3&gt;=38,(10*INDEX(FactorTable!$B$2:$Y$301, MATCH(ROUND(MIN(300,MAX(1,Inputs!$B$3)),0), FactorTable!$A$2:$A$301,0), 23)/1000)/100*(Inputs!$B$8*(1+Inputs!$B$9/100)),0))*(1+Inputs!$B$14/100))*0.01+Inputs!$B$15*0.0025)/100)*(1+Inputs!$B$16/100)*(1+Inputs!$B$17/100)*(5000/(6000+Inputs!$B$43*(1-(Inputs!$B$20+0)/100)))*(1+(Inputs!$B$25+((C1610=TRUE)*(F1610-Calc!F25))+((C1611=TRUE)*(F1611-Calc!F26))+B1620)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Boss",2,1),0)/100)-1)*100+(IF(ArtifactsInput!$M$14,FALSE,TRUE)-ArtifactsInput!$M$14)*IF(OR(Inputs!$B$4="Weapon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gt;=100),MIN(100,((Inputs!$B$10+0+B1614+(ArtifactsInput!$M$24-ArtifactsInput!$M$24)*CHOOSE(ArtifactsInput!$N$24+1,10,12,14,16,18,20)+IF(ArtifactsInput!$M$10,CHOOSE(ArtifactsInput!$N$10+1,15,18,21,24,27,30)*(IF(Inputs!$B$39="pvp",MIN(15,15)/15,IF(AND(Inputs!$B$39&lt;&gt;"pvp",Inputs!$B$44&gt;0),MIN(15,Inputs!$B$44)/(Inputs!$B$44),0))),0)))-100),0))*CHOOSE(ArtifactsInput!$N$42+1,0.6,0.72,0.84,0.96,1.08,1.2))),Inputs!$B$19+((C1608=TRUE)*(F1608-Calc!F23))+(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gt;=100),CHOOSE(ArtifactsInput!$N$42+1,40,48,56,64,72,80),0))))/100)*((1+(((C1598=TRUE)*F1598*IF(AND(Inputs!$B$39&lt;&gt;"pvp",Inputs!$B$44&gt;0),(((R1598-1)*MIN((Skills!T13*(1+Inputs!$B$35/100)),(1/Q1598))+MIN((Skills!T13*(1+Inputs!$B$35/100)),MAX(0,Inputs!$B$44-((R1598-1)*(1/Q1598)))))/Inputs!$B$44),IF(Inputs!$B$39="pvp",MIN((Skills!T13*(1+Inputs!$B$35/100)),15)/15,MIN(1,(Skills!T13*(1+Inputs!$B$35/100))/(1/Q1598)))))+((C1599=TRUE)*F1599*IF(AND(Inputs!$B$39&lt;&gt;"pvp",Inputs!$B$44&gt;0),(((R1599-1)*MIN((Skills!T14*(1+Inputs!$B$35/100)),(1/Q1599))+MIN((Skills!T14*(1+Inputs!$B$35/100)),MAX(0,Inputs!$B$44-((R1599-1)*(1/Q1599)))))/Inputs!$B$44),IF(Inputs!$B$39="pvp",MIN((Skills!T14*(1+Inputs!$B$35/100)),15)/15,MIN(1,(Skills!T14*(1+Inputs!$B$35/100))/(1/Q1599)))))+((C1600=TRUE)*F1600*IF(AND(Inputs!$B$39&lt;&gt;"pvp",Inputs!$B$44&gt;0),(((R1600-1)*MIN((Skills!T15*(1+Inputs!$B$35/100)),(1/Q1600))+MIN((Skills!T15*(1+Inputs!$B$35/100)),MAX(0,Inputs!$B$44-((R1600-1)*(1/Q1600)))))/Inputs!$B$44),IF(Inputs!$B$39="pvp",MIN((Skills!T15*(1+Inputs!$B$35/100)),15)/15,MIN(1,(Skills!T15*(1+Inputs!$B$35/100))/(1/Q1600)))))+((C1601=TRUE)*F1601*IF(AND(Inputs!$B$39&lt;&gt;"pvp",Inputs!$B$44&gt;0),(((R1601-1)*MIN((Skills!T16*(1+Inputs!$B$35/100)),(1/Q1601))+MIN((Skills!T16*(1+Inputs!$B$35/100)),MAX(0,Inputs!$B$44-((R1601-1)*(1/Q1601)))))/Inputs!$B$44),IF(Inputs!$B$39="pvp",MIN((Skills!T16*(1+Inputs!$B$35/100)),15)/15,MIN(1,(Skills!T16*(1+Inputs!$B$35/100))/(1/Q1601)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1591)</f>
        <v/>
      </c>
      <c r="L1591">
        <f>K1591*(MIN(Inputs!$B$23+((C1607=TRUE)*(F1607-Calc!F22)),(Inputs!$B$24+((C1609=TRUE)*(F1609-Calc!F24))+(IF(ArtifactsInput!$M$15,CHOOSE(ArtifactsInput!$N$15+1,25,30,35,40,45,50)/100*(Inputs!$B$12-Inputs!$B$12),0))))/100+(Inputs!$B$24+((C1609=TRUE)*(F1609-Calc!F24))+(IF(ArtifactsInput!$M$15,CHOOSE(ArtifactsInput!$N$15+1,25,30,35,40,45,50)/100*(Inputs!$B$12-Inputs!$B$12),0)))/100)/2</f>
        <v/>
      </c>
      <c r="M1591">
        <f>L1591*(1+(Inputs!$B$11+0+B1619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591">
        <f>L1591*(1-MIN((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1591*(MIN((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91">
        <f>(1-Summary!$B$11)*T1591+Summary!$B$11*V1591</f>
        <v/>
      </c>
      <c r="P1591">
        <f>IF(B1624=0,0,O1591/B1624)</f>
        <v/>
      </c>
      <c r="Q1591">
        <f>IFERROR(1/IF(Inputs!$B$39="pvp",15,MAX(0.1,Skills!D6-IF(TRUE=TRUE,Inputs!$B$33,0))),0)</f>
        <v/>
      </c>
      <c r="R1591">
        <f>IF(AND(Inputs!$B$39&lt;&gt;"pvp",Inputs!$B$44&gt;0),IF(MAX(0,Inputs!$B$44-B1621)&lt;=0,0,(INT(MAX(0,Inputs!$B$44-B1621)/IF(Inputs!$B$39="pvp",15,MAX(0.1,Skills!D6-IF(TRUE=TRUE,Inputs!$B$33,0))))+1)),0)</f>
        <v/>
      </c>
      <c r="S1591">
        <f>IFERROR(O1591/N1591,0)</f>
        <v/>
      </c>
      <c r="T1591">
        <f>IF(C1591,(H1591*N1591*IF(AND(Inputs!$B$39&lt;&gt;"pvp",Inputs!$B$44&gt;0),((Skills!G6*((R1591-1)*IF(Skills!H6&gt;0,INT(Skills!I6/Skills!H6+0.000000001),1)+IF(Skills!H6&gt;0,INT(MIN(Skills!I6,MAX(0,MAX(0,Inputs!$B$44-B1621)-((R1591-1)*IF(Inputs!$B$39="pvp",15,MAX(0.1,Skills!D6-IF(TRUE=TRUE,Inputs!$B$33,0))))))/Skills!H6+0.000000001),1)))/Inputs!$B$44),G1591*Q1591))*IF(Inputs!$B$39="pvp",1,1+(Inputs!$B$21+0+Skills!P6+((C1602=TRUE)*F1602*IF(AND(Inputs!$B$39&lt;&gt;"pvp",Inputs!$B$44&gt;0),(((R1602-1)*MIN((Skills!T17*(1+Inputs!$B$35/100)),(1/Q1602))+MIN((Skills!T17*(1+Inputs!$B$35/100)),MAX(0,Inputs!$B$44-((R1602-1)*(1/Q1602)))))/Inputs!$B$44),IF(Inputs!$B$39="pvp",MIN((Skills!T17*(1+Inputs!$B$35/100)),15)/15,MIN(1,(Skills!T17*(1+Inputs!$B$35/100))/(1/Q1602)))))+((C1590=TRUE)*IF(Inputs!$B$3&gt;=126,10*MIN(1,15*Q1590),0))+((C1599=TRUE)*IF(Inputs!$B$39="pvp",20,(1-Summary!$B$11)*(20)+Summary!$B$11*(0))*IF(AND(Inputs!$B$39&lt;&gt;"pvp",Inputs!$B$44&gt;0),(((R1599-1)*MIN((Skills!T14*(1+Inputs!$B$35/100)),(1/Q1599))+MIN((Skills!T14*(1+Inputs!$B$35/100)),MAX(0,Inputs!$B$44-((R1599-1)*(1/Q1599)))))/Inputs!$B$44),IF(Inputs!$B$39="pvp",MIN((Skills!T14*(1+Inputs!$B$35/100)),15)/15,MIN(1,(Skills!T14*(1+Inputs!$B$35/100))/(1/Q1599)))))+((C1598=TRUE)*IF(Inputs!$B$3&gt;=82,IF(Inputs!$B$39="pvp",20,(1-Summary!$B$11)*(20)+Summary!$B$11*(0)),0)*IF(AND(Inputs!$B$39&lt;&gt;"pvp",Inputs!$B$44&gt;0),(((R1598-1)*MIN((Skills!T13*(1+Inputs!$B$35/100)),(1/Q1598))+MIN((Skills!T13*(1+Inputs!$B$35/100)),MAX(0,Inputs!$B$44-((R1598-1)*(1/Q1598)))))/Inputs!$B$44),IF(Inputs!$B$39="pvp",MIN((Skills!T13*(1+Inputs!$B$35/100)),15)/15,MIN(1,(Skills!T13*(1+Inputs!$B$35/100))/(1/Q1598)))))+(IF(AND(ArtifactsInput!$M$35,Inputs!$B$4&lt;&gt;"Chapter Hunt"),CHOOSE(ArtifactsInput!$N$35+1,15,18,21,24,27,30)*(1-EXP(-(0.2*B1616)*5)),0)+IF(AND(ArtifactsInput!$M$22,Inputs!$B$4&lt;&gt;"Chapter Hunt"),CHOOSE(ArtifactsInput!$N$22+1,10,12,14,16,18,20)*((0*(((0.15*B1616*5))^0/1)+1*(((0.15*B1616*5))^1/1)+2*(((0.15*B1616*5))^2/2)+3*(((0.15*B1616*5))^3/6)+4*(((0.15*B1616*5))^4/24)+5*(((0.15*B1616*5))^5/120))/((((0.15*B1616*5))^0/1)+(((0.15*B1616*5))^1/1)+(((0.15*B1616*5))^2/2)+(((0.15*B1616*5))^3/6)+(((0.15*B1616*5))^4/24)+(((0.15*B1616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1591*(1-MIN(100,(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1591*(MIN(100,(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1591*(1-MIN(100,(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1591*(MIN(100,(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91">
        <f>IF(C1591,(H1591*N1591*IF(AND(Inputs!$B$39&lt;&gt;"pvp",Inputs!$B$44&gt;0),((Skills!G6*((R1591-1)*IF(Skills!H6&gt;0,INT(Skills!I6/Skills!H6+0.000000001),1)+IF(Skills!H6&gt;0,INT(MIN(Skills!I6,MAX(0,MAX(0,Inputs!$B$44-B1621)-((R1591-1)*IF(Inputs!$B$39="pvp",15,MAX(0.1,Skills!D6-IF(TRUE=TRUE,Inputs!$B$33,0))))))/Skills!H6+0.000000001),1)))/Inputs!$B$44),G1591*Q1591))*IF(Inputs!$B$39="pvp",1,(1+(Inputs!$B$22+Skills!Q6+((C1602=TRUE)*F1602*IF(AND(Inputs!$B$39&lt;&gt;"pvp",Inputs!$B$44&gt;0),(((R1602-1)*MIN((Skills!T17*(1+Inputs!$B$35/100)),(1/Q1602))+MIN((Skills!T17*(1+Inputs!$B$35/100)),MAX(0,Inputs!$B$44-((R1602-1)*(1/Q1602)))))/Inputs!$B$44),IF(Inputs!$B$39="pvp",MIN((Skills!T17*(1+Inputs!$B$35/100)),15)/15,MIN(1,(Skills!T17*(1+Inputs!$B$35/100))/(1/Q1602)))))+((C1590=TRUE)*IF(Inputs!$B$3&gt;=126,10*MIN(1,15*Q1590),0))+((C1599=TRUE)*IF(Inputs!$B$39="pvp",20,(1-Summary!$B$11)*(20)+Summary!$B$11*(0))*IF(AND(Inputs!$B$39&lt;&gt;"pvp",Inputs!$B$44&gt;0),(((R1599-1)*MIN((Skills!T14*(1+Inputs!$B$35/100)),(1/Q1599))+MIN((Skills!T14*(1+Inputs!$B$35/100)),MAX(0,Inputs!$B$44-((R1599-1)*(1/Q1599)))))/Inputs!$B$44),IF(Inputs!$B$39="pvp",MIN((Skills!T14*(1+Inputs!$B$35/100)),15)/15,MIN(1,(Skills!T14*(1+Inputs!$B$35/100))/(1/Q1599)))))+((C1598=TRUE)*IF(Inputs!$B$3&gt;=82,IF(Inputs!$B$39="pvp",20,(1-Summary!$B$11)*(20)+Summary!$B$11*(0)),0)*IF(AND(Inputs!$B$39&lt;&gt;"pvp",Inputs!$B$44&gt;0),(((R1598-1)*MIN((Skills!T13*(1+Inputs!$B$35/100)),(1/Q1598))+MIN((Skills!T13*(1+Inputs!$B$35/100)),MAX(0,Inputs!$B$44-((R1598-1)*(1/Q1598)))))/Inputs!$B$44),IF(Inputs!$B$39="pvp",MIN((Skills!T13*(1+Inputs!$B$35/100)),15)/15,MIN(1,(Skills!T13*(1+Inputs!$B$35/100))/(1/Q1598)))))+(IF(AND(ArtifactsInput!$M$35,Inputs!$B$4&lt;&gt;"Chapter Hunt"),CHOOSE(ArtifactsInput!$N$35+1,15,18,21,24,27,30)*(1-EXP(-(0.2*B1616)*5)),0)+IF(AND(ArtifactsInput!$M$22,Inputs!$B$4&lt;&gt;"Chapter Hunt"),CHOOSE(ArtifactsInput!$N$22+1,10,12,14,16,18,20)*((0*(((0.15*B1616*5))^0/1)+1*(((0.15*B1616*5))^1/1)+2*(((0.15*B1616*5))^2/2)+3*(((0.15*B1616*5))^3/6)+4*(((0.15*B1616*5))^4/24)+5*(((0.15*B1616*5))^5/120))/((((0.15*B1616*5))^0/1)+(((0.15*B1616*5))^1/1)+(((0.15*B1616*5))^2/2)+(((0.15*B1616*5))^3/6)+(((0.15*B1616*5))^4/24)+(((0.15*B1616*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92">
      <c r="A1592">
        <f>Skills!A7</f>
        <v/>
      </c>
      <c r="B1592">
        <f>Skills!B7</f>
        <v/>
      </c>
      <c r="C1592">
        <f>Inputs!$B$3&gt;=40</f>
        <v/>
      </c>
      <c r="D1592">
        <f>IF(Skills!C7=1,60+Inputs!$B$26+Inputs!$B$30,IF(Skills!C7=2,90+Inputs!$B$27+Inputs!$B$30,IF(Skills!C7=3,120+Inputs!$B$28+Inputs!$B$30,MAX(0,(Inputs!$B$3-100)*3)+Inputs!$B$29+Inputs!$B$30)))</f>
        <v/>
      </c>
      <c r="E1592">
        <f>INDEX(FactorTable!$B$2:$Y$301, MATCH(ROUND(MIN(300,MAX(1,D1592)),0), FactorTable!$A$2:$A$301,0), Skills!M7+1)</f>
        <v/>
      </c>
      <c r="F1592">
        <f>IF(Skills!N7=TRUE,(Skills!L7/10)*(E1592/1000),Skills!L7/10)+Skills!O7</f>
        <v/>
      </c>
      <c r="G1592">
        <f>Skills!G7*IF(Skills!H7&gt;0,INT(IF(Inputs!$B$39="pvp",MIN(Skills!I7,15),Skills!I7)/Skills!H7+0.000000001),1)</f>
        <v/>
      </c>
      <c r="H1592">
        <f>1-(1-Skills!J7/100)^Skills!K7</f>
        <v/>
      </c>
      <c r="I1592" t="inlineStr">
        <is>
          <t>1</t>
        </is>
      </c>
      <c r="J1592">
        <f>((Inputs!$B$6*(1+Inputs!$B$7/100))+(((Inputs!$B$13*(1+Inputs!$B$14/100))-(Inputs!$B$13*(1+Inputs!$B$14/100)))+0.25*(Inputs!$B$15-Inputs!$B$15))*(1+Inputs!$B$7/100))*(F1592/100)</f>
        <v/>
      </c>
      <c r="K1592">
        <f>J1592*(1+(((Inputs!$B$13+IF(Inputs!$B$3&gt;=38,(10*INDEX(FactorTable!$B$2:$Y$301, MATCH(ROUND(MIN(300,MAX(1,Inputs!$B$3)),0), FactorTable!$A$2:$A$301,0), 23)/1000)/100*(Inputs!$B$8*(1+Inputs!$B$9/100)),0))*(1+Inputs!$B$14/100))*0.01+Inputs!$B$15*0.0025)/100)*(1+Inputs!$B$16/100)*(1+Inputs!$B$17/100)*(5000/(6000+Inputs!$B$43*(1-(Inputs!$B$20+0)/100)))*(1+(Inputs!$B$25+((C1610=TRUE)*(F1610-Calc!F25))+((C1611=TRUE)*(F1611-Calc!F26))+B1620)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Boss",2,1),0)/100)-1)*100+(IF(ArtifactsInput!$M$14,FALSE,TRUE)-ArtifactsInput!$M$14)*IF(OR(Inputs!$B$4="Weapon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1596=TRUE,F1596,0)/100)*(1+(IF(Skills!A7="DARK_IMPALE",Inputs!$B$18+0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gt;=100),MIN(100,((Inputs!$B$10+0+B1614+(ArtifactsInput!$M$24-ArtifactsInput!$M$24)*CHOOSE(ArtifactsInput!$N$24+1,10,12,14,16,18,20)+IF(ArtifactsInput!$M$10,CHOOSE(ArtifactsInput!$N$10+1,15,18,21,24,27,30)*(IF(Inputs!$B$39="pvp",MIN(15,15)/15,IF(AND(Inputs!$B$39&lt;&gt;"pvp",Inputs!$B$44&gt;0),MIN(15,Inputs!$B$44)/(Inputs!$B$44),0))),0)))-100),0))*CHOOSE(ArtifactsInput!$N$42+1,0.6,0.72,0.84,0.96,1.08,1.2))),Inputs!$B$19+((C1608=TRUE)*(F1608-Calc!F23))+(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gt;=100),CHOOSE(ArtifactsInput!$N$42+1,40,48,56,64,72,80),0))))/100)*((1+(((C1598=TRUE)*F1598*IF(AND(Inputs!$B$39&lt;&gt;"pvp",Inputs!$B$44&gt;0),(((R1598-1)*MIN((Skills!T13*(1+Inputs!$B$35/100)),(1/Q1598))+MIN((Skills!T13*(1+Inputs!$B$35/100)),MAX(0,Inputs!$B$44-((R1598-1)*(1/Q1598)))))/Inputs!$B$44),IF(Inputs!$B$39="pvp",MIN((Skills!T13*(1+Inputs!$B$35/100)),15)/15,MIN(1,(Skills!T13*(1+Inputs!$B$35/100))/(1/Q1598)))))+((C1599=TRUE)*F1599*IF(AND(Inputs!$B$39&lt;&gt;"pvp",Inputs!$B$44&gt;0),(((R1599-1)*MIN((Skills!T14*(1+Inputs!$B$35/100)),(1/Q1599))+MIN((Skills!T14*(1+Inputs!$B$35/100)),MAX(0,Inputs!$B$44-((R1599-1)*(1/Q1599)))))/Inputs!$B$44),IF(Inputs!$B$39="pvp",MIN((Skills!T14*(1+Inputs!$B$35/100)),15)/15,MIN(1,(Skills!T14*(1+Inputs!$B$35/100))/(1/Q1599)))))+((C1600=TRUE)*F1600*IF(AND(Inputs!$B$39&lt;&gt;"pvp",Inputs!$B$44&gt;0),(((R1600-1)*MIN((Skills!T15*(1+Inputs!$B$35/100)),(1/Q1600))+MIN((Skills!T15*(1+Inputs!$B$35/100)),MAX(0,Inputs!$B$44-((R1600-1)*(1/Q1600)))))/Inputs!$B$44),IF(Inputs!$B$39="pvp",MIN((Skills!T15*(1+Inputs!$B$35/100)),15)/15,MIN(1,(Skills!T15*(1+Inputs!$B$35/100))/(1/Q1600)))))+((C1601=TRUE)*F1601*IF(AND(Inputs!$B$39&lt;&gt;"pvp",Inputs!$B$44&gt;0),(((R1601-1)*MIN((Skills!T16*(1+Inputs!$B$35/100)),(1/Q1601))+MIN((Skills!T16*(1+Inputs!$B$35/100)),MAX(0,Inputs!$B$44-((R1601-1)*(1/Q1601)))))/Inputs!$B$44),IF(Inputs!$B$39="pvp",MIN((Skills!T16*(1+Inputs!$B$35/100)),15)/15,MIN(1,(Skills!T16*(1+Inputs!$B$35/100))/(1/Q1601)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1592)</f>
        <v/>
      </c>
      <c r="L1592">
        <f>K1592*(MIN(Inputs!$B$23+((C1607=TRUE)*(F1607-Calc!F22)),(Inputs!$B$24+((C1609=TRUE)*(F1609-Calc!F24))+(IF(ArtifactsInput!$M$15,CHOOSE(ArtifactsInput!$N$15+1,25,30,35,40,45,50)/100*(Inputs!$B$12-Inputs!$B$12),0))))/100+(Inputs!$B$24+((C1609=TRUE)*(F1609-Calc!F24))+(IF(ArtifactsInput!$M$15,CHOOSE(ArtifactsInput!$N$15+1,25,30,35,40,45,50)/100*(Inputs!$B$12-Inputs!$B$12),0)))/100)/2</f>
        <v/>
      </c>
      <c r="M1592">
        <f>L1592*(1+(Inputs!$B$11+0+B1619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592">
        <f>L1592*(1-MIN((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1592*(MIN((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92">
        <f>(1-Summary!$B$11)*T1592+Summary!$B$11*V1592</f>
        <v/>
      </c>
      <c r="P1592">
        <f>IF(B1624=0,0,O1592/B1624)</f>
        <v/>
      </c>
      <c r="Q1592">
        <f>IFERROR(1/IF(Inputs!$B$39="pvp",15,MAX(0.1,Skills!D7-IF(TRUE=TRUE,Inputs!$B$33,0))),0)</f>
        <v/>
      </c>
      <c r="R1592">
        <f>IF(AND(Inputs!$B$39&lt;&gt;"pvp",Inputs!$B$44&gt;0),IF(MAX(0,Inputs!$B$44-B1621)&lt;=0,0,(INT(MAX(0,Inputs!$B$44-B1621)/IF(Inputs!$B$39="pvp",15,MAX(0.1,Skills!D7-IF(TRUE=TRUE,Inputs!$B$33,0))))+1)),0)</f>
        <v/>
      </c>
      <c r="S1592">
        <f>IFERROR(O1592/N1592,0)</f>
        <v/>
      </c>
      <c r="T1592">
        <f>IF(C1592,(H1592*N1592*IF(AND(Inputs!$B$39&lt;&gt;"pvp",Inputs!$B$44&gt;0),((Skills!G7*((R1592-1)*IF(Skills!H7&gt;0,INT(Skills!I7/Skills!H7+0.000000001),1)+IF(Skills!H7&gt;0,INT(MIN(Skills!I7,MAX(0,MAX(0,Inputs!$B$44-B1621)-((R1592-1)*IF(Inputs!$B$39="pvp",15,MAX(0.1,Skills!D7-IF(TRUE=TRUE,Inputs!$B$33,0))))))/Skills!H7+0.000000001),1)))/Inputs!$B$44),G1592*Q1592))*IF(Inputs!$B$39="pvp",1,1+(Inputs!$B$21+0+Skills!P7+((C1602=TRUE)*F1602*IF(AND(Inputs!$B$39&lt;&gt;"pvp",Inputs!$B$44&gt;0),(((R1602-1)*MIN((Skills!T17*(1+Inputs!$B$35/100)),(1/Q1602))+MIN((Skills!T17*(1+Inputs!$B$35/100)),MAX(0,Inputs!$B$44-((R1602-1)*(1/Q1602)))))/Inputs!$B$44),IF(Inputs!$B$39="pvp",MIN((Skills!T17*(1+Inputs!$B$35/100)),15)/15,MIN(1,(Skills!T17*(1+Inputs!$B$35/100))/(1/Q1602)))))+((C1590=TRUE)*IF(Inputs!$B$3&gt;=126,10*MIN(1,15*Q1590),0))+((C1599=TRUE)*IF(Inputs!$B$39="pvp",20,(1-Summary!$B$11)*(20)+Summary!$B$11*(0))*IF(AND(Inputs!$B$39&lt;&gt;"pvp",Inputs!$B$44&gt;0),(((R1599-1)*MIN((Skills!T14*(1+Inputs!$B$35/100)),(1/Q1599))+MIN((Skills!T14*(1+Inputs!$B$35/100)),MAX(0,Inputs!$B$44-((R1599-1)*(1/Q1599)))))/Inputs!$B$44),IF(Inputs!$B$39="pvp",MIN((Skills!T14*(1+Inputs!$B$35/100)),15)/15,MIN(1,(Skills!T14*(1+Inputs!$B$35/100))/(1/Q1599)))))+((C1598=TRUE)*IF(Inputs!$B$3&gt;=82,IF(Inputs!$B$39="pvp",20,(1-Summary!$B$11)*(20)+Summary!$B$11*(0)),0)*IF(AND(Inputs!$B$39&lt;&gt;"pvp",Inputs!$B$44&gt;0),(((R1598-1)*MIN((Skills!T13*(1+Inputs!$B$35/100)),(1/Q1598))+MIN((Skills!T13*(1+Inputs!$B$35/100)),MAX(0,Inputs!$B$44-((R1598-1)*(1/Q1598)))))/Inputs!$B$44),IF(Inputs!$B$39="pvp",MIN((Skills!T13*(1+Inputs!$B$35/100)),15)/15,MIN(1,(Skills!T13*(1+Inputs!$B$35/100))/(1/Q1598)))))+(IF(AND(ArtifactsInput!$M$35,Inputs!$B$4&lt;&gt;"Chapter Hunt"),CHOOSE(ArtifactsInput!$N$35+1,15,18,21,24,27,30)*(1-EXP(-(0.2*B1616)*5)),0)+IF(AND(ArtifactsInput!$M$22,Inputs!$B$4&lt;&gt;"Chapter Hunt"),CHOOSE(ArtifactsInput!$N$22+1,10,12,14,16,18,20)*((0*(((0.15*B1616*5))^0/1)+1*(((0.15*B1616*5))^1/1)+2*(((0.15*B1616*5))^2/2)+3*(((0.15*B1616*5))^3/6)+4*(((0.15*B1616*5))^4/24)+5*(((0.15*B1616*5))^5/120))/((((0.15*B1616*5))^0/1)+(((0.15*B1616*5))^1/1)+(((0.15*B1616*5))^2/2)+(((0.15*B1616*5))^3/6)+(((0.15*B1616*5))^4/24)+(((0.15*B1616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1592*(1-MIN(100,(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1592*(MIN(100,(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1592*(1-MIN(100,(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1592*(MIN(100,(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92">
        <f>IF(C1592,(H1592*N1592*IF(AND(Inputs!$B$39&lt;&gt;"pvp",Inputs!$B$44&gt;0),((Skills!G7*((R1592-1)*IF(Skills!H7&gt;0,INT(Skills!I7/Skills!H7+0.000000001),1)+IF(Skills!H7&gt;0,INT(MIN(Skills!I7,MAX(0,MAX(0,Inputs!$B$44-B1621)-((R1592-1)*IF(Inputs!$B$39="pvp",15,MAX(0.1,Skills!D7-IF(TRUE=TRUE,Inputs!$B$33,0))))))/Skills!H7+0.000000001),1)))/Inputs!$B$44),G1592*Q1592))*IF(Inputs!$B$39="pvp",1,(1+(Inputs!$B$22+Skills!Q7+((C1602=TRUE)*F1602*IF(AND(Inputs!$B$39&lt;&gt;"pvp",Inputs!$B$44&gt;0),(((R1602-1)*MIN((Skills!T17*(1+Inputs!$B$35/100)),(1/Q1602))+MIN((Skills!T17*(1+Inputs!$B$35/100)),MAX(0,Inputs!$B$44-((R1602-1)*(1/Q1602)))))/Inputs!$B$44),IF(Inputs!$B$39="pvp",MIN((Skills!T17*(1+Inputs!$B$35/100)),15)/15,MIN(1,(Skills!T17*(1+Inputs!$B$35/100))/(1/Q1602)))))+((C1590=TRUE)*IF(Inputs!$B$3&gt;=126,10*MIN(1,15*Q1590),0))+((C1599=TRUE)*IF(Inputs!$B$39="pvp",20,(1-Summary!$B$11)*(20)+Summary!$B$11*(0))*IF(AND(Inputs!$B$39&lt;&gt;"pvp",Inputs!$B$44&gt;0),(((R1599-1)*MIN((Skills!T14*(1+Inputs!$B$35/100)),(1/Q1599))+MIN((Skills!T14*(1+Inputs!$B$35/100)),MAX(0,Inputs!$B$44-((R1599-1)*(1/Q1599)))))/Inputs!$B$44),IF(Inputs!$B$39="pvp",MIN((Skills!T14*(1+Inputs!$B$35/100)),15)/15,MIN(1,(Skills!T14*(1+Inputs!$B$35/100))/(1/Q1599)))))+((C1598=TRUE)*IF(Inputs!$B$3&gt;=82,IF(Inputs!$B$39="pvp",20,(1-Summary!$B$11)*(20)+Summary!$B$11*(0)),0)*IF(AND(Inputs!$B$39&lt;&gt;"pvp",Inputs!$B$44&gt;0),(((R1598-1)*MIN((Skills!T13*(1+Inputs!$B$35/100)),(1/Q1598))+MIN((Skills!T13*(1+Inputs!$B$35/100)),MAX(0,Inputs!$B$44-((R1598-1)*(1/Q1598)))))/Inputs!$B$44),IF(Inputs!$B$39="pvp",MIN((Skills!T13*(1+Inputs!$B$35/100)),15)/15,MIN(1,(Skills!T13*(1+Inputs!$B$35/100))/(1/Q1598)))))+(IF(AND(ArtifactsInput!$M$35,Inputs!$B$4&lt;&gt;"Chapter Hunt"),CHOOSE(ArtifactsInput!$N$35+1,15,18,21,24,27,30)*(1-EXP(-(0.2*B1616)*5)),0)+IF(AND(ArtifactsInput!$M$22,Inputs!$B$4&lt;&gt;"Chapter Hunt"),CHOOSE(ArtifactsInput!$N$22+1,10,12,14,16,18,20)*((0*(((0.15*B1616*5))^0/1)+1*(((0.15*B1616*5))^1/1)+2*(((0.15*B1616*5))^2/2)+3*(((0.15*B1616*5))^3/6)+4*(((0.15*B1616*5))^4/24)+5*(((0.15*B1616*5))^5/120))/((((0.15*B1616*5))^0/1)+(((0.15*B1616*5))^1/1)+(((0.15*B1616*5))^2/2)+(((0.15*B1616*5))^3/6)+(((0.15*B1616*5))^4/24)+(((0.15*B1616*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93">
      <c r="A1593">
        <f>Skills!A8</f>
        <v/>
      </c>
      <c r="B1593">
        <f>Skills!B8</f>
        <v/>
      </c>
      <c r="C1593">
        <f>Inputs!$B$3&gt;=75</f>
        <v/>
      </c>
      <c r="D1593">
        <f>IF(Skills!C8=1,60+Inputs!$B$26+Inputs!$B$30,IF(Skills!C8=2,90+Inputs!$B$27+Inputs!$B$30,IF(Skills!C8=3,120+Inputs!$B$28+Inputs!$B$30,MAX(0,(Inputs!$B$3-100)*3)+Inputs!$B$29+Inputs!$B$30)))</f>
        <v/>
      </c>
      <c r="E1593">
        <f>INDEX(FactorTable!$B$2:$Y$301, MATCH(ROUND(MIN(300,MAX(1,D1593)),0), FactorTable!$A$2:$A$301,0), Skills!M8+1)</f>
        <v/>
      </c>
      <c r="F1593">
        <f>IF(Skills!N8=TRUE,(Skills!L8/10)*(E1593/1000),Skills!L8/10)+Skills!O8</f>
        <v/>
      </c>
      <c r="G1593" t="inlineStr"/>
      <c r="H1593" t="inlineStr"/>
      <c r="I1593" t="inlineStr">
        <is>
          <t>1</t>
        </is>
      </c>
      <c r="J1593" t="inlineStr"/>
      <c r="K1593" t="inlineStr"/>
      <c r="L1593" t="inlineStr"/>
      <c r="M1593" t="inlineStr"/>
      <c r="N1593" t="inlineStr"/>
      <c r="O1593" t="inlineStr"/>
      <c r="P1593" t="inlineStr"/>
      <c r="Q1593" t="inlineStr"/>
      <c r="R1593" t="inlineStr"/>
      <c r="S1593" t="inlineStr"/>
    </row>
    <row r="1594">
      <c r="A1594">
        <f>Skills!A9</f>
        <v/>
      </c>
      <c r="B1594">
        <f>Skills!B9</f>
        <v/>
      </c>
      <c r="C1594">
        <f>Inputs!$B$3&gt;=60</f>
        <v/>
      </c>
      <c r="D1594">
        <f>IF(Skills!C9=1,60+Inputs!$B$26+Inputs!$B$30,IF(Skills!C9=2,90+Inputs!$B$27+Inputs!$B$30,IF(Skills!C9=3,120+Inputs!$B$28+Inputs!$B$30,MAX(0,(Inputs!$B$3-100)*3)+Inputs!$B$29+Inputs!$B$30)))</f>
        <v/>
      </c>
      <c r="E1594">
        <f>INDEX(FactorTable!$B$2:$Y$301, MATCH(ROUND(MIN(300,MAX(1,D1594)),0), FactorTable!$A$2:$A$301,0), Skills!M9+1)</f>
        <v/>
      </c>
      <c r="F1594">
        <f>IF(Skills!N9=TRUE,(Skills!L9/10)*(E1594/1000),Skills!L9/10)+Skills!O9</f>
        <v/>
      </c>
      <c r="G1594">
        <f>Skills!G9*IF(Skills!H9&gt;0,INT(IF(Inputs!$B$39="pvp",MIN(Skills!I9,15),Skills!I9)/Skills!H9+0.000000001),1)</f>
        <v/>
      </c>
      <c r="H1594">
        <f>1-(1-Skills!J9/100)^Skills!K9</f>
        <v/>
      </c>
      <c r="I1594" t="inlineStr">
        <is>
          <t>1</t>
        </is>
      </c>
      <c r="J1594">
        <f>((Inputs!$B$6*(1+Inputs!$B$7/100))+(((Inputs!$B$13*(1+Inputs!$B$14/100))-(Inputs!$B$13*(1+Inputs!$B$14/100)))+0.25*(Inputs!$B$15-Inputs!$B$15))*(1+Inputs!$B$7/100))*(F1594/100)</f>
        <v/>
      </c>
      <c r="K1594">
        <f>J1594*(1+(((Inputs!$B$13+IF(Inputs!$B$3&gt;=38,(10*INDEX(FactorTable!$B$2:$Y$301, MATCH(ROUND(MIN(300,MAX(1,Inputs!$B$3)),0), FactorTable!$A$2:$A$301,0), 23)/1000)/100*(Inputs!$B$8*(1+Inputs!$B$9/100)),0))*(1+Inputs!$B$14/100))*0.01+Inputs!$B$15*0.0025)/100)*(1+Inputs!$B$16/100)*(1+Inputs!$B$17/100)*(5000/(6000+Inputs!$B$43*(1-(Inputs!$B$20+0)/100)))*(1+(Inputs!$B$25+((C1610=TRUE)*(F1610-Calc!F25))+((C1611=TRUE)*(F1611-Calc!F26))+B1620)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Boss",2,1),0)/100)-1)*100+(IF(ArtifactsInput!$M$14,FALSE,TRUE)-ArtifactsInput!$M$14)*IF(OR(Inputs!$B$4="Weapon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1596=TRUE,F1596,0)/100)*(1+(IF(Skills!A9="DARK_IMPALE",Inputs!$B$18+0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gt;=100),MIN(100,((Inputs!$B$10+0+B1614+(ArtifactsInput!$M$24-ArtifactsInput!$M$24)*CHOOSE(ArtifactsInput!$N$24+1,10,12,14,16,18,20)+IF(ArtifactsInput!$M$10,CHOOSE(ArtifactsInput!$N$10+1,15,18,21,24,27,30)*(IF(Inputs!$B$39="pvp",MIN(15,15)/15,IF(AND(Inputs!$B$39&lt;&gt;"pvp",Inputs!$B$44&gt;0),MIN(15,Inputs!$B$44)/(Inputs!$B$44),0))),0)))-100),0))*CHOOSE(ArtifactsInput!$N$42+1,0.6,0.72,0.84,0.96,1.08,1.2))),Inputs!$B$19+((C1608=TRUE)*(F1608-Calc!F23))+(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gt;=100),CHOOSE(ArtifactsInput!$N$42+1,40,48,56,64,72,80),0))))/100)*((1+(((C1598=TRUE)*F1598*IF(AND(Inputs!$B$39&lt;&gt;"pvp",Inputs!$B$44&gt;0),(((R1598-1)*MIN((Skills!T13*(1+Inputs!$B$35/100)),(1/Q1598))+MIN((Skills!T13*(1+Inputs!$B$35/100)),MAX(0,Inputs!$B$44-((R1598-1)*(1/Q1598)))))/Inputs!$B$44),IF(Inputs!$B$39="pvp",MIN((Skills!T13*(1+Inputs!$B$35/100)),15)/15,MIN(1,(Skills!T13*(1+Inputs!$B$35/100))/(1/Q1598)))))+((C1599=TRUE)*F1599*IF(AND(Inputs!$B$39&lt;&gt;"pvp",Inputs!$B$44&gt;0),(((R1599-1)*MIN((Skills!T14*(1+Inputs!$B$35/100)),(1/Q1599))+MIN((Skills!T14*(1+Inputs!$B$35/100)),MAX(0,Inputs!$B$44-((R1599-1)*(1/Q1599)))))/Inputs!$B$44),IF(Inputs!$B$39="pvp",MIN((Skills!T14*(1+Inputs!$B$35/100)),15)/15,MIN(1,(Skills!T14*(1+Inputs!$B$35/100))/(1/Q1599)))))+((C1600=TRUE)*F1600*IF(AND(Inputs!$B$39&lt;&gt;"pvp",Inputs!$B$44&gt;0),(((R1600-1)*MIN((Skills!T15*(1+Inputs!$B$35/100)),(1/Q1600))+MIN((Skills!T15*(1+Inputs!$B$35/100)),MAX(0,Inputs!$B$44-((R1600-1)*(1/Q1600)))))/Inputs!$B$44),IF(Inputs!$B$39="pvp",MIN((Skills!T15*(1+Inputs!$B$35/100)),15)/15,MIN(1,(Skills!T15*(1+Inputs!$B$35/100))/(1/Q1600)))))+((C1601=TRUE)*F1601*IF(AND(Inputs!$B$39&lt;&gt;"pvp",Inputs!$B$44&gt;0),(((R1601-1)*MIN((Skills!T16*(1+Inputs!$B$35/100)),(1/Q1601))+MIN((Skills!T16*(1+Inputs!$B$35/100)),MAX(0,Inputs!$B$44-((R1601-1)*(1/Q1601)))))/Inputs!$B$44),IF(Inputs!$B$39="pvp",MIN((Skills!T16*(1+Inputs!$B$35/100)),15)/15,MIN(1,(Skills!T16*(1+Inputs!$B$35/100))/(1/Q1601)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1594)</f>
        <v/>
      </c>
      <c r="L1594">
        <f>K1594*(MIN(Inputs!$B$23+((C1607=TRUE)*(F1607-Calc!F22)),(Inputs!$B$24+((C1609=TRUE)*(F1609-Calc!F24))+(IF(ArtifactsInput!$M$15,CHOOSE(ArtifactsInput!$N$15+1,25,30,35,40,45,50)/100*(Inputs!$B$12-Inputs!$B$12),0))))/100+(Inputs!$B$24+((C1609=TRUE)*(F1609-Calc!F24))+(IF(ArtifactsInput!$M$15,CHOOSE(ArtifactsInput!$N$15+1,25,30,35,40,45,50)/100*(Inputs!$B$12-Inputs!$B$12),0)))/100)/2</f>
        <v/>
      </c>
      <c r="M1594">
        <f>L1594*(1+(Inputs!$B$11+0+B1619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594">
        <f>L1594*(1-MIN((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1594*(MIN((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94">
        <f>(1-Summary!$B$11)*T1594+Summary!$B$11*V1594</f>
        <v/>
      </c>
      <c r="P1594">
        <f>IF(B1624=0,0,O1594/B1624)</f>
        <v/>
      </c>
      <c r="Q1594">
        <f>IFERROR(1/IF(Inputs!$B$39="pvp",15,MAX(0.1,Skills!D9-IF(TRUE=TRUE,Inputs!$B$33,0))),0)</f>
        <v/>
      </c>
      <c r="R1594">
        <f>IF(AND(Inputs!$B$39&lt;&gt;"pvp",Inputs!$B$44&gt;0),IF(MAX(0,Inputs!$B$44-B1621)&lt;=0,0,(INT(MAX(0,Inputs!$B$44-B1621)/IF(Inputs!$B$39="pvp",15,MAX(0.1,Skills!D9-IF(TRUE=TRUE,Inputs!$B$33,0))))+1)),0)</f>
        <v/>
      </c>
      <c r="S1594">
        <f>IFERROR(O1594/N1594,0)</f>
        <v/>
      </c>
      <c r="T1594">
        <f>IF(C1594,(H1594*N1594*IF(AND(Inputs!$B$39&lt;&gt;"pvp",Inputs!$B$44&gt;0),((Skills!G9*((R1594-1)*IF(Skills!H9&gt;0,INT(Skills!I9/Skills!H9+0.000000001),1)+IF(Skills!H9&gt;0,INT(MIN(Skills!I9,MAX(0,MAX(0,Inputs!$B$44-B1621)-((R1594-1)*IF(Inputs!$B$39="pvp",15,MAX(0.1,Skills!D9-IF(TRUE=TRUE,Inputs!$B$33,0))))))/Skills!H9+0.000000001),1)))/Inputs!$B$44),G1594*Q1594))*IF(Inputs!$B$39="pvp",1,1+(Inputs!$B$21+0+Skills!P9+((C1602=TRUE)*F1602*IF(AND(Inputs!$B$39&lt;&gt;"pvp",Inputs!$B$44&gt;0),(((R1602-1)*MIN((Skills!T17*(1+Inputs!$B$35/100)),(1/Q1602))+MIN((Skills!T17*(1+Inputs!$B$35/100)),MAX(0,Inputs!$B$44-((R1602-1)*(1/Q1602)))))/Inputs!$B$44),IF(Inputs!$B$39="pvp",MIN((Skills!T17*(1+Inputs!$B$35/100)),15)/15,MIN(1,(Skills!T17*(1+Inputs!$B$35/100))/(1/Q1602)))))+((C1590=TRUE)*IF(Inputs!$B$3&gt;=126,10*MIN(1,15*Q1590),0))+((C1599=TRUE)*IF(Inputs!$B$39="pvp",20,(1-Summary!$B$11)*(20)+Summary!$B$11*(0))*IF(AND(Inputs!$B$39&lt;&gt;"pvp",Inputs!$B$44&gt;0),(((R1599-1)*MIN((Skills!T14*(1+Inputs!$B$35/100)),(1/Q1599))+MIN((Skills!T14*(1+Inputs!$B$35/100)),MAX(0,Inputs!$B$44-((R1599-1)*(1/Q1599)))))/Inputs!$B$44),IF(Inputs!$B$39="pvp",MIN((Skills!T14*(1+Inputs!$B$35/100)),15)/15,MIN(1,(Skills!T14*(1+Inputs!$B$35/100))/(1/Q1599)))))+((C1598=TRUE)*IF(Inputs!$B$3&gt;=82,IF(Inputs!$B$39="pvp",20,(1-Summary!$B$11)*(20)+Summary!$B$11*(0)),0)*IF(AND(Inputs!$B$39&lt;&gt;"pvp",Inputs!$B$44&gt;0),(((R1598-1)*MIN((Skills!T13*(1+Inputs!$B$35/100)),(1/Q1598))+MIN((Skills!T13*(1+Inputs!$B$35/100)),MAX(0,Inputs!$B$44-((R1598-1)*(1/Q1598)))))/Inputs!$B$44),IF(Inputs!$B$39="pvp",MIN((Skills!T13*(1+Inputs!$B$35/100)),15)/15,MIN(1,(Skills!T13*(1+Inputs!$B$35/100))/(1/Q1598)))))+(IF(AND(ArtifactsInput!$M$35,Inputs!$B$4&lt;&gt;"Chapter Hunt"),CHOOSE(ArtifactsInput!$N$35+1,15,18,21,24,27,30)*(1-EXP(-(0.2*B1616)*5)),0)+IF(AND(ArtifactsInput!$M$22,Inputs!$B$4&lt;&gt;"Chapter Hunt"),CHOOSE(ArtifactsInput!$N$22+1,10,12,14,16,18,20)*((0*(((0.15*B1616*5))^0/1)+1*(((0.15*B1616*5))^1/1)+2*(((0.15*B1616*5))^2/2)+3*(((0.15*B1616*5))^3/6)+4*(((0.15*B1616*5))^4/24)+5*(((0.15*B1616*5))^5/120))/((((0.15*B1616*5))^0/1)+(((0.15*B1616*5))^1/1)+(((0.15*B1616*5))^2/2)+(((0.15*B1616*5))^3/6)+(((0.15*B1616*5))^4/24)+(((0.15*B1616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1594*(1-MIN(100,(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1594*(MIN(100,(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1594*(1-MIN(100,(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1594*(MIN(100,(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94">
        <f>IF(C1594,(H1594*N1594*IF(AND(Inputs!$B$39&lt;&gt;"pvp",Inputs!$B$44&gt;0),((Skills!G9*((R1594-1)*IF(Skills!H9&gt;0,INT(Skills!I9/Skills!H9+0.000000001),1)+IF(Skills!H9&gt;0,INT(MIN(Skills!I9,MAX(0,MAX(0,Inputs!$B$44-B1621)-((R1594-1)*IF(Inputs!$B$39="pvp",15,MAX(0.1,Skills!D9-IF(TRUE=TRUE,Inputs!$B$33,0))))))/Skills!H9+0.000000001),1)))/Inputs!$B$44),G1594*Q1594))*IF(Inputs!$B$39="pvp",1,(1+(Inputs!$B$22+Skills!Q9+((C1602=TRUE)*F1602*IF(AND(Inputs!$B$39&lt;&gt;"pvp",Inputs!$B$44&gt;0),(((R1602-1)*MIN((Skills!T17*(1+Inputs!$B$35/100)),(1/Q1602))+MIN((Skills!T17*(1+Inputs!$B$35/100)),MAX(0,Inputs!$B$44-((R1602-1)*(1/Q1602)))))/Inputs!$B$44),IF(Inputs!$B$39="pvp",MIN((Skills!T17*(1+Inputs!$B$35/100)),15)/15,MIN(1,(Skills!T17*(1+Inputs!$B$35/100))/(1/Q1602)))))+((C1590=TRUE)*IF(Inputs!$B$3&gt;=126,10*MIN(1,15*Q1590),0))+((C1599=TRUE)*IF(Inputs!$B$39="pvp",20,(1-Summary!$B$11)*(20)+Summary!$B$11*(0))*IF(AND(Inputs!$B$39&lt;&gt;"pvp",Inputs!$B$44&gt;0),(((R1599-1)*MIN((Skills!T14*(1+Inputs!$B$35/100)),(1/Q1599))+MIN((Skills!T14*(1+Inputs!$B$35/100)),MAX(0,Inputs!$B$44-((R1599-1)*(1/Q1599)))))/Inputs!$B$44),IF(Inputs!$B$39="pvp",MIN((Skills!T14*(1+Inputs!$B$35/100)),15)/15,MIN(1,(Skills!T14*(1+Inputs!$B$35/100))/(1/Q1599)))))+((C1598=TRUE)*IF(Inputs!$B$3&gt;=82,IF(Inputs!$B$39="pvp",20,(1-Summary!$B$11)*(20)+Summary!$B$11*(0)),0)*IF(AND(Inputs!$B$39&lt;&gt;"pvp",Inputs!$B$44&gt;0),(((R1598-1)*MIN((Skills!T13*(1+Inputs!$B$35/100)),(1/Q1598))+MIN((Skills!T13*(1+Inputs!$B$35/100)),MAX(0,Inputs!$B$44-((R1598-1)*(1/Q1598)))))/Inputs!$B$44),IF(Inputs!$B$39="pvp",MIN((Skills!T13*(1+Inputs!$B$35/100)),15)/15,MIN(1,(Skills!T13*(1+Inputs!$B$35/100))/(1/Q1598)))))+(IF(AND(ArtifactsInput!$M$35,Inputs!$B$4&lt;&gt;"Chapter Hunt"),CHOOSE(ArtifactsInput!$N$35+1,15,18,21,24,27,30)*(1-EXP(-(0.2*B1616)*5)),0)+IF(AND(ArtifactsInput!$M$22,Inputs!$B$4&lt;&gt;"Chapter Hunt"),CHOOSE(ArtifactsInput!$N$22+1,10,12,14,16,18,20)*((0*(((0.15*B1616*5))^0/1)+1*(((0.15*B1616*5))^1/1)+2*(((0.15*B1616*5))^2/2)+3*(((0.15*B1616*5))^3/6)+4*(((0.15*B1616*5))^4/24)+5*(((0.15*B1616*5))^5/120))/((((0.15*B1616*5))^0/1)+(((0.15*B1616*5))^1/1)+(((0.15*B1616*5))^2/2)+(((0.15*B1616*5))^3/6)+(((0.15*B1616*5))^4/24)+(((0.15*B1616*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95">
      <c r="A1595">
        <f>Skills!A10</f>
        <v/>
      </c>
      <c r="B1595">
        <f>Skills!B10</f>
        <v/>
      </c>
      <c r="C1595">
        <f>Inputs!$B$3&gt;=110</f>
        <v/>
      </c>
      <c r="D1595">
        <f>IF(Skills!C10=1,60+Inputs!$B$26+Inputs!$B$30,IF(Skills!C10=2,90+Inputs!$B$27+Inputs!$B$30,IF(Skills!C10=3,120+Inputs!$B$28+Inputs!$B$30,MAX(0,(Inputs!$B$3-100)*3)+Inputs!$B$29+Inputs!$B$30)))</f>
        <v/>
      </c>
      <c r="E1595">
        <f>INDEX(FactorTable!$B$2:$Y$301, MATCH(ROUND(MIN(300,MAX(1,D1595)),0), FactorTable!$A$2:$A$301,0), Skills!M10+1)</f>
        <v/>
      </c>
      <c r="F1595">
        <f>IF(Skills!N10=TRUE,(Skills!L10/10)*(E1595/1000),Skills!L10/10)+Skills!O10</f>
        <v/>
      </c>
      <c r="G1595">
        <f>Skills!G10*IF(Skills!H10&gt;0,INT(IF(Inputs!$B$39="pvp",MIN(Skills!I10,15),Skills!I10)/Skills!H10+0.000000001),1)</f>
        <v/>
      </c>
      <c r="H1595">
        <f>1-(1-Skills!J10/100)^Skills!K10</f>
        <v/>
      </c>
      <c r="I1595" t="inlineStr">
        <is>
          <t>1</t>
        </is>
      </c>
      <c r="J1595">
        <f>((Inputs!$B$6*(1+Inputs!$B$7/100))+(((Inputs!$B$13*(1+Inputs!$B$14/100))-(Inputs!$B$13*(1+Inputs!$B$14/100)))+0.25*(Inputs!$B$15-Inputs!$B$15))*(1+Inputs!$B$7/100))*(F1595/100)</f>
        <v/>
      </c>
      <c r="K1595">
        <f>J1595*(1+(((Inputs!$B$13+IF(Inputs!$B$3&gt;=38,(10*INDEX(FactorTable!$B$2:$Y$301, MATCH(ROUND(MIN(300,MAX(1,Inputs!$B$3)),0), FactorTable!$A$2:$A$301,0), 23)/1000)/100*(Inputs!$B$8*(1+Inputs!$B$9/100)),0))*(1+Inputs!$B$14/100))*0.01+Inputs!$B$15*0.0025)/100)*(1+Inputs!$B$16/100)*(1+Inputs!$B$17/100)*(5000/(6000+Inputs!$B$43*(1-(Inputs!$B$20+0)/100)))*(1+(Inputs!$B$25+((C1610=TRUE)*(F1610-Calc!F25))+((C1611=TRUE)*(F1611-Calc!F26))+B1620)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Boss",2,1),0)/100)-1)*100+(IF(ArtifactsInput!$M$14,FALSE,TRUE)-ArtifactsInput!$M$14)*IF(OR(Inputs!$B$4="Weapon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gt;=100),MIN(100,((Inputs!$B$10+0+B1614+(ArtifactsInput!$M$24-ArtifactsInput!$M$24)*CHOOSE(ArtifactsInput!$N$24+1,10,12,14,16,18,20)+IF(ArtifactsInput!$M$10,CHOOSE(ArtifactsInput!$N$10+1,15,18,21,24,27,30)*(IF(Inputs!$B$39="pvp",MIN(15,15)/15,IF(AND(Inputs!$B$39&lt;&gt;"pvp",Inputs!$B$44&gt;0),MIN(15,Inputs!$B$44)/(Inputs!$B$44),0))),0)))-100),0))*CHOOSE(ArtifactsInput!$N$42+1,0.6,0.72,0.84,0.96,1.08,1.2))),Inputs!$B$19+((C1608=TRUE)*(F1608-Calc!F23))+(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gt;=100),CHOOSE(ArtifactsInput!$N$42+1,40,48,56,64,72,80),0))))/100)*((1+(((C1598=TRUE)*F1598*IF(AND(Inputs!$B$39&lt;&gt;"pvp",Inputs!$B$44&gt;0),(((R1598-1)*MIN((Skills!T13*(1+Inputs!$B$35/100)),(1/Q1598))+MIN((Skills!T13*(1+Inputs!$B$35/100)),MAX(0,Inputs!$B$44-((R1598-1)*(1/Q1598)))))/Inputs!$B$44),IF(Inputs!$B$39="pvp",MIN((Skills!T13*(1+Inputs!$B$35/100)),15)/15,MIN(1,(Skills!T13*(1+Inputs!$B$35/100))/(1/Q1598)))))+((C1599=TRUE)*F1599*IF(AND(Inputs!$B$39&lt;&gt;"pvp",Inputs!$B$44&gt;0),(((R1599-1)*MIN((Skills!T14*(1+Inputs!$B$35/100)),(1/Q1599))+MIN((Skills!T14*(1+Inputs!$B$35/100)),MAX(0,Inputs!$B$44-((R1599-1)*(1/Q1599)))))/Inputs!$B$44),IF(Inputs!$B$39="pvp",MIN((Skills!T14*(1+Inputs!$B$35/100)),15)/15,MIN(1,(Skills!T14*(1+Inputs!$B$35/100))/(1/Q1599)))))+((C1600=TRUE)*F1600*IF(AND(Inputs!$B$39&lt;&gt;"pvp",Inputs!$B$44&gt;0),(((R1600-1)*MIN((Skills!T15*(1+Inputs!$B$35/100)),(1/Q1600))+MIN((Skills!T15*(1+Inputs!$B$35/100)),MAX(0,Inputs!$B$44-((R1600-1)*(1/Q1600)))))/Inputs!$B$44),IF(Inputs!$B$39="pvp",MIN((Skills!T15*(1+Inputs!$B$35/100)),15)/15,MIN(1,(Skills!T15*(1+Inputs!$B$35/100))/(1/Q1600)))))+((C1601=TRUE)*F1601*IF(AND(Inputs!$B$39&lt;&gt;"pvp",Inputs!$B$44&gt;0),(((R1601-1)*MIN((Skills!T16*(1+Inputs!$B$35/100)),(1/Q1601))+MIN((Skills!T16*(1+Inputs!$B$35/100)),MAX(0,Inputs!$B$44-((R1601-1)*(1/Q1601)))))/Inputs!$B$44),IF(Inputs!$B$39="pvp",MIN((Skills!T16*(1+Inputs!$B$35/100)),15)/15,MIN(1,(Skills!T16*(1+Inputs!$B$35/100))/(1/Q1601)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1595)</f>
        <v/>
      </c>
      <c r="L1595">
        <f>K1595*(MIN(Inputs!$B$23+((C1607=TRUE)*(F1607-Calc!F22)),(Inputs!$B$24+((C1609=TRUE)*(F1609-Calc!F24))+(IF(ArtifactsInput!$M$15,CHOOSE(ArtifactsInput!$N$15+1,25,30,35,40,45,50)/100*(Inputs!$B$12-Inputs!$B$12),0))))/100+(Inputs!$B$24+((C1609=TRUE)*(F1609-Calc!F24))+(IF(ArtifactsInput!$M$15,CHOOSE(ArtifactsInput!$N$15+1,25,30,35,40,45,50)/100*(Inputs!$B$12-Inputs!$B$12),0)))/100)/2</f>
        <v/>
      </c>
      <c r="M1595">
        <f>L1595*(1+(Inputs!$B$11+0+B1619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595">
        <f>L1595*(1-MIN((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1595*(MIN((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95">
        <f>(1-Summary!$B$11)*T1595+Summary!$B$11*V1595</f>
        <v/>
      </c>
      <c r="P1595">
        <f>IF(B1624=0,0,O1595/B1624)</f>
        <v/>
      </c>
      <c r="Q1595">
        <f>IFERROR(1/IF(Inputs!$B$39="pvp",15,MAX(0.1,Skills!D10-IF(TRUE=TRUE,Inputs!$B$33,0))),0)</f>
        <v/>
      </c>
      <c r="R1595">
        <f>IF(AND(Inputs!$B$39&lt;&gt;"pvp",Inputs!$B$44&gt;0),IF(MAX(0,Inputs!$B$44-B1621)&lt;=0,0,(INT(MAX(0,Inputs!$B$44-B1621)/IF(Inputs!$B$39="pvp",15,MAX(0.1,Skills!D10-IF(TRUE=TRUE,Inputs!$B$33,0))))+1)),0)</f>
        <v/>
      </c>
      <c r="S1595">
        <f>IFERROR(O1595/N1595,0)</f>
        <v/>
      </c>
      <c r="T1595">
        <f>IF(C1595,(H1595*N1595*IF(AND(Inputs!$B$39&lt;&gt;"pvp",Inputs!$B$44&gt;0),((Skills!G10*((R1595-1)*IF(Skills!H10&gt;0,INT(Skills!I10/Skills!H10+0.000000001),1)+IF(Skills!H10&gt;0,INT(MIN(Skills!I10,MAX(0,MAX(0,Inputs!$B$44-B1621)-((R1595-1)*IF(Inputs!$B$39="pvp",15,MAX(0.1,Skills!D10-IF(TRUE=TRUE,Inputs!$B$33,0))))))/Skills!H10+0.000000001),1)))/Inputs!$B$44),G1595*Q1595))*IF(Inputs!$B$39="pvp",1,1+(Inputs!$B$21+0+Skills!P10+((C1602=TRUE)*F1602*IF(AND(Inputs!$B$39&lt;&gt;"pvp",Inputs!$B$44&gt;0),(((R1602-1)*MIN((Skills!T17*(1+Inputs!$B$35/100)),(1/Q1602))+MIN((Skills!T17*(1+Inputs!$B$35/100)),MAX(0,Inputs!$B$44-((R1602-1)*(1/Q1602)))))/Inputs!$B$44),IF(Inputs!$B$39="pvp",MIN((Skills!T17*(1+Inputs!$B$35/100)),15)/15,MIN(1,(Skills!T17*(1+Inputs!$B$35/100))/(1/Q1602)))))+((C1590=TRUE)*IF(Inputs!$B$3&gt;=126,10*MIN(1,15*Q1590),0))+((C1599=TRUE)*IF(Inputs!$B$39="pvp",20,(1-Summary!$B$11)*(20)+Summary!$B$11*(0))*IF(AND(Inputs!$B$39&lt;&gt;"pvp",Inputs!$B$44&gt;0),(((R1599-1)*MIN((Skills!T14*(1+Inputs!$B$35/100)),(1/Q1599))+MIN((Skills!T14*(1+Inputs!$B$35/100)),MAX(0,Inputs!$B$44-((R1599-1)*(1/Q1599)))))/Inputs!$B$44),IF(Inputs!$B$39="pvp",MIN((Skills!T14*(1+Inputs!$B$35/100)),15)/15,MIN(1,(Skills!T14*(1+Inputs!$B$35/100))/(1/Q1599)))))+((C1598=TRUE)*IF(Inputs!$B$3&gt;=82,IF(Inputs!$B$39="pvp",20,(1-Summary!$B$11)*(20)+Summary!$B$11*(0)),0)*IF(AND(Inputs!$B$39&lt;&gt;"pvp",Inputs!$B$44&gt;0),(((R1598-1)*MIN((Skills!T13*(1+Inputs!$B$35/100)),(1/Q1598))+MIN((Skills!T13*(1+Inputs!$B$35/100)),MAX(0,Inputs!$B$44-((R1598-1)*(1/Q1598)))))/Inputs!$B$44),IF(Inputs!$B$39="pvp",MIN((Skills!T13*(1+Inputs!$B$35/100)),15)/15,MIN(1,(Skills!T13*(1+Inputs!$B$35/100))/(1/Q1598)))))+(IF(AND(ArtifactsInput!$M$35,Inputs!$B$4&lt;&gt;"Chapter Hunt"),CHOOSE(ArtifactsInput!$N$35+1,15,18,21,24,27,30)*(1-EXP(-(0.2*B1616)*5)),0)+IF(AND(ArtifactsInput!$M$22,Inputs!$B$4&lt;&gt;"Chapter Hunt"),CHOOSE(ArtifactsInput!$N$22+1,10,12,14,16,18,20)*((0*(((0.15*B1616*5))^0/1)+1*(((0.15*B1616*5))^1/1)+2*(((0.15*B1616*5))^2/2)+3*(((0.15*B1616*5))^3/6)+4*(((0.15*B1616*5))^4/24)+5*(((0.15*B1616*5))^5/120))/((((0.15*B1616*5))^0/1)+(((0.15*B1616*5))^1/1)+(((0.15*B1616*5))^2/2)+(((0.15*B1616*5))^3/6)+(((0.15*B1616*5))^4/24)+(((0.15*B1616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1595*(1-MIN(100,(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1595*(MIN(100,(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1595*(1-MIN(100,(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1595*(MIN(100,(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95">
        <f>IF(C1595,(H1595*N1595*IF(AND(Inputs!$B$39&lt;&gt;"pvp",Inputs!$B$44&gt;0),((Skills!G10*((R1595-1)*IF(Skills!H10&gt;0,INT(Skills!I10/Skills!H10+0.000000001),1)+IF(Skills!H10&gt;0,INT(MIN(Skills!I10,MAX(0,MAX(0,Inputs!$B$44-B1621)-((R1595-1)*IF(Inputs!$B$39="pvp",15,MAX(0.1,Skills!D10-IF(TRUE=TRUE,Inputs!$B$33,0))))))/Skills!H10+0.000000001),1)))/Inputs!$B$44),G1595*Q1595))*IF(Inputs!$B$39="pvp",1,(1+(Inputs!$B$22+Skills!Q10+((C1602=TRUE)*F1602*IF(AND(Inputs!$B$39&lt;&gt;"pvp",Inputs!$B$44&gt;0),(((R1602-1)*MIN((Skills!T17*(1+Inputs!$B$35/100)),(1/Q1602))+MIN((Skills!T17*(1+Inputs!$B$35/100)),MAX(0,Inputs!$B$44-((R1602-1)*(1/Q1602)))))/Inputs!$B$44),IF(Inputs!$B$39="pvp",MIN((Skills!T17*(1+Inputs!$B$35/100)),15)/15,MIN(1,(Skills!T17*(1+Inputs!$B$35/100))/(1/Q1602)))))+((C1590=TRUE)*IF(Inputs!$B$3&gt;=126,10*MIN(1,15*Q1590),0))+((C1599=TRUE)*IF(Inputs!$B$39="pvp",20,(1-Summary!$B$11)*(20)+Summary!$B$11*(0))*IF(AND(Inputs!$B$39&lt;&gt;"pvp",Inputs!$B$44&gt;0),(((R1599-1)*MIN((Skills!T14*(1+Inputs!$B$35/100)),(1/Q1599))+MIN((Skills!T14*(1+Inputs!$B$35/100)),MAX(0,Inputs!$B$44-((R1599-1)*(1/Q1599)))))/Inputs!$B$44),IF(Inputs!$B$39="pvp",MIN((Skills!T14*(1+Inputs!$B$35/100)),15)/15,MIN(1,(Skills!T14*(1+Inputs!$B$35/100))/(1/Q1599)))))+((C1598=TRUE)*IF(Inputs!$B$3&gt;=82,IF(Inputs!$B$39="pvp",20,(1-Summary!$B$11)*(20)+Summary!$B$11*(0)),0)*IF(AND(Inputs!$B$39&lt;&gt;"pvp",Inputs!$B$44&gt;0),(((R1598-1)*MIN((Skills!T13*(1+Inputs!$B$35/100)),(1/Q1598))+MIN((Skills!T13*(1+Inputs!$B$35/100)),MAX(0,Inputs!$B$44-((R1598-1)*(1/Q1598)))))/Inputs!$B$44),IF(Inputs!$B$39="pvp",MIN((Skills!T13*(1+Inputs!$B$35/100)),15)/15,MIN(1,(Skills!T13*(1+Inputs!$B$35/100))/(1/Q1598)))))+(IF(AND(ArtifactsInput!$M$35,Inputs!$B$4&lt;&gt;"Chapter Hunt"),CHOOSE(ArtifactsInput!$N$35+1,15,18,21,24,27,30)*(1-EXP(-(0.2*B1616)*5)),0)+IF(AND(ArtifactsInput!$M$22,Inputs!$B$4&lt;&gt;"Chapter Hunt"),CHOOSE(ArtifactsInput!$N$22+1,10,12,14,16,18,20)*((0*(((0.15*B1616*5))^0/1)+1*(((0.15*B1616*5))^1/1)+2*(((0.15*B1616*5))^2/2)+3*(((0.15*B1616*5))^3/6)+4*(((0.15*B1616*5))^4/24)+5*(((0.15*B1616*5))^5/120))/((((0.15*B1616*5))^0/1)+(((0.15*B1616*5))^1/1)+(((0.15*B1616*5))^2/2)+(((0.15*B1616*5))^3/6)+(((0.15*B1616*5))^4/24)+(((0.15*B1616*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96">
      <c r="A1596">
        <f>Skills!A11</f>
        <v/>
      </c>
      <c r="B1596">
        <f>Skills!B11</f>
        <v/>
      </c>
      <c r="C1596">
        <f>Inputs!$B$3&gt;=100</f>
        <v/>
      </c>
      <c r="D1596">
        <f>IF(Skills!C11=1,60+Inputs!$B$26+Inputs!$B$30,IF(Skills!C11=2,90+Inputs!$B$27+Inputs!$B$30,IF(Skills!C11=3,120+Inputs!$B$28+Inputs!$B$30,MAX(0,(Inputs!$B$3-100)*3)+Inputs!$B$29+Inputs!$B$30)))</f>
        <v/>
      </c>
      <c r="E1596">
        <f>INDEX(FactorTable!$B$2:$Y$301, MATCH(ROUND(MIN(300,MAX(1,D1596)),0), FactorTable!$A$2:$A$301,0), Skills!M11+1)</f>
        <v/>
      </c>
      <c r="F1596">
        <f>IF(Skills!N11=TRUE,(Skills!L11/10)*(E1596/1000),Skills!L11/10)+Skills!O11</f>
        <v/>
      </c>
      <c r="G1596" t="inlineStr"/>
      <c r="H1596" t="inlineStr"/>
      <c r="I1596" t="inlineStr">
        <is>
          <t>1</t>
        </is>
      </c>
      <c r="J1596" t="inlineStr"/>
      <c r="K1596" t="inlineStr"/>
      <c r="L1596" t="inlineStr"/>
      <c r="M1596" t="inlineStr"/>
      <c r="N1596" t="inlineStr"/>
      <c r="O1596" t="inlineStr"/>
      <c r="P1596" t="inlineStr"/>
      <c r="Q1596" t="inlineStr"/>
      <c r="R1596" t="inlineStr"/>
      <c r="S1596" t="inlineStr"/>
    </row>
    <row r="1597">
      <c r="A1597">
        <f>Skills!A12</f>
        <v/>
      </c>
      <c r="B1597">
        <f>Skills!B12</f>
        <v/>
      </c>
      <c r="C1597">
        <f>Inputs!$B$3&gt;=63</f>
        <v/>
      </c>
      <c r="D1597">
        <f>IF(Skills!C12=1,60+Inputs!$B$26+Inputs!$B$30,IF(Skills!C12=2,90+Inputs!$B$27+Inputs!$B$30,IF(Skills!C12=3,120+Inputs!$B$28+Inputs!$B$30,MAX(0,(Inputs!$B$3-100)*3)+Inputs!$B$29+Inputs!$B$30)))</f>
        <v/>
      </c>
      <c r="E1597">
        <f>INDEX(FactorTable!$B$2:$Y$301, MATCH(ROUND(MIN(300,MAX(1,D1597)),0), FactorTable!$A$2:$A$301,0), Skills!M12+1)</f>
        <v/>
      </c>
      <c r="F1597">
        <f>IF(Skills!N12=TRUE,(Skills!L12/10)*(E1597/1000),Skills!L12/10)+Skills!O12</f>
        <v/>
      </c>
      <c r="G1597">
        <f>Skills!G12*IF(Skills!H12&gt;0,INT(IF(Inputs!$B$39="pvp",MIN(Skills!I12,15),Skills!I12)/Skills!H12+0.000000001),1)</f>
        <v/>
      </c>
      <c r="H1597">
        <f>1-(1-Skills!J12/100)^Skills!K12</f>
        <v/>
      </c>
      <c r="I1597" t="inlineStr">
        <is>
          <t>1</t>
        </is>
      </c>
      <c r="J1597">
        <f>((Inputs!$B$6*(1+Inputs!$B$7/100))+(((Inputs!$B$13*(1+Inputs!$B$14/100))-(Inputs!$B$13*(1+Inputs!$B$14/100)))+0.25*(Inputs!$B$15-Inputs!$B$15))*(1+Inputs!$B$7/100))*(F1597/100)</f>
        <v/>
      </c>
      <c r="K1597">
        <f>J1597*(1+(((Inputs!$B$13+IF(Inputs!$B$3&gt;=38,(10*INDEX(FactorTable!$B$2:$Y$301, MATCH(ROUND(MIN(300,MAX(1,Inputs!$B$3)),0), FactorTable!$A$2:$A$301,0), 23)/1000)/100*(Inputs!$B$8*(1+Inputs!$B$9/100)),0))*(1+Inputs!$B$14/100))*0.01+Inputs!$B$15*0.0025)/100)*(1+Inputs!$B$16/100)*(1+Inputs!$B$17/100)*(5000/(6000+Inputs!$B$43*(1-(Inputs!$B$20+0)/100)))*(1+(Inputs!$B$25+((C1610=TRUE)*(F1610-Calc!F25))+((C1611=TRUE)*(F1611-Calc!F26))+B1620)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Boss",2,1),0)/100)-1)*100+(IF(ArtifactsInput!$M$14,FALSE,TRUE)-ArtifactsInput!$M$14)*IF(OR(Inputs!$B$4="Weapon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1596=TRUE,F1596,0)/100)*(1+(IF(Skills!A12="DARK_IMPALE",Inputs!$B$18+0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gt;=100),MIN(100,((Inputs!$B$10+0+B1614+(ArtifactsInput!$M$24-ArtifactsInput!$M$24)*CHOOSE(ArtifactsInput!$N$24+1,10,12,14,16,18,20)+IF(ArtifactsInput!$M$10,CHOOSE(ArtifactsInput!$N$10+1,15,18,21,24,27,30)*(IF(Inputs!$B$39="pvp",MIN(15,15)/15,IF(AND(Inputs!$B$39&lt;&gt;"pvp",Inputs!$B$44&gt;0),MIN(15,Inputs!$B$44)/(Inputs!$B$44),0))),0)))-100),0))*CHOOSE(ArtifactsInput!$N$42+1,0.6,0.72,0.84,0.96,1.08,1.2))),Inputs!$B$19+((C1608=TRUE)*(F1608-Calc!F23))+(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gt;=100),CHOOSE(ArtifactsInput!$N$42+1,40,48,56,64,72,80),0))))/100)*((1+(((C1598=TRUE)*F1598*IF(AND(Inputs!$B$39&lt;&gt;"pvp",Inputs!$B$44&gt;0),(((R1598-1)*MIN((Skills!T13*(1+Inputs!$B$35/100)),(1/Q1598))+MIN((Skills!T13*(1+Inputs!$B$35/100)),MAX(0,Inputs!$B$44-((R1598-1)*(1/Q1598)))))/Inputs!$B$44),IF(Inputs!$B$39="pvp",MIN((Skills!T13*(1+Inputs!$B$35/100)),15)/15,MIN(1,(Skills!T13*(1+Inputs!$B$35/100))/(1/Q1598)))))+((C1599=TRUE)*F1599*IF(AND(Inputs!$B$39&lt;&gt;"pvp",Inputs!$B$44&gt;0),(((R1599-1)*MIN((Skills!T14*(1+Inputs!$B$35/100)),(1/Q1599))+MIN((Skills!T14*(1+Inputs!$B$35/100)),MAX(0,Inputs!$B$44-((R1599-1)*(1/Q1599)))))/Inputs!$B$44),IF(Inputs!$B$39="pvp",MIN((Skills!T14*(1+Inputs!$B$35/100)),15)/15,MIN(1,(Skills!T14*(1+Inputs!$B$35/100))/(1/Q1599)))))+((C1600=TRUE)*F1600*IF(AND(Inputs!$B$39&lt;&gt;"pvp",Inputs!$B$44&gt;0),(((R1600-1)*MIN((Skills!T15*(1+Inputs!$B$35/100)),(1/Q1600))+MIN((Skills!T15*(1+Inputs!$B$35/100)),MAX(0,Inputs!$B$44-((R1600-1)*(1/Q1600)))))/Inputs!$B$44),IF(Inputs!$B$39="pvp",MIN((Skills!T15*(1+Inputs!$B$35/100)),15)/15,MIN(1,(Skills!T15*(1+Inputs!$B$35/100))/(1/Q1600)))))+((C1601=TRUE)*F1601*IF(AND(Inputs!$B$39&lt;&gt;"pvp",Inputs!$B$44&gt;0),(((R1601-1)*MIN((Skills!T16*(1+Inputs!$B$35/100)),(1/Q1601))+MIN((Skills!T16*(1+Inputs!$B$35/100)),MAX(0,Inputs!$B$44-((R1601-1)*(1/Q1601)))))/Inputs!$B$44),IF(Inputs!$B$39="pvp",MIN((Skills!T16*(1+Inputs!$B$35/100)),15)/15,MIN(1,(Skills!T16*(1+Inputs!$B$35/100))/(1/Q1601)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1597)</f>
        <v/>
      </c>
      <c r="L1597">
        <f>K1597*(MIN(Inputs!$B$23+((C1607=TRUE)*(F1607-Calc!F22)),(Inputs!$B$24+((C1609=TRUE)*(F1609-Calc!F24))+(IF(ArtifactsInput!$M$15,CHOOSE(ArtifactsInput!$N$15+1,25,30,35,40,45,50)/100*(Inputs!$B$12-Inputs!$B$12),0))))/100+(Inputs!$B$24+((C1609=TRUE)*(F1609-Calc!F24))+(IF(ArtifactsInput!$M$15,CHOOSE(ArtifactsInput!$N$15+1,25,30,35,40,45,50)/100*(Inputs!$B$12-Inputs!$B$12),0)))/100)/2</f>
        <v/>
      </c>
      <c r="M1597">
        <f>L1597*(1+(Inputs!$B$11+0+B1619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597">
        <f>L1597*(1-MIN((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1597*(MIN((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97">
        <f>(1-Summary!$B$11)*T1597+Summary!$B$11*V1597</f>
        <v/>
      </c>
      <c r="P1597">
        <f>IF(B1624=0,0,O1597/B1624)</f>
        <v/>
      </c>
      <c r="Q1597">
        <f>IFERROR(1/IF(Inputs!$B$39="pvp",15,MAX(0.1,Skills!D12-IF(TRUE=TRUE,Inputs!$B$33,0))),0)</f>
        <v/>
      </c>
      <c r="R1597">
        <f>IF(AND(Inputs!$B$39&lt;&gt;"pvp",Inputs!$B$44&gt;0),IF(MAX(0,Inputs!$B$44-B1621)&lt;=0,0,(INT(MAX(0,Inputs!$B$44-B1621)/IF(Inputs!$B$39="pvp",15,MAX(0.1,Skills!D12-IF(TRUE=TRUE,Inputs!$B$33,0))))+1)),0)</f>
        <v/>
      </c>
      <c r="S1597">
        <f>IFERROR(O1597/N1597,0)</f>
        <v/>
      </c>
      <c r="T1597">
        <f>IF(C1597,(H1597*N1597*IF(AND(Inputs!$B$39&lt;&gt;"pvp",Inputs!$B$44&gt;0),((Skills!G12*((R1597-1)*IF(Skills!H12&gt;0,INT(Skills!I12/Skills!H12+0.000000001),1)+IF(Skills!H12&gt;0,INT(MIN(Skills!I12,MAX(0,MAX(0,Inputs!$B$44-B1621)-((R1597-1)*IF(Inputs!$B$39="pvp",15,MAX(0.1,Skills!D12-IF(TRUE=TRUE,Inputs!$B$33,0))))))/Skills!H12+0.000000001),1)))/Inputs!$B$44),G1597*Q1597))*IF(Inputs!$B$39="pvp",1,1+(Inputs!$B$21+0+Skills!P12+((C1602=TRUE)*F1602*IF(AND(Inputs!$B$39&lt;&gt;"pvp",Inputs!$B$44&gt;0),(((R1602-1)*MIN((Skills!T17*(1+Inputs!$B$35/100)),(1/Q1602))+MIN((Skills!T17*(1+Inputs!$B$35/100)),MAX(0,Inputs!$B$44-((R1602-1)*(1/Q1602)))))/Inputs!$B$44),IF(Inputs!$B$39="pvp",MIN((Skills!T17*(1+Inputs!$B$35/100)),15)/15,MIN(1,(Skills!T17*(1+Inputs!$B$35/100))/(1/Q1602)))))+((C1590=TRUE)*IF(Inputs!$B$3&gt;=126,10*MIN(1,15*Q1590),0))+((C1599=TRUE)*IF(Inputs!$B$39="pvp",20,(1-Summary!$B$11)*(20)+Summary!$B$11*(0))*IF(AND(Inputs!$B$39&lt;&gt;"pvp",Inputs!$B$44&gt;0),(((R1599-1)*MIN((Skills!T14*(1+Inputs!$B$35/100)),(1/Q1599))+MIN((Skills!T14*(1+Inputs!$B$35/100)),MAX(0,Inputs!$B$44-((R1599-1)*(1/Q1599)))))/Inputs!$B$44),IF(Inputs!$B$39="pvp",MIN((Skills!T14*(1+Inputs!$B$35/100)),15)/15,MIN(1,(Skills!T14*(1+Inputs!$B$35/100))/(1/Q1599)))))+((C1598=TRUE)*IF(Inputs!$B$3&gt;=82,IF(Inputs!$B$39="pvp",20,(1-Summary!$B$11)*(20)+Summary!$B$11*(0)),0)*IF(AND(Inputs!$B$39&lt;&gt;"pvp",Inputs!$B$44&gt;0),(((R1598-1)*MIN((Skills!T13*(1+Inputs!$B$35/100)),(1/Q1598))+MIN((Skills!T13*(1+Inputs!$B$35/100)),MAX(0,Inputs!$B$44-((R1598-1)*(1/Q1598)))))/Inputs!$B$44),IF(Inputs!$B$39="pvp",MIN((Skills!T13*(1+Inputs!$B$35/100)),15)/15,MIN(1,(Skills!T13*(1+Inputs!$B$35/100))/(1/Q1598)))))+(IF(AND(ArtifactsInput!$M$35,Inputs!$B$4&lt;&gt;"Chapter Hunt"),CHOOSE(ArtifactsInput!$N$35+1,15,18,21,24,27,30)*(1-EXP(-(0.2*B1616)*5)),0)+IF(AND(ArtifactsInput!$M$22,Inputs!$B$4&lt;&gt;"Chapter Hunt"),CHOOSE(ArtifactsInput!$N$22+1,10,12,14,16,18,20)*((0*(((0.15*B1616*5))^0/1)+1*(((0.15*B1616*5))^1/1)+2*(((0.15*B1616*5))^2/2)+3*(((0.15*B1616*5))^3/6)+4*(((0.15*B1616*5))^4/24)+5*(((0.15*B1616*5))^5/120))/((((0.15*B1616*5))^0/1)+(((0.15*B1616*5))^1/1)+(((0.15*B1616*5))^2/2)+(((0.15*B1616*5))^3/6)+(((0.15*B1616*5))^4/24)+(((0.15*B1616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1597*(1-MIN(100,(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1597*(MIN(100,(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1597*(1-MIN(100,(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1597*(MIN(100,(Inputs!$B$10+0+B1614+(ArtifactsInput!$M$24-ArtifactsInput!$M$24)*CHOOSE(ArtifactsInput!$N$24+1,10,12,14,16,18,20)+(IF(AND(Inputs!$B$39&lt;&gt;"pvp",Inputs!$B$44=0),1,IF(IF(Inputs!$B$39="pvp",15,Inputs!$B$44)-(B1621)&lt;=0,1,MAX(0,IF(Inputs!$B$39="pvp",15,Inputs!$B$44)-MAX(5,B1621))/(IF(Inputs!$B$39="pvp",15,Inputs!$B$44)-(B1621))))*IF(AND(ArtifactsInput!$M$42,((Inputs!$B$10+0+B1614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597">
        <f>IF(C1597,(H1597*N1597*IF(AND(Inputs!$B$39&lt;&gt;"pvp",Inputs!$B$44&gt;0),((Skills!G12*((R1597-1)*IF(Skills!H12&gt;0,INT(Skills!I12/Skills!H12+0.000000001),1)+IF(Skills!H12&gt;0,INT(MIN(Skills!I12,MAX(0,MAX(0,Inputs!$B$44-B1621)-((R1597-1)*IF(Inputs!$B$39="pvp",15,MAX(0.1,Skills!D12-IF(TRUE=TRUE,Inputs!$B$33,0))))))/Skills!H12+0.000000001),1)))/Inputs!$B$44),G1597*Q1597))*IF(Inputs!$B$39="pvp",1,(1+(Inputs!$B$22+Skills!Q12+((C1602=TRUE)*F1602*IF(AND(Inputs!$B$39&lt;&gt;"pvp",Inputs!$B$44&gt;0),(((R1602-1)*MIN((Skills!T17*(1+Inputs!$B$35/100)),(1/Q1602))+MIN((Skills!T17*(1+Inputs!$B$35/100)),MAX(0,Inputs!$B$44-((R1602-1)*(1/Q1602)))))/Inputs!$B$44),IF(Inputs!$B$39="pvp",MIN((Skills!T17*(1+Inputs!$B$35/100)),15)/15,MIN(1,(Skills!T17*(1+Inputs!$B$35/100))/(1/Q1602)))))+((C1590=TRUE)*IF(Inputs!$B$3&gt;=126,10*MIN(1,15*Q1590),0))+((C1599=TRUE)*IF(Inputs!$B$39="pvp",20,(1-Summary!$B$11)*(20)+Summary!$B$11*(0))*IF(AND(Inputs!$B$39&lt;&gt;"pvp",Inputs!$B$44&gt;0),(((R1599-1)*MIN((Skills!T14*(1+Inputs!$B$35/100)),(1/Q1599))+MIN((Skills!T14*(1+Inputs!$B$35/100)),MAX(0,Inputs!$B$44-((R1599-1)*(1/Q1599)))))/Inputs!$B$44),IF(Inputs!$B$39="pvp",MIN((Skills!T14*(1+Inputs!$B$35/100)),15)/15,MIN(1,(Skills!T14*(1+Inputs!$B$35/100))/(1/Q1599)))))+((C1598=TRUE)*IF(Inputs!$B$3&gt;=82,IF(Inputs!$B$39="pvp",20,(1-Summary!$B$11)*(20)+Summary!$B$11*(0)),0)*IF(AND(Inputs!$B$39&lt;&gt;"pvp",Inputs!$B$44&gt;0),(((R1598-1)*MIN((Skills!T13*(1+Inputs!$B$35/100)),(1/Q1598))+MIN((Skills!T13*(1+Inputs!$B$35/100)),MAX(0,Inputs!$B$44-((R1598-1)*(1/Q1598)))))/Inputs!$B$44),IF(Inputs!$B$39="pvp",MIN((Skills!T13*(1+Inputs!$B$35/100)),15)/15,MIN(1,(Skills!T13*(1+Inputs!$B$35/100))/(1/Q1598)))))+(IF(AND(ArtifactsInput!$M$35,Inputs!$B$4&lt;&gt;"Chapter Hunt"),CHOOSE(ArtifactsInput!$N$35+1,15,18,21,24,27,30)*(1-EXP(-(0.2*B1616)*5)),0)+IF(AND(ArtifactsInput!$M$22,Inputs!$B$4&lt;&gt;"Chapter Hunt"),CHOOSE(ArtifactsInput!$N$22+1,10,12,14,16,18,20)*((0*(((0.15*B1616*5))^0/1)+1*(((0.15*B1616*5))^1/1)+2*(((0.15*B1616*5))^2/2)+3*(((0.15*B1616*5))^3/6)+4*(((0.15*B1616*5))^4/24)+5*(((0.15*B1616*5))^5/120))/((((0.15*B1616*5))^0/1)+(((0.15*B1616*5))^1/1)+(((0.15*B1616*5))^2/2)+(((0.15*B1616*5))^3/6)+(((0.15*B1616*5))^4/24)+(((0.15*B1616*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98">
      <c r="A1598">
        <f>Skills!A13</f>
        <v/>
      </c>
      <c r="B1598">
        <f>Skills!B13</f>
        <v/>
      </c>
      <c r="C1598">
        <f>Inputs!$B$3&gt;=69</f>
        <v/>
      </c>
      <c r="D1598">
        <f>IF(Skills!C13=1,60+Inputs!$B$26+Inputs!$B$30,IF(Skills!C13=2,90+Inputs!$B$27+Inputs!$B$30,IF(Skills!C13=3,120+Inputs!$B$28+Inputs!$B$30,MAX(0,(Inputs!$B$3-100)*3)+Inputs!$B$29+Inputs!$B$30)))</f>
        <v/>
      </c>
      <c r="E1598">
        <f>INDEX(FactorTable!$B$2:$Y$301, MATCH(ROUND(MIN(300,MAX(1,D1598)),0), FactorTable!$A$2:$A$301,0), Skills!M13+1)</f>
        <v/>
      </c>
      <c r="F1598">
        <f>IF(Skills!N13=TRUE,(Skills!L13/10)*(E1598/1000),Skills!L13/10)+Skills!O13</f>
        <v/>
      </c>
      <c r="G1598">
        <f>Skills!G13*IF(Skills!H13&gt;0,INT(IF(Inputs!$B$39="pvp",MIN(Skills!I13,15),Skills!I13)/Skills!H13+0.000000001),1)</f>
        <v/>
      </c>
      <c r="H1598">
        <f>1-(1-Skills!J13/100)^Skills!K13</f>
        <v/>
      </c>
      <c r="I1598" t="inlineStr">
        <is>
          <t>1</t>
        </is>
      </c>
      <c r="J1598" t="inlineStr"/>
      <c r="K1598" t="inlineStr"/>
      <c r="L1598" t="inlineStr"/>
      <c r="M1598" t="inlineStr"/>
      <c r="N1598" t="inlineStr"/>
      <c r="O1598">
        <f>(1-Summary!$B$11)*T1598+Summary!$B$11*V1598</f>
        <v/>
      </c>
      <c r="P1598">
        <f>IF(B1624=0,0,O1598/B1624)</f>
        <v/>
      </c>
      <c r="Q1598">
        <f>IFERROR(1/IF(Inputs!$B$39="pvp",15,MAX(0.1,Skills!D13-IF(TRUE=TRUE,Inputs!$B$33,0))),0)</f>
        <v/>
      </c>
      <c r="R1598">
        <f>IF(AND(Inputs!$B$39&lt;&gt;"pvp",Inputs!$B$44&gt;0),IF(Inputs!$B$44&lt;=0,0,(INT(Inputs!$B$44/IF(Inputs!$B$39="pvp",15,MAX(0.1,Skills!D13-IF(TRUE=TRUE,Inputs!$B$33,0))))+1)),0)</f>
        <v/>
      </c>
      <c r="S1598">
        <f>IFERROR(O1598/N1598,0)</f>
        <v/>
      </c>
      <c r="T1598" t="n">
        <v>0</v>
      </c>
      <c r="V1598" t="n">
        <v>0</v>
      </c>
    </row>
    <row r="1599">
      <c r="A1599">
        <f>Skills!A14</f>
        <v/>
      </c>
      <c r="B1599">
        <f>Skills!B14</f>
        <v/>
      </c>
      <c r="C1599">
        <f>Inputs!$B$3&gt;=115</f>
        <v/>
      </c>
      <c r="D1599">
        <f>IF(Skills!C14=1,60+Inputs!$B$26+Inputs!$B$30,IF(Skills!C14=2,90+Inputs!$B$27+Inputs!$B$30,IF(Skills!C14=3,120+Inputs!$B$28+Inputs!$B$30,MAX(0,(Inputs!$B$3-100)*3)+Inputs!$B$29+Inputs!$B$30)))</f>
        <v/>
      </c>
      <c r="E1599">
        <f>INDEX(FactorTable!$B$2:$Y$301, MATCH(ROUND(MIN(300,MAX(1,D1599)),0), FactorTable!$A$2:$A$301,0), Skills!M14+1)</f>
        <v/>
      </c>
      <c r="F1599">
        <f>IF(Skills!N14=TRUE,(Skills!L14/10)*(E1599/1000),Skills!L14/10)+Skills!O14</f>
        <v/>
      </c>
      <c r="G1599">
        <f>Skills!G14*IF(Skills!H14&gt;0,INT(IF(Inputs!$B$39="pvp",MIN(Skills!I14,15),Skills!I14)/Skills!H14+0.000000001),1)</f>
        <v/>
      </c>
      <c r="H1599">
        <f>1-(1-Skills!J14/100)^Skills!K14</f>
        <v/>
      </c>
      <c r="I1599" t="inlineStr">
        <is>
          <t>1</t>
        </is>
      </c>
      <c r="J1599" t="inlineStr"/>
      <c r="K1599" t="inlineStr"/>
      <c r="L1599" t="inlineStr"/>
      <c r="M1599" t="inlineStr"/>
      <c r="N1599" t="inlineStr"/>
      <c r="O1599">
        <f>(1-Summary!$B$11)*T1599+Summary!$B$11*V1599</f>
        <v/>
      </c>
      <c r="P1599">
        <f>IF(B1624=0,0,O1599/B1624)</f>
        <v/>
      </c>
      <c r="Q1599">
        <f>IFERROR(1/IF(Inputs!$B$39="pvp",15,MAX(0.1,Skills!D14-IF(TRUE=TRUE,Inputs!$B$33,0))),0)</f>
        <v/>
      </c>
      <c r="R1599">
        <f>IF(AND(Inputs!$B$39&lt;&gt;"pvp",Inputs!$B$44&gt;0),IF(Inputs!$B$44&lt;=0,0,(INT(Inputs!$B$44/IF(Inputs!$B$39="pvp",15,MAX(0.1,Skills!D14-IF(TRUE=TRUE,Inputs!$B$33,0))))+1)),0)</f>
        <v/>
      </c>
      <c r="S1599">
        <f>IFERROR(O1599/N1599,0)</f>
        <v/>
      </c>
      <c r="T1599" t="n">
        <v>0</v>
      </c>
      <c r="V1599" t="n">
        <v>0</v>
      </c>
    </row>
    <row r="1600">
      <c r="A1600">
        <f>Skills!A15</f>
        <v/>
      </c>
      <c r="B1600">
        <f>Skills!B15</f>
        <v/>
      </c>
      <c r="C1600">
        <f>Inputs!$B$3&gt;=66</f>
        <v/>
      </c>
      <c r="D1600">
        <f>IF(Skills!C15=1,60+Inputs!$B$26+Inputs!$B$30,IF(Skills!C15=2,90+Inputs!$B$27+Inputs!$B$30,IF(Skills!C15=3,120+Inputs!$B$28+Inputs!$B$30,MAX(0,(Inputs!$B$3-100)*3)+Inputs!$B$29+Inputs!$B$30)))</f>
        <v/>
      </c>
      <c r="E1600">
        <f>INDEX(FactorTable!$B$2:$Y$301, MATCH(ROUND(MIN(300,MAX(1,D1600)),0), FactorTable!$A$2:$A$301,0), Skills!M15+1)</f>
        <v/>
      </c>
      <c r="F1600">
        <f>IF(Skills!N15=TRUE,(Skills!L15/10)*(E1600/1000),Skills!L15/10)+Skills!O15</f>
        <v/>
      </c>
      <c r="G1600">
        <f>Skills!G15*IF(Skills!H15&gt;0,INT(IF(Inputs!$B$39="pvp",MIN(Skills!I15,15),Skills!I15)/Skills!H15+0.000000001),1)</f>
        <v/>
      </c>
      <c r="H1600">
        <f>1-(1-Skills!J15/100)^Skills!K15</f>
        <v/>
      </c>
      <c r="I1600" t="inlineStr">
        <is>
          <t>1</t>
        </is>
      </c>
      <c r="J1600" t="inlineStr"/>
      <c r="K1600" t="inlineStr"/>
      <c r="L1600" t="inlineStr"/>
      <c r="M1600" t="inlineStr"/>
      <c r="N1600" t="inlineStr"/>
      <c r="O1600">
        <f>(1-Summary!$B$11)*T1600+Summary!$B$11*V1600</f>
        <v/>
      </c>
      <c r="P1600">
        <f>IF(B1624=0,0,O1600/B1624)</f>
        <v/>
      </c>
      <c r="Q1600">
        <f>IFERROR(1/IF(Inputs!$B$39="pvp",15,MAX(0.1,Skills!D15-IF(TRUE=TRUE,Inputs!$B$33,0))),0)</f>
        <v/>
      </c>
      <c r="R1600">
        <f>IF(AND(Inputs!$B$39&lt;&gt;"pvp",Inputs!$B$44&gt;0),IF(Inputs!$B$44&lt;=0,0,(INT(Inputs!$B$44/IF(Inputs!$B$39="pvp",15,MAX(0.1,Skills!D15-IF(TRUE=TRUE,Inputs!$B$33,0))))+1)),0)</f>
        <v/>
      </c>
      <c r="S1600">
        <f>IFERROR(O1600/N1600,0)</f>
        <v/>
      </c>
      <c r="T1600" t="n">
        <v>0</v>
      </c>
      <c r="V1600" t="n">
        <v>0</v>
      </c>
    </row>
    <row r="1601">
      <c r="A1601">
        <f>Skills!A16</f>
        <v/>
      </c>
      <c r="B1601">
        <f>Skills!B16</f>
        <v/>
      </c>
      <c r="C1601">
        <f>Inputs!$B$3&gt;=45</f>
        <v/>
      </c>
      <c r="D1601">
        <f>IF(Skills!C16=1,60+Inputs!$B$26+Inputs!$B$30,IF(Skills!C16=2,90+Inputs!$B$27+Inputs!$B$30,IF(Skills!C16=3,120+Inputs!$B$28+Inputs!$B$30,MAX(0,(Inputs!$B$3-100)*3)+Inputs!$B$29+Inputs!$B$30)))</f>
        <v/>
      </c>
      <c r="E1601">
        <f>INDEX(FactorTable!$B$2:$Y$301, MATCH(ROUND(MIN(300,MAX(1,D1601)),0), FactorTable!$A$2:$A$301,0), Skills!M16+1)</f>
        <v/>
      </c>
      <c r="F1601">
        <f>IF(Skills!N16=TRUE,(Skills!L16/10)*(E1601/1000),Skills!L16/10)+Skills!O16</f>
        <v/>
      </c>
      <c r="G1601">
        <f>Skills!G16*IF(Skills!H16&gt;0,INT(IF(Inputs!$B$39="pvp",MIN(Skills!I16,15),Skills!I16)/Skills!H16+0.000000001),1)</f>
        <v/>
      </c>
      <c r="H1601">
        <f>1-(1-Skills!J16/100)^Skills!K16</f>
        <v/>
      </c>
      <c r="I1601" t="inlineStr">
        <is>
          <t>1</t>
        </is>
      </c>
      <c r="J1601" t="inlineStr"/>
      <c r="K1601" t="inlineStr"/>
      <c r="L1601" t="inlineStr"/>
      <c r="M1601" t="inlineStr"/>
      <c r="N1601" t="inlineStr"/>
      <c r="O1601">
        <f>(1-Summary!$B$11)*T1601+Summary!$B$11*V1601</f>
        <v/>
      </c>
      <c r="P1601">
        <f>IF(B1624=0,0,O1601/B1624)</f>
        <v/>
      </c>
      <c r="Q1601">
        <f>IFERROR(1/IF(Inputs!$B$39="pvp",15,MAX(0.1,Skills!D16-IF(TRUE=TRUE,Inputs!$B$33,0))),0)</f>
        <v/>
      </c>
      <c r="R1601">
        <f>IF(AND(Inputs!$B$39&lt;&gt;"pvp",Inputs!$B$44&gt;0),IF(Inputs!$B$44&lt;=0,0,(INT(Inputs!$B$44/IF(Inputs!$B$39="pvp",15,MAX(0.1,Skills!D16-IF(TRUE=TRUE,Inputs!$B$33,0))))+1)),0)</f>
        <v/>
      </c>
      <c r="S1601">
        <f>IFERROR(O1601/N1601,0)</f>
        <v/>
      </c>
      <c r="T1601" t="n">
        <v>0</v>
      </c>
      <c r="V1601" t="n">
        <v>0</v>
      </c>
    </row>
    <row r="1602">
      <c r="A1602">
        <f>Skills!A17</f>
        <v/>
      </c>
      <c r="B1602">
        <f>Skills!B17</f>
        <v/>
      </c>
      <c r="C1602">
        <f>Inputs!$B$3&gt;=35</f>
        <v/>
      </c>
      <c r="D1602">
        <f>IF(Skills!C17=1,60+Inputs!$B$26+Inputs!$B$30,IF(Skills!C17=2,90+Inputs!$B$27+Inputs!$B$30,IF(Skills!C17=3,120+Inputs!$B$28+Inputs!$B$30,MAX(0,(Inputs!$B$3-100)*3)+Inputs!$B$29+Inputs!$B$30)))</f>
        <v/>
      </c>
      <c r="E1602">
        <f>INDEX(FactorTable!$B$2:$Y$301, MATCH(ROUND(MIN(300,MAX(1,D1602)),0), FactorTable!$A$2:$A$301,0), Skills!M17+1)</f>
        <v/>
      </c>
      <c r="F1602">
        <f>IF(Skills!N17=TRUE,(Skills!L17/10)*(E1602/1000),Skills!L17/10)+Skills!O17</f>
        <v/>
      </c>
      <c r="G1602">
        <f>Skills!G17*IF(Skills!H17&gt;0,INT(IF(Inputs!$B$39="pvp",MIN(Skills!I17,15),Skills!I17)/Skills!H17+0.000000001),1)</f>
        <v/>
      </c>
      <c r="H1602">
        <f>1-(1-Skills!J17/100)^Skills!K17</f>
        <v/>
      </c>
      <c r="I1602" t="inlineStr">
        <is>
          <t>1</t>
        </is>
      </c>
      <c r="J1602" t="inlineStr"/>
      <c r="K1602" t="inlineStr"/>
      <c r="L1602" t="inlineStr"/>
      <c r="M1602" t="inlineStr"/>
      <c r="N1602" t="inlineStr"/>
      <c r="O1602">
        <f>(1-Summary!$B$11)*T1602+Summary!$B$11*V1602</f>
        <v/>
      </c>
      <c r="P1602">
        <f>IF(B1624=0,0,O1602/B1624)</f>
        <v/>
      </c>
      <c r="Q1602">
        <f>IFERROR(1/IF(Inputs!$B$39="pvp",15,MAX(0.1,Skills!D17-IF(TRUE=TRUE,Inputs!$B$33,0))),0)</f>
        <v/>
      </c>
      <c r="R1602">
        <f>IF(AND(Inputs!$B$39&lt;&gt;"pvp",Inputs!$B$44&gt;0),IF(Inputs!$B$44&lt;=0,0,(INT(Inputs!$B$44/IF(Inputs!$B$39="pvp",15,MAX(0.1,Skills!D17-IF(TRUE=TRUE,Inputs!$B$33,0))))+1)),0)</f>
        <v/>
      </c>
      <c r="S1602">
        <f>IFERROR(O1602/N1602,0)</f>
        <v/>
      </c>
      <c r="T1602" t="n">
        <v>0</v>
      </c>
      <c r="V1602" t="n">
        <v>0</v>
      </c>
    </row>
    <row r="1603">
      <c r="A1603">
        <f>Skills!A18</f>
        <v/>
      </c>
      <c r="B1603">
        <f>Skills!B18</f>
        <v/>
      </c>
      <c r="C1603">
        <f>Inputs!$B$3&gt;=72</f>
        <v/>
      </c>
      <c r="D1603">
        <f>IF(Skills!C18=1,60+Inputs!$B$26+Inputs!$B$30,IF(Skills!C18=2,90+Inputs!$B$27+Inputs!$B$30,IF(Skills!C18=3,120+Inputs!$B$28+Inputs!$B$30,MAX(0,(Inputs!$B$3-100)*3)+Inputs!$B$29+Inputs!$B$30)))</f>
        <v/>
      </c>
      <c r="E1603">
        <f>INDEX(FactorTable!$B$2:$Y$301, MATCH(ROUND(MIN(300,MAX(1,D1603)),0), FactorTable!$A$2:$A$301,0), Skills!M18+1)</f>
        <v/>
      </c>
      <c r="F1603">
        <f>IF(Skills!N18=TRUE,(Skills!L18/10)*(E1603/1000),Skills!L18/10)+Skills!O18</f>
        <v/>
      </c>
      <c r="G1603">
        <f>Skills!G18*IF(Skills!H18&gt;0,INT(IF(Inputs!$B$39="pvp",MIN(Skills!I18,15),Skills!I18)/Skills!H18+0.000000001),1)</f>
        <v/>
      </c>
      <c r="H1603">
        <f>1-(1-Skills!J18/100)^Skills!K18</f>
        <v/>
      </c>
      <c r="I1603" t="inlineStr">
        <is>
          <t>1</t>
        </is>
      </c>
      <c r="J1603" t="inlineStr"/>
      <c r="K1603" t="inlineStr"/>
      <c r="L1603" t="inlineStr"/>
      <c r="M1603" t="inlineStr"/>
      <c r="N1603" t="inlineStr"/>
      <c r="O1603">
        <f>(1-Summary!$B$11)*T1603+Summary!$B$11*V1603</f>
        <v/>
      </c>
      <c r="P1603">
        <f>IF(B1624=0,0,O1603/B1624)</f>
        <v/>
      </c>
      <c r="Q1603">
        <f>IFERROR(1/IF(Inputs!$B$39="pvp",15,MAX(0.1,Skills!D18-IF(TRUE=TRUE,Inputs!$B$33,0))),0)</f>
        <v/>
      </c>
      <c r="R1603">
        <f>IF(AND(Inputs!$B$39&lt;&gt;"pvp",Inputs!$B$44&gt;0),IF(Inputs!$B$44&lt;=0,0,(INT(Inputs!$B$44/IF(Inputs!$B$39="pvp",15,MAX(0.1,Skills!D18-IF(TRUE=TRUE,Inputs!$B$33,0))))+1)),0)</f>
        <v/>
      </c>
      <c r="S1603">
        <f>IFERROR(O1603/N1603,0)</f>
        <v/>
      </c>
      <c r="T1603" t="n">
        <v>0</v>
      </c>
      <c r="V1603" t="n">
        <v>0</v>
      </c>
    </row>
    <row r="1604">
      <c r="A1604">
        <f>Skills!A19</f>
        <v/>
      </c>
      <c r="B1604">
        <f>Skills!B19</f>
        <v/>
      </c>
      <c r="C1604">
        <f>Inputs!$B$3&gt;=72</f>
        <v/>
      </c>
      <c r="D1604">
        <f>IF(Skills!C19=1,60+Inputs!$B$26+Inputs!$B$30,IF(Skills!C19=2,90+Inputs!$B$27+Inputs!$B$30,IF(Skills!C19=3,120+Inputs!$B$28+Inputs!$B$30,MAX(0,(Inputs!$B$3-100)*3)+Inputs!$B$29+Inputs!$B$30)))</f>
        <v/>
      </c>
      <c r="E1604">
        <f>INDEX(FactorTable!$B$2:$Y$301, MATCH(ROUND(MIN(300,MAX(1,D1604)),0), FactorTable!$A$2:$A$301,0), Skills!M19+1)</f>
        <v/>
      </c>
      <c r="F1604">
        <f>IF(Skills!N19=TRUE,(Skills!L19/10)*(E1604/1000),Skills!L19/10)+Skills!O19</f>
        <v/>
      </c>
      <c r="G1604">
        <f>Skills!G19*IF(Skills!H19&gt;0,INT(IF(Inputs!$B$39="pvp",MIN(Skills!I19,15),Skills!I19)/Skills!H19+0.000000001),1)</f>
        <v/>
      </c>
      <c r="H1604">
        <f>1-(1-Skills!J19/100)^Skills!K19</f>
        <v/>
      </c>
      <c r="I1604" t="inlineStr">
        <is>
          <t>1</t>
        </is>
      </c>
      <c r="J1604" t="inlineStr"/>
      <c r="K1604" t="inlineStr"/>
      <c r="L1604" t="inlineStr"/>
      <c r="M1604" t="inlineStr"/>
      <c r="N1604" t="inlineStr"/>
      <c r="O1604">
        <f>(1-Summary!$B$11)*T1604+Summary!$B$11*V1604</f>
        <v/>
      </c>
      <c r="P1604">
        <f>IF(B1624=0,0,O1604/B1624)</f>
        <v/>
      </c>
      <c r="Q1604">
        <f>IFERROR(1/IF(Inputs!$B$39="pvp",15,MAX(0.1,Skills!D19-IF(TRUE=TRUE,Inputs!$B$33,0))),0)</f>
        <v/>
      </c>
      <c r="R1604">
        <f>IF(AND(Inputs!$B$39&lt;&gt;"pvp",Inputs!$B$44&gt;0),IF(Inputs!$B$44&lt;=0,0,(INT(Inputs!$B$44/IF(Inputs!$B$39="pvp",15,MAX(0.1,Skills!D19-IF(TRUE=TRUE,Inputs!$B$33,0))))+1)),0)</f>
        <v/>
      </c>
      <c r="S1604">
        <f>IFERROR(O1604/N1604,0)</f>
        <v/>
      </c>
      <c r="T1604" t="n">
        <v>0</v>
      </c>
      <c r="V1604" t="n">
        <v>0</v>
      </c>
    </row>
    <row r="1605">
      <c r="A1605">
        <f>Skills!A20</f>
        <v/>
      </c>
      <c r="B1605">
        <f>Skills!B20</f>
        <v/>
      </c>
      <c r="C1605">
        <f>TRUE</f>
        <v/>
      </c>
      <c r="D1605">
        <f>IF(Skills!C20=1,60+Inputs!$B$26+Inputs!$B$30,IF(Skills!C20=2,90+Inputs!$B$27+Inputs!$B$30,IF(Skills!C20=3,120+Inputs!$B$28+Inputs!$B$30,MAX(0,(Inputs!$B$3-100)*3)+Inputs!$B$29+Inputs!$B$30)))</f>
        <v/>
      </c>
      <c r="E1605">
        <f>INDEX(FactorTable!$B$2:$Y$301, MATCH(ROUND(MIN(300,MAX(1,D1605)),0), FactorTable!$A$2:$A$301,0), Skills!M20+1)</f>
        <v/>
      </c>
      <c r="F1605">
        <f>IF(Skills!N20=TRUE,(Skills!L20/10)*(E1605/1000),Skills!L20/10)+Skills!O20</f>
        <v/>
      </c>
      <c r="G1605">
        <f>Skills!G20*IF(Skills!H20&gt;0,INT(IF(Inputs!$B$39="pvp",MIN(Skills!I20,15),Skills!I20)/Skills!H20+0.000000001),1)</f>
        <v/>
      </c>
      <c r="H1605">
        <f>1-(1-Skills!J20/100)^Skills!K20</f>
        <v/>
      </c>
      <c r="I1605" t="inlineStr">
        <is>
          <t>1</t>
        </is>
      </c>
      <c r="J1605" t="inlineStr"/>
      <c r="K1605" t="inlineStr"/>
      <c r="L1605" t="inlineStr"/>
      <c r="M1605" t="inlineStr"/>
      <c r="N1605" t="inlineStr"/>
      <c r="O1605">
        <f>(1-Summary!$B$11)*T1605+Summary!$B$11*V1605</f>
        <v/>
      </c>
      <c r="P1605">
        <f>IF(B1624=0,0,O1605/B1624)</f>
        <v/>
      </c>
      <c r="Q1605">
        <f>IFERROR(1/IF(Inputs!$B$39="pvp",15,MAX(0.1,Skills!D20-IF(TRUE=TRUE,Inputs!$B$33,0))),0)</f>
        <v/>
      </c>
      <c r="R1605">
        <f>IF(AND(Inputs!$B$39&lt;&gt;"pvp",Inputs!$B$44&gt;0),IF(Inputs!$B$44&lt;=0,0,(INT(Inputs!$B$44/IF(Inputs!$B$39="pvp",15,MAX(0.1,Skills!D20-IF(TRUE=TRUE,Inputs!$B$33,0))))+1)),0)</f>
        <v/>
      </c>
      <c r="S1605">
        <f>IFERROR(O1605/N1605,0)</f>
        <v/>
      </c>
      <c r="T1605" t="n">
        <v>0</v>
      </c>
      <c r="V1605" t="n">
        <v>0</v>
      </c>
    </row>
    <row r="1606">
      <c r="A1606">
        <f>Skills!A21</f>
        <v/>
      </c>
      <c r="B1606">
        <f>Skills!B21</f>
        <v/>
      </c>
      <c r="C1606">
        <f>Inputs!$B$3&gt;=33</f>
        <v/>
      </c>
      <c r="D1606">
        <f>IF(Skills!C21=1,60+Inputs!$B$26+Inputs!$B$30,IF(Skills!C21=2,90+Inputs!$B$27+Inputs!$B$30,IF(Skills!C21=3,120+Inputs!$B$28+Inputs!$B$30,MAX(0,(Inputs!$B$3-100)*3)+Inputs!$B$29+Inputs!$B$30)))</f>
        <v/>
      </c>
      <c r="E1606">
        <f>INDEX(FactorTable!$B$2:$Y$301, MATCH(ROUND(MIN(300,MAX(1,D1606)),0), FactorTable!$A$2:$A$301,0), Skills!M21+1)</f>
        <v/>
      </c>
      <c r="F1606">
        <f>IF(Skills!N21=TRUE,(Skills!L21/10)*(E1606/1000),Skills!L21/10)+Skills!O21</f>
        <v/>
      </c>
      <c r="G1606">
        <f>Skills!G21*IF(Skills!H21&gt;0,INT(IF(Inputs!$B$39="pvp",MIN(Skills!I21,15),Skills!I21)/Skills!H21+0.000000001),1)</f>
        <v/>
      </c>
      <c r="H1606">
        <f>1-(1-Skills!J21/100)^Skills!K21</f>
        <v/>
      </c>
      <c r="I1606" t="inlineStr">
        <is>
          <t>1</t>
        </is>
      </c>
      <c r="J1606" t="inlineStr"/>
      <c r="K1606" t="inlineStr"/>
      <c r="L1606" t="inlineStr"/>
      <c r="M1606" t="inlineStr"/>
      <c r="N1606" t="inlineStr"/>
      <c r="O1606">
        <f>(1-Summary!$B$11)*T1606+Summary!$B$11*V1606</f>
        <v/>
      </c>
      <c r="P1606">
        <f>IF(B1624=0,0,O1606/B1624)</f>
        <v/>
      </c>
      <c r="Q1606" t="n">
        <v>0</v>
      </c>
      <c r="R1606" t="n">
        <v>0</v>
      </c>
      <c r="S1606">
        <f>IFERROR(O1606/N1606,0)</f>
        <v/>
      </c>
      <c r="T1606" t="n">
        <v>0</v>
      </c>
      <c r="V1606" t="n">
        <v>0</v>
      </c>
    </row>
    <row r="1607">
      <c r="A1607">
        <f>Skills!A22</f>
        <v/>
      </c>
      <c r="B1607">
        <f>Skills!B22</f>
        <v/>
      </c>
      <c r="C1607">
        <f>Inputs!$B$3&gt;=43</f>
        <v/>
      </c>
      <c r="D1607">
        <f>IF(Skills!C22=1,60+Inputs!$B$26+Inputs!$B$30,IF(Skills!C22=2,90+Inputs!$B$27+Inputs!$B$30,IF(Skills!C22=3,120+Inputs!$B$28+Inputs!$B$30,MAX(0,(Inputs!$B$3-100)*3)+Inputs!$B$29+Inputs!$B$30)))</f>
        <v/>
      </c>
      <c r="E1607">
        <f>INDEX(FactorTable!$B$2:$Y$301, MATCH(ROUND(MIN(300,MAX(1,D1607)),0), FactorTable!$A$2:$A$301,0), Skills!M22+1)</f>
        <v/>
      </c>
      <c r="F1607">
        <f>IF(Skills!N22=TRUE,(Skills!L22/10)*(E1607/1000),Skills!L22/10)+Skills!O22</f>
        <v/>
      </c>
      <c r="G1607">
        <f>Skills!G22*IF(Skills!H22&gt;0,INT(IF(Inputs!$B$39="pvp",MIN(Skills!I22,15),Skills!I22)/Skills!H22+0.000000001),1)</f>
        <v/>
      </c>
      <c r="H1607">
        <f>1-(1-Skills!J22/100)^Skills!K22</f>
        <v/>
      </c>
      <c r="I1607" t="inlineStr">
        <is>
          <t>1</t>
        </is>
      </c>
      <c r="J1607" t="inlineStr"/>
      <c r="K1607" t="inlineStr"/>
      <c r="L1607" t="inlineStr"/>
      <c r="M1607" t="inlineStr"/>
      <c r="N1607" t="inlineStr"/>
      <c r="O1607">
        <f>(1-Summary!$B$11)*T1607+Summary!$B$11*V1607</f>
        <v/>
      </c>
      <c r="P1607">
        <f>IF(B1624=0,0,O1607/B1624)</f>
        <v/>
      </c>
      <c r="Q1607" t="n">
        <v>0</v>
      </c>
      <c r="R1607" t="n">
        <v>0</v>
      </c>
      <c r="S1607">
        <f>IFERROR(O1607/N1607,0)</f>
        <v/>
      </c>
      <c r="T1607" t="n">
        <v>0</v>
      </c>
      <c r="V1607" t="n">
        <v>0</v>
      </c>
    </row>
    <row r="1608">
      <c r="A1608">
        <f>Skills!A23</f>
        <v/>
      </c>
      <c r="B1608">
        <f>Skills!B23</f>
        <v/>
      </c>
      <c r="C1608">
        <f>Inputs!$B$3&gt;=120</f>
        <v/>
      </c>
      <c r="D1608">
        <f>IF(Skills!C23=1,60+Inputs!$B$26+Inputs!$B$30,IF(Skills!C23=2,90+Inputs!$B$27+Inputs!$B$30,IF(Skills!C23=3,120+Inputs!$B$28+Inputs!$B$30,MAX(0,(Inputs!$B$3-100)*3)+Inputs!$B$29+Inputs!$B$30)))</f>
        <v/>
      </c>
      <c r="E1608">
        <f>INDEX(FactorTable!$B$2:$Y$301, MATCH(ROUND(MIN(300,MAX(1,D1608)),0), FactorTable!$A$2:$A$301,0), Skills!M23+1)</f>
        <v/>
      </c>
      <c r="F1608">
        <f>IF(Skills!N23=TRUE,(Skills!L23/10)*(E1608/1000),Skills!L23/10)+Skills!O23</f>
        <v/>
      </c>
      <c r="G1608">
        <f>Skills!G23*IF(Skills!H23&gt;0,INT(IF(Inputs!$B$39="pvp",MIN(Skills!I23,15),Skills!I23)/Skills!H23+0.000000001),1)</f>
        <v/>
      </c>
      <c r="H1608">
        <f>1-(1-Skills!J23/100)^Skills!K23</f>
        <v/>
      </c>
      <c r="I1608" t="inlineStr">
        <is>
          <t>1</t>
        </is>
      </c>
      <c r="J1608" t="inlineStr"/>
      <c r="K1608" t="inlineStr"/>
      <c r="L1608" t="inlineStr"/>
      <c r="M1608" t="inlineStr"/>
      <c r="N1608" t="inlineStr"/>
      <c r="O1608">
        <f>(1-Summary!$B$11)*T1608+Summary!$B$11*V1608</f>
        <v/>
      </c>
      <c r="P1608">
        <f>IF(B1624=0,0,O1608/B1624)</f>
        <v/>
      </c>
      <c r="Q1608" t="n">
        <v>0</v>
      </c>
      <c r="R1608" t="n">
        <v>0</v>
      </c>
      <c r="S1608">
        <f>IFERROR(O1608/N1608,0)</f>
        <v/>
      </c>
      <c r="T1608" t="n">
        <v>0</v>
      </c>
      <c r="V1608" t="n">
        <v>0</v>
      </c>
    </row>
    <row r="1609">
      <c r="A1609">
        <f>Skills!A24</f>
        <v/>
      </c>
      <c r="B1609">
        <f>Skills!B24</f>
        <v/>
      </c>
      <c r="C1609">
        <f>Inputs!$B$3&gt;=120</f>
        <v/>
      </c>
      <c r="D1609">
        <f>IF(Skills!C24=1,60+Inputs!$B$26+Inputs!$B$30,IF(Skills!C24=2,90+Inputs!$B$27+Inputs!$B$30,IF(Skills!C24=3,120+Inputs!$B$28+Inputs!$B$30,MAX(0,(Inputs!$B$3-100)*3)+Inputs!$B$29+Inputs!$B$30)))</f>
        <v/>
      </c>
      <c r="E1609">
        <f>INDEX(FactorTable!$B$2:$Y$301, MATCH(ROUND(MIN(300,MAX(1,D1609)),0), FactorTable!$A$2:$A$301,0), Skills!M24+1)</f>
        <v/>
      </c>
      <c r="F1609">
        <f>IF(Skills!N24=TRUE,(Skills!L24/10)*(E1609/1000),Skills!L24/10)+Skills!O24</f>
        <v/>
      </c>
      <c r="G1609">
        <f>Skills!G24*IF(Skills!H24&gt;0,INT(IF(Inputs!$B$39="pvp",MIN(Skills!I24,15),Skills!I24)/Skills!H24+0.000000001),1)</f>
        <v/>
      </c>
      <c r="H1609">
        <f>1-(1-Skills!J24/100)^Skills!K24</f>
        <v/>
      </c>
      <c r="I1609" t="inlineStr">
        <is>
          <t>1</t>
        </is>
      </c>
      <c r="J1609" t="inlineStr"/>
      <c r="K1609" t="inlineStr"/>
      <c r="L1609" t="inlineStr"/>
      <c r="M1609" t="inlineStr"/>
      <c r="N1609" t="inlineStr"/>
      <c r="O1609">
        <f>(1-Summary!$B$11)*T1609+Summary!$B$11*V1609</f>
        <v/>
      </c>
      <c r="P1609">
        <f>IF(B1624=0,0,O1609/B1624)</f>
        <v/>
      </c>
      <c r="Q1609" t="n">
        <v>0</v>
      </c>
      <c r="R1609" t="n">
        <v>0</v>
      </c>
      <c r="S1609">
        <f>IFERROR(O1609/N1609,0)</f>
        <v/>
      </c>
      <c r="T1609" t="n">
        <v>0</v>
      </c>
      <c r="V1609" t="n">
        <v>0</v>
      </c>
    </row>
    <row r="1610">
      <c r="A1610">
        <f>Skills!A25</f>
        <v/>
      </c>
      <c r="B1610">
        <f>Skills!B25</f>
        <v/>
      </c>
      <c r="C1610">
        <f>Inputs!$B$3&gt;=125</f>
        <v/>
      </c>
      <c r="D1610">
        <f>IF(Skills!C25=1,60+Inputs!$B$26+Inputs!$B$30,IF(Skills!C25=2,90+Inputs!$B$27+Inputs!$B$30,IF(Skills!C25=3,120+Inputs!$B$28+Inputs!$B$30,MAX(0,(Inputs!$B$3-100)*3)+Inputs!$B$29+Inputs!$B$30)))</f>
        <v/>
      </c>
      <c r="E1610">
        <f>INDEX(FactorTable!$B$2:$Y$301, MATCH(ROUND(MIN(300,MAX(1,D1610)),0), FactorTable!$A$2:$A$301,0), Skills!M25+1)</f>
        <v/>
      </c>
      <c r="F1610">
        <f>IF(Skills!N25=TRUE,(Skills!L25/10)*(E1610/1000),Skills!L25/10)+Skills!O25</f>
        <v/>
      </c>
      <c r="G1610">
        <f>Skills!G25*IF(Skills!H25&gt;0,INT(IF(Inputs!$B$39="pvp",MIN(Skills!I25,15),Skills!I25)/Skills!H25+0.000000001),1)</f>
        <v/>
      </c>
      <c r="H1610">
        <f>1-(1-Skills!J25/100)^Skills!K25</f>
        <v/>
      </c>
      <c r="I1610" t="inlineStr">
        <is>
          <t>1</t>
        </is>
      </c>
      <c r="J1610" t="inlineStr"/>
      <c r="K1610" t="inlineStr"/>
      <c r="L1610" t="inlineStr"/>
      <c r="M1610" t="inlineStr"/>
      <c r="N1610" t="inlineStr"/>
      <c r="O1610">
        <f>(1-Summary!$B$11)*T1610+Summary!$B$11*V1610</f>
        <v/>
      </c>
      <c r="P1610">
        <f>IF(B1624=0,0,O1610/B1624)</f>
        <v/>
      </c>
      <c r="Q1610" t="n">
        <v>0</v>
      </c>
      <c r="R1610" t="n">
        <v>0</v>
      </c>
      <c r="S1610">
        <f>IFERROR(O1610/N1610,0)</f>
        <v/>
      </c>
      <c r="T1610" t="n">
        <v>0</v>
      </c>
      <c r="V1610" t="n">
        <v>0</v>
      </c>
    </row>
    <row r="1611">
      <c r="A1611">
        <f>Skills!A26</f>
        <v/>
      </c>
      <c r="B1611">
        <f>Skills!B26</f>
        <v/>
      </c>
      <c r="C1611">
        <f>Inputs!$B$3&gt;=107</f>
        <v/>
      </c>
      <c r="D1611">
        <f>IF(Skills!C26=1,60+Inputs!$B$26+Inputs!$B$30,IF(Skills!C26=2,90+Inputs!$B$27+Inputs!$B$30,IF(Skills!C26=3,120+Inputs!$B$28+Inputs!$B$30,MAX(0,(Inputs!$B$3-100)*3)+Inputs!$B$29+Inputs!$B$30)))</f>
        <v/>
      </c>
      <c r="E1611">
        <f>INDEX(FactorTable!$B$2:$Y$301, MATCH(ROUND(MIN(300,MAX(1,D1611)),0), FactorTable!$A$2:$A$301,0), Skills!M26+1)</f>
        <v/>
      </c>
      <c r="F1611">
        <f>IF(Skills!N26=TRUE,(Skills!L26/10)*(E1611/1000),Skills!L26/10)+Skills!O26</f>
        <v/>
      </c>
      <c r="G1611">
        <f>Skills!G26*IF(Skills!H26&gt;0,INT(IF(Inputs!$B$39="pvp",MIN(Skills!I26,15),Skills!I26)/Skills!H26+0.000000001),1)</f>
        <v/>
      </c>
      <c r="H1611">
        <f>1-(1-Skills!J26/100)^Skills!K26</f>
        <v/>
      </c>
      <c r="I1611" t="inlineStr">
        <is>
          <t>1</t>
        </is>
      </c>
      <c r="J1611" t="inlineStr"/>
      <c r="K1611" t="inlineStr"/>
      <c r="L1611" t="inlineStr"/>
      <c r="M1611" t="inlineStr"/>
      <c r="N1611" t="inlineStr"/>
      <c r="O1611">
        <f>(1-Summary!$B$11)*T1611+Summary!$B$11*V1611</f>
        <v/>
      </c>
      <c r="P1611">
        <f>IF(B1624=0,0,O1611/B1624)</f>
        <v/>
      </c>
      <c r="Q1611" t="n">
        <v>0</v>
      </c>
      <c r="R1611" t="n">
        <v>0</v>
      </c>
      <c r="S1611">
        <f>IFERROR(O1611/N1611,0)</f>
        <v/>
      </c>
      <c r="T1611" t="n">
        <v>0</v>
      </c>
      <c r="V1611" t="n">
        <v>0</v>
      </c>
    </row>
    <row r="1613">
      <c r="A1613" t="inlineStr">
        <is>
          <t>Attack% Bucket Multiplier</t>
        </is>
      </c>
      <c r="B1613">
        <f>(1+(((C1598=TRUE)*F1598*IF(AND(Inputs!$B$39&lt;&gt;"pvp",Inputs!$B$44&gt;0),(((R1598-1)*MIN((Skills!T13*(1+Inputs!$B$35/100)),(1/Q1598))+MIN((Skills!T13*(1+Inputs!$B$35/100)),MAX(0,Inputs!$B$44-((R1598-1)*(1/Q1598)))))/Inputs!$B$44),IF(Inputs!$B$39="pvp",MIN((Skills!T13*(1+Inputs!$B$35/100)),15)/15,MIN(1,(Skills!T13*(1+Inputs!$B$35/100))/(1/Q1598)))))+((C1599=TRUE)*F1599*IF(AND(Inputs!$B$39&lt;&gt;"pvp",Inputs!$B$44&gt;0),(((R1599-1)*MIN((Skills!T14*(1+Inputs!$B$35/100)),(1/Q1599))+MIN((Skills!T14*(1+Inputs!$B$35/100)),MAX(0,Inputs!$B$44-((R1599-1)*(1/Q1599)))))/Inputs!$B$44),IF(Inputs!$B$39="pvp",MIN((Skills!T14*(1+Inputs!$B$35/100)),15)/15,MIN(1,(Skills!T14*(1+Inputs!$B$35/100))/(1/Q1599)))))+((C1600=TRUE)*F1600*IF(AND(Inputs!$B$39&lt;&gt;"pvp",Inputs!$B$44&gt;0),(((R1600-1)*MIN((Skills!T15*(1+Inputs!$B$35/100)),(1/Q1600))+MIN((Skills!T15*(1+Inputs!$B$35/100)),MAX(0,Inputs!$B$44-((R1600-1)*(1/Q1600)))))/Inputs!$B$44),IF(Inputs!$B$39="pvp",MIN((Skills!T15*(1+Inputs!$B$35/100)),15)/15,MIN(1,(Skills!T15*(1+Inputs!$B$35/100))/(1/Q1600)))))+((C1601=TRUE)*F1601*IF(AND(Inputs!$B$39&lt;&gt;"pvp",Inputs!$B$44&gt;0),(((R1601-1)*MIN((Skills!T16*(1+Inputs!$B$35/100)),(1/Q1601))+MIN((Skills!T16*(1+Inputs!$B$35/100)),MAX(0,Inputs!$B$44-((R1601-1)*(1/Q1601)))))/Inputs!$B$44),IF(Inputs!$B$39="pvp",MIN((Skills!T16*(1+Inputs!$B$35/100)),15)/15,MIN(1,(Skills!T16*(1+Inputs!$B$35/100))/(1/Q1601)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1614">
      <c r="A1614" t="inlineStr">
        <is>
          <t>Global Crit Rate Bonus % (Lord of Darkness)</t>
        </is>
      </c>
      <c r="B1614">
        <f>((C1603=TRUE)*F1603*(Skills!J18/100)*IF(AND(Inputs!$B$39&lt;&gt;"pvp",Inputs!$B$44&gt;0),(((R1603-1)*MIN((Skills!T18*(1+Inputs!$B$35/100)),(1/Q1603))+MIN((Skills!T18*(1+Inputs!$B$35/100)),MAX(0,Inputs!$B$44-((R1603-1)*(1/Q1603)))))/Inputs!$B$44),IF(Inputs!$B$39="pvp",MIN((Skills!T18*(1+Inputs!$B$35/100)),15)/15,MIN(1,(Skills!T18*(1+Inputs!$B$35/100))/(1/Q1603)))))</f>
        <v/>
      </c>
    </row>
    <row r="1615">
      <c r="A1615" t="inlineStr">
        <is>
          <t>Attack Speed Buff Bonus %</t>
        </is>
      </c>
      <c r="B1615">
        <f>((C1605=TRUE)*F1605*IF(AND(Inputs!$B$39&lt;&gt;"pvp",Inputs!$B$44&gt;0),(((R1605-1)*MIN((Skills!T20*(1+Inputs!$B$35/100)),(1/Q1605))+MIN((Skills!T20*(1+Inputs!$B$35/100)),MAX(0,Inputs!$B$44-((R1605-1)*(1/Q1605)))))/Inputs!$B$44),IF(Inputs!$B$39="pvp",MIN((Skills!T20*(1+Inputs!$B$35/100)),15)/15,MIN(1,(Skills!T20*(1+Inputs!$B$35/100))/(1/Q1605)))))</f>
        <v/>
      </c>
    </row>
    <row r="1616">
      <c r="A1616" t="inlineStr">
        <is>
          <t>Actions Per Second</t>
        </is>
      </c>
      <c r="B1616">
        <f>1+MIN(150,150*(1-(1-(Inputs!$B$12+((C1606=TRUE)*(F1606-Calc!F21)))/150)*(1-B1615/150)))/100</f>
        <v/>
      </c>
    </row>
    <row r="1617">
      <c r="A1617" t="inlineStr">
        <is>
          <t>Skill + Buff Cast Rate</t>
        </is>
      </c>
      <c r="B1617">
        <f>IF(AND(Inputs!$B$39&lt;&gt;"pvp",Inputs!$B$44&gt;0),SUMPRODUCT((Skills!E2:E26=TRUE)*(C1587:C1611=TRUE)*R1587:R1611*Skills!F2:F26)/Inputs!$B$44,SUMPRODUCT((Skills!E2:E26=TRUE)*(C1587:C1611=TRUE)*Q1587:Q1611*Skills!F2:F26))</f>
        <v/>
      </c>
    </row>
    <row r="1618">
      <c r="A1618" t="inlineStr">
        <is>
          <t>Dark Impale Casts Per Second</t>
        </is>
      </c>
      <c r="B1618">
        <f>MAX(0,B1616-B1617)</f>
        <v/>
      </c>
    </row>
    <row r="1619">
      <c r="A1619" t="inlineStr">
        <is>
          <t>Global Critical Damage Bonus % (Lord of Darkness)</t>
        </is>
      </c>
      <c r="B1619">
        <f>((C1604=TRUE)*F1604*(Skills!J19/100)*IF(AND(Inputs!$B$39&lt;&gt;"pvp",Inputs!$B$44&gt;0),(((R1604-1)*MIN((Skills!T19*(1+Inputs!$B$35/100)),(1/Q1604))+MIN((Skills!T19*(1+Inputs!$B$35/100)),MAX(0,Inputs!$B$44-((R1604-1)*(1/Q1604)))))/Inputs!$B$44),IF(Inputs!$B$39="pvp",MIN((Skills!T19*(1+Inputs!$B$35/100)),15)/15,MIN(1,(Skills!T19*(1+Inputs!$B$35/100))/(1/Q1604)))))</f>
        <v/>
      </c>
    </row>
    <row r="1620">
      <c r="A1620" t="inlineStr">
        <is>
          <t>Global Final Damage Bonus % (unused)</t>
        </is>
      </c>
      <c r="B1620" t="n">
        <v>0</v>
      </c>
    </row>
    <row r="1621">
      <c r="A1621" t="inlineStr">
        <is>
          <t>Buff-Casting Startup Delay (s, fixed-duration only)</t>
        </is>
      </c>
      <c r="B1621">
        <f>IF(AND(Inputs!$B$39&lt;&gt;"pvp",Inputs!$B$44&gt;0),SUMPRODUCT((Skills!T2:T26&gt;0)*(Skills!E2:E26=TRUE)*(C1587:C1611=TRUE))/B1616,0)</f>
        <v/>
      </c>
    </row>
    <row r="1622">
      <c r="A1622" t="inlineStr">
        <is>
          <t>Boss-Only Total DPS (this block's swept value)</t>
        </is>
      </c>
      <c r="B1622">
        <f>SUM(T1587:T1611)</f>
        <v/>
      </c>
    </row>
    <row r="1623">
      <c r="A1623" t="inlineStr">
        <is>
          <t>Normal-Only Total DPS (this block's swept value)</t>
        </is>
      </c>
      <c r="B1623">
        <f>SUM(V1587:V1611)</f>
        <v/>
      </c>
    </row>
    <row r="1624">
      <c r="A1624" s="6" t="inlineStr">
        <is>
          <t>TOTAL DPS</t>
        </is>
      </c>
      <c r="B1624" s="6">
        <f>SUM(O1587:O1611)</f>
        <v/>
      </c>
    </row>
    <row r="1627">
      <c r="A1627" s="6" t="inlineStr">
        <is>
          <t>Stat: Athena Pierce's Old Gloves (Equip)</t>
        </is>
      </c>
    </row>
    <row r="1628">
      <c r="A1628" s="5" t="inlineStr">
        <is>
          <t>Key</t>
        </is>
      </c>
      <c r="B1628" s="5" t="inlineStr">
        <is>
          <t>Name</t>
        </is>
      </c>
      <c r="C1628" s="5" t="inlineStr">
        <is>
          <t>Unlocked</t>
        </is>
      </c>
      <c r="D1628" s="5" t="inlineStr">
        <is>
          <t>InputLevel</t>
        </is>
      </c>
      <c r="E1628" s="5" t="inlineStr">
        <is>
          <t>Factor</t>
        </is>
      </c>
      <c r="F1628" s="5" t="inlineStr">
        <is>
          <t>CoefficientPercent</t>
        </is>
      </c>
      <c r="G1628" s="5" t="inlineStr">
        <is>
          <t>EffectiveHits</t>
        </is>
      </c>
      <c r="H1628" s="5" t="inlineStr">
        <is>
          <t>ProcProbability</t>
        </is>
      </c>
      <c r="I1628" s="5" t="inlineStr">
        <is>
          <t>MapleHeroMultiplier</t>
        </is>
      </c>
      <c r="J1628" s="5" t="inlineStr">
        <is>
          <t>BaseDamage</t>
        </is>
      </c>
      <c r="K1628" s="5" t="inlineStr">
        <is>
          <t>BaseHitDamage</t>
        </is>
      </c>
      <c r="L1628" s="5" t="inlineStr">
        <is>
          <t>NonCritAvg</t>
        </is>
      </c>
      <c r="M1628" s="5" t="inlineStr">
        <is>
          <t>CritAvg</t>
        </is>
      </c>
      <c r="N1628" s="5" t="inlineStr">
        <is>
          <t>ExpectedDamage(perHit)</t>
        </is>
      </c>
      <c r="O1628" s="5" t="inlineStr">
        <is>
          <t>DPS</t>
        </is>
      </c>
      <c r="P1628" s="5" t="inlineStr">
        <is>
          <t>% of Total</t>
        </is>
      </c>
      <c r="Q1628" s="5" t="inlineStr">
        <is>
          <t>InvCooldown</t>
        </is>
      </c>
      <c r="R1628" s="5" t="inlineStr">
        <is>
          <t>CastsInFight</t>
        </is>
      </c>
      <c r="S1628" s="5" t="inlineStr">
        <is>
          <t>HitRate(perSec)</t>
        </is>
      </c>
      <c r="U1628" t="inlineStr">
        <is>
          <t>helpers</t>
        </is>
      </c>
    </row>
    <row r="1629">
      <c r="A1629">
        <f>Skills!A2</f>
        <v/>
      </c>
      <c r="B1629">
        <f>Skills!B2</f>
        <v/>
      </c>
      <c r="C1629">
        <f>Inputs!$B$3&gt;=100</f>
        <v/>
      </c>
      <c r="D1629" t="inlineStr"/>
      <c r="E1629" t="inlineStr"/>
      <c r="F1629">
        <f>U1631+Skills!O2</f>
        <v/>
      </c>
      <c r="G1629">
        <f>Skills!G2*IF(Skills!H2&gt;0,INT(IF(Inputs!$B$39="pvp",MIN(Skills!I2,15),Skills!I2)/Skills!H2+0.000000001),1)</f>
        <v/>
      </c>
      <c r="H1629">
        <f>1-(1-Skills!J2/100)^Skills!K2</f>
        <v/>
      </c>
      <c r="I1629" t="inlineStr">
        <is>
          <t>1</t>
        </is>
      </c>
      <c r="J1629">
        <f>((Inputs!$B$6*(1+Inputs!$B$7/100))+(((Inputs!$B$13*(1+Inputs!$B$14/100))-(Inputs!$B$13*(1+Inputs!$B$14/100)))+0.25*(Inputs!$B$15-Inputs!$B$15))*(1+Inputs!$B$7/100))*(F1629/100)</f>
        <v/>
      </c>
      <c r="K1629">
        <f>J1629*(1+(((Inputs!$B$13+IF(Inputs!$B$3&gt;=38,(10*INDEX(FactorTable!$B$2:$Y$301, MATCH(ROUND(MIN(300,MAX(1,Inputs!$B$3)),0), FactorTable!$A$2:$A$301,0), 23)/1000)/100*(Inputs!$B$8*(1+Inputs!$B$9/100)),0))*(1+Inputs!$B$14/100))*0.01+Inputs!$B$15*0.0025)/100)*(1+Inputs!$B$16/100)*(1+Inputs!$B$17/100)*(5000/(6000+Inputs!$B$43*(1-(Inputs!$B$20+0)/100)))*(1+(Inputs!$B$25+((C1652=TRUE)*(F1652-Calc!F25))+((C1653=TRUE)*(F1653-Calc!F26))+B1662)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gt;=100),MIN(100,((Inputs!$B$10+0+B1656+(ArtifactsInput!$M$24-ArtifactsInput!$M$24)*CHOOSE(ArtifactsInput!$N$24+1,10,12,14,16,18,20)+IF(ArtifactsInput!$M$10,CHOOSE(ArtifactsInput!$N$10+1,15,18,21,24,27,30)*(IF(Inputs!$B$39="pvp",MIN(15,15)/15,IF(AND(Inputs!$B$39&lt;&gt;"pvp",Inputs!$B$44&gt;0),MIN(15,Inputs!$B$44)/(Inputs!$B$44),0))),0)))-100),0))*CHOOSE(ArtifactsInput!$N$42+1,0.6,0.72,0.84,0.96,1.08,1.2))),Inputs!$B$19+((C1650=TRUE)*(F1650-Calc!F23))+(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gt;=100),CHOOSE(ArtifactsInput!$N$42+1,40,48,56,64,72,80),0))))/100)*((1+(((C1640=TRUE)*F1640*IF(AND(Inputs!$B$39&lt;&gt;"pvp",Inputs!$B$44&gt;0),(((R1640-1)*MIN((Skills!T13*(1+Inputs!$B$35/100)),(1/Q1640))+MIN((Skills!T13*(1+Inputs!$B$35/100)),MAX(0,Inputs!$B$44-((R1640-1)*(1/Q1640)))))/Inputs!$B$44),IF(Inputs!$B$39="pvp",MIN((Skills!T13*(1+Inputs!$B$35/100)),15)/15,MIN(1,(Skills!T13*(1+Inputs!$B$35/100))/(1/Q1640)))))+((C1641=TRUE)*F1641*IF(AND(Inputs!$B$39&lt;&gt;"pvp",Inputs!$B$44&gt;0),(((R1641-1)*MIN((Skills!T14*(1+Inputs!$B$35/100)),(1/Q1641))+MIN((Skills!T14*(1+Inputs!$B$35/100)),MAX(0,Inputs!$B$44-((R1641-1)*(1/Q1641)))))/Inputs!$B$44),IF(Inputs!$B$39="pvp",MIN((Skills!T14*(1+Inputs!$B$35/100)),15)/15,MIN(1,(Skills!T14*(1+Inputs!$B$35/100))/(1/Q1641)))))+((C1642=TRUE)*F1642*IF(AND(Inputs!$B$39&lt;&gt;"pvp",Inputs!$B$44&gt;0),(((R1642-1)*MIN((Skills!T15*(1+Inputs!$B$35/100)),(1/Q1642))+MIN((Skills!T15*(1+Inputs!$B$35/100)),MAX(0,Inputs!$B$44-((R1642-1)*(1/Q1642)))))/Inputs!$B$44),IF(Inputs!$B$39="pvp",MIN((Skills!T15*(1+Inputs!$B$35/100)),15)/15,MIN(1,(Skills!T15*(1+Inputs!$B$35/100))/(1/Q1642)))))+((C1643=TRUE)*F1643*IF(AND(Inputs!$B$39&lt;&gt;"pvp",Inputs!$B$44&gt;0),(((R1643-1)*MIN((Skills!T16*(1+Inputs!$B$35/100)),(1/Q1643))+MIN((Skills!T16*(1+Inputs!$B$35/100)),MAX(0,Inputs!$B$44-((R1643-1)*(1/Q1643)))))/Inputs!$B$44),IF(Inputs!$B$39="pvp",MIN((Skills!T16*(1+Inputs!$B$35/100)),15)/15,MIN(1,(Skills!T16*(1+Inputs!$B$35/100))/(1/Q1643)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1629)</f>
        <v/>
      </c>
      <c r="L1629">
        <f>K1629*(MIN(Inputs!$B$23+((C1649=TRUE)*(F1649-Calc!F22)),(Inputs!$B$24+((C1651=TRUE)*(F1651-Calc!F24))+((IF(IF(ArtifactsInput!$M$15,FALSE,TRUE),1,-1)*CHOOSE(ArtifactsInput!$N$15+1,25,30,35,40,45,50)/100*IF(IF(ArtifactsInput!$M$15,FALSE,TRUE),(Inputs!$B$12+((C1648=TRUE)*(F1648-Calc!F21))+(IF(ArtifactsInput!$M$15,FALSE,TRUE)-ArtifactsInput!$M$15)*CHOOSE(ArtifactsInput!$N$15+1,8,9.6,11.2,12.8,14.4,16)),Inputs!$B$12)))))/100+(Inputs!$B$24+((C1651=TRUE)*(F1651-Calc!F24))+((IF(IF(ArtifactsInput!$M$15,FALSE,TRUE),1,-1)*CHOOSE(ArtifactsInput!$N$15+1,25,30,35,40,45,50)/100*IF(IF(ArtifactsInput!$M$15,FALSE,TRUE),(Inputs!$B$12+((C1648=TRUE)*(F1648-Calc!F21))+(IF(ArtifactsInput!$M$15,FALSE,TRUE)-ArtifactsInput!$M$15)*CHOOSE(ArtifactsInput!$N$15+1,8,9.6,11.2,12.8,14.4,16)),Inputs!$B$12))))/100)/2</f>
        <v/>
      </c>
      <c r="M1629">
        <f>L1629*(1+(Inputs!$B$11+0+B1661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629">
        <f>L1629*(1-MIN((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1629*(MIN((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29">
        <f>(1-Summary!$B$11)*T1629+Summary!$B$11*V1629</f>
        <v/>
      </c>
      <c r="P1629">
        <f>IF(B1666=0,0,O1629/B1666)</f>
        <v/>
      </c>
      <c r="Q1629" t="n">
        <v>0</v>
      </c>
      <c r="R1629" t="n">
        <v>0</v>
      </c>
      <c r="S1629">
        <f>IFERROR(O1629/N1629,0)</f>
        <v/>
      </c>
      <c r="T1629">
        <f>IF(C1629,(Skills!G2*N1629*B1660)*IF(Inputs!$B$39="pvp",1,1+(Inputs!$B$21+0+Skills!P2+((C1644=TRUE)*F1644*IF(AND(Inputs!$B$39&lt;&gt;"pvp",Inputs!$B$44&gt;0),(((R1644-1)*MIN((Skills!T17*(1+Inputs!$B$35/100)),(1/Q1644))+MIN((Skills!T17*(1+Inputs!$B$35/100)),MAX(0,Inputs!$B$44-((R1644-1)*(1/Q1644)))))/Inputs!$B$44),IF(Inputs!$B$39="pvp",MIN((Skills!T17*(1+Inputs!$B$35/100)),15)/15,MIN(1,(Skills!T17*(1+Inputs!$B$35/100))/(1/Q1644)))))+((C1632=TRUE)*IF(Inputs!$B$3&gt;=126,10*MIN(1,15*Q1632),0))+((C1641=TRUE)*IF(Inputs!$B$39="pvp",20,(1-Summary!$B$11)*(20)+Summary!$B$11*(0))*IF(AND(Inputs!$B$39&lt;&gt;"pvp",Inputs!$B$44&gt;0),(((R1641-1)*MIN((Skills!T14*(1+Inputs!$B$35/100)),(1/Q1641))+MIN((Skills!T14*(1+Inputs!$B$35/100)),MAX(0,Inputs!$B$44-((R1641-1)*(1/Q1641)))))/Inputs!$B$44),IF(Inputs!$B$39="pvp",MIN((Skills!T14*(1+Inputs!$B$35/100)),15)/15,MIN(1,(Skills!T14*(1+Inputs!$B$35/100))/(1/Q1641)))))+((C1640=TRUE)*IF(Inputs!$B$3&gt;=82,IF(Inputs!$B$39="pvp",20,(1-Summary!$B$11)*(20)+Summary!$B$11*(0)),0)*IF(AND(Inputs!$B$39&lt;&gt;"pvp",Inputs!$B$44&gt;0),(((R1640-1)*MIN((Skills!T13*(1+Inputs!$B$35/100)),(1/Q1640))+MIN((Skills!T13*(1+Inputs!$B$35/100)),MAX(0,Inputs!$B$44-((R1640-1)*(1/Q1640)))))/Inputs!$B$44),IF(Inputs!$B$39="pvp",MIN((Skills!T13*(1+Inputs!$B$35/100)),15)/15,MIN(1,(Skills!T13*(1+Inputs!$B$35/100))/(1/Q1640)))))+(IF(AND(ArtifactsInput!$M$35,Inputs!$B$4&lt;&gt;"Chapter Hunt"),CHOOSE(ArtifactsInput!$N$35+1,15,18,21,24,27,30)*(1-EXP(-(0.2*B1658)*5)),0)+IF(AND(ArtifactsInput!$M$22,Inputs!$B$4&lt;&gt;"Chapter Hunt"),CHOOSE(ArtifactsInput!$N$22+1,10,12,14,16,18,20)*((0*(((0.15*B1658*5))^0/1)+1*(((0.15*B1658*5))^1/1)+2*(((0.15*B1658*5))^2/2)+3*(((0.15*B1658*5))^3/6)+4*(((0.15*B1658*5))^4/24)+5*(((0.15*B1658*5))^5/120))/((((0.15*B1658*5))^0/1)+(((0.15*B1658*5))^1/1)+(((0.15*B1658*5))^2/2)+(((0.15*B1658*5))^3/6)+(((0.15*B1658*5))^4/24)+(((0.15*B1658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1629*(1-MIN(100,(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1629*(MIN(100,(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1629*(1-MIN(100,(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1629*(MIN(100,(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629">
        <f>MAX(0,(Inputs!$B$3-100)*3)+Inputs!$B$29+Inputs!$B$30</f>
        <v/>
      </c>
      <c r="V1629">
        <f>IF(C1629,(Skills!G2*N1629*B1660)*IF(Inputs!$B$39="pvp",1,(1+(Inputs!$B$22+Skills!Q2+((C1644=TRUE)*F1644*IF(AND(Inputs!$B$39&lt;&gt;"pvp",Inputs!$B$44&gt;0),(((R1644-1)*MIN((Skills!T17*(1+Inputs!$B$35/100)),(1/Q1644))+MIN((Skills!T17*(1+Inputs!$B$35/100)),MAX(0,Inputs!$B$44-((R1644-1)*(1/Q1644)))))/Inputs!$B$44),IF(Inputs!$B$39="pvp",MIN((Skills!T17*(1+Inputs!$B$35/100)),15)/15,MIN(1,(Skills!T17*(1+Inputs!$B$35/100))/(1/Q1644)))))+((C1632=TRUE)*IF(Inputs!$B$3&gt;=126,10*MIN(1,15*Q1632),0))+((C1641=TRUE)*IF(Inputs!$B$39="pvp",20,(1-Summary!$B$11)*(20)+Summary!$B$11*(0))*IF(AND(Inputs!$B$39&lt;&gt;"pvp",Inputs!$B$44&gt;0),(((R1641-1)*MIN((Skills!T14*(1+Inputs!$B$35/100)),(1/Q1641))+MIN((Skills!T14*(1+Inputs!$B$35/100)),MAX(0,Inputs!$B$44-((R1641-1)*(1/Q1641)))))/Inputs!$B$44),IF(Inputs!$B$39="pvp",MIN((Skills!T14*(1+Inputs!$B$35/100)),15)/15,MIN(1,(Skills!T14*(1+Inputs!$B$35/100))/(1/Q1641)))))+((C1640=TRUE)*IF(Inputs!$B$3&gt;=82,IF(Inputs!$B$39="pvp",20,(1-Summary!$B$11)*(20)+Summary!$B$11*(0)),0)*IF(AND(Inputs!$B$39&lt;&gt;"pvp",Inputs!$B$44&gt;0),(((R1640-1)*MIN((Skills!T13*(1+Inputs!$B$35/100)),(1/Q1640))+MIN((Skills!T13*(1+Inputs!$B$35/100)),MAX(0,Inputs!$B$44-((R1640-1)*(1/Q1640)))))/Inputs!$B$44),IF(Inputs!$B$39="pvp",MIN((Skills!T13*(1+Inputs!$B$35/100)),15)/15,MIN(1,(Skills!T13*(1+Inputs!$B$35/100))/(1/Q1640)))))+(IF(AND(ArtifactsInput!$M$35,Inputs!$B$4&lt;&gt;"Chapter Hunt"),CHOOSE(ArtifactsInput!$N$35+1,15,18,21,24,27,30)*(1-EXP(-(0.2*B1658)*5)),0)+IF(AND(ArtifactsInput!$M$22,Inputs!$B$4&lt;&gt;"Chapter Hunt"),CHOOSE(ArtifactsInput!$N$22+1,10,12,14,16,18,20)*((0*(((0.15*B1658*5))^0/1)+1*(((0.15*B1658*5))^1/1)+2*(((0.15*B1658*5))^2/2)+3*(((0.15*B1658*5))^3/6)+4*(((0.15*B1658*5))^4/24)+5*(((0.15*B1658*5))^5/120))/((((0.15*B1658*5))^0/1)+(((0.15*B1658*5))^1/1)+(((0.15*B1658*5))^2/2)+(((0.15*B1658*5))^3/6)+(((0.15*B1658*5))^4/24)+(((0.15*B1658*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30">
      <c r="A1630">
        <f>Skills!A3</f>
        <v/>
      </c>
      <c r="B1630">
        <f>Skills!B3</f>
        <v/>
      </c>
      <c r="C1630">
        <f>Inputs!$B$3&gt;=50</f>
        <v/>
      </c>
      <c r="D1630">
        <f>IF(Skills!C3=1,60+Inputs!$B$26+Inputs!$B$30,IF(Skills!C3=2,90+Inputs!$B$27+Inputs!$B$30,IF(Skills!C3=3,120+Inputs!$B$28+Inputs!$B$30,MAX(0,(Inputs!$B$3-100)*3)+Inputs!$B$29+Inputs!$B$30)))</f>
        <v/>
      </c>
      <c r="E1630">
        <f>INDEX(FactorTable!$B$2:$Y$301, MATCH(ROUND(MIN(300,MAX(1,D1630)),0), FactorTable!$A$2:$A$301,0), Skills!M3+1)</f>
        <v/>
      </c>
      <c r="F1630">
        <f>IF(Skills!N3=TRUE,(Skills!L3/10)*(E1630/1000),Skills!L3/10)+Skills!O3</f>
        <v/>
      </c>
      <c r="G1630" t="inlineStr"/>
      <c r="H1630" t="inlineStr"/>
      <c r="I1630" t="inlineStr">
        <is>
          <t>1</t>
        </is>
      </c>
      <c r="J1630" t="inlineStr"/>
      <c r="K1630" t="inlineStr"/>
      <c r="L1630" t="inlineStr"/>
      <c r="M1630" t="inlineStr"/>
      <c r="N1630" t="inlineStr"/>
      <c r="O1630" t="inlineStr"/>
      <c r="P1630" t="inlineStr"/>
      <c r="Q1630" t="inlineStr"/>
      <c r="R1630" t="inlineStr"/>
      <c r="S1630" t="inlineStr"/>
      <c r="U1630">
        <f>INDEX(FactorTable!$B$2:$Y$301, MATCH(ROUND(MIN(300,MAX(1,U1629)),0), FactorTable!$A$2:$A$301,0), 22)</f>
        <v/>
      </c>
    </row>
    <row r="1631">
      <c r="A1631">
        <f>Skills!A4</f>
        <v/>
      </c>
      <c r="B1631">
        <f>Skills!B4</f>
        <v/>
      </c>
      <c r="C1631">
        <f>Inputs!$B$3&gt;=105</f>
        <v/>
      </c>
      <c r="D1631">
        <f>IF(Skills!C4=1,60+Inputs!$B$26+Inputs!$B$30,IF(Skills!C4=2,90+Inputs!$B$27+Inputs!$B$30,IF(Skills!C4=3,120+Inputs!$B$28+Inputs!$B$30,MAX(0,(Inputs!$B$3-100)*3)+Inputs!$B$29+Inputs!$B$30)))</f>
        <v/>
      </c>
      <c r="E1631">
        <f>INDEX(FactorTable!$B$2:$Y$301, MATCH(ROUND(MIN(300,MAX(1,D1631)),0), FactorTable!$A$2:$A$301,0), Skills!M4+1)</f>
        <v/>
      </c>
      <c r="F1631">
        <f>IF(Skills!N4=TRUE,(Skills!L4/10)*(E1631/1000),Skills!L4/10)+Skills!O4</f>
        <v/>
      </c>
      <c r="G1631" t="inlineStr"/>
      <c r="H1631" t="inlineStr"/>
      <c r="I1631" t="inlineStr">
        <is>
          <t>1</t>
        </is>
      </c>
      <c r="J1631" t="inlineStr"/>
      <c r="K1631" t="inlineStr"/>
      <c r="L1631" t="inlineStr"/>
      <c r="M1631" t="inlineStr"/>
      <c r="N1631" t="inlineStr"/>
      <c r="O1631" t="inlineStr"/>
      <c r="P1631" t="inlineStr"/>
      <c r="Q1631" t="inlineStr"/>
      <c r="R1631" t="inlineStr"/>
      <c r="S1631" t="inlineStr"/>
      <c r="U1631">
        <f>290*U1630/1000</f>
        <v/>
      </c>
    </row>
    <row r="1632">
      <c r="A1632">
        <f>Skills!A5</f>
        <v/>
      </c>
      <c r="B1632">
        <f>Skills!B5</f>
        <v/>
      </c>
      <c r="C1632">
        <f>Inputs!$B$3&gt;=117</f>
        <v/>
      </c>
      <c r="D1632">
        <f>IF(Skills!C5=1,60+Inputs!$B$26+Inputs!$B$30,IF(Skills!C5=2,90+Inputs!$B$27+Inputs!$B$30,IF(Skills!C5=3,120+Inputs!$B$28+Inputs!$B$30,MAX(0,(Inputs!$B$3-100)*3)+Inputs!$B$29+Inputs!$B$30)))</f>
        <v/>
      </c>
      <c r="E1632">
        <f>INDEX(FactorTable!$B$2:$Y$301, MATCH(ROUND(MIN(300,MAX(1,D1632)),0), FactorTable!$A$2:$A$301,0), Skills!M5+1)</f>
        <v/>
      </c>
      <c r="F1632">
        <f>IF(Skills!N5=TRUE,(Skills!L5/10)*(E1632/1000),Skills!L5/10)+Skills!O5</f>
        <v/>
      </c>
      <c r="G1632">
        <f>Skills!G5*IF(Skills!H5&gt;0,INT(IF(Inputs!$B$39="pvp",MIN(Skills!I5,15),Skills!I5)/Skills!H5+0.000000001),1)</f>
        <v/>
      </c>
      <c r="H1632">
        <f>1-(1-Skills!J5/100)^Skills!K5</f>
        <v/>
      </c>
      <c r="I1632" t="inlineStr">
        <is>
          <t>1</t>
        </is>
      </c>
      <c r="J1632">
        <f>((Inputs!$B$6*(1+Inputs!$B$7/100))+(((Inputs!$B$13*(1+Inputs!$B$14/100))-(Inputs!$B$13*(1+Inputs!$B$14/100)))+0.25*(Inputs!$B$15-Inputs!$B$15))*(1+Inputs!$B$7/100))*(F1632/100)</f>
        <v/>
      </c>
      <c r="K1632">
        <f>J1632*(1+(((Inputs!$B$13+IF(Inputs!$B$3&gt;=38,(10*INDEX(FactorTable!$B$2:$Y$301, MATCH(ROUND(MIN(300,MAX(1,Inputs!$B$3)),0), FactorTable!$A$2:$A$301,0), 23)/1000)/100*(Inputs!$B$8*(1+Inputs!$B$9/100)),0))*(1+Inputs!$B$14/100))*0.01+Inputs!$B$15*0.0025)/100)*(1+Inputs!$B$16/100)*(1+Inputs!$B$17/100)*(5000/(6000+Inputs!$B$43*(1-(Inputs!$B$20+0)/100)))*(1+(Inputs!$B$25+((C1652=TRUE)*(F1652-Calc!F25))+((C1653=TRUE)*(F1653-Calc!F26))+B1662)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gt;=100),MIN(100,((Inputs!$B$10+0+B1656+(ArtifactsInput!$M$24-ArtifactsInput!$M$24)*CHOOSE(ArtifactsInput!$N$24+1,10,12,14,16,18,20)+IF(ArtifactsInput!$M$10,CHOOSE(ArtifactsInput!$N$10+1,15,18,21,24,27,30)*(IF(Inputs!$B$39="pvp",MIN(15,15)/15,IF(AND(Inputs!$B$39&lt;&gt;"pvp",Inputs!$B$44&gt;0),MIN(15,Inputs!$B$44)/(Inputs!$B$44),0))),0)))-100),0))*CHOOSE(ArtifactsInput!$N$42+1,0.6,0.72,0.84,0.96,1.08,1.2))),Inputs!$B$19+((C1650=TRUE)*(F1650-Calc!F23))+(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gt;=100),CHOOSE(ArtifactsInput!$N$42+1,40,48,56,64,72,80),0))))/100)*((1+(((C1640=TRUE)*F1640*IF(AND(Inputs!$B$39&lt;&gt;"pvp",Inputs!$B$44&gt;0),(((R1640-1)*MIN((Skills!T13*(1+Inputs!$B$35/100)),(1/Q1640))+MIN((Skills!T13*(1+Inputs!$B$35/100)),MAX(0,Inputs!$B$44-((R1640-1)*(1/Q1640)))))/Inputs!$B$44),IF(Inputs!$B$39="pvp",MIN((Skills!T13*(1+Inputs!$B$35/100)),15)/15,MIN(1,(Skills!T13*(1+Inputs!$B$35/100))/(1/Q1640)))))+((C1641=TRUE)*F1641*IF(AND(Inputs!$B$39&lt;&gt;"pvp",Inputs!$B$44&gt;0),(((R1641-1)*MIN((Skills!T14*(1+Inputs!$B$35/100)),(1/Q1641))+MIN((Skills!T14*(1+Inputs!$B$35/100)),MAX(0,Inputs!$B$44-((R1641-1)*(1/Q1641)))))/Inputs!$B$44),IF(Inputs!$B$39="pvp",MIN((Skills!T14*(1+Inputs!$B$35/100)),15)/15,MIN(1,(Skills!T14*(1+Inputs!$B$35/100))/(1/Q1641)))))+((C1642=TRUE)*F1642*IF(AND(Inputs!$B$39&lt;&gt;"pvp",Inputs!$B$44&gt;0),(((R1642-1)*MIN((Skills!T15*(1+Inputs!$B$35/100)),(1/Q1642))+MIN((Skills!T15*(1+Inputs!$B$35/100)),MAX(0,Inputs!$B$44-((R1642-1)*(1/Q1642)))))/Inputs!$B$44),IF(Inputs!$B$39="pvp",MIN((Skills!T15*(1+Inputs!$B$35/100)),15)/15,MIN(1,(Skills!T15*(1+Inputs!$B$35/100))/(1/Q1642)))))+((C1643=TRUE)*F1643*IF(AND(Inputs!$B$39&lt;&gt;"pvp",Inputs!$B$44&gt;0),(((R1643-1)*MIN((Skills!T16*(1+Inputs!$B$35/100)),(1/Q1643))+MIN((Skills!T16*(1+Inputs!$B$35/100)),MAX(0,Inputs!$B$44-((R1643-1)*(1/Q1643)))))/Inputs!$B$44),IF(Inputs!$B$39="pvp",MIN((Skills!T16*(1+Inputs!$B$35/100)),15)/15,MIN(1,(Skills!T16*(1+Inputs!$B$35/100))/(1/Q1643)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1632)</f>
        <v/>
      </c>
      <c r="L1632">
        <f>K1632*(MIN(Inputs!$B$23+((C1649=TRUE)*(F1649-Calc!F22)),(Inputs!$B$24+((C1651=TRUE)*(F1651-Calc!F24))+((IF(IF(ArtifactsInput!$M$15,FALSE,TRUE),1,-1)*CHOOSE(ArtifactsInput!$N$15+1,25,30,35,40,45,50)/100*IF(IF(ArtifactsInput!$M$15,FALSE,TRUE),(Inputs!$B$12+((C1648=TRUE)*(F1648-Calc!F21))+(IF(ArtifactsInput!$M$15,FALSE,TRUE)-ArtifactsInput!$M$15)*CHOOSE(ArtifactsInput!$N$15+1,8,9.6,11.2,12.8,14.4,16)),Inputs!$B$12)))))/100+(Inputs!$B$24+((C1651=TRUE)*(F1651-Calc!F24))+((IF(IF(ArtifactsInput!$M$15,FALSE,TRUE),1,-1)*CHOOSE(ArtifactsInput!$N$15+1,25,30,35,40,45,50)/100*IF(IF(ArtifactsInput!$M$15,FALSE,TRUE),(Inputs!$B$12+((C1648=TRUE)*(F1648-Calc!F21))+(IF(ArtifactsInput!$M$15,FALSE,TRUE)-ArtifactsInput!$M$15)*CHOOSE(ArtifactsInput!$N$15+1,8,9.6,11.2,12.8,14.4,16)),Inputs!$B$12))))/100)/2</f>
        <v/>
      </c>
      <c r="M1632">
        <f>L1632*(1+(Inputs!$B$11+0+B1661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632">
        <f>L1632*(1-MIN((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1632*(MIN((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32">
        <f>(1-Summary!$B$11)*T1632+Summary!$B$11*V1632</f>
        <v/>
      </c>
      <c r="P1632">
        <f>IF(B1666=0,0,O1632/B1666)</f>
        <v/>
      </c>
      <c r="Q1632">
        <f>IFERROR(1/IF(Inputs!$B$39="pvp",15,MAX(0.1,Skills!D5-IF(TRUE=TRUE,Inputs!$B$33,0))),0)</f>
        <v/>
      </c>
      <c r="R1632">
        <f>IF(AND(Inputs!$B$39&lt;&gt;"pvp",Inputs!$B$44&gt;0),IF(MAX(0,Inputs!$B$44-B1663)&lt;=0,0,(INT(MAX(0,Inputs!$B$44-B1663)/IF(Inputs!$B$39="pvp",15,MAX(0.1,Skills!D5-IF(TRUE=TRUE,Inputs!$B$33,0))))+1)),0)</f>
        <v/>
      </c>
      <c r="S1632">
        <f>IFERROR(O1632/N1632,0)</f>
        <v/>
      </c>
      <c r="T1632">
        <f>IF(C1632,(H1632*N1632*IF(AND(Inputs!$B$39&lt;&gt;"pvp",Inputs!$B$44&gt;0),((Skills!G5*((R1632-1)*IF(Skills!H5&gt;0,INT(Skills!I5/Skills!H5+0.000000001),1)+IF(Skills!H5&gt;0,INT(MIN(Skills!I5,MAX(0,MAX(0,Inputs!$B$44-B1663)-((R1632-1)*IF(Inputs!$B$39="pvp",15,MAX(0.1,Skills!D5-IF(TRUE=TRUE,Inputs!$B$33,0))))))/Skills!H5+0.000000001),1)))/Inputs!$B$44),G1632*Q1632))*IF(Inputs!$B$39="pvp",1,1+(Inputs!$B$21+0+Skills!P5+((C1644=TRUE)*F1644*IF(AND(Inputs!$B$39&lt;&gt;"pvp",Inputs!$B$44&gt;0),(((R1644-1)*MIN((Skills!T17*(1+Inputs!$B$35/100)),(1/Q1644))+MIN((Skills!T17*(1+Inputs!$B$35/100)),MAX(0,Inputs!$B$44-((R1644-1)*(1/Q1644)))))/Inputs!$B$44),IF(Inputs!$B$39="pvp",MIN((Skills!T17*(1+Inputs!$B$35/100)),15)/15,MIN(1,(Skills!T17*(1+Inputs!$B$35/100))/(1/Q1644)))))+((C1632=TRUE)*IF(Inputs!$B$3&gt;=126,10*MIN(1,15*Q1632),0))+((C1641=TRUE)*IF(Inputs!$B$39="pvp",20,(1-Summary!$B$11)*(20)+Summary!$B$11*(0))*IF(AND(Inputs!$B$39&lt;&gt;"pvp",Inputs!$B$44&gt;0),(((R1641-1)*MIN((Skills!T14*(1+Inputs!$B$35/100)),(1/Q1641))+MIN((Skills!T14*(1+Inputs!$B$35/100)),MAX(0,Inputs!$B$44-((R1641-1)*(1/Q1641)))))/Inputs!$B$44),IF(Inputs!$B$39="pvp",MIN((Skills!T14*(1+Inputs!$B$35/100)),15)/15,MIN(1,(Skills!T14*(1+Inputs!$B$35/100))/(1/Q1641)))))+((C1640=TRUE)*IF(Inputs!$B$3&gt;=82,IF(Inputs!$B$39="pvp",20,(1-Summary!$B$11)*(20)+Summary!$B$11*(0)),0)*IF(AND(Inputs!$B$39&lt;&gt;"pvp",Inputs!$B$44&gt;0),(((R1640-1)*MIN((Skills!T13*(1+Inputs!$B$35/100)),(1/Q1640))+MIN((Skills!T13*(1+Inputs!$B$35/100)),MAX(0,Inputs!$B$44-((R1640-1)*(1/Q1640)))))/Inputs!$B$44),IF(Inputs!$B$39="pvp",MIN((Skills!T13*(1+Inputs!$B$35/100)),15)/15,MIN(1,(Skills!T13*(1+Inputs!$B$35/100))/(1/Q1640)))))+(IF(AND(ArtifactsInput!$M$35,Inputs!$B$4&lt;&gt;"Chapter Hunt"),CHOOSE(ArtifactsInput!$N$35+1,15,18,21,24,27,30)*(1-EXP(-(0.2*B1658)*5)),0)+IF(AND(ArtifactsInput!$M$22,Inputs!$B$4&lt;&gt;"Chapter Hunt"),CHOOSE(ArtifactsInput!$N$22+1,10,12,14,16,18,20)*((0*(((0.15*B1658*5))^0/1)+1*(((0.15*B1658*5))^1/1)+2*(((0.15*B1658*5))^2/2)+3*(((0.15*B1658*5))^3/6)+4*(((0.15*B1658*5))^4/24)+5*(((0.15*B1658*5))^5/120))/((((0.15*B1658*5))^0/1)+(((0.15*B1658*5))^1/1)+(((0.15*B1658*5))^2/2)+(((0.15*B1658*5))^3/6)+(((0.15*B1658*5))^4/24)+(((0.15*B1658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1632*(1-MIN(100,(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1632*(MIN(100,(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1632*(1-MIN(100,(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1632*(MIN(100,(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32">
        <f>IF(C1632,(H1632*N1632*IF(AND(Inputs!$B$39&lt;&gt;"pvp",Inputs!$B$44&gt;0),((Skills!G5*((R1632-1)*IF(Skills!H5&gt;0,INT(Skills!I5/Skills!H5+0.000000001),1)+IF(Skills!H5&gt;0,INT(MIN(Skills!I5,MAX(0,MAX(0,Inputs!$B$44-B1663)-((R1632-1)*IF(Inputs!$B$39="pvp",15,MAX(0.1,Skills!D5-IF(TRUE=TRUE,Inputs!$B$33,0))))))/Skills!H5+0.000000001),1)))/Inputs!$B$44),G1632*Q1632))*IF(Inputs!$B$39="pvp",1,(1+(Inputs!$B$22+Skills!Q5+((C1644=TRUE)*F1644*IF(AND(Inputs!$B$39&lt;&gt;"pvp",Inputs!$B$44&gt;0),(((R1644-1)*MIN((Skills!T17*(1+Inputs!$B$35/100)),(1/Q1644))+MIN((Skills!T17*(1+Inputs!$B$35/100)),MAX(0,Inputs!$B$44-((R1644-1)*(1/Q1644)))))/Inputs!$B$44),IF(Inputs!$B$39="pvp",MIN((Skills!T17*(1+Inputs!$B$35/100)),15)/15,MIN(1,(Skills!T17*(1+Inputs!$B$35/100))/(1/Q1644)))))+((C1632=TRUE)*IF(Inputs!$B$3&gt;=126,10*MIN(1,15*Q1632),0))+((C1641=TRUE)*IF(Inputs!$B$39="pvp",20,(1-Summary!$B$11)*(20)+Summary!$B$11*(0))*IF(AND(Inputs!$B$39&lt;&gt;"pvp",Inputs!$B$44&gt;0),(((R1641-1)*MIN((Skills!T14*(1+Inputs!$B$35/100)),(1/Q1641))+MIN((Skills!T14*(1+Inputs!$B$35/100)),MAX(0,Inputs!$B$44-((R1641-1)*(1/Q1641)))))/Inputs!$B$44),IF(Inputs!$B$39="pvp",MIN((Skills!T14*(1+Inputs!$B$35/100)),15)/15,MIN(1,(Skills!T14*(1+Inputs!$B$35/100))/(1/Q1641)))))+((C1640=TRUE)*IF(Inputs!$B$3&gt;=82,IF(Inputs!$B$39="pvp",20,(1-Summary!$B$11)*(20)+Summary!$B$11*(0)),0)*IF(AND(Inputs!$B$39&lt;&gt;"pvp",Inputs!$B$44&gt;0),(((R1640-1)*MIN((Skills!T13*(1+Inputs!$B$35/100)),(1/Q1640))+MIN((Skills!T13*(1+Inputs!$B$35/100)),MAX(0,Inputs!$B$44-((R1640-1)*(1/Q1640)))))/Inputs!$B$44),IF(Inputs!$B$39="pvp",MIN((Skills!T13*(1+Inputs!$B$35/100)),15)/15,MIN(1,(Skills!T13*(1+Inputs!$B$35/100))/(1/Q1640)))))+(IF(AND(ArtifactsInput!$M$35,Inputs!$B$4&lt;&gt;"Chapter Hunt"),CHOOSE(ArtifactsInput!$N$35+1,15,18,21,24,27,30)*(1-EXP(-(0.2*B1658)*5)),0)+IF(AND(ArtifactsInput!$M$22,Inputs!$B$4&lt;&gt;"Chapter Hunt"),CHOOSE(ArtifactsInput!$N$22+1,10,12,14,16,18,20)*((0*(((0.15*B1658*5))^0/1)+1*(((0.15*B1658*5))^1/1)+2*(((0.15*B1658*5))^2/2)+3*(((0.15*B1658*5))^3/6)+4*(((0.15*B1658*5))^4/24)+5*(((0.15*B1658*5))^5/120))/((((0.15*B1658*5))^0/1)+(((0.15*B1658*5))^1/1)+(((0.15*B1658*5))^2/2)+(((0.15*B1658*5))^3/6)+(((0.15*B1658*5))^4/24)+(((0.15*B1658*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33">
      <c r="A1633">
        <f>Skills!A6</f>
        <v/>
      </c>
      <c r="B1633">
        <f>Skills!B6</f>
        <v/>
      </c>
      <c r="C1633">
        <f>Inputs!$B$3&gt;=103</f>
        <v/>
      </c>
      <c r="D1633">
        <f>IF(Skills!C6=1,60+Inputs!$B$26+Inputs!$B$30,IF(Skills!C6=2,90+Inputs!$B$27+Inputs!$B$30,IF(Skills!C6=3,120+Inputs!$B$28+Inputs!$B$30,MAX(0,(Inputs!$B$3-100)*3)+Inputs!$B$29+Inputs!$B$30)))</f>
        <v/>
      </c>
      <c r="E1633">
        <f>INDEX(FactorTable!$B$2:$Y$301, MATCH(ROUND(MIN(300,MAX(1,D1633)),0), FactorTable!$A$2:$A$301,0), Skills!M6+1)</f>
        <v/>
      </c>
      <c r="F1633">
        <f>IF(Skills!N6=TRUE,(Skills!L6/10)*(E1633/1000),Skills!L6/10)+Skills!O6</f>
        <v/>
      </c>
      <c r="G1633">
        <f>Skills!G6*IF(Skills!H6&gt;0,INT(IF(Inputs!$B$39="pvp",MIN(Skills!I6,15),Skills!I6)/Skills!H6+0.000000001),1)</f>
        <v/>
      </c>
      <c r="H1633">
        <f>1-(1-Skills!J6/100)^Skills!K6</f>
        <v/>
      </c>
      <c r="I1633" t="inlineStr">
        <is>
          <t>1</t>
        </is>
      </c>
      <c r="J1633">
        <f>((Inputs!$B$6*(1+Inputs!$B$7/100))+(((Inputs!$B$13*(1+Inputs!$B$14/100))-(Inputs!$B$13*(1+Inputs!$B$14/100)))+0.25*(Inputs!$B$15-Inputs!$B$15))*(1+Inputs!$B$7/100))*(F1633/100)</f>
        <v/>
      </c>
      <c r="K1633">
        <f>J1633*(1+(((Inputs!$B$13+IF(Inputs!$B$3&gt;=38,(10*INDEX(FactorTable!$B$2:$Y$301, MATCH(ROUND(MIN(300,MAX(1,Inputs!$B$3)),0), FactorTable!$A$2:$A$301,0), 23)/1000)/100*(Inputs!$B$8*(1+Inputs!$B$9/100)),0))*(1+Inputs!$B$14/100))*0.01+Inputs!$B$15*0.0025)/100)*(1+Inputs!$B$16/100)*(1+Inputs!$B$17/100)*(5000/(6000+Inputs!$B$43*(1-(Inputs!$B$20+0)/100)))*(1+(Inputs!$B$25+((C1652=TRUE)*(F1652-Calc!F25))+((C1653=TRUE)*(F1653-Calc!F26))+B1662)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gt;=100),MIN(100,((Inputs!$B$10+0+B1656+(ArtifactsInput!$M$24-ArtifactsInput!$M$24)*CHOOSE(ArtifactsInput!$N$24+1,10,12,14,16,18,20)+IF(ArtifactsInput!$M$10,CHOOSE(ArtifactsInput!$N$10+1,15,18,21,24,27,30)*(IF(Inputs!$B$39="pvp",MIN(15,15)/15,IF(AND(Inputs!$B$39&lt;&gt;"pvp",Inputs!$B$44&gt;0),MIN(15,Inputs!$B$44)/(Inputs!$B$44),0))),0)))-100),0))*CHOOSE(ArtifactsInput!$N$42+1,0.6,0.72,0.84,0.96,1.08,1.2))),Inputs!$B$19+((C1650=TRUE)*(F1650-Calc!F23))+(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gt;=100),CHOOSE(ArtifactsInput!$N$42+1,40,48,56,64,72,80),0))))/100)*((1+(((C1640=TRUE)*F1640*IF(AND(Inputs!$B$39&lt;&gt;"pvp",Inputs!$B$44&gt;0),(((R1640-1)*MIN((Skills!T13*(1+Inputs!$B$35/100)),(1/Q1640))+MIN((Skills!T13*(1+Inputs!$B$35/100)),MAX(0,Inputs!$B$44-((R1640-1)*(1/Q1640)))))/Inputs!$B$44),IF(Inputs!$B$39="pvp",MIN((Skills!T13*(1+Inputs!$B$35/100)),15)/15,MIN(1,(Skills!T13*(1+Inputs!$B$35/100))/(1/Q1640)))))+((C1641=TRUE)*F1641*IF(AND(Inputs!$B$39&lt;&gt;"pvp",Inputs!$B$44&gt;0),(((R1641-1)*MIN((Skills!T14*(1+Inputs!$B$35/100)),(1/Q1641))+MIN((Skills!T14*(1+Inputs!$B$35/100)),MAX(0,Inputs!$B$44-((R1641-1)*(1/Q1641)))))/Inputs!$B$44),IF(Inputs!$B$39="pvp",MIN((Skills!T14*(1+Inputs!$B$35/100)),15)/15,MIN(1,(Skills!T14*(1+Inputs!$B$35/100))/(1/Q1641)))))+((C1642=TRUE)*F1642*IF(AND(Inputs!$B$39&lt;&gt;"pvp",Inputs!$B$44&gt;0),(((R1642-1)*MIN((Skills!T15*(1+Inputs!$B$35/100)),(1/Q1642))+MIN((Skills!T15*(1+Inputs!$B$35/100)),MAX(0,Inputs!$B$44-((R1642-1)*(1/Q1642)))))/Inputs!$B$44),IF(Inputs!$B$39="pvp",MIN((Skills!T15*(1+Inputs!$B$35/100)),15)/15,MIN(1,(Skills!T15*(1+Inputs!$B$35/100))/(1/Q1642)))))+((C1643=TRUE)*F1643*IF(AND(Inputs!$B$39&lt;&gt;"pvp",Inputs!$B$44&gt;0),(((R1643-1)*MIN((Skills!T16*(1+Inputs!$B$35/100)),(1/Q1643))+MIN((Skills!T16*(1+Inputs!$B$35/100)),MAX(0,Inputs!$B$44-((R1643-1)*(1/Q1643)))))/Inputs!$B$44),IF(Inputs!$B$39="pvp",MIN((Skills!T16*(1+Inputs!$B$35/100)),15)/15,MIN(1,(Skills!T16*(1+Inputs!$B$35/100))/(1/Q1643)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1633)</f>
        <v/>
      </c>
      <c r="L1633">
        <f>K1633*(MIN(Inputs!$B$23+((C1649=TRUE)*(F1649-Calc!F22)),(Inputs!$B$24+((C1651=TRUE)*(F1651-Calc!F24))+((IF(IF(ArtifactsInput!$M$15,FALSE,TRUE),1,-1)*CHOOSE(ArtifactsInput!$N$15+1,25,30,35,40,45,50)/100*IF(IF(ArtifactsInput!$M$15,FALSE,TRUE),(Inputs!$B$12+((C1648=TRUE)*(F1648-Calc!F21))+(IF(ArtifactsInput!$M$15,FALSE,TRUE)-ArtifactsInput!$M$15)*CHOOSE(ArtifactsInput!$N$15+1,8,9.6,11.2,12.8,14.4,16)),Inputs!$B$12)))))/100+(Inputs!$B$24+((C1651=TRUE)*(F1651-Calc!F24))+((IF(IF(ArtifactsInput!$M$15,FALSE,TRUE),1,-1)*CHOOSE(ArtifactsInput!$N$15+1,25,30,35,40,45,50)/100*IF(IF(ArtifactsInput!$M$15,FALSE,TRUE),(Inputs!$B$12+((C1648=TRUE)*(F1648-Calc!F21))+(IF(ArtifactsInput!$M$15,FALSE,TRUE)-ArtifactsInput!$M$15)*CHOOSE(ArtifactsInput!$N$15+1,8,9.6,11.2,12.8,14.4,16)),Inputs!$B$12))))/100)/2</f>
        <v/>
      </c>
      <c r="M1633">
        <f>L1633*(1+(Inputs!$B$11+0+B1661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633">
        <f>L1633*(1-MIN((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1633*(MIN((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33">
        <f>(1-Summary!$B$11)*T1633+Summary!$B$11*V1633</f>
        <v/>
      </c>
      <c r="P1633">
        <f>IF(B1666=0,0,O1633/B1666)</f>
        <v/>
      </c>
      <c r="Q1633">
        <f>IFERROR(1/IF(Inputs!$B$39="pvp",15,MAX(0.1,Skills!D6-IF(TRUE=TRUE,Inputs!$B$33,0))),0)</f>
        <v/>
      </c>
      <c r="R1633">
        <f>IF(AND(Inputs!$B$39&lt;&gt;"pvp",Inputs!$B$44&gt;0),IF(MAX(0,Inputs!$B$44-B1663)&lt;=0,0,(INT(MAX(0,Inputs!$B$44-B1663)/IF(Inputs!$B$39="pvp",15,MAX(0.1,Skills!D6-IF(TRUE=TRUE,Inputs!$B$33,0))))+1)),0)</f>
        <v/>
      </c>
      <c r="S1633">
        <f>IFERROR(O1633/N1633,0)</f>
        <v/>
      </c>
      <c r="T1633">
        <f>IF(C1633,(H1633*N1633*IF(AND(Inputs!$B$39&lt;&gt;"pvp",Inputs!$B$44&gt;0),((Skills!G6*((R1633-1)*IF(Skills!H6&gt;0,INT(Skills!I6/Skills!H6+0.000000001),1)+IF(Skills!H6&gt;0,INT(MIN(Skills!I6,MAX(0,MAX(0,Inputs!$B$44-B1663)-((R1633-1)*IF(Inputs!$B$39="pvp",15,MAX(0.1,Skills!D6-IF(TRUE=TRUE,Inputs!$B$33,0))))))/Skills!H6+0.000000001),1)))/Inputs!$B$44),G1633*Q1633))*IF(Inputs!$B$39="pvp",1,1+(Inputs!$B$21+0+Skills!P6+((C1644=TRUE)*F1644*IF(AND(Inputs!$B$39&lt;&gt;"pvp",Inputs!$B$44&gt;0),(((R1644-1)*MIN((Skills!T17*(1+Inputs!$B$35/100)),(1/Q1644))+MIN((Skills!T17*(1+Inputs!$B$35/100)),MAX(0,Inputs!$B$44-((R1644-1)*(1/Q1644)))))/Inputs!$B$44),IF(Inputs!$B$39="pvp",MIN((Skills!T17*(1+Inputs!$B$35/100)),15)/15,MIN(1,(Skills!T17*(1+Inputs!$B$35/100))/(1/Q1644)))))+((C1632=TRUE)*IF(Inputs!$B$3&gt;=126,10*MIN(1,15*Q1632),0))+((C1641=TRUE)*IF(Inputs!$B$39="pvp",20,(1-Summary!$B$11)*(20)+Summary!$B$11*(0))*IF(AND(Inputs!$B$39&lt;&gt;"pvp",Inputs!$B$44&gt;0),(((R1641-1)*MIN((Skills!T14*(1+Inputs!$B$35/100)),(1/Q1641))+MIN((Skills!T14*(1+Inputs!$B$35/100)),MAX(0,Inputs!$B$44-((R1641-1)*(1/Q1641)))))/Inputs!$B$44),IF(Inputs!$B$39="pvp",MIN((Skills!T14*(1+Inputs!$B$35/100)),15)/15,MIN(1,(Skills!T14*(1+Inputs!$B$35/100))/(1/Q1641)))))+((C1640=TRUE)*IF(Inputs!$B$3&gt;=82,IF(Inputs!$B$39="pvp",20,(1-Summary!$B$11)*(20)+Summary!$B$11*(0)),0)*IF(AND(Inputs!$B$39&lt;&gt;"pvp",Inputs!$B$44&gt;0),(((R1640-1)*MIN((Skills!T13*(1+Inputs!$B$35/100)),(1/Q1640))+MIN((Skills!T13*(1+Inputs!$B$35/100)),MAX(0,Inputs!$B$44-((R1640-1)*(1/Q1640)))))/Inputs!$B$44),IF(Inputs!$B$39="pvp",MIN((Skills!T13*(1+Inputs!$B$35/100)),15)/15,MIN(1,(Skills!T13*(1+Inputs!$B$35/100))/(1/Q1640)))))+(IF(AND(ArtifactsInput!$M$35,Inputs!$B$4&lt;&gt;"Chapter Hunt"),CHOOSE(ArtifactsInput!$N$35+1,15,18,21,24,27,30)*(1-EXP(-(0.2*B1658)*5)),0)+IF(AND(ArtifactsInput!$M$22,Inputs!$B$4&lt;&gt;"Chapter Hunt"),CHOOSE(ArtifactsInput!$N$22+1,10,12,14,16,18,20)*((0*(((0.15*B1658*5))^0/1)+1*(((0.15*B1658*5))^1/1)+2*(((0.15*B1658*5))^2/2)+3*(((0.15*B1658*5))^3/6)+4*(((0.15*B1658*5))^4/24)+5*(((0.15*B1658*5))^5/120))/((((0.15*B1658*5))^0/1)+(((0.15*B1658*5))^1/1)+(((0.15*B1658*5))^2/2)+(((0.15*B1658*5))^3/6)+(((0.15*B1658*5))^4/24)+(((0.15*B1658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1633*(1-MIN(100,(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1633*(MIN(100,(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1633*(1-MIN(100,(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1633*(MIN(100,(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33">
        <f>IF(C1633,(H1633*N1633*IF(AND(Inputs!$B$39&lt;&gt;"pvp",Inputs!$B$44&gt;0),((Skills!G6*((R1633-1)*IF(Skills!H6&gt;0,INT(Skills!I6/Skills!H6+0.000000001),1)+IF(Skills!H6&gt;0,INT(MIN(Skills!I6,MAX(0,MAX(0,Inputs!$B$44-B1663)-((R1633-1)*IF(Inputs!$B$39="pvp",15,MAX(0.1,Skills!D6-IF(TRUE=TRUE,Inputs!$B$33,0))))))/Skills!H6+0.000000001),1)))/Inputs!$B$44),G1633*Q1633))*IF(Inputs!$B$39="pvp",1,(1+(Inputs!$B$22+Skills!Q6+((C1644=TRUE)*F1644*IF(AND(Inputs!$B$39&lt;&gt;"pvp",Inputs!$B$44&gt;0),(((R1644-1)*MIN((Skills!T17*(1+Inputs!$B$35/100)),(1/Q1644))+MIN((Skills!T17*(1+Inputs!$B$35/100)),MAX(0,Inputs!$B$44-((R1644-1)*(1/Q1644)))))/Inputs!$B$44),IF(Inputs!$B$39="pvp",MIN((Skills!T17*(1+Inputs!$B$35/100)),15)/15,MIN(1,(Skills!T17*(1+Inputs!$B$35/100))/(1/Q1644)))))+((C1632=TRUE)*IF(Inputs!$B$3&gt;=126,10*MIN(1,15*Q1632),0))+((C1641=TRUE)*IF(Inputs!$B$39="pvp",20,(1-Summary!$B$11)*(20)+Summary!$B$11*(0))*IF(AND(Inputs!$B$39&lt;&gt;"pvp",Inputs!$B$44&gt;0),(((R1641-1)*MIN((Skills!T14*(1+Inputs!$B$35/100)),(1/Q1641))+MIN((Skills!T14*(1+Inputs!$B$35/100)),MAX(0,Inputs!$B$44-((R1641-1)*(1/Q1641)))))/Inputs!$B$44),IF(Inputs!$B$39="pvp",MIN((Skills!T14*(1+Inputs!$B$35/100)),15)/15,MIN(1,(Skills!T14*(1+Inputs!$B$35/100))/(1/Q1641)))))+((C1640=TRUE)*IF(Inputs!$B$3&gt;=82,IF(Inputs!$B$39="pvp",20,(1-Summary!$B$11)*(20)+Summary!$B$11*(0)),0)*IF(AND(Inputs!$B$39&lt;&gt;"pvp",Inputs!$B$44&gt;0),(((R1640-1)*MIN((Skills!T13*(1+Inputs!$B$35/100)),(1/Q1640))+MIN((Skills!T13*(1+Inputs!$B$35/100)),MAX(0,Inputs!$B$44-((R1640-1)*(1/Q1640)))))/Inputs!$B$44),IF(Inputs!$B$39="pvp",MIN((Skills!T13*(1+Inputs!$B$35/100)),15)/15,MIN(1,(Skills!T13*(1+Inputs!$B$35/100))/(1/Q1640)))))+(IF(AND(ArtifactsInput!$M$35,Inputs!$B$4&lt;&gt;"Chapter Hunt"),CHOOSE(ArtifactsInput!$N$35+1,15,18,21,24,27,30)*(1-EXP(-(0.2*B1658)*5)),0)+IF(AND(ArtifactsInput!$M$22,Inputs!$B$4&lt;&gt;"Chapter Hunt"),CHOOSE(ArtifactsInput!$N$22+1,10,12,14,16,18,20)*((0*(((0.15*B1658*5))^0/1)+1*(((0.15*B1658*5))^1/1)+2*(((0.15*B1658*5))^2/2)+3*(((0.15*B1658*5))^3/6)+4*(((0.15*B1658*5))^4/24)+5*(((0.15*B1658*5))^5/120))/((((0.15*B1658*5))^0/1)+(((0.15*B1658*5))^1/1)+(((0.15*B1658*5))^2/2)+(((0.15*B1658*5))^3/6)+(((0.15*B1658*5))^4/24)+(((0.15*B1658*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34">
      <c r="A1634">
        <f>Skills!A7</f>
        <v/>
      </c>
      <c r="B1634">
        <f>Skills!B7</f>
        <v/>
      </c>
      <c r="C1634">
        <f>Inputs!$B$3&gt;=40</f>
        <v/>
      </c>
      <c r="D1634">
        <f>IF(Skills!C7=1,60+Inputs!$B$26+Inputs!$B$30,IF(Skills!C7=2,90+Inputs!$B$27+Inputs!$B$30,IF(Skills!C7=3,120+Inputs!$B$28+Inputs!$B$30,MAX(0,(Inputs!$B$3-100)*3)+Inputs!$B$29+Inputs!$B$30)))</f>
        <v/>
      </c>
      <c r="E1634">
        <f>INDEX(FactorTable!$B$2:$Y$301, MATCH(ROUND(MIN(300,MAX(1,D1634)),0), FactorTable!$A$2:$A$301,0), Skills!M7+1)</f>
        <v/>
      </c>
      <c r="F1634">
        <f>IF(Skills!N7=TRUE,(Skills!L7/10)*(E1634/1000),Skills!L7/10)+Skills!O7</f>
        <v/>
      </c>
      <c r="G1634">
        <f>Skills!G7*IF(Skills!H7&gt;0,INT(IF(Inputs!$B$39="pvp",MIN(Skills!I7,15),Skills!I7)/Skills!H7+0.000000001),1)</f>
        <v/>
      </c>
      <c r="H1634">
        <f>1-(1-Skills!J7/100)^Skills!K7</f>
        <v/>
      </c>
      <c r="I1634" t="inlineStr">
        <is>
          <t>1</t>
        </is>
      </c>
      <c r="J1634">
        <f>((Inputs!$B$6*(1+Inputs!$B$7/100))+(((Inputs!$B$13*(1+Inputs!$B$14/100))-(Inputs!$B$13*(1+Inputs!$B$14/100)))+0.25*(Inputs!$B$15-Inputs!$B$15))*(1+Inputs!$B$7/100))*(F1634/100)</f>
        <v/>
      </c>
      <c r="K1634">
        <f>J1634*(1+(((Inputs!$B$13+IF(Inputs!$B$3&gt;=38,(10*INDEX(FactorTable!$B$2:$Y$301, MATCH(ROUND(MIN(300,MAX(1,Inputs!$B$3)),0), FactorTable!$A$2:$A$301,0), 23)/1000)/100*(Inputs!$B$8*(1+Inputs!$B$9/100)),0))*(1+Inputs!$B$14/100))*0.01+Inputs!$B$15*0.0025)/100)*(1+Inputs!$B$16/100)*(1+Inputs!$B$17/100)*(5000/(6000+Inputs!$B$43*(1-(Inputs!$B$20+0)/100)))*(1+(Inputs!$B$25+((C1652=TRUE)*(F1652-Calc!F25))+((C1653=TRUE)*(F1653-Calc!F26))+B1662)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1638=TRUE,F1638,0)/100)*(1+(IF(Skills!A7="DARK_IMPALE",Inputs!$B$18+0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gt;=100),MIN(100,((Inputs!$B$10+0+B1656+(ArtifactsInput!$M$24-ArtifactsInput!$M$24)*CHOOSE(ArtifactsInput!$N$24+1,10,12,14,16,18,20)+IF(ArtifactsInput!$M$10,CHOOSE(ArtifactsInput!$N$10+1,15,18,21,24,27,30)*(IF(Inputs!$B$39="pvp",MIN(15,15)/15,IF(AND(Inputs!$B$39&lt;&gt;"pvp",Inputs!$B$44&gt;0),MIN(15,Inputs!$B$44)/(Inputs!$B$44),0))),0)))-100),0))*CHOOSE(ArtifactsInput!$N$42+1,0.6,0.72,0.84,0.96,1.08,1.2))),Inputs!$B$19+((C1650=TRUE)*(F1650-Calc!F23))+(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gt;=100),CHOOSE(ArtifactsInput!$N$42+1,40,48,56,64,72,80),0))))/100)*((1+(((C1640=TRUE)*F1640*IF(AND(Inputs!$B$39&lt;&gt;"pvp",Inputs!$B$44&gt;0),(((R1640-1)*MIN((Skills!T13*(1+Inputs!$B$35/100)),(1/Q1640))+MIN((Skills!T13*(1+Inputs!$B$35/100)),MAX(0,Inputs!$B$44-((R1640-1)*(1/Q1640)))))/Inputs!$B$44),IF(Inputs!$B$39="pvp",MIN((Skills!T13*(1+Inputs!$B$35/100)),15)/15,MIN(1,(Skills!T13*(1+Inputs!$B$35/100))/(1/Q1640)))))+((C1641=TRUE)*F1641*IF(AND(Inputs!$B$39&lt;&gt;"pvp",Inputs!$B$44&gt;0),(((R1641-1)*MIN((Skills!T14*(1+Inputs!$B$35/100)),(1/Q1641))+MIN((Skills!T14*(1+Inputs!$B$35/100)),MAX(0,Inputs!$B$44-((R1641-1)*(1/Q1641)))))/Inputs!$B$44),IF(Inputs!$B$39="pvp",MIN((Skills!T14*(1+Inputs!$B$35/100)),15)/15,MIN(1,(Skills!T14*(1+Inputs!$B$35/100))/(1/Q1641)))))+((C1642=TRUE)*F1642*IF(AND(Inputs!$B$39&lt;&gt;"pvp",Inputs!$B$44&gt;0),(((R1642-1)*MIN((Skills!T15*(1+Inputs!$B$35/100)),(1/Q1642))+MIN((Skills!T15*(1+Inputs!$B$35/100)),MAX(0,Inputs!$B$44-((R1642-1)*(1/Q1642)))))/Inputs!$B$44),IF(Inputs!$B$39="pvp",MIN((Skills!T15*(1+Inputs!$B$35/100)),15)/15,MIN(1,(Skills!T15*(1+Inputs!$B$35/100))/(1/Q1642)))))+((C1643=TRUE)*F1643*IF(AND(Inputs!$B$39&lt;&gt;"pvp",Inputs!$B$44&gt;0),(((R1643-1)*MIN((Skills!T16*(1+Inputs!$B$35/100)),(1/Q1643))+MIN((Skills!T16*(1+Inputs!$B$35/100)),MAX(0,Inputs!$B$44-((R1643-1)*(1/Q1643)))))/Inputs!$B$44),IF(Inputs!$B$39="pvp",MIN((Skills!T16*(1+Inputs!$B$35/100)),15)/15,MIN(1,(Skills!T16*(1+Inputs!$B$35/100))/(1/Q1643)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1634)</f>
        <v/>
      </c>
      <c r="L1634">
        <f>K1634*(MIN(Inputs!$B$23+((C1649=TRUE)*(F1649-Calc!F22)),(Inputs!$B$24+((C1651=TRUE)*(F1651-Calc!F24))+((IF(IF(ArtifactsInput!$M$15,FALSE,TRUE),1,-1)*CHOOSE(ArtifactsInput!$N$15+1,25,30,35,40,45,50)/100*IF(IF(ArtifactsInput!$M$15,FALSE,TRUE),(Inputs!$B$12+((C1648=TRUE)*(F1648-Calc!F21))+(IF(ArtifactsInput!$M$15,FALSE,TRUE)-ArtifactsInput!$M$15)*CHOOSE(ArtifactsInput!$N$15+1,8,9.6,11.2,12.8,14.4,16)),Inputs!$B$12)))))/100+(Inputs!$B$24+((C1651=TRUE)*(F1651-Calc!F24))+((IF(IF(ArtifactsInput!$M$15,FALSE,TRUE),1,-1)*CHOOSE(ArtifactsInput!$N$15+1,25,30,35,40,45,50)/100*IF(IF(ArtifactsInput!$M$15,FALSE,TRUE),(Inputs!$B$12+((C1648=TRUE)*(F1648-Calc!F21))+(IF(ArtifactsInput!$M$15,FALSE,TRUE)-ArtifactsInput!$M$15)*CHOOSE(ArtifactsInput!$N$15+1,8,9.6,11.2,12.8,14.4,16)),Inputs!$B$12))))/100)/2</f>
        <v/>
      </c>
      <c r="M1634">
        <f>L1634*(1+(Inputs!$B$11+0+B1661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634">
        <f>L1634*(1-MIN((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1634*(MIN((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34">
        <f>(1-Summary!$B$11)*T1634+Summary!$B$11*V1634</f>
        <v/>
      </c>
      <c r="P1634">
        <f>IF(B1666=0,0,O1634/B1666)</f>
        <v/>
      </c>
      <c r="Q1634">
        <f>IFERROR(1/IF(Inputs!$B$39="pvp",15,MAX(0.1,Skills!D7-IF(TRUE=TRUE,Inputs!$B$33,0))),0)</f>
        <v/>
      </c>
      <c r="R1634">
        <f>IF(AND(Inputs!$B$39&lt;&gt;"pvp",Inputs!$B$44&gt;0),IF(MAX(0,Inputs!$B$44-B1663)&lt;=0,0,(INT(MAX(0,Inputs!$B$44-B1663)/IF(Inputs!$B$39="pvp",15,MAX(0.1,Skills!D7-IF(TRUE=TRUE,Inputs!$B$33,0))))+1)),0)</f>
        <v/>
      </c>
      <c r="S1634">
        <f>IFERROR(O1634/N1634,0)</f>
        <v/>
      </c>
      <c r="T1634">
        <f>IF(C1634,(H1634*N1634*IF(AND(Inputs!$B$39&lt;&gt;"pvp",Inputs!$B$44&gt;0),((Skills!G7*((R1634-1)*IF(Skills!H7&gt;0,INT(Skills!I7/Skills!H7+0.000000001),1)+IF(Skills!H7&gt;0,INT(MIN(Skills!I7,MAX(0,MAX(0,Inputs!$B$44-B1663)-((R1634-1)*IF(Inputs!$B$39="pvp",15,MAX(0.1,Skills!D7-IF(TRUE=TRUE,Inputs!$B$33,0))))))/Skills!H7+0.000000001),1)))/Inputs!$B$44),G1634*Q1634))*IF(Inputs!$B$39="pvp",1,1+(Inputs!$B$21+0+Skills!P7+((C1644=TRUE)*F1644*IF(AND(Inputs!$B$39&lt;&gt;"pvp",Inputs!$B$44&gt;0),(((R1644-1)*MIN((Skills!T17*(1+Inputs!$B$35/100)),(1/Q1644))+MIN((Skills!T17*(1+Inputs!$B$35/100)),MAX(0,Inputs!$B$44-((R1644-1)*(1/Q1644)))))/Inputs!$B$44),IF(Inputs!$B$39="pvp",MIN((Skills!T17*(1+Inputs!$B$35/100)),15)/15,MIN(1,(Skills!T17*(1+Inputs!$B$35/100))/(1/Q1644)))))+((C1632=TRUE)*IF(Inputs!$B$3&gt;=126,10*MIN(1,15*Q1632),0))+((C1641=TRUE)*IF(Inputs!$B$39="pvp",20,(1-Summary!$B$11)*(20)+Summary!$B$11*(0))*IF(AND(Inputs!$B$39&lt;&gt;"pvp",Inputs!$B$44&gt;0),(((R1641-1)*MIN((Skills!T14*(1+Inputs!$B$35/100)),(1/Q1641))+MIN((Skills!T14*(1+Inputs!$B$35/100)),MAX(0,Inputs!$B$44-((R1641-1)*(1/Q1641)))))/Inputs!$B$44),IF(Inputs!$B$39="pvp",MIN((Skills!T14*(1+Inputs!$B$35/100)),15)/15,MIN(1,(Skills!T14*(1+Inputs!$B$35/100))/(1/Q1641)))))+((C1640=TRUE)*IF(Inputs!$B$3&gt;=82,IF(Inputs!$B$39="pvp",20,(1-Summary!$B$11)*(20)+Summary!$B$11*(0)),0)*IF(AND(Inputs!$B$39&lt;&gt;"pvp",Inputs!$B$44&gt;0),(((R1640-1)*MIN((Skills!T13*(1+Inputs!$B$35/100)),(1/Q1640))+MIN((Skills!T13*(1+Inputs!$B$35/100)),MAX(0,Inputs!$B$44-((R1640-1)*(1/Q1640)))))/Inputs!$B$44),IF(Inputs!$B$39="pvp",MIN((Skills!T13*(1+Inputs!$B$35/100)),15)/15,MIN(1,(Skills!T13*(1+Inputs!$B$35/100))/(1/Q1640)))))+(IF(AND(ArtifactsInput!$M$35,Inputs!$B$4&lt;&gt;"Chapter Hunt"),CHOOSE(ArtifactsInput!$N$35+1,15,18,21,24,27,30)*(1-EXP(-(0.2*B1658)*5)),0)+IF(AND(ArtifactsInput!$M$22,Inputs!$B$4&lt;&gt;"Chapter Hunt"),CHOOSE(ArtifactsInput!$N$22+1,10,12,14,16,18,20)*((0*(((0.15*B1658*5))^0/1)+1*(((0.15*B1658*5))^1/1)+2*(((0.15*B1658*5))^2/2)+3*(((0.15*B1658*5))^3/6)+4*(((0.15*B1658*5))^4/24)+5*(((0.15*B1658*5))^5/120))/((((0.15*B1658*5))^0/1)+(((0.15*B1658*5))^1/1)+(((0.15*B1658*5))^2/2)+(((0.15*B1658*5))^3/6)+(((0.15*B1658*5))^4/24)+(((0.15*B1658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1634*(1-MIN(100,(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1634*(MIN(100,(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1634*(1-MIN(100,(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1634*(MIN(100,(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34">
        <f>IF(C1634,(H1634*N1634*IF(AND(Inputs!$B$39&lt;&gt;"pvp",Inputs!$B$44&gt;0),((Skills!G7*((R1634-1)*IF(Skills!H7&gt;0,INT(Skills!I7/Skills!H7+0.000000001),1)+IF(Skills!H7&gt;0,INT(MIN(Skills!I7,MAX(0,MAX(0,Inputs!$B$44-B1663)-((R1634-1)*IF(Inputs!$B$39="pvp",15,MAX(0.1,Skills!D7-IF(TRUE=TRUE,Inputs!$B$33,0))))))/Skills!H7+0.000000001),1)))/Inputs!$B$44),G1634*Q1634))*IF(Inputs!$B$39="pvp",1,(1+(Inputs!$B$22+Skills!Q7+((C1644=TRUE)*F1644*IF(AND(Inputs!$B$39&lt;&gt;"pvp",Inputs!$B$44&gt;0),(((R1644-1)*MIN((Skills!T17*(1+Inputs!$B$35/100)),(1/Q1644))+MIN((Skills!T17*(1+Inputs!$B$35/100)),MAX(0,Inputs!$B$44-((R1644-1)*(1/Q1644)))))/Inputs!$B$44),IF(Inputs!$B$39="pvp",MIN((Skills!T17*(1+Inputs!$B$35/100)),15)/15,MIN(1,(Skills!T17*(1+Inputs!$B$35/100))/(1/Q1644)))))+((C1632=TRUE)*IF(Inputs!$B$3&gt;=126,10*MIN(1,15*Q1632),0))+((C1641=TRUE)*IF(Inputs!$B$39="pvp",20,(1-Summary!$B$11)*(20)+Summary!$B$11*(0))*IF(AND(Inputs!$B$39&lt;&gt;"pvp",Inputs!$B$44&gt;0),(((R1641-1)*MIN((Skills!T14*(1+Inputs!$B$35/100)),(1/Q1641))+MIN((Skills!T14*(1+Inputs!$B$35/100)),MAX(0,Inputs!$B$44-((R1641-1)*(1/Q1641)))))/Inputs!$B$44),IF(Inputs!$B$39="pvp",MIN((Skills!T14*(1+Inputs!$B$35/100)),15)/15,MIN(1,(Skills!T14*(1+Inputs!$B$35/100))/(1/Q1641)))))+((C1640=TRUE)*IF(Inputs!$B$3&gt;=82,IF(Inputs!$B$39="pvp",20,(1-Summary!$B$11)*(20)+Summary!$B$11*(0)),0)*IF(AND(Inputs!$B$39&lt;&gt;"pvp",Inputs!$B$44&gt;0),(((R1640-1)*MIN((Skills!T13*(1+Inputs!$B$35/100)),(1/Q1640))+MIN((Skills!T13*(1+Inputs!$B$35/100)),MAX(0,Inputs!$B$44-((R1640-1)*(1/Q1640)))))/Inputs!$B$44),IF(Inputs!$B$39="pvp",MIN((Skills!T13*(1+Inputs!$B$35/100)),15)/15,MIN(1,(Skills!T13*(1+Inputs!$B$35/100))/(1/Q1640)))))+(IF(AND(ArtifactsInput!$M$35,Inputs!$B$4&lt;&gt;"Chapter Hunt"),CHOOSE(ArtifactsInput!$N$35+1,15,18,21,24,27,30)*(1-EXP(-(0.2*B1658)*5)),0)+IF(AND(ArtifactsInput!$M$22,Inputs!$B$4&lt;&gt;"Chapter Hunt"),CHOOSE(ArtifactsInput!$N$22+1,10,12,14,16,18,20)*((0*(((0.15*B1658*5))^0/1)+1*(((0.15*B1658*5))^1/1)+2*(((0.15*B1658*5))^2/2)+3*(((0.15*B1658*5))^3/6)+4*(((0.15*B1658*5))^4/24)+5*(((0.15*B1658*5))^5/120))/((((0.15*B1658*5))^0/1)+(((0.15*B1658*5))^1/1)+(((0.15*B1658*5))^2/2)+(((0.15*B1658*5))^3/6)+(((0.15*B1658*5))^4/24)+(((0.15*B1658*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35">
      <c r="A1635">
        <f>Skills!A8</f>
        <v/>
      </c>
      <c r="B1635">
        <f>Skills!B8</f>
        <v/>
      </c>
      <c r="C1635">
        <f>Inputs!$B$3&gt;=75</f>
        <v/>
      </c>
      <c r="D1635">
        <f>IF(Skills!C8=1,60+Inputs!$B$26+Inputs!$B$30,IF(Skills!C8=2,90+Inputs!$B$27+Inputs!$B$30,IF(Skills!C8=3,120+Inputs!$B$28+Inputs!$B$30,MAX(0,(Inputs!$B$3-100)*3)+Inputs!$B$29+Inputs!$B$30)))</f>
        <v/>
      </c>
      <c r="E1635">
        <f>INDEX(FactorTable!$B$2:$Y$301, MATCH(ROUND(MIN(300,MAX(1,D1635)),0), FactorTable!$A$2:$A$301,0), Skills!M8+1)</f>
        <v/>
      </c>
      <c r="F1635">
        <f>IF(Skills!N8=TRUE,(Skills!L8/10)*(E1635/1000),Skills!L8/10)+Skills!O8</f>
        <v/>
      </c>
      <c r="G1635" t="inlineStr"/>
      <c r="H1635" t="inlineStr"/>
      <c r="I1635" t="inlineStr">
        <is>
          <t>1</t>
        </is>
      </c>
      <c r="J1635" t="inlineStr"/>
      <c r="K1635" t="inlineStr"/>
      <c r="L1635" t="inlineStr"/>
      <c r="M1635" t="inlineStr"/>
      <c r="N1635" t="inlineStr"/>
      <c r="O1635" t="inlineStr"/>
      <c r="P1635" t="inlineStr"/>
      <c r="Q1635" t="inlineStr"/>
      <c r="R1635" t="inlineStr"/>
      <c r="S1635" t="inlineStr"/>
    </row>
    <row r="1636">
      <c r="A1636">
        <f>Skills!A9</f>
        <v/>
      </c>
      <c r="B1636">
        <f>Skills!B9</f>
        <v/>
      </c>
      <c r="C1636">
        <f>Inputs!$B$3&gt;=60</f>
        <v/>
      </c>
      <c r="D1636">
        <f>IF(Skills!C9=1,60+Inputs!$B$26+Inputs!$B$30,IF(Skills!C9=2,90+Inputs!$B$27+Inputs!$B$30,IF(Skills!C9=3,120+Inputs!$B$28+Inputs!$B$30,MAX(0,(Inputs!$B$3-100)*3)+Inputs!$B$29+Inputs!$B$30)))</f>
        <v/>
      </c>
      <c r="E1636">
        <f>INDEX(FactorTable!$B$2:$Y$301, MATCH(ROUND(MIN(300,MAX(1,D1636)),0), FactorTable!$A$2:$A$301,0), Skills!M9+1)</f>
        <v/>
      </c>
      <c r="F1636">
        <f>IF(Skills!N9=TRUE,(Skills!L9/10)*(E1636/1000),Skills!L9/10)+Skills!O9</f>
        <v/>
      </c>
      <c r="G1636">
        <f>Skills!G9*IF(Skills!H9&gt;0,INT(IF(Inputs!$B$39="pvp",MIN(Skills!I9,15),Skills!I9)/Skills!H9+0.000000001),1)</f>
        <v/>
      </c>
      <c r="H1636">
        <f>1-(1-Skills!J9/100)^Skills!K9</f>
        <v/>
      </c>
      <c r="I1636" t="inlineStr">
        <is>
          <t>1</t>
        </is>
      </c>
      <c r="J1636">
        <f>((Inputs!$B$6*(1+Inputs!$B$7/100))+(((Inputs!$B$13*(1+Inputs!$B$14/100))-(Inputs!$B$13*(1+Inputs!$B$14/100)))+0.25*(Inputs!$B$15-Inputs!$B$15))*(1+Inputs!$B$7/100))*(F1636/100)</f>
        <v/>
      </c>
      <c r="K1636">
        <f>J1636*(1+(((Inputs!$B$13+IF(Inputs!$B$3&gt;=38,(10*INDEX(FactorTable!$B$2:$Y$301, MATCH(ROUND(MIN(300,MAX(1,Inputs!$B$3)),0), FactorTable!$A$2:$A$301,0), 23)/1000)/100*(Inputs!$B$8*(1+Inputs!$B$9/100)),0))*(1+Inputs!$B$14/100))*0.01+Inputs!$B$15*0.0025)/100)*(1+Inputs!$B$16/100)*(1+Inputs!$B$17/100)*(5000/(6000+Inputs!$B$43*(1-(Inputs!$B$20+0)/100)))*(1+(Inputs!$B$25+((C1652=TRUE)*(F1652-Calc!F25))+((C1653=TRUE)*(F1653-Calc!F26))+B1662)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1638=TRUE,F1638,0)/100)*(1+(IF(Skills!A9="DARK_IMPALE",Inputs!$B$18+0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gt;=100),MIN(100,((Inputs!$B$10+0+B1656+(ArtifactsInput!$M$24-ArtifactsInput!$M$24)*CHOOSE(ArtifactsInput!$N$24+1,10,12,14,16,18,20)+IF(ArtifactsInput!$M$10,CHOOSE(ArtifactsInput!$N$10+1,15,18,21,24,27,30)*(IF(Inputs!$B$39="pvp",MIN(15,15)/15,IF(AND(Inputs!$B$39&lt;&gt;"pvp",Inputs!$B$44&gt;0),MIN(15,Inputs!$B$44)/(Inputs!$B$44),0))),0)))-100),0))*CHOOSE(ArtifactsInput!$N$42+1,0.6,0.72,0.84,0.96,1.08,1.2))),Inputs!$B$19+((C1650=TRUE)*(F1650-Calc!F23))+(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gt;=100),CHOOSE(ArtifactsInput!$N$42+1,40,48,56,64,72,80),0))))/100)*((1+(((C1640=TRUE)*F1640*IF(AND(Inputs!$B$39&lt;&gt;"pvp",Inputs!$B$44&gt;0),(((R1640-1)*MIN((Skills!T13*(1+Inputs!$B$35/100)),(1/Q1640))+MIN((Skills!T13*(1+Inputs!$B$35/100)),MAX(0,Inputs!$B$44-((R1640-1)*(1/Q1640)))))/Inputs!$B$44),IF(Inputs!$B$39="pvp",MIN((Skills!T13*(1+Inputs!$B$35/100)),15)/15,MIN(1,(Skills!T13*(1+Inputs!$B$35/100))/(1/Q1640)))))+((C1641=TRUE)*F1641*IF(AND(Inputs!$B$39&lt;&gt;"pvp",Inputs!$B$44&gt;0),(((R1641-1)*MIN((Skills!T14*(1+Inputs!$B$35/100)),(1/Q1641))+MIN((Skills!T14*(1+Inputs!$B$35/100)),MAX(0,Inputs!$B$44-((R1641-1)*(1/Q1641)))))/Inputs!$B$44),IF(Inputs!$B$39="pvp",MIN((Skills!T14*(1+Inputs!$B$35/100)),15)/15,MIN(1,(Skills!T14*(1+Inputs!$B$35/100))/(1/Q1641)))))+((C1642=TRUE)*F1642*IF(AND(Inputs!$B$39&lt;&gt;"pvp",Inputs!$B$44&gt;0),(((R1642-1)*MIN((Skills!T15*(1+Inputs!$B$35/100)),(1/Q1642))+MIN((Skills!T15*(1+Inputs!$B$35/100)),MAX(0,Inputs!$B$44-((R1642-1)*(1/Q1642)))))/Inputs!$B$44),IF(Inputs!$B$39="pvp",MIN((Skills!T15*(1+Inputs!$B$35/100)),15)/15,MIN(1,(Skills!T15*(1+Inputs!$B$35/100))/(1/Q1642)))))+((C1643=TRUE)*F1643*IF(AND(Inputs!$B$39&lt;&gt;"pvp",Inputs!$B$44&gt;0),(((R1643-1)*MIN((Skills!T16*(1+Inputs!$B$35/100)),(1/Q1643))+MIN((Skills!T16*(1+Inputs!$B$35/100)),MAX(0,Inputs!$B$44-((R1643-1)*(1/Q1643)))))/Inputs!$B$44),IF(Inputs!$B$39="pvp",MIN((Skills!T16*(1+Inputs!$B$35/100)),15)/15,MIN(1,(Skills!T16*(1+Inputs!$B$35/100))/(1/Q1643)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1636)</f>
        <v/>
      </c>
      <c r="L1636">
        <f>K1636*(MIN(Inputs!$B$23+((C1649=TRUE)*(F1649-Calc!F22)),(Inputs!$B$24+((C1651=TRUE)*(F1651-Calc!F24))+((IF(IF(ArtifactsInput!$M$15,FALSE,TRUE),1,-1)*CHOOSE(ArtifactsInput!$N$15+1,25,30,35,40,45,50)/100*IF(IF(ArtifactsInput!$M$15,FALSE,TRUE),(Inputs!$B$12+((C1648=TRUE)*(F1648-Calc!F21))+(IF(ArtifactsInput!$M$15,FALSE,TRUE)-ArtifactsInput!$M$15)*CHOOSE(ArtifactsInput!$N$15+1,8,9.6,11.2,12.8,14.4,16)),Inputs!$B$12)))))/100+(Inputs!$B$24+((C1651=TRUE)*(F1651-Calc!F24))+((IF(IF(ArtifactsInput!$M$15,FALSE,TRUE),1,-1)*CHOOSE(ArtifactsInput!$N$15+1,25,30,35,40,45,50)/100*IF(IF(ArtifactsInput!$M$15,FALSE,TRUE),(Inputs!$B$12+((C1648=TRUE)*(F1648-Calc!F21))+(IF(ArtifactsInput!$M$15,FALSE,TRUE)-ArtifactsInput!$M$15)*CHOOSE(ArtifactsInput!$N$15+1,8,9.6,11.2,12.8,14.4,16)),Inputs!$B$12))))/100)/2</f>
        <v/>
      </c>
      <c r="M1636">
        <f>L1636*(1+(Inputs!$B$11+0+B1661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636">
        <f>L1636*(1-MIN((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1636*(MIN((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36">
        <f>(1-Summary!$B$11)*T1636+Summary!$B$11*V1636</f>
        <v/>
      </c>
      <c r="P1636">
        <f>IF(B1666=0,0,O1636/B1666)</f>
        <v/>
      </c>
      <c r="Q1636">
        <f>IFERROR(1/IF(Inputs!$B$39="pvp",15,MAX(0.1,Skills!D9-IF(TRUE=TRUE,Inputs!$B$33,0))),0)</f>
        <v/>
      </c>
      <c r="R1636">
        <f>IF(AND(Inputs!$B$39&lt;&gt;"pvp",Inputs!$B$44&gt;0),IF(MAX(0,Inputs!$B$44-B1663)&lt;=0,0,(INT(MAX(0,Inputs!$B$44-B1663)/IF(Inputs!$B$39="pvp",15,MAX(0.1,Skills!D9-IF(TRUE=TRUE,Inputs!$B$33,0))))+1)),0)</f>
        <v/>
      </c>
      <c r="S1636">
        <f>IFERROR(O1636/N1636,0)</f>
        <v/>
      </c>
      <c r="T1636">
        <f>IF(C1636,(H1636*N1636*IF(AND(Inputs!$B$39&lt;&gt;"pvp",Inputs!$B$44&gt;0),((Skills!G9*((R1636-1)*IF(Skills!H9&gt;0,INT(Skills!I9/Skills!H9+0.000000001),1)+IF(Skills!H9&gt;0,INT(MIN(Skills!I9,MAX(0,MAX(0,Inputs!$B$44-B1663)-((R1636-1)*IF(Inputs!$B$39="pvp",15,MAX(0.1,Skills!D9-IF(TRUE=TRUE,Inputs!$B$33,0))))))/Skills!H9+0.000000001),1)))/Inputs!$B$44),G1636*Q1636))*IF(Inputs!$B$39="pvp",1,1+(Inputs!$B$21+0+Skills!P9+((C1644=TRUE)*F1644*IF(AND(Inputs!$B$39&lt;&gt;"pvp",Inputs!$B$44&gt;0),(((R1644-1)*MIN((Skills!T17*(1+Inputs!$B$35/100)),(1/Q1644))+MIN((Skills!T17*(1+Inputs!$B$35/100)),MAX(0,Inputs!$B$44-((R1644-1)*(1/Q1644)))))/Inputs!$B$44),IF(Inputs!$B$39="pvp",MIN((Skills!T17*(1+Inputs!$B$35/100)),15)/15,MIN(1,(Skills!T17*(1+Inputs!$B$35/100))/(1/Q1644)))))+((C1632=TRUE)*IF(Inputs!$B$3&gt;=126,10*MIN(1,15*Q1632),0))+((C1641=TRUE)*IF(Inputs!$B$39="pvp",20,(1-Summary!$B$11)*(20)+Summary!$B$11*(0))*IF(AND(Inputs!$B$39&lt;&gt;"pvp",Inputs!$B$44&gt;0),(((R1641-1)*MIN((Skills!T14*(1+Inputs!$B$35/100)),(1/Q1641))+MIN((Skills!T14*(1+Inputs!$B$35/100)),MAX(0,Inputs!$B$44-((R1641-1)*(1/Q1641)))))/Inputs!$B$44),IF(Inputs!$B$39="pvp",MIN((Skills!T14*(1+Inputs!$B$35/100)),15)/15,MIN(1,(Skills!T14*(1+Inputs!$B$35/100))/(1/Q1641)))))+((C1640=TRUE)*IF(Inputs!$B$3&gt;=82,IF(Inputs!$B$39="pvp",20,(1-Summary!$B$11)*(20)+Summary!$B$11*(0)),0)*IF(AND(Inputs!$B$39&lt;&gt;"pvp",Inputs!$B$44&gt;0),(((R1640-1)*MIN((Skills!T13*(1+Inputs!$B$35/100)),(1/Q1640))+MIN((Skills!T13*(1+Inputs!$B$35/100)),MAX(0,Inputs!$B$44-((R1640-1)*(1/Q1640)))))/Inputs!$B$44),IF(Inputs!$B$39="pvp",MIN((Skills!T13*(1+Inputs!$B$35/100)),15)/15,MIN(1,(Skills!T13*(1+Inputs!$B$35/100))/(1/Q1640)))))+(IF(AND(ArtifactsInput!$M$35,Inputs!$B$4&lt;&gt;"Chapter Hunt"),CHOOSE(ArtifactsInput!$N$35+1,15,18,21,24,27,30)*(1-EXP(-(0.2*B1658)*5)),0)+IF(AND(ArtifactsInput!$M$22,Inputs!$B$4&lt;&gt;"Chapter Hunt"),CHOOSE(ArtifactsInput!$N$22+1,10,12,14,16,18,20)*((0*(((0.15*B1658*5))^0/1)+1*(((0.15*B1658*5))^1/1)+2*(((0.15*B1658*5))^2/2)+3*(((0.15*B1658*5))^3/6)+4*(((0.15*B1658*5))^4/24)+5*(((0.15*B1658*5))^5/120))/((((0.15*B1658*5))^0/1)+(((0.15*B1658*5))^1/1)+(((0.15*B1658*5))^2/2)+(((0.15*B1658*5))^3/6)+(((0.15*B1658*5))^4/24)+(((0.15*B1658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1636*(1-MIN(100,(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1636*(MIN(100,(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1636*(1-MIN(100,(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1636*(MIN(100,(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36">
        <f>IF(C1636,(H1636*N1636*IF(AND(Inputs!$B$39&lt;&gt;"pvp",Inputs!$B$44&gt;0),((Skills!G9*((R1636-1)*IF(Skills!H9&gt;0,INT(Skills!I9/Skills!H9+0.000000001),1)+IF(Skills!H9&gt;0,INT(MIN(Skills!I9,MAX(0,MAX(0,Inputs!$B$44-B1663)-((R1636-1)*IF(Inputs!$B$39="pvp",15,MAX(0.1,Skills!D9-IF(TRUE=TRUE,Inputs!$B$33,0))))))/Skills!H9+0.000000001),1)))/Inputs!$B$44),G1636*Q1636))*IF(Inputs!$B$39="pvp",1,(1+(Inputs!$B$22+Skills!Q9+((C1644=TRUE)*F1644*IF(AND(Inputs!$B$39&lt;&gt;"pvp",Inputs!$B$44&gt;0),(((R1644-1)*MIN((Skills!T17*(1+Inputs!$B$35/100)),(1/Q1644))+MIN((Skills!T17*(1+Inputs!$B$35/100)),MAX(0,Inputs!$B$44-((R1644-1)*(1/Q1644)))))/Inputs!$B$44),IF(Inputs!$B$39="pvp",MIN((Skills!T17*(1+Inputs!$B$35/100)),15)/15,MIN(1,(Skills!T17*(1+Inputs!$B$35/100))/(1/Q1644)))))+((C1632=TRUE)*IF(Inputs!$B$3&gt;=126,10*MIN(1,15*Q1632),0))+((C1641=TRUE)*IF(Inputs!$B$39="pvp",20,(1-Summary!$B$11)*(20)+Summary!$B$11*(0))*IF(AND(Inputs!$B$39&lt;&gt;"pvp",Inputs!$B$44&gt;0),(((R1641-1)*MIN((Skills!T14*(1+Inputs!$B$35/100)),(1/Q1641))+MIN((Skills!T14*(1+Inputs!$B$35/100)),MAX(0,Inputs!$B$44-((R1641-1)*(1/Q1641)))))/Inputs!$B$44),IF(Inputs!$B$39="pvp",MIN((Skills!T14*(1+Inputs!$B$35/100)),15)/15,MIN(1,(Skills!T14*(1+Inputs!$B$35/100))/(1/Q1641)))))+((C1640=TRUE)*IF(Inputs!$B$3&gt;=82,IF(Inputs!$B$39="pvp",20,(1-Summary!$B$11)*(20)+Summary!$B$11*(0)),0)*IF(AND(Inputs!$B$39&lt;&gt;"pvp",Inputs!$B$44&gt;0),(((R1640-1)*MIN((Skills!T13*(1+Inputs!$B$35/100)),(1/Q1640))+MIN((Skills!T13*(1+Inputs!$B$35/100)),MAX(0,Inputs!$B$44-((R1640-1)*(1/Q1640)))))/Inputs!$B$44),IF(Inputs!$B$39="pvp",MIN((Skills!T13*(1+Inputs!$B$35/100)),15)/15,MIN(1,(Skills!T13*(1+Inputs!$B$35/100))/(1/Q1640)))))+(IF(AND(ArtifactsInput!$M$35,Inputs!$B$4&lt;&gt;"Chapter Hunt"),CHOOSE(ArtifactsInput!$N$35+1,15,18,21,24,27,30)*(1-EXP(-(0.2*B1658)*5)),0)+IF(AND(ArtifactsInput!$M$22,Inputs!$B$4&lt;&gt;"Chapter Hunt"),CHOOSE(ArtifactsInput!$N$22+1,10,12,14,16,18,20)*((0*(((0.15*B1658*5))^0/1)+1*(((0.15*B1658*5))^1/1)+2*(((0.15*B1658*5))^2/2)+3*(((0.15*B1658*5))^3/6)+4*(((0.15*B1658*5))^4/24)+5*(((0.15*B1658*5))^5/120))/((((0.15*B1658*5))^0/1)+(((0.15*B1658*5))^1/1)+(((0.15*B1658*5))^2/2)+(((0.15*B1658*5))^3/6)+(((0.15*B1658*5))^4/24)+(((0.15*B1658*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37">
      <c r="A1637">
        <f>Skills!A10</f>
        <v/>
      </c>
      <c r="B1637">
        <f>Skills!B10</f>
        <v/>
      </c>
      <c r="C1637">
        <f>Inputs!$B$3&gt;=110</f>
        <v/>
      </c>
      <c r="D1637">
        <f>IF(Skills!C10=1,60+Inputs!$B$26+Inputs!$B$30,IF(Skills!C10=2,90+Inputs!$B$27+Inputs!$B$30,IF(Skills!C10=3,120+Inputs!$B$28+Inputs!$B$30,MAX(0,(Inputs!$B$3-100)*3)+Inputs!$B$29+Inputs!$B$30)))</f>
        <v/>
      </c>
      <c r="E1637">
        <f>INDEX(FactorTable!$B$2:$Y$301, MATCH(ROUND(MIN(300,MAX(1,D1637)),0), FactorTable!$A$2:$A$301,0), Skills!M10+1)</f>
        <v/>
      </c>
      <c r="F1637">
        <f>IF(Skills!N10=TRUE,(Skills!L10/10)*(E1637/1000),Skills!L10/10)+Skills!O10</f>
        <v/>
      </c>
      <c r="G1637">
        <f>Skills!G10*IF(Skills!H10&gt;0,INT(IF(Inputs!$B$39="pvp",MIN(Skills!I10,15),Skills!I10)/Skills!H10+0.000000001),1)</f>
        <v/>
      </c>
      <c r="H1637">
        <f>1-(1-Skills!J10/100)^Skills!K10</f>
        <v/>
      </c>
      <c r="I1637" t="inlineStr">
        <is>
          <t>1</t>
        </is>
      </c>
      <c r="J1637">
        <f>((Inputs!$B$6*(1+Inputs!$B$7/100))+(((Inputs!$B$13*(1+Inputs!$B$14/100))-(Inputs!$B$13*(1+Inputs!$B$14/100)))+0.25*(Inputs!$B$15-Inputs!$B$15))*(1+Inputs!$B$7/100))*(F1637/100)</f>
        <v/>
      </c>
      <c r="K1637">
        <f>J1637*(1+(((Inputs!$B$13+IF(Inputs!$B$3&gt;=38,(10*INDEX(FactorTable!$B$2:$Y$301, MATCH(ROUND(MIN(300,MAX(1,Inputs!$B$3)),0), FactorTable!$A$2:$A$301,0), 23)/1000)/100*(Inputs!$B$8*(1+Inputs!$B$9/100)),0))*(1+Inputs!$B$14/100))*0.01+Inputs!$B$15*0.0025)/100)*(1+Inputs!$B$16/100)*(1+Inputs!$B$17/100)*(5000/(6000+Inputs!$B$43*(1-(Inputs!$B$20+0)/100)))*(1+(Inputs!$B$25+((C1652=TRUE)*(F1652-Calc!F25))+((C1653=TRUE)*(F1653-Calc!F26))+B1662)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gt;=100),MIN(100,((Inputs!$B$10+0+B1656+(ArtifactsInput!$M$24-ArtifactsInput!$M$24)*CHOOSE(ArtifactsInput!$N$24+1,10,12,14,16,18,20)+IF(ArtifactsInput!$M$10,CHOOSE(ArtifactsInput!$N$10+1,15,18,21,24,27,30)*(IF(Inputs!$B$39="pvp",MIN(15,15)/15,IF(AND(Inputs!$B$39&lt;&gt;"pvp",Inputs!$B$44&gt;0),MIN(15,Inputs!$B$44)/(Inputs!$B$44),0))),0)))-100),0))*CHOOSE(ArtifactsInput!$N$42+1,0.6,0.72,0.84,0.96,1.08,1.2))),Inputs!$B$19+((C1650=TRUE)*(F1650-Calc!F23))+(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gt;=100),CHOOSE(ArtifactsInput!$N$42+1,40,48,56,64,72,80),0))))/100)*((1+(((C1640=TRUE)*F1640*IF(AND(Inputs!$B$39&lt;&gt;"pvp",Inputs!$B$44&gt;0),(((R1640-1)*MIN((Skills!T13*(1+Inputs!$B$35/100)),(1/Q1640))+MIN((Skills!T13*(1+Inputs!$B$35/100)),MAX(0,Inputs!$B$44-((R1640-1)*(1/Q1640)))))/Inputs!$B$44),IF(Inputs!$B$39="pvp",MIN((Skills!T13*(1+Inputs!$B$35/100)),15)/15,MIN(1,(Skills!T13*(1+Inputs!$B$35/100))/(1/Q1640)))))+((C1641=TRUE)*F1641*IF(AND(Inputs!$B$39&lt;&gt;"pvp",Inputs!$B$44&gt;0),(((R1641-1)*MIN((Skills!T14*(1+Inputs!$B$35/100)),(1/Q1641))+MIN((Skills!T14*(1+Inputs!$B$35/100)),MAX(0,Inputs!$B$44-((R1641-1)*(1/Q1641)))))/Inputs!$B$44),IF(Inputs!$B$39="pvp",MIN((Skills!T14*(1+Inputs!$B$35/100)),15)/15,MIN(1,(Skills!T14*(1+Inputs!$B$35/100))/(1/Q1641)))))+((C1642=TRUE)*F1642*IF(AND(Inputs!$B$39&lt;&gt;"pvp",Inputs!$B$44&gt;0),(((R1642-1)*MIN((Skills!T15*(1+Inputs!$B$35/100)),(1/Q1642))+MIN((Skills!T15*(1+Inputs!$B$35/100)),MAX(0,Inputs!$B$44-((R1642-1)*(1/Q1642)))))/Inputs!$B$44),IF(Inputs!$B$39="pvp",MIN((Skills!T15*(1+Inputs!$B$35/100)),15)/15,MIN(1,(Skills!T15*(1+Inputs!$B$35/100))/(1/Q1642)))))+((C1643=TRUE)*F1643*IF(AND(Inputs!$B$39&lt;&gt;"pvp",Inputs!$B$44&gt;0),(((R1643-1)*MIN((Skills!T16*(1+Inputs!$B$35/100)),(1/Q1643))+MIN((Skills!T16*(1+Inputs!$B$35/100)),MAX(0,Inputs!$B$44-((R1643-1)*(1/Q1643)))))/Inputs!$B$44),IF(Inputs!$B$39="pvp",MIN((Skills!T16*(1+Inputs!$B$35/100)),15)/15,MIN(1,(Skills!T16*(1+Inputs!$B$35/100))/(1/Q1643)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1637)</f>
        <v/>
      </c>
      <c r="L1637">
        <f>K1637*(MIN(Inputs!$B$23+((C1649=TRUE)*(F1649-Calc!F22)),(Inputs!$B$24+((C1651=TRUE)*(F1651-Calc!F24))+((IF(IF(ArtifactsInput!$M$15,FALSE,TRUE),1,-1)*CHOOSE(ArtifactsInput!$N$15+1,25,30,35,40,45,50)/100*IF(IF(ArtifactsInput!$M$15,FALSE,TRUE),(Inputs!$B$12+((C1648=TRUE)*(F1648-Calc!F21))+(IF(ArtifactsInput!$M$15,FALSE,TRUE)-ArtifactsInput!$M$15)*CHOOSE(ArtifactsInput!$N$15+1,8,9.6,11.2,12.8,14.4,16)),Inputs!$B$12)))))/100+(Inputs!$B$24+((C1651=TRUE)*(F1651-Calc!F24))+((IF(IF(ArtifactsInput!$M$15,FALSE,TRUE),1,-1)*CHOOSE(ArtifactsInput!$N$15+1,25,30,35,40,45,50)/100*IF(IF(ArtifactsInput!$M$15,FALSE,TRUE),(Inputs!$B$12+((C1648=TRUE)*(F1648-Calc!F21))+(IF(ArtifactsInput!$M$15,FALSE,TRUE)-ArtifactsInput!$M$15)*CHOOSE(ArtifactsInput!$N$15+1,8,9.6,11.2,12.8,14.4,16)),Inputs!$B$12))))/100)/2</f>
        <v/>
      </c>
      <c r="M1637">
        <f>L1637*(1+(Inputs!$B$11+0+B1661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637">
        <f>L1637*(1-MIN((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1637*(MIN((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37">
        <f>(1-Summary!$B$11)*T1637+Summary!$B$11*V1637</f>
        <v/>
      </c>
      <c r="P1637">
        <f>IF(B1666=0,0,O1637/B1666)</f>
        <v/>
      </c>
      <c r="Q1637">
        <f>IFERROR(1/IF(Inputs!$B$39="pvp",15,MAX(0.1,Skills!D10-IF(TRUE=TRUE,Inputs!$B$33,0))),0)</f>
        <v/>
      </c>
      <c r="R1637">
        <f>IF(AND(Inputs!$B$39&lt;&gt;"pvp",Inputs!$B$44&gt;0),IF(MAX(0,Inputs!$B$44-B1663)&lt;=0,0,(INT(MAX(0,Inputs!$B$44-B1663)/IF(Inputs!$B$39="pvp",15,MAX(0.1,Skills!D10-IF(TRUE=TRUE,Inputs!$B$33,0))))+1)),0)</f>
        <v/>
      </c>
      <c r="S1637">
        <f>IFERROR(O1637/N1637,0)</f>
        <v/>
      </c>
      <c r="T1637">
        <f>IF(C1637,(H1637*N1637*IF(AND(Inputs!$B$39&lt;&gt;"pvp",Inputs!$B$44&gt;0),((Skills!G10*((R1637-1)*IF(Skills!H10&gt;0,INT(Skills!I10/Skills!H10+0.000000001),1)+IF(Skills!H10&gt;0,INT(MIN(Skills!I10,MAX(0,MAX(0,Inputs!$B$44-B1663)-((R1637-1)*IF(Inputs!$B$39="pvp",15,MAX(0.1,Skills!D10-IF(TRUE=TRUE,Inputs!$B$33,0))))))/Skills!H10+0.000000001),1)))/Inputs!$B$44),G1637*Q1637))*IF(Inputs!$B$39="pvp",1,1+(Inputs!$B$21+0+Skills!P10+((C1644=TRUE)*F1644*IF(AND(Inputs!$B$39&lt;&gt;"pvp",Inputs!$B$44&gt;0),(((R1644-1)*MIN((Skills!T17*(1+Inputs!$B$35/100)),(1/Q1644))+MIN((Skills!T17*(1+Inputs!$B$35/100)),MAX(0,Inputs!$B$44-((R1644-1)*(1/Q1644)))))/Inputs!$B$44),IF(Inputs!$B$39="pvp",MIN((Skills!T17*(1+Inputs!$B$35/100)),15)/15,MIN(1,(Skills!T17*(1+Inputs!$B$35/100))/(1/Q1644)))))+((C1632=TRUE)*IF(Inputs!$B$3&gt;=126,10*MIN(1,15*Q1632),0))+((C1641=TRUE)*IF(Inputs!$B$39="pvp",20,(1-Summary!$B$11)*(20)+Summary!$B$11*(0))*IF(AND(Inputs!$B$39&lt;&gt;"pvp",Inputs!$B$44&gt;0),(((R1641-1)*MIN((Skills!T14*(1+Inputs!$B$35/100)),(1/Q1641))+MIN((Skills!T14*(1+Inputs!$B$35/100)),MAX(0,Inputs!$B$44-((R1641-1)*(1/Q1641)))))/Inputs!$B$44),IF(Inputs!$B$39="pvp",MIN((Skills!T14*(1+Inputs!$B$35/100)),15)/15,MIN(1,(Skills!T14*(1+Inputs!$B$35/100))/(1/Q1641)))))+((C1640=TRUE)*IF(Inputs!$B$3&gt;=82,IF(Inputs!$B$39="pvp",20,(1-Summary!$B$11)*(20)+Summary!$B$11*(0)),0)*IF(AND(Inputs!$B$39&lt;&gt;"pvp",Inputs!$B$44&gt;0),(((R1640-1)*MIN((Skills!T13*(1+Inputs!$B$35/100)),(1/Q1640))+MIN((Skills!T13*(1+Inputs!$B$35/100)),MAX(0,Inputs!$B$44-((R1640-1)*(1/Q1640)))))/Inputs!$B$44),IF(Inputs!$B$39="pvp",MIN((Skills!T13*(1+Inputs!$B$35/100)),15)/15,MIN(1,(Skills!T13*(1+Inputs!$B$35/100))/(1/Q1640)))))+(IF(AND(ArtifactsInput!$M$35,Inputs!$B$4&lt;&gt;"Chapter Hunt"),CHOOSE(ArtifactsInput!$N$35+1,15,18,21,24,27,30)*(1-EXP(-(0.2*B1658)*5)),0)+IF(AND(ArtifactsInput!$M$22,Inputs!$B$4&lt;&gt;"Chapter Hunt"),CHOOSE(ArtifactsInput!$N$22+1,10,12,14,16,18,20)*((0*(((0.15*B1658*5))^0/1)+1*(((0.15*B1658*5))^1/1)+2*(((0.15*B1658*5))^2/2)+3*(((0.15*B1658*5))^3/6)+4*(((0.15*B1658*5))^4/24)+5*(((0.15*B1658*5))^5/120))/((((0.15*B1658*5))^0/1)+(((0.15*B1658*5))^1/1)+(((0.15*B1658*5))^2/2)+(((0.15*B1658*5))^3/6)+(((0.15*B1658*5))^4/24)+(((0.15*B1658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1637*(1-MIN(100,(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1637*(MIN(100,(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1637*(1-MIN(100,(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1637*(MIN(100,(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37">
        <f>IF(C1637,(H1637*N1637*IF(AND(Inputs!$B$39&lt;&gt;"pvp",Inputs!$B$44&gt;0),((Skills!G10*((R1637-1)*IF(Skills!H10&gt;0,INT(Skills!I10/Skills!H10+0.000000001),1)+IF(Skills!H10&gt;0,INT(MIN(Skills!I10,MAX(0,MAX(0,Inputs!$B$44-B1663)-((R1637-1)*IF(Inputs!$B$39="pvp",15,MAX(0.1,Skills!D10-IF(TRUE=TRUE,Inputs!$B$33,0))))))/Skills!H10+0.000000001),1)))/Inputs!$B$44),G1637*Q1637))*IF(Inputs!$B$39="pvp",1,(1+(Inputs!$B$22+Skills!Q10+((C1644=TRUE)*F1644*IF(AND(Inputs!$B$39&lt;&gt;"pvp",Inputs!$B$44&gt;0),(((R1644-1)*MIN((Skills!T17*(1+Inputs!$B$35/100)),(1/Q1644))+MIN((Skills!T17*(1+Inputs!$B$35/100)),MAX(0,Inputs!$B$44-((R1644-1)*(1/Q1644)))))/Inputs!$B$44),IF(Inputs!$B$39="pvp",MIN((Skills!T17*(1+Inputs!$B$35/100)),15)/15,MIN(1,(Skills!T17*(1+Inputs!$B$35/100))/(1/Q1644)))))+((C1632=TRUE)*IF(Inputs!$B$3&gt;=126,10*MIN(1,15*Q1632),0))+((C1641=TRUE)*IF(Inputs!$B$39="pvp",20,(1-Summary!$B$11)*(20)+Summary!$B$11*(0))*IF(AND(Inputs!$B$39&lt;&gt;"pvp",Inputs!$B$44&gt;0),(((R1641-1)*MIN((Skills!T14*(1+Inputs!$B$35/100)),(1/Q1641))+MIN((Skills!T14*(1+Inputs!$B$35/100)),MAX(0,Inputs!$B$44-((R1641-1)*(1/Q1641)))))/Inputs!$B$44),IF(Inputs!$B$39="pvp",MIN((Skills!T14*(1+Inputs!$B$35/100)),15)/15,MIN(1,(Skills!T14*(1+Inputs!$B$35/100))/(1/Q1641)))))+((C1640=TRUE)*IF(Inputs!$B$3&gt;=82,IF(Inputs!$B$39="pvp",20,(1-Summary!$B$11)*(20)+Summary!$B$11*(0)),0)*IF(AND(Inputs!$B$39&lt;&gt;"pvp",Inputs!$B$44&gt;0),(((R1640-1)*MIN((Skills!T13*(1+Inputs!$B$35/100)),(1/Q1640))+MIN((Skills!T13*(1+Inputs!$B$35/100)),MAX(0,Inputs!$B$44-((R1640-1)*(1/Q1640)))))/Inputs!$B$44),IF(Inputs!$B$39="pvp",MIN((Skills!T13*(1+Inputs!$B$35/100)),15)/15,MIN(1,(Skills!T13*(1+Inputs!$B$35/100))/(1/Q1640)))))+(IF(AND(ArtifactsInput!$M$35,Inputs!$B$4&lt;&gt;"Chapter Hunt"),CHOOSE(ArtifactsInput!$N$35+1,15,18,21,24,27,30)*(1-EXP(-(0.2*B1658)*5)),0)+IF(AND(ArtifactsInput!$M$22,Inputs!$B$4&lt;&gt;"Chapter Hunt"),CHOOSE(ArtifactsInput!$N$22+1,10,12,14,16,18,20)*((0*(((0.15*B1658*5))^0/1)+1*(((0.15*B1658*5))^1/1)+2*(((0.15*B1658*5))^2/2)+3*(((0.15*B1658*5))^3/6)+4*(((0.15*B1658*5))^4/24)+5*(((0.15*B1658*5))^5/120))/((((0.15*B1658*5))^0/1)+(((0.15*B1658*5))^1/1)+(((0.15*B1658*5))^2/2)+(((0.15*B1658*5))^3/6)+(((0.15*B1658*5))^4/24)+(((0.15*B1658*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38">
      <c r="A1638">
        <f>Skills!A11</f>
        <v/>
      </c>
      <c r="B1638">
        <f>Skills!B11</f>
        <v/>
      </c>
      <c r="C1638">
        <f>Inputs!$B$3&gt;=100</f>
        <v/>
      </c>
      <c r="D1638">
        <f>IF(Skills!C11=1,60+Inputs!$B$26+Inputs!$B$30,IF(Skills!C11=2,90+Inputs!$B$27+Inputs!$B$30,IF(Skills!C11=3,120+Inputs!$B$28+Inputs!$B$30,MAX(0,(Inputs!$B$3-100)*3)+Inputs!$B$29+Inputs!$B$30)))</f>
        <v/>
      </c>
      <c r="E1638">
        <f>INDEX(FactorTable!$B$2:$Y$301, MATCH(ROUND(MIN(300,MAX(1,D1638)),0), FactorTable!$A$2:$A$301,0), Skills!M11+1)</f>
        <v/>
      </c>
      <c r="F1638">
        <f>IF(Skills!N11=TRUE,(Skills!L11/10)*(E1638/1000),Skills!L11/10)+Skills!O11</f>
        <v/>
      </c>
      <c r="G1638" t="inlineStr"/>
      <c r="H1638" t="inlineStr"/>
      <c r="I1638" t="inlineStr">
        <is>
          <t>1</t>
        </is>
      </c>
      <c r="J1638" t="inlineStr"/>
      <c r="K1638" t="inlineStr"/>
      <c r="L1638" t="inlineStr"/>
      <c r="M1638" t="inlineStr"/>
      <c r="N1638" t="inlineStr"/>
      <c r="O1638" t="inlineStr"/>
      <c r="P1638" t="inlineStr"/>
      <c r="Q1638" t="inlineStr"/>
      <c r="R1638" t="inlineStr"/>
      <c r="S1638" t="inlineStr"/>
    </row>
    <row r="1639">
      <c r="A1639">
        <f>Skills!A12</f>
        <v/>
      </c>
      <c r="B1639">
        <f>Skills!B12</f>
        <v/>
      </c>
      <c r="C1639">
        <f>Inputs!$B$3&gt;=63</f>
        <v/>
      </c>
      <c r="D1639">
        <f>IF(Skills!C12=1,60+Inputs!$B$26+Inputs!$B$30,IF(Skills!C12=2,90+Inputs!$B$27+Inputs!$B$30,IF(Skills!C12=3,120+Inputs!$B$28+Inputs!$B$30,MAX(0,(Inputs!$B$3-100)*3)+Inputs!$B$29+Inputs!$B$30)))</f>
        <v/>
      </c>
      <c r="E1639">
        <f>INDEX(FactorTable!$B$2:$Y$301, MATCH(ROUND(MIN(300,MAX(1,D1639)),0), FactorTable!$A$2:$A$301,0), Skills!M12+1)</f>
        <v/>
      </c>
      <c r="F1639">
        <f>IF(Skills!N12=TRUE,(Skills!L12/10)*(E1639/1000),Skills!L12/10)+Skills!O12</f>
        <v/>
      </c>
      <c r="G1639">
        <f>Skills!G12*IF(Skills!H12&gt;0,INT(IF(Inputs!$B$39="pvp",MIN(Skills!I12,15),Skills!I12)/Skills!H12+0.000000001),1)</f>
        <v/>
      </c>
      <c r="H1639">
        <f>1-(1-Skills!J12/100)^Skills!K12</f>
        <v/>
      </c>
      <c r="I1639" t="inlineStr">
        <is>
          <t>1</t>
        </is>
      </c>
      <c r="J1639">
        <f>((Inputs!$B$6*(1+Inputs!$B$7/100))+(((Inputs!$B$13*(1+Inputs!$B$14/100))-(Inputs!$B$13*(1+Inputs!$B$14/100)))+0.25*(Inputs!$B$15-Inputs!$B$15))*(1+Inputs!$B$7/100))*(F1639/100)</f>
        <v/>
      </c>
      <c r="K1639">
        <f>J1639*(1+(((Inputs!$B$13+IF(Inputs!$B$3&gt;=38,(10*INDEX(FactorTable!$B$2:$Y$301, MATCH(ROUND(MIN(300,MAX(1,Inputs!$B$3)),0), FactorTable!$A$2:$A$301,0), 23)/1000)/100*(Inputs!$B$8*(1+Inputs!$B$9/100)),0))*(1+Inputs!$B$14/100))*0.01+Inputs!$B$15*0.0025)/100)*(1+Inputs!$B$16/100)*(1+Inputs!$B$17/100)*(5000/(6000+Inputs!$B$43*(1-(Inputs!$B$20+0)/100)))*(1+(Inputs!$B$25+((C1652=TRUE)*(F1652-Calc!F25))+((C1653=TRUE)*(F1653-Calc!F26))+B1662)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1638=TRUE,F1638,0)/100)*(1+(IF(Skills!A12="DARK_IMPALE",Inputs!$B$18+0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gt;=100),MIN(100,((Inputs!$B$10+0+B1656+(ArtifactsInput!$M$24-ArtifactsInput!$M$24)*CHOOSE(ArtifactsInput!$N$24+1,10,12,14,16,18,20)+IF(ArtifactsInput!$M$10,CHOOSE(ArtifactsInput!$N$10+1,15,18,21,24,27,30)*(IF(Inputs!$B$39="pvp",MIN(15,15)/15,IF(AND(Inputs!$B$39&lt;&gt;"pvp",Inputs!$B$44&gt;0),MIN(15,Inputs!$B$44)/(Inputs!$B$44),0))),0)))-100),0))*CHOOSE(ArtifactsInput!$N$42+1,0.6,0.72,0.84,0.96,1.08,1.2))),Inputs!$B$19+((C1650=TRUE)*(F1650-Calc!F23))+(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gt;=100),CHOOSE(ArtifactsInput!$N$42+1,40,48,56,64,72,80),0))))/100)*((1+(((C1640=TRUE)*F1640*IF(AND(Inputs!$B$39&lt;&gt;"pvp",Inputs!$B$44&gt;0),(((R1640-1)*MIN((Skills!T13*(1+Inputs!$B$35/100)),(1/Q1640))+MIN((Skills!T13*(1+Inputs!$B$35/100)),MAX(0,Inputs!$B$44-((R1640-1)*(1/Q1640)))))/Inputs!$B$44),IF(Inputs!$B$39="pvp",MIN((Skills!T13*(1+Inputs!$B$35/100)),15)/15,MIN(1,(Skills!T13*(1+Inputs!$B$35/100))/(1/Q1640)))))+((C1641=TRUE)*F1641*IF(AND(Inputs!$B$39&lt;&gt;"pvp",Inputs!$B$44&gt;0),(((R1641-1)*MIN((Skills!T14*(1+Inputs!$B$35/100)),(1/Q1641))+MIN((Skills!T14*(1+Inputs!$B$35/100)),MAX(0,Inputs!$B$44-((R1641-1)*(1/Q1641)))))/Inputs!$B$44),IF(Inputs!$B$39="pvp",MIN((Skills!T14*(1+Inputs!$B$35/100)),15)/15,MIN(1,(Skills!T14*(1+Inputs!$B$35/100))/(1/Q1641)))))+((C1642=TRUE)*F1642*IF(AND(Inputs!$B$39&lt;&gt;"pvp",Inputs!$B$44&gt;0),(((R1642-1)*MIN((Skills!T15*(1+Inputs!$B$35/100)),(1/Q1642))+MIN((Skills!T15*(1+Inputs!$B$35/100)),MAX(0,Inputs!$B$44-((R1642-1)*(1/Q1642)))))/Inputs!$B$44),IF(Inputs!$B$39="pvp",MIN((Skills!T15*(1+Inputs!$B$35/100)),15)/15,MIN(1,(Skills!T15*(1+Inputs!$B$35/100))/(1/Q1642)))))+((C1643=TRUE)*F1643*IF(AND(Inputs!$B$39&lt;&gt;"pvp",Inputs!$B$44&gt;0),(((R1643-1)*MIN((Skills!T16*(1+Inputs!$B$35/100)),(1/Q1643))+MIN((Skills!T16*(1+Inputs!$B$35/100)),MAX(0,Inputs!$B$44-((R1643-1)*(1/Q1643)))))/Inputs!$B$44),IF(Inputs!$B$39="pvp",MIN((Skills!T16*(1+Inputs!$B$35/100)),15)/15,MIN(1,(Skills!T16*(1+Inputs!$B$35/100))/(1/Q1643)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1639)</f>
        <v/>
      </c>
      <c r="L1639">
        <f>K1639*(MIN(Inputs!$B$23+((C1649=TRUE)*(F1649-Calc!F22)),(Inputs!$B$24+((C1651=TRUE)*(F1651-Calc!F24))+((IF(IF(ArtifactsInput!$M$15,FALSE,TRUE),1,-1)*CHOOSE(ArtifactsInput!$N$15+1,25,30,35,40,45,50)/100*IF(IF(ArtifactsInput!$M$15,FALSE,TRUE),(Inputs!$B$12+((C1648=TRUE)*(F1648-Calc!F21))+(IF(ArtifactsInput!$M$15,FALSE,TRUE)-ArtifactsInput!$M$15)*CHOOSE(ArtifactsInput!$N$15+1,8,9.6,11.2,12.8,14.4,16)),Inputs!$B$12)))))/100+(Inputs!$B$24+((C1651=TRUE)*(F1651-Calc!F24))+((IF(IF(ArtifactsInput!$M$15,FALSE,TRUE),1,-1)*CHOOSE(ArtifactsInput!$N$15+1,25,30,35,40,45,50)/100*IF(IF(ArtifactsInput!$M$15,FALSE,TRUE),(Inputs!$B$12+((C1648=TRUE)*(F1648-Calc!F21))+(IF(ArtifactsInput!$M$15,FALSE,TRUE)-ArtifactsInput!$M$15)*CHOOSE(ArtifactsInput!$N$15+1,8,9.6,11.2,12.8,14.4,16)),Inputs!$B$12))))/100)/2</f>
        <v/>
      </c>
      <c r="M1639">
        <f>L1639*(1+(Inputs!$B$11+0+B1661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639">
        <f>L1639*(1-MIN((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1639*(MIN((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39">
        <f>(1-Summary!$B$11)*T1639+Summary!$B$11*V1639</f>
        <v/>
      </c>
      <c r="P1639">
        <f>IF(B1666=0,0,O1639/B1666)</f>
        <v/>
      </c>
      <c r="Q1639">
        <f>IFERROR(1/IF(Inputs!$B$39="pvp",15,MAX(0.1,Skills!D12-IF(TRUE=TRUE,Inputs!$B$33,0))),0)</f>
        <v/>
      </c>
      <c r="R1639">
        <f>IF(AND(Inputs!$B$39&lt;&gt;"pvp",Inputs!$B$44&gt;0),IF(MAX(0,Inputs!$B$44-B1663)&lt;=0,0,(INT(MAX(0,Inputs!$B$44-B1663)/IF(Inputs!$B$39="pvp",15,MAX(0.1,Skills!D12-IF(TRUE=TRUE,Inputs!$B$33,0))))+1)),0)</f>
        <v/>
      </c>
      <c r="S1639">
        <f>IFERROR(O1639/N1639,0)</f>
        <v/>
      </c>
      <c r="T1639">
        <f>IF(C1639,(H1639*N1639*IF(AND(Inputs!$B$39&lt;&gt;"pvp",Inputs!$B$44&gt;0),((Skills!G12*((R1639-1)*IF(Skills!H12&gt;0,INT(Skills!I12/Skills!H12+0.000000001),1)+IF(Skills!H12&gt;0,INT(MIN(Skills!I12,MAX(0,MAX(0,Inputs!$B$44-B1663)-((R1639-1)*IF(Inputs!$B$39="pvp",15,MAX(0.1,Skills!D12-IF(TRUE=TRUE,Inputs!$B$33,0))))))/Skills!H12+0.000000001),1)))/Inputs!$B$44),G1639*Q1639))*IF(Inputs!$B$39="pvp",1,1+(Inputs!$B$21+0+Skills!P12+((C1644=TRUE)*F1644*IF(AND(Inputs!$B$39&lt;&gt;"pvp",Inputs!$B$44&gt;0),(((R1644-1)*MIN((Skills!T17*(1+Inputs!$B$35/100)),(1/Q1644))+MIN((Skills!T17*(1+Inputs!$B$35/100)),MAX(0,Inputs!$B$44-((R1644-1)*(1/Q1644)))))/Inputs!$B$44),IF(Inputs!$B$39="pvp",MIN((Skills!T17*(1+Inputs!$B$35/100)),15)/15,MIN(1,(Skills!T17*(1+Inputs!$B$35/100))/(1/Q1644)))))+((C1632=TRUE)*IF(Inputs!$B$3&gt;=126,10*MIN(1,15*Q1632),0))+((C1641=TRUE)*IF(Inputs!$B$39="pvp",20,(1-Summary!$B$11)*(20)+Summary!$B$11*(0))*IF(AND(Inputs!$B$39&lt;&gt;"pvp",Inputs!$B$44&gt;0),(((R1641-1)*MIN((Skills!T14*(1+Inputs!$B$35/100)),(1/Q1641))+MIN((Skills!T14*(1+Inputs!$B$35/100)),MAX(0,Inputs!$B$44-((R1641-1)*(1/Q1641)))))/Inputs!$B$44),IF(Inputs!$B$39="pvp",MIN((Skills!T14*(1+Inputs!$B$35/100)),15)/15,MIN(1,(Skills!T14*(1+Inputs!$B$35/100))/(1/Q1641)))))+((C1640=TRUE)*IF(Inputs!$B$3&gt;=82,IF(Inputs!$B$39="pvp",20,(1-Summary!$B$11)*(20)+Summary!$B$11*(0)),0)*IF(AND(Inputs!$B$39&lt;&gt;"pvp",Inputs!$B$44&gt;0),(((R1640-1)*MIN((Skills!T13*(1+Inputs!$B$35/100)),(1/Q1640))+MIN((Skills!T13*(1+Inputs!$B$35/100)),MAX(0,Inputs!$B$44-((R1640-1)*(1/Q1640)))))/Inputs!$B$44),IF(Inputs!$B$39="pvp",MIN((Skills!T13*(1+Inputs!$B$35/100)),15)/15,MIN(1,(Skills!T13*(1+Inputs!$B$35/100))/(1/Q1640)))))+(IF(AND(ArtifactsInput!$M$35,Inputs!$B$4&lt;&gt;"Chapter Hunt"),CHOOSE(ArtifactsInput!$N$35+1,15,18,21,24,27,30)*(1-EXP(-(0.2*B1658)*5)),0)+IF(AND(ArtifactsInput!$M$22,Inputs!$B$4&lt;&gt;"Chapter Hunt"),CHOOSE(ArtifactsInput!$N$22+1,10,12,14,16,18,20)*((0*(((0.15*B1658*5))^0/1)+1*(((0.15*B1658*5))^1/1)+2*(((0.15*B1658*5))^2/2)+3*(((0.15*B1658*5))^3/6)+4*(((0.15*B1658*5))^4/24)+5*(((0.15*B1658*5))^5/120))/((((0.15*B1658*5))^0/1)+(((0.15*B1658*5))^1/1)+(((0.15*B1658*5))^2/2)+(((0.15*B1658*5))^3/6)+(((0.15*B1658*5))^4/24)+(((0.15*B1658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1639*(1-MIN(100,(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1639*(MIN(100,(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1639*(1-MIN(100,(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1639*(MIN(100,(Inputs!$B$10+0+B1656+(ArtifactsInput!$M$24-ArtifactsInput!$M$24)*CHOOSE(ArtifactsInput!$N$24+1,10,12,14,16,18,20)+(IF(AND(Inputs!$B$39&lt;&gt;"pvp",Inputs!$B$44=0),1,IF(IF(Inputs!$B$39="pvp",15,Inputs!$B$44)-(B1663)&lt;=0,1,MAX(0,IF(Inputs!$B$39="pvp",15,Inputs!$B$44)-MAX(5,B1663))/(IF(Inputs!$B$39="pvp",15,Inputs!$B$44)-(B1663))))*IF(AND(ArtifactsInput!$M$42,((Inputs!$B$10+0+B1656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39">
        <f>IF(C1639,(H1639*N1639*IF(AND(Inputs!$B$39&lt;&gt;"pvp",Inputs!$B$44&gt;0),((Skills!G12*((R1639-1)*IF(Skills!H12&gt;0,INT(Skills!I12/Skills!H12+0.000000001),1)+IF(Skills!H12&gt;0,INT(MIN(Skills!I12,MAX(0,MAX(0,Inputs!$B$44-B1663)-((R1639-1)*IF(Inputs!$B$39="pvp",15,MAX(0.1,Skills!D12-IF(TRUE=TRUE,Inputs!$B$33,0))))))/Skills!H12+0.000000001),1)))/Inputs!$B$44),G1639*Q1639))*IF(Inputs!$B$39="pvp",1,(1+(Inputs!$B$22+Skills!Q12+((C1644=TRUE)*F1644*IF(AND(Inputs!$B$39&lt;&gt;"pvp",Inputs!$B$44&gt;0),(((R1644-1)*MIN((Skills!T17*(1+Inputs!$B$35/100)),(1/Q1644))+MIN((Skills!T17*(1+Inputs!$B$35/100)),MAX(0,Inputs!$B$44-((R1644-1)*(1/Q1644)))))/Inputs!$B$44),IF(Inputs!$B$39="pvp",MIN((Skills!T17*(1+Inputs!$B$35/100)),15)/15,MIN(1,(Skills!T17*(1+Inputs!$B$35/100))/(1/Q1644)))))+((C1632=TRUE)*IF(Inputs!$B$3&gt;=126,10*MIN(1,15*Q1632),0))+((C1641=TRUE)*IF(Inputs!$B$39="pvp",20,(1-Summary!$B$11)*(20)+Summary!$B$11*(0))*IF(AND(Inputs!$B$39&lt;&gt;"pvp",Inputs!$B$44&gt;0),(((R1641-1)*MIN((Skills!T14*(1+Inputs!$B$35/100)),(1/Q1641))+MIN((Skills!T14*(1+Inputs!$B$35/100)),MAX(0,Inputs!$B$44-((R1641-1)*(1/Q1641)))))/Inputs!$B$44),IF(Inputs!$B$39="pvp",MIN((Skills!T14*(1+Inputs!$B$35/100)),15)/15,MIN(1,(Skills!T14*(1+Inputs!$B$35/100))/(1/Q1641)))))+((C1640=TRUE)*IF(Inputs!$B$3&gt;=82,IF(Inputs!$B$39="pvp",20,(1-Summary!$B$11)*(20)+Summary!$B$11*(0)),0)*IF(AND(Inputs!$B$39&lt;&gt;"pvp",Inputs!$B$44&gt;0),(((R1640-1)*MIN((Skills!T13*(1+Inputs!$B$35/100)),(1/Q1640))+MIN((Skills!T13*(1+Inputs!$B$35/100)),MAX(0,Inputs!$B$44-((R1640-1)*(1/Q1640)))))/Inputs!$B$44),IF(Inputs!$B$39="pvp",MIN((Skills!T13*(1+Inputs!$B$35/100)),15)/15,MIN(1,(Skills!T13*(1+Inputs!$B$35/100))/(1/Q1640)))))+(IF(AND(ArtifactsInput!$M$35,Inputs!$B$4&lt;&gt;"Chapter Hunt"),CHOOSE(ArtifactsInput!$N$35+1,15,18,21,24,27,30)*(1-EXP(-(0.2*B1658)*5)),0)+IF(AND(ArtifactsInput!$M$22,Inputs!$B$4&lt;&gt;"Chapter Hunt"),CHOOSE(ArtifactsInput!$N$22+1,10,12,14,16,18,20)*((0*(((0.15*B1658*5))^0/1)+1*(((0.15*B1658*5))^1/1)+2*(((0.15*B1658*5))^2/2)+3*(((0.15*B1658*5))^3/6)+4*(((0.15*B1658*5))^4/24)+5*(((0.15*B1658*5))^5/120))/((((0.15*B1658*5))^0/1)+(((0.15*B1658*5))^1/1)+(((0.15*B1658*5))^2/2)+(((0.15*B1658*5))^3/6)+(((0.15*B1658*5))^4/24)+(((0.15*B1658*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40">
      <c r="A1640">
        <f>Skills!A13</f>
        <v/>
      </c>
      <c r="B1640">
        <f>Skills!B13</f>
        <v/>
      </c>
      <c r="C1640">
        <f>Inputs!$B$3&gt;=69</f>
        <v/>
      </c>
      <c r="D1640">
        <f>IF(Skills!C13=1,60+Inputs!$B$26+Inputs!$B$30,IF(Skills!C13=2,90+Inputs!$B$27+Inputs!$B$30,IF(Skills!C13=3,120+Inputs!$B$28+Inputs!$B$30,MAX(0,(Inputs!$B$3-100)*3)+Inputs!$B$29+Inputs!$B$30)))</f>
        <v/>
      </c>
      <c r="E1640">
        <f>INDEX(FactorTable!$B$2:$Y$301, MATCH(ROUND(MIN(300,MAX(1,D1640)),0), FactorTable!$A$2:$A$301,0), Skills!M13+1)</f>
        <v/>
      </c>
      <c r="F1640">
        <f>IF(Skills!N13=TRUE,(Skills!L13/10)*(E1640/1000),Skills!L13/10)+Skills!O13</f>
        <v/>
      </c>
      <c r="G1640">
        <f>Skills!G13*IF(Skills!H13&gt;0,INT(IF(Inputs!$B$39="pvp",MIN(Skills!I13,15),Skills!I13)/Skills!H13+0.000000001),1)</f>
        <v/>
      </c>
      <c r="H1640">
        <f>1-(1-Skills!J13/100)^Skills!K13</f>
        <v/>
      </c>
      <c r="I1640" t="inlineStr">
        <is>
          <t>1</t>
        </is>
      </c>
      <c r="J1640" t="inlineStr"/>
      <c r="K1640" t="inlineStr"/>
      <c r="L1640" t="inlineStr"/>
      <c r="M1640" t="inlineStr"/>
      <c r="N1640" t="inlineStr"/>
      <c r="O1640">
        <f>(1-Summary!$B$11)*T1640+Summary!$B$11*V1640</f>
        <v/>
      </c>
      <c r="P1640">
        <f>IF(B1666=0,0,O1640/B1666)</f>
        <v/>
      </c>
      <c r="Q1640">
        <f>IFERROR(1/IF(Inputs!$B$39="pvp",15,MAX(0.1,Skills!D13-IF(TRUE=TRUE,Inputs!$B$33,0))),0)</f>
        <v/>
      </c>
      <c r="R1640">
        <f>IF(AND(Inputs!$B$39&lt;&gt;"pvp",Inputs!$B$44&gt;0),IF(Inputs!$B$44&lt;=0,0,(INT(Inputs!$B$44/IF(Inputs!$B$39="pvp",15,MAX(0.1,Skills!D13-IF(TRUE=TRUE,Inputs!$B$33,0))))+1)),0)</f>
        <v/>
      </c>
      <c r="S1640">
        <f>IFERROR(O1640/N1640,0)</f>
        <v/>
      </c>
      <c r="T1640" t="n">
        <v>0</v>
      </c>
      <c r="V1640" t="n">
        <v>0</v>
      </c>
    </row>
    <row r="1641">
      <c r="A1641">
        <f>Skills!A14</f>
        <v/>
      </c>
      <c r="B1641">
        <f>Skills!B14</f>
        <v/>
      </c>
      <c r="C1641">
        <f>Inputs!$B$3&gt;=115</f>
        <v/>
      </c>
      <c r="D1641">
        <f>IF(Skills!C14=1,60+Inputs!$B$26+Inputs!$B$30,IF(Skills!C14=2,90+Inputs!$B$27+Inputs!$B$30,IF(Skills!C14=3,120+Inputs!$B$28+Inputs!$B$30,MAX(0,(Inputs!$B$3-100)*3)+Inputs!$B$29+Inputs!$B$30)))</f>
        <v/>
      </c>
      <c r="E1641">
        <f>INDEX(FactorTable!$B$2:$Y$301, MATCH(ROUND(MIN(300,MAX(1,D1641)),0), FactorTable!$A$2:$A$301,0), Skills!M14+1)</f>
        <v/>
      </c>
      <c r="F1641">
        <f>IF(Skills!N14=TRUE,(Skills!L14/10)*(E1641/1000),Skills!L14/10)+Skills!O14</f>
        <v/>
      </c>
      <c r="G1641">
        <f>Skills!G14*IF(Skills!H14&gt;0,INT(IF(Inputs!$B$39="pvp",MIN(Skills!I14,15),Skills!I14)/Skills!H14+0.000000001),1)</f>
        <v/>
      </c>
      <c r="H1641">
        <f>1-(1-Skills!J14/100)^Skills!K14</f>
        <v/>
      </c>
      <c r="I1641" t="inlineStr">
        <is>
          <t>1</t>
        </is>
      </c>
      <c r="J1641" t="inlineStr"/>
      <c r="K1641" t="inlineStr"/>
      <c r="L1641" t="inlineStr"/>
      <c r="M1641" t="inlineStr"/>
      <c r="N1641" t="inlineStr"/>
      <c r="O1641">
        <f>(1-Summary!$B$11)*T1641+Summary!$B$11*V1641</f>
        <v/>
      </c>
      <c r="P1641">
        <f>IF(B1666=0,0,O1641/B1666)</f>
        <v/>
      </c>
      <c r="Q1641">
        <f>IFERROR(1/IF(Inputs!$B$39="pvp",15,MAX(0.1,Skills!D14-IF(TRUE=TRUE,Inputs!$B$33,0))),0)</f>
        <v/>
      </c>
      <c r="R1641">
        <f>IF(AND(Inputs!$B$39&lt;&gt;"pvp",Inputs!$B$44&gt;0),IF(Inputs!$B$44&lt;=0,0,(INT(Inputs!$B$44/IF(Inputs!$B$39="pvp",15,MAX(0.1,Skills!D14-IF(TRUE=TRUE,Inputs!$B$33,0))))+1)),0)</f>
        <v/>
      </c>
      <c r="S1641">
        <f>IFERROR(O1641/N1641,0)</f>
        <v/>
      </c>
      <c r="T1641" t="n">
        <v>0</v>
      </c>
      <c r="V1641" t="n">
        <v>0</v>
      </c>
    </row>
    <row r="1642">
      <c r="A1642">
        <f>Skills!A15</f>
        <v/>
      </c>
      <c r="B1642">
        <f>Skills!B15</f>
        <v/>
      </c>
      <c r="C1642">
        <f>Inputs!$B$3&gt;=66</f>
        <v/>
      </c>
      <c r="D1642">
        <f>IF(Skills!C15=1,60+Inputs!$B$26+Inputs!$B$30,IF(Skills!C15=2,90+Inputs!$B$27+Inputs!$B$30,IF(Skills!C15=3,120+Inputs!$B$28+Inputs!$B$30,MAX(0,(Inputs!$B$3-100)*3)+Inputs!$B$29+Inputs!$B$30)))</f>
        <v/>
      </c>
      <c r="E1642">
        <f>INDEX(FactorTable!$B$2:$Y$301, MATCH(ROUND(MIN(300,MAX(1,D1642)),0), FactorTable!$A$2:$A$301,0), Skills!M15+1)</f>
        <v/>
      </c>
      <c r="F1642">
        <f>IF(Skills!N15=TRUE,(Skills!L15/10)*(E1642/1000),Skills!L15/10)+Skills!O15</f>
        <v/>
      </c>
      <c r="G1642">
        <f>Skills!G15*IF(Skills!H15&gt;0,INT(IF(Inputs!$B$39="pvp",MIN(Skills!I15,15),Skills!I15)/Skills!H15+0.000000001),1)</f>
        <v/>
      </c>
      <c r="H1642">
        <f>1-(1-Skills!J15/100)^Skills!K15</f>
        <v/>
      </c>
      <c r="I1642" t="inlineStr">
        <is>
          <t>1</t>
        </is>
      </c>
      <c r="J1642" t="inlineStr"/>
      <c r="K1642" t="inlineStr"/>
      <c r="L1642" t="inlineStr"/>
      <c r="M1642" t="inlineStr"/>
      <c r="N1642" t="inlineStr"/>
      <c r="O1642">
        <f>(1-Summary!$B$11)*T1642+Summary!$B$11*V1642</f>
        <v/>
      </c>
      <c r="P1642">
        <f>IF(B1666=0,0,O1642/B1666)</f>
        <v/>
      </c>
      <c r="Q1642">
        <f>IFERROR(1/IF(Inputs!$B$39="pvp",15,MAX(0.1,Skills!D15-IF(TRUE=TRUE,Inputs!$B$33,0))),0)</f>
        <v/>
      </c>
      <c r="R1642">
        <f>IF(AND(Inputs!$B$39&lt;&gt;"pvp",Inputs!$B$44&gt;0),IF(Inputs!$B$44&lt;=0,0,(INT(Inputs!$B$44/IF(Inputs!$B$39="pvp",15,MAX(0.1,Skills!D15-IF(TRUE=TRUE,Inputs!$B$33,0))))+1)),0)</f>
        <v/>
      </c>
      <c r="S1642">
        <f>IFERROR(O1642/N1642,0)</f>
        <v/>
      </c>
      <c r="T1642" t="n">
        <v>0</v>
      </c>
      <c r="V1642" t="n">
        <v>0</v>
      </c>
    </row>
    <row r="1643">
      <c r="A1643">
        <f>Skills!A16</f>
        <v/>
      </c>
      <c r="B1643">
        <f>Skills!B16</f>
        <v/>
      </c>
      <c r="C1643">
        <f>Inputs!$B$3&gt;=45</f>
        <v/>
      </c>
      <c r="D1643">
        <f>IF(Skills!C16=1,60+Inputs!$B$26+Inputs!$B$30,IF(Skills!C16=2,90+Inputs!$B$27+Inputs!$B$30,IF(Skills!C16=3,120+Inputs!$B$28+Inputs!$B$30,MAX(0,(Inputs!$B$3-100)*3)+Inputs!$B$29+Inputs!$B$30)))</f>
        <v/>
      </c>
      <c r="E1643">
        <f>INDEX(FactorTable!$B$2:$Y$301, MATCH(ROUND(MIN(300,MAX(1,D1643)),0), FactorTable!$A$2:$A$301,0), Skills!M16+1)</f>
        <v/>
      </c>
      <c r="F1643">
        <f>IF(Skills!N16=TRUE,(Skills!L16/10)*(E1643/1000),Skills!L16/10)+Skills!O16</f>
        <v/>
      </c>
      <c r="G1643">
        <f>Skills!G16*IF(Skills!H16&gt;0,INT(IF(Inputs!$B$39="pvp",MIN(Skills!I16,15),Skills!I16)/Skills!H16+0.000000001),1)</f>
        <v/>
      </c>
      <c r="H1643">
        <f>1-(1-Skills!J16/100)^Skills!K16</f>
        <v/>
      </c>
      <c r="I1643" t="inlineStr">
        <is>
          <t>1</t>
        </is>
      </c>
      <c r="J1643" t="inlineStr"/>
      <c r="K1643" t="inlineStr"/>
      <c r="L1643" t="inlineStr"/>
      <c r="M1643" t="inlineStr"/>
      <c r="N1643" t="inlineStr"/>
      <c r="O1643">
        <f>(1-Summary!$B$11)*T1643+Summary!$B$11*V1643</f>
        <v/>
      </c>
      <c r="P1643">
        <f>IF(B1666=0,0,O1643/B1666)</f>
        <v/>
      </c>
      <c r="Q1643">
        <f>IFERROR(1/IF(Inputs!$B$39="pvp",15,MAX(0.1,Skills!D16-IF(TRUE=TRUE,Inputs!$B$33,0))),0)</f>
        <v/>
      </c>
      <c r="R1643">
        <f>IF(AND(Inputs!$B$39&lt;&gt;"pvp",Inputs!$B$44&gt;0),IF(Inputs!$B$44&lt;=0,0,(INT(Inputs!$B$44/IF(Inputs!$B$39="pvp",15,MAX(0.1,Skills!D16-IF(TRUE=TRUE,Inputs!$B$33,0))))+1)),0)</f>
        <v/>
      </c>
      <c r="S1643">
        <f>IFERROR(O1643/N1643,0)</f>
        <v/>
      </c>
      <c r="T1643" t="n">
        <v>0</v>
      </c>
      <c r="V1643" t="n">
        <v>0</v>
      </c>
    </row>
    <row r="1644">
      <c r="A1644">
        <f>Skills!A17</f>
        <v/>
      </c>
      <c r="B1644">
        <f>Skills!B17</f>
        <v/>
      </c>
      <c r="C1644">
        <f>Inputs!$B$3&gt;=35</f>
        <v/>
      </c>
      <c r="D1644">
        <f>IF(Skills!C17=1,60+Inputs!$B$26+Inputs!$B$30,IF(Skills!C17=2,90+Inputs!$B$27+Inputs!$B$30,IF(Skills!C17=3,120+Inputs!$B$28+Inputs!$B$30,MAX(0,(Inputs!$B$3-100)*3)+Inputs!$B$29+Inputs!$B$30)))</f>
        <v/>
      </c>
      <c r="E1644">
        <f>INDEX(FactorTable!$B$2:$Y$301, MATCH(ROUND(MIN(300,MAX(1,D1644)),0), FactorTable!$A$2:$A$301,0), Skills!M17+1)</f>
        <v/>
      </c>
      <c r="F1644">
        <f>IF(Skills!N17=TRUE,(Skills!L17/10)*(E1644/1000),Skills!L17/10)+Skills!O17</f>
        <v/>
      </c>
      <c r="G1644">
        <f>Skills!G17*IF(Skills!H17&gt;0,INT(IF(Inputs!$B$39="pvp",MIN(Skills!I17,15),Skills!I17)/Skills!H17+0.000000001),1)</f>
        <v/>
      </c>
      <c r="H1644">
        <f>1-(1-Skills!J17/100)^Skills!K17</f>
        <v/>
      </c>
      <c r="I1644" t="inlineStr">
        <is>
          <t>1</t>
        </is>
      </c>
      <c r="J1644" t="inlineStr"/>
      <c r="K1644" t="inlineStr"/>
      <c r="L1644" t="inlineStr"/>
      <c r="M1644" t="inlineStr"/>
      <c r="N1644" t="inlineStr"/>
      <c r="O1644">
        <f>(1-Summary!$B$11)*T1644+Summary!$B$11*V1644</f>
        <v/>
      </c>
      <c r="P1644">
        <f>IF(B1666=0,0,O1644/B1666)</f>
        <v/>
      </c>
      <c r="Q1644">
        <f>IFERROR(1/IF(Inputs!$B$39="pvp",15,MAX(0.1,Skills!D17-IF(TRUE=TRUE,Inputs!$B$33,0))),0)</f>
        <v/>
      </c>
      <c r="R1644">
        <f>IF(AND(Inputs!$B$39&lt;&gt;"pvp",Inputs!$B$44&gt;0),IF(Inputs!$B$44&lt;=0,0,(INT(Inputs!$B$44/IF(Inputs!$B$39="pvp",15,MAX(0.1,Skills!D17-IF(TRUE=TRUE,Inputs!$B$33,0))))+1)),0)</f>
        <v/>
      </c>
      <c r="S1644">
        <f>IFERROR(O1644/N1644,0)</f>
        <v/>
      </c>
      <c r="T1644" t="n">
        <v>0</v>
      </c>
      <c r="V1644" t="n">
        <v>0</v>
      </c>
    </row>
    <row r="1645">
      <c r="A1645">
        <f>Skills!A18</f>
        <v/>
      </c>
      <c r="B1645">
        <f>Skills!B18</f>
        <v/>
      </c>
      <c r="C1645">
        <f>Inputs!$B$3&gt;=72</f>
        <v/>
      </c>
      <c r="D1645">
        <f>IF(Skills!C18=1,60+Inputs!$B$26+Inputs!$B$30,IF(Skills!C18=2,90+Inputs!$B$27+Inputs!$B$30,IF(Skills!C18=3,120+Inputs!$B$28+Inputs!$B$30,MAX(0,(Inputs!$B$3-100)*3)+Inputs!$B$29+Inputs!$B$30)))</f>
        <v/>
      </c>
      <c r="E1645">
        <f>INDEX(FactorTable!$B$2:$Y$301, MATCH(ROUND(MIN(300,MAX(1,D1645)),0), FactorTable!$A$2:$A$301,0), Skills!M18+1)</f>
        <v/>
      </c>
      <c r="F1645">
        <f>IF(Skills!N18=TRUE,(Skills!L18/10)*(E1645/1000),Skills!L18/10)+Skills!O18</f>
        <v/>
      </c>
      <c r="G1645">
        <f>Skills!G18*IF(Skills!H18&gt;0,INT(IF(Inputs!$B$39="pvp",MIN(Skills!I18,15),Skills!I18)/Skills!H18+0.000000001),1)</f>
        <v/>
      </c>
      <c r="H1645">
        <f>1-(1-Skills!J18/100)^Skills!K18</f>
        <v/>
      </c>
      <c r="I1645" t="inlineStr">
        <is>
          <t>1</t>
        </is>
      </c>
      <c r="J1645" t="inlineStr"/>
      <c r="K1645" t="inlineStr"/>
      <c r="L1645" t="inlineStr"/>
      <c r="M1645" t="inlineStr"/>
      <c r="N1645" t="inlineStr"/>
      <c r="O1645">
        <f>(1-Summary!$B$11)*T1645+Summary!$B$11*V1645</f>
        <v/>
      </c>
      <c r="P1645">
        <f>IF(B1666=0,0,O1645/B1666)</f>
        <v/>
      </c>
      <c r="Q1645">
        <f>IFERROR(1/IF(Inputs!$B$39="pvp",15,MAX(0.1,Skills!D18-IF(TRUE=TRUE,Inputs!$B$33,0))),0)</f>
        <v/>
      </c>
      <c r="R1645">
        <f>IF(AND(Inputs!$B$39&lt;&gt;"pvp",Inputs!$B$44&gt;0),IF(Inputs!$B$44&lt;=0,0,(INT(Inputs!$B$44/IF(Inputs!$B$39="pvp",15,MAX(0.1,Skills!D18-IF(TRUE=TRUE,Inputs!$B$33,0))))+1)),0)</f>
        <v/>
      </c>
      <c r="S1645">
        <f>IFERROR(O1645/N1645,0)</f>
        <v/>
      </c>
      <c r="T1645" t="n">
        <v>0</v>
      </c>
      <c r="V1645" t="n">
        <v>0</v>
      </c>
    </row>
    <row r="1646">
      <c r="A1646">
        <f>Skills!A19</f>
        <v/>
      </c>
      <c r="B1646">
        <f>Skills!B19</f>
        <v/>
      </c>
      <c r="C1646">
        <f>Inputs!$B$3&gt;=72</f>
        <v/>
      </c>
      <c r="D1646">
        <f>IF(Skills!C19=1,60+Inputs!$B$26+Inputs!$B$30,IF(Skills!C19=2,90+Inputs!$B$27+Inputs!$B$30,IF(Skills!C19=3,120+Inputs!$B$28+Inputs!$B$30,MAX(0,(Inputs!$B$3-100)*3)+Inputs!$B$29+Inputs!$B$30)))</f>
        <v/>
      </c>
      <c r="E1646">
        <f>INDEX(FactorTable!$B$2:$Y$301, MATCH(ROUND(MIN(300,MAX(1,D1646)),0), FactorTable!$A$2:$A$301,0), Skills!M19+1)</f>
        <v/>
      </c>
      <c r="F1646">
        <f>IF(Skills!N19=TRUE,(Skills!L19/10)*(E1646/1000),Skills!L19/10)+Skills!O19</f>
        <v/>
      </c>
      <c r="G1646">
        <f>Skills!G19*IF(Skills!H19&gt;0,INT(IF(Inputs!$B$39="pvp",MIN(Skills!I19,15),Skills!I19)/Skills!H19+0.000000001),1)</f>
        <v/>
      </c>
      <c r="H1646">
        <f>1-(1-Skills!J19/100)^Skills!K19</f>
        <v/>
      </c>
      <c r="I1646" t="inlineStr">
        <is>
          <t>1</t>
        </is>
      </c>
      <c r="J1646" t="inlineStr"/>
      <c r="K1646" t="inlineStr"/>
      <c r="L1646" t="inlineStr"/>
      <c r="M1646" t="inlineStr"/>
      <c r="N1646" t="inlineStr"/>
      <c r="O1646">
        <f>(1-Summary!$B$11)*T1646+Summary!$B$11*V1646</f>
        <v/>
      </c>
      <c r="P1646">
        <f>IF(B1666=0,0,O1646/B1666)</f>
        <v/>
      </c>
      <c r="Q1646">
        <f>IFERROR(1/IF(Inputs!$B$39="pvp",15,MAX(0.1,Skills!D19-IF(TRUE=TRUE,Inputs!$B$33,0))),0)</f>
        <v/>
      </c>
      <c r="R1646">
        <f>IF(AND(Inputs!$B$39&lt;&gt;"pvp",Inputs!$B$44&gt;0),IF(Inputs!$B$44&lt;=0,0,(INT(Inputs!$B$44/IF(Inputs!$B$39="pvp",15,MAX(0.1,Skills!D19-IF(TRUE=TRUE,Inputs!$B$33,0))))+1)),0)</f>
        <v/>
      </c>
      <c r="S1646">
        <f>IFERROR(O1646/N1646,0)</f>
        <v/>
      </c>
      <c r="T1646" t="n">
        <v>0</v>
      </c>
      <c r="V1646" t="n">
        <v>0</v>
      </c>
    </row>
    <row r="1647">
      <c r="A1647">
        <f>Skills!A20</f>
        <v/>
      </c>
      <c r="B1647">
        <f>Skills!B20</f>
        <v/>
      </c>
      <c r="C1647">
        <f>TRUE</f>
        <v/>
      </c>
      <c r="D1647">
        <f>IF(Skills!C20=1,60+Inputs!$B$26+Inputs!$B$30,IF(Skills!C20=2,90+Inputs!$B$27+Inputs!$B$30,IF(Skills!C20=3,120+Inputs!$B$28+Inputs!$B$30,MAX(0,(Inputs!$B$3-100)*3)+Inputs!$B$29+Inputs!$B$30)))</f>
        <v/>
      </c>
      <c r="E1647">
        <f>INDEX(FactorTable!$B$2:$Y$301, MATCH(ROUND(MIN(300,MAX(1,D1647)),0), FactorTable!$A$2:$A$301,0), Skills!M20+1)</f>
        <v/>
      </c>
      <c r="F1647">
        <f>IF(Skills!N20=TRUE,(Skills!L20/10)*(E1647/1000),Skills!L20/10)+Skills!O20</f>
        <v/>
      </c>
      <c r="G1647">
        <f>Skills!G20*IF(Skills!H20&gt;0,INT(IF(Inputs!$B$39="pvp",MIN(Skills!I20,15),Skills!I20)/Skills!H20+0.000000001),1)</f>
        <v/>
      </c>
      <c r="H1647">
        <f>1-(1-Skills!J20/100)^Skills!K20</f>
        <v/>
      </c>
      <c r="I1647" t="inlineStr">
        <is>
          <t>1</t>
        </is>
      </c>
      <c r="J1647" t="inlineStr"/>
      <c r="K1647" t="inlineStr"/>
      <c r="L1647" t="inlineStr"/>
      <c r="M1647" t="inlineStr"/>
      <c r="N1647" t="inlineStr"/>
      <c r="O1647">
        <f>(1-Summary!$B$11)*T1647+Summary!$B$11*V1647</f>
        <v/>
      </c>
      <c r="P1647">
        <f>IF(B1666=0,0,O1647/B1666)</f>
        <v/>
      </c>
      <c r="Q1647">
        <f>IFERROR(1/IF(Inputs!$B$39="pvp",15,MAX(0.1,Skills!D20-IF(TRUE=TRUE,Inputs!$B$33,0))),0)</f>
        <v/>
      </c>
      <c r="R1647">
        <f>IF(AND(Inputs!$B$39&lt;&gt;"pvp",Inputs!$B$44&gt;0),IF(Inputs!$B$44&lt;=0,0,(INT(Inputs!$B$44/IF(Inputs!$B$39="pvp",15,MAX(0.1,Skills!D20-IF(TRUE=TRUE,Inputs!$B$33,0))))+1)),0)</f>
        <v/>
      </c>
      <c r="S1647">
        <f>IFERROR(O1647/N1647,0)</f>
        <v/>
      </c>
      <c r="T1647" t="n">
        <v>0</v>
      </c>
      <c r="V1647" t="n">
        <v>0</v>
      </c>
    </row>
    <row r="1648">
      <c r="A1648">
        <f>Skills!A21</f>
        <v/>
      </c>
      <c r="B1648">
        <f>Skills!B21</f>
        <v/>
      </c>
      <c r="C1648">
        <f>Inputs!$B$3&gt;=33</f>
        <v/>
      </c>
      <c r="D1648">
        <f>IF(Skills!C21=1,60+Inputs!$B$26+Inputs!$B$30,IF(Skills!C21=2,90+Inputs!$B$27+Inputs!$B$30,IF(Skills!C21=3,120+Inputs!$B$28+Inputs!$B$30,MAX(0,(Inputs!$B$3-100)*3)+Inputs!$B$29+Inputs!$B$30)))</f>
        <v/>
      </c>
      <c r="E1648">
        <f>INDEX(FactorTable!$B$2:$Y$301, MATCH(ROUND(MIN(300,MAX(1,D1648)),0), FactorTable!$A$2:$A$301,0), Skills!M21+1)</f>
        <v/>
      </c>
      <c r="F1648">
        <f>IF(Skills!N21=TRUE,(Skills!L21/10)*(E1648/1000),Skills!L21/10)+Skills!O21</f>
        <v/>
      </c>
      <c r="G1648">
        <f>Skills!G21*IF(Skills!H21&gt;0,INT(IF(Inputs!$B$39="pvp",MIN(Skills!I21,15),Skills!I21)/Skills!H21+0.000000001),1)</f>
        <v/>
      </c>
      <c r="H1648">
        <f>1-(1-Skills!J21/100)^Skills!K21</f>
        <v/>
      </c>
      <c r="I1648" t="inlineStr">
        <is>
          <t>1</t>
        </is>
      </c>
      <c r="J1648" t="inlineStr"/>
      <c r="K1648" t="inlineStr"/>
      <c r="L1648" t="inlineStr"/>
      <c r="M1648" t="inlineStr"/>
      <c r="N1648" t="inlineStr"/>
      <c r="O1648">
        <f>(1-Summary!$B$11)*T1648+Summary!$B$11*V1648</f>
        <v/>
      </c>
      <c r="P1648">
        <f>IF(B1666=0,0,O1648/B1666)</f>
        <v/>
      </c>
      <c r="Q1648" t="n">
        <v>0</v>
      </c>
      <c r="R1648" t="n">
        <v>0</v>
      </c>
      <c r="S1648">
        <f>IFERROR(O1648/N1648,0)</f>
        <v/>
      </c>
      <c r="T1648" t="n">
        <v>0</v>
      </c>
      <c r="V1648" t="n">
        <v>0</v>
      </c>
    </row>
    <row r="1649">
      <c r="A1649">
        <f>Skills!A22</f>
        <v/>
      </c>
      <c r="B1649">
        <f>Skills!B22</f>
        <v/>
      </c>
      <c r="C1649">
        <f>Inputs!$B$3&gt;=43</f>
        <v/>
      </c>
      <c r="D1649">
        <f>IF(Skills!C22=1,60+Inputs!$B$26+Inputs!$B$30,IF(Skills!C22=2,90+Inputs!$B$27+Inputs!$B$30,IF(Skills!C22=3,120+Inputs!$B$28+Inputs!$B$30,MAX(0,(Inputs!$B$3-100)*3)+Inputs!$B$29+Inputs!$B$30)))</f>
        <v/>
      </c>
      <c r="E1649">
        <f>INDEX(FactorTable!$B$2:$Y$301, MATCH(ROUND(MIN(300,MAX(1,D1649)),0), FactorTable!$A$2:$A$301,0), Skills!M22+1)</f>
        <v/>
      </c>
      <c r="F1649">
        <f>IF(Skills!N22=TRUE,(Skills!L22/10)*(E1649/1000),Skills!L22/10)+Skills!O22</f>
        <v/>
      </c>
      <c r="G1649">
        <f>Skills!G22*IF(Skills!H22&gt;0,INT(IF(Inputs!$B$39="pvp",MIN(Skills!I22,15),Skills!I22)/Skills!H22+0.000000001),1)</f>
        <v/>
      </c>
      <c r="H1649">
        <f>1-(1-Skills!J22/100)^Skills!K22</f>
        <v/>
      </c>
      <c r="I1649" t="inlineStr">
        <is>
          <t>1</t>
        </is>
      </c>
      <c r="J1649" t="inlineStr"/>
      <c r="K1649" t="inlineStr"/>
      <c r="L1649" t="inlineStr"/>
      <c r="M1649" t="inlineStr"/>
      <c r="N1649" t="inlineStr"/>
      <c r="O1649">
        <f>(1-Summary!$B$11)*T1649+Summary!$B$11*V1649</f>
        <v/>
      </c>
      <c r="P1649">
        <f>IF(B1666=0,0,O1649/B1666)</f>
        <v/>
      </c>
      <c r="Q1649" t="n">
        <v>0</v>
      </c>
      <c r="R1649" t="n">
        <v>0</v>
      </c>
      <c r="S1649">
        <f>IFERROR(O1649/N1649,0)</f>
        <v/>
      </c>
      <c r="T1649" t="n">
        <v>0</v>
      </c>
      <c r="V1649" t="n">
        <v>0</v>
      </c>
    </row>
    <row r="1650">
      <c r="A1650">
        <f>Skills!A23</f>
        <v/>
      </c>
      <c r="B1650">
        <f>Skills!B23</f>
        <v/>
      </c>
      <c r="C1650">
        <f>Inputs!$B$3&gt;=120</f>
        <v/>
      </c>
      <c r="D1650">
        <f>IF(Skills!C23=1,60+Inputs!$B$26+Inputs!$B$30,IF(Skills!C23=2,90+Inputs!$B$27+Inputs!$B$30,IF(Skills!C23=3,120+Inputs!$B$28+Inputs!$B$30,MAX(0,(Inputs!$B$3-100)*3)+Inputs!$B$29+Inputs!$B$30)))</f>
        <v/>
      </c>
      <c r="E1650">
        <f>INDEX(FactorTable!$B$2:$Y$301, MATCH(ROUND(MIN(300,MAX(1,D1650)),0), FactorTable!$A$2:$A$301,0), Skills!M23+1)</f>
        <v/>
      </c>
      <c r="F1650">
        <f>IF(Skills!N23=TRUE,(Skills!L23/10)*(E1650/1000),Skills!L23/10)+Skills!O23</f>
        <v/>
      </c>
      <c r="G1650">
        <f>Skills!G23*IF(Skills!H23&gt;0,INT(IF(Inputs!$B$39="pvp",MIN(Skills!I23,15),Skills!I23)/Skills!H23+0.000000001),1)</f>
        <v/>
      </c>
      <c r="H1650">
        <f>1-(1-Skills!J23/100)^Skills!K23</f>
        <v/>
      </c>
      <c r="I1650" t="inlineStr">
        <is>
          <t>1</t>
        </is>
      </c>
      <c r="J1650" t="inlineStr"/>
      <c r="K1650" t="inlineStr"/>
      <c r="L1650" t="inlineStr"/>
      <c r="M1650" t="inlineStr"/>
      <c r="N1650" t="inlineStr"/>
      <c r="O1650">
        <f>(1-Summary!$B$11)*T1650+Summary!$B$11*V1650</f>
        <v/>
      </c>
      <c r="P1650">
        <f>IF(B1666=0,0,O1650/B1666)</f>
        <v/>
      </c>
      <c r="Q1650" t="n">
        <v>0</v>
      </c>
      <c r="R1650" t="n">
        <v>0</v>
      </c>
      <c r="S1650">
        <f>IFERROR(O1650/N1650,0)</f>
        <v/>
      </c>
      <c r="T1650" t="n">
        <v>0</v>
      </c>
      <c r="V1650" t="n">
        <v>0</v>
      </c>
    </row>
    <row r="1651">
      <c r="A1651">
        <f>Skills!A24</f>
        <v/>
      </c>
      <c r="B1651">
        <f>Skills!B24</f>
        <v/>
      </c>
      <c r="C1651">
        <f>Inputs!$B$3&gt;=120</f>
        <v/>
      </c>
      <c r="D1651">
        <f>IF(Skills!C24=1,60+Inputs!$B$26+Inputs!$B$30,IF(Skills!C24=2,90+Inputs!$B$27+Inputs!$B$30,IF(Skills!C24=3,120+Inputs!$B$28+Inputs!$B$30,MAX(0,(Inputs!$B$3-100)*3)+Inputs!$B$29+Inputs!$B$30)))</f>
        <v/>
      </c>
      <c r="E1651">
        <f>INDEX(FactorTable!$B$2:$Y$301, MATCH(ROUND(MIN(300,MAX(1,D1651)),0), FactorTable!$A$2:$A$301,0), Skills!M24+1)</f>
        <v/>
      </c>
      <c r="F1651">
        <f>IF(Skills!N24=TRUE,(Skills!L24/10)*(E1651/1000),Skills!L24/10)+Skills!O24</f>
        <v/>
      </c>
      <c r="G1651">
        <f>Skills!G24*IF(Skills!H24&gt;0,INT(IF(Inputs!$B$39="pvp",MIN(Skills!I24,15),Skills!I24)/Skills!H24+0.000000001),1)</f>
        <v/>
      </c>
      <c r="H1651">
        <f>1-(1-Skills!J24/100)^Skills!K24</f>
        <v/>
      </c>
      <c r="I1651" t="inlineStr">
        <is>
          <t>1</t>
        </is>
      </c>
      <c r="J1651" t="inlineStr"/>
      <c r="K1651" t="inlineStr"/>
      <c r="L1651" t="inlineStr"/>
      <c r="M1651" t="inlineStr"/>
      <c r="N1651" t="inlineStr"/>
      <c r="O1651">
        <f>(1-Summary!$B$11)*T1651+Summary!$B$11*V1651</f>
        <v/>
      </c>
      <c r="P1651">
        <f>IF(B1666=0,0,O1651/B1666)</f>
        <v/>
      </c>
      <c r="Q1651" t="n">
        <v>0</v>
      </c>
      <c r="R1651" t="n">
        <v>0</v>
      </c>
      <c r="S1651">
        <f>IFERROR(O1651/N1651,0)</f>
        <v/>
      </c>
      <c r="T1651" t="n">
        <v>0</v>
      </c>
      <c r="V1651" t="n">
        <v>0</v>
      </c>
    </row>
    <row r="1652">
      <c r="A1652">
        <f>Skills!A25</f>
        <v/>
      </c>
      <c r="B1652">
        <f>Skills!B25</f>
        <v/>
      </c>
      <c r="C1652">
        <f>Inputs!$B$3&gt;=125</f>
        <v/>
      </c>
      <c r="D1652">
        <f>IF(Skills!C25=1,60+Inputs!$B$26+Inputs!$B$30,IF(Skills!C25=2,90+Inputs!$B$27+Inputs!$B$30,IF(Skills!C25=3,120+Inputs!$B$28+Inputs!$B$30,MAX(0,(Inputs!$B$3-100)*3)+Inputs!$B$29+Inputs!$B$30)))</f>
        <v/>
      </c>
      <c r="E1652">
        <f>INDEX(FactorTable!$B$2:$Y$301, MATCH(ROUND(MIN(300,MAX(1,D1652)),0), FactorTable!$A$2:$A$301,0), Skills!M25+1)</f>
        <v/>
      </c>
      <c r="F1652">
        <f>IF(Skills!N25=TRUE,(Skills!L25/10)*(E1652/1000),Skills!L25/10)+Skills!O25</f>
        <v/>
      </c>
      <c r="G1652">
        <f>Skills!G25*IF(Skills!H25&gt;0,INT(IF(Inputs!$B$39="pvp",MIN(Skills!I25,15),Skills!I25)/Skills!H25+0.000000001),1)</f>
        <v/>
      </c>
      <c r="H1652">
        <f>1-(1-Skills!J25/100)^Skills!K25</f>
        <v/>
      </c>
      <c r="I1652" t="inlineStr">
        <is>
          <t>1</t>
        </is>
      </c>
      <c r="J1652" t="inlineStr"/>
      <c r="K1652" t="inlineStr"/>
      <c r="L1652" t="inlineStr"/>
      <c r="M1652" t="inlineStr"/>
      <c r="N1652" t="inlineStr"/>
      <c r="O1652">
        <f>(1-Summary!$B$11)*T1652+Summary!$B$11*V1652</f>
        <v/>
      </c>
      <c r="P1652">
        <f>IF(B1666=0,0,O1652/B1666)</f>
        <v/>
      </c>
      <c r="Q1652" t="n">
        <v>0</v>
      </c>
      <c r="R1652" t="n">
        <v>0</v>
      </c>
      <c r="S1652">
        <f>IFERROR(O1652/N1652,0)</f>
        <v/>
      </c>
      <c r="T1652" t="n">
        <v>0</v>
      </c>
      <c r="V1652" t="n">
        <v>0</v>
      </c>
    </row>
    <row r="1653">
      <c r="A1653">
        <f>Skills!A26</f>
        <v/>
      </c>
      <c r="B1653">
        <f>Skills!B26</f>
        <v/>
      </c>
      <c r="C1653">
        <f>Inputs!$B$3&gt;=107</f>
        <v/>
      </c>
      <c r="D1653">
        <f>IF(Skills!C26=1,60+Inputs!$B$26+Inputs!$B$30,IF(Skills!C26=2,90+Inputs!$B$27+Inputs!$B$30,IF(Skills!C26=3,120+Inputs!$B$28+Inputs!$B$30,MAX(0,(Inputs!$B$3-100)*3)+Inputs!$B$29+Inputs!$B$30)))</f>
        <v/>
      </c>
      <c r="E1653">
        <f>INDEX(FactorTable!$B$2:$Y$301, MATCH(ROUND(MIN(300,MAX(1,D1653)),0), FactorTable!$A$2:$A$301,0), Skills!M26+1)</f>
        <v/>
      </c>
      <c r="F1653">
        <f>IF(Skills!N26=TRUE,(Skills!L26/10)*(E1653/1000),Skills!L26/10)+Skills!O26</f>
        <v/>
      </c>
      <c r="G1653">
        <f>Skills!G26*IF(Skills!H26&gt;0,INT(IF(Inputs!$B$39="pvp",MIN(Skills!I26,15),Skills!I26)/Skills!H26+0.000000001),1)</f>
        <v/>
      </c>
      <c r="H1653">
        <f>1-(1-Skills!J26/100)^Skills!K26</f>
        <v/>
      </c>
      <c r="I1653" t="inlineStr">
        <is>
          <t>1</t>
        </is>
      </c>
      <c r="J1653" t="inlineStr"/>
      <c r="K1653" t="inlineStr"/>
      <c r="L1653" t="inlineStr"/>
      <c r="M1653" t="inlineStr"/>
      <c r="N1653" t="inlineStr"/>
      <c r="O1653">
        <f>(1-Summary!$B$11)*T1653+Summary!$B$11*V1653</f>
        <v/>
      </c>
      <c r="P1653">
        <f>IF(B1666=0,0,O1653/B1666)</f>
        <v/>
      </c>
      <c r="Q1653" t="n">
        <v>0</v>
      </c>
      <c r="R1653" t="n">
        <v>0</v>
      </c>
      <c r="S1653">
        <f>IFERROR(O1653/N1653,0)</f>
        <v/>
      </c>
      <c r="T1653" t="n">
        <v>0</v>
      </c>
      <c r="V1653" t="n">
        <v>0</v>
      </c>
    </row>
    <row r="1655">
      <c r="A1655" t="inlineStr">
        <is>
          <t>Attack% Bucket Multiplier</t>
        </is>
      </c>
      <c r="B1655">
        <f>(1+(((C1640=TRUE)*F1640*IF(AND(Inputs!$B$39&lt;&gt;"pvp",Inputs!$B$44&gt;0),(((R1640-1)*MIN((Skills!T13*(1+Inputs!$B$35/100)),(1/Q1640))+MIN((Skills!T13*(1+Inputs!$B$35/100)),MAX(0,Inputs!$B$44-((R1640-1)*(1/Q1640)))))/Inputs!$B$44),IF(Inputs!$B$39="pvp",MIN((Skills!T13*(1+Inputs!$B$35/100)),15)/15,MIN(1,(Skills!T13*(1+Inputs!$B$35/100))/(1/Q1640)))))+((C1641=TRUE)*F1641*IF(AND(Inputs!$B$39&lt;&gt;"pvp",Inputs!$B$44&gt;0),(((R1641-1)*MIN((Skills!T14*(1+Inputs!$B$35/100)),(1/Q1641))+MIN((Skills!T14*(1+Inputs!$B$35/100)),MAX(0,Inputs!$B$44-((R1641-1)*(1/Q1641)))))/Inputs!$B$44),IF(Inputs!$B$39="pvp",MIN((Skills!T14*(1+Inputs!$B$35/100)),15)/15,MIN(1,(Skills!T14*(1+Inputs!$B$35/100))/(1/Q1641)))))+((C1642=TRUE)*F1642*IF(AND(Inputs!$B$39&lt;&gt;"pvp",Inputs!$B$44&gt;0),(((R1642-1)*MIN((Skills!T15*(1+Inputs!$B$35/100)),(1/Q1642))+MIN((Skills!T15*(1+Inputs!$B$35/100)),MAX(0,Inputs!$B$44-((R1642-1)*(1/Q1642)))))/Inputs!$B$44),IF(Inputs!$B$39="pvp",MIN((Skills!T15*(1+Inputs!$B$35/100)),15)/15,MIN(1,(Skills!T15*(1+Inputs!$B$35/100))/(1/Q1642)))))+((C1643=TRUE)*F1643*IF(AND(Inputs!$B$39&lt;&gt;"pvp",Inputs!$B$44&gt;0),(((R1643-1)*MIN((Skills!T16*(1+Inputs!$B$35/100)),(1/Q1643))+MIN((Skills!T16*(1+Inputs!$B$35/100)),MAX(0,Inputs!$B$44-((R1643-1)*(1/Q1643)))))/Inputs!$B$44),IF(Inputs!$B$39="pvp",MIN((Skills!T16*(1+Inputs!$B$35/100)),15)/15,MIN(1,(Skills!T16*(1+Inputs!$B$35/100))/(1/Q1643)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1656">
      <c r="A1656" t="inlineStr">
        <is>
          <t>Global Crit Rate Bonus % (Lord of Darkness)</t>
        </is>
      </c>
      <c r="B1656">
        <f>((C1645=TRUE)*F1645*(Skills!J18/100)*IF(AND(Inputs!$B$39&lt;&gt;"pvp",Inputs!$B$44&gt;0),(((R1645-1)*MIN((Skills!T18*(1+Inputs!$B$35/100)),(1/Q1645))+MIN((Skills!T18*(1+Inputs!$B$35/100)),MAX(0,Inputs!$B$44-((R1645-1)*(1/Q1645)))))/Inputs!$B$44),IF(Inputs!$B$39="pvp",MIN((Skills!T18*(1+Inputs!$B$35/100)),15)/15,MIN(1,(Skills!T18*(1+Inputs!$B$35/100))/(1/Q1645)))))</f>
        <v/>
      </c>
    </row>
    <row r="1657">
      <c r="A1657" t="inlineStr">
        <is>
          <t>Attack Speed Buff Bonus %</t>
        </is>
      </c>
      <c r="B1657">
        <f>((C1647=TRUE)*F1647*IF(AND(Inputs!$B$39&lt;&gt;"pvp",Inputs!$B$44&gt;0),(((R1647-1)*MIN((Skills!T20*(1+Inputs!$B$35/100)),(1/Q1647))+MIN((Skills!T20*(1+Inputs!$B$35/100)),MAX(0,Inputs!$B$44-((R1647-1)*(1/Q1647)))))/Inputs!$B$44),IF(Inputs!$B$39="pvp",MIN((Skills!T20*(1+Inputs!$B$35/100)),15)/15,MIN(1,(Skills!T20*(1+Inputs!$B$35/100))/(1/Q1647)))))</f>
        <v/>
      </c>
    </row>
    <row r="1658">
      <c r="A1658" t="inlineStr">
        <is>
          <t>Actions Per Second</t>
        </is>
      </c>
      <c r="B1658">
        <f>1+MIN(150,150*(1-(1-(Inputs!$B$12+((C1648=TRUE)*(F1648-Calc!F21)))/150)*(1-B1657/150)))/100</f>
        <v/>
      </c>
    </row>
    <row r="1659">
      <c r="A1659" t="inlineStr">
        <is>
          <t>Skill + Buff Cast Rate</t>
        </is>
      </c>
      <c r="B1659">
        <f>IF(AND(Inputs!$B$39&lt;&gt;"pvp",Inputs!$B$44&gt;0),SUMPRODUCT((Skills!E2:E26=TRUE)*(C1629:C1653=TRUE)*R1629:R1653*Skills!F2:F26)/Inputs!$B$44,SUMPRODUCT((Skills!E2:E26=TRUE)*(C1629:C1653=TRUE)*Q1629:Q1653*Skills!F2:F26))</f>
        <v/>
      </c>
    </row>
    <row r="1660">
      <c r="A1660" t="inlineStr">
        <is>
          <t>Dark Impale Casts Per Second</t>
        </is>
      </c>
      <c r="B1660">
        <f>MAX(0,B1658-B1659)</f>
        <v/>
      </c>
    </row>
    <row r="1661">
      <c r="A1661" t="inlineStr">
        <is>
          <t>Global Critical Damage Bonus % (Lord of Darkness)</t>
        </is>
      </c>
      <c r="B1661">
        <f>((C1646=TRUE)*F1646*(Skills!J19/100)*IF(AND(Inputs!$B$39&lt;&gt;"pvp",Inputs!$B$44&gt;0),(((R1646-1)*MIN((Skills!T19*(1+Inputs!$B$35/100)),(1/Q1646))+MIN((Skills!T19*(1+Inputs!$B$35/100)),MAX(0,Inputs!$B$44-((R1646-1)*(1/Q1646)))))/Inputs!$B$44),IF(Inputs!$B$39="pvp",MIN((Skills!T19*(1+Inputs!$B$35/100)),15)/15,MIN(1,(Skills!T19*(1+Inputs!$B$35/100))/(1/Q1646)))))</f>
        <v/>
      </c>
    </row>
    <row r="1662">
      <c r="A1662" t="inlineStr">
        <is>
          <t>Global Final Damage Bonus % (unused)</t>
        </is>
      </c>
      <c r="B1662" t="n">
        <v>0</v>
      </c>
    </row>
    <row r="1663">
      <c r="A1663" t="inlineStr">
        <is>
          <t>Buff-Casting Startup Delay (s, fixed-duration only)</t>
        </is>
      </c>
      <c r="B1663">
        <f>IF(AND(Inputs!$B$39&lt;&gt;"pvp",Inputs!$B$44&gt;0),SUMPRODUCT((Skills!T2:T26&gt;0)*(Skills!E2:E26=TRUE)*(C1629:C1653=TRUE))/B1658,0)</f>
        <v/>
      </c>
    </row>
    <row r="1664">
      <c r="A1664" t="inlineStr">
        <is>
          <t>Boss-Only Total DPS (this block's swept value)</t>
        </is>
      </c>
      <c r="B1664">
        <f>SUM(T1629:T1653)</f>
        <v/>
      </c>
    </row>
    <row r="1665">
      <c r="A1665" t="inlineStr">
        <is>
          <t>Normal-Only Total DPS (this block's swept value)</t>
        </is>
      </c>
      <c r="B1665">
        <f>SUM(V1629:V1653)</f>
        <v/>
      </c>
    </row>
    <row r="1666">
      <c r="A1666" s="6" t="inlineStr">
        <is>
          <t>TOTAL DPS</t>
        </is>
      </c>
      <c r="B1666" s="6">
        <f>SUM(O1629:O1653)</f>
        <v/>
      </c>
    </row>
    <row r="1669">
      <c r="A1669" s="6" t="inlineStr">
        <is>
          <t>Stat: Zakum's Stone Piece (Equip)</t>
        </is>
      </c>
    </row>
    <row r="1670">
      <c r="A1670" s="5" t="inlineStr">
        <is>
          <t>Key</t>
        </is>
      </c>
      <c r="B1670" s="5" t="inlineStr">
        <is>
          <t>Name</t>
        </is>
      </c>
      <c r="C1670" s="5" t="inlineStr">
        <is>
          <t>Unlocked</t>
        </is>
      </c>
      <c r="D1670" s="5" t="inlineStr">
        <is>
          <t>InputLevel</t>
        </is>
      </c>
      <c r="E1670" s="5" t="inlineStr">
        <is>
          <t>Factor</t>
        </is>
      </c>
      <c r="F1670" s="5" t="inlineStr">
        <is>
          <t>CoefficientPercent</t>
        </is>
      </c>
      <c r="G1670" s="5" t="inlineStr">
        <is>
          <t>EffectiveHits</t>
        </is>
      </c>
      <c r="H1670" s="5" t="inlineStr">
        <is>
          <t>ProcProbability</t>
        </is>
      </c>
      <c r="I1670" s="5" t="inlineStr">
        <is>
          <t>MapleHeroMultiplier</t>
        </is>
      </c>
      <c r="J1670" s="5" t="inlineStr">
        <is>
          <t>BaseDamage</t>
        </is>
      </c>
      <c r="K1670" s="5" t="inlineStr">
        <is>
          <t>BaseHitDamage</t>
        </is>
      </c>
      <c r="L1670" s="5" t="inlineStr">
        <is>
          <t>NonCritAvg</t>
        </is>
      </c>
      <c r="M1670" s="5" t="inlineStr">
        <is>
          <t>CritAvg</t>
        </is>
      </c>
      <c r="N1670" s="5" t="inlineStr">
        <is>
          <t>ExpectedDamage(perHit)</t>
        </is>
      </c>
      <c r="O1670" s="5" t="inlineStr">
        <is>
          <t>DPS</t>
        </is>
      </c>
      <c r="P1670" s="5" t="inlineStr">
        <is>
          <t>% of Total</t>
        </is>
      </c>
      <c r="Q1670" s="5" t="inlineStr">
        <is>
          <t>InvCooldown</t>
        </is>
      </c>
      <c r="R1670" s="5" t="inlineStr">
        <is>
          <t>CastsInFight</t>
        </is>
      </c>
      <c r="S1670" s="5" t="inlineStr">
        <is>
          <t>HitRate(perSec)</t>
        </is>
      </c>
      <c r="U1670" t="inlineStr">
        <is>
          <t>helpers</t>
        </is>
      </c>
    </row>
    <row r="1671">
      <c r="A1671">
        <f>Skills!A2</f>
        <v/>
      </c>
      <c r="B1671">
        <f>Skills!B2</f>
        <v/>
      </c>
      <c r="C1671">
        <f>Inputs!$B$3&gt;=100</f>
        <v/>
      </c>
      <c r="D1671" t="inlineStr"/>
      <c r="E1671" t="inlineStr"/>
      <c r="F1671">
        <f>U1673+Skills!O2</f>
        <v/>
      </c>
      <c r="G1671">
        <f>Skills!G2*IF(Skills!H2&gt;0,INT(IF(Inputs!$B$39="pvp",MIN(Skills!I2,15),Skills!I2)/Skills!H2+0.000000001),1)</f>
        <v/>
      </c>
      <c r="H1671">
        <f>1-(1-Skills!J2/100)^Skills!K2</f>
        <v/>
      </c>
      <c r="I1671" t="inlineStr">
        <is>
          <t>1</t>
        </is>
      </c>
      <c r="J1671">
        <f>((Inputs!$B$6*(1+Inputs!$B$7/100))+(((Inputs!$B$13*(1+Inputs!$B$14/100))-(Inputs!$B$13*(1+Inputs!$B$14/100)))+0.25*(Inputs!$B$15-Inputs!$B$15))*(1+Inputs!$B$7/100))*(F1671/100)</f>
        <v/>
      </c>
      <c r="K1671">
        <f>J1671*(1+(((Inputs!$B$13+IF(Inputs!$B$3&gt;=38,(10*INDEX(FactorTable!$B$2:$Y$301, MATCH(ROUND(MIN(300,MAX(1,Inputs!$B$3)),0), FactorTable!$A$2:$A$301,0), 23)/1000)/100*(Inputs!$B$8*(1+Inputs!$B$9/100)),0))*(1+Inputs!$B$14/100))*0.01+Inputs!$B$15*0.0025)/100)*(1+Inputs!$B$16/100)*(1+Inputs!$B$17/100)*(5000/(6000+Inputs!$B$43*(1-(Inputs!$B$20+0)/100)))*(1+(Inputs!$B$25+((C1694=TRUE)*(F1694-Calc!F25))+((C1695=TRUE)*(F1695-Calc!F26))+B1704)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gt;=100),MIN(100,((Inputs!$B$10+0+B1698+(ArtifactsInput!$M$24-ArtifactsInput!$M$24)*CHOOSE(ArtifactsInput!$N$24+1,10,12,14,16,18,20)+IF(ArtifactsInput!$M$10,CHOOSE(ArtifactsInput!$N$10+1,15,18,21,24,27,30)*(IF(Inputs!$B$39="pvp",MIN(15,15)/15,IF(AND(Inputs!$B$39&lt;&gt;"pvp",Inputs!$B$44&gt;0),MIN(15,Inputs!$B$44)/(Inputs!$B$44),0))),0)))-100),0))*CHOOSE(ArtifactsInput!$N$42+1,0.6,0.72,0.84,0.96,1.08,1.2))),Inputs!$B$19+((C1692=TRUE)*(F1692-Calc!F23))+(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gt;=100),CHOOSE(ArtifactsInput!$N$42+1,40,48,56,64,72,80),0))))/100)*((1+(((C1682=TRUE)*F1682*IF(AND(Inputs!$B$39&lt;&gt;"pvp",Inputs!$B$44&gt;0),(((R1682-1)*MIN((Skills!T13*(1+Inputs!$B$35/100)),(1/Q1682))+MIN((Skills!T13*(1+Inputs!$B$35/100)),MAX(0,Inputs!$B$44-((R1682-1)*(1/Q1682)))))/Inputs!$B$44),IF(Inputs!$B$39="pvp",MIN((Skills!T13*(1+Inputs!$B$35/100)),15)/15,MIN(1,(Skills!T13*(1+Inputs!$B$35/100))/(1/Q1682)))))+((C1683=TRUE)*F1683*IF(AND(Inputs!$B$39&lt;&gt;"pvp",Inputs!$B$44&gt;0),(((R1683-1)*MIN((Skills!T14*(1+Inputs!$B$35/100)),(1/Q1683))+MIN((Skills!T14*(1+Inputs!$B$35/100)),MAX(0,Inputs!$B$44-((R1683-1)*(1/Q1683)))))/Inputs!$B$44),IF(Inputs!$B$39="pvp",MIN((Skills!T14*(1+Inputs!$B$35/100)),15)/15,MIN(1,(Skills!T14*(1+Inputs!$B$35/100))/(1/Q1683)))))+((C1684=TRUE)*F1684*IF(AND(Inputs!$B$39&lt;&gt;"pvp",Inputs!$B$44&gt;0),(((R1684-1)*MIN((Skills!T15*(1+Inputs!$B$35/100)),(1/Q1684))+MIN((Skills!T15*(1+Inputs!$B$35/100)),MAX(0,Inputs!$B$44-((R1684-1)*(1/Q1684)))))/Inputs!$B$44),IF(Inputs!$B$39="pvp",MIN((Skills!T15*(1+Inputs!$B$35/100)),15)/15,MIN(1,(Skills!T15*(1+Inputs!$B$35/100))/(1/Q1684)))))+((C1685=TRUE)*F1685*IF(AND(Inputs!$B$39&lt;&gt;"pvp",Inputs!$B$44&gt;0),(((R1685-1)*MIN((Skills!T16*(1+Inputs!$B$35/100)),(1/Q1685))+MIN((Skills!T16*(1+Inputs!$B$35/100)),MAX(0,Inputs!$B$44-((R1685-1)*(1/Q1685)))))/Inputs!$B$44),IF(Inputs!$B$39="pvp",MIN((Skills!T16*(1+Inputs!$B$35/100)),15)/15,MIN(1,(Skills!T16*(1+Inputs!$B$35/100))/(1/Q1685)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1671)</f>
        <v/>
      </c>
      <c r="L1671">
        <f>K1671*(MIN(Inputs!$B$23+((C1691=TRUE)*(F1691-Calc!F22)),(Inputs!$B$24+((C1693=TRUE)*(F1693-Calc!F24))+(IF(ArtifactsInput!$M$15,CHOOSE(ArtifactsInput!$N$15+1,25,30,35,40,45,50)/100*(Inputs!$B$12-Inputs!$B$12),0))))/100+(Inputs!$B$24+((C1693=TRUE)*(F1693-Calc!F24))+(IF(ArtifactsInput!$M$15,CHOOSE(ArtifactsInput!$N$15+1,25,30,35,40,45,50)/100*(Inputs!$B$12-Inputs!$B$12),0)))/100)/2</f>
        <v/>
      </c>
      <c r="M1671">
        <f>L1671*(1+(Inputs!$B$11+0+B1703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671">
        <f>L1671*(1-MIN((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1671*(MIN((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71">
        <f>(1-Summary!$B$11)*T1671+Summary!$B$11*V1671</f>
        <v/>
      </c>
      <c r="P1671">
        <f>IF(B1708=0,0,O1671/B1708)</f>
        <v/>
      </c>
      <c r="Q1671" t="n">
        <v>0</v>
      </c>
      <c r="R1671" t="n">
        <v>0</v>
      </c>
      <c r="S1671">
        <f>IFERROR(O1671/N1671,0)</f>
        <v/>
      </c>
      <c r="T1671">
        <f>IF(C1671,(Skills!G2*N1671*B1702)*IF(Inputs!$B$39="pvp",1,1+(Inputs!$B$21+0+Skills!P2+((C1686=TRUE)*F1686*IF(AND(Inputs!$B$39&lt;&gt;"pvp",Inputs!$B$44&gt;0),(((R1686-1)*MIN((Skills!T17*(1+Inputs!$B$35/100)),(1/Q1686))+MIN((Skills!T17*(1+Inputs!$B$35/100)),MAX(0,Inputs!$B$44-((R1686-1)*(1/Q1686)))))/Inputs!$B$44),IF(Inputs!$B$39="pvp",MIN((Skills!T17*(1+Inputs!$B$35/100)),15)/15,MIN(1,(Skills!T17*(1+Inputs!$B$35/100))/(1/Q1686)))))+((C1674=TRUE)*IF(Inputs!$B$3&gt;=126,10*MIN(1,15*Q1674),0))+((C1683=TRUE)*IF(Inputs!$B$39="pvp",20,(1-Summary!$B$11)*(20)+Summary!$B$11*(0))*IF(AND(Inputs!$B$39&lt;&gt;"pvp",Inputs!$B$44&gt;0),(((R1683-1)*MIN((Skills!T14*(1+Inputs!$B$35/100)),(1/Q1683))+MIN((Skills!T14*(1+Inputs!$B$35/100)),MAX(0,Inputs!$B$44-((R1683-1)*(1/Q1683)))))/Inputs!$B$44),IF(Inputs!$B$39="pvp",MIN((Skills!T14*(1+Inputs!$B$35/100)),15)/15,MIN(1,(Skills!T14*(1+Inputs!$B$35/100))/(1/Q1683)))))+((C1682=TRUE)*IF(Inputs!$B$3&gt;=82,IF(Inputs!$B$39="pvp",20,(1-Summary!$B$11)*(20)+Summary!$B$11*(0)),0)*IF(AND(Inputs!$B$39&lt;&gt;"pvp",Inputs!$B$44&gt;0),(((R1682-1)*MIN((Skills!T13*(1+Inputs!$B$35/100)),(1/Q1682))+MIN((Skills!T13*(1+Inputs!$B$35/100)),MAX(0,Inputs!$B$44-((R1682-1)*(1/Q1682)))))/Inputs!$B$44),IF(Inputs!$B$39="pvp",MIN((Skills!T13*(1+Inputs!$B$35/100)),15)/15,MIN(1,(Skills!T13*(1+Inputs!$B$35/100))/(1/Q1682)))))+(IF(AND(ArtifactsInput!$M$35,Inputs!$B$4&lt;&gt;"Chapter Hunt"),CHOOSE(ArtifactsInput!$N$35+1,15,18,21,24,27,30)*(1-EXP(-(0.2*B1700)*5)),0)+IF(AND(ArtifactsInput!$M$22,Inputs!$B$4&lt;&gt;"Chapter Hunt"),CHOOSE(ArtifactsInput!$N$22+1,10,12,14,16,18,20)*((0*(((0.15*B1700*5))^0/1)+1*(((0.15*B1700*5))^1/1)+2*(((0.15*B1700*5))^2/2)+3*(((0.15*B1700*5))^3/6)+4*(((0.15*B1700*5))^4/24)+5*(((0.15*B1700*5))^5/120))/((((0.15*B1700*5))^0/1)+(((0.15*B1700*5))^1/1)+(((0.15*B1700*5))^2/2)+(((0.15*B1700*5))^3/6)+(((0.15*B1700*5))^4/24)+(((0.15*B1700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1671*(1-MIN(100,(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1671*(MIN(100,(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1671*(1-MIN(100,(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1671*(MIN(100,(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671">
        <f>MAX(0,(Inputs!$B$3-100)*3)+Inputs!$B$29+Inputs!$B$30</f>
        <v/>
      </c>
      <c r="V1671">
        <f>IF(C1671,(Skills!G2*N1671*B1702)*IF(Inputs!$B$39="pvp",1,(1+(Inputs!$B$22+Skills!Q2+((C1686=TRUE)*F1686*IF(AND(Inputs!$B$39&lt;&gt;"pvp",Inputs!$B$44&gt;0),(((R1686-1)*MIN((Skills!T17*(1+Inputs!$B$35/100)),(1/Q1686))+MIN((Skills!T17*(1+Inputs!$B$35/100)),MAX(0,Inputs!$B$44-((R1686-1)*(1/Q1686)))))/Inputs!$B$44),IF(Inputs!$B$39="pvp",MIN((Skills!T17*(1+Inputs!$B$35/100)),15)/15,MIN(1,(Skills!T17*(1+Inputs!$B$35/100))/(1/Q1686)))))+((C1674=TRUE)*IF(Inputs!$B$3&gt;=126,10*MIN(1,15*Q1674),0))+((C1683=TRUE)*IF(Inputs!$B$39="pvp",20,(1-Summary!$B$11)*(20)+Summary!$B$11*(0))*IF(AND(Inputs!$B$39&lt;&gt;"pvp",Inputs!$B$44&gt;0),(((R1683-1)*MIN((Skills!T14*(1+Inputs!$B$35/100)),(1/Q1683))+MIN((Skills!T14*(1+Inputs!$B$35/100)),MAX(0,Inputs!$B$44-((R1683-1)*(1/Q1683)))))/Inputs!$B$44),IF(Inputs!$B$39="pvp",MIN((Skills!T14*(1+Inputs!$B$35/100)),15)/15,MIN(1,(Skills!T14*(1+Inputs!$B$35/100))/(1/Q1683)))))+((C1682=TRUE)*IF(Inputs!$B$3&gt;=82,IF(Inputs!$B$39="pvp",20,(1-Summary!$B$11)*(20)+Summary!$B$11*(0)),0)*IF(AND(Inputs!$B$39&lt;&gt;"pvp",Inputs!$B$44&gt;0),(((R1682-1)*MIN((Skills!T13*(1+Inputs!$B$35/100)),(1/Q1682))+MIN((Skills!T13*(1+Inputs!$B$35/100)),MAX(0,Inputs!$B$44-((R1682-1)*(1/Q1682)))))/Inputs!$B$44),IF(Inputs!$B$39="pvp",MIN((Skills!T13*(1+Inputs!$B$35/100)),15)/15,MIN(1,(Skills!T13*(1+Inputs!$B$35/100))/(1/Q1682)))))+(IF(AND(ArtifactsInput!$M$35,Inputs!$B$4&lt;&gt;"Chapter Hunt"),CHOOSE(ArtifactsInput!$N$35+1,15,18,21,24,27,30)*(1-EXP(-(0.2*B1700)*5)),0)+IF(AND(ArtifactsInput!$M$22,Inputs!$B$4&lt;&gt;"Chapter Hunt"),CHOOSE(ArtifactsInput!$N$22+1,10,12,14,16,18,20)*((0*(((0.15*B1700*5))^0/1)+1*(((0.15*B1700*5))^1/1)+2*(((0.15*B1700*5))^2/2)+3*(((0.15*B1700*5))^3/6)+4*(((0.15*B1700*5))^4/24)+5*(((0.15*B1700*5))^5/120))/((((0.15*B1700*5))^0/1)+(((0.15*B1700*5))^1/1)+(((0.15*B1700*5))^2/2)+(((0.15*B1700*5))^3/6)+(((0.15*B1700*5))^4/24)+(((0.15*B1700*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72">
      <c r="A1672">
        <f>Skills!A3</f>
        <v/>
      </c>
      <c r="B1672">
        <f>Skills!B3</f>
        <v/>
      </c>
      <c r="C1672">
        <f>Inputs!$B$3&gt;=50</f>
        <v/>
      </c>
      <c r="D1672">
        <f>IF(Skills!C3=1,60+Inputs!$B$26+Inputs!$B$30,IF(Skills!C3=2,90+Inputs!$B$27+Inputs!$B$30,IF(Skills!C3=3,120+Inputs!$B$28+Inputs!$B$30,MAX(0,(Inputs!$B$3-100)*3)+Inputs!$B$29+Inputs!$B$30)))</f>
        <v/>
      </c>
      <c r="E1672">
        <f>INDEX(FactorTable!$B$2:$Y$301, MATCH(ROUND(MIN(300,MAX(1,D1672)),0), FactorTable!$A$2:$A$301,0), Skills!M3+1)</f>
        <v/>
      </c>
      <c r="F1672">
        <f>IF(Skills!N3=TRUE,(Skills!L3/10)*(E1672/1000),Skills!L3/10)+Skills!O3</f>
        <v/>
      </c>
      <c r="G1672" t="inlineStr"/>
      <c r="H1672" t="inlineStr"/>
      <c r="I1672" t="inlineStr">
        <is>
          <t>1</t>
        </is>
      </c>
      <c r="J1672" t="inlineStr"/>
      <c r="K1672" t="inlineStr"/>
      <c r="L1672" t="inlineStr"/>
      <c r="M1672" t="inlineStr"/>
      <c r="N1672" t="inlineStr"/>
      <c r="O1672" t="inlineStr"/>
      <c r="P1672" t="inlineStr"/>
      <c r="Q1672" t="inlineStr"/>
      <c r="R1672" t="inlineStr"/>
      <c r="S1672" t="inlineStr"/>
      <c r="U1672">
        <f>INDEX(FactorTable!$B$2:$Y$301, MATCH(ROUND(MIN(300,MAX(1,U1671)),0), FactorTable!$A$2:$A$301,0), 22)</f>
        <v/>
      </c>
    </row>
    <row r="1673">
      <c r="A1673">
        <f>Skills!A4</f>
        <v/>
      </c>
      <c r="B1673">
        <f>Skills!B4</f>
        <v/>
      </c>
      <c r="C1673">
        <f>Inputs!$B$3&gt;=105</f>
        <v/>
      </c>
      <c r="D1673">
        <f>IF(Skills!C4=1,60+Inputs!$B$26+Inputs!$B$30,IF(Skills!C4=2,90+Inputs!$B$27+Inputs!$B$30,IF(Skills!C4=3,120+Inputs!$B$28+Inputs!$B$30,MAX(0,(Inputs!$B$3-100)*3)+Inputs!$B$29+Inputs!$B$30)))</f>
        <v/>
      </c>
      <c r="E1673">
        <f>INDEX(FactorTable!$B$2:$Y$301, MATCH(ROUND(MIN(300,MAX(1,D1673)),0), FactorTable!$A$2:$A$301,0), Skills!M4+1)</f>
        <v/>
      </c>
      <c r="F1673">
        <f>IF(Skills!N4=TRUE,(Skills!L4/10)*(E1673/1000),Skills!L4/10)+Skills!O4</f>
        <v/>
      </c>
      <c r="G1673" t="inlineStr"/>
      <c r="H1673" t="inlineStr"/>
      <c r="I1673" t="inlineStr">
        <is>
          <t>1</t>
        </is>
      </c>
      <c r="J1673" t="inlineStr"/>
      <c r="K1673" t="inlineStr"/>
      <c r="L1673" t="inlineStr"/>
      <c r="M1673" t="inlineStr"/>
      <c r="N1673" t="inlineStr"/>
      <c r="O1673" t="inlineStr"/>
      <c r="P1673" t="inlineStr"/>
      <c r="Q1673" t="inlineStr"/>
      <c r="R1673" t="inlineStr"/>
      <c r="S1673" t="inlineStr"/>
      <c r="U1673">
        <f>290*U1672/1000</f>
        <v/>
      </c>
    </row>
    <row r="1674">
      <c r="A1674">
        <f>Skills!A5</f>
        <v/>
      </c>
      <c r="B1674">
        <f>Skills!B5</f>
        <v/>
      </c>
      <c r="C1674">
        <f>Inputs!$B$3&gt;=117</f>
        <v/>
      </c>
      <c r="D1674">
        <f>IF(Skills!C5=1,60+Inputs!$B$26+Inputs!$B$30,IF(Skills!C5=2,90+Inputs!$B$27+Inputs!$B$30,IF(Skills!C5=3,120+Inputs!$B$28+Inputs!$B$30,MAX(0,(Inputs!$B$3-100)*3)+Inputs!$B$29+Inputs!$B$30)))</f>
        <v/>
      </c>
      <c r="E1674">
        <f>INDEX(FactorTable!$B$2:$Y$301, MATCH(ROUND(MIN(300,MAX(1,D1674)),0), FactorTable!$A$2:$A$301,0), Skills!M5+1)</f>
        <v/>
      </c>
      <c r="F1674">
        <f>IF(Skills!N5=TRUE,(Skills!L5/10)*(E1674/1000),Skills!L5/10)+Skills!O5</f>
        <v/>
      </c>
      <c r="G1674">
        <f>Skills!G5*IF(Skills!H5&gt;0,INT(IF(Inputs!$B$39="pvp",MIN(Skills!I5,15),Skills!I5)/Skills!H5+0.000000001),1)</f>
        <v/>
      </c>
      <c r="H1674">
        <f>1-(1-Skills!J5/100)^Skills!K5</f>
        <v/>
      </c>
      <c r="I1674" t="inlineStr">
        <is>
          <t>1</t>
        </is>
      </c>
      <c r="J1674">
        <f>((Inputs!$B$6*(1+Inputs!$B$7/100))+(((Inputs!$B$13*(1+Inputs!$B$14/100))-(Inputs!$B$13*(1+Inputs!$B$14/100)))+0.25*(Inputs!$B$15-Inputs!$B$15))*(1+Inputs!$B$7/100))*(F1674/100)</f>
        <v/>
      </c>
      <c r="K1674">
        <f>J1674*(1+(((Inputs!$B$13+IF(Inputs!$B$3&gt;=38,(10*INDEX(FactorTable!$B$2:$Y$301, MATCH(ROUND(MIN(300,MAX(1,Inputs!$B$3)),0), FactorTable!$A$2:$A$301,0), 23)/1000)/100*(Inputs!$B$8*(1+Inputs!$B$9/100)),0))*(1+Inputs!$B$14/100))*0.01+Inputs!$B$15*0.0025)/100)*(1+Inputs!$B$16/100)*(1+Inputs!$B$17/100)*(5000/(6000+Inputs!$B$43*(1-(Inputs!$B$20+0)/100)))*(1+(Inputs!$B$25+((C1694=TRUE)*(F1694-Calc!F25))+((C1695=TRUE)*(F1695-Calc!F26))+B1704)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gt;=100),MIN(100,((Inputs!$B$10+0+B1698+(ArtifactsInput!$M$24-ArtifactsInput!$M$24)*CHOOSE(ArtifactsInput!$N$24+1,10,12,14,16,18,20)+IF(ArtifactsInput!$M$10,CHOOSE(ArtifactsInput!$N$10+1,15,18,21,24,27,30)*(IF(Inputs!$B$39="pvp",MIN(15,15)/15,IF(AND(Inputs!$B$39&lt;&gt;"pvp",Inputs!$B$44&gt;0),MIN(15,Inputs!$B$44)/(Inputs!$B$44),0))),0)))-100),0))*CHOOSE(ArtifactsInput!$N$42+1,0.6,0.72,0.84,0.96,1.08,1.2))),Inputs!$B$19+((C1692=TRUE)*(F1692-Calc!F23))+(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gt;=100),CHOOSE(ArtifactsInput!$N$42+1,40,48,56,64,72,80),0))))/100)*((1+(((C1682=TRUE)*F1682*IF(AND(Inputs!$B$39&lt;&gt;"pvp",Inputs!$B$44&gt;0),(((R1682-1)*MIN((Skills!T13*(1+Inputs!$B$35/100)),(1/Q1682))+MIN((Skills!T13*(1+Inputs!$B$35/100)),MAX(0,Inputs!$B$44-((R1682-1)*(1/Q1682)))))/Inputs!$B$44),IF(Inputs!$B$39="pvp",MIN((Skills!T13*(1+Inputs!$B$35/100)),15)/15,MIN(1,(Skills!T13*(1+Inputs!$B$35/100))/(1/Q1682)))))+((C1683=TRUE)*F1683*IF(AND(Inputs!$B$39&lt;&gt;"pvp",Inputs!$B$44&gt;0),(((R1683-1)*MIN((Skills!T14*(1+Inputs!$B$35/100)),(1/Q1683))+MIN((Skills!T14*(1+Inputs!$B$35/100)),MAX(0,Inputs!$B$44-((R1683-1)*(1/Q1683)))))/Inputs!$B$44),IF(Inputs!$B$39="pvp",MIN((Skills!T14*(1+Inputs!$B$35/100)),15)/15,MIN(1,(Skills!T14*(1+Inputs!$B$35/100))/(1/Q1683)))))+((C1684=TRUE)*F1684*IF(AND(Inputs!$B$39&lt;&gt;"pvp",Inputs!$B$44&gt;0),(((R1684-1)*MIN((Skills!T15*(1+Inputs!$B$35/100)),(1/Q1684))+MIN((Skills!T15*(1+Inputs!$B$35/100)),MAX(0,Inputs!$B$44-((R1684-1)*(1/Q1684)))))/Inputs!$B$44),IF(Inputs!$B$39="pvp",MIN((Skills!T15*(1+Inputs!$B$35/100)),15)/15,MIN(1,(Skills!T15*(1+Inputs!$B$35/100))/(1/Q1684)))))+((C1685=TRUE)*F1685*IF(AND(Inputs!$B$39&lt;&gt;"pvp",Inputs!$B$44&gt;0),(((R1685-1)*MIN((Skills!T16*(1+Inputs!$B$35/100)),(1/Q1685))+MIN((Skills!T16*(1+Inputs!$B$35/100)),MAX(0,Inputs!$B$44-((R1685-1)*(1/Q1685)))))/Inputs!$B$44),IF(Inputs!$B$39="pvp",MIN((Skills!T16*(1+Inputs!$B$35/100)),15)/15,MIN(1,(Skills!T16*(1+Inputs!$B$35/100))/(1/Q1685)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1674)</f>
        <v/>
      </c>
      <c r="L1674">
        <f>K1674*(MIN(Inputs!$B$23+((C1691=TRUE)*(F1691-Calc!F22)),(Inputs!$B$24+((C1693=TRUE)*(F1693-Calc!F24))+(IF(ArtifactsInput!$M$15,CHOOSE(ArtifactsInput!$N$15+1,25,30,35,40,45,50)/100*(Inputs!$B$12-Inputs!$B$12),0))))/100+(Inputs!$B$24+((C1693=TRUE)*(F1693-Calc!F24))+(IF(ArtifactsInput!$M$15,CHOOSE(ArtifactsInput!$N$15+1,25,30,35,40,45,50)/100*(Inputs!$B$12-Inputs!$B$12),0)))/100)/2</f>
        <v/>
      </c>
      <c r="M1674">
        <f>L1674*(1+(Inputs!$B$11+0+B1703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674">
        <f>L1674*(1-MIN((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1674*(MIN((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74">
        <f>(1-Summary!$B$11)*T1674+Summary!$B$11*V1674</f>
        <v/>
      </c>
      <c r="P1674">
        <f>IF(B1708=0,0,O1674/B1708)</f>
        <v/>
      </c>
      <c r="Q1674">
        <f>IFERROR(1/IF(Inputs!$B$39="pvp",15,MAX(0.1,Skills!D5-IF(TRUE=TRUE,Inputs!$B$33,0))),0)</f>
        <v/>
      </c>
      <c r="R1674">
        <f>IF(AND(Inputs!$B$39&lt;&gt;"pvp",Inputs!$B$44&gt;0),IF(MAX(0,Inputs!$B$44-B1705)&lt;=0,0,(INT(MAX(0,Inputs!$B$44-B1705)/IF(Inputs!$B$39="pvp",15,MAX(0.1,Skills!D5-IF(TRUE=TRUE,Inputs!$B$33,0))))+1)),0)</f>
        <v/>
      </c>
      <c r="S1674">
        <f>IFERROR(O1674/N1674,0)</f>
        <v/>
      </c>
      <c r="T1674">
        <f>IF(C1674,(H1674*N1674*IF(AND(Inputs!$B$39&lt;&gt;"pvp",Inputs!$B$44&gt;0),((Skills!G5*((R1674-1)*IF(Skills!H5&gt;0,INT(Skills!I5/Skills!H5+0.000000001),1)+IF(Skills!H5&gt;0,INT(MIN(Skills!I5,MAX(0,MAX(0,Inputs!$B$44-B1705)-((R1674-1)*IF(Inputs!$B$39="pvp",15,MAX(0.1,Skills!D5-IF(TRUE=TRUE,Inputs!$B$33,0))))))/Skills!H5+0.000000001),1)))/Inputs!$B$44),G1674*Q1674))*IF(Inputs!$B$39="pvp",1,1+(Inputs!$B$21+0+Skills!P5+((C1686=TRUE)*F1686*IF(AND(Inputs!$B$39&lt;&gt;"pvp",Inputs!$B$44&gt;0),(((R1686-1)*MIN((Skills!T17*(1+Inputs!$B$35/100)),(1/Q1686))+MIN((Skills!T17*(1+Inputs!$B$35/100)),MAX(0,Inputs!$B$44-((R1686-1)*(1/Q1686)))))/Inputs!$B$44),IF(Inputs!$B$39="pvp",MIN((Skills!T17*(1+Inputs!$B$35/100)),15)/15,MIN(1,(Skills!T17*(1+Inputs!$B$35/100))/(1/Q1686)))))+((C1674=TRUE)*IF(Inputs!$B$3&gt;=126,10*MIN(1,15*Q1674),0))+((C1683=TRUE)*IF(Inputs!$B$39="pvp",20,(1-Summary!$B$11)*(20)+Summary!$B$11*(0))*IF(AND(Inputs!$B$39&lt;&gt;"pvp",Inputs!$B$44&gt;0),(((R1683-1)*MIN((Skills!T14*(1+Inputs!$B$35/100)),(1/Q1683))+MIN((Skills!T14*(1+Inputs!$B$35/100)),MAX(0,Inputs!$B$44-((R1683-1)*(1/Q1683)))))/Inputs!$B$44),IF(Inputs!$B$39="pvp",MIN((Skills!T14*(1+Inputs!$B$35/100)),15)/15,MIN(1,(Skills!T14*(1+Inputs!$B$35/100))/(1/Q1683)))))+((C1682=TRUE)*IF(Inputs!$B$3&gt;=82,IF(Inputs!$B$39="pvp",20,(1-Summary!$B$11)*(20)+Summary!$B$11*(0)),0)*IF(AND(Inputs!$B$39&lt;&gt;"pvp",Inputs!$B$44&gt;0),(((R1682-1)*MIN((Skills!T13*(1+Inputs!$B$35/100)),(1/Q1682))+MIN((Skills!T13*(1+Inputs!$B$35/100)),MAX(0,Inputs!$B$44-((R1682-1)*(1/Q1682)))))/Inputs!$B$44),IF(Inputs!$B$39="pvp",MIN((Skills!T13*(1+Inputs!$B$35/100)),15)/15,MIN(1,(Skills!T13*(1+Inputs!$B$35/100))/(1/Q1682)))))+(IF(AND(ArtifactsInput!$M$35,Inputs!$B$4&lt;&gt;"Chapter Hunt"),CHOOSE(ArtifactsInput!$N$35+1,15,18,21,24,27,30)*(1-EXP(-(0.2*B1700)*5)),0)+IF(AND(ArtifactsInput!$M$22,Inputs!$B$4&lt;&gt;"Chapter Hunt"),CHOOSE(ArtifactsInput!$N$22+1,10,12,14,16,18,20)*((0*(((0.15*B1700*5))^0/1)+1*(((0.15*B1700*5))^1/1)+2*(((0.15*B1700*5))^2/2)+3*(((0.15*B1700*5))^3/6)+4*(((0.15*B1700*5))^4/24)+5*(((0.15*B1700*5))^5/120))/((((0.15*B1700*5))^0/1)+(((0.15*B1700*5))^1/1)+(((0.15*B1700*5))^2/2)+(((0.15*B1700*5))^3/6)+(((0.15*B1700*5))^4/24)+(((0.15*B1700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1674*(1-MIN(100,(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1674*(MIN(100,(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1674*(1-MIN(100,(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1674*(MIN(100,(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74">
        <f>IF(C1674,(H1674*N1674*IF(AND(Inputs!$B$39&lt;&gt;"pvp",Inputs!$B$44&gt;0),((Skills!G5*((R1674-1)*IF(Skills!H5&gt;0,INT(Skills!I5/Skills!H5+0.000000001),1)+IF(Skills!H5&gt;0,INT(MIN(Skills!I5,MAX(0,MAX(0,Inputs!$B$44-B1705)-((R1674-1)*IF(Inputs!$B$39="pvp",15,MAX(0.1,Skills!D5-IF(TRUE=TRUE,Inputs!$B$33,0))))))/Skills!H5+0.000000001),1)))/Inputs!$B$44),G1674*Q1674))*IF(Inputs!$B$39="pvp",1,(1+(Inputs!$B$22+Skills!Q5+((C1686=TRUE)*F1686*IF(AND(Inputs!$B$39&lt;&gt;"pvp",Inputs!$B$44&gt;0),(((R1686-1)*MIN((Skills!T17*(1+Inputs!$B$35/100)),(1/Q1686))+MIN((Skills!T17*(1+Inputs!$B$35/100)),MAX(0,Inputs!$B$44-((R1686-1)*(1/Q1686)))))/Inputs!$B$44),IF(Inputs!$B$39="pvp",MIN((Skills!T17*(1+Inputs!$B$35/100)),15)/15,MIN(1,(Skills!T17*(1+Inputs!$B$35/100))/(1/Q1686)))))+((C1674=TRUE)*IF(Inputs!$B$3&gt;=126,10*MIN(1,15*Q1674),0))+((C1683=TRUE)*IF(Inputs!$B$39="pvp",20,(1-Summary!$B$11)*(20)+Summary!$B$11*(0))*IF(AND(Inputs!$B$39&lt;&gt;"pvp",Inputs!$B$44&gt;0),(((R1683-1)*MIN((Skills!T14*(1+Inputs!$B$35/100)),(1/Q1683))+MIN((Skills!T14*(1+Inputs!$B$35/100)),MAX(0,Inputs!$B$44-((R1683-1)*(1/Q1683)))))/Inputs!$B$44),IF(Inputs!$B$39="pvp",MIN((Skills!T14*(1+Inputs!$B$35/100)),15)/15,MIN(1,(Skills!T14*(1+Inputs!$B$35/100))/(1/Q1683)))))+((C1682=TRUE)*IF(Inputs!$B$3&gt;=82,IF(Inputs!$B$39="pvp",20,(1-Summary!$B$11)*(20)+Summary!$B$11*(0)),0)*IF(AND(Inputs!$B$39&lt;&gt;"pvp",Inputs!$B$44&gt;0),(((R1682-1)*MIN((Skills!T13*(1+Inputs!$B$35/100)),(1/Q1682))+MIN((Skills!T13*(1+Inputs!$B$35/100)),MAX(0,Inputs!$B$44-((R1682-1)*(1/Q1682)))))/Inputs!$B$44),IF(Inputs!$B$39="pvp",MIN((Skills!T13*(1+Inputs!$B$35/100)),15)/15,MIN(1,(Skills!T13*(1+Inputs!$B$35/100))/(1/Q1682)))))+(IF(AND(ArtifactsInput!$M$35,Inputs!$B$4&lt;&gt;"Chapter Hunt"),CHOOSE(ArtifactsInput!$N$35+1,15,18,21,24,27,30)*(1-EXP(-(0.2*B1700)*5)),0)+IF(AND(ArtifactsInput!$M$22,Inputs!$B$4&lt;&gt;"Chapter Hunt"),CHOOSE(ArtifactsInput!$N$22+1,10,12,14,16,18,20)*((0*(((0.15*B1700*5))^0/1)+1*(((0.15*B1700*5))^1/1)+2*(((0.15*B1700*5))^2/2)+3*(((0.15*B1700*5))^3/6)+4*(((0.15*B1700*5))^4/24)+5*(((0.15*B1700*5))^5/120))/((((0.15*B1700*5))^0/1)+(((0.15*B1700*5))^1/1)+(((0.15*B1700*5))^2/2)+(((0.15*B1700*5))^3/6)+(((0.15*B1700*5))^4/24)+(((0.15*B1700*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75">
      <c r="A1675">
        <f>Skills!A6</f>
        <v/>
      </c>
      <c r="B1675">
        <f>Skills!B6</f>
        <v/>
      </c>
      <c r="C1675">
        <f>Inputs!$B$3&gt;=103</f>
        <v/>
      </c>
      <c r="D1675">
        <f>IF(Skills!C6=1,60+Inputs!$B$26+Inputs!$B$30,IF(Skills!C6=2,90+Inputs!$B$27+Inputs!$B$30,IF(Skills!C6=3,120+Inputs!$B$28+Inputs!$B$30,MAX(0,(Inputs!$B$3-100)*3)+Inputs!$B$29+Inputs!$B$30)))</f>
        <v/>
      </c>
      <c r="E1675">
        <f>INDEX(FactorTable!$B$2:$Y$301, MATCH(ROUND(MIN(300,MAX(1,D1675)),0), FactorTable!$A$2:$A$301,0), Skills!M6+1)</f>
        <v/>
      </c>
      <c r="F1675">
        <f>IF(Skills!N6=TRUE,(Skills!L6/10)*(E1675/1000),Skills!L6/10)+Skills!O6</f>
        <v/>
      </c>
      <c r="G1675">
        <f>Skills!G6*IF(Skills!H6&gt;0,INT(IF(Inputs!$B$39="pvp",MIN(Skills!I6,15),Skills!I6)/Skills!H6+0.000000001),1)</f>
        <v/>
      </c>
      <c r="H1675">
        <f>1-(1-Skills!J6/100)^Skills!K6</f>
        <v/>
      </c>
      <c r="I1675" t="inlineStr">
        <is>
          <t>1</t>
        </is>
      </c>
      <c r="J1675">
        <f>((Inputs!$B$6*(1+Inputs!$B$7/100))+(((Inputs!$B$13*(1+Inputs!$B$14/100))-(Inputs!$B$13*(1+Inputs!$B$14/100)))+0.25*(Inputs!$B$15-Inputs!$B$15))*(1+Inputs!$B$7/100))*(F1675/100)</f>
        <v/>
      </c>
      <c r="K1675">
        <f>J1675*(1+(((Inputs!$B$13+IF(Inputs!$B$3&gt;=38,(10*INDEX(FactorTable!$B$2:$Y$301, MATCH(ROUND(MIN(300,MAX(1,Inputs!$B$3)),0), FactorTable!$A$2:$A$301,0), 23)/1000)/100*(Inputs!$B$8*(1+Inputs!$B$9/100)),0))*(1+Inputs!$B$14/100))*0.01+Inputs!$B$15*0.0025)/100)*(1+Inputs!$B$16/100)*(1+Inputs!$B$17/100)*(5000/(6000+Inputs!$B$43*(1-(Inputs!$B$20+0)/100)))*(1+(Inputs!$B$25+((C1694=TRUE)*(F1694-Calc!F25))+((C1695=TRUE)*(F1695-Calc!F26))+B1704)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gt;=100),MIN(100,((Inputs!$B$10+0+B1698+(ArtifactsInput!$M$24-ArtifactsInput!$M$24)*CHOOSE(ArtifactsInput!$N$24+1,10,12,14,16,18,20)+IF(ArtifactsInput!$M$10,CHOOSE(ArtifactsInput!$N$10+1,15,18,21,24,27,30)*(IF(Inputs!$B$39="pvp",MIN(15,15)/15,IF(AND(Inputs!$B$39&lt;&gt;"pvp",Inputs!$B$44&gt;0),MIN(15,Inputs!$B$44)/(Inputs!$B$44),0))),0)))-100),0))*CHOOSE(ArtifactsInput!$N$42+1,0.6,0.72,0.84,0.96,1.08,1.2))),Inputs!$B$19+((C1692=TRUE)*(F1692-Calc!F23))+(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gt;=100),CHOOSE(ArtifactsInput!$N$42+1,40,48,56,64,72,80),0))))/100)*((1+(((C1682=TRUE)*F1682*IF(AND(Inputs!$B$39&lt;&gt;"pvp",Inputs!$B$44&gt;0),(((R1682-1)*MIN((Skills!T13*(1+Inputs!$B$35/100)),(1/Q1682))+MIN((Skills!T13*(1+Inputs!$B$35/100)),MAX(0,Inputs!$B$44-((R1682-1)*(1/Q1682)))))/Inputs!$B$44),IF(Inputs!$B$39="pvp",MIN((Skills!T13*(1+Inputs!$B$35/100)),15)/15,MIN(1,(Skills!T13*(1+Inputs!$B$35/100))/(1/Q1682)))))+((C1683=TRUE)*F1683*IF(AND(Inputs!$B$39&lt;&gt;"pvp",Inputs!$B$44&gt;0),(((R1683-1)*MIN((Skills!T14*(1+Inputs!$B$35/100)),(1/Q1683))+MIN((Skills!T14*(1+Inputs!$B$35/100)),MAX(0,Inputs!$B$44-((R1683-1)*(1/Q1683)))))/Inputs!$B$44),IF(Inputs!$B$39="pvp",MIN((Skills!T14*(1+Inputs!$B$35/100)),15)/15,MIN(1,(Skills!T14*(1+Inputs!$B$35/100))/(1/Q1683)))))+((C1684=TRUE)*F1684*IF(AND(Inputs!$B$39&lt;&gt;"pvp",Inputs!$B$44&gt;0),(((R1684-1)*MIN((Skills!T15*(1+Inputs!$B$35/100)),(1/Q1684))+MIN((Skills!T15*(1+Inputs!$B$35/100)),MAX(0,Inputs!$B$44-((R1684-1)*(1/Q1684)))))/Inputs!$B$44),IF(Inputs!$B$39="pvp",MIN((Skills!T15*(1+Inputs!$B$35/100)),15)/15,MIN(1,(Skills!T15*(1+Inputs!$B$35/100))/(1/Q1684)))))+((C1685=TRUE)*F1685*IF(AND(Inputs!$B$39&lt;&gt;"pvp",Inputs!$B$44&gt;0),(((R1685-1)*MIN((Skills!T16*(1+Inputs!$B$35/100)),(1/Q1685))+MIN((Skills!T16*(1+Inputs!$B$35/100)),MAX(0,Inputs!$B$44-((R1685-1)*(1/Q1685)))))/Inputs!$B$44),IF(Inputs!$B$39="pvp",MIN((Skills!T16*(1+Inputs!$B$35/100)),15)/15,MIN(1,(Skills!T16*(1+Inputs!$B$35/100))/(1/Q1685)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1675)</f>
        <v/>
      </c>
      <c r="L1675">
        <f>K1675*(MIN(Inputs!$B$23+((C1691=TRUE)*(F1691-Calc!F22)),(Inputs!$B$24+((C1693=TRUE)*(F1693-Calc!F24))+(IF(ArtifactsInput!$M$15,CHOOSE(ArtifactsInput!$N$15+1,25,30,35,40,45,50)/100*(Inputs!$B$12-Inputs!$B$12),0))))/100+(Inputs!$B$24+((C1693=TRUE)*(F1693-Calc!F24))+(IF(ArtifactsInput!$M$15,CHOOSE(ArtifactsInput!$N$15+1,25,30,35,40,45,50)/100*(Inputs!$B$12-Inputs!$B$12),0)))/100)/2</f>
        <v/>
      </c>
      <c r="M1675">
        <f>L1675*(1+(Inputs!$B$11+0+B1703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675">
        <f>L1675*(1-MIN((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1675*(MIN((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75">
        <f>(1-Summary!$B$11)*T1675+Summary!$B$11*V1675</f>
        <v/>
      </c>
      <c r="P1675">
        <f>IF(B1708=0,0,O1675/B1708)</f>
        <v/>
      </c>
      <c r="Q1675">
        <f>IFERROR(1/IF(Inputs!$B$39="pvp",15,MAX(0.1,Skills!D6-IF(TRUE=TRUE,Inputs!$B$33,0))),0)</f>
        <v/>
      </c>
      <c r="R1675">
        <f>IF(AND(Inputs!$B$39&lt;&gt;"pvp",Inputs!$B$44&gt;0),IF(MAX(0,Inputs!$B$44-B1705)&lt;=0,0,(INT(MAX(0,Inputs!$B$44-B1705)/IF(Inputs!$B$39="pvp",15,MAX(0.1,Skills!D6-IF(TRUE=TRUE,Inputs!$B$33,0))))+1)),0)</f>
        <v/>
      </c>
      <c r="S1675">
        <f>IFERROR(O1675/N1675,0)</f>
        <v/>
      </c>
      <c r="T1675">
        <f>IF(C1675,(H1675*N1675*IF(AND(Inputs!$B$39&lt;&gt;"pvp",Inputs!$B$44&gt;0),((Skills!G6*((R1675-1)*IF(Skills!H6&gt;0,INT(Skills!I6/Skills!H6+0.000000001),1)+IF(Skills!H6&gt;0,INT(MIN(Skills!I6,MAX(0,MAX(0,Inputs!$B$44-B1705)-((R1675-1)*IF(Inputs!$B$39="pvp",15,MAX(0.1,Skills!D6-IF(TRUE=TRUE,Inputs!$B$33,0))))))/Skills!H6+0.000000001),1)))/Inputs!$B$44),G1675*Q1675))*IF(Inputs!$B$39="pvp",1,1+(Inputs!$B$21+0+Skills!P6+((C1686=TRUE)*F1686*IF(AND(Inputs!$B$39&lt;&gt;"pvp",Inputs!$B$44&gt;0),(((R1686-1)*MIN((Skills!T17*(1+Inputs!$B$35/100)),(1/Q1686))+MIN((Skills!T17*(1+Inputs!$B$35/100)),MAX(0,Inputs!$B$44-((R1686-1)*(1/Q1686)))))/Inputs!$B$44),IF(Inputs!$B$39="pvp",MIN((Skills!T17*(1+Inputs!$B$35/100)),15)/15,MIN(1,(Skills!T17*(1+Inputs!$B$35/100))/(1/Q1686)))))+((C1674=TRUE)*IF(Inputs!$B$3&gt;=126,10*MIN(1,15*Q1674),0))+((C1683=TRUE)*IF(Inputs!$B$39="pvp",20,(1-Summary!$B$11)*(20)+Summary!$B$11*(0))*IF(AND(Inputs!$B$39&lt;&gt;"pvp",Inputs!$B$44&gt;0),(((R1683-1)*MIN((Skills!T14*(1+Inputs!$B$35/100)),(1/Q1683))+MIN((Skills!T14*(1+Inputs!$B$35/100)),MAX(0,Inputs!$B$44-((R1683-1)*(1/Q1683)))))/Inputs!$B$44),IF(Inputs!$B$39="pvp",MIN((Skills!T14*(1+Inputs!$B$35/100)),15)/15,MIN(1,(Skills!T14*(1+Inputs!$B$35/100))/(1/Q1683)))))+((C1682=TRUE)*IF(Inputs!$B$3&gt;=82,IF(Inputs!$B$39="pvp",20,(1-Summary!$B$11)*(20)+Summary!$B$11*(0)),0)*IF(AND(Inputs!$B$39&lt;&gt;"pvp",Inputs!$B$44&gt;0),(((R1682-1)*MIN((Skills!T13*(1+Inputs!$B$35/100)),(1/Q1682))+MIN((Skills!T13*(1+Inputs!$B$35/100)),MAX(0,Inputs!$B$44-((R1682-1)*(1/Q1682)))))/Inputs!$B$44),IF(Inputs!$B$39="pvp",MIN((Skills!T13*(1+Inputs!$B$35/100)),15)/15,MIN(1,(Skills!T13*(1+Inputs!$B$35/100))/(1/Q1682)))))+(IF(AND(ArtifactsInput!$M$35,Inputs!$B$4&lt;&gt;"Chapter Hunt"),CHOOSE(ArtifactsInput!$N$35+1,15,18,21,24,27,30)*(1-EXP(-(0.2*B1700)*5)),0)+IF(AND(ArtifactsInput!$M$22,Inputs!$B$4&lt;&gt;"Chapter Hunt"),CHOOSE(ArtifactsInput!$N$22+1,10,12,14,16,18,20)*((0*(((0.15*B1700*5))^0/1)+1*(((0.15*B1700*5))^1/1)+2*(((0.15*B1700*5))^2/2)+3*(((0.15*B1700*5))^3/6)+4*(((0.15*B1700*5))^4/24)+5*(((0.15*B1700*5))^5/120))/((((0.15*B1700*5))^0/1)+(((0.15*B1700*5))^1/1)+(((0.15*B1700*5))^2/2)+(((0.15*B1700*5))^3/6)+(((0.15*B1700*5))^4/24)+(((0.15*B1700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1675*(1-MIN(100,(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1675*(MIN(100,(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1675*(1-MIN(100,(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1675*(MIN(100,(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75">
        <f>IF(C1675,(H1675*N1675*IF(AND(Inputs!$B$39&lt;&gt;"pvp",Inputs!$B$44&gt;0),((Skills!G6*((R1675-1)*IF(Skills!H6&gt;0,INT(Skills!I6/Skills!H6+0.000000001),1)+IF(Skills!H6&gt;0,INT(MIN(Skills!I6,MAX(0,MAX(0,Inputs!$B$44-B1705)-((R1675-1)*IF(Inputs!$B$39="pvp",15,MAX(0.1,Skills!D6-IF(TRUE=TRUE,Inputs!$B$33,0))))))/Skills!H6+0.000000001),1)))/Inputs!$B$44),G1675*Q1675))*IF(Inputs!$B$39="pvp",1,(1+(Inputs!$B$22+Skills!Q6+((C1686=TRUE)*F1686*IF(AND(Inputs!$B$39&lt;&gt;"pvp",Inputs!$B$44&gt;0),(((R1686-1)*MIN((Skills!T17*(1+Inputs!$B$35/100)),(1/Q1686))+MIN((Skills!T17*(1+Inputs!$B$35/100)),MAX(0,Inputs!$B$44-((R1686-1)*(1/Q1686)))))/Inputs!$B$44),IF(Inputs!$B$39="pvp",MIN((Skills!T17*(1+Inputs!$B$35/100)),15)/15,MIN(1,(Skills!T17*(1+Inputs!$B$35/100))/(1/Q1686)))))+((C1674=TRUE)*IF(Inputs!$B$3&gt;=126,10*MIN(1,15*Q1674),0))+((C1683=TRUE)*IF(Inputs!$B$39="pvp",20,(1-Summary!$B$11)*(20)+Summary!$B$11*(0))*IF(AND(Inputs!$B$39&lt;&gt;"pvp",Inputs!$B$44&gt;0),(((R1683-1)*MIN((Skills!T14*(1+Inputs!$B$35/100)),(1/Q1683))+MIN((Skills!T14*(1+Inputs!$B$35/100)),MAX(0,Inputs!$B$44-((R1683-1)*(1/Q1683)))))/Inputs!$B$44),IF(Inputs!$B$39="pvp",MIN((Skills!T14*(1+Inputs!$B$35/100)),15)/15,MIN(1,(Skills!T14*(1+Inputs!$B$35/100))/(1/Q1683)))))+((C1682=TRUE)*IF(Inputs!$B$3&gt;=82,IF(Inputs!$B$39="pvp",20,(1-Summary!$B$11)*(20)+Summary!$B$11*(0)),0)*IF(AND(Inputs!$B$39&lt;&gt;"pvp",Inputs!$B$44&gt;0),(((R1682-1)*MIN((Skills!T13*(1+Inputs!$B$35/100)),(1/Q1682))+MIN((Skills!T13*(1+Inputs!$B$35/100)),MAX(0,Inputs!$B$44-((R1682-1)*(1/Q1682)))))/Inputs!$B$44),IF(Inputs!$B$39="pvp",MIN((Skills!T13*(1+Inputs!$B$35/100)),15)/15,MIN(1,(Skills!T13*(1+Inputs!$B$35/100))/(1/Q1682)))))+(IF(AND(ArtifactsInput!$M$35,Inputs!$B$4&lt;&gt;"Chapter Hunt"),CHOOSE(ArtifactsInput!$N$35+1,15,18,21,24,27,30)*(1-EXP(-(0.2*B1700)*5)),0)+IF(AND(ArtifactsInput!$M$22,Inputs!$B$4&lt;&gt;"Chapter Hunt"),CHOOSE(ArtifactsInput!$N$22+1,10,12,14,16,18,20)*((0*(((0.15*B1700*5))^0/1)+1*(((0.15*B1700*5))^1/1)+2*(((0.15*B1700*5))^2/2)+3*(((0.15*B1700*5))^3/6)+4*(((0.15*B1700*5))^4/24)+5*(((0.15*B1700*5))^5/120))/((((0.15*B1700*5))^0/1)+(((0.15*B1700*5))^1/1)+(((0.15*B1700*5))^2/2)+(((0.15*B1700*5))^3/6)+(((0.15*B1700*5))^4/24)+(((0.15*B1700*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76">
      <c r="A1676">
        <f>Skills!A7</f>
        <v/>
      </c>
      <c r="B1676">
        <f>Skills!B7</f>
        <v/>
      </c>
      <c r="C1676">
        <f>Inputs!$B$3&gt;=40</f>
        <v/>
      </c>
      <c r="D1676">
        <f>IF(Skills!C7=1,60+Inputs!$B$26+Inputs!$B$30,IF(Skills!C7=2,90+Inputs!$B$27+Inputs!$B$30,IF(Skills!C7=3,120+Inputs!$B$28+Inputs!$B$30,MAX(0,(Inputs!$B$3-100)*3)+Inputs!$B$29+Inputs!$B$30)))</f>
        <v/>
      </c>
      <c r="E1676">
        <f>INDEX(FactorTable!$B$2:$Y$301, MATCH(ROUND(MIN(300,MAX(1,D1676)),0), FactorTable!$A$2:$A$301,0), Skills!M7+1)</f>
        <v/>
      </c>
      <c r="F1676">
        <f>IF(Skills!N7=TRUE,(Skills!L7/10)*(E1676/1000),Skills!L7/10)+Skills!O7</f>
        <v/>
      </c>
      <c r="G1676">
        <f>Skills!G7*IF(Skills!H7&gt;0,INT(IF(Inputs!$B$39="pvp",MIN(Skills!I7,15),Skills!I7)/Skills!H7+0.000000001),1)</f>
        <v/>
      </c>
      <c r="H1676">
        <f>1-(1-Skills!J7/100)^Skills!K7</f>
        <v/>
      </c>
      <c r="I1676" t="inlineStr">
        <is>
          <t>1</t>
        </is>
      </c>
      <c r="J1676">
        <f>((Inputs!$B$6*(1+Inputs!$B$7/100))+(((Inputs!$B$13*(1+Inputs!$B$14/100))-(Inputs!$B$13*(1+Inputs!$B$14/100)))+0.25*(Inputs!$B$15-Inputs!$B$15))*(1+Inputs!$B$7/100))*(F1676/100)</f>
        <v/>
      </c>
      <c r="K1676">
        <f>J1676*(1+(((Inputs!$B$13+IF(Inputs!$B$3&gt;=38,(10*INDEX(FactorTable!$B$2:$Y$301, MATCH(ROUND(MIN(300,MAX(1,Inputs!$B$3)),0), FactorTable!$A$2:$A$301,0), 23)/1000)/100*(Inputs!$B$8*(1+Inputs!$B$9/100)),0))*(1+Inputs!$B$14/100))*0.01+Inputs!$B$15*0.0025)/100)*(1+Inputs!$B$16/100)*(1+Inputs!$B$17/100)*(5000/(6000+Inputs!$B$43*(1-(Inputs!$B$20+0)/100)))*(1+(Inputs!$B$25+((C1694=TRUE)*(F1694-Calc!F25))+((C1695=TRUE)*(F1695-Calc!F26))+B1704)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1680=TRUE,F1680,0)/100)*(1+(IF(Skills!A7="DARK_IMPALE",Inputs!$B$18+0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gt;=100),MIN(100,((Inputs!$B$10+0+B1698+(ArtifactsInput!$M$24-ArtifactsInput!$M$24)*CHOOSE(ArtifactsInput!$N$24+1,10,12,14,16,18,20)+IF(ArtifactsInput!$M$10,CHOOSE(ArtifactsInput!$N$10+1,15,18,21,24,27,30)*(IF(Inputs!$B$39="pvp",MIN(15,15)/15,IF(AND(Inputs!$B$39&lt;&gt;"pvp",Inputs!$B$44&gt;0),MIN(15,Inputs!$B$44)/(Inputs!$B$44),0))),0)))-100),0))*CHOOSE(ArtifactsInput!$N$42+1,0.6,0.72,0.84,0.96,1.08,1.2))),Inputs!$B$19+((C1692=TRUE)*(F1692-Calc!F23))+(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gt;=100),CHOOSE(ArtifactsInput!$N$42+1,40,48,56,64,72,80),0))))/100)*((1+(((C1682=TRUE)*F1682*IF(AND(Inputs!$B$39&lt;&gt;"pvp",Inputs!$B$44&gt;0),(((R1682-1)*MIN((Skills!T13*(1+Inputs!$B$35/100)),(1/Q1682))+MIN((Skills!T13*(1+Inputs!$B$35/100)),MAX(0,Inputs!$B$44-((R1682-1)*(1/Q1682)))))/Inputs!$B$44),IF(Inputs!$B$39="pvp",MIN((Skills!T13*(1+Inputs!$B$35/100)),15)/15,MIN(1,(Skills!T13*(1+Inputs!$B$35/100))/(1/Q1682)))))+((C1683=TRUE)*F1683*IF(AND(Inputs!$B$39&lt;&gt;"pvp",Inputs!$B$44&gt;0),(((R1683-1)*MIN((Skills!T14*(1+Inputs!$B$35/100)),(1/Q1683))+MIN((Skills!T14*(1+Inputs!$B$35/100)),MAX(0,Inputs!$B$44-((R1683-1)*(1/Q1683)))))/Inputs!$B$44),IF(Inputs!$B$39="pvp",MIN((Skills!T14*(1+Inputs!$B$35/100)),15)/15,MIN(1,(Skills!T14*(1+Inputs!$B$35/100))/(1/Q1683)))))+((C1684=TRUE)*F1684*IF(AND(Inputs!$B$39&lt;&gt;"pvp",Inputs!$B$44&gt;0),(((R1684-1)*MIN((Skills!T15*(1+Inputs!$B$35/100)),(1/Q1684))+MIN((Skills!T15*(1+Inputs!$B$35/100)),MAX(0,Inputs!$B$44-((R1684-1)*(1/Q1684)))))/Inputs!$B$44),IF(Inputs!$B$39="pvp",MIN((Skills!T15*(1+Inputs!$B$35/100)),15)/15,MIN(1,(Skills!T15*(1+Inputs!$B$35/100))/(1/Q1684)))))+((C1685=TRUE)*F1685*IF(AND(Inputs!$B$39&lt;&gt;"pvp",Inputs!$B$44&gt;0),(((R1685-1)*MIN((Skills!T16*(1+Inputs!$B$35/100)),(1/Q1685))+MIN((Skills!T16*(1+Inputs!$B$35/100)),MAX(0,Inputs!$B$44-((R1685-1)*(1/Q1685)))))/Inputs!$B$44),IF(Inputs!$B$39="pvp",MIN((Skills!T16*(1+Inputs!$B$35/100)),15)/15,MIN(1,(Skills!T16*(1+Inputs!$B$35/100))/(1/Q1685)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1676)</f>
        <v/>
      </c>
      <c r="L1676">
        <f>K1676*(MIN(Inputs!$B$23+((C1691=TRUE)*(F1691-Calc!F22)),(Inputs!$B$24+((C1693=TRUE)*(F1693-Calc!F24))+(IF(ArtifactsInput!$M$15,CHOOSE(ArtifactsInput!$N$15+1,25,30,35,40,45,50)/100*(Inputs!$B$12-Inputs!$B$12),0))))/100+(Inputs!$B$24+((C1693=TRUE)*(F1693-Calc!F24))+(IF(ArtifactsInput!$M$15,CHOOSE(ArtifactsInput!$N$15+1,25,30,35,40,45,50)/100*(Inputs!$B$12-Inputs!$B$12),0)))/100)/2</f>
        <v/>
      </c>
      <c r="M1676">
        <f>L1676*(1+(Inputs!$B$11+0+B1703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676">
        <f>L1676*(1-MIN((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1676*(MIN((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76">
        <f>(1-Summary!$B$11)*T1676+Summary!$B$11*V1676</f>
        <v/>
      </c>
      <c r="P1676">
        <f>IF(B1708=0,0,O1676/B1708)</f>
        <v/>
      </c>
      <c r="Q1676">
        <f>IFERROR(1/IF(Inputs!$B$39="pvp",15,MAX(0.1,Skills!D7-IF(TRUE=TRUE,Inputs!$B$33,0))),0)</f>
        <v/>
      </c>
      <c r="R1676">
        <f>IF(AND(Inputs!$B$39&lt;&gt;"pvp",Inputs!$B$44&gt;0),IF(MAX(0,Inputs!$B$44-B1705)&lt;=0,0,(INT(MAX(0,Inputs!$B$44-B1705)/IF(Inputs!$B$39="pvp",15,MAX(0.1,Skills!D7-IF(TRUE=TRUE,Inputs!$B$33,0))))+1)),0)</f>
        <v/>
      </c>
      <c r="S1676">
        <f>IFERROR(O1676/N1676,0)</f>
        <v/>
      </c>
      <c r="T1676">
        <f>IF(C1676,(H1676*N1676*IF(AND(Inputs!$B$39&lt;&gt;"pvp",Inputs!$B$44&gt;0),((Skills!G7*((R1676-1)*IF(Skills!H7&gt;0,INT(Skills!I7/Skills!H7+0.000000001),1)+IF(Skills!H7&gt;0,INT(MIN(Skills!I7,MAX(0,MAX(0,Inputs!$B$44-B1705)-((R1676-1)*IF(Inputs!$B$39="pvp",15,MAX(0.1,Skills!D7-IF(TRUE=TRUE,Inputs!$B$33,0))))))/Skills!H7+0.000000001),1)))/Inputs!$B$44),G1676*Q1676))*IF(Inputs!$B$39="pvp",1,1+(Inputs!$B$21+0+Skills!P7+((C1686=TRUE)*F1686*IF(AND(Inputs!$B$39&lt;&gt;"pvp",Inputs!$B$44&gt;0),(((R1686-1)*MIN((Skills!T17*(1+Inputs!$B$35/100)),(1/Q1686))+MIN((Skills!T17*(1+Inputs!$B$35/100)),MAX(0,Inputs!$B$44-((R1686-1)*(1/Q1686)))))/Inputs!$B$44),IF(Inputs!$B$39="pvp",MIN((Skills!T17*(1+Inputs!$B$35/100)),15)/15,MIN(1,(Skills!T17*(1+Inputs!$B$35/100))/(1/Q1686)))))+((C1674=TRUE)*IF(Inputs!$B$3&gt;=126,10*MIN(1,15*Q1674),0))+((C1683=TRUE)*IF(Inputs!$B$39="pvp",20,(1-Summary!$B$11)*(20)+Summary!$B$11*(0))*IF(AND(Inputs!$B$39&lt;&gt;"pvp",Inputs!$B$44&gt;0),(((R1683-1)*MIN((Skills!T14*(1+Inputs!$B$35/100)),(1/Q1683))+MIN((Skills!T14*(1+Inputs!$B$35/100)),MAX(0,Inputs!$B$44-((R1683-1)*(1/Q1683)))))/Inputs!$B$44),IF(Inputs!$B$39="pvp",MIN((Skills!T14*(1+Inputs!$B$35/100)),15)/15,MIN(1,(Skills!T14*(1+Inputs!$B$35/100))/(1/Q1683)))))+((C1682=TRUE)*IF(Inputs!$B$3&gt;=82,IF(Inputs!$B$39="pvp",20,(1-Summary!$B$11)*(20)+Summary!$B$11*(0)),0)*IF(AND(Inputs!$B$39&lt;&gt;"pvp",Inputs!$B$44&gt;0),(((R1682-1)*MIN((Skills!T13*(1+Inputs!$B$35/100)),(1/Q1682))+MIN((Skills!T13*(1+Inputs!$B$35/100)),MAX(0,Inputs!$B$44-((R1682-1)*(1/Q1682)))))/Inputs!$B$44),IF(Inputs!$B$39="pvp",MIN((Skills!T13*(1+Inputs!$B$35/100)),15)/15,MIN(1,(Skills!T13*(1+Inputs!$B$35/100))/(1/Q1682)))))+(IF(AND(ArtifactsInput!$M$35,Inputs!$B$4&lt;&gt;"Chapter Hunt"),CHOOSE(ArtifactsInput!$N$35+1,15,18,21,24,27,30)*(1-EXP(-(0.2*B1700)*5)),0)+IF(AND(ArtifactsInput!$M$22,Inputs!$B$4&lt;&gt;"Chapter Hunt"),CHOOSE(ArtifactsInput!$N$22+1,10,12,14,16,18,20)*((0*(((0.15*B1700*5))^0/1)+1*(((0.15*B1700*5))^1/1)+2*(((0.15*B1700*5))^2/2)+3*(((0.15*B1700*5))^3/6)+4*(((0.15*B1700*5))^4/24)+5*(((0.15*B1700*5))^5/120))/((((0.15*B1700*5))^0/1)+(((0.15*B1700*5))^1/1)+(((0.15*B1700*5))^2/2)+(((0.15*B1700*5))^3/6)+(((0.15*B1700*5))^4/24)+(((0.15*B1700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1676*(1-MIN(100,(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1676*(MIN(100,(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1676*(1-MIN(100,(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1676*(MIN(100,(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76">
        <f>IF(C1676,(H1676*N1676*IF(AND(Inputs!$B$39&lt;&gt;"pvp",Inputs!$B$44&gt;0),((Skills!G7*((R1676-1)*IF(Skills!H7&gt;0,INT(Skills!I7/Skills!H7+0.000000001),1)+IF(Skills!H7&gt;0,INT(MIN(Skills!I7,MAX(0,MAX(0,Inputs!$B$44-B1705)-((R1676-1)*IF(Inputs!$B$39="pvp",15,MAX(0.1,Skills!D7-IF(TRUE=TRUE,Inputs!$B$33,0))))))/Skills!H7+0.000000001),1)))/Inputs!$B$44),G1676*Q1676))*IF(Inputs!$B$39="pvp",1,(1+(Inputs!$B$22+Skills!Q7+((C1686=TRUE)*F1686*IF(AND(Inputs!$B$39&lt;&gt;"pvp",Inputs!$B$44&gt;0),(((R1686-1)*MIN((Skills!T17*(1+Inputs!$B$35/100)),(1/Q1686))+MIN((Skills!T17*(1+Inputs!$B$35/100)),MAX(0,Inputs!$B$44-((R1686-1)*(1/Q1686)))))/Inputs!$B$44),IF(Inputs!$B$39="pvp",MIN((Skills!T17*(1+Inputs!$B$35/100)),15)/15,MIN(1,(Skills!T17*(1+Inputs!$B$35/100))/(1/Q1686)))))+((C1674=TRUE)*IF(Inputs!$B$3&gt;=126,10*MIN(1,15*Q1674),0))+((C1683=TRUE)*IF(Inputs!$B$39="pvp",20,(1-Summary!$B$11)*(20)+Summary!$B$11*(0))*IF(AND(Inputs!$B$39&lt;&gt;"pvp",Inputs!$B$44&gt;0),(((R1683-1)*MIN((Skills!T14*(1+Inputs!$B$35/100)),(1/Q1683))+MIN((Skills!T14*(1+Inputs!$B$35/100)),MAX(0,Inputs!$B$44-((R1683-1)*(1/Q1683)))))/Inputs!$B$44),IF(Inputs!$B$39="pvp",MIN((Skills!T14*(1+Inputs!$B$35/100)),15)/15,MIN(1,(Skills!T14*(1+Inputs!$B$35/100))/(1/Q1683)))))+((C1682=TRUE)*IF(Inputs!$B$3&gt;=82,IF(Inputs!$B$39="pvp",20,(1-Summary!$B$11)*(20)+Summary!$B$11*(0)),0)*IF(AND(Inputs!$B$39&lt;&gt;"pvp",Inputs!$B$44&gt;0),(((R1682-1)*MIN((Skills!T13*(1+Inputs!$B$35/100)),(1/Q1682))+MIN((Skills!T13*(1+Inputs!$B$35/100)),MAX(0,Inputs!$B$44-((R1682-1)*(1/Q1682)))))/Inputs!$B$44),IF(Inputs!$B$39="pvp",MIN((Skills!T13*(1+Inputs!$B$35/100)),15)/15,MIN(1,(Skills!T13*(1+Inputs!$B$35/100))/(1/Q1682)))))+(IF(AND(ArtifactsInput!$M$35,Inputs!$B$4&lt;&gt;"Chapter Hunt"),CHOOSE(ArtifactsInput!$N$35+1,15,18,21,24,27,30)*(1-EXP(-(0.2*B1700)*5)),0)+IF(AND(ArtifactsInput!$M$22,Inputs!$B$4&lt;&gt;"Chapter Hunt"),CHOOSE(ArtifactsInput!$N$22+1,10,12,14,16,18,20)*((0*(((0.15*B1700*5))^0/1)+1*(((0.15*B1700*5))^1/1)+2*(((0.15*B1700*5))^2/2)+3*(((0.15*B1700*5))^3/6)+4*(((0.15*B1700*5))^4/24)+5*(((0.15*B1700*5))^5/120))/((((0.15*B1700*5))^0/1)+(((0.15*B1700*5))^1/1)+(((0.15*B1700*5))^2/2)+(((0.15*B1700*5))^3/6)+(((0.15*B1700*5))^4/24)+(((0.15*B1700*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77">
      <c r="A1677">
        <f>Skills!A8</f>
        <v/>
      </c>
      <c r="B1677">
        <f>Skills!B8</f>
        <v/>
      </c>
      <c r="C1677">
        <f>Inputs!$B$3&gt;=75</f>
        <v/>
      </c>
      <c r="D1677">
        <f>IF(Skills!C8=1,60+Inputs!$B$26+Inputs!$B$30,IF(Skills!C8=2,90+Inputs!$B$27+Inputs!$B$30,IF(Skills!C8=3,120+Inputs!$B$28+Inputs!$B$30,MAX(0,(Inputs!$B$3-100)*3)+Inputs!$B$29+Inputs!$B$30)))</f>
        <v/>
      </c>
      <c r="E1677">
        <f>INDEX(FactorTable!$B$2:$Y$301, MATCH(ROUND(MIN(300,MAX(1,D1677)),0), FactorTable!$A$2:$A$301,0), Skills!M8+1)</f>
        <v/>
      </c>
      <c r="F1677">
        <f>IF(Skills!N8=TRUE,(Skills!L8/10)*(E1677/1000),Skills!L8/10)+Skills!O8</f>
        <v/>
      </c>
      <c r="G1677" t="inlineStr"/>
      <c r="H1677" t="inlineStr"/>
      <c r="I1677" t="inlineStr">
        <is>
          <t>1</t>
        </is>
      </c>
      <c r="J1677" t="inlineStr"/>
      <c r="K1677" t="inlineStr"/>
      <c r="L1677" t="inlineStr"/>
      <c r="M1677" t="inlineStr"/>
      <c r="N1677" t="inlineStr"/>
      <c r="O1677" t="inlineStr"/>
      <c r="P1677" t="inlineStr"/>
      <c r="Q1677" t="inlineStr"/>
      <c r="R1677" t="inlineStr"/>
      <c r="S1677" t="inlineStr"/>
    </row>
    <row r="1678">
      <c r="A1678">
        <f>Skills!A9</f>
        <v/>
      </c>
      <c r="B1678">
        <f>Skills!B9</f>
        <v/>
      </c>
      <c r="C1678">
        <f>Inputs!$B$3&gt;=60</f>
        <v/>
      </c>
      <c r="D1678">
        <f>IF(Skills!C9=1,60+Inputs!$B$26+Inputs!$B$30,IF(Skills!C9=2,90+Inputs!$B$27+Inputs!$B$30,IF(Skills!C9=3,120+Inputs!$B$28+Inputs!$B$30,MAX(0,(Inputs!$B$3-100)*3)+Inputs!$B$29+Inputs!$B$30)))</f>
        <v/>
      </c>
      <c r="E1678">
        <f>INDEX(FactorTable!$B$2:$Y$301, MATCH(ROUND(MIN(300,MAX(1,D1678)),0), FactorTable!$A$2:$A$301,0), Skills!M9+1)</f>
        <v/>
      </c>
      <c r="F1678">
        <f>IF(Skills!N9=TRUE,(Skills!L9/10)*(E1678/1000),Skills!L9/10)+Skills!O9</f>
        <v/>
      </c>
      <c r="G1678">
        <f>Skills!G9*IF(Skills!H9&gt;0,INT(IF(Inputs!$B$39="pvp",MIN(Skills!I9,15),Skills!I9)/Skills!H9+0.000000001),1)</f>
        <v/>
      </c>
      <c r="H1678">
        <f>1-(1-Skills!J9/100)^Skills!K9</f>
        <v/>
      </c>
      <c r="I1678" t="inlineStr">
        <is>
          <t>1</t>
        </is>
      </c>
      <c r="J1678">
        <f>((Inputs!$B$6*(1+Inputs!$B$7/100))+(((Inputs!$B$13*(1+Inputs!$B$14/100))-(Inputs!$B$13*(1+Inputs!$B$14/100)))+0.25*(Inputs!$B$15-Inputs!$B$15))*(1+Inputs!$B$7/100))*(F1678/100)</f>
        <v/>
      </c>
      <c r="K1678">
        <f>J1678*(1+(((Inputs!$B$13+IF(Inputs!$B$3&gt;=38,(10*INDEX(FactorTable!$B$2:$Y$301, MATCH(ROUND(MIN(300,MAX(1,Inputs!$B$3)),0), FactorTable!$A$2:$A$301,0), 23)/1000)/100*(Inputs!$B$8*(1+Inputs!$B$9/100)),0))*(1+Inputs!$B$14/100))*0.01+Inputs!$B$15*0.0025)/100)*(1+Inputs!$B$16/100)*(1+Inputs!$B$17/100)*(5000/(6000+Inputs!$B$43*(1-(Inputs!$B$20+0)/100)))*(1+(Inputs!$B$25+((C1694=TRUE)*(F1694-Calc!F25))+((C1695=TRUE)*(F1695-Calc!F26))+B1704)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1680=TRUE,F1680,0)/100)*(1+(IF(Skills!A9="DARK_IMPALE",Inputs!$B$18+0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gt;=100),MIN(100,((Inputs!$B$10+0+B1698+(ArtifactsInput!$M$24-ArtifactsInput!$M$24)*CHOOSE(ArtifactsInput!$N$24+1,10,12,14,16,18,20)+IF(ArtifactsInput!$M$10,CHOOSE(ArtifactsInput!$N$10+1,15,18,21,24,27,30)*(IF(Inputs!$B$39="pvp",MIN(15,15)/15,IF(AND(Inputs!$B$39&lt;&gt;"pvp",Inputs!$B$44&gt;0),MIN(15,Inputs!$B$44)/(Inputs!$B$44),0))),0)))-100),0))*CHOOSE(ArtifactsInput!$N$42+1,0.6,0.72,0.84,0.96,1.08,1.2))),Inputs!$B$19+((C1692=TRUE)*(F1692-Calc!F23))+(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gt;=100),CHOOSE(ArtifactsInput!$N$42+1,40,48,56,64,72,80),0))))/100)*((1+(((C1682=TRUE)*F1682*IF(AND(Inputs!$B$39&lt;&gt;"pvp",Inputs!$B$44&gt;0),(((R1682-1)*MIN((Skills!T13*(1+Inputs!$B$35/100)),(1/Q1682))+MIN((Skills!T13*(1+Inputs!$B$35/100)),MAX(0,Inputs!$B$44-((R1682-1)*(1/Q1682)))))/Inputs!$B$44),IF(Inputs!$B$39="pvp",MIN((Skills!T13*(1+Inputs!$B$35/100)),15)/15,MIN(1,(Skills!T13*(1+Inputs!$B$35/100))/(1/Q1682)))))+((C1683=TRUE)*F1683*IF(AND(Inputs!$B$39&lt;&gt;"pvp",Inputs!$B$44&gt;0),(((R1683-1)*MIN((Skills!T14*(1+Inputs!$B$35/100)),(1/Q1683))+MIN((Skills!T14*(1+Inputs!$B$35/100)),MAX(0,Inputs!$B$44-((R1683-1)*(1/Q1683)))))/Inputs!$B$44),IF(Inputs!$B$39="pvp",MIN((Skills!T14*(1+Inputs!$B$35/100)),15)/15,MIN(1,(Skills!T14*(1+Inputs!$B$35/100))/(1/Q1683)))))+((C1684=TRUE)*F1684*IF(AND(Inputs!$B$39&lt;&gt;"pvp",Inputs!$B$44&gt;0),(((R1684-1)*MIN((Skills!T15*(1+Inputs!$B$35/100)),(1/Q1684))+MIN((Skills!T15*(1+Inputs!$B$35/100)),MAX(0,Inputs!$B$44-((R1684-1)*(1/Q1684)))))/Inputs!$B$44),IF(Inputs!$B$39="pvp",MIN((Skills!T15*(1+Inputs!$B$35/100)),15)/15,MIN(1,(Skills!T15*(1+Inputs!$B$35/100))/(1/Q1684)))))+((C1685=TRUE)*F1685*IF(AND(Inputs!$B$39&lt;&gt;"pvp",Inputs!$B$44&gt;0),(((R1685-1)*MIN((Skills!T16*(1+Inputs!$B$35/100)),(1/Q1685))+MIN((Skills!T16*(1+Inputs!$B$35/100)),MAX(0,Inputs!$B$44-((R1685-1)*(1/Q1685)))))/Inputs!$B$44),IF(Inputs!$B$39="pvp",MIN((Skills!T16*(1+Inputs!$B$35/100)),15)/15,MIN(1,(Skills!T16*(1+Inputs!$B$35/100))/(1/Q1685)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1678)</f>
        <v/>
      </c>
      <c r="L1678">
        <f>K1678*(MIN(Inputs!$B$23+((C1691=TRUE)*(F1691-Calc!F22)),(Inputs!$B$24+((C1693=TRUE)*(F1693-Calc!F24))+(IF(ArtifactsInput!$M$15,CHOOSE(ArtifactsInput!$N$15+1,25,30,35,40,45,50)/100*(Inputs!$B$12-Inputs!$B$12),0))))/100+(Inputs!$B$24+((C1693=TRUE)*(F1693-Calc!F24))+(IF(ArtifactsInput!$M$15,CHOOSE(ArtifactsInput!$N$15+1,25,30,35,40,45,50)/100*(Inputs!$B$12-Inputs!$B$12),0)))/100)/2</f>
        <v/>
      </c>
      <c r="M1678">
        <f>L1678*(1+(Inputs!$B$11+0+B1703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678">
        <f>L1678*(1-MIN((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1678*(MIN((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78">
        <f>(1-Summary!$B$11)*T1678+Summary!$B$11*V1678</f>
        <v/>
      </c>
      <c r="P1678">
        <f>IF(B1708=0,0,O1678/B1708)</f>
        <v/>
      </c>
      <c r="Q1678">
        <f>IFERROR(1/IF(Inputs!$B$39="pvp",15,MAX(0.1,Skills!D9-IF(TRUE=TRUE,Inputs!$B$33,0))),0)</f>
        <v/>
      </c>
      <c r="R1678">
        <f>IF(AND(Inputs!$B$39&lt;&gt;"pvp",Inputs!$B$44&gt;0),IF(MAX(0,Inputs!$B$44-B1705)&lt;=0,0,(INT(MAX(0,Inputs!$B$44-B1705)/IF(Inputs!$B$39="pvp",15,MAX(0.1,Skills!D9-IF(TRUE=TRUE,Inputs!$B$33,0))))+1)),0)</f>
        <v/>
      </c>
      <c r="S1678">
        <f>IFERROR(O1678/N1678,0)</f>
        <v/>
      </c>
      <c r="T1678">
        <f>IF(C1678,(H1678*N1678*IF(AND(Inputs!$B$39&lt;&gt;"pvp",Inputs!$B$44&gt;0),((Skills!G9*((R1678-1)*IF(Skills!H9&gt;0,INT(Skills!I9/Skills!H9+0.000000001),1)+IF(Skills!H9&gt;0,INT(MIN(Skills!I9,MAX(0,MAX(0,Inputs!$B$44-B1705)-((R1678-1)*IF(Inputs!$B$39="pvp",15,MAX(0.1,Skills!D9-IF(TRUE=TRUE,Inputs!$B$33,0))))))/Skills!H9+0.000000001),1)))/Inputs!$B$44),G1678*Q1678))*IF(Inputs!$B$39="pvp",1,1+(Inputs!$B$21+0+Skills!P9+((C1686=TRUE)*F1686*IF(AND(Inputs!$B$39&lt;&gt;"pvp",Inputs!$B$44&gt;0),(((R1686-1)*MIN((Skills!T17*(1+Inputs!$B$35/100)),(1/Q1686))+MIN((Skills!T17*(1+Inputs!$B$35/100)),MAX(0,Inputs!$B$44-((R1686-1)*(1/Q1686)))))/Inputs!$B$44),IF(Inputs!$B$39="pvp",MIN((Skills!T17*(1+Inputs!$B$35/100)),15)/15,MIN(1,(Skills!T17*(1+Inputs!$B$35/100))/(1/Q1686)))))+((C1674=TRUE)*IF(Inputs!$B$3&gt;=126,10*MIN(1,15*Q1674),0))+((C1683=TRUE)*IF(Inputs!$B$39="pvp",20,(1-Summary!$B$11)*(20)+Summary!$B$11*(0))*IF(AND(Inputs!$B$39&lt;&gt;"pvp",Inputs!$B$44&gt;0),(((R1683-1)*MIN((Skills!T14*(1+Inputs!$B$35/100)),(1/Q1683))+MIN((Skills!T14*(1+Inputs!$B$35/100)),MAX(0,Inputs!$B$44-((R1683-1)*(1/Q1683)))))/Inputs!$B$44),IF(Inputs!$B$39="pvp",MIN((Skills!T14*(1+Inputs!$B$35/100)),15)/15,MIN(1,(Skills!T14*(1+Inputs!$B$35/100))/(1/Q1683)))))+((C1682=TRUE)*IF(Inputs!$B$3&gt;=82,IF(Inputs!$B$39="pvp",20,(1-Summary!$B$11)*(20)+Summary!$B$11*(0)),0)*IF(AND(Inputs!$B$39&lt;&gt;"pvp",Inputs!$B$44&gt;0),(((R1682-1)*MIN((Skills!T13*(1+Inputs!$B$35/100)),(1/Q1682))+MIN((Skills!T13*(1+Inputs!$B$35/100)),MAX(0,Inputs!$B$44-((R1682-1)*(1/Q1682)))))/Inputs!$B$44),IF(Inputs!$B$39="pvp",MIN((Skills!T13*(1+Inputs!$B$35/100)),15)/15,MIN(1,(Skills!T13*(1+Inputs!$B$35/100))/(1/Q1682)))))+(IF(AND(ArtifactsInput!$M$35,Inputs!$B$4&lt;&gt;"Chapter Hunt"),CHOOSE(ArtifactsInput!$N$35+1,15,18,21,24,27,30)*(1-EXP(-(0.2*B1700)*5)),0)+IF(AND(ArtifactsInput!$M$22,Inputs!$B$4&lt;&gt;"Chapter Hunt"),CHOOSE(ArtifactsInput!$N$22+1,10,12,14,16,18,20)*((0*(((0.15*B1700*5))^0/1)+1*(((0.15*B1700*5))^1/1)+2*(((0.15*B1700*5))^2/2)+3*(((0.15*B1700*5))^3/6)+4*(((0.15*B1700*5))^4/24)+5*(((0.15*B1700*5))^5/120))/((((0.15*B1700*5))^0/1)+(((0.15*B1700*5))^1/1)+(((0.15*B1700*5))^2/2)+(((0.15*B1700*5))^3/6)+(((0.15*B1700*5))^4/24)+(((0.15*B1700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1678*(1-MIN(100,(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1678*(MIN(100,(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1678*(1-MIN(100,(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1678*(MIN(100,(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78">
        <f>IF(C1678,(H1678*N1678*IF(AND(Inputs!$B$39&lt;&gt;"pvp",Inputs!$B$44&gt;0),((Skills!G9*((R1678-1)*IF(Skills!H9&gt;0,INT(Skills!I9/Skills!H9+0.000000001),1)+IF(Skills!H9&gt;0,INT(MIN(Skills!I9,MAX(0,MAX(0,Inputs!$B$44-B1705)-((R1678-1)*IF(Inputs!$B$39="pvp",15,MAX(0.1,Skills!D9-IF(TRUE=TRUE,Inputs!$B$33,0))))))/Skills!H9+0.000000001),1)))/Inputs!$B$44),G1678*Q1678))*IF(Inputs!$B$39="pvp",1,(1+(Inputs!$B$22+Skills!Q9+((C1686=TRUE)*F1686*IF(AND(Inputs!$B$39&lt;&gt;"pvp",Inputs!$B$44&gt;0),(((R1686-1)*MIN((Skills!T17*(1+Inputs!$B$35/100)),(1/Q1686))+MIN((Skills!T17*(1+Inputs!$B$35/100)),MAX(0,Inputs!$B$44-((R1686-1)*(1/Q1686)))))/Inputs!$B$44),IF(Inputs!$B$39="pvp",MIN((Skills!T17*(1+Inputs!$B$35/100)),15)/15,MIN(1,(Skills!T17*(1+Inputs!$B$35/100))/(1/Q1686)))))+((C1674=TRUE)*IF(Inputs!$B$3&gt;=126,10*MIN(1,15*Q1674),0))+((C1683=TRUE)*IF(Inputs!$B$39="pvp",20,(1-Summary!$B$11)*(20)+Summary!$B$11*(0))*IF(AND(Inputs!$B$39&lt;&gt;"pvp",Inputs!$B$44&gt;0),(((R1683-1)*MIN((Skills!T14*(1+Inputs!$B$35/100)),(1/Q1683))+MIN((Skills!T14*(1+Inputs!$B$35/100)),MAX(0,Inputs!$B$44-((R1683-1)*(1/Q1683)))))/Inputs!$B$44),IF(Inputs!$B$39="pvp",MIN((Skills!T14*(1+Inputs!$B$35/100)),15)/15,MIN(1,(Skills!T14*(1+Inputs!$B$35/100))/(1/Q1683)))))+((C1682=TRUE)*IF(Inputs!$B$3&gt;=82,IF(Inputs!$B$39="pvp",20,(1-Summary!$B$11)*(20)+Summary!$B$11*(0)),0)*IF(AND(Inputs!$B$39&lt;&gt;"pvp",Inputs!$B$44&gt;0),(((R1682-1)*MIN((Skills!T13*(1+Inputs!$B$35/100)),(1/Q1682))+MIN((Skills!T13*(1+Inputs!$B$35/100)),MAX(0,Inputs!$B$44-((R1682-1)*(1/Q1682)))))/Inputs!$B$44),IF(Inputs!$B$39="pvp",MIN((Skills!T13*(1+Inputs!$B$35/100)),15)/15,MIN(1,(Skills!T13*(1+Inputs!$B$35/100))/(1/Q1682)))))+(IF(AND(ArtifactsInput!$M$35,Inputs!$B$4&lt;&gt;"Chapter Hunt"),CHOOSE(ArtifactsInput!$N$35+1,15,18,21,24,27,30)*(1-EXP(-(0.2*B1700)*5)),0)+IF(AND(ArtifactsInput!$M$22,Inputs!$B$4&lt;&gt;"Chapter Hunt"),CHOOSE(ArtifactsInput!$N$22+1,10,12,14,16,18,20)*((0*(((0.15*B1700*5))^0/1)+1*(((0.15*B1700*5))^1/1)+2*(((0.15*B1700*5))^2/2)+3*(((0.15*B1700*5))^3/6)+4*(((0.15*B1700*5))^4/24)+5*(((0.15*B1700*5))^5/120))/((((0.15*B1700*5))^0/1)+(((0.15*B1700*5))^1/1)+(((0.15*B1700*5))^2/2)+(((0.15*B1700*5))^3/6)+(((0.15*B1700*5))^4/24)+(((0.15*B1700*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79">
      <c r="A1679">
        <f>Skills!A10</f>
        <v/>
      </c>
      <c r="B1679">
        <f>Skills!B10</f>
        <v/>
      </c>
      <c r="C1679">
        <f>Inputs!$B$3&gt;=110</f>
        <v/>
      </c>
      <c r="D1679">
        <f>IF(Skills!C10=1,60+Inputs!$B$26+Inputs!$B$30,IF(Skills!C10=2,90+Inputs!$B$27+Inputs!$B$30,IF(Skills!C10=3,120+Inputs!$B$28+Inputs!$B$30,MAX(0,(Inputs!$B$3-100)*3)+Inputs!$B$29+Inputs!$B$30)))</f>
        <v/>
      </c>
      <c r="E1679">
        <f>INDEX(FactorTable!$B$2:$Y$301, MATCH(ROUND(MIN(300,MAX(1,D1679)),0), FactorTable!$A$2:$A$301,0), Skills!M10+1)</f>
        <v/>
      </c>
      <c r="F1679">
        <f>IF(Skills!N10=TRUE,(Skills!L10/10)*(E1679/1000),Skills!L10/10)+Skills!O10</f>
        <v/>
      </c>
      <c r="G1679">
        <f>Skills!G10*IF(Skills!H10&gt;0,INT(IF(Inputs!$B$39="pvp",MIN(Skills!I10,15),Skills!I10)/Skills!H10+0.000000001),1)</f>
        <v/>
      </c>
      <c r="H1679">
        <f>1-(1-Skills!J10/100)^Skills!K10</f>
        <v/>
      </c>
      <c r="I1679" t="inlineStr">
        <is>
          <t>1</t>
        </is>
      </c>
      <c r="J1679">
        <f>((Inputs!$B$6*(1+Inputs!$B$7/100))+(((Inputs!$B$13*(1+Inputs!$B$14/100))-(Inputs!$B$13*(1+Inputs!$B$14/100)))+0.25*(Inputs!$B$15-Inputs!$B$15))*(1+Inputs!$B$7/100))*(F1679/100)</f>
        <v/>
      </c>
      <c r="K1679">
        <f>J1679*(1+(((Inputs!$B$13+IF(Inputs!$B$3&gt;=38,(10*INDEX(FactorTable!$B$2:$Y$301, MATCH(ROUND(MIN(300,MAX(1,Inputs!$B$3)),0), FactorTable!$A$2:$A$301,0), 23)/1000)/100*(Inputs!$B$8*(1+Inputs!$B$9/100)),0))*(1+Inputs!$B$14/100))*0.01+Inputs!$B$15*0.0025)/100)*(1+Inputs!$B$16/100)*(1+Inputs!$B$17/100)*(5000/(6000+Inputs!$B$43*(1-(Inputs!$B$20+0)/100)))*(1+(Inputs!$B$25+((C1694=TRUE)*(F1694-Calc!F25))+((C1695=TRUE)*(F1695-Calc!F26))+B1704)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gt;=100),MIN(100,((Inputs!$B$10+0+B1698+(ArtifactsInput!$M$24-ArtifactsInput!$M$24)*CHOOSE(ArtifactsInput!$N$24+1,10,12,14,16,18,20)+IF(ArtifactsInput!$M$10,CHOOSE(ArtifactsInput!$N$10+1,15,18,21,24,27,30)*(IF(Inputs!$B$39="pvp",MIN(15,15)/15,IF(AND(Inputs!$B$39&lt;&gt;"pvp",Inputs!$B$44&gt;0),MIN(15,Inputs!$B$44)/(Inputs!$B$44),0))),0)))-100),0))*CHOOSE(ArtifactsInput!$N$42+1,0.6,0.72,0.84,0.96,1.08,1.2))),Inputs!$B$19+((C1692=TRUE)*(F1692-Calc!F23))+(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gt;=100),CHOOSE(ArtifactsInput!$N$42+1,40,48,56,64,72,80),0))))/100)*((1+(((C1682=TRUE)*F1682*IF(AND(Inputs!$B$39&lt;&gt;"pvp",Inputs!$B$44&gt;0),(((R1682-1)*MIN((Skills!T13*(1+Inputs!$B$35/100)),(1/Q1682))+MIN((Skills!T13*(1+Inputs!$B$35/100)),MAX(0,Inputs!$B$44-((R1682-1)*(1/Q1682)))))/Inputs!$B$44),IF(Inputs!$B$39="pvp",MIN((Skills!T13*(1+Inputs!$B$35/100)),15)/15,MIN(1,(Skills!T13*(1+Inputs!$B$35/100))/(1/Q1682)))))+((C1683=TRUE)*F1683*IF(AND(Inputs!$B$39&lt;&gt;"pvp",Inputs!$B$44&gt;0),(((R1683-1)*MIN((Skills!T14*(1+Inputs!$B$35/100)),(1/Q1683))+MIN((Skills!T14*(1+Inputs!$B$35/100)),MAX(0,Inputs!$B$44-((R1683-1)*(1/Q1683)))))/Inputs!$B$44),IF(Inputs!$B$39="pvp",MIN((Skills!T14*(1+Inputs!$B$35/100)),15)/15,MIN(1,(Skills!T14*(1+Inputs!$B$35/100))/(1/Q1683)))))+((C1684=TRUE)*F1684*IF(AND(Inputs!$B$39&lt;&gt;"pvp",Inputs!$B$44&gt;0),(((R1684-1)*MIN((Skills!T15*(1+Inputs!$B$35/100)),(1/Q1684))+MIN((Skills!T15*(1+Inputs!$B$35/100)),MAX(0,Inputs!$B$44-((R1684-1)*(1/Q1684)))))/Inputs!$B$44),IF(Inputs!$B$39="pvp",MIN((Skills!T15*(1+Inputs!$B$35/100)),15)/15,MIN(1,(Skills!T15*(1+Inputs!$B$35/100))/(1/Q1684)))))+((C1685=TRUE)*F1685*IF(AND(Inputs!$B$39&lt;&gt;"pvp",Inputs!$B$44&gt;0),(((R1685-1)*MIN((Skills!T16*(1+Inputs!$B$35/100)),(1/Q1685))+MIN((Skills!T16*(1+Inputs!$B$35/100)),MAX(0,Inputs!$B$44-((R1685-1)*(1/Q1685)))))/Inputs!$B$44),IF(Inputs!$B$39="pvp",MIN((Skills!T16*(1+Inputs!$B$35/100)),15)/15,MIN(1,(Skills!T16*(1+Inputs!$B$35/100))/(1/Q1685)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1679)</f>
        <v/>
      </c>
      <c r="L1679">
        <f>K1679*(MIN(Inputs!$B$23+((C1691=TRUE)*(F1691-Calc!F22)),(Inputs!$B$24+((C1693=TRUE)*(F1693-Calc!F24))+(IF(ArtifactsInput!$M$15,CHOOSE(ArtifactsInput!$N$15+1,25,30,35,40,45,50)/100*(Inputs!$B$12-Inputs!$B$12),0))))/100+(Inputs!$B$24+((C1693=TRUE)*(F1693-Calc!F24))+(IF(ArtifactsInput!$M$15,CHOOSE(ArtifactsInput!$N$15+1,25,30,35,40,45,50)/100*(Inputs!$B$12-Inputs!$B$12),0)))/100)/2</f>
        <v/>
      </c>
      <c r="M1679">
        <f>L1679*(1+(Inputs!$B$11+0+B1703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679">
        <f>L1679*(1-MIN((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1679*(MIN((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79">
        <f>(1-Summary!$B$11)*T1679+Summary!$B$11*V1679</f>
        <v/>
      </c>
      <c r="P1679">
        <f>IF(B1708=0,0,O1679/B1708)</f>
        <v/>
      </c>
      <c r="Q1679">
        <f>IFERROR(1/IF(Inputs!$B$39="pvp",15,MAX(0.1,Skills!D10-IF(TRUE=TRUE,Inputs!$B$33,0))),0)</f>
        <v/>
      </c>
      <c r="R1679">
        <f>IF(AND(Inputs!$B$39&lt;&gt;"pvp",Inputs!$B$44&gt;0),IF(MAX(0,Inputs!$B$44-B1705)&lt;=0,0,(INT(MAX(0,Inputs!$B$44-B1705)/IF(Inputs!$B$39="pvp",15,MAX(0.1,Skills!D10-IF(TRUE=TRUE,Inputs!$B$33,0))))+1)),0)</f>
        <v/>
      </c>
      <c r="S1679">
        <f>IFERROR(O1679/N1679,0)</f>
        <v/>
      </c>
      <c r="T1679">
        <f>IF(C1679,(H1679*N1679*IF(AND(Inputs!$B$39&lt;&gt;"pvp",Inputs!$B$44&gt;0),((Skills!G10*((R1679-1)*IF(Skills!H10&gt;0,INT(Skills!I10/Skills!H10+0.000000001),1)+IF(Skills!H10&gt;0,INT(MIN(Skills!I10,MAX(0,MAX(0,Inputs!$B$44-B1705)-((R1679-1)*IF(Inputs!$B$39="pvp",15,MAX(0.1,Skills!D10-IF(TRUE=TRUE,Inputs!$B$33,0))))))/Skills!H10+0.000000001),1)))/Inputs!$B$44),G1679*Q1679))*IF(Inputs!$B$39="pvp",1,1+(Inputs!$B$21+0+Skills!P10+((C1686=TRUE)*F1686*IF(AND(Inputs!$B$39&lt;&gt;"pvp",Inputs!$B$44&gt;0),(((R1686-1)*MIN((Skills!T17*(1+Inputs!$B$35/100)),(1/Q1686))+MIN((Skills!T17*(1+Inputs!$B$35/100)),MAX(0,Inputs!$B$44-((R1686-1)*(1/Q1686)))))/Inputs!$B$44),IF(Inputs!$B$39="pvp",MIN((Skills!T17*(1+Inputs!$B$35/100)),15)/15,MIN(1,(Skills!T17*(1+Inputs!$B$35/100))/(1/Q1686)))))+((C1674=TRUE)*IF(Inputs!$B$3&gt;=126,10*MIN(1,15*Q1674),0))+((C1683=TRUE)*IF(Inputs!$B$39="pvp",20,(1-Summary!$B$11)*(20)+Summary!$B$11*(0))*IF(AND(Inputs!$B$39&lt;&gt;"pvp",Inputs!$B$44&gt;0),(((R1683-1)*MIN((Skills!T14*(1+Inputs!$B$35/100)),(1/Q1683))+MIN((Skills!T14*(1+Inputs!$B$35/100)),MAX(0,Inputs!$B$44-((R1683-1)*(1/Q1683)))))/Inputs!$B$44),IF(Inputs!$B$39="pvp",MIN((Skills!T14*(1+Inputs!$B$35/100)),15)/15,MIN(1,(Skills!T14*(1+Inputs!$B$35/100))/(1/Q1683)))))+((C1682=TRUE)*IF(Inputs!$B$3&gt;=82,IF(Inputs!$B$39="pvp",20,(1-Summary!$B$11)*(20)+Summary!$B$11*(0)),0)*IF(AND(Inputs!$B$39&lt;&gt;"pvp",Inputs!$B$44&gt;0),(((R1682-1)*MIN((Skills!T13*(1+Inputs!$B$35/100)),(1/Q1682))+MIN((Skills!T13*(1+Inputs!$B$35/100)),MAX(0,Inputs!$B$44-((R1682-1)*(1/Q1682)))))/Inputs!$B$44),IF(Inputs!$B$39="pvp",MIN((Skills!T13*(1+Inputs!$B$35/100)),15)/15,MIN(1,(Skills!T13*(1+Inputs!$B$35/100))/(1/Q1682)))))+(IF(AND(ArtifactsInput!$M$35,Inputs!$B$4&lt;&gt;"Chapter Hunt"),CHOOSE(ArtifactsInput!$N$35+1,15,18,21,24,27,30)*(1-EXP(-(0.2*B1700)*5)),0)+IF(AND(ArtifactsInput!$M$22,Inputs!$B$4&lt;&gt;"Chapter Hunt"),CHOOSE(ArtifactsInput!$N$22+1,10,12,14,16,18,20)*((0*(((0.15*B1700*5))^0/1)+1*(((0.15*B1700*5))^1/1)+2*(((0.15*B1700*5))^2/2)+3*(((0.15*B1700*5))^3/6)+4*(((0.15*B1700*5))^4/24)+5*(((0.15*B1700*5))^5/120))/((((0.15*B1700*5))^0/1)+(((0.15*B1700*5))^1/1)+(((0.15*B1700*5))^2/2)+(((0.15*B1700*5))^3/6)+(((0.15*B1700*5))^4/24)+(((0.15*B1700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1679*(1-MIN(100,(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1679*(MIN(100,(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1679*(1-MIN(100,(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1679*(MIN(100,(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79">
        <f>IF(C1679,(H1679*N1679*IF(AND(Inputs!$B$39&lt;&gt;"pvp",Inputs!$B$44&gt;0),((Skills!G10*((R1679-1)*IF(Skills!H10&gt;0,INT(Skills!I10/Skills!H10+0.000000001),1)+IF(Skills!H10&gt;0,INT(MIN(Skills!I10,MAX(0,MAX(0,Inputs!$B$44-B1705)-((R1679-1)*IF(Inputs!$B$39="pvp",15,MAX(0.1,Skills!D10-IF(TRUE=TRUE,Inputs!$B$33,0))))))/Skills!H10+0.000000001),1)))/Inputs!$B$44),G1679*Q1679))*IF(Inputs!$B$39="pvp",1,(1+(Inputs!$B$22+Skills!Q10+((C1686=TRUE)*F1686*IF(AND(Inputs!$B$39&lt;&gt;"pvp",Inputs!$B$44&gt;0),(((R1686-1)*MIN((Skills!T17*(1+Inputs!$B$35/100)),(1/Q1686))+MIN((Skills!T17*(1+Inputs!$B$35/100)),MAX(0,Inputs!$B$44-((R1686-1)*(1/Q1686)))))/Inputs!$B$44),IF(Inputs!$B$39="pvp",MIN((Skills!T17*(1+Inputs!$B$35/100)),15)/15,MIN(1,(Skills!T17*(1+Inputs!$B$35/100))/(1/Q1686)))))+((C1674=TRUE)*IF(Inputs!$B$3&gt;=126,10*MIN(1,15*Q1674),0))+((C1683=TRUE)*IF(Inputs!$B$39="pvp",20,(1-Summary!$B$11)*(20)+Summary!$B$11*(0))*IF(AND(Inputs!$B$39&lt;&gt;"pvp",Inputs!$B$44&gt;0),(((R1683-1)*MIN((Skills!T14*(1+Inputs!$B$35/100)),(1/Q1683))+MIN((Skills!T14*(1+Inputs!$B$35/100)),MAX(0,Inputs!$B$44-((R1683-1)*(1/Q1683)))))/Inputs!$B$44),IF(Inputs!$B$39="pvp",MIN((Skills!T14*(1+Inputs!$B$35/100)),15)/15,MIN(1,(Skills!T14*(1+Inputs!$B$35/100))/(1/Q1683)))))+((C1682=TRUE)*IF(Inputs!$B$3&gt;=82,IF(Inputs!$B$39="pvp",20,(1-Summary!$B$11)*(20)+Summary!$B$11*(0)),0)*IF(AND(Inputs!$B$39&lt;&gt;"pvp",Inputs!$B$44&gt;0),(((R1682-1)*MIN((Skills!T13*(1+Inputs!$B$35/100)),(1/Q1682))+MIN((Skills!T13*(1+Inputs!$B$35/100)),MAX(0,Inputs!$B$44-((R1682-1)*(1/Q1682)))))/Inputs!$B$44),IF(Inputs!$B$39="pvp",MIN((Skills!T13*(1+Inputs!$B$35/100)),15)/15,MIN(1,(Skills!T13*(1+Inputs!$B$35/100))/(1/Q1682)))))+(IF(AND(ArtifactsInput!$M$35,Inputs!$B$4&lt;&gt;"Chapter Hunt"),CHOOSE(ArtifactsInput!$N$35+1,15,18,21,24,27,30)*(1-EXP(-(0.2*B1700)*5)),0)+IF(AND(ArtifactsInput!$M$22,Inputs!$B$4&lt;&gt;"Chapter Hunt"),CHOOSE(ArtifactsInput!$N$22+1,10,12,14,16,18,20)*((0*(((0.15*B1700*5))^0/1)+1*(((0.15*B1700*5))^1/1)+2*(((0.15*B1700*5))^2/2)+3*(((0.15*B1700*5))^3/6)+4*(((0.15*B1700*5))^4/24)+5*(((0.15*B1700*5))^5/120))/((((0.15*B1700*5))^0/1)+(((0.15*B1700*5))^1/1)+(((0.15*B1700*5))^2/2)+(((0.15*B1700*5))^3/6)+(((0.15*B1700*5))^4/24)+(((0.15*B1700*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80">
      <c r="A1680">
        <f>Skills!A11</f>
        <v/>
      </c>
      <c r="B1680">
        <f>Skills!B11</f>
        <v/>
      </c>
      <c r="C1680">
        <f>Inputs!$B$3&gt;=100</f>
        <v/>
      </c>
      <c r="D1680">
        <f>IF(Skills!C11=1,60+Inputs!$B$26+Inputs!$B$30,IF(Skills!C11=2,90+Inputs!$B$27+Inputs!$B$30,IF(Skills!C11=3,120+Inputs!$B$28+Inputs!$B$30,MAX(0,(Inputs!$B$3-100)*3)+Inputs!$B$29+Inputs!$B$30)))</f>
        <v/>
      </c>
      <c r="E1680">
        <f>INDEX(FactorTable!$B$2:$Y$301, MATCH(ROUND(MIN(300,MAX(1,D1680)),0), FactorTable!$A$2:$A$301,0), Skills!M11+1)</f>
        <v/>
      </c>
      <c r="F1680">
        <f>IF(Skills!N11=TRUE,(Skills!L11/10)*(E1680/1000),Skills!L11/10)+Skills!O11</f>
        <v/>
      </c>
      <c r="G1680" t="inlineStr"/>
      <c r="H1680" t="inlineStr"/>
      <c r="I1680" t="inlineStr">
        <is>
          <t>1</t>
        </is>
      </c>
      <c r="J1680" t="inlineStr"/>
      <c r="K1680" t="inlineStr"/>
      <c r="L1680" t="inlineStr"/>
      <c r="M1680" t="inlineStr"/>
      <c r="N1680" t="inlineStr"/>
      <c r="O1680" t="inlineStr"/>
      <c r="P1680" t="inlineStr"/>
      <c r="Q1680" t="inlineStr"/>
      <c r="R1680" t="inlineStr"/>
      <c r="S1680" t="inlineStr"/>
    </row>
    <row r="1681">
      <c r="A1681">
        <f>Skills!A12</f>
        <v/>
      </c>
      <c r="B1681">
        <f>Skills!B12</f>
        <v/>
      </c>
      <c r="C1681">
        <f>Inputs!$B$3&gt;=63</f>
        <v/>
      </c>
      <c r="D1681">
        <f>IF(Skills!C12=1,60+Inputs!$B$26+Inputs!$B$30,IF(Skills!C12=2,90+Inputs!$B$27+Inputs!$B$30,IF(Skills!C12=3,120+Inputs!$B$28+Inputs!$B$30,MAX(0,(Inputs!$B$3-100)*3)+Inputs!$B$29+Inputs!$B$30)))</f>
        <v/>
      </c>
      <c r="E1681">
        <f>INDEX(FactorTable!$B$2:$Y$301, MATCH(ROUND(MIN(300,MAX(1,D1681)),0), FactorTable!$A$2:$A$301,0), Skills!M12+1)</f>
        <v/>
      </c>
      <c r="F1681">
        <f>IF(Skills!N12=TRUE,(Skills!L12/10)*(E1681/1000),Skills!L12/10)+Skills!O12</f>
        <v/>
      </c>
      <c r="G1681">
        <f>Skills!G12*IF(Skills!H12&gt;0,INT(IF(Inputs!$B$39="pvp",MIN(Skills!I12,15),Skills!I12)/Skills!H12+0.000000001),1)</f>
        <v/>
      </c>
      <c r="H1681">
        <f>1-(1-Skills!J12/100)^Skills!K12</f>
        <v/>
      </c>
      <c r="I1681" t="inlineStr">
        <is>
          <t>1</t>
        </is>
      </c>
      <c r="J1681">
        <f>((Inputs!$B$6*(1+Inputs!$B$7/100))+(((Inputs!$B$13*(1+Inputs!$B$14/100))-(Inputs!$B$13*(1+Inputs!$B$14/100)))+0.25*(Inputs!$B$15-Inputs!$B$15))*(1+Inputs!$B$7/100))*(F1681/100)</f>
        <v/>
      </c>
      <c r="K1681">
        <f>J1681*(1+(((Inputs!$B$13+IF(Inputs!$B$3&gt;=38,(10*INDEX(FactorTable!$B$2:$Y$301, MATCH(ROUND(MIN(300,MAX(1,Inputs!$B$3)),0), FactorTable!$A$2:$A$301,0), 23)/1000)/100*(Inputs!$B$8*(1+Inputs!$B$9/100)),0))*(1+Inputs!$B$14/100))*0.01+Inputs!$B$15*0.0025)/100)*(1+Inputs!$B$16/100)*(1+Inputs!$B$17/100)*(5000/(6000+Inputs!$B$43*(1-(Inputs!$B$20+0)/100)))*(1+(Inputs!$B$25+((C1694=TRUE)*(F1694-Calc!F25))+((C1695=TRUE)*(F1695-Calc!F26))+B1704)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1680=TRUE,F1680,0)/100)*(1+(IF(Skills!A12="DARK_IMPALE",Inputs!$B$18+0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gt;=100),MIN(100,((Inputs!$B$10+0+B1698+(ArtifactsInput!$M$24-ArtifactsInput!$M$24)*CHOOSE(ArtifactsInput!$N$24+1,10,12,14,16,18,20)+IF(ArtifactsInput!$M$10,CHOOSE(ArtifactsInput!$N$10+1,15,18,21,24,27,30)*(IF(Inputs!$B$39="pvp",MIN(15,15)/15,IF(AND(Inputs!$B$39&lt;&gt;"pvp",Inputs!$B$44&gt;0),MIN(15,Inputs!$B$44)/(Inputs!$B$44),0))),0)))-100),0))*CHOOSE(ArtifactsInput!$N$42+1,0.6,0.72,0.84,0.96,1.08,1.2))),Inputs!$B$19+((C1692=TRUE)*(F1692-Calc!F23))+(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gt;=100),CHOOSE(ArtifactsInput!$N$42+1,40,48,56,64,72,80),0))))/100)*((1+(((C1682=TRUE)*F1682*IF(AND(Inputs!$B$39&lt;&gt;"pvp",Inputs!$B$44&gt;0),(((R1682-1)*MIN((Skills!T13*(1+Inputs!$B$35/100)),(1/Q1682))+MIN((Skills!T13*(1+Inputs!$B$35/100)),MAX(0,Inputs!$B$44-((R1682-1)*(1/Q1682)))))/Inputs!$B$44),IF(Inputs!$B$39="pvp",MIN((Skills!T13*(1+Inputs!$B$35/100)),15)/15,MIN(1,(Skills!T13*(1+Inputs!$B$35/100))/(1/Q1682)))))+((C1683=TRUE)*F1683*IF(AND(Inputs!$B$39&lt;&gt;"pvp",Inputs!$B$44&gt;0),(((R1683-1)*MIN((Skills!T14*(1+Inputs!$B$35/100)),(1/Q1683))+MIN((Skills!T14*(1+Inputs!$B$35/100)),MAX(0,Inputs!$B$44-((R1683-1)*(1/Q1683)))))/Inputs!$B$44),IF(Inputs!$B$39="pvp",MIN((Skills!T14*(1+Inputs!$B$35/100)),15)/15,MIN(1,(Skills!T14*(1+Inputs!$B$35/100))/(1/Q1683)))))+((C1684=TRUE)*F1684*IF(AND(Inputs!$B$39&lt;&gt;"pvp",Inputs!$B$44&gt;0),(((R1684-1)*MIN((Skills!T15*(1+Inputs!$B$35/100)),(1/Q1684))+MIN((Skills!T15*(1+Inputs!$B$35/100)),MAX(0,Inputs!$B$44-((R1684-1)*(1/Q1684)))))/Inputs!$B$44),IF(Inputs!$B$39="pvp",MIN((Skills!T15*(1+Inputs!$B$35/100)),15)/15,MIN(1,(Skills!T15*(1+Inputs!$B$35/100))/(1/Q1684)))))+((C1685=TRUE)*F1685*IF(AND(Inputs!$B$39&lt;&gt;"pvp",Inputs!$B$44&gt;0),(((R1685-1)*MIN((Skills!T16*(1+Inputs!$B$35/100)),(1/Q1685))+MIN((Skills!T16*(1+Inputs!$B$35/100)),MAX(0,Inputs!$B$44-((R1685-1)*(1/Q1685)))))/Inputs!$B$44),IF(Inputs!$B$39="pvp",MIN((Skills!T16*(1+Inputs!$B$35/100)),15)/15,MIN(1,(Skills!T16*(1+Inputs!$B$35/100))/(1/Q1685)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1681)</f>
        <v/>
      </c>
      <c r="L1681">
        <f>K1681*(MIN(Inputs!$B$23+((C1691=TRUE)*(F1691-Calc!F22)),(Inputs!$B$24+((C1693=TRUE)*(F1693-Calc!F24))+(IF(ArtifactsInput!$M$15,CHOOSE(ArtifactsInput!$N$15+1,25,30,35,40,45,50)/100*(Inputs!$B$12-Inputs!$B$12),0))))/100+(Inputs!$B$24+((C1693=TRUE)*(F1693-Calc!F24))+(IF(ArtifactsInput!$M$15,CHOOSE(ArtifactsInput!$N$15+1,25,30,35,40,45,50)/100*(Inputs!$B$12-Inputs!$B$12),0)))/100)/2</f>
        <v/>
      </c>
      <c r="M1681">
        <f>L1681*(1+(Inputs!$B$11+0+B1703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681">
        <f>L1681*(1-MIN((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1681*(MIN((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81">
        <f>(1-Summary!$B$11)*T1681+Summary!$B$11*V1681</f>
        <v/>
      </c>
      <c r="P1681">
        <f>IF(B1708=0,0,O1681/B1708)</f>
        <v/>
      </c>
      <c r="Q1681">
        <f>IFERROR(1/IF(Inputs!$B$39="pvp",15,MAX(0.1,Skills!D12-IF(TRUE=TRUE,Inputs!$B$33,0))),0)</f>
        <v/>
      </c>
      <c r="R1681">
        <f>IF(AND(Inputs!$B$39&lt;&gt;"pvp",Inputs!$B$44&gt;0),IF(MAX(0,Inputs!$B$44-B1705)&lt;=0,0,(INT(MAX(0,Inputs!$B$44-B1705)/IF(Inputs!$B$39="pvp",15,MAX(0.1,Skills!D12-IF(TRUE=TRUE,Inputs!$B$33,0))))+1)),0)</f>
        <v/>
      </c>
      <c r="S1681">
        <f>IFERROR(O1681/N1681,0)</f>
        <v/>
      </c>
      <c r="T1681">
        <f>IF(C1681,(H1681*N1681*IF(AND(Inputs!$B$39&lt;&gt;"pvp",Inputs!$B$44&gt;0),((Skills!G12*((R1681-1)*IF(Skills!H12&gt;0,INT(Skills!I12/Skills!H12+0.000000001),1)+IF(Skills!H12&gt;0,INT(MIN(Skills!I12,MAX(0,MAX(0,Inputs!$B$44-B1705)-((R1681-1)*IF(Inputs!$B$39="pvp",15,MAX(0.1,Skills!D12-IF(TRUE=TRUE,Inputs!$B$33,0))))))/Skills!H12+0.000000001),1)))/Inputs!$B$44),G1681*Q1681))*IF(Inputs!$B$39="pvp",1,1+(Inputs!$B$21+0+Skills!P12+((C1686=TRUE)*F1686*IF(AND(Inputs!$B$39&lt;&gt;"pvp",Inputs!$B$44&gt;0),(((R1686-1)*MIN((Skills!T17*(1+Inputs!$B$35/100)),(1/Q1686))+MIN((Skills!T17*(1+Inputs!$B$35/100)),MAX(0,Inputs!$B$44-((R1686-1)*(1/Q1686)))))/Inputs!$B$44),IF(Inputs!$B$39="pvp",MIN((Skills!T17*(1+Inputs!$B$35/100)),15)/15,MIN(1,(Skills!T17*(1+Inputs!$B$35/100))/(1/Q1686)))))+((C1674=TRUE)*IF(Inputs!$B$3&gt;=126,10*MIN(1,15*Q1674),0))+((C1683=TRUE)*IF(Inputs!$B$39="pvp",20,(1-Summary!$B$11)*(20)+Summary!$B$11*(0))*IF(AND(Inputs!$B$39&lt;&gt;"pvp",Inputs!$B$44&gt;0),(((R1683-1)*MIN((Skills!T14*(1+Inputs!$B$35/100)),(1/Q1683))+MIN((Skills!T14*(1+Inputs!$B$35/100)),MAX(0,Inputs!$B$44-((R1683-1)*(1/Q1683)))))/Inputs!$B$44),IF(Inputs!$B$39="pvp",MIN((Skills!T14*(1+Inputs!$B$35/100)),15)/15,MIN(1,(Skills!T14*(1+Inputs!$B$35/100))/(1/Q1683)))))+((C1682=TRUE)*IF(Inputs!$B$3&gt;=82,IF(Inputs!$B$39="pvp",20,(1-Summary!$B$11)*(20)+Summary!$B$11*(0)),0)*IF(AND(Inputs!$B$39&lt;&gt;"pvp",Inputs!$B$44&gt;0),(((R1682-1)*MIN((Skills!T13*(1+Inputs!$B$35/100)),(1/Q1682))+MIN((Skills!T13*(1+Inputs!$B$35/100)),MAX(0,Inputs!$B$44-((R1682-1)*(1/Q1682)))))/Inputs!$B$44),IF(Inputs!$B$39="pvp",MIN((Skills!T13*(1+Inputs!$B$35/100)),15)/15,MIN(1,(Skills!T13*(1+Inputs!$B$35/100))/(1/Q1682)))))+(IF(AND(ArtifactsInput!$M$35,Inputs!$B$4&lt;&gt;"Chapter Hunt"),CHOOSE(ArtifactsInput!$N$35+1,15,18,21,24,27,30)*(1-EXP(-(0.2*B1700)*5)),0)+IF(AND(ArtifactsInput!$M$22,Inputs!$B$4&lt;&gt;"Chapter Hunt"),CHOOSE(ArtifactsInput!$N$22+1,10,12,14,16,18,20)*((0*(((0.15*B1700*5))^0/1)+1*(((0.15*B1700*5))^1/1)+2*(((0.15*B1700*5))^2/2)+3*(((0.15*B1700*5))^3/6)+4*(((0.15*B1700*5))^4/24)+5*(((0.15*B1700*5))^5/120))/((((0.15*B1700*5))^0/1)+(((0.15*B1700*5))^1/1)+(((0.15*B1700*5))^2/2)+(((0.15*B1700*5))^3/6)+(((0.15*B1700*5))^4/24)+(((0.15*B1700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1681*(1-MIN(100,(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1681*(MIN(100,(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1681*(1-MIN(100,(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1681*(MIN(100,(Inputs!$B$10+0+B1698+(ArtifactsInput!$M$24-ArtifactsInput!$M$24)*CHOOSE(ArtifactsInput!$N$24+1,10,12,14,16,18,20)+(IF(AND(Inputs!$B$39&lt;&gt;"pvp",Inputs!$B$44=0),1,IF(IF(Inputs!$B$39="pvp",15,Inputs!$B$44)-(B1705)&lt;=0,1,MAX(0,IF(Inputs!$B$39="pvp",15,Inputs!$B$44)-MAX(5,B1705))/(IF(Inputs!$B$39="pvp",15,Inputs!$B$44)-(B1705))))*IF(AND(ArtifactsInput!$M$42,((Inputs!$B$10+0+B1698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681">
        <f>IF(C1681,(H1681*N1681*IF(AND(Inputs!$B$39&lt;&gt;"pvp",Inputs!$B$44&gt;0),((Skills!G12*((R1681-1)*IF(Skills!H12&gt;0,INT(Skills!I12/Skills!H12+0.000000001),1)+IF(Skills!H12&gt;0,INT(MIN(Skills!I12,MAX(0,MAX(0,Inputs!$B$44-B1705)-((R1681-1)*IF(Inputs!$B$39="pvp",15,MAX(0.1,Skills!D12-IF(TRUE=TRUE,Inputs!$B$33,0))))))/Skills!H12+0.000000001),1)))/Inputs!$B$44),G1681*Q1681))*IF(Inputs!$B$39="pvp",1,(1+(Inputs!$B$22+Skills!Q12+((C1686=TRUE)*F1686*IF(AND(Inputs!$B$39&lt;&gt;"pvp",Inputs!$B$44&gt;0),(((R1686-1)*MIN((Skills!T17*(1+Inputs!$B$35/100)),(1/Q1686))+MIN((Skills!T17*(1+Inputs!$B$35/100)),MAX(0,Inputs!$B$44-((R1686-1)*(1/Q1686)))))/Inputs!$B$44),IF(Inputs!$B$39="pvp",MIN((Skills!T17*(1+Inputs!$B$35/100)),15)/15,MIN(1,(Skills!T17*(1+Inputs!$B$35/100))/(1/Q1686)))))+((C1674=TRUE)*IF(Inputs!$B$3&gt;=126,10*MIN(1,15*Q1674),0))+((C1683=TRUE)*IF(Inputs!$B$39="pvp",20,(1-Summary!$B$11)*(20)+Summary!$B$11*(0))*IF(AND(Inputs!$B$39&lt;&gt;"pvp",Inputs!$B$44&gt;0),(((R1683-1)*MIN((Skills!T14*(1+Inputs!$B$35/100)),(1/Q1683))+MIN((Skills!T14*(1+Inputs!$B$35/100)),MAX(0,Inputs!$B$44-((R1683-1)*(1/Q1683)))))/Inputs!$B$44),IF(Inputs!$B$39="pvp",MIN((Skills!T14*(1+Inputs!$B$35/100)),15)/15,MIN(1,(Skills!T14*(1+Inputs!$B$35/100))/(1/Q1683)))))+((C1682=TRUE)*IF(Inputs!$B$3&gt;=82,IF(Inputs!$B$39="pvp",20,(1-Summary!$B$11)*(20)+Summary!$B$11*(0)),0)*IF(AND(Inputs!$B$39&lt;&gt;"pvp",Inputs!$B$44&gt;0),(((R1682-1)*MIN((Skills!T13*(1+Inputs!$B$35/100)),(1/Q1682))+MIN((Skills!T13*(1+Inputs!$B$35/100)),MAX(0,Inputs!$B$44-((R1682-1)*(1/Q1682)))))/Inputs!$B$44),IF(Inputs!$B$39="pvp",MIN((Skills!T13*(1+Inputs!$B$35/100)),15)/15,MIN(1,(Skills!T13*(1+Inputs!$B$35/100))/(1/Q1682)))))+(IF(AND(ArtifactsInput!$M$35,Inputs!$B$4&lt;&gt;"Chapter Hunt"),CHOOSE(ArtifactsInput!$N$35+1,15,18,21,24,27,30)*(1-EXP(-(0.2*B1700)*5)),0)+IF(AND(ArtifactsInput!$M$22,Inputs!$B$4&lt;&gt;"Chapter Hunt"),CHOOSE(ArtifactsInput!$N$22+1,10,12,14,16,18,20)*((0*(((0.15*B1700*5))^0/1)+1*(((0.15*B1700*5))^1/1)+2*(((0.15*B1700*5))^2/2)+3*(((0.15*B1700*5))^3/6)+4*(((0.15*B1700*5))^4/24)+5*(((0.15*B1700*5))^5/120))/((((0.15*B1700*5))^0/1)+(((0.15*B1700*5))^1/1)+(((0.15*B1700*5))^2/2)+(((0.15*B1700*5))^3/6)+(((0.15*B1700*5))^4/24)+(((0.15*B1700*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82">
      <c r="A1682">
        <f>Skills!A13</f>
        <v/>
      </c>
      <c r="B1682">
        <f>Skills!B13</f>
        <v/>
      </c>
      <c r="C1682">
        <f>Inputs!$B$3&gt;=69</f>
        <v/>
      </c>
      <c r="D1682">
        <f>IF(Skills!C13=1,60+Inputs!$B$26+Inputs!$B$30,IF(Skills!C13=2,90+Inputs!$B$27+Inputs!$B$30,IF(Skills!C13=3,120+Inputs!$B$28+Inputs!$B$30,MAX(0,(Inputs!$B$3-100)*3)+Inputs!$B$29+Inputs!$B$30)))</f>
        <v/>
      </c>
      <c r="E1682">
        <f>INDEX(FactorTable!$B$2:$Y$301, MATCH(ROUND(MIN(300,MAX(1,D1682)),0), FactorTable!$A$2:$A$301,0), Skills!M13+1)</f>
        <v/>
      </c>
      <c r="F1682">
        <f>IF(Skills!N13=TRUE,(Skills!L13/10)*(E1682/1000),Skills!L13/10)+Skills!O13</f>
        <v/>
      </c>
      <c r="G1682">
        <f>Skills!G13*IF(Skills!H13&gt;0,INT(IF(Inputs!$B$39="pvp",MIN(Skills!I13,15),Skills!I13)/Skills!H13+0.000000001),1)</f>
        <v/>
      </c>
      <c r="H1682">
        <f>1-(1-Skills!J13/100)^Skills!K13</f>
        <v/>
      </c>
      <c r="I1682" t="inlineStr">
        <is>
          <t>1</t>
        </is>
      </c>
      <c r="J1682" t="inlineStr"/>
      <c r="K1682" t="inlineStr"/>
      <c r="L1682" t="inlineStr"/>
      <c r="M1682" t="inlineStr"/>
      <c r="N1682" t="inlineStr"/>
      <c r="O1682">
        <f>(1-Summary!$B$11)*T1682+Summary!$B$11*V1682</f>
        <v/>
      </c>
      <c r="P1682">
        <f>IF(B1708=0,0,O1682/B1708)</f>
        <v/>
      </c>
      <c r="Q1682">
        <f>IFERROR(1/IF(Inputs!$B$39="pvp",15,MAX(0.1,Skills!D13-IF(TRUE=TRUE,Inputs!$B$33,0))),0)</f>
        <v/>
      </c>
      <c r="R1682">
        <f>IF(AND(Inputs!$B$39&lt;&gt;"pvp",Inputs!$B$44&gt;0),IF(Inputs!$B$44&lt;=0,0,(INT(Inputs!$B$44/IF(Inputs!$B$39="pvp",15,MAX(0.1,Skills!D13-IF(TRUE=TRUE,Inputs!$B$33,0))))+1)),0)</f>
        <v/>
      </c>
      <c r="S1682">
        <f>IFERROR(O1682/N1682,0)</f>
        <v/>
      </c>
      <c r="T1682" t="n">
        <v>0</v>
      </c>
      <c r="V1682" t="n">
        <v>0</v>
      </c>
    </row>
    <row r="1683">
      <c r="A1683">
        <f>Skills!A14</f>
        <v/>
      </c>
      <c r="B1683">
        <f>Skills!B14</f>
        <v/>
      </c>
      <c r="C1683">
        <f>Inputs!$B$3&gt;=115</f>
        <v/>
      </c>
      <c r="D1683">
        <f>IF(Skills!C14=1,60+Inputs!$B$26+Inputs!$B$30,IF(Skills!C14=2,90+Inputs!$B$27+Inputs!$B$30,IF(Skills!C14=3,120+Inputs!$B$28+Inputs!$B$30,MAX(0,(Inputs!$B$3-100)*3)+Inputs!$B$29+Inputs!$B$30)))</f>
        <v/>
      </c>
      <c r="E1683">
        <f>INDEX(FactorTable!$B$2:$Y$301, MATCH(ROUND(MIN(300,MAX(1,D1683)),0), FactorTable!$A$2:$A$301,0), Skills!M14+1)</f>
        <v/>
      </c>
      <c r="F1683">
        <f>IF(Skills!N14=TRUE,(Skills!L14/10)*(E1683/1000),Skills!L14/10)+Skills!O14</f>
        <v/>
      </c>
      <c r="G1683">
        <f>Skills!G14*IF(Skills!H14&gt;0,INT(IF(Inputs!$B$39="pvp",MIN(Skills!I14,15),Skills!I14)/Skills!H14+0.000000001),1)</f>
        <v/>
      </c>
      <c r="H1683">
        <f>1-(1-Skills!J14/100)^Skills!K14</f>
        <v/>
      </c>
      <c r="I1683" t="inlineStr">
        <is>
          <t>1</t>
        </is>
      </c>
      <c r="J1683" t="inlineStr"/>
      <c r="K1683" t="inlineStr"/>
      <c r="L1683" t="inlineStr"/>
      <c r="M1683" t="inlineStr"/>
      <c r="N1683" t="inlineStr"/>
      <c r="O1683">
        <f>(1-Summary!$B$11)*T1683+Summary!$B$11*V1683</f>
        <v/>
      </c>
      <c r="P1683">
        <f>IF(B1708=0,0,O1683/B1708)</f>
        <v/>
      </c>
      <c r="Q1683">
        <f>IFERROR(1/IF(Inputs!$B$39="pvp",15,MAX(0.1,Skills!D14-IF(TRUE=TRUE,Inputs!$B$33,0))),0)</f>
        <v/>
      </c>
      <c r="R1683">
        <f>IF(AND(Inputs!$B$39&lt;&gt;"pvp",Inputs!$B$44&gt;0),IF(Inputs!$B$44&lt;=0,0,(INT(Inputs!$B$44/IF(Inputs!$B$39="pvp",15,MAX(0.1,Skills!D14-IF(TRUE=TRUE,Inputs!$B$33,0))))+1)),0)</f>
        <v/>
      </c>
      <c r="S1683">
        <f>IFERROR(O1683/N1683,0)</f>
        <v/>
      </c>
      <c r="T1683" t="n">
        <v>0</v>
      </c>
      <c r="V1683" t="n">
        <v>0</v>
      </c>
    </row>
    <row r="1684">
      <c r="A1684">
        <f>Skills!A15</f>
        <v/>
      </c>
      <c r="B1684">
        <f>Skills!B15</f>
        <v/>
      </c>
      <c r="C1684">
        <f>Inputs!$B$3&gt;=66</f>
        <v/>
      </c>
      <c r="D1684">
        <f>IF(Skills!C15=1,60+Inputs!$B$26+Inputs!$B$30,IF(Skills!C15=2,90+Inputs!$B$27+Inputs!$B$30,IF(Skills!C15=3,120+Inputs!$B$28+Inputs!$B$30,MAX(0,(Inputs!$B$3-100)*3)+Inputs!$B$29+Inputs!$B$30)))</f>
        <v/>
      </c>
      <c r="E1684">
        <f>INDEX(FactorTable!$B$2:$Y$301, MATCH(ROUND(MIN(300,MAX(1,D1684)),0), FactorTable!$A$2:$A$301,0), Skills!M15+1)</f>
        <v/>
      </c>
      <c r="F1684">
        <f>IF(Skills!N15=TRUE,(Skills!L15/10)*(E1684/1000),Skills!L15/10)+Skills!O15</f>
        <v/>
      </c>
      <c r="G1684">
        <f>Skills!G15*IF(Skills!H15&gt;0,INT(IF(Inputs!$B$39="pvp",MIN(Skills!I15,15),Skills!I15)/Skills!H15+0.000000001),1)</f>
        <v/>
      </c>
      <c r="H1684">
        <f>1-(1-Skills!J15/100)^Skills!K15</f>
        <v/>
      </c>
      <c r="I1684" t="inlineStr">
        <is>
          <t>1</t>
        </is>
      </c>
      <c r="J1684" t="inlineStr"/>
      <c r="K1684" t="inlineStr"/>
      <c r="L1684" t="inlineStr"/>
      <c r="M1684" t="inlineStr"/>
      <c r="N1684" t="inlineStr"/>
      <c r="O1684">
        <f>(1-Summary!$B$11)*T1684+Summary!$B$11*V1684</f>
        <v/>
      </c>
      <c r="P1684">
        <f>IF(B1708=0,0,O1684/B1708)</f>
        <v/>
      </c>
      <c r="Q1684">
        <f>IFERROR(1/IF(Inputs!$B$39="pvp",15,MAX(0.1,Skills!D15-IF(TRUE=TRUE,Inputs!$B$33,0))),0)</f>
        <v/>
      </c>
      <c r="R1684">
        <f>IF(AND(Inputs!$B$39&lt;&gt;"pvp",Inputs!$B$44&gt;0),IF(Inputs!$B$44&lt;=0,0,(INT(Inputs!$B$44/IF(Inputs!$B$39="pvp",15,MAX(0.1,Skills!D15-IF(TRUE=TRUE,Inputs!$B$33,0))))+1)),0)</f>
        <v/>
      </c>
      <c r="S1684">
        <f>IFERROR(O1684/N1684,0)</f>
        <v/>
      </c>
      <c r="T1684" t="n">
        <v>0</v>
      </c>
      <c r="V1684" t="n">
        <v>0</v>
      </c>
    </row>
    <row r="1685">
      <c r="A1685">
        <f>Skills!A16</f>
        <v/>
      </c>
      <c r="B1685">
        <f>Skills!B16</f>
        <v/>
      </c>
      <c r="C1685">
        <f>Inputs!$B$3&gt;=45</f>
        <v/>
      </c>
      <c r="D1685">
        <f>IF(Skills!C16=1,60+Inputs!$B$26+Inputs!$B$30,IF(Skills!C16=2,90+Inputs!$B$27+Inputs!$B$30,IF(Skills!C16=3,120+Inputs!$B$28+Inputs!$B$30,MAX(0,(Inputs!$B$3-100)*3)+Inputs!$B$29+Inputs!$B$30)))</f>
        <v/>
      </c>
      <c r="E1685">
        <f>INDEX(FactorTable!$B$2:$Y$301, MATCH(ROUND(MIN(300,MAX(1,D1685)),0), FactorTable!$A$2:$A$301,0), Skills!M16+1)</f>
        <v/>
      </c>
      <c r="F1685">
        <f>IF(Skills!N16=TRUE,(Skills!L16/10)*(E1685/1000),Skills!L16/10)+Skills!O16</f>
        <v/>
      </c>
      <c r="G1685">
        <f>Skills!G16*IF(Skills!H16&gt;0,INT(IF(Inputs!$B$39="pvp",MIN(Skills!I16,15),Skills!I16)/Skills!H16+0.000000001),1)</f>
        <v/>
      </c>
      <c r="H1685">
        <f>1-(1-Skills!J16/100)^Skills!K16</f>
        <v/>
      </c>
      <c r="I1685" t="inlineStr">
        <is>
          <t>1</t>
        </is>
      </c>
      <c r="J1685" t="inlineStr"/>
      <c r="K1685" t="inlineStr"/>
      <c r="L1685" t="inlineStr"/>
      <c r="M1685" t="inlineStr"/>
      <c r="N1685" t="inlineStr"/>
      <c r="O1685">
        <f>(1-Summary!$B$11)*T1685+Summary!$B$11*V1685</f>
        <v/>
      </c>
      <c r="P1685">
        <f>IF(B1708=0,0,O1685/B1708)</f>
        <v/>
      </c>
      <c r="Q1685">
        <f>IFERROR(1/IF(Inputs!$B$39="pvp",15,MAX(0.1,Skills!D16-IF(TRUE=TRUE,Inputs!$B$33,0))),0)</f>
        <v/>
      </c>
      <c r="R1685">
        <f>IF(AND(Inputs!$B$39&lt;&gt;"pvp",Inputs!$B$44&gt;0),IF(Inputs!$B$44&lt;=0,0,(INT(Inputs!$B$44/IF(Inputs!$B$39="pvp",15,MAX(0.1,Skills!D16-IF(TRUE=TRUE,Inputs!$B$33,0))))+1)),0)</f>
        <v/>
      </c>
      <c r="S1685">
        <f>IFERROR(O1685/N1685,0)</f>
        <v/>
      </c>
      <c r="T1685" t="n">
        <v>0</v>
      </c>
      <c r="V1685" t="n">
        <v>0</v>
      </c>
    </row>
    <row r="1686">
      <c r="A1686">
        <f>Skills!A17</f>
        <v/>
      </c>
      <c r="B1686">
        <f>Skills!B17</f>
        <v/>
      </c>
      <c r="C1686">
        <f>Inputs!$B$3&gt;=35</f>
        <v/>
      </c>
      <c r="D1686">
        <f>IF(Skills!C17=1,60+Inputs!$B$26+Inputs!$B$30,IF(Skills!C17=2,90+Inputs!$B$27+Inputs!$B$30,IF(Skills!C17=3,120+Inputs!$B$28+Inputs!$B$30,MAX(0,(Inputs!$B$3-100)*3)+Inputs!$B$29+Inputs!$B$30)))</f>
        <v/>
      </c>
      <c r="E1686">
        <f>INDEX(FactorTable!$B$2:$Y$301, MATCH(ROUND(MIN(300,MAX(1,D1686)),0), FactorTable!$A$2:$A$301,0), Skills!M17+1)</f>
        <v/>
      </c>
      <c r="F1686">
        <f>IF(Skills!N17=TRUE,(Skills!L17/10)*(E1686/1000),Skills!L17/10)+Skills!O17</f>
        <v/>
      </c>
      <c r="G1686">
        <f>Skills!G17*IF(Skills!H17&gt;0,INT(IF(Inputs!$B$39="pvp",MIN(Skills!I17,15),Skills!I17)/Skills!H17+0.000000001),1)</f>
        <v/>
      </c>
      <c r="H1686">
        <f>1-(1-Skills!J17/100)^Skills!K17</f>
        <v/>
      </c>
      <c r="I1686" t="inlineStr">
        <is>
          <t>1</t>
        </is>
      </c>
      <c r="J1686" t="inlineStr"/>
      <c r="K1686" t="inlineStr"/>
      <c r="L1686" t="inlineStr"/>
      <c r="M1686" t="inlineStr"/>
      <c r="N1686" t="inlineStr"/>
      <c r="O1686">
        <f>(1-Summary!$B$11)*T1686+Summary!$B$11*V1686</f>
        <v/>
      </c>
      <c r="P1686">
        <f>IF(B1708=0,0,O1686/B1708)</f>
        <v/>
      </c>
      <c r="Q1686">
        <f>IFERROR(1/IF(Inputs!$B$39="pvp",15,MAX(0.1,Skills!D17-IF(TRUE=TRUE,Inputs!$B$33,0))),0)</f>
        <v/>
      </c>
      <c r="R1686">
        <f>IF(AND(Inputs!$B$39&lt;&gt;"pvp",Inputs!$B$44&gt;0),IF(Inputs!$B$44&lt;=0,0,(INT(Inputs!$B$44/IF(Inputs!$B$39="pvp",15,MAX(0.1,Skills!D17-IF(TRUE=TRUE,Inputs!$B$33,0))))+1)),0)</f>
        <v/>
      </c>
      <c r="S1686">
        <f>IFERROR(O1686/N1686,0)</f>
        <v/>
      </c>
      <c r="T1686" t="n">
        <v>0</v>
      </c>
      <c r="V1686" t="n">
        <v>0</v>
      </c>
    </row>
    <row r="1687">
      <c r="A1687">
        <f>Skills!A18</f>
        <v/>
      </c>
      <c r="B1687">
        <f>Skills!B18</f>
        <v/>
      </c>
      <c r="C1687">
        <f>Inputs!$B$3&gt;=72</f>
        <v/>
      </c>
      <c r="D1687">
        <f>IF(Skills!C18=1,60+Inputs!$B$26+Inputs!$B$30,IF(Skills!C18=2,90+Inputs!$B$27+Inputs!$B$30,IF(Skills!C18=3,120+Inputs!$B$28+Inputs!$B$30,MAX(0,(Inputs!$B$3-100)*3)+Inputs!$B$29+Inputs!$B$30)))</f>
        <v/>
      </c>
      <c r="E1687">
        <f>INDEX(FactorTable!$B$2:$Y$301, MATCH(ROUND(MIN(300,MAX(1,D1687)),0), FactorTable!$A$2:$A$301,0), Skills!M18+1)</f>
        <v/>
      </c>
      <c r="F1687">
        <f>IF(Skills!N18=TRUE,(Skills!L18/10)*(E1687/1000),Skills!L18/10)+Skills!O18</f>
        <v/>
      </c>
      <c r="G1687">
        <f>Skills!G18*IF(Skills!H18&gt;0,INT(IF(Inputs!$B$39="pvp",MIN(Skills!I18,15),Skills!I18)/Skills!H18+0.000000001),1)</f>
        <v/>
      </c>
      <c r="H1687">
        <f>1-(1-Skills!J18/100)^Skills!K18</f>
        <v/>
      </c>
      <c r="I1687" t="inlineStr">
        <is>
          <t>1</t>
        </is>
      </c>
      <c r="J1687" t="inlineStr"/>
      <c r="K1687" t="inlineStr"/>
      <c r="L1687" t="inlineStr"/>
      <c r="M1687" t="inlineStr"/>
      <c r="N1687" t="inlineStr"/>
      <c r="O1687">
        <f>(1-Summary!$B$11)*T1687+Summary!$B$11*V1687</f>
        <v/>
      </c>
      <c r="P1687">
        <f>IF(B1708=0,0,O1687/B1708)</f>
        <v/>
      </c>
      <c r="Q1687">
        <f>IFERROR(1/IF(Inputs!$B$39="pvp",15,MAX(0.1,Skills!D18-IF(TRUE=TRUE,Inputs!$B$33,0))),0)</f>
        <v/>
      </c>
      <c r="R1687">
        <f>IF(AND(Inputs!$B$39&lt;&gt;"pvp",Inputs!$B$44&gt;0),IF(Inputs!$B$44&lt;=0,0,(INT(Inputs!$B$44/IF(Inputs!$B$39="pvp",15,MAX(0.1,Skills!D18-IF(TRUE=TRUE,Inputs!$B$33,0))))+1)),0)</f>
        <v/>
      </c>
      <c r="S1687">
        <f>IFERROR(O1687/N1687,0)</f>
        <v/>
      </c>
      <c r="T1687" t="n">
        <v>0</v>
      </c>
      <c r="V1687" t="n">
        <v>0</v>
      </c>
    </row>
    <row r="1688">
      <c r="A1688">
        <f>Skills!A19</f>
        <v/>
      </c>
      <c r="B1688">
        <f>Skills!B19</f>
        <v/>
      </c>
      <c r="C1688">
        <f>Inputs!$B$3&gt;=72</f>
        <v/>
      </c>
      <c r="D1688">
        <f>IF(Skills!C19=1,60+Inputs!$B$26+Inputs!$B$30,IF(Skills!C19=2,90+Inputs!$B$27+Inputs!$B$30,IF(Skills!C19=3,120+Inputs!$B$28+Inputs!$B$30,MAX(0,(Inputs!$B$3-100)*3)+Inputs!$B$29+Inputs!$B$30)))</f>
        <v/>
      </c>
      <c r="E1688">
        <f>INDEX(FactorTable!$B$2:$Y$301, MATCH(ROUND(MIN(300,MAX(1,D1688)),0), FactorTable!$A$2:$A$301,0), Skills!M19+1)</f>
        <v/>
      </c>
      <c r="F1688">
        <f>IF(Skills!N19=TRUE,(Skills!L19/10)*(E1688/1000),Skills!L19/10)+Skills!O19</f>
        <v/>
      </c>
      <c r="G1688">
        <f>Skills!G19*IF(Skills!H19&gt;0,INT(IF(Inputs!$B$39="pvp",MIN(Skills!I19,15),Skills!I19)/Skills!H19+0.000000001),1)</f>
        <v/>
      </c>
      <c r="H1688">
        <f>1-(1-Skills!J19/100)^Skills!K19</f>
        <v/>
      </c>
      <c r="I1688" t="inlineStr">
        <is>
          <t>1</t>
        </is>
      </c>
      <c r="J1688" t="inlineStr"/>
      <c r="K1688" t="inlineStr"/>
      <c r="L1688" t="inlineStr"/>
      <c r="M1688" t="inlineStr"/>
      <c r="N1688" t="inlineStr"/>
      <c r="O1688">
        <f>(1-Summary!$B$11)*T1688+Summary!$B$11*V1688</f>
        <v/>
      </c>
      <c r="P1688">
        <f>IF(B1708=0,0,O1688/B1708)</f>
        <v/>
      </c>
      <c r="Q1688">
        <f>IFERROR(1/IF(Inputs!$B$39="pvp",15,MAX(0.1,Skills!D19-IF(TRUE=TRUE,Inputs!$B$33,0))),0)</f>
        <v/>
      </c>
      <c r="R1688">
        <f>IF(AND(Inputs!$B$39&lt;&gt;"pvp",Inputs!$B$44&gt;0),IF(Inputs!$B$44&lt;=0,0,(INT(Inputs!$B$44/IF(Inputs!$B$39="pvp",15,MAX(0.1,Skills!D19-IF(TRUE=TRUE,Inputs!$B$33,0))))+1)),0)</f>
        <v/>
      </c>
      <c r="S1688">
        <f>IFERROR(O1688/N1688,0)</f>
        <v/>
      </c>
      <c r="T1688" t="n">
        <v>0</v>
      </c>
      <c r="V1688" t="n">
        <v>0</v>
      </c>
    </row>
    <row r="1689">
      <c r="A1689">
        <f>Skills!A20</f>
        <v/>
      </c>
      <c r="B1689">
        <f>Skills!B20</f>
        <v/>
      </c>
      <c r="C1689">
        <f>TRUE</f>
        <v/>
      </c>
      <c r="D1689">
        <f>IF(Skills!C20=1,60+Inputs!$B$26+Inputs!$B$30,IF(Skills!C20=2,90+Inputs!$B$27+Inputs!$B$30,IF(Skills!C20=3,120+Inputs!$B$28+Inputs!$B$30,MAX(0,(Inputs!$B$3-100)*3)+Inputs!$B$29+Inputs!$B$30)))</f>
        <v/>
      </c>
      <c r="E1689">
        <f>INDEX(FactorTable!$B$2:$Y$301, MATCH(ROUND(MIN(300,MAX(1,D1689)),0), FactorTable!$A$2:$A$301,0), Skills!M20+1)</f>
        <v/>
      </c>
      <c r="F1689">
        <f>IF(Skills!N20=TRUE,(Skills!L20/10)*(E1689/1000),Skills!L20/10)+Skills!O20</f>
        <v/>
      </c>
      <c r="G1689">
        <f>Skills!G20*IF(Skills!H20&gt;0,INT(IF(Inputs!$B$39="pvp",MIN(Skills!I20,15),Skills!I20)/Skills!H20+0.000000001),1)</f>
        <v/>
      </c>
      <c r="H1689">
        <f>1-(1-Skills!J20/100)^Skills!K20</f>
        <v/>
      </c>
      <c r="I1689" t="inlineStr">
        <is>
          <t>1</t>
        </is>
      </c>
      <c r="J1689" t="inlineStr"/>
      <c r="K1689" t="inlineStr"/>
      <c r="L1689" t="inlineStr"/>
      <c r="M1689" t="inlineStr"/>
      <c r="N1689" t="inlineStr"/>
      <c r="O1689">
        <f>(1-Summary!$B$11)*T1689+Summary!$B$11*V1689</f>
        <v/>
      </c>
      <c r="P1689">
        <f>IF(B1708=0,0,O1689/B1708)</f>
        <v/>
      </c>
      <c r="Q1689">
        <f>IFERROR(1/IF(Inputs!$B$39="pvp",15,MAX(0.1,Skills!D20-IF(TRUE=TRUE,Inputs!$B$33,0))),0)</f>
        <v/>
      </c>
      <c r="R1689">
        <f>IF(AND(Inputs!$B$39&lt;&gt;"pvp",Inputs!$B$44&gt;0),IF(Inputs!$B$44&lt;=0,0,(INT(Inputs!$B$44/IF(Inputs!$B$39="pvp",15,MAX(0.1,Skills!D20-IF(TRUE=TRUE,Inputs!$B$33,0))))+1)),0)</f>
        <v/>
      </c>
      <c r="S1689">
        <f>IFERROR(O1689/N1689,0)</f>
        <v/>
      </c>
      <c r="T1689" t="n">
        <v>0</v>
      </c>
      <c r="V1689" t="n">
        <v>0</v>
      </c>
    </row>
    <row r="1690">
      <c r="A1690">
        <f>Skills!A21</f>
        <v/>
      </c>
      <c r="B1690">
        <f>Skills!B21</f>
        <v/>
      </c>
      <c r="C1690">
        <f>Inputs!$B$3&gt;=33</f>
        <v/>
      </c>
      <c r="D1690">
        <f>IF(Skills!C21=1,60+Inputs!$B$26+Inputs!$B$30,IF(Skills!C21=2,90+Inputs!$B$27+Inputs!$B$30,IF(Skills!C21=3,120+Inputs!$B$28+Inputs!$B$30,MAX(0,(Inputs!$B$3-100)*3)+Inputs!$B$29+Inputs!$B$30)))</f>
        <v/>
      </c>
      <c r="E1690">
        <f>INDEX(FactorTable!$B$2:$Y$301, MATCH(ROUND(MIN(300,MAX(1,D1690)),0), FactorTable!$A$2:$A$301,0), Skills!M21+1)</f>
        <v/>
      </c>
      <c r="F1690">
        <f>IF(Skills!N21=TRUE,(Skills!L21/10)*(E1690/1000),Skills!L21/10)+Skills!O21</f>
        <v/>
      </c>
      <c r="G1690">
        <f>Skills!G21*IF(Skills!H21&gt;0,INT(IF(Inputs!$B$39="pvp",MIN(Skills!I21,15),Skills!I21)/Skills!H21+0.000000001),1)</f>
        <v/>
      </c>
      <c r="H1690">
        <f>1-(1-Skills!J21/100)^Skills!K21</f>
        <v/>
      </c>
      <c r="I1690" t="inlineStr">
        <is>
          <t>1</t>
        </is>
      </c>
      <c r="J1690" t="inlineStr"/>
      <c r="K1690" t="inlineStr"/>
      <c r="L1690" t="inlineStr"/>
      <c r="M1690" t="inlineStr"/>
      <c r="N1690" t="inlineStr"/>
      <c r="O1690">
        <f>(1-Summary!$B$11)*T1690+Summary!$B$11*V1690</f>
        <v/>
      </c>
      <c r="P1690">
        <f>IF(B1708=0,0,O1690/B1708)</f>
        <v/>
      </c>
      <c r="Q1690" t="n">
        <v>0</v>
      </c>
      <c r="R1690" t="n">
        <v>0</v>
      </c>
      <c r="S1690">
        <f>IFERROR(O1690/N1690,0)</f>
        <v/>
      </c>
      <c r="T1690" t="n">
        <v>0</v>
      </c>
      <c r="V1690" t="n">
        <v>0</v>
      </c>
    </row>
    <row r="1691">
      <c r="A1691">
        <f>Skills!A22</f>
        <v/>
      </c>
      <c r="B1691">
        <f>Skills!B22</f>
        <v/>
      </c>
      <c r="C1691">
        <f>Inputs!$B$3&gt;=43</f>
        <v/>
      </c>
      <c r="D1691">
        <f>IF(Skills!C22=1,60+Inputs!$B$26+Inputs!$B$30,IF(Skills!C22=2,90+Inputs!$B$27+Inputs!$B$30,IF(Skills!C22=3,120+Inputs!$B$28+Inputs!$B$30,MAX(0,(Inputs!$B$3-100)*3)+Inputs!$B$29+Inputs!$B$30)))</f>
        <v/>
      </c>
      <c r="E1691">
        <f>INDEX(FactorTable!$B$2:$Y$301, MATCH(ROUND(MIN(300,MAX(1,D1691)),0), FactorTable!$A$2:$A$301,0), Skills!M22+1)</f>
        <v/>
      </c>
      <c r="F1691">
        <f>IF(Skills!N22=TRUE,(Skills!L22/10)*(E1691/1000),Skills!L22/10)+Skills!O22</f>
        <v/>
      </c>
      <c r="G1691">
        <f>Skills!G22*IF(Skills!H22&gt;0,INT(IF(Inputs!$B$39="pvp",MIN(Skills!I22,15),Skills!I22)/Skills!H22+0.000000001),1)</f>
        <v/>
      </c>
      <c r="H1691">
        <f>1-(1-Skills!J22/100)^Skills!K22</f>
        <v/>
      </c>
      <c r="I1691" t="inlineStr">
        <is>
          <t>1</t>
        </is>
      </c>
      <c r="J1691" t="inlineStr"/>
      <c r="K1691" t="inlineStr"/>
      <c r="L1691" t="inlineStr"/>
      <c r="M1691" t="inlineStr"/>
      <c r="N1691" t="inlineStr"/>
      <c r="O1691">
        <f>(1-Summary!$B$11)*T1691+Summary!$B$11*V1691</f>
        <v/>
      </c>
      <c r="P1691">
        <f>IF(B1708=0,0,O1691/B1708)</f>
        <v/>
      </c>
      <c r="Q1691" t="n">
        <v>0</v>
      </c>
      <c r="R1691" t="n">
        <v>0</v>
      </c>
      <c r="S1691">
        <f>IFERROR(O1691/N1691,0)</f>
        <v/>
      </c>
      <c r="T1691" t="n">
        <v>0</v>
      </c>
      <c r="V1691" t="n">
        <v>0</v>
      </c>
    </row>
    <row r="1692">
      <c r="A1692">
        <f>Skills!A23</f>
        <v/>
      </c>
      <c r="B1692">
        <f>Skills!B23</f>
        <v/>
      </c>
      <c r="C1692">
        <f>Inputs!$B$3&gt;=120</f>
        <v/>
      </c>
      <c r="D1692">
        <f>IF(Skills!C23=1,60+Inputs!$B$26+Inputs!$B$30,IF(Skills!C23=2,90+Inputs!$B$27+Inputs!$B$30,IF(Skills!C23=3,120+Inputs!$B$28+Inputs!$B$30,MAX(0,(Inputs!$B$3-100)*3)+Inputs!$B$29+Inputs!$B$30)))</f>
        <v/>
      </c>
      <c r="E1692">
        <f>INDEX(FactorTable!$B$2:$Y$301, MATCH(ROUND(MIN(300,MAX(1,D1692)),0), FactorTable!$A$2:$A$301,0), Skills!M23+1)</f>
        <v/>
      </c>
      <c r="F1692">
        <f>IF(Skills!N23=TRUE,(Skills!L23/10)*(E1692/1000),Skills!L23/10)+Skills!O23</f>
        <v/>
      </c>
      <c r="G1692">
        <f>Skills!G23*IF(Skills!H23&gt;0,INT(IF(Inputs!$B$39="pvp",MIN(Skills!I23,15),Skills!I23)/Skills!H23+0.000000001),1)</f>
        <v/>
      </c>
      <c r="H1692">
        <f>1-(1-Skills!J23/100)^Skills!K23</f>
        <v/>
      </c>
      <c r="I1692" t="inlineStr">
        <is>
          <t>1</t>
        </is>
      </c>
      <c r="J1692" t="inlineStr"/>
      <c r="K1692" t="inlineStr"/>
      <c r="L1692" t="inlineStr"/>
      <c r="M1692" t="inlineStr"/>
      <c r="N1692" t="inlineStr"/>
      <c r="O1692">
        <f>(1-Summary!$B$11)*T1692+Summary!$B$11*V1692</f>
        <v/>
      </c>
      <c r="P1692">
        <f>IF(B1708=0,0,O1692/B1708)</f>
        <v/>
      </c>
      <c r="Q1692" t="n">
        <v>0</v>
      </c>
      <c r="R1692" t="n">
        <v>0</v>
      </c>
      <c r="S1692">
        <f>IFERROR(O1692/N1692,0)</f>
        <v/>
      </c>
      <c r="T1692" t="n">
        <v>0</v>
      </c>
      <c r="V1692" t="n">
        <v>0</v>
      </c>
    </row>
    <row r="1693">
      <c r="A1693">
        <f>Skills!A24</f>
        <v/>
      </c>
      <c r="B1693">
        <f>Skills!B24</f>
        <v/>
      </c>
      <c r="C1693">
        <f>Inputs!$B$3&gt;=120</f>
        <v/>
      </c>
      <c r="D1693">
        <f>IF(Skills!C24=1,60+Inputs!$B$26+Inputs!$B$30,IF(Skills!C24=2,90+Inputs!$B$27+Inputs!$B$30,IF(Skills!C24=3,120+Inputs!$B$28+Inputs!$B$30,MAX(0,(Inputs!$B$3-100)*3)+Inputs!$B$29+Inputs!$B$30)))</f>
        <v/>
      </c>
      <c r="E1693">
        <f>INDEX(FactorTable!$B$2:$Y$301, MATCH(ROUND(MIN(300,MAX(1,D1693)),0), FactorTable!$A$2:$A$301,0), Skills!M24+1)</f>
        <v/>
      </c>
      <c r="F1693">
        <f>IF(Skills!N24=TRUE,(Skills!L24/10)*(E1693/1000),Skills!L24/10)+Skills!O24</f>
        <v/>
      </c>
      <c r="G1693">
        <f>Skills!G24*IF(Skills!H24&gt;0,INT(IF(Inputs!$B$39="pvp",MIN(Skills!I24,15),Skills!I24)/Skills!H24+0.000000001),1)</f>
        <v/>
      </c>
      <c r="H1693">
        <f>1-(1-Skills!J24/100)^Skills!K24</f>
        <v/>
      </c>
      <c r="I1693" t="inlineStr">
        <is>
          <t>1</t>
        </is>
      </c>
      <c r="J1693" t="inlineStr"/>
      <c r="K1693" t="inlineStr"/>
      <c r="L1693" t="inlineStr"/>
      <c r="M1693" t="inlineStr"/>
      <c r="N1693" t="inlineStr"/>
      <c r="O1693">
        <f>(1-Summary!$B$11)*T1693+Summary!$B$11*V1693</f>
        <v/>
      </c>
      <c r="P1693">
        <f>IF(B1708=0,0,O1693/B1708)</f>
        <v/>
      </c>
      <c r="Q1693" t="n">
        <v>0</v>
      </c>
      <c r="R1693" t="n">
        <v>0</v>
      </c>
      <c r="S1693">
        <f>IFERROR(O1693/N1693,0)</f>
        <v/>
      </c>
      <c r="T1693" t="n">
        <v>0</v>
      </c>
      <c r="V1693" t="n">
        <v>0</v>
      </c>
    </row>
    <row r="1694">
      <c r="A1694">
        <f>Skills!A25</f>
        <v/>
      </c>
      <c r="B1694">
        <f>Skills!B25</f>
        <v/>
      </c>
      <c r="C1694">
        <f>Inputs!$B$3&gt;=125</f>
        <v/>
      </c>
      <c r="D1694">
        <f>IF(Skills!C25=1,60+Inputs!$B$26+Inputs!$B$30,IF(Skills!C25=2,90+Inputs!$B$27+Inputs!$B$30,IF(Skills!C25=3,120+Inputs!$B$28+Inputs!$B$30,MAX(0,(Inputs!$B$3-100)*3)+Inputs!$B$29+Inputs!$B$30)))</f>
        <v/>
      </c>
      <c r="E1694">
        <f>INDEX(FactorTable!$B$2:$Y$301, MATCH(ROUND(MIN(300,MAX(1,D1694)),0), FactorTable!$A$2:$A$301,0), Skills!M25+1)</f>
        <v/>
      </c>
      <c r="F1694">
        <f>IF(Skills!N25=TRUE,(Skills!L25/10)*(E1694/1000),Skills!L25/10)+Skills!O25</f>
        <v/>
      </c>
      <c r="G1694">
        <f>Skills!G25*IF(Skills!H25&gt;0,INT(IF(Inputs!$B$39="pvp",MIN(Skills!I25,15),Skills!I25)/Skills!H25+0.000000001),1)</f>
        <v/>
      </c>
      <c r="H1694">
        <f>1-(1-Skills!J25/100)^Skills!K25</f>
        <v/>
      </c>
      <c r="I1694" t="inlineStr">
        <is>
          <t>1</t>
        </is>
      </c>
      <c r="J1694" t="inlineStr"/>
      <c r="K1694" t="inlineStr"/>
      <c r="L1694" t="inlineStr"/>
      <c r="M1694" t="inlineStr"/>
      <c r="N1694" t="inlineStr"/>
      <c r="O1694">
        <f>(1-Summary!$B$11)*T1694+Summary!$B$11*V1694</f>
        <v/>
      </c>
      <c r="P1694">
        <f>IF(B1708=0,0,O1694/B1708)</f>
        <v/>
      </c>
      <c r="Q1694" t="n">
        <v>0</v>
      </c>
      <c r="R1694" t="n">
        <v>0</v>
      </c>
      <c r="S1694">
        <f>IFERROR(O1694/N1694,0)</f>
        <v/>
      </c>
      <c r="T1694" t="n">
        <v>0</v>
      </c>
      <c r="V1694" t="n">
        <v>0</v>
      </c>
    </row>
    <row r="1695">
      <c r="A1695">
        <f>Skills!A26</f>
        <v/>
      </c>
      <c r="B1695">
        <f>Skills!B26</f>
        <v/>
      </c>
      <c r="C1695">
        <f>Inputs!$B$3&gt;=107</f>
        <v/>
      </c>
      <c r="D1695">
        <f>IF(Skills!C26=1,60+Inputs!$B$26+Inputs!$B$30,IF(Skills!C26=2,90+Inputs!$B$27+Inputs!$B$30,IF(Skills!C26=3,120+Inputs!$B$28+Inputs!$B$30,MAX(0,(Inputs!$B$3-100)*3)+Inputs!$B$29+Inputs!$B$30)))</f>
        <v/>
      </c>
      <c r="E1695">
        <f>INDEX(FactorTable!$B$2:$Y$301, MATCH(ROUND(MIN(300,MAX(1,D1695)),0), FactorTable!$A$2:$A$301,0), Skills!M26+1)</f>
        <v/>
      </c>
      <c r="F1695">
        <f>IF(Skills!N26=TRUE,(Skills!L26/10)*(E1695/1000),Skills!L26/10)+Skills!O26</f>
        <v/>
      </c>
      <c r="G1695">
        <f>Skills!G26*IF(Skills!H26&gt;0,INT(IF(Inputs!$B$39="pvp",MIN(Skills!I26,15),Skills!I26)/Skills!H26+0.000000001),1)</f>
        <v/>
      </c>
      <c r="H1695">
        <f>1-(1-Skills!J26/100)^Skills!K26</f>
        <v/>
      </c>
      <c r="I1695" t="inlineStr">
        <is>
          <t>1</t>
        </is>
      </c>
      <c r="J1695" t="inlineStr"/>
      <c r="K1695" t="inlineStr"/>
      <c r="L1695" t="inlineStr"/>
      <c r="M1695" t="inlineStr"/>
      <c r="N1695" t="inlineStr"/>
      <c r="O1695">
        <f>(1-Summary!$B$11)*T1695+Summary!$B$11*V1695</f>
        <v/>
      </c>
      <c r="P1695">
        <f>IF(B1708=0,0,O1695/B1708)</f>
        <v/>
      </c>
      <c r="Q1695" t="n">
        <v>0</v>
      </c>
      <c r="R1695" t="n">
        <v>0</v>
      </c>
      <c r="S1695">
        <f>IFERROR(O1695/N1695,0)</f>
        <v/>
      </c>
      <c r="T1695" t="n">
        <v>0</v>
      </c>
      <c r="V1695" t="n">
        <v>0</v>
      </c>
    </row>
    <row r="1697">
      <c r="A1697" t="inlineStr">
        <is>
          <t>Attack% Bucket Multiplier</t>
        </is>
      </c>
      <c r="B1697">
        <f>(1+(((C1682=TRUE)*F1682*IF(AND(Inputs!$B$39&lt;&gt;"pvp",Inputs!$B$44&gt;0),(((R1682-1)*MIN((Skills!T13*(1+Inputs!$B$35/100)),(1/Q1682))+MIN((Skills!T13*(1+Inputs!$B$35/100)),MAX(0,Inputs!$B$44-((R1682-1)*(1/Q1682)))))/Inputs!$B$44),IF(Inputs!$B$39="pvp",MIN((Skills!T13*(1+Inputs!$B$35/100)),15)/15,MIN(1,(Skills!T13*(1+Inputs!$B$35/100))/(1/Q1682)))))+((C1683=TRUE)*F1683*IF(AND(Inputs!$B$39&lt;&gt;"pvp",Inputs!$B$44&gt;0),(((R1683-1)*MIN((Skills!T14*(1+Inputs!$B$35/100)),(1/Q1683))+MIN((Skills!T14*(1+Inputs!$B$35/100)),MAX(0,Inputs!$B$44-((R1683-1)*(1/Q1683)))))/Inputs!$B$44),IF(Inputs!$B$39="pvp",MIN((Skills!T14*(1+Inputs!$B$35/100)),15)/15,MIN(1,(Skills!T14*(1+Inputs!$B$35/100))/(1/Q1683)))))+((C1684=TRUE)*F1684*IF(AND(Inputs!$B$39&lt;&gt;"pvp",Inputs!$B$44&gt;0),(((R1684-1)*MIN((Skills!T15*(1+Inputs!$B$35/100)),(1/Q1684))+MIN((Skills!T15*(1+Inputs!$B$35/100)),MAX(0,Inputs!$B$44-((R1684-1)*(1/Q1684)))))/Inputs!$B$44),IF(Inputs!$B$39="pvp",MIN((Skills!T15*(1+Inputs!$B$35/100)),15)/15,MIN(1,(Skills!T15*(1+Inputs!$B$35/100))/(1/Q1684)))))+((C1685=TRUE)*F1685*IF(AND(Inputs!$B$39&lt;&gt;"pvp",Inputs!$B$44&gt;0),(((R1685-1)*MIN((Skills!T16*(1+Inputs!$B$35/100)),(1/Q1685))+MIN((Skills!T16*(1+Inputs!$B$35/100)),MAX(0,Inputs!$B$44-((R1685-1)*(1/Q1685)))))/Inputs!$B$44),IF(Inputs!$B$39="pvp",MIN((Skills!T16*(1+Inputs!$B$35/100)),15)/15,MIN(1,(Skills!T16*(1+Inputs!$B$35/100))/(1/Q1685)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1698">
      <c r="A1698" t="inlineStr">
        <is>
          <t>Global Crit Rate Bonus % (Lord of Darkness)</t>
        </is>
      </c>
      <c r="B1698">
        <f>((C1687=TRUE)*F1687*(Skills!J18/100)*IF(AND(Inputs!$B$39&lt;&gt;"pvp",Inputs!$B$44&gt;0),(((R1687-1)*MIN((Skills!T18*(1+Inputs!$B$35/100)),(1/Q1687))+MIN((Skills!T18*(1+Inputs!$B$35/100)),MAX(0,Inputs!$B$44-((R1687-1)*(1/Q1687)))))/Inputs!$B$44),IF(Inputs!$B$39="pvp",MIN((Skills!T18*(1+Inputs!$B$35/100)),15)/15,MIN(1,(Skills!T18*(1+Inputs!$B$35/100))/(1/Q1687)))))</f>
        <v/>
      </c>
    </row>
    <row r="1699">
      <c r="A1699" t="inlineStr">
        <is>
          <t>Attack Speed Buff Bonus %</t>
        </is>
      </c>
      <c r="B1699">
        <f>((C1689=TRUE)*F1689*IF(AND(Inputs!$B$39&lt;&gt;"pvp",Inputs!$B$44&gt;0),(((R1689-1)*MIN((Skills!T20*(1+Inputs!$B$35/100)),(1/Q1689))+MIN((Skills!T20*(1+Inputs!$B$35/100)),MAX(0,Inputs!$B$44-((R1689-1)*(1/Q1689)))))/Inputs!$B$44),IF(Inputs!$B$39="pvp",MIN((Skills!T20*(1+Inputs!$B$35/100)),15)/15,MIN(1,(Skills!T20*(1+Inputs!$B$35/100))/(1/Q1689)))))</f>
        <v/>
      </c>
    </row>
    <row r="1700">
      <c r="A1700" t="inlineStr">
        <is>
          <t>Actions Per Second</t>
        </is>
      </c>
      <c r="B1700">
        <f>1+MIN(150,150*(1-(1-(Inputs!$B$12+((C1690=TRUE)*(F1690-Calc!F21)))/150)*(1-B1699/150)))/100</f>
        <v/>
      </c>
    </row>
    <row r="1701">
      <c r="A1701" t="inlineStr">
        <is>
          <t>Skill + Buff Cast Rate</t>
        </is>
      </c>
      <c r="B1701">
        <f>IF(AND(Inputs!$B$39&lt;&gt;"pvp",Inputs!$B$44&gt;0),SUMPRODUCT((Skills!E2:E26=TRUE)*(C1671:C1695=TRUE)*R1671:R1695*Skills!F2:F26)/Inputs!$B$44,SUMPRODUCT((Skills!E2:E26=TRUE)*(C1671:C1695=TRUE)*Q1671:Q1695*Skills!F2:F26))</f>
        <v/>
      </c>
    </row>
    <row r="1702">
      <c r="A1702" t="inlineStr">
        <is>
          <t>Dark Impale Casts Per Second</t>
        </is>
      </c>
      <c r="B1702">
        <f>MAX(0,B1700-B1701)</f>
        <v/>
      </c>
    </row>
    <row r="1703">
      <c r="A1703" t="inlineStr">
        <is>
          <t>Global Critical Damage Bonus % (Lord of Darkness)</t>
        </is>
      </c>
      <c r="B1703">
        <f>((C1688=TRUE)*F1688*(Skills!J19/100)*IF(AND(Inputs!$B$39&lt;&gt;"pvp",Inputs!$B$44&gt;0),(((R1688-1)*MIN((Skills!T19*(1+Inputs!$B$35/100)),(1/Q1688))+MIN((Skills!T19*(1+Inputs!$B$35/100)),MAX(0,Inputs!$B$44-((R1688-1)*(1/Q1688)))))/Inputs!$B$44),IF(Inputs!$B$39="pvp",MIN((Skills!T19*(1+Inputs!$B$35/100)),15)/15,MIN(1,(Skills!T19*(1+Inputs!$B$35/100))/(1/Q1688)))))</f>
        <v/>
      </c>
    </row>
    <row r="1704">
      <c r="A1704" t="inlineStr">
        <is>
          <t>Global Final Damage Bonus % (unused)</t>
        </is>
      </c>
      <c r="B1704" t="n">
        <v>0</v>
      </c>
    </row>
    <row r="1705">
      <c r="A1705" t="inlineStr">
        <is>
          <t>Buff-Casting Startup Delay (s, fixed-duration only)</t>
        </is>
      </c>
      <c r="B1705">
        <f>IF(AND(Inputs!$B$39&lt;&gt;"pvp",Inputs!$B$44&gt;0),SUMPRODUCT((Skills!T2:T26&gt;0)*(Skills!E2:E26=TRUE)*(C1671:C1695=TRUE))/B1700,0)</f>
        <v/>
      </c>
    </row>
    <row r="1706">
      <c r="A1706" t="inlineStr">
        <is>
          <t>Boss-Only Total DPS (this block's swept value)</t>
        </is>
      </c>
      <c r="B1706">
        <f>SUM(T1671:T1695)</f>
        <v/>
      </c>
    </row>
    <row r="1707">
      <c r="A1707" t="inlineStr">
        <is>
          <t>Normal-Only Total DPS (this block's swept value)</t>
        </is>
      </c>
      <c r="B1707">
        <f>SUM(V1671:V1695)</f>
        <v/>
      </c>
    </row>
    <row r="1708">
      <c r="A1708" s="6" t="inlineStr">
        <is>
          <t>TOTAL DPS</t>
        </is>
      </c>
      <c r="B1708" s="6">
        <f>SUM(O1671:O1695)</f>
        <v/>
      </c>
    </row>
    <row r="1711">
      <c r="A1711" s="6" t="inlineStr">
        <is>
          <t>Stat: Horntail's Scale (Equip)</t>
        </is>
      </c>
    </row>
    <row r="1712">
      <c r="A1712" s="5" t="inlineStr">
        <is>
          <t>Key</t>
        </is>
      </c>
      <c r="B1712" s="5" t="inlineStr">
        <is>
          <t>Name</t>
        </is>
      </c>
      <c r="C1712" s="5" t="inlineStr">
        <is>
          <t>Unlocked</t>
        </is>
      </c>
      <c r="D1712" s="5" t="inlineStr">
        <is>
          <t>InputLevel</t>
        </is>
      </c>
      <c r="E1712" s="5" t="inlineStr">
        <is>
          <t>Factor</t>
        </is>
      </c>
      <c r="F1712" s="5" t="inlineStr">
        <is>
          <t>CoefficientPercent</t>
        </is>
      </c>
      <c r="G1712" s="5" t="inlineStr">
        <is>
          <t>EffectiveHits</t>
        </is>
      </c>
      <c r="H1712" s="5" t="inlineStr">
        <is>
          <t>ProcProbability</t>
        </is>
      </c>
      <c r="I1712" s="5" t="inlineStr">
        <is>
          <t>MapleHeroMultiplier</t>
        </is>
      </c>
      <c r="J1712" s="5" t="inlineStr">
        <is>
          <t>BaseDamage</t>
        </is>
      </c>
      <c r="K1712" s="5" t="inlineStr">
        <is>
          <t>BaseHitDamage</t>
        </is>
      </c>
      <c r="L1712" s="5" t="inlineStr">
        <is>
          <t>NonCritAvg</t>
        </is>
      </c>
      <c r="M1712" s="5" t="inlineStr">
        <is>
          <t>CritAvg</t>
        </is>
      </c>
      <c r="N1712" s="5" t="inlineStr">
        <is>
          <t>ExpectedDamage(perHit)</t>
        </is>
      </c>
      <c r="O1712" s="5" t="inlineStr">
        <is>
          <t>DPS</t>
        </is>
      </c>
      <c r="P1712" s="5" t="inlineStr">
        <is>
          <t>% of Total</t>
        </is>
      </c>
      <c r="Q1712" s="5" t="inlineStr">
        <is>
          <t>InvCooldown</t>
        </is>
      </c>
      <c r="R1712" s="5" t="inlineStr">
        <is>
          <t>CastsInFight</t>
        </is>
      </c>
      <c r="S1712" s="5" t="inlineStr">
        <is>
          <t>HitRate(perSec)</t>
        </is>
      </c>
      <c r="U1712" t="inlineStr">
        <is>
          <t>helpers</t>
        </is>
      </c>
    </row>
    <row r="1713">
      <c r="A1713">
        <f>Skills!A2</f>
        <v/>
      </c>
      <c r="B1713">
        <f>Skills!B2</f>
        <v/>
      </c>
      <c r="C1713">
        <f>Inputs!$B$3&gt;=100</f>
        <v/>
      </c>
      <c r="D1713" t="inlineStr"/>
      <c r="E1713" t="inlineStr"/>
      <c r="F1713">
        <f>U1715+Skills!O2</f>
        <v/>
      </c>
      <c r="G1713">
        <f>Skills!G2*IF(Skills!H2&gt;0,INT(IF(Inputs!$B$39="pvp",MIN(Skills!I2,15),Skills!I2)/Skills!H2+0.000000001),1)</f>
        <v/>
      </c>
      <c r="H1713">
        <f>1-(1-Skills!J2/100)^Skills!K2</f>
        <v/>
      </c>
      <c r="I1713" t="inlineStr">
        <is>
          <t>1</t>
        </is>
      </c>
      <c r="J1713">
        <f>((Inputs!$B$6*(1+Inputs!$B$7/100))+(((Inputs!$B$13*(1+Inputs!$B$14/100))-(Inputs!$B$13*(1+Inputs!$B$14/100)))+0.25*(Inputs!$B$15-Inputs!$B$15))*(1+Inputs!$B$7/100))*(F1713/100)</f>
        <v/>
      </c>
      <c r="K1713">
        <f>J1713*(1+(((Inputs!$B$13+IF(Inputs!$B$3&gt;=38,(10*INDEX(FactorTable!$B$2:$Y$301, MATCH(ROUND(MIN(300,MAX(1,Inputs!$B$3)),0), FactorTable!$A$2:$A$301,0), 23)/1000)/100*(Inputs!$B$8*(1+Inputs!$B$9/100)),0))*(1+Inputs!$B$14/100))*0.01+Inputs!$B$15*0.0025)/100)*(1+Inputs!$B$16/100)*(1+Inputs!$B$17/100)*(5000/(6000+Inputs!$B$43*(1-(Inputs!$B$20+0)/100)))*(1+(Inputs!$B$25+((C1736=TRUE)*(F1736-Calc!F25))+((C1737=TRUE)*(F1737-Calc!F26))+B1746)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gt;=100),MIN(100,((Inputs!$B$10+0+B1740+(ArtifactsInput!$M$24-ArtifactsInput!$M$24)*CHOOSE(ArtifactsInput!$N$24+1,10,12,14,16,18,20)+IF(ArtifactsInput!$M$10,CHOOSE(ArtifactsInput!$N$10+1,15,18,21,24,27,30)*(IF(Inputs!$B$39="pvp",MIN(15,15)/15,IF(AND(Inputs!$B$39&lt;&gt;"pvp",Inputs!$B$44&gt;0),MIN(15,Inputs!$B$44)/(Inputs!$B$44),0))),0)))-100),0))*CHOOSE(ArtifactsInput!$N$42+1,0.6,0.72,0.84,0.96,1.08,1.2))),Inputs!$B$19+((C1734=TRUE)*(F1734-Calc!F23))+(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gt;=100),CHOOSE(ArtifactsInput!$N$42+1,40,48,56,64,72,80),0))))/100)*((1+(((C1724=TRUE)*F1724*IF(AND(Inputs!$B$39&lt;&gt;"pvp",Inputs!$B$44&gt;0),(((R1724-1)*MIN((Skills!T13*(1+Inputs!$B$35/100)),(1/Q1724))+MIN((Skills!T13*(1+Inputs!$B$35/100)),MAX(0,Inputs!$B$44-((R1724-1)*(1/Q1724)))))/Inputs!$B$44),IF(Inputs!$B$39="pvp",MIN((Skills!T13*(1+Inputs!$B$35/100)),15)/15,MIN(1,(Skills!T13*(1+Inputs!$B$35/100))/(1/Q1724)))))+((C1725=TRUE)*F1725*IF(AND(Inputs!$B$39&lt;&gt;"pvp",Inputs!$B$44&gt;0),(((R1725-1)*MIN((Skills!T14*(1+Inputs!$B$35/100)),(1/Q1725))+MIN((Skills!T14*(1+Inputs!$B$35/100)),MAX(0,Inputs!$B$44-((R1725-1)*(1/Q1725)))))/Inputs!$B$44),IF(Inputs!$B$39="pvp",MIN((Skills!T14*(1+Inputs!$B$35/100)),15)/15,MIN(1,(Skills!T14*(1+Inputs!$B$35/100))/(1/Q1725)))))+((C1726=TRUE)*F1726*IF(AND(Inputs!$B$39&lt;&gt;"pvp",Inputs!$B$44&gt;0),(((R1726-1)*MIN((Skills!T15*(1+Inputs!$B$35/100)),(1/Q1726))+MIN((Skills!T15*(1+Inputs!$B$35/100)),MAX(0,Inputs!$B$44-((R1726-1)*(1/Q1726)))))/Inputs!$B$44),IF(Inputs!$B$39="pvp",MIN((Skills!T15*(1+Inputs!$B$35/100)),15)/15,MIN(1,(Skills!T15*(1+Inputs!$B$35/100))/(1/Q1726)))))+((C1727=TRUE)*F1727*IF(AND(Inputs!$B$39&lt;&gt;"pvp",Inputs!$B$44&gt;0),(((R1727-1)*MIN((Skills!T16*(1+Inputs!$B$35/100)),(1/Q1727))+MIN((Skills!T16*(1+Inputs!$B$35/100)),MAX(0,Inputs!$B$44-((R1727-1)*(1/Q1727)))))/Inputs!$B$44),IF(Inputs!$B$39="pvp",MIN((Skills!T16*(1+Inputs!$B$35/100)),15)/15,MIN(1,(Skills!T16*(1+Inputs!$B$35/100))/(1/Q1727)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1713)</f>
        <v/>
      </c>
      <c r="L1713">
        <f>K1713*(MIN(Inputs!$B$23+((C1733=TRUE)*(F1733-Calc!F22)),(Inputs!$B$24+((C1735=TRUE)*(F1735-Calc!F24))+(IF(ArtifactsInput!$M$15,CHOOSE(ArtifactsInput!$N$15+1,25,30,35,40,45,50)/100*(Inputs!$B$12-Inputs!$B$12),0))))/100+(Inputs!$B$24+((C1735=TRUE)*(F1735-Calc!F24))+(IF(ArtifactsInput!$M$15,CHOOSE(ArtifactsInput!$N$15+1,25,30,35,40,45,50)/100*(Inputs!$B$12-Inputs!$B$12),0)))/100)/2</f>
        <v/>
      </c>
      <c r="M1713">
        <f>L1713*(1+(Inputs!$B$11+0+B1745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713">
        <f>L1713*(1-MIN((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1713*(MIN((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13">
        <f>(1-Summary!$B$11)*T1713+Summary!$B$11*V1713</f>
        <v/>
      </c>
      <c r="P1713">
        <f>IF(B1750=0,0,O1713/B1750)</f>
        <v/>
      </c>
      <c r="Q1713" t="n">
        <v>0</v>
      </c>
      <c r="R1713" t="n">
        <v>0</v>
      </c>
      <c r="S1713">
        <f>IFERROR(O1713/N1713,0)</f>
        <v/>
      </c>
      <c r="T1713">
        <f>IF(C1713,(Skills!G2*N1713*B1744)*IF(Inputs!$B$39="pvp",1,1+(Inputs!$B$21+0+Skills!P2+((C1728=TRUE)*F1728*IF(AND(Inputs!$B$39&lt;&gt;"pvp",Inputs!$B$44&gt;0),(((R1728-1)*MIN((Skills!T17*(1+Inputs!$B$35/100)),(1/Q1728))+MIN((Skills!T17*(1+Inputs!$B$35/100)),MAX(0,Inputs!$B$44-((R1728-1)*(1/Q1728)))))/Inputs!$B$44),IF(Inputs!$B$39="pvp",MIN((Skills!T17*(1+Inputs!$B$35/100)),15)/15,MIN(1,(Skills!T17*(1+Inputs!$B$35/100))/(1/Q1728)))))+((C1716=TRUE)*IF(Inputs!$B$3&gt;=126,10*MIN(1,15*Q1716),0))+((C1725=TRUE)*IF(Inputs!$B$39="pvp",20,(1-Summary!$B$11)*(20)+Summary!$B$11*(0))*IF(AND(Inputs!$B$39&lt;&gt;"pvp",Inputs!$B$44&gt;0),(((R1725-1)*MIN((Skills!T14*(1+Inputs!$B$35/100)),(1/Q1725))+MIN((Skills!T14*(1+Inputs!$B$35/100)),MAX(0,Inputs!$B$44-((R1725-1)*(1/Q1725)))))/Inputs!$B$44),IF(Inputs!$B$39="pvp",MIN((Skills!T14*(1+Inputs!$B$35/100)),15)/15,MIN(1,(Skills!T14*(1+Inputs!$B$35/100))/(1/Q1725)))))+((C1724=TRUE)*IF(Inputs!$B$3&gt;=82,IF(Inputs!$B$39="pvp",20,(1-Summary!$B$11)*(20)+Summary!$B$11*(0)),0)*IF(AND(Inputs!$B$39&lt;&gt;"pvp",Inputs!$B$44&gt;0),(((R1724-1)*MIN((Skills!T13*(1+Inputs!$B$35/100)),(1/Q1724))+MIN((Skills!T13*(1+Inputs!$B$35/100)),MAX(0,Inputs!$B$44-((R1724-1)*(1/Q1724)))))/Inputs!$B$44),IF(Inputs!$B$39="pvp",MIN((Skills!T13*(1+Inputs!$B$35/100)),15)/15,MIN(1,(Skills!T13*(1+Inputs!$B$35/100))/(1/Q1724)))))+(IF(AND(ArtifactsInput!$M$35,Inputs!$B$4&lt;&gt;"Chapter Hunt"),CHOOSE(ArtifactsInput!$N$35+1,15,18,21,24,27,30)*(1-EXP(-(0.2*B1742)*5)),0)+IF(AND(ArtifactsInput!$M$22,Inputs!$B$4&lt;&gt;"Chapter Hunt"),CHOOSE(ArtifactsInput!$N$22+1,10,12,14,16,18,20)*((0*(((0.15*B1742*5))^0/1)+1*(((0.15*B1742*5))^1/1)+2*(((0.15*B1742*5))^2/2)+3*(((0.15*B1742*5))^3/6)+4*(((0.15*B1742*5))^4/24)+5*(((0.15*B1742*5))^5/120))/((((0.15*B1742*5))^0/1)+(((0.15*B1742*5))^1/1)+(((0.15*B1742*5))^2/2)+(((0.15*B1742*5))^3/6)+(((0.15*B1742*5))^4/24)+(((0.15*B1742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1713*(1-MIN(100,(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1713*(MIN(100,(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1713*(1-MIN(100,(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1713*(MIN(100,(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13">
        <f>MAX(0,(Inputs!$B$3-100)*3)+Inputs!$B$29+Inputs!$B$30</f>
        <v/>
      </c>
      <c r="V1713">
        <f>IF(C1713,(Skills!G2*N1713*B1744)*IF(Inputs!$B$39="pvp",1,(1+(Inputs!$B$22+Skills!Q2+((C1728=TRUE)*F1728*IF(AND(Inputs!$B$39&lt;&gt;"pvp",Inputs!$B$44&gt;0),(((R1728-1)*MIN((Skills!T17*(1+Inputs!$B$35/100)),(1/Q1728))+MIN((Skills!T17*(1+Inputs!$B$35/100)),MAX(0,Inputs!$B$44-((R1728-1)*(1/Q1728)))))/Inputs!$B$44),IF(Inputs!$B$39="pvp",MIN((Skills!T17*(1+Inputs!$B$35/100)),15)/15,MIN(1,(Skills!T17*(1+Inputs!$B$35/100))/(1/Q1728)))))+((C1716=TRUE)*IF(Inputs!$B$3&gt;=126,10*MIN(1,15*Q1716),0))+((C1725=TRUE)*IF(Inputs!$B$39="pvp",20,(1-Summary!$B$11)*(20)+Summary!$B$11*(0))*IF(AND(Inputs!$B$39&lt;&gt;"pvp",Inputs!$B$44&gt;0),(((R1725-1)*MIN((Skills!T14*(1+Inputs!$B$35/100)),(1/Q1725))+MIN((Skills!T14*(1+Inputs!$B$35/100)),MAX(0,Inputs!$B$44-((R1725-1)*(1/Q1725)))))/Inputs!$B$44),IF(Inputs!$B$39="pvp",MIN((Skills!T14*(1+Inputs!$B$35/100)),15)/15,MIN(1,(Skills!T14*(1+Inputs!$B$35/100))/(1/Q1725)))))+((C1724=TRUE)*IF(Inputs!$B$3&gt;=82,IF(Inputs!$B$39="pvp",20,(1-Summary!$B$11)*(20)+Summary!$B$11*(0)),0)*IF(AND(Inputs!$B$39&lt;&gt;"pvp",Inputs!$B$44&gt;0),(((R1724-1)*MIN((Skills!T13*(1+Inputs!$B$35/100)),(1/Q1724))+MIN((Skills!T13*(1+Inputs!$B$35/100)),MAX(0,Inputs!$B$44-((R1724-1)*(1/Q1724)))))/Inputs!$B$44),IF(Inputs!$B$39="pvp",MIN((Skills!T13*(1+Inputs!$B$35/100)),15)/15,MIN(1,(Skills!T13*(1+Inputs!$B$35/100))/(1/Q1724)))))+(IF(AND(ArtifactsInput!$M$35,Inputs!$B$4&lt;&gt;"Chapter Hunt"),CHOOSE(ArtifactsInput!$N$35+1,15,18,21,24,27,30)*(1-EXP(-(0.2*B1742)*5)),0)+IF(AND(ArtifactsInput!$M$22,Inputs!$B$4&lt;&gt;"Chapter Hunt"),CHOOSE(ArtifactsInput!$N$22+1,10,12,14,16,18,20)*((0*(((0.15*B1742*5))^0/1)+1*(((0.15*B1742*5))^1/1)+2*(((0.15*B1742*5))^2/2)+3*(((0.15*B1742*5))^3/6)+4*(((0.15*B1742*5))^4/24)+5*(((0.15*B1742*5))^5/120))/((((0.15*B1742*5))^0/1)+(((0.15*B1742*5))^1/1)+(((0.15*B1742*5))^2/2)+(((0.15*B1742*5))^3/6)+(((0.15*B1742*5))^4/24)+(((0.15*B1742*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14">
      <c r="A1714">
        <f>Skills!A3</f>
        <v/>
      </c>
      <c r="B1714">
        <f>Skills!B3</f>
        <v/>
      </c>
      <c r="C1714">
        <f>Inputs!$B$3&gt;=50</f>
        <v/>
      </c>
      <c r="D1714">
        <f>IF(Skills!C3=1,60+Inputs!$B$26+Inputs!$B$30,IF(Skills!C3=2,90+Inputs!$B$27+Inputs!$B$30,IF(Skills!C3=3,120+Inputs!$B$28+Inputs!$B$30,MAX(0,(Inputs!$B$3-100)*3)+Inputs!$B$29+Inputs!$B$30)))</f>
        <v/>
      </c>
      <c r="E1714">
        <f>INDEX(FactorTable!$B$2:$Y$301, MATCH(ROUND(MIN(300,MAX(1,D1714)),0), FactorTable!$A$2:$A$301,0), Skills!M3+1)</f>
        <v/>
      </c>
      <c r="F1714">
        <f>IF(Skills!N3=TRUE,(Skills!L3/10)*(E1714/1000),Skills!L3/10)+Skills!O3</f>
        <v/>
      </c>
      <c r="G1714" t="inlineStr"/>
      <c r="H1714" t="inlineStr"/>
      <c r="I1714" t="inlineStr">
        <is>
          <t>1</t>
        </is>
      </c>
      <c r="J1714" t="inlineStr"/>
      <c r="K1714" t="inlineStr"/>
      <c r="L1714" t="inlineStr"/>
      <c r="M1714" t="inlineStr"/>
      <c r="N1714" t="inlineStr"/>
      <c r="O1714" t="inlineStr"/>
      <c r="P1714" t="inlineStr"/>
      <c r="Q1714" t="inlineStr"/>
      <c r="R1714" t="inlineStr"/>
      <c r="S1714" t="inlineStr"/>
      <c r="U1714">
        <f>INDEX(FactorTable!$B$2:$Y$301, MATCH(ROUND(MIN(300,MAX(1,U1713)),0), FactorTable!$A$2:$A$301,0), 22)</f>
        <v/>
      </c>
    </row>
    <row r="1715">
      <c r="A1715">
        <f>Skills!A4</f>
        <v/>
      </c>
      <c r="B1715">
        <f>Skills!B4</f>
        <v/>
      </c>
      <c r="C1715">
        <f>Inputs!$B$3&gt;=105</f>
        <v/>
      </c>
      <c r="D1715">
        <f>IF(Skills!C4=1,60+Inputs!$B$26+Inputs!$B$30,IF(Skills!C4=2,90+Inputs!$B$27+Inputs!$B$30,IF(Skills!C4=3,120+Inputs!$B$28+Inputs!$B$30,MAX(0,(Inputs!$B$3-100)*3)+Inputs!$B$29+Inputs!$B$30)))</f>
        <v/>
      </c>
      <c r="E1715">
        <f>INDEX(FactorTable!$B$2:$Y$301, MATCH(ROUND(MIN(300,MAX(1,D1715)),0), FactorTable!$A$2:$A$301,0), Skills!M4+1)</f>
        <v/>
      </c>
      <c r="F1715">
        <f>IF(Skills!N4=TRUE,(Skills!L4/10)*(E1715/1000),Skills!L4/10)+Skills!O4</f>
        <v/>
      </c>
      <c r="G1715" t="inlineStr"/>
      <c r="H1715" t="inlineStr"/>
      <c r="I1715" t="inlineStr">
        <is>
          <t>1</t>
        </is>
      </c>
      <c r="J1715" t="inlineStr"/>
      <c r="K1715" t="inlineStr"/>
      <c r="L1715" t="inlineStr"/>
      <c r="M1715" t="inlineStr"/>
      <c r="N1715" t="inlineStr"/>
      <c r="O1715" t="inlineStr"/>
      <c r="P1715" t="inlineStr"/>
      <c r="Q1715" t="inlineStr"/>
      <c r="R1715" t="inlineStr"/>
      <c r="S1715" t="inlineStr"/>
      <c r="U1715">
        <f>290*U1714/1000</f>
        <v/>
      </c>
    </row>
    <row r="1716">
      <c r="A1716">
        <f>Skills!A5</f>
        <v/>
      </c>
      <c r="B1716">
        <f>Skills!B5</f>
        <v/>
      </c>
      <c r="C1716">
        <f>Inputs!$B$3&gt;=117</f>
        <v/>
      </c>
      <c r="D1716">
        <f>IF(Skills!C5=1,60+Inputs!$B$26+Inputs!$B$30,IF(Skills!C5=2,90+Inputs!$B$27+Inputs!$B$30,IF(Skills!C5=3,120+Inputs!$B$28+Inputs!$B$30,MAX(0,(Inputs!$B$3-100)*3)+Inputs!$B$29+Inputs!$B$30)))</f>
        <v/>
      </c>
      <c r="E1716">
        <f>INDEX(FactorTable!$B$2:$Y$301, MATCH(ROUND(MIN(300,MAX(1,D1716)),0), FactorTable!$A$2:$A$301,0), Skills!M5+1)</f>
        <v/>
      </c>
      <c r="F1716">
        <f>IF(Skills!N5=TRUE,(Skills!L5/10)*(E1716/1000),Skills!L5/10)+Skills!O5</f>
        <v/>
      </c>
      <c r="G1716">
        <f>Skills!G5*IF(Skills!H5&gt;0,INT(IF(Inputs!$B$39="pvp",MIN(Skills!I5,15),Skills!I5)/Skills!H5+0.000000001),1)</f>
        <v/>
      </c>
      <c r="H1716">
        <f>1-(1-Skills!J5/100)^Skills!K5</f>
        <v/>
      </c>
      <c r="I1716" t="inlineStr">
        <is>
          <t>1</t>
        </is>
      </c>
      <c r="J1716">
        <f>((Inputs!$B$6*(1+Inputs!$B$7/100))+(((Inputs!$B$13*(1+Inputs!$B$14/100))-(Inputs!$B$13*(1+Inputs!$B$14/100)))+0.25*(Inputs!$B$15-Inputs!$B$15))*(1+Inputs!$B$7/100))*(F1716/100)</f>
        <v/>
      </c>
      <c r="K1716">
        <f>J1716*(1+(((Inputs!$B$13+IF(Inputs!$B$3&gt;=38,(10*INDEX(FactorTable!$B$2:$Y$301, MATCH(ROUND(MIN(300,MAX(1,Inputs!$B$3)),0), FactorTable!$A$2:$A$301,0), 23)/1000)/100*(Inputs!$B$8*(1+Inputs!$B$9/100)),0))*(1+Inputs!$B$14/100))*0.01+Inputs!$B$15*0.0025)/100)*(1+Inputs!$B$16/100)*(1+Inputs!$B$17/100)*(5000/(6000+Inputs!$B$43*(1-(Inputs!$B$20+0)/100)))*(1+(Inputs!$B$25+((C1736=TRUE)*(F1736-Calc!F25))+((C1737=TRUE)*(F1737-Calc!F26))+B1746)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gt;=100),MIN(100,((Inputs!$B$10+0+B1740+(ArtifactsInput!$M$24-ArtifactsInput!$M$24)*CHOOSE(ArtifactsInput!$N$24+1,10,12,14,16,18,20)+IF(ArtifactsInput!$M$10,CHOOSE(ArtifactsInput!$N$10+1,15,18,21,24,27,30)*(IF(Inputs!$B$39="pvp",MIN(15,15)/15,IF(AND(Inputs!$B$39&lt;&gt;"pvp",Inputs!$B$44&gt;0),MIN(15,Inputs!$B$44)/(Inputs!$B$44),0))),0)))-100),0))*CHOOSE(ArtifactsInput!$N$42+1,0.6,0.72,0.84,0.96,1.08,1.2))),Inputs!$B$19+((C1734=TRUE)*(F1734-Calc!F23))+(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gt;=100),CHOOSE(ArtifactsInput!$N$42+1,40,48,56,64,72,80),0))))/100)*((1+(((C1724=TRUE)*F1724*IF(AND(Inputs!$B$39&lt;&gt;"pvp",Inputs!$B$44&gt;0),(((R1724-1)*MIN((Skills!T13*(1+Inputs!$B$35/100)),(1/Q1724))+MIN((Skills!T13*(1+Inputs!$B$35/100)),MAX(0,Inputs!$B$44-((R1724-1)*(1/Q1724)))))/Inputs!$B$44),IF(Inputs!$B$39="pvp",MIN((Skills!T13*(1+Inputs!$B$35/100)),15)/15,MIN(1,(Skills!T13*(1+Inputs!$B$35/100))/(1/Q1724)))))+((C1725=TRUE)*F1725*IF(AND(Inputs!$B$39&lt;&gt;"pvp",Inputs!$B$44&gt;0),(((R1725-1)*MIN((Skills!T14*(1+Inputs!$B$35/100)),(1/Q1725))+MIN((Skills!T14*(1+Inputs!$B$35/100)),MAX(0,Inputs!$B$44-((R1725-1)*(1/Q1725)))))/Inputs!$B$44),IF(Inputs!$B$39="pvp",MIN((Skills!T14*(1+Inputs!$B$35/100)),15)/15,MIN(1,(Skills!T14*(1+Inputs!$B$35/100))/(1/Q1725)))))+((C1726=TRUE)*F1726*IF(AND(Inputs!$B$39&lt;&gt;"pvp",Inputs!$B$44&gt;0),(((R1726-1)*MIN((Skills!T15*(1+Inputs!$B$35/100)),(1/Q1726))+MIN((Skills!T15*(1+Inputs!$B$35/100)),MAX(0,Inputs!$B$44-((R1726-1)*(1/Q1726)))))/Inputs!$B$44),IF(Inputs!$B$39="pvp",MIN((Skills!T15*(1+Inputs!$B$35/100)),15)/15,MIN(1,(Skills!T15*(1+Inputs!$B$35/100))/(1/Q1726)))))+((C1727=TRUE)*F1727*IF(AND(Inputs!$B$39&lt;&gt;"pvp",Inputs!$B$44&gt;0),(((R1727-1)*MIN((Skills!T16*(1+Inputs!$B$35/100)),(1/Q1727))+MIN((Skills!T16*(1+Inputs!$B$35/100)),MAX(0,Inputs!$B$44-((R1727-1)*(1/Q1727)))))/Inputs!$B$44),IF(Inputs!$B$39="pvp",MIN((Skills!T16*(1+Inputs!$B$35/100)),15)/15,MIN(1,(Skills!T16*(1+Inputs!$B$35/100))/(1/Q1727)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1716)</f>
        <v/>
      </c>
      <c r="L1716">
        <f>K1716*(MIN(Inputs!$B$23+((C1733=TRUE)*(F1733-Calc!F22)),(Inputs!$B$24+((C1735=TRUE)*(F1735-Calc!F24))+(IF(ArtifactsInput!$M$15,CHOOSE(ArtifactsInput!$N$15+1,25,30,35,40,45,50)/100*(Inputs!$B$12-Inputs!$B$12),0))))/100+(Inputs!$B$24+((C1735=TRUE)*(F1735-Calc!F24))+(IF(ArtifactsInput!$M$15,CHOOSE(ArtifactsInput!$N$15+1,25,30,35,40,45,50)/100*(Inputs!$B$12-Inputs!$B$12),0)))/100)/2</f>
        <v/>
      </c>
      <c r="M1716">
        <f>L1716*(1+(Inputs!$B$11+0+B1745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716">
        <f>L1716*(1-MIN((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1716*(MIN((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16">
        <f>(1-Summary!$B$11)*T1716+Summary!$B$11*V1716</f>
        <v/>
      </c>
      <c r="P1716">
        <f>IF(B1750=0,0,O1716/B1750)</f>
        <v/>
      </c>
      <c r="Q1716">
        <f>IFERROR(1/IF(Inputs!$B$39="pvp",15,MAX(0.1,Skills!D5-IF(TRUE=TRUE,Inputs!$B$33,0))),0)</f>
        <v/>
      </c>
      <c r="R1716">
        <f>IF(AND(Inputs!$B$39&lt;&gt;"pvp",Inputs!$B$44&gt;0),IF(MAX(0,Inputs!$B$44-B1747)&lt;=0,0,(INT(MAX(0,Inputs!$B$44-B1747)/IF(Inputs!$B$39="pvp",15,MAX(0.1,Skills!D5-IF(TRUE=TRUE,Inputs!$B$33,0))))+1)),0)</f>
        <v/>
      </c>
      <c r="S1716">
        <f>IFERROR(O1716/N1716,0)</f>
        <v/>
      </c>
      <c r="T1716">
        <f>IF(C1716,(H1716*N1716*IF(AND(Inputs!$B$39&lt;&gt;"pvp",Inputs!$B$44&gt;0),((Skills!G5*((R1716-1)*IF(Skills!H5&gt;0,INT(Skills!I5/Skills!H5+0.000000001),1)+IF(Skills!H5&gt;0,INT(MIN(Skills!I5,MAX(0,MAX(0,Inputs!$B$44-B1747)-((R1716-1)*IF(Inputs!$B$39="pvp",15,MAX(0.1,Skills!D5-IF(TRUE=TRUE,Inputs!$B$33,0))))))/Skills!H5+0.000000001),1)))/Inputs!$B$44),G1716*Q1716))*IF(Inputs!$B$39="pvp",1,1+(Inputs!$B$21+0+Skills!P5+((C1728=TRUE)*F1728*IF(AND(Inputs!$B$39&lt;&gt;"pvp",Inputs!$B$44&gt;0),(((R1728-1)*MIN((Skills!T17*(1+Inputs!$B$35/100)),(1/Q1728))+MIN((Skills!T17*(1+Inputs!$B$35/100)),MAX(0,Inputs!$B$44-((R1728-1)*(1/Q1728)))))/Inputs!$B$44),IF(Inputs!$B$39="pvp",MIN((Skills!T17*(1+Inputs!$B$35/100)),15)/15,MIN(1,(Skills!T17*(1+Inputs!$B$35/100))/(1/Q1728)))))+((C1716=TRUE)*IF(Inputs!$B$3&gt;=126,10*MIN(1,15*Q1716),0))+((C1725=TRUE)*IF(Inputs!$B$39="pvp",20,(1-Summary!$B$11)*(20)+Summary!$B$11*(0))*IF(AND(Inputs!$B$39&lt;&gt;"pvp",Inputs!$B$44&gt;0),(((R1725-1)*MIN((Skills!T14*(1+Inputs!$B$35/100)),(1/Q1725))+MIN((Skills!T14*(1+Inputs!$B$35/100)),MAX(0,Inputs!$B$44-((R1725-1)*(1/Q1725)))))/Inputs!$B$44),IF(Inputs!$B$39="pvp",MIN((Skills!T14*(1+Inputs!$B$35/100)),15)/15,MIN(1,(Skills!T14*(1+Inputs!$B$35/100))/(1/Q1725)))))+((C1724=TRUE)*IF(Inputs!$B$3&gt;=82,IF(Inputs!$B$39="pvp",20,(1-Summary!$B$11)*(20)+Summary!$B$11*(0)),0)*IF(AND(Inputs!$B$39&lt;&gt;"pvp",Inputs!$B$44&gt;0),(((R1724-1)*MIN((Skills!T13*(1+Inputs!$B$35/100)),(1/Q1724))+MIN((Skills!T13*(1+Inputs!$B$35/100)),MAX(0,Inputs!$B$44-((R1724-1)*(1/Q1724)))))/Inputs!$B$44),IF(Inputs!$B$39="pvp",MIN((Skills!T13*(1+Inputs!$B$35/100)),15)/15,MIN(1,(Skills!T13*(1+Inputs!$B$35/100))/(1/Q1724)))))+(IF(AND(ArtifactsInput!$M$35,Inputs!$B$4&lt;&gt;"Chapter Hunt"),CHOOSE(ArtifactsInput!$N$35+1,15,18,21,24,27,30)*(1-EXP(-(0.2*B1742)*5)),0)+IF(AND(ArtifactsInput!$M$22,Inputs!$B$4&lt;&gt;"Chapter Hunt"),CHOOSE(ArtifactsInput!$N$22+1,10,12,14,16,18,20)*((0*(((0.15*B1742*5))^0/1)+1*(((0.15*B1742*5))^1/1)+2*(((0.15*B1742*5))^2/2)+3*(((0.15*B1742*5))^3/6)+4*(((0.15*B1742*5))^4/24)+5*(((0.15*B1742*5))^5/120))/((((0.15*B1742*5))^0/1)+(((0.15*B1742*5))^1/1)+(((0.15*B1742*5))^2/2)+(((0.15*B1742*5))^3/6)+(((0.15*B1742*5))^4/24)+(((0.15*B1742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1716*(1-MIN(100,(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1716*(MIN(100,(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1716*(1-MIN(100,(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1716*(MIN(100,(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16">
        <f>IF(C1716,(H1716*N1716*IF(AND(Inputs!$B$39&lt;&gt;"pvp",Inputs!$B$44&gt;0),((Skills!G5*((R1716-1)*IF(Skills!H5&gt;0,INT(Skills!I5/Skills!H5+0.000000001),1)+IF(Skills!H5&gt;0,INT(MIN(Skills!I5,MAX(0,MAX(0,Inputs!$B$44-B1747)-((R1716-1)*IF(Inputs!$B$39="pvp",15,MAX(0.1,Skills!D5-IF(TRUE=TRUE,Inputs!$B$33,0))))))/Skills!H5+0.000000001),1)))/Inputs!$B$44),G1716*Q1716))*IF(Inputs!$B$39="pvp",1,(1+(Inputs!$B$22+Skills!Q5+((C1728=TRUE)*F1728*IF(AND(Inputs!$B$39&lt;&gt;"pvp",Inputs!$B$44&gt;0),(((R1728-1)*MIN((Skills!T17*(1+Inputs!$B$35/100)),(1/Q1728))+MIN((Skills!T17*(1+Inputs!$B$35/100)),MAX(0,Inputs!$B$44-((R1728-1)*(1/Q1728)))))/Inputs!$B$44),IF(Inputs!$B$39="pvp",MIN((Skills!T17*(1+Inputs!$B$35/100)),15)/15,MIN(1,(Skills!T17*(1+Inputs!$B$35/100))/(1/Q1728)))))+((C1716=TRUE)*IF(Inputs!$B$3&gt;=126,10*MIN(1,15*Q1716),0))+((C1725=TRUE)*IF(Inputs!$B$39="pvp",20,(1-Summary!$B$11)*(20)+Summary!$B$11*(0))*IF(AND(Inputs!$B$39&lt;&gt;"pvp",Inputs!$B$44&gt;0),(((R1725-1)*MIN((Skills!T14*(1+Inputs!$B$35/100)),(1/Q1725))+MIN((Skills!T14*(1+Inputs!$B$35/100)),MAX(0,Inputs!$B$44-((R1725-1)*(1/Q1725)))))/Inputs!$B$44),IF(Inputs!$B$39="pvp",MIN((Skills!T14*(1+Inputs!$B$35/100)),15)/15,MIN(1,(Skills!T14*(1+Inputs!$B$35/100))/(1/Q1725)))))+((C1724=TRUE)*IF(Inputs!$B$3&gt;=82,IF(Inputs!$B$39="pvp",20,(1-Summary!$B$11)*(20)+Summary!$B$11*(0)),0)*IF(AND(Inputs!$B$39&lt;&gt;"pvp",Inputs!$B$44&gt;0),(((R1724-1)*MIN((Skills!T13*(1+Inputs!$B$35/100)),(1/Q1724))+MIN((Skills!T13*(1+Inputs!$B$35/100)),MAX(0,Inputs!$B$44-((R1724-1)*(1/Q1724)))))/Inputs!$B$44),IF(Inputs!$B$39="pvp",MIN((Skills!T13*(1+Inputs!$B$35/100)),15)/15,MIN(1,(Skills!T13*(1+Inputs!$B$35/100))/(1/Q1724)))))+(IF(AND(ArtifactsInput!$M$35,Inputs!$B$4&lt;&gt;"Chapter Hunt"),CHOOSE(ArtifactsInput!$N$35+1,15,18,21,24,27,30)*(1-EXP(-(0.2*B1742)*5)),0)+IF(AND(ArtifactsInput!$M$22,Inputs!$B$4&lt;&gt;"Chapter Hunt"),CHOOSE(ArtifactsInput!$N$22+1,10,12,14,16,18,20)*((0*(((0.15*B1742*5))^0/1)+1*(((0.15*B1742*5))^1/1)+2*(((0.15*B1742*5))^2/2)+3*(((0.15*B1742*5))^3/6)+4*(((0.15*B1742*5))^4/24)+5*(((0.15*B1742*5))^5/120))/((((0.15*B1742*5))^0/1)+(((0.15*B1742*5))^1/1)+(((0.15*B1742*5))^2/2)+(((0.15*B1742*5))^3/6)+(((0.15*B1742*5))^4/24)+(((0.15*B1742*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17">
      <c r="A1717">
        <f>Skills!A6</f>
        <v/>
      </c>
      <c r="B1717">
        <f>Skills!B6</f>
        <v/>
      </c>
      <c r="C1717">
        <f>Inputs!$B$3&gt;=103</f>
        <v/>
      </c>
      <c r="D1717">
        <f>IF(Skills!C6=1,60+Inputs!$B$26+Inputs!$B$30,IF(Skills!C6=2,90+Inputs!$B$27+Inputs!$B$30,IF(Skills!C6=3,120+Inputs!$B$28+Inputs!$B$30,MAX(0,(Inputs!$B$3-100)*3)+Inputs!$B$29+Inputs!$B$30)))</f>
        <v/>
      </c>
      <c r="E1717">
        <f>INDEX(FactorTable!$B$2:$Y$301, MATCH(ROUND(MIN(300,MAX(1,D1717)),0), FactorTable!$A$2:$A$301,0), Skills!M6+1)</f>
        <v/>
      </c>
      <c r="F1717">
        <f>IF(Skills!N6=TRUE,(Skills!L6/10)*(E1717/1000),Skills!L6/10)+Skills!O6</f>
        <v/>
      </c>
      <c r="G1717">
        <f>Skills!G6*IF(Skills!H6&gt;0,INT(IF(Inputs!$B$39="pvp",MIN(Skills!I6,15),Skills!I6)/Skills!H6+0.000000001),1)</f>
        <v/>
      </c>
      <c r="H1717">
        <f>1-(1-Skills!J6/100)^Skills!K6</f>
        <v/>
      </c>
      <c r="I1717" t="inlineStr">
        <is>
          <t>1</t>
        </is>
      </c>
      <c r="J1717">
        <f>((Inputs!$B$6*(1+Inputs!$B$7/100))+(((Inputs!$B$13*(1+Inputs!$B$14/100))-(Inputs!$B$13*(1+Inputs!$B$14/100)))+0.25*(Inputs!$B$15-Inputs!$B$15))*(1+Inputs!$B$7/100))*(F1717/100)</f>
        <v/>
      </c>
      <c r="K1717">
        <f>J1717*(1+(((Inputs!$B$13+IF(Inputs!$B$3&gt;=38,(10*INDEX(FactorTable!$B$2:$Y$301, MATCH(ROUND(MIN(300,MAX(1,Inputs!$B$3)),0), FactorTable!$A$2:$A$301,0), 23)/1000)/100*(Inputs!$B$8*(1+Inputs!$B$9/100)),0))*(1+Inputs!$B$14/100))*0.01+Inputs!$B$15*0.0025)/100)*(1+Inputs!$B$16/100)*(1+Inputs!$B$17/100)*(5000/(6000+Inputs!$B$43*(1-(Inputs!$B$20+0)/100)))*(1+(Inputs!$B$25+((C1736=TRUE)*(F1736-Calc!F25))+((C1737=TRUE)*(F1737-Calc!F26))+B1746)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gt;=100),MIN(100,((Inputs!$B$10+0+B1740+(ArtifactsInput!$M$24-ArtifactsInput!$M$24)*CHOOSE(ArtifactsInput!$N$24+1,10,12,14,16,18,20)+IF(ArtifactsInput!$M$10,CHOOSE(ArtifactsInput!$N$10+1,15,18,21,24,27,30)*(IF(Inputs!$B$39="pvp",MIN(15,15)/15,IF(AND(Inputs!$B$39&lt;&gt;"pvp",Inputs!$B$44&gt;0),MIN(15,Inputs!$B$44)/(Inputs!$B$44),0))),0)))-100),0))*CHOOSE(ArtifactsInput!$N$42+1,0.6,0.72,0.84,0.96,1.08,1.2))),Inputs!$B$19+((C1734=TRUE)*(F1734-Calc!F23))+(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gt;=100),CHOOSE(ArtifactsInput!$N$42+1,40,48,56,64,72,80),0))))/100)*((1+(((C1724=TRUE)*F1724*IF(AND(Inputs!$B$39&lt;&gt;"pvp",Inputs!$B$44&gt;0),(((R1724-1)*MIN((Skills!T13*(1+Inputs!$B$35/100)),(1/Q1724))+MIN((Skills!T13*(1+Inputs!$B$35/100)),MAX(0,Inputs!$B$44-((R1724-1)*(1/Q1724)))))/Inputs!$B$44),IF(Inputs!$B$39="pvp",MIN((Skills!T13*(1+Inputs!$B$35/100)),15)/15,MIN(1,(Skills!T13*(1+Inputs!$B$35/100))/(1/Q1724)))))+((C1725=TRUE)*F1725*IF(AND(Inputs!$B$39&lt;&gt;"pvp",Inputs!$B$44&gt;0),(((R1725-1)*MIN((Skills!T14*(1+Inputs!$B$35/100)),(1/Q1725))+MIN((Skills!T14*(1+Inputs!$B$35/100)),MAX(0,Inputs!$B$44-((R1725-1)*(1/Q1725)))))/Inputs!$B$44),IF(Inputs!$B$39="pvp",MIN((Skills!T14*(1+Inputs!$B$35/100)),15)/15,MIN(1,(Skills!T14*(1+Inputs!$B$35/100))/(1/Q1725)))))+((C1726=TRUE)*F1726*IF(AND(Inputs!$B$39&lt;&gt;"pvp",Inputs!$B$44&gt;0),(((R1726-1)*MIN((Skills!T15*(1+Inputs!$B$35/100)),(1/Q1726))+MIN((Skills!T15*(1+Inputs!$B$35/100)),MAX(0,Inputs!$B$44-((R1726-1)*(1/Q1726)))))/Inputs!$B$44),IF(Inputs!$B$39="pvp",MIN((Skills!T15*(1+Inputs!$B$35/100)),15)/15,MIN(1,(Skills!T15*(1+Inputs!$B$35/100))/(1/Q1726)))))+((C1727=TRUE)*F1727*IF(AND(Inputs!$B$39&lt;&gt;"pvp",Inputs!$B$44&gt;0),(((R1727-1)*MIN((Skills!T16*(1+Inputs!$B$35/100)),(1/Q1727))+MIN((Skills!T16*(1+Inputs!$B$35/100)),MAX(0,Inputs!$B$44-((R1727-1)*(1/Q1727)))))/Inputs!$B$44),IF(Inputs!$B$39="pvp",MIN((Skills!T16*(1+Inputs!$B$35/100)),15)/15,MIN(1,(Skills!T16*(1+Inputs!$B$35/100))/(1/Q1727)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1717)</f>
        <v/>
      </c>
      <c r="L1717">
        <f>K1717*(MIN(Inputs!$B$23+((C1733=TRUE)*(F1733-Calc!F22)),(Inputs!$B$24+((C1735=TRUE)*(F1735-Calc!F24))+(IF(ArtifactsInput!$M$15,CHOOSE(ArtifactsInput!$N$15+1,25,30,35,40,45,50)/100*(Inputs!$B$12-Inputs!$B$12),0))))/100+(Inputs!$B$24+((C1735=TRUE)*(F1735-Calc!F24))+(IF(ArtifactsInput!$M$15,CHOOSE(ArtifactsInput!$N$15+1,25,30,35,40,45,50)/100*(Inputs!$B$12-Inputs!$B$12),0)))/100)/2</f>
        <v/>
      </c>
      <c r="M1717">
        <f>L1717*(1+(Inputs!$B$11+0+B1745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717">
        <f>L1717*(1-MIN((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1717*(MIN((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17">
        <f>(1-Summary!$B$11)*T1717+Summary!$B$11*V1717</f>
        <v/>
      </c>
      <c r="P1717">
        <f>IF(B1750=0,0,O1717/B1750)</f>
        <v/>
      </c>
      <c r="Q1717">
        <f>IFERROR(1/IF(Inputs!$B$39="pvp",15,MAX(0.1,Skills!D6-IF(TRUE=TRUE,Inputs!$B$33,0))),0)</f>
        <v/>
      </c>
      <c r="R1717">
        <f>IF(AND(Inputs!$B$39&lt;&gt;"pvp",Inputs!$B$44&gt;0),IF(MAX(0,Inputs!$B$44-B1747)&lt;=0,0,(INT(MAX(0,Inputs!$B$44-B1747)/IF(Inputs!$B$39="pvp",15,MAX(0.1,Skills!D6-IF(TRUE=TRUE,Inputs!$B$33,0))))+1)),0)</f>
        <v/>
      </c>
      <c r="S1717">
        <f>IFERROR(O1717/N1717,0)</f>
        <v/>
      </c>
      <c r="T1717">
        <f>IF(C1717,(H1717*N1717*IF(AND(Inputs!$B$39&lt;&gt;"pvp",Inputs!$B$44&gt;0),((Skills!G6*((R1717-1)*IF(Skills!H6&gt;0,INT(Skills!I6/Skills!H6+0.000000001),1)+IF(Skills!H6&gt;0,INT(MIN(Skills!I6,MAX(0,MAX(0,Inputs!$B$44-B1747)-((R1717-1)*IF(Inputs!$B$39="pvp",15,MAX(0.1,Skills!D6-IF(TRUE=TRUE,Inputs!$B$33,0))))))/Skills!H6+0.000000001),1)))/Inputs!$B$44),G1717*Q1717))*IF(Inputs!$B$39="pvp",1,1+(Inputs!$B$21+0+Skills!P6+((C1728=TRUE)*F1728*IF(AND(Inputs!$B$39&lt;&gt;"pvp",Inputs!$B$44&gt;0),(((R1728-1)*MIN((Skills!T17*(1+Inputs!$B$35/100)),(1/Q1728))+MIN((Skills!T17*(1+Inputs!$B$35/100)),MAX(0,Inputs!$B$44-((R1728-1)*(1/Q1728)))))/Inputs!$B$44),IF(Inputs!$B$39="pvp",MIN((Skills!T17*(1+Inputs!$B$35/100)),15)/15,MIN(1,(Skills!T17*(1+Inputs!$B$35/100))/(1/Q1728)))))+((C1716=TRUE)*IF(Inputs!$B$3&gt;=126,10*MIN(1,15*Q1716),0))+((C1725=TRUE)*IF(Inputs!$B$39="pvp",20,(1-Summary!$B$11)*(20)+Summary!$B$11*(0))*IF(AND(Inputs!$B$39&lt;&gt;"pvp",Inputs!$B$44&gt;0),(((R1725-1)*MIN((Skills!T14*(1+Inputs!$B$35/100)),(1/Q1725))+MIN((Skills!T14*(1+Inputs!$B$35/100)),MAX(0,Inputs!$B$44-((R1725-1)*(1/Q1725)))))/Inputs!$B$44),IF(Inputs!$B$39="pvp",MIN((Skills!T14*(1+Inputs!$B$35/100)),15)/15,MIN(1,(Skills!T14*(1+Inputs!$B$35/100))/(1/Q1725)))))+((C1724=TRUE)*IF(Inputs!$B$3&gt;=82,IF(Inputs!$B$39="pvp",20,(1-Summary!$B$11)*(20)+Summary!$B$11*(0)),0)*IF(AND(Inputs!$B$39&lt;&gt;"pvp",Inputs!$B$44&gt;0),(((R1724-1)*MIN((Skills!T13*(1+Inputs!$B$35/100)),(1/Q1724))+MIN((Skills!T13*(1+Inputs!$B$35/100)),MAX(0,Inputs!$B$44-((R1724-1)*(1/Q1724)))))/Inputs!$B$44),IF(Inputs!$B$39="pvp",MIN((Skills!T13*(1+Inputs!$B$35/100)),15)/15,MIN(1,(Skills!T13*(1+Inputs!$B$35/100))/(1/Q1724)))))+(IF(AND(ArtifactsInput!$M$35,Inputs!$B$4&lt;&gt;"Chapter Hunt"),CHOOSE(ArtifactsInput!$N$35+1,15,18,21,24,27,30)*(1-EXP(-(0.2*B1742)*5)),0)+IF(AND(ArtifactsInput!$M$22,Inputs!$B$4&lt;&gt;"Chapter Hunt"),CHOOSE(ArtifactsInput!$N$22+1,10,12,14,16,18,20)*((0*(((0.15*B1742*5))^0/1)+1*(((0.15*B1742*5))^1/1)+2*(((0.15*B1742*5))^2/2)+3*(((0.15*B1742*5))^3/6)+4*(((0.15*B1742*5))^4/24)+5*(((0.15*B1742*5))^5/120))/((((0.15*B1742*5))^0/1)+(((0.15*B1742*5))^1/1)+(((0.15*B1742*5))^2/2)+(((0.15*B1742*5))^3/6)+(((0.15*B1742*5))^4/24)+(((0.15*B1742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1717*(1-MIN(100,(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1717*(MIN(100,(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1717*(1-MIN(100,(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1717*(MIN(100,(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17">
        <f>IF(C1717,(H1717*N1717*IF(AND(Inputs!$B$39&lt;&gt;"pvp",Inputs!$B$44&gt;0),((Skills!G6*((R1717-1)*IF(Skills!H6&gt;0,INT(Skills!I6/Skills!H6+0.000000001),1)+IF(Skills!H6&gt;0,INT(MIN(Skills!I6,MAX(0,MAX(0,Inputs!$B$44-B1747)-((R1717-1)*IF(Inputs!$B$39="pvp",15,MAX(0.1,Skills!D6-IF(TRUE=TRUE,Inputs!$B$33,0))))))/Skills!H6+0.000000001),1)))/Inputs!$B$44),G1717*Q1717))*IF(Inputs!$B$39="pvp",1,(1+(Inputs!$B$22+Skills!Q6+((C1728=TRUE)*F1728*IF(AND(Inputs!$B$39&lt;&gt;"pvp",Inputs!$B$44&gt;0),(((R1728-1)*MIN((Skills!T17*(1+Inputs!$B$35/100)),(1/Q1728))+MIN((Skills!T17*(1+Inputs!$B$35/100)),MAX(0,Inputs!$B$44-((R1728-1)*(1/Q1728)))))/Inputs!$B$44),IF(Inputs!$B$39="pvp",MIN((Skills!T17*(1+Inputs!$B$35/100)),15)/15,MIN(1,(Skills!T17*(1+Inputs!$B$35/100))/(1/Q1728)))))+((C1716=TRUE)*IF(Inputs!$B$3&gt;=126,10*MIN(1,15*Q1716),0))+((C1725=TRUE)*IF(Inputs!$B$39="pvp",20,(1-Summary!$B$11)*(20)+Summary!$B$11*(0))*IF(AND(Inputs!$B$39&lt;&gt;"pvp",Inputs!$B$44&gt;0),(((R1725-1)*MIN((Skills!T14*(1+Inputs!$B$35/100)),(1/Q1725))+MIN((Skills!T14*(1+Inputs!$B$35/100)),MAX(0,Inputs!$B$44-((R1725-1)*(1/Q1725)))))/Inputs!$B$44),IF(Inputs!$B$39="pvp",MIN((Skills!T14*(1+Inputs!$B$35/100)),15)/15,MIN(1,(Skills!T14*(1+Inputs!$B$35/100))/(1/Q1725)))))+((C1724=TRUE)*IF(Inputs!$B$3&gt;=82,IF(Inputs!$B$39="pvp",20,(1-Summary!$B$11)*(20)+Summary!$B$11*(0)),0)*IF(AND(Inputs!$B$39&lt;&gt;"pvp",Inputs!$B$44&gt;0),(((R1724-1)*MIN((Skills!T13*(1+Inputs!$B$35/100)),(1/Q1724))+MIN((Skills!T13*(1+Inputs!$B$35/100)),MAX(0,Inputs!$B$44-((R1724-1)*(1/Q1724)))))/Inputs!$B$44),IF(Inputs!$B$39="pvp",MIN((Skills!T13*(1+Inputs!$B$35/100)),15)/15,MIN(1,(Skills!T13*(1+Inputs!$B$35/100))/(1/Q1724)))))+(IF(AND(ArtifactsInput!$M$35,Inputs!$B$4&lt;&gt;"Chapter Hunt"),CHOOSE(ArtifactsInput!$N$35+1,15,18,21,24,27,30)*(1-EXP(-(0.2*B1742)*5)),0)+IF(AND(ArtifactsInput!$M$22,Inputs!$B$4&lt;&gt;"Chapter Hunt"),CHOOSE(ArtifactsInput!$N$22+1,10,12,14,16,18,20)*((0*(((0.15*B1742*5))^0/1)+1*(((0.15*B1742*5))^1/1)+2*(((0.15*B1742*5))^2/2)+3*(((0.15*B1742*5))^3/6)+4*(((0.15*B1742*5))^4/24)+5*(((0.15*B1742*5))^5/120))/((((0.15*B1742*5))^0/1)+(((0.15*B1742*5))^1/1)+(((0.15*B1742*5))^2/2)+(((0.15*B1742*5))^3/6)+(((0.15*B1742*5))^4/24)+(((0.15*B1742*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18">
      <c r="A1718">
        <f>Skills!A7</f>
        <v/>
      </c>
      <c r="B1718">
        <f>Skills!B7</f>
        <v/>
      </c>
      <c r="C1718">
        <f>Inputs!$B$3&gt;=40</f>
        <v/>
      </c>
      <c r="D1718">
        <f>IF(Skills!C7=1,60+Inputs!$B$26+Inputs!$B$30,IF(Skills!C7=2,90+Inputs!$B$27+Inputs!$B$30,IF(Skills!C7=3,120+Inputs!$B$28+Inputs!$B$30,MAX(0,(Inputs!$B$3-100)*3)+Inputs!$B$29+Inputs!$B$30)))</f>
        <v/>
      </c>
      <c r="E1718">
        <f>INDEX(FactorTable!$B$2:$Y$301, MATCH(ROUND(MIN(300,MAX(1,D1718)),0), FactorTable!$A$2:$A$301,0), Skills!M7+1)</f>
        <v/>
      </c>
      <c r="F1718">
        <f>IF(Skills!N7=TRUE,(Skills!L7/10)*(E1718/1000),Skills!L7/10)+Skills!O7</f>
        <v/>
      </c>
      <c r="G1718">
        <f>Skills!G7*IF(Skills!H7&gt;0,INT(IF(Inputs!$B$39="pvp",MIN(Skills!I7,15),Skills!I7)/Skills!H7+0.000000001),1)</f>
        <v/>
      </c>
      <c r="H1718">
        <f>1-(1-Skills!J7/100)^Skills!K7</f>
        <v/>
      </c>
      <c r="I1718" t="inlineStr">
        <is>
          <t>1</t>
        </is>
      </c>
      <c r="J1718">
        <f>((Inputs!$B$6*(1+Inputs!$B$7/100))+(((Inputs!$B$13*(1+Inputs!$B$14/100))-(Inputs!$B$13*(1+Inputs!$B$14/100)))+0.25*(Inputs!$B$15-Inputs!$B$15))*(1+Inputs!$B$7/100))*(F1718/100)</f>
        <v/>
      </c>
      <c r="K1718">
        <f>J1718*(1+(((Inputs!$B$13+IF(Inputs!$B$3&gt;=38,(10*INDEX(FactorTable!$B$2:$Y$301, MATCH(ROUND(MIN(300,MAX(1,Inputs!$B$3)),0), FactorTable!$A$2:$A$301,0), 23)/1000)/100*(Inputs!$B$8*(1+Inputs!$B$9/100)),0))*(1+Inputs!$B$14/100))*0.01+Inputs!$B$15*0.0025)/100)*(1+Inputs!$B$16/100)*(1+Inputs!$B$17/100)*(5000/(6000+Inputs!$B$43*(1-(Inputs!$B$20+0)/100)))*(1+(Inputs!$B$25+((C1736=TRUE)*(F1736-Calc!F25))+((C1737=TRUE)*(F1737-Calc!F26))+B1746)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1722=TRUE,F1722,0)/100)*(1+(IF(Skills!A7="DARK_IMPALE",Inputs!$B$18+0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gt;=100),MIN(100,((Inputs!$B$10+0+B1740+(ArtifactsInput!$M$24-ArtifactsInput!$M$24)*CHOOSE(ArtifactsInput!$N$24+1,10,12,14,16,18,20)+IF(ArtifactsInput!$M$10,CHOOSE(ArtifactsInput!$N$10+1,15,18,21,24,27,30)*(IF(Inputs!$B$39="pvp",MIN(15,15)/15,IF(AND(Inputs!$B$39&lt;&gt;"pvp",Inputs!$B$44&gt;0),MIN(15,Inputs!$B$44)/(Inputs!$B$44),0))),0)))-100),0))*CHOOSE(ArtifactsInput!$N$42+1,0.6,0.72,0.84,0.96,1.08,1.2))),Inputs!$B$19+((C1734=TRUE)*(F1734-Calc!F23))+(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gt;=100),CHOOSE(ArtifactsInput!$N$42+1,40,48,56,64,72,80),0))))/100)*((1+(((C1724=TRUE)*F1724*IF(AND(Inputs!$B$39&lt;&gt;"pvp",Inputs!$B$44&gt;0),(((R1724-1)*MIN((Skills!T13*(1+Inputs!$B$35/100)),(1/Q1724))+MIN((Skills!T13*(1+Inputs!$B$35/100)),MAX(0,Inputs!$B$44-((R1724-1)*(1/Q1724)))))/Inputs!$B$44),IF(Inputs!$B$39="pvp",MIN((Skills!T13*(1+Inputs!$B$35/100)),15)/15,MIN(1,(Skills!T13*(1+Inputs!$B$35/100))/(1/Q1724)))))+((C1725=TRUE)*F1725*IF(AND(Inputs!$B$39&lt;&gt;"pvp",Inputs!$B$44&gt;0),(((R1725-1)*MIN((Skills!T14*(1+Inputs!$B$35/100)),(1/Q1725))+MIN((Skills!T14*(1+Inputs!$B$35/100)),MAX(0,Inputs!$B$44-((R1725-1)*(1/Q1725)))))/Inputs!$B$44),IF(Inputs!$B$39="pvp",MIN((Skills!T14*(1+Inputs!$B$35/100)),15)/15,MIN(1,(Skills!T14*(1+Inputs!$B$35/100))/(1/Q1725)))))+((C1726=TRUE)*F1726*IF(AND(Inputs!$B$39&lt;&gt;"pvp",Inputs!$B$44&gt;0),(((R1726-1)*MIN((Skills!T15*(1+Inputs!$B$35/100)),(1/Q1726))+MIN((Skills!T15*(1+Inputs!$B$35/100)),MAX(0,Inputs!$B$44-((R1726-1)*(1/Q1726)))))/Inputs!$B$44),IF(Inputs!$B$39="pvp",MIN((Skills!T15*(1+Inputs!$B$35/100)),15)/15,MIN(1,(Skills!T15*(1+Inputs!$B$35/100))/(1/Q1726)))))+((C1727=TRUE)*F1727*IF(AND(Inputs!$B$39&lt;&gt;"pvp",Inputs!$B$44&gt;0),(((R1727-1)*MIN((Skills!T16*(1+Inputs!$B$35/100)),(1/Q1727))+MIN((Skills!T16*(1+Inputs!$B$35/100)),MAX(0,Inputs!$B$44-((R1727-1)*(1/Q1727)))))/Inputs!$B$44),IF(Inputs!$B$39="pvp",MIN((Skills!T16*(1+Inputs!$B$35/100)),15)/15,MIN(1,(Skills!T16*(1+Inputs!$B$35/100))/(1/Q1727)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1718)</f>
        <v/>
      </c>
      <c r="L1718">
        <f>K1718*(MIN(Inputs!$B$23+((C1733=TRUE)*(F1733-Calc!F22)),(Inputs!$B$24+((C1735=TRUE)*(F1735-Calc!F24))+(IF(ArtifactsInput!$M$15,CHOOSE(ArtifactsInput!$N$15+1,25,30,35,40,45,50)/100*(Inputs!$B$12-Inputs!$B$12),0))))/100+(Inputs!$B$24+((C1735=TRUE)*(F1735-Calc!F24))+(IF(ArtifactsInput!$M$15,CHOOSE(ArtifactsInput!$N$15+1,25,30,35,40,45,50)/100*(Inputs!$B$12-Inputs!$B$12),0)))/100)/2</f>
        <v/>
      </c>
      <c r="M1718">
        <f>L1718*(1+(Inputs!$B$11+0+B1745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718">
        <f>L1718*(1-MIN((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1718*(MIN((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18">
        <f>(1-Summary!$B$11)*T1718+Summary!$B$11*V1718</f>
        <v/>
      </c>
      <c r="P1718">
        <f>IF(B1750=0,0,O1718/B1750)</f>
        <v/>
      </c>
      <c r="Q1718">
        <f>IFERROR(1/IF(Inputs!$B$39="pvp",15,MAX(0.1,Skills!D7-IF(TRUE=TRUE,Inputs!$B$33,0))),0)</f>
        <v/>
      </c>
      <c r="R1718">
        <f>IF(AND(Inputs!$B$39&lt;&gt;"pvp",Inputs!$B$44&gt;0),IF(MAX(0,Inputs!$B$44-B1747)&lt;=0,0,(INT(MAX(0,Inputs!$B$44-B1747)/IF(Inputs!$B$39="pvp",15,MAX(0.1,Skills!D7-IF(TRUE=TRUE,Inputs!$B$33,0))))+1)),0)</f>
        <v/>
      </c>
      <c r="S1718">
        <f>IFERROR(O1718/N1718,0)</f>
        <v/>
      </c>
      <c r="T1718">
        <f>IF(C1718,(H1718*N1718*IF(AND(Inputs!$B$39&lt;&gt;"pvp",Inputs!$B$44&gt;0),((Skills!G7*((R1718-1)*IF(Skills!H7&gt;0,INT(Skills!I7/Skills!H7+0.000000001),1)+IF(Skills!H7&gt;0,INT(MIN(Skills!I7,MAX(0,MAX(0,Inputs!$B$44-B1747)-((R1718-1)*IF(Inputs!$B$39="pvp",15,MAX(0.1,Skills!D7-IF(TRUE=TRUE,Inputs!$B$33,0))))))/Skills!H7+0.000000001),1)))/Inputs!$B$44),G1718*Q1718))*IF(Inputs!$B$39="pvp",1,1+(Inputs!$B$21+0+Skills!P7+((C1728=TRUE)*F1728*IF(AND(Inputs!$B$39&lt;&gt;"pvp",Inputs!$B$44&gt;0),(((R1728-1)*MIN((Skills!T17*(1+Inputs!$B$35/100)),(1/Q1728))+MIN((Skills!T17*(1+Inputs!$B$35/100)),MAX(0,Inputs!$B$44-((R1728-1)*(1/Q1728)))))/Inputs!$B$44),IF(Inputs!$B$39="pvp",MIN((Skills!T17*(1+Inputs!$B$35/100)),15)/15,MIN(1,(Skills!T17*(1+Inputs!$B$35/100))/(1/Q1728)))))+((C1716=TRUE)*IF(Inputs!$B$3&gt;=126,10*MIN(1,15*Q1716),0))+((C1725=TRUE)*IF(Inputs!$B$39="pvp",20,(1-Summary!$B$11)*(20)+Summary!$B$11*(0))*IF(AND(Inputs!$B$39&lt;&gt;"pvp",Inputs!$B$44&gt;0),(((R1725-1)*MIN((Skills!T14*(1+Inputs!$B$35/100)),(1/Q1725))+MIN((Skills!T14*(1+Inputs!$B$35/100)),MAX(0,Inputs!$B$44-((R1725-1)*(1/Q1725)))))/Inputs!$B$44),IF(Inputs!$B$39="pvp",MIN((Skills!T14*(1+Inputs!$B$35/100)),15)/15,MIN(1,(Skills!T14*(1+Inputs!$B$35/100))/(1/Q1725)))))+((C1724=TRUE)*IF(Inputs!$B$3&gt;=82,IF(Inputs!$B$39="pvp",20,(1-Summary!$B$11)*(20)+Summary!$B$11*(0)),0)*IF(AND(Inputs!$B$39&lt;&gt;"pvp",Inputs!$B$44&gt;0),(((R1724-1)*MIN((Skills!T13*(1+Inputs!$B$35/100)),(1/Q1724))+MIN((Skills!T13*(1+Inputs!$B$35/100)),MAX(0,Inputs!$B$44-((R1724-1)*(1/Q1724)))))/Inputs!$B$44),IF(Inputs!$B$39="pvp",MIN((Skills!T13*(1+Inputs!$B$35/100)),15)/15,MIN(1,(Skills!T13*(1+Inputs!$B$35/100))/(1/Q1724)))))+(IF(AND(ArtifactsInput!$M$35,Inputs!$B$4&lt;&gt;"Chapter Hunt"),CHOOSE(ArtifactsInput!$N$35+1,15,18,21,24,27,30)*(1-EXP(-(0.2*B1742)*5)),0)+IF(AND(ArtifactsInput!$M$22,Inputs!$B$4&lt;&gt;"Chapter Hunt"),CHOOSE(ArtifactsInput!$N$22+1,10,12,14,16,18,20)*((0*(((0.15*B1742*5))^0/1)+1*(((0.15*B1742*5))^1/1)+2*(((0.15*B1742*5))^2/2)+3*(((0.15*B1742*5))^3/6)+4*(((0.15*B1742*5))^4/24)+5*(((0.15*B1742*5))^5/120))/((((0.15*B1742*5))^0/1)+(((0.15*B1742*5))^1/1)+(((0.15*B1742*5))^2/2)+(((0.15*B1742*5))^3/6)+(((0.15*B1742*5))^4/24)+(((0.15*B1742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1718*(1-MIN(100,(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1718*(MIN(100,(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1718*(1-MIN(100,(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1718*(MIN(100,(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18">
        <f>IF(C1718,(H1718*N1718*IF(AND(Inputs!$B$39&lt;&gt;"pvp",Inputs!$B$44&gt;0),((Skills!G7*((R1718-1)*IF(Skills!H7&gt;0,INT(Skills!I7/Skills!H7+0.000000001),1)+IF(Skills!H7&gt;0,INT(MIN(Skills!I7,MAX(0,MAX(0,Inputs!$B$44-B1747)-((R1718-1)*IF(Inputs!$B$39="pvp",15,MAX(0.1,Skills!D7-IF(TRUE=TRUE,Inputs!$B$33,0))))))/Skills!H7+0.000000001),1)))/Inputs!$B$44),G1718*Q1718))*IF(Inputs!$B$39="pvp",1,(1+(Inputs!$B$22+Skills!Q7+((C1728=TRUE)*F1728*IF(AND(Inputs!$B$39&lt;&gt;"pvp",Inputs!$B$44&gt;0),(((R1728-1)*MIN((Skills!T17*(1+Inputs!$B$35/100)),(1/Q1728))+MIN((Skills!T17*(1+Inputs!$B$35/100)),MAX(0,Inputs!$B$44-((R1728-1)*(1/Q1728)))))/Inputs!$B$44),IF(Inputs!$B$39="pvp",MIN((Skills!T17*(1+Inputs!$B$35/100)),15)/15,MIN(1,(Skills!T17*(1+Inputs!$B$35/100))/(1/Q1728)))))+((C1716=TRUE)*IF(Inputs!$B$3&gt;=126,10*MIN(1,15*Q1716),0))+((C1725=TRUE)*IF(Inputs!$B$39="pvp",20,(1-Summary!$B$11)*(20)+Summary!$B$11*(0))*IF(AND(Inputs!$B$39&lt;&gt;"pvp",Inputs!$B$44&gt;0),(((R1725-1)*MIN((Skills!T14*(1+Inputs!$B$35/100)),(1/Q1725))+MIN((Skills!T14*(1+Inputs!$B$35/100)),MAX(0,Inputs!$B$44-((R1725-1)*(1/Q1725)))))/Inputs!$B$44),IF(Inputs!$B$39="pvp",MIN((Skills!T14*(1+Inputs!$B$35/100)),15)/15,MIN(1,(Skills!T14*(1+Inputs!$B$35/100))/(1/Q1725)))))+((C1724=TRUE)*IF(Inputs!$B$3&gt;=82,IF(Inputs!$B$39="pvp",20,(1-Summary!$B$11)*(20)+Summary!$B$11*(0)),0)*IF(AND(Inputs!$B$39&lt;&gt;"pvp",Inputs!$B$44&gt;0),(((R1724-1)*MIN((Skills!T13*(1+Inputs!$B$35/100)),(1/Q1724))+MIN((Skills!T13*(1+Inputs!$B$35/100)),MAX(0,Inputs!$B$44-((R1724-1)*(1/Q1724)))))/Inputs!$B$44),IF(Inputs!$B$39="pvp",MIN((Skills!T13*(1+Inputs!$B$35/100)),15)/15,MIN(1,(Skills!T13*(1+Inputs!$B$35/100))/(1/Q1724)))))+(IF(AND(ArtifactsInput!$M$35,Inputs!$B$4&lt;&gt;"Chapter Hunt"),CHOOSE(ArtifactsInput!$N$35+1,15,18,21,24,27,30)*(1-EXP(-(0.2*B1742)*5)),0)+IF(AND(ArtifactsInput!$M$22,Inputs!$B$4&lt;&gt;"Chapter Hunt"),CHOOSE(ArtifactsInput!$N$22+1,10,12,14,16,18,20)*((0*(((0.15*B1742*5))^0/1)+1*(((0.15*B1742*5))^1/1)+2*(((0.15*B1742*5))^2/2)+3*(((0.15*B1742*5))^3/6)+4*(((0.15*B1742*5))^4/24)+5*(((0.15*B1742*5))^5/120))/((((0.15*B1742*5))^0/1)+(((0.15*B1742*5))^1/1)+(((0.15*B1742*5))^2/2)+(((0.15*B1742*5))^3/6)+(((0.15*B1742*5))^4/24)+(((0.15*B1742*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19">
      <c r="A1719">
        <f>Skills!A8</f>
        <v/>
      </c>
      <c r="B1719">
        <f>Skills!B8</f>
        <v/>
      </c>
      <c r="C1719">
        <f>Inputs!$B$3&gt;=75</f>
        <v/>
      </c>
      <c r="D1719">
        <f>IF(Skills!C8=1,60+Inputs!$B$26+Inputs!$B$30,IF(Skills!C8=2,90+Inputs!$B$27+Inputs!$B$30,IF(Skills!C8=3,120+Inputs!$B$28+Inputs!$B$30,MAX(0,(Inputs!$B$3-100)*3)+Inputs!$B$29+Inputs!$B$30)))</f>
        <v/>
      </c>
      <c r="E1719">
        <f>INDEX(FactorTable!$B$2:$Y$301, MATCH(ROUND(MIN(300,MAX(1,D1719)),0), FactorTable!$A$2:$A$301,0), Skills!M8+1)</f>
        <v/>
      </c>
      <c r="F1719">
        <f>IF(Skills!N8=TRUE,(Skills!L8/10)*(E1719/1000),Skills!L8/10)+Skills!O8</f>
        <v/>
      </c>
      <c r="G1719" t="inlineStr"/>
      <c r="H1719" t="inlineStr"/>
      <c r="I1719" t="inlineStr">
        <is>
          <t>1</t>
        </is>
      </c>
      <c r="J1719" t="inlineStr"/>
      <c r="K1719" t="inlineStr"/>
      <c r="L1719" t="inlineStr"/>
      <c r="M1719" t="inlineStr"/>
      <c r="N1719" t="inlineStr"/>
      <c r="O1719" t="inlineStr"/>
      <c r="P1719" t="inlineStr"/>
      <c r="Q1719" t="inlineStr"/>
      <c r="R1719" t="inlineStr"/>
      <c r="S1719" t="inlineStr"/>
    </row>
    <row r="1720">
      <c r="A1720">
        <f>Skills!A9</f>
        <v/>
      </c>
      <c r="B1720">
        <f>Skills!B9</f>
        <v/>
      </c>
      <c r="C1720">
        <f>Inputs!$B$3&gt;=60</f>
        <v/>
      </c>
      <c r="D1720">
        <f>IF(Skills!C9=1,60+Inputs!$B$26+Inputs!$B$30,IF(Skills!C9=2,90+Inputs!$B$27+Inputs!$B$30,IF(Skills!C9=3,120+Inputs!$B$28+Inputs!$B$30,MAX(0,(Inputs!$B$3-100)*3)+Inputs!$B$29+Inputs!$B$30)))</f>
        <v/>
      </c>
      <c r="E1720">
        <f>INDEX(FactorTable!$B$2:$Y$301, MATCH(ROUND(MIN(300,MAX(1,D1720)),0), FactorTable!$A$2:$A$301,0), Skills!M9+1)</f>
        <v/>
      </c>
      <c r="F1720">
        <f>IF(Skills!N9=TRUE,(Skills!L9/10)*(E1720/1000),Skills!L9/10)+Skills!O9</f>
        <v/>
      </c>
      <c r="G1720">
        <f>Skills!G9*IF(Skills!H9&gt;0,INT(IF(Inputs!$B$39="pvp",MIN(Skills!I9,15),Skills!I9)/Skills!H9+0.000000001),1)</f>
        <v/>
      </c>
      <c r="H1720">
        <f>1-(1-Skills!J9/100)^Skills!K9</f>
        <v/>
      </c>
      <c r="I1720" t="inlineStr">
        <is>
          <t>1</t>
        </is>
      </c>
      <c r="J1720">
        <f>((Inputs!$B$6*(1+Inputs!$B$7/100))+(((Inputs!$B$13*(1+Inputs!$B$14/100))-(Inputs!$B$13*(1+Inputs!$B$14/100)))+0.25*(Inputs!$B$15-Inputs!$B$15))*(1+Inputs!$B$7/100))*(F1720/100)</f>
        <v/>
      </c>
      <c r="K1720">
        <f>J1720*(1+(((Inputs!$B$13+IF(Inputs!$B$3&gt;=38,(10*INDEX(FactorTable!$B$2:$Y$301, MATCH(ROUND(MIN(300,MAX(1,Inputs!$B$3)),0), FactorTable!$A$2:$A$301,0), 23)/1000)/100*(Inputs!$B$8*(1+Inputs!$B$9/100)),0))*(1+Inputs!$B$14/100))*0.01+Inputs!$B$15*0.0025)/100)*(1+Inputs!$B$16/100)*(1+Inputs!$B$17/100)*(5000/(6000+Inputs!$B$43*(1-(Inputs!$B$20+0)/100)))*(1+(Inputs!$B$25+((C1736=TRUE)*(F1736-Calc!F25))+((C1737=TRUE)*(F1737-Calc!F26))+B1746)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1722=TRUE,F1722,0)/100)*(1+(IF(Skills!A9="DARK_IMPALE",Inputs!$B$18+0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gt;=100),MIN(100,((Inputs!$B$10+0+B1740+(ArtifactsInput!$M$24-ArtifactsInput!$M$24)*CHOOSE(ArtifactsInput!$N$24+1,10,12,14,16,18,20)+IF(ArtifactsInput!$M$10,CHOOSE(ArtifactsInput!$N$10+1,15,18,21,24,27,30)*(IF(Inputs!$B$39="pvp",MIN(15,15)/15,IF(AND(Inputs!$B$39&lt;&gt;"pvp",Inputs!$B$44&gt;0),MIN(15,Inputs!$B$44)/(Inputs!$B$44),0))),0)))-100),0))*CHOOSE(ArtifactsInput!$N$42+1,0.6,0.72,0.84,0.96,1.08,1.2))),Inputs!$B$19+((C1734=TRUE)*(F1734-Calc!F23))+(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gt;=100),CHOOSE(ArtifactsInput!$N$42+1,40,48,56,64,72,80),0))))/100)*((1+(((C1724=TRUE)*F1724*IF(AND(Inputs!$B$39&lt;&gt;"pvp",Inputs!$B$44&gt;0),(((R1724-1)*MIN((Skills!T13*(1+Inputs!$B$35/100)),(1/Q1724))+MIN((Skills!T13*(1+Inputs!$B$35/100)),MAX(0,Inputs!$B$44-((R1724-1)*(1/Q1724)))))/Inputs!$B$44),IF(Inputs!$B$39="pvp",MIN((Skills!T13*(1+Inputs!$B$35/100)),15)/15,MIN(1,(Skills!T13*(1+Inputs!$B$35/100))/(1/Q1724)))))+((C1725=TRUE)*F1725*IF(AND(Inputs!$B$39&lt;&gt;"pvp",Inputs!$B$44&gt;0),(((R1725-1)*MIN((Skills!T14*(1+Inputs!$B$35/100)),(1/Q1725))+MIN((Skills!T14*(1+Inputs!$B$35/100)),MAX(0,Inputs!$B$44-((R1725-1)*(1/Q1725)))))/Inputs!$B$44),IF(Inputs!$B$39="pvp",MIN((Skills!T14*(1+Inputs!$B$35/100)),15)/15,MIN(1,(Skills!T14*(1+Inputs!$B$35/100))/(1/Q1725)))))+((C1726=TRUE)*F1726*IF(AND(Inputs!$B$39&lt;&gt;"pvp",Inputs!$B$44&gt;0),(((R1726-1)*MIN((Skills!T15*(1+Inputs!$B$35/100)),(1/Q1726))+MIN((Skills!T15*(1+Inputs!$B$35/100)),MAX(0,Inputs!$B$44-((R1726-1)*(1/Q1726)))))/Inputs!$B$44),IF(Inputs!$B$39="pvp",MIN((Skills!T15*(1+Inputs!$B$35/100)),15)/15,MIN(1,(Skills!T15*(1+Inputs!$B$35/100))/(1/Q1726)))))+((C1727=TRUE)*F1727*IF(AND(Inputs!$B$39&lt;&gt;"pvp",Inputs!$B$44&gt;0),(((R1727-1)*MIN((Skills!T16*(1+Inputs!$B$35/100)),(1/Q1727))+MIN((Skills!T16*(1+Inputs!$B$35/100)),MAX(0,Inputs!$B$44-((R1727-1)*(1/Q1727)))))/Inputs!$B$44),IF(Inputs!$B$39="pvp",MIN((Skills!T16*(1+Inputs!$B$35/100)),15)/15,MIN(1,(Skills!T16*(1+Inputs!$B$35/100))/(1/Q1727)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1720)</f>
        <v/>
      </c>
      <c r="L1720">
        <f>K1720*(MIN(Inputs!$B$23+((C1733=TRUE)*(F1733-Calc!F22)),(Inputs!$B$24+((C1735=TRUE)*(F1735-Calc!F24))+(IF(ArtifactsInput!$M$15,CHOOSE(ArtifactsInput!$N$15+1,25,30,35,40,45,50)/100*(Inputs!$B$12-Inputs!$B$12),0))))/100+(Inputs!$B$24+((C1735=TRUE)*(F1735-Calc!F24))+(IF(ArtifactsInput!$M$15,CHOOSE(ArtifactsInput!$N$15+1,25,30,35,40,45,50)/100*(Inputs!$B$12-Inputs!$B$12),0)))/100)/2</f>
        <v/>
      </c>
      <c r="M1720">
        <f>L1720*(1+(Inputs!$B$11+0+B1745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720">
        <f>L1720*(1-MIN((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1720*(MIN((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20">
        <f>(1-Summary!$B$11)*T1720+Summary!$B$11*V1720</f>
        <v/>
      </c>
      <c r="P1720">
        <f>IF(B1750=0,0,O1720/B1750)</f>
        <v/>
      </c>
      <c r="Q1720">
        <f>IFERROR(1/IF(Inputs!$B$39="pvp",15,MAX(0.1,Skills!D9-IF(TRUE=TRUE,Inputs!$B$33,0))),0)</f>
        <v/>
      </c>
      <c r="R1720">
        <f>IF(AND(Inputs!$B$39&lt;&gt;"pvp",Inputs!$B$44&gt;0),IF(MAX(0,Inputs!$B$44-B1747)&lt;=0,0,(INT(MAX(0,Inputs!$B$44-B1747)/IF(Inputs!$B$39="pvp",15,MAX(0.1,Skills!D9-IF(TRUE=TRUE,Inputs!$B$33,0))))+1)),0)</f>
        <v/>
      </c>
      <c r="S1720">
        <f>IFERROR(O1720/N1720,0)</f>
        <v/>
      </c>
      <c r="T1720">
        <f>IF(C1720,(H1720*N1720*IF(AND(Inputs!$B$39&lt;&gt;"pvp",Inputs!$B$44&gt;0),((Skills!G9*((R1720-1)*IF(Skills!H9&gt;0,INT(Skills!I9/Skills!H9+0.000000001),1)+IF(Skills!H9&gt;0,INT(MIN(Skills!I9,MAX(0,MAX(0,Inputs!$B$44-B1747)-((R1720-1)*IF(Inputs!$B$39="pvp",15,MAX(0.1,Skills!D9-IF(TRUE=TRUE,Inputs!$B$33,0))))))/Skills!H9+0.000000001),1)))/Inputs!$B$44),G1720*Q1720))*IF(Inputs!$B$39="pvp",1,1+(Inputs!$B$21+0+Skills!P9+((C1728=TRUE)*F1728*IF(AND(Inputs!$B$39&lt;&gt;"pvp",Inputs!$B$44&gt;0),(((R1728-1)*MIN((Skills!T17*(1+Inputs!$B$35/100)),(1/Q1728))+MIN((Skills!T17*(1+Inputs!$B$35/100)),MAX(0,Inputs!$B$44-((R1728-1)*(1/Q1728)))))/Inputs!$B$44),IF(Inputs!$B$39="pvp",MIN((Skills!T17*(1+Inputs!$B$35/100)),15)/15,MIN(1,(Skills!T17*(1+Inputs!$B$35/100))/(1/Q1728)))))+((C1716=TRUE)*IF(Inputs!$B$3&gt;=126,10*MIN(1,15*Q1716),0))+((C1725=TRUE)*IF(Inputs!$B$39="pvp",20,(1-Summary!$B$11)*(20)+Summary!$B$11*(0))*IF(AND(Inputs!$B$39&lt;&gt;"pvp",Inputs!$B$44&gt;0),(((R1725-1)*MIN((Skills!T14*(1+Inputs!$B$35/100)),(1/Q1725))+MIN((Skills!T14*(1+Inputs!$B$35/100)),MAX(0,Inputs!$B$44-((R1725-1)*(1/Q1725)))))/Inputs!$B$44),IF(Inputs!$B$39="pvp",MIN((Skills!T14*(1+Inputs!$B$35/100)),15)/15,MIN(1,(Skills!T14*(1+Inputs!$B$35/100))/(1/Q1725)))))+((C1724=TRUE)*IF(Inputs!$B$3&gt;=82,IF(Inputs!$B$39="pvp",20,(1-Summary!$B$11)*(20)+Summary!$B$11*(0)),0)*IF(AND(Inputs!$B$39&lt;&gt;"pvp",Inputs!$B$44&gt;0),(((R1724-1)*MIN((Skills!T13*(1+Inputs!$B$35/100)),(1/Q1724))+MIN((Skills!T13*(1+Inputs!$B$35/100)),MAX(0,Inputs!$B$44-((R1724-1)*(1/Q1724)))))/Inputs!$B$44),IF(Inputs!$B$39="pvp",MIN((Skills!T13*(1+Inputs!$B$35/100)),15)/15,MIN(1,(Skills!T13*(1+Inputs!$B$35/100))/(1/Q1724)))))+(IF(AND(ArtifactsInput!$M$35,Inputs!$B$4&lt;&gt;"Chapter Hunt"),CHOOSE(ArtifactsInput!$N$35+1,15,18,21,24,27,30)*(1-EXP(-(0.2*B1742)*5)),0)+IF(AND(ArtifactsInput!$M$22,Inputs!$B$4&lt;&gt;"Chapter Hunt"),CHOOSE(ArtifactsInput!$N$22+1,10,12,14,16,18,20)*((0*(((0.15*B1742*5))^0/1)+1*(((0.15*B1742*5))^1/1)+2*(((0.15*B1742*5))^2/2)+3*(((0.15*B1742*5))^3/6)+4*(((0.15*B1742*5))^4/24)+5*(((0.15*B1742*5))^5/120))/((((0.15*B1742*5))^0/1)+(((0.15*B1742*5))^1/1)+(((0.15*B1742*5))^2/2)+(((0.15*B1742*5))^3/6)+(((0.15*B1742*5))^4/24)+(((0.15*B1742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1720*(1-MIN(100,(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1720*(MIN(100,(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1720*(1-MIN(100,(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1720*(MIN(100,(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20">
        <f>IF(C1720,(H1720*N1720*IF(AND(Inputs!$B$39&lt;&gt;"pvp",Inputs!$B$44&gt;0),((Skills!G9*((R1720-1)*IF(Skills!H9&gt;0,INT(Skills!I9/Skills!H9+0.000000001),1)+IF(Skills!H9&gt;0,INT(MIN(Skills!I9,MAX(0,MAX(0,Inputs!$B$44-B1747)-((R1720-1)*IF(Inputs!$B$39="pvp",15,MAX(0.1,Skills!D9-IF(TRUE=TRUE,Inputs!$B$33,0))))))/Skills!H9+0.000000001),1)))/Inputs!$B$44),G1720*Q1720))*IF(Inputs!$B$39="pvp",1,(1+(Inputs!$B$22+Skills!Q9+((C1728=TRUE)*F1728*IF(AND(Inputs!$B$39&lt;&gt;"pvp",Inputs!$B$44&gt;0),(((R1728-1)*MIN((Skills!T17*(1+Inputs!$B$35/100)),(1/Q1728))+MIN((Skills!T17*(1+Inputs!$B$35/100)),MAX(0,Inputs!$B$44-((R1728-1)*(1/Q1728)))))/Inputs!$B$44),IF(Inputs!$B$39="pvp",MIN((Skills!T17*(1+Inputs!$B$35/100)),15)/15,MIN(1,(Skills!T17*(1+Inputs!$B$35/100))/(1/Q1728)))))+((C1716=TRUE)*IF(Inputs!$B$3&gt;=126,10*MIN(1,15*Q1716),0))+((C1725=TRUE)*IF(Inputs!$B$39="pvp",20,(1-Summary!$B$11)*(20)+Summary!$B$11*(0))*IF(AND(Inputs!$B$39&lt;&gt;"pvp",Inputs!$B$44&gt;0),(((R1725-1)*MIN((Skills!T14*(1+Inputs!$B$35/100)),(1/Q1725))+MIN((Skills!T14*(1+Inputs!$B$35/100)),MAX(0,Inputs!$B$44-((R1725-1)*(1/Q1725)))))/Inputs!$B$44),IF(Inputs!$B$39="pvp",MIN((Skills!T14*(1+Inputs!$B$35/100)),15)/15,MIN(1,(Skills!T14*(1+Inputs!$B$35/100))/(1/Q1725)))))+((C1724=TRUE)*IF(Inputs!$B$3&gt;=82,IF(Inputs!$B$39="pvp",20,(1-Summary!$B$11)*(20)+Summary!$B$11*(0)),0)*IF(AND(Inputs!$B$39&lt;&gt;"pvp",Inputs!$B$44&gt;0),(((R1724-1)*MIN((Skills!T13*(1+Inputs!$B$35/100)),(1/Q1724))+MIN((Skills!T13*(1+Inputs!$B$35/100)),MAX(0,Inputs!$B$44-((R1724-1)*(1/Q1724)))))/Inputs!$B$44),IF(Inputs!$B$39="pvp",MIN((Skills!T13*(1+Inputs!$B$35/100)),15)/15,MIN(1,(Skills!T13*(1+Inputs!$B$35/100))/(1/Q1724)))))+(IF(AND(ArtifactsInput!$M$35,Inputs!$B$4&lt;&gt;"Chapter Hunt"),CHOOSE(ArtifactsInput!$N$35+1,15,18,21,24,27,30)*(1-EXP(-(0.2*B1742)*5)),0)+IF(AND(ArtifactsInput!$M$22,Inputs!$B$4&lt;&gt;"Chapter Hunt"),CHOOSE(ArtifactsInput!$N$22+1,10,12,14,16,18,20)*((0*(((0.15*B1742*5))^0/1)+1*(((0.15*B1742*5))^1/1)+2*(((0.15*B1742*5))^2/2)+3*(((0.15*B1742*5))^3/6)+4*(((0.15*B1742*5))^4/24)+5*(((0.15*B1742*5))^5/120))/((((0.15*B1742*5))^0/1)+(((0.15*B1742*5))^1/1)+(((0.15*B1742*5))^2/2)+(((0.15*B1742*5))^3/6)+(((0.15*B1742*5))^4/24)+(((0.15*B1742*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21">
      <c r="A1721">
        <f>Skills!A10</f>
        <v/>
      </c>
      <c r="B1721">
        <f>Skills!B10</f>
        <v/>
      </c>
      <c r="C1721">
        <f>Inputs!$B$3&gt;=110</f>
        <v/>
      </c>
      <c r="D1721">
        <f>IF(Skills!C10=1,60+Inputs!$B$26+Inputs!$B$30,IF(Skills!C10=2,90+Inputs!$B$27+Inputs!$B$30,IF(Skills!C10=3,120+Inputs!$B$28+Inputs!$B$30,MAX(0,(Inputs!$B$3-100)*3)+Inputs!$B$29+Inputs!$B$30)))</f>
        <v/>
      </c>
      <c r="E1721">
        <f>INDEX(FactorTable!$B$2:$Y$301, MATCH(ROUND(MIN(300,MAX(1,D1721)),0), FactorTable!$A$2:$A$301,0), Skills!M10+1)</f>
        <v/>
      </c>
      <c r="F1721">
        <f>IF(Skills!N10=TRUE,(Skills!L10/10)*(E1721/1000),Skills!L10/10)+Skills!O10</f>
        <v/>
      </c>
      <c r="G1721">
        <f>Skills!G10*IF(Skills!H10&gt;0,INT(IF(Inputs!$B$39="pvp",MIN(Skills!I10,15),Skills!I10)/Skills!H10+0.000000001),1)</f>
        <v/>
      </c>
      <c r="H1721">
        <f>1-(1-Skills!J10/100)^Skills!K10</f>
        <v/>
      </c>
      <c r="I1721" t="inlineStr">
        <is>
          <t>1</t>
        </is>
      </c>
      <c r="J1721">
        <f>((Inputs!$B$6*(1+Inputs!$B$7/100))+(((Inputs!$B$13*(1+Inputs!$B$14/100))-(Inputs!$B$13*(1+Inputs!$B$14/100)))+0.25*(Inputs!$B$15-Inputs!$B$15))*(1+Inputs!$B$7/100))*(F1721/100)</f>
        <v/>
      </c>
      <c r="K1721">
        <f>J1721*(1+(((Inputs!$B$13+IF(Inputs!$B$3&gt;=38,(10*INDEX(FactorTable!$B$2:$Y$301, MATCH(ROUND(MIN(300,MAX(1,Inputs!$B$3)),0), FactorTable!$A$2:$A$301,0), 23)/1000)/100*(Inputs!$B$8*(1+Inputs!$B$9/100)),0))*(1+Inputs!$B$14/100))*0.01+Inputs!$B$15*0.0025)/100)*(1+Inputs!$B$16/100)*(1+Inputs!$B$17/100)*(5000/(6000+Inputs!$B$43*(1-(Inputs!$B$20+0)/100)))*(1+(Inputs!$B$25+((C1736=TRUE)*(F1736-Calc!F25))+((C1737=TRUE)*(F1737-Calc!F26))+B1746)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gt;=100),MIN(100,((Inputs!$B$10+0+B1740+(ArtifactsInput!$M$24-ArtifactsInput!$M$24)*CHOOSE(ArtifactsInput!$N$24+1,10,12,14,16,18,20)+IF(ArtifactsInput!$M$10,CHOOSE(ArtifactsInput!$N$10+1,15,18,21,24,27,30)*(IF(Inputs!$B$39="pvp",MIN(15,15)/15,IF(AND(Inputs!$B$39&lt;&gt;"pvp",Inputs!$B$44&gt;0),MIN(15,Inputs!$B$44)/(Inputs!$B$44),0))),0)))-100),0))*CHOOSE(ArtifactsInput!$N$42+1,0.6,0.72,0.84,0.96,1.08,1.2))),Inputs!$B$19+((C1734=TRUE)*(F1734-Calc!F23))+(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gt;=100),CHOOSE(ArtifactsInput!$N$42+1,40,48,56,64,72,80),0))))/100)*((1+(((C1724=TRUE)*F1724*IF(AND(Inputs!$B$39&lt;&gt;"pvp",Inputs!$B$44&gt;0),(((R1724-1)*MIN((Skills!T13*(1+Inputs!$B$35/100)),(1/Q1724))+MIN((Skills!T13*(1+Inputs!$B$35/100)),MAX(0,Inputs!$B$44-((R1724-1)*(1/Q1724)))))/Inputs!$B$44),IF(Inputs!$B$39="pvp",MIN((Skills!T13*(1+Inputs!$B$35/100)),15)/15,MIN(1,(Skills!T13*(1+Inputs!$B$35/100))/(1/Q1724)))))+((C1725=TRUE)*F1725*IF(AND(Inputs!$B$39&lt;&gt;"pvp",Inputs!$B$44&gt;0),(((R1725-1)*MIN((Skills!T14*(1+Inputs!$B$35/100)),(1/Q1725))+MIN((Skills!T14*(1+Inputs!$B$35/100)),MAX(0,Inputs!$B$44-((R1725-1)*(1/Q1725)))))/Inputs!$B$44),IF(Inputs!$B$39="pvp",MIN((Skills!T14*(1+Inputs!$B$35/100)),15)/15,MIN(1,(Skills!T14*(1+Inputs!$B$35/100))/(1/Q1725)))))+((C1726=TRUE)*F1726*IF(AND(Inputs!$B$39&lt;&gt;"pvp",Inputs!$B$44&gt;0),(((R1726-1)*MIN((Skills!T15*(1+Inputs!$B$35/100)),(1/Q1726))+MIN((Skills!T15*(1+Inputs!$B$35/100)),MAX(0,Inputs!$B$44-((R1726-1)*(1/Q1726)))))/Inputs!$B$44),IF(Inputs!$B$39="pvp",MIN((Skills!T15*(1+Inputs!$B$35/100)),15)/15,MIN(1,(Skills!T15*(1+Inputs!$B$35/100))/(1/Q1726)))))+((C1727=TRUE)*F1727*IF(AND(Inputs!$B$39&lt;&gt;"pvp",Inputs!$B$44&gt;0),(((R1727-1)*MIN((Skills!T16*(1+Inputs!$B$35/100)),(1/Q1727))+MIN((Skills!T16*(1+Inputs!$B$35/100)),MAX(0,Inputs!$B$44-((R1727-1)*(1/Q1727)))))/Inputs!$B$44),IF(Inputs!$B$39="pvp",MIN((Skills!T16*(1+Inputs!$B$35/100)),15)/15,MIN(1,(Skills!T16*(1+Inputs!$B$35/100))/(1/Q1727)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1721)</f>
        <v/>
      </c>
      <c r="L1721">
        <f>K1721*(MIN(Inputs!$B$23+((C1733=TRUE)*(F1733-Calc!F22)),(Inputs!$B$24+((C1735=TRUE)*(F1735-Calc!F24))+(IF(ArtifactsInput!$M$15,CHOOSE(ArtifactsInput!$N$15+1,25,30,35,40,45,50)/100*(Inputs!$B$12-Inputs!$B$12),0))))/100+(Inputs!$B$24+((C1735=TRUE)*(F1735-Calc!F24))+(IF(ArtifactsInput!$M$15,CHOOSE(ArtifactsInput!$N$15+1,25,30,35,40,45,50)/100*(Inputs!$B$12-Inputs!$B$12),0)))/100)/2</f>
        <v/>
      </c>
      <c r="M1721">
        <f>L1721*(1+(Inputs!$B$11+0+B1745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721">
        <f>L1721*(1-MIN((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1721*(MIN((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21">
        <f>(1-Summary!$B$11)*T1721+Summary!$B$11*V1721</f>
        <v/>
      </c>
      <c r="P1721">
        <f>IF(B1750=0,0,O1721/B1750)</f>
        <v/>
      </c>
      <c r="Q1721">
        <f>IFERROR(1/IF(Inputs!$B$39="pvp",15,MAX(0.1,Skills!D10-IF(TRUE=TRUE,Inputs!$B$33,0))),0)</f>
        <v/>
      </c>
      <c r="R1721">
        <f>IF(AND(Inputs!$B$39&lt;&gt;"pvp",Inputs!$B$44&gt;0),IF(MAX(0,Inputs!$B$44-B1747)&lt;=0,0,(INT(MAX(0,Inputs!$B$44-B1747)/IF(Inputs!$B$39="pvp",15,MAX(0.1,Skills!D10-IF(TRUE=TRUE,Inputs!$B$33,0))))+1)),0)</f>
        <v/>
      </c>
      <c r="S1721">
        <f>IFERROR(O1721/N1721,0)</f>
        <v/>
      </c>
      <c r="T1721">
        <f>IF(C1721,(H1721*N1721*IF(AND(Inputs!$B$39&lt;&gt;"pvp",Inputs!$B$44&gt;0),((Skills!G10*((R1721-1)*IF(Skills!H10&gt;0,INT(Skills!I10/Skills!H10+0.000000001),1)+IF(Skills!H10&gt;0,INT(MIN(Skills!I10,MAX(0,MAX(0,Inputs!$B$44-B1747)-((R1721-1)*IF(Inputs!$B$39="pvp",15,MAX(0.1,Skills!D10-IF(TRUE=TRUE,Inputs!$B$33,0))))))/Skills!H10+0.000000001),1)))/Inputs!$B$44),G1721*Q1721))*IF(Inputs!$B$39="pvp",1,1+(Inputs!$B$21+0+Skills!P10+((C1728=TRUE)*F1728*IF(AND(Inputs!$B$39&lt;&gt;"pvp",Inputs!$B$44&gt;0),(((R1728-1)*MIN((Skills!T17*(1+Inputs!$B$35/100)),(1/Q1728))+MIN((Skills!T17*(1+Inputs!$B$35/100)),MAX(0,Inputs!$B$44-((R1728-1)*(1/Q1728)))))/Inputs!$B$44),IF(Inputs!$B$39="pvp",MIN((Skills!T17*(1+Inputs!$B$35/100)),15)/15,MIN(1,(Skills!T17*(1+Inputs!$B$35/100))/(1/Q1728)))))+((C1716=TRUE)*IF(Inputs!$B$3&gt;=126,10*MIN(1,15*Q1716),0))+((C1725=TRUE)*IF(Inputs!$B$39="pvp",20,(1-Summary!$B$11)*(20)+Summary!$B$11*(0))*IF(AND(Inputs!$B$39&lt;&gt;"pvp",Inputs!$B$44&gt;0),(((R1725-1)*MIN((Skills!T14*(1+Inputs!$B$35/100)),(1/Q1725))+MIN((Skills!T14*(1+Inputs!$B$35/100)),MAX(0,Inputs!$B$44-((R1725-1)*(1/Q1725)))))/Inputs!$B$44),IF(Inputs!$B$39="pvp",MIN((Skills!T14*(1+Inputs!$B$35/100)),15)/15,MIN(1,(Skills!T14*(1+Inputs!$B$35/100))/(1/Q1725)))))+((C1724=TRUE)*IF(Inputs!$B$3&gt;=82,IF(Inputs!$B$39="pvp",20,(1-Summary!$B$11)*(20)+Summary!$B$11*(0)),0)*IF(AND(Inputs!$B$39&lt;&gt;"pvp",Inputs!$B$44&gt;0),(((R1724-1)*MIN((Skills!T13*(1+Inputs!$B$35/100)),(1/Q1724))+MIN((Skills!T13*(1+Inputs!$B$35/100)),MAX(0,Inputs!$B$44-((R1724-1)*(1/Q1724)))))/Inputs!$B$44),IF(Inputs!$B$39="pvp",MIN((Skills!T13*(1+Inputs!$B$35/100)),15)/15,MIN(1,(Skills!T13*(1+Inputs!$B$35/100))/(1/Q1724)))))+(IF(AND(ArtifactsInput!$M$35,Inputs!$B$4&lt;&gt;"Chapter Hunt"),CHOOSE(ArtifactsInput!$N$35+1,15,18,21,24,27,30)*(1-EXP(-(0.2*B1742)*5)),0)+IF(AND(ArtifactsInput!$M$22,Inputs!$B$4&lt;&gt;"Chapter Hunt"),CHOOSE(ArtifactsInput!$N$22+1,10,12,14,16,18,20)*((0*(((0.15*B1742*5))^0/1)+1*(((0.15*B1742*5))^1/1)+2*(((0.15*B1742*5))^2/2)+3*(((0.15*B1742*5))^3/6)+4*(((0.15*B1742*5))^4/24)+5*(((0.15*B1742*5))^5/120))/((((0.15*B1742*5))^0/1)+(((0.15*B1742*5))^1/1)+(((0.15*B1742*5))^2/2)+(((0.15*B1742*5))^3/6)+(((0.15*B1742*5))^4/24)+(((0.15*B1742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1721*(1-MIN(100,(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1721*(MIN(100,(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1721*(1-MIN(100,(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1721*(MIN(100,(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21">
        <f>IF(C1721,(H1721*N1721*IF(AND(Inputs!$B$39&lt;&gt;"pvp",Inputs!$B$44&gt;0),((Skills!G10*((R1721-1)*IF(Skills!H10&gt;0,INT(Skills!I10/Skills!H10+0.000000001),1)+IF(Skills!H10&gt;0,INT(MIN(Skills!I10,MAX(0,MAX(0,Inputs!$B$44-B1747)-((R1721-1)*IF(Inputs!$B$39="pvp",15,MAX(0.1,Skills!D10-IF(TRUE=TRUE,Inputs!$B$33,0))))))/Skills!H10+0.000000001),1)))/Inputs!$B$44),G1721*Q1721))*IF(Inputs!$B$39="pvp",1,(1+(Inputs!$B$22+Skills!Q10+((C1728=TRUE)*F1728*IF(AND(Inputs!$B$39&lt;&gt;"pvp",Inputs!$B$44&gt;0),(((R1728-1)*MIN((Skills!T17*(1+Inputs!$B$35/100)),(1/Q1728))+MIN((Skills!T17*(1+Inputs!$B$35/100)),MAX(0,Inputs!$B$44-((R1728-1)*(1/Q1728)))))/Inputs!$B$44),IF(Inputs!$B$39="pvp",MIN((Skills!T17*(1+Inputs!$B$35/100)),15)/15,MIN(1,(Skills!T17*(1+Inputs!$B$35/100))/(1/Q1728)))))+((C1716=TRUE)*IF(Inputs!$B$3&gt;=126,10*MIN(1,15*Q1716),0))+((C1725=TRUE)*IF(Inputs!$B$39="pvp",20,(1-Summary!$B$11)*(20)+Summary!$B$11*(0))*IF(AND(Inputs!$B$39&lt;&gt;"pvp",Inputs!$B$44&gt;0),(((R1725-1)*MIN((Skills!T14*(1+Inputs!$B$35/100)),(1/Q1725))+MIN((Skills!T14*(1+Inputs!$B$35/100)),MAX(0,Inputs!$B$44-((R1725-1)*(1/Q1725)))))/Inputs!$B$44),IF(Inputs!$B$39="pvp",MIN((Skills!T14*(1+Inputs!$B$35/100)),15)/15,MIN(1,(Skills!T14*(1+Inputs!$B$35/100))/(1/Q1725)))))+((C1724=TRUE)*IF(Inputs!$B$3&gt;=82,IF(Inputs!$B$39="pvp",20,(1-Summary!$B$11)*(20)+Summary!$B$11*(0)),0)*IF(AND(Inputs!$B$39&lt;&gt;"pvp",Inputs!$B$44&gt;0),(((R1724-1)*MIN((Skills!T13*(1+Inputs!$B$35/100)),(1/Q1724))+MIN((Skills!T13*(1+Inputs!$B$35/100)),MAX(0,Inputs!$B$44-((R1724-1)*(1/Q1724)))))/Inputs!$B$44),IF(Inputs!$B$39="pvp",MIN((Skills!T13*(1+Inputs!$B$35/100)),15)/15,MIN(1,(Skills!T13*(1+Inputs!$B$35/100))/(1/Q1724)))))+(IF(AND(ArtifactsInput!$M$35,Inputs!$B$4&lt;&gt;"Chapter Hunt"),CHOOSE(ArtifactsInput!$N$35+1,15,18,21,24,27,30)*(1-EXP(-(0.2*B1742)*5)),0)+IF(AND(ArtifactsInput!$M$22,Inputs!$B$4&lt;&gt;"Chapter Hunt"),CHOOSE(ArtifactsInput!$N$22+1,10,12,14,16,18,20)*((0*(((0.15*B1742*5))^0/1)+1*(((0.15*B1742*5))^1/1)+2*(((0.15*B1742*5))^2/2)+3*(((0.15*B1742*5))^3/6)+4*(((0.15*B1742*5))^4/24)+5*(((0.15*B1742*5))^5/120))/((((0.15*B1742*5))^0/1)+(((0.15*B1742*5))^1/1)+(((0.15*B1742*5))^2/2)+(((0.15*B1742*5))^3/6)+(((0.15*B1742*5))^4/24)+(((0.15*B1742*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22">
      <c r="A1722">
        <f>Skills!A11</f>
        <v/>
      </c>
      <c r="B1722">
        <f>Skills!B11</f>
        <v/>
      </c>
      <c r="C1722">
        <f>Inputs!$B$3&gt;=100</f>
        <v/>
      </c>
      <c r="D1722">
        <f>IF(Skills!C11=1,60+Inputs!$B$26+Inputs!$B$30,IF(Skills!C11=2,90+Inputs!$B$27+Inputs!$B$30,IF(Skills!C11=3,120+Inputs!$B$28+Inputs!$B$30,MAX(0,(Inputs!$B$3-100)*3)+Inputs!$B$29+Inputs!$B$30)))</f>
        <v/>
      </c>
      <c r="E1722">
        <f>INDEX(FactorTable!$B$2:$Y$301, MATCH(ROUND(MIN(300,MAX(1,D1722)),0), FactorTable!$A$2:$A$301,0), Skills!M11+1)</f>
        <v/>
      </c>
      <c r="F1722">
        <f>IF(Skills!N11=TRUE,(Skills!L11/10)*(E1722/1000),Skills!L11/10)+Skills!O11</f>
        <v/>
      </c>
      <c r="G1722" t="inlineStr"/>
      <c r="H1722" t="inlineStr"/>
      <c r="I1722" t="inlineStr">
        <is>
          <t>1</t>
        </is>
      </c>
      <c r="J1722" t="inlineStr"/>
      <c r="K1722" t="inlineStr"/>
      <c r="L1722" t="inlineStr"/>
      <c r="M1722" t="inlineStr"/>
      <c r="N1722" t="inlineStr"/>
      <c r="O1722" t="inlineStr"/>
      <c r="P1722" t="inlineStr"/>
      <c r="Q1722" t="inlineStr"/>
      <c r="R1722" t="inlineStr"/>
      <c r="S1722" t="inlineStr"/>
    </row>
    <row r="1723">
      <c r="A1723">
        <f>Skills!A12</f>
        <v/>
      </c>
      <c r="B1723">
        <f>Skills!B12</f>
        <v/>
      </c>
      <c r="C1723">
        <f>Inputs!$B$3&gt;=63</f>
        <v/>
      </c>
      <c r="D1723">
        <f>IF(Skills!C12=1,60+Inputs!$B$26+Inputs!$B$30,IF(Skills!C12=2,90+Inputs!$B$27+Inputs!$B$30,IF(Skills!C12=3,120+Inputs!$B$28+Inputs!$B$30,MAX(0,(Inputs!$B$3-100)*3)+Inputs!$B$29+Inputs!$B$30)))</f>
        <v/>
      </c>
      <c r="E1723">
        <f>INDEX(FactorTable!$B$2:$Y$301, MATCH(ROUND(MIN(300,MAX(1,D1723)),0), FactorTable!$A$2:$A$301,0), Skills!M12+1)</f>
        <v/>
      </c>
      <c r="F1723">
        <f>IF(Skills!N12=TRUE,(Skills!L12/10)*(E1723/1000),Skills!L12/10)+Skills!O12</f>
        <v/>
      </c>
      <c r="G1723">
        <f>Skills!G12*IF(Skills!H12&gt;0,INT(IF(Inputs!$B$39="pvp",MIN(Skills!I12,15),Skills!I12)/Skills!H12+0.000000001),1)</f>
        <v/>
      </c>
      <c r="H1723">
        <f>1-(1-Skills!J12/100)^Skills!K12</f>
        <v/>
      </c>
      <c r="I1723" t="inlineStr">
        <is>
          <t>1</t>
        </is>
      </c>
      <c r="J1723">
        <f>((Inputs!$B$6*(1+Inputs!$B$7/100))+(((Inputs!$B$13*(1+Inputs!$B$14/100))-(Inputs!$B$13*(1+Inputs!$B$14/100)))+0.25*(Inputs!$B$15-Inputs!$B$15))*(1+Inputs!$B$7/100))*(F1723/100)</f>
        <v/>
      </c>
      <c r="K1723">
        <f>J1723*(1+(((Inputs!$B$13+IF(Inputs!$B$3&gt;=38,(10*INDEX(FactorTable!$B$2:$Y$301, MATCH(ROUND(MIN(300,MAX(1,Inputs!$B$3)),0), FactorTable!$A$2:$A$301,0), 23)/1000)/100*(Inputs!$B$8*(1+Inputs!$B$9/100)),0))*(1+Inputs!$B$14/100))*0.01+Inputs!$B$15*0.0025)/100)*(1+Inputs!$B$16/100)*(1+Inputs!$B$17/100)*(5000/(6000+Inputs!$B$43*(1-(Inputs!$B$20+0)/100)))*(1+(Inputs!$B$25+((C1736=TRUE)*(F1736-Calc!F25))+((C1737=TRUE)*(F1737-Calc!F26))+B1746)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1722=TRUE,F1722,0)/100)*(1+(IF(Skills!A12="DARK_IMPALE",Inputs!$B$18+0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gt;=100),MIN(100,((Inputs!$B$10+0+B1740+(ArtifactsInput!$M$24-ArtifactsInput!$M$24)*CHOOSE(ArtifactsInput!$N$24+1,10,12,14,16,18,20)+IF(ArtifactsInput!$M$10,CHOOSE(ArtifactsInput!$N$10+1,15,18,21,24,27,30)*(IF(Inputs!$B$39="pvp",MIN(15,15)/15,IF(AND(Inputs!$B$39&lt;&gt;"pvp",Inputs!$B$44&gt;0),MIN(15,Inputs!$B$44)/(Inputs!$B$44),0))),0)))-100),0))*CHOOSE(ArtifactsInput!$N$42+1,0.6,0.72,0.84,0.96,1.08,1.2))),Inputs!$B$19+((C1734=TRUE)*(F1734-Calc!F23))+(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gt;=100),CHOOSE(ArtifactsInput!$N$42+1,40,48,56,64,72,80),0))))/100)*((1+(((C1724=TRUE)*F1724*IF(AND(Inputs!$B$39&lt;&gt;"pvp",Inputs!$B$44&gt;0),(((R1724-1)*MIN((Skills!T13*(1+Inputs!$B$35/100)),(1/Q1724))+MIN((Skills!T13*(1+Inputs!$B$35/100)),MAX(0,Inputs!$B$44-((R1724-1)*(1/Q1724)))))/Inputs!$B$44),IF(Inputs!$B$39="pvp",MIN((Skills!T13*(1+Inputs!$B$35/100)),15)/15,MIN(1,(Skills!T13*(1+Inputs!$B$35/100))/(1/Q1724)))))+((C1725=TRUE)*F1725*IF(AND(Inputs!$B$39&lt;&gt;"pvp",Inputs!$B$44&gt;0),(((R1725-1)*MIN((Skills!T14*(1+Inputs!$B$35/100)),(1/Q1725))+MIN((Skills!T14*(1+Inputs!$B$35/100)),MAX(0,Inputs!$B$44-((R1725-1)*(1/Q1725)))))/Inputs!$B$44),IF(Inputs!$B$39="pvp",MIN((Skills!T14*(1+Inputs!$B$35/100)),15)/15,MIN(1,(Skills!T14*(1+Inputs!$B$35/100))/(1/Q1725)))))+((C1726=TRUE)*F1726*IF(AND(Inputs!$B$39&lt;&gt;"pvp",Inputs!$B$44&gt;0),(((R1726-1)*MIN((Skills!T15*(1+Inputs!$B$35/100)),(1/Q1726))+MIN((Skills!T15*(1+Inputs!$B$35/100)),MAX(0,Inputs!$B$44-((R1726-1)*(1/Q1726)))))/Inputs!$B$44),IF(Inputs!$B$39="pvp",MIN((Skills!T15*(1+Inputs!$B$35/100)),15)/15,MIN(1,(Skills!T15*(1+Inputs!$B$35/100))/(1/Q1726)))))+((C1727=TRUE)*F1727*IF(AND(Inputs!$B$39&lt;&gt;"pvp",Inputs!$B$44&gt;0),(((R1727-1)*MIN((Skills!T16*(1+Inputs!$B$35/100)),(1/Q1727))+MIN((Skills!T16*(1+Inputs!$B$35/100)),MAX(0,Inputs!$B$44-((R1727-1)*(1/Q1727)))))/Inputs!$B$44),IF(Inputs!$B$39="pvp",MIN((Skills!T16*(1+Inputs!$B$35/100)),15)/15,MIN(1,(Skills!T16*(1+Inputs!$B$35/100))/(1/Q1727)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1723)</f>
        <v/>
      </c>
      <c r="L1723">
        <f>K1723*(MIN(Inputs!$B$23+((C1733=TRUE)*(F1733-Calc!F22)),(Inputs!$B$24+((C1735=TRUE)*(F1735-Calc!F24))+(IF(ArtifactsInput!$M$15,CHOOSE(ArtifactsInput!$N$15+1,25,30,35,40,45,50)/100*(Inputs!$B$12-Inputs!$B$12),0))))/100+(Inputs!$B$24+((C1735=TRUE)*(F1735-Calc!F24))+(IF(ArtifactsInput!$M$15,CHOOSE(ArtifactsInput!$N$15+1,25,30,35,40,45,50)/100*(Inputs!$B$12-Inputs!$B$12),0)))/100)/2</f>
        <v/>
      </c>
      <c r="M1723">
        <f>L1723*(1+(Inputs!$B$11+0+B1745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723">
        <f>L1723*(1-MIN((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1723*(MIN((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23">
        <f>(1-Summary!$B$11)*T1723+Summary!$B$11*V1723</f>
        <v/>
      </c>
      <c r="P1723">
        <f>IF(B1750=0,0,O1723/B1750)</f>
        <v/>
      </c>
      <c r="Q1723">
        <f>IFERROR(1/IF(Inputs!$B$39="pvp",15,MAX(0.1,Skills!D12-IF(TRUE=TRUE,Inputs!$B$33,0))),0)</f>
        <v/>
      </c>
      <c r="R1723">
        <f>IF(AND(Inputs!$B$39&lt;&gt;"pvp",Inputs!$B$44&gt;0),IF(MAX(0,Inputs!$B$44-B1747)&lt;=0,0,(INT(MAX(0,Inputs!$B$44-B1747)/IF(Inputs!$B$39="pvp",15,MAX(0.1,Skills!D12-IF(TRUE=TRUE,Inputs!$B$33,0))))+1)),0)</f>
        <v/>
      </c>
      <c r="S1723">
        <f>IFERROR(O1723/N1723,0)</f>
        <v/>
      </c>
      <c r="T1723">
        <f>IF(C1723,(H1723*N1723*IF(AND(Inputs!$B$39&lt;&gt;"pvp",Inputs!$B$44&gt;0),((Skills!G12*((R1723-1)*IF(Skills!H12&gt;0,INT(Skills!I12/Skills!H12+0.000000001),1)+IF(Skills!H12&gt;0,INT(MIN(Skills!I12,MAX(0,MAX(0,Inputs!$B$44-B1747)-((R1723-1)*IF(Inputs!$B$39="pvp",15,MAX(0.1,Skills!D12-IF(TRUE=TRUE,Inputs!$B$33,0))))))/Skills!H12+0.000000001),1)))/Inputs!$B$44),G1723*Q1723))*IF(Inputs!$B$39="pvp",1,1+(Inputs!$B$21+0+Skills!P12+((C1728=TRUE)*F1728*IF(AND(Inputs!$B$39&lt;&gt;"pvp",Inputs!$B$44&gt;0),(((R1728-1)*MIN((Skills!T17*(1+Inputs!$B$35/100)),(1/Q1728))+MIN((Skills!T17*(1+Inputs!$B$35/100)),MAX(0,Inputs!$B$44-((R1728-1)*(1/Q1728)))))/Inputs!$B$44),IF(Inputs!$B$39="pvp",MIN((Skills!T17*(1+Inputs!$B$35/100)),15)/15,MIN(1,(Skills!T17*(1+Inputs!$B$35/100))/(1/Q1728)))))+((C1716=TRUE)*IF(Inputs!$B$3&gt;=126,10*MIN(1,15*Q1716),0))+((C1725=TRUE)*IF(Inputs!$B$39="pvp",20,(1-Summary!$B$11)*(20)+Summary!$B$11*(0))*IF(AND(Inputs!$B$39&lt;&gt;"pvp",Inputs!$B$44&gt;0),(((R1725-1)*MIN((Skills!T14*(1+Inputs!$B$35/100)),(1/Q1725))+MIN((Skills!T14*(1+Inputs!$B$35/100)),MAX(0,Inputs!$B$44-((R1725-1)*(1/Q1725)))))/Inputs!$B$44),IF(Inputs!$B$39="pvp",MIN((Skills!T14*(1+Inputs!$B$35/100)),15)/15,MIN(1,(Skills!T14*(1+Inputs!$B$35/100))/(1/Q1725)))))+((C1724=TRUE)*IF(Inputs!$B$3&gt;=82,IF(Inputs!$B$39="pvp",20,(1-Summary!$B$11)*(20)+Summary!$B$11*(0)),0)*IF(AND(Inputs!$B$39&lt;&gt;"pvp",Inputs!$B$44&gt;0),(((R1724-1)*MIN((Skills!T13*(1+Inputs!$B$35/100)),(1/Q1724))+MIN((Skills!T13*(1+Inputs!$B$35/100)),MAX(0,Inputs!$B$44-((R1724-1)*(1/Q1724)))))/Inputs!$B$44),IF(Inputs!$B$39="pvp",MIN((Skills!T13*(1+Inputs!$B$35/100)),15)/15,MIN(1,(Skills!T13*(1+Inputs!$B$35/100))/(1/Q1724)))))+(IF(AND(ArtifactsInput!$M$35,Inputs!$B$4&lt;&gt;"Chapter Hunt"),CHOOSE(ArtifactsInput!$N$35+1,15,18,21,24,27,30)*(1-EXP(-(0.2*B1742)*5)),0)+IF(AND(ArtifactsInput!$M$22,Inputs!$B$4&lt;&gt;"Chapter Hunt"),CHOOSE(ArtifactsInput!$N$22+1,10,12,14,16,18,20)*((0*(((0.15*B1742*5))^0/1)+1*(((0.15*B1742*5))^1/1)+2*(((0.15*B1742*5))^2/2)+3*(((0.15*B1742*5))^3/6)+4*(((0.15*B1742*5))^4/24)+5*(((0.15*B1742*5))^5/120))/((((0.15*B1742*5))^0/1)+(((0.15*B1742*5))^1/1)+(((0.15*B1742*5))^2/2)+(((0.15*B1742*5))^3/6)+(((0.15*B1742*5))^4/24)+(((0.15*B1742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1723*(1-MIN(100,(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1723*(MIN(100,(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1723*(1-MIN(100,(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1723*(MIN(100,(Inputs!$B$10+0+B1740+(ArtifactsInput!$M$24-ArtifactsInput!$M$24)*CHOOSE(ArtifactsInput!$N$24+1,10,12,14,16,18,20)+(IF(AND(Inputs!$B$39&lt;&gt;"pvp",Inputs!$B$44=0),1,IF(IF(Inputs!$B$39="pvp",15,Inputs!$B$44)-(B1747)&lt;=0,1,MAX(0,IF(Inputs!$B$39="pvp",15,Inputs!$B$44)-MAX(5,B1747))/(IF(Inputs!$B$39="pvp",15,Inputs!$B$44)-(B1747))))*IF(AND(ArtifactsInput!$M$42,((Inputs!$B$10+0+B1740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23">
        <f>IF(C1723,(H1723*N1723*IF(AND(Inputs!$B$39&lt;&gt;"pvp",Inputs!$B$44&gt;0),((Skills!G12*((R1723-1)*IF(Skills!H12&gt;0,INT(Skills!I12/Skills!H12+0.000000001),1)+IF(Skills!H12&gt;0,INT(MIN(Skills!I12,MAX(0,MAX(0,Inputs!$B$44-B1747)-((R1723-1)*IF(Inputs!$B$39="pvp",15,MAX(0.1,Skills!D12-IF(TRUE=TRUE,Inputs!$B$33,0))))))/Skills!H12+0.000000001),1)))/Inputs!$B$44),G1723*Q1723))*IF(Inputs!$B$39="pvp",1,(1+(Inputs!$B$22+Skills!Q12+((C1728=TRUE)*F1728*IF(AND(Inputs!$B$39&lt;&gt;"pvp",Inputs!$B$44&gt;0),(((R1728-1)*MIN((Skills!T17*(1+Inputs!$B$35/100)),(1/Q1728))+MIN((Skills!T17*(1+Inputs!$B$35/100)),MAX(0,Inputs!$B$44-((R1728-1)*(1/Q1728)))))/Inputs!$B$44),IF(Inputs!$B$39="pvp",MIN((Skills!T17*(1+Inputs!$B$35/100)),15)/15,MIN(1,(Skills!T17*(1+Inputs!$B$35/100))/(1/Q1728)))))+((C1716=TRUE)*IF(Inputs!$B$3&gt;=126,10*MIN(1,15*Q1716),0))+((C1725=TRUE)*IF(Inputs!$B$39="pvp",20,(1-Summary!$B$11)*(20)+Summary!$B$11*(0))*IF(AND(Inputs!$B$39&lt;&gt;"pvp",Inputs!$B$44&gt;0),(((R1725-1)*MIN((Skills!T14*(1+Inputs!$B$35/100)),(1/Q1725))+MIN((Skills!T14*(1+Inputs!$B$35/100)),MAX(0,Inputs!$B$44-((R1725-1)*(1/Q1725)))))/Inputs!$B$44),IF(Inputs!$B$39="pvp",MIN((Skills!T14*(1+Inputs!$B$35/100)),15)/15,MIN(1,(Skills!T14*(1+Inputs!$B$35/100))/(1/Q1725)))))+((C1724=TRUE)*IF(Inputs!$B$3&gt;=82,IF(Inputs!$B$39="pvp",20,(1-Summary!$B$11)*(20)+Summary!$B$11*(0)),0)*IF(AND(Inputs!$B$39&lt;&gt;"pvp",Inputs!$B$44&gt;0),(((R1724-1)*MIN((Skills!T13*(1+Inputs!$B$35/100)),(1/Q1724))+MIN((Skills!T13*(1+Inputs!$B$35/100)),MAX(0,Inputs!$B$44-((R1724-1)*(1/Q1724)))))/Inputs!$B$44),IF(Inputs!$B$39="pvp",MIN((Skills!T13*(1+Inputs!$B$35/100)),15)/15,MIN(1,(Skills!T13*(1+Inputs!$B$35/100))/(1/Q1724)))))+(IF(AND(ArtifactsInput!$M$35,Inputs!$B$4&lt;&gt;"Chapter Hunt"),CHOOSE(ArtifactsInput!$N$35+1,15,18,21,24,27,30)*(1-EXP(-(0.2*B1742)*5)),0)+IF(AND(ArtifactsInput!$M$22,Inputs!$B$4&lt;&gt;"Chapter Hunt"),CHOOSE(ArtifactsInput!$N$22+1,10,12,14,16,18,20)*((0*(((0.15*B1742*5))^0/1)+1*(((0.15*B1742*5))^1/1)+2*(((0.15*B1742*5))^2/2)+3*(((0.15*B1742*5))^3/6)+4*(((0.15*B1742*5))^4/24)+5*(((0.15*B1742*5))^5/120))/((((0.15*B1742*5))^0/1)+(((0.15*B1742*5))^1/1)+(((0.15*B1742*5))^2/2)+(((0.15*B1742*5))^3/6)+(((0.15*B1742*5))^4/24)+(((0.15*B1742*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24">
      <c r="A1724">
        <f>Skills!A13</f>
        <v/>
      </c>
      <c r="B1724">
        <f>Skills!B13</f>
        <v/>
      </c>
      <c r="C1724">
        <f>Inputs!$B$3&gt;=69</f>
        <v/>
      </c>
      <c r="D1724">
        <f>IF(Skills!C13=1,60+Inputs!$B$26+Inputs!$B$30,IF(Skills!C13=2,90+Inputs!$B$27+Inputs!$B$30,IF(Skills!C13=3,120+Inputs!$B$28+Inputs!$B$30,MAX(0,(Inputs!$B$3-100)*3)+Inputs!$B$29+Inputs!$B$30)))</f>
        <v/>
      </c>
      <c r="E1724">
        <f>INDEX(FactorTable!$B$2:$Y$301, MATCH(ROUND(MIN(300,MAX(1,D1724)),0), FactorTable!$A$2:$A$301,0), Skills!M13+1)</f>
        <v/>
      </c>
      <c r="F1724">
        <f>IF(Skills!N13=TRUE,(Skills!L13/10)*(E1724/1000),Skills!L13/10)+Skills!O13</f>
        <v/>
      </c>
      <c r="G1724">
        <f>Skills!G13*IF(Skills!H13&gt;0,INT(IF(Inputs!$B$39="pvp",MIN(Skills!I13,15),Skills!I13)/Skills!H13+0.000000001),1)</f>
        <v/>
      </c>
      <c r="H1724">
        <f>1-(1-Skills!J13/100)^Skills!K13</f>
        <v/>
      </c>
      <c r="I1724" t="inlineStr">
        <is>
          <t>1</t>
        </is>
      </c>
      <c r="J1724" t="inlineStr"/>
      <c r="K1724" t="inlineStr"/>
      <c r="L1724" t="inlineStr"/>
      <c r="M1724" t="inlineStr"/>
      <c r="N1724" t="inlineStr"/>
      <c r="O1724">
        <f>(1-Summary!$B$11)*T1724+Summary!$B$11*V1724</f>
        <v/>
      </c>
      <c r="P1724">
        <f>IF(B1750=0,0,O1724/B1750)</f>
        <v/>
      </c>
      <c r="Q1724">
        <f>IFERROR(1/IF(Inputs!$B$39="pvp",15,MAX(0.1,Skills!D13-IF(TRUE=TRUE,Inputs!$B$33,0))),0)</f>
        <v/>
      </c>
      <c r="R1724">
        <f>IF(AND(Inputs!$B$39&lt;&gt;"pvp",Inputs!$B$44&gt;0),IF(Inputs!$B$44&lt;=0,0,(INT(Inputs!$B$44/IF(Inputs!$B$39="pvp",15,MAX(0.1,Skills!D13-IF(TRUE=TRUE,Inputs!$B$33,0))))+1)),0)</f>
        <v/>
      </c>
      <c r="S1724">
        <f>IFERROR(O1724/N1724,0)</f>
        <v/>
      </c>
      <c r="T1724" t="n">
        <v>0</v>
      </c>
      <c r="V1724" t="n">
        <v>0</v>
      </c>
    </row>
    <row r="1725">
      <c r="A1725">
        <f>Skills!A14</f>
        <v/>
      </c>
      <c r="B1725">
        <f>Skills!B14</f>
        <v/>
      </c>
      <c r="C1725">
        <f>Inputs!$B$3&gt;=115</f>
        <v/>
      </c>
      <c r="D1725">
        <f>IF(Skills!C14=1,60+Inputs!$B$26+Inputs!$B$30,IF(Skills!C14=2,90+Inputs!$B$27+Inputs!$B$30,IF(Skills!C14=3,120+Inputs!$B$28+Inputs!$B$30,MAX(0,(Inputs!$B$3-100)*3)+Inputs!$B$29+Inputs!$B$30)))</f>
        <v/>
      </c>
      <c r="E1725">
        <f>INDEX(FactorTable!$B$2:$Y$301, MATCH(ROUND(MIN(300,MAX(1,D1725)),0), FactorTable!$A$2:$A$301,0), Skills!M14+1)</f>
        <v/>
      </c>
      <c r="F1725">
        <f>IF(Skills!N14=TRUE,(Skills!L14/10)*(E1725/1000),Skills!L14/10)+Skills!O14</f>
        <v/>
      </c>
      <c r="G1725">
        <f>Skills!G14*IF(Skills!H14&gt;0,INT(IF(Inputs!$B$39="pvp",MIN(Skills!I14,15),Skills!I14)/Skills!H14+0.000000001),1)</f>
        <v/>
      </c>
      <c r="H1725">
        <f>1-(1-Skills!J14/100)^Skills!K14</f>
        <v/>
      </c>
      <c r="I1725" t="inlineStr">
        <is>
          <t>1</t>
        </is>
      </c>
      <c r="J1725" t="inlineStr"/>
      <c r="K1725" t="inlineStr"/>
      <c r="L1725" t="inlineStr"/>
      <c r="M1725" t="inlineStr"/>
      <c r="N1725" t="inlineStr"/>
      <c r="O1725">
        <f>(1-Summary!$B$11)*T1725+Summary!$B$11*V1725</f>
        <v/>
      </c>
      <c r="P1725">
        <f>IF(B1750=0,0,O1725/B1750)</f>
        <v/>
      </c>
      <c r="Q1725">
        <f>IFERROR(1/IF(Inputs!$B$39="pvp",15,MAX(0.1,Skills!D14-IF(TRUE=TRUE,Inputs!$B$33,0))),0)</f>
        <v/>
      </c>
      <c r="R1725">
        <f>IF(AND(Inputs!$B$39&lt;&gt;"pvp",Inputs!$B$44&gt;0),IF(Inputs!$B$44&lt;=0,0,(INT(Inputs!$B$44/IF(Inputs!$B$39="pvp",15,MAX(0.1,Skills!D14-IF(TRUE=TRUE,Inputs!$B$33,0))))+1)),0)</f>
        <v/>
      </c>
      <c r="S1725">
        <f>IFERROR(O1725/N1725,0)</f>
        <v/>
      </c>
      <c r="T1725" t="n">
        <v>0</v>
      </c>
      <c r="V1725" t="n">
        <v>0</v>
      </c>
    </row>
    <row r="1726">
      <c r="A1726">
        <f>Skills!A15</f>
        <v/>
      </c>
      <c r="B1726">
        <f>Skills!B15</f>
        <v/>
      </c>
      <c r="C1726">
        <f>Inputs!$B$3&gt;=66</f>
        <v/>
      </c>
      <c r="D1726">
        <f>IF(Skills!C15=1,60+Inputs!$B$26+Inputs!$B$30,IF(Skills!C15=2,90+Inputs!$B$27+Inputs!$B$30,IF(Skills!C15=3,120+Inputs!$B$28+Inputs!$B$30,MAX(0,(Inputs!$B$3-100)*3)+Inputs!$B$29+Inputs!$B$30)))</f>
        <v/>
      </c>
      <c r="E1726">
        <f>INDEX(FactorTable!$B$2:$Y$301, MATCH(ROUND(MIN(300,MAX(1,D1726)),0), FactorTable!$A$2:$A$301,0), Skills!M15+1)</f>
        <v/>
      </c>
      <c r="F1726">
        <f>IF(Skills!N15=TRUE,(Skills!L15/10)*(E1726/1000),Skills!L15/10)+Skills!O15</f>
        <v/>
      </c>
      <c r="G1726">
        <f>Skills!G15*IF(Skills!H15&gt;0,INT(IF(Inputs!$B$39="pvp",MIN(Skills!I15,15),Skills!I15)/Skills!H15+0.000000001),1)</f>
        <v/>
      </c>
      <c r="H1726">
        <f>1-(1-Skills!J15/100)^Skills!K15</f>
        <v/>
      </c>
      <c r="I1726" t="inlineStr">
        <is>
          <t>1</t>
        </is>
      </c>
      <c r="J1726" t="inlineStr"/>
      <c r="K1726" t="inlineStr"/>
      <c r="L1726" t="inlineStr"/>
      <c r="M1726" t="inlineStr"/>
      <c r="N1726" t="inlineStr"/>
      <c r="O1726">
        <f>(1-Summary!$B$11)*T1726+Summary!$B$11*V1726</f>
        <v/>
      </c>
      <c r="P1726">
        <f>IF(B1750=0,0,O1726/B1750)</f>
        <v/>
      </c>
      <c r="Q1726">
        <f>IFERROR(1/IF(Inputs!$B$39="pvp",15,MAX(0.1,Skills!D15-IF(TRUE=TRUE,Inputs!$B$33,0))),0)</f>
        <v/>
      </c>
      <c r="R1726">
        <f>IF(AND(Inputs!$B$39&lt;&gt;"pvp",Inputs!$B$44&gt;0),IF(Inputs!$B$44&lt;=0,0,(INT(Inputs!$B$44/IF(Inputs!$B$39="pvp",15,MAX(0.1,Skills!D15-IF(TRUE=TRUE,Inputs!$B$33,0))))+1)),0)</f>
        <v/>
      </c>
      <c r="S1726">
        <f>IFERROR(O1726/N1726,0)</f>
        <v/>
      </c>
      <c r="T1726" t="n">
        <v>0</v>
      </c>
      <c r="V1726" t="n">
        <v>0</v>
      </c>
    </row>
    <row r="1727">
      <c r="A1727">
        <f>Skills!A16</f>
        <v/>
      </c>
      <c r="B1727">
        <f>Skills!B16</f>
        <v/>
      </c>
      <c r="C1727">
        <f>Inputs!$B$3&gt;=45</f>
        <v/>
      </c>
      <c r="D1727">
        <f>IF(Skills!C16=1,60+Inputs!$B$26+Inputs!$B$30,IF(Skills!C16=2,90+Inputs!$B$27+Inputs!$B$30,IF(Skills!C16=3,120+Inputs!$B$28+Inputs!$B$30,MAX(0,(Inputs!$B$3-100)*3)+Inputs!$B$29+Inputs!$B$30)))</f>
        <v/>
      </c>
      <c r="E1727">
        <f>INDEX(FactorTable!$B$2:$Y$301, MATCH(ROUND(MIN(300,MAX(1,D1727)),0), FactorTable!$A$2:$A$301,0), Skills!M16+1)</f>
        <v/>
      </c>
      <c r="F1727">
        <f>IF(Skills!N16=TRUE,(Skills!L16/10)*(E1727/1000),Skills!L16/10)+Skills!O16</f>
        <v/>
      </c>
      <c r="G1727">
        <f>Skills!G16*IF(Skills!H16&gt;0,INT(IF(Inputs!$B$39="pvp",MIN(Skills!I16,15),Skills!I16)/Skills!H16+0.000000001),1)</f>
        <v/>
      </c>
      <c r="H1727">
        <f>1-(1-Skills!J16/100)^Skills!K16</f>
        <v/>
      </c>
      <c r="I1727" t="inlineStr">
        <is>
          <t>1</t>
        </is>
      </c>
      <c r="J1727" t="inlineStr"/>
      <c r="K1727" t="inlineStr"/>
      <c r="L1727" t="inlineStr"/>
      <c r="M1727" t="inlineStr"/>
      <c r="N1727" t="inlineStr"/>
      <c r="O1727">
        <f>(1-Summary!$B$11)*T1727+Summary!$B$11*V1727</f>
        <v/>
      </c>
      <c r="P1727">
        <f>IF(B1750=0,0,O1727/B1750)</f>
        <v/>
      </c>
      <c r="Q1727">
        <f>IFERROR(1/IF(Inputs!$B$39="pvp",15,MAX(0.1,Skills!D16-IF(TRUE=TRUE,Inputs!$B$33,0))),0)</f>
        <v/>
      </c>
      <c r="R1727">
        <f>IF(AND(Inputs!$B$39&lt;&gt;"pvp",Inputs!$B$44&gt;0),IF(Inputs!$B$44&lt;=0,0,(INT(Inputs!$B$44/IF(Inputs!$B$39="pvp",15,MAX(0.1,Skills!D16-IF(TRUE=TRUE,Inputs!$B$33,0))))+1)),0)</f>
        <v/>
      </c>
      <c r="S1727">
        <f>IFERROR(O1727/N1727,0)</f>
        <v/>
      </c>
      <c r="T1727" t="n">
        <v>0</v>
      </c>
      <c r="V1727" t="n">
        <v>0</v>
      </c>
    </row>
    <row r="1728">
      <c r="A1728">
        <f>Skills!A17</f>
        <v/>
      </c>
      <c r="B1728">
        <f>Skills!B17</f>
        <v/>
      </c>
      <c r="C1728">
        <f>Inputs!$B$3&gt;=35</f>
        <v/>
      </c>
      <c r="D1728">
        <f>IF(Skills!C17=1,60+Inputs!$B$26+Inputs!$B$30,IF(Skills!C17=2,90+Inputs!$B$27+Inputs!$B$30,IF(Skills!C17=3,120+Inputs!$B$28+Inputs!$B$30,MAX(0,(Inputs!$B$3-100)*3)+Inputs!$B$29+Inputs!$B$30)))</f>
        <v/>
      </c>
      <c r="E1728">
        <f>INDEX(FactorTable!$B$2:$Y$301, MATCH(ROUND(MIN(300,MAX(1,D1728)),0), FactorTable!$A$2:$A$301,0), Skills!M17+1)</f>
        <v/>
      </c>
      <c r="F1728">
        <f>IF(Skills!N17=TRUE,(Skills!L17/10)*(E1728/1000),Skills!L17/10)+Skills!O17</f>
        <v/>
      </c>
      <c r="G1728">
        <f>Skills!G17*IF(Skills!H17&gt;0,INT(IF(Inputs!$B$39="pvp",MIN(Skills!I17,15),Skills!I17)/Skills!H17+0.000000001),1)</f>
        <v/>
      </c>
      <c r="H1728">
        <f>1-(1-Skills!J17/100)^Skills!K17</f>
        <v/>
      </c>
      <c r="I1728" t="inlineStr">
        <is>
          <t>1</t>
        </is>
      </c>
      <c r="J1728" t="inlineStr"/>
      <c r="K1728" t="inlineStr"/>
      <c r="L1728" t="inlineStr"/>
      <c r="M1728" t="inlineStr"/>
      <c r="N1728" t="inlineStr"/>
      <c r="O1728">
        <f>(1-Summary!$B$11)*T1728+Summary!$B$11*V1728</f>
        <v/>
      </c>
      <c r="P1728">
        <f>IF(B1750=0,0,O1728/B1750)</f>
        <v/>
      </c>
      <c r="Q1728">
        <f>IFERROR(1/IF(Inputs!$B$39="pvp",15,MAX(0.1,Skills!D17-IF(TRUE=TRUE,Inputs!$B$33,0))),0)</f>
        <v/>
      </c>
      <c r="R1728">
        <f>IF(AND(Inputs!$B$39&lt;&gt;"pvp",Inputs!$B$44&gt;0),IF(Inputs!$B$44&lt;=0,0,(INT(Inputs!$B$44/IF(Inputs!$B$39="pvp",15,MAX(0.1,Skills!D17-IF(TRUE=TRUE,Inputs!$B$33,0))))+1)),0)</f>
        <v/>
      </c>
      <c r="S1728">
        <f>IFERROR(O1728/N1728,0)</f>
        <v/>
      </c>
      <c r="T1728" t="n">
        <v>0</v>
      </c>
      <c r="V1728" t="n">
        <v>0</v>
      </c>
    </row>
    <row r="1729">
      <c r="A1729">
        <f>Skills!A18</f>
        <v/>
      </c>
      <c r="B1729">
        <f>Skills!B18</f>
        <v/>
      </c>
      <c r="C1729">
        <f>Inputs!$B$3&gt;=72</f>
        <v/>
      </c>
      <c r="D1729">
        <f>IF(Skills!C18=1,60+Inputs!$B$26+Inputs!$B$30,IF(Skills!C18=2,90+Inputs!$B$27+Inputs!$B$30,IF(Skills!C18=3,120+Inputs!$B$28+Inputs!$B$30,MAX(0,(Inputs!$B$3-100)*3)+Inputs!$B$29+Inputs!$B$30)))</f>
        <v/>
      </c>
      <c r="E1729">
        <f>INDEX(FactorTable!$B$2:$Y$301, MATCH(ROUND(MIN(300,MAX(1,D1729)),0), FactorTable!$A$2:$A$301,0), Skills!M18+1)</f>
        <v/>
      </c>
      <c r="F1729">
        <f>IF(Skills!N18=TRUE,(Skills!L18/10)*(E1729/1000),Skills!L18/10)+Skills!O18</f>
        <v/>
      </c>
      <c r="G1729">
        <f>Skills!G18*IF(Skills!H18&gt;0,INT(IF(Inputs!$B$39="pvp",MIN(Skills!I18,15),Skills!I18)/Skills!H18+0.000000001),1)</f>
        <v/>
      </c>
      <c r="H1729">
        <f>1-(1-Skills!J18/100)^Skills!K18</f>
        <v/>
      </c>
      <c r="I1729" t="inlineStr">
        <is>
          <t>1</t>
        </is>
      </c>
      <c r="J1729" t="inlineStr"/>
      <c r="K1729" t="inlineStr"/>
      <c r="L1729" t="inlineStr"/>
      <c r="M1729" t="inlineStr"/>
      <c r="N1729" t="inlineStr"/>
      <c r="O1729">
        <f>(1-Summary!$B$11)*T1729+Summary!$B$11*V1729</f>
        <v/>
      </c>
      <c r="P1729">
        <f>IF(B1750=0,0,O1729/B1750)</f>
        <v/>
      </c>
      <c r="Q1729">
        <f>IFERROR(1/IF(Inputs!$B$39="pvp",15,MAX(0.1,Skills!D18-IF(TRUE=TRUE,Inputs!$B$33,0))),0)</f>
        <v/>
      </c>
      <c r="R1729">
        <f>IF(AND(Inputs!$B$39&lt;&gt;"pvp",Inputs!$B$44&gt;0),IF(Inputs!$B$44&lt;=0,0,(INT(Inputs!$B$44/IF(Inputs!$B$39="pvp",15,MAX(0.1,Skills!D18-IF(TRUE=TRUE,Inputs!$B$33,0))))+1)),0)</f>
        <v/>
      </c>
      <c r="S1729">
        <f>IFERROR(O1729/N1729,0)</f>
        <v/>
      </c>
      <c r="T1729" t="n">
        <v>0</v>
      </c>
      <c r="V1729" t="n">
        <v>0</v>
      </c>
    </row>
    <row r="1730">
      <c r="A1730">
        <f>Skills!A19</f>
        <v/>
      </c>
      <c r="B1730">
        <f>Skills!B19</f>
        <v/>
      </c>
      <c r="C1730">
        <f>Inputs!$B$3&gt;=72</f>
        <v/>
      </c>
      <c r="D1730">
        <f>IF(Skills!C19=1,60+Inputs!$B$26+Inputs!$B$30,IF(Skills!C19=2,90+Inputs!$B$27+Inputs!$B$30,IF(Skills!C19=3,120+Inputs!$B$28+Inputs!$B$30,MAX(0,(Inputs!$B$3-100)*3)+Inputs!$B$29+Inputs!$B$30)))</f>
        <v/>
      </c>
      <c r="E1730">
        <f>INDEX(FactorTable!$B$2:$Y$301, MATCH(ROUND(MIN(300,MAX(1,D1730)),0), FactorTable!$A$2:$A$301,0), Skills!M19+1)</f>
        <v/>
      </c>
      <c r="F1730">
        <f>IF(Skills!N19=TRUE,(Skills!L19/10)*(E1730/1000),Skills!L19/10)+Skills!O19</f>
        <v/>
      </c>
      <c r="G1730">
        <f>Skills!G19*IF(Skills!H19&gt;0,INT(IF(Inputs!$B$39="pvp",MIN(Skills!I19,15),Skills!I19)/Skills!H19+0.000000001),1)</f>
        <v/>
      </c>
      <c r="H1730">
        <f>1-(1-Skills!J19/100)^Skills!K19</f>
        <v/>
      </c>
      <c r="I1730" t="inlineStr">
        <is>
          <t>1</t>
        </is>
      </c>
      <c r="J1730" t="inlineStr"/>
      <c r="K1730" t="inlineStr"/>
      <c r="L1730" t="inlineStr"/>
      <c r="M1730" t="inlineStr"/>
      <c r="N1730" t="inlineStr"/>
      <c r="O1730">
        <f>(1-Summary!$B$11)*T1730+Summary!$B$11*V1730</f>
        <v/>
      </c>
      <c r="P1730">
        <f>IF(B1750=0,0,O1730/B1750)</f>
        <v/>
      </c>
      <c r="Q1730">
        <f>IFERROR(1/IF(Inputs!$B$39="pvp",15,MAX(0.1,Skills!D19-IF(TRUE=TRUE,Inputs!$B$33,0))),0)</f>
        <v/>
      </c>
      <c r="R1730">
        <f>IF(AND(Inputs!$B$39&lt;&gt;"pvp",Inputs!$B$44&gt;0),IF(Inputs!$B$44&lt;=0,0,(INT(Inputs!$B$44/IF(Inputs!$B$39="pvp",15,MAX(0.1,Skills!D19-IF(TRUE=TRUE,Inputs!$B$33,0))))+1)),0)</f>
        <v/>
      </c>
      <c r="S1730">
        <f>IFERROR(O1730/N1730,0)</f>
        <v/>
      </c>
      <c r="T1730" t="n">
        <v>0</v>
      </c>
      <c r="V1730" t="n">
        <v>0</v>
      </c>
    </row>
    <row r="1731">
      <c r="A1731">
        <f>Skills!A20</f>
        <v/>
      </c>
      <c r="B1731">
        <f>Skills!B20</f>
        <v/>
      </c>
      <c r="C1731">
        <f>TRUE</f>
        <v/>
      </c>
      <c r="D1731">
        <f>IF(Skills!C20=1,60+Inputs!$B$26+Inputs!$B$30,IF(Skills!C20=2,90+Inputs!$B$27+Inputs!$B$30,IF(Skills!C20=3,120+Inputs!$B$28+Inputs!$B$30,MAX(0,(Inputs!$B$3-100)*3)+Inputs!$B$29+Inputs!$B$30)))</f>
        <v/>
      </c>
      <c r="E1731">
        <f>INDEX(FactorTable!$B$2:$Y$301, MATCH(ROUND(MIN(300,MAX(1,D1731)),0), FactorTable!$A$2:$A$301,0), Skills!M20+1)</f>
        <v/>
      </c>
      <c r="F1731">
        <f>IF(Skills!N20=TRUE,(Skills!L20/10)*(E1731/1000),Skills!L20/10)+Skills!O20</f>
        <v/>
      </c>
      <c r="G1731">
        <f>Skills!G20*IF(Skills!H20&gt;0,INT(IF(Inputs!$B$39="pvp",MIN(Skills!I20,15),Skills!I20)/Skills!H20+0.000000001),1)</f>
        <v/>
      </c>
      <c r="H1731">
        <f>1-(1-Skills!J20/100)^Skills!K20</f>
        <v/>
      </c>
      <c r="I1731" t="inlineStr">
        <is>
          <t>1</t>
        </is>
      </c>
      <c r="J1731" t="inlineStr"/>
      <c r="K1731" t="inlineStr"/>
      <c r="L1731" t="inlineStr"/>
      <c r="M1731" t="inlineStr"/>
      <c r="N1731" t="inlineStr"/>
      <c r="O1731">
        <f>(1-Summary!$B$11)*T1731+Summary!$B$11*V1731</f>
        <v/>
      </c>
      <c r="P1731">
        <f>IF(B1750=0,0,O1731/B1750)</f>
        <v/>
      </c>
      <c r="Q1731">
        <f>IFERROR(1/IF(Inputs!$B$39="pvp",15,MAX(0.1,Skills!D20-IF(TRUE=TRUE,Inputs!$B$33,0))),0)</f>
        <v/>
      </c>
      <c r="R1731">
        <f>IF(AND(Inputs!$B$39&lt;&gt;"pvp",Inputs!$B$44&gt;0),IF(Inputs!$B$44&lt;=0,0,(INT(Inputs!$B$44/IF(Inputs!$B$39="pvp",15,MAX(0.1,Skills!D20-IF(TRUE=TRUE,Inputs!$B$33,0))))+1)),0)</f>
        <v/>
      </c>
      <c r="S1731">
        <f>IFERROR(O1731/N1731,0)</f>
        <v/>
      </c>
      <c r="T1731" t="n">
        <v>0</v>
      </c>
      <c r="V1731" t="n">
        <v>0</v>
      </c>
    </row>
    <row r="1732">
      <c r="A1732">
        <f>Skills!A21</f>
        <v/>
      </c>
      <c r="B1732">
        <f>Skills!B21</f>
        <v/>
      </c>
      <c r="C1732">
        <f>Inputs!$B$3&gt;=33</f>
        <v/>
      </c>
      <c r="D1732">
        <f>IF(Skills!C21=1,60+Inputs!$B$26+Inputs!$B$30,IF(Skills!C21=2,90+Inputs!$B$27+Inputs!$B$30,IF(Skills!C21=3,120+Inputs!$B$28+Inputs!$B$30,MAX(0,(Inputs!$B$3-100)*3)+Inputs!$B$29+Inputs!$B$30)))</f>
        <v/>
      </c>
      <c r="E1732">
        <f>INDEX(FactorTable!$B$2:$Y$301, MATCH(ROUND(MIN(300,MAX(1,D1732)),0), FactorTable!$A$2:$A$301,0), Skills!M21+1)</f>
        <v/>
      </c>
      <c r="F1732">
        <f>IF(Skills!N21=TRUE,(Skills!L21/10)*(E1732/1000),Skills!L21/10)+Skills!O21</f>
        <v/>
      </c>
      <c r="G1732">
        <f>Skills!G21*IF(Skills!H21&gt;0,INT(IF(Inputs!$B$39="pvp",MIN(Skills!I21,15),Skills!I21)/Skills!H21+0.000000001),1)</f>
        <v/>
      </c>
      <c r="H1732">
        <f>1-(1-Skills!J21/100)^Skills!K21</f>
        <v/>
      </c>
      <c r="I1732" t="inlineStr">
        <is>
          <t>1</t>
        </is>
      </c>
      <c r="J1732" t="inlineStr"/>
      <c r="K1732" t="inlineStr"/>
      <c r="L1732" t="inlineStr"/>
      <c r="M1732" t="inlineStr"/>
      <c r="N1732" t="inlineStr"/>
      <c r="O1732">
        <f>(1-Summary!$B$11)*T1732+Summary!$B$11*V1732</f>
        <v/>
      </c>
      <c r="P1732">
        <f>IF(B1750=0,0,O1732/B1750)</f>
        <v/>
      </c>
      <c r="Q1732" t="n">
        <v>0</v>
      </c>
      <c r="R1732" t="n">
        <v>0</v>
      </c>
      <c r="S1732">
        <f>IFERROR(O1732/N1732,0)</f>
        <v/>
      </c>
      <c r="T1732" t="n">
        <v>0</v>
      </c>
      <c r="V1732" t="n">
        <v>0</v>
      </c>
    </row>
    <row r="1733">
      <c r="A1733">
        <f>Skills!A22</f>
        <v/>
      </c>
      <c r="B1733">
        <f>Skills!B22</f>
        <v/>
      </c>
      <c r="C1733">
        <f>Inputs!$B$3&gt;=43</f>
        <v/>
      </c>
      <c r="D1733">
        <f>IF(Skills!C22=1,60+Inputs!$B$26+Inputs!$B$30,IF(Skills!C22=2,90+Inputs!$B$27+Inputs!$B$30,IF(Skills!C22=3,120+Inputs!$B$28+Inputs!$B$30,MAX(0,(Inputs!$B$3-100)*3)+Inputs!$B$29+Inputs!$B$30)))</f>
        <v/>
      </c>
      <c r="E1733">
        <f>INDEX(FactorTable!$B$2:$Y$301, MATCH(ROUND(MIN(300,MAX(1,D1733)),0), FactorTable!$A$2:$A$301,0), Skills!M22+1)</f>
        <v/>
      </c>
      <c r="F1733">
        <f>IF(Skills!N22=TRUE,(Skills!L22/10)*(E1733/1000),Skills!L22/10)+Skills!O22</f>
        <v/>
      </c>
      <c r="G1733">
        <f>Skills!G22*IF(Skills!H22&gt;0,INT(IF(Inputs!$B$39="pvp",MIN(Skills!I22,15),Skills!I22)/Skills!H22+0.000000001),1)</f>
        <v/>
      </c>
      <c r="H1733">
        <f>1-(1-Skills!J22/100)^Skills!K22</f>
        <v/>
      </c>
      <c r="I1733" t="inlineStr">
        <is>
          <t>1</t>
        </is>
      </c>
      <c r="J1733" t="inlineStr"/>
      <c r="K1733" t="inlineStr"/>
      <c r="L1733" t="inlineStr"/>
      <c r="M1733" t="inlineStr"/>
      <c r="N1733" t="inlineStr"/>
      <c r="O1733">
        <f>(1-Summary!$B$11)*T1733+Summary!$B$11*V1733</f>
        <v/>
      </c>
      <c r="P1733">
        <f>IF(B1750=0,0,O1733/B1750)</f>
        <v/>
      </c>
      <c r="Q1733" t="n">
        <v>0</v>
      </c>
      <c r="R1733" t="n">
        <v>0</v>
      </c>
      <c r="S1733">
        <f>IFERROR(O1733/N1733,0)</f>
        <v/>
      </c>
      <c r="T1733" t="n">
        <v>0</v>
      </c>
      <c r="V1733" t="n">
        <v>0</v>
      </c>
    </row>
    <row r="1734">
      <c r="A1734">
        <f>Skills!A23</f>
        <v/>
      </c>
      <c r="B1734">
        <f>Skills!B23</f>
        <v/>
      </c>
      <c r="C1734">
        <f>Inputs!$B$3&gt;=120</f>
        <v/>
      </c>
      <c r="D1734">
        <f>IF(Skills!C23=1,60+Inputs!$B$26+Inputs!$B$30,IF(Skills!C23=2,90+Inputs!$B$27+Inputs!$B$30,IF(Skills!C23=3,120+Inputs!$B$28+Inputs!$B$30,MAX(0,(Inputs!$B$3-100)*3)+Inputs!$B$29+Inputs!$B$30)))</f>
        <v/>
      </c>
      <c r="E1734">
        <f>INDEX(FactorTable!$B$2:$Y$301, MATCH(ROUND(MIN(300,MAX(1,D1734)),0), FactorTable!$A$2:$A$301,0), Skills!M23+1)</f>
        <v/>
      </c>
      <c r="F1734">
        <f>IF(Skills!N23=TRUE,(Skills!L23/10)*(E1734/1000),Skills!L23/10)+Skills!O23</f>
        <v/>
      </c>
      <c r="G1734">
        <f>Skills!G23*IF(Skills!H23&gt;0,INT(IF(Inputs!$B$39="pvp",MIN(Skills!I23,15),Skills!I23)/Skills!H23+0.000000001),1)</f>
        <v/>
      </c>
      <c r="H1734">
        <f>1-(1-Skills!J23/100)^Skills!K23</f>
        <v/>
      </c>
      <c r="I1734" t="inlineStr">
        <is>
          <t>1</t>
        </is>
      </c>
      <c r="J1734" t="inlineStr"/>
      <c r="K1734" t="inlineStr"/>
      <c r="L1734" t="inlineStr"/>
      <c r="M1734" t="inlineStr"/>
      <c r="N1734" t="inlineStr"/>
      <c r="O1734">
        <f>(1-Summary!$B$11)*T1734+Summary!$B$11*V1734</f>
        <v/>
      </c>
      <c r="P1734">
        <f>IF(B1750=0,0,O1734/B1750)</f>
        <v/>
      </c>
      <c r="Q1734" t="n">
        <v>0</v>
      </c>
      <c r="R1734" t="n">
        <v>0</v>
      </c>
      <c r="S1734">
        <f>IFERROR(O1734/N1734,0)</f>
        <v/>
      </c>
      <c r="T1734" t="n">
        <v>0</v>
      </c>
      <c r="V1734" t="n">
        <v>0</v>
      </c>
    </row>
    <row r="1735">
      <c r="A1735">
        <f>Skills!A24</f>
        <v/>
      </c>
      <c r="B1735">
        <f>Skills!B24</f>
        <v/>
      </c>
      <c r="C1735">
        <f>Inputs!$B$3&gt;=120</f>
        <v/>
      </c>
      <c r="D1735">
        <f>IF(Skills!C24=1,60+Inputs!$B$26+Inputs!$B$30,IF(Skills!C24=2,90+Inputs!$B$27+Inputs!$B$30,IF(Skills!C24=3,120+Inputs!$B$28+Inputs!$B$30,MAX(0,(Inputs!$B$3-100)*3)+Inputs!$B$29+Inputs!$B$30)))</f>
        <v/>
      </c>
      <c r="E1735">
        <f>INDEX(FactorTable!$B$2:$Y$301, MATCH(ROUND(MIN(300,MAX(1,D1735)),0), FactorTable!$A$2:$A$301,0), Skills!M24+1)</f>
        <v/>
      </c>
      <c r="F1735">
        <f>IF(Skills!N24=TRUE,(Skills!L24/10)*(E1735/1000),Skills!L24/10)+Skills!O24</f>
        <v/>
      </c>
      <c r="G1735">
        <f>Skills!G24*IF(Skills!H24&gt;0,INT(IF(Inputs!$B$39="pvp",MIN(Skills!I24,15),Skills!I24)/Skills!H24+0.000000001),1)</f>
        <v/>
      </c>
      <c r="H1735">
        <f>1-(1-Skills!J24/100)^Skills!K24</f>
        <v/>
      </c>
      <c r="I1735" t="inlineStr">
        <is>
          <t>1</t>
        </is>
      </c>
      <c r="J1735" t="inlineStr"/>
      <c r="K1735" t="inlineStr"/>
      <c r="L1735" t="inlineStr"/>
      <c r="M1735" t="inlineStr"/>
      <c r="N1735" t="inlineStr"/>
      <c r="O1735">
        <f>(1-Summary!$B$11)*T1735+Summary!$B$11*V1735</f>
        <v/>
      </c>
      <c r="P1735">
        <f>IF(B1750=0,0,O1735/B1750)</f>
        <v/>
      </c>
      <c r="Q1735" t="n">
        <v>0</v>
      </c>
      <c r="R1735" t="n">
        <v>0</v>
      </c>
      <c r="S1735">
        <f>IFERROR(O1735/N1735,0)</f>
        <v/>
      </c>
      <c r="T1735" t="n">
        <v>0</v>
      </c>
      <c r="V1735" t="n">
        <v>0</v>
      </c>
    </row>
    <row r="1736">
      <c r="A1736">
        <f>Skills!A25</f>
        <v/>
      </c>
      <c r="B1736">
        <f>Skills!B25</f>
        <v/>
      </c>
      <c r="C1736">
        <f>Inputs!$B$3&gt;=125</f>
        <v/>
      </c>
      <c r="D1736">
        <f>IF(Skills!C25=1,60+Inputs!$B$26+Inputs!$B$30,IF(Skills!C25=2,90+Inputs!$B$27+Inputs!$B$30,IF(Skills!C25=3,120+Inputs!$B$28+Inputs!$B$30,MAX(0,(Inputs!$B$3-100)*3)+Inputs!$B$29+Inputs!$B$30)))</f>
        <v/>
      </c>
      <c r="E1736">
        <f>INDEX(FactorTable!$B$2:$Y$301, MATCH(ROUND(MIN(300,MAX(1,D1736)),0), FactorTable!$A$2:$A$301,0), Skills!M25+1)</f>
        <v/>
      </c>
      <c r="F1736">
        <f>IF(Skills!N25=TRUE,(Skills!L25/10)*(E1736/1000),Skills!L25/10)+Skills!O25</f>
        <v/>
      </c>
      <c r="G1736">
        <f>Skills!G25*IF(Skills!H25&gt;0,INT(IF(Inputs!$B$39="pvp",MIN(Skills!I25,15),Skills!I25)/Skills!H25+0.000000001),1)</f>
        <v/>
      </c>
      <c r="H1736">
        <f>1-(1-Skills!J25/100)^Skills!K25</f>
        <v/>
      </c>
      <c r="I1736" t="inlineStr">
        <is>
          <t>1</t>
        </is>
      </c>
      <c r="J1736" t="inlineStr"/>
      <c r="K1736" t="inlineStr"/>
      <c r="L1736" t="inlineStr"/>
      <c r="M1736" t="inlineStr"/>
      <c r="N1736" t="inlineStr"/>
      <c r="O1736">
        <f>(1-Summary!$B$11)*T1736+Summary!$B$11*V1736</f>
        <v/>
      </c>
      <c r="P1736">
        <f>IF(B1750=0,0,O1736/B1750)</f>
        <v/>
      </c>
      <c r="Q1736" t="n">
        <v>0</v>
      </c>
      <c r="R1736" t="n">
        <v>0</v>
      </c>
      <c r="S1736">
        <f>IFERROR(O1736/N1736,0)</f>
        <v/>
      </c>
      <c r="T1736" t="n">
        <v>0</v>
      </c>
      <c r="V1736" t="n">
        <v>0</v>
      </c>
    </row>
    <row r="1737">
      <c r="A1737">
        <f>Skills!A26</f>
        <v/>
      </c>
      <c r="B1737">
        <f>Skills!B26</f>
        <v/>
      </c>
      <c r="C1737">
        <f>Inputs!$B$3&gt;=107</f>
        <v/>
      </c>
      <c r="D1737">
        <f>IF(Skills!C26=1,60+Inputs!$B$26+Inputs!$B$30,IF(Skills!C26=2,90+Inputs!$B$27+Inputs!$B$30,IF(Skills!C26=3,120+Inputs!$B$28+Inputs!$B$30,MAX(0,(Inputs!$B$3-100)*3)+Inputs!$B$29+Inputs!$B$30)))</f>
        <v/>
      </c>
      <c r="E1737">
        <f>INDEX(FactorTable!$B$2:$Y$301, MATCH(ROUND(MIN(300,MAX(1,D1737)),0), FactorTable!$A$2:$A$301,0), Skills!M26+1)</f>
        <v/>
      </c>
      <c r="F1737">
        <f>IF(Skills!N26=TRUE,(Skills!L26/10)*(E1737/1000),Skills!L26/10)+Skills!O26</f>
        <v/>
      </c>
      <c r="G1737">
        <f>Skills!G26*IF(Skills!H26&gt;0,INT(IF(Inputs!$B$39="pvp",MIN(Skills!I26,15),Skills!I26)/Skills!H26+0.000000001),1)</f>
        <v/>
      </c>
      <c r="H1737">
        <f>1-(1-Skills!J26/100)^Skills!K26</f>
        <v/>
      </c>
      <c r="I1737" t="inlineStr">
        <is>
          <t>1</t>
        </is>
      </c>
      <c r="J1737" t="inlineStr"/>
      <c r="K1737" t="inlineStr"/>
      <c r="L1737" t="inlineStr"/>
      <c r="M1737" t="inlineStr"/>
      <c r="N1737" t="inlineStr"/>
      <c r="O1737">
        <f>(1-Summary!$B$11)*T1737+Summary!$B$11*V1737</f>
        <v/>
      </c>
      <c r="P1737">
        <f>IF(B1750=0,0,O1737/B1750)</f>
        <v/>
      </c>
      <c r="Q1737" t="n">
        <v>0</v>
      </c>
      <c r="R1737" t="n">
        <v>0</v>
      </c>
      <c r="S1737">
        <f>IFERROR(O1737/N1737,0)</f>
        <v/>
      </c>
      <c r="T1737" t="n">
        <v>0</v>
      </c>
      <c r="V1737" t="n">
        <v>0</v>
      </c>
    </row>
    <row r="1739">
      <c r="A1739" t="inlineStr">
        <is>
          <t>Attack% Bucket Multiplier</t>
        </is>
      </c>
      <c r="B1739">
        <f>(1+(((C1724=TRUE)*F1724*IF(AND(Inputs!$B$39&lt;&gt;"pvp",Inputs!$B$44&gt;0),(((R1724-1)*MIN((Skills!T13*(1+Inputs!$B$35/100)),(1/Q1724))+MIN((Skills!T13*(1+Inputs!$B$35/100)),MAX(0,Inputs!$B$44-((R1724-1)*(1/Q1724)))))/Inputs!$B$44),IF(Inputs!$B$39="pvp",MIN((Skills!T13*(1+Inputs!$B$35/100)),15)/15,MIN(1,(Skills!T13*(1+Inputs!$B$35/100))/(1/Q1724)))))+((C1725=TRUE)*F1725*IF(AND(Inputs!$B$39&lt;&gt;"pvp",Inputs!$B$44&gt;0),(((R1725-1)*MIN((Skills!T14*(1+Inputs!$B$35/100)),(1/Q1725))+MIN((Skills!T14*(1+Inputs!$B$35/100)),MAX(0,Inputs!$B$44-((R1725-1)*(1/Q1725)))))/Inputs!$B$44),IF(Inputs!$B$39="pvp",MIN((Skills!T14*(1+Inputs!$B$35/100)),15)/15,MIN(1,(Skills!T14*(1+Inputs!$B$35/100))/(1/Q1725)))))+((C1726=TRUE)*F1726*IF(AND(Inputs!$B$39&lt;&gt;"pvp",Inputs!$B$44&gt;0),(((R1726-1)*MIN((Skills!T15*(1+Inputs!$B$35/100)),(1/Q1726))+MIN((Skills!T15*(1+Inputs!$B$35/100)),MAX(0,Inputs!$B$44-((R1726-1)*(1/Q1726)))))/Inputs!$B$44),IF(Inputs!$B$39="pvp",MIN((Skills!T15*(1+Inputs!$B$35/100)),15)/15,MIN(1,(Skills!T15*(1+Inputs!$B$35/100))/(1/Q1726)))))+((C1727=TRUE)*F1727*IF(AND(Inputs!$B$39&lt;&gt;"pvp",Inputs!$B$44&gt;0),(((R1727-1)*MIN((Skills!T16*(1+Inputs!$B$35/100)),(1/Q1727))+MIN((Skills!T16*(1+Inputs!$B$35/100)),MAX(0,Inputs!$B$44-((R1727-1)*(1/Q1727)))))/Inputs!$B$44),IF(Inputs!$B$39="pvp",MIN((Skills!T16*(1+Inputs!$B$35/100)),15)/15,MIN(1,(Skills!T16*(1+Inputs!$B$35/100))/(1/Q1727)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1740">
      <c r="A1740" t="inlineStr">
        <is>
          <t>Global Crit Rate Bonus % (Lord of Darkness)</t>
        </is>
      </c>
      <c r="B1740">
        <f>((C1729=TRUE)*F1729*(Skills!J18/100)*IF(AND(Inputs!$B$39&lt;&gt;"pvp",Inputs!$B$44&gt;0),(((R1729-1)*MIN((Skills!T18*(1+Inputs!$B$35/100)),(1/Q1729))+MIN((Skills!T18*(1+Inputs!$B$35/100)),MAX(0,Inputs!$B$44-((R1729-1)*(1/Q1729)))))/Inputs!$B$44),IF(Inputs!$B$39="pvp",MIN((Skills!T18*(1+Inputs!$B$35/100)),15)/15,MIN(1,(Skills!T18*(1+Inputs!$B$35/100))/(1/Q1729)))))</f>
        <v/>
      </c>
    </row>
    <row r="1741">
      <c r="A1741" t="inlineStr">
        <is>
          <t>Attack Speed Buff Bonus %</t>
        </is>
      </c>
      <c r="B1741">
        <f>((C1731=TRUE)*F1731*IF(AND(Inputs!$B$39&lt;&gt;"pvp",Inputs!$B$44&gt;0),(((R1731-1)*MIN((Skills!T20*(1+Inputs!$B$35/100)),(1/Q1731))+MIN((Skills!T20*(1+Inputs!$B$35/100)),MAX(0,Inputs!$B$44-((R1731-1)*(1/Q1731)))))/Inputs!$B$44),IF(Inputs!$B$39="pvp",MIN((Skills!T20*(1+Inputs!$B$35/100)),15)/15,MIN(1,(Skills!T20*(1+Inputs!$B$35/100))/(1/Q1731)))))</f>
        <v/>
      </c>
    </row>
    <row r="1742">
      <c r="A1742" t="inlineStr">
        <is>
          <t>Actions Per Second</t>
        </is>
      </c>
      <c r="B1742">
        <f>1+MIN(150,150*(1-(1-(Inputs!$B$12+((C1732=TRUE)*(F1732-Calc!F21)))/150)*(1-B1741/150)))/100</f>
        <v/>
      </c>
    </row>
    <row r="1743">
      <c r="A1743" t="inlineStr">
        <is>
          <t>Skill + Buff Cast Rate</t>
        </is>
      </c>
      <c r="B1743">
        <f>IF(AND(Inputs!$B$39&lt;&gt;"pvp",Inputs!$B$44&gt;0),SUMPRODUCT((Skills!E2:E26=TRUE)*(C1713:C1737=TRUE)*R1713:R1737*Skills!F2:F26)/Inputs!$B$44,SUMPRODUCT((Skills!E2:E26=TRUE)*(C1713:C1737=TRUE)*Q1713:Q1737*Skills!F2:F26))</f>
        <v/>
      </c>
    </row>
    <row r="1744">
      <c r="A1744" t="inlineStr">
        <is>
          <t>Dark Impale Casts Per Second</t>
        </is>
      </c>
      <c r="B1744">
        <f>MAX(0,B1742-B1743)</f>
        <v/>
      </c>
    </row>
    <row r="1745">
      <c r="A1745" t="inlineStr">
        <is>
          <t>Global Critical Damage Bonus % (Lord of Darkness)</t>
        </is>
      </c>
      <c r="B1745">
        <f>((C1730=TRUE)*F1730*(Skills!J19/100)*IF(AND(Inputs!$B$39&lt;&gt;"pvp",Inputs!$B$44&gt;0),(((R1730-1)*MIN((Skills!T19*(1+Inputs!$B$35/100)),(1/Q1730))+MIN((Skills!T19*(1+Inputs!$B$35/100)),MAX(0,Inputs!$B$44-((R1730-1)*(1/Q1730)))))/Inputs!$B$44),IF(Inputs!$B$39="pvp",MIN((Skills!T19*(1+Inputs!$B$35/100)),15)/15,MIN(1,(Skills!T19*(1+Inputs!$B$35/100))/(1/Q1730)))))</f>
        <v/>
      </c>
    </row>
    <row r="1746">
      <c r="A1746" t="inlineStr">
        <is>
          <t>Global Final Damage Bonus % (unused)</t>
        </is>
      </c>
      <c r="B1746" t="n">
        <v>0</v>
      </c>
    </row>
    <row r="1747">
      <c r="A1747" t="inlineStr">
        <is>
          <t>Buff-Casting Startup Delay (s, fixed-duration only)</t>
        </is>
      </c>
      <c r="B1747">
        <f>IF(AND(Inputs!$B$39&lt;&gt;"pvp",Inputs!$B$44&gt;0),SUMPRODUCT((Skills!T2:T26&gt;0)*(Skills!E2:E26=TRUE)*(C1713:C1737=TRUE))/B1742,0)</f>
        <v/>
      </c>
    </row>
    <row r="1748">
      <c r="A1748" t="inlineStr">
        <is>
          <t>Boss-Only Total DPS (this block's swept value)</t>
        </is>
      </c>
      <c r="B1748">
        <f>SUM(T1713:T1737)</f>
        <v/>
      </c>
    </row>
    <row r="1749">
      <c r="A1749" t="inlineStr">
        <is>
          <t>Normal-Only Total DPS (this block's swept value)</t>
        </is>
      </c>
      <c r="B1749">
        <f>SUM(V1713:V1737)</f>
        <v/>
      </c>
    </row>
    <row r="1750">
      <c r="A1750" s="6" t="inlineStr">
        <is>
          <t>TOTAL DPS</t>
        </is>
      </c>
      <c r="B1750" s="6">
        <f>SUM(O1713:O1737)</f>
        <v/>
      </c>
    </row>
    <row r="1753">
      <c r="A1753" s="6" t="inlineStr">
        <is>
          <t>Stat: Pink Bean's Giant Rib (Equip)</t>
        </is>
      </c>
    </row>
    <row r="1754">
      <c r="A1754" s="5" t="inlineStr">
        <is>
          <t>Key</t>
        </is>
      </c>
      <c r="B1754" s="5" t="inlineStr">
        <is>
          <t>Name</t>
        </is>
      </c>
      <c r="C1754" s="5" t="inlineStr">
        <is>
          <t>Unlocked</t>
        </is>
      </c>
      <c r="D1754" s="5" t="inlineStr">
        <is>
          <t>InputLevel</t>
        </is>
      </c>
      <c r="E1754" s="5" t="inlineStr">
        <is>
          <t>Factor</t>
        </is>
      </c>
      <c r="F1754" s="5" t="inlineStr">
        <is>
          <t>CoefficientPercent</t>
        </is>
      </c>
      <c r="G1754" s="5" t="inlineStr">
        <is>
          <t>EffectiveHits</t>
        </is>
      </c>
      <c r="H1754" s="5" t="inlineStr">
        <is>
          <t>ProcProbability</t>
        </is>
      </c>
      <c r="I1754" s="5" t="inlineStr">
        <is>
          <t>MapleHeroMultiplier</t>
        </is>
      </c>
      <c r="J1754" s="5" t="inlineStr">
        <is>
          <t>BaseDamage</t>
        </is>
      </c>
      <c r="K1754" s="5" t="inlineStr">
        <is>
          <t>BaseHitDamage</t>
        </is>
      </c>
      <c r="L1754" s="5" t="inlineStr">
        <is>
          <t>NonCritAvg</t>
        </is>
      </c>
      <c r="M1754" s="5" t="inlineStr">
        <is>
          <t>CritAvg</t>
        </is>
      </c>
      <c r="N1754" s="5" t="inlineStr">
        <is>
          <t>ExpectedDamage(perHit)</t>
        </is>
      </c>
      <c r="O1754" s="5" t="inlineStr">
        <is>
          <t>DPS</t>
        </is>
      </c>
      <c r="P1754" s="5" t="inlineStr">
        <is>
          <t>% of Total</t>
        </is>
      </c>
      <c r="Q1754" s="5" t="inlineStr">
        <is>
          <t>InvCooldown</t>
        </is>
      </c>
      <c r="R1754" s="5" t="inlineStr">
        <is>
          <t>CastsInFight</t>
        </is>
      </c>
      <c r="S1754" s="5" t="inlineStr">
        <is>
          <t>HitRate(perSec)</t>
        </is>
      </c>
      <c r="U1754" t="inlineStr">
        <is>
          <t>helpers</t>
        </is>
      </c>
    </row>
    <row r="1755">
      <c r="A1755">
        <f>Skills!A2</f>
        <v/>
      </c>
      <c r="B1755">
        <f>Skills!B2</f>
        <v/>
      </c>
      <c r="C1755">
        <f>Inputs!$B$3&gt;=100</f>
        <v/>
      </c>
      <c r="D1755" t="inlineStr"/>
      <c r="E1755" t="inlineStr"/>
      <c r="F1755">
        <f>U1757+Skills!O2</f>
        <v/>
      </c>
      <c r="G1755">
        <f>Skills!G2*IF(Skills!H2&gt;0,INT(IF(Inputs!$B$39="pvp",MIN(Skills!I2,15),Skills!I2)/Skills!H2+0.000000001),1)</f>
        <v/>
      </c>
      <c r="H1755">
        <f>1-(1-Skills!J2/100)^Skills!K2</f>
        <v/>
      </c>
      <c r="I1755" t="inlineStr">
        <is>
          <t>1</t>
        </is>
      </c>
      <c r="J1755">
        <f>((Inputs!$B$6*(1+Inputs!$B$7/100))+(((Inputs!$B$13*(1+Inputs!$B$14/100))-(Inputs!$B$13*(1+Inputs!$B$14/100)))+0.25*(Inputs!$B$15-Inputs!$B$15))*(1+Inputs!$B$7/100))*(F1755/100)</f>
        <v/>
      </c>
      <c r="K1755">
        <f>J1755*(1+(((Inputs!$B$13+IF(Inputs!$B$3&gt;=38,(10*INDEX(FactorTable!$B$2:$Y$301, MATCH(ROUND(MIN(300,MAX(1,Inputs!$B$3)),0), FactorTable!$A$2:$A$301,0), 23)/1000)/100*(Inputs!$B$8*(1+Inputs!$B$9/100)),0))*(1+Inputs!$B$14/100))*0.01+Inputs!$B$15*0.0025)/100)*(1+Inputs!$B$16/100)*(1+Inputs!$B$17/100)*(5000/(6000+Inputs!$B$43*(1-(Inputs!$B$20+0)/100)))*(1+(Inputs!$B$25+((C1778=TRUE)*(F1778-Calc!F25))+((C1779=TRUE)*(F1779-Calc!F26))+B1788)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gt;=100),MIN(100,((Inputs!$B$10+0+B1782+(ArtifactsInput!$M$24-ArtifactsInput!$M$24)*CHOOSE(ArtifactsInput!$N$24+1,10,12,14,16,18,20)+IF(ArtifactsInput!$M$10,CHOOSE(ArtifactsInput!$N$10+1,15,18,21,24,27,30)*(IF(Inputs!$B$39="pvp",MIN(15,15)/15,IF(AND(Inputs!$B$39&lt;&gt;"pvp",Inputs!$B$44&gt;0),MIN(15,Inputs!$B$44)/(Inputs!$B$44),0))),0)))-100),0))*CHOOSE(ArtifactsInput!$N$42+1,0.6,0.72,0.84,0.96,1.08,1.2))),Inputs!$B$19+((C1776=TRUE)*(F1776-Calc!F23))+(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gt;=100),CHOOSE(ArtifactsInput!$N$42+1,40,48,56,64,72,80),0))))/100)*((1+(((C1766=TRUE)*F1766*IF(AND(Inputs!$B$39&lt;&gt;"pvp",Inputs!$B$44&gt;0),(((R1766-1)*MIN((Skills!T13*(1+Inputs!$B$35/100)),(1/Q1766))+MIN((Skills!T13*(1+Inputs!$B$35/100)),MAX(0,Inputs!$B$44-((R1766-1)*(1/Q1766)))))/Inputs!$B$44),IF(Inputs!$B$39="pvp",MIN((Skills!T13*(1+Inputs!$B$35/100)),15)/15,MIN(1,(Skills!T13*(1+Inputs!$B$35/100))/(1/Q1766)))))+((C1767=TRUE)*F1767*IF(AND(Inputs!$B$39&lt;&gt;"pvp",Inputs!$B$44&gt;0),(((R1767-1)*MIN((Skills!T14*(1+Inputs!$B$35/100)),(1/Q1767))+MIN((Skills!T14*(1+Inputs!$B$35/100)),MAX(0,Inputs!$B$44-((R1767-1)*(1/Q1767)))))/Inputs!$B$44),IF(Inputs!$B$39="pvp",MIN((Skills!T14*(1+Inputs!$B$35/100)),15)/15,MIN(1,(Skills!T14*(1+Inputs!$B$35/100))/(1/Q1767)))))+((C1768=TRUE)*F1768*IF(AND(Inputs!$B$39&lt;&gt;"pvp",Inputs!$B$44&gt;0),(((R1768-1)*MIN((Skills!T15*(1+Inputs!$B$35/100)),(1/Q1768))+MIN((Skills!T15*(1+Inputs!$B$35/100)),MAX(0,Inputs!$B$44-((R1768-1)*(1/Q1768)))))/Inputs!$B$44),IF(Inputs!$B$39="pvp",MIN((Skills!T15*(1+Inputs!$B$35/100)),15)/15,MIN(1,(Skills!T15*(1+Inputs!$B$35/100))/(1/Q1768)))))+((C1769=TRUE)*F1769*IF(AND(Inputs!$B$39&lt;&gt;"pvp",Inputs!$B$44&gt;0),(((R1769-1)*MIN((Skills!T16*(1+Inputs!$B$35/100)),(1/Q1769))+MIN((Skills!T16*(1+Inputs!$B$35/100)),MAX(0,Inputs!$B$44-((R1769-1)*(1/Q1769)))))/Inputs!$B$44),IF(Inputs!$B$39="pvp",MIN((Skills!T16*(1+Inputs!$B$35/100)),15)/15,MIN(1,(Skills!T16*(1+Inputs!$B$35/100))/(1/Q1769)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1755)</f>
        <v/>
      </c>
      <c r="L1755">
        <f>K1755*(MIN(Inputs!$B$23+((C1775=TRUE)*(F1775-Calc!F22)),(Inputs!$B$24+((C1777=TRUE)*(F1777-Calc!F24))+(IF(ArtifactsInput!$M$15,CHOOSE(ArtifactsInput!$N$15+1,25,30,35,40,45,50)/100*(Inputs!$B$12-Inputs!$B$12),0))))/100+(Inputs!$B$24+((C1777=TRUE)*(F1777-Calc!F24))+(IF(ArtifactsInput!$M$15,CHOOSE(ArtifactsInput!$N$15+1,25,30,35,40,45,50)/100*(Inputs!$B$12-Inputs!$B$12),0)))/100)/2</f>
        <v/>
      </c>
      <c r="M1755">
        <f>L1755*(1+(Inputs!$B$11+0+B1787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755">
        <f>L1755*(1-MIN((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1755*(MIN((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55">
        <f>(1-Summary!$B$11)*T1755+Summary!$B$11*V1755</f>
        <v/>
      </c>
      <c r="P1755">
        <f>IF(B1792=0,0,O1755/B1792)</f>
        <v/>
      </c>
      <c r="Q1755" t="n">
        <v>0</v>
      </c>
      <c r="R1755" t="n">
        <v>0</v>
      </c>
      <c r="S1755">
        <f>IFERROR(O1755/N1755,0)</f>
        <v/>
      </c>
      <c r="T1755">
        <f>IF(C1755,(Skills!G2*N1755*B1786)*IF(Inputs!$B$39="pvp",1,1+(Inputs!$B$21+0+Skills!P2+((C1770=TRUE)*F1770*IF(AND(Inputs!$B$39&lt;&gt;"pvp",Inputs!$B$44&gt;0),(((R1770-1)*MIN((Skills!T17*(1+Inputs!$B$35/100)),(1/Q1770))+MIN((Skills!T17*(1+Inputs!$B$35/100)),MAX(0,Inputs!$B$44-((R1770-1)*(1/Q1770)))))/Inputs!$B$44),IF(Inputs!$B$39="pvp",MIN((Skills!T17*(1+Inputs!$B$35/100)),15)/15,MIN(1,(Skills!T17*(1+Inputs!$B$35/100))/(1/Q1770)))))+((C1758=TRUE)*IF(Inputs!$B$3&gt;=126,10*MIN(1,15*Q1758),0))+((C1767=TRUE)*IF(Inputs!$B$39="pvp",20,(1-Summary!$B$11)*(20)+Summary!$B$11*(0))*IF(AND(Inputs!$B$39&lt;&gt;"pvp",Inputs!$B$44&gt;0),(((R1767-1)*MIN((Skills!T14*(1+Inputs!$B$35/100)),(1/Q1767))+MIN((Skills!T14*(1+Inputs!$B$35/100)),MAX(0,Inputs!$B$44-((R1767-1)*(1/Q1767)))))/Inputs!$B$44),IF(Inputs!$B$39="pvp",MIN((Skills!T14*(1+Inputs!$B$35/100)),15)/15,MIN(1,(Skills!T14*(1+Inputs!$B$35/100))/(1/Q1767)))))+((C1766=TRUE)*IF(Inputs!$B$3&gt;=82,IF(Inputs!$B$39="pvp",20,(1-Summary!$B$11)*(20)+Summary!$B$11*(0)),0)*IF(AND(Inputs!$B$39&lt;&gt;"pvp",Inputs!$B$44&gt;0),(((R1766-1)*MIN((Skills!T13*(1+Inputs!$B$35/100)),(1/Q1766))+MIN((Skills!T13*(1+Inputs!$B$35/100)),MAX(0,Inputs!$B$44-((R1766-1)*(1/Q1766)))))/Inputs!$B$44),IF(Inputs!$B$39="pvp",MIN((Skills!T13*(1+Inputs!$B$35/100)),15)/15,MIN(1,(Skills!T13*(1+Inputs!$B$35/100))/(1/Q1766)))))+(IF(AND(ArtifactsInput!$M$35,Inputs!$B$4&lt;&gt;"Chapter Hunt"),CHOOSE(ArtifactsInput!$N$35+1,15,18,21,24,27,30)*(1-EXP(-(0.2*B1784)*5)),0)+IF(AND(ArtifactsInput!$M$22,Inputs!$B$4&lt;&gt;"Chapter Hunt"),CHOOSE(ArtifactsInput!$N$22+1,10,12,14,16,18,20)*((0*(((0.15*B1784*5))^0/1)+1*(((0.15*B1784*5))^1/1)+2*(((0.15*B1784*5))^2/2)+3*(((0.15*B1784*5))^3/6)+4*(((0.15*B1784*5))^4/24)+5*(((0.15*B1784*5))^5/120))/((((0.15*B1784*5))^0/1)+(((0.15*B1784*5))^1/1)+(((0.15*B1784*5))^2/2)+(((0.15*B1784*5))^3/6)+(((0.15*B1784*5))^4/24)+(((0.15*B1784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1755*(1-MIN(100,(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1755*(MIN(100,(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1755*(1-MIN(100,(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1755*(MIN(100,(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55">
        <f>MAX(0,(Inputs!$B$3-100)*3)+Inputs!$B$29+Inputs!$B$30</f>
        <v/>
      </c>
      <c r="V1755">
        <f>IF(C1755,(Skills!G2*N1755*B1786)*IF(Inputs!$B$39="pvp",1,(1+(Inputs!$B$22+Skills!Q2+((C1770=TRUE)*F1770*IF(AND(Inputs!$B$39&lt;&gt;"pvp",Inputs!$B$44&gt;0),(((R1770-1)*MIN((Skills!T17*(1+Inputs!$B$35/100)),(1/Q1770))+MIN((Skills!T17*(1+Inputs!$B$35/100)),MAX(0,Inputs!$B$44-((R1770-1)*(1/Q1770)))))/Inputs!$B$44),IF(Inputs!$B$39="pvp",MIN((Skills!T17*(1+Inputs!$B$35/100)),15)/15,MIN(1,(Skills!T17*(1+Inputs!$B$35/100))/(1/Q1770)))))+((C1758=TRUE)*IF(Inputs!$B$3&gt;=126,10*MIN(1,15*Q1758),0))+((C1767=TRUE)*IF(Inputs!$B$39="pvp",20,(1-Summary!$B$11)*(20)+Summary!$B$11*(0))*IF(AND(Inputs!$B$39&lt;&gt;"pvp",Inputs!$B$44&gt;0),(((R1767-1)*MIN((Skills!T14*(1+Inputs!$B$35/100)),(1/Q1767))+MIN((Skills!T14*(1+Inputs!$B$35/100)),MAX(0,Inputs!$B$44-((R1767-1)*(1/Q1767)))))/Inputs!$B$44),IF(Inputs!$B$39="pvp",MIN((Skills!T14*(1+Inputs!$B$35/100)),15)/15,MIN(1,(Skills!T14*(1+Inputs!$B$35/100))/(1/Q1767)))))+((C1766=TRUE)*IF(Inputs!$B$3&gt;=82,IF(Inputs!$B$39="pvp",20,(1-Summary!$B$11)*(20)+Summary!$B$11*(0)),0)*IF(AND(Inputs!$B$39&lt;&gt;"pvp",Inputs!$B$44&gt;0),(((R1766-1)*MIN((Skills!T13*(1+Inputs!$B$35/100)),(1/Q1766))+MIN((Skills!T13*(1+Inputs!$B$35/100)),MAX(0,Inputs!$B$44-((R1766-1)*(1/Q1766)))))/Inputs!$B$44),IF(Inputs!$B$39="pvp",MIN((Skills!T13*(1+Inputs!$B$35/100)),15)/15,MIN(1,(Skills!T13*(1+Inputs!$B$35/100))/(1/Q1766)))))+(IF(AND(ArtifactsInput!$M$35,Inputs!$B$4&lt;&gt;"Chapter Hunt"),CHOOSE(ArtifactsInput!$N$35+1,15,18,21,24,27,30)*(1-EXP(-(0.2*B1784)*5)),0)+IF(AND(ArtifactsInput!$M$22,Inputs!$B$4&lt;&gt;"Chapter Hunt"),CHOOSE(ArtifactsInput!$N$22+1,10,12,14,16,18,20)*((0*(((0.15*B1784*5))^0/1)+1*(((0.15*B1784*5))^1/1)+2*(((0.15*B1784*5))^2/2)+3*(((0.15*B1784*5))^3/6)+4*(((0.15*B1784*5))^4/24)+5*(((0.15*B1784*5))^5/120))/((((0.15*B1784*5))^0/1)+(((0.15*B1784*5))^1/1)+(((0.15*B1784*5))^2/2)+(((0.15*B1784*5))^3/6)+(((0.15*B1784*5))^4/24)+(((0.15*B1784*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56">
      <c r="A1756">
        <f>Skills!A3</f>
        <v/>
      </c>
      <c r="B1756">
        <f>Skills!B3</f>
        <v/>
      </c>
      <c r="C1756">
        <f>Inputs!$B$3&gt;=50</f>
        <v/>
      </c>
      <c r="D1756">
        <f>IF(Skills!C3=1,60+Inputs!$B$26+Inputs!$B$30,IF(Skills!C3=2,90+Inputs!$B$27+Inputs!$B$30,IF(Skills!C3=3,120+Inputs!$B$28+Inputs!$B$30,MAX(0,(Inputs!$B$3-100)*3)+Inputs!$B$29+Inputs!$B$30)))</f>
        <v/>
      </c>
      <c r="E1756">
        <f>INDEX(FactorTable!$B$2:$Y$301, MATCH(ROUND(MIN(300,MAX(1,D1756)),0), FactorTable!$A$2:$A$301,0), Skills!M3+1)</f>
        <v/>
      </c>
      <c r="F1756">
        <f>IF(Skills!N3=TRUE,(Skills!L3/10)*(E1756/1000),Skills!L3/10)+Skills!O3</f>
        <v/>
      </c>
      <c r="G1756" t="inlineStr"/>
      <c r="H1756" t="inlineStr"/>
      <c r="I1756" t="inlineStr">
        <is>
          <t>1</t>
        </is>
      </c>
      <c r="J1756" t="inlineStr"/>
      <c r="K1756" t="inlineStr"/>
      <c r="L1756" t="inlineStr"/>
      <c r="M1756" t="inlineStr"/>
      <c r="N1756" t="inlineStr"/>
      <c r="O1756" t="inlineStr"/>
      <c r="P1756" t="inlineStr"/>
      <c r="Q1756" t="inlineStr"/>
      <c r="R1756" t="inlineStr"/>
      <c r="S1756" t="inlineStr"/>
      <c r="U1756">
        <f>INDEX(FactorTable!$B$2:$Y$301, MATCH(ROUND(MIN(300,MAX(1,U1755)),0), FactorTable!$A$2:$A$301,0), 22)</f>
        <v/>
      </c>
    </row>
    <row r="1757">
      <c r="A1757">
        <f>Skills!A4</f>
        <v/>
      </c>
      <c r="B1757">
        <f>Skills!B4</f>
        <v/>
      </c>
      <c r="C1757">
        <f>Inputs!$B$3&gt;=105</f>
        <v/>
      </c>
      <c r="D1757">
        <f>IF(Skills!C4=1,60+Inputs!$B$26+Inputs!$B$30,IF(Skills!C4=2,90+Inputs!$B$27+Inputs!$B$30,IF(Skills!C4=3,120+Inputs!$B$28+Inputs!$B$30,MAX(0,(Inputs!$B$3-100)*3)+Inputs!$B$29+Inputs!$B$30)))</f>
        <v/>
      </c>
      <c r="E1757">
        <f>INDEX(FactorTable!$B$2:$Y$301, MATCH(ROUND(MIN(300,MAX(1,D1757)),0), FactorTable!$A$2:$A$301,0), Skills!M4+1)</f>
        <v/>
      </c>
      <c r="F1757">
        <f>IF(Skills!N4=TRUE,(Skills!L4/10)*(E1757/1000),Skills!L4/10)+Skills!O4</f>
        <v/>
      </c>
      <c r="G1757" t="inlineStr"/>
      <c r="H1757" t="inlineStr"/>
      <c r="I1757" t="inlineStr">
        <is>
          <t>1</t>
        </is>
      </c>
      <c r="J1757" t="inlineStr"/>
      <c r="K1757" t="inlineStr"/>
      <c r="L1757" t="inlineStr"/>
      <c r="M1757" t="inlineStr"/>
      <c r="N1757" t="inlineStr"/>
      <c r="O1757" t="inlineStr"/>
      <c r="P1757" t="inlineStr"/>
      <c r="Q1757" t="inlineStr"/>
      <c r="R1757" t="inlineStr"/>
      <c r="S1757" t="inlineStr"/>
      <c r="U1757">
        <f>290*U1756/1000</f>
        <v/>
      </c>
    </row>
    <row r="1758">
      <c r="A1758">
        <f>Skills!A5</f>
        <v/>
      </c>
      <c r="B1758">
        <f>Skills!B5</f>
        <v/>
      </c>
      <c r="C1758">
        <f>Inputs!$B$3&gt;=117</f>
        <v/>
      </c>
      <c r="D1758">
        <f>IF(Skills!C5=1,60+Inputs!$B$26+Inputs!$B$30,IF(Skills!C5=2,90+Inputs!$B$27+Inputs!$B$30,IF(Skills!C5=3,120+Inputs!$B$28+Inputs!$B$30,MAX(0,(Inputs!$B$3-100)*3)+Inputs!$B$29+Inputs!$B$30)))</f>
        <v/>
      </c>
      <c r="E1758">
        <f>INDEX(FactorTable!$B$2:$Y$301, MATCH(ROUND(MIN(300,MAX(1,D1758)),0), FactorTable!$A$2:$A$301,0), Skills!M5+1)</f>
        <v/>
      </c>
      <c r="F1758">
        <f>IF(Skills!N5=TRUE,(Skills!L5/10)*(E1758/1000),Skills!L5/10)+Skills!O5</f>
        <v/>
      </c>
      <c r="G1758">
        <f>Skills!G5*IF(Skills!H5&gt;0,INT(IF(Inputs!$B$39="pvp",MIN(Skills!I5,15),Skills!I5)/Skills!H5+0.000000001),1)</f>
        <v/>
      </c>
      <c r="H1758">
        <f>1-(1-Skills!J5/100)^Skills!K5</f>
        <v/>
      </c>
      <c r="I1758" t="inlineStr">
        <is>
          <t>1</t>
        </is>
      </c>
      <c r="J1758">
        <f>((Inputs!$B$6*(1+Inputs!$B$7/100))+(((Inputs!$B$13*(1+Inputs!$B$14/100))-(Inputs!$B$13*(1+Inputs!$B$14/100)))+0.25*(Inputs!$B$15-Inputs!$B$15))*(1+Inputs!$B$7/100))*(F1758/100)</f>
        <v/>
      </c>
      <c r="K1758">
        <f>J1758*(1+(((Inputs!$B$13+IF(Inputs!$B$3&gt;=38,(10*INDEX(FactorTable!$B$2:$Y$301, MATCH(ROUND(MIN(300,MAX(1,Inputs!$B$3)),0), FactorTable!$A$2:$A$301,0), 23)/1000)/100*(Inputs!$B$8*(1+Inputs!$B$9/100)),0))*(1+Inputs!$B$14/100))*0.01+Inputs!$B$15*0.0025)/100)*(1+Inputs!$B$16/100)*(1+Inputs!$B$17/100)*(5000/(6000+Inputs!$B$43*(1-(Inputs!$B$20+0)/100)))*(1+(Inputs!$B$25+((C1778=TRUE)*(F1778-Calc!F25))+((C1779=TRUE)*(F1779-Calc!F26))+B1788)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gt;=100),MIN(100,((Inputs!$B$10+0+B1782+(ArtifactsInput!$M$24-ArtifactsInput!$M$24)*CHOOSE(ArtifactsInput!$N$24+1,10,12,14,16,18,20)+IF(ArtifactsInput!$M$10,CHOOSE(ArtifactsInput!$N$10+1,15,18,21,24,27,30)*(IF(Inputs!$B$39="pvp",MIN(15,15)/15,IF(AND(Inputs!$B$39&lt;&gt;"pvp",Inputs!$B$44&gt;0),MIN(15,Inputs!$B$44)/(Inputs!$B$44),0))),0)))-100),0))*CHOOSE(ArtifactsInput!$N$42+1,0.6,0.72,0.84,0.96,1.08,1.2))),Inputs!$B$19+((C1776=TRUE)*(F1776-Calc!F23))+(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gt;=100),CHOOSE(ArtifactsInput!$N$42+1,40,48,56,64,72,80),0))))/100)*((1+(((C1766=TRUE)*F1766*IF(AND(Inputs!$B$39&lt;&gt;"pvp",Inputs!$B$44&gt;0),(((R1766-1)*MIN((Skills!T13*(1+Inputs!$B$35/100)),(1/Q1766))+MIN((Skills!T13*(1+Inputs!$B$35/100)),MAX(0,Inputs!$B$44-((R1766-1)*(1/Q1766)))))/Inputs!$B$44),IF(Inputs!$B$39="pvp",MIN((Skills!T13*(1+Inputs!$B$35/100)),15)/15,MIN(1,(Skills!T13*(1+Inputs!$B$35/100))/(1/Q1766)))))+((C1767=TRUE)*F1767*IF(AND(Inputs!$B$39&lt;&gt;"pvp",Inputs!$B$44&gt;0),(((R1767-1)*MIN((Skills!T14*(1+Inputs!$B$35/100)),(1/Q1767))+MIN((Skills!T14*(1+Inputs!$B$35/100)),MAX(0,Inputs!$B$44-((R1767-1)*(1/Q1767)))))/Inputs!$B$44),IF(Inputs!$B$39="pvp",MIN((Skills!T14*(1+Inputs!$B$35/100)),15)/15,MIN(1,(Skills!T14*(1+Inputs!$B$35/100))/(1/Q1767)))))+((C1768=TRUE)*F1768*IF(AND(Inputs!$B$39&lt;&gt;"pvp",Inputs!$B$44&gt;0),(((R1768-1)*MIN((Skills!T15*(1+Inputs!$B$35/100)),(1/Q1768))+MIN((Skills!T15*(1+Inputs!$B$35/100)),MAX(0,Inputs!$B$44-((R1768-1)*(1/Q1768)))))/Inputs!$B$44),IF(Inputs!$B$39="pvp",MIN((Skills!T15*(1+Inputs!$B$35/100)),15)/15,MIN(1,(Skills!T15*(1+Inputs!$B$35/100))/(1/Q1768)))))+((C1769=TRUE)*F1769*IF(AND(Inputs!$B$39&lt;&gt;"pvp",Inputs!$B$44&gt;0),(((R1769-1)*MIN((Skills!T16*(1+Inputs!$B$35/100)),(1/Q1769))+MIN((Skills!T16*(1+Inputs!$B$35/100)),MAX(0,Inputs!$B$44-((R1769-1)*(1/Q1769)))))/Inputs!$B$44),IF(Inputs!$B$39="pvp",MIN((Skills!T16*(1+Inputs!$B$35/100)),15)/15,MIN(1,(Skills!T16*(1+Inputs!$B$35/100))/(1/Q1769)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1758)</f>
        <v/>
      </c>
      <c r="L1758">
        <f>K1758*(MIN(Inputs!$B$23+((C1775=TRUE)*(F1775-Calc!F22)),(Inputs!$B$24+((C1777=TRUE)*(F1777-Calc!F24))+(IF(ArtifactsInput!$M$15,CHOOSE(ArtifactsInput!$N$15+1,25,30,35,40,45,50)/100*(Inputs!$B$12-Inputs!$B$12),0))))/100+(Inputs!$B$24+((C1777=TRUE)*(F1777-Calc!F24))+(IF(ArtifactsInput!$M$15,CHOOSE(ArtifactsInput!$N$15+1,25,30,35,40,45,50)/100*(Inputs!$B$12-Inputs!$B$12),0)))/100)/2</f>
        <v/>
      </c>
      <c r="M1758">
        <f>L1758*(1+(Inputs!$B$11+0+B1787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758">
        <f>L1758*(1-MIN((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1758*(MIN((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58">
        <f>(1-Summary!$B$11)*T1758+Summary!$B$11*V1758</f>
        <v/>
      </c>
      <c r="P1758">
        <f>IF(B1792=0,0,O1758/B1792)</f>
        <v/>
      </c>
      <c r="Q1758">
        <f>IFERROR(1/IF(Inputs!$B$39="pvp",15,MAX(0.1,Skills!D5-IF(TRUE=TRUE,Inputs!$B$33,0))),0)</f>
        <v/>
      </c>
      <c r="R1758">
        <f>IF(AND(Inputs!$B$39&lt;&gt;"pvp",Inputs!$B$44&gt;0),IF(MAX(0,Inputs!$B$44-B1789)&lt;=0,0,(INT(MAX(0,Inputs!$B$44-B1789)/IF(Inputs!$B$39="pvp",15,MAX(0.1,Skills!D5-IF(TRUE=TRUE,Inputs!$B$33,0))))+1)),0)</f>
        <v/>
      </c>
      <c r="S1758">
        <f>IFERROR(O1758/N1758,0)</f>
        <v/>
      </c>
      <c r="T1758">
        <f>IF(C1758,(H1758*N1758*IF(AND(Inputs!$B$39&lt;&gt;"pvp",Inputs!$B$44&gt;0),((Skills!G5*((R1758-1)*IF(Skills!H5&gt;0,INT(Skills!I5/Skills!H5+0.000000001),1)+IF(Skills!H5&gt;0,INT(MIN(Skills!I5,MAX(0,MAX(0,Inputs!$B$44-B1789)-((R1758-1)*IF(Inputs!$B$39="pvp",15,MAX(0.1,Skills!D5-IF(TRUE=TRUE,Inputs!$B$33,0))))))/Skills!H5+0.000000001),1)))/Inputs!$B$44),G1758*Q1758))*IF(Inputs!$B$39="pvp",1,1+(Inputs!$B$21+0+Skills!P5+((C1770=TRUE)*F1770*IF(AND(Inputs!$B$39&lt;&gt;"pvp",Inputs!$B$44&gt;0),(((R1770-1)*MIN((Skills!T17*(1+Inputs!$B$35/100)),(1/Q1770))+MIN((Skills!T17*(1+Inputs!$B$35/100)),MAX(0,Inputs!$B$44-((R1770-1)*(1/Q1770)))))/Inputs!$B$44),IF(Inputs!$B$39="pvp",MIN((Skills!T17*(1+Inputs!$B$35/100)),15)/15,MIN(1,(Skills!T17*(1+Inputs!$B$35/100))/(1/Q1770)))))+((C1758=TRUE)*IF(Inputs!$B$3&gt;=126,10*MIN(1,15*Q1758),0))+((C1767=TRUE)*IF(Inputs!$B$39="pvp",20,(1-Summary!$B$11)*(20)+Summary!$B$11*(0))*IF(AND(Inputs!$B$39&lt;&gt;"pvp",Inputs!$B$44&gt;0),(((R1767-1)*MIN((Skills!T14*(1+Inputs!$B$35/100)),(1/Q1767))+MIN((Skills!T14*(1+Inputs!$B$35/100)),MAX(0,Inputs!$B$44-((R1767-1)*(1/Q1767)))))/Inputs!$B$44),IF(Inputs!$B$39="pvp",MIN((Skills!T14*(1+Inputs!$B$35/100)),15)/15,MIN(1,(Skills!T14*(1+Inputs!$B$35/100))/(1/Q1767)))))+((C1766=TRUE)*IF(Inputs!$B$3&gt;=82,IF(Inputs!$B$39="pvp",20,(1-Summary!$B$11)*(20)+Summary!$B$11*(0)),0)*IF(AND(Inputs!$B$39&lt;&gt;"pvp",Inputs!$B$44&gt;0),(((R1766-1)*MIN((Skills!T13*(1+Inputs!$B$35/100)),(1/Q1766))+MIN((Skills!T13*(1+Inputs!$B$35/100)),MAX(0,Inputs!$B$44-((R1766-1)*(1/Q1766)))))/Inputs!$B$44),IF(Inputs!$B$39="pvp",MIN((Skills!T13*(1+Inputs!$B$35/100)),15)/15,MIN(1,(Skills!T13*(1+Inputs!$B$35/100))/(1/Q1766)))))+(IF(AND(ArtifactsInput!$M$35,Inputs!$B$4&lt;&gt;"Chapter Hunt"),CHOOSE(ArtifactsInput!$N$35+1,15,18,21,24,27,30)*(1-EXP(-(0.2*B1784)*5)),0)+IF(AND(ArtifactsInput!$M$22,Inputs!$B$4&lt;&gt;"Chapter Hunt"),CHOOSE(ArtifactsInput!$N$22+1,10,12,14,16,18,20)*((0*(((0.15*B1784*5))^0/1)+1*(((0.15*B1784*5))^1/1)+2*(((0.15*B1784*5))^2/2)+3*(((0.15*B1784*5))^3/6)+4*(((0.15*B1784*5))^4/24)+5*(((0.15*B1784*5))^5/120))/((((0.15*B1784*5))^0/1)+(((0.15*B1784*5))^1/1)+(((0.15*B1784*5))^2/2)+(((0.15*B1784*5))^3/6)+(((0.15*B1784*5))^4/24)+(((0.15*B1784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1758*(1-MIN(100,(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1758*(MIN(100,(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1758*(1-MIN(100,(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1758*(MIN(100,(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58">
        <f>IF(C1758,(H1758*N1758*IF(AND(Inputs!$B$39&lt;&gt;"pvp",Inputs!$B$44&gt;0),((Skills!G5*((R1758-1)*IF(Skills!H5&gt;0,INT(Skills!I5/Skills!H5+0.000000001),1)+IF(Skills!H5&gt;0,INT(MIN(Skills!I5,MAX(0,MAX(0,Inputs!$B$44-B1789)-((R1758-1)*IF(Inputs!$B$39="pvp",15,MAX(0.1,Skills!D5-IF(TRUE=TRUE,Inputs!$B$33,0))))))/Skills!H5+0.000000001),1)))/Inputs!$B$44),G1758*Q1758))*IF(Inputs!$B$39="pvp",1,(1+(Inputs!$B$22+Skills!Q5+((C1770=TRUE)*F1770*IF(AND(Inputs!$B$39&lt;&gt;"pvp",Inputs!$B$44&gt;0),(((R1770-1)*MIN((Skills!T17*(1+Inputs!$B$35/100)),(1/Q1770))+MIN((Skills!T17*(1+Inputs!$B$35/100)),MAX(0,Inputs!$B$44-((R1770-1)*(1/Q1770)))))/Inputs!$B$44),IF(Inputs!$B$39="pvp",MIN((Skills!T17*(1+Inputs!$B$35/100)),15)/15,MIN(1,(Skills!T17*(1+Inputs!$B$35/100))/(1/Q1770)))))+((C1758=TRUE)*IF(Inputs!$B$3&gt;=126,10*MIN(1,15*Q1758),0))+((C1767=TRUE)*IF(Inputs!$B$39="pvp",20,(1-Summary!$B$11)*(20)+Summary!$B$11*(0))*IF(AND(Inputs!$B$39&lt;&gt;"pvp",Inputs!$B$44&gt;0),(((R1767-1)*MIN((Skills!T14*(1+Inputs!$B$35/100)),(1/Q1767))+MIN((Skills!T14*(1+Inputs!$B$35/100)),MAX(0,Inputs!$B$44-((R1767-1)*(1/Q1767)))))/Inputs!$B$44),IF(Inputs!$B$39="pvp",MIN((Skills!T14*(1+Inputs!$B$35/100)),15)/15,MIN(1,(Skills!T14*(1+Inputs!$B$35/100))/(1/Q1767)))))+((C1766=TRUE)*IF(Inputs!$B$3&gt;=82,IF(Inputs!$B$39="pvp",20,(1-Summary!$B$11)*(20)+Summary!$B$11*(0)),0)*IF(AND(Inputs!$B$39&lt;&gt;"pvp",Inputs!$B$44&gt;0),(((R1766-1)*MIN((Skills!T13*(1+Inputs!$B$35/100)),(1/Q1766))+MIN((Skills!T13*(1+Inputs!$B$35/100)),MAX(0,Inputs!$B$44-((R1766-1)*(1/Q1766)))))/Inputs!$B$44),IF(Inputs!$B$39="pvp",MIN((Skills!T13*(1+Inputs!$B$35/100)),15)/15,MIN(1,(Skills!T13*(1+Inputs!$B$35/100))/(1/Q1766)))))+(IF(AND(ArtifactsInput!$M$35,Inputs!$B$4&lt;&gt;"Chapter Hunt"),CHOOSE(ArtifactsInput!$N$35+1,15,18,21,24,27,30)*(1-EXP(-(0.2*B1784)*5)),0)+IF(AND(ArtifactsInput!$M$22,Inputs!$B$4&lt;&gt;"Chapter Hunt"),CHOOSE(ArtifactsInput!$N$22+1,10,12,14,16,18,20)*((0*(((0.15*B1784*5))^0/1)+1*(((0.15*B1784*5))^1/1)+2*(((0.15*B1784*5))^2/2)+3*(((0.15*B1784*5))^3/6)+4*(((0.15*B1784*5))^4/24)+5*(((0.15*B1784*5))^5/120))/((((0.15*B1784*5))^0/1)+(((0.15*B1784*5))^1/1)+(((0.15*B1784*5))^2/2)+(((0.15*B1784*5))^3/6)+(((0.15*B1784*5))^4/24)+(((0.15*B1784*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59">
      <c r="A1759">
        <f>Skills!A6</f>
        <v/>
      </c>
      <c r="B1759">
        <f>Skills!B6</f>
        <v/>
      </c>
      <c r="C1759">
        <f>Inputs!$B$3&gt;=103</f>
        <v/>
      </c>
      <c r="D1759">
        <f>IF(Skills!C6=1,60+Inputs!$B$26+Inputs!$B$30,IF(Skills!C6=2,90+Inputs!$B$27+Inputs!$B$30,IF(Skills!C6=3,120+Inputs!$B$28+Inputs!$B$30,MAX(0,(Inputs!$B$3-100)*3)+Inputs!$B$29+Inputs!$B$30)))</f>
        <v/>
      </c>
      <c r="E1759">
        <f>INDEX(FactorTable!$B$2:$Y$301, MATCH(ROUND(MIN(300,MAX(1,D1759)),0), FactorTable!$A$2:$A$301,0), Skills!M6+1)</f>
        <v/>
      </c>
      <c r="F1759">
        <f>IF(Skills!N6=TRUE,(Skills!L6/10)*(E1759/1000),Skills!L6/10)+Skills!O6</f>
        <v/>
      </c>
      <c r="G1759">
        <f>Skills!G6*IF(Skills!H6&gt;0,INT(IF(Inputs!$B$39="pvp",MIN(Skills!I6,15),Skills!I6)/Skills!H6+0.000000001),1)</f>
        <v/>
      </c>
      <c r="H1759">
        <f>1-(1-Skills!J6/100)^Skills!K6</f>
        <v/>
      </c>
      <c r="I1759" t="inlineStr">
        <is>
          <t>1</t>
        </is>
      </c>
      <c r="J1759">
        <f>((Inputs!$B$6*(1+Inputs!$B$7/100))+(((Inputs!$B$13*(1+Inputs!$B$14/100))-(Inputs!$B$13*(1+Inputs!$B$14/100)))+0.25*(Inputs!$B$15-Inputs!$B$15))*(1+Inputs!$B$7/100))*(F1759/100)</f>
        <v/>
      </c>
      <c r="K1759">
        <f>J1759*(1+(((Inputs!$B$13+IF(Inputs!$B$3&gt;=38,(10*INDEX(FactorTable!$B$2:$Y$301, MATCH(ROUND(MIN(300,MAX(1,Inputs!$B$3)),0), FactorTable!$A$2:$A$301,0), 23)/1000)/100*(Inputs!$B$8*(1+Inputs!$B$9/100)),0))*(1+Inputs!$B$14/100))*0.01+Inputs!$B$15*0.0025)/100)*(1+Inputs!$B$16/100)*(1+Inputs!$B$17/100)*(5000/(6000+Inputs!$B$43*(1-(Inputs!$B$20+0)/100)))*(1+(Inputs!$B$25+((C1778=TRUE)*(F1778-Calc!F25))+((C1779=TRUE)*(F1779-Calc!F26))+B1788)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gt;=100),MIN(100,((Inputs!$B$10+0+B1782+(ArtifactsInput!$M$24-ArtifactsInput!$M$24)*CHOOSE(ArtifactsInput!$N$24+1,10,12,14,16,18,20)+IF(ArtifactsInput!$M$10,CHOOSE(ArtifactsInput!$N$10+1,15,18,21,24,27,30)*(IF(Inputs!$B$39="pvp",MIN(15,15)/15,IF(AND(Inputs!$B$39&lt;&gt;"pvp",Inputs!$B$44&gt;0),MIN(15,Inputs!$B$44)/(Inputs!$B$44),0))),0)))-100),0))*CHOOSE(ArtifactsInput!$N$42+1,0.6,0.72,0.84,0.96,1.08,1.2))),Inputs!$B$19+((C1776=TRUE)*(F1776-Calc!F23))+(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gt;=100),CHOOSE(ArtifactsInput!$N$42+1,40,48,56,64,72,80),0))))/100)*((1+(((C1766=TRUE)*F1766*IF(AND(Inputs!$B$39&lt;&gt;"pvp",Inputs!$B$44&gt;0),(((R1766-1)*MIN((Skills!T13*(1+Inputs!$B$35/100)),(1/Q1766))+MIN((Skills!T13*(1+Inputs!$B$35/100)),MAX(0,Inputs!$B$44-((R1766-1)*(1/Q1766)))))/Inputs!$B$44),IF(Inputs!$B$39="pvp",MIN((Skills!T13*(1+Inputs!$B$35/100)),15)/15,MIN(1,(Skills!T13*(1+Inputs!$B$35/100))/(1/Q1766)))))+((C1767=TRUE)*F1767*IF(AND(Inputs!$B$39&lt;&gt;"pvp",Inputs!$B$44&gt;0),(((R1767-1)*MIN((Skills!T14*(1+Inputs!$B$35/100)),(1/Q1767))+MIN((Skills!T14*(1+Inputs!$B$35/100)),MAX(0,Inputs!$B$44-((R1767-1)*(1/Q1767)))))/Inputs!$B$44),IF(Inputs!$B$39="pvp",MIN((Skills!T14*(1+Inputs!$B$35/100)),15)/15,MIN(1,(Skills!T14*(1+Inputs!$B$35/100))/(1/Q1767)))))+((C1768=TRUE)*F1768*IF(AND(Inputs!$B$39&lt;&gt;"pvp",Inputs!$B$44&gt;0),(((R1768-1)*MIN((Skills!T15*(1+Inputs!$B$35/100)),(1/Q1768))+MIN((Skills!T15*(1+Inputs!$B$35/100)),MAX(0,Inputs!$B$44-((R1768-1)*(1/Q1768)))))/Inputs!$B$44),IF(Inputs!$B$39="pvp",MIN((Skills!T15*(1+Inputs!$B$35/100)),15)/15,MIN(1,(Skills!T15*(1+Inputs!$B$35/100))/(1/Q1768)))))+((C1769=TRUE)*F1769*IF(AND(Inputs!$B$39&lt;&gt;"pvp",Inputs!$B$44&gt;0),(((R1769-1)*MIN((Skills!T16*(1+Inputs!$B$35/100)),(1/Q1769))+MIN((Skills!T16*(1+Inputs!$B$35/100)),MAX(0,Inputs!$B$44-((R1769-1)*(1/Q1769)))))/Inputs!$B$44),IF(Inputs!$B$39="pvp",MIN((Skills!T16*(1+Inputs!$B$35/100)),15)/15,MIN(1,(Skills!T16*(1+Inputs!$B$35/100))/(1/Q1769)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1759)</f>
        <v/>
      </c>
      <c r="L1759">
        <f>K1759*(MIN(Inputs!$B$23+((C1775=TRUE)*(F1775-Calc!F22)),(Inputs!$B$24+((C1777=TRUE)*(F1777-Calc!F24))+(IF(ArtifactsInput!$M$15,CHOOSE(ArtifactsInput!$N$15+1,25,30,35,40,45,50)/100*(Inputs!$B$12-Inputs!$B$12),0))))/100+(Inputs!$B$24+((C1777=TRUE)*(F1777-Calc!F24))+(IF(ArtifactsInput!$M$15,CHOOSE(ArtifactsInput!$N$15+1,25,30,35,40,45,50)/100*(Inputs!$B$12-Inputs!$B$12),0)))/100)/2</f>
        <v/>
      </c>
      <c r="M1759">
        <f>L1759*(1+(Inputs!$B$11+0+B1787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759">
        <f>L1759*(1-MIN((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1759*(MIN((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59">
        <f>(1-Summary!$B$11)*T1759+Summary!$B$11*V1759</f>
        <v/>
      </c>
      <c r="P1759">
        <f>IF(B1792=0,0,O1759/B1792)</f>
        <v/>
      </c>
      <c r="Q1759">
        <f>IFERROR(1/IF(Inputs!$B$39="pvp",15,MAX(0.1,Skills!D6-IF(TRUE=TRUE,Inputs!$B$33,0))),0)</f>
        <v/>
      </c>
      <c r="R1759">
        <f>IF(AND(Inputs!$B$39&lt;&gt;"pvp",Inputs!$B$44&gt;0),IF(MAX(0,Inputs!$B$44-B1789)&lt;=0,0,(INT(MAX(0,Inputs!$B$44-B1789)/IF(Inputs!$B$39="pvp",15,MAX(0.1,Skills!D6-IF(TRUE=TRUE,Inputs!$B$33,0))))+1)),0)</f>
        <v/>
      </c>
      <c r="S1759">
        <f>IFERROR(O1759/N1759,0)</f>
        <v/>
      </c>
      <c r="T1759">
        <f>IF(C1759,(H1759*N1759*IF(AND(Inputs!$B$39&lt;&gt;"pvp",Inputs!$B$44&gt;0),((Skills!G6*((R1759-1)*IF(Skills!H6&gt;0,INT(Skills!I6/Skills!H6+0.000000001),1)+IF(Skills!H6&gt;0,INT(MIN(Skills!I6,MAX(0,MAX(0,Inputs!$B$44-B1789)-((R1759-1)*IF(Inputs!$B$39="pvp",15,MAX(0.1,Skills!D6-IF(TRUE=TRUE,Inputs!$B$33,0))))))/Skills!H6+0.000000001),1)))/Inputs!$B$44),G1759*Q1759))*IF(Inputs!$B$39="pvp",1,1+(Inputs!$B$21+0+Skills!P6+((C1770=TRUE)*F1770*IF(AND(Inputs!$B$39&lt;&gt;"pvp",Inputs!$B$44&gt;0),(((R1770-1)*MIN((Skills!T17*(1+Inputs!$B$35/100)),(1/Q1770))+MIN((Skills!T17*(1+Inputs!$B$35/100)),MAX(0,Inputs!$B$44-((R1770-1)*(1/Q1770)))))/Inputs!$B$44),IF(Inputs!$B$39="pvp",MIN((Skills!T17*(1+Inputs!$B$35/100)),15)/15,MIN(1,(Skills!T17*(1+Inputs!$B$35/100))/(1/Q1770)))))+((C1758=TRUE)*IF(Inputs!$B$3&gt;=126,10*MIN(1,15*Q1758),0))+((C1767=TRUE)*IF(Inputs!$B$39="pvp",20,(1-Summary!$B$11)*(20)+Summary!$B$11*(0))*IF(AND(Inputs!$B$39&lt;&gt;"pvp",Inputs!$B$44&gt;0),(((R1767-1)*MIN((Skills!T14*(1+Inputs!$B$35/100)),(1/Q1767))+MIN((Skills!T14*(1+Inputs!$B$35/100)),MAX(0,Inputs!$B$44-((R1767-1)*(1/Q1767)))))/Inputs!$B$44),IF(Inputs!$B$39="pvp",MIN((Skills!T14*(1+Inputs!$B$35/100)),15)/15,MIN(1,(Skills!T14*(1+Inputs!$B$35/100))/(1/Q1767)))))+((C1766=TRUE)*IF(Inputs!$B$3&gt;=82,IF(Inputs!$B$39="pvp",20,(1-Summary!$B$11)*(20)+Summary!$B$11*(0)),0)*IF(AND(Inputs!$B$39&lt;&gt;"pvp",Inputs!$B$44&gt;0),(((R1766-1)*MIN((Skills!T13*(1+Inputs!$B$35/100)),(1/Q1766))+MIN((Skills!T13*(1+Inputs!$B$35/100)),MAX(0,Inputs!$B$44-((R1766-1)*(1/Q1766)))))/Inputs!$B$44),IF(Inputs!$B$39="pvp",MIN((Skills!T13*(1+Inputs!$B$35/100)),15)/15,MIN(1,(Skills!T13*(1+Inputs!$B$35/100))/(1/Q1766)))))+(IF(AND(ArtifactsInput!$M$35,Inputs!$B$4&lt;&gt;"Chapter Hunt"),CHOOSE(ArtifactsInput!$N$35+1,15,18,21,24,27,30)*(1-EXP(-(0.2*B1784)*5)),0)+IF(AND(ArtifactsInput!$M$22,Inputs!$B$4&lt;&gt;"Chapter Hunt"),CHOOSE(ArtifactsInput!$N$22+1,10,12,14,16,18,20)*((0*(((0.15*B1784*5))^0/1)+1*(((0.15*B1784*5))^1/1)+2*(((0.15*B1784*5))^2/2)+3*(((0.15*B1784*5))^3/6)+4*(((0.15*B1784*5))^4/24)+5*(((0.15*B1784*5))^5/120))/((((0.15*B1784*5))^0/1)+(((0.15*B1784*5))^1/1)+(((0.15*B1784*5))^2/2)+(((0.15*B1784*5))^3/6)+(((0.15*B1784*5))^4/24)+(((0.15*B1784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1759*(1-MIN(100,(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1759*(MIN(100,(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1759*(1-MIN(100,(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1759*(MIN(100,(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59">
        <f>IF(C1759,(H1759*N1759*IF(AND(Inputs!$B$39&lt;&gt;"pvp",Inputs!$B$44&gt;0),((Skills!G6*((R1759-1)*IF(Skills!H6&gt;0,INT(Skills!I6/Skills!H6+0.000000001),1)+IF(Skills!H6&gt;0,INT(MIN(Skills!I6,MAX(0,MAX(0,Inputs!$B$44-B1789)-((R1759-1)*IF(Inputs!$B$39="pvp",15,MAX(0.1,Skills!D6-IF(TRUE=TRUE,Inputs!$B$33,0))))))/Skills!H6+0.000000001),1)))/Inputs!$B$44),G1759*Q1759))*IF(Inputs!$B$39="pvp",1,(1+(Inputs!$B$22+Skills!Q6+((C1770=TRUE)*F1770*IF(AND(Inputs!$B$39&lt;&gt;"pvp",Inputs!$B$44&gt;0),(((R1770-1)*MIN((Skills!T17*(1+Inputs!$B$35/100)),(1/Q1770))+MIN((Skills!T17*(1+Inputs!$B$35/100)),MAX(0,Inputs!$B$44-((R1770-1)*(1/Q1770)))))/Inputs!$B$44),IF(Inputs!$B$39="pvp",MIN((Skills!T17*(1+Inputs!$B$35/100)),15)/15,MIN(1,(Skills!T17*(1+Inputs!$B$35/100))/(1/Q1770)))))+((C1758=TRUE)*IF(Inputs!$B$3&gt;=126,10*MIN(1,15*Q1758),0))+((C1767=TRUE)*IF(Inputs!$B$39="pvp",20,(1-Summary!$B$11)*(20)+Summary!$B$11*(0))*IF(AND(Inputs!$B$39&lt;&gt;"pvp",Inputs!$B$44&gt;0),(((R1767-1)*MIN((Skills!T14*(1+Inputs!$B$35/100)),(1/Q1767))+MIN((Skills!T14*(1+Inputs!$B$35/100)),MAX(0,Inputs!$B$44-((R1767-1)*(1/Q1767)))))/Inputs!$B$44),IF(Inputs!$B$39="pvp",MIN((Skills!T14*(1+Inputs!$B$35/100)),15)/15,MIN(1,(Skills!T14*(1+Inputs!$B$35/100))/(1/Q1767)))))+((C1766=TRUE)*IF(Inputs!$B$3&gt;=82,IF(Inputs!$B$39="pvp",20,(1-Summary!$B$11)*(20)+Summary!$B$11*(0)),0)*IF(AND(Inputs!$B$39&lt;&gt;"pvp",Inputs!$B$44&gt;0),(((R1766-1)*MIN((Skills!T13*(1+Inputs!$B$35/100)),(1/Q1766))+MIN((Skills!T13*(1+Inputs!$B$35/100)),MAX(0,Inputs!$B$44-((R1766-1)*(1/Q1766)))))/Inputs!$B$44),IF(Inputs!$B$39="pvp",MIN((Skills!T13*(1+Inputs!$B$35/100)),15)/15,MIN(1,(Skills!T13*(1+Inputs!$B$35/100))/(1/Q1766)))))+(IF(AND(ArtifactsInput!$M$35,Inputs!$B$4&lt;&gt;"Chapter Hunt"),CHOOSE(ArtifactsInput!$N$35+1,15,18,21,24,27,30)*(1-EXP(-(0.2*B1784)*5)),0)+IF(AND(ArtifactsInput!$M$22,Inputs!$B$4&lt;&gt;"Chapter Hunt"),CHOOSE(ArtifactsInput!$N$22+1,10,12,14,16,18,20)*((0*(((0.15*B1784*5))^0/1)+1*(((0.15*B1784*5))^1/1)+2*(((0.15*B1784*5))^2/2)+3*(((0.15*B1784*5))^3/6)+4*(((0.15*B1784*5))^4/24)+5*(((0.15*B1784*5))^5/120))/((((0.15*B1784*5))^0/1)+(((0.15*B1784*5))^1/1)+(((0.15*B1784*5))^2/2)+(((0.15*B1784*5))^3/6)+(((0.15*B1784*5))^4/24)+(((0.15*B1784*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60">
      <c r="A1760">
        <f>Skills!A7</f>
        <v/>
      </c>
      <c r="B1760">
        <f>Skills!B7</f>
        <v/>
      </c>
      <c r="C1760">
        <f>Inputs!$B$3&gt;=40</f>
        <v/>
      </c>
      <c r="D1760">
        <f>IF(Skills!C7=1,60+Inputs!$B$26+Inputs!$B$30,IF(Skills!C7=2,90+Inputs!$B$27+Inputs!$B$30,IF(Skills!C7=3,120+Inputs!$B$28+Inputs!$B$30,MAX(0,(Inputs!$B$3-100)*3)+Inputs!$B$29+Inputs!$B$30)))</f>
        <v/>
      </c>
      <c r="E1760">
        <f>INDEX(FactorTable!$B$2:$Y$301, MATCH(ROUND(MIN(300,MAX(1,D1760)),0), FactorTable!$A$2:$A$301,0), Skills!M7+1)</f>
        <v/>
      </c>
      <c r="F1760">
        <f>IF(Skills!N7=TRUE,(Skills!L7/10)*(E1760/1000),Skills!L7/10)+Skills!O7</f>
        <v/>
      </c>
      <c r="G1760">
        <f>Skills!G7*IF(Skills!H7&gt;0,INT(IF(Inputs!$B$39="pvp",MIN(Skills!I7,15),Skills!I7)/Skills!H7+0.000000001),1)</f>
        <v/>
      </c>
      <c r="H1760">
        <f>1-(1-Skills!J7/100)^Skills!K7</f>
        <v/>
      </c>
      <c r="I1760" t="inlineStr">
        <is>
          <t>1</t>
        </is>
      </c>
      <c r="J1760">
        <f>((Inputs!$B$6*(1+Inputs!$B$7/100))+(((Inputs!$B$13*(1+Inputs!$B$14/100))-(Inputs!$B$13*(1+Inputs!$B$14/100)))+0.25*(Inputs!$B$15-Inputs!$B$15))*(1+Inputs!$B$7/100))*(F1760/100)</f>
        <v/>
      </c>
      <c r="K1760">
        <f>J1760*(1+(((Inputs!$B$13+IF(Inputs!$B$3&gt;=38,(10*INDEX(FactorTable!$B$2:$Y$301, MATCH(ROUND(MIN(300,MAX(1,Inputs!$B$3)),0), FactorTable!$A$2:$A$301,0), 23)/1000)/100*(Inputs!$B$8*(1+Inputs!$B$9/100)),0))*(1+Inputs!$B$14/100))*0.01+Inputs!$B$15*0.0025)/100)*(1+Inputs!$B$16/100)*(1+Inputs!$B$17/100)*(5000/(6000+Inputs!$B$43*(1-(Inputs!$B$20+0)/100)))*(1+(Inputs!$B$25+((C1778=TRUE)*(F1778-Calc!F25))+((C1779=TRUE)*(F1779-Calc!F26))+B1788)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1764=TRUE,F1764,0)/100)*(1+(IF(Skills!A7="DARK_IMPALE",Inputs!$B$18+0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gt;=100),MIN(100,((Inputs!$B$10+0+B1782+(ArtifactsInput!$M$24-ArtifactsInput!$M$24)*CHOOSE(ArtifactsInput!$N$24+1,10,12,14,16,18,20)+IF(ArtifactsInput!$M$10,CHOOSE(ArtifactsInput!$N$10+1,15,18,21,24,27,30)*(IF(Inputs!$B$39="pvp",MIN(15,15)/15,IF(AND(Inputs!$B$39&lt;&gt;"pvp",Inputs!$B$44&gt;0),MIN(15,Inputs!$B$44)/(Inputs!$B$44),0))),0)))-100),0))*CHOOSE(ArtifactsInput!$N$42+1,0.6,0.72,0.84,0.96,1.08,1.2))),Inputs!$B$19+((C1776=TRUE)*(F1776-Calc!F23))+(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gt;=100),CHOOSE(ArtifactsInput!$N$42+1,40,48,56,64,72,80),0))))/100)*((1+(((C1766=TRUE)*F1766*IF(AND(Inputs!$B$39&lt;&gt;"pvp",Inputs!$B$44&gt;0),(((R1766-1)*MIN((Skills!T13*(1+Inputs!$B$35/100)),(1/Q1766))+MIN((Skills!T13*(1+Inputs!$B$35/100)),MAX(0,Inputs!$B$44-((R1766-1)*(1/Q1766)))))/Inputs!$B$44),IF(Inputs!$B$39="pvp",MIN((Skills!T13*(1+Inputs!$B$35/100)),15)/15,MIN(1,(Skills!T13*(1+Inputs!$B$35/100))/(1/Q1766)))))+((C1767=TRUE)*F1767*IF(AND(Inputs!$B$39&lt;&gt;"pvp",Inputs!$B$44&gt;0),(((R1767-1)*MIN((Skills!T14*(1+Inputs!$B$35/100)),(1/Q1767))+MIN((Skills!T14*(1+Inputs!$B$35/100)),MAX(0,Inputs!$B$44-((R1767-1)*(1/Q1767)))))/Inputs!$B$44),IF(Inputs!$B$39="pvp",MIN((Skills!T14*(1+Inputs!$B$35/100)),15)/15,MIN(1,(Skills!T14*(1+Inputs!$B$35/100))/(1/Q1767)))))+((C1768=TRUE)*F1768*IF(AND(Inputs!$B$39&lt;&gt;"pvp",Inputs!$B$44&gt;0),(((R1768-1)*MIN((Skills!T15*(1+Inputs!$B$35/100)),(1/Q1768))+MIN((Skills!T15*(1+Inputs!$B$35/100)),MAX(0,Inputs!$B$44-((R1768-1)*(1/Q1768)))))/Inputs!$B$44),IF(Inputs!$B$39="pvp",MIN((Skills!T15*(1+Inputs!$B$35/100)),15)/15,MIN(1,(Skills!T15*(1+Inputs!$B$35/100))/(1/Q1768)))))+((C1769=TRUE)*F1769*IF(AND(Inputs!$B$39&lt;&gt;"pvp",Inputs!$B$44&gt;0),(((R1769-1)*MIN((Skills!T16*(1+Inputs!$B$35/100)),(1/Q1769))+MIN((Skills!T16*(1+Inputs!$B$35/100)),MAX(0,Inputs!$B$44-((R1769-1)*(1/Q1769)))))/Inputs!$B$44),IF(Inputs!$B$39="pvp",MIN((Skills!T16*(1+Inputs!$B$35/100)),15)/15,MIN(1,(Skills!T16*(1+Inputs!$B$35/100))/(1/Q1769)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1760)</f>
        <v/>
      </c>
      <c r="L1760">
        <f>K1760*(MIN(Inputs!$B$23+((C1775=TRUE)*(F1775-Calc!F22)),(Inputs!$B$24+((C1777=TRUE)*(F1777-Calc!F24))+(IF(ArtifactsInput!$M$15,CHOOSE(ArtifactsInput!$N$15+1,25,30,35,40,45,50)/100*(Inputs!$B$12-Inputs!$B$12),0))))/100+(Inputs!$B$24+((C1777=TRUE)*(F1777-Calc!F24))+(IF(ArtifactsInput!$M$15,CHOOSE(ArtifactsInput!$N$15+1,25,30,35,40,45,50)/100*(Inputs!$B$12-Inputs!$B$12),0)))/100)/2</f>
        <v/>
      </c>
      <c r="M1760">
        <f>L1760*(1+(Inputs!$B$11+0+B1787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760">
        <f>L1760*(1-MIN((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1760*(MIN((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60">
        <f>(1-Summary!$B$11)*T1760+Summary!$B$11*V1760</f>
        <v/>
      </c>
      <c r="P1760">
        <f>IF(B1792=0,0,O1760/B1792)</f>
        <v/>
      </c>
      <c r="Q1760">
        <f>IFERROR(1/IF(Inputs!$B$39="pvp",15,MAX(0.1,Skills!D7-IF(TRUE=TRUE,Inputs!$B$33,0))),0)</f>
        <v/>
      </c>
      <c r="R1760">
        <f>IF(AND(Inputs!$B$39&lt;&gt;"pvp",Inputs!$B$44&gt;0),IF(MAX(0,Inputs!$B$44-B1789)&lt;=0,0,(INT(MAX(0,Inputs!$B$44-B1789)/IF(Inputs!$B$39="pvp",15,MAX(0.1,Skills!D7-IF(TRUE=TRUE,Inputs!$B$33,0))))+1)),0)</f>
        <v/>
      </c>
      <c r="S1760">
        <f>IFERROR(O1760/N1760,0)</f>
        <v/>
      </c>
      <c r="T1760">
        <f>IF(C1760,(H1760*N1760*IF(AND(Inputs!$B$39&lt;&gt;"pvp",Inputs!$B$44&gt;0),((Skills!G7*((R1760-1)*IF(Skills!H7&gt;0,INT(Skills!I7/Skills!H7+0.000000001),1)+IF(Skills!H7&gt;0,INT(MIN(Skills!I7,MAX(0,MAX(0,Inputs!$B$44-B1789)-((R1760-1)*IF(Inputs!$B$39="pvp",15,MAX(0.1,Skills!D7-IF(TRUE=TRUE,Inputs!$B$33,0))))))/Skills!H7+0.000000001),1)))/Inputs!$B$44),G1760*Q1760))*IF(Inputs!$B$39="pvp",1,1+(Inputs!$B$21+0+Skills!P7+((C1770=TRUE)*F1770*IF(AND(Inputs!$B$39&lt;&gt;"pvp",Inputs!$B$44&gt;0),(((R1770-1)*MIN((Skills!T17*(1+Inputs!$B$35/100)),(1/Q1770))+MIN((Skills!T17*(1+Inputs!$B$35/100)),MAX(0,Inputs!$B$44-((R1770-1)*(1/Q1770)))))/Inputs!$B$44),IF(Inputs!$B$39="pvp",MIN((Skills!T17*(1+Inputs!$B$35/100)),15)/15,MIN(1,(Skills!T17*(1+Inputs!$B$35/100))/(1/Q1770)))))+((C1758=TRUE)*IF(Inputs!$B$3&gt;=126,10*MIN(1,15*Q1758),0))+((C1767=TRUE)*IF(Inputs!$B$39="pvp",20,(1-Summary!$B$11)*(20)+Summary!$B$11*(0))*IF(AND(Inputs!$B$39&lt;&gt;"pvp",Inputs!$B$44&gt;0),(((R1767-1)*MIN((Skills!T14*(1+Inputs!$B$35/100)),(1/Q1767))+MIN((Skills!T14*(1+Inputs!$B$35/100)),MAX(0,Inputs!$B$44-((R1767-1)*(1/Q1767)))))/Inputs!$B$44),IF(Inputs!$B$39="pvp",MIN((Skills!T14*(1+Inputs!$B$35/100)),15)/15,MIN(1,(Skills!T14*(1+Inputs!$B$35/100))/(1/Q1767)))))+((C1766=TRUE)*IF(Inputs!$B$3&gt;=82,IF(Inputs!$B$39="pvp",20,(1-Summary!$B$11)*(20)+Summary!$B$11*(0)),0)*IF(AND(Inputs!$B$39&lt;&gt;"pvp",Inputs!$B$44&gt;0),(((R1766-1)*MIN((Skills!T13*(1+Inputs!$B$35/100)),(1/Q1766))+MIN((Skills!T13*(1+Inputs!$B$35/100)),MAX(0,Inputs!$B$44-((R1766-1)*(1/Q1766)))))/Inputs!$B$44),IF(Inputs!$B$39="pvp",MIN((Skills!T13*(1+Inputs!$B$35/100)),15)/15,MIN(1,(Skills!T13*(1+Inputs!$B$35/100))/(1/Q1766)))))+(IF(AND(ArtifactsInput!$M$35,Inputs!$B$4&lt;&gt;"Chapter Hunt"),CHOOSE(ArtifactsInput!$N$35+1,15,18,21,24,27,30)*(1-EXP(-(0.2*B1784)*5)),0)+IF(AND(ArtifactsInput!$M$22,Inputs!$B$4&lt;&gt;"Chapter Hunt"),CHOOSE(ArtifactsInput!$N$22+1,10,12,14,16,18,20)*((0*(((0.15*B1784*5))^0/1)+1*(((0.15*B1784*5))^1/1)+2*(((0.15*B1784*5))^2/2)+3*(((0.15*B1784*5))^3/6)+4*(((0.15*B1784*5))^4/24)+5*(((0.15*B1784*5))^5/120))/((((0.15*B1784*5))^0/1)+(((0.15*B1784*5))^1/1)+(((0.15*B1784*5))^2/2)+(((0.15*B1784*5))^3/6)+(((0.15*B1784*5))^4/24)+(((0.15*B1784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1760*(1-MIN(100,(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1760*(MIN(100,(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1760*(1-MIN(100,(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1760*(MIN(100,(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60">
        <f>IF(C1760,(H1760*N1760*IF(AND(Inputs!$B$39&lt;&gt;"pvp",Inputs!$B$44&gt;0),((Skills!G7*((R1760-1)*IF(Skills!H7&gt;0,INT(Skills!I7/Skills!H7+0.000000001),1)+IF(Skills!H7&gt;0,INT(MIN(Skills!I7,MAX(0,MAX(0,Inputs!$B$44-B1789)-((R1760-1)*IF(Inputs!$B$39="pvp",15,MAX(0.1,Skills!D7-IF(TRUE=TRUE,Inputs!$B$33,0))))))/Skills!H7+0.000000001),1)))/Inputs!$B$44),G1760*Q1760))*IF(Inputs!$B$39="pvp",1,(1+(Inputs!$B$22+Skills!Q7+((C1770=TRUE)*F1770*IF(AND(Inputs!$B$39&lt;&gt;"pvp",Inputs!$B$44&gt;0),(((R1770-1)*MIN((Skills!T17*(1+Inputs!$B$35/100)),(1/Q1770))+MIN((Skills!T17*(1+Inputs!$B$35/100)),MAX(0,Inputs!$B$44-((R1770-1)*(1/Q1770)))))/Inputs!$B$44),IF(Inputs!$B$39="pvp",MIN((Skills!T17*(1+Inputs!$B$35/100)),15)/15,MIN(1,(Skills!T17*(1+Inputs!$B$35/100))/(1/Q1770)))))+((C1758=TRUE)*IF(Inputs!$B$3&gt;=126,10*MIN(1,15*Q1758),0))+((C1767=TRUE)*IF(Inputs!$B$39="pvp",20,(1-Summary!$B$11)*(20)+Summary!$B$11*(0))*IF(AND(Inputs!$B$39&lt;&gt;"pvp",Inputs!$B$44&gt;0),(((R1767-1)*MIN((Skills!T14*(1+Inputs!$B$35/100)),(1/Q1767))+MIN((Skills!T14*(1+Inputs!$B$35/100)),MAX(0,Inputs!$B$44-((R1767-1)*(1/Q1767)))))/Inputs!$B$44),IF(Inputs!$B$39="pvp",MIN((Skills!T14*(1+Inputs!$B$35/100)),15)/15,MIN(1,(Skills!T14*(1+Inputs!$B$35/100))/(1/Q1767)))))+((C1766=TRUE)*IF(Inputs!$B$3&gt;=82,IF(Inputs!$B$39="pvp",20,(1-Summary!$B$11)*(20)+Summary!$B$11*(0)),0)*IF(AND(Inputs!$B$39&lt;&gt;"pvp",Inputs!$B$44&gt;0),(((R1766-1)*MIN((Skills!T13*(1+Inputs!$B$35/100)),(1/Q1766))+MIN((Skills!T13*(1+Inputs!$B$35/100)),MAX(0,Inputs!$B$44-((R1766-1)*(1/Q1766)))))/Inputs!$B$44),IF(Inputs!$B$39="pvp",MIN((Skills!T13*(1+Inputs!$B$35/100)),15)/15,MIN(1,(Skills!T13*(1+Inputs!$B$35/100))/(1/Q1766)))))+(IF(AND(ArtifactsInput!$M$35,Inputs!$B$4&lt;&gt;"Chapter Hunt"),CHOOSE(ArtifactsInput!$N$35+1,15,18,21,24,27,30)*(1-EXP(-(0.2*B1784)*5)),0)+IF(AND(ArtifactsInput!$M$22,Inputs!$B$4&lt;&gt;"Chapter Hunt"),CHOOSE(ArtifactsInput!$N$22+1,10,12,14,16,18,20)*((0*(((0.15*B1784*5))^0/1)+1*(((0.15*B1784*5))^1/1)+2*(((0.15*B1784*5))^2/2)+3*(((0.15*B1784*5))^3/6)+4*(((0.15*B1784*5))^4/24)+5*(((0.15*B1784*5))^5/120))/((((0.15*B1784*5))^0/1)+(((0.15*B1784*5))^1/1)+(((0.15*B1784*5))^2/2)+(((0.15*B1784*5))^3/6)+(((0.15*B1784*5))^4/24)+(((0.15*B1784*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61">
      <c r="A1761">
        <f>Skills!A8</f>
        <v/>
      </c>
      <c r="B1761">
        <f>Skills!B8</f>
        <v/>
      </c>
      <c r="C1761">
        <f>Inputs!$B$3&gt;=75</f>
        <v/>
      </c>
      <c r="D1761">
        <f>IF(Skills!C8=1,60+Inputs!$B$26+Inputs!$B$30,IF(Skills!C8=2,90+Inputs!$B$27+Inputs!$B$30,IF(Skills!C8=3,120+Inputs!$B$28+Inputs!$B$30,MAX(0,(Inputs!$B$3-100)*3)+Inputs!$B$29+Inputs!$B$30)))</f>
        <v/>
      </c>
      <c r="E1761">
        <f>INDEX(FactorTable!$B$2:$Y$301, MATCH(ROUND(MIN(300,MAX(1,D1761)),0), FactorTable!$A$2:$A$301,0), Skills!M8+1)</f>
        <v/>
      </c>
      <c r="F1761">
        <f>IF(Skills!N8=TRUE,(Skills!L8/10)*(E1761/1000),Skills!L8/10)+Skills!O8</f>
        <v/>
      </c>
      <c r="G1761" t="inlineStr"/>
      <c r="H1761" t="inlineStr"/>
      <c r="I1761" t="inlineStr">
        <is>
          <t>1</t>
        </is>
      </c>
      <c r="J1761" t="inlineStr"/>
      <c r="K1761" t="inlineStr"/>
      <c r="L1761" t="inlineStr"/>
      <c r="M1761" t="inlineStr"/>
      <c r="N1761" t="inlineStr"/>
      <c r="O1761" t="inlineStr"/>
      <c r="P1761" t="inlineStr"/>
      <c r="Q1761" t="inlineStr"/>
      <c r="R1761" t="inlineStr"/>
      <c r="S1761" t="inlineStr"/>
    </row>
    <row r="1762">
      <c r="A1762">
        <f>Skills!A9</f>
        <v/>
      </c>
      <c r="B1762">
        <f>Skills!B9</f>
        <v/>
      </c>
      <c r="C1762">
        <f>Inputs!$B$3&gt;=60</f>
        <v/>
      </c>
      <c r="D1762">
        <f>IF(Skills!C9=1,60+Inputs!$B$26+Inputs!$B$30,IF(Skills!C9=2,90+Inputs!$B$27+Inputs!$B$30,IF(Skills!C9=3,120+Inputs!$B$28+Inputs!$B$30,MAX(0,(Inputs!$B$3-100)*3)+Inputs!$B$29+Inputs!$B$30)))</f>
        <v/>
      </c>
      <c r="E1762">
        <f>INDEX(FactorTable!$B$2:$Y$301, MATCH(ROUND(MIN(300,MAX(1,D1762)),0), FactorTable!$A$2:$A$301,0), Skills!M9+1)</f>
        <v/>
      </c>
      <c r="F1762">
        <f>IF(Skills!N9=TRUE,(Skills!L9/10)*(E1762/1000),Skills!L9/10)+Skills!O9</f>
        <v/>
      </c>
      <c r="G1762">
        <f>Skills!G9*IF(Skills!H9&gt;0,INT(IF(Inputs!$B$39="pvp",MIN(Skills!I9,15),Skills!I9)/Skills!H9+0.000000001),1)</f>
        <v/>
      </c>
      <c r="H1762">
        <f>1-(1-Skills!J9/100)^Skills!K9</f>
        <v/>
      </c>
      <c r="I1762" t="inlineStr">
        <is>
          <t>1</t>
        </is>
      </c>
      <c r="J1762">
        <f>((Inputs!$B$6*(1+Inputs!$B$7/100))+(((Inputs!$B$13*(1+Inputs!$B$14/100))-(Inputs!$B$13*(1+Inputs!$B$14/100)))+0.25*(Inputs!$B$15-Inputs!$B$15))*(1+Inputs!$B$7/100))*(F1762/100)</f>
        <v/>
      </c>
      <c r="K1762">
        <f>J1762*(1+(((Inputs!$B$13+IF(Inputs!$B$3&gt;=38,(10*INDEX(FactorTable!$B$2:$Y$301, MATCH(ROUND(MIN(300,MAX(1,Inputs!$B$3)),0), FactorTable!$A$2:$A$301,0), 23)/1000)/100*(Inputs!$B$8*(1+Inputs!$B$9/100)),0))*(1+Inputs!$B$14/100))*0.01+Inputs!$B$15*0.0025)/100)*(1+Inputs!$B$16/100)*(1+Inputs!$B$17/100)*(5000/(6000+Inputs!$B$43*(1-(Inputs!$B$20+0)/100)))*(1+(Inputs!$B$25+((C1778=TRUE)*(F1778-Calc!F25))+((C1779=TRUE)*(F1779-Calc!F26))+B1788)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1764=TRUE,F1764,0)/100)*(1+(IF(Skills!A9="DARK_IMPALE",Inputs!$B$18+0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gt;=100),MIN(100,((Inputs!$B$10+0+B1782+(ArtifactsInput!$M$24-ArtifactsInput!$M$24)*CHOOSE(ArtifactsInput!$N$24+1,10,12,14,16,18,20)+IF(ArtifactsInput!$M$10,CHOOSE(ArtifactsInput!$N$10+1,15,18,21,24,27,30)*(IF(Inputs!$B$39="pvp",MIN(15,15)/15,IF(AND(Inputs!$B$39&lt;&gt;"pvp",Inputs!$B$44&gt;0),MIN(15,Inputs!$B$44)/(Inputs!$B$44),0))),0)))-100),0))*CHOOSE(ArtifactsInput!$N$42+1,0.6,0.72,0.84,0.96,1.08,1.2))),Inputs!$B$19+((C1776=TRUE)*(F1776-Calc!F23))+(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gt;=100),CHOOSE(ArtifactsInput!$N$42+1,40,48,56,64,72,80),0))))/100)*((1+(((C1766=TRUE)*F1766*IF(AND(Inputs!$B$39&lt;&gt;"pvp",Inputs!$B$44&gt;0),(((R1766-1)*MIN((Skills!T13*(1+Inputs!$B$35/100)),(1/Q1766))+MIN((Skills!T13*(1+Inputs!$B$35/100)),MAX(0,Inputs!$B$44-((R1766-1)*(1/Q1766)))))/Inputs!$B$44),IF(Inputs!$B$39="pvp",MIN((Skills!T13*(1+Inputs!$B$35/100)),15)/15,MIN(1,(Skills!T13*(1+Inputs!$B$35/100))/(1/Q1766)))))+((C1767=TRUE)*F1767*IF(AND(Inputs!$B$39&lt;&gt;"pvp",Inputs!$B$44&gt;0),(((R1767-1)*MIN((Skills!T14*(1+Inputs!$B$35/100)),(1/Q1767))+MIN((Skills!T14*(1+Inputs!$B$35/100)),MAX(0,Inputs!$B$44-((R1767-1)*(1/Q1767)))))/Inputs!$B$44),IF(Inputs!$B$39="pvp",MIN((Skills!T14*(1+Inputs!$B$35/100)),15)/15,MIN(1,(Skills!T14*(1+Inputs!$B$35/100))/(1/Q1767)))))+((C1768=TRUE)*F1768*IF(AND(Inputs!$B$39&lt;&gt;"pvp",Inputs!$B$44&gt;0),(((R1768-1)*MIN((Skills!T15*(1+Inputs!$B$35/100)),(1/Q1768))+MIN((Skills!T15*(1+Inputs!$B$35/100)),MAX(0,Inputs!$B$44-((R1768-1)*(1/Q1768)))))/Inputs!$B$44),IF(Inputs!$B$39="pvp",MIN((Skills!T15*(1+Inputs!$B$35/100)),15)/15,MIN(1,(Skills!T15*(1+Inputs!$B$35/100))/(1/Q1768)))))+((C1769=TRUE)*F1769*IF(AND(Inputs!$B$39&lt;&gt;"pvp",Inputs!$B$44&gt;0),(((R1769-1)*MIN((Skills!T16*(1+Inputs!$B$35/100)),(1/Q1769))+MIN((Skills!T16*(1+Inputs!$B$35/100)),MAX(0,Inputs!$B$44-((R1769-1)*(1/Q1769)))))/Inputs!$B$44),IF(Inputs!$B$39="pvp",MIN((Skills!T16*(1+Inputs!$B$35/100)),15)/15,MIN(1,(Skills!T16*(1+Inputs!$B$35/100))/(1/Q1769)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1762)</f>
        <v/>
      </c>
      <c r="L1762">
        <f>K1762*(MIN(Inputs!$B$23+((C1775=TRUE)*(F1775-Calc!F22)),(Inputs!$B$24+((C1777=TRUE)*(F1777-Calc!F24))+(IF(ArtifactsInput!$M$15,CHOOSE(ArtifactsInput!$N$15+1,25,30,35,40,45,50)/100*(Inputs!$B$12-Inputs!$B$12),0))))/100+(Inputs!$B$24+((C1777=TRUE)*(F1777-Calc!F24))+(IF(ArtifactsInput!$M$15,CHOOSE(ArtifactsInput!$N$15+1,25,30,35,40,45,50)/100*(Inputs!$B$12-Inputs!$B$12),0)))/100)/2</f>
        <v/>
      </c>
      <c r="M1762">
        <f>L1762*(1+(Inputs!$B$11+0+B1787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762">
        <f>L1762*(1-MIN((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1762*(MIN((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62">
        <f>(1-Summary!$B$11)*T1762+Summary!$B$11*V1762</f>
        <v/>
      </c>
      <c r="P1762">
        <f>IF(B1792=0,0,O1762/B1792)</f>
        <v/>
      </c>
      <c r="Q1762">
        <f>IFERROR(1/IF(Inputs!$B$39="pvp",15,MAX(0.1,Skills!D9-IF(TRUE=TRUE,Inputs!$B$33,0))),0)</f>
        <v/>
      </c>
      <c r="R1762">
        <f>IF(AND(Inputs!$B$39&lt;&gt;"pvp",Inputs!$B$44&gt;0),IF(MAX(0,Inputs!$B$44-B1789)&lt;=0,0,(INT(MAX(0,Inputs!$B$44-B1789)/IF(Inputs!$B$39="pvp",15,MAX(0.1,Skills!D9-IF(TRUE=TRUE,Inputs!$B$33,0))))+1)),0)</f>
        <v/>
      </c>
      <c r="S1762">
        <f>IFERROR(O1762/N1762,0)</f>
        <v/>
      </c>
      <c r="T1762">
        <f>IF(C1762,(H1762*N1762*IF(AND(Inputs!$B$39&lt;&gt;"pvp",Inputs!$B$44&gt;0),((Skills!G9*((R1762-1)*IF(Skills!H9&gt;0,INT(Skills!I9/Skills!H9+0.000000001),1)+IF(Skills!H9&gt;0,INT(MIN(Skills!I9,MAX(0,MAX(0,Inputs!$B$44-B1789)-((R1762-1)*IF(Inputs!$B$39="pvp",15,MAX(0.1,Skills!D9-IF(TRUE=TRUE,Inputs!$B$33,0))))))/Skills!H9+0.000000001),1)))/Inputs!$B$44),G1762*Q1762))*IF(Inputs!$B$39="pvp",1,1+(Inputs!$B$21+0+Skills!P9+((C1770=TRUE)*F1770*IF(AND(Inputs!$B$39&lt;&gt;"pvp",Inputs!$B$44&gt;0),(((R1770-1)*MIN((Skills!T17*(1+Inputs!$B$35/100)),(1/Q1770))+MIN((Skills!T17*(1+Inputs!$B$35/100)),MAX(0,Inputs!$B$44-((R1770-1)*(1/Q1770)))))/Inputs!$B$44),IF(Inputs!$B$39="pvp",MIN((Skills!T17*(1+Inputs!$B$35/100)),15)/15,MIN(1,(Skills!T17*(1+Inputs!$B$35/100))/(1/Q1770)))))+((C1758=TRUE)*IF(Inputs!$B$3&gt;=126,10*MIN(1,15*Q1758),0))+((C1767=TRUE)*IF(Inputs!$B$39="pvp",20,(1-Summary!$B$11)*(20)+Summary!$B$11*(0))*IF(AND(Inputs!$B$39&lt;&gt;"pvp",Inputs!$B$44&gt;0),(((R1767-1)*MIN((Skills!T14*(1+Inputs!$B$35/100)),(1/Q1767))+MIN((Skills!T14*(1+Inputs!$B$35/100)),MAX(0,Inputs!$B$44-((R1767-1)*(1/Q1767)))))/Inputs!$B$44),IF(Inputs!$B$39="pvp",MIN((Skills!T14*(1+Inputs!$B$35/100)),15)/15,MIN(1,(Skills!T14*(1+Inputs!$B$35/100))/(1/Q1767)))))+((C1766=TRUE)*IF(Inputs!$B$3&gt;=82,IF(Inputs!$B$39="pvp",20,(1-Summary!$B$11)*(20)+Summary!$B$11*(0)),0)*IF(AND(Inputs!$B$39&lt;&gt;"pvp",Inputs!$B$44&gt;0),(((R1766-1)*MIN((Skills!T13*(1+Inputs!$B$35/100)),(1/Q1766))+MIN((Skills!T13*(1+Inputs!$B$35/100)),MAX(0,Inputs!$B$44-((R1766-1)*(1/Q1766)))))/Inputs!$B$44),IF(Inputs!$B$39="pvp",MIN((Skills!T13*(1+Inputs!$B$35/100)),15)/15,MIN(1,(Skills!T13*(1+Inputs!$B$35/100))/(1/Q1766)))))+(IF(AND(ArtifactsInput!$M$35,Inputs!$B$4&lt;&gt;"Chapter Hunt"),CHOOSE(ArtifactsInput!$N$35+1,15,18,21,24,27,30)*(1-EXP(-(0.2*B1784)*5)),0)+IF(AND(ArtifactsInput!$M$22,Inputs!$B$4&lt;&gt;"Chapter Hunt"),CHOOSE(ArtifactsInput!$N$22+1,10,12,14,16,18,20)*((0*(((0.15*B1784*5))^0/1)+1*(((0.15*B1784*5))^1/1)+2*(((0.15*B1784*5))^2/2)+3*(((0.15*B1784*5))^3/6)+4*(((0.15*B1784*5))^4/24)+5*(((0.15*B1784*5))^5/120))/((((0.15*B1784*5))^0/1)+(((0.15*B1784*5))^1/1)+(((0.15*B1784*5))^2/2)+(((0.15*B1784*5))^3/6)+(((0.15*B1784*5))^4/24)+(((0.15*B1784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1762*(1-MIN(100,(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1762*(MIN(100,(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1762*(1-MIN(100,(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1762*(MIN(100,(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62">
        <f>IF(C1762,(H1762*N1762*IF(AND(Inputs!$B$39&lt;&gt;"pvp",Inputs!$B$44&gt;0),((Skills!G9*((R1762-1)*IF(Skills!H9&gt;0,INT(Skills!I9/Skills!H9+0.000000001),1)+IF(Skills!H9&gt;0,INT(MIN(Skills!I9,MAX(0,MAX(0,Inputs!$B$44-B1789)-((R1762-1)*IF(Inputs!$B$39="pvp",15,MAX(0.1,Skills!D9-IF(TRUE=TRUE,Inputs!$B$33,0))))))/Skills!H9+0.000000001),1)))/Inputs!$B$44),G1762*Q1762))*IF(Inputs!$B$39="pvp",1,(1+(Inputs!$B$22+Skills!Q9+((C1770=TRUE)*F1770*IF(AND(Inputs!$B$39&lt;&gt;"pvp",Inputs!$B$44&gt;0),(((R1770-1)*MIN((Skills!T17*(1+Inputs!$B$35/100)),(1/Q1770))+MIN((Skills!T17*(1+Inputs!$B$35/100)),MAX(0,Inputs!$B$44-((R1770-1)*(1/Q1770)))))/Inputs!$B$44),IF(Inputs!$B$39="pvp",MIN((Skills!T17*(1+Inputs!$B$35/100)),15)/15,MIN(1,(Skills!T17*(1+Inputs!$B$35/100))/(1/Q1770)))))+((C1758=TRUE)*IF(Inputs!$B$3&gt;=126,10*MIN(1,15*Q1758),0))+((C1767=TRUE)*IF(Inputs!$B$39="pvp",20,(1-Summary!$B$11)*(20)+Summary!$B$11*(0))*IF(AND(Inputs!$B$39&lt;&gt;"pvp",Inputs!$B$44&gt;0),(((R1767-1)*MIN((Skills!T14*(1+Inputs!$B$35/100)),(1/Q1767))+MIN((Skills!T14*(1+Inputs!$B$35/100)),MAX(0,Inputs!$B$44-((R1767-1)*(1/Q1767)))))/Inputs!$B$44),IF(Inputs!$B$39="pvp",MIN((Skills!T14*(1+Inputs!$B$35/100)),15)/15,MIN(1,(Skills!T14*(1+Inputs!$B$35/100))/(1/Q1767)))))+((C1766=TRUE)*IF(Inputs!$B$3&gt;=82,IF(Inputs!$B$39="pvp",20,(1-Summary!$B$11)*(20)+Summary!$B$11*(0)),0)*IF(AND(Inputs!$B$39&lt;&gt;"pvp",Inputs!$B$44&gt;0),(((R1766-1)*MIN((Skills!T13*(1+Inputs!$B$35/100)),(1/Q1766))+MIN((Skills!T13*(1+Inputs!$B$35/100)),MAX(0,Inputs!$B$44-((R1766-1)*(1/Q1766)))))/Inputs!$B$44),IF(Inputs!$B$39="pvp",MIN((Skills!T13*(1+Inputs!$B$35/100)),15)/15,MIN(1,(Skills!T13*(1+Inputs!$B$35/100))/(1/Q1766)))))+(IF(AND(ArtifactsInput!$M$35,Inputs!$B$4&lt;&gt;"Chapter Hunt"),CHOOSE(ArtifactsInput!$N$35+1,15,18,21,24,27,30)*(1-EXP(-(0.2*B1784)*5)),0)+IF(AND(ArtifactsInput!$M$22,Inputs!$B$4&lt;&gt;"Chapter Hunt"),CHOOSE(ArtifactsInput!$N$22+1,10,12,14,16,18,20)*((0*(((0.15*B1784*5))^0/1)+1*(((0.15*B1784*5))^1/1)+2*(((0.15*B1784*5))^2/2)+3*(((0.15*B1784*5))^3/6)+4*(((0.15*B1784*5))^4/24)+5*(((0.15*B1784*5))^5/120))/((((0.15*B1784*5))^0/1)+(((0.15*B1784*5))^1/1)+(((0.15*B1784*5))^2/2)+(((0.15*B1784*5))^3/6)+(((0.15*B1784*5))^4/24)+(((0.15*B1784*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63">
      <c r="A1763">
        <f>Skills!A10</f>
        <v/>
      </c>
      <c r="B1763">
        <f>Skills!B10</f>
        <v/>
      </c>
      <c r="C1763">
        <f>Inputs!$B$3&gt;=110</f>
        <v/>
      </c>
      <c r="D1763">
        <f>IF(Skills!C10=1,60+Inputs!$B$26+Inputs!$B$30,IF(Skills!C10=2,90+Inputs!$B$27+Inputs!$B$30,IF(Skills!C10=3,120+Inputs!$B$28+Inputs!$B$30,MAX(0,(Inputs!$B$3-100)*3)+Inputs!$B$29+Inputs!$B$30)))</f>
        <v/>
      </c>
      <c r="E1763">
        <f>INDEX(FactorTable!$B$2:$Y$301, MATCH(ROUND(MIN(300,MAX(1,D1763)),0), FactorTable!$A$2:$A$301,0), Skills!M10+1)</f>
        <v/>
      </c>
      <c r="F1763">
        <f>IF(Skills!N10=TRUE,(Skills!L10/10)*(E1763/1000),Skills!L10/10)+Skills!O10</f>
        <v/>
      </c>
      <c r="G1763">
        <f>Skills!G10*IF(Skills!H10&gt;0,INT(IF(Inputs!$B$39="pvp",MIN(Skills!I10,15),Skills!I10)/Skills!H10+0.000000001),1)</f>
        <v/>
      </c>
      <c r="H1763">
        <f>1-(1-Skills!J10/100)^Skills!K10</f>
        <v/>
      </c>
      <c r="I1763" t="inlineStr">
        <is>
          <t>1</t>
        </is>
      </c>
      <c r="J1763">
        <f>((Inputs!$B$6*(1+Inputs!$B$7/100))+(((Inputs!$B$13*(1+Inputs!$B$14/100))-(Inputs!$B$13*(1+Inputs!$B$14/100)))+0.25*(Inputs!$B$15-Inputs!$B$15))*(1+Inputs!$B$7/100))*(F1763/100)</f>
        <v/>
      </c>
      <c r="K1763">
        <f>J1763*(1+(((Inputs!$B$13+IF(Inputs!$B$3&gt;=38,(10*INDEX(FactorTable!$B$2:$Y$301, MATCH(ROUND(MIN(300,MAX(1,Inputs!$B$3)),0), FactorTable!$A$2:$A$301,0), 23)/1000)/100*(Inputs!$B$8*(1+Inputs!$B$9/100)),0))*(1+Inputs!$B$14/100))*0.01+Inputs!$B$15*0.0025)/100)*(1+Inputs!$B$16/100)*(1+Inputs!$B$17/100)*(5000/(6000+Inputs!$B$43*(1-(Inputs!$B$20+0)/100)))*(1+(Inputs!$B$25+((C1778=TRUE)*(F1778-Calc!F25))+((C1779=TRUE)*(F1779-Calc!F26))+B1788)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gt;=100),MIN(100,((Inputs!$B$10+0+B1782+(ArtifactsInput!$M$24-ArtifactsInput!$M$24)*CHOOSE(ArtifactsInput!$N$24+1,10,12,14,16,18,20)+IF(ArtifactsInput!$M$10,CHOOSE(ArtifactsInput!$N$10+1,15,18,21,24,27,30)*(IF(Inputs!$B$39="pvp",MIN(15,15)/15,IF(AND(Inputs!$B$39&lt;&gt;"pvp",Inputs!$B$44&gt;0),MIN(15,Inputs!$B$44)/(Inputs!$B$44),0))),0)))-100),0))*CHOOSE(ArtifactsInput!$N$42+1,0.6,0.72,0.84,0.96,1.08,1.2))),Inputs!$B$19+((C1776=TRUE)*(F1776-Calc!F23))+(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gt;=100),CHOOSE(ArtifactsInput!$N$42+1,40,48,56,64,72,80),0))))/100)*((1+(((C1766=TRUE)*F1766*IF(AND(Inputs!$B$39&lt;&gt;"pvp",Inputs!$B$44&gt;0),(((R1766-1)*MIN((Skills!T13*(1+Inputs!$B$35/100)),(1/Q1766))+MIN((Skills!T13*(1+Inputs!$B$35/100)),MAX(0,Inputs!$B$44-((R1766-1)*(1/Q1766)))))/Inputs!$B$44),IF(Inputs!$B$39="pvp",MIN((Skills!T13*(1+Inputs!$B$35/100)),15)/15,MIN(1,(Skills!T13*(1+Inputs!$B$35/100))/(1/Q1766)))))+((C1767=TRUE)*F1767*IF(AND(Inputs!$B$39&lt;&gt;"pvp",Inputs!$B$44&gt;0),(((R1767-1)*MIN((Skills!T14*(1+Inputs!$B$35/100)),(1/Q1767))+MIN((Skills!T14*(1+Inputs!$B$35/100)),MAX(0,Inputs!$B$44-((R1767-1)*(1/Q1767)))))/Inputs!$B$44),IF(Inputs!$B$39="pvp",MIN((Skills!T14*(1+Inputs!$B$35/100)),15)/15,MIN(1,(Skills!T14*(1+Inputs!$B$35/100))/(1/Q1767)))))+((C1768=TRUE)*F1768*IF(AND(Inputs!$B$39&lt;&gt;"pvp",Inputs!$B$44&gt;0),(((R1768-1)*MIN((Skills!T15*(1+Inputs!$B$35/100)),(1/Q1768))+MIN((Skills!T15*(1+Inputs!$B$35/100)),MAX(0,Inputs!$B$44-((R1768-1)*(1/Q1768)))))/Inputs!$B$44),IF(Inputs!$B$39="pvp",MIN((Skills!T15*(1+Inputs!$B$35/100)),15)/15,MIN(1,(Skills!T15*(1+Inputs!$B$35/100))/(1/Q1768)))))+((C1769=TRUE)*F1769*IF(AND(Inputs!$B$39&lt;&gt;"pvp",Inputs!$B$44&gt;0),(((R1769-1)*MIN((Skills!T16*(1+Inputs!$B$35/100)),(1/Q1769))+MIN((Skills!T16*(1+Inputs!$B$35/100)),MAX(0,Inputs!$B$44-((R1769-1)*(1/Q1769)))))/Inputs!$B$44),IF(Inputs!$B$39="pvp",MIN((Skills!T16*(1+Inputs!$B$35/100)),15)/15,MIN(1,(Skills!T16*(1+Inputs!$B$35/100))/(1/Q1769)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1763)</f>
        <v/>
      </c>
      <c r="L1763">
        <f>K1763*(MIN(Inputs!$B$23+((C1775=TRUE)*(F1775-Calc!F22)),(Inputs!$B$24+((C1777=TRUE)*(F1777-Calc!F24))+(IF(ArtifactsInput!$M$15,CHOOSE(ArtifactsInput!$N$15+1,25,30,35,40,45,50)/100*(Inputs!$B$12-Inputs!$B$12),0))))/100+(Inputs!$B$24+((C1777=TRUE)*(F1777-Calc!F24))+(IF(ArtifactsInput!$M$15,CHOOSE(ArtifactsInput!$N$15+1,25,30,35,40,45,50)/100*(Inputs!$B$12-Inputs!$B$12),0)))/100)/2</f>
        <v/>
      </c>
      <c r="M1763">
        <f>L1763*(1+(Inputs!$B$11+0+B1787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763">
        <f>L1763*(1-MIN((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1763*(MIN((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63">
        <f>(1-Summary!$B$11)*T1763+Summary!$B$11*V1763</f>
        <v/>
      </c>
      <c r="P1763">
        <f>IF(B1792=0,0,O1763/B1792)</f>
        <v/>
      </c>
      <c r="Q1763">
        <f>IFERROR(1/IF(Inputs!$B$39="pvp",15,MAX(0.1,Skills!D10-IF(TRUE=TRUE,Inputs!$B$33,0))),0)</f>
        <v/>
      </c>
      <c r="R1763">
        <f>IF(AND(Inputs!$B$39&lt;&gt;"pvp",Inputs!$B$44&gt;0),IF(MAX(0,Inputs!$B$44-B1789)&lt;=0,0,(INT(MAX(0,Inputs!$B$44-B1789)/IF(Inputs!$B$39="pvp",15,MAX(0.1,Skills!D10-IF(TRUE=TRUE,Inputs!$B$33,0))))+1)),0)</f>
        <v/>
      </c>
      <c r="S1763">
        <f>IFERROR(O1763/N1763,0)</f>
        <v/>
      </c>
      <c r="T1763">
        <f>IF(C1763,(H1763*N1763*IF(AND(Inputs!$B$39&lt;&gt;"pvp",Inputs!$B$44&gt;0),((Skills!G10*((R1763-1)*IF(Skills!H10&gt;0,INT(Skills!I10/Skills!H10+0.000000001),1)+IF(Skills!H10&gt;0,INT(MIN(Skills!I10,MAX(0,MAX(0,Inputs!$B$44-B1789)-((R1763-1)*IF(Inputs!$B$39="pvp",15,MAX(0.1,Skills!D10-IF(TRUE=TRUE,Inputs!$B$33,0))))))/Skills!H10+0.000000001),1)))/Inputs!$B$44),G1763*Q1763))*IF(Inputs!$B$39="pvp",1,1+(Inputs!$B$21+0+Skills!P10+((C1770=TRUE)*F1770*IF(AND(Inputs!$B$39&lt;&gt;"pvp",Inputs!$B$44&gt;0),(((R1770-1)*MIN((Skills!T17*(1+Inputs!$B$35/100)),(1/Q1770))+MIN((Skills!T17*(1+Inputs!$B$35/100)),MAX(0,Inputs!$B$44-((R1770-1)*(1/Q1770)))))/Inputs!$B$44),IF(Inputs!$B$39="pvp",MIN((Skills!T17*(1+Inputs!$B$35/100)),15)/15,MIN(1,(Skills!T17*(1+Inputs!$B$35/100))/(1/Q1770)))))+((C1758=TRUE)*IF(Inputs!$B$3&gt;=126,10*MIN(1,15*Q1758),0))+((C1767=TRUE)*IF(Inputs!$B$39="pvp",20,(1-Summary!$B$11)*(20)+Summary!$B$11*(0))*IF(AND(Inputs!$B$39&lt;&gt;"pvp",Inputs!$B$44&gt;0),(((R1767-1)*MIN((Skills!T14*(1+Inputs!$B$35/100)),(1/Q1767))+MIN((Skills!T14*(1+Inputs!$B$35/100)),MAX(0,Inputs!$B$44-((R1767-1)*(1/Q1767)))))/Inputs!$B$44),IF(Inputs!$B$39="pvp",MIN((Skills!T14*(1+Inputs!$B$35/100)),15)/15,MIN(1,(Skills!T14*(1+Inputs!$B$35/100))/(1/Q1767)))))+((C1766=TRUE)*IF(Inputs!$B$3&gt;=82,IF(Inputs!$B$39="pvp",20,(1-Summary!$B$11)*(20)+Summary!$B$11*(0)),0)*IF(AND(Inputs!$B$39&lt;&gt;"pvp",Inputs!$B$44&gt;0),(((R1766-1)*MIN((Skills!T13*(1+Inputs!$B$35/100)),(1/Q1766))+MIN((Skills!T13*(1+Inputs!$B$35/100)),MAX(0,Inputs!$B$44-((R1766-1)*(1/Q1766)))))/Inputs!$B$44),IF(Inputs!$B$39="pvp",MIN((Skills!T13*(1+Inputs!$B$35/100)),15)/15,MIN(1,(Skills!T13*(1+Inputs!$B$35/100))/(1/Q1766)))))+(IF(AND(ArtifactsInput!$M$35,Inputs!$B$4&lt;&gt;"Chapter Hunt"),CHOOSE(ArtifactsInput!$N$35+1,15,18,21,24,27,30)*(1-EXP(-(0.2*B1784)*5)),0)+IF(AND(ArtifactsInput!$M$22,Inputs!$B$4&lt;&gt;"Chapter Hunt"),CHOOSE(ArtifactsInput!$N$22+1,10,12,14,16,18,20)*((0*(((0.15*B1784*5))^0/1)+1*(((0.15*B1784*5))^1/1)+2*(((0.15*B1784*5))^2/2)+3*(((0.15*B1784*5))^3/6)+4*(((0.15*B1784*5))^4/24)+5*(((0.15*B1784*5))^5/120))/((((0.15*B1784*5))^0/1)+(((0.15*B1784*5))^1/1)+(((0.15*B1784*5))^2/2)+(((0.15*B1784*5))^3/6)+(((0.15*B1784*5))^4/24)+(((0.15*B1784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1763*(1-MIN(100,(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1763*(MIN(100,(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1763*(1-MIN(100,(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1763*(MIN(100,(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63">
        <f>IF(C1763,(H1763*N1763*IF(AND(Inputs!$B$39&lt;&gt;"pvp",Inputs!$B$44&gt;0),((Skills!G10*((R1763-1)*IF(Skills!H10&gt;0,INT(Skills!I10/Skills!H10+0.000000001),1)+IF(Skills!H10&gt;0,INT(MIN(Skills!I10,MAX(0,MAX(0,Inputs!$B$44-B1789)-((R1763-1)*IF(Inputs!$B$39="pvp",15,MAX(0.1,Skills!D10-IF(TRUE=TRUE,Inputs!$B$33,0))))))/Skills!H10+0.000000001),1)))/Inputs!$B$44),G1763*Q1763))*IF(Inputs!$B$39="pvp",1,(1+(Inputs!$B$22+Skills!Q10+((C1770=TRUE)*F1770*IF(AND(Inputs!$B$39&lt;&gt;"pvp",Inputs!$B$44&gt;0),(((R1770-1)*MIN((Skills!T17*(1+Inputs!$B$35/100)),(1/Q1770))+MIN((Skills!T17*(1+Inputs!$B$35/100)),MAX(0,Inputs!$B$44-((R1770-1)*(1/Q1770)))))/Inputs!$B$44),IF(Inputs!$B$39="pvp",MIN((Skills!T17*(1+Inputs!$B$35/100)),15)/15,MIN(1,(Skills!T17*(1+Inputs!$B$35/100))/(1/Q1770)))))+((C1758=TRUE)*IF(Inputs!$B$3&gt;=126,10*MIN(1,15*Q1758),0))+((C1767=TRUE)*IF(Inputs!$B$39="pvp",20,(1-Summary!$B$11)*(20)+Summary!$B$11*(0))*IF(AND(Inputs!$B$39&lt;&gt;"pvp",Inputs!$B$44&gt;0),(((R1767-1)*MIN((Skills!T14*(1+Inputs!$B$35/100)),(1/Q1767))+MIN((Skills!T14*(1+Inputs!$B$35/100)),MAX(0,Inputs!$B$44-((R1767-1)*(1/Q1767)))))/Inputs!$B$44),IF(Inputs!$B$39="pvp",MIN((Skills!T14*(1+Inputs!$B$35/100)),15)/15,MIN(1,(Skills!T14*(1+Inputs!$B$35/100))/(1/Q1767)))))+((C1766=TRUE)*IF(Inputs!$B$3&gt;=82,IF(Inputs!$B$39="pvp",20,(1-Summary!$B$11)*(20)+Summary!$B$11*(0)),0)*IF(AND(Inputs!$B$39&lt;&gt;"pvp",Inputs!$B$44&gt;0),(((R1766-1)*MIN((Skills!T13*(1+Inputs!$B$35/100)),(1/Q1766))+MIN((Skills!T13*(1+Inputs!$B$35/100)),MAX(0,Inputs!$B$44-((R1766-1)*(1/Q1766)))))/Inputs!$B$44),IF(Inputs!$B$39="pvp",MIN((Skills!T13*(1+Inputs!$B$35/100)),15)/15,MIN(1,(Skills!T13*(1+Inputs!$B$35/100))/(1/Q1766)))))+(IF(AND(ArtifactsInput!$M$35,Inputs!$B$4&lt;&gt;"Chapter Hunt"),CHOOSE(ArtifactsInput!$N$35+1,15,18,21,24,27,30)*(1-EXP(-(0.2*B1784)*5)),0)+IF(AND(ArtifactsInput!$M$22,Inputs!$B$4&lt;&gt;"Chapter Hunt"),CHOOSE(ArtifactsInput!$N$22+1,10,12,14,16,18,20)*((0*(((0.15*B1784*5))^0/1)+1*(((0.15*B1784*5))^1/1)+2*(((0.15*B1784*5))^2/2)+3*(((0.15*B1784*5))^3/6)+4*(((0.15*B1784*5))^4/24)+5*(((0.15*B1784*5))^5/120))/((((0.15*B1784*5))^0/1)+(((0.15*B1784*5))^1/1)+(((0.15*B1784*5))^2/2)+(((0.15*B1784*5))^3/6)+(((0.15*B1784*5))^4/24)+(((0.15*B1784*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64">
      <c r="A1764">
        <f>Skills!A11</f>
        <v/>
      </c>
      <c r="B1764">
        <f>Skills!B11</f>
        <v/>
      </c>
      <c r="C1764">
        <f>Inputs!$B$3&gt;=100</f>
        <v/>
      </c>
      <c r="D1764">
        <f>IF(Skills!C11=1,60+Inputs!$B$26+Inputs!$B$30,IF(Skills!C11=2,90+Inputs!$B$27+Inputs!$B$30,IF(Skills!C11=3,120+Inputs!$B$28+Inputs!$B$30,MAX(0,(Inputs!$B$3-100)*3)+Inputs!$B$29+Inputs!$B$30)))</f>
        <v/>
      </c>
      <c r="E1764">
        <f>INDEX(FactorTable!$B$2:$Y$301, MATCH(ROUND(MIN(300,MAX(1,D1764)),0), FactorTable!$A$2:$A$301,0), Skills!M11+1)</f>
        <v/>
      </c>
      <c r="F1764">
        <f>IF(Skills!N11=TRUE,(Skills!L11/10)*(E1764/1000),Skills!L11/10)+Skills!O11</f>
        <v/>
      </c>
      <c r="G1764" t="inlineStr"/>
      <c r="H1764" t="inlineStr"/>
      <c r="I1764" t="inlineStr">
        <is>
          <t>1</t>
        </is>
      </c>
      <c r="J1764" t="inlineStr"/>
      <c r="K1764" t="inlineStr"/>
      <c r="L1764" t="inlineStr"/>
      <c r="M1764" t="inlineStr"/>
      <c r="N1764" t="inlineStr"/>
      <c r="O1764" t="inlineStr"/>
      <c r="P1764" t="inlineStr"/>
      <c r="Q1764" t="inlineStr"/>
      <c r="R1764" t="inlineStr"/>
      <c r="S1764" t="inlineStr"/>
    </row>
    <row r="1765">
      <c r="A1765">
        <f>Skills!A12</f>
        <v/>
      </c>
      <c r="B1765">
        <f>Skills!B12</f>
        <v/>
      </c>
      <c r="C1765">
        <f>Inputs!$B$3&gt;=63</f>
        <v/>
      </c>
      <c r="D1765">
        <f>IF(Skills!C12=1,60+Inputs!$B$26+Inputs!$B$30,IF(Skills!C12=2,90+Inputs!$B$27+Inputs!$B$30,IF(Skills!C12=3,120+Inputs!$B$28+Inputs!$B$30,MAX(0,(Inputs!$B$3-100)*3)+Inputs!$B$29+Inputs!$B$30)))</f>
        <v/>
      </c>
      <c r="E1765">
        <f>INDEX(FactorTable!$B$2:$Y$301, MATCH(ROUND(MIN(300,MAX(1,D1765)),0), FactorTable!$A$2:$A$301,0), Skills!M12+1)</f>
        <v/>
      </c>
      <c r="F1765">
        <f>IF(Skills!N12=TRUE,(Skills!L12/10)*(E1765/1000),Skills!L12/10)+Skills!O12</f>
        <v/>
      </c>
      <c r="G1765">
        <f>Skills!G12*IF(Skills!H12&gt;0,INT(IF(Inputs!$B$39="pvp",MIN(Skills!I12,15),Skills!I12)/Skills!H12+0.000000001),1)</f>
        <v/>
      </c>
      <c r="H1765">
        <f>1-(1-Skills!J12/100)^Skills!K12</f>
        <v/>
      </c>
      <c r="I1765" t="inlineStr">
        <is>
          <t>1</t>
        </is>
      </c>
      <c r="J1765">
        <f>((Inputs!$B$6*(1+Inputs!$B$7/100))+(((Inputs!$B$13*(1+Inputs!$B$14/100))-(Inputs!$B$13*(1+Inputs!$B$14/100)))+0.25*(Inputs!$B$15-Inputs!$B$15))*(1+Inputs!$B$7/100))*(F1765/100)</f>
        <v/>
      </c>
      <c r="K1765">
        <f>J1765*(1+(((Inputs!$B$13+IF(Inputs!$B$3&gt;=38,(10*INDEX(FactorTable!$B$2:$Y$301, MATCH(ROUND(MIN(300,MAX(1,Inputs!$B$3)),0), FactorTable!$A$2:$A$301,0), 23)/1000)/100*(Inputs!$B$8*(1+Inputs!$B$9/100)),0))*(1+Inputs!$B$14/100))*0.01+Inputs!$B$15*0.0025)/100)*(1+Inputs!$B$16/100)*(1+Inputs!$B$17/100)*(5000/(6000+Inputs!$B$43*(1-(Inputs!$B$20+0)/100)))*(1+(Inputs!$B$25+((C1778=TRUE)*(F1778-Calc!F25))+((C1779=TRUE)*(F1779-Calc!F26))+B1788)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1764=TRUE,F1764,0)/100)*(1+(IF(Skills!A12="DARK_IMPALE",Inputs!$B$18+0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gt;=100),MIN(100,((Inputs!$B$10+0+B1782+(ArtifactsInput!$M$24-ArtifactsInput!$M$24)*CHOOSE(ArtifactsInput!$N$24+1,10,12,14,16,18,20)+IF(ArtifactsInput!$M$10,CHOOSE(ArtifactsInput!$N$10+1,15,18,21,24,27,30)*(IF(Inputs!$B$39="pvp",MIN(15,15)/15,IF(AND(Inputs!$B$39&lt;&gt;"pvp",Inputs!$B$44&gt;0),MIN(15,Inputs!$B$44)/(Inputs!$B$44),0))),0)))-100),0))*CHOOSE(ArtifactsInput!$N$42+1,0.6,0.72,0.84,0.96,1.08,1.2))),Inputs!$B$19+((C1776=TRUE)*(F1776-Calc!F23))+(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gt;=100),CHOOSE(ArtifactsInput!$N$42+1,40,48,56,64,72,80),0))))/100)*((1+(((C1766=TRUE)*F1766*IF(AND(Inputs!$B$39&lt;&gt;"pvp",Inputs!$B$44&gt;0),(((R1766-1)*MIN((Skills!T13*(1+Inputs!$B$35/100)),(1/Q1766))+MIN((Skills!T13*(1+Inputs!$B$35/100)),MAX(0,Inputs!$B$44-((R1766-1)*(1/Q1766)))))/Inputs!$B$44),IF(Inputs!$B$39="pvp",MIN((Skills!T13*(1+Inputs!$B$35/100)),15)/15,MIN(1,(Skills!T13*(1+Inputs!$B$35/100))/(1/Q1766)))))+((C1767=TRUE)*F1767*IF(AND(Inputs!$B$39&lt;&gt;"pvp",Inputs!$B$44&gt;0),(((R1767-1)*MIN((Skills!T14*(1+Inputs!$B$35/100)),(1/Q1767))+MIN((Skills!T14*(1+Inputs!$B$35/100)),MAX(0,Inputs!$B$44-((R1767-1)*(1/Q1767)))))/Inputs!$B$44),IF(Inputs!$B$39="pvp",MIN((Skills!T14*(1+Inputs!$B$35/100)),15)/15,MIN(1,(Skills!T14*(1+Inputs!$B$35/100))/(1/Q1767)))))+((C1768=TRUE)*F1768*IF(AND(Inputs!$B$39&lt;&gt;"pvp",Inputs!$B$44&gt;0),(((R1768-1)*MIN((Skills!T15*(1+Inputs!$B$35/100)),(1/Q1768))+MIN((Skills!T15*(1+Inputs!$B$35/100)),MAX(0,Inputs!$B$44-((R1768-1)*(1/Q1768)))))/Inputs!$B$44),IF(Inputs!$B$39="pvp",MIN((Skills!T15*(1+Inputs!$B$35/100)),15)/15,MIN(1,(Skills!T15*(1+Inputs!$B$35/100))/(1/Q1768)))))+((C1769=TRUE)*F1769*IF(AND(Inputs!$B$39&lt;&gt;"pvp",Inputs!$B$44&gt;0),(((R1769-1)*MIN((Skills!T16*(1+Inputs!$B$35/100)),(1/Q1769))+MIN((Skills!T16*(1+Inputs!$B$35/100)),MAX(0,Inputs!$B$44-((R1769-1)*(1/Q1769)))))/Inputs!$B$44),IF(Inputs!$B$39="pvp",MIN((Skills!T16*(1+Inputs!$B$35/100)),15)/15,MIN(1,(Skills!T16*(1+Inputs!$B$35/100))/(1/Q1769)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1765)</f>
        <v/>
      </c>
      <c r="L1765">
        <f>K1765*(MIN(Inputs!$B$23+((C1775=TRUE)*(F1775-Calc!F22)),(Inputs!$B$24+((C1777=TRUE)*(F1777-Calc!F24))+(IF(ArtifactsInput!$M$15,CHOOSE(ArtifactsInput!$N$15+1,25,30,35,40,45,50)/100*(Inputs!$B$12-Inputs!$B$12),0))))/100+(Inputs!$B$24+((C1777=TRUE)*(F1777-Calc!F24))+(IF(ArtifactsInput!$M$15,CHOOSE(ArtifactsInput!$N$15+1,25,30,35,40,45,50)/100*(Inputs!$B$12-Inputs!$B$12),0)))/100)/2</f>
        <v/>
      </c>
      <c r="M1765">
        <f>L1765*(1+(Inputs!$B$11+0+B1787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765">
        <f>L1765*(1-MIN((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1765*(MIN((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65">
        <f>(1-Summary!$B$11)*T1765+Summary!$B$11*V1765</f>
        <v/>
      </c>
      <c r="P1765">
        <f>IF(B1792=0,0,O1765/B1792)</f>
        <v/>
      </c>
      <c r="Q1765">
        <f>IFERROR(1/IF(Inputs!$B$39="pvp",15,MAX(0.1,Skills!D12-IF(TRUE=TRUE,Inputs!$B$33,0))),0)</f>
        <v/>
      </c>
      <c r="R1765">
        <f>IF(AND(Inputs!$B$39&lt;&gt;"pvp",Inputs!$B$44&gt;0),IF(MAX(0,Inputs!$B$44-B1789)&lt;=0,0,(INT(MAX(0,Inputs!$B$44-B1789)/IF(Inputs!$B$39="pvp",15,MAX(0.1,Skills!D12-IF(TRUE=TRUE,Inputs!$B$33,0))))+1)),0)</f>
        <v/>
      </c>
      <c r="S1765">
        <f>IFERROR(O1765/N1765,0)</f>
        <v/>
      </c>
      <c r="T1765">
        <f>IF(C1765,(H1765*N1765*IF(AND(Inputs!$B$39&lt;&gt;"pvp",Inputs!$B$44&gt;0),((Skills!G12*((R1765-1)*IF(Skills!H12&gt;0,INT(Skills!I12/Skills!H12+0.000000001),1)+IF(Skills!H12&gt;0,INT(MIN(Skills!I12,MAX(0,MAX(0,Inputs!$B$44-B1789)-((R1765-1)*IF(Inputs!$B$39="pvp",15,MAX(0.1,Skills!D12-IF(TRUE=TRUE,Inputs!$B$33,0))))))/Skills!H12+0.000000001),1)))/Inputs!$B$44),G1765*Q1765))*IF(Inputs!$B$39="pvp",1,1+(Inputs!$B$21+0+Skills!P12+((C1770=TRUE)*F1770*IF(AND(Inputs!$B$39&lt;&gt;"pvp",Inputs!$B$44&gt;0),(((R1770-1)*MIN((Skills!T17*(1+Inputs!$B$35/100)),(1/Q1770))+MIN((Skills!T17*(1+Inputs!$B$35/100)),MAX(0,Inputs!$B$44-((R1770-1)*(1/Q1770)))))/Inputs!$B$44),IF(Inputs!$B$39="pvp",MIN((Skills!T17*(1+Inputs!$B$35/100)),15)/15,MIN(1,(Skills!T17*(1+Inputs!$B$35/100))/(1/Q1770)))))+((C1758=TRUE)*IF(Inputs!$B$3&gt;=126,10*MIN(1,15*Q1758),0))+((C1767=TRUE)*IF(Inputs!$B$39="pvp",20,(1-Summary!$B$11)*(20)+Summary!$B$11*(0))*IF(AND(Inputs!$B$39&lt;&gt;"pvp",Inputs!$B$44&gt;0),(((R1767-1)*MIN((Skills!T14*(1+Inputs!$B$35/100)),(1/Q1767))+MIN((Skills!T14*(1+Inputs!$B$35/100)),MAX(0,Inputs!$B$44-((R1767-1)*(1/Q1767)))))/Inputs!$B$44),IF(Inputs!$B$39="pvp",MIN((Skills!T14*(1+Inputs!$B$35/100)),15)/15,MIN(1,(Skills!T14*(1+Inputs!$B$35/100))/(1/Q1767)))))+((C1766=TRUE)*IF(Inputs!$B$3&gt;=82,IF(Inputs!$B$39="pvp",20,(1-Summary!$B$11)*(20)+Summary!$B$11*(0)),0)*IF(AND(Inputs!$B$39&lt;&gt;"pvp",Inputs!$B$44&gt;0),(((R1766-1)*MIN((Skills!T13*(1+Inputs!$B$35/100)),(1/Q1766))+MIN((Skills!T13*(1+Inputs!$B$35/100)),MAX(0,Inputs!$B$44-((R1766-1)*(1/Q1766)))))/Inputs!$B$44),IF(Inputs!$B$39="pvp",MIN((Skills!T13*(1+Inputs!$B$35/100)),15)/15,MIN(1,(Skills!T13*(1+Inputs!$B$35/100))/(1/Q1766)))))+(IF(AND(ArtifactsInput!$M$35,Inputs!$B$4&lt;&gt;"Chapter Hunt"),CHOOSE(ArtifactsInput!$N$35+1,15,18,21,24,27,30)*(1-EXP(-(0.2*B1784)*5)),0)+IF(AND(ArtifactsInput!$M$22,Inputs!$B$4&lt;&gt;"Chapter Hunt"),CHOOSE(ArtifactsInput!$N$22+1,10,12,14,16,18,20)*((0*(((0.15*B1784*5))^0/1)+1*(((0.15*B1784*5))^1/1)+2*(((0.15*B1784*5))^2/2)+3*(((0.15*B1784*5))^3/6)+4*(((0.15*B1784*5))^4/24)+5*(((0.15*B1784*5))^5/120))/((((0.15*B1784*5))^0/1)+(((0.15*B1784*5))^1/1)+(((0.15*B1784*5))^2/2)+(((0.15*B1784*5))^3/6)+(((0.15*B1784*5))^4/24)+(((0.15*B1784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1765*(1-MIN(100,(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1765*(MIN(100,(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1765*(1-MIN(100,(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1765*(MIN(100,(Inputs!$B$10+0+B1782+(ArtifactsInput!$M$24-ArtifactsInput!$M$24)*CHOOSE(ArtifactsInput!$N$24+1,10,12,14,16,18,20)+(IF(AND(Inputs!$B$39&lt;&gt;"pvp",Inputs!$B$44=0),1,IF(IF(Inputs!$B$39="pvp",15,Inputs!$B$44)-(B1789)&lt;=0,1,MAX(0,IF(Inputs!$B$39="pvp",15,Inputs!$B$44)-MAX(5,B1789))/(IF(Inputs!$B$39="pvp",15,Inputs!$B$44)-(B1789))))*IF(AND(ArtifactsInput!$M$42,((Inputs!$B$10+0+B1782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765">
        <f>IF(C1765,(H1765*N1765*IF(AND(Inputs!$B$39&lt;&gt;"pvp",Inputs!$B$44&gt;0),((Skills!G12*((R1765-1)*IF(Skills!H12&gt;0,INT(Skills!I12/Skills!H12+0.000000001),1)+IF(Skills!H12&gt;0,INT(MIN(Skills!I12,MAX(0,MAX(0,Inputs!$B$44-B1789)-((R1765-1)*IF(Inputs!$B$39="pvp",15,MAX(0.1,Skills!D12-IF(TRUE=TRUE,Inputs!$B$33,0))))))/Skills!H12+0.000000001),1)))/Inputs!$B$44),G1765*Q1765))*IF(Inputs!$B$39="pvp",1,(1+(Inputs!$B$22+Skills!Q12+((C1770=TRUE)*F1770*IF(AND(Inputs!$B$39&lt;&gt;"pvp",Inputs!$B$44&gt;0),(((R1770-1)*MIN((Skills!T17*(1+Inputs!$B$35/100)),(1/Q1770))+MIN((Skills!T17*(1+Inputs!$B$35/100)),MAX(0,Inputs!$B$44-((R1770-1)*(1/Q1770)))))/Inputs!$B$44),IF(Inputs!$B$39="pvp",MIN((Skills!T17*(1+Inputs!$B$35/100)),15)/15,MIN(1,(Skills!T17*(1+Inputs!$B$35/100))/(1/Q1770)))))+((C1758=TRUE)*IF(Inputs!$B$3&gt;=126,10*MIN(1,15*Q1758),0))+((C1767=TRUE)*IF(Inputs!$B$39="pvp",20,(1-Summary!$B$11)*(20)+Summary!$B$11*(0))*IF(AND(Inputs!$B$39&lt;&gt;"pvp",Inputs!$B$44&gt;0),(((R1767-1)*MIN((Skills!T14*(1+Inputs!$B$35/100)),(1/Q1767))+MIN((Skills!T14*(1+Inputs!$B$35/100)),MAX(0,Inputs!$B$44-((R1767-1)*(1/Q1767)))))/Inputs!$B$44),IF(Inputs!$B$39="pvp",MIN((Skills!T14*(1+Inputs!$B$35/100)),15)/15,MIN(1,(Skills!T14*(1+Inputs!$B$35/100))/(1/Q1767)))))+((C1766=TRUE)*IF(Inputs!$B$3&gt;=82,IF(Inputs!$B$39="pvp",20,(1-Summary!$B$11)*(20)+Summary!$B$11*(0)),0)*IF(AND(Inputs!$B$39&lt;&gt;"pvp",Inputs!$B$44&gt;0),(((R1766-1)*MIN((Skills!T13*(1+Inputs!$B$35/100)),(1/Q1766))+MIN((Skills!T13*(1+Inputs!$B$35/100)),MAX(0,Inputs!$B$44-((R1766-1)*(1/Q1766)))))/Inputs!$B$44),IF(Inputs!$B$39="pvp",MIN((Skills!T13*(1+Inputs!$B$35/100)),15)/15,MIN(1,(Skills!T13*(1+Inputs!$B$35/100))/(1/Q1766)))))+(IF(AND(ArtifactsInput!$M$35,Inputs!$B$4&lt;&gt;"Chapter Hunt"),CHOOSE(ArtifactsInput!$N$35+1,15,18,21,24,27,30)*(1-EXP(-(0.2*B1784)*5)),0)+IF(AND(ArtifactsInput!$M$22,Inputs!$B$4&lt;&gt;"Chapter Hunt"),CHOOSE(ArtifactsInput!$N$22+1,10,12,14,16,18,20)*((0*(((0.15*B1784*5))^0/1)+1*(((0.15*B1784*5))^1/1)+2*(((0.15*B1784*5))^2/2)+3*(((0.15*B1784*5))^3/6)+4*(((0.15*B1784*5))^4/24)+5*(((0.15*B1784*5))^5/120))/((((0.15*B1784*5))^0/1)+(((0.15*B1784*5))^1/1)+(((0.15*B1784*5))^2/2)+(((0.15*B1784*5))^3/6)+(((0.15*B1784*5))^4/24)+(((0.15*B1784*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66">
      <c r="A1766">
        <f>Skills!A13</f>
        <v/>
      </c>
      <c r="B1766">
        <f>Skills!B13</f>
        <v/>
      </c>
      <c r="C1766">
        <f>Inputs!$B$3&gt;=69</f>
        <v/>
      </c>
      <c r="D1766">
        <f>IF(Skills!C13=1,60+Inputs!$B$26+Inputs!$B$30,IF(Skills!C13=2,90+Inputs!$B$27+Inputs!$B$30,IF(Skills!C13=3,120+Inputs!$B$28+Inputs!$B$30,MAX(0,(Inputs!$B$3-100)*3)+Inputs!$B$29+Inputs!$B$30)))</f>
        <v/>
      </c>
      <c r="E1766">
        <f>INDEX(FactorTable!$B$2:$Y$301, MATCH(ROUND(MIN(300,MAX(1,D1766)),0), FactorTable!$A$2:$A$301,0), Skills!M13+1)</f>
        <v/>
      </c>
      <c r="F1766">
        <f>IF(Skills!N13=TRUE,(Skills!L13/10)*(E1766/1000),Skills!L13/10)+Skills!O13</f>
        <v/>
      </c>
      <c r="G1766">
        <f>Skills!G13*IF(Skills!H13&gt;0,INT(IF(Inputs!$B$39="pvp",MIN(Skills!I13,15),Skills!I13)/Skills!H13+0.000000001),1)</f>
        <v/>
      </c>
      <c r="H1766">
        <f>1-(1-Skills!J13/100)^Skills!K13</f>
        <v/>
      </c>
      <c r="I1766" t="inlineStr">
        <is>
          <t>1</t>
        </is>
      </c>
      <c r="J1766" t="inlineStr"/>
      <c r="K1766" t="inlineStr"/>
      <c r="L1766" t="inlineStr"/>
      <c r="M1766" t="inlineStr"/>
      <c r="N1766" t="inlineStr"/>
      <c r="O1766">
        <f>(1-Summary!$B$11)*T1766+Summary!$B$11*V1766</f>
        <v/>
      </c>
      <c r="P1766">
        <f>IF(B1792=0,0,O1766/B1792)</f>
        <v/>
      </c>
      <c r="Q1766">
        <f>IFERROR(1/IF(Inputs!$B$39="pvp",15,MAX(0.1,Skills!D13-IF(TRUE=TRUE,Inputs!$B$33,0))),0)</f>
        <v/>
      </c>
      <c r="R1766">
        <f>IF(AND(Inputs!$B$39&lt;&gt;"pvp",Inputs!$B$44&gt;0),IF(Inputs!$B$44&lt;=0,0,(INT(Inputs!$B$44/IF(Inputs!$B$39="pvp",15,MAX(0.1,Skills!D13-IF(TRUE=TRUE,Inputs!$B$33,0))))+1)),0)</f>
        <v/>
      </c>
      <c r="S1766">
        <f>IFERROR(O1766/N1766,0)</f>
        <v/>
      </c>
      <c r="T1766" t="n">
        <v>0</v>
      </c>
      <c r="V1766" t="n">
        <v>0</v>
      </c>
    </row>
    <row r="1767">
      <c r="A1767">
        <f>Skills!A14</f>
        <v/>
      </c>
      <c r="B1767">
        <f>Skills!B14</f>
        <v/>
      </c>
      <c r="C1767">
        <f>Inputs!$B$3&gt;=115</f>
        <v/>
      </c>
      <c r="D1767">
        <f>IF(Skills!C14=1,60+Inputs!$B$26+Inputs!$B$30,IF(Skills!C14=2,90+Inputs!$B$27+Inputs!$B$30,IF(Skills!C14=3,120+Inputs!$B$28+Inputs!$B$30,MAX(0,(Inputs!$B$3-100)*3)+Inputs!$B$29+Inputs!$B$30)))</f>
        <v/>
      </c>
      <c r="E1767">
        <f>INDEX(FactorTable!$B$2:$Y$301, MATCH(ROUND(MIN(300,MAX(1,D1767)),0), FactorTable!$A$2:$A$301,0), Skills!M14+1)</f>
        <v/>
      </c>
      <c r="F1767">
        <f>IF(Skills!N14=TRUE,(Skills!L14/10)*(E1767/1000),Skills!L14/10)+Skills!O14</f>
        <v/>
      </c>
      <c r="G1767">
        <f>Skills!G14*IF(Skills!H14&gt;0,INT(IF(Inputs!$B$39="pvp",MIN(Skills!I14,15),Skills!I14)/Skills!H14+0.000000001),1)</f>
        <v/>
      </c>
      <c r="H1767">
        <f>1-(1-Skills!J14/100)^Skills!K14</f>
        <v/>
      </c>
      <c r="I1767" t="inlineStr">
        <is>
          <t>1</t>
        </is>
      </c>
      <c r="J1767" t="inlineStr"/>
      <c r="K1767" t="inlineStr"/>
      <c r="L1767" t="inlineStr"/>
      <c r="M1767" t="inlineStr"/>
      <c r="N1767" t="inlineStr"/>
      <c r="O1767">
        <f>(1-Summary!$B$11)*T1767+Summary!$B$11*V1767</f>
        <v/>
      </c>
      <c r="P1767">
        <f>IF(B1792=0,0,O1767/B1792)</f>
        <v/>
      </c>
      <c r="Q1767">
        <f>IFERROR(1/IF(Inputs!$B$39="pvp",15,MAX(0.1,Skills!D14-IF(TRUE=TRUE,Inputs!$B$33,0))),0)</f>
        <v/>
      </c>
      <c r="R1767">
        <f>IF(AND(Inputs!$B$39&lt;&gt;"pvp",Inputs!$B$44&gt;0),IF(Inputs!$B$44&lt;=0,0,(INT(Inputs!$B$44/IF(Inputs!$B$39="pvp",15,MAX(0.1,Skills!D14-IF(TRUE=TRUE,Inputs!$B$33,0))))+1)),0)</f>
        <v/>
      </c>
      <c r="S1767">
        <f>IFERROR(O1767/N1767,0)</f>
        <v/>
      </c>
      <c r="T1767" t="n">
        <v>0</v>
      </c>
      <c r="V1767" t="n">
        <v>0</v>
      </c>
    </row>
    <row r="1768">
      <c r="A1768">
        <f>Skills!A15</f>
        <v/>
      </c>
      <c r="B1768">
        <f>Skills!B15</f>
        <v/>
      </c>
      <c r="C1768">
        <f>Inputs!$B$3&gt;=66</f>
        <v/>
      </c>
      <c r="D1768">
        <f>IF(Skills!C15=1,60+Inputs!$B$26+Inputs!$B$30,IF(Skills!C15=2,90+Inputs!$B$27+Inputs!$B$30,IF(Skills!C15=3,120+Inputs!$B$28+Inputs!$B$30,MAX(0,(Inputs!$B$3-100)*3)+Inputs!$B$29+Inputs!$B$30)))</f>
        <v/>
      </c>
      <c r="E1768">
        <f>INDEX(FactorTable!$B$2:$Y$301, MATCH(ROUND(MIN(300,MAX(1,D1768)),0), FactorTable!$A$2:$A$301,0), Skills!M15+1)</f>
        <v/>
      </c>
      <c r="F1768">
        <f>IF(Skills!N15=TRUE,(Skills!L15/10)*(E1768/1000),Skills!L15/10)+Skills!O15</f>
        <v/>
      </c>
      <c r="G1768">
        <f>Skills!G15*IF(Skills!H15&gt;0,INT(IF(Inputs!$B$39="pvp",MIN(Skills!I15,15),Skills!I15)/Skills!H15+0.000000001),1)</f>
        <v/>
      </c>
      <c r="H1768">
        <f>1-(1-Skills!J15/100)^Skills!K15</f>
        <v/>
      </c>
      <c r="I1768" t="inlineStr">
        <is>
          <t>1</t>
        </is>
      </c>
      <c r="J1768" t="inlineStr"/>
      <c r="K1768" t="inlineStr"/>
      <c r="L1768" t="inlineStr"/>
      <c r="M1768" t="inlineStr"/>
      <c r="N1768" t="inlineStr"/>
      <c r="O1768">
        <f>(1-Summary!$B$11)*T1768+Summary!$B$11*V1768</f>
        <v/>
      </c>
      <c r="P1768">
        <f>IF(B1792=0,0,O1768/B1792)</f>
        <v/>
      </c>
      <c r="Q1768">
        <f>IFERROR(1/IF(Inputs!$B$39="pvp",15,MAX(0.1,Skills!D15-IF(TRUE=TRUE,Inputs!$B$33,0))),0)</f>
        <v/>
      </c>
      <c r="R1768">
        <f>IF(AND(Inputs!$B$39&lt;&gt;"pvp",Inputs!$B$44&gt;0),IF(Inputs!$B$44&lt;=0,0,(INT(Inputs!$B$44/IF(Inputs!$B$39="pvp",15,MAX(0.1,Skills!D15-IF(TRUE=TRUE,Inputs!$B$33,0))))+1)),0)</f>
        <v/>
      </c>
      <c r="S1768">
        <f>IFERROR(O1768/N1768,0)</f>
        <v/>
      </c>
      <c r="T1768" t="n">
        <v>0</v>
      </c>
      <c r="V1768" t="n">
        <v>0</v>
      </c>
    </row>
    <row r="1769">
      <c r="A1769">
        <f>Skills!A16</f>
        <v/>
      </c>
      <c r="B1769">
        <f>Skills!B16</f>
        <v/>
      </c>
      <c r="C1769">
        <f>Inputs!$B$3&gt;=45</f>
        <v/>
      </c>
      <c r="D1769">
        <f>IF(Skills!C16=1,60+Inputs!$B$26+Inputs!$B$30,IF(Skills!C16=2,90+Inputs!$B$27+Inputs!$B$30,IF(Skills!C16=3,120+Inputs!$B$28+Inputs!$B$30,MAX(0,(Inputs!$B$3-100)*3)+Inputs!$B$29+Inputs!$B$30)))</f>
        <v/>
      </c>
      <c r="E1769">
        <f>INDEX(FactorTable!$B$2:$Y$301, MATCH(ROUND(MIN(300,MAX(1,D1769)),0), FactorTable!$A$2:$A$301,0), Skills!M16+1)</f>
        <v/>
      </c>
      <c r="F1769">
        <f>IF(Skills!N16=TRUE,(Skills!L16/10)*(E1769/1000),Skills!L16/10)+Skills!O16</f>
        <v/>
      </c>
      <c r="G1769">
        <f>Skills!G16*IF(Skills!H16&gt;0,INT(IF(Inputs!$B$39="pvp",MIN(Skills!I16,15),Skills!I16)/Skills!H16+0.000000001),1)</f>
        <v/>
      </c>
      <c r="H1769">
        <f>1-(1-Skills!J16/100)^Skills!K16</f>
        <v/>
      </c>
      <c r="I1769" t="inlineStr">
        <is>
          <t>1</t>
        </is>
      </c>
      <c r="J1769" t="inlineStr"/>
      <c r="K1769" t="inlineStr"/>
      <c r="L1769" t="inlineStr"/>
      <c r="M1769" t="inlineStr"/>
      <c r="N1769" t="inlineStr"/>
      <c r="O1769">
        <f>(1-Summary!$B$11)*T1769+Summary!$B$11*V1769</f>
        <v/>
      </c>
      <c r="P1769">
        <f>IF(B1792=0,0,O1769/B1792)</f>
        <v/>
      </c>
      <c r="Q1769">
        <f>IFERROR(1/IF(Inputs!$B$39="pvp",15,MAX(0.1,Skills!D16-IF(TRUE=TRUE,Inputs!$B$33,0))),0)</f>
        <v/>
      </c>
      <c r="R1769">
        <f>IF(AND(Inputs!$B$39&lt;&gt;"pvp",Inputs!$B$44&gt;0),IF(Inputs!$B$44&lt;=0,0,(INT(Inputs!$B$44/IF(Inputs!$B$39="pvp",15,MAX(0.1,Skills!D16-IF(TRUE=TRUE,Inputs!$B$33,0))))+1)),0)</f>
        <v/>
      </c>
      <c r="S1769">
        <f>IFERROR(O1769/N1769,0)</f>
        <v/>
      </c>
      <c r="T1769" t="n">
        <v>0</v>
      </c>
      <c r="V1769" t="n">
        <v>0</v>
      </c>
    </row>
    <row r="1770">
      <c r="A1770">
        <f>Skills!A17</f>
        <v/>
      </c>
      <c r="B1770">
        <f>Skills!B17</f>
        <v/>
      </c>
      <c r="C1770">
        <f>Inputs!$B$3&gt;=35</f>
        <v/>
      </c>
      <c r="D1770">
        <f>IF(Skills!C17=1,60+Inputs!$B$26+Inputs!$B$30,IF(Skills!C17=2,90+Inputs!$B$27+Inputs!$B$30,IF(Skills!C17=3,120+Inputs!$B$28+Inputs!$B$30,MAX(0,(Inputs!$B$3-100)*3)+Inputs!$B$29+Inputs!$B$30)))</f>
        <v/>
      </c>
      <c r="E1770">
        <f>INDEX(FactorTable!$B$2:$Y$301, MATCH(ROUND(MIN(300,MAX(1,D1770)),0), FactorTable!$A$2:$A$301,0), Skills!M17+1)</f>
        <v/>
      </c>
      <c r="F1770">
        <f>IF(Skills!N17=TRUE,(Skills!L17/10)*(E1770/1000),Skills!L17/10)+Skills!O17</f>
        <v/>
      </c>
      <c r="G1770">
        <f>Skills!G17*IF(Skills!H17&gt;0,INT(IF(Inputs!$B$39="pvp",MIN(Skills!I17,15),Skills!I17)/Skills!H17+0.000000001),1)</f>
        <v/>
      </c>
      <c r="H1770">
        <f>1-(1-Skills!J17/100)^Skills!K17</f>
        <v/>
      </c>
      <c r="I1770" t="inlineStr">
        <is>
          <t>1</t>
        </is>
      </c>
      <c r="J1770" t="inlineStr"/>
      <c r="K1770" t="inlineStr"/>
      <c r="L1770" t="inlineStr"/>
      <c r="M1770" t="inlineStr"/>
      <c r="N1770" t="inlineStr"/>
      <c r="O1770">
        <f>(1-Summary!$B$11)*T1770+Summary!$B$11*V1770</f>
        <v/>
      </c>
      <c r="P1770">
        <f>IF(B1792=0,0,O1770/B1792)</f>
        <v/>
      </c>
      <c r="Q1770">
        <f>IFERROR(1/IF(Inputs!$B$39="pvp",15,MAX(0.1,Skills!D17-IF(TRUE=TRUE,Inputs!$B$33,0))),0)</f>
        <v/>
      </c>
      <c r="R1770">
        <f>IF(AND(Inputs!$B$39&lt;&gt;"pvp",Inputs!$B$44&gt;0),IF(Inputs!$B$44&lt;=0,0,(INT(Inputs!$B$44/IF(Inputs!$B$39="pvp",15,MAX(0.1,Skills!D17-IF(TRUE=TRUE,Inputs!$B$33,0))))+1)),0)</f>
        <v/>
      </c>
      <c r="S1770">
        <f>IFERROR(O1770/N1770,0)</f>
        <v/>
      </c>
      <c r="T1770" t="n">
        <v>0</v>
      </c>
      <c r="V1770" t="n">
        <v>0</v>
      </c>
    </row>
    <row r="1771">
      <c r="A1771">
        <f>Skills!A18</f>
        <v/>
      </c>
      <c r="B1771">
        <f>Skills!B18</f>
        <v/>
      </c>
      <c r="C1771">
        <f>Inputs!$B$3&gt;=72</f>
        <v/>
      </c>
      <c r="D1771">
        <f>IF(Skills!C18=1,60+Inputs!$B$26+Inputs!$B$30,IF(Skills!C18=2,90+Inputs!$B$27+Inputs!$B$30,IF(Skills!C18=3,120+Inputs!$B$28+Inputs!$B$30,MAX(0,(Inputs!$B$3-100)*3)+Inputs!$B$29+Inputs!$B$30)))</f>
        <v/>
      </c>
      <c r="E1771">
        <f>INDEX(FactorTable!$B$2:$Y$301, MATCH(ROUND(MIN(300,MAX(1,D1771)),0), FactorTable!$A$2:$A$301,0), Skills!M18+1)</f>
        <v/>
      </c>
      <c r="F1771">
        <f>IF(Skills!N18=TRUE,(Skills!L18/10)*(E1771/1000),Skills!L18/10)+Skills!O18</f>
        <v/>
      </c>
      <c r="G1771">
        <f>Skills!G18*IF(Skills!H18&gt;0,INT(IF(Inputs!$B$39="pvp",MIN(Skills!I18,15),Skills!I18)/Skills!H18+0.000000001),1)</f>
        <v/>
      </c>
      <c r="H1771">
        <f>1-(1-Skills!J18/100)^Skills!K18</f>
        <v/>
      </c>
      <c r="I1771" t="inlineStr">
        <is>
          <t>1</t>
        </is>
      </c>
      <c r="J1771" t="inlineStr"/>
      <c r="K1771" t="inlineStr"/>
      <c r="L1771" t="inlineStr"/>
      <c r="M1771" t="inlineStr"/>
      <c r="N1771" t="inlineStr"/>
      <c r="O1771">
        <f>(1-Summary!$B$11)*T1771+Summary!$B$11*V1771</f>
        <v/>
      </c>
      <c r="P1771">
        <f>IF(B1792=0,0,O1771/B1792)</f>
        <v/>
      </c>
      <c r="Q1771">
        <f>IFERROR(1/IF(Inputs!$B$39="pvp",15,MAX(0.1,Skills!D18-IF(TRUE=TRUE,Inputs!$B$33,0))),0)</f>
        <v/>
      </c>
      <c r="R1771">
        <f>IF(AND(Inputs!$B$39&lt;&gt;"pvp",Inputs!$B$44&gt;0),IF(Inputs!$B$44&lt;=0,0,(INT(Inputs!$B$44/IF(Inputs!$B$39="pvp",15,MAX(0.1,Skills!D18-IF(TRUE=TRUE,Inputs!$B$33,0))))+1)),0)</f>
        <v/>
      </c>
      <c r="S1771">
        <f>IFERROR(O1771/N1771,0)</f>
        <v/>
      </c>
      <c r="T1771" t="n">
        <v>0</v>
      </c>
      <c r="V1771" t="n">
        <v>0</v>
      </c>
    </row>
    <row r="1772">
      <c r="A1772">
        <f>Skills!A19</f>
        <v/>
      </c>
      <c r="B1772">
        <f>Skills!B19</f>
        <v/>
      </c>
      <c r="C1772">
        <f>Inputs!$B$3&gt;=72</f>
        <v/>
      </c>
      <c r="D1772">
        <f>IF(Skills!C19=1,60+Inputs!$B$26+Inputs!$B$30,IF(Skills!C19=2,90+Inputs!$B$27+Inputs!$B$30,IF(Skills!C19=3,120+Inputs!$B$28+Inputs!$B$30,MAX(0,(Inputs!$B$3-100)*3)+Inputs!$B$29+Inputs!$B$30)))</f>
        <v/>
      </c>
      <c r="E1772">
        <f>INDEX(FactorTable!$B$2:$Y$301, MATCH(ROUND(MIN(300,MAX(1,D1772)),0), FactorTable!$A$2:$A$301,0), Skills!M19+1)</f>
        <v/>
      </c>
      <c r="F1772">
        <f>IF(Skills!N19=TRUE,(Skills!L19/10)*(E1772/1000),Skills!L19/10)+Skills!O19</f>
        <v/>
      </c>
      <c r="G1772">
        <f>Skills!G19*IF(Skills!H19&gt;0,INT(IF(Inputs!$B$39="pvp",MIN(Skills!I19,15),Skills!I19)/Skills!H19+0.000000001),1)</f>
        <v/>
      </c>
      <c r="H1772">
        <f>1-(1-Skills!J19/100)^Skills!K19</f>
        <v/>
      </c>
      <c r="I1772" t="inlineStr">
        <is>
          <t>1</t>
        </is>
      </c>
      <c r="J1772" t="inlineStr"/>
      <c r="K1772" t="inlineStr"/>
      <c r="L1772" t="inlineStr"/>
      <c r="M1772" t="inlineStr"/>
      <c r="N1772" t="inlineStr"/>
      <c r="O1772">
        <f>(1-Summary!$B$11)*T1772+Summary!$B$11*V1772</f>
        <v/>
      </c>
      <c r="P1772">
        <f>IF(B1792=0,0,O1772/B1792)</f>
        <v/>
      </c>
      <c r="Q1772">
        <f>IFERROR(1/IF(Inputs!$B$39="pvp",15,MAX(0.1,Skills!D19-IF(TRUE=TRUE,Inputs!$B$33,0))),0)</f>
        <v/>
      </c>
      <c r="R1772">
        <f>IF(AND(Inputs!$B$39&lt;&gt;"pvp",Inputs!$B$44&gt;0),IF(Inputs!$B$44&lt;=0,0,(INT(Inputs!$B$44/IF(Inputs!$B$39="pvp",15,MAX(0.1,Skills!D19-IF(TRUE=TRUE,Inputs!$B$33,0))))+1)),0)</f>
        <v/>
      </c>
      <c r="S1772">
        <f>IFERROR(O1772/N1772,0)</f>
        <v/>
      </c>
      <c r="T1772" t="n">
        <v>0</v>
      </c>
      <c r="V1772" t="n">
        <v>0</v>
      </c>
    </row>
    <row r="1773">
      <c r="A1773">
        <f>Skills!A20</f>
        <v/>
      </c>
      <c r="B1773">
        <f>Skills!B20</f>
        <v/>
      </c>
      <c r="C1773">
        <f>TRUE</f>
        <v/>
      </c>
      <c r="D1773">
        <f>IF(Skills!C20=1,60+Inputs!$B$26+Inputs!$B$30,IF(Skills!C20=2,90+Inputs!$B$27+Inputs!$B$30,IF(Skills!C20=3,120+Inputs!$B$28+Inputs!$B$30,MAX(0,(Inputs!$B$3-100)*3)+Inputs!$B$29+Inputs!$B$30)))</f>
        <v/>
      </c>
      <c r="E1773">
        <f>INDEX(FactorTable!$B$2:$Y$301, MATCH(ROUND(MIN(300,MAX(1,D1773)),0), FactorTable!$A$2:$A$301,0), Skills!M20+1)</f>
        <v/>
      </c>
      <c r="F1773">
        <f>IF(Skills!N20=TRUE,(Skills!L20/10)*(E1773/1000),Skills!L20/10)+Skills!O20</f>
        <v/>
      </c>
      <c r="G1773">
        <f>Skills!G20*IF(Skills!H20&gt;0,INT(IF(Inputs!$B$39="pvp",MIN(Skills!I20,15),Skills!I20)/Skills!H20+0.000000001),1)</f>
        <v/>
      </c>
      <c r="H1773">
        <f>1-(1-Skills!J20/100)^Skills!K20</f>
        <v/>
      </c>
      <c r="I1773" t="inlineStr">
        <is>
          <t>1</t>
        </is>
      </c>
      <c r="J1773" t="inlineStr"/>
      <c r="K1773" t="inlineStr"/>
      <c r="L1773" t="inlineStr"/>
      <c r="M1773" t="inlineStr"/>
      <c r="N1773" t="inlineStr"/>
      <c r="O1773">
        <f>(1-Summary!$B$11)*T1773+Summary!$B$11*V1773</f>
        <v/>
      </c>
      <c r="P1773">
        <f>IF(B1792=0,0,O1773/B1792)</f>
        <v/>
      </c>
      <c r="Q1773">
        <f>IFERROR(1/IF(Inputs!$B$39="pvp",15,MAX(0.1,Skills!D20-IF(TRUE=TRUE,Inputs!$B$33,0))),0)</f>
        <v/>
      </c>
      <c r="R1773">
        <f>IF(AND(Inputs!$B$39&lt;&gt;"pvp",Inputs!$B$44&gt;0),IF(Inputs!$B$44&lt;=0,0,(INT(Inputs!$B$44/IF(Inputs!$B$39="pvp",15,MAX(0.1,Skills!D20-IF(TRUE=TRUE,Inputs!$B$33,0))))+1)),0)</f>
        <v/>
      </c>
      <c r="S1773">
        <f>IFERROR(O1773/N1773,0)</f>
        <v/>
      </c>
      <c r="T1773" t="n">
        <v>0</v>
      </c>
      <c r="V1773" t="n">
        <v>0</v>
      </c>
    </row>
    <row r="1774">
      <c r="A1774">
        <f>Skills!A21</f>
        <v/>
      </c>
      <c r="B1774">
        <f>Skills!B21</f>
        <v/>
      </c>
      <c r="C1774">
        <f>Inputs!$B$3&gt;=33</f>
        <v/>
      </c>
      <c r="D1774">
        <f>IF(Skills!C21=1,60+Inputs!$B$26+Inputs!$B$30,IF(Skills!C21=2,90+Inputs!$B$27+Inputs!$B$30,IF(Skills!C21=3,120+Inputs!$B$28+Inputs!$B$30,MAX(0,(Inputs!$B$3-100)*3)+Inputs!$B$29+Inputs!$B$30)))</f>
        <v/>
      </c>
      <c r="E1774">
        <f>INDEX(FactorTable!$B$2:$Y$301, MATCH(ROUND(MIN(300,MAX(1,D1774)),0), FactorTable!$A$2:$A$301,0), Skills!M21+1)</f>
        <v/>
      </c>
      <c r="F1774">
        <f>IF(Skills!N21=TRUE,(Skills!L21/10)*(E1774/1000),Skills!L21/10)+Skills!O21</f>
        <v/>
      </c>
      <c r="G1774">
        <f>Skills!G21*IF(Skills!H21&gt;0,INT(IF(Inputs!$B$39="pvp",MIN(Skills!I21,15),Skills!I21)/Skills!H21+0.000000001),1)</f>
        <v/>
      </c>
      <c r="H1774">
        <f>1-(1-Skills!J21/100)^Skills!K21</f>
        <v/>
      </c>
      <c r="I1774" t="inlineStr">
        <is>
          <t>1</t>
        </is>
      </c>
      <c r="J1774" t="inlineStr"/>
      <c r="K1774" t="inlineStr"/>
      <c r="L1774" t="inlineStr"/>
      <c r="M1774" t="inlineStr"/>
      <c r="N1774" t="inlineStr"/>
      <c r="O1774">
        <f>(1-Summary!$B$11)*T1774+Summary!$B$11*V1774</f>
        <v/>
      </c>
      <c r="P1774">
        <f>IF(B1792=0,0,O1774/B1792)</f>
        <v/>
      </c>
      <c r="Q1774" t="n">
        <v>0</v>
      </c>
      <c r="R1774" t="n">
        <v>0</v>
      </c>
      <c r="S1774">
        <f>IFERROR(O1774/N1774,0)</f>
        <v/>
      </c>
      <c r="T1774" t="n">
        <v>0</v>
      </c>
      <c r="V1774" t="n">
        <v>0</v>
      </c>
    </row>
    <row r="1775">
      <c r="A1775">
        <f>Skills!A22</f>
        <v/>
      </c>
      <c r="B1775">
        <f>Skills!B22</f>
        <v/>
      </c>
      <c r="C1775">
        <f>Inputs!$B$3&gt;=43</f>
        <v/>
      </c>
      <c r="D1775">
        <f>IF(Skills!C22=1,60+Inputs!$B$26+Inputs!$B$30,IF(Skills!C22=2,90+Inputs!$B$27+Inputs!$B$30,IF(Skills!C22=3,120+Inputs!$B$28+Inputs!$B$30,MAX(0,(Inputs!$B$3-100)*3)+Inputs!$B$29+Inputs!$B$30)))</f>
        <v/>
      </c>
      <c r="E1775">
        <f>INDEX(FactorTable!$B$2:$Y$301, MATCH(ROUND(MIN(300,MAX(1,D1775)),0), FactorTable!$A$2:$A$301,0), Skills!M22+1)</f>
        <v/>
      </c>
      <c r="F1775">
        <f>IF(Skills!N22=TRUE,(Skills!L22/10)*(E1775/1000),Skills!L22/10)+Skills!O22</f>
        <v/>
      </c>
      <c r="G1775">
        <f>Skills!G22*IF(Skills!H22&gt;0,INT(IF(Inputs!$B$39="pvp",MIN(Skills!I22,15),Skills!I22)/Skills!H22+0.000000001),1)</f>
        <v/>
      </c>
      <c r="H1775">
        <f>1-(1-Skills!J22/100)^Skills!K22</f>
        <v/>
      </c>
      <c r="I1775" t="inlineStr">
        <is>
          <t>1</t>
        </is>
      </c>
      <c r="J1775" t="inlineStr"/>
      <c r="K1775" t="inlineStr"/>
      <c r="L1775" t="inlineStr"/>
      <c r="M1775" t="inlineStr"/>
      <c r="N1775" t="inlineStr"/>
      <c r="O1775">
        <f>(1-Summary!$B$11)*T1775+Summary!$B$11*V1775</f>
        <v/>
      </c>
      <c r="P1775">
        <f>IF(B1792=0,0,O1775/B1792)</f>
        <v/>
      </c>
      <c r="Q1775" t="n">
        <v>0</v>
      </c>
      <c r="R1775" t="n">
        <v>0</v>
      </c>
      <c r="S1775">
        <f>IFERROR(O1775/N1775,0)</f>
        <v/>
      </c>
      <c r="T1775" t="n">
        <v>0</v>
      </c>
      <c r="V1775" t="n">
        <v>0</v>
      </c>
    </row>
    <row r="1776">
      <c r="A1776">
        <f>Skills!A23</f>
        <v/>
      </c>
      <c r="B1776">
        <f>Skills!B23</f>
        <v/>
      </c>
      <c r="C1776">
        <f>Inputs!$B$3&gt;=120</f>
        <v/>
      </c>
      <c r="D1776">
        <f>IF(Skills!C23=1,60+Inputs!$B$26+Inputs!$B$30,IF(Skills!C23=2,90+Inputs!$B$27+Inputs!$B$30,IF(Skills!C23=3,120+Inputs!$B$28+Inputs!$B$30,MAX(0,(Inputs!$B$3-100)*3)+Inputs!$B$29+Inputs!$B$30)))</f>
        <v/>
      </c>
      <c r="E1776">
        <f>INDEX(FactorTable!$B$2:$Y$301, MATCH(ROUND(MIN(300,MAX(1,D1776)),0), FactorTable!$A$2:$A$301,0), Skills!M23+1)</f>
        <v/>
      </c>
      <c r="F1776">
        <f>IF(Skills!N23=TRUE,(Skills!L23/10)*(E1776/1000),Skills!L23/10)+Skills!O23</f>
        <v/>
      </c>
      <c r="G1776">
        <f>Skills!G23*IF(Skills!H23&gt;0,INT(IF(Inputs!$B$39="pvp",MIN(Skills!I23,15),Skills!I23)/Skills!H23+0.000000001),1)</f>
        <v/>
      </c>
      <c r="H1776">
        <f>1-(1-Skills!J23/100)^Skills!K23</f>
        <v/>
      </c>
      <c r="I1776" t="inlineStr">
        <is>
          <t>1</t>
        </is>
      </c>
      <c r="J1776" t="inlineStr"/>
      <c r="K1776" t="inlineStr"/>
      <c r="L1776" t="inlineStr"/>
      <c r="M1776" t="inlineStr"/>
      <c r="N1776" t="inlineStr"/>
      <c r="O1776">
        <f>(1-Summary!$B$11)*T1776+Summary!$B$11*V1776</f>
        <v/>
      </c>
      <c r="P1776">
        <f>IF(B1792=0,0,O1776/B1792)</f>
        <v/>
      </c>
      <c r="Q1776" t="n">
        <v>0</v>
      </c>
      <c r="R1776" t="n">
        <v>0</v>
      </c>
      <c r="S1776">
        <f>IFERROR(O1776/N1776,0)</f>
        <v/>
      </c>
      <c r="T1776" t="n">
        <v>0</v>
      </c>
      <c r="V1776" t="n">
        <v>0</v>
      </c>
    </row>
    <row r="1777">
      <c r="A1777">
        <f>Skills!A24</f>
        <v/>
      </c>
      <c r="B1777">
        <f>Skills!B24</f>
        <v/>
      </c>
      <c r="C1777">
        <f>Inputs!$B$3&gt;=120</f>
        <v/>
      </c>
      <c r="D1777">
        <f>IF(Skills!C24=1,60+Inputs!$B$26+Inputs!$B$30,IF(Skills!C24=2,90+Inputs!$B$27+Inputs!$B$30,IF(Skills!C24=3,120+Inputs!$B$28+Inputs!$B$30,MAX(0,(Inputs!$B$3-100)*3)+Inputs!$B$29+Inputs!$B$30)))</f>
        <v/>
      </c>
      <c r="E1777">
        <f>INDEX(FactorTable!$B$2:$Y$301, MATCH(ROUND(MIN(300,MAX(1,D1777)),0), FactorTable!$A$2:$A$301,0), Skills!M24+1)</f>
        <v/>
      </c>
      <c r="F1777">
        <f>IF(Skills!N24=TRUE,(Skills!L24/10)*(E1777/1000),Skills!L24/10)+Skills!O24</f>
        <v/>
      </c>
      <c r="G1777">
        <f>Skills!G24*IF(Skills!H24&gt;0,INT(IF(Inputs!$B$39="pvp",MIN(Skills!I24,15),Skills!I24)/Skills!H24+0.000000001),1)</f>
        <v/>
      </c>
      <c r="H1777">
        <f>1-(1-Skills!J24/100)^Skills!K24</f>
        <v/>
      </c>
      <c r="I1777" t="inlineStr">
        <is>
          <t>1</t>
        </is>
      </c>
      <c r="J1777" t="inlineStr"/>
      <c r="K1777" t="inlineStr"/>
      <c r="L1777" t="inlineStr"/>
      <c r="M1777" t="inlineStr"/>
      <c r="N1777" t="inlineStr"/>
      <c r="O1777">
        <f>(1-Summary!$B$11)*T1777+Summary!$B$11*V1777</f>
        <v/>
      </c>
      <c r="P1777">
        <f>IF(B1792=0,0,O1777/B1792)</f>
        <v/>
      </c>
      <c r="Q1777" t="n">
        <v>0</v>
      </c>
      <c r="R1777" t="n">
        <v>0</v>
      </c>
      <c r="S1777">
        <f>IFERROR(O1777/N1777,0)</f>
        <v/>
      </c>
      <c r="T1777" t="n">
        <v>0</v>
      </c>
      <c r="V1777" t="n">
        <v>0</v>
      </c>
    </row>
    <row r="1778">
      <c r="A1778">
        <f>Skills!A25</f>
        <v/>
      </c>
      <c r="B1778">
        <f>Skills!B25</f>
        <v/>
      </c>
      <c r="C1778">
        <f>Inputs!$B$3&gt;=125</f>
        <v/>
      </c>
      <c r="D1778">
        <f>IF(Skills!C25=1,60+Inputs!$B$26+Inputs!$B$30,IF(Skills!C25=2,90+Inputs!$B$27+Inputs!$B$30,IF(Skills!C25=3,120+Inputs!$B$28+Inputs!$B$30,MAX(0,(Inputs!$B$3-100)*3)+Inputs!$B$29+Inputs!$B$30)))</f>
        <v/>
      </c>
      <c r="E1778">
        <f>INDEX(FactorTable!$B$2:$Y$301, MATCH(ROUND(MIN(300,MAX(1,D1778)),0), FactorTable!$A$2:$A$301,0), Skills!M25+1)</f>
        <v/>
      </c>
      <c r="F1778">
        <f>IF(Skills!N25=TRUE,(Skills!L25/10)*(E1778/1000),Skills!L25/10)+Skills!O25</f>
        <v/>
      </c>
      <c r="G1778">
        <f>Skills!G25*IF(Skills!H25&gt;0,INT(IF(Inputs!$B$39="pvp",MIN(Skills!I25,15),Skills!I25)/Skills!H25+0.000000001),1)</f>
        <v/>
      </c>
      <c r="H1778">
        <f>1-(1-Skills!J25/100)^Skills!K25</f>
        <v/>
      </c>
      <c r="I1778" t="inlineStr">
        <is>
          <t>1</t>
        </is>
      </c>
      <c r="J1778" t="inlineStr"/>
      <c r="K1778" t="inlineStr"/>
      <c r="L1778" t="inlineStr"/>
      <c r="M1778" t="inlineStr"/>
      <c r="N1778" t="inlineStr"/>
      <c r="O1778">
        <f>(1-Summary!$B$11)*T1778+Summary!$B$11*V1778</f>
        <v/>
      </c>
      <c r="P1778">
        <f>IF(B1792=0,0,O1778/B1792)</f>
        <v/>
      </c>
      <c r="Q1778" t="n">
        <v>0</v>
      </c>
      <c r="R1778" t="n">
        <v>0</v>
      </c>
      <c r="S1778">
        <f>IFERROR(O1778/N1778,0)</f>
        <v/>
      </c>
      <c r="T1778" t="n">
        <v>0</v>
      </c>
      <c r="V1778" t="n">
        <v>0</v>
      </c>
    </row>
    <row r="1779">
      <c r="A1779">
        <f>Skills!A26</f>
        <v/>
      </c>
      <c r="B1779">
        <f>Skills!B26</f>
        <v/>
      </c>
      <c r="C1779">
        <f>Inputs!$B$3&gt;=107</f>
        <v/>
      </c>
      <c r="D1779">
        <f>IF(Skills!C26=1,60+Inputs!$B$26+Inputs!$B$30,IF(Skills!C26=2,90+Inputs!$B$27+Inputs!$B$30,IF(Skills!C26=3,120+Inputs!$B$28+Inputs!$B$30,MAX(0,(Inputs!$B$3-100)*3)+Inputs!$B$29+Inputs!$B$30)))</f>
        <v/>
      </c>
      <c r="E1779">
        <f>INDEX(FactorTable!$B$2:$Y$301, MATCH(ROUND(MIN(300,MAX(1,D1779)),0), FactorTable!$A$2:$A$301,0), Skills!M26+1)</f>
        <v/>
      </c>
      <c r="F1779">
        <f>IF(Skills!N26=TRUE,(Skills!L26/10)*(E1779/1000),Skills!L26/10)+Skills!O26</f>
        <v/>
      </c>
      <c r="G1779">
        <f>Skills!G26*IF(Skills!H26&gt;0,INT(IF(Inputs!$B$39="pvp",MIN(Skills!I26,15),Skills!I26)/Skills!H26+0.000000001),1)</f>
        <v/>
      </c>
      <c r="H1779">
        <f>1-(1-Skills!J26/100)^Skills!K26</f>
        <v/>
      </c>
      <c r="I1779" t="inlineStr">
        <is>
          <t>1</t>
        </is>
      </c>
      <c r="J1779" t="inlineStr"/>
      <c r="K1779" t="inlineStr"/>
      <c r="L1779" t="inlineStr"/>
      <c r="M1779" t="inlineStr"/>
      <c r="N1779" t="inlineStr"/>
      <c r="O1779">
        <f>(1-Summary!$B$11)*T1779+Summary!$B$11*V1779</f>
        <v/>
      </c>
      <c r="P1779">
        <f>IF(B1792=0,0,O1779/B1792)</f>
        <v/>
      </c>
      <c r="Q1779" t="n">
        <v>0</v>
      </c>
      <c r="R1779" t="n">
        <v>0</v>
      </c>
      <c r="S1779">
        <f>IFERROR(O1779/N1779,0)</f>
        <v/>
      </c>
      <c r="T1779" t="n">
        <v>0</v>
      </c>
      <c r="V1779" t="n">
        <v>0</v>
      </c>
    </row>
    <row r="1781">
      <c r="A1781" t="inlineStr">
        <is>
          <t>Attack% Bucket Multiplier</t>
        </is>
      </c>
      <c r="B1781">
        <f>(1+(((C1766=TRUE)*F1766*IF(AND(Inputs!$B$39&lt;&gt;"pvp",Inputs!$B$44&gt;0),(((R1766-1)*MIN((Skills!T13*(1+Inputs!$B$35/100)),(1/Q1766))+MIN((Skills!T13*(1+Inputs!$B$35/100)),MAX(0,Inputs!$B$44-((R1766-1)*(1/Q1766)))))/Inputs!$B$44),IF(Inputs!$B$39="pvp",MIN((Skills!T13*(1+Inputs!$B$35/100)),15)/15,MIN(1,(Skills!T13*(1+Inputs!$B$35/100))/(1/Q1766)))))+((C1767=TRUE)*F1767*IF(AND(Inputs!$B$39&lt;&gt;"pvp",Inputs!$B$44&gt;0),(((R1767-1)*MIN((Skills!T14*(1+Inputs!$B$35/100)),(1/Q1767))+MIN((Skills!T14*(1+Inputs!$B$35/100)),MAX(0,Inputs!$B$44-((R1767-1)*(1/Q1767)))))/Inputs!$B$44),IF(Inputs!$B$39="pvp",MIN((Skills!T14*(1+Inputs!$B$35/100)),15)/15,MIN(1,(Skills!T14*(1+Inputs!$B$35/100))/(1/Q1767)))))+((C1768=TRUE)*F1768*IF(AND(Inputs!$B$39&lt;&gt;"pvp",Inputs!$B$44&gt;0),(((R1768-1)*MIN((Skills!T15*(1+Inputs!$B$35/100)),(1/Q1768))+MIN((Skills!T15*(1+Inputs!$B$35/100)),MAX(0,Inputs!$B$44-((R1768-1)*(1/Q1768)))))/Inputs!$B$44),IF(Inputs!$B$39="pvp",MIN((Skills!T15*(1+Inputs!$B$35/100)),15)/15,MIN(1,(Skills!T15*(1+Inputs!$B$35/100))/(1/Q1768)))))+((C1769=TRUE)*F1769*IF(AND(Inputs!$B$39&lt;&gt;"pvp",Inputs!$B$44&gt;0),(((R1769-1)*MIN((Skills!T16*(1+Inputs!$B$35/100)),(1/Q1769))+MIN((Skills!T16*(1+Inputs!$B$35/100)),MAX(0,Inputs!$B$44-((R1769-1)*(1/Q1769)))))/Inputs!$B$44),IF(Inputs!$B$39="pvp",MIN((Skills!T16*(1+Inputs!$B$35/100)),15)/15,MIN(1,(Skills!T16*(1+Inputs!$B$35/100))/(1/Q1769)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1782">
      <c r="A1782" t="inlineStr">
        <is>
          <t>Global Crit Rate Bonus % (Lord of Darkness)</t>
        </is>
      </c>
      <c r="B1782">
        <f>((C1771=TRUE)*F1771*(Skills!J18/100)*IF(AND(Inputs!$B$39&lt;&gt;"pvp",Inputs!$B$44&gt;0),(((R1771-1)*MIN((Skills!T18*(1+Inputs!$B$35/100)),(1/Q1771))+MIN((Skills!T18*(1+Inputs!$B$35/100)),MAX(0,Inputs!$B$44-((R1771-1)*(1/Q1771)))))/Inputs!$B$44),IF(Inputs!$B$39="pvp",MIN((Skills!T18*(1+Inputs!$B$35/100)),15)/15,MIN(1,(Skills!T18*(1+Inputs!$B$35/100))/(1/Q1771)))))</f>
        <v/>
      </c>
    </row>
    <row r="1783">
      <c r="A1783" t="inlineStr">
        <is>
          <t>Attack Speed Buff Bonus %</t>
        </is>
      </c>
      <c r="B1783">
        <f>((C1773=TRUE)*F1773*IF(AND(Inputs!$B$39&lt;&gt;"pvp",Inputs!$B$44&gt;0),(((R1773-1)*MIN((Skills!T20*(1+Inputs!$B$35/100)),(1/Q1773))+MIN((Skills!T20*(1+Inputs!$B$35/100)),MAX(0,Inputs!$B$44-((R1773-1)*(1/Q1773)))))/Inputs!$B$44),IF(Inputs!$B$39="pvp",MIN((Skills!T20*(1+Inputs!$B$35/100)),15)/15,MIN(1,(Skills!T20*(1+Inputs!$B$35/100))/(1/Q1773)))))</f>
        <v/>
      </c>
    </row>
    <row r="1784">
      <c r="A1784" t="inlineStr">
        <is>
          <t>Actions Per Second</t>
        </is>
      </c>
      <c r="B1784">
        <f>1+MIN(150,150*(1-(1-(Inputs!$B$12+((C1774=TRUE)*(F1774-Calc!F21)))/150)*(1-B1783/150)))/100</f>
        <v/>
      </c>
    </row>
    <row r="1785">
      <c r="A1785" t="inlineStr">
        <is>
          <t>Skill + Buff Cast Rate</t>
        </is>
      </c>
      <c r="B1785">
        <f>IF(AND(Inputs!$B$39&lt;&gt;"pvp",Inputs!$B$44&gt;0),SUMPRODUCT((Skills!E2:E26=TRUE)*(C1755:C1779=TRUE)*R1755:R1779*Skills!F2:F26)/Inputs!$B$44,SUMPRODUCT((Skills!E2:E26=TRUE)*(C1755:C1779=TRUE)*Q1755:Q1779*Skills!F2:F26))</f>
        <v/>
      </c>
    </row>
    <row r="1786">
      <c r="A1786" t="inlineStr">
        <is>
          <t>Dark Impale Casts Per Second</t>
        </is>
      </c>
      <c r="B1786">
        <f>MAX(0,B1784-B1785)</f>
        <v/>
      </c>
    </row>
    <row r="1787">
      <c r="A1787" t="inlineStr">
        <is>
          <t>Global Critical Damage Bonus % (Lord of Darkness)</t>
        </is>
      </c>
      <c r="B1787">
        <f>((C1772=TRUE)*F1772*(Skills!J19/100)*IF(AND(Inputs!$B$39&lt;&gt;"pvp",Inputs!$B$44&gt;0),(((R1772-1)*MIN((Skills!T19*(1+Inputs!$B$35/100)),(1/Q1772))+MIN((Skills!T19*(1+Inputs!$B$35/100)),MAX(0,Inputs!$B$44-((R1772-1)*(1/Q1772)))))/Inputs!$B$44),IF(Inputs!$B$39="pvp",MIN((Skills!T19*(1+Inputs!$B$35/100)),15)/15,MIN(1,(Skills!T19*(1+Inputs!$B$35/100))/(1/Q1772)))))</f>
        <v/>
      </c>
    </row>
    <row r="1788">
      <c r="A1788" t="inlineStr">
        <is>
          <t>Global Final Damage Bonus % (unused)</t>
        </is>
      </c>
      <c r="B1788" t="n">
        <v>0</v>
      </c>
    </row>
    <row r="1789">
      <c r="A1789" t="inlineStr">
        <is>
          <t>Buff-Casting Startup Delay (s, fixed-duration only)</t>
        </is>
      </c>
      <c r="B1789">
        <f>IF(AND(Inputs!$B$39&lt;&gt;"pvp",Inputs!$B$44&gt;0),SUMPRODUCT((Skills!T2:T26&gt;0)*(Skills!E2:E26=TRUE)*(C1755:C1779=TRUE))/B1784,0)</f>
        <v/>
      </c>
    </row>
    <row r="1790">
      <c r="A1790" t="inlineStr">
        <is>
          <t>Boss-Only Total DPS (this block's swept value)</t>
        </is>
      </c>
      <c r="B1790">
        <f>SUM(T1755:T1779)</f>
        <v/>
      </c>
    </row>
    <row r="1791">
      <c r="A1791" t="inlineStr">
        <is>
          <t>Normal-Only Total DPS (this block's swept value)</t>
        </is>
      </c>
      <c r="B1791">
        <f>SUM(V1755:V1779)</f>
        <v/>
      </c>
    </row>
    <row r="1792">
      <c r="A1792" s="6" t="inlineStr">
        <is>
          <t>TOTAL DPS</t>
        </is>
      </c>
      <c r="B1792" s="6">
        <f>SUM(O1755:O1779)</f>
        <v/>
      </c>
    </row>
    <row r="1795">
      <c r="A1795" s="6" t="inlineStr">
        <is>
          <t>Stat: Chalice (Equip)</t>
        </is>
      </c>
    </row>
    <row r="1796">
      <c r="A1796" s="5" t="inlineStr">
        <is>
          <t>Key</t>
        </is>
      </c>
      <c r="B1796" s="5" t="inlineStr">
        <is>
          <t>Name</t>
        </is>
      </c>
      <c r="C1796" s="5" t="inlineStr">
        <is>
          <t>Unlocked</t>
        </is>
      </c>
      <c r="D1796" s="5" t="inlineStr">
        <is>
          <t>InputLevel</t>
        </is>
      </c>
      <c r="E1796" s="5" t="inlineStr">
        <is>
          <t>Factor</t>
        </is>
      </c>
      <c r="F1796" s="5" t="inlineStr">
        <is>
          <t>CoefficientPercent</t>
        </is>
      </c>
      <c r="G1796" s="5" t="inlineStr">
        <is>
          <t>EffectiveHits</t>
        </is>
      </c>
      <c r="H1796" s="5" t="inlineStr">
        <is>
          <t>ProcProbability</t>
        </is>
      </c>
      <c r="I1796" s="5" t="inlineStr">
        <is>
          <t>MapleHeroMultiplier</t>
        </is>
      </c>
      <c r="J1796" s="5" t="inlineStr">
        <is>
          <t>BaseDamage</t>
        </is>
      </c>
      <c r="K1796" s="5" t="inlineStr">
        <is>
          <t>BaseHitDamage</t>
        </is>
      </c>
      <c r="L1796" s="5" t="inlineStr">
        <is>
          <t>NonCritAvg</t>
        </is>
      </c>
      <c r="M1796" s="5" t="inlineStr">
        <is>
          <t>CritAvg</t>
        </is>
      </c>
      <c r="N1796" s="5" t="inlineStr">
        <is>
          <t>ExpectedDamage(perHit)</t>
        </is>
      </c>
      <c r="O1796" s="5" t="inlineStr">
        <is>
          <t>DPS</t>
        </is>
      </c>
      <c r="P1796" s="5" t="inlineStr">
        <is>
          <t>% of Total</t>
        </is>
      </c>
      <c r="Q1796" s="5" t="inlineStr">
        <is>
          <t>InvCooldown</t>
        </is>
      </c>
      <c r="R1796" s="5" t="inlineStr">
        <is>
          <t>CastsInFight</t>
        </is>
      </c>
      <c r="S1796" s="5" t="inlineStr">
        <is>
          <t>HitRate(perSec)</t>
        </is>
      </c>
      <c r="U1796" t="inlineStr">
        <is>
          <t>helpers</t>
        </is>
      </c>
    </row>
    <row r="1797">
      <c r="A1797">
        <f>Skills!A2</f>
        <v/>
      </c>
      <c r="B1797">
        <f>Skills!B2</f>
        <v/>
      </c>
      <c r="C1797">
        <f>Inputs!$B$3&gt;=100</f>
        <v/>
      </c>
      <c r="D1797" t="inlineStr"/>
      <c r="E1797" t="inlineStr"/>
      <c r="F1797">
        <f>U1799+Skills!O2</f>
        <v/>
      </c>
      <c r="G1797">
        <f>Skills!G2*IF(Skills!H2&gt;0,INT(IF(Inputs!$B$39="pvp",MIN(Skills!I2,15),Skills!I2)/Skills!H2+0.000000001),1)</f>
        <v/>
      </c>
      <c r="H1797">
        <f>1-(1-Skills!J2/100)^Skills!K2</f>
        <v/>
      </c>
      <c r="I1797" t="inlineStr">
        <is>
          <t>1</t>
        </is>
      </c>
      <c r="J1797">
        <f>((Inputs!$B$6*(1+Inputs!$B$7/100))+(((Inputs!$B$13*(1+Inputs!$B$14/100))-(Inputs!$B$13*(1+Inputs!$B$14/100)))+0.25*(Inputs!$B$15-Inputs!$B$15))*(1+Inputs!$B$7/100))*(F1797/100)</f>
        <v/>
      </c>
      <c r="K1797">
        <f>J1797*(1+(((Inputs!$B$13+IF(Inputs!$B$3&gt;=38,(10*INDEX(FactorTable!$B$2:$Y$301, MATCH(ROUND(MIN(300,MAX(1,Inputs!$B$3)),0), FactorTable!$A$2:$A$301,0), 23)/1000)/100*(Inputs!$B$8*(1+Inputs!$B$9/100)),0))*(1+Inputs!$B$14/100))*0.01+Inputs!$B$15*0.0025)/100)*(1+Inputs!$B$16/100)*(1+Inputs!$B$17/100)*(5000/(6000+Inputs!$B$43*(1-(Inputs!$B$20+0)/100)))*(1+(Inputs!$B$25+((C1820=TRUE)*(F1820-Calc!F25))+((C1821=TRUE)*(F1821-Calc!F26))+B1830)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gt;=100),MIN(100,((Inputs!$B$10+0+B1824+(ArtifactsInput!$M$24-ArtifactsInput!$M$24)*CHOOSE(ArtifactsInput!$N$24+1,10,12,14,16,18,20)+IF(ArtifactsInput!$M$10,CHOOSE(ArtifactsInput!$N$10+1,15,18,21,24,27,30)*(IF(Inputs!$B$39="pvp",MIN(15,15)/15,IF(AND(Inputs!$B$39&lt;&gt;"pvp",Inputs!$B$44&gt;0),MIN(15,Inputs!$B$44)/(Inputs!$B$44),0))),0)))-100),0))*CHOOSE(ArtifactsInput!$N$42+1,0.6,0.72,0.84,0.96,1.08,1.2))),Inputs!$B$19+((C1818=TRUE)*(F1818-Calc!F23))+(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gt;=100),CHOOSE(ArtifactsInput!$N$42+1,40,48,56,64,72,80),0))))/100)*((1+(((C1808=TRUE)*F1808*IF(AND(Inputs!$B$39&lt;&gt;"pvp",Inputs!$B$44&gt;0),(((R1808-1)*MIN((Skills!T13*(1+Inputs!$B$35/100)),(1/Q1808))+MIN((Skills!T13*(1+Inputs!$B$35/100)),MAX(0,Inputs!$B$44-((R1808-1)*(1/Q1808)))))/Inputs!$B$44),IF(Inputs!$B$39="pvp",MIN((Skills!T13*(1+Inputs!$B$35/100)),15)/15,MIN(1,(Skills!T13*(1+Inputs!$B$35/100))/(1/Q1808)))))+((C1809=TRUE)*F1809*IF(AND(Inputs!$B$39&lt;&gt;"pvp",Inputs!$B$44&gt;0),(((R1809-1)*MIN((Skills!T14*(1+Inputs!$B$35/100)),(1/Q1809))+MIN((Skills!T14*(1+Inputs!$B$35/100)),MAX(0,Inputs!$B$44-((R1809-1)*(1/Q1809)))))/Inputs!$B$44),IF(Inputs!$B$39="pvp",MIN((Skills!T14*(1+Inputs!$B$35/100)),15)/15,MIN(1,(Skills!T14*(1+Inputs!$B$35/100))/(1/Q1809)))))+((C1810=TRUE)*F1810*IF(AND(Inputs!$B$39&lt;&gt;"pvp",Inputs!$B$44&gt;0),(((R1810-1)*MIN((Skills!T15*(1+Inputs!$B$35/100)),(1/Q1810))+MIN((Skills!T15*(1+Inputs!$B$35/100)),MAX(0,Inputs!$B$44-((R1810-1)*(1/Q1810)))))/Inputs!$B$44),IF(Inputs!$B$39="pvp",MIN((Skills!T15*(1+Inputs!$B$35/100)),15)/15,MIN(1,(Skills!T15*(1+Inputs!$B$35/100))/(1/Q1810)))))+((C1811=TRUE)*F1811*IF(AND(Inputs!$B$39&lt;&gt;"pvp",Inputs!$B$44&gt;0),(((R1811-1)*MIN((Skills!T16*(1+Inputs!$B$35/100)),(1/Q1811))+MIN((Skills!T16*(1+Inputs!$B$35/100)),MAX(0,Inputs!$B$44-((R1811-1)*(1/Q1811)))))/Inputs!$B$44),IF(Inputs!$B$39="pvp",MIN((Skills!T16*(1+Inputs!$B$35/100)),15)/15,MIN(1,(Skills!T16*(1+Inputs!$B$35/100))/(1/Q1811)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1797)</f>
        <v/>
      </c>
      <c r="L1797">
        <f>K1797*(MIN(Inputs!$B$23+((C1817=TRUE)*(F1817-Calc!F22)),(Inputs!$B$24+((C1819=TRUE)*(F1819-Calc!F24))+(IF(ArtifactsInput!$M$15,CHOOSE(ArtifactsInput!$N$15+1,25,30,35,40,45,50)/100*(Inputs!$B$12-Inputs!$B$12),0))))/100+(Inputs!$B$24+((C1819=TRUE)*(F1819-Calc!F24))+(IF(ArtifactsInput!$M$15,CHOOSE(ArtifactsInput!$N$15+1,25,30,35,40,45,50)/100*(Inputs!$B$12-Inputs!$B$12),0)))/100)/2</f>
        <v/>
      </c>
      <c r="M1797">
        <f>L1797*(1+(Inputs!$B$11+0+B1829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797">
        <f>L1797*(1-MIN((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1797*(MIN((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97">
        <f>(1-Summary!$B$11)*T1797+Summary!$B$11*V1797</f>
        <v/>
      </c>
      <c r="P1797">
        <f>IF(B1834=0,0,O1797/B1834)</f>
        <v/>
      </c>
      <c r="Q1797" t="n">
        <v>0</v>
      </c>
      <c r="R1797" t="n">
        <v>0</v>
      </c>
      <c r="S1797">
        <f>IFERROR(O1797/N1797,0)</f>
        <v/>
      </c>
      <c r="T1797">
        <f>IF(C1797,(Skills!G2*N1797*B1828)*IF(Inputs!$B$39="pvp",1,1+(Inputs!$B$21+0+Skills!P2+((C1812=TRUE)*F1812*IF(AND(Inputs!$B$39&lt;&gt;"pvp",Inputs!$B$44&gt;0),(((R1812-1)*MIN((Skills!T17*(1+Inputs!$B$35/100)),(1/Q1812))+MIN((Skills!T17*(1+Inputs!$B$35/100)),MAX(0,Inputs!$B$44-((R1812-1)*(1/Q1812)))))/Inputs!$B$44),IF(Inputs!$B$39="pvp",MIN((Skills!T17*(1+Inputs!$B$35/100)),15)/15,MIN(1,(Skills!T17*(1+Inputs!$B$35/100))/(1/Q1812)))))+((C1800=TRUE)*IF(Inputs!$B$3&gt;=126,10*MIN(1,15*Q1800),0))+((C1809=TRUE)*IF(Inputs!$B$39="pvp",20,(1-Summary!$B$11)*(20)+Summary!$B$11*(0))*IF(AND(Inputs!$B$39&lt;&gt;"pvp",Inputs!$B$44&gt;0),(((R1809-1)*MIN((Skills!T14*(1+Inputs!$B$35/100)),(1/Q1809))+MIN((Skills!T14*(1+Inputs!$B$35/100)),MAX(0,Inputs!$B$44-((R1809-1)*(1/Q1809)))))/Inputs!$B$44),IF(Inputs!$B$39="pvp",MIN((Skills!T14*(1+Inputs!$B$35/100)),15)/15,MIN(1,(Skills!T14*(1+Inputs!$B$35/100))/(1/Q1809)))))+((C1808=TRUE)*IF(Inputs!$B$3&gt;=82,IF(Inputs!$B$39="pvp",20,(1-Summary!$B$11)*(20)+Summary!$B$11*(0)),0)*IF(AND(Inputs!$B$39&lt;&gt;"pvp",Inputs!$B$44&gt;0),(((R1808-1)*MIN((Skills!T13*(1+Inputs!$B$35/100)),(1/Q1808))+MIN((Skills!T13*(1+Inputs!$B$35/100)),MAX(0,Inputs!$B$44-((R1808-1)*(1/Q1808)))))/Inputs!$B$44),IF(Inputs!$B$39="pvp",MIN((Skills!T13*(1+Inputs!$B$35/100)),15)/15,MIN(1,(Skills!T13*(1+Inputs!$B$35/100))/(1/Q1808)))))+(IF(AND(ArtifactsInput!$M$35,Inputs!$B$4&lt;&gt;"Chapter Hunt"),CHOOSE(ArtifactsInput!$N$35+1,15,18,21,24,27,30)*(1-EXP(-(0.2*B1826)*5)),0)+IF(AND(ArtifactsInput!$M$22,Inputs!$B$4&lt;&gt;"Chapter Hunt"),CHOOSE(ArtifactsInput!$N$22+1,10,12,14,16,18,20)*((0*(((0.15*B1826*5))^0/1)+1*(((0.15*B1826*5))^1/1)+2*(((0.15*B1826*5))^2/2)+3*(((0.15*B1826*5))^3/6)+4*(((0.15*B1826*5))^4/24)+5*(((0.15*B1826*5))^5/120))/((((0.15*B1826*5))^0/1)+(((0.15*B1826*5))^1/1)+(((0.15*B1826*5))^2/2)+(((0.15*B1826*5))^3/6)+(((0.15*B1826*5))^4/24)+(((0.15*B1826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1797*(1-MIN(100,(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1797*(MIN(100,(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1797*(1-MIN(100,(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1797*(MIN(100,(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IF(ArtifactsInput!$M$20,FALSE,TRUE),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97">
        <f>MAX(0,(Inputs!$B$3-100)*3)+Inputs!$B$29+Inputs!$B$30</f>
        <v/>
      </c>
      <c r="V1797">
        <f>IF(C1797,(Skills!G2*N1797*B1828)*IF(Inputs!$B$39="pvp",1,(1+(Inputs!$B$22+Skills!Q2+((C1812=TRUE)*F1812*IF(AND(Inputs!$B$39&lt;&gt;"pvp",Inputs!$B$44&gt;0),(((R1812-1)*MIN((Skills!T17*(1+Inputs!$B$35/100)),(1/Q1812))+MIN((Skills!T17*(1+Inputs!$B$35/100)),MAX(0,Inputs!$B$44-((R1812-1)*(1/Q1812)))))/Inputs!$B$44),IF(Inputs!$B$39="pvp",MIN((Skills!T17*(1+Inputs!$B$35/100)),15)/15,MIN(1,(Skills!T17*(1+Inputs!$B$35/100))/(1/Q1812)))))+((C1800=TRUE)*IF(Inputs!$B$3&gt;=126,10*MIN(1,15*Q1800),0))+((C1809=TRUE)*IF(Inputs!$B$39="pvp",20,(1-Summary!$B$11)*(20)+Summary!$B$11*(0))*IF(AND(Inputs!$B$39&lt;&gt;"pvp",Inputs!$B$44&gt;0),(((R1809-1)*MIN((Skills!T14*(1+Inputs!$B$35/100)),(1/Q1809))+MIN((Skills!T14*(1+Inputs!$B$35/100)),MAX(0,Inputs!$B$44-((R1809-1)*(1/Q1809)))))/Inputs!$B$44),IF(Inputs!$B$39="pvp",MIN((Skills!T14*(1+Inputs!$B$35/100)),15)/15,MIN(1,(Skills!T14*(1+Inputs!$B$35/100))/(1/Q1809)))))+((C1808=TRUE)*IF(Inputs!$B$3&gt;=82,IF(Inputs!$B$39="pvp",20,(1-Summary!$B$11)*(20)+Summary!$B$11*(0)),0)*IF(AND(Inputs!$B$39&lt;&gt;"pvp",Inputs!$B$44&gt;0),(((R1808-1)*MIN((Skills!T13*(1+Inputs!$B$35/100)),(1/Q1808))+MIN((Skills!T13*(1+Inputs!$B$35/100)),MAX(0,Inputs!$B$44-((R1808-1)*(1/Q1808)))))/Inputs!$B$44),IF(Inputs!$B$39="pvp",MIN((Skills!T13*(1+Inputs!$B$35/100)),15)/15,MIN(1,(Skills!T13*(1+Inputs!$B$35/100))/(1/Q1808)))))+(IF(AND(ArtifactsInput!$M$35,Inputs!$B$4&lt;&gt;"Chapter Hunt"),CHOOSE(ArtifactsInput!$N$35+1,15,18,21,24,27,30)*(1-EXP(-(0.2*B1826)*5)),0)+IF(AND(ArtifactsInput!$M$22,Inputs!$B$4&lt;&gt;"Chapter Hunt"),CHOOSE(ArtifactsInput!$N$22+1,10,12,14,16,18,20)*((0*(((0.15*B1826*5))^0/1)+1*(((0.15*B1826*5))^1/1)+2*(((0.15*B1826*5))^2/2)+3*(((0.15*B1826*5))^3/6)+4*(((0.15*B1826*5))^4/24)+5*(((0.15*B1826*5))^5/120))/((((0.15*B1826*5))^0/1)+(((0.15*B1826*5))^1/1)+(((0.15*B1826*5))^2/2)+(((0.15*B1826*5))^3/6)+(((0.15*B1826*5))^4/24)+(((0.15*B1826*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IF(ArtifactsInput!$M$20,FALSE,TRUE),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98">
      <c r="A1798">
        <f>Skills!A3</f>
        <v/>
      </c>
      <c r="B1798">
        <f>Skills!B3</f>
        <v/>
      </c>
      <c r="C1798">
        <f>Inputs!$B$3&gt;=50</f>
        <v/>
      </c>
      <c r="D1798">
        <f>IF(Skills!C3=1,60+Inputs!$B$26+Inputs!$B$30,IF(Skills!C3=2,90+Inputs!$B$27+Inputs!$B$30,IF(Skills!C3=3,120+Inputs!$B$28+Inputs!$B$30,MAX(0,(Inputs!$B$3-100)*3)+Inputs!$B$29+Inputs!$B$30)))</f>
        <v/>
      </c>
      <c r="E1798">
        <f>INDEX(FactorTable!$B$2:$Y$301, MATCH(ROUND(MIN(300,MAX(1,D1798)),0), FactorTable!$A$2:$A$301,0), Skills!M3+1)</f>
        <v/>
      </c>
      <c r="F1798">
        <f>IF(Skills!N3=TRUE,(Skills!L3/10)*(E1798/1000),Skills!L3/10)+Skills!O3</f>
        <v/>
      </c>
      <c r="G1798" t="inlineStr"/>
      <c r="H1798" t="inlineStr"/>
      <c r="I1798" t="inlineStr">
        <is>
          <t>1</t>
        </is>
      </c>
      <c r="J1798" t="inlineStr"/>
      <c r="K1798" t="inlineStr"/>
      <c r="L1798" t="inlineStr"/>
      <c r="M1798" t="inlineStr"/>
      <c r="N1798" t="inlineStr"/>
      <c r="O1798" t="inlineStr"/>
      <c r="P1798" t="inlineStr"/>
      <c r="Q1798" t="inlineStr"/>
      <c r="R1798" t="inlineStr"/>
      <c r="S1798" t="inlineStr"/>
      <c r="U1798">
        <f>INDEX(FactorTable!$B$2:$Y$301, MATCH(ROUND(MIN(300,MAX(1,U1797)),0), FactorTable!$A$2:$A$301,0), 22)</f>
        <v/>
      </c>
    </row>
    <row r="1799">
      <c r="A1799">
        <f>Skills!A4</f>
        <v/>
      </c>
      <c r="B1799">
        <f>Skills!B4</f>
        <v/>
      </c>
      <c r="C1799">
        <f>Inputs!$B$3&gt;=105</f>
        <v/>
      </c>
      <c r="D1799">
        <f>IF(Skills!C4=1,60+Inputs!$B$26+Inputs!$B$30,IF(Skills!C4=2,90+Inputs!$B$27+Inputs!$B$30,IF(Skills!C4=3,120+Inputs!$B$28+Inputs!$B$30,MAX(0,(Inputs!$B$3-100)*3)+Inputs!$B$29+Inputs!$B$30)))</f>
        <v/>
      </c>
      <c r="E1799">
        <f>INDEX(FactorTable!$B$2:$Y$301, MATCH(ROUND(MIN(300,MAX(1,D1799)),0), FactorTable!$A$2:$A$301,0), Skills!M4+1)</f>
        <v/>
      </c>
      <c r="F1799">
        <f>IF(Skills!N4=TRUE,(Skills!L4/10)*(E1799/1000),Skills!L4/10)+Skills!O4</f>
        <v/>
      </c>
      <c r="G1799" t="inlineStr"/>
      <c r="H1799" t="inlineStr"/>
      <c r="I1799" t="inlineStr">
        <is>
          <t>1</t>
        </is>
      </c>
      <c r="J1799" t="inlineStr"/>
      <c r="K1799" t="inlineStr"/>
      <c r="L1799" t="inlineStr"/>
      <c r="M1799" t="inlineStr"/>
      <c r="N1799" t="inlineStr"/>
      <c r="O1799" t="inlineStr"/>
      <c r="P1799" t="inlineStr"/>
      <c r="Q1799" t="inlineStr"/>
      <c r="R1799" t="inlineStr"/>
      <c r="S1799" t="inlineStr"/>
      <c r="U1799">
        <f>290*U1798/1000</f>
        <v/>
      </c>
    </row>
    <row r="1800">
      <c r="A1800">
        <f>Skills!A5</f>
        <v/>
      </c>
      <c r="B1800">
        <f>Skills!B5</f>
        <v/>
      </c>
      <c r="C1800">
        <f>Inputs!$B$3&gt;=117</f>
        <v/>
      </c>
      <c r="D1800">
        <f>IF(Skills!C5=1,60+Inputs!$B$26+Inputs!$B$30,IF(Skills!C5=2,90+Inputs!$B$27+Inputs!$B$30,IF(Skills!C5=3,120+Inputs!$B$28+Inputs!$B$30,MAX(0,(Inputs!$B$3-100)*3)+Inputs!$B$29+Inputs!$B$30)))</f>
        <v/>
      </c>
      <c r="E1800">
        <f>INDEX(FactorTable!$B$2:$Y$301, MATCH(ROUND(MIN(300,MAX(1,D1800)),0), FactorTable!$A$2:$A$301,0), Skills!M5+1)</f>
        <v/>
      </c>
      <c r="F1800">
        <f>IF(Skills!N5=TRUE,(Skills!L5/10)*(E1800/1000),Skills!L5/10)+Skills!O5</f>
        <v/>
      </c>
      <c r="G1800">
        <f>Skills!G5*IF(Skills!H5&gt;0,INT(IF(Inputs!$B$39="pvp",MIN(Skills!I5,15),Skills!I5)/Skills!H5+0.000000001),1)</f>
        <v/>
      </c>
      <c r="H1800">
        <f>1-(1-Skills!J5/100)^Skills!K5</f>
        <v/>
      </c>
      <c r="I1800" t="inlineStr">
        <is>
          <t>1</t>
        </is>
      </c>
      <c r="J1800">
        <f>((Inputs!$B$6*(1+Inputs!$B$7/100))+(((Inputs!$B$13*(1+Inputs!$B$14/100))-(Inputs!$B$13*(1+Inputs!$B$14/100)))+0.25*(Inputs!$B$15-Inputs!$B$15))*(1+Inputs!$B$7/100))*(F1800/100)</f>
        <v/>
      </c>
      <c r="K1800">
        <f>J1800*(1+(((Inputs!$B$13+IF(Inputs!$B$3&gt;=38,(10*INDEX(FactorTable!$B$2:$Y$301, MATCH(ROUND(MIN(300,MAX(1,Inputs!$B$3)),0), FactorTable!$A$2:$A$301,0), 23)/1000)/100*(Inputs!$B$8*(1+Inputs!$B$9/100)),0))*(1+Inputs!$B$14/100))*0.01+Inputs!$B$15*0.0025)/100)*(1+Inputs!$B$16/100)*(1+Inputs!$B$17/100)*(5000/(6000+Inputs!$B$43*(1-(Inputs!$B$20+0)/100)))*(1+(Inputs!$B$25+((C1820=TRUE)*(F1820-Calc!F25))+((C1821=TRUE)*(F1821-Calc!F26))+B1830)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gt;=100),MIN(100,((Inputs!$B$10+0+B1824+(ArtifactsInput!$M$24-ArtifactsInput!$M$24)*CHOOSE(ArtifactsInput!$N$24+1,10,12,14,16,18,20)+IF(ArtifactsInput!$M$10,CHOOSE(ArtifactsInput!$N$10+1,15,18,21,24,27,30)*(IF(Inputs!$B$39="pvp",MIN(15,15)/15,IF(AND(Inputs!$B$39&lt;&gt;"pvp",Inputs!$B$44&gt;0),MIN(15,Inputs!$B$44)/(Inputs!$B$44),0))),0)))-100),0))*CHOOSE(ArtifactsInput!$N$42+1,0.6,0.72,0.84,0.96,1.08,1.2))),Inputs!$B$19+((C1818=TRUE)*(F1818-Calc!F23))+(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gt;=100),CHOOSE(ArtifactsInput!$N$42+1,40,48,56,64,72,80),0))))/100)*((1+(((C1808=TRUE)*F1808*IF(AND(Inputs!$B$39&lt;&gt;"pvp",Inputs!$B$44&gt;0),(((R1808-1)*MIN((Skills!T13*(1+Inputs!$B$35/100)),(1/Q1808))+MIN((Skills!T13*(1+Inputs!$B$35/100)),MAX(0,Inputs!$B$44-((R1808-1)*(1/Q1808)))))/Inputs!$B$44),IF(Inputs!$B$39="pvp",MIN((Skills!T13*(1+Inputs!$B$35/100)),15)/15,MIN(1,(Skills!T13*(1+Inputs!$B$35/100))/(1/Q1808)))))+((C1809=TRUE)*F1809*IF(AND(Inputs!$B$39&lt;&gt;"pvp",Inputs!$B$44&gt;0),(((R1809-1)*MIN((Skills!T14*(1+Inputs!$B$35/100)),(1/Q1809))+MIN((Skills!T14*(1+Inputs!$B$35/100)),MAX(0,Inputs!$B$44-((R1809-1)*(1/Q1809)))))/Inputs!$B$44),IF(Inputs!$B$39="pvp",MIN((Skills!T14*(1+Inputs!$B$35/100)),15)/15,MIN(1,(Skills!T14*(1+Inputs!$B$35/100))/(1/Q1809)))))+((C1810=TRUE)*F1810*IF(AND(Inputs!$B$39&lt;&gt;"pvp",Inputs!$B$44&gt;0),(((R1810-1)*MIN((Skills!T15*(1+Inputs!$B$35/100)),(1/Q1810))+MIN((Skills!T15*(1+Inputs!$B$35/100)),MAX(0,Inputs!$B$44-((R1810-1)*(1/Q1810)))))/Inputs!$B$44),IF(Inputs!$B$39="pvp",MIN((Skills!T15*(1+Inputs!$B$35/100)),15)/15,MIN(1,(Skills!T15*(1+Inputs!$B$35/100))/(1/Q1810)))))+((C1811=TRUE)*F1811*IF(AND(Inputs!$B$39&lt;&gt;"pvp",Inputs!$B$44&gt;0),(((R1811-1)*MIN((Skills!T16*(1+Inputs!$B$35/100)),(1/Q1811))+MIN((Skills!T16*(1+Inputs!$B$35/100)),MAX(0,Inputs!$B$44-((R1811-1)*(1/Q1811)))))/Inputs!$B$44),IF(Inputs!$B$39="pvp",MIN((Skills!T16*(1+Inputs!$B$35/100)),15)/15,MIN(1,(Skills!T16*(1+Inputs!$B$35/100))/(1/Q1811)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1800)</f>
        <v/>
      </c>
      <c r="L1800">
        <f>K1800*(MIN(Inputs!$B$23+((C1817=TRUE)*(F1817-Calc!F22)),(Inputs!$B$24+((C1819=TRUE)*(F1819-Calc!F24))+(IF(ArtifactsInput!$M$15,CHOOSE(ArtifactsInput!$N$15+1,25,30,35,40,45,50)/100*(Inputs!$B$12-Inputs!$B$12),0))))/100+(Inputs!$B$24+((C1819=TRUE)*(F1819-Calc!F24))+(IF(ArtifactsInput!$M$15,CHOOSE(ArtifactsInput!$N$15+1,25,30,35,40,45,50)/100*(Inputs!$B$12-Inputs!$B$12),0)))/100)/2</f>
        <v/>
      </c>
      <c r="M1800">
        <f>L1800*(1+(Inputs!$B$11+0+B1829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800">
        <f>L1800*(1-MIN((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1800*(MIN((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00">
        <f>(1-Summary!$B$11)*T1800+Summary!$B$11*V1800</f>
        <v/>
      </c>
      <c r="P1800">
        <f>IF(B1834=0,0,O1800/B1834)</f>
        <v/>
      </c>
      <c r="Q1800">
        <f>IFERROR(1/IF(Inputs!$B$39="pvp",15,MAX(0.1,Skills!D5-IF(TRUE=TRUE,Inputs!$B$33,0))),0)</f>
        <v/>
      </c>
      <c r="R1800">
        <f>IF(AND(Inputs!$B$39&lt;&gt;"pvp",Inputs!$B$44&gt;0),IF(MAX(0,Inputs!$B$44-B1831)&lt;=0,0,(INT(MAX(0,Inputs!$B$44-B1831)/IF(Inputs!$B$39="pvp",15,MAX(0.1,Skills!D5-IF(TRUE=TRUE,Inputs!$B$33,0))))+1)),0)</f>
        <v/>
      </c>
      <c r="S1800">
        <f>IFERROR(O1800/N1800,0)</f>
        <v/>
      </c>
      <c r="T1800">
        <f>IF(C1800,(H1800*N1800*IF(AND(Inputs!$B$39&lt;&gt;"pvp",Inputs!$B$44&gt;0),((Skills!G5*((R1800-1)*IF(Skills!H5&gt;0,INT(Skills!I5/Skills!H5+0.000000001),1)+IF(Skills!H5&gt;0,INT(MIN(Skills!I5,MAX(0,MAX(0,Inputs!$B$44-B1831)-((R1800-1)*IF(Inputs!$B$39="pvp",15,MAX(0.1,Skills!D5-IF(TRUE=TRUE,Inputs!$B$33,0))))))/Skills!H5+0.000000001),1)))/Inputs!$B$44),G1800*Q1800))*IF(Inputs!$B$39="pvp",1,1+(Inputs!$B$21+0+Skills!P5+((C1812=TRUE)*F1812*IF(AND(Inputs!$B$39&lt;&gt;"pvp",Inputs!$B$44&gt;0),(((R1812-1)*MIN((Skills!T17*(1+Inputs!$B$35/100)),(1/Q1812))+MIN((Skills!T17*(1+Inputs!$B$35/100)),MAX(0,Inputs!$B$44-((R1812-1)*(1/Q1812)))))/Inputs!$B$44),IF(Inputs!$B$39="pvp",MIN((Skills!T17*(1+Inputs!$B$35/100)),15)/15,MIN(1,(Skills!T17*(1+Inputs!$B$35/100))/(1/Q1812)))))+((C1800=TRUE)*IF(Inputs!$B$3&gt;=126,10*MIN(1,15*Q1800),0))+((C1809=TRUE)*IF(Inputs!$B$39="pvp",20,(1-Summary!$B$11)*(20)+Summary!$B$11*(0))*IF(AND(Inputs!$B$39&lt;&gt;"pvp",Inputs!$B$44&gt;0),(((R1809-1)*MIN((Skills!T14*(1+Inputs!$B$35/100)),(1/Q1809))+MIN((Skills!T14*(1+Inputs!$B$35/100)),MAX(0,Inputs!$B$44-((R1809-1)*(1/Q1809)))))/Inputs!$B$44),IF(Inputs!$B$39="pvp",MIN((Skills!T14*(1+Inputs!$B$35/100)),15)/15,MIN(1,(Skills!T14*(1+Inputs!$B$35/100))/(1/Q1809)))))+((C1808=TRUE)*IF(Inputs!$B$3&gt;=82,IF(Inputs!$B$39="pvp",20,(1-Summary!$B$11)*(20)+Summary!$B$11*(0)),0)*IF(AND(Inputs!$B$39&lt;&gt;"pvp",Inputs!$B$44&gt;0),(((R1808-1)*MIN((Skills!T13*(1+Inputs!$B$35/100)),(1/Q1808))+MIN((Skills!T13*(1+Inputs!$B$35/100)),MAX(0,Inputs!$B$44-((R1808-1)*(1/Q1808)))))/Inputs!$B$44),IF(Inputs!$B$39="pvp",MIN((Skills!T13*(1+Inputs!$B$35/100)),15)/15,MIN(1,(Skills!T13*(1+Inputs!$B$35/100))/(1/Q1808)))))+(IF(AND(ArtifactsInput!$M$35,Inputs!$B$4&lt;&gt;"Chapter Hunt"),CHOOSE(ArtifactsInput!$N$35+1,15,18,21,24,27,30)*(1-EXP(-(0.2*B1826)*5)),0)+IF(AND(ArtifactsInput!$M$22,Inputs!$B$4&lt;&gt;"Chapter Hunt"),CHOOSE(ArtifactsInput!$N$22+1,10,12,14,16,18,20)*((0*(((0.15*B1826*5))^0/1)+1*(((0.15*B1826*5))^1/1)+2*(((0.15*B1826*5))^2/2)+3*(((0.15*B1826*5))^3/6)+4*(((0.15*B1826*5))^4/24)+5*(((0.15*B1826*5))^5/120))/((((0.15*B1826*5))^0/1)+(((0.15*B1826*5))^1/1)+(((0.15*B1826*5))^2/2)+(((0.15*B1826*5))^3/6)+(((0.15*B1826*5))^4/24)+(((0.15*B1826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1800*(1-MIN(100,(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1800*(MIN(100,(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1800*(1-MIN(100,(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1800*(MIN(100,(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IF(ArtifactsInput!$M$20,FALSE,TRUE),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00">
        <f>IF(C1800,(H1800*N1800*IF(AND(Inputs!$B$39&lt;&gt;"pvp",Inputs!$B$44&gt;0),((Skills!G5*((R1800-1)*IF(Skills!H5&gt;0,INT(Skills!I5/Skills!H5+0.000000001),1)+IF(Skills!H5&gt;0,INT(MIN(Skills!I5,MAX(0,MAX(0,Inputs!$B$44-B1831)-((R1800-1)*IF(Inputs!$B$39="pvp",15,MAX(0.1,Skills!D5-IF(TRUE=TRUE,Inputs!$B$33,0))))))/Skills!H5+0.000000001),1)))/Inputs!$B$44),G1800*Q1800))*IF(Inputs!$B$39="pvp",1,(1+(Inputs!$B$22+Skills!Q5+((C1812=TRUE)*F1812*IF(AND(Inputs!$B$39&lt;&gt;"pvp",Inputs!$B$44&gt;0),(((R1812-1)*MIN((Skills!T17*(1+Inputs!$B$35/100)),(1/Q1812))+MIN((Skills!T17*(1+Inputs!$B$35/100)),MAX(0,Inputs!$B$44-((R1812-1)*(1/Q1812)))))/Inputs!$B$44),IF(Inputs!$B$39="pvp",MIN((Skills!T17*(1+Inputs!$B$35/100)),15)/15,MIN(1,(Skills!T17*(1+Inputs!$B$35/100))/(1/Q1812)))))+((C1800=TRUE)*IF(Inputs!$B$3&gt;=126,10*MIN(1,15*Q1800),0))+((C1809=TRUE)*IF(Inputs!$B$39="pvp",20,(1-Summary!$B$11)*(20)+Summary!$B$11*(0))*IF(AND(Inputs!$B$39&lt;&gt;"pvp",Inputs!$B$44&gt;0),(((R1809-1)*MIN((Skills!T14*(1+Inputs!$B$35/100)),(1/Q1809))+MIN((Skills!T14*(1+Inputs!$B$35/100)),MAX(0,Inputs!$B$44-((R1809-1)*(1/Q1809)))))/Inputs!$B$44),IF(Inputs!$B$39="pvp",MIN((Skills!T14*(1+Inputs!$B$35/100)),15)/15,MIN(1,(Skills!T14*(1+Inputs!$B$35/100))/(1/Q1809)))))+((C1808=TRUE)*IF(Inputs!$B$3&gt;=82,IF(Inputs!$B$39="pvp",20,(1-Summary!$B$11)*(20)+Summary!$B$11*(0)),0)*IF(AND(Inputs!$B$39&lt;&gt;"pvp",Inputs!$B$44&gt;0),(((R1808-1)*MIN((Skills!T13*(1+Inputs!$B$35/100)),(1/Q1808))+MIN((Skills!T13*(1+Inputs!$B$35/100)),MAX(0,Inputs!$B$44-((R1808-1)*(1/Q1808)))))/Inputs!$B$44),IF(Inputs!$B$39="pvp",MIN((Skills!T13*(1+Inputs!$B$35/100)),15)/15,MIN(1,(Skills!T13*(1+Inputs!$B$35/100))/(1/Q1808)))))+(IF(AND(ArtifactsInput!$M$35,Inputs!$B$4&lt;&gt;"Chapter Hunt"),CHOOSE(ArtifactsInput!$N$35+1,15,18,21,24,27,30)*(1-EXP(-(0.2*B1826)*5)),0)+IF(AND(ArtifactsInput!$M$22,Inputs!$B$4&lt;&gt;"Chapter Hunt"),CHOOSE(ArtifactsInput!$N$22+1,10,12,14,16,18,20)*((0*(((0.15*B1826*5))^0/1)+1*(((0.15*B1826*5))^1/1)+2*(((0.15*B1826*5))^2/2)+3*(((0.15*B1826*5))^3/6)+4*(((0.15*B1826*5))^4/24)+5*(((0.15*B1826*5))^5/120))/((((0.15*B1826*5))^0/1)+(((0.15*B1826*5))^1/1)+(((0.15*B1826*5))^2/2)+(((0.15*B1826*5))^3/6)+(((0.15*B1826*5))^4/24)+(((0.15*B1826*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IF(ArtifactsInput!$M$20,FALSE,TRUE),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01">
      <c r="A1801">
        <f>Skills!A6</f>
        <v/>
      </c>
      <c r="B1801">
        <f>Skills!B6</f>
        <v/>
      </c>
      <c r="C1801">
        <f>Inputs!$B$3&gt;=103</f>
        <v/>
      </c>
      <c r="D1801">
        <f>IF(Skills!C6=1,60+Inputs!$B$26+Inputs!$B$30,IF(Skills!C6=2,90+Inputs!$B$27+Inputs!$B$30,IF(Skills!C6=3,120+Inputs!$B$28+Inputs!$B$30,MAX(0,(Inputs!$B$3-100)*3)+Inputs!$B$29+Inputs!$B$30)))</f>
        <v/>
      </c>
      <c r="E1801">
        <f>INDEX(FactorTable!$B$2:$Y$301, MATCH(ROUND(MIN(300,MAX(1,D1801)),0), FactorTable!$A$2:$A$301,0), Skills!M6+1)</f>
        <v/>
      </c>
      <c r="F1801">
        <f>IF(Skills!N6=TRUE,(Skills!L6/10)*(E1801/1000),Skills!L6/10)+Skills!O6</f>
        <v/>
      </c>
      <c r="G1801">
        <f>Skills!G6*IF(Skills!H6&gt;0,INT(IF(Inputs!$B$39="pvp",MIN(Skills!I6,15),Skills!I6)/Skills!H6+0.000000001),1)</f>
        <v/>
      </c>
      <c r="H1801">
        <f>1-(1-Skills!J6/100)^Skills!K6</f>
        <v/>
      </c>
      <c r="I1801" t="inlineStr">
        <is>
          <t>1</t>
        </is>
      </c>
      <c r="J1801">
        <f>((Inputs!$B$6*(1+Inputs!$B$7/100))+(((Inputs!$B$13*(1+Inputs!$B$14/100))-(Inputs!$B$13*(1+Inputs!$B$14/100)))+0.25*(Inputs!$B$15-Inputs!$B$15))*(1+Inputs!$B$7/100))*(F1801/100)</f>
        <v/>
      </c>
      <c r="K1801">
        <f>J1801*(1+(((Inputs!$B$13+IF(Inputs!$B$3&gt;=38,(10*INDEX(FactorTable!$B$2:$Y$301, MATCH(ROUND(MIN(300,MAX(1,Inputs!$B$3)),0), FactorTable!$A$2:$A$301,0), 23)/1000)/100*(Inputs!$B$8*(1+Inputs!$B$9/100)),0))*(1+Inputs!$B$14/100))*0.01+Inputs!$B$15*0.0025)/100)*(1+Inputs!$B$16/100)*(1+Inputs!$B$17/100)*(5000/(6000+Inputs!$B$43*(1-(Inputs!$B$20+0)/100)))*(1+(Inputs!$B$25+((C1820=TRUE)*(F1820-Calc!F25))+((C1821=TRUE)*(F1821-Calc!F26))+B1830)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gt;=100),MIN(100,((Inputs!$B$10+0+B1824+(ArtifactsInput!$M$24-ArtifactsInput!$M$24)*CHOOSE(ArtifactsInput!$N$24+1,10,12,14,16,18,20)+IF(ArtifactsInput!$M$10,CHOOSE(ArtifactsInput!$N$10+1,15,18,21,24,27,30)*(IF(Inputs!$B$39="pvp",MIN(15,15)/15,IF(AND(Inputs!$B$39&lt;&gt;"pvp",Inputs!$B$44&gt;0),MIN(15,Inputs!$B$44)/(Inputs!$B$44),0))),0)))-100),0))*CHOOSE(ArtifactsInput!$N$42+1,0.6,0.72,0.84,0.96,1.08,1.2))),Inputs!$B$19+((C1818=TRUE)*(F1818-Calc!F23))+(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gt;=100),CHOOSE(ArtifactsInput!$N$42+1,40,48,56,64,72,80),0))))/100)*((1+(((C1808=TRUE)*F1808*IF(AND(Inputs!$B$39&lt;&gt;"pvp",Inputs!$B$44&gt;0),(((R1808-1)*MIN((Skills!T13*(1+Inputs!$B$35/100)),(1/Q1808))+MIN((Skills!T13*(1+Inputs!$B$35/100)),MAX(0,Inputs!$B$44-((R1808-1)*(1/Q1808)))))/Inputs!$B$44),IF(Inputs!$B$39="pvp",MIN((Skills!T13*(1+Inputs!$B$35/100)),15)/15,MIN(1,(Skills!T13*(1+Inputs!$B$35/100))/(1/Q1808)))))+((C1809=TRUE)*F1809*IF(AND(Inputs!$B$39&lt;&gt;"pvp",Inputs!$B$44&gt;0),(((R1809-1)*MIN((Skills!T14*(1+Inputs!$B$35/100)),(1/Q1809))+MIN((Skills!T14*(1+Inputs!$B$35/100)),MAX(0,Inputs!$B$44-((R1809-1)*(1/Q1809)))))/Inputs!$B$44),IF(Inputs!$B$39="pvp",MIN((Skills!T14*(1+Inputs!$B$35/100)),15)/15,MIN(1,(Skills!T14*(1+Inputs!$B$35/100))/(1/Q1809)))))+((C1810=TRUE)*F1810*IF(AND(Inputs!$B$39&lt;&gt;"pvp",Inputs!$B$44&gt;0),(((R1810-1)*MIN((Skills!T15*(1+Inputs!$B$35/100)),(1/Q1810))+MIN((Skills!T15*(1+Inputs!$B$35/100)),MAX(0,Inputs!$B$44-((R1810-1)*(1/Q1810)))))/Inputs!$B$44),IF(Inputs!$B$39="pvp",MIN((Skills!T15*(1+Inputs!$B$35/100)),15)/15,MIN(1,(Skills!T15*(1+Inputs!$B$35/100))/(1/Q1810)))))+((C1811=TRUE)*F1811*IF(AND(Inputs!$B$39&lt;&gt;"pvp",Inputs!$B$44&gt;0),(((R1811-1)*MIN((Skills!T16*(1+Inputs!$B$35/100)),(1/Q1811))+MIN((Skills!T16*(1+Inputs!$B$35/100)),MAX(0,Inputs!$B$44-((R1811-1)*(1/Q1811)))))/Inputs!$B$44),IF(Inputs!$B$39="pvp",MIN((Skills!T16*(1+Inputs!$B$35/100)),15)/15,MIN(1,(Skills!T16*(1+Inputs!$B$35/100))/(1/Q1811)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1801)</f>
        <v/>
      </c>
      <c r="L1801">
        <f>K1801*(MIN(Inputs!$B$23+((C1817=TRUE)*(F1817-Calc!F22)),(Inputs!$B$24+((C1819=TRUE)*(F1819-Calc!F24))+(IF(ArtifactsInput!$M$15,CHOOSE(ArtifactsInput!$N$15+1,25,30,35,40,45,50)/100*(Inputs!$B$12-Inputs!$B$12),0))))/100+(Inputs!$B$24+((C1819=TRUE)*(F1819-Calc!F24))+(IF(ArtifactsInput!$M$15,CHOOSE(ArtifactsInput!$N$15+1,25,30,35,40,45,50)/100*(Inputs!$B$12-Inputs!$B$12),0)))/100)/2</f>
        <v/>
      </c>
      <c r="M1801">
        <f>L1801*(1+(Inputs!$B$11+0+B1829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801">
        <f>L1801*(1-MIN((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1801*(MIN((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01">
        <f>(1-Summary!$B$11)*T1801+Summary!$B$11*V1801</f>
        <v/>
      </c>
      <c r="P1801">
        <f>IF(B1834=0,0,O1801/B1834)</f>
        <v/>
      </c>
      <c r="Q1801">
        <f>IFERROR(1/IF(Inputs!$B$39="pvp",15,MAX(0.1,Skills!D6-IF(TRUE=TRUE,Inputs!$B$33,0))),0)</f>
        <v/>
      </c>
      <c r="R1801">
        <f>IF(AND(Inputs!$B$39&lt;&gt;"pvp",Inputs!$B$44&gt;0),IF(MAX(0,Inputs!$B$44-B1831)&lt;=0,0,(INT(MAX(0,Inputs!$B$44-B1831)/IF(Inputs!$B$39="pvp",15,MAX(0.1,Skills!D6-IF(TRUE=TRUE,Inputs!$B$33,0))))+1)),0)</f>
        <v/>
      </c>
      <c r="S1801">
        <f>IFERROR(O1801/N1801,0)</f>
        <v/>
      </c>
      <c r="T1801">
        <f>IF(C1801,(H1801*N1801*IF(AND(Inputs!$B$39&lt;&gt;"pvp",Inputs!$B$44&gt;0),((Skills!G6*((R1801-1)*IF(Skills!H6&gt;0,INT(Skills!I6/Skills!H6+0.000000001),1)+IF(Skills!H6&gt;0,INT(MIN(Skills!I6,MAX(0,MAX(0,Inputs!$B$44-B1831)-((R1801-1)*IF(Inputs!$B$39="pvp",15,MAX(0.1,Skills!D6-IF(TRUE=TRUE,Inputs!$B$33,0))))))/Skills!H6+0.000000001),1)))/Inputs!$B$44),G1801*Q1801))*IF(Inputs!$B$39="pvp",1,1+(Inputs!$B$21+0+Skills!P6+((C1812=TRUE)*F1812*IF(AND(Inputs!$B$39&lt;&gt;"pvp",Inputs!$B$44&gt;0),(((R1812-1)*MIN((Skills!T17*(1+Inputs!$B$35/100)),(1/Q1812))+MIN((Skills!T17*(1+Inputs!$B$35/100)),MAX(0,Inputs!$B$44-((R1812-1)*(1/Q1812)))))/Inputs!$B$44),IF(Inputs!$B$39="pvp",MIN((Skills!T17*(1+Inputs!$B$35/100)),15)/15,MIN(1,(Skills!T17*(1+Inputs!$B$35/100))/(1/Q1812)))))+((C1800=TRUE)*IF(Inputs!$B$3&gt;=126,10*MIN(1,15*Q1800),0))+((C1809=TRUE)*IF(Inputs!$B$39="pvp",20,(1-Summary!$B$11)*(20)+Summary!$B$11*(0))*IF(AND(Inputs!$B$39&lt;&gt;"pvp",Inputs!$B$44&gt;0),(((R1809-1)*MIN((Skills!T14*(1+Inputs!$B$35/100)),(1/Q1809))+MIN((Skills!T14*(1+Inputs!$B$35/100)),MAX(0,Inputs!$B$44-((R1809-1)*(1/Q1809)))))/Inputs!$B$44),IF(Inputs!$B$39="pvp",MIN((Skills!T14*(1+Inputs!$B$35/100)),15)/15,MIN(1,(Skills!T14*(1+Inputs!$B$35/100))/(1/Q1809)))))+((C1808=TRUE)*IF(Inputs!$B$3&gt;=82,IF(Inputs!$B$39="pvp",20,(1-Summary!$B$11)*(20)+Summary!$B$11*(0)),0)*IF(AND(Inputs!$B$39&lt;&gt;"pvp",Inputs!$B$44&gt;0),(((R1808-1)*MIN((Skills!T13*(1+Inputs!$B$35/100)),(1/Q1808))+MIN((Skills!T13*(1+Inputs!$B$35/100)),MAX(0,Inputs!$B$44-((R1808-1)*(1/Q1808)))))/Inputs!$B$44),IF(Inputs!$B$39="pvp",MIN((Skills!T13*(1+Inputs!$B$35/100)),15)/15,MIN(1,(Skills!T13*(1+Inputs!$B$35/100))/(1/Q1808)))))+(IF(AND(ArtifactsInput!$M$35,Inputs!$B$4&lt;&gt;"Chapter Hunt"),CHOOSE(ArtifactsInput!$N$35+1,15,18,21,24,27,30)*(1-EXP(-(0.2*B1826)*5)),0)+IF(AND(ArtifactsInput!$M$22,Inputs!$B$4&lt;&gt;"Chapter Hunt"),CHOOSE(ArtifactsInput!$N$22+1,10,12,14,16,18,20)*((0*(((0.15*B1826*5))^0/1)+1*(((0.15*B1826*5))^1/1)+2*(((0.15*B1826*5))^2/2)+3*(((0.15*B1826*5))^3/6)+4*(((0.15*B1826*5))^4/24)+5*(((0.15*B1826*5))^5/120))/((((0.15*B1826*5))^0/1)+(((0.15*B1826*5))^1/1)+(((0.15*B1826*5))^2/2)+(((0.15*B1826*5))^3/6)+(((0.15*B1826*5))^4/24)+(((0.15*B1826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1801*(1-MIN(100,(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1801*(MIN(100,(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1801*(1-MIN(100,(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1801*(MIN(100,(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IF(ArtifactsInput!$M$20,FALSE,TRUE),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01">
        <f>IF(C1801,(H1801*N1801*IF(AND(Inputs!$B$39&lt;&gt;"pvp",Inputs!$B$44&gt;0),((Skills!G6*((R1801-1)*IF(Skills!H6&gt;0,INT(Skills!I6/Skills!H6+0.000000001),1)+IF(Skills!H6&gt;0,INT(MIN(Skills!I6,MAX(0,MAX(0,Inputs!$B$44-B1831)-((R1801-1)*IF(Inputs!$B$39="pvp",15,MAX(0.1,Skills!D6-IF(TRUE=TRUE,Inputs!$B$33,0))))))/Skills!H6+0.000000001),1)))/Inputs!$B$44),G1801*Q1801))*IF(Inputs!$B$39="pvp",1,(1+(Inputs!$B$22+Skills!Q6+((C1812=TRUE)*F1812*IF(AND(Inputs!$B$39&lt;&gt;"pvp",Inputs!$B$44&gt;0),(((R1812-1)*MIN((Skills!T17*(1+Inputs!$B$35/100)),(1/Q1812))+MIN((Skills!T17*(1+Inputs!$B$35/100)),MAX(0,Inputs!$B$44-((R1812-1)*(1/Q1812)))))/Inputs!$B$44),IF(Inputs!$B$39="pvp",MIN((Skills!T17*(1+Inputs!$B$35/100)),15)/15,MIN(1,(Skills!T17*(1+Inputs!$B$35/100))/(1/Q1812)))))+((C1800=TRUE)*IF(Inputs!$B$3&gt;=126,10*MIN(1,15*Q1800),0))+((C1809=TRUE)*IF(Inputs!$B$39="pvp",20,(1-Summary!$B$11)*(20)+Summary!$B$11*(0))*IF(AND(Inputs!$B$39&lt;&gt;"pvp",Inputs!$B$44&gt;0),(((R1809-1)*MIN((Skills!T14*(1+Inputs!$B$35/100)),(1/Q1809))+MIN((Skills!T14*(1+Inputs!$B$35/100)),MAX(0,Inputs!$B$44-((R1809-1)*(1/Q1809)))))/Inputs!$B$44),IF(Inputs!$B$39="pvp",MIN((Skills!T14*(1+Inputs!$B$35/100)),15)/15,MIN(1,(Skills!T14*(1+Inputs!$B$35/100))/(1/Q1809)))))+((C1808=TRUE)*IF(Inputs!$B$3&gt;=82,IF(Inputs!$B$39="pvp",20,(1-Summary!$B$11)*(20)+Summary!$B$11*(0)),0)*IF(AND(Inputs!$B$39&lt;&gt;"pvp",Inputs!$B$44&gt;0),(((R1808-1)*MIN((Skills!T13*(1+Inputs!$B$35/100)),(1/Q1808))+MIN((Skills!T13*(1+Inputs!$B$35/100)),MAX(0,Inputs!$B$44-((R1808-1)*(1/Q1808)))))/Inputs!$B$44),IF(Inputs!$B$39="pvp",MIN((Skills!T13*(1+Inputs!$B$35/100)),15)/15,MIN(1,(Skills!T13*(1+Inputs!$B$35/100))/(1/Q1808)))))+(IF(AND(ArtifactsInput!$M$35,Inputs!$B$4&lt;&gt;"Chapter Hunt"),CHOOSE(ArtifactsInput!$N$35+1,15,18,21,24,27,30)*(1-EXP(-(0.2*B1826)*5)),0)+IF(AND(ArtifactsInput!$M$22,Inputs!$B$4&lt;&gt;"Chapter Hunt"),CHOOSE(ArtifactsInput!$N$22+1,10,12,14,16,18,20)*((0*(((0.15*B1826*5))^0/1)+1*(((0.15*B1826*5))^1/1)+2*(((0.15*B1826*5))^2/2)+3*(((0.15*B1826*5))^3/6)+4*(((0.15*B1826*5))^4/24)+5*(((0.15*B1826*5))^5/120))/((((0.15*B1826*5))^0/1)+(((0.15*B1826*5))^1/1)+(((0.15*B1826*5))^2/2)+(((0.15*B1826*5))^3/6)+(((0.15*B1826*5))^4/24)+(((0.15*B1826*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IF(ArtifactsInput!$M$20,FALSE,TRUE),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02">
      <c r="A1802">
        <f>Skills!A7</f>
        <v/>
      </c>
      <c r="B1802">
        <f>Skills!B7</f>
        <v/>
      </c>
      <c r="C1802">
        <f>Inputs!$B$3&gt;=40</f>
        <v/>
      </c>
      <c r="D1802">
        <f>IF(Skills!C7=1,60+Inputs!$B$26+Inputs!$B$30,IF(Skills!C7=2,90+Inputs!$B$27+Inputs!$B$30,IF(Skills!C7=3,120+Inputs!$B$28+Inputs!$B$30,MAX(0,(Inputs!$B$3-100)*3)+Inputs!$B$29+Inputs!$B$30)))</f>
        <v/>
      </c>
      <c r="E1802">
        <f>INDEX(FactorTable!$B$2:$Y$301, MATCH(ROUND(MIN(300,MAX(1,D1802)),0), FactorTable!$A$2:$A$301,0), Skills!M7+1)</f>
        <v/>
      </c>
      <c r="F1802">
        <f>IF(Skills!N7=TRUE,(Skills!L7/10)*(E1802/1000),Skills!L7/10)+Skills!O7</f>
        <v/>
      </c>
      <c r="G1802">
        <f>Skills!G7*IF(Skills!H7&gt;0,INT(IF(Inputs!$B$39="pvp",MIN(Skills!I7,15),Skills!I7)/Skills!H7+0.000000001),1)</f>
        <v/>
      </c>
      <c r="H1802">
        <f>1-(1-Skills!J7/100)^Skills!K7</f>
        <v/>
      </c>
      <c r="I1802" t="inlineStr">
        <is>
          <t>1</t>
        </is>
      </c>
      <c r="J1802">
        <f>((Inputs!$B$6*(1+Inputs!$B$7/100))+(((Inputs!$B$13*(1+Inputs!$B$14/100))-(Inputs!$B$13*(1+Inputs!$B$14/100)))+0.25*(Inputs!$B$15-Inputs!$B$15))*(1+Inputs!$B$7/100))*(F1802/100)</f>
        <v/>
      </c>
      <c r="K1802">
        <f>J1802*(1+(((Inputs!$B$13+IF(Inputs!$B$3&gt;=38,(10*INDEX(FactorTable!$B$2:$Y$301, MATCH(ROUND(MIN(300,MAX(1,Inputs!$B$3)),0), FactorTable!$A$2:$A$301,0), 23)/1000)/100*(Inputs!$B$8*(1+Inputs!$B$9/100)),0))*(1+Inputs!$B$14/100))*0.01+Inputs!$B$15*0.0025)/100)*(1+Inputs!$B$16/100)*(1+Inputs!$B$17/100)*(5000/(6000+Inputs!$B$43*(1-(Inputs!$B$20+0)/100)))*(1+(Inputs!$B$25+((C1820=TRUE)*(F1820-Calc!F25))+((C1821=TRUE)*(F1821-Calc!F26))+B1830)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1806=TRUE,F1806,0)/100)*(1+(IF(Skills!A7="DARK_IMPALE",Inputs!$B$18+0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gt;=100),MIN(100,((Inputs!$B$10+0+B1824+(ArtifactsInput!$M$24-ArtifactsInput!$M$24)*CHOOSE(ArtifactsInput!$N$24+1,10,12,14,16,18,20)+IF(ArtifactsInput!$M$10,CHOOSE(ArtifactsInput!$N$10+1,15,18,21,24,27,30)*(IF(Inputs!$B$39="pvp",MIN(15,15)/15,IF(AND(Inputs!$B$39&lt;&gt;"pvp",Inputs!$B$44&gt;0),MIN(15,Inputs!$B$44)/(Inputs!$B$44),0))),0)))-100),0))*CHOOSE(ArtifactsInput!$N$42+1,0.6,0.72,0.84,0.96,1.08,1.2))),Inputs!$B$19+((C1818=TRUE)*(F1818-Calc!F23))+(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gt;=100),CHOOSE(ArtifactsInput!$N$42+1,40,48,56,64,72,80),0))))/100)*((1+(((C1808=TRUE)*F1808*IF(AND(Inputs!$B$39&lt;&gt;"pvp",Inputs!$B$44&gt;0),(((R1808-1)*MIN((Skills!T13*(1+Inputs!$B$35/100)),(1/Q1808))+MIN((Skills!T13*(1+Inputs!$B$35/100)),MAX(0,Inputs!$B$44-((R1808-1)*(1/Q1808)))))/Inputs!$B$44),IF(Inputs!$B$39="pvp",MIN((Skills!T13*(1+Inputs!$B$35/100)),15)/15,MIN(1,(Skills!T13*(1+Inputs!$B$35/100))/(1/Q1808)))))+((C1809=TRUE)*F1809*IF(AND(Inputs!$B$39&lt;&gt;"pvp",Inputs!$B$44&gt;0),(((R1809-1)*MIN((Skills!T14*(1+Inputs!$B$35/100)),(1/Q1809))+MIN((Skills!T14*(1+Inputs!$B$35/100)),MAX(0,Inputs!$B$44-((R1809-1)*(1/Q1809)))))/Inputs!$B$44),IF(Inputs!$B$39="pvp",MIN((Skills!T14*(1+Inputs!$B$35/100)),15)/15,MIN(1,(Skills!T14*(1+Inputs!$B$35/100))/(1/Q1809)))))+((C1810=TRUE)*F1810*IF(AND(Inputs!$B$39&lt;&gt;"pvp",Inputs!$B$44&gt;0),(((R1810-1)*MIN((Skills!T15*(1+Inputs!$B$35/100)),(1/Q1810))+MIN((Skills!T15*(1+Inputs!$B$35/100)),MAX(0,Inputs!$B$44-((R1810-1)*(1/Q1810)))))/Inputs!$B$44),IF(Inputs!$B$39="pvp",MIN((Skills!T15*(1+Inputs!$B$35/100)),15)/15,MIN(1,(Skills!T15*(1+Inputs!$B$35/100))/(1/Q1810)))))+((C1811=TRUE)*F1811*IF(AND(Inputs!$B$39&lt;&gt;"pvp",Inputs!$B$44&gt;0),(((R1811-1)*MIN((Skills!T16*(1+Inputs!$B$35/100)),(1/Q1811))+MIN((Skills!T16*(1+Inputs!$B$35/100)),MAX(0,Inputs!$B$44-((R1811-1)*(1/Q1811)))))/Inputs!$B$44),IF(Inputs!$B$39="pvp",MIN((Skills!T16*(1+Inputs!$B$35/100)),15)/15,MIN(1,(Skills!T16*(1+Inputs!$B$35/100))/(1/Q1811)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1802)</f>
        <v/>
      </c>
      <c r="L1802">
        <f>K1802*(MIN(Inputs!$B$23+((C1817=TRUE)*(F1817-Calc!F22)),(Inputs!$B$24+((C1819=TRUE)*(F1819-Calc!F24))+(IF(ArtifactsInput!$M$15,CHOOSE(ArtifactsInput!$N$15+1,25,30,35,40,45,50)/100*(Inputs!$B$12-Inputs!$B$12),0))))/100+(Inputs!$B$24+((C1819=TRUE)*(F1819-Calc!F24))+(IF(ArtifactsInput!$M$15,CHOOSE(ArtifactsInput!$N$15+1,25,30,35,40,45,50)/100*(Inputs!$B$12-Inputs!$B$12),0)))/100)/2</f>
        <v/>
      </c>
      <c r="M1802">
        <f>L1802*(1+(Inputs!$B$11+0+B1829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802">
        <f>L1802*(1-MIN((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1802*(MIN((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02">
        <f>(1-Summary!$B$11)*T1802+Summary!$B$11*V1802</f>
        <v/>
      </c>
      <c r="P1802">
        <f>IF(B1834=0,0,O1802/B1834)</f>
        <v/>
      </c>
      <c r="Q1802">
        <f>IFERROR(1/IF(Inputs!$B$39="pvp",15,MAX(0.1,Skills!D7-IF(TRUE=TRUE,Inputs!$B$33,0))),0)</f>
        <v/>
      </c>
      <c r="R1802">
        <f>IF(AND(Inputs!$B$39&lt;&gt;"pvp",Inputs!$B$44&gt;0),IF(MAX(0,Inputs!$B$44-B1831)&lt;=0,0,(INT(MAX(0,Inputs!$B$44-B1831)/IF(Inputs!$B$39="pvp",15,MAX(0.1,Skills!D7-IF(TRUE=TRUE,Inputs!$B$33,0))))+1)),0)</f>
        <v/>
      </c>
      <c r="S1802">
        <f>IFERROR(O1802/N1802,0)</f>
        <v/>
      </c>
      <c r="T1802">
        <f>IF(C1802,(H1802*N1802*IF(AND(Inputs!$B$39&lt;&gt;"pvp",Inputs!$B$44&gt;0),((Skills!G7*((R1802-1)*IF(Skills!H7&gt;0,INT(Skills!I7/Skills!H7+0.000000001),1)+IF(Skills!H7&gt;0,INT(MIN(Skills!I7,MAX(0,MAX(0,Inputs!$B$44-B1831)-((R1802-1)*IF(Inputs!$B$39="pvp",15,MAX(0.1,Skills!D7-IF(TRUE=TRUE,Inputs!$B$33,0))))))/Skills!H7+0.000000001),1)))/Inputs!$B$44),G1802*Q1802))*IF(Inputs!$B$39="pvp",1,1+(Inputs!$B$21+0+Skills!P7+((C1812=TRUE)*F1812*IF(AND(Inputs!$B$39&lt;&gt;"pvp",Inputs!$B$44&gt;0),(((R1812-1)*MIN((Skills!T17*(1+Inputs!$B$35/100)),(1/Q1812))+MIN((Skills!T17*(1+Inputs!$B$35/100)),MAX(0,Inputs!$B$44-((R1812-1)*(1/Q1812)))))/Inputs!$B$44),IF(Inputs!$B$39="pvp",MIN((Skills!T17*(1+Inputs!$B$35/100)),15)/15,MIN(1,(Skills!T17*(1+Inputs!$B$35/100))/(1/Q1812)))))+((C1800=TRUE)*IF(Inputs!$B$3&gt;=126,10*MIN(1,15*Q1800),0))+((C1809=TRUE)*IF(Inputs!$B$39="pvp",20,(1-Summary!$B$11)*(20)+Summary!$B$11*(0))*IF(AND(Inputs!$B$39&lt;&gt;"pvp",Inputs!$B$44&gt;0),(((R1809-1)*MIN((Skills!T14*(1+Inputs!$B$35/100)),(1/Q1809))+MIN((Skills!T14*(1+Inputs!$B$35/100)),MAX(0,Inputs!$B$44-((R1809-1)*(1/Q1809)))))/Inputs!$B$44),IF(Inputs!$B$39="pvp",MIN((Skills!T14*(1+Inputs!$B$35/100)),15)/15,MIN(1,(Skills!T14*(1+Inputs!$B$35/100))/(1/Q1809)))))+((C1808=TRUE)*IF(Inputs!$B$3&gt;=82,IF(Inputs!$B$39="pvp",20,(1-Summary!$B$11)*(20)+Summary!$B$11*(0)),0)*IF(AND(Inputs!$B$39&lt;&gt;"pvp",Inputs!$B$44&gt;0),(((R1808-1)*MIN((Skills!T13*(1+Inputs!$B$35/100)),(1/Q1808))+MIN((Skills!T13*(1+Inputs!$B$35/100)),MAX(0,Inputs!$B$44-((R1808-1)*(1/Q1808)))))/Inputs!$B$44),IF(Inputs!$B$39="pvp",MIN((Skills!T13*(1+Inputs!$B$35/100)),15)/15,MIN(1,(Skills!T13*(1+Inputs!$B$35/100))/(1/Q1808)))))+(IF(AND(ArtifactsInput!$M$35,Inputs!$B$4&lt;&gt;"Chapter Hunt"),CHOOSE(ArtifactsInput!$N$35+1,15,18,21,24,27,30)*(1-EXP(-(0.2*B1826)*5)),0)+IF(AND(ArtifactsInput!$M$22,Inputs!$B$4&lt;&gt;"Chapter Hunt"),CHOOSE(ArtifactsInput!$N$22+1,10,12,14,16,18,20)*((0*(((0.15*B1826*5))^0/1)+1*(((0.15*B1826*5))^1/1)+2*(((0.15*B1826*5))^2/2)+3*(((0.15*B1826*5))^3/6)+4*(((0.15*B1826*5))^4/24)+5*(((0.15*B1826*5))^5/120))/((((0.15*B1826*5))^0/1)+(((0.15*B1826*5))^1/1)+(((0.15*B1826*5))^2/2)+(((0.15*B1826*5))^3/6)+(((0.15*B1826*5))^4/24)+(((0.15*B1826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1802*(1-MIN(100,(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1802*(MIN(100,(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1802*(1-MIN(100,(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1802*(MIN(100,(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IF(ArtifactsInput!$M$20,FALSE,TRUE),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02">
        <f>IF(C1802,(H1802*N1802*IF(AND(Inputs!$B$39&lt;&gt;"pvp",Inputs!$B$44&gt;0),((Skills!G7*((R1802-1)*IF(Skills!H7&gt;0,INT(Skills!I7/Skills!H7+0.000000001),1)+IF(Skills!H7&gt;0,INT(MIN(Skills!I7,MAX(0,MAX(0,Inputs!$B$44-B1831)-((R1802-1)*IF(Inputs!$B$39="pvp",15,MAX(0.1,Skills!D7-IF(TRUE=TRUE,Inputs!$B$33,0))))))/Skills!H7+0.000000001),1)))/Inputs!$B$44),G1802*Q1802))*IF(Inputs!$B$39="pvp",1,(1+(Inputs!$B$22+Skills!Q7+((C1812=TRUE)*F1812*IF(AND(Inputs!$B$39&lt;&gt;"pvp",Inputs!$B$44&gt;0),(((R1812-1)*MIN((Skills!T17*(1+Inputs!$B$35/100)),(1/Q1812))+MIN((Skills!T17*(1+Inputs!$B$35/100)),MAX(0,Inputs!$B$44-((R1812-1)*(1/Q1812)))))/Inputs!$B$44),IF(Inputs!$B$39="pvp",MIN((Skills!T17*(1+Inputs!$B$35/100)),15)/15,MIN(1,(Skills!T17*(1+Inputs!$B$35/100))/(1/Q1812)))))+((C1800=TRUE)*IF(Inputs!$B$3&gt;=126,10*MIN(1,15*Q1800),0))+((C1809=TRUE)*IF(Inputs!$B$39="pvp",20,(1-Summary!$B$11)*(20)+Summary!$B$11*(0))*IF(AND(Inputs!$B$39&lt;&gt;"pvp",Inputs!$B$44&gt;0),(((R1809-1)*MIN((Skills!T14*(1+Inputs!$B$35/100)),(1/Q1809))+MIN((Skills!T14*(1+Inputs!$B$35/100)),MAX(0,Inputs!$B$44-((R1809-1)*(1/Q1809)))))/Inputs!$B$44),IF(Inputs!$B$39="pvp",MIN((Skills!T14*(1+Inputs!$B$35/100)),15)/15,MIN(1,(Skills!T14*(1+Inputs!$B$35/100))/(1/Q1809)))))+((C1808=TRUE)*IF(Inputs!$B$3&gt;=82,IF(Inputs!$B$39="pvp",20,(1-Summary!$B$11)*(20)+Summary!$B$11*(0)),0)*IF(AND(Inputs!$B$39&lt;&gt;"pvp",Inputs!$B$44&gt;0),(((R1808-1)*MIN((Skills!T13*(1+Inputs!$B$35/100)),(1/Q1808))+MIN((Skills!T13*(1+Inputs!$B$35/100)),MAX(0,Inputs!$B$44-((R1808-1)*(1/Q1808)))))/Inputs!$B$44),IF(Inputs!$B$39="pvp",MIN((Skills!T13*(1+Inputs!$B$35/100)),15)/15,MIN(1,(Skills!T13*(1+Inputs!$B$35/100))/(1/Q1808)))))+(IF(AND(ArtifactsInput!$M$35,Inputs!$B$4&lt;&gt;"Chapter Hunt"),CHOOSE(ArtifactsInput!$N$35+1,15,18,21,24,27,30)*(1-EXP(-(0.2*B1826)*5)),0)+IF(AND(ArtifactsInput!$M$22,Inputs!$B$4&lt;&gt;"Chapter Hunt"),CHOOSE(ArtifactsInput!$N$22+1,10,12,14,16,18,20)*((0*(((0.15*B1826*5))^0/1)+1*(((0.15*B1826*5))^1/1)+2*(((0.15*B1826*5))^2/2)+3*(((0.15*B1826*5))^3/6)+4*(((0.15*B1826*5))^4/24)+5*(((0.15*B1826*5))^5/120))/((((0.15*B1826*5))^0/1)+(((0.15*B1826*5))^1/1)+(((0.15*B1826*5))^2/2)+(((0.15*B1826*5))^3/6)+(((0.15*B1826*5))^4/24)+(((0.15*B1826*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IF(ArtifactsInput!$M$20,FALSE,TRUE),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03">
      <c r="A1803">
        <f>Skills!A8</f>
        <v/>
      </c>
      <c r="B1803">
        <f>Skills!B8</f>
        <v/>
      </c>
      <c r="C1803">
        <f>Inputs!$B$3&gt;=75</f>
        <v/>
      </c>
      <c r="D1803">
        <f>IF(Skills!C8=1,60+Inputs!$B$26+Inputs!$B$30,IF(Skills!C8=2,90+Inputs!$B$27+Inputs!$B$30,IF(Skills!C8=3,120+Inputs!$B$28+Inputs!$B$30,MAX(0,(Inputs!$B$3-100)*3)+Inputs!$B$29+Inputs!$B$30)))</f>
        <v/>
      </c>
      <c r="E1803">
        <f>INDEX(FactorTable!$B$2:$Y$301, MATCH(ROUND(MIN(300,MAX(1,D1803)),0), FactorTable!$A$2:$A$301,0), Skills!M8+1)</f>
        <v/>
      </c>
      <c r="F1803">
        <f>IF(Skills!N8=TRUE,(Skills!L8/10)*(E1803/1000),Skills!L8/10)+Skills!O8</f>
        <v/>
      </c>
      <c r="G1803" t="inlineStr"/>
      <c r="H1803" t="inlineStr"/>
      <c r="I1803" t="inlineStr">
        <is>
          <t>1</t>
        </is>
      </c>
      <c r="J1803" t="inlineStr"/>
      <c r="K1803" t="inlineStr"/>
      <c r="L1803" t="inlineStr"/>
      <c r="M1803" t="inlineStr"/>
      <c r="N1803" t="inlineStr"/>
      <c r="O1803" t="inlineStr"/>
      <c r="P1803" t="inlineStr"/>
      <c r="Q1803" t="inlineStr"/>
      <c r="R1803" t="inlineStr"/>
      <c r="S1803" t="inlineStr"/>
    </row>
    <row r="1804">
      <c r="A1804">
        <f>Skills!A9</f>
        <v/>
      </c>
      <c r="B1804">
        <f>Skills!B9</f>
        <v/>
      </c>
      <c r="C1804">
        <f>Inputs!$B$3&gt;=60</f>
        <v/>
      </c>
      <c r="D1804">
        <f>IF(Skills!C9=1,60+Inputs!$B$26+Inputs!$B$30,IF(Skills!C9=2,90+Inputs!$B$27+Inputs!$B$30,IF(Skills!C9=3,120+Inputs!$B$28+Inputs!$B$30,MAX(0,(Inputs!$B$3-100)*3)+Inputs!$B$29+Inputs!$B$30)))</f>
        <v/>
      </c>
      <c r="E1804">
        <f>INDEX(FactorTable!$B$2:$Y$301, MATCH(ROUND(MIN(300,MAX(1,D1804)),0), FactorTable!$A$2:$A$301,0), Skills!M9+1)</f>
        <v/>
      </c>
      <c r="F1804">
        <f>IF(Skills!N9=TRUE,(Skills!L9/10)*(E1804/1000),Skills!L9/10)+Skills!O9</f>
        <v/>
      </c>
      <c r="G1804">
        <f>Skills!G9*IF(Skills!H9&gt;0,INT(IF(Inputs!$B$39="pvp",MIN(Skills!I9,15),Skills!I9)/Skills!H9+0.000000001),1)</f>
        <v/>
      </c>
      <c r="H1804">
        <f>1-(1-Skills!J9/100)^Skills!K9</f>
        <v/>
      </c>
      <c r="I1804" t="inlineStr">
        <is>
          <t>1</t>
        </is>
      </c>
      <c r="J1804">
        <f>((Inputs!$B$6*(1+Inputs!$B$7/100))+(((Inputs!$B$13*(1+Inputs!$B$14/100))-(Inputs!$B$13*(1+Inputs!$B$14/100)))+0.25*(Inputs!$B$15-Inputs!$B$15))*(1+Inputs!$B$7/100))*(F1804/100)</f>
        <v/>
      </c>
      <c r="K1804">
        <f>J1804*(1+(((Inputs!$B$13+IF(Inputs!$B$3&gt;=38,(10*INDEX(FactorTable!$B$2:$Y$301, MATCH(ROUND(MIN(300,MAX(1,Inputs!$B$3)),0), FactorTable!$A$2:$A$301,0), 23)/1000)/100*(Inputs!$B$8*(1+Inputs!$B$9/100)),0))*(1+Inputs!$B$14/100))*0.01+Inputs!$B$15*0.0025)/100)*(1+Inputs!$B$16/100)*(1+Inputs!$B$17/100)*(5000/(6000+Inputs!$B$43*(1-(Inputs!$B$20+0)/100)))*(1+(Inputs!$B$25+((C1820=TRUE)*(F1820-Calc!F25))+((C1821=TRUE)*(F1821-Calc!F26))+B1830)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1806=TRUE,F1806,0)/100)*(1+(IF(Skills!A9="DARK_IMPALE",Inputs!$B$18+0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gt;=100),MIN(100,((Inputs!$B$10+0+B1824+(ArtifactsInput!$M$24-ArtifactsInput!$M$24)*CHOOSE(ArtifactsInput!$N$24+1,10,12,14,16,18,20)+IF(ArtifactsInput!$M$10,CHOOSE(ArtifactsInput!$N$10+1,15,18,21,24,27,30)*(IF(Inputs!$B$39="pvp",MIN(15,15)/15,IF(AND(Inputs!$B$39&lt;&gt;"pvp",Inputs!$B$44&gt;0),MIN(15,Inputs!$B$44)/(Inputs!$B$44),0))),0)))-100),0))*CHOOSE(ArtifactsInput!$N$42+1,0.6,0.72,0.84,0.96,1.08,1.2))),Inputs!$B$19+((C1818=TRUE)*(F1818-Calc!F23))+(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gt;=100),CHOOSE(ArtifactsInput!$N$42+1,40,48,56,64,72,80),0))))/100)*((1+(((C1808=TRUE)*F1808*IF(AND(Inputs!$B$39&lt;&gt;"pvp",Inputs!$B$44&gt;0),(((R1808-1)*MIN((Skills!T13*(1+Inputs!$B$35/100)),(1/Q1808))+MIN((Skills!T13*(1+Inputs!$B$35/100)),MAX(0,Inputs!$B$44-((R1808-1)*(1/Q1808)))))/Inputs!$B$44),IF(Inputs!$B$39="pvp",MIN((Skills!T13*(1+Inputs!$B$35/100)),15)/15,MIN(1,(Skills!T13*(1+Inputs!$B$35/100))/(1/Q1808)))))+((C1809=TRUE)*F1809*IF(AND(Inputs!$B$39&lt;&gt;"pvp",Inputs!$B$44&gt;0),(((R1809-1)*MIN((Skills!T14*(1+Inputs!$B$35/100)),(1/Q1809))+MIN((Skills!T14*(1+Inputs!$B$35/100)),MAX(0,Inputs!$B$44-((R1809-1)*(1/Q1809)))))/Inputs!$B$44),IF(Inputs!$B$39="pvp",MIN((Skills!T14*(1+Inputs!$B$35/100)),15)/15,MIN(1,(Skills!T14*(1+Inputs!$B$35/100))/(1/Q1809)))))+((C1810=TRUE)*F1810*IF(AND(Inputs!$B$39&lt;&gt;"pvp",Inputs!$B$44&gt;0),(((R1810-1)*MIN((Skills!T15*(1+Inputs!$B$35/100)),(1/Q1810))+MIN((Skills!T15*(1+Inputs!$B$35/100)),MAX(0,Inputs!$B$44-((R1810-1)*(1/Q1810)))))/Inputs!$B$44),IF(Inputs!$B$39="pvp",MIN((Skills!T15*(1+Inputs!$B$35/100)),15)/15,MIN(1,(Skills!T15*(1+Inputs!$B$35/100))/(1/Q1810)))))+((C1811=TRUE)*F1811*IF(AND(Inputs!$B$39&lt;&gt;"pvp",Inputs!$B$44&gt;0),(((R1811-1)*MIN((Skills!T16*(1+Inputs!$B$35/100)),(1/Q1811))+MIN((Skills!T16*(1+Inputs!$B$35/100)),MAX(0,Inputs!$B$44-((R1811-1)*(1/Q1811)))))/Inputs!$B$44),IF(Inputs!$B$39="pvp",MIN((Skills!T16*(1+Inputs!$B$35/100)),15)/15,MIN(1,(Skills!T16*(1+Inputs!$B$35/100))/(1/Q1811)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1804)</f>
        <v/>
      </c>
      <c r="L1804">
        <f>K1804*(MIN(Inputs!$B$23+((C1817=TRUE)*(F1817-Calc!F22)),(Inputs!$B$24+((C1819=TRUE)*(F1819-Calc!F24))+(IF(ArtifactsInput!$M$15,CHOOSE(ArtifactsInput!$N$15+1,25,30,35,40,45,50)/100*(Inputs!$B$12-Inputs!$B$12),0))))/100+(Inputs!$B$24+((C1819=TRUE)*(F1819-Calc!F24))+(IF(ArtifactsInput!$M$15,CHOOSE(ArtifactsInput!$N$15+1,25,30,35,40,45,50)/100*(Inputs!$B$12-Inputs!$B$12),0)))/100)/2</f>
        <v/>
      </c>
      <c r="M1804">
        <f>L1804*(1+(Inputs!$B$11+0+B1829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804">
        <f>L1804*(1-MIN((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1804*(MIN((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04">
        <f>(1-Summary!$B$11)*T1804+Summary!$B$11*V1804</f>
        <v/>
      </c>
      <c r="P1804">
        <f>IF(B1834=0,0,O1804/B1834)</f>
        <v/>
      </c>
      <c r="Q1804">
        <f>IFERROR(1/IF(Inputs!$B$39="pvp",15,MAX(0.1,Skills!D9-IF(TRUE=TRUE,Inputs!$B$33,0))),0)</f>
        <v/>
      </c>
      <c r="R1804">
        <f>IF(AND(Inputs!$B$39&lt;&gt;"pvp",Inputs!$B$44&gt;0),IF(MAX(0,Inputs!$B$44-B1831)&lt;=0,0,(INT(MAX(0,Inputs!$B$44-B1831)/IF(Inputs!$B$39="pvp",15,MAX(0.1,Skills!D9-IF(TRUE=TRUE,Inputs!$B$33,0))))+1)),0)</f>
        <v/>
      </c>
      <c r="S1804">
        <f>IFERROR(O1804/N1804,0)</f>
        <v/>
      </c>
      <c r="T1804">
        <f>IF(C1804,(H1804*N1804*IF(AND(Inputs!$B$39&lt;&gt;"pvp",Inputs!$B$44&gt;0),((Skills!G9*((R1804-1)*IF(Skills!H9&gt;0,INT(Skills!I9/Skills!H9+0.000000001),1)+IF(Skills!H9&gt;0,INT(MIN(Skills!I9,MAX(0,MAX(0,Inputs!$B$44-B1831)-((R1804-1)*IF(Inputs!$B$39="pvp",15,MAX(0.1,Skills!D9-IF(TRUE=TRUE,Inputs!$B$33,0))))))/Skills!H9+0.000000001),1)))/Inputs!$B$44),G1804*Q1804))*IF(Inputs!$B$39="pvp",1,1+(Inputs!$B$21+0+Skills!P9+((C1812=TRUE)*F1812*IF(AND(Inputs!$B$39&lt;&gt;"pvp",Inputs!$B$44&gt;0),(((R1812-1)*MIN((Skills!T17*(1+Inputs!$B$35/100)),(1/Q1812))+MIN((Skills!T17*(1+Inputs!$B$35/100)),MAX(0,Inputs!$B$44-((R1812-1)*(1/Q1812)))))/Inputs!$B$44),IF(Inputs!$B$39="pvp",MIN((Skills!T17*(1+Inputs!$B$35/100)),15)/15,MIN(1,(Skills!T17*(1+Inputs!$B$35/100))/(1/Q1812)))))+((C1800=TRUE)*IF(Inputs!$B$3&gt;=126,10*MIN(1,15*Q1800),0))+((C1809=TRUE)*IF(Inputs!$B$39="pvp",20,(1-Summary!$B$11)*(20)+Summary!$B$11*(0))*IF(AND(Inputs!$B$39&lt;&gt;"pvp",Inputs!$B$44&gt;0),(((R1809-1)*MIN((Skills!T14*(1+Inputs!$B$35/100)),(1/Q1809))+MIN((Skills!T14*(1+Inputs!$B$35/100)),MAX(0,Inputs!$B$44-((R1809-1)*(1/Q1809)))))/Inputs!$B$44),IF(Inputs!$B$39="pvp",MIN((Skills!T14*(1+Inputs!$B$35/100)),15)/15,MIN(1,(Skills!T14*(1+Inputs!$B$35/100))/(1/Q1809)))))+((C1808=TRUE)*IF(Inputs!$B$3&gt;=82,IF(Inputs!$B$39="pvp",20,(1-Summary!$B$11)*(20)+Summary!$B$11*(0)),0)*IF(AND(Inputs!$B$39&lt;&gt;"pvp",Inputs!$B$44&gt;0),(((R1808-1)*MIN((Skills!T13*(1+Inputs!$B$35/100)),(1/Q1808))+MIN((Skills!T13*(1+Inputs!$B$35/100)),MAX(0,Inputs!$B$44-((R1808-1)*(1/Q1808)))))/Inputs!$B$44),IF(Inputs!$B$39="pvp",MIN((Skills!T13*(1+Inputs!$B$35/100)),15)/15,MIN(1,(Skills!T13*(1+Inputs!$B$35/100))/(1/Q1808)))))+(IF(AND(ArtifactsInput!$M$35,Inputs!$B$4&lt;&gt;"Chapter Hunt"),CHOOSE(ArtifactsInput!$N$35+1,15,18,21,24,27,30)*(1-EXP(-(0.2*B1826)*5)),0)+IF(AND(ArtifactsInput!$M$22,Inputs!$B$4&lt;&gt;"Chapter Hunt"),CHOOSE(ArtifactsInput!$N$22+1,10,12,14,16,18,20)*((0*(((0.15*B1826*5))^0/1)+1*(((0.15*B1826*5))^1/1)+2*(((0.15*B1826*5))^2/2)+3*(((0.15*B1826*5))^3/6)+4*(((0.15*B1826*5))^4/24)+5*(((0.15*B1826*5))^5/120))/((((0.15*B1826*5))^0/1)+(((0.15*B1826*5))^1/1)+(((0.15*B1826*5))^2/2)+(((0.15*B1826*5))^3/6)+(((0.15*B1826*5))^4/24)+(((0.15*B1826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1804*(1-MIN(100,(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1804*(MIN(100,(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1804*(1-MIN(100,(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1804*(MIN(100,(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IF(ArtifactsInput!$M$20,FALSE,TRUE),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04">
        <f>IF(C1804,(H1804*N1804*IF(AND(Inputs!$B$39&lt;&gt;"pvp",Inputs!$B$44&gt;0),((Skills!G9*((R1804-1)*IF(Skills!H9&gt;0,INT(Skills!I9/Skills!H9+0.000000001),1)+IF(Skills!H9&gt;0,INT(MIN(Skills!I9,MAX(0,MAX(0,Inputs!$B$44-B1831)-((R1804-1)*IF(Inputs!$B$39="pvp",15,MAX(0.1,Skills!D9-IF(TRUE=TRUE,Inputs!$B$33,0))))))/Skills!H9+0.000000001),1)))/Inputs!$B$44),G1804*Q1804))*IF(Inputs!$B$39="pvp",1,(1+(Inputs!$B$22+Skills!Q9+((C1812=TRUE)*F1812*IF(AND(Inputs!$B$39&lt;&gt;"pvp",Inputs!$B$44&gt;0),(((R1812-1)*MIN((Skills!T17*(1+Inputs!$B$35/100)),(1/Q1812))+MIN((Skills!T17*(1+Inputs!$B$35/100)),MAX(0,Inputs!$B$44-((R1812-1)*(1/Q1812)))))/Inputs!$B$44),IF(Inputs!$B$39="pvp",MIN((Skills!T17*(1+Inputs!$B$35/100)),15)/15,MIN(1,(Skills!T17*(1+Inputs!$B$35/100))/(1/Q1812)))))+((C1800=TRUE)*IF(Inputs!$B$3&gt;=126,10*MIN(1,15*Q1800),0))+((C1809=TRUE)*IF(Inputs!$B$39="pvp",20,(1-Summary!$B$11)*(20)+Summary!$B$11*(0))*IF(AND(Inputs!$B$39&lt;&gt;"pvp",Inputs!$B$44&gt;0),(((R1809-1)*MIN((Skills!T14*(1+Inputs!$B$35/100)),(1/Q1809))+MIN((Skills!T14*(1+Inputs!$B$35/100)),MAX(0,Inputs!$B$44-((R1809-1)*(1/Q1809)))))/Inputs!$B$44),IF(Inputs!$B$39="pvp",MIN((Skills!T14*(1+Inputs!$B$35/100)),15)/15,MIN(1,(Skills!T14*(1+Inputs!$B$35/100))/(1/Q1809)))))+((C1808=TRUE)*IF(Inputs!$B$3&gt;=82,IF(Inputs!$B$39="pvp",20,(1-Summary!$B$11)*(20)+Summary!$B$11*(0)),0)*IF(AND(Inputs!$B$39&lt;&gt;"pvp",Inputs!$B$44&gt;0),(((R1808-1)*MIN((Skills!T13*(1+Inputs!$B$35/100)),(1/Q1808))+MIN((Skills!T13*(1+Inputs!$B$35/100)),MAX(0,Inputs!$B$44-((R1808-1)*(1/Q1808)))))/Inputs!$B$44),IF(Inputs!$B$39="pvp",MIN((Skills!T13*(1+Inputs!$B$35/100)),15)/15,MIN(1,(Skills!T13*(1+Inputs!$B$35/100))/(1/Q1808)))))+(IF(AND(ArtifactsInput!$M$35,Inputs!$B$4&lt;&gt;"Chapter Hunt"),CHOOSE(ArtifactsInput!$N$35+1,15,18,21,24,27,30)*(1-EXP(-(0.2*B1826)*5)),0)+IF(AND(ArtifactsInput!$M$22,Inputs!$B$4&lt;&gt;"Chapter Hunt"),CHOOSE(ArtifactsInput!$N$22+1,10,12,14,16,18,20)*((0*(((0.15*B1826*5))^0/1)+1*(((0.15*B1826*5))^1/1)+2*(((0.15*B1826*5))^2/2)+3*(((0.15*B1826*5))^3/6)+4*(((0.15*B1826*5))^4/24)+5*(((0.15*B1826*5))^5/120))/((((0.15*B1826*5))^0/1)+(((0.15*B1826*5))^1/1)+(((0.15*B1826*5))^2/2)+(((0.15*B1826*5))^3/6)+(((0.15*B1826*5))^4/24)+(((0.15*B1826*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IF(ArtifactsInput!$M$20,FALSE,TRUE),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05">
      <c r="A1805">
        <f>Skills!A10</f>
        <v/>
      </c>
      <c r="B1805">
        <f>Skills!B10</f>
        <v/>
      </c>
      <c r="C1805">
        <f>Inputs!$B$3&gt;=110</f>
        <v/>
      </c>
      <c r="D1805">
        <f>IF(Skills!C10=1,60+Inputs!$B$26+Inputs!$B$30,IF(Skills!C10=2,90+Inputs!$B$27+Inputs!$B$30,IF(Skills!C10=3,120+Inputs!$B$28+Inputs!$B$30,MAX(0,(Inputs!$B$3-100)*3)+Inputs!$B$29+Inputs!$B$30)))</f>
        <v/>
      </c>
      <c r="E1805">
        <f>INDEX(FactorTable!$B$2:$Y$301, MATCH(ROUND(MIN(300,MAX(1,D1805)),0), FactorTable!$A$2:$A$301,0), Skills!M10+1)</f>
        <v/>
      </c>
      <c r="F1805">
        <f>IF(Skills!N10=TRUE,(Skills!L10/10)*(E1805/1000),Skills!L10/10)+Skills!O10</f>
        <v/>
      </c>
      <c r="G1805">
        <f>Skills!G10*IF(Skills!H10&gt;0,INT(IF(Inputs!$B$39="pvp",MIN(Skills!I10,15),Skills!I10)/Skills!H10+0.000000001),1)</f>
        <v/>
      </c>
      <c r="H1805">
        <f>1-(1-Skills!J10/100)^Skills!K10</f>
        <v/>
      </c>
      <c r="I1805" t="inlineStr">
        <is>
          <t>1</t>
        </is>
      </c>
      <c r="J1805">
        <f>((Inputs!$B$6*(1+Inputs!$B$7/100))+(((Inputs!$B$13*(1+Inputs!$B$14/100))-(Inputs!$B$13*(1+Inputs!$B$14/100)))+0.25*(Inputs!$B$15-Inputs!$B$15))*(1+Inputs!$B$7/100))*(F1805/100)</f>
        <v/>
      </c>
      <c r="K1805">
        <f>J1805*(1+(((Inputs!$B$13+IF(Inputs!$B$3&gt;=38,(10*INDEX(FactorTable!$B$2:$Y$301, MATCH(ROUND(MIN(300,MAX(1,Inputs!$B$3)),0), FactorTable!$A$2:$A$301,0), 23)/1000)/100*(Inputs!$B$8*(1+Inputs!$B$9/100)),0))*(1+Inputs!$B$14/100))*0.01+Inputs!$B$15*0.0025)/100)*(1+Inputs!$B$16/100)*(1+Inputs!$B$17/100)*(5000/(6000+Inputs!$B$43*(1-(Inputs!$B$20+0)/100)))*(1+(Inputs!$B$25+((C1820=TRUE)*(F1820-Calc!F25))+((C1821=TRUE)*(F1821-Calc!F26))+B1830)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gt;=100),MIN(100,((Inputs!$B$10+0+B1824+(ArtifactsInput!$M$24-ArtifactsInput!$M$24)*CHOOSE(ArtifactsInput!$N$24+1,10,12,14,16,18,20)+IF(ArtifactsInput!$M$10,CHOOSE(ArtifactsInput!$N$10+1,15,18,21,24,27,30)*(IF(Inputs!$B$39="pvp",MIN(15,15)/15,IF(AND(Inputs!$B$39&lt;&gt;"pvp",Inputs!$B$44&gt;0),MIN(15,Inputs!$B$44)/(Inputs!$B$44),0))),0)))-100),0))*CHOOSE(ArtifactsInput!$N$42+1,0.6,0.72,0.84,0.96,1.08,1.2))),Inputs!$B$19+((C1818=TRUE)*(F1818-Calc!F23))+(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gt;=100),CHOOSE(ArtifactsInput!$N$42+1,40,48,56,64,72,80),0))))/100)*((1+(((C1808=TRUE)*F1808*IF(AND(Inputs!$B$39&lt;&gt;"pvp",Inputs!$B$44&gt;0),(((R1808-1)*MIN((Skills!T13*(1+Inputs!$B$35/100)),(1/Q1808))+MIN((Skills!T13*(1+Inputs!$B$35/100)),MAX(0,Inputs!$B$44-((R1808-1)*(1/Q1808)))))/Inputs!$B$44),IF(Inputs!$B$39="pvp",MIN((Skills!T13*(1+Inputs!$B$35/100)),15)/15,MIN(1,(Skills!T13*(1+Inputs!$B$35/100))/(1/Q1808)))))+((C1809=TRUE)*F1809*IF(AND(Inputs!$B$39&lt;&gt;"pvp",Inputs!$B$44&gt;0),(((R1809-1)*MIN((Skills!T14*(1+Inputs!$B$35/100)),(1/Q1809))+MIN((Skills!T14*(1+Inputs!$B$35/100)),MAX(0,Inputs!$B$44-((R1809-1)*(1/Q1809)))))/Inputs!$B$44),IF(Inputs!$B$39="pvp",MIN((Skills!T14*(1+Inputs!$B$35/100)),15)/15,MIN(1,(Skills!T14*(1+Inputs!$B$35/100))/(1/Q1809)))))+((C1810=TRUE)*F1810*IF(AND(Inputs!$B$39&lt;&gt;"pvp",Inputs!$B$44&gt;0),(((R1810-1)*MIN((Skills!T15*(1+Inputs!$B$35/100)),(1/Q1810))+MIN((Skills!T15*(1+Inputs!$B$35/100)),MAX(0,Inputs!$B$44-((R1810-1)*(1/Q1810)))))/Inputs!$B$44),IF(Inputs!$B$39="pvp",MIN((Skills!T15*(1+Inputs!$B$35/100)),15)/15,MIN(1,(Skills!T15*(1+Inputs!$B$35/100))/(1/Q1810)))))+((C1811=TRUE)*F1811*IF(AND(Inputs!$B$39&lt;&gt;"pvp",Inputs!$B$44&gt;0),(((R1811-1)*MIN((Skills!T16*(1+Inputs!$B$35/100)),(1/Q1811))+MIN((Skills!T16*(1+Inputs!$B$35/100)),MAX(0,Inputs!$B$44-((R1811-1)*(1/Q1811)))))/Inputs!$B$44),IF(Inputs!$B$39="pvp",MIN((Skills!T16*(1+Inputs!$B$35/100)),15)/15,MIN(1,(Skills!T16*(1+Inputs!$B$35/100))/(1/Q1811)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1805)</f>
        <v/>
      </c>
      <c r="L1805">
        <f>K1805*(MIN(Inputs!$B$23+((C1817=TRUE)*(F1817-Calc!F22)),(Inputs!$B$24+((C1819=TRUE)*(F1819-Calc!F24))+(IF(ArtifactsInput!$M$15,CHOOSE(ArtifactsInput!$N$15+1,25,30,35,40,45,50)/100*(Inputs!$B$12-Inputs!$B$12),0))))/100+(Inputs!$B$24+((C1819=TRUE)*(F1819-Calc!F24))+(IF(ArtifactsInput!$M$15,CHOOSE(ArtifactsInput!$N$15+1,25,30,35,40,45,50)/100*(Inputs!$B$12-Inputs!$B$12),0)))/100)/2</f>
        <v/>
      </c>
      <c r="M1805">
        <f>L1805*(1+(Inputs!$B$11+0+B1829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805">
        <f>L1805*(1-MIN((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1805*(MIN((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05">
        <f>(1-Summary!$B$11)*T1805+Summary!$B$11*V1805</f>
        <v/>
      </c>
      <c r="P1805">
        <f>IF(B1834=0,0,O1805/B1834)</f>
        <v/>
      </c>
      <c r="Q1805">
        <f>IFERROR(1/IF(Inputs!$B$39="pvp",15,MAX(0.1,Skills!D10-IF(TRUE=TRUE,Inputs!$B$33,0))),0)</f>
        <v/>
      </c>
      <c r="R1805">
        <f>IF(AND(Inputs!$B$39&lt;&gt;"pvp",Inputs!$B$44&gt;0),IF(MAX(0,Inputs!$B$44-B1831)&lt;=0,0,(INT(MAX(0,Inputs!$B$44-B1831)/IF(Inputs!$B$39="pvp",15,MAX(0.1,Skills!D10-IF(TRUE=TRUE,Inputs!$B$33,0))))+1)),0)</f>
        <v/>
      </c>
      <c r="S1805">
        <f>IFERROR(O1805/N1805,0)</f>
        <v/>
      </c>
      <c r="T1805">
        <f>IF(C1805,(H1805*N1805*IF(AND(Inputs!$B$39&lt;&gt;"pvp",Inputs!$B$44&gt;0),((Skills!G10*((R1805-1)*IF(Skills!H10&gt;0,INT(Skills!I10/Skills!H10+0.000000001),1)+IF(Skills!H10&gt;0,INT(MIN(Skills!I10,MAX(0,MAX(0,Inputs!$B$44-B1831)-((R1805-1)*IF(Inputs!$B$39="pvp",15,MAX(0.1,Skills!D10-IF(TRUE=TRUE,Inputs!$B$33,0))))))/Skills!H10+0.000000001),1)))/Inputs!$B$44),G1805*Q1805))*IF(Inputs!$B$39="pvp",1,1+(Inputs!$B$21+0+Skills!P10+((C1812=TRUE)*F1812*IF(AND(Inputs!$B$39&lt;&gt;"pvp",Inputs!$B$44&gt;0),(((R1812-1)*MIN((Skills!T17*(1+Inputs!$B$35/100)),(1/Q1812))+MIN((Skills!T17*(1+Inputs!$B$35/100)),MAX(0,Inputs!$B$44-((R1812-1)*(1/Q1812)))))/Inputs!$B$44),IF(Inputs!$B$39="pvp",MIN((Skills!T17*(1+Inputs!$B$35/100)),15)/15,MIN(1,(Skills!T17*(1+Inputs!$B$35/100))/(1/Q1812)))))+((C1800=TRUE)*IF(Inputs!$B$3&gt;=126,10*MIN(1,15*Q1800),0))+((C1809=TRUE)*IF(Inputs!$B$39="pvp",20,(1-Summary!$B$11)*(20)+Summary!$B$11*(0))*IF(AND(Inputs!$B$39&lt;&gt;"pvp",Inputs!$B$44&gt;0),(((R1809-1)*MIN((Skills!T14*(1+Inputs!$B$35/100)),(1/Q1809))+MIN((Skills!T14*(1+Inputs!$B$35/100)),MAX(0,Inputs!$B$44-((R1809-1)*(1/Q1809)))))/Inputs!$B$44),IF(Inputs!$B$39="pvp",MIN((Skills!T14*(1+Inputs!$B$35/100)),15)/15,MIN(1,(Skills!T14*(1+Inputs!$B$35/100))/(1/Q1809)))))+((C1808=TRUE)*IF(Inputs!$B$3&gt;=82,IF(Inputs!$B$39="pvp",20,(1-Summary!$B$11)*(20)+Summary!$B$11*(0)),0)*IF(AND(Inputs!$B$39&lt;&gt;"pvp",Inputs!$B$44&gt;0),(((R1808-1)*MIN((Skills!T13*(1+Inputs!$B$35/100)),(1/Q1808))+MIN((Skills!T13*(1+Inputs!$B$35/100)),MAX(0,Inputs!$B$44-((R1808-1)*(1/Q1808)))))/Inputs!$B$44),IF(Inputs!$B$39="pvp",MIN((Skills!T13*(1+Inputs!$B$35/100)),15)/15,MIN(1,(Skills!T13*(1+Inputs!$B$35/100))/(1/Q1808)))))+(IF(AND(ArtifactsInput!$M$35,Inputs!$B$4&lt;&gt;"Chapter Hunt"),CHOOSE(ArtifactsInput!$N$35+1,15,18,21,24,27,30)*(1-EXP(-(0.2*B1826)*5)),0)+IF(AND(ArtifactsInput!$M$22,Inputs!$B$4&lt;&gt;"Chapter Hunt"),CHOOSE(ArtifactsInput!$N$22+1,10,12,14,16,18,20)*((0*(((0.15*B1826*5))^0/1)+1*(((0.15*B1826*5))^1/1)+2*(((0.15*B1826*5))^2/2)+3*(((0.15*B1826*5))^3/6)+4*(((0.15*B1826*5))^4/24)+5*(((0.15*B1826*5))^5/120))/((((0.15*B1826*5))^0/1)+(((0.15*B1826*5))^1/1)+(((0.15*B1826*5))^2/2)+(((0.15*B1826*5))^3/6)+(((0.15*B1826*5))^4/24)+(((0.15*B1826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1805*(1-MIN(100,(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1805*(MIN(100,(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1805*(1-MIN(100,(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1805*(MIN(100,(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IF(ArtifactsInput!$M$20,FALSE,TRUE),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05">
        <f>IF(C1805,(H1805*N1805*IF(AND(Inputs!$B$39&lt;&gt;"pvp",Inputs!$B$44&gt;0),((Skills!G10*((R1805-1)*IF(Skills!H10&gt;0,INT(Skills!I10/Skills!H10+0.000000001),1)+IF(Skills!H10&gt;0,INT(MIN(Skills!I10,MAX(0,MAX(0,Inputs!$B$44-B1831)-((R1805-1)*IF(Inputs!$B$39="pvp",15,MAX(0.1,Skills!D10-IF(TRUE=TRUE,Inputs!$B$33,0))))))/Skills!H10+0.000000001),1)))/Inputs!$B$44),G1805*Q1805))*IF(Inputs!$B$39="pvp",1,(1+(Inputs!$B$22+Skills!Q10+((C1812=TRUE)*F1812*IF(AND(Inputs!$B$39&lt;&gt;"pvp",Inputs!$B$44&gt;0),(((R1812-1)*MIN((Skills!T17*(1+Inputs!$B$35/100)),(1/Q1812))+MIN((Skills!T17*(1+Inputs!$B$35/100)),MAX(0,Inputs!$B$44-((R1812-1)*(1/Q1812)))))/Inputs!$B$44),IF(Inputs!$B$39="pvp",MIN((Skills!T17*(1+Inputs!$B$35/100)),15)/15,MIN(1,(Skills!T17*(1+Inputs!$B$35/100))/(1/Q1812)))))+((C1800=TRUE)*IF(Inputs!$B$3&gt;=126,10*MIN(1,15*Q1800),0))+((C1809=TRUE)*IF(Inputs!$B$39="pvp",20,(1-Summary!$B$11)*(20)+Summary!$B$11*(0))*IF(AND(Inputs!$B$39&lt;&gt;"pvp",Inputs!$B$44&gt;0),(((R1809-1)*MIN((Skills!T14*(1+Inputs!$B$35/100)),(1/Q1809))+MIN((Skills!T14*(1+Inputs!$B$35/100)),MAX(0,Inputs!$B$44-((R1809-1)*(1/Q1809)))))/Inputs!$B$44),IF(Inputs!$B$39="pvp",MIN((Skills!T14*(1+Inputs!$B$35/100)),15)/15,MIN(1,(Skills!T14*(1+Inputs!$B$35/100))/(1/Q1809)))))+((C1808=TRUE)*IF(Inputs!$B$3&gt;=82,IF(Inputs!$B$39="pvp",20,(1-Summary!$B$11)*(20)+Summary!$B$11*(0)),0)*IF(AND(Inputs!$B$39&lt;&gt;"pvp",Inputs!$B$44&gt;0),(((R1808-1)*MIN((Skills!T13*(1+Inputs!$B$35/100)),(1/Q1808))+MIN((Skills!T13*(1+Inputs!$B$35/100)),MAX(0,Inputs!$B$44-((R1808-1)*(1/Q1808)))))/Inputs!$B$44),IF(Inputs!$B$39="pvp",MIN((Skills!T13*(1+Inputs!$B$35/100)),15)/15,MIN(1,(Skills!T13*(1+Inputs!$B$35/100))/(1/Q1808)))))+(IF(AND(ArtifactsInput!$M$35,Inputs!$B$4&lt;&gt;"Chapter Hunt"),CHOOSE(ArtifactsInput!$N$35+1,15,18,21,24,27,30)*(1-EXP(-(0.2*B1826)*5)),0)+IF(AND(ArtifactsInput!$M$22,Inputs!$B$4&lt;&gt;"Chapter Hunt"),CHOOSE(ArtifactsInput!$N$22+1,10,12,14,16,18,20)*((0*(((0.15*B1826*5))^0/1)+1*(((0.15*B1826*5))^1/1)+2*(((0.15*B1826*5))^2/2)+3*(((0.15*B1826*5))^3/6)+4*(((0.15*B1826*5))^4/24)+5*(((0.15*B1826*5))^5/120))/((((0.15*B1826*5))^0/1)+(((0.15*B1826*5))^1/1)+(((0.15*B1826*5))^2/2)+(((0.15*B1826*5))^3/6)+(((0.15*B1826*5))^4/24)+(((0.15*B1826*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IF(ArtifactsInput!$M$20,FALSE,TRUE),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06">
      <c r="A1806">
        <f>Skills!A11</f>
        <v/>
      </c>
      <c r="B1806">
        <f>Skills!B11</f>
        <v/>
      </c>
      <c r="C1806">
        <f>Inputs!$B$3&gt;=100</f>
        <v/>
      </c>
      <c r="D1806">
        <f>IF(Skills!C11=1,60+Inputs!$B$26+Inputs!$B$30,IF(Skills!C11=2,90+Inputs!$B$27+Inputs!$B$30,IF(Skills!C11=3,120+Inputs!$B$28+Inputs!$B$30,MAX(0,(Inputs!$B$3-100)*3)+Inputs!$B$29+Inputs!$B$30)))</f>
        <v/>
      </c>
      <c r="E1806">
        <f>INDEX(FactorTable!$B$2:$Y$301, MATCH(ROUND(MIN(300,MAX(1,D1806)),0), FactorTable!$A$2:$A$301,0), Skills!M11+1)</f>
        <v/>
      </c>
      <c r="F1806">
        <f>IF(Skills!N11=TRUE,(Skills!L11/10)*(E1806/1000),Skills!L11/10)+Skills!O11</f>
        <v/>
      </c>
      <c r="G1806" t="inlineStr"/>
      <c r="H1806" t="inlineStr"/>
      <c r="I1806" t="inlineStr">
        <is>
          <t>1</t>
        </is>
      </c>
      <c r="J1806" t="inlineStr"/>
      <c r="K1806" t="inlineStr"/>
      <c r="L1806" t="inlineStr"/>
      <c r="M1806" t="inlineStr"/>
      <c r="N1806" t="inlineStr"/>
      <c r="O1806" t="inlineStr"/>
      <c r="P1806" t="inlineStr"/>
      <c r="Q1806" t="inlineStr"/>
      <c r="R1806" t="inlineStr"/>
      <c r="S1806" t="inlineStr"/>
    </row>
    <row r="1807">
      <c r="A1807">
        <f>Skills!A12</f>
        <v/>
      </c>
      <c r="B1807">
        <f>Skills!B12</f>
        <v/>
      </c>
      <c r="C1807">
        <f>Inputs!$B$3&gt;=63</f>
        <v/>
      </c>
      <c r="D1807">
        <f>IF(Skills!C12=1,60+Inputs!$B$26+Inputs!$B$30,IF(Skills!C12=2,90+Inputs!$B$27+Inputs!$B$30,IF(Skills!C12=3,120+Inputs!$B$28+Inputs!$B$30,MAX(0,(Inputs!$B$3-100)*3)+Inputs!$B$29+Inputs!$B$30)))</f>
        <v/>
      </c>
      <c r="E1807">
        <f>INDEX(FactorTable!$B$2:$Y$301, MATCH(ROUND(MIN(300,MAX(1,D1807)),0), FactorTable!$A$2:$A$301,0), Skills!M12+1)</f>
        <v/>
      </c>
      <c r="F1807">
        <f>IF(Skills!N12=TRUE,(Skills!L12/10)*(E1807/1000),Skills!L12/10)+Skills!O12</f>
        <v/>
      </c>
      <c r="G1807">
        <f>Skills!G12*IF(Skills!H12&gt;0,INT(IF(Inputs!$B$39="pvp",MIN(Skills!I12,15),Skills!I12)/Skills!H12+0.000000001),1)</f>
        <v/>
      </c>
      <c r="H1807">
        <f>1-(1-Skills!J12/100)^Skills!K12</f>
        <v/>
      </c>
      <c r="I1807" t="inlineStr">
        <is>
          <t>1</t>
        </is>
      </c>
      <c r="J1807">
        <f>((Inputs!$B$6*(1+Inputs!$B$7/100))+(((Inputs!$B$13*(1+Inputs!$B$14/100))-(Inputs!$B$13*(1+Inputs!$B$14/100)))+0.25*(Inputs!$B$15-Inputs!$B$15))*(1+Inputs!$B$7/100))*(F1807/100)</f>
        <v/>
      </c>
      <c r="K1807">
        <f>J1807*(1+(((Inputs!$B$13+IF(Inputs!$B$3&gt;=38,(10*INDEX(FactorTable!$B$2:$Y$301, MATCH(ROUND(MIN(300,MAX(1,Inputs!$B$3)),0), FactorTable!$A$2:$A$301,0), 23)/1000)/100*(Inputs!$B$8*(1+Inputs!$B$9/100)),0))*(1+Inputs!$B$14/100))*0.01+Inputs!$B$15*0.0025)/100)*(1+Inputs!$B$16/100)*(1+Inputs!$B$17/100)*(5000/(6000+Inputs!$B$43*(1-(Inputs!$B$20+0)/100)))*(1+(Inputs!$B$25+((C1820=TRUE)*(F1820-Calc!F25))+((C1821=TRUE)*(F1821-Calc!F26))+B1830)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1806=TRUE,F1806,0)/100)*(1+(IF(Skills!A12="DARK_IMPALE",Inputs!$B$18+0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gt;=100),MIN(100,((Inputs!$B$10+0+B1824+(ArtifactsInput!$M$24-ArtifactsInput!$M$24)*CHOOSE(ArtifactsInput!$N$24+1,10,12,14,16,18,20)+IF(ArtifactsInput!$M$10,CHOOSE(ArtifactsInput!$N$10+1,15,18,21,24,27,30)*(IF(Inputs!$B$39="pvp",MIN(15,15)/15,IF(AND(Inputs!$B$39&lt;&gt;"pvp",Inputs!$B$44&gt;0),MIN(15,Inputs!$B$44)/(Inputs!$B$44),0))),0)))-100),0))*CHOOSE(ArtifactsInput!$N$42+1,0.6,0.72,0.84,0.96,1.08,1.2))),Inputs!$B$19+((C1818=TRUE)*(F1818-Calc!F23))+(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gt;=100),CHOOSE(ArtifactsInput!$N$42+1,40,48,56,64,72,80),0))))/100)*((1+(((C1808=TRUE)*F1808*IF(AND(Inputs!$B$39&lt;&gt;"pvp",Inputs!$B$44&gt;0),(((R1808-1)*MIN((Skills!T13*(1+Inputs!$B$35/100)),(1/Q1808))+MIN((Skills!T13*(1+Inputs!$B$35/100)),MAX(0,Inputs!$B$44-((R1808-1)*(1/Q1808)))))/Inputs!$B$44),IF(Inputs!$B$39="pvp",MIN((Skills!T13*(1+Inputs!$B$35/100)),15)/15,MIN(1,(Skills!T13*(1+Inputs!$B$35/100))/(1/Q1808)))))+((C1809=TRUE)*F1809*IF(AND(Inputs!$B$39&lt;&gt;"pvp",Inputs!$B$44&gt;0),(((R1809-1)*MIN((Skills!T14*(1+Inputs!$B$35/100)),(1/Q1809))+MIN((Skills!T14*(1+Inputs!$B$35/100)),MAX(0,Inputs!$B$44-((R1809-1)*(1/Q1809)))))/Inputs!$B$44),IF(Inputs!$B$39="pvp",MIN((Skills!T14*(1+Inputs!$B$35/100)),15)/15,MIN(1,(Skills!T14*(1+Inputs!$B$35/100))/(1/Q1809)))))+((C1810=TRUE)*F1810*IF(AND(Inputs!$B$39&lt;&gt;"pvp",Inputs!$B$44&gt;0),(((R1810-1)*MIN((Skills!T15*(1+Inputs!$B$35/100)),(1/Q1810))+MIN((Skills!T15*(1+Inputs!$B$35/100)),MAX(0,Inputs!$B$44-((R1810-1)*(1/Q1810)))))/Inputs!$B$44),IF(Inputs!$B$39="pvp",MIN((Skills!T15*(1+Inputs!$B$35/100)),15)/15,MIN(1,(Skills!T15*(1+Inputs!$B$35/100))/(1/Q1810)))))+((C1811=TRUE)*F1811*IF(AND(Inputs!$B$39&lt;&gt;"pvp",Inputs!$B$44&gt;0),(((R1811-1)*MIN((Skills!T16*(1+Inputs!$B$35/100)),(1/Q1811))+MIN((Skills!T16*(1+Inputs!$B$35/100)),MAX(0,Inputs!$B$44-((R1811-1)*(1/Q1811)))))/Inputs!$B$44),IF(Inputs!$B$39="pvp",MIN((Skills!T16*(1+Inputs!$B$35/100)),15)/15,MIN(1,(Skills!T16*(1+Inputs!$B$35/100))/(1/Q1811)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1807)</f>
        <v/>
      </c>
      <c r="L1807">
        <f>K1807*(MIN(Inputs!$B$23+((C1817=TRUE)*(F1817-Calc!F22)),(Inputs!$B$24+((C1819=TRUE)*(F1819-Calc!F24))+(IF(ArtifactsInput!$M$15,CHOOSE(ArtifactsInput!$N$15+1,25,30,35,40,45,50)/100*(Inputs!$B$12-Inputs!$B$12),0))))/100+(Inputs!$B$24+((C1819=TRUE)*(F1819-Calc!F24))+(IF(ArtifactsInput!$M$15,CHOOSE(ArtifactsInput!$N$15+1,25,30,35,40,45,50)/100*(Inputs!$B$12-Inputs!$B$12),0)))/100)/2</f>
        <v/>
      </c>
      <c r="M1807">
        <f>L1807*(1+(Inputs!$B$11+0+B1829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807">
        <f>L1807*(1-MIN((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1807*(MIN((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07">
        <f>(1-Summary!$B$11)*T1807+Summary!$B$11*V1807</f>
        <v/>
      </c>
      <c r="P1807">
        <f>IF(B1834=0,0,O1807/B1834)</f>
        <v/>
      </c>
      <c r="Q1807">
        <f>IFERROR(1/IF(Inputs!$B$39="pvp",15,MAX(0.1,Skills!D12-IF(TRUE=TRUE,Inputs!$B$33,0))),0)</f>
        <v/>
      </c>
      <c r="R1807">
        <f>IF(AND(Inputs!$B$39&lt;&gt;"pvp",Inputs!$B$44&gt;0),IF(MAX(0,Inputs!$B$44-B1831)&lt;=0,0,(INT(MAX(0,Inputs!$B$44-B1831)/IF(Inputs!$B$39="pvp",15,MAX(0.1,Skills!D12-IF(TRUE=TRUE,Inputs!$B$33,0))))+1)),0)</f>
        <v/>
      </c>
      <c r="S1807">
        <f>IFERROR(O1807/N1807,0)</f>
        <v/>
      </c>
      <c r="T1807">
        <f>IF(C1807,(H1807*N1807*IF(AND(Inputs!$B$39&lt;&gt;"pvp",Inputs!$B$44&gt;0),((Skills!G12*((R1807-1)*IF(Skills!H12&gt;0,INT(Skills!I12/Skills!H12+0.000000001),1)+IF(Skills!H12&gt;0,INT(MIN(Skills!I12,MAX(0,MAX(0,Inputs!$B$44-B1831)-((R1807-1)*IF(Inputs!$B$39="pvp",15,MAX(0.1,Skills!D12-IF(TRUE=TRUE,Inputs!$B$33,0))))))/Skills!H12+0.000000001),1)))/Inputs!$B$44),G1807*Q1807))*IF(Inputs!$B$39="pvp",1,1+(Inputs!$B$21+0+Skills!P12+((C1812=TRUE)*F1812*IF(AND(Inputs!$B$39&lt;&gt;"pvp",Inputs!$B$44&gt;0),(((R1812-1)*MIN((Skills!T17*(1+Inputs!$B$35/100)),(1/Q1812))+MIN((Skills!T17*(1+Inputs!$B$35/100)),MAX(0,Inputs!$B$44-((R1812-1)*(1/Q1812)))))/Inputs!$B$44),IF(Inputs!$B$39="pvp",MIN((Skills!T17*(1+Inputs!$B$35/100)),15)/15,MIN(1,(Skills!T17*(1+Inputs!$B$35/100))/(1/Q1812)))))+((C1800=TRUE)*IF(Inputs!$B$3&gt;=126,10*MIN(1,15*Q1800),0))+((C1809=TRUE)*IF(Inputs!$B$39="pvp",20,(1-Summary!$B$11)*(20)+Summary!$B$11*(0))*IF(AND(Inputs!$B$39&lt;&gt;"pvp",Inputs!$B$44&gt;0),(((R1809-1)*MIN((Skills!T14*(1+Inputs!$B$35/100)),(1/Q1809))+MIN((Skills!T14*(1+Inputs!$B$35/100)),MAX(0,Inputs!$B$44-((R1809-1)*(1/Q1809)))))/Inputs!$B$44),IF(Inputs!$B$39="pvp",MIN((Skills!T14*(1+Inputs!$B$35/100)),15)/15,MIN(1,(Skills!T14*(1+Inputs!$B$35/100))/(1/Q1809)))))+((C1808=TRUE)*IF(Inputs!$B$3&gt;=82,IF(Inputs!$B$39="pvp",20,(1-Summary!$B$11)*(20)+Summary!$B$11*(0)),0)*IF(AND(Inputs!$B$39&lt;&gt;"pvp",Inputs!$B$44&gt;0),(((R1808-1)*MIN((Skills!T13*(1+Inputs!$B$35/100)),(1/Q1808))+MIN((Skills!T13*(1+Inputs!$B$35/100)),MAX(0,Inputs!$B$44-((R1808-1)*(1/Q1808)))))/Inputs!$B$44),IF(Inputs!$B$39="pvp",MIN((Skills!T13*(1+Inputs!$B$35/100)),15)/15,MIN(1,(Skills!T13*(1+Inputs!$B$35/100))/(1/Q1808)))))+(IF(AND(ArtifactsInput!$M$35,Inputs!$B$4&lt;&gt;"Chapter Hunt"),CHOOSE(ArtifactsInput!$N$35+1,15,18,21,24,27,30)*(1-EXP(-(0.2*B1826)*5)),0)+IF(AND(ArtifactsInput!$M$22,Inputs!$B$4&lt;&gt;"Chapter Hunt"),CHOOSE(ArtifactsInput!$N$22+1,10,12,14,16,18,20)*((0*(((0.15*B1826*5))^0/1)+1*(((0.15*B1826*5))^1/1)+2*(((0.15*B1826*5))^2/2)+3*(((0.15*B1826*5))^3/6)+4*(((0.15*B1826*5))^4/24)+5*(((0.15*B1826*5))^5/120))/((((0.15*B1826*5))^0/1)+(((0.15*B1826*5))^1/1)+(((0.15*B1826*5))^2/2)+(((0.15*B1826*5))^3/6)+(((0.15*B1826*5))^4/24)+(((0.15*B1826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1807*(1-MIN(100,(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1807*(MIN(100,(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1807*(1-MIN(100,(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1807*(MIN(100,(Inputs!$B$10+0+B1824+(ArtifactsInput!$M$24-ArtifactsInput!$M$24)*CHOOSE(ArtifactsInput!$N$24+1,10,12,14,16,18,20)+(IF(AND(Inputs!$B$39&lt;&gt;"pvp",Inputs!$B$44=0),1,IF(IF(Inputs!$B$39="pvp",15,Inputs!$B$44)-(B1831)&lt;=0,1,MAX(0,IF(Inputs!$B$39="pvp",15,Inputs!$B$44)-MAX(5,B1831))/(IF(Inputs!$B$39="pvp",15,Inputs!$B$44)-(B1831))))*IF(AND(ArtifactsInput!$M$42,((Inputs!$B$10+0+B1824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IF(ArtifactsInput!$M$20,FALSE,TRUE),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07">
        <f>IF(C1807,(H1807*N1807*IF(AND(Inputs!$B$39&lt;&gt;"pvp",Inputs!$B$44&gt;0),((Skills!G12*((R1807-1)*IF(Skills!H12&gt;0,INT(Skills!I12/Skills!H12+0.000000001),1)+IF(Skills!H12&gt;0,INT(MIN(Skills!I12,MAX(0,MAX(0,Inputs!$B$44-B1831)-((R1807-1)*IF(Inputs!$B$39="pvp",15,MAX(0.1,Skills!D12-IF(TRUE=TRUE,Inputs!$B$33,0))))))/Skills!H12+0.000000001),1)))/Inputs!$B$44),G1807*Q1807))*IF(Inputs!$B$39="pvp",1,(1+(Inputs!$B$22+Skills!Q12+((C1812=TRUE)*F1812*IF(AND(Inputs!$B$39&lt;&gt;"pvp",Inputs!$B$44&gt;0),(((R1812-1)*MIN((Skills!T17*(1+Inputs!$B$35/100)),(1/Q1812))+MIN((Skills!T17*(1+Inputs!$B$35/100)),MAX(0,Inputs!$B$44-((R1812-1)*(1/Q1812)))))/Inputs!$B$44),IF(Inputs!$B$39="pvp",MIN((Skills!T17*(1+Inputs!$B$35/100)),15)/15,MIN(1,(Skills!T17*(1+Inputs!$B$35/100))/(1/Q1812)))))+((C1800=TRUE)*IF(Inputs!$B$3&gt;=126,10*MIN(1,15*Q1800),0))+((C1809=TRUE)*IF(Inputs!$B$39="pvp",20,(1-Summary!$B$11)*(20)+Summary!$B$11*(0))*IF(AND(Inputs!$B$39&lt;&gt;"pvp",Inputs!$B$44&gt;0),(((R1809-1)*MIN((Skills!T14*(1+Inputs!$B$35/100)),(1/Q1809))+MIN((Skills!T14*(1+Inputs!$B$35/100)),MAX(0,Inputs!$B$44-((R1809-1)*(1/Q1809)))))/Inputs!$B$44),IF(Inputs!$B$39="pvp",MIN((Skills!T14*(1+Inputs!$B$35/100)),15)/15,MIN(1,(Skills!T14*(1+Inputs!$B$35/100))/(1/Q1809)))))+((C1808=TRUE)*IF(Inputs!$B$3&gt;=82,IF(Inputs!$B$39="pvp",20,(1-Summary!$B$11)*(20)+Summary!$B$11*(0)),0)*IF(AND(Inputs!$B$39&lt;&gt;"pvp",Inputs!$B$44&gt;0),(((R1808-1)*MIN((Skills!T13*(1+Inputs!$B$35/100)),(1/Q1808))+MIN((Skills!T13*(1+Inputs!$B$35/100)),MAX(0,Inputs!$B$44-((R1808-1)*(1/Q1808)))))/Inputs!$B$44),IF(Inputs!$B$39="pvp",MIN((Skills!T13*(1+Inputs!$B$35/100)),15)/15,MIN(1,(Skills!T13*(1+Inputs!$B$35/100))/(1/Q1808)))))+(IF(AND(ArtifactsInput!$M$35,Inputs!$B$4&lt;&gt;"Chapter Hunt"),CHOOSE(ArtifactsInput!$N$35+1,15,18,21,24,27,30)*(1-EXP(-(0.2*B1826)*5)),0)+IF(AND(ArtifactsInput!$M$22,Inputs!$B$4&lt;&gt;"Chapter Hunt"),CHOOSE(ArtifactsInput!$N$22+1,10,12,14,16,18,20)*((0*(((0.15*B1826*5))^0/1)+1*(((0.15*B1826*5))^1/1)+2*(((0.15*B1826*5))^2/2)+3*(((0.15*B1826*5))^3/6)+4*(((0.15*B1826*5))^4/24)+5*(((0.15*B1826*5))^5/120))/((((0.15*B1826*5))^0/1)+(((0.15*B1826*5))^1/1)+(((0.15*B1826*5))^2/2)+(((0.15*B1826*5))^3/6)+(((0.15*B1826*5))^4/24)+(((0.15*B1826*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IF(ArtifactsInput!$M$20,FALSE,TRUE),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08">
      <c r="A1808">
        <f>Skills!A13</f>
        <v/>
      </c>
      <c r="B1808">
        <f>Skills!B13</f>
        <v/>
      </c>
      <c r="C1808">
        <f>Inputs!$B$3&gt;=69</f>
        <v/>
      </c>
      <c r="D1808">
        <f>IF(Skills!C13=1,60+Inputs!$B$26+Inputs!$B$30,IF(Skills!C13=2,90+Inputs!$B$27+Inputs!$B$30,IF(Skills!C13=3,120+Inputs!$B$28+Inputs!$B$30,MAX(0,(Inputs!$B$3-100)*3)+Inputs!$B$29+Inputs!$B$30)))</f>
        <v/>
      </c>
      <c r="E1808">
        <f>INDEX(FactorTable!$B$2:$Y$301, MATCH(ROUND(MIN(300,MAX(1,D1808)),0), FactorTable!$A$2:$A$301,0), Skills!M13+1)</f>
        <v/>
      </c>
      <c r="F1808">
        <f>IF(Skills!N13=TRUE,(Skills!L13/10)*(E1808/1000),Skills!L13/10)+Skills!O13</f>
        <v/>
      </c>
      <c r="G1808">
        <f>Skills!G13*IF(Skills!H13&gt;0,INT(IF(Inputs!$B$39="pvp",MIN(Skills!I13,15),Skills!I13)/Skills!H13+0.000000001),1)</f>
        <v/>
      </c>
      <c r="H1808">
        <f>1-(1-Skills!J13/100)^Skills!K13</f>
        <v/>
      </c>
      <c r="I1808" t="inlineStr">
        <is>
          <t>1</t>
        </is>
      </c>
      <c r="J1808" t="inlineStr"/>
      <c r="K1808" t="inlineStr"/>
      <c r="L1808" t="inlineStr"/>
      <c r="M1808" t="inlineStr"/>
      <c r="N1808" t="inlineStr"/>
      <c r="O1808">
        <f>(1-Summary!$B$11)*T1808+Summary!$B$11*V1808</f>
        <v/>
      </c>
      <c r="P1808">
        <f>IF(B1834=0,0,O1808/B1834)</f>
        <v/>
      </c>
      <c r="Q1808">
        <f>IFERROR(1/IF(Inputs!$B$39="pvp",15,MAX(0.1,Skills!D13-IF(TRUE=TRUE,Inputs!$B$33,0))),0)</f>
        <v/>
      </c>
      <c r="R1808">
        <f>IF(AND(Inputs!$B$39&lt;&gt;"pvp",Inputs!$B$44&gt;0),IF(Inputs!$B$44&lt;=0,0,(INT(Inputs!$B$44/IF(Inputs!$B$39="pvp",15,MAX(0.1,Skills!D13-IF(TRUE=TRUE,Inputs!$B$33,0))))+1)),0)</f>
        <v/>
      </c>
      <c r="S1808">
        <f>IFERROR(O1808/N1808,0)</f>
        <v/>
      </c>
      <c r="T1808" t="n">
        <v>0</v>
      </c>
      <c r="V1808" t="n">
        <v>0</v>
      </c>
    </row>
    <row r="1809">
      <c r="A1809">
        <f>Skills!A14</f>
        <v/>
      </c>
      <c r="B1809">
        <f>Skills!B14</f>
        <v/>
      </c>
      <c r="C1809">
        <f>Inputs!$B$3&gt;=115</f>
        <v/>
      </c>
      <c r="D1809">
        <f>IF(Skills!C14=1,60+Inputs!$B$26+Inputs!$B$30,IF(Skills!C14=2,90+Inputs!$B$27+Inputs!$B$30,IF(Skills!C14=3,120+Inputs!$B$28+Inputs!$B$30,MAX(0,(Inputs!$B$3-100)*3)+Inputs!$B$29+Inputs!$B$30)))</f>
        <v/>
      </c>
      <c r="E1809">
        <f>INDEX(FactorTable!$B$2:$Y$301, MATCH(ROUND(MIN(300,MAX(1,D1809)),0), FactorTable!$A$2:$A$301,0), Skills!M14+1)</f>
        <v/>
      </c>
      <c r="F1809">
        <f>IF(Skills!N14=TRUE,(Skills!L14/10)*(E1809/1000),Skills!L14/10)+Skills!O14</f>
        <v/>
      </c>
      <c r="G1809">
        <f>Skills!G14*IF(Skills!H14&gt;0,INT(IF(Inputs!$B$39="pvp",MIN(Skills!I14,15),Skills!I14)/Skills!H14+0.000000001),1)</f>
        <v/>
      </c>
      <c r="H1809">
        <f>1-(1-Skills!J14/100)^Skills!K14</f>
        <v/>
      </c>
      <c r="I1809" t="inlineStr">
        <is>
          <t>1</t>
        </is>
      </c>
      <c r="J1809" t="inlineStr"/>
      <c r="K1809" t="inlineStr"/>
      <c r="L1809" t="inlineStr"/>
      <c r="M1809" t="inlineStr"/>
      <c r="N1809" t="inlineStr"/>
      <c r="O1809">
        <f>(1-Summary!$B$11)*T1809+Summary!$B$11*V1809</f>
        <v/>
      </c>
      <c r="P1809">
        <f>IF(B1834=0,0,O1809/B1834)</f>
        <v/>
      </c>
      <c r="Q1809">
        <f>IFERROR(1/IF(Inputs!$B$39="pvp",15,MAX(0.1,Skills!D14-IF(TRUE=TRUE,Inputs!$B$33,0))),0)</f>
        <v/>
      </c>
      <c r="R1809">
        <f>IF(AND(Inputs!$B$39&lt;&gt;"pvp",Inputs!$B$44&gt;0),IF(Inputs!$B$44&lt;=0,0,(INT(Inputs!$B$44/IF(Inputs!$B$39="pvp",15,MAX(0.1,Skills!D14-IF(TRUE=TRUE,Inputs!$B$33,0))))+1)),0)</f>
        <v/>
      </c>
      <c r="S1809">
        <f>IFERROR(O1809/N1809,0)</f>
        <v/>
      </c>
      <c r="T1809" t="n">
        <v>0</v>
      </c>
      <c r="V1809" t="n">
        <v>0</v>
      </c>
    </row>
    <row r="1810">
      <c r="A1810">
        <f>Skills!A15</f>
        <v/>
      </c>
      <c r="B1810">
        <f>Skills!B15</f>
        <v/>
      </c>
      <c r="C1810">
        <f>Inputs!$B$3&gt;=66</f>
        <v/>
      </c>
      <c r="D1810">
        <f>IF(Skills!C15=1,60+Inputs!$B$26+Inputs!$B$30,IF(Skills!C15=2,90+Inputs!$B$27+Inputs!$B$30,IF(Skills!C15=3,120+Inputs!$B$28+Inputs!$B$30,MAX(0,(Inputs!$B$3-100)*3)+Inputs!$B$29+Inputs!$B$30)))</f>
        <v/>
      </c>
      <c r="E1810">
        <f>INDEX(FactorTable!$B$2:$Y$301, MATCH(ROUND(MIN(300,MAX(1,D1810)),0), FactorTable!$A$2:$A$301,0), Skills!M15+1)</f>
        <v/>
      </c>
      <c r="F1810">
        <f>IF(Skills!N15=TRUE,(Skills!L15/10)*(E1810/1000),Skills!L15/10)+Skills!O15</f>
        <v/>
      </c>
      <c r="G1810">
        <f>Skills!G15*IF(Skills!H15&gt;0,INT(IF(Inputs!$B$39="pvp",MIN(Skills!I15,15),Skills!I15)/Skills!H15+0.000000001),1)</f>
        <v/>
      </c>
      <c r="H1810">
        <f>1-(1-Skills!J15/100)^Skills!K15</f>
        <v/>
      </c>
      <c r="I1810" t="inlineStr">
        <is>
          <t>1</t>
        </is>
      </c>
      <c r="J1810" t="inlineStr"/>
      <c r="K1810" t="inlineStr"/>
      <c r="L1810" t="inlineStr"/>
      <c r="M1810" t="inlineStr"/>
      <c r="N1810" t="inlineStr"/>
      <c r="O1810">
        <f>(1-Summary!$B$11)*T1810+Summary!$B$11*V1810</f>
        <v/>
      </c>
      <c r="P1810">
        <f>IF(B1834=0,0,O1810/B1834)</f>
        <v/>
      </c>
      <c r="Q1810">
        <f>IFERROR(1/IF(Inputs!$B$39="pvp",15,MAX(0.1,Skills!D15-IF(TRUE=TRUE,Inputs!$B$33,0))),0)</f>
        <v/>
      </c>
      <c r="R1810">
        <f>IF(AND(Inputs!$B$39&lt;&gt;"pvp",Inputs!$B$44&gt;0),IF(Inputs!$B$44&lt;=0,0,(INT(Inputs!$B$44/IF(Inputs!$B$39="pvp",15,MAX(0.1,Skills!D15-IF(TRUE=TRUE,Inputs!$B$33,0))))+1)),0)</f>
        <v/>
      </c>
      <c r="S1810">
        <f>IFERROR(O1810/N1810,0)</f>
        <v/>
      </c>
      <c r="T1810" t="n">
        <v>0</v>
      </c>
      <c r="V1810" t="n">
        <v>0</v>
      </c>
    </row>
    <row r="1811">
      <c r="A1811">
        <f>Skills!A16</f>
        <v/>
      </c>
      <c r="B1811">
        <f>Skills!B16</f>
        <v/>
      </c>
      <c r="C1811">
        <f>Inputs!$B$3&gt;=45</f>
        <v/>
      </c>
      <c r="D1811">
        <f>IF(Skills!C16=1,60+Inputs!$B$26+Inputs!$B$30,IF(Skills!C16=2,90+Inputs!$B$27+Inputs!$B$30,IF(Skills!C16=3,120+Inputs!$B$28+Inputs!$B$30,MAX(0,(Inputs!$B$3-100)*3)+Inputs!$B$29+Inputs!$B$30)))</f>
        <v/>
      </c>
      <c r="E1811">
        <f>INDEX(FactorTable!$B$2:$Y$301, MATCH(ROUND(MIN(300,MAX(1,D1811)),0), FactorTable!$A$2:$A$301,0), Skills!M16+1)</f>
        <v/>
      </c>
      <c r="F1811">
        <f>IF(Skills!N16=TRUE,(Skills!L16/10)*(E1811/1000),Skills!L16/10)+Skills!O16</f>
        <v/>
      </c>
      <c r="G1811">
        <f>Skills!G16*IF(Skills!H16&gt;0,INT(IF(Inputs!$B$39="pvp",MIN(Skills!I16,15),Skills!I16)/Skills!H16+0.000000001),1)</f>
        <v/>
      </c>
      <c r="H1811">
        <f>1-(1-Skills!J16/100)^Skills!K16</f>
        <v/>
      </c>
      <c r="I1811" t="inlineStr">
        <is>
          <t>1</t>
        </is>
      </c>
      <c r="J1811" t="inlineStr"/>
      <c r="K1811" t="inlineStr"/>
      <c r="L1811" t="inlineStr"/>
      <c r="M1811" t="inlineStr"/>
      <c r="N1811" t="inlineStr"/>
      <c r="O1811">
        <f>(1-Summary!$B$11)*T1811+Summary!$B$11*V1811</f>
        <v/>
      </c>
      <c r="P1811">
        <f>IF(B1834=0,0,O1811/B1834)</f>
        <v/>
      </c>
      <c r="Q1811">
        <f>IFERROR(1/IF(Inputs!$B$39="pvp",15,MAX(0.1,Skills!D16-IF(TRUE=TRUE,Inputs!$B$33,0))),0)</f>
        <v/>
      </c>
      <c r="R1811">
        <f>IF(AND(Inputs!$B$39&lt;&gt;"pvp",Inputs!$B$44&gt;0),IF(Inputs!$B$44&lt;=0,0,(INT(Inputs!$B$44/IF(Inputs!$B$39="pvp",15,MAX(0.1,Skills!D16-IF(TRUE=TRUE,Inputs!$B$33,0))))+1)),0)</f>
        <v/>
      </c>
      <c r="S1811">
        <f>IFERROR(O1811/N1811,0)</f>
        <v/>
      </c>
      <c r="T1811" t="n">
        <v>0</v>
      </c>
      <c r="V1811" t="n">
        <v>0</v>
      </c>
    </row>
    <row r="1812">
      <c r="A1812">
        <f>Skills!A17</f>
        <v/>
      </c>
      <c r="B1812">
        <f>Skills!B17</f>
        <v/>
      </c>
      <c r="C1812">
        <f>Inputs!$B$3&gt;=35</f>
        <v/>
      </c>
      <c r="D1812">
        <f>IF(Skills!C17=1,60+Inputs!$B$26+Inputs!$B$30,IF(Skills!C17=2,90+Inputs!$B$27+Inputs!$B$30,IF(Skills!C17=3,120+Inputs!$B$28+Inputs!$B$30,MAX(0,(Inputs!$B$3-100)*3)+Inputs!$B$29+Inputs!$B$30)))</f>
        <v/>
      </c>
      <c r="E1812">
        <f>INDEX(FactorTable!$B$2:$Y$301, MATCH(ROUND(MIN(300,MAX(1,D1812)),0), FactorTable!$A$2:$A$301,0), Skills!M17+1)</f>
        <v/>
      </c>
      <c r="F1812">
        <f>IF(Skills!N17=TRUE,(Skills!L17/10)*(E1812/1000),Skills!L17/10)+Skills!O17</f>
        <v/>
      </c>
      <c r="G1812">
        <f>Skills!G17*IF(Skills!H17&gt;0,INT(IF(Inputs!$B$39="pvp",MIN(Skills!I17,15),Skills!I17)/Skills!H17+0.000000001),1)</f>
        <v/>
      </c>
      <c r="H1812">
        <f>1-(1-Skills!J17/100)^Skills!K17</f>
        <v/>
      </c>
      <c r="I1812" t="inlineStr">
        <is>
          <t>1</t>
        </is>
      </c>
      <c r="J1812" t="inlineStr"/>
      <c r="K1812" t="inlineStr"/>
      <c r="L1812" t="inlineStr"/>
      <c r="M1812" t="inlineStr"/>
      <c r="N1812" t="inlineStr"/>
      <c r="O1812">
        <f>(1-Summary!$B$11)*T1812+Summary!$B$11*V1812</f>
        <v/>
      </c>
      <c r="P1812">
        <f>IF(B1834=0,0,O1812/B1834)</f>
        <v/>
      </c>
      <c r="Q1812">
        <f>IFERROR(1/IF(Inputs!$B$39="pvp",15,MAX(0.1,Skills!D17-IF(TRUE=TRUE,Inputs!$B$33,0))),0)</f>
        <v/>
      </c>
      <c r="R1812">
        <f>IF(AND(Inputs!$B$39&lt;&gt;"pvp",Inputs!$B$44&gt;0),IF(Inputs!$B$44&lt;=0,0,(INT(Inputs!$B$44/IF(Inputs!$B$39="pvp",15,MAX(0.1,Skills!D17-IF(TRUE=TRUE,Inputs!$B$33,0))))+1)),0)</f>
        <v/>
      </c>
      <c r="S1812">
        <f>IFERROR(O1812/N1812,0)</f>
        <v/>
      </c>
      <c r="T1812" t="n">
        <v>0</v>
      </c>
      <c r="V1812" t="n">
        <v>0</v>
      </c>
    </row>
    <row r="1813">
      <c r="A1813">
        <f>Skills!A18</f>
        <v/>
      </c>
      <c r="B1813">
        <f>Skills!B18</f>
        <v/>
      </c>
      <c r="C1813">
        <f>Inputs!$B$3&gt;=72</f>
        <v/>
      </c>
      <c r="D1813">
        <f>IF(Skills!C18=1,60+Inputs!$B$26+Inputs!$B$30,IF(Skills!C18=2,90+Inputs!$B$27+Inputs!$B$30,IF(Skills!C18=3,120+Inputs!$B$28+Inputs!$B$30,MAX(0,(Inputs!$B$3-100)*3)+Inputs!$B$29+Inputs!$B$30)))</f>
        <v/>
      </c>
      <c r="E1813">
        <f>INDEX(FactorTable!$B$2:$Y$301, MATCH(ROUND(MIN(300,MAX(1,D1813)),0), FactorTable!$A$2:$A$301,0), Skills!M18+1)</f>
        <v/>
      </c>
      <c r="F1813">
        <f>IF(Skills!N18=TRUE,(Skills!L18/10)*(E1813/1000),Skills!L18/10)+Skills!O18</f>
        <v/>
      </c>
      <c r="G1813">
        <f>Skills!G18*IF(Skills!H18&gt;0,INT(IF(Inputs!$B$39="pvp",MIN(Skills!I18,15),Skills!I18)/Skills!H18+0.000000001),1)</f>
        <v/>
      </c>
      <c r="H1813">
        <f>1-(1-Skills!J18/100)^Skills!K18</f>
        <v/>
      </c>
      <c r="I1813" t="inlineStr">
        <is>
          <t>1</t>
        </is>
      </c>
      <c r="J1813" t="inlineStr"/>
      <c r="K1813" t="inlineStr"/>
      <c r="L1813" t="inlineStr"/>
      <c r="M1813" t="inlineStr"/>
      <c r="N1813" t="inlineStr"/>
      <c r="O1813">
        <f>(1-Summary!$B$11)*T1813+Summary!$B$11*V1813</f>
        <v/>
      </c>
      <c r="P1813">
        <f>IF(B1834=0,0,O1813/B1834)</f>
        <v/>
      </c>
      <c r="Q1813">
        <f>IFERROR(1/IF(Inputs!$B$39="pvp",15,MAX(0.1,Skills!D18-IF(TRUE=TRUE,Inputs!$B$33,0))),0)</f>
        <v/>
      </c>
      <c r="R1813">
        <f>IF(AND(Inputs!$B$39&lt;&gt;"pvp",Inputs!$B$44&gt;0),IF(Inputs!$B$44&lt;=0,0,(INT(Inputs!$B$44/IF(Inputs!$B$39="pvp",15,MAX(0.1,Skills!D18-IF(TRUE=TRUE,Inputs!$B$33,0))))+1)),0)</f>
        <v/>
      </c>
      <c r="S1813">
        <f>IFERROR(O1813/N1813,0)</f>
        <v/>
      </c>
      <c r="T1813" t="n">
        <v>0</v>
      </c>
      <c r="V1813" t="n">
        <v>0</v>
      </c>
    </row>
    <row r="1814">
      <c r="A1814">
        <f>Skills!A19</f>
        <v/>
      </c>
      <c r="B1814">
        <f>Skills!B19</f>
        <v/>
      </c>
      <c r="C1814">
        <f>Inputs!$B$3&gt;=72</f>
        <v/>
      </c>
      <c r="D1814">
        <f>IF(Skills!C19=1,60+Inputs!$B$26+Inputs!$B$30,IF(Skills!C19=2,90+Inputs!$B$27+Inputs!$B$30,IF(Skills!C19=3,120+Inputs!$B$28+Inputs!$B$30,MAX(0,(Inputs!$B$3-100)*3)+Inputs!$B$29+Inputs!$B$30)))</f>
        <v/>
      </c>
      <c r="E1814">
        <f>INDEX(FactorTable!$B$2:$Y$301, MATCH(ROUND(MIN(300,MAX(1,D1814)),0), FactorTable!$A$2:$A$301,0), Skills!M19+1)</f>
        <v/>
      </c>
      <c r="F1814">
        <f>IF(Skills!N19=TRUE,(Skills!L19/10)*(E1814/1000),Skills!L19/10)+Skills!O19</f>
        <v/>
      </c>
      <c r="G1814">
        <f>Skills!G19*IF(Skills!H19&gt;0,INT(IF(Inputs!$B$39="pvp",MIN(Skills!I19,15),Skills!I19)/Skills!H19+0.000000001),1)</f>
        <v/>
      </c>
      <c r="H1814">
        <f>1-(1-Skills!J19/100)^Skills!K19</f>
        <v/>
      </c>
      <c r="I1814" t="inlineStr">
        <is>
          <t>1</t>
        </is>
      </c>
      <c r="J1814" t="inlineStr"/>
      <c r="K1814" t="inlineStr"/>
      <c r="L1814" t="inlineStr"/>
      <c r="M1814" t="inlineStr"/>
      <c r="N1814" t="inlineStr"/>
      <c r="O1814">
        <f>(1-Summary!$B$11)*T1814+Summary!$B$11*V1814</f>
        <v/>
      </c>
      <c r="P1814">
        <f>IF(B1834=0,0,O1814/B1834)</f>
        <v/>
      </c>
      <c r="Q1814">
        <f>IFERROR(1/IF(Inputs!$B$39="pvp",15,MAX(0.1,Skills!D19-IF(TRUE=TRUE,Inputs!$B$33,0))),0)</f>
        <v/>
      </c>
      <c r="R1814">
        <f>IF(AND(Inputs!$B$39&lt;&gt;"pvp",Inputs!$B$44&gt;0),IF(Inputs!$B$44&lt;=0,0,(INT(Inputs!$B$44/IF(Inputs!$B$39="pvp",15,MAX(0.1,Skills!D19-IF(TRUE=TRUE,Inputs!$B$33,0))))+1)),0)</f>
        <v/>
      </c>
      <c r="S1814">
        <f>IFERROR(O1814/N1814,0)</f>
        <v/>
      </c>
      <c r="T1814" t="n">
        <v>0</v>
      </c>
      <c r="V1814" t="n">
        <v>0</v>
      </c>
    </row>
    <row r="1815">
      <c r="A1815">
        <f>Skills!A20</f>
        <v/>
      </c>
      <c r="B1815">
        <f>Skills!B20</f>
        <v/>
      </c>
      <c r="C1815">
        <f>TRUE</f>
        <v/>
      </c>
      <c r="D1815">
        <f>IF(Skills!C20=1,60+Inputs!$B$26+Inputs!$B$30,IF(Skills!C20=2,90+Inputs!$B$27+Inputs!$B$30,IF(Skills!C20=3,120+Inputs!$B$28+Inputs!$B$30,MAX(0,(Inputs!$B$3-100)*3)+Inputs!$B$29+Inputs!$B$30)))</f>
        <v/>
      </c>
      <c r="E1815">
        <f>INDEX(FactorTable!$B$2:$Y$301, MATCH(ROUND(MIN(300,MAX(1,D1815)),0), FactorTable!$A$2:$A$301,0), Skills!M20+1)</f>
        <v/>
      </c>
      <c r="F1815">
        <f>IF(Skills!N20=TRUE,(Skills!L20/10)*(E1815/1000),Skills!L20/10)+Skills!O20</f>
        <v/>
      </c>
      <c r="G1815">
        <f>Skills!G20*IF(Skills!H20&gt;0,INT(IF(Inputs!$B$39="pvp",MIN(Skills!I20,15),Skills!I20)/Skills!H20+0.000000001),1)</f>
        <v/>
      </c>
      <c r="H1815">
        <f>1-(1-Skills!J20/100)^Skills!K20</f>
        <v/>
      </c>
      <c r="I1815" t="inlineStr">
        <is>
          <t>1</t>
        </is>
      </c>
      <c r="J1815" t="inlineStr"/>
      <c r="K1815" t="inlineStr"/>
      <c r="L1815" t="inlineStr"/>
      <c r="M1815" t="inlineStr"/>
      <c r="N1815" t="inlineStr"/>
      <c r="O1815">
        <f>(1-Summary!$B$11)*T1815+Summary!$B$11*V1815</f>
        <v/>
      </c>
      <c r="P1815">
        <f>IF(B1834=0,0,O1815/B1834)</f>
        <v/>
      </c>
      <c r="Q1815">
        <f>IFERROR(1/IF(Inputs!$B$39="pvp",15,MAX(0.1,Skills!D20-IF(TRUE=TRUE,Inputs!$B$33,0))),0)</f>
        <v/>
      </c>
      <c r="R1815">
        <f>IF(AND(Inputs!$B$39&lt;&gt;"pvp",Inputs!$B$44&gt;0),IF(Inputs!$B$44&lt;=0,0,(INT(Inputs!$B$44/IF(Inputs!$B$39="pvp",15,MAX(0.1,Skills!D20-IF(TRUE=TRUE,Inputs!$B$33,0))))+1)),0)</f>
        <v/>
      </c>
      <c r="S1815">
        <f>IFERROR(O1815/N1815,0)</f>
        <v/>
      </c>
      <c r="T1815" t="n">
        <v>0</v>
      </c>
      <c r="V1815" t="n">
        <v>0</v>
      </c>
    </row>
    <row r="1816">
      <c r="A1816">
        <f>Skills!A21</f>
        <v/>
      </c>
      <c r="B1816">
        <f>Skills!B21</f>
        <v/>
      </c>
      <c r="C1816">
        <f>Inputs!$B$3&gt;=33</f>
        <v/>
      </c>
      <c r="D1816">
        <f>IF(Skills!C21=1,60+Inputs!$B$26+Inputs!$B$30,IF(Skills!C21=2,90+Inputs!$B$27+Inputs!$B$30,IF(Skills!C21=3,120+Inputs!$B$28+Inputs!$B$30,MAX(0,(Inputs!$B$3-100)*3)+Inputs!$B$29+Inputs!$B$30)))</f>
        <v/>
      </c>
      <c r="E1816">
        <f>INDEX(FactorTable!$B$2:$Y$301, MATCH(ROUND(MIN(300,MAX(1,D1816)),0), FactorTable!$A$2:$A$301,0), Skills!M21+1)</f>
        <v/>
      </c>
      <c r="F1816">
        <f>IF(Skills!N21=TRUE,(Skills!L21/10)*(E1816/1000),Skills!L21/10)+Skills!O21</f>
        <v/>
      </c>
      <c r="G1816">
        <f>Skills!G21*IF(Skills!H21&gt;0,INT(IF(Inputs!$B$39="pvp",MIN(Skills!I21,15),Skills!I21)/Skills!H21+0.000000001),1)</f>
        <v/>
      </c>
      <c r="H1816">
        <f>1-(1-Skills!J21/100)^Skills!K21</f>
        <v/>
      </c>
      <c r="I1816" t="inlineStr">
        <is>
          <t>1</t>
        </is>
      </c>
      <c r="J1816" t="inlineStr"/>
      <c r="K1816" t="inlineStr"/>
      <c r="L1816" t="inlineStr"/>
      <c r="M1816" t="inlineStr"/>
      <c r="N1816" t="inlineStr"/>
      <c r="O1816">
        <f>(1-Summary!$B$11)*T1816+Summary!$B$11*V1816</f>
        <v/>
      </c>
      <c r="P1816">
        <f>IF(B1834=0,0,O1816/B1834)</f>
        <v/>
      </c>
      <c r="Q1816" t="n">
        <v>0</v>
      </c>
      <c r="R1816" t="n">
        <v>0</v>
      </c>
      <c r="S1816">
        <f>IFERROR(O1816/N1816,0)</f>
        <v/>
      </c>
      <c r="T1816" t="n">
        <v>0</v>
      </c>
      <c r="V1816" t="n">
        <v>0</v>
      </c>
    </row>
    <row r="1817">
      <c r="A1817">
        <f>Skills!A22</f>
        <v/>
      </c>
      <c r="B1817">
        <f>Skills!B22</f>
        <v/>
      </c>
      <c r="C1817">
        <f>Inputs!$B$3&gt;=43</f>
        <v/>
      </c>
      <c r="D1817">
        <f>IF(Skills!C22=1,60+Inputs!$B$26+Inputs!$B$30,IF(Skills!C22=2,90+Inputs!$B$27+Inputs!$B$30,IF(Skills!C22=3,120+Inputs!$B$28+Inputs!$B$30,MAX(0,(Inputs!$B$3-100)*3)+Inputs!$B$29+Inputs!$B$30)))</f>
        <v/>
      </c>
      <c r="E1817">
        <f>INDEX(FactorTable!$B$2:$Y$301, MATCH(ROUND(MIN(300,MAX(1,D1817)),0), FactorTable!$A$2:$A$301,0), Skills!M22+1)</f>
        <v/>
      </c>
      <c r="F1817">
        <f>IF(Skills!N22=TRUE,(Skills!L22/10)*(E1817/1000),Skills!L22/10)+Skills!O22</f>
        <v/>
      </c>
      <c r="G1817">
        <f>Skills!G22*IF(Skills!H22&gt;0,INT(IF(Inputs!$B$39="pvp",MIN(Skills!I22,15),Skills!I22)/Skills!H22+0.000000001),1)</f>
        <v/>
      </c>
      <c r="H1817">
        <f>1-(1-Skills!J22/100)^Skills!K22</f>
        <v/>
      </c>
      <c r="I1817" t="inlineStr">
        <is>
          <t>1</t>
        </is>
      </c>
      <c r="J1817" t="inlineStr"/>
      <c r="K1817" t="inlineStr"/>
      <c r="L1817" t="inlineStr"/>
      <c r="M1817" t="inlineStr"/>
      <c r="N1817" t="inlineStr"/>
      <c r="O1817">
        <f>(1-Summary!$B$11)*T1817+Summary!$B$11*V1817</f>
        <v/>
      </c>
      <c r="P1817">
        <f>IF(B1834=0,0,O1817/B1834)</f>
        <v/>
      </c>
      <c r="Q1817" t="n">
        <v>0</v>
      </c>
      <c r="R1817" t="n">
        <v>0</v>
      </c>
      <c r="S1817">
        <f>IFERROR(O1817/N1817,0)</f>
        <v/>
      </c>
      <c r="T1817" t="n">
        <v>0</v>
      </c>
      <c r="V1817" t="n">
        <v>0</v>
      </c>
    </row>
    <row r="1818">
      <c r="A1818">
        <f>Skills!A23</f>
        <v/>
      </c>
      <c r="B1818">
        <f>Skills!B23</f>
        <v/>
      </c>
      <c r="C1818">
        <f>Inputs!$B$3&gt;=120</f>
        <v/>
      </c>
      <c r="D1818">
        <f>IF(Skills!C23=1,60+Inputs!$B$26+Inputs!$B$30,IF(Skills!C23=2,90+Inputs!$B$27+Inputs!$B$30,IF(Skills!C23=3,120+Inputs!$B$28+Inputs!$B$30,MAX(0,(Inputs!$B$3-100)*3)+Inputs!$B$29+Inputs!$B$30)))</f>
        <v/>
      </c>
      <c r="E1818">
        <f>INDEX(FactorTable!$B$2:$Y$301, MATCH(ROUND(MIN(300,MAX(1,D1818)),0), FactorTable!$A$2:$A$301,0), Skills!M23+1)</f>
        <v/>
      </c>
      <c r="F1818">
        <f>IF(Skills!N23=TRUE,(Skills!L23/10)*(E1818/1000),Skills!L23/10)+Skills!O23</f>
        <v/>
      </c>
      <c r="G1818">
        <f>Skills!G23*IF(Skills!H23&gt;0,INT(IF(Inputs!$B$39="pvp",MIN(Skills!I23,15),Skills!I23)/Skills!H23+0.000000001),1)</f>
        <v/>
      </c>
      <c r="H1818">
        <f>1-(1-Skills!J23/100)^Skills!K23</f>
        <v/>
      </c>
      <c r="I1818" t="inlineStr">
        <is>
          <t>1</t>
        </is>
      </c>
      <c r="J1818" t="inlineStr"/>
      <c r="K1818" t="inlineStr"/>
      <c r="L1818" t="inlineStr"/>
      <c r="M1818" t="inlineStr"/>
      <c r="N1818" t="inlineStr"/>
      <c r="O1818">
        <f>(1-Summary!$B$11)*T1818+Summary!$B$11*V1818</f>
        <v/>
      </c>
      <c r="P1818">
        <f>IF(B1834=0,0,O1818/B1834)</f>
        <v/>
      </c>
      <c r="Q1818" t="n">
        <v>0</v>
      </c>
      <c r="R1818" t="n">
        <v>0</v>
      </c>
      <c r="S1818">
        <f>IFERROR(O1818/N1818,0)</f>
        <v/>
      </c>
      <c r="T1818" t="n">
        <v>0</v>
      </c>
      <c r="V1818" t="n">
        <v>0</v>
      </c>
    </row>
    <row r="1819">
      <c r="A1819">
        <f>Skills!A24</f>
        <v/>
      </c>
      <c r="B1819">
        <f>Skills!B24</f>
        <v/>
      </c>
      <c r="C1819">
        <f>Inputs!$B$3&gt;=120</f>
        <v/>
      </c>
      <c r="D1819">
        <f>IF(Skills!C24=1,60+Inputs!$B$26+Inputs!$B$30,IF(Skills!C24=2,90+Inputs!$B$27+Inputs!$B$30,IF(Skills!C24=3,120+Inputs!$B$28+Inputs!$B$30,MAX(0,(Inputs!$B$3-100)*3)+Inputs!$B$29+Inputs!$B$30)))</f>
        <v/>
      </c>
      <c r="E1819">
        <f>INDEX(FactorTable!$B$2:$Y$301, MATCH(ROUND(MIN(300,MAX(1,D1819)),0), FactorTable!$A$2:$A$301,0), Skills!M24+1)</f>
        <v/>
      </c>
      <c r="F1819">
        <f>IF(Skills!N24=TRUE,(Skills!L24/10)*(E1819/1000),Skills!L24/10)+Skills!O24</f>
        <v/>
      </c>
      <c r="G1819">
        <f>Skills!G24*IF(Skills!H24&gt;0,INT(IF(Inputs!$B$39="pvp",MIN(Skills!I24,15),Skills!I24)/Skills!H24+0.000000001),1)</f>
        <v/>
      </c>
      <c r="H1819">
        <f>1-(1-Skills!J24/100)^Skills!K24</f>
        <v/>
      </c>
      <c r="I1819" t="inlineStr">
        <is>
          <t>1</t>
        </is>
      </c>
      <c r="J1819" t="inlineStr"/>
      <c r="K1819" t="inlineStr"/>
      <c r="L1819" t="inlineStr"/>
      <c r="M1819" t="inlineStr"/>
      <c r="N1819" t="inlineStr"/>
      <c r="O1819">
        <f>(1-Summary!$B$11)*T1819+Summary!$B$11*V1819</f>
        <v/>
      </c>
      <c r="P1819">
        <f>IF(B1834=0,0,O1819/B1834)</f>
        <v/>
      </c>
      <c r="Q1819" t="n">
        <v>0</v>
      </c>
      <c r="R1819" t="n">
        <v>0</v>
      </c>
      <c r="S1819">
        <f>IFERROR(O1819/N1819,0)</f>
        <v/>
      </c>
      <c r="T1819" t="n">
        <v>0</v>
      </c>
      <c r="V1819" t="n">
        <v>0</v>
      </c>
    </row>
    <row r="1820">
      <c r="A1820">
        <f>Skills!A25</f>
        <v/>
      </c>
      <c r="B1820">
        <f>Skills!B25</f>
        <v/>
      </c>
      <c r="C1820">
        <f>Inputs!$B$3&gt;=125</f>
        <v/>
      </c>
      <c r="D1820">
        <f>IF(Skills!C25=1,60+Inputs!$B$26+Inputs!$B$30,IF(Skills!C25=2,90+Inputs!$B$27+Inputs!$B$30,IF(Skills!C25=3,120+Inputs!$B$28+Inputs!$B$30,MAX(0,(Inputs!$B$3-100)*3)+Inputs!$B$29+Inputs!$B$30)))</f>
        <v/>
      </c>
      <c r="E1820">
        <f>INDEX(FactorTable!$B$2:$Y$301, MATCH(ROUND(MIN(300,MAX(1,D1820)),0), FactorTable!$A$2:$A$301,0), Skills!M25+1)</f>
        <v/>
      </c>
      <c r="F1820">
        <f>IF(Skills!N25=TRUE,(Skills!L25/10)*(E1820/1000),Skills!L25/10)+Skills!O25</f>
        <v/>
      </c>
      <c r="G1820">
        <f>Skills!G25*IF(Skills!H25&gt;0,INT(IF(Inputs!$B$39="pvp",MIN(Skills!I25,15),Skills!I25)/Skills!H25+0.000000001),1)</f>
        <v/>
      </c>
      <c r="H1820">
        <f>1-(1-Skills!J25/100)^Skills!K25</f>
        <v/>
      </c>
      <c r="I1820" t="inlineStr">
        <is>
          <t>1</t>
        </is>
      </c>
      <c r="J1820" t="inlineStr"/>
      <c r="K1820" t="inlineStr"/>
      <c r="L1820" t="inlineStr"/>
      <c r="M1820" t="inlineStr"/>
      <c r="N1820" t="inlineStr"/>
      <c r="O1820">
        <f>(1-Summary!$B$11)*T1820+Summary!$B$11*V1820</f>
        <v/>
      </c>
      <c r="P1820">
        <f>IF(B1834=0,0,O1820/B1834)</f>
        <v/>
      </c>
      <c r="Q1820" t="n">
        <v>0</v>
      </c>
      <c r="R1820" t="n">
        <v>0</v>
      </c>
      <c r="S1820">
        <f>IFERROR(O1820/N1820,0)</f>
        <v/>
      </c>
      <c r="T1820" t="n">
        <v>0</v>
      </c>
      <c r="V1820" t="n">
        <v>0</v>
      </c>
    </row>
    <row r="1821">
      <c r="A1821">
        <f>Skills!A26</f>
        <v/>
      </c>
      <c r="B1821">
        <f>Skills!B26</f>
        <v/>
      </c>
      <c r="C1821">
        <f>Inputs!$B$3&gt;=107</f>
        <v/>
      </c>
      <c r="D1821">
        <f>IF(Skills!C26=1,60+Inputs!$B$26+Inputs!$B$30,IF(Skills!C26=2,90+Inputs!$B$27+Inputs!$B$30,IF(Skills!C26=3,120+Inputs!$B$28+Inputs!$B$30,MAX(0,(Inputs!$B$3-100)*3)+Inputs!$B$29+Inputs!$B$30)))</f>
        <v/>
      </c>
      <c r="E1821">
        <f>INDEX(FactorTable!$B$2:$Y$301, MATCH(ROUND(MIN(300,MAX(1,D1821)),0), FactorTable!$A$2:$A$301,0), Skills!M26+1)</f>
        <v/>
      </c>
      <c r="F1821">
        <f>IF(Skills!N26=TRUE,(Skills!L26/10)*(E1821/1000),Skills!L26/10)+Skills!O26</f>
        <v/>
      </c>
      <c r="G1821">
        <f>Skills!G26*IF(Skills!H26&gt;0,INT(IF(Inputs!$B$39="pvp",MIN(Skills!I26,15),Skills!I26)/Skills!H26+0.000000001),1)</f>
        <v/>
      </c>
      <c r="H1821">
        <f>1-(1-Skills!J26/100)^Skills!K26</f>
        <v/>
      </c>
      <c r="I1821" t="inlineStr">
        <is>
          <t>1</t>
        </is>
      </c>
      <c r="J1821" t="inlineStr"/>
      <c r="K1821" t="inlineStr"/>
      <c r="L1821" t="inlineStr"/>
      <c r="M1821" t="inlineStr"/>
      <c r="N1821" t="inlineStr"/>
      <c r="O1821">
        <f>(1-Summary!$B$11)*T1821+Summary!$B$11*V1821</f>
        <v/>
      </c>
      <c r="P1821">
        <f>IF(B1834=0,0,O1821/B1834)</f>
        <v/>
      </c>
      <c r="Q1821" t="n">
        <v>0</v>
      </c>
      <c r="R1821" t="n">
        <v>0</v>
      </c>
      <c r="S1821">
        <f>IFERROR(O1821/N1821,0)</f>
        <v/>
      </c>
      <c r="T1821" t="n">
        <v>0</v>
      </c>
      <c r="V1821" t="n">
        <v>0</v>
      </c>
    </row>
    <row r="1823">
      <c r="A1823" t="inlineStr">
        <is>
          <t>Attack% Bucket Multiplier</t>
        </is>
      </c>
      <c r="B1823">
        <f>(1+(((C1808=TRUE)*F1808*IF(AND(Inputs!$B$39&lt;&gt;"pvp",Inputs!$B$44&gt;0),(((R1808-1)*MIN((Skills!T13*(1+Inputs!$B$35/100)),(1/Q1808))+MIN((Skills!T13*(1+Inputs!$B$35/100)),MAX(0,Inputs!$B$44-((R1808-1)*(1/Q1808)))))/Inputs!$B$44),IF(Inputs!$B$39="pvp",MIN((Skills!T13*(1+Inputs!$B$35/100)),15)/15,MIN(1,(Skills!T13*(1+Inputs!$B$35/100))/(1/Q1808)))))+((C1809=TRUE)*F1809*IF(AND(Inputs!$B$39&lt;&gt;"pvp",Inputs!$B$44&gt;0),(((R1809-1)*MIN((Skills!T14*(1+Inputs!$B$35/100)),(1/Q1809))+MIN((Skills!T14*(1+Inputs!$B$35/100)),MAX(0,Inputs!$B$44-((R1809-1)*(1/Q1809)))))/Inputs!$B$44),IF(Inputs!$B$39="pvp",MIN((Skills!T14*(1+Inputs!$B$35/100)),15)/15,MIN(1,(Skills!T14*(1+Inputs!$B$35/100))/(1/Q1809)))))+((C1810=TRUE)*F1810*IF(AND(Inputs!$B$39&lt;&gt;"pvp",Inputs!$B$44&gt;0),(((R1810-1)*MIN((Skills!T15*(1+Inputs!$B$35/100)),(1/Q1810))+MIN((Skills!T15*(1+Inputs!$B$35/100)),MAX(0,Inputs!$B$44-((R1810-1)*(1/Q1810)))))/Inputs!$B$44),IF(Inputs!$B$39="pvp",MIN((Skills!T15*(1+Inputs!$B$35/100)),15)/15,MIN(1,(Skills!T15*(1+Inputs!$B$35/100))/(1/Q1810)))))+((C1811=TRUE)*F1811*IF(AND(Inputs!$B$39&lt;&gt;"pvp",Inputs!$B$44&gt;0),(((R1811-1)*MIN((Skills!T16*(1+Inputs!$B$35/100)),(1/Q1811))+MIN((Skills!T16*(1+Inputs!$B$35/100)),MAX(0,Inputs!$B$44-((R1811-1)*(1/Q1811)))))/Inputs!$B$44),IF(Inputs!$B$39="pvp",MIN((Skills!T16*(1+Inputs!$B$35/100)),15)/15,MIN(1,(Skills!T16*(1+Inputs!$B$35/100))/(1/Q1811)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1824">
      <c r="A1824" t="inlineStr">
        <is>
          <t>Global Crit Rate Bonus % (Lord of Darkness)</t>
        </is>
      </c>
      <c r="B1824">
        <f>((C1813=TRUE)*F1813*(Skills!J18/100)*IF(AND(Inputs!$B$39&lt;&gt;"pvp",Inputs!$B$44&gt;0),(((R1813-1)*MIN((Skills!T18*(1+Inputs!$B$35/100)),(1/Q1813))+MIN((Skills!T18*(1+Inputs!$B$35/100)),MAX(0,Inputs!$B$44-((R1813-1)*(1/Q1813)))))/Inputs!$B$44),IF(Inputs!$B$39="pvp",MIN((Skills!T18*(1+Inputs!$B$35/100)),15)/15,MIN(1,(Skills!T18*(1+Inputs!$B$35/100))/(1/Q1813)))))</f>
        <v/>
      </c>
    </row>
    <row r="1825">
      <c r="A1825" t="inlineStr">
        <is>
          <t>Attack Speed Buff Bonus %</t>
        </is>
      </c>
      <c r="B1825">
        <f>((C1815=TRUE)*F1815*IF(AND(Inputs!$B$39&lt;&gt;"pvp",Inputs!$B$44&gt;0),(((R1815-1)*MIN((Skills!T20*(1+Inputs!$B$35/100)),(1/Q1815))+MIN((Skills!T20*(1+Inputs!$B$35/100)),MAX(0,Inputs!$B$44-((R1815-1)*(1/Q1815)))))/Inputs!$B$44),IF(Inputs!$B$39="pvp",MIN((Skills!T20*(1+Inputs!$B$35/100)),15)/15,MIN(1,(Skills!T20*(1+Inputs!$B$35/100))/(1/Q1815)))))</f>
        <v/>
      </c>
    </row>
    <row r="1826">
      <c r="A1826" t="inlineStr">
        <is>
          <t>Actions Per Second</t>
        </is>
      </c>
      <c r="B1826">
        <f>1+MIN(150,150*(1-(1-(Inputs!$B$12+((C1816=TRUE)*(F1816-Calc!F21)))/150)*(1-B1825/150)))/100</f>
        <v/>
      </c>
    </row>
    <row r="1827">
      <c r="A1827" t="inlineStr">
        <is>
          <t>Skill + Buff Cast Rate</t>
        </is>
      </c>
      <c r="B1827">
        <f>IF(AND(Inputs!$B$39&lt;&gt;"pvp",Inputs!$B$44&gt;0),SUMPRODUCT((Skills!E2:E26=TRUE)*(C1797:C1821=TRUE)*R1797:R1821*Skills!F2:F26)/Inputs!$B$44,SUMPRODUCT((Skills!E2:E26=TRUE)*(C1797:C1821=TRUE)*Q1797:Q1821*Skills!F2:F26))</f>
        <v/>
      </c>
    </row>
    <row r="1828">
      <c r="A1828" t="inlineStr">
        <is>
          <t>Dark Impale Casts Per Second</t>
        </is>
      </c>
      <c r="B1828">
        <f>MAX(0,B1826-B1827)</f>
        <v/>
      </c>
    </row>
    <row r="1829">
      <c r="A1829" t="inlineStr">
        <is>
          <t>Global Critical Damage Bonus % (Lord of Darkness)</t>
        </is>
      </c>
      <c r="B1829">
        <f>((C1814=TRUE)*F1814*(Skills!J19/100)*IF(AND(Inputs!$B$39&lt;&gt;"pvp",Inputs!$B$44&gt;0),(((R1814-1)*MIN((Skills!T19*(1+Inputs!$B$35/100)),(1/Q1814))+MIN((Skills!T19*(1+Inputs!$B$35/100)),MAX(0,Inputs!$B$44-((R1814-1)*(1/Q1814)))))/Inputs!$B$44),IF(Inputs!$B$39="pvp",MIN((Skills!T19*(1+Inputs!$B$35/100)),15)/15,MIN(1,(Skills!T19*(1+Inputs!$B$35/100))/(1/Q1814)))))</f>
        <v/>
      </c>
    </row>
    <row r="1830">
      <c r="A1830" t="inlineStr">
        <is>
          <t>Global Final Damage Bonus % (unused)</t>
        </is>
      </c>
      <c r="B1830" t="n">
        <v>0</v>
      </c>
    </row>
    <row r="1831">
      <c r="A1831" t="inlineStr">
        <is>
          <t>Buff-Casting Startup Delay (s, fixed-duration only)</t>
        </is>
      </c>
      <c r="B1831">
        <f>IF(AND(Inputs!$B$39&lt;&gt;"pvp",Inputs!$B$44&gt;0),SUMPRODUCT((Skills!T2:T26&gt;0)*(Skills!E2:E26=TRUE)*(C1797:C1821=TRUE))/B1826,0)</f>
        <v/>
      </c>
    </row>
    <row r="1832">
      <c r="A1832" t="inlineStr">
        <is>
          <t>Boss-Only Total DPS (this block's swept value)</t>
        </is>
      </c>
      <c r="B1832">
        <f>SUM(T1797:T1821)</f>
        <v/>
      </c>
    </row>
    <row r="1833">
      <c r="A1833" t="inlineStr">
        <is>
          <t>Normal-Only Total DPS (this block's swept value)</t>
        </is>
      </c>
      <c r="B1833">
        <f>SUM(V1797:V1821)</f>
        <v/>
      </c>
    </row>
    <row r="1834">
      <c r="A1834" s="6" t="inlineStr">
        <is>
          <t>TOTAL DPS</t>
        </is>
      </c>
      <c r="B1834" s="6">
        <f>SUM(O1797:O1821)</f>
        <v/>
      </c>
    </row>
    <row r="1837">
      <c r="A1837" s="6" t="inlineStr">
        <is>
          <t>Stat: Old Music Box (Equip)</t>
        </is>
      </c>
    </row>
    <row r="1838">
      <c r="A1838" s="5" t="inlineStr">
        <is>
          <t>Key</t>
        </is>
      </c>
      <c r="B1838" s="5" t="inlineStr">
        <is>
          <t>Name</t>
        </is>
      </c>
      <c r="C1838" s="5" t="inlineStr">
        <is>
          <t>Unlocked</t>
        </is>
      </c>
      <c r="D1838" s="5" t="inlineStr">
        <is>
          <t>InputLevel</t>
        </is>
      </c>
      <c r="E1838" s="5" t="inlineStr">
        <is>
          <t>Factor</t>
        </is>
      </c>
      <c r="F1838" s="5" t="inlineStr">
        <is>
          <t>CoefficientPercent</t>
        </is>
      </c>
      <c r="G1838" s="5" t="inlineStr">
        <is>
          <t>EffectiveHits</t>
        </is>
      </c>
      <c r="H1838" s="5" t="inlineStr">
        <is>
          <t>ProcProbability</t>
        </is>
      </c>
      <c r="I1838" s="5" t="inlineStr">
        <is>
          <t>MapleHeroMultiplier</t>
        </is>
      </c>
      <c r="J1838" s="5" t="inlineStr">
        <is>
          <t>BaseDamage</t>
        </is>
      </c>
      <c r="K1838" s="5" t="inlineStr">
        <is>
          <t>BaseHitDamage</t>
        </is>
      </c>
      <c r="L1838" s="5" t="inlineStr">
        <is>
          <t>NonCritAvg</t>
        </is>
      </c>
      <c r="M1838" s="5" t="inlineStr">
        <is>
          <t>CritAvg</t>
        </is>
      </c>
      <c r="N1838" s="5" t="inlineStr">
        <is>
          <t>ExpectedDamage(perHit)</t>
        </is>
      </c>
      <c r="O1838" s="5" t="inlineStr">
        <is>
          <t>DPS</t>
        </is>
      </c>
      <c r="P1838" s="5" t="inlineStr">
        <is>
          <t>% of Total</t>
        </is>
      </c>
      <c r="Q1838" s="5" t="inlineStr">
        <is>
          <t>InvCooldown</t>
        </is>
      </c>
      <c r="R1838" s="5" t="inlineStr">
        <is>
          <t>CastsInFight</t>
        </is>
      </c>
      <c r="S1838" s="5" t="inlineStr">
        <is>
          <t>HitRate(perSec)</t>
        </is>
      </c>
      <c r="U1838" t="inlineStr">
        <is>
          <t>helpers</t>
        </is>
      </c>
    </row>
    <row r="1839">
      <c r="A1839">
        <f>Skills!A2</f>
        <v/>
      </c>
      <c r="B1839">
        <f>Skills!B2</f>
        <v/>
      </c>
      <c r="C1839">
        <f>Inputs!$B$3&gt;=100</f>
        <v/>
      </c>
      <c r="D1839" t="inlineStr"/>
      <c r="E1839" t="inlineStr"/>
      <c r="F1839">
        <f>U1841+Skills!O2</f>
        <v/>
      </c>
      <c r="G1839">
        <f>Skills!G2*IF(Skills!H2&gt;0,INT(IF(Inputs!$B$39="pvp",MIN(Skills!I2,15),Skills!I2)/Skills!H2+0.000000001),1)</f>
        <v/>
      </c>
      <c r="H1839">
        <f>1-(1-Skills!J2/100)^Skills!K2</f>
        <v/>
      </c>
      <c r="I1839" t="inlineStr">
        <is>
          <t>1</t>
        </is>
      </c>
      <c r="J1839">
        <f>((Inputs!$B$6*(1+Inputs!$B$7/100))+(((Inputs!$B$13*(1+Inputs!$B$14/100))-(Inputs!$B$13*(1+Inputs!$B$14/100)))+0.25*(Inputs!$B$15-Inputs!$B$15))*(1+Inputs!$B$7/100))*(F1839/100)</f>
        <v/>
      </c>
      <c r="K1839">
        <f>J1839*(1+(((Inputs!$B$13+IF(Inputs!$B$3&gt;=38,(10*INDEX(FactorTable!$B$2:$Y$301, MATCH(ROUND(MIN(300,MAX(1,Inputs!$B$3)),0), FactorTable!$A$2:$A$301,0), 23)/1000)/100*(Inputs!$B$8*(1+Inputs!$B$9/100)),0))*(1+Inputs!$B$14/100))*0.01+Inputs!$B$15*0.0025)/100)*(1+Inputs!$B$16/100)*(1+Inputs!$B$17/100)*(5000/(6000+Inputs!$B$43*(1-(Inputs!$B$20+0)/100)))*(1+(Inputs!$B$25+((C1862=TRUE)*(F1862-Calc!F25))+((C1863=TRUE)*(F1863-Calc!F26))+B1872)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gt;=100),MIN(100,((Inputs!$B$10+0+B1866+(ArtifactsInput!$M$24-ArtifactsInput!$M$24)*CHOOSE(ArtifactsInput!$N$24+1,10,12,14,16,18,20)+IF(ArtifactsInput!$M$10,CHOOSE(ArtifactsInput!$N$10+1,15,18,21,24,27,30)*(IF(Inputs!$B$39="pvp",MIN(15,15)/15,IF(AND(Inputs!$B$39&lt;&gt;"pvp",Inputs!$B$44&gt;0),MIN(15,Inputs!$B$44)/(Inputs!$B$44),0))),0)))-100),0))*CHOOSE(ArtifactsInput!$N$42+1,0.6,0.72,0.84,0.96,1.08,1.2))),Inputs!$B$19+((C1860=TRUE)*(F1860-Calc!F23))+(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gt;=100),CHOOSE(ArtifactsInput!$N$42+1,40,48,56,64,72,80),0))))/100)*((1+(((C1850=TRUE)*F1850*IF(AND(Inputs!$B$39&lt;&gt;"pvp",Inputs!$B$44&gt;0),(((R1850-1)*MIN((Skills!T13*(1+Inputs!$B$35/100)),(1/Q1850))+MIN((Skills!T13*(1+Inputs!$B$35/100)),MAX(0,Inputs!$B$44-((R1850-1)*(1/Q1850)))))/Inputs!$B$44),IF(Inputs!$B$39="pvp",MIN((Skills!T13*(1+Inputs!$B$35/100)),15)/15,MIN(1,(Skills!T13*(1+Inputs!$B$35/100))/(1/Q1850)))))+((C1851=TRUE)*F1851*IF(AND(Inputs!$B$39&lt;&gt;"pvp",Inputs!$B$44&gt;0),(((R1851-1)*MIN((Skills!T14*(1+Inputs!$B$35/100)),(1/Q1851))+MIN((Skills!T14*(1+Inputs!$B$35/100)),MAX(0,Inputs!$B$44-((R1851-1)*(1/Q1851)))))/Inputs!$B$44),IF(Inputs!$B$39="pvp",MIN((Skills!T14*(1+Inputs!$B$35/100)),15)/15,MIN(1,(Skills!T14*(1+Inputs!$B$35/100))/(1/Q1851)))))+((C1852=TRUE)*F1852*IF(AND(Inputs!$B$39&lt;&gt;"pvp",Inputs!$B$44&gt;0),(((R1852-1)*MIN((Skills!T15*(1+Inputs!$B$35/100)),(1/Q1852))+MIN((Skills!T15*(1+Inputs!$B$35/100)),MAX(0,Inputs!$B$44-((R1852-1)*(1/Q1852)))))/Inputs!$B$44),IF(Inputs!$B$39="pvp",MIN((Skills!T15*(1+Inputs!$B$35/100)),15)/15,MIN(1,(Skills!T15*(1+Inputs!$B$35/100))/(1/Q1852)))))+((C1853=TRUE)*F1853*IF(AND(Inputs!$B$39&lt;&gt;"pvp",Inputs!$B$44&gt;0),(((R1853-1)*MIN((Skills!T16*(1+Inputs!$B$35/100)),(1/Q1853))+MIN((Skills!T16*(1+Inputs!$B$35/100)),MAX(0,Inputs!$B$44-((R1853-1)*(1/Q1853)))))/Inputs!$B$44),IF(Inputs!$B$39="pvp",MIN((Skills!T16*(1+Inputs!$B$35/100)),15)/15,MIN(1,(Skills!T16*(1+Inputs!$B$35/100))/(1/Q1853)))))+0+(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1839)</f>
        <v/>
      </c>
      <c r="L1839">
        <f>K1839*(MIN(Inputs!$B$23+((C1859=TRUE)*(F1859-Calc!F22)),(Inputs!$B$24+((C1861=TRUE)*(F1861-Calc!F24))+(IF(ArtifactsInput!$M$15,CHOOSE(ArtifactsInput!$N$15+1,25,30,35,40,45,50)/100*(Inputs!$B$12-Inputs!$B$12),0))))/100+(Inputs!$B$24+((C1861=TRUE)*(F1861-Calc!F24))+(IF(ArtifactsInput!$M$15,CHOOSE(ArtifactsInput!$N$15+1,25,30,35,40,45,50)/100*(Inputs!$B$12-Inputs!$B$12),0)))/100)/2</f>
        <v/>
      </c>
      <c r="M1839">
        <f>L1839*(1+(Inputs!$B$11+0+B1871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839">
        <f>L1839*(1-MIN((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1839*(MIN((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39">
        <f>(1-Summary!$B$11)*T1839+Summary!$B$11*V1839</f>
        <v/>
      </c>
      <c r="P1839">
        <f>IF(B1876=0,0,O1839/B1876)</f>
        <v/>
      </c>
      <c r="Q1839" t="n">
        <v>0</v>
      </c>
      <c r="R1839" t="n">
        <v>0</v>
      </c>
      <c r="S1839">
        <f>IFERROR(O1839/N1839,0)</f>
        <v/>
      </c>
      <c r="T1839">
        <f>IF(C1839,(Skills!G2*N1839*B1870)*IF(Inputs!$B$39="pvp",1,1+(Inputs!$B$21+0+Skills!P2+((C1854=TRUE)*F1854*IF(AND(Inputs!$B$39&lt;&gt;"pvp",Inputs!$B$44&gt;0),(((R1854-1)*MIN((Skills!T17*(1+Inputs!$B$35/100)),(1/Q1854))+MIN((Skills!T17*(1+Inputs!$B$35/100)),MAX(0,Inputs!$B$44-((R1854-1)*(1/Q1854)))))/Inputs!$B$44),IF(Inputs!$B$39="pvp",MIN((Skills!T17*(1+Inputs!$B$35/100)),15)/15,MIN(1,(Skills!T17*(1+Inputs!$B$35/100))/(1/Q1854)))))+((C1842=TRUE)*IF(Inputs!$B$3&gt;=126,10*MIN(1,15*Q1842),0))+((C1851=TRUE)*IF(Inputs!$B$39="pvp",20,(1-Summary!$B$11)*(20)+Summary!$B$11*(0))*IF(AND(Inputs!$B$39&lt;&gt;"pvp",Inputs!$B$44&gt;0),(((R1851-1)*MIN((Skills!T14*(1+Inputs!$B$35/100)),(1/Q1851))+MIN((Skills!T14*(1+Inputs!$B$35/100)),MAX(0,Inputs!$B$44-((R1851-1)*(1/Q1851)))))/Inputs!$B$44),IF(Inputs!$B$39="pvp",MIN((Skills!T14*(1+Inputs!$B$35/100)),15)/15,MIN(1,(Skills!T14*(1+Inputs!$B$35/100))/(1/Q1851)))))+((C1850=TRUE)*IF(Inputs!$B$3&gt;=82,IF(Inputs!$B$39="pvp",20,(1-Summary!$B$11)*(20)+Summary!$B$11*(0)),0)*IF(AND(Inputs!$B$39&lt;&gt;"pvp",Inputs!$B$44&gt;0),(((R1850-1)*MIN((Skills!T13*(1+Inputs!$B$35/100)),(1/Q1850))+MIN((Skills!T13*(1+Inputs!$B$35/100)),MAX(0,Inputs!$B$44-((R1850-1)*(1/Q1850)))))/Inputs!$B$44),IF(Inputs!$B$39="pvp",MIN((Skills!T13*(1+Inputs!$B$35/100)),15)/15,MIN(1,(Skills!T13*(1+Inputs!$B$35/100))/(1/Q1850)))))+(IF(AND(ArtifactsInput!$M$35,Inputs!$B$4&lt;&gt;"Chapter Hunt"),CHOOSE(ArtifactsInput!$N$35+1,15,18,21,24,27,30)*(1-EXP(-(0.2*B1868)*5)),0)+IF(AND(ArtifactsInput!$M$22,Inputs!$B$4&lt;&gt;"Chapter Hunt"),CHOOSE(ArtifactsInput!$N$22+1,10,12,14,16,18,20)*((0*(((0.15*B1868*5))^0/1)+1*(((0.15*B1868*5))^1/1)+2*(((0.15*B1868*5))^2/2)+3*(((0.15*B1868*5))^3/6)+4*(((0.15*B1868*5))^4/24)+5*(((0.15*B1868*5))^5/120))/((((0.15*B1868*5))^0/1)+(((0.15*B1868*5))^1/1)+(((0.15*B1868*5))^2/2)+(((0.15*B1868*5))^3/6)+(((0.15*B1868*5))^4/24)+(((0.15*B1868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1839*(1-MIN(100,(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1839*(MIN(100,(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1839*(1-MIN(100,(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1839*(MIN(100,(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839">
        <f>MAX(0,(Inputs!$B$3-100)*3)+Inputs!$B$29+Inputs!$B$30</f>
        <v/>
      </c>
      <c r="V1839">
        <f>IF(C1839,(Skills!G2*N1839*B1870)*IF(Inputs!$B$39="pvp",1,(1+(Inputs!$B$22+Skills!Q2+((C1854=TRUE)*F1854*IF(AND(Inputs!$B$39&lt;&gt;"pvp",Inputs!$B$44&gt;0),(((R1854-1)*MIN((Skills!T17*(1+Inputs!$B$35/100)),(1/Q1854))+MIN((Skills!T17*(1+Inputs!$B$35/100)),MAX(0,Inputs!$B$44-((R1854-1)*(1/Q1854)))))/Inputs!$B$44),IF(Inputs!$B$39="pvp",MIN((Skills!T17*(1+Inputs!$B$35/100)),15)/15,MIN(1,(Skills!T17*(1+Inputs!$B$35/100))/(1/Q1854)))))+((C1842=TRUE)*IF(Inputs!$B$3&gt;=126,10*MIN(1,15*Q1842),0))+((C1851=TRUE)*IF(Inputs!$B$39="pvp",20,(1-Summary!$B$11)*(20)+Summary!$B$11*(0))*IF(AND(Inputs!$B$39&lt;&gt;"pvp",Inputs!$B$44&gt;0),(((R1851-1)*MIN((Skills!T14*(1+Inputs!$B$35/100)),(1/Q1851))+MIN((Skills!T14*(1+Inputs!$B$35/100)),MAX(0,Inputs!$B$44-((R1851-1)*(1/Q1851)))))/Inputs!$B$44),IF(Inputs!$B$39="pvp",MIN((Skills!T14*(1+Inputs!$B$35/100)),15)/15,MIN(1,(Skills!T14*(1+Inputs!$B$35/100))/(1/Q1851)))))+((C1850=TRUE)*IF(Inputs!$B$3&gt;=82,IF(Inputs!$B$39="pvp",20,(1-Summary!$B$11)*(20)+Summary!$B$11*(0)),0)*IF(AND(Inputs!$B$39&lt;&gt;"pvp",Inputs!$B$44&gt;0),(((R1850-1)*MIN((Skills!T13*(1+Inputs!$B$35/100)),(1/Q1850))+MIN((Skills!T13*(1+Inputs!$B$35/100)),MAX(0,Inputs!$B$44-((R1850-1)*(1/Q1850)))))/Inputs!$B$44),IF(Inputs!$B$39="pvp",MIN((Skills!T13*(1+Inputs!$B$35/100)),15)/15,MIN(1,(Skills!T13*(1+Inputs!$B$35/100))/(1/Q1850)))))+(IF(AND(ArtifactsInput!$M$35,Inputs!$B$4&lt;&gt;"Chapter Hunt"),CHOOSE(ArtifactsInput!$N$35+1,15,18,21,24,27,30)*(1-EXP(-(0.2*B1868)*5)),0)+IF(AND(ArtifactsInput!$M$22,Inputs!$B$4&lt;&gt;"Chapter Hunt"),CHOOSE(ArtifactsInput!$N$22+1,10,12,14,16,18,20)*((0*(((0.15*B1868*5))^0/1)+1*(((0.15*B1868*5))^1/1)+2*(((0.15*B1868*5))^2/2)+3*(((0.15*B1868*5))^3/6)+4*(((0.15*B1868*5))^4/24)+5*(((0.15*B1868*5))^5/120))/((((0.15*B1868*5))^0/1)+(((0.15*B1868*5))^1/1)+(((0.15*B1868*5))^2/2)+(((0.15*B1868*5))^3/6)+(((0.15*B1868*5))^4/24)+(((0.15*B1868*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40">
      <c r="A1840">
        <f>Skills!A3</f>
        <v/>
      </c>
      <c r="B1840">
        <f>Skills!B3</f>
        <v/>
      </c>
      <c r="C1840">
        <f>Inputs!$B$3&gt;=50</f>
        <v/>
      </c>
      <c r="D1840">
        <f>IF(Skills!C3=1,60+Inputs!$B$26+Inputs!$B$30,IF(Skills!C3=2,90+Inputs!$B$27+Inputs!$B$30,IF(Skills!C3=3,120+Inputs!$B$28+Inputs!$B$30,MAX(0,(Inputs!$B$3-100)*3)+Inputs!$B$29+Inputs!$B$30)))</f>
        <v/>
      </c>
      <c r="E1840">
        <f>INDEX(FactorTable!$B$2:$Y$301, MATCH(ROUND(MIN(300,MAX(1,D1840)),0), FactorTable!$A$2:$A$301,0), Skills!M3+1)</f>
        <v/>
      </c>
      <c r="F1840">
        <f>IF(Skills!N3=TRUE,(Skills!L3/10)*(E1840/1000),Skills!L3/10)+Skills!O3</f>
        <v/>
      </c>
      <c r="G1840" t="inlineStr"/>
      <c r="H1840" t="inlineStr"/>
      <c r="I1840" t="inlineStr">
        <is>
          <t>1</t>
        </is>
      </c>
      <c r="J1840" t="inlineStr"/>
      <c r="K1840" t="inlineStr"/>
      <c r="L1840" t="inlineStr"/>
      <c r="M1840" t="inlineStr"/>
      <c r="N1840" t="inlineStr"/>
      <c r="O1840" t="inlineStr"/>
      <c r="P1840" t="inlineStr"/>
      <c r="Q1840" t="inlineStr"/>
      <c r="R1840" t="inlineStr"/>
      <c r="S1840" t="inlineStr"/>
      <c r="U1840">
        <f>INDEX(FactorTable!$B$2:$Y$301, MATCH(ROUND(MIN(300,MAX(1,U1839)),0), FactorTable!$A$2:$A$301,0), 22)</f>
        <v/>
      </c>
    </row>
    <row r="1841">
      <c r="A1841">
        <f>Skills!A4</f>
        <v/>
      </c>
      <c r="B1841">
        <f>Skills!B4</f>
        <v/>
      </c>
      <c r="C1841">
        <f>Inputs!$B$3&gt;=105</f>
        <v/>
      </c>
      <c r="D1841">
        <f>IF(Skills!C4=1,60+Inputs!$B$26+Inputs!$B$30,IF(Skills!C4=2,90+Inputs!$B$27+Inputs!$B$30,IF(Skills!C4=3,120+Inputs!$B$28+Inputs!$B$30,MAX(0,(Inputs!$B$3-100)*3)+Inputs!$B$29+Inputs!$B$30)))</f>
        <v/>
      </c>
      <c r="E1841">
        <f>INDEX(FactorTable!$B$2:$Y$301, MATCH(ROUND(MIN(300,MAX(1,D1841)),0), FactorTable!$A$2:$A$301,0), Skills!M4+1)</f>
        <v/>
      </c>
      <c r="F1841">
        <f>IF(Skills!N4=TRUE,(Skills!L4/10)*(E1841/1000),Skills!L4/10)+Skills!O4</f>
        <v/>
      </c>
      <c r="G1841" t="inlineStr"/>
      <c r="H1841" t="inlineStr"/>
      <c r="I1841" t="inlineStr">
        <is>
          <t>1</t>
        </is>
      </c>
      <c r="J1841" t="inlineStr"/>
      <c r="K1841" t="inlineStr"/>
      <c r="L1841" t="inlineStr"/>
      <c r="M1841" t="inlineStr"/>
      <c r="N1841" t="inlineStr"/>
      <c r="O1841" t="inlineStr"/>
      <c r="P1841" t="inlineStr"/>
      <c r="Q1841" t="inlineStr"/>
      <c r="R1841" t="inlineStr"/>
      <c r="S1841" t="inlineStr"/>
      <c r="U1841">
        <f>290*U1840/1000</f>
        <v/>
      </c>
    </row>
    <row r="1842">
      <c r="A1842">
        <f>Skills!A5</f>
        <v/>
      </c>
      <c r="B1842">
        <f>Skills!B5</f>
        <v/>
      </c>
      <c r="C1842">
        <f>Inputs!$B$3&gt;=117</f>
        <v/>
      </c>
      <c r="D1842">
        <f>IF(Skills!C5=1,60+Inputs!$B$26+Inputs!$B$30,IF(Skills!C5=2,90+Inputs!$B$27+Inputs!$B$30,IF(Skills!C5=3,120+Inputs!$B$28+Inputs!$B$30,MAX(0,(Inputs!$B$3-100)*3)+Inputs!$B$29+Inputs!$B$30)))</f>
        <v/>
      </c>
      <c r="E1842">
        <f>INDEX(FactorTable!$B$2:$Y$301, MATCH(ROUND(MIN(300,MAX(1,D1842)),0), FactorTable!$A$2:$A$301,0), Skills!M5+1)</f>
        <v/>
      </c>
      <c r="F1842">
        <f>IF(Skills!N5=TRUE,(Skills!L5/10)*(E1842/1000),Skills!L5/10)+Skills!O5</f>
        <v/>
      </c>
      <c r="G1842">
        <f>Skills!G5*IF(Skills!H5&gt;0,INT(IF(Inputs!$B$39="pvp",MIN(Skills!I5,15),Skills!I5)/Skills!H5+0.000000001),1)</f>
        <v/>
      </c>
      <c r="H1842">
        <f>1-(1-Skills!J5/100)^Skills!K5</f>
        <v/>
      </c>
      <c r="I1842" t="inlineStr">
        <is>
          <t>1</t>
        </is>
      </c>
      <c r="J1842">
        <f>((Inputs!$B$6*(1+Inputs!$B$7/100))+(((Inputs!$B$13*(1+Inputs!$B$14/100))-(Inputs!$B$13*(1+Inputs!$B$14/100)))+0.25*(Inputs!$B$15-Inputs!$B$15))*(1+Inputs!$B$7/100))*(F1842/100)</f>
        <v/>
      </c>
      <c r="K1842">
        <f>J1842*(1+(((Inputs!$B$13+IF(Inputs!$B$3&gt;=38,(10*INDEX(FactorTable!$B$2:$Y$301, MATCH(ROUND(MIN(300,MAX(1,Inputs!$B$3)),0), FactorTable!$A$2:$A$301,0), 23)/1000)/100*(Inputs!$B$8*(1+Inputs!$B$9/100)),0))*(1+Inputs!$B$14/100))*0.01+Inputs!$B$15*0.0025)/100)*(1+Inputs!$B$16/100)*(1+Inputs!$B$17/100)*(5000/(6000+Inputs!$B$43*(1-(Inputs!$B$20+0)/100)))*(1+(Inputs!$B$25+((C1862=TRUE)*(F1862-Calc!F25))+((C1863=TRUE)*(F1863-Calc!F26))+B1872)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gt;=100),MIN(100,((Inputs!$B$10+0+B1866+(ArtifactsInput!$M$24-ArtifactsInput!$M$24)*CHOOSE(ArtifactsInput!$N$24+1,10,12,14,16,18,20)+IF(ArtifactsInput!$M$10,CHOOSE(ArtifactsInput!$N$10+1,15,18,21,24,27,30)*(IF(Inputs!$B$39="pvp",MIN(15,15)/15,IF(AND(Inputs!$B$39&lt;&gt;"pvp",Inputs!$B$44&gt;0),MIN(15,Inputs!$B$44)/(Inputs!$B$44),0))),0)))-100),0))*CHOOSE(ArtifactsInput!$N$42+1,0.6,0.72,0.84,0.96,1.08,1.2))),Inputs!$B$19+((C1860=TRUE)*(F1860-Calc!F23))+(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gt;=100),CHOOSE(ArtifactsInput!$N$42+1,40,48,56,64,72,80),0))))/100)*((1+(((C1850=TRUE)*F1850*IF(AND(Inputs!$B$39&lt;&gt;"pvp",Inputs!$B$44&gt;0),(((R1850-1)*MIN((Skills!T13*(1+Inputs!$B$35/100)),(1/Q1850))+MIN((Skills!T13*(1+Inputs!$B$35/100)),MAX(0,Inputs!$B$44-((R1850-1)*(1/Q1850)))))/Inputs!$B$44),IF(Inputs!$B$39="pvp",MIN((Skills!T13*(1+Inputs!$B$35/100)),15)/15,MIN(1,(Skills!T13*(1+Inputs!$B$35/100))/(1/Q1850)))))+((C1851=TRUE)*F1851*IF(AND(Inputs!$B$39&lt;&gt;"pvp",Inputs!$B$44&gt;0),(((R1851-1)*MIN((Skills!T14*(1+Inputs!$B$35/100)),(1/Q1851))+MIN((Skills!T14*(1+Inputs!$B$35/100)),MAX(0,Inputs!$B$44-((R1851-1)*(1/Q1851)))))/Inputs!$B$44),IF(Inputs!$B$39="pvp",MIN((Skills!T14*(1+Inputs!$B$35/100)),15)/15,MIN(1,(Skills!T14*(1+Inputs!$B$35/100))/(1/Q1851)))))+((C1852=TRUE)*F1852*IF(AND(Inputs!$B$39&lt;&gt;"pvp",Inputs!$B$44&gt;0),(((R1852-1)*MIN((Skills!T15*(1+Inputs!$B$35/100)),(1/Q1852))+MIN((Skills!T15*(1+Inputs!$B$35/100)),MAX(0,Inputs!$B$44-((R1852-1)*(1/Q1852)))))/Inputs!$B$44),IF(Inputs!$B$39="pvp",MIN((Skills!T15*(1+Inputs!$B$35/100)),15)/15,MIN(1,(Skills!T15*(1+Inputs!$B$35/100))/(1/Q1852)))))+((C1853=TRUE)*F1853*IF(AND(Inputs!$B$39&lt;&gt;"pvp",Inputs!$B$44&gt;0),(((R1853-1)*MIN((Skills!T16*(1+Inputs!$B$35/100)),(1/Q1853))+MIN((Skills!T16*(1+Inputs!$B$35/100)),MAX(0,Inputs!$B$44-((R1853-1)*(1/Q1853)))))/Inputs!$B$44),IF(Inputs!$B$39="pvp",MIN((Skills!T16*(1+Inputs!$B$35/100)),15)/15,MIN(1,(Skills!T16*(1+Inputs!$B$35/100))/(1/Q1853)))))+0+(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1842)</f>
        <v/>
      </c>
      <c r="L1842">
        <f>K1842*(MIN(Inputs!$B$23+((C1859=TRUE)*(F1859-Calc!F22)),(Inputs!$B$24+((C1861=TRUE)*(F1861-Calc!F24))+(IF(ArtifactsInput!$M$15,CHOOSE(ArtifactsInput!$N$15+1,25,30,35,40,45,50)/100*(Inputs!$B$12-Inputs!$B$12),0))))/100+(Inputs!$B$24+((C1861=TRUE)*(F1861-Calc!F24))+(IF(ArtifactsInput!$M$15,CHOOSE(ArtifactsInput!$N$15+1,25,30,35,40,45,50)/100*(Inputs!$B$12-Inputs!$B$12),0)))/100)/2</f>
        <v/>
      </c>
      <c r="M1842">
        <f>L1842*(1+(Inputs!$B$11+0+B1871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842">
        <f>L1842*(1-MIN((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1842*(MIN((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42">
        <f>(1-Summary!$B$11)*T1842+Summary!$B$11*V1842</f>
        <v/>
      </c>
      <c r="P1842">
        <f>IF(B1876=0,0,O1842/B1876)</f>
        <v/>
      </c>
      <c r="Q1842">
        <f>IFERROR(1/IF(Inputs!$B$39="pvp",15,MAX(0.1,Skills!D5-IF(TRUE=TRUE,Inputs!$B$33,0))),0)</f>
        <v/>
      </c>
      <c r="R1842">
        <f>IF(AND(Inputs!$B$39&lt;&gt;"pvp",Inputs!$B$44&gt;0),IF(MAX(0,Inputs!$B$44-B1873)&lt;=0,0,(INT(MAX(0,Inputs!$B$44-B1873)/IF(Inputs!$B$39="pvp",15,MAX(0.1,Skills!D5-IF(TRUE=TRUE,Inputs!$B$33,0))))+1)),0)</f>
        <v/>
      </c>
      <c r="S1842">
        <f>IFERROR(O1842/N1842,0)</f>
        <v/>
      </c>
      <c r="T1842">
        <f>IF(C1842,(H1842*N1842*IF(AND(Inputs!$B$39&lt;&gt;"pvp",Inputs!$B$44&gt;0),((Skills!G5*((R1842-1)*IF(Skills!H5&gt;0,INT(Skills!I5/Skills!H5+0.000000001),1)+IF(Skills!H5&gt;0,INT(MIN(Skills!I5,MAX(0,MAX(0,Inputs!$B$44-B1873)-((R1842-1)*IF(Inputs!$B$39="pvp",15,MAX(0.1,Skills!D5-IF(TRUE=TRUE,Inputs!$B$33,0))))))/Skills!H5+0.000000001),1)))/Inputs!$B$44),G1842*Q1842))*IF(Inputs!$B$39="pvp",1,1+(Inputs!$B$21+0+Skills!P5+((C1854=TRUE)*F1854*IF(AND(Inputs!$B$39&lt;&gt;"pvp",Inputs!$B$44&gt;0),(((R1854-1)*MIN((Skills!T17*(1+Inputs!$B$35/100)),(1/Q1854))+MIN((Skills!T17*(1+Inputs!$B$35/100)),MAX(0,Inputs!$B$44-((R1854-1)*(1/Q1854)))))/Inputs!$B$44),IF(Inputs!$B$39="pvp",MIN((Skills!T17*(1+Inputs!$B$35/100)),15)/15,MIN(1,(Skills!T17*(1+Inputs!$B$35/100))/(1/Q1854)))))+((C1842=TRUE)*IF(Inputs!$B$3&gt;=126,10*MIN(1,15*Q1842),0))+((C1851=TRUE)*IF(Inputs!$B$39="pvp",20,(1-Summary!$B$11)*(20)+Summary!$B$11*(0))*IF(AND(Inputs!$B$39&lt;&gt;"pvp",Inputs!$B$44&gt;0),(((R1851-1)*MIN((Skills!T14*(1+Inputs!$B$35/100)),(1/Q1851))+MIN((Skills!T14*(1+Inputs!$B$35/100)),MAX(0,Inputs!$B$44-((R1851-1)*(1/Q1851)))))/Inputs!$B$44),IF(Inputs!$B$39="pvp",MIN((Skills!T14*(1+Inputs!$B$35/100)),15)/15,MIN(1,(Skills!T14*(1+Inputs!$B$35/100))/(1/Q1851)))))+((C1850=TRUE)*IF(Inputs!$B$3&gt;=82,IF(Inputs!$B$39="pvp",20,(1-Summary!$B$11)*(20)+Summary!$B$11*(0)),0)*IF(AND(Inputs!$B$39&lt;&gt;"pvp",Inputs!$B$44&gt;0),(((R1850-1)*MIN((Skills!T13*(1+Inputs!$B$35/100)),(1/Q1850))+MIN((Skills!T13*(1+Inputs!$B$35/100)),MAX(0,Inputs!$B$44-((R1850-1)*(1/Q1850)))))/Inputs!$B$44),IF(Inputs!$B$39="pvp",MIN((Skills!T13*(1+Inputs!$B$35/100)),15)/15,MIN(1,(Skills!T13*(1+Inputs!$B$35/100))/(1/Q1850)))))+(IF(AND(ArtifactsInput!$M$35,Inputs!$B$4&lt;&gt;"Chapter Hunt"),CHOOSE(ArtifactsInput!$N$35+1,15,18,21,24,27,30)*(1-EXP(-(0.2*B1868)*5)),0)+IF(AND(ArtifactsInput!$M$22,Inputs!$B$4&lt;&gt;"Chapter Hunt"),CHOOSE(ArtifactsInput!$N$22+1,10,12,14,16,18,20)*((0*(((0.15*B1868*5))^0/1)+1*(((0.15*B1868*5))^1/1)+2*(((0.15*B1868*5))^2/2)+3*(((0.15*B1868*5))^3/6)+4*(((0.15*B1868*5))^4/24)+5*(((0.15*B1868*5))^5/120))/((((0.15*B1868*5))^0/1)+(((0.15*B1868*5))^1/1)+(((0.15*B1868*5))^2/2)+(((0.15*B1868*5))^3/6)+(((0.15*B1868*5))^4/24)+(((0.15*B1868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1842*(1-MIN(100,(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1842*(MIN(100,(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1842*(1-MIN(100,(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1842*(MIN(100,(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42">
        <f>IF(C1842,(H1842*N1842*IF(AND(Inputs!$B$39&lt;&gt;"pvp",Inputs!$B$44&gt;0),((Skills!G5*((R1842-1)*IF(Skills!H5&gt;0,INT(Skills!I5/Skills!H5+0.000000001),1)+IF(Skills!H5&gt;0,INT(MIN(Skills!I5,MAX(0,MAX(0,Inputs!$B$44-B1873)-((R1842-1)*IF(Inputs!$B$39="pvp",15,MAX(0.1,Skills!D5-IF(TRUE=TRUE,Inputs!$B$33,0))))))/Skills!H5+0.000000001),1)))/Inputs!$B$44),G1842*Q1842))*IF(Inputs!$B$39="pvp",1,(1+(Inputs!$B$22+Skills!Q5+((C1854=TRUE)*F1854*IF(AND(Inputs!$B$39&lt;&gt;"pvp",Inputs!$B$44&gt;0),(((R1854-1)*MIN((Skills!T17*(1+Inputs!$B$35/100)),(1/Q1854))+MIN((Skills!T17*(1+Inputs!$B$35/100)),MAX(0,Inputs!$B$44-((R1854-1)*(1/Q1854)))))/Inputs!$B$44),IF(Inputs!$B$39="pvp",MIN((Skills!T17*(1+Inputs!$B$35/100)),15)/15,MIN(1,(Skills!T17*(1+Inputs!$B$35/100))/(1/Q1854)))))+((C1842=TRUE)*IF(Inputs!$B$3&gt;=126,10*MIN(1,15*Q1842),0))+((C1851=TRUE)*IF(Inputs!$B$39="pvp",20,(1-Summary!$B$11)*(20)+Summary!$B$11*(0))*IF(AND(Inputs!$B$39&lt;&gt;"pvp",Inputs!$B$44&gt;0),(((R1851-1)*MIN((Skills!T14*(1+Inputs!$B$35/100)),(1/Q1851))+MIN((Skills!T14*(1+Inputs!$B$35/100)),MAX(0,Inputs!$B$44-((R1851-1)*(1/Q1851)))))/Inputs!$B$44),IF(Inputs!$B$39="pvp",MIN((Skills!T14*(1+Inputs!$B$35/100)),15)/15,MIN(1,(Skills!T14*(1+Inputs!$B$35/100))/(1/Q1851)))))+((C1850=TRUE)*IF(Inputs!$B$3&gt;=82,IF(Inputs!$B$39="pvp",20,(1-Summary!$B$11)*(20)+Summary!$B$11*(0)),0)*IF(AND(Inputs!$B$39&lt;&gt;"pvp",Inputs!$B$44&gt;0),(((R1850-1)*MIN((Skills!T13*(1+Inputs!$B$35/100)),(1/Q1850))+MIN((Skills!T13*(1+Inputs!$B$35/100)),MAX(0,Inputs!$B$44-((R1850-1)*(1/Q1850)))))/Inputs!$B$44),IF(Inputs!$B$39="pvp",MIN((Skills!T13*(1+Inputs!$B$35/100)),15)/15,MIN(1,(Skills!T13*(1+Inputs!$B$35/100))/(1/Q1850)))))+(IF(AND(ArtifactsInput!$M$35,Inputs!$B$4&lt;&gt;"Chapter Hunt"),CHOOSE(ArtifactsInput!$N$35+1,15,18,21,24,27,30)*(1-EXP(-(0.2*B1868)*5)),0)+IF(AND(ArtifactsInput!$M$22,Inputs!$B$4&lt;&gt;"Chapter Hunt"),CHOOSE(ArtifactsInput!$N$22+1,10,12,14,16,18,20)*((0*(((0.15*B1868*5))^0/1)+1*(((0.15*B1868*5))^1/1)+2*(((0.15*B1868*5))^2/2)+3*(((0.15*B1868*5))^3/6)+4*(((0.15*B1868*5))^4/24)+5*(((0.15*B1868*5))^5/120))/((((0.15*B1868*5))^0/1)+(((0.15*B1868*5))^1/1)+(((0.15*B1868*5))^2/2)+(((0.15*B1868*5))^3/6)+(((0.15*B1868*5))^4/24)+(((0.15*B1868*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43">
      <c r="A1843">
        <f>Skills!A6</f>
        <v/>
      </c>
      <c r="B1843">
        <f>Skills!B6</f>
        <v/>
      </c>
      <c r="C1843">
        <f>Inputs!$B$3&gt;=103</f>
        <v/>
      </c>
      <c r="D1843">
        <f>IF(Skills!C6=1,60+Inputs!$B$26+Inputs!$B$30,IF(Skills!C6=2,90+Inputs!$B$27+Inputs!$B$30,IF(Skills!C6=3,120+Inputs!$B$28+Inputs!$B$30,MAX(0,(Inputs!$B$3-100)*3)+Inputs!$B$29+Inputs!$B$30)))</f>
        <v/>
      </c>
      <c r="E1843">
        <f>INDEX(FactorTable!$B$2:$Y$301, MATCH(ROUND(MIN(300,MAX(1,D1843)),0), FactorTable!$A$2:$A$301,0), Skills!M6+1)</f>
        <v/>
      </c>
      <c r="F1843">
        <f>IF(Skills!N6=TRUE,(Skills!L6/10)*(E1843/1000),Skills!L6/10)+Skills!O6</f>
        <v/>
      </c>
      <c r="G1843">
        <f>Skills!G6*IF(Skills!H6&gt;0,INT(IF(Inputs!$B$39="pvp",MIN(Skills!I6,15),Skills!I6)/Skills!H6+0.000000001),1)</f>
        <v/>
      </c>
      <c r="H1843">
        <f>1-(1-Skills!J6/100)^Skills!K6</f>
        <v/>
      </c>
      <c r="I1843" t="inlineStr">
        <is>
          <t>1</t>
        </is>
      </c>
      <c r="J1843">
        <f>((Inputs!$B$6*(1+Inputs!$B$7/100))+(((Inputs!$B$13*(1+Inputs!$B$14/100))-(Inputs!$B$13*(1+Inputs!$B$14/100)))+0.25*(Inputs!$B$15-Inputs!$B$15))*(1+Inputs!$B$7/100))*(F1843/100)</f>
        <v/>
      </c>
      <c r="K1843">
        <f>J1843*(1+(((Inputs!$B$13+IF(Inputs!$B$3&gt;=38,(10*INDEX(FactorTable!$B$2:$Y$301, MATCH(ROUND(MIN(300,MAX(1,Inputs!$B$3)),0), FactorTable!$A$2:$A$301,0), 23)/1000)/100*(Inputs!$B$8*(1+Inputs!$B$9/100)),0))*(1+Inputs!$B$14/100))*0.01+Inputs!$B$15*0.0025)/100)*(1+Inputs!$B$16/100)*(1+Inputs!$B$17/100)*(5000/(6000+Inputs!$B$43*(1-(Inputs!$B$20+0)/100)))*(1+(Inputs!$B$25+((C1862=TRUE)*(F1862-Calc!F25))+((C1863=TRUE)*(F1863-Calc!F26))+B1872)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gt;=100),MIN(100,((Inputs!$B$10+0+B1866+(ArtifactsInput!$M$24-ArtifactsInput!$M$24)*CHOOSE(ArtifactsInput!$N$24+1,10,12,14,16,18,20)+IF(ArtifactsInput!$M$10,CHOOSE(ArtifactsInput!$N$10+1,15,18,21,24,27,30)*(IF(Inputs!$B$39="pvp",MIN(15,15)/15,IF(AND(Inputs!$B$39&lt;&gt;"pvp",Inputs!$B$44&gt;0),MIN(15,Inputs!$B$44)/(Inputs!$B$44),0))),0)))-100),0))*CHOOSE(ArtifactsInput!$N$42+1,0.6,0.72,0.84,0.96,1.08,1.2))),Inputs!$B$19+((C1860=TRUE)*(F1860-Calc!F23))+(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gt;=100),CHOOSE(ArtifactsInput!$N$42+1,40,48,56,64,72,80),0))))/100)*((1+(((C1850=TRUE)*F1850*IF(AND(Inputs!$B$39&lt;&gt;"pvp",Inputs!$B$44&gt;0),(((R1850-1)*MIN((Skills!T13*(1+Inputs!$B$35/100)),(1/Q1850))+MIN((Skills!T13*(1+Inputs!$B$35/100)),MAX(0,Inputs!$B$44-((R1850-1)*(1/Q1850)))))/Inputs!$B$44),IF(Inputs!$B$39="pvp",MIN((Skills!T13*(1+Inputs!$B$35/100)),15)/15,MIN(1,(Skills!T13*(1+Inputs!$B$35/100))/(1/Q1850)))))+((C1851=TRUE)*F1851*IF(AND(Inputs!$B$39&lt;&gt;"pvp",Inputs!$B$44&gt;0),(((R1851-1)*MIN((Skills!T14*(1+Inputs!$B$35/100)),(1/Q1851))+MIN((Skills!T14*(1+Inputs!$B$35/100)),MAX(0,Inputs!$B$44-((R1851-1)*(1/Q1851)))))/Inputs!$B$44),IF(Inputs!$B$39="pvp",MIN((Skills!T14*(1+Inputs!$B$35/100)),15)/15,MIN(1,(Skills!T14*(1+Inputs!$B$35/100))/(1/Q1851)))))+((C1852=TRUE)*F1852*IF(AND(Inputs!$B$39&lt;&gt;"pvp",Inputs!$B$44&gt;0),(((R1852-1)*MIN((Skills!T15*(1+Inputs!$B$35/100)),(1/Q1852))+MIN((Skills!T15*(1+Inputs!$B$35/100)),MAX(0,Inputs!$B$44-((R1852-1)*(1/Q1852)))))/Inputs!$B$44),IF(Inputs!$B$39="pvp",MIN((Skills!T15*(1+Inputs!$B$35/100)),15)/15,MIN(1,(Skills!T15*(1+Inputs!$B$35/100))/(1/Q1852)))))+((C1853=TRUE)*F1853*IF(AND(Inputs!$B$39&lt;&gt;"pvp",Inputs!$B$44&gt;0),(((R1853-1)*MIN((Skills!T16*(1+Inputs!$B$35/100)),(1/Q1853))+MIN((Skills!T16*(1+Inputs!$B$35/100)),MAX(0,Inputs!$B$44-((R1853-1)*(1/Q1853)))))/Inputs!$B$44),IF(Inputs!$B$39="pvp",MIN((Skills!T16*(1+Inputs!$B$35/100)),15)/15,MIN(1,(Skills!T16*(1+Inputs!$B$35/100))/(1/Q1853)))))+0+(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1843)</f>
        <v/>
      </c>
      <c r="L1843">
        <f>K1843*(MIN(Inputs!$B$23+((C1859=TRUE)*(F1859-Calc!F22)),(Inputs!$B$24+((C1861=TRUE)*(F1861-Calc!F24))+(IF(ArtifactsInput!$M$15,CHOOSE(ArtifactsInput!$N$15+1,25,30,35,40,45,50)/100*(Inputs!$B$12-Inputs!$B$12),0))))/100+(Inputs!$B$24+((C1861=TRUE)*(F1861-Calc!F24))+(IF(ArtifactsInput!$M$15,CHOOSE(ArtifactsInput!$N$15+1,25,30,35,40,45,50)/100*(Inputs!$B$12-Inputs!$B$12),0)))/100)/2</f>
        <v/>
      </c>
      <c r="M1843">
        <f>L1843*(1+(Inputs!$B$11+0+B1871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843">
        <f>L1843*(1-MIN((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1843*(MIN((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43">
        <f>(1-Summary!$B$11)*T1843+Summary!$B$11*V1843</f>
        <v/>
      </c>
      <c r="P1843">
        <f>IF(B1876=0,0,O1843/B1876)</f>
        <v/>
      </c>
      <c r="Q1843">
        <f>IFERROR(1/IF(Inputs!$B$39="pvp",15,MAX(0.1,Skills!D6-IF(TRUE=TRUE,Inputs!$B$33,0))),0)</f>
        <v/>
      </c>
      <c r="R1843">
        <f>IF(AND(Inputs!$B$39&lt;&gt;"pvp",Inputs!$B$44&gt;0),IF(MAX(0,Inputs!$B$44-B1873)&lt;=0,0,(INT(MAX(0,Inputs!$B$44-B1873)/IF(Inputs!$B$39="pvp",15,MAX(0.1,Skills!D6-IF(TRUE=TRUE,Inputs!$B$33,0))))+1)),0)</f>
        <v/>
      </c>
      <c r="S1843">
        <f>IFERROR(O1843/N1843,0)</f>
        <v/>
      </c>
      <c r="T1843">
        <f>IF(C1843,(H1843*N1843*IF(AND(Inputs!$B$39&lt;&gt;"pvp",Inputs!$B$44&gt;0),((Skills!G6*((R1843-1)*IF(Skills!H6&gt;0,INT(Skills!I6/Skills!H6+0.000000001),1)+IF(Skills!H6&gt;0,INT(MIN(Skills!I6,MAX(0,MAX(0,Inputs!$B$44-B1873)-((R1843-1)*IF(Inputs!$B$39="pvp",15,MAX(0.1,Skills!D6-IF(TRUE=TRUE,Inputs!$B$33,0))))))/Skills!H6+0.000000001),1)))/Inputs!$B$44),G1843*Q1843))*IF(Inputs!$B$39="pvp",1,1+(Inputs!$B$21+0+Skills!P6+((C1854=TRUE)*F1854*IF(AND(Inputs!$B$39&lt;&gt;"pvp",Inputs!$B$44&gt;0),(((R1854-1)*MIN((Skills!T17*(1+Inputs!$B$35/100)),(1/Q1854))+MIN((Skills!T17*(1+Inputs!$B$35/100)),MAX(0,Inputs!$B$44-((R1854-1)*(1/Q1854)))))/Inputs!$B$44),IF(Inputs!$B$39="pvp",MIN((Skills!T17*(1+Inputs!$B$35/100)),15)/15,MIN(1,(Skills!T17*(1+Inputs!$B$35/100))/(1/Q1854)))))+((C1842=TRUE)*IF(Inputs!$B$3&gt;=126,10*MIN(1,15*Q1842),0))+((C1851=TRUE)*IF(Inputs!$B$39="pvp",20,(1-Summary!$B$11)*(20)+Summary!$B$11*(0))*IF(AND(Inputs!$B$39&lt;&gt;"pvp",Inputs!$B$44&gt;0),(((R1851-1)*MIN((Skills!T14*(1+Inputs!$B$35/100)),(1/Q1851))+MIN((Skills!T14*(1+Inputs!$B$35/100)),MAX(0,Inputs!$B$44-((R1851-1)*(1/Q1851)))))/Inputs!$B$44),IF(Inputs!$B$39="pvp",MIN((Skills!T14*(1+Inputs!$B$35/100)),15)/15,MIN(1,(Skills!T14*(1+Inputs!$B$35/100))/(1/Q1851)))))+((C1850=TRUE)*IF(Inputs!$B$3&gt;=82,IF(Inputs!$B$39="pvp",20,(1-Summary!$B$11)*(20)+Summary!$B$11*(0)),0)*IF(AND(Inputs!$B$39&lt;&gt;"pvp",Inputs!$B$44&gt;0),(((R1850-1)*MIN((Skills!T13*(1+Inputs!$B$35/100)),(1/Q1850))+MIN((Skills!T13*(1+Inputs!$B$35/100)),MAX(0,Inputs!$B$44-((R1850-1)*(1/Q1850)))))/Inputs!$B$44),IF(Inputs!$B$39="pvp",MIN((Skills!T13*(1+Inputs!$B$35/100)),15)/15,MIN(1,(Skills!T13*(1+Inputs!$B$35/100))/(1/Q1850)))))+(IF(AND(ArtifactsInput!$M$35,Inputs!$B$4&lt;&gt;"Chapter Hunt"),CHOOSE(ArtifactsInput!$N$35+1,15,18,21,24,27,30)*(1-EXP(-(0.2*B1868)*5)),0)+IF(AND(ArtifactsInput!$M$22,Inputs!$B$4&lt;&gt;"Chapter Hunt"),CHOOSE(ArtifactsInput!$N$22+1,10,12,14,16,18,20)*((0*(((0.15*B1868*5))^0/1)+1*(((0.15*B1868*5))^1/1)+2*(((0.15*B1868*5))^2/2)+3*(((0.15*B1868*5))^3/6)+4*(((0.15*B1868*5))^4/24)+5*(((0.15*B1868*5))^5/120))/((((0.15*B1868*5))^0/1)+(((0.15*B1868*5))^1/1)+(((0.15*B1868*5))^2/2)+(((0.15*B1868*5))^3/6)+(((0.15*B1868*5))^4/24)+(((0.15*B1868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1843*(1-MIN(100,(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1843*(MIN(100,(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1843*(1-MIN(100,(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1843*(MIN(100,(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43">
        <f>IF(C1843,(H1843*N1843*IF(AND(Inputs!$B$39&lt;&gt;"pvp",Inputs!$B$44&gt;0),((Skills!G6*((R1843-1)*IF(Skills!H6&gt;0,INT(Skills!I6/Skills!H6+0.000000001),1)+IF(Skills!H6&gt;0,INT(MIN(Skills!I6,MAX(0,MAX(0,Inputs!$B$44-B1873)-((R1843-1)*IF(Inputs!$B$39="pvp",15,MAX(0.1,Skills!D6-IF(TRUE=TRUE,Inputs!$B$33,0))))))/Skills!H6+0.000000001),1)))/Inputs!$B$44),G1843*Q1843))*IF(Inputs!$B$39="pvp",1,(1+(Inputs!$B$22+Skills!Q6+((C1854=TRUE)*F1854*IF(AND(Inputs!$B$39&lt;&gt;"pvp",Inputs!$B$44&gt;0),(((R1854-1)*MIN((Skills!T17*(1+Inputs!$B$35/100)),(1/Q1854))+MIN((Skills!T17*(1+Inputs!$B$35/100)),MAX(0,Inputs!$B$44-((R1854-1)*(1/Q1854)))))/Inputs!$B$44),IF(Inputs!$B$39="pvp",MIN((Skills!T17*(1+Inputs!$B$35/100)),15)/15,MIN(1,(Skills!T17*(1+Inputs!$B$35/100))/(1/Q1854)))))+((C1842=TRUE)*IF(Inputs!$B$3&gt;=126,10*MIN(1,15*Q1842),0))+((C1851=TRUE)*IF(Inputs!$B$39="pvp",20,(1-Summary!$B$11)*(20)+Summary!$B$11*(0))*IF(AND(Inputs!$B$39&lt;&gt;"pvp",Inputs!$B$44&gt;0),(((R1851-1)*MIN((Skills!T14*(1+Inputs!$B$35/100)),(1/Q1851))+MIN((Skills!T14*(1+Inputs!$B$35/100)),MAX(0,Inputs!$B$44-((R1851-1)*(1/Q1851)))))/Inputs!$B$44),IF(Inputs!$B$39="pvp",MIN((Skills!T14*(1+Inputs!$B$35/100)),15)/15,MIN(1,(Skills!T14*(1+Inputs!$B$35/100))/(1/Q1851)))))+((C1850=TRUE)*IF(Inputs!$B$3&gt;=82,IF(Inputs!$B$39="pvp",20,(1-Summary!$B$11)*(20)+Summary!$B$11*(0)),0)*IF(AND(Inputs!$B$39&lt;&gt;"pvp",Inputs!$B$44&gt;0),(((R1850-1)*MIN((Skills!T13*(1+Inputs!$B$35/100)),(1/Q1850))+MIN((Skills!T13*(1+Inputs!$B$35/100)),MAX(0,Inputs!$B$44-((R1850-1)*(1/Q1850)))))/Inputs!$B$44),IF(Inputs!$B$39="pvp",MIN((Skills!T13*(1+Inputs!$B$35/100)),15)/15,MIN(1,(Skills!T13*(1+Inputs!$B$35/100))/(1/Q1850)))))+(IF(AND(ArtifactsInput!$M$35,Inputs!$B$4&lt;&gt;"Chapter Hunt"),CHOOSE(ArtifactsInput!$N$35+1,15,18,21,24,27,30)*(1-EXP(-(0.2*B1868)*5)),0)+IF(AND(ArtifactsInput!$M$22,Inputs!$B$4&lt;&gt;"Chapter Hunt"),CHOOSE(ArtifactsInput!$N$22+1,10,12,14,16,18,20)*((0*(((0.15*B1868*5))^0/1)+1*(((0.15*B1868*5))^1/1)+2*(((0.15*B1868*5))^2/2)+3*(((0.15*B1868*5))^3/6)+4*(((0.15*B1868*5))^4/24)+5*(((0.15*B1868*5))^5/120))/((((0.15*B1868*5))^0/1)+(((0.15*B1868*5))^1/1)+(((0.15*B1868*5))^2/2)+(((0.15*B1868*5))^3/6)+(((0.15*B1868*5))^4/24)+(((0.15*B1868*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44">
      <c r="A1844">
        <f>Skills!A7</f>
        <v/>
      </c>
      <c r="B1844">
        <f>Skills!B7</f>
        <v/>
      </c>
      <c r="C1844">
        <f>Inputs!$B$3&gt;=40</f>
        <v/>
      </c>
      <c r="D1844">
        <f>IF(Skills!C7=1,60+Inputs!$B$26+Inputs!$B$30,IF(Skills!C7=2,90+Inputs!$B$27+Inputs!$B$30,IF(Skills!C7=3,120+Inputs!$B$28+Inputs!$B$30,MAX(0,(Inputs!$B$3-100)*3)+Inputs!$B$29+Inputs!$B$30)))</f>
        <v/>
      </c>
      <c r="E1844">
        <f>INDEX(FactorTable!$B$2:$Y$301, MATCH(ROUND(MIN(300,MAX(1,D1844)),0), FactorTable!$A$2:$A$301,0), Skills!M7+1)</f>
        <v/>
      </c>
      <c r="F1844">
        <f>IF(Skills!N7=TRUE,(Skills!L7/10)*(E1844/1000),Skills!L7/10)+Skills!O7</f>
        <v/>
      </c>
      <c r="G1844">
        <f>Skills!G7*IF(Skills!H7&gt;0,INT(IF(Inputs!$B$39="pvp",MIN(Skills!I7,15),Skills!I7)/Skills!H7+0.000000001),1)</f>
        <v/>
      </c>
      <c r="H1844">
        <f>1-(1-Skills!J7/100)^Skills!K7</f>
        <v/>
      </c>
      <c r="I1844" t="inlineStr">
        <is>
          <t>1</t>
        </is>
      </c>
      <c r="J1844">
        <f>((Inputs!$B$6*(1+Inputs!$B$7/100))+(((Inputs!$B$13*(1+Inputs!$B$14/100))-(Inputs!$B$13*(1+Inputs!$B$14/100)))+0.25*(Inputs!$B$15-Inputs!$B$15))*(1+Inputs!$B$7/100))*(F1844/100)</f>
        <v/>
      </c>
      <c r="K1844">
        <f>J1844*(1+(((Inputs!$B$13+IF(Inputs!$B$3&gt;=38,(10*INDEX(FactorTable!$B$2:$Y$301, MATCH(ROUND(MIN(300,MAX(1,Inputs!$B$3)),0), FactorTable!$A$2:$A$301,0), 23)/1000)/100*(Inputs!$B$8*(1+Inputs!$B$9/100)),0))*(1+Inputs!$B$14/100))*0.01+Inputs!$B$15*0.0025)/100)*(1+Inputs!$B$16/100)*(1+Inputs!$B$17/100)*(5000/(6000+Inputs!$B$43*(1-(Inputs!$B$20+0)/100)))*(1+(Inputs!$B$25+((C1862=TRUE)*(F1862-Calc!F25))+((C1863=TRUE)*(F1863-Calc!F26))+B1872)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1848=TRUE,F1848,0)/100)*(1+(IF(Skills!A7="DARK_IMPALE",Inputs!$B$18+0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gt;=100),MIN(100,((Inputs!$B$10+0+B1866+(ArtifactsInput!$M$24-ArtifactsInput!$M$24)*CHOOSE(ArtifactsInput!$N$24+1,10,12,14,16,18,20)+IF(ArtifactsInput!$M$10,CHOOSE(ArtifactsInput!$N$10+1,15,18,21,24,27,30)*(IF(Inputs!$B$39="pvp",MIN(15,15)/15,IF(AND(Inputs!$B$39&lt;&gt;"pvp",Inputs!$B$44&gt;0),MIN(15,Inputs!$B$44)/(Inputs!$B$44),0))),0)))-100),0))*CHOOSE(ArtifactsInput!$N$42+1,0.6,0.72,0.84,0.96,1.08,1.2))),Inputs!$B$19+((C1860=TRUE)*(F1860-Calc!F23))+(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gt;=100),CHOOSE(ArtifactsInput!$N$42+1,40,48,56,64,72,80),0))))/100)*((1+(((C1850=TRUE)*F1850*IF(AND(Inputs!$B$39&lt;&gt;"pvp",Inputs!$B$44&gt;0),(((R1850-1)*MIN((Skills!T13*(1+Inputs!$B$35/100)),(1/Q1850))+MIN((Skills!T13*(1+Inputs!$B$35/100)),MAX(0,Inputs!$B$44-((R1850-1)*(1/Q1850)))))/Inputs!$B$44),IF(Inputs!$B$39="pvp",MIN((Skills!T13*(1+Inputs!$B$35/100)),15)/15,MIN(1,(Skills!T13*(1+Inputs!$B$35/100))/(1/Q1850)))))+((C1851=TRUE)*F1851*IF(AND(Inputs!$B$39&lt;&gt;"pvp",Inputs!$B$44&gt;0),(((R1851-1)*MIN((Skills!T14*(1+Inputs!$B$35/100)),(1/Q1851))+MIN((Skills!T14*(1+Inputs!$B$35/100)),MAX(0,Inputs!$B$44-((R1851-1)*(1/Q1851)))))/Inputs!$B$44),IF(Inputs!$B$39="pvp",MIN((Skills!T14*(1+Inputs!$B$35/100)),15)/15,MIN(1,(Skills!T14*(1+Inputs!$B$35/100))/(1/Q1851)))))+((C1852=TRUE)*F1852*IF(AND(Inputs!$B$39&lt;&gt;"pvp",Inputs!$B$44&gt;0),(((R1852-1)*MIN((Skills!T15*(1+Inputs!$B$35/100)),(1/Q1852))+MIN((Skills!T15*(1+Inputs!$B$35/100)),MAX(0,Inputs!$B$44-((R1852-1)*(1/Q1852)))))/Inputs!$B$44),IF(Inputs!$B$39="pvp",MIN((Skills!T15*(1+Inputs!$B$35/100)),15)/15,MIN(1,(Skills!T15*(1+Inputs!$B$35/100))/(1/Q1852)))))+((C1853=TRUE)*F1853*IF(AND(Inputs!$B$39&lt;&gt;"pvp",Inputs!$B$44&gt;0),(((R1853-1)*MIN((Skills!T16*(1+Inputs!$B$35/100)),(1/Q1853))+MIN((Skills!T16*(1+Inputs!$B$35/100)),MAX(0,Inputs!$B$44-((R1853-1)*(1/Q1853)))))/Inputs!$B$44),IF(Inputs!$B$39="pvp",MIN((Skills!T16*(1+Inputs!$B$35/100)),15)/15,MIN(1,(Skills!T16*(1+Inputs!$B$35/100))/(1/Q1853)))))+0+(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1844)</f>
        <v/>
      </c>
      <c r="L1844">
        <f>K1844*(MIN(Inputs!$B$23+((C1859=TRUE)*(F1859-Calc!F22)),(Inputs!$B$24+((C1861=TRUE)*(F1861-Calc!F24))+(IF(ArtifactsInput!$M$15,CHOOSE(ArtifactsInput!$N$15+1,25,30,35,40,45,50)/100*(Inputs!$B$12-Inputs!$B$12),0))))/100+(Inputs!$B$24+((C1861=TRUE)*(F1861-Calc!F24))+(IF(ArtifactsInput!$M$15,CHOOSE(ArtifactsInput!$N$15+1,25,30,35,40,45,50)/100*(Inputs!$B$12-Inputs!$B$12),0)))/100)/2</f>
        <v/>
      </c>
      <c r="M1844">
        <f>L1844*(1+(Inputs!$B$11+0+B1871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844">
        <f>L1844*(1-MIN((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1844*(MIN((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44">
        <f>(1-Summary!$B$11)*T1844+Summary!$B$11*V1844</f>
        <v/>
      </c>
      <c r="P1844">
        <f>IF(B1876=0,0,O1844/B1876)</f>
        <v/>
      </c>
      <c r="Q1844">
        <f>IFERROR(1/IF(Inputs!$B$39="pvp",15,MAX(0.1,Skills!D7-IF(TRUE=TRUE,Inputs!$B$33,0))),0)</f>
        <v/>
      </c>
      <c r="R1844">
        <f>IF(AND(Inputs!$B$39&lt;&gt;"pvp",Inputs!$B$44&gt;0),IF(MAX(0,Inputs!$B$44-B1873)&lt;=0,0,(INT(MAX(0,Inputs!$B$44-B1873)/IF(Inputs!$B$39="pvp",15,MAX(0.1,Skills!D7-IF(TRUE=TRUE,Inputs!$B$33,0))))+1)),0)</f>
        <v/>
      </c>
      <c r="S1844">
        <f>IFERROR(O1844/N1844,0)</f>
        <v/>
      </c>
      <c r="T1844">
        <f>IF(C1844,(H1844*N1844*IF(AND(Inputs!$B$39&lt;&gt;"pvp",Inputs!$B$44&gt;0),((Skills!G7*((R1844-1)*IF(Skills!H7&gt;0,INT(Skills!I7/Skills!H7+0.000000001),1)+IF(Skills!H7&gt;0,INT(MIN(Skills!I7,MAX(0,MAX(0,Inputs!$B$44-B1873)-((R1844-1)*IF(Inputs!$B$39="pvp",15,MAX(0.1,Skills!D7-IF(TRUE=TRUE,Inputs!$B$33,0))))))/Skills!H7+0.000000001),1)))/Inputs!$B$44),G1844*Q1844))*IF(Inputs!$B$39="pvp",1,1+(Inputs!$B$21+0+Skills!P7+((C1854=TRUE)*F1854*IF(AND(Inputs!$B$39&lt;&gt;"pvp",Inputs!$B$44&gt;0),(((R1854-1)*MIN((Skills!T17*(1+Inputs!$B$35/100)),(1/Q1854))+MIN((Skills!T17*(1+Inputs!$B$35/100)),MAX(0,Inputs!$B$44-((R1854-1)*(1/Q1854)))))/Inputs!$B$44),IF(Inputs!$B$39="pvp",MIN((Skills!T17*(1+Inputs!$B$35/100)),15)/15,MIN(1,(Skills!T17*(1+Inputs!$B$35/100))/(1/Q1854)))))+((C1842=TRUE)*IF(Inputs!$B$3&gt;=126,10*MIN(1,15*Q1842),0))+((C1851=TRUE)*IF(Inputs!$B$39="pvp",20,(1-Summary!$B$11)*(20)+Summary!$B$11*(0))*IF(AND(Inputs!$B$39&lt;&gt;"pvp",Inputs!$B$44&gt;0),(((R1851-1)*MIN((Skills!T14*(1+Inputs!$B$35/100)),(1/Q1851))+MIN((Skills!T14*(1+Inputs!$B$35/100)),MAX(0,Inputs!$B$44-((R1851-1)*(1/Q1851)))))/Inputs!$B$44),IF(Inputs!$B$39="pvp",MIN((Skills!T14*(1+Inputs!$B$35/100)),15)/15,MIN(1,(Skills!T14*(1+Inputs!$B$35/100))/(1/Q1851)))))+((C1850=TRUE)*IF(Inputs!$B$3&gt;=82,IF(Inputs!$B$39="pvp",20,(1-Summary!$B$11)*(20)+Summary!$B$11*(0)),0)*IF(AND(Inputs!$B$39&lt;&gt;"pvp",Inputs!$B$44&gt;0),(((R1850-1)*MIN((Skills!T13*(1+Inputs!$B$35/100)),(1/Q1850))+MIN((Skills!T13*(1+Inputs!$B$35/100)),MAX(0,Inputs!$B$44-((R1850-1)*(1/Q1850)))))/Inputs!$B$44),IF(Inputs!$B$39="pvp",MIN((Skills!T13*(1+Inputs!$B$35/100)),15)/15,MIN(1,(Skills!T13*(1+Inputs!$B$35/100))/(1/Q1850)))))+(IF(AND(ArtifactsInput!$M$35,Inputs!$B$4&lt;&gt;"Chapter Hunt"),CHOOSE(ArtifactsInput!$N$35+1,15,18,21,24,27,30)*(1-EXP(-(0.2*B1868)*5)),0)+IF(AND(ArtifactsInput!$M$22,Inputs!$B$4&lt;&gt;"Chapter Hunt"),CHOOSE(ArtifactsInput!$N$22+1,10,12,14,16,18,20)*((0*(((0.15*B1868*5))^0/1)+1*(((0.15*B1868*5))^1/1)+2*(((0.15*B1868*5))^2/2)+3*(((0.15*B1868*5))^3/6)+4*(((0.15*B1868*5))^4/24)+5*(((0.15*B1868*5))^5/120))/((((0.15*B1868*5))^0/1)+(((0.15*B1868*5))^1/1)+(((0.15*B1868*5))^2/2)+(((0.15*B1868*5))^3/6)+(((0.15*B1868*5))^4/24)+(((0.15*B1868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1844*(1-MIN(100,(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1844*(MIN(100,(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1844*(1-MIN(100,(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1844*(MIN(100,(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44">
        <f>IF(C1844,(H1844*N1844*IF(AND(Inputs!$B$39&lt;&gt;"pvp",Inputs!$B$44&gt;0),((Skills!G7*((R1844-1)*IF(Skills!H7&gt;0,INT(Skills!I7/Skills!H7+0.000000001),1)+IF(Skills!H7&gt;0,INT(MIN(Skills!I7,MAX(0,MAX(0,Inputs!$B$44-B1873)-((R1844-1)*IF(Inputs!$B$39="pvp",15,MAX(0.1,Skills!D7-IF(TRUE=TRUE,Inputs!$B$33,0))))))/Skills!H7+0.000000001),1)))/Inputs!$B$44),G1844*Q1844))*IF(Inputs!$B$39="pvp",1,(1+(Inputs!$B$22+Skills!Q7+((C1854=TRUE)*F1854*IF(AND(Inputs!$B$39&lt;&gt;"pvp",Inputs!$B$44&gt;0),(((R1854-1)*MIN((Skills!T17*(1+Inputs!$B$35/100)),(1/Q1854))+MIN((Skills!T17*(1+Inputs!$B$35/100)),MAX(0,Inputs!$B$44-((R1854-1)*(1/Q1854)))))/Inputs!$B$44),IF(Inputs!$B$39="pvp",MIN((Skills!T17*(1+Inputs!$B$35/100)),15)/15,MIN(1,(Skills!T17*(1+Inputs!$B$35/100))/(1/Q1854)))))+((C1842=TRUE)*IF(Inputs!$B$3&gt;=126,10*MIN(1,15*Q1842),0))+((C1851=TRUE)*IF(Inputs!$B$39="pvp",20,(1-Summary!$B$11)*(20)+Summary!$B$11*(0))*IF(AND(Inputs!$B$39&lt;&gt;"pvp",Inputs!$B$44&gt;0),(((R1851-1)*MIN((Skills!T14*(1+Inputs!$B$35/100)),(1/Q1851))+MIN((Skills!T14*(1+Inputs!$B$35/100)),MAX(0,Inputs!$B$44-((R1851-1)*(1/Q1851)))))/Inputs!$B$44),IF(Inputs!$B$39="pvp",MIN((Skills!T14*(1+Inputs!$B$35/100)),15)/15,MIN(1,(Skills!T14*(1+Inputs!$B$35/100))/(1/Q1851)))))+((C1850=TRUE)*IF(Inputs!$B$3&gt;=82,IF(Inputs!$B$39="pvp",20,(1-Summary!$B$11)*(20)+Summary!$B$11*(0)),0)*IF(AND(Inputs!$B$39&lt;&gt;"pvp",Inputs!$B$44&gt;0),(((R1850-1)*MIN((Skills!T13*(1+Inputs!$B$35/100)),(1/Q1850))+MIN((Skills!T13*(1+Inputs!$B$35/100)),MAX(0,Inputs!$B$44-((R1850-1)*(1/Q1850)))))/Inputs!$B$44),IF(Inputs!$B$39="pvp",MIN((Skills!T13*(1+Inputs!$B$35/100)),15)/15,MIN(1,(Skills!T13*(1+Inputs!$B$35/100))/(1/Q1850)))))+(IF(AND(ArtifactsInput!$M$35,Inputs!$B$4&lt;&gt;"Chapter Hunt"),CHOOSE(ArtifactsInput!$N$35+1,15,18,21,24,27,30)*(1-EXP(-(0.2*B1868)*5)),0)+IF(AND(ArtifactsInput!$M$22,Inputs!$B$4&lt;&gt;"Chapter Hunt"),CHOOSE(ArtifactsInput!$N$22+1,10,12,14,16,18,20)*((0*(((0.15*B1868*5))^0/1)+1*(((0.15*B1868*5))^1/1)+2*(((0.15*B1868*5))^2/2)+3*(((0.15*B1868*5))^3/6)+4*(((0.15*B1868*5))^4/24)+5*(((0.15*B1868*5))^5/120))/((((0.15*B1868*5))^0/1)+(((0.15*B1868*5))^1/1)+(((0.15*B1868*5))^2/2)+(((0.15*B1868*5))^3/6)+(((0.15*B1868*5))^4/24)+(((0.15*B1868*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45">
      <c r="A1845">
        <f>Skills!A8</f>
        <v/>
      </c>
      <c r="B1845">
        <f>Skills!B8</f>
        <v/>
      </c>
      <c r="C1845">
        <f>Inputs!$B$3&gt;=75</f>
        <v/>
      </c>
      <c r="D1845">
        <f>IF(Skills!C8=1,60+Inputs!$B$26+Inputs!$B$30,IF(Skills!C8=2,90+Inputs!$B$27+Inputs!$B$30,IF(Skills!C8=3,120+Inputs!$B$28+Inputs!$B$30,MAX(0,(Inputs!$B$3-100)*3)+Inputs!$B$29+Inputs!$B$30)))</f>
        <v/>
      </c>
      <c r="E1845">
        <f>INDEX(FactorTable!$B$2:$Y$301, MATCH(ROUND(MIN(300,MAX(1,D1845)),0), FactorTable!$A$2:$A$301,0), Skills!M8+1)</f>
        <v/>
      </c>
      <c r="F1845">
        <f>IF(Skills!N8=TRUE,(Skills!L8/10)*(E1845/1000),Skills!L8/10)+Skills!O8</f>
        <v/>
      </c>
      <c r="G1845" t="inlineStr"/>
      <c r="H1845" t="inlineStr"/>
      <c r="I1845" t="inlineStr">
        <is>
          <t>1</t>
        </is>
      </c>
      <c r="J1845" t="inlineStr"/>
      <c r="K1845" t="inlineStr"/>
      <c r="L1845" t="inlineStr"/>
      <c r="M1845" t="inlineStr"/>
      <c r="N1845" t="inlineStr"/>
      <c r="O1845" t="inlineStr"/>
      <c r="P1845" t="inlineStr"/>
      <c r="Q1845" t="inlineStr"/>
      <c r="R1845" t="inlineStr"/>
      <c r="S1845" t="inlineStr"/>
    </row>
    <row r="1846">
      <c r="A1846">
        <f>Skills!A9</f>
        <v/>
      </c>
      <c r="B1846">
        <f>Skills!B9</f>
        <v/>
      </c>
      <c r="C1846">
        <f>Inputs!$B$3&gt;=60</f>
        <v/>
      </c>
      <c r="D1846">
        <f>IF(Skills!C9=1,60+Inputs!$B$26+Inputs!$B$30,IF(Skills!C9=2,90+Inputs!$B$27+Inputs!$B$30,IF(Skills!C9=3,120+Inputs!$B$28+Inputs!$B$30,MAX(0,(Inputs!$B$3-100)*3)+Inputs!$B$29+Inputs!$B$30)))</f>
        <v/>
      </c>
      <c r="E1846">
        <f>INDEX(FactorTable!$B$2:$Y$301, MATCH(ROUND(MIN(300,MAX(1,D1846)),0), FactorTable!$A$2:$A$301,0), Skills!M9+1)</f>
        <v/>
      </c>
      <c r="F1846">
        <f>IF(Skills!N9=TRUE,(Skills!L9/10)*(E1846/1000),Skills!L9/10)+Skills!O9</f>
        <v/>
      </c>
      <c r="G1846">
        <f>Skills!G9*IF(Skills!H9&gt;0,INT(IF(Inputs!$B$39="pvp",MIN(Skills!I9,15),Skills!I9)/Skills!H9+0.000000001),1)</f>
        <v/>
      </c>
      <c r="H1846">
        <f>1-(1-Skills!J9/100)^Skills!K9</f>
        <v/>
      </c>
      <c r="I1846" t="inlineStr">
        <is>
          <t>1</t>
        </is>
      </c>
      <c r="J1846">
        <f>((Inputs!$B$6*(1+Inputs!$B$7/100))+(((Inputs!$B$13*(1+Inputs!$B$14/100))-(Inputs!$B$13*(1+Inputs!$B$14/100)))+0.25*(Inputs!$B$15-Inputs!$B$15))*(1+Inputs!$B$7/100))*(F1846/100)</f>
        <v/>
      </c>
      <c r="K1846">
        <f>J1846*(1+(((Inputs!$B$13+IF(Inputs!$B$3&gt;=38,(10*INDEX(FactorTable!$B$2:$Y$301, MATCH(ROUND(MIN(300,MAX(1,Inputs!$B$3)),0), FactorTable!$A$2:$A$301,0), 23)/1000)/100*(Inputs!$B$8*(1+Inputs!$B$9/100)),0))*(1+Inputs!$B$14/100))*0.01+Inputs!$B$15*0.0025)/100)*(1+Inputs!$B$16/100)*(1+Inputs!$B$17/100)*(5000/(6000+Inputs!$B$43*(1-(Inputs!$B$20+0)/100)))*(1+(Inputs!$B$25+((C1862=TRUE)*(F1862-Calc!F25))+((C1863=TRUE)*(F1863-Calc!F26))+B1872)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1848=TRUE,F1848,0)/100)*(1+(IF(Skills!A9="DARK_IMPALE",Inputs!$B$18+0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gt;=100),MIN(100,((Inputs!$B$10+0+B1866+(ArtifactsInput!$M$24-ArtifactsInput!$M$24)*CHOOSE(ArtifactsInput!$N$24+1,10,12,14,16,18,20)+IF(ArtifactsInput!$M$10,CHOOSE(ArtifactsInput!$N$10+1,15,18,21,24,27,30)*(IF(Inputs!$B$39="pvp",MIN(15,15)/15,IF(AND(Inputs!$B$39&lt;&gt;"pvp",Inputs!$B$44&gt;0),MIN(15,Inputs!$B$44)/(Inputs!$B$44),0))),0)))-100),0))*CHOOSE(ArtifactsInput!$N$42+1,0.6,0.72,0.84,0.96,1.08,1.2))),Inputs!$B$19+((C1860=TRUE)*(F1860-Calc!F23))+(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gt;=100),CHOOSE(ArtifactsInput!$N$42+1,40,48,56,64,72,80),0))))/100)*((1+(((C1850=TRUE)*F1850*IF(AND(Inputs!$B$39&lt;&gt;"pvp",Inputs!$B$44&gt;0),(((R1850-1)*MIN((Skills!T13*(1+Inputs!$B$35/100)),(1/Q1850))+MIN((Skills!T13*(1+Inputs!$B$35/100)),MAX(0,Inputs!$B$44-((R1850-1)*(1/Q1850)))))/Inputs!$B$44),IF(Inputs!$B$39="pvp",MIN((Skills!T13*(1+Inputs!$B$35/100)),15)/15,MIN(1,(Skills!T13*(1+Inputs!$B$35/100))/(1/Q1850)))))+((C1851=TRUE)*F1851*IF(AND(Inputs!$B$39&lt;&gt;"pvp",Inputs!$B$44&gt;0),(((R1851-1)*MIN((Skills!T14*(1+Inputs!$B$35/100)),(1/Q1851))+MIN((Skills!T14*(1+Inputs!$B$35/100)),MAX(0,Inputs!$B$44-((R1851-1)*(1/Q1851)))))/Inputs!$B$44),IF(Inputs!$B$39="pvp",MIN((Skills!T14*(1+Inputs!$B$35/100)),15)/15,MIN(1,(Skills!T14*(1+Inputs!$B$35/100))/(1/Q1851)))))+((C1852=TRUE)*F1852*IF(AND(Inputs!$B$39&lt;&gt;"pvp",Inputs!$B$44&gt;0),(((R1852-1)*MIN((Skills!T15*(1+Inputs!$B$35/100)),(1/Q1852))+MIN((Skills!T15*(1+Inputs!$B$35/100)),MAX(0,Inputs!$B$44-((R1852-1)*(1/Q1852)))))/Inputs!$B$44),IF(Inputs!$B$39="pvp",MIN((Skills!T15*(1+Inputs!$B$35/100)),15)/15,MIN(1,(Skills!T15*(1+Inputs!$B$35/100))/(1/Q1852)))))+((C1853=TRUE)*F1853*IF(AND(Inputs!$B$39&lt;&gt;"pvp",Inputs!$B$44&gt;0),(((R1853-1)*MIN((Skills!T16*(1+Inputs!$B$35/100)),(1/Q1853))+MIN((Skills!T16*(1+Inputs!$B$35/100)),MAX(0,Inputs!$B$44-((R1853-1)*(1/Q1853)))))/Inputs!$B$44),IF(Inputs!$B$39="pvp",MIN((Skills!T16*(1+Inputs!$B$35/100)),15)/15,MIN(1,(Skills!T16*(1+Inputs!$B$35/100))/(1/Q1853)))))+0+(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1846)</f>
        <v/>
      </c>
      <c r="L1846">
        <f>K1846*(MIN(Inputs!$B$23+((C1859=TRUE)*(F1859-Calc!F22)),(Inputs!$B$24+((C1861=TRUE)*(F1861-Calc!F24))+(IF(ArtifactsInput!$M$15,CHOOSE(ArtifactsInput!$N$15+1,25,30,35,40,45,50)/100*(Inputs!$B$12-Inputs!$B$12),0))))/100+(Inputs!$B$24+((C1861=TRUE)*(F1861-Calc!F24))+(IF(ArtifactsInput!$M$15,CHOOSE(ArtifactsInput!$N$15+1,25,30,35,40,45,50)/100*(Inputs!$B$12-Inputs!$B$12),0)))/100)/2</f>
        <v/>
      </c>
      <c r="M1846">
        <f>L1846*(1+(Inputs!$B$11+0+B1871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846">
        <f>L1846*(1-MIN((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1846*(MIN((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46">
        <f>(1-Summary!$B$11)*T1846+Summary!$B$11*V1846</f>
        <v/>
      </c>
      <c r="P1846">
        <f>IF(B1876=0,0,O1846/B1876)</f>
        <v/>
      </c>
      <c r="Q1846">
        <f>IFERROR(1/IF(Inputs!$B$39="pvp",15,MAX(0.1,Skills!D9-IF(TRUE=TRUE,Inputs!$B$33,0))),0)</f>
        <v/>
      </c>
      <c r="R1846">
        <f>IF(AND(Inputs!$B$39&lt;&gt;"pvp",Inputs!$B$44&gt;0),IF(MAX(0,Inputs!$B$44-B1873)&lt;=0,0,(INT(MAX(0,Inputs!$B$44-B1873)/IF(Inputs!$B$39="pvp",15,MAX(0.1,Skills!D9-IF(TRUE=TRUE,Inputs!$B$33,0))))+1)),0)</f>
        <v/>
      </c>
      <c r="S1846">
        <f>IFERROR(O1846/N1846,0)</f>
        <v/>
      </c>
      <c r="T1846">
        <f>IF(C1846,(H1846*N1846*IF(AND(Inputs!$B$39&lt;&gt;"pvp",Inputs!$B$44&gt;0),((Skills!G9*((R1846-1)*IF(Skills!H9&gt;0,INT(Skills!I9/Skills!H9+0.000000001),1)+IF(Skills!H9&gt;0,INT(MIN(Skills!I9,MAX(0,MAX(0,Inputs!$B$44-B1873)-((R1846-1)*IF(Inputs!$B$39="pvp",15,MAX(0.1,Skills!D9-IF(TRUE=TRUE,Inputs!$B$33,0))))))/Skills!H9+0.000000001),1)))/Inputs!$B$44),G1846*Q1846))*IF(Inputs!$B$39="pvp",1,1+(Inputs!$B$21+0+Skills!P9+((C1854=TRUE)*F1854*IF(AND(Inputs!$B$39&lt;&gt;"pvp",Inputs!$B$44&gt;0),(((R1854-1)*MIN((Skills!T17*(1+Inputs!$B$35/100)),(1/Q1854))+MIN((Skills!T17*(1+Inputs!$B$35/100)),MAX(0,Inputs!$B$44-((R1854-1)*(1/Q1854)))))/Inputs!$B$44),IF(Inputs!$B$39="pvp",MIN((Skills!T17*(1+Inputs!$B$35/100)),15)/15,MIN(1,(Skills!T17*(1+Inputs!$B$35/100))/(1/Q1854)))))+((C1842=TRUE)*IF(Inputs!$B$3&gt;=126,10*MIN(1,15*Q1842),0))+((C1851=TRUE)*IF(Inputs!$B$39="pvp",20,(1-Summary!$B$11)*(20)+Summary!$B$11*(0))*IF(AND(Inputs!$B$39&lt;&gt;"pvp",Inputs!$B$44&gt;0),(((R1851-1)*MIN((Skills!T14*(1+Inputs!$B$35/100)),(1/Q1851))+MIN((Skills!T14*(1+Inputs!$B$35/100)),MAX(0,Inputs!$B$44-((R1851-1)*(1/Q1851)))))/Inputs!$B$44),IF(Inputs!$B$39="pvp",MIN((Skills!T14*(1+Inputs!$B$35/100)),15)/15,MIN(1,(Skills!T14*(1+Inputs!$B$35/100))/(1/Q1851)))))+((C1850=TRUE)*IF(Inputs!$B$3&gt;=82,IF(Inputs!$B$39="pvp",20,(1-Summary!$B$11)*(20)+Summary!$B$11*(0)),0)*IF(AND(Inputs!$B$39&lt;&gt;"pvp",Inputs!$B$44&gt;0),(((R1850-1)*MIN((Skills!T13*(1+Inputs!$B$35/100)),(1/Q1850))+MIN((Skills!T13*(1+Inputs!$B$35/100)),MAX(0,Inputs!$B$44-((R1850-1)*(1/Q1850)))))/Inputs!$B$44),IF(Inputs!$B$39="pvp",MIN((Skills!T13*(1+Inputs!$B$35/100)),15)/15,MIN(1,(Skills!T13*(1+Inputs!$B$35/100))/(1/Q1850)))))+(IF(AND(ArtifactsInput!$M$35,Inputs!$B$4&lt;&gt;"Chapter Hunt"),CHOOSE(ArtifactsInput!$N$35+1,15,18,21,24,27,30)*(1-EXP(-(0.2*B1868)*5)),0)+IF(AND(ArtifactsInput!$M$22,Inputs!$B$4&lt;&gt;"Chapter Hunt"),CHOOSE(ArtifactsInput!$N$22+1,10,12,14,16,18,20)*((0*(((0.15*B1868*5))^0/1)+1*(((0.15*B1868*5))^1/1)+2*(((0.15*B1868*5))^2/2)+3*(((0.15*B1868*5))^3/6)+4*(((0.15*B1868*5))^4/24)+5*(((0.15*B1868*5))^5/120))/((((0.15*B1868*5))^0/1)+(((0.15*B1868*5))^1/1)+(((0.15*B1868*5))^2/2)+(((0.15*B1868*5))^3/6)+(((0.15*B1868*5))^4/24)+(((0.15*B1868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1846*(1-MIN(100,(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1846*(MIN(100,(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1846*(1-MIN(100,(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1846*(MIN(100,(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46">
        <f>IF(C1846,(H1846*N1846*IF(AND(Inputs!$B$39&lt;&gt;"pvp",Inputs!$B$44&gt;0),((Skills!G9*((R1846-1)*IF(Skills!H9&gt;0,INT(Skills!I9/Skills!H9+0.000000001),1)+IF(Skills!H9&gt;0,INT(MIN(Skills!I9,MAX(0,MAX(0,Inputs!$B$44-B1873)-((R1846-1)*IF(Inputs!$B$39="pvp",15,MAX(0.1,Skills!D9-IF(TRUE=TRUE,Inputs!$B$33,0))))))/Skills!H9+0.000000001),1)))/Inputs!$B$44),G1846*Q1846))*IF(Inputs!$B$39="pvp",1,(1+(Inputs!$B$22+Skills!Q9+((C1854=TRUE)*F1854*IF(AND(Inputs!$B$39&lt;&gt;"pvp",Inputs!$B$44&gt;0),(((R1854-1)*MIN((Skills!T17*(1+Inputs!$B$35/100)),(1/Q1854))+MIN((Skills!T17*(1+Inputs!$B$35/100)),MAX(0,Inputs!$B$44-((R1854-1)*(1/Q1854)))))/Inputs!$B$44),IF(Inputs!$B$39="pvp",MIN((Skills!T17*(1+Inputs!$B$35/100)),15)/15,MIN(1,(Skills!T17*(1+Inputs!$B$35/100))/(1/Q1854)))))+((C1842=TRUE)*IF(Inputs!$B$3&gt;=126,10*MIN(1,15*Q1842),0))+((C1851=TRUE)*IF(Inputs!$B$39="pvp",20,(1-Summary!$B$11)*(20)+Summary!$B$11*(0))*IF(AND(Inputs!$B$39&lt;&gt;"pvp",Inputs!$B$44&gt;0),(((R1851-1)*MIN((Skills!T14*(1+Inputs!$B$35/100)),(1/Q1851))+MIN((Skills!T14*(1+Inputs!$B$35/100)),MAX(0,Inputs!$B$44-((R1851-1)*(1/Q1851)))))/Inputs!$B$44),IF(Inputs!$B$39="pvp",MIN((Skills!T14*(1+Inputs!$B$35/100)),15)/15,MIN(1,(Skills!T14*(1+Inputs!$B$35/100))/(1/Q1851)))))+((C1850=TRUE)*IF(Inputs!$B$3&gt;=82,IF(Inputs!$B$39="pvp",20,(1-Summary!$B$11)*(20)+Summary!$B$11*(0)),0)*IF(AND(Inputs!$B$39&lt;&gt;"pvp",Inputs!$B$44&gt;0),(((R1850-1)*MIN((Skills!T13*(1+Inputs!$B$35/100)),(1/Q1850))+MIN((Skills!T13*(1+Inputs!$B$35/100)),MAX(0,Inputs!$B$44-((R1850-1)*(1/Q1850)))))/Inputs!$B$44),IF(Inputs!$B$39="pvp",MIN((Skills!T13*(1+Inputs!$B$35/100)),15)/15,MIN(1,(Skills!T13*(1+Inputs!$B$35/100))/(1/Q1850)))))+(IF(AND(ArtifactsInput!$M$35,Inputs!$B$4&lt;&gt;"Chapter Hunt"),CHOOSE(ArtifactsInput!$N$35+1,15,18,21,24,27,30)*(1-EXP(-(0.2*B1868)*5)),0)+IF(AND(ArtifactsInput!$M$22,Inputs!$B$4&lt;&gt;"Chapter Hunt"),CHOOSE(ArtifactsInput!$N$22+1,10,12,14,16,18,20)*((0*(((0.15*B1868*5))^0/1)+1*(((0.15*B1868*5))^1/1)+2*(((0.15*B1868*5))^2/2)+3*(((0.15*B1868*5))^3/6)+4*(((0.15*B1868*5))^4/24)+5*(((0.15*B1868*5))^5/120))/((((0.15*B1868*5))^0/1)+(((0.15*B1868*5))^1/1)+(((0.15*B1868*5))^2/2)+(((0.15*B1868*5))^3/6)+(((0.15*B1868*5))^4/24)+(((0.15*B1868*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47">
      <c r="A1847">
        <f>Skills!A10</f>
        <v/>
      </c>
      <c r="B1847">
        <f>Skills!B10</f>
        <v/>
      </c>
      <c r="C1847">
        <f>Inputs!$B$3&gt;=110</f>
        <v/>
      </c>
      <c r="D1847">
        <f>IF(Skills!C10=1,60+Inputs!$B$26+Inputs!$B$30,IF(Skills!C10=2,90+Inputs!$B$27+Inputs!$B$30,IF(Skills!C10=3,120+Inputs!$B$28+Inputs!$B$30,MAX(0,(Inputs!$B$3-100)*3)+Inputs!$B$29+Inputs!$B$30)))</f>
        <v/>
      </c>
      <c r="E1847">
        <f>INDEX(FactorTable!$B$2:$Y$301, MATCH(ROUND(MIN(300,MAX(1,D1847)),0), FactorTable!$A$2:$A$301,0), Skills!M10+1)</f>
        <v/>
      </c>
      <c r="F1847">
        <f>IF(Skills!N10=TRUE,(Skills!L10/10)*(E1847/1000),Skills!L10/10)+Skills!O10</f>
        <v/>
      </c>
      <c r="G1847">
        <f>Skills!G10*IF(Skills!H10&gt;0,INT(IF(Inputs!$B$39="pvp",MIN(Skills!I10,15),Skills!I10)/Skills!H10+0.000000001),1)</f>
        <v/>
      </c>
      <c r="H1847">
        <f>1-(1-Skills!J10/100)^Skills!K10</f>
        <v/>
      </c>
      <c r="I1847" t="inlineStr">
        <is>
          <t>1</t>
        </is>
      </c>
      <c r="J1847">
        <f>((Inputs!$B$6*(1+Inputs!$B$7/100))+(((Inputs!$B$13*(1+Inputs!$B$14/100))-(Inputs!$B$13*(1+Inputs!$B$14/100)))+0.25*(Inputs!$B$15-Inputs!$B$15))*(1+Inputs!$B$7/100))*(F1847/100)</f>
        <v/>
      </c>
      <c r="K1847">
        <f>J1847*(1+(((Inputs!$B$13+IF(Inputs!$B$3&gt;=38,(10*INDEX(FactorTable!$B$2:$Y$301, MATCH(ROUND(MIN(300,MAX(1,Inputs!$B$3)),0), FactorTable!$A$2:$A$301,0), 23)/1000)/100*(Inputs!$B$8*(1+Inputs!$B$9/100)),0))*(1+Inputs!$B$14/100))*0.01+Inputs!$B$15*0.0025)/100)*(1+Inputs!$B$16/100)*(1+Inputs!$B$17/100)*(5000/(6000+Inputs!$B$43*(1-(Inputs!$B$20+0)/100)))*(1+(Inputs!$B$25+((C1862=TRUE)*(F1862-Calc!F25))+((C1863=TRUE)*(F1863-Calc!F26))+B1872)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gt;=100),MIN(100,((Inputs!$B$10+0+B1866+(ArtifactsInput!$M$24-ArtifactsInput!$M$24)*CHOOSE(ArtifactsInput!$N$24+1,10,12,14,16,18,20)+IF(ArtifactsInput!$M$10,CHOOSE(ArtifactsInput!$N$10+1,15,18,21,24,27,30)*(IF(Inputs!$B$39="pvp",MIN(15,15)/15,IF(AND(Inputs!$B$39&lt;&gt;"pvp",Inputs!$B$44&gt;0),MIN(15,Inputs!$B$44)/(Inputs!$B$44),0))),0)))-100),0))*CHOOSE(ArtifactsInput!$N$42+1,0.6,0.72,0.84,0.96,1.08,1.2))),Inputs!$B$19+((C1860=TRUE)*(F1860-Calc!F23))+(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gt;=100),CHOOSE(ArtifactsInput!$N$42+1,40,48,56,64,72,80),0))))/100)*((1+(((C1850=TRUE)*F1850*IF(AND(Inputs!$B$39&lt;&gt;"pvp",Inputs!$B$44&gt;0),(((R1850-1)*MIN((Skills!T13*(1+Inputs!$B$35/100)),(1/Q1850))+MIN((Skills!T13*(1+Inputs!$B$35/100)),MAX(0,Inputs!$B$44-((R1850-1)*(1/Q1850)))))/Inputs!$B$44),IF(Inputs!$B$39="pvp",MIN((Skills!T13*(1+Inputs!$B$35/100)),15)/15,MIN(1,(Skills!T13*(1+Inputs!$B$35/100))/(1/Q1850)))))+((C1851=TRUE)*F1851*IF(AND(Inputs!$B$39&lt;&gt;"pvp",Inputs!$B$44&gt;0),(((R1851-1)*MIN((Skills!T14*(1+Inputs!$B$35/100)),(1/Q1851))+MIN((Skills!T14*(1+Inputs!$B$35/100)),MAX(0,Inputs!$B$44-((R1851-1)*(1/Q1851)))))/Inputs!$B$44),IF(Inputs!$B$39="pvp",MIN((Skills!T14*(1+Inputs!$B$35/100)),15)/15,MIN(1,(Skills!T14*(1+Inputs!$B$35/100))/(1/Q1851)))))+((C1852=TRUE)*F1852*IF(AND(Inputs!$B$39&lt;&gt;"pvp",Inputs!$B$44&gt;0),(((R1852-1)*MIN((Skills!T15*(1+Inputs!$B$35/100)),(1/Q1852))+MIN((Skills!T15*(1+Inputs!$B$35/100)),MAX(0,Inputs!$B$44-((R1852-1)*(1/Q1852)))))/Inputs!$B$44),IF(Inputs!$B$39="pvp",MIN((Skills!T15*(1+Inputs!$B$35/100)),15)/15,MIN(1,(Skills!T15*(1+Inputs!$B$35/100))/(1/Q1852)))))+((C1853=TRUE)*F1853*IF(AND(Inputs!$B$39&lt;&gt;"pvp",Inputs!$B$44&gt;0),(((R1853-1)*MIN((Skills!T16*(1+Inputs!$B$35/100)),(1/Q1853))+MIN((Skills!T16*(1+Inputs!$B$35/100)),MAX(0,Inputs!$B$44-((R1853-1)*(1/Q1853)))))/Inputs!$B$44),IF(Inputs!$B$39="pvp",MIN((Skills!T16*(1+Inputs!$B$35/100)),15)/15,MIN(1,(Skills!T16*(1+Inputs!$B$35/100))/(1/Q1853)))))+0+(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1847)</f>
        <v/>
      </c>
      <c r="L1847">
        <f>K1847*(MIN(Inputs!$B$23+((C1859=TRUE)*(F1859-Calc!F22)),(Inputs!$B$24+((C1861=TRUE)*(F1861-Calc!F24))+(IF(ArtifactsInput!$M$15,CHOOSE(ArtifactsInput!$N$15+1,25,30,35,40,45,50)/100*(Inputs!$B$12-Inputs!$B$12),0))))/100+(Inputs!$B$24+((C1861=TRUE)*(F1861-Calc!F24))+(IF(ArtifactsInput!$M$15,CHOOSE(ArtifactsInput!$N$15+1,25,30,35,40,45,50)/100*(Inputs!$B$12-Inputs!$B$12),0)))/100)/2</f>
        <v/>
      </c>
      <c r="M1847">
        <f>L1847*(1+(Inputs!$B$11+0+B1871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847">
        <f>L1847*(1-MIN((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1847*(MIN((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47">
        <f>(1-Summary!$B$11)*T1847+Summary!$B$11*V1847</f>
        <v/>
      </c>
      <c r="P1847">
        <f>IF(B1876=0,0,O1847/B1876)</f>
        <v/>
      </c>
      <c r="Q1847">
        <f>IFERROR(1/IF(Inputs!$B$39="pvp",15,MAX(0.1,Skills!D10-IF(TRUE=TRUE,Inputs!$B$33,0))),0)</f>
        <v/>
      </c>
      <c r="R1847">
        <f>IF(AND(Inputs!$B$39&lt;&gt;"pvp",Inputs!$B$44&gt;0),IF(MAX(0,Inputs!$B$44-B1873)&lt;=0,0,(INT(MAX(0,Inputs!$B$44-B1873)/IF(Inputs!$B$39="pvp",15,MAX(0.1,Skills!D10-IF(TRUE=TRUE,Inputs!$B$33,0))))+1)),0)</f>
        <v/>
      </c>
      <c r="S1847">
        <f>IFERROR(O1847/N1847,0)</f>
        <v/>
      </c>
      <c r="T1847">
        <f>IF(C1847,(H1847*N1847*IF(AND(Inputs!$B$39&lt;&gt;"pvp",Inputs!$B$44&gt;0),((Skills!G10*((R1847-1)*IF(Skills!H10&gt;0,INT(Skills!I10/Skills!H10+0.000000001),1)+IF(Skills!H10&gt;0,INT(MIN(Skills!I10,MAX(0,MAX(0,Inputs!$B$44-B1873)-((R1847-1)*IF(Inputs!$B$39="pvp",15,MAX(0.1,Skills!D10-IF(TRUE=TRUE,Inputs!$B$33,0))))))/Skills!H10+0.000000001),1)))/Inputs!$B$44),G1847*Q1847))*IF(Inputs!$B$39="pvp",1,1+(Inputs!$B$21+0+Skills!P10+((C1854=TRUE)*F1854*IF(AND(Inputs!$B$39&lt;&gt;"pvp",Inputs!$B$44&gt;0),(((R1854-1)*MIN((Skills!T17*(1+Inputs!$B$35/100)),(1/Q1854))+MIN((Skills!T17*(1+Inputs!$B$35/100)),MAX(0,Inputs!$B$44-((R1854-1)*(1/Q1854)))))/Inputs!$B$44),IF(Inputs!$B$39="pvp",MIN((Skills!T17*(1+Inputs!$B$35/100)),15)/15,MIN(1,(Skills!T17*(1+Inputs!$B$35/100))/(1/Q1854)))))+((C1842=TRUE)*IF(Inputs!$B$3&gt;=126,10*MIN(1,15*Q1842),0))+((C1851=TRUE)*IF(Inputs!$B$39="pvp",20,(1-Summary!$B$11)*(20)+Summary!$B$11*(0))*IF(AND(Inputs!$B$39&lt;&gt;"pvp",Inputs!$B$44&gt;0),(((R1851-1)*MIN((Skills!T14*(1+Inputs!$B$35/100)),(1/Q1851))+MIN((Skills!T14*(1+Inputs!$B$35/100)),MAX(0,Inputs!$B$44-((R1851-1)*(1/Q1851)))))/Inputs!$B$44),IF(Inputs!$B$39="pvp",MIN((Skills!T14*(1+Inputs!$B$35/100)),15)/15,MIN(1,(Skills!T14*(1+Inputs!$B$35/100))/(1/Q1851)))))+((C1850=TRUE)*IF(Inputs!$B$3&gt;=82,IF(Inputs!$B$39="pvp",20,(1-Summary!$B$11)*(20)+Summary!$B$11*(0)),0)*IF(AND(Inputs!$B$39&lt;&gt;"pvp",Inputs!$B$44&gt;0),(((R1850-1)*MIN((Skills!T13*(1+Inputs!$B$35/100)),(1/Q1850))+MIN((Skills!T13*(1+Inputs!$B$35/100)),MAX(0,Inputs!$B$44-((R1850-1)*(1/Q1850)))))/Inputs!$B$44),IF(Inputs!$B$39="pvp",MIN((Skills!T13*(1+Inputs!$B$35/100)),15)/15,MIN(1,(Skills!T13*(1+Inputs!$B$35/100))/(1/Q1850)))))+(IF(AND(ArtifactsInput!$M$35,Inputs!$B$4&lt;&gt;"Chapter Hunt"),CHOOSE(ArtifactsInput!$N$35+1,15,18,21,24,27,30)*(1-EXP(-(0.2*B1868)*5)),0)+IF(AND(ArtifactsInput!$M$22,Inputs!$B$4&lt;&gt;"Chapter Hunt"),CHOOSE(ArtifactsInput!$N$22+1,10,12,14,16,18,20)*((0*(((0.15*B1868*5))^0/1)+1*(((0.15*B1868*5))^1/1)+2*(((0.15*B1868*5))^2/2)+3*(((0.15*B1868*5))^3/6)+4*(((0.15*B1868*5))^4/24)+5*(((0.15*B1868*5))^5/120))/((((0.15*B1868*5))^0/1)+(((0.15*B1868*5))^1/1)+(((0.15*B1868*5))^2/2)+(((0.15*B1868*5))^3/6)+(((0.15*B1868*5))^4/24)+(((0.15*B1868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1847*(1-MIN(100,(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1847*(MIN(100,(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1847*(1-MIN(100,(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1847*(MIN(100,(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47">
        <f>IF(C1847,(H1847*N1847*IF(AND(Inputs!$B$39&lt;&gt;"pvp",Inputs!$B$44&gt;0),((Skills!G10*((R1847-1)*IF(Skills!H10&gt;0,INT(Skills!I10/Skills!H10+0.000000001),1)+IF(Skills!H10&gt;0,INT(MIN(Skills!I10,MAX(0,MAX(0,Inputs!$B$44-B1873)-((R1847-1)*IF(Inputs!$B$39="pvp",15,MAX(0.1,Skills!D10-IF(TRUE=TRUE,Inputs!$B$33,0))))))/Skills!H10+0.000000001),1)))/Inputs!$B$44),G1847*Q1847))*IF(Inputs!$B$39="pvp",1,(1+(Inputs!$B$22+Skills!Q10+((C1854=TRUE)*F1854*IF(AND(Inputs!$B$39&lt;&gt;"pvp",Inputs!$B$44&gt;0),(((R1854-1)*MIN((Skills!T17*(1+Inputs!$B$35/100)),(1/Q1854))+MIN((Skills!T17*(1+Inputs!$B$35/100)),MAX(0,Inputs!$B$44-((R1854-1)*(1/Q1854)))))/Inputs!$B$44),IF(Inputs!$B$39="pvp",MIN((Skills!T17*(1+Inputs!$B$35/100)),15)/15,MIN(1,(Skills!T17*(1+Inputs!$B$35/100))/(1/Q1854)))))+((C1842=TRUE)*IF(Inputs!$B$3&gt;=126,10*MIN(1,15*Q1842),0))+((C1851=TRUE)*IF(Inputs!$B$39="pvp",20,(1-Summary!$B$11)*(20)+Summary!$B$11*(0))*IF(AND(Inputs!$B$39&lt;&gt;"pvp",Inputs!$B$44&gt;0),(((R1851-1)*MIN((Skills!T14*(1+Inputs!$B$35/100)),(1/Q1851))+MIN((Skills!T14*(1+Inputs!$B$35/100)),MAX(0,Inputs!$B$44-((R1851-1)*(1/Q1851)))))/Inputs!$B$44),IF(Inputs!$B$39="pvp",MIN((Skills!T14*(1+Inputs!$B$35/100)),15)/15,MIN(1,(Skills!T14*(1+Inputs!$B$35/100))/(1/Q1851)))))+((C1850=TRUE)*IF(Inputs!$B$3&gt;=82,IF(Inputs!$B$39="pvp",20,(1-Summary!$B$11)*(20)+Summary!$B$11*(0)),0)*IF(AND(Inputs!$B$39&lt;&gt;"pvp",Inputs!$B$44&gt;0),(((R1850-1)*MIN((Skills!T13*(1+Inputs!$B$35/100)),(1/Q1850))+MIN((Skills!T13*(1+Inputs!$B$35/100)),MAX(0,Inputs!$B$44-((R1850-1)*(1/Q1850)))))/Inputs!$B$44),IF(Inputs!$B$39="pvp",MIN((Skills!T13*(1+Inputs!$B$35/100)),15)/15,MIN(1,(Skills!T13*(1+Inputs!$B$35/100))/(1/Q1850)))))+(IF(AND(ArtifactsInput!$M$35,Inputs!$B$4&lt;&gt;"Chapter Hunt"),CHOOSE(ArtifactsInput!$N$35+1,15,18,21,24,27,30)*(1-EXP(-(0.2*B1868)*5)),0)+IF(AND(ArtifactsInput!$M$22,Inputs!$B$4&lt;&gt;"Chapter Hunt"),CHOOSE(ArtifactsInput!$N$22+1,10,12,14,16,18,20)*((0*(((0.15*B1868*5))^0/1)+1*(((0.15*B1868*5))^1/1)+2*(((0.15*B1868*5))^2/2)+3*(((0.15*B1868*5))^3/6)+4*(((0.15*B1868*5))^4/24)+5*(((0.15*B1868*5))^5/120))/((((0.15*B1868*5))^0/1)+(((0.15*B1868*5))^1/1)+(((0.15*B1868*5))^2/2)+(((0.15*B1868*5))^3/6)+(((0.15*B1868*5))^4/24)+(((0.15*B1868*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48">
      <c r="A1848">
        <f>Skills!A11</f>
        <v/>
      </c>
      <c r="B1848">
        <f>Skills!B11</f>
        <v/>
      </c>
      <c r="C1848">
        <f>Inputs!$B$3&gt;=100</f>
        <v/>
      </c>
      <c r="D1848">
        <f>IF(Skills!C11=1,60+Inputs!$B$26+Inputs!$B$30,IF(Skills!C11=2,90+Inputs!$B$27+Inputs!$B$30,IF(Skills!C11=3,120+Inputs!$B$28+Inputs!$B$30,MAX(0,(Inputs!$B$3-100)*3)+Inputs!$B$29+Inputs!$B$30)))</f>
        <v/>
      </c>
      <c r="E1848">
        <f>INDEX(FactorTable!$B$2:$Y$301, MATCH(ROUND(MIN(300,MAX(1,D1848)),0), FactorTable!$A$2:$A$301,0), Skills!M11+1)</f>
        <v/>
      </c>
      <c r="F1848">
        <f>IF(Skills!N11=TRUE,(Skills!L11/10)*(E1848/1000),Skills!L11/10)+Skills!O11</f>
        <v/>
      </c>
      <c r="G1848" t="inlineStr"/>
      <c r="H1848" t="inlineStr"/>
      <c r="I1848" t="inlineStr">
        <is>
          <t>1</t>
        </is>
      </c>
      <c r="J1848" t="inlineStr"/>
      <c r="K1848" t="inlineStr"/>
      <c r="L1848" t="inlineStr"/>
      <c r="M1848" t="inlineStr"/>
      <c r="N1848" t="inlineStr"/>
      <c r="O1848" t="inlineStr"/>
      <c r="P1848" t="inlineStr"/>
      <c r="Q1848" t="inlineStr"/>
      <c r="R1848" t="inlineStr"/>
      <c r="S1848" t="inlineStr"/>
    </row>
    <row r="1849">
      <c r="A1849">
        <f>Skills!A12</f>
        <v/>
      </c>
      <c r="B1849">
        <f>Skills!B12</f>
        <v/>
      </c>
      <c r="C1849">
        <f>Inputs!$B$3&gt;=63</f>
        <v/>
      </c>
      <c r="D1849">
        <f>IF(Skills!C12=1,60+Inputs!$B$26+Inputs!$B$30,IF(Skills!C12=2,90+Inputs!$B$27+Inputs!$B$30,IF(Skills!C12=3,120+Inputs!$B$28+Inputs!$B$30,MAX(0,(Inputs!$B$3-100)*3)+Inputs!$B$29+Inputs!$B$30)))</f>
        <v/>
      </c>
      <c r="E1849">
        <f>INDEX(FactorTable!$B$2:$Y$301, MATCH(ROUND(MIN(300,MAX(1,D1849)),0), FactorTable!$A$2:$A$301,0), Skills!M12+1)</f>
        <v/>
      </c>
      <c r="F1849">
        <f>IF(Skills!N12=TRUE,(Skills!L12/10)*(E1849/1000),Skills!L12/10)+Skills!O12</f>
        <v/>
      </c>
      <c r="G1849">
        <f>Skills!G12*IF(Skills!H12&gt;0,INT(IF(Inputs!$B$39="pvp",MIN(Skills!I12,15),Skills!I12)/Skills!H12+0.000000001),1)</f>
        <v/>
      </c>
      <c r="H1849">
        <f>1-(1-Skills!J12/100)^Skills!K12</f>
        <v/>
      </c>
      <c r="I1849" t="inlineStr">
        <is>
          <t>1</t>
        </is>
      </c>
      <c r="J1849">
        <f>((Inputs!$B$6*(1+Inputs!$B$7/100))+(((Inputs!$B$13*(1+Inputs!$B$14/100))-(Inputs!$B$13*(1+Inputs!$B$14/100)))+0.25*(Inputs!$B$15-Inputs!$B$15))*(1+Inputs!$B$7/100))*(F1849/100)</f>
        <v/>
      </c>
      <c r="K1849">
        <f>J1849*(1+(((Inputs!$B$13+IF(Inputs!$B$3&gt;=38,(10*INDEX(FactorTable!$B$2:$Y$301, MATCH(ROUND(MIN(300,MAX(1,Inputs!$B$3)),0), FactorTable!$A$2:$A$301,0), 23)/1000)/100*(Inputs!$B$8*(1+Inputs!$B$9/100)),0))*(1+Inputs!$B$14/100))*0.01+Inputs!$B$15*0.0025)/100)*(1+Inputs!$B$16/100)*(1+Inputs!$B$17/100)*(5000/(6000+Inputs!$B$43*(1-(Inputs!$B$20+0)/100)))*(1+(Inputs!$B$25+((C1862=TRUE)*(F1862-Calc!F25))+((C1863=TRUE)*(F1863-Calc!F26))+B1872)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1848=TRUE,F1848,0)/100)*(1+(IF(Skills!A12="DARK_IMPALE",Inputs!$B$18+0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gt;=100),MIN(100,((Inputs!$B$10+0+B1866+(ArtifactsInput!$M$24-ArtifactsInput!$M$24)*CHOOSE(ArtifactsInput!$N$24+1,10,12,14,16,18,20)+IF(ArtifactsInput!$M$10,CHOOSE(ArtifactsInput!$N$10+1,15,18,21,24,27,30)*(IF(Inputs!$B$39="pvp",MIN(15,15)/15,IF(AND(Inputs!$B$39&lt;&gt;"pvp",Inputs!$B$44&gt;0),MIN(15,Inputs!$B$44)/(Inputs!$B$44),0))),0)))-100),0))*CHOOSE(ArtifactsInput!$N$42+1,0.6,0.72,0.84,0.96,1.08,1.2))),Inputs!$B$19+((C1860=TRUE)*(F1860-Calc!F23))+(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gt;=100),CHOOSE(ArtifactsInput!$N$42+1,40,48,56,64,72,80),0))))/100)*((1+(((C1850=TRUE)*F1850*IF(AND(Inputs!$B$39&lt;&gt;"pvp",Inputs!$B$44&gt;0),(((R1850-1)*MIN((Skills!T13*(1+Inputs!$B$35/100)),(1/Q1850))+MIN((Skills!T13*(1+Inputs!$B$35/100)),MAX(0,Inputs!$B$44-((R1850-1)*(1/Q1850)))))/Inputs!$B$44),IF(Inputs!$B$39="pvp",MIN((Skills!T13*(1+Inputs!$B$35/100)),15)/15,MIN(1,(Skills!T13*(1+Inputs!$B$35/100))/(1/Q1850)))))+((C1851=TRUE)*F1851*IF(AND(Inputs!$B$39&lt;&gt;"pvp",Inputs!$B$44&gt;0),(((R1851-1)*MIN((Skills!T14*(1+Inputs!$B$35/100)),(1/Q1851))+MIN((Skills!T14*(1+Inputs!$B$35/100)),MAX(0,Inputs!$B$44-((R1851-1)*(1/Q1851)))))/Inputs!$B$44),IF(Inputs!$B$39="pvp",MIN((Skills!T14*(1+Inputs!$B$35/100)),15)/15,MIN(1,(Skills!T14*(1+Inputs!$B$35/100))/(1/Q1851)))))+((C1852=TRUE)*F1852*IF(AND(Inputs!$B$39&lt;&gt;"pvp",Inputs!$B$44&gt;0),(((R1852-1)*MIN((Skills!T15*(1+Inputs!$B$35/100)),(1/Q1852))+MIN((Skills!T15*(1+Inputs!$B$35/100)),MAX(0,Inputs!$B$44-((R1852-1)*(1/Q1852)))))/Inputs!$B$44),IF(Inputs!$B$39="pvp",MIN((Skills!T15*(1+Inputs!$B$35/100)),15)/15,MIN(1,(Skills!T15*(1+Inputs!$B$35/100))/(1/Q1852)))))+((C1853=TRUE)*F1853*IF(AND(Inputs!$B$39&lt;&gt;"pvp",Inputs!$B$44&gt;0),(((R1853-1)*MIN((Skills!T16*(1+Inputs!$B$35/100)),(1/Q1853))+MIN((Skills!T16*(1+Inputs!$B$35/100)),MAX(0,Inputs!$B$44-((R1853-1)*(1/Q1853)))))/Inputs!$B$44),IF(Inputs!$B$39="pvp",MIN((Skills!T16*(1+Inputs!$B$35/100)),15)/15,MIN(1,(Skills!T16*(1+Inputs!$B$35/100))/(1/Q1853)))))+0+(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1849)</f>
        <v/>
      </c>
      <c r="L1849">
        <f>K1849*(MIN(Inputs!$B$23+((C1859=TRUE)*(F1859-Calc!F22)),(Inputs!$B$24+((C1861=TRUE)*(F1861-Calc!F24))+(IF(ArtifactsInput!$M$15,CHOOSE(ArtifactsInput!$N$15+1,25,30,35,40,45,50)/100*(Inputs!$B$12-Inputs!$B$12),0))))/100+(Inputs!$B$24+((C1861=TRUE)*(F1861-Calc!F24))+(IF(ArtifactsInput!$M$15,CHOOSE(ArtifactsInput!$N$15+1,25,30,35,40,45,50)/100*(Inputs!$B$12-Inputs!$B$12),0)))/100)/2</f>
        <v/>
      </c>
      <c r="M1849">
        <f>L1849*(1+(Inputs!$B$11+0+B1871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849">
        <f>L1849*(1-MIN((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1849*(MIN((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49">
        <f>(1-Summary!$B$11)*T1849+Summary!$B$11*V1849</f>
        <v/>
      </c>
      <c r="P1849">
        <f>IF(B1876=0,0,O1849/B1876)</f>
        <v/>
      </c>
      <c r="Q1849">
        <f>IFERROR(1/IF(Inputs!$B$39="pvp",15,MAX(0.1,Skills!D12-IF(TRUE=TRUE,Inputs!$B$33,0))),0)</f>
        <v/>
      </c>
      <c r="R1849">
        <f>IF(AND(Inputs!$B$39&lt;&gt;"pvp",Inputs!$B$44&gt;0),IF(MAX(0,Inputs!$B$44-B1873)&lt;=0,0,(INT(MAX(0,Inputs!$B$44-B1873)/IF(Inputs!$B$39="pvp",15,MAX(0.1,Skills!D12-IF(TRUE=TRUE,Inputs!$B$33,0))))+1)),0)</f>
        <v/>
      </c>
      <c r="S1849">
        <f>IFERROR(O1849/N1849,0)</f>
        <v/>
      </c>
      <c r="T1849">
        <f>IF(C1849,(H1849*N1849*IF(AND(Inputs!$B$39&lt;&gt;"pvp",Inputs!$B$44&gt;0),((Skills!G12*((R1849-1)*IF(Skills!H12&gt;0,INT(Skills!I12/Skills!H12+0.000000001),1)+IF(Skills!H12&gt;0,INT(MIN(Skills!I12,MAX(0,MAX(0,Inputs!$B$44-B1873)-((R1849-1)*IF(Inputs!$B$39="pvp",15,MAX(0.1,Skills!D12-IF(TRUE=TRUE,Inputs!$B$33,0))))))/Skills!H12+0.000000001),1)))/Inputs!$B$44),G1849*Q1849))*IF(Inputs!$B$39="pvp",1,1+(Inputs!$B$21+0+Skills!P12+((C1854=TRUE)*F1854*IF(AND(Inputs!$B$39&lt;&gt;"pvp",Inputs!$B$44&gt;0),(((R1854-1)*MIN((Skills!T17*(1+Inputs!$B$35/100)),(1/Q1854))+MIN((Skills!T17*(1+Inputs!$B$35/100)),MAX(0,Inputs!$B$44-((R1854-1)*(1/Q1854)))))/Inputs!$B$44),IF(Inputs!$B$39="pvp",MIN((Skills!T17*(1+Inputs!$B$35/100)),15)/15,MIN(1,(Skills!T17*(1+Inputs!$B$35/100))/(1/Q1854)))))+((C1842=TRUE)*IF(Inputs!$B$3&gt;=126,10*MIN(1,15*Q1842),0))+((C1851=TRUE)*IF(Inputs!$B$39="pvp",20,(1-Summary!$B$11)*(20)+Summary!$B$11*(0))*IF(AND(Inputs!$B$39&lt;&gt;"pvp",Inputs!$B$44&gt;0),(((R1851-1)*MIN((Skills!T14*(1+Inputs!$B$35/100)),(1/Q1851))+MIN((Skills!T14*(1+Inputs!$B$35/100)),MAX(0,Inputs!$B$44-((R1851-1)*(1/Q1851)))))/Inputs!$B$44),IF(Inputs!$B$39="pvp",MIN((Skills!T14*(1+Inputs!$B$35/100)),15)/15,MIN(1,(Skills!T14*(1+Inputs!$B$35/100))/(1/Q1851)))))+((C1850=TRUE)*IF(Inputs!$B$3&gt;=82,IF(Inputs!$B$39="pvp",20,(1-Summary!$B$11)*(20)+Summary!$B$11*(0)),0)*IF(AND(Inputs!$B$39&lt;&gt;"pvp",Inputs!$B$44&gt;0),(((R1850-1)*MIN((Skills!T13*(1+Inputs!$B$35/100)),(1/Q1850))+MIN((Skills!T13*(1+Inputs!$B$35/100)),MAX(0,Inputs!$B$44-((R1850-1)*(1/Q1850)))))/Inputs!$B$44),IF(Inputs!$B$39="pvp",MIN((Skills!T13*(1+Inputs!$B$35/100)),15)/15,MIN(1,(Skills!T13*(1+Inputs!$B$35/100))/(1/Q1850)))))+(IF(AND(ArtifactsInput!$M$35,Inputs!$B$4&lt;&gt;"Chapter Hunt"),CHOOSE(ArtifactsInput!$N$35+1,15,18,21,24,27,30)*(1-EXP(-(0.2*B1868)*5)),0)+IF(AND(ArtifactsInput!$M$22,Inputs!$B$4&lt;&gt;"Chapter Hunt"),CHOOSE(ArtifactsInput!$N$22+1,10,12,14,16,18,20)*((0*(((0.15*B1868*5))^0/1)+1*(((0.15*B1868*5))^1/1)+2*(((0.15*B1868*5))^2/2)+3*(((0.15*B1868*5))^3/6)+4*(((0.15*B1868*5))^4/24)+5*(((0.15*B1868*5))^5/120))/((((0.15*B1868*5))^0/1)+(((0.15*B1868*5))^1/1)+(((0.15*B1868*5))^2/2)+(((0.15*B1868*5))^3/6)+(((0.15*B1868*5))^4/24)+(((0.15*B1868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1849*(1-MIN(100,(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1849*(MIN(100,(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1849*(1-MIN(100,(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1849*(MIN(100,(Inputs!$B$10+0+B1866+(ArtifactsInput!$M$24-ArtifactsInput!$M$24)*CHOOSE(ArtifactsInput!$N$24+1,10,12,14,16,18,20)+(IF(AND(Inputs!$B$39&lt;&gt;"pvp",Inputs!$B$44=0),1,IF(IF(Inputs!$B$39="pvp",15,Inputs!$B$44)-(B1873)&lt;=0,1,MAX(0,IF(Inputs!$B$39="pvp",15,Inputs!$B$44)-MAX(5,B1873))/(IF(Inputs!$B$39="pvp",15,Inputs!$B$44)-(B1873))))*IF(AND(ArtifactsInput!$M$42,((Inputs!$B$10+0+B1866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49">
        <f>IF(C1849,(H1849*N1849*IF(AND(Inputs!$B$39&lt;&gt;"pvp",Inputs!$B$44&gt;0),((Skills!G12*((R1849-1)*IF(Skills!H12&gt;0,INT(Skills!I12/Skills!H12+0.000000001),1)+IF(Skills!H12&gt;0,INT(MIN(Skills!I12,MAX(0,MAX(0,Inputs!$B$44-B1873)-((R1849-1)*IF(Inputs!$B$39="pvp",15,MAX(0.1,Skills!D12-IF(TRUE=TRUE,Inputs!$B$33,0))))))/Skills!H12+0.000000001),1)))/Inputs!$B$44),G1849*Q1849))*IF(Inputs!$B$39="pvp",1,(1+(Inputs!$B$22+Skills!Q12+((C1854=TRUE)*F1854*IF(AND(Inputs!$B$39&lt;&gt;"pvp",Inputs!$B$44&gt;0),(((R1854-1)*MIN((Skills!T17*(1+Inputs!$B$35/100)),(1/Q1854))+MIN((Skills!T17*(1+Inputs!$B$35/100)),MAX(0,Inputs!$B$44-((R1854-1)*(1/Q1854)))))/Inputs!$B$44),IF(Inputs!$B$39="pvp",MIN((Skills!T17*(1+Inputs!$B$35/100)),15)/15,MIN(1,(Skills!T17*(1+Inputs!$B$35/100))/(1/Q1854)))))+((C1842=TRUE)*IF(Inputs!$B$3&gt;=126,10*MIN(1,15*Q1842),0))+((C1851=TRUE)*IF(Inputs!$B$39="pvp",20,(1-Summary!$B$11)*(20)+Summary!$B$11*(0))*IF(AND(Inputs!$B$39&lt;&gt;"pvp",Inputs!$B$44&gt;0),(((R1851-1)*MIN((Skills!T14*(1+Inputs!$B$35/100)),(1/Q1851))+MIN((Skills!T14*(1+Inputs!$B$35/100)),MAX(0,Inputs!$B$44-((R1851-1)*(1/Q1851)))))/Inputs!$B$44),IF(Inputs!$B$39="pvp",MIN((Skills!T14*(1+Inputs!$B$35/100)),15)/15,MIN(1,(Skills!T14*(1+Inputs!$B$35/100))/(1/Q1851)))))+((C1850=TRUE)*IF(Inputs!$B$3&gt;=82,IF(Inputs!$B$39="pvp",20,(1-Summary!$B$11)*(20)+Summary!$B$11*(0)),0)*IF(AND(Inputs!$B$39&lt;&gt;"pvp",Inputs!$B$44&gt;0),(((R1850-1)*MIN((Skills!T13*(1+Inputs!$B$35/100)),(1/Q1850))+MIN((Skills!T13*(1+Inputs!$B$35/100)),MAX(0,Inputs!$B$44-((R1850-1)*(1/Q1850)))))/Inputs!$B$44),IF(Inputs!$B$39="pvp",MIN((Skills!T13*(1+Inputs!$B$35/100)),15)/15,MIN(1,(Skills!T13*(1+Inputs!$B$35/100))/(1/Q1850)))))+(IF(AND(ArtifactsInput!$M$35,Inputs!$B$4&lt;&gt;"Chapter Hunt"),CHOOSE(ArtifactsInput!$N$35+1,15,18,21,24,27,30)*(1-EXP(-(0.2*B1868)*5)),0)+IF(AND(ArtifactsInput!$M$22,Inputs!$B$4&lt;&gt;"Chapter Hunt"),CHOOSE(ArtifactsInput!$N$22+1,10,12,14,16,18,20)*((0*(((0.15*B1868*5))^0/1)+1*(((0.15*B1868*5))^1/1)+2*(((0.15*B1868*5))^2/2)+3*(((0.15*B1868*5))^3/6)+4*(((0.15*B1868*5))^4/24)+5*(((0.15*B1868*5))^5/120))/((((0.15*B1868*5))^0/1)+(((0.15*B1868*5))^1/1)+(((0.15*B1868*5))^2/2)+(((0.15*B1868*5))^3/6)+(((0.15*B1868*5))^4/24)+(((0.15*B1868*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50">
      <c r="A1850">
        <f>Skills!A13</f>
        <v/>
      </c>
      <c r="B1850">
        <f>Skills!B13</f>
        <v/>
      </c>
      <c r="C1850">
        <f>Inputs!$B$3&gt;=69</f>
        <v/>
      </c>
      <c r="D1850">
        <f>IF(Skills!C13=1,60+Inputs!$B$26+Inputs!$B$30,IF(Skills!C13=2,90+Inputs!$B$27+Inputs!$B$30,IF(Skills!C13=3,120+Inputs!$B$28+Inputs!$B$30,MAX(0,(Inputs!$B$3-100)*3)+Inputs!$B$29+Inputs!$B$30)))</f>
        <v/>
      </c>
      <c r="E1850">
        <f>INDEX(FactorTable!$B$2:$Y$301, MATCH(ROUND(MIN(300,MAX(1,D1850)),0), FactorTable!$A$2:$A$301,0), Skills!M13+1)</f>
        <v/>
      </c>
      <c r="F1850">
        <f>IF(Skills!N13=TRUE,(Skills!L13/10)*(E1850/1000),Skills!L13/10)+Skills!O13</f>
        <v/>
      </c>
      <c r="G1850">
        <f>Skills!G13*IF(Skills!H13&gt;0,INT(IF(Inputs!$B$39="pvp",MIN(Skills!I13,15),Skills!I13)/Skills!H13+0.000000001),1)</f>
        <v/>
      </c>
      <c r="H1850">
        <f>1-(1-Skills!J13/100)^Skills!K13</f>
        <v/>
      </c>
      <c r="I1850" t="inlineStr">
        <is>
          <t>1</t>
        </is>
      </c>
      <c r="J1850" t="inlineStr"/>
      <c r="K1850" t="inlineStr"/>
      <c r="L1850" t="inlineStr"/>
      <c r="M1850" t="inlineStr"/>
      <c r="N1850" t="inlineStr"/>
      <c r="O1850">
        <f>(1-Summary!$B$11)*T1850+Summary!$B$11*V1850</f>
        <v/>
      </c>
      <c r="P1850">
        <f>IF(B1876=0,0,O1850/B1876)</f>
        <v/>
      </c>
      <c r="Q1850">
        <f>IFERROR(1/IF(Inputs!$B$39="pvp",15,MAX(0.1,Skills!D13-IF(TRUE=TRUE,Inputs!$B$33,0))),0)</f>
        <v/>
      </c>
      <c r="R1850">
        <f>IF(AND(Inputs!$B$39&lt;&gt;"pvp",Inputs!$B$44&gt;0),IF(Inputs!$B$44&lt;=0,0,(INT(Inputs!$B$44/IF(Inputs!$B$39="pvp",15,MAX(0.1,Skills!D13-IF(TRUE=TRUE,Inputs!$B$33,0))))+1)),0)</f>
        <v/>
      </c>
      <c r="S1850">
        <f>IFERROR(O1850/N1850,0)</f>
        <v/>
      </c>
      <c r="T1850" t="n">
        <v>0</v>
      </c>
      <c r="V1850" t="n">
        <v>0</v>
      </c>
    </row>
    <row r="1851">
      <c r="A1851">
        <f>Skills!A14</f>
        <v/>
      </c>
      <c r="B1851">
        <f>Skills!B14</f>
        <v/>
      </c>
      <c r="C1851">
        <f>Inputs!$B$3&gt;=115</f>
        <v/>
      </c>
      <c r="D1851">
        <f>IF(Skills!C14=1,60+Inputs!$B$26+Inputs!$B$30,IF(Skills!C14=2,90+Inputs!$B$27+Inputs!$B$30,IF(Skills!C14=3,120+Inputs!$B$28+Inputs!$B$30,MAX(0,(Inputs!$B$3-100)*3)+Inputs!$B$29+Inputs!$B$30)))</f>
        <v/>
      </c>
      <c r="E1851">
        <f>INDEX(FactorTable!$B$2:$Y$301, MATCH(ROUND(MIN(300,MAX(1,D1851)),0), FactorTable!$A$2:$A$301,0), Skills!M14+1)</f>
        <v/>
      </c>
      <c r="F1851">
        <f>IF(Skills!N14=TRUE,(Skills!L14/10)*(E1851/1000),Skills!L14/10)+Skills!O14</f>
        <v/>
      </c>
      <c r="G1851">
        <f>Skills!G14*IF(Skills!H14&gt;0,INT(IF(Inputs!$B$39="pvp",MIN(Skills!I14,15),Skills!I14)/Skills!H14+0.000000001),1)</f>
        <v/>
      </c>
      <c r="H1851">
        <f>1-(1-Skills!J14/100)^Skills!K14</f>
        <v/>
      </c>
      <c r="I1851" t="inlineStr">
        <is>
          <t>1</t>
        </is>
      </c>
      <c r="J1851" t="inlineStr"/>
      <c r="K1851" t="inlineStr"/>
      <c r="L1851" t="inlineStr"/>
      <c r="M1851" t="inlineStr"/>
      <c r="N1851" t="inlineStr"/>
      <c r="O1851">
        <f>(1-Summary!$B$11)*T1851+Summary!$B$11*V1851</f>
        <v/>
      </c>
      <c r="P1851">
        <f>IF(B1876=0,0,O1851/B1876)</f>
        <v/>
      </c>
      <c r="Q1851">
        <f>IFERROR(1/IF(Inputs!$B$39="pvp",15,MAX(0.1,Skills!D14-IF(TRUE=TRUE,Inputs!$B$33,0))),0)</f>
        <v/>
      </c>
      <c r="R1851">
        <f>IF(AND(Inputs!$B$39&lt;&gt;"pvp",Inputs!$B$44&gt;0),IF(Inputs!$B$44&lt;=0,0,(INT(Inputs!$B$44/IF(Inputs!$B$39="pvp",15,MAX(0.1,Skills!D14-IF(TRUE=TRUE,Inputs!$B$33,0))))+1)),0)</f>
        <v/>
      </c>
      <c r="S1851">
        <f>IFERROR(O1851/N1851,0)</f>
        <v/>
      </c>
      <c r="T1851" t="n">
        <v>0</v>
      </c>
      <c r="V1851" t="n">
        <v>0</v>
      </c>
    </row>
    <row r="1852">
      <c r="A1852">
        <f>Skills!A15</f>
        <v/>
      </c>
      <c r="B1852">
        <f>Skills!B15</f>
        <v/>
      </c>
      <c r="C1852">
        <f>Inputs!$B$3&gt;=66</f>
        <v/>
      </c>
      <c r="D1852">
        <f>IF(Skills!C15=1,60+Inputs!$B$26+Inputs!$B$30,IF(Skills!C15=2,90+Inputs!$B$27+Inputs!$B$30,IF(Skills!C15=3,120+Inputs!$B$28+Inputs!$B$30,MAX(0,(Inputs!$B$3-100)*3)+Inputs!$B$29+Inputs!$B$30)))</f>
        <v/>
      </c>
      <c r="E1852">
        <f>INDEX(FactorTable!$B$2:$Y$301, MATCH(ROUND(MIN(300,MAX(1,D1852)),0), FactorTable!$A$2:$A$301,0), Skills!M15+1)</f>
        <v/>
      </c>
      <c r="F1852">
        <f>IF(Skills!N15=TRUE,(Skills!L15/10)*(E1852/1000),Skills!L15/10)+Skills!O15</f>
        <v/>
      </c>
      <c r="G1852">
        <f>Skills!G15*IF(Skills!H15&gt;0,INT(IF(Inputs!$B$39="pvp",MIN(Skills!I15,15),Skills!I15)/Skills!H15+0.000000001),1)</f>
        <v/>
      </c>
      <c r="H1852">
        <f>1-(1-Skills!J15/100)^Skills!K15</f>
        <v/>
      </c>
      <c r="I1852" t="inlineStr">
        <is>
          <t>1</t>
        </is>
      </c>
      <c r="J1852" t="inlineStr"/>
      <c r="K1852" t="inlineStr"/>
      <c r="L1852" t="inlineStr"/>
      <c r="M1852" t="inlineStr"/>
      <c r="N1852" t="inlineStr"/>
      <c r="O1852">
        <f>(1-Summary!$B$11)*T1852+Summary!$B$11*V1852</f>
        <v/>
      </c>
      <c r="P1852">
        <f>IF(B1876=0,0,O1852/B1876)</f>
        <v/>
      </c>
      <c r="Q1852">
        <f>IFERROR(1/IF(Inputs!$B$39="pvp",15,MAX(0.1,Skills!D15-IF(TRUE=TRUE,Inputs!$B$33,0))),0)</f>
        <v/>
      </c>
      <c r="R1852">
        <f>IF(AND(Inputs!$B$39&lt;&gt;"pvp",Inputs!$B$44&gt;0),IF(Inputs!$B$44&lt;=0,0,(INT(Inputs!$B$44/IF(Inputs!$B$39="pvp",15,MAX(0.1,Skills!D15-IF(TRUE=TRUE,Inputs!$B$33,0))))+1)),0)</f>
        <v/>
      </c>
      <c r="S1852">
        <f>IFERROR(O1852/N1852,0)</f>
        <v/>
      </c>
      <c r="T1852" t="n">
        <v>0</v>
      </c>
      <c r="V1852" t="n">
        <v>0</v>
      </c>
    </row>
    <row r="1853">
      <c r="A1853">
        <f>Skills!A16</f>
        <v/>
      </c>
      <c r="B1853">
        <f>Skills!B16</f>
        <v/>
      </c>
      <c r="C1853">
        <f>Inputs!$B$3&gt;=45</f>
        <v/>
      </c>
      <c r="D1853">
        <f>IF(Skills!C16=1,60+Inputs!$B$26+Inputs!$B$30,IF(Skills!C16=2,90+Inputs!$B$27+Inputs!$B$30,IF(Skills!C16=3,120+Inputs!$B$28+Inputs!$B$30,MAX(0,(Inputs!$B$3-100)*3)+Inputs!$B$29+Inputs!$B$30)))</f>
        <v/>
      </c>
      <c r="E1853">
        <f>INDEX(FactorTable!$B$2:$Y$301, MATCH(ROUND(MIN(300,MAX(1,D1853)),0), FactorTable!$A$2:$A$301,0), Skills!M16+1)</f>
        <v/>
      </c>
      <c r="F1853">
        <f>IF(Skills!N16=TRUE,(Skills!L16/10)*(E1853/1000),Skills!L16/10)+Skills!O16</f>
        <v/>
      </c>
      <c r="G1853">
        <f>Skills!G16*IF(Skills!H16&gt;0,INT(IF(Inputs!$B$39="pvp",MIN(Skills!I16,15),Skills!I16)/Skills!H16+0.000000001),1)</f>
        <v/>
      </c>
      <c r="H1853">
        <f>1-(1-Skills!J16/100)^Skills!K16</f>
        <v/>
      </c>
      <c r="I1853" t="inlineStr">
        <is>
          <t>1</t>
        </is>
      </c>
      <c r="J1853" t="inlineStr"/>
      <c r="K1853" t="inlineStr"/>
      <c r="L1853" t="inlineStr"/>
      <c r="M1853" t="inlineStr"/>
      <c r="N1853" t="inlineStr"/>
      <c r="O1853">
        <f>(1-Summary!$B$11)*T1853+Summary!$B$11*V1853</f>
        <v/>
      </c>
      <c r="P1853">
        <f>IF(B1876=0,0,O1853/B1876)</f>
        <v/>
      </c>
      <c r="Q1853">
        <f>IFERROR(1/IF(Inputs!$B$39="pvp",15,MAX(0.1,Skills!D16-IF(TRUE=TRUE,Inputs!$B$33,0))),0)</f>
        <v/>
      </c>
      <c r="R1853">
        <f>IF(AND(Inputs!$B$39&lt;&gt;"pvp",Inputs!$B$44&gt;0),IF(Inputs!$B$44&lt;=0,0,(INT(Inputs!$B$44/IF(Inputs!$B$39="pvp",15,MAX(0.1,Skills!D16-IF(TRUE=TRUE,Inputs!$B$33,0))))+1)),0)</f>
        <v/>
      </c>
      <c r="S1853">
        <f>IFERROR(O1853/N1853,0)</f>
        <v/>
      </c>
      <c r="T1853" t="n">
        <v>0</v>
      </c>
      <c r="V1853" t="n">
        <v>0</v>
      </c>
    </row>
    <row r="1854">
      <c r="A1854">
        <f>Skills!A17</f>
        <v/>
      </c>
      <c r="B1854">
        <f>Skills!B17</f>
        <v/>
      </c>
      <c r="C1854">
        <f>Inputs!$B$3&gt;=35</f>
        <v/>
      </c>
      <c r="D1854">
        <f>IF(Skills!C17=1,60+Inputs!$B$26+Inputs!$B$30,IF(Skills!C17=2,90+Inputs!$B$27+Inputs!$B$30,IF(Skills!C17=3,120+Inputs!$B$28+Inputs!$B$30,MAX(0,(Inputs!$B$3-100)*3)+Inputs!$B$29+Inputs!$B$30)))</f>
        <v/>
      </c>
      <c r="E1854">
        <f>INDEX(FactorTable!$B$2:$Y$301, MATCH(ROUND(MIN(300,MAX(1,D1854)),0), FactorTable!$A$2:$A$301,0), Skills!M17+1)</f>
        <v/>
      </c>
      <c r="F1854">
        <f>IF(Skills!N17=TRUE,(Skills!L17/10)*(E1854/1000),Skills!L17/10)+Skills!O17</f>
        <v/>
      </c>
      <c r="G1854">
        <f>Skills!G17*IF(Skills!H17&gt;0,INT(IF(Inputs!$B$39="pvp",MIN(Skills!I17,15),Skills!I17)/Skills!H17+0.000000001),1)</f>
        <v/>
      </c>
      <c r="H1854">
        <f>1-(1-Skills!J17/100)^Skills!K17</f>
        <v/>
      </c>
      <c r="I1854" t="inlineStr">
        <is>
          <t>1</t>
        </is>
      </c>
      <c r="J1854" t="inlineStr"/>
      <c r="K1854" t="inlineStr"/>
      <c r="L1854" t="inlineStr"/>
      <c r="M1854" t="inlineStr"/>
      <c r="N1854" t="inlineStr"/>
      <c r="O1854">
        <f>(1-Summary!$B$11)*T1854+Summary!$B$11*V1854</f>
        <v/>
      </c>
      <c r="P1854">
        <f>IF(B1876=0,0,O1854/B1876)</f>
        <v/>
      </c>
      <c r="Q1854">
        <f>IFERROR(1/IF(Inputs!$B$39="pvp",15,MAX(0.1,Skills!D17-IF(TRUE=TRUE,Inputs!$B$33,0))),0)</f>
        <v/>
      </c>
      <c r="R1854">
        <f>IF(AND(Inputs!$B$39&lt;&gt;"pvp",Inputs!$B$44&gt;0),IF(Inputs!$B$44&lt;=0,0,(INT(Inputs!$B$44/IF(Inputs!$B$39="pvp",15,MAX(0.1,Skills!D17-IF(TRUE=TRUE,Inputs!$B$33,0))))+1)),0)</f>
        <v/>
      </c>
      <c r="S1854">
        <f>IFERROR(O1854/N1854,0)</f>
        <v/>
      </c>
      <c r="T1854" t="n">
        <v>0</v>
      </c>
      <c r="V1854" t="n">
        <v>0</v>
      </c>
    </row>
    <row r="1855">
      <c r="A1855">
        <f>Skills!A18</f>
        <v/>
      </c>
      <c r="B1855">
        <f>Skills!B18</f>
        <v/>
      </c>
      <c r="C1855">
        <f>Inputs!$B$3&gt;=72</f>
        <v/>
      </c>
      <c r="D1855">
        <f>IF(Skills!C18=1,60+Inputs!$B$26+Inputs!$B$30,IF(Skills!C18=2,90+Inputs!$B$27+Inputs!$B$30,IF(Skills!C18=3,120+Inputs!$B$28+Inputs!$B$30,MAX(0,(Inputs!$B$3-100)*3)+Inputs!$B$29+Inputs!$B$30)))</f>
        <v/>
      </c>
      <c r="E1855">
        <f>INDEX(FactorTable!$B$2:$Y$301, MATCH(ROUND(MIN(300,MAX(1,D1855)),0), FactorTable!$A$2:$A$301,0), Skills!M18+1)</f>
        <v/>
      </c>
      <c r="F1855">
        <f>IF(Skills!N18=TRUE,(Skills!L18/10)*(E1855/1000),Skills!L18/10)+Skills!O18</f>
        <v/>
      </c>
      <c r="G1855">
        <f>Skills!G18*IF(Skills!H18&gt;0,INT(IF(Inputs!$B$39="pvp",MIN(Skills!I18,15),Skills!I18)/Skills!H18+0.000000001),1)</f>
        <v/>
      </c>
      <c r="H1855">
        <f>1-(1-Skills!J18/100)^Skills!K18</f>
        <v/>
      </c>
      <c r="I1855" t="inlineStr">
        <is>
          <t>1</t>
        </is>
      </c>
      <c r="J1855" t="inlineStr"/>
      <c r="K1855" t="inlineStr"/>
      <c r="L1855" t="inlineStr"/>
      <c r="M1855" t="inlineStr"/>
      <c r="N1855" t="inlineStr"/>
      <c r="O1855">
        <f>(1-Summary!$B$11)*T1855+Summary!$B$11*V1855</f>
        <v/>
      </c>
      <c r="P1855">
        <f>IF(B1876=0,0,O1855/B1876)</f>
        <v/>
      </c>
      <c r="Q1855">
        <f>IFERROR(1/IF(Inputs!$B$39="pvp",15,MAX(0.1,Skills!D18-IF(TRUE=TRUE,Inputs!$B$33,0))),0)</f>
        <v/>
      </c>
      <c r="R1855">
        <f>IF(AND(Inputs!$B$39&lt;&gt;"pvp",Inputs!$B$44&gt;0),IF(Inputs!$B$44&lt;=0,0,(INT(Inputs!$B$44/IF(Inputs!$B$39="pvp",15,MAX(0.1,Skills!D18-IF(TRUE=TRUE,Inputs!$B$33,0))))+1)),0)</f>
        <v/>
      </c>
      <c r="S1855">
        <f>IFERROR(O1855/N1855,0)</f>
        <v/>
      </c>
      <c r="T1855" t="n">
        <v>0</v>
      </c>
      <c r="V1855" t="n">
        <v>0</v>
      </c>
    </row>
    <row r="1856">
      <c r="A1856">
        <f>Skills!A19</f>
        <v/>
      </c>
      <c r="B1856">
        <f>Skills!B19</f>
        <v/>
      </c>
      <c r="C1856">
        <f>Inputs!$B$3&gt;=72</f>
        <v/>
      </c>
      <c r="D1856">
        <f>IF(Skills!C19=1,60+Inputs!$B$26+Inputs!$B$30,IF(Skills!C19=2,90+Inputs!$B$27+Inputs!$B$30,IF(Skills!C19=3,120+Inputs!$B$28+Inputs!$B$30,MAX(0,(Inputs!$B$3-100)*3)+Inputs!$B$29+Inputs!$B$30)))</f>
        <v/>
      </c>
      <c r="E1856">
        <f>INDEX(FactorTable!$B$2:$Y$301, MATCH(ROUND(MIN(300,MAX(1,D1856)),0), FactorTable!$A$2:$A$301,0), Skills!M19+1)</f>
        <v/>
      </c>
      <c r="F1856">
        <f>IF(Skills!N19=TRUE,(Skills!L19/10)*(E1856/1000),Skills!L19/10)+Skills!O19</f>
        <v/>
      </c>
      <c r="G1856">
        <f>Skills!G19*IF(Skills!H19&gt;0,INT(IF(Inputs!$B$39="pvp",MIN(Skills!I19,15),Skills!I19)/Skills!H19+0.000000001),1)</f>
        <v/>
      </c>
      <c r="H1856">
        <f>1-(1-Skills!J19/100)^Skills!K19</f>
        <v/>
      </c>
      <c r="I1856" t="inlineStr">
        <is>
          <t>1</t>
        </is>
      </c>
      <c r="J1856" t="inlineStr"/>
      <c r="K1856" t="inlineStr"/>
      <c r="L1856" t="inlineStr"/>
      <c r="M1856" t="inlineStr"/>
      <c r="N1856" t="inlineStr"/>
      <c r="O1856">
        <f>(1-Summary!$B$11)*T1856+Summary!$B$11*V1856</f>
        <v/>
      </c>
      <c r="P1856">
        <f>IF(B1876=0,0,O1856/B1876)</f>
        <v/>
      </c>
      <c r="Q1856">
        <f>IFERROR(1/IF(Inputs!$B$39="pvp",15,MAX(0.1,Skills!D19-IF(TRUE=TRUE,Inputs!$B$33,0))),0)</f>
        <v/>
      </c>
      <c r="R1856">
        <f>IF(AND(Inputs!$B$39&lt;&gt;"pvp",Inputs!$B$44&gt;0),IF(Inputs!$B$44&lt;=0,0,(INT(Inputs!$B$44/IF(Inputs!$B$39="pvp",15,MAX(0.1,Skills!D19-IF(TRUE=TRUE,Inputs!$B$33,0))))+1)),0)</f>
        <v/>
      </c>
      <c r="S1856">
        <f>IFERROR(O1856/N1856,0)</f>
        <v/>
      </c>
      <c r="T1856" t="n">
        <v>0</v>
      </c>
      <c r="V1856" t="n">
        <v>0</v>
      </c>
    </row>
    <row r="1857">
      <c r="A1857">
        <f>Skills!A20</f>
        <v/>
      </c>
      <c r="B1857">
        <f>Skills!B20</f>
        <v/>
      </c>
      <c r="C1857">
        <f>TRUE</f>
        <v/>
      </c>
      <c r="D1857">
        <f>IF(Skills!C20=1,60+Inputs!$B$26+Inputs!$B$30,IF(Skills!C20=2,90+Inputs!$B$27+Inputs!$B$30,IF(Skills!C20=3,120+Inputs!$B$28+Inputs!$B$30,MAX(0,(Inputs!$B$3-100)*3)+Inputs!$B$29+Inputs!$B$30)))</f>
        <v/>
      </c>
      <c r="E1857">
        <f>INDEX(FactorTable!$B$2:$Y$301, MATCH(ROUND(MIN(300,MAX(1,D1857)),0), FactorTable!$A$2:$A$301,0), Skills!M20+1)</f>
        <v/>
      </c>
      <c r="F1857">
        <f>IF(Skills!N20=TRUE,(Skills!L20/10)*(E1857/1000),Skills!L20/10)+Skills!O20</f>
        <v/>
      </c>
      <c r="G1857">
        <f>Skills!G20*IF(Skills!H20&gt;0,INT(IF(Inputs!$B$39="pvp",MIN(Skills!I20,15),Skills!I20)/Skills!H20+0.000000001),1)</f>
        <v/>
      </c>
      <c r="H1857">
        <f>1-(1-Skills!J20/100)^Skills!K20</f>
        <v/>
      </c>
      <c r="I1857" t="inlineStr">
        <is>
          <t>1</t>
        </is>
      </c>
      <c r="J1857" t="inlineStr"/>
      <c r="K1857" t="inlineStr"/>
      <c r="L1857" t="inlineStr"/>
      <c r="M1857" t="inlineStr"/>
      <c r="N1857" t="inlineStr"/>
      <c r="O1857">
        <f>(1-Summary!$B$11)*T1857+Summary!$B$11*V1857</f>
        <v/>
      </c>
      <c r="P1857">
        <f>IF(B1876=0,0,O1857/B1876)</f>
        <v/>
      </c>
      <c r="Q1857">
        <f>IFERROR(1/IF(Inputs!$B$39="pvp",15,MAX(0.1,Skills!D20-IF(TRUE=TRUE,Inputs!$B$33,0))),0)</f>
        <v/>
      </c>
      <c r="R1857">
        <f>IF(AND(Inputs!$B$39&lt;&gt;"pvp",Inputs!$B$44&gt;0),IF(Inputs!$B$44&lt;=0,0,(INT(Inputs!$B$44/IF(Inputs!$B$39="pvp",15,MAX(0.1,Skills!D20-IF(TRUE=TRUE,Inputs!$B$33,0))))+1)),0)</f>
        <v/>
      </c>
      <c r="S1857">
        <f>IFERROR(O1857/N1857,0)</f>
        <v/>
      </c>
      <c r="T1857" t="n">
        <v>0</v>
      </c>
      <c r="V1857" t="n">
        <v>0</v>
      </c>
    </row>
    <row r="1858">
      <c r="A1858">
        <f>Skills!A21</f>
        <v/>
      </c>
      <c r="B1858">
        <f>Skills!B21</f>
        <v/>
      </c>
      <c r="C1858">
        <f>Inputs!$B$3&gt;=33</f>
        <v/>
      </c>
      <c r="D1858">
        <f>IF(Skills!C21=1,60+Inputs!$B$26+Inputs!$B$30,IF(Skills!C21=2,90+Inputs!$B$27+Inputs!$B$30,IF(Skills!C21=3,120+Inputs!$B$28+Inputs!$B$30,MAX(0,(Inputs!$B$3-100)*3)+Inputs!$B$29+Inputs!$B$30)))</f>
        <v/>
      </c>
      <c r="E1858">
        <f>INDEX(FactorTable!$B$2:$Y$301, MATCH(ROUND(MIN(300,MAX(1,D1858)),0), FactorTable!$A$2:$A$301,0), Skills!M21+1)</f>
        <v/>
      </c>
      <c r="F1858">
        <f>IF(Skills!N21=TRUE,(Skills!L21/10)*(E1858/1000),Skills!L21/10)+Skills!O21</f>
        <v/>
      </c>
      <c r="G1858">
        <f>Skills!G21*IF(Skills!H21&gt;0,INT(IF(Inputs!$B$39="pvp",MIN(Skills!I21,15),Skills!I21)/Skills!H21+0.000000001),1)</f>
        <v/>
      </c>
      <c r="H1858">
        <f>1-(1-Skills!J21/100)^Skills!K21</f>
        <v/>
      </c>
      <c r="I1858" t="inlineStr">
        <is>
          <t>1</t>
        </is>
      </c>
      <c r="J1858" t="inlineStr"/>
      <c r="K1858" t="inlineStr"/>
      <c r="L1858" t="inlineStr"/>
      <c r="M1858" t="inlineStr"/>
      <c r="N1858" t="inlineStr"/>
      <c r="O1858">
        <f>(1-Summary!$B$11)*T1858+Summary!$B$11*V1858</f>
        <v/>
      </c>
      <c r="P1858">
        <f>IF(B1876=0,0,O1858/B1876)</f>
        <v/>
      </c>
      <c r="Q1858" t="n">
        <v>0</v>
      </c>
      <c r="R1858" t="n">
        <v>0</v>
      </c>
      <c r="S1858">
        <f>IFERROR(O1858/N1858,0)</f>
        <v/>
      </c>
      <c r="T1858" t="n">
        <v>0</v>
      </c>
      <c r="V1858" t="n">
        <v>0</v>
      </c>
    </row>
    <row r="1859">
      <c r="A1859">
        <f>Skills!A22</f>
        <v/>
      </c>
      <c r="B1859">
        <f>Skills!B22</f>
        <v/>
      </c>
      <c r="C1859">
        <f>Inputs!$B$3&gt;=43</f>
        <v/>
      </c>
      <c r="D1859">
        <f>IF(Skills!C22=1,60+Inputs!$B$26+Inputs!$B$30,IF(Skills!C22=2,90+Inputs!$B$27+Inputs!$B$30,IF(Skills!C22=3,120+Inputs!$B$28+Inputs!$B$30,MAX(0,(Inputs!$B$3-100)*3)+Inputs!$B$29+Inputs!$B$30)))</f>
        <v/>
      </c>
      <c r="E1859">
        <f>INDEX(FactorTable!$B$2:$Y$301, MATCH(ROUND(MIN(300,MAX(1,D1859)),0), FactorTable!$A$2:$A$301,0), Skills!M22+1)</f>
        <v/>
      </c>
      <c r="F1859">
        <f>IF(Skills!N22=TRUE,(Skills!L22/10)*(E1859/1000),Skills!L22/10)+Skills!O22</f>
        <v/>
      </c>
      <c r="G1859">
        <f>Skills!G22*IF(Skills!H22&gt;0,INT(IF(Inputs!$B$39="pvp",MIN(Skills!I22,15),Skills!I22)/Skills!H22+0.000000001),1)</f>
        <v/>
      </c>
      <c r="H1859">
        <f>1-(1-Skills!J22/100)^Skills!K22</f>
        <v/>
      </c>
      <c r="I1859" t="inlineStr">
        <is>
          <t>1</t>
        </is>
      </c>
      <c r="J1859" t="inlineStr"/>
      <c r="K1859" t="inlineStr"/>
      <c r="L1859" t="inlineStr"/>
      <c r="M1859" t="inlineStr"/>
      <c r="N1859" t="inlineStr"/>
      <c r="O1859">
        <f>(1-Summary!$B$11)*T1859+Summary!$B$11*V1859</f>
        <v/>
      </c>
      <c r="P1859">
        <f>IF(B1876=0,0,O1859/B1876)</f>
        <v/>
      </c>
      <c r="Q1859" t="n">
        <v>0</v>
      </c>
      <c r="R1859" t="n">
        <v>0</v>
      </c>
      <c r="S1859">
        <f>IFERROR(O1859/N1859,0)</f>
        <v/>
      </c>
      <c r="T1859" t="n">
        <v>0</v>
      </c>
      <c r="V1859" t="n">
        <v>0</v>
      </c>
    </row>
    <row r="1860">
      <c r="A1860">
        <f>Skills!A23</f>
        <v/>
      </c>
      <c r="B1860">
        <f>Skills!B23</f>
        <v/>
      </c>
      <c r="C1860">
        <f>Inputs!$B$3&gt;=120</f>
        <v/>
      </c>
      <c r="D1860">
        <f>IF(Skills!C23=1,60+Inputs!$B$26+Inputs!$B$30,IF(Skills!C23=2,90+Inputs!$B$27+Inputs!$B$30,IF(Skills!C23=3,120+Inputs!$B$28+Inputs!$B$30,MAX(0,(Inputs!$B$3-100)*3)+Inputs!$B$29+Inputs!$B$30)))</f>
        <v/>
      </c>
      <c r="E1860">
        <f>INDEX(FactorTable!$B$2:$Y$301, MATCH(ROUND(MIN(300,MAX(1,D1860)),0), FactorTable!$A$2:$A$301,0), Skills!M23+1)</f>
        <v/>
      </c>
      <c r="F1860">
        <f>IF(Skills!N23=TRUE,(Skills!L23/10)*(E1860/1000),Skills!L23/10)+Skills!O23</f>
        <v/>
      </c>
      <c r="G1860">
        <f>Skills!G23*IF(Skills!H23&gt;0,INT(IF(Inputs!$B$39="pvp",MIN(Skills!I23,15),Skills!I23)/Skills!H23+0.000000001),1)</f>
        <v/>
      </c>
      <c r="H1860">
        <f>1-(1-Skills!J23/100)^Skills!K23</f>
        <v/>
      </c>
      <c r="I1860" t="inlineStr">
        <is>
          <t>1</t>
        </is>
      </c>
      <c r="J1860" t="inlineStr"/>
      <c r="K1860" t="inlineStr"/>
      <c r="L1860" t="inlineStr"/>
      <c r="M1860" t="inlineStr"/>
      <c r="N1860" t="inlineStr"/>
      <c r="O1860">
        <f>(1-Summary!$B$11)*T1860+Summary!$B$11*V1860</f>
        <v/>
      </c>
      <c r="P1860">
        <f>IF(B1876=0,0,O1860/B1876)</f>
        <v/>
      </c>
      <c r="Q1860" t="n">
        <v>0</v>
      </c>
      <c r="R1860" t="n">
        <v>0</v>
      </c>
      <c r="S1860">
        <f>IFERROR(O1860/N1860,0)</f>
        <v/>
      </c>
      <c r="T1860" t="n">
        <v>0</v>
      </c>
      <c r="V1860" t="n">
        <v>0</v>
      </c>
    </row>
    <row r="1861">
      <c r="A1861">
        <f>Skills!A24</f>
        <v/>
      </c>
      <c r="B1861">
        <f>Skills!B24</f>
        <v/>
      </c>
      <c r="C1861">
        <f>Inputs!$B$3&gt;=120</f>
        <v/>
      </c>
      <c r="D1861">
        <f>IF(Skills!C24=1,60+Inputs!$B$26+Inputs!$B$30,IF(Skills!C24=2,90+Inputs!$B$27+Inputs!$B$30,IF(Skills!C24=3,120+Inputs!$B$28+Inputs!$B$30,MAX(0,(Inputs!$B$3-100)*3)+Inputs!$B$29+Inputs!$B$30)))</f>
        <v/>
      </c>
      <c r="E1861">
        <f>INDEX(FactorTable!$B$2:$Y$301, MATCH(ROUND(MIN(300,MAX(1,D1861)),0), FactorTable!$A$2:$A$301,0), Skills!M24+1)</f>
        <v/>
      </c>
      <c r="F1861">
        <f>IF(Skills!N24=TRUE,(Skills!L24/10)*(E1861/1000),Skills!L24/10)+Skills!O24</f>
        <v/>
      </c>
      <c r="G1861">
        <f>Skills!G24*IF(Skills!H24&gt;0,INT(IF(Inputs!$B$39="pvp",MIN(Skills!I24,15),Skills!I24)/Skills!H24+0.000000001),1)</f>
        <v/>
      </c>
      <c r="H1861">
        <f>1-(1-Skills!J24/100)^Skills!K24</f>
        <v/>
      </c>
      <c r="I1861" t="inlineStr">
        <is>
          <t>1</t>
        </is>
      </c>
      <c r="J1861" t="inlineStr"/>
      <c r="K1861" t="inlineStr"/>
      <c r="L1861" t="inlineStr"/>
      <c r="M1861" t="inlineStr"/>
      <c r="N1861" t="inlineStr"/>
      <c r="O1861">
        <f>(1-Summary!$B$11)*T1861+Summary!$B$11*V1861</f>
        <v/>
      </c>
      <c r="P1861">
        <f>IF(B1876=0,0,O1861/B1876)</f>
        <v/>
      </c>
      <c r="Q1861" t="n">
        <v>0</v>
      </c>
      <c r="R1861" t="n">
        <v>0</v>
      </c>
      <c r="S1861">
        <f>IFERROR(O1861/N1861,0)</f>
        <v/>
      </c>
      <c r="T1861" t="n">
        <v>0</v>
      </c>
      <c r="V1861" t="n">
        <v>0</v>
      </c>
    </row>
    <row r="1862">
      <c r="A1862">
        <f>Skills!A25</f>
        <v/>
      </c>
      <c r="B1862">
        <f>Skills!B25</f>
        <v/>
      </c>
      <c r="C1862">
        <f>Inputs!$B$3&gt;=125</f>
        <v/>
      </c>
      <c r="D1862">
        <f>IF(Skills!C25=1,60+Inputs!$B$26+Inputs!$B$30,IF(Skills!C25=2,90+Inputs!$B$27+Inputs!$B$30,IF(Skills!C25=3,120+Inputs!$B$28+Inputs!$B$30,MAX(0,(Inputs!$B$3-100)*3)+Inputs!$B$29+Inputs!$B$30)))</f>
        <v/>
      </c>
      <c r="E1862">
        <f>INDEX(FactorTable!$B$2:$Y$301, MATCH(ROUND(MIN(300,MAX(1,D1862)),0), FactorTable!$A$2:$A$301,0), Skills!M25+1)</f>
        <v/>
      </c>
      <c r="F1862">
        <f>IF(Skills!N25=TRUE,(Skills!L25/10)*(E1862/1000),Skills!L25/10)+Skills!O25</f>
        <v/>
      </c>
      <c r="G1862">
        <f>Skills!G25*IF(Skills!H25&gt;0,INT(IF(Inputs!$B$39="pvp",MIN(Skills!I25,15),Skills!I25)/Skills!H25+0.000000001),1)</f>
        <v/>
      </c>
      <c r="H1862">
        <f>1-(1-Skills!J25/100)^Skills!K25</f>
        <v/>
      </c>
      <c r="I1862" t="inlineStr">
        <is>
          <t>1</t>
        </is>
      </c>
      <c r="J1862" t="inlineStr"/>
      <c r="K1862" t="inlineStr"/>
      <c r="L1862" t="inlineStr"/>
      <c r="M1862" t="inlineStr"/>
      <c r="N1862" t="inlineStr"/>
      <c r="O1862">
        <f>(1-Summary!$B$11)*T1862+Summary!$B$11*V1862</f>
        <v/>
      </c>
      <c r="P1862">
        <f>IF(B1876=0,0,O1862/B1876)</f>
        <v/>
      </c>
      <c r="Q1862" t="n">
        <v>0</v>
      </c>
      <c r="R1862" t="n">
        <v>0</v>
      </c>
      <c r="S1862">
        <f>IFERROR(O1862/N1862,0)</f>
        <v/>
      </c>
      <c r="T1862" t="n">
        <v>0</v>
      </c>
      <c r="V1862" t="n">
        <v>0</v>
      </c>
    </row>
    <row r="1863">
      <c r="A1863">
        <f>Skills!A26</f>
        <v/>
      </c>
      <c r="B1863">
        <f>Skills!B26</f>
        <v/>
      </c>
      <c r="C1863">
        <f>Inputs!$B$3&gt;=107</f>
        <v/>
      </c>
      <c r="D1863">
        <f>IF(Skills!C26=1,60+Inputs!$B$26+Inputs!$B$30,IF(Skills!C26=2,90+Inputs!$B$27+Inputs!$B$30,IF(Skills!C26=3,120+Inputs!$B$28+Inputs!$B$30,MAX(0,(Inputs!$B$3-100)*3)+Inputs!$B$29+Inputs!$B$30)))</f>
        <v/>
      </c>
      <c r="E1863">
        <f>INDEX(FactorTable!$B$2:$Y$301, MATCH(ROUND(MIN(300,MAX(1,D1863)),0), FactorTable!$A$2:$A$301,0), Skills!M26+1)</f>
        <v/>
      </c>
      <c r="F1863">
        <f>IF(Skills!N26=TRUE,(Skills!L26/10)*(E1863/1000),Skills!L26/10)+Skills!O26</f>
        <v/>
      </c>
      <c r="G1863">
        <f>Skills!G26*IF(Skills!H26&gt;0,INT(IF(Inputs!$B$39="pvp",MIN(Skills!I26,15),Skills!I26)/Skills!H26+0.000000001),1)</f>
        <v/>
      </c>
      <c r="H1863">
        <f>1-(1-Skills!J26/100)^Skills!K26</f>
        <v/>
      </c>
      <c r="I1863" t="inlineStr">
        <is>
          <t>1</t>
        </is>
      </c>
      <c r="J1863" t="inlineStr"/>
      <c r="K1863" t="inlineStr"/>
      <c r="L1863" t="inlineStr"/>
      <c r="M1863" t="inlineStr"/>
      <c r="N1863" t="inlineStr"/>
      <c r="O1863">
        <f>(1-Summary!$B$11)*T1863+Summary!$B$11*V1863</f>
        <v/>
      </c>
      <c r="P1863">
        <f>IF(B1876=0,0,O1863/B1876)</f>
        <v/>
      </c>
      <c r="Q1863" t="n">
        <v>0</v>
      </c>
      <c r="R1863" t="n">
        <v>0</v>
      </c>
      <c r="S1863">
        <f>IFERROR(O1863/N1863,0)</f>
        <v/>
      </c>
      <c r="T1863" t="n">
        <v>0</v>
      </c>
      <c r="V1863" t="n">
        <v>0</v>
      </c>
    </row>
    <row r="1865">
      <c r="A1865" t="inlineStr">
        <is>
          <t>Attack% Bucket Multiplier</t>
        </is>
      </c>
      <c r="B1865">
        <f>(1+(((C1850=TRUE)*F1850*IF(AND(Inputs!$B$39&lt;&gt;"pvp",Inputs!$B$44&gt;0),(((R1850-1)*MIN((Skills!T13*(1+Inputs!$B$35/100)),(1/Q1850))+MIN((Skills!T13*(1+Inputs!$B$35/100)),MAX(0,Inputs!$B$44-((R1850-1)*(1/Q1850)))))/Inputs!$B$44),IF(Inputs!$B$39="pvp",MIN((Skills!T13*(1+Inputs!$B$35/100)),15)/15,MIN(1,(Skills!T13*(1+Inputs!$B$35/100))/(1/Q1850)))))+((C1851=TRUE)*F1851*IF(AND(Inputs!$B$39&lt;&gt;"pvp",Inputs!$B$44&gt;0),(((R1851-1)*MIN((Skills!T14*(1+Inputs!$B$35/100)),(1/Q1851))+MIN((Skills!T14*(1+Inputs!$B$35/100)),MAX(0,Inputs!$B$44-((R1851-1)*(1/Q1851)))))/Inputs!$B$44),IF(Inputs!$B$39="pvp",MIN((Skills!T14*(1+Inputs!$B$35/100)),15)/15,MIN(1,(Skills!T14*(1+Inputs!$B$35/100))/(1/Q1851)))))+((C1852=TRUE)*F1852*IF(AND(Inputs!$B$39&lt;&gt;"pvp",Inputs!$B$44&gt;0),(((R1852-1)*MIN((Skills!T15*(1+Inputs!$B$35/100)),(1/Q1852))+MIN((Skills!T15*(1+Inputs!$B$35/100)),MAX(0,Inputs!$B$44-((R1852-1)*(1/Q1852)))))/Inputs!$B$44),IF(Inputs!$B$39="pvp",MIN((Skills!T15*(1+Inputs!$B$35/100)),15)/15,MIN(1,(Skills!T15*(1+Inputs!$B$35/100))/(1/Q1852)))))+((C1853=TRUE)*F1853*IF(AND(Inputs!$B$39&lt;&gt;"pvp",Inputs!$B$44&gt;0),(((R1853-1)*MIN((Skills!T16*(1+Inputs!$B$35/100)),(1/Q1853))+MIN((Skills!T16*(1+Inputs!$B$35/100)),MAX(0,Inputs!$B$44-((R1853-1)*(1/Q1853)))))/Inputs!$B$44),IF(Inputs!$B$39="pvp",MIN((Skills!T16*(1+Inputs!$B$35/100)),15)/15,MIN(1,(Skills!T16*(1+Inputs!$B$35/100))/(1/Q1853)))))+0+(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1866">
      <c r="A1866" t="inlineStr">
        <is>
          <t>Global Crit Rate Bonus % (Lord of Darkness)</t>
        </is>
      </c>
      <c r="B1866">
        <f>((C1855=TRUE)*F1855*(Skills!J18/100)*IF(AND(Inputs!$B$39&lt;&gt;"pvp",Inputs!$B$44&gt;0),(((R1855-1)*MIN((Skills!T18*(1+Inputs!$B$35/100)),(1/Q1855))+MIN((Skills!T18*(1+Inputs!$B$35/100)),MAX(0,Inputs!$B$44-((R1855-1)*(1/Q1855)))))/Inputs!$B$44),IF(Inputs!$B$39="pvp",MIN((Skills!T18*(1+Inputs!$B$35/100)),15)/15,MIN(1,(Skills!T18*(1+Inputs!$B$35/100))/(1/Q1855)))))</f>
        <v/>
      </c>
    </row>
    <row r="1867">
      <c r="A1867" t="inlineStr">
        <is>
          <t>Attack Speed Buff Bonus %</t>
        </is>
      </c>
      <c r="B1867">
        <f>((C1857=TRUE)*F1857*IF(AND(Inputs!$B$39&lt;&gt;"pvp",Inputs!$B$44&gt;0),(((R1857-1)*MIN((Skills!T20*(1+Inputs!$B$35/100)),(1/Q1857))+MIN((Skills!T20*(1+Inputs!$B$35/100)),MAX(0,Inputs!$B$44-((R1857-1)*(1/Q1857)))))/Inputs!$B$44),IF(Inputs!$B$39="pvp",MIN((Skills!T20*(1+Inputs!$B$35/100)),15)/15,MIN(1,(Skills!T20*(1+Inputs!$B$35/100))/(1/Q1857)))))</f>
        <v/>
      </c>
    </row>
    <row r="1868">
      <c r="A1868" t="inlineStr">
        <is>
          <t>Actions Per Second</t>
        </is>
      </c>
      <c r="B1868">
        <f>1+MIN(150,150*(1-(1-(Inputs!$B$12+((C1858=TRUE)*(F1858-Calc!F21)))/150)*(1-B1867/150)))/100</f>
        <v/>
      </c>
    </row>
    <row r="1869">
      <c r="A1869" t="inlineStr">
        <is>
          <t>Skill + Buff Cast Rate</t>
        </is>
      </c>
      <c r="B1869">
        <f>IF(AND(Inputs!$B$39&lt;&gt;"pvp",Inputs!$B$44&gt;0),SUMPRODUCT((Skills!E2:E26=TRUE)*(C1839:C1863=TRUE)*R1839:R1863*Skills!F2:F26)/Inputs!$B$44,SUMPRODUCT((Skills!E2:E26=TRUE)*(C1839:C1863=TRUE)*Q1839:Q1863*Skills!F2:F26))</f>
        <v/>
      </c>
    </row>
    <row r="1870">
      <c r="A1870" t="inlineStr">
        <is>
          <t>Dark Impale Casts Per Second</t>
        </is>
      </c>
      <c r="B1870">
        <f>MAX(0,B1868-B1869)</f>
        <v/>
      </c>
    </row>
    <row r="1871">
      <c r="A1871" t="inlineStr">
        <is>
          <t>Global Critical Damage Bonus % (Lord of Darkness)</t>
        </is>
      </c>
      <c r="B1871">
        <f>((C1856=TRUE)*F1856*(Skills!J19/100)*IF(AND(Inputs!$B$39&lt;&gt;"pvp",Inputs!$B$44&gt;0),(((R1856-1)*MIN((Skills!T19*(1+Inputs!$B$35/100)),(1/Q1856))+MIN((Skills!T19*(1+Inputs!$B$35/100)),MAX(0,Inputs!$B$44-((R1856-1)*(1/Q1856)))))/Inputs!$B$44),IF(Inputs!$B$39="pvp",MIN((Skills!T19*(1+Inputs!$B$35/100)),15)/15,MIN(1,(Skills!T19*(1+Inputs!$B$35/100))/(1/Q1856)))))</f>
        <v/>
      </c>
    </row>
    <row r="1872">
      <c r="A1872" t="inlineStr">
        <is>
          <t>Global Final Damage Bonus % (unused)</t>
        </is>
      </c>
      <c r="B1872" t="n">
        <v>0</v>
      </c>
    </row>
    <row r="1873">
      <c r="A1873" t="inlineStr">
        <is>
          <t>Buff-Casting Startup Delay (s, fixed-duration only)</t>
        </is>
      </c>
      <c r="B1873">
        <f>IF(AND(Inputs!$B$39&lt;&gt;"pvp",Inputs!$B$44&gt;0),SUMPRODUCT((Skills!T2:T26&gt;0)*(Skills!E2:E26=TRUE)*(C1839:C1863=TRUE))/B1868,0)</f>
        <v/>
      </c>
    </row>
    <row r="1874">
      <c r="A1874" t="inlineStr">
        <is>
          <t>Boss-Only Total DPS (this block's swept value)</t>
        </is>
      </c>
      <c r="B1874">
        <f>SUM(T1839:T1863)</f>
        <v/>
      </c>
    </row>
    <row r="1875">
      <c r="A1875" t="inlineStr">
        <is>
          <t>Normal-Only Total DPS (this block's swept value)</t>
        </is>
      </c>
      <c r="B1875">
        <f>SUM(V1839:V1863)</f>
        <v/>
      </c>
    </row>
    <row r="1876">
      <c r="A1876" s="6" t="inlineStr">
        <is>
          <t>TOTAL DPS</t>
        </is>
      </c>
      <c r="B1876" s="6">
        <f>SUM(O1839:O1863)</f>
        <v/>
      </c>
    </row>
    <row r="1879">
      <c r="A1879" s="6" t="inlineStr">
        <is>
          <t>Stat: Silver Pendant (Equip)</t>
        </is>
      </c>
    </row>
    <row r="1880">
      <c r="A1880" s="5" t="inlineStr">
        <is>
          <t>Key</t>
        </is>
      </c>
      <c r="B1880" s="5" t="inlineStr">
        <is>
          <t>Name</t>
        </is>
      </c>
      <c r="C1880" s="5" t="inlineStr">
        <is>
          <t>Unlocked</t>
        </is>
      </c>
      <c r="D1880" s="5" t="inlineStr">
        <is>
          <t>InputLevel</t>
        </is>
      </c>
      <c r="E1880" s="5" t="inlineStr">
        <is>
          <t>Factor</t>
        </is>
      </c>
      <c r="F1880" s="5" t="inlineStr">
        <is>
          <t>CoefficientPercent</t>
        </is>
      </c>
      <c r="G1880" s="5" t="inlineStr">
        <is>
          <t>EffectiveHits</t>
        </is>
      </c>
      <c r="H1880" s="5" t="inlineStr">
        <is>
          <t>ProcProbability</t>
        </is>
      </c>
      <c r="I1880" s="5" t="inlineStr">
        <is>
          <t>MapleHeroMultiplier</t>
        </is>
      </c>
      <c r="J1880" s="5" t="inlineStr">
        <is>
          <t>BaseDamage</t>
        </is>
      </c>
      <c r="K1880" s="5" t="inlineStr">
        <is>
          <t>BaseHitDamage</t>
        </is>
      </c>
      <c r="L1880" s="5" t="inlineStr">
        <is>
          <t>NonCritAvg</t>
        </is>
      </c>
      <c r="M1880" s="5" t="inlineStr">
        <is>
          <t>CritAvg</t>
        </is>
      </c>
      <c r="N1880" s="5" t="inlineStr">
        <is>
          <t>ExpectedDamage(perHit)</t>
        </is>
      </c>
      <c r="O1880" s="5" t="inlineStr">
        <is>
          <t>DPS</t>
        </is>
      </c>
      <c r="P1880" s="5" t="inlineStr">
        <is>
          <t>% of Total</t>
        </is>
      </c>
      <c r="Q1880" s="5" t="inlineStr">
        <is>
          <t>InvCooldown</t>
        </is>
      </c>
      <c r="R1880" s="5" t="inlineStr">
        <is>
          <t>CastsInFight</t>
        </is>
      </c>
      <c r="S1880" s="5" t="inlineStr">
        <is>
          <t>HitRate(perSec)</t>
        </is>
      </c>
      <c r="U1880" t="inlineStr">
        <is>
          <t>helpers</t>
        </is>
      </c>
    </row>
    <row r="1881">
      <c r="A1881">
        <f>Skills!A2</f>
        <v/>
      </c>
      <c r="B1881">
        <f>Skills!B2</f>
        <v/>
      </c>
      <c r="C1881">
        <f>Inputs!$B$3&gt;=100</f>
        <v/>
      </c>
      <c r="D1881" t="inlineStr"/>
      <c r="E1881" t="inlineStr"/>
      <c r="F1881">
        <f>U1883+Skills!O2</f>
        <v/>
      </c>
      <c r="G1881">
        <f>Skills!G2*IF(Skills!H2&gt;0,INT(IF(Inputs!$B$39="pvp",MIN(Skills!I2,15),Skills!I2)/Skills!H2+0.000000001),1)</f>
        <v/>
      </c>
      <c r="H1881">
        <f>1-(1-Skills!J2/100)^Skills!K2</f>
        <v/>
      </c>
      <c r="I1881" t="inlineStr">
        <is>
          <t>1</t>
        </is>
      </c>
      <c r="J1881">
        <f>((Inputs!$B$6*(1+Inputs!$B$7/100))+(((Inputs!$B$13*(1+Inputs!$B$14/100))-(Inputs!$B$13*(1+Inputs!$B$14/100)))+0.25*(Inputs!$B$15-Inputs!$B$15))*(1+Inputs!$B$7/100))*(F1881/100)</f>
        <v/>
      </c>
      <c r="K1881">
        <f>J1881*(1+(((Inputs!$B$13+IF(Inputs!$B$3&gt;=38,(10*INDEX(FactorTable!$B$2:$Y$301, MATCH(ROUND(MIN(300,MAX(1,Inputs!$B$3)),0), FactorTable!$A$2:$A$301,0), 23)/1000)/100*(Inputs!$B$8*(1+Inputs!$B$9/100)),0))*(1+Inputs!$B$14/100))*0.01+Inputs!$B$15*0.0025)/100)*(1+Inputs!$B$16/100)*(1+Inputs!$B$17/100)*(5000/(6000+Inputs!$B$43*(1-(Inputs!$B$20+0)/100)))*(1+(Inputs!$B$25+((C1904=TRUE)*(F1904-Calc!F25))+((C1905=TRUE)*(F1905-Calc!F26))+B1914)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gt;=100),MIN(100,((Inputs!$B$10+0+B1908+(ArtifactsInput!$M$24-ArtifactsInput!$M$24)*CHOOSE(ArtifactsInput!$N$24+1,10,12,14,16,18,20)+IF(ArtifactsInput!$M$10,CHOOSE(ArtifactsInput!$N$10+1,15,18,21,24,27,30)*(IF(Inputs!$B$39="pvp",MIN(15,15)/15,IF(AND(Inputs!$B$39&lt;&gt;"pvp",Inputs!$B$44&gt;0),MIN(15,Inputs!$B$44)/(Inputs!$B$44),0))),0)))-100),0))*CHOOSE(ArtifactsInput!$N$42+1,0.6,0.72,0.84,0.96,1.08,1.2))),Inputs!$B$19+((C1902=TRUE)*(F1902-Calc!F23))+(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gt;=100),CHOOSE(ArtifactsInput!$N$42+1,40,48,56,64,72,80),0))))/100)*((1+(((C1892=TRUE)*F1892*IF(AND(Inputs!$B$39&lt;&gt;"pvp",Inputs!$B$44&gt;0),(((R1892-1)*MIN((Skills!T13*(1+Inputs!$B$35/100)),(1/Q1892))+MIN((Skills!T13*(1+Inputs!$B$35/100)),MAX(0,Inputs!$B$44-((R1892-1)*(1/Q1892)))))/Inputs!$B$44),IF(Inputs!$B$39="pvp",MIN((Skills!T13*(1+Inputs!$B$35/100)),15)/15,MIN(1,(Skills!T13*(1+Inputs!$B$35/100))/(1/Q1892)))))+((C1893=TRUE)*F1893*IF(AND(Inputs!$B$39&lt;&gt;"pvp",Inputs!$B$44&gt;0),(((R1893-1)*MIN((Skills!T14*(1+Inputs!$B$35/100)),(1/Q1893))+MIN((Skills!T14*(1+Inputs!$B$35/100)),MAX(0,Inputs!$B$44-((R1893-1)*(1/Q1893)))))/Inputs!$B$44),IF(Inputs!$B$39="pvp",MIN((Skills!T14*(1+Inputs!$B$35/100)),15)/15,MIN(1,(Skills!T14*(1+Inputs!$B$35/100))/(1/Q1893)))))+((C1894=TRUE)*F1894*IF(AND(Inputs!$B$39&lt;&gt;"pvp",Inputs!$B$44&gt;0),(((R1894-1)*MIN((Skills!T15*(1+Inputs!$B$35/100)),(1/Q1894))+MIN((Skills!T15*(1+Inputs!$B$35/100)),MAX(0,Inputs!$B$44-((R1894-1)*(1/Q1894)))))/Inputs!$B$44),IF(Inputs!$B$39="pvp",MIN((Skills!T15*(1+Inputs!$B$35/100)),15)/15,MIN(1,(Skills!T15*(1+Inputs!$B$35/100))/(1/Q1894)))))+((C1895=TRUE)*F1895*IF(AND(Inputs!$B$39&lt;&gt;"pvp",Inputs!$B$44&gt;0),(((R1895-1)*MIN((Skills!T16*(1+Inputs!$B$35/100)),(1/Q1895))+MIN((Skills!T16*(1+Inputs!$B$35/100)),MAX(0,Inputs!$B$44-((R1895-1)*(1/Q1895)))))/Inputs!$B$44),IF(Inputs!$B$39="pvp",MIN((Skills!T16*(1+Inputs!$B$35/100)),15)/15,MIN(1,(Skills!T16*(1+Inputs!$B$35/100))/(1/Q1895)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1881)</f>
        <v/>
      </c>
      <c r="L1881">
        <f>K1881*(MIN(Inputs!$B$23+((C1901=TRUE)*(F1901-Calc!F22)),(Inputs!$B$24+((C1903=TRUE)*(F1903-Calc!F24))+(IF(ArtifactsInput!$M$15,CHOOSE(ArtifactsInput!$N$15+1,25,30,35,40,45,50)/100*(Inputs!$B$12-Inputs!$B$12),0))))/100+(Inputs!$B$24+((C1903=TRUE)*(F1903-Calc!F24))+(IF(ArtifactsInput!$M$15,CHOOSE(ArtifactsInput!$N$15+1,25,30,35,40,45,50)/100*(Inputs!$B$12-Inputs!$B$12),0)))/100)/2</f>
        <v/>
      </c>
      <c r="M1881">
        <f>L1881*(1+(Inputs!$B$11+0+B1913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881">
        <f>L1881*(1-MIN((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1881*(MIN((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81">
        <f>(1-Summary!$B$11)*T1881+Summary!$B$11*V1881</f>
        <v/>
      </c>
      <c r="P1881">
        <f>IF(B1918=0,0,O1881/B1918)</f>
        <v/>
      </c>
      <c r="Q1881" t="n">
        <v>0</v>
      </c>
      <c r="R1881" t="n">
        <v>0</v>
      </c>
      <c r="S1881">
        <f>IFERROR(O1881/N1881,0)</f>
        <v/>
      </c>
      <c r="T1881">
        <f>IF(C1881,(Skills!G2*N1881*B1912)*IF(Inputs!$B$39="pvp",1,1+(Inputs!$B$21+0+Skills!P2+((C1896=TRUE)*F1896*IF(AND(Inputs!$B$39&lt;&gt;"pvp",Inputs!$B$44&gt;0),(((R1896-1)*MIN((Skills!T17*(1+Inputs!$B$35/100)),(1/Q1896))+MIN((Skills!T17*(1+Inputs!$B$35/100)),MAX(0,Inputs!$B$44-((R1896-1)*(1/Q1896)))))/Inputs!$B$44),IF(Inputs!$B$39="pvp",MIN((Skills!T17*(1+Inputs!$B$35/100)),15)/15,MIN(1,(Skills!T17*(1+Inputs!$B$35/100))/(1/Q1896)))))+((C1884=TRUE)*IF(Inputs!$B$3&gt;=126,10*MIN(1,15*Q1884),0))+((C1893=TRUE)*IF(Inputs!$B$39="pvp",20,(1-Summary!$B$11)*(20)+Summary!$B$11*(0))*IF(AND(Inputs!$B$39&lt;&gt;"pvp",Inputs!$B$44&gt;0),(((R1893-1)*MIN((Skills!T14*(1+Inputs!$B$35/100)),(1/Q1893))+MIN((Skills!T14*(1+Inputs!$B$35/100)),MAX(0,Inputs!$B$44-((R1893-1)*(1/Q1893)))))/Inputs!$B$44),IF(Inputs!$B$39="pvp",MIN((Skills!T14*(1+Inputs!$B$35/100)),15)/15,MIN(1,(Skills!T14*(1+Inputs!$B$35/100))/(1/Q1893)))))+((C1892=TRUE)*IF(Inputs!$B$3&gt;=82,IF(Inputs!$B$39="pvp",20,(1-Summary!$B$11)*(20)+Summary!$B$11*(0)),0)*IF(AND(Inputs!$B$39&lt;&gt;"pvp",Inputs!$B$44&gt;0),(((R1892-1)*MIN((Skills!T13*(1+Inputs!$B$35/100)),(1/Q1892))+MIN((Skills!T13*(1+Inputs!$B$35/100)),MAX(0,Inputs!$B$44-((R1892-1)*(1/Q1892)))))/Inputs!$B$44),IF(Inputs!$B$39="pvp",MIN((Skills!T13*(1+Inputs!$B$35/100)),15)/15,MIN(1,(Skills!T13*(1+Inputs!$B$35/100))/(1/Q1892)))))+(IF(AND(ArtifactsInput!$M$35,Inputs!$B$4&lt;&gt;"Chapter Hunt"),CHOOSE(ArtifactsInput!$N$35+1,15,18,21,24,27,30)*(1-EXP(-(0.2*B1910)*5)),0)+IF(AND(IF(ArtifactsInput!$M$22,FALSE,TRUE),Inputs!$B$4&lt;&gt;"Chapter Hunt"),CHOOSE(ArtifactsInput!$N$22+1,10,12,14,16,18,20)*((0*(((0.15*B1910*5))^0/1)+1*(((0.15*B1910*5))^1/1)+2*(((0.15*B1910*5))^2/2)+3*(((0.15*B1910*5))^3/6)+4*(((0.15*B1910*5))^4/24)+5*(((0.15*B1910*5))^5/120))/((((0.15*B1910*5))^0/1)+(((0.15*B1910*5))^1/1)+(((0.15*B1910*5))^2/2)+(((0.15*B1910*5))^3/6)+(((0.15*B1910*5))^4/24)+(((0.15*B1910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1881*(1-MIN(100,(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1881*(MIN(100,(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1881*(1-MIN(100,(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1881*(MIN(100,(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881">
        <f>MAX(0,(Inputs!$B$3-100)*3)+Inputs!$B$29+Inputs!$B$30</f>
        <v/>
      </c>
      <c r="V1881">
        <f>IF(C1881,(Skills!G2*N1881*B1912)*IF(Inputs!$B$39="pvp",1,(1+(Inputs!$B$22+Skills!Q2+((C1896=TRUE)*F1896*IF(AND(Inputs!$B$39&lt;&gt;"pvp",Inputs!$B$44&gt;0),(((R1896-1)*MIN((Skills!T17*(1+Inputs!$B$35/100)),(1/Q1896))+MIN((Skills!T17*(1+Inputs!$B$35/100)),MAX(0,Inputs!$B$44-((R1896-1)*(1/Q1896)))))/Inputs!$B$44),IF(Inputs!$B$39="pvp",MIN((Skills!T17*(1+Inputs!$B$35/100)),15)/15,MIN(1,(Skills!T17*(1+Inputs!$B$35/100))/(1/Q1896)))))+((C1884=TRUE)*IF(Inputs!$B$3&gt;=126,10*MIN(1,15*Q1884),0))+((C1893=TRUE)*IF(Inputs!$B$39="pvp",20,(1-Summary!$B$11)*(20)+Summary!$B$11*(0))*IF(AND(Inputs!$B$39&lt;&gt;"pvp",Inputs!$B$44&gt;0),(((R1893-1)*MIN((Skills!T14*(1+Inputs!$B$35/100)),(1/Q1893))+MIN((Skills!T14*(1+Inputs!$B$35/100)),MAX(0,Inputs!$B$44-((R1893-1)*(1/Q1893)))))/Inputs!$B$44),IF(Inputs!$B$39="pvp",MIN((Skills!T14*(1+Inputs!$B$35/100)),15)/15,MIN(1,(Skills!T14*(1+Inputs!$B$35/100))/(1/Q1893)))))+((C1892=TRUE)*IF(Inputs!$B$3&gt;=82,IF(Inputs!$B$39="pvp",20,(1-Summary!$B$11)*(20)+Summary!$B$11*(0)),0)*IF(AND(Inputs!$B$39&lt;&gt;"pvp",Inputs!$B$44&gt;0),(((R1892-1)*MIN((Skills!T13*(1+Inputs!$B$35/100)),(1/Q1892))+MIN((Skills!T13*(1+Inputs!$B$35/100)),MAX(0,Inputs!$B$44-((R1892-1)*(1/Q1892)))))/Inputs!$B$44),IF(Inputs!$B$39="pvp",MIN((Skills!T13*(1+Inputs!$B$35/100)),15)/15,MIN(1,(Skills!T13*(1+Inputs!$B$35/100))/(1/Q1892)))))+(IF(AND(ArtifactsInput!$M$35,Inputs!$B$4&lt;&gt;"Chapter Hunt"),CHOOSE(ArtifactsInput!$N$35+1,15,18,21,24,27,30)*(1-EXP(-(0.2*B1910)*5)),0)+IF(AND(IF(ArtifactsInput!$M$22,FALSE,TRUE),Inputs!$B$4&lt;&gt;"Chapter Hunt"),CHOOSE(ArtifactsInput!$N$22+1,10,12,14,16,18,20)*((0*(((0.15*B1910*5))^0/1)+1*(((0.15*B1910*5))^1/1)+2*(((0.15*B1910*5))^2/2)+3*(((0.15*B1910*5))^3/6)+4*(((0.15*B1910*5))^4/24)+5*(((0.15*B1910*5))^5/120))/((((0.15*B1910*5))^0/1)+(((0.15*B1910*5))^1/1)+(((0.15*B1910*5))^2/2)+(((0.15*B1910*5))^3/6)+(((0.15*B1910*5))^4/24)+(((0.15*B1910*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82">
      <c r="A1882">
        <f>Skills!A3</f>
        <v/>
      </c>
      <c r="B1882">
        <f>Skills!B3</f>
        <v/>
      </c>
      <c r="C1882">
        <f>Inputs!$B$3&gt;=50</f>
        <v/>
      </c>
      <c r="D1882">
        <f>IF(Skills!C3=1,60+Inputs!$B$26+Inputs!$B$30,IF(Skills!C3=2,90+Inputs!$B$27+Inputs!$B$30,IF(Skills!C3=3,120+Inputs!$B$28+Inputs!$B$30,MAX(0,(Inputs!$B$3-100)*3)+Inputs!$B$29+Inputs!$B$30)))</f>
        <v/>
      </c>
      <c r="E1882">
        <f>INDEX(FactorTable!$B$2:$Y$301, MATCH(ROUND(MIN(300,MAX(1,D1882)),0), FactorTable!$A$2:$A$301,0), Skills!M3+1)</f>
        <v/>
      </c>
      <c r="F1882">
        <f>IF(Skills!N3=TRUE,(Skills!L3/10)*(E1882/1000),Skills!L3/10)+Skills!O3</f>
        <v/>
      </c>
      <c r="G1882" t="inlineStr"/>
      <c r="H1882" t="inlineStr"/>
      <c r="I1882" t="inlineStr">
        <is>
          <t>1</t>
        </is>
      </c>
      <c r="J1882" t="inlineStr"/>
      <c r="K1882" t="inlineStr"/>
      <c r="L1882" t="inlineStr"/>
      <c r="M1882" t="inlineStr"/>
      <c r="N1882" t="inlineStr"/>
      <c r="O1882" t="inlineStr"/>
      <c r="P1882" t="inlineStr"/>
      <c r="Q1882" t="inlineStr"/>
      <c r="R1882" t="inlineStr"/>
      <c r="S1882" t="inlineStr"/>
      <c r="U1882">
        <f>INDEX(FactorTable!$B$2:$Y$301, MATCH(ROUND(MIN(300,MAX(1,U1881)),0), FactorTable!$A$2:$A$301,0), 22)</f>
        <v/>
      </c>
    </row>
    <row r="1883">
      <c r="A1883">
        <f>Skills!A4</f>
        <v/>
      </c>
      <c r="B1883">
        <f>Skills!B4</f>
        <v/>
      </c>
      <c r="C1883">
        <f>Inputs!$B$3&gt;=105</f>
        <v/>
      </c>
      <c r="D1883">
        <f>IF(Skills!C4=1,60+Inputs!$B$26+Inputs!$B$30,IF(Skills!C4=2,90+Inputs!$B$27+Inputs!$B$30,IF(Skills!C4=3,120+Inputs!$B$28+Inputs!$B$30,MAX(0,(Inputs!$B$3-100)*3)+Inputs!$B$29+Inputs!$B$30)))</f>
        <v/>
      </c>
      <c r="E1883">
        <f>INDEX(FactorTable!$B$2:$Y$301, MATCH(ROUND(MIN(300,MAX(1,D1883)),0), FactorTable!$A$2:$A$301,0), Skills!M4+1)</f>
        <v/>
      </c>
      <c r="F1883">
        <f>IF(Skills!N4=TRUE,(Skills!L4/10)*(E1883/1000),Skills!L4/10)+Skills!O4</f>
        <v/>
      </c>
      <c r="G1883" t="inlineStr"/>
      <c r="H1883" t="inlineStr"/>
      <c r="I1883" t="inlineStr">
        <is>
          <t>1</t>
        </is>
      </c>
      <c r="J1883" t="inlineStr"/>
      <c r="K1883" t="inlineStr"/>
      <c r="L1883" t="inlineStr"/>
      <c r="M1883" t="inlineStr"/>
      <c r="N1883" t="inlineStr"/>
      <c r="O1883" t="inlineStr"/>
      <c r="P1883" t="inlineStr"/>
      <c r="Q1883" t="inlineStr"/>
      <c r="R1883" t="inlineStr"/>
      <c r="S1883" t="inlineStr"/>
      <c r="U1883">
        <f>290*U1882/1000</f>
        <v/>
      </c>
    </row>
    <row r="1884">
      <c r="A1884">
        <f>Skills!A5</f>
        <v/>
      </c>
      <c r="B1884">
        <f>Skills!B5</f>
        <v/>
      </c>
      <c r="C1884">
        <f>Inputs!$B$3&gt;=117</f>
        <v/>
      </c>
      <c r="D1884">
        <f>IF(Skills!C5=1,60+Inputs!$B$26+Inputs!$B$30,IF(Skills!C5=2,90+Inputs!$B$27+Inputs!$B$30,IF(Skills!C5=3,120+Inputs!$B$28+Inputs!$B$30,MAX(0,(Inputs!$B$3-100)*3)+Inputs!$B$29+Inputs!$B$30)))</f>
        <v/>
      </c>
      <c r="E1884">
        <f>INDEX(FactorTable!$B$2:$Y$301, MATCH(ROUND(MIN(300,MAX(1,D1884)),0), FactorTable!$A$2:$A$301,0), Skills!M5+1)</f>
        <v/>
      </c>
      <c r="F1884">
        <f>IF(Skills!N5=TRUE,(Skills!L5/10)*(E1884/1000),Skills!L5/10)+Skills!O5</f>
        <v/>
      </c>
      <c r="G1884">
        <f>Skills!G5*IF(Skills!H5&gt;0,INT(IF(Inputs!$B$39="pvp",MIN(Skills!I5,15),Skills!I5)/Skills!H5+0.000000001),1)</f>
        <v/>
      </c>
      <c r="H1884">
        <f>1-(1-Skills!J5/100)^Skills!K5</f>
        <v/>
      </c>
      <c r="I1884" t="inlineStr">
        <is>
          <t>1</t>
        </is>
      </c>
      <c r="J1884">
        <f>((Inputs!$B$6*(1+Inputs!$B$7/100))+(((Inputs!$B$13*(1+Inputs!$B$14/100))-(Inputs!$B$13*(1+Inputs!$B$14/100)))+0.25*(Inputs!$B$15-Inputs!$B$15))*(1+Inputs!$B$7/100))*(F1884/100)</f>
        <v/>
      </c>
      <c r="K1884">
        <f>J1884*(1+(((Inputs!$B$13+IF(Inputs!$B$3&gt;=38,(10*INDEX(FactorTable!$B$2:$Y$301, MATCH(ROUND(MIN(300,MAX(1,Inputs!$B$3)),0), FactorTable!$A$2:$A$301,0), 23)/1000)/100*(Inputs!$B$8*(1+Inputs!$B$9/100)),0))*(1+Inputs!$B$14/100))*0.01+Inputs!$B$15*0.0025)/100)*(1+Inputs!$B$16/100)*(1+Inputs!$B$17/100)*(5000/(6000+Inputs!$B$43*(1-(Inputs!$B$20+0)/100)))*(1+(Inputs!$B$25+((C1904=TRUE)*(F1904-Calc!F25))+((C1905=TRUE)*(F1905-Calc!F26))+B1914)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gt;=100),MIN(100,((Inputs!$B$10+0+B1908+(ArtifactsInput!$M$24-ArtifactsInput!$M$24)*CHOOSE(ArtifactsInput!$N$24+1,10,12,14,16,18,20)+IF(ArtifactsInput!$M$10,CHOOSE(ArtifactsInput!$N$10+1,15,18,21,24,27,30)*(IF(Inputs!$B$39="pvp",MIN(15,15)/15,IF(AND(Inputs!$B$39&lt;&gt;"pvp",Inputs!$B$44&gt;0),MIN(15,Inputs!$B$44)/(Inputs!$B$44),0))),0)))-100),0))*CHOOSE(ArtifactsInput!$N$42+1,0.6,0.72,0.84,0.96,1.08,1.2))),Inputs!$B$19+((C1902=TRUE)*(F1902-Calc!F23))+(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gt;=100),CHOOSE(ArtifactsInput!$N$42+1,40,48,56,64,72,80),0))))/100)*((1+(((C1892=TRUE)*F1892*IF(AND(Inputs!$B$39&lt;&gt;"pvp",Inputs!$B$44&gt;0),(((R1892-1)*MIN((Skills!T13*(1+Inputs!$B$35/100)),(1/Q1892))+MIN((Skills!T13*(1+Inputs!$B$35/100)),MAX(0,Inputs!$B$44-((R1892-1)*(1/Q1892)))))/Inputs!$B$44),IF(Inputs!$B$39="pvp",MIN((Skills!T13*(1+Inputs!$B$35/100)),15)/15,MIN(1,(Skills!T13*(1+Inputs!$B$35/100))/(1/Q1892)))))+((C1893=TRUE)*F1893*IF(AND(Inputs!$B$39&lt;&gt;"pvp",Inputs!$B$44&gt;0),(((R1893-1)*MIN((Skills!T14*(1+Inputs!$B$35/100)),(1/Q1893))+MIN((Skills!T14*(1+Inputs!$B$35/100)),MAX(0,Inputs!$B$44-((R1893-1)*(1/Q1893)))))/Inputs!$B$44),IF(Inputs!$B$39="pvp",MIN((Skills!T14*(1+Inputs!$B$35/100)),15)/15,MIN(1,(Skills!T14*(1+Inputs!$B$35/100))/(1/Q1893)))))+((C1894=TRUE)*F1894*IF(AND(Inputs!$B$39&lt;&gt;"pvp",Inputs!$B$44&gt;0),(((R1894-1)*MIN((Skills!T15*(1+Inputs!$B$35/100)),(1/Q1894))+MIN((Skills!T15*(1+Inputs!$B$35/100)),MAX(0,Inputs!$B$44-((R1894-1)*(1/Q1894)))))/Inputs!$B$44),IF(Inputs!$B$39="pvp",MIN((Skills!T15*(1+Inputs!$B$35/100)),15)/15,MIN(1,(Skills!T15*(1+Inputs!$B$35/100))/(1/Q1894)))))+((C1895=TRUE)*F1895*IF(AND(Inputs!$B$39&lt;&gt;"pvp",Inputs!$B$44&gt;0),(((R1895-1)*MIN((Skills!T16*(1+Inputs!$B$35/100)),(1/Q1895))+MIN((Skills!T16*(1+Inputs!$B$35/100)),MAX(0,Inputs!$B$44-((R1895-1)*(1/Q1895)))))/Inputs!$B$44),IF(Inputs!$B$39="pvp",MIN((Skills!T16*(1+Inputs!$B$35/100)),15)/15,MIN(1,(Skills!T16*(1+Inputs!$B$35/100))/(1/Q1895)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1884)</f>
        <v/>
      </c>
      <c r="L1884">
        <f>K1884*(MIN(Inputs!$B$23+((C1901=TRUE)*(F1901-Calc!F22)),(Inputs!$B$24+((C1903=TRUE)*(F1903-Calc!F24))+(IF(ArtifactsInput!$M$15,CHOOSE(ArtifactsInput!$N$15+1,25,30,35,40,45,50)/100*(Inputs!$B$12-Inputs!$B$12),0))))/100+(Inputs!$B$24+((C1903=TRUE)*(F1903-Calc!F24))+(IF(ArtifactsInput!$M$15,CHOOSE(ArtifactsInput!$N$15+1,25,30,35,40,45,50)/100*(Inputs!$B$12-Inputs!$B$12),0)))/100)/2</f>
        <v/>
      </c>
      <c r="M1884">
        <f>L1884*(1+(Inputs!$B$11+0+B1913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884">
        <f>L1884*(1-MIN((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1884*(MIN((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84">
        <f>(1-Summary!$B$11)*T1884+Summary!$B$11*V1884</f>
        <v/>
      </c>
      <c r="P1884">
        <f>IF(B1918=0,0,O1884/B1918)</f>
        <v/>
      </c>
      <c r="Q1884">
        <f>IFERROR(1/IF(Inputs!$B$39="pvp",15,MAX(0.1,Skills!D5-IF(TRUE=TRUE,Inputs!$B$33,0))),0)</f>
        <v/>
      </c>
      <c r="R1884">
        <f>IF(AND(Inputs!$B$39&lt;&gt;"pvp",Inputs!$B$44&gt;0),IF(MAX(0,Inputs!$B$44-B1915)&lt;=0,0,(INT(MAX(0,Inputs!$B$44-B1915)/IF(Inputs!$B$39="pvp",15,MAX(0.1,Skills!D5-IF(TRUE=TRUE,Inputs!$B$33,0))))+1)),0)</f>
        <v/>
      </c>
      <c r="S1884">
        <f>IFERROR(O1884/N1884,0)</f>
        <v/>
      </c>
      <c r="T1884">
        <f>IF(C1884,(H1884*N1884*IF(AND(Inputs!$B$39&lt;&gt;"pvp",Inputs!$B$44&gt;0),((Skills!G5*((R1884-1)*IF(Skills!H5&gt;0,INT(Skills!I5/Skills!H5+0.000000001),1)+IF(Skills!H5&gt;0,INT(MIN(Skills!I5,MAX(0,MAX(0,Inputs!$B$44-B1915)-((R1884-1)*IF(Inputs!$B$39="pvp",15,MAX(0.1,Skills!D5-IF(TRUE=TRUE,Inputs!$B$33,0))))))/Skills!H5+0.000000001),1)))/Inputs!$B$44),G1884*Q1884))*IF(Inputs!$B$39="pvp",1,1+(Inputs!$B$21+0+Skills!P5+((C1896=TRUE)*F1896*IF(AND(Inputs!$B$39&lt;&gt;"pvp",Inputs!$B$44&gt;0),(((R1896-1)*MIN((Skills!T17*(1+Inputs!$B$35/100)),(1/Q1896))+MIN((Skills!T17*(1+Inputs!$B$35/100)),MAX(0,Inputs!$B$44-((R1896-1)*(1/Q1896)))))/Inputs!$B$44),IF(Inputs!$B$39="pvp",MIN((Skills!T17*(1+Inputs!$B$35/100)),15)/15,MIN(1,(Skills!T17*(1+Inputs!$B$35/100))/(1/Q1896)))))+((C1884=TRUE)*IF(Inputs!$B$3&gt;=126,10*MIN(1,15*Q1884),0))+((C1893=TRUE)*IF(Inputs!$B$39="pvp",20,(1-Summary!$B$11)*(20)+Summary!$B$11*(0))*IF(AND(Inputs!$B$39&lt;&gt;"pvp",Inputs!$B$44&gt;0),(((R1893-1)*MIN((Skills!T14*(1+Inputs!$B$35/100)),(1/Q1893))+MIN((Skills!T14*(1+Inputs!$B$35/100)),MAX(0,Inputs!$B$44-((R1893-1)*(1/Q1893)))))/Inputs!$B$44),IF(Inputs!$B$39="pvp",MIN((Skills!T14*(1+Inputs!$B$35/100)),15)/15,MIN(1,(Skills!T14*(1+Inputs!$B$35/100))/(1/Q1893)))))+((C1892=TRUE)*IF(Inputs!$B$3&gt;=82,IF(Inputs!$B$39="pvp",20,(1-Summary!$B$11)*(20)+Summary!$B$11*(0)),0)*IF(AND(Inputs!$B$39&lt;&gt;"pvp",Inputs!$B$44&gt;0),(((R1892-1)*MIN((Skills!T13*(1+Inputs!$B$35/100)),(1/Q1892))+MIN((Skills!T13*(1+Inputs!$B$35/100)),MAX(0,Inputs!$B$44-((R1892-1)*(1/Q1892)))))/Inputs!$B$44),IF(Inputs!$B$39="pvp",MIN((Skills!T13*(1+Inputs!$B$35/100)),15)/15,MIN(1,(Skills!T13*(1+Inputs!$B$35/100))/(1/Q1892)))))+(IF(AND(ArtifactsInput!$M$35,Inputs!$B$4&lt;&gt;"Chapter Hunt"),CHOOSE(ArtifactsInput!$N$35+1,15,18,21,24,27,30)*(1-EXP(-(0.2*B1910)*5)),0)+IF(AND(IF(ArtifactsInput!$M$22,FALSE,TRUE),Inputs!$B$4&lt;&gt;"Chapter Hunt"),CHOOSE(ArtifactsInput!$N$22+1,10,12,14,16,18,20)*((0*(((0.15*B1910*5))^0/1)+1*(((0.15*B1910*5))^1/1)+2*(((0.15*B1910*5))^2/2)+3*(((0.15*B1910*5))^3/6)+4*(((0.15*B1910*5))^4/24)+5*(((0.15*B1910*5))^5/120))/((((0.15*B1910*5))^0/1)+(((0.15*B1910*5))^1/1)+(((0.15*B1910*5))^2/2)+(((0.15*B1910*5))^3/6)+(((0.15*B1910*5))^4/24)+(((0.15*B1910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1884*(1-MIN(100,(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1884*(MIN(100,(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1884*(1-MIN(100,(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1884*(MIN(100,(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84">
        <f>IF(C1884,(H1884*N1884*IF(AND(Inputs!$B$39&lt;&gt;"pvp",Inputs!$B$44&gt;0),((Skills!G5*((R1884-1)*IF(Skills!H5&gt;0,INT(Skills!I5/Skills!H5+0.000000001),1)+IF(Skills!H5&gt;0,INT(MIN(Skills!I5,MAX(0,MAX(0,Inputs!$B$44-B1915)-((R1884-1)*IF(Inputs!$B$39="pvp",15,MAX(0.1,Skills!D5-IF(TRUE=TRUE,Inputs!$B$33,0))))))/Skills!H5+0.000000001),1)))/Inputs!$B$44),G1884*Q1884))*IF(Inputs!$B$39="pvp",1,(1+(Inputs!$B$22+Skills!Q5+((C1896=TRUE)*F1896*IF(AND(Inputs!$B$39&lt;&gt;"pvp",Inputs!$B$44&gt;0),(((R1896-1)*MIN((Skills!T17*(1+Inputs!$B$35/100)),(1/Q1896))+MIN((Skills!T17*(1+Inputs!$B$35/100)),MAX(0,Inputs!$B$44-((R1896-1)*(1/Q1896)))))/Inputs!$B$44),IF(Inputs!$B$39="pvp",MIN((Skills!T17*(1+Inputs!$B$35/100)),15)/15,MIN(1,(Skills!T17*(1+Inputs!$B$35/100))/(1/Q1896)))))+((C1884=TRUE)*IF(Inputs!$B$3&gt;=126,10*MIN(1,15*Q1884),0))+((C1893=TRUE)*IF(Inputs!$B$39="pvp",20,(1-Summary!$B$11)*(20)+Summary!$B$11*(0))*IF(AND(Inputs!$B$39&lt;&gt;"pvp",Inputs!$B$44&gt;0),(((R1893-1)*MIN((Skills!T14*(1+Inputs!$B$35/100)),(1/Q1893))+MIN((Skills!T14*(1+Inputs!$B$35/100)),MAX(0,Inputs!$B$44-((R1893-1)*(1/Q1893)))))/Inputs!$B$44),IF(Inputs!$B$39="pvp",MIN((Skills!T14*(1+Inputs!$B$35/100)),15)/15,MIN(1,(Skills!T14*(1+Inputs!$B$35/100))/(1/Q1893)))))+((C1892=TRUE)*IF(Inputs!$B$3&gt;=82,IF(Inputs!$B$39="pvp",20,(1-Summary!$B$11)*(20)+Summary!$B$11*(0)),0)*IF(AND(Inputs!$B$39&lt;&gt;"pvp",Inputs!$B$44&gt;0),(((R1892-1)*MIN((Skills!T13*(1+Inputs!$B$35/100)),(1/Q1892))+MIN((Skills!T13*(1+Inputs!$B$35/100)),MAX(0,Inputs!$B$44-((R1892-1)*(1/Q1892)))))/Inputs!$B$44),IF(Inputs!$B$39="pvp",MIN((Skills!T13*(1+Inputs!$B$35/100)),15)/15,MIN(1,(Skills!T13*(1+Inputs!$B$35/100))/(1/Q1892)))))+(IF(AND(ArtifactsInput!$M$35,Inputs!$B$4&lt;&gt;"Chapter Hunt"),CHOOSE(ArtifactsInput!$N$35+1,15,18,21,24,27,30)*(1-EXP(-(0.2*B1910)*5)),0)+IF(AND(IF(ArtifactsInput!$M$22,FALSE,TRUE),Inputs!$B$4&lt;&gt;"Chapter Hunt"),CHOOSE(ArtifactsInput!$N$22+1,10,12,14,16,18,20)*((0*(((0.15*B1910*5))^0/1)+1*(((0.15*B1910*5))^1/1)+2*(((0.15*B1910*5))^2/2)+3*(((0.15*B1910*5))^3/6)+4*(((0.15*B1910*5))^4/24)+5*(((0.15*B1910*5))^5/120))/((((0.15*B1910*5))^0/1)+(((0.15*B1910*5))^1/1)+(((0.15*B1910*5))^2/2)+(((0.15*B1910*5))^3/6)+(((0.15*B1910*5))^4/24)+(((0.15*B1910*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85">
      <c r="A1885">
        <f>Skills!A6</f>
        <v/>
      </c>
      <c r="B1885">
        <f>Skills!B6</f>
        <v/>
      </c>
      <c r="C1885">
        <f>Inputs!$B$3&gt;=103</f>
        <v/>
      </c>
      <c r="D1885">
        <f>IF(Skills!C6=1,60+Inputs!$B$26+Inputs!$B$30,IF(Skills!C6=2,90+Inputs!$B$27+Inputs!$B$30,IF(Skills!C6=3,120+Inputs!$B$28+Inputs!$B$30,MAX(0,(Inputs!$B$3-100)*3)+Inputs!$B$29+Inputs!$B$30)))</f>
        <v/>
      </c>
      <c r="E1885">
        <f>INDEX(FactorTable!$B$2:$Y$301, MATCH(ROUND(MIN(300,MAX(1,D1885)),0), FactorTable!$A$2:$A$301,0), Skills!M6+1)</f>
        <v/>
      </c>
      <c r="F1885">
        <f>IF(Skills!N6=TRUE,(Skills!L6/10)*(E1885/1000),Skills!L6/10)+Skills!O6</f>
        <v/>
      </c>
      <c r="G1885">
        <f>Skills!G6*IF(Skills!H6&gt;0,INT(IF(Inputs!$B$39="pvp",MIN(Skills!I6,15),Skills!I6)/Skills!H6+0.000000001),1)</f>
        <v/>
      </c>
      <c r="H1885">
        <f>1-(1-Skills!J6/100)^Skills!K6</f>
        <v/>
      </c>
      <c r="I1885" t="inlineStr">
        <is>
          <t>1</t>
        </is>
      </c>
      <c r="J1885">
        <f>((Inputs!$B$6*(1+Inputs!$B$7/100))+(((Inputs!$B$13*(1+Inputs!$B$14/100))-(Inputs!$B$13*(1+Inputs!$B$14/100)))+0.25*(Inputs!$B$15-Inputs!$B$15))*(1+Inputs!$B$7/100))*(F1885/100)</f>
        <v/>
      </c>
      <c r="K1885">
        <f>J1885*(1+(((Inputs!$B$13+IF(Inputs!$B$3&gt;=38,(10*INDEX(FactorTable!$B$2:$Y$301, MATCH(ROUND(MIN(300,MAX(1,Inputs!$B$3)),0), FactorTable!$A$2:$A$301,0), 23)/1000)/100*(Inputs!$B$8*(1+Inputs!$B$9/100)),0))*(1+Inputs!$B$14/100))*0.01+Inputs!$B$15*0.0025)/100)*(1+Inputs!$B$16/100)*(1+Inputs!$B$17/100)*(5000/(6000+Inputs!$B$43*(1-(Inputs!$B$20+0)/100)))*(1+(Inputs!$B$25+((C1904=TRUE)*(F1904-Calc!F25))+((C1905=TRUE)*(F1905-Calc!F26))+B1914)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gt;=100),MIN(100,((Inputs!$B$10+0+B1908+(ArtifactsInput!$M$24-ArtifactsInput!$M$24)*CHOOSE(ArtifactsInput!$N$24+1,10,12,14,16,18,20)+IF(ArtifactsInput!$M$10,CHOOSE(ArtifactsInput!$N$10+1,15,18,21,24,27,30)*(IF(Inputs!$B$39="pvp",MIN(15,15)/15,IF(AND(Inputs!$B$39&lt;&gt;"pvp",Inputs!$B$44&gt;0),MIN(15,Inputs!$B$44)/(Inputs!$B$44),0))),0)))-100),0))*CHOOSE(ArtifactsInput!$N$42+1,0.6,0.72,0.84,0.96,1.08,1.2))),Inputs!$B$19+((C1902=TRUE)*(F1902-Calc!F23))+(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gt;=100),CHOOSE(ArtifactsInput!$N$42+1,40,48,56,64,72,80),0))))/100)*((1+(((C1892=TRUE)*F1892*IF(AND(Inputs!$B$39&lt;&gt;"pvp",Inputs!$B$44&gt;0),(((R1892-1)*MIN((Skills!T13*(1+Inputs!$B$35/100)),(1/Q1892))+MIN((Skills!T13*(1+Inputs!$B$35/100)),MAX(0,Inputs!$B$44-((R1892-1)*(1/Q1892)))))/Inputs!$B$44),IF(Inputs!$B$39="pvp",MIN((Skills!T13*(1+Inputs!$B$35/100)),15)/15,MIN(1,(Skills!T13*(1+Inputs!$B$35/100))/(1/Q1892)))))+((C1893=TRUE)*F1893*IF(AND(Inputs!$B$39&lt;&gt;"pvp",Inputs!$B$44&gt;0),(((R1893-1)*MIN((Skills!T14*(1+Inputs!$B$35/100)),(1/Q1893))+MIN((Skills!T14*(1+Inputs!$B$35/100)),MAX(0,Inputs!$B$44-((R1893-1)*(1/Q1893)))))/Inputs!$B$44),IF(Inputs!$B$39="pvp",MIN((Skills!T14*(1+Inputs!$B$35/100)),15)/15,MIN(1,(Skills!T14*(1+Inputs!$B$35/100))/(1/Q1893)))))+((C1894=TRUE)*F1894*IF(AND(Inputs!$B$39&lt;&gt;"pvp",Inputs!$B$44&gt;0),(((R1894-1)*MIN((Skills!T15*(1+Inputs!$B$35/100)),(1/Q1894))+MIN((Skills!T15*(1+Inputs!$B$35/100)),MAX(0,Inputs!$B$44-((R1894-1)*(1/Q1894)))))/Inputs!$B$44),IF(Inputs!$B$39="pvp",MIN((Skills!T15*(1+Inputs!$B$35/100)),15)/15,MIN(1,(Skills!T15*(1+Inputs!$B$35/100))/(1/Q1894)))))+((C1895=TRUE)*F1895*IF(AND(Inputs!$B$39&lt;&gt;"pvp",Inputs!$B$44&gt;0),(((R1895-1)*MIN((Skills!T16*(1+Inputs!$B$35/100)),(1/Q1895))+MIN((Skills!T16*(1+Inputs!$B$35/100)),MAX(0,Inputs!$B$44-((R1895-1)*(1/Q1895)))))/Inputs!$B$44),IF(Inputs!$B$39="pvp",MIN((Skills!T16*(1+Inputs!$B$35/100)),15)/15,MIN(1,(Skills!T16*(1+Inputs!$B$35/100))/(1/Q1895)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1885)</f>
        <v/>
      </c>
      <c r="L1885">
        <f>K1885*(MIN(Inputs!$B$23+((C1901=TRUE)*(F1901-Calc!F22)),(Inputs!$B$24+((C1903=TRUE)*(F1903-Calc!F24))+(IF(ArtifactsInput!$M$15,CHOOSE(ArtifactsInput!$N$15+1,25,30,35,40,45,50)/100*(Inputs!$B$12-Inputs!$B$12),0))))/100+(Inputs!$B$24+((C1903=TRUE)*(F1903-Calc!F24))+(IF(ArtifactsInput!$M$15,CHOOSE(ArtifactsInput!$N$15+1,25,30,35,40,45,50)/100*(Inputs!$B$12-Inputs!$B$12),0)))/100)/2</f>
        <v/>
      </c>
      <c r="M1885">
        <f>L1885*(1+(Inputs!$B$11+0+B1913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885">
        <f>L1885*(1-MIN((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1885*(MIN((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85">
        <f>(1-Summary!$B$11)*T1885+Summary!$B$11*V1885</f>
        <v/>
      </c>
      <c r="P1885">
        <f>IF(B1918=0,0,O1885/B1918)</f>
        <v/>
      </c>
      <c r="Q1885">
        <f>IFERROR(1/IF(Inputs!$B$39="pvp",15,MAX(0.1,Skills!D6-IF(TRUE=TRUE,Inputs!$B$33,0))),0)</f>
        <v/>
      </c>
      <c r="R1885">
        <f>IF(AND(Inputs!$B$39&lt;&gt;"pvp",Inputs!$B$44&gt;0),IF(MAX(0,Inputs!$B$44-B1915)&lt;=0,0,(INT(MAX(0,Inputs!$B$44-B1915)/IF(Inputs!$B$39="pvp",15,MAX(0.1,Skills!D6-IF(TRUE=TRUE,Inputs!$B$33,0))))+1)),0)</f>
        <v/>
      </c>
      <c r="S1885">
        <f>IFERROR(O1885/N1885,0)</f>
        <v/>
      </c>
      <c r="T1885">
        <f>IF(C1885,(H1885*N1885*IF(AND(Inputs!$B$39&lt;&gt;"pvp",Inputs!$B$44&gt;0),((Skills!G6*((R1885-1)*IF(Skills!H6&gt;0,INT(Skills!I6/Skills!H6+0.000000001),1)+IF(Skills!H6&gt;0,INT(MIN(Skills!I6,MAX(0,MAX(0,Inputs!$B$44-B1915)-((R1885-1)*IF(Inputs!$B$39="pvp",15,MAX(0.1,Skills!D6-IF(TRUE=TRUE,Inputs!$B$33,0))))))/Skills!H6+0.000000001),1)))/Inputs!$B$44),G1885*Q1885))*IF(Inputs!$B$39="pvp",1,1+(Inputs!$B$21+0+Skills!P6+((C1896=TRUE)*F1896*IF(AND(Inputs!$B$39&lt;&gt;"pvp",Inputs!$B$44&gt;0),(((R1896-1)*MIN((Skills!T17*(1+Inputs!$B$35/100)),(1/Q1896))+MIN((Skills!T17*(1+Inputs!$B$35/100)),MAX(0,Inputs!$B$44-((R1896-1)*(1/Q1896)))))/Inputs!$B$44),IF(Inputs!$B$39="pvp",MIN((Skills!T17*(1+Inputs!$B$35/100)),15)/15,MIN(1,(Skills!T17*(1+Inputs!$B$35/100))/(1/Q1896)))))+((C1884=TRUE)*IF(Inputs!$B$3&gt;=126,10*MIN(1,15*Q1884),0))+((C1893=TRUE)*IF(Inputs!$B$39="pvp",20,(1-Summary!$B$11)*(20)+Summary!$B$11*(0))*IF(AND(Inputs!$B$39&lt;&gt;"pvp",Inputs!$B$44&gt;0),(((R1893-1)*MIN((Skills!T14*(1+Inputs!$B$35/100)),(1/Q1893))+MIN((Skills!T14*(1+Inputs!$B$35/100)),MAX(0,Inputs!$B$44-((R1893-1)*(1/Q1893)))))/Inputs!$B$44),IF(Inputs!$B$39="pvp",MIN((Skills!T14*(1+Inputs!$B$35/100)),15)/15,MIN(1,(Skills!T14*(1+Inputs!$B$35/100))/(1/Q1893)))))+((C1892=TRUE)*IF(Inputs!$B$3&gt;=82,IF(Inputs!$B$39="pvp",20,(1-Summary!$B$11)*(20)+Summary!$B$11*(0)),0)*IF(AND(Inputs!$B$39&lt;&gt;"pvp",Inputs!$B$44&gt;0),(((R1892-1)*MIN((Skills!T13*(1+Inputs!$B$35/100)),(1/Q1892))+MIN((Skills!T13*(1+Inputs!$B$35/100)),MAX(0,Inputs!$B$44-((R1892-1)*(1/Q1892)))))/Inputs!$B$44),IF(Inputs!$B$39="pvp",MIN((Skills!T13*(1+Inputs!$B$35/100)),15)/15,MIN(1,(Skills!T13*(1+Inputs!$B$35/100))/(1/Q1892)))))+(IF(AND(ArtifactsInput!$M$35,Inputs!$B$4&lt;&gt;"Chapter Hunt"),CHOOSE(ArtifactsInput!$N$35+1,15,18,21,24,27,30)*(1-EXP(-(0.2*B1910)*5)),0)+IF(AND(IF(ArtifactsInput!$M$22,FALSE,TRUE),Inputs!$B$4&lt;&gt;"Chapter Hunt"),CHOOSE(ArtifactsInput!$N$22+1,10,12,14,16,18,20)*((0*(((0.15*B1910*5))^0/1)+1*(((0.15*B1910*5))^1/1)+2*(((0.15*B1910*5))^2/2)+3*(((0.15*B1910*5))^3/6)+4*(((0.15*B1910*5))^4/24)+5*(((0.15*B1910*5))^5/120))/((((0.15*B1910*5))^0/1)+(((0.15*B1910*5))^1/1)+(((0.15*B1910*5))^2/2)+(((0.15*B1910*5))^3/6)+(((0.15*B1910*5))^4/24)+(((0.15*B1910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1885*(1-MIN(100,(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1885*(MIN(100,(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1885*(1-MIN(100,(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1885*(MIN(100,(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85">
        <f>IF(C1885,(H1885*N1885*IF(AND(Inputs!$B$39&lt;&gt;"pvp",Inputs!$B$44&gt;0),((Skills!G6*((R1885-1)*IF(Skills!H6&gt;0,INT(Skills!I6/Skills!H6+0.000000001),1)+IF(Skills!H6&gt;0,INT(MIN(Skills!I6,MAX(0,MAX(0,Inputs!$B$44-B1915)-((R1885-1)*IF(Inputs!$B$39="pvp",15,MAX(0.1,Skills!D6-IF(TRUE=TRUE,Inputs!$B$33,0))))))/Skills!H6+0.000000001),1)))/Inputs!$B$44),G1885*Q1885))*IF(Inputs!$B$39="pvp",1,(1+(Inputs!$B$22+Skills!Q6+((C1896=TRUE)*F1896*IF(AND(Inputs!$B$39&lt;&gt;"pvp",Inputs!$B$44&gt;0),(((R1896-1)*MIN((Skills!T17*(1+Inputs!$B$35/100)),(1/Q1896))+MIN((Skills!T17*(1+Inputs!$B$35/100)),MAX(0,Inputs!$B$44-((R1896-1)*(1/Q1896)))))/Inputs!$B$44),IF(Inputs!$B$39="pvp",MIN((Skills!T17*(1+Inputs!$B$35/100)),15)/15,MIN(1,(Skills!T17*(1+Inputs!$B$35/100))/(1/Q1896)))))+((C1884=TRUE)*IF(Inputs!$B$3&gt;=126,10*MIN(1,15*Q1884),0))+((C1893=TRUE)*IF(Inputs!$B$39="pvp",20,(1-Summary!$B$11)*(20)+Summary!$B$11*(0))*IF(AND(Inputs!$B$39&lt;&gt;"pvp",Inputs!$B$44&gt;0),(((R1893-1)*MIN((Skills!T14*(1+Inputs!$B$35/100)),(1/Q1893))+MIN((Skills!T14*(1+Inputs!$B$35/100)),MAX(0,Inputs!$B$44-((R1893-1)*(1/Q1893)))))/Inputs!$B$44),IF(Inputs!$B$39="pvp",MIN((Skills!T14*(1+Inputs!$B$35/100)),15)/15,MIN(1,(Skills!T14*(1+Inputs!$B$35/100))/(1/Q1893)))))+((C1892=TRUE)*IF(Inputs!$B$3&gt;=82,IF(Inputs!$B$39="pvp",20,(1-Summary!$B$11)*(20)+Summary!$B$11*(0)),0)*IF(AND(Inputs!$B$39&lt;&gt;"pvp",Inputs!$B$44&gt;0),(((R1892-1)*MIN((Skills!T13*(1+Inputs!$B$35/100)),(1/Q1892))+MIN((Skills!T13*(1+Inputs!$B$35/100)),MAX(0,Inputs!$B$44-((R1892-1)*(1/Q1892)))))/Inputs!$B$44),IF(Inputs!$B$39="pvp",MIN((Skills!T13*(1+Inputs!$B$35/100)),15)/15,MIN(1,(Skills!T13*(1+Inputs!$B$35/100))/(1/Q1892)))))+(IF(AND(ArtifactsInput!$M$35,Inputs!$B$4&lt;&gt;"Chapter Hunt"),CHOOSE(ArtifactsInput!$N$35+1,15,18,21,24,27,30)*(1-EXP(-(0.2*B1910)*5)),0)+IF(AND(IF(ArtifactsInput!$M$22,FALSE,TRUE),Inputs!$B$4&lt;&gt;"Chapter Hunt"),CHOOSE(ArtifactsInput!$N$22+1,10,12,14,16,18,20)*((0*(((0.15*B1910*5))^0/1)+1*(((0.15*B1910*5))^1/1)+2*(((0.15*B1910*5))^2/2)+3*(((0.15*B1910*5))^3/6)+4*(((0.15*B1910*5))^4/24)+5*(((0.15*B1910*5))^5/120))/((((0.15*B1910*5))^0/1)+(((0.15*B1910*5))^1/1)+(((0.15*B1910*5))^2/2)+(((0.15*B1910*5))^3/6)+(((0.15*B1910*5))^4/24)+(((0.15*B1910*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86">
      <c r="A1886">
        <f>Skills!A7</f>
        <v/>
      </c>
      <c r="B1886">
        <f>Skills!B7</f>
        <v/>
      </c>
      <c r="C1886">
        <f>Inputs!$B$3&gt;=40</f>
        <v/>
      </c>
      <c r="D1886">
        <f>IF(Skills!C7=1,60+Inputs!$B$26+Inputs!$B$30,IF(Skills!C7=2,90+Inputs!$B$27+Inputs!$B$30,IF(Skills!C7=3,120+Inputs!$B$28+Inputs!$B$30,MAX(0,(Inputs!$B$3-100)*3)+Inputs!$B$29+Inputs!$B$30)))</f>
        <v/>
      </c>
      <c r="E1886">
        <f>INDEX(FactorTable!$B$2:$Y$301, MATCH(ROUND(MIN(300,MAX(1,D1886)),0), FactorTable!$A$2:$A$301,0), Skills!M7+1)</f>
        <v/>
      </c>
      <c r="F1886">
        <f>IF(Skills!N7=TRUE,(Skills!L7/10)*(E1886/1000),Skills!L7/10)+Skills!O7</f>
        <v/>
      </c>
      <c r="G1886">
        <f>Skills!G7*IF(Skills!H7&gt;0,INT(IF(Inputs!$B$39="pvp",MIN(Skills!I7,15),Skills!I7)/Skills!H7+0.000000001),1)</f>
        <v/>
      </c>
      <c r="H1886">
        <f>1-(1-Skills!J7/100)^Skills!K7</f>
        <v/>
      </c>
      <c r="I1886" t="inlineStr">
        <is>
          <t>1</t>
        </is>
      </c>
      <c r="J1886">
        <f>((Inputs!$B$6*(1+Inputs!$B$7/100))+(((Inputs!$B$13*(1+Inputs!$B$14/100))-(Inputs!$B$13*(1+Inputs!$B$14/100)))+0.25*(Inputs!$B$15-Inputs!$B$15))*(1+Inputs!$B$7/100))*(F1886/100)</f>
        <v/>
      </c>
      <c r="K1886">
        <f>J1886*(1+(((Inputs!$B$13+IF(Inputs!$B$3&gt;=38,(10*INDEX(FactorTable!$B$2:$Y$301, MATCH(ROUND(MIN(300,MAX(1,Inputs!$B$3)),0), FactorTable!$A$2:$A$301,0), 23)/1000)/100*(Inputs!$B$8*(1+Inputs!$B$9/100)),0))*(1+Inputs!$B$14/100))*0.01+Inputs!$B$15*0.0025)/100)*(1+Inputs!$B$16/100)*(1+Inputs!$B$17/100)*(5000/(6000+Inputs!$B$43*(1-(Inputs!$B$20+0)/100)))*(1+(Inputs!$B$25+((C1904=TRUE)*(F1904-Calc!F25))+((C1905=TRUE)*(F1905-Calc!F26))+B1914)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1890=TRUE,F1890,0)/100)*(1+(IF(Skills!A7="DARK_IMPALE",Inputs!$B$18+0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gt;=100),MIN(100,((Inputs!$B$10+0+B1908+(ArtifactsInput!$M$24-ArtifactsInput!$M$24)*CHOOSE(ArtifactsInput!$N$24+1,10,12,14,16,18,20)+IF(ArtifactsInput!$M$10,CHOOSE(ArtifactsInput!$N$10+1,15,18,21,24,27,30)*(IF(Inputs!$B$39="pvp",MIN(15,15)/15,IF(AND(Inputs!$B$39&lt;&gt;"pvp",Inputs!$B$44&gt;0),MIN(15,Inputs!$B$44)/(Inputs!$B$44),0))),0)))-100),0))*CHOOSE(ArtifactsInput!$N$42+1,0.6,0.72,0.84,0.96,1.08,1.2))),Inputs!$B$19+((C1902=TRUE)*(F1902-Calc!F23))+(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gt;=100),CHOOSE(ArtifactsInput!$N$42+1,40,48,56,64,72,80),0))))/100)*((1+(((C1892=TRUE)*F1892*IF(AND(Inputs!$B$39&lt;&gt;"pvp",Inputs!$B$44&gt;0),(((R1892-1)*MIN((Skills!T13*(1+Inputs!$B$35/100)),(1/Q1892))+MIN((Skills!T13*(1+Inputs!$B$35/100)),MAX(0,Inputs!$B$44-((R1892-1)*(1/Q1892)))))/Inputs!$B$44),IF(Inputs!$B$39="pvp",MIN((Skills!T13*(1+Inputs!$B$35/100)),15)/15,MIN(1,(Skills!T13*(1+Inputs!$B$35/100))/(1/Q1892)))))+((C1893=TRUE)*F1893*IF(AND(Inputs!$B$39&lt;&gt;"pvp",Inputs!$B$44&gt;0),(((R1893-1)*MIN((Skills!T14*(1+Inputs!$B$35/100)),(1/Q1893))+MIN((Skills!T14*(1+Inputs!$B$35/100)),MAX(0,Inputs!$B$44-((R1893-1)*(1/Q1893)))))/Inputs!$B$44),IF(Inputs!$B$39="pvp",MIN((Skills!T14*(1+Inputs!$B$35/100)),15)/15,MIN(1,(Skills!T14*(1+Inputs!$B$35/100))/(1/Q1893)))))+((C1894=TRUE)*F1894*IF(AND(Inputs!$B$39&lt;&gt;"pvp",Inputs!$B$44&gt;0),(((R1894-1)*MIN((Skills!T15*(1+Inputs!$B$35/100)),(1/Q1894))+MIN((Skills!T15*(1+Inputs!$B$35/100)),MAX(0,Inputs!$B$44-((R1894-1)*(1/Q1894)))))/Inputs!$B$44),IF(Inputs!$B$39="pvp",MIN((Skills!T15*(1+Inputs!$B$35/100)),15)/15,MIN(1,(Skills!T15*(1+Inputs!$B$35/100))/(1/Q1894)))))+((C1895=TRUE)*F1895*IF(AND(Inputs!$B$39&lt;&gt;"pvp",Inputs!$B$44&gt;0),(((R1895-1)*MIN((Skills!T16*(1+Inputs!$B$35/100)),(1/Q1895))+MIN((Skills!T16*(1+Inputs!$B$35/100)),MAX(0,Inputs!$B$44-((R1895-1)*(1/Q1895)))))/Inputs!$B$44),IF(Inputs!$B$39="pvp",MIN((Skills!T16*(1+Inputs!$B$35/100)),15)/15,MIN(1,(Skills!T16*(1+Inputs!$B$35/100))/(1/Q1895)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1886)</f>
        <v/>
      </c>
      <c r="L1886">
        <f>K1886*(MIN(Inputs!$B$23+((C1901=TRUE)*(F1901-Calc!F22)),(Inputs!$B$24+((C1903=TRUE)*(F1903-Calc!F24))+(IF(ArtifactsInput!$M$15,CHOOSE(ArtifactsInput!$N$15+1,25,30,35,40,45,50)/100*(Inputs!$B$12-Inputs!$B$12),0))))/100+(Inputs!$B$24+((C1903=TRUE)*(F1903-Calc!F24))+(IF(ArtifactsInput!$M$15,CHOOSE(ArtifactsInput!$N$15+1,25,30,35,40,45,50)/100*(Inputs!$B$12-Inputs!$B$12),0)))/100)/2</f>
        <v/>
      </c>
      <c r="M1886">
        <f>L1886*(1+(Inputs!$B$11+0+B1913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886">
        <f>L1886*(1-MIN((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1886*(MIN((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86">
        <f>(1-Summary!$B$11)*T1886+Summary!$B$11*V1886</f>
        <v/>
      </c>
      <c r="P1886">
        <f>IF(B1918=0,0,O1886/B1918)</f>
        <v/>
      </c>
      <c r="Q1886">
        <f>IFERROR(1/IF(Inputs!$B$39="pvp",15,MAX(0.1,Skills!D7-IF(TRUE=TRUE,Inputs!$B$33,0))),0)</f>
        <v/>
      </c>
      <c r="R1886">
        <f>IF(AND(Inputs!$B$39&lt;&gt;"pvp",Inputs!$B$44&gt;0),IF(MAX(0,Inputs!$B$44-B1915)&lt;=0,0,(INT(MAX(0,Inputs!$B$44-B1915)/IF(Inputs!$B$39="pvp",15,MAX(0.1,Skills!D7-IF(TRUE=TRUE,Inputs!$B$33,0))))+1)),0)</f>
        <v/>
      </c>
      <c r="S1886">
        <f>IFERROR(O1886/N1886,0)</f>
        <v/>
      </c>
      <c r="T1886">
        <f>IF(C1886,(H1886*N1886*IF(AND(Inputs!$B$39&lt;&gt;"pvp",Inputs!$B$44&gt;0),((Skills!G7*((R1886-1)*IF(Skills!H7&gt;0,INT(Skills!I7/Skills!H7+0.000000001),1)+IF(Skills!H7&gt;0,INT(MIN(Skills!I7,MAX(0,MAX(0,Inputs!$B$44-B1915)-((R1886-1)*IF(Inputs!$B$39="pvp",15,MAX(0.1,Skills!D7-IF(TRUE=TRUE,Inputs!$B$33,0))))))/Skills!H7+0.000000001),1)))/Inputs!$B$44),G1886*Q1886))*IF(Inputs!$B$39="pvp",1,1+(Inputs!$B$21+0+Skills!P7+((C1896=TRUE)*F1896*IF(AND(Inputs!$B$39&lt;&gt;"pvp",Inputs!$B$44&gt;0),(((R1896-1)*MIN((Skills!T17*(1+Inputs!$B$35/100)),(1/Q1896))+MIN((Skills!T17*(1+Inputs!$B$35/100)),MAX(0,Inputs!$B$44-((R1896-1)*(1/Q1896)))))/Inputs!$B$44),IF(Inputs!$B$39="pvp",MIN((Skills!T17*(1+Inputs!$B$35/100)),15)/15,MIN(1,(Skills!T17*(1+Inputs!$B$35/100))/(1/Q1896)))))+((C1884=TRUE)*IF(Inputs!$B$3&gt;=126,10*MIN(1,15*Q1884),0))+((C1893=TRUE)*IF(Inputs!$B$39="pvp",20,(1-Summary!$B$11)*(20)+Summary!$B$11*(0))*IF(AND(Inputs!$B$39&lt;&gt;"pvp",Inputs!$B$44&gt;0),(((R1893-1)*MIN((Skills!T14*(1+Inputs!$B$35/100)),(1/Q1893))+MIN((Skills!T14*(1+Inputs!$B$35/100)),MAX(0,Inputs!$B$44-((R1893-1)*(1/Q1893)))))/Inputs!$B$44),IF(Inputs!$B$39="pvp",MIN((Skills!T14*(1+Inputs!$B$35/100)),15)/15,MIN(1,(Skills!T14*(1+Inputs!$B$35/100))/(1/Q1893)))))+((C1892=TRUE)*IF(Inputs!$B$3&gt;=82,IF(Inputs!$B$39="pvp",20,(1-Summary!$B$11)*(20)+Summary!$B$11*(0)),0)*IF(AND(Inputs!$B$39&lt;&gt;"pvp",Inputs!$B$44&gt;0),(((R1892-1)*MIN((Skills!T13*(1+Inputs!$B$35/100)),(1/Q1892))+MIN((Skills!T13*(1+Inputs!$B$35/100)),MAX(0,Inputs!$B$44-((R1892-1)*(1/Q1892)))))/Inputs!$B$44),IF(Inputs!$B$39="pvp",MIN((Skills!T13*(1+Inputs!$B$35/100)),15)/15,MIN(1,(Skills!T13*(1+Inputs!$B$35/100))/(1/Q1892)))))+(IF(AND(ArtifactsInput!$M$35,Inputs!$B$4&lt;&gt;"Chapter Hunt"),CHOOSE(ArtifactsInput!$N$35+1,15,18,21,24,27,30)*(1-EXP(-(0.2*B1910)*5)),0)+IF(AND(IF(ArtifactsInput!$M$22,FALSE,TRUE),Inputs!$B$4&lt;&gt;"Chapter Hunt"),CHOOSE(ArtifactsInput!$N$22+1,10,12,14,16,18,20)*((0*(((0.15*B1910*5))^0/1)+1*(((0.15*B1910*5))^1/1)+2*(((0.15*B1910*5))^2/2)+3*(((0.15*B1910*5))^3/6)+4*(((0.15*B1910*5))^4/24)+5*(((0.15*B1910*5))^5/120))/((((0.15*B1910*5))^0/1)+(((0.15*B1910*5))^1/1)+(((0.15*B1910*5))^2/2)+(((0.15*B1910*5))^3/6)+(((0.15*B1910*5))^4/24)+(((0.15*B1910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1886*(1-MIN(100,(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1886*(MIN(100,(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1886*(1-MIN(100,(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1886*(MIN(100,(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86">
        <f>IF(C1886,(H1886*N1886*IF(AND(Inputs!$B$39&lt;&gt;"pvp",Inputs!$B$44&gt;0),((Skills!G7*((R1886-1)*IF(Skills!H7&gt;0,INT(Skills!I7/Skills!H7+0.000000001),1)+IF(Skills!H7&gt;0,INT(MIN(Skills!I7,MAX(0,MAX(0,Inputs!$B$44-B1915)-((R1886-1)*IF(Inputs!$B$39="pvp",15,MAX(0.1,Skills!D7-IF(TRUE=TRUE,Inputs!$B$33,0))))))/Skills!H7+0.000000001),1)))/Inputs!$B$44),G1886*Q1886))*IF(Inputs!$B$39="pvp",1,(1+(Inputs!$B$22+Skills!Q7+((C1896=TRUE)*F1896*IF(AND(Inputs!$B$39&lt;&gt;"pvp",Inputs!$B$44&gt;0),(((R1896-1)*MIN((Skills!T17*(1+Inputs!$B$35/100)),(1/Q1896))+MIN((Skills!T17*(1+Inputs!$B$35/100)),MAX(0,Inputs!$B$44-((R1896-1)*(1/Q1896)))))/Inputs!$B$44),IF(Inputs!$B$39="pvp",MIN((Skills!T17*(1+Inputs!$B$35/100)),15)/15,MIN(1,(Skills!T17*(1+Inputs!$B$35/100))/(1/Q1896)))))+((C1884=TRUE)*IF(Inputs!$B$3&gt;=126,10*MIN(1,15*Q1884),0))+((C1893=TRUE)*IF(Inputs!$B$39="pvp",20,(1-Summary!$B$11)*(20)+Summary!$B$11*(0))*IF(AND(Inputs!$B$39&lt;&gt;"pvp",Inputs!$B$44&gt;0),(((R1893-1)*MIN((Skills!T14*(1+Inputs!$B$35/100)),(1/Q1893))+MIN((Skills!T14*(1+Inputs!$B$35/100)),MAX(0,Inputs!$B$44-((R1893-1)*(1/Q1893)))))/Inputs!$B$44),IF(Inputs!$B$39="pvp",MIN((Skills!T14*(1+Inputs!$B$35/100)),15)/15,MIN(1,(Skills!T14*(1+Inputs!$B$35/100))/(1/Q1893)))))+((C1892=TRUE)*IF(Inputs!$B$3&gt;=82,IF(Inputs!$B$39="pvp",20,(1-Summary!$B$11)*(20)+Summary!$B$11*(0)),0)*IF(AND(Inputs!$B$39&lt;&gt;"pvp",Inputs!$B$44&gt;0),(((R1892-1)*MIN((Skills!T13*(1+Inputs!$B$35/100)),(1/Q1892))+MIN((Skills!T13*(1+Inputs!$B$35/100)),MAX(0,Inputs!$B$44-((R1892-1)*(1/Q1892)))))/Inputs!$B$44),IF(Inputs!$B$39="pvp",MIN((Skills!T13*(1+Inputs!$B$35/100)),15)/15,MIN(1,(Skills!T13*(1+Inputs!$B$35/100))/(1/Q1892)))))+(IF(AND(ArtifactsInput!$M$35,Inputs!$B$4&lt;&gt;"Chapter Hunt"),CHOOSE(ArtifactsInput!$N$35+1,15,18,21,24,27,30)*(1-EXP(-(0.2*B1910)*5)),0)+IF(AND(IF(ArtifactsInput!$M$22,FALSE,TRUE),Inputs!$B$4&lt;&gt;"Chapter Hunt"),CHOOSE(ArtifactsInput!$N$22+1,10,12,14,16,18,20)*((0*(((0.15*B1910*5))^0/1)+1*(((0.15*B1910*5))^1/1)+2*(((0.15*B1910*5))^2/2)+3*(((0.15*B1910*5))^3/6)+4*(((0.15*B1910*5))^4/24)+5*(((0.15*B1910*5))^5/120))/((((0.15*B1910*5))^0/1)+(((0.15*B1910*5))^1/1)+(((0.15*B1910*5))^2/2)+(((0.15*B1910*5))^3/6)+(((0.15*B1910*5))^4/24)+(((0.15*B1910*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87">
      <c r="A1887">
        <f>Skills!A8</f>
        <v/>
      </c>
      <c r="B1887">
        <f>Skills!B8</f>
        <v/>
      </c>
      <c r="C1887">
        <f>Inputs!$B$3&gt;=75</f>
        <v/>
      </c>
      <c r="D1887">
        <f>IF(Skills!C8=1,60+Inputs!$B$26+Inputs!$B$30,IF(Skills!C8=2,90+Inputs!$B$27+Inputs!$B$30,IF(Skills!C8=3,120+Inputs!$B$28+Inputs!$B$30,MAX(0,(Inputs!$B$3-100)*3)+Inputs!$B$29+Inputs!$B$30)))</f>
        <v/>
      </c>
      <c r="E1887">
        <f>INDEX(FactorTable!$B$2:$Y$301, MATCH(ROUND(MIN(300,MAX(1,D1887)),0), FactorTable!$A$2:$A$301,0), Skills!M8+1)</f>
        <v/>
      </c>
      <c r="F1887">
        <f>IF(Skills!N8=TRUE,(Skills!L8/10)*(E1887/1000),Skills!L8/10)+Skills!O8</f>
        <v/>
      </c>
      <c r="G1887" t="inlineStr"/>
      <c r="H1887" t="inlineStr"/>
      <c r="I1887" t="inlineStr">
        <is>
          <t>1</t>
        </is>
      </c>
      <c r="J1887" t="inlineStr"/>
      <c r="K1887" t="inlineStr"/>
      <c r="L1887" t="inlineStr"/>
      <c r="M1887" t="inlineStr"/>
      <c r="N1887" t="inlineStr"/>
      <c r="O1887" t="inlineStr"/>
      <c r="P1887" t="inlineStr"/>
      <c r="Q1887" t="inlineStr"/>
      <c r="R1887" t="inlineStr"/>
      <c r="S1887" t="inlineStr"/>
    </row>
    <row r="1888">
      <c r="A1888">
        <f>Skills!A9</f>
        <v/>
      </c>
      <c r="B1888">
        <f>Skills!B9</f>
        <v/>
      </c>
      <c r="C1888">
        <f>Inputs!$B$3&gt;=60</f>
        <v/>
      </c>
      <c r="D1888">
        <f>IF(Skills!C9=1,60+Inputs!$B$26+Inputs!$B$30,IF(Skills!C9=2,90+Inputs!$B$27+Inputs!$B$30,IF(Skills!C9=3,120+Inputs!$B$28+Inputs!$B$30,MAX(0,(Inputs!$B$3-100)*3)+Inputs!$B$29+Inputs!$B$30)))</f>
        <v/>
      </c>
      <c r="E1888">
        <f>INDEX(FactorTable!$B$2:$Y$301, MATCH(ROUND(MIN(300,MAX(1,D1888)),0), FactorTable!$A$2:$A$301,0), Skills!M9+1)</f>
        <v/>
      </c>
      <c r="F1888">
        <f>IF(Skills!N9=TRUE,(Skills!L9/10)*(E1888/1000),Skills!L9/10)+Skills!O9</f>
        <v/>
      </c>
      <c r="G1888">
        <f>Skills!G9*IF(Skills!H9&gt;0,INT(IF(Inputs!$B$39="pvp",MIN(Skills!I9,15),Skills!I9)/Skills!H9+0.000000001),1)</f>
        <v/>
      </c>
      <c r="H1888">
        <f>1-(1-Skills!J9/100)^Skills!K9</f>
        <v/>
      </c>
      <c r="I1888" t="inlineStr">
        <is>
          <t>1</t>
        </is>
      </c>
      <c r="J1888">
        <f>((Inputs!$B$6*(1+Inputs!$B$7/100))+(((Inputs!$B$13*(1+Inputs!$B$14/100))-(Inputs!$B$13*(1+Inputs!$B$14/100)))+0.25*(Inputs!$B$15-Inputs!$B$15))*(1+Inputs!$B$7/100))*(F1888/100)</f>
        <v/>
      </c>
      <c r="K1888">
        <f>J1888*(1+(((Inputs!$B$13+IF(Inputs!$B$3&gt;=38,(10*INDEX(FactorTable!$B$2:$Y$301, MATCH(ROUND(MIN(300,MAX(1,Inputs!$B$3)),0), FactorTable!$A$2:$A$301,0), 23)/1000)/100*(Inputs!$B$8*(1+Inputs!$B$9/100)),0))*(1+Inputs!$B$14/100))*0.01+Inputs!$B$15*0.0025)/100)*(1+Inputs!$B$16/100)*(1+Inputs!$B$17/100)*(5000/(6000+Inputs!$B$43*(1-(Inputs!$B$20+0)/100)))*(1+(Inputs!$B$25+((C1904=TRUE)*(F1904-Calc!F25))+((C1905=TRUE)*(F1905-Calc!F26))+B1914)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1890=TRUE,F1890,0)/100)*(1+(IF(Skills!A9="DARK_IMPALE",Inputs!$B$18+0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gt;=100),MIN(100,((Inputs!$B$10+0+B1908+(ArtifactsInput!$M$24-ArtifactsInput!$M$24)*CHOOSE(ArtifactsInput!$N$24+1,10,12,14,16,18,20)+IF(ArtifactsInput!$M$10,CHOOSE(ArtifactsInput!$N$10+1,15,18,21,24,27,30)*(IF(Inputs!$B$39="pvp",MIN(15,15)/15,IF(AND(Inputs!$B$39&lt;&gt;"pvp",Inputs!$B$44&gt;0),MIN(15,Inputs!$B$44)/(Inputs!$B$44),0))),0)))-100),0))*CHOOSE(ArtifactsInput!$N$42+1,0.6,0.72,0.84,0.96,1.08,1.2))),Inputs!$B$19+((C1902=TRUE)*(F1902-Calc!F23))+(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gt;=100),CHOOSE(ArtifactsInput!$N$42+1,40,48,56,64,72,80),0))))/100)*((1+(((C1892=TRUE)*F1892*IF(AND(Inputs!$B$39&lt;&gt;"pvp",Inputs!$B$44&gt;0),(((R1892-1)*MIN((Skills!T13*(1+Inputs!$B$35/100)),(1/Q1892))+MIN((Skills!T13*(1+Inputs!$B$35/100)),MAX(0,Inputs!$B$44-((R1892-1)*(1/Q1892)))))/Inputs!$B$44),IF(Inputs!$B$39="pvp",MIN((Skills!T13*(1+Inputs!$B$35/100)),15)/15,MIN(1,(Skills!T13*(1+Inputs!$B$35/100))/(1/Q1892)))))+((C1893=TRUE)*F1893*IF(AND(Inputs!$B$39&lt;&gt;"pvp",Inputs!$B$44&gt;0),(((R1893-1)*MIN((Skills!T14*(1+Inputs!$B$35/100)),(1/Q1893))+MIN((Skills!T14*(1+Inputs!$B$35/100)),MAX(0,Inputs!$B$44-((R1893-1)*(1/Q1893)))))/Inputs!$B$44),IF(Inputs!$B$39="pvp",MIN((Skills!T14*(1+Inputs!$B$35/100)),15)/15,MIN(1,(Skills!T14*(1+Inputs!$B$35/100))/(1/Q1893)))))+((C1894=TRUE)*F1894*IF(AND(Inputs!$B$39&lt;&gt;"pvp",Inputs!$B$44&gt;0),(((R1894-1)*MIN((Skills!T15*(1+Inputs!$B$35/100)),(1/Q1894))+MIN((Skills!T15*(1+Inputs!$B$35/100)),MAX(0,Inputs!$B$44-((R1894-1)*(1/Q1894)))))/Inputs!$B$44),IF(Inputs!$B$39="pvp",MIN((Skills!T15*(1+Inputs!$B$35/100)),15)/15,MIN(1,(Skills!T15*(1+Inputs!$B$35/100))/(1/Q1894)))))+((C1895=TRUE)*F1895*IF(AND(Inputs!$B$39&lt;&gt;"pvp",Inputs!$B$44&gt;0),(((R1895-1)*MIN((Skills!T16*(1+Inputs!$B$35/100)),(1/Q1895))+MIN((Skills!T16*(1+Inputs!$B$35/100)),MAX(0,Inputs!$B$44-((R1895-1)*(1/Q1895)))))/Inputs!$B$44),IF(Inputs!$B$39="pvp",MIN((Skills!T16*(1+Inputs!$B$35/100)),15)/15,MIN(1,(Skills!T16*(1+Inputs!$B$35/100))/(1/Q1895)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1888)</f>
        <v/>
      </c>
      <c r="L1888">
        <f>K1888*(MIN(Inputs!$B$23+((C1901=TRUE)*(F1901-Calc!F22)),(Inputs!$B$24+((C1903=TRUE)*(F1903-Calc!F24))+(IF(ArtifactsInput!$M$15,CHOOSE(ArtifactsInput!$N$15+1,25,30,35,40,45,50)/100*(Inputs!$B$12-Inputs!$B$12),0))))/100+(Inputs!$B$24+((C1903=TRUE)*(F1903-Calc!F24))+(IF(ArtifactsInput!$M$15,CHOOSE(ArtifactsInput!$N$15+1,25,30,35,40,45,50)/100*(Inputs!$B$12-Inputs!$B$12),0)))/100)/2</f>
        <v/>
      </c>
      <c r="M1888">
        <f>L1888*(1+(Inputs!$B$11+0+B1913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888">
        <f>L1888*(1-MIN((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1888*(MIN((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88">
        <f>(1-Summary!$B$11)*T1888+Summary!$B$11*V1888</f>
        <v/>
      </c>
      <c r="P1888">
        <f>IF(B1918=0,0,O1888/B1918)</f>
        <v/>
      </c>
      <c r="Q1888">
        <f>IFERROR(1/IF(Inputs!$B$39="pvp",15,MAX(0.1,Skills!D9-IF(TRUE=TRUE,Inputs!$B$33,0))),0)</f>
        <v/>
      </c>
      <c r="R1888">
        <f>IF(AND(Inputs!$B$39&lt;&gt;"pvp",Inputs!$B$44&gt;0),IF(MAX(0,Inputs!$B$44-B1915)&lt;=0,0,(INT(MAX(0,Inputs!$B$44-B1915)/IF(Inputs!$B$39="pvp",15,MAX(0.1,Skills!D9-IF(TRUE=TRUE,Inputs!$B$33,0))))+1)),0)</f>
        <v/>
      </c>
      <c r="S1888">
        <f>IFERROR(O1888/N1888,0)</f>
        <v/>
      </c>
      <c r="T1888">
        <f>IF(C1888,(H1888*N1888*IF(AND(Inputs!$B$39&lt;&gt;"pvp",Inputs!$B$44&gt;0),((Skills!G9*((R1888-1)*IF(Skills!H9&gt;0,INT(Skills!I9/Skills!H9+0.000000001),1)+IF(Skills!H9&gt;0,INT(MIN(Skills!I9,MAX(0,MAX(0,Inputs!$B$44-B1915)-((R1888-1)*IF(Inputs!$B$39="pvp",15,MAX(0.1,Skills!D9-IF(TRUE=TRUE,Inputs!$B$33,0))))))/Skills!H9+0.000000001),1)))/Inputs!$B$44),G1888*Q1888))*IF(Inputs!$B$39="pvp",1,1+(Inputs!$B$21+0+Skills!P9+((C1896=TRUE)*F1896*IF(AND(Inputs!$B$39&lt;&gt;"pvp",Inputs!$B$44&gt;0),(((R1896-1)*MIN((Skills!T17*(1+Inputs!$B$35/100)),(1/Q1896))+MIN((Skills!T17*(1+Inputs!$B$35/100)),MAX(0,Inputs!$B$44-((R1896-1)*(1/Q1896)))))/Inputs!$B$44),IF(Inputs!$B$39="pvp",MIN((Skills!T17*(1+Inputs!$B$35/100)),15)/15,MIN(1,(Skills!T17*(1+Inputs!$B$35/100))/(1/Q1896)))))+((C1884=TRUE)*IF(Inputs!$B$3&gt;=126,10*MIN(1,15*Q1884),0))+((C1893=TRUE)*IF(Inputs!$B$39="pvp",20,(1-Summary!$B$11)*(20)+Summary!$B$11*(0))*IF(AND(Inputs!$B$39&lt;&gt;"pvp",Inputs!$B$44&gt;0),(((R1893-1)*MIN((Skills!T14*(1+Inputs!$B$35/100)),(1/Q1893))+MIN((Skills!T14*(1+Inputs!$B$35/100)),MAX(0,Inputs!$B$44-((R1893-1)*(1/Q1893)))))/Inputs!$B$44),IF(Inputs!$B$39="pvp",MIN((Skills!T14*(1+Inputs!$B$35/100)),15)/15,MIN(1,(Skills!T14*(1+Inputs!$B$35/100))/(1/Q1893)))))+((C1892=TRUE)*IF(Inputs!$B$3&gt;=82,IF(Inputs!$B$39="pvp",20,(1-Summary!$B$11)*(20)+Summary!$B$11*(0)),0)*IF(AND(Inputs!$B$39&lt;&gt;"pvp",Inputs!$B$44&gt;0),(((R1892-1)*MIN((Skills!T13*(1+Inputs!$B$35/100)),(1/Q1892))+MIN((Skills!T13*(1+Inputs!$B$35/100)),MAX(0,Inputs!$B$44-((R1892-1)*(1/Q1892)))))/Inputs!$B$44),IF(Inputs!$B$39="pvp",MIN((Skills!T13*(1+Inputs!$B$35/100)),15)/15,MIN(1,(Skills!T13*(1+Inputs!$B$35/100))/(1/Q1892)))))+(IF(AND(ArtifactsInput!$M$35,Inputs!$B$4&lt;&gt;"Chapter Hunt"),CHOOSE(ArtifactsInput!$N$35+1,15,18,21,24,27,30)*(1-EXP(-(0.2*B1910)*5)),0)+IF(AND(IF(ArtifactsInput!$M$22,FALSE,TRUE),Inputs!$B$4&lt;&gt;"Chapter Hunt"),CHOOSE(ArtifactsInput!$N$22+1,10,12,14,16,18,20)*((0*(((0.15*B1910*5))^0/1)+1*(((0.15*B1910*5))^1/1)+2*(((0.15*B1910*5))^2/2)+3*(((0.15*B1910*5))^3/6)+4*(((0.15*B1910*5))^4/24)+5*(((0.15*B1910*5))^5/120))/((((0.15*B1910*5))^0/1)+(((0.15*B1910*5))^1/1)+(((0.15*B1910*5))^2/2)+(((0.15*B1910*5))^3/6)+(((0.15*B1910*5))^4/24)+(((0.15*B1910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1888*(1-MIN(100,(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1888*(MIN(100,(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1888*(1-MIN(100,(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1888*(MIN(100,(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88">
        <f>IF(C1888,(H1888*N1888*IF(AND(Inputs!$B$39&lt;&gt;"pvp",Inputs!$B$44&gt;0),((Skills!G9*((R1888-1)*IF(Skills!H9&gt;0,INT(Skills!I9/Skills!H9+0.000000001),1)+IF(Skills!H9&gt;0,INT(MIN(Skills!I9,MAX(0,MAX(0,Inputs!$B$44-B1915)-((R1888-1)*IF(Inputs!$B$39="pvp",15,MAX(0.1,Skills!D9-IF(TRUE=TRUE,Inputs!$B$33,0))))))/Skills!H9+0.000000001),1)))/Inputs!$B$44),G1888*Q1888))*IF(Inputs!$B$39="pvp",1,(1+(Inputs!$B$22+Skills!Q9+((C1896=TRUE)*F1896*IF(AND(Inputs!$B$39&lt;&gt;"pvp",Inputs!$B$44&gt;0),(((R1896-1)*MIN((Skills!T17*(1+Inputs!$B$35/100)),(1/Q1896))+MIN((Skills!T17*(1+Inputs!$B$35/100)),MAX(0,Inputs!$B$44-((R1896-1)*(1/Q1896)))))/Inputs!$B$44),IF(Inputs!$B$39="pvp",MIN((Skills!T17*(1+Inputs!$B$35/100)),15)/15,MIN(1,(Skills!T17*(1+Inputs!$B$35/100))/(1/Q1896)))))+((C1884=TRUE)*IF(Inputs!$B$3&gt;=126,10*MIN(1,15*Q1884),0))+((C1893=TRUE)*IF(Inputs!$B$39="pvp",20,(1-Summary!$B$11)*(20)+Summary!$B$11*(0))*IF(AND(Inputs!$B$39&lt;&gt;"pvp",Inputs!$B$44&gt;0),(((R1893-1)*MIN((Skills!T14*(1+Inputs!$B$35/100)),(1/Q1893))+MIN((Skills!T14*(1+Inputs!$B$35/100)),MAX(0,Inputs!$B$44-((R1893-1)*(1/Q1893)))))/Inputs!$B$44),IF(Inputs!$B$39="pvp",MIN((Skills!T14*(1+Inputs!$B$35/100)),15)/15,MIN(1,(Skills!T14*(1+Inputs!$B$35/100))/(1/Q1893)))))+((C1892=TRUE)*IF(Inputs!$B$3&gt;=82,IF(Inputs!$B$39="pvp",20,(1-Summary!$B$11)*(20)+Summary!$B$11*(0)),0)*IF(AND(Inputs!$B$39&lt;&gt;"pvp",Inputs!$B$44&gt;0),(((R1892-1)*MIN((Skills!T13*(1+Inputs!$B$35/100)),(1/Q1892))+MIN((Skills!T13*(1+Inputs!$B$35/100)),MAX(0,Inputs!$B$44-((R1892-1)*(1/Q1892)))))/Inputs!$B$44),IF(Inputs!$B$39="pvp",MIN((Skills!T13*(1+Inputs!$B$35/100)),15)/15,MIN(1,(Skills!T13*(1+Inputs!$B$35/100))/(1/Q1892)))))+(IF(AND(ArtifactsInput!$M$35,Inputs!$B$4&lt;&gt;"Chapter Hunt"),CHOOSE(ArtifactsInput!$N$35+1,15,18,21,24,27,30)*(1-EXP(-(0.2*B1910)*5)),0)+IF(AND(IF(ArtifactsInput!$M$22,FALSE,TRUE),Inputs!$B$4&lt;&gt;"Chapter Hunt"),CHOOSE(ArtifactsInput!$N$22+1,10,12,14,16,18,20)*((0*(((0.15*B1910*5))^0/1)+1*(((0.15*B1910*5))^1/1)+2*(((0.15*B1910*5))^2/2)+3*(((0.15*B1910*5))^3/6)+4*(((0.15*B1910*5))^4/24)+5*(((0.15*B1910*5))^5/120))/((((0.15*B1910*5))^0/1)+(((0.15*B1910*5))^1/1)+(((0.15*B1910*5))^2/2)+(((0.15*B1910*5))^3/6)+(((0.15*B1910*5))^4/24)+(((0.15*B1910*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89">
      <c r="A1889">
        <f>Skills!A10</f>
        <v/>
      </c>
      <c r="B1889">
        <f>Skills!B10</f>
        <v/>
      </c>
      <c r="C1889">
        <f>Inputs!$B$3&gt;=110</f>
        <v/>
      </c>
      <c r="D1889">
        <f>IF(Skills!C10=1,60+Inputs!$B$26+Inputs!$B$30,IF(Skills!C10=2,90+Inputs!$B$27+Inputs!$B$30,IF(Skills!C10=3,120+Inputs!$B$28+Inputs!$B$30,MAX(0,(Inputs!$B$3-100)*3)+Inputs!$B$29+Inputs!$B$30)))</f>
        <v/>
      </c>
      <c r="E1889">
        <f>INDEX(FactorTable!$B$2:$Y$301, MATCH(ROUND(MIN(300,MAX(1,D1889)),0), FactorTable!$A$2:$A$301,0), Skills!M10+1)</f>
        <v/>
      </c>
      <c r="F1889">
        <f>IF(Skills!N10=TRUE,(Skills!L10/10)*(E1889/1000),Skills!L10/10)+Skills!O10</f>
        <v/>
      </c>
      <c r="G1889">
        <f>Skills!G10*IF(Skills!H10&gt;0,INT(IF(Inputs!$B$39="pvp",MIN(Skills!I10,15),Skills!I10)/Skills!H10+0.000000001),1)</f>
        <v/>
      </c>
      <c r="H1889">
        <f>1-(1-Skills!J10/100)^Skills!K10</f>
        <v/>
      </c>
      <c r="I1889" t="inlineStr">
        <is>
          <t>1</t>
        </is>
      </c>
      <c r="J1889">
        <f>((Inputs!$B$6*(1+Inputs!$B$7/100))+(((Inputs!$B$13*(1+Inputs!$B$14/100))-(Inputs!$B$13*(1+Inputs!$B$14/100)))+0.25*(Inputs!$B$15-Inputs!$B$15))*(1+Inputs!$B$7/100))*(F1889/100)</f>
        <v/>
      </c>
      <c r="K1889">
        <f>J1889*(1+(((Inputs!$B$13+IF(Inputs!$B$3&gt;=38,(10*INDEX(FactorTable!$B$2:$Y$301, MATCH(ROUND(MIN(300,MAX(1,Inputs!$B$3)),0), FactorTable!$A$2:$A$301,0), 23)/1000)/100*(Inputs!$B$8*(1+Inputs!$B$9/100)),0))*(1+Inputs!$B$14/100))*0.01+Inputs!$B$15*0.0025)/100)*(1+Inputs!$B$16/100)*(1+Inputs!$B$17/100)*(5000/(6000+Inputs!$B$43*(1-(Inputs!$B$20+0)/100)))*(1+(Inputs!$B$25+((C1904=TRUE)*(F1904-Calc!F25))+((C1905=TRUE)*(F1905-Calc!F26))+B1914)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gt;=100),MIN(100,((Inputs!$B$10+0+B1908+(ArtifactsInput!$M$24-ArtifactsInput!$M$24)*CHOOSE(ArtifactsInput!$N$24+1,10,12,14,16,18,20)+IF(ArtifactsInput!$M$10,CHOOSE(ArtifactsInput!$N$10+1,15,18,21,24,27,30)*(IF(Inputs!$B$39="pvp",MIN(15,15)/15,IF(AND(Inputs!$B$39&lt;&gt;"pvp",Inputs!$B$44&gt;0),MIN(15,Inputs!$B$44)/(Inputs!$B$44),0))),0)))-100),0))*CHOOSE(ArtifactsInput!$N$42+1,0.6,0.72,0.84,0.96,1.08,1.2))),Inputs!$B$19+((C1902=TRUE)*(F1902-Calc!F23))+(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gt;=100),CHOOSE(ArtifactsInput!$N$42+1,40,48,56,64,72,80),0))))/100)*((1+(((C1892=TRUE)*F1892*IF(AND(Inputs!$B$39&lt;&gt;"pvp",Inputs!$B$44&gt;0),(((R1892-1)*MIN((Skills!T13*(1+Inputs!$B$35/100)),(1/Q1892))+MIN((Skills!T13*(1+Inputs!$B$35/100)),MAX(0,Inputs!$B$44-((R1892-1)*(1/Q1892)))))/Inputs!$B$44),IF(Inputs!$B$39="pvp",MIN((Skills!T13*(1+Inputs!$B$35/100)),15)/15,MIN(1,(Skills!T13*(1+Inputs!$B$35/100))/(1/Q1892)))))+((C1893=TRUE)*F1893*IF(AND(Inputs!$B$39&lt;&gt;"pvp",Inputs!$B$44&gt;0),(((R1893-1)*MIN((Skills!T14*(1+Inputs!$B$35/100)),(1/Q1893))+MIN((Skills!T14*(1+Inputs!$B$35/100)),MAX(0,Inputs!$B$44-((R1893-1)*(1/Q1893)))))/Inputs!$B$44),IF(Inputs!$B$39="pvp",MIN((Skills!T14*(1+Inputs!$B$35/100)),15)/15,MIN(1,(Skills!T14*(1+Inputs!$B$35/100))/(1/Q1893)))))+((C1894=TRUE)*F1894*IF(AND(Inputs!$B$39&lt;&gt;"pvp",Inputs!$B$44&gt;0),(((R1894-1)*MIN((Skills!T15*(1+Inputs!$B$35/100)),(1/Q1894))+MIN((Skills!T15*(1+Inputs!$B$35/100)),MAX(0,Inputs!$B$44-((R1894-1)*(1/Q1894)))))/Inputs!$B$44),IF(Inputs!$B$39="pvp",MIN((Skills!T15*(1+Inputs!$B$35/100)),15)/15,MIN(1,(Skills!T15*(1+Inputs!$B$35/100))/(1/Q1894)))))+((C1895=TRUE)*F1895*IF(AND(Inputs!$B$39&lt;&gt;"pvp",Inputs!$B$44&gt;0),(((R1895-1)*MIN((Skills!T16*(1+Inputs!$B$35/100)),(1/Q1895))+MIN((Skills!T16*(1+Inputs!$B$35/100)),MAX(0,Inputs!$B$44-((R1895-1)*(1/Q1895)))))/Inputs!$B$44),IF(Inputs!$B$39="pvp",MIN((Skills!T16*(1+Inputs!$B$35/100)),15)/15,MIN(1,(Skills!T16*(1+Inputs!$B$35/100))/(1/Q1895)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1889)</f>
        <v/>
      </c>
      <c r="L1889">
        <f>K1889*(MIN(Inputs!$B$23+((C1901=TRUE)*(F1901-Calc!F22)),(Inputs!$B$24+((C1903=TRUE)*(F1903-Calc!F24))+(IF(ArtifactsInput!$M$15,CHOOSE(ArtifactsInput!$N$15+1,25,30,35,40,45,50)/100*(Inputs!$B$12-Inputs!$B$12),0))))/100+(Inputs!$B$24+((C1903=TRUE)*(F1903-Calc!F24))+(IF(ArtifactsInput!$M$15,CHOOSE(ArtifactsInput!$N$15+1,25,30,35,40,45,50)/100*(Inputs!$B$12-Inputs!$B$12),0)))/100)/2</f>
        <v/>
      </c>
      <c r="M1889">
        <f>L1889*(1+(Inputs!$B$11+0+B1913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889">
        <f>L1889*(1-MIN((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1889*(MIN((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89">
        <f>(1-Summary!$B$11)*T1889+Summary!$B$11*V1889</f>
        <v/>
      </c>
      <c r="P1889">
        <f>IF(B1918=0,0,O1889/B1918)</f>
        <v/>
      </c>
      <c r="Q1889">
        <f>IFERROR(1/IF(Inputs!$B$39="pvp",15,MAX(0.1,Skills!D10-IF(TRUE=TRUE,Inputs!$B$33,0))),0)</f>
        <v/>
      </c>
      <c r="R1889">
        <f>IF(AND(Inputs!$B$39&lt;&gt;"pvp",Inputs!$B$44&gt;0),IF(MAX(0,Inputs!$B$44-B1915)&lt;=0,0,(INT(MAX(0,Inputs!$B$44-B1915)/IF(Inputs!$B$39="pvp",15,MAX(0.1,Skills!D10-IF(TRUE=TRUE,Inputs!$B$33,0))))+1)),0)</f>
        <v/>
      </c>
      <c r="S1889">
        <f>IFERROR(O1889/N1889,0)</f>
        <v/>
      </c>
      <c r="T1889">
        <f>IF(C1889,(H1889*N1889*IF(AND(Inputs!$B$39&lt;&gt;"pvp",Inputs!$B$44&gt;0),((Skills!G10*((R1889-1)*IF(Skills!H10&gt;0,INT(Skills!I10/Skills!H10+0.000000001),1)+IF(Skills!H10&gt;0,INT(MIN(Skills!I10,MAX(0,MAX(0,Inputs!$B$44-B1915)-((R1889-1)*IF(Inputs!$B$39="pvp",15,MAX(0.1,Skills!D10-IF(TRUE=TRUE,Inputs!$B$33,0))))))/Skills!H10+0.000000001),1)))/Inputs!$B$44),G1889*Q1889))*IF(Inputs!$B$39="pvp",1,1+(Inputs!$B$21+0+Skills!P10+((C1896=TRUE)*F1896*IF(AND(Inputs!$B$39&lt;&gt;"pvp",Inputs!$B$44&gt;0),(((R1896-1)*MIN((Skills!T17*(1+Inputs!$B$35/100)),(1/Q1896))+MIN((Skills!T17*(1+Inputs!$B$35/100)),MAX(0,Inputs!$B$44-((R1896-1)*(1/Q1896)))))/Inputs!$B$44),IF(Inputs!$B$39="pvp",MIN((Skills!T17*(1+Inputs!$B$35/100)),15)/15,MIN(1,(Skills!T17*(1+Inputs!$B$35/100))/(1/Q1896)))))+((C1884=TRUE)*IF(Inputs!$B$3&gt;=126,10*MIN(1,15*Q1884),0))+((C1893=TRUE)*IF(Inputs!$B$39="pvp",20,(1-Summary!$B$11)*(20)+Summary!$B$11*(0))*IF(AND(Inputs!$B$39&lt;&gt;"pvp",Inputs!$B$44&gt;0),(((R1893-1)*MIN((Skills!T14*(1+Inputs!$B$35/100)),(1/Q1893))+MIN((Skills!T14*(1+Inputs!$B$35/100)),MAX(0,Inputs!$B$44-((R1893-1)*(1/Q1893)))))/Inputs!$B$44),IF(Inputs!$B$39="pvp",MIN((Skills!T14*(1+Inputs!$B$35/100)),15)/15,MIN(1,(Skills!T14*(1+Inputs!$B$35/100))/(1/Q1893)))))+((C1892=TRUE)*IF(Inputs!$B$3&gt;=82,IF(Inputs!$B$39="pvp",20,(1-Summary!$B$11)*(20)+Summary!$B$11*(0)),0)*IF(AND(Inputs!$B$39&lt;&gt;"pvp",Inputs!$B$44&gt;0),(((R1892-1)*MIN((Skills!T13*(1+Inputs!$B$35/100)),(1/Q1892))+MIN((Skills!T13*(1+Inputs!$B$35/100)),MAX(0,Inputs!$B$44-((R1892-1)*(1/Q1892)))))/Inputs!$B$44),IF(Inputs!$B$39="pvp",MIN((Skills!T13*(1+Inputs!$B$35/100)),15)/15,MIN(1,(Skills!T13*(1+Inputs!$B$35/100))/(1/Q1892)))))+(IF(AND(ArtifactsInput!$M$35,Inputs!$B$4&lt;&gt;"Chapter Hunt"),CHOOSE(ArtifactsInput!$N$35+1,15,18,21,24,27,30)*(1-EXP(-(0.2*B1910)*5)),0)+IF(AND(IF(ArtifactsInput!$M$22,FALSE,TRUE),Inputs!$B$4&lt;&gt;"Chapter Hunt"),CHOOSE(ArtifactsInput!$N$22+1,10,12,14,16,18,20)*((0*(((0.15*B1910*5))^0/1)+1*(((0.15*B1910*5))^1/1)+2*(((0.15*B1910*5))^2/2)+3*(((0.15*B1910*5))^3/6)+4*(((0.15*B1910*5))^4/24)+5*(((0.15*B1910*5))^5/120))/((((0.15*B1910*5))^0/1)+(((0.15*B1910*5))^1/1)+(((0.15*B1910*5))^2/2)+(((0.15*B1910*5))^3/6)+(((0.15*B1910*5))^4/24)+(((0.15*B1910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1889*(1-MIN(100,(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1889*(MIN(100,(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1889*(1-MIN(100,(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1889*(MIN(100,(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89">
        <f>IF(C1889,(H1889*N1889*IF(AND(Inputs!$B$39&lt;&gt;"pvp",Inputs!$B$44&gt;0),((Skills!G10*((R1889-1)*IF(Skills!H10&gt;0,INT(Skills!I10/Skills!H10+0.000000001),1)+IF(Skills!H10&gt;0,INT(MIN(Skills!I10,MAX(0,MAX(0,Inputs!$B$44-B1915)-((R1889-1)*IF(Inputs!$B$39="pvp",15,MAX(0.1,Skills!D10-IF(TRUE=TRUE,Inputs!$B$33,0))))))/Skills!H10+0.000000001),1)))/Inputs!$B$44),G1889*Q1889))*IF(Inputs!$B$39="pvp",1,(1+(Inputs!$B$22+Skills!Q10+((C1896=TRUE)*F1896*IF(AND(Inputs!$B$39&lt;&gt;"pvp",Inputs!$B$44&gt;0),(((R1896-1)*MIN((Skills!T17*(1+Inputs!$B$35/100)),(1/Q1896))+MIN((Skills!T17*(1+Inputs!$B$35/100)),MAX(0,Inputs!$B$44-((R1896-1)*(1/Q1896)))))/Inputs!$B$44),IF(Inputs!$B$39="pvp",MIN((Skills!T17*(1+Inputs!$B$35/100)),15)/15,MIN(1,(Skills!T17*(1+Inputs!$B$35/100))/(1/Q1896)))))+((C1884=TRUE)*IF(Inputs!$B$3&gt;=126,10*MIN(1,15*Q1884),0))+((C1893=TRUE)*IF(Inputs!$B$39="pvp",20,(1-Summary!$B$11)*(20)+Summary!$B$11*(0))*IF(AND(Inputs!$B$39&lt;&gt;"pvp",Inputs!$B$44&gt;0),(((R1893-1)*MIN((Skills!T14*(1+Inputs!$B$35/100)),(1/Q1893))+MIN((Skills!T14*(1+Inputs!$B$35/100)),MAX(0,Inputs!$B$44-((R1893-1)*(1/Q1893)))))/Inputs!$B$44),IF(Inputs!$B$39="pvp",MIN((Skills!T14*(1+Inputs!$B$35/100)),15)/15,MIN(1,(Skills!T14*(1+Inputs!$B$35/100))/(1/Q1893)))))+((C1892=TRUE)*IF(Inputs!$B$3&gt;=82,IF(Inputs!$B$39="pvp",20,(1-Summary!$B$11)*(20)+Summary!$B$11*(0)),0)*IF(AND(Inputs!$B$39&lt;&gt;"pvp",Inputs!$B$44&gt;0),(((R1892-1)*MIN((Skills!T13*(1+Inputs!$B$35/100)),(1/Q1892))+MIN((Skills!T13*(1+Inputs!$B$35/100)),MAX(0,Inputs!$B$44-((R1892-1)*(1/Q1892)))))/Inputs!$B$44),IF(Inputs!$B$39="pvp",MIN((Skills!T13*(1+Inputs!$B$35/100)),15)/15,MIN(1,(Skills!T13*(1+Inputs!$B$35/100))/(1/Q1892)))))+(IF(AND(ArtifactsInput!$M$35,Inputs!$B$4&lt;&gt;"Chapter Hunt"),CHOOSE(ArtifactsInput!$N$35+1,15,18,21,24,27,30)*(1-EXP(-(0.2*B1910)*5)),0)+IF(AND(IF(ArtifactsInput!$M$22,FALSE,TRUE),Inputs!$B$4&lt;&gt;"Chapter Hunt"),CHOOSE(ArtifactsInput!$N$22+1,10,12,14,16,18,20)*((0*(((0.15*B1910*5))^0/1)+1*(((0.15*B1910*5))^1/1)+2*(((0.15*B1910*5))^2/2)+3*(((0.15*B1910*5))^3/6)+4*(((0.15*B1910*5))^4/24)+5*(((0.15*B1910*5))^5/120))/((((0.15*B1910*5))^0/1)+(((0.15*B1910*5))^1/1)+(((0.15*B1910*5))^2/2)+(((0.15*B1910*5))^3/6)+(((0.15*B1910*5))^4/24)+(((0.15*B1910*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90">
      <c r="A1890">
        <f>Skills!A11</f>
        <v/>
      </c>
      <c r="B1890">
        <f>Skills!B11</f>
        <v/>
      </c>
      <c r="C1890">
        <f>Inputs!$B$3&gt;=100</f>
        <v/>
      </c>
      <c r="D1890">
        <f>IF(Skills!C11=1,60+Inputs!$B$26+Inputs!$B$30,IF(Skills!C11=2,90+Inputs!$B$27+Inputs!$B$30,IF(Skills!C11=3,120+Inputs!$B$28+Inputs!$B$30,MAX(0,(Inputs!$B$3-100)*3)+Inputs!$B$29+Inputs!$B$30)))</f>
        <v/>
      </c>
      <c r="E1890">
        <f>INDEX(FactorTable!$B$2:$Y$301, MATCH(ROUND(MIN(300,MAX(1,D1890)),0), FactorTable!$A$2:$A$301,0), Skills!M11+1)</f>
        <v/>
      </c>
      <c r="F1890">
        <f>IF(Skills!N11=TRUE,(Skills!L11/10)*(E1890/1000),Skills!L11/10)+Skills!O11</f>
        <v/>
      </c>
      <c r="G1890" t="inlineStr"/>
      <c r="H1890" t="inlineStr"/>
      <c r="I1890" t="inlineStr">
        <is>
          <t>1</t>
        </is>
      </c>
      <c r="J1890" t="inlineStr"/>
      <c r="K1890" t="inlineStr"/>
      <c r="L1890" t="inlineStr"/>
      <c r="M1890" t="inlineStr"/>
      <c r="N1890" t="inlineStr"/>
      <c r="O1890" t="inlineStr"/>
      <c r="P1890" t="inlineStr"/>
      <c r="Q1890" t="inlineStr"/>
      <c r="R1890" t="inlineStr"/>
      <c r="S1890" t="inlineStr"/>
    </row>
    <row r="1891">
      <c r="A1891">
        <f>Skills!A12</f>
        <v/>
      </c>
      <c r="B1891">
        <f>Skills!B12</f>
        <v/>
      </c>
      <c r="C1891">
        <f>Inputs!$B$3&gt;=63</f>
        <v/>
      </c>
      <c r="D1891">
        <f>IF(Skills!C12=1,60+Inputs!$B$26+Inputs!$B$30,IF(Skills!C12=2,90+Inputs!$B$27+Inputs!$B$30,IF(Skills!C12=3,120+Inputs!$B$28+Inputs!$B$30,MAX(0,(Inputs!$B$3-100)*3)+Inputs!$B$29+Inputs!$B$30)))</f>
        <v/>
      </c>
      <c r="E1891">
        <f>INDEX(FactorTable!$B$2:$Y$301, MATCH(ROUND(MIN(300,MAX(1,D1891)),0), FactorTable!$A$2:$A$301,0), Skills!M12+1)</f>
        <v/>
      </c>
      <c r="F1891">
        <f>IF(Skills!N12=TRUE,(Skills!L12/10)*(E1891/1000),Skills!L12/10)+Skills!O12</f>
        <v/>
      </c>
      <c r="G1891">
        <f>Skills!G12*IF(Skills!H12&gt;0,INT(IF(Inputs!$B$39="pvp",MIN(Skills!I12,15),Skills!I12)/Skills!H12+0.000000001),1)</f>
        <v/>
      </c>
      <c r="H1891">
        <f>1-(1-Skills!J12/100)^Skills!K12</f>
        <v/>
      </c>
      <c r="I1891" t="inlineStr">
        <is>
          <t>1</t>
        </is>
      </c>
      <c r="J1891">
        <f>((Inputs!$B$6*(1+Inputs!$B$7/100))+(((Inputs!$B$13*(1+Inputs!$B$14/100))-(Inputs!$B$13*(1+Inputs!$B$14/100)))+0.25*(Inputs!$B$15-Inputs!$B$15))*(1+Inputs!$B$7/100))*(F1891/100)</f>
        <v/>
      </c>
      <c r="K1891">
        <f>J1891*(1+(((Inputs!$B$13+IF(Inputs!$B$3&gt;=38,(10*INDEX(FactorTable!$B$2:$Y$301, MATCH(ROUND(MIN(300,MAX(1,Inputs!$B$3)),0), FactorTable!$A$2:$A$301,0), 23)/1000)/100*(Inputs!$B$8*(1+Inputs!$B$9/100)),0))*(1+Inputs!$B$14/100))*0.01+Inputs!$B$15*0.0025)/100)*(1+Inputs!$B$16/100)*(1+Inputs!$B$17/100)*(5000/(6000+Inputs!$B$43*(1-(Inputs!$B$20+0)/100)))*(1+(Inputs!$B$25+((C1904=TRUE)*(F1904-Calc!F25))+((C1905=TRUE)*(F1905-Calc!F26))+B1914)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1890=TRUE,F1890,0)/100)*(1+(IF(Skills!A12="DARK_IMPALE",Inputs!$B$18+0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gt;=100),MIN(100,((Inputs!$B$10+0+B1908+(ArtifactsInput!$M$24-ArtifactsInput!$M$24)*CHOOSE(ArtifactsInput!$N$24+1,10,12,14,16,18,20)+IF(ArtifactsInput!$M$10,CHOOSE(ArtifactsInput!$N$10+1,15,18,21,24,27,30)*(IF(Inputs!$B$39="pvp",MIN(15,15)/15,IF(AND(Inputs!$B$39&lt;&gt;"pvp",Inputs!$B$44&gt;0),MIN(15,Inputs!$B$44)/(Inputs!$B$44),0))),0)))-100),0))*CHOOSE(ArtifactsInput!$N$42+1,0.6,0.72,0.84,0.96,1.08,1.2))),Inputs!$B$19+((C1902=TRUE)*(F1902-Calc!F23))+(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gt;=100),CHOOSE(ArtifactsInput!$N$42+1,40,48,56,64,72,80),0))))/100)*((1+(((C1892=TRUE)*F1892*IF(AND(Inputs!$B$39&lt;&gt;"pvp",Inputs!$B$44&gt;0),(((R1892-1)*MIN((Skills!T13*(1+Inputs!$B$35/100)),(1/Q1892))+MIN((Skills!T13*(1+Inputs!$B$35/100)),MAX(0,Inputs!$B$44-((R1892-1)*(1/Q1892)))))/Inputs!$B$44),IF(Inputs!$B$39="pvp",MIN((Skills!T13*(1+Inputs!$B$35/100)),15)/15,MIN(1,(Skills!T13*(1+Inputs!$B$35/100))/(1/Q1892)))))+((C1893=TRUE)*F1893*IF(AND(Inputs!$B$39&lt;&gt;"pvp",Inputs!$B$44&gt;0),(((R1893-1)*MIN((Skills!T14*(1+Inputs!$B$35/100)),(1/Q1893))+MIN((Skills!T14*(1+Inputs!$B$35/100)),MAX(0,Inputs!$B$44-((R1893-1)*(1/Q1893)))))/Inputs!$B$44),IF(Inputs!$B$39="pvp",MIN((Skills!T14*(1+Inputs!$B$35/100)),15)/15,MIN(1,(Skills!T14*(1+Inputs!$B$35/100))/(1/Q1893)))))+((C1894=TRUE)*F1894*IF(AND(Inputs!$B$39&lt;&gt;"pvp",Inputs!$B$44&gt;0),(((R1894-1)*MIN((Skills!T15*(1+Inputs!$B$35/100)),(1/Q1894))+MIN((Skills!T15*(1+Inputs!$B$35/100)),MAX(0,Inputs!$B$44-((R1894-1)*(1/Q1894)))))/Inputs!$B$44),IF(Inputs!$B$39="pvp",MIN((Skills!T15*(1+Inputs!$B$35/100)),15)/15,MIN(1,(Skills!T15*(1+Inputs!$B$35/100))/(1/Q1894)))))+((C1895=TRUE)*F1895*IF(AND(Inputs!$B$39&lt;&gt;"pvp",Inputs!$B$44&gt;0),(((R1895-1)*MIN((Skills!T16*(1+Inputs!$B$35/100)),(1/Q1895))+MIN((Skills!T16*(1+Inputs!$B$35/100)),MAX(0,Inputs!$B$44-((R1895-1)*(1/Q1895)))))/Inputs!$B$44),IF(Inputs!$B$39="pvp",MIN((Skills!T16*(1+Inputs!$B$35/100)),15)/15,MIN(1,(Skills!T16*(1+Inputs!$B$35/100))/(1/Q1895)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1891)</f>
        <v/>
      </c>
      <c r="L1891">
        <f>K1891*(MIN(Inputs!$B$23+((C1901=TRUE)*(F1901-Calc!F22)),(Inputs!$B$24+((C1903=TRUE)*(F1903-Calc!F24))+(IF(ArtifactsInput!$M$15,CHOOSE(ArtifactsInput!$N$15+1,25,30,35,40,45,50)/100*(Inputs!$B$12-Inputs!$B$12),0))))/100+(Inputs!$B$24+((C1903=TRUE)*(F1903-Calc!F24))+(IF(ArtifactsInput!$M$15,CHOOSE(ArtifactsInput!$N$15+1,25,30,35,40,45,50)/100*(Inputs!$B$12-Inputs!$B$12),0)))/100)/2</f>
        <v/>
      </c>
      <c r="M1891">
        <f>L1891*(1+(Inputs!$B$11+0+B1913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891">
        <f>L1891*(1-MIN((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1891*(MIN((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91">
        <f>(1-Summary!$B$11)*T1891+Summary!$B$11*V1891</f>
        <v/>
      </c>
      <c r="P1891">
        <f>IF(B1918=0,0,O1891/B1918)</f>
        <v/>
      </c>
      <c r="Q1891">
        <f>IFERROR(1/IF(Inputs!$B$39="pvp",15,MAX(0.1,Skills!D12-IF(TRUE=TRUE,Inputs!$B$33,0))),0)</f>
        <v/>
      </c>
      <c r="R1891">
        <f>IF(AND(Inputs!$B$39&lt;&gt;"pvp",Inputs!$B$44&gt;0),IF(MAX(0,Inputs!$B$44-B1915)&lt;=0,0,(INT(MAX(0,Inputs!$B$44-B1915)/IF(Inputs!$B$39="pvp",15,MAX(0.1,Skills!D12-IF(TRUE=TRUE,Inputs!$B$33,0))))+1)),0)</f>
        <v/>
      </c>
      <c r="S1891">
        <f>IFERROR(O1891/N1891,0)</f>
        <v/>
      </c>
      <c r="T1891">
        <f>IF(C1891,(H1891*N1891*IF(AND(Inputs!$B$39&lt;&gt;"pvp",Inputs!$B$44&gt;0),((Skills!G12*((R1891-1)*IF(Skills!H12&gt;0,INT(Skills!I12/Skills!H12+0.000000001),1)+IF(Skills!H12&gt;0,INT(MIN(Skills!I12,MAX(0,MAX(0,Inputs!$B$44-B1915)-((R1891-1)*IF(Inputs!$B$39="pvp",15,MAX(0.1,Skills!D12-IF(TRUE=TRUE,Inputs!$B$33,0))))))/Skills!H12+0.000000001),1)))/Inputs!$B$44),G1891*Q1891))*IF(Inputs!$B$39="pvp",1,1+(Inputs!$B$21+0+Skills!P12+((C1896=TRUE)*F1896*IF(AND(Inputs!$B$39&lt;&gt;"pvp",Inputs!$B$44&gt;0),(((R1896-1)*MIN((Skills!T17*(1+Inputs!$B$35/100)),(1/Q1896))+MIN((Skills!T17*(1+Inputs!$B$35/100)),MAX(0,Inputs!$B$44-((R1896-1)*(1/Q1896)))))/Inputs!$B$44),IF(Inputs!$B$39="pvp",MIN((Skills!T17*(1+Inputs!$B$35/100)),15)/15,MIN(1,(Skills!T17*(1+Inputs!$B$35/100))/(1/Q1896)))))+((C1884=TRUE)*IF(Inputs!$B$3&gt;=126,10*MIN(1,15*Q1884),0))+((C1893=TRUE)*IF(Inputs!$B$39="pvp",20,(1-Summary!$B$11)*(20)+Summary!$B$11*(0))*IF(AND(Inputs!$B$39&lt;&gt;"pvp",Inputs!$B$44&gt;0),(((R1893-1)*MIN((Skills!T14*(1+Inputs!$B$35/100)),(1/Q1893))+MIN((Skills!T14*(1+Inputs!$B$35/100)),MAX(0,Inputs!$B$44-((R1893-1)*(1/Q1893)))))/Inputs!$B$44),IF(Inputs!$B$39="pvp",MIN((Skills!T14*(1+Inputs!$B$35/100)),15)/15,MIN(1,(Skills!T14*(1+Inputs!$B$35/100))/(1/Q1893)))))+((C1892=TRUE)*IF(Inputs!$B$3&gt;=82,IF(Inputs!$B$39="pvp",20,(1-Summary!$B$11)*(20)+Summary!$B$11*(0)),0)*IF(AND(Inputs!$B$39&lt;&gt;"pvp",Inputs!$B$44&gt;0),(((R1892-1)*MIN((Skills!T13*(1+Inputs!$B$35/100)),(1/Q1892))+MIN((Skills!T13*(1+Inputs!$B$35/100)),MAX(0,Inputs!$B$44-((R1892-1)*(1/Q1892)))))/Inputs!$B$44),IF(Inputs!$B$39="pvp",MIN((Skills!T13*(1+Inputs!$B$35/100)),15)/15,MIN(1,(Skills!T13*(1+Inputs!$B$35/100))/(1/Q1892)))))+(IF(AND(ArtifactsInput!$M$35,Inputs!$B$4&lt;&gt;"Chapter Hunt"),CHOOSE(ArtifactsInput!$N$35+1,15,18,21,24,27,30)*(1-EXP(-(0.2*B1910)*5)),0)+IF(AND(IF(ArtifactsInput!$M$22,FALSE,TRUE),Inputs!$B$4&lt;&gt;"Chapter Hunt"),CHOOSE(ArtifactsInput!$N$22+1,10,12,14,16,18,20)*((0*(((0.15*B1910*5))^0/1)+1*(((0.15*B1910*5))^1/1)+2*(((0.15*B1910*5))^2/2)+3*(((0.15*B1910*5))^3/6)+4*(((0.15*B1910*5))^4/24)+5*(((0.15*B1910*5))^5/120))/((((0.15*B1910*5))^0/1)+(((0.15*B1910*5))^1/1)+(((0.15*B1910*5))^2/2)+(((0.15*B1910*5))^3/6)+(((0.15*B1910*5))^4/24)+(((0.15*B1910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1891*(1-MIN(100,(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1891*(MIN(100,(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1891*(1-MIN(100,(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1891*(MIN(100,(Inputs!$B$10+0+B1908+(ArtifactsInput!$M$24-ArtifactsInput!$M$24)*CHOOSE(ArtifactsInput!$N$24+1,10,12,14,16,18,20)+(IF(AND(Inputs!$B$39&lt;&gt;"pvp",Inputs!$B$44=0),1,IF(IF(Inputs!$B$39="pvp",15,Inputs!$B$44)-(B1915)&lt;=0,1,MAX(0,IF(Inputs!$B$39="pvp",15,Inputs!$B$44)-MAX(5,B1915))/(IF(Inputs!$B$39="pvp",15,Inputs!$B$44)-(B1915))))*IF(AND(ArtifactsInput!$M$42,((Inputs!$B$10+0+B1908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891">
        <f>IF(C1891,(H1891*N1891*IF(AND(Inputs!$B$39&lt;&gt;"pvp",Inputs!$B$44&gt;0),((Skills!G12*((R1891-1)*IF(Skills!H12&gt;0,INT(Skills!I12/Skills!H12+0.000000001),1)+IF(Skills!H12&gt;0,INT(MIN(Skills!I12,MAX(0,MAX(0,Inputs!$B$44-B1915)-((R1891-1)*IF(Inputs!$B$39="pvp",15,MAX(0.1,Skills!D12-IF(TRUE=TRUE,Inputs!$B$33,0))))))/Skills!H12+0.000000001),1)))/Inputs!$B$44),G1891*Q1891))*IF(Inputs!$B$39="pvp",1,(1+(Inputs!$B$22+Skills!Q12+((C1896=TRUE)*F1896*IF(AND(Inputs!$B$39&lt;&gt;"pvp",Inputs!$B$44&gt;0),(((R1896-1)*MIN((Skills!T17*(1+Inputs!$B$35/100)),(1/Q1896))+MIN((Skills!T17*(1+Inputs!$B$35/100)),MAX(0,Inputs!$B$44-((R1896-1)*(1/Q1896)))))/Inputs!$B$44),IF(Inputs!$B$39="pvp",MIN((Skills!T17*(1+Inputs!$B$35/100)),15)/15,MIN(1,(Skills!T17*(1+Inputs!$B$35/100))/(1/Q1896)))))+((C1884=TRUE)*IF(Inputs!$B$3&gt;=126,10*MIN(1,15*Q1884),0))+((C1893=TRUE)*IF(Inputs!$B$39="pvp",20,(1-Summary!$B$11)*(20)+Summary!$B$11*(0))*IF(AND(Inputs!$B$39&lt;&gt;"pvp",Inputs!$B$44&gt;0),(((R1893-1)*MIN((Skills!T14*(1+Inputs!$B$35/100)),(1/Q1893))+MIN((Skills!T14*(1+Inputs!$B$35/100)),MAX(0,Inputs!$B$44-((R1893-1)*(1/Q1893)))))/Inputs!$B$44),IF(Inputs!$B$39="pvp",MIN((Skills!T14*(1+Inputs!$B$35/100)),15)/15,MIN(1,(Skills!T14*(1+Inputs!$B$35/100))/(1/Q1893)))))+((C1892=TRUE)*IF(Inputs!$B$3&gt;=82,IF(Inputs!$B$39="pvp",20,(1-Summary!$B$11)*(20)+Summary!$B$11*(0)),0)*IF(AND(Inputs!$B$39&lt;&gt;"pvp",Inputs!$B$44&gt;0),(((R1892-1)*MIN((Skills!T13*(1+Inputs!$B$35/100)),(1/Q1892))+MIN((Skills!T13*(1+Inputs!$B$35/100)),MAX(0,Inputs!$B$44-((R1892-1)*(1/Q1892)))))/Inputs!$B$44),IF(Inputs!$B$39="pvp",MIN((Skills!T13*(1+Inputs!$B$35/100)),15)/15,MIN(1,(Skills!T13*(1+Inputs!$B$35/100))/(1/Q1892)))))+(IF(AND(ArtifactsInput!$M$35,Inputs!$B$4&lt;&gt;"Chapter Hunt"),CHOOSE(ArtifactsInput!$N$35+1,15,18,21,24,27,30)*(1-EXP(-(0.2*B1910)*5)),0)+IF(AND(IF(ArtifactsInput!$M$22,FALSE,TRUE),Inputs!$B$4&lt;&gt;"Chapter Hunt"),CHOOSE(ArtifactsInput!$N$22+1,10,12,14,16,18,20)*((0*(((0.15*B1910*5))^0/1)+1*(((0.15*B1910*5))^1/1)+2*(((0.15*B1910*5))^2/2)+3*(((0.15*B1910*5))^3/6)+4*(((0.15*B1910*5))^4/24)+5*(((0.15*B1910*5))^5/120))/((((0.15*B1910*5))^0/1)+(((0.15*B1910*5))^1/1)+(((0.15*B1910*5))^2/2)+(((0.15*B1910*5))^3/6)+(((0.15*B1910*5))^4/24)+(((0.15*B1910*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92">
      <c r="A1892">
        <f>Skills!A13</f>
        <v/>
      </c>
      <c r="B1892">
        <f>Skills!B13</f>
        <v/>
      </c>
      <c r="C1892">
        <f>Inputs!$B$3&gt;=69</f>
        <v/>
      </c>
      <c r="D1892">
        <f>IF(Skills!C13=1,60+Inputs!$B$26+Inputs!$B$30,IF(Skills!C13=2,90+Inputs!$B$27+Inputs!$B$30,IF(Skills!C13=3,120+Inputs!$B$28+Inputs!$B$30,MAX(0,(Inputs!$B$3-100)*3)+Inputs!$B$29+Inputs!$B$30)))</f>
        <v/>
      </c>
      <c r="E1892">
        <f>INDEX(FactorTable!$B$2:$Y$301, MATCH(ROUND(MIN(300,MAX(1,D1892)),0), FactorTable!$A$2:$A$301,0), Skills!M13+1)</f>
        <v/>
      </c>
      <c r="F1892">
        <f>IF(Skills!N13=TRUE,(Skills!L13/10)*(E1892/1000),Skills!L13/10)+Skills!O13</f>
        <v/>
      </c>
      <c r="G1892">
        <f>Skills!G13*IF(Skills!H13&gt;0,INT(IF(Inputs!$B$39="pvp",MIN(Skills!I13,15),Skills!I13)/Skills!H13+0.000000001),1)</f>
        <v/>
      </c>
      <c r="H1892">
        <f>1-(1-Skills!J13/100)^Skills!K13</f>
        <v/>
      </c>
      <c r="I1892" t="inlineStr">
        <is>
          <t>1</t>
        </is>
      </c>
      <c r="J1892" t="inlineStr"/>
      <c r="K1892" t="inlineStr"/>
      <c r="L1892" t="inlineStr"/>
      <c r="M1892" t="inlineStr"/>
      <c r="N1892" t="inlineStr"/>
      <c r="O1892">
        <f>(1-Summary!$B$11)*T1892+Summary!$B$11*V1892</f>
        <v/>
      </c>
      <c r="P1892">
        <f>IF(B1918=0,0,O1892/B1918)</f>
        <v/>
      </c>
      <c r="Q1892">
        <f>IFERROR(1/IF(Inputs!$B$39="pvp",15,MAX(0.1,Skills!D13-IF(TRUE=TRUE,Inputs!$B$33,0))),0)</f>
        <v/>
      </c>
      <c r="R1892">
        <f>IF(AND(Inputs!$B$39&lt;&gt;"pvp",Inputs!$B$44&gt;0),IF(Inputs!$B$44&lt;=0,0,(INT(Inputs!$B$44/IF(Inputs!$B$39="pvp",15,MAX(0.1,Skills!D13-IF(TRUE=TRUE,Inputs!$B$33,0))))+1)),0)</f>
        <v/>
      </c>
      <c r="S1892">
        <f>IFERROR(O1892/N1892,0)</f>
        <v/>
      </c>
      <c r="T1892" t="n">
        <v>0</v>
      </c>
      <c r="V1892" t="n">
        <v>0</v>
      </c>
    </row>
    <row r="1893">
      <c r="A1893">
        <f>Skills!A14</f>
        <v/>
      </c>
      <c r="B1893">
        <f>Skills!B14</f>
        <v/>
      </c>
      <c r="C1893">
        <f>Inputs!$B$3&gt;=115</f>
        <v/>
      </c>
      <c r="D1893">
        <f>IF(Skills!C14=1,60+Inputs!$B$26+Inputs!$B$30,IF(Skills!C14=2,90+Inputs!$B$27+Inputs!$B$30,IF(Skills!C14=3,120+Inputs!$B$28+Inputs!$B$30,MAX(0,(Inputs!$B$3-100)*3)+Inputs!$B$29+Inputs!$B$30)))</f>
        <v/>
      </c>
      <c r="E1893">
        <f>INDEX(FactorTable!$B$2:$Y$301, MATCH(ROUND(MIN(300,MAX(1,D1893)),0), FactorTable!$A$2:$A$301,0), Skills!M14+1)</f>
        <v/>
      </c>
      <c r="F1893">
        <f>IF(Skills!N14=TRUE,(Skills!L14/10)*(E1893/1000),Skills!L14/10)+Skills!O14</f>
        <v/>
      </c>
      <c r="G1893">
        <f>Skills!G14*IF(Skills!H14&gt;0,INT(IF(Inputs!$B$39="pvp",MIN(Skills!I14,15),Skills!I14)/Skills!H14+0.000000001),1)</f>
        <v/>
      </c>
      <c r="H1893">
        <f>1-(1-Skills!J14/100)^Skills!K14</f>
        <v/>
      </c>
      <c r="I1893" t="inlineStr">
        <is>
          <t>1</t>
        </is>
      </c>
      <c r="J1893" t="inlineStr"/>
      <c r="K1893" t="inlineStr"/>
      <c r="L1893" t="inlineStr"/>
      <c r="M1893" t="inlineStr"/>
      <c r="N1893" t="inlineStr"/>
      <c r="O1893">
        <f>(1-Summary!$B$11)*T1893+Summary!$B$11*V1893</f>
        <v/>
      </c>
      <c r="P1893">
        <f>IF(B1918=0,0,O1893/B1918)</f>
        <v/>
      </c>
      <c r="Q1893">
        <f>IFERROR(1/IF(Inputs!$B$39="pvp",15,MAX(0.1,Skills!D14-IF(TRUE=TRUE,Inputs!$B$33,0))),0)</f>
        <v/>
      </c>
      <c r="R1893">
        <f>IF(AND(Inputs!$B$39&lt;&gt;"pvp",Inputs!$B$44&gt;0),IF(Inputs!$B$44&lt;=0,0,(INT(Inputs!$B$44/IF(Inputs!$B$39="pvp",15,MAX(0.1,Skills!D14-IF(TRUE=TRUE,Inputs!$B$33,0))))+1)),0)</f>
        <v/>
      </c>
      <c r="S1893">
        <f>IFERROR(O1893/N1893,0)</f>
        <v/>
      </c>
      <c r="T1893" t="n">
        <v>0</v>
      </c>
      <c r="V1893" t="n">
        <v>0</v>
      </c>
    </row>
    <row r="1894">
      <c r="A1894">
        <f>Skills!A15</f>
        <v/>
      </c>
      <c r="B1894">
        <f>Skills!B15</f>
        <v/>
      </c>
      <c r="C1894">
        <f>Inputs!$B$3&gt;=66</f>
        <v/>
      </c>
      <c r="D1894">
        <f>IF(Skills!C15=1,60+Inputs!$B$26+Inputs!$B$30,IF(Skills!C15=2,90+Inputs!$B$27+Inputs!$B$30,IF(Skills!C15=3,120+Inputs!$B$28+Inputs!$B$30,MAX(0,(Inputs!$B$3-100)*3)+Inputs!$B$29+Inputs!$B$30)))</f>
        <v/>
      </c>
      <c r="E1894">
        <f>INDEX(FactorTable!$B$2:$Y$301, MATCH(ROUND(MIN(300,MAX(1,D1894)),0), FactorTable!$A$2:$A$301,0), Skills!M15+1)</f>
        <v/>
      </c>
      <c r="F1894">
        <f>IF(Skills!N15=TRUE,(Skills!L15/10)*(E1894/1000),Skills!L15/10)+Skills!O15</f>
        <v/>
      </c>
      <c r="G1894">
        <f>Skills!G15*IF(Skills!H15&gt;0,INT(IF(Inputs!$B$39="pvp",MIN(Skills!I15,15),Skills!I15)/Skills!H15+0.000000001),1)</f>
        <v/>
      </c>
      <c r="H1894">
        <f>1-(1-Skills!J15/100)^Skills!K15</f>
        <v/>
      </c>
      <c r="I1894" t="inlineStr">
        <is>
          <t>1</t>
        </is>
      </c>
      <c r="J1894" t="inlineStr"/>
      <c r="K1894" t="inlineStr"/>
      <c r="L1894" t="inlineStr"/>
      <c r="M1894" t="inlineStr"/>
      <c r="N1894" t="inlineStr"/>
      <c r="O1894">
        <f>(1-Summary!$B$11)*T1894+Summary!$B$11*V1894</f>
        <v/>
      </c>
      <c r="P1894">
        <f>IF(B1918=0,0,O1894/B1918)</f>
        <v/>
      </c>
      <c r="Q1894">
        <f>IFERROR(1/IF(Inputs!$B$39="pvp",15,MAX(0.1,Skills!D15-IF(TRUE=TRUE,Inputs!$B$33,0))),0)</f>
        <v/>
      </c>
      <c r="R1894">
        <f>IF(AND(Inputs!$B$39&lt;&gt;"pvp",Inputs!$B$44&gt;0),IF(Inputs!$B$44&lt;=0,0,(INT(Inputs!$B$44/IF(Inputs!$B$39="pvp",15,MAX(0.1,Skills!D15-IF(TRUE=TRUE,Inputs!$B$33,0))))+1)),0)</f>
        <v/>
      </c>
      <c r="S1894">
        <f>IFERROR(O1894/N1894,0)</f>
        <v/>
      </c>
      <c r="T1894" t="n">
        <v>0</v>
      </c>
      <c r="V1894" t="n">
        <v>0</v>
      </c>
    </row>
    <row r="1895">
      <c r="A1895">
        <f>Skills!A16</f>
        <v/>
      </c>
      <c r="B1895">
        <f>Skills!B16</f>
        <v/>
      </c>
      <c r="C1895">
        <f>Inputs!$B$3&gt;=45</f>
        <v/>
      </c>
      <c r="D1895">
        <f>IF(Skills!C16=1,60+Inputs!$B$26+Inputs!$B$30,IF(Skills!C16=2,90+Inputs!$B$27+Inputs!$B$30,IF(Skills!C16=3,120+Inputs!$B$28+Inputs!$B$30,MAX(0,(Inputs!$B$3-100)*3)+Inputs!$B$29+Inputs!$B$30)))</f>
        <v/>
      </c>
      <c r="E1895">
        <f>INDEX(FactorTable!$B$2:$Y$301, MATCH(ROUND(MIN(300,MAX(1,D1895)),0), FactorTable!$A$2:$A$301,0), Skills!M16+1)</f>
        <v/>
      </c>
      <c r="F1895">
        <f>IF(Skills!N16=TRUE,(Skills!L16/10)*(E1895/1000),Skills!L16/10)+Skills!O16</f>
        <v/>
      </c>
      <c r="G1895">
        <f>Skills!G16*IF(Skills!H16&gt;0,INT(IF(Inputs!$B$39="pvp",MIN(Skills!I16,15),Skills!I16)/Skills!H16+0.000000001),1)</f>
        <v/>
      </c>
      <c r="H1895">
        <f>1-(1-Skills!J16/100)^Skills!K16</f>
        <v/>
      </c>
      <c r="I1895" t="inlineStr">
        <is>
          <t>1</t>
        </is>
      </c>
      <c r="J1895" t="inlineStr"/>
      <c r="K1895" t="inlineStr"/>
      <c r="L1895" t="inlineStr"/>
      <c r="M1895" t="inlineStr"/>
      <c r="N1895" t="inlineStr"/>
      <c r="O1895">
        <f>(1-Summary!$B$11)*T1895+Summary!$B$11*V1895</f>
        <v/>
      </c>
      <c r="P1895">
        <f>IF(B1918=0,0,O1895/B1918)</f>
        <v/>
      </c>
      <c r="Q1895">
        <f>IFERROR(1/IF(Inputs!$B$39="pvp",15,MAX(0.1,Skills!D16-IF(TRUE=TRUE,Inputs!$B$33,0))),0)</f>
        <v/>
      </c>
      <c r="R1895">
        <f>IF(AND(Inputs!$B$39&lt;&gt;"pvp",Inputs!$B$44&gt;0),IF(Inputs!$B$44&lt;=0,0,(INT(Inputs!$B$44/IF(Inputs!$B$39="pvp",15,MAX(0.1,Skills!D16-IF(TRUE=TRUE,Inputs!$B$33,0))))+1)),0)</f>
        <v/>
      </c>
      <c r="S1895">
        <f>IFERROR(O1895/N1895,0)</f>
        <v/>
      </c>
      <c r="T1895" t="n">
        <v>0</v>
      </c>
      <c r="V1895" t="n">
        <v>0</v>
      </c>
    </row>
    <row r="1896">
      <c r="A1896">
        <f>Skills!A17</f>
        <v/>
      </c>
      <c r="B1896">
        <f>Skills!B17</f>
        <v/>
      </c>
      <c r="C1896">
        <f>Inputs!$B$3&gt;=35</f>
        <v/>
      </c>
      <c r="D1896">
        <f>IF(Skills!C17=1,60+Inputs!$B$26+Inputs!$B$30,IF(Skills!C17=2,90+Inputs!$B$27+Inputs!$B$30,IF(Skills!C17=3,120+Inputs!$B$28+Inputs!$B$30,MAX(0,(Inputs!$B$3-100)*3)+Inputs!$B$29+Inputs!$B$30)))</f>
        <v/>
      </c>
      <c r="E1896">
        <f>INDEX(FactorTable!$B$2:$Y$301, MATCH(ROUND(MIN(300,MAX(1,D1896)),0), FactorTable!$A$2:$A$301,0), Skills!M17+1)</f>
        <v/>
      </c>
      <c r="F1896">
        <f>IF(Skills!N17=TRUE,(Skills!L17/10)*(E1896/1000),Skills!L17/10)+Skills!O17</f>
        <v/>
      </c>
      <c r="G1896">
        <f>Skills!G17*IF(Skills!H17&gt;0,INT(IF(Inputs!$B$39="pvp",MIN(Skills!I17,15),Skills!I17)/Skills!H17+0.000000001),1)</f>
        <v/>
      </c>
      <c r="H1896">
        <f>1-(1-Skills!J17/100)^Skills!K17</f>
        <v/>
      </c>
      <c r="I1896" t="inlineStr">
        <is>
          <t>1</t>
        </is>
      </c>
      <c r="J1896" t="inlineStr"/>
      <c r="K1896" t="inlineStr"/>
      <c r="L1896" t="inlineStr"/>
      <c r="M1896" t="inlineStr"/>
      <c r="N1896" t="inlineStr"/>
      <c r="O1896">
        <f>(1-Summary!$B$11)*T1896+Summary!$B$11*V1896</f>
        <v/>
      </c>
      <c r="P1896">
        <f>IF(B1918=0,0,O1896/B1918)</f>
        <v/>
      </c>
      <c r="Q1896">
        <f>IFERROR(1/IF(Inputs!$B$39="pvp",15,MAX(0.1,Skills!D17-IF(TRUE=TRUE,Inputs!$B$33,0))),0)</f>
        <v/>
      </c>
      <c r="R1896">
        <f>IF(AND(Inputs!$B$39&lt;&gt;"pvp",Inputs!$B$44&gt;0),IF(Inputs!$B$44&lt;=0,0,(INT(Inputs!$B$44/IF(Inputs!$B$39="pvp",15,MAX(0.1,Skills!D17-IF(TRUE=TRUE,Inputs!$B$33,0))))+1)),0)</f>
        <v/>
      </c>
      <c r="S1896">
        <f>IFERROR(O1896/N1896,0)</f>
        <v/>
      </c>
      <c r="T1896" t="n">
        <v>0</v>
      </c>
      <c r="V1896" t="n">
        <v>0</v>
      </c>
    </row>
    <row r="1897">
      <c r="A1897">
        <f>Skills!A18</f>
        <v/>
      </c>
      <c r="B1897">
        <f>Skills!B18</f>
        <v/>
      </c>
      <c r="C1897">
        <f>Inputs!$B$3&gt;=72</f>
        <v/>
      </c>
      <c r="D1897">
        <f>IF(Skills!C18=1,60+Inputs!$B$26+Inputs!$B$30,IF(Skills!C18=2,90+Inputs!$B$27+Inputs!$B$30,IF(Skills!C18=3,120+Inputs!$B$28+Inputs!$B$30,MAX(0,(Inputs!$B$3-100)*3)+Inputs!$B$29+Inputs!$B$30)))</f>
        <v/>
      </c>
      <c r="E1897">
        <f>INDEX(FactorTable!$B$2:$Y$301, MATCH(ROUND(MIN(300,MAX(1,D1897)),0), FactorTable!$A$2:$A$301,0), Skills!M18+1)</f>
        <v/>
      </c>
      <c r="F1897">
        <f>IF(Skills!N18=TRUE,(Skills!L18/10)*(E1897/1000),Skills!L18/10)+Skills!O18</f>
        <v/>
      </c>
      <c r="G1897">
        <f>Skills!G18*IF(Skills!H18&gt;0,INT(IF(Inputs!$B$39="pvp",MIN(Skills!I18,15),Skills!I18)/Skills!H18+0.000000001),1)</f>
        <v/>
      </c>
      <c r="H1897">
        <f>1-(1-Skills!J18/100)^Skills!K18</f>
        <v/>
      </c>
      <c r="I1897" t="inlineStr">
        <is>
          <t>1</t>
        </is>
      </c>
      <c r="J1897" t="inlineStr"/>
      <c r="K1897" t="inlineStr"/>
      <c r="L1897" t="inlineStr"/>
      <c r="M1897" t="inlineStr"/>
      <c r="N1897" t="inlineStr"/>
      <c r="O1897">
        <f>(1-Summary!$B$11)*T1897+Summary!$B$11*V1897</f>
        <v/>
      </c>
      <c r="P1897">
        <f>IF(B1918=0,0,O1897/B1918)</f>
        <v/>
      </c>
      <c r="Q1897">
        <f>IFERROR(1/IF(Inputs!$B$39="pvp",15,MAX(0.1,Skills!D18-IF(TRUE=TRUE,Inputs!$B$33,0))),0)</f>
        <v/>
      </c>
      <c r="R1897">
        <f>IF(AND(Inputs!$B$39&lt;&gt;"pvp",Inputs!$B$44&gt;0),IF(Inputs!$B$44&lt;=0,0,(INT(Inputs!$B$44/IF(Inputs!$B$39="pvp",15,MAX(0.1,Skills!D18-IF(TRUE=TRUE,Inputs!$B$33,0))))+1)),0)</f>
        <v/>
      </c>
      <c r="S1897">
        <f>IFERROR(O1897/N1897,0)</f>
        <v/>
      </c>
      <c r="T1897" t="n">
        <v>0</v>
      </c>
      <c r="V1897" t="n">
        <v>0</v>
      </c>
    </row>
    <row r="1898">
      <c r="A1898">
        <f>Skills!A19</f>
        <v/>
      </c>
      <c r="B1898">
        <f>Skills!B19</f>
        <v/>
      </c>
      <c r="C1898">
        <f>Inputs!$B$3&gt;=72</f>
        <v/>
      </c>
      <c r="D1898">
        <f>IF(Skills!C19=1,60+Inputs!$B$26+Inputs!$B$30,IF(Skills!C19=2,90+Inputs!$B$27+Inputs!$B$30,IF(Skills!C19=3,120+Inputs!$B$28+Inputs!$B$30,MAX(0,(Inputs!$B$3-100)*3)+Inputs!$B$29+Inputs!$B$30)))</f>
        <v/>
      </c>
      <c r="E1898">
        <f>INDEX(FactorTable!$B$2:$Y$301, MATCH(ROUND(MIN(300,MAX(1,D1898)),0), FactorTable!$A$2:$A$301,0), Skills!M19+1)</f>
        <v/>
      </c>
      <c r="F1898">
        <f>IF(Skills!N19=TRUE,(Skills!L19/10)*(E1898/1000),Skills!L19/10)+Skills!O19</f>
        <v/>
      </c>
      <c r="G1898">
        <f>Skills!G19*IF(Skills!H19&gt;0,INT(IF(Inputs!$B$39="pvp",MIN(Skills!I19,15),Skills!I19)/Skills!H19+0.000000001),1)</f>
        <v/>
      </c>
      <c r="H1898">
        <f>1-(1-Skills!J19/100)^Skills!K19</f>
        <v/>
      </c>
      <c r="I1898" t="inlineStr">
        <is>
          <t>1</t>
        </is>
      </c>
      <c r="J1898" t="inlineStr"/>
      <c r="K1898" t="inlineStr"/>
      <c r="L1898" t="inlineStr"/>
      <c r="M1898" t="inlineStr"/>
      <c r="N1898" t="inlineStr"/>
      <c r="O1898">
        <f>(1-Summary!$B$11)*T1898+Summary!$B$11*V1898</f>
        <v/>
      </c>
      <c r="P1898">
        <f>IF(B1918=0,0,O1898/B1918)</f>
        <v/>
      </c>
      <c r="Q1898">
        <f>IFERROR(1/IF(Inputs!$B$39="pvp",15,MAX(0.1,Skills!D19-IF(TRUE=TRUE,Inputs!$B$33,0))),0)</f>
        <v/>
      </c>
      <c r="R1898">
        <f>IF(AND(Inputs!$B$39&lt;&gt;"pvp",Inputs!$B$44&gt;0),IF(Inputs!$B$44&lt;=0,0,(INT(Inputs!$B$44/IF(Inputs!$B$39="pvp",15,MAX(0.1,Skills!D19-IF(TRUE=TRUE,Inputs!$B$33,0))))+1)),0)</f>
        <v/>
      </c>
      <c r="S1898">
        <f>IFERROR(O1898/N1898,0)</f>
        <v/>
      </c>
      <c r="T1898" t="n">
        <v>0</v>
      </c>
      <c r="V1898" t="n">
        <v>0</v>
      </c>
    </row>
    <row r="1899">
      <c r="A1899">
        <f>Skills!A20</f>
        <v/>
      </c>
      <c r="B1899">
        <f>Skills!B20</f>
        <v/>
      </c>
      <c r="C1899">
        <f>TRUE</f>
        <v/>
      </c>
      <c r="D1899">
        <f>IF(Skills!C20=1,60+Inputs!$B$26+Inputs!$B$30,IF(Skills!C20=2,90+Inputs!$B$27+Inputs!$B$30,IF(Skills!C20=3,120+Inputs!$B$28+Inputs!$B$30,MAX(0,(Inputs!$B$3-100)*3)+Inputs!$B$29+Inputs!$B$30)))</f>
        <v/>
      </c>
      <c r="E1899">
        <f>INDEX(FactorTable!$B$2:$Y$301, MATCH(ROUND(MIN(300,MAX(1,D1899)),0), FactorTable!$A$2:$A$301,0), Skills!M20+1)</f>
        <v/>
      </c>
      <c r="F1899">
        <f>IF(Skills!N20=TRUE,(Skills!L20/10)*(E1899/1000),Skills!L20/10)+Skills!O20</f>
        <v/>
      </c>
      <c r="G1899">
        <f>Skills!G20*IF(Skills!H20&gt;0,INT(IF(Inputs!$B$39="pvp",MIN(Skills!I20,15),Skills!I20)/Skills!H20+0.000000001),1)</f>
        <v/>
      </c>
      <c r="H1899">
        <f>1-(1-Skills!J20/100)^Skills!K20</f>
        <v/>
      </c>
      <c r="I1899" t="inlineStr">
        <is>
          <t>1</t>
        </is>
      </c>
      <c r="J1899" t="inlineStr"/>
      <c r="K1899" t="inlineStr"/>
      <c r="L1899" t="inlineStr"/>
      <c r="M1899" t="inlineStr"/>
      <c r="N1899" t="inlineStr"/>
      <c r="O1899">
        <f>(1-Summary!$B$11)*T1899+Summary!$B$11*V1899</f>
        <v/>
      </c>
      <c r="P1899">
        <f>IF(B1918=0,0,O1899/B1918)</f>
        <v/>
      </c>
      <c r="Q1899">
        <f>IFERROR(1/IF(Inputs!$B$39="pvp",15,MAX(0.1,Skills!D20-IF(TRUE=TRUE,Inputs!$B$33,0))),0)</f>
        <v/>
      </c>
      <c r="R1899">
        <f>IF(AND(Inputs!$B$39&lt;&gt;"pvp",Inputs!$B$44&gt;0),IF(Inputs!$B$44&lt;=0,0,(INT(Inputs!$B$44/IF(Inputs!$B$39="pvp",15,MAX(0.1,Skills!D20-IF(TRUE=TRUE,Inputs!$B$33,0))))+1)),0)</f>
        <v/>
      </c>
      <c r="S1899">
        <f>IFERROR(O1899/N1899,0)</f>
        <v/>
      </c>
      <c r="T1899" t="n">
        <v>0</v>
      </c>
      <c r="V1899" t="n">
        <v>0</v>
      </c>
    </row>
    <row r="1900">
      <c r="A1900">
        <f>Skills!A21</f>
        <v/>
      </c>
      <c r="B1900">
        <f>Skills!B21</f>
        <v/>
      </c>
      <c r="C1900">
        <f>Inputs!$B$3&gt;=33</f>
        <v/>
      </c>
      <c r="D1900">
        <f>IF(Skills!C21=1,60+Inputs!$B$26+Inputs!$B$30,IF(Skills!C21=2,90+Inputs!$B$27+Inputs!$B$30,IF(Skills!C21=3,120+Inputs!$B$28+Inputs!$B$30,MAX(0,(Inputs!$B$3-100)*3)+Inputs!$B$29+Inputs!$B$30)))</f>
        <v/>
      </c>
      <c r="E1900">
        <f>INDEX(FactorTable!$B$2:$Y$301, MATCH(ROUND(MIN(300,MAX(1,D1900)),0), FactorTable!$A$2:$A$301,0), Skills!M21+1)</f>
        <v/>
      </c>
      <c r="F1900">
        <f>IF(Skills!N21=TRUE,(Skills!L21/10)*(E1900/1000),Skills!L21/10)+Skills!O21</f>
        <v/>
      </c>
      <c r="G1900">
        <f>Skills!G21*IF(Skills!H21&gt;0,INT(IF(Inputs!$B$39="pvp",MIN(Skills!I21,15),Skills!I21)/Skills!H21+0.000000001),1)</f>
        <v/>
      </c>
      <c r="H1900">
        <f>1-(1-Skills!J21/100)^Skills!K21</f>
        <v/>
      </c>
      <c r="I1900" t="inlineStr">
        <is>
          <t>1</t>
        </is>
      </c>
      <c r="J1900" t="inlineStr"/>
      <c r="K1900" t="inlineStr"/>
      <c r="L1900" t="inlineStr"/>
      <c r="M1900" t="inlineStr"/>
      <c r="N1900" t="inlineStr"/>
      <c r="O1900">
        <f>(1-Summary!$B$11)*T1900+Summary!$B$11*V1900</f>
        <v/>
      </c>
      <c r="P1900">
        <f>IF(B1918=0,0,O1900/B1918)</f>
        <v/>
      </c>
      <c r="Q1900" t="n">
        <v>0</v>
      </c>
      <c r="R1900" t="n">
        <v>0</v>
      </c>
      <c r="S1900">
        <f>IFERROR(O1900/N1900,0)</f>
        <v/>
      </c>
      <c r="T1900" t="n">
        <v>0</v>
      </c>
      <c r="V1900" t="n">
        <v>0</v>
      </c>
    </row>
    <row r="1901">
      <c r="A1901">
        <f>Skills!A22</f>
        <v/>
      </c>
      <c r="B1901">
        <f>Skills!B22</f>
        <v/>
      </c>
      <c r="C1901">
        <f>Inputs!$B$3&gt;=43</f>
        <v/>
      </c>
      <c r="D1901">
        <f>IF(Skills!C22=1,60+Inputs!$B$26+Inputs!$B$30,IF(Skills!C22=2,90+Inputs!$B$27+Inputs!$B$30,IF(Skills!C22=3,120+Inputs!$B$28+Inputs!$B$30,MAX(0,(Inputs!$B$3-100)*3)+Inputs!$B$29+Inputs!$B$30)))</f>
        <v/>
      </c>
      <c r="E1901">
        <f>INDEX(FactorTable!$B$2:$Y$301, MATCH(ROUND(MIN(300,MAX(1,D1901)),0), FactorTable!$A$2:$A$301,0), Skills!M22+1)</f>
        <v/>
      </c>
      <c r="F1901">
        <f>IF(Skills!N22=TRUE,(Skills!L22/10)*(E1901/1000),Skills!L22/10)+Skills!O22</f>
        <v/>
      </c>
      <c r="G1901">
        <f>Skills!G22*IF(Skills!H22&gt;0,INT(IF(Inputs!$B$39="pvp",MIN(Skills!I22,15),Skills!I22)/Skills!H22+0.000000001),1)</f>
        <v/>
      </c>
      <c r="H1901">
        <f>1-(1-Skills!J22/100)^Skills!K22</f>
        <v/>
      </c>
      <c r="I1901" t="inlineStr">
        <is>
          <t>1</t>
        </is>
      </c>
      <c r="J1901" t="inlineStr"/>
      <c r="K1901" t="inlineStr"/>
      <c r="L1901" t="inlineStr"/>
      <c r="M1901" t="inlineStr"/>
      <c r="N1901" t="inlineStr"/>
      <c r="O1901">
        <f>(1-Summary!$B$11)*T1901+Summary!$B$11*V1901</f>
        <v/>
      </c>
      <c r="P1901">
        <f>IF(B1918=0,0,O1901/B1918)</f>
        <v/>
      </c>
      <c r="Q1901" t="n">
        <v>0</v>
      </c>
      <c r="R1901" t="n">
        <v>0</v>
      </c>
      <c r="S1901">
        <f>IFERROR(O1901/N1901,0)</f>
        <v/>
      </c>
      <c r="T1901" t="n">
        <v>0</v>
      </c>
      <c r="V1901" t="n">
        <v>0</v>
      </c>
    </row>
    <row r="1902">
      <c r="A1902">
        <f>Skills!A23</f>
        <v/>
      </c>
      <c r="B1902">
        <f>Skills!B23</f>
        <v/>
      </c>
      <c r="C1902">
        <f>Inputs!$B$3&gt;=120</f>
        <v/>
      </c>
      <c r="D1902">
        <f>IF(Skills!C23=1,60+Inputs!$B$26+Inputs!$B$30,IF(Skills!C23=2,90+Inputs!$B$27+Inputs!$B$30,IF(Skills!C23=3,120+Inputs!$B$28+Inputs!$B$30,MAX(0,(Inputs!$B$3-100)*3)+Inputs!$B$29+Inputs!$B$30)))</f>
        <v/>
      </c>
      <c r="E1902">
        <f>INDEX(FactorTable!$B$2:$Y$301, MATCH(ROUND(MIN(300,MAX(1,D1902)),0), FactorTable!$A$2:$A$301,0), Skills!M23+1)</f>
        <v/>
      </c>
      <c r="F1902">
        <f>IF(Skills!N23=TRUE,(Skills!L23/10)*(E1902/1000),Skills!L23/10)+Skills!O23</f>
        <v/>
      </c>
      <c r="G1902">
        <f>Skills!G23*IF(Skills!H23&gt;0,INT(IF(Inputs!$B$39="pvp",MIN(Skills!I23,15),Skills!I23)/Skills!H23+0.000000001),1)</f>
        <v/>
      </c>
      <c r="H1902">
        <f>1-(1-Skills!J23/100)^Skills!K23</f>
        <v/>
      </c>
      <c r="I1902" t="inlineStr">
        <is>
          <t>1</t>
        </is>
      </c>
      <c r="J1902" t="inlineStr"/>
      <c r="K1902" t="inlineStr"/>
      <c r="L1902" t="inlineStr"/>
      <c r="M1902" t="inlineStr"/>
      <c r="N1902" t="inlineStr"/>
      <c r="O1902">
        <f>(1-Summary!$B$11)*T1902+Summary!$B$11*V1902</f>
        <v/>
      </c>
      <c r="P1902">
        <f>IF(B1918=0,0,O1902/B1918)</f>
        <v/>
      </c>
      <c r="Q1902" t="n">
        <v>0</v>
      </c>
      <c r="R1902" t="n">
        <v>0</v>
      </c>
      <c r="S1902">
        <f>IFERROR(O1902/N1902,0)</f>
        <v/>
      </c>
      <c r="T1902" t="n">
        <v>0</v>
      </c>
      <c r="V1902" t="n">
        <v>0</v>
      </c>
    </row>
    <row r="1903">
      <c r="A1903">
        <f>Skills!A24</f>
        <v/>
      </c>
      <c r="B1903">
        <f>Skills!B24</f>
        <v/>
      </c>
      <c r="C1903">
        <f>Inputs!$B$3&gt;=120</f>
        <v/>
      </c>
      <c r="D1903">
        <f>IF(Skills!C24=1,60+Inputs!$B$26+Inputs!$B$30,IF(Skills!C24=2,90+Inputs!$B$27+Inputs!$B$30,IF(Skills!C24=3,120+Inputs!$B$28+Inputs!$B$30,MAX(0,(Inputs!$B$3-100)*3)+Inputs!$B$29+Inputs!$B$30)))</f>
        <v/>
      </c>
      <c r="E1903">
        <f>INDEX(FactorTable!$B$2:$Y$301, MATCH(ROUND(MIN(300,MAX(1,D1903)),0), FactorTable!$A$2:$A$301,0), Skills!M24+1)</f>
        <v/>
      </c>
      <c r="F1903">
        <f>IF(Skills!N24=TRUE,(Skills!L24/10)*(E1903/1000),Skills!L24/10)+Skills!O24</f>
        <v/>
      </c>
      <c r="G1903">
        <f>Skills!G24*IF(Skills!H24&gt;0,INT(IF(Inputs!$B$39="pvp",MIN(Skills!I24,15),Skills!I24)/Skills!H24+0.000000001),1)</f>
        <v/>
      </c>
      <c r="H1903">
        <f>1-(1-Skills!J24/100)^Skills!K24</f>
        <v/>
      </c>
      <c r="I1903" t="inlineStr">
        <is>
          <t>1</t>
        </is>
      </c>
      <c r="J1903" t="inlineStr"/>
      <c r="K1903" t="inlineStr"/>
      <c r="L1903" t="inlineStr"/>
      <c r="M1903" t="inlineStr"/>
      <c r="N1903" t="inlineStr"/>
      <c r="O1903">
        <f>(1-Summary!$B$11)*T1903+Summary!$B$11*V1903</f>
        <v/>
      </c>
      <c r="P1903">
        <f>IF(B1918=0,0,O1903/B1918)</f>
        <v/>
      </c>
      <c r="Q1903" t="n">
        <v>0</v>
      </c>
      <c r="R1903" t="n">
        <v>0</v>
      </c>
      <c r="S1903">
        <f>IFERROR(O1903/N1903,0)</f>
        <v/>
      </c>
      <c r="T1903" t="n">
        <v>0</v>
      </c>
      <c r="V1903" t="n">
        <v>0</v>
      </c>
    </row>
    <row r="1904">
      <c r="A1904">
        <f>Skills!A25</f>
        <v/>
      </c>
      <c r="B1904">
        <f>Skills!B25</f>
        <v/>
      </c>
      <c r="C1904">
        <f>Inputs!$B$3&gt;=125</f>
        <v/>
      </c>
      <c r="D1904">
        <f>IF(Skills!C25=1,60+Inputs!$B$26+Inputs!$B$30,IF(Skills!C25=2,90+Inputs!$B$27+Inputs!$B$30,IF(Skills!C25=3,120+Inputs!$B$28+Inputs!$B$30,MAX(0,(Inputs!$B$3-100)*3)+Inputs!$B$29+Inputs!$B$30)))</f>
        <v/>
      </c>
      <c r="E1904">
        <f>INDEX(FactorTable!$B$2:$Y$301, MATCH(ROUND(MIN(300,MAX(1,D1904)),0), FactorTable!$A$2:$A$301,0), Skills!M25+1)</f>
        <v/>
      </c>
      <c r="F1904">
        <f>IF(Skills!N25=TRUE,(Skills!L25/10)*(E1904/1000),Skills!L25/10)+Skills!O25</f>
        <v/>
      </c>
      <c r="G1904">
        <f>Skills!G25*IF(Skills!H25&gt;0,INT(IF(Inputs!$B$39="pvp",MIN(Skills!I25,15),Skills!I25)/Skills!H25+0.000000001),1)</f>
        <v/>
      </c>
      <c r="H1904">
        <f>1-(1-Skills!J25/100)^Skills!K25</f>
        <v/>
      </c>
      <c r="I1904" t="inlineStr">
        <is>
          <t>1</t>
        </is>
      </c>
      <c r="J1904" t="inlineStr"/>
      <c r="K1904" t="inlineStr"/>
      <c r="L1904" t="inlineStr"/>
      <c r="M1904" t="inlineStr"/>
      <c r="N1904" t="inlineStr"/>
      <c r="O1904">
        <f>(1-Summary!$B$11)*T1904+Summary!$B$11*V1904</f>
        <v/>
      </c>
      <c r="P1904">
        <f>IF(B1918=0,0,O1904/B1918)</f>
        <v/>
      </c>
      <c r="Q1904" t="n">
        <v>0</v>
      </c>
      <c r="R1904" t="n">
        <v>0</v>
      </c>
      <c r="S1904">
        <f>IFERROR(O1904/N1904,0)</f>
        <v/>
      </c>
      <c r="T1904" t="n">
        <v>0</v>
      </c>
      <c r="V1904" t="n">
        <v>0</v>
      </c>
    </row>
    <row r="1905">
      <c r="A1905">
        <f>Skills!A26</f>
        <v/>
      </c>
      <c r="B1905">
        <f>Skills!B26</f>
        <v/>
      </c>
      <c r="C1905">
        <f>Inputs!$B$3&gt;=107</f>
        <v/>
      </c>
      <c r="D1905">
        <f>IF(Skills!C26=1,60+Inputs!$B$26+Inputs!$B$30,IF(Skills!C26=2,90+Inputs!$B$27+Inputs!$B$30,IF(Skills!C26=3,120+Inputs!$B$28+Inputs!$B$30,MAX(0,(Inputs!$B$3-100)*3)+Inputs!$B$29+Inputs!$B$30)))</f>
        <v/>
      </c>
      <c r="E1905">
        <f>INDEX(FactorTable!$B$2:$Y$301, MATCH(ROUND(MIN(300,MAX(1,D1905)),0), FactorTable!$A$2:$A$301,0), Skills!M26+1)</f>
        <v/>
      </c>
      <c r="F1905">
        <f>IF(Skills!N26=TRUE,(Skills!L26/10)*(E1905/1000),Skills!L26/10)+Skills!O26</f>
        <v/>
      </c>
      <c r="G1905">
        <f>Skills!G26*IF(Skills!H26&gt;0,INT(IF(Inputs!$B$39="pvp",MIN(Skills!I26,15),Skills!I26)/Skills!H26+0.000000001),1)</f>
        <v/>
      </c>
      <c r="H1905">
        <f>1-(1-Skills!J26/100)^Skills!K26</f>
        <v/>
      </c>
      <c r="I1905" t="inlineStr">
        <is>
          <t>1</t>
        </is>
      </c>
      <c r="J1905" t="inlineStr"/>
      <c r="K1905" t="inlineStr"/>
      <c r="L1905" t="inlineStr"/>
      <c r="M1905" t="inlineStr"/>
      <c r="N1905" t="inlineStr"/>
      <c r="O1905">
        <f>(1-Summary!$B$11)*T1905+Summary!$B$11*V1905</f>
        <v/>
      </c>
      <c r="P1905">
        <f>IF(B1918=0,0,O1905/B1918)</f>
        <v/>
      </c>
      <c r="Q1905" t="n">
        <v>0</v>
      </c>
      <c r="R1905" t="n">
        <v>0</v>
      </c>
      <c r="S1905">
        <f>IFERROR(O1905/N1905,0)</f>
        <v/>
      </c>
      <c r="T1905" t="n">
        <v>0</v>
      </c>
      <c r="V1905" t="n">
        <v>0</v>
      </c>
    </row>
    <row r="1907">
      <c r="A1907" t="inlineStr">
        <is>
          <t>Attack% Bucket Multiplier</t>
        </is>
      </c>
      <c r="B1907">
        <f>(1+(((C1892=TRUE)*F1892*IF(AND(Inputs!$B$39&lt;&gt;"pvp",Inputs!$B$44&gt;0),(((R1892-1)*MIN((Skills!T13*(1+Inputs!$B$35/100)),(1/Q1892))+MIN((Skills!T13*(1+Inputs!$B$35/100)),MAX(0,Inputs!$B$44-((R1892-1)*(1/Q1892)))))/Inputs!$B$44),IF(Inputs!$B$39="pvp",MIN((Skills!T13*(1+Inputs!$B$35/100)),15)/15,MIN(1,(Skills!T13*(1+Inputs!$B$35/100))/(1/Q1892)))))+((C1893=TRUE)*F1893*IF(AND(Inputs!$B$39&lt;&gt;"pvp",Inputs!$B$44&gt;0),(((R1893-1)*MIN((Skills!T14*(1+Inputs!$B$35/100)),(1/Q1893))+MIN((Skills!T14*(1+Inputs!$B$35/100)),MAX(0,Inputs!$B$44-((R1893-1)*(1/Q1893)))))/Inputs!$B$44),IF(Inputs!$B$39="pvp",MIN((Skills!T14*(1+Inputs!$B$35/100)),15)/15,MIN(1,(Skills!T14*(1+Inputs!$B$35/100))/(1/Q1893)))))+((C1894=TRUE)*F1894*IF(AND(Inputs!$B$39&lt;&gt;"pvp",Inputs!$B$44&gt;0),(((R1894-1)*MIN((Skills!T15*(1+Inputs!$B$35/100)),(1/Q1894))+MIN((Skills!T15*(1+Inputs!$B$35/100)),MAX(0,Inputs!$B$44-((R1894-1)*(1/Q1894)))))/Inputs!$B$44),IF(Inputs!$B$39="pvp",MIN((Skills!T15*(1+Inputs!$B$35/100)),15)/15,MIN(1,(Skills!T15*(1+Inputs!$B$35/100))/(1/Q1894)))))+((C1895=TRUE)*F1895*IF(AND(Inputs!$B$39&lt;&gt;"pvp",Inputs!$B$44&gt;0),(((R1895-1)*MIN((Skills!T16*(1+Inputs!$B$35/100)),(1/Q1895))+MIN((Skills!T16*(1+Inputs!$B$35/100)),MAX(0,Inputs!$B$44-((R1895-1)*(1/Q1895)))))/Inputs!$B$44),IF(Inputs!$B$39="pvp",MIN((Skills!T16*(1+Inputs!$B$35/100)),15)/15,MIN(1,(Skills!T16*(1+Inputs!$B$35/100))/(1/Q1895)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1908">
      <c r="A1908" t="inlineStr">
        <is>
          <t>Global Crit Rate Bonus % (Lord of Darkness)</t>
        </is>
      </c>
      <c r="B1908">
        <f>((C1897=TRUE)*F1897*(Skills!J18/100)*IF(AND(Inputs!$B$39&lt;&gt;"pvp",Inputs!$B$44&gt;0),(((R1897-1)*MIN((Skills!T18*(1+Inputs!$B$35/100)),(1/Q1897))+MIN((Skills!T18*(1+Inputs!$B$35/100)),MAX(0,Inputs!$B$44-((R1897-1)*(1/Q1897)))))/Inputs!$B$44),IF(Inputs!$B$39="pvp",MIN((Skills!T18*(1+Inputs!$B$35/100)),15)/15,MIN(1,(Skills!T18*(1+Inputs!$B$35/100))/(1/Q1897)))))</f>
        <v/>
      </c>
    </row>
    <row r="1909">
      <c r="A1909" t="inlineStr">
        <is>
          <t>Attack Speed Buff Bonus %</t>
        </is>
      </c>
      <c r="B1909">
        <f>((C1899=TRUE)*F1899*IF(AND(Inputs!$B$39&lt;&gt;"pvp",Inputs!$B$44&gt;0),(((R1899-1)*MIN((Skills!T20*(1+Inputs!$B$35/100)),(1/Q1899))+MIN((Skills!T20*(1+Inputs!$B$35/100)),MAX(0,Inputs!$B$44-((R1899-1)*(1/Q1899)))))/Inputs!$B$44),IF(Inputs!$B$39="pvp",MIN((Skills!T20*(1+Inputs!$B$35/100)),15)/15,MIN(1,(Skills!T20*(1+Inputs!$B$35/100))/(1/Q1899)))))</f>
        <v/>
      </c>
    </row>
    <row r="1910">
      <c r="A1910" t="inlineStr">
        <is>
          <t>Actions Per Second</t>
        </is>
      </c>
      <c r="B1910">
        <f>1+MIN(150,150*(1-(1-(Inputs!$B$12+((C1900=TRUE)*(F1900-Calc!F21)))/150)*(1-B1909/150)))/100</f>
        <v/>
      </c>
    </row>
    <row r="1911">
      <c r="A1911" t="inlineStr">
        <is>
          <t>Skill + Buff Cast Rate</t>
        </is>
      </c>
      <c r="B1911">
        <f>IF(AND(Inputs!$B$39&lt;&gt;"pvp",Inputs!$B$44&gt;0),SUMPRODUCT((Skills!E2:E26=TRUE)*(C1881:C1905=TRUE)*R1881:R1905*Skills!F2:F26)/Inputs!$B$44,SUMPRODUCT((Skills!E2:E26=TRUE)*(C1881:C1905=TRUE)*Q1881:Q1905*Skills!F2:F26))</f>
        <v/>
      </c>
    </row>
    <row r="1912">
      <c r="A1912" t="inlineStr">
        <is>
          <t>Dark Impale Casts Per Second</t>
        </is>
      </c>
      <c r="B1912">
        <f>MAX(0,B1910-B1911)</f>
        <v/>
      </c>
    </row>
    <row r="1913">
      <c r="A1913" t="inlineStr">
        <is>
          <t>Global Critical Damage Bonus % (Lord of Darkness)</t>
        </is>
      </c>
      <c r="B1913">
        <f>((C1898=TRUE)*F1898*(Skills!J19/100)*IF(AND(Inputs!$B$39&lt;&gt;"pvp",Inputs!$B$44&gt;0),(((R1898-1)*MIN((Skills!T19*(1+Inputs!$B$35/100)),(1/Q1898))+MIN((Skills!T19*(1+Inputs!$B$35/100)),MAX(0,Inputs!$B$44-((R1898-1)*(1/Q1898)))))/Inputs!$B$44),IF(Inputs!$B$39="pvp",MIN((Skills!T19*(1+Inputs!$B$35/100)),15)/15,MIN(1,(Skills!T19*(1+Inputs!$B$35/100))/(1/Q1898)))))</f>
        <v/>
      </c>
    </row>
    <row r="1914">
      <c r="A1914" t="inlineStr">
        <is>
          <t>Global Final Damage Bonus % (unused)</t>
        </is>
      </c>
      <c r="B1914" t="n">
        <v>0</v>
      </c>
    </row>
    <row r="1915">
      <c r="A1915" t="inlineStr">
        <is>
          <t>Buff-Casting Startup Delay (s, fixed-duration only)</t>
        </is>
      </c>
      <c r="B1915">
        <f>IF(AND(Inputs!$B$39&lt;&gt;"pvp",Inputs!$B$44&gt;0),SUMPRODUCT((Skills!T2:T26&gt;0)*(Skills!E2:E26=TRUE)*(C1881:C1905=TRUE))/B1910,0)</f>
        <v/>
      </c>
    </row>
    <row r="1916">
      <c r="A1916" t="inlineStr">
        <is>
          <t>Boss-Only Total DPS (this block's swept value)</t>
        </is>
      </c>
      <c r="B1916">
        <f>SUM(T1881:T1905)</f>
        <v/>
      </c>
    </row>
    <row r="1917">
      <c r="A1917" t="inlineStr">
        <is>
          <t>Normal-Only Total DPS (this block's swept value)</t>
        </is>
      </c>
      <c r="B1917">
        <f>SUM(V1881:V1905)</f>
        <v/>
      </c>
    </row>
    <row r="1918">
      <c r="A1918" s="6" t="inlineStr">
        <is>
          <t>TOTAL DPS</t>
        </is>
      </c>
      <c r="B1918" s="6">
        <f>SUM(O1881:O1905)</f>
        <v/>
      </c>
    </row>
    <row r="1921">
      <c r="A1921" s="6" t="inlineStr">
        <is>
          <t>Stat: Star Rock (Equip)</t>
        </is>
      </c>
    </row>
    <row r="1922">
      <c r="A1922" s="5" t="inlineStr">
        <is>
          <t>Key</t>
        </is>
      </c>
      <c r="B1922" s="5" t="inlineStr">
        <is>
          <t>Name</t>
        </is>
      </c>
      <c r="C1922" s="5" t="inlineStr">
        <is>
          <t>Unlocked</t>
        </is>
      </c>
      <c r="D1922" s="5" t="inlineStr">
        <is>
          <t>InputLevel</t>
        </is>
      </c>
      <c r="E1922" s="5" t="inlineStr">
        <is>
          <t>Factor</t>
        </is>
      </c>
      <c r="F1922" s="5" t="inlineStr">
        <is>
          <t>CoefficientPercent</t>
        </is>
      </c>
      <c r="G1922" s="5" t="inlineStr">
        <is>
          <t>EffectiveHits</t>
        </is>
      </c>
      <c r="H1922" s="5" t="inlineStr">
        <is>
          <t>ProcProbability</t>
        </is>
      </c>
      <c r="I1922" s="5" t="inlineStr">
        <is>
          <t>MapleHeroMultiplier</t>
        </is>
      </c>
      <c r="J1922" s="5" t="inlineStr">
        <is>
          <t>BaseDamage</t>
        </is>
      </c>
      <c r="K1922" s="5" t="inlineStr">
        <is>
          <t>BaseHitDamage</t>
        </is>
      </c>
      <c r="L1922" s="5" t="inlineStr">
        <is>
          <t>NonCritAvg</t>
        </is>
      </c>
      <c r="M1922" s="5" t="inlineStr">
        <is>
          <t>CritAvg</t>
        </is>
      </c>
      <c r="N1922" s="5" t="inlineStr">
        <is>
          <t>ExpectedDamage(perHit)</t>
        </is>
      </c>
      <c r="O1922" s="5" t="inlineStr">
        <is>
          <t>DPS</t>
        </is>
      </c>
      <c r="P1922" s="5" t="inlineStr">
        <is>
          <t>% of Total</t>
        </is>
      </c>
      <c r="Q1922" s="5" t="inlineStr">
        <is>
          <t>InvCooldown</t>
        </is>
      </c>
      <c r="R1922" s="5" t="inlineStr">
        <is>
          <t>CastsInFight</t>
        </is>
      </c>
      <c r="S1922" s="5" t="inlineStr">
        <is>
          <t>HitRate(perSec)</t>
        </is>
      </c>
      <c r="U1922" t="inlineStr">
        <is>
          <t>helpers</t>
        </is>
      </c>
    </row>
    <row r="1923">
      <c r="A1923">
        <f>Skills!A2</f>
        <v/>
      </c>
      <c r="B1923">
        <f>Skills!B2</f>
        <v/>
      </c>
      <c r="C1923">
        <f>Inputs!$B$3&gt;=100</f>
        <v/>
      </c>
      <c r="D1923" t="inlineStr"/>
      <c r="E1923" t="inlineStr"/>
      <c r="F1923">
        <f>U1925+Skills!O2</f>
        <v/>
      </c>
      <c r="G1923">
        <f>Skills!G2*IF(Skills!H2&gt;0,INT(IF(Inputs!$B$39="pvp",MIN(Skills!I2,15),Skills!I2)/Skills!H2+0.000000001),1)</f>
        <v/>
      </c>
      <c r="H1923">
        <f>1-(1-Skills!J2/100)^Skills!K2</f>
        <v/>
      </c>
      <c r="I1923" t="inlineStr">
        <is>
          <t>1</t>
        </is>
      </c>
      <c r="J1923">
        <f>((Inputs!$B$6*(1+Inputs!$B$7/100))+(((Inputs!$B$13*(1+Inputs!$B$14/100))-(Inputs!$B$13*(1+Inputs!$B$14/100)))+0.25*(Inputs!$B$15-Inputs!$B$15))*(1+Inputs!$B$7/100))*(F1923/100)</f>
        <v/>
      </c>
      <c r="K1923">
        <f>J1923*(1+(((Inputs!$B$13+IF(Inputs!$B$3&gt;=38,(10*INDEX(FactorTable!$B$2:$Y$301, MATCH(ROUND(MIN(300,MAX(1,Inputs!$B$3)),0), FactorTable!$A$2:$A$301,0), 23)/1000)/100*(Inputs!$B$8*(1+Inputs!$B$9/100)),0))*(1+Inputs!$B$14/100))*0.01+Inputs!$B$15*0.0025)/100)*(1+Inputs!$B$16/100)*(1+Inputs!$B$17/100)*(5000/(6000+Inputs!$B$43*(1-(Inputs!$B$20+0)/100)))*(1+(Inputs!$B$25+((C1946=TRUE)*(F1946-Calc!F25))+((C1947=TRUE)*(F1947-Calc!F26))+B1956)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gt;=100),MIN(100,((Inputs!$B$10+0+B1950+(ArtifactsInput!$M$24-ArtifactsInput!$M$24)*CHOOSE(ArtifactsInput!$N$24+1,10,12,14,16,18,20)+IF(ArtifactsInput!$M$10,CHOOSE(ArtifactsInput!$N$10+1,15,18,21,24,27,30)*(IF(Inputs!$B$39="pvp",MIN(15,15)/15,IF(AND(Inputs!$B$39&lt;&gt;"pvp",Inputs!$B$44&gt;0),MIN(15,Inputs!$B$44)/(Inputs!$B$44),0))),0)))-100),0))*CHOOSE(ArtifactsInput!$N$42+1,0.6,0.72,0.84,0.96,1.08,1.2))),Inputs!$B$19+((C1944=TRUE)*(F1944-Calc!F23))+(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gt;=100),CHOOSE(ArtifactsInput!$N$42+1,40,48,56,64,72,80),0))))/100)*((1+(((C1934=TRUE)*F1934*IF(AND(Inputs!$B$39&lt;&gt;"pvp",Inputs!$B$44&gt;0),(((R1934-1)*MIN((Skills!T13*(1+Inputs!$B$35/100)),(1/Q1934))+MIN((Skills!T13*(1+Inputs!$B$35/100)),MAX(0,Inputs!$B$44-((R1934-1)*(1/Q1934)))))/Inputs!$B$44),IF(Inputs!$B$39="pvp",MIN((Skills!T13*(1+Inputs!$B$35/100)),15)/15,MIN(1,(Skills!T13*(1+Inputs!$B$35/100))/(1/Q1934)))))+((C1935=TRUE)*F1935*IF(AND(Inputs!$B$39&lt;&gt;"pvp",Inputs!$B$44&gt;0),(((R1935-1)*MIN((Skills!T14*(1+Inputs!$B$35/100)),(1/Q1935))+MIN((Skills!T14*(1+Inputs!$B$35/100)),MAX(0,Inputs!$B$44-((R1935-1)*(1/Q1935)))))/Inputs!$B$44),IF(Inputs!$B$39="pvp",MIN((Skills!T14*(1+Inputs!$B$35/100)),15)/15,MIN(1,(Skills!T14*(1+Inputs!$B$35/100))/(1/Q1935)))))+((C1936=TRUE)*F1936*IF(AND(Inputs!$B$39&lt;&gt;"pvp",Inputs!$B$44&gt;0),(((R1936-1)*MIN((Skills!T15*(1+Inputs!$B$35/100)),(1/Q1936))+MIN((Skills!T15*(1+Inputs!$B$35/100)),MAX(0,Inputs!$B$44-((R1936-1)*(1/Q1936)))))/Inputs!$B$44),IF(Inputs!$B$39="pvp",MIN((Skills!T15*(1+Inputs!$B$35/100)),15)/15,MIN(1,(Skills!T15*(1+Inputs!$B$35/100))/(1/Q1936)))))+((C1937=TRUE)*F1937*IF(AND(Inputs!$B$39&lt;&gt;"pvp",Inputs!$B$44&gt;0),(((R1937-1)*MIN((Skills!T16*(1+Inputs!$B$35/100)),(1/Q1937))+MIN((Skills!T16*(1+Inputs!$B$35/100)),MAX(0,Inputs!$B$44-((R1937-1)*(1/Q1937)))))/Inputs!$B$44),IF(Inputs!$B$39="pvp",MIN((Skills!T16*(1+Inputs!$B$35/100)),15)/15,MIN(1,(Skills!T16*(1+Inputs!$B$35/100))/(1/Q1937)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1923)</f>
        <v/>
      </c>
      <c r="L1923">
        <f>K1923*(MIN(Inputs!$B$23+((C1943=TRUE)*(F1943-Calc!F22)),(Inputs!$B$24+((C1945=TRUE)*(F1945-Calc!F24))+(IF(ArtifactsInput!$M$15,CHOOSE(ArtifactsInput!$N$15+1,25,30,35,40,45,50)/100*(Inputs!$B$12-Inputs!$B$12),0))))/100+(Inputs!$B$24+((C1945=TRUE)*(F1945-Calc!F24))+(IF(ArtifactsInput!$M$15,CHOOSE(ArtifactsInput!$N$15+1,25,30,35,40,45,50)/100*(Inputs!$B$12-Inputs!$B$12),0)))/100)/2</f>
        <v/>
      </c>
      <c r="M1923">
        <f>L1923*(1+(Inputs!$B$11+0+B1955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923">
        <f>L1923*(1-MIN((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1923*(MIN((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23">
        <f>(1-Summary!$B$11)*T1923+Summary!$B$11*V1923</f>
        <v/>
      </c>
      <c r="P1923">
        <f>IF(B1960=0,0,O1923/B1960)</f>
        <v/>
      </c>
      <c r="Q1923" t="n">
        <v>0</v>
      </c>
      <c r="R1923" t="n">
        <v>0</v>
      </c>
      <c r="S1923">
        <f>IFERROR(O1923/N1923,0)</f>
        <v/>
      </c>
      <c r="T1923">
        <f>IF(C1923,(Skills!G2*N1923*B1954)*IF(Inputs!$B$39="pvp",1,1+(Inputs!$B$21+0+Skills!P2+((C1938=TRUE)*F1938*IF(AND(Inputs!$B$39&lt;&gt;"pvp",Inputs!$B$44&gt;0),(((R1938-1)*MIN((Skills!T17*(1+Inputs!$B$35/100)),(1/Q1938))+MIN((Skills!T17*(1+Inputs!$B$35/100)),MAX(0,Inputs!$B$44-((R1938-1)*(1/Q1938)))))/Inputs!$B$44),IF(Inputs!$B$39="pvp",MIN((Skills!T17*(1+Inputs!$B$35/100)),15)/15,MIN(1,(Skills!T17*(1+Inputs!$B$35/100))/(1/Q1938)))))+((C1926=TRUE)*IF(Inputs!$B$3&gt;=126,10*MIN(1,15*Q1926),0))+((C1935=TRUE)*IF(Inputs!$B$39="pvp",20,(1-Summary!$B$11)*(20)+Summary!$B$11*(0))*IF(AND(Inputs!$B$39&lt;&gt;"pvp",Inputs!$B$44&gt;0),(((R1935-1)*MIN((Skills!T14*(1+Inputs!$B$35/100)),(1/Q1935))+MIN((Skills!T14*(1+Inputs!$B$35/100)),MAX(0,Inputs!$B$44-((R1935-1)*(1/Q1935)))))/Inputs!$B$44),IF(Inputs!$B$39="pvp",MIN((Skills!T14*(1+Inputs!$B$35/100)),15)/15,MIN(1,(Skills!T14*(1+Inputs!$B$35/100))/(1/Q1935)))))+((C1934=TRUE)*IF(Inputs!$B$3&gt;=82,IF(Inputs!$B$39="pvp",20,(1-Summary!$B$11)*(20)+Summary!$B$11*(0)),0)*IF(AND(Inputs!$B$39&lt;&gt;"pvp",Inputs!$B$44&gt;0),(((R1934-1)*MIN((Skills!T13*(1+Inputs!$B$35/100)),(1/Q1934))+MIN((Skills!T13*(1+Inputs!$B$35/100)),MAX(0,Inputs!$B$44-((R1934-1)*(1/Q1934)))))/Inputs!$B$44),IF(Inputs!$B$39="pvp",MIN((Skills!T13*(1+Inputs!$B$35/100)),15)/15,MIN(1,(Skills!T13*(1+Inputs!$B$35/100))/(1/Q1934)))))+(IF(AND(ArtifactsInput!$M$35,Inputs!$B$4&lt;&gt;"Chapter Hunt"),CHOOSE(ArtifactsInput!$N$35+1,15,18,21,24,27,30)*(1-EXP(-(0.2*B1952)*5)),0)+IF(AND(ArtifactsInput!$M$22,Inputs!$B$4&lt;&gt;"Chapter Hunt"),CHOOSE(ArtifactsInput!$N$22+1,10,12,14,16,18,20)*((0*(((0.15*B1952*5))^0/1)+1*(((0.15*B1952*5))^1/1)+2*(((0.15*B1952*5))^2/2)+3*(((0.15*B1952*5))^3/6)+4*(((0.15*B1952*5))^4/24)+5*(((0.15*B1952*5))^5/120))/((((0.15*B1952*5))^0/1)+(((0.15*B1952*5))^1/1)+(((0.15*B1952*5))^2/2)+(((0.15*B1952*5))^3/6)+(((0.15*B1952*5))^4/24)+(((0.15*B1952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IF(ArtifactsInput!$M$23,FALSE,TRUE)-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1923*(1-MIN(100,(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1923*(MIN(100,(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1923*(1-MIN(100,(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1923*(MIN(100,(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923">
        <f>MAX(0,(Inputs!$B$3-100)*3)+Inputs!$B$29+Inputs!$B$30</f>
        <v/>
      </c>
      <c r="V1923">
        <f>IF(C1923,(Skills!G2*N1923*B1954)*IF(Inputs!$B$39="pvp",1,(1+(Inputs!$B$22+Skills!Q2+((C1938=TRUE)*F1938*IF(AND(Inputs!$B$39&lt;&gt;"pvp",Inputs!$B$44&gt;0),(((R1938-1)*MIN((Skills!T17*(1+Inputs!$B$35/100)),(1/Q1938))+MIN((Skills!T17*(1+Inputs!$B$35/100)),MAX(0,Inputs!$B$44-((R1938-1)*(1/Q1938)))))/Inputs!$B$44),IF(Inputs!$B$39="pvp",MIN((Skills!T17*(1+Inputs!$B$35/100)),15)/15,MIN(1,(Skills!T17*(1+Inputs!$B$35/100))/(1/Q1938)))))+((C1926=TRUE)*IF(Inputs!$B$3&gt;=126,10*MIN(1,15*Q1926),0))+((C1935=TRUE)*IF(Inputs!$B$39="pvp",20,(1-Summary!$B$11)*(20)+Summary!$B$11*(0))*IF(AND(Inputs!$B$39&lt;&gt;"pvp",Inputs!$B$44&gt;0),(((R1935-1)*MIN((Skills!T14*(1+Inputs!$B$35/100)),(1/Q1935))+MIN((Skills!T14*(1+Inputs!$B$35/100)),MAX(0,Inputs!$B$44-((R1935-1)*(1/Q1935)))))/Inputs!$B$44),IF(Inputs!$B$39="pvp",MIN((Skills!T14*(1+Inputs!$B$35/100)),15)/15,MIN(1,(Skills!T14*(1+Inputs!$B$35/100))/(1/Q1935)))))+((C1934=TRUE)*IF(Inputs!$B$3&gt;=82,IF(Inputs!$B$39="pvp",20,(1-Summary!$B$11)*(20)+Summary!$B$11*(0)),0)*IF(AND(Inputs!$B$39&lt;&gt;"pvp",Inputs!$B$44&gt;0),(((R1934-1)*MIN((Skills!T13*(1+Inputs!$B$35/100)),(1/Q1934))+MIN((Skills!T13*(1+Inputs!$B$35/100)),MAX(0,Inputs!$B$44-((R1934-1)*(1/Q1934)))))/Inputs!$B$44),IF(Inputs!$B$39="pvp",MIN((Skills!T13*(1+Inputs!$B$35/100)),15)/15,MIN(1,(Skills!T13*(1+Inputs!$B$35/100))/(1/Q1934)))))+(IF(AND(ArtifactsInput!$M$35,Inputs!$B$4&lt;&gt;"Chapter Hunt"),CHOOSE(ArtifactsInput!$N$35+1,15,18,21,24,27,30)*(1-EXP(-(0.2*B1952)*5)),0)+IF(AND(ArtifactsInput!$M$22,Inputs!$B$4&lt;&gt;"Chapter Hunt"),CHOOSE(ArtifactsInput!$N$22+1,10,12,14,16,18,20)*((0*(((0.15*B1952*5))^0/1)+1*(((0.15*B1952*5))^1/1)+2*(((0.15*B1952*5))^2/2)+3*(((0.15*B1952*5))^3/6)+4*(((0.15*B1952*5))^4/24)+5*(((0.15*B1952*5))^5/120))/((((0.15*B1952*5))^0/1)+(((0.15*B1952*5))^1/1)+(((0.15*B1952*5))^2/2)+(((0.15*B1952*5))^3/6)+(((0.15*B1952*5))^4/24)+(((0.15*B1952*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24">
      <c r="A1924">
        <f>Skills!A3</f>
        <v/>
      </c>
      <c r="B1924">
        <f>Skills!B3</f>
        <v/>
      </c>
      <c r="C1924">
        <f>Inputs!$B$3&gt;=50</f>
        <v/>
      </c>
      <c r="D1924">
        <f>IF(Skills!C3=1,60+Inputs!$B$26+Inputs!$B$30,IF(Skills!C3=2,90+Inputs!$B$27+Inputs!$B$30,IF(Skills!C3=3,120+Inputs!$B$28+Inputs!$B$30,MAX(0,(Inputs!$B$3-100)*3)+Inputs!$B$29+Inputs!$B$30)))</f>
        <v/>
      </c>
      <c r="E1924">
        <f>INDEX(FactorTable!$B$2:$Y$301, MATCH(ROUND(MIN(300,MAX(1,D1924)),0), FactorTable!$A$2:$A$301,0), Skills!M3+1)</f>
        <v/>
      </c>
      <c r="F1924">
        <f>IF(Skills!N3=TRUE,(Skills!L3/10)*(E1924/1000),Skills!L3/10)+Skills!O3</f>
        <v/>
      </c>
      <c r="G1924" t="inlineStr"/>
      <c r="H1924" t="inlineStr"/>
      <c r="I1924" t="inlineStr">
        <is>
          <t>1</t>
        </is>
      </c>
      <c r="J1924" t="inlineStr"/>
      <c r="K1924" t="inlineStr"/>
      <c r="L1924" t="inlineStr"/>
      <c r="M1924" t="inlineStr"/>
      <c r="N1924" t="inlineStr"/>
      <c r="O1924" t="inlineStr"/>
      <c r="P1924" t="inlineStr"/>
      <c r="Q1924" t="inlineStr"/>
      <c r="R1924" t="inlineStr"/>
      <c r="S1924" t="inlineStr"/>
      <c r="U1924">
        <f>INDEX(FactorTable!$B$2:$Y$301, MATCH(ROUND(MIN(300,MAX(1,U1923)),0), FactorTable!$A$2:$A$301,0), 22)</f>
        <v/>
      </c>
    </row>
    <row r="1925">
      <c r="A1925">
        <f>Skills!A4</f>
        <v/>
      </c>
      <c r="B1925">
        <f>Skills!B4</f>
        <v/>
      </c>
      <c r="C1925">
        <f>Inputs!$B$3&gt;=105</f>
        <v/>
      </c>
      <c r="D1925">
        <f>IF(Skills!C4=1,60+Inputs!$B$26+Inputs!$B$30,IF(Skills!C4=2,90+Inputs!$B$27+Inputs!$B$30,IF(Skills!C4=3,120+Inputs!$B$28+Inputs!$B$30,MAX(0,(Inputs!$B$3-100)*3)+Inputs!$B$29+Inputs!$B$30)))</f>
        <v/>
      </c>
      <c r="E1925">
        <f>INDEX(FactorTable!$B$2:$Y$301, MATCH(ROUND(MIN(300,MAX(1,D1925)),0), FactorTable!$A$2:$A$301,0), Skills!M4+1)</f>
        <v/>
      </c>
      <c r="F1925">
        <f>IF(Skills!N4=TRUE,(Skills!L4/10)*(E1925/1000),Skills!L4/10)+Skills!O4</f>
        <v/>
      </c>
      <c r="G1925" t="inlineStr"/>
      <c r="H1925" t="inlineStr"/>
      <c r="I1925" t="inlineStr">
        <is>
          <t>1</t>
        </is>
      </c>
      <c r="J1925" t="inlineStr"/>
      <c r="K1925" t="inlineStr"/>
      <c r="L1925" t="inlineStr"/>
      <c r="M1925" t="inlineStr"/>
      <c r="N1925" t="inlineStr"/>
      <c r="O1925" t="inlineStr"/>
      <c r="P1925" t="inlineStr"/>
      <c r="Q1925" t="inlineStr"/>
      <c r="R1925" t="inlineStr"/>
      <c r="S1925" t="inlineStr"/>
      <c r="U1925">
        <f>290*U1924/1000</f>
        <v/>
      </c>
    </row>
    <row r="1926">
      <c r="A1926">
        <f>Skills!A5</f>
        <v/>
      </c>
      <c r="B1926">
        <f>Skills!B5</f>
        <v/>
      </c>
      <c r="C1926">
        <f>Inputs!$B$3&gt;=117</f>
        <v/>
      </c>
      <c r="D1926">
        <f>IF(Skills!C5=1,60+Inputs!$B$26+Inputs!$B$30,IF(Skills!C5=2,90+Inputs!$B$27+Inputs!$B$30,IF(Skills!C5=3,120+Inputs!$B$28+Inputs!$B$30,MAX(0,(Inputs!$B$3-100)*3)+Inputs!$B$29+Inputs!$B$30)))</f>
        <v/>
      </c>
      <c r="E1926">
        <f>INDEX(FactorTable!$B$2:$Y$301, MATCH(ROUND(MIN(300,MAX(1,D1926)),0), FactorTable!$A$2:$A$301,0), Skills!M5+1)</f>
        <v/>
      </c>
      <c r="F1926">
        <f>IF(Skills!N5=TRUE,(Skills!L5/10)*(E1926/1000),Skills!L5/10)+Skills!O5</f>
        <v/>
      </c>
      <c r="G1926">
        <f>Skills!G5*IF(Skills!H5&gt;0,INT(IF(Inputs!$B$39="pvp",MIN(Skills!I5,15),Skills!I5)/Skills!H5+0.000000001),1)</f>
        <v/>
      </c>
      <c r="H1926">
        <f>1-(1-Skills!J5/100)^Skills!K5</f>
        <v/>
      </c>
      <c r="I1926" t="inlineStr">
        <is>
          <t>1</t>
        </is>
      </c>
      <c r="J1926">
        <f>((Inputs!$B$6*(1+Inputs!$B$7/100))+(((Inputs!$B$13*(1+Inputs!$B$14/100))-(Inputs!$B$13*(1+Inputs!$B$14/100)))+0.25*(Inputs!$B$15-Inputs!$B$15))*(1+Inputs!$B$7/100))*(F1926/100)</f>
        <v/>
      </c>
      <c r="K1926">
        <f>J1926*(1+(((Inputs!$B$13+IF(Inputs!$B$3&gt;=38,(10*INDEX(FactorTable!$B$2:$Y$301, MATCH(ROUND(MIN(300,MAX(1,Inputs!$B$3)),0), FactorTable!$A$2:$A$301,0), 23)/1000)/100*(Inputs!$B$8*(1+Inputs!$B$9/100)),0))*(1+Inputs!$B$14/100))*0.01+Inputs!$B$15*0.0025)/100)*(1+Inputs!$B$16/100)*(1+Inputs!$B$17/100)*(5000/(6000+Inputs!$B$43*(1-(Inputs!$B$20+0)/100)))*(1+(Inputs!$B$25+((C1946=TRUE)*(F1946-Calc!F25))+((C1947=TRUE)*(F1947-Calc!F26))+B1956)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gt;=100),MIN(100,((Inputs!$B$10+0+B1950+(ArtifactsInput!$M$24-ArtifactsInput!$M$24)*CHOOSE(ArtifactsInput!$N$24+1,10,12,14,16,18,20)+IF(ArtifactsInput!$M$10,CHOOSE(ArtifactsInput!$N$10+1,15,18,21,24,27,30)*(IF(Inputs!$B$39="pvp",MIN(15,15)/15,IF(AND(Inputs!$B$39&lt;&gt;"pvp",Inputs!$B$44&gt;0),MIN(15,Inputs!$B$44)/(Inputs!$B$44),0))),0)))-100),0))*CHOOSE(ArtifactsInput!$N$42+1,0.6,0.72,0.84,0.96,1.08,1.2))),Inputs!$B$19+((C1944=TRUE)*(F1944-Calc!F23))+(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gt;=100),CHOOSE(ArtifactsInput!$N$42+1,40,48,56,64,72,80),0))))/100)*((1+(((C1934=TRUE)*F1934*IF(AND(Inputs!$B$39&lt;&gt;"pvp",Inputs!$B$44&gt;0),(((R1934-1)*MIN((Skills!T13*(1+Inputs!$B$35/100)),(1/Q1934))+MIN((Skills!T13*(1+Inputs!$B$35/100)),MAX(0,Inputs!$B$44-((R1934-1)*(1/Q1934)))))/Inputs!$B$44),IF(Inputs!$B$39="pvp",MIN((Skills!T13*(1+Inputs!$B$35/100)),15)/15,MIN(1,(Skills!T13*(1+Inputs!$B$35/100))/(1/Q1934)))))+((C1935=TRUE)*F1935*IF(AND(Inputs!$B$39&lt;&gt;"pvp",Inputs!$B$44&gt;0),(((R1935-1)*MIN((Skills!T14*(1+Inputs!$B$35/100)),(1/Q1935))+MIN((Skills!T14*(1+Inputs!$B$35/100)),MAX(0,Inputs!$B$44-((R1935-1)*(1/Q1935)))))/Inputs!$B$44),IF(Inputs!$B$39="pvp",MIN((Skills!T14*(1+Inputs!$B$35/100)),15)/15,MIN(1,(Skills!T14*(1+Inputs!$B$35/100))/(1/Q1935)))))+((C1936=TRUE)*F1936*IF(AND(Inputs!$B$39&lt;&gt;"pvp",Inputs!$B$44&gt;0),(((R1936-1)*MIN((Skills!T15*(1+Inputs!$B$35/100)),(1/Q1936))+MIN((Skills!T15*(1+Inputs!$B$35/100)),MAX(0,Inputs!$B$44-((R1936-1)*(1/Q1936)))))/Inputs!$B$44),IF(Inputs!$B$39="pvp",MIN((Skills!T15*(1+Inputs!$B$35/100)),15)/15,MIN(1,(Skills!T15*(1+Inputs!$B$35/100))/(1/Q1936)))))+((C1937=TRUE)*F1937*IF(AND(Inputs!$B$39&lt;&gt;"pvp",Inputs!$B$44&gt;0),(((R1937-1)*MIN((Skills!T16*(1+Inputs!$B$35/100)),(1/Q1937))+MIN((Skills!T16*(1+Inputs!$B$35/100)),MAX(0,Inputs!$B$44-((R1937-1)*(1/Q1937)))))/Inputs!$B$44),IF(Inputs!$B$39="pvp",MIN((Skills!T16*(1+Inputs!$B$35/100)),15)/15,MIN(1,(Skills!T16*(1+Inputs!$B$35/100))/(1/Q1937)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1926)</f>
        <v/>
      </c>
      <c r="L1926">
        <f>K1926*(MIN(Inputs!$B$23+((C1943=TRUE)*(F1943-Calc!F22)),(Inputs!$B$24+((C1945=TRUE)*(F1945-Calc!F24))+(IF(ArtifactsInput!$M$15,CHOOSE(ArtifactsInput!$N$15+1,25,30,35,40,45,50)/100*(Inputs!$B$12-Inputs!$B$12),0))))/100+(Inputs!$B$24+((C1945=TRUE)*(F1945-Calc!F24))+(IF(ArtifactsInput!$M$15,CHOOSE(ArtifactsInput!$N$15+1,25,30,35,40,45,50)/100*(Inputs!$B$12-Inputs!$B$12),0)))/100)/2</f>
        <v/>
      </c>
      <c r="M1926">
        <f>L1926*(1+(Inputs!$B$11+0+B1955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926">
        <f>L1926*(1-MIN((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1926*(MIN((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26">
        <f>(1-Summary!$B$11)*T1926+Summary!$B$11*V1926</f>
        <v/>
      </c>
      <c r="P1926">
        <f>IF(B1960=0,0,O1926/B1960)</f>
        <v/>
      </c>
      <c r="Q1926">
        <f>IFERROR(1/IF(Inputs!$B$39="pvp",15,MAX(0.1,Skills!D5-IF(TRUE=TRUE,Inputs!$B$33,0))),0)</f>
        <v/>
      </c>
      <c r="R1926">
        <f>IF(AND(Inputs!$B$39&lt;&gt;"pvp",Inputs!$B$44&gt;0),IF(MAX(0,Inputs!$B$44-B1957)&lt;=0,0,(INT(MAX(0,Inputs!$B$44-B1957)/IF(Inputs!$B$39="pvp",15,MAX(0.1,Skills!D5-IF(TRUE=TRUE,Inputs!$B$33,0))))+1)),0)</f>
        <v/>
      </c>
      <c r="S1926">
        <f>IFERROR(O1926/N1926,0)</f>
        <v/>
      </c>
      <c r="T1926">
        <f>IF(C1926,(H1926*N1926*IF(AND(Inputs!$B$39&lt;&gt;"pvp",Inputs!$B$44&gt;0),((Skills!G5*((R1926-1)*IF(Skills!H5&gt;0,INT(Skills!I5/Skills!H5+0.000000001),1)+IF(Skills!H5&gt;0,INT(MIN(Skills!I5,MAX(0,MAX(0,Inputs!$B$44-B1957)-((R1926-1)*IF(Inputs!$B$39="pvp",15,MAX(0.1,Skills!D5-IF(TRUE=TRUE,Inputs!$B$33,0))))))/Skills!H5+0.000000001),1)))/Inputs!$B$44),G1926*Q1926))*IF(Inputs!$B$39="pvp",1,1+(Inputs!$B$21+0+Skills!P5+((C1938=TRUE)*F1938*IF(AND(Inputs!$B$39&lt;&gt;"pvp",Inputs!$B$44&gt;0),(((R1938-1)*MIN((Skills!T17*(1+Inputs!$B$35/100)),(1/Q1938))+MIN((Skills!T17*(1+Inputs!$B$35/100)),MAX(0,Inputs!$B$44-((R1938-1)*(1/Q1938)))))/Inputs!$B$44),IF(Inputs!$B$39="pvp",MIN((Skills!T17*(1+Inputs!$B$35/100)),15)/15,MIN(1,(Skills!T17*(1+Inputs!$B$35/100))/(1/Q1938)))))+((C1926=TRUE)*IF(Inputs!$B$3&gt;=126,10*MIN(1,15*Q1926),0))+((C1935=TRUE)*IF(Inputs!$B$39="pvp",20,(1-Summary!$B$11)*(20)+Summary!$B$11*(0))*IF(AND(Inputs!$B$39&lt;&gt;"pvp",Inputs!$B$44&gt;0),(((R1935-1)*MIN((Skills!T14*(1+Inputs!$B$35/100)),(1/Q1935))+MIN((Skills!T14*(1+Inputs!$B$35/100)),MAX(0,Inputs!$B$44-((R1935-1)*(1/Q1935)))))/Inputs!$B$44),IF(Inputs!$B$39="pvp",MIN((Skills!T14*(1+Inputs!$B$35/100)),15)/15,MIN(1,(Skills!T14*(1+Inputs!$B$35/100))/(1/Q1935)))))+((C1934=TRUE)*IF(Inputs!$B$3&gt;=82,IF(Inputs!$B$39="pvp",20,(1-Summary!$B$11)*(20)+Summary!$B$11*(0)),0)*IF(AND(Inputs!$B$39&lt;&gt;"pvp",Inputs!$B$44&gt;0),(((R1934-1)*MIN((Skills!T13*(1+Inputs!$B$35/100)),(1/Q1934))+MIN((Skills!T13*(1+Inputs!$B$35/100)),MAX(0,Inputs!$B$44-((R1934-1)*(1/Q1934)))))/Inputs!$B$44),IF(Inputs!$B$39="pvp",MIN((Skills!T13*(1+Inputs!$B$35/100)),15)/15,MIN(1,(Skills!T13*(1+Inputs!$B$35/100))/(1/Q1934)))))+(IF(AND(ArtifactsInput!$M$35,Inputs!$B$4&lt;&gt;"Chapter Hunt"),CHOOSE(ArtifactsInput!$N$35+1,15,18,21,24,27,30)*(1-EXP(-(0.2*B1952)*5)),0)+IF(AND(ArtifactsInput!$M$22,Inputs!$B$4&lt;&gt;"Chapter Hunt"),CHOOSE(ArtifactsInput!$N$22+1,10,12,14,16,18,20)*((0*(((0.15*B1952*5))^0/1)+1*(((0.15*B1952*5))^1/1)+2*(((0.15*B1952*5))^2/2)+3*(((0.15*B1952*5))^3/6)+4*(((0.15*B1952*5))^4/24)+5*(((0.15*B1952*5))^5/120))/((((0.15*B1952*5))^0/1)+(((0.15*B1952*5))^1/1)+(((0.15*B1952*5))^2/2)+(((0.15*B1952*5))^3/6)+(((0.15*B1952*5))^4/24)+(((0.15*B1952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IF(ArtifactsInput!$M$23,FALSE,TRUE)-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1926*(1-MIN(100,(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1926*(MIN(100,(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1926*(1-MIN(100,(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1926*(MIN(100,(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26">
        <f>IF(C1926,(H1926*N1926*IF(AND(Inputs!$B$39&lt;&gt;"pvp",Inputs!$B$44&gt;0),((Skills!G5*((R1926-1)*IF(Skills!H5&gt;0,INT(Skills!I5/Skills!H5+0.000000001),1)+IF(Skills!H5&gt;0,INT(MIN(Skills!I5,MAX(0,MAX(0,Inputs!$B$44-B1957)-((R1926-1)*IF(Inputs!$B$39="pvp",15,MAX(0.1,Skills!D5-IF(TRUE=TRUE,Inputs!$B$33,0))))))/Skills!H5+0.000000001),1)))/Inputs!$B$44),G1926*Q1926))*IF(Inputs!$B$39="pvp",1,(1+(Inputs!$B$22+Skills!Q5+((C1938=TRUE)*F1938*IF(AND(Inputs!$B$39&lt;&gt;"pvp",Inputs!$B$44&gt;0),(((R1938-1)*MIN((Skills!T17*(1+Inputs!$B$35/100)),(1/Q1938))+MIN((Skills!T17*(1+Inputs!$B$35/100)),MAX(0,Inputs!$B$44-((R1938-1)*(1/Q1938)))))/Inputs!$B$44),IF(Inputs!$B$39="pvp",MIN((Skills!T17*(1+Inputs!$B$35/100)),15)/15,MIN(1,(Skills!T17*(1+Inputs!$B$35/100))/(1/Q1938)))))+((C1926=TRUE)*IF(Inputs!$B$3&gt;=126,10*MIN(1,15*Q1926),0))+((C1935=TRUE)*IF(Inputs!$B$39="pvp",20,(1-Summary!$B$11)*(20)+Summary!$B$11*(0))*IF(AND(Inputs!$B$39&lt;&gt;"pvp",Inputs!$B$44&gt;0),(((R1935-1)*MIN((Skills!T14*(1+Inputs!$B$35/100)),(1/Q1935))+MIN((Skills!T14*(1+Inputs!$B$35/100)),MAX(0,Inputs!$B$44-((R1935-1)*(1/Q1935)))))/Inputs!$B$44),IF(Inputs!$B$39="pvp",MIN((Skills!T14*(1+Inputs!$B$35/100)),15)/15,MIN(1,(Skills!T14*(1+Inputs!$B$35/100))/(1/Q1935)))))+((C1934=TRUE)*IF(Inputs!$B$3&gt;=82,IF(Inputs!$B$39="pvp",20,(1-Summary!$B$11)*(20)+Summary!$B$11*(0)),0)*IF(AND(Inputs!$B$39&lt;&gt;"pvp",Inputs!$B$44&gt;0),(((R1934-1)*MIN((Skills!T13*(1+Inputs!$B$35/100)),(1/Q1934))+MIN((Skills!T13*(1+Inputs!$B$35/100)),MAX(0,Inputs!$B$44-((R1934-1)*(1/Q1934)))))/Inputs!$B$44),IF(Inputs!$B$39="pvp",MIN((Skills!T13*(1+Inputs!$B$35/100)),15)/15,MIN(1,(Skills!T13*(1+Inputs!$B$35/100))/(1/Q1934)))))+(IF(AND(ArtifactsInput!$M$35,Inputs!$B$4&lt;&gt;"Chapter Hunt"),CHOOSE(ArtifactsInput!$N$35+1,15,18,21,24,27,30)*(1-EXP(-(0.2*B1952)*5)),0)+IF(AND(ArtifactsInput!$M$22,Inputs!$B$4&lt;&gt;"Chapter Hunt"),CHOOSE(ArtifactsInput!$N$22+1,10,12,14,16,18,20)*((0*(((0.15*B1952*5))^0/1)+1*(((0.15*B1952*5))^1/1)+2*(((0.15*B1952*5))^2/2)+3*(((0.15*B1952*5))^3/6)+4*(((0.15*B1952*5))^4/24)+5*(((0.15*B1952*5))^5/120))/((((0.15*B1952*5))^0/1)+(((0.15*B1952*5))^1/1)+(((0.15*B1952*5))^2/2)+(((0.15*B1952*5))^3/6)+(((0.15*B1952*5))^4/24)+(((0.15*B1952*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27">
      <c r="A1927">
        <f>Skills!A6</f>
        <v/>
      </c>
      <c r="B1927">
        <f>Skills!B6</f>
        <v/>
      </c>
      <c r="C1927">
        <f>Inputs!$B$3&gt;=103</f>
        <v/>
      </c>
      <c r="D1927">
        <f>IF(Skills!C6=1,60+Inputs!$B$26+Inputs!$B$30,IF(Skills!C6=2,90+Inputs!$B$27+Inputs!$B$30,IF(Skills!C6=3,120+Inputs!$B$28+Inputs!$B$30,MAX(0,(Inputs!$B$3-100)*3)+Inputs!$B$29+Inputs!$B$30)))</f>
        <v/>
      </c>
      <c r="E1927">
        <f>INDEX(FactorTable!$B$2:$Y$301, MATCH(ROUND(MIN(300,MAX(1,D1927)),0), FactorTable!$A$2:$A$301,0), Skills!M6+1)</f>
        <v/>
      </c>
      <c r="F1927">
        <f>IF(Skills!N6=TRUE,(Skills!L6/10)*(E1927/1000),Skills!L6/10)+Skills!O6</f>
        <v/>
      </c>
      <c r="G1927">
        <f>Skills!G6*IF(Skills!H6&gt;0,INT(IF(Inputs!$B$39="pvp",MIN(Skills!I6,15),Skills!I6)/Skills!H6+0.000000001),1)</f>
        <v/>
      </c>
      <c r="H1927">
        <f>1-(1-Skills!J6/100)^Skills!K6</f>
        <v/>
      </c>
      <c r="I1927" t="inlineStr">
        <is>
          <t>1</t>
        </is>
      </c>
      <c r="J1927">
        <f>((Inputs!$B$6*(1+Inputs!$B$7/100))+(((Inputs!$B$13*(1+Inputs!$B$14/100))-(Inputs!$B$13*(1+Inputs!$B$14/100)))+0.25*(Inputs!$B$15-Inputs!$B$15))*(1+Inputs!$B$7/100))*(F1927/100)</f>
        <v/>
      </c>
      <c r="K1927">
        <f>J1927*(1+(((Inputs!$B$13+IF(Inputs!$B$3&gt;=38,(10*INDEX(FactorTable!$B$2:$Y$301, MATCH(ROUND(MIN(300,MAX(1,Inputs!$B$3)),0), FactorTable!$A$2:$A$301,0), 23)/1000)/100*(Inputs!$B$8*(1+Inputs!$B$9/100)),0))*(1+Inputs!$B$14/100))*0.01+Inputs!$B$15*0.0025)/100)*(1+Inputs!$B$16/100)*(1+Inputs!$B$17/100)*(5000/(6000+Inputs!$B$43*(1-(Inputs!$B$20+0)/100)))*(1+(Inputs!$B$25+((C1946=TRUE)*(F1946-Calc!F25))+((C1947=TRUE)*(F1947-Calc!F26))+B1956)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gt;=100),MIN(100,((Inputs!$B$10+0+B1950+(ArtifactsInput!$M$24-ArtifactsInput!$M$24)*CHOOSE(ArtifactsInput!$N$24+1,10,12,14,16,18,20)+IF(ArtifactsInput!$M$10,CHOOSE(ArtifactsInput!$N$10+1,15,18,21,24,27,30)*(IF(Inputs!$B$39="pvp",MIN(15,15)/15,IF(AND(Inputs!$B$39&lt;&gt;"pvp",Inputs!$B$44&gt;0),MIN(15,Inputs!$B$44)/(Inputs!$B$44),0))),0)))-100),0))*CHOOSE(ArtifactsInput!$N$42+1,0.6,0.72,0.84,0.96,1.08,1.2))),Inputs!$B$19+((C1944=TRUE)*(F1944-Calc!F23))+(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gt;=100),CHOOSE(ArtifactsInput!$N$42+1,40,48,56,64,72,80),0))))/100)*((1+(((C1934=TRUE)*F1934*IF(AND(Inputs!$B$39&lt;&gt;"pvp",Inputs!$B$44&gt;0),(((R1934-1)*MIN((Skills!T13*(1+Inputs!$B$35/100)),(1/Q1934))+MIN((Skills!T13*(1+Inputs!$B$35/100)),MAX(0,Inputs!$B$44-((R1934-1)*(1/Q1934)))))/Inputs!$B$44),IF(Inputs!$B$39="pvp",MIN((Skills!T13*(1+Inputs!$B$35/100)),15)/15,MIN(1,(Skills!T13*(1+Inputs!$B$35/100))/(1/Q1934)))))+((C1935=TRUE)*F1935*IF(AND(Inputs!$B$39&lt;&gt;"pvp",Inputs!$B$44&gt;0),(((R1935-1)*MIN((Skills!T14*(1+Inputs!$B$35/100)),(1/Q1935))+MIN((Skills!T14*(1+Inputs!$B$35/100)),MAX(0,Inputs!$B$44-((R1935-1)*(1/Q1935)))))/Inputs!$B$44),IF(Inputs!$B$39="pvp",MIN((Skills!T14*(1+Inputs!$B$35/100)),15)/15,MIN(1,(Skills!T14*(1+Inputs!$B$35/100))/(1/Q1935)))))+((C1936=TRUE)*F1936*IF(AND(Inputs!$B$39&lt;&gt;"pvp",Inputs!$B$44&gt;0),(((R1936-1)*MIN((Skills!T15*(1+Inputs!$B$35/100)),(1/Q1936))+MIN((Skills!T15*(1+Inputs!$B$35/100)),MAX(0,Inputs!$B$44-((R1936-1)*(1/Q1936)))))/Inputs!$B$44),IF(Inputs!$B$39="pvp",MIN((Skills!T15*(1+Inputs!$B$35/100)),15)/15,MIN(1,(Skills!T15*(1+Inputs!$B$35/100))/(1/Q1936)))))+((C1937=TRUE)*F1937*IF(AND(Inputs!$B$39&lt;&gt;"pvp",Inputs!$B$44&gt;0),(((R1937-1)*MIN((Skills!T16*(1+Inputs!$B$35/100)),(1/Q1937))+MIN((Skills!T16*(1+Inputs!$B$35/100)),MAX(0,Inputs!$B$44-((R1937-1)*(1/Q1937)))))/Inputs!$B$44),IF(Inputs!$B$39="pvp",MIN((Skills!T16*(1+Inputs!$B$35/100)),15)/15,MIN(1,(Skills!T16*(1+Inputs!$B$35/100))/(1/Q1937)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1927)</f>
        <v/>
      </c>
      <c r="L1927">
        <f>K1927*(MIN(Inputs!$B$23+((C1943=TRUE)*(F1943-Calc!F22)),(Inputs!$B$24+((C1945=TRUE)*(F1945-Calc!F24))+(IF(ArtifactsInput!$M$15,CHOOSE(ArtifactsInput!$N$15+1,25,30,35,40,45,50)/100*(Inputs!$B$12-Inputs!$B$12),0))))/100+(Inputs!$B$24+((C1945=TRUE)*(F1945-Calc!F24))+(IF(ArtifactsInput!$M$15,CHOOSE(ArtifactsInput!$N$15+1,25,30,35,40,45,50)/100*(Inputs!$B$12-Inputs!$B$12),0)))/100)/2</f>
        <v/>
      </c>
      <c r="M1927">
        <f>L1927*(1+(Inputs!$B$11+0+B1955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927">
        <f>L1927*(1-MIN((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1927*(MIN((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27">
        <f>(1-Summary!$B$11)*T1927+Summary!$B$11*V1927</f>
        <v/>
      </c>
      <c r="P1927">
        <f>IF(B1960=0,0,O1927/B1960)</f>
        <v/>
      </c>
      <c r="Q1927">
        <f>IFERROR(1/IF(Inputs!$B$39="pvp",15,MAX(0.1,Skills!D6-IF(TRUE=TRUE,Inputs!$B$33,0))),0)</f>
        <v/>
      </c>
      <c r="R1927">
        <f>IF(AND(Inputs!$B$39&lt;&gt;"pvp",Inputs!$B$44&gt;0),IF(MAX(0,Inputs!$B$44-B1957)&lt;=0,0,(INT(MAX(0,Inputs!$B$44-B1957)/IF(Inputs!$B$39="pvp",15,MAX(0.1,Skills!D6-IF(TRUE=TRUE,Inputs!$B$33,0))))+1)),0)</f>
        <v/>
      </c>
      <c r="S1927">
        <f>IFERROR(O1927/N1927,0)</f>
        <v/>
      </c>
      <c r="T1927">
        <f>IF(C1927,(H1927*N1927*IF(AND(Inputs!$B$39&lt;&gt;"pvp",Inputs!$B$44&gt;0),((Skills!G6*((R1927-1)*IF(Skills!H6&gt;0,INT(Skills!I6/Skills!H6+0.000000001),1)+IF(Skills!H6&gt;0,INT(MIN(Skills!I6,MAX(0,MAX(0,Inputs!$B$44-B1957)-((R1927-1)*IF(Inputs!$B$39="pvp",15,MAX(0.1,Skills!D6-IF(TRUE=TRUE,Inputs!$B$33,0))))))/Skills!H6+0.000000001),1)))/Inputs!$B$44),G1927*Q1927))*IF(Inputs!$B$39="pvp",1,1+(Inputs!$B$21+0+Skills!P6+((C1938=TRUE)*F1938*IF(AND(Inputs!$B$39&lt;&gt;"pvp",Inputs!$B$44&gt;0),(((R1938-1)*MIN((Skills!T17*(1+Inputs!$B$35/100)),(1/Q1938))+MIN((Skills!T17*(1+Inputs!$B$35/100)),MAX(0,Inputs!$B$44-((R1938-1)*(1/Q1938)))))/Inputs!$B$44),IF(Inputs!$B$39="pvp",MIN((Skills!T17*(1+Inputs!$B$35/100)),15)/15,MIN(1,(Skills!T17*(1+Inputs!$B$35/100))/(1/Q1938)))))+((C1926=TRUE)*IF(Inputs!$B$3&gt;=126,10*MIN(1,15*Q1926),0))+((C1935=TRUE)*IF(Inputs!$B$39="pvp",20,(1-Summary!$B$11)*(20)+Summary!$B$11*(0))*IF(AND(Inputs!$B$39&lt;&gt;"pvp",Inputs!$B$44&gt;0),(((R1935-1)*MIN((Skills!T14*(1+Inputs!$B$35/100)),(1/Q1935))+MIN((Skills!T14*(1+Inputs!$B$35/100)),MAX(0,Inputs!$B$44-((R1935-1)*(1/Q1935)))))/Inputs!$B$44),IF(Inputs!$B$39="pvp",MIN((Skills!T14*(1+Inputs!$B$35/100)),15)/15,MIN(1,(Skills!T14*(1+Inputs!$B$35/100))/(1/Q1935)))))+((C1934=TRUE)*IF(Inputs!$B$3&gt;=82,IF(Inputs!$B$39="pvp",20,(1-Summary!$B$11)*(20)+Summary!$B$11*(0)),0)*IF(AND(Inputs!$B$39&lt;&gt;"pvp",Inputs!$B$44&gt;0),(((R1934-1)*MIN((Skills!T13*(1+Inputs!$B$35/100)),(1/Q1934))+MIN((Skills!T13*(1+Inputs!$B$35/100)),MAX(0,Inputs!$B$44-((R1934-1)*(1/Q1934)))))/Inputs!$B$44),IF(Inputs!$B$39="pvp",MIN((Skills!T13*(1+Inputs!$B$35/100)),15)/15,MIN(1,(Skills!T13*(1+Inputs!$B$35/100))/(1/Q1934)))))+(IF(AND(ArtifactsInput!$M$35,Inputs!$B$4&lt;&gt;"Chapter Hunt"),CHOOSE(ArtifactsInput!$N$35+1,15,18,21,24,27,30)*(1-EXP(-(0.2*B1952)*5)),0)+IF(AND(ArtifactsInput!$M$22,Inputs!$B$4&lt;&gt;"Chapter Hunt"),CHOOSE(ArtifactsInput!$N$22+1,10,12,14,16,18,20)*((0*(((0.15*B1952*5))^0/1)+1*(((0.15*B1952*5))^1/1)+2*(((0.15*B1952*5))^2/2)+3*(((0.15*B1952*5))^3/6)+4*(((0.15*B1952*5))^4/24)+5*(((0.15*B1952*5))^5/120))/((((0.15*B1952*5))^0/1)+(((0.15*B1952*5))^1/1)+(((0.15*B1952*5))^2/2)+(((0.15*B1952*5))^3/6)+(((0.15*B1952*5))^4/24)+(((0.15*B1952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IF(ArtifactsInput!$M$23,FALSE,TRUE)-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1927*(1-MIN(100,(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1927*(MIN(100,(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1927*(1-MIN(100,(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1927*(MIN(100,(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27">
        <f>IF(C1927,(H1927*N1927*IF(AND(Inputs!$B$39&lt;&gt;"pvp",Inputs!$B$44&gt;0),((Skills!G6*((R1927-1)*IF(Skills!H6&gt;0,INT(Skills!I6/Skills!H6+0.000000001),1)+IF(Skills!H6&gt;0,INT(MIN(Skills!I6,MAX(0,MAX(0,Inputs!$B$44-B1957)-((R1927-1)*IF(Inputs!$B$39="pvp",15,MAX(0.1,Skills!D6-IF(TRUE=TRUE,Inputs!$B$33,0))))))/Skills!H6+0.000000001),1)))/Inputs!$B$44),G1927*Q1927))*IF(Inputs!$B$39="pvp",1,(1+(Inputs!$B$22+Skills!Q6+((C1938=TRUE)*F1938*IF(AND(Inputs!$B$39&lt;&gt;"pvp",Inputs!$B$44&gt;0),(((R1938-1)*MIN((Skills!T17*(1+Inputs!$B$35/100)),(1/Q1938))+MIN((Skills!T17*(1+Inputs!$B$35/100)),MAX(0,Inputs!$B$44-((R1938-1)*(1/Q1938)))))/Inputs!$B$44),IF(Inputs!$B$39="pvp",MIN((Skills!T17*(1+Inputs!$B$35/100)),15)/15,MIN(1,(Skills!T17*(1+Inputs!$B$35/100))/(1/Q1938)))))+((C1926=TRUE)*IF(Inputs!$B$3&gt;=126,10*MIN(1,15*Q1926),0))+((C1935=TRUE)*IF(Inputs!$B$39="pvp",20,(1-Summary!$B$11)*(20)+Summary!$B$11*(0))*IF(AND(Inputs!$B$39&lt;&gt;"pvp",Inputs!$B$44&gt;0),(((R1935-1)*MIN((Skills!T14*(1+Inputs!$B$35/100)),(1/Q1935))+MIN((Skills!T14*(1+Inputs!$B$35/100)),MAX(0,Inputs!$B$44-((R1935-1)*(1/Q1935)))))/Inputs!$B$44),IF(Inputs!$B$39="pvp",MIN((Skills!T14*(1+Inputs!$B$35/100)),15)/15,MIN(1,(Skills!T14*(1+Inputs!$B$35/100))/(1/Q1935)))))+((C1934=TRUE)*IF(Inputs!$B$3&gt;=82,IF(Inputs!$B$39="pvp",20,(1-Summary!$B$11)*(20)+Summary!$B$11*(0)),0)*IF(AND(Inputs!$B$39&lt;&gt;"pvp",Inputs!$B$44&gt;0),(((R1934-1)*MIN((Skills!T13*(1+Inputs!$B$35/100)),(1/Q1934))+MIN((Skills!T13*(1+Inputs!$B$35/100)),MAX(0,Inputs!$B$44-((R1934-1)*(1/Q1934)))))/Inputs!$B$44),IF(Inputs!$B$39="pvp",MIN((Skills!T13*(1+Inputs!$B$35/100)),15)/15,MIN(1,(Skills!T13*(1+Inputs!$B$35/100))/(1/Q1934)))))+(IF(AND(ArtifactsInput!$M$35,Inputs!$B$4&lt;&gt;"Chapter Hunt"),CHOOSE(ArtifactsInput!$N$35+1,15,18,21,24,27,30)*(1-EXP(-(0.2*B1952)*5)),0)+IF(AND(ArtifactsInput!$M$22,Inputs!$B$4&lt;&gt;"Chapter Hunt"),CHOOSE(ArtifactsInput!$N$22+1,10,12,14,16,18,20)*((0*(((0.15*B1952*5))^0/1)+1*(((0.15*B1952*5))^1/1)+2*(((0.15*B1952*5))^2/2)+3*(((0.15*B1952*5))^3/6)+4*(((0.15*B1952*5))^4/24)+5*(((0.15*B1952*5))^5/120))/((((0.15*B1952*5))^0/1)+(((0.15*B1952*5))^1/1)+(((0.15*B1952*5))^2/2)+(((0.15*B1952*5))^3/6)+(((0.15*B1952*5))^4/24)+(((0.15*B1952*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28">
      <c r="A1928">
        <f>Skills!A7</f>
        <v/>
      </c>
      <c r="B1928">
        <f>Skills!B7</f>
        <v/>
      </c>
      <c r="C1928">
        <f>Inputs!$B$3&gt;=40</f>
        <v/>
      </c>
      <c r="D1928">
        <f>IF(Skills!C7=1,60+Inputs!$B$26+Inputs!$B$30,IF(Skills!C7=2,90+Inputs!$B$27+Inputs!$B$30,IF(Skills!C7=3,120+Inputs!$B$28+Inputs!$B$30,MAX(0,(Inputs!$B$3-100)*3)+Inputs!$B$29+Inputs!$B$30)))</f>
        <v/>
      </c>
      <c r="E1928">
        <f>INDEX(FactorTable!$B$2:$Y$301, MATCH(ROUND(MIN(300,MAX(1,D1928)),0), FactorTable!$A$2:$A$301,0), Skills!M7+1)</f>
        <v/>
      </c>
      <c r="F1928">
        <f>IF(Skills!N7=TRUE,(Skills!L7/10)*(E1928/1000),Skills!L7/10)+Skills!O7</f>
        <v/>
      </c>
      <c r="G1928">
        <f>Skills!G7*IF(Skills!H7&gt;0,INT(IF(Inputs!$B$39="pvp",MIN(Skills!I7,15),Skills!I7)/Skills!H7+0.000000001),1)</f>
        <v/>
      </c>
      <c r="H1928">
        <f>1-(1-Skills!J7/100)^Skills!K7</f>
        <v/>
      </c>
      <c r="I1928" t="inlineStr">
        <is>
          <t>1</t>
        </is>
      </c>
      <c r="J1928">
        <f>((Inputs!$B$6*(1+Inputs!$B$7/100))+(((Inputs!$B$13*(1+Inputs!$B$14/100))-(Inputs!$B$13*(1+Inputs!$B$14/100)))+0.25*(Inputs!$B$15-Inputs!$B$15))*(1+Inputs!$B$7/100))*(F1928/100)</f>
        <v/>
      </c>
      <c r="K1928">
        <f>J1928*(1+(((Inputs!$B$13+IF(Inputs!$B$3&gt;=38,(10*INDEX(FactorTable!$B$2:$Y$301, MATCH(ROUND(MIN(300,MAX(1,Inputs!$B$3)),0), FactorTable!$A$2:$A$301,0), 23)/1000)/100*(Inputs!$B$8*(1+Inputs!$B$9/100)),0))*(1+Inputs!$B$14/100))*0.01+Inputs!$B$15*0.0025)/100)*(1+Inputs!$B$16/100)*(1+Inputs!$B$17/100)*(5000/(6000+Inputs!$B$43*(1-(Inputs!$B$20+0)/100)))*(1+(Inputs!$B$25+((C1946=TRUE)*(F1946-Calc!F25))+((C1947=TRUE)*(F1947-Calc!F26))+B1956)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1932=TRUE,F1932,0)/100)*(1+(IF(Skills!A7="DARK_IMPALE",Inputs!$B$18+0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gt;=100),MIN(100,((Inputs!$B$10+0+B1950+(ArtifactsInput!$M$24-ArtifactsInput!$M$24)*CHOOSE(ArtifactsInput!$N$24+1,10,12,14,16,18,20)+IF(ArtifactsInput!$M$10,CHOOSE(ArtifactsInput!$N$10+1,15,18,21,24,27,30)*(IF(Inputs!$B$39="pvp",MIN(15,15)/15,IF(AND(Inputs!$B$39&lt;&gt;"pvp",Inputs!$B$44&gt;0),MIN(15,Inputs!$B$44)/(Inputs!$B$44),0))),0)))-100),0))*CHOOSE(ArtifactsInput!$N$42+1,0.6,0.72,0.84,0.96,1.08,1.2))),Inputs!$B$19+((C1944=TRUE)*(F1944-Calc!F23))+(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gt;=100),CHOOSE(ArtifactsInput!$N$42+1,40,48,56,64,72,80),0))))/100)*((1+(((C1934=TRUE)*F1934*IF(AND(Inputs!$B$39&lt;&gt;"pvp",Inputs!$B$44&gt;0),(((R1934-1)*MIN((Skills!T13*(1+Inputs!$B$35/100)),(1/Q1934))+MIN((Skills!T13*(1+Inputs!$B$35/100)),MAX(0,Inputs!$B$44-((R1934-1)*(1/Q1934)))))/Inputs!$B$44),IF(Inputs!$B$39="pvp",MIN((Skills!T13*(1+Inputs!$B$35/100)),15)/15,MIN(1,(Skills!T13*(1+Inputs!$B$35/100))/(1/Q1934)))))+((C1935=TRUE)*F1935*IF(AND(Inputs!$B$39&lt;&gt;"pvp",Inputs!$B$44&gt;0),(((R1935-1)*MIN((Skills!T14*(1+Inputs!$B$35/100)),(1/Q1935))+MIN((Skills!T14*(1+Inputs!$B$35/100)),MAX(0,Inputs!$B$44-((R1935-1)*(1/Q1935)))))/Inputs!$B$44),IF(Inputs!$B$39="pvp",MIN((Skills!T14*(1+Inputs!$B$35/100)),15)/15,MIN(1,(Skills!T14*(1+Inputs!$B$35/100))/(1/Q1935)))))+((C1936=TRUE)*F1936*IF(AND(Inputs!$B$39&lt;&gt;"pvp",Inputs!$B$44&gt;0),(((R1936-1)*MIN((Skills!T15*(1+Inputs!$B$35/100)),(1/Q1936))+MIN((Skills!T15*(1+Inputs!$B$35/100)),MAX(0,Inputs!$B$44-((R1936-1)*(1/Q1936)))))/Inputs!$B$44),IF(Inputs!$B$39="pvp",MIN((Skills!T15*(1+Inputs!$B$35/100)),15)/15,MIN(1,(Skills!T15*(1+Inputs!$B$35/100))/(1/Q1936)))))+((C1937=TRUE)*F1937*IF(AND(Inputs!$B$39&lt;&gt;"pvp",Inputs!$B$44&gt;0),(((R1937-1)*MIN((Skills!T16*(1+Inputs!$B$35/100)),(1/Q1937))+MIN((Skills!T16*(1+Inputs!$B$35/100)),MAX(0,Inputs!$B$44-((R1937-1)*(1/Q1937)))))/Inputs!$B$44),IF(Inputs!$B$39="pvp",MIN((Skills!T16*(1+Inputs!$B$35/100)),15)/15,MIN(1,(Skills!T16*(1+Inputs!$B$35/100))/(1/Q1937)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1928)</f>
        <v/>
      </c>
      <c r="L1928">
        <f>K1928*(MIN(Inputs!$B$23+((C1943=TRUE)*(F1943-Calc!F22)),(Inputs!$B$24+((C1945=TRUE)*(F1945-Calc!F24))+(IF(ArtifactsInput!$M$15,CHOOSE(ArtifactsInput!$N$15+1,25,30,35,40,45,50)/100*(Inputs!$B$12-Inputs!$B$12),0))))/100+(Inputs!$B$24+((C1945=TRUE)*(F1945-Calc!F24))+(IF(ArtifactsInput!$M$15,CHOOSE(ArtifactsInput!$N$15+1,25,30,35,40,45,50)/100*(Inputs!$B$12-Inputs!$B$12),0)))/100)/2</f>
        <v/>
      </c>
      <c r="M1928">
        <f>L1928*(1+(Inputs!$B$11+0+B1955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928">
        <f>L1928*(1-MIN((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1928*(MIN((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28">
        <f>(1-Summary!$B$11)*T1928+Summary!$B$11*V1928</f>
        <v/>
      </c>
      <c r="P1928">
        <f>IF(B1960=0,0,O1928/B1960)</f>
        <v/>
      </c>
      <c r="Q1928">
        <f>IFERROR(1/IF(Inputs!$B$39="pvp",15,MAX(0.1,Skills!D7-IF(TRUE=TRUE,Inputs!$B$33,0))),0)</f>
        <v/>
      </c>
      <c r="R1928">
        <f>IF(AND(Inputs!$B$39&lt;&gt;"pvp",Inputs!$B$44&gt;0),IF(MAX(0,Inputs!$B$44-B1957)&lt;=0,0,(INT(MAX(0,Inputs!$B$44-B1957)/IF(Inputs!$B$39="pvp",15,MAX(0.1,Skills!D7-IF(TRUE=TRUE,Inputs!$B$33,0))))+1)),0)</f>
        <v/>
      </c>
      <c r="S1928">
        <f>IFERROR(O1928/N1928,0)</f>
        <v/>
      </c>
      <c r="T1928">
        <f>IF(C1928,(H1928*N1928*IF(AND(Inputs!$B$39&lt;&gt;"pvp",Inputs!$B$44&gt;0),((Skills!G7*((R1928-1)*IF(Skills!H7&gt;0,INT(Skills!I7/Skills!H7+0.000000001),1)+IF(Skills!H7&gt;0,INT(MIN(Skills!I7,MAX(0,MAX(0,Inputs!$B$44-B1957)-((R1928-1)*IF(Inputs!$B$39="pvp",15,MAX(0.1,Skills!D7-IF(TRUE=TRUE,Inputs!$B$33,0))))))/Skills!H7+0.000000001),1)))/Inputs!$B$44),G1928*Q1928))*IF(Inputs!$B$39="pvp",1,1+(Inputs!$B$21+0+Skills!P7+((C1938=TRUE)*F1938*IF(AND(Inputs!$B$39&lt;&gt;"pvp",Inputs!$B$44&gt;0),(((R1938-1)*MIN((Skills!T17*(1+Inputs!$B$35/100)),(1/Q1938))+MIN((Skills!T17*(1+Inputs!$B$35/100)),MAX(0,Inputs!$B$44-((R1938-1)*(1/Q1938)))))/Inputs!$B$44),IF(Inputs!$B$39="pvp",MIN((Skills!T17*(1+Inputs!$B$35/100)),15)/15,MIN(1,(Skills!T17*(1+Inputs!$B$35/100))/(1/Q1938)))))+((C1926=TRUE)*IF(Inputs!$B$3&gt;=126,10*MIN(1,15*Q1926),0))+((C1935=TRUE)*IF(Inputs!$B$39="pvp",20,(1-Summary!$B$11)*(20)+Summary!$B$11*(0))*IF(AND(Inputs!$B$39&lt;&gt;"pvp",Inputs!$B$44&gt;0),(((R1935-1)*MIN((Skills!T14*(1+Inputs!$B$35/100)),(1/Q1935))+MIN((Skills!T14*(1+Inputs!$B$35/100)),MAX(0,Inputs!$B$44-((R1935-1)*(1/Q1935)))))/Inputs!$B$44),IF(Inputs!$B$39="pvp",MIN((Skills!T14*(1+Inputs!$B$35/100)),15)/15,MIN(1,(Skills!T14*(1+Inputs!$B$35/100))/(1/Q1935)))))+((C1934=TRUE)*IF(Inputs!$B$3&gt;=82,IF(Inputs!$B$39="pvp",20,(1-Summary!$B$11)*(20)+Summary!$B$11*(0)),0)*IF(AND(Inputs!$B$39&lt;&gt;"pvp",Inputs!$B$44&gt;0),(((R1934-1)*MIN((Skills!T13*(1+Inputs!$B$35/100)),(1/Q1934))+MIN((Skills!T13*(1+Inputs!$B$35/100)),MAX(0,Inputs!$B$44-((R1934-1)*(1/Q1934)))))/Inputs!$B$44),IF(Inputs!$B$39="pvp",MIN((Skills!T13*(1+Inputs!$B$35/100)),15)/15,MIN(1,(Skills!T13*(1+Inputs!$B$35/100))/(1/Q1934)))))+(IF(AND(ArtifactsInput!$M$35,Inputs!$B$4&lt;&gt;"Chapter Hunt"),CHOOSE(ArtifactsInput!$N$35+1,15,18,21,24,27,30)*(1-EXP(-(0.2*B1952)*5)),0)+IF(AND(ArtifactsInput!$M$22,Inputs!$B$4&lt;&gt;"Chapter Hunt"),CHOOSE(ArtifactsInput!$N$22+1,10,12,14,16,18,20)*((0*(((0.15*B1952*5))^0/1)+1*(((0.15*B1952*5))^1/1)+2*(((0.15*B1952*5))^2/2)+3*(((0.15*B1952*5))^3/6)+4*(((0.15*B1952*5))^4/24)+5*(((0.15*B1952*5))^5/120))/((((0.15*B1952*5))^0/1)+(((0.15*B1952*5))^1/1)+(((0.15*B1952*5))^2/2)+(((0.15*B1952*5))^3/6)+(((0.15*B1952*5))^4/24)+(((0.15*B1952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IF(ArtifactsInput!$M$23,FALSE,TRUE)-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1928*(1-MIN(100,(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1928*(MIN(100,(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1928*(1-MIN(100,(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1928*(MIN(100,(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28">
        <f>IF(C1928,(H1928*N1928*IF(AND(Inputs!$B$39&lt;&gt;"pvp",Inputs!$B$44&gt;0),((Skills!G7*((R1928-1)*IF(Skills!H7&gt;0,INT(Skills!I7/Skills!H7+0.000000001),1)+IF(Skills!H7&gt;0,INT(MIN(Skills!I7,MAX(0,MAX(0,Inputs!$B$44-B1957)-((R1928-1)*IF(Inputs!$B$39="pvp",15,MAX(0.1,Skills!D7-IF(TRUE=TRUE,Inputs!$B$33,0))))))/Skills!H7+0.000000001),1)))/Inputs!$B$44),G1928*Q1928))*IF(Inputs!$B$39="pvp",1,(1+(Inputs!$B$22+Skills!Q7+((C1938=TRUE)*F1938*IF(AND(Inputs!$B$39&lt;&gt;"pvp",Inputs!$B$44&gt;0),(((R1938-1)*MIN((Skills!T17*(1+Inputs!$B$35/100)),(1/Q1938))+MIN((Skills!T17*(1+Inputs!$B$35/100)),MAX(0,Inputs!$B$44-((R1938-1)*(1/Q1938)))))/Inputs!$B$44),IF(Inputs!$B$39="pvp",MIN((Skills!T17*(1+Inputs!$B$35/100)),15)/15,MIN(1,(Skills!T17*(1+Inputs!$B$35/100))/(1/Q1938)))))+((C1926=TRUE)*IF(Inputs!$B$3&gt;=126,10*MIN(1,15*Q1926),0))+((C1935=TRUE)*IF(Inputs!$B$39="pvp",20,(1-Summary!$B$11)*(20)+Summary!$B$11*(0))*IF(AND(Inputs!$B$39&lt;&gt;"pvp",Inputs!$B$44&gt;0),(((R1935-1)*MIN((Skills!T14*(1+Inputs!$B$35/100)),(1/Q1935))+MIN((Skills!T14*(1+Inputs!$B$35/100)),MAX(0,Inputs!$B$44-((R1935-1)*(1/Q1935)))))/Inputs!$B$44),IF(Inputs!$B$39="pvp",MIN((Skills!T14*(1+Inputs!$B$35/100)),15)/15,MIN(1,(Skills!T14*(1+Inputs!$B$35/100))/(1/Q1935)))))+((C1934=TRUE)*IF(Inputs!$B$3&gt;=82,IF(Inputs!$B$39="pvp",20,(1-Summary!$B$11)*(20)+Summary!$B$11*(0)),0)*IF(AND(Inputs!$B$39&lt;&gt;"pvp",Inputs!$B$44&gt;0),(((R1934-1)*MIN((Skills!T13*(1+Inputs!$B$35/100)),(1/Q1934))+MIN((Skills!T13*(1+Inputs!$B$35/100)),MAX(0,Inputs!$B$44-((R1934-1)*(1/Q1934)))))/Inputs!$B$44),IF(Inputs!$B$39="pvp",MIN((Skills!T13*(1+Inputs!$B$35/100)),15)/15,MIN(1,(Skills!T13*(1+Inputs!$B$35/100))/(1/Q1934)))))+(IF(AND(ArtifactsInput!$M$35,Inputs!$B$4&lt;&gt;"Chapter Hunt"),CHOOSE(ArtifactsInput!$N$35+1,15,18,21,24,27,30)*(1-EXP(-(0.2*B1952)*5)),0)+IF(AND(ArtifactsInput!$M$22,Inputs!$B$4&lt;&gt;"Chapter Hunt"),CHOOSE(ArtifactsInput!$N$22+1,10,12,14,16,18,20)*((0*(((0.15*B1952*5))^0/1)+1*(((0.15*B1952*5))^1/1)+2*(((0.15*B1952*5))^2/2)+3*(((0.15*B1952*5))^3/6)+4*(((0.15*B1952*5))^4/24)+5*(((0.15*B1952*5))^5/120))/((((0.15*B1952*5))^0/1)+(((0.15*B1952*5))^1/1)+(((0.15*B1952*5))^2/2)+(((0.15*B1952*5))^3/6)+(((0.15*B1952*5))^4/24)+(((0.15*B1952*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29">
      <c r="A1929">
        <f>Skills!A8</f>
        <v/>
      </c>
      <c r="B1929">
        <f>Skills!B8</f>
        <v/>
      </c>
      <c r="C1929">
        <f>Inputs!$B$3&gt;=75</f>
        <v/>
      </c>
      <c r="D1929">
        <f>IF(Skills!C8=1,60+Inputs!$B$26+Inputs!$B$30,IF(Skills!C8=2,90+Inputs!$B$27+Inputs!$B$30,IF(Skills!C8=3,120+Inputs!$B$28+Inputs!$B$30,MAX(0,(Inputs!$B$3-100)*3)+Inputs!$B$29+Inputs!$B$30)))</f>
        <v/>
      </c>
      <c r="E1929">
        <f>INDEX(FactorTable!$B$2:$Y$301, MATCH(ROUND(MIN(300,MAX(1,D1929)),0), FactorTable!$A$2:$A$301,0), Skills!M8+1)</f>
        <v/>
      </c>
      <c r="F1929">
        <f>IF(Skills!N8=TRUE,(Skills!L8/10)*(E1929/1000),Skills!L8/10)+Skills!O8</f>
        <v/>
      </c>
      <c r="G1929" t="inlineStr"/>
      <c r="H1929" t="inlineStr"/>
      <c r="I1929" t="inlineStr">
        <is>
          <t>1</t>
        </is>
      </c>
      <c r="J1929" t="inlineStr"/>
      <c r="K1929" t="inlineStr"/>
      <c r="L1929" t="inlineStr"/>
      <c r="M1929" t="inlineStr"/>
      <c r="N1929" t="inlineStr"/>
      <c r="O1929" t="inlineStr"/>
      <c r="P1929" t="inlineStr"/>
      <c r="Q1929" t="inlineStr"/>
      <c r="R1929" t="inlineStr"/>
      <c r="S1929" t="inlineStr"/>
    </row>
    <row r="1930">
      <c r="A1930">
        <f>Skills!A9</f>
        <v/>
      </c>
      <c r="B1930">
        <f>Skills!B9</f>
        <v/>
      </c>
      <c r="C1930">
        <f>Inputs!$B$3&gt;=60</f>
        <v/>
      </c>
      <c r="D1930">
        <f>IF(Skills!C9=1,60+Inputs!$B$26+Inputs!$B$30,IF(Skills!C9=2,90+Inputs!$B$27+Inputs!$B$30,IF(Skills!C9=3,120+Inputs!$B$28+Inputs!$B$30,MAX(0,(Inputs!$B$3-100)*3)+Inputs!$B$29+Inputs!$B$30)))</f>
        <v/>
      </c>
      <c r="E1930">
        <f>INDEX(FactorTable!$B$2:$Y$301, MATCH(ROUND(MIN(300,MAX(1,D1930)),0), FactorTable!$A$2:$A$301,0), Skills!M9+1)</f>
        <v/>
      </c>
      <c r="F1930">
        <f>IF(Skills!N9=TRUE,(Skills!L9/10)*(E1930/1000),Skills!L9/10)+Skills!O9</f>
        <v/>
      </c>
      <c r="G1930">
        <f>Skills!G9*IF(Skills!H9&gt;0,INT(IF(Inputs!$B$39="pvp",MIN(Skills!I9,15),Skills!I9)/Skills!H9+0.000000001),1)</f>
        <v/>
      </c>
      <c r="H1930">
        <f>1-(1-Skills!J9/100)^Skills!K9</f>
        <v/>
      </c>
      <c r="I1930" t="inlineStr">
        <is>
          <t>1</t>
        </is>
      </c>
      <c r="J1930">
        <f>((Inputs!$B$6*(1+Inputs!$B$7/100))+(((Inputs!$B$13*(1+Inputs!$B$14/100))-(Inputs!$B$13*(1+Inputs!$B$14/100)))+0.25*(Inputs!$B$15-Inputs!$B$15))*(1+Inputs!$B$7/100))*(F1930/100)</f>
        <v/>
      </c>
      <c r="K1930">
        <f>J1930*(1+(((Inputs!$B$13+IF(Inputs!$B$3&gt;=38,(10*INDEX(FactorTable!$B$2:$Y$301, MATCH(ROUND(MIN(300,MAX(1,Inputs!$B$3)),0), FactorTable!$A$2:$A$301,0), 23)/1000)/100*(Inputs!$B$8*(1+Inputs!$B$9/100)),0))*(1+Inputs!$B$14/100))*0.01+Inputs!$B$15*0.0025)/100)*(1+Inputs!$B$16/100)*(1+Inputs!$B$17/100)*(5000/(6000+Inputs!$B$43*(1-(Inputs!$B$20+0)/100)))*(1+(Inputs!$B$25+((C1946=TRUE)*(F1946-Calc!F25))+((C1947=TRUE)*(F1947-Calc!F26))+B1956)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1932=TRUE,F1932,0)/100)*(1+(IF(Skills!A9="DARK_IMPALE",Inputs!$B$18+0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gt;=100),MIN(100,((Inputs!$B$10+0+B1950+(ArtifactsInput!$M$24-ArtifactsInput!$M$24)*CHOOSE(ArtifactsInput!$N$24+1,10,12,14,16,18,20)+IF(ArtifactsInput!$M$10,CHOOSE(ArtifactsInput!$N$10+1,15,18,21,24,27,30)*(IF(Inputs!$B$39="pvp",MIN(15,15)/15,IF(AND(Inputs!$B$39&lt;&gt;"pvp",Inputs!$B$44&gt;0),MIN(15,Inputs!$B$44)/(Inputs!$B$44),0))),0)))-100),0))*CHOOSE(ArtifactsInput!$N$42+1,0.6,0.72,0.84,0.96,1.08,1.2))),Inputs!$B$19+((C1944=TRUE)*(F1944-Calc!F23))+(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gt;=100),CHOOSE(ArtifactsInput!$N$42+1,40,48,56,64,72,80),0))))/100)*((1+(((C1934=TRUE)*F1934*IF(AND(Inputs!$B$39&lt;&gt;"pvp",Inputs!$B$44&gt;0),(((R1934-1)*MIN((Skills!T13*(1+Inputs!$B$35/100)),(1/Q1934))+MIN((Skills!T13*(1+Inputs!$B$35/100)),MAX(0,Inputs!$B$44-((R1934-1)*(1/Q1934)))))/Inputs!$B$44),IF(Inputs!$B$39="pvp",MIN((Skills!T13*(1+Inputs!$B$35/100)),15)/15,MIN(1,(Skills!T13*(1+Inputs!$B$35/100))/(1/Q1934)))))+((C1935=TRUE)*F1935*IF(AND(Inputs!$B$39&lt;&gt;"pvp",Inputs!$B$44&gt;0),(((R1935-1)*MIN((Skills!T14*(1+Inputs!$B$35/100)),(1/Q1935))+MIN((Skills!T14*(1+Inputs!$B$35/100)),MAX(0,Inputs!$B$44-((R1935-1)*(1/Q1935)))))/Inputs!$B$44),IF(Inputs!$B$39="pvp",MIN((Skills!T14*(1+Inputs!$B$35/100)),15)/15,MIN(1,(Skills!T14*(1+Inputs!$B$35/100))/(1/Q1935)))))+((C1936=TRUE)*F1936*IF(AND(Inputs!$B$39&lt;&gt;"pvp",Inputs!$B$44&gt;0),(((R1936-1)*MIN((Skills!T15*(1+Inputs!$B$35/100)),(1/Q1936))+MIN((Skills!T15*(1+Inputs!$B$35/100)),MAX(0,Inputs!$B$44-((R1936-1)*(1/Q1936)))))/Inputs!$B$44),IF(Inputs!$B$39="pvp",MIN((Skills!T15*(1+Inputs!$B$35/100)),15)/15,MIN(1,(Skills!T15*(1+Inputs!$B$35/100))/(1/Q1936)))))+((C1937=TRUE)*F1937*IF(AND(Inputs!$B$39&lt;&gt;"pvp",Inputs!$B$44&gt;0),(((R1937-1)*MIN((Skills!T16*(1+Inputs!$B$35/100)),(1/Q1937))+MIN((Skills!T16*(1+Inputs!$B$35/100)),MAX(0,Inputs!$B$44-((R1937-1)*(1/Q1937)))))/Inputs!$B$44),IF(Inputs!$B$39="pvp",MIN((Skills!T16*(1+Inputs!$B$35/100)),15)/15,MIN(1,(Skills!T16*(1+Inputs!$B$35/100))/(1/Q1937)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1930)</f>
        <v/>
      </c>
      <c r="L1930">
        <f>K1930*(MIN(Inputs!$B$23+((C1943=TRUE)*(F1943-Calc!F22)),(Inputs!$B$24+((C1945=TRUE)*(F1945-Calc!F24))+(IF(ArtifactsInput!$M$15,CHOOSE(ArtifactsInput!$N$15+1,25,30,35,40,45,50)/100*(Inputs!$B$12-Inputs!$B$12),0))))/100+(Inputs!$B$24+((C1945=TRUE)*(F1945-Calc!F24))+(IF(ArtifactsInput!$M$15,CHOOSE(ArtifactsInput!$N$15+1,25,30,35,40,45,50)/100*(Inputs!$B$12-Inputs!$B$12),0)))/100)/2</f>
        <v/>
      </c>
      <c r="M1930">
        <f>L1930*(1+(Inputs!$B$11+0+B1955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930">
        <f>L1930*(1-MIN((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1930*(MIN((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30">
        <f>(1-Summary!$B$11)*T1930+Summary!$B$11*V1930</f>
        <v/>
      </c>
      <c r="P1930">
        <f>IF(B1960=0,0,O1930/B1960)</f>
        <v/>
      </c>
      <c r="Q1930">
        <f>IFERROR(1/IF(Inputs!$B$39="pvp",15,MAX(0.1,Skills!D9-IF(TRUE=TRUE,Inputs!$B$33,0))),0)</f>
        <v/>
      </c>
      <c r="R1930">
        <f>IF(AND(Inputs!$B$39&lt;&gt;"pvp",Inputs!$B$44&gt;0),IF(MAX(0,Inputs!$B$44-B1957)&lt;=0,0,(INT(MAX(0,Inputs!$B$44-B1957)/IF(Inputs!$B$39="pvp",15,MAX(0.1,Skills!D9-IF(TRUE=TRUE,Inputs!$B$33,0))))+1)),0)</f>
        <v/>
      </c>
      <c r="S1930">
        <f>IFERROR(O1930/N1930,0)</f>
        <v/>
      </c>
      <c r="T1930">
        <f>IF(C1930,(H1930*N1930*IF(AND(Inputs!$B$39&lt;&gt;"pvp",Inputs!$B$44&gt;0),((Skills!G9*((R1930-1)*IF(Skills!H9&gt;0,INT(Skills!I9/Skills!H9+0.000000001),1)+IF(Skills!H9&gt;0,INT(MIN(Skills!I9,MAX(0,MAX(0,Inputs!$B$44-B1957)-((R1930-1)*IF(Inputs!$B$39="pvp",15,MAX(0.1,Skills!D9-IF(TRUE=TRUE,Inputs!$B$33,0))))))/Skills!H9+0.000000001),1)))/Inputs!$B$44),G1930*Q1930))*IF(Inputs!$B$39="pvp",1,1+(Inputs!$B$21+0+Skills!P9+((C1938=TRUE)*F1938*IF(AND(Inputs!$B$39&lt;&gt;"pvp",Inputs!$B$44&gt;0),(((R1938-1)*MIN((Skills!T17*(1+Inputs!$B$35/100)),(1/Q1938))+MIN((Skills!T17*(1+Inputs!$B$35/100)),MAX(0,Inputs!$B$44-((R1938-1)*(1/Q1938)))))/Inputs!$B$44),IF(Inputs!$B$39="pvp",MIN((Skills!T17*(1+Inputs!$B$35/100)),15)/15,MIN(1,(Skills!T17*(1+Inputs!$B$35/100))/(1/Q1938)))))+((C1926=TRUE)*IF(Inputs!$B$3&gt;=126,10*MIN(1,15*Q1926),0))+((C1935=TRUE)*IF(Inputs!$B$39="pvp",20,(1-Summary!$B$11)*(20)+Summary!$B$11*(0))*IF(AND(Inputs!$B$39&lt;&gt;"pvp",Inputs!$B$44&gt;0),(((R1935-1)*MIN((Skills!T14*(1+Inputs!$B$35/100)),(1/Q1935))+MIN((Skills!T14*(1+Inputs!$B$35/100)),MAX(0,Inputs!$B$44-((R1935-1)*(1/Q1935)))))/Inputs!$B$44),IF(Inputs!$B$39="pvp",MIN((Skills!T14*(1+Inputs!$B$35/100)),15)/15,MIN(1,(Skills!T14*(1+Inputs!$B$35/100))/(1/Q1935)))))+((C1934=TRUE)*IF(Inputs!$B$3&gt;=82,IF(Inputs!$B$39="pvp",20,(1-Summary!$B$11)*(20)+Summary!$B$11*(0)),0)*IF(AND(Inputs!$B$39&lt;&gt;"pvp",Inputs!$B$44&gt;0),(((R1934-1)*MIN((Skills!T13*(1+Inputs!$B$35/100)),(1/Q1934))+MIN((Skills!T13*(1+Inputs!$B$35/100)),MAX(0,Inputs!$B$44-((R1934-1)*(1/Q1934)))))/Inputs!$B$44),IF(Inputs!$B$39="pvp",MIN((Skills!T13*(1+Inputs!$B$35/100)),15)/15,MIN(1,(Skills!T13*(1+Inputs!$B$35/100))/(1/Q1934)))))+(IF(AND(ArtifactsInput!$M$35,Inputs!$B$4&lt;&gt;"Chapter Hunt"),CHOOSE(ArtifactsInput!$N$35+1,15,18,21,24,27,30)*(1-EXP(-(0.2*B1952)*5)),0)+IF(AND(ArtifactsInput!$M$22,Inputs!$B$4&lt;&gt;"Chapter Hunt"),CHOOSE(ArtifactsInput!$N$22+1,10,12,14,16,18,20)*((0*(((0.15*B1952*5))^0/1)+1*(((0.15*B1952*5))^1/1)+2*(((0.15*B1952*5))^2/2)+3*(((0.15*B1952*5))^3/6)+4*(((0.15*B1952*5))^4/24)+5*(((0.15*B1952*5))^5/120))/((((0.15*B1952*5))^0/1)+(((0.15*B1952*5))^1/1)+(((0.15*B1952*5))^2/2)+(((0.15*B1952*5))^3/6)+(((0.15*B1952*5))^4/24)+(((0.15*B1952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IF(ArtifactsInput!$M$23,FALSE,TRUE)-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1930*(1-MIN(100,(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1930*(MIN(100,(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1930*(1-MIN(100,(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1930*(MIN(100,(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30">
        <f>IF(C1930,(H1930*N1930*IF(AND(Inputs!$B$39&lt;&gt;"pvp",Inputs!$B$44&gt;0),((Skills!G9*((R1930-1)*IF(Skills!H9&gt;0,INT(Skills!I9/Skills!H9+0.000000001),1)+IF(Skills!H9&gt;0,INT(MIN(Skills!I9,MAX(0,MAX(0,Inputs!$B$44-B1957)-((R1930-1)*IF(Inputs!$B$39="pvp",15,MAX(0.1,Skills!D9-IF(TRUE=TRUE,Inputs!$B$33,0))))))/Skills!H9+0.000000001),1)))/Inputs!$B$44),G1930*Q1930))*IF(Inputs!$B$39="pvp",1,(1+(Inputs!$B$22+Skills!Q9+((C1938=TRUE)*F1938*IF(AND(Inputs!$B$39&lt;&gt;"pvp",Inputs!$B$44&gt;0),(((R1938-1)*MIN((Skills!T17*(1+Inputs!$B$35/100)),(1/Q1938))+MIN((Skills!T17*(1+Inputs!$B$35/100)),MAX(0,Inputs!$B$44-((R1938-1)*(1/Q1938)))))/Inputs!$B$44),IF(Inputs!$B$39="pvp",MIN((Skills!T17*(1+Inputs!$B$35/100)),15)/15,MIN(1,(Skills!T17*(1+Inputs!$B$35/100))/(1/Q1938)))))+((C1926=TRUE)*IF(Inputs!$B$3&gt;=126,10*MIN(1,15*Q1926),0))+((C1935=TRUE)*IF(Inputs!$B$39="pvp",20,(1-Summary!$B$11)*(20)+Summary!$B$11*(0))*IF(AND(Inputs!$B$39&lt;&gt;"pvp",Inputs!$B$44&gt;0),(((R1935-1)*MIN((Skills!T14*(1+Inputs!$B$35/100)),(1/Q1935))+MIN((Skills!T14*(1+Inputs!$B$35/100)),MAX(0,Inputs!$B$44-((R1935-1)*(1/Q1935)))))/Inputs!$B$44),IF(Inputs!$B$39="pvp",MIN((Skills!T14*(1+Inputs!$B$35/100)),15)/15,MIN(1,(Skills!T14*(1+Inputs!$B$35/100))/(1/Q1935)))))+((C1934=TRUE)*IF(Inputs!$B$3&gt;=82,IF(Inputs!$B$39="pvp",20,(1-Summary!$B$11)*(20)+Summary!$B$11*(0)),0)*IF(AND(Inputs!$B$39&lt;&gt;"pvp",Inputs!$B$44&gt;0),(((R1934-1)*MIN((Skills!T13*(1+Inputs!$B$35/100)),(1/Q1934))+MIN((Skills!T13*(1+Inputs!$B$35/100)),MAX(0,Inputs!$B$44-((R1934-1)*(1/Q1934)))))/Inputs!$B$44),IF(Inputs!$B$39="pvp",MIN((Skills!T13*(1+Inputs!$B$35/100)),15)/15,MIN(1,(Skills!T13*(1+Inputs!$B$35/100))/(1/Q1934)))))+(IF(AND(ArtifactsInput!$M$35,Inputs!$B$4&lt;&gt;"Chapter Hunt"),CHOOSE(ArtifactsInput!$N$35+1,15,18,21,24,27,30)*(1-EXP(-(0.2*B1952)*5)),0)+IF(AND(ArtifactsInput!$M$22,Inputs!$B$4&lt;&gt;"Chapter Hunt"),CHOOSE(ArtifactsInput!$N$22+1,10,12,14,16,18,20)*((0*(((0.15*B1952*5))^0/1)+1*(((0.15*B1952*5))^1/1)+2*(((0.15*B1952*5))^2/2)+3*(((0.15*B1952*5))^3/6)+4*(((0.15*B1952*5))^4/24)+5*(((0.15*B1952*5))^5/120))/((((0.15*B1952*5))^0/1)+(((0.15*B1952*5))^1/1)+(((0.15*B1952*5))^2/2)+(((0.15*B1952*5))^3/6)+(((0.15*B1952*5))^4/24)+(((0.15*B1952*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31">
      <c r="A1931">
        <f>Skills!A10</f>
        <v/>
      </c>
      <c r="B1931">
        <f>Skills!B10</f>
        <v/>
      </c>
      <c r="C1931">
        <f>Inputs!$B$3&gt;=110</f>
        <v/>
      </c>
      <c r="D1931">
        <f>IF(Skills!C10=1,60+Inputs!$B$26+Inputs!$B$30,IF(Skills!C10=2,90+Inputs!$B$27+Inputs!$B$30,IF(Skills!C10=3,120+Inputs!$B$28+Inputs!$B$30,MAX(0,(Inputs!$B$3-100)*3)+Inputs!$B$29+Inputs!$B$30)))</f>
        <v/>
      </c>
      <c r="E1931">
        <f>INDEX(FactorTable!$B$2:$Y$301, MATCH(ROUND(MIN(300,MAX(1,D1931)),0), FactorTable!$A$2:$A$301,0), Skills!M10+1)</f>
        <v/>
      </c>
      <c r="F1931">
        <f>IF(Skills!N10=TRUE,(Skills!L10/10)*(E1931/1000),Skills!L10/10)+Skills!O10</f>
        <v/>
      </c>
      <c r="G1931">
        <f>Skills!G10*IF(Skills!H10&gt;0,INT(IF(Inputs!$B$39="pvp",MIN(Skills!I10,15),Skills!I10)/Skills!H10+0.000000001),1)</f>
        <v/>
      </c>
      <c r="H1931">
        <f>1-(1-Skills!J10/100)^Skills!K10</f>
        <v/>
      </c>
      <c r="I1931" t="inlineStr">
        <is>
          <t>1</t>
        </is>
      </c>
      <c r="J1931">
        <f>((Inputs!$B$6*(1+Inputs!$B$7/100))+(((Inputs!$B$13*(1+Inputs!$B$14/100))-(Inputs!$B$13*(1+Inputs!$B$14/100)))+0.25*(Inputs!$B$15-Inputs!$B$15))*(1+Inputs!$B$7/100))*(F1931/100)</f>
        <v/>
      </c>
      <c r="K1931">
        <f>J1931*(1+(((Inputs!$B$13+IF(Inputs!$B$3&gt;=38,(10*INDEX(FactorTable!$B$2:$Y$301, MATCH(ROUND(MIN(300,MAX(1,Inputs!$B$3)),0), FactorTable!$A$2:$A$301,0), 23)/1000)/100*(Inputs!$B$8*(1+Inputs!$B$9/100)),0))*(1+Inputs!$B$14/100))*0.01+Inputs!$B$15*0.0025)/100)*(1+Inputs!$B$16/100)*(1+Inputs!$B$17/100)*(5000/(6000+Inputs!$B$43*(1-(Inputs!$B$20+0)/100)))*(1+(Inputs!$B$25+((C1946=TRUE)*(F1946-Calc!F25))+((C1947=TRUE)*(F1947-Calc!F26))+B1956)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gt;=100),MIN(100,((Inputs!$B$10+0+B1950+(ArtifactsInput!$M$24-ArtifactsInput!$M$24)*CHOOSE(ArtifactsInput!$N$24+1,10,12,14,16,18,20)+IF(ArtifactsInput!$M$10,CHOOSE(ArtifactsInput!$N$10+1,15,18,21,24,27,30)*(IF(Inputs!$B$39="pvp",MIN(15,15)/15,IF(AND(Inputs!$B$39&lt;&gt;"pvp",Inputs!$B$44&gt;0),MIN(15,Inputs!$B$44)/(Inputs!$B$44),0))),0)))-100),0))*CHOOSE(ArtifactsInput!$N$42+1,0.6,0.72,0.84,0.96,1.08,1.2))),Inputs!$B$19+((C1944=TRUE)*(F1944-Calc!F23))+(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gt;=100),CHOOSE(ArtifactsInput!$N$42+1,40,48,56,64,72,80),0))))/100)*((1+(((C1934=TRUE)*F1934*IF(AND(Inputs!$B$39&lt;&gt;"pvp",Inputs!$B$44&gt;0),(((R1934-1)*MIN((Skills!T13*(1+Inputs!$B$35/100)),(1/Q1934))+MIN((Skills!T13*(1+Inputs!$B$35/100)),MAX(0,Inputs!$B$44-((R1934-1)*(1/Q1934)))))/Inputs!$B$44),IF(Inputs!$B$39="pvp",MIN((Skills!T13*(1+Inputs!$B$35/100)),15)/15,MIN(1,(Skills!T13*(1+Inputs!$B$35/100))/(1/Q1934)))))+((C1935=TRUE)*F1935*IF(AND(Inputs!$B$39&lt;&gt;"pvp",Inputs!$B$44&gt;0),(((R1935-1)*MIN((Skills!T14*(1+Inputs!$B$35/100)),(1/Q1935))+MIN((Skills!T14*(1+Inputs!$B$35/100)),MAX(0,Inputs!$B$44-((R1935-1)*(1/Q1935)))))/Inputs!$B$44),IF(Inputs!$B$39="pvp",MIN((Skills!T14*(1+Inputs!$B$35/100)),15)/15,MIN(1,(Skills!T14*(1+Inputs!$B$35/100))/(1/Q1935)))))+((C1936=TRUE)*F1936*IF(AND(Inputs!$B$39&lt;&gt;"pvp",Inputs!$B$44&gt;0),(((R1936-1)*MIN((Skills!T15*(1+Inputs!$B$35/100)),(1/Q1936))+MIN((Skills!T15*(1+Inputs!$B$35/100)),MAX(0,Inputs!$B$44-((R1936-1)*(1/Q1936)))))/Inputs!$B$44),IF(Inputs!$B$39="pvp",MIN((Skills!T15*(1+Inputs!$B$35/100)),15)/15,MIN(1,(Skills!T15*(1+Inputs!$B$35/100))/(1/Q1936)))))+((C1937=TRUE)*F1937*IF(AND(Inputs!$B$39&lt;&gt;"pvp",Inputs!$B$44&gt;0),(((R1937-1)*MIN((Skills!T16*(1+Inputs!$B$35/100)),(1/Q1937))+MIN((Skills!T16*(1+Inputs!$B$35/100)),MAX(0,Inputs!$B$44-((R1937-1)*(1/Q1937)))))/Inputs!$B$44),IF(Inputs!$B$39="pvp",MIN((Skills!T16*(1+Inputs!$B$35/100)),15)/15,MIN(1,(Skills!T16*(1+Inputs!$B$35/100))/(1/Q1937)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1931)</f>
        <v/>
      </c>
      <c r="L1931">
        <f>K1931*(MIN(Inputs!$B$23+((C1943=TRUE)*(F1943-Calc!F22)),(Inputs!$B$24+((C1945=TRUE)*(F1945-Calc!F24))+(IF(ArtifactsInput!$M$15,CHOOSE(ArtifactsInput!$N$15+1,25,30,35,40,45,50)/100*(Inputs!$B$12-Inputs!$B$12),0))))/100+(Inputs!$B$24+((C1945=TRUE)*(F1945-Calc!F24))+(IF(ArtifactsInput!$M$15,CHOOSE(ArtifactsInput!$N$15+1,25,30,35,40,45,50)/100*(Inputs!$B$12-Inputs!$B$12),0)))/100)/2</f>
        <v/>
      </c>
      <c r="M1931">
        <f>L1931*(1+(Inputs!$B$11+0+B1955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931">
        <f>L1931*(1-MIN((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1931*(MIN((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31">
        <f>(1-Summary!$B$11)*T1931+Summary!$B$11*V1931</f>
        <v/>
      </c>
      <c r="P1931">
        <f>IF(B1960=0,0,O1931/B1960)</f>
        <v/>
      </c>
      <c r="Q1931">
        <f>IFERROR(1/IF(Inputs!$B$39="pvp",15,MAX(0.1,Skills!D10-IF(TRUE=TRUE,Inputs!$B$33,0))),0)</f>
        <v/>
      </c>
      <c r="R1931">
        <f>IF(AND(Inputs!$B$39&lt;&gt;"pvp",Inputs!$B$44&gt;0),IF(MAX(0,Inputs!$B$44-B1957)&lt;=0,0,(INT(MAX(0,Inputs!$B$44-B1957)/IF(Inputs!$B$39="pvp",15,MAX(0.1,Skills!D10-IF(TRUE=TRUE,Inputs!$B$33,0))))+1)),0)</f>
        <v/>
      </c>
      <c r="S1931">
        <f>IFERROR(O1931/N1931,0)</f>
        <v/>
      </c>
      <c r="T1931">
        <f>IF(C1931,(H1931*N1931*IF(AND(Inputs!$B$39&lt;&gt;"pvp",Inputs!$B$44&gt;0),((Skills!G10*((R1931-1)*IF(Skills!H10&gt;0,INT(Skills!I10/Skills!H10+0.000000001),1)+IF(Skills!H10&gt;0,INT(MIN(Skills!I10,MAX(0,MAX(0,Inputs!$B$44-B1957)-((R1931-1)*IF(Inputs!$B$39="pvp",15,MAX(0.1,Skills!D10-IF(TRUE=TRUE,Inputs!$B$33,0))))))/Skills!H10+0.000000001),1)))/Inputs!$B$44),G1931*Q1931))*IF(Inputs!$B$39="pvp",1,1+(Inputs!$B$21+0+Skills!P10+((C1938=TRUE)*F1938*IF(AND(Inputs!$B$39&lt;&gt;"pvp",Inputs!$B$44&gt;0),(((R1938-1)*MIN((Skills!T17*(1+Inputs!$B$35/100)),(1/Q1938))+MIN((Skills!T17*(1+Inputs!$B$35/100)),MAX(0,Inputs!$B$44-((R1938-1)*(1/Q1938)))))/Inputs!$B$44),IF(Inputs!$B$39="pvp",MIN((Skills!T17*(1+Inputs!$B$35/100)),15)/15,MIN(1,(Skills!T17*(1+Inputs!$B$35/100))/(1/Q1938)))))+((C1926=TRUE)*IF(Inputs!$B$3&gt;=126,10*MIN(1,15*Q1926),0))+((C1935=TRUE)*IF(Inputs!$B$39="pvp",20,(1-Summary!$B$11)*(20)+Summary!$B$11*(0))*IF(AND(Inputs!$B$39&lt;&gt;"pvp",Inputs!$B$44&gt;0),(((R1935-1)*MIN((Skills!T14*(1+Inputs!$B$35/100)),(1/Q1935))+MIN((Skills!T14*(1+Inputs!$B$35/100)),MAX(0,Inputs!$B$44-((R1935-1)*(1/Q1935)))))/Inputs!$B$44),IF(Inputs!$B$39="pvp",MIN((Skills!T14*(1+Inputs!$B$35/100)),15)/15,MIN(1,(Skills!T14*(1+Inputs!$B$35/100))/(1/Q1935)))))+((C1934=TRUE)*IF(Inputs!$B$3&gt;=82,IF(Inputs!$B$39="pvp",20,(1-Summary!$B$11)*(20)+Summary!$B$11*(0)),0)*IF(AND(Inputs!$B$39&lt;&gt;"pvp",Inputs!$B$44&gt;0),(((R1934-1)*MIN((Skills!T13*(1+Inputs!$B$35/100)),(1/Q1934))+MIN((Skills!T13*(1+Inputs!$B$35/100)),MAX(0,Inputs!$B$44-((R1934-1)*(1/Q1934)))))/Inputs!$B$44),IF(Inputs!$B$39="pvp",MIN((Skills!T13*(1+Inputs!$B$35/100)),15)/15,MIN(1,(Skills!T13*(1+Inputs!$B$35/100))/(1/Q1934)))))+(IF(AND(ArtifactsInput!$M$35,Inputs!$B$4&lt;&gt;"Chapter Hunt"),CHOOSE(ArtifactsInput!$N$35+1,15,18,21,24,27,30)*(1-EXP(-(0.2*B1952)*5)),0)+IF(AND(ArtifactsInput!$M$22,Inputs!$B$4&lt;&gt;"Chapter Hunt"),CHOOSE(ArtifactsInput!$N$22+1,10,12,14,16,18,20)*((0*(((0.15*B1952*5))^0/1)+1*(((0.15*B1952*5))^1/1)+2*(((0.15*B1952*5))^2/2)+3*(((0.15*B1952*5))^3/6)+4*(((0.15*B1952*5))^4/24)+5*(((0.15*B1952*5))^5/120))/((((0.15*B1952*5))^0/1)+(((0.15*B1952*5))^1/1)+(((0.15*B1952*5))^2/2)+(((0.15*B1952*5))^3/6)+(((0.15*B1952*5))^4/24)+(((0.15*B1952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IF(ArtifactsInput!$M$23,FALSE,TRUE)-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1931*(1-MIN(100,(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1931*(MIN(100,(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1931*(1-MIN(100,(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1931*(MIN(100,(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31">
        <f>IF(C1931,(H1931*N1931*IF(AND(Inputs!$B$39&lt;&gt;"pvp",Inputs!$B$44&gt;0),((Skills!G10*((R1931-1)*IF(Skills!H10&gt;0,INT(Skills!I10/Skills!H10+0.000000001),1)+IF(Skills!H10&gt;0,INT(MIN(Skills!I10,MAX(0,MAX(0,Inputs!$B$44-B1957)-((R1931-1)*IF(Inputs!$B$39="pvp",15,MAX(0.1,Skills!D10-IF(TRUE=TRUE,Inputs!$B$33,0))))))/Skills!H10+0.000000001),1)))/Inputs!$B$44),G1931*Q1931))*IF(Inputs!$B$39="pvp",1,(1+(Inputs!$B$22+Skills!Q10+((C1938=TRUE)*F1938*IF(AND(Inputs!$B$39&lt;&gt;"pvp",Inputs!$B$44&gt;0),(((R1938-1)*MIN((Skills!T17*(1+Inputs!$B$35/100)),(1/Q1938))+MIN((Skills!T17*(1+Inputs!$B$35/100)),MAX(0,Inputs!$B$44-((R1938-1)*(1/Q1938)))))/Inputs!$B$44),IF(Inputs!$B$39="pvp",MIN((Skills!T17*(1+Inputs!$B$35/100)),15)/15,MIN(1,(Skills!T17*(1+Inputs!$B$35/100))/(1/Q1938)))))+((C1926=TRUE)*IF(Inputs!$B$3&gt;=126,10*MIN(1,15*Q1926),0))+((C1935=TRUE)*IF(Inputs!$B$39="pvp",20,(1-Summary!$B$11)*(20)+Summary!$B$11*(0))*IF(AND(Inputs!$B$39&lt;&gt;"pvp",Inputs!$B$44&gt;0),(((R1935-1)*MIN((Skills!T14*(1+Inputs!$B$35/100)),(1/Q1935))+MIN((Skills!T14*(1+Inputs!$B$35/100)),MAX(0,Inputs!$B$44-((R1935-1)*(1/Q1935)))))/Inputs!$B$44),IF(Inputs!$B$39="pvp",MIN((Skills!T14*(1+Inputs!$B$35/100)),15)/15,MIN(1,(Skills!T14*(1+Inputs!$B$35/100))/(1/Q1935)))))+((C1934=TRUE)*IF(Inputs!$B$3&gt;=82,IF(Inputs!$B$39="pvp",20,(1-Summary!$B$11)*(20)+Summary!$B$11*(0)),0)*IF(AND(Inputs!$B$39&lt;&gt;"pvp",Inputs!$B$44&gt;0),(((R1934-1)*MIN((Skills!T13*(1+Inputs!$B$35/100)),(1/Q1934))+MIN((Skills!T13*(1+Inputs!$B$35/100)),MAX(0,Inputs!$B$44-((R1934-1)*(1/Q1934)))))/Inputs!$B$44),IF(Inputs!$B$39="pvp",MIN((Skills!T13*(1+Inputs!$B$35/100)),15)/15,MIN(1,(Skills!T13*(1+Inputs!$B$35/100))/(1/Q1934)))))+(IF(AND(ArtifactsInput!$M$35,Inputs!$B$4&lt;&gt;"Chapter Hunt"),CHOOSE(ArtifactsInput!$N$35+1,15,18,21,24,27,30)*(1-EXP(-(0.2*B1952)*5)),0)+IF(AND(ArtifactsInput!$M$22,Inputs!$B$4&lt;&gt;"Chapter Hunt"),CHOOSE(ArtifactsInput!$N$22+1,10,12,14,16,18,20)*((0*(((0.15*B1952*5))^0/1)+1*(((0.15*B1952*5))^1/1)+2*(((0.15*B1952*5))^2/2)+3*(((0.15*B1952*5))^3/6)+4*(((0.15*B1952*5))^4/24)+5*(((0.15*B1952*5))^5/120))/((((0.15*B1952*5))^0/1)+(((0.15*B1952*5))^1/1)+(((0.15*B1952*5))^2/2)+(((0.15*B1952*5))^3/6)+(((0.15*B1952*5))^4/24)+(((0.15*B1952*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32">
      <c r="A1932">
        <f>Skills!A11</f>
        <v/>
      </c>
      <c r="B1932">
        <f>Skills!B11</f>
        <v/>
      </c>
      <c r="C1932">
        <f>Inputs!$B$3&gt;=100</f>
        <v/>
      </c>
      <c r="D1932">
        <f>IF(Skills!C11=1,60+Inputs!$B$26+Inputs!$B$30,IF(Skills!C11=2,90+Inputs!$B$27+Inputs!$B$30,IF(Skills!C11=3,120+Inputs!$B$28+Inputs!$B$30,MAX(0,(Inputs!$B$3-100)*3)+Inputs!$B$29+Inputs!$B$30)))</f>
        <v/>
      </c>
      <c r="E1932">
        <f>INDEX(FactorTable!$B$2:$Y$301, MATCH(ROUND(MIN(300,MAX(1,D1932)),0), FactorTable!$A$2:$A$301,0), Skills!M11+1)</f>
        <v/>
      </c>
      <c r="F1932">
        <f>IF(Skills!N11=TRUE,(Skills!L11/10)*(E1932/1000),Skills!L11/10)+Skills!O11</f>
        <v/>
      </c>
      <c r="G1932" t="inlineStr"/>
      <c r="H1932" t="inlineStr"/>
      <c r="I1932" t="inlineStr">
        <is>
          <t>1</t>
        </is>
      </c>
      <c r="J1932" t="inlineStr"/>
      <c r="K1932" t="inlineStr"/>
      <c r="L1932" t="inlineStr"/>
      <c r="M1932" t="inlineStr"/>
      <c r="N1932" t="inlineStr"/>
      <c r="O1932" t="inlineStr"/>
      <c r="P1932" t="inlineStr"/>
      <c r="Q1932" t="inlineStr"/>
      <c r="R1932" t="inlineStr"/>
      <c r="S1932" t="inlineStr"/>
    </row>
    <row r="1933">
      <c r="A1933">
        <f>Skills!A12</f>
        <v/>
      </c>
      <c r="B1933">
        <f>Skills!B12</f>
        <v/>
      </c>
      <c r="C1933">
        <f>Inputs!$B$3&gt;=63</f>
        <v/>
      </c>
      <c r="D1933">
        <f>IF(Skills!C12=1,60+Inputs!$B$26+Inputs!$B$30,IF(Skills!C12=2,90+Inputs!$B$27+Inputs!$B$30,IF(Skills!C12=3,120+Inputs!$B$28+Inputs!$B$30,MAX(0,(Inputs!$B$3-100)*3)+Inputs!$B$29+Inputs!$B$30)))</f>
        <v/>
      </c>
      <c r="E1933">
        <f>INDEX(FactorTable!$B$2:$Y$301, MATCH(ROUND(MIN(300,MAX(1,D1933)),0), FactorTable!$A$2:$A$301,0), Skills!M12+1)</f>
        <v/>
      </c>
      <c r="F1933">
        <f>IF(Skills!N12=TRUE,(Skills!L12/10)*(E1933/1000),Skills!L12/10)+Skills!O12</f>
        <v/>
      </c>
      <c r="G1933">
        <f>Skills!G12*IF(Skills!H12&gt;0,INT(IF(Inputs!$B$39="pvp",MIN(Skills!I12,15),Skills!I12)/Skills!H12+0.000000001),1)</f>
        <v/>
      </c>
      <c r="H1933">
        <f>1-(1-Skills!J12/100)^Skills!K12</f>
        <v/>
      </c>
      <c r="I1933" t="inlineStr">
        <is>
          <t>1</t>
        </is>
      </c>
      <c r="J1933">
        <f>((Inputs!$B$6*(1+Inputs!$B$7/100))+(((Inputs!$B$13*(1+Inputs!$B$14/100))-(Inputs!$B$13*(1+Inputs!$B$14/100)))+0.25*(Inputs!$B$15-Inputs!$B$15))*(1+Inputs!$B$7/100))*(F1933/100)</f>
        <v/>
      </c>
      <c r="K1933">
        <f>J1933*(1+(((Inputs!$B$13+IF(Inputs!$B$3&gt;=38,(10*INDEX(FactorTable!$B$2:$Y$301, MATCH(ROUND(MIN(300,MAX(1,Inputs!$B$3)),0), FactorTable!$A$2:$A$301,0), 23)/1000)/100*(Inputs!$B$8*(1+Inputs!$B$9/100)),0))*(1+Inputs!$B$14/100))*0.01+Inputs!$B$15*0.0025)/100)*(1+Inputs!$B$16/100)*(1+Inputs!$B$17/100)*(5000/(6000+Inputs!$B$43*(1-(Inputs!$B$20+0)/100)))*(1+(Inputs!$B$25+((C1946=TRUE)*(F1946-Calc!F25))+((C1947=TRUE)*(F1947-Calc!F26))+B1956)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1932=TRUE,F1932,0)/100)*(1+(IF(Skills!A12="DARK_IMPALE",Inputs!$B$18+0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gt;=100),MIN(100,((Inputs!$B$10+0+B1950+(ArtifactsInput!$M$24-ArtifactsInput!$M$24)*CHOOSE(ArtifactsInput!$N$24+1,10,12,14,16,18,20)+IF(ArtifactsInput!$M$10,CHOOSE(ArtifactsInput!$N$10+1,15,18,21,24,27,30)*(IF(Inputs!$B$39="pvp",MIN(15,15)/15,IF(AND(Inputs!$B$39&lt;&gt;"pvp",Inputs!$B$44&gt;0),MIN(15,Inputs!$B$44)/(Inputs!$B$44),0))),0)))-100),0))*CHOOSE(ArtifactsInput!$N$42+1,0.6,0.72,0.84,0.96,1.08,1.2))),Inputs!$B$19+((C1944=TRUE)*(F1944-Calc!F23))+(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gt;=100),CHOOSE(ArtifactsInput!$N$42+1,40,48,56,64,72,80),0))))/100)*((1+(((C1934=TRUE)*F1934*IF(AND(Inputs!$B$39&lt;&gt;"pvp",Inputs!$B$44&gt;0),(((R1934-1)*MIN((Skills!T13*(1+Inputs!$B$35/100)),(1/Q1934))+MIN((Skills!T13*(1+Inputs!$B$35/100)),MAX(0,Inputs!$B$44-((R1934-1)*(1/Q1934)))))/Inputs!$B$44),IF(Inputs!$B$39="pvp",MIN((Skills!T13*(1+Inputs!$B$35/100)),15)/15,MIN(1,(Skills!T13*(1+Inputs!$B$35/100))/(1/Q1934)))))+((C1935=TRUE)*F1935*IF(AND(Inputs!$B$39&lt;&gt;"pvp",Inputs!$B$44&gt;0),(((R1935-1)*MIN((Skills!T14*(1+Inputs!$B$35/100)),(1/Q1935))+MIN((Skills!T14*(1+Inputs!$B$35/100)),MAX(0,Inputs!$B$44-((R1935-1)*(1/Q1935)))))/Inputs!$B$44),IF(Inputs!$B$39="pvp",MIN((Skills!T14*(1+Inputs!$B$35/100)),15)/15,MIN(1,(Skills!T14*(1+Inputs!$B$35/100))/(1/Q1935)))))+((C1936=TRUE)*F1936*IF(AND(Inputs!$B$39&lt;&gt;"pvp",Inputs!$B$44&gt;0),(((R1936-1)*MIN((Skills!T15*(1+Inputs!$B$35/100)),(1/Q1936))+MIN((Skills!T15*(1+Inputs!$B$35/100)),MAX(0,Inputs!$B$44-((R1936-1)*(1/Q1936)))))/Inputs!$B$44),IF(Inputs!$B$39="pvp",MIN((Skills!T15*(1+Inputs!$B$35/100)),15)/15,MIN(1,(Skills!T15*(1+Inputs!$B$35/100))/(1/Q1936)))))+((C1937=TRUE)*F1937*IF(AND(Inputs!$B$39&lt;&gt;"pvp",Inputs!$B$44&gt;0),(((R1937-1)*MIN((Skills!T16*(1+Inputs!$B$35/100)),(1/Q1937))+MIN((Skills!T16*(1+Inputs!$B$35/100)),MAX(0,Inputs!$B$44-((R1937-1)*(1/Q1937)))))/Inputs!$B$44),IF(Inputs!$B$39="pvp",MIN((Skills!T16*(1+Inputs!$B$35/100)),15)/15,MIN(1,(Skills!T16*(1+Inputs!$B$35/100))/(1/Q1937)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1933)</f>
        <v/>
      </c>
      <c r="L1933">
        <f>K1933*(MIN(Inputs!$B$23+((C1943=TRUE)*(F1943-Calc!F22)),(Inputs!$B$24+((C1945=TRUE)*(F1945-Calc!F24))+(IF(ArtifactsInput!$M$15,CHOOSE(ArtifactsInput!$N$15+1,25,30,35,40,45,50)/100*(Inputs!$B$12-Inputs!$B$12),0))))/100+(Inputs!$B$24+((C1945=TRUE)*(F1945-Calc!F24))+(IF(ArtifactsInput!$M$15,CHOOSE(ArtifactsInput!$N$15+1,25,30,35,40,45,50)/100*(Inputs!$B$12-Inputs!$B$12),0)))/100)/2</f>
        <v/>
      </c>
      <c r="M1933">
        <f>L1933*(1+(Inputs!$B$11+0+B1955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1933">
        <f>L1933*(1-MIN((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1933*(MIN((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33">
        <f>(1-Summary!$B$11)*T1933+Summary!$B$11*V1933</f>
        <v/>
      </c>
      <c r="P1933">
        <f>IF(B1960=0,0,O1933/B1960)</f>
        <v/>
      </c>
      <c r="Q1933">
        <f>IFERROR(1/IF(Inputs!$B$39="pvp",15,MAX(0.1,Skills!D12-IF(TRUE=TRUE,Inputs!$B$33,0))),0)</f>
        <v/>
      </c>
      <c r="R1933">
        <f>IF(AND(Inputs!$B$39&lt;&gt;"pvp",Inputs!$B$44&gt;0),IF(MAX(0,Inputs!$B$44-B1957)&lt;=0,0,(INT(MAX(0,Inputs!$B$44-B1957)/IF(Inputs!$B$39="pvp",15,MAX(0.1,Skills!D12-IF(TRUE=TRUE,Inputs!$B$33,0))))+1)),0)</f>
        <v/>
      </c>
      <c r="S1933">
        <f>IFERROR(O1933/N1933,0)</f>
        <v/>
      </c>
      <c r="T1933">
        <f>IF(C1933,(H1933*N1933*IF(AND(Inputs!$B$39&lt;&gt;"pvp",Inputs!$B$44&gt;0),((Skills!G12*((R1933-1)*IF(Skills!H12&gt;0,INT(Skills!I12/Skills!H12+0.000000001),1)+IF(Skills!H12&gt;0,INT(MIN(Skills!I12,MAX(0,MAX(0,Inputs!$B$44-B1957)-((R1933-1)*IF(Inputs!$B$39="pvp",15,MAX(0.1,Skills!D12-IF(TRUE=TRUE,Inputs!$B$33,0))))))/Skills!H12+0.000000001),1)))/Inputs!$B$44),G1933*Q1933))*IF(Inputs!$B$39="pvp",1,1+(Inputs!$B$21+0+Skills!P12+((C1938=TRUE)*F1938*IF(AND(Inputs!$B$39&lt;&gt;"pvp",Inputs!$B$44&gt;0),(((R1938-1)*MIN((Skills!T17*(1+Inputs!$B$35/100)),(1/Q1938))+MIN((Skills!T17*(1+Inputs!$B$35/100)),MAX(0,Inputs!$B$44-((R1938-1)*(1/Q1938)))))/Inputs!$B$44),IF(Inputs!$B$39="pvp",MIN((Skills!T17*(1+Inputs!$B$35/100)),15)/15,MIN(1,(Skills!T17*(1+Inputs!$B$35/100))/(1/Q1938)))))+((C1926=TRUE)*IF(Inputs!$B$3&gt;=126,10*MIN(1,15*Q1926),0))+((C1935=TRUE)*IF(Inputs!$B$39="pvp",20,(1-Summary!$B$11)*(20)+Summary!$B$11*(0))*IF(AND(Inputs!$B$39&lt;&gt;"pvp",Inputs!$B$44&gt;0),(((R1935-1)*MIN((Skills!T14*(1+Inputs!$B$35/100)),(1/Q1935))+MIN((Skills!T14*(1+Inputs!$B$35/100)),MAX(0,Inputs!$B$44-((R1935-1)*(1/Q1935)))))/Inputs!$B$44),IF(Inputs!$B$39="pvp",MIN((Skills!T14*(1+Inputs!$B$35/100)),15)/15,MIN(1,(Skills!T14*(1+Inputs!$B$35/100))/(1/Q1935)))))+((C1934=TRUE)*IF(Inputs!$B$3&gt;=82,IF(Inputs!$B$39="pvp",20,(1-Summary!$B$11)*(20)+Summary!$B$11*(0)),0)*IF(AND(Inputs!$B$39&lt;&gt;"pvp",Inputs!$B$44&gt;0),(((R1934-1)*MIN((Skills!T13*(1+Inputs!$B$35/100)),(1/Q1934))+MIN((Skills!T13*(1+Inputs!$B$35/100)),MAX(0,Inputs!$B$44-((R1934-1)*(1/Q1934)))))/Inputs!$B$44),IF(Inputs!$B$39="pvp",MIN((Skills!T13*(1+Inputs!$B$35/100)),15)/15,MIN(1,(Skills!T13*(1+Inputs!$B$35/100))/(1/Q1934)))))+(IF(AND(ArtifactsInput!$M$35,Inputs!$B$4&lt;&gt;"Chapter Hunt"),CHOOSE(ArtifactsInput!$N$35+1,15,18,21,24,27,30)*(1-EXP(-(0.2*B1952)*5)),0)+IF(AND(ArtifactsInput!$M$22,Inputs!$B$4&lt;&gt;"Chapter Hunt"),CHOOSE(ArtifactsInput!$N$22+1,10,12,14,16,18,20)*((0*(((0.15*B1952*5))^0/1)+1*(((0.15*B1952*5))^1/1)+2*(((0.15*B1952*5))^2/2)+3*(((0.15*B1952*5))^3/6)+4*(((0.15*B1952*5))^4/24)+5*(((0.15*B1952*5))^5/120))/((((0.15*B1952*5))^0/1)+(((0.15*B1952*5))^1/1)+(((0.15*B1952*5))^2/2)+(((0.15*B1952*5))^3/6)+(((0.15*B1952*5))^4/24)+(((0.15*B1952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IF(ArtifactsInput!$M$23,FALSE,TRUE)-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1933*(1-MIN(100,(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1933*(MIN(100,(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1933*(1-MIN(100,(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1933*(MIN(100,(Inputs!$B$10+0+B1950+(ArtifactsInput!$M$24-ArtifactsInput!$M$24)*CHOOSE(ArtifactsInput!$N$24+1,10,12,14,16,18,20)+(IF(AND(Inputs!$B$39&lt;&gt;"pvp",Inputs!$B$44=0),1,IF(IF(Inputs!$B$39="pvp",15,Inputs!$B$44)-(B1957)&lt;=0,1,MAX(0,IF(Inputs!$B$39="pvp",15,Inputs!$B$44)-MAX(5,B1957))/(IF(Inputs!$B$39="pvp",15,Inputs!$B$44)-(B1957))))*IF(AND(ArtifactsInput!$M$42,((Inputs!$B$10+0+B1950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33">
        <f>IF(C1933,(H1933*N1933*IF(AND(Inputs!$B$39&lt;&gt;"pvp",Inputs!$B$44&gt;0),((Skills!G12*((R1933-1)*IF(Skills!H12&gt;0,INT(Skills!I12/Skills!H12+0.000000001),1)+IF(Skills!H12&gt;0,INT(MIN(Skills!I12,MAX(0,MAX(0,Inputs!$B$44-B1957)-((R1933-1)*IF(Inputs!$B$39="pvp",15,MAX(0.1,Skills!D12-IF(TRUE=TRUE,Inputs!$B$33,0))))))/Skills!H12+0.000000001),1)))/Inputs!$B$44),G1933*Q1933))*IF(Inputs!$B$39="pvp",1,(1+(Inputs!$B$22+Skills!Q12+((C1938=TRUE)*F1938*IF(AND(Inputs!$B$39&lt;&gt;"pvp",Inputs!$B$44&gt;0),(((R1938-1)*MIN((Skills!T17*(1+Inputs!$B$35/100)),(1/Q1938))+MIN((Skills!T17*(1+Inputs!$B$35/100)),MAX(0,Inputs!$B$44-((R1938-1)*(1/Q1938)))))/Inputs!$B$44),IF(Inputs!$B$39="pvp",MIN((Skills!T17*(1+Inputs!$B$35/100)),15)/15,MIN(1,(Skills!T17*(1+Inputs!$B$35/100))/(1/Q1938)))))+((C1926=TRUE)*IF(Inputs!$B$3&gt;=126,10*MIN(1,15*Q1926),0))+((C1935=TRUE)*IF(Inputs!$B$39="pvp",20,(1-Summary!$B$11)*(20)+Summary!$B$11*(0))*IF(AND(Inputs!$B$39&lt;&gt;"pvp",Inputs!$B$44&gt;0),(((R1935-1)*MIN((Skills!T14*(1+Inputs!$B$35/100)),(1/Q1935))+MIN((Skills!T14*(1+Inputs!$B$35/100)),MAX(0,Inputs!$B$44-((R1935-1)*(1/Q1935)))))/Inputs!$B$44),IF(Inputs!$B$39="pvp",MIN((Skills!T14*(1+Inputs!$B$35/100)),15)/15,MIN(1,(Skills!T14*(1+Inputs!$B$35/100))/(1/Q1935)))))+((C1934=TRUE)*IF(Inputs!$B$3&gt;=82,IF(Inputs!$B$39="pvp",20,(1-Summary!$B$11)*(20)+Summary!$B$11*(0)),0)*IF(AND(Inputs!$B$39&lt;&gt;"pvp",Inputs!$B$44&gt;0),(((R1934-1)*MIN((Skills!T13*(1+Inputs!$B$35/100)),(1/Q1934))+MIN((Skills!T13*(1+Inputs!$B$35/100)),MAX(0,Inputs!$B$44-((R1934-1)*(1/Q1934)))))/Inputs!$B$44),IF(Inputs!$B$39="pvp",MIN((Skills!T13*(1+Inputs!$B$35/100)),15)/15,MIN(1,(Skills!T13*(1+Inputs!$B$35/100))/(1/Q1934)))))+(IF(AND(ArtifactsInput!$M$35,Inputs!$B$4&lt;&gt;"Chapter Hunt"),CHOOSE(ArtifactsInput!$N$35+1,15,18,21,24,27,30)*(1-EXP(-(0.2*B1952)*5)),0)+IF(AND(ArtifactsInput!$M$22,Inputs!$B$4&lt;&gt;"Chapter Hunt"),CHOOSE(ArtifactsInput!$N$22+1,10,12,14,16,18,20)*((0*(((0.15*B1952*5))^0/1)+1*(((0.15*B1952*5))^1/1)+2*(((0.15*B1952*5))^2/2)+3*(((0.15*B1952*5))^3/6)+4*(((0.15*B1952*5))^4/24)+5*(((0.15*B1952*5))^5/120))/((((0.15*B1952*5))^0/1)+(((0.15*B1952*5))^1/1)+(((0.15*B1952*5))^2/2)+(((0.15*B1952*5))^3/6)+(((0.15*B1952*5))^4/24)+(((0.15*B1952*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34">
      <c r="A1934">
        <f>Skills!A13</f>
        <v/>
      </c>
      <c r="B1934">
        <f>Skills!B13</f>
        <v/>
      </c>
      <c r="C1934">
        <f>Inputs!$B$3&gt;=69</f>
        <v/>
      </c>
      <c r="D1934">
        <f>IF(Skills!C13=1,60+Inputs!$B$26+Inputs!$B$30,IF(Skills!C13=2,90+Inputs!$B$27+Inputs!$B$30,IF(Skills!C13=3,120+Inputs!$B$28+Inputs!$B$30,MAX(0,(Inputs!$B$3-100)*3)+Inputs!$B$29+Inputs!$B$30)))</f>
        <v/>
      </c>
      <c r="E1934">
        <f>INDEX(FactorTable!$B$2:$Y$301, MATCH(ROUND(MIN(300,MAX(1,D1934)),0), FactorTable!$A$2:$A$301,0), Skills!M13+1)</f>
        <v/>
      </c>
      <c r="F1934">
        <f>IF(Skills!N13=TRUE,(Skills!L13/10)*(E1934/1000),Skills!L13/10)+Skills!O13</f>
        <v/>
      </c>
      <c r="G1934">
        <f>Skills!G13*IF(Skills!H13&gt;0,INT(IF(Inputs!$B$39="pvp",MIN(Skills!I13,15),Skills!I13)/Skills!H13+0.000000001),1)</f>
        <v/>
      </c>
      <c r="H1934">
        <f>1-(1-Skills!J13/100)^Skills!K13</f>
        <v/>
      </c>
      <c r="I1934" t="inlineStr">
        <is>
          <t>1</t>
        </is>
      </c>
      <c r="J1934" t="inlineStr"/>
      <c r="K1934" t="inlineStr"/>
      <c r="L1934" t="inlineStr"/>
      <c r="M1934" t="inlineStr"/>
      <c r="N1934" t="inlineStr"/>
      <c r="O1934">
        <f>(1-Summary!$B$11)*T1934+Summary!$B$11*V1934</f>
        <v/>
      </c>
      <c r="P1934">
        <f>IF(B1960=0,0,O1934/B1960)</f>
        <v/>
      </c>
      <c r="Q1934">
        <f>IFERROR(1/IF(Inputs!$B$39="pvp",15,MAX(0.1,Skills!D13-IF(TRUE=TRUE,Inputs!$B$33,0))),0)</f>
        <v/>
      </c>
      <c r="R1934">
        <f>IF(AND(Inputs!$B$39&lt;&gt;"pvp",Inputs!$B$44&gt;0),IF(Inputs!$B$44&lt;=0,0,(INT(Inputs!$B$44/IF(Inputs!$B$39="pvp",15,MAX(0.1,Skills!D13-IF(TRUE=TRUE,Inputs!$B$33,0))))+1)),0)</f>
        <v/>
      </c>
      <c r="S1934">
        <f>IFERROR(O1934/N1934,0)</f>
        <v/>
      </c>
      <c r="T1934" t="n">
        <v>0</v>
      </c>
      <c r="V1934" t="n">
        <v>0</v>
      </c>
    </row>
    <row r="1935">
      <c r="A1935">
        <f>Skills!A14</f>
        <v/>
      </c>
      <c r="B1935">
        <f>Skills!B14</f>
        <v/>
      </c>
      <c r="C1935">
        <f>Inputs!$B$3&gt;=115</f>
        <v/>
      </c>
      <c r="D1935">
        <f>IF(Skills!C14=1,60+Inputs!$B$26+Inputs!$B$30,IF(Skills!C14=2,90+Inputs!$B$27+Inputs!$B$30,IF(Skills!C14=3,120+Inputs!$B$28+Inputs!$B$30,MAX(0,(Inputs!$B$3-100)*3)+Inputs!$B$29+Inputs!$B$30)))</f>
        <v/>
      </c>
      <c r="E1935">
        <f>INDEX(FactorTable!$B$2:$Y$301, MATCH(ROUND(MIN(300,MAX(1,D1935)),0), FactorTable!$A$2:$A$301,0), Skills!M14+1)</f>
        <v/>
      </c>
      <c r="F1935">
        <f>IF(Skills!N14=TRUE,(Skills!L14/10)*(E1935/1000),Skills!L14/10)+Skills!O14</f>
        <v/>
      </c>
      <c r="G1935">
        <f>Skills!G14*IF(Skills!H14&gt;0,INT(IF(Inputs!$B$39="pvp",MIN(Skills!I14,15),Skills!I14)/Skills!H14+0.000000001),1)</f>
        <v/>
      </c>
      <c r="H1935">
        <f>1-(1-Skills!J14/100)^Skills!K14</f>
        <v/>
      </c>
      <c r="I1935" t="inlineStr">
        <is>
          <t>1</t>
        </is>
      </c>
      <c r="J1935" t="inlineStr"/>
      <c r="K1935" t="inlineStr"/>
      <c r="L1935" t="inlineStr"/>
      <c r="M1935" t="inlineStr"/>
      <c r="N1935" t="inlineStr"/>
      <c r="O1935">
        <f>(1-Summary!$B$11)*T1935+Summary!$B$11*V1935</f>
        <v/>
      </c>
      <c r="P1935">
        <f>IF(B1960=0,0,O1935/B1960)</f>
        <v/>
      </c>
      <c r="Q1935">
        <f>IFERROR(1/IF(Inputs!$B$39="pvp",15,MAX(0.1,Skills!D14-IF(TRUE=TRUE,Inputs!$B$33,0))),0)</f>
        <v/>
      </c>
      <c r="R1935">
        <f>IF(AND(Inputs!$B$39&lt;&gt;"pvp",Inputs!$B$44&gt;0),IF(Inputs!$B$44&lt;=0,0,(INT(Inputs!$B$44/IF(Inputs!$B$39="pvp",15,MAX(0.1,Skills!D14-IF(TRUE=TRUE,Inputs!$B$33,0))))+1)),0)</f>
        <v/>
      </c>
      <c r="S1935">
        <f>IFERROR(O1935/N1935,0)</f>
        <v/>
      </c>
      <c r="T1935" t="n">
        <v>0</v>
      </c>
      <c r="V1935" t="n">
        <v>0</v>
      </c>
    </row>
    <row r="1936">
      <c r="A1936">
        <f>Skills!A15</f>
        <v/>
      </c>
      <c r="B1936">
        <f>Skills!B15</f>
        <v/>
      </c>
      <c r="C1936">
        <f>Inputs!$B$3&gt;=66</f>
        <v/>
      </c>
      <c r="D1936">
        <f>IF(Skills!C15=1,60+Inputs!$B$26+Inputs!$B$30,IF(Skills!C15=2,90+Inputs!$B$27+Inputs!$B$30,IF(Skills!C15=3,120+Inputs!$B$28+Inputs!$B$30,MAX(0,(Inputs!$B$3-100)*3)+Inputs!$B$29+Inputs!$B$30)))</f>
        <v/>
      </c>
      <c r="E1936">
        <f>INDEX(FactorTable!$B$2:$Y$301, MATCH(ROUND(MIN(300,MAX(1,D1936)),0), FactorTable!$A$2:$A$301,0), Skills!M15+1)</f>
        <v/>
      </c>
      <c r="F1936">
        <f>IF(Skills!N15=TRUE,(Skills!L15/10)*(E1936/1000),Skills!L15/10)+Skills!O15</f>
        <v/>
      </c>
      <c r="G1936">
        <f>Skills!G15*IF(Skills!H15&gt;0,INT(IF(Inputs!$B$39="pvp",MIN(Skills!I15,15),Skills!I15)/Skills!H15+0.000000001),1)</f>
        <v/>
      </c>
      <c r="H1936">
        <f>1-(1-Skills!J15/100)^Skills!K15</f>
        <v/>
      </c>
      <c r="I1936" t="inlineStr">
        <is>
          <t>1</t>
        </is>
      </c>
      <c r="J1936" t="inlineStr"/>
      <c r="K1936" t="inlineStr"/>
      <c r="L1936" t="inlineStr"/>
      <c r="M1936" t="inlineStr"/>
      <c r="N1936" t="inlineStr"/>
      <c r="O1936">
        <f>(1-Summary!$B$11)*T1936+Summary!$B$11*V1936</f>
        <v/>
      </c>
      <c r="P1936">
        <f>IF(B1960=0,0,O1936/B1960)</f>
        <v/>
      </c>
      <c r="Q1936">
        <f>IFERROR(1/IF(Inputs!$B$39="pvp",15,MAX(0.1,Skills!D15-IF(TRUE=TRUE,Inputs!$B$33,0))),0)</f>
        <v/>
      </c>
      <c r="R1936">
        <f>IF(AND(Inputs!$B$39&lt;&gt;"pvp",Inputs!$B$44&gt;0),IF(Inputs!$B$44&lt;=0,0,(INT(Inputs!$B$44/IF(Inputs!$B$39="pvp",15,MAX(0.1,Skills!D15-IF(TRUE=TRUE,Inputs!$B$33,0))))+1)),0)</f>
        <v/>
      </c>
      <c r="S1936">
        <f>IFERROR(O1936/N1936,0)</f>
        <v/>
      </c>
      <c r="T1936" t="n">
        <v>0</v>
      </c>
      <c r="V1936" t="n">
        <v>0</v>
      </c>
    </row>
    <row r="1937">
      <c r="A1937">
        <f>Skills!A16</f>
        <v/>
      </c>
      <c r="B1937">
        <f>Skills!B16</f>
        <v/>
      </c>
      <c r="C1937">
        <f>Inputs!$B$3&gt;=45</f>
        <v/>
      </c>
      <c r="D1937">
        <f>IF(Skills!C16=1,60+Inputs!$B$26+Inputs!$B$30,IF(Skills!C16=2,90+Inputs!$B$27+Inputs!$B$30,IF(Skills!C16=3,120+Inputs!$B$28+Inputs!$B$30,MAX(0,(Inputs!$B$3-100)*3)+Inputs!$B$29+Inputs!$B$30)))</f>
        <v/>
      </c>
      <c r="E1937">
        <f>INDEX(FactorTable!$B$2:$Y$301, MATCH(ROUND(MIN(300,MAX(1,D1937)),0), FactorTable!$A$2:$A$301,0), Skills!M16+1)</f>
        <v/>
      </c>
      <c r="F1937">
        <f>IF(Skills!N16=TRUE,(Skills!L16/10)*(E1937/1000),Skills!L16/10)+Skills!O16</f>
        <v/>
      </c>
      <c r="G1937">
        <f>Skills!G16*IF(Skills!H16&gt;0,INT(IF(Inputs!$B$39="pvp",MIN(Skills!I16,15),Skills!I16)/Skills!H16+0.000000001),1)</f>
        <v/>
      </c>
      <c r="H1937">
        <f>1-(1-Skills!J16/100)^Skills!K16</f>
        <v/>
      </c>
      <c r="I1937" t="inlineStr">
        <is>
          <t>1</t>
        </is>
      </c>
      <c r="J1937" t="inlineStr"/>
      <c r="K1937" t="inlineStr"/>
      <c r="L1937" t="inlineStr"/>
      <c r="M1937" t="inlineStr"/>
      <c r="N1937" t="inlineStr"/>
      <c r="O1937">
        <f>(1-Summary!$B$11)*T1937+Summary!$B$11*V1937</f>
        <v/>
      </c>
      <c r="P1937">
        <f>IF(B1960=0,0,O1937/B1960)</f>
        <v/>
      </c>
      <c r="Q1937">
        <f>IFERROR(1/IF(Inputs!$B$39="pvp",15,MAX(0.1,Skills!D16-IF(TRUE=TRUE,Inputs!$B$33,0))),0)</f>
        <v/>
      </c>
      <c r="R1937">
        <f>IF(AND(Inputs!$B$39&lt;&gt;"pvp",Inputs!$B$44&gt;0),IF(Inputs!$B$44&lt;=0,0,(INT(Inputs!$B$44/IF(Inputs!$B$39="pvp",15,MAX(0.1,Skills!D16-IF(TRUE=TRUE,Inputs!$B$33,0))))+1)),0)</f>
        <v/>
      </c>
      <c r="S1937">
        <f>IFERROR(O1937/N1937,0)</f>
        <v/>
      </c>
      <c r="T1937" t="n">
        <v>0</v>
      </c>
      <c r="V1937" t="n">
        <v>0</v>
      </c>
    </row>
    <row r="1938">
      <c r="A1938">
        <f>Skills!A17</f>
        <v/>
      </c>
      <c r="B1938">
        <f>Skills!B17</f>
        <v/>
      </c>
      <c r="C1938">
        <f>Inputs!$B$3&gt;=35</f>
        <v/>
      </c>
      <c r="D1938">
        <f>IF(Skills!C17=1,60+Inputs!$B$26+Inputs!$B$30,IF(Skills!C17=2,90+Inputs!$B$27+Inputs!$B$30,IF(Skills!C17=3,120+Inputs!$B$28+Inputs!$B$30,MAX(0,(Inputs!$B$3-100)*3)+Inputs!$B$29+Inputs!$B$30)))</f>
        <v/>
      </c>
      <c r="E1938">
        <f>INDEX(FactorTable!$B$2:$Y$301, MATCH(ROUND(MIN(300,MAX(1,D1938)),0), FactorTable!$A$2:$A$301,0), Skills!M17+1)</f>
        <v/>
      </c>
      <c r="F1938">
        <f>IF(Skills!N17=TRUE,(Skills!L17/10)*(E1938/1000),Skills!L17/10)+Skills!O17</f>
        <v/>
      </c>
      <c r="G1938">
        <f>Skills!G17*IF(Skills!H17&gt;0,INT(IF(Inputs!$B$39="pvp",MIN(Skills!I17,15),Skills!I17)/Skills!H17+0.000000001),1)</f>
        <v/>
      </c>
      <c r="H1938">
        <f>1-(1-Skills!J17/100)^Skills!K17</f>
        <v/>
      </c>
      <c r="I1938" t="inlineStr">
        <is>
          <t>1</t>
        </is>
      </c>
      <c r="J1938" t="inlineStr"/>
      <c r="K1938" t="inlineStr"/>
      <c r="L1938" t="inlineStr"/>
      <c r="M1938" t="inlineStr"/>
      <c r="N1938" t="inlineStr"/>
      <c r="O1938">
        <f>(1-Summary!$B$11)*T1938+Summary!$B$11*V1938</f>
        <v/>
      </c>
      <c r="P1938">
        <f>IF(B1960=0,0,O1938/B1960)</f>
        <v/>
      </c>
      <c r="Q1938">
        <f>IFERROR(1/IF(Inputs!$B$39="pvp",15,MAX(0.1,Skills!D17-IF(TRUE=TRUE,Inputs!$B$33,0))),0)</f>
        <v/>
      </c>
      <c r="R1938">
        <f>IF(AND(Inputs!$B$39&lt;&gt;"pvp",Inputs!$B$44&gt;0),IF(Inputs!$B$44&lt;=0,0,(INT(Inputs!$B$44/IF(Inputs!$B$39="pvp",15,MAX(0.1,Skills!D17-IF(TRUE=TRUE,Inputs!$B$33,0))))+1)),0)</f>
        <v/>
      </c>
      <c r="S1938">
        <f>IFERROR(O1938/N1938,0)</f>
        <v/>
      </c>
      <c r="T1938" t="n">
        <v>0</v>
      </c>
      <c r="V1938" t="n">
        <v>0</v>
      </c>
    </row>
    <row r="1939">
      <c r="A1939">
        <f>Skills!A18</f>
        <v/>
      </c>
      <c r="B1939">
        <f>Skills!B18</f>
        <v/>
      </c>
      <c r="C1939">
        <f>Inputs!$B$3&gt;=72</f>
        <v/>
      </c>
      <c r="D1939">
        <f>IF(Skills!C18=1,60+Inputs!$B$26+Inputs!$B$30,IF(Skills!C18=2,90+Inputs!$B$27+Inputs!$B$30,IF(Skills!C18=3,120+Inputs!$B$28+Inputs!$B$30,MAX(0,(Inputs!$B$3-100)*3)+Inputs!$B$29+Inputs!$B$30)))</f>
        <v/>
      </c>
      <c r="E1939">
        <f>INDEX(FactorTable!$B$2:$Y$301, MATCH(ROUND(MIN(300,MAX(1,D1939)),0), FactorTable!$A$2:$A$301,0), Skills!M18+1)</f>
        <v/>
      </c>
      <c r="F1939">
        <f>IF(Skills!N18=TRUE,(Skills!L18/10)*(E1939/1000),Skills!L18/10)+Skills!O18</f>
        <v/>
      </c>
      <c r="G1939">
        <f>Skills!G18*IF(Skills!H18&gt;0,INT(IF(Inputs!$B$39="pvp",MIN(Skills!I18,15),Skills!I18)/Skills!H18+0.000000001),1)</f>
        <v/>
      </c>
      <c r="H1939">
        <f>1-(1-Skills!J18/100)^Skills!K18</f>
        <v/>
      </c>
      <c r="I1939" t="inlineStr">
        <is>
          <t>1</t>
        </is>
      </c>
      <c r="J1939" t="inlineStr"/>
      <c r="K1939" t="inlineStr"/>
      <c r="L1939" t="inlineStr"/>
      <c r="M1939" t="inlineStr"/>
      <c r="N1939" t="inlineStr"/>
      <c r="O1939">
        <f>(1-Summary!$B$11)*T1939+Summary!$B$11*V1939</f>
        <v/>
      </c>
      <c r="P1939">
        <f>IF(B1960=0,0,O1939/B1960)</f>
        <v/>
      </c>
      <c r="Q1939">
        <f>IFERROR(1/IF(Inputs!$B$39="pvp",15,MAX(0.1,Skills!D18-IF(TRUE=TRUE,Inputs!$B$33,0))),0)</f>
        <v/>
      </c>
      <c r="R1939">
        <f>IF(AND(Inputs!$B$39&lt;&gt;"pvp",Inputs!$B$44&gt;0),IF(Inputs!$B$44&lt;=0,0,(INT(Inputs!$B$44/IF(Inputs!$B$39="pvp",15,MAX(0.1,Skills!D18-IF(TRUE=TRUE,Inputs!$B$33,0))))+1)),0)</f>
        <v/>
      </c>
      <c r="S1939">
        <f>IFERROR(O1939/N1939,0)</f>
        <v/>
      </c>
      <c r="T1939" t="n">
        <v>0</v>
      </c>
      <c r="V1939" t="n">
        <v>0</v>
      </c>
    </row>
    <row r="1940">
      <c r="A1940">
        <f>Skills!A19</f>
        <v/>
      </c>
      <c r="B1940">
        <f>Skills!B19</f>
        <v/>
      </c>
      <c r="C1940">
        <f>Inputs!$B$3&gt;=72</f>
        <v/>
      </c>
      <c r="D1940">
        <f>IF(Skills!C19=1,60+Inputs!$B$26+Inputs!$B$30,IF(Skills!C19=2,90+Inputs!$B$27+Inputs!$B$30,IF(Skills!C19=3,120+Inputs!$B$28+Inputs!$B$30,MAX(0,(Inputs!$B$3-100)*3)+Inputs!$B$29+Inputs!$B$30)))</f>
        <v/>
      </c>
      <c r="E1940">
        <f>INDEX(FactorTable!$B$2:$Y$301, MATCH(ROUND(MIN(300,MAX(1,D1940)),0), FactorTable!$A$2:$A$301,0), Skills!M19+1)</f>
        <v/>
      </c>
      <c r="F1940">
        <f>IF(Skills!N19=TRUE,(Skills!L19/10)*(E1940/1000),Skills!L19/10)+Skills!O19</f>
        <v/>
      </c>
      <c r="G1940">
        <f>Skills!G19*IF(Skills!H19&gt;0,INT(IF(Inputs!$B$39="pvp",MIN(Skills!I19,15),Skills!I19)/Skills!H19+0.000000001),1)</f>
        <v/>
      </c>
      <c r="H1940">
        <f>1-(1-Skills!J19/100)^Skills!K19</f>
        <v/>
      </c>
      <c r="I1940" t="inlineStr">
        <is>
          <t>1</t>
        </is>
      </c>
      <c r="J1940" t="inlineStr"/>
      <c r="K1940" t="inlineStr"/>
      <c r="L1940" t="inlineStr"/>
      <c r="M1940" t="inlineStr"/>
      <c r="N1940" t="inlineStr"/>
      <c r="O1940">
        <f>(1-Summary!$B$11)*T1940+Summary!$B$11*V1940</f>
        <v/>
      </c>
      <c r="P1940">
        <f>IF(B1960=0,0,O1940/B1960)</f>
        <v/>
      </c>
      <c r="Q1940">
        <f>IFERROR(1/IF(Inputs!$B$39="pvp",15,MAX(0.1,Skills!D19-IF(TRUE=TRUE,Inputs!$B$33,0))),0)</f>
        <v/>
      </c>
      <c r="R1940">
        <f>IF(AND(Inputs!$B$39&lt;&gt;"pvp",Inputs!$B$44&gt;0),IF(Inputs!$B$44&lt;=0,0,(INT(Inputs!$B$44/IF(Inputs!$B$39="pvp",15,MAX(0.1,Skills!D19-IF(TRUE=TRUE,Inputs!$B$33,0))))+1)),0)</f>
        <v/>
      </c>
      <c r="S1940">
        <f>IFERROR(O1940/N1940,0)</f>
        <v/>
      </c>
      <c r="T1940" t="n">
        <v>0</v>
      </c>
      <c r="V1940" t="n">
        <v>0</v>
      </c>
    </row>
    <row r="1941">
      <c r="A1941">
        <f>Skills!A20</f>
        <v/>
      </c>
      <c r="B1941">
        <f>Skills!B20</f>
        <v/>
      </c>
      <c r="C1941">
        <f>TRUE</f>
        <v/>
      </c>
      <c r="D1941">
        <f>IF(Skills!C20=1,60+Inputs!$B$26+Inputs!$B$30,IF(Skills!C20=2,90+Inputs!$B$27+Inputs!$B$30,IF(Skills!C20=3,120+Inputs!$B$28+Inputs!$B$30,MAX(0,(Inputs!$B$3-100)*3)+Inputs!$B$29+Inputs!$B$30)))</f>
        <v/>
      </c>
      <c r="E1941">
        <f>INDEX(FactorTable!$B$2:$Y$301, MATCH(ROUND(MIN(300,MAX(1,D1941)),0), FactorTable!$A$2:$A$301,0), Skills!M20+1)</f>
        <v/>
      </c>
      <c r="F1941">
        <f>IF(Skills!N20=TRUE,(Skills!L20/10)*(E1941/1000),Skills!L20/10)+Skills!O20</f>
        <v/>
      </c>
      <c r="G1941">
        <f>Skills!G20*IF(Skills!H20&gt;0,INT(IF(Inputs!$B$39="pvp",MIN(Skills!I20,15),Skills!I20)/Skills!H20+0.000000001),1)</f>
        <v/>
      </c>
      <c r="H1941">
        <f>1-(1-Skills!J20/100)^Skills!K20</f>
        <v/>
      </c>
      <c r="I1941" t="inlineStr">
        <is>
          <t>1</t>
        </is>
      </c>
      <c r="J1941" t="inlineStr"/>
      <c r="K1941" t="inlineStr"/>
      <c r="L1941" t="inlineStr"/>
      <c r="M1941" t="inlineStr"/>
      <c r="N1941" t="inlineStr"/>
      <c r="O1941">
        <f>(1-Summary!$B$11)*T1941+Summary!$B$11*V1941</f>
        <v/>
      </c>
      <c r="P1941">
        <f>IF(B1960=0,0,O1941/B1960)</f>
        <v/>
      </c>
      <c r="Q1941">
        <f>IFERROR(1/IF(Inputs!$B$39="pvp",15,MAX(0.1,Skills!D20-IF(TRUE=TRUE,Inputs!$B$33,0))),0)</f>
        <v/>
      </c>
      <c r="R1941">
        <f>IF(AND(Inputs!$B$39&lt;&gt;"pvp",Inputs!$B$44&gt;0),IF(Inputs!$B$44&lt;=0,0,(INT(Inputs!$B$44/IF(Inputs!$B$39="pvp",15,MAX(0.1,Skills!D20-IF(TRUE=TRUE,Inputs!$B$33,0))))+1)),0)</f>
        <v/>
      </c>
      <c r="S1941">
        <f>IFERROR(O1941/N1941,0)</f>
        <v/>
      </c>
      <c r="T1941" t="n">
        <v>0</v>
      </c>
      <c r="V1941" t="n">
        <v>0</v>
      </c>
    </row>
    <row r="1942">
      <c r="A1942">
        <f>Skills!A21</f>
        <v/>
      </c>
      <c r="B1942">
        <f>Skills!B21</f>
        <v/>
      </c>
      <c r="C1942">
        <f>Inputs!$B$3&gt;=33</f>
        <v/>
      </c>
      <c r="D1942">
        <f>IF(Skills!C21=1,60+Inputs!$B$26+Inputs!$B$30,IF(Skills!C21=2,90+Inputs!$B$27+Inputs!$B$30,IF(Skills!C21=3,120+Inputs!$B$28+Inputs!$B$30,MAX(0,(Inputs!$B$3-100)*3)+Inputs!$B$29+Inputs!$B$30)))</f>
        <v/>
      </c>
      <c r="E1942">
        <f>INDEX(FactorTable!$B$2:$Y$301, MATCH(ROUND(MIN(300,MAX(1,D1942)),0), FactorTable!$A$2:$A$301,0), Skills!M21+1)</f>
        <v/>
      </c>
      <c r="F1942">
        <f>IF(Skills!N21=TRUE,(Skills!L21/10)*(E1942/1000),Skills!L21/10)+Skills!O21</f>
        <v/>
      </c>
      <c r="G1942">
        <f>Skills!G21*IF(Skills!H21&gt;0,INT(IF(Inputs!$B$39="pvp",MIN(Skills!I21,15),Skills!I21)/Skills!H21+0.000000001),1)</f>
        <v/>
      </c>
      <c r="H1942">
        <f>1-(1-Skills!J21/100)^Skills!K21</f>
        <v/>
      </c>
      <c r="I1942" t="inlineStr">
        <is>
          <t>1</t>
        </is>
      </c>
      <c r="J1942" t="inlineStr"/>
      <c r="K1942" t="inlineStr"/>
      <c r="L1942" t="inlineStr"/>
      <c r="M1942" t="inlineStr"/>
      <c r="N1942" t="inlineStr"/>
      <c r="O1942">
        <f>(1-Summary!$B$11)*T1942+Summary!$B$11*V1942</f>
        <v/>
      </c>
      <c r="P1942">
        <f>IF(B1960=0,0,O1942/B1960)</f>
        <v/>
      </c>
      <c r="Q1942" t="n">
        <v>0</v>
      </c>
      <c r="R1942" t="n">
        <v>0</v>
      </c>
      <c r="S1942">
        <f>IFERROR(O1942/N1942,0)</f>
        <v/>
      </c>
      <c r="T1942" t="n">
        <v>0</v>
      </c>
      <c r="V1942" t="n">
        <v>0</v>
      </c>
    </row>
    <row r="1943">
      <c r="A1943">
        <f>Skills!A22</f>
        <v/>
      </c>
      <c r="B1943">
        <f>Skills!B22</f>
        <v/>
      </c>
      <c r="C1943">
        <f>Inputs!$B$3&gt;=43</f>
        <v/>
      </c>
      <c r="D1943">
        <f>IF(Skills!C22=1,60+Inputs!$B$26+Inputs!$B$30,IF(Skills!C22=2,90+Inputs!$B$27+Inputs!$B$30,IF(Skills!C22=3,120+Inputs!$B$28+Inputs!$B$30,MAX(0,(Inputs!$B$3-100)*3)+Inputs!$B$29+Inputs!$B$30)))</f>
        <v/>
      </c>
      <c r="E1943">
        <f>INDEX(FactorTable!$B$2:$Y$301, MATCH(ROUND(MIN(300,MAX(1,D1943)),0), FactorTable!$A$2:$A$301,0), Skills!M22+1)</f>
        <v/>
      </c>
      <c r="F1943">
        <f>IF(Skills!N22=TRUE,(Skills!L22/10)*(E1943/1000),Skills!L22/10)+Skills!O22</f>
        <v/>
      </c>
      <c r="G1943">
        <f>Skills!G22*IF(Skills!H22&gt;0,INT(IF(Inputs!$B$39="pvp",MIN(Skills!I22,15),Skills!I22)/Skills!H22+0.000000001),1)</f>
        <v/>
      </c>
      <c r="H1943">
        <f>1-(1-Skills!J22/100)^Skills!K22</f>
        <v/>
      </c>
      <c r="I1943" t="inlineStr">
        <is>
          <t>1</t>
        </is>
      </c>
      <c r="J1943" t="inlineStr"/>
      <c r="K1943" t="inlineStr"/>
      <c r="L1943" t="inlineStr"/>
      <c r="M1943" t="inlineStr"/>
      <c r="N1943" t="inlineStr"/>
      <c r="O1943">
        <f>(1-Summary!$B$11)*T1943+Summary!$B$11*V1943</f>
        <v/>
      </c>
      <c r="P1943">
        <f>IF(B1960=0,0,O1943/B1960)</f>
        <v/>
      </c>
      <c r="Q1943" t="n">
        <v>0</v>
      </c>
      <c r="R1943" t="n">
        <v>0</v>
      </c>
      <c r="S1943">
        <f>IFERROR(O1943/N1943,0)</f>
        <v/>
      </c>
      <c r="T1943" t="n">
        <v>0</v>
      </c>
      <c r="V1943" t="n">
        <v>0</v>
      </c>
    </row>
    <row r="1944">
      <c r="A1944">
        <f>Skills!A23</f>
        <v/>
      </c>
      <c r="B1944">
        <f>Skills!B23</f>
        <v/>
      </c>
      <c r="C1944">
        <f>Inputs!$B$3&gt;=120</f>
        <v/>
      </c>
      <c r="D1944">
        <f>IF(Skills!C23=1,60+Inputs!$B$26+Inputs!$B$30,IF(Skills!C23=2,90+Inputs!$B$27+Inputs!$B$30,IF(Skills!C23=3,120+Inputs!$B$28+Inputs!$B$30,MAX(0,(Inputs!$B$3-100)*3)+Inputs!$B$29+Inputs!$B$30)))</f>
        <v/>
      </c>
      <c r="E1944">
        <f>INDEX(FactorTable!$B$2:$Y$301, MATCH(ROUND(MIN(300,MAX(1,D1944)),0), FactorTable!$A$2:$A$301,0), Skills!M23+1)</f>
        <v/>
      </c>
      <c r="F1944">
        <f>IF(Skills!N23=TRUE,(Skills!L23/10)*(E1944/1000),Skills!L23/10)+Skills!O23</f>
        <v/>
      </c>
      <c r="G1944">
        <f>Skills!G23*IF(Skills!H23&gt;0,INT(IF(Inputs!$B$39="pvp",MIN(Skills!I23,15),Skills!I23)/Skills!H23+0.000000001),1)</f>
        <v/>
      </c>
      <c r="H1944">
        <f>1-(1-Skills!J23/100)^Skills!K23</f>
        <v/>
      </c>
      <c r="I1944" t="inlineStr">
        <is>
          <t>1</t>
        </is>
      </c>
      <c r="J1944" t="inlineStr"/>
      <c r="K1944" t="inlineStr"/>
      <c r="L1944" t="inlineStr"/>
      <c r="M1944" t="inlineStr"/>
      <c r="N1944" t="inlineStr"/>
      <c r="O1944">
        <f>(1-Summary!$B$11)*T1944+Summary!$B$11*V1944</f>
        <v/>
      </c>
      <c r="P1944">
        <f>IF(B1960=0,0,O1944/B1960)</f>
        <v/>
      </c>
      <c r="Q1944" t="n">
        <v>0</v>
      </c>
      <c r="R1944" t="n">
        <v>0</v>
      </c>
      <c r="S1944">
        <f>IFERROR(O1944/N1944,0)</f>
        <v/>
      </c>
      <c r="T1944" t="n">
        <v>0</v>
      </c>
      <c r="V1944" t="n">
        <v>0</v>
      </c>
    </row>
    <row r="1945">
      <c r="A1945">
        <f>Skills!A24</f>
        <v/>
      </c>
      <c r="B1945">
        <f>Skills!B24</f>
        <v/>
      </c>
      <c r="C1945">
        <f>Inputs!$B$3&gt;=120</f>
        <v/>
      </c>
      <c r="D1945">
        <f>IF(Skills!C24=1,60+Inputs!$B$26+Inputs!$B$30,IF(Skills!C24=2,90+Inputs!$B$27+Inputs!$B$30,IF(Skills!C24=3,120+Inputs!$B$28+Inputs!$B$30,MAX(0,(Inputs!$B$3-100)*3)+Inputs!$B$29+Inputs!$B$30)))</f>
        <v/>
      </c>
      <c r="E1945">
        <f>INDEX(FactorTable!$B$2:$Y$301, MATCH(ROUND(MIN(300,MAX(1,D1945)),0), FactorTable!$A$2:$A$301,0), Skills!M24+1)</f>
        <v/>
      </c>
      <c r="F1945">
        <f>IF(Skills!N24=TRUE,(Skills!L24/10)*(E1945/1000),Skills!L24/10)+Skills!O24</f>
        <v/>
      </c>
      <c r="G1945">
        <f>Skills!G24*IF(Skills!H24&gt;0,INT(IF(Inputs!$B$39="pvp",MIN(Skills!I24,15),Skills!I24)/Skills!H24+0.000000001),1)</f>
        <v/>
      </c>
      <c r="H1945">
        <f>1-(1-Skills!J24/100)^Skills!K24</f>
        <v/>
      </c>
      <c r="I1945" t="inlineStr">
        <is>
          <t>1</t>
        </is>
      </c>
      <c r="J1945" t="inlineStr"/>
      <c r="K1945" t="inlineStr"/>
      <c r="L1945" t="inlineStr"/>
      <c r="M1945" t="inlineStr"/>
      <c r="N1945" t="inlineStr"/>
      <c r="O1945">
        <f>(1-Summary!$B$11)*T1945+Summary!$B$11*V1945</f>
        <v/>
      </c>
      <c r="P1945">
        <f>IF(B1960=0,0,O1945/B1960)</f>
        <v/>
      </c>
      <c r="Q1945" t="n">
        <v>0</v>
      </c>
      <c r="R1945" t="n">
        <v>0</v>
      </c>
      <c r="S1945">
        <f>IFERROR(O1945/N1945,0)</f>
        <v/>
      </c>
      <c r="T1945" t="n">
        <v>0</v>
      </c>
      <c r="V1945" t="n">
        <v>0</v>
      </c>
    </row>
    <row r="1946">
      <c r="A1946">
        <f>Skills!A25</f>
        <v/>
      </c>
      <c r="B1946">
        <f>Skills!B25</f>
        <v/>
      </c>
      <c r="C1946">
        <f>Inputs!$B$3&gt;=125</f>
        <v/>
      </c>
      <c r="D1946">
        <f>IF(Skills!C25=1,60+Inputs!$B$26+Inputs!$B$30,IF(Skills!C25=2,90+Inputs!$B$27+Inputs!$B$30,IF(Skills!C25=3,120+Inputs!$B$28+Inputs!$B$30,MAX(0,(Inputs!$B$3-100)*3)+Inputs!$B$29+Inputs!$B$30)))</f>
        <v/>
      </c>
      <c r="E1946">
        <f>INDEX(FactorTable!$B$2:$Y$301, MATCH(ROUND(MIN(300,MAX(1,D1946)),0), FactorTable!$A$2:$A$301,0), Skills!M25+1)</f>
        <v/>
      </c>
      <c r="F1946">
        <f>IF(Skills!N25=TRUE,(Skills!L25/10)*(E1946/1000),Skills!L25/10)+Skills!O25</f>
        <v/>
      </c>
      <c r="G1946">
        <f>Skills!G25*IF(Skills!H25&gt;0,INT(IF(Inputs!$B$39="pvp",MIN(Skills!I25,15),Skills!I25)/Skills!H25+0.000000001),1)</f>
        <v/>
      </c>
      <c r="H1946">
        <f>1-(1-Skills!J25/100)^Skills!K25</f>
        <v/>
      </c>
      <c r="I1946" t="inlineStr">
        <is>
          <t>1</t>
        </is>
      </c>
      <c r="J1946" t="inlineStr"/>
      <c r="K1946" t="inlineStr"/>
      <c r="L1946" t="inlineStr"/>
      <c r="M1946" t="inlineStr"/>
      <c r="N1946" t="inlineStr"/>
      <c r="O1946">
        <f>(1-Summary!$B$11)*T1946+Summary!$B$11*V1946</f>
        <v/>
      </c>
      <c r="P1946">
        <f>IF(B1960=0,0,O1946/B1960)</f>
        <v/>
      </c>
      <c r="Q1946" t="n">
        <v>0</v>
      </c>
      <c r="R1946" t="n">
        <v>0</v>
      </c>
      <c r="S1946">
        <f>IFERROR(O1946/N1946,0)</f>
        <v/>
      </c>
      <c r="T1946" t="n">
        <v>0</v>
      </c>
      <c r="V1946" t="n">
        <v>0</v>
      </c>
    </row>
    <row r="1947">
      <c r="A1947">
        <f>Skills!A26</f>
        <v/>
      </c>
      <c r="B1947">
        <f>Skills!B26</f>
        <v/>
      </c>
      <c r="C1947">
        <f>Inputs!$B$3&gt;=107</f>
        <v/>
      </c>
      <c r="D1947">
        <f>IF(Skills!C26=1,60+Inputs!$B$26+Inputs!$B$30,IF(Skills!C26=2,90+Inputs!$B$27+Inputs!$B$30,IF(Skills!C26=3,120+Inputs!$B$28+Inputs!$B$30,MAX(0,(Inputs!$B$3-100)*3)+Inputs!$B$29+Inputs!$B$30)))</f>
        <v/>
      </c>
      <c r="E1947">
        <f>INDEX(FactorTable!$B$2:$Y$301, MATCH(ROUND(MIN(300,MAX(1,D1947)),0), FactorTable!$A$2:$A$301,0), Skills!M26+1)</f>
        <v/>
      </c>
      <c r="F1947">
        <f>IF(Skills!N26=TRUE,(Skills!L26/10)*(E1947/1000),Skills!L26/10)+Skills!O26</f>
        <v/>
      </c>
      <c r="G1947">
        <f>Skills!G26*IF(Skills!H26&gt;0,INT(IF(Inputs!$B$39="pvp",MIN(Skills!I26,15),Skills!I26)/Skills!H26+0.000000001),1)</f>
        <v/>
      </c>
      <c r="H1947">
        <f>1-(1-Skills!J26/100)^Skills!K26</f>
        <v/>
      </c>
      <c r="I1947" t="inlineStr">
        <is>
          <t>1</t>
        </is>
      </c>
      <c r="J1947" t="inlineStr"/>
      <c r="K1947" t="inlineStr"/>
      <c r="L1947" t="inlineStr"/>
      <c r="M1947" t="inlineStr"/>
      <c r="N1947" t="inlineStr"/>
      <c r="O1947">
        <f>(1-Summary!$B$11)*T1947+Summary!$B$11*V1947</f>
        <v/>
      </c>
      <c r="P1947">
        <f>IF(B1960=0,0,O1947/B1960)</f>
        <v/>
      </c>
      <c r="Q1947" t="n">
        <v>0</v>
      </c>
      <c r="R1947" t="n">
        <v>0</v>
      </c>
      <c r="S1947">
        <f>IFERROR(O1947/N1947,0)</f>
        <v/>
      </c>
      <c r="T1947" t="n">
        <v>0</v>
      </c>
      <c r="V1947" t="n">
        <v>0</v>
      </c>
    </row>
    <row r="1949">
      <c r="A1949" t="inlineStr">
        <is>
          <t>Attack% Bucket Multiplier</t>
        </is>
      </c>
      <c r="B1949">
        <f>(1+(((C1934=TRUE)*F1934*IF(AND(Inputs!$B$39&lt;&gt;"pvp",Inputs!$B$44&gt;0),(((R1934-1)*MIN((Skills!T13*(1+Inputs!$B$35/100)),(1/Q1934))+MIN((Skills!T13*(1+Inputs!$B$35/100)),MAX(0,Inputs!$B$44-((R1934-1)*(1/Q1934)))))/Inputs!$B$44),IF(Inputs!$B$39="pvp",MIN((Skills!T13*(1+Inputs!$B$35/100)),15)/15,MIN(1,(Skills!T13*(1+Inputs!$B$35/100))/(1/Q1934)))))+((C1935=TRUE)*F1935*IF(AND(Inputs!$B$39&lt;&gt;"pvp",Inputs!$B$44&gt;0),(((R1935-1)*MIN((Skills!T14*(1+Inputs!$B$35/100)),(1/Q1935))+MIN((Skills!T14*(1+Inputs!$B$35/100)),MAX(0,Inputs!$B$44-((R1935-1)*(1/Q1935)))))/Inputs!$B$44),IF(Inputs!$B$39="pvp",MIN((Skills!T14*(1+Inputs!$B$35/100)),15)/15,MIN(1,(Skills!T14*(1+Inputs!$B$35/100))/(1/Q1935)))))+((C1936=TRUE)*F1936*IF(AND(Inputs!$B$39&lt;&gt;"pvp",Inputs!$B$44&gt;0),(((R1936-1)*MIN((Skills!T15*(1+Inputs!$B$35/100)),(1/Q1936))+MIN((Skills!T15*(1+Inputs!$B$35/100)),MAX(0,Inputs!$B$44-((R1936-1)*(1/Q1936)))))/Inputs!$B$44),IF(Inputs!$B$39="pvp",MIN((Skills!T15*(1+Inputs!$B$35/100)),15)/15,MIN(1,(Skills!T15*(1+Inputs!$B$35/100))/(1/Q1936)))))+((C1937=TRUE)*F1937*IF(AND(Inputs!$B$39&lt;&gt;"pvp",Inputs!$B$44&gt;0),(((R1937-1)*MIN((Skills!T16*(1+Inputs!$B$35/100)),(1/Q1937))+MIN((Skills!T16*(1+Inputs!$B$35/100)),MAX(0,Inputs!$B$44-((R1937-1)*(1/Q1937)))))/Inputs!$B$44),IF(Inputs!$B$39="pvp",MIN((Skills!T16*(1+Inputs!$B$35/100)),15)/15,MIN(1,(Skills!T16*(1+Inputs!$B$35/100))/(1/Q1937)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1950">
      <c r="A1950" t="inlineStr">
        <is>
          <t>Global Crit Rate Bonus % (Lord of Darkness)</t>
        </is>
      </c>
      <c r="B1950">
        <f>((C1939=TRUE)*F1939*(Skills!J18/100)*IF(AND(Inputs!$B$39&lt;&gt;"pvp",Inputs!$B$44&gt;0),(((R1939-1)*MIN((Skills!T18*(1+Inputs!$B$35/100)),(1/Q1939))+MIN((Skills!T18*(1+Inputs!$B$35/100)),MAX(0,Inputs!$B$44-((R1939-1)*(1/Q1939)))))/Inputs!$B$44),IF(Inputs!$B$39="pvp",MIN((Skills!T18*(1+Inputs!$B$35/100)),15)/15,MIN(1,(Skills!T18*(1+Inputs!$B$35/100))/(1/Q1939)))))</f>
        <v/>
      </c>
    </row>
    <row r="1951">
      <c r="A1951" t="inlineStr">
        <is>
          <t>Attack Speed Buff Bonus %</t>
        </is>
      </c>
      <c r="B1951">
        <f>((C1941=TRUE)*F1941*IF(AND(Inputs!$B$39&lt;&gt;"pvp",Inputs!$B$44&gt;0),(((R1941-1)*MIN((Skills!T20*(1+Inputs!$B$35/100)),(1/Q1941))+MIN((Skills!T20*(1+Inputs!$B$35/100)),MAX(0,Inputs!$B$44-((R1941-1)*(1/Q1941)))))/Inputs!$B$44),IF(Inputs!$B$39="pvp",MIN((Skills!T20*(1+Inputs!$B$35/100)),15)/15,MIN(1,(Skills!T20*(1+Inputs!$B$35/100))/(1/Q1941)))))</f>
        <v/>
      </c>
    </row>
    <row r="1952">
      <c r="A1952" t="inlineStr">
        <is>
          <t>Actions Per Second</t>
        </is>
      </c>
      <c r="B1952">
        <f>1+MIN(150,150*(1-(1-(Inputs!$B$12+((C1942=TRUE)*(F1942-Calc!F21)))/150)*(1-B1951/150)))/100</f>
        <v/>
      </c>
    </row>
    <row r="1953">
      <c r="A1953" t="inlineStr">
        <is>
          <t>Skill + Buff Cast Rate</t>
        </is>
      </c>
      <c r="B1953">
        <f>IF(AND(Inputs!$B$39&lt;&gt;"pvp",Inputs!$B$44&gt;0),SUMPRODUCT((Skills!E2:E26=TRUE)*(C1923:C1947=TRUE)*R1923:R1947*Skills!F2:F26)/Inputs!$B$44,SUMPRODUCT((Skills!E2:E26=TRUE)*(C1923:C1947=TRUE)*Q1923:Q1947*Skills!F2:F26))</f>
        <v/>
      </c>
    </row>
    <row r="1954">
      <c r="A1954" t="inlineStr">
        <is>
          <t>Dark Impale Casts Per Second</t>
        </is>
      </c>
      <c r="B1954">
        <f>MAX(0,B1952-B1953)</f>
        <v/>
      </c>
    </row>
    <row r="1955">
      <c r="A1955" t="inlineStr">
        <is>
          <t>Global Critical Damage Bonus % (Lord of Darkness)</t>
        </is>
      </c>
      <c r="B1955">
        <f>((C1940=TRUE)*F1940*(Skills!J19/100)*IF(AND(Inputs!$B$39&lt;&gt;"pvp",Inputs!$B$44&gt;0),(((R1940-1)*MIN((Skills!T19*(1+Inputs!$B$35/100)),(1/Q1940))+MIN((Skills!T19*(1+Inputs!$B$35/100)),MAX(0,Inputs!$B$44-((R1940-1)*(1/Q1940)))))/Inputs!$B$44),IF(Inputs!$B$39="pvp",MIN((Skills!T19*(1+Inputs!$B$35/100)),15)/15,MIN(1,(Skills!T19*(1+Inputs!$B$35/100))/(1/Q1940)))))</f>
        <v/>
      </c>
    </row>
    <row r="1956">
      <c r="A1956" t="inlineStr">
        <is>
          <t>Global Final Damage Bonus % (unused)</t>
        </is>
      </c>
      <c r="B1956" t="n">
        <v>0</v>
      </c>
    </row>
    <row r="1957">
      <c r="A1957" t="inlineStr">
        <is>
          <t>Buff-Casting Startup Delay (s, fixed-duration only)</t>
        </is>
      </c>
      <c r="B1957">
        <f>IF(AND(Inputs!$B$39&lt;&gt;"pvp",Inputs!$B$44&gt;0),SUMPRODUCT((Skills!T2:T26&gt;0)*(Skills!E2:E26=TRUE)*(C1923:C1947=TRUE))/B1952,0)</f>
        <v/>
      </c>
    </row>
    <row r="1958">
      <c r="A1958" t="inlineStr">
        <is>
          <t>Boss-Only Total DPS (this block's swept value)</t>
        </is>
      </c>
      <c r="B1958">
        <f>SUM(T1923:T1947)</f>
        <v/>
      </c>
    </row>
    <row r="1959">
      <c r="A1959" t="inlineStr">
        <is>
          <t>Normal-Only Total DPS (this block's swept value)</t>
        </is>
      </c>
      <c r="B1959">
        <f>SUM(V1923:V1947)</f>
        <v/>
      </c>
    </row>
    <row r="1960">
      <c r="A1960" s="6" t="inlineStr">
        <is>
          <t>TOTAL DPS</t>
        </is>
      </c>
      <c r="B1960" s="6">
        <f>SUM(O1923:O1947)</f>
        <v/>
      </c>
    </row>
    <row r="1963">
      <c r="A1963" s="6" t="inlineStr">
        <is>
          <t>Stat: Book of Ancient (Equip)</t>
        </is>
      </c>
    </row>
    <row r="1964">
      <c r="A1964" s="5" t="inlineStr">
        <is>
          <t>Key</t>
        </is>
      </c>
      <c r="B1964" s="5" t="inlineStr">
        <is>
          <t>Name</t>
        </is>
      </c>
      <c r="C1964" s="5" t="inlineStr">
        <is>
          <t>Unlocked</t>
        </is>
      </c>
      <c r="D1964" s="5" t="inlineStr">
        <is>
          <t>InputLevel</t>
        </is>
      </c>
      <c r="E1964" s="5" t="inlineStr">
        <is>
          <t>Factor</t>
        </is>
      </c>
      <c r="F1964" s="5" t="inlineStr">
        <is>
          <t>CoefficientPercent</t>
        </is>
      </c>
      <c r="G1964" s="5" t="inlineStr">
        <is>
          <t>EffectiveHits</t>
        </is>
      </c>
      <c r="H1964" s="5" t="inlineStr">
        <is>
          <t>ProcProbability</t>
        </is>
      </c>
      <c r="I1964" s="5" t="inlineStr">
        <is>
          <t>MapleHeroMultiplier</t>
        </is>
      </c>
      <c r="J1964" s="5" t="inlineStr">
        <is>
          <t>BaseDamage</t>
        </is>
      </c>
      <c r="K1964" s="5" t="inlineStr">
        <is>
          <t>BaseHitDamage</t>
        </is>
      </c>
      <c r="L1964" s="5" t="inlineStr">
        <is>
          <t>NonCritAvg</t>
        </is>
      </c>
      <c r="M1964" s="5" t="inlineStr">
        <is>
          <t>CritAvg</t>
        </is>
      </c>
      <c r="N1964" s="5" t="inlineStr">
        <is>
          <t>ExpectedDamage(perHit)</t>
        </is>
      </c>
      <c r="O1964" s="5" t="inlineStr">
        <is>
          <t>DPS</t>
        </is>
      </c>
      <c r="P1964" s="5" t="inlineStr">
        <is>
          <t>% of Total</t>
        </is>
      </c>
      <c r="Q1964" s="5" t="inlineStr">
        <is>
          <t>InvCooldown</t>
        </is>
      </c>
      <c r="R1964" s="5" t="inlineStr">
        <is>
          <t>CastsInFight</t>
        </is>
      </c>
      <c r="S1964" s="5" t="inlineStr">
        <is>
          <t>HitRate(perSec)</t>
        </is>
      </c>
      <c r="U1964" t="inlineStr">
        <is>
          <t>helpers</t>
        </is>
      </c>
    </row>
    <row r="1965">
      <c r="A1965">
        <f>Skills!A2</f>
        <v/>
      </c>
      <c r="B1965">
        <f>Skills!B2</f>
        <v/>
      </c>
      <c r="C1965">
        <f>Inputs!$B$3&gt;=100</f>
        <v/>
      </c>
      <c r="D1965" t="inlineStr"/>
      <c r="E1965" t="inlineStr"/>
      <c r="F1965">
        <f>U1967+Skills!O2</f>
        <v/>
      </c>
      <c r="G1965">
        <f>Skills!G2*IF(Skills!H2&gt;0,INT(IF(Inputs!$B$39="pvp",MIN(Skills!I2,15),Skills!I2)/Skills!H2+0.000000001),1)</f>
        <v/>
      </c>
      <c r="H1965">
        <f>1-(1-Skills!J2/100)^Skills!K2</f>
        <v/>
      </c>
      <c r="I1965" t="inlineStr">
        <is>
          <t>1</t>
        </is>
      </c>
      <c r="J1965">
        <f>((Inputs!$B$6*(1+Inputs!$B$7/100))+(((Inputs!$B$13*(1+Inputs!$B$14/100))-(Inputs!$B$13*(1+Inputs!$B$14/100)))+0.25*(Inputs!$B$15-Inputs!$B$15))*(1+Inputs!$B$7/100))*(F1965/100)</f>
        <v/>
      </c>
      <c r="K1965">
        <f>J1965*(1+(((Inputs!$B$13+IF(Inputs!$B$3&gt;=38,(10*INDEX(FactorTable!$B$2:$Y$301, MATCH(ROUND(MIN(300,MAX(1,Inputs!$B$3)),0), FactorTable!$A$2:$A$301,0), 23)/1000)/100*(Inputs!$B$8*(1+Inputs!$B$9/100)),0))*(1+Inputs!$B$14/100))*0.01+Inputs!$B$15*0.0025)/100)*(1+Inputs!$B$16/100)*(1+Inputs!$B$17/100)*(5000/(6000+Inputs!$B$43*(1-(Inputs!$B$20+0)/100)))*(1+(Inputs!$B$25+((C1988=TRUE)*(F1988-Calc!F25))+((C1989=TRUE)*(F1989-Calc!F26))+B1998)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gt;=100),MIN(100,((Inputs!$B$10+0+B1992+(IF(ArtifactsInput!$M$24,FALSE,TRUE)-ArtifactsInput!$M$24)*CHOOSE(ArtifactsInput!$N$24+1,10,12,14,16,18,20)+IF(ArtifactsInput!$M$10,CHOOSE(ArtifactsInput!$N$10+1,15,18,21,24,27,30)*(IF(Inputs!$B$39="pvp",MIN(15,15)/15,IF(AND(Inputs!$B$39&lt;&gt;"pvp",Inputs!$B$44&gt;0),MIN(15,Inputs!$B$44)/(Inputs!$B$44),0))),0)))-100),0))*CHOOSE(ArtifactsInput!$N$42+1,0.6,0.72,0.84,0.96,1.08,1.2))),Inputs!$B$19+((C1986=TRUE)*(F1986-Calc!F23))+(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gt;=100),CHOOSE(ArtifactsInput!$N$42+1,40,48,56,64,72,80),0))))/100)*((1+(((C1976=TRUE)*F1976*IF(AND(Inputs!$B$39&lt;&gt;"pvp",Inputs!$B$44&gt;0),(((R1976-1)*MIN((Skills!T13*(1+Inputs!$B$35/100)),(1/Q1976))+MIN((Skills!T13*(1+Inputs!$B$35/100)),MAX(0,Inputs!$B$44-((R1976-1)*(1/Q1976)))))/Inputs!$B$44),IF(Inputs!$B$39="pvp",MIN((Skills!T13*(1+Inputs!$B$35/100)),15)/15,MIN(1,(Skills!T13*(1+Inputs!$B$35/100))/(1/Q1976)))))+((C1977=TRUE)*F1977*IF(AND(Inputs!$B$39&lt;&gt;"pvp",Inputs!$B$44&gt;0),(((R1977-1)*MIN((Skills!T14*(1+Inputs!$B$35/100)),(1/Q1977))+MIN((Skills!T14*(1+Inputs!$B$35/100)),MAX(0,Inputs!$B$44-((R1977-1)*(1/Q1977)))))/Inputs!$B$44),IF(Inputs!$B$39="pvp",MIN((Skills!T14*(1+Inputs!$B$35/100)),15)/15,MIN(1,(Skills!T14*(1+Inputs!$B$35/100))/(1/Q1977)))))+((C1978=TRUE)*F1978*IF(AND(Inputs!$B$39&lt;&gt;"pvp",Inputs!$B$44&gt;0),(((R1978-1)*MIN((Skills!T15*(1+Inputs!$B$35/100)),(1/Q1978))+MIN((Skills!T15*(1+Inputs!$B$35/100)),MAX(0,Inputs!$B$44-((R1978-1)*(1/Q1978)))))/Inputs!$B$44),IF(Inputs!$B$39="pvp",MIN((Skills!T15*(1+Inputs!$B$35/100)),15)/15,MIN(1,(Skills!T15*(1+Inputs!$B$35/100))/(1/Q1978)))))+((C1979=TRUE)*F1979*IF(AND(Inputs!$B$39&lt;&gt;"pvp",Inputs!$B$44&gt;0),(((R1979-1)*MIN((Skills!T16*(1+Inputs!$B$35/100)),(1/Q1979))+MIN((Skills!T16*(1+Inputs!$B$35/100)),MAX(0,Inputs!$B$44-((R1979-1)*(1/Q1979)))))/Inputs!$B$44),IF(Inputs!$B$39="pvp",MIN((Skills!T16*(1+Inputs!$B$35/100)),15)/15,MIN(1,(Skills!T16*(1+Inputs!$B$35/100))/(1/Q1979)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1965)</f>
        <v/>
      </c>
      <c r="L1965">
        <f>K1965*(MIN(Inputs!$B$23+((C1985=TRUE)*(F1985-Calc!F22)),(Inputs!$B$24+((C1987=TRUE)*(F1987-Calc!F24))+(IF(ArtifactsInput!$M$15,CHOOSE(ArtifactsInput!$N$15+1,25,30,35,40,45,50)/100*(Inputs!$B$12-Inputs!$B$12),0))))/100+(Inputs!$B$24+((C1987=TRUE)*(F1987-Calc!F24))+(IF(ArtifactsInput!$M$15,CHOOSE(ArtifactsInput!$N$15+1,25,30,35,40,45,50)/100*(Inputs!$B$12-Inputs!$B$12),0)))/100)/2</f>
        <v/>
      </c>
      <c r="M1965">
        <f>L1965*(1+(Inputs!$B$11+0+B1997+((IF(IF(ArtifactsInput!$M$24,FALSE,TRUE),1,-1)*CHOOSE(ArtifactsInput!$N$24+1,30,36,42,48,54,60)/100*IF(IF(ArtifactsInput!$M$24,FALSE,TRUE),(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nputs!$B$10+Summary!$B$14+Artifacts!$B$5+Artifacts!$B$29)))+IF(ArtifactsInput!$M$10,CHOOSE(ArtifactsInput!$N$10+1,20,24,28,32,36,40)*(IF(Inputs!$B$39="pvp",MIN(15,15)/15,IF(AND(Inputs!$B$39&lt;&gt;"pvp",Inputs!$B$44&gt;0),MIN(15,Inputs!$B$44)/(Inputs!$B$44),0))),0)+IF(ArtifactsInput!$M$31,1.5*CHOOSE(ArtifactsInput!$N$31+1,20,24,28,32,36,40),0)))/100)</f>
        <v/>
      </c>
      <c r="N1965">
        <f>L1965*(1-MIN((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1965*(MIN((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65">
        <f>(1-Summary!$B$11)*T1965+Summary!$B$11*V1965</f>
        <v/>
      </c>
      <c r="P1965">
        <f>IF(B2002=0,0,O1965/B2002)</f>
        <v/>
      </c>
      <c r="Q1965" t="n">
        <v>0</v>
      </c>
      <c r="R1965" t="n">
        <v>0</v>
      </c>
      <c r="S1965">
        <f>IFERROR(O1965/N1965,0)</f>
        <v/>
      </c>
      <c r="T1965">
        <f>IF(C1965,(Skills!G2*N1965*B1996)*IF(Inputs!$B$39="pvp",1,1+(Inputs!$B$21+0+Skills!P2+((C1980=TRUE)*F1980*IF(AND(Inputs!$B$39&lt;&gt;"pvp",Inputs!$B$44&gt;0),(((R1980-1)*MIN((Skills!T17*(1+Inputs!$B$35/100)),(1/Q1980))+MIN((Skills!T17*(1+Inputs!$B$35/100)),MAX(0,Inputs!$B$44-((R1980-1)*(1/Q1980)))))/Inputs!$B$44),IF(Inputs!$B$39="pvp",MIN((Skills!T17*(1+Inputs!$B$35/100)),15)/15,MIN(1,(Skills!T17*(1+Inputs!$B$35/100))/(1/Q1980)))))+((C1968=TRUE)*IF(Inputs!$B$3&gt;=126,10*MIN(1,15*Q1968),0))+((C1977=TRUE)*IF(Inputs!$B$39="pvp",20,(1-Summary!$B$11)*(20)+Summary!$B$11*(0))*IF(AND(Inputs!$B$39&lt;&gt;"pvp",Inputs!$B$44&gt;0),(((R1977-1)*MIN((Skills!T14*(1+Inputs!$B$35/100)),(1/Q1977))+MIN((Skills!T14*(1+Inputs!$B$35/100)),MAX(0,Inputs!$B$44-((R1977-1)*(1/Q1977)))))/Inputs!$B$44),IF(Inputs!$B$39="pvp",MIN((Skills!T14*(1+Inputs!$B$35/100)),15)/15,MIN(1,(Skills!T14*(1+Inputs!$B$35/100))/(1/Q1977)))))+((C1976=TRUE)*IF(Inputs!$B$3&gt;=82,IF(Inputs!$B$39="pvp",20,(1-Summary!$B$11)*(20)+Summary!$B$11*(0)),0)*IF(AND(Inputs!$B$39&lt;&gt;"pvp",Inputs!$B$44&gt;0),(((R1976-1)*MIN((Skills!T13*(1+Inputs!$B$35/100)),(1/Q1976))+MIN((Skills!T13*(1+Inputs!$B$35/100)),MAX(0,Inputs!$B$44-((R1976-1)*(1/Q1976)))))/Inputs!$B$44),IF(Inputs!$B$39="pvp",MIN((Skills!T13*(1+Inputs!$B$35/100)),15)/15,MIN(1,(Skills!T13*(1+Inputs!$B$35/100))/(1/Q1976)))))+(IF(AND(ArtifactsInput!$M$35,Inputs!$B$4&lt;&gt;"Chapter Hunt"),CHOOSE(ArtifactsInput!$N$35+1,15,18,21,24,27,30)*(1-EXP(-(0.2*B1994)*5)),0)+IF(AND(ArtifactsInput!$M$22,Inputs!$B$4&lt;&gt;"Chapter Hunt"),CHOOSE(ArtifactsInput!$N$22+1,10,12,14,16,18,20)*((0*(((0.15*B1994*5))^0/1)+1*(((0.15*B1994*5))^1/1)+2*(((0.15*B1994*5))^2/2)+3*(((0.15*B1994*5))^3/6)+4*(((0.15*B1994*5))^4/24)+5*(((0.15*B1994*5))^5/120))/((((0.15*B1994*5))^0/1)+(((0.15*B1994*5))^1/1)+(((0.15*B1994*5))^2/2)+(((0.15*B1994*5))^3/6)+(((0.15*B1994*5))^4/24)+(((0.15*B1994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1965*(1-MIN(100,(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1965*(MIN(100,(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1965*(1-MIN(100,(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1965*(MIN(100,(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965">
        <f>MAX(0,(Inputs!$B$3-100)*3)+Inputs!$B$29+Inputs!$B$30</f>
        <v/>
      </c>
      <c r="V1965">
        <f>IF(C1965,(Skills!G2*N1965*B1996)*IF(Inputs!$B$39="pvp",1,(1+(Inputs!$B$22+Skills!Q2+((C1980=TRUE)*F1980*IF(AND(Inputs!$B$39&lt;&gt;"pvp",Inputs!$B$44&gt;0),(((R1980-1)*MIN((Skills!T17*(1+Inputs!$B$35/100)),(1/Q1980))+MIN((Skills!T17*(1+Inputs!$B$35/100)),MAX(0,Inputs!$B$44-((R1980-1)*(1/Q1980)))))/Inputs!$B$44),IF(Inputs!$B$39="pvp",MIN((Skills!T17*(1+Inputs!$B$35/100)),15)/15,MIN(1,(Skills!T17*(1+Inputs!$B$35/100))/(1/Q1980)))))+((C1968=TRUE)*IF(Inputs!$B$3&gt;=126,10*MIN(1,15*Q1968),0))+((C1977=TRUE)*IF(Inputs!$B$39="pvp",20,(1-Summary!$B$11)*(20)+Summary!$B$11*(0))*IF(AND(Inputs!$B$39&lt;&gt;"pvp",Inputs!$B$44&gt;0),(((R1977-1)*MIN((Skills!T14*(1+Inputs!$B$35/100)),(1/Q1977))+MIN((Skills!T14*(1+Inputs!$B$35/100)),MAX(0,Inputs!$B$44-((R1977-1)*(1/Q1977)))))/Inputs!$B$44),IF(Inputs!$B$39="pvp",MIN((Skills!T14*(1+Inputs!$B$35/100)),15)/15,MIN(1,(Skills!T14*(1+Inputs!$B$35/100))/(1/Q1977)))))+((C1976=TRUE)*IF(Inputs!$B$3&gt;=82,IF(Inputs!$B$39="pvp",20,(1-Summary!$B$11)*(20)+Summary!$B$11*(0)),0)*IF(AND(Inputs!$B$39&lt;&gt;"pvp",Inputs!$B$44&gt;0),(((R1976-1)*MIN((Skills!T13*(1+Inputs!$B$35/100)),(1/Q1976))+MIN((Skills!T13*(1+Inputs!$B$35/100)),MAX(0,Inputs!$B$44-((R1976-1)*(1/Q1976)))))/Inputs!$B$44),IF(Inputs!$B$39="pvp",MIN((Skills!T13*(1+Inputs!$B$35/100)),15)/15,MIN(1,(Skills!T13*(1+Inputs!$B$35/100))/(1/Q1976)))))+(IF(AND(ArtifactsInput!$M$35,Inputs!$B$4&lt;&gt;"Chapter Hunt"),CHOOSE(ArtifactsInput!$N$35+1,15,18,21,24,27,30)*(1-EXP(-(0.2*B1994)*5)),0)+IF(AND(ArtifactsInput!$M$22,Inputs!$B$4&lt;&gt;"Chapter Hunt"),CHOOSE(ArtifactsInput!$N$22+1,10,12,14,16,18,20)*((0*(((0.15*B1994*5))^0/1)+1*(((0.15*B1994*5))^1/1)+2*(((0.15*B1994*5))^2/2)+3*(((0.15*B1994*5))^3/6)+4*(((0.15*B1994*5))^4/24)+5*(((0.15*B1994*5))^5/120))/((((0.15*B1994*5))^0/1)+(((0.15*B1994*5))^1/1)+(((0.15*B1994*5))^2/2)+(((0.15*B1994*5))^3/6)+(((0.15*B1994*5))^4/24)+(((0.15*B1994*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66">
      <c r="A1966">
        <f>Skills!A3</f>
        <v/>
      </c>
      <c r="B1966">
        <f>Skills!B3</f>
        <v/>
      </c>
      <c r="C1966">
        <f>Inputs!$B$3&gt;=50</f>
        <v/>
      </c>
      <c r="D1966">
        <f>IF(Skills!C3=1,60+Inputs!$B$26+Inputs!$B$30,IF(Skills!C3=2,90+Inputs!$B$27+Inputs!$B$30,IF(Skills!C3=3,120+Inputs!$B$28+Inputs!$B$30,MAX(0,(Inputs!$B$3-100)*3)+Inputs!$B$29+Inputs!$B$30)))</f>
        <v/>
      </c>
      <c r="E1966">
        <f>INDEX(FactorTable!$B$2:$Y$301, MATCH(ROUND(MIN(300,MAX(1,D1966)),0), FactorTable!$A$2:$A$301,0), Skills!M3+1)</f>
        <v/>
      </c>
      <c r="F1966">
        <f>IF(Skills!N3=TRUE,(Skills!L3/10)*(E1966/1000),Skills!L3/10)+Skills!O3</f>
        <v/>
      </c>
      <c r="G1966" t="inlineStr"/>
      <c r="H1966" t="inlineStr"/>
      <c r="I1966" t="inlineStr">
        <is>
          <t>1</t>
        </is>
      </c>
      <c r="J1966" t="inlineStr"/>
      <c r="K1966" t="inlineStr"/>
      <c r="L1966" t="inlineStr"/>
      <c r="M1966" t="inlineStr"/>
      <c r="N1966" t="inlineStr"/>
      <c r="O1966" t="inlineStr"/>
      <c r="P1966" t="inlineStr"/>
      <c r="Q1966" t="inlineStr"/>
      <c r="R1966" t="inlineStr"/>
      <c r="S1966" t="inlineStr"/>
      <c r="U1966">
        <f>INDEX(FactorTable!$B$2:$Y$301, MATCH(ROUND(MIN(300,MAX(1,U1965)),0), FactorTable!$A$2:$A$301,0), 22)</f>
        <v/>
      </c>
    </row>
    <row r="1967">
      <c r="A1967">
        <f>Skills!A4</f>
        <v/>
      </c>
      <c r="B1967">
        <f>Skills!B4</f>
        <v/>
      </c>
      <c r="C1967">
        <f>Inputs!$B$3&gt;=105</f>
        <v/>
      </c>
      <c r="D1967">
        <f>IF(Skills!C4=1,60+Inputs!$B$26+Inputs!$B$30,IF(Skills!C4=2,90+Inputs!$B$27+Inputs!$B$30,IF(Skills!C4=3,120+Inputs!$B$28+Inputs!$B$30,MAX(0,(Inputs!$B$3-100)*3)+Inputs!$B$29+Inputs!$B$30)))</f>
        <v/>
      </c>
      <c r="E1967">
        <f>INDEX(FactorTable!$B$2:$Y$301, MATCH(ROUND(MIN(300,MAX(1,D1967)),0), FactorTable!$A$2:$A$301,0), Skills!M4+1)</f>
        <v/>
      </c>
      <c r="F1967">
        <f>IF(Skills!N4=TRUE,(Skills!L4/10)*(E1967/1000),Skills!L4/10)+Skills!O4</f>
        <v/>
      </c>
      <c r="G1967" t="inlineStr"/>
      <c r="H1967" t="inlineStr"/>
      <c r="I1967" t="inlineStr">
        <is>
          <t>1</t>
        </is>
      </c>
      <c r="J1967" t="inlineStr"/>
      <c r="K1967" t="inlineStr"/>
      <c r="L1967" t="inlineStr"/>
      <c r="M1967" t="inlineStr"/>
      <c r="N1967" t="inlineStr"/>
      <c r="O1967" t="inlineStr"/>
      <c r="P1967" t="inlineStr"/>
      <c r="Q1967" t="inlineStr"/>
      <c r="R1967" t="inlineStr"/>
      <c r="S1967" t="inlineStr"/>
      <c r="U1967">
        <f>290*U1966/1000</f>
        <v/>
      </c>
    </row>
    <row r="1968">
      <c r="A1968">
        <f>Skills!A5</f>
        <v/>
      </c>
      <c r="B1968">
        <f>Skills!B5</f>
        <v/>
      </c>
      <c r="C1968">
        <f>Inputs!$B$3&gt;=117</f>
        <v/>
      </c>
      <c r="D1968">
        <f>IF(Skills!C5=1,60+Inputs!$B$26+Inputs!$B$30,IF(Skills!C5=2,90+Inputs!$B$27+Inputs!$B$30,IF(Skills!C5=3,120+Inputs!$B$28+Inputs!$B$30,MAX(0,(Inputs!$B$3-100)*3)+Inputs!$B$29+Inputs!$B$30)))</f>
        <v/>
      </c>
      <c r="E1968">
        <f>INDEX(FactorTable!$B$2:$Y$301, MATCH(ROUND(MIN(300,MAX(1,D1968)),0), FactorTable!$A$2:$A$301,0), Skills!M5+1)</f>
        <v/>
      </c>
      <c r="F1968">
        <f>IF(Skills!N5=TRUE,(Skills!L5/10)*(E1968/1000),Skills!L5/10)+Skills!O5</f>
        <v/>
      </c>
      <c r="G1968">
        <f>Skills!G5*IF(Skills!H5&gt;0,INT(IF(Inputs!$B$39="pvp",MIN(Skills!I5,15),Skills!I5)/Skills!H5+0.000000001),1)</f>
        <v/>
      </c>
      <c r="H1968">
        <f>1-(1-Skills!J5/100)^Skills!K5</f>
        <v/>
      </c>
      <c r="I1968" t="inlineStr">
        <is>
          <t>1</t>
        </is>
      </c>
      <c r="J1968">
        <f>((Inputs!$B$6*(1+Inputs!$B$7/100))+(((Inputs!$B$13*(1+Inputs!$B$14/100))-(Inputs!$B$13*(1+Inputs!$B$14/100)))+0.25*(Inputs!$B$15-Inputs!$B$15))*(1+Inputs!$B$7/100))*(F1968/100)</f>
        <v/>
      </c>
      <c r="K1968">
        <f>J1968*(1+(((Inputs!$B$13+IF(Inputs!$B$3&gt;=38,(10*INDEX(FactorTable!$B$2:$Y$301, MATCH(ROUND(MIN(300,MAX(1,Inputs!$B$3)),0), FactorTable!$A$2:$A$301,0), 23)/1000)/100*(Inputs!$B$8*(1+Inputs!$B$9/100)),0))*(1+Inputs!$B$14/100))*0.01+Inputs!$B$15*0.0025)/100)*(1+Inputs!$B$16/100)*(1+Inputs!$B$17/100)*(5000/(6000+Inputs!$B$43*(1-(Inputs!$B$20+0)/100)))*(1+(Inputs!$B$25+((C1988=TRUE)*(F1988-Calc!F25))+((C1989=TRUE)*(F1989-Calc!F26))+B1998)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gt;=100),MIN(100,((Inputs!$B$10+0+B1992+(IF(ArtifactsInput!$M$24,FALSE,TRUE)-ArtifactsInput!$M$24)*CHOOSE(ArtifactsInput!$N$24+1,10,12,14,16,18,20)+IF(ArtifactsInput!$M$10,CHOOSE(ArtifactsInput!$N$10+1,15,18,21,24,27,30)*(IF(Inputs!$B$39="pvp",MIN(15,15)/15,IF(AND(Inputs!$B$39&lt;&gt;"pvp",Inputs!$B$44&gt;0),MIN(15,Inputs!$B$44)/(Inputs!$B$44),0))),0)))-100),0))*CHOOSE(ArtifactsInput!$N$42+1,0.6,0.72,0.84,0.96,1.08,1.2))),Inputs!$B$19+((C1986=TRUE)*(F1986-Calc!F23))+(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gt;=100),CHOOSE(ArtifactsInput!$N$42+1,40,48,56,64,72,80),0))))/100)*((1+(((C1976=TRUE)*F1976*IF(AND(Inputs!$B$39&lt;&gt;"pvp",Inputs!$B$44&gt;0),(((R1976-1)*MIN((Skills!T13*(1+Inputs!$B$35/100)),(1/Q1976))+MIN((Skills!T13*(1+Inputs!$B$35/100)),MAX(0,Inputs!$B$44-((R1976-1)*(1/Q1976)))))/Inputs!$B$44),IF(Inputs!$B$39="pvp",MIN((Skills!T13*(1+Inputs!$B$35/100)),15)/15,MIN(1,(Skills!T13*(1+Inputs!$B$35/100))/(1/Q1976)))))+((C1977=TRUE)*F1977*IF(AND(Inputs!$B$39&lt;&gt;"pvp",Inputs!$B$44&gt;0),(((R1977-1)*MIN((Skills!T14*(1+Inputs!$B$35/100)),(1/Q1977))+MIN((Skills!T14*(1+Inputs!$B$35/100)),MAX(0,Inputs!$B$44-((R1977-1)*(1/Q1977)))))/Inputs!$B$44),IF(Inputs!$B$39="pvp",MIN((Skills!T14*(1+Inputs!$B$35/100)),15)/15,MIN(1,(Skills!T14*(1+Inputs!$B$35/100))/(1/Q1977)))))+((C1978=TRUE)*F1978*IF(AND(Inputs!$B$39&lt;&gt;"pvp",Inputs!$B$44&gt;0),(((R1978-1)*MIN((Skills!T15*(1+Inputs!$B$35/100)),(1/Q1978))+MIN((Skills!T15*(1+Inputs!$B$35/100)),MAX(0,Inputs!$B$44-((R1978-1)*(1/Q1978)))))/Inputs!$B$44),IF(Inputs!$B$39="pvp",MIN((Skills!T15*(1+Inputs!$B$35/100)),15)/15,MIN(1,(Skills!T15*(1+Inputs!$B$35/100))/(1/Q1978)))))+((C1979=TRUE)*F1979*IF(AND(Inputs!$B$39&lt;&gt;"pvp",Inputs!$B$44&gt;0),(((R1979-1)*MIN((Skills!T16*(1+Inputs!$B$35/100)),(1/Q1979))+MIN((Skills!T16*(1+Inputs!$B$35/100)),MAX(0,Inputs!$B$44-((R1979-1)*(1/Q1979)))))/Inputs!$B$44),IF(Inputs!$B$39="pvp",MIN((Skills!T16*(1+Inputs!$B$35/100)),15)/15,MIN(1,(Skills!T16*(1+Inputs!$B$35/100))/(1/Q1979)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1968)</f>
        <v/>
      </c>
      <c r="L1968">
        <f>K1968*(MIN(Inputs!$B$23+((C1985=TRUE)*(F1985-Calc!F22)),(Inputs!$B$24+((C1987=TRUE)*(F1987-Calc!F24))+(IF(ArtifactsInput!$M$15,CHOOSE(ArtifactsInput!$N$15+1,25,30,35,40,45,50)/100*(Inputs!$B$12-Inputs!$B$12),0))))/100+(Inputs!$B$24+((C1987=TRUE)*(F1987-Calc!F24))+(IF(ArtifactsInput!$M$15,CHOOSE(ArtifactsInput!$N$15+1,25,30,35,40,45,50)/100*(Inputs!$B$12-Inputs!$B$12),0)))/100)/2</f>
        <v/>
      </c>
      <c r="M1968">
        <f>L1968*(1+(Inputs!$B$11+0+B1997+((IF(IF(ArtifactsInput!$M$24,FALSE,TRUE),1,-1)*CHOOSE(ArtifactsInput!$N$24+1,30,36,42,48,54,60)/100*IF(IF(ArtifactsInput!$M$24,FALSE,TRUE),(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nputs!$B$10+Summary!$B$14+Artifacts!$B$5+Artifacts!$B$29)))+IF(ArtifactsInput!$M$10,CHOOSE(ArtifactsInput!$N$10+1,20,24,28,32,36,40)*(IF(Inputs!$B$39="pvp",MIN(15,15)/15,IF(AND(Inputs!$B$39&lt;&gt;"pvp",Inputs!$B$44&gt;0),MIN(15,Inputs!$B$44)/(Inputs!$B$44),0))),0)+IF(ArtifactsInput!$M$31,1.5*CHOOSE(ArtifactsInput!$N$31+1,20,24,28,32,36,40),0)))/100)</f>
        <v/>
      </c>
      <c r="N1968">
        <f>L1968*(1-MIN((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1968*(MIN((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68">
        <f>(1-Summary!$B$11)*T1968+Summary!$B$11*V1968</f>
        <v/>
      </c>
      <c r="P1968">
        <f>IF(B2002=0,0,O1968/B2002)</f>
        <v/>
      </c>
      <c r="Q1968">
        <f>IFERROR(1/IF(Inputs!$B$39="pvp",15,MAX(0.1,Skills!D5-IF(TRUE=TRUE,Inputs!$B$33,0))),0)</f>
        <v/>
      </c>
      <c r="R1968">
        <f>IF(AND(Inputs!$B$39&lt;&gt;"pvp",Inputs!$B$44&gt;0),IF(MAX(0,Inputs!$B$44-B1999)&lt;=0,0,(INT(MAX(0,Inputs!$B$44-B1999)/IF(Inputs!$B$39="pvp",15,MAX(0.1,Skills!D5-IF(TRUE=TRUE,Inputs!$B$33,0))))+1)),0)</f>
        <v/>
      </c>
      <c r="S1968">
        <f>IFERROR(O1968/N1968,0)</f>
        <v/>
      </c>
      <c r="T1968">
        <f>IF(C1968,(H1968*N1968*IF(AND(Inputs!$B$39&lt;&gt;"pvp",Inputs!$B$44&gt;0),((Skills!G5*((R1968-1)*IF(Skills!H5&gt;0,INT(Skills!I5/Skills!H5+0.000000001),1)+IF(Skills!H5&gt;0,INT(MIN(Skills!I5,MAX(0,MAX(0,Inputs!$B$44-B1999)-((R1968-1)*IF(Inputs!$B$39="pvp",15,MAX(0.1,Skills!D5-IF(TRUE=TRUE,Inputs!$B$33,0))))))/Skills!H5+0.000000001),1)))/Inputs!$B$44),G1968*Q1968))*IF(Inputs!$B$39="pvp",1,1+(Inputs!$B$21+0+Skills!P5+((C1980=TRUE)*F1980*IF(AND(Inputs!$B$39&lt;&gt;"pvp",Inputs!$B$44&gt;0),(((R1980-1)*MIN((Skills!T17*(1+Inputs!$B$35/100)),(1/Q1980))+MIN((Skills!T17*(1+Inputs!$B$35/100)),MAX(0,Inputs!$B$44-((R1980-1)*(1/Q1980)))))/Inputs!$B$44),IF(Inputs!$B$39="pvp",MIN((Skills!T17*(1+Inputs!$B$35/100)),15)/15,MIN(1,(Skills!T17*(1+Inputs!$B$35/100))/(1/Q1980)))))+((C1968=TRUE)*IF(Inputs!$B$3&gt;=126,10*MIN(1,15*Q1968),0))+((C1977=TRUE)*IF(Inputs!$B$39="pvp",20,(1-Summary!$B$11)*(20)+Summary!$B$11*(0))*IF(AND(Inputs!$B$39&lt;&gt;"pvp",Inputs!$B$44&gt;0),(((R1977-1)*MIN((Skills!T14*(1+Inputs!$B$35/100)),(1/Q1977))+MIN((Skills!T14*(1+Inputs!$B$35/100)),MAX(0,Inputs!$B$44-((R1977-1)*(1/Q1977)))))/Inputs!$B$44),IF(Inputs!$B$39="pvp",MIN((Skills!T14*(1+Inputs!$B$35/100)),15)/15,MIN(1,(Skills!T14*(1+Inputs!$B$35/100))/(1/Q1977)))))+((C1976=TRUE)*IF(Inputs!$B$3&gt;=82,IF(Inputs!$B$39="pvp",20,(1-Summary!$B$11)*(20)+Summary!$B$11*(0)),0)*IF(AND(Inputs!$B$39&lt;&gt;"pvp",Inputs!$B$44&gt;0),(((R1976-1)*MIN((Skills!T13*(1+Inputs!$B$35/100)),(1/Q1976))+MIN((Skills!T13*(1+Inputs!$B$35/100)),MAX(0,Inputs!$B$44-((R1976-1)*(1/Q1976)))))/Inputs!$B$44),IF(Inputs!$B$39="pvp",MIN((Skills!T13*(1+Inputs!$B$35/100)),15)/15,MIN(1,(Skills!T13*(1+Inputs!$B$35/100))/(1/Q1976)))))+(IF(AND(ArtifactsInput!$M$35,Inputs!$B$4&lt;&gt;"Chapter Hunt"),CHOOSE(ArtifactsInput!$N$35+1,15,18,21,24,27,30)*(1-EXP(-(0.2*B1994)*5)),0)+IF(AND(ArtifactsInput!$M$22,Inputs!$B$4&lt;&gt;"Chapter Hunt"),CHOOSE(ArtifactsInput!$N$22+1,10,12,14,16,18,20)*((0*(((0.15*B1994*5))^0/1)+1*(((0.15*B1994*5))^1/1)+2*(((0.15*B1994*5))^2/2)+3*(((0.15*B1994*5))^3/6)+4*(((0.15*B1994*5))^4/24)+5*(((0.15*B1994*5))^5/120))/((((0.15*B1994*5))^0/1)+(((0.15*B1994*5))^1/1)+(((0.15*B1994*5))^2/2)+(((0.15*B1994*5))^3/6)+(((0.15*B1994*5))^4/24)+(((0.15*B1994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1968*(1-MIN(100,(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1968*(MIN(100,(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1968*(1-MIN(100,(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1968*(MIN(100,(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68">
        <f>IF(C1968,(H1968*N1968*IF(AND(Inputs!$B$39&lt;&gt;"pvp",Inputs!$B$44&gt;0),((Skills!G5*((R1968-1)*IF(Skills!H5&gt;0,INT(Skills!I5/Skills!H5+0.000000001),1)+IF(Skills!H5&gt;0,INT(MIN(Skills!I5,MAX(0,MAX(0,Inputs!$B$44-B1999)-((R1968-1)*IF(Inputs!$B$39="pvp",15,MAX(0.1,Skills!D5-IF(TRUE=TRUE,Inputs!$B$33,0))))))/Skills!H5+0.000000001),1)))/Inputs!$B$44),G1968*Q1968))*IF(Inputs!$B$39="pvp",1,(1+(Inputs!$B$22+Skills!Q5+((C1980=TRUE)*F1980*IF(AND(Inputs!$B$39&lt;&gt;"pvp",Inputs!$B$44&gt;0),(((R1980-1)*MIN((Skills!T17*(1+Inputs!$B$35/100)),(1/Q1980))+MIN((Skills!T17*(1+Inputs!$B$35/100)),MAX(0,Inputs!$B$44-((R1980-1)*(1/Q1980)))))/Inputs!$B$44),IF(Inputs!$B$39="pvp",MIN((Skills!T17*(1+Inputs!$B$35/100)),15)/15,MIN(1,(Skills!T17*(1+Inputs!$B$35/100))/(1/Q1980)))))+((C1968=TRUE)*IF(Inputs!$B$3&gt;=126,10*MIN(1,15*Q1968),0))+((C1977=TRUE)*IF(Inputs!$B$39="pvp",20,(1-Summary!$B$11)*(20)+Summary!$B$11*(0))*IF(AND(Inputs!$B$39&lt;&gt;"pvp",Inputs!$B$44&gt;0),(((R1977-1)*MIN((Skills!T14*(1+Inputs!$B$35/100)),(1/Q1977))+MIN((Skills!T14*(1+Inputs!$B$35/100)),MAX(0,Inputs!$B$44-((R1977-1)*(1/Q1977)))))/Inputs!$B$44),IF(Inputs!$B$39="pvp",MIN((Skills!T14*(1+Inputs!$B$35/100)),15)/15,MIN(1,(Skills!T14*(1+Inputs!$B$35/100))/(1/Q1977)))))+((C1976=TRUE)*IF(Inputs!$B$3&gt;=82,IF(Inputs!$B$39="pvp",20,(1-Summary!$B$11)*(20)+Summary!$B$11*(0)),0)*IF(AND(Inputs!$B$39&lt;&gt;"pvp",Inputs!$B$44&gt;0),(((R1976-1)*MIN((Skills!T13*(1+Inputs!$B$35/100)),(1/Q1976))+MIN((Skills!T13*(1+Inputs!$B$35/100)),MAX(0,Inputs!$B$44-((R1976-1)*(1/Q1976)))))/Inputs!$B$44),IF(Inputs!$B$39="pvp",MIN((Skills!T13*(1+Inputs!$B$35/100)),15)/15,MIN(1,(Skills!T13*(1+Inputs!$B$35/100))/(1/Q1976)))))+(IF(AND(ArtifactsInput!$M$35,Inputs!$B$4&lt;&gt;"Chapter Hunt"),CHOOSE(ArtifactsInput!$N$35+1,15,18,21,24,27,30)*(1-EXP(-(0.2*B1994)*5)),0)+IF(AND(ArtifactsInput!$M$22,Inputs!$B$4&lt;&gt;"Chapter Hunt"),CHOOSE(ArtifactsInput!$N$22+1,10,12,14,16,18,20)*((0*(((0.15*B1994*5))^0/1)+1*(((0.15*B1994*5))^1/1)+2*(((0.15*B1994*5))^2/2)+3*(((0.15*B1994*5))^3/6)+4*(((0.15*B1994*5))^4/24)+5*(((0.15*B1994*5))^5/120))/((((0.15*B1994*5))^0/1)+(((0.15*B1994*5))^1/1)+(((0.15*B1994*5))^2/2)+(((0.15*B1994*5))^3/6)+(((0.15*B1994*5))^4/24)+(((0.15*B1994*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69">
      <c r="A1969">
        <f>Skills!A6</f>
        <v/>
      </c>
      <c r="B1969">
        <f>Skills!B6</f>
        <v/>
      </c>
      <c r="C1969">
        <f>Inputs!$B$3&gt;=103</f>
        <v/>
      </c>
      <c r="D1969">
        <f>IF(Skills!C6=1,60+Inputs!$B$26+Inputs!$B$30,IF(Skills!C6=2,90+Inputs!$B$27+Inputs!$B$30,IF(Skills!C6=3,120+Inputs!$B$28+Inputs!$B$30,MAX(0,(Inputs!$B$3-100)*3)+Inputs!$B$29+Inputs!$B$30)))</f>
        <v/>
      </c>
      <c r="E1969">
        <f>INDEX(FactorTable!$B$2:$Y$301, MATCH(ROUND(MIN(300,MAX(1,D1969)),0), FactorTable!$A$2:$A$301,0), Skills!M6+1)</f>
        <v/>
      </c>
      <c r="F1969">
        <f>IF(Skills!N6=TRUE,(Skills!L6/10)*(E1969/1000),Skills!L6/10)+Skills!O6</f>
        <v/>
      </c>
      <c r="G1969">
        <f>Skills!G6*IF(Skills!H6&gt;0,INT(IF(Inputs!$B$39="pvp",MIN(Skills!I6,15),Skills!I6)/Skills!H6+0.000000001),1)</f>
        <v/>
      </c>
      <c r="H1969">
        <f>1-(1-Skills!J6/100)^Skills!K6</f>
        <v/>
      </c>
      <c r="I1969" t="inlineStr">
        <is>
          <t>1</t>
        </is>
      </c>
      <c r="J1969">
        <f>((Inputs!$B$6*(1+Inputs!$B$7/100))+(((Inputs!$B$13*(1+Inputs!$B$14/100))-(Inputs!$B$13*(1+Inputs!$B$14/100)))+0.25*(Inputs!$B$15-Inputs!$B$15))*(1+Inputs!$B$7/100))*(F1969/100)</f>
        <v/>
      </c>
      <c r="K1969">
        <f>J1969*(1+(((Inputs!$B$13+IF(Inputs!$B$3&gt;=38,(10*INDEX(FactorTable!$B$2:$Y$301, MATCH(ROUND(MIN(300,MAX(1,Inputs!$B$3)),0), FactorTable!$A$2:$A$301,0), 23)/1000)/100*(Inputs!$B$8*(1+Inputs!$B$9/100)),0))*(1+Inputs!$B$14/100))*0.01+Inputs!$B$15*0.0025)/100)*(1+Inputs!$B$16/100)*(1+Inputs!$B$17/100)*(5000/(6000+Inputs!$B$43*(1-(Inputs!$B$20+0)/100)))*(1+(Inputs!$B$25+((C1988=TRUE)*(F1988-Calc!F25))+((C1989=TRUE)*(F1989-Calc!F26))+B1998)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gt;=100),MIN(100,((Inputs!$B$10+0+B1992+(IF(ArtifactsInput!$M$24,FALSE,TRUE)-ArtifactsInput!$M$24)*CHOOSE(ArtifactsInput!$N$24+1,10,12,14,16,18,20)+IF(ArtifactsInput!$M$10,CHOOSE(ArtifactsInput!$N$10+1,15,18,21,24,27,30)*(IF(Inputs!$B$39="pvp",MIN(15,15)/15,IF(AND(Inputs!$B$39&lt;&gt;"pvp",Inputs!$B$44&gt;0),MIN(15,Inputs!$B$44)/(Inputs!$B$44),0))),0)))-100),0))*CHOOSE(ArtifactsInput!$N$42+1,0.6,0.72,0.84,0.96,1.08,1.2))),Inputs!$B$19+((C1986=TRUE)*(F1986-Calc!F23))+(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gt;=100),CHOOSE(ArtifactsInput!$N$42+1,40,48,56,64,72,80),0))))/100)*((1+(((C1976=TRUE)*F1976*IF(AND(Inputs!$B$39&lt;&gt;"pvp",Inputs!$B$44&gt;0),(((R1976-1)*MIN((Skills!T13*(1+Inputs!$B$35/100)),(1/Q1976))+MIN((Skills!T13*(1+Inputs!$B$35/100)),MAX(0,Inputs!$B$44-((R1976-1)*(1/Q1976)))))/Inputs!$B$44),IF(Inputs!$B$39="pvp",MIN((Skills!T13*(1+Inputs!$B$35/100)),15)/15,MIN(1,(Skills!T13*(1+Inputs!$B$35/100))/(1/Q1976)))))+((C1977=TRUE)*F1977*IF(AND(Inputs!$B$39&lt;&gt;"pvp",Inputs!$B$44&gt;0),(((R1977-1)*MIN((Skills!T14*(1+Inputs!$B$35/100)),(1/Q1977))+MIN((Skills!T14*(1+Inputs!$B$35/100)),MAX(0,Inputs!$B$44-((R1977-1)*(1/Q1977)))))/Inputs!$B$44),IF(Inputs!$B$39="pvp",MIN((Skills!T14*(1+Inputs!$B$35/100)),15)/15,MIN(1,(Skills!T14*(1+Inputs!$B$35/100))/(1/Q1977)))))+((C1978=TRUE)*F1978*IF(AND(Inputs!$B$39&lt;&gt;"pvp",Inputs!$B$44&gt;0),(((R1978-1)*MIN((Skills!T15*(1+Inputs!$B$35/100)),(1/Q1978))+MIN((Skills!T15*(1+Inputs!$B$35/100)),MAX(0,Inputs!$B$44-((R1978-1)*(1/Q1978)))))/Inputs!$B$44),IF(Inputs!$B$39="pvp",MIN((Skills!T15*(1+Inputs!$B$35/100)),15)/15,MIN(1,(Skills!T15*(1+Inputs!$B$35/100))/(1/Q1978)))))+((C1979=TRUE)*F1979*IF(AND(Inputs!$B$39&lt;&gt;"pvp",Inputs!$B$44&gt;0),(((R1979-1)*MIN((Skills!T16*(1+Inputs!$B$35/100)),(1/Q1979))+MIN((Skills!T16*(1+Inputs!$B$35/100)),MAX(0,Inputs!$B$44-((R1979-1)*(1/Q1979)))))/Inputs!$B$44),IF(Inputs!$B$39="pvp",MIN((Skills!T16*(1+Inputs!$B$35/100)),15)/15,MIN(1,(Skills!T16*(1+Inputs!$B$35/100))/(1/Q1979)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1969)</f>
        <v/>
      </c>
      <c r="L1969">
        <f>K1969*(MIN(Inputs!$B$23+((C1985=TRUE)*(F1985-Calc!F22)),(Inputs!$B$24+((C1987=TRUE)*(F1987-Calc!F24))+(IF(ArtifactsInput!$M$15,CHOOSE(ArtifactsInput!$N$15+1,25,30,35,40,45,50)/100*(Inputs!$B$12-Inputs!$B$12),0))))/100+(Inputs!$B$24+((C1987=TRUE)*(F1987-Calc!F24))+(IF(ArtifactsInput!$M$15,CHOOSE(ArtifactsInput!$N$15+1,25,30,35,40,45,50)/100*(Inputs!$B$12-Inputs!$B$12),0)))/100)/2</f>
        <v/>
      </c>
      <c r="M1969">
        <f>L1969*(1+(Inputs!$B$11+0+B1997+((IF(IF(ArtifactsInput!$M$24,FALSE,TRUE),1,-1)*CHOOSE(ArtifactsInput!$N$24+1,30,36,42,48,54,60)/100*IF(IF(ArtifactsInput!$M$24,FALSE,TRUE),(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nputs!$B$10+Summary!$B$14+Artifacts!$B$5+Artifacts!$B$29)))+IF(ArtifactsInput!$M$10,CHOOSE(ArtifactsInput!$N$10+1,20,24,28,32,36,40)*(IF(Inputs!$B$39="pvp",MIN(15,15)/15,IF(AND(Inputs!$B$39&lt;&gt;"pvp",Inputs!$B$44&gt;0),MIN(15,Inputs!$B$44)/(Inputs!$B$44),0))),0)+IF(ArtifactsInput!$M$31,1.5*CHOOSE(ArtifactsInput!$N$31+1,20,24,28,32,36,40),0)))/100)</f>
        <v/>
      </c>
      <c r="N1969">
        <f>L1969*(1-MIN((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1969*(MIN((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69">
        <f>(1-Summary!$B$11)*T1969+Summary!$B$11*V1969</f>
        <v/>
      </c>
      <c r="P1969">
        <f>IF(B2002=0,0,O1969/B2002)</f>
        <v/>
      </c>
      <c r="Q1969">
        <f>IFERROR(1/IF(Inputs!$B$39="pvp",15,MAX(0.1,Skills!D6-IF(TRUE=TRUE,Inputs!$B$33,0))),0)</f>
        <v/>
      </c>
      <c r="R1969">
        <f>IF(AND(Inputs!$B$39&lt;&gt;"pvp",Inputs!$B$44&gt;0),IF(MAX(0,Inputs!$B$44-B1999)&lt;=0,0,(INT(MAX(0,Inputs!$B$44-B1999)/IF(Inputs!$B$39="pvp",15,MAX(0.1,Skills!D6-IF(TRUE=TRUE,Inputs!$B$33,0))))+1)),0)</f>
        <v/>
      </c>
      <c r="S1969">
        <f>IFERROR(O1969/N1969,0)</f>
        <v/>
      </c>
      <c r="T1969">
        <f>IF(C1969,(H1969*N1969*IF(AND(Inputs!$B$39&lt;&gt;"pvp",Inputs!$B$44&gt;0),((Skills!G6*((R1969-1)*IF(Skills!H6&gt;0,INT(Skills!I6/Skills!H6+0.000000001),1)+IF(Skills!H6&gt;0,INT(MIN(Skills!I6,MAX(0,MAX(0,Inputs!$B$44-B1999)-((R1969-1)*IF(Inputs!$B$39="pvp",15,MAX(0.1,Skills!D6-IF(TRUE=TRUE,Inputs!$B$33,0))))))/Skills!H6+0.000000001),1)))/Inputs!$B$44),G1969*Q1969))*IF(Inputs!$B$39="pvp",1,1+(Inputs!$B$21+0+Skills!P6+((C1980=TRUE)*F1980*IF(AND(Inputs!$B$39&lt;&gt;"pvp",Inputs!$B$44&gt;0),(((R1980-1)*MIN((Skills!T17*(1+Inputs!$B$35/100)),(1/Q1980))+MIN((Skills!T17*(1+Inputs!$B$35/100)),MAX(0,Inputs!$B$44-((R1980-1)*(1/Q1980)))))/Inputs!$B$44),IF(Inputs!$B$39="pvp",MIN((Skills!T17*(1+Inputs!$B$35/100)),15)/15,MIN(1,(Skills!T17*(1+Inputs!$B$35/100))/(1/Q1980)))))+((C1968=TRUE)*IF(Inputs!$B$3&gt;=126,10*MIN(1,15*Q1968),0))+((C1977=TRUE)*IF(Inputs!$B$39="pvp",20,(1-Summary!$B$11)*(20)+Summary!$B$11*(0))*IF(AND(Inputs!$B$39&lt;&gt;"pvp",Inputs!$B$44&gt;0),(((R1977-1)*MIN((Skills!T14*(1+Inputs!$B$35/100)),(1/Q1977))+MIN((Skills!T14*(1+Inputs!$B$35/100)),MAX(0,Inputs!$B$44-((R1977-1)*(1/Q1977)))))/Inputs!$B$44),IF(Inputs!$B$39="pvp",MIN((Skills!T14*(1+Inputs!$B$35/100)),15)/15,MIN(1,(Skills!T14*(1+Inputs!$B$35/100))/(1/Q1977)))))+((C1976=TRUE)*IF(Inputs!$B$3&gt;=82,IF(Inputs!$B$39="pvp",20,(1-Summary!$B$11)*(20)+Summary!$B$11*(0)),0)*IF(AND(Inputs!$B$39&lt;&gt;"pvp",Inputs!$B$44&gt;0),(((R1976-1)*MIN((Skills!T13*(1+Inputs!$B$35/100)),(1/Q1976))+MIN((Skills!T13*(1+Inputs!$B$35/100)),MAX(0,Inputs!$B$44-((R1976-1)*(1/Q1976)))))/Inputs!$B$44),IF(Inputs!$B$39="pvp",MIN((Skills!T13*(1+Inputs!$B$35/100)),15)/15,MIN(1,(Skills!T13*(1+Inputs!$B$35/100))/(1/Q1976)))))+(IF(AND(ArtifactsInput!$M$35,Inputs!$B$4&lt;&gt;"Chapter Hunt"),CHOOSE(ArtifactsInput!$N$35+1,15,18,21,24,27,30)*(1-EXP(-(0.2*B1994)*5)),0)+IF(AND(ArtifactsInput!$M$22,Inputs!$B$4&lt;&gt;"Chapter Hunt"),CHOOSE(ArtifactsInput!$N$22+1,10,12,14,16,18,20)*((0*(((0.15*B1994*5))^0/1)+1*(((0.15*B1994*5))^1/1)+2*(((0.15*B1994*5))^2/2)+3*(((0.15*B1994*5))^3/6)+4*(((0.15*B1994*5))^4/24)+5*(((0.15*B1994*5))^5/120))/((((0.15*B1994*5))^0/1)+(((0.15*B1994*5))^1/1)+(((0.15*B1994*5))^2/2)+(((0.15*B1994*5))^3/6)+(((0.15*B1994*5))^4/24)+(((0.15*B1994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1969*(1-MIN(100,(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1969*(MIN(100,(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1969*(1-MIN(100,(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1969*(MIN(100,(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69">
        <f>IF(C1969,(H1969*N1969*IF(AND(Inputs!$B$39&lt;&gt;"pvp",Inputs!$B$44&gt;0),((Skills!G6*((R1969-1)*IF(Skills!H6&gt;0,INT(Skills!I6/Skills!H6+0.000000001),1)+IF(Skills!H6&gt;0,INT(MIN(Skills!I6,MAX(0,MAX(0,Inputs!$B$44-B1999)-((R1969-1)*IF(Inputs!$B$39="pvp",15,MAX(0.1,Skills!D6-IF(TRUE=TRUE,Inputs!$B$33,0))))))/Skills!H6+0.000000001),1)))/Inputs!$B$44),G1969*Q1969))*IF(Inputs!$B$39="pvp",1,(1+(Inputs!$B$22+Skills!Q6+((C1980=TRUE)*F1980*IF(AND(Inputs!$B$39&lt;&gt;"pvp",Inputs!$B$44&gt;0),(((R1980-1)*MIN((Skills!T17*(1+Inputs!$B$35/100)),(1/Q1980))+MIN((Skills!T17*(1+Inputs!$B$35/100)),MAX(0,Inputs!$B$44-((R1980-1)*(1/Q1980)))))/Inputs!$B$44),IF(Inputs!$B$39="pvp",MIN((Skills!T17*(1+Inputs!$B$35/100)),15)/15,MIN(1,(Skills!T17*(1+Inputs!$B$35/100))/(1/Q1980)))))+((C1968=TRUE)*IF(Inputs!$B$3&gt;=126,10*MIN(1,15*Q1968),0))+((C1977=TRUE)*IF(Inputs!$B$39="pvp",20,(1-Summary!$B$11)*(20)+Summary!$B$11*(0))*IF(AND(Inputs!$B$39&lt;&gt;"pvp",Inputs!$B$44&gt;0),(((R1977-1)*MIN((Skills!T14*(1+Inputs!$B$35/100)),(1/Q1977))+MIN((Skills!T14*(1+Inputs!$B$35/100)),MAX(0,Inputs!$B$44-((R1977-1)*(1/Q1977)))))/Inputs!$B$44),IF(Inputs!$B$39="pvp",MIN((Skills!T14*(1+Inputs!$B$35/100)),15)/15,MIN(1,(Skills!T14*(1+Inputs!$B$35/100))/(1/Q1977)))))+((C1976=TRUE)*IF(Inputs!$B$3&gt;=82,IF(Inputs!$B$39="pvp",20,(1-Summary!$B$11)*(20)+Summary!$B$11*(0)),0)*IF(AND(Inputs!$B$39&lt;&gt;"pvp",Inputs!$B$44&gt;0),(((R1976-1)*MIN((Skills!T13*(1+Inputs!$B$35/100)),(1/Q1976))+MIN((Skills!T13*(1+Inputs!$B$35/100)),MAX(0,Inputs!$B$44-((R1976-1)*(1/Q1976)))))/Inputs!$B$44),IF(Inputs!$B$39="pvp",MIN((Skills!T13*(1+Inputs!$B$35/100)),15)/15,MIN(1,(Skills!T13*(1+Inputs!$B$35/100))/(1/Q1976)))))+(IF(AND(ArtifactsInput!$M$35,Inputs!$B$4&lt;&gt;"Chapter Hunt"),CHOOSE(ArtifactsInput!$N$35+1,15,18,21,24,27,30)*(1-EXP(-(0.2*B1994)*5)),0)+IF(AND(ArtifactsInput!$M$22,Inputs!$B$4&lt;&gt;"Chapter Hunt"),CHOOSE(ArtifactsInput!$N$22+1,10,12,14,16,18,20)*((0*(((0.15*B1994*5))^0/1)+1*(((0.15*B1994*5))^1/1)+2*(((0.15*B1994*5))^2/2)+3*(((0.15*B1994*5))^3/6)+4*(((0.15*B1994*5))^4/24)+5*(((0.15*B1994*5))^5/120))/((((0.15*B1994*5))^0/1)+(((0.15*B1994*5))^1/1)+(((0.15*B1994*5))^2/2)+(((0.15*B1994*5))^3/6)+(((0.15*B1994*5))^4/24)+(((0.15*B1994*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70">
      <c r="A1970">
        <f>Skills!A7</f>
        <v/>
      </c>
      <c r="B1970">
        <f>Skills!B7</f>
        <v/>
      </c>
      <c r="C1970">
        <f>Inputs!$B$3&gt;=40</f>
        <v/>
      </c>
      <c r="D1970">
        <f>IF(Skills!C7=1,60+Inputs!$B$26+Inputs!$B$30,IF(Skills!C7=2,90+Inputs!$B$27+Inputs!$B$30,IF(Skills!C7=3,120+Inputs!$B$28+Inputs!$B$30,MAX(0,(Inputs!$B$3-100)*3)+Inputs!$B$29+Inputs!$B$30)))</f>
        <v/>
      </c>
      <c r="E1970">
        <f>INDEX(FactorTable!$B$2:$Y$301, MATCH(ROUND(MIN(300,MAX(1,D1970)),0), FactorTable!$A$2:$A$301,0), Skills!M7+1)</f>
        <v/>
      </c>
      <c r="F1970">
        <f>IF(Skills!N7=TRUE,(Skills!L7/10)*(E1970/1000),Skills!L7/10)+Skills!O7</f>
        <v/>
      </c>
      <c r="G1970">
        <f>Skills!G7*IF(Skills!H7&gt;0,INT(IF(Inputs!$B$39="pvp",MIN(Skills!I7,15),Skills!I7)/Skills!H7+0.000000001),1)</f>
        <v/>
      </c>
      <c r="H1970">
        <f>1-(1-Skills!J7/100)^Skills!K7</f>
        <v/>
      </c>
      <c r="I1970" t="inlineStr">
        <is>
          <t>1</t>
        </is>
      </c>
      <c r="J1970">
        <f>((Inputs!$B$6*(1+Inputs!$B$7/100))+(((Inputs!$B$13*(1+Inputs!$B$14/100))-(Inputs!$B$13*(1+Inputs!$B$14/100)))+0.25*(Inputs!$B$15-Inputs!$B$15))*(1+Inputs!$B$7/100))*(F1970/100)</f>
        <v/>
      </c>
      <c r="K1970">
        <f>J1970*(1+(((Inputs!$B$13+IF(Inputs!$B$3&gt;=38,(10*INDEX(FactorTable!$B$2:$Y$301, MATCH(ROUND(MIN(300,MAX(1,Inputs!$B$3)),0), FactorTable!$A$2:$A$301,0), 23)/1000)/100*(Inputs!$B$8*(1+Inputs!$B$9/100)),0))*(1+Inputs!$B$14/100))*0.01+Inputs!$B$15*0.0025)/100)*(1+Inputs!$B$16/100)*(1+Inputs!$B$17/100)*(5000/(6000+Inputs!$B$43*(1-(Inputs!$B$20+0)/100)))*(1+(Inputs!$B$25+((C1988=TRUE)*(F1988-Calc!F25))+((C1989=TRUE)*(F1989-Calc!F26))+B1998)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1974=TRUE,F1974,0)/100)*(1+(IF(Skills!A7="DARK_IMPALE",Inputs!$B$18+0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gt;=100),MIN(100,((Inputs!$B$10+0+B1992+(IF(ArtifactsInput!$M$24,FALSE,TRUE)-ArtifactsInput!$M$24)*CHOOSE(ArtifactsInput!$N$24+1,10,12,14,16,18,20)+IF(ArtifactsInput!$M$10,CHOOSE(ArtifactsInput!$N$10+1,15,18,21,24,27,30)*(IF(Inputs!$B$39="pvp",MIN(15,15)/15,IF(AND(Inputs!$B$39&lt;&gt;"pvp",Inputs!$B$44&gt;0),MIN(15,Inputs!$B$44)/(Inputs!$B$44),0))),0)))-100),0))*CHOOSE(ArtifactsInput!$N$42+1,0.6,0.72,0.84,0.96,1.08,1.2))),Inputs!$B$19+((C1986=TRUE)*(F1986-Calc!F23))+(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gt;=100),CHOOSE(ArtifactsInput!$N$42+1,40,48,56,64,72,80),0))))/100)*((1+(((C1976=TRUE)*F1976*IF(AND(Inputs!$B$39&lt;&gt;"pvp",Inputs!$B$44&gt;0),(((R1976-1)*MIN((Skills!T13*(1+Inputs!$B$35/100)),(1/Q1976))+MIN((Skills!T13*(1+Inputs!$B$35/100)),MAX(0,Inputs!$B$44-((R1976-1)*(1/Q1976)))))/Inputs!$B$44),IF(Inputs!$B$39="pvp",MIN((Skills!T13*(1+Inputs!$B$35/100)),15)/15,MIN(1,(Skills!T13*(1+Inputs!$B$35/100))/(1/Q1976)))))+((C1977=TRUE)*F1977*IF(AND(Inputs!$B$39&lt;&gt;"pvp",Inputs!$B$44&gt;0),(((R1977-1)*MIN((Skills!T14*(1+Inputs!$B$35/100)),(1/Q1977))+MIN((Skills!T14*(1+Inputs!$B$35/100)),MAX(0,Inputs!$B$44-((R1977-1)*(1/Q1977)))))/Inputs!$B$44),IF(Inputs!$B$39="pvp",MIN((Skills!T14*(1+Inputs!$B$35/100)),15)/15,MIN(1,(Skills!T14*(1+Inputs!$B$35/100))/(1/Q1977)))))+((C1978=TRUE)*F1978*IF(AND(Inputs!$B$39&lt;&gt;"pvp",Inputs!$B$44&gt;0),(((R1978-1)*MIN((Skills!T15*(1+Inputs!$B$35/100)),(1/Q1978))+MIN((Skills!T15*(1+Inputs!$B$35/100)),MAX(0,Inputs!$B$44-((R1978-1)*(1/Q1978)))))/Inputs!$B$44),IF(Inputs!$B$39="pvp",MIN((Skills!T15*(1+Inputs!$B$35/100)),15)/15,MIN(1,(Skills!T15*(1+Inputs!$B$35/100))/(1/Q1978)))))+((C1979=TRUE)*F1979*IF(AND(Inputs!$B$39&lt;&gt;"pvp",Inputs!$B$44&gt;0),(((R1979-1)*MIN((Skills!T16*(1+Inputs!$B$35/100)),(1/Q1979))+MIN((Skills!T16*(1+Inputs!$B$35/100)),MAX(0,Inputs!$B$44-((R1979-1)*(1/Q1979)))))/Inputs!$B$44),IF(Inputs!$B$39="pvp",MIN((Skills!T16*(1+Inputs!$B$35/100)),15)/15,MIN(1,(Skills!T16*(1+Inputs!$B$35/100))/(1/Q1979)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1970)</f>
        <v/>
      </c>
      <c r="L1970">
        <f>K1970*(MIN(Inputs!$B$23+((C1985=TRUE)*(F1985-Calc!F22)),(Inputs!$B$24+((C1987=TRUE)*(F1987-Calc!F24))+(IF(ArtifactsInput!$M$15,CHOOSE(ArtifactsInput!$N$15+1,25,30,35,40,45,50)/100*(Inputs!$B$12-Inputs!$B$12),0))))/100+(Inputs!$B$24+((C1987=TRUE)*(F1987-Calc!F24))+(IF(ArtifactsInput!$M$15,CHOOSE(ArtifactsInput!$N$15+1,25,30,35,40,45,50)/100*(Inputs!$B$12-Inputs!$B$12),0)))/100)/2</f>
        <v/>
      </c>
      <c r="M1970">
        <f>L1970*(1+(Inputs!$B$11+0+B1997+((IF(IF(ArtifactsInput!$M$24,FALSE,TRUE),1,-1)*CHOOSE(ArtifactsInput!$N$24+1,30,36,42,48,54,60)/100*IF(IF(ArtifactsInput!$M$24,FALSE,TRUE),(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nputs!$B$10+Summary!$B$14+Artifacts!$B$5+Artifacts!$B$29)))+IF(ArtifactsInput!$M$10,CHOOSE(ArtifactsInput!$N$10+1,20,24,28,32,36,40)*(IF(Inputs!$B$39="pvp",MIN(15,15)/15,IF(AND(Inputs!$B$39&lt;&gt;"pvp",Inputs!$B$44&gt;0),MIN(15,Inputs!$B$44)/(Inputs!$B$44),0))),0)+IF(ArtifactsInput!$M$31,1.5*CHOOSE(ArtifactsInput!$N$31+1,20,24,28,32,36,40),0)))/100)</f>
        <v/>
      </c>
      <c r="N1970">
        <f>L1970*(1-MIN((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1970*(MIN((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70">
        <f>(1-Summary!$B$11)*T1970+Summary!$B$11*V1970</f>
        <v/>
      </c>
      <c r="P1970">
        <f>IF(B2002=0,0,O1970/B2002)</f>
        <v/>
      </c>
      <c r="Q1970">
        <f>IFERROR(1/IF(Inputs!$B$39="pvp",15,MAX(0.1,Skills!D7-IF(TRUE=TRUE,Inputs!$B$33,0))),0)</f>
        <v/>
      </c>
      <c r="R1970">
        <f>IF(AND(Inputs!$B$39&lt;&gt;"pvp",Inputs!$B$44&gt;0),IF(MAX(0,Inputs!$B$44-B1999)&lt;=0,0,(INT(MAX(0,Inputs!$B$44-B1999)/IF(Inputs!$B$39="pvp",15,MAX(0.1,Skills!D7-IF(TRUE=TRUE,Inputs!$B$33,0))))+1)),0)</f>
        <v/>
      </c>
      <c r="S1970">
        <f>IFERROR(O1970/N1970,0)</f>
        <v/>
      </c>
      <c r="T1970">
        <f>IF(C1970,(H1970*N1970*IF(AND(Inputs!$B$39&lt;&gt;"pvp",Inputs!$B$44&gt;0),((Skills!G7*((R1970-1)*IF(Skills!H7&gt;0,INT(Skills!I7/Skills!H7+0.000000001),1)+IF(Skills!H7&gt;0,INT(MIN(Skills!I7,MAX(0,MAX(0,Inputs!$B$44-B1999)-((R1970-1)*IF(Inputs!$B$39="pvp",15,MAX(0.1,Skills!D7-IF(TRUE=TRUE,Inputs!$B$33,0))))))/Skills!H7+0.000000001),1)))/Inputs!$B$44),G1970*Q1970))*IF(Inputs!$B$39="pvp",1,1+(Inputs!$B$21+0+Skills!P7+((C1980=TRUE)*F1980*IF(AND(Inputs!$B$39&lt;&gt;"pvp",Inputs!$B$44&gt;0),(((R1980-1)*MIN((Skills!T17*(1+Inputs!$B$35/100)),(1/Q1980))+MIN((Skills!T17*(1+Inputs!$B$35/100)),MAX(0,Inputs!$B$44-((R1980-1)*(1/Q1980)))))/Inputs!$B$44),IF(Inputs!$B$39="pvp",MIN((Skills!T17*(1+Inputs!$B$35/100)),15)/15,MIN(1,(Skills!T17*(1+Inputs!$B$35/100))/(1/Q1980)))))+((C1968=TRUE)*IF(Inputs!$B$3&gt;=126,10*MIN(1,15*Q1968),0))+((C1977=TRUE)*IF(Inputs!$B$39="pvp",20,(1-Summary!$B$11)*(20)+Summary!$B$11*(0))*IF(AND(Inputs!$B$39&lt;&gt;"pvp",Inputs!$B$44&gt;0),(((R1977-1)*MIN((Skills!T14*(1+Inputs!$B$35/100)),(1/Q1977))+MIN((Skills!T14*(1+Inputs!$B$35/100)),MAX(0,Inputs!$B$44-((R1977-1)*(1/Q1977)))))/Inputs!$B$44),IF(Inputs!$B$39="pvp",MIN((Skills!T14*(1+Inputs!$B$35/100)),15)/15,MIN(1,(Skills!T14*(1+Inputs!$B$35/100))/(1/Q1977)))))+((C1976=TRUE)*IF(Inputs!$B$3&gt;=82,IF(Inputs!$B$39="pvp",20,(1-Summary!$B$11)*(20)+Summary!$B$11*(0)),0)*IF(AND(Inputs!$B$39&lt;&gt;"pvp",Inputs!$B$44&gt;0),(((R1976-1)*MIN((Skills!T13*(1+Inputs!$B$35/100)),(1/Q1976))+MIN((Skills!T13*(1+Inputs!$B$35/100)),MAX(0,Inputs!$B$44-((R1976-1)*(1/Q1976)))))/Inputs!$B$44),IF(Inputs!$B$39="pvp",MIN((Skills!T13*(1+Inputs!$B$35/100)),15)/15,MIN(1,(Skills!T13*(1+Inputs!$B$35/100))/(1/Q1976)))))+(IF(AND(ArtifactsInput!$M$35,Inputs!$B$4&lt;&gt;"Chapter Hunt"),CHOOSE(ArtifactsInput!$N$35+1,15,18,21,24,27,30)*(1-EXP(-(0.2*B1994)*5)),0)+IF(AND(ArtifactsInput!$M$22,Inputs!$B$4&lt;&gt;"Chapter Hunt"),CHOOSE(ArtifactsInput!$N$22+1,10,12,14,16,18,20)*((0*(((0.15*B1994*5))^0/1)+1*(((0.15*B1994*5))^1/1)+2*(((0.15*B1994*5))^2/2)+3*(((0.15*B1994*5))^3/6)+4*(((0.15*B1994*5))^4/24)+5*(((0.15*B1994*5))^5/120))/((((0.15*B1994*5))^0/1)+(((0.15*B1994*5))^1/1)+(((0.15*B1994*5))^2/2)+(((0.15*B1994*5))^3/6)+(((0.15*B1994*5))^4/24)+(((0.15*B1994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1970*(1-MIN(100,(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1970*(MIN(100,(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1970*(1-MIN(100,(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1970*(MIN(100,(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70">
        <f>IF(C1970,(H1970*N1970*IF(AND(Inputs!$B$39&lt;&gt;"pvp",Inputs!$B$44&gt;0),((Skills!G7*((R1970-1)*IF(Skills!H7&gt;0,INT(Skills!I7/Skills!H7+0.000000001),1)+IF(Skills!H7&gt;0,INT(MIN(Skills!I7,MAX(0,MAX(0,Inputs!$B$44-B1999)-((R1970-1)*IF(Inputs!$B$39="pvp",15,MAX(0.1,Skills!D7-IF(TRUE=TRUE,Inputs!$B$33,0))))))/Skills!H7+0.000000001),1)))/Inputs!$B$44),G1970*Q1970))*IF(Inputs!$B$39="pvp",1,(1+(Inputs!$B$22+Skills!Q7+((C1980=TRUE)*F1980*IF(AND(Inputs!$B$39&lt;&gt;"pvp",Inputs!$B$44&gt;0),(((R1980-1)*MIN((Skills!T17*(1+Inputs!$B$35/100)),(1/Q1980))+MIN((Skills!T17*(1+Inputs!$B$35/100)),MAX(0,Inputs!$B$44-((R1980-1)*(1/Q1980)))))/Inputs!$B$44),IF(Inputs!$B$39="pvp",MIN((Skills!T17*(1+Inputs!$B$35/100)),15)/15,MIN(1,(Skills!T17*(1+Inputs!$B$35/100))/(1/Q1980)))))+((C1968=TRUE)*IF(Inputs!$B$3&gt;=126,10*MIN(1,15*Q1968),0))+((C1977=TRUE)*IF(Inputs!$B$39="pvp",20,(1-Summary!$B$11)*(20)+Summary!$B$11*(0))*IF(AND(Inputs!$B$39&lt;&gt;"pvp",Inputs!$B$44&gt;0),(((R1977-1)*MIN((Skills!T14*(1+Inputs!$B$35/100)),(1/Q1977))+MIN((Skills!T14*(1+Inputs!$B$35/100)),MAX(0,Inputs!$B$44-((R1977-1)*(1/Q1977)))))/Inputs!$B$44),IF(Inputs!$B$39="pvp",MIN((Skills!T14*(1+Inputs!$B$35/100)),15)/15,MIN(1,(Skills!T14*(1+Inputs!$B$35/100))/(1/Q1977)))))+((C1976=TRUE)*IF(Inputs!$B$3&gt;=82,IF(Inputs!$B$39="pvp",20,(1-Summary!$B$11)*(20)+Summary!$B$11*(0)),0)*IF(AND(Inputs!$B$39&lt;&gt;"pvp",Inputs!$B$44&gt;0),(((R1976-1)*MIN((Skills!T13*(1+Inputs!$B$35/100)),(1/Q1976))+MIN((Skills!T13*(1+Inputs!$B$35/100)),MAX(0,Inputs!$B$44-((R1976-1)*(1/Q1976)))))/Inputs!$B$44),IF(Inputs!$B$39="pvp",MIN((Skills!T13*(1+Inputs!$B$35/100)),15)/15,MIN(1,(Skills!T13*(1+Inputs!$B$35/100))/(1/Q1976)))))+(IF(AND(ArtifactsInput!$M$35,Inputs!$B$4&lt;&gt;"Chapter Hunt"),CHOOSE(ArtifactsInput!$N$35+1,15,18,21,24,27,30)*(1-EXP(-(0.2*B1994)*5)),0)+IF(AND(ArtifactsInput!$M$22,Inputs!$B$4&lt;&gt;"Chapter Hunt"),CHOOSE(ArtifactsInput!$N$22+1,10,12,14,16,18,20)*((0*(((0.15*B1994*5))^0/1)+1*(((0.15*B1994*5))^1/1)+2*(((0.15*B1994*5))^2/2)+3*(((0.15*B1994*5))^3/6)+4*(((0.15*B1994*5))^4/24)+5*(((0.15*B1994*5))^5/120))/((((0.15*B1994*5))^0/1)+(((0.15*B1994*5))^1/1)+(((0.15*B1994*5))^2/2)+(((0.15*B1994*5))^3/6)+(((0.15*B1994*5))^4/24)+(((0.15*B1994*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71">
      <c r="A1971">
        <f>Skills!A8</f>
        <v/>
      </c>
      <c r="B1971">
        <f>Skills!B8</f>
        <v/>
      </c>
      <c r="C1971">
        <f>Inputs!$B$3&gt;=75</f>
        <v/>
      </c>
      <c r="D1971">
        <f>IF(Skills!C8=1,60+Inputs!$B$26+Inputs!$B$30,IF(Skills!C8=2,90+Inputs!$B$27+Inputs!$B$30,IF(Skills!C8=3,120+Inputs!$B$28+Inputs!$B$30,MAX(0,(Inputs!$B$3-100)*3)+Inputs!$B$29+Inputs!$B$30)))</f>
        <v/>
      </c>
      <c r="E1971">
        <f>INDEX(FactorTable!$B$2:$Y$301, MATCH(ROUND(MIN(300,MAX(1,D1971)),0), FactorTable!$A$2:$A$301,0), Skills!M8+1)</f>
        <v/>
      </c>
      <c r="F1971">
        <f>IF(Skills!N8=TRUE,(Skills!L8/10)*(E1971/1000),Skills!L8/10)+Skills!O8</f>
        <v/>
      </c>
      <c r="G1971" t="inlineStr"/>
      <c r="H1971" t="inlineStr"/>
      <c r="I1971" t="inlineStr">
        <is>
          <t>1</t>
        </is>
      </c>
      <c r="J1971" t="inlineStr"/>
      <c r="K1971" t="inlineStr"/>
      <c r="L1971" t="inlineStr"/>
      <c r="M1971" t="inlineStr"/>
      <c r="N1971" t="inlineStr"/>
      <c r="O1971" t="inlineStr"/>
      <c r="P1971" t="inlineStr"/>
      <c r="Q1971" t="inlineStr"/>
      <c r="R1971" t="inlineStr"/>
      <c r="S1971" t="inlineStr"/>
    </row>
    <row r="1972">
      <c r="A1972">
        <f>Skills!A9</f>
        <v/>
      </c>
      <c r="B1972">
        <f>Skills!B9</f>
        <v/>
      </c>
      <c r="C1972">
        <f>Inputs!$B$3&gt;=60</f>
        <v/>
      </c>
      <c r="D1972">
        <f>IF(Skills!C9=1,60+Inputs!$B$26+Inputs!$B$30,IF(Skills!C9=2,90+Inputs!$B$27+Inputs!$B$30,IF(Skills!C9=3,120+Inputs!$B$28+Inputs!$B$30,MAX(0,(Inputs!$B$3-100)*3)+Inputs!$B$29+Inputs!$B$30)))</f>
        <v/>
      </c>
      <c r="E1972">
        <f>INDEX(FactorTable!$B$2:$Y$301, MATCH(ROUND(MIN(300,MAX(1,D1972)),0), FactorTable!$A$2:$A$301,0), Skills!M9+1)</f>
        <v/>
      </c>
      <c r="F1972">
        <f>IF(Skills!N9=TRUE,(Skills!L9/10)*(E1972/1000),Skills!L9/10)+Skills!O9</f>
        <v/>
      </c>
      <c r="G1972">
        <f>Skills!G9*IF(Skills!H9&gt;0,INT(IF(Inputs!$B$39="pvp",MIN(Skills!I9,15),Skills!I9)/Skills!H9+0.000000001),1)</f>
        <v/>
      </c>
      <c r="H1972">
        <f>1-(1-Skills!J9/100)^Skills!K9</f>
        <v/>
      </c>
      <c r="I1972" t="inlineStr">
        <is>
          <t>1</t>
        </is>
      </c>
      <c r="J1972">
        <f>((Inputs!$B$6*(1+Inputs!$B$7/100))+(((Inputs!$B$13*(1+Inputs!$B$14/100))-(Inputs!$B$13*(1+Inputs!$B$14/100)))+0.25*(Inputs!$B$15-Inputs!$B$15))*(1+Inputs!$B$7/100))*(F1972/100)</f>
        <v/>
      </c>
      <c r="K1972">
        <f>J1972*(1+(((Inputs!$B$13+IF(Inputs!$B$3&gt;=38,(10*INDEX(FactorTable!$B$2:$Y$301, MATCH(ROUND(MIN(300,MAX(1,Inputs!$B$3)),0), FactorTable!$A$2:$A$301,0), 23)/1000)/100*(Inputs!$B$8*(1+Inputs!$B$9/100)),0))*(1+Inputs!$B$14/100))*0.01+Inputs!$B$15*0.0025)/100)*(1+Inputs!$B$16/100)*(1+Inputs!$B$17/100)*(5000/(6000+Inputs!$B$43*(1-(Inputs!$B$20+0)/100)))*(1+(Inputs!$B$25+((C1988=TRUE)*(F1988-Calc!F25))+((C1989=TRUE)*(F1989-Calc!F26))+B1998)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1974=TRUE,F1974,0)/100)*(1+(IF(Skills!A9="DARK_IMPALE",Inputs!$B$18+0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gt;=100),MIN(100,((Inputs!$B$10+0+B1992+(IF(ArtifactsInput!$M$24,FALSE,TRUE)-ArtifactsInput!$M$24)*CHOOSE(ArtifactsInput!$N$24+1,10,12,14,16,18,20)+IF(ArtifactsInput!$M$10,CHOOSE(ArtifactsInput!$N$10+1,15,18,21,24,27,30)*(IF(Inputs!$B$39="pvp",MIN(15,15)/15,IF(AND(Inputs!$B$39&lt;&gt;"pvp",Inputs!$B$44&gt;0),MIN(15,Inputs!$B$44)/(Inputs!$B$44),0))),0)))-100),0))*CHOOSE(ArtifactsInput!$N$42+1,0.6,0.72,0.84,0.96,1.08,1.2))),Inputs!$B$19+((C1986=TRUE)*(F1986-Calc!F23))+(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gt;=100),CHOOSE(ArtifactsInput!$N$42+1,40,48,56,64,72,80),0))))/100)*((1+(((C1976=TRUE)*F1976*IF(AND(Inputs!$B$39&lt;&gt;"pvp",Inputs!$B$44&gt;0),(((R1976-1)*MIN((Skills!T13*(1+Inputs!$B$35/100)),(1/Q1976))+MIN((Skills!T13*(1+Inputs!$B$35/100)),MAX(0,Inputs!$B$44-((R1976-1)*(1/Q1976)))))/Inputs!$B$44),IF(Inputs!$B$39="pvp",MIN((Skills!T13*(1+Inputs!$B$35/100)),15)/15,MIN(1,(Skills!T13*(1+Inputs!$B$35/100))/(1/Q1976)))))+((C1977=TRUE)*F1977*IF(AND(Inputs!$B$39&lt;&gt;"pvp",Inputs!$B$44&gt;0),(((R1977-1)*MIN((Skills!T14*(1+Inputs!$B$35/100)),(1/Q1977))+MIN((Skills!T14*(1+Inputs!$B$35/100)),MAX(0,Inputs!$B$44-((R1977-1)*(1/Q1977)))))/Inputs!$B$44),IF(Inputs!$B$39="pvp",MIN((Skills!T14*(1+Inputs!$B$35/100)),15)/15,MIN(1,(Skills!T14*(1+Inputs!$B$35/100))/(1/Q1977)))))+((C1978=TRUE)*F1978*IF(AND(Inputs!$B$39&lt;&gt;"pvp",Inputs!$B$44&gt;0),(((R1978-1)*MIN((Skills!T15*(1+Inputs!$B$35/100)),(1/Q1978))+MIN((Skills!T15*(1+Inputs!$B$35/100)),MAX(0,Inputs!$B$44-((R1978-1)*(1/Q1978)))))/Inputs!$B$44),IF(Inputs!$B$39="pvp",MIN((Skills!T15*(1+Inputs!$B$35/100)),15)/15,MIN(1,(Skills!T15*(1+Inputs!$B$35/100))/(1/Q1978)))))+((C1979=TRUE)*F1979*IF(AND(Inputs!$B$39&lt;&gt;"pvp",Inputs!$B$44&gt;0),(((R1979-1)*MIN((Skills!T16*(1+Inputs!$B$35/100)),(1/Q1979))+MIN((Skills!T16*(1+Inputs!$B$35/100)),MAX(0,Inputs!$B$44-((R1979-1)*(1/Q1979)))))/Inputs!$B$44),IF(Inputs!$B$39="pvp",MIN((Skills!T16*(1+Inputs!$B$35/100)),15)/15,MIN(1,(Skills!T16*(1+Inputs!$B$35/100))/(1/Q1979)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1972)</f>
        <v/>
      </c>
      <c r="L1972">
        <f>K1972*(MIN(Inputs!$B$23+((C1985=TRUE)*(F1985-Calc!F22)),(Inputs!$B$24+((C1987=TRUE)*(F1987-Calc!F24))+(IF(ArtifactsInput!$M$15,CHOOSE(ArtifactsInput!$N$15+1,25,30,35,40,45,50)/100*(Inputs!$B$12-Inputs!$B$12),0))))/100+(Inputs!$B$24+((C1987=TRUE)*(F1987-Calc!F24))+(IF(ArtifactsInput!$M$15,CHOOSE(ArtifactsInput!$N$15+1,25,30,35,40,45,50)/100*(Inputs!$B$12-Inputs!$B$12),0)))/100)/2</f>
        <v/>
      </c>
      <c r="M1972">
        <f>L1972*(1+(Inputs!$B$11+0+B1997+((IF(IF(ArtifactsInput!$M$24,FALSE,TRUE),1,-1)*CHOOSE(ArtifactsInput!$N$24+1,30,36,42,48,54,60)/100*IF(IF(ArtifactsInput!$M$24,FALSE,TRUE),(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nputs!$B$10+Summary!$B$14+Artifacts!$B$5+Artifacts!$B$29)))+IF(ArtifactsInput!$M$10,CHOOSE(ArtifactsInput!$N$10+1,20,24,28,32,36,40)*(IF(Inputs!$B$39="pvp",MIN(15,15)/15,IF(AND(Inputs!$B$39&lt;&gt;"pvp",Inputs!$B$44&gt;0),MIN(15,Inputs!$B$44)/(Inputs!$B$44),0))),0)+IF(ArtifactsInput!$M$31,1.5*CHOOSE(ArtifactsInput!$N$31+1,20,24,28,32,36,40),0)))/100)</f>
        <v/>
      </c>
      <c r="N1972">
        <f>L1972*(1-MIN((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1972*(MIN((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72">
        <f>(1-Summary!$B$11)*T1972+Summary!$B$11*V1972</f>
        <v/>
      </c>
      <c r="P1972">
        <f>IF(B2002=0,0,O1972/B2002)</f>
        <v/>
      </c>
      <c r="Q1972">
        <f>IFERROR(1/IF(Inputs!$B$39="pvp",15,MAX(0.1,Skills!D9-IF(TRUE=TRUE,Inputs!$B$33,0))),0)</f>
        <v/>
      </c>
      <c r="R1972">
        <f>IF(AND(Inputs!$B$39&lt;&gt;"pvp",Inputs!$B$44&gt;0),IF(MAX(0,Inputs!$B$44-B1999)&lt;=0,0,(INT(MAX(0,Inputs!$B$44-B1999)/IF(Inputs!$B$39="pvp",15,MAX(0.1,Skills!D9-IF(TRUE=TRUE,Inputs!$B$33,0))))+1)),0)</f>
        <v/>
      </c>
      <c r="S1972">
        <f>IFERROR(O1972/N1972,0)</f>
        <v/>
      </c>
      <c r="T1972">
        <f>IF(C1972,(H1972*N1972*IF(AND(Inputs!$B$39&lt;&gt;"pvp",Inputs!$B$44&gt;0),((Skills!G9*((R1972-1)*IF(Skills!H9&gt;0,INT(Skills!I9/Skills!H9+0.000000001),1)+IF(Skills!H9&gt;0,INT(MIN(Skills!I9,MAX(0,MAX(0,Inputs!$B$44-B1999)-((R1972-1)*IF(Inputs!$B$39="pvp",15,MAX(0.1,Skills!D9-IF(TRUE=TRUE,Inputs!$B$33,0))))))/Skills!H9+0.000000001),1)))/Inputs!$B$44),G1972*Q1972))*IF(Inputs!$B$39="pvp",1,1+(Inputs!$B$21+0+Skills!P9+((C1980=TRUE)*F1980*IF(AND(Inputs!$B$39&lt;&gt;"pvp",Inputs!$B$44&gt;0),(((R1980-1)*MIN((Skills!T17*(1+Inputs!$B$35/100)),(1/Q1980))+MIN((Skills!T17*(1+Inputs!$B$35/100)),MAX(0,Inputs!$B$44-((R1980-1)*(1/Q1980)))))/Inputs!$B$44),IF(Inputs!$B$39="pvp",MIN((Skills!T17*(1+Inputs!$B$35/100)),15)/15,MIN(1,(Skills!T17*(1+Inputs!$B$35/100))/(1/Q1980)))))+((C1968=TRUE)*IF(Inputs!$B$3&gt;=126,10*MIN(1,15*Q1968),0))+((C1977=TRUE)*IF(Inputs!$B$39="pvp",20,(1-Summary!$B$11)*(20)+Summary!$B$11*(0))*IF(AND(Inputs!$B$39&lt;&gt;"pvp",Inputs!$B$44&gt;0),(((R1977-1)*MIN((Skills!T14*(1+Inputs!$B$35/100)),(1/Q1977))+MIN((Skills!T14*(1+Inputs!$B$35/100)),MAX(0,Inputs!$B$44-((R1977-1)*(1/Q1977)))))/Inputs!$B$44),IF(Inputs!$B$39="pvp",MIN((Skills!T14*(1+Inputs!$B$35/100)),15)/15,MIN(1,(Skills!T14*(1+Inputs!$B$35/100))/(1/Q1977)))))+((C1976=TRUE)*IF(Inputs!$B$3&gt;=82,IF(Inputs!$B$39="pvp",20,(1-Summary!$B$11)*(20)+Summary!$B$11*(0)),0)*IF(AND(Inputs!$B$39&lt;&gt;"pvp",Inputs!$B$44&gt;0),(((R1976-1)*MIN((Skills!T13*(1+Inputs!$B$35/100)),(1/Q1976))+MIN((Skills!T13*(1+Inputs!$B$35/100)),MAX(0,Inputs!$B$44-((R1976-1)*(1/Q1976)))))/Inputs!$B$44),IF(Inputs!$B$39="pvp",MIN((Skills!T13*(1+Inputs!$B$35/100)),15)/15,MIN(1,(Skills!T13*(1+Inputs!$B$35/100))/(1/Q1976)))))+(IF(AND(ArtifactsInput!$M$35,Inputs!$B$4&lt;&gt;"Chapter Hunt"),CHOOSE(ArtifactsInput!$N$35+1,15,18,21,24,27,30)*(1-EXP(-(0.2*B1994)*5)),0)+IF(AND(ArtifactsInput!$M$22,Inputs!$B$4&lt;&gt;"Chapter Hunt"),CHOOSE(ArtifactsInput!$N$22+1,10,12,14,16,18,20)*((0*(((0.15*B1994*5))^0/1)+1*(((0.15*B1994*5))^1/1)+2*(((0.15*B1994*5))^2/2)+3*(((0.15*B1994*5))^3/6)+4*(((0.15*B1994*5))^4/24)+5*(((0.15*B1994*5))^5/120))/((((0.15*B1994*5))^0/1)+(((0.15*B1994*5))^1/1)+(((0.15*B1994*5))^2/2)+(((0.15*B1994*5))^3/6)+(((0.15*B1994*5))^4/24)+(((0.15*B1994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1972*(1-MIN(100,(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1972*(MIN(100,(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1972*(1-MIN(100,(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1972*(MIN(100,(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72">
        <f>IF(C1972,(H1972*N1972*IF(AND(Inputs!$B$39&lt;&gt;"pvp",Inputs!$B$44&gt;0),((Skills!G9*((R1972-1)*IF(Skills!H9&gt;0,INT(Skills!I9/Skills!H9+0.000000001),1)+IF(Skills!H9&gt;0,INT(MIN(Skills!I9,MAX(0,MAX(0,Inputs!$B$44-B1999)-((R1972-1)*IF(Inputs!$B$39="pvp",15,MAX(0.1,Skills!D9-IF(TRUE=TRUE,Inputs!$B$33,0))))))/Skills!H9+0.000000001),1)))/Inputs!$B$44),G1972*Q1972))*IF(Inputs!$B$39="pvp",1,(1+(Inputs!$B$22+Skills!Q9+((C1980=TRUE)*F1980*IF(AND(Inputs!$B$39&lt;&gt;"pvp",Inputs!$B$44&gt;0),(((R1980-1)*MIN((Skills!T17*(1+Inputs!$B$35/100)),(1/Q1980))+MIN((Skills!T17*(1+Inputs!$B$35/100)),MAX(0,Inputs!$B$44-((R1980-1)*(1/Q1980)))))/Inputs!$B$44),IF(Inputs!$B$39="pvp",MIN((Skills!T17*(1+Inputs!$B$35/100)),15)/15,MIN(1,(Skills!T17*(1+Inputs!$B$35/100))/(1/Q1980)))))+((C1968=TRUE)*IF(Inputs!$B$3&gt;=126,10*MIN(1,15*Q1968),0))+((C1977=TRUE)*IF(Inputs!$B$39="pvp",20,(1-Summary!$B$11)*(20)+Summary!$B$11*(0))*IF(AND(Inputs!$B$39&lt;&gt;"pvp",Inputs!$B$44&gt;0),(((R1977-1)*MIN((Skills!T14*(1+Inputs!$B$35/100)),(1/Q1977))+MIN((Skills!T14*(1+Inputs!$B$35/100)),MAX(0,Inputs!$B$44-((R1977-1)*(1/Q1977)))))/Inputs!$B$44),IF(Inputs!$B$39="pvp",MIN((Skills!T14*(1+Inputs!$B$35/100)),15)/15,MIN(1,(Skills!T14*(1+Inputs!$B$35/100))/(1/Q1977)))))+((C1976=TRUE)*IF(Inputs!$B$3&gt;=82,IF(Inputs!$B$39="pvp",20,(1-Summary!$B$11)*(20)+Summary!$B$11*(0)),0)*IF(AND(Inputs!$B$39&lt;&gt;"pvp",Inputs!$B$44&gt;0),(((R1976-1)*MIN((Skills!T13*(1+Inputs!$B$35/100)),(1/Q1976))+MIN((Skills!T13*(1+Inputs!$B$35/100)),MAX(0,Inputs!$B$44-((R1976-1)*(1/Q1976)))))/Inputs!$B$44),IF(Inputs!$B$39="pvp",MIN((Skills!T13*(1+Inputs!$B$35/100)),15)/15,MIN(1,(Skills!T13*(1+Inputs!$B$35/100))/(1/Q1976)))))+(IF(AND(ArtifactsInput!$M$35,Inputs!$B$4&lt;&gt;"Chapter Hunt"),CHOOSE(ArtifactsInput!$N$35+1,15,18,21,24,27,30)*(1-EXP(-(0.2*B1994)*5)),0)+IF(AND(ArtifactsInput!$M$22,Inputs!$B$4&lt;&gt;"Chapter Hunt"),CHOOSE(ArtifactsInput!$N$22+1,10,12,14,16,18,20)*((0*(((0.15*B1994*5))^0/1)+1*(((0.15*B1994*5))^1/1)+2*(((0.15*B1994*5))^2/2)+3*(((0.15*B1994*5))^3/6)+4*(((0.15*B1994*5))^4/24)+5*(((0.15*B1994*5))^5/120))/((((0.15*B1994*5))^0/1)+(((0.15*B1994*5))^1/1)+(((0.15*B1994*5))^2/2)+(((0.15*B1994*5))^3/6)+(((0.15*B1994*5))^4/24)+(((0.15*B1994*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73">
      <c r="A1973">
        <f>Skills!A10</f>
        <v/>
      </c>
      <c r="B1973">
        <f>Skills!B10</f>
        <v/>
      </c>
      <c r="C1973">
        <f>Inputs!$B$3&gt;=110</f>
        <v/>
      </c>
      <c r="D1973">
        <f>IF(Skills!C10=1,60+Inputs!$B$26+Inputs!$B$30,IF(Skills!C10=2,90+Inputs!$B$27+Inputs!$B$30,IF(Skills!C10=3,120+Inputs!$B$28+Inputs!$B$30,MAX(0,(Inputs!$B$3-100)*3)+Inputs!$B$29+Inputs!$B$30)))</f>
        <v/>
      </c>
      <c r="E1973">
        <f>INDEX(FactorTable!$B$2:$Y$301, MATCH(ROUND(MIN(300,MAX(1,D1973)),0), FactorTable!$A$2:$A$301,0), Skills!M10+1)</f>
        <v/>
      </c>
      <c r="F1973">
        <f>IF(Skills!N10=TRUE,(Skills!L10/10)*(E1973/1000),Skills!L10/10)+Skills!O10</f>
        <v/>
      </c>
      <c r="G1973">
        <f>Skills!G10*IF(Skills!H10&gt;0,INT(IF(Inputs!$B$39="pvp",MIN(Skills!I10,15),Skills!I10)/Skills!H10+0.000000001),1)</f>
        <v/>
      </c>
      <c r="H1973">
        <f>1-(1-Skills!J10/100)^Skills!K10</f>
        <v/>
      </c>
      <c r="I1973" t="inlineStr">
        <is>
          <t>1</t>
        </is>
      </c>
      <c r="J1973">
        <f>((Inputs!$B$6*(1+Inputs!$B$7/100))+(((Inputs!$B$13*(1+Inputs!$B$14/100))-(Inputs!$B$13*(1+Inputs!$B$14/100)))+0.25*(Inputs!$B$15-Inputs!$B$15))*(1+Inputs!$B$7/100))*(F1973/100)</f>
        <v/>
      </c>
      <c r="K1973">
        <f>J1973*(1+(((Inputs!$B$13+IF(Inputs!$B$3&gt;=38,(10*INDEX(FactorTable!$B$2:$Y$301, MATCH(ROUND(MIN(300,MAX(1,Inputs!$B$3)),0), FactorTable!$A$2:$A$301,0), 23)/1000)/100*(Inputs!$B$8*(1+Inputs!$B$9/100)),0))*(1+Inputs!$B$14/100))*0.01+Inputs!$B$15*0.0025)/100)*(1+Inputs!$B$16/100)*(1+Inputs!$B$17/100)*(5000/(6000+Inputs!$B$43*(1-(Inputs!$B$20+0)/100)))*(1+(Inputs!$B$25+((C1988=TRUE)*(F1988-Calc!F25))+((C1989=TRUE)*(F1989-Calc!F26))+B1998)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gt;=100),MIN(100,((Inputs!$B$10+0+B1992+(IF(ArtifactsInput!$M$24,FALSE,TRUE)-ArtifactsInput!$M$24)*CHOOSE(ArtifactsInput!$N$24+1,10,12,14,16,18,20)+IF(ArtifactsInput!$M$10,CHOOSE(ArtifactsInput!$N$10+1,15,18,21,24,27,30)*(IF(Inputs!$B$39="pvp",MIN(15,15)/15,IF(AND(Inputs!$B$39&lt;&gt;"pvp",Inputs!$B$44&gt;0),MIN(15,Inputs!$B$44)/(Inputs!$B$44),0))),0)))-100),0))*CHOOSE(ArtifactsInput!$N$42+1,0.6,0.72,0.84,0.96,1.08,1.2))),Inputs!$B$19+((C1986=TRUE)*(F1986-Calc!F23))+(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gt;=100),CHOOSE(ArtifactsInput!$N$42+1,40,48,56,64,72,80),0))))/100)*((1+(((C1976=TRUE)*F1976*IF(AND(Inputs!$B$39&lt;&gt;"pvp",Inputs!$B$44&gt;0),(((R1976-1)*MIN((Skills!T13*(1+Inputs!$B$35/100)),(1/Q1976))+MIN((Skills!T13*(1+Inputs!$B$35/100)),MAX(0,Inputs!$B$44-((R1976-1)*(1/Q1976)))))/Inputs!$B$44),IF(Inputs!$B$39="pvp",MIN((Skills!T13*(1+Inputs!$B$35/100)),15)/15,MIN(1,(Skills!T13*(1+Inputs!$B$35/100))/(1/Q1976)))))+((C1977=TRUE)*F1977*IF(AND(Inputs!$B$39&lt;&gt;"pvp",Inputs!$B$44&gt;0),(((R1977-1)*MIN((Skills!T14*(1+Inputs!$B$35/100)),(1/Q1977))+MIN((Skills!T14*(1+Inputs!$B$35/100)),MAX(0,Inputs!$B$44-((R1977-1)*(1/Q1977)))))/Inputs!$B$44),IF(Inputs!$B$39="pvp",MIN((Skills!T14*(1+Inputs!$B$35/100)),15)/15,MIN(1,(Skills!T14*(1+Inputs!$B$35/100))/(1/Q1977)))))+((C1978=TRUE)*F1978*IF(AND(Inputs!$B$39&lt;&gt;"pvp",Inputs!$B$44&gt;0),(((R1978-1)*MIN((Skills!T15*(1+Inputs!$B$35/100)),(1/Q1978))+MIN((Skills!T15*(1+Inputs!$B$35/100)),MAX(0,Inputs!$B$44-((R1978-1)*(1/Q1978)))))/Inputs!$B$44),IF(Inputs!$B$39="pvp",MIN((Skills!T15*(1+Inputs!$B$35/100)),15)/15,MIN(1,(Skills!T15*(1+Inputs!$B$35/100))/(1/Q1978)))))+((C1979=TRUE)*F1979*IF(AND(Inputs!$B$39&lt;&gt;"pvp",Inputs!$B$44&gt;0),(((R1979-1)*MIN((Skills!T16*(1+Inputs!$B$35/100)),(1/Q1979))+MIN((Skills!T16*(1+Inputs!$B$35/100)),MAX(0,Inputs!$B$44-((R1979-1)*(1/Q1979)))))/Inputs!$B$44),IF(Inputs!$B$39="pvp",MIN((Skills!T16*(1+Inputs!$B$35/100)),15)/15,MIN(1,(Skills!T16*(1+Inputs!$B$35/100))/(1/Q1979)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1973)</f>
        <v/>
      </c>
      <c r="L1973">
        <f>K1973*(MIN(Inputs!$B$23+((C1985=TRUE)*(F1985-Calc!F22)),(Inputs!$B$24+((C1987=TRUE)*(F1987-Calc!F24))+(IF(ArtifactsInput!$M$15,CHOOSE(ArtifactsInput!$N$15+1,25,30,35,40,45,50)/100*(Inputs!$B$12-Inputs!$B$12),0))))/100+(Inputs!$B$24+((C1987=TRUE)*(F1987-Calc!F24))+(IF(ArtifactsInput!$M$15,CHOOSE(ArtifactsInput!$N$15+1,25,30,35,40,45,50)/100*(Inputs!$B$12-Inputs!$B$12),0)))/100)/2</f>
        <v/>
      </c>
      <c r="M1973">
        <f>L1973*(1+(Inputs!$B$11+0+B1997+((IF(IF(ArtifactsInput!$M$24,FALSE,TRUE),1,-1)*CHOOSE(ArtifactsInput!$N$24+1,30,36,42,48,54,60)/100*IF(IF(ArtifactsInput!$M$24,FALSE,TRUE),(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nputs!$B$10+Summary!$B$14+Artifacts!$B$5+Artifacts!$B$29)))+IF(ArtifactsInput!$M$10,CHOOSE(ArtifactsInput!$N$10+1,20,24,28,32,36,40)*(IF(Inputs!$B$39="pvp",MIN(15,15)/15,IF(AND(Inputs!$B$39&lt;&gt;"pvp",Inputs!$B$44&gt;0),MIN(15,Inputs!$B$44)/(Inputs!$B$44),0))),0)+IF(ArtifactsInput!$M$31,1.5*CHOOSE(ArtifactsInput!$N$31+1,20,24,28,32,36,40),0)))/100)</f>
        <v/>
      </c>
      <c r="N1973">
        <f>L1973*(1-MIN((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1973*(MIN((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73">
        <f>(1-Summary!$B$11)*T1973+Summary!$B$11*V1973</f>
        <v/>
      </c>
      <c r="P1973">
        <f>IF(B2002=0,0,O1973/B2002)</f>
        <v/>
      </c>
      <c r="Q1973">
        <f>IFERROR(1/IF(Inputs!$B$39="pvp",15,MAX(0.1,Skills!D10-IF(TRUE=TRUE,Inputs!$B$33,0))),0)</f>
        <v/>
      </c>
      <c r="R1973">
        <f>IF(AND(Inputs!$B$39&lt;&gt;"pvp",Inputs!$B$44&gt;0),IF(MAX(0,Inputs!$B$44-B1999)&lt;=0,0,(INT(MAX(0,Inputs!$B$44-B1999)/IF(Inputs!$B$39="pvp",15,MAX(0.1,Skills!D10-IF(TRUE=TRUE,Inputs!$B$33,0))))+1)),0)</f>
        <v/>
      </c>
      <c r="S1973">
        <f>IFERROR(O1973/N1973,0)</f>
        <v/>
      </c>
      <c r="T1973">
        <f>IF(C1973,(H1973*N1973*IF(AND(Inputs!$B$39&lt;&gt;"pvp",Inputs!$B$44&gt;0),((Skills!G10*((R1973-1)*IF(Skills!H10&gt;0,INT(Skills!I10/Skills!H10+0.000000001),1)+IF(Skills!H10&gt;0,INT(MIN(Skills!I10,MAX(0,MAX(0,Inputs!$B$44-B1999)-((R1973-1)*IF(Inputs!$B$39="pvp",15,MAX(0.1,Skills!D10-IF(TRUE=TRUE,Inputs!$B$33,0))))))/Skills!H10+0.000000001),1)))/Inputs!$B$44),G1973*Q1973))*IF(Inputs!$B$39="pvp",1,1+(Inputs!$B$21+0+Skills!P10+((C1980=TRUE)*F1980*IF(AND(Inputs!$B$39&lt;&gt;"pvp",Inputs!$B$44&gt;0),(((R1980-1)*MIN((Skills!T17*(1+Inputs!$B$35/100)),(1/Q1980))+MIN((Skills!T17*(1+Inputs!$B$35/100)),MAX(0,Inputs!$B$44-((R1980-1)*(1/Q1980)))))/Inputs!$B$44),IF(Inputs!$B$39="pvp",MIN((Skills!T17*(1+Inputs!$B$35/100)),15)/15,MIN(1,(Skills!T17*(1+Inputs!$B$35/100))/(1/Q1980)))))+((C1968=TRUE)*IF(Inputs!$B$3&gt;=126,10*MIN(1,15*Q1968),0))+((C1977=TRUE)*IF(Inputs!$B$39="pvp",20,(1-Summary!$B$11)*(20)+Summary!$B$11*(0))*IF(AND(Inputs!$B$39&lt;&gt;"pvp",Inputs!$B$44&gt;0),(((R1977-1)*MIN((Skills!T14*(1+Inputs!$B$35/100)),(1/Q1977))+MIN((Skills!T14*(1+Inputs!$B$35/100)),MAX(0,Inputs!$B$44-((R1977-1)*(1/Q1977)))))/Inputs!$B$44),IF(Inputs!$B$39="pvp",MIN((Skills!T14*(1+Inputs!$B$35/100)),15)/15,MIN(1,(Skills!T14*(1+Inputs!$B$35/100))/(1/Q1977)))))+((C1976=TRUE)*IF(Inputs!$B$3&gt;=82,IF(Inputs!$B$39="pvp",20,(1-Summary!$B$11)*(20)+Summary!$B$11*(0)),0)*IF(AND(Inputs!$B$39&lt;&gt;"pvp",Inputs!$B$44&gt;0),(((R1976-1)*MIN((Skills!T13*(1+Inputs!$B$35/100)),(1/Q1976))+MIN((Skills!T13*(1+Inputs!$B$35/100)),MAX(0,Inputs!$B$44-((R1976-1)*(1/Q1976)))))/Inputs!$B$44),IF(Inputs!$B$39="pvp",MIN((Skills!T13*(1+Inputs!$B$35/100)),15)/15,MIN(1,(Skills!T13*(1+Inputs!$B$35/100))/(1/Q1976)))))+(IF(AND(ArtifactsInput!$M$35,Inputs!$B$4&lt;&gt;"Chapter Hunt"),CHOOSE(ArtifactsInput!$N$35+1,15,18,21,24,27,30)*(1-EXP(-(0.2*B1994)*5)),0)+IF(AND(ArtifactsInput!$M$22,Inputs!$B$4&lt;&gt;"Chapter Hunt"),CHOOSE(ArtifactsInput!$N$22+1,10,12,14,16,18,20)*((0*(((0.15*B1994*5))^0/1)+1*(((0.15*B1994*5))^1/1)+2*(((0.15*B1994*5))^2/2)+3*(((0.15*B1994*5))^3/6)+4*(((0.15*B1994*5))^4/24)+5*(((0.15*B1994*5))^5/120))/((((0.15*B1994*5))^0/1)+(((0.15*B1994*5))^1/1)+(((0.15*B1994*5))^2/2)+(((0.15*B1994*5))^3/6)+(((0.15*B1994*5))^4/24)+(((0.15*B1994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1973*(1-MIN(100,(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1973*(MIN(100,(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1973*(1-MIN(100,(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1973*(MIN(100,(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73">
        <f>IF(C1973,(H1973*N1973*IF(AND(Inputs!$B$39&lt;&gt;"pvp",Inputs!$B$44&gt;0),((Skills!G10*((R1973-1)*IF(Skills!H10&gt;0,INT(Skills!I10/Skills!H10+0.000000001),1)+IF(Skills!H10&gt;0,INT(MIN(Skills!I10,MAX(0,MAX(0,Inputs!$B$44-B1999)-((R1973-1)*IF(Inputs!$B$39="pvp",15,MAX(0.1,Skills!D10-IF(TRUE=TRUE,Inputs!$B$33,0))))))/Skills!H10+0.000000001),1)))/Inputs!$B$44),G1973*Q1973))*IF(Inputs!$B$39="pvp",1,(1+(Inputs!$B$22+Skills!Q10+((C1980=TRUE)*F1980*IF(AND(Inputs!$B$39&lt;&gt;"pvp",Inputs!$B$44&gt;0),(((R1980-1)*MIN((Skills!T17*(1+Inputs!$B$35/100)),(1/Q1980))+MIN((Skills!T17*(1+Inputs!$B$35/100)),MAX(0,Inputs!$B$44-((R1980-1)*(1/Q1980)))))/Inputs!$B$44),IF(Inputs!$B$39="pvp",MIN((Skills!T17*(1+Inputs!$B$35/100)),15)/15,MIN(1,(Skills!T17*(1+Inputs!$B$35/100))/(1/Q1980)))))+((C1968=TRUE)*IF(Inputs!$B$3&gt;=126,10*MIN(1,15*Q1968),0))+((C1977=TRUE)*IF(Inputs!$B$39="pvp",20,(1-Summary!$B$11)*(20)+Summary!$B$11*(0))*IF(AND(Inputs!$B$39&lt;&gt;"pvp",Inputs!$B$44&gt;0),(((R1977-1)*MIN((Skills!T14*(1+Inputs!$B$35/100)),(1/Q1977))+MIN((Skills!T14*(1+Inputs!$B$35/100)),MAX(0,Inputs!$B$44-((R1977-1)*(1/Q1977)))))/Inputs!$B$44),IF(Inputs!$B$39="pvp",MIN((Skills!T14*(1+Inputs!$B$35/100)),15)/15,MIN(1,(Skills!T14*(1+Inputs!$B$35/100))/(1/Q1977)))))+((C1976=TRUE)*IF(Inputs!$B$3&gt;=82,IF(Inputs!$B$39="pvp",20,(1-Summary!$B$11)*(20)+Summary!$B$11*(0)),0)*IF(AND(Inputs!$B$39&lt;&gt;"pvp",Inputs!$B$44&gt;0),(((R1976-1)*MIN((Skills!T13*(1+Inputs!$B$35/100)),(1/Q1976))+MIN((Skills!T13*(1+Inputs!$B$35/100)),MAX(0,Inputs!$B$44-((R1976-1)*(1/Q1976)))))/Inputs!$B$44),IF(Inputs!$B$39="pvp",MIN((Skills!T13*(1+Inputs!$B$35/100)),15)/15,MIN(1,(Skills!T13*(1+Inputs!$B$35/100))/(1/Q1976)))))+(IF(AND(ArtifactsInput!$M$35,Inputs!$B$4&lt;&gt;"Chapter Hunt"),CHOOSE(ArtifactsInput!$N$35+1,15,18,21,24,27,30)*(1-EXP(-(0.2*B1994)*5)),0)+IF(AND(ArtifactsInput!$M$22,Inputs!$B$4&lt;&gt;"Chapter Hunt"),CHOOSE(ArtifactsInput!$N$22+1,10,12,14,16,18,20)*((0*(((0.15*B1994*5))^0/1)+1*(((0.15*B1994*5))^1/1)+2*(((0.15*B1994*5))^2/2)+3*(((0.15*B1994*5))^3/6)+4*(((0.15*B1994*5))^4/24)+5*(((0.15*B1994*5))^5/120))/((((0.15*B1994*5))^0/1)+(((0.15*B1994*5))^1/1)+(((0.15*B1994*5))^2/2)+(((0.15*B1994*5))^3/6)+(((0.15*B1994*5))^4/24)+(((0.15*B1994*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74">
      <c r="A1974">
        <f>Skills!A11</f>
        <v/>
      </c>
      <c r="B1974">
        <f>Skills!B11</f>
        <v/>
      </c>
      <c r="C1974">
        <f>Inputs!$B$3&gt;=100</f>
        <v/>
      </c>
      <c r="D1974">
        <f>IF(Skills!C11=1,60+Inputs!$B$26+Inputs!$B$30,IF(Skills!C11=2,90+Inputs!$B$27+Inputs!$B$30,IF(Skills!C11=3,120+Inputs!$B$28+Inputs!$B$30,MAX(0,(Inputs!$B$3-100)*3)+Inputs!$B$29+Inputs!$B$30)))</f>
        <v/>
      </c>
      <c r="E1974">
        <f>INDEX(FactorTable!$B$2:$Y$301, MATCH(ROUND(MIN(300,MAX(1,D1974)),0), FactorTable!$A$2:$A$301,0), Skills!M11+1)</f>
        <v/>
      </c>
      <c r="F1974">
        <f>IF(Skills!N11=TRUE,(Skills!L11/10)*(E1974/1000),Skills!L11/10)+Skills!O11</f>
        <v/>
      </c>
      <c r="G1974" t="inlineStr"/>
      <c r="H1974" t="inlineStr"/>
      <c r="I1974" t="inlineStr">
        <is>
          <t>1</t>
        </is>
      </c>
      <c r="J1974" t="inlineStr"/>
      <c r="K1974" t="inlineStr"/>
      <c r="L1974" t="inlineStr"/>
      <c r="M1974" t="inlineStr"/>
      <c r="N1974" t="inlineStr"/>
      <c r="O1974" t="inlineStr"/>
      <c r="P1974" t="inlineStr"/>
      <c r="Q1974" t="inlineStr"/>
      <c r="R1974" t="inlineStr"/>
      <c r="S1974" t="inlineStr"/>
    </row>
    <row r="1975">
      <c r="A1975">
        <f>Skills!A12</f>
        <v/>
      </c>
      <c r="B1975">
        <f>Skills!B12</f>
        <v/>
      </c>
      <c r="C1975">
        <f>Inputs!$B$3&gt;=63</f>
        <v/>
      </c>
      <c r="D1975">
        <f>IF(Skills!C12=1,60+Inputs!$B$26+Inputs!$B$30,IF(Skills!C12=2,90+Inputs!$B$27+Inputs!$B$30,IF(Skills!C12=3,120+Inputs!$B$28+Inputs!$B$30,MAX(0,(Inputs!$B$3-100)*3)+Inputs!$B$29+Inputs!$B$30)))</f>
        <v/>
      </c>
      <c r="E1975">
        <f>INDEX(FactorTable!$B$2:$Y$301, MATCH(ROUND(MIN(300,MAX(1,D1975)),0), FactorTable!$A$2:$A$301,0), Skills!M12+1)</f>
        <v/>
      </c>
      <c r="F1975">
        <f>IF(Skills!N12=TRUE,(Skills!L12/10)*(E1975/1000),Skills!L12/10)+Skills!O12</f>
        <v/>
      </c>
      <c r="G1975">
        <f>Skills!G12*IF(Skills!H12&gt;0,INT(IF(Inputs!$B$39="pvp",MIN(Skills!I12,15),Skills!I12)/Skills!H12+0.000000001),1)</f>
        <v/>
      </c>
      <c r="H1975">
        <f>1-(1-Skills!J12/100)^Skills!K12</f>
        <v/>
      </c>
      <c r="I1975" t="inlineStr">
        <is>
          <t>1</t>
        </is>
      </c>
      <c r="J1975">
        <f>((Inputs!$B$6*(1+Inputs!$B$7/100))+(((Inputs!$B$13*(1+Inputs!$B$14/100))-(Inputs!$B$13*(1+Inputs!$B$14/100)))+0.25*(Inputs!$B$15-Inputs!$B$15))*(1+Inputs!$B$7/100))*(F1975/100)</f>
        <v/>
      </c>
      <c r="K1975">
        <f>J1975*(1+(((Inputs!$B$13+IF(Inputs!$B$3&gt;=38,(10*INDEX(FactorTable!$B$2:$Y$301, MATCH(ROUND(MIN(300,MAX(1,Inputs!$B$3)),0), FactorTable!$A$2:$A$301,0), 23)/1000)/100*(Inputs!$B$8*(1+Inputs!$B$9/100)),0))*(1+Inputs!$B$14/100))*0.01+Inputs!$B$15*0.0025)/100)*(1+Inputs!$B$16/100)*(1+Inputs!$B$17/100)*(5000/(6000+Inputs!$B$43*(1-(Inputs!$B$20+0)/100)))*(1+(Inputs!$B$25+((C1988=TRUE)*(F1988-Calc!F25))+((C1989=TRUE)*(F1989-Calc!F26))+B1998)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1974=TRUE,F1974,0)/100)*(1+(IF(Skills!A12="DARK_IMPALE",Inputs!$B$18+0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gt;=100),MIN(100,((Inputs!$B$10+0+B1992+(IF(ArtifactsInput!$M$24,FALSE,TRUE)-ArtifactsInput!$M$24)*CHOOSE(ArtifactsInput!$N$24+1,10,12,14,16,18,20)+IF(ArtifactsInput!$M$10,CHOOSE(ArtifactsInput!$N$10+1,15,18,21,24,27,30)*(IF(Inputs!$B$39="pvp",MIN(15,15)/15,IF(AND(Inputs!$B$39&lt;&gt;"pvp",Inputs!$B$44&gt;0),MIN(15,Inputs!$B$44)/(Inputs!$B$44),0))),0)))-100),0))*CHOOSE(ArtifactsInput!$N$42+1,0.6,0.72,0.84,0.96,1.08,1.2))),Inputs!$B$19+((C1986=TRUE)*(F1986-Calc!F23))+(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gt;=100),CHOOSE(ArtifactsInput!$N$42+1,40,48,56,64,72,80),0))))/100)*((1+(((C1976=TRUE)*F1976*IF(AND(Inputs!$B$39&lt;&gt;"pvp",Inputs!$B$44&gt;0),(((R1976-1)*MIN((Skills!T13*(1+Inputs!$B$35/100)),(1/Q1976))+MIN((Skills!T13*(1+Inputs!$B$35/100)),MAX(0,Inputs!$B$44-((R1976-1)*(1/Q1976)))))/Inputs!$B$44),IF(Inputs!$B$39="pvp",MIN((Skills!T13*(1+Inputs!$B$35/100)),15)/15,MIN(1,(Skills!T13*(1+Inputs!$B$35/100))/(1/Q1976)))))+((C1977=TRUE)*F1977*IF(AND(Inputs!$B$39&lt;&gt;"pvp",Inputs!$B$44&gt;0),(((R1977-1)*MIN((Skills!T14*(1+Inputs!$B$35/100)),(1/Q1977))+MIN((Skills!T14*(1+Inputs!$B$35/100)),MAX(0,Inputs!$B$44-((R1977-1)*(1/Q1977)))))/Inputs!$B$44),IF(Inputs!$B$39="pvp",MIN((Skills!T14*(1+Inputs!$B$35/100)),15)/15,MIN(1,(Skills!T14*(1+Inputs!$B$35/100))/(1/Q1977)))))+((C1978=TRUE)*F1978*IF(AND(Inputs!$B$39&lt;&gt;"pvp",Inputs!$B$44&gt;0),(((R1978-1)*MIN((Skills!T15*(1+Inputs!$B$35/100)),(1/Q1978))+MIN((Skills!T15*(1+Inputs!$B$35/100)),MAX(0,Inputs!$B$44-((R1978-1)*(1/Q1978)))))/Inputs!$B$44),IF(Inputs!$B$39="pvp",MIN((Skills!T15*(1+Inputs!$B$35/100)),15)/15,MIN(1,(Skills!T15*(1+Inputs!$B$35/100))/(1/Q1978)))))+((C1979=TRUE)*F1979*IF(AND(Inputs!$B$39&lt;&gt;"pvp",Inputs!$B$44&gt;0),(((R1979-1)*MIN((Skills!T16*(1+Inputs!$B$35/100)),(1/Q1979))+MIN((Skills!T16*(1+Inputs!$B$35/100)),MAX(0,Inputs!$B$44-((R1979-1)*(1/Q1979)))))/Inputs!$B$44),IF(Inputs!$B$39="pvp",MIN((Skills!T16*(1+Inputs!$B$35/100)),15)/15,MIN(1,(Skills!T16*(1+Inputs!$B$35/100))/(1/Q1979)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1975)</f>
        <v/>
      </c>
      <c r="L1975">
        <f>K1975*(MIN(Inputs!$B$23+((C1985=TRUE)*(F1985-Calc!F22)),(Inputs!$B$24+((C1987=TRUE)*(F1987-Calc!F24))+(IF(ArtifactsInput!$M$15,CHOOSE(ArtifactsInput!$N$15+1,25,30,35,40,45,50)/100*(Inputs!$B$12-Inputs!$B$12),0))))/100+(Inputs!$B$24+((C1987=TRUE)*(F1987-Calc!F24))+(IF(ArtifactsInput!$M$15,CHOOSE(ArtifactsInput!$N$15+1,25,30,35,40,45,50)/100*(Inputs!$B$12-Inputs!$B$12),0)))/100)/2</f>
        <v/>
      </c>
      <c r="M1975">
        <f>L1975*(1+(Inputs!$B$11+0+B1997+((IF(IF(ArtifactsInput!$M$24,FALSE,TRUE),1,-1)*CHOOSE(ArtifactsInput!$N$24+1,30,36,42,48,54,60)/100*IF(IF(ArtifactsInput!$M$24,FALSE,TRUE),(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nputs!$B$10+Summary!$B$14+Artifacts!$B$5+Artifacts!$B$29)))+IF(ArtifactsInput!$M$10,CHOOSE(ArtifactsInput!$N$10+1,20,24,28,32,36,40)*(IF(Inputs!$B$39="pvp",MIN(15,15)/15,IF(AND(Inputs!$B$39&lt;&gt;"pvp",Inputs!$B$44&gt;0),MIN(15,Inputs!$B$44)/(Inputs!$B$44),0))),0)+IF(ArtifactsInput!$M$31,1.5*CHOOSE(ArtifactsInput!$N$31+1,20,24,28,32,36,40),0)))/100)</f>
        <v/>
      </c>
      <c r="N1975">
        <f>L1975*(1-MIN((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1975*(MIN((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75">
        <f>(1-Summary!$B$11)*T1975+Summary!$B$11*V1975</f>
        <v/>
      </c>
      <c r="P1975">
        <f>IF(B2002=0,0,O1975/B2002)</f>
        <v/>
      </c>
      <c r="Q1975">
        <f>IFERROR(1/IF(Inputs!$B$39="pvp",15,MAX(0.1,Skills!D12-IF(TRUE=TRUE,Inputs!$B$33,0))),0)</f>
        <v/>
      </c>
      <c r="R1975">
        <f>IF(AND(Inputs!$B$39&lt;&gt;"pvp",Inputs!$B$44&gt;0),IF(MAX(0,Inputs!$B$44-B1999)&lt;=0,0,(INT(MAX(0,Inputs!$B$44-B1999)/IF(Inputs!$B$39="pvp",15,MAX(0.1,Skills!D12-IF(TRUE=TRUE,Inputs!$B$33,0))))+1)),0)</f>
        <v/>
      </c>
      <c r="S1975">
        <f>IFERROR(O1975/N1975,0)</f>
        <v/>
      </c>
      <c r="T1975">
        <f>IF(C1975,(H1975*N1975*IF(AND(Inputs!$B$39&lt;&gt;"pvp",Inputs!$B$44&gt;0),((Skills!G12*((R1975-1)*IF(Skills!H12&gt;0,INT(Skills!I12/Skills!H12+0.000000001),1)+IF(Skills!H12&gt;0,INT(MIN(Skills!I12,MAX(0,MAX(0,Inputs!$B$44-B1999)-((R1975-1)*IF(Inputs!$B$39="pvp",15,MAX(0.1,Skills!D12-IF(TRUE=TRUE,Inputs!$B$33,0))))))/Skills!H12+0.000000001),1)))/Inputs!$B$44),G1975*Q1975))*IF(Inputs!$B$39="pvp",1,1+(Inputs!$B$21+0+Skills!P12+((C1980=TRUE)*F1980*IF(AND(Inputs!$B$39&lt;&gt;"pvp",Inputs!$B$44&gt;0),(((R1980-1)*MIN((Skills!T17*(1+Inputs!$B$35/100)),(1/Q1980))+MIN((Skills!T17*(1+Inputs!$B$35/100)),MAX(0,Inputs!$B$44-((R1980-1)*(1/Q1980)))))/Inputs!$B$44),IF(Inputs!$B$39="pvp",MIN((Skills!T17*(1+Inputs!$B$35/100)),15)/15,MIN(1,(Skills!T17*(1+Inputs!$B$35/100))/(1/Q1980)))))+((C1968=TRUE)*IF(Inputs!$B$3&gt;=126,10*MIN(1,15*Q1968),0))+((C1977=TRUE)*IF(Inputs!$B$39="pvp",20,(1-Summary!$B$11)*(20)+Summary!$B$11*(0))*IF(AND(Inputs!$B$39&lt;&gt;"pvp",Inputs!$B$44&gt;0),(((R1977-1)*MIN((Skills!T14*(1+Inputs!$B$35/100)),(1/Q1977))+MIN((Skills!T14*(1+Inputs!$B$35/100)),MAX(0,Inputs!$B$44-((R1977-1)*(1/Q1977)))))/Inputs!$B$44),IF(Inputs!$B$39="pvp",MIN((Skills!T14*(1+Inputs!$B$35/100)),15)/15,MIN(1,(Skills!T14*(1+Inputs!$B$35/100))/(1/Q1977)))))+((C1976=TRUE)*IF(Inputs!$B$3&gt;=82,IF(Inputs!$B$39="pvp",20,(1-Summary!$B$11)*(20)+Summary!$B$11*(0)),0)*IF(AND(Inputs!$B$39&lt;&gt;"pvp",Inputs!$B$44&gt;0),(((R1976-1)*MIN((Skills!T13*(1+Inputs!$B$35/100)),(1/Q1976))+MIN((Skills!T13*(1+Inputs!$B$35/100)),MAX(0,Inputs!$B$44-((R1976-1)*(1/Q1976)))))/Inputs!$B$44),IF(Inputs!$B$39="pvp",MIN((Skills!T13*(1+Inputs!$B$35/100)),15)/15,MIN(1,(Skills!T13*(1+Inputs!$B$35/100))/(1/Q1976)))))+(IF(AND(ArtifactsInput!$M$35,Inputs!$B$4&lt;&gt;"Chapter Hunt"),CHOOSE(ArtifactsInput!$N$35+1,15,18,21,24,27,30)*(1-EXP(-(0.2*B1994)*5)),0)+IF(AND(ArtifactsInput!$M$22,Inputs!$B$4&lt;&gt;"Chapter Hunt"),CHOOSE(ArtifactsInput!$N$22+1,10,12,14,16,18,20)*((0*(((0.15*B1994*5))^0/1)+1*(((0.15*B1994*5))^1/1)+2*(((0.15*B1994*5))^2/2)+3*(((0.15*B1994*5))^3/6)+4*(((0.15*B1994*5))^4/24)+5*(((0.15*B1994*5))^5/120))/((((0.15*B1994*5))^0/1)+(((0.15*B1994*5))^1/1)+(((0.15*B1994*5))^2/2)+(((0.15*B1994*5))^3/6)+(((0.15*B1994*5))^4/24)+(((0.15*B1994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1975*(1-MIN(100,(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1975*(MIN(100,(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1975*(1-MIN(100,(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1975*(MIN(100,(Inputs!$B$10+0+B1992+(IF(ArtifactsInput!$M$24,FALSE,TRUE)-ArtifactsInput!$M$24)*CHOOSE(ArtifactsInput!$N$24+1,10,12,14,16,18,20)+(IF(AND(Inputs!$B$39&lt;&gt;"pvp",Inputs!$B$44=0),1,IF(IF(Inputs!$B$39="pvp",15,Inputs!$B$44)-(B1999)&lt;=0,1,MAX(0,IF(Inputs!$B$39="pvp",15,Inputs!$B$44)-MAX(5,B1999))/(IF(Inputs!$B$39="pvp",15,Inputs!$B$44)-(B1999))))*IF(AND(ArtifactsInput!$M$42,((Inputs!$B$10+0+B1992+(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1975">
        <f>IF(C1975,(H1975*N1975*IF(AND(Inputs!$B$39&lt;&gt;"pvp",Inputs!$B$44&gt;0),((Skills!G12*((R1975-1)*IF(Skills!H12&gt;0,INT(Skills!I12/Skills!H12+0.000000001),1)+IF(Skills!H12&gt;0,INT(MIN(Skills!I12,MAX(0,MAX(0,Inputs!$B$44-B1999)-((R1975-1)*IF(Inputs!$B$39="pvp",15,MAX(0.1,Skills!D12-IF(TRUE=TRUE,Inputs!$B$33,0))))))/Skills!H12+0.000000001),1)))/Inputs!$B$44),G1975*Q1975))*IF(Inputs!$B$39="pvp",1,(1+(Inputs!$B$22+Skills!Q12+((C1980=TRUE)*F1980*IF(AND(Inputs!$B$39&lt;&gt;"pvp",Inputs!$B$44&gt;0),(((R1980-1)*MIN((Skills!T17*(1+Inputs!$B$35/100)),(1/Q1980))+MIN((Skills!T17*(1+Inputs!$B$35/100)),MAX(0,Inputs!$B$44-((R1980-1)*(1/Q1980)))))/Inputs!$B$44),IF(Inputs!$B$39="pvp",MIN((Skills!T17*(1+Inputs!$B$35/100)),15)/15,MIN(1,(Skills!T17*(1+Inputs!$B$35/100))/(1/Q1980)))))+((C1968=TRUE)*IF(Inputs!$B$3&gt;=126,10*MIN(1,15*Q1968),0))+((C1977=TRUE)*IF(Inputs!$B$39="pvp",20,(1-Summary!$B$11)*(20)+Summary!$B$11*(0))*IF(AND(Inputs!$B$39&lt;&gt;"pvp",Inputs!$B$44&gt;0),(((R1977-1)*MIN((Skills!T14*(1+Inputs!$B$35/100)),(1/Q1977))+MIN((Skills!T14*(1+Inputs!$B$35/100)),MAX(0,Inputs!$B$44-((R1977-1)*(1/Q1977)))))/Inputs!$B$44),IF(Inputs!$B$39="pvp",MIN((Skills!T14*(1+Inputs!$B$35/100)),15)/15,MIN(1,(Skills!T14*(1+Inputs!$B$35/100))/(1/Q1977)))))+((C1976=TRUE)*IF(Inputs!$B$3&gt;=82,IF(Inputs!$B$39="pvp",20,(1-Summary!$B$11)*(20)+Summary!$B$11*(0)),0)*IF(AND(Inputs!$B$39&lt;&gt;"pvp",Inputs!$B$44&gt;0),(((R1976-1)*MIN((Skills!T13*(1+Inputs!$B$35/100)),(1/Q1976))+MIN((Skills!T13*(1+Inputs!$B$35/100)),MAX(0,Inputs!$B$44-((R1976-1)*(1/Q1976)))))/Inputs!$B$44),IF(Inputs!$B$39="pvp",MIN((Skills!T13*(1+Inputs!$B$35/100)),15)/15,MIN(1,(Skills!T13*(1+Inputs!$B$35/100))/(1/Q1976)))))+(IF(AND(ArtifactsInput!$M$35,Inputs!$B$4&lt;&gt;"Chapter Hunt"),CHOOSE(ArtifactsInput!$N$35+1,15,18,21,24,27,30)*(1-EXP(-(0.2*B1994)*5)),0)+IF(AND(ArtifactsInput!$M$22,Inputs!$B$4&lt;&gt;"Chapter Hunt"),CHOOSE(ArtifactsInput!$N$22+1,10,12,14,16,18,20)*((0*(((0.15*B1994*5))^0/1)+1*(((0.15*B1994*5))^1/1)+2*(((0.15*B1994*5))^2/2)+3*(((0.15*B1994*5))^3/6)+4*(((0.15*B1994*5))^4/24)+5*(((0.15*B1994*5))^5/120))/((((0.15*B1994*5))^0/1)+(((0.15*B1994*5))^1/1)+(((0.15*B1994*5))^2/2)+(((0.15*B1994*5))^3/6)+(((0.15*B1994*5))^4/24)+(((0.15*B1994*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76">
      <c r="A1976">
        <f>Skills!A13</f>
        <v/>
      </c>
      <c r="B1976">
        <f>Skills!B13</f>
        <v/>
      </c>
      <c r="C1976">
        <f>Inputs!$B$3&gt;=69</f>
        <v/>
      </c>
      <c r="D1976">
        <f>IF(Skills!C13=1,60+Inputs!$B$26+Inputs!$B$30,IF(Skills!C13=2,90+Inputs!$B$27+Inputs!$B$30,IF(Skills!C13=3,120+Inputs!$B$28+Inputs!$B$30,MAX(0,(Inputs!$B$3-100)*3)+Inputs!$B$29+Inputs!$B$30)))</f>
        <v/>
      </c>
      <c r="E1976">
        <f>INDEX(FactorTable!$B$2:$Y$301, MATCH(ROUND(MIN(300,MAX(1,D1976)),0), FactorTable!$A$2:$A$301,0), Skills!M13+1)</f>
        <v/>
      </c>
      <c r="F1976">
        <f>IF(Skills!N13=TRUE,(Skills!L13/10)*(E1976/1000),Skills!L13/10)+Skills!O13</f>
        <v/>
      </c>
      <c r="G1976">
        <f>Skills!G13*IF(Skills!H13&gt;0,INT(IF(Inputs!$B$39="pvp",MIN(Skills!I13,15),Skills!I13)/Skills!H13+0.000000001),1)</f>
        <v/>
      </c>
      <c r="H1976">
        <f>1-(1-Skills!J13/100)^Skills!K13</f>
        <v/>
      </c>
      <c r="I1976" t="inlineStr">
        <is>
          <t>1</t>
        </is>
      </c>
      <c r="J1976" t="inlineStr"/>
      <c r="K1976" t="inlineStr"/>
      <c r="L1976" t="inlineStr"/>
      <c r="M1976" t="inlineStr"/>
      <c r="N1976" t="inlineStr"/>
      <c r="O1976">
        <f>(1-Summary!$B$11)*T1976+Summary!$B$11*V1976</f>
        <v/>
      </c>
      <c r="P1976">
        <f>IF(B2002=0,0,O1976/B2002)</f>
        <v/>
      </c>
      <c r="Q1976">
        <f>IFERROR(1/IF(Inputs!$B$39="pvp",15,MAX(0.1,Skills!D13-IF(TRUE=TRUE,Inputs!$B$33,0))),0)</f>
        <v/>
      </c>
      <c r="R1976">
        <f>IF(AND(Inputs!$B$39&lt;&gt;"pvp",Inputs!$B$44&gt;0),IF(Inputs!$B$44&lt;=0,0,(INT(Inputs!$B$44/IF(Inputs!$B$39="pvp",15,MAX(0.1,Skills!D13-IF(TRUE=TRUE,Inputs!$B$33,0))))+1)),0)</f>
        <v/>
      </c>
      <c r="S1976">
        <f>IFERROR(O1976/N1976,0)</f>
        <v/>
      </c>
      <c r="T1976" t="n">
        <v>0</v>
      </c>
      <c r="V1976" t="n">
        <v>0</v>
      </c>
    </row>
    <row r="1977">
      <c r="A1977">
        <f>Skills!A14</f>
        <v/>
      </c>
      <c r="B1977">
        <f>Skills!B14</f>
        <v/>
      </c>
      <c r="C1977">
        <f>Inputs!$B$3&gt;=115</f>
        <v/>
      </c>
      <c r="D1977">
        <f>IF(Skills!C14=1,60+Inputs!$B$26+Inputs!$B$30,IF(Skills!C14=2,90+Inputs!$B$27+Inputs!$B$30,IF(Skills!C14=3,120+Inputs!$B$28+Inputs!$B$30,MAX(0,(Inputs!$B$3-100)*3)+Inputs!$B$29+Inputs!$B$30)))</f>
        <v/>
      </c>
      <c r="E1977">
        <f>INDEX(FactorTable!$B$2:$Y$301, MATCH(ROUND(MIN(300,MAX(1,D1977)),0), FactorTable!$A$2:$A$301,0), Skills!M14+1)</f>
        <v/>
      </c>
      <c r="F1977">
        <f>IF(Skills!N14=TRUE,(Skills!L14/10)*(E1977/1000),Skills!L14/10)+Skills!O14</f>
        <v/>
      </c>
      <c r="G1977">
        <f>Skills!G14*IF(Skills!H14&gt;0,INT(IF(Inputs!$B$39="pvp",MIN(Skills!I14,15),Skills!I14)/Skills!H14+0.000000001),1)</f>
        <v/>
      </c>
      <c r="H1977">
        <f>1-(1-Skills!J14/100)^Skills!K14</f>
        <v/>
      </c>
      <c r="I1977" t="inlineStr">
        <is>
          <t>1</t>
        </is>
      </c>
      <c r="J1977" t="inlineStr"/>
      <c r="K1977" t="inlineStr"/>
      <c r="L1977" t="inlineStr"/>
      <c r="M1977" t="inlineStr"/>
      <c r="N1977" t="inlineStr"/>
      <c r="O1977">
        <f>(1-Summary!$B$11)*T1977+Summary!$B$11*V1977</f>
        <v/>
      </c>
      <c r="P1977">
        <f>IF(B2002=0,0,O1977/B2002)</f>
        <v/>
      </c>
      <c r="Q1977">
        <f>IFERROR(1/IF(Inputs!$B$39="pvp",15,MAX(0.1,Skills!D14-IF(TRUE=TRUE,Inputs!$B$33,0))),0)</f>
        <v/>
      </c>
      <c r="R1977">
        <f>IF(AND(Inputs!$B$39&lt;&gt;"pvp",Inputs!$B$44&gt;0),IF(Inputs!$B$44&lt;=0,0,(INT(Inputs!$B$44/IF(Inputs!$B$39="pvp",15,MAX(0.1,Skills!D14-IF(TRUE=TRUE,Inputs!$B$33,0))))+1)),0)</f>
        <v/>
      </c>
      <c r="S1977">
        <f>IFERROR(O1977/N1977,0)</f>
        <v/>
      </c>
      <c r="T1977" t="n">
        <v>0</v>
      </c>
      <c r="V1977" t="n">
        <v>0</v>
      </c>
    </row>
    <row r="1978">
      <c r="A1978">
        <f>Skills!A15</f>
        <v/>
      </c>
      <c r="B1978">
        <f>Skills!B15</f>
        <v/>
      </c>
      <c r="C1978">
        <f>Inputs!$B$3&gt;=66</f>
        <v/>
      </c>
      <c r="D1978">
        <f>IF(Skills!C15=1,60+Inputs!$B$26+Inputs!$B$30,IF(Skills!C15=2,90+Inputs!$B$27+Inputs!$B$30,IF(Skills!C15=3,120+Inputs!$B$28+Inputs!$B$30,MAX(0,(Inputs!$B$3-100)*3)+Inputs!$B$29+Inputs!$B$30)))</f>
        <v/>
      </c>
      <c r="E1978">
        <f>INDEX(FactorTable!$B$2:$Y$301, MATCH(ROUND(MIN(300,MAX(1,D1978)),0), FactorTable!$A$2:$A$301,0), Skills!M15+1)</f>
        <v/>
      </c>
      <c r="F1978">
        <f>IF(Skills!N15=TRUE,(Skills!L15/10)*(E1978/1000),Skills!L15/10)+Skills!O15</f>
        <v/>
      </c>
      <c r="G1978">
        <f>Skills!G15*IF(Skills!H15&gt;0,INT(IF(Inputs!$B$39="pvp",MIN(Skills!I15,15),Skills!I15)/Skills!H15+0.000000001),1)</f>
        <v/>
      </c>
      <c r="H1978">
        <f>1-(1-Skills!J15/100)^Skills!K15</f>
        <v/>
      </c>
      <c r="I1978" t="inlineStr">
        <is>
          <t>1</t>
        </is>
      </c>
      <c r="J1978" t="inlineStr"/>
      <c r="K1978" t="inlineStr"/>
      <c r="L1978" t="inlineStr"/>
      <c r="M1978" t="inlineStr"/>
      <c r="N1978" t="inlineStr"/>
      <c r="O1978">
        <f>(1-Summary!$B$11)*T1978+Summary!$B$11*V1978</f>
        <v/>
      </c>
      <c r="P1978">
        <f>IF(B2002=0,0,O1978/B2002)</f>
        <v/>
      </c>
      <c r="Q1978">
        <f>IFERROR(1/IF(Inputs!$B$39="pvp",15,MAX(0.1,Skills!D15-IF(TRUE=TRUE,Inputs!$B$33,0))),0)</f>
        <v/>
      </c>
      <c r="R1978">
        <f>IF(AND(Inputs!$B$39&lt;&gt;"pvp",Inputs!$B$44&gt;0),IF(Inputs!$B$44&lt;=0,0,(INT(Inputs!$B$44/IF(Inputs!$B$39="pvp",15,MAX(0.1,Skills!D15-IF(TRUE=TRUE,Inputs!$B$33,0))))+1)),0)</f>
        <v/>
      </c>
      <c r="S1978">
        <f>IFERROR(O1978/N1978,0)</f>
        <v/>
      </c>
      <c r="T1978" t="n">
        <v>0</v>
      </c>
      <c r="V1978" t="n">
        <v>0</v>
      </c>
    </row>
    <row r="1979">
      <c r="A1979">
        <f>Skills!A16</f>
        <v/>
      </c>
      <c r="B1979">
        <f>Skills!B16</f>
        <v/>
      </c>
      <c r="C1979">
        <f>Inputs!$B$3&gt;=45</f>
        <v/>
      </c>
      <c r="D1979">
        <f>IF(Skills!C16=1,60+Inputs!$B$26+Inputs!$B$30,IF(Skills!C16=2,90+Inputs!$B$27+Inputs!$B$30,IF(Skills!C16=3,120+Inputs!$B$28+Inputs!$B$30,MAX(0,(Inputs!$B$3-100)*3)+Inputs!$B$29+Inputs!$B$30)))</f>
        <v/>
      </c>
      <c r="E1979">
        <f>INDEX(FactorTable!$B$2:$Y$301, MATCH(ROUND(MIN(300,MAX(1,D1979)),0), FactorTable!$A$2:$A$301,0), Skills!M16+1)</f>
        <v/>
      </c>
      <c r="F1979">
        <f>IF(Skills!N16=TRUE,(Skills!L16/10)*(E1979/1000),Skills!L16/10)+Skills!O16</f>
        <v/>
      </c>
      <c r="G1979">
        <f>Skills!G16*IF(Skills!H16&gt;0,INT(IF(Inputs!$B$39="pvp",MIN(Skills!I16,15),Skills!I16)/Skills!H16+0.000000001),1)</f>
        <v/>
      </c>
      <c r="H1979">
        <f>1-(1-Skills!J16/100)^Skills!K16</f>
        <v/>
      </c>
      <c r="I1979" t="inlineStr">
        <is>
          <t>1</t>
        </is>
      </c>
      <c r="J1979" t="inlineStr"/>
      <c r="K1979" t="inlineStr"/>
      <c r="L1979" t="inlineStr"/>
      <c r="M1979" t="inlineStr"/>
      <c r="N1979" t="inlineStr"/>
      <c r="O1979">
        <f>(1-Summary!$B$11)*T1979+Summary!$B$11*V1979</f>
        <v/>
      </c>
      <c r="P1979">
        <f>IF(B2002=0,0,O1979/B2002)</f>
        <v/>
      </c>
      <c r="Q1979">
        <f>IFERROR(1/IF(Inputs!$B$39="pvp",15,MAX(0.1,Skills!D16-IF(TRUE=TRUE,Inputs!$B$33,0))),0)</f>
        <v/>
      </c>
      <c r="R1979">
        <f>IF(AND(Inputs!$B$39&lt;&gt;"pvp",Inputs!$B$44&gt;0),IF(Inputs!$B$44&lt;=0,0,(INT(Inputs!$B$44/IF(Inputs!$B$39="pvp",15,MAX(0.1,Skills!D16-IF(TRUE=TRUE,Inputs!$B$33,0))))+1)),0)</f>
        <v/>
      </c>
      <c r="S1979">
        <f>IFERROR(O1979/N1979,0)</f>
        <v/>
      </c>
      <c r="T1979" t="n">
        <v>0</v>
      </c>
      <c r="V1979" t="n">
        <v>0</v>
      </c>
    </row>
    <row r="1980">
      <c r="A1980">
        <f>Skills!A17</f>
        <v/>
      </c>
      <c r="B1980">
        <f>Skills!B17</f>
        <v/>
      </c>
      <c r="C1980">
        <f>Inputs!$B$3&gt;=35</f>
        <v/>
      </c>
      <c r="D1980">
        <f>IF(Skills!C17=1,60+Inputs!$B$26+Inputs!$B$30,IF(Skills!C17=2,90+Inputs!$B$27+Inputs!$B$30,IF(Skills!C17=3,120+Inputs!$B$28+Inputs!$B$30,MAX(0,(Inputs!$B$3-100)*3)+Inputs!$B$29+Inputs!$B$30)))</f>
        <v/>
      </c>
      <c r="E1980">
        <f>INDEX(FactorTable!$B$2:$Y$301, MATCH(ROUND(MIN(300,MAX(1,D1980)),0), FactorTable!$A$2:$A$301,0), Skills!M17+1)</f>
        <v/>
      </c>
      <c r="F1980">
        <f>IF(Skills!N17=TRUE,(Skills!L17/10)*(E1980/1000),Skills!L17/10)+Skills!O17</f>
        <v/>
      </c>
      <c r="G1980">
        <f>Skills!G17*IF(Skills!H17&gt;0,INT(IF(Inputs!$B$39="pvp",MIN(Skills!I17,15),Skills!I17)/Skills!H17+0.000000001),1)</f>
        <v/>
      </c>
      <c r="H1980">
        <f>1-(1-Skills!J17/100)^Skills!K17</f>
        <v/>
      </c>
      <c r="I1980" t="inlineStr">
        <is>
          <t>1</t>
        </is>
      </c>
      <c r="J1980" t="inlineStr"/>
      <c r="K1980" t="inlineStr"/>
      <c r="L1980" t="inlineStr"/>
      <c r="M1980" t="inlineStr"/>
      <c r="N1980" t="inlineStr"/>
      <c r="O1980">
        <f>(1-Summary!$B$11)*T1980+Summary!$B$11*V1980</f>
        <v/>
      </c>
      <c r="P1980">
        <f>IF(B2002=0,0,O1980/B2002)</f>
        <v/>
      </c>
      <c r="Q1980">
        <f>IFERROR(1/IF(Inputs!$B$39="pvp",15,MAX(0.1,Skills!D17-IF(TRUE=TRUE,Inputs!$B$33,0))),0)</f>
        <v/>
      </c>
      <c r="R1980">
        <f>IF(AND(Inputs!$B$39&lt;&gt;"pvp",Inputs!$B$44&gt;0),IF(Inputs!$B$44&lt;=0,0,(INT(Inputs!$B$44/IF(Inputs!$B$39="pvp",15,MAX(0.1,Skills!D17-IF(TRUE=TRUE,Inputs!$B$33,0))))+1)),0)</f>
        <v/>
      </c>
      <c r="S1980">
        <f>IFERROR(O1980/N1980,0)</f>
        <v/>
      </c>
      <c r="T1980" t="n">
        <v>0</v>
      </c>
      <c r="V1980" t="n">
        <v>0</v>
      </c>
    </row>
    <row r="1981">
      <c r="A1981">
        <f>Skills!A18</f>
        <v/>
      </c>
      <c r="B1981">
        <f>Skills!B18</f>
        <v/>
      </c>
      <c r="C1981">
        <f>Inputs!$B$3&gt;=72</f>
        <v/>
      </c>
      <c r="D1981">
        <f>IF(Skills!C18=1,60+Inputs!$B$26+Inputs!$B$30,IF(Skills!C18=2,90+Inputs!$B$27+Inputs!$B$30,IF(Skills!C18=3,120+Inputs!$B$28+Inputs!$B$30,MAX(0,(Inputs!$B$3-100)*3)+Inputs!$B$29+Inputs!$B$30)))</f>
        <v/>
      </c>
      <c r="E1981">
        <f>INDEX(FactorTable!$B$2:$Y$301, MATCH(ROUND(MIN(300,MAX(1,D1981)),0), FactorTable!$A$2:$A$301,0), Skills!M18+1)</f>
        <v/>
      </c>
      <c r="F1981">
        <f>IF(Skills!N18=TRUE,(Skills!L18/10)*(E1981/1000),Skills!L18/10)+Skills!O18</f>
        <v/>
      </c>
      <c r="G1981">
        <f>Skills!G18*IF(Skills!H18&gt;0,INT(IF(Inputs!$B$39="pvp",MIN(Skills!I18,15),Skills!I18)/Skills!H18+0.000000001),1)</f>
        <v/>
      </c>
      <c r="H1981">
        <f>1-(1-Skills!J18/100)^Skills!K18</f>
        <v/>
      </c>
      <c r="I1981" t="inlineStr">
        <is>
          <t>1</t>
        </is>
      </c>
      <c r="J1981" t="inlineStr"/>
      <c r="K1981" t="inlineStr"/>
      <c r="L1981" t="inlineStr"/>
      <c r="M1981" t="inlineStr"/>
      <c r="N1981" t="inlineStr"/>
      <c r="O1981">
        <f>(1-Summary!$B$11)*T1981+Summary!$B$11*V1981</f>
        <v/>
      </c>
      <c r="P1981">
        <f>IF(B2002=0,0,O1981/B2002)</f>
        <v/>
      </c>
      <c r="Q1981">
        <f>IFERROR(1/IF(Inputs!$B$39="pvp",15,MAX(0.1,Skills!D18-IF(TRUE=TRUE,Inputs!$B$33,0))),0)</f>
        <v/>
      </c>
      <c r="R1981">
        <f>IF(AND(Inputs!$B$39&lt;&gt;"pvp",Inputs!$B$44&gt;0),IF(Inputs!$B$44&lt;=0,0,(INT(Inputs!$B$44/IF(Inputs!$B$39="pvp",15,MAX(0.1,Skills!D18-IF(TRUE=TRUE,Inputs!$B$33,0))))+1)),0)</f>
        <v/>
      </c>
      <c r="S1981">
        <f>IFERROR(O1981/N1981,0)</f>
        <v/>
      </c>
      <c r="T1981" t="n">
        <v>0</v>
      </c>
      <c r="V1981" t="n">
        <v>0</v>
      </c>
    </row>
    <row r="1982">
      <c r="A1982">
        <f>Skills!A19</f>
        <v/>
      </c>
      <c r="B1982">
        <f>Skills!B19</f>
        <v/>
      </c>
      <c r="C1982">
        <f>Inputs!$B$3&gt;=72</f>
        <v/>
      </c>
      <c r="D1982">
        <f>IF(Skills!C19=1,60+Inputs!$B$26+Inputs!$B$30,IF(Skills!C19=2,90+Inputs!$B$27+Inputs!$B$30,IF(Skills!C19=3,120+Inputs!$B$28+Inputs!$B$30,MAX(0,(Inputs!$B$3-100)*3)+Inputs!$B$29+Inputs!$B$30)))</f>
        <v/>
      </c>
      <c r="E1982">
        <f>INDEX(FactorTable!$B$2:$Y$301, MATCH(ROUND(MIN(300,MAX(1,D1982)),0), FactorTable!$A$2:$A$301,0), Skills!M19+1)</f>
        <v/>
      </c>
      <c r="F1982">
        <f>IF(Skills!N19=TRUE,(Skills!L19/10)*(E1982/1000),Skills!L19/10)+Skills!O19</f>
        <v/>
      </c>
      <c r="G1982">
        <f>Skills!G19*IF(Skills!H19&gt;0,INT(IF(Inputs!$B$39="pvp",MIN(Skills!I19,15),Skills!I19)/Skills!H19+0.000000001),1)</f>
        <v/>
      </c>
      <c r="H1982">
        <f>1-(1-Skills!J19/100)^Skills!K19</f>
        <v/>
      </c>
      <c r="I1982" t="inlineStr">
        <is>
          <t>1</t>
        </is>
      </c>
      <c r="J1982" t="inlineStr"/>
      <c r="K1982" t="inlineStr"/>
      <c r="L1982" t="inlineStr"/>
      <c r="M1982" t="inlineStr"/>
      <c r="N1982" t="inlineStr"/>
      <c r="O1982">
        <f>(1-Summary!$B$11)*T1982+Summary!$B$11*V1982</f>
        <v/>
      </c>
      <c r="P1982">
        <f>IF(B2002=0,0,O1982/B2002)</f>
        <v/>
      </c>
      <c r="Q1982">
        <f>IFERROR(1/IF(Inputs!$B$39="pvp",15,MAX(0.1,Skills!D19-IF(TRUE=TRUE,Inputs!$B$33,0))),0)</f>
        <v/>
      </c>
      <c r="R1982">
        <f>IF(AND(Inputs!$B$39&lt;&gt;"pvp",Inputs!$B$44&gt;0),IF(Inputs!$B$44&lt;=0,0,(INT(Inputs!$B$44/IF(Inputs!$B$39="pvp",15,MAX(0.1,Skills!D19-IF(TRUE=TRUE,Inputs!$B$33,0))))+1)),0)</f>
        <v/>
      </c>
      <c r="S1982">
        <f>IFERROR(O1982/N1982,0)</f>
        <v/>
      </c>
      <c r="T1982" t="n">
        <v>0</v>
      </c>
      <c r="V1982" t="n">
        <v>0</v>
      </c>
    </row>
    <row r="1983">
      <c r="A1983">
        <f>Skills!A20</f>
        <v/>
      </c>
      <c r="B1983">
        <f>Skills!B20</f>
        <v/>
      </c>
      <c r="C1983">
        <f>TRUE</f>
        <v/>
      </c>
      <c r="D1983">
        <f>IF(Skills!C20=1,60+Inputs!$B$26+Inputs!$B$30,IF(Skills!C20=2,90+Inputs!$B$27+Inputs!$B$30,IF(Skills!C20=3,120+Inputs!$B$28+Inputs!$B$30,MAX(0,(Inputs!$B$3-100)*3)+Inputs!$B$29+Inputs!$B$30)))</f>
        <v/>
      </c>
      <c r="E1983">
        <f>INDEX(FactorTable!$B$2:$Y$301, MATCH(ROUND(MIN(300,MAX(1,D1983)),0), FactorTable!$A$2:$A$301,0), Skills!M20+1)</f>
        <v/>
      </c>
      <c r="F1983">
        <f>IF(Skills!N20=TRUE,(Skills!L20/10)*(E1983/1000),Skills!L20/10)+Skills!O20</f>
        <v/>
      </c>
      <c r="G1983">
        <f>Skills!G20*IF(Skills!H20&gt;0,INT(IF(Inputs!$B$39="pvp",MIN(Skills!I20,15),Skills!I20)/Skills!H20+0.000000001),1)</f>
        <v/>
      </c>
      <c r="H1983">
        <f>1-(1-Skills!J20/100)^Skills!K20</f>
        <v/>
      </c>
      <c r="I1983" t="inlineStr">
        <is>
          <t>1</t>
        </is>
      </c>
      <c r="J1983" t="inlineStr"/>
      <c r="K1983" t="inlineStr"/>
      <c r="L1983" t="inlineStr"/>
      <c r="M1983" t="inlineStr"/>
      <c r="N1983" t="inlineStr"/>
      <c r="O1983">
        <f>(1-Summary!$B$11)*T1983+Summary!$B$11*V1983</f>
        <v/>
      </c>
      <c r="P1983">
        <f>IF(B2002=0,0,O1983/B2002)</f>
        <v/>
      </c>
      <c r="Q1983">
        <f>IFERROR(1/IF(Inputs!$B$39="pvp",15,MAX(0.1,Skills!D20-IF(TRUE=TRUE,Inputs!$B$33,0))),0)</f>
        <v/>
      </c>
      <c r="R1983">
        <f>IF(AND(Inputs!$B$39&lt;&gt;"pvp",Inputs!$B$44&gt;0),IF(Inputs!$B$44&lt;=0,0,(INT(Inputs!$B$44/IF(Inputs!$B$39="pvp",15,MAX(0.1,Skills!D20-IF(TRUE=TRUE,Inputs!$B$33,0))))+1)),0)</f>
        <v/>
      </c>
      <c r="S1983">
        <f>IFERROR(O1983/N1983,0)</f>
        <v/>
      </c>
      <c r="T1983" t="n">
        <v>0</v>
      </c>
      <c r="V1983" t="n">
        <v>0</v>
      </c>
    </row>
    <row r="1984">
      <c r="A1984">
        <f>Skills!A21</f>
        <v/>
      </c>
      <c r="B1984">
        <f>Skills!B21</f>
        <v/>
      </c>
      <c r="C1984">
        <f>Inputs!$B$3&gt;=33</f>
        <v/>
      </c>
      <c r="D1984">
        <f>IF(Skills!C21=1,60+Inputs!$B$26+Inputs!$B$30,IF(Skills!C21=2,90+Inputs!$B$27+Inputs!$B$30,IF(Skills!C21=3,120+Inputs!$B$28+Inputs!$B$30,MAX(0,(Inputs!$B$3-100)*3)+Inputs!$B$29+Inputs!$B$30)))</f>
        <v/>
      </c>
      <c r="E1984">
        <f>INDEX(FactorTable!$B$2:$Y$301, MATCH(ROUND(MIN(300,MAX(1,D1984)),0), FactorTable!$A$2:$A$301,0), Skills!M21+1)</f>
        <v/>
      </c>
      <c r="F1984">
        <f>IF(Skills!N21=TRUE,(Skills!L21/10)*(E1984/1000),Skills!L21/10)+Skills!O21</f>
        <v/>
      </c>
      <c r="G1984">
        <f>Skills!G21*IF(Skills!H21&gt;0,INT(IF(Inputs!$B$39="pvp",MIN(Skills!I21,15),Skills!I21)/Skills!H21+0.000000001),1)</f>
        <v/>
      </c>
      <c r="H1984">
        <f>1-(1-Skills!J21/100)^Skills!K21</f>
        <v/>
      </c>
      <c r="I1984" t="inlineStr">
        <is>
          <t>1</t>
        </is>
      </c>
      <c r="J1984" t="inlineStr"/>
      <c r="K1984" t="inlineStr"/>
      <c r="L1984" t="inlineStr"/>
      <c r="M1984" t="inlineStr"/>
      <c r="N1984" t="inlineStr"/>
      <c r="O1984">
        <f>(1-Summary!$B$11)*T1984+Summary!$B$11*V1984</f>
        <v/>
      </c>
      <c r="P1984">
        <f>IF(B2002=0,0,O1984/B2002)</f>
        <v/>
      </c>
      <c r="Q1984" t="n">
        <v>0</v>
      </c>
      <c r="R1984" t="n">
        <v>0</v>
      </c>
      <c r="S1984">
        <f>IFERROR(O1984/N1984,0)</f>
        <v/>
      </c>
      <c r="T1984" t="n">
        <v>0</v>
      </c>
      <c r="V1984" t="n">
        <v>0</v>
      </c>
    </row>
    <row r="1985">
      <c r="A1985">
        <f>Skills!A22</f>
        <v/>
      </c>
      <c r="B1985">
        <f>Skills!B22</f>
        <v/>
      </c>
      <c r="C1985">
        <f>Inputs!$B$3&gt;=43</f>
        <v/>
      </c>
      <c r="D1985">
        <f>IF(Skills!C22=1,60+Inputs!$B$26+Inputs!$B$30,IF(Skills!C22=2,90+Inputs!$B$27+Inputs!$B$30,IF(Skills!C22=3,120+Inputs!$B$28+Inputs!$B$30,MAX(0,(Inputs!$B$3-100)*3)+Inputs!$B$29+Inputs!$B$30)))</f>
        <v/>
      </c>
      <c r="E1985">
        <f>INDEX(FactorTable!$B$2:$Y$301, MATCH(ROUND(MIN(300,MAX(1,D1985)),0), FactorTable!$A$2:$A$301,0), Skills!M22+1)</f>
        <v/>
      </c>
      <c r="F1985">
        <f>IF(Skills!N22=TRUE,(Skills!L22/10)*(E1985/1000),Skills!L22/10)+Skills!O22</f>
        <v/>
      </c>
      <c r="G1985">
        <f>Skills!G22*IF(Skills!H22&gt;0,INT(IF(Inputs!$B$39="pvp",MIN(Skills!I22,15),Skills!I22)/Skills!H22+0.000000001),1)</f>
        <v/>
      </c>
      <c r="H1985">
        <f>1-(1-Skills!J22/100)^Skills!K22</f>
        <v/>
      </c>
      <c r="I1985" t="inlineStr">
        <is>
          <t>1</t>
        </is>
      </c>
      <c r="J1985" t="inlineStr"/>
      <c r="K1985" t="inlineStr"/>
      <c r="L1985" t="inlineStr"/>
      <c r="M1985" t="inlineStr"/>
      <c r="N1985" t="inlineStr"/>
      <c r="O1985">
        <f>(1-Summary!$B$11)*T1985+Summary!$B$11*V1985</f>
        <v/>
      </c>
      <c r="P1985">
        <f>IF(B2002=0,0,O1985/B2002)</f>
        <v/>
      </c>
      <c r="Q1985" t="n">
        <v>0</v>
      </c>
      <c r="R1985" t="n">
        <v>0</v>
      </c>
      <c r="S1985">
        <f>IFERROR(O1985/N1985,0)</f>
        <v/>
      </c>
      <c r="T1985" t="n">
        <v>0</v>
      </c>
      <c r="V1985" t="n">
        <v>0</v>
      </c>
    </row>
    <row r="1986">
      <c r="A1986">
        <f>Skills!A23</f>
        <v/>
      </c>
      <c r="B1986">
        <f>Skills!B23</f>
        <v/>
      </c>
      <c r="C1986">
        <f>Inputs!$B$3&gt;=120</f>
        <v/>
      </c>
      <c r="D1986">
        <f>IF(Skills!C23=1,60+Inputs!$B$26+Inputs!$B$30,IF(Skills!C23=2,90+Inputs!$B$27+Inputs!$B$30,IF(Skills!C23=3,120+Inputs!$B$28+Inputs!$B$30,MAX(0,(Inputs!$B$3-100)*3)+Inputs!$B$29+Inputs!$B$30)))</f>
        <v/>
      </c>
      <c r="E1986">
        <f>INDEX(FactorTable!$B$2:$Y$301, MATCH(ROUND(MIN(300,MAX(1,D1986)),0), FactorTable!$A$2:$A$301,0), Skills!M23+1)</f>
        <v/>
      </c>
      <c r="F1986">
        <f>IF(Skills!N23=TRUE,(Skills!L23/10)*(E1986/1000),Skills!L23/10)+Skills!O23</f>
        <v/>
      </c>
      <c r="G1986">
        <f>Skills!G23*IF(Skills!H23&gt;0,INT(IF(Inputs!$B$39="pvp",MIN(Skills!I23,15),Skills!I23)/Skills!H23+0.000000001),1)</f>
        <v/>
      </c>
      <c r="H1986">
        <f>1-(1-Skills!J23/100)^Skills!K23</f>
        <v/>
      </c>
      <c r="I1986" t="inlineStr">
        <is>
          <t>1</t>
        </is>
      </c>
      <c r="J1986" t="inlineStr"/>
      <c r="K1986" t="inlineStr"/>
      <c r="L1986" t="inlineStr"/>
      <c r="M1986" t="inlineStr"/>
      <c r="N1986" t="inlineStr"/>
      <c r="O1986">
        <f>(1-Summary!$B$11)*T1986+Summary!$B$11*V1986</f>
        <v/>
      </c>
      <c r="P1986">
        <f>IF(B2002=0,0,O1986/B2002)</f>
        <v/>
      </c>
      <c r="Q1986" t="n">
        <v>0</v>
      </c>
      <c r="R1986" t="n">
        <v>0</v>
      </c>
      <c r="S1986">
        <f>IFERROR(O1986/N1986,0)</f>
        <v/>
      </c>
      <c r="T1986" t="n">
        <v>0</v>
      </c>
      <c r="V1986" t="n">
        <v>0</v>
      </c>
    </row>
    <row r="1987">
      <c r="A1987">
        <f>Skills!A24</f>
        <v/>
      </c>
      <c r="B1987">
        <f>Skills!B24</f>
        <v/>
      </c>
      <c r="C1987">
        <f>Inputs!$B$3&gt;=120</f>
        <v/>
      </c>
      <c r="D1987">
        <f>IF(Skills!C24=1,60+Inputs!$B$26+Inputs!$B$30,IF(Skills!C24=2,90+Inputs!$B$27+Inputs!$B$30,IF(Skills!C24=3,120+Inputs!$B$28+Inputs!$B$30,MAX(0,(Inputs!$B$3-100)*3)+Inputs!$B$29+Inputs!$B$30)))</f>
        <v/>
      </c>
      <c r="E1987">
        <f>INDEX(FactorTable!$B$2:$Y$301, MATCH(ROUND(MIN(300,MAX(1,D1987)),0), FactorTable!$A$2:$A$301,0), Skills!M24+1)</f>
        <v/>
      </c>
      <c r="F1987">
        <f>IF(Skills!N24=TRUE,(Skills!L24/10)*(E1987/1000),Skills!L24/10)+Skills!O24</f>
        <v/>
      </c>
      <c r="G1987">
        <f>Skills!G24*IF(Skills!H24&gt;0,INT(IF(Inputs!$B$39="pvp",MIN(Skills!I24,15),Skills!I24)/Skills!H24+0.000000001),1)</f>
        <v/>
      </c>
      <c r="H1987">
        <f>1-(1-Skills!J24/100)^Skills!K24</f>
        <v/>
      </c>
      <c r="I1987" t="inlineStr">
        <is>
          <t>1</t>
        </is>
      </c>
      <c r="J1987" t="inlineStr"/>
      <c r="K1987" t="inlineStr"/>
      <c r="L1987" t="inlineStr"/>
      <c r="M1987" t="inlineStr"/>
      <c r="N1987" t="inlineStr"/>
      <c r="O1987">
        <f>(1-Summary!$B$11)*T1987+Summary!$B$11*V1987</f>
        <v/>
      </c>
      <c r="P1987">
        <f>IF(B2002=0,0,O1987/B2002)</f>
        <v/>
      </c>
      <c r="Q1987" t="n">
        <v>0</v>
      </c>
      <c r="R1987" t="n">
        <v>0</v>
      </c>
      <c r="S1987">
        <f>IFERROR(O1987/N1987,0)</f>
        <v/>
      </c>
      <c r="T1987" t="n">
        <v>0</v>
      </c>
      <c r="V1987" t="n">
        <v>0</v>
      </c>
    </row>
    <row r="1988">
      <c r="A1988">
        <f>Skills!A25</f>
        <v/>
      </c>
      <c r="B1988">
        <f>Skills!B25</f>
        <v/>
      </c>
      <c r="C1988">
        <f>Inputs!$B$3&gt;=125</f>
        <v/>
      </c>
      <c r="D1988">
        <f>IF(Skills!C25=1,60+Inputs!$B$26+Inputs!$B$30,IF(Skills!C25=2,90+Inputs!$B$27+Inputs!$B$30,IF(Skills!C25=3,120+Inputs!$B$28+Inputs!$B$30,MAX(0,(Inputs!$B$3-100)*3)+Inputs!$B$29+Inputs!$B$30)))</f>
        <v/>
      </c>
      <c r="E1988">
        <f>INDEX(FactorTable!$B$2:$Y$301, MATCH(ROUND(MIN(300,MAX(1,D1988)),0), FactorTable!$A$2:$A$301,0), Skills!M25+1)</f>
        <v/>
      </c>
      <c r="F1988">
        <f>IF(Skills!N25=TRUE,(Skills!L25/10)*(E1988/1000),Skills!L25/10)+Skills!O25</f>
        <v/>
      </c>
      <c r="G1988">
        <f>Skills!G25*IF(Skills!H25&gt;0,INT(IF(Inputs!$B$39="pvp",MIN(Skills!I25,15),Skills!I25)/Skills!H25+0.000000001),1)</f>
        <v/>
      </c>
      <c r="H1988">
        <f>1-(1-Skills!J25/100)^Skills!K25</f>
        <v/>
      </c>
      <c r="I1988" t="inlineStr">
        <is>
          <t>1</t>
        </is>
      </c>
      <c r="J1988" t="inlineStr"/>
      <c r="K1988" t="inlineStr"/>
      <c r="L1988" t="inlineStr"/>
      <c r="M1988" t="inlineStr"/>
      <c r="N1988" t="inlineStr"/>
      <c r="O1988">
        <f>(1-Summary!$B$11)*T1988+Summary!$B$11*V1988</f>
        <v/>
      </c>
      <c r="P1988">
        <f>IF(B2002=0,0,O1988/B2002)</f>
        <v/>
      </c>
      <c r="Q1988" t="n">
        <v>0</v>
      </c>
      <c r="R1988" t="n">
        <v>0</v>
      </c>
      <c r="S1988">
        <f>IFERROR(O1988/N1988,0)</f>
        <v/>
      </c>
      <c r="T1988" t="n">
        <v>0</v>
      </c>
      <c r="V1988" t="n">
        <v>0</v>
      </c>
    </row>
    <row r="1989">
      <c r="A1989">
        <f>Skills!A26</f>
        <v/>
      </c>
      <c r="B1989">
        <f>Skills!B26</f>
        <v/>
      </c>
      <c r="C1989">
        <f>Inputs!$B$3&gt;=107</f>
        <v/>
      </c>
      <c r="D1989">
        <f>IF(Skills!C26=1,60+Inputs!$B$26+Inputs!$B$30,IF(Skills!C26=2,90+Inputs!$B$27+Inputs!$B$30,IF(Skills!C26=3,120+Inputs!$B$28+Inputs!$B$30,MAX(0,(Inputs!$B$3-100)*3)+Inputs!$B$29+Inputs!$B$30)))</f>
        <v/>
      </c>
      <c r="E1989">
        <f>INDEX(FactorTable!$B$2:$Y$301, MATCH(ROUND(MIN(300,MAX(1,D1989)),0), FactorTable!$A$2:$A$301,0), Skills!M26+1)</f>
        <v/>
      </c>
      <c r="F1989">
        <f>IF(Skills!N26=TRUE,(Skills!L26/10)*(E1989/1000),Skills!L26/10)+Skills!O26</f>
        <v/>
      </c>
      <c r="G1989">
        <f>Skills!G26*IF(Skills!H26&gt;0,INT(IF(Inputs!$B$39="pvp",MIN(Skills!I26,15),Skills!I26)/Skills!H26+0.000000001),1)</f>
        <v/>
      </c>
      <c r="H1989">
        <f>1-(1-Skills!J26/100)^Skills!K26</f>
        <v/>
      </c>
      <c r="I1989" t="inlineStr">
        <is>
          <t>1</t>
        </is>
      </c>
      <c r="J1989" t="inlineStr"/>
      <c r="K1989" t="inlineStr"/>
      <c r="L1989" t="inlineStr"/>
      <c r="M1989" t="inlineStr"/>
      <c r="N1989" t="inlineStr"/>
      <c r="O1989">
        <f>(1-Summary!$B$11)*T1989+Summary!$B$11*V1989</f>
        <v/>
      </c>
      <c r="P1989">
        <f>IF(B2002=0,0,O1989/B2002)</f>
        <v/>
      </c>
      <c r="Q1989" t="n">
        <v>0</v>
      </c>
      <c r="R1989" t="n">
        <v>0</v>
      </c>
      <c r="S1989">
        <f>IFERROR(O1989/N1989,0)</f>
        <v/>
      </c>
      <c r="T1989" t="n">
        <v>0</v>
      </c>
      <c r="V1989" t="n">
        <v>0</v>
      </c>
    </row>
    <row r="1991">
      <c r="A1991" t="inlineStr">
        <is>
          <t>Attack% Bucket Multiplier</t>
        </is>
      </c>
      <c r="B1991">
        <f>(1+(((C1976=TRUE)*F1976*IF(AND(Inputs!$B$39&lt;&gt;"pvp",Inputs!$B$44&gt;0),(((R1976-1)*MIN((Skills!T13*(1+Inputs!$B$35/100)),(1/Q1976))+MIN((Skills!T13*(1+Inputs!$B$35/100)),MAX(0,Inputs!$B$44-((R1976-1)*(1/Q1976)))))/Inputs!$B$44),IF(Inputs!$B$39="pvp",MIN((Skills!T13*(1+Inputs!$B$35/100)),15)/15,MIN(1,(Skills!T13*(1+Inputs!$B$35/100))/(1/Q1976)))))+((C1977=TRUE)*F1977*IF(AND(Inputs!$B$39&lt;&gt;"pvp",Inputs!$B$44&gt;0),(((R1977-1)*MIN((Skills!T14*(1+Inputs!$B$35/100)),(1/Q1977))+MIN((Skills!T14*(1+Inputs!$B$35/100)),MAX(0,Inputs!$B$44-((R1977-1)*(1/Q1977)))))/Inputs!$B$44),IF(Inputs!$B$39="pvp",MIN((Skills!T14*(1+Inputs!$B$35/100)),15)/15,MIN(1,(Skills!T14*(1+Inputs!$B$35/100))/(1/Q1977)))))+((C1978=TRUE)*F1978*IF(AND(Inputs!$B$39&lt;&gt;"pvp",Inputs!$B$44&gt;0),(((R1978-1)*MIN((Skills!T15*(1+Inputs!$B$35/100)),(1/Q1978))+MIN((Skills!T15*(1+Inputs!$B$35/100)),MAX(0,Inputs!$B$44-((R1978-1)*(1/Q1978)))))/Inputs!$B$44),IF(Inputs!$B$39="pvp",MIN((Skills!T15*(1+Inputs!$B$35/100)),15)/15,MIN(1,(Skills!T15*(1+Inputs!$B$35/100))/(1/Q1978)))))+((C1979=TRUE)*F1979*IF(AND(Inputs!$B$39&lt;&gt;"pvp",Inputs!$B$44&gt;0),(((R1979-1)*MIN((Skills!T16*(1+Inputs!$B$35/100)),(1/Q1979))+MIN((Skills!T16*(1+Inputs!$B$35/100)),MAX(0,Inputs!$B$44-((R1979-1)*(1/Q1979)))))/Inputs!$B$44),IF(Inputs!$B$39="pvp",MIN((Skills!T16*(1+Inputs!$B$35/100)),15)/15,MIN(1,(Skills!T16*(1+Inputs!$B$35/100))/(1/Q1979)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1992">
      <c r="A1992" t="inlineStr">
        <is>
          <t>Global Crit Rate Bonus % (Lord of Darkness)</t>
        </is>
      </c>
      <c r="B1992">
        <f>((C1981=TRUE)*F1981*(Skills!J18/100)*IF(AND(Inputs!$B$39&lt;&gt;"pvp",Inputs!$B$44&gt;0),(((R1981-1)*MIN((Skills!T18*(1+Inputs!$B$35/100)),(1/Q1981))+MIN((Skills!T18*(1+Inputs!$B$35/100)),MAX(0,Inputs!$B$44-((R1981-1)*(1/Q1981)))))/Inputs!$B$44),IF(Inputs!$B$39="pvp",MIN((Skills!T18*(1+Inputs!$B$35/100)),15)/15,MIN(1,(Skills!T18*(1+Inputs!$B$35/100))/(1/Q1981)))))</f>
        <v/>
      </c>
    </row>
    <row r="1993">
      <c r="A1993" t="inlineStr">
        <is>
          <t>Attack Speed Buff Bonus %</t>
        </is>
      </c>
      <c r="B1993">
        <f>((C1983=TRUE)*F1983*IF(AND(Inputs!$B$39&lt;&gt;"pvp",Inputs!$B$44&gt;0),(((R1983-1)*MIN((Skills!T20*(1+Inputs!$B$35/100)),(1/Q1983))+MIN((Skills!T20*(1+Inputs!$B$35/100)),MAX(0,Inputs!$B$44-((R1983-1)*(1/Q1983)))))/Inputs!$B$44),IF(Inputs!$B$39="pvp",MIN((Skills!T20*(1+Inputs!$B$35/100)),15)/15,MIN(1,(Skills!T20*(1+Inputs!$B$35/100))/(1/Q1983)))))</f>
        <v/>
      </c>
    </row>
    <row r="1994">
      <c r="A1994" t="inlineStr">
        <is>
          <t>Actions Per Second</t>
        </is>
      </c>
      <c r="B1994">
        <f>1+MIN(150,150*(1-(1-(Inputs!$B$12+((C1984=TRUE)*(F1984-Calc!F21)))/150)*(1-B1993/150)))/100</f>
        <v/>
      </c>
    </row>
    <row r="1995">
      <c r="A1995" t="inlineStr">
        <is>
          <t>Skill + Buff Cast Rate</t>
        </is>
      </c>
      <c r="B1995">
        <f>IF(AND(Inputs!$B$39&lt;&gt;"pvp",Inputs!$B$44&gt;0),SUMPRODUCT((Skills!E2:E26=TRUE)*(C1965:C1989=TRUE)*R1965:R1989*Skills!F2:F26)/Inputs!$B$44,SUMPRODUCT((Skills!E2:E26=TRUE)*(C1965:C1989=TRUE)*Q1965:Q1989*Skills!F2:F26))</f>
        <v/>
      </c>
    </row>
    <row r="1996">
      <c r="A1996" t="inlineStr">
        <is>
          <t>Dark Impale Casts Per Second</t>
        </is>
      </c>
      <c r="B1996">
        <f>MAX(0,B1994-B1995)</f>
        <v/>
      </c>
    </row>
    <row r="1997">
      <c r="A1997" t="inlineStr">
        <is>
          <t>Global Critical Damage Bonus % (Lord of Darkness)</t>
        </is>
      </c>
      <c r="B1997">
        <f>((C1982=TRUE)*F1982*(Skills!J19/100)*IF(AND(Inputs!$B$39&lt;&gt;"pvp",Inputs!$B$44&gt;0),(((R1982-1)*MIN((Skills!T19*(1+Inputs!$B$35/100)),(1/Q1982))+MIN((Skills!T19*(1+Inputs!$B$35/100)),MAX(0,Inputs!$B$44-((R1982-1)*(1/Q1982)))))/Inputs!$B$44),IF(Inputs!$B$39="pvp",MIN((Skills!T19*(1+Inputs!$B$35/100)),15)/15,MIN(1,(Skills!T19*(1+Inputs!$B$35/100))/(1/Q1982)))))</f>
        <v/>
      </c>
    </row>
    <row r="1998">
      <c r="A1998" t="inlineStr">
        <is>
          <t>Global Final Damage Bonus % (unused)</t>
        </is>
      </c>
      <c r="B1998" t="n">
        <v>0</v>
      </c>
    </row>
    <row r="1999">
      <c r="A1999" t="inlineStr">
        <is>
          <t>Buff-Casting Startup Delay (s, fixed-duration only)</t>
        </is>
      </c>
      <c r="B1999">
        <f>IF(AND(Inputs!$B$39&lt;&gt;"pvp",Inputs!$B$44&gt;0),SUMPRODUCT((Skills!T2:T26&gt;0)*(Skills!E2:E26=TRUE)*(C1965:C1989=TRUE))/B1994,0)</f>
        <v/>
      </c>
    </row>
    <row r="2000">
      <c r="A2000" t="inlineStr">
        <is>
          <t>Boss-Only Total DPS (this block's swept value)</t>
        </is>
      </c>
      <c r="B2000">
        <f>SUM(T1965:T1989)</f>
        <v/>
      </c>
    </row>
    <row r="2001">
      <c r="A2001" t="inlineStr">
        <is>
          <t>Normal-Only Total DPS (this block's swept value)</t>
        </is>
      </c>
      <c r="B2001">
        <f>SUM(V1965:V1989)</f>
        <v/>
      </c>
    </row>
    <row r="2002">
      <c r="A2002" s="6" t="inlineStr">
        <is>
          <t>TOTAL DPS</t>
        </is>
      </c>
      <c r="B2002" s="6">
        <f>SUM(O1965:O1989)</f>
        <v/>
      </c>
    </row>
    <row r="2005">
      <c r="A2005" s="6" t="inlineStr">
        <is>
          <t>Stat: Lunar Dew (Equip)</t>
        </is>
      </c>
    </row>
    <row r="2006">
      <c r="A2006" s="5" t="inlineStr">
        <is>
          <t>Key</t>
        </is>
      </c>
      <c r="B2006" s="5" t="inlineStr">
        <is>
          <t>Name</t>
        </is>
      </c>
      <c r="C2006" s="5" t="inlineStr">
        <is>
          <t>Unlocked</t>
        </is>
      </c>
      <c r="D2006" s="5" t="inlineStr">
        <is>
          <t>InputLevel</t>
        </is>
      </c>
      <c r="E2006" s="5" t="inlineStr">
        <is>
          <t>Factor</t>
        </is>
      </c>
      <c r="F2006" s="5" t="inlineStr">
        <is>
          <t>CoefficientPercent</t>
        </is>
      </c>
      <c r="G2006" s="5" t="inlineStr">
        <is>
          <t>EffectiveHits</t>
        </is>
      </c>
      <c r="H2006" s="5" t="inlineStr">
        <is>
          <t>ProcProbability</t>
        </is>
      </c>
      <c r="I2006" s="5" t="inlineStr">
        <is>
          <t>MapleHeroMultiplier</t>
        </is>
      </c>
      <c r="J2006" s="5" t="inlineStr">
        <is>
          <t>BaseDamage</t>
        </is>
      </c>
      <c r="K2006" s="5" t="inlineStr">
        <is>
          <t>BaseHitDamage</t>
        </is>
      </c>
      <c r="L2006" s="5" t="inlineStr">
        <is>
          <t>NonCritAvg</t>
        </is>
      </c>
      <c r="M2006" s="5" t="inlineStr">
        <is>
          <t>CritAvg</t>
        </is>
      </c>
      <c r="N2006" s="5" t="inlineStr">
        <is>
          <t>ExpectedDamage(perHit)</t>
        </is>
      </c>
      <c r="O2006" s="5" t="inlineStr">
        <is>
          <t>DPS</t>
        </is>
      </c>
      <c r="P2006" s="5" t="inlineStr">
        <is>
          <t>% of Total</t>
        </is>
      </c>
      <c r="Q2006" s="5" t="inlineStr">
        <is>
          <t>InvCooldown</t>
        </is>
      </c>
      <c r="R2006" s="5" t="inlineStr">
        <is>
          <t>CastsInFight</t>
        </is>
      </c>
      <c r="S2006" s="5" t="inlineStr">
        <is>
          <t>HitRate(perSec)</t>
        </is>
      </c>
      <c r="U2006" t="inlineStr">
        <is>
          <t>helpers</t>
        </is>
      </c>
    </row>
    <row r="2007">
      <c r="A2007">
        <f>Skills!A2</f>
        <v/>
      </c>
      <c r="B2007">
        <f>Skills!B2</f>
        <v/>
      </c>
      <c r="C2007">
        <f>Inputs!$B$3&gt;=100</f>
        <v/>
      </c>
      <c r="D2007" t="inlineStr"/>
      <c r="E2007" t="inlineStr"/>
      <c r="F2007">
        <f>U2009+Skills!O2</f>
        <v/>
      </c>
      <c r="G2007">
        <f>Skills!G2*IF(Skills!H2&gt;0,INT(IF(Inputs!$B$39="pvp",MIN(Skills!I2,15),Skills!I2)/Skills!H2+0.000000001),1)</f>
        <v/>
      </c>
      <c r="H2007">
        <f>1-(1-Skills!J2/100)^Skills!K2</f>
        <v/>
      </c>
      <c r="I2007" t="inlineStr">
        <is>
          <t>1</t>
        </is>
      </c>
      <c r="J2007">
        <f>((Inputs!$B$6*(1+Inputs!$B$7/100))+(((Inputs!$B$13*(1+Inputs!$B$14/100))-(Inputs!$B$13*(1+Inputs!$B$14/100)))+0.25*(Inputs!$B$15-Inputs!$B$15))*(1+Inputs!$B$7/100))*(F2007/100)</f>
        <v/>
      </c>
      <c r="K2007">
        <f>J2007*(1+(((Inputs!$B$13+IF(Inputs!$B$3&gt;=38,(10*INDEX(FactorTable!$B$2:$Y$301, MATCH(ROUND(MIN(300,MAX(1,Inputs!$B$3)),0), FactorTable!$A$2:$A$301,0), 23)/1000)/100*(Inputs!$B$8*(1+Inputs!$B$9/100)),0))*(1+Inputs!$B$14/100))*0.01+Inputs!$B$15*0.0025)/100)*(1+Inputs!$B$16/100)*(1+Inputs!$B$17/100)*(5000/(6000+Inputs!$B$43*(1-(Inputs!$B$20+0)/100)))*(1+(Inputs!$B$25+((C2030=TRUE)*(F2030-Calc!F25))+((C2031=TRUE)*(F2031-Calc!F26))+B2040)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gt;=100),MIN(100,((Inputs!$B$10+0+B2034+(ArtifactsInput!$M$24-ArtifactsInput!$M$24)*CHOOSE(ArtifactsInput!$N$24+1,10,12,14,16,18,20)+IF(ArtifactsInput!$M$10,CHOOSE(ArtifactsInput!$N$10+1,15,18,21,24,27,30)*(IF(Inputs!$B$39="pvp",MIN(15,15)/15,IF(AND(Inputs!$B$39&lt;&gt;"pvp",Inputs!$B$44&gt;0),MIN(15,Inputs!$B$44)/(Inputs!$B$44),0))),0)))-100),0))*CHOOSE(ArtifactsInput!$N$42+1,0.6,0.72,0.84,0.96,1.08,1.2))),Inputs!$B$19+((C2028=TRUE)*(F2028-Calc!F23))+(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gt;=100),CHOOSE(ArtifactsInput!$N$42+1,40,48,56,64,72,80),0))))/100)*((1+(((C2018=TRUE)*F2018*IF(AND(Inputs!$B$39&lt;&gt;"pvp",Inputs!$B$44&gt;0),(((R2018-1)*MIN((Skills!T13*(1+Inputs!$B$35/100)),(1/Q2018))+MIN((Skills!T13*(1+Inputs!$B$35/100)),MAX(0,Inputs!$B$44-((R2018-1)*(1/Q2018)))))/Inputs!$B$44),IF(Inputs!$B$39="pvp",MIN((Skills!T13*(1+Inputs!$B$35/100)),15)/15,MIN(1,(Skills!T13*(1+Inputs!$B$35/100))/(1/Q2018)))))+((C2019=TRUE)*F2019*IF(AND(Inputs!$B$39&lt;&gt;"pvp",Inputs!$B$44&gt;0),(((R2019-1)*MIN((Skills!T14*(1+Inputs!$B$35/100)),(1/Q2019))+MIN((Skills!T14*(1+Inputs!$B$35/100)),MAX(0,Inputs!$B$44-((R2019-1)*(1/Q2019)))))/Inputs!$B$44),IF(Inputs!$B$39="pvp",MIN((Skills!T14*(1+Inputs!$B$35/100)),15)/15,MIN(1,(Skills!T14*(1+Inputs!$B$35/100))/(1/Q2019)))))+((C2020=TRUE)*F2020*IF(AND(Inputs!$B$39&lt;&gt;"pvp",Inputs!$B$44&gt;0),(((R2020-1)*MIN((Skills!T15*(1+Inputs!$B$35/100)),(1/Q2020))+MIN((Skills!T15*(1+Inputs!$B$35/100)),MAX(0,Inputs!$B$44-((R2020-1)*(1/Q2020)))))/Inputs!$B$44),IF(Inputs!$B$39="pvp",MIN((Skills!T15*(1+Inputs!$B$35/100)),15)/15,MIN(1,(Skills!T15*(1+Inputs!$B$35/100))/(1/Q2020)))))+((C2021=TRUE)*F2021*IF(AND(Inputs!$B$39&lt;&gt;"pvp",Inputs!$B$44&gt;0),(((R2021-1)*MIN((Skills!T16*(1+Inputs!$B$35/100)),(1/Q2021))+MIN((Skills!T16*(1+Inputs!$B$35/100)),MAX(0,Inputs!$B$44-((R2021-1)*(1/Q2021)))))/Inputs!$B$44),IF(Inputs!$B$39="pvp",MIN((Skills!T16*(1+Inputs!$B$35/100)),15)/15,MIN(1,(Skills!T16*(1+Inputs!$B$35/100))/(1/Q2021)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2007)</f>
        <v/>
      </c>
      <c r="L2007">
        <f>K2007*(MIN(Inputs!$B$23+((C2027=TRUE)*(F2027-Calc!F22)),(Inputs!$B$24+((C2029=TRUE)*(F2029-Calc!F24))+(IF(ArtifactsInput!$M$15,CHOOSE(ArtifactsInput!$N$15+1,25,30,35,40,45,50)/100*(Inputs!$B$12-Inputs!$B$12),0))))/100+(Inputs!$B$24+((C2029=TRUE)*(F2029-Calc!F24))+(IF(ArtifactsInput!$M$15,CHOOSE(ArtifactsInput!$N$15+1,25,30,35,40,45,50)/100*(Inputs!$B$12-Inputs!$B$12),0)))/100)/2</f>
        <v/>
      </c>
      <c r="M2007">
        <f>L2007*(1+(Inputs!$B$11+0+B2039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007">
        <f>L2007*(1-MIN((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2007*(MIN((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07">
        <f>(1-Summary!$B$11)*T2007+Summary!$B$11*V2007</f>
        <v/>
      </c>
      <c r="P2007">
        <f>IF(B2044=0,0,O2007/B2044)</f>
        <v/>
      </c>
      <c r="Q2007" t="n">
        <v>0</v>
      </c>
      <c r="R2007" t="n">
        <v>0</v>
      </c>
      <c r="S2007">
        <f>IFERROR(O2007/N2007,0)</f>
        <v/>
      </c>
      <c r="T2007">
        <f>IF(C2007,(Skills!G2*N2007*B2038)*IF(Inputs!$B$39="pvp",1,1+(Inputs!$B$21+0+Skills!P2+((C2022=TRUE)*F2022*IF(AND(Inputs!$B$39&lt;&gt;"pvp",Inputs!$B$44&gt;0),(((R2022-1)*MIN((Skills!T17*(1+Inputs!$B$35/100)),(1/Q2022))+MIN((Skills!T17*(1+Inputs!$B$35/100)),MAX(0,Inputs!$B$44-((R2022-1)*(1/Q2022)))))/Inputs!$B$44),IF(Inputs!$B$39="pvp",MIN((Skills!T17*(1+Inputs!$B$35/100)),15)/15,MIN(1,(Skills!T17*(1+Inputs!$B$35/100))/(1/Q2022)))))+((C2010=TRUE)*IF(Inputs!$B$3&gt;=126,10*MIN(1,15*Q2010),0))+((C2019=TRUE)*IF(Inputs!$B$39="pvp",20,(1-Summary!$B$11)*(20)+Summary!$B$11*(0))*IF(AND(Inputs!$B$39&lt;&gt;"pvp",Inputs!$B$44&gt;0),(((R2019-1)*MIN((Skills!T14*(1+Inputs!$B$35/100)),(1/Q2019))+MIN((Skills!T14*(1+Inputs!$B$35/100)),MAX(0,Inputs!$B$44-((R2019-1)*(1/Q2019)))))/Inputs!$B$44),IF(Inputs!$B$39="pvp",MIN((Skills!T14*(1+Inputs!$B$35/100)),15)/15,MIN(1,(Skills!T14*(1+Inputs!$B$35/100))/(1/Q2019)))))+((C2018=TRUE)*IF(Inputs!$B$3&gt;=82,IF(Inputs!$B$39="pvp",20,(1-Summary!$B$11)*(20)+Summary!$B$11*(0)),0)*IF(AND(Inputs!$B$39&lt;&gt;"pvp",Inputs!$B$44&gt;0),(((R2018-1)*MIN((Skills!T13*(1+Inputs!$B$35/100)),(1/Q2018))+MIN((Skills!T13*(1+Inputs!$B$35/100)),MAX(0,Inputs!$B$44-((R2018-1)*(1/Q2018)))))/Inputs!$B$44),IF(Inputs!$B$39="pvp",MIN((Skills!T13*(1+Inputs!$B$35/100)),15)/15,MIN(1,(Skills!T13*(1+Inputs!$B$35/100))/(1/Q2018)))))+(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2007*(1-MIN(100,(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2007*(MIN(100,(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2007*(1-MIN(100,(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2007*(MIN(100,(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007">
        <f>MAX(0,(Inputs!$B$3-100)*3)+Inputs!$B$29+Inputs!$B$30</f>
        <v/>
      </c>
      <c r="V2007">
        <f>IF(C2007,(Skills!G2*N2007*B2038)*IF(Inputs!$B$39="pvp",1,(1+(Inputs!$B$22+Skills!Q2+((C2022=TRUE)*F2022*IF(AND(Inputs!$B$39&lt;&gt;"pvp",Inputs!$B$44&gt;0),(((R2022-1)*MIN((Skills!T17*(1+Inputs!$B$35/100)),(1/Q2022))+MIN((Skills!T17*(1+Inputs!$B$35/100)),MAX(0,Inputs!$B$44-((R2022-1)*(1/Q2022)))))/Inputs!$B$44),IF(Inputs!$B$39="pvp",MIN((Skills!T17*(1+Inputs!$B$35/100)),15)/15,MIN(1,(Skills!T17*(1+Inputs!$B$35/100))/(1/Q2022)))))+((C2010=TRUE)*IF(Inputs!$B$3&gt;=126,10*MIN(1,15*Q2010),0))+((C2019=TRUE)*IF(Inputs!$B$39="pvp",20,(1-Summary!$B$11)*(20)+Summary!$B$11*(0))*IF(AND(Inputs!$B$39&lt;&gt;"pvp",Inputs!$B$44&gt;0),(((R2019-1)*MIN((Skills!T14*(1+Inputs!$B$35/100)),(1/Q2019))+MIN((Skills!T14*(1+Inputs!$B$35/100)),MAX(0,Inputs!$B$44-((R2019-1)*(1/Q2019)))))/Inputs!$B$44),IF(Inputs!$B$39="pvp",MIN((Skills!T14*(1+Inputs!$B$35/100)),15)/15,MIN(1,(Skills!T14*(1+Inputs!$B$35/100))/(1/Q2019)))))+((C2018=TRUE)*IF(Inputs!$B$3&gt;=82,IF(Inputs!$B$39="pvp",20,(1-Summary!$B$11)*(20)+Summary!$B$11*(0)),0)*IF(AND(Inputs!$B$39&lt;&gt;"pvp",Inputs!$B$44&gt;0),(((R2018-1)*MIN((Skills!T13*(1+Inputs!$B$35/100)),(1/Q2018))+MIN((Skills!T13*(1+Inputs!$B$35/100)),MAX(0,Inputs!$B$44-((R2018-1)*(1/Q2018)))))/Inputs!$B$44),IF(Inputs!$B$39="pvp",MIN((Skills!T13*(1+Inputs!$B$35/100)),15)/15,MIN(1,(Skills!T13*(1+Inputs!$B$35/100))/(1/Q2018)))))+(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08">
      <c r="A2008">
        <f>Skills!A3</f>
        <v/>
      </c>
      <c r="B2008">
        <f>Skills!B3</f>
        <v/>
      </c>
      <c r="C2008">
        <f>Inputs!$B$3&gt;=50</f>
        <v/>
      </c>
      <c r="D2008">
        <f>IF(Skills!C3=1,60+Inputs!$B$26+Inputs!$B$30,IF(Skills!C3=2,90+Inputs!$B$27+Inputs!$B$30,IF(Skills!C3=3,120+Inputs!$B$28+Inputs!$B$30,MAX(0,(Inputs!$B$3-100)*3)+Inputs!$B$29+Inputs!$B$30)))</f>
        <v/>
      </c>
      <c r="E2008">
        <f>INDEX(FactorTable!$B$2:$Y$301, MATCH(ROUND(MIN(300,MAX(1,D2008)),0), FactorTable!$A$2:$A$301,0), Skills!M3+1)</f>
        <v/>
      </c>
      <c r="F2008">
        <f>IF(Skills!N3=TRUE,(Skills!L3/10)*(E2008/1000),Skills!L3/10)+Skills!O3</f>
        <v/>
      </c>
      <c r="G2008" t="inlineStr"/>
      <c r="H2008" t="inlineStr"/>
      <c r="I2008" t="inlineStr">
        <is>
          <t>1</t>
        </is>
      </c>
      <c r="J2008" t="inlineStr"/>
      <c r="K2008" t="inlineStr"/>
      <c r="L2008" t="inlineStr"/>
      <c r="M2008" t="inlineStr"/>
      <c r="N2008" t="inlineStr"/>
      <c r="O2008" t="inlineStr"/>
      <c r="P2008" t="inlineStr"/>
      <c r="Q2008" t="inlineStr"/>
      <c r="R2008" t="inlineStr"/>
      <c r="S2008" t="inlineStr"/>
      <c r="U2008">
        <f>INDEX(FactorTable!$B$2:$Y$301, MATCH(ROUND(MIN(300,MAX(1,U2007)),0), FactorTable!$A$2:$A$301,0), 22)</f>
        <v/>
      </c>
    </row>
    <row r="2009">
      <c r="A2009">
        <f>Skills!A4</f>
        <v/>
      </c>
      <c r="B2009">
        <f>Skills!B4</f>
        <v/>
      </c>
      <c r="C2009">
        <f>Inputs!$B$3&gt;=105</f>
        <v/>
      </c>
      <c r="D2009">
        <f>IF(Skills!C4=1,60+Inputs!$B$26+Inputs!$B$30,IF(Skills!C4=2,90+Inputs!$B$27+Inputs!$B$30,IF(Skills!C4=3,120+Inputs!$B$28+Inputs!$B$30,MAX(0,(Inputs!$B$3-100)*3)+Inputs!$B$29+Inputs!$B$30)))</f>
        <v/>
      </c>
      <c r="E2009">
        <f>INDEX(FactorTable!$B$2:$Y$301, MATCH(ROUND(MIN(300,MAX(1,D2009)),0), FactorTable!$A$2:$A$301,0), Skills!M4+1)</f>
        <v/>
      </c>
      <c r="F2009">
        <f>IF(Skills!N4=TRUE,(Skills!L4/10)*(E2009/1000),Skills!L4/10)+Skills!O4</f>
        <v/>
      </c>
      <c r="G2009" t="inlineStr"/>
      <c r="H2009" t="inlineStr"/>
      <c r="I2009" t="inlineStr">
        <is>
          <t>1</t>
        </is>
      </c>
      <c r="J2009" t="inlineStr"/>
      <c r="K2009" t="inlineStr"/>
      <c r="L2009" t="inlineStr"/>
      <c r="M2009" t="inlineStr"/>
      <c r="N2009" t="inlineStr"/>
      <c r="O2009" t="inlineStr"/>
      <c r="P2009" t="inlineStr"/>
      <c r="Q2009" t="inlineStr"/>
      <c r="R2009" t="inlineStr"/>
      <c r="S2009" t="inlineStr"/>
      <c r="U2009">
        <f>290*U2008/1000</f>
        <v/>
      </c>
    </row>
    <row r="2010">
      <c r="A2010">
        <f>Skills!A5</f>
        <v/>
      </c>
      <c r="B2010">
        <f>Skills!B5</f>
        <v/>
      </c>
      <c r="C2010">
        <f>Inputs!$B$3&gt;=117</f>
        <v/>
      </c>
      <c r="D2010">
        <f>IF(Skills!C5=1,60+Inputs!$B$26+Inputs!$B$30,IF(Skills!C5=2,90+Inputs!$B$27+Inputs!$B$30,IF(Skills!C5=3,120+Inputs!$B$28+Inputs!$B$30,MAX(0,(Inputs!$B$3-100)*3)+Inputs!$B$29+Inputs!$B$30)))</f>
        <v/>
      </c>
      <c r="E2010">
        <f>INDEX(FactorTable!$B$2:$Y$301, MATCH(ROUND(MIN(300,MAX(1,D2010)),0), FactorTable!$A$2:$A$301,0), Skills!M5+1)</f>
        <v/>
      </c>
      <c r="F2010">
        <f>IF(Skills!N5=TRUE,(Skills!L5/10)*(E2010/1000),Skills!L5/10)+Skills!O5</f>
        <v/>
      </c>
      <c r="G2010">
        <f>Skills!G5*IF(Skills!H5&gt;0,INT(IF(Inputs!$B$39="pvp",MIN(Skills!I5,15),Skills!I5)/Skills!H5+0.000000001),1)</f>
        <v/>
      </c>
      <c r="H2010">
        <f>1-(1-Skills!J5/100)^Skills!K5</f>
        <v/>
      </c>
      <c r="I2010" t="inlineStr">
        <is>
          <t>1</t>
        </is>
      </c>
      <c r="J2010">
        <f>((Inputs!$B$6*(1+Inputs!$B$7/100))+(((Inputs!$B$13*(1+Inputs!$B$14/100))-(Inputs!$B$13*(1+Inputs!$B$14/100)))+0.25*(Inputs!$B$15-Inputs!$B$15))*(1+Inputs!$B$7/100))*(F2010/100)</f>
        <v/>
      </c>
      <c r="K2010">
        <f>J2010*(1+(((Inputs!$B$13+IF(Inputs!$B$3&gt;=38,(10*INDEX(FactorTable!$B$2:$Y$301, MATCH(ROUND(MIN(300,MAX(1,Inputs!$B$3)),0), FactorTable!$A$2:$A$301,0), 23)/1000)/100*(Inputs!$B$8*(1+Inputs!$B$9/100)),0))*(1+Inputs!$B$14/100))*0.01+Inputs!$B$15*0.0025)/100)*(1+Inputs!$B$16/100)*(1+Inputs!$B$17/100)*(5000/(6000+Inputs!$B$43*(1-(Inputs!$B$20+0)/100)))*(1+(Inputs!$B$25+((C2030=TRUE)*(F2030-Calc!F25))+((C2031=TRUE)*(F2031-Calc!F26))+B2040)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gt;=100),MIN(100,((Inputs!$B$10+0+B2034+(ArtifactsInput!$M$24-ArtifactsInput!$M$24)*CHOOSE(ArtifactsInput!$N$24+1,10,12,14,16,18,20)+IF(ArtifactsInput!$M$10,CHOOSE(ArtifactsInput!$N$10+1,15,18,21,24,27,30)*(IF(Inputs!$B$39="pvp",MIN(15,15)/15,IF(AND(Inputs!$B$39&lt;&gt;"pvp",Inputs!$B$44&gt;0),MIN(15,Inputs!$B$44)/(Inputs!$B$44),0))),0)))-100),0))*CHOOSE(ArtifactsInput!$N$42+1,0.6,0.72,0.84,0.96,1.08,1.2))),Inputs!$B$19+((C2028=TRUE)*(F2028-Calc!F23))+(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gt;=100),CHOOSE(ArtifactsInput!$N$42+1,40,48,56,64,72,80),0))))/100)*((1+(((C2018=TRUE)*F2018*IF(AND(Inputs!$B$39&lt;&gt;"pvp",Inputs!$B$44&gt;0),(((R2018-1)*MIN((Skills!T13*(1+Inputs!$B$35/100)),(1/Q2018))+MIN((Skills!T13*(1+Inputs!$B$35/100)),MAX(0,Inputs!$B$44-((R2018-1)*(1/Q2018)))))/Inputs!$B$44),IF(Inputs!$B$39="pvp",MIN((Skills!T13*(1+Inputs!$B$35/100)),15)/15,MIN(1,(Skills!T13*(1+Inputs!$B$35/100))/(1/Q2018)))))+((C2019=TRUE)*F2019*IF(AND(Inputs!$B$39&lt;&gt;"pvp",Inputs!$B$44&gt;0),(((R2019-1)*MIN((Skills!T14*(1+Inputs!$B$35/100)),(1/Q2019))+MIN((Skills!T14*(1+Inputs!$B$35/100)),MAX(0,Inputs!$B$44-((R2019-1)*(1/Q2019)))))/Inputs!$B$44),IF(Inputs!$B$39="pvp",MIN((Skills!T14*(1+Inputs!$B$35/100)),15)/15,MIN(1,(Skills!T14*(1+Inputs!$B$35/100))/(1/Q2019)))))+((C2020=TRUE)*F2020*IF(AND(Inputs!$B$39&lt;&gt;"pvp",Inputs!$B$44&gt;0),(((R2020-1)*MIN((Skills!T15*(1+Inputs!$B$35/100)),(1/Q2020))+MIN((Skills!T15*(1+Inputs!$B$35/100)),MAX(0,Inputs!$B$44-((R2020-1)*(1/Q2020)))))/Inputs!$B$44),IF(Inputs!$B$39="pvp",MIN((Skills!T15*(1+Inputs!$B$35/100)),15)/15,MIN(1,(Skills!T15*(1+Inputs!$B$35/100))/(1/Q2020)))))+((C2021=TRUE)*F2021*IF(AND(Inputs!$B$39&lt;&gt;"pvp",Inputs!$B$44&gt;0),(((R2021-1)*MIN((Skills!T16*(1+Inputs!$B$35/100)),(1/Q2021))+MIN((Skills!T16*(1+Inputs!$B$35/100)),MAX(0,Inputs!$B$44-((R2021-1)*(1/Q2021)))))/Inputs!$B$44),IF(Inputs!$B$39="pvp",MIN((Skills!T16*(1+Inputs!$B$35/100)),15)/15,MIN(1,(Skills!T16*(1+Inputs!$B$35/100))/(1/Q2021)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2010)</f>
        <v/>
      </c>
      <c r="L2010">
        <f>K2010*(MIN(Inputs!$B$23+((C2027=TRUE)*(F2027-Calc!F22)),(Inputs!$B$24+((C2029=TRUE)*(F2029-Calc!F24))+(IF(ArtifactsInput!$M$15,CHOOSE(ArtifactsInput!$N$15+1,25,30,35,40,45,50)/100*(Inputs!$B$12-Inputs!$B$12),0))))/100+(Inputs!$B$24+((C2029=TRUE)*(F2029-Calc!F24))+(IF(ArtifactsInput!$M$15,CHOOSE(ArtifactsInput!$N$15+1,25,30,35,40,45,50)/100*(Inputs!$B$12-Inputs!$B$12),0)))/100)/2</f>
        <v/>
      </c>
      <c r="M2010">
        <f>L2010*(1+(Inputs!$B$11+0+B2039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010">
        <f>L2010*(1-MIN((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2010*(MIN((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10">
        <f>(1-Summary!$B$11)*T2010+Summary!$B$11*V2010</f>
        <v/>
      </c>
      <c r="P2010">
        <f>IF(B2044=0,0,O2010/B2044)</f>
        <v/>
      </c>
      <c r="Q2010">
        <f>IFERROR(1/IF(Inputs!$B$39="pvp",15,MAX(0.1,Skills!D5-IF(TRUE=TRUE,Inputs!$B$33,0))),0)</f>
        <v/>
      </c>
      <c r="R2010">
        <f>IF(AND(Inputs!$B$39&lt;&gt;"pvp",Inputs!$B$44&gt;0),IF(MAX(0,Inputs!$B$44-B2041)&lt;=0,0,(INT(MAX(0,Inputs!$B$44-B2041)/IF(Inputs!$B$39="pvp",15,MAX(0.1,Skills!D5-IF(TRUE=TRUE,Inputs!$B$33,0))))+1)),0)</f>
        <v/>
      </c>
      <c r="S2010">
        <f>IFERROR(O2010/N2010,0)</f>
        <v/>
      </c>
      <c r="T2010">
        <f>IF(C2010,(H2010*N2010*IF(AND(Inputs!$B$39&lt;&gt;"pvp",Inputs!$B$44&gt;0),((Skills!G5*((R2010-1)*IF(Skills!H5&gt;0,INT(Skills!I5/Skills!H5+0.000000001),1)+IF(Skills!H5&gt;0,INT(MIN(Skills!I5,MAX(0,MAX(0,Inputs!$B$44-B2041)-((R2010-1)*IF(Inputs!$B$39="pvp",15,MAX(0.1,Skills!D5-IF(TRUE=TRUE,Inputs!$B$33,0))))))/Skills!H5+0.000000001),1)))/Inputs!$B$44),G2010*Q2010))*IF(Inputs!$B$39="pvp",1,1+(Inputs!$B$21+0+Skills!P5+((C2022=TRUE)*F2022*IF(AND(Inputs!$B$39&lt;&gt;"pvp",Inputs!$B$44&gt;0),(((R2022-1)*MIN((Skills!T17*(1+Inputs!$B$35/100)),(1/Q2022))+MIN((Skills!T17*(1+Inputs!$B$35/100)),MAX(0,Inputs!$B$44-((R2022-1)*(1/Q2022)))))/Inputs!$B$44),IF(Inputs!$B$39="pvp",MIN((Skills!T17*(1+Inputs!$B$35/100)),15)/15,MIN(1,(Skills!T17*(1+Inputs!$B$35/100))/(1/Q2022)))))+((C2010=TRUE)*IF(Inputs!$B$3&gt;=126,10*MIN(1,15*Q2010),0))+((C2019=TRUE)*IF(Inputs!$B$39="pvp",20,(1-Summary!$B$11)*(20)+Summary!$B$11*(0))*IF(AND(Inputs!$B$39&lt;&gt;"pvp",Inputs!$B$44&gt;0),(((R2019-1)*MIN((Skills!T14*(1+Inputs!$B$35/100)),(1/Q2019))+MIN((Skills!T14*(1+Inputs!$B$35/100)),MAX(0,Inputs!$B$44-((R2019-1)*(1/Q2019)))))/Inputs!$B$44),IF(Inputs!$B$39="pvp",MIN((Skills!T14*(1+Inputs!$B$35/100)),15)/15,MIN(1,(Skills!T14*(1+Inputs!$B$35/100))/(1/Q2019)))))+((C2018=TRUE)*IF(Inputs!$B$3&gt;=82,IF(Inputs!$B$39="pvp",20,(1-Summary!$B$11)*(20)+Summary!$B$11*(0)),0)*IF(AND(Inputs!$B$39&lt;&gt;"pvp",Inputs!$B$44&gt;0),(((R2018-1)*MIN((Skills!T13*(1+Inputs!$B$35/100)),(1/Q2018))+MIN((Skills!T13*(1+Inputs!$B$35/100)),MAX(0,Inputs!$B$44-((R2018-1)*(1/Q2018)))))/Inputs!$B$44),IF(Inputs!$B$39="pvp",MIN((Skills!T13*(1+Inputs!$B$35/100)),15)/15,MIN(1,(Skills!T13*(1+Inputs!$B$35/100))/(1/Q2018)))))+(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2010*(1-MIN(100,(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2010*(MIN(100,(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2010*(1-MIN(100,(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2010*(MIN(100,(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10">
        <f>IF(C2010,(H2010*N2010*IF(AND(Inputs!$B$39&lt;&gt;"pvp",Inputs!$B$44&gt;0),((Skills!G5*((R2010-1)*IF(Skills!H5&gt;0,INT(Skills!I5/Skills!H5+0.000000001),1)+IF(Skills!H5&gt;0,INT(MIN(Skills!I5,MAX(0,MAX(0,Inputs!$B$44-B2041)-((R2010-1)*IF(Inputs!$B$39="pvp",15,MAX(0.1,Skills!D5-IF(TRUE=TRUE,Inputs!$B$33,0))))))/Skills!H5+0.000000001),1)))/Inputs!$B$44),G2010*Q2010))*IF(Inputs!$B$39="pvp",1,(1+(Inputs!$B$22+Skills!Q5+((C2022=TRUE)*F2022*IF(AND(Inputs!$B$39&lt;&gt;"pvp",Inputs!$B$44&gt;0),(((R2022-1)*MIN((Skills!T17*(1+Inputs!$B$35/100)),(1/Q2022))+MIN((Skills!T17*(1+Inputs!$B$35/100)),MAX(0,Inputs!$B$44-((R2022-1)*(1/Q2022)))))/Inputs!$B$44),IF(Inputs!$B$39="pvp",MIN((Skills!T17*(1+Inputs!$B$35/100)),15)/15,MIN(1,(Skills!T17*(1+Inputs!$B$35/100))/(1/Q2022)))))+((C2010=TRUE)*IF(Inputs!$B$3&gt;=126,10*MIN(1,15*Q2010),0))+((C2019=TRUE)*IF(Inputs!$B$39="pvp",20,(1-Summary!$B$11)*(20)+Summary!$B$11*(0))*IF(AND(Inputs!$B$39&lt;&gt;"pvp",Inputs!$B$44&gt;0),(((R2019-1)*MIN((Skills!T14*(1+Inputs!$B$35/100)),(1/Q2019))+MIN((Skills!T14*(1+Inputs!$B$35/100)),MAX(0,Inputs!$B$44-((R2019-1)*(1/Q2019)))))/Inputs!$B$44),IF(Inputs!$B$39="pvp",MIN((Skills!T14*(1+Inputs!$B$35/100)),15)/15,MIN(1,(Skills!T14*(1+Inputs!$B$35/100))/(1/Q2019)))))+((C2018=TRUE)*IF(Inputs!$B$3&gt;=82,IF(Inputs!$B$39="pvp",20,(1-Summary!$B$11)*(20)+Summary!$B$11*(0)),0)*IF(AND(Inputs!$B$39&lt;&gt;"pvp",Inputs!$B$44&gt;0),(((R2018-1)*MIN((Skills!T13*(1+Inputs!$B$35/100)),(1/Q2018))+MIN((Skills!T13*(1+Inputs!$B$35/100)),MAX(0,Inputs!$B$44-((R2018-1)*(1/Q2018)))))/Inputs!$B$44),IF(Inputs!$B$39="pvp",MIN((Skills!T13*(1+Inputs!$B$35/100)),15)/15,MIN(1,(Skills!T13*(1+Inputs!$B$35/100))/(1/Q2018)))))+(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11">
      <c r="A2011">
        <f>Skills!A6</f>
        <v/>
      </c>
      <c r="B2011">
        <f>Skills!B6</f>
        <v/>
      </c>
      <c r="C2011">
        <f>Inputs!$B$3&gt;=103</f>
        <v/>
      </c>
      <c r="D2011">
        <f>IF(Skills!C6=1,60+Inputs!$B$26+Inputs!$B$30,IF(Skills!C6=2,90+Inputs!$B$27+Inputs!$B$30,IF(Skills!C6=3,120+Inputs!$B$28+Inputs!$B$30,MAX(0,(Inputs!$B$3-100)*3)+Inputs!$B$29+Inputs!$B$30)))</f>
        <v/>
      </c>
      <c r="E2011">
        <f>INDEX(FactorTable!$B$2:$Y$301, MATCH(ROUND(MIN(300,MAX(1,D2011)),0), FactorTable!$A$2:$A$301,0), Skills!M6+1)</f>
        <v/>
      </c>
      <c r="F2011">
        <f>IF(Skills!N6=TRUE,(Skills!L6/10)*(E2011/1000),Skills!L6/10)+Skills!O6</f>
        <v/>
      </c>
      <c r="G2011">
        <f>Skills!G6*IF(Skills!H6&gt;0,INT(IF(Inputs!$B$39="pvp",MIN(Skills!I6,15),Skills!I6)/Skills!H6+0.000000001),1)</f>
        <v/>
      </c>
      <c r="H2011">
        <f>1-(1-Skills!J6/100)^Skills!K6</f>
        <v/>
      </c>
      <c r="I2011" t="inlineStr">
        <is>
          <t>1</t>
        </is>
      </c>
      <c r="J2011">
        <f>((Inputs!$B$6*(1+Inputs!$B$7/100))+(((Inputs!$B$13*(1+Inputs!$B$14/100))-(Inputs!$B$13*(1+Inputs!$B$14/100)))+0.25*(Inputs!$B$15-Inputs!$B$15))*(1+Inputs!$B$7/100))*(F2011/100)</f>
        <v/>
      </c>
      <c r="K2011">
        <f>J2011*(1+(((Inputs!$B$13+IF(Inputs!$B$3&gt;=38,(10*INDEX(FactorTable!$B$2:$Y$301, MATCH(ROUND(MIN(300,MAX(1,Inputs!$B$3)),0), FactorTable!$A$2:$A$301,0), 23)/1000)/100*(Inputs!$B$8*(1+Inputs!$B$9/100)),0))*(1+Inputs!$B$14/100))*0.01+Inputs!$B$15*0.0025)/100)*(1+Inputs!$B$16/100)*(1+Inputs!$B$17/100)*(5000/(6000+Inputs!$B$43*(1-(Inputs!$B$20+0)/100)))*(1+(Inputs!$B$25+((C2030=TRUE)*(F2030-Calc!F25))+((C2031=TRUE)*(F2031-Calc!F26))+B2040)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gt;=100),MIN(100,((Inputs!$B$10+0+B2034+(ArtifactsInput!$M$24-ArtifactsInput!$M$24)*CHOOSE(ArtifactsInput!$N$24+1,10,12,14,16,18,20)+IF(ArtifactsInput!$M$10,CHOOSE(ArtifactsInput!$N$10+1,15,18,21,24,27,30)*(IF(Inputs!$B$39="pvp",MIN(15,15)/15,IF(AND(Inputs!$B$39&lt;&gt;"pvp",Inputs!$B$44&gt;0),MIN(15,Inputs!$B$44)/(Inputs!$B$44),0))),0)))-100),0))*CHOOSE(ArtifactsInput!$N$42+1,0.6,0.72,0.84,0.96,1.08,1.2))),Inputs!$B$19+((C2028=TRUE)*(F2028-Calc!F23))+(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gt;=100),CHOOSE(ArtifactsInput!$N$42+1,40,48,56,64,72,80),0))))/100)*((1+(((C2018=TRUE)*F2018*IF(AND(Inputs!$B$39&lt;&gt;"pvp",Inputs!$B$44&gt;0),(((R2018-1)*MIN((Skills!T13*(1+Inputs!$B$35/100)),(1/Q2018))+MIN((Skills!T13*(1+Inputs!$B$35/100)),MAX(0,Inputs!$B$44-((R2018-1)*(1/Q2018)))))/Inputs!$B$44),IF(Inputs!$B$39="pvp",MIN((Skills!T13*(1+Inputs!$B$35/100)),15)/15,MIN(1,(Skills!T13*(1+Inputs!$B$35/100))/(1/Q2018)))))+((C2019=TRUE)*F2019*IF(AND(Inputs!$B$39&lt;&gt;"pvp",Inputs!$B$44&gt;0),(((R2019-1)*MIN((Skills!T14*(1+Inputs!$B$35/100)),(1/Q2019))+MIN((Skills!T14*(1+Inputs!$B$35/100)),MAX(0,Inputs!$B$44-((R2019-1)*(1/Q2019)))))/Inputs!$B$44),IF(Inputs!$B$39="pvp",MIN((Skills!T14*(1+Inputs!$B$35/100)),15)/15,MIN(1,(Skills!T14*(1+Inputs!$B$35/100))/(1/Q2019)))))+((C2020=TRUE)*F2020*IF(AND(Inputs!$B$39&lt;&gt;"pvp",Inputs!$B$44&gt;0),(((R2020-1)*MIN((Skills!T15*(1+Inputs!$B$35/100)),(1/Q2020))+MIN((Skills!T15*(1+Inputs!$B$35/100)),MAX(0,Inputs!$B$44-((R2020-1)*(1/Q2020)))))/Inputs!$B$44),IF(Inputs!$B$39="pvp",MIN((Skills!T15*(1+Inputs!$B$35/100)),15)/15,MIN(1,(Skills!T15*(1+Inputs!$B$35/100))/(1/Q2020)))))+((C2021=TRUE)*F2021*IF(AND(Inputs!$B$39&lt;&gt;"pvp",Inputs!$B$44&gt;0),(((R2021-1)*MIN((Skills!T16*(1+Inputs!$B$35/100)),(1/Q2021))+MIN((Skills!T16*(1+Inputs!$B$35/100)),MAX(0,Inputs!$B$44-((R2021-1)*(1/Q2021)))))/Inputs!$B$44),IF(Inputs!$B$39="pvp",MIN((Skills!T16*(1+Inputs!$B$35/100)),15)/15,MIN(1,(Skills!T16*(1+Inputs!$B$35/100))/(1/Q2021)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2011)</f>
        <v/>
      </c>
      <c r="L2011">
        <f>K2011*(MIN(Inputs!$B$23+((C2027=TRUE)*(F2027-Calc!F22)),(Inputs!$B$24+((C2029=TRUE)*(F2029-Calc!F24))+(IF(ArtifactsInput!$M$15,CHOOSE(ArtifactsInput!$N$15+1,25,30,35,40,45,50)/100*(Inputs!$B$12-Inputs!$B$12),0))))/100+(Inputs!$B$24+((C2029=TRUE)*(F2029-Calc!F24))+(IF(ArtifactsInput!$M$15,CHOOSE(ArtifactsInput!$N$15+1,25,30,35,40,45,50)/100*(Inputs!$B$12-Inputs!$B$12),0)))/100)/2</f>
        <v/>
      </c>
      <c r="M2011">
        <f>L2011*(1+(Inputs!$B$11+0+B2039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011">
        <f>L2011*(1-MIN((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2011*(MIN((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11">
        <f>(1-Summary!$B$11)*T2011+Summary!$B$11*V2011</f>
        <v/>
      </c>
      <c r="P2011">
        <f>IF(B2044=0,0,O2011/B2044)</f>
        <v/>
      </c>
      <c r="Q2011">
        <f>IFERROR(1/IF(Inputs!$B$39="pvp",15,MAX(0.1,Skills!D6-IF(TRUE=TRUE,Inputs!$B$33,0))),0)</f>
        <v/>
      </c>
      <c r="R2011">
        <f>IF(AND(Inputs!$B$39&lt;&gt;"pvp",Inputs!$B$44&gt;0),IF(MAX(0,Inputs!$B$44-B2041)&lt;=0,0,(INT(MAX(0,Inputs!$B$44-B2041)/IF(Inputs!$B$39="pvp",15,MAX(0.1,Skills!D6-IF(TRUE=TRUE,Inputs!$B$33,0))))+1)),0)</f>
        <v/>
      </c>
      <c r="S2011">
        <f>IFERROR(O2011/N2011,0)</f>
        <v/>
      </c>
      <c r="T2011">
        <f>IF(C2011,(H2011*N2011*IF(AND(Inputs!$B$39&lt;&gt;"pvp",Inputs!$B$44&gt;0),((Skills!G6*((R2011-1)*IF(Skills!H6&gt;0,INT(Skills!I6/Skills!H6+0.000000001),1)+IF(Skills!H6&gt;0,INT(MIN(Skills!I6,MAX(0,MAX(0,Inputs!$B$44-B2041)-((R2011-1)*IF(Inputs!$B$39="pvp",15,MAX(0.1,Skills!D6-IF(TRUE=TRUE,Inputs!$B$33,0))))))/Skills!H6+0.000000001),1)))/Inputs!$B$44),G2011*Q2011))*IF(Inputs!$B$39="pvp",1,1+(Inputs!$B$21+0+Skills!P6+((C2022=TRUE)*F2022*IF(AND(Inputs!$B$39&lt;&gt;"pvp",Inputs!$B$44&gt;0),(((R2022-1)*MIN((Skills!T17*(1+Inputs!$B$35/100)),(1/Q2022))+MIN((Skills!T17*(1+Inputs!$B$35/100)),MAX(0,Inputs!$B$44-((R2022-1)*(1/Q2022)))))/Inputs!$B$44),IF(Inputs!$B$39="pvp",MIN((Skills!T17*(1+Inputs!$B$35/100)),15)/15,MIN(1,(Skills!T17*(1+Inputs!$B$35/100))/(1/Q2022)))))+((C2010=TRUE)*IF(Inputs!$B$3&gt;=126,10*MIN(1,15*Q2010),0))+((C2019=TRUE)*IF(Inputs!$B$39="pvp",20,(1-Summary!$B$11)*(20)+Summary!$B$11*(0))*IF(AND(Inputs!$B$39&lt;&gt;"pvp",Inputs!$B$44&gt;0),(((R2019-1)*MIN((Skills!T14*(1+Inputs!$B$35/100)),(1/Q2019))+MIN((Skills!T14*(1+Inputs!$B$35/100)),MAX(0,Inputs!$B$44-((R2019-1)*(1/Q2019)))))/Inputs!$B$44),IF(Inputs!$B$39="pvp",MIN((Skills!T14*(1+Inputs!$B$35/100)),15)/15,MIN(1,(Skills!T14*(1+Inputs!$B$35/100))/(1/Q2019)))))+((C2018=TRUE)*IF(Inputs!$B$3&gt;=82,IF(Inputs!$B$39="pvp",20,(1-Summary!$B$11)*(20)+Summary!$B$11*(0)),0)*IF(AND(Inputs!$B$39&lt;&gt;"pvp",Inputs!$B$44&gt;0),(((R2018-1)*MIN((Skills!T13*(1+Inputs!$B$35/100)),(1/Q2018))+MIN((Skills!T13*(1+Inputs!$B$35/100)),MAX(0,Inputs!$B$44-((R2018-1)*(1/Q2018)))))/Inputs!$B$44),IF(Inputs!$B$39="pvp",MIN((Skills!T13*(1+Inputs!$B$35/100)),15)/15,MIN(1,(Skills!T13*(1+Inputs!$B$35/100))/(1/Q2018)))))+(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2011*(1-MIN(100,(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2011*(MIN(100,(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2011*(1-MIN(100,(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2011*(MIN(100,(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11">
        <f>IF(C2011,(H2011*N2011*IF(AND(Inputs!$B$39&lt;&gt;"pvp",Inputs!$B$44&gt;0),((Skills!G6*((R2011-1)*IF(Skills!H6&gt;0,INT(Skills!I6/Skills!H6+0.000000001),1)+IF(Skills!H6&gt;0,INT(MIN(Skills!I6,MAX(0,MAX(0,Inputs!$B$44-B2041)-((R2011-1)*IF(Inputs!$B$39="pvp",15,MAX(0.1,Skills!D6-IF(TRUE=TRUE,Inputs!$B$33,0))))))/Skills!H6+0.000000001),1)))/Inputs!$B$44),G2011*Q2011))*IF(Inputs!$B$39="pvp",1,(1+(Inputs!$B$22+Skills!Q6+((C2022=TRUE)*F2022*IF(AND(Inputs!$B$39&lt;&gt;"pvp",Inputs!$B$44&gt;0),(((R2022-1)*MIN((Skills!T17*(1+Inputs!$B$35/100)),(1/Q2022))+MIN((Skills!T17*(1+Inputs!$B$35/100)),MAX(0,Inputs!$B$44-((R2022-1)*(1/Q2022)))))/Inputs!$B$44),IF(Inputs!$B$39="pvp",MIN((Skills!T17*(1+Inputs!$B$35/100)),15)/15,MIN(1,(Skills!T17*(1+Inputs!$B$35/100))/(1/Q2022)))))+((C2010=TRUE)*IF(Inputs!$B$3&gt;=126,10*MIN(1,15*Q2010),0))+((C2019=TRUE)*IF(Inputs!$B$39="pvp",20,(1-Summary!$B$11)*(20)+Summary!$B$11*(0))*IF(AND(Inputs!$B$39&lt;&gt;"pvp",Inputs!$B$44&gt;0),(((R2019-1)*MIN((Skills!T14*(1+Inputs!$B$35/100)),(1/Q2019))+MIN((Skills!T14*(1+Inputs!$B$35/100)),MAX(0,Inputs!$B$44-((R2019-1)*(1/Q2019)))))/Inputs!$B$44),IF(Inputs!$B$39="pvp",MIN((Skills!T14*(1+Inputs!$B$35/100)),15)/15,MIN(1,(Skills!T14*(1+Inputs!$B$35/100))/(1/Q2019)))))+((C2018=TRUE)*IF(Inputs!$B$3&gt;=82,IF(Inputs!$B$39="pvp",20,(1-Summary!$B$11)*(20)+Summary!$B$11*(0)),0)*IF(AND(Inputs!$B$39&lt;&gt;"pvp",Inputs!$B$44&gt;0),(((R2018-1)*MIN((Skills!T13*(1+Inputs!$B$35/100)),(1/Q2018))+MIN((Skills!T13*(1+Inputs!$B$35/100)),MAX(0,Inputs!$B$44-((R2018-1)*(1/Q2018)))))/Inputs!$B$44),IF(Inputs!$B$39="pvp",MIN((Skills!T13*(1+Inputs!$B$35/100)),15)/15,MIN(1,(Skills!T13*(1+Inputs!$B$35/100))/(1/Q2018)))))+(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12">
      <c r="A2012">
        <f>Skills!A7</f>
        <v/>
      </c>
      <c r="B2012">
        <f>Skills!B7</f>
        <v/>
      </c>
      <c r="C2012">
        <f>Inputs!$B$3&gt;=40</f>
        <v/>
      </c>
      <c r="D2012">
        <f>IF(Skills!C7=1,60+Inputs!$B$26+Inputs!$B$30,IF(Skills!C7=2,90+Inputs!$B$27+Inputs!$B$30,IF(Skills!C7=3,120+Inputs!$B$28+Inputs!$B$30,MAX(0,(Inputs!$B$3-100)*3)+Inputs!$B$29+Inputs!$B$30)))</f>
        <v/>
      </c>
      <c r="E2012">
        <f>INDEX(FactorTable!$B$2:$Y$301, MATCH(ROUND(MIN(300,MAX(1,D2012)),0), FactorTable!$A$2:$A$301,0), Skills!M7+1)</f>
        <v/>
      </c>
      <c r="F2012">
        <f>IF(Skills!N7=TRUE,(Skills!L7/10)*(E2012/1000),Skills!L7/10)+Skills!O7</f>
        <v/>
      </c>
      <c r="G2012">
        <f>Skills!G7*IF(Skills!H7&gt;0,INT(IF(Inputs!$B$39="pvp",MIN(Skills!I7,15),Skills!I7)/Skills!H7+0.000000001),1)</f>
        <v/>
      </c>
      <c r="H2012">
        <f>1-(1-Skills!J7/100)^Skills!K7</f>
        <v/>
      </c>
      <c r="I2012" t="inlineStr">
        <is>
          <t>1</t>
        </is>
      </c>
      <c r="J2012">
        <f>((Inputs!$B$6*(1+Inputs!$B$7/100))+(((Inputs!$B$13*(1+Inputs!$B$14/100))-(Inputs!$B$13*(1+Inputs!$B$14/100)))+0.25*(Inputs!$B$15-Inputs!$B$15))*(1+Inputs!$B$7/100))*(F2012/100)</f>
        <v/>
      </c>
      <c r="K2012">
        <f>J2012*(1+(((Inputs!$B$13+IF(Inputs!$B$3&gt;=38,(10*INDEX(FactorTable!$B$2:$Y$301, MATCH(ROUND(MIN(300,MAX(1,Inputs!$B$3)),0), FactorTable!$A$2:$A$301,0), 23)/1000)/100*(Inputs!$B$8*(1+Inputs!$B$9/100)),0))*(1+Inputs!$B$14/100))*0.01+Inputs!$B$15*0.0025)/100)*(1+Inputs!$B$16/100)*(1+Inputs!$B$17/100)*(5000/(6000+Inputs!$B$43*(1-(Inputs!$B$20+0)/100)))*(1+(Inputs!$B$25+((C2030=TRUE)*(F2030-Calc!F25))+((C2031=TRUE)*(F2031-Calc!F26))+B2040)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2016=TRUE,F2016,0)/100)*(1+(IF(Skills!A7="DARK_IMPALE",Inputs!$B$18+0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gt;=100),MIN(100,((Inputs!$B$10+0+B2034+(ArtifactsInput!$M$24-ArtifactsInput!$M$24)*CHOOSE(ArtifactsInput!$N$24+1,10,12,14,16,18,20)+IF(ArtifactsInput!$M$10,CHOOSE(ArtifactsInput!$N$10+1,15,18,21,24,27,30)*(IF(Inputs!$B$39="pvp",MIN(15,15)/15,IF(AND(Inputs!$B$39&lt;&gt;"pvp",Inputs!$B$44&gt;0),MIN(15,Inputs!$B$44)/(Inputs!$B$44),0))),0)))-100),0))*CHOOSE(ArtifactsInput!$N$42+1,0.6,0.72,0.84,0.96,1.08,1.2))),Inputs!$B$19+((C2028=TRUE)*(F2028-Calc!F23))+(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gt;=100),CHOOSE(ArtifactsInput!$N$42+1,40,48,56,64,72,80),0))))/100)*((1+(((C2018=TRUE)*F2018*IF(AND(Inputs!$B$39&lt;&gt;"pvp",Inputs!$B$44&gt;0),(((R2018-1)*MIN((Skills!T13*(1+Inputs!$B$35/100)),(1/Q2018))+MIN((Skills!T13*(1+Inputs!$B$35/100)),MAX(0,Inputs!$B$44-((R2018-1)*(1/Q2018)))))/Inputs!$B$44),IF(Inputs!$B$39="pvp",MIN((Skills!T13*(1+Inputs!$B$35/100)),15)/15,MIN(1,(Skills!T13*(1+Inputs!$B$35/100))/(1/Q2018)))))+((C2019=TRUE)*F2019*IF(AND(Inputs!$B$39&lt;&gt;"pvp",Inputs!$B$44&gt;0),(((R2019-1)*MIN((Skills!T14*(1+Inputs!$B$35/100)),(1/Q2019))+MIN((Skills!T14*(1+Inputs!$B$35/100)),MAX(0,Inputs!$B$44-((R2019-1)*(1/Q2019)))))/Inputs!$B$44),IF(Inputs!$B$39="pvp",MIN((Skills!T14*(1+Inputs!$B$35/100)),15)/15,MIN(1,(Skills!T14*(1+Inputs!$B$35/100))/(1/Q2019)))))+((C2020=TRUE)*F2020*IF(AND(Inputs!$B$39&lt;&gt;"pvp",Inputs!$B$44&gt;0),(((R2020-1)*MIN((Skills!T15*(1+Inputs!$B$35/100)),(1/Q2020))+MIN((Skills!T15*(1+Inputs!$B$35/100)),MAX(0,Inputs!$B$44-((R2020-1)*(1/Q2020)))))/Inputs!$B$44),IF(Inputs!$B$39="pvp",MIN((Skills!T15*(1+Inputs!$B$35/100)),15)/15,MIN(1,(Skills!T15*(1+Inputs!$B$35/100))/(1/Q2020)))))+((C2021=TRUE)*F2021*IF(AND(Inputs!$B$39&lt;&gt;"pvp",Inputs!$B$44&gt;0),(((R2021-1)*MIN((Skills!T16*(1+Inputs!$B$35/100)),(1/Q2021))+MIN((Skills!T16*(1+Inputs!$B$35/100)),MAX(0,Inputs!$B$44-((R2021-1)*(1/Q2021)))))/Inputs!$B$44),IF(Inputs!$B$39="pvp",MIN((Skills!T16*(1+Inputs!$B$35/100)),15)/15,MIN(1,(Skills!T16*(1+Inputs!$B$35/100))/(1/Q2021)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2012)</f>
        <v/>
      </c>
      <c r="L2012">
        <f>K2012*(MIN(Inputs!$B$23+((C2027=TRUE)*(F2027-Calc!F22)),(Inputs!$B$24+((C2029=TRUE)*(F2029-Calc!F24))+(IF(ArtifactsInput!$M$15,CHOOSE(ArtifactsInput!$N$15+1,25,30,35,40,45,50)/100*(Inputs!$B$12-Inputs!$B$12),0))))/100+(Inputs!$B$24+((C2029=TRUE)*(F2029-Calc!F24))+(IF(ArtifactsInput!$M$15,CHOOSE(ArtifactsInput!$N$15+1,25,30,35,40,45,50)/100*(Inputs!$B$12-Inputs!$B$12),0)))/100)/2</f>
        <v/>
      </c>
      <c r="M2012">
        <f>L2012*(1+(Inputs!$B$11+0+B2039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012">
        <f>L2012*(1-MIN((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2012*(MIN((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12">
        <f>(1-Summary!$B$11)*T2012+Summary!$B$11*V2012</f>
        <v/>
      </c>
      <c r="P2012">
        <f>IF(B2044=0,0,O2012/B2044)</f>
        <v/>
      </c>
      <c r="Q2012">
        <f>IFERROR(1/IF(Inputs!$B$39="pvp",15,MAX(0.1,Skills!D7-IF(TRUE=TRUE,Inputs!$B$33,0))),0)</f>
        <v/>
      </c>
      <c r="R2012">
        <f>IF(AND(Inputs!$B$39&lt;&gt;"pvp",Inputs!$B$44&gt;0),IF(MAX(0,Inputs!$B$44-B2041)&lt;=0,0,(INT(MAX(0,Inputs!$B$44-B2041)/IF(Inputs!$B$39="pvp",15,MAX(0.1,Skills!D7-IF(TRUE=TRUE,Inputs!$B$33,0))))+1)),0)</f>
        <v/>
      </c>
      <c r="S2012">
        <f>IFERROR(O2012/N2012,0)</f>
        <v/>
      </c>
      <c r="T2012">
        <f>IF(C2012,(H2012*N2012*IF(AND(Inputs!$B$39&lt;&gt;"pvp",Inputs!$B$44&gt;0),((Skills!G7*((R2012-1)*IF(Skills!H7&gt;0,INT(Skills!I7/Skills!H7+0.000000001),1)+IF(Skills!H7&gt;0,INT(MIN(Skills!I7,MAX(0,MAX(0,Inputs!$B$44-B2041)-((R2012-1)*IF(Inputs!$B$39="pvp",15,MAX(0.1,Skills!D7-IF(TRUE=TRUE,Inputs!$B$33,0))))))/Skills!H7+0.000000001),1)))/Inputs!$B$44),G2012*Q2012))*IF(Inputs!$B$39="pvp",1,1+(Inputs!$B$21+0+Skills!P7+((C2022=TRUE)*F2022*IF(AND(Inputs!$B$39&lt;&gt;"pvp",Inputs!$B$44&gt;0),(((R2022-1)*MIN((Skills!T17*(1+Inputs!$B$35/100)),(1/Q2022))+MIN((Skills!T17*(1+Inputs!$B$35/100)),MAX(0,Inputs!$B$44-((R2022-1)*(1/Q2022)))))/Inputs!$B$44),IF(Inputs!$B$39="pvp",MIN((Skills!T17*(1+Inputs!$B$35/100)),15)/15,MIN(1,(Skills!T17*(1+Inputs!$B$35/100))/(1/Q2022)))))+((C2010=TRUE)*IF(Inputs!$B$3&gt;=126,10*MIN(1,15*Q2010),0))+((C2019=TRUE)*IF(Inputs!$B$39="pvp",20,(1-Summary!$B$11)*(20)+Summary!$B$11*(0))*IF(AND(Inputs!$B$39&lt;&gt;"pvp",Inputs!$B$44&gt;0),(((R2019-1)*MIN((Skills!T14*(1+Inputs!$B$35/100)),(1/Q2019))+MIN((Skills!T14*(1+Inputs!$B$35/100)),MAX(0,Inputs!$B$44-((R2019-1)*(1/Q2019)))))/Inputs!$B$44),IF(Inputs!$B$39="pvp",MIN((Skills!T14*(1+Inputs!$B$35/100)),15)/15,MIN(1,(Skills!T14*(1+Inputs!$B$35/100))/(1/Q2019)))))+((C2018=TRUE)*IF(Inputs!$B$3&gt;=82,IF(Inputs!$B$39="pvp",20,(1-Summary!$B$11)*(20)+Summary!$B$11*(0)),0)*IF(AND(Inputs!$B$39&lt;&gt;"pvp",Inputs!$B$44&gt;0),(((R2018-1)*MIN((Skills!T13*(1+Inputs!$B$35/100)),(1/Q2018))+MIN((Skills!T13*(1+Inputs!$B$35/100)),MAX(0,Inputs!$B$44-((R2018-1)*(1/Q2018)))))/Inputs!$B$44),IF(Inputs!$B$39="pvp",MIN((Skills!T13*(1+Inputs!$B$35/100)),15)/15,MIN(1,(Skills!T13*(1+Inputs!$B$35/100))/(1/Q2018)))))+(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2012*(1-MIN(100,(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2012*(MIN(100,(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2012*(1-MIN(100,(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2012*(MIN(100,(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12">
        <f>IF(C2012,(H2012*N2012*IF(AND(Inputs!$B$39&lt;&gt;"pvp",Inputs!$B$44&gt;0),((Skills!G7*((R2012-1)*IF(Skills!H7&gt;0,INT(Skills!I7/Skills!H7+0.000000001),1)+IF(Skills!H7&gt;0,INT(MIN(Skills!I7,MAX(0,MAX(0,Inputs!$B$44-B2041)-((R2012-1)*IF(Inputs!$B$39="pvp",15,MAX(0.1,Skills!D7-IF(TRUE=TRUE,Inputs!$B$33,0))))))/Skills!H7+0.000000001),1)))/Inputs!$B$44),G2012*Q2012))*IF(Inputs!$B$39="pvp",1,(1+(Inputs!$B$22+Skills!Q7+((C2022=TRUE)*F2022*IF(AND(Inputs!$B$39&lt;&gt;"pvp",Inputs!$B$44&gt;0),(((R2022-1)*MIN((Skills!T17*(1+Inputs!$B$35/100)),(1/Q2022))+MIN((Skills!T17*(1+Inputs!$B$35/100)),MAX(0,Inputs!$B$44-((R2022-1)*(1/Q2022)))))/Inputs!$B$44),IF(Inputs!$B$39="pvp",MIN((Skills!T17*(1+Inputs!$B$35/100)),15)/15,MIN(1,(Skills!T17*(1+Inputs!$B$35/100))/(1/Q2022)))))+((C2010=TRUE)*IF(Inputs!$B$3&gt;=126,10*MIN(1,15*Q2010),0))+((C2019=TRUE)*IF(Inputs!$B$39="pvp",20,(1-Summary!$B$11)*(20)+Summary!$B$11*(0))*IF(AND(Inputs!$B$39&lt;&gt;"pvp",Inputs!$B$44&gt;0),(((R2019-1)*MIN((Skills!T14*(1+Inputs!$B$35/100)),(1/Q2019))+MIN((Skills!T14*(1+Inputs!$B$35/100)),MAX(0,Inputs!$B$44-((R2019-1)*(1/Q2019)))))/Inputs!$B$44),IF(Inputs!$B$39="pvp",MIN((Skills!T14*(1+Inputs!$B$35/100)),15)/15,MIN(1,(Skills!T14*(1+Inputs!$B$35/100))/(1/Q2019)))))+((C2018=TRUE)*IF(Inputs!$B$3&gt;=82,IF(Inputs!$B$39="pvp",20,(1-Summary!$B$11)*(20)+Summary!$B$11*(0)),0)*IF(AND(Inputs!$B$39&lt;&gt;"pvp",Inputs!$B$44&gt;0),(((R2018-1)*MIN((Skills!T13*(1+Inputs!$B$35/100)),(1/Q2018))+MIN((Skills!T13*(1+Inputs!$B$35/100)),MAX(0,Inputs!$B$44-((R2018-1)*(1/Q2018)))))/Inputs!$B$44),IF(Inputs!$B$39="pvp",MIN((Skills!T13*(1+Inputs!$B$35/100)),15)/15,MIN(1,(Skills!T13*(1+Inputs!$B$35/100))/(1/Q2018)))))+(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13">
      <c r="A2013">
        <f>Skills!A8</f>
        <v/>
      </c>
      <c r="B2013">
        <f>Skills!B8</f>
        <v/>
      </c>
      <c r="C2013">
        <f>Inputs!$B$3&gt;=75</f>
        <v/>
      </c>
      <c r="D2013">
        <f>IF(Skills!C8=1,60+Inputs!$B$26+Inputs!$B$30,IF(Skills!C8=2,90+Inputs!$B$27+Inputs!$B$30,IF(Skills!C8=3,120+Inputs!$B$28+Inputs!$B$30,MAX(0,(Inputs!$B$3-100)*3)+Inputs!$B$29+Inputs!$B$30)))</f>
        <v/>
      </c>
      <c r="E2013">
        <f>INDEX(FactorTable!$B$2:$Y$301, MATCH(ROUND(MIN(300,MAX(1,D2013)),0), FactorTable!$A$2:$A$301,0), Skills!M8+1)</f>
        <v/>
      </c>
      <c r="F2013">
        <f>IF(Skills!N8=TRUE,(Skills!L8/10)*(E2013/1000),Skills!L8/10)+Skills!O8</f>
        <v/>
      </c>
      <c r="G2013" t="inlineStr"/>
      <c r="H2013" t="inlineStr"/>
      <c r="I2013" t="inlineStr">
        <is>
          <t>1</t>
        </is>
      </c>
      <c r="J2013" t="inlineStr"/>
      <c r="K2013" t="inlineStr"/>
      <c r="L2013" t="inlineStr"/>
      <c r="M2013" t="inlineStr"/>
      <c r="N2013" t="inlineStr"/>
      <c r="O2013" t="inlineStr"/>
      <c r="P2013" t="inlineStr"/>
      <c r="Q2013" t="inlineStr"/>
      <c r="R2013" t="inlineStr"/>
      <c r="S2013" t="inlineStr"/>
    </row>
    <row r="2014">
      <c r="A2014">
        <f>Skills!A9</f>
        <v/>
      </c>
      <c r="B2014">
        <f>Skills!B9</f>
        <v/>
      </c>
      <c r="C2014">
        <f>Inputs!$B$3&gt;=60</f>
        <v/>
      </c>
      <c r="D2014">
        <f>IF(Skills!C9=1,60+Inputs!$B$26+Inputs!$B$30,IF(Skills!C9=2,90+Inputs!$B$27+Inputs!$B$30,IF(Skills!C9=3,120+Inputs!$B$28+Inputs!$B$30,MAX(0,(Inputs!$B$3-100)*3)+Inputs!$B$29+Inputs!$B$30)))</f>
        <v/>
      </c>
      <c r="E2014">
        <f>INDEX(FactorTable!$B$2:$Y$301, MATCH(ROUND(MIN(300,MAX(1,D2014)),0), FactorTable!$A$2:$A$301,0), Skills!M9+1)</f>
        <v/>
      </c>
      <c r="F2014">
        <f>IF(Skills!N9=TRUE,(Skills!L9/10)*(E2014/1000),Skills!L9/10)+Skills!O9</f>
        <v/>
      </c>
      <c r="G2014">
        <f>Skills!G9*IF(Skills!H9&gt;0,INT(IF(Inputs!$B$39="pvp",MIN(Skills!I9,15),Skills!I9)/Skills!H9+0.000000001),1)</f>
        <v/>
      </c>
      <c r="H2014">
        <f>1-(1-Skills!J9/100)^Skills!K9</f>
        <v/>
      </c>
      <c r="I2014" t="inlineStr">
        <is>
          <t>1</t>
        </is>
      </c>
      <c r="J2014">
        <f>((Inputs!$B$6*(1+Inputs!$B$7/100))+(((Inputs!$B$13*(1+Inputs!$B$14/100))-(Inputs!$B$13*(1+Inputs!$B$14/100)))+0.25*(Inputs!$B$15-Inputs!$B$15))*(1+Inputs!$B$7/100))*(F2014/100)</f>
        <v/>
      </c>
      <c r="K2014">
        <f>J2014*(1+(((Inputs!$B$13+IF(Inputs!$B$3&gt;=38,(10*INDEX(FactorTable!$B$2:$Y$301, MATCH(ROUND(MIN(300,MAX(1,Inputs!$B$3)),0), FactorTable!$A$2:$A$301,0), 23)/1000)/100*(Inputs!$B$8*(1+Inputs!$B$9/100)),0))*(1+Inputs!$B$14/100))*0.01+Inputs!$B$15*0.0025)/100)*(1+Inputs!$B$16/100)*(1+Inputs!$B$17/100)*(5000/(6000+Inputs!$B$43*(1-(Inputs!$B$20+0)/100)))*(1+(Inputs!$B$25+((C2030=TRUE)*(F2030-Calc!F25))+((C2031=TRUE)*(F2031-Calc!F26))+B2040)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2016=TRUE,F2016,0)/100)*(1+(IF(Skills!A9="DARK_IMPALE",Inputs!$B$18+0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gt;=100),MIN(100,((Inputs!$B$10+0+B2034+(ArtifactsInput!$M$24-ArtifactsInput!$M$24)*CHOOSE(ArtifactsInput!$N$24+1,10,12,14,16,18,20)+IF(ArtifactsInput!$M$10,CHOOSE(ArtifactsInput!$N$10+1,15,18,21,24,27,30)*(IF(Inputs!$B$39="pvp",MIN(15,15)/15,IF(AND(Inputs!$B$39&lt;&gt;"pvp",Inputs!$B$44&gt;0),MIN(15,Inputs!$B$44)/(Inputs!$B$44),0))),0)))-100),0))*CHOOSE(ArtifactsInput!$N$42+1,0.6,0.72,0.84,0.96,1.08,1.2))),Inputs!$B$19+((C2028=TRUE)*(F2028-Calc!F23))+(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gt;=100),CHOOSE(ArtifactsInput!$N$42+1,40,48,56,64,72,80),0))))/100)*((1+(((C2018=TRUE)*F2018*IF(AND(Inputs!$B$39&lt;&gt;"pvp",Inputs!$B$44&gt;0),(((R2018-1)*MIN((Skills!T13*(1+Inputs!$B$35/100)),(1/Q2018))+MIN((Skills!T13*(1+Inputs!$B$35/100)),MAX(0,Inputs!$B$44-((R2018-1)*(1/Q2018)))))/Inputs!$B$44),IF(Inputs!$B$39="pvp",MIN((Skills!T13*(1+Inputs!$B$35/100)),15)/15,MIN(1,(Skills!T13*(1+Inputs!$B$35/100))/(1/Q2018)))))+((C2019=TRUE)*F2019*IF(AND(Inputs!$B$39&lt;&gt;"pvp",Inputs!$B$44&gt;0),(((R2019-1)*MIN((Skills!T14*(1+Inputs!$B$35/100)),(1/Q2019))+MIN((Skills!T14*(1+Inputs!$B$35/100)),MAX(0,Inputs!$B$44-((R2019-1)*(1/Q2019)))))/Inputs!$B$44),IF(Inputs!$B$39="pvp",MIN((Skills!T14*(1+Inputs!$B$35/100)),15)/15,MIN(1,(Skills!T14*(1+Inputs!$B$35/100))/(1/Q2019)))))+((C2020=TRUE)*F2020*IF(AND(Inputs!$B$39&lt;&gt;"pvp",Inputs!$B$44&gt;0),(((R2020-1)*MIN((Skills!T15*(1+Inputs!$B$35/100)),(1/Q2020))+MIN((Skills!T15*(1+Inputs!$B$35/100)),MAX(0,Inputs!$B$44-((R2020-1)*(1/Q2020)))))/Inputs!$B$44),IF(Inputs!$B$39="pvp",MIN((Skills!T15*(1+Inputs!$B$35/100)),15)/15,MIN(1,(Skills!T15*(1+Inputs!$B$35/100))/(1/Q2020)))))+((C2021=TRUE)*F2021*IF(AND(Inputs!$B$39&lt;&gt;"pvp",Inputs!$B$44&gt;0),(((R2021-1)*MIN((Skills!T16*(1+Inputs!$B$35/100)),(1/Q2021))+MIN((Skills!T16*(1+Inputs!$B$35/100)),MAX(0,Inputs!$B$44-((R2021-1)*(1/Q2021)))))/Inputs!$B$44),IF(Inputs!$B$39="pvp",MIN((Skills!T16*(1+Inputs!$B$35/100)),15)/15,MIN(1,(Skills!T16*(1+Inputs!$B$35/100))/(1/Q2021)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2014)</f>
        <v/>
      </c>
      <c r="L2014">
        <f>K2014*(MIN(Inputs!$B$23+((C2027=TRUE)*(F2027-Calc!F22)),(Inputs!$B$24+((C2029=TRUE)*(F2029-Calc!F24))+(IF(ArtifactsInput!$M$15,CHOOSE(ArtifactsInput!$N$15+1,25,30,35,40,45,50)/100*(Inputs!$B$12-Inputs!$B$12),0))))/100+(Inputs!$B$24+((C2029=TRUE)*(F2029-Calc!F24))+(IF(ArtifactsInput!$M$15,CHOOSE(ArtifactsInput!$N$15+1,25,30,35,40,45,50)/100*(Inputs!$B$12-Inputs!$B$12),0)))/100)/2</f>
        <v/>
      </c>
      <c r="M2014">
        <f>L2014*(1+(Inputs!$B$11+0+B2039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014">
        <f>L2014*(1-MIN((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2014*(MIN((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14">
        <f>(1-Summary!$B$11)*T2014+Summary!$B$11*V2014</f>
        <v/>
      </c>
      <c r="P2014">
        <f>IF(B2044=0,0,O2014/B2044)</f>
        <v/>
      </c>
      <c r="Q2014">
        <f>IFERROR(1/IF(Inputs!$B$39="pvp",15,MAX(0.1,Skills!D9-IF(TRUE=TRUE,Inputs!$B$33,0))),0)</f>
        <v/>
      </c>
      <c r="R2014">
        <f>IF(AND(Inputs!$B$39&lt;&gt;"pvp",Inputs!$B$44&gt;0),IF(MAX(0,Inputs!$B$44-B2041)&lt;=0,0,(INT(MAX(0,Inputs!$B$44-B2041)/IF(Inputs!$B$39="pvp",15,MAX(0.1,Skills!D9-IF(TRUE=TRUE,Inputs!$B$33,0))))+1)),0)</f>
        <v/>
      </c>
      <c r="S2014">
        <f>IFERROR(O2014/N2014,0)</f>
        <v/>
      </c>
      <c r="T2014">
        <f>IF(C2014,(H2014*N2014*IF(AND(Inputs!$B$39&lt;&gt;"pvp",Inputs!$B$44&gt;0),((Skills!G9*((R2014-1)*IF(Skills!H9&gt;0,INT(Skills!I9/Skills!H9+0.000000001),1)+IF(Skills!H9&gt;0,INT(MIN(Skills!I9,MAX(0,MAX(0,Inputs!$B$44-B2041)-((R2014-1)*IF(Inputs!$B$39="pvp",15,MAX(0.1,Skills!D9-IF(TRUE=TRUE,Inputs!$B$33,0))))))/Skills!H9+0.000000001),1)))/Inputs!$B$44),G2014*Q2014))*IF(Inputs!$B$39="pvp",1,1+(Inputs!$B$21+0+Skills!P9+((C2022=TRUE)*F2022*IF(AND(Inputs!$B$39&lt;&gt;"pvp",Inputs!$B$44&gt;0),(((R2022-1)*MIN((Skills!T17*(1+Inputs!$B$35/100)),(1/Q2022))+MIN((Skills!T17*(1+Inputs!$B$35/100)),MAX(0,Inputs!$B$44-((R2022-1)*(1/Q2022)))))/Inputs!$B$44),IF(Inputs!$B$39="pvp",MIN((Skills!T17*(1+Inputs!$B$35/100)),15)/15,MIN(1,(Skills!T17*(1+Inputs!$B$35/100))/(1/Q2022)))))+((C2010=TRUE)*IF(Inputs!$B$3&gt;=126,10*MIN(1,15*Q2010),0))+((C2019=TRUE)*IF(Inputs!$B$39="pvp",20,(1-Summary!$B$11)*(20)+Summary!$B$11*(0))*IF(AND(Inputs!$B$39&lt;&gt;"pvp",Inputs!$B$44&gt;0),(((R2019-1)*MIN((Skills!T14*(1+Inputs!$B$35/100)),(1/Q2019))+MIN((Skills!T14*(1+Inputs!$B$35/100)),MAX(0,Inputs!$B$44-((R2019-1)*(1/Q2019)))))/Inputs!$B$44),IF(Inputs!$B$39="pvp",MIN((Skills!T14*(1+Inputs!$B$35/100)),15)/15,MIN(1,(Skills!T14*(1+Inputs!$B$35/100))/(1/Q2019)))))+((C2018=TRUE)*IF(Inputs!$B$3&gt;=82,IF(Inputs!$B$39="pvp",20,(1-Summary!$B$11)*(20)+Summary!$B$11*(0)),0)*IF(AND(Inputs!$B$39&lt;&gt;"pvp",Inputs!$B$44&gt;0),(((R2018-1)*MIN((Skills!T13*(1+Inputs!$B$35/100)),(1/Q2018))+MIN((Skills!T13*(1+Inputs!$B$35/100)),MAX(0,Inputs!$B$44-((R2018-1)*(1/Q2018)))))/Inputs!$B$44),IF(Inputs!$B$39="pvp",MIN((Skills!T13*(1+Inputs!$B$35/100)),15)/15,MIN(1,(Skills!T13*(1+Inputs!$B$35/100))/(1/Q2018)))))+(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2014*(1-MIN(100,(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2014*(MIN(100,(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2014*(1-MIN(100,(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2014*(MIN(100,(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14">
        <f>IF(C2014,(H2014*N2014*IF(AND(Inputs!$B$39&lt;&gt;"pvp",Inputs!$B$44&gt;0),((Skills!G9*((R2014-1)*IF(Skills!H9&gt;0,INT(Skills!I9/Skills!H9+0.000000001),1)+IF(Skills!H9&gt;0,INT(MIN(Skills!I9,MAX(0,MAX(0,Inputs!$B$44-B2041)-((R2014-1)*IF(Inputs!$B$39="pvp",15,MAX(0.1,Skills!D9-IF(TRUE=TRUE,Inputs!$B$33,0))))))/Skills!H9+0.000000001),1)))/Inputs!$B$44),G2014*Q2014))*IF(Inputs!$B$39="pvp",1,(1+(Inputs!$B$22+Skills!Q9+((C2022=TRUE)*F2022*IF(AND(Inputs!$B$39&lt;&gt;"pvp",Inputs!$B$44&gt;0),(((R2022-1)*MIN((Skills!T17*(1+Inputs!$B$35/100)),(1/Q2022))+MIN((Skills!T17*(1+Inputs!$B$35/100)),MAX(0,Inputs!$B$44-((R2022-1)*(1/Q2022)))))/Inputs!$B$44),IF(Inputs!$B$39="pvp",MIN((Skills!T17*(1+Inputs!$B$35/100)),15)/15,MIN(1,(Skills!T17*(1+Inputs!$B$35/100))/(1/Q2022)))))+((C2010=TRUE)*IF(Inputs!$B$3&gt;=126,10*MIN(1,15*Q2010),0))+((C2019=TRUE)*IF(Inputs!$B$39="pvp",20,(1-Summary!$B$11)*(20)+Summary!$B$11*(0))*IF(AND(Inputs!$B$39&lt;&gt;"pvp",Inputs!$B$44&gt;0),(((R2019-1)*MIN((Skills!T14*(1+Inputs!$B$35/100)),(1/Q2019))+MIN((Skills!T14*(1+Inputs!$B$35/100)),MAX(0,Inputs!$B$44-((R2019-1)*(1/Q2019)))))/Inputs!$B$44),IF(Inputs!$B$39="pvp",MIN((Skills!T14*(1+Inputs!$B$35/100)),15)/15,MIN(1,(Skills!T14*(1+Inputs!$B$35/100))/(1/Q2019)))))+((C2018=TRUE)*IF(Inputs!$B$3&gt;=82,IF(Inputs!$B$39="pvp",20,(1-Summary!$B$11)*(20)+Summary!$B$11*(0)),0)*IF(AND(Inputs!$B$39&lt;&gt;"pvp",Inputs!$B$44&gt;0),(((R2018-1)*MIN((Skills!T13*(1+Inputs!$B$35/100)),(1/Q2018))+MIN((Skills!T13*(1+Inputs!$B$35/100)),MAX(0,Inputs!$B$44-((R2018-1)*(1/Q2018)))))/Inputs!$B$44),IF(Inputs!$B$39="pvp",MIN((Skills!T13*(1+Inputs!$B$35/100)),15)/15,MIN(1,(Skills!T13*(1+Inputs!$B$35/100))/(1/Q2018)))))+(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15">
      <c r="A2015">
        <f>Skills!A10</f>
        <v/>
      </c>
      <c r="B2015">
        <f>Skills!B10</f>
        <v/>
      </c>
      <c r="C2015">
        <f>Inputs!$B$3&gt;=110</f>
        <v/>
      </c>
      <c r="D2015">
        <f>IF(Skills!C10=1,60+Inputs!$B$26+Inputs!$B$30,IF(Skills!C10=2,90+Inputs!$B$27+Inputs!$B$30,IF(Skills!C10=3,120+Inputs!$B$28+Inputs!$B$30,MAX(0,(Inputs!$B$3-100)*3)+Inputs!$B$29+Inputs!$B$30)))</f>
        <v/>
      </c>
      <c r="E2015">
        <f>INDEX(FactorTable!$B$2:$Y$301, MATCH(ROUND(MIN(300,MAX(1,D2015)),0), FactorTable!$A$2:$A$301,0), Skills!M10+1)</f>
        <v/>
      </c>
      <c r="F2015">
        <f>IF(Skills!N10=TRUE,(Skills!L10/10)*(E2015/1000),Skills!L10/10)+Skills!O10</f>
        <v/>
      </c>
      <c r="G2015">
        <f>Skills!G10*IF(Skills!H10&gt;0,INT(IF(Inputs!$B$39="pvp",MIN(Skills!I10,15),Skills!I10)/Skills!H10+0.000000001),1)</f>
        <v/>
      </c>
      <c r="H2015">
        <f>1-(1-Skills!J10/100)^Skills!K10</f>
        <v/>
      </c>
      <c r="I2015" t="inlineStr">
        <is>
          <t>1</t>
        </is>
      </c>
      <c r="J2015">
        <f>((Inputs!$B$6*(1+Inputs!$B$7/100))+(((Inputs!$B$13*(1+Inputs!$B$14/100))-(Inputs!$B$13*(1+Inputs!$B$14/100)))+0.25*(Inputs!$B$15-Inputs!$B$15))*(1+Inputs!$B$7/100))*(F2015/100)</f>
        <v/>
      </c>
      <c r="K2015">
        <f>J2015*(1+(((Inputs!$B$13+IF(Inputs!$B$3&gt;=38,(10*INDEX(FactorTable!$B$2:$Y$301, MATCH(ROUND(MIN(300,MAX(1,Inputs!$B$3)),0), FactorTable!$A$2:$A$301,0), 23)/1000)/100*(Inputs!$B$8*(1+Inputs!$B$9/100)),0))*(1+Inputs!$B$14/100))*0.01+Inputs!$B$15*0.0025)/100)*(1+Inputs!$B$16/100)*(1+Inputs!$B$17/100)*(5000/(6000+Inputs!$B$43*(1-(Inputs!$B$20+0)/100)))*(1+(Inputs!$B$25+((C2030=TRUE)*(F2030-Calc!F25))+((C2031=TRUE)*(F2031-Calc!F26))+B2040)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gt;=100),MIN(100,((Inputs!$B$10+0+B2034+(ArtifactsInput!$M$24-ArtifactsInput!$M$24)*CHOOSE(ArtifactsInput!$N$24+1,10,12,14,16,18,20)+IF(ArtifactsInput!$M$10,CHOOSE(ArtifactsInput!$N$10+1,15,18,21,24,27,30)*(IF(Inputs!$B$39="pvp",MIN(15,15)/15,IF(AND(Inputs!$B$39&lt;&gt;"pvp",Inputs!$B$44&gt;0),MIN(15,Inputs!$B$44)/(Inputs!$B$44),0))),0)))-100),0))*CHOOSE(ArtifactsInput!$N$42+1,0.6,0.72,0.84,0.96,1.08,1.2))),Inputs!$B$19+((C2028=TRUE)*(F2028-Calc!F23))+(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gt;=100),CHOOSE(ArtifactsInput!$N$42+1,40,48,56,64,72,80),0))))/100)*((1+(((C2018=TRUE)*F2018*IF(AND(Inputs!$B$39&lt;&gt;"pvp",Inputs!$B$44&gt;0),(((R2018-1)*MIN((Skills!T13*(1+Inputs!$B$35/100)),(1/Q2018))+MIN((Skills!T13*(1+Inputs!$B$35/100)),MAX(0,Inputs!$B$44-((R2018-1)*(1/Q2018)))))/Inputs!$B$44),IF(Inputs!$B$39="pvp",MIN((Skills!T13*(1+Inputs!$B$35/100)),15)/15,MIN(1,(Skills!T13*(1+Inputs!$B$35/100))/(1/Q2018)))))+((C2019=TRUE)*F2019*IF(AND(Inputs!$B$39&lt;&gt;"pvp",Inputs!$B$44&gt;0),(((R2019-1)*MIN((Skills!T14*(1+Inputs!$B$35/100)),(1/Q2019))+MIN((Skills!T14*(1+Inputs!$B$35/100)),MAX(0,Inputs!$B$44-((R2019-1)*(1/Q2019)))))/Inputs!$B$44),IF(Inputs!$B$39="pvp",MIN((Skills!T14*(1+Inputs!$B$35/100)),15)/15,MIN(1,(Skills!T14*(1+Inputs!$B$35/100))/(1/Q2019)))))+((C2020=TRUE)*F2020*IF(AND(Inputs!$B$39&lt;&gt;"pvp",Inputs!$B$44&gt;0),(((R2020-1)*MIN((Skills!T15*(1+Inputs!$B$35/100)),(1/Q2020))+MIN((Skills!T15*(1+Inputs!$B$35/100)),MAX(0,Inputs!$B$44-((R2020-1)*(1/Q2020)))))/Inputs!$B$44),IF(Inputs!$B$39="pvp",MIN((Skills!T15*(1+Inputs!$B$35/100)),15)/15,MIN(1,(Skills!T15*(1+Inputs!$B$35/100))/(1/Q2020)))))+((C2021=TRUE)*F2021*IF(AND(Inputs!$B$39&lt;&gt;"pvp",Inputs!$B$44&gt;0),(((R2021-1)*MIN((Skills!T16*(1+Inputs!$B$35/100)),(1/Q2021))+MIN((Skills!T16*(1+Inputs!$B$35/100)),MAX(0,Inputs!$B$44-((R2021-1)*(1/Q2021)))))/Inputs!$B$44),IF(Inputs!$B$39="pvp",MIN((Skills!T16*(1+Inputs!$B$35/100)),15)/15,MIN(1,(Skills!T16*(1+Inputs!$B$35/100))/(1/Q2021)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2015)</f>
        <v/>
      </c>
      <c r="L2015">
        <f>K2015*(MIN(Inputs!$B$23+((C2027=TRUE)*(F2027-Calc!F22)),(Inputs!$B$24+((C2029=TRUE)*(F2029-Calc!F24))+(IF(ArtifactsInput!$M$15,CHOOSE(ArtifactsInput!$N$15+1,25,30,35,40,45,50)/100*(Inputs!$B$12-Inputs!$B$12),0))))/100+(Inputs!$B$24+((C2029=TRUE)*(F2029-Calc!F24))+(IF(ArtifactsInput!$M$15,CHOOSE(ArtifactsInput!$N$15+1,25,30,35,40,45,50)/100*(Inputs!$B$12-Inputs!$B$12),0)))/100)/2</f>
        <v/>
      </c>
      <c r="M2015">
        <f>L2015*(1+(Inputs!$B$11+0+B2039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015">
        <f>L2015*(1-MIN((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2015*(MIN((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15">
        <f>(1-Summary!$B$11)*T2015+Summary!$B$11*V2015</f>
        <v/>
      </c>
      <c r="P2015">
        <f>IF(B2044=0,0,O2015/B2044)</f>
        <v/>
      </c>
      <c r="Q2015">
        <f>IFERROR(1/IF(Inputs!$B$39="pvp",15,MAX(0.1,Skills!D10-IF(TRUE=TRUE,Inputs!$B$33,0))),0)</f>
        <v/>
      </c>
      <c r="R2015">
        <f>IF(AND(Inputs!$B$39&lt;&gt;"pvp",Inputs!$B$44&gt;0),IF(MAX(0,Inputs!$B$44-B2041)&lt;=0,0,(INT(MAX(0,Inputs!$B$44-B2041)/IF(Inputs!$B$39="pvp",15,MAX(0.1,Skills!D10-IF(TRUE=TRUE,Inputs!$B$33,0))))+1)),0)</f>
        <v/>
      </c>
      <c r="S2015">
        <f>IFERROR(O2015/N2015,0)</f>
        <v/>
      </c>
      <c r="T2015">
        <f>IF(C2015,(H2015*N2015*IF(AND(Inputs!$B$39&lt;&gt;"pvp",Inputs!$B$44&gt;0),((Skills!G10*((R2015-1)*IF(Skills!H10&gt;0,INT(Skills!I10/Skills!H10+0.000000001),1)+IF(Skills!H10&gt;0,INT(MIN(Skills!I10,MAX(0,MAX(0,Inputs!$B$44-B2041)-((R2015-1)*IF(Inputs!$B$39="pvp",15,MAX(0.1,Skills!D10-IF(TRUE=TRUE,Inputs!$B$33,0))))))/Skills!H10+0.000000001),1)))/Inputs!$B$44),G2015*Q2015))*IF(Inputs!$B$39="pvp",1,1+(Inputs!$B$21+0+Skills!P10+((C2022=TRUE)*F2022*IF(AND(Inputs!$B$39&lt;&gt;"pvp",Inputs!$B$44&gt;0),(((R2022-1)*MIN((Skills!T17*(1+Inputs!$B$35/100)),(1/Q2022))+MIN((Skills!T17*(1+Inputs!$B$35/100)),MAX(0,Inputs!$B$44-((R2022-1)*(1/Q2022)))))/Inputs!$B$44),IF(Inputs!$B$39="pvp",MIN((Skills!T17*(1+Inputs!$B$35/100)),15)/15,MIN(1,(Skills!T17*(1+Inputs!$B$35/100))/(1/Q2022)))))+((C2010=TRUE)*IF(Inputs!$B$3&gt;=126,10*MIN(1,15*Q2010),0))+((C2019=TRUE)*IF(Inputs!$B$39="pvp",20,(1-Summary!$B$11)*(20)+Summary!$B$11*(0))*IF(AND(Inputs!$B$39&lt;&gt;"pvp",Inputs!$B$44&gt;0),(((R2019-1)*MIN((Skills!T14*(1+Inputs!$B$35/100)),(1/Q2019))+MIN((Skills!T14*(1+Inputs!$B$35/100)),MAX(0,Inputs!$B$44-((R2019-1)*(1/Q2019)))))/Inputs!$B$44),IF(Inputs!$B$39="pvp",MIN((Skills!T14*(1+Inputs!$B$35/100)),15)/15,MIN(1,(Skills!T14*(1+Inputs!$B$35/100))/(1/Q2019)))))+((C2018=TRUE)*IF(Inputs!$B$3&gt;=82,IF(Inputs!$B$39="pvp",20,(1-Summary!$B$11)*(20)+Summary!$B$11*(0)),0)*IF(AND(Inputs!$B$39&lt;&gt;"pvp",Inputs!$B$44&gt;0),(((R2018-1)*MIN((Skills!T13*(1+Inputs!$B$35/100)),(1/Q2018))+MIN((Skills!T13*(1+Inputs!$B$35/100)),MAX(0,Inputs!$B$44-((R2018-1)*(1/Q2018)))))/Inputs!$B$44),IF(Inputs!$B$39="pvp",MIN((Skills!T13*(1+Inputs!$B$35/100)),15)/15,MIN(1,(Skills!T13*(1+Inputs!$B$35/100))/(1/Q2018)))))+(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2015*(1-MIN(100,(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2015*(MIN(100,(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2015*(1-MIN(100,(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2015*(MIN(100,(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15">
        <f>IF(C2015,(H2015*N2015*IF(AND(Inputs!$B$39&lt;&gt;"pvp",Inputs!$B$44&gt;0),((Skills!G10*((R2015-1)*IF(Skills!H10&gt;0,INT(Skills!I10/Skills!H10+0.000000001),1)+IF(Skills!H10&gt;0,INT(MIN(Skills!I10,MAX(0,MAX(0,Inputs!$B$44-B2041)-((R2015-1)*IF(Inputs!$B$39="pvp",15,MAX(0.1,Skills!D10-IF(TRUE=TRUE,Inputs!$B$33,0))))))/Skills!H10+0.000000001),1)))/Inputs!$B$44),G2015*Q2015))*IF(Inputs!$B$39="pvp",1,(1+(Inputs!$B$22+Skills!Q10+((C2022=TRUE)*F2022*IF(AND(Inputs!$B$39&lt;&gt;"pvp",Inputs!$B$44&gt;0),(((R2022-1)*MIN((Skills!T17*(1+Inputs!$B$35/100)),(1/Q2022))+MIN((Skills!T17*(1+Inputs!$B$35/100)),MAX(0,Inputs!$B$44-((R2022-1)*(1/Q2022)))))/Inputs!$B$44),IF(Inputs!$B$39="pvp",MIN((Skills!T17*(1+Inputs!$B$35/100)),15)/15,MIN(1,(Skills!T17*(1+Inputs!$B$35/100))/(1/Q2022)))))+((C2010=TRUE)*IF(Inputs!$B$3&gt;=126,10*MIN(1,15*Q2010),0))+((C2019=TRUE)*IF(Inputs!$B$39="pvp",20,(1-Summary!$B$11)*(20)+Summary!$B$11*(0))*IF(AND(Inputs!$B$39&lt;&gt;"pvp",Inputs!$B$44&gt;0),(((R2019-1)*MIN((Skills!T14*(1+Inputs!$B$35/100)),(1/Q2019))+MIN((Skills!T14*(1+Inputs!$B$35/100)),MAX(0,Inputs!$B$44-((R2019-1)*(1/Q2019)))))/Inputs!$B$44),IF(Inputs!$B$39="pvp",MIN((Skills!T14*(1+Inputs!$B$35/100)),15)/15,MIN(1,(Skills!T14*(1+Inputs!$B$35/100))/(1/Q2019)))))+((C2018=TRUE)*IF(Inputs!$B$3&gt;=82,IF(Inputs!$B$39="pvp",20,(1-Summary!$B$11)*(20)+Summary!$B$11*(0)),0)*IF(AND(Inputs!$B$39&lt;&gt;"pvp",Inputs!$B$44&gt;0),(((R2018-1)*MIN((Skills!T13*(1+Inputs!$B$35/100)),(1/Q2018))+MIN((Skills!T13*(1+Inputs!$B$35/100)),MAX(0,Inputs!$B$44-((R2018-1)*(1/Q2018)))))/Inputs!$B$44),IF(Inputs!$B$39="pvp",MIN((Skills!T13*(1+Inputs!$B$35/100)),15)/15,MIN(1,(Skills!T13*(1+Inputs!$B$35/100))/(1/Q2018)))))+(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16">
      <c r="A2016">
        <f>Skills!A11</f>
        <v/>
      </c>
      <c r="B2016">
        <f>Skills!B11</f>
        <v/>
      </c>
      <c r="C2016">
        <f>Inputs!$B$3&gt;=100</f>
        <v/>
      </c>
      <c r="D2016">
        <f>IF(Skills!C11=1,60+Inputs!$B$26+Inputs!$B$30,IF(Skills!C11=2,90+Inputs!$B$27+Inputs!$B$30,IF(Skills!C11=3,120+Inputs!$B$28+Inputs!$B$30,MAX(0,(Inputs!$B$3-100)*3)+Inputs!$B$29+Inputs!$B$30)))</f>
        <v/>
      </c>
      <c r="E2016">
        <f>INDEX(FactorTable!$B$2:$Y$301, MATCH(ROUND(MIN(300,MAX(1,D2016)),0), FactorTable!$A$2:$A$301,0), Skills!M11+1)</f>
        <v/>
      </c>
      <c r="F2016">
        <f>IF(Skills!N11=TRUE,(Skills!L11/10)*(E2016/1000),Skills!L11/10)+Skills!O11</f>
        <v/>
      </c>
      <c r="G2016" t="inlineStr"/>
      <c r="H2016" t="inlineStr"/>
      <c r="I2016" t="inlineStr">
        <is>
          <t>1</t>
        </is>
      </c>
      <c r="J2016" t="inlineStr"/>
      <c r="K2016" t="inlineStr"/>
      <c r="L2016" t="inlineStr"/>
      <c r="M2016" t="inlineStr"/>
      <c r="N2016" t="inlineStr"/>
      <c r="O2016" t="inlineStr"/>
      <c r="P2016" t="inlineStr"/>
      <c r="Q2016" t="inlineStr"/>
      <c r="R2016" t="inlineStr"/>
      <c r="S2016" t="inlineStr"/>
    </row>
    <row r="2017">
      <c r="A2017">
        <f>Skills!A12</f>
        <v/>
      </c>
      <c r="B2017">
        <f>Skills!B12</f>
        <v/>
      </c>
      <c r="C2017">
        <f>Inputs!$B$3&gt;=63</f>
        <v/>
      </c>
      <c r="D2017">
        <f>IF(Skills!C12=1,60+Inputs!$B$26+Inputs!$B$30,IF(Skills!C12=2,90+Inputs!$B$27+Inputs!$B$30,IF(Skills!C12=3,120+Inputs!$B$28+Inputs!$B$30,MAX(0,(Inputs!$B$3-100)*3)+Inputs!$B$29+Inputs!$B$30)))</f>
        <v/>
      </c>
      <c r="E2017">
        <f>INDEX(FactorTable!$B$2:$Y$301, MATCH(ROUND(MIN(300,MAX(1,D2017)),0), FactorTable!$A$2:$A$301,0), Skills!M12+1)</f>
        <v/>
      </c>
      <c r="F2017">
        <f>IF(Skills!N12=TRUE,(Skills!L12/10)*(E2017/1000),Skills!L12/10)+Skills!O12</f>
        <v/>
      </c>
      <c r="G2017">
        <f>Skills!G12*IF(Skills!H12&gt;0,INT(IF(Inputs!$B$39="pvp",MIN(Skills!I12,15),Skills!I12)/Skills!H12+0.000000001),1)</f>
        <v/>
      </c>
      <c r="H2017">
        <f>1-(1-Skills!J12/100)^Skills!K12</f>
        <v/>
      </c>
      <c r="I2017" t="inlineStr">
        <is>
          <t>1</t>
        </is>
      </c>
      <c r="J2017">
        <f>((Inputs!$B$6*(1+Inputs!$B$7/100))+(((Inputs!$B$13*(1+Inputs!$B$14/100))-(Inputs!$B$13*(1+Inputs!$B$14/100)))+0.25*(Inputs!$B$15-Inputs!$B$15))*(1+Inputs!$B$7/100))*(F2017/100)</f>
        <v/>
      </c>
      <c r="K2017">
        <f>J2017*(1+(((Inputs!$B$13+IF(Inputs!$B$3&gt;=38,(10*INDEX(FactorTable!$B$2:$Y$301, MATCH(ROUND(MIN(300,MAX(1,Inputs!$B$3)),0), FactorTable!$A$2:$A$301,0), 23)/1000)/100*(Inputs!$B$8*(1+Inputs!$B$9/100)),0))*(1+Inputs!$B$14/100))*0.01+Inputs!$B$15*0.0025)/100)*(1+Inputs!$B$16/100)*(1+Inputs!$B$17/100)*(5000/(6000+Inputs!$B$43*(1-(Inputs!$B$20+0)/100)))*(1+(Inputs!$B$25+((C2030=TRUE)*(F2030-Calc!F25))+((C2031=TRUE)*(F2031-Calc!F26))+B2040)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2016=TRUE,F2016,0)/100)*(1+(IF(Skills!A12="DARK_IMPALE",Inputs!$B$18+0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gt;=100),MIN(100,((Inputs!$B$10+0+B2034+(ArtifactsInput!$M$24-ArtifactsInput!$M$24)*CHOOSE(ArtifactsInput!$N$24+1,10,12,14,16,18,20)+IF(ArtifactsInput!$M$10,CHOOSE(ArtifactsInput!$N$10+1,15,18,21,24,27,30)*(IF(Inputs!$B$39="pvp",MIN(15,15)/15,IF(AND(Inputs!$B$39&lt;&gt;"pvp",Inputs!$B$44&gt;0),MIN(15,Inputs!$B$44)/(Inputs!$B$44),0))),0)))-100),0))*CHOOSE(ArtifactsInput!$N$42+1,0.6,0.72,0.84,0.96,1.08,1.2))),Inputs!$B$19+((C2028=TRUE)*(F2028-Calc!F23))+(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gt;=100),CHOOSE(ArtifactsInput!$N$42+1,40,48,56,64,72,80),0))))/100)*((1+(((C2018=TRUE)*F2018*IF(AND(Inputs!$B$39&lt;&gt;"pvp",Inputs!$B$44&gt;0),(((R2018-1)*MIN((Skills!T13*(1+Inputs!$B$35/100)),(1/Q2018))+MIN((Skills!T13*(1+Inputs!$B$35/100)),MAX(0,Inputs!$B$44-((R2018-1)*(1/Q2018)))))/Inputs!$B$44),IF(Inputs!$B$39="pvp",MIN((Skills!T13*(1+Inputs!$B$35/100)),15)/15,MIN(1,(Skills!T13*(1+Inputs!$B$35/100))/(1/Q2018)))))+((C2019=TRUE)*F2019*IF(AND(Inputs!$B$39&lt;&gt;"pvp",Inputs!$B$44&gt;0),(((R2019-1)*MIN((Skills!T14*(1+Inputs!$B$35/100)),(1/Q2019))+MIN((Skills!T14*(1+Inputs!$B$35/100)),MAX(0,Inputs!$B$44-((R2019-1)*(1/Q2019)))))/Inputs!$B$44),IF(Inputs!$B$39="pvp",MIN((Skills!T14*(1+Inputs!$B$35/100)),15)/15,MIN(1,(Skills!T14*(1+Inputs!$B$35/100))/(1/Q2019)))))+((C2020=TRUE)*F2020*IF(AND(Inputs!$B$39&lt;&gt;"pvp",Inputs!$B$44&gt;0),(((R2020-1)*MIN((Skills!T15*(1+Inputs!$B$35/100)),(1/Q2020))+MIN((Skills!T15*(1+Inputs!$B$35/100)),MAX(0,Inputs!$B$44-((R2020-1)*(1/Q2020)))))/Inputs!$B$44),IF(Inputs!$B$39="pvp",MIN((Skills!T15*(1+Inputs!$B$35/100)),15)/15,MIN(1,(Skills!T15*(1+Inputs!$B$35/100))/(1/Q2020)))))+((C2021=TRUE)*F2021*IF(AND(Inputs!$B$39&lt;&gt;"pvp",Inputs!$B$44&gt;0),(((R2021-1)*MIN((Skills!T16*(1+Inputs!$B$35/100)),(1/Q2021))+MIN((Skills!T16*(1+Inputs!$B$35/100)),MAX(0,Inputs!$B$44-((R2021-1)*(1/Q2021)))))/Inputs!$B$44),IF(Inputs!$B$39="pvp",MIN((Skills!T16*(1+Inputs!$B$35/100)),15)/15,MIN(1,(Skills!T16*(1+Inputs!$B$35/100))/(1/Q2021)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2017)</f>
        <v/>
      </c>
      <c r="L2017">
        <f>K2017*(MIN(Inputs!$B$23+((C2027=TRUE)*(F2027-Calc!F22)),(Inputs!$B$24+((C2029=TRUE)*(F2029-Calc!F24))+(IF(ArtifactsInput!$M$15,CHOOSE(ArtifactsInput!$N$15+1,25,30,35,40,45,50)/100*(Inputs!$B$12-Inputs!$B$12),0))))/100+(Inputs!$B$24+((C2029=TRUE)*(F2029-Calc!F24))+(IF(ArtifactsInput!$M$15,CHOOSE(ArtifactsInput!$N$15+1,25,30,35,40,45,50)/100*(Inputs!$B$12-Inputs!$B$12),0)))/100)/2</f>
        <v/>
      </c>
      <c r="M2017">
        <f>L2017*(1+(Inputs!$B$11+0+B2039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017">
        <f>L2017*(1-MIN((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2017*(MIN((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17">
        <f>(1-Summary!$B$11)*T2017+Summary!$B$11*V2017</f>
        <v/>
      </c>
      <c r="P2017">
        <f>IF(B2044=0,0,O2017/B2044)</f>
        <v/>
      </c>
      <c r="Q2017">
        <f>IFERROR(1/IF(Inputs!$B$39="pvp",15,MAX(0.1,Skills!D12-IF(TRUE=TRUE,Inputs!$B$33,0))),0)</f>
        <v/>
      </c>
      <c r="R2017">
        <f>IF(AND(Inputs!$B$39&lt;&gt;"pvp",Inputs!$B$44&gt;0),IF(MAX(0,Inputs!$B$44-B2041)&lt;=0,0,(INT(MAX(0,Inputs!$B$44-B2041)/IF(Inputs!$B$39="pvp",15,MAX(0.1,Skills!D12-IF(TRUE=TRUE,Inputs!$B$33,0))))+1)),0)</f>
        <v/>
      </c>
      <c r="S2017">
        <f>IFERROR(O2017/N2017,0)</f>
        <v/>
      </c>
      <c r="T2017">
        <f>IF(C2017,(H2017*N2017*IF(AND(Inputs!$B$39&lt;&gt;"pvp",Inputs!$B$44&gt;0),((Skills!G12*((R2017-1)*IF(Skills!H12&gt;0,INT(Skills!I12/Skills!H12+0.000000001),1)+IF(Skills!H12&gt;0,INT(MIN(Skills!I12,MAX(0,MAX(0,Inputs!$B$44-B2041)-((R2017-1)*IF(Inputs!$B$39="pvp",15,MAX(0.1,Skills!D12-IF(TRUE=TRUE,Inputs!$B$33,0))))))/Skills!H12+0.000000001),1)))/Inputs!$B$44),G2017*Q2017))*IF(Inputs!$B$39="pvp",1,1+(Inputs!$B$21+0+Skills!P12+((C2022=TRUE)*F2022*IF(AND(Inputs!$B$39&lt;&gt;"pvp",Inputs!$B$44&gt;0),(((R2022-1)*MIN((Skills!T17*(1+Inputs!$B$35/100)),(1/Q2022))+MIN((Skills!T17*(1+Inputs!$B$35/100)),MAX(0,Inputs!$B$44-((R2022-1)*(1/Q2022)))))/Inputs!$B$44),IF(Inputs!$B$39="pvp",MIN((Skills!T17*(1+Inputs!$B$35/100)),15)/15,MIN(1,(Skills!T17*(1+Inputs!$B$35/100))/(1/Q2022)))))+((C2010=TRUE)*IF(Inputs!$B$3&gt;=126,10*MIN(1,15*Q2010),0))+((C2019=TRUE)*IF(Inputs!$B$39="pvp",20,(1-Summary!$B$11)*(20)+Summary!$B$11*(0))*IF(AND(Inputs!$B$39&lt;&gt;"pvp",Inputs!$B$44&gt;0),(((R2019-1)*MIN((Skills!T14*(1+Inputs!$B$35/100)),(1/Q2019))+MIN((Skills!T14*(1+Inputs!$B$35/100)),MAX(0,Inputs!$B$44-((R2019-1)*(1/Q2019)))))/Inputs!$B$44),IF(Inputs!$B$39="pvp",MIN((Skills!T14*(1+Inputs!$B$35/100)),15)/15,MIN(1,(Skills!T14*(1+Inputs!$B$35/100))/(1/Q2019)))))+((C2018=TRUE)*IF(Inputs!$B$3&gt;=82,IF(Inputs!$B$39="pvp",20,(1-Summary!$B$11)*(20)+Summary!$B$11*(0)),0)*IF(AND(Inputs!$B$39&lt;&gt;"pvp",Inputs!$B$44&gt;0),(((R2018-1)*MIN((Skills!T13*(1+Inputs!$B$35/100)),(1/Q2018))+MIN((Skills!T13*(1+Inputs!$B$35/100)),MAX(0,Inputs!$B$44-((R2018-1)*(1/Q2018)))))/Inputs!$B$44),IF(Inputs!$B$39="pvp",MIN((Skills!T13*(1+Inputs!$B$35/100)),15)/15,MIN(1,(Skills!T13*(1+Inputs!$B$35/100))/(1/Q2018)))))+(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2017*(1-MIN(100,(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2017*(MIN(100,(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2017*(1-MIN(100,(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2017*(MIN(100,(Inputs!$B$10+0+B2034+(ArtifactsInput!$M$24-ArtifactsInput!$M$24)*CHOOSE(ArtifactsInput!$N$24+1,10,12,14,16,18,20)+(IF(AND(Inputs!$B$39&lt;&gt;"pvp",Inputs!$B$44=0),1,IF(IF(Inputs!$B$39="pvp",15,Inputs!$B$44)-(B2041)&lt;=0,1,MAX(0,IF(Inputs!$B$39="pvp",15,Inputs!$B$44)-MAX(5,B2041))/(IF(Inputs!$B$39="pvp",15,Inputs!$B$44)-(B2041))))*IF(AND(ArtifactsInput!$M$42,((Inputs!$B$10+0+B2034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17">
        <f>IF(C2017,(H2017*N2017*IF(AND(Inputs!$B$39&lt;&gt;"pvp",Inputs!$B$44&gt;0),((Skills!G12*((R2017-1)*IF(Skills!H12&gt;0,INT(Skills!I12/Skills!H12+0.000000001),1)+IF(Skills!H12&gt;0,INT(MIN(Skills!I12,MAX(0,MAX(0,Inputs!$B$44-B2041)-((R2017-1)*IF(Inputs!$B$39="pvp",15,MAX(0.1,Skills!D12-IF(TRUE=TRUE,Inputs!$B$33,0))))))/Skills!H12+0.000000001),1)))/Inputs!$B$44),G2017*Q2017))*IF(Inputs!$B$39="pvp",1,(1+(Inputs!$B$22+Skills!Q12+((C2022=TRUE)*F2022*IF(AND(Inputs!$B$39&lt;&gt;"pvp",Inputs!$B$44&gt;0),(((R2022-1)*MIN((Skills!T17*(1+Inputs!$B$35/100)),(1/Q2022))+MIN((Skills!T17*(1+Inputs!$B$35/100)),MAX(0,Inputs!$B$44-((R2022-1)*(1/Q2022)))))/Inputs!$B$44),IF(Inputs!$B$39="pvp",MIN((Skills!T17*(1+Inputs!$B$35/100)),15)/15,MIN(1,(Skills!T17*(1+Inputs!$B$35/100))/(1/Q2022)))))+((C2010=TRUE)*IF(Inputs!$B$3&gt;=126,10*MIN(1,15*Q2010),0))+((C2019=TRUE)*IF(Inputs!$B$39="pvp",20,(1-Summary!$B$11)*(20)+Summary!$B$11*(0))*IF(AND(Inputs!$B$39&lt;&gt;"pvp",Inputs!$B$44&gt;0),(((R2019-1)*MIN((Skills!T14*(1+Inputs!$B$35/100)),(1/Q2019))+MIN((Skills!T14*(1+Inputs!$B$35/100)),MAX(0,Inputs!$B$44-((R2019-1)*(1/Q2019)))))/Inputs!$B$44),IF(Inputs!$B$39="pvp",MIN((Skills!T14*(1+Inputs!$B$35/100)),15)/15,MIN(1,(Skills!T14*(1+Inputs!$B$35/100))/(1/Q2019)))))+((C2018=TRUE)*IF(Inputs!$B$3&gt;=82,IF(Inputs!$B$39="pvp",20,(1-Summary!$B$11)*(20)+Summary!$B$11*(0)),0)*IF(AND(Inputs!$B$39&lt;&gt;"pvp",Inputs!$B$44&gt;0),(((R2018-1)*MIN((Skills!T13*(1+Inputs!$B$35/100)),(1/Q2018))+MIN((Skills!T13*(1+Inputs!$B$35/100)),MAX(0,Inputs!$B$44-((R2018-1)*(1/Q2018)))))/Inputs!$B$44),IF(Inputs!$B$39="pvp",MIN((Skills!T13*(1+Inputs!$B$35/100)),15)/15,MIN(1,(Skills!T13*(1+Inputs!$B$35/100))/(1/Q2018)))))+(IF(AND(ArtifactsInput!$M$35,Inputs!$B$4&lt;&gt;"Chapter Hunt"),CHOOSE(ArtifactsInput!$N$35+1,15,18,21,24,27,30)*(1-EXP(-(0.2*B2036)*5)),0)+IF(AND(ArtifactsInput!$M$22,Inputs!$B$4&lt;&gt;"Chapter Hunt"),CHOOSE(ArtifactsInput!$N$22+1,10,12,14,16,18,20)*((0*(((0.15*B2036*5))^0/1)+1*(((0.15*B2036*5))^1/1)+2*(((0.15*B2036*5))^2/2)+3*(((0.15*B2036*5))^3/6)+4*(((0.15*B2036*5))^4/24)+5*(((0.15*B2036*5))^5/120))/((((0.15*B2036*5))^0/1)+(((0.15*B2036*5))^1/1)+(((0.15*B2036*5))^2/2)+(((0.15*B2036*5))^3/6)+(((0.15*B2036*5))^4/24)+(((0.15*B2036*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18">
      <c r="A2018">
        <f>Skills!A13</f>
        <v/>
      </c>
      <c r="B2018">
        <f>Skills!B13</f>
        <v/>
      </c>
      <c r="C2018">
        <f>Inputs!$B$3&gt;=69</f>
        <v/>
      </c>
      <c r="D2018">
        <f>IF(Skills!C13=1,60+Inputs!$B$26+Inputs!$B$30,IF(Skills!C13=2,90+Inputs!$B$27+Inputs!$B$30,IF(Skills!C13=3,120+Inputs!$B$28+Inputs!$B$30,MAX(0,(Inputs!$B$3-100)*3)+Inputs!$B$29+Inputs!$B$30)))</f>
        <v/>
      </c>
      <c r="E2018">
        <f>INDEX(FactorTable!$B$2:$Y$301, MATCH(ROUND(MIN(300,MAX(1,D2018)),0), FactorTable!$A$2:$A$301,0), Skills!M13+1)</f>
        <v/>
      </c>
      <c r="F2018">
        <f>IF(Skills!N13=TRUE,(Skills!L13/10)*(E2018/1000),Skills!L13/10)+Skills!O13</f>
        <v/>
      </c>
      <c r="G2018">
        <f>Skills!G13*IF(Skills!H13&gt;0,INT(IF(Inputs!$B$39="pvp",MIN(Skills!I13,15),Skills!I13)/Skills!H13+0.000000001),1)</f>
        <v/>
      </c>
      <c r="H2018">
        <f>1-(1-Skills!J13/100)^Skills!K13</f>
        <v/>
      </c>
      <c r="I2018" t="inlineStr">
        <is>
          <t>1</t>
        </is>
      </c>
      <c r="J2018" t="inlineStr"/>
      <c r="K2018" t="inlineStr"/>
      <c r="L2018" t="inlineStr"/>
      <c r="M2018" t="inlineStr"/>
      <c r="N2018" t="inlineStr"/>
      <c r="O2018">
        <f>(1-Summary!$B$11)*T2018+Summary!$B$11*V2018</f>
        <v/>
      </c>
      <c r="P2018">
        <f>IF(B2044=0,0,O2018/B2044)</f>
        <v/>
      </c>
      <c r="Q2018">
        <f>IFERROR(1/IF(Inputs!$B$39="pvp",15,MAX(0.1,Skills!D13-IF(TRUE=TRUE,Inputs!$B$33,0))),0)</f>
        <v/>
      </c>
      <c r="R2018">
        <f>IF(AND(Inputs!$B$39&lt;&gt;"pvp",Inputs!$B$44&gt;0),IF(Inputs!$B$44&lt;=0,0,(INT(Inputs!$B$44/IF(Inputs!$B$39="pvp",15,MAX(0.1,Skills!D13-IF(TRUE=TRUE,Inputs!$B$33,0))))+1)),0)</f>
        <v/>
      </c>
      <c r="S2018">
        <f>IFERROR(O2018/N2018,0)</f>
        <v/>
      </c>
      <c r="T2018" t="n">
        <v>0</v>
      </c>
      <c r="V2018" t="n">
        <v>0</v>
      </c>
    </row>
    <row r="2019">
      <c r="A2019">
        <f>Skills!A14</f>
        <v/>
      </c>
      <c r="B2019">
        <f>Skills!B14</f>
        <v/>
      </c>
      <c r="C2019">
        <f>Inputs!$B$3&gt;=115</f>
        <v/>
      </c>
      <c r="D2019">
        <f>IF(Skills!C14=1,60+Inputs!$B$26+Inputs!$B$30,IF(Skills!C14=2,90+Inputs!$B$27+Inputs!$B$30,IF(Skills!C14=3,120+Inputs!$B$28+Inputs!$B$30,MAX(0,(Inputs!$B$3-100)*3)+Inputs!$B$29+Inputs!$B$30)))</f>
        <v/>
      </c>
      <c r="E2019">
        <f>INDEX(FactorTable!$B$2:$Y$301, MATCH(ROUND(MIN(300,MAX(1,D2019)),0), FactorTable!$A$2:$A$301,0), Skills!M14+1)</f>
        <v/>
      </c>
      <c r="F2019">
        <f>IF(Skills!N14=TRUE,(Skills!L14/10)*(E2019/1000),Skills!L14/10)+Skills!O14</f>
        <v/>
      </c>
      <c r="G2019">
        <f>Skills!G14*IF(Skills!H14&gt;0,INT(IF(Inputs!$B$39="pvp",MIN(Skills!I14,15),Skills!I14)/Skills!H14+0.000000001),1)</f>
        <v/>
      </c>
      <c r="H2019">
        <f>1-(1-Skills!J14/100)^Skills!K14</f>
        <v/>
      </c>
      <c r="I2019" t="inlineStr">
        <is>
          <t>1</t>
        </is>
      </c>
      <c r="J2019" t="inlineStr"/>
      <c r="K2019" t="inlineStr"/>
      <c r="L2019" t="inlineStr"/>
      <c r="M2019" t="inlineStr"/>
      <c r="N2019" t="inlineStr"/>
      <c r="O2019">
        <f>(1-Summary!$B$11)*T2019+Summary!$B$11*V2019</f>
        <v/>
      </c>
      <c r="P2019">
        <f>IF(B2044=0,0,O2019/B2044)</f>
        <v/>
      </c>
      <c r="Q2019">
        <f>IFERROR(1/IF(Inputs!$B$39="pvp",15,MAX(0.1,Skills!D14-IF(TRUE=TRUE,Inputs!$B$33,0))),0)</f>
        <v/>
      </c>
      <c r="R2019">
        <f>IF(AND(Inputs!$B$39&lt;&gt;"pvp",Inputs!$B$44&gt;0),IF(Inputs!$B$44&lt;=0,0,(INT(Inputs!$B$44/IF(Inputs!$B$39="pvp",15,MAX(0.1,Skills!D14-IF(TRUE=TRUE,Inputs!$B$33,0))))+1)),0)</f>
        <v/>
      </c>
      <c r="S2019">
        <f>IFERROR(O2019/N2019,0)</f>
        <v/>
      </c>
      <c r="T2019" t="n">
        <v>0</v>
      </c>
      <c r="V2019" t="n">
        <v>0</v>
      </c>
    </row>
    <row r="2020">
      <c r="A2020">
        <f>Skills!A15</f>
        <v/>
      </c>
      <c r="B2020">
        <f>Skills!B15</f>
        <v/>
      </c>
      <c r="C2020">
        <f>Inputs!$B$3&gt;=66</f>
        <v/>
      </c>
      <c r="D2020">
        <f>IF(Skills!C15=1,60+Inputs!$B$26+Inputs!$B$30,IF(Skills!C15=2,90+Inputs!$B$27+Inputs!$B$30,IF(Skills!C15=3,120+Inputs!$B$28+Inputs!$B$30,MAX(0,(Inputs!$B$3-100)*3)+Inputs!$B$29+Inputs!$B$30)))</f>
        <v/>
      </c>
      <c r="E2020">
        <f>INDEX(FactorTable!$B$2:$Y$301, MATCH(ROUND(MIN(300,MAX(1,D2020)),0), FactorTable!$A$2:$A$301,0), Skills!M15+1)</f>
        <v/>
      </c>
      <c r="F2020">
        <f>IF(Skills!N15=TRUE,(Skills!L15/10)*(E2020/1000),Skills!L15/10)+Skills!O15</f>
        <v/>
      </c>
      <c r="G2020">
        <f>Skills!G15*IF(Skills!H15&gt;0,INT(IF(Inputs!$B$39="pvp",MIN(Skills!I15,15),Skills!I15)/Skills!H15+0.000000001),1)</f>
        <v/>
      </c>
      <c r="H2020">
        <f>1-(1-Skills!J15/100)^Skills!K15</f>
        <v/>
      </c>
      <c r="I2020" t="inlineStr">
        <is>
          <t>1</t>
        </is>
      </c>
      <c r="J2020" t="inlineStr"/>
      <c r="K2020" t="inlineStr"/>
      <c r="L2020" t="inlineStr"/>
      <c r="M2020" t="inlineStr"/>
      <c r="N2020" t="inlineStr"/>
      <c r="O2020">
        <f>(1-Summary!$B$11)*T2020+Summary!$B$11*V2020</f>
        <v/>
      </c>
      <c r="P2020">
        <f>IF(B2044=0,0,O2020/B2044)</f>
        <v/>
      </c>
      <c r="Q2020">
        <f>IFERROR(1/IF(Inputs!$B$39="pvp",15,MAX(0.1,Skills!D15-IF(TRUE=TRUE,Inputs!$B$33,0))),0)</f>
        <v/>
      </c>
      <c r="R2020">
        <f>IF(AND(Inputs!$B$39&lt;&gt;"pvp",Inputs!$B$44&gt;0),IF(Inputs!$B$44&lt;=0,0,(INT(Inputs!$B$44/IF(Inputs!$B$39="pvp",15,MAX(0.1,Skills!D15-IF(TRUE=TRUE,Inputs!$B$33,0))))+1)),0)</f>
        <v/>
      </c>
      <c r="S2020">
        <f>IFERROR(O2020/N2020,0)</f>
        <v/>
      </c>
      <c r="T2020" t="n">
        <v>0</v>
      </c>
      <c r="V2020" t="n">
        <v>0</v>
      </c>
    </row>
    <row r="2021">
      <c r="A2021">
        <f>Skills!A16</f>
        <v/>
      </c>
      <c r="B2021">
        <f>Skills!B16</f>
        <v/>
      </c>
      <c r="C2021">
        <f>Inputs!$B$3&gt;=45</f>
        <v/>
      </c>
      <c r="D2021">
        <f>IF(Skills!C16=1,60+Inputs!$B$26+Inputs!$B$30,IF(Skills!C16=2,90+Inputs!$B$27+Inputs!$B$30,IF(Skills!C16=3,120+Inputs!$B$28+Inputs!$B$30,MAX(0,(Inputs!$B$3-100)*3)+Inputs!$B$29+Inputs!$B$30)))</f>
        <v/>
      </c>
      <c r="E2021">
        <f>INDEX(FactorTable!$B$2:$Y$301, MATCH(ROUND(MIN(300,MAX(1,D2021)),0), FactorTable!$A$2:$A$301,0), Skills!M16+1)</f>
        <v/>
      </c>
      <c r="F2021">
        <f>IF(Skills!N16=TRUE,(Skills!L16/10)*(E2021/1000),Skills!L16/10)+Skills!O16</f>
        <v/>
      </c>
      <c r="G2021">
        <f>Skills!G16*IF(Skills!H16&gt;0,INT(IF(Inputs!$B$39="pvp",MIN(Skills!I16,15),Skills!I16)/Skills!H16+0.000000001),1)</f>
        <v/>
      </c>
      <c r="H2021">
        <f>1-(1-Skills!J16/100)^Skills!K16</f>
        <v/>
      </c>
      <c r="I2021" t="inlineStr">
        <is>
          <t>1</t>
        </is>
      </c>
      <c r="J2021" t="inlineStr"/>
      <c r="K2021" t="inlineStr"/>
      <c r="L2021" t="inlineStr"/>
      <c r="M2021" t="inlineStr"/>
      <c r="N2021" t="inlineStr"/>
      <c r="O2021">
        <f>(1-Summary!$B$11)*T2021+Summary!$B$11*V2021</f>
        <v/>
      </c>
      <c r="P2021">
        <f>IF(B2044=0,0,O2021/B2044)</f>
        <v/>
      </c>
      <c r="Q2021">
        <f>IFERROR(1/IF(Inputs!$B$39="pvp",15,MAX(0.1,Skills!D16-IF(TRUE=TRUE,Inputs!$B$33,0))),0)</f>
        <v/>
      </c>
      <c r="R2021">
        <f>IF(AND(Inputs!$B$39&lt;&gt;"pvp",Inputs!$B$44&gt;0),IF(Inputs!$B$44&lt;=0,0,(INT(Inputs!$B$44/IF(Inputs!$B$39="pvp",15,MAX(0.1,Skills!D16-IF(TRUE=TRUE,Inputs!$B$33,0))))+1)),0)</f>
        <v/>
      </c>
      <c r="S2021">
        <f>IFERROR(O2021/N2021,0)</f>
        <v/>
      </c>
      <c r="T2021" t="n">
        <v>0</v>
      </c>
      <c r="V2021" t="n">
        <v>0</v>
      </c>
    </row>
    <row r="2022">
      <c r="A2022">
        <f>Skills!A17</f>
        <v/>
      </c>
      <c r="B2022">
        <f>Skills!B17</f>
        <v/>
      </c>
      <c r="C2022">
        <f>Inputs!$B$3&gt;=35</f>
        <v/>
      </c>
      <c r="D2022">
        <f>IF(Skills!C17=1,60+Inputs!$B$26+Inputs!$B$30,IF(Skills!C17=2,90+Inputs!$B$27+Inputs!$B$30,IF(Skills!C17=3,120+Inputs!$B$28+Inputs!$B$30,MAX(0,(Inputs!$B$3-100)*3)+Inputs!$B$29+Inputs!$B$30)))</f>
        <v/>
      </c>
      <c r="E2022">
        <f>INDEX(FactorTable!$B$2:$Y$301, MATCH(ROUND(MIN(300,MAX(1,D2022)),0), FactorTable!$A$2:$A$301,0), Skills!M17+1)</f>
        <v/>
      </c>
      <c r="F2022">
        <f>IF(Skills!N17=TRUE,(Skills!L17/10)*(E2022/1000),Skills!L17/10)+Skills!O17</f>
        <v/>
      </c>
      <c r="G2022">
        <f>Skills!G17*IF(Skills!H17&gt;0,INT(IF(Inputs!$B$39="pvp",MIN(Skills!I17,15),Skills!I17)/Skills!H17+0.000000001),1)</f>
        <v/>
      </c>
      <c r="H2022">
        <f>1-(1-Skills!J17/100)^Skills!K17</f>
        <v/>
      </c>
      <c r="I2022" t="inlineStr">
        <is>
          <t>1</t>
        </is>
      </c>
      <c r="J2022" t="inlineStr"/>
      <c r="K2022" t="inlineStr"/>
      <c r="L2022" t="inlineStr"/>
      <c r="M2022" t="inlineStr"/>
      <c r="N2022" t="inlineStr"/>
      <c r="O2022">
        <f>(1-Summary!$B$11)*T2022+Summary!$B$11*V2022</f>
        <v/>
      </c>
      <c r="P2022">
        <f>IF(B2044=0,0,O2022/B2044)</f>
        <v/>
      </c>
      <c r="Q2022">
        <f>IFERROR(1/IF(Inputs!$B$39="pvp",15,MAX(0.1,Skills!D17-IF(TRUE=TRUE,Inputs!$B$33,0))),0)</f>
        <v/>
      </c>
      <c r="R2022">
        <f>IF(AND(Inputs!$B$39&lt;&gt;"pvp",Inputs!$B$44&gt;0),IF(Inputs!$B$44&lt;=0,0,(INT(Inputs!$B$44/IF(Inputs!$B$39="pvp",15,MAX(0.1,Skills!D17-IF(TRUE=TRUE,Inputs!$B$33,0))))+1)),0)</f>
        <v/>
      </c>
      <c r="S2022">
        <f>IFERROR(O2022/N2022,0)</f>
        <v/>
      </c>
      <c r="T2022" t="n">
        <v>0</v>
      </c>
      <c r="V2022" t="n">
        <v>0</v>
      </c>
    </row>
    <row r="2023">
      <c r="A2023">
        <f>Skills!A18</f>
        <v/>
      </c>
      <c r="B2023">
        <f>Skills!B18</f>
        <v/>
      </c>
      <c r="C2023">
        <f>Inputs!$B$3&gt;=72</f>
        <v/>
      </c>
      <c r="D2023">
        <f>IF(Skills!C18=1,60+Inputs!$B$26+Inputs!$B$30,IF(Skills!C18=2,90+Inputs!$B$27+Inputs!$B$30,IF(Skills!C18=3,120+Inputs!$B$28+Inputs!$B$30,MAX(0,(Inputs!$B$3-100)*3)+Inputs!$B$29+Inputs!$B$30)))</f>
        <v/>
      </c>
      <c r="E2023">
        <f>INDEX(FactorTable!$B$2:$Y$301, MATCH(ROUND(MIN(300,MAX(1,D2023)),0), FactorTable!$A$2:$A$301,0), Skills!M18+1)</f>
        <v/>
      </c>
      <c r="F2023">
        <f>IF(Skills!N18=TRUE,(Skills!L18/10)*(E2023/1000),Skills!L18/10)+Skills!O18</f>
        <v/>
      </c>
      <c r="G2023">
        <f>Skills!G18*IF(Skills!H18&gt;0,INT(IF(Inputs!$B$39="pvp",MIN(Skills!I18,15),Skills!I18)/Skills!H18+0.000000001),1)</f>
        <v/>
      </c>
      <c r="H2023">
        <f>1-(1-Skills!J18/100)^Skills!K18</f>
        <v/>
      </c>
      <c r="I2023" t="inlineStr">
        <is>
          <t>1</t>
        </is>
      </c>
      <c r="J2023" t="inlineStr"/>
      <c r="K2023" t="inlineStr"/>
      <c r="L2023" t="inlineStr"/>
      <c r="M2023" t="inlineStr"/>
      <c r="N2023" t="inlineStr"/>
      <c r="O2023">
        <f>(1-Summary!$B$11)*T2023+Summary!$B$11*V2023</f>
        <v/>
      </c>
      <c r="P2023">
        <f>IF(B2044=0,0,O2023/B2044)</f>
        <v/>
      </c>
      <c r="Q2023">
        <f>IFERROR(1/IF(Inputs!$B$39="pvp",15,MAX(0.1,Skills!D18-IF(TRUE=TRUE,Inputs!$B$33,0))),0)</f>
        <v/>
      </c>
      <c r="R2023">
        <f>IF(AND(Inputs!$B$39&lt;&gt;"pvp",Inputs!$B$44&gt;0),IF(Inputs!$B$44&lt;=0,0,(INT(Inputs!$B$44/IF(Inputs!$B$39="pvp",15,MAX(0.1,Skills!D18-IF(TRUE=TRUE,Inputs!$B$33,0))))+1)),0)</f>
        <v/>
      </c>
      <c r="S2023">
        <f>IFERROR(O2023/N2023,0)</f>
        <v/>
      </c>
      <c r="T2023" t="n">
        <v>0</v>
      </c>
      <c r="V2023" t="n">
        <v>0</v>
      </c>
    </row>
    <row r="2024">
      <c r="A2024">
        <f>Skills!A19</f>
        <v/>
      </c>
      <c r="B2024">
        <f>Skills!B19</f>
        <v/>
      </c>
      <c r="C2024">
        <f>Inputs!$B$3&gt;=72</f>
        <v/>
      </c>
      <c r="D2024">
        <f>IF(Skills!C19=1,60+Inputs!$B$26+Inputs!$B$30,IF(Skills!C19=2,90+Inputs!$B$27+Inputs!$B$30,IF(Skills!C19=3,120+Inputs!$B$28+Inputs!$B$30,MAX(0,(Inputs!$B$3-100)*3)+Inputs!$B$29+Inputs!$B$30)))</f>
        <v/>
      </c>
      <c r="E2024">
        <f>INDEX(FactorTable!$B$2:$Y$301, MATCH(ROUND(MIN(300,MAX(1,D2024)),0), FactorTable!$A$2:$A$301,0), Skills!M19+1)</f>
        <v/>
      </c>
      <c r="F2024">
        <f>IF(Skills!N19=TRUE,(Skills!L19/10)*(E2024/1000),Skills!L19/10)+Skills!O19</f>
        <v/>
      </c>
      <c r="G2024">
        <f>Skills!G19*IF(Skills!H19&gt;0,INT(IF(Inputs!$B$39="pvp",MIN(Skills!I19,15),Skills!I19)/Skills!H19+0.000000001),1)</f>
        <v/>
      </c>
      <c r="H2024">
        <f>1-(1-Skills!J19/100)^Skills!K19</f>
        <v/>
      </c>
      <c r="I2024" t="inlineStr">
        <is>
          <t>1</t>
        </is>
      </c>
      <c r="J2024" t="inlineStr"/>
      <c r="K2024" t="inlineStr"/>
      <c r="L2024" t="inlineStr"/>
      <c r="M2024" t="inlineStr"/>
      <c r="N2024" t="inlineStr"/>
      <c r="O2024">
        <f>(1-Summary!$B$11)*T2024+Summary!$B$11*V2024</f>
        <v/>
      </c>
      <c r="P2024">
        <f>IF(B2044=0,0,O2024/B2044)</f>
        <v/>
      </c>
      <c r="Q2024">
        <f>IFERROR(1/IF(Inputs!$B$39="pvp",15,MAX(0.1,Skills!D19-IF(TRUE=TRUE,Inputs!$B$33,0))),0)</f>
        <v/>
      </c>
      <c r="R2024">
        <f>IF(AND(Inputs!$B$39&lt;&gt;"pvp",Inputs!$B$44&gt;0),IF(Inputs!$B$44&lt;=0,0,(INT(Inputs!$B$44/IF(Inputs!$B$39="pvp",15,MAX(0.1,Skills!D19-IF(TRUE=TRUE,Inputs!$B$33,0))))+1)),0)</f>
        <v/>
      </c>
      <c r="S2024">
        <f>IFERROR(O2024/N2024,0)</f>
        <v/>
      </c>
      <c r="T2024" t="n">
        <v>0</v>
      </c>
      <c r="V2024" t="n">
        <v>0</v>
      </c>
    </row>
    <row r="2025">
      <c r="A2025">
        <f>Skills!A20</f>
        <v/>
      </c>
      <c r="B2025">
        <f>Skills!B20</f>
        <v/>
      </c>
      <c r="C2025">
        <f>TRUE</f>
        <v/>
      </c>
      <c r="D2025">
        <f>IF(Skills!C20=1,60+Inputs!$B$26+Inputs!$B$30,IF(Skills!C20=2,90+Inputs!$B$27+Inputs!$B$30,IF(Skills!C20=3,120+Inputs!$B$28+Inputs!$B$30,MAX(0,(Inputs!$B$3-100)*3)+Inputs!$B$29+Inputs!$B$30)))</f>
        <v/>
      </c>
      <c r="E2025">
        <f>INDEX(FactorTable!$B$2:$Y$301, MATCH(ROUND(MIN(300,MAX(1,D2025)),0), FactorTable!$A$2:$A$301,0), Skills!M20+1)</f>
        <v/>
      </c>
      <c r="F2025">
        <f>IF(Skills!N20=TRUE,(Skills!L20/10)*(E2025/1000),Skills!L20/10)+Skills!O20</f>
        <v/>
      </c>
      <c r="G2025">
        <f>Skills!G20*IF(Skills!H20&gt;0,INT(IF(Inputs!$B$39="pvp",MIN(Skills!I20,15),Skills!I20)/Skills!H20+0.000000001),1)</f>
        <v/>
      </c>
      <c r="H2025">
        <f>1-(1-Skills!J20/100)^Skills!K20</f>
        <v/>
      </c>
      <c r="I2025" t="inlineStr">
        <is>
          <t>1</t>
        </is>
      </c>
      <c r="J2025" t="inlineStr"/>
      <c r="K2025" t="inlineStr"/>
      <c r="L2025" t="inlineStr"/>
      <c r="M2025" t="inlineStr"/>
      <c r="N2025" t="inlineStr"/>
      <c r="O2025">
        <f>(1-Summary!$B$11)*T2025+Summary!$B$11*V2025</f>
        <v/>
      </c>
      <c r="P2025">
        <f>IF(B2044=0,0,O2025/B2044)</f>
        <v/>
      </c>
      <c r="Q2025">
        <f>IFERROR(1/IF(Inputs!$B$39="pvp",15,MAX(0.1,Skills!D20-IF(TRUE=TRUE,Inputs!$B$33,0))),0)</f>
        <v/>
      </c>
      <c r="R2025">
        <f>IF(AND(Inputs!$B$39&lt;&gt;"pvp",Inputs!$B$44&gt;0),IF(Inputs!$B$44&lt;=0,0,(INT(Inputs!$B$44/IF(Inputs!$B$39="pvp",15,MAX(0.1,Skills!D20-IF(TRUE=TRUE,Inputs!$B$33,0))))+1)),0)</f>
        <v/>
      </c>
      <c r="S2025">
        <f>IFERROR(O2025/N2025,0)</f>
        <v/>
      </c>
      <c r="T2025" t="n">
        <v>0</v>
      </c>
      <c r="V2025" t="n">
        <v>0</v>
      </c>
    </row>
    <row r="2026">
      <c r="A2026">
        <f>Skills!A21</f>
        <v/>
      </c>
      <c r="B2026">
        <f>Skills!B21</f>
        <v/>
      </c>
      <c r="C2026">
        <f>Inputs!$B$3&gt;=33</f>
        <v/>
      </c>
      <c r="D2026">
        <f>IF(Skills!C21=1,60+Inputs!$B$26+Inputs!$B$30,IF(Skills!C21=2,90+Inputs!$B$27+Inputs!$B$30,IF(Skills!C21=3,120+Inputs!$B$28+Inputs!$B$30,MAX(0,(Inputs!$B$3-100)*3)+Inputs!$B$29+Inputs!$B$30)))</f>
        <v/>
      </c>
      <c r="E2026">
        <f>INDEX(FactorTable!$B$2:$Y$301, MATCH(ROUND(MIN(300,MAX(1,D2026)),0), FactorTable!$A$2:$A$301,0), Skills!M21+1)</f>
        <v/>
      </c>
      <c r="F2026">
        <f>IF(Skills!N21=TRUE,(Skills!L21/10)*(E2026/1000),Skills!L21/10)+Skills!O21</f>
        <v/>
      </c>
      <c r="G2026">
        <f>Skills!G21*IF(Skills!H21&gt;0,INT(IF(Inputs!$B$39="pvp",MIN(Skills!I21,15),Skills!I21)/Skills!H21+0.000000001),1)</f>
        <v/>
      </c>
      <c r="H2026">
        <f>1-(1-Skills!J21/100)^Skills!K21</f>
        <v/>
      </c>
      <c r="I2026" t="inlineStr">
        <is>
          <t>1</t>
        </is>
      </c>
      <c r="J2026" t="inlineStr"/>
      <c r="K2026" t="inlineStr"/>
      <c r="L2026" t="inlineStr"/>
      <c r="M2026" t="inlineStr"/>
      <c r="N2026" t="inlineStr"/>
      <c r="O2026">
        <f>(1-Summary!$B$11)*T2026+Summary!$B$11*V2026</f>
        <v/>
      </c>
      <c r="P2026">
        <f>IF(B2044=0,0,O2026/B2044)</f>
        <v/>
      </c>
      <c r="Q2026" t="n">
        <v>0</v>
      </c>
      <c r="R2026" t="n">
        <v>0</v>
      </c>
      <c r="S2026">
        <f>IFERROR(O2026/N2026,0)</f>
        <v/>
      </c>
      <c r="T2026" t="n">
        <v>0</v>
      </c>
      <c r="V2026" t="n">
        <v>0</v>
      </c>
    </row>
    <row r="2027">
      <c r="A2027">
        <f>Skills!A22</f>
        <v/>
      </c>
      <c r="B2027">
        <f>Skills!B22</f>
        <v/>
      </c>
      <c r="C2027">
        <f>Inputs!$B$3&gt;=43</f>
        <v/>
      </c>
      <c r="D2027">
        <f>IF(Skills!C22=1,60+Inputs!$B$26+Inputs!$B$30,IF(Skills!C22=2,90+Inputs!$B$27+Inputs!$B$30,IF(Skills!C22=3,120+Inputs!$B$28+Inputs!$B$30,MAX(0,(Inputs!$B$3-100)*3)+Inputs!$B$29+Inputs!$B$30)))</f>
        <v/>
      </c>
      <c r="E2027">
        <f>INDEX(FactorTable!$B$2:$Y$301, MATCH(ROUND(MIN(300,MAX(1,D2027)),0), FactorTable!$A$2:$A$301,0), Skills!M22+1)</f>
        <v/>
      </c>
      <c r="F2027">
        <f>IF(Skills!N22=TRUE,(Skills!L22/10)*(E2027/1000),Skills!L22/10)+Skills!O22</f>
        <v/>
      </c>
      <c r="G2027">
        <f>Skills!G22*IF(Skills!H22&gt;0,INT(IF(Inputs!$B$39="pvp",MIN(Skills!I22,15),Skills!I22)/Skills!H22+0.000000001),1)</f>
        <v/>
      </c>
      <c r="H2027">
        <f>1-(1-Skills!J22/100)^Skills!K22</f>
        <v/>
      </c>
      <c r="I2027" t="inlineStr">
        <is>
          <t>1</t>
        </is>
      </c>
      <c r="J2027" t="inlineStr"/>
      <c r="K2027" t="inlineStr"/>
      <c r="L2027" t="inlineStr"/>
      <c r="M2027" t="inlineStr"/>
      <c r="N2027" t="inlineStr"/>
      <c r="O2027">
        <f>(1-Summary!$B$11)*T2027+Summary!$B$11*V2027</f>
        <v/>
      </c>
      <c r="P2027">
        <f>IF(B2044=0,0,O2027/B2044)</f>
        <v/>
      </c>
      <c r="Q2027" t="n">
        <v>0</v>
      </c>
      <c r="R2027" t="n">
        <v>0</v>
      </c>
      <c r="S2027">
        <f>IFERROR(O2027/N2027,0)</f>
        <v/>
      </c>
      <c r="T2027" t="n">
        <v>0</v>
      </c>
      <c r="V2027" t="n">
        <v>0</v>
      </c>
    </row>
    <row r="2028">
      <c r="A2028">
        <f>Skills!A23</f>
        <v/>
      </c>
      <c r="B2028">
        <f>Skills!B23</f>
        <v/>
      </c>
      <c r="C2028">
        <f>Inputs!$B$3&gt;=120</f>
        <v/>
      </c>
      <c r="D2028">
        <f>IF(Skills!C23=1,60+Inputs!$B$26+Inputs!$B$30,IF(Skills!C23=2,90+Inputs!$B$27+Inputs!$B$30,IF(Skills!C23=3,120+Inputs!$B$28+Inputs!$B$30,MAX(0,(Inputs!$B$3-100)*3)+Inputs!$B$29+Inputs!$B$30)))</f>
        <v/>
      </c>
      <c r="E2028">
        <f>INDEX(FactorTable!$B$2:$Y$301, MATCH(ROUND(MIN(300,MAX(1,D2028)),0), FactorTable!$A$2:$A$301,0), Skills!M23+1)</f>
        <v/>
      </c>
      <c r="F2028">
        <f>IF(Skills!N23=TRUE,(Skills!L23/10)*(E2028/1000),Skills!L23/10)+Skills!O23</f>
        <v/>
      </c>
      <c r="G2028">
        <f>Skills!G23*IF(Skills!H23&gt;0,INT(IF(Inputs!$B$39="pvp",MIN(Skills!I23,15),Skills!I23)/Skills!H23+0.000000001),1)</f>
        <v/>
      </c>
      <c r="H2028">
        <f>1-(1-Skills!J23/100)^Skills!K23</f>
        <v/>
      </c>
      <c r="I2028" t="inlineStr">
        <is>
          <t>1</t>
        </is>
      </c>
      <c r="J2028" t="inlineStr"/>
      <c r="K2028" t="inlineStr"/>
      <c r="L2028" t="inlineStr"/>
      <c r="M2028" t="inlineStr"/>
      <c r="N2028" t="inlineStr"/>
      <c r="O2028">
        <f>(1-Summary!$B$11)*T2028+Summary!$B$11*V2028</f>
        <v/>
      </c>
      <c r="P2028">
        <f>IF(B2044=0,0,O2028/B2044)</f>
        <v/>
      </c>
      <c r="Q2028" t="n">
        <v>0</v>
      </c>
      <c r="R2028" t="n">
        <v>0</v>
      </c>
      <c r="S2028">
        <f>IFERROR(O2028/N2028,0)</f>
        <v/>
      </c>
      <c r="T2028" t="n">
        <v>0</v>
      </c>
      <c r="V2028" t="n">
        <v>0</v>
      </c>
    </row>
    <row r="2029">
      <c r="A2029">
        <f>Skills!A24</f>
        <v/>
      </c>
      <c r="B2029">
        <f>Skills!B24</f>
        <v/>
      </c>
      <c r="C2029">
        <f>Inputs!$B$3&gt;=120</f>
        <v/>
      </c>
      <c r="D2029">
        <f>IF(Skills!C24=1,60+Inputs!$B$26+Inputs!$B$30,IF(Skills!C24=2,90+Inputs!$B$27+Inputs!$B$30,IF(Skills!C24=3,120+Inputs!$B$28+Inputs!$B$30,MAX(0,(Inputs!$B$3-100)*3)+Inputs!$B$29+Inputs!$B$30)))</f>
        <v/>
      </c>
      <c r="E2029">
        <f>INDEX(FactorTable!$B$2:$Y$301, MATCH(ROUND(MIN(300,MAX(1,D2029)),0), FactorTable!$A$2:$A$301,0), Skills!M24+1)</f>
        <v/>
      </c>
      <c r="F2029">
        <f>IF(Skills!N24=TRUE,(Skills!L24/10)*(E2029/1000),Skills!L24/10)+Skills!O24</f>
        <v/>
      </c>
      <c r="G2029">
        <f>Skills!G24*IF(Skills!H24&gt;0,INT(IF(Inputs!$B$39="pvp",MIN(Skills!I24,15),Skills!I24)/Skills!H24+0.000000001),1)</f>
        <v/>
      </c>
      <c r="H2029">
        <f>1-(1-Skills!J24/100)^Skills!K24</f>
        <v/>
      </c>
      <c r="I2029" t="inlineStr">
        <is>
          <t>1</t>
        </is>
      </c>
      <c r="J2029" t="inlineStr"/>
      <c r="K2029" t="inlineStr"/>
      <c r="L2029" t="inlineStr"/>
      <c r="M2029" t="inlineStr"/>
      <c r="N2029" t="inlineStr"/>
      <c r="O2029">
        <f>(1-Summary!$B$11)*T2029+Summary!$B$11*V2029</f>
        <v/>
      </c>
      <c r="P2029">
        <f>IF(B2044=0,0,O2029/B2044)</f>
        <v/>
      </c>
      <c r="Q2029" t="n">
        <v>0</v>
      </c>
      <c r="R2029" t="n">
        <v>0</v>
      </c>
      <c r="S2029">
        <f>IFERROR(O2029/N2029,0)</f>
        <v/>
      </c>
      <c r="T2029" t="n">
        <v>0</v>
      </c>
      <c r="V2029" t="n">
        <v>0</v>
      </c>
    </row>
    <row r="2030">
      <c r="A2030">
        <f>Skills!A25</f>
        <v/>
      </c>
      <c r="B2030">
        <f>Skills!B25</f>
        <v/>
      </c>
      <c r="C2030">
        <f>Inputs!$B$3&gt;=125</f>
        <v/>
      </c>
      <c r="D2030">
        <f>IF(Skills!C25=1,60+Inputs!$B$26+Inputs!$B$30,IF(Skills!C25=2,90+Inputs!$B$27+Inputs!$B$30,IF(Skills!C25=3,120+Inputs!$B$28+Inputs!$B$30,MAX(0,(Inputs!$B$3-100)*3)+Inputs!$B$29+Inputs!$B$30)))</f>
        <v/>
      </c>
      <c r="E2030">
        <f>INDEX(FactorTable!$B$2:$Y$301, MATCH(ROUND(MIN(300,MAX(1,D2030)),0), FactorTable!$A$2:$A$301,0), Skills!M25+1)</f>
        <v/>
      </c>
      <c r="F2030">
        <f>IF(Skills!N25=TRUE,(Skills!L25/10)*(E2030/1000),Skills!L25/10)+Skills!O25</f>
        <v/>
      </c>
      <c r="G2030">
        <f>Skills!G25*IF(Skills!H25&gt;0,INT(IF(Inputs!$B$39="pvp",MIN(Skills!I25,15),Skills!I25)/Skills!H25+0.000000001),1)</f>
        <v/>
      </c>
      <c r="H2030">
        <f>1-(1-Skills!J25/100)^Skills!K25</f>
        <v/>
      </c>
      <c r="I2030" t="inlineStr">
        <is>
          <t>1</t>
        </is>
      </c>
      <c r="J2030" t="inlineStr"/>
      <c r="K2030" t="inlineStr"/>
      <c r="L2030" t="inlineStr"/>
      <c r="M2030" t="inlineStr"/>
      <c r="N2030" t="inlineStr"/>
      <c r="O2030">
        <f>(1-Summary!$B$11)*T2030+Summary!$B$11*V2030</f>
        <v/>
      </c>
      <c r="P2030">
        <f>IF(B2044=0,0,O2030/B2044)</f>
        <v/>
      </c>
      <c r="Q2030" t="n">
        <v>0</v>
      </c>
      <c r="R2030" t="n">
        <v>0</v>
      </c>
      <c r="S2030">
        <f>IFERROR(O2030/N2030,0)</f>
        <v/>
      </c>
      <c r="T2030" t="n">
        <v>0</v>
      </c>
      <c r="V2030" t="n">
        <v>0</v>
      </c>
    </row>
    <row r="2031">
      <c r="A2031">
        <f>Skills!A26</f>
        <v/>
      </c>
      <c r="B2031">
        <f>Skills!B26</f>
        <v/>
      </c>
      <c r="C2031">
        <f>Inputs!$B$3&gt;=107</f>
        <v/>
      </c>
      <c r="D2031">
        <f>IF(Skills!C26=1,60+Inputs!$B$26+Inputs!$B$30,IF(Skills!C26=2,90+Inputs!$B$27+Inputs!$B$30,IF(Skills!C26=3,120+Inputs!$B$28+Inputs!$B$30,MAX(0,(Inputs!$B$3-100)*3)+Inputs!$B$29+Inputs!$B$30)))</f>
        <v/>
      </c>
      <c r="E2031">
        <f>INDEX(FactorTable!$B$2:$Y$301, MATCH(ROUND(MIN(300,MAX(1,D2031)),0), FactorTable!$A$2:$A$301,0), Skills!M26+1)</f>
        <v/>
      </c>
      <c r="F2031">
        <f>IF(Skills!N26=TRUE,(Skills!L26/10)*(E2031/1000),Skills!L26/10)+Skills!O26</f>
        <v/>
      </c>
      <c r="G2031">
        <f>Skills!G26*IF(Skills!H26&gt;0,INT(IF(Inputs!$B$39="pvp",MIN(Skills!I26,15),Skills!I26)/Skills!H26+0.000000001),1)</f>
        <v/>
      </c>
      <c r="H2031">
        <f>1-(1-Skills!J26/100)^Skills!K26</f>
        <v/>
      </c>
      <c r="I2031" t="inlineStr">
        <is>
          <t>1</t>
        </is>
      </c>
      <c r="J2031" t="inlineStr"/>
      <c r="K2031" t="inlineStr"/>
      <c r="L2031" t="inlineStr"/>
      <c r="M2031" t="inlineStr"/>
      <c r="N2031" t="inlineStr"/>
      <c r="O2031">
        <f>(1-Summary!$B$11)*T2031+Summary!$B$11*V2031</f>
        <v/>
      </c>
      <c r="P2031">
        <f>IF(B2044=0,0,O2031/B2044)</f>
        <v/>
      </c>
      <c r="Q2031" t="n">
        <v>0</v>
      </c>
      <c r="R2031" t="n">
        <v>0</v>
      </c>
      <c r="S2031">
        <f>IFERROR(O2031/N2031,0)</f>
        <v/>
      </c>
      <c r="T2031" t="n">
        <v>0</v>
      </c>
      <c r="V2031" t="n">
        <v>0</v>
      </c>
    </row>
    <row r="2033">
      <c r="A2033" t="inlineStr">
        <is>
          <t>Attack% Bucket Multiplier</t>
        </is>
      </c>
      <c r="B2033">
        <f>(1+(((C2018=TRUE)*F2018*IF(AND(Inputs!$B$39&lt;&gt;"pvp",Inputs!$B$44&gt;0),(((R2018-1)*MIN((Skills!T13*(1+Inputs!$B$35/100)),(1/Q2018))+MIN((Skills!T13*(1+Inputs!$B$35/100)),MAX(0,Inputs!$B$44-((R2018-1)*(1/Q2018)))))/Inputs!$B$44),IF(Inputs!$B$39="pvp",MIN((Skills!T13*(1+Inputs!$B$35/100)),15)/15,MIN(1,(Skills!T13*(1+Inputs!$B$35/100))/(1/Q2018)))))+((C2019=TRUE)*F2019*IF(AND(Inputs!$B$39&lt;&gt;"pvp",Inputs!$B$44&gt;0),(((R2019-1)*MIN((Skills!T14*(1+Inputs!$B$35/100)),(1/Q2019))+MIN((Skills!T14*(1+Inputs!$B$35/100)),MAX(0,Inputs!$B$44-((R2019-1)*(1/Q2019)))))/Inputs!$B$44),IF(Inputs!$B$39="pvp",MIN((Skills!T14*(1+Inputs!$B$35/100)),15)/15,MIN(1,(Skills!T14*(1+Inputs!$B$35/100))/(1/Q2019)))))+((C2020=TRUE)*F2020*IF(AND(Inputs!$B$39&lt;&gt;"pvp",Inputs!$B$44&gt;0),(((R2020-1)*MIN((Skills!T15*(1+Inputs!$B$35/100)),(1/Q2020))+MIN((Skills!T15*(1+Inputs!$B$35/100)),MAX(0,Inputs!$B$44-((R2020-1)*(1/Q2020)))))/Inputs!$B$44),IF(Inputs!$B$39="pvp",MIN((Skills!T15*(1+Inputs!$B$35/100)),15)/15,MIN(1,(Skills!T15*(1+Inputs!$B$35/100))/(1/Q2020)))))+((C2021=TRUE)*F2021*IF(AND(Inputs!$B$39&lt;&gt;"pvp",Inputs!$B$44&gt;0),(((R2021-1)*MIN((Skills!T16*(1+Inputs!$B$35/100)),(1/Q2021))+MIN((Skills!T16*(1+Inputs!$B$35/100)),MAX(0,Inputs!$B$44-((R2021-1)*(1/Q2021)))))/Inputs!$B$44),IF(Inputs!$B$39="pvp",MIN((Skills!T16*(1+Inputs!$B$35/100)),15)/15,MIN(1,(Skills!T16*(1+Inputs!$B$35/100))/(1/Q2021)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2034">
      <c r="A2034" t="inlineStr">
        <is>
          <t>Global Crit Rate Bonus % (Lord of Darkness)</t>
        </is>
      </c>
      <c r="B2034">
        <f>((C2023=TRUE)*F2023*(Skills!J18/100)*IF(AND(Inputs!$B$39&lt;&gt;"pvp",Inputs!$B$44&gt;0),(((R2023-1)*MIN((Skills!T18*(1+Inputs!$B$35/100)),(1/Q2023))+MIN((Skills!T18*(1+Inputs!$B$35/100)),MAX(0,Inputs!$B$44-((R2023-1)*(1/Q2023)))))/Inputs!$B$44),IF(Inputs!$B$39="pvp",MIN((Skills!T18*(1+Inputs!$B$35/100)),15)/15,MIN(1,(Skills!T18*(1+Inputs!$B$35/100))/(1/Q2023)))))</f>
        <v/>
      </c>
    </row>
    <row r="2035">
      <c r="A2035" t="inlineStr">
        <is>
          <t>Attack Speed Buff Bonus %</t>
        </is>
      </c>
      <c r="B2035">
        <f>((C2025=TRUE)*F2025*IF(AND(Inputs!$B$39&lt;&gt;"pvp",Inputs!$B$44&gt;0),(((R2025-1)*MIN((Skills!T20*(1+Inputs!$B$35/100)),(1/Q2025))+MIN((Skills!T20*(1+Inputs!$B$35/100)),MAX(0,Inputs!$B$44-((R2025-1)*(1/Q2025)))))/Inputs!$B$44),IF(Inputs!$B$39="pvp",MIN((Skills!T20*(1+Inputs!$B$35/100)),15)/15,MIN(1,(Skills!T20*(1+Inputs!$B$35/100))/(1/Q2025)))))</f>
        <v/>
      </c>
    </row>
    <row r="2036">
      <c r="A2036" t="inlineStr">
        <is>
          <t>Actions Per Second</t>
        </is>
      </c>
      <c r="B2036">
        <f>1+MIN(150,150*(1-(1-(Inputs!$B$12+((C2026=TRUE)*(F2026-Calc!F21)))/150)*(1-B2035/150)))/100</f>
        <v/>
      </c>
    </row>
    <row r="2037">
      <c r="A2037" t="inlineStr">
        <is>
          <t>Skill + Buff Cast Rate</t>
        </is>
      </c>
      <c r="B2037">
        <f>IF(AND(Inputs!$B$39&lt;&gt;"pvp",Inputs!$B$44&gt;0),SUMPRODUCT((Skills!E2:E26=TRUE)*(C2007:C2031=TRUE)*R2007:R2031*Skills!F2:F26)/Inputs!$B$44,SUMPRODUCT((Skills!E2:E26=TRUE)*(C2007:C2031=TRUE)*Q2007:Q2031*Skills!F2:F26))</f>
        <v/>
      </c>
    </row>
    <row r="2038">
      <c r="A2038" t="inlineStr">
        <is>
          <t>Dark Impale Casts Per Second</t>
        </is>
      </c>
      <c r="B2038">
        <f>MAX(0,B2036-B2037)</f>
        <v/>
      </c>
    </row>
    <row r="2039">
      <c r="A2039" t="inlineStr">
        <is>
          <t>Global Critical Damage Bonus % (Lord of Darkness)</t>
        </is>
      </c>
      <c r="B2039">
        <f>((C2024=TRUE)*F2024*(Skills!J19/100)*IF(AND(Inputs!$B$39&lt;&gt;"pvp",Inputs!$B$44&gt;0),(((R2024-1)*MIN((Skills!T19*(1+Inputs!$B$35/100)),(1/Q2024))+MIN((Skills!T19*(1+Inputs!$B$35/100)),MAX(0,Inputs!$B$44-((R2024-1)*(1/Q2024)))))/Inputs!$B$44),IF(Inputs!$B$39="pvp",MIN((Skills!T19*(1+Inputs!$B$35/100)),15)/15,MIN(1,(Skills!T19*(1+Inputs!$B$35/100))/(1/Q2024)))))</f>
        <v/>
      </c>
    </row>
    <row r="2040">
      <c r="A2040" t="inlineStr">
        <is>
          <t>Global Final Damage Bonus % (unused)</t>
        </is>
      </c>
      <c r="B2040" t="n">
        <v>0</v>
      </c>
    </row>
    <row r="2041">
      <c r="A2041" t="inlineStr">
        <is>
          <t>Buff-Casting Startup Delay (s, fixed-duration only)</t>
        </is>
      </c>
      <c r="B2041">
        <f>IF(AND(Inputs!$B$39&lt;&gt;"pvp",Inputs!$B$44&gt;0),SUMPRODUCT((Skills!T2:T26&gt;0)*(Skills!E2:E26=TRUE)*(C2007:C2031=TRUE))/B2036,0)</f>
        <v/>
      </c>
    </row>
    <row r="2042">
      <c r="A2042" t="inlineStr">
        <is>
          <t>Boss-Only Total DPS (this block's swept value)</t>
        </is>
      </c>
      <c r="B2042">
        <f>SUM(T2007:T2031)</f>
        <v/>
      </c>
    </row>
    <row r="2043">
      <c r="A2043" t="inlineStr">
        <is>
          <t>Normal-Only Total DPS (this block's swept value)</t>
        </is>
      </c>
      <c r="B2043">
        <f>SUM(V2007:V2031)</f>
        <v/>
      </c>
    </row>
    <row r="2044">
      <c r="A2044" s="6" t="inlineStr">
        <is>
          <t>TOTAL DPS</t>
        </is>
      </c>
      <c r="B2044" s="6">
        <f>SUM(O2007:O2031)</f>
        <v/>
      </c>
    </row>
    <row r="2047">
      <c r="A2047" s="6" t="inlineStr">
        <is>
          <t>Stat: Fire Flower (Equip)</t>
        </is>
      </c>
    </row>
    <row r="2048">
      <c r="A2048" s="5" t="inlineStr">
        <is>
          <t>Key</t>
        </is>
      </c>
      <c r="B2048" s="5" t="inlineStr">
        <is>
          <t>Name</t>
        </is>
      </c>
      <c r="C2048" s="5" t="inlineStr">
        <is>
          <t>Unlocked</t>
        </is>
      </c>
      <c r="D2048" s="5" t="inlineStr">
        <is>
          <t>InputLevel</t>
        </is>
      </c>
      <c r="E2048" s="5" t="inlineStr">
        <is>
          <t>Factor</t>
        </is>
      </c>
      <c r="F2048" s="5" t="inlineStr">
        <is>
          <t>CoefficientPercent</t>
        </is>
      </c>
      <c r="G2048" s="5" t="inlineStr">
        <is>
          <t>EffectiveHits</t>
        </is>
      </c>
      <c r="H2048" s="5" t="inlineStr">
        <is>
          <t>ProcProbability</t>
        </is>
      </c>
      <c r="I2048" s="5" t="inlineStr">
        <is>
          <t>MapleHeroMultiplier</t>
        </is>
      </c>
      <c r="J2048" s="5" t="inlineStr">
        <is>
          <t>BaseDamage</t>
        </is>
      </c>
      <c r="K2048" s="5" t="inlineStr">
        <is>
          <t>BaseHitDamage</t>
        </is>
      </c>
      <c r="L2048" s="5" t="inlineStr">
        <is>
          <t>NonCritAvg</t>
        </is>
      </c>
      <c r="M2048" s="5" t="inlineStr">
        <is>
          <t>CritAvg</t>
        </is>
      </c>
      <c r="N2048" s="5" t="inlineStr">
        <is>
          <t>ExpectedDamage(perHit)</t>
        </is>
      </c>
      <c r="O2048" s="5" t="inlineStr">
        <is>
          <t>DPS</t>
        </is>
      </c>
      <c r="P2048" s="5" t="inlineStr">
        <is>
          <t>% of Total</t>
        </is>
      </c>
      <c r="Q2048" s="5" t="inlineStr">
        <is>
          <t>InvCooldown</t>
        </is>
      </c>
      <c r="R2048" s="5" t="inlineStr">
        <is>
          <t>CastsInFight</t>
        </is>
      </c>
      <c r="S2048" s="5" t="inlineStr">
        <is>
          <t>HitRate(perSec)</t>
        </is>
      </c>
      <c r="U2048" t="inlineStr">
        <is>
          <t>helpers</t>
        </is>
      </c>
    </row>
    <row r="2049">
      <c r="A2049">
        <f>Skills!A2</f>
        <v/>
      </c>
      <c r="B2049">
        <f>Skills!B2</f>
        <v/>
      </c>
      <c r="C2049">
        <f>Inputs!$B$3&gt;=100</f>
        <v/>
      </c>
      <c r="D2049" t="inlineStr"/>
      <c r="E2049" t="inlineStr"/>
      <c r="F2049">
        <f>U2051+Skills!O2</f>
        <v/>
      </c>
      <c r="G2049">
        <f>Skills!G2*IF(Skills!H2&gt;0,INT(IF(Inputs!$B$39="pvp",MIN(Skills!I2,15),Skills!I2)/Skills!H2+0.000000001),1)</f>
        <v/>
      </c>
      <c r="H2049">
        <f>1-(1-Skills!J2/100)^Skills!K2</f>
        <v/>
      </c>
      <c r="I2049" t="inlineStr">
        <is>
          <t>1</t>
        </is>
      </c>
      <c r="J2049">
        <f>((Inputs!$B$6*(1+Inputs!$B$7/100))+(((Inputs!$B$13*(1+Inputs!$B$14/100))-(Inputs!$B$13*(1+Inputs!$B$14/100)))+0.25*(Inputs!$B$15-Inputs!$B$15))*(1+Inputs!$B$7/100))*(F2049/100)</f>
        <v/>
      </c>
      <c r="K2049">
        <f>J2049*(1+(((Inputs!$B$13+IF(Inputs!$B$3&gt;=38,(10*INDEX(FactorTable!$B$2:$Y$301, MATCH(ROUND(MIN(300,MAX(1,Inputs!$B$3)),0), FactorTable!$A$2:$A$301,0), 23)/1000)/100*(Inputs!$B$8*(1+Inputs!$B$9/100)),0))*(1+Inputs!$B$14/100))*0.01+Inputs!$B$15*0.0025)/100)*(1+Inputs!$B$16/100)*(1+Inputs!$B$17/100)*(5000/(6000+Inputs!$B$43*(1-(Inputs!$B$20+0)/100)))*(1+(Inputs!$B$25+((C2072=TRUE)*(F2072-Calc!F25))+((C2073=TRUE)*(F2073-Calc!F26))+B2082)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gt;=100),MIN(100,((Inputs!$B$10+0+B2076+(ArtifactsInput!$M$24-ArtifactsInput!$M$24)*CHOOSE(ArtifactsInput!$N$24+1,10,12,14,16,18,20)+IF(ArtifactsInput!$M$10,CHOOSE(ArtifactsInput!$N$10+1,15,18,21,24,27,30)*(IF(Inputs!$B$39="pvp",MIN(15,15)/15,IF(AND(Inputs!$B$39&lt;&gt;"pvp",Inputs!$B$44&gt;0),MIN(15,Inputs!$B$44)/(Inputs!$B$44),0))),0)))-100),0))*CHOOSE(ArtifactsInput!$N$42+1,0.6,0.72,0.84,0.96,1.08,1.2))),Inputs!$B$19+((C2070=TRUE)*(F2070-Calc!F23))+(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gt;=100),CHOOSE(ArtifactsInput!$N$42+1,40,48,56,64,72,80),0))))/100)*((1+(((C2060=TRUE)*F2060*IF(AND(Inputs!$B$39&lt;&gt;"pvp",Inputs!$B$44&gt;0),(((R2060-1)*MIN((Skills!T13*(1+Inputs!$B$35/100)),(1/Q2060))+MIN((Skills!T13*(1+Inputs!$B$35/100)),MAX(0,Inputs!$B$44-((R2060-1)*(1/Q2060)))))/Inputs!$B$44),IF(Inputs!$B$39="pvp",MIN((Skills!T13*(1+Inputs!$B$35/100)),15)/15,MIN(1,(Skills!T13*(1+Inputs!$B$35/100))/(1/Q2060)))))+((C2061=TRUE)*F2061*IF(AND(Inputs!$B$39&lt;&gt;"pvp",Inputs!$B$44&gt;0),(((R2061-1)*MIN((Skills!T14*(1+Inputs!$B$35/100)),(1/Q2061))+MIN((Skills!T14*(1+Inputs!$B$35/100)),MAX(0,Inputs!$B$44-((R2061-1)*(1/Q2061)))))/Inputs!$B$44),IF(Inputs!$B$39="pvp",MIN((Skills!T14*(1+Inputs!$B$35/100)),15)/15,MIN(1,(Skills!T14*(1+Inputs!$B$35/100))/(1/Q2061)))))+((C2062=TRUE)*F2062*IF(AND(Inputs!$B$39&lt;&gt;"pvp",Inputs!$B$44&gt;0),(((R2062-1)*MIN((Skills!T15*(1+Inputs!$B$35/100)),(1/Q2062))+MIN((Skills!T15*(1+Inputs!$B$35/100)),MAX(0,Inputs!$B$44-((R2062-1)*(1/Q2062)))))/Inputs!$B$44),IF(Inputs!$B$39="pvp",MIN((Skills!T15*(1+Inputs!$B$35/100)),15)/15,MIN(1,(Skills!T15*(1+Inputs!$B$35/100))/(1/Q2062)))))+((C2063=TRUE)*F2063*IF(AND(Inputs!$B$39&lt;&gt;"pvp",Inputs!$B$44&gt;0),(((R2063-1)*MIN((Skills!T16*(1+Inputs!$B$35/100)),(1/Q2063))+MIN((Skills!T16*(1+Inputs!$B$35/100)),MAX(0,Inputs!$B$44-((R2063-1)*(1/Q2063)))))/Inputs!$B$44),IF(Inputs!$B$39="pvp",MIN((Skills!T16*(1+Inputs!$B$35/100)),15)/15,MIN(1,(Skills!T16*(1+Inputs!$B$35/100))/(1/Q2063)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2049)</f>
        <v/>
      </c>
      <c r="L2049">
        <f>K2049*(MIN(Inputs!$B$23+((C2069=TRUE)*(F2069-Calc!F22)),(Inputs!$B$24+((C2071=TRUE)*(F2071-Calc!F24))+(IF(ArtifactsInput!$M$15,CHOOSE(ArtifactsInput!$N$15+1,25,30,35,40,45,50)/100*(Inputs!$B$12-Inputs!$B$12),0))))/100+(Inputs!$B$24+((C2071=TRUE)*(F2071-Calc!F24))+(IF(ArtifactsInput!$M$15,CHOOSE(ArtifactsInput!$N$15+1,25,30,35,40,45,50)/100*(Inputs!$B$12-Inputs!$B$12),0)))/100)/2</f>
        <v/>
      </c>
      <c r="M2049">
        <f>L2049*(1+(Inputs!$B$11+0+B2081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049">
        <f>L2049*(1-MIN((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2049*(MIN((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49">
        <f>(1-Summary!$B$11)*T2049+Summary!$B$11*V2049</f>
        <v/>
      </c>
      <c r="P2049">
        <f>IF(B2086=0,0,O2049/B2086)</f>
        <v/>
      </c>
      <c r="Q2049" t="n">
        <v>0</v>
      </c>
      <c r="R2049" t="n">
        <v>0</v>
      </c>
      <c r="S2049">
        <f>IFERROR(O2049/N2049,0)</f>
        <v/>
      </c>
      <c r="T2049">
        <f>IF(C2049,(Skills!G2*N2049*B2080)*IF(Inputs!$B$39="pvp",1,1+(Inputs!$B$21+0+Skills!P2+((C2064=TRUE)*F2064*IF(AND(Inputs!$B$39&lt;&gt;"pvp",Inputs!$B$44&gt;0),(((R2064-1)*MIN((Skills!T17*(1+Inputs!$B$35/100)),(1/Q2064))+MIN((Skills!T17*(1+Inputs!$B$35/100)),MAX(0,Inputs!$B$44-((R2064-1)*(1/Q2064)))))/Inputs!$B$44),IF(Inputs!$B$39="pvp",MIN((Skills!T17*(1+Inputs!$B$35/100)),15)/15,MIN(1,(Skills!T17*(1+Inputs!$B$35/100))/(1/Q2064)))))+((C2052=TRUE)*IF(Inputs!$B$3&gt;=126,10*MIN(1,15*Q2052),0))+((C2061=TRUE)*IF(Inputs!$B$39="pvp",20,(1-Summary!$B$11)*(20)+Summary!$B$11*(0))*IF(AND(Inputs!$B$39&lt;&gt;"pvp",Inputs!$B$44&gt;0),(((R2061-1)*MIN((Skills!T14*(1+Inputs!$B$35/100)),(1/Q2061))+MIN((Skills!T14*(1+Inputs!$B$35/100)),MAX(0,Inputs!$B$44-((R2061-1)*(1/Q2061)))))/Inputs!$B$44),IF(Inputs!$B$39="pvp",MIN((Skills!T14*(1+Inputs!$B$35/100)),15)/15,MIN(1,(Skills!T14*(1+Inputs!$B$35/100))/(1/Q2061)))))+((C2060=TRUE)*IF(Inputs!$B$3&gt;=82,IF(Inputs!$B$39="pvp",20,(1-Summary!$B$11)*(20)+Summary!$B$11*(0)),0)*IF(AND(Inputs!$B$39&lt;&gt;"pvp",Inputs!$B$44&gt;0),(((R2060-1)*MIN((Skills!T13*(1+Inputs!$B$35/100)),(1/Q2060))+MIN((Skills!T13*(1+Inputs!$B$35/100)),MAX(0,Inputs!$B$44-((R2060-1)*(1/Q2060)))))/Inputs!$B$44),IF(Inputs!$B$39="pvp",MIN((Skills!T13*(1+Inputs!$B$35/100)),15)/15,MIN(1,(Skills!T13*(1+Inputs!$B$35/100))/(1/Q2060)))))+(IF(AND(ArtifactsInput!$M$35,Inputs!$B$4&lt;&gt;"Chapter Hunt"),CHOOSE(ArtifactsInput!$N$35+1,15,18,21,24,27,30)*(1-EXP(-(0.2*B2078)*5)),0)+IF(AND(ArtifactsInput!$M$22,Inputs!$B$4&lt;&gt;"Chapter Hunt"),CHOOSE(ArtifactsInput!$N$22+1,10,12,14,16,18,20)*((0*(((0.15*B2078*5))^0/1)+1*(((0.15*B2078*5))^1/1)+2*(((0.15*B2078*5))^2/2)+3*(((0.15*B2078*5))^3/6)+4*(((0.15*B2078*5))^4/24)+5*(((0.15*B2078*5))^5/120))/((((0.15*B2078*5))^0/1)+(((0.15*B2078*5))^1/1)+(((0.15*B2078*5))^2/2)+(((0.15*B2078*5))^3/6)+(((0.15*B2078*5))^4/24)+(((0.15*B2078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2049*(1-MIN(100,(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2049*(MIN(100,(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2049*(1-MIN(100,(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2049*(MIN(100,(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IF(ArtifactsInput!$M$26,FALSE,TRUE),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049">
        <f>MAX(0,(Inputs!$B$3-100)*3)+Inputs!$B$29+Inputs!$B$30</f>
        <v/>
      </c>
      <c r="V2049">
        <f>IF(C2049,(Skills!G2*N2049*B2080)*IF(Inputs!$B$39="pvp",1,(1+(Inputs!$B$22+Skills!Q2+((C2064=TRUE)*F2064*IF(AND(Inputs!$B$39&lt;&gt;"pvp",Inputs!$B$44&gt;0),(((R2064-1)*MIN((Skills!T17*(1+Inputs!$B$35/100)),(1/Q2064))+MIN((Skills!T17*(1+Inputs!$B$35/100)),MAX(0,Inputs!$B$44-((R2064-1)*(1/Q2064)))))/Inputs!$B$44),IF(Inputs!$B$39="pvp",MIN((Skills!T17*(1+Inputs!$B$35/100)),15)/15,MIN(1,(Skills!T17*(1+Inputs!$B$35/100))/(1/Q2064)))))+((C2052=TRUE)*IF(Inputs!$B$3&gt;=126,10*MIN(1,15*Q2052),0))+((C2061=TRUE)*IF(Inputs!$B$39="pvp",20,(1-Summary!$B$11)*(20)+Summary!$B$11*(0))*IF(AND(Inputs!$B$39&lt;&gt;"pvp",Inputs!$B$44&gt;0),(((R2061-1)*MIN((Skills!T14*(1+Inputs!$B$35/100)),(1/Q2061))+MIN((Skills!T14*(1+Inputs!$B$35/100)),MAX(0,Inputs!$B$44-((R2061-1)*(1/Q2061)))))/Inputs!$B$44),IF(Inputs!$B$39="pvp",MIN((Skills!T14*(1+Inputs!$B$35/100)),15)/15,MIN(1,(Skills!T14*(1+Inputs!$B$35/100))/(1/Q2061)))))+((C2060=TRUE)*IF(Inputs!$B$3&gt;=82,IF(Inputs!$B$39="pvp",20,(1-Summary!$B$11)*(20)+Summary!$B$11*(0)),0)*IF(AND(Inputs!$B$39&lt;&gt;"pvp",Inputs!$B$44&gt;0),(((R2060-1)*MIN((Skills!T13*(1+Inputs!$B$35/100)),(1/Q2060))+MIN((Skills!T13*(1+Inputs!$B$35/100)),MAX(0,Inputs!$B$44-((R2060-1)*(1/Q2060)))))/Inputs!$B$44),IF(Inputs!$B$39="pvp",MIN((Skills!T13*(1+Inputs!$B$35/100)),15)/15,MIN(1,(Skills!T13*(1+Inputs!$B$35/100))/(1/Q2060)))))+(IF(AND(ArtifactsInput!$M$35,Inputs!$B$4&lt;&gt;"Chapter Hunt"),CHOOSE(ArtifactsInput!$N$35+1,15,18,21,24,27,30)*(1-EXP(-(0.2*B2078)*5)),0)+IF(AND(ArtifactsInput!$M$22,Inputs!$B$4&lt;&gt;"Chapter Hunt"),CHOOSE(ArtifactsInput!$N$22+1,10,12,14,16,18,20)*((0*(((0.15*B2078*5))^0/1)+1*(((0.15*B2078*5))^1/1)+2*(((0.15*B2078*5))^2/2)+3*(((0.15*B2078*5))^3/6)+4*(((0.15*B2078*5))^4/24)+5*(((0.15*B2078*5))^5/120))/((((0.15*B2078*5))^0/1)+(((0.15*B2078*5))^1/1)+(((0.15*B2078*5))^2/2)+(((0.15*B2078*5))^3/6)+(((0.15*B2078*5))^4/24)+(((0.15*B2078*5))^5/120))),0))+(IF(ArtifactsInput!$M$33,CHOOSE(ArtifactsInput!$N$33+1,30,36,42,48,54,60),0)))/100)*(MIN((6+Inputs!$B$34),Inputs!$B$38)))*((1+(IF(AND(ArtifactsInput!$M$41,Inputs!$B$39&lt;&gt;"pvp"),CHOOSE(ArtifactsInput!$N$41+1,5,6,7,8,9,10)*IF(OR(Inputs!$B$4="Weapon Dungeon",Inputs!$B$4="Equipment Dungeon",Inputs!$B$4="Enhancement Dungeon",Inputs!$B$4="EXP Dungeon",Inputs!$B$4="Hero Dungeon"),3,1),0)+IF(IF(ArtifactsInput!$M$26,FALSE,TRUE),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50">
      <c r="A2050">
        <f>Skills!A3</f>
        <v/>
      </c>
      <c r="B2050">
        <f>Skills!B3</f>
        <v/>
      </c>
      <c r="C2050">
        <f>Inputs!$B$3&gt;=50</f>
        <v/>
      </c>
      <c r="D2050">
        <f>IF(Skills!C3=1,60+Inputs!$B$26+Inputs!$B$30,IF(Skills!C3=2,90+Inputs!$B$27+Inputs!$B$30,IF(Skills!C3=3,120+Inputs!$B$28+Inputs!$B$30,MAX(0,(Inputs!$B$3-100)*3)+Inputs!$B$29+Inputs!$B$30)))</f>
        <v/>
      </c>
      <c r="E2050">
        <f>INDEX(FactorTable!$B$2:$Y$301, MATCH(ROUND(MIN(300,MAX(1,D2050)),0), FactorTable!$A$2:$A$301,0), Skills!M3+1)</f>
        <v/>
      </c>
      <c r="F2050">
        <f>IF(Skills!N3=TRUE,(Skills!L3/10)*(E2050/1000),Skills!L3/10)+Skills!O3</f>
        <v/>
      </c>
      <c r="G2050" t="inlineStr"/>
      <c r="H2050" t="inlineStr"/>
      <c r="I2050" t="inlineStr">
        <is>
          <t>1</t>
        </is>
      </c>
      <c r="J2050" t="inlineStr"/>
      <c r="K2050" t="inlineStr"/>
      <c r="L2050" t="inlineStr"/>
      <c r="M2050" t="inlineStr"/>
      <c r="N2050" t="inlineStr"/>
      <c r="O2050" t="inlineStr"/>
      <c r="P2050" t="inlineStr"/>
      <c r="Q2050" t="inlineStr"/>
      <c r="R2050" t="inlineStr"/>
      <c r="S2050" t="inlineStr"/>
      <c r="U2050">
        <f>INDEX(FactorTable!$B$2:$Y$301, MATCH(ROUND(MIN(300,MAX(1,U2049)),0), FactorTable!$A$2:$A$301,0), 22)</f>
        <v/>
      </c>
    </row>
    <row r="2051">
      <c r="A2051">
        <f>Skills!A4</f>
        <v/>
      </c>
      <c r="B2051">
        <f>Skills!B4</f>
        <v/>
      </c>
      <c r="C2051">
        <f>Inputs!$B$3&gt;=105</f>
        <v/>
      </c>
      <c r="D2051">
        <f>IF(Skills!C4=1,60+Inputs!$B$26+Inputs!$B$30,IF(Skills!C4=2,90+Inputs!$B$27+Inputs!$B$30,IF(Skills!C4=3,120+Inputs!$B$28+Inputs!$B$30,MAX(0,(Inputs!$B$3-100)*3)+Inputs!$B$29+Inputs!$B$30)))</f>
        <v/>
      </c>
      <c r="E2051">
        <f>INDEX(FactorTable!$B$2:$Y$301, MATCH(ROUND(MIN(300,MAX(1,D2051)),0), FactorTable!$A$2:$A$301,0), Skills!M4+1)</f>
        <v/>
      </c>
      <c r="F2051">
        <f>IF(Skills!N4=TRUE,(Skills!L4/10)*(E2051/1000),Skills!L4/10)+Skills!O4</f>
        <v/>
      </c>
      <c r="G2051" t="inlineStr"/>
      <c r="H2051" t="inlineStr"/>
      <c r="I2051" t="inlineStr">
        <is>
          <t>1</t>
        </is>
      </c>
      <c r="J2051" t="inlineStr"/>
      <c r="K2051" t="inlineStr"/>
      <c r="L2051" t="inlineStr"/>
      <c r="M2051" t="inlineStr"/>
      <c r="N2051" t="inlineStr"/>
      <c r="O2051" t="inlineStr"/>
      <c r="P2051" t="inlineStr"/>
      <c r="Q2051" t="inlineStr"/>
      <c r="R2051" t="inlineStr"/>
      <c r="S2051" t="inlineStr"/>
      <c r="U2051">
        <f>290*U2050/1000</f>
        <v/>
      </c>
    </row>
    <row r="2052">
      <c r="A2052">
        <f>Skills!A5</f>
        <v/>
      </c>
      <c r="B2052">
        <f>Skills!B5</f>
        <v/>
      </c>
      <c r="C2052">
        <f>Inputs!$B$3&gt;=117</f>
        <v/>
      </c>
      <c r="D2052">
        <f>IF(Skills!C5=1,60+Inputs!$B$26+Inputs!$B$30,IF(Skills!C5=2,90+Inputs!$B$27+Inputs!$B$30,IF(Skills!C5=3,120+Inputs!$B$28+Inputs!$B$30,MAX(0,(Inputs!$B$3-100)*3)+Inputs!$B$29+Inputs!$B$30)))</f>
        <v/>
      </c>
      <c r="E2052">
        <f>INDEX(FactorTable!$B$2:$Y$301, MATCH(ROUND(MIN(300,MAX(1,D2052)),0), FactorTable!$A$2:$A$301,0), Skills!M5+1)</f>
        <v/>
      </c>
      <c r="F2052">
        <f>IF(Skills!N5=TRUE,(Skills!L5/10)*(E2052/1000),Skills!L5/10)+Skills!O5</f>
        <v/>
      </c>
      <c r="G2052">
        <f>Skills!G5*IF(Skills!H5&gt;0,INT(IF(Inputs!$B$39="pvp",MIN(Skills!I5,15),Skills!I5)/Skills!H5+0.000000001),1)</f>
        <v/>
      </c>
      <c r="H2052">
        <f>1-(1-Skills!J5/100)^Skills!K5</f>
        <v/>
      </c>
      <c r="I2052" t="inlineStr">
        <is>
          <t>1</t>
        </is>
      </c>
      <c r="J2052">
        <f>((Inputs!$B$6*(1+Inputs!$B$7/100))+(((Inputs!$B$13*(1+Inputs!$B$14/100))-(Inputs!$B$13*(1+Inputs!$B$14/100)))+0.25*(Inputs!$B$15-Inputs!$B$15))*(1+Inputs!$B$7/100))*(F2052/100)</f>
        <v/>
      </c>
      <c r="K2052">
        <f>J2052*(1+(((Inputs!$B$13+IF(Inputs!$B$3&gt;=38,(10*INDEX(FactorTable!$B$2:$Y$301, MATCH(ROUND(MIN(300,MAX(1,Inputs!$B$3)),0), FactorTable!$A$2:$A$301,0), 23)/1000)/100*(Inputs!$B$8*(1+Inputs!$B$9/100)),0))*(1+Inputs!$B$14/100))*0.01+Inputs!$B$15*0.0025)/100)*(1+Inputs!$B$16/100)*(1+Inputs!$B$17/100)*(5000/(6000+Inputs!$B$43*(1-(Inputs!$B$20+0)/100)))*(1+(Inputs!$B$25+((C2072=TRUE)*(F2072-Calc!F25))+((C2073=TRUE)*(F2073-Calc!F26))+B2082)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gt;=100),MIN(100,((Inputs!$B$10+0+B2076+(ArtifactsInput!$M$24-ArtifactsInput!$M$24)*CHOOSE(ArtifactsInput!$N$24+1,10,12,14,16,18,20)+IF(ArtifactsInput!$M$10,CHOOSE(ArtifactsInput!$N$10+1,15,18,21,24,27,30)*(IF(Inputs!$B$39="pvp",MIN(15,15)/15,IF(AND(Inputs!$B$39&lt;&gt;"pvp",Inputs!$B$44&gt;0),MIN(15,Inputs!$B$44)/(Inputs!$B$44),0))),0)))-100),0))*CHOOSE(ArtifactsInput!$N$42+1,0.6,0.72,0.84,0.96,1.08,1.2))),Inputs!$B$19+((C2070=TRUE)*(F2070-Calc!F23))+(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gt;=100),CHOOSE(ArtifactsInput!$N$42+1,40,48,56,64,72,80),0))))/100)*((1+(((C2060=TRUE)*F2060*IF(AND(Inputs!$B$39&lt;&gt;"pvp",Inputs!$B$44&gt;0),(((R2060-1)*MIN((Skills!T13*(1+Inputs!$B$35/100)),(1/Q2060))+MIN((Skills!T13*(1+Inputs!$B$35/100)),MAX(0,Inputs!$B$44-((R2060-1)*(1/Q2060)))))/Inputs!$B$44),IF(Inputs!$B$39="pvp",MIN((Skills!T13*(1+Inputs!$B$35/100)),15)/15,MIN(1,(Skills!T13*(1+Inputs!$B$35/100))/(1/Q2060)))))+((C2061=TRUE)*F2061*IF(AND(Inputs!$B$39&lt;&gt;"pvp",Inputs!$B$44&gt;0),(((R2061-1)*MIN((Skills!T14*(1+Inputs!$B$35/100)),(1/Q2061))+MIN((Skills!T14*(1+Inputs!$B$35/100)),MAX(0,Inputs!$B$44-((R2061-1)*(1/Q2061)))))/Inputs!$B$44),IF(Inputs!$B$39="pvp",MIN((Skills!T14*(1+Inputs!$B$35/100)),15)/15,MIN(1,(Skills!T14*(1+Inputs!$B$35/100))/(1/Q2061)))))+((C2062=TRUE)*F2062*IF(AND(Inputs!$B$39&lt;&gt;"pvp",Inputs!$B$44&gt;0),(((R2062-1)*MIN((Skills!T15*(1+Inputs!$B$35/100)),(1/Q2062))+MIN((Skills!T15*(1+Inputs!$B$35/100)),MAX(0,Inputs!$B$44-((R2062-1)*(1/Q2062)))))/Inputs!$B$44),IF(Inputs!$B$39="pvp",MIN((Skills!T15*(1+Inputs!$B$35/100)),15)/15,MIN(1,(Skills!T15*(1+Inputs!$B$35/100))/(1/Q2062)))))+((C2063=TRUE)*F2063*IF(AND(Inputs!$B$39&lt;&gt;"pvp",Inputs!$B$44&gt;0),(((R2063-1)*MIN((Skills!T16*(1+Inputs!$B$35/100)),(1/Q2063))+MIN((Skills!T16*(1+Inputs!$B$35/100)),MAX(0,Inputs!$B$44-((R2063-1)*(1/Q2063)))))/Inputs!$B$44),IF(Inputs!$B$39="pvp",MIN((Skills!T16*(1+Inputs!$B$35/100)),15)/15,MIN(1,(Skills!T16*(1+Inputs!$B$35/100))/(1/Q2063)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2052)</f>
        <v/>
      </c>
      <c r="L2052">
        <f>K2052*(MIN(Inputs!$B$23+((C2069=TRUE)*(F2069-Calc!F22)),(Inputs!$B$24+((C2071=TRUE)*(F2071-Calc!F24))+(IF(ArtifactsInput!$M$15,CHOOSE(ArtifactsInput!$N$15+1,25,30,35,40,45,50)/100*(Inputs!$B$12-Inputs!$B$12),0))))/100+(Inputs!$B$24+((C2071=TRUE)*(F2071-Calc!F24))+(IF(ArtifactsInput!$M$15,CHOOSE(ArtifactsInput!$N$15+1,25,30,35,40,45,50)/100*(Inputs!$B$12-Inputs!$B$12),0)))/100)/2</f>
        <v/>
      </c>
      <c r="M2052">
        <f>L2052*(1+(Inputs!$B$11+0+B2081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052">
        <f>L2052*(1-MIN((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2052*(MIN((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52">
        <f>(1-Summary!$B$11)*T2052+Summary!$B$11*V2052</f>
        <v/>
      </c>
      <c r="P2052">
        <f>IF(B2086=0,0,O2052/B2086)</f>
        <v/>
      </c>
      <c r="Q2052">
        <f>IFERROR(1/IF(Inputs!$B$39="pvp",15,MAX(0.1,Skills!D5-IF(TRUE=TRUE,Inputs!$B$33,0))),0)</f>
        <v/>
      </c>
      <c r="R2052">
        <f>IF(AND(Inputs!$B$39&lt;&gt;"pvp",Inputs!$B$44&gt;0),IF(MAX(0,Inputs!$B$44-B2083)&lt;=0,0,(INT(MAX(0,Inputs!$B$44-B2083)/IF(Inputs!$B$39="pvp",15,MAX(0.1,Skills!D5-IF(TRUE=TRUE,Inputs!$B$33,0))))+1)),0)</f>
        <v/>
      </c>
      <c r="S2052">
        <f>IFERROR(O2052/N2052,0)</f>
        <v/>
      </c>
      <c r="T2052">
        <f>IF(C2052,(H2052*N2052*IF(AND(Inputs!$B$39&lt;&gt;"pvp",Inputs!$B$44&gt;0),((Skills!G5*((R2052-1)*IF(Skills!H5&gt;0,INT(Skills!I5/Skills!H5+0.000000001),1)+IF(Skills!H5&gt;0,INT(MIN(Skills!I5,MAX(0,MAX(0,Inputs!$B$44-B2083)-((R2052-1)*IF(Inputs!$B$39="pvp",15,MAX(0.1,Skills!D5-IF(TRUE=TRUE,Inputs!$B$33,0))))))/Skills!H5+0.000000001),1)))/Inputs!$B$44),G2052*Q2052))*IF(Inputs!$B$39="pvp",1,1+(Inputs!$B$21+0+Skills!P5+((C2064=TRUE)*F2064*IF(AND(Inputs!$B$39&lt;&gt;"pvp",Inputs!$B$44&gt;0),(((R2064-1)*MIN((Skills!T17*(1+Inputs!$B$35/100)),(1/Q2064))+MIN((Skills!T17*(1+Inputs!$B$35/100)),MAX(0,Inputs!$B$44-((R2064-1)*(1/Q2064)))))/Inputs!$B$44),IF(Inputs!$B$39="pvp",MIN((Skills!T17*(1+Inputs!$B$35/100)),15)/15,MIN(1,(Skills!T17*(1+Inputs!$B$35/100))/(1/Q2064)))))+((C2052=TRUE)*IF(Inputs!$B$3&gt;=126,10*MIN(1,15*Q2052),0))+((C2061=TRUE)*IF(Inputs!$B$39="pvp",20,(1-Summary!$B$11)*(20)+Summary!$B$11*(0))*IF(AND(Inputs!$B$39&lt;&gt;"pvp",Inputs!$B$44&gt;0),(((R2061-1)*MIN((Skills!T14*(1+Inputs!$B$35/100)),(1/Q2061))+MIN((Skills!T14*(1+Inputs!$B$35/100)),MAX(0,Inputs!$B$44-((R2061-1)*(1/Q2061)))))/Inputs!$B$44),IF(Inputs!$B$39="pvp",MIN((Skills!T14*(1+Inputs!$B$35/100)),15)/15,MIN(1,(Skills!T14*(1+Inputs!$B$35/100))/(1/Q2061)))))+((C2060=TRUE)*IF(Inputs!$B$3&gt;=82,IF(Inputs!$B$39="pvp",20,(1-Summary!$B$11)*(20)+Summary!$B$11*(0)),0)*IF(AND(Inputs!$B$39&lt;&gt;"pvp",Inputs!$B$44&gt;0),(((R2060-1)*MIN((Skills!T13*(1+Inputs!$B$35/100)),(1/Q2060))+MIN((Skills!T13*(1+Inputs!$B$35/100)),MAX(0,Inputs!$B$44-((R2060-1)*(1/Q2060)))))/Inputs!$B$44),IF(Inputs!$B$39="pvp",MIN((Skills!T13*(1+Inputs!$B$35/100)),15)/15,MIN(1,(Skills!T13*(1+Inputs!$B$35/100))/(1/Q2060)))))+(IF(AND(ArtifactsInput!$M$35,Inputs!$B$4&lt;&gt;"Chapter Hunt"),CHOOSE(ArtifactsInput!$N$35+1,15,18,21,24,27,30)*(1-EXP(-(0.2*B2078)*5)),0)+IF(AND(ArtifactsInput!$M$22,Inputs!$B$4&lt;&gt;"Chapter Hunt"),CHOOSE(ArtifactsInput!$N$22+1,10,12,14,16,18,20)*((0*(((0.15*B2078*5))^0/1)+1*(((0.15*B2078*5))^1/1)+2*(((0.15*B2078*5))^2/2)+3*(((0.15*B2078*5))^3/6)+4*(((0.15*B2078*5))^4/24)+5*(((0.15*B2078*5))^5/120))/((((0.15*B2078*5))^0/1)+(((0.15*B2078*5))^1/1)+(((0.15*B2078*5))^2/2)+(((0.15*B2078*5))^3/6)+(((0.15*B2078*5))^4/24)+(((0.15*B2078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2052*(1-MIN(100,(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2052*(MIN(100,(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2052*(1-MIN(100,(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2052*(MIN(100,(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IF(ArtifactsInput!$M$26,FALSE,TRUE),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52">
        <f>IF(C2052,(H2052*N2052*IF(AND(Inputs!$B$39&lt;&gt;"pvp",Inputs!$B$44&gt;0),((Skills!G5*((R2052-1)*IF(Skills!H5&gt;0,INT(Skills!I5/Skills!H5+0.000000001),1)+IF(Skills!H5&gt;0,INT(MIN(Skills!I5,MAX(0,MAX(0,Inputs!$B$44-B2083)-((R2052-1)*IF(Inputs!$B$39="pvp",15,MAX(0.1,Skills!D5-IF(TRUE=TRUE,Inputs!$B$33,0))))))/Skills!H5+0.000000001),1)))/Inputs!$B$44),G2052*Q2052))*IF(Inputs!$B$39="pvp",1,(1+(Inputs!$B$22+Skills!Q5+((C2064=TRUE)*F2064*IF(AND(Inputs!$B$39&lt;&gt;"pvp",Inputs!$B$44&gt;0),(((R2064-1)*MIN((Skills!T17*(1+Inputs!$B$35/100)),(1/Q2064))+MIN((Skills!T17*(1+Inputs!$B$35/100)),MAX(0,Inputs!$B$44-((R2064-1)*(1/Q2064)))))/Inputs!$B$44),IF(Inputs!$B$39="pvp",MIN((Skills!T17*(1+Inputs!$B$35/100)),15)/15,MIN(1,(Skills!T17*(1+Inputs!$B$35/100))/(1/Q2064)))))+((C2052=TRUE)*IF(Inputs!$B$3&gt;=126,10*MIN(1,15*Q2052),0))+((C2061=TRUE)*IF(Inputs!$B$39="pvp",20,(1-Summary!$B$11)*(20)+Summary!$B$11*(0))*IF(AND(Inputs!$B$39&lt;&gt;"pvp",Inputs!$B$44&gt;0),(((R2061-1)*MIN((Skills!T14*(1+Inputs!$B$35/100)),(1/Q2061))+MIN((Skills!T14*(1+Inputs!$B$35/100)),MAX(0,Inputs!$B$44-((R2061-1)*(1/Q2061)))))/Inputs!$B$44),IF(Inputs!$B$39="pvp",MIN((Skills!T14*(1+Inputs!$B$35/100)),15)/15,MIN(1,(Skills!T14*(1+Inputs!$B$35/100))/(1/Q2061)))))+((C2060=TRUE)*IF(Inputs!$B$3&gt;=82,IF(Inputs!$B$39="pvp",20,(1-Summary!$B$11)*(20)+Summary!$B$11*(0)),0)*IF(AND(Inputs!$B$39&lt;&gt;"pvp",Inputs!$B$44&gt;0),(((R2060-1)*MIN((Skills!T13*(1+Inputs!$B$35/100)),(1/Q2060))+MIN((Skills!T13*(1+Inputs!$B$35/100)),MAX(0,Inputs!$B$44-((R2060-1)*(1/Q2060)))))/Inputs!$B$44),IF(Inputs!$B$39="pvp",MIN((Skills!T13*(1+Inputs!$B$35/100)),15)/15,MIN(1,(Skills!T13*(1+Inputs!$B$35/100))/(1/Q2060)))))+(IF(AND(ArtifactsInput!$M$35,Inputs!$B$4&lt;&gt;"Chapter Hunt"),CHOOSE(ArtifactsInput!$N$35+1,15,18,21,24,27,30)*(1-EXP(-(0.2*B2078)*5)),0)+IF(AND(ArtifactsInput!$M$22,Inputs!$B$4&lt;&gt;"Chapter Hunt"),CHOOSE(ArtifactsInput!$N$22+1,10,12,14,16,18,20)*((0*(((0.15*B2078*5))^0/1)+1*(((0.15*B2078*5))^1/1)+2*(((0.15*B2078*5))^2/2)+3*(((0.15*B2078*5))^3/6)+4*(((0.15*B2078*5))^4/24)+5*(((0.15*B2078*5))^5/120))/((((0.15*B2078*5))^0/1)+(((0.15*B2078*5))^1/1)+(((0.15*B2078*5))^2/2)+(((0.15*B2078*5))^3/6)+(((0.15*B2078*5))^4/24)+(((0.15*B2078*5))^5/120))),0))+(IF(ArtifactsInput!$M$33,CHOOSE(ArtifactsInput!$N$33+1,30,36,42,48,54,60),0)))/100)*(MIN(Skills!R5,Inputs!$B$38)))*((1+(IF(AND(ArtifactsInput!$M$41,Inputs!$B$39&lt;&gt;"pvp"),CHOOSE(ArtifactsInput!$N$41+1,5,6,7,8,9,10)*IF(OR(Inputs!$B$4="Weapon Dungeon",Inputs!$B$4="Equipment Dungeon",Inputs!$B$4="Enhancement Dungeon",Inputs!$B$4="EXP Dungeon",Inputs!$B$4="Hero Dungeon"),3,1),0)+IF(IF(ArtifactsInput!$M$26,FALSE,TRUE),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53">
      <c r="A2053">
        <f>Skills!A6</f>
        <v/>
      </c>
      <c r="B2053">
        <f>Skills!B6</f>
        <v/>
      </c>
      <c r="C2053">
        <f>Inputs!$B$3&gt;=103</f>
        <v/>
      </c>
      <c r="D2053">
        <f>IF(Skills!C6=1,60+Inputs!$B$26+Inputs!$B$30,IF(Skills!C6=2,90+Inputs!$B$27+Inputs!$B$30,IF(Skills!C6=3,120+Inputs!$B$28+Inputs!$B$30,MAX(0,(Inputs!$B$3-100)*3)+Inputs!$B$29+Inputs!$B$30)))</f>
        <v/>
      </c>
      <c r="E2053">
        <f>INDEX(FactorTable!$B$2:$Y$301, MATCH(ROUND(MIN(300,MAX(1,D2053)),0), FactorTable!$A$2:$A$301,0), Skills!M6+1)</f>
        <v/>
      </c>
      <c r="F2053">
        <f>IF(Skills!N6=TRUE,(Skills!L6/10)*(E2053/1000),Skills!L6/10)+Skills!O6</f>
        <v/>
      </c>
      <c r="G2053">
        <f>Skills!G6*IF(Skills!H6&gt;0,INT(IF(Inputs!$B$39="pvp",MIN(Skills!I6,15),Skills!I6)/Skills!H6+0.000000001),1)</f>
        <v/>
      </c>
      <c r="H2053">
        <f>1-(1-Skills!J6/100)^Skills!K6</f>
        <v/>
      </c>
      <c r="I2053" t="inlineStr">
        <is>
          <t>1</t>
        </is>
      </c>
      <c r="J2053">
        <f>((Inputs!$B$6*(1+Inputs!$B$7/100))+(((Inputs!$B$13*(1+Inputs!$B$14/100))-(Inputs!$B$13*(1+Inputs!$B$14/100)))+0.25*(Inputs!$B$15-Inputs!$B$15))*(1+Inputs!$B$7/100))*(F2053/100)</f>
        <v/>
      </c>
      <c r="K2053">
        <f>J2053*(1+(((Inputs!$B$13+IF(Inputs!$B$3&gt;=38,(10*INDEX(FactorTable!$B$2:$Y$301, MATCH(ROUND(MIN(300,MAX(1,Inputs!$B$3)),0), FactorTable!$A$2:$A$301,0), 23)/1000)/100*(Inputs!$B$8*(1+Inputs!$B$9/100)),0))*(1+Inputs!$B$14/100))*0.01+Inputs!$B$15*0.0025)/100)*(1+Inputs!$B$16/100)*(1+Inputs!$B$17/100)*(5000/(6000+Inputs!$B$43*(1-(Inputs!$B$20+0)/100)))*(1+(Inputs!$B$25+((C2072=TRUE)*(F2072-Calc!F25))+((C2073=TRUE)*(F2073-Calc!F26))+B2082)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gt;=100),MIN(100,((Inputs!$B$10+0+B2076+(ArtifactsInput!$M$24-ArtifactsInput!$M$24)*CHOOSE(ArtifactsInput!$N$24+1,10,12,14,16,18,20)+IF(ArtifactsInput!$M$10,CHOOSE(ArtifactsInput!$N$10+1,15,18,21,24,27,30)*(IF(Inputs!$B$39="pvp",MIN(15,15)/15,IF(AND(Inputs!$B$39&lt;&gt;"pvp",Inputs!$B$44&gt;0),MIN(15,Inputs!$B$44)/(Inputs!$B$44),0))),0)))-100),0))*CHOOSE(ArtifactsInput!$N$42+1,0.6,0.72,0.84,0.96,1.08,1.2))),Inputs!$B$19+((C2070=TRUE)*(F2070-Calc!F23))+(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gt;=100),CHOOSE(ArtifactsInput!$N$42+1,40,48,56,64,72,80),0))))/100)*((1+(((C2060=TRUE)*F2060*IF(AND(Inputs!$B$39&lt;&gt;"pvp",Inputs!$B$44&gt;0),(((R2060-1)*MIN((Skills!T13*(1+Inputs!$B$35/100)),(1/Q2060))+MIN((Skills!T13*(1+Inputs!$B$35/100)),MAX(0,Inputs!$B$44-((R2060-1)*(1/Q2060)))))/Inputs!$B$44),IF(Inputs!$B$39="pvp",MIN((Skills!T13*(1+Inputs!$B$35/100)),15)/15,MIN(1,(Skills!T13*(1+Inputs!$B$35/100))/(1/Q2060)))))+((C2061=TRUE)*F2061*IF(AND(Inputs!$B$39&lt;&gt;"pvp",Inputs!$B$44&gt;0),(((R2061-1)*MIN((Skills!T14*(1+Inputs!$B$35/100)),(1/Q2061))+MIN((Skills!T14*(1+Inputs!$B$35/100)),MAX(0,Inputs!$B$44-((R2061-1)*(1/Q2061)))))/Inputs!$B$44),IF(Inputs!$B$39="pvp",MIN((Skills!T14*(1+Inputs!$B$35/100)),15)/15,MIN(1,(Skills!T14*(1+Inputs!$B$35/100))/(1/Q2061)))))+((C2062=TRUE)*F2062*IF(AND(Inputs!$B$39&lt;&gt;"pvp",Inputs!$B$44&gt;0),(((R2062-1)*MIN((Skills!T15*(1+Inputs!$B$35/100)),(1/Q2062))+MIN((Skills!T15*(1+Inputs!$B$35/100)),MAX(0,Inputs!$B$44-((R2062-1)*(1/Q2062)))))/Inputs!$B$44),IF(Inputs!$B$39="pvp",MIN((Skills!T15*(1+Inputs!$B$35/100)),15)/15,MIN(1,(Skills!T15*(1+Inputs!$B$35/100))/(1/Q2062)))))+((C2063=TRUE)*F2063*IF(AND(Inputs!$B$39&lt;&gt;"pvp",Inputs!$B$44&gt;0),(((R2063-1)*MIN((Skills!T16*(1+Inputs!$B$35/100)),(1/Q2063))+MIN((Skills!T16*(1+Inputs!$B$35/100)),MAX(0,Inputs!$B$44-((R2063-1)*(1/Q2063)))))/Inputs!$B$44),IF(Inputs!$B$39="pvp",MIN((Skills!T16*(1+Inputs!$B$35/100)),15)/15,MIN(1,(Skills!T16*(1+Inputs!$B$35/100))/(1/Q2063)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2053)</f>
        <v/>
      </c>
      <c r="L2053">
        <f>K2053*(MIN(Inputs!$B$23+((C2069=TRUE)*(F2069-Calc!F22)),(Inputs!$B$24+((C2071=TRUE)*(F2071-Calc!F24))+(IF(ArtifactsInput!$M$15,CHOOSE(ArtifactsInput!$N$15+1,25,30,35,40,45,50)/100*(Inputs!$B$12-Inputs!$B$12),0))))/100+(Inputs!$B$24+((C2071=TRUE)*(F2071-Calc!F24))+(IF(ArtifactsInput!$M$15,CHOOSE(ArtifactsInput!$N$15+1,25,30,35,40,45,50)/100*(Inputs!$B$12-Inputs!$B$12),0)))/100)/2</f>
        <v/>
      </c>
      <c r="M2053">
        <f>L2053*(1+(Inputs!$B$11+0+B2081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053">
        <f>L2053*(1-MIN((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2053*(MIN((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53">
        <f>(1-Summary!$B$11)*T2053+Summary!$B$11*V2053</f>
        <v/>
      </c>
      <c r="P2053">
        <f>IF(B2086=0,0,O2053/B2086)</f>
        <v/>
      </c>
      <c r="Q2053">
        <f>IFERROR(1/IF(Inputs!$B$39="pvp",15,MAX(0.1,Skills!D6-IF(TRUE=TRUE,Inputs!$B$33,0))),0)</f>
        <v/>
      </c>
      <c r="R2053">
        <f>IF(AND(Inputs!$B$39&lt;&gt;"pvp",Inputs!$B$44&gt;0),IF(MAX(0,Inputs!$B$44-B2083)&lt;=0,0,(INT(MAX(0,Inputs!$B$44-B2083)/IF(Inputs!$B$39="pvp",15,MAX(0.1,Skills!D6-IF(TRUE=TRUE,Inputs!$B$33,0))))+1)),0)</f>
        <v/>
      </c>
      <c r="S2053">
        <f>IFERROR(O2053/N2053,0)</f>
        <v/>
      </c>
      <c r="T2053">
        <f>IF(C2053,(H2053*N2053*IF(AND(Inputs!$B$39&lt;&gt;"pvp",Inputs!$B$44&gt;0),((Skills!G6*((R2053-1)*IF(Skills!H6&gt;0,INT(Skills!I6/Skills!H6+0.000000001),1)+IF(Skills!H6&gt;0,INT(MIN(Skills!I6,MAX(0,MAX(0,Inputs!$B$44-B2083)-((R2053-1)*IF(Inputs!$B$39="pvp",15,MAX(0.1,Skills!D6-IF(TRUE=TRUE,Inputs!$B$33,0))))))/Skills!H6+0.000000001),1)))/Inputs!$B$44),G2053*Q2053))*IF(Inputs!$B$39="pvp",1,1+(Inputs!$B$21+0+Skills!P6+((C2064=TRUE)*F2064*IF(AND(Inputs!$B$39&lt;&gt;"pvp",Inputs!$B$44&gt;0),(((R2064-1)*MIN((Skills!T17*(1+Inputs!$B$35/100)),(1/Q2064))+MIN((Skills!T17*(1+Inputs!$B$35/100)),MAX(0,Inputs!$B$44-((R2064-1)*(1/Q2064)))))/Inputs!$B$44),IF(Inputs!$B$39="pvp",MIN((Skills!T17*(1+Inputs!$B$35/100)),15)/15,MIN(1,(Skills!T17*(1+Inputs!$B$35/100))/(1/Q2064)))))+((C2052=TRUE)*IF(Inputs!$B$3&gt;=126,10*MIN(1,15*Q2052),0))+((C2061=TRUE)*IF(Inputs!$B$39="pvp",20,(1-Summary!$B$11)*(20)+Summary!$B$11*(0))*IF(AND(Inputs!$B$39&lt;&gt;"pvp",Inputs!$B$44&gt;0),(((R2061-1)*MIN((Skills!T14*(1+Inputs!$B$35/100)),(1/Q2061))+MIN((Skills!T14*(1+Inputs!$B$35/100)),MAX(0,Inputs!$B$44-((R2061-1)*(1/Q2061)))))/Inputs!$B$44),IF(Inputs!$B$39="pvp",MIN((Skills!T14*(1+Inputs!$B$35/100)),15)/15,MIN(1,(Skills!T14*(1+Inputs!$B$35/100))/(1/Q2061)))))+((C2060=TRUE)*IF(Inputs!$B$3&gt;=82,IF(Inputs!$B$39="pvp",20,(1-Summary!$B$11)*(20)+Summary!$B$11*(0)),0)*IF(AND(Inputs!$B$39&lt;&gt;"pvp",Inputs!$B$44&gt;0),(((R2060-1)*MIN((Skills!T13*(1+Inputs!$B$35/100)),(1/Q2060))+MIN((Skills!T13*(1+Inputs!$B$35/100)),MAX(0,Inputs!$B$44-((R2060-1)*(1/Q2060)))))/Inputs!$B$44),IF(Inputs!$B$39="pvp",MIN((Skills!T13*(1+Inputs!$B$35/100)),15)/15,MIN(1,(Skills!T13*(1+Inputs!$B$35/100))/(1/Q2060)))))+(IF(AND(ArtifactsInput!$M$35,Inputs!$B$4&lt;&gt;"Chapter Hunt"),CHOOSE(ArtifactsInput!$N$35+1,15,18,21,24,27,30)*(1-EXP(-(0.2*B2078)*5)),0)+IF(AND(ArtifactsInput!$M$22,Inputs!$B$4&lt;&gt;"Chapter Hunt"),CHOOSE(ArtifactsInput!$N$22+1,10,12,14,16,18,20)*((0*(((0.15*B2078*5))^0/1)+1*(((0.15*B2078*5))^1/1)+2*(((0.15*B2078*5))^2/2)+3*(((0.15*B2078*5))^3/6)+4*(((0.15*B2078*5))^4/24)+5*(((0.15*B2078*5))^5/120))/((((0.15*B2078*5))^0/1)+(((0.15*B2078*5))^1/1)+(((0.15*B2078*5))^2/2)+(((0.15*B2078*5))^3/6)+(((0.15*B2078*5))^4/24)+(((0.15*B2078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2053*(1-MIN(100,(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2053*(MIN(100,(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2053*(1-MIN(100,(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2053*(MIN(100,(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IF(ArtifactsInput!$M$26,FALSE,TRUE),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53">
        <f>IF(C2053,(H2053*N2053*IF(AND(Inputs!$B$39&lt;&gt;"pvp",Inputs!$B$44&gt;0),((Skills!G6*((R2053-1)*IF(Skills!H6&gt;0,INT(Skills!I6/Skills!H6+0.000000001),1)+IF(Skills!H6&gt;0,INT(MIN(Skills!I6,MAX(0,MAX(0,Inputs!$B$44-B2083)-((R2053-1)*IF(Inputs!$B$39="pvp",15,MAX(0.1,Skills!D6-IF(TRUE=TRUE,Inputs!$B$33,0))))))/Skills!H6+0.000000001),1)))/Inputs!$B$44),G2053*Q2053))*IF(Inputs!$B$39="pvp",1,(1+(Inputs!$B$22+Skills!Q6+((C2064=TRUE)*F2064*IF(AND(Inputs!$B$39&lt;&gt;"pvp",Inputs!$B$44&gt;0),(((R2064-1)*MIN((Skills!T17*(1+Inputs!$B$35/100)),(1/Q2064))+MIN((Skills!T17*(1+Inputs!$B$35/100)),MAX(0,Inputs!$B$44-((R2064-1)*(1/Q2064)))))/Inputs!$B$44),IF(Inputs!$B$39="pvp",MIN((Skills!T17*(1+Inputs!$B$35/100)),15)/15,MIN(1,(Skills!T17*(1+Inputs!$B$35/100))/(1/Q2064)))))+((C2052=TRUE)*IF(Inputs!$B$3&gt;=126,10*MIN(1,15*Q2052),0))+((C2061=TRUE)*IF(Inputs!$B$39="pvp",20,(1-Summary!$B$11)*(20)+Summary!$B$11*(0))*IF(AND(Inputs!$B$39&lt;&gt;"pvp",Inputs!$B$44&gt;0),(((R2061-1)*MIN((Skills!T14*(1+Inputs!$B$35/100)),(1/Q2061))+MIN((Skills!T14*(1+Inputs!$B$35/100)),MAX(0,Inputs!$B$44-((R2061-1)*(1/Q2061)))))/Inputs!$B$44),IF(Inputs!$B$39="pvp",MIN((Skills!T14*(1+Inputs!$B$35/100)),15)/15,MIN(1,(Skills!T14*(1+Inputs!$B$35/100))/(1/Q2061)))))+((C2060=TRUE)*IF(Inputs!$B$3&gt;=82,IF(Inputs!$B$39="pvp",20,(1-Summary!$B$11)*(20)+Summary!$B$11*(0)),0)*IF(AND(Inputs!$B$39&lt;&gt;"pvp",Inputs!$B$44&gt;0),(((R2060-1)*MIN((Skills!T13*(1+Inputs!$B$35/100)),(1/Q2060))+MIN((Skills!T13*(1+Inputs!$B$35/100)),MAX(0,Inputs!$B$44-((R2060-1)*(1/Q2060)))))/Inputs!$B$44),IF(Inputs!$B$39="pvp",MIN((Skills!T13*(1+Inputs!$B$35/100)),15)/15,MIN(1,(Skills!T13*(1+Inputs!$B$35/100))/(1/Q2060)))))+(IF(AND(ArtifactsInput!$M$35,Inputs!$B$4&lt;&gt;"Chapter Hunt"),CHOOSE(ArtifactsInput!$N$35+1,15,18,21,24,27,30)*(1-EXP(-(0.2*B2078)*5)),0)+IF(AND(ArtifactsInput!$M$22,Inputs!$B$4&lt;&gt;"Chapter Hunt"),CHOOSE(ArtifactsInput!$N$22+1,10,12,14,16,18,20)*((0*(((0.15*B2078*5))^0/1)+1*(((0.15*B2078*5))^1/1)+2*(((0.15*B2078*5))^2/2)+3*(((0.15*B2078*5))^3/6)+4*(((0.15*B2078*5))^4/24)+5*(((0.15*B2078*5))^5/120))/((((0.15*B2078*5))^0/1)+(((0.15*B2078*5))^1/1)+(((0.15*B2078*5))^2/2)+(((0.15*B2078*5))^3/6)+(((0.15*B2078*5))^4/24)+(((0.15*B2078*5))^5/120))),0))+(IF(ArtifactsInput!$M$33,CHOOSE(ArtifactsInput!$N$33+1,30,36,42,48,54,60),0)))/100)*(MIN(Skills!R6,Inputs!$B$38)))*((1+(IF(AND(ArtifactsInput!$M$41,Inputs!$B$39&lt;&gt;"pvp"),CHOOSE(ArtifactsInput!$N$41+1,5,6,7,8,9,10)*IF(OR(Inputs!$B$4="Weapon Dungeon",Inputs!$B$4="Equipment Dungeon",Inputs!$B$4="Enhancement Dungeon",Inputs!$B$4="EXP Dungeon",Inputs!$B$4="Hero Dungeon"),3,1),0)+IF(IF(ArtifactsInput!$M$26,FALSE,TRUE),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54">
      <c r="A2054">
        <f>Skills!A7</f>
        <v/>
      </c>
      <c r="B2054">
        <f>Skills!B7</f>
        <v/>
      </c>
      <c r="C2054">
        <f>Inputs!$B$3&gt;=40</f>
        <v/>
      </c>
      <c r="D2054">
        <f>IF(Skills!C7=1,60+Inputs!$B$26+Inputs!$B$30,IF(Skills!C7=2,90+Inputs!$B$27+Inputs!$B$30,IF(Skills!C7=3,120+Inputs!$B$28+Inputs!$B$30,MAX(0,(Inputs!$B$3-100)*3)+Inputs!$B$29+Inputs!$B$30)))</f>
        <v/>
      </c>
      <c r="E2054">
        <f>INDEX(FactorTable!$B$2:$Y$301, MATCH(ROUND(MIN(300,MAX(1,D2054)),0), FactorTable!$A$2:$A$301,0), Skills!M7+1)</f>
        <v/>
      </c>
      <c r="F2054">
        <f>IF(Skills!N7=TRUE,(Skills!L7/10)*(E2054/1000),Skills!L7/10)+Skills!O7</f>
        <v/>
      </c>
      <c r="G2054">
        <f>Skills!G7*IF(Skills!H7&gt;0,INT(IF(Inputs!$B$39="pvp",MIN(Skills!I7,15),Skills!I7)/Skills!H7+0.000000001),1)</f>
        <v/>
      </c>
      <c r="H2054">
        <f>1-(1-Skills!J7/100)^Skills!K7</f>
        <v/>
      </c>
      <c r="I2054" t="inlineStr">
        <is>
          <t>1</t>
        </is>
      </c>
      <c r="J2054">
        <f>((Inputs!$B$6*(1+Inputs!$B$7/100))+(((Inputs!$B$13*(1+Inputs!$B$14/100))-(Inputs!$B$13*(1+Inputs!$B$14/100)))+0.25*(Inputs!$B$15-Inputs!$B$15))*(1+Inputs!$B$7/100))*(F2054/100)</f>
        <v/>
      </c>
      <c r="K2054">
        <f>J2054*(1+(((Inputs!$B$13+IF(Inputs!$B$3&gt;=38,(10*INDEX(FactorTable!$B$2:$Y$301, MATCH(ROUND(MIN(300,MAX(1,Inputs!$B$3)),0), FactorTable!$A$2:$A$301,0), 23)/1000)/100*(Inputs!$B$8*(1+Inputs!$B$9/100)),0))*(1+Inputs!$B$14/100))*0.01+Inputs!$B$15*0.0025)/100)*(1+Inputs!$B$16/100)*(1+Inputs!$B$17/100)*(5000/(6000+Inputs!$B$43*(1-(Inputs!$B$20+0)/100)))*(1+(Inputs!$B$25+((C2072=TRUE)*(F2072-Calc!F25))+((C2073=TRUE)*(F2073-Calc!F26))+B2082)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2058=TRUE,F2058,0)/100)*(1+(IF(Skills!A7="DARK_IMPALE",Inputs!$B$18+0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gt;=100),MIN(100,((Inputs!$B$10+0+B2076+(ArtifactsInput!$M$24-ArtifactsInput!$M$24)*CHOOSE(ArtifactsInput!$N$24+1,10,12,14,16,18,20)+IF(ArtifactsInput!$M$10,CHOOSE(ArtifactsInput!$N$10+1,15,18,21,24,27,30)*(IF(Inputs!$B$39="pvp",MIN(15,15)/15,IF(AND(Inputs!$B$39&lt;&gt;"pvp",Inputs!$B$44&gt;0),MIN(15,Inputs!$B$44)/(Inputs!$B$44),0))),0)))-100),0))*CHOOSE(ArtifactsInput!$N$42+1,0.6,0.72,0.84,0.96,1.08,1.2))),Inputs!$B$19+((C2070=TRUE)*(F2070-Calc!F23))+(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gt;=100),CHOOSE(ArtifactsInput!$N$42+1,40,48,56,64,72,80),0))))/100)*((1+(((C2060=TRUE)*F2060*IF(AND(Inputs!$B$39&lt;&gt;"pvp",Inputs!$B$44&gt;0),(((R2060-1)*MIN((Skills!T13*(1+Inputs!$B$35/100)),(1/Q2060))+MIN((Skills!T13*(1+Inputs!$B$35/100)),MAX(0,Inputs!$B$44-((R2060-1)*(1/Q2060)))))/Inputs!$B$44),IF(Inputs!$B$39="pvp",MIN((Skills!T13*(1+Inputs!$B$35/100)),15)/15,MIN(1,(Skills!T13*(1+Inputs!$B$35/100))/(1/Q2060)))))+((C2061=TRUE)*F2061*IF(AND(Inputs!$B$39&lt;&gt;"pvp",Inputs!$B$44&gt;0),(((R2061-1)*MIN((Skills!T14*(1+Inputs!$B$35/100)),(1/Q2061))+MIN((Skills!T14*(1+Inputs!$B$35/100)),MAX(0,Inputs!$B$44-((R2061-1)*(1/Q2061)))))/Inputs!$B$44),IF(Inputs!$B$39="pvp",MIN((Skills!T14*(1+Inputs!$B$35/100)),15)/15,MIN(1,(Skills!T14*(1+Inputs!$B$35/100))/(1/Q2061)))))+((C2062=TRUE)*F2062*IF(AND(Inputs!$B$39&lt;&gt;"pvp",Inputs!$B$44&gt;0),(((R2062-1)*MIN((Skills!T15*(1+Inputs!$B$35/100)),(1/Q2062))+MIN((Skills!T15*(1+Inputs!$B$35/100)),MAX(0,Inputs!$B$44-((R2062-1)*(1/Q2062)))))/Inputs!$B$44),IF(Inputs!$B$39="pvp",MIN((Skills!T15*(1+Inputs!$B$35/100)),15)/15,MIN(1,(Skills!T15*(1+Inputs!$B$35/100))/(1/Q2062)))))+((C2063=TRUE)*F2063*IF(AND(Inputs!$B$39&lt;&gt;"pvp",Inputs!$B$44&gt;0),(((R2063-1)*MIN((Skills!T16*(1+Inputs!$B$35/100)),(1/Q2063))+MIN((Skills!T16*(1+Inputs!$B$35/100)),MAX(0,Inputs!$B$44-((R2063-1)*(1/Q2063)))))/Inputs!$B$44),IF(Inputs!$B$39="pvp",MIN((Skills!T16*(1+Inputs!$B$35/100)),15)/15,MIN(1,(Skills!T16*(1+Inputs!$B$35/100))/(1/Q2063)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2054)</f>
        <v/>
      </c>
      <c r="L2054">
        <f>K2054*(MIN(Inputs!$B$23+((C2069=TRUE)*(F2069-Calc!F22)),(Inputs!$B$24+((C2071=TRUE)*(F2071-Calc!F24))+(IF(ArtifactsInput!$M$15,CHOOSE(ArtifactsInput!$N$15+1,25,30,35,40,45,50)/100*(Inputs!$B$12-Inputs!$B$12),0))))/100+(Inputs!$B$24+((C2071=TRUE)*(F2071-Calc!F24))+(IF(ArtifactsInput!$M$15,CHOOSE(ArtifactsInput!$N$15+1,25,30,35,40,45,50)/100*(Inputs!$B$12-Inputs!$B$12),0)))/100)/2</f>
        <v/>
      </c>
      <c r="M2054">
        <f>L2054*(1+(Inputs!$B$11+0+B2081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054">
        <f>L2054*(1-MIN((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2054*(MIN((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54">
        <f>(1-Summary!$B$11)*T2054+Summary!$B$11*V2054</f>
        <v/>
      </c>
      <c r="P2054">
        <f>IF(B2086=0,0,O2054/B2086)</f>
        <v/>
      </c>
      <c r="Q2054">
        <f>IFERROR(1/IF(Inputs!$B$39="pvp",15,MAX(0.1,Skills!D7-IF(TRUE=TRUE,Inputs!$B$33,0))),0)</f>
        <v/>
      </c>
      <c r="R2054">
        <f>IF(AND(Inputs!$B$39&lt;&gt;"pvp",Inputs!$B$44&gt;0),IF(MAX(0,Inputs!$B$44-B2083)&lt;=0,0,(INT(MAX(0,Inputs!$B$44-B2083)/IF(Inputs!$B$39="pvp",15,MAX(0.1,Skills!D7-IF(TRUE=TRUE,Inputs!$B$33,0))))+1)),0)</f>
        <v/>
      </c>
      <c r="S2054">
        <f>IFERROR(O2054/N2054,0)</f>
        <v/>
      </c>
      <c r="T2054">
        <f>IF(C2054,(H2054*N2054*IF(AND(Inputs!$B$39&lt;&gt;"pvp",Inputs!$B$44&gt;0),((Skills!G7*((R2054-1)*IF(Skills!H7&gt;0,INT(Skills!I7/Skills!H7+0.000000001),1)+IF(Skills!H7&gt;0,INT(MIN(Skills!I7,MAX(0,MAX(0,Inputs!$B$44-B2083)-((R2054-1)*IF(Inputs!$B$39="pvp",15,MAX(0.1,Skills!D7-IF(TRUE=TRUE,Inputs!$B$33,0))))))/Skills!H7+0.000000001),1)))/Inputs!$B$44),G2054*Q2054))*IF(Inputs!$B$39="pvp",1,1+(Inputs!$B$21+0+Skills!P7+((C2064=TRUE)*F2064*IF(AND(Inputs!$B$39&lt;&gt;"pvp",Inputs!$B$44&gt;0),(((R2064-1)*MIN((Skills!T17*(1+Inputs!$B$35/100)),(1/Q2064))+MIN((Skills!T17*(1+Inputs!$B$35/100)),MAX(0,Inputs!$B$44-((R2064-1)*(1/Q2064)))))/Inputs!$B$44),IF(Inputs!$B$39="pvp",MIN((Skills!T17*(1+Inputs!$B$35/100)),15)/15,MIN(1,(Skills!T17*(1+Inputs!$B$35/100))/(1/Q2064)))))+((C2052=TRUE)*IF(Inputs!$B$3&gt;=126,10*MIN(1,15*Q2052),0))+((C2061=TRUE)*IF(Inputs!$B$39="pvp",20,(1-Summary!$B$11)*(20)+Summary!$B$11*(0))*IF(AND(Inputs!$B$39&lt;&gt;"pvp",Inputs!$B$44&gt;0),(((R2061-1)*MIN((Skills!T14*(1+Inputs!$B$35/100)),(1/Q2061))+MIN((Skills!T14*(1+Inputs!$B$35/100)),MAX(0,Inputs!$B$44-((R2061-1)*(1/Q2061)))))/Inputs!$B$44),IF(Inputs!$B$39="pvp",MIN((Skills!T14*(1+Inputs!$B$35/100)),15)/15,MIN(1,(Skills!T14*(1+Inputs!$B$35/100))/(1/Q2061)))))+((C2060=TRUE)*IF(Inputs!$B$3&gt;=82,IF(Inputs!$B$39="pvp",20,(1-Summary!$B$11)*(20)+Summary!$B$11*(0)),0)*IF(AND(Inputs!$B$39&lt;&gt;"pvp",Inputs!$B$44&gt;0),(((R2060-1)*MIN((Skills!T13*(1+Inputs!$B$35/100)),(1/Q2060))+MIN((Skills!T13*(1+Inputs!$B$35/100)),MAX(0,Inputs!$B$44-((R2060-1)*(1/Q2060)))))/Inputs!$B$44),IF(Inputs!$B$39="pvp",MIN((Skills!T13*(1+Inputs!$B$35/100)),15)/15,MIN(1,(Skills!T13*(1+Inputs!$B$35/100))/(1/Q2060)))))+(IF(AND(ArtifactsInput!$M$35,Inputs!$B$4&lt;&gt;"Chapter Hunt"),CHOOSE(ArtifactsInput!$N$35+1,15,18,21,24,27,30)*(1-EXP(-(0.2*B2078)*5)),0)+IF(AND(ArtifactsInput!$M$22,Inputs!$B$4&lt;&gt;"Chapter Hunt"),CHOOSE(ArtifactsInput!$N$22+1,10,12,14,16,18,20)*((0*(((0.15*B2078*5))^0/1)+1*(((0.15*B2078*5))^1/1)+2*(((0.15*B2078*5))^2/2)+3*(((0.15*B2078*5))^3/6)+4*(((0.15*B2078*5))^4/24)+5*(((0.15*B2078*5))^5/120))/((((0.15*B2078*5))^0/1)+(((0.15*B2078*5))^1/1)+(((0.15*B2078*5))^2/2)+(((0.15*B2078*5))^3/6)+(((0.15*B2078*5))^4/24)+(((0.15*B2078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2054*(1-MIN(100,(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2054*(MIN(100,(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2054*(1-MIN(100,(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2054*(MIN(100,(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IF(ArtifactsInput!$M$26,FALSE,TRUE),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54">
        <f>IF(C2054,(H2054*N2054*IF(AND(Inputs!$B$39&lt;&gt;"pvp",Inputs!$B$44&gt;0),((Skills!G7*((R2054-1)*IF(Skills!H7&gt;0,INT(Skills!I7/Skills!H7+0.000000001),1)+IF(Skills!H7&gt;0,INT(MIN(Skills!I7,MAX(0,MAX(0,Inputs!$B$44-B2083)-((R2054-1)*IF(Inputs!$B$39="pvp",15,MAX(0.1,Skills!D7-IF(TRUE=TRUE,Inputs!$B$33,0))))))/Skills!H7+0.000000001),1)))/Inputs!$B$44),G2054*Q2054))*IF(Inputs!$B$39="pvp",1,(1+(Inputs!$B$22+Skills!Q7+((C2064=TRUE)*F2064*IF(AND(Inputs!$B$39&lt;&gt;"pvp",Inputs!$B$44&gt;0),(((R2064-1)*MIN((Skills!T17*(1+Inputs!$B$35/100)),(1/Q2064))+MIN((Skills!T17*(1+Inputs!$B$35/100)),MAX(0,Inputs!$B$44-((R2064-1)*(1/Q2064)))))/Inputs!$B$44),IF(Inputs!$B$39="pvp",MIN((Skills!T17*(1+Inputs!$B$35/100)),15)/15,MIN(1,(Skills!T17*(1+Inputs!$B$35/100))/(1/Q2064)))))+((C2052=TRUE)*IF(Inputs!$B$3&gt;=126,10*MIN(1,15*Q2052),0))+((C2061=TRUE)*IF(Inputs!$B$39="pvp",20,(1-Summary!$B$11)*(20)+Summary!$B$11*(0))*IF(AND(Inputs!$B$39&lt;&gt;"pvp",Inputs!$B$44&gt;0),(((R2061-1)*MIN((Skills!T14*(1+Inputs!$B$35/100)),(1/Q2061))+MIN((Skills!T14*(1+Inputs!$B$35/100)),MAX(0,Inputs!$B$44-((R2061-1)*(1/Q2061)))))/Inputs!$B$44),IF(Inputs!$B$39="pvp",MIN((Skills!T14*(1+Inputs!$B$35/100)),15)/15,MIN(1,(Skills!T14*(1+Inputs!$B$35/100))/(1/Q2061)))))+((C2060=TRUE)*IF(Inputs!$B$3&gt;=82,IF(Inputs!$B$39="pvp",20,(1-Summary!$B$11)*(20)+Summary!$B$11*(0)),0)*IF(AND(Inputs!$B$39&lt;&gt;"pvp",Inputs!$B$44&gt;0),(((R2060-1)*MIN((Skills!T13*(1+Inputs!$B$35/100)),(1/Q2060))+MIN((Skills!T13*(1+Inputs!$B$35/100)),MAX(0,Inputs!$B$44-((R2060-1)*(1/Q2060)))))/Inputs!$B$44),IF(Inputs!$B$39="pvp",MIN((Skills!T13*(1+Inputs!$B$35/100)),15)/15,MIN(1,(Skills!T13*(1+Inputs!$B$35/100))/(1/Q2060)))))+(IF(AND(ArtifactsInput!$M$35,Inputs!$B$4&lt;&gt;"Chapter Hunt"),CHOOSE(ArtifactsInput!$N$35+1,15,18,21,24,27,30)*(1-EXP(-(0.2*B2078)*5)),0)+IF(AND(ArtifactsInput!$M$22,Inputs!$B$4&lt;&gt;"Chapter Hunt"),CHOOSE(ArtifactsInput!$N$22+1,10,12,14,16,18,20)*((0*(((0.15*B2078*5))^0/1)+1*(((0.15*B2078*5))^1/1)+2*(((0.15*B2078*5))^2/2)+3*(((0.15*B2078*5))^3/6)+4*(((0.15*B2078*5))^4/24)+5*(((0.15*B2078*5))^5/120))/((((0.15*B2078*5))^0/1)+(((0.15*B2078*5))^1/1)+(((0.15*B2078*5))^2/2)+(((0.15*B2078*5))^3/6)+(((0.15*B2078*5))^4/24)+(((0.15*B2078*5))^5/120))),0))+(IF(ArtifactsInput!$M$33,CHOOSE(ArtifactsInput!$N$33+1,30,36,42,48,54,60),0)))/100)*(MIN(Skills!R7,Inputs!$B$38)))*((1+(IF(AND(ArtifactsInput!$M$41,Inputs!$B$39&lt;&gt;"pvp"),CHOOSE(ArtifactsInput!$N$41+1,5,6,7,8,9,10)*IF(OR(Inputs!$B$4="Weapon Dungeon",Inputs!$B$4="Equipment Dungeon",Inputs!$B$4="Enhancement Dungeon",Inputs!$B$4="EXP Dungeon",Inputs!$B$4="Hero Dungeon"),3,1),0)+IF(IF(ArtifactsInput!$M$26,FALSE,TRUE),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55">
      <c r="A2055">
        <f>Skills!A8</f>
        <v/>
      </c>
      <c r="B2055">
        <f>Skills!B8</f>
        <v/>
      </c>
      <c r="C2055">
        <f>Inputs!$B$3&gt;=75</f>
        <v/>
      </c>
      <c r="D2055">
        <f>IF(Skills!C8=1,60+Inputs!$B$26+Inputs!$B$30,IF(Skills!C8=2,90+Inputs!$B$27+Inputs!$B$30,IF(Skills!C8=3,120+Inputs!$B$28+Inputs!$B$30,MAX(0,(Inputs!$B$3-100)*3)+Inputs!$B$29+Inputs!$B$30)))</f>
        <v/>
      </c>
      <c r="E2055">
        <f>INDEX(FactorTable!$B$2:$Y$301, MATCH(ROUND(MIN(300,MAX(1,D2055)),0), FactorTable!$A$2:$A$301,0), Skills!M8+1)</f>
        <v/>
      </c>
      <c r="F2055">
        <f>IF(Skills!N8=TRUE,(Skills!L8/10)*(E2055/1000),Skills!L8/10)+Skills!O8</f>
        <v/>
      </c>
      <c r="G2055" t="inlineStr"/>
      <c r="H2055" t="inlineStr"/>
      <c r="I2055" t="inlineStr">
        <is>
          <t>1</t>
        </is>
      </c>
      <c r="J2055" t="inlineStr"/>
      <c r="K2055" t="inlineStr"/>
      <c r="L2055" t="inlineStr"/>
      <c r="M2055" t="inlineStr"/>
      <c r="N2055" t="inlineStr"/>
      <c r="O2055" t="inlineStr"/>
      <c r="P2055" t="inlineStr"/>
      <c r="Q2055" t="inlineStr"/>
      <c r="R2055" t="inlineStr"/>
      <c r="S2055" t="inlineStr"/>
    </row>
    <row r="2056">
      <c r="A2056">
        <f>Skills!A9</f>
        <v/>
      </c>
      <c r="B2056">
        <f>Skills!B9</f>
        <v/>
      </c>
      <c r="C2056">
        <f>Inputs!$B$3&gt;=60</f>
        <v/>
      </c>
      <c r="D2056">
        <f>IF(Skills!C9=1,60+Inputs!$B$26+Inputs!$B$30,IF(Skills!C9=2,90+Inputs!$B$27+Inputs!$B$30,IF(Skills!C9=3,120+Inputs!$B$28+Inputs!$B$30,MAX(0,(Inputs!$B$3-100)*3)+Inputs!$B$29+Inputs!$B$30)))</f>
        <v/>
      </c>
      <c r="E2056">
        <f>INDEX(FactorTable!$B$2:$Y$301, MATCH(ROUND(MIN(300,MAX(1,D2056)),0), FactorTable!$A$2:$A$301,0), Skills!M9+1)</f>
        <v/>
      </c>
      <c r="F2056">
        <f>IF(Skills!N9=TRUE,(Skills!L9/10)*(E2056/1000),Skills!L9/10)+Skills!O9</f>
        <v/>
      </c>
      <c r="G2056">
        <f>Skills!G9*IF(Skills!H9&gt;0,INT(IF(Inputs!$B$39="pvp",MIN(Skills!I9,15),Skills!I9)/Skills!H9+0.000000001),1)</f>
        <v/>
      </c>
      <c r="H2056">
        <f>1-(1-Skills!J9/100)^Skills!K9</f>
        <v/>
      </c>
      <c r="I2056" t="inlineStr">
        <is>
          <t>1</t>
        </is>
      </c>
      <c r="J2056">
        <f>((Inputs!$B$6*(1+Inputs!$B$7/100))+(((Inputs!$B$13*(1+Inputs!$B$14/100))-(Inputs!$B$13*(1+Inputs!$B$14/100)))+0.25*(Inputs!$B$15-Inputs!$B$15))*(1+Inputs!$B$7/100))*(F2056/100)</f>
        <v/>
      </c>
      <c r="K2056">
        <f>J2056*(1+(((Inputs!$B$13+IF(Inputs!$B$3&gt;=38,(10*INDEX(FactorTable!$B$2:$Y$301, MATCH(ROUND(MIN(300,MAX(1,Inputs!$B$3)),0), FactorTable!$A$2:$A$301,0), 23)/1000)/100*(Inputs!$B$8*(1+Inputs!$B$9/100)),0))*(1+Inputs!$B$14/100))*0.01+Inputs!$B$15*0.0025)/100)*(1+Inputs!$B$16/100)*(1+Inputs!$B$17/100)*(5000/(6000+Inputs!$B$43*(1-(Inputs!$B$20+0)/100)))*(1+(Inputs!$B$25+((C2072=TRUE)*(F2072-Calc!F25))+((C2073=TRUE)*(F2073-Calc!F26))+B2082)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2058=TRUE,F2058,0)/100)*(1+(IF(Skills!A9="DARK_IMPALE",Inputs!$B$18+0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gt;=100),MIN(100,((Inputs!$B$10+0+B2076+(ArtifactsInput!$M$24-ArtifactsInput!$M$24)*CHOOSE(ArtifactsInput!$N$24+1,10,12,14,16,18,20)+IF(ArtifactsInput!$M$10,CHOOSE(ArtifactsInput!$N$10+1,15,18,21,24,27,30)*(IF(Inputs!$B$39="pvp",MIN(15,15)/15,IF(AND(Inputs!$B$39&lt;&gt;"pvp",Inputs!$B$44&gt;0),MIN(15,Inputs!$B$44)/(Inputs!$B$44),0))),0)))-100),0))*CHOOSE(ArtifactsInput!$N$42+1,0.6,0.72,0.84,0.96,1.08,1.2))),Inputs!$B$19+((C2070=TRUE)*(F2070-Calc!F23))+(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gt;=100),CHOOSE(ArtifactsInput!$N$42+1,40,48,56,64,72,80),0))))/100)*((1+(((C2060=TRUE)*F2060*IF(AND(Inputs!$B$39&lt;&gt;"pvp",Inputs!$B$44&gt;0),(((R2060-1)*MIN((Skills!T13*(1+Inputs!$B$35/100)),(1/Q2060))+MIN((Skills!T13*(1+Inputs!$B$35/100)),MAX(0,Inputs!$B$44-((R2060-1)*(1/Q2060)))))/Inputs!$B$44),IF(Inputs!$B$39="pvp",MIN((Skills!T13*(1+Inputs!$B$35/100)),15)/15,MIN(1,(Skills!T13*(1+Inputs!$B$35/100))/(1/Q2060)))))+((C2061=TRUE)*F2061*IF(AND(Inputs!$B$39&lt;&gt;"pvp",Inputs!$B$44&gt;0),(((R2061-1)*MIN((Skills!T14*(1+Inputs!$B$35/100)),(1/Q2061))+MIN((Skills!T14*(1+Inputs!$B$35/100)),MAX(0,Inputs!$B$44-((R2061-1)*(1/Q2061)))))/Inputs!$B$44),IF(Inputs!$B$39="pvp",MIN((Skills!T14*(1+Inputs!$B$35/100)),15)/15,MIN(1,(Skills!T14*(1+Inputs!$B$35/100))/(1/Q2061)))))+((C2062=TRUE)*F2062*IF(AND(Inputs!$B$39&lt;&gt;"pvp",Inputs!$B$44&gt;0),(((R2062-1)*MIN((Skills!T15*(1+Inputs!$B$35/100)),(1/Q2062))+MIN((Skills!T15*(1+Inputs!$B$35/100)),MAX(0,Inputs!$B$44-((R2062-1)*(1/Q2062)))))/Inputs!$B$44),IF(Inputs!$B$39="pvp",MIN((Skills!T15*(1+Inputs!$B$35/100)),15)/15,MIN(1,(Skills!T15*(1+Inputs!$B$35/100))/(1/Q2062)))))+((C2063=TRUE)*F2063*IF(AND(Inputs!$B$39&lt;&gt;"pvp",Inputs!$B$44&gt;0),(((R2063-1)*MIN((Skills!T16*(1+Inputs!$B$35/100)),(1/Q2063))+MIN((Skills!T16*(1+Inputs!$B$35/100)),MAX(0,Inputs!$B$44-((R2063-1)*(1/Q2063)))))/Inputs!$B$44),IF(Inputs!$B$39="pvp",MIN((Skills!T16*(1+Inputs!$B$35/100)),15)/15,MIN(1,(Skills!T16*(1+Inputs!$B$35/100))/(1/Q2063)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2056)</f>
        <v/>
      </c>
      <c r="L2056">
        <f>K2056*(MIN(Inputs!$B$23+((C2069=TRUE)*(F2069-Calc!F22)),(Inputs!$B$24+((C2071=TRUE)*(F2071-Calc!F24))+(IF(ArtifactsInput!$M$15,CHOOSE(ArtifactsInput!$N$15+1,25,30,35,40,45,50)/100*(Inputs!$B$12-Inputs!$B$12),0))))/100+(Inputs!$B$24+((C2071=TRUE)*(F2071-Calc!F24))+(IF(ArtifactsInput!$M$15,CHOOSE(ArtifactsInput!$N$15+1,25,30,35,40,45,50)/100*(Inputs!$B$12-Inputs!$B$12),0)))/100)/2</f>
        <v/>
      </c>
      <c r="M2056">
        <f>L2056*(1+(Inputs!$B$11+0+B2081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056">
        <f>L2056*(1-MIN((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2056*(MIN((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56">
        <f>(1-Summary!$B$11)*T2056+Summary!$B$11*V2056</f>
        <v/>
      </c>
      <c r="P2056">
        <f>IF(B2086=0,0,O2056/B2086)</f>
        <v/>
      </c>
      <c r="Q2056">
        <f>IFERROR(1/IF(Inputs!$B$39="pvp",15,MAX(0.1,Skills!D9-IF(TRUE=TRUE,Inputs!$B$33,0))),0)</f>
        <v/>
      </c>
      <c r="R2056">
        <f>IF(AND(Inputs!$B$39&lt;&gt;"pvp",Inputs!$B$44&gt;0),IF(MAX(0,Inputs!$B$44-B2083)&lt;=0,0,(INT(MAX(0,Inputs!$B$44-B2083)/IF(Inputs!$B$39="pvp",15,MAX(0.1,Skills!D9-IF(TRUE=TRUE,Inputs!$B$33,0))))+1)),0)</f>
        <v/>
      </c>
      <c r="S2056">
        <f>IFERROR(O2056/N2056,0)</f>
        <v/>
      </c>
      <c r="T2056">
        <f>IF(C2056,(H2056*N2056*IF(AND(Inputs!$B$39&lt;&gt;"pvp",Inputs!$B$44&gt;0),((Skills!G9*((R2056-1)*IF(Skills!H9&gt;0,INT(Skills!I9/Skills!H9+0.000000001),1)+IF(Skills!H9&gt;0,INT(MIN(Skills!I9,MAX(0,MAX(0,Inputs!$B$44-B2083)-((R2056-1)*IF(Inputs!$B$39="pvp",15,MAX(0.1,Skills!D9-IF(TRUE=TRUE,Inputs!$B$33,0))))))/Skills!H9+0.000000001),1)))/Inputs!$B$44),G2056*Q2056))*IF(Inputs!$B$39="pvp",1,1+(Inputs!$B$21+0+Skills!P9+((C2064=TRUE)*F2064*IF(AND(Inputs!$B$39&lt;&gt;"pvp",Inputs!$B$44&gt;0),(((R2064-1)*MIN((Skills!T17*(1+Inputs!$B$35/100)),(1/Q2064))+MIN((Skills!T17*(1+Inputs!$B$35/100)),MAX(0,Inputs!$B$44-((R2064-1)*(1/Q2064)))))/Inputs!$B$44),IF(Inputs!$B$39="pvp",MIN((Skills!T17*(1+Inputs!$B$35/100)),15)/15,MIN(1,(Skills!T17*(1+Inputs!$B$35/100))/(1/Q2064)))))+((C2052=TRUE)*IF(Inputs!$B$3&gt;=126,10*MIN(1,15*Q2052),0))+((C2061=TRUE)*IF(Inputs!$B$39="pvp",20,(1-Summary!$B$11)*(20)+Summary!$B$11*(0))*IF(AND(Inputs!$B$39&lt;&gt;"pvp",Inputs!$B$44&gt;0),(((R2061-1)*MIN((Skills!T14*(1+Inputs!$B$35/100)),(1/Q2061))+MIN((Skills!T14*(1+Inputs!$B$35/100)),MAX(0,Inputs!$B$44-((R2061-1)*(1/Q2061)))))/Inputs!$B$44),IF(Inputs!$B$39="pvp",MIN((Skills!T14*(1+Inputs!$B$35/100)),15)/15,MIN(1,(Skills!T14*(1+Inputs!$B$35/100))/(1/Q2061)))))+((C2060=TRUE)*IF(Inputs!$B$3&gt;=82,IF(Inputs!$B$39="pvp",20,(1-Summary!$B$11)*(20)+Summary!$B$11*(0)),0)*IF(AND(Inputs!$B$39&lt;&gt;"pvp",Inputs!$B$44&gt;0),(((R2060-1)*MIN((Skills!T13*(1+Inputs!$B$35/100)),(1/Q2060))+MIN((Skills!T13*(1+Inputs!$B$35/100)),MAX(0,Inputs!$B$44-((R2060-1)*(1/Q2060)))))/Inputs!$B$44),IF(Inputs!$B$39="pvp",MIN((Skills!T13*(1+Inputs!$B$35/100)),15)/15,MIN(1,(Skills!T13*(1+Inputs!$B$35/100))/(1/Q2060)))))+(IF(AND(ArtifactsInput!$M$35,Inputs!$B$4&lt;&gt;"Chapter Hunt"),CHOOSE(ArtifactsInput!$N$35+1,15,18,21,24,27,30)*(1-EXP(-(0.2*B2078)*5)),0)+IF(AND(ArtifactsInput!$M$22,Inputs!$B$4&lt;&gt;"Chapter Hunt"),CHOOSE(ArtifactsInput!$N$22+1,10,12,14,16,18,20)*((0*(((0.15*B2078*5))^0/1)+1*(((0.15*B2078*5))^1/1)+2*(((0.15*B2078*5))^2/2)+3*(((0.15*B2078*5))^3/6)+4*(((0.15*B2078*5))^4/24)+5*(((0.15*B2078*5))^5/120))/((((0.15*B2078*5))^0/1)+(((0.15*B2078*5))^1/1)+(((0.15*B2078*5))^2/2)+(((0.15*B2078*5))^3/6)+(((0.15*B2078*5))^4/24)+(((0.15*B2078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2056*(1-MIN(100,(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2056*(MIN(100,(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2056*(1-MIN(100,(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2056*(MIN(100,(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IF(ArtifactsInput!$M$26,FALSE,TRUE),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56">
        <f>IF(C2056,(H2056*N2056*IF(AND(Inputs!$B$39&lt;&gt;"pvp",Inputs!$B$44&gt;0),((Skills!G9*((R2056-1)*IF(Skills!H9&gt;0,INT(Skills!I9/Skills!H9+0.000000001),1)+IF(Skills!H9&gt;0,INT(MIN(Skills!I9,MAX(0,MAX(0,Inputs!$B$44-B2083)-((R2056-1)*IF(Inputs!$B$39="pvp",15,MAX(0.1,Skills!D9-IF(TRUE=TRUE,Inputs!$B$33,0))))))/Skills!H9+0.000000001),1)))/Inputs!$B$44),G2056*Q2056))*IF(Inputs!$B$39="pvp",1,(1+(Inputs!$B$22+Skills!Q9+((C2064=TRUE)*F2064*IF(AND(Inputs!$B$39&lt;&gt;"pvp",Inputs!$B$44&gt;0),(((R2064-1)*MIN((Skills!T17*(1+Inputs!$B$35/100)),(1/Q2064))+MIN((Skills!T17*(1+Inputs!$B$35/100)),MAX(0,Inputs!$B$44-((R2064-1)*(1/Q2064)))))/Inputs!$B$44),IF(Inputs!$B$39="pvp",MIN((Skills!T17*(1+Inputs!$B$35/100)),15)/15,MIN(1,(Skills!T17*(1+Inputs!$B$35/100))/(1/Q2064)))))+((C2052=TRUE)*IF(Inputs!$B$3&gt;=126,10*MIN(1,15*Q2052),0))+((C2061=TRUE)*IF(Inputs!$B$39="pvp",20,(1-Summary!$B$11)*(20)+Summary!$B$11*(0))*IF(AND(Inputs!$B$39&lt;&gt;"pvp",Inputs!$B$44&gt;0),(((R2061-1)*MIN((Skills!T14*(1+Inputs!$B$35/100)),(1/Q2061))+MIN((Skills!T14*(1+Inputs!$B$35/100)),MAX(0,Inputs!$B$44-((R2061-1)*(1/Q2061)))))/Inputs!$B$44),IF(Inputs!$B$39="pvp",MIN((Skills!T14*(1+Inputs!$B$35/100)),15)/15,MIN(1,(Skills!T14*(1+Inputs!$B$35/100))/(1/Q2061)))))+((C2060=TRUE)*IF(Inputs!$B$3&gt;=82,IF(Inputs!$B$39="pvp",20,(1-Summary!$B$11)*(20)+Summary!$B$11*(0)),0)*IF(AND(Inputs!$B$39&lt;&gt;"pvp",Inputs!$B$44&gt;0),(((R2060-1)*MIN((Skills!T13*(1+Inputs!$B$35/100)),(1/Q2060))+MIN((Skills!T13*(1+Inputs!$B$35/100)),MAX(0,Inputs!$B$44-((R2060-1)*(1/Q2060)))))/Inputs!$B$44),IF(Inputs!$B$39="pvp",MIN((Skills!T13*(1+Inputs!$B$35/100)),15)/15,MIN(1,(Skills!T13*(1+Inputs!$B$35/100))/(1/Q2060)))))+(IF(AND(ArtifactsInput!$M$35,Inputs!$B$4&lt;&gt;"Chapter Hunt"),CHOOSE(ArtifactsInput!$N$35+1,15,18,21,24,27,30)*(1-EXP(-(0.2*B2078)*5)),0)+IF(AND(ArtifactsInput!$M$22,Inputs!$B$4&lt;&gt;"Chapter Hunt"),CHOOSE(ArtifactsInput!$N$22+1,10,12,14,16,18,20)*((0*(((0.15*B2078*5))^0/1)+1*(((0.15*B2078*5))^1/1)+2*(((0.15*B2078*5))^2/2)+3*(((0.15*B2078*5))^3/6)+4*(((0.15*B2078*5))^4/24)+5*(((0.15*B2078*5))^5/120))/((((0.15*B2078*5))^0/1)+(((0.15*B2078*5))^1/1)+(((0.15*B2078*5))^2/2)+(((0.15*B2078*5))^3/6)+(((0.15*B2078*5))^4/24)+(((0.15*B2078*5))^5/120))),0))+(IF(ArtifactsInput!$M$33,CHOOSE(ArtifactsInput!$N$33+1,30,36,42,48,54,60),0)))/100)*(MIN(Skills!R9,Inputs!$B$38)))*((1+(IF(AND(ArtifactsInput!$M$41,Inputs!$B$39&lt;&gt;"pvp"),CHOOSE(ArtifactsInput!$N$41+1,5,6,7,8,9,10)*IF(OR(Inputs!$B$4="Weapon Dungeon",Inputs!$B$4="Equipment Dungeon",Inputs!$B$4="Enhancement Dungeon",Inputs!$B$4="EXP Dungeon",Inputs!$B$4="Hero Dungeon"),3,1),0)+IF(IF(ArtifactsInput!$M$26,FALSE,TRUE),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57">
      <c r="A2057">
        <f>Skills!A10</f>
        <v/>
      </c>
      <c r="B2057">
        <f>Skills!B10</f>
        <v/>
      </c>
      <c r="C2057">
        <f>Inputs!$B$3&gt;=110</f>
        <v/>
      </c>
      <c r="D2057">
        <f>IF(Skills!C10=1,60+Inputs!$B$26+Inputs!$B$30,IF(Skills!C10=2,90+Inputs!$B$27+Inputs!$B$30,IF(Skills!C10=3,120+Inputs!$B$28+Inputs!$B$30,MAX(0,(Inputs!$B$3-100)*3)+Inputs!$B$29+Inputs!$B$30)))</f>
        <v/>
      </c>
      <c r="E2057">
        <f>INDEX(FactorTable!$B$2:$Y$301, MATCH(ROUND(MIN(300,MAX(1,D2057)),0), FactorTable!$A$2:$A$301,0), Skills!M10+1)</f>
        <v/>
      </c>
      <c r="F2057">
        <f>IF(Skills!N10=TRUE,(Skills!L10/10)*(E2057/1000),Skills!L10/10)+Skills!O10</f>
        <v/>
      </c>
      <c r="G2057">
        <f>Skills!G10*IF(Skills!H10&gt;0,INT(IF(Inputs!$B$39="pvp",MIN(Skills!I10,15),Skills!I10)/Skills!H10+0.000000001),1)</f>
        <v/>
      </c>
      <c r="H2057">
        <f>1-(1-Skills!J10/100)^Skills!K10</f>
        <v/>
      </c>
      <c r="I2057" t="inlineStr">
        <is>
          <t>1</t>
        </is>
      </c>
      <c r="J2057">
        <f>((Inputs!$B$6*(1+Inputs!$B$7/100))+(((Inputs!$B$13*(1+Inputs!$B$14/100))-(Inputs!$B$13*(1+Inputs!$B$14/100)))+0.25*(Inputs!$B$15-Inputs!$B$15))*(1+Inputs!$B$7/100))*(F2057/100)</f>
        <v/>
      </c>
      <c r="K2057">
        <f>J2057*(1+(((Inputs!$B$13+IF(Inputs!$B$3&gt;=38,(10*INDEX(FactorTable!$B$2:$Y$301, MATCH(ROUND(MIN(300,MAX(1,Inputs!$B$3)),0), FactorTable!$A$2:$A$301,0), 23)/1000)/100*(Inputs!$B$8*(1+Inputs!$B$9/100)),0))*(1+Inputs!$B$14/100))*0.01+Inputs!$B$15*0.0025)/100)*(1+Inputs!$B$16/100)*(1+Inputs!$B$17/100)*(5000/(6000+Inputs!$B$43*(1-(Inputs!$B$20+0)/100)))*(1+(Inputs!$B$25+((C2072=TRUE)*(F2072-Calc!F25))+((C2073=TRUE)*(F2073-Calc!F26))+B2082)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gt;=100),MIN(100,((Inputs!$B$10+0+B2076+(ArtifactsInput!$M$24-ArtifactsInput!$M$24)*CHOOSE(ArtifactsInput!$N$24+1,10,12,14,16,18,20)+IF(ArtifactsInput!$M$10,CHOOSE(ArtifactsInput!$N$10+1,15,18,21,24,27,30)*(IF(Inputs!$B$39="pvp",MIN(15,15)/15,IF(AND(Inputs!$B$39&lt;&gt;"pvp",Inputs!$B$44&gt;0),MIN(15,Inputs!$B$44)/(Inputs!$B$44),0))),0)))-100),0))*CHOOSE(ArtifactsInput!$N$42+1,0.6,0.72,0.84,0.96,1.08,1.2))),Inputs!$B$19+((C2070=TRUE)*(F2070-Calc!F23))+(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gt;=100),CHOOSE(ArtifactsInput!$N$42+1,40,48,56,64,72,80),0))))/100)*((1+(((C2060=TRUE)*F2060*IF(AND(Inputs!$B$39&lt;&gt;"pvp",Inputs!$B$44&gt;0),(((R2060-1)*MIN((Skills!T13*(1+Inputs!$B$35/100)),(1/Q2060))+MIN((Skills!T13*(1+Inputs!$B$35/100)),MAX(0,Inputs!$B$44-((R2060-1)*(1/Q2060)))))/Inputs!$B$44),IF(Inputs!$B$39="pvp",MIN((Skills!T13*(1+Inputs!$B$35/100)),15)/15,MIN(1,(Skills!T13*(1+Inputs!$B$35/100))/(1/Q2060)))))+((C2061=TRUE)*F2061*IF(AND(Inputs!$B$39&lt;&gt;"pvp",Inputs!$B$44&gt;0),(((R2061-1)*MIN((Skills!T14*(1+Inputs!$B$35/100)),(1/Q2061))+MIN((Skills!T14*(1+Inputs!$B$35/100)),MAX(0,Inputs!$B$44-((R2061-1)*(1/Q2061)))))/Inputs!$B$44),IF(Inputs!$B$39="pvp",MIN((Skills!T14*(1+Inputs!$B$35/100)),15)/15,MIN(1,(Skills!T14*(1+Inputs!$B$35/100))/(1/Q2061)))))+((C2062=TRUE)*F2062*IF(AND(Inputs!$B$39&lt;&gt;"pvp",Inputs!$B$44&gt;0),(((R2062-1)*MIN((Skills!T15*(1+Inputs!$B$35/100)),(1/Q2062))+MIN((Skills!T15*(1+Inputs!$B$35/100)),MAX(0,Inputs!$B$44-((R2062-1)*(1/Q2062)))))/Inputs!$B$44),IF(Inputs!$B$39="pvp",MIN((Skills!T15*(1+Inputs!$B$35/100)),15)/15,MIN(1,(Skills!T15*(1+Inputs!$B$35/100))/(1/Q2062)))))+((C2063=TRUE)*F2063*IF(AND(Inputs!$B$39&lt;&gt;"pvp",Inputs!$B$44&gt;0),(((R2063-1)*MIN((Skills!T16*(1+Inputs!$B$35/100)),(1/Q2063))+MIN((Skills!T16*(1+Inputs!$B$35/100)),MAX(0,Inputs!$B$44-((R2063-1)*(1/Q2063)))))/Inputs!$B$44),IF(Inputs!$B$39="pvp",MIN((Skills!T16*(1+Inputs!$B$35/100)),15)/15,MIN(1,(Skills!T16*(1+Inputs!$B$35/100))/(1/Q2063)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2057)</f>
        <v/>
      </c>
      <c r="L2057">
        <f>K2057*(MIN(Inputs!$B$23+((C2069=TRUE)*(F2069-Calc!F22)),(Inputs!$B$24+((C2071=TRUE)*(F2071-Calc!F24))+(IF(ArtifactsInput!$M$15,CHOOSE(ArtifactsInput!$N$15+1,25,30,35,40,45,50)/100*(Inputs!$B$12-Inputs!$B$12),0))))/100+(Inputs!$B$24+((C2071=TRUE)*(F2071-Calc!F24))+(IF(ArtifactsInput!$M$15,CHOOSE(ArtifactsInput!$N$15+1,25,30,35,40,45,50)/100*(Inputs!$B$12-Inputs!$B$12),0)))/100)/2</f>
        <v/>
      </c>
      <c r="M2057">
        <f>L2057*(1+(Inputs!$B$11+0+B2081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057">
        <f>L2057*(1-MIN((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2057*(MIN((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57">
        <f>(1-Summary!$B$11)*T2057+Summary!$B$11*V2057</f>
        <v/>
      </c>
      <c r="P2057">
        <f>IF(B2086=0,0,O2057/B2086)</f>
        <v/>
      </c>
      <c r="Q2057">
        <f>IFERROR(1/IF(Inputs!$B$39="pvp",15,MAX(0.1,Skills!D10-IF(TRUE=TRUE,Inputs!$B$33,0))),0)</f>
        <v/>
      </c>
      <c r="R2057">
        <f>IF(AND(Inputs!$B$39&lt;&gt;"pvp",Inputs!$B$44&gt;0),IF(MAX(0,Inputs!$B$44-B2083)&lt;=0,0,(INT(MAX(0,Inputs!$B$44-B2083)/IF(Inputs!$B$39="pvp",15,MAX(0.1,Skills!D10-IF(TRUE=TRUE,Inputs!$B$33,0))))+1)),0)</f>
        <v/>
      </c>
      <c r="S2057">
        <f>IFERROR(O2057/N2057,0)</f>
        <v/>
      </c>
      <c r="T2057">
        <f>IF(C2057,(H2057*N2057*IF(AND(Inputs!$B$39&lt;&gt;"pvp",Inputs!$B$44&gt;0),((Skills!G10*((R2057-1)*IF(Skills!H10&gt;0,INT(Skills!I10/Skills!H10+0.000000001),1)+IF(Skills!H10&gt;0,INT(MIN(Skills!I10,MAX(0,MAX(0,Inputs!$B$44-B2083)-((R2057-1)*IF(Inputs!$B$39="pvp",15,MAX(0.1,Skills!D10-IF(TRUE=TRUE,Inputs!$B$33,0))))))/Skills!H10+0.000000001),1)))/Inputs!$B$44),G2057*Q2057))*IF(Inputs!$B$39="pvp",1,1+(Inputs!$B$21+0+Skills!P10+((C2064=TRUE)*F2064*IF(AND(Inputs!$B$39&lt;&gt;"pvp",Inputs!$B$44&gt;0),(((R2064-1)*MIN((Skills!T17*(1+Inputs!$B$35/100)),(1/Q2064))+MIN((Skills!T17*(1+Inputs!$B$35/100)),MAX(0,Inputs!$B$44-((R2064-1)*(1/Q2064)))))/Inputs!$B$44),IF(Inputs!$B$39="pvp",MIN((Skills!T17*(1+Inputs!$B$35/100)),15)/15,MIN(1,(Skills!T17*(1+Inputs!$B$35/100))/(1/Q2064)))))+((C2052=TRUE)*IF(Inputs!$B$3&gt;=126,10*MIN(1,15*Q2052),0))+((C2061=TRUE)*IF(Inputs!$B$39="pvp",20,(1-Summary!$B$11)*(20)+Summary!$B$11*(0))*IF(AND(Inputs!$B$39&lt;&gt;"pvp",Inputs!$B$44&gt;0),(((R2061-1)*MIN((Skills!T14*(1+Inputs!$B$35/100)),(1/Q2061))+MIN((Skills!T14*(1+Inputs!$B$35/100)),MAX(0,Inputs!$B$44-((R2061-1)*(1/Q2061)))))/Inputs!$B$44),IF(Inputs!$B$39="pvp",MIN((Skills!T14*(1+Inputs!$B$35/100)),15)/15,MIN(1,(Skills!T14*(1+Inputs!$B$35/100))/(1/Q2061)))))+((C2060=TRUE)*IF(Inputs!$B$3&gt;=82,IF(Inputs!$B$39="pvp",20,(1-Summary!$B$11)*(20)+Summary!$B$11*(0)),0)*IF(AND(Inputs!$B$39&lt;&gt;"pvp",Inputs!$B$44&gt;0),(((R2060-1)*MIN((Skills!T13*(1+Inputs!$B$35/100)),(1/Q2060))+MIN((Skills!T13*(1+Inputs!$B$35/100)),MAX(0,Inputs!$B$44-((R2060-1)*(1/Q2060)))))/Inputs!$B$44),IF(Inputs!$B$39="pvp",MIN((Skills!T13*(1+Inputs!$B$35/100)),15)/15,MIN(1,(Skills!T13*(1+Inputs!$B$35/100))/(1/Q2060)))))+(IF(AND(ArtifactsInput!$M$35,Inputs!$B$4&lt;&gt;"Chapter Hunt"),CHOOSE(ArtifactsInput!$N$35+1,15,18,21,24,27,30)*(1-EXP(-(0.2*B2078)*5)),0)+IF(AND(ArtifactsInput!$M$22,Inputs!$B$4&lt;&gt;"Chapter Hunt"),CHOOSE(ArtifactsInput!$N$22+1,10,12,14,16,18,20)*((0*(((0.15*B2078*5))^0/1)+1*(((0.15*B2078*5))^1/1)+2*(((0.15*B2078*5))^2/2)+3*(((0.15*B2078*5))^3/6)+4*(((0.15*B2078*5))^4/24)+5*(((0.15*B2078*5))^5/120))/((((0.15*B2078*5))^0/1)+(((0.15*B2078*5))^1/1)+(((0.15*B2078*5))^2/2)+(((0.15*B2078*5))^3/6)+(((0.15*B2078*5))^4/24)+(((0.15*B2078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2057*(1-MIN(100,(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2057*(MIN(100,(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2057*(1-MIN(100,(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2057*(MIN(100,(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IF(ArtifactsInput!$M$26,FALSE,TRUE),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57">
        <f>IF(C2057,(H2057*N2057*IF(AND(Inputs!$B$39&lt;&gt;"pvp",Inputs!$B$44&gt;0),((Skills!G10*((R2057-1)*IF(Skills!H10&gt;0,INT(Skills!I10/Skills!H10+0.000000001),1)+IF(Skills!H10&gt;0,INT(MIN(Skills!I10,MAX(0,MAX(0,Inputs!$B$44-B2083)-((R2057-1)*IF(Inputs!$B$39="pvp",15,MAX(0.1,Skills!D10-IF(TRUE=TRUE,Inputs!$B$33,0))))))/Skills!H10+0.000000001),1)))/Inputs!$B$44),G2057*Q2057))*IF(Inputs!$B$39="pvp",1,(1+(Inputs!$B$22+Skills!Q10+((C2064=TRUE)*F2064*IF(AND(Inputs!$B$39&lt;&gt;"pvp",Inputs!$B$44&gt;0),(((R2064-1)*MIN((Skills!T17*(1+Inputs!$B$35/100)),(1/Q2064))+MIN((Skills!T17*(1+Inputs!$B$35/100)),MAX(0,Inputs!$B$44-((R2064-1)*(1/Q2064)))))/Inputs!$B$44),IF(Inputs!$B$39="pvp",MIN((Skills!T17*(1+Inputs!$B$35/100)),15)/15,MIN(1,(Skills!T17*(1+Inputs!$B$35/100))/(1/Q2064)))))+((C2052=TRUE)*IF(Inputs!$B$3&gt;=126,10*MIN(1,15*Q2052),0))+((C2061=TRUE)*IF(Inputs!$B$39="pvp",20,(1-Summary!$B$11)*(20)+Summary!$B$11*(0))*IF(AND(Inputs!$B$39&lt;&gt;"pvp",Inputs!$B$44&gt;0),(((R2061-1)*MIN((Skills!T14*(1+Inputs!$B$35/100)),(1/Q2061))+MIN((Skills!T14*(1+Inputs!$B$35/100)),MAX(0,Inputs!$B$44-((R2061-1)*(1/Q2061)))))/Inputs!$B$44),IF(Inputs!$B$39="pvp",MIN((Skills!T14*(1+Inputs!$B$35/100)),15)/15,MIN(1,(Skills!T14*(1+Inputs!$B$35/100))/(1/Q2061)))))+((C2060=TRUE)*IF(Inputs!$B$3&gt;=82,IF(Inputs!$B$39="pvp",20,(1-Summary!$B$11)*(20)+Summary!$B$11*(0)),0)*IF(AND(Inputs!$B$39&lt;&gt;"pvp",Inputs!$B$44&gt;0),(((R2060-1)*MIN((Skills!T13*(1+Inputs!$B$35/100)),(1/Q2060))+MIN((Skills!T13*(1+Inputs!$B$35/100)),MAX(0,Inputs!$B$44-((R2060-1)*(1/Q2060)))))/Inputs!$B$44),IF(Inputs!$B$39="pvp",MIN((Skills!T13*(1+Inputs!$B$35/100)),15)/15,MIN(1,(Skills!T13*(1+Inputs!$B$35/100))/(1/Q2060)))))+(IF(AND(ArtifactsInput!$M$35,Inputs!$B$4&lt;&gt;"Chapter Hunt"),CHOOSE(ArtifactsInput!$N$35+1,15,18,21,24,27,30)*(1-EXP(-(0.2*B2078)*5)),0)+IF(AND(ArtifactsInput!$M$22,Inputs!$B$4&lt;&gt;"Chapter Hunt"),CHOOSE(ArtifactsInput!$N$22+1,10,12,14,16,18,20)*((0*(((0.15*B2078*5))^0/1)+1*(((0.15*B2078*5))^1/1)+2*(((0.15*B2078*5))^2/2)+3*(((0.15*B2078*5))^3/6)+4*(((0.15*B2078*5))^4/24)+5*(((0.15*B2078*5))^5/120))/((((0.15*B2078*5))^0/1)+(((0.15*B2078*5))^1/1)+(((0.15*B2078*5))^2/2)+(((0.15*B2078*5))^3/6)+(((0.15*B2078*5))^4/24)+(((0.15*B2078*5))^5/120))),0))+(IF(ArtifactsInput!$M$33,CHOOSE(ArtifactsInput!$N$33+1,30,36,42,48,54,60),0)))/100)*(MIN(Skills!R10,Inputs!$B$38)))*((1+(IF(AND(ArtifactsInput!$M$41,Inputs!$B$39&lt;&gt;"pvp"),CHOOSE(ArtifactsInput!$N$41+1,5,6,7,8,9,10)*IF(OR(Inputs!$B$4="Weapon Dungeon",Inputs!$B$4="Equipment Dungeon",Inputs!$B$4="Enhancement Dungeon",Inputs!$B$4="EXP Dungeon",Inputs!$B$4="Hero Dungeon"),3,1),0)+IF(IF(ArtifactsInput!$M$26,FALSE,TRUE),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58">
      <c r="A2058">
        <f>Skills!A11</f>
        <v/>
      </c>
      <c r="B2058">
        <f>Skills!B11</f>
        <v/>
      </c>
      <c r="C2058">
        <f>Inputs!$B$3&gt;=100</f>
        <v/>
      </c>
      <c r="D2058">
        <f>IF(Skills!C11=1,60+Inputs!$B$26+Inputs!$B$30,IF(Skills!C11=2,90+Inputs!$B$27+Inputs!$B$30,IF(Skills!C11=3,120+Inputs!$B$28+Inputs!$B$30,MAX(0,(Inputs!$B$3-100)*3)+Inputs!$B$29+Inputs!$B$30)))</f>
        <v/>
      </c>
      <c r="E2058">
        <f>INDEX(FactorTable!$B$2:$Y$301, MATCH(ROUND(MIN(300,MAX(1,D2058)),0), FactorTable!$A$2:$A$301,0), Skills!M11+1)</f>
        <v/>
      </c>
      <c r="F2058">
        <f>IF(Skills!N11=TRUE,(Skills!L11/10)*(E2058/1000),Skills!L11/10)+Skills!O11</f>
        <v/>
      </c>
      <c r="G2058" t="inlineStr"/>
      <c r="H2058" t="inlineStr"/>
      <c r="I2058" t="inlineStr">
        <is>
          <t>1</t>
        </is>
      </c>
      <c r="J2058" t="inlineStr"/>
      <c r="K2058" t="inlineStr"/>
      <c r="L2058" t="inlineStr"/>
      <c r="M2058" t="inlineStr"/>
      <c r="N2058" t="inlineStr"/>
      <c r="O2058" t="inlineStr"/>
      <c r="P2058" t="inlineStr"/>
      <c r="Q2058" t="inlineStr"/>
      <c r="R2058" t="inlineStr"/>
      <c r="S2058" t="inlineStr"/>
    </row>
    <row r="2059">
      <c r="A2059">
        <f>Skills!A12</f>
        <v/>
      </c>
      <c r="B2059">
        <f>Skills!B12</f>
        <v/>
      </c>
      <c r="C2059">
        <f>Inputs!$B$3&gt;=63</f>
        <v/>
      </c>
      <c r="D2059">
        <f>IF(Skills!C12=1,60+Inputs!$B$26+Inputs!$B$30,IF(Skills!C12=2,90+Inputs!$B$27+Inputs!$B$30,IF(Skills!C12=3,120+Inputs!$B$28+Inputs!$B$30,MAX(0,(Inputs!$B$3-100)*3)+Inputs!$B$29+Inputs!$B$30)))</f>
        <v/>
      </c>
      <c r="E2059">
        <f>INDEX(FactorTable!$B$2:$Y$301, MATCH(ROUND(MIN(300,MAX(1,D2059)),0), FactorTable!$A$2:$A$301,0), Skills!M12+1)</f>
        <v/>
      </c>
      <c r="F2059">
        <f>IF(Skills!N12=TRUE,(Skills!L12/10)*(E2059/1000),Skills!L12/10)+Skills!O12</f>
        <v/>
      </c>
      <c r="G2059">
        <f>Skills!G12*IF(Skills!H12&gt;0,INT(IF(Inputs!$B$39="pvp",MIN(Skills!I12,15),Skills!I12)/Skills!H12+0.000000001),1)</f>
        <v/>
      </c>
      <c r="H2059">
        <f>1-(1-Skills!J12/100)^Skills!K12</f>
        <v/>
      </c>
      <c r="I2059" t="inlineStr">
        <is>
          <t>1</t>
        </is>
      </c>
      <c r="J2059">
        <f>((Inputs!$B$6*(1+Inputs!$B$7/100))+(((Inputs!$B$13*(1+Inputs!$B$14/100))-(Inputs!$B$13*(1+Inputs!$B$14/100)))+0.25*(Inputs!$B$15-Inputs!$B$15))*(1+Inputs!$B$7/100))*(F2059/100)</f>
        <v/>
      </c>
      <c r="K2059">
        <f>J2059*(1+(((Inputs!$B$13+IF(Inputs!$B$3&gt;=38,(10*INDEX(FactorTable!$B$2:$Y$301, MATCH(ROUND(MIN(300,MAX(1,Inputs!$B$3)),0), FactorTable!$A$2:$A$301,0), 23)/1000)/100*(Inputs!$B$8*(1+Inputs!$B$9/100)),0))*(1+Inputs!$B$14/100))*0.01+Inputs!$B$15*0.0025)/100)*(1+Inputs!$B$16/100)*(1+Inputs!$B$17/100)*(5000/(6000+Inputs!$B$43*(1-(Inputs!$B$20+0)/100)))*(1+(Inputs!$B$25+((C2072=TRUE)*(F2072-Calc!F25))+((C2073=TRUE)*(F2073-Calc!F26))+B2082)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2058=TRUE,F2058,0)/100)*(1+(IF(Skills!A12="DARK_IMPALE",Inputs!$B$18+0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gt;=100),MIN(100,((Inputs!$B$10+0+B2076+(ArtifactsInput!$M$24-ArtifactsInput!$M$24)*CHOOSE(ArtifactsInput!$N$24+1,10,12,14,16,18,20)+IF(ArtifactsInput!$M$10,CHOOSE(ArtifactsInput!$N$10+1,15,18,21,24,27,30)*(IF(Inputs!$B$39="pvp",MIN(15,15)/15,IF(AND(Inputs!$B$39&lt;&gt;"pvp",Inputs!$B$44&gt;0),MIN(15,Inputs!$B$44)/(Inputs!$B$44),0))),0)))-100),0))*CHOOSE(ArtifactsInput!$N$42+1,0.6,0.72,0.84,0.96,1.08,1.2))),Inputs!$B$19+((C2070=TRUE)*(F2070-Calc!F23))+(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gt;=100),CHOOSE(ArtifactsInput!$N$42+1,40,48,56,64,72,80),0))))/100)*((1+(((C2060=TRUE)*F2060*IF(AND(Inputs!$B$39&lt;&gt;"pvp",Inputs!$B$44&gt;0),(((R2060-1)*MIN((Skills!T13*(1+Inputs!$B$35/100)),(1/Q2060))+MIN((Skills!T13*(1+Inputs!$B$35/100)),MAX(0,Inputs!$B$44-((R2060-1)*(1/Q2060)))))/Inputs!$B$44),IF(Inputs!$B$39="pvp",MIN((Skills!T13*(1+Inputs!$B$35/100)),15)/15,MIN(1,(Skills!T13*(1+Inputs!$B$35/100))/(1/Q2060)))))+((C2061=TRUE)*F2061*IF(AND(Inputs!$B$39&lt;&gt;"pvp",Inputs!$B$44&gt;0),(((R2061-1)*MIN((Skills!T14*(1+Inputs!$B$35/100)),(1/Q2061))+MIN((Skills!T14*(1+Inputs!$B$35/100)),MAX(0,Inputs!$B$44-((R2061-1)*(1/Q2061)))))/Inputs!$B$44),IF(Inputs!$B$39="pvp",MIN((Skills!T14*(1+Inputs!$B$35/100)),15)/15,MIN(1,(Skills!T14*(1+Inputs!$B$35/100))/(1/Q2061)))))+((C2062=TRUE)*F2062*IF(AND(Inputs!$B$39&lt;&gt;"pvp",Inputs!$B$44&gt;0),(((R2062-1)*MIN((Skills!T15*(1+Inputs!$B$35/100)),(1/Q2062))+MIN((Skills!T15*(1+Inputs!$B$35/100)),MAX(0,Inputs!$B$44-((R2062-1)*(1/Q2062)))))/Inputs!$B$44),IF(Inputs!$B$39="pvp",MIN((Skills!T15*(1+Inputs!$B$35/100)),15)/15,MIN(1,(Skills!T15*(1+Inputs!$B$35/100))/(1/Q2062)))))+((C2063=TRUE)*F2063*IF(AND(Inputs!$B$39&lt;&gt;"pvp",Inputs!$B$44&gt;0),(((R2063-1)*MIN((Skills!T16*(1+Inputs!$B$35/100)),(1/Q2063))+MIN((Skills!T16*(1+Inputs!$B$35/100)),MAX(0,Inputs!$B$44-((R2063-1)*(1/Q2063)))))/Inputs!$B$44),IF(Inputs!$B$39="pvp",MIN((Skills!T16*(1+Inputs!$B$35/100)),15)/15,MIN(1,(Skills!T16*(1+Inputs!$B$35/100))/(1/Q2063)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2059)</f>
        <v/>
      </c>
      <c r="L2059">
        <f>K2059*(MIN(Inputs!$B$23+((C2069=TRUE)*(F2069-Calc!F22)),(Inputs!$B$24+((C2071=TRUE)*(F2071-Calc!F24))+(IF(ArtifactsInput!$M$15,CHOOSE(ArtifactsInput!$N$15+1,25,30,35,40,45,50)/100*(Inputs!$B$12-Inputs!$B$12),0))))/100+(Inputs!$B$24+((C2071=TRUE)*(F2071-Calc!F24))+(IF(ArtifactsInput!$M$15,CHOOSE(ArtifactsInput!$N$15+1,25,30,35,40,45,50)/100*(Inputs!$B$12-Inputs!$B$12),0)))/100)/2</f>
        <v/>
      </c>
      <c r="M2059">
        <f>L2059*(1+(Inputs!$B$11+0+B2081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059">
        <f>L2059*(1-MIN((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2059*(MIN((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59">
        <f>(1-Summary!$B$11)*T2059+Summary!$B$11*V2059</f>
        <v/>
      </c>
      <c r="P2059">
        <f>IF(B2086=0,0,O2059/B2086)</f>
        <v/>
      </c>
      <c r="Q2059">
        <f>IFERROR(1/IF(Inputs!$B$39="pvp",15,MAX(0.1,Skills!D12-IF(TRUE=TRUE,Inputs!$B$33,0))),0)</f>
        <v/>
      </c>
      <c r="R2059">
        <f>IF(AND(Inputs!$B$39&lt;&gt;"pvp",Inputs!$B$44&gt;0),IF(MAX(0,Inputs!$B$44-B2083)&lt;=0,0,(INT(MAX(0,Inputs!$B$44-B2083)/IF(Inputs!$B$39="pvp",15,MAX(0.1,Skills!D12-IF(TRUE=TRUE,Inputs!$B$33,0))))+1)),0)</f>
        <v/>
      </c>
      <c r="S2059">
        <f>IFERROR(O2059/N2059,0)</f>
        <v/>
      </c>
      <c r="T2059">
        <f>IF(C2059,(H2059*N2059*IF(AND(Inputs!$B$39&lt;&gt;"pvp",Inputs!$B$44&gt;0),((Skills!G12*((R2059-1)*IF(Skills!H12&gt;0,INT(Skills!I12/Skills!H12+0.000000001),1)+IF(Skills!H12&gt;0,INT(MIN(Skills!I12,MAX(0,MAX(0,Inputs!$B$44-B2083)-((R2059-1)*IF(Inputs!$B$39="pvp",15,MAX(0.1,Skills!D12-IF(TRUE=TRUE,Inputs!$B$33,0))))))/Skills!H12+0.000000001),1)))/Inputs!$B$44),G2059*Q2059))*IF(Inputs!$B$39="pvp",1,1+(Inputs!$B$21+0+Skills!P12+((C2064=TRUE)*F2064*IF(AND(Inputs!$B$39&lt;&gt;"pvp",Inputs!$B$44&gt;0),(((R2064-1)*MIN((Skills!T17*(1+Inputs!$B$35/100)),(1/Q2064))+MIN((Skills!T17*(1+Inputs!$B$35/100)),MAX(0,Inputs!$B$44-((R2064-1)*(1/Q2064)))))/Inputs!$B$44),IF(Inputs!$B$39="pvp",MIN((Skills!T17*(1+Inputs!$B$35/100)),15)/15,MIN(1,(Skills!T17*(1+Inputs!$B$35/100))/(1/Q2064)))))+((C2052=TRUE)*IF(Inputs!$B$3&gt;=126,10*MIN(1,15*Q2052),0))+((C2061=TRUE)*IF(Inputs!$B$39="pvp",20,(1-Summary!$B$11)*(20)+Summary!$B$11*(0))*IF(AND(Inputs!$B$39&lt;&gt;"pvp",Inputs!$B$44&gt;0),(((R2061-1)*MIN((Skills!T14*(1+Inputs!$B$35/100)),(1/Q2061))+MIN((Skills!T14*(1+Inputs!$B$35/100)),MAX(0,Inputs!$B$44-((R2061-1)*(1/Q2061)))))/Inputs!$B$44),IF(Inputs!$B$39="pvp",MIN((Skills!T14*(1+Inputs!$B$35/100)),15)/15,MIN(1,(Skills!T14*(1+Inputs!$B$35/100))/(1/Q2061)))))+((C2060=TRUE)*IF(Inputs!$B$3&gt;=82,IF(Inputs!$B$39="pvp",20,(1-Summary!$B$11)*(20)+Summary!$B$11*(0)),0)*IF(AND(Inputs!$B$39&lt;&gt;"pvp",Inputs!$B$44&gt;0),(((R2060-1)*MIN((Skills!T13*(1+Inputs!$B$35/100)),(1/Q2060))+MIN((Skills!T13*(1+Inputs!$B$35/100)),MAX(0,Inputs!$B$44-((R2060-1)*(1/Q2060)))))/Inputs!$B$44),IF(Inputs!$B$39="pvp",MIN((Skills!T13*(1+Inputs!$B$35/100)),15)/15,MIN(1,(Skills!T13*(1+Inputs!$B$35/100))/(1/Q2060)))))+(IF(AND(ArtifactsInput!$M$35,Inputs!$B$4&lt;&gt;"Chapter Hunt"),CHOOSE(ArtifactsInput!$N$35+1,15,18,21,24,27,30)*(1-EXP(-(0.2*B2078)*5)),0)+IF(AND(ArtifactsInput!$M$22,Inputs!$B$4&lt;&gt;"Chapter Hunt"),CHOOSE(ArtifactsInput!$N$22+1,10,12,14,16,18,20)*((0*(((0.15*B2078*5))^0/1)+1*(((0.15*B2078*5))^1/1)+2*(((0.15*B2078*5))^2/2)+3*(((0.15*B2078*5))^3/6)+4*(((0.15*B2078*5))^4/24)+5*(((0.15*B2078*5))^5/120))/((((0.15*B2078*5))^0/1)+(((0.15*B2078*5))^1/1)+(((0.15*B2078*5))^2/2)+(((0.15*B2078*5))^3/6)+(((0.15*B2078*5))^4/24)+(((0.15*B2078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2059*(1-MIN(100,(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2059*(MIN(100,(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2059*(1-MIN(100,(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2059*(MIN(100,(Inputs!$B$10+0+B2076+(ArtifactsInput!$M$24-ArtifactsInput!$M$24)*CHOOSE(ArtifactsInput!$N$24+1,10,12,14,16,18,20)+(IF(AND(Inputs!$B$39&lt;&gt;"pvp",Inputs!$B$44=0),1,IF(IF(Inputs!$B$39="pvp",15,Inputs!$B$44)-(B2083)&lt;=0,1,MAX(0,IF(Inputs!$B$39="pvp",15,Inputs!$B$44)-MAX(5,B2083))/(IF(Inputs!$B$39="pvp",15,Inputs!$B$44)-(B2083))))*IF(AND(ArtifactsInput!$M$42,((Inputs!$B$10+0+B2076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IF(ArtifactsInput!$M$26,FALSE,TRUE),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59">
        <f>IF(C2059,(H2059*N2059*IF(AND(Inputs!$B$39&lt;&gt;"pvp",Inputs!$B$44&gt;0),((Skills!G12*((R2059-1)*IF(Skills!H12&gt;0,INT(Skills!I12/Skills!H12+0.000000001),1)+IF(Skills!H12&gt;0,INT(MIN(Skills!I12,MAX(0,MAX(0,Inputs!$B$44-B2083)-((R2059-1)*IF(Inputs!$B$39="pvp",15,MAX(0.1,Skills!D12-IF(TRUE=TRUE,Inputs!$B$33,0))))))/Skills!H12+0.000000001),1)))/Inputs!$B$44),G2059*Q2059))*IF(Inputs!$B$39="pvp",1,(1+(Inputs!$B$22+Skills!Q12+((C2064=TRUE)*F2064*IF(AND(Inputs!$B$39&lt;&gt;"pvp",Inputs!$B$44&gt;0),(((R2064-1)*MIN((Skills!T17*(1+Inputs!$B$35/100)),(1/Q2064))+MIN((Skills!T17*(1+Inputs!$B$35/100)),MAX(0,Inputs!$B$44-((R2064-1)*(1/Q2064)))))/Inputs!$B$44),IF(Inputs!$B$39="pvp",MIN((Skills!T17*(1+Inputs!$B$35/100)),15)/15,MIN(1,(Skills!T17*(1+Inputs!$B$35/100))/(1/Q2064)))))+((C2052=TRUE)*IF(Inputs!$B$3&gt;=126,10*MIN(1,15*Q2052),0))+((C2061=TRUE)*IF(Inputs!$B$39="pvp",20,(1-Summary!$B$11)*(20)+Summary!$B$11*(0))*IF(AND(Inputs!$B$39&lt;&gt;"pvp",Inputs!$B$44&gt;0),(((R2061-1)*MIN((Skills!T14*(1+Inputs!$B$35/100)),(1/Q2061))+MIN((Skills!T14*(1+Inputs!$B$35/100)),MAX(0,Inputs!$B$44-((R2061-1)*(1/Q2061)))))/Inputs!$B$44),IF(Inputs!$B$39="pvp",MIN((Skills!T14*(1+Inputs!$B$35/100)),15)/15,MIN(1,(Skills!T14*(1+Inputs!$B$35/100))/(1/Q2061)))))+((C2060=TRUE)*IF(Inputs!$B$3&gt;=82,IF(Inputs!$B$39="pvp",20,(1-Summary!$B$11)*(20)+Summary!$B$11*(0)),0)*IF(AND(Inputs!$B$39&lt;&gt;"pvp",Inputs!$B$44&gt;0),(((R2060-1)*MIN((Skills!T13*(1+Inputs!$B$35/100)),(1/Q2060))+MIN((Skills!T13*(1+Inputs!$B$35/100)),MAX(0,Inputs!$B$44-((R2060-1)*(1/Q2060)))))/Inputs!$B$44),IF(Inputs!$B$39="pvp",MIN((Skills!T13*(1+Inputs!$B$35/100)),15)/15,MIN(1,(Skills!T13*(1+Inputs!$B$35/100))/(1/Q2060)))))+(IF(AND(ArtifactsInput!$M$35,Inputs!$B$4&lt;&gt;"Chapter Hunt"),CHOOSE(ArtifactsInput!$N$35+1,15,18,21,24,27,30)*(1-EXP(-(0.2*B2078)*5)),0)+IF(AND(ArtifactsInput!$M$22,Inputs!$B$4&lt;&gt;"Chapter Hunt"),CHOOSE(ArtifactsInput!$N$22+1,10,12,14,16,18,20)*((0*(((0.15*B2078*5))^0/1)+1*(((0.15*B2078*5))^1/1)+2*(((0.15*B2078*5))^2/2)+3*(((0.15*B2078*5))^3/6)+4*(((0.15*B2078*5))^4/24)+5*(((0.15*B2078*5))^5/120))/((((0.15*B2078*5))^0/1)+(((0.15*B2078*5))^1/1)+(((0.15*B2078*5))^2/2)+(((0.15*B2078*5))^3/6)+(((0.15*B2078*5))^4/24)+(((0.15*B2078*5))^5/120))),0))+(IF(ArtifactsInput!$M$33,CHOOSE(ArtifactsInput!$N$33+1,30,36,42,48,54,60),0)))/100)*(MIN(Skills!R12,Inputs!$B$38)))*((1+(IF(AND(ArtifactsInput!$M$41,Inputs!$B$39&lt;&gt;"pvp"),CHOOSE(ArtifactsInput!$N$41+1,5,6,7,8,9,10)*IF(OR(Inputs!$B$4="Weapon Dungeon",Inputs!$B$4="Equipment Dungeon",Inputs!$B$4="Enhancement Dungeon",Inputs!$B$4="EXP Dungeon",Inputs!$B$4="Hero Dungeon"),3,1),0)+IF(IF(ArtifactsInput!$M$26,FALSE,TRUE),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60">
      <c r="A2060">
        <f>Skills!A13</f>
        <v/>
      </c>
      <c r="B2060">
        <f>Skills!B13</f>
        <v/>
      </c>
      <c r="C2060">
        <f>Inputs!$B$3&gt;=69</f>
        <v/>
      </c>
      <c r="D2060">
        <f>IF(Skills!C13=1,60+Inputs!$B$26+Inputs!$B$30,IF(Skills!C13=2,90+Inputs!$B$27+Inputs!$B$30,IF(Skills!C13=3,120+Inputs!$B$28+Inputs!$B$30,MAX(0,(Inputs!$B$3-100)*3)+Inputs!$B$29+Inputs!$B$30)))</f>
        <v/>
      </c>
      <c r="E2060">
        <f>INDEX(FactorTable!$B$2:$Y$301, MATCH(ROUND(MIN(300,MAX(1,D2060)),0), FactorTable!$A$2:$A$301,0), Skills!M13+1)</f>
        <v/>
      </c>
      <c r="F2060">
        <f>IF(Skills!N13=TRUE,(Skills!L13/10)*(E2060/1000),Skills!L13/10)+Skills!O13</f>
        <v/>
      </c>
      <c r="G2060">
        <f>Skills!G13*IF(Skills!H13&gt;0,INT(IF(Inputs!$B$39="pvp",MIN(Skills!I13,15),Skills!I13)/Skills!H13+0.000000001),1)</f>
        <v/>
      </c>
      <c r="H2060">
        <f>1-(1-Skills!J13/100)^Skills!K13</f>
        <v/>
      </c>
      <c r="I2060" t="inlineStr">
        <is>
          <t>1</t>
        </is>
      </c>
      <c r="J2060" t="inlineStr"/>
      <c r="K2060" t="inlineStr"/>
      <c r="L2060" t="inlineStr"/>
      <c r="M2060" t="inlineStr"/>
      <c r="N2060" t="inlineStr"/>
      <c r="O2060">
        <f>(1-Summary!$B$11)*T2060+Summary!$B$11*V2060</f>
        <v/>
      </c>
      <c r="P2060">
        <f>IF(B2086=0,0,O2060/B2086)</f>
        <v/>
      </c>
      <c r="Q2060">
        <f>IFERROR(1/IF(Inputs!$B$39="pvp",15,MAX(0.1,Skills!D13-IF(TRUE=TRUE,Inputs!$B$33,0))),0)</f>
        <v/>
      </c>
      <c r="R2060">
        <f>IF(AND(Inputs!$B$39&lt;&gt;"pvp",Inputs!$B$44&gt;0),IF(Inputs!$B$44&lt;=0,0,(INT(Inputs!$B$44/IF(Inputs!$B$39="pvp",15,MAX(0.1,Skills!D13-IF(TRUE=TRUE,Inputs!$B$33,0))))+1)),0)</f>
        <v/>
      </c>
      <c r="S2060">
        <f>IFERROR(O2060/N2060,0)</f>
        <v/>
      </c>
      <c r="T2060" t="n">
        <v>0</v>
      </c>
      <c r="V2060" t="n">
        <v>0</v>
      </c>
    </row>
    <row r="2061">
      <c r="A2061">
        <f>Skills!A14</f>
        <v/>
      </c>
      <c r="B2061">
        <f>Skills!B14</f>
        <v/>
      </c>
      <c r="C2061">
        <f>Inputs!$B$3&gt;=115</f>
        <v/>
      </c>
      <c r="D2061">
        <f>IF(Skills!C14=1,60+Inputs!$B$26+Inputs!$B$30,IF(Skills!C14=2,90+Inputs!$B$27+Inputs!$B$30,IF(Skills!C14=3,120+Inputs!$B$28+Inputs!$B$30,MAX(0,(Inputs!$B$3-100)*3)+Inputs!$B$29+Inputs!$B$30)))</f>
        <v/>
      </c>
      <c r="E2061">
        <f>INDEX(FactorTable!$B$2:$Y$301, MATCH(ROUND(MIN(300,MAX(1,D2061)),0), FactorTable!$A$2:$A$301,0), Skills!M14+1)</f>
        <v/>
      </c>
      <c r="F2061">
        <f>IF(Skills!N14=TRUE,(Skills!L14/10)*(E2061/1000),Skills!L14/10)+Skills!O14</f>
        <v/>
      </c>
      <c r="G2061">
        <f>Skills!G14*IF(Skills!H14&gt;0,INT(IF(Inputs!$B$39="pvp",MIN(Skills!I14,15),Skills!I14)/Skills!H14+0.000000001),1)</f>
        <v/>
      </c>
      <c r="H2061">
        <f>1-(1-Skills!J14/100)^Skills!K14</f>
        <v/>
      </c>
      <c r="I2061" t="inlineStr">
        <is>
          <t>1</t>
        </is>
      </c>
      <c r="J2061" t="inlineStr"/>
      <c r="K2061" t="inlineStr"/>
      <c r="L2061" t="inlineStr"/>
      <c r="M2061" t="inlineStr"/>
      <c r="N2061" t="inlineStr"/>
      <c r="O2061">
        <f>(1-Summary!$B$11)*T2061+Summary!$B$11*V2061</f>
        <v/>
      </c>
      <c r="P2061">
        <f>IF(B2086=0,0,O2061/B2086)</f>
        <v/>
      </c>
      <c r="Q2061">
        <f>IFERROR(1/IF(Inputs!$B$39="pvp",15,MAX(0.1,Skills!D14-IF(TRUE=TRUE,Inputs!$B$33,0))),0)</f>
        <v/>
      </c>
      <c r="R2061">
        <f>IF(AND(Inputs!$B$39&lt;&gt;"pvp",Inputs!$B$44&gt;0),IF(Inputs!$B$44&lt;=0,0,(INT(Inputs!$B$44/IF(Inputs!$B$39="pvp",15,MAX(0.1,Skills!D14-IF(TRUE=TRUE,Inputs!$B$33,0))))+1)),0)</f>
        <v/>
      </c>
      <c r="S2061">
        <f>IFERROR(O2061/N2061,0)</f>
        <v/>
      </c>
      <c r="T2061" t="n">
        <v>0</v>
      </c>
      <c r="V2061" t="n">
        <v>0</v>
      </c>
    </row>
    <row r="2062">
      <c r="A2062">
        <f>Skills!A15</f>
        <v/>
      </c>
      <c r="B2062">
        <f>Skills!B15</f>
        <v/>
      </c>
      <c r="C2062">
        <f>Inputs!$B$3&gt;=66</f>
        <v/>
      </c>
      <c r="D2062">
        <f>IF(Skills!C15=1,60+Inputs!$B$26+Inputs!$B$30,IF(Skills!C15=2,90+Inputs!$B$27+Inputs!$B$30,IF(Skills!C15=3,120+Inputs!$B$28+Inputs!$B$30,MAX(0,(Inputs!$B$3-100)*3)+Inputs!$B$29+Inputs!$B$30)))</f>
        <v/>
      </c>
      <c r="E2062">
        <f>INDEX(FactorTable!$B$2:$Y$301, MATCH(ROUND(MIN(300,MAX(1,D2062)),0), FactorTable!$A$2:$A$301,0), Skills!M15+1)</f>
        <v/>
      </c>
      <c r="F2062">
        <f>IF(Skills!N15=TRUE,(Skills!L15/10)*(E2062/1000),Skills!L15/10)+Skills!O15</f>
        <v/>
      </c>
      <c r="G2062">
        <f>Skills!G15*IF(Skills!H15&gt;0,INT(IF(Inputs!$B$39="pvp",MIN(Skills!I15,15),Skills!I15)/Skills!H15+0.000000001),1)</f>
        <v/>
      </c>
      <c r="H2062">
        <f>1-(1-Skills!J15/100)^Skills!K15</f>
        <v/>
      </c>
      <c r="I2062" t="inlineStr">
        <is>
          <t>1</t>
        </is>
      </c>
      <c r="J2062" t="inlineStr"/>
      <c r="K2062" t="inlineStr"/>
      <c r="L2062" t="inlineStr"/>
      <c r="M2062" t="inlineStr"/>
      <c r="N2062" t="inlineStr"/>
      <c r="O2062">
        <f>(1-Summary!$B$11)*T2062+Summary!$B$11*V2062</f>
        <v/>
      </c>
      <c r="P2062">
        <f>IF(B2086=0,0,O2062/B2086)</f>
        <v/>
      </c>
      <c r="Q2062">
        <f>IFERROR(1/IF(Inputs!$B$39="pvp",15,MAX(0.1,Skills!D15-IF(TRUE=TRUE,Inputs!$B$33,0))),0)</f>
        <v/>
      </c>
      <c r="R2062">
        <f>IF(AND(Inputs!$B$39&lt;&gt;"pvp",Inputs!$B$44&gt;0),IF(Inputs!$B$44&lt;=0,0,(INT(Inputs!$B$44/IF(Inputs!$B$39="pvp",15,MAX(0.1,Skills!D15-IF(TRUE=TRUE,Inputs!$B$33,0))))+1)),0)</f>
        <v/>
      </c>
      <c r="S2062">
        <f>IFERROR(O2062/N2062,0)</f>
        <v/>
      </c>
      <c r="T2062" t="n">
        <v>0</v>
      </c>
      <c r="V2062" t="n">
        <v>0</v>
      </c>
    </row>
    <row r="2063">
      <c r="A2063">
        <f>Skills!A16</f>
        <v/>
      </c>
      <c r="B2063">
        <f>Skills!B16</f>
        <v/>
      </c>
      <c r="C2063">
        <f>Inputs!$B$3&gt;=45</f>
        <v/>
      </c>
      <c r="D2063">
        <f>IF(Skills!C16=1,60+Inputs!$B$26+Inputs!$B$30,IF(Skills!C16=2,90+Inputs!$B$27+Inputs!$B$30,IF(Skills!C16=3,120+Inputs!$B$28+Inputs!$B$30,MAX(0,(Inputs!$B$3-100)*3)+Inputs!$B$29+Inputs!$B$30)))</f>
        <v/>
      </c>
      <c r="E2063">
        <f>INDEX(FactorTable!$B$2:$Y$301, MATCH(ROUND(MIN(300,MAX(1,D2063)),0), FactorTable!$A$2:$A$301,0), Skills!M16+1)</f>
        <v/>
      </c>
      <c r="F2063">
        <f>IF(Skills!N16=TRUE,(Skills!L16/10)*(E2063/1000),Skills!L16/10)+Skills!O16</f>
        <v/>
      </c>
      <c r="G2063">
        <f>Skills!G16*IF(Skills!H16&gt;0,INT(IF(Inputs!$B$39="pvp",MIN(Skills!I16,15),Skills!I16)/Skills!H16+0.000000001),1)</f>
        <v/>
      </c>
      <c r="H2063">
        <f>1-(1-Skills!J16/100)^Skills!K16</f>
        <v/>
      </c>
      <c r="I2063" t="inlineStr">
        <is>
          <t>1</t>
        </is>
      </c>
      <c r="J2063" t="inlineStr"/>
      <c r="K2063" t="inlineStr"/>
      <c r="L2063" t="inlineStr"/>
      <c r="M2063" t="inlineStr"/>
      <c r="N2063" t="inlineStr"/>
      <c r="O2063">
        <f>(1-Summary!$B$11)*T2063+Summary!$B$11*V2063</f>
        <v/>
      </c>
      <c r="P2063">
        <f>IF(B2086=0,0,O2063/B2086)</f>
        <v/>
      </c>
      <c r="Q2063">
        <f>IFERROR(1/IF(Inputs!$B$39="pvp",15,MAX(0.1,Skills!D16-IF(TRUE=TRUE,Inputs!$B$33,0))),0)</f>
        <v/>
      </c>
      <c r="R2063">
        <f>IF(AND(Inputs!$B$39&lt;&gt;"pvp",Inputs!$B$44&gt;0),IF(Inputs!$B$44&lt;=0,0,(INT(Inputs!$B$44/IF(Inputs!$B$39="pvp",15,MAX(0.1,Skills!D16-IF(TRUE=TRUE,Inputs!$B$33,0))))+1)),0)</f>
        <v/>
      </c>
      <c r="S2063">
        <f>IFERROR(O2063/N2063,0)</f>
        <v/>
      </c>
      <c r="T2063" t="n">
        <v>0</v>
      </c>
      <c r="V2063" t="n">
        <v>0</v>
      </c>
    </row>
    <row r="2064">
      <c r="A2064">
        <f>Skills!A17</f>
        <v/>
      </c>
      <c r="B2064">
        <f>Skills!B17</f>
        <v/>
      </c>
      <c r="C2064">
        <f>Inputs!$B$3&gt;=35</f>
        <v/>
      </c>
      <c r="D2064">
        <f>IF(Skills!C17=1,60+Inputs!$B$26+Inputs!$B$30,IF(Skills!C17=2,90+Inputs!$B$27+Inputs!$B$30,IF(Skills!C17=3,120+Inputs!$B$28+Inputs!$B$30,MAX(0,(Inputs!$B$3-100)*3)+Inputs!$B$29+Inputs!$B$30)))</f>
        <v/>
      </c>
      <c r="E2064">
        <f>INDEX(FactorTable!$B$2:$Y$301, MATCH(ROUND(MIN(300,MAX(1,D2064)),0), FactorTable!$A$2:$A$301,0), Skills!M17+1)</f>
        <v/>
      </c>
      <c r="F2064">
        <f>IF(Skills!N17=TRUE,(Skills!L17/10)*(E2064/1000),Skills!L17/10)+Skills!O17</f>
        <v/>
      </c>
      <c r="G2064">
        <f>Skills!G17*IF(Skills!H17&gt;0,INT(IF(Inputs!$B$39="pvp",MIN(Skills!I17,15),Skills!I17)/Skills!H17+0.000000001),1)</f>
        <v/>
      </c>
      <c r="H2064">
        <f>1-(1-Skills!J17/100)^Skills!K17</f>
        <v/>
      </c>
      <c r="I2064" t="inlineStr">
        <is>
          <t>1</t>
        </is>
      </c>
      <c r="J2064" t="inlineStr"/>
      <c r="K2064" t="inlineStr"/>
      <c r="L2064" t="inlineStr"/>
      <c r="M2064" t="inlineStr"/>
      <c r="N2064" t="inlineStr"/>
      <c r="O2064">
        <f>(1-Summary!$B$11)*T2064+Summary!$B$11*V2064</f>
        <v/>
      </c>
      <c r="P2064">
        <f>IF(B2086=0,0,O2064/B2086)</f>
        <v/>
      </c>
      <c r="Q2064">
        <f>IFERROR(1/IF(Inputs!$B$39="pvp",15,MAX(0.1,Skills!D17-IF(TRUE=TRUE,Inputs!$B$33,0))),0)</f>
        <v/>
      </c>
      <c r="R2064">
        <f>IF(AND(Inputs!$B$39&lt;&gt;"pvp",Inputs!$B$44&gt;0),IF(Inputs!$B$44&lt;=0,0,(INT(Inputs!$B$44/IF(Inputs!$B$39="pvp",15,MAX(0.1,Skills!D17-IF(TRUE=TRUE,Inputs!$B$33,0))))+1)),0)</f>
        <v/>
      </c>
      <c r="S2064">
        <f>IFERROR(O2064/N2064,0)</f>
        <v/>
      </c>
      <c r="T2064" t="n">
        <v>0</v>
      </c>
      <c r="V2064" t="n">
        <v>0</v>
      </c>
    </row>
    <row r="2065">
      <c r="A2065">
        <f>Skills!A18</f>
        <v/>
      </c>
      <c r="B2065">
        <f>Skills!B18</f>
        <v/>
      </c>
      <c r="C2065">
        <f>Inputs!$B$3&gt;=72</f>
        <v/>
      </c>
      <c r="D2065">
        <f>IF(Skills!C18=1,60+Inputs!$B$26+Inputs!$B$30,IF(Skills!C18=2,90+Inputs!$B$27+Inputs!$B$30,IF(Skills!C18=3,120+Inputs!$B$28+Inputs!$B$30,MAX(0,(Inputs!$B$3-100)*3)+Inputs!$B$29+Inputs!$B$30)))</f>
        <v/>
      </c>
      <c r="E2065">
        <f>INDEX(FactorTable!$B$2:$Y$301, MATCH(ROUND(MIN(300,MAX(1,D2065)),0), FactorTable!$A$2:$A$301,0), Skills!M18+1)</f>
        <v/>
      </c>
      <c r="F2065">
        <f>IF(Skills!N18=TRUE,(Skills!L18/10)*(E2065/1000),Skills!L18/10)+Skills!O18</f>
        <v/>
      </c>
      <c r="G2065">
        <f>Skills!G18*IF(Skills!H18&gt;0,INT(IF(Inputs!$B$39="pvp",MIN(Skills!I18,15),Skills!I18)/Skills!H18+0.000000001),1)</f>
        <v/>
      </c>
      <c r="H2065">
        <f>1-(1-Skills!J18/100)^Skills!K18</f>
        <v/>
      </c>
      <c r="I2065" t="inlineStr">
        <is>
          <t>1</t>
        </is>
      </c>
      <c r="J2065" t="inlineStr"/>
      <c r="K2065" t="inlineStr"/>
      <c r="L2065" t="inlineStr"/>
      <c r="M2065" t="inlineStr"/>
      <c r="N2065" t="inlineStr"/>
      <c r="O2065">
        <f>(1-Summary!$B$11)*T2065+Summary!$B$11*V2065</f>
        <v/>
      </c>
      <c r="P2065">
        <f>IF(B2086=0,0,O2065/B2086)</f>
        <v/>
      </c>
      <c r="Q2065">
        <f>IFERROR(1/IF(Inputs!$B$39="pvp",15,MAX(0.1,Skills!D18-IF(TRUE=TRUE,Inputs!$B$33,0))),0)</f>
        <v/>
      </c>
      <c r="R2065">
        <f>IF(AND(Inputs!$B$39&lt;&gt;"pvp",Inputs!$B$44&gt;0),IF(Inputs!$B$44&lt;=0,0,(INT(Inputs!$B$44/IF(Inputs!$B$39="pvp",15,MAX(0.1,Skills!D18-IF(TRUE=TRUE,Inputs!$B$33,0))))+1)),0)</f>
        <v/>
      </c>
      <c r="S2065">
        <f>IFERROR(O2065/N2065,0)</f>
        <v/>
      </c>
      <c r="T2065" t="n">
        <v>0</v>
      </c>
      <c r="V2065" t="n">
        <v>0</v>
      </c>
    </row>
    <row r="2066">
      <c r="A2066">
        <f>Skills!A19</f>
        <v/>
      </c>
      <c r="B2066">
        <f>Skills!B19</f>
        <v/>
      </c>
      <c r="C2066">
        <f>Inputs!$B$3&gt;=72</f>
        <v/>
      </c>
      <c r="D2066">
        <f>IF(Skills!C19=1,60+Inputs!$B$26+Inputs!$B$30,IF(Skills!C19=2,90+Inputs!$B$27+Inputs!$B$30,IF(Skills!C19=3,120+Inputs!$B$28+Inputs!$B$30,MAX(0,(Inputs!$B$3-100)*3)+Inputs!$B$29+Inputs!$B$30)))</f>
        <v/>
      </c>
      <c r="E2066">
        <f>INDEX(FactorTable!$B$2:$Y$301, MATCH(ROUND(MIN(300,MAX(1,D2066)),0), FactorTable!$A$2:$A$301,0), Skills!M19+1)</f>
        <v/>
      </c>
      <c r="F2066">
        <f>IF(Skills!N19=TRUE,(Skills!L19/10)*(E2066/1000),Skills!L19/10)+Skills!O19</f>
        <v/>
      </c>
      <c r="G2066">
        <f>Skills!G19*IF(Skills!H19&gt;0,INT(IF(Inputs!$B$39="pvp",MIN(Skills!I19,15),Skills!I19)/Skills!H19+0.000000001),1)</f>
        <v/>
      </c>
      <c r="H2066">
        <f>1-(1-Skills!J19/100)^Skills!K19</f>
        <v/>
      </c>
      <c r="I2066" t="inlineStr">
        <is>
          <t>1</t>
        </is>
      </c>
      <c r="J2066" t="inlineStr"/>
      <c r="K2066" t="inlineStr"/>
      <c r="L2066" t="inlineStr"/>
      <c r="M2066" t="inlineStr"/>
      <c r="N2066" t="inlineStr"/>
      <c r="O2066">
        <f>(1-Summary!$B$11)*T2066+Summary!$B$11*V2066</f>
        <v/>
      </c>
      <c r="P2066">
        <f>IF(B2086=0,0,O2066/B2086)</f>
        <v/>
      </c>
      <c r="Q2066">
        <f>IFERROR(1/IF(Inputs!$B$39="pvp",15,MAX(0.1,Skills!D19-IF(TRUE=TRUE,Inputs!$B$33,0))),0)</f>
        <v/>
      </c>
      <c r="R2066">
        <f>IF(AND(Inputs!$B$39&lt;&gt;"pvp",Inputs!$B$44&gt;0),IF(Inputs!$B$44&lt;=0,0,(INT(Inputs!$B$44/IF(Inputs!$B$39="pvp",15,MAX(0.1,Skills!D19-IF(TRUE=TRUE,Inputs!$B$33,0))))+1)),0)</f>
        <v/>
      </c>
      <c r="S2066">
        <f>IFERROR(O2066/N2066,0)</f>
        <v/>
      </c>
      <c r="T2066" t="n">
        <v>0</v>
      </c>
      <c r="V2066" t="n">
        <v>0</v>
      </c>
    </row>
    <row r="2067">
      <c r="A2067">
        <f>Skills!A20</f>
        <v/>
      </c>
      <c r="B2067">
        <f>Skills!B20</f>
        <v/>
      </c>
      <c r="C2067">
        <f>TRUE</f>
        <v/>
      </c>
      <c r="D2067">
        <f>IF(Skills!C20=1,60+Inputs!$B$26+Inputs!$B$30,IF(Skills!C20=2,90+Inputs!$B$27+Inputs!$B$30,IF(Skills!C20=3,120+Inputs!$B$28+Inputs!$B$30,MAX(0,(Inputs!$B$3-100)*3)+Inputs!$B$29+Inputs!$B$30)))</f>
        <v/>
      </c>
      <c r="E2067">
        <f>INDEX(FactorTable!$B$2:$Y$301, MATCH(ROUND(MIN(300,MAX(1,D2067)),0), FactorTable!$A$2:$A$301,0), Skills!M20+1)</f>
        <v/>
      </c>
      <c r="F2067">
        <f>IF(Skills!N20=TRUE,(Skills!L20/10)*(E2067/1000),Skills!L20/10)+Skills!O20</f>
        <v/>
      </c>
      <c r="G2067">
        <f>Skills!G20*IF(Skills!H20&gt;0,INT(IF(Inputs!$B$39="pvp",MIN(Skills!I20,15),Skills!I20)/Skills!H20+0.000000001),1)</f>
        <v/>
      </c>
      <c r="H2067">
        <f>1-(1-Skills!J20/100)^Skills!K20</f>
        <v/>
      </c>
      <c r="I2067" t="inlineStr">
        <is>
          <t>1</t>
        </is>
      </c>
      <c r="J2067" t="inlineStr"/>
      <c r="K2067" t="inlineStr"/>
      <c r="L2067" t="inlineStr"/>
      <c r="M2067" t="inlineStr"/>
      <c r="N2067" t="inlineStr"/>
      <c r="O2067">
        <f>(1-Summary!$B$11)*T2067+Summary!$B$11*V2067</f>
        <v/>
      </c>
      <c r="P2067">
        <f>IF(B2086=0,0,O2067/B2086)</f>
        <v/>
      </c>
      <c r="Q2067">
        <f>IFERROR(1/IF(Inputs!$B$39="pvp",15,MAX(0.1,Skills!D20-IF(TRUE=TRUE,Inputs!$B$33,0))),0)</f>
        <v/>
      </c>
      <c r="R2067">
        <f>IF(AND(Inputs!$B$39&lt;&gt;"pvp",Inputs!$B$44&gt;0),IF(Inputs!$B$44&lt;=0,0,(INT(Inputs!$B$44/IF(Inputs!$B$39="pvp",15,MAX(0.1,Skills!D20-IF(TRUE=TRUE,Inputs!$B$33,0))))+1)),0)</f>
        <v/>
      </c>
      <c r="S2067">
        <f>IFERROR(O2067/N2067,0)</f>
        <v/>
      </c>
      <c r="T2067" t="n">
        <v>0</v>
      </c>
      <c r="V2067" t="n">
        <v>0</v>
      </c>
    </row>
    <row r="2068">
      <c r="A2068">
        <f>Skills!A21</f>
        <v/>
      </c>
      <c r="B2068">
        <f>Skills!B21</f>
        <v/>
      </c>
      <c r="C2068">
        <f>Inputs!$B$3&gt;=33</f>
        <v/>
      </c>
      <c r="D2068">
        <f>IF(Skills!C21=1,60+Inputs!$B$26+Inputs!$B$30,IF(Skills!C21=2,90+Inputs!$B$27+Inputs!$B$30,IF(Skills!C21=3,120+Inputs!$B$28+Inputs!$B$30,MAX(0,(Inputs!$B$3-100)*3)+Inputs!$B$29+Inputs!$B$30)))</f>
        <v/>
      </c>
      <c r="E2068">
        <f>INDEX(FactorTable!$B$2:$Y$301, MATCH(ROUND(MIN(300,MAX(1,D2068)),0), FactorTable!$A$2:$A$301,0), Skills!M21+1)</f>
        <v/>
      </c>
      <c r="F2068">
        <f>IF(Skills!N21=TRUE,(Skills!L21/10)*(E2068/1000),Skills!L21/10)+Skills!O21</f>
        <v/>
      </c>
      <c r="G2068">
        <f>Skills!G21*IF(Skills!H21&gt;0,INT(IF(Inputs!$B$39="pvp",MIN(Skills!I21,15),Skills!I21)/Skills!H21+0.000000001),1)</f>
        <v/>
      </c>
      <c r="H2068">
        <f>1-(1-Skills!J21/100)^Skills!K21</f>
        <v/>
      </c>
      <c r="I2068" t="inlineStr">
        <is>
          <t>1</t>
        </is>
      </c>
      <c r="J2068" t="inlineStr"/>
      <c r="K2068" t="inlineStr"/>
      <c r="L2068" t="inlineStr"/>
      <c r="M2068" t="inlineStr"/>
      <c r="N2068" t="inlineStr"/>
      <c r="O2068">
        <f>(1-Summary!$B$11)*T2068+Summary!$B$11*V2068</f>
        <v/>
      </c>
      <c r="P2068">
        <f>IF(B2086=0,0,O2068/B2086)</f>
        <v/>
      </c>
      <c r="Q2068" t="n">
        <v>0</v>
      </c>
      <c r="R2068" t="n">
        <v>0</v>
      </c>
      <c r="S2068">
        <f>IFERROR(O2068/N2068,0)</f>
        <v/>
      </c>
      <c r="T2068" t="n">
        <v>0</v>
      </c>
      <c r="V2068" t="n">
        <v>0</v>
      </c>
    </row>
    <row r="2069">
      <c r="A2069">
        <f>Skills!A22</f>
        <v/>
      </c>
      <c r="B2069">
        <f>Skills!B22</f>
        <v/>
      </c>
      <c r="C2069">
        <f>Inputs!$B$3&gt;=43</f>
        <v/>
      </c>
      <c r="D2069">
        <f>IF(Skills!C22=1,60+Inputs!$B$26+Inputs!$B$30,IF(Skills!C22=2,90+Inputs!$B$27+Inputs!$B$30,IF(Skills!C22=3,120+Inputs!$B$28+Inputs!$B$30,MAX(0,(Inputs!$B$3-100)*3)+Inputs!$B$29+Inputs!$B$30)))</f>
        <v/>
      </c>
      <c r="E2069">
        <f>INDEX(FactorTable!$B$2:$Y$301, MATCH(ROUND(MIN(300,MAX(1,D2069)),0), FactorTable!$A$2:$A$301,0), Skills!M22+1)</f>
        <v/>
      </c>
      <c r="F2069">
        <f>IF(Skills!N22=TRUE,(Skills!L22/10)*(E2069/1000),Skills!L22/10)+Skills!O22</f>
        <v/>
      </c>
      <c r="G2069">
        <f>Skills!G22*IF(Skills!H22&gt;0,INT(IF(Inputs!$B$39="pvp",MIN(Skills!I22,15),Skills!I22)/Skills!H22+0.000000001),1)</f>
        <v/>
      </c>
      <c r="H2069">
        <f>1-(1-Skills!J22/100)^Skills!K22</f>
        <v/>
      </c>
      <c r="I2069" t="inlineStr">
        <is>
          <t>1</t>
        </is>
      </c>
      <c r="J2069" t="inlineStr"/>
      <c r="K2069" t="inlineStr"/>
      <c r="L2069" t="inlineStr"/>
      <c r="M2069" t="inlineStr"/>
      <c r="N2069" t="inlineStr"/>
      <c r="O2069">
        <f>(1-Summary!$B$11)*T2069+Summary!$B$11*V2069</f>
        <v/>
      </c>
      <c r="P2069">
        <f>IF(B2086=0,0,O2069/B2086)</f>
        <v/>
      </c>
      <c r="Q2069" t="n">
        <v>0</v>
      </c>
      <c r="R2069" t="n">
        <v>0</v>
      </c>
      <c r="S2069">
        <f>IFERROR(O2069/N2069,0)</f>
        <v/>
      </c>
      <c r="T2069" t="n">
        <v>0</v>
      </c>
      <c r="V2069" t="n">
        <v>0</v>
      </c>
    </row>
    <row r="2070">
      <c r="A2070">
        <f>Skills!A23</f>
        <v/>
      </c>
      <c r="B2070">
        <f>Skills!B23</f>
        <v/>
      </c>
      <c r="C2070">
        <f>Inputs!$B$3&gt;=120</f>
        <v/>
      </c>
      <c r="D2070">
        <f>IF(Skills!C23=1,60+Inputs!$B$26+Inputs!$B$30,IF(Skills!C23=2,90+Inputs!$B$27+Inputs!$B$30,IF(Skills!C23=3,120+Inputs!$B$28+Inputs!$B$30,MAX(0,(Inputs!$B$3-100)*3)+Inputs!$B$29+Inputs!$B$30)))</f>
        <v/>
      </c>
      <c r="E2070">
        <f>INDEX(FactorTable!$B$2:$Y$301, MATCH(ROUND(MIN(300,MAX(1,D2070)),0), FactorTable!$A$2:$A$301,0), Skills!M23+1)</f>
        <v/>
      </c>
      <c r="F2070">
        <f>IF(Skills!N23=TRUE,(Skills!L23/10)*(E2070/1000),Skills!L23/10)+Skills!O23</f>
        <v/>
      </c>
      <c r="G2070">
        <f>Skills!G23*IF(Skills!H23&gt;0,INT(IF(Inputs!$B$39="pvp",MIN(Skills!I23,15),Skills!I23)/Skills!H23+0.000000001),1)</f>
        <v/>
      </c>
      <c r="H2070">
        <f>1-(1-Skills!J23/100)^Skills!K23</f>
        <v/>
      </c>
      <c r="I2070" t="inlineStr">
        <is>
          <t>1</t>
        </is>
      </c>
      <c r="J2070" t="inlineStr"/>
      <c r="K2070" t="inlineStr"/>
      <c r="L2070" t="inlineStr"/>
      <c r="M2070" t="inlineStr"/>
      <c r="N2070" t="inlineStr"/>
      <c r="O2070">
        <f>(1-Summary!$B$11)*T2070+Summary!$B$11*V2070</f>
        <v/>
      </c>
      <c r="P2070">
        <f>IF(B2086=0,0,O2070/B2086)</f>
        <v/>
      </c>
      <c r="Q2070" t="n">
        <v>0</v>
      </c>
      <c r="R2070" t="n">
        <v>0</v>
      </c>
      <c r="S2070">
        <f>IFERROR(O2070/N2070,0)</f>
        <v/>
      </c>
      <c r="T2070" t="n">
        <v>0</v>
      </c>
      <c r="V2070" t="n">
        <v>0</v>
      </c>
    </row>
    <row r="2071">
      <c r="A2071">
        <f>Skills!A24</f>
        <v/>
      </c>
      <c r="B2071">
        <f>Skills!B24</f>
        <v/>
      </c>
      <c r="C2071">
        <f>Inputs!$B$3&gt;=120</f>
        <v/>
      </c>
      <c r="D2071">
        <f>IF(Skills!C24=1,60+Inputs!$B$26+Inputs!$B$30,IF(Skills!C24=2,90+Inputs!$B$27+Inputs!$B$30,IF(Skills!C24=3,120+Inputs!$B$28+Inputs!$B$30,MAX(0,(Inputs!$B$3-100)*3)+Inputs!$B$29+Inputs!$B$30)))</f>
        <v/>
      </c>
      <c r="E2071">
        <f>INDEX(FactorTable!$B$2:$Y$301, MATCH(ROUND(MIN(300,MAX(1,D2071)),0), FactorTable!$A$2:$A$301,0), Skills!M24+1)</f>
        <v/>
      </c>
      <c r="F2071">
        <f>IF(Skills!N24=TRUE,(Skills!L24/10)*(E2071/1000),Skills!L24/10)+Skills!O24</f>
        <v/>
      </c>
      <c r="G2071">
        <f>Skills!G24*IF(Skills!H24&gt;0,INT(IF(Inputs!$B$39="pvp",MIN(Skills!I24,15),Skills!I24)/Skills!H24+0.000000001),1)</f>
        <v/>
      </c>
      <c r="H2071">
        <f>1-(1-Skills!J24/100)^Skills!K24</f>
        <v/>
      </c>
      <c r="I2071" t="inlineStr">
        <is>
          <t>1</t>
        </is>
      </c>
      <c r="J2071" t="inlineStr"/>
      <c r="K2071" t="inlineStr"/>
      <c r="L2071" t="inlineStr"/>
      <c r="M2071" t="inlineStr"/>
      <c r="N2071" t="inlineStr"/>
      <c r="O2071">
        <f>(1-Summary!$B$11)*T2071+Summary!$B$11*V2071</f>
        <v/>
      </c>
      <c r="P2071">
        <f>IF(B2086=0,0,O2071/B2086)</f>
        <v/>
      </c>
      <c r="Q2071" t="n">
        <v>0</v>
      </c>
      <c r="R2071" t="n">
        <v>0</v>
      </c>
      <c r="S2071">
        <f>IFERROR(O2071/N2071,0)</f>
        <v/>
      </c>
      <c r="T2071" t="n">
        <v>0</v>
      </c>
      <c r="V2071" t="n">
        <v>0</v>
      </c>
    </row>
    <row r="2072">
      <c r="A2072">
        <f>Skills!A25</f>
        <v/>
      </c>
      <c r="B2072">
        <f>Skills!B25</f>
        <v/>
      </c>
      <c r="C2072">
        <f>Inputs!$B$3&gt;=125</f>
        <v/>
      </c>
      <c r="D2072">
        <f>IF(Skills!C25=1,60+Inputs!$B$26+Inputs!$B$30,IF(Skills!C25=2,90+Inputs!$B$27+Inputs!$B$30,IF(Skills!C25=3,120+Inputs!$B$28+Inputs!$B$30,MAX(0,(Inputs!$B$3-100)*3)+Inputs!$B$29+Inputs!$B$30)))</f>
        <v/>
      </c>
      <c r="E2072">
        <f>INDEX(FactorTable!$B$2:$Y$301, MATCH(ROUND(MIN(300,MAX(1,D2072)),0), FactorTable!$A$2:$A$301,0), Skills!M25+1)</f>
        <v/>
      </c>
      <c r="F2072">
        <f>IF(Skills!N25=TRUE,(Skills!L25/10)*(E2072/1000),Skills!L25/10)+Skills!O25</f>
        <v/>
      </c>
      <c r="G2072">
        <f>Skills!G25*IF(Skills!H25&gt;0,INT(IF(Inputs!$B$39="pvp",MIN(Skills!I25,15),Skills!I25)/Skills!H25+0.000000001),1)</f>
        <v/>
      </c>
      <c r="H2072">
        <f>1-(1-Skills!J25/100)^Skills!K25</f>
        <v/>
      </c>
      <c r="I2072" t="inlineStr">
        <is>
          <t>1</t>
        </is>
      </c>
      <c r="J2072" t="inlineStr"/>
      <c r="K2072" t="inlineStr"/>
      <c r="L2072" t="inlineStr"/>
      <c r="M2072" t="inlineStr"/>
      <c r="N2072" t="inlineStr"/>
      <c r="O2072">
        <f>(1-Summary!$B$11)*T2072+Summary!$B$11*V2072</f>
        <v/>
      </c>
      <c r="P2072">
        <f>IF(B2086=0,0,O2072/B2086)</f>
        <v/>
      </c>
      <c r="Q2072" t="n">
        <v>0</v>
      </c>
      <c r="R2072" t="n">
        <v>0</v>
      </c>
      <c r="S2072">
        <f>IFERROR(O2072/N2072,0)</f>
        <v/>
      </c>
      <c r="T2072" t="n">
        <v>0</v>
      </c>
      <c r="V2072" t="n">
        <v>0</v>
      </c>
    </row>
    <row r="2073">
      <c r="A2073">
        <f>Skills!A26</f>
        <v/>
      </c>
      <c r="B2073">
        <f>Skills!B26</f>
        <v/>
      </c>
      <c r="C2073">
        <f>Inputs!$B$3&gt;=107</f>
        <v/>
      </c>
      <c r="D2073">
        <f>IF(Skills!C26=1,60+Inputs!$B$26+Inputs!$B$30,IF(Skills!C26=2,90+Inputs!$B$27+Inputs!$B$30,IF(Skills!C26=3,120+Inputs!$B$28+Inputs!$B$30,MAX(0,(Inputs!$B$3-100)*3)+Inputs!$B$29+Inputs!$B$30)))</f>
        <v/>
      </c>
      <c r="E2073">
        <f>INDEX(FactorTable!$B$2:$Y$301, MATCH(ROUND(MIN(300,MAX(1,D2073)),0), FactorTable!$A$2:$A$301,0), Skills!M26+1)</f>
        <v/>
      </c>
      <c r="F2073">
        <f>IF(Skills!N26=TRUE,(Skills!L26/10)*(E2073/1000),Skills!L26/10)+Skills!O26</f>
        <v/>
      </c>
      <c r="G2073">
        <f>Skills!G26*IF(Skills!H26&gt;0,INT(IF(Inputs!$B$39="pvp",MIN(Skills!I26,15),Skills!I26)/Skills!H26+0.000000001),1)</f>
        <v/>
      </c>
      <c r="H2073">
        <f>1-(1-Skills!J26/100)^Skills!K26</f>
        <v/>
      </c>
      <c r="I2073" t="inlineStr">
        <is>
          <t>1</t>
        </is>
      </c>
      <c r="J2073" t="inlineStr"/>
      <c r="K2073" t="inlineStr"/>
      <c r="L2073" t="inlineStr"/>
      <c r="M2073" t="inlineStr"/>
      <c r="N2073" t="inlineStr"/>
      <c r="O2073">
        <f>(1-Summary!$B$11)*T2073+Summary!$B$11*V2073</f>
        <v/>
      </c>
      <c r="P2073">
        <f>IF(B2086=0,0,O2073/B2086)</f>
        <v/>
      </c>
      <c r="Q2073" t="n">
        <v>0</v>
      </c>
      <c r="R2073" t="n">
        <v>0</v>
      </c>
      <c r="S2073">
        <f>IFERROR(O2073/N2073,0)</f>
        <v/>
      </c>
      <c r="T2073" t="n">
        <v>0</v>
      </c>
      <c r="V2073" t="n">
        <v>0</v>
      </c>
    </row>
    <row r="2075">
      <c r="A2075" t="inlineStr">
        <is>
          <t>Attack% Bucket Multiplier</t>
        </is>
      </c>
      <c r="B2075">
        <f>(1+(((C2060=TRUE)*F2060*IF(AND(Inputs!$B$39&lt;&gt;"pvp",Inputs!$B$44&gt;0),(((R2060-1)*MIN((Skills!T13*(1+Inputs!$B$35/100)),(1/Q2060))+MIN((Skills!T13*(1+Inputs!$B$35/100)),MAX(0,Inputs!$B$44-((R2060-1)*(1/Q2060)))))/Inputs!$B$44),IF(Inputs!$B$39="pvp",MIN((Skills!T13*(1+Inputs!$B$35/100)),15)/15,MIN(1,(Skills!T13*(1+Inputs!$B$35/100))/(1/Q2060)))))+((C2061=TRUE)*F2061*IF(AND(Inputs!$B$39&lt;&gt;"pvp",Inputs!$B$44&gt;0),(((R2061-1)*MIN((Skills!T14*(1+Inputs!$B$35/100)),(1/Q2061))+MIN((Skills!T14*(1+Inputs!$B$35/100)),MAX(0,Inputs!$B$44-((R2061-1)*(1/Q2061)))))/Inputs!$B$44),IF(Inputs!$B$39="pvp",MIN((Skills!T14*(1+Inputs!$B$35/100)),15)/15,MIN(1,(Skills!T14*(1+Inputs!$B$35/100))/(1/Q2061)))))+((C2062=TRUE)*F2062*IF(AND(Inputs!$B$39&lt;&gt;"pvp",Inputs!$B$44&gt;0),(((R2062-1)*MIN((Skills!T15*(1+Inputs!$B$35/100)),(1/Q2062))+MIN((Skills!T15*(1+Inputs!$B$35/100)),MAX(0,Inputs!$B$44-((R2062-1)*(1/Q2062)))))/Inputs!$B$44),IF(Inputs!$B$39="pvp",MIN((Skills!T15*(1+Inputs!$B$35/100)),15)/15,MIN(1,(Skills!T15*(1+Inputs!$B$35/100))/(1/Q2062)))))+((C2063=TRUE)*F2063*IF(AND(Inputs!$B$39&lt;&gt;"pvp",Inputs!$B$44&gt;0),(((R2063-1)*MIN((Skills!T16*(1+Inputs!$B$35/100)),(1/Q2063))+MIN((Skills!T16*(1+Inputs!$B$35/100)),MAX(0,Inputs!$B$44-((R2063-1)*(1/Q2063)))))/Inputs!$B$44),IF(Inputs!$B$39="pvp",MIN((Skills!T16*(1+Inputs!$B$35/100)),15)/15,MIN(1,(Skills!T16*(1+Inputs!$B$35/100))/(1/Q2063)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2076">
      <c r="A2076" t="inlineStr">
        <is>
          <t>Global Crit Rate Bonus % (Lord of Darkness)</t>
        </is>
      </c>
      <c r="B2076">
        <f>((C2065=TRUE)*F2065*(Skills!J18/100)*IF(AND(Inputs!$B$39&lt;&gt;"pvp",Inputs!$B$44&gt;0),(((R2065-1)*MIN((Skills!T18*(1+Inputs!$B$35/100)),(1/Q2065))+MIN((Skills!T18*(1+Inputs!$B$35/100)),MAX(0,Inputs!$B$44-((R2065-1)*(1/Q2065)))))/Inputs!$B$44),IF(Inputs!$B$39="pvp",MIN((Skills!T18*(1+Inputs!$B$35/100)),15)/15,MIN(1,(Skills!T18*(1+Inputs!$B$35/100))/(1/Q2065)))))</f>
        <v/>
      </c>
    </row>
    <row r="2077">
      <c r="A2077" t="inlineStr">
        <is>
          <t>Attack Speed Buff Bonus %</t>
        </is>
      </c>
      <c r="B2077">
        <f>((C2067=TRUE)*F2067*IF(AND(Inputs!$B$39&lt;&gt;"pvp",Inputs!$B$44&gt;0),(((R2067-1)*MIN((Skills!T20*(1+Inputs!$B$35/100)),(1/Q2067))+MIN((Skills!T20*(1+Inputs!$B$35/100)),MAX(0,Inputs!$B$44-((R2067-1)*(1/Q2067)))))/Inputs!$B$44),IF(Inputs!$B$39="pvp",MIN((Skills!T20*(1+Inputs!$B$35/100)),15)/15,MIN(1,(Skills!T20*(1+Inputs!$B$35/100))/(1/Q2067)))))</f>
        <v/>
      </c>
    </row>
    <row r="2078">
      <c r="A2078" t="inlineStr">
        <is>
          <t>Actions Per Second</t>
        </is>
      </c>
      <c r="B2078">
        <f>1+MIN(150,150*(1-(1-(Inputs!$B$12+((C2068=TRUE)*(F2068-Calc!F21)))/150)*(1-B2077/150)))/100</f>
        <v/>
      </c>
    </row>
    <row r="2079">
      <c r="A2079" t="inlineStr">
        <is>
          <t>Skill + Buff Cast Rate</t>
        </is>
      </c>
      <c r="B2079">
        <f>IF(AND(Inputs!$B$39&lt;&gt;"pvp",Inputs!$B$44&gt;0),SUMPRODUCT((Skills!E2:E26=TRUE)*(C2049:C2073=TRUE)*R2049:R2073*Skills!F2:F26)/Inputs!$B$44,SUMPRODUCT((Skills!E2:E26=TRUE)*(C2049:C2073=TRUE)*Q2049:Q2073*Skills!F2:F26))</f>
        <v/>
      </c>
    </row>
    <row r="2080">
      <c r="A2080" t="inlineStr">
        <is>
          <t>Dark Impale Casts Per Second</t>
        </is>
      </c>
      <c r="B2080">
        <f>MAX(0,B2078-B2079)</f>
        <v/>
      </c>
    </row>
    <row r="2081">
      <c r="A2081" t="inlineStr">
        <is>
          <t>Global Critical Damage Bonus % (Lord of Darkness)</t>
        </is>
      </c>
      <c r="B2081">
        <f>((C2066=TRUE)*F2066*(Skills!J19/100)*IF(AND(Inputs!$B$39&lt;&gt;"pvp",Inputs!$B$44&gt;0),(((R2066-1)*MIN((Skills!T19*(1+Inputs!$B$35/100)),(1/Q2066))+MIN((Skills!T19*(1+Inputs!$B$35/100)),MAX(0,Inputs!$B$44-((R2066-1)*(1/Q2066)))))/Inputs!$B$44),IF(Inputs!$B$39="pvp",MIN((Skills!T19*(1+Inputs!$B$35/100)),15)/15,MIN(1,(Skills!T19*(1+Inputs!$B$35/100))/(1/Q2066)))))</f>
        <v/>
      </c>
    </row>
    <row r="2082">
      <c r="A2082" t="inlineStr">
        <is>
          <t>Global Final Damage Bonus % (unused)</t>
        </is>
      </c>
      <c r="B2082" t="n">
        <v>0</v>
      </c>
    </row>
    <row r="2083">
      <c r="A2083" t="inlineStr">
        <is>
          <t>Buff-Casting Startup Delay (s, fixed-duration only)</t>
        </is>
      </c>
      <c r="B2083">
        <f>IF(AND(Inputs!$B$39&lt;&gt;"pvp",Inputs!$B$44&gt;0),SUMPRODUCT((Skills!T2:T26&gt;0)*(Skills!E2:E26=TRUE)*(C2049:C2073=TRUE))/B2078,0)</f>
        <v/>
      </c>
    </row>
    <row r="2084">
      <c r="A2084" t="inlineStr">
        <is>
          <t>Boss-Only Total DPS (this block's swept value)</t>
        </is>
      </c>
      <c r="B2084">
        <f>SUM(T2049:T2073)</f>
        <v/>
      </c>
    </row>
    <row r="2085">
      <c r="A2085" t="inlineStr">
        <is>
          <t>Normal-Only Total DPS (this block's swept value)</t>
        </is>
      </c>
      <c r="B2085">
        <f>SUM(V2049:V2073)</f>
        <v/>
      </c>
    </row>
    <row r="2086">
      <c r="A2086" s="6" t="inlineStr">
        <is>
          <t>TOTAL DPS</t>
        </is>
      </c>
      <c r="B2086" s="6">
        <f>SUM(O2049:O2073)</f>
        <v/>
      </c>
    </row>
    <row r="2089">
      <c r="A2089" s="6" t="inlineStr">
        <is>
          <t>Stat: Soul Contract (Equip)</t>
        </is>
      </c>
    </row>
    <row r="2090">
      <c r="A2090" s="5" t="inlineStr">
        <is>
          <t>Key</t>
        </is>
      </c>
      <c r="B2090" s="5" t="inlineStr">
        <is>
          <t>Name</t>
        </is>
      </c>
      <c r="C2090" s="5" t="inlineStr">
        <is>
          <t>Unlocked</t>
        </is>
      </c>
      <c r="D2090" s="5" t="inlineStr">
        <is>
          <t>InputLevel</t>
        </is>
      </c>
      <c r="E2090" s="5" t="inlineStr">
        <is>
          <t>Factor</t>
        </is>
      </c>
      <c r="F2090" s="5" t="inlineStr">
        <is>
          <t>CoefficientPercent</t>
        </is>
      </c>
      <c r="G2090" s="5" t="inlineStr">
        <is>
          <t>EffectiveHits</t>
        </is>
      </c>
      <c r="H2090" s="5" t="inlineStr">
        <is>
          <t>ProcProbability</t>
        </is>
      </c>
      <c r="I2090" s="5" t="inlineStr">
        <is>
          <t>MapleHeroMultiplier</t>
        </is>
      </c>
      <c r="J2090" s="5" t="inlineStr">
        <is>
          <t>BaseDamage</t>
        </is>
      </c>
      <c r="K2090" s="5" t="inlineStr">
        <is>
          <t>BaseHitDamage</t>
        </is>
      </c>
      <c r="L2090" s="5" t="inlineStr">
        <is>
          <t>NonCritAvg</t>
        </is>
      </c>
      <c r="M2090" s="5" t="inlineStr">
        <is>
          <t>CritAvg</t>
        </is>
      </c>
      <c r="N2090" s="5" t="inlineStr">
        <is>
          <t>ExpectedDamage(perHit)</t>
        </is>
      </c>
      <c r="O2090" s="5" t="inlineStr">
        <is>
          <t>DPS</t>
        </is>
      </c>
      <c r="P2090" s="5" t="inlineStr">
        <is>
          <t>% of Total</t>
        </is>
      </c>
      <c r="Q2090" s="5" t="inlineStr">
        <is>
          <t>InvCooldown</t>
        </is>
      </c>
      <c r="R2090" s="5" t="inlineStr">
        <is>
          <t>CastsInFight</t>
        </is>
      </c>
      <c r="S2090" s="5" t="inlineStr">
        <is>
          <t>HitRate(perSec)</t>
        </is>
      </c>
      <c r="U2090" t="inlineStr">
        <is>
          <t>helpers</t>
        </is>
      </c>
    </row>
    <row r="2091">
      <c r="A2091">
        <f>Skills!A2</f>
        <v/>
      </c>
      <c r="B2091">
        <f>Skills!B2</f>
        <v/>
      </c>
      <c r="C2091">
        <f>Inputs!$B$3&gt;=100</f>
        <v/>
      </c>
      <c r="D2091" t="inlineStr"/>
      <c r="E2091" t="inlineStr"/>
      <c r="F2091">
        <f>U2093+Skills!O2</f>
        <v/>
      </c>
      <c r="G2091">
        <f>Skills!G2*IF(Skills!H2&gt;0,INT(IF(Inputs!$B$39="pvp",MIN(Skills!I2,15),Skills!I2)/Skills!H2+0.000000001),1)</f>
        <v/>
      </c>
      <c r="H2091">
        <f>1-(1-Skills!J2/100)^Skills!K2</f>
        <v/>
      </c>
      <c r="I2091" t="inlineStr">
        <is>
          <t>1</t>
        </is>
      </c>
      <c r="J2091">
        <f>((Inputs!$B$6*(1+Inputs!$B$7/100))+(((Inputs!$B$13*(1+Inputs!$B$14/100))-(Inputs!$B$13*(1+Inputs!$B$14/100)))+0.25*(Inputs!$B$15-Inputs!$B$15))*(1+Inputs!$B$7/100))*(F2091/100)</f>
        <v/>
      </c>
      <c r="K2091">
        <f>J2091*(1+(((Inputs!$B$13+IF(Inputs!$B$3&gt;=38,(10*INDEX(FactorTable!$B$2:$Y$301, MATCH(ROUND(MIN(300,MAX(1,Inputs!$B$3)),0), FactorTable!$A$2:$A$301,0), 23)/1000)/100*(Inputs!$B$8*(1+Inputs!$B$9/100)),0))*(1+Inputs!$B$14/100))*0.01+Inputs!$B$15*0.0025)/100)*(1+Inputs!$B$16/100)*(1+Inputs!$B$17/100)*(5000/(6000+Inputs!$B$43*(1-(Inputs!$B$20+0)/100)))*(1+(Inputs!$B$25+((C2114=TRUE)*(F2114-Calc!F25))+((C2115=TRUE)*(F2115-Calc!F26))+B2124)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gt;=100),MIN(100,((Inputs!$B$10+0+B2118+(ArtifactsInput!$M$24-ArtifactsInput!$M$24)*CHOOSE(ArtifactsInput!$N$24+1,10,12,14,16,18,20)+IF(ArtifactsInput!$M$10,CHOOSE(ArtifactsInput!$N$10+1,15,18,21,24,27,30)*(IF(Inputs!$B$39="pvp",MIN(15,15)/15,IF(AND(Inputs!$B$39&lt;&gt;"pvp",Inputs!$B$44&gt;0),MIN(15,Inputs!$B$44)/(Inputs!$B$44),0))),0)))-100),0))*CHOOSE(ArtifactsInput!$N$42+1,0.6,0.72,0.84,0.96,1.08,1.2))),Inputs!$B$19+((C2112=TRUE)*(F2112-Calc!F23))+(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gt;=100),CHOOSE(ArtifactsInput!$N$42+1,40,48,56,64,72,80),0))))/100)*((1+(((C2102=TRUE)*F2102*IF(AND(Inputs!$B$39&lt;&gt;"pvp",Inputs!$B$44&gt;0),(((R2102-1)*MIN((Skills!T13*(1+Inputs!$B$35/100)),(1/Q2102))+MIN((Skills!T13*(1+Inputs!$B$35/100)),MAX(0,Inputs!$B$44-((R2102-1)*(1/Q2102)))))/Inputs!$B$44),IF(Inputs!$B$39="pvp",MIN((Skills!T13*(1+Inputs!$B$35/100)),15)/15,MIN(1,(Skills!T13*(1+Inputs!$B$35/100))/(1/Q2102)))))+((C2103=TRUE)*F2103*IF(AND(Inputs!$B$39&lt;&gt;"pvp",Inputs!$B$44&gt;0),(((R2103-1)*MIN((Skills!T14*(1+Inputs!$B$35/100)),(1/Q2103))+MIN((Skills!T14*(1+Inputs!$B$35/100)),MAX(0,Inputs!$B$44-((R2103-1)*(1/Q2103)))))/Inputs!$B$44),IF(Inputs!$B$39="pvp",MIN((Skills!T14*(1+Inputs!$B$35/100)),15)/15,MIN(1,(Skills!T14*(1+Inputs!$B$35/100))/(1/Q2103)))))+((C2104=TRUE)*F2104*IF(AND(Inputs!$B$39&lt;&gt;"pvp",Inputs!$B$44&gt;0),(((R2104-1)*MIN((Skills!T15*(1+Inputs!$B$35/100)),(1/Q2104))+MIN((Skills!T15*(1+Inputs!$B$35/100)),MAX(0,Inputs!$B$44-((R2104-1)*(1/Q2104)))))/Inputs!$B$44),IF(Inputs!$B$39="pvp",MIN((Skills!T15*(1+Inputs!$B$35/100)),15)/15,MIN(1,(Skills!T15*(1+Inputs!$B$35/100))/(1/Q2104)))))+((C2105=TRUE)*F2105*IF(AND(Inputs!$B$39&lt;&gt;"pvp",Inputs!$B$44&gt;0),(((R2105-1)*MIN((Skills!T16*(1+Inputs!$B$35/100)),(1/Q2105))+MIN((Skills!T16*(1+Inputs!$B$35/100)),MAX(0,Inputs!$B$44-((R2105-1)*(1/Q2105)))))/Inputs!$B$44),IF(Inputs!$B$39="pvp",MIN((Skills!T16*(1+Inputs!$B$35/100)),15)/15,MIN(1,(Skills!T16*(1+Inputs!$B$35/100))/(1/Q2105)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2091)</f>
        <v/>
      </c>
      <c r="L2091">
        <f>K2091*(MIN(Inputs!$B$23+((C2111=TRUE)*(F2111-Calc!F22)),(Inputs!$B$24+((C2113=TRUE)*(F2113-Calc!F24))+(IF(ArtifactsInput!$M$15,CHOOSE(ArtifactsInput!$N$15+1,25,30,35,40,45,50)/100*(Inputs!$B$12-Inputs!$B$12),0))))/100+(Inputs!$B$24+((C2113=TRUE)*(F2113-Calc!F24))+(IF(ArtifactsInput!$M$15,CHOOSE(ArtifactsInput!$N$15+1,25,30,35,40,45,50)/100*(Inputs!$B$12-Inputs!$B$12),0)))/100)/2</f>
        <v/>
      </c>
      <c r="M2091">
        <f>L2091*(1+(Inputs!$B$11+0+B2123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091">
        <f>L2091*(1-MIN((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2091*(MIN((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91">
        <f>(1-Summary!$B$11)*T2091+Summary!$B$11*V2091</f>
        <v/>
      </c>
      <c r="P2091">
        <f>IF(B2128=0,0,O2091/B2128)</f>
        <v/>
      </c>
      <c r="Q2091" t="n">
        <v>0</v>
      </c>
      <c r="R2091" t="n">
        <v>0</v>
      </c>
      <c r="S2091">
        <f>IFERROR(O2091/N2091,0)</f>
        <v/>
      </c>
      <c r="T2091">
        <f>IF(C2091,(Skills!G2*N2091*B2122)*IF(Inputs!$B$39="pvp",1,1+(Inputs!$B$21+0+Skills!P2+((C2106=TRUE)*F2106*IF(AND(Inputs!$B$39&lt;&gt;"pvp",Inputs!$B$44&gt;0),(((R2106-1)*MIN((Skills!T17*(1+Inputs!$B$35/100)),(1/Q2106))+MIN((Skills!T17*(1+Inputs!$B$35/100)),MAX(0,Inputs!$B$44-((R2106-1)*(1/Q2106)))))/Inputs!$B$44),IF(Inputs!$B$39="pvp",MIN((Skills!T17*(1+Inputs!$B$35/100)),15)/15,MIN(1,(Skills!T17*(1+Inputs!$B$35/100))/(1/Q2106)))))+((C2094=TRUE)*IF(Inputs!$B$3&gt;=126,10*MIN(1,15*Q2094),0))+((C2103=TRUE)*IF(Inputs!$B$39="pvp",20,(1-Summary!$B$11)*(20)+Summary!$B$11*(0))*IF(AND(Inputs!$B$39&lt;&gt;"pvp",Inputs!$B$44&gt;0),(((R2103-1)*MIN((Skills!T14*(1+Inputs!$B$35/100)),(1/Q2103))+MIN((Skills!T14*(1+Inputs!$B$35/100)),MAX(0,Inputs!$B$44-((R2103-1)*(1/Q2103)))))/Inputs!$B$44),IF(Inputs!$B$39="pvp",MIN((Skills!T14*(1+Inputs!$B$35/100)),15)/15,MIN(1,(Skills!T14*(1+Inputs!$B$35/100))/(1/Q2103)))))+((C2102=TRUE)*IF(Inputs!$B$3&gt;=82,IF(Inputs!$B$39="pvp",20,(1-Summary!$B$11)*(20)+Summary!$B$11*(0)),0)*IF(AND(Inputs!$B$39&lt;&gt;"pvp",Inputs!$B$44&gt;0),(((R2102-1)*MIN((Skills!T13*(1+Inputs!$B$35/100)),(1/Q2102))+MIN((Skills!T13*(1+Inputs!$B$35/100)),MAX(0,Inputs!$B$44-((R2102-1)*(1/Q2102)))))/Inputs!$B$44),IF(Inputs!$B$39="pvp",MIN((Skills!T13*(1+Inputs!$B$35/100)),15)/15,MIN(1,(Skills!T13*(1+Inputs!$B$35/100))/(1/Q2102)))))+(IF(AND(ArtifactsInput!$M$35,Inputs!$B$4&lt;&gt;"Chapter Hunt"),CHOOSE(ArtifactsInput!$N$35+1,15,18,21,24,27,30)*(1-EXP(-(0.2*B2120)*5)),0)+IF(AND(ArtifactsInput!$M$22,Inputs!$B$4&lt;&gt;"Chapter Hunt"),CHOOSE(ArtifactsInput!$N$22+1,10,12,14,16,18,20)*((0*(((0.15*B2120*5))^0/1)+1*(((0.15*B2120*5))^1/1)+2*(((0.15*B2120*5))^2/2)+3*(((0.15*B2120*5))^3/6)+4*(((0.15*B2120*5))^4/24)+5*(((0.15*B2120*5))^5/120))/((((0.15*B2120*5))^0/1)+(((0.15*B2120*5))^1/1)+(((0.15*B2120*5))^2/2)+(((0.15*B2120*5))^3/6)+(((0.15*B2120*5))^4/24)+(((0.15*B2120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2091*(1-MIN(100,(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2091*(MIN(100,(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2091*(1-MIN(100,(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2091*(MIN(100,(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091">
        <f>MAX(0,(Inputs!$B$3-100)*3)+Inputs!$B$29+Inputs!$B$30</f>
        <v/>
      </c>
      <c r="V2091">
        <f>IF(C2091,(Skills!G2*N2091*B2122)*IF(Inputs!$B$39="pvp",1,(1+(Inputs!$B$22+Skills!Q2+((C2106=TRUE)*F2106*IF(AND(Inputs!$B$39&lt;&gt;"pvp",Inputs!$B$44&gt;0),(((R2106-1)*MIN((Skills!T17*(1+Inputs!$B$35/100)),(1/Q2106))+MIN((Skills!T17*(1+Inputs!$B$35/100)),MAX(0,Inputs!$B$44-((R2106-1)*(1/Q2106)))))/Inputs!$B$44),IF(Inputs!$B$39="pvp",MIN((Skills!T17*(1+Inputs!$B$35/100)),15)/15,MIN(1,(Skills!T17*(1+Inputs!$B$35/100))/(1/Q2106)))))+((C2094=TRUE)*IF(Inputs!$B$3&gt;=126,10*MIN(1,15*Q2094),0))+((C2103=TRUE)*IF(Inputs!$B$39="pvp",20,(1-Summary!$B$11)*(20)+Summary!$B$11*(0))*IF(AND(Inputs!$B$39&lt;&gt;"pvp",Inputs!$B$44&gt;0),(((R2103-1)*MIN((Skills!T14*(1+Inputs!$B$35/100)),(1/Q2103))+MIN((Skills!T14*(1+Inputs!$B$35/100)),MAX(0,Inputs!$B$44-((R2103-1)*(1/Q2103)))))/Inputs!$B$44),IF(Inputs!$B$39="pvp",MIN((Skills!T14*(1+Inputs!$B$35/100)),15)/15,MIN(1,(Skills!T14*(1+Inputs!$B$35/100))/(1/Q2103)))))+((C2102=TRUE)*IF(Inputs!$B$3&gt;=82,IF(Inputs!$B$39="pvp",20,(1-Summary!$B$11)*(20)+Summary!$B$11*(0)),0)*IF(AND(Inputs!$B$39&lt;&gt;"pvp",Inputs!$B$44&gt;0),(((R2102-1)*MIN((Skills!T13*(1+Inputs!$B$35/100)),(1/Q2102))+MIN((Skills!T13*(1+Inputs!$B$35/100)),MAX(0,Inputs!$B$44-((R2102-1)*(1/Q2102)))))/Inputs!$B$44),IF(Inputs!$B$39="pvp",MIN((Skills!T13*(1+Inputs!$B$35/100)),15)/15,MIN(1,(Skills!T13*(1+Inputs!$B$35/100))/(1/Q2102)))))+(IF(AND(ArtifactsInput!$M$35,Inputs!$B$4&lt;&gt;"Chapter Hunt"),CHOOSE(ArtifactsInput!$N$35+1,15,18,21,24,27,30)*(1-EXP(-(0.2*B2120)*5)),0)+IF(AND(ArtifactsInput!$M$22,Inputs!$B$4&lt;&gt;"Chapter Hunt"),CHOOSE(ArtifactsInput!$N$22+1,10,12,14,16,18,20)*((0*(((0.15*B2120*5))^0/1)+1*(((0.15*B2120*5))^1/1)+2*(((0.15*B2120*5))^2/2)+3*(((0.15*B2120*5))^3/6)+4*(((0.15*B2120*5))^4/24)+5*(((0.15*B2120*5))^5/120))/((((0.15*B2120*5))^0/1)+(((0.15*B2120*5))^1/1)+(((0.15*B2120*5))^2/2)+(((0.15*B2120*5))^3/6)+(((0.15*B2120*5))^4/24)+(((0.15*B2120*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92">
      <c r="A2092">
        <f>Skills!A3</f>
        <v/>
      </c>
      <c r="B2092">
        <f>Skills!B3</f>
        <v/>
      </c>
      <c r="C2092">
        <f>Inputs!$B$3&gt;=50</f>
        <v/>
      </c>
      <c r="D2092">
        <f>IF(Skills!C3=1,60+Inputs!$B$26+Inputs!$B$30,IF(Skills!C3=2,90+Inputs!$B$27+Inputs!$B$30,IF(Skills!C3=3,120+Inputs!$B$28+Inputs!$B$30,MAX(0,(Inputs!$B$3-100)*3)+Inputs!$B$29+Inputs!$B$30)))</f>
        <v/>
      </c>
      <c r="E2092">
        <f>INDEX(FactorTable!$B$2:$Y$301, MATCH(ROUND(MIN(300,MAX(1,D2092)),0), FactorTable!$A$2:$A$301,0), Skills!M3+1)</f>
        <v/>
      </c>
      <c r="F2092">
        <f>IF(Skills!N3=TRUE,(Skills!L3/10)*(E2092/1000),Skills!L3/10)+Skills!O3</f>
        <v/>
      </c>
      <c r="G2092" t="inlineStr"/>
      <c r="H2092" t="inlineStr"/>
      <c r="I2092" t="inlineStr">
        <is>
          <t>1</t>
        </is>
      </c>
      <c r="J2092" t="inlineStr"/>
      <c r="K2092" t="inlineStr"/>
      <c r="L2092" t="inlineStr"/>
      <c r="M2092" t="inlineStr"/>
      <c r="N2092" t="inlineStr"/>
      <c r="O2092" t="inlineStr"/>
      <c r="P2092" t="inlineStr"/>
      <c r="Q2092" t="inlineStr"/>
      <c r="R2092" t="inlineStr"/>
      <c r="S2092" t="inlineStr"/>
      <c r="U2092">
        <f>INDEX(FactorTable!$B$2:$Y$301, MATCH(ROUND(MIN(300,MAX(1,U2091)),0), FactorTable!$A$2:$A$301,0), 22)</f>
        <v/>
      </c>
    </row>
    <row r="2093">
      <c r="A2093">
        <f>Skills!A4</f>
        <v/>
      </c>
      <c r="B2093">
        <f>Skills!B4</f>
        <v/>
      </c>
      <c r="C2093">
        <f>Inputs!$B$3&gt;=105</f>
        <v/>
      </c>
      <c r="D2093">
        <f>IF(Skills!C4=1,60+Inputs!$B$26+Inputs!$B$30,IF(Skills!C4=2,90+Inputs!$B$27+Inputs!$B$30,IF(Skills!C4=3,120+Inputs!$B$28+Inputs!$B$30,MAX(0,(Inputs!$B$3-100)*3)+Inputs!$B$29+Inputs!$B$30)))</f>
        <v/>
      </c>
      <c r="E2093">
        <f>INDEX(FactorTable!$B$2:$Y$301, MATCH(ROUND(MIN(300,MAX(1,D2093)),0), FactorTable!$A$2:$A$301,0), Skills!M4+1)</f>
        <v/>
      </c>
      <c r="F2093">
        <f>IF(Skills!N4=TRUE,(Skills!L4/10)*(E2093/1000),Skills!L4/10)+Skills!O4</f>
        <v/>
      </c>
      <c r="G2093" t="inlineStr"/>
      <c r="H2093" t="inlineStr"/>
      <c r="I2093" t="inlineStr">
        <is>
          <t>1</t>
        </is>
      </c>
      <c r="J2093" t="inlineStr"/>
      <c r="K2093" t="inlineStr"/>
      <c r="L2093" t="inlineStr"/>
      <c r="M2093" t="inlineStr"/>
      <c r="N2093" t="inlineStr"/>
      <c r="O2093" t="inlineStr"/>
      <c r="P2093" t="inlineStr"/>
      <c r="Q2093" t="inlineStr"/>
      <c r="R2093" t="inlineStr"/>
      <c r="S2093" t="inlineStr"/>
      <c r="U2093">
        <f>290*U2092/1000</f>
        <v/>
      </c>
    </row>
    <row r="2094">
      <c r="A2094">
        <f>Skills!A5</f>
        <v/>
      </c>
      <c r="B2094">
        <f>Skills!B5</f>
        <v/>
      </c>
      <c r="C2094">
        <f>Inputs!$B$3&gt;=117</f>
        <v/>
      </c>
      <c r="D2094">
        <f>IF(Skills!C5=1,60+Inputs!$B$26+Inputs!$B$30,IF(Skills!C5=2,90+Inputs!$B$27+Inputs!$B$30,IF(Skills!C5=3,120+Inputs!$B$28+Inputs!$B$30,MAX(0,(Inputs!$B$3-100)*3)+Inputs!$B$29+Inputs!$B$30)))</f>
        <v/>
      </c>
      <c r="E2094">
        <f>INDEX(FactorTable!$B$2:$Y$301, MATCH(ROUND(MIN(300,MAX(1,D2094)),0), FactorTable!$A$2:$A$301,0), Skills!M5+1)</f>
        <v/>
      </c>
      <c r="F2094">
        <f>IF(Skills!N5=TRUE,(Skills!L5/10)*(E2094/1000),Skills!L5/10)+Skills!O5</f>
        <v/>
      </c>
      <c r="G2094">
        <f>Skills!G5*IF(Skills!H5&gt;0,INT(IF(Inputs!$B$39="pvp",MIN(Skills!I5,15),Skills!I5)/Skills!H5+0.000000001),1)</f>
        <v/>
      </c>
      <c r="H2094">
        <f>1-(1-Skills!J5/100)^Skills!K5</f>
        <v/>
      </c>
      <c r="I2094" t="inlineStr">
        <is>
          <t>1</t>
        </is>
      </c>
      <c r="J2094">
        <f>((Inputs!$B$6*(1+Inputs!$B$7/100))+(((Inputs!$B$13*(1+Inputs!$B$14/100))-(Inputs!$B$13*(1+Inputs!$B$14/100)))+0.25*(Inputs!$B$15-Inputs!$B$15))*(1+Inputs!$B$7/100))*(F2094/100)</f>
        <v/>
      </c>
      <c r="K2094">
        <f>J2094*(1+(((Inputs!$B$13+IF(Inputs!$B$3&gt;=38,(10*INDEX(FactorTable!$B$2:$Y$301, MATCH(ROUND(MIN(300,MAX(1,Inputs!$B$3)),0), FactorTable!$A$2:$A$301,0), 23)/1000)/100*(Inputs!$B$8*(1+Inputs!$B$9/100)),0))*(1+Inputs!$B$14/100))*0.01+Inputs!$B$15*0.0025)/100)*(1+Inputs!$B$16/100)*(1+Inputs!$B$17/100)*(5000/(6000+Inputs!$B$43*(1-(Inputs!$B$20+0)/100)))*(1+(Inputs!$B$25+((C2114=TRUE)*(F2114-Calc!F25))+((C2115=TRUE)*(F2115-Calc!F26))+B2124)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gt;=100),MIN(100,((Inputs!$B$10+0+B2118+(ArtifactsInput!$M$24-ArtifactsInput!$M$24)*CHOOSE(ArtifactsInput!$N$24+1,10,12,14,16,18,20)+IF(ArtifactsInput!$M$10,CHOOSE(ArtifactsInput!$N$10+1,15,18,21,24,27,30)*(IF(Inputs!$B$39="pvp",MIN(15,15)/15,IF(AND(Inputs!$B$39&lt;&gt;"pvp",Inputs!$B$44&gt;0),MIN(15,Inputs!$B$44)/(Inputs!$B$44),0))),0)))-100),0))*CHOOSE(ArtifactsInput!$N$42+1,0.6,0.72,0.84,0.96,1.08,1.2))),Inputs!$B$19+((C2112=TRUE)*(F2112-Calc!F23))+(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gt;=100),CHOOSE(ArtifactsInput!$N$42+1,40,48,56,64,72,80),0))))/100)*((1+(((C2102=TRUE)*F2102*IF(AND(Inputs!$B$39&lt;&gt;"pvp",Inputs!$B$44&gt;0),(((R2102-1)*MIN((Skills!T13*(1+Inputs!$B$35/100)),(1/Q2102))+MIN((Skills!T13*(1+Inputs!$B$35/100)),MAX(0,Inputs!$B$44-((R2102-1)*(1/Q2102)))))/Inputs!$B$44),IF(Inputs!$B$39="pvp",MIN((Skills!T13*(1+Inputs!$B$35/100)),15)/15,MIN(1,(Skills!T13*(1+Inputs!$B$35/100))/(1/Q2102)))))+((C2103=TRUE)*F2103*IF(AND(Inputs!$B$39&lt;&gt;"pvp",Inputs!$B$44&gt;0),(((R2103-1)*MIN((Skills!T14*(1+Inputs!$B$35/100)),(1/Q2103))+MIN((Skills!T14*(1+Inputs!$B$35/100)),MAX(0,Inputs!$B$44-((R2103-1)*(1/Q2103)))))/Inputs!$B$44),IF(Inputs!$B$39="pvp",MIN((Skills!T14*(1+Inputs!$B$35/100)),15)/15,MIN(1,(Skills!T14*(1+Inputs!$B$35/100))/(1/Q2103)))))+((C2104=TRUE)*F2104*IF(AND(Inputs!$B$39&lt;&gt;"pvp",Inputs!$B$44&gt;0),(((R2104-1)*MIN((Skills!T15*(1+Inputs!$B$35/100)),(1/Q2104))+MIN((Skills!T15*(1+Inputs!$B$35/100)),MAX(0,Inputs!$B$44-((R2104-1)*(1/Q2104)))))/Inputs!$B$44),IF(Inputs!$B$39="pvp",MIN((Skills!T15*(1+Inputs!$B$35/100)),15)/15,MIN(1,(Skills!T15*(1+Inputs!$B$35/100))/(1/Q2104)))))+((C2105=TRUE)*F2105*IF(AND(Inputs!$B$39&lt;&gt;"pvp",Inputs!$B$44&gt;0),(((R2105-1)*MIN((Skills!T16*(1+Inputs!$B$35/100)),(1/Q2105))+MIN((Skills!T16*(1+Inputs!$B$35/100)),MAX(0,Inputs!$B$44-((R2105-1)*(1/Q2105)))))/Inputs!$B$44),IF(Inputs!$B$39="pvp",MIN((Skills!T16*(1+Inputs!$B$35/100)),15)/15,MIN(1,(Skills!T16*(1+Inputs!$B$35/100))/(1/Q2105)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2094)</f>
        <v/>
      </c>
      <c r="L2094">
        <f>K2094*(MIN(Inputs!$B$23+((C2111=TRUE)*(F2111-Calc!F22)),(Inputs!$B$24+((C2113=TRUE)*(F2113-Calc!F24))+(IF(ArtifactsInput!$M$15,CHOOSE(ArtifactsInput!$N$15+1,25,30,35,40,45,50)/100*(Inputs!$B$12-Inputs!$B$12),0))))/100+(Inputs!$B$24+((C2113=TRUE)*(F2113-Calc!F24))+(IF(ArtifactsInput!$M$15,CHOOSE(ArtifactsInput!$N$15+1,25,30,35,40,45,50)/100*(Inputs!$B$12-Inputs!$B$12),0)))/100)/2</f>
        <v/>
      </c>
      <c r="M2094">
        <f>L2094*(1+(Inputs!$B$11+0+B2123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094">
        <f>L2094*(1-MIN((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2094*(MIN((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94">
        <f>(1-Summary!$B$11)*T2094+Summary!$B$11*V2094</f>
        <v/>
      </c>
      <c r="P2094">
        <f>IF(B2128=0,0,O2094/B2128)</f>
        <v/>
      </c>
      <c r="Q2094">
        <f>IFERROR(1/IF(Inputs!$B$39="pvp",15,MAX(0.1,Skills!D5-IF(TRUE=TRUE,Inputs!$B$33,0))),0)</f>
        <v/>
      </c>
      <c r="R2094">
        <f>IF(AND(Inputs!$B$39&lt;&gt;"pvp",Inputs!$B$44&gt;0),IF(MAX(0,Inputs!$B$44-B2125)&lt;=0,0,(INT(MAX(0,Inputs!$B$44-B2125)/IF(Inputs!$B$39="pvp",15,MAX(0.1,Skills!D5-IF(TRUE=TRUE,Inputs!$B$33,0))))+1)),0)</f>
        <v/>
      </c>
      <c r="S2094">
        <f>IFERROR(O2094/N2094,0)</f>
        <v/>
      </c>
      <c r="T2094">
        <f>IF(C2094,(H2094*N2094*IF(AND(Inputs!$B$39&lt;&gt;"pvp",Inputs!$B$44&gt;0),((Skills!G5*((R2094-1)*IF(Skills!H5&gt;0,INT(Skills!I5/Skills!H5+0.000000001),1)+IF(Skills!H5&gt;0,INT(MIN(Skills!I5,MAX(0,MAX(0,Inputs!$B$44-B2125)-((R2094-1)*IF(Inputs!$B$39="pvp",15,MAX(0.1,Skills!D5-IF(TRUE=TRUE,Inputs!$B$33,0))))))/Skills!H5+0.000000001),1)))/Inputs!$B$44),G2094*Q2094))*IF(Inputs!$B$39="pvp",1,1+(Inputs!$B$21+0+Skills!P5+((C2106=TRUE)*F2106*IF(AND(Inputs!$B$39&lt;&gt;"pvp",Inputs!$B$44&gt;0),(((R2106-1)*MIN((Skills!T17*(1+Inputs!$B$35/100)),(1/Q2106))+MIN((Skills!T17*(1+Inputs!$B$35/100)),MAX(0,Inputs!$B$44-((R2106-1)*(1/Q2106)))))/Inputs!$B$44),IF(Inputs!$B$39="pvp",MIN((Skills!T17*(1+Inputs!$B$35/100)),15)/15,MIN(1,(Skills!T17*(1+Inputs!$B$35/100))/(1/Q2106)))))+((C2094=TRUE)*IF(Inputs!$B$3&gt;=126,10*MIN(1,15*Q2094),0))+((C2103=TRUE)*IF(Inputs!$B$39="pvp",20,(1-Summary!$B$11)*(20)+Summary!$B$11*(0))*IF(AND(Inputs!$B$39&lt;&gt;"pvp",Inputs!$B$44&gt;0),(((R2103-1)*MIN((Skills!T14*(1+Inputs!$B$35/100)),(1/Q2103))+MIN((Skills!T14*(1+Inputs!$B$35/100)),MAX(0,Inputs!$B$44-((R2103-1)*(1/Q2103)))))/Inputs!$B$44),IF(Inputs!$B$39="pvp",MIN((Skills!T14*(1+Inputs!$B$35/100)),15)/15,MIN(1,(Skills!T14*(1+Inputs!$B$35/100))/(1/Q2103)))))+((C2102=TRUE)*IF(Inputs!$B$3&gt;=82,IF(Inputs!$B$39="pvp",20,(1-Summary!$B$11)*(20)+Summary!$B$11*(0)),0)*IF(AND(Inputs!$B$39&lt;&gt;"pvp",Inputs!$B$44&gt;0),(((R2102-1)*MIN((Skills!T13*(1+Inputs!$B$35/100)),(1/Q2102))+MIN((Skills!T13*(1+Inputs!$B$35/100)),MAX(0,Inputs!$B$44-((R2102-1)*(1/Q2102)))))/Inputs!$B$44),IF(Inputs!$B$39="pvp",MIN((Skills!T13*(1+Inputs!$B$35/100)),15)/15,MIN(1,(Skills!T13*(1+Inputs!$B$35/100))/(1/Q2102)))))+(IF(AND(ArtifactsInput!$M$35,Inputs!$B$4&lt;&gt;"Chapter Hunt"),CHOOSE(ArtifactsInput!$N$35+1,15,18,21,24,27,30)*(1-EXP(-(0.2*B2120)*5)),0)+IF(AND(ArtifactsInput!$M$22,Inputs!$B$4&lt;&gt;"Chapter Hunt"),CHOOSE(ArtifactsInput!$N$22+1,10,12,14,16,18,20)*((0*(((0.15*B2120*5))^0/1)+1*(((0.15*B2120*5))^1/1)+2*(((0.15*B2120*5))^2/2)+3*(((0.15*B2120*5))^3/6)+4*(((0.15*B2120*5))^4/24)+5*(((0.15*B2120*5))^5/120))/((((0.15*B2120*5))^0/1)+(((0.15*B2120*5))^1/1)+(((0.15*B2120*5))^2/2)+(((0.15*B2120*5))^3/6)+(((0.15*B2120*5))^4/24)+(((0.15*B2120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2094*(1-MIN(100,(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2094*(MIN(100,(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2094*(1-MIN(100,(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2094*(MIN(100,(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94">
        <f>IF(C2094,(H2094*N2094*IF(AND(Inputs!$B$39&lt;&gt;"pvp",Inputs!$B$44&gt;0),((Skills!G5*((R2094-1)*IF(Skills!H5&gt;0,INT(Skills!I5/Skills!H5+0.000000001),1)+IF(Skills!H5&gt;0,INT(MIN(Skills!I5,MAX(0,MAX(0,Inputs!$B$44-B2125)-((R2094-1)*IF(Inputs!$B$39="pvp",15,MAX(0.1,Skills!D5-IF(TRUE=TRUE,Inputs!$B$33,0))))))/Skills!H5+0.000000001),1)))/Inputs!$B$44),G2094*Q2094))*IF(Inputs!$B$39="pvp",1,(1+(Inputs!$B$22+Skills!Q5+((C2106=TRUE)*F2106*IF(AND(Inputs!$B$39&lt;&gt;"pvp",Inputs!$B$44&gt;0),(((R2106-1)*MIN((Skills!T17*(1+Inputs!$B$35/100)),(1/Q2106))+MIN((Skills!T17*(1+Inputs!$B$35/100)),MAX(0,Inputs!$B$44-((R2106-1)*(1/Q2106)))))/Inputs!$B$44),IF(Inputs!$B$39="pvp",MIN((Skills!T17*(1+Inputs!$B$35/100)),15)/15,MIN(1,(Skills!T17*(1+Inputs!$B$35/100))/(1/Q2106)))))+((C2094=TRUE)*IF(Inputs!$B$3&gt;=126,10*MIN(1,15*Q2094),0))+((C2103=TRUE)*IF(Inputs!$B$39="pvp",20,(1-Summary!$B$11)*(20)+Summary!$B$11*(0))*IF(AND(Inputs!$B$39&lt;&gt;"pvp",Inputs!$B$44&gt;0),(((R2103-1)*MIN((Skills!T14*(1+Inputs!$B$35/100)),(1/Q2103))+MIN((Skills!T14*(1+Inputs!$B$35/100)),MAX(0,Inputs!$B$44-((R2103-1)*(1/Q2103)))))/Inputs!$B$44),IF(Inputs!$B$39="pvp",MIN((Skills!T14*(1+Inputs!$B$35/100)),15)/15,MIN(1,(Skills!T14*(1+Inputs!$B$35/100))/(1/Q2103)))))+((C2102=TRUE)*IF(Inputs!$B$3&gt;=82,IF(Inputs!$B$39="pvp",20,(1-Summary!$B$11)*(20)+Summary!$B$11*(0)),0)*IF(AND(Inputs!$B$39&lt;&gt;"pvp",Inputs!$B$44&gt;0),(((R2102-1)*MIN((Skills!T13*(1+Inputs!$B$35/100)),(1/Q2102))+MIN((Skills!T13*(1+Inputs!$B$35/100)),MAX(0,Inputs!$B$44-((R2102-1)*(1/Q2102)))))/Inputs!$B$44),IF(Inputs!$B$39="pvp",MIN((Skills!T13*(1+Inputs!$B$35/100)),15)/15,MIN(1,(Skills!T13*(1+Inputs!$B$35/100))/(1/Q2102)))))+(IF(AND(ArtifactsInput!$M$35,Inputs!$B$4&lt;&gt;"Chapter Hunt"),CHOOSE(ArtifactsInput!$N$35+1,15,18,21,24,27,30)*(1-EXP(-(0.2*B2120)*5)),0)+IF(AND(ArtifactsInput!$M$22,Inputs!$B$4&lt;&gt;"Chapter Hunt"),CHOOSE(ArtifactsInput!$N$22+1,10,12,14,16,18,20)*((0*(((0.15*B2120*5))^0/1)+1*(((0.15*B2120*5))^1/1)+2*(((0.15*B2120*5))^2/2)+3*(((0.15*B2120*5))^3/6)+4*(((0.15*B2120*5))^4/24)+5*(((0.15*B2120*5))^5/120))/((((0.15*B2120*5))^0/1)+(((0.15*B2120*5))^1/1)+(((0.15*B2120*5))^2/2)+(((0.15*B2120*5))^3/6)+(((0.15*B2120*5))^4/24)+(((0.15*B2120*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95">
      <c r="A2095">
        <f>Skills!A6</f>
        <v/>
      </c>
      <c r="B2095">
        <f>Skills!B6</f>
        <v/>
      </c>
      <c r="C2095">
        <f>Inputs!$B$3&gt;=103</f>
        <v/>
      </c>
      <c r="D2095">
        <f>IF(Skills!C6=1,60+Inputs!$B$26+Inputs!$B$30,IF(Skills!C6=2,90+Inputs!$B$27+Inputs!$B$30,IF(Skills!C6=3,120+Inputs!$B$28+Inputs!$B$30,MAX(0,(Inputs!$B$3-100)*3)+Inputs!$B$29+Inputs!$B$30)))</f>
        <v/>
      </c>
      <c r="E2095">
        <f>INDEX(FactorTable!$B$2:$Y$301, MATCH(ROUND(MIN(300,MAX(1,D2095)),0), FactorTable!$A$2:$A$301,0), Skills!M6+1)</f>
        <v/>
      </c>
      <c r="F2095">
        <f>IF(Skills!N6=TRUE,(Skills!L6/10)*(E2095/1000),Skills!L6/10)+Skills!O6</f>
        <v/>
      </c>
      <c r="G2095">
        <f>Skills!G6*IF(Skills!H6&gt;0,INT(IF(Inputs!$B$39="pvp",MIN(Skills!I6,15),Skills!I6)/Skills!H6+0.000000001),1)</f>
        <v/>
      </c>
      <c r="H2095">
        <f>1-(1-Skills!J6/100)^Skills!K6</f>
        <v/>
      </c>
      <c r="I2095" t="inlineStr">
        <is>
          <t>1</t>
        </is>
      </c>
      <c r="J2095">
        <f>((Inputs!$B$6*(1+Inputs!$B$7/100))+(((Inputs!$B$13*(1+Inputs!$B$14/100))-(Inputs!$B$13*(1+Inputs!$B$14/100)))+0.25*(Inputs!$B$15-Inputs!$B$15))*(1+Inputs!$B$7/100))*(F2095/100)</f>
        <v/>
      </c>
      <c r="K2095">
        <f>J2095*(1+(((Inputs!$B$13+IF(Inputs!$B$3&gt;=38,(10*INDEX(FactorTable!$B$2:$Y$301, MATCH(ROUND(MIN(300,MAX(1,Inputs!$B$3)),0), FactorTable!$A$2:$A$301,0), 23)/1000)/100*(Inputs!$B$8*(1+Inputs!$B$9/100)),0))*(1+Inputs!$B$14/100))*0.01+Inputs!$B$15*0.0025)/100)*(1+Inputs!$B$16/100)*(1+Inputs!$B$17/100)*(5000/(6000+Inputs!$B$43*(1-(Inputs!$B$20+0)/100)))*(1+(Inputs!$B$25+((C2114=TRUE)*(F2114-Calc!F25))+((C2115=TRUE)*(F2115-Calc!F26))+B2124)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gt;=100),MIN(100,((Inputs!$B$10+0+B2118+(ArtifactsInput!$M$24-ArtifactsInput!$M$24)*CHOOSE(ArtifactsInput!$N$24+1,10,12,14,16,18,20)+IF(ArtifactsInput!$M$10,CHOOSE(ArtifactsInput!$N$10+1,15,18,21,24,27,30)*(IF(Inputs!$B$39="pvp",MIN(15,15)/15,IF(AND(Inputs!$B$39&lt;&gt;"pvp",Inputs!$B$44&gt;0),MIN(15,Inputs!$B$44)/(Inputs!$B$44),0))),0)))-100),0))*CHOOSE(ArtifactsInput!$N$42+1,0.6,0.72,0.84,0.96,1.08,1.2))),Inputs!$B$19+((C2112=TRUE)*(F2112-Calc!F23))+(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gt;=100),CHOOSE(ArtifactsInput!$N$42+1,40,48,56,64,72,80),0))))/100)*((1+(((C2102=TRUE)*F2102*IF(AND(Inputs!$B$39&lt;&gt;"pvp",Inputs!$B$44&gt;0),(((R2102-1)*MIN((Skills!T13*(1+Inputs!$B$35/100)),(1/Q2102))+MIN((Skills!T13*(1+Inputs!$B$35/100)),MAX(0,Inputs!$B$44-((R2102-1)*(1/Q2102)))))/Inputs!$B$44),IF(Inputs!$B$39="pvp",MIN((Skills!T13*(1+Inputs!$B$35/100)),15)/15,MIN(1,(Skills!T13*(1+Inputs!$B$35/100))/(1/Q2102)))))+((C2103=TRUE)*F2103*IF(AND(Inputs!$B$39&lt;&gt;"pvp",Inputs!$B$44&gt;0),(((R2103-1)*MIN((Skills!T14*(1+Inputs!$B$35/100)),(1/Q2103))+MIN((Skills!T14*(1+Inputs!$B$35/100)),MAX(0,Inputs!$B$44-((R2103-1)*(1/Q2103)))))/Inputs!$B$44),IF(Inputs!$B$39="pvp",MIN((Skills!T14*(1+Inputs!$B$35/100)),15)/15,MIN(1,(Skills!T14*(1+Inputs!$B$35/100))/(1/Q2103)))))+((C2104=TRUE)*F2104*IF(AND(Inputs!$B$39&lt;&gt;"pvp",Inputs!$B$44&gt;0),(((R2104-1)*MIN((Skills!T15*(1+Inputs!$B$35/100)),(1/Q2104))+MIN((Skills!T15*(1+Inputs!$B$35/100)),MAX(0,Inputs!$B$44-((R2104-1)*(1/Q2104)))))/Inputs!$B$44),IF(Inputs!$B$39="pvp",MIN((Skills!T15*(1+Inputs!$B$35/100)),15)/15,MIN(1,(Skills!T15*(1+Inputs!$B$35/100))/(1/Q2104)))))+((C2105=TRUE)*F2105*IF(AND(Inputs!$B$39&lt;&gt;"pvp",Inputs!$B$44&gt;0),(((R2105-1)*MIN((Skills!T16*(1+Inputs!$B$35/100)),(1/Q2105))+MIN((Skills!T16*(1+Inputs!$B$35/100)),MAX(0,Inputs!$B$44-((R2105-1)*(1/Q2105)))))/Inputs!$B$44),IF(Inputs!$B$39="pvp",MIN((Skills!T16*(1+Inputs!$B$35/100)),15)/15,MIN(1,(Skills!T16*(1+Inputs!$B$35/100))/(1/Q2105)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2095)</f>
        <v/>
      </c>
      <c r="L2095">
        <f>K2095*(MIN(Inputs!$B$23+((C2111=TRUE)*(F2111-Calc!F22)),(Inputs!$B$24+((C2113=TRUE)*(F2113-Calc!F24))+(IF(ArtifactsInput!$M$15,CHOOSE(ArtifactsInput!$N$15+1,25,30,35,40,45,50)/100*(Inputs!$B$12-Inputs!$B$12),0))))/100+(Inputs!$B$24+((C2113=TRUE)*(F2113-Calc!F24))+(IF(ArtifactsInput!$M$15,CHOOSE(ArtifactsInput!$N$15+1,25,30,35,40,45,50)/100*(Inputs!$B$12-Inputs!$B$12),0)))/100)/2</f>
        <v/>
      </c>
      <c r="M2095">
        <f>L2095*(1+(Inputs!$B$11+0+B2123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095">
        <f>L2095*(1-MIN((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2095*(MIN((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95">
        <f>(1-Summary!$B$11)*T2095+Summary!$B$11*V2095</f>
        <v/>
      </c>
      <c r="P2095">
        <f>IF(B2128=0,0,O2095/B2128)</f>
        <v/>
      </c>
      <c r="Q2095">
        <f>IFERROR(1/IF(Inputs!$B$39="pvp",15,MAX(0.1,Skills!D6-IF(TRUE=TRUE,Inputs!$B$33,0))),0)</f>
        <v/>
      </c>
      <c r="R2095">
        <f>IF(AND(Inputs!$B$39&lt;&gt;"pvp",Inputs!$B$44&gt;0),IF(MAX(0,Inputs!$B$44-B2125)&lt;=0,0,(INT(MAX(0,Inputs!$B$44-B2125)/IF(Inputs!$B$39="pvp",15,MAX(0.1,Skills!D6-IF(TRUE=TRUE,Inputs!$B$33,0))))+1)),0)</f>
        <v/>
      </c>
      <c r="S2095">
        <f>IFERROR(O2095/N2095,0)</f>
        <v/>
      </c>
      <c r="T2095">
        <f>IF(C2095,(H2095*N2095*IF(AND(Inputs!$B$39&lt;&gt;"pvp",Inputs!$B$44&gt;0),((Skills!G6*((R2095-1)*IF(Skills!H6&gt;0,INT(Skills!I6/Skills!H6+0.000000001),1)+IF(Skills!H6&gt;0,INT(MIN(Skills!I6,MAX(0,MAX(0,Inputs!$B$44-B2125)-((R2095-1)*IF(Inputs!$B$39="pvp",15,MAX(0.1,Skills!D6-IF(TRUE=TRUE,Inputs!$B$33,0))))))/Skills!H6+0.000000001),1)))/Inputs!$B$44),G2095*Q2095))*IF(Inputs!$B$39="pvp",1,1+(Inputs!$B$21+0+Skills!P6+((C2106=TRUE)*F2106*IF(AND(Inputs!$B$39&lt;&gt;"pvp",Inputs!$B$44&gt;0),(((R2106-1)*MIN((Skills!T17*(1+Inputs!$B$35/100)),(1/Q2106))+MIN((Skills!T17*(1+Inputs!$B$35/100)),MAX(0,Inputs!$B$44-((R2106-1)*(1/Q2106)))))/Inputs!$B$44),IF(Inputs!$B$39="pvp",MIN((Skills!T17*(1+Inputs!$B$35/100)),15)/15,MIN(1,(Skills!T17*(1+Inputs!$B$35/100))/(1/Q2106)))))+((C2094=TRUE)*IF(Inputs!$B$3&gt;=126,10*MIN(1,15*Q2094),0))+((C2103=TRUE)*IF(Inputs!$B$39="pvp",20,(1-Summary!$B$11)*(20)+Summary!$B$11*(0))*IF(AND(Inputs!$B$39&lt;&gt;"pvp",Inputs!$B$44&gt;0),(((R2103-1)*MIN((Skills!T14*(1+Inputs!$B$35/100)),(1/Q2103))+MIN((Skills!T14*(1+Inputs!$B$35/100)),MAX(0,Inputs!$B$44-((R2103-1)*(1/Q2103)))))/Inputs!$B$44),IF(Inputs!$B$39="pvp",MIN((Skills!T14*(1+Inputs!$B$35/100)),15)/15,MIN(1,(Skills!T14*(1+Inputs!$B$35/100))/(1/Q2103)))))+((C2102=TRUE)*IF(Inputs!$B$3&gt;=82,IF(Inputs!$B$39="pvp",20,(1-Summary!$B$11)*(20)+Summary!$B$11*(0)),0)*IF(AND(Inputs!$B$39&lt;&gt;"pvp",Inputs!$B$44&gt;0),(((R2102-1)*MIN((Skills!T13*(1+Inputs!$B$35/100)),(1/Q2102))+MIN((Skills!T13*(1+Inputs!$B$35/100)),MAX(0,Inputs!$B$44-((R2102-1)*(1/Q2102)))))/Inputs!$B$44),IF(Inputs!$B$39="pvp",MIN((Skills!T13*(1+Inputs!$B$35/100)),15)/15,MIN(1,(Skills!T13*(1+Inputs!$B$35/100))/(1/Q2102)))))+(IF(AND(ArtifactsInput!$M$35,Inputs!$B$4&lt;&gt;"Chapter Hunt"),CHOOSE(ArtifactsInput!$N$35+1,15,18,21,24,27,30)*(1-EXP(-(0.2*B2120)*5)),0)+IF(AND(ArtifactsInput!$M$22,Inputs!$B$4&lt;&gt;"Chapter Hunt"),CHOOSE(ArtifactsInput!$N$22+1,10,12,14,16,18,20)*((0*(((0.15*B2120*5))^0/1)+1*(((0.15*B2120*5))^1/1)+2*(((0.15*B2120*5))^2/2)+3*(((0.15*B2120*5))^3/6)+4*(((0.15*B2120*5))^4/24)+5*(((0.15*B2120*5))^5/120))/((((0.15*B2120*5))^0/1)+(((0.15*B2120*5))^1/1)+(((0.15*B2120*5))^2/2)+(((0.15*B2120*5))^3/6)+(((0.15*B2120*5))^4/24)+(((0.15*B2120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2095*(1-MIN(100,(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2095*(MIN(100,(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2095*(1-MIN(100,(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2095*(MIN(100,(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95">
        <f>IF(C2095,(H2095*N2095*IF(AND(Inputs!$B$39&lt;&gt;"pvp",Inputs!$B$44&gt;0),((Skills!G6*((R2095-1)*IF(Skills!H6&gt;0,INT(Skills!I6/Skills!H6+0.000000001),1)+IF(Skills!H6&gt;0,INT(MIN(Skills!I6,MAX(0,MAX(0,Inputs!$B$44-B2125)-((R2095-1)*IF(Inputs!$B$39="pvp",15,MAX(0.1,Skills!D6-IF(TRUE=TRUE,Inputs!$B$33,0))))))/Skills!H6+0.000000001),1)))/Inputs!$B$44),G2095*Q2095))*IF(Inputs!$B$39="pvp",1,(1+(Inputs!$B$22+Skills!Q6+((C2106=TRUE)*F2106*IF(AND(Inputs!$B$39&lt;&gt;"pvp",Inputs!$B$44&gt;0),(((R2106-1)*MIN((Skills!T17*(1+Inputs!$B$35/100)),(1/Q2106))+MIN((Skills!T17*(1+Inputs!$B$35/100)),MAX(0,Inputs!$B$44-((R2106-1)*(1/Q2106)))))/Inputs!$B$44),IF(Inputs!$B$39="pvp",MIN((Skills!T17*(1+Inputs!$B$35/100)),15)/15,MIN(1,(Skills!T17*(1+Inputs!$B$35/100))/(1/Q2106)))))+((C2094=TRUE)*IF(Inputs!$B$3&gt;=126,10*MIN(1,15*Q2094),0))+((C2103=TRUE)*IF(Inputs!$B$39="pvp",20,(1-Summary!$B$11)*(20)+Summary!$B$11*(0))*IF(AND(Inputs!$B$39&lt;&gt;"pvp",Inputs!$B$44&gt;0),(((R2103-1)*MIN((Skills!T14*(1+Inputs!$B$35/100)),(1/Q2103))+MIN((Skills!T14*(1+Inputs!$B$35/100)),MAX(0,Inputs!$B$44-((R2103-1)*(1/Q2103)))))/Inputs!$B$44),IF(Inputs!$B$39="pvp",MIN((Skills!T14*(1+Inputs!$B$35/100)),15)/15,MIN(1,(Skills!T14*(1+Inputs!$B$35/100))/(1/Q2103)))))+((C2102=TRUE)*IF(Inputs!$B$3&gt;=82,IF(Inputs!$B$39="pvp",20,(1-Summary!$B$11)*(20)+Summary!$B$11*(0)),0)*IF(AND(Inputs!$B$39&lt;&gt;"pvp",Inputs!$B$44&gt;0),(((R2102-1)*MIN((Skills!T13*(1+Inputs!$B$35/100)),(1/Q2102))+MIN((Skills!T13*(1+Inputs!$B$35/100)),MAX(0,Inputs!$B$44-((R2102-1)*(1/Q2102)))))/Inputs!$B$44),IF(Inputs!$B$39="pvp",MIN((Skills!T13*(1+Inputs!$B$35/100)),15)/15,MIN(1,(Skills!T13*(1+Inputs!$B$35/100))/(1/Q2102)))))+(IF(AND(ArtifactsInput!$M$35,Inputs!$B$4&lt;&gt;"Chapter Hunt"),CHOOSE(ArtifactsInput!$N$35+1,15,18,21,24,27,30)*(1-EXP(-(0.2*B2120)*5)),0)+IF(AND(ArtifactsInput!$M$22,Inputs!$B$4&lt;&gt;"Chapter Hunt"),CHOOSE(ArtifactsInput!$N$22+1,10,12,14,16,18,20)*((0*(((0.15*B2120*5))^0/1)+1*(((0.15*B2120*5))^1/1)+2*(((0.15*B2120*5))^2/2)+3*(((0.15*B2120*5))^3/6)+4*(((0.15*B2120*5))^4/24)+5*(((0.15*B2120*5))^5/120))/((((0.15*B2120*5))^0/1)+(((0.15*B2120*5))^1/1)+(((0.15*B2120*5))^2/2)+(((0.15*B2120*5))^3/6)+(((0.15*B2120*5))^4/24)+(((0.15*B2120*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96">
      <c r="A2096">
        <f>Skills!A7</f>
        <v/>
      </c>
      <c r="B2096">
        <f>Skills!B7</f>
        <v/>
      </c>
      <c r="C2096">
        <f>Inputs!$B$3&gt;=40</f>
        <v/>
      </c>
      <c r="D2096">
        <f>IF(Skills!C7=1,60+Inputs!$B$26+Inputs!$B$30,IF(Skills!C7=2,90+Inputs!$B$27+Inputs!$B$30,IF(Skills!C7=3,120+Inputs!$B$28+Inputs!$B$30,MAX(0,(Inputs!$B$3-100)*3)+Inputs!$B$29+Inputs!$B$30)))</f>
        <v/>
      </c>
      <c r="E2096">
        <f>INDEX(FactorTable!$B$2:$Y$301, MATCH(ROUND(MIN(300,MAX(1,D2096)),0), FactorTable!$A$2:$A$301,0), Skills!M7+1)</f>
        <v/>
      </c>
      <c r="F2096">
        <f>IF(Skills!N7=TRUE,(Skills!L7/10)*(E2096/1000),Skills!L7/10)+Skills!O7</f>
        <v/>
      </c>
      <c r="G2096">
        <f>Skills!G7*IF(Skills!H7&gt;0,INT(IF(Inputs!$B$39="pvp",MIN(Skills!I7,15),Skills!I7)/Skills!H7+0.000000001),1)</f>
        <v/>
      </c>
      <c r="H2096">
        <f>1-(1-Skills!J7/100)^Skills!K7</f>
        <v/>
      </c>
      <c r="I2096" t="inlineStr">
        <is>
          <t>1</t>
        </is>
      </c>
      <c r="J2096">
        <f>((Inputs!$B$6*(1+Inputs!$B$7/100))+(((Inputs!$B$13*(1+Inputs!$B$14/100))-(Inputs!$B$13*(1+Inputs!$B$14/100)))+0.25*(Inputs!$B$15-Inputs!$B$15))*(1+Inputs!$B$7/100))*(F2096/100)</f>
        <v/>
      </c>
      <c r="K2096">
        <f>J2096*(1+(((Inputs!$B$13+IF(Inputs!$B$3&gt;=38,(10*INDEX(FactorTable!$B$2:$Y$301, MATCH(ROUND(MIN(300,MAX(1,Inputs!$B$3)),0), FactorTable!$A$2:$A$301,0), 23)/1000)/100*(Inputs!$B$8*(1+Inputs!$B$9/100)),0))*(1+Inputs!$B$14/100))*0.01+Inputs!$B$15*0.0025)/100)*(1+Inputs!$B$16/100)*(1+Inputs!$B$17/100)*(5000/(6000+Inputs!$B$43*(1-(Inputs!$B$20+0)/100)))*(1+(Inputs!$B$25+((C2114=TRUE)*(F2114-Calc!F25))+((C2115=TRUE)*(F2115-Calc!F26))+B2124)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2100=TRUE,F2100,0)/100)*(1+(IF(Skills!A7="DARK_IMPALE",Inputs!$B$18+0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gt;=100),MIN(100,((Inputs!$B$10+0+B2118+(ArtifactsInput!$M$24-ArtifactsInput!$M$24)*CHOOSE(ArtifactsInput!$N$24+1,10,12,14,16,18,20)+IF(ArtifactsInput!$M$10,CHOOSE(ArtifactsInput!$N$10+1,15,18,21,24,27,30)*(IF(Inputs!$B$39="pvp",MIN(15,15)/15,IF(AND(Inputs!$B$39&lt;&gt;"pvp",Inputs!$B$44&gt;0),MIN(15,Inputs!$B$44)/(Inputs!$B$44),0))),0)))-100),0))*CHOOSE(ArtifactsInput!$N$42+1,0.6,0.72,0.84,0.96,1.08,1.2))),Inputs!$B$19+((C2112=TRUE)*(F2112-Calc!F23))+(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gt;=100),CHOOSE(ArtifactsInput!$N$42+1,40,48,56,64,72,80),0))))/100)*((1+(((C2102=TRUE)*F2102*IF(AND(Inputs!$B$39&lt;&gt;"pvp",Inputs!$B$44&gt;0),(((R2102-1)*MIN((Skills!T13*(1+Inputs!$B$35/100)),(1/Q2102))+MIN((Skills!T13*(1+Inputs!$B$35/100)),MAX(0,Inputs!$B$44-((R2102-1)*(1/Q2102)))))/Inputs!$B$44),IF(Inputs!$B$39="pvp",MIN((Skills!T13*(1+Inputs!$B$35/100)),15)/15,MIN(1,(Skills!T13*(1+Inputs!$B$35/100))/(1/Q2102)))))+((C2103=TRUE)*F2103*IF(AND(Inputs!$B$39&lt;&gt;"pvp",Inputs!$B$44&gt;0),(((R2103-1)*MIN((Skills!T14*(1+Inputs!$B$35/100)),(1/Q2103))+MIN((Skills!T14*(1+Inputs!$B$35/100)),MAX(0,Inputs!$B$44-((R2103-1)*(1/Q2103)))))/Inputs!$B$44),IF(Inputs!$B$39="pvp",MIN((Skills!T14*(1+Inputs!$B$35/100)),15)/15,MIN(1,(Skills!T14*(1+Inputs!$B$35/100))/(1/Q2103)))))+((C2104=TRUE)*F2104*IF(AND(Inputs!$B$39&lt;&gt;"pvp",Inputs!$B$44&gt;0),(((R2104-1)*MIN((Skills!T15*(1+Inputs!$B$35/100)),(1/Q2104))+MIN((Skills!T15*(1+Inputs!$B$35/100)),MAX(0,Inputs!$B$44-((R2104-1)*(1/Q2104)))))/Inputs!$B$44),IF(Inputs!$B$39="pvp",MIN((Skills!T15*(1+Inputs!$B$35/100)),15)/15,MIN(1,(Skills!T15*(1+Inputs!$B$35/100))/(1/Q2104)))))+((C2105=TRUE)*F2105*IF(AND(Inputs!$B$39&lt;&gt;"pvp",Inputs!$B$44&gt;0),(((R2105-1)*MIN((Skills!T16*(1+Inputs!$B$35/100)),(1/Q2105))+MIN((Skills!T16*(1+Inputs!$B$35/100)),MAX(0,Inputs!$B$44-((R2105-1)*(1/Q2105)))))/Inputs!$B$44),IF(Inputs!$B$39="pvp",MIN((Skills!T16*(1+Inputs!$B$35/100)),15)/15,MIN(1,(Skills!T16*(1+Inputs!$B$35/100))/(1/Q2105)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2096)</f>
        <v/>
      </c>
      <c r="L2096">
        <f>K2096*(MIN(Inputs!$B$23+((C2111=TRUE)*(F2111-Calc!F22)),(Inputs!$B$24+((C2113=TRUE)*(F2113-Calc!F24))+(IF(ArtifactsInput!$M$15,CHOOSE(ArtifactsInput!$N$15+1,25,30,35,40,45,50)/100*(Inputs!$B$12-Inputs!$B$12),0))))/100+(Inputs!$B$24+((C2113=TRUE)*(F2113-Calc!F24))+(IF(ArtifactsInput!$M$15,CHOOSE(ArtifactsInput!$N$15+1,25,30,35,40,45,50)/100*(Inputs!$B$12-Inputs!$B$12),0)))/100)/2</f>
        <v/>
      </c>
      <c r="M2096">
        <f>L2096*(1+(Inputs!$B$11+0+B2123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096">
        <f>L2096*(1-MIN((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2096*(MIN((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96">
        <f>(1-Summary!$B$11)*T2096+Summary!$B$11*V2096</f>
        <v/>
      </c>
      <c r="P2096">
        <f>IF(B2128=0,0,O2096/B2128)</f>
        <v/>
      </c>
      <c r="Q2096">
        <f>IFERROR(1/IF(Inputs!$B$39="pvp",15,MAX(0.1,Skills!D7-IF(TRUE=TRUE,Inputs!$B$33,0))),0)</f>
        <v/>
      </c>
      <c r="R2096">
        <f>IF(AND(Inputs!$B$39&lt;&gt;"pvp",Inputs!$B$44&gt;0),IF(MAX(0,Inputs!$B$44-B2125)&lt;=0,0,(INT(MAX(0,Inputs!$B$44-B2125)/IF(Inputs!$B$39="pvp",15,MAX(0.1,Skills!D7-IF(TRUE=TRUE,Inputs!$B$33,0))))+1)),0)</f>
        <v/>
      </c>
      <c r="S2096">
        <f>IFERROR(O2096/N2096,0)</f>
        <v/>
      </c>
      <c r="T2096">
        <f>IF(C2096,(H2096*N2096*IF(AND(Inputs!$B$39&lt;&gt;"pvp",Inputs!$B$44&gt;0),((Skills!G7*((R2096-1)*IF(Skills!H7&gt;0,INT(Skills!I7/Skills!H7+0.000000001),1)+IF(Skills!H7&gt;0,INT(MIN(Skills!I7,MAX(0,MAX(0,Inputs!$B$44-B2125)-((R2096-1)*IF(Inputs!$B$39="pvp",15,MAX(0.1,Skills!D7-IF(TRUE=TRUE,Inputs!$B$33,0))))))/Skills!H7+0.000000001),1)))/Inputs!$B$44),G2096*Q2096))*IF(Inputs!$B$39="pvp",1,1+(Inputs!$B$21+0+Skills!P7+((C2106=TRUE)*F2106*IF(AND(Inputs!$B$39&lt;&gt;"pvp",Inputs!$B$44&gt;0),(((R2106-1)*MIN((Skills!T17*(1+Inputs!$B$35/100)),(1/Q2106))+MIN((Skills!T17*(1+Inputs!$B$35/100)),MAX(0,Inputs!$B$44-((R2106-1)*(1/Q2106)))))/Inputs!$B$44),IF(Inputs!$B$39="pvp",MIN((Skills!T17*(1+Inputs!$B$35/100)),15)/15,MIN(1,(Skills!T17*(1+Inputs!$B$35/100))/(1/Q2106)))))+((C2094=TRUE)*IF(Inputs!$B$3&gt;=126,10*MIN(1,15*Q2094),0))+((C2103=TRUE)*IF(Inputs!$B$39="pvp",20,(1-Summary!$B$11)*(20)+Summary!$B$11*(0))*IF(AND(Inputs!$B$39&lt;&gt;"pvp",Inputs!$B$44&gt;0),(((R2103-1)*MIN((Skills!T14*(1+Inputs!$B$35/100)),(1/Q2103))+MIN((Skills!T14*(1+Inputs!$B$35/100)),MAX(0,Inputs!$B$44-((R2103-1)*(1/Q2103)))))/Inputs!$B$44),IF(Inputs!$B$39="pvp",MIN((Skills!T14*(1+Inputs!$B$35/100)),15)/15,MIN(1,(Skills!T14*(1+Inputs!$B$35/100))/(1/Q2103)))))+((C2102=TRUE)*IF(Inputs!$B$3&gt;=82,IF(Inputs!$B$39="pvp",20,(1-Summary!$B$11)*(20)+Summary!$B$11*(0)),0)*IF(AND(Inputs!$B$39&lt;&gt;"pvp",Inputs!$B$44&gt;0),(((R2102-1)*MIN((Skills!T13*(1+Inputs!$B$35/100)),(1/Q2102))+MIN((Skills!T13*(1+Inputs!$B$35/100)),MAX(0,Inputs!$B$44-((R2102-1)*(1/Q2102)))))/Inputs!$B$44),IF(Inputs!$B$39="pvp",MIN((Skills!T13*(1+Inputs!$B$35/100)),15)/15,MIN(1,(Skills!T13*(1+Inputs!$B$35/100))/(1/Q2102)))))+(IF(AND(ArtifactsInput!$M$35,Inputs!$B$4&lt;&gt;"Chapter Hunt"),CHOOSE(ArtifactsInput!$N$35+1,15,18,21,24,27,30)*(1-EXP(-(0.2*B2120)*5)),0)+IF(AND(ArtifactsInput!$M$22,Inputs!$B$4&lt;&gt;"Chapter Hunt"),CHOOSE(ArtifactsInput!$N$22+1,10,12,14,16,18,20)*((0*(((0.15*B2120*5))^0/1)+1*(((0.15*B2120*5))^1/1)+2*(((0.15*B2120*5))^2/2)+3*(((0.15*B2120*5))^3/6)+4*(((0.15*B2120*5))^4/24)+5*(((0.15*B2120*5))^5/120))/((((0.15*B2120*5))^0/1)+(((0.15*B2120*5))^1/1)+(((0.15*B2120*5))^2/2)+(((0.15*B2120*5))^3/6)+(((0.15*B2120*5))^4/24)+(((0.15*B2120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2096*(1-MIN(100,(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2096*(MIN(100,(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2096*(1-MIN(100,(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2096*(MIN(100,(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96">
        <f>IF(C2096,(H2096*N2096*IF(AND(Inputs!$B$39&lt;&gt;"pvp",Inputs!$B$44&gt;0),((Skills!G7*((R2096-1)*IF(Skills!H7&gt;0,INT(Skills!I7/Skills!H7+0.000000001),1)+IF(Skills!H7&gt;0,INT(MIN(Skills!I7,MAX(0,MAX(0,Inputs!$B$44-B2125)-((R2096-1)*IF(Inputs!$B$39="pvp",15,MAX(0.1,Skills!D7-IF(TRUE=TRUE,Inputs!$B$33,0))))))/Skills!H7+0.000000001),1)))/Inputs!$B$44),G2096*Q2096))*IF(Inputs!$B$39="pvp",1,(1+(Inputs!$B$22+Skills!Q7+((C2106=TRUE)*F2106*IF(AND(Inputs!$B$39&lt;&gt;"pvp",Inputs!$B$44&gt;0),(((R2106-1)*MIN((Skills!T17*(1+Inputs!$B$35/100)),(1/Q2106))+MIN((Skills!T17*(1+Inputs!$B$35/100)),MAX(0,Inputs!$B$44-((R2106-1)*(1/Q2106)))))/Inputs!$B$44),IF(Inputs!$B$39="pvp",MIN((Skills!T17*(1+Inputs!$B$35/100)),15)/15,MIN(1,(Skills!T17*(1+Inputs!$B$35/100))/(1/Q2106)))))+((C2094=TRUE)*IF(Inputs!$B$3&gt;=126,10*MIN(1,15*Q2094),0))+((C2103=TRUE)*IF(Inputs!$B$39="pvp",20,(1-Summary!$B$11)*(20)+Summary!$B$11*(0))*IF(AND(Inputs!$B$39&lt;&gt;"pvp",Inputs!$B$44&gt;0),(((R2103-1)*MIN((Skills!T14*(1+Inputs!$B$35/100)),(1/Q2103))+MIN((Skills!T14*(1+Inputs!$B$35/100)),MAX(0,Inputs!$B$44-((R2103-1)*(1/Q2103)))))/Inputs!$B$44),IF(Inputs!$B$39="pvp",MIN((Skills!T14*(1+Inputs!$B$35/100)),15)/15,MIN(1,(Skills!T14*(1+Inputs!$B$35/100))/(1/Q2103)))))+((C2102=TRUE)*IF(Inputs!$B$3&gt;=82,IF(Inputs!$B$39="pvp",20,(1-Summary!$B$11)*(20)+Summary!$B$11*(0)),0)*IF(AND(Inputs!$B$39&lt;&gt;"pvp",Inputs!$B$44&gt;0),(((R2102-1)*MIN((Skills!T13*(1+Inputs!$B$35/100)),(1/Q2102))+MIN((Skills!T13*(1+Inputs!$B$35/100)),MAX(0,Inputs!$B$44-((R2102-1)*(1/Q2102)))))/Inputs!$B$44),IF(Inputs!$B$39="pvp",MIN((Skills!T13*(1+Inputs!$B$35/100)),15)/15,MIN(1,(Skills!T13*(1+Inputs!$B$35/100))/(1/Q2102)))))+(IF(AND(ArtifactsInput!$M$35,Inputs!$B$4&lt;&gt;"Chapter Hunt"),CHOOSE(ArtifactsInput!$N$35+1,15,18,21,24,27,30)*(1-EXP(-(0.2*B2120)*5)),0)+IF(AND(ArtifactsInput!$M$22,Inputs!$B$4&lt;&gt;"Chapter Hunt"),CHOOSE(ArtifactsInput!$N$22+1,10,12,14,16,18,20)*((0*(((0.15*B2120*5))^0/1)+1*(((0.15*B2120*5))^1/1)+2*(((0.15*B2120*5))^2/2)+3*(((0.15*B2120*5))^3/6)+4*(((0.15*B2120*5))^4/24)+5*(((0.15*B2120*5))^5/120))/((((0.15*B2120*5))^0/1)+(((0.15*B2120*5))^1/1)+(((0.15*B2120*5))^2/2)+(((0.15*B2120*5))^3/6)+(((0.15*B2120*5))^4/24)+(((0.15*B2120*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97">
      <c r="A2097">
        <f>Skills!A8</f>
        <v/>
      </c>
      <c r="B2097">
        <f>Skills!B8</f>
        <v/>
      </c>
      <c r="C2097">
        <f>Inputs!$B$3&gt;=75</f>
        <v/>
      </c>
      <c r="D2097">
        <f>IF(Skills!C8=1,60+Inputs!$B$26+Inputs!$B$30,IF(Skills!C8=2,90+Inputs!$B$27+Inputs!$B$30,IF(Skills!C8=3,120+Inputs!$B$28+Inputs!$B$30,MAX(0,(Inputs!$B$3-100)*3)+Inputs!$B$29+Inputs!$B$30)))</f>
        <v/>
      </c>
      <c r="E2097">
        <f>INDEX(FactorTable!$B$2:$Y$301, MATCH(ROUND(MIN(300,MAX(1,D2097)),0), FactorTable!$A$2:$A$301,0), Skills!M8+1)</f>
        <v/>
      </c>
      <c r="F2097">
        <f>IF(Skills!N8=TRUE,(Skills!L8/10)*(E2097/1000),Skills!L8/10)+Skills!O8</f>
        <v/>
      </c>
      <c r="G2097" t="inlineStr"/>
      <c r="H2097" t="inlineStr"/>
      <c r="I2097" t="inlineStr">
        <is>
          <t>1</t>
        </is>
      </c>
      <c r="J2097" t="inlineStr"/>
      <c r="K2097" t="inlineStr"/>
      <c r="L2097" t="inlineStr"/>
      <c r="M2097" t="inlineStr"/>
      <c r="N2097" t="inlineStr"/>
      <c r="O2097" t="inlineStr"/>
      <c r="P2097" t="inlineStr"/>
      <c r="Q2097" t="inlineStr"/>
      <c r="R2097" t="inlineStr"/>
      <c r="S2097" t="inlineStr"/>
    </row>
    <row r="2098">
      <c r="A2098">
        <f>Skills!A9</f>
        <v/>
      </c>
      <c r="B2098">
        <f>Skills!B9</f>
        <v/>
      </c>
      <c r="C2098">
        <f>Inputs!$B$3&gt;=60</f>
        <v/>
      </c>
      <c r="D2098">
        <f>IF(Skills!C9=1,60+Inputs!$B$26+Inputs!$B$30,IF(Skills!C9=2,90+Inputs!$B$27+Inputs!$B$30,IF(Skills!C9=3,120+Inputs!$B$28+Inputs!$B$30,MAX(0,(Inputs!$B$3-100)*3)+Inputs!$B$29+Inputs!$B$30)))</f>
        <v/>
      </c>
      <c r="E2098">
        <f>INDEX(FactorTable!$B$2:$Y$301, MATCH(ROUND(MIN(300,MAX(1,D2098)),0), FactorTable!$A$2:$A$301,0), Skills!M9+1)</f>
        <v/>
      </c>
      <c r="F2098">
        <f>IF(Skills!N9=TRUE,(Skills!L9/10)*(E2098/1000),Skills!L9/10)+Skills!O9</f>
        <v/>
      </c>
      <c r="G2098">
        <f>Skills!G9*IF(Skills!H9&gt;0,INT(IF(Inputs!$B$39="pvp",MIN(Skills!I9,15),Skills!I9)/Skills!H9+0.000000001),1)</f>
        <v/>
      </c>
      <c r="H2098">
        <f>1-(1-Skills!J9/100)^Skills!K9</f>
        <v/>
      </c>
      <c r="I2098" t="inlineStr">
        <is>
          <t>1</t>
        </is>
      </c>
      <c r="J2098">
        <f>((Inputs!$B$6*(1+Inputs!$B$7/100))+(((Inputs!$B$13*(1+Inputs!$B$14/100))-(Inputs!$B$13*(1+Inputs!$B$14/100)))+0.25*(Inputs!$B$15-Inputs!$B$15))*(1+Inputs!$B$7/100))*(F2098/100)</f>
        <v/>
      </c>
      <c r="K2098">
        <f>J2098*(1+(((Inputs!$B$13+IF(Inputs!$B$3&gt;=38,(10*INDEX(FactorTable!$B$2:$Y$301, MATCH(ROUND(MIN(300,MAX(1,Inputs!$B$3)),0), FactorTable!$A$2:$A$301,0), 23)/1000)/100*(Inputs!$B$8*(1+Inputs!$B$9/100)),0))*(1+Inputs!$B$14/100))*0.01+Inputs!$B$15*0.0025)/100)*(1+Inputs!$B$16/100)*(1+Inputs!$B$17/100)*(5000/(6000+Inputs!$B$43*(1-(Inputs!$B$20+0)/100)))*(1+(Inputs!$B$25+((C2114=TRUE)*(F2114-Calc!F25))+((C2115=TRUE)*(F2115-Calc!F26))+B2124)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2100=TRUE,F2100,0)/100)*(1+(IF(Skills!A9="DARK_IMPALE",Inputs!$B$18+0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gt;=100),MIN(100,((Inputs!$B$10+0+B2118+(ArtifactsInput!$M$24-ArtifactsInput!$M$24)*CHOOSE(ArtifactsInput!$N$24+1,10,12,14,16,18,20)+IF(ArtifactsInput!$M$10,CHOOSE(ArtifactsInput!$N$10+1,15,18,21,24,27,30)*(IF(Inputs!$B$39="pvp",MIN(15,15)/15,IF(AND(Inputs!$B$39&lt;&gt;"pvp",Inputs!$B$44&gt;0),MIN(15,Inputs!$B$44)/(Inputs!$B$44),0))),0)))-100),0))*CHOOSE(ArtifactsInput!$N$42+1,0.6,0.72,0.84,0.96,1.08,1.2))),Inputs!$B$19+((C2112=TRUE)*(F2112-Calc!F23))+(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gt;=100),CHOOSE(ArtifactsInput!$N$42+1,40,48,56,64,72,80),0))))/100)*((1+(((C2102=TRUE)*F2102*IF(AND(Inputs!$B$39&lt;&gt;"pvp",Inputs!$B$44&gt;0),(((R2102-1)*MIN((Skills!T13*(1+Inputs!$B$35/100)),(1/Q2102))+MIN((Skills!T13*(1+Inputs!$B$35/100)),MAX(0,Inputs!$B$44-((R2102-1)*(1/Q2102)))))/Inputs!$B$44),IF(Inputs!$B$39="pvp",MIN((Skills!T13*(1+Inputs!$B$35/100)),15)/15,MIN(1,(Skills!T13*(1+Inputs!$B$35/100))/(1/Q2102)))))+((C2103=TRUE)*F2103*IF(AND(Inputs!$B$39&lt;&gt;"pvp",Inputs!$B$44&gt;0),(((R2103-1)*MIN((Skills!T14*(1+Inputs!$B$35/100)),(1/Q2103))+MIN((Skills!T14*(1+Inputs!$B$35/100)),MAX(0,Inputs!$B$44-((R2103-1)*(1/Q2103)))))/Inputs!$B$44),IF(Inputs!$B$39="pvp",MIN((Skills!T14*(1+Inputs!$B$35/100)),15)/15,MIN(1,(Skills!T14*(1+Inputs!$B$35/100))/(1/Q2103)))))+((C2104=TRUE)*F2104*IF(AND(Inputs!$B$39&lt;&gt;"pvp",Inputs!$B$44&gt;0),(((R2104-1)*MIN((Skills!T15*(1+Inputs!$B$35/100)),(1/Q2104))+MIN((Skills!T15*(1+Inputs!$B$35/100)),MAX(0,Inputs!$B$44-((R2104-1)*(1/Q2104)))))/Inputs!$B$44),IF(Inputs!$B$39="pvp",MIN((Skills!T15*(1+Inputs!$B$35/100)),15)/15,MIN(1,(Skills!T15*(1+Inputs!$B$35/100))/(1/Q2104)))))+((C2105=TRUE)*F2105*IF(AND(Inputs!$B$39&lt;&gt;"pvp",Inputs!$B$44&gt;0),(((R2105-1)*MIN((Skills!T16*(1+Inputs!$B$35/100)),(1/Q2105))+MIN((Skills!T16*(1+Inputs!$B$35/100)),MAX(0,Inputs!$B$44-((R2105-1)*(1/Q2105)))))/Inputs!$B$44),IF(Inputs!$B$39="pvp",MIN((Skills!T16*(1+Inputs!$B$35/100)),15)/15,MIN(1,(Skills!T16*(1+Inputs!$B$35/100))/(1/Q2105)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2098)</f>
        <v/>
      </c>
      <c r="L2098">
        <f>K2098*(MIN(Inputs!$B$23+((C2111=TRUE)*(F2111-Calc!F22)),(Inputs!$B$24+((C2113=TRUE)*(F2113-Calc!F24))+(IF(ArtifactsInput!$M$15,CHOOSE(ArtifactsInput!$N$15+1,25,30,35,40,45,50)/100*(Inputs!$B$12-Inputs!$B$12),0))))/100+(Inputs!$B$24+((C2113=TRUE)*(F2113-Calc!F24))+(IF(ArtifactsInput!$M$15,CHOOSE(ArtifactsInput!$N$15+1,25,30,35,40,45,50)/100*(Inputs!$B$12-Inputs!$B$12),0)))/100)/2</f>
        <v/>
      </c>
      <c r="M2098">
        <f>L2098*(1+(Inputs!$B$11+0+B2123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098">
        <f>L2098*(1-MIN((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2098*(MIN((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98">
        <f>(1-Summary!$B$11)*T2098+Summary!$B$11*V2098</f>
        <v/>
      </c>
      <c r="P2098">
        <f>IF(B2128=0,0,O2098/B2128)</f>
        <v/>
      </c>
      <c r="Q2098">
        <f>IFERROR(1/IF(Inputs!$B$39="pvp",15,MAX(0.1,Skills!D9-IF(TRUE=TRUE,Inputs!$B$33,0))),0)</f>
        <v/>
      </c>
      <c r="R2098">
        <f>IF(AND(Inputs!$B$39&lt;&gt;"pvp",Inputs!$B$44&gt;0),IF(MAX(0,Inputs!$B$44-B2125)&lt;=0,0,(INT(MAX(0,Inputs!$B$44-B2125)/IF(Inputs!$B$39="pvp",15,MAX(0.1,Skills!D9-IF(TRUE=TRUE,Inputs!$B$33,0))))+1)),0)</f>
        <v/>
      </c>
      <c r="S2098">
        <f>IFERROR(O2098/N2098,0)</f>
        <v/>
      </c>
      <c r="T2098">
        <f>IF(C2098,(H2098*N2098*IF(AND(Inputs!$B$39&lt;&gt;"pvp",Inputs!$B$44&gt;0),((Skills!G9*((R2098-1)*IF(Skills!H9&gt;0,INT(Skills!I9/Skills!H9+0.000000001),1)+IF(Skills!H9&gt;0,INT(MIN(Skills!I9,MAX(0,MAX(0,Inputs!$B$44-B2125)-((R2098-1)*IF(Inputs!$B$39="pvp",15,MAX(0.1,Skills!D9-IF(TRUE=TRUE,Inputs!$B$33,0))))))/Skills!H9+0.000000001),1)))/Inputs!$B$44),G2098*Q2098))*IF(Inputs!$B$39="pvp",1,1+(Inputs!$B$21+0+Skills!P9+((C2106=TRUE)*F2106*IF(AND(Inputs!$B$39&lt;&gt;"pvp",Inputs!$B$44&gt;0),(((R2106-1)*MIN((Skills!T17*(1+Inputs!$B$35/100)),(1/Q2106))+MIN((Skills!T17*(1+Inputs!$B$35/100)),MAX(0,Inputs!$B$44-((R2106-1)*(1/Q2106)))))/Inputs!$B$44),IF(Inputs!$B$39="pvp",MIN((Skills!T17*(1+Inputs!$B$35/100)),15)/15,MIN(1,(Skills!T17*(1+Inputs!$B$35/100))/(1/Q2106)))))+((C2094=TRUE)*IF(Inputs!$B$3&gt;=126,10*MIN(1,15*Q2094),0))+((C2103=TRUE)*IF(Inputs!$B$39="pvp",20,(1-Summary!$B$11)*(20)+Summary!$B$11*(0))*IF(AND(Inputs!$B$39&lt;&gt;"pvp",Inputs!$B$44&gt;0),(((R2103-1)*MIN((Skills!T14*(1+Inputs!$B$35/100)),(1/Q2103))+MIN((Skills!T14*(1+Inputs!$B$35/100)),MAX(0,Inputs!$B$44-((R2103-1)*(1/Q2103)))))/Inputs!$B$44),IF(Inputs!$B$39="pvp",MIN((Skills!T14*(1+Inputs!$B$35/100)),15)/15,MIN(1,(Skills!T14*(1+Inputs!$B$35/100))/(1/Q2103)))))+((C2102=TRUE)*IF(Inputs!$B$3&gt;=82,IF(Inputs!$B$39="pvp",20,(1-Summary!$B$11)*(20)+Summary!$B$11*(0)),0)*IF(AND(Inputs!$B$39&lt;&gt;"pvp",Inputs!$B$44&gt;0),(((R2102-1)*MIN((Skills!T13*(1+Inputs!$B$35/100)),(1/Q2102))+MIN((Skills!T13*(1+Inputs!$B$35/100)),MAX(0,Inputs!$B$44-((R2102-1)*(1/Q2102)))))/Inputs!$B$44),IF(Inputs!$B$39="pvp",MIN((Skills!T13*(1+Inputs!$B$35/100)),15)/15,MIN(1,(Skills!T13*(1+Inputs!$B$35/100))/(1/Q2102)))))+(IF(AND(ArtifactsInput!$M$35,Inputs!$B$4&lt;&gt;"Chapter Hunt"),CHOOSE(ArtifactsInput!$N$35+1,15,18,21,24,27,30)*(1-EXP(-(0.2*B2120)*5)),0)+IF(AND(ArtifactsInput!$M$22,Inputs!$B$4&lt;&gt;"Chapter Hunt"),CHOOSE(ArtifactsInput!$N$22+1,10,12,14,16,18,20)*((0*(((0.15*B2120*5))^0/1)+1*(((0.15*B2120*5))^1/1)+2*(((0.15*B2120*5))^2/2)+3*(((0.15*B2120*5))^3/6)+4*(((0.15*B2120*5))^4/24)+5*(((0.15*B2120*5))^5/120))/((((0.15*B2120*5))^0/1)+(((0.15*B2120*5))^1/1)+(((0.15*B2120*5))^2/2)+(((0.15*B2120*5))^3/6)+(((0.15*B2120*5))^4/24)+(((0.15*B2120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2098*(1-MIN(100,(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2098*(MIN(100,(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2098*(1-MIN(100,(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2098*(MIN(100,(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98">
        <f>IF(C2098,(H2098*N2098*IF(AND(Inputs!$B$39&lt;&gt;"pvp",Inputs!$B$44&gt;0),((Skills!G9*((R2098-1)*IF(Skills!H9&gt;0,INT(Skills!I9/Skills!H9+0.000000001),1)+IF(Skills!H9&gt;0,INT(MIN(Skills!I9,MAX(0,MAX(0,Inputs!$B$44-B2125)-((R2098-1)*IF(Inputs!$B$39="pvp",15,MAX(0.1,Skills!D9-IF(TRUE=TRUE,Inputs!$B$33,0))))))/Skills!H9+0.000000001),1)))/Inputs!$B$44),G2098*Q2098))*IF(Inputs!$B$39="pvp",1,(1+(Inputs!$B$22+Skills!Q9+((C2106=TRUE)*F2106*IF(AND(Inputs!$B$39&lt;&gt;"pvp",Inputs!$B$44&gt;0),(((R2106-1)*MIN((Skills!T17*(1+Inputs!$B$35/100)),(1/Q2106))+MIN((Skills!T17*(1+Inputs!$B$35/100)),MAX(0,Inputs!$B$44-((R2106-1)*(1/Q2106)))))/Inputs!$B$44),IF(Inputs!$B$39="pvp",MIN((Skills!T17*(1+Inputs!$B$35/100)),15)/15,MIN(1,(Skills!T17*(1+Inputs!$B$35/100))/(1/Q2106)))))+((C2094=TRUE)*IF(Inputs!$B$3&gt;=126,10*MIN(1,15*Q2094),0))+((C2103=TRUE)*IF(Inputs!$B$39="pvp",20,(1-Summary!$B$11)*(20)+Summary!$B$11*(0))*IF(AND(Inputs!$B$39&lt;&gt;"pvp",Inputs!$B$44&gt;0),(((R2103-1)*MIN((Skills!T14*(1+Inputs!$B$35/100)),(1/Q2103))+MIN((Skills!T14*(1+Inputs!$B$35/100)),MAX(0,Inputs!$B$44-((R2103-1)*(1/Q2103)))))/Inputs!$B$44),IF(Inputs!$B$39="pvp",MIN((Skills!T14*(1+Inputs!$B$35/100)),15)/15,MIN(1,(Skills!T14*(1+Inputs!$B$35/100))/(1/Q2103)))))+((C2102=TRUE)*IF(Inputs!$B$3&gt;=82,IF(Inputs!$B$39="pvp",20,(1-Summary!$B$11)*(20)+Summary!$B$11*(0)),0)*IF(AND(Inputs!$B$39&lt;&gt;"pvp",Inputs!$B$44&gt;0),(((R2102-1)*MIN((Skills!T13*(1+Inputs!$B$35/100)),(1/Q2102))+MIN((Skills!T13*(1+Inputs!$B$35/100)),MAX(0,Inputs!$B$44-((R2102-1)*(1/Q2102)))))/Inputs!$B$44),IF(Inputs!$B$39="pvp",MIN((Skills!T13*(1+Inputs!$B$35/100)),15)/15,MIN(1,(Skills!T13*(1+Inputs!$B$35/100))/(1/Q2102)))))+(IF(AND(ArtifactsInput!$M$35,Inputs!$B$4&lt;&gt;"Chapter Hunt"),CHOOSE(ArtifactsInput!$N$35+1,15,18,21,24,27,30)*(1-EXP(-(0.2*B2120)*5)),0)+IF(AND(ArtifactsInput!$M$22,Inputs!$B$4&lt;&gt;"Chapter Hunt"),CHOOSE(ArtifactsInput!$N$22+1,10,12,14,16,18,20)*((0*(((0.15*B2120*5))^0/1)+1*(((0.15*B2120*5))^1/1)+2*(((0.15*B2120*5))^2/2)+3*(((0.15*B2120*5))^3/6)+4*(((0.15*B2120*5))^4/24)+5*(((0.15*B2120*5))^5/120))/((((0.15*B2120*5))^0/1)+(((0.15*B2120*5))^1/1)+(((0.15*B2120*5))^2/2)+(((0.15*B2120*5))^3/6)+(((0.15*B2120*5))^4/24)+(((0.15*B2120*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99">
      <c r="A2099">
        <f>Skills!A10</f>
        <v/>
      </c>
      <c r="B2099">
        <f>Skills!B10</f>
        <v/>
      </c>
      <c r="C2099">
        <f>Inputs!$B$3&gt;=110</f>
        <v/>
      </c>
      <c r="D2099">
        <f>IF(Skills!C10=1,60+Inputs!$B$26+Inputs!$B$30,IF(Skills!C10=2,90+Inputs!$B$27+Inputs!$B$30,IF(Skills!C10=3,120+Inputs!$B$28+Inputs!$B$30,MAX(0,(Inputs!$B$3-100)*3)+Inputs!$B$29+Inputs!$B$30)))</f>
        <v/>
      </c>
      <c r="E2099">
        <f>INDEX(FactorTable!$B$2:$Y$301, MATCH(ROUND(MIN(300,MAX(1,D2099)),0), FactorTable!$A$2:$A$301,0), Skills!M10+1)</f>
        <v/>
      </c>
      <c r="F2099">
        <f>IF(Skills!N10=TRUE,(Skills!L10/10)*(E2099/1000),Skills!L10/10)+Skills!O10</f>
        <v/>
      </c>
      <c r="G2099">
        <f>Skills!G10*IF(Skills!H10&gt;0,INT(IF(Inputs!$B$39="pvp",MIN(Skills!I10,15),Skills!I10)/Skills!H10+0.000000001),1)</f>
        <v/>
      </c>
      <c r="H2099">
        <f>1-(1-Skills!J10/100)^Skills!K10</f>
        <v/>
      </c>
      <c r="I2099" t="inlineStr">
        <is>
          <t>1</t>
        </is>
      </c>
      <c r="J2099">
        <f>((Inputs!$B$6*(1+Inputs!$B$7/100))+(((Inputs!$B$13*(1+Inputs!$B$14/100))-(Inputs!$B$13*(1+Inputs!$B$14/100)))+0.25*(Inputs!$B$15-Inputs!$B$15))*(1+Inputs!$B$7/100))*(F2099/100)</f>
        <v/>
      </c>
      <c r="K2099">
        <f>J2099*(1+(((Inputs!$B$13+IF(Inputs!$B$3&gt;=38,(10*INDEX(FactorTable!$B$2:$Y$301, MATCH(ROUND(MIN(300,MAX(1,Inputs!$B$3)),0), FactorTable!$A$2:$A$301,0), 23)/1000)/100*(Inputs!$B$8*(1+Inputs!$B$9/100)),0))*(1+Inputs!$B$14/100))*0.01+Inputs!$B$15*0.0025)/100)*(1+Inputs!$B$16/100)*(1+Inputs!$B$17/100)*(5000/(6000+Inputs!$B$43*(1-(Inputs!$B$20+0)/100)))*(1+(Inputs!$B$25+((C2114=TRUE)*(F2114-Calc!F25))+((C2115=TRUE)*(F2115-Calc!F26))+B2124)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gt;=100),MIN(100,((Inputs!$B$10+0+B2118+(ArtifactsInput!$M$24-ArtifactsInput!$M$24)*CHOOSE(ArtifactsInput!$N$24+1,10,12,14,16,18,20)+IF(ArtifactsInput!$M$10,CHOOSE(ArtifactsInput!$N$10+1,15,18,21,24,27,30)*(IF(Inputs!$B$39="pvp",MIN(15,15)/15,IF(AND(Inputs!$B$39&lt;&gt;"pvp",Inputs!$B$44&gt;0),MIN(15,Inputs!$B$44)/(Inputs!$B$44),0))),0)))-100),0))*CHOOSE(ArtifactsInput!$N$42+1,0.6,0.72,0.84,0.96,1.08,1.2))),Inputs!$B$19+((C2112=TRUE)*(F2112-Calc!F23))+(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gt;=100),CHOOSE(ArtifactsInput!$N$42+1,40,48,56,64,72,80),0))))/100)*((1+(((C2102=TRUE)*F2102*IF(AND(Inputs!$B$39&lt;&gt;"pvp",Inputs!$B$44&gt;0),(((R2102-1)*MIN((Skills!T13*(1+Inputs!$B$35/100)),(1/Q2102))+MIN((Skills!T13*(1+Inputs!$B$35/100)),MAX(0,Inputs!$B$44-((R2102-1)*(1/Q2102)))))/Inputs!$B$44),IF(Inputs!$B$39="pvp",MIN((Skills!T13*(1+Inputs!$B$35/100)),15)/15,MIN(1,(Skills!T13*(1+Inputs!$B$35/100))/(1/Q2102)))))+((C2103=TRUE)*F2103*IF(AND(Inputs!$B$39&lt;&gt;"pvp",Inputs!$B$44&gt;0),(((R2103-1)*MIN((Skills!T14*(1+Inputs!$B$35/100)),(1/Q2103))+MIN((Skills!T14*(1+Inputs!$B$35/100)),MAX(0,Inputs!$B$44-((R2103-1)*(1/Q2103)))))/Inputs!$B$44),IF(Inputs!$B$39="pvp",MIN((Skills!T14*(1+Inputs!$B$35/100)),15)/15,MIN(1,(Skills!T14*(1+Inputs!$B$35/100))/(1/Q2103)))))+((C2104=TRUE)*F2104*IF(AND(Inputs!$B$39&lt;&gt;"pvp",Inputs!$B$44&gt;0),(((R2104-1)*MIN((Skills!T15*(1+Inputs!$B$35/100)),(1/Q2104))+MIN((Skills!T15*(1+Inputs!$B$35/100)),MAX(0,Inputs!$B$44-((R2104-1)*(1/Q2104)))))/Inputs!$B$44),IF(Inputs!$B$39="pvp",MIN((Skills!T15*(1+Inputs!$B$35/100)),15)/15,MIN(1,(Skills!T15*(1+Inputs!$B$35/100))/(1/Q2104)))))+((C2105=TRUE)*F2105*IF(AND(Inputs!$B$39&lt;&gt;"pvp",Inputs!$B$44&gt;0),(((R2105-1)*MIN((Skills!T16*(1+Inputs!$B$35/100)),(1/Q2105))+MIN((Skills!T16*(1+Inputs!$B$35/100)),MAX(0,Inputs!$B$44-((R2105-1)*(1/Q2105)))))/Inputs!$B$44),IF(Inputs!$B$39="pvp",MIN((Skills!T16*(1+Inputs!$B$35/100)),15)/15,MIN(1,(Skills!T16*(1+Inputs!$B$35/100))/(1/Q2105)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2099)</f>
        <v/>
      </c>
      <c r="L2099">
        <f>K2099*(MIN(Inputs!$B$23+((C2111=TRUE)*(F2111-Calc!F22)),(Inputs!$B$24+((C2113=TRUE)*(F2113-Calc!F24))+(IF(ArtifactsInput!$M$15,CHOOSE(ArtifactsInput!$N$15+1,25,30,35,40,45,50)/100*(Inputs!$B$12-Inputs!$B$12),0))))/100+(Inputs!$B$24+((C2113=TRUE)*(F2113-Calc!F24))+(IF(ArtifactsInput!$M$15,CHOOSE(ArtifactsInput!$N$15+1,25,30,35,40,45,50)/100*(Inputs!$B$12-Inputs!$B$12),0)))/100)/2</f>
        <v/>
      </c>
      <c r="M2099">
        <f>L2099*(1+(Inputs!$B$11+0+B2123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099">
        <f>L2099*(1-MIN((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2099*(MIN((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99">
        <f>(1-Summary!$B$11)*T2099+Summary!$B$11*V2099</f>
        <v/>
      </c>
      <c r="P2099">
        <f>IF(B2128=0,0,O2099/B2128)</f>
        <v/>
      </c>
      <c r="Q2099">
        <f>IFERROR(1/IF(Inputs!$B$39="pvp",15,MAX(0.1,Skills!D10-IF(TRUE=TRUE,Inputs!$B$33,0))),0)</f>
        <v/>
      </c>
      <c r="R2099">
        <f>IF(AND(Inputs!$B$39&lt;&gt;"pvp",Inputs!$B$44&gt;0),IF(MAX(0,Inputs!$B$44-B2125)&lt;=0,0,(INT(MAX(0,Inputs!$B$44-B2125)/IF(Inputs!$B$39="pvp",15,MAX(0.1,Skills!D10-IF(TRUE=TRUE,Inputs!$B$33,0))))+1)),0)</f>
        <v/>
      </c>
      <c r="S2099">
        <f>IFERROR(O2099/N2099,0)</f>
        <v/>
      </c>
      <c r="T2099">
        <f>IF(C2099,(H2099*N2099*IF(AND(Inputs!$B$39&lt;&gt;"pvp",Inputs!$B$44&gt;0),((Skills!G10*((R2099-1)*IF(Skills!H10&gt;0,INT(Skills!I10/Skills!H10+0.000000001),1)+IF(Skills!H10&gt;0,INT(MIN(Skills!I10,MAX(0,MAX(0,Inputs!$B$44-B2125)-((R2099-1)*IF(Inputs!$B$39="pvp",15,MAX(0.1,Skills!D10-IF(TRUE=TRUE,Inputs!$B$33,0))))))/Skills!H10+0.000000001),1)))/Inputs!$B$44),G2099*Q2099))*IF(Inputs!$B$39="pvp",1,1+(Inputs!$B$21+0+Skills!P10+((C2106=TRUE)*F2106*IF(AND(Inputs!$B$39&lt;&gt;"pvp",Inputs!$B$44&gt;0),(((R2106-1)*MIN((Skills!T17*(1+Inputs!$B$35/100)),(1/Q2106))+MIN((Skills!T17*(1+Inputs!$B$35/100)),MAX(0,Inputs!$B$44-((R2106-1)*(1/Q2106)))))/Inputs!$B$44),IF(Inputs!$B$39="pvp",MIN((Skills!T17*(1+Inputs!$B$35/100)),15)/15,MIN(1,(Skills!T17*(1+Inputs!$B$35/100))/(1/Q2106)))))+((C2094=TRUE)*IF(Inputs!$B$3&gt;=126,10*MIN(1,15*Q2094),0))+((C2103=TRUE)*IF(Inputs!$B$39="pvp",20,(1-Summary!$B$11)*(20)+Summary!$B$11*(0))*IF(AND(Inputs!$B$39&lt;&gt;"pvp",Inputs!$B$44&gt;0),(((R2103-1)*MIN((Skills!T14*(1+Inputs!$B$35/100)),(1/Q2103))+MIN((Skills!T14*(1+Inputs!$B$35/100)),MAX(0,Inputs!$B$44-((R2103-1)*(1/Q2103)))))/Inputs!$B$44),IF(Inputs!$B$39="pvp",MIN((Skills!T14*(1+Inputs!$B$35/100)),15)/15,MIN(1,(Skills!T14*(1+Inputs!$B$35/100))/(1/Q2103)))))+((C2102=TRUE)*IF(Inputs!$B$3&gt;=82,IF(Inputs!$B$39="pvp",20,(1-Summary!$B$11)*(20)+Summary!$B$11*(0)),0)*IF(AND(Inputs!$B$39&lt;&gt;"pvp",Inputs!$B$44&gt;0),(((R2102-1)*MIN((Skills!T13*(1+Inputs!$B$35/100)),(1/Q2102))+MIN((Skills!T13*(1+Inputs!$B$35/100)),MAX(0,Inputs!$B$44-((R2102-1)*(1/Q2102)))))/Inputs!$B$44),IF(Inputs!$B$39="pvp",MIN((Skills!T13*(1+Inputs!$B$35/100)),15)/15,MIN(1,(Skills!T13*(1+Inputs!$B$35/100))/(1/Q2102)))))+(IF(AND(ArtifactsInput!$M$35,Inputs!$B$4&lt;&gt;"Chapter Hunt"),CHOOSE(ArtifactsInput!$N$35+1,15,18,21,24,27,30)*(1-EXP(-(0.2*B2120)*5)),0)+IF(AND(ArtifactsInput!$M$22,Inputs!$B$4&lt;&gt;"Chapter Hunt"),CHOOSE(ArtifactsInput!$N$22+1,10,12,14,16,18,20)*((0*(((0.15*B2120*5))^0/1)+1*(((0.15*B2120*5))^1/1)+2*(((0.15*B2120*5))^2/2)+3*(((0.15*B2120*5))^3/6)+4*(((0.15*B2120*5))^4/24)+5*(((0.15*B2120*5))^5/120))/((((0.15*B2120*5))^0/1)+(((0.15*B2120*5))^1/1)+(((0.15*B2120*5))^2/2)+(((0.15*B2120*5))^3/6)+(((0.15*B2120*5))^4/24)+(((0.15*B2120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2099*(1-MIN(100,(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2099*(MIN(100,(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2099*(1-MIN(100,(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2099*(MIN(100,(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099">
        <f>IF(C2099,(H2099*N2099*IF(AND(Inputs!$B$39&lt;&gt;"pvp",Inputs!$B$44&gt;0),((Skills!G10*((R2099-1)*IF(Skills!H10&gt;0,INT(Skills!I10/Skills!H10+0.000000001),1)+IF(Skills!H10&gt;0,INT(MIN(Skills!I10,MAX(0,MAX(0,Inputs!$B$44-B2125)-((R2099-1)*IF(Inputs!$B$39="pvp",15,MAX(0.1,Skills!D10-IF(TRUE=TRUE,Inputs!$B$33,0))))))/Skills!H10+0.000000001),1)))/Inputs!$B$44),G2099*Q2099))*IF(Inputs!$B$39="pvp",1,(1+(Inputs!$B$22+Skills!Q10+((C2106=TRUE)*F2106*IF(AND(Inputs!$B$39&lt;&gt;"pvp",Inputs!$B$44&gt;0),(((R2106-1)*MIN((Skills!T17*(1+Inputs!$B$35/100)),(1/Q2106))+MIN((Skills!T17*(1+Inputs!$B$35/100)),MAX(0,Inputs!$B$44-((R2106-1)*(1/Q2106)))))/Inputs!$B$44),IF(Inputs!$B$39="pvp",MIN((Skills!T17*(1+Inputs!$B$35/100)),15)/15,MIN(1,(Skills!T17*(1+Inputs!$B$35/100))/(1/Q2106)))))+((C2094=TRUE)*IF(Inputs!$B$3&gt;=126,10*MIN(1,15*Q2094),0))+((C2103=TRUE)*IF(Inputs!$B$39="pvp",20,(1-Summary!$B$11)*(20)+Summary!$B$11*(0))*IF(AND(Inputs!$B$39&lt;&gt;"pvp",Inputs!$B$44&gt;0),(((R2103-1)*MIN((Skills!T14*(1+Inputs!$B$35/100)),(1/Q2103))+MIN((Skills!T14*(1+Inputs!$B$35/100)),MAX(0,Inputs!$B$44-((R2103-1)*(1/Q2103)))))/Inputs!$B$44),IF(Inputs!$B$39="pvp",MIN((Skills!T14*(1+Inputs!$B$35/100)),15)/15,MIN(1,(Skills!T14*(1+Inputs!$B$35/100))/(1/Q2103)))))+((C2102=TRUE)*IF(Inputs!$B$3&gt;=82,IF(Inputs!$B$39="pvp",20,(1-Summary!$B$11)*(20)+Summary!$B$11*(0)),0)*IF(AND(Inputs!$B$39&lt;&gt;"pvp",Inputs!$B$44&gt;0),(((R2102-1)*MIN((Skills!T13*(1+Inputs!$B$35/100)),(1/Q2102))+MIN((Skills!T13*(1+Inputs!$B$35/100)),MAX(0,Inputs!$B$44-((R2102-1)*(1/Q2102)))))/Inputs!$B$44),IF(Inputs!$B$39="pvp",MIN((Skills!T13*(1+Inputs!$B$35/100)),15)/15,MIN(1,(Skills!T13*(1+Inputs!$B$35/100))/(1/Q2102)))))+(IF(AND(ArtifactsInput!$M$35,Inputs!$B$4&lt;&gt;"Chapter Hunt"),CHOOSE(ArtifactsInput!$N$35+1,15,18,21,24,27,30)*(1-EXP(-(0.2*B2120)*5)),0)+IF(AND(ArtifactsInput!$M$22,Inputs!$B$4&lt;&gt;"Chapter Hunt"),CHOOSE(ArtifactsInput!$N$22+1,10,12,14,16,18,20)*((0*(((0.15*B2120*5))^0/1)+1*(((0.15*B2120*5))^1/1)+2*(((0.15*B2120*5))^2/2)+3*(((0.15*B2120*5))^3/6)+4*(((0.15*B2120*5))^4/24)+5*(((0.15*B2120*5))^5/120))/((((0.15*B2120*5))^0/1)+(((0.15*B2120*5))^1/1)+(((0.15*B2120*5))^2/2)+(((0.15*B2120*5))^3/6)+(((0.15*B2120*5))^4/24)+(((0.15*B2120*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00">
      <c r="A2100">
        <f>Skills!A11</f>
        <v/>
      </c>
      <c r="B2100">
        <f>Skills!B11</f>
        <v/>
      </c>
      <c r="C2100">
        <f>Inputs!$B$3&gt;=100</f>
        <v/>
      </c>
      <c r="D2100">
        <f>IF(Skills!C11=1,60+Inputs!$B$26+Inputs!$B$30,IF(Skills!C11=2,90+Inputs!$B$27+Inputs!$B$30,IF(Skills!C11=3,120+Inputs!$B$28+Inputs!$B$30,MAX(0,(Inputs!$B$3-100)*3)+Inputs!$B$29+Inputs!$B$30)))</f>
        <v/>
      </c>
      <c r="E2100">
        <f>INDEX(FactorTable!$B$2:$Y$301, MATCH(ROUND(MIN(300,MAX(1,D2100)),0), FactorTable!$A$2:$A$301,0), Skills!M11+1)</f>
        <v/>
      </c>
      <c r="F2100">
        <f>IF(Skills!N11=TRUE,(Skills!L11/10)*(E2100/1000),Skills!L11/10)+Skills!O11</f>
        <v/>
      </c>
      <c r="G2100" t="inlineStr"/>
      <c r="H2100" t="inlineStr"/>
      <c r="I2100" t="inlineStr">
        <is>
          <t>1</t>
        </is>
      </c>
      <c r="J2100" t="inlineStr"/>
      <c r="K2100" t="inlineStr"/>
      <c r="L2100" t="inlineStr"/>
      <c r="M2100" t="inlineStr"/>
      <c r="N2100" t="inlineStr"/>
      <c r="O2100" t="inlineStr"/>
      <c r="P2100" t="inlineStr"/>
      <c r="Q2100" t="inlineStr"/>
      <c r="R2100" t="inlineStr"/>
      <c r="S2100" t="inlineStr"/>
    </row>
    <row r="2101">
      <c r="A2101">
        <f>Skills!A12</f>
        <v/>
      </c>
      <c r="B2101">
        <f>Skills!B12</f>
        <v/>
      </c>
      <c r="C2101">
        <f>Inputs!$B$3&gt;=63</f>
        <v/>
      </c>
      <c r="D2101">
        <f>IF(Skills!C12=1,60+Inputs!$B$26+Inputs!$B$30,IF(Skills!C12=2,90+Inputs!$B$27+Inputs!$B$30,IF(Skills!C12=3,120+Inputs!$B$28+Inputs!$B$30,MAX(0,(Inputs!$B$3-100)*3)+Inputs!$B$29+Inputs!$B$30)))</f>
        <v/>
      </c>
      <c r="E2101">
        <f>INDEX(FactorTable!$B$2:$Y$301, MATCH(ROUND(MIN(300,MAX(1,D2101)),0), FactorTable!$A$2:$A$301,0), Skills!M12+1)</f>
        <v/>
      </c>
      <c r="F2101">
        <f>IF(Skills!N12=TRUE,(Skills!L12/10)*(E2101/1000),Skills!L12/10)+Skills!O12</f>
        <v/>
      </c>
      <c r="G2101">
        <f>Skills!G12*IF(Skills!H12&gt;0,INT(IF(Inputs!$B$39="pvp",MIN(Skills!I12,15),Skills!I12)/Skills!H12+0.000000001),1)</f>
        <v/>
      </c>
      <c r="H2101">
        <f>1-(1-Skills!J12/100)^Skills!K12</f>
        <v/>
      </c>
      <c r="I2101" t="inlineStr">
        <is>
          <t>1</t>
        </is>
      </c>
      <c r="J2101">
        <f>((Inputs!$B$6*(1+Inputs!$B$7/100))+(((Inputs!$B$13*(1+Inputs!$B$14/100))-(Inputs!$B$13*(1+Inputs!$B$14/100)))+0.25*(Inputs!$B$15-Inputs!$B$15))*(1+Inputs!$B$7/100))*(F2101/100)</f>
        <v/>
      </c>
      <c r="K2101">
        <f>J2101*(1+(((Inputs!$B$13+IF(Inputs!$B$3&gt;=38,(10*INDEX(FactorTable!$B$2:$Y$301, MATCH(ROUND(MIN(300,MAX(1,Inputs!$B$3)),0), FactorTable!$A$2:$A$301,0), 23)/1000)/100*(Inputs!$B$8*(1+Inputs!$B$9/100)),0))*(1+Inputs!$B$14/100))*0.01+Inputs!$B$15*0.0025)/100)*(1+Inputs!$B$16/100)*(1+Inputs!$B$17/100)*(5000/(6000+Inputs!$B$43*(1-(Inputs!$B$20+0)/100)))*(1+(Inputs!$B$25+((C2114=TRUE)*(F2114-Calc!F25))+((C2115=TRUE)*(F2115-Calc!F26))+B2124)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2100=TRUE,F2100,0)/100)*(1+(IF(Skills!A12="DARK_IMPALE",Inputs!$B$18+0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gt;=100),MIN(100,((Inputs!$B$10+0+B2118+(ArtifactsInput!$M$24-ArtifactsInput!$M$24)*CHOOSE(ArtifactsInput!$N$24+1,10,12,14,16,18,20)+IF(ArtifactsInput!$M$10,CHOOSE(ArtifactsInput!$N$10+1,15,18,21,24,27,30)*(IF(Inputs!$B$39="pvp",MIN(15,15)/15,IF(AND(Inputs!$B$39&lt;&gt;"pvp",Inputs!$B$44&gt;0),MIN(15,Inputs!$B$44)/(Inputs!$B$44),0))),0)))-100),0))*CHOOSE(ArtifactsInput!$N$42+1,0.6,0.72,0.84,0.96,1.08,1.2))),Inputs!$B$19+((C2112=TRUE)*(F2112-Calc!F23))+(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gt;=100),CHOOSE(ArtifactsInput!$N$42+1,40,48,56,64,72,80),0))))/100)*((1+(((C2102=TRUE)*F2102*IF(AND(Inputs!$B$39&lt;&gt;"pvp",Inputs!$B$44&gt;0),(((R2102-1)*MIN((Skills!T13*(1+Inputs!$B$35/100)),(1/Q2102))+MIN((Skills!T13*(1+Inputs!$B$35/100)),MAX(0,Inputs!$B$44-((R2102-1)*(1/Q2102)))))/Inputs!$B$44),IF(Inputs!$B$39="pvp",MIN((Skills!T13*(1+Inputs!$B$35/100)),15)/15,MIN(1,(Skills!T13*(1+Inputs!$B$35/100))/(1/Q2102)))))+((C2103=TRUE)*F2103*IF(AND(Inputs!$B$39&lt;&gt;"pvp",Inputs!$B$44&gt;0),(((R2103-1)*MIN((Skills!T14*(1+Inputs!$B$35/100)),(1/Q2103))+MIN((Skills!T14*(1+Inputs!$B$35/100)),MAX(0,Inputs!$B$44-((R2103-1)*(1/Q2103)))))/Inputs!$B$44),IF(Inputs!$B$39="pvp",MIN((Skills!T14*(1+Inputs!$B$35/100)),15)/15,MIN(1,(Skills!T14*(1+Inputs!$B$35/100))/(1/Q2103)))))+((C2104=TRUE)*F2104*IF(AND(Inputs!$B$39&lt;&gt;"pvp",Inputs!$B$44&gt;0),(((R2104-1)*MIN((Skills!T15*(1+Inputs!$B$35/100)),(1/Q2104))+MIN((Skills!T15*(1+Inputs!$B$35/100)),MAX(0,Inputs!$B$44-((R2104-1)*(1/Q2104)))))/Inputs!$B$44),IF(Inputs!$B$39="pvp",MIN((Skills!T15*(1+Inputs!$B$35/100)),15)/15,MIN(1,(Skills!T15*(1+Inputs!$B$35/100))/(1/Q2104)))))+((C2105=TRUE)*F2105*IF(AND(Inputs!$B$39&lt;&gt;"pvp",Inputs!$B$44&gt;0),(((R2105-1)*MIN((Skills!T16*(1+Inputs!$B$35/100)),(1/Q2105))+MIN((Skills!T16*(1+Inputs!$B$35/100)),MAX(0,Inputs!$B$44-((R2105-1)*(1/Q2105)))))/Inputs!$B$44),IF(Inputs!$B$39="pvp",MIN((Skills!T16*(1+Inputs!$B$35/100)),15)/15,MIN(1,(Skills!T16*(1+Inputs!$B$35/100))/(1/Q2105)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2101)</f>
        <v/>
      </c>
      <c r="L2101">
        <f>K2101*(MIN(Inputs!$B$23+((C2111=TRUE)*(F2111-Calc!F22)),(Inputs!$B$24+((C2113=TRUE)*(F2113-Calc!F24))+(IF(ArtifactsInput!$M$15,CHOOSE(ArtifactsInput!$N$15+1,25,30,35,40,45,50)/100*(Inputs!$B$12-Inputs!$B$12),0))))/100+(Inputs!$B$24+((C2113=TRUE)*(F2113-Calc!F24))+(IF(ArtifactsInput!$M$15,CHOOSE(ArtifactsInput!$N$15+1,25,30,35,40,45,50)/100*(Inputs!$B$12-Inputs!$B$12),0)))/100)/2</f>
        <v/>
      </c>
      <c r="M2101">
        <f>L2101*(1+(Inputs!$B$11+0+B2123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101">
        <f>L2101*(1-MIN((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2101*(MIN((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01">
        <f>(1-Summary!$B$11)*T2101+Summary!$B$11*V2101</f>
        <v/>
      </c>
      <c r="P2101">
        <f>IF(B2128=0,0,O2101/B2128)</f>
        <v/>
      </c>
      <c r="Q2101">
        <f>IFERROR(1/IF(Inputs!$B$39="pvp",15,MAX(0.1,Skills!D12-IF(TRUE=TRUE,Inputs!$B$33,0))),0)</f>
        <v/>
      </c>
      <c r="R2101">
        <f>IF(AND(Inputs!$B$39&lt;&gt;"pvp",Inputs!$B$44&gt;0),IF(MAX(0,Inputs!$B$44-B2125)&lt;=0,0,(INT(MAX(0,Inputs!$B$44-B2125)/IF(Inputs!$B$39="pvp",15,MAX(0.1,Skills!D12-IF(TRUE=TRUE,Inputs!$B$33,0))))+1)),0)</f>
        <v/>
      </c>
      <c r="S2101">
        <f>IFERROR(O2101/N2101,0)</f>
        <v/>
      </c>
      <c r="T2101">
        <f>IF(C2101,(H2101*N2101*IF(AND(Inputs!$B$39&lt;&gt;"pvp",Inputs!$B$44&gt;0),((Skills!G12*((R2101-1)*IF(Skills!H12&gt;0,INT(Skills!I12/Skills!H12+0.000000001),1)+IF(Skills!H12&gt;0,INT(MIN(Skills!I12,MAX(0,MAX(0,Inputs!$B$44-B2125)-((R2101-1)*IF(Inputs!$B$39="pvp",15,MAX(0.1,Skills!D12-IF(TRUE=TRUE,Inputs!$B$33,0))))))/Skills!H12+0.000000001),1)))/Inputs!$B$44),G2101*Q2101))*IF(Inputs!$B$39="pvp",1,1+(Inputs!$B$21+0+Skills!P12+((C2106=TRUE)*F2106*IF(AND(Inputs!$B$39&lt;&gt;"pvp",Inputs!$B$44&gt;0),(((R2106-1)*MIN((Skills!T17*(1+Inputs!$B$35/100)),(1/Q2106))+MIN((Skills!T17*(1+Inputs!$B$35/100)),MAX(0,Inputs!$B$44-((R2106-1)*(1/Q2106)))))/Inputs!$B$44),IF(Inputs!$B$39="pvp",MIN((Skills!T17*(1+Inputs!$B$35/100)),15)/15,MIN(1,(Skills!T17*(1+Inputs!$B$35/100))/(1/Q2106)))))+((C2094=TRUE)*IF(Inputs!$B$3&gt;=126,10*MIN(1,15*Q2094),0))+((C2103=TRUE)*IF(Inputs!$B$39="pvp",20,(1-Summary!$B$11)*(20)+Summary!$B$11*(0))*IF(AND(Inputs!$B$39&lt;&gt;"pvp",Inputs!$B$44&gt;0),(((R2103-1)*MIN((Skills!T14*(1+Inputs!$B$35/100)),(1/Q2103))+MIN((Skills!T14*(1+Inputs!$B$35/100)),MAX(0,Inputs!$B$44-((R2103-1)*(1/Q2103)))))/Inputs!$B$44),IF(Inputs!$B$39="pvp",MIN((Skills!T14*(1+Inputs!$B$35/100)),15)/15,MIN(1,(Skills!T14*(1+Inputs!$B$35/100))/(1/Q2103)))))+((C2102=TRUE)*IF(Inputs!$B$3&gt;=82,IF(Inputs!$B$39="pvp",20,(1-Summary!$B$11)*(20)+Summary!$B$11*(0)),0)*IF(AND(Inputs!$B$39&lt;&gt;"pvp",Inputs!$B$44&gt;0),(((R2102-1)*MIN((Skills!T13*(1+Inputs!$B$35/100)),(1/Q2102))+MIN((Skills!T13*(1+Inputs!$B$35/100)),MAX(0,Inputs!$B$44-((R2102-1)*(1/Q2102)))))/Inputs!$B$44),IF(Inputs!$B$39="pvp",MIN((Skills!T13*(1+Inputs!$B$35/100)),15)/15,MIN(1,(Skills!T13*(1+Inputs!$B$35/100))/(1/Q2102)))))+(IF(AND(ArtifactsInput!$M$35,Inputs!$B$4&lt;&gt;"Chapter Hunt"),CHOOSE(ArtifactsInput!$N$35+1,15,18,21,24,27,30)*(1-EXP(-(0.2*B2120)*5)),0)+IF(AND(ArtifactsInput!$M$22,Inputs!$B$4&lt;&gt;"Chapter Hunt"),CHOOSE(ArtifactsInput!$N$22+1,10,12,14,16,18,20)*((0*(((0.15*B2120*5))^0/1)+1*(((0.15*B2120*5))^1/1)+2*(((0.15*B2120*5))^2/2)+3*(((0.15*B2120*5))^3/6)+4*(((0.15*B2120*5))^4/24)+5*(((0.15*B2120*5))^5/120))/((((0.15*B2120*5))^0/1)+(((0.15*B2120*5))^1/1)+(((0.15*B2120*5))^2/2)+(((0.15*B2120*5))^3/6)+(((0.15*B2120*5))^4/24)+(((0.15*B2120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2101*(1-MIN(100,(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2101*(MIN(100,(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2101*(1-MIN(100,(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2101*(MIN(100,(Inputs!$B$10+0+B2118+(ArtifactsInput!$M$24-ArtifactsInput!$M$24)*CHOOSE(ArtifactsInput!$N$24+1,10,12,14,16,18,20)+(IF(AND(Inputs!$B$39&lt;&gt;"pvp",Inputs!$B$44=0),1,IF(IF(Inputs!$B$39="pvp",15,Inputs!$B$44)-(B2125)&lt;=0,1,MAX(0,IF(Inputs!$B$39="pvp",15,Inputs!$B$44)-MAX(5,B2125))/(IF(Inputs!$B$39="pvp",15,Inputs!$B$44)-(B2125))))*IF(AND(ArtifactsInput!$M$42,((Inputs!$B$10+0+B2118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01">
        <f>IF(C2101,(H2101*N2101*IF(AND(Inputs!$B$39&lt;&gt;"pvp",Inputs!$B$44&gt;0),((Skills!G12*((R2101-1)*IF(Skills!H12&gt;0,INT(Skills!I12/Skills!H12+0.000000001),1)+IF(Skills!H12&gt;0,INT(MIN(Skills!I12,MAX(0,MAX(0,Inputs!$B$44-B2125)-((R2101-1)*IF(Inputs!$B$39="pvp",15,MAX(0.1,Skills!D12-IF(TRUE=TRUE,Inputs!$B$33,0))))))/Skills!H12+0.000000001),1)))/Inputs!$B$44),G2101*Q2101))*IF(Inputs!$B$39="pvp",1,(1+(Inputs!$B$22+Skills!Q12+((C2106=TRUE)*F2106*IF(AND(Inputs!$B$39&lt;&gt;"pvp",Inputs!$B$44&gt;0),(((R2106-1)*MIN((Skills!T17*(1+Inputs!$B$35/100)),(1/Q2106))+MIN((Skills!T17*(1+Inputs!$B$35/100)),MAX(0,Inputs!$B$44-((R2106-1)*(1/Q2106)))))/Inputs!$B$44),IF(Inputs!$B$39="pvp",MIN((Skills!T17*(1+Inputs!$B$35/100)),15)/15,MIN(1,(Skills!T17*(1+Inputs!$B$35/100))/(1/Q2106)))))+((C2094=TRUE)*IF(Inputs!$B$3&gt;=126,10*MIN(1,15*Q2094),0))+((C2103=TRUE)*IF(Inputs!$B$39="pvp",20,(1-Summary!$B$11)*(20)+Summary!$B$11*(0))*IF(AND(Inputs!$B$39&lt;&gt;"pvp",Inputs!$B$44&gt;0),(((R2103-1)*MIN((Skills!T14*(1+Inputs!$B$35/100)),(1/Q2103))+MIN((Skills!T14*(1+Inputs!$B$35/100)),MAX(0,Inputs!$B$44-((R2103-1)*(1/Q2103)))))/Inputs!$B$44),IF(Inputs!$B$39="pvp",MIN((Skills!T14*(1+Inputs!$B$35/100)),15)/15,MIN(1,(Skills!T14*(1+Inputs!$B$35/100))/(1/Q2103)))))+((C2102=TRUE)*IF(Inputs!$B$3&gt;=82,IF(Inputs!$B$39="pvp",20,(1-Summary!$B$11)*(20)+Summary!$B$11*(0)),0)*IF(AND(Inputs!$B$39&lt;&gt;"pvp",Inputs!$B$44&gt;0),(((R2102-1)*MIN((Skills!T13*(1+Inputs!$B$35/100)),(1/Q2102))+MIN((Skills!T13*(1+Inputs!$B$35/100)),MAX(0,Inputs!$B$44-((R2102-1)*(1/Q2102)))))/Inputs!$B$44),IF(Inputs!$B$39="pvp",MIN((Skills!T13*(1+Inputs!$B$35/100)),15)/15,MIN(1,(Skills!T13*(1+Inputs!$B$35/100))/(1/Q2102)))))+(IF(AND(ArtifactsInput!$M$35,Inputs!$B$4&lt;&gt;"Chapter Hunt"),CHOOSE(ArtifactsInput!$N$35+1,15,18,21,24,27,30)*(1-EXP(-(0.2*B2120)*5)),0)+IF(AND(ArtifactsInput!$M$22,Inputs!$B$4&lt;&gt;"Chapter Hunt"),CHOOSE(ArtifactsInput!$N$22+1,10,12,14,16,18,20)*((0*(((0.15*B2120*5))^0/1)+1*(((0.15*B2120*5))^1/1)+2*(((0.15*B2120*5))^2/2)+3*(((0.15*B2120*5))^3/6)+4*(((0.15*B2120*5))^4/24)+5*(((0.15*B2120*5))^5/120))/((((0.15*B2120*5))^0/1)+(((0.15*B2120*5))^1/1)+(((0.15*B2120*5))^2/2)+(((0.15*B2120*5))^3/6)+(((0.15*B2120*5))^4/24)+(((0.15*B2120*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02">
      <c r="A2102">
        <f>Skills!A13</f>
        <v/>
      </c>
      <c r="B2102">
        <f>Skills!B13</f>
        <v/>
      </c>
      <c r="C2102">
        <f>Inputs!$B$3&gt;=69</f>
        <v/>
      </c>
      <c r="D2102">
        <f>IF(Skills!C13=1,60+Inputs!$B$26+Inputs!$B$30,IF(Skills!C13=2,90+Inputs!$B$27+Inputs!$B$30,IF(Skills!C13=3,120+Inputs!$B$28+Inputs!$B$30,MAX(0,(Inputs!$B$3-100)*3)+Inputs!$B$29+Inputs!$B$30)))</f>
        <v/>
      </c>
      <c r="E2102">
        <f>INDEX(FactorTable!$B$2:$Y$301, MATCH(ROUND(MIN(300,MAX(1,D2102)),0), FactorTable!$A$2:$A$301,0), Skills!M13+1)</f>
        <v/>
      </c>
      <c r="F2102">
        <f>IF(Skills!N13=TRUE,(Skills!L13/10)*(E2102/1000),Skills!L13/10)+Skills!O13</f>
        <v/>
      </c>
      <c r="G2102">
        <f>Skills!G13*IF(Skills!H13&gt;0,INT(IF(Inputs!$B$39="pvp",MIN(Skills!I13,15),Skills!I13)/Skills!H13+0.000000001),1)</f>
        <v/>
      </c>
      <c r="H2102">
        <f>1-(1-Skills!J13/100)^Skills!K13</f>
        <v/>
      </c>
      <c r="I2102" t="inlineStr">
        <is>
          <t>1</t>
        </is>
      </c>
      <c r="J2102" t="inlineStr"/>
      <c r="K2102" t="inlineStr"/>
      <c r="L2102" t="inlineStr"/>
      <c r="M2102" t="inlineStr"/>
      <c r="N2102" t="inlineStr"/>
      <c r="O2102">
        <f>(1-Summary!$B$11)*T2102+Summary!$B$11*V2102</f>
        <v/>
      </c>
      <c r="P2102">
        <f>IF(B2128=0,0,O2102/B2128)</f>
        <v/>
      </c>
      <c r="Q2102">
        <f>IFERROR(1/IF(Inputs!$B$39="pvp",15,MAX(0.1,Skills!D13-IF(TRUE=TRUE,Inputs!$B$33,0))),0)</f>
        <v/>
      </c>
      <c r="R2102">
        <f>IF(AND(Inputs!$B$39&lt;&gt;"pvp",Inputs!$B$44&gt;0),IF(Inputs!$B$44&lt;=0,0,(INT(Inputs!$B$44/IF(Inputs!$B$39="pvp",15,MAX(0.1,Skills!D13-IF(TRUE=TRUE,Inputs!$B$33,0))))+1)),0)</f>
        <v/>
      </c>
      <c r="S2102">
        <f>IFERROR(O2102/N2102,0)</f>
        <v/>
      </c>
      <c r="T2102" t="n">
        <v>0</v>
      </c>
      <c r="V2102" t="n">
        <v>0</v>
      </c>
    </row>
    <row r="2103">
      <c r="A2103">
        <f>Skills!A14</f>
        <v/>
      </c>
      <c r="B2103">
        <f>Skills!B14</f>
        <v/>
      </c>
      <c r="C2103">
        <f>Inputs!$B$3&gt;=115</f>
        <v/>
      </c>
      <c r="D2103">
        <f>IF(Skills!C14=1,60+Inputs!$B$26+Inputs!$B$30,IF(Skills!C14=2,90+Inputs!$B$27+Inputs!$B$30,IF(Skills!C14=3,120+Inputs!$B$28+Inputs!$B$30,MAX(0,(Inputs!$B$3-100)*3)+Inputs!$B$29+Inputs!$B$30)))</f>
        <v/>
      </c>
      <c r="E2103">
        <f>INDEX(FactorTable!$B$2:$Y$301, MATCH(ROUND(MIN(300,MAX(1,D2103)),0), FactorTable!$A$2:$A$301,0), Skills!M14+1)</f>
        <v/>
      </c>
      <c r="F2103">
        <f>IF(Skills!N14=TRUE,(Skills!L14/10)*(E2103/1000),Skills!L14/10)+Skills!O14</f>
        <v/>
      </c>
      <c r="G2103">
        <f>Skills!G14*IF(Skills!H14&gt;0,INT(IF(Inputs!$B$39="pvp",MIN(Skills!I14,15),Skills!I14)/Skills!H14+0.000000001),1)</f>
        <v/>
      </c>
      <c r="H2103">
        <f>1-(1-Skills!J14/100)^Skills!K14</f>
        <v/>
      </c>
      <c r="I2103" t="inlineStr">
        <is>
          <t>1</t>
        </is>
      </c>
      <c r="J2103" t="inlineStr"/>
      <c r="K2103" t="inlineStr"/>
      <c r="L2103" t="inlineStr"/>
      <c r="M2103" t="inlineStr"/>
      <c r="N2103" t="inlineStr"/>
      <c r="O2103">
        <f>(1-Summary!$B$11)*T2103+Summary!$B$11*V2103</f>
        <v/>
      </c>
      <c r="P2103">
        <f>IF(B2128=0,0,O2103/B2128)</f>
        <v/>
      </c>
      <c r="Q2103">
        <f>IFERROR(1/IF(Inputs!$B$39="pvp",15,MAX(0.1,Skills!D14-IF(TRUE=TRUE,Inputs!$B$33,0))),0)</f>
        <v/>
      </c>
      <c r="R2103">
        <f>IF(AND(Inputs!$B$39&lt;&gt;"pvp",Inputs!$B$44&gt;0),IF(Inputs!$B$44&lt;=0,0,(INT(Inputs!$B$44/IF(Inputs!$B$39="pvp",15,MAX(0.1,Skills!D14-IF(TRUE=TRUE,Inputs!$B$33,0))))+1)),0)</f>
        <v/>
      </c>
      <c r="S2103">
        <f>IFERROR(O2103/N2103,0)</f>
        <v/>
      </c>
      <c r="T2103" t="n">
        <v>0</v>
      </c>
      <c r="V2103" t="n">
        <v>0</v>
      </c>
    </row>
    <row r="2104">
      <c r="A2104">
        <f>Skills!A15</f>
        <v/>
      </c>
      <c r="B2104">
        <f>Skills!B15</f>
        <v/>
      </c>
      <c r="C2104">
        <f>Inputs!$B$3&gt;=66</f>
        <v/>
      </c>
      <c r="D2104">
        <f>IF(Skills!C15=1,60+Inputs!$B$26+Inputs!$B$30,IF(Skills!C15=2,90+Inputs!$B$27+Inputs!$B$30,IF(Skills!C15=3,120+Inputs!$B$28+Inputs!$B$30,MAX(0,(Inputs!$B$3-100)*3)+Inputs!$B$29+Inputs!$B$30)))</f>
        <v/>
      </c>
      <c r="E2104">
        <f>INDEX(FactorTable!$B$2:$Y$301, MATCH(ROUND(MIN(300,MAX(1,D2104)),0), FactorTable!$A$2:$A$301,0), Skills!M15+1)</f>
        <v/>
      </c>
      <c r="F2104">
        <f>IF(Skills!N15=TRUE,(Skills!L15/10)*(E2104/1000),Skills!L15/10)+Skills!O15</f>
        <v/>
      </c>
      <c r="G2104">
        <f>Skills!G15*IF(Skills!H15&gt;0,INT(IF(Inputs!$B$39="pvp",MIN(Skills!I15,15),Skills!I15)/Skills!H15+0.000000001),1)</f>
        <v/>
      </c>
      <c r="H2104">
        <f>1-(1-Skills!J15/100)^Skills!K15</f>
        <v/>
      </c>
      <c r="I2104" t="inlineStr">
        <is>
          <t>1</t>
        </is>
      </c>
      <c r="J2104" t="inlineStr"/>
      <c r="K2104" t="inlineStr"/>
      <c r="L2104" t="inlineStr"/>
      <c r="M2104" t="inlineStr"/>
      <c r="N2104" t="inlineStr"/>
      <c r="O2104">
        <f>(1-Summary!$B$11)*T2104+Summary!$B$11*V2104</f>
        <v/>
      </c>
      <c r="P2104">
        <f>IF(B2128=0,0,O2104/B2128)</f>
        <v/>
      </c>
      <c r="Q2104">
        <f>IFERROR(1/IF(Inputs!$B$39="pvp",15,MAX(0.1,Skills!D15-IF(TRUE=TRUE,Inputs!$B$33,0))),0)</f>
        <v/>
      </c>
      <c r="R2104">
        <f>IF(AND(Inputs!$B$39&lt;&gt;"pvp",Inputs!$B$44&gt;0),IF(Inputs!$B$44&lt;=0,0,(INT(Inputs!$B$44/IF(Inputs!$B$39="pvp",15,MAX(0.1,Skills!D15-IF(TRUE=TRUE,Inputs!$B$33,0))))+1)),0)</f>
        <v/>
      </c>
      <c r="S2104">
        <f>IFERROR(O2104/N2104,0)</f>
        <v/>
      </c>
      <c r="T2104" t="n">
        <v>0</v>
      </c>
      <c r="V2104" t="n">
        <v>0</v>
      </c>
    </row>
    <row r="2105">
      <c r="A2105">
        <f>Skills!A16</f>
        <v/>
      </c>
      <c r="B2105">
        <f>Skills!B16</f>
        <v/>
      </c>
      <c r="C2105">
        <f>Inputs!$B$3&gt;=45</f>
        <v/>
      </c>
      <c r="D2105">
        <f>IF(Skills!C16=1,60+Inputs!$B$26+Inputs!$B$30,IF(Skills!C16=2,90+Inputs!$B$27+Inputs!$B$30,IF(Skills!C16=3,120+Inputs!$B$28+Inputs!$B$30,MAX(0,(Inputs!$B$3-100)*3)+Inputs!$B$29+Inputs!$B$30)))</f>
        <v/>
      </c>
      <c r="E2105">
        <f>INDEX(FactorTable!$B$2:$Y$301, MATCH(ROUND(MIN(300,MAX(1,D2105)),0), FactorTable!$A$2:$A$301,0), Skills!M16+1)</f>
        <v/>
      </c>
      <c r="F2105">
        <f>IF(Skills!N16=TRUE,(Skills!L16/10)*(E2105/1000),Skills!L16/10)+Skills!O16</f>
        <v/>
      </c>
      <c r="G2105">
        <f>Skills!G16*IF(Skills!H16&gt;0,INT(IF(Inputs!$B$39="pvp",MIN(Skills!I16,15),Skills!I16)/Skills!H16+0.000000001),1)</f>
        <v/>
      </c>
      <c r="H2105">
        <f>1-(1-Skills!J16/100)^Skills!K16</f>
        <v/>
      </c>
      <c r="I2105" t="inlineStr">
        <is>
          <t>1</t>
        </is>
      </c>
      <c r="J2105" t="inlineStr"/>
      <c r="K2105" t="inlineStr"/>
      <c r="L2105" t="inlineStr"/>
      <c r="M2105" t="inlineStr"/>
      <c r="N2105" t="inlineStr"/>
      <c r="O2105">
        <f>(1-Summary!$B$11)*T2105+Summary!$B$11*V2105</f>
        <v/>
      </c>
      <c r="P2105">
        <f>IF(B2128=0,0,O2105/B2128)</f>
        <v/>
      </c>
      <c r="Q2105">
        <f>IFERROR(1/IF(Inputs!$B$39="pvp",15,MAX(0.1,Skills!D16-IF(TRUE=TRUE,Inputs!$B$33,0))),0)</f>
        <v/>
      </c>
      <c r="R2105">
        <f>IF(AND(Inputs!$B$39&lt;&gt;"pvp",Inputs!$B$44&gt;0),IF(Inputs!$B$44&lt;=0,0,(INT(Inputs!$B$44/IF(Inputs!$B$39="pvp",15,MAX(0.1,Skills!D16-IF(TRUE=TRUE,Inputs!$B$33,0))))+1)),0)</f>
        <v/>
      </c>
      <c r="S2105">
        <f>IFERROR(O2105/N2105,0)</f>
        <v/>
      </c>
      <c r="T2105" t="n">
        <v>0</v>
      </c>
      <c r="V2105" t="n">
        <v>0</v>
      </c>
    </row>
    <row r="2106">
      <c r="A2106">
        <f>Skills!A17</f>
        <v/>
      </c>
      <c r="B2106">
        <f>Skills!B17</f>
        <v/>
      </c>
      <c r="C2106">
        <f>Inputs!$B$3&gt;=35</f>
        <v/>
      </c>
      <c r="D2106">
        <f>IF(Skills!C17=1,60+Inputs!$B$26+Inputs!$B$30,IF(Skills!C17=2,90+Inputs!$B$27+Inputs!$B$30,IF(Skills!C17=3,120+Inputs!$B$28+Inputs!$B$30,MAX(0,(Inputs!$B$3-100)*3)+Inputs!$B$29+Inputs!$B$30)))</f>
        <v/>
      </c>
      <c r="E2106">
        <f>INDEX(FactorTable!$B$2:$Y$301, MATCH(ROUND(MIN(300,MAX(1,D2106)),0), FactorTable!$A$2:$A$301,0), Skills!M17+1)</f>
        <v/>
      </c>
      <c r="F2106">
        <f>IF(Skills!N17=TRUE,(Skills!L17/10)*(E2106/1000),Skills!L17/10)+Skills!O17</f>
        <v/>
      </c>
      <c r="G2106">
        <f>Skills!G17*IF(Skills!H17&gt;0,INT(IF(Inputs!$B$39="pvp",MIN(Skills!I17,15),Skills!I17)/Skills!H17+0.000000001),1)</f>
        <v/>
      </c>
      <c r="H2106">
        <f>1-(1-Skills!J17/100)^Skills!K17</f>
        <v/>
      </c>
      <c r="I2106" t="inlineStr">
        <is>
          <t>1</t>
        </is>
      </c>
      <c r="J2106" t="inlineStr"/>
      <c r="K2106" t="inlineStr"/>
      <c r="L2106" t="inlineStr"/>
      <c r="M2106" t="inlineStr"/>
      <c r="N2106" t="inlineStr"/>
      <c r="O2106">
        <f>(1-Summary!$B$11)*T2106+Summary!$B$11*V2106</f>
        <v/>
      </c>
      <c r="P2106">
        <f>IF(B2128=0,0,O2106/B2128)</f>
        <v/>
      </c>
      <c r="Q2106">
        <f>IFERROR(1/IF(Inputs!$B$39="pvp",15,MAX(0.1,Skills!D17-IF(TRUE=TRUE,Inputs!$B$33,0))),0)</f>
        <v/>
      </c>
      <c r="R2106">
        <f>IF(AND(Inputs!$B$39&lt;&gt;"pvp",Inputs!$B$44&gt;0),IF(Inputs!$B$44&lt;=0,0,(INT(Inputs!$B$44/IF(Inputs!$B$39="pvp",15,MAX(0.1,Skills!D17-IF(TRUE=TRUE,Inputs!$B$33,0))))+1)),0)</f>
        <v/>
      </c>
      <c r="S2106">
        <f>IFERROR(O2106/N2106,0)</f>
        <v/>
      </c>
      <c r="T2106" t="n">
        <v>0</v>
      </c>
      <c r="V2106" t="n">
        <v>0</v>
      </c>
    </row>
    <row r="2107">
      <c r="A2107">
        <f>Skills!A18</f>
        <v/>
      </c>
      <c r="B2107">
        <f>Skills!B18</f>
        <v/>
      </c>
      <c r="C2107">
        <f>Inputs!$B$3&gt;=72</f>
        <v/>
      </c>
      <c r="D2107">
        <f>IF(Skills!C18=1,60+Inputs!$B$26+Inputs!$B$30,IF(Skills!C18=2,90+Inputs!$B$27+Inputs!$B$30,IF(Skills!C18=3,120+Inputs!$B$28+Inputs!$B$30,MAX(0,(Inputs!$B$3-100)*3)+Inputs!$B$29+Inputs!$B$30)))</f>
        <v/>
      </c>
      <c r="E2107">
        <f>INDEX(FactorTable!$B$2:$Y$301, MATCH(ROUND(MIN(300,MAX(1,D2107)),0), FactorTable!$A$2:$A$301,0), Skills!M18+1)</f>
        <v/>
      </c>
      <c r="F2107">
        <f>IF(Skills!N18=TRUE,(Skills!L18/10)*(E2107/1000),Skills!L18/10)+Skills!O18</f>
        <v/>
      </c>
      <c r="G2107">
        <f>Skills!G18*IF(Skills!H18&gt;0,INT(IF(Inputs!$B$39="pvp",MIN(Skills!I18,15),Skills!I18)/Skills!H18+0.000000001),1)</f>
        <v/>
      </c>
      <c r="H2107">
        <f>1-(1-Skills!J18/100)^Skills!K18</f>
        <v/>
      </c>
      <c r="I2107" t="inlineStr">
        <is>
          <t>1</t>
        </is>
      </c>
      <c r="J2107" t="inlineStr"/>
      <c r="K2107" t="inlineStr"/>
      <c r="L2107" t="inlineStr"/>
      <c r="M2107" t="inlineStr"/>
      <c r="N2107" t="inlineStr"/>
      <c r="O2107">
        <f>(1-Summary!$B$11)*T2107+Summary!$B$11*V2107</f>
        <v/>
      </c>
      <c r="P2107">
        <f>IF(B2128=0,0,O2107/B2128)</f>
        <v/>
      </c>
      <c r="Q2107">
        <f>IFERROR(1/IF(Inputs!$B$39="pvp",15,MAX(0.1,Skills!D18-IF(TRUE=TRUE,Inputs!$B$33,0))),0)</f>
        <v/>
      </c>
      <c r="R2107">
        <f>IF(AND(Inputs!$B$39&lt;&gt;"pvp",Inputs!$B$44&gt;0),IF(Inputs!$B$44&lt;=0,0,(INT(Inputs!$B$44/IF(Inputs!$B$39="pvp",15,MAX(0.1,Skills!D18-IF(TRUE=TRUE,Inputs!$B$33,0))))+1)),0)</f>
        <v/>
      </c>
      <c r="S2107">
        <f>IFERROR(O2107/N2107,0)</f>
        <v/>
      </c>
      <c r="T2107" t="n">
        <v>0</v>
      </c>
      <c r="V2107" t="n">
        <v>0</v>
      </c>
    </row>
    <row r="2108">
      <c r="A2108">
        <f>Skills!A19</f>
        <v/>
      </c>
      <c r="B2108">
        <f>Skills!B19</f>
        <v/>
      </c>
      <c r="C2108">
        <f>Inputs!$B$3&gt;=72</f>
        <v/>
      </c>
      <c r="D2108">
        <f>IF(Skills!C19=1,60+Inputs!$B$26+Inputs!$B$30,IF(Skills!C19=2,90+Inputs!$B$27+Inputs!$B$30,IF(Skills!C19=3,120+Inputs!$B$28+Inputs!$B$30,MAX(0,(Inputs!$B$3-100)*3)+Inputs!$B$29+Inputs!$B$30)))</f>
        <v/>
      </c>
      <c r="E2108">
        <f>INDEX(FactorTable!$B$2:$Y$301, MATCH(ROUND(MIN(300,MAX(1,D2108)),0), FactorTable!$A$2:$A$301,0), Skills!M19+1)</f>
        <v/>
      </c>
      <c r="F2108">
        <f>IF(Skills!N19=TRUE,(Skills!L19/10)*(E2108/1000),Skills!L19/10)+Skills!O19</f>
        <v/>
      </c>
      <c r="G2108">
        <f>Skills!G19*IF(Skills!H19&gt;0,INT(IF(Inputs!$B$39="pvp",MIN(Skills!I19,15),Skills!I19)/Skills!H19+0.000000001),1)</f>
        <v/>
      </c>
      <c r="H2108">
        <f>1-(1-Skills!J19/100)^Skills!K19</f>
        <v/>
      </c>
      <c r="I2108" t="inlineStr">
        <is>
          <t>1</t>
        </is>
      </c>
      <c r="J2108" t="inlineStr"/>
      <c r="K2108" t="inlineStr"/>
      <c r="L2108" t="inlineStr"/>
      <c r="M2108" t="inlineStr"/>
      <c r="N2108" t="inlineStr"/>
      <c r="O2108">
        <f>(1-Summary!$B$11)*T2108+Summary!$B$11*V2108</f>
        <v/>
      </c>
      <c r="P2108">
        <f>IF(B2128=0,0,O2108/B2128)</f>
        <v/>
      </c>
      <c r="Q2108">
        <f>IFERROR(1/IF(Inputs!$B$39="pvp",15,MAX(0.1,Skills!D19-IF(TRUE=TRUE,Inputs!$B$33,0))),0)</f>
        <v/>
      </c>
      <c r="R2108">
        <f>IF(AND(Inputs!$B$39&lt;&gt;"pvp",Inputs!$B$44&gt;0),IF(Inputs!$B$44&lt;=0,0,(INT(Inputs!$B$44/IF(Inputs!$B$39="pvp",15,MAX(0.1,Skills!D19-IF(TRUE=TRUE,Inputs!$B$33,0))))+1)),0)</f>
        <v/>
      </c>
      <c r="S2108">
        <f>IFERROR(O2108/N2108,0)</f>
        <v/>
      </c>
      <c r="T2108" t="n">
        <v>0</v>
      </c>
      <c r="V2108" t="n">
        <v>0</v>
      </c>
    </row>
    <row r="2109">
      <c r="A2109">
        <f>Skills!A20</f>
        <v/>
      </c>
      <c r="B2109">
        <f>Skills!B20</f>
        <v/>
      </c>
      <c r="C2109">
        <f>TRUE</f>
        <v/>
      </c>
      <c r="D2109">
        <f>IF(Skills!C20=1,60+Inputs!$B$26+Inputs!$B$30,IF(Skills!C20=2,90+Inputs!$B$27+Inputs!$B$30,IF(Skills!C20=3,120+Inputs!$B$28+Inputs!$B$30,MAX(0,(Inputs!$B$3-100)*3)+Inputs!$B$29+Inputs!$B$30)))</f>
        <v/>
      </c>
      <c r="E2109">
        <f>INDEX(FactorTable!$B$2:$Y$301, MATCH(ROUND(MIN(300,MAX(1,D2109)),0), FactorTable!$A$2:$A$301,0), Skills!M20+1)</f>
        <v/>
      </c>
      <c r="F2109">
        <f>IF(Skills!N20=TRUE,(Skills!L20/10)*(E2109/1000),Skills!L20/10)+Skills!O20</f>
        <v/>
      </c>
      <c r="G2109">
        <f>Skills!G20*IF(Skills!H20&gt;0,INT(IF(Inputs!$B$39="pvp",MIN(Skills!I20,15),Skills!I20)/Skills!H20+0.000000001),1)</f>
        <v/>
      </c>
      <c r="H2109">
        <f>1-(1-Skills!J20/100)^Skills!K20</f>
        <v/>
      </c>
      <c r="I2109" t="inlineStr">
        <is>
          <t>1</t>
        </is>
      </c>
      <c r="J2109" t="inlineStr"/>
      <c r="K2109" t="inlineStr"/>
      <c r="L2109" t="inlineStr"/>
      <c r="M2109" t="inlineStr"/>
      <c r="N2109" t="inlineStr"/>
      <c r="O2109">
        <f>(1-Summary!$B$11)*T2109+Summary!$B$11*V2109</f>
        <v/>
      </c>
      <c r="P2109">
        <f>IF(B2128=0,0,O2109/B2128)</f>
        <v/>
      </c>
      <c r="Q2109">
        <f>IFERROR(1/IF(Inputs!$B$39="pvp",15,MAX(0.1,Skills!D20-IF(TRUE=TRUE,Inputs!$B$33,0))),0)</f>
        <v/>
      </c>
      <c r="R2109">
        <f>IF(AND(Inputs!$B$39&lt;&gt;"pvp",Inputs!$B$44&gt;0),IF(Inputs!$B$44&lt;=0,0,(INT(Inputs!$B$44/IF(Inputs!$B$39="pvp",15,MAX(0.1,Skills!D20-IF(TRUE=TRUE,Inputs!$B$33,0))))+1)),0)</f>
        <v/>
      </c>
      <c r="S2109">
        <f>IFERROR(O2109/N2109,0)</f>
        <v/>
      </c>
      <c r="T2109" t="n">
        <v>0</v>
      </c>
      <c r="V2109" t="n">
        <v>0</v>
      </c>
    </row>
    <row r="2110">
      <c r="A2110">
        <f>Skills!A21</f>
        <v/>
      </c>
      <c r="B2110">
        <f>Skills!B21</f>
        <v/>
      </c>
      <c r="C2110">
        <f>Inputs!$B$3&gt;=33</f>
        <v/>
      </c>
      <c r="D2110">
        <f>IF(Skills!C21=1,60+Inputs!$B$26+Inputs!$B$30,IF(Skills!C21=2,90+Inputs!$B$27+Inputs!$B$30,IF(Skills!C21=3,120+Inputs!$B$28+Inputs!$B$30,MAX(0,(Inputs!$B$3-100)*3)+Inputs!$B$29+Inputs!$B$30)))</f>
        <v/>
      </c>
      <c r="E2110">
        <f>INDEX(FactorTable!$B$2:$Y$301, MATCH(ROUND(MIN(300,MAX(1,D2110)),0), FactorTable!$A$2:$A$301,0), Skills!M21+1)</f>
        <v/>
      </c>
      <c r="F2110">
        <f>IF(Skills!N21=TRUE,(Skills!L21/10)*(E2110/1000),Skills!L21/10)+Skills!O21</f>
        <v/>
      </c>
      <c r="G2110">
        <f>Skills!G21*IF(Skills!H21&gt;0,INT(IF(Inputs!$B$39="pvp",MIN(Skills!I21,15),Skills!I21)/Skills!H21+0.000000001),1)</f>
        <v/>
      </c>
      <c r="H2110">
        <f>1-(1-Skills!J21/100)^Skills!K21</f>
        <v/>
      </c>
      <c r="I2110" t="inlineStr">
        <is>
          <t>1</t>
        </is>
      </c>
      <c r="J2110" t="inlineStr"/>
      <c r="K2110" t="inlineStr"/>
      <c r="L2110" t="inlineStr"/>
      <c r="M2110" t="inlineStr"/>
      <c r="N2110" t="inlineStr"/>
      <c r="O2110">
        <f>(1-Summary!$B$11)*T2110+Summary!$B$11*V2110</f>
        <v/>
      </c>
      <c r="P2110">
        <f>IF(B2128=0,0,O2110/B2128)</f>
        <v/>
      </c>
      <c r="Q2110" t="n">
        <v>0</v>
      </c>
      <c r="R2110" t="n">
        <v>0</v>
      </c>
      <c r="S2110">
        <f>IFERROR(O2110/N2110,0)</f>
        <v/>
      </c>
      <c r="T2110" t="n">
        <v>0</v>
      </c>
      <c r="V2110" t="n">
        <v>0</v>
      </c>
    </row>
    <row r="2111">
      <c r="A2111">
        <f>Skills!A22</f>
        <v/>
      </c>
      <c r="B2111">
        <f>Skills!B22</f>
        <v/>
      </c>
      <c r="C2111">
        <f>Inputs!$B$3&gt;=43</f>
        <v/>
      </c>
      <c r="D2111">
        <f>IF(Skills!C22=1,60+Inputs!$B$26+Inputs!$B$30,IF(Skills!C22=2,90+Inputs!$B$27+Inputs!$B$30,IF(Skills!C22=3,120+Inputs!$B$28+Inputs!$B$30,MAX(0,(Inputs!$B$3-100)*3)+Inputs!$B$29+Inputs!$B$30)))</f>
        <v/>
      </c>
      <c r="E2111">
        <f>INDEX(FactorTable!$B$2:$Y$301, MATCH(ROUND(MIN(300,MAX(1,D2111)),0), FactorTable!$A$2:$A$301,0), Skills!M22+1)</f>
        <v/>
      </c>
      <c r="F2111">
        <f>IF(Skills!N22=TRUE,(Skills!L22/10)*(E2111/1000),Skills!L22/10)+Skills!O22</f>
        <v/>
      </c>
      <c r="G2111">
        <f>Skills!G22*IF(Skills!H22&gt;0,INT(IF(Inputs!$B$39="pvp",MIN(Skills!I22,15),Skills!I22)/Skills!H22+0.000000001),1)</f>
        <v/>
      </c>
      <c r="H2111">
        <f>1-(1-Skills!J22/100)^Skills!K22</f>
        <v/>
      </c>
      <c r="I2111" t="inlineStr">
        <is>
          <t>1</t>
        </is>
      </c>
      <c r="J2111" t="inlineStr"/>
      <c r="K2111" t="inlineStr"/>
      <c r="L2111" t="inlineStr"/>
      <c r="M2111" t="inlineStr"/>
      <c r="N2111" t="inlineStr"/>
      <c r="O2111">
        <f>(1-Summary!$B$11)*T2111+Summary!$B$11*V2111</f>
        <v/>
      </c>
      <c r="P2111">
        <f>IF(B2128=0,0,O2111/B2128)</f>
        <v/>
      </c>
      <c r="Q2111" t="n">
        <v>0</v>
      </c>
      <c r="R2111" t="n">
        <v>0</v>
      </c>
      <c r="S2111">
        <f>IFERROR(O2111/N2111,0)</f>
        <v/>
      </c>
      <c r="T2111" t="n">
        <v>0</v>
      </c>
      <c r="V2111" t="n">
        <v>0</v>
      </c>
    </row>
    <row r="2112">
      <c r="A2112">
        <f>Skills!A23</f>
        <v/>
      </c>
      <c r="B2112">
        <f>Skills!B23</f>
        <v/>
      </c>
      <c r="C2112">
        <f>Inputs!$B$3&gt;=120</f>
        <v/>
      </c>
      <c r="D2112">
        <f>IF(Skills!C23=1,60+Inputs!$B$26+Inputs!$B$30,IF(Skills!C23=2,90+Inputs!$B$27+Inputs!$B$30,IF(Skills!C23=3,120+Inputs!$B$28+Inputs!$B$30,MAX(0,(Inputs!$B$3-100)*3)+Inputs!$B$29+Inputs!$B$30)))</f>
        <v/>
      </c>
      <c r="E2112">
        <f>INDEX(FactorTable!$B$2:$Y$301, MATCH(ROUND(MIN(300,MAX(1,D2112)),0), FactorTable!$A$2:$A$301,0), Skills!M23+1)</f>
        <v/>
      </c>
      <c r="F2112">
        <f>IF(Skills!N23=TRUE,(Skills!L23/10)*(E2112/1000),Skills!L23/10)+Skills!O23</f>
        <v/>
      </c>
      <c r="G2112">
        <f>Skills!G23*IF(Skills!H23&gt;0,INT(IF(Inputs!$B$39="pvp",MIN(Skills!I23,15),Skills!I23)/Skills!H23+0.000000001),1)</f>
        <v/>
      </c>
      <c r="H2112">
        <f>1-(1-Skills!J23/100)^Skills!K23</f>
        <v/>
      </c>
      <c r="I2112" t="inlineStr">
        <is>
          <t>1</t>
        </is>
      </c>
      <c r="J2112" t="inlineStr"/>
      <c r="K2112" t="inlineStr"/>
      <c r="L2112" t="inlineStr"/>
      <c r="M2112" t="inlineStr"/>
      <c r="N2112" t="inlineStr"/>
      <c r="O2112">
        <f>(1-Summary!$B$11)*T2112+Summary!$B$11*V2112</f>
        <v/>
      </c>
      <c r="P2112">
        <f>IF(B2128=0,0,O2112/B2128)</f>
        <v/>
      </c>
      <c r="Q2112" t="n">
        <v>0</v>
      </c>
      <c r="R2112" t="n">
        <v>0</v>
      </c>
      <c r="S2112">
        <f>IFERROR(O2112/N2112,0)</f>
        <v/>
      </c>
      <c r="T2112" t="n">
        <v>0</v>
      </c>
      <c r="V2112" t="n">
        <v>0</v>
      </c>
    </row>
    <row r="2113">
      <c r="A2113">
        <f>Skills!A24</f>
        <v/>
      </c>
      <c r="B2113">
        <f>Skills!B24</f>
        <v/>
      </c>
      <c r="C2113">
        <f>Inputs!$B$3&gt;=120</f>
        <v/>
      </c>
      <c r="D2113">
        <f>IF(Skills!C24=1,60+Inputs!$B$26+Inputs!$B$30,IF(Skills!C24=2,90+Inputs!$B$27+Inputs!$B$30,IF(Skills!C24=3,120+Inputs!$B$28+Inputs!$B$30,MAX(0,(Inputs!$B$3-100)*3)+Inputs!$B$29+Inputs!$B$30)))</f>
        <v/>
      </c>
      <c r="E2113">
        <f>INDEX(FactorTable!$B$2:$Y$301, MATCH(ROUND(MIN(300,MAX(1,D2113)),0), FactorTable!$A$2:$A$301,0), Skills!M24+1)</f>
        <v/>
      </c>
      <c r="F2113">
        <f>IF(Skills!N24=TRUE,(Skills!L24/10)*(E2113/1000),Skills!L24/10)+Skills!O24</f>
        <v/>
      </c>
      <c r="G2113">
        <f>Skills!G24*IF(Skills!H24&gt;0,INT(IF(Inputs!$B$39="pvp",MIN(Skills!I24,15),Skills!I24)/Skills!H24+0.000000001),1)</f>
        <v/>
      </c>
      <c r="H2113">
        <f>1-(1-Skills!J24/100)^Skills!K24</f>
        <v/>
      </c>
      <c r="I2113" t="inlineStr">
        <is>
          <t>1</t>
        </is>
      </c>
      <c r="J2113" t="inlineStr"/>
      <c r="K2113" t="inlineStr"/>
      <c r="L2113" t="inlineStr"/>
      <c r="M2113" t="inlineStr"/>
      <c r="N2113" t="inlineStr"/>
      <c r="O2113">
        <f>(1-Summary!$B$11)*T2113+Summary!$B$11*V2113</f>
        <v/>
      </c>
      <c r="P2113">
        <f>IF(B2128=0,0,O2113/B2128)</f>
        <v/>
      </c>
      <c r="Q2113" t="n">
        <v>0</v>
      </c>
      <c r="R2113" t="n">
        <v>0</v>
      </c>
      <c r="S2113">
        <f>IFERROR(O2113/N2113,0)</f>
        <v/>
      </c>
      <c r="T2113" t="n">
        <v>0</v>
      </c>
      <c r="V2113" t="n">
        <v>0</v>
      </c>
    </row>
    <row r="2114">
      <c r="A2114">
        <f>Skills!A25</f>
        <v/>
      </c>
      <c r="B2114">
        <f>Skills!B25</f>
        <v/>
      </c>
      <c r="C2114">
        <f>Inputs!$B$3&gt;=125</f>
        <v/>
      </c>
      <c r="D2114">
        <f>IF(Skills!C25=1,60+Inputs!$B$26+Inputs!$B$30,IF(Skills!C25=2,90+Inputs!$B$27+Inputs!$B$30,IF(Skills!C25=3,120+Inputs!$B$28+Inputs!$B$30,MAX(0,(Inputs!$B$3-100)*3)+Inputs!$B$29+Inputs!$B$30)))</f>
        <v/>
      </c>
      <c r="E2114">
        <f>INDEX(FactorTable!$B$2:$Y$301, MATCH(ROUND(MIN(300,MAX(1,D2114)),0), FactorTable!$A$2:$A$301,0), Skills!M25+1)</f>
        <v/>
      </c>
      <c r="F2114">
        <f>IF(Skills!N25=TRUE,(Skills!L25/10)*(E2114/1000),Skills!L25/10)+Skills!O25</f>
        <v/>
      </c>
      <c r="G2114">
        <f>Skills!G25*IF(Skills!H25&gt;0,INT(IF(Inputs!$B$39="pvp",MIN(Skills!I25,15),Skills!I25)/Skills!H25+0.000000001),1)</f>
        <v/>
      </c>
      <c r="H2114">
        <f>1-(1-Skills!J25/100)^Skills!K25</f>
        <v/>
      </c>
      <c r="I2114" t="inlineStr">
        <is>
          <t>1</t>
        </is>
      </c>
      <c r="J2114" t="inlineStr"/>
      <c r="K2114" t="inlineStr"/>
      <c r="L2114" t="inlineStr"/>
      <c r="M2114" t="inlineStr"/>
      <c r="N2114" t="inlineStr"/>
      <c r="O2114">
        <f>(1-Summary!$B$11)*T2114+Summary!$B$11*V2114</f>
        <v/>
      </c>
      <c r="P2114">
        <f>IF(B2128=0,0,O2114/B2128)</f>
        <v/>
      </c>
      <c r="Q2114" t="n">
        <v>0</v>
      </c>
      <c r="R2114" t="n">
        <v>0</v>
      </c>
      <c r="S2114">
        <f>IFERROR(O2114/N2114,0)</f>
        <v/>
      </c>
      <c r="T2114" t="n">
        <v>0</v>
      </c>
      <c r="V2114" t="n">
        <v>0</v>
      </c>
    </row>
    <row r="2115">
      <c r="A2115">
        <f>Skills!A26</f>
        <v/>
      </c>
      <c r="B2115">
        <f>Skills!B26</f>
        <v/>
      </c>
      <c r="C2115">
        <f>Inputs!$B$3&gt;=107</f>
        <v/>
      </c>
      <c r="D2115">
        <f>IF(Skills!C26=1,60+Inputs!$B$26+Inputs!$B$30,IF(Skills!C26=2,90+Inputs!$B$27+Inputs!$B$30,IF(Skills!C26=3,120+Inputs!$B$28+Inputs!$B$30,MAX(0,(Inputs!$B$3-100)*3)+Inputs!$B$29+Inputs!$B$30)))</f>
        <v/>
      </c>
      <c r="E2115">
        <f>INDEX(FactorTable!$B$2:$Y$301, MATCH(ROUND(MIN(300,MAX(1,D2115)),0), FactorTable!$A$2:$A$301,0), Skills!M26+1)</f>
        <v/>
      </c>
      <c r="F2115">
        <f>IF(Skills!N26=TRUE,(Skills!L26/10)*(E2115/1000),Skills!L26/10)+Skills!O26</f>
        <v/>
      </c>
      <c r="G2115">
        <f>Skills!G26*IF(Skills!H26&gt;0,INT(IF(Inputs!$B$39="pvp",MIN(Skills!I26,15),Skills!I26)/Skills!H26+0.000000001),1)</f>
        <v/>
      </c>
      <c r="H2115">
        <f>1-(1-Skills!J26/100)^Skills!K26</f>
        <v/>
      </c>
      <c r="I2115" t="inlineStr">
        <is>
          <t>1</t>
        </is>
      </c>
      <c r="J2115" t="inlineStr"/>
      <c r="K2115" t="inlineStr"/>
      <c r="L2115" t="inlineStr"/>
      <c r="M2115" t="inlineStr"/>
      <c r="N2115" t="inlineStr"/>
      <c r="O2115">
        <f>(1-Summary!$B$11)*T2115+Summary!$B$11*V2115</f>
        <v/>
      </c>
      <c r="P2115">
        <f>IF(B2128=0,0,O2115/B2128)</f>
        <v/>
      </c>
      <c r="Q2115" t="n">
        <v>0</v>
      </c>
      <c r="R2115" t="n">
        <v>0</v>
      </c>
      <c r="S2115">
        <f>IFERROR(O2115/N2115,0)</f>
        <v/>
      </c>
      <c r="T2115" t="n">
        <v>0</v>
      </c>
      <c r="V2115" t="n">
        <v>0</v>
      </c>
    </row>
    <row r="2117">
      <c r="A2117" t="inlineStr">
        <is>
          <t>Attack% Bucket Multiplier</t>
        </is>
      </c>
      <c r="B2117">
        <f>(1+(((C2102=TRUE)*F2102*IF(AND(Inputs!$B$39&lt;&gt;"pvp",Inputs!$B$44&gt;0),(((R2102-1)*MIN((Skills!T13*(1+Inputs!$B$35/100)),(1/Q2102))+MIN((Skills!T13*(1+Inputs!$B$35/100)),MAX(0,Inputs!$B$44-((R2102-1)*(1/Q2102)))))/Inputs!$B$44),IF(Inputs!$B$39="pvp",MIN((Skills!T13*(1+Inputs!$B$35/100)),15)/15,MIN(1,(Skills!T13*(1+Inputs!$B$35/100))/(1/Q2102)))))+((C2103=TRUE)*F2103*IF(AND(Inputs!$B$39&lt;&gt;"pvp",Inputs!$B$44&gt;0),(((R2103-1)*MIN((Skills!T14*(1+Inputs!$B$35/100)),(1/Q2103))+MIN((Skills!T14*(1+Inputs!$B$35/100)),MAX(0,Inputs!$B$44-((R2103-1)*(1/Q2103)))))/Inputs!$B$44),IF(Inputs!$B$39="pvp",MIN((Skills!T14*(1+Inputs!$B$35/100)),15)/15,MIN(1,(Skills!T14*(1+Inputs!$B$35/100))/(1/Q2103)))))+((C2104=TRUE)*F2104*IF(AND(Inputs!$B$39&lt;&gt;"pvp",Inputs!$B$44&gt;0),(((R2104-1)*MIN((Skills!T15*(1+Inputs!$B$35/100)),(1/Q2104))+MIN((Skills!T15*(1+Inputs!$B$35/100)),MAX(0,Inputs!$B$44-((R2104-1)*(1/Q2104)))))/Inputs!$B$44),IF(Inputs!$B$39="pvp",MIN((Skills!T15*(1+Inputs!$B$35/100)),15)/15,MIN(1,(Skills!T15*(1+Inputs!$B$35/100))/(1/Q2104)))))+((C2105=TRUE)*F2105*IF(AND(Inputs!$B$39&lt;&gt;"pvp",Inputs!$B$44&gt;0),(((R2105-1)*MIN((Skills!T16*(1+Inputs!$B$35/100)),(1/Q2105))+MIN((Skills!T16*(1+Inputs!$B$35/100)),MAX(0,Inputs!$B$44-((R2105-1)*(1/Q2105)))))/Inputs!$B$44),IF(Inputs!$B$39="pvp",MIN((Skills!T16*(1+Inputs!$B$35/100)),15)/15,MIN(1,(Skills!T16*(1+Inputs!$B$35/100))/(1/Q2105)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2118">
      <c r="A2118" t="inlineStr">
        <is>
          <t>Global Crit Rate Bonus % (Lord of Darkness)</t>
        </is>
      </c>
      <c r="B2118">
        <f>((C2107=TRUE)*F2107*(Skills!J18/100)*IF(AND(Inputs!$B$39&lt;&gt;"pvp",Inputs!$B$44&gt;0),(((R2107-1)*MIN((Skills!T18*(1+Inputs!$B$35/100)),(1/Q2107))+MIN((Skills!T18*(1+Inputs!$B$35/100)),MAX(0,Inputs!$B$44-((R2107-1)*(1/Q2107)))))/Inputs!$B$44),IF(Inputs!$B$39="pvp",MIN((Skills!T18*(1+Inputs!$B$35/100)),15)/15,MIN(1,(Skills!T18*(1+Inputs!$B$35/100))/(1/Q2107)))))</f>
        <v/>
      </c>
    </row>
    <row r="2119">
      <c r="A2119" t="inlineStr">
        <is>
          <t>Attack Speed Buff Bonus %</t>
        </is>
      </c>
      <c r="B2119">
        <f>((C2109=TRUE)*F2109*IF(AND(Inputs!$B$39&lt;&gt;"pvp",Inputs!$B$44&gt;0),(((R2109-1)*MIN((Skills!T20*(1+Inputs!$B$35/100)),(1/Q2109))+MIN((Skills!T20*(1+Inputs!$B$35/100)),MAX(0,Inputs!$B$44-((R2109-1)*(1/Q2109)))))/Inputs!$B$44),IF(Inputs!$B$39="pvp",MIN((Skills!T20*(1+Inputs!$B$35/100)),15)/15,MIN(1,(Skills!T20*(1+Inputs!$B$35/100))/(1/Q2109)))))</f>
        <v/>
      </c>
    </row>
    <row r="2120">
      <c r="A2120" t="inlineStr">
        <is>
          <t>Actions Per Second</t>
        </is>
      </c>
      <c r="B2120">
        <f>1+MIN(150,150*(1-(1-(Inputs!$B$12+((C2110=TRUE)*(F2110-Calc!F21)))/150)*(1-B2119/150)))/100</f>
        <v/>
      </c>
    </row>
    <row r="2121">
      <c r="A2121" t="inlineStr">
        <is>
          <t>Skill + Buff Cast Rate</t>
        </is>
      </c>
      <c r="B2121">
        <f>IF(AND(Inputs!$B$39&lt;&gt;"pvp",Inputs!$B$44&gt;0),SUMPRODUCT((Skills!E2:E26=TRUE)*(C2091:C2115=TRUE)*R2091:R2115*Skills!F2:F26)/Inputs!$B$44,SUMPRODUCT((Skills!E2:E26=TRUE)*(C2091:C2115=TRUE)*Q2091:Q2115*Skills!F2:F26))</f>
        <v/>
      </c>
    </row>
    <row r="2122">
      <c r="A2122" t="inlineStr">
        <is>
          <t>Dark Impale Casts Per Second</t>
        </is>
      </c>
      <c r="B2122">
        <f>MAX(0,B2120-B2121)</f>
        <v/>
      </c>
    </row>
    <row r="2123">
      <c r="A2123" t="inlineStr">
        <is>
          <t>Global Critical Damage Bonus % (Lord of Darkness)</t>
        </is>
      </c>
      <c r="B2123">
        <f>((C2108=TRUE)*F2108*(Skills!J19/100)*IF(AND(Inputs!$B$39&lt;&gt;"pvp",Inputs!$B$44&gt;0),(((R2108-1)*MIN((Skills!T19*(1+Inputs!$B$35/100)),(1/Q2108))+MIN((Skills!T19*(1+Inputs!$B$35/100)),MAX(0,Inputs!$B$44-((R2108-1)*(1/Q2108)))))/Inputs!$B$44),IF(Inputs!$B$39="pvp",MIN((Skills!T19*(1+Inputs!$B$35/100)),15)/15,MIN(1,(Skills!T19*(1+Inputs!$B$35/100))/(1/Q2108)))))</f>
        <v/>
      </c>
    </row>
    <row r="2124">
      <c r="A2124" t="inlineStr">
        <is>
          <t>Global Final Damage Bonus % (unused)</t>
        </is>
      </c>
      <c r="B2124" t="n">
        <v>0</v>
      </c>
    </row>
    <row r="2125">
      <c r="A2125" t="inlineStr">
        <is>
          <t>Buff-Casting Startup Delay (s, fixed-duration only)</t>
        </is>
      </c>
      <c r="B2125">
        <f>IF(AND(Inputs!$B$39&lt;&gt;"pvp",Inputs!$B$44&gt;0),SUMPRODUCT((Skills!T2:T26&gt;0)*(Skills!E2:E26=TRUE)*(C2091:C2115=TRUE))/B2120,0)</f>
        <v/>
      </c>
    </row>
    <row r="2126">
      <c r="A2126" t="inlineStr">
        <is>
          <t>Boss-Only Total DPS (this block's swept value)</t>
        </is>
      </c>
      <c r="B2126">
        <f>SUM(T2091:T2115)</f>
        <v/>
      </c>
    </row>
    <row r="2127">
      <c r="A2127" t="inlineStr">
        <is>
          <t>Normal-Only Total DPS (this block's swept value)</t>
        </is>
      </c>
      <c r="B2127">
        <f>SUM(V2091:V2115)</f>
        <v/>
      </c>
    </row>
    <row r="2128">
      <c r="A2128" s="6" t="inlineStr">
        <is>
          <t>TOTAL DPS</t>
        </is>
      </c>
      <c r="B2128" s="6">
        <f>SUM(O2091:O2115)</f>
        <v/>
      </c>
    </row>
    <row r="2131">
      <c r="A2131" s="6" t="inlineStr">
        <is>
          <t>Stat: Lit Lamp (Equip)</t>
        </is>
      </c>
    </row>
    <row r="2132">
      <c r="A2132" s="5" t="inlineStr">
        <is>
          <t>Key</t>
        </is>
      </c>
      <c r="B2132" s="5" t="inlineStr">
        <is>
          <t>Name</t>
        </is>
      </c>
      <c r="C2132" s="5" t="inlineStr">
        <is>
          <t>Unlocked</t>
        </is>
      </c>
      <c r="D2132" s="5" t="inlineStr">
        <is>
          <t>InputLevel</t>
        </is>
      </c>
      <c r="E2132" s="5" t="inlineStr">
        <is>
          <t>Factor</t>
        </is>
      </c>
      <c r="F2132" s="5" t="inlineStr">
        <is>
          <t>CoefficientPercent</t>
        </is>
      </c>
      <c r="G2132" s="5" t="inlineStr">
        <is>
          <t>EffectiveHits</t>
        </is>
      </c>
      <c r="H2132" s="5" t="inlineStr">
        <is>
          <t>ProcProbability</t>
        </is>
      </c>
      <c r="I2132" s="5" t="inlineStr">
        <is>
          <t>MapleHeroMultiplier</t>
        </is>
      </c>
      <c r="J2132" s="5" t="inlineStr">
        <is>
          <t>BaseDamage</t>
        </is>
      </c>
      <c r="K2132" s="5" t="inlineStr">
        <is>
          <t>BaseHitDamage</t>
        </is>
      </c>
      <c r="L2132" s="5" t="inlineStr">
        <is>
          <t>NonCritAvg</t>
        </is>
      </c>
      <c r="M2132" s="5" t="inlineStr">
        <is>
          <t>CritAvg</t>
        </is>
      </c>
      <c r="N2132" s="5" t="inlineStr">
        <is>
          <t>ExpectedDamage(perHit)</t>
        </is>
      </c>
      <c r="O2132" s="5" t="inlineStr">
        <is>
          <t>DPS</t>
        </is>
      </c>
      <c r="P2132" s="5" t="inlineStr">
        <is>
          <t>% of Total</t>
        </is>
      </c>
      <c r="Q2132" s="5" t="inlineStr">
        <is>
          <t>InvCooldown</t>
        </is>
      </c>
      <c r="R2132" s="5" t="inlineStr">
        <is>
          <t>CastsInFight</t>
        </is>
      </c>
      <c r="S2132" s="5" t="inlineStr">
        <is>
          <t>HitRate(perSec)</t>
        </is>
      </c>
      <c r="U2132" t="inlineStr">
        <is>
          <t>helpers</t>
        </is>
      </c>
    </row>
    <row r="2133">
      <c r="A2133">
        <f>Skills!A2</f>
        <v/>
      </c>
      <c r="B2133">
        <f>Skills!B2</f>
        <v/>
      </c>
      <c r="C2133">
        <f>Inputs!$B$3&gt;=100</f>
        <v/>
      </c>
      <c r="D2133" t="inlineStr"/>
      <c r="E2133" t="inlineStr"/>
      <c r="F2133">
        <f>U2135+Skills!O2</f>
        <v/>
      </c>
      <c r="G2133">
        <f>Skills!G2*IF(Skills!H2&gt;0,INT(IF(Inputs!$B$39="pvp",MIN(Skills!I2,15),Skills!I2)/Skills!H2+0.000000001),1)</f>
        <v/>
      </c>
      <c r="H2133">
        <f>1-(1-Skills!J2/100)^Skills!K2</f>
        <v/>
      </c>
      <c r="I2133" t="inlineStr">
        <is>
          <t>1</t>
        </is>
      </c>
      <c r="J2133">
        <f>((Inputs!$B$6*(1+Inputs!$B$7/100))+(((Inputs!$B$13*(1+Inputs!$B$14/100))-(Inputs!$B$13*(1+Inputs!$B$14/100)))+0.25*(Inputs!$B$15-Inputs!$B$15))*(1+Inputs!$B$7/100))*(F2133/100)</f>
        <v/>
      </c>
      <c r="K2133">
        <f>J2133*(1+(((Inputs!$B$13+IF(Inputs!$B$3&gt;=38,(10*INDEX(FactorTable!$B$2:$Y$301, MATCH(ROUND(MIN(300,MAX(1,Inputs!$B$3)),0), FactorTable!$A$2:$A$301,0), 23)/1000)/100*(Inputs!$B$8*(1+Inputs!$B$9/100)),0))*(1+Inputs!$B$14/100))*0.01+Inputs!$B$15*0.0025)/100)*(1+Inputs!$B$16/100)*(1+Inputs!$B$17/100)*(5000/(6000+Inputs!$B$43*(1-(Inputs!$B$20+0)/100)))*(1+(Inputs!$B$25+((C2156=TRUE)*(F2156-Calc!F25))+((C2157=TRUE)*(F2157-Calc!F26))+B2166)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gt;=100),MIN(100,((Inputs!$B$10+0+B2160+(ArtifactsInput!$M$24-ArtifactsInput!$M$24)*CHOOSE(ArtifactsInput!$N$24+1,10,12,14,16,18,20)+IF(ArtifactsInput!$M$10,CHOOSE(ArtifactsInput!$N$10+1,15,18,21,24,27,30)*(IF(Inputs!$B$39="pvp",MIN(15,15)/15,IF(AND(Inputs!$B$39&lt;&gt;"pvp",Inputs!$B$44&gt;0),MIN(15,Inputs!$B$44)/(Inputs!$B$44),0))),0)))-100),0))*CHOOSE(ArtifactsInput!$N$42+1,0.6,0.72,0.84,0.96,1.08,1.2))),Inputs!$B$19+((C2154=TRUE)*(F2154-Calc!F23))+(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gt;=100),CHOOSE(ArtifactsInput!$N$42+1,40,48,56,64,72,80),0))))/100)*((1+(((C2144=TRUE)*F2144*IF(AND(Inputs!$B$39&lt;&gt;"pvp",Inputs!$B$44&gt;0),(((R2144-1)*MIN((Skills!T13*(1+Inputs!$B$35/100)),(1/Q2144))+MIN((Skills!T13*(1+Inputs!$B$35/100)),MAX(0,Inputs!$B$44-((R2144-1)*(1/Q2144)))))/Inputs!$B$44),IF(Inputs!$B$39="pvp",MIN((Skills!T13*(1+Inputs!$B$35/100)),15)/15,MIN(1,(Skills!T13*(1+Inputs!$B$35/100))/(1/Q2144)))))+((C2145=TRUE)*F2145*IF(AND(Inputs!$B$39&lt;&gt;"pvp",Inputs!$B$44&gt;0),(((R2145-1)*MIN((Skills!T14*(1+Inputs!$B$35/100)),(1/Q2145))+MIN((Skills!T14*(1+Inputs!$B$35/100)),MAX(0,Inputs!$B$44-((R2145-1)*(1/Q2145)))))/Inputs!$B$44),IF(Inputs!$B$39="pvp",MIN((Skills!T14*(1+Inputs!$B$35/100)),15)/15,MIN(1,(Skills!T14*(1+Inputs!$B$35/100))/(1/Q2145)))))+((C2146=TRUE)*F2146*IF(AND(Inputs!$B$39&lt;&gt;"pvp",Inputs!$B$44&gt;0),(((R2146-1)*MIN((Skills!T15*(1+Inputs!$B$35/100)),(1/Q2146))+MIN((Skills!T15*(1+Inputs!$B$35/100)),MAX(0,Inputs!$B$44-((R2146-1)*(1/Q2146)))))/Inputs!$B$44),IF(Inputs!$B$39="pvp",MIN((Skills!T15*(1+Inputs!$B$35/100)),15)/15,MIN(1,(Skills!T15*(1+Inputs!$B$35/100))/(1/Q2146)))))+((C2147=TRUE)*F2147*IF(AND(Inputs!$B$39&lt;&gt;"pvp",Inputs!$B$44&gt;0),(((R2147-1)*MIN((Skills!T16*(1+Inputs!$B$35/100)),(1/Q2147))+MIN((Skills!T16*(1+Inputs!$B$35/100)),MAX(0,Inputs!$B$44-((R2147-1)*(1/Q2147)))))/Inputs!$B$44),IF(Inputs!$B$39="pvp",MIN((Skills!T16*(1+Inputs!$B$35/100)),15)/15,MIN(1,(Skills!T16*(1+Inputs!$B$35/100))/(1/Q2147)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2133)</f>
        <v/>
      </c>
      <c r="L2133">
        <f>K2133*(MIN(Inputs!$B$23+((C2153=TRUE)*(F2153-Calc!F22)),(Inputs!$B$24+((C2155=TRUE)*(F2155-Calc!F24))+(IF(ArtifactsInput!$M$15,CHOOSE(ArtifactsInput!$N$15+1,25,30,35,40,45,50)/100*(Inputs!$B$12-Inputs!$B$12),0))))/100+(Inputs!$B$24+((C2155=TRUE)*(F2155-Calc!F24))+(IF(ArtifactsInput!$M$15,CHOOSE(ArtifactsInput!$N$15+1,25,30,35,40,45,50)/100*(Inputs!$B$12-Inputs!$B$12),0)))/100)/2</f>
        <v/>
      </c>
      <c r="M2133">
        <f>L2133*(1+(Inputs!$B$11+0+B2165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133">
        <f>L2133*(1-MIN((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2133*(MIN((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33">
        <f>(1-Summary!$B$11)*T2133+Summary!$B$11*V2133</f>
        <v/>
      </c>
      <c r="P2133">
        <f>IF(B2170=0,0,O2133/B2170)</f>
        <v/>
      </c>
      <c r="Q2133" t="n">
        <v>0</v>
      </c>
      <c r="R2133" t="n">
        <v>0</v>
      </c>
      <c r="S2133">
        <f>IFERROR(O2133/N2133,0)</f>
        <v/>
      </c>
      <c r="T2133">
        <f>IF(C2133,(Skills!G2*N2133*B2164)*IF(Inputs!$B$39="pvp",1,1+(Inputs!$B$21+0+Skills!P2+((C2148=TRUE)*F2148*IF(AND(Inputs!$B$39&lt;&gt;"pvp",Inputs!$B$44&gt;0),(((R2148-1)*MIN((Skills!T17*(1+Inputs!$B$35/100)),(1/Q2148))+MIN((Skills!T17*(1+Inputs!$B$35/100)),MAX(0,Inputs!$B$44-((R2148-1)*(1/Q2148)))))/Inputs!$B$44),IF(Inputs!$B$39="pvp",MIN((Skills!T17*(1+Inputs!$B$35/100)),15)/15,MIN(1,(Skills!T17*(1+Inputs!$B$35/100))/(1/Q2148)))))+((C2136=TRUE)*IF(Inputs!$B$3&gt;=126,10*MIN(1,15*Q2136),0))+((C2145=TRUE)*IF(Inputs!$B$39="pvp",20,(1-Summary!$B$11)*(20)+Summary!$B$11*(0))*IF(AND(Inputs!$B$39&lt;&gt;"pvp",Inputs!$B$44&gt;0),(((R2145-1)*MIN((Skills!T14*(1+Inputs!$B$35/100)),(1/Q2145))+MIN((Skills!T14*(1+Inputs!$B$35/100)),MAX(0,Inputs!$B$44-((R2145-1)*(1/Q2145)))))/Inputs!$B$44),IF(Inputs!$B$39="pvp",MIN((Skills!T14*(1+Inputs!$B$35/100)),15)/15,MIN(1,(Skills!T14*(1+Inputs!$B$35/100))/(1/Q2145)))))+((C2144=TRUE)*IF(Inputs!$B$3&gt;=82,IF(Inputs!$B$39="pvp",20,(1-Summary!$B$11)*(20)+Summary!$B$11*(0)),0)*IF(AND(Inputs!$B$39&lt;&gt;"pvp",Inputs!$B$44&gt;0),(((R2144-1)*MIN((Skills!T13*(1+Inputs!$B$35/100)),(1/Q2144))+MIN((Skills!T13*(1+Inputs!$B$35/100)),MAX(0,Inputs!$B$44-((R2144-1)*(1/Q2144)))))/Inputs!$B$44),IF(Inputs!$B$39="pvp",MIN((Skills!T13*(1+Inputs!$B$35/100)),15)/15,MIN(1,(Skills!T13*(1+Inputs!$B$35/100))/(1/Q2144)))))+(IF(AND(ArtifactsInput!$M$35,Inputs!$B$4&lt;&gt;"Chapter Hunt"),CHOOSE(ArtifactsInput!$N$35+1,15,18,21,24,27,30)*(1-EXP(-(0.2*B2162)*5)),0)+IF(AND(ArtifactsInput!$M$22,Inputs!$B$4&lt;&gt;"Chapter Hunt"),CHOOSE(ArtifactsInput!$N$22+1,10,12,14,16,18,20)*((0*(((0.15*B2162*5))^0/1)+1*(((0.15*B2162*5))^1/1)+2*(((0.15*B2162*5))^2/2)+3*(((0.15*B2162*5))^3/6)+4*(((0.15*B2162*5))^4/24)+5*(((0.15*B2162*5))^5/120))/((((0.15*B2162*5))^0/1)+(((0.15*B2162*5))^1/1)+(((0.15*B2162*5))^2/2)+(((0.15*B2162*5))^3/6)+(((0.15*B2162*5))^4/24)+(((0.15*B2162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2133*(1-MIN(100,(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2133*(MIN(100,(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2133*(1-MIN(100,(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2133*(MIN(100,(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133">
        <f>MAX(0,(Inputs!$B$3-100)*3)+Inputs!$B$29+Inputs!$B$30</f>
        <v/>
      </c>
      <c r="V2133">
        <f>IF(C2133,(Skills!G2*N2133*B2164)*IF(Inputs!$B$39="pvp",1,(1+(Inputs!$B$22+Skills!Q2+((C2148=TRUE)*F2148*IF(AND(Inputs!$B$39&lt;&gt;"pvp",Inputs!$B$44&gt;0),(((R2148-1)*MIN((Skills!T17*(1+Inputs!$B$35/100)),(1/Q2148))+MIN((Skills!T17*(1+Inputs!$B$35/100)),MAX(0,Inputs!$B$44-((R2148-1)*(1/Q2148)))))/Inputs!$B$44),IF(Inputs!$B$39="pvp",MIN((Skills!T17*(1+Inputs!$B$35/100)),15)/15,MIN(1,(Skills!T17*(1+Inputs!$B$35/100))/(1/Q2148)))))+((C2136=TRUE)*IF(Inputs!$B$3&gt;=126,10*MIN(1,15*Q2136),0))+((C2145=TRUE)*IF(Inputs!$B$39="pvp",20,(1-Summary!$B$11)*(20)+Summary!$B$11*(0))*IF(AND(Inputs!$B$39&lt;&gt;"pvp",Inputs!$B$44&gt;0),(((R2145-1)*MIN((Skills!T14*(1+Inputs!$B$35/100)),(1/Q2145))+MIN((Skills!T14*(1+Inputs!$B$35/100)),MAX(0,Inputs!$B$44-((R2145-1)*(1/Q2145)))))/Inputs!$B$44),IF(Inputs!$B$39="pvp",MIN((Skills!T14*(1+Inputs!$B$35/100)),15)/15,MIN(1,(Skills!T14*(1+Inputs!$B$35/100))/(1/Q2145)))))+((C2144=TRUE)*IF(Inputs!$B$3&gt;=82,IF(Inputs!$B$39="pvp",20,(1-Summary!$B$11)*(20)+Summary!$B$11*(0)),0)*IF(AND(Inputs!$B$39&lt;&gt;"pvp",Inputs!$B$44&gt;0),(((R2144-1)*MIN((Skills!T13*(1+Inputs!$B$35/100)),(1/Q2144))+MIN((Skills!T13*(1+Inputs!$B$35/100)),MAX(0,Inputs!$B$44-((R2144-1)*(1/Q2144)))))/Inputs!$B$44),IF(Inputs!$B$39="pvp",MIN((Skills!T13*(1+Inputs!$B$35/100)),15)/15,MIN(1,(Skills!T13*(1+Inputs!$B$35/100))/(1/Q2144)))))+(IF(AND(ArtifactsInput!$M$35,Inputs!$B$4&lt;&gt;"Chapter Hunt"),CHOOSE(ArtifactsInput!$N$35+1,15,18,21,24,27,30)*(1-EXP(-(0.2*B2162)*5)),0)+IF(AND(ArtifactsInput!$M$22,Inputs!$B$4&lt;&gt;"Chapter Hunt"),CHOOSE(ArtifactsInput!$N$22+1,10,12,14,16,18,20)*((0*(((0.15*B2162*5))^0/1)+1*(((0.15*B2162*5))^1/1)+2*(((0.15*B2162*5))^2/2)+3*(((0.15*B2162*5))^3/6)+4*(((0.15*B2162*5))^4/24)+5*(((0.15*B2162*5))^5/120))/((((0.15*B2162*5))^0/1)+(((0.15*B2162*5))^1/1)+(((0.15*B2162*5))^2/2)+(((0.15*B2162*5))^3/6)+(((0.15*B2162*5))^4/24)+(((0.15*B2162*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34">
      <c r="A2134">
        <f>Skills!A3</f>
        <v/>
      </c>
      <c r="B2134">
        <f>Skills!B3</f>
        <v/>
      </c>
      <c r="C2134">
        <f>Inputs!$B$3&gt;=50</f>
        <v/>
      </c>
      <c r="D2134">
        <f>IF(Skills!C3=1,60+Inputs!$B$26+Inputs!$B$30,IF(Skills!C3=2,90+Inputs!$B$27+Inputs!$B$30,IF(Skills!C3=3,120+Inputs!$B$28+Inputs!$B$30,MAX(0,(Inputs!$B$3-100)*3)+Inputs!$B$29+Inputs!$B$30)))</f>
        <v/>
      </c>
      <c r="E2134">
        <f>INDEX(FactorTable!$B$2:$Y$301, MATCH(ROUND(MIN(300,MAX(1,D2134)),0), FactorTable!$A$2:$A$301,0), Skills!M3+1)</f>
        <v/>
      </c>
      <c r="F2134">
        <f>IF(Skills!N3=TRUE,(Skills!L3/10)*(E2134/1000),Skills!L3/10)+Skills!O3</f>
        <v/>
      </c>
      <c r="G2134" t="inlineStr"/>
      <c r="H2134" t="inlineStr"/>
      <c r="I2134" t="inlineStr">
        <is>
          <t>1</t>
        </is>
      </c>
      <c r="J2134" t="inlineStr"/>
      <c r="K2134" t="inlineStr"/>
      <c r="L2134" t="inlineStr"/>
      <c r="M2134" t="inlineStr"/>
      <c r="N2134" t="inlineStr"/>
      <c r="O2134" t="inlineStr"/>
      <c r="P2134" t="inlineStr"/>
      <c r="Q2134" t="inlineStr"/>
      <c r="R2134" t="inlineStr"/>
      <c r="S2134" t="inlineStr"/>
      <c r="U2134">
        <f>INDEX(FactorTable!$B$2:$Y$301, MATCH(ROUND(MIN(300,MAX(1,U2133)),0), FactorTable!$A$2:$A$301,0), 22)</f>
        <v/>
      </c>
    </row>
    <row r="2135">
      <c r="A2135">
        <f>Skills!A4</f>
        <v/>
      </c>
      <c r="B2135">
        <f>Skills!B4</f>
        <v/>
      </c>
      <c r="C2135">
        <f>Inputs!$B$3&gt;=105</f>
        <v/>
      </c>
      <c r="D2135">
        <f>IF(Skills!C4=1,60+Inputs!$B$26+Inputs!$B$30,IF(Skills!C4=2,90+Inputs!$B$27+Inputs!$B$30,IF(Skills!C4=3,120+Inputs!$B$28+Inputs!$B$30,MAX(0,(Inputs!$B$3-100)*3)+Inputs!$B$29+Inputs!$B$30)))</f>
        <v/>
      </c>
      <c r="E2135">
        <f>INDEX(FactorTable!$B$2:$Y$301, MATCH(ROUND(MIN(300,MAX(1,D2135)),0), FactorTable!$A$2:$A$301,0), Skills!M4+1)</f>
        <v/>
      </c>
      <c r="F2135">
        <f>IF(Skills!N4=TRUE,(Skills!L4/10)*(E2135/1000),Skills!L4/10)+Skills!O4</f>
        <v/>
      </c>
      <c r="G2135" t="inlineStr"/>
      <c r="H2135" t="inlineStr"/>
      <c r="I2135" t="inlineStr">
        <is>
          <t>1</t>
        </is>
      </c>
      <c r="J2135" t="inlineStr"/>
      <c r="K2135" t="inlineStr"/>
      <c r="L2135" t="inlineStr"/>
      <c r="M2135" t="inlineStr"/>
      <c r="N2135" t="inlineStr"/>
      <c r="O2135" t="inlineStr"/>
      <c r="P2135" t="inlineStr"/>
      <c r="Q2135" t="inlineStr"/>
      <c r="R2135" t="inlineStr"/>
      <c r="S2135" t="inlineStr"/>
      <c r="U2135">
        <f>290*U2134/1000</f>
        <v/>
      </c>
    </row>
    <row r="2136">
      <c r="A2136">
        <f>Skills!A5</f>
        <v/>
      </c>
      <c r="B2136">
        <f>Skills!B5</f>
        <v/>
      </c>
      <c r="C2136">
        <f>Inputs!$B$3&gt;=117</f>
        <v/>
      </c>
      <c r="D2136">
        <f>IF(Skills!C5=1,60+Inputs!$B$26+Inputs!$B$30,IF(Skills!C5=2,90+Inputs!$B$27+Inputs!$B$30,IF(Skills!C5=3,120+Inputs!$B$28+Inputs!$B$30,MAX(0,(Inputs!$B$3-100)*3)+Inputs!$B$29+Inputs!$B$30)))</f>
        <v/>
      </c>
      <c r="E2136">
        <f>INDEX(FactorTable!$B$2:$Y$301, MATCH(ROUND(MIN(300,MAX(1,D2136)),0), FactorTable!$A$2:$A$301,0), Skills!M5+1)</f>
        <v/>
      </c>
      <c r="F2136">
        <f>IF(Skills!N5=TRUE,(Skills!L5/10)*(E2136/1000),Skills!L5/10)+Skills!O5</f>
        <v/>
      </c>
      <c r="G2136">
        <f>Skills!G5*IF(Skills!H5&gt;0,INT(IF(Inputs!$B$39="pvp",MIN(Skills!I5,15),Skills!I5)/Skills!H5+0.000000001),1)</f>
        <v/>
      </c>
      <c r="H2136">
        <f>1-(1-Skills!J5/100)^Skills!K5</f>
        <v/>
      </c>
      <c r="I2136" t="inlineStr">
        <is>
          <t>1</t>
        </is>
      </c>
      <c r="J2136">
        <f>((Inputs!$B$6*(1+Inputs!$B$7/100))+(((Inputs!$B$13*(1+Inputs!$B$14/100))-(Inputs!$B$13*(1+Inputs!$B$14/100)))+0.25*(Inputs!$B$15-Inputs!$B$15))*(1+Inputs!$B$7/100))*(F2136/100)</f>
        <v/>
      </c>
      <c r="K2136">
        <f>J2136*(1+(((Inputs!$B$13+IF(Inputs!$B$3&gt;=38,(10*INDEX(FactorTable!$B$2:$Y$301, MATCH(ROUND(MIN(300,MAX(1,Inputs!$B$3)),0), FactorTable!$A$2:$A$301,0), 23)/1000)/100*(Inputs!$B$8*(1+Inputs!$B$9/100)),0))*(1+Inputs!$B$14/100))*0.01+Inputs!$B$15*0.0025)/100)*(1+Inputs!$B$16/100)*(1+Inputs!$B$17/100)*(5000/(6000+Inputs!$B$43*(1-(Inputs!$B$20+0)/100)))*(1+(Inputs!$B$25+((C2156=TRUE)*(F2156-Calc!F25))+((C2157=TRUE)*(F2157-Calc!F26))+B2166)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gt;=100),MIN(100,((Inputs!$B$10+0+B2160+(ArtifactsInput!$M$24-ArtifactsInput!$M$24)*CHOOSE(ArtifactsInput!$N$24+1,10,12,14,16,18,20)+IF(ArtifactsInput!$M$10,CHOOSE(ArtifactsInput!$N$10+1,15,18,21,24,27,30)*(IF(Inputs!$B$39="pvp",MIN(15,15)/15,IF(AND(Inputs!$B$39&lt;&gt;"pvp",Inputs!$B$44&gt;0),MIN(15,Inputs!$B$44)/(Inputs!$B$44),0))),0)))-100),0))*CHOOSE(ArtifactsInput!$N$42+1,0.6,0.72,0.84,0.96,1.08,1.2))),Inputs!$B$19+((C2154=TRUE)*(F2154-Calc!F23))+(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gt;=100),CHOOSE(ArtifactsInput!$N$42+1,40,48,56,64,72,80),0))))/100)*((1+(((C2144=TRUE)*F2144*IF(AND(Inputs!$B$39&lt;&gt;"pvp",Inputs!$B$44&gt;0),(((R2144-1)*MIN((Skills!T13*(1+Inputs!$B$35/100)),(1/Q2144))+MIN((Skills!T13*(1+Inputs!$B$35/100)),MAX(0,Inputs!$B$44-((R2144-1)*(1/Q2144)))))/Inputs!$B$44),IF(Inputs!$B$39="pvp",MIN((Skills!T13*(1+Inputs!$B$35/100)),15)/15,MIN(1,(Skills!T13*(1+Inputs!$B$35/100))/(1/Q2144)))))+((C2145=TRUE)*F2145*IF(AND(Inputs!$B$39&lt;&gt;"pvp",Inputs!$B$44&gt;0),(((R2145-1)*MIN((Skills!T14*(1+Inputs!$B$35/100)),(1/Q2145))+MIN((Skills!T14*(1+Inputs!$B$35/100)),MAX(0,Inputs!$B$44-((R2145-1)*(1/Q2145)))))/Inputs!$B$44),IF(Inputs!$B$39="pvp",MIN((Skills!T14*(1+Inputs!$B$35/100)),15)/15,MIN(1,(Skills!T14*(1+Inputs!$B$35/100))/(1/Q2145)))))+((C2146=TRUE)*F2146*IF(AND(Inputs!$B$39&lt;&gt;"pvp",Inputs!$B$44&gt;0),(((R2146-1)*MIN((Skills!T15*(1+Inputs!$B$35/100)),(1/Q2146))+MIN((Skills!T15*(1+Inputs!$B$35/100)),MAX(0,Inputs!$B$44-((R2146-1)*(1/Q2146)))))/Inputs!$B$44),IF(Inputs!$B$39="pvp",MIN((Skills!T15*(1+Inputs!$B$35/100)),15)/15,MIN(1,(Skills!T15*(1+Inputs!$B$35/100))/(1/Q2146)))))+((C2147=TRUE)*F2147*IF(AND(Inputs!$B$39&lt;&gt;"pvp",Inputs!$B$44&gt;0),(((R2147-1)*MIN((Skills!T16*(1+Inputs!$B$35/100)),(1/Q2147))+MIN((Skills!T16*(1+Inputs!$B$35/100)),MAX(0,Inputs!$B$44-((R2147-1)*(1/Q2147)))))/Inputs!$B$44),IF(Inputs!$B$39="pvp",MIN((Skills!T16*(1+Inputs!$B$35/100)),15)/15,MIN(1,(Skills!T16*(1+Inputs!$B$35/100))/(1/Q2147)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2136)</f>
        <v/>
      </c>
      <c r="L2136">
        <f>K2136*(MIN(Inputs!$B$23+((C2153=TRUE)*(F2153-Calc!F22)),(Inputs!$B$24+((C2155=TRUE)*(F2155-Calc!F24))+(IF(ArtifactsInput!$M$15,CHOOSE(ArtifactsInput!$N$15+1,25,30,35,40,45,50)/100*(Inputs!$B$12-Inputs!$B$12),0))))/100+(Inputs!$B$24+((C2155=TRUE)*(F2155-Calc!F24))+(IF(ArtifactsInput!$M$15,CHOOSE(ArtifactsInput!$N$15+1,25,30,35,40,45,50)/100*(Inputs!$B$12-Inputs!$B$12),0)))/100)/2</f>
        <v/>
      </c>
      <c r="M2136">
        <f>L2136*(1+(Inputs!$B$11+0+B2165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136">
        <f>L2136*(1-MIN((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2136*(MIN((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36">
        <f>(1-Summary!$B$11)*T2136+Summary!$B$11*V2136</f>
        <v/>
      </c>
      <c r="P2136">
        <f>IF(B2170=0,0,O2136/B2170)</f>
        <v/>
      </c>
      <c r="Q2136">
        <f>IFERROR(1/IF(Inputs!$B$39="pvp",15,MAX(0.1,Skills!D5-IF(TRUE=TRUE,Inputs!$B$33,0))),0)</f>
        <v/>
      </c>
      <c r="R2136">
        <f>IF(AND(Inputs!$B$39&lt;&gt;"pvp",Inputs!$B$44&gt;0),IF(MAX(0,Inputs!$B$44-B2167)&lt;=0,0,(INT(MAX(0,Inputs!$B$44-B2167)/IF(Inputs!$B$39="pvp",15,MAX(0.1,Skills!D5-IF(TRUE=TRUE,Inputs!$B$33,0))))+1)),0)</f>
        <v/>
      </c>
      <c r="S2136">
        <f>IFERROR(O2136/N2136,0)</f>
        <v/>
      </c>
      <c r="T2136">
        <f>IF(C2136,(H2136*N2136*IF(AND(Inputs!$B$39&lt;&gt;"pvp",Inputs!$B$44&gt;0),((Skills!G5*((R2136-1)*IF(Skills!H5&gt;0,INT(Skills!I5/Skills!H5+0.000000001),1)+IF(Skills!H5&gt;0,INT(MIN(Skills!I5,MAX(0,MAX(0,Inputs!$B$44-B2167)-((R2136-1)*IF(Inputs!$B$39="pvp",15,MAX(0.1,Skills!D5-IF(TRUE=TRUE,Inputs!$B$33,0))))))/Skills!H5+0.000000001),1)))/Inputs!$B$44),G2136*Q2136))*IF(Inputs!$B$39="pvp",1,1+(Inputs!$B$21+0+Skills!P5+((C2148=TRUE)*F2148*IF(AND(Inputs!$B$39&lt;&gt;"pvp",Inputs!$B$44&gt;0),(((R2148-1)*MIN((Skills!T17*(1+Inputs!$B$35/100)),(1/Q2148))+MIN((Skills!T17*(1+Inputs!$B$35/100)),MAX(0,Inputs!$B$44-((R2148-1)*(1/Q2148)))))/Inputs!$B$44),IF(Inputs!$B$39="pvp",MIN((Skills!T17*(1+Inputs!$B$35/100)),15)/15,MIN(1,(Skills!T17*(1+Inputs!$B$35/100))/(1/Q2148)))))+((C2136=TRUE)*IF(Inputs!$B$3&gt;=126,10*MIN(1,15*Q2136),0))+((C2145=TRUE)*IF(Inputs!$B$39="pvp",20,(1-Summary!$B$11)*(20)+Summary!$B$11*(0))*IF(AND(Inputs!$B$39&lt;&gt;"pvp",Inputs!$B$44&gt;0),(((R2145-1)*MIN((Skills!T14*(1+Inputs!$B$35/100)),(1/Q2145))+MIN((Skills!T14*(1+Inputs!$B$35/100)),MAX(0,Inputs!$B$44-((R2145-1)*(1/Q2145)))))/Inputs!$B$44),IF(Inputs!$B$39="pvp",MIN((Skills!T14*(1+Inputs!$B$35/100)),15)/15,MIN(1,(Skills!T14*(1+Inputs!$B$35/100))/(1/Q2145)))))+((C2144=TRUE)*IF(Inputs!$B$3&gt;=82,IF(Inputs!$B$39="pvp",20,(1-Summary!$B$11)*(20)+Summary!$B$11*(0)),0)*IF(AND(Inputs!$B$39&lt;&gt;"pvp",Inputs!$B$44&gt;0),(((R2144-1)*MIN((Skills!T13*(1+Inputs!$B$35/100)),(1/Q2144))+MIN((Skills!T13*(1+Inputs!$B$35/100)),MAX(0,Inputs!$B$44-((R2144-1)*(1/Q2144)))))/Inputs!$B$44),IF(Inputs!$B$39="pvp",MIN((Skills!T13*(1+Inputs!$B$35/100)),15)/15,MIN(1,(Skills!T13*(1+Inputs!$B$35/100))/(1/Q2144)))))+(IF(AND(ArtifactsInput!$M$35,Inputs!$B$4&lt;&gt;"Chapter Hunt"),CHOOSE(ArtifactsInput!$N$35+1,15,18,21,24,27,30)*(1-EXP(-(0.2*B2162)*5)),0)+IF(AND(ArtifactsInput!$M$22,Inputs!$B$4&lt;&gt;"Chapter Hunt"),CHOOSE(ArtifactsInput!$N$22+1,10,12,14,16,18,20)*((0*(((0.15*B2162*5))^0/1)+1*(((0.15*B2162*5))^1/1)+2*(((0.15*B2162*5))^2/2)+3*(((0.15*B2162*5))^3/6)+4*(((0.15*B2162*5))^4/24)+5*(((0.15*B2162*5))^5/120))/((((0.15*B2162*5))^0/1)+(((0.15*B2162*5))^1/1)+(((0.15*B2162*5))^2/2)+(((0.15*B2162*5))^3/6)+(((0.15*B2162*5))^4/24)+(((0.15*B2162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2136*(1-MIN(100,(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2136*(MIN(100,(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2136*(1-MIN(100,(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2136*(MIN(100,(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36">
        <f>IF(C2136,(H2136*N2136*IF(AND(Inputs!$B$39&lt;&gt;"pvp",Inputs!$B$44&gt;0),((Skills!G5*((R2136-1)*IF(Skills!H5&gt;0,INT(Skills!I5/Skills!H5+0.000000001),1)+IF(Skills!H5&gt;0,INT(MIN(Skills!I5,MAX(0,MAX(0,Inputs!$B$44-B2167)-((R2136-1)*IF(Inputs!$B$39="pvp",15,MAX(0.1,Skills!D5-IF(TRUE=TRUE,Inputs!$B$33,0))))))/Skills!H5+0.000000001),1)))/Inputs!$B$44),G2136*Q2136))*IF(Inputs!$B$39="pvp",1,(1+(Inputs!$B$22+Skills!Q5+((C2148=TRUE)*F2148*IF(AND(Inputs!$B$39&lt;&gt;"pvp",Inputs!$B$44&gt;0),(((R2148-1)*MIN((Skills!T17*(1+Inputs!$B$35/100)),(1/Q2148))+MIN((Skills!T17*(1+Inputs!$B$35/100)),MAX(0,Inputs!$B$44-((R2148-1)*(1/Q2148)))))/Inputs!$B$44),IF(Inputs!$B$39="pvp",MIN((Skills!T17*(1+Inputs!$B$35/100)),15)/15,MIN(1,(Skills!T17*(1+Inputs!$B$35/100))/(1/Q2148)))))+((C2136=TRUE)*IF(Inputs!$B$3&gt;=126,10*MIN(1,15*Q2136),0))+((C2145=TRUE)*IF(Inputs!$B$39="pvp",20,(1-Summary!$B$11)*(20)+Summary!$B$11*(0))*IF(AND(Inputs!$B$39&lt;&gt;"pvp",Inputs!$B$44&gt;0),(((R2145-1)*MIN((Skills!T14*(1+Inputs!$B$35/100)),(1/Q2145))+MIN((Skills!T14*(1+Inputs!$B$35/100)),MAX(0,Inputs!$B$44-((R2145-1)*(1/Q2145)))))/Inputs!$B$44),IF(Inputs!$B$39="pvp",MIN((Skills!T14*(1+Inputs!$B$35/100)),15)/15,MIN(1,(Skills!T14*(1+Inputs!$B$35/100))/(1/Q2145)))))+((C2144=TRUE)*IF(Inputs!$B$3&gt;=82,IF(Inputs!$B$39="pvp",20,(1-Summary!$B$11)*(20)+Summary!$B$11*(0)),0)*IF(AND(Inputs!$B$39&lt;&gt;"pvp",Inputs!$B$44&gt;0),(((R2144-1)*MIN((Skills!T13*(1+Inputs!$B$35/100)),(1/Q2144))+MIN((Skills!T13*(1+Inputs!$B$35/100)),MAX(0,Inputs!$B$44-((R2144-1)*(1/Q2144)))))/Inputs!$B$44),IF(Inputs!$B$39="pvp",MIN((Skills!T13*(1+Inputs!$B$35/100)),15)/15,MIN(1,(Skills!T13*(1+Inputs!$B$35/100))/(1/Q2144)))))+(IF(AND(ArtifactsInput!$M$35,Inputs!$B$4&lt;&gt;"Chapter Hunt"),CHOOSE(ArtifactsInput!$N$35+1,15,18,21,24,27,30)*(1-EXP(-(0.2*B2162)*5)),0)+IF(AND(ArtifactsInput!$M$22,Inputs!$B$4&lt;&gt;"Chapter Hunt"),CHOOSE(ArtifactsInput!$N$22+1,10,12,14,16,18,20)*((0*(((0.15*B2162*5))^0/1)+1*(((0.15*B2162*5))^1/1)+2*(((0.15*B2162*5))^2/2)+3*(((0.15*B2162*5))^3/6)+4*(((0.15*B2162*5))^4/24)+5*(((0.15*B2162*5))^5/120))/((((0.15*B2162*5))^0/1)+(((0.15*B2162*5))^1/1)+(((0.15*B2162*5))^2/2)+(((0.15*B2162*5))^3/6)+(((0.15*B2162*5))^4/24)+(((0.15*B2162*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37">
      <c r="A2137">
        <f>Skills!A6</f>
        <v/>
      </c>
      <c r="B2137">
        <f>Skills!B6</f>
        <v/>
      </c>
      <c r="C2137">
        <f>Inputs!$B$3&gt;=103</f>
        <v/>
      </c>
      <c r="D2137">
        <f>IF(Skills!C6=1,60+Inputs!$B$26+Inputs!$B$30,IF(Skills!C6=2,90+Inputs!$B$27+Inputs!$B$30,IF(Skills!C6=3,120+Inputs!$B$28+Inputs!$B$30,MAX(0,(Inputs!$B$3-100)*3)+Inputs!$B$29+Inputs!$B$30)))</f>
        <v/>
      </c>
      <c r="E2137">
        <f>INDEX(FactorTable!$B$2:$Y$301, MATCH(ROUND(MIN(300,MAX(1,D2137)),0), FactorTable!$A$2:$A$301,0), Skills!M6+1)</f>
        <v/>
      </c>
      <c r="F2137">
        <f>IF(Skills!N6=TRUE,(Skills!L6/10)*(E2137/1000),Skills!L6/10)+Skills!O6</f>
        <v/>
      </c>
      <c r="G2137">
        <f>Skills!G6*IF(Skills!H6&gt;0,INT(IF(Inputs!$B$39="pvp",MIN(Skills!I6,15),Skills!I6)/Skills!H6+0.000000001),1)</f>
        <v/>
      </c>
      <c r="H2137">
        <f>1-(1-Skills!J6/100)^Skills!K6</f>
        <v/>
      </c>
      <c r="I2137" t="inlineStr">
        <is>
          <t>1</t>
        </is>
      </c>
      <c r="J2137">
        <f>((Inputs!$B$6*(1+Inputs!$B$7/100))+(((Inputs!$B$13*(1+Inputs!$B$14/100))-(Inputs!$B$13*(1+Inputs!$B$14/100)))+0.25*(Inputs!$B$15-Inputs!$B$15))*(1+Inputs!$B$7/100))*(F2137/100)</f>
        <v/>
      </c>
      <c r="K2137">
        <f>J2137*(1+(((Inputs!$B$13+IF(Inputs!$B$3&gt;=38,(10*INDEX(FactorTable!$B$2:$Y$301, MATCH(ROUND(MIN(300,MAX(1,Inputs!$B$3)),0), FactorTable!$A$2:$A$301,0), 23)/1000)/100*(Inputs!$B$8*(1+Inputs!$B$9/100)),0))*(1+Inputs!$B$14/100))*0.01+Inputs!$B$15*0.0025)/100)*(1+Inputs!$B$16/100)*(1+Inputs!$B$17/100)*(5000/(6000+Inputs!$B$43*(1-(Inputs!$B$20+0)/100)))*(1+(Inputs!$B$25+((C2156=TRUE)*(F2156-Calc!F25))+((C2157=TRUE)*(F2157-Calc!F26))+B2166)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gt;=100),MIN(100,((Inputs!$B$10+0+B2160+(ArtifactsInput!$M$24-ArtifactsInput!$M$24)*CHOOSE(ArtifactsInput!$N$24+1,10,12,14,16,18,20)+IF(ArtifactsInput!$M$10,CHOOSE(ArtifactsInput!$N$10+1,15,18,21,24,27,30)*(IF(Inputs!$B$39="pvp",MIN(15,15)/15,IF(AND(Inputs!$B$39&lt;&gt;"pvp",Inputs!$B$44&gt;0),MIN(15,Inputs!$B$44)/(Inputs!$B$44),0))),0)))-100),0))*CHOOSE(ArtifactsInput!$N$42+1,0.6,0.72,0.84,0.96,1.08,1.2))),Inputs!$B$19+((C2154=TRUE)*(F2154-Calc!F23))+(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gt;=100),CHOOSE(ArtifactsInput!$N$42+1,40,48,56,64,72,80),0))))/100)*((1+(((C2144=TRUE)*F2144*IF(AND(Inputs!$B$39&lt;&gt;"pvp",Inputs!$B$44&gt;0),(((R2144-1)*MIN((Skills!T13*(1+Inputs!$B$35/100)),(1/Q2144))+MIN((Skills!T13*(1+Inputs!$B$35/100)),MAX(0,Inputs!$B$44-((R2144-1)*(1/Q2144)))))/Inputs!$B$44),IF(Inputs!$B$39="pvp",MIN((Skills!T13*(1+Inputs!$B$35/100)),15)/15,MIN(1,(Skills!T13*(1+Inputs!$B$35/100))/(1/Q2144)))))+((C2145=TRUE)*F2145*IF(AND(Inputs!$B$39&lt;&gt;"pvp",Inputs!$B$44&gt;0),(((R2145-1)*MIN((Skills!T14*(1+Inputs!$B$35/100)),(1/Q2145))+MIN((Skills!T14*(1+Inputs!$B$35/100)),MAX(0,Inputs!$B$44-((R2145-1)*(1/Q2145)))))/Inputs!$B$44),IF(Inputs!$B$39="pvp",MIN((Skills!T14*(1+Inputs!$B$35/100)),15)/15,MIN(1,(Skills!T14*(1+Inputs!$B$35/100))/(1/Q2145)))))+((C2146=TRUE)*F2146*IF(AND(Inputs!$B$39&lt;&gt;"pvp",Inputs!$B$44&gt;0),(((R2146-1)*MIN((Skills!T15*(1+Inputs!$B$35/100)),(1/Q2146))+MIN((Skills!T15*(1+Inputs!$B$35/100)),MAX(0,Inputs!$B$44-((R2146-1)*(1/Q2146)))))/Inputs!$B$44),IF(Inputs!$B$39="pvp",MIN((Skills!T15*(1+Inputs!$B$35/100)),15)/15,MIN(1,(Skills!T15*(1+Inputs!$B$35/100))/(1/Q2146)))))+((C2147=TRUE)*F2147*IF(AND(Inputs!$B$39&lt;&gt;"pvp",Inputs!$B$44&gt;0),(((R2147-1)*MIN((Skills!T16*(1+Inputs!$B$35/100)),(1/Q2147))+MIN((Skills!T16*(1+Inputs!$B$35/100)),MAX(0,Inputs!$B$44-((R2147-1)*(1/Q2147)))))/Inputs!$B$44),IF(Inputs!$B$39="pvp",MIN((Skills!T16*(1+Inputs!$B$35/100)),15)/15,MIN(1,(Skills!T16*(1+Inputs!$B$35/100))/(1/Q2147)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2137)</f>
        <v/>
      </c>
      <c r="L2137">
        <f>K2137*(MIN(Inputs!$B$23+((C2153=TRUE)*(F2153-Calc!F22)),(Inputs!$B$24+((C2155=TRUE)*(F2155-Calc!F24))+(IF(ArtifactsInput!$M$15,CHOOSE(ArtifactsInput!$N$15+1,25,30,35,40,45,50)/100*(Inputs!$B$12-Inputs!$B$12),0))))/100+(Inputs!$B$24+((C2155=TRUE)*(F2155-Calc!F24))+(IF(ArtifactsInput!$M$15,CHOOSE(ArtifactsInput!$N$15+1,25,30,35,40,45,50)/100*(Inputs!$B$12-Inputs!$B$12),0)))/100)/2</f>
        <v/>
      </c>
      <c r="M2137">
        <f>L2137*(1+(Inputs!$B$11+0+B2165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137">
        <f>L2137*(1-MIN((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2137*(MIN((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37">
        <f>(1-Summary!$B$11)*T2137+Summary!$B$11*V2137</f>
        <v/>
      </c>
      <c r="P2137">
        <f>IF(B2170=0,0,O2137/B2170)</f>
        <v/>
      </c>
      <c r="Q2137">
        <f>IFERROR(1/IF(Inputs!$B$39="pvp",15,MAX(0.1,Skills!D6-IF(TRUE=TRUE,Inputs!$B$33,0))),0)</f>
        <v/>
      </c>
      <c r="R2137">
        <f>IF(AND(Inputs!$B$39&lt;&gt;"pvp",Inputs!$B$44&gt;0),IF(MAX(0,Inputs!$B$44-B2167)&lt;=0,0,(INT(MAX(0,Inputs!$B$44-B2167)/IF(Inputs!$B$39="pvp",15,MAX(0.1,Skills!D6-IF(TRUE=TRUE,Inputs!$B$33,0))))+1)),0)</f>
        <v/>
      </c>
      <c r="S2137">
        <f>IFERROR(O2137/N2137,0)</f>
        <v/>
      </c>
      <c r="T2137">
        <f>IF(C2137,(H2137*N2137*IF(AND(Inputs!$B$39&lt;&gt;"pvp",Inputs!$B$44&gt;0),((Skills!G6*((R2137-1)*IF(Skills!H6&gt;0,INT(Skills!I6/Skills!H6+0.000000001),1)+IF(Skills!H6&gt;0,INT(MIN(Skills!I6,MAX(0,MAX(0,Inputs!$B$44-B2167)-((R2137-1)*IF(Inputs!$B$39="pvp",15,MAX(0.1,Skills!D6-IF(TRUE=TRUE,Inputs!$B$33,0))))))/Skills!H6+0.000000001),1)))/Inputs!$B$44),G2137*Q2137))*IF(Inputs!$B$39="pvp",1,1+(Inputs!$B$21+0+Skills!P6+((C2148=TRUE)*F2148*IF(AND(Inputs!$B$39&lt;&gt;"pvp",Inputs!$B$44&gt;0),(((R2148-1)*MIN((Skills!T17*(1+Inputs!$B$35/100)),(1/Q2148))+MIN((Skills!T17*(1+Inputs!$B$35/100)),MAX(0,Inputs!$B$44-((R2148-1)*(1/Q2148)))))/Inputs!$B$44),IF(Inputs!$B$39="pvp",MIN((Skills!T17*(1+Inputs!$B$35/100)),15)/15,MIN(1,(Skills!T17*(1+Inputs!$B$35/100))/(1/Q2148)))))+((C2136=TRUE)*IF(Inputs!$B$3&gt;=126,10*MIN(1,15*Q2136),0))+((C2145=TRUE)*IF(Inputs!$B$39="pvp",20,(1-Summary!$B$11)*(20)+Summary!$B$11*(0))*IF(AND(Inputs!$B$39&lt;&gt;"pvp",Inputs!$B$44&gt;0),(((R2145-1)*MIN((Skills!T14*(1+Inputs!$B$35/100)),(1/Q2145))+MIN((Skills!T14*(1+Inputs!$B$35/100)),MAX(0,Inputs!$B$44-((R2145-1)*(1/Q2145)))))/Inputs!$B$44),IF(Inputs!$B$39="pvp",MIN((Skills!T14*(1+Inputs!$B$35/100)),15)/15,MIN(1,(Skills!T14*(1+Inputs!$B$35/100))/(1/Q2145)))))+((C2144=TRUE)*IF(Inputs!$B$3&gt;=82,IF(Inputs!$B$39="pvp",20,(1-Summary!$B$11)*(20)+Summary!$B$11*(0)),0)*IF(AND(Inputs!$B$39&lt;&gt;"pvp",Inputs!$B$44&gt;0),(((R2144-1)*MIN((Skills!T13*(1+Inputs!$B$35/100)),(1/Q2144))+MIN((Skills!T13*(1+Inputs!$B$35/100)),MAX(0,Inputs!$B$44-((R2144-1)*(1/Q2144)))))/Inputs!$B$44),IF(Inputs!$B$39="pvp",MIN((Skills!T13*(1+Inputs!$B$35/100)),15)/15,MIN(1,(Skills!T13*(1+Inputs!$B$35/100))/(1/Q2144)))))+(IF(AND(ArtifactsInput!$M$35,Inputs!$B$4&lt;&gt;"Chapter Hunt"),CHOOSE(ArtifactsInput!$N$35+1,15,18,21,24,27,30)*(1-EXP(-(0.2*B2162)*5)),0)+IF(AND(ArtifactsInput!$M$22,Inputs!$B$4&lt;&gt;"Chapter Hunt"),CHOOSE(ArtifactsInput!$N$22+1,10,12,14,16,18,20)*((0*(((0.15*B2162*5))^0/1)+1*(((0.15*B2162*5))^1/1)+2*(((0.15*B2162*5))^2/2)+3*(((0.15*B2162*5))^3/6)+4*(((0.15*B2162*5))^4/24)+5*(((0.15*B2162*5))^5/120))/((((0.15*B2162*5))^0/1)+(((0.15*B2162*5))^1/1)+(((0.15*B2162*5))^2/2)+(((0.15*B2162*5))^3/6)+(((0.15*B2162*5))^4/24)+(((0.15*B2162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2137*(1-MIN(100,(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2137*(MIN(100,(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2137*(1-MIN(100,(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2137*(MIN(100,(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37">
        <f>IF(C2137,(H2137*N2137*IF(AND(Inputs!$B$39&lt;&gt;"pvp",Inputs!$B$44&gt;0),((Skills!G6*((R2137-1)*IF(Skills!H6&gt;0,INT(Skills!I6/Skills!H6+0.000000001),1)+IF(Skills!H6&gt;0,INT(MIN(Skills!I6,MAX(0,MAX(0,Inputs!$B$44-B2167)-((R2137-1)*IF(Inputs!$B$39="pvp",15,MAX(0.1,Skills!D6-IF(TRUE=TRUE,Inputs!$B$33,0))))))/Skills!H6+0.000000001),1)))/Inputs!$B$44),G2137*Q2137))*IF(Inputs!$B$39="pvp",1,(1+(Inputs!$B$22+Skills!Q6+((C2148=TRUE)*F2148*IF(AND(Inputs!$B$39&lt;&gt;"pvp",Inputs!$B$44&gt;0),(((R2148-1)*MIN((Skills!T17*(1+Inputs!$B$35/100)),(1/Q2148))+MIN((Skills!T17*(1+Inputs!$B$35/100)),MAX(0,Inputs!$B$44-((R2148-1)*(1/Q2148)))))/Inputs!$B$44),IF(Inputs!$B$39="pvp",MIN((Skills!T17*(1+Inputs!$B$35/100)),15)/15,MIN(1,(Skills!T17*(1+Inputs!$B$35/100))/(1/Q2148)))))+((C2136=TRUE)*IF(Inputs!$B$3&gt;=126,10*MIN(1,15*Q2136),0))+((C2145=TRUE)*IF(Inputs!$B$39="pvp",20,(1-Summary!$B$11)*(20)+Summary!$B$11*(0))*IF(AND(Inputs!$B$39&lt;&gt;"pvp",Inputs!$B$44&gt;0),(((R2145-1)*MIN((Skills!T14*(1+Inputs!$B$35/100)),(1/Q2145))+MIN((Skills!T14*(1+Inputs!$B$35/100)),MAX(0,Inputs!$B$44-((R2145-1)*(1/Q2145)))))/Inputs!$B$44),IF(Inputs!$B$39="pvp",MIN((Skills!T14*(1+Inputs!$B$35/100)),15)/15,MIN(1,(Skills!T14*(1+Inputs!$B$35/100))/(1/Q2145)))))+((C2144=TRUE)*IF(Inputs!$B$3&gt;=82,IF(Inputs!$B$39="pvp",20,(1-Summary!$B$11)*(20)+Summary!$B$11*(0)),0)*IF(AND(Inputs!$B$39&lt;&gt;"pvp",Inputs!$B$44&gt;0),(((R2144-1)*MIN((Skills!T13*(1+Inputs!$B$35/100)),(1/Q2144))+MIN((Skills!T13*(1+Inputs!$B$35/100)),MAX(0,Inputs!$B$44-((R2144-1)*(1/Q2144)))))/Inputs!$B$44),IF(Inputs!$B$39="pvp",MIN((Skills!T13*(1+Inputs!$B$35/100)),15)/15,MIN(1,(Skills!T13*(1+Inputs!$B$35/100))/(1/Q2144)))))+(IF(AND(ArtifactsInput!$M$35,Inputs!$B$4&lt;&gt;"Chapter Hunt"),CHOOSE(ArtifactsInput!$N$35+1,15,18,21,24,27,30)*(1-EXP(-(0.2*B2162)*5)),0)+IF(AND(ArtifactsInput!$M$22,Inputs!$B$4&lt;&gt;"Chapter Hunt"),CHOOSE(ArtifactsInput!$N$22+1,10,12,14,16,18,20)*((0*(((0.15*B2162*5))^0/1)+1*(((0.15*B2162*5))^1/1)+2*(((0.15*B2162*5))^2/2)+3*(((0.15*B2162*5))^3/6)+4*(((0.15*B2162*5))^4/24)+5*(((0.15*B2162*5))^5/120))/((((0.15*B2162*5))^0/1)+(((0.15*B2162*5))^1/1)+(((0.15*B2162*5))^2/2)+(((0.15*B2162*5))^3/6)+(((0.15*B2162*5))^4/24)+(((0.15*B2162*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38">
      <c r="A2138">
        <f>Skills!A7</f>
        <v/>
      </c>
      <c r="B2138">
        <f>Skills!B7</f>
        <v/>
      </c>
      <c r="C2138">
        <f>Inputs!$B$3&gt;=40</f>
        <v/>
      </c>
      <c r="D2138">
        <f>IF(Skills!C7=1,60+Inputs!$B$26+Inputs!$B$30,IF(Skills!C7=2,90+Inputs!$B$27+Inputs!$B$30,IF(Skills!C7=3,120+Inputs!$B$28+Inputs!$B$30,MAX(0,(Inputs!$B$3-100)*3)+Inputs!$B$29+Inputs!$B$30)))</f>
        <v/>
      </c>
      <c r="E2138">
        <f>INDEX(FactorTable!$B$2:$Y$301, MATCH(ROUND(MIN(300,MAX(1,D2138)),0), FactorTable!$A$2:$A$301,0), Skills!M7+1)</f>
        <v/>
      </c>
      <c r="F2138">
        <f>IF(Skills!N7=TRUE,(Skills!L7/10)*(E2138/1000),Skills!L7/10)+Skills!O7</f>
        <v/>
      </c>
      <c r="G2138">
        <f>Skills!G7*IF(Skills!H7&gt;0,INT(IF(Inputs!$B$39="pvp",MIN(Skills!I7,15),Skills!I7)/Skills!H7+0.000000001),1)</f>
        <v/>
      </c>
      <c r="H2138">
        <f>1-(1-Skills!J7/100)^Skills!K7</f>
        <v/>
      </c>
      <c r="I2138" t="inlineStr">
        <is>
          <t>1</t>
        </is>
      </c>
      <c r="J2138">
        <f>((Inputs!$B$6*(1+Inputs!$B$7/100))+(((Inputs!$B$13*(1+Inputs!$B$14/100))-(Inputs!$B$13*(1+Inputs!$B$14/100)))+0.25*(Inputs!$B$15-Inputs!$B$15))*(1+Inputs!$B$7/100))*(F2138/100)</f>
        <v/>
      </c>
      <c r="K2138">
        <f>J2138*(1+(((Inputs!$B$13+IF(Inputs!$B$3&gt;=38,(10*INDEX(FactorTable!$B$2:$Y$301, MATCH(ROUND(MIN(300,MAX(1,Inputs!$B$3)),0), FactorTable!$A$2:$A$301,0), 23)/1000)/100*(Inputs!$B$8*(1+Inputs!$B$9/100)),0))*(1+Inputs!$B$14/100))*0.01+Inputs!$B$15*0.0025)/100)*(1+Inputs!$B$16/100)*(1+Inputs!$B$17/100)*(5000/(6000+Inputs!$B$43*(1-(Inputs!$B$20+0)/100)))*(1+(Inputs!$B$25+((C2156=TRUE)*(F2156-Calc!F25))+((C2157=TRUE)*(F2157-Calc!F26))+B2166)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2142=TRUE,F2142,0)/100)*(1+(IF(Skills!A7="DARK_IMPALE",Inputs!$B$18+0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gt;=100),MIN(100,((Inputs!$B$10+0+B2160+(ArtifactsInput!$M$24-ArtifactsInput!$M$24)*CHOOSE(ArtifactsInput!$N$24+1,10,12,14,16,18,20)+IF(ArtifactsInput!$M$10,CHOOSE(ArtifactsInput!$N$10+1,15,18,21,24,27,30)*(IF(Inputs!$B$39="pvp",MIN(15,15)/15,IF(AND(Inputs!$B$39&lt;&gt;"pvp",Inputs!$B$44&gt;0),MIN(15,Inputs!$B$44)/(Inputs!$B$44),0))),0)))-100),0))*CHOOSE(ArtifactsInput!$N$42+1,0.6,0.72,0.84,0.96,1.08,1.2))),Inputs!$B$19+((C2154=TRUE)*(F2154-Calc!F23))+(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gt;=100),CHOOSE(ArtifactsInput!$N$42+1,40,48,56,64,72,80),0))))/100)*((1+(((C2144=TRUE)*F2144*IF(AND(Inputs!$B$39&lt;&gt;"pvp",Inputs!$B$44&gt;0),(((R2144-1)*MIN((Skills!T13*(1+Inputs!$B$35/100)),(1/Q2144))+MIN((Skills!T13*(1+Inputs!$B$35/100)),MAX(0,Inputs!$B$44-((R2144-1)*(1/Q2144)))))/Inputs!$B$44),IF(Inputs!$B$39="pvp",MIN((Skills!T13*(1+Inputs!$B$35/100)),15)/15,MIN(1,(Skills!T13*(1+Inputs!$B$35/100))/(1/Q2144)))))+((C2145=TRUE)*F2145*IF(AND(Inputs!$B$39&lt;&gt;"pvp",Inputs!$B$44&gt;0),(((R2145-1)*MIN((Skills!T14*(1+Inputs!$B$35/100)),(1/Q2145))+MIN((Skills!T14*(1+Inputs!$B$35/100)),MAX(0,Inputs!$B$44-((R2145-1)*(1/Q2145)))))/Inputs!$B$44),IF(Inputs!$B$39="pvp",MIN((Skills!T14*(1+Inputs!$B$35/100)),15)/15,MIN(1,(Skills!T14*(1+Inputs!$B$35/100))/(1/Q2145)))))+((C2146=TRUE)*F2146*IF(AND(Inputs!$B$39&lt;&gt;"pvp",Inputs!$B$44&gt;0),(((R2146-1)*MIN((Skills!T15*(1+Inputs!$B$35/100)),(1/Q2146))+MIN((Skills!T15*(1+Inputs!$B$35/100)),MAX(0,Inputs!$B$44-((R2146-1)*(1/Q2146)))))/Inputs!$B$44),IF(Inputs!$B$39="pvp",MIN((Skills!T15*(1+Inputs!$B$35/100)),15)/15,MIN(1,(Skills!T15*(1+Inputs!$B$35/100))/(1/Q2146)))))+((C2147=TRUE)*F2147*IF(AND(Inputs!$B$39&lt;&gt;"pvp",Inputs!$B$44&gt;0),(((R2147-1)*MIN((Skills!T16*(1+Inputs!$B$35/100)),(1/Q2147))+MIN((Skills!T16*(1+Inputs!$B$35/100)),MAX(0,Inputs!$B$44-((R2147-1)*(1/Q2147)))))/Inputs!$B$44),IF(Inputs!$B$39="pvp",MIN((Skills!T16*(1+Inputs!$B$35/100)),15)/15,MIN(1,(Skills!T16*(1+Inputs!$B$35/100))/(1/Q2147)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2138)</f>
        <v/>
      </c>
      <c r="L2138">
        <f>K2138*(MIN(Inputs!$B$23+((C2153=TRUE)*(F2153-Calc!F22)),(Inputs!$B$24+((C2155=TRUE)*(F2155-Calc!F24))+(IF(ArtifactsInput!$M$15,CHOOSE(ArtifactsInput!$N$15+1,25,30,35,40,45,50)/100*(Inputs!$B$12-Inputs!$B$12),0))))/100+(Inputs!$B$24+((C2155=TRUE)*(F2155-Calc!F24))+(IF(ArtifactsInput!$M$15,CHOOSE(ArtifactsInput!$N$15+1,25,30,35,40,45,50)/100*(Inputs!$B$12-Inputs!$B$12),0)))/100)/2</f>
        <v/>
      </c>
      <c r="M2138">
        <f>L2138*(1+(Inputs!$B$11+0+B2165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138">
        <f>L2138*(1-MIN((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2138*(MIN((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38">
        <f>(1-Summary!$B$11)*T2138+Summary!$B$11*V2138</f>
        <v/>
      </c>
      <c r="P2138">
        <f>IF(B2170=0,0,O2138/B2170)</f>
        <v/>
      </c>
      <c r="Q2138">
        <f>IFERROR(1/IF(Inputs!$B$39="pvp",15,MAX(0.1,Skills!D7-IF(TRUE=TRUE,Inputs!$B$33,0))),0)</f>
        <v/>
      </c>
      <c r="R2138">
        <f>IF(AND(Inputs!$B$39&lt;&gt;"pvp",Inputs!$B$44&gt;0),IF(MAX(0,Inputs!$B$44-B2167)&lt;=0,0,(INT(MAX(0,Inputs!$B$44-B2167)/IF(Inputs!$B$39="pvp",15,MAX(0.1,Skills!D7-IF(TRUE=TRUE,Inputs!$B$33,0))))+1)),0)</f>
        <v/>
      </c>
      <c r="S2138">
        <f>IFERROR(O2138/N2138,0)</f>
        <v/>
      </c>
      <c r="T2138">
        <f>IF(C2138,(H2138*N2138*IF(AND(Inputs!$B$39&lt;&gt;"pvp",Inputs!$B$44&gt;0),((Skills!G7*((R2138-1)*IF(Skills!H7&gt;0,INT(Skills!I7/Skills!H7+0.000000001),1)+IF(Skills!H7&gt;0,INT(MIN(Skills!I7,MAX(0,MAX(0,Inputs!$B$44-B2167)-((R2138-1)*IF(Inputs!$B$39="pvp",15,MAX(0.1,Skills!D7-IF(TRUE=TRUE,Inputs!$B$33,0))))))/Skills!H7+0.000000001),1)))/Inputs!$B$44),G2138*Q2138))*IF(Inputs!$B$39="pvp",1,1+(Inputs!$B$21+0+Skills!P7+((C2148=TRUE)*F2148*IF(AND(Inputs!$B$39&lt;&gt;"pvp",Inputs!$B$44&gt;0),(((R2148-1)*MIN((Skills!T17*(1+Inputs!$B$35/100)),(1/Q2148))+MIN((Skills!T17*(1+Inputs!$B$35/100)),MAX(0,Inputs!$B$44-((R2148-1)*(1/Q2148)))))/Inputs!$B$44),IF(Inputs!$B$39="pvp",MIN((Skills!T17*(1+Inputs!$B$35/100)),15)/15,MIN(1,(Skills!T17*(1+Inputs!$B$35/100))/(1/Q2148)))))+((C2136=TRUE)*IF(Inputs!$B$3&gt;=126,10*MIN(1,15*Q2136),0))+((C2145=TRUE)*IF(Inputs!$B$39="pvp",20,(1-Summary!$B$11)*(20)+Summary!$B$11*(0))*IF(AND(Inputs!$B$39&lt;&gt;"pvp",Inputs!$B$44&gt;0),(((R2145-1)*MIN((Skills!T14*(1+Inputs!$B$35/100)),(1/Q2145))+MIN((Skills!T14*(1+Inputs!$B$35/100)),MAX(0,Inputs!$B$44-((R2145-1)*(1/Q2145)))))/Inputs!$B$44),IF(Inputs!$B$39="pvp",MIN((Skills!T14*(1+Inputs!$B$35/100)),15)/15,MIN(1,(Skills!T14*(1+Inputs!$B$35/100))/(1/Q2145)))))+((C2144=TRUE)*IF(Inputs!$B$3&gt;=82,IF(Inputs!$B$39="pvp",20,(1-Summary!$B$11)*(20)+Summary!$B$11*(0)),0)*IF(AND(Inputs!$B$39&lt;&gt;"pvp",Inputs!$B$44&gt;0),(((R2144-1)*MIN((Skills!T13*(1+Inputs!$B$35/100)),(1/Q2144))+MIN((Skills!T13*(1+Inputs!$B$35/100)),MAX(0,Inputs!$B$44-((R2144-1)*(1/Q2144)))))/Inputs!$B$44),IF(Inputs!$B$39="pvp",MIN((Skills!T13*(1+Inputs!$B$35/100)),15)/15,MIN(1,(Skills!T13*(1+Inputs!$B$35/100))/(1/Q2144)))))+(IF(AND(ArtifactsInput!$M$35,Inputs!$B$4&lt;&gt;"Chapter Hunt"),CHOOSE(ArtifactsInput!$N$35+1,15,18,21,24,27,30)*(1-EXP(-(0.2*B2162)*5)),0)+IF(AND(ArtifactsInput!$M$22,Inputs!$B$4&lt;&gt;"Chapter Hunt"),CHOOSE(ArtifactsInput!$N$22+1,10,12,14,16,18,20)*((0*(((0.15*B2162*5))^0/1)+1*(((0.15*B2162*5))^1/1)+2*(((0.15*B2162*5))^2/2)+3*(((0.15*B2162*5))^3/6)+4*(((0.15*B2162*5))^4/24)+5*(((0.15*B2162*5))^5/120))/((((0.15*B2162*5))^0/1)+(((0.15*B2162*5))^1/1)+(((0.15*B2162*5))^2/2)+(((0.15*B2162*5))^3/6)+(((0.15*B2162*5))^4/24)+(((0.15*B2162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2138*(1-MIN(100,(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2138*(MIN(100,(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2138*(1-MIN(100,(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2138*(MIN(100,(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38">
        <f>IF(C2138,(H2138*N2138*IF(AND(Inputs!$B$39&lt;&gt;"pvp",Inputs!$B$44&gt;0),((Skills!G7*((R2138-1)*IF(Skills!H7&gt;0,INT(Skills!I7/Skills!H7+0.000000001),1)+IF(Skills!H7&gt;0,INT(MIN(Skills!I7,MAX(0,MAX(0,Inputs!$B$44-B2167)-((R2138-1)*IF(Inputs!$B$39="pvp",15,MAX(0.1,Skills!D7-IF(TRUE=TRUE,Inputs!$B$33,0))))))/Skills!H7+0.000000001),1)))/Inputs!$B$44),G2138*Q2138))*IF(Inputs!$B$39="pvp",1,(1+(Inputs!$B$22+Skills!Q7+((C2148=TRUE)*F2148*IF(AND(Inputs!$B$39&lt;&gt;"pvp",Inputs!$B$44&gt;0),(((R2148-1)*MIN((Skills!T17*(1+Inputs!$B$35/100)),(1/Q2148))+MIN((Skills!T17*(1+Inputs!$B$35/100)),MAX(0,Inputs!$B$44-((R2148-1)*(1/Q2148)))))/Inputs!$B$44),IF(Inputs!$B$39="pvp",MIN((Skills!T17*(1+Inputs!$B$35/100)),15)/15,MIN(1,(Skills!T17*(1+Inputs!$B$35/100))/(1/Q2148)))))+((C2136=TRUE)*IF(Inputs!$B$3&gt;=126,10*MIN(1,15*Q2136),0))+((C2145=TRUE)*IF(Inputs!$B$39="pvp",20,(1-Summary!$B$11)*(20)+Summary!$B$11*(0))*IF(AND(Inputs!$B$39&lt;&gt;"pvp",Inputs!$B$44&gt;0),(((R2145-1)*MIN((Skills!T14*(1+Inputs!$B$35/100)),(1/Q2145))+MIN((Skills!T14*(1+Inputs!$B$35/100)),MAX(0,Inputs!$B$44-((R2145-1)*(1/Q2145)))))/Inputs!$B$44),IF(Inputs!$B$39="pvp",MIN((Skills!T14*(1+Inputs!$B$35/100)),15)/15,MIN(1,(Skills!T14*(1+Inputs!$B$35/100))/(1/Q2145)))))+((C2144=TRUE)*IF(Inputs!$B$3&gt;=82,IF(Inputs!$B$39="pvp",20,(1-Summary!$B$11)*(20)+Summary!$B$11*(0)),0)*IF(AND(Inputs!$B$39&lt;&gt;"pvp",Inputs!$B$44&gt;0),(((R2144-1)*MIN((Skills!T13*(1+Inputs!$B$35/100)),(1/Q2144))+MIN((Skills!T13*(1+Inputs!$B$35/100)),MAX(0,Inputs!$B$44-((R2144-1)*(1/Q2144)))))/Inputs!$B$44),IF(Inputs!$B$39="pvp",MIN((Skills!T13*(1+Inputs!$B$35/100)),15)/15,MIN(1,(Skills!T13*(1+Inputs!$B$35/100))/(1/Q2144)))))+(IF(AND(ArtifactsInput!$M$35,Inputs!$B$4&lt;&gt;"Chapter Hunt"),CHOOSE(ArtifactsInput!$N$35+1,15,18,21,24,27,30)*(1-EXP(-(0.2*B2162)*5)),0)+IF(AND(ArtifactsInput!$M$22,Inputs!$B$4&lt;&gt;"Chapter Hunt"),CHOOSE(ArtifactsInput!$N$22+1,10,12,14,16,18,20)*((0*(((0.15*B2162*5))^0/1)+1*(((0.15*B2162*5))^1/1)+2*(((0.15*B2162*5))^2/2)+3*(((0.15*B2162*5))^3/6)+4*(((0.15*B2162*5))^4/24)+5*(((0.15*B2162*5))^5/120))/((((0.15*B2162*5))^0/1)+(((0.15*B2162*5))^1/1)+(((0.15*B2162*5))^2/2)+(((0.15*B2162*5))^3/6)+(((0.15*B2162*5))^4/24)+(((0.15*B2162*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39">
      <c r="A2139">
        <f>Skills!A8</f>
        <v/>
      </c>
      <c r="B2139">
        <f>Skills!B8</f>
        <v/>
      </c>
      <c r="C2139">
        <f>Inputs!$B$3&gt;=75</f>
        <v/>
      </c>
      <c r="D2139">
        <f>IF(Skills!C8=1,60+Inputs!$B$26+Inputs!$B$30,IF(Skills!C8=2,90+Inputs!$B$27+Inputs!$B$30,IF(Skills!C8=3,120+Inputs!$B$28+Inputs!$B$30,MAX(0,(Inputs!$B$3-100)*3)+Inputs!$B$29+Inputs!$B$30)))</f>
        <v/>
      </c>
      <c r="E2139">
        <f>INDEX(FactorTable!$B$2:$Y$301, MATCH(ROUND(MIN(300,MAX(1,D2139)),0), FactorTable!$A$2:$A$301,0), Skills!M8+1)</f>
        <v/>
      </c>
      <c r="F2139">
        <f>IF(Skills!N8=TRUE,(Skills!L8/10)*(E2139/1000),Skills!L8/10)+Skills!O8</f>
        <v/>
      </c>
      <c r="G2139" t="inlineStr"/>
      <c r="H2139" t="inlineStr"/>
      <c r="I2139" t="inlineStr">
        <is>
          <t>1</t>
        </is>
      </c>
      <c r="J2139" t="inlineStr"/>
      <c r="K2139" t="inlineStr"/>
      <c r="L2139" t="inlineStr"/>
      <c r="M2139" t="inlineStr"/>
      <c r="N2139" t="inlineStr"/>
      <c r="O2139" t="inlineStr"/>
      <c r="P2139" t="inlineStr"/>
      <c r="Q2139" t="inlineStr"/>
      <c r="R2139" t="inlineStr"/>
      <c r="S2139" t="inlineStr"/>
    </row>
    <row r="2140">
      <c r="A2140">
        <f>Skills!A9</f>
        <v/>
      </c>
      <c r="B2140">
        <f>Skills!B9</f>
        <v/>
      </c>
      <c r="C2140">
        <f>Inputs!$B$3&gt;=60</f>
        <v/>
      </c>
      <c r="D2140">
        <f>IF(Skills!C9=1,60+Inputs!$B$26+Inputs!$B$30,IF(Skills!C9=2,90+Inputs!$B$27+Inputs!$B$30,IF(Skills!C9=3,120+Inputs!$B$28+Inputs!$B$30,MAX(0,(Inputs!$B$3-100)*3)+Inputs!$B$29+Inputs!$B$30)))</f>
        <v/>
      </c>
      <c r="E2140">
        <f>INDEX(FactorTable!$B$2:$Y$301, MATCH(ROUND(MIN(300,MAX(1,D2140)),0), FactorTable!$A$2:$A$301,0), Skills!M9+1)</f>
        <v/>
      </c>
      <c r="F2140">
        <f>IF(Skills!N9=TRUE,(Skills!L9/10)*(E2140/1000),Skills!L9/10)+Skills!O9</f>
        <v/>
      </c>
      <c r="G2140">
        <f>Skills!G9*IF(Skills!H9&gt;0,INT(IF(Inputs!$B$39="pvp",MIN(Skills!I9,15),Skills!I9)/Skills!H9+0.000000001),1)</f>
        <v/>
      </c>
      <c r="H2140">
        <f>1-(1-Skills!J9/100)^Skills!K9</f>
        <v/>
      </c>
      <c r="I2140" t="inlineStr">
        <is>
          <t>1</t>
        </is>
      </c>
      <c r="J2140">
        <f>((Inputs!$B$6*(1+Inputs!$B$7/100))+(((Inputs!$B$13*(1+Inputs!$B$14/100))-(Inputs!$B$13*(1+Inputs!$B$14/100)))+0.25*(Inputs!$B$15-Inputs!$B$15))*(1+Inputs!$B$7/100))*(F2140/100)</f>
        <v/>
      </c>
      <c r="K2140">
        <f>J2140*(1+(((Inputs!$B$13+IF(Inputs!$B$3&gt;=38,(10*INDEX(FactorTable!$B$2:$Y$301, MATCH(ROUND(MIN(300,MAX(1,Inputs!$B$3)),0), FactorTable!$A$2:$A$301,0), 23)/1000)/100*(Inputs!$B$8*(1+Inputs!$B$9/100)),0))*(1+Inputs!$B$14/100))*0.01+Inputs!$B$15*0.0025)/100)*(1+Inputs!$B$16/100)*(1+Inputs!$B$17/100)*(5000/(6000+Inputs!$B$43*(1-(Inputs!$B$20+0)/100)))*(1+(Inputs!$B$25+((C2156=TRUE)*(F2156-Calc!F25))+((C2157=TRUE)*(F2157-Calc!F26))+B2166)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2142=TRUE,F2142,0)/100)*(1+(IF(Skills!A9="DARK_IMPALE",Inputs!$B$18+0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gt;=100),MIN(100,((Inputs!$B$10+0+B2160+(ArtifactsInput!$M$24-ArtifactsInput!$M$24)*CHOOSE(ArtifactsInput!$N$24+1,10,12,14,16,18,20)+IF(ArtifactsInput!$M$10,CHOOSE(ArtifactsInput!$N$10+1,15,18,21,24,27,30)*(IF(Inputs!$B$39="pvp",MIN(15,15)/15,IF(AND(Inputs!$B$39&lt;&gt;"pvp",Inputs!$B$44&gt;0),MIN(15,Inputs!$B$44)/(Inputs!$B$44),0))),0)))-100),0))*CHOOSE(ArtifactsInput!$N$42+1,0.6,0.72,0.84,0.96,1.08,1.2))),Inputs!$B$19+((C2154=TRUE)*(F2154-Calc!F23))+(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gt;=100),CHOOSE(ArtifactsInput!$N$42+1,40,48,56,64,72,80),0))))/100)*((1+(((C2144=TRUE)*F2144*IF(AND(Inputs!$B$39&lt;&gt;"pvp",Inputs!$B$44&gt;0),(((R2144-1)*MIN((Skills!T13*(1+Inputs!$B$35/100)),(1/Q2144))+MIN((Skills!T13*(1+Inputs!$B$35/100)),MAX(0,Inputs!$B$44-((R2144-1)*(1/Q2144)))))/Inputs!$B$44),IF(Inputs!$B$39="pvp",MIN((Skills!T13*(1+Inputs!$B$35/100)),15)/15,MIN(1,(Skills!T13*(1+Inputs!$B$35/100))/(1/Q2144)))))+((C2145=TRUE)*F2145*IF(AND(Inputs!$B$39&lt;&gt;"pvp",Inputs!$B$44&gt;0),(((R2145-1)*MIN((Skills!T14*(1+Inputs!$B$35/100)),(1/Q2145))+MIN((Skills!T14*(1+Inputs!$B$35/100)),MAX(0,Inputs!$B$44-((R2145-1)*(1/Q2145)))))/Inputs!$B$44),IF(Inputs!$B$39="pvp",MIN((Skills!T14*(1+Inputs!$B$35/100)),15)/15,MIN(1,(Skills!T14*(1+Inputs!$B$35/100))/(1/Q2145)))))+((C2146=TRUE)*F2146*IF(AND(Inputs!$B$39&lt;&gt;"pvp",Inputs!$B$44&gt;0),(((R2146-1)*MIN((Skills!T15*(1+Inputs!$B$35/100)),(1/Q2146))+MIN((Skills!T15*(1+Inputs!$B$35/100)),MAX(0,Inputs!$B$44-((R2146-1)*(1/Q2146)))))/Inputs!$B$44),IF(Inputs!$B$39="pvp",MIN((Skills!T15*(1+Inputs!$B$35/100)),15)/15,MIN(1,(Skills!T15*(1+Inputs!$B$35/100))/(1/Q2146)))))+((C2147=TRUE)*F2147*IF(AND(Inputs!$B$39&lt;&gt;"pvp",Inputs!$B$44&gt;0),(((R2147-1)*MIN((Skills!T16*(1+Inputs!$B$35/100)),(1/Q2147))+MIN((Skills!T16*(1+Inputs!$B$35/100)),MAX(0,Inputs!$B$44-((R2147-1)*(1/Q2147)))))/Inputs!$B$44),IF(Inputs!$B$39="pvp",MIN((Skills!T16*(1+Inputs!$B$35/100)),15)/15,MIN(1,(Skills!T16*(1+Inputs!$B$35/100))/(1/Q2147)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2140)</f>
        <v/>
      </c>
      <c r="L2140">
        <f>K2140*(MIN(Inputs!$B$23+((C2153=TRUE)*(F2153-Calc!F22)),(Inputs!$B$24+((C2155=TRUE)*(F2155-Calc!F24))+(IF(ArtifactsInput!$M$15,CHOOSE(ArtifactsInput!$N$15+1,25,30,35,40,45,50)/100*(Inputs!$B$12-Inputs!$B$12),0))))/100+(Inputs!$B$24+((C2155=TRUE)*(F2155-Calc!F24))+(IF(ArtifactsInput!$M$15,CHOOSE(ArtifactsInput!$N$15+1,25,30,35,40,45,50)/100*(Inputs!$B$12-Inputs!$B$12),0)))/100)/2</f>
        <v/>
      </c>
      <c r="M2140">
        <f>L2140*(1+(Inputs!$B$11+0+B2165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140">
        <f>L2140*(1-MIN((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2140*(MIN((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40">
        <f>(1-Summary!$B$11)*T2140+Summary!$B$11*V2140</f>
        <v/>
      </c>
      <c r="P2140">
        <f>IF(B2170=0,0,O2140/B2170)</f>
        <v/>
      </c>
      <c r="Q2140">
        <f>IFERROR(1/IF(Inputs!$B$39="pvp",15,MAX(0.1,Skills!D9-IF(TRUE=TRUE,Inputs!$B$33,0))),0)</f>
        <v/>
      </c>
      <c r="R2140">
        <f>IF(AND(Inputs!$B$39&lt;&gt;"pvp",Inputs!$B$44&gt;0),IF(MAX(0,Inputs!$B$44-B2167)&lt;=0,0,(INT(MAX(0,Inputs!$B$44-B2167)/IF(Inputs!$B$39="pvp",15,MAX(0.1,Skills!D9-IF(TRUE=TRUE,Inputs!$B$33,0))))+1)),0)</f>
        <v/>
      </c>
      <c r="S2140">
        <f>IFERROR(O2140/N2140,0)</f>
        <v/>
      </c>
      <c r="T2140">
        <f>IF(C2140,(H2140*N2140*IF(AND(Inputs!$B$39&lt;&gt;"pvp",Inputs!$B$44&gt;0),((Skills!G9*((R2140-1)*IF(Skills!H9&gt;0,INT(Skills!I9/Skills!H9+0.000000001),1)+IF(Skills!H9&gt;0,INT(MIN(Skills!I9,MAX(0,MAX(0,Inputs!$B$44-B2167)-((R2140-1)*IF(Inputs!$B$39="pvp",15,MAX(0.1,Skills!D9-IF(TRUE=TRUE,Inputs!$B$33,0))))))/Skills!H9+0.000000001),1)))/Inputs!$B$44),G2140*Q2140))*IF(Inputs!$B$39="pvp",1,1+(Inputs!$B$21+0+Skills!P9+((C2148=TRUE)*F2148*IF(AND(Inputs!$B$39&lt;&gt;"pvp",Inputs!$B$44&gt;0),(((R2148-1)*MIN((Skills!T17*(1+Inputs!$B$35/100)),(1/Q2148))+MIN((Skills!T17*(1+Inputs!$B$35/100)),MAX(0,Inputs!$B$44-((R2148-1)*(1/Q2148)))))/Inputs!$B$44),IF(Inputs!$B$39="pvp",MIN((Skills!T17*(1+Inputs!$B$35/100)),15)/15,MIN(1,(Skills!T17*(1+Inputs!$B$35/100))/(1/Q2148)))))+((C2136=TRUE)*IF(Inputs!$B$3&gt;=126,10*MIN(1,15*Q2136),0))+((C2145=TRUE)*IF(Inputs!$B$39="pvp",20,(1-Summary!$B$11)*(20)+Summary!$B$11*(0))*IF(AND(Inputs!$B$39&lt;&gt;"pvp",Inputs!$B$44&gt;0),(((R2145-1)*MIN((Skills!T14*(1+Inputs!$B$35/100)),(1/Q2145))+MIN((Skills!T14*(1+Inputs!$B$35/100)),MAX(0,Inputs!$B$44-((R2145-1)*(1/Q2145)))))/Inputs!$B$44),IF(Inputs!$B$39="pvp",MIN((Skills!T14*(1+Inputs!$B$35/100)),15)/15,MIN(1,(Skills!T14*(1+Inputs!$B$35/100))/(1/Q2145)))))+((C2144=TRUE)*IF(Inputs!$B$3&gt;=82,IF(Inputs!$B$39="pvp",20,(1-Summary!$B$11)*(20)+Summary!$B$11*(0)),0)*IF(AND(Inputs!$B$39&lt;&gt;"pvp",Inputs!$B$44&gt;0),(((R2144-1)*MIN((Skills!T13*(1+Inputs!$B$35/100)),(1/Q2144))+MIN((Skills!T13*(1+Inputs!$B$35/100)),MAX(0,Inputs!$B$44-((R2144-1)*(1/Q2144)))))/Inputs!$B$44),IF(Inputs!$B$39="pvp",MIN((Skills!T13*(1+Inputs!$B$35/100)),15)/15,MIN(1,(Skills!T13*(1+Inputs!$B$35/100))/(1/Q2144)))))+(IF(AND(ArtifactsInput!$M$35,Inputs!$B$4&lt;&gt;"Chapter Hunt"),CHOOSE(ArtifactsInput!$N$35+1,15,18,21,24,27,30)*(1-EXP(-(0.2*B2162)*5)),0)+IF(AND(ArtifactsInput!$M$22,Inputs!$B$4&lt;&gt;"Chapter Hunt"),CHOOSE(ArtifactsInput!$N$22+1,10,12,14,16,18,20)*((0*(((0.15*B2162*5))^0/1)+1*(((0.15*B2162*5))^1/1)+2*(((0.15*B2162*5))^2/2)+3*(((0.15*B2162*5))^3/6)+4*(((0.15*B2162*5))^4/24)+5*(((0.15*B2162*5))^5/120))/((((0.15*B2162*5))^0/1)+(((0.15*B2162*5))^1/1)+(((0.15*B2162*5))^2/2)+(((0.15*B2162*5))^3/6)+(((0.15*B2162*5))^4/24)+(((0.15*B2162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2140*(1-MIN(100,(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2140*(MIN(100,(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2140*(1-MIN(100,(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2140*(MIN(100,(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40">
        <f>IF(C2140,(H2140*N2140*IF(AND(Inputs!$B$39&lt;&gt;"pvp",Inputs!$B$44&gt;0),((Skills!G9*((R2140-1)*IF(Skills!H9&gt;0,INT(Skills!I9/Skills!H9+0.000000001),1)+IF(Skills!H9&gt;0,INT(MIN(Skills!I9,MAX(0,MAX(0,Inputs!$B$44-B2167)-((R2140-1)*IF(Inputs!$B$39="pvp",15,MAX(0.1,Skills!D9-IF(TRUE=TRUE,Inputs!$B$33,0))))))/Skills!H9+0.000000001),1)))/Inputs!$B$44),G2140*Q2140))*IF(Inputs!$B$39="pvp",1,(1+(Inputs!$B$22+Skills!Q9+((C2148=TRUE)*F2148*IF(AND(Inputs!$B$39&lt;&gt;"pvp",Inputs!$B$44&gt;0),(((R2148-1)*MIN((Skills!T17*(1+Inputs!$B$35/100)),(1/Q2148))+MIN((Skills!T17*(1+Inputs!$B$35/100)),MAX(0,Inputs!$B$44-((R2148-1)*(1/Q2148)))))/Inputs!$B$44),IF(Inputs!$B$39="pvp",MIN((Skills!T17*(1+Inputs!$B$35/100)),15)/15,MIN(1,(Skills!T17*(1+Inputs!$B$35/100))/(1/Q2148)))))+((C2136=TRUE)*IF(Inputs!$B$3&gt;=126,10*MIN(1,15*Q2136),0))+((C2145=TRUE)*IF(Inputs!$B$39="pvp",20,(1-Summary!$B$11)*(20)+Summary!$B$11*(0))*IF(AND(Inputs!$B$39&lt;&gt;"pvp",Inputs!$B$44&gt;0),(((R2145-1)*MIN((Skills!T14*(1+Inputs!$B$35/100)),(1/Q2145))+MIN((Skills!T14*(1+Inputs!$B$35/100)),MAX(0,Inputs!$B$44-((R2145-1)*(1/Q2145)))))/Inputs!$B$44),IF(Inputs!$B$39="pvp",MIN((Skills!T14*(1+Inputs!$B$35/100)),15)/15,MIN(1,(Skills!T14*(1+Inputs!$B$35/100))/(1/Q2145)))))+((C2144=TRUE)*IF(Inputs!$B$3&gt;=82,IF(Inputs!$B$39="pvp",20,(1-Summary!$B$11)*(20)+Summary!$B$11*(0)),0)*IF(AND(Inputs!$B$39&lt;&gt;"pvp",Inputs!$B$44&gt;0),(((R2144-1)*MIN((Skills!T13*(1+Inputs!$B$35/100)),(1/Q2144))+MIN((Skills!T13*(1+Inputs!$B$35/100)),MAX(0,Inputs!$B$44-((R2144-1)*(1/Q2144)))))/Inputs!$B$44),IF(Inputs!$B$39="pvp",MIN((Skills!T13*(1+Inputs!$B$35/100)),15)/15,MIN(1,(Skills!T13*(1+Inputs!$B$35/100))/(1/Q2144)))))+(IF(AND(ArtifactsInput!$M$35,Inputs!$B$4&lt;&gt;"Chapter Hunt"),CHOOSE(ArtifactsInput!$N$35+1,15,18,21,24,27,30)*(1-EXP(-(0.2*B2162)*5)),0)+IF(AND(ArtifactsInput!$M$22,Inputs!$B$4&lt;&gt;"Chapter Hunt"),CHOOSE(ArtifactsInput!$N$22+1,10,12,14,16,18,20)*((0*(((0.15*B2162*5))^0/1)+1*(((0.15*B2162*5))^1/1)+2*(((0.15*B2162*5))^2/2)+3*(((0.15*B2162*5))^3/6)+4*(((0.15*B2162*5))^4/24)+5*(((0.15*B2162*5))^5/120))/((((0.15*B2162*5))^0/1)+(((0.15*B2162*5))^1/1)+(((0.15*B2162*5))^2/2)+(((0.15*B2162*5))^3/6)+(((0.15*B2162*5))^4/24)+(((0.15*B2162*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41">
      <c r="A2141">
        <f>Skills!A10</f>
        <v/>
      </c>
      <c r="B2141">
        <f>Skills!B10</f>
        <v/>
      </c>
      <c r="C2141">
        <f>Inputs!$B$3&gt;=110</f>
        <v/>
      </c>
      <c r="D2141">
        <f>IF(Skills!C10=1,60+Inputs!$B$26+Inputs!$B$30,IF(Skills!C10=2,90+Inputs!$B$27+Inputs!$B$30,IF(Skills!C10=3,120+Inputs!$B$28+Inputs!$B$30,MAX(0,(Inputs!$B$3-100)*3)+Inputs!$B$29+Inputs!$B$30)))</f>
        <v/>
      </c>
      <c r="E2141">
        <f>INDEX(FactorTable!$B$2:$Y$301, MATCH(ROUND(MIN(300,MAX(1,D2141)),0), FactorTable!$A$2:$A$301,0), Skills!M10+1)</f>
        <v/>
      </c>
      <c r="F2141">
        <f>IF(Skills!N10=TRUE,(Skills!L10/10)*(E2141/1000),Skills!L10/10)+Skills!O10</f>
        <v/>
      </c>
      <c r="G2141">
        <f>Skills!G10*IF(Skills!H10&gt;0,INT(IF(Inputs!$B$39="pvp",MIN(Skills!I10,15),Skills!I10)/Skills!H10+0.000000001),1)</f>
        <v/>
      </c>
      <c r="H2141">
        <f>1-(1-Skills!J10/100)^Skills!K10</f>
        <v/>
      </c>
      <c r="I2141" t="inlineStr">
        <is>
          <t>1</t>
        </is>
      </c>
      <c r="J2141">
        <f>((Inputs!$B$6*(1+Inputs!$B$7/100))+(((Inputs!$B$13*(1+Inputs!$B$14/100))-(Inputs!$B$13*(1+Inputs!$B$14/100)))+0.25*(Inputs!$B$15-Inputs!$B$15))*(1+Inputs!$B$7/100))*(F2141/100)</f>
        <v/>
      </c>
      <c r="K2141">
        <f>J2141*(1+(((Inputs!$B$13+IF(Inputs!$B$3&gt;=38,(10*INDEX(FactorTable!$B$2:$Y$301, MATCH(ROUND(MIN(300,MAX(1,Inputs!$B$3)),0), FactorTable!$A$2:$A$301,0), 23)/1000)/100*(Inputs!$B$8*(1+Inputs!$B$9/100)),0))*(1+Inputs!$B$14/100))*0.01+Inputs!$B$15*0.0025)/100)*(1+Inputs!$B$16/100)*(1+Inputs!$B$17/100)*(5000/(6000+Inputs!$B$43*(1-(Inputs!$B$20+0)/100)))*(1+(Inputs!$B$25+((C2156=TRUE)*(F2156-Calc!F25))+((C2157=TRUE)*(F2157-Calc!F26))+B2166)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gt;=100),MIN(100,((Inputs!$B$10+0+B2160+(ArtifactsInput!$M$24-ArtifactsInput!$M$24)*CHOOSE(ArtifactsInput!$N$24+1,10,12,14,16,18,20)+IF(ArtifactsInput!$M$10,CHOOSE(ArtifactsInput!$N$10+1,15,18,21,24,27,30)*(IF(Inputs!$B$39="pvp",MIN(15,15)/15,IF(AND(Inputs!$B$39&lt;&gt;"pvp",Inputs!$B$44&gt;0),MIN(15,Inputs!$B$44)/(Inputs!$B$44),0))),0)))-100),0))*CHOOSE(ArtifactsInput!$N$42+1,0.6,0.72,0.84,0.96,1.08,1.2))),Inputs!$B$19+((C2154=TRUE)*(F2154-Calc!F23))+(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gt;=100),CHOOSE(ArtifactsInput!$N$42+1,40,48,56,64,72,80),0))))/100)*((1+(((C2144=TRUE)*F2144*IF(AND(Inputs!$B$39&lt;&gt;"pvp",Inputs!$B$44&gt;0),(((R2144-1)*MIN((Skills!T13*(1+Inputs!$B$35/100)),(1/Q2144))+MIN((Skills!T13*(1+Inputs!$B$35/100)),MAX(0,Inputs!$B$44-((R2144-1)*(1/Q2144)))))/Inputs!$B$44),IF(Inputs!$B$39="pvp",MIN((Skills!T13*(1+Inputs!$B$35/100)),15)/15,MIN(1,(Skills!T13*(1+Inputs!$B$35/100))/(1/Q2144)))))+((C2145=TRUE)*F2145*IF(AND(Inputs!$B$39&lt;&gt;"pvp",Inputs!$B$44&gt;0),(((R2145-1)*MIN((Skills!T14*(1+Inputs!$B$35/100)),(1/Q2145))+MIN((Skills!T14*(1+Inputs!$B$35/100)),MAX(0,Inputs!$B$44-((R2145-1)*(1/Q2145)))))/Inputs!$B$44),IF(Inputs!$B$39="pvp",MIN((Skills!T14*(1+Inputs!$B$35/100)),15)/15,MIN(1,(Skills!T14*(1+Inputs!$B$35/100))/(1/Q2145)))))+((C2146=TRUE)*F2146*IF(AND(Inputs!$B$39&lt;&gt;"pvp",Inputs!$B$44&gt;0),(((R2146-1)*MIN((Skills!T15*(1+Inputs!$B$35/100)),(1/Q2146))+MIN((Skills!T15*(1+Inputs!$B$35/100)),MAX(0,Inputs!$B$44-((R2146-1)*(1/Q2146)))))/Inputs!$B$44),IF(Inputs!$B$39="pvp",MIN((Skills!T15*(1+Inputs!$B$35/100)),15)/15,MIN(1,(Skills!T15*(1+Inputs!$B$35/100))/(1/Q2146)))))+((C2147=TRUE)*F2147*IF(AND(Inputs!$B$39&lt;&gt;"pvp",Inputs!$B$44&gt;0),(((R2147-1)*MIN((Skills!T16*(1+Inputs!$B$35/100)),(1/Q2147))+MIN((Skills!T16*(1+Inputs!$B$35/100)),MAX(0,Inputs!$B$44-((R2147-1)*(1/Q2147)))))/Inputs!$B$44),IF(Inputs!$B$39="pvp",MIN((Skills!T16*(1+Inputs!$B$35/100)),15)/15,MIN(1,(Skills!T16*(1+Inputs!$B$35/100))/(1/Q2147)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2141)</f>
        <v/>
      </c>
      <c r="L2141">
        <f>K2141*(MIN(Inputs!$B$23+((C2153=TRUE)*(F2153-Calc!F22)),(Inputs!$B$24+((C2155=TRUE)*(F2155-Calc!F24))+(IF(ArtifactsInput!$M$15,CHOOSE(ArtifactsInput!$N$15+1,25,30,35,40,45,50)/100*(Inputs!$B$12-Inputs!$B$12),0))))/100+(Inputs!$B$24+((C2155=TRUE)*(F2155-Calc!F24))+(IF(ArtifactsInput!$M$15,CHOOSE(ArtifactsInput!$N$15+1,25,30,35,40,45,50)/100*(Inputs!$B$12-Inputs!$B$12),0)))/100)/2</f>
        <v/>
      </c>
      <c r="M2141">
        <f>L2141*(1+(Inputs!$B$11+0+B2165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141">
        <f>L2141*(1-MIN((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2141*(MIN((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41">
        <f>(1-Summary!$B$11)*T2141+Summary!$B$11*V2141</f>
        <v/>
      </c>
      <c r="P2141">
        <f>IF(B2170=0,0,O2141/B2170)</f>
        <v/>
      </c>
      <c r="Q2141">
        <f>IFERROR(1/IF(Inputs!$B$39="pvp",15,MAX(0.1,Skills!D10-IF(TRUE=TRUE,Inputs!$B$33,0))),0)</f>
        <v/>
      </c>
      <c r="R2141">
        <f>IF(AND(Inputs!$B$39&lt;&gt;"pvp",Inputs!$B$44&gt;0),IF(MAX(0,Inputs!$B$44-B2167)&lt;=0,0,(INT(MAX(0,Inputs!$B$44-B2167)/IF(Inputs!$B$39="pvp",15,MAX(0.1,Skills!D10-IF(TRUE=TRUE,Inputs!$B$33,0))))+1)),0)</f>
        <v/>
      </c>
      <c r="S2141">
        <f>IFERROR(O2141/N2141,0)</f>
        <v/>
      </c>
      <c r="T2141">
        <f>IF(C2141,(H2141*N2141*IF(AND(Inputs!$B$39&lt;&gt;"pvp",Inputs!$B$44&gt;0),((Skills!G10*((R2141-1)*IF(Skills!H10&gt;0,INT(Skills!I10/Skills!H10+0.000000001),1)+IF(Skills!H10&gt;0,INT(MIN(Skills!I10,MAX(0,MAX(0,Inputs!$B$44-B2167)-((R2141-1)*IF(Inputs!$B$39="pvp",15,MAX(0.1,Skills!D10-IF(TRUE=TRUE,Inputs!$B$33,0))))))/Skills!H10+0.000000001),1)))/Inputs!$B$44),G2141*Q2141))*IF(Inputs!$B$39="pvp",1,1+(Inputs!$B$21+0+Skills!P10+((C2148=TRUE)*F2148*IF(AND(Inputs!$B$39&lt;&gt;"pvp",Inputs!$B$44&gt;0),(((R2148-1)*MIN((Skills!T17*(1+Inputs!$B$35/100)),(1/Q2148))+MIN((Skills!T17*(1+Inputs!$B$35/100)),MAX(0,Inputs!$B$44-((R2148-1)*(1/Q2148)))))/Inputs!$B$44),IF(Inputs!$B$39="pvp",MIN((Skills!T17*(1+Inputs!$B$35/100)),15)/15,MIN(1,(Skills!T17*(1+Inputs!$B$35/100))/(1/Q2148)))))+((C2136=TRUE)*IF(Inputs!$B$3&gt;=126,10*MIN(1,15*Q2136),0))+((C2145=TRUE)*IF(Inputs!$B$39="pvp",20,(1-Summary!$B$11)*(20)+Summary!$B$11*(0))*IF(AND(Inputs!$B$39&lt;&gt;"pvp",Inputs!$B$44&gt;0),(((R2145-1)*MIN((Skills!T14*(1+Inputs!$B$35/100)),(1/Q2145))+MIN((Skills!T14*(1+Inputs!$B$35/100)),MAX(0,Inputs!$B$44-((R2145-1)*(1/Q2145)))))/Inputs!$B$44),IF(Inputs!$B$39="pvp",MIN((Skills!T14*(1+Inputs!$B$35/100)),15)/15,MIN(1,(Skills!T14*(1+Inputs!$B$35/100))/(1/Q2145)))))+((C2144=TRUE)*IF(Inputs!$B$3&gt;=82,IF(Inputs!$B$39="pvp",20,(1-Summary!$B$11)*(20)+Summary!$B$11*(0)),0)*IF(AND(Inputs!$B$39&lt;&gt;"pvp",Inputs!$B$44&gt;0),(((R2144-1)*MIN((Skills!T13*(1+Inputs!$B$35/100)),(1/Q2144))+MIN((Skills!T13*(1+Inputs!$B$35/100)),MAX(0,Inputs!$B$44-((R2144-1)*(1/Q2144)))))/Inputs!$B$44),IF(Inputs!$B$39="pvp",MIN((Skills!T13*(1+Inputs!$B$35/100)),15)/15,MIN(1,(Skills!T13*(1+Inputs!$B$35/100))/(1/Q2144)))))+(IF(AND(ArtifactsInput!$M$35,Inputs!$B$4&lt;&gt;"Chapter Hunt"),CHOOSE(ArtifactsInput!$N$35+1,15,18,21,24,27,30)*(1-EXP(-(0.2*B2162)*5)),0)+IF(AND(ArtifactsInput!$M$22,Inputs!$B$4&lt;&gt;"Chapter Hunt"),CHOOSE(ArtifactsInput!$N$22+1,10,12,14,16,18,20)*((0*(((0.15*B2162*5))^0/1)+1*(((0.15*B2162*5))^1/1)+2*(((0.15*B2162*5))^2/2)+3*(((0.15*B2162*5))^3/6)+4*(((0.15*B2162*5))^4/24)+5*(((0.15*B2162*5))^5/120))/((((0.15*B2162*5))^0/1)+(((0.15*B2162*5))^1/1)+(((0.15*B2162*5))^2/2)+(((0.15*B2162*5))^3/6)+(((0.15*B2162*5))^4/24)+(((0.15*B2162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2141*(1-MIN(100,(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2141*(MIN(100,(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2141*(1-MIN(100,(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2141*(MIN(100,(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41">
        <f>IF(C2141,(H2141*N2141*IF(AND(Inputs!$B$39&lt;&gt;"pvp",Inputs!$B$44&gt;0),((Skills!G10*((R2141-1)*IF(Skills!H10&gt;0,INT(Skills!I10/Skills!H10+0.000000001),1)+IF(Skills!H10&gt;0,INT(MIN(Skills!I10,MAX(0,MAX(0,Inputs!$B$44-B2167)-((R2141-1)*IF(Inputs!$B$39="pvp",15,MAX(0.1,Skills!D10-IF(TRUE=TRUE,Inputs!$B$33,0))))))/Skills!H10+0.000000001),1)))/Inputs!$B$44),G2141*Q2141))*IF(Inputs!$B$39="pvp",1,(1+(Inputs!$B$22+Skills!Q10+((C2148=TRUE)*F2148*IF(AND(Inputs!$B$39&lt;&gt;"pvp",Inputs!$B$44&gt;0),(((R2148-1)*MIN((Skills!T17*(1+Inputs!$B$35/100)),(1/Q2148))+MIN((Skills!T17*(1+Inputs!$B$35/100)),MAX(0,Inputs!$B$44-((R2148-1)*(1/Q2148)))))/Inputs!$B$44),IF(Inputs!$B$39="pvp",MIN((Skills!T17*(1+Inputs!$B$35/100)),15)/15,MIN(1,(Skills!T17*(1+Inputs!$B$35/100))/(1/Q2148)))))+((C2136=TRUE)*IF(Inputs!$B$3&gt;=126,10*MIN(1,15*Q2136),0))+((C2145=TRUE)*IF(Inputs!$B$39="pvp",20,(1-Summary!$B$11)*(20)+Summary!$B$11*(0))*IF(AND(Inputs!$B$39&lt;&gt;"pvp",Inputs!$B$44&gt;0),(((R2145-1)*MIN((Skills!T14*(1+Inputs!$B$35/100)),(1/Q2145))+MIN((Skills!T14*(1+Inputs!$B$35/100)),MAX(0,Inputs!$B$44-((R2145-1)*(1/Q2145)))))/Inputs!$B$44),IF(Inputs!$B$39="pvp",MIN((Skills!T14*(1+Inputs!$B$35/100)),15)/15,MIN(1,(Skills!T14*(1+Inputs!$B$35/100))/(1/Q2145)))))+((C2144=TRUE)*IF(Inputs!$B$3&gt;=82,IF(Inputs!$B$39="pvp",20,(1-Summary!$B$11)*(20)+Summary!$B$11*(0)),0)*IF(AND(Inputs!$B$39&lt;&gt;"pvp",Inputs!$B$44&gt;0),(((R2144-1)*MIN((Skills!T13*(1+Inputs!$B$35/100)),(1/Q2144))+MIN((Skills!T13*(1+Inputs!$B$35/100)),MAX(0,Inputs!$B$44-((R2144-1)*(1/Q2144)))))/Inputs!$B$44),IF(Inputs!$B$39="pvp",MIN((Skills!T13*(1+Inputs!$B$35/100)),15)/15,MIN(1,(Skills!T13*(1+Inputs!$B$35/100))/(1/Q2144)))))+(IF(AND(ArtifactsInput!$M$35,Inputs!$B$4&lt;&gt;"Chapter Hunt"),CHOOSE(ArtifactsInput!$N$35+1,15,18,21,24,27,30)*(1-EXP(-(0.2*B2162)*5)),0)+IF(AND(ArtifactsInput!$M$22,Inputs!$B$4&lt;&gt;"Chapter Hunt"),CHOOSE(ArtifactsInput!$N$22+1,10,12,14,16,18,20)*((0*(((0.15*B2162*5))^0/1)+1*(((0.15*B2162*5))^1/1)+2*(((0.15*B2162*5))^2/2)+3*(((0.15*B2162*5))^3/6)+4*(((0.15*B2162*5))^4/24)+5*(((0.15*B2162*5))^5/120))/((((0.15*B2162*5))^0/1)+(((0.15*B2162*5))^1/1)+(((0.15*B2162*5))^2/2)+(((0.15*B2162*5))^3/6)+(((0.15*B2162*5))^4/24)+(((0.15*B2162*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42">
      <c r="A2142">
        <f>Skills!A11</f>
        <v/>
      </c>
      <c r="B2142">
        <f>Skills!B11</f>
        <v/>
      </c>
      <c r="C2142">
        <f>Inputs!$B$3&gt;=100</f>
        <v/>
      </c>
      <c r="D2142">
        <f>IF(Skills!C11=1,60+Inputs!$B$26+Inputs!$B$30,IF(Skills!C11=2,90+Inputs!$B$27+Inputs!$B$30,IF(Skills!C11=3,120+Inputs!$B$28+Inputs!$B$30,MAX(0,(Inputs!$B$3-100)*3)+Inputs!$B$29+Inputs!$B$30)))</f>
        <v/>
      </c>
      <c r="E2142">
        <f>INDEX(FactorTable!$B$2:$Y$301, MATCH(ROUND(MIN(300,MAX(1,D2142)),0), FactorTable!$A$2:$A$301,0), Skills!M11+1)</f>
        <v/>
      </c>
      <c r="F2142">
        <f>IF(Skills!N11=TRUE,(Skills!L11/10)*(E2142/1000),Skills!L11/10)+Skills!O11</f>
        <v/>
      </c>
      <c r="G2142" t="inlineStr"/>
      <c r="H2142" t="inlineStr"/>
      <c r="I2142" t="inlineStr">
        <is>
          <t>1</t>
        </is>
      </c>
      <c r="J2142" t="inlineStr"/>
      <c r="K2142" t="inlineStr"/>
      <c r="L2142" t="inlineStr"/>
      <c r="M2142" t="inlineStr"/>
      <c r="N2142" t="inlineStr"/>
      <c r="O2142" t="inlineStr"/>
      <c r="P2142" t="inlineStr"/>
      <c r="Q2142" t="inlineStr"/>
      <c r="R2142" t="inlineStr"/>
      <c r="S2142" t="inlineStr"/>
    </row>
    <row r="2143">
      <c r="A2143">
        <f>Skills!A12</f>
        <v/>
      </c>
      <c r="B2143">
        <f>Skills!B12</f>
        <v/>
      </c>
      <c r="C2143">
        <f>Inputs!$B$3&gt;=63</f>
        <v/>
      </c>
      <c r="D2143">
        <f>IF(Skills!C12=1,60+Inputs!$B$26+Inputs!$B$30,IF(Skills!C12=2,90+Inputs!$B$27+Inputs!$B$30,IF(Skills!C12=3,120+Inputs!$B$28+Inputs!$B$30,MAX(0,(Inputs!$B$3-100)*3)+Inputs!$B$29+Inputs!$B$30)))</f>
        <v/>
      </c>
      <c r="E2143">
        <f>INDEX(FactorTable!$B$2:$Y$301, MATCH(ROUND(MIN(300,MAX(1,D2143)),0), FactorTable!$A$2:$A$301,0), Skills!M12+1)</f>
        <v/>
      </c>
      <c r="F2143">
        <f>IF(Skills!N12=TRUE,(Skills!L12/10)*(E2143/1000),Skills!L12/10)+Skills!O12</f>
        <v/>
      </c>
      <c r="G2143">
        <f>Skills!G12*IF(Skills!H12&gt;0,INT(IF(Inputs!$B$39="pvp",MIN(Skills!I12,15),Skills!I12)/Skills!H12+0.000000001),1)</f>
        <v/>
      </c>
      <c r="H2143">
        <f>1-(1-Skills!J12/100)^Skills!K12</f>
        <v/>
      </c>
      <c r="I2143" t="inlineStr">
        <is>
          <t>1</t>
        </is>
      </c>
      <c r="J2143">
        <f>((Inputs!$B$6*(1+Inputs!$B$7/100))+(((Inputs!$B$13*(1+Inputs!$B$14/100))-(Inputs!$B$13*(1+Inputs!$B$14/100)))+0.25*(Inputs!$B$15-Inputs!$B$15))*(1+Inputs!$B$7/100))*(F2143/100)</f>
        <v/>
      </c>
      <c r="K2143">
        <f>J2143*(1+(((Inputs!$B$13+IF(Inputs!$B$3&gt;=38,(10*INDEX(FactorTable!$B$2:$Y$301, MATCH(ROUND(MIN(300,MAX(1,Inputs!$B$3)),0), FactorTable!$A$2:$A$301,0), 23)/1000)/100*(Inputs!$B$8*(1+Inputs!$B$9/100)),0))*(1+Inputs!$B$14/100))*0.01+Inputs!$B$15*0.0025)/100)*(1+Inputs!$B$16/100)*(1+Inputs!$B$17/100)*(5000/(6000+Inputs!$B$43*(1-(Inputs!$B$20+0)/100)))*(1+(Inputs!$B$25+((C2156=TRUE)*(F2156-Calc!F25))+((C2157=TRUE)*(F2157-Calc!F26))+B2166)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2142=TRUE,F2142,0)/100)*(1+(IF(Skills!A12="DARK_IMPALE",Inputs!$B$18+0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gt;=100),MIN(100,((Inputs!$B$10+0+B2160+(ArtifactsInput!$M$24-ArtifactsInput!$M$24)*CHOOSE(ArtifactsInput!$N$24+1,10,12,14,16,18,20)+IF(ArtifactsInput!$M$10,CHOOSE(ArtifactsInput!$N$10+1,15,18,21,24,27,30)*(IF(Inputs!$B$39="pvp",MIN(15,15)/15,IF(AND(Inputs!$B$39&lt;&gt;"pvp",Inputs!$B$44&gt;0),MIN(15,Inputs!$B$44)/(Inputs!$B$44),0))),0)))-100),0))*CHOOSE(ArtifactsInput!$N$42+1,0.6,0.72,0.84,0.96,1.08,1.2))),Inputs!$B$19+((C2154=TRUE)*(F2154-Calc!F23))+(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gt;=100),CHOOSE(ArtifactsInput!$N$42+1,40,48,56,64,72,80),0))))/100)*((1+(((C2144=TRUE)*F2144*IF(AND(Inputs!$B$39&lt;&gt;"pvp",Inputs!$B$44&gt;0),(((R2144-1)*MIN((Skills!T13*(1+Inputs!$B$35/100)),(1/Q2144))+MIN((Skills!T13*(1+Inputs!$B$35/100)),MAX(0,Inputs!$B$44-((R2144-1)*(1/Q2144)))))/Inputs!$B$44),IF(Inputs!$B$39="pvp",MIN((Skills!T13*(1+Inputs!$B$35/100)),15)/15,MIN(1,(Skills!T13*(1+Inputs!$B$35/100))/(1/Q2144)))))+((C2145=TRUE)*F2145*IF(AND(Inputs!$B$39&lt;&gt;"pvp",Inputs!$B$44&gt;0),(((R2145-1)*MIN((Skills!T14*(1+Inputs!$B$35/100)),(1/Q2145))+MIN((Skills!T14*(1+Inputs!$B$35/100)),MAX(0,Inputs!$B$44-((R2145-1)*(1/Q2145)))))/Inputs!$B$44),IF(Inputs!$B$39="pvp",MIN((Skills!T14*(1+Inputs!$B$35/100)),15)/15,MIN(1,(Skills!T14*(1+Inputs!$B$35/100))/(1/Q2145)))))+((C2146=TRUE)*F2146*IF(AND(Inputs!$B$39&lt;&gt;"pvp",Inputs!$B$44&gt;0),(((R2146-1)*MIN((Skills!T15*(1+Inputs!$B$35/100)),(1/Q2146))+MIN((Skills!T15*(1+Inputs!$B$35/100)),MAX(0,Inputs!$B$44-((R2146-1)*(1/Q2146)))))/Inputs!$B$44),IF(Inputs!$B$39="pvp",MIN((Skills!T15*(1+Inputs!$B$35/100)),15)/15,MIN(1,(Skills!T15*(1+Inputs!$B$35/100))/(1/Q2146)))))+((C2147=TRUE)*F2147*IF(AND(Inputs!$B$39&lt;&gt;"pvp",Inputs!$B$44&gt;0),(((R2147-1)*MIN((Skills!T16*(1+Inputs!$B$35/100)),(1/Q2147))+MIN((Skills!T16*(1+Inputs!$B$35/100)),MAX(0,Inputs!$B$44-((R2147-1)*(1/Q2147)))))/Inputs!$B$44),IF(Inputs!$B$39="pvp",MIN((Skills!T16*(1+Inputs!$B$35/100)),15)/15,MIN(1,(Skills!T16*(1+Inputs!$B$35/100))/(1/Q2147)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2143)</f>
        <v/>
      </c>
      <c r="L2143">
        <f>K2143*(MIN(Inputs!$B$23+((C2153=TRUE)*(F2153-Calc!F22)),(Inputs!$B$24+((C2155=TRUE)*(F2155-Calc!F24))+(IF(ArtifactsInput!$M$15,CHOOSE(ArtifactsInput!$N$15+1,25,30,35,40,45,50)/100*(Inputs!$B$12-Inputs!$B$12),0))))/100+(Inputs!$B$24+((C2155=TRUE)*(F2155-Calc!F24))+(IF(ArtifactsInput!$M$15,CHOOSE(ArtifactsInput!$N$15+1,25,30,35,40,45,50)/100*(Inputs!$B$12-Inputs!$B$12),0)))/100)/2</f>
        <v/>
      </c>
      <c r="M2143">
        <f>L2143*(1+(Inputs!$B$11+0+B2165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143">
        <f>L2143*(1-MIN((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2143*(MIN((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43">
        <f>(1-Summary!$B$11)*T2143+Summary!$B$11*V2143</f>
        <v/>
      </c>
      <c r="P2143">
        <f>IF(B2170=0,0,O2143/B2170)</f>
        <v/>
      </c>
      <c r="Q2143">
        <f>IFERROR(1/IF(Inputs!$B$39="pvp",15,MAX(0.1,Skills!D12-IF(TRUE=TRUE,Inputs!$B$33,0))),0)</f>
        <v/>
      </c>
      <c r="R2143">
        <f>IF(AND(Inputs!$B$39&lt;&gt;"pvp",Inputs!$B$44&gt;0),IF(MAX(0,Inputs!$B$44-B2167)&lt;=0,0,(INT(MAX(0,Inputs!$B$44-B2167)/IF(Inputs!$B$39="pvp",15,MAX(0.1,Skills!D12-IF(TRUE=TRUE,Inputs!$B$33,0))))+1)),0)</f>
        <v/>
      </c>
      <c r="S2143">
        <f>IFERROR(O2143/N2143,0)</f>
        <v/>
      </c>
      <c r="T2143">
        <f>IF(C2143,(H2143*N2143*IF(AND(Inputs!$B$39&lt;&gt;"pvp",Inputs!$B$44&gt;0),((Skills!G12*((R2143-1)*IF(Skills!H12&gt;0,INT(Skills!I12/Skills!H12+0.000000001),1)+IF(Skills!H12&gt;0,INT(MIN(Skills!I12,MAX(0,MAX(0,Inputs!$B$44-B2167)-((R2143-1)*IF(Inputs!$B$39="pvp",15,MAX(0.1,Skills!D12-IF(TRUE=TRUE,Inputs!$B$33,0))))))/Skills!H12+0.000000001),1)))/Inputs!$B$44),G2143*Q2143))*IF(Inputs!$B$39="pvp",1,1+(Inputs!$B$21+0+Skills!P12+((C2148=TRUE)*F2148*IF(AND(Inputs!$B$39&lt;&gt;"pvp",Inputs!$B$44&gt;0),(((R2148-1)*MIN((Skills!T17*(1+Inputs!$B$35/100)),(1/Q2148))+MIN((Skills!T17*(1+Inputs!$B$35/100)),MAX(0,Inputs!$B$44-((R2148-1)*(1/Q2148)))))/Inputs!$B$44),IF(Inputs!$B$39="pvp",MIN((Skills!T17*(1+Inputs!$B$35/100)),15)/15,MIN(1,(Skills!T17*(1+Inputs!$B$35/100))/(1/Q2148)))))+((C2136=TRUE)*IF(Inputs!$B$3&gt;=126,10*MIN(1,15*Q2136),0))+((C2145=TRUE)*IF(Inputs!$B$39="pvp",20,(1-Summary!$B$11)*(20)+Summary!$B$11*(0))*IF(AND(Inputs!$B$39&lt;&gt;"pvp",Inputs!$B$44&gt;0),(((R2145-1)*MIN((Skills!T14*(1+Inputs!$B$35/100)),(1/Q2145))+MIN((Skills!T14*(1+Inputs!$B$35/100)),MAX(0,Inputs!$B$44-((R2145-1)*(1/Q2145)))))/Inputs!$B$44),IF(Inputs!$B$39="pvp",MIN((Skills!T14*(1+Inputs!$B$35/100)),15)/15,MIN(1,(Skills!T14*(1+Inputs!$B$35/100))/(1/Q2145)))))+((C2144=TRUE)*IF(Inputs!$B$3&gt;=82,IF(Inputs!$B$39="pvp",20,(1-Summary!$B$11)*(20)+Summary!$B$11*(0)),0)*IF(AND(Inputs!$B$39&lt;&gt;"pvp",Inputs!$B$44&gt;0),(((R2144-1)*MIN((Skills!T13*(1+Inputs!$B$35/100)),(1/Q2144))+MIN((Skills!T13*(1+Inputs!$B$35/100)),MAX(0,Inputs!$B$44-((R2144-1)*(1/Q2144)))))/Inputs!$B$44),IF(Inputs!$B$39="pvp",MIN((Skills!T13*(1+Inputs!$B$35/100)),15)/15,MIN(1,(Skills!T13*(1+Inputs!$B$35/100))/(1/Q2144)))))+(IF(AND(ArtifactsInput!$M$35,Inputs!$B$4&lt;&gt;"Chapter Hunt"),CHOOSE(ArtifactsInput!$N$35+1,15,18,21,24,27,30)*(1-EXP(-(0.2*B2162)*5)),0)+IF(AND(ArtifactsInput!$M$22,Inputs!$B$4&lt;&gt;"Chapter Hunt"),CHOOSE(ArtifactsInput!$N$22+1,10,12,14,16,18,20)*((0*(((0.15*B2162*5))^0/1)+1*(((0.15*B2162*5))^1/1)+2*(((0.15*B2162*5))^2/2)+3*(((0.15*B2162*5))^3/6)+4*(((0.15*B2162*5))^4/24)+5*(((0.15*B2162*5))^5/120))/((((0.15*B2162*5))^0/1)+(((0.15*B2162*5))^1/1)+(((0.15*B2162*5))^2/2)+(((0.15*B2162*5))^3/6)+(((0.15*B2162*5))^4/24)+(((0.15*B2162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2143*(1-MIN(100,(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2143*(MIN(100,(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2143*(1-MIN(100,(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2143*(MIN(100,(Inputs!$B$10+0+B2160+(ArtifactsInput!$M$24-ArtifactsInput!$M$24)*CHOOSE(ArtifactsInput!$N$24+1,10,12,14,16,18,20)+(IF(AND(Inputs!$B$39&lt;&gt;"pvp",Inputs!$B$44=0),1,IF(IF(Inputs!$B$39="pvp",15,Inputs!$B$44)-(B2167)&lt;=0,1,MAX(0,IF(Inputs!$B$39="pvp",15,Inputs!$B$44)-MAX(5,B2167))/(IF(Inputs!$B$39="pvp",15,Inputs!$B$44)-(B2167))))*IF(AND(ArtifactsInput!$M$42,((Inputs!$B$10+0+B2160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43">
        <f>IF(C2143,(H2143*N2143*IF(AND(Inputs!$B$39&lt;&gt;"pvp",Inputs!$B$44&gt;0),((Skills!G12*((R2143-1)*IF(Skills!H12&gt;0,INT(Skills!I12/Skills!H12+0.000000001),1)+IF(Skills!H12&gt;0,INT(MIN(Skills!I12,MAX(0,MAX(0,Inputs!$B$44-B2167)-((R2143-1)*IF(Inputs!$B$39="pvp",15,MAX(0.1,Skills!D12-IF(TRUE=TRUE,Inputs!$B$33,0))))))/Skills!H12+0.000000001),1)))/Inputs!$B$44),G2143*Q2143))*IF(Inputs!$B$39="pvp",1,(1+(Inputs!$B$22+Skills!Q12+((C2148=TRUE)*F2148*IF(AND(Inputs!$B$39&lt;&gt;"pvp",Inputs!$B$44&gt;0),(((R2148-1)*MIN((Skills!T17*(1+Inputs!$B$35/100)),(1/Q2148))+MIN((Skills!T17*(1+Inputs!$B$35/100)),MAX(0,Inputs!$B$44-((R2148-1)*(1/Q2148)))))/Inputs!$B$44),IF(Inputs!$B$39="pvp",MIN((Skills!T17*(1+Inputs!$B$35/100)),15)/15,MIN(1,(Skills!T17*(1+Inputs!$B$35/100))/(1/Q2148)))))+((C2136=TRUE)*IF(Inputs!$B$3&gt;=126,10*MIN(1,15*Q2136),0))+((C2145=TRUE)*IF(Inputs!$B$39="pvp",20,(1-Summary!$B$11)*(20)+Summary!$B$11*(0))*IF(AND(Inputs!$B$39&lt;&gt;"pvp",Inputs!$B$44&gt;0),(((R2145-1)*MIN((Skills!T14*(1+Inputs!$B$35/100)),(1/Q2145))+MIN((Skills!T14*(1+Inputs!$B$35/100)),MAX(0,Inputs!$B$44-((R2145-1)*(1/Q2145)))))/Inputs!$B$44),IF(Inputs!$B$39="pvp",MIN((Skills!T14*(1+Inputs!$B$35/100)),15)/15,MIN(1,(Skills!T14*(1+Inputs!$B$35/100))/(1/Q2145)))))+((C2144=TRUE)*IF(Inputs!$B$3&gt;=82,IF(Inputs!$B$39="pvp",20,(1-Summary!$B$11)*(20)+Summary!$B$11*(0)),0)*IF(AND(Inputs!$B$39&lt;&gt;"pvp",Inputs!$B$44&gt;0),(((R2144-1)*MIN((Skills!T13*(1+Inputs!$B$35/100)),(1/Q2144))+MIN((Skills!T13*(1+Inputs!$B$35/100)),MAX(0,Inputs!$B$44-((R2144-1)*(1/Q2144)))))/Inputs!$B$44),IF(Inputs!$B$39="pvp",MIN((Skills!T13*(1+Inputs!$B$35/100)),15)/15,MIN(1,(Skills!T13*(1+Inputs!$B$35/100))/(1/Q2144)))))+(IF(AND(ArtifactsInput!$M$35,Inputs!$B$4&lt;&gt;"Chapter Hunt"),CHOOSE(ArtifactsInput!$N$35+1,15,18,21,24,27,30)*(1-EXP(-(0.2*B2162)*5)),0)+IF(AND(ArtifactsInput!$M$22,Inputs!$B$4&lt;&gt;"Chapter Hunt"),CHOOSE(ArtifactsInput!$N$22+1,10,12,14,16,18,20)*((0*(((0.15*B2162*5))^0/1)+1*(((0.15*B2162*5))^1/1)+2*(((0.15*B2162*5))^2/2)+3*(((0.15*B2162*5))^3/6)+4*(((0.15*B2162*5))^4/24)+5*(((0.15*B2162*5))^5/120))/((((0.15*B2162*5))^0/1)+(((0.15*B2162*5))^1/1)+(((0.15*B2162*5))^2/2)+(((0.15*B2162*5))^3/6)+(((0.15*B2162*5))^4/24)+(((0.15*B2162*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44">
      <c r="A2144">
        <f>Skills!A13</f>
        <v/>
      </c>
      <c r="B2144">
        <f>Skills!B13</f>
        <v/>
      </c>
      <c r="C2144">
        <f>Inputs!$B$3&gt;=69</f>
        <v/>
      </c>
      <c r="D2144">
        <f>IF(Skills!C13=1,60+Inputs!$B$26+Inputs!$B$30,IF(Skills!C13=2,90+Inputs!$B$27+Inputs!$B$30,IF(Skills!C13=3,120+Inputs!$B$28+Inputs!$B$30,MAX(0,(Inputs!$B$3-100)*3)+Inputs!$B$29+Inputs!$B$30)))</f>
        <v/>
      </c>
      <c r="E2144">
        <f>INDEX(FactorTable!$B$2:$Y$301, MATCH(ROUND(MIN(300,MAX(1,D2144)),0), FactorTable!$A$2:$A$301,0), Skills!M13+1)</f>
        <v/>
      </c>
      <c r="F2144">
        <f>IF(Skills!N13=TRUE,(Skills!L13/10)*(E2144/1000),Skills!L13/10)+Skills!O13</f>
        <v/>
      </c>
      <c r="G2144">
        <f>Skills!G13*IF(Skills!H13&gt;0,INT(IF(Inputs!$B$39="pvp",MIN(Skills!I13,15),Skills!I13)/Skills!H13+0.000000001),1)</f>
        <v/>
      </c>
      <c r="H2144">
        <f>1-(1-Skills!J13/100)^Skills!K13</f>
        <v/>
      </c>
      <c r="I2144" t="inlineStr">
        <is>
          <t>1</t>
        </is>
      </c>
      <c r="J2144" t="inlineStr"/>
      <c r="K2144" t="inlineStr"/>
      <c r="L2144" t="inlineStr"/>
      <c r="M2144" t="inlineStr"/>
      <c r="N2144" t="inlineStr"/>
      <c r="O2144">
        <f>(1-Summary!$B$11)*T2144+Summary!$B$11*V2144</f>
        <v/>
      </c>
      <c r="P2144">
        <f>IF(B2170=0,0,O2144/B2170)</f>
        <v/>
      </c>
      <c r="Q2144">
        <f>IFERROR(1/IF(Inputs!$B$39="pvp",15,MAX(0.1,Skills!D13-IF(TRUE=TRUE,Inputs!$B$33,0))),0)</f>
        <v/>
      </c>
      <c r="R2144">
        <f>IF(AND(Inputs!$B$39&lt;&gt;"pvp",Inputs!$B$44&gt;0),IF(Inputs!$B$44&lt;=0,0,(INT(Inputs!$B$44/IF(Inputs!$B$39="pvp",15,MAX(0.1,Skills!D13-IF(TRUE=TRUE,Inputs!$B$33,0))))+1)),0)</f>
        <v/>
      </c>
      <c r="S2144">
        <f>IFERROR(O2144/N2144,0)</f>
        <v/>
      </c>
      <c r="T2144" t="n">
        <v>0</v>
      </c>
      <c r="V2144" t="n">
        <v>0</v>
      </c>
    </row>
    <row r="2145">
      <c r="A2145">
        <f>Skills!A14</f>
        <v/>
      </c>
      <c r="B2145">
        <f>Skills!B14</f>
        <v/>
      </c>
      <c r="C2145">
        <f>Inputs!$B$3&gt;=115</f>
        <v/>
      </c>
      <c r="D2145">
        <f>IF(Skills!C14=1,60+Inputs!$B$26+Inputs!$B$30,IF(Skills!C14=2,90+Inputs!$B$27+Inputs!$B$30,IF(Skills!C14=3,120+Inputs!$B$28+Inputs!$B$30,MAX(0,(Inputs!$B$3-100)*3)+Inputs!$B$29+Inputs!$B$30)))</f>
        <v/>
      </c>
      <c r="E2145">
        <f>INDEX(FactorTable!$B$2:$Y$301, MATCH(ROUND(MIN(300,MAX(1,D2145)),0), FactorTable!$A$2:$A$301,0), Skills!M14+1)</f>
        <v/>
      </c>
      <c r="F2145">
        <f>IF(Skills!N14=TRUE,(Skills!L14/10)*(E2145/1000),Skills!L14/10)+Skills!O14</f>
        <v/>
      </c>
      <c r="G2145">
        <f>Skills!G14*IF(Skills!H14&gt;0,INT(IF(Inputs!$B$39="pvp",MIN(Skills!I14,15),Skills!I14)/Skills!H14+0.000000001),1)</f>
        <v/>
      </c>
      <c r="H2145">
        <f>1-(1-Skills!J14/100)^Skills!K14</f>
        <v/>
      </c>
      <c r="I2145" t="inlineStr">
        <is>
          <t>1</t>
        </is>
      </c>
      <c r="J2145" t="inlineStr"/>
      <c r="K2145" t="inlineStr"/>
      <c r="L2145" t="inlineStr"/>
      <c r="M2145" t="inlineStr"/>
      <c r="N2145" t="inlineStr"/>
      <c r="O2145">
        <f>(1-Summary!$B$11)*T2145+Summary!$B$11*V2145</f>
        <v/>
      </c>
      <c r="P2145">
        <f>IF(B2170=0,0,O2145/B2170)</f>
        <v/>
      </c>
      <c r="Q2145">
        <f>IFERROR(1/IF(Inputs!$B$39="pvp",15,MAX(0.1,Skills!D14-IF(TRUE=TRUE,Inputs!$B$33,0))),0)</f>
        <v/>
      </c>
      <c r="R2145">
        <f>IF(AND(Inputs!$B$39&lt;&gt;"pvp",Inputs!$B$44&gt;0),IF(Inputs!$B$44&lt;=0,0,(INT(Inputs!$B$44/IF(Inputs!$B$39="pvp",15,MAX(0.1,Skills!D14-IF(TRUE=TRUE,Inputs!$B$33,0))))+1)),0)</f>
        <v/>
      </c>
      <c r="S2145">
        <f>IFERROR(O2145/N2145,0)</f>
        <v/>
      </c>
      <c r="T2145" t="n">
        <v>0</v>
      </c>
      <c r="V2145" t="n">
        <v>0</v>
      </c>
    </row>
    <row r="2146">
      <c r="A2146">
        <f>Skills!A15</f>
        <v/>
      </c>
      <c r="B2146">
        <f>Skills!B15</f>
        <v/>
      </c>
      <c r="C2146">
        <f>Inputs!$B$3&gt;=66</f>
        <v/>
      </c>
      <c r="D2146">
        <f>IF(Skills!C15=1,60+Inputs!$B$26+Inputs!$B$30,IF(Skills!C15=2,90+Inputs!$B$27+Inputs!$B$30,IF(Skills!C15=3,120+Inputs!$B$28+Inputs!$B$30,MAX(0,(Inputs!$B$3-100)*3)+Inputs!$B$29+Inputs!$B$30)))</f>
        <v/>
      </c>
      <c r="E2146">
        <f>INDEX(FactorTable!$B$2:$Y$301, MATCH(ROUND(MIN(300,MAX(1,D2146)),0), FactorTable!$A$2:$A$301,0), Skills!M15+1)</f>
        <v/>
      </c>
      <c r="F2146">
        <f>IF(Skills!N15=TRUE,(Skills!L15/10)*(E2146/1000),Skills!L15/10)+Skills!O15</f>
        <v/>
      </c>
      <c r="G2146">
        <f>Skills!G15*IF(Skills!H15&gt;0,INT(IF(Inputs!$B$39="pvp",MIN(Skills!I15,15),Skills!I15)/Skills!H15+0.000000001),1)</f>
        <v/>
      </c>
      <c r="H2146">
        <f>1-(1-Skills!J15/100)^Skills!K15</f>
        <v/>
      </c>
      <c r="I2146" t="inlineStr">
        <is>
          <t>1</t>
        </is>
      </c>
      <c r="J2146" t="inlineStr"/>
      <c r="K2146" t="inlineStr"/>
      <c r="L2146" t="inlineStr"/>
      <c r="M2146" t="inlineStr"/>
      <c r="N2146" t="inlineStr"/>
      <c r="O2146">
        <f>(1-Summary!$B$11)*T2146+Summary!$B$11*V2146</f>
        <v/>
      </c>
      <c r="P2146">
        <f>IF(B2170=0,0,O2146/B2170)</f>
        <v/>
      </c>
      <c r="Q2146">
        <f>IFERROR(1/IF(Inputs!$B$39="pvp",15,MAX(0.1,Skills!D15-IF(TRUE=TRUE,Inputs!$B$33,0))),0)</f>
        <v/>
      </c>
      <c r="R2146">
        <f>IF(AND(Inputs!$B$39&lt;&gt;"pvp",Inputs!$B$44&gt;0),IF(Inputs!$B$44&lt;=0,0,(INT(Inputs!$B$44/IF(Inputs!$B$39="pvp",15,MAX(0.1,Skills!D15-IF(TRUE=TRUE,Inputs!$B$33,0))))+1)),0)</f>
        <v/>
      </c>
      <c r="S2146">
        <f>IFERROR(O2146/N2146,0)</f>
        <v/>
      </c>
      <c r="T2146" t="n">
        <v>0</v>
      </c>
      <c r="V2146" t="n">
        <v>0</v>
      </c>
    </row>
    <row r="2147">
      <c r="A2147">
        <f>Skills!A16</f>
        <v/>
      </c>
      <c r="B2147">
        <f>Skills!B16</f>
        <v/>
      </c>
      <c r="C2147">
        <f>Inputs!$B$3&gt;=45</f>
        <v/>
      </c>
      <c r="D2147">
        <f>IF(Skills!C16=1,60+Inputs!$B$26+Inputs!$B$30,IF(Skills!C16=2,90+Inputs!$B$27+Inputs!$B$30,IF(Skills!C16=3,120+Inputs!$B$28+Inputs!$B$30,MAX(0,(Inputs!$B$3-100)*3)+Inputs!$B$29+Inputs!$B$30)))</f>
        <v/>
      </c>
      <c r="E2147">
        <f>INDEX(FactorTable!$B$2:$Y$301, MATCH(ROUND(MIN(300,MAX(1,D2147)),0), FactorTable!$A$2:$A$301,0), Skills!M16+1)</f>
        <v/>
      </c>
      <c r="F2147">
        <f>IF(Skills!N16=TRUE,(Skills!L16/10)*(E2147/1000),Skills!L16/10)+Skills!O16</f>
        <v/>
      </c>
      <c r="G2147">
        <f>Skills!G16*IF(Skills!H16&gt;0,INT(IF(Inputs!$B$39="pvp",MIN(Skills!I16,15),Skills!I16)/Skills!H16+0.000000001),1)</f>
        <v/>
      </c>
      <c r="H2147">
        <f>1-(1-Skills!J16/100)^Skills!K16</f>
        <v/>
      </c>
      <c r="I2147" t="inlineStr">
        <is>
          <t>1</t>
        </is>
      </c>
      <c r="J2147" t="inlineStr"/>
      <c r="K2147" t="inlineStr"/>
      <c r="L2147" t="inlineStr"/>
      <c r="M2147" t="inlineStr"/>
      <c r="N2147" t="inlineStr"/>
      <c r="O2147">
        <f>(1-Summary!$B$11)*T2147+Summary!$B$11*V2147</f>
        <v/>
      </c>
      <c r="P2147">
        <f>IF(B2170=0,0,O2147/B2170)</f>
        <v/>
      </c>
      <c r="Q2147">
        <f>IFERROR(1/IF(Inputs!$B$39="pvp",15,MAX(0.1,Skills!D16-IF(TRUE=TRUE,Inputs!$B$33,0))),0)</f>
        <v/>
      </c>
      <c r="R2147">
        <f>IF(AND(Inputs!$B$39&lt;&gt;"pvp",Inputs!$B$44&gt;0),IF(Inputs!$B$44&lt;=0,0,(INT(Inputs!$B$44/IF(Inputs!$B$39="pvp",15,MAX(0.1,Skills!D16-IF(TRUE=TRUE,Inputs!$B$33,0))))+1)),0)</f>
        <v/>
      </c>
      <c r="S2147">
        <f>IFERROR(O2147/N2147,0)</f>
        <v/>
      </c>
      <c r="T2147" t="n">
        <v>0</v>
      </c>
      <c r="V2147" t="n">
        <v>0</v>
      </c>
    </row>
    <row r="2148">
      <c r="A2148">
        <f>Skills!A17</f>
        <v/>
      </c>
      <c r="B2148">
        <f>Skills!B17</f>
        <v/>
      </c>
      <c r="C2148">
        <f>Inputs!$B$3&gt;=35</f>
        <v/>
      </c>
      <c r="D2148">
        <f>IF(Skills!C17=1,60+Inputs!$B$26+Inputs!$B$30,IF(Skills!C17=2,90+Inputs!$B$27+Inputs!$B$30,IF(Skills!C17=3,120+Inputs!$B$28+Inputs!$B$30,MAX(0,(Inputs!$B$3-100)*3)+Inputs!$B$29+Inputs!$B$30)))</f>
        <v/>
      </c>
      <c r="E2148">
        <f>INDEX(FactorTable!$B$2:$Y$301, MATCH(ROUND(MIN(300,MAX(1,D2148)),0), FactorTable!$A$2:$A$301,0), Skills!M17+1)</f>
        <v/>
      </c>
      <c r="F2148">
        <f>IF(Skills!N17=TRUE,(Skills!L17/10)*(E2148/1000),Skills!L17/10)+Skills!O17</f>
        <v/>
      </c>
      <c r="G2148">
        <f>Skills!G17*IF(Skills!H17&gt;0,INT(IF(Inputs!$B$39="pvp",MIN(Skills!I17,15),Skills!I17)/Skills!H17+0.000000001),1)</f>
        <v/>
      </c>
      <c r="H2148">
        <f>1-(1-Skills!J17/100)^Skills!K17</f>
        <v/>
      </c>
      <c r="I2148" t="inlineStr">
        <is>
          <t>1</t>
        </is>
      </c>
      <c r="J2148" t="inlineStr"/>
      <c r="K2148" t="inlineStr"/>
      <c r="L2148" t="inlineStr"/>
      <c r="M2148" t="inlineStr"/>
      <c r="N2148" t="inlineStr"/>
      <c r="O2148">
        <f>(1-Summary!$B$11)*T2148+Summary!$B$11*V2148</f>
        <v/>
      </c>
      <c r="P2148">
        <f>IF(B2170=0,0,O2148/B2170)</f>
        <v/>
      </c>
      <c r="Q2148">
        <f>IFERROR(1/IF(Inputs!$B$39="pvp",15,MAX(0.1,Skills!D17-IF(TRUE=TRUE,Inputs!$B$33,0))),0)</f>
        <v/>
      </c>
      <c r="R2148">
        <f>IF(AND(Inputs!$B$39&lt;&gt;"pvp",Inputs!$B$44&gt;0),IF(Inputs!$B$44&lt;=0,0,(INT(Inputs!$B$44/IF(Inputs!$B$39="pvp",15,MAX(0.1,Skills!D17-IF(TRUE=TRUE,Inputs!$B$33,0))))+1)),0)</f>
        <v/>
      </c>
      <c r="S2148">
        <f>IFERROR(O2148/N2148,0)</f>
        <v/>
      </c>
      <c r="T2148" t="n">
        <v>0</v>
      </c>
      <c r="V2148" t="n">
        <v>0</v>
      </c>
    </row>
    <row r="2149">
      <c r="A2149">
        <f>Skills!A18</f>
        <v/>
      </c>
      <c r="B2149">
        <f>Skills!B18</f>
        <v/>
      </c>
      <c r="C2149">
        <f>Inputs!$B$3&gt;=72</f>
        <v/>
      </c>
      <c r="D2149">
        <f>IF(Skills!C18=1,60+Inputs!$B$26+Inputs!$B$30,IF(Skills!C18=2,90+Inputs!$B$27+Inputs!$B$30,IF(Skills!C18=3,120+Inputs!$B$28+Inputs!$B$30,MAX(0,(Inputs!$B$3-100)*3)+Inputs!$B$29+Inputs!$B$30)))</f>
        <v/>
      </c>
      <c r="E2149">
        <f>INDEX(FactorTable!$B$2:$Y$301, MATCH(ROUND(MIN(300,MAX(1,D2149)),0), FactorTable!$A$2:$A$301,0), Skills!M18+1)</f>
        <v/>
      </c>
      <c r="F2149">
        <f>IF(Skills!N18=TRUE,(Skills!L18/10)*(E2149/1000),Skills!L18/10)+Skills!O18</f>
        <v/>
      </c>
      <c r="G2149">
        <f>Skills!G18*IF(Skills!H18&gt;0,INT(IF(Inputs!$B$39="pvp",MIN(Skills!I18,15),Skills!I18)/Skills!H18+0.000000001),1)</f>
        <v/>
      </c>
      <c r="H2149">
        <f>1-(1-Skills!J18/100)^Skills!K18</f>
        <v/>
      </c>
      <c r="I2149" t="inlineStr">
        <is>
          <t>1</t>
        </is>
      </c>
      <c r="J2149" t="inlineStr"/>
      <c r="K2149" t="inlineStr"/>
      <c r="L2149" t="inlineStr"/>
      <c r="M2149" t="inlineStr"/>
      <c r="N2149" t="inlineStr"/>
      <c r="O2149">
        <f>(1-Summary!$B$11)*T2149+Summary!$B$11*V2149</f>
        <v/>
      </c>
      <c r="P2149">
        <f>IF(B2170=0,0,O2149/B2170)</f>
        <v/>
      </c>
      <c r="Q2149">
        <f>IFERROR(1/IF(Inputs!$B$39="pvp",15,MAX(0.1,Skills!D18-IF(TRUE=TRUE,Inputs!$B$33,0))),0)</f>
        <v/>
      </c>
      <c r="R2149">
        <f>IF(AND(Inputs!$B$39&lt;&gt;"pvp",Inputs!$B$44&gt;0),IF(Inputs!$B$44&lt;=0,0,(INT(Inputs!$B$44/IF(Inputs!$B$39="pvp",15,MAX(0.1,Skills!D18-IF(TRUE=TRUE,Inputs!$B$33,0))))+1)),0)</f>
        <v/>
      </c>
      <c r="S2149">
        <f>IFERROR(O2149/N2149,0)</f>
        <v/>
      </c>
      <c r="T2149" t="n">
        <v>0</v>
      </c>
      <c r="V2149" t="n">
        <v>0</v>
      </c>
    </row>
    <row r="2150">
      <c r="A2150">
        <f>Skills!A19</f>
        <v/>
      </c>
      <c r="B2150">
        <f>Skills!B19</f>
        <v/>
      </c>
      <c r="C2150">
        <f>Inputs!$B$3&gt;=72</f>
        <v/>
      </c>
      <c r="D2150">
        <f>IF(Skills!C19=1,60+Inputs!$B$26+Inputs!$B$30,IF(Skills!C19=2,90+Inputs!$B$27+Inputs!$B$30,IF(Skills!C19=3,120+Inputs!$B$28+Inputs!$B$30,MAX(0,(Inputs!$B$3-100)*3)+Inputs!$B$29+Inputs!$B$30)))</f>
        <v/>
      </c>
      <c r="E2150">
        <f>INDEX(FactorTable!$B$2:$Y$301, MATCH(ROUND(MIN(300,MAX(1,D2150)),0), FactorTable!$A$2:$A$301,0), Skills!M19+1)</f>
        <v/>
      </c>
      <c r="F2150">
        <f>IF(Skills!N19=TRUE,(Skills!L19/10)*(E2150/1000),Skills!L19/10)+Skills!O19</f>
        <v/>
      </c>
      <c r="G2150">
        <f>Skills!G19*IF(Skills!H19&gt;0,INT(IF(Inputs!$B$39="pvp",MIN(Skills!I19,15),Skills!I19)/Skills!H19+0.000000001),1)</f>
        <v/>
      </c>
      <c r="H2150">
        <f>1-(1-Skills!J19/100)^Skills!K19</f>
        <v/>
      </c>
      <c r="I2150" t="inlineStr">
        <is>
          <t>1</t>
        </is>
      </c>
      <c r="J2150" t="inlineStr"/>
      <c r="K2150" t="inlineStr"/>
      <c r="L2150" t="inlineStr"/>
      <c r="M2150" t="inlineStr"/>
      <c r="N2150" t="inlineStr"/>
      <c r="O2150">
        <f>(1-Summary!$B$11)*T2150+Summary!$B$11*V2150</f>
        <v/>
      </c>
      <c r="P2150">
        <f>IF(B2170=0,0,O2150/B2170)</f>
        <v/>
      </c>
      <c r="Q2150">
        <f>IFERROR(1/IF(Inputs!$B$39="pvp",15,MAX(0.1,Skills!D19-IF(TRUE=TRUE,Inputs!$B$33,0))),0)</f>
        <v/>
      </c>
      <c r="R2150">
        <f>IF(AND(Inputs!$B$39&lt;&gt;"pvp",Inputs!$B$44&gt;0),IF(Inputs!$B$44&lt;=0,0,(INT(Inputs!$B$44/IF(Inputs!$B$39="pvp",15,MAX(0.1,Skills!D19-IF(TRUE=TRUE,Inputs!$B$33,0))))+1)),0)</f>
        <v/>
      </c>
      <c r="S2150">
        <f>IFERROR(O2150/N2150,0)</f>
        <v/>
      </c>
      <c r="T2150" t="n">
        <v>0</v>
      </c>
      <c r="V2150" t="n">
        <v>0</v>
      </c>
    </row>
    <row r="2151">
      <c r="A2151">
        <f>Skills!A20</f>
        <v/>
      </c>
      <c r="B2151">
        <f>Skills!B20</f>
        <v/>
      </c>
      <c r="C2151">
        <f>TRUE</f>
        <v/>
      </c>
      <c r="D2151">
        <f>IF(Skills!C20=1,60+Inputs!$B$26+Inputs!$B$30,IF(Skills!C20=2,90+Inputs!$B$27+Inputs!$B$30,IF(Skills!C20=3,120+Inputs!$B$28+Inputs!$B$30,MAX(0,(Inputs!$B$3-100)*3)+Inputs!$B$29+Inputs!$B$30)))</f>
        <v/>
      </c>
      <c r="E2151">
        <f>INDEX(FactorTable!$B$2:$Y$301, MATCH(ROUND(MIN(300,MAX(1,D2151)),0), FactorTable!$A$2:$A$301,0), Skills!M20+1)</f>
        <v/>
      </c>
      <c r="F2151">
        <f>IF(Skills!N20=TRUE,(Skills!L20/10)*(E2151/1000),Skills!L20/10)+Skills!O20</f>
        <v/>
      </c>
      <c r="G2151">
        <f>Skills!G20*IF(Skills!H20&gt;0,INT(IF(Inputs!$B$39="pvp",MIN(Skills!I20,15),Skills!I20)/Skills!H20+0.000000001),1)</f>
        <v/>
      </c>
      <c r="H2151">
        <f>1-(1-Skills!J20/100)^Skills!K20</f>
        <v/>
      </c>
      <c r="I2151" t="inlineStr">
        <is>
          <t>1</t>
        </is>
      </c>
      <c r="J2151" t="inlineStr"/>
      <c r="K2151" t="inlineStr"/>
      <c r="L2151" t="inlineStr"/>
      <c r="M2151" t="inlineStr"/>
      <c r="N2151" t="inlineStr"/>
      <c r="O2151">
        <f>(1-Summary!$B$11)*T2151+Summary!$B$11*V2151</f>
        <v/>
      </c>
      <c r="P2151">
        <f>IF(B2170=0,0,O2151/B2170)</f>
        <v/>
      </c>
      <c r="Q2151">
        <f>IFERROR(1/IF(Inputs!$B$39="pvp",15,MAX(0.1,Skills!D20-IF(TRUE=TRUE,Inputs!$B$33,0))),0)</f>
        <v/>
      </c>
      <c r="R2151">
        <f>IF(AND(Inputs!$B$39&lt;&gt;"pvp",Inputs!$B$44&gt;0),IF(Inputs!$B$44&lt;=0,0,(INT(Inputs!$B$44/IF(Inputs!$B$39="pvp",15,MAX(0.1,Skills!D20-IF(TRUE=TRUE,Inputs!$B$33,0))))+1)),0)</f>
        <v/>
      </c>
      <c r="S2151">
        <f>IFERROR(O2151/N2151,0)</f>
        <v/>
      </c>
      <c r="T2151" t="n">
        <v>0</v>
      </c>
      <c r="V2151" t="n">
        <v>0</v>
      </c>
    </row>
    <row r="2152">
      <c r="A2152">
        <f>Skills!A21</f>
        <v/>
      </c>
      <c r="B2152">
        <f>Skills!B21</f>
        <v/>
      </c>
      <c r="C2152">
        <f>Inputs!$B$3&gt;=33</f>
        <v/>
      </c>
      <c r="D2152">
        <f>IF(Skills!C21=1,60+Inputs!$B$26+Inputs!$B$30,IF(Skills!C21=2,90+Inputs!$B$27+Inputs!$B$30,IF(Skills!C21=3,120+Inputs!$B$28+Inputs!$B$30,MAX(0,(Inputs!$B$3-100)*3)+Inputs!$B$29+Inputs!$B$30)))</f>
        <v/>
      </c>
      <c r="E2152">
        <f>INDEX(FactorTable!$B$2:$Y$301, MATCH(ROUND(MIN(300,MAX(1,D2152)),0), FactorTable!$A$2:$A$301,0), Skills!M21+1)</f>
        <v/>
      </c>
      <c r="F2152">
        <f>IF(Skills!N21=TRUE,(Skills!L21/10)*(E2152/1000),Skills!L21/10)+Skills!O21</f>
        <v/>
      </c>
      <c r="G2152">
        <f>Skills!G21*IF(Skills!H21&gt;0,INT(IF(Inputs!$B$39="pvp",MIN(Skills!I21,15),Skills!I21)/Skills!H21+0.000000001),1)</f>
        <v/>
      </c>
      <c r="H2152">
        <f>1-(1-Skills!J21/100)^Skills!K21</f>
        <v/>
      </c>
      <c r="I2152" t="inlineStr">
        <is>
          <t>1</t>
        </is>
      </c>
      <c r="J2152" t="inlineStr"/>
      <c r="K2152" t="inlineStr"/>
      <c r="L2152" t="inlineStr"/>
      <c r="M2152" t="inlineStr"/>
      <c r="N2152" t="inlineStr"/>
      <c r="O2152">
        <f>(1-Summary!$B$11)*T2152+Summary!$B$11*V2152</f>
        <v/>
      </c>
      <c r="P2152">
        <f>IF(B2170=0,0,O2152/B2170)</f>
        <v/>
      </c>
      <c r="Q2152" t="n">
        <v>0</v>
      </c>
      <c r="R2152" t="n">
        <v>0</v>
      </c>
      <c r="S2152">
        <f>IFERROR(O2152/N2152,0)</f>
        <v/>
      </c>
      <c r="T2152" t="n">
        <v>0</v>
      </c>
      <c r="V2152" t="n">
        <v>0</v>
      </c>
    </row>
    <row r="2153">
      <c r="A2153">
        <f>Skills!A22</f>
        <v/>
      </c>
      <c r="B2153">
        <f>Skills!B22</f>
        <v/>
      </c>
      <c r="C2153">
        <f>Inputs!$B$3&gt;=43</f>
        <v/>
      </c>
      <c r="D2153">
        <f>IF(Skills!C22=1,60+Inputs!$B$26+Inputs!$B$30,IF(Skills!C22=2,90+Inputs!$B$27+Inputs!$B$30,IF(Skills!C22=3,120+Inputs!$B$28+Inputs!$B$30,MAX(0,(Inputs!$B$3-100)*3)+Inputs!$B$29+Inputs!$B$30)))</f>
        <v/>
      </c>
      <c r="E2153">
        <f>INDEX(FactorTable!$B$2:$Y$301, MATCH(ROUND(MIN(300,MAX(1,D2153)),0), FactorTable!$A$2:$A$301,0), Skills!M22+1)</f>
        <v/>
      </c>
      <c r="F2153">
        <f>IF(Skills!N22=TRUE,(Skills!L22/10)*(E2153/1000),Skills!L22/10)+Skills!O22</f>
        <v/>
      </c>
      <c r="G2153">
        <f>Skills!G22*IF(Skills!H22&gt;0,INT(IF(Inputs!$B$39="pvp",MIN(Skills!I22,15),Skills!I22)/Skills!H22+0.000000001),1)</f>
        <v/>
      </c>
      <c r="H2153">
        <f>1-(1-Skills!J22/100)^Skills!K22</f>
        <v/>
      </c>
      <c r="I2153" t="inlineStr">
        <is>
          <t>1</t>
        </is>
      </c>
      <c r="J2153" t="inlineStr"/>
      <c r="K2153" t="inlineStr"/>
      <c r="L2153" t="inlineStr"/>
      <c r="M2153" t="inlineStr"/>
      <c r="N2153" t="inlineStr"/>
      <c r="O2153">
        <f>(1-Summary!$B$11)*T2153+Summary!$B$11*V2153</f>
        <v/>
      </c>
      <c r="P2153">
        <f>IF(B2170=0,0,O2153/B2170)</f>
        <v/>
      </c>
      <c r="Q2153" t="n">
        <v>0</v>
      </c>
      <c r="R2153" t="n">
        <v>0</v>
      </c>
      <c r="S2153">
        <f>IFERROR(O2153/N2153,0)</f>
        <v/>
      </c>
      <c r="T2153" t="n">
        <v>0</v>
      </c>
      <c r="V2153" t="n">
        <v>0</v>
      </c>
    </row>
    <row r="2154">
      <c r="A2154">
        <f>Skills!A23</f>
        <v/>
      </c>
      <c r="B2154">
        <f>Skills!B23</f>
        <v/>
      </c>
      <c r="C2154">
        <f>Inputs!$B$3&gt;=120</f>
        <v/>
      </c>
      <c r="D2154">
        <f>IF(Skills!C23=1,60+Inputs!$B$26+Inputs!$B$30,IF(Skills!C23=2,90+Inputs!$B$27+Inputs!$B$30,IF(Skills!C23=3,120+Inputs!$B$28+Inputs!$B$30,MAX(0,(Inputs!$B$3-100)*3)+Inputs!$B$29+Inputs!$B$30)))</f>
        <v/>
      </c>
      <c r="E2154">
        <f>INDEX(FactorTable!$B$2:$Y$301, MATCH(ROUND(MIN(300,MAX(1,D2154)),0), FactorTable!$A$2:$A$301,0), Skills!M23+1)</f>
        <v/>
      </c>
      <c r="F2154">
        <f>IF(Skills!N23=TRUE,(Skills!L23/10)*(E2154/1000),Skills!L23/10)+Skills!O23</f>
        <v/>
      </c>
      <c r="G2154">
        <f>Skills!G23*IF(Skills!H23&gt;0,INT(IF(Inputs!$B$39="pvp",MIN(Skills!I23,15),Skills!I23)/Skills!H23+0.000000001),1)</f>
        <v/>
      </c>
      <c r="H2154">
        <f>1-(1-Skills!J23/100)^Skills!K23</f>
        <v/>
      </c>
      <c r="I2154" t="inlineStr">
        <is>
          <t>1</t>
        </is>
      </c>
      <c r="J2154" t="inlineStr"/>
      <c r="K2154" t="inlineStr"/>
      <c r="L2154" t="inlineStr"/>
      <c r="M2154" t="inlineStr"/>
      <c r="N2154" t="inlineStr"/>
      <c r="O2154">
        <f>(1-Summary!$B$11)*T2154+Summary!$B$11*V2154</f>
        <v/>
      </c>
      <c r="P2154">
        <f>IF(B2170=0,0,O2154/B2170)</f>
        <v/>
      </c>
      <c r="Q2154" t="n">
        <v>0</v>
      </c>
      <c r="R2154" t="n">
        <v>0</v>
      </c>
      <c r="S2154">
        <f>IFERROR(O2154/N2154,0)</f>
        <v/>
      </c>
      <c r="T2154" t="n">
        <v>0</v>
      </c>
      <c r="V2154" t="n">
        <v>0</v>
      </c>
    </row>
    <row r="2155">
      <c r="A2155">
        <f>Skills!A24</f>
        <v/>
      </c>
      <c r="B2155">
        <f>Skills!B24</f>
        <v/>
      </c>
      <c r="C2155">
        <f>Inputs!$B$3&gt;=120</f>
        <v/>
      </c>
      <c r="D2155">
        <f>IF(Skills!C24=1,60+Inputs!$B$26+Inputs!$B$30,IF(Skills!C24=2,90+Inputs!$B$27+Inputs!$B$30,IF(Skills!C24=3,120+Inputs!$B$28+Inputs!$B$30,MAX(0,(Inputs!$B$3-100)*3)+Inputs!$B$29+Inputs!$B$30)))</f>
        <v/>
      </c>
      <c r="E2155">
        <f>INDEX(FactorTable!$B$2:$Y$301, MATCH(ROUND(MIN(300,MAX(1,D2155)),0), FactorTable!$A$2:$A$301,0), Skills!M24+1)</f>
        <v/>
      </c>
      <c r="F2155">
        <f>IF(Skills!N24=TRUE,(Skills!L24/10)*(E2155/1000),Skills!L24/10)+Skills!O24</f>
        <v/>
      </c>
      <c r="G2155">
        <f>Skills!G24*IF(Skills!H24&gt;0,INT(IF(Inputs!$B$39="pvp",MIN(Skills!I24,15),Skills!I24)/Skills!H24+0.000000001),1)</f>
        <v/>
      </c>
      <c r="H2155">
        <f>1-(1-Skills!J24/100)^Skills!K24</f>
        <v/>
      </c>
      <c r="I2155" t="inlineStr">
        <is>
          <t>1</t>
        </is>
      </c>
      <c r="J2155" t="inlineStr"/>
      <c r="K2155" t="inlineStr"/>
      <c r="L2155" t="inlineStr"/>
      <c r="M2155" t="inlineStr"/>
      <c r="N2155" t="inlineStr"/>
      <c r="O2155">
        <f>(1-Summary!$B$11)*T2155+Summary!$B$11*V2155</f>
        <v/>
      </c>
      <c r="P2155">
        <f>IF(B2170=0,0,O2155/B2170)</f>
        <v/>
      </c>
      <c r="Q2155" t="n">
        <v>0</v>
      </c>
      <c r="R2155" t="n">
        <v>0</v>
      </c>
      <c r="S2155">
        <f>IFERROR(O2155/N2155,0)</f>
        <v/>
      </c>
      <c r="T2155" t="n">
        <v>0</v>
      </c>
      <c r="V2155" t="n">
        <v>0</v>
      </c>
    </row>
    <row r="2156">
      <c r="A2156">
        <f>Skills!A25</f>
        <v/>
      </c>
      <c r="B2156">
        <f>Skills!B25</f>
        <v/>
      </c>
      <c r="C2156">
        <f>Inputs!$B$3&gt;=125</f>
        <v/>
      </c>
      <c r="D2156">
        <f>IF(Skills!C25=1,60+Inputs!$B$26+Inputs!$B$30,IF(Skills!C25=2,90+Inputs!$B$27+Inputs!$B$30,IF(Skills!C25=3,120+Inputs!$B$28+Inputs!$B$30,MAX(0,(Inputs!$B$3-100)*3)+Inputs!$B$29+Inputs!$B$30)))</f>
        <v/>
      </c>
      <c r="E2156">
        <f>INDEX(FactorTable!$B$2:$Y$301, MATCH(ROUND(MIN(300,MAX(1,D2156)),0), FactorTable!$A$2:$A$301,0), Skills!M25+1)</f>
        <v/>
      </c>
      <c r="F2156">
        <f>IF(Skills!N25=TRUE,(Skills!L25/10)*(E2156/1000),Skills!L25/10)+Skills!O25</f>
        <v/>
      </c>
      <c r="G2156">
        <f>Skills!G25*IF(Skills!H25&gt;0,INT(IF(Inputs!$B$39="pvp",MIN(Skills!I25,15),Skills!I25)/Skills!H25+0.000000001),1)</f>
        <v/>
      </c>
      <c r="H2156">
        <f>1-(1-Skills!J25/100)^Skills!K25</f>
        <v/>
      </c>
      <c r="I2156" t="inlineStr">
        <is>
          <t>1</t>
        </is>
      </c>
      <c r="J2156" t="inlineStr"/>
      <c r="K2156" t="inlineStr"/>
      <c r="L2156" t="inlineStr"/>
      <c r="M2156" t="inlineStr"/>
      <c r="N2156" t="inlineStr"/>
      <c r="O2156">
        <f>(1-Summary!$B$11)*T2156+Summary!$B$11*V2156</f>
        <v/>
      </c>
      <c r="P2156">
        <f>IF(B2170=0,0,O2156/B2170)</f>
        <v/>
      </c>
      <c r="Q2156" t="n">
        <v>0</v>
      </c>
      <c r="R2156" t="n">
        <v>0</v>
      </c>
      <c r="S2156">
        <f>IFERROR(O2156/N2156,0)</f>
        <v/>
      </c>
      <c r="T2156" t="n">
        <v>0</v>
      </c>
      <c r="V2156" t="n">
        <v>0</v>
      </c>
    </row>
    <row r="2157">
      <c r="A2157">
        <f>Skills!A26</f>
        <v/>
      </c>
      <c r="B2157">
        <f>Skills!B26</f>
        <v/>
      </c>
      <c r="C2157">
        <f>Inputs!$B$3&gt;=107</f>
        <v/>
      </c>
      <c r="D2157">
        <f>IF(Skills!C26=1,60+Inputs!$B$26+Inputs!$B$30,IF(Skills!C26=2,90+Inputs!$B$27+Inputs!$B$30,IF(Skills!C26=3,120+Inputs!$B$28+Inputs!$B$30,MAX(0,(Inputs!$B$3-100)*3)+Inputs!$B$29+Inputs!$B$30)))</f>
        <v/>
      </c>
      <c r="E2157">
        <f>INDEX(FactorTable!$B$2:$Y$301, MATCH(ROUND(MIN(300,MAX(1,D2157)),0), FactorTable!$A$2:$A$301,0), Skills!M26+1)</f>
        <v/>
      </c>
      <c r="F2157">
        <f>IF(Skills!N26=TRUE,(Skills!L26/10)*(E2157/1000),Skills!L26/10)+Skills!O26</f>
        <v/>
      </c>
      <c r="G2157">
        <f>Skills!G26*IF(Skills!H26&gt;0,INT(IF(Inputs!$B$39="pvp",MIN(Skills!I26,15),Skills!I26)/Skills!H26+0.000000001),1)</f>
        <v/>
      </c>
      <c r="H2157">
        <f>1-(1-Skills!J26/100)^Skills!K26</f>
        <v/>
      </c>
      <c r="I2157" t="inlineStr">
        <is>
          <t>1</t>
        </is>
      </c>
      <c r="J2157" t="inlineStr"/>
      <c r="K2157" t="inlineStr"/>
      <c r="L2157" t="inlineStr"/>
      <c r="M2157" t="inlineStr"/>
      <c r="N2157" t="inlineStr"/>
      <c r="O2157">
        <f>(1-Summary!$B$11)*T2157+Summary!$B$11*V2157</f>
        <v/>
      </c>
      <c r="P2157">
        <f>IF(B2170=0,0,O2157/B2170)</f>
        <v/>
      </c>
      <c r="Q2157" t="n">
        <v>0</v>
      </c>
      <c r="R2157" t="n">
        <v>0</v>
      </c>
      <c r="S2157">
        <f>IFERROR(O2157/N2157,0)</f>
        <v/>
      </c>
      <c r="T2157" t="n">
        <v>0</v>
      </c>
      <c r="V2157" t="n">
        <v>0</v>
      </c>
    </row>
    <row r="2159">
      <c r="A2159" t="inlineStr">
        <is>
          <t>Attack% Bucket Multiplier</t>
        </is>
      </c>
      <c r="B2159">
        <f>(1+(((C2144=TRUE)*F2144*IF(AND(Inputs!$B$39&lt;&gt;"pvp",Inputs!$B$44&gt;0),(((R2144-1)*MIN((Skills!T13*(1+Inputs!$B$35/100)),(1/Q2144))+MIN((Skills!T13*(1+Inputs!$B$35/100)),MAX(0,Inputs!$B$44-((R2144-1)*(1/Q2144)))))/Inputs!$B$44),IF(Inputs!$B$39="pvp",MIN((Skills!T13*(1+Inputs!$B$35/100)),15)/15,MIN(1,(Skills!T13*(1+Inputs!$B$35/100))/(1/Q2144)))))+((C2145=TRUE)*F2145*IF(AND(Inputs!$B$39&lt;&gt;"pvp",Inputs!$B$44&gt;0),(((R2145-1)*MIN((Skills!T14*(1+Inputs!$B$35/100)),(1/Q2145))+MIN((Skills!T14*(1+Inputs!$B$35/100)),MAX(0,Inputs!$B$44-((R2145-1)*(1/Q2145)))))/Inputs!$B$44),IF(Inputs!$B$39="pvp",MIN((Skills!T14*(1+Inputs!$B$35/100)),15)/15,MIN(1,(Skills!T14*(1+Inputs!$B$35/100))/(1/Q2145)))))+((C2146=TRUE)*F2146*IF(AND(Inputs!$B$39&lt;&gt;"pvp",Inputs!$B$44&gt;0),(((R2146-1)*MIN((Skills!T15*(1+Inputs!$B$35/100)),(1/Q2146))+MIN((Skills!T15*(1+Inputs!$B$35/100)),MAX(0,Inputs!$B$44-((R2146-1)*(1/Q2146)))))/Inputs!$B$44),IF(Inputs!$B$39="pvp",MIN((Skills!T15*(1+Inputs!$B$35/100)),15)/15,MIN(1,(Skills!T15*(1+Inputs!$B$35/100))/(1/Q2146)))))+((C2147=TRUE)*F2147*IF(AND(Inputs!$B$39&lt;&gt;"pvp",Inputs!$B$44&gt;0),(((R2147-1)*MIN((Skills!T16*(1+Inputs!$B$35/100)),(1/Q2147))+MIN((Skills!T16*(1+Inputs!$B$35/100)),MAX(0,Inputs!$B$44-((R2147-1)*(1/Q2147)))))/Inputs!$B$44),IF(Inputs!$B$39="pvp",MIN((Skills!T16*(1+Inputs!$B$35/100)),15)/15,MIN(1,(Skills!T16*(1+Inputs!$B$35/100))/(1/Q2147)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2160">
      <c r="A2160" t="inlineStr">
        <is>
          <t>Global Crit Rate Bonus % (Lord of Darkness)</t>
        </is>
      </c>
      <c r="B2160">
        <f>((C2149=TRUE)*F2149*(Skills!J18/100)*IF(AND(Inputs!$B$39&lt;&gt;"pvp",Inputs!$B$44&gt;0),(((R2149-1)*MIN((Skills!T18*(1+Inputs!$B$35/100)),(1/Q2149))+MIN((Skills!T18*(1+Inputs!$B$35/100)),MAX(0,Inputs!$B$44-((R2149-1)*(1/Q2149)))))/Inputs!$B$44),IF(Inputs!$B$39="pvp",MIN((Skills!T18*(1+Inputs!$B$35/100)),15)/15,MIN(1,(Skills!T18*(1+Inputs!$B$35/100))/(1/Q2149)))))</f>
        <v/>
      </c>
    </row>
    <row r="2161">
      <c r="A2161" t="inlineStr">
        <is>
          <t>Attack Speed Buff Bonus %</t>
        </is>
      </c>
      <c r="B2161">
        <f>((C2151=TRUE)*F2151*IF(AND(Inputs!$B$39&lt;&gt;"pvp",Inputs!$B$44&gt;0),(((R2151-1)*MIN((Skills!T20*(1+Inputs!$B$35/100)),(1/Q2151))+MIN((Skills!T20*(1+Inputs!$B$35/100)),MAX(0,Inputs!$B$44-((R2151-1)*(1/Q2151)))))/Inputs!$B$44),IF(Inputs!$B$39="pvp",MIN((Skills!T20*(1+Inputs!$B$35/100)),15)/15,MIN(1,(Skills!T20*(1+Inputs!$B$35/100))/(1/Q2151)))))</f>
        <v/>
      </c>
    </row>
    <row r="2162">
      <c r="A2162" t="inlineStr">
        <is>
          <t>Actions Per Second</t>
        </is>
      </c>
      <c r="B2162">
        <f>1+MIN(150,150*(1-(1-(Inputs!$B$12+((C2152=TRUE)*(F2152-Calc!F21)))/150)*(1-B2161/150)))/100</f>
        <v/>
      </c>
    </row>
    <row r="2163">
      <c r="A2163" t="inlineStr">
        <is>
          <t>Skill + Buff Cast Rate</t>
        </is>
      </c>
      <c r="B2163">
        <f>IF(AND(Inputs!$B$39&lt;&gt;"pvp",Inputs!$B$44&gt;0),SUMPRODUCT((Skills!E2:E26=TRUE)*(C2133:C2157=TRUE)*R2133:R2157*Skills!F2:F26)/Inputs!$B$44,SUMPRODUCT((Skills!E2:E26=TRUE)*(C2133:C2157=TRUE)*Q2133:Q2157*Skills!F2:F26))</f>
        <v/>
      </c>
    </row>
    <row r="2164">
      <c r="A2164" t="inlineStr">
        <is>
          <t>Dark Impale Casts Per Second</t>
        </is>
      </c>
      <c r="B2164">
        <f>MAX(0,B2162-B2163)</f>
        <v/>
      </c>
    </row>
    <row r="2165">
      <c r="A2165" t="inlineStr">
        <is>
          <t>Global Critical Damage Bonus % (Lord of Darkness)</t>
        </is>
      </c>
      <c r="B2165">
        <f>((C2150=TRUE)*F2150*(Skills!J19/100)*IF(AND(Inputs!$B$39&lt;&gt;"pvp",Inputs!$B$44&gt;0),(((R2150-1)*MIN((Skills!T19*(1+Inputs!$B$35/100)),(1/Q2150))+MIN((Skills!T19*(1+Inputs!$B$35/100)),MAX(0,Inputs!$B$44-((R2150-1)*(1/Q2150)))))/Inputs!$B$44),IF(Inputs!$B$39="pvp",MIN((Skills!T19*(1+Inputs!$B$35/100)),15)/15,MIN(1,(Skills!T19*(1+Inputs!$B$35/100))/(1/Q2150)))))</f>
        <v/>
      </c>
    </row>
    <row r="2166">
      <c r="A2166" t="inlineStr">
        <is>
          <t>Global Final Damage Bonus % (unused)</t>
        </is>
      </c>
      <c r="B2166" t="n">
        <v>0</v>
      </c>
    </row>
    <row r="2167">
      <c r="A2167" t="inlineStr">
        <is>
          <t>Buff-Casting Startup Delay (s, fixed-duration only)</t>
        </is>
      </c>
      <c r="B2167">
        <f>IF(AND(Inputs!$B$39&lt;&gt;"pvp",Inputs!$B$44&gt;0),SUMPRODUCT((Skills!T2:T26&gt;0)*(Skills!E2:E26=TRUE)*(C2133:C2157=TRUE))/B2162,0)</f>
        <v/>
      </c>
    </row>
    <row r="2168">
      <c r="A2168" t="inlineStr">
        <is>
          <t>Boss-Only Total DPS (this block's swept value)</t>
        </is>
      </c>
      <c r="B2168">
        <f>SUM(T2133:T2157)</f>
        <v/>
      </c>
    </row>
    <row r="2169">
      <c r="A2169" t="inlineStr">
        <is>
          <t>Normal-Only Total DPS (this block's swept value)</t>
        </is>
      </c>
      <c r="B2169">
        <f>SUM(V2133:V2157)</f>
        <v/>
      </c>
    </row>
    <row r="2170">
      <c r="A2170" s="6" t="inlineStr">
        <is>
          <t>TOTAL DPS</t>
        </is>
      </c>
      <c r="B2170" s="6">
        <f>SUM(O2133:O2157)</f>
        <v/>
      </c>
    </row>
    <row r="2173">
      <c r="A2173" s="6" t="inlineStr">
        <is>
          <t>Stat: Soul Pouch (Equip)</t>
        </is>
      </c>
    </row>
    <row r="2174">
      <c r="A2174" s="5" t="inlineStr">
        <is>
          <t>Key</t>
        </is>
      </c>
      <c r="B2174" s="5" t="inlineStr">
        <is>
          <t>Name</t>
        </is>
      </c>
      <c r="C2174" s="5" t="inlineStr">
        <is>
          <t>Unlocked</t>
        </is>
      </c>
      <c r="D2174" s="5" t="inlineStr">
        <is>
          <t>InputLevel</t>
        </is>
      </c>
      <c r="E2174" s="5" t="inlineStr">
        <is>
          <t>Factor</t>
        </is>
      </c>
      <c r="F2174" s="5" t="inlineStr">
        <is>
          <t>CoefficientPercent</t>
        </is>
      </c>
      <c r="G2174" s="5" t="inlineStr">
        <is>
          <t>EffectiveHits</t>
        </is>
      </c>
      <c r="H2174" s="5" t="inlineStr">
        <is>
          <t>ProcProbability</t>
        </is>
      </c>
      <c r="I2174" s="5" t="inlineStr">
        <is>
          <t>MapleHeroMultiplier</t>
        </is>
      </c>
      <c r="J2174" s="5" t="inlineStr">
        <is>
          <t>BaseDamage</t>
        </is>
      </c>
      <c r="K2174" s="5" t="inlineStr">
        <is>
          <t>BaseHitDamage</t>
        </is>
      </c>
      <c r="L2174" s="5" t="inlineStr">
        <is>
          <t>NonCritAvg</t>
        </is>
      </c>
      <c r="M2174" s="5" t="inlineStr">
        <is>
          <t>CritAvg</t>
        </is>
      </c>
      <c r="N2174" s="5" t="inlineStr">
        <is>
          <t>ExpectedDamage(perHit)</t>
        </is>
      </c>
      <c r="O2174" s="5" t="inlineStr">
        <is>
          <t>DPS</t>
        </is>
      </c>
      <c r="P2174" s="5" t="inlineStr">
        <is>
          <t>% of Total</t>
        </is>
      </c>
      <c r="Q2174" s="5" t="inlineStr">
        <is>
          <t>InvCooldown</t>
        </is>
      </c>
      <c r="R2174" s="5" t="inlineStr">
        <is>
          <t>CastsInFight</t>
        </is>
      </c>
      <c r="S2174" s="5" t="inlineStr">
        <is>
          <t>HitRate(perSec)</t>
        </is>
      </c>
      <c r="U2174" t="inlineStr">
        <is>
          <t>helpers</t>
        </is>
      </c>
    </row>
    <row r="2175">
      <c r="A2175">
        <f>Skills!A2</f>
        <v/>
      </c>
      <c r="B2175">
        <f>Skills!B2</f>
        <v/>
      </c>
      <c r="C2175">
        <f>Inputs!$B$3&gt;=100</f>
        <v/>
      </c>
      <c r="D2175" t="inlineStr"/>
      <c r="E2175" t="inlineStr"/>
      <c r="F2175">
        <f>U2177+Skills!O2</f>
        <v/>
      </c>
      <c r="G2175">
        <f>Skills!G2*IF(Skills!H2&gt;0,INT(IF(Inputs!$B$39="pvp",MIN(Skills!I2,15),Skills!I2)/Skills!H2+0.000000001),1)</f>
        <v/>
      </c>
      <c r="H2175">
        <f>1-(1-Skills!J2/100)^Skills!K2</f>
        <v/>
      </c>
      <c r="I2175" t="inlineStr">
        <is>
          <t>1</t>
        </is>
      </c>
      <c r="J2175">
        <f>((Inputs!$B$6*(1+Inputs!$B$7/100))+(((Inputs!$B$13*(1+Inputs!$B$14/100))-(Inputs!$B$13*(1+Inputs!$B$14/100)))+0.25*(Inputs!$B$15-Inputs!$B$15))*(1+Inputs!$B$7/100))*(F2175/100)</f>
        <v/>
      </c>
      <c r="K2175">
        <f>J2175*(1+(((Inputs!$B$13+IF(Inputs!$B$3&gt;=38,(10*INDEX(FactorTable!$B$2:$Y$301, MATCH(ROUND(MIN(300,MAX(1,Inputs!$B$3)),0), FactorTable!$A$2:$A$301,0), 23)/1000)/100*(Inputs!$B$8*(1+Inputs!$B$9/100)),0))*(1+Inputs!$B$14/100))*0.01+Inputs!$B$15*0.0025)/100)*(1+Inputs!$B$16/100)*(1+Inputs!$B$17/100)*(5000/(6000+Inputs!$B$43*(1-(Inputs!$B$20+0)/100)))*(1+(Inputs!$B$25+((C2198=TRUE)*(F2198-Calc!F25))+((C2199=TRUE)*(F2199-Calc!F26))+B2208)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IF(ArtifactsInput!$M$29,FALSE,TRUE)-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gt;=100),MIN(100,((Inputs!$B$10+0+B2202+(ArtifactsInput!$M$24-ArtifactsInput!$M$24)*CHOOSE(ArtifactsInput!$N$24+1,10,12,14,16,18,20)+IF(ArtifactsInput!$M$10,CHOOSE(ArtifactsInput!$N$10+1,15,18,21,24,27,30)*(IF(Inputs!$B$39="pvp",MIN(15,15)/15,IF(AND(Inputs!$B$39&lt;&gt;"pvp",Inputs!$B$44&gt;0),MIN(15,Inputs!$B$44)/(Inputs!$B$44),0))),0)))-100),0))*CHOOSE(ArtifactsInput!$N$42+1,0.6,0.72,0.84,0.96,1.08,1.2))),Inputs!$B$19+((C2196=TRUE)*(F2196-Calc!F23))+(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gt;=100),CHOOSE(ArtifactsInput!$N$42+1,40,48,56,64,72,80),0))))/100)*((1+(((C2186=TRUE)*F2186*IF(AND(Inputs!$B$39&lt;&gt;"pvp",Inputs!$B$44&gt;0),(((R2186-1)*MIN((Skills!T13*(1+Inputs!$B$35/100)),(1/Q2186))+MIN((Skills!T13*(1+Inputs!$B$35/100)),MAX(0,Inputs!$B$44-((R2186-1)*(1/Q2186)))))/Inputs!$B$44),IF(Inputs!$B$39="pvp",MIN((Skills!T13*(1+Inputs!$B$35/100)),15)/15,MIN(1,(Skills!T13*(1+Inputs!$B$35/100))/(1/Q2186)))))+((C2187=TRUE)*F2187*IF(AND(Inputs!$B$39&lt;&gt;"pvp",Inputs!$B$44&gt;0),(((R2187-1)*MIN((Skills!T14*(1+Inputs!$B$35/100)),(1/Q2187))+MIN((Skills!T14*(1+Inputs!$B$35/100)),MAX(0,Inputs!$B$44-((R2187-1)*(1/Q2187)))))/Inputs!$B$44),IF(Inputs!$B$39="pvp",MIN((Skills!T14*(1+Inputs!$B$35/100)),15)/15,MIN(1,(Skills!T14*(1+Inputs!$B$35/100))/(1/Q2187)))))+((C2188=TRUE)*F2188*IF(AND(Inputs!$B$39&lt;&gt;"pvp",Inputs!$B$44&gt;0),(((R2188-1)*MIN((Skills!T15*(1+Inputs!$B$35/100)),(1/Q2188))+MIN((Skills!T15*(1+Inputs!$B$35/100)),MAX(0,Inputs!$B$44-((R2188-1)*(1/Q2188)))))/Inputs!$B$44),IF(Inputs!$B$39="pvp",MIN((Skills!T15*(1+Inputs!$B$35/100)),15)/15,MIN(1,(Skills!T15*(1+Inputs!$B$35/100))/(1/Q2188)))))+((C2189=TRUE)*F2189*IF(AND(Inputs!$B$39&lt;&gt;"pvp",Inputs!$B$44&gt;0),(((R2189-1)*MIN((Skills!T16*(1+Inputs!$B$35/100)),(1/Q2189))+MIN((Skills!T16*(1+Inputs!$B$35/100)),MAX(0,Inputs!$B$44-((R2189-1)*(1/Q2189)))))/Inputs!$B$44),IF(Inputs!$B$39="pvp",MIN((Skills!T16*(1+Inputs!$B$35/100)),15)/15,MIN(1,(Skills!T16*(1+Inputs!$B$35/100))/(1/Q2189)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2175)</f>
        <v/>
      </c>
      <c r="L2175">
        <f>K2175*(MIN(Inputs!$B$23+((C2195=TRUE)*(F2195-Calc!F22)),(Inputs!$B$24+((C2197=TRUE)*(F2197-Calc!F24))+(IF(ArtifactsInput!$M$15,CHOOSE(ArtifactsInput!$N$15+1,25,30,35,40,45,50)/100*(Inputs!$B$12-Inputs!$B$12),0))))/100+(Inputs!$B$24+((C2197=TRUE)*(F2197-Calc!F24))+(IF(ArtifactsInput!$M$15,CHOOSE(ArtifactsInput!$N$15+1,25,30,35,40,45,50)/100*(Inputs!$B$12-Inputs!$B$12),0)))/100)/2</f>
        <v/>
      </c>
      <c r="M2175">
        <f>L2175*(1+(Inputs!$B$11+0+B2207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175">
        <f>L2175*(1-MIN((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2175*(MIN((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75">
        <f>(1-Summary!$B$11)*T2175+Summary!$B$11*V2175</f>
        <v/>
      </c>
      <c r="P2175">
        <f>IF(B2212=0,0,O2175/B2212)</f>
        <v/>
      </c>
      <c r="Q2175" t="n">
        <v>0</v>
      </c>
      <c r="R2175" t="n">
        <v>0</v>
      </c>
      <c r="S2175">
        <f>IFERROR(O2175/N2175,0)</f>
        <v/>
      </c>
      <c r="T2175">
        <f>IF(C2175,(Skills!G2*N2175*B2206)*IF(Inputs!$B$39="pvp",1,1+(Inputs!$B$21+0+Skills!P2+((C2190=TRUE)*F2190*IF(AND(Inputs!$B$39&lt;&gt;"pvp",Inputs!$B$44&gt;0),(((R2190-1)*MIN((Skills!T17*(1+Inputs!$B$35/100)),(1/Q2190))+MIN((Skills!T17*(1+Inputs!$B$35/100)),MAX(0,Inputs!$B$44-((R2190-1)*(1/Q2190)))))/Inputs!$B$44),IF(Inputs!$B$39="pvp",MIN((Skills!T17*(1+Inputs!$B$35/100)),15)/15,MIN(1,(Skills!T17*(1+Inputs!$B$35/100))/(1/Q2190)))))+((C2178=TRUE)*IF(Inputs!$B$3&gt;=126,10*MIN(1,15*Q2178),0))+((C2187=TRUE)*IF(Inputs!$B$39="pvp",20,(1-Summary!$B$11)*(20)+Summary!$B$11*(0))*IF(AND(Inputs!$B$39&lt;&gt;"pvp",Inputs!$B$44&gt;0),(((R2187-1)*MIN((Skills!T14*(1+Inputs!$B$35/100)),(1/Q2187))+MIN((Skills!T14*(1+Inputs!$B$35/100)),MAX(0,Inputs!$B$44-((R2187-1)*(1/Q2187)))))/Inputs!$B$44),IF(Inputs!$B$39="pvp",MIN((Skills!T14*(1+Inputs!$B$35/100)),15)/15,MIN(1,(Skills!T14*(1+Inputs!$B$35/100))/(1/Q2187)))))+((C2186=TRUE)*IF(Inputs!$B$3&gt;=82,IF(Inputs!$B$39="pvp",20,(1-Summary!$B$11)*(20)+Summary!$B$11*(0)),0)*IF(AND(Inputs!$B$39&lt;&gt;"pvp",Inputs!$B$44&gt;0),(((R2186-1)*MIN((Skills!T13*(1+Inputs!$B$35/100)),(1/Q2186))+MIN((Skills!T13*(1+Inputs!$B$35/100)),MAX(0,Inputs!$B$44-((R2186-1)*(1/Q2186)))))/Inputs!$B$44),IF(Inputs!$B$39="pvp",MIN((Skills!T13*(1+Inputs!$B$35/100)),15)/15,MIN(1,(Skills!T13*(1+Inputs!$B$35/100))/(1/Q2186)))))+(IF(AND(ArtifactsInput!$M$35,Inputs!$B$4&lt;&gt;"Chapter Hunt"),CHOOSE(ArtifactsInput!$N$35+1,15,18,21,24,27,30)*(1-EXP(-(0.2*B2204)*5)),0)+IF(AND(ArtifactsInput!$M$22,Inputs!$B$4&lt;&gt;"Chapter Hunt"),CHOOSE(ArtifactsInput!$N$22+1,10,12,14,16,18,20)*((0*(((0.15*B2204*5))^0/1)+1*(((0.15*B2204*5))^1/1)+2*(((0.15*B2204*5))^2/2)+3*(((0.15*B2204*5))^3/6)+4*(((0.15*B2204*5))^4/24)+5*(((0.15*B2204*5))^5/120))/((((0.15*B2204*5))^0/1)+(((0.15*B2204*5))^1/1)+(((0.15*B2204*5))^2/2)+(((0.15*B2204*5))^3/6)+(((0.15*B2204*5))^4/24)+(((0.15*B2204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2175*(1-MIN(100,(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2175*(MIN(100,(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2175*(1-MIN(100,(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2175*(MIN(100,(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175">
        <f>MAX(0,(Inputs!$B$3-100)*3)+Inputs!$B$29+Inputs!$B$30</f>
        <v/>
      </c>
      <c r="V2175">
        <f>IF(C2175,(Skills!G2*N2175*B2206)*IF(Inputs!$B$39="pvp",1,(1+(Inputs!$B$22+Skills!Q2+((C2190=TRUE)*F2190*IF(AND(Inputs!$B$39&lt;&gt;"pvp",Inputs!$B$44&gt;0),(((R2190-1)*MIN((Skills!T17*(1+Inputs!$B$35/100)),(1/Q2190))+MIN((Skills!T17*(1+Inputs!$B$35/100)),MAX(0,Inputs!$B$44-((R2190-1)*(1/Q2190)))))/Inputs!$B$44),IF(Inputs!$B$39="pvp",MIN((Skills!T17*(1+Inputs!$B$35/100)),15)/15,MIN(1,(Skills!T17*(1+Inputs!$B$35/100))/(1/Q2190)))))+((C2178=TRUE)*IF(Inputs!$B$3&gt;=126,10*MIN(1,15*Q2178),0))+((C2187=TRUE)*IF(Inputs!$B$39="pvp",20,(1-Summary!$B$11)*(20)+Summary!$B$11*(0))*IF(AND(Inputs!$B$39&lt;&gt;"pvp",Inputs!$B$44&gt;0),(((R2187-1)*MIN((Skills!T14*(1+Inputs!$B$35/100)),(1/Q2187))+MIN((Skills!T14*(1+Inputs!$B$35/100)),MAX(0,Inputs!$B$44-((R2187-1)*(1/Q2187)))))/Inputs!$B$44),IF(Inputs!$B$39="pvp",MIN((Skills!T14*(1+Inputs!$B$35/100)),15)/15,MIN(1,(Skills!T14*(1+Inputs!$B$35/100))/(1/Q2187)))))+((C2186=TRUE)*IF(Inputs!$B$3&gt;=82,IF(Inputs!$B$39="pvp",20,(1-Summary!$B$11)*(20)+Summary!$B$11*(0)),0)*IF(AND(Inputs!$B$39&lt;&gt;"pvp",Inputs!$B$44&gt;0),(((R2186-1)*MIN((Skills!T13*(1+Inputs!$B$35/100)),(1/Q2186))+MIN((Skills!T13*(1+Inputs!$B$35/100)),MAX(0,Inputs!$B$44-((R2186-1)*(1/Q2186)))))/Inputs!$B$44),IF(Inputs!$B$39="pvp",MIN((Skills!T13*(1+Inputs!$B$35/100)),15)/15,MIN(1,(Skills!T13*(1+Inputs!$B$35/100))/(1/Q2186)))))+(IF(AND(ArtifactsInput!$M$35,Inputs!$B$4&lt;&gt;"Chapter Hunt"),CHOOSE(ArtifactsInput!$N$35+1,15,18,21,24,27,30)*(1-EXP(-(0.2*B2204)*5)),0)+IF(AND(ArtifactsInput!$M$22,Inputs!$B$4&lt;&gt;"Chapter Hunt"),CHOOSE(ArtifactsInput!$N$22+1,10,12,14,16,18,20)*((0*(((0.15*B2204*5))^0/1)+1*(((0.15*B2204*5))^1/1)+2*(((0.15*B2204*5))^2/2)+3*(((0.15*B2204*5))^3/6)+4*(((0.15*B2204*5))^4/24)+5*(((0.15*B2204*5))^5/120))/((((0.15*B2204*5))^0/1)+(((0.15*B2204*5))^1/1)+(((0.15*B2204*5))^2/2)+(((0.15*B2204*5))^3/6)+(((0.15*B2204*5))^4/24)+(((0.15*B2204*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76">
      <c r="A2176">
        <f>Skills!A3</f>
        <v/>
      </c>
      <c r="B2176">
        <f>Skills!B3</f>
        <v/>
      </c>
      <c r="C2176">
        <f>Inputs!$B$3&gt;=50</f>
        <v/>
      </c>
      <c r="D2176">
        <f>IF(Skills!C3=1,60+Inputs!$B$26+Inputs!$B$30,IF(Skills!C3=2,90+Inputs!$B$27+Inputs!$B$30,IF(Skills!C3=3,120+Inputs!$B$28+Inputs!$B$30,MAX(0,(Inputs!$B$3-100)*3)+Inputs!$B$29+Inputs!$B$30)))</f>
        <v/>
      </c>
      <c r="E2176">
        <f>INDEX(FactorTable!$B$2:$Y$301, MATCH(ROUND(MIN(300,MAX(1,D2176)),0), FactorTable!$A$2:$A$301,0), Skills!M3+1)</f>
        <v/>
      </c>
      <c r="F2176">
        <f>IF(Skills!N3=TRUE,(Skills!L3/10)*(E2176/1000),Skills!L3/10)+Skills!O3</f>
        <v/>
      </c>
      <c r="G2176" t="inlineStr"/>
      <c r="H2176" t="inlineStr"/>
      <c r="I2176" t="inlineStr">
        <is>
          <t>1</t>
        </is>
      </c>
      <c r="J2176" t="inlineStr"/>
      <c r="K2176" t="inlineStr"/>
      <c r="L2176" t="inlineStr"/>
      <c r="M2176" t="inlineStr"/>
      <c r="N2176" t="inlineStr"/>
      <c r="O2176" t="inlineStr"/>
      <c r="P2176" t="inlineStr"/>
      <c r="Q2176" t="inlineStr"/>
      <c r="R2176" t="inlineStr"/>
      <c r="S2176" t="inlineStr"/>
      <c r="U2176">
        <f>INDEX(FactorTable!$B$2:$Y$301, MATCH(ROUND(MIN(300,MAX(1,U2175)),0), FactorTable!$A$2:$A$301,0), 22)</f>
        <v/>
      </c>
    </row>
    <row r="2177">
      <c r="A2177">
        <f>Skills!A4</f>
        <v/>
      </c>
      <c r="B2177">
        <f>Skills!B4</f>
        <v/>
      </c>
      <c r="C2177">
        <f>Inputs!$B$3&gt;=105</f>
        <v/>
      </c>
      <c r="D2177">
        <f>IF(Skills!C4=1,60+Inputs!$B$26+Inputs!$B$30,IF(Skills!C4=2,90+Inputs!$B$27+Inputs!$B$30,IF(Skills!C4=3,120+Inputs!$B$28+Inputs!$B$30,MAX(0,(Inputs!$B$3-100)*3)+Inputs!$B$29+Inputs!$B$30)))</f>
        <v/>
      </c>
      <c r="E2177">
        <f>INDEX(FactorTable!$B$2:$Y$301, MATCH(ROUND(MIN(300,MAX(1,D2177)),0), FactorTable!$A$2:$A$301,0), Skills!M4+1)</f>
        <v/>
      </c>
      <c r="F2177">
        <f>IF(Skills!N4=TRUE,(Skills!L4/10)*(E2177/1000),Skills!L4/10)+Skills!O4</f>
        <v/>
      </c>
      <c r="G2177" t="inlineStr"/>
      <c r="H2177" t="inlineStr"/>
      <c r="I2177" t="inlineStr">
        <is>
          <t>1</t>
        </is>
      </c>
      <c r="J2177" t="inlineStr"/>
      <c r="K2177" t="inlineStr"/>
      <c r="L2177" t="inlineStr"/>
      <c r="M2177" t="inlineStr"/>
      <c r="N2177" t="inlineStr"/>
      <c r="O2177" t="inlineStr"/>
      <c r="P2177" t="inlineStr"/>
      <c r="Q2177" t="inlineStr"/>
      <c r="R2177" t="inlineStr"/>
      <c r="S2177" t="inlineStr"/>
      <c r="U2177">
        <f>290*U2176/1000</f>
        <v/>
      </c>
    </row>
    <row r="2178">
      <c r="A2178">
        <f>Skills!A5</f>
        <v/>
      </c>
      <c r="B2178">
        <f>Skills!B5</f>
        <v/>
      </c>
      <c r="C2178">
        <f>Inputs!$B$3&gt;=117</f>
        <v/>
      </c>
      <c r="D2178">
        <f>IF(Skills!C5=1,60+Inputs!$B$26+Inputs!$B$30,IF(Skills!C5=2,90+Inputs!$B$27+Inputs!$B$30,IF(Skills!C5=3,120+Inputs!$B$28+Inputs!$B$30,MAX(0,(Inputs!$B$3-100)*3)+Inputs!$B$29+Inputs!$B$30)))</f>
        <v/>
      </c>
      <c r="E2178">
        <f>INDEX(FactorTable!$B$2:$Y$301, MATCH(ROUND(MIN(300,MAX(1,D2178)),0), FactorTable!$A$2:$A$301,0), Skills!M5+1)</f>
        <v/>
      </c>
      <c r="F2178">
        <f>IF(Skills!N5=TRUE,(Skills!L5/10)*(E2178/1000),Skills!L5/10)+Skills!O5</f>
        <v/>
      </c>
      <c r="G2178">
        <f>Skills!G5*IF(Skills!H5&gt;0,INT(IF(Inputs!$B$39="pvp",MIN(Skills!I5,15),Skills!I5)/Skills!H5+0.000000001),1)</f>
        <v/>
      </c>
      <c r="H2178">
        <f>1-(1-Skills!J5/100)^Skills!K5</f>
        <v/>
      </c>
      <c r="I2178" t="inlineStr">
        <is>
          <t>1</t>
        </is>
      </c>
      <c r="J2178">
        <f>((Inputs!$B$6*(1+Inputs!$B$7/100))+(((Inputs!$B$13*(1+Inputs!$B$14/100))-(Inputs!$B$13*(1+Inputs!$B$14/100)))+0.25*(Inputs!$B$15-Inputs!$B$15))*(1+Inputs!$B$7/100))*(F2178/100)</f>
        <v/>
      </c>
      <c r="K2178">
        <f>J2178*(1+(((Inputs!$B$13+IF(Inputs!$B$3&gt;=38,(10*INDEX(FactorTable!$B$2:$Y$301, MATCH(ROUND(MIN(300,MAX(1,Inputs!$B$3)),0), FactorTable!$A$2:$A$301,0), 23)/1000)/100*(Inputs!$B$8*(1+Inputs!$B$9/100)),0))*(1+Inputs!$B$14/100))*0.01+Inputs!$B$15*0.0025)/100)*(1+Inputs!$B$16/100)*(1+Inputs!$B$17/100)*(5000/(6000+Inputs!$B$43*(1-(Inputs!$B$20+0)/100)))*(1+(Inputs!$B$25+((C2198=TRUE)*(F2198-Calc!F25))+((C2199=TRUE)*(F2199-Calc!F26))+B2208)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IF(ArtifactsInput!$M$29,FALSE,TRUE)-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gt;=100),MIN(100,((Inputs!$B$10+0+B2202+(ArtifactsInput!$M$24-ArtifactsInput!$M$24)*CHOOSE(ArtifactsInput!$N$24+1,10,12,14,16,18,20)+IF(ArtifactsInput!$M$10,CHOOSE(ArtifactsInput!$N$10+1,15,18,21,24,27,30)*(IF(Inputs!$B$39="pvp",MIN(15,15)/15,IF(AND(Inputs!$B$39&lt;&gt;"pvp",Inputs!$B$44&gt;0),MIN(15,Inputs!$B$44)/(Inputs!$B$44),0))),0)))-100),0))*CHOOSE(ArtifactsInput!$N$42+1,0.6,0.72,0.84,0.96,1.08,1.2))),Inputs!$B$19+((C2196=TRUE)*(F2196-Calc!F23))+(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gt;=100),CHOOSE(ArtifactsInput!$N$42+1,40,48,56,64,72,80),0))))/100)*((1+(((C2186=TRUE)*F2186*IF(AND(Inputs!$B$39&lt;&gt;"pvp",Inputs!$B$44&gt;0),(((R2186-1)*MIN((Skills!T13*(1+Inputs!$B$35/100)),(1/Q2186))+MIN((Skills!T13*(1+Inputs!$B$35/100)),MAX(0,Inputs!$B$44-((R2186-1)*(1/Q2186)))))/Inputs!$B$44),IF(Inputs!$B$39="pvp",MIN((Skills!T13*(1+Inputs!$B$35/100)),15)/15,MIN(1,(Skills!T13*(1+Inputs!$B$35/100))/(1/Q2186)))))+((C2187=TRUE)*F2187*IF(AND(Inputs!$B$39&lt;&gt;"pvp",Inputs!$B$44&gt;0),(((R2187-1)*MIN((Skills!T14*(1+Inputs!$B$35/100)),(1/Q2187))+MIN((Skills!T14*(1+Inputs!$B$35/100)),MAX(0,Inputs!$B$44-((R2187-1)*(1/Q2187)))))/Inputs!$B$44),IF(Inputs!$B$39="pvp",MIN((Skills!T14*(1+Inputs!$B$35/100)),15)/15,MIN(1,(Skills!T14*(1+Inputs!$B$35/100))/(1/Q2187)))))+((C2188=TRUE)*F2188*IF(AND(Inputs!$B$39&lt;&gt;"pvp",Inputs!$B$44&gt;0),(((R2188-1)*MIN((Skills!T15*(1+Inputs!$B$35/100)),(1/Q2188))+MIN((Skills!T15*(1+Inputs!$B$35/100)),MAX(0,Inputs!$B$44-((R2188-1)*(1/Q2188)))))/Inputs!$B$44),IF(Inputs!$B$39="pvp",MIN((Skills!T15*(1+Inputs!$B$35/100)),15)/15,MIN(1,(Skills!T15*(1+Inputs!$B$35/100))/(1/Q2188)))))+((C2189=TRUE)*F2189*IF(AND(Inputs!$B$39&lt;&gt;"pvp",Inputs!$B$44&gt;0),(((R2189-1)*MIN((Skills!T16*(1+Inputs!$B$35/100)),(1/Q2189))+MIN((Skills!T16*(1+Inputs!$B$35/100)),MAX(0,Inputs!$B$44-((R2189-1)*(1/Q2189)))))/Inputs!$B$44),IF(Inputs!$B$39="pvp",MIN((Skills!T16*(1+Inputs!$B$35/100)),15)/15,MIN(1,(Skills!T16*(1+Inputs!$B$35/100))/(1/Q2189)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2178)</f>
        <v/>
      </c>
      <c r="L2178">
        <f>K2178*(MIN(Inputs!$B$23+((C2195=TRUE)*(F2195-Calc!F22)),(Inputs!$B$24+((C2197=TRUE)*(F2197-Calc!F24))+(IF(ArtifactsInput!$M$15,CHOOSE(ArtifactsInput!$N$15+1,25,30,35,40,45,50)/100*(Inputs!$B$12-Inputs!$B$12),0))))/100+(Inputs!$B$24+((C2197=TRUE)*(F2197-Calc!F24))+(IF(ArtifactsInput!$M$15,CHOOSE(ArtifactsInput!$N$15+1,25,30,35,40,45,50)/100*(Inputs!$B$12-Inputs!$B$12),0)))/100)/2</f>
        <v/>
      </c>
      <c r="M2178">
        <f>L2178*(1+(Inputs!$B$11+0+B2207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178">
        <f>L2178*(1-MIN((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2178*(MIN((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78">
        <f>(1-Summary!$B$11)*T2178+Summary!$B$11*V2178</f>
        <v/>
      </c>
      <c r="P2178">
        <f>IF(B2212=0,0,O2178/B2212)</f>
        <v/>
      </c>
      <c r="Q2178">
        <f>IFERROR(1/IF(Inputs!$B$39="pvp",15,MAX(0.1,Skills!D5-IF(TRUE=TRUE,Inputs!$B$33,0))),0)</f>
        <v/>
      </c>
      <c r="R2178">
        <f>IF(AND(Inputs!$B$39&lt;&gt;"pvp",Inputs!$B$44&gt;0),IF(MAX(0,Inputs!$B$44-B2209)&lt;=0,0,(INT(MAX(0,Inputs!$B$44-B2209)/IF(Inputs!$B$39="pvp",15,MAX(0.1,Skills!D5-IF(TRUE=TRUE,Inputs!$B$33,0))))+1)),0)</f>
        <v/>
      </c>
      <c r="S2178">
        <f>IFERROR(O2178/N2178,0)</f>
        <v/>
      </c>
      <c r="T2178">
        <f>IF(C2178,(H2178*N2178*IF(AND(Inputs!$B$39&lt;&gt;"pvp",Inputs!$B$44&gt;0),((Skills!G5*((R2178-1)*IF(Skills!H5&gt;0,INT(Skills!I5/Skills!H5+0.000000001),1)+IF(Skills!H5&gt;0,INT(MIN(Skills!I5,MAX(0,MAX(0,Inputs!$B$44-B2209)-((R2178-1)*IF(Inputs!$B$39="pvp",15,MAX(0.1,Skills!D5-IF(TRUE=TRUE,Inputs!$B$33,0))))))/Skills!H5+0.000000001),1)))/Inputs!$B$44),G2178*Q2178))*IF(Inputs!$B$39="pvp",1,1+(Inputs!$B$21+0+Skills!P5+((C2190=TRUE)*F2190*IF(AND(Inputs!$B$39&lt;&gt;"pvp",Inputs!$B$44&gt;0),(((R2190-1)*MIN((Skills!T17*(1+Inputs!$B$35/100)),(1/Q2190))+MIN((Skills!T17*(1+Inputs!$B$35/100)),MAX(0,Inputs!$B$44-((R2190-1)*(1/Q2190)))))/Inputs!$B$44),IF(Inputs!$B$39="pvp",MIN((Skills!T17*(1+Inputs!$B$35/100)),15)/15,MIN(1,(Skills!T17*(1+Inputs!$B$35/100))/(1/Q2190)))))+((C2178=TRUE)*IF(Inputs!$B$3&gt;=126,10*MIN(1,15*Q2178),0))+((C2187=TRUE)*IF(Inputs!$B$39="pvp",20,(1-Summary!$B$11)*(20)+Summary!$B$11*(0))*IF(AND(Inputs!$B$39&lt;&gt;"pvp",Inputs!$B$44&gt;0),(((R2187-1)*MIN((Skills!T14*(1+Inputs!$B$35/100)),(1/Q2187))+MIN((Skills!T14*(1+Inputs!$B$35/100)),MAX(0,Inputs!$B$44-((R2187-1)*(1/Q2187)))))/Inputs!$B$44),IF(Inputs!$B$39="pvp",MIN((Skills!T14*(1+Inputs!$B$35/100)),15)/15,MIN(1,(Skills!T14*(1+Inputs!$B$35/100))/(1/Q2187)))))+((C2186=TRUE)*IF(Inputs!$B$3&gt;=82,IF(Inputs!$B$39="pvp",20,(1-Summary!$B$11)*(20)+Summary!$B$11*(0)),0)*IF(AND(Inputs!$B$39&lt;&gt;"pvp",Inputs!$B$44&gt;0),(((R2186-1)*MIN((Skills!T13*(1+Inputs!$B$35/100)),(1/Q2186))+MIN((Skills!T13*(1+Inputs!$B$35/100)),MAX(0,Inputs!$B$44-((R2186-1)*(1/Q2186)))))/Inputs!$B$44),IF(Inputs!$B$39="pvp",MIN((Skills!T13*(1+Inputs!$B$35/100)),15)/15,MIN(1,(Skills!T13*(1+Inputs!$B$35/100))/(1/Q2186)))))+(IF(AND(ArtifactsInput!$M$35,Inputs!$B$4&lt;&gt;"Chapter Hunt"),CHOOSE(ArtifactsInput!$N$35+1,15,18,21,24,27,30)*(1-EXP(-(0.2*B2204)*5)),0)+IF(AND(ArtifactsInput!$M$22,Inputs!$B$4&lt;&gt;"Chapter Hunt"),CHOOSE(ArtifactsInput!$N$22+1,10,12,14,16,18,20)*((0*(((0.15*B2204*5))^0/1)+1*(((0.15*B2204*5))^1/1)+2*(((0.15*B2204*5))^2/2)+3*(((0.15*B2204*5))^3/6)+4*(((0.15*B2204*5))^4/24)+5*(((0.15*B2204*5))^5/120))/((((0.15*B2204*5))^0/1)+(((0.15*B2204*5))^1/1)+(((0.15*B2204*5))^2/2)+(((0.15*B2204*5))^3/6)+(((0.15*B2204*5))^4/24)+(((0.15*B2204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2178*(1-MIN(100,(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2178*(MIN(100,(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2178*(1-MIN(100,(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2178*(MIN(100,(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78">
        <f>IF(C2178,(H2178*N2178*IF(AND(Inputs!$B$39&lt;&gt;"pvp",Inputs!$B$44&gt;0),((Skills!G5*((R2178-1)*IF(Skills!H5&gt;0,INT(Skills!I5/Skills!H5+0.000000001),1)+IF(Skills!H5&gt;0,INT(MIN(Skills!I5,MAX(0,MAX(0,Inputs!$B$44-B2209)-((R2178-1)*IF(Inputs!$B$39="pvp",15,MAX(0.1,Skills!D5-IF(TRUE=TRUE,Inputs!$B$33,0))))))/Skills!H5+0.000000001),1)))/Inputs!$B$44),G2178*Q2178))*IF(Inputs!$B$39="pvp",1,(1+(Inputs!$B$22+Skills!Q5+((C2190=TRUE)*F2190*IF(AND(Inputs!$B$39&lt;&gt;"pvp",Inputs!$B$44&gt;0),(((R2190-1)*MIN((Skills!T17*(1+Inputs!$B$35/100)),(1/Q2190))+MIN((Skills!T17*(1+Inputs!$B$35/100)),MAX(0,Inputs!$B$44-((R2190-1)*(1/Q2190)))))/Inputs!$B$44),IF(Inputs!$B$39="pvp",MIN((Skills!T17*(1+Inputs!$B$35/100)),15)/15,MIN(1,(Skills!T17*(1+Inputs!$B$35/100))/(1/Q2190)))))+((C2178=TRUE)*IF(Inputs!$B$3&gt;=126,10*MIN(1,15*Q2178),0))+((C2187=TRUE)*IF(Inputs!$B$39="pvp",20,(1-Summary!$B$11)*(20)+Summary!$B$11*(0))*IF(AND(Inputs!$B$39&lt;&gt;"pvp",Inputs!$B$44&gt;0),(((R2187-1)*MIN((Skills!T14*(1+Inputs!$B$35/100)),(1/Q2187))+MIN((Skills!T14*(1+Inputs!$B$35/100)),MAX(0,Inputs!$B$44-((R2187-1)*(1/Q2187)))))/Inputs!$B$44),IF(Inputs!$B$39="pvp",MIN((Skills!T14*(1+Inputs!$B$35/100)),15)/15,MIN(1,(Skills!T14*(1+Inputs!$B$35/100))/(1/Q2187)))))+((C2186=TRUE)*IF(Inputs!$B$3&gt;=82,IF(Inputs!$B$39="pvp",20,(1-Summary!$B$11)*(20)+Summary!$B$11*(0)),0)*IF(AND(Inputs!$B$39&lt;&gt;"pvp",Inputs!$B$44&gt;0),(((R2186-1)*MIN((Skills!T13*(1+Inputs!$B$35/100)),(1/Q2186))+MIN((Skills!T13*(1+Inputs!$B$35/100)),MAX(0,Inputs!$B$44-((R2186-1)*(1/Q2186)))))/Inputs!$B$44),IF(Inputs!$B$39="pvp",MIN((Skills!T13*(1+Inputs!$B$35/100)),15)/15,MIN(1,(Skills!T13*(1+Inputs!$B$35/100))/(1/Q2186)))))+(IF(AND(ArtifactsInput!$M$35,Inputs!$B$4&lt;&gt;"Chapter Hunt"),CHOOSE(ArtifactsInput!$N$35+1,15,18,21,24,27,30)*(1-EXP(-(0.2*B2204)*5)),0)+IF(AND(ArtifactsInput!$M$22,Inputs!$B$4&lt;&gt;"Chapter Hunt"),CHOOSE(ArtifactsInput!$N$22+1,10,12,14,16,18,20)*((0*(((0.15*B2204*5))^0/1)+1*(((0.15*B2204*5))^1/1)+2*(((0.15*B2204*5))^2/2)+3*(((0.15*B2204*5))^3/6)+4*(((0.15*B2204*5))^4/24)+5*(((0.15*B2204*5))^5/120))/((((0.15*B2204*5))^0/1)+(((0.15*B2204*5))^1/1)+(((0.15*B2204*5))^2/2)+(((0.15*B2204*5))^3/6)+(((0.15*B2204*5))^4/24)+(((0.15*B2204*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79">
      <c r="A2179">
        <f>Skills!A6</f>
        <v/>
      </c>
      <c r="B2179">
        <f>Skills!B6</f>
        <v/>
      </c>
      <c r="C2179">
        <f>Inputs!$B$3&gt;=103</f>
        <v/>
      </c>
      <c r="D2179">
        <f>IF(Skills!C6=1,60+Inputs!$B$26+Inputs!$B$30,IF(Skills!C6=2,90+Inputs!$B$27+Inputs!$B$30,IF(Skills!C6=3,120+Inputs!$B$28+Inputs!$B$30,MAX(0,(Inputs!$B$3-100)*3)+Inputs!$B$29+Inputs!$B$30)))</f>
        <v/>
      </c>
      <c r="E2179">
        <f>INDEX(FactorTable!$B$2:$Y$301, MATCH(ROUND(MIN(300,MAX(1,D2179)),0), FactorTable!$A$2:$A$301,0), Skills!M6+1)</f>
        <v/>
      </c>
      <c r="F2179">
        <f>IF(Skills!N6=TRUE,(Skills!L6/10)*(E2179/1000),Skills!L6/10)+Skills!O6</f>
        <v/>
      </c>
      <c r="G2179">
        <f>Skills!G6*IF(Skills!H6&gt;0,INT(IF(Inputs!$B$39="pvp",MIN(Skills!I6,15),Skills!I6)/Skills!H6+0.000000001),1)</f>
        <v/>
      </c>
      <c r="H2179">
        <f>1-(1-Skills!J6/100)^Skills!K6</f>
        <v/>
      </c>
      <c r="I2179" t="inlineStr">
        <is>
          <t>1</t>
        </is>
      </c>
      <c r="J2179">
        <f>((Inputs!$B$6*(1+Inputs!$B$7/100))+(((Inputs!$B$13*(1+Inputs!$B$14/100))-(Inputs!$B$13*(1+Inputs!$B$14/100)))+0.25*(Inputs!$B$15-Inputs!$B$15))*(1+Inputs!$B$7/100))*(F2179/100)</f>
        <v/>
      </c>
      <c r="K2179">
        <f>J2179*(1+(((Inputs!$B$13+IF(Inputs!$B$3&gt;=38,(10*INDEX(FactorTable!$B$2:$Y$301, MATCH(ROUND(MIN(300,MAX(1,Inputs!$B$3)),0), FactorTable!$A$2:$A$301,0), 23)/1000)/100*(Inputs!$B$8*(1+Inputs!$B$9/100)),0))*(1+Inputs!$B$14/100))*0.01+Inputs!$B$15*0.0025)/100)*(1+Inputs!$B$16/100)*(1+Inputs!$B$17/100)*(5000/(6000+Inputs!$B$43*(1-(Inputs!$B$20+0)/100)))*(1+(Inputs!$B$25+((C2198=TRUE)*(F2198-Calc!F25))+((C2199=TRUE)*(F2199-Calc!F26))+B2208)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IF(ArtifactsInput!$M$29,FALSE,TRUE)-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gt;=100),MIN(100,((Inputs!$B$10+0+B2202+(ArtifactsInput!$M$24-ArtifactsInput!$M$24)*CHOOSE(ArtifactsInput!$N$24+1,10,12,14,16,18,20)+IF(ArtifactsInput!$M$10,CHOOSE(ArtifactsInput!$N$10+1,15,18,21,24,27,30)*(IF(Inputs!$B$39="pvp",MIN(15,15)/15,IF(AND(Inputs!$B$39&lt;&gt;"pvp",Inputs!$B$44&gt;0),MIN(15,Inputs!$B$44)/(Inputs!$B$44),0))),0)))-100),0))*CHOOSE(ArtifactsInput!$N$42+1,0.6,0.72,0.84,0.96,1.08,1.2))),Inputs!$B$19+((C2196=TRUE)*(F2196-Calc!F23))+(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gt;=100),CHOOSE(ArtifactsInput!$N$42+1,40,48,56,64,72,80),0))))/100)*((1+(((C2186=TRUE)*F2186*IF(AND(Inputs!$B$39&lt;&gt;"pvp",Inputs!$B$44&gt;0),(((R2186-1)*MIN((Skills!T13*(1+Inputs!$B$35/100)),(1/Q2186))+MIN((Skills!T13*(1+Inputs!$B$35/100)),MAX(0,Inputs!$B$44-((R2186-1)*(1/Q2186)))))/Inputs!$B$44),IF(Inputs!$B$39="pvp",MIN((Skills!T13*(1+Inputs!$B$35/100)),15)/15,MIN(1,(Skills!T13*(1+Inputs!$B$35/100))/(1/Q2186)))))+((C2187=TRUE)*F2187*IF(AND(Inputs!$B$39&lt;&gt;"pvp",Inputs!$B$44&gt;0),(((R2187-1)*MIN((Skills!T14*(1+Inputs!$B$35/100)),(1/Q2187))+MIN((Skills!T14*(1+Inputs!$B$35/100)),MAX(0,Inputs!$B$44-((R2187-1)*(1/Q2187)))))/Inputs!$B$44),IF(Inputs!$B$39="pvp",MIN((Skills!T14*(1+Inputs!$B$35/100)),15)/15,MIN(1,(Skills!T14*(1+Inputs!$B$35/100))/(1/Q2187)))))+((C2188=TRUE)*F2188*IF(AND(Inputs!$B$39&lt;&gt;"pvp",Inputs!$B$44&gt;0),(((R2188-1)*MIN((Skills!T15*(1+Inputs!$B$35/100)),(1/Q2188))+MIN((Skills!T15*(1+Inputs!$B$35/100)),MAX(0,Inputs!$B$44-((R2188-1)*(1/Q2188)))))/Inputs!$B$44),IF(Inputs!$B$39="pvp",MIN((Skills!T15*(1+Inputs!$B$35/100)),15)/15,MIN(1,(Skills!T15*(1+Inputs!$B$35/100))/(1/Q2188)))))+((C2189=TRUE)*F2189*IF(AND(Inputs!$B$39&lt;&gt;"pvp",Inputs!$B$44&gt;0),(((R2189-1)*MIN((Skills!T16*(1+Inputs!$B$35/100)),(1/Q2189))+MIN((Skills!T16*(1+Inputs!$B$35/100)),MAX(0,Inputs!$B$44-((R2189-1)*(1/Q2189)))))/Inputs!$B$44),IF(Inputs!$B$39="pvp",MIN((Skills!T16*(1+Inputs!$B$35/100)),15)/15,MIN(1,(Skills!T16*(1+Inputs!$B$35/100))/(1/Q2189)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2179)</f>
        <v/>
      </c>
      <c r="L2179">
        <f>K2179*(MIN(Inputs!$B$23+((C2195=TRUE)*(F2195-Calc!F22)),(Inputs!$B$24+((C2197=TRUE)*(F2197-Calc!F24))+(IF(ArtifactsInput!$M$15,CHOOSE(ArtifactsInput!$N$15+1,25,30,35,40,45,50)/100*(Inputs!$B$12-Inputs!$B$12),0))))/100+(Inputs!$B$24+((C2197=TRUE)*(F2197-Calc!F24))+(IF(ArtifactsInput!$M$15,CHOOSE(ArtifactsInput!$N$15+1,25,30,35,40,45,50)/100*(Inputs!$B$12-Inputs!$B$12),0)))/100)/2</f>
        <v/>
      </c>
      <c r="M2179">
        <f>L2179*(1+(Inputs!$B$11+0+B2207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179">
        <f>L2179*(1-MIN((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2179*(MIN((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79">
        <f>(1-Summary!$B$11)*T2179+Summary!$B$11*V2179</f>
        <v/>
      </c>
      <c r="P2179">
        <f>IF(B2212=0,0,O2179/B2212)</f>
        <v/>
      </c>
      <c r="Q2179">
        <f>IFERROR(1/IF(Inputs!$B$39="pvp",15,MAX(0.1,Skills!D6-IF(TRUE=TRUE,Inputs!$B$33,0))),0)</f>
        <v/>
      </c>
      <c r="R2179">
        <f>IF(AND(Inputs!$B$39&lt;&gt;"pvp",Inputs!$B$44&gt;0),IF(MAX(0,Inputs!$B$44-B2209)&lt;=0,0,(INT(MAX(0,Inputs!$B$44-B2209)/IF(Inputs!$B$39="pvp",15,MAX(0.1,Skills!D6-IF(TRUE=TRUE,Inputs!$B$33,0))))+1)),0)</f>
        <v/>
      </c>
      <c r="S2179">
        <f>IFERROR(O2179/N2179,0)</f>
        <v/>
      </c>
      <c r="T2179">
        <f>IF(C2179,(H2179*N2179*IF(AND(Inputs!$B$39&lt;&gt;"pvp",Inputs!$B$44&gt;0),((Skills!G6*((R2179-1)*IF(Skills!H6&gt;0,INT(Skills!I6/Skills!H6+0.000000001),1)+IF(Skills!H6&gt;0,INT(MIN(Skills!I6,MAX(0,MAX(0,Inputs!$B$44-B2209)-((R2179-1)*IF(Inputs!$B$39="pvp",15,MAX(0.1,Skills!D6-IF(TRUE=TRUE,Inputs!$B$33,0))))))/Skills!H6+0.000000001),1)))/Inputs!$B$44),G2179*Q2179))*IF(Inputs!$B$39="pvp",1,1+(Inputs!$B$21+0+Skills!P6+((C2190=TRUE)*F2190*IF(AND(Inputs!$B$39&lt;&gt;"pvp",Inputs!$B$44&gt;0),(((R2190-1)*MIN((Skills!T17*(1+Inputs!$B$35/100)),(1/Q2190))+MIN((Skills!T17*(1+Inputs!$B$35/100)),MAX(0,Inputs!$B$44-((R2190-1)*(1/Q2190)))))/Inputs!$B$44),IF(Inputs!$B$39="pvp",MIN((Skills!T17*(1+Inputs!$B$35/100)),15)/15,MIN(1,(Skills!T17*(1+Inputs!$B$35/100))/(1/Q2190)))))+((C2178=TRUE)*IF(Inputs!$B$3&gt;=126,10*MIN(1,15*Q2178),0))+((C2187=TRUE)*IF(Inputs!$B$39="pvp",20,(1-Summary!$B$11)*(20)+Summary!$B$11*(0))*IF(AND(Inputs!$B$39&lt;&gt;"pvp",Inputs!$B$44&gt;0),(((R2187-1)*MIN((Skills!T14*(1+Inputs!$B$35/100)),(1/Q2187))+MIN((Skills!T14*(1+Inputs!$B$35/100)),MAX(0,Inputs!$B$44-((R2187-1)*(1/Q2187)))))/Inputs!$B$44),IF(Inputs!$B$39="pvp",MIN((Skills!T14*(1+Inputs!$B$35/100)),15)/15,MIN(1,(Skills!T14*(1+Inputs!$B$35/100))/(1/Q2187)))))+((C2186=TRUE)*IF(Inputs!$B$3&gt;=82,IF(Inputs!$B$39="pvp",20,(1-Summary!$B$11)*(20)+Summary!$B$11*(0)),0)*IF(AND(Inputs!$B$39&lt;&gt;"pvp",Inputs!$B$44&gt;0),(((R2186-1)*MIN((Skills!T13*(1+Inputs!$B$35/100)),(1/Q2186))+MIN((Skills!T13*(1+Inputs!$B$35/100)),MAX(0,Inputs!$B$44-((R2186-1)*(1/Q2186)))))/Inputs!$B$44),IF(Inputs!$B$39="pvp",MIN((Skills!T13*(1+Inputs!$B$35/100)),15)/15,MIN(1,(Skills!T13*(1+Inputs!$B$35/100))/(1/Q2186)))))+(IF(AND(ArtifactsInput!$M$35,Inputs!$B$4&lt;&gt;"Chapter Hunt"),CHOOSE(ArtifactsInput!$N$35+1,15,18,21,24,27,30)*(1-EXP(-(0.2*B2204)*5)),0)+IF(AND(ArtifactsInput!$M$22,Inputs!$B$4&lt;&gt;"Chapter Hunt"),CHOOSE(ArtifactsInput!$N$22+1,10,12,14,16,18,20)*((0*(((0.15*B2204*5))^0/1)+1*(((0.15*B2204*5))^1/1)+2*(((0.15*B2204*5))^2/2)+3*(((0.15*B2204*5))^3/6)+4*(((0.15*B2204*5))^4/24)+5*(((0.15*B2204*5))^5/120))/((((0.15*B2204*5))^0/1)+(((0.15*B2204*5))^1/1)+(((0.15*B2204*5))^2/2)+(((0.15*B2204*5))^3/6)+(((0.15*B2204*5))^4/24)+(((0.15*B2204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2179*(1-MIN(100,(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2179*(MIN(100,(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2179*(1-MIN(100,(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2179*(MIN(100,(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79">
        <f>IF(C2179,(H2179*N2179*IF(AND(Inputs!$B$39&lt;&gt;"pvp",Inputs!$B$44&gt;0),((Skills!G6*((R2179-1)*IF(Skills!H6&gt;0,INT(Skills!I6/Skills!H6+0.000000001),1)+IF(Skills!H6&gt;0,INT(MIN(Skills!I6,MAX(0,MAX(0,Inputs!$B$44-B2209)-((R2179-1)*IF(Inputs!$B$39="pvp",15,MAX(0.1,Skills!D6-IF(TRUE=TRUE,Inputs!$B$33,0))))))/Skills!H6+0.000000001),1)))/Inputs!$B$44),G2179*Q2179))*IF(Inputs!$B$39="pvp",1,(1+(Inputs!$B$22+Skills!Q6+((C2190=TRUE)*F2190*IF(AND(Inputs!$B$39&lt;&gt;"pvp",Inputs!$B$44&gt;0),(((R2190-1)*MIN((Skills!T17*(1+Inputs!$B$35/100)),(1/Q2190))+MIN((Skills!T17*(1+Inputs!$B$35/100)),MAX(0,Inputs!$B$44-((R2190-1)*(1/Q2190)))))/Inputs!$B$44),IF(Inputs!$B$39="pvp",MIN((Skills!T17*(1+Inputs!$B$35/100)),15)/15,MIN(1,(Skills!T17*(1+Inputs!$B$35/100))/(1/Q2190)))))+((C2178=TRUE)*IF(Inputs!$B$3&gt;=126,10*MIN(1,15*Q2178),0))+((C2187=TRUE)*IF(Inputs!$B$39="pvp",20,(1-Summary!$B$11)*(20)+Summary!$B$11*(0))*IF(AND(Inputs!$B$39&lt;&gt;"pvp",Inputs!$B$44&gt;0),(((R2187-1)*MIN((Skills!T14*(1+Inputs!$B$35/100)),(1/Q2187))+MIN((Skills!T14*(1+Inputs!$B$35/100)),MAX(0,Inputs!$B$44-((R2187-1)*(1/Q2187)))))/Inputs!$B$44),IF(Inputs!$B$39="pvp",MIN((Skills!T14*(1+Inputs!$B$35/100)),15)/15,MIN(1,(Skills!T14*(1+Inputs!$B$35/100))/(1/Q2187)))))+((C2186=TRUE)*IF(Inputs!$B$3&gt;=82,IF(Inputs!$B$39="pvp",20,(1-Summary!$B$11)*(20)+Summary!$B$11*(0)),0)*IF(AND(Inputs!$B$39&lt;&gt;"pvp",Inputs!$B$44&gt;0),(((R2186-1)*MIN((Skills!T13*(1+Inputs!$B$35/100)),(1/Q2186))+MIN((Skills!T13*(1+Inputs!$B$35/100)),MAX(0,Inputs!$B$44-((R2186-1)*(1/Q2186)))))/Inputs!$B$44),IF(Inputs!$B$39="pvp",MIN((Skills!T13*(1+Inputs!$B$35/100)),15)/15,MIN(1,(Skills!T13*(1+Inputs!$B$35/100))/(1/Q2186)))))+(IF(AND(ArtifactsInput!$M$35,Inputs!$B$4&lt;&gt;"Chapter Hunt"),CHOOSE(ArtifactsInput!$N$35+1,15,18,21,24,27,30)*(1-EXP(-(0.2*B2204)*5)),0)+IF(AND(ArtifactsInput!$M$22,Inputs!$B$4&lt;&gt;"Chapter Hunt"),CHOOSE(ArtifactsInput!$N$22+1,10,12,14,16,18,20)*((0*(((0.15*B2204*5))^0/1)+1*(((0.15*B2204*5))^1/1)+2*(((0.15*B2204*5))^2/2)+3*(((0.15*B2204*5))^3/6)+4*(((0.15*B2204*5))^4/24)+5*(((0.15*B2204*5))^5/120))/((((0.15*B2204*5))^0/1)+(((0.15*B2204*5))^1/1)+(((0.15*B2204*5))^2/2)+(((0.15*B2204*5))^3/6)+(((0.15*B2204*5))^4/24)+(((0.15*B2204*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80">
      <c r="A2180">
        <f>Skills!A7</f>
        <v/>
      </c>
      <c r="B2180">
        <f>Skills!B7</f>
        <v/>
      </c>
      <c r="C2180">
        <f>Inputs!$B$3&gt;=40</f>
        <v/>
      </c>
      <c r="D2180">
        <f>IF(Skills!C7=1,60+Inputs!$B$26+Inputs!$B$30,IF(Skills!C7=2,90+Inputs!$B$27+Inputs!$B$30,IF(Skills!C7=3,120+Inputs!$B$28+Inputs!$B$30,MAX(0,(Inputs!$B$3-100)*3)+Inputs!$B$29+Inputs!$B$30)))</f>
        <v/>
      </c>
      <c r="E2180">
        <f>INDEX(FactorTable!$B$2:$Y$301, MATCH(ROUND(MIN(300,MAX(1,D2180)),0), FactorTable!$A$2:$A$301,0), Skills!M7+1)</f>
        <v/>
      </c>
      <c r="F2180">
        <f>IF(Skills!N7=TRUE,(Skills!L7/10)*(E2180/1000),Skills!L7/10)+Skills!O7</f>
        <v/>
      </c>
      <c r="G2180">
        <f>Skills!G7*IF(Skills!H7&gt;0,INT(IF(Inputs!$B$39="pvp",MIN(Skills!I7,15),Skills!I7)/Skills!H7+0.000000001),1)</f>
        <v/>
      </c>
      <c r="H2180">
        <f>1-(1-Skills!J7/100)^Skills!K7</f>
        <v/>
      </c>
      <c r="I2180" t="inlineStr">
        <is>
          <t>1</t>
        </is>
      </c>
      <c r="J2180">
        <f>((Inputs!$B$6*(1+Inputs!$B$7/100))+(((Inputs!$B$13*(1+Inputs!$B$14/100))-(Inputs!$B$13*(1+Inputs!$B$14/100)))+0.25*(Inputs!$B$15-Inputs!$B$15))*(1+Inputs!$B$7/100))*(F2180/100)</f>
        <v/>
      </c>
      <c r="K2180">
        <f>J2180*(1+(((Inputs!$B$13+IF(Inputs!$B$3&gt;=38,(10*INDEX(FactorTable!$B$2:$Y$301, MATCH(ROUND(MIN(300,MAX(1,Inputs!$B$3)),0), FactorTable!$A$2:$A$301,0), 23)/1000)/100*(Inputs!$B$8*(1+Inputs!$B$9/100)),0))*(1+Inputs!$B$14/100))*0.01+Inputs!$B$15*0.0025)/100)*(1+Inputs!$B$16/100)*(1+Inputs!$B$17/100)*(5000/(6000+Inputs!$B$43*(1-(Inputs!$B$20+0)/100)))*(1+(Inputs!$B$25+((C2198=TRUE)*(F2198-Calc!F25))+((C2199=TRUE)*(F2199-Calc!F26))+B2208)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IF(ArtifactsInput!$M$29,FALSE,TRUE)-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2184=TRUE,F2184,0)/100)*(1+(IF(Skills!A7="DARK_IMPALE",Inputs!$B$18+0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gt;=100),MIN(100,((Inputs!$B$10+0+B2202+(ArtifactsInput!$M$24-ArtifactsInput!$M$24)*CHOOSE(ArtifactsInput!$N$24+1,10,12,14,16,18,20)+IF(ArtifactsInput!$M$10,CHOOSE(ArtifactsInput!$N$10+1,15,18,21,24,27,30)*(IF(Inputs!$B$39="pvp",MIN(15,15)/15,IF(AND(Inputs!$B$39&lt;&gt;"pvp",Inputs!$B$44&gt;0),MIN(15,Inputs!$B$44)/(Inputs!$B$44),0))),0)))-100),0))*CHOOSE(ArtifactsInput!$N$42+1,0.6,0.72,0.84,0.96,1.08,1.2))),Inputs!$B$19+((C2196=TRUE)*(F2196-Calc!F23))+(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gt;=100),CHOOSE(ArtifactsInput!$N$42+1,40,48,56,64,72,80),0))))/100)*((1+(((C2186=TRUE)*F2186*IF(AND(Inputs!$B$39&lt;&gt;"pvp",Inputs!$B$44&gt;0),(((R2186-1)*MIN((Skills!T13*(1+Inputs!$B$35/100)),(1/Q2186))+MIN((Skills!T13*(1+Inputs!$B$35/100)),MAX(0,Inputs!$B$44-((R2186-1)*(1/Q2186)))))/Inputs!$B$44),IF(Inputs!$B$39="pvp",MIN((Skills!T13*(1+Inputs!$B$35/100)),15)/15,MIN(1,(Skills!T13*(1+Inputs!$B$35/100))/(1/Q2186)))))+((C2187=TRUE)*F2187*IF(AND(Inputs!$B$39&lt;&gt;"pvp",Inputs!$B$44&gt;0),(((R2187-1)*MIN((Skills!T14*(1+Inputs!$B$35/100)),(1/Q2187))+MIN((Skills!T14*(1+Inputs!$B$35/100)),MAX(0,Inputs!$B$44-((R2187-1)*(1/Q2187)))))/Inputs!$B$44),IF(Inputs!$B$39="pvp",MIN((Skills!T14*(1+Inputs!$B$35/100)),15)/15,MIN(1,(Skills!T14*(1+Inputs!$B$35/100))/(1/Q2187)))))+((C2188=TRUE)*F2188*IF(AND(Inputs!$B$39&lt;&gt;"pvp",Inputs!$B$44&gt;0),(((R2188-1)*MIN((Skills!T15*(1+Inputs!$B$35/100)),(1/Q2188))+MIN((Skills!T15*(1+Inputs!$B$35/100)),MAX(0,Inputs!$B$44-((R2188-1)*(1/Q2188)))))/Inputs!$B$44),IF(Inputs!$B$39="pvp",MIN((Skills!T15*(1+Inputs!$B$35/100)),15)/15,MIN(1,(Skills!T15*(1+Inputs!$B$35/100))/(1/Q2188)))))+((C2189=TRUE)*F2189*IF(AND(Inputs!$B$39&lt;&gt;"pvp",Inputs!$B$44&gt;0),(((R2189-1)*MIN((Skills!T16*(1+Inputs!$B$35/100)),(1/Q2189))+MIN((Skills!T16*(1+Inputs!$B$35/100)),MAX(0,Inputs!$B$44-((R2189-1)*(1/Q2189)))))/Inputs!$B$44),IF(Inputs!$B$39="pvp",MIN((Skills!T16*(1+Inputs!$B$35/100)),15)/15,MIN(1,(Skills!T16*(1+Inputs!$B$35/100))/(1/Q2189)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2180)</f>
        <v/>
      </c>
      <c r="L2180">
        <f>K2180*(MIN(Inputs!$B$23+((C2195=TRUE)*(F2195-Calc!F22)),(Inputs!$B$24+((C2197=TRUE)*(F2197-Calc!F24))+(IF(ArtifactsInput!$M$15,CHOOSE(ArtifactsInput!$N$15+1,25,30,35,40,45,50)/100*(Inputs!$B$12-Inputs!$B$12),0))))/100+(Inputs!$B$24+((C2197=TRUE)*(F2197-Calc!F24))+(IF(ArtifactsInput!$M$15,CHOOSE(ArtifactsInput!$N$15+1,25,30,35,40,45,50)/100*(Inputs!$B$12-Inputs!$B$12),0)))/100)/2</f>
        <v/>
      </c>
      <c r="M2180">
        <f>L2180*(1+(Inputs!$B$11+0+B2207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180">
        <f>L2180*(1-MIN((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2180*(MIN((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80">
        <f>(1-Summary!$B$11)*T2180+Summary!$B$11*V2180</f>
        <v/>
      </c>
      <c r="P2180">
        <f>IF(B2212=0,0,O2180/B2212)</f>
        <v/>
      </c>
      <c r="Q2180">
        <f>IFERROR(1/IF(Inputs!$B$39="pvp",15,MAX(0.1,Skills!D7-IF(TRUE=TRUE,Inputs!$B$33,0))),0)</f>
        <v/>
      </c>
      <c r="R2180">
        <f>IF(AND(Inputs!$B$39&lt;&gt;"pvp",Inputs!$B$44&gt;0),IF(MAX(0,Inputs!$B$44-B2209)&lt;=0,0,(INT(MAX(0,Inputs!$B$44-B2209)/IF(Inputs!$B$39="pvp",15,MAX(0.1,Skills!D7-IF(TRUE=TRUE,Inputs!$B$33,0))))+1)),0)</f>
        <v/>
      </c>
      <c r="S2180">
        <f>IFERROR(O2180/N2180,0)</f>
        <v/>
      </c>
      <c r="T2180">
        <f>IF(C2180,(H2180*N2180*IF(AND(Inputs!$B$39&lt;&gt;"pvp",Inputs!$B$44&gt;0),((Skills!G7*((R2180-1)*IF(Skills!H7&gt;0,INT(Skills!I7/Skills!H7+0.000000001),1)+IF(Skills!H7&gt;0,INT(MIN(Skills!I7,MAX(0,MAX(0,Inputs!$B$44-B2209)-((R2180-1)*IF(Inputs!$B$39="pvp",15,MAX(0.1,Skills!D7-IF(TRUE=TRUE,Inputs!$B$33,0))))))/Skills!H7+0.000000001),1)))/Inputs!$B$44),G2180*Q2180))*IF(Inputs!$B$39="pvp",1,1+(Inputs!$B$21+0+Skills!P7+((C2190=TRUE)*F2190*IF(AND(Inputs!$B$39&lt;&gt;"pvp",Inputs!$B$44&gt;0),(((R2190-1)*MIN((Skills!T17*(1+Inputs!$B$35/100)),(1/Q2190))+MIN((Skills!T17*(1+Inputs!$B$35/100)),MAX(0,Inputs!$B$44-((R2190-1)*(1/Q2190)))))/Inputs!$B$44),IF(Inputs!$B$39="pvp",MIN((Skills!T17*(1+Inputs!$B$35/100)),15)/15,MIN(1,(Skills!T17*(1+Inputs!$B$35/100))/(1/Q2190)))))+((C2178=TRUE)*IF(Inputs!$B$3&gt;=126,10*MIN(1,15*Q2178),0))+((C2187=TRUE)*IF(Inputs!$B$39="pvp",20,(1-Summary!$B$11)*(20)+Summary!$B$11*(0))*IF(AND(Inputs!$B$39&lt;&gt;"pvp",Inputs!$B$44&gt;0),(((R2187-1)*MIN((Skills!T14*(1+Inputs!$B$35/100)),(1/Q2187))+MIN((Skills!T14*(1+Inputs!$B$35/100)),MAX(0,Inputs!$B$44-((R2187-1)*(1/Q2187)))))/Inputs!$B$44),IF(Inputs!$B$39="pvp",MIN((Skills!T14*(1+Inputs!$B$35/100)),15)/15,MIN(1,(Skills!T14*(1+Inputs!$B$35/100))/(1/Q2187)))))+((C2186=TRUE)*IF(Inputs!$B$3&gt;=82,IF(Inputs!$B$39="pvp",20,(1-Summary!$B$11)*(20)+Summary!$B$11*(0)),0)*IF(AND(Inputs!$B$39&lt;&gt;"pvp",Inputs!$B$44&gt;0),(((R2186-1)*MIN((Skills!T13*(1+Inputs!$B$35/100)),(1/Q2186))+MIN((Skills!T13*(1+Inputs!$B$35/100)),MAX(0,Inputs!$B$44-((R2186-1)*(1/Q2186)))))/Inputs!$B$44),IF(Inputs!$B$39="pvp",MIN((Skills!T13*(1+Inputs!$B$35/100)),15)/15,MIN(1,(Skills!T13*(1+Inputs!$B$35/100))/(1/Q2186)))))+(IF(AND(ArtifactsInput!$M$35,Inputs!$B$4&lt;&gt;"Chapter Hunt"),CHOOSE(ArtifactsInput!$N$35+1,15,18,21,24,27,30)*(1-EXP(-(0.2*B2204)*5)),0)+IF(AND(ArtifactsInput!$M$22,Inputs!$B$4&lt;&gt;"Chapter Hunt"),CHOOSE(ArtifactsInput!$N$22+1,10,12,14,16,18,20)*((0*(((0.15*B2204*5))^0/1)+1*(((0.15*B2204*5))^1/1)+2*(((0.15*B2204*5))^2/2)+3*(((0.15*B2204*5))^3/6)+4*(((0.15*B2204*5))^4/24)+5*(((0.15*B2204*5))^5/120))/((((0.15*B2204*5))^0/1)+(((0.15*B2204*5))^1/1)+(((0.15*B2204*5))^2/2)+(((0.15*B2204*5))^3/6)+(((0.15*B2204*5))^4/24)+(((0.15*B2204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2180*(1-MIN(100,(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2180*(MIN(100,(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2180*(1-MIN(100,(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2180*(MIN(100,(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80">
        <f>IF(C2180,(H2180*N2180*IF(AND(Inputs!$B$39&lt;&gt;"pvp",Inputs!$B$44&gt;0),((Skills!G7*((R2180-1)*IF(Skills!H7&gt;0,INT(Skills!I7/Skills!H7+0.000000001),1)+IF(Skills!H7&gt;0,INT(MIN(Skills!I7,MAX(0,MAX(0,Inputs!$B$44-B2209)-((R2180-1)*IF(Inputs!$B$39="pvp",15,MAX(0.1,Skills!D7-IF(TRUE=TRUE,Inputs!$B$33,0))))))/Skills!H7+0.000000001),1)))/Inputs!$B$44),G2180*Q2180))*IF(Inputs!$B$39="pvp",1,(1+(Inputs!$B$22+Skills!Q7+((C2190=TRUE)*F2190*IF(AND(Inputs!$B$39&lt;&gt;"pvp",Inputs!$B$44&gt;0),(((R2190-1)*MIN((Skills!T17*(1+Inputs!$B$35/100)),(1/Q2190))+MIN((Skills!T17*(1+Inputs!$B$35/100)),MAX(0,Inputs!$B$44-((R2190-1)*(1/Q2190)))))/Inputs!$B$44),IF(Inputs!$B$39="pvp",MIN((Skills!T17*(1+Inputs!$B$35/100)),15)/15,MIN(1,(Skills!T17*(1+Inputs!$B$35/100))/(1/Q2190)))))+((C2178=TRUE)*IF(Inputs!$B$3&gt;=126,10*MIN(1,15*Q2178),0))+((C2187=TRUE)*IF(Inputs!$B$39="pvp",20,(1-Summary!$B$11)*(20)+Summary!$B$11*(0))*IF(AND(Inputs!$B$39&lt;&gt;"pvp",Inputs!$B$44&gt;0),(((R2187-1)*MIN((Skills!T14*(1+Inputs!$B$35/100)),(1/Q2187))+MIN((Skills!T14*(1+Inputs!$B$35/100)),MAX(0,Inputs!$B$44-((R2187-1)*(1/Q2187)))))/Inputs!$B$44),IF(Inputs!$B$39="pvp",MIN((Skills!T14*(1+Inputs!$B$35/100)),15)/15,MIN(1,(Skills!T14*(1+Inputs!$B$35/100))/(1/Q2187)))))+((C2186=TRUE)*IF(Inputs!$B$3&gt;=82,IF(Inputs!$B$39="pvp",20,(1-Summary!$B$11)*(20)+Summary!$B$11*(0)),0)*IF(AND(Inputs!$B$39&lt;&gt;"pvp",Inputs!$B$44&gt;0),(((R2186-1)*MIN((Skills!T13*(1+Inputs!$B$35/100)),(1/Q2186))+MIN((Skills!T13*(1+Inputs!$B$35/100)),MAX(0,Inputs!$B$44-((R2186-1)*(1/Q2186)))))/Inputs!$B$44),IF(Inputs!$B$39="pvp",MIN((Skills!T13*(1+Inputs!$B$35/100)),15)/15,MIN(1,(Skills!T13*(1+Inputs!$B$35/100))/(1/Q2186)))))+(IF(AND(ArtifactsInput!$M$35,Inputs!$B$4&lt;&gt;"Chapter Hunt"),CHOOSE(ArtifactsInput!$N$35+1,15,18,21,24,27,30)*(1-EXP(-(0.2*B2204)*5)),0)+IF(AND(ArtifactsInput!$M$22,Inputs!$B$4&lt;&gt;"Chapter Hunt"),CHOOSE(ArtifactsInput!$N$22+1,10,12,14,16,18,20)*((0*(((0.15*B2204*5))^0/1)+1*(((0.15*B2204*5))^1/1)+2*(((0.15*B2204*5))^2/2)+3*(((0.15*B2204*5))^3/6)+4*(((0.15*B2204*5))^4/24)+5*(((0.15*B2204*5))^5/120))/((((0.15*B2204*5))^0/1)+(((0.15*B2204*5))^1/1)+(((0.15*B2204*5))^2/2)+(((0.15*B2204*5))^3/6)+(((0.15*B2204*5))^4/24)+(((0.15*B2204*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81">
      <c r="A2181">
        <f>Skills!A8</f>
        <v/>
      </c>
      <c r="B2181">
        <f>Skills!B8</f>
        <v/>
      </c>
      <c r="C2181">
        <f>Inputs!$B$3&gt;=75</f>
        <v/>
      </c>
      <c r="D2181">
        <f>IF(Skills!C8=1,60+Inputs!$B$26+Inputs!$B$30,IF(Skills!C8=2,90+Inputs!$B$27+Inputs!$B$30,IF(Skills!C8=3,120+Inputs!$B$28+Inputs!$B$30,MAX(0,(Inputs!$B$3-100)*3)+Inputs!$B$29+Inputs!$B$30)))</f>
        <v/>
      </c>
      <c r="E2181">
        <f>INDEX(FactorTable!$B$2:$Y$301, MATCH(ROUND(MIN(300,MAX(1,D2181)),0), FactorTable!$A$2:$A$301,0), Skills!M8+1)</f>
        <v/>
      </c>
      <c r="F2181">
        <f>IF(Skills!N8=TRUE,(Skills!L8/10)*(E2181/1000),Skills!L8/10)+Skills!O8</f>
        <v/>
      </c>
      <c r="G2181" t="inlineStr"/>
      <c r="H2181" t="inlineStr"/>
      <c r="I2181" t="inlineStr">
        <is>
          <t>1</t>
        </is>
      </c>
      <c r="J2181" t="inlineStr"/>
      <c r="K2181" t="inlineStr"/>
      <c r="L2181" t="inlineStr"/>
      <c r="M2181" t="inlineStr"/>
      <c r="N2181" t="inlineStr"/>
      <c r="O2181" t="inlineStr"/>
      <c r="P2181" t="inlineStr"/>
      <c r="Q2181" t="inlineStr"/>
      <c r="R2181" t="inlineStr"/>
      <c r="S2181" t="inlineStr"/>
    </row>
    <row r="2182">
      <c r="A2182">
        <f>Skills!A9</f>
        <v/>
      </c>
      <c r="B2182">
        <f>Skills!B9</f>
        <v/>
      </c>
      <c r="C2182">
        <f>Inputs!$B$3&gt;=60</f>
        <v/>
      </c>
      <c r="D2182">
        <f>IF(Skills!C9=1,60+Inputs!$B$26+Inputs!$B$30,IF(Skills!C9=2,90+Inputs!$B$27+Inputs!$B$30,IF(Skills!C9=3,120+Inputs!$B$28+Inputs!$B$30,MAX(0,(Inputs!$B$3-100)*3)+Inputs!$B$29+Inputs!$B$30)))</f>
        <v/>
      </c>
      <c r="E2182">
        <f>INDEX(FactorTable!$B$2:$Y$301, MATCH(ROUND(MIN(300,MAX(1,D2182)),0), FactorTable!$A$2:$A$301,0), Skills!M9+1)</f>
        <v/>
      </c>
      <c r="F2182">
        <f>IF(Skills!N9=TRUE,(Skills!L9/10)*(E2182/1000),Skills!L9/10)+Skills!O9</f>
        <v/>
      </c>
      <c r="G2182">
        <f>Skills!G9*IF(Skills!H9&gt;0,INT(IF(Inputs!$B$39="pvp",MIN(Skills!I9,15),Skills!I9)/Skills!H9+0.000000001),1)</f>
        <v/>
      </c>
      <c r="H2182">
        <f>1-(1-Skills!J9/100)^Skills!K9</f>
        <v/>
      </c>
      <c r="I2182" t="inlineStr">
        <is>
          <t>1</t>
        </is>
      </c>
      <c r="J2182">
        <f>((Inputs!$B$6*(1+Inputs!$B$7/100))+(((Inputs!$B$13*(1+Inputs!$B$14/100))-(Inputs!$B$13*(1+Inputs!$B$14/100)))+0.25*(Inputs!$B$15-Inputs!$B$15))*(1+Inputs!$B$7/100))*(F2182/100)</f>
        <v/>
      </c>
      <c r="K2182">
        <f>J2182*(1+(((Inputs!$B$13+IF(Inputs!$B$3&gt;=38,(10*INDEX(FactorTable!$B$2:$Y$301, MATCH(ROUND(MIN(300,MAX(1,Inputs!$B$3)),0), FactorTable!$A$2:$A$301,0), 23)/1000)/100*(Inputs!$B$8*(1+Inputs!$B$9/100)),0))*(1+Inputs!$B$14/100))*0.01+Inputs!$B$15*0.0025)/100)*(1+Inputs!$B$16/100)*(1+Inputs!$B$17/100)*(5000/(6000+Inputs!$B$43*(1-(Inputs!$B$20+0)/100)))*(1+(Inputs!$B$25+((C2198=TRUE)*(F2198-Calc!F25))+((C2199=TRUE)*(F2199-Calc!F26))+B2208)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IF(ArtifactsInput!$M$29,FALSE,TRUE)-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2184=TRUE,F2184,0)/100)*(1+(IF(Skills!A9="DARK_IMPALE",Inputs!$B$18+0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gt;=100),MIN(100,((Inputs!$B$10+0+B2202+(ArtifactsInput!$M$24-ArtifactsInput!$M$24)*CHOOSE(ArtifactsInput!$N$24+1,10,12,14,16,18,20)+IF(ArtifactsInput!$M$10,CHOOSE(ArtifactsInput!$N$10+1,15,18,21,24,27,30)*(IF(Inputs!$B$39="pvp",MIN(15,15)/15,IF(AND(Inputs!$B$39&lt;&gt;"pvp",Inputs!$B$44&gt;0),MIN(15,Inputs!$B$44)/(Inputs!$B$44),0))),0)))-100),0))*CHOOSE(ArtifactsInput!$N$42+1,0.6,0.72,0.84,0.96,1.08,1.2))),Inputs!$B$19+((C2196=TRUE)*(F2196-Calc!F23))+(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gt;=100),CHOOSE(ArtifactsInput!$N$42+1,40,48,56,64,72,80),0))))/100)*((1+(((C2186=TRUE)*F2186*IF(AND(Inputs!$B$39&lt;&gt;"pvp",Inputs!$B$44&gt;0),(((R2186-1)*MIN((Skills!T13*(1+Inputs!$B$35/100)),(1/Q2186))+MIN((Skills!T13*(1+Inputs!$B$35/100)),MAX(0,Inputs!$B$44-((R2186-1)*(1/Q2186)))))/Inputs!$B$44),IF(Inputs!$B$39="pvp",MIN((Skills!T13*(1+Inputs!$B$35/100)),15)/15,MIN(1,(Skills!T13*(1+Inputs!$B$35/100))/(1/Q2186)))))+((C2187=TRUE)*F2187*IF(AND(Inputs!$B$39&lt;&gt;"pvp",Inputs!$B$44&gt;0),(((R2187-1)*MIN((Skills!T14*(1+Inputs!$B$35/100)),(1/Q2187))+MIN((Skills!T14*(1+Inputs!$B$35/100)),MAX(0,Inputs!$B$44-((R2187-1)*(1/Q2187)))))/Inputs!$B$44),IF(Inputs!$B$39="pvp",MIN((Skills!T14*(1+Inputs!$B$35/100)),15)/15,MIN(1,(Skills!T14*(1+Inputs!$B$35/100))/(1/Q2187)))))+((C2188=TRUE)*F2188*IF(AND(Inputs!$B$39&lt;&gt;"pvp",Inputs!$B$44&gt;0),(((R2188-1)*MIN((Skills!T15*(1+Inputs!$B$35/100)),(1/Q2188))+MIN((Skills!T15*(1+Inputs!$B$35/100)),MAX(0,Inputs!$B$44-((R2188-1)*(1/Q2188)))))/Inputs!$B$44),IF(Inputs!$B$39="pvp",MIN((Skills!T15*(1+Inputs!$B$35/100)),15)/15,MIN(1,(Skills!T15*(1+Inputs!$B$35/100))/(1/Q2188)))))+((C2189=TRUE)*F2189*IF(AND(Inputs!$B$39&lt;&gt;"pvp",Inputs!$B$44&gt;0),(((R2189-1)*MIN((Skills!T16*(1+Inputs!$B$35/100)),(1/Q2189))+MIN((Skills!T16*(1+Inputs!$B$35/100)),MAX(0,Inputs!$B$44-((R2189-1)*(1/Q2189)))))/Inputs!$B$44),IF(Inputs!$B$39="pvp",MIN((Skills!T16*(1+Inputs!$B$35/100)),15)/15,MIN(1,(Skills!T16*(1+Inputs!$B$35/100))/(1/Q2189)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2182)</f>
        <v/>
      </c>
      <c r="L2182">
        <f>K2182*(MIN(Inputs!$B$23+((C2195=TRUE)*(F2195-Calc!F22)),(Inputs!$B$24+((C2197=TRUE)*(F2197-Calc!F24))+(IF(ArtifactsInput!$M$15,CHOOSE(ArtifactsInput!$N$15+1,25,30,35,40,45,50)/100*(Inputs!$B$12-Inputs!$B$12),0))))/100+(Inputs!$B$24+((C2197=TRUE)*(F2197-Calc!F24))+(IF(ArtifactsInput!$M$15,CHOOSE(ArtifactsInput!$N$15+1,25,30,35,40,45,50)/100*(Inputs!$B$12-Inputs!$B$12),0)))/100)/2</f>
        <v/>
      </c>
      <c r="M2182">
        <f>L2182*(1+(Inputs!$B$11+0+B2207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182">
        <f>L2182*(1-MIN((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2182*(MIN((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82">
        <f>(1-Summary!$B$11)*T2182+Summary!$B$11*V2182</f>
        <v/>
      </c>
      <c r="P2182">
        <f>IF(B2212=0,0,O2182/B2212)</f>
        <v/>
      </c>
      <c r="Q2182">
        <f>IFERROR(1/IF(Inputs!$B$39="pvp",15,MAX(0.1,Skills!D9-IF(TRUE=TRUE,Inputs!$B$33,0))),0)</f>
        <v/>
      </c>
      <c r="R2182">
        <f>IF(AND(Inputs!$B$39&lt;&gt;"pvp",Inputs!$B$44&gt;0),IF(MAX(0,Inputs!$B$44-B2209)&lt;=0,0,(INT(MAX(0,Inputs!$B$44-B2209)/IF(Inputs!$B$39="pvp",15,MAX(0.1,Skills!D9-IF(TRUE=TRUE,Inputs!$B$33,0))))+1)),0)</f>
        <v/>
      </c>
      <c r="S2182">
        <f>IFERROR(O2182/N2182,0)</f>
        <v/>
      </c>
      <c r="T2182">
        <f>IF(C2182,(H2182*N2182*IF(AND(Inputs!$B$39&lt;&gt;"pvp",Inputs!$B$44&gt;0),((Skills!G9*((R2182-1)*IF(Skills!H9&gt;0,INT(Skills!I9/Skills!H9+0.000000001),1)+IF(Skills!H9&gt;0,INT(MIN(Skills!I9,MAX(0,MAX(0,Inputs!$B$44-B2209)-((R2182-1)*IF(Inputs!$B$39="pvp",15,MAX(0.1,Skills!D9-IF(TRUE=TRUE,Inputs!$B$33,0))))))/Skills!H9+0.000000001),1)))/Inputs!$B$44),G2182*Q2182))*IF(Inputs!$B$39="pvp",1,1+(Inputs!$B$21+0+Skills!P9+((C2190=TRUE)*F2190*IF(AND(Inputs!$B$39&lt;&gt;"pvp",Inputs!$B$44&gt;0),(((R2190-1)*MIN((Skills!T17*(1+Inputs!$B$35/100)),(1/Q2190))+MIN((Skills!T17*(1+Inputs!$B$35/100)),MAX(0,Inputs!$B$44-((R2190-1)*(1/Q2190)))))/Inputs!$B$44),IF(Inputs!$B$39="pvp",MIN((Skills!T17*(1+Inputs!$B$35/100)),15)/15,MIN(1,(Skills!T17*(1+Inputs!$B$35/100))/(1/Q2190)))))+((C2178=TRUE)*IF(Inputs!$B$3&gt;=126,10*MIN(1,15*Q2178),0))+((C2187=TRUE)*IF(Inputs!$B$39="pvp",20,(1-Summary!$B$11)*(20)+Summary!$B$11*(0))*IF(AND(Inputs!$B$39&lt;&gt;"pvp",Inputs!$B$44&gt;0),(((R2187-1)*MIN((Skills!T14*(1+Inputs!$B$35/100)),(1/Q2187))+MIN((Skills!T14*(1+Inputs!$B$35/100)),MAX(0,Inputs!$B$44-((R2187-1)*(1/Q2187)))))/Inputs!$B$44),IF(Inputs!$B$39="pvp",MIN((Skills!T14*(1+Inputs!$B$35/100)),15)/15,MIN(1,(Skills!T14*(1+Inputs!$B$35/100))/(1/Q2187)))))+((C2186=TRUE)*IF(Inputs!$B$3&gt;=82,IF(Inputs!$B$39="pvp",20,(1-Summary!$B$11)*(20)+Summary!$B$11*(0)),0)*IF(AND(Inputs!$B$39&lt;&gt;"pvp",Inputs!$B$44&gt;0),(((R2186-1)*MIN((Skills!T13*(1+Inputs!$B$35/100)),(1/Q2186))+MIN((Skills!T13*(1+Inputs!$B$35/100)),MAX(0,Inputs!$B$44-((R2186-1)*(1/Q2186)))))/Inputs!$B$44),IF(Inputs!$B$39="pvp",MIN((Skills!T13*(1+Inputs!$B$35/100)),15)/15,MIN(1,(Skills!T13*(1+Inputs!$B$35/100))/(1/Q2186)))))+(IF(AND(ArtifactsInput!$M$35,Inputs!$B$4&lt;&gt;"Chapter Hunt"),CHOOSE(ArtifactsInput!$N$35+1,15,18,21,24,27,30)*(1-EXP(-(0.2*B2204)*5)),0)+IF(AND(ArtifactsInput!$M$22,Inputs!$B$4&lt;&gt;"Chapter Hunt"),CHOOSE(ArtifactsInput!$N$22+1,10,12,14,16,18,20)*((0*(((0.15*B2204*5))^0/1)+1*(((0.15*B2204*5))^1/1)+2*(((0.15*B2204*5))^2/2)+3*(((0.15*B2204*5))^3/6)+4*(((0.15*B2204*5))^4/24)+5*(((0.15*B2204*5))^5/120))/((((0.15*B2204*5))^0/1)+(((0.15*B2204*5))^1/1)+(((0.15*B2204*5))^2/2)+(((0.15*B2204*5))^3/6)+(((0.15*B2204*5))^4/24)+(((0.15*B2204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2182*(1-MIN(100,(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2182*(MIN(100,(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2182*(1-MIN(100,(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2182*(MIN(100,(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82">
        <f>IF(C2182,(H2182*N2182*IF(AND(Inputs!$B$39&lt;&gt;"pvp",Inputs!$B$44&gt;0),((Skills!G9*((R2182-1)*IF(Skills!H9&gt;0,INT(Skills!I9/Skills!H9+0.000000001),1)+IF(Skills!H9&gt;0,INT(MIN(Skills!I9,MAX(0,MAX(0,Inputs!$B$44-B2209)-((R2182-1)*IF(Inputs!$B$39="pvp",15,MAX(0.1,Skills!D9-IF(TRUE=TRUE,Inputs!$B$33,0))))))/Skills!H9+0.000000001),1)))/Inputs!$B$44),G2182*Q2182))*IF(Inputs!$B$39="pvp",1,(1+(Inputs!$B$22+Skills!Q9+((C2190=TRUE)*F2190*IF(AND(Inputs!$B$39&lt;&gt;"pvp",Inputs!$B$44&gt;0),(((R2190-1)*MIN((Skills!T17*(1+Inputs!$B$35/100)),(1/Q2190))+MIN((Skills!T17*(1+Inputs!$B$35/100)),MAX(0,Inputs!$B$44-((R2190-1)*(1/Q2190)))))/Inputs!$B$44),IF(Inputs!$B$39="pvp",MIN((Skills!T17*(1+Inputs!$B$35/100)),15)/15,MIN(1,(Skills!T17*(1+Inputs!$B$35/100))/(1/Q2190)))))+((C2178=TRUE)*IF(Inputs!$B$3&gt;=126,10*MIN(1,15*Q2178),0))+((C2187=TRUE)*IF(Inputs!$B$39="pvp",20,(1-Summary!$B$11)*(20)+Summary!$B$11*(0))*IF(AND(Inputs!$B$39&lt;&gt;"pvp",Inputs!$B$44&gt;0),(((R2187-1)*MIN((Skills!T14*(1+Inputs!$B$35/100)),(1/Q2187))+MIN((Skills!T14*(1+Inputs!$B$35/100)),MAX(0,Inputs!$B$44-((R2187-1)*(1/Q2187)))))/Inputs!$B$44),IF(Inputs!$B$39="pvp",MIN((Skills!T14*(1+Inputs!$B$35/100)),15)/15,MIN(1,(Skills!T14*(1+Inputs!$B$35/100))/(1/Q2187)))))+((C2186=TRUE)*IF(Inputs!$B$3&gt;=82,IF(Inputs!$B$39="pvp",20,(1-Summary!$B$11)*(20)+Summary!$B$11*(0)),0)*IF(AND(Inputs!$B$39&lt;&gt;"pvp",Inputs!$B$44&gt;0),(((R2186-1)*MIN((Skills!T13*(1+Inputs!$B$35/100)),(1/Q2186))+MIN((Skills!T13*(1+Inputs!$B$35/100)),MAX(0,Inputs!$B$44-((R2186-1)*(1/Q2186)))))/Inputs!$B$44),IF(Inputs!$B$39="pvp",MIN((Skills!T13*(1+Inputs!$B$35/100)),15)/15,MIN(1,(Skills!T13*(1+Inputs!$B$35/100))/(1/Q2186)))))+(IF(AND(ArtifactsInput!$M$35,Inputs!$B$4&lt;&gt;"Chapter Hunt"),CHOOSE(ArtifactsInput!$N$35+1,15,18,21,24,27,30)*(1-EXP(-(0.2*B2204)*5)),0)+IF(AND(ArtifactsInput!$M$22,Inputs!$B$4&lt;&gt;"Chapter Hunt"),CHOOSE(ArtifactsInput!$N$22+1,10,12,14,16,18,20)*((0*(((0.15*B2204*5))^0/1)+1*(((0.15*B2204*5))^1/1)+2*(((0.15*B2204*5))^2/2)+3*(((0.15*B2204*5))^3/6)+4*(((0.15*B2204*5))^4/24)+5*(((0.15*B2204*5))^5/120))/((((0.15*B2204*5))^0/1)+(((0.15*B2204*5))^1/1)+(((0.15*B2204*5))^2/2)+(((0.15*B2204*5))^3/6)+(((0.15*B2204*5))^4/24)+(((0.15*B2204*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83">
      <c r="A2183">
        <f>Skills!A10</f>
        <v/>
      </c>
      <c r="B2183">
        <f>Skills!B10</f>
        <v/>
      </c>
      <c r="C2183">
        <f>Inputs!$B$3&gt;=110</f>
        <v/>
      </c>
      <c r="D2183">
        <f>IF(Skills!C10=1,60+Inputs!$B$26+Inputs!$B$30,IF(Skills!C10=2,90+Inputs!$B$27+Inputs!$B$30,IF(Skills!C10=3,120+Inputs!$B$28+Inputs!$B$30,MAX(0,(Inputs!$B$3-100)*3)+Inputs!$B$29+Inputs!$B$30)))</f>
        <v/>
      </c>
      <c r="E2183">
        <f>INDEX(FactorTable!$B$2:$Y$301, MATCH(ROUND(MIN(300,MAX(1,D2183)),0), FactorTable!$A$2:$A$301,0), Skills!M10+1)</f>
        <v/>
      </c>
      <c r="F2183">
        <f>IF(Skills!N10=TRUE,(Skills!L10/10)*(E2183/1000),Skills!L10/10)+Skills!O10</f>
        <v/>
      </c>
      <c r="G2183">
        <f>Skills!G10*IF(Skills!H10&gt;0,INT(IF(Inputs!$B$39="pvp",MIN(Skills!I10,15),Skills!I10)/Skills!H10+0.000000001),1)</f>
        <v/>
      </c>
      <c r="H2183">
        <f>1-(1-Skills!J10/100)^Skills!K10</f>
        <v/>
      </c>
      <c r="I2183" t="inlineStr">
        <is>
          <t>1</t>
        </is>
      </c>
      <c r="J2183">
        <f>((Inputs!$B$6*(1+Inputs!$B$7/100))+(((Inputs!$B$13*(1+Inputs!$B$14/100))-(Inputs!$B$13*(1+Inputs!$B$14/100)))+0.25*(Inputs!$B$15-Inputs!$B$15))*(1+Inputs!$B$7/100))*(F2183/100)</f>
        <v/>
      </c>
      <c r="K2183">
        <f>J2183*(1+(((Inputs!$B$13+IF(Inputs!$B$3&gt;=38,(10*INDEX(FactorTable!$B$2:$Y$301, MATCH(ROUND(MIN(300,MAX(1,Inputs!$B$3)),0), FactorTable!$A$2:$A$301,0), 23)/1000)/100*(Inputs!$B$8*(1+Inputs!$B$9/100)),0))*(1+Inputs!$B$14/100))*0.01+Inputs!$B$15*0.0025)/100)*(1+Inputs!$B$16/100)*(1+Inputs!$B$17/100)*(5000/(6000+Inputs!$B$43*(1-(Inputs!$B$20+0)/100)))*(1+(Inputs!$B$25+((C2198=TRUE)*(F2198-Calc!F25))+((C2199=TRUE)*(F2199-Calc!F26))+B2208)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IF(ArtifactsInput!$M$29,FALSE,TRUE)-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gt;=100),MIN(100,((Inputs!$B$10+0+B2202+(ArtifactsInput!$M$24-ArtifactsInput!$M$24)*CHOOSE(ArtifactsInput!$N$24+1,10,12,14,16,18,20)+IF(ArtifactsInput!$M$10,CHOOSE(ArtifactsInput!$N$10+1,15,18,21,24,27,30)*(IF(Inputs!$B$39="pvp",MIN(15,15)/15,IF(AND(Inputs!$B$39&lt;&gt;"pvp",Inputs!$B$44&gt;0),MIN(15,Inputs!$B$44)/(Inputs!$B$44),0))),0)))-100),0))*CHOOSE(ArtifactsInput!$N$42+1,0.6,0.72,0.84,0.96,1.08,1.2))),Inputs!$B$19+((C2196=TRUE)*(F2196-Calc!F23))+(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gt;=100),CHOOSE(ArtifactsInput!$N$42+1,40,48,56,64,72,80),0))))/100)*((1+(((C2186=TRUE)*F2186*IF(AND(Inputs!$B$39&lt;&gt;"pvp",Inputs!$B$44&gt;0),(((R2186-1)*MIN((Skills!T13*(1+Inputs!$B$35/100)),(1/Q2186))+MIN((Skills!T13*(1+Inputs!$B$35/100)),MAX(0,Inputs!$B$44-((R2186-1)*(1/Q2186)))))/Inputs!$B$44),IF(Inputs!$B$39="pvp",MIN((Skills!T13*(1+Inputs!$B$35/100)),15)/15,MIN(1,(Skills!T13*(1+Inputs!$B$35/100))/(1/Q2186)))))+((C2187=TRUE)*F2187*IF(AND(Inputs!$B$39&lt;&gt;"pvp",Inputs!$B$44&gt;0),(((R2187-1)*MIN((Skills!T14*(1+Inputs!$B$35/100)),(1/Q2187))+MIN((Skills!T14*(1+Inputs!$B$35/100)),MAX(0,Inputs!$B$44-((R2187-1)*(1/Q2187)))))/Inputs!$B$44),IF(Inputs!$B$39="pvp",MIN((Skills!T14*(1+Inputs!$B$35/100)),15)/15,MIN(1,(Skills!T14*(1+Inputs!$B$35/100))/(1/Q2187)))))+((C2188=TRUE)*F2188*IF(AND(Inputs!$B$39&lt;&gt;"pvp",Inputs!$B$44&gt;0),(((R2188-1)*MIN((Skills!T15*(1+Inputs!$B$35/100)),(1/Q2188))+MIN((Skills!T15*(1+Inputs!$B$35/100)),MAX(0,Inputs!$B$44-((R2188-1)*(1/Q2188)))))/Inputs!$B$44),IF(Inputs!$B$39="pvp",MIN((Skills!T15*(1+Inputs!$B$35/100)),15)/15,MIN(1,(Skills!T15*(1+Inputs!$B$35/100))/(1/Q2188)))))+((C2189=TRUE)*F2189*IF(AND(Inputs!$B$39&lt;&gt;"pvp",Inputs!$B$44&gt;0),(((R2189-1)*MIN((Skills!T16*(1+Inputs!$B$35/100)),(1/Q2189))+MIN((Skills!T16*(1+Inputs!$B$35/100)),MAX(0,Inputs!$B$44-((R2189-1)*(1/Q2189)))))/Inputs!$B$44),IF(Inputs!$B$39="pvp",MIN((Skills!T16*(1+Inputs!$B$35/100)),15)/15,MIN(1,(Skills!T16*(1+Inputs!$B$35/100))/(1/Q2189)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2183)</f>
        <v/>
      </c>
      <c r="L2183">
        <f>K2183*(MIN(Inputs!$B$23+((C2195=TRUE)*(F2195-Calc!F22)),(Inputs!$B$24+((C2197=TRUE)*(F2197-Calc!F24))+(IF(ArtifactsInput!$M$15,CHOOSE(ArtifactsInput!$N$15+1,25,30,35,40,45,50)/100*(Inputs!$B$12-Inputs!$B$12),0))))/100+(Inputs!$B$24+((C2197=TRUE)*(F2197-Calc!F24))+(IF(ArtifactsInput!$M$15,CHOOSE(ArtifactsInput!$N$15+1,25,30,35,40,45,50)/100*(Inputs!$B$12-Inputs!$B$12),0)))/100)/2</f>
        <v/>
      </c>
      <c r="M2183">
        <f>L2183*(1+(Inputs!$B$11+0+B2207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183">
        <f>L2183*(1-MIN((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2183*(MIN((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83">
        <f>(1-Summary!$B$11)*T2183+Summary!$B$11*V2183</f>
        <v/>
      </c>
      <c r="P2183">
        <f>IF(B2212=0,0,O2183/B2212)</f>
        <v/>
      </c>
      <c r="Q2183">
        <f>IFERROR(1/IF(Inputs!$B$39="pvp",15,MAX(0.1,Skills!D10-IF(TRUE=TRUE,Inputs!$B$33,0))),0)</f>
        <v/>
      </c>
      <c r="R2183">
        <f>IF(AND(Inputs!$B$39&lt;&gt;"pvp",Inputs!$B$44&gt;0),IF(MAX(0,Inputs!$B$44-B2209)&lt;=0,0,(INT(MAX(0,Inputs!$B$44-B2209)/IF(Inputs!$B$39="pvp",15,MAX(0.1,Skills!D10-IF(TRUE=TRUE,Inputs!$B$33,0))))+1)),0)</f>
        <v/>
      </c>
      <c r="S2183">
        <f>IFERROR(O2183/N2183,0)</f>
        <v/>
      </c>
      <c r="T2183">
        <f>IF(C2183,(H2183*N2183*IF(AND(Inputs!$B$39&lt;&gt;"pvp",Inputs!$B$44&gt;0),((Skills!G10*((R2183-1)*IF(Skills!H10&gt;0,INT(Skills!I10/Skills!H10+0.000000001),1)+IF(Skills!H10&gt;0,INT(MIN(Skills!I10,MAX(0,MAX(0,Inputs!$B$44-B2209)-((R2183-1)*IF(Inputs!$B$39="pvp",15,MAX(0.1,Skills!D10-IF(TRUE=TRUE,Inputs!$B$33,0))))))/Skills!H10+0.000000001),1)))/Inputs!$B$44),G2183*Q2183))*IF(Inputs!$B$39="pvp",1,1+(Inputs!$B$21+0+Skills!P10+((C2190=TRUE)*F2190*IF(AND(Inputs!$B$39&lt;&gt;"pvp",Inputs!$B$44&gt;0),(((R2190-1)*MIN((Skills!T17*(1+Inputs!$B$35/100)),(1/Q2190))+MIN((Skills!T17*(1+Inputs!$B$35/100)),MAX(0,Inputs!$B$44-((R2190-1)*(1/Q2190)))))/Inputs!$B$44),IF(Inputs!$B$39="pvp",MIN((Skills!T17*(1+Inputs!$B$35/100)),15)/15,MIN(1,(Skills!T17*(1+Inputs!$B$35/100))/(1/Q2190)))))+((C2178=TRUE)*IF(Inputs!$B$3&gt;=126,10*MIN(1,15*Q2178),0))+((C2187=TRUE)*IF(Inputs!$B$39="pvp",20,(1-Summary!$B$11)*(20)+Summary!$B$11*(0))*IF(AND(Inputs!$B$39&lt;&gt;"pvp",Inputs!$B$44&gt;0),(((R2187-1)*MIN((Skills!T14*(1+Inputs!$B$35/100)),(1/Q2187))+MIN((Skills!T14*(1+Inputs!$B$35/100)),MAX(0,Inputs!$B$44-((R2187-1)*(1/Q2187)))))/Inputs!$B$44),IF(Inputs!$B$39="pvp",MIN((Skills!T14*(1+Inputs!$B$35/100)),15)/15,MIN(1,(Skills!T14*(1+Inputs!$B$35/100))/(1/Q2187)))))+((C2186=TRUE)*IF(Inputs!$B$3&gt;=82,IF(Inputs!$B$39="pvp",20,(1-Summary!$B$11)*(20)+Summary!$B$11*(0)),0)*IF(AND(Inputs!$B$39&lt;&gt;"pvp",Inputs!$B$44&gt;0),(((R2186-1)*MIN((Skills!T13*(1+Inputs!$B$35/100)),(1/Q2186))+MIN((Skills!T13*(1+Inputs!$B$35/100)),MAX(0,Inputs!$B$44-((R2186-1)*(1/Q2186)))))/Inputs!$B$44),IF(Inputs!$B$39="pvp",MIN((Skills!T13*(1+Inputs!$B$35/100)),15)/15,MIN(1,(Skills!T13*(1+Inputs!$B$35/100))/(1/Q2186)))))+(IF(AND(ArtifactsInput!$M$35,Inputs!$B$4&lt;&gt;"Chapter Hunt"),CHOOSE(ArtifactsInput!$N$35+1,15,18,21,24,27,30)*(1-EXP(-(0.2*B2204)*5)),0)+IF(AND(ArtifactsInput!$M$22,Inputs!$B$4&lt;&gt;"Chapter Hunt"),CHOOSE(ArtifactsInput!$N$22+1,10,12,14,16,18,20)*((0*(((0.15*B2204*5))^0/1)+1*(((0.15*B2204*5))^1/1)+2*(((0.15*B2204*5))^2/2)+3*(((0.15*B2204*5))^3/6)+4*(((0.15*B2204*5))^4/24)+5*(((0.15*B2204*5))^5/120))/((((0.15*B2204*5))^0/1)+(((0.15*B2204*5))^1/1)+(((0.15*B2204*5))^2/2)+(((0.15*B2204*5))^3/6)+(((0.15*B2204*5))^4/24)+(((0.15*B2204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2183*(1-MIN(100,(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2183*(MIN(100,(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2183*(1-MIN(100,(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2183*(MIN(100,(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83">
        <f>IF(C2183,(H2183*N2183*IF(AND(Inputs!$B$39&lt;&gt;"pvp",Inputs!$B$44&gt;0),((Skills!G10*((R2183-1)*IF(Skills!H10&gt;0,INT(Skills!I10/Skills!H10+0.000000001),1)+IF(Skills!H10&gt;0,INT(MIN(Skills!I10,MAX(0,MAX(0,Inputs!$B$44-B2209)-((R2183-1)*IF(Inputs!$B$39="pvp",15,MAX(0.1,Skills!D10-IF(TRUE=TRUE,Inputs!$B$33,0))))))/Skills!H10+0.000000001),1)))/Inputs!$B$44),G2183*Q2183))*IF(Inputs!$B$39="pvp",1,(1+(Inputs!$B$22+Skills!Q10+((C2190=TRUE)*F2190*IF(AND(Inputs!$B$39&lt;&gt;"pvp",Inputs!$B$44&gt;0),(((R2190-1)*MIN((Skills!T17*(1+Inputs!$B$35/100)),(1/Q2190))+MIN((Skills!T17*(1+Inputs!$B$35/100)),MAX(0,Inputs!$B$44-((R2190-1)*(1/Q2190)))))/Inputs!$B$44),IF(Inputs!$B$39="pvp",MIN((Skills!T17*(1+Inputs!$B$35/100)),15)/15,MIN(1,(Skills!T17*(1+Inputs!$B$35/100))/(1/Q2190)))))+((C2178=TRUE)*IF(Inputs!$B$3&gt;=126,10*MIN(1,15*Q2178),0))+((C2187=TRUE)*IF(Inputs!$B$39="pvp",20,(1-Summary!$B$11)*(20)+Summary!$B$11*(0))*IF(AND(Inputs!$B$39&lt;&gt;"pvp",Inputs!$B$44&gt;0),(((R2187-1)*MIN((Skills!T14*(1+Inputs!$B$35/100)),(1/Q2187))+MIN((Skills!T14*(1+Inputs!$B$35/100)),MAX(0,Inputs!$B$44-((R2187-1)*(1/Q2187)))))/Inputs!$B$44),IF(Inputs!$B$39="pvp",MIN((Skills!T14*(1+Inputs!$B$35/100)),15)/15,MIN(1,(Skills!T14*(1+Inputs!$B$35/100))/(1/Q2187)))))+((C2186=TRUE)*IF(Inputs!$B$3&gt;=82,IF(Inputs!$B$39="pvp",20,(1-Summary!$B$11)*(20)+Summary!$B$11*(0)),0)*IF(AND(Inputs!$B$39&lt;&gt;"pvp",Inputs!$B$44&gt;0),(((R2186-1)*MIN((Skills!T13*(1+Inputs!$B$35/100)),(1/Q2186))+MIN((Skills!T13*(1+Inputs!$B$35/100)),MAX(0,Inputs!$B$44-((R2186-1)*(1/Q2186)))))/Inputs!$B$44),IF(Inputs!$B$39="pvp",MIN((Skills!T13*(1+Inputs!$B$35/100)),15)/15,MIN(1,(Skills!T13*(1+Inputs!$B$35/100))/(1/Q2186)))))+(IF(AND(ArtifactsInput!$M$35,Inputs!$B$4&lt;&gt;"Chapter Hunt"),CHOOSE(ArtifactsInput!$N$35+1,15,18,21,24,27,30)*(1-EXP(-(0.2*B2204)*5)),0)+IF(AND(ArtifactsInput!$M$22,Inputs!$B$4&lt;&gt;"Chapter Hunt"),CHOOSE(ArtifactsInput!$N$22+1,10,12,14,16,18,20)*((0*(((0.15*B2204*5))^0/1)+1*(((0.15*B2204*5))^1/1)+2*(((0.15*B2204*5))^2/2)+3*(((0.15*B2204*5))^3/6)+4*(((0.15*B2204*5))^4/24)+5*(((0.15*B2204*5))^5/120))/((((0.15*B2204*5))^0/1)+(((0.15*B2204*5))^1/1)+(((0.15*B2204*5))^2/2)+(((0.15*B2204*5))^3/6)+(((0.15*B2204*5))^4/24)+(((0.15*B2204*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84">
      <c r="A2184">
        <f>Skills!A11</f>
        <v/>
      </c>
      <c r="B2184">
        <f>Skills!B11</f>
        <v/>
      </c>
      <c r="C2184">
        <f>Inputs!$B$3&gt;=100</f>
        <v/>
      </c>
      <c r="D2184">
        <f>IF(Skills!C11=1,60+Inputs!$B$26+Inputs!$B$30,IF(Skills!C11=2,90+Inputs!$B$27+Inputs!$B$30,IF(Skills!C11=3,120+Inputs!$B$28+Inputs!$B$30,MAX(0,(Inputs!$B$3-100)*3)+Inputs!$B$29+Inputs!$B$30)))</f>
        <v/>
      </c>
      <c r="E2184">
        <f>INDEX(FactorTable!$B$2:$Y$301, MATCH(ROUND(MIN(300,MAX(1,D2184)),0), FactorTable!$A$2:$A$301,0), Skills!M11+1)</f>
        <v/>
      </c>
      <c r="F2184">
        <f>IF(Skills!N11=TRUE,(Skills!L11/10)*(E2184/1000),Skills!L11/10)+Skills!O11</f>
        <v/>
      </c>
      <c r="G2184" t="inlineStr"/>
      <c r="H2184" t="inlineStr"/>
      <c r="I2184" t="inlineStr">
        <is>
          <t>1</t>
        </is>
      </c>
      <c r="J2184" t="inlineStr"/>
      <c r="K2184" t="inlineStr"/>
      <c r="L2184" t="inlineStr"/>
      <c r="M2184" t="inlineStr"/>
      <c r="N2184" t="inlineStr"/>
      <c r="O2184" t="inlineStr"/>
      <c r="P2184" t="inlineStr"/>
      <c r="Q2184" t="inlineStr"/>
      <c r="R2184" t="inlineStr"/>
      <c r="S2184" t="inlineStr"/>
    </row>
    <row r="2185">
      <c r="A2185">
        <f>Skills!A12</f>
        <v/>
      </c>
      <c r="B2185">
        <f>Skills!B12</f>
        <v/>
      </c>
      <c r="C2185">
        <f>Inputs!$B$3&gt;=63</f>
        <v/>
      </c>
      <c r="D2185">
        <f>IF(Skills!C12=1,60+Inputs!$B$26+Inputs!$B$30,IF(Skills!C12=2,90+Inputs!$B$27+Inputs!$B$30,IF(Skills!C12=3,120+Inputs!$B$28+Inputs!$B$30,MAX(0,(Inputs!$B$3-100)*3)+Inputs!$B$29+Inputs!$B$30)))</f>
        <v/>
      </c>
      <c r="E2185">
        <f>INDEX(FactorTable!$B$2:$Y$301, MATCH(ROUND(MIN(300,MAX(1,D2185)),0), FactorTable!$A$2:$A$301,0), Skills!M12+1)</f>
        <v/>
      </c>
      <c r="F2185">
        <f>IF(Skills!N12=TRUE,(Skills!L12/10)*(E2185/1000),Skills!L12/10)+Skills!O12</f>
        <v/>
      </c>
      <c r="G2185">
        <f>Skills!G12*IF(Skills!H12&gt;0,INT(IF(Inputs!$B$39="pvp",MIN(Skills!I12,15),Skills!I12)/Skills!H12+0.000000001),1)</f>
        <v/>
      </c>
      <c r="H2185">
        <f>1-(1-Skills!J12/100)^Skills!K12</f>
        <v/>
      </c>
      <c r="I2185" t="inlineStr">
        <is>
          <t>1</t>
        </is>
      </c>
      <c r="J2185">
        <f>((Inputs!$B$6*(1+Inputs!$B$7/100))+(((Inputs!$B$13*(1+Inputs!$B$14/100))-(Inputs!$B$13*(1+Inputs!$B$14/100)))+0.25*(Inputs!$B$15-Inputs!$B$15))*(1+Inputs!$B$7/100))*(F2185/100)</f>
        <v/>
      </c>
      <c r="K2185">
        <f>J2185*(1+(((Inputs!$B$13+IF(Inputs!$B$3&gt;=38,(10*INDEX(FactorTable!$B$2:$Y$301, MATCH(ROUND(MIN(300,MAX(1,Inputs!$B$3)),0), FactorTable!$A$2:$A$301,0), 23)/1000)/100*(Inputs!$B$8*(1+Inputs!$B$9/100)),0))*(1+Inputs!$B$14/100))*0.01+Inputs!$B$15*0.0025)/100)*(1+Inputs!$B$16/100)*(1+Inputs!$B$17/100)*(5000/(6000+Inputs!$B$43*(1-(Inputs!$B$20+0)/100)))*(1+(Inputs!$B$25+((C2198=TRUE)*(F2198-Calc!F25))+((C2199=TRUE)*(F2199-Calc!F26))+B2208)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IF(ArtifactsInput!$M$29,FALSE,TRUE)-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2184=TRUE,F2184,0)/100)*(1+(IF(Skills!A12="DARK_IMPALE",Inputs!$B$18+0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gt;=100),MIN(100,((Inputs!$B$10+0+B2202+(ArtifactsInput!$M$24-ArtifactsInput!$M$24)*CHOOSE(ArtifactsInput!$N$24+1,10,12,14,16,18,20)+IF(ArtifactsInput!$M$10,CHOOSE(ArtifactsInput!$N$10+1,15,18,21,24,27,30)*(IF(Inputs!$B$39="pvp",MIN(15,15)/15,IF(AND(Inputs!$B$39&lt;&gt;"pvp",Inputs!$B$44&gt;0),MIN(15,Inputs!$B$44)/(Inputs!$B$44),0))),0)))-100),0))*CHOOSE(ArtifactsInput!$N$42+1,0.6,0.72,0.84,0.96,1.08,1.2))),Inputs!$B$19+((C2196=TRUE)*(F2196-Calc!F23))+(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gt;=100),CHOOSE(ArtifactsInput!$N$42+1,40,48,56,64,72,80),0))))/100)*((1+(((C2186=TRUE)*F2186*IF(AND(Inputs!$B$39&lt;&gt;"pvp",Inputs!$B$44&gt;0),(((R2186-1)*MIN((Skills!T13*(1+Inputs!$B$35/100)),(1/Q2186))+MIN((Skills!T13*(1+Inputs!$B$35/100)),MAX(0,Inputs!$B$44-((R2186-1)*(1/Q2186)))))/Inputs!$B$44),IF(Inputs!$B$39="pvp",MIN((Skills!T13*(1+Inputs!$B$35/100)),15)/15,MIN(1,(Skills!T13*(1+Inputs!$B$35/100))/(1/Q2186)))))+((C2187=TRUE)*F2187*IF(AND(Inputs!$B$39&lt;&gt;"pvp",Inputs!$B$44&gt;0),(((R2187-1)*MIN((Skills!T14*(1+Inputs!$B$35/100)),(1/Q2187))+MIN((Skills!T14*(1+Inputs!$B$35/100)),MAX(0,Inputs!$B$44-((R2187-1)*(1/Q2187)))))/Inputs!$B$44),IF(Inputs!$B$39="pvp",MIN((Skills!T14*(1+Inputs!$B$35/100)),15)/15,MIN(1,(Skills!T14*(1+Inputs!$B$35/100))/(1/Q2187)))))+((C2188=TRUE)*F2188*IF(AND(Inputs!$B$39&lt;&gt;"pvp",Inputs!$B$44&gt;0),(((R2188-1)*MIN((Skills!T15*(1+Inputs!$B$35/100)),(1/Q2188))+MIN((Skills!T15*(1+Inputs!$B$35/100)),MAX(0,Inputs!$B$44-((R2188-1)*(1/Q2188)))))/Inputs!$B$44),IF(Inputs!$B$39="pvp",MIN((Skills!T15*(1+Inputs!$B$35/100)),15)/15,MIN(1,(Skills!T15*(1+Inputs!$B$35/100))/(1/Q2188)))))+((C2189=TRUE)*F2189*IF(AND(Inputs!$B$39&lt;&gt;"pvp",Inputs!$B$44&gt;0),(((R2189-1)*MIN((Skills!T16*(1+Inputs!$B$35/100)),(1/Q2189))+MIN((Skills!T16*(1+Inputs!$B$35/100)),MAX(0,Inputs!$B$44-((R2189-1)*(1/Q2189)))))/Inputs!$B$44),IF(Inputs!$B$39="pvp",MIN((Skills!T16*(1+Inputs!$B$35/100)),15)/15,MIN(1,(Skills!T16*(1+Inputs!$B$35/100))/(1/Q2189)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2185)</f>
        <v/>
      </c>
      <c r="L2185">
        <f>K2185*(MIN(Inputs!$B$23+((C2195=TRUE)*(F2195-Calc!F22)),(Inputs!$B$24+((C2197=TRUE)*(F2197-Calc!F24))+(IF(ArtifactsInput!$M$15,CHOOSE(ArtifactsInput!$N$15+1,25,30,35,40,45,50)/100*(Inputs!$B$12-Inputs!$B$12),0))))/100+(Inputs!$B$24+((C2197=TRUE)*(F2197-Calc!F24))+(IF(ArtifactsInput!$M$15,CHOOSE(ArtifactsInput!$N$15+1,25,30,35,40,45,50)/100*(Inputs!$B$12-Inputs!$B$12),0)))/100)/2</f>
        <v/>
      </c>
      <c r="M2185">
        <f>L2185*(1+(Inputs!$B$11+0+B2207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185">
        <f>L2185*(1-MIN((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2185*(MIN((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85">
        <f>(1-Summary!$B$11)*T2185+Summary!$B$11*V2185</f>
        <v/>
      </c>
      <c r="P2185">
        <f>IF(B2212=0,0,O2185/B2212)</f>
        <v/>
      </c>
      <c r="Q2185">
        <f>IFERROR(1/IF(Inputs!$B$39="pvp",15,MAX(0.1,Skills!D12-IF(TRUE=TRUE,Inputs!$B$33,0))),0)</f>
        <v/>
      </c>
      <c r="R2185">
        <f>IF(AND(Inputs!$B$39&lt;&gt;"pvp",Inputs!$B$44&gt;0),IF(MAX(0,Inputs!$B$44-B2209)&lt;=0,0,(INT(MAX(0,Inputs!$B$44-B2209)/IF(Inputs!$B$39="pvp",15,MAX(0.1,Skills!D12-IF(TRUE=TRUE,Inputs!$B$33,0))))+1)),0)</f>
        <v/>
      </c>
      <c r="S2185">
        <f>IFERROR(O2185/N2185,0)</f>
        <v/>
      </c>
      <c r="T2185">
        <f>IF(C2185,(H2185*N2185*IF(AND(Inputs!$B$39&lt;&gt;"pvp",Inputs!$B$44&gt;0),((Skills!G12*((R2185-1)*IF(Skills!H12&gt;0,INT(Skills!I12/Skills!H12+0.000000001),1)+IF(Skills!H12&gt;0,INT(MIN(Skills!I12,MAX(0,MAX(0,Inputs!$B$44-B2209)-((R2185-1)*IF(Inputs!$B$39="pvp",15,MAX(0.1,Skills!D12-IF(TRUE=TRUE,Inputs!$B$33,0))))))/Skills!H12+0.000000001),1)))/Inputs!$B$44),G2185*Q2185))*IF(Inputs!$B$39="pvp",1,1+(Inputs!$B$21+0+Skills!P12+((C2190=TRUE)*F2190*IF(AND(Inputs!$B$39&lt;&gt;"pvp",Inputs!$B$44&gt;0),(((R2190-1)*MIN((Skills!T17*(1+Inputs!$B$35/100)),(1/Q2190))+MIN((Skills!T17*(1+Inputs!$B$35/100)),MAX(0,Inputs!$B$44-((R2190-1)*(1/Q2190)))))/Inputs!$B$44),IF(Inputs!$B$39="pvp",MIN((Skills!T17*(1+Inputs!$B$35/100)),15)/15,MIN(1,(Skills!T17*(1+Inputs!$B$35/100))/(1/Q2190)))))+((C2178=TRUE)*IF(Inputs!$B$3&gt;=126,10*MIN(1,15*Q2178),0))+((C2187=TRUE)*IF(Inputs!$B$39="pvp",20,(1-Summary!$B$11)*(20)+Summary!$B$11*(0))*IF(AND(Inputs!$B$39&lt;&gt;"pvp",Inputs!$B$44&gt;0),(((R2187-1)*MIN((Skills!T14*(1+Inputs!$B$35/100)),(1/Q2187))+MIN((Skills!T14*(1+Inputs!$B$35/100)),MAX(0,Inputs!$B$44-((R2187-1)*(1/Q2187)))))/Inputs!$B$44),IF(Inputs!$B$39="pvp",MIN((Skills!T14*(1+Inputs!$B$35/100)),15)/15,MIN(1,(Skills!T14*(1+Inputs!$B$35/100))/(1/Q2187)))))+((C2186=TRUE)*IF(Inputs!$B$3&gt;=82,IF(Inputs!$B$39="pvp",20,(1-Summary!$B$11)*(20)+Summary!$B$11*(0)),0)*IF(AND(Inputs!$B$39&lt;&gt;"pvp",Inputs!$B$44&gt;0),(((R2186-1)*MIN((Skills!T13*(1+Inputs!$B$35/100)),(1/Q2186))+MIN((Skills!T13*(1+Inputs!$B$35/100)),MAX(0,Inputs!$B$44-((R2186-1)*(1/Q2186)))))/Inputs!$B$44),IF(Inputs!$B$39="pvp",MIN((Skills!T13*(1+Inputs!$B$35/100)),15)/15,MIN(1,(Skills!T13*(1+Inputs!$B$35/100))/(1/Q2186)))))+(IF(AND(ArtifactsInput!$M$35,Inputs!$B$4&lt;&gt;"Chapter Hunt"),CHOOSE(ArtifactsInput!$N$35+1,15,18,21,24,27,30)*(1-EXP(-(0.2*B2204)*5)),0)+IF(AND(ArtifactsInput!$M$22,Inputs!$B$4&lt;&gt;"Chapter Hunt"),CHOOSE(ArtifactsInput!$N$22+1,10,12,14,16,18,20)*((0*(((0.15*B2204*5))^0/1)+1*(((0.15*B2204*5))^1/1)+2*(((0.15*B2204*5))^2/2)+3*(((0.15*B2204*5))^3/6)+4*(((0.15*B2204*5))^4/24)+5*(((0.15*B2204*5))^5/120))/((((0.15*B2204*5))^0/1)+(((0.15*B2204*5))^1/1)+(((0.15*B2204*5))^2/2)+(((0.15*B2204*5))^3/6)+(((0.15*B2204*5))^4/24)+(((0.15*B2204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2185*(1-MIN(100,(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2185*(MIN(100,(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2185*(1-MIN(100,(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2185*(MIN(100,(Inputs!$B$10+0+B2202+(ArtifactsInput!$M$24-ArtifactsInput!$M$24)*CHOOSE(ArtifactsInput!$N$24+1,10,12,14,16,18,20)+(IF(AND(Inputs!$B$39&lt;&gt;"pvp",Inputs!$B$44=0),1,IF(IF(Inputs!$B$39="pvp",15,Inputs!$B$44)-(B2209)&lt;=0,1,MAX(0,IF(Inputs!$B$39="pvp",15,Inputs!$B$44)-MAX(5,B2209))/(IF(Inputs!$B$39="pvp",15,Inputs!$B$44)-(B2209))))*IF(AND(ArtifactsInput!$M$42,((Inputs!$B$10+0+B2202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185">
        <f>IF(C2185,(H2185*N2185*IF(AND(Inputs!$B$39&lt;&gt;"pvp",Inputs!$B$44&gt;0),((Skills!G12*((R2185-1)*IF(Skills!H12&gt;0,INT(Skills!I12/Skills!H12+0.000000001),1)+IF(Skills!H12&gt;0,INT(MIN(Skills!I12,MAX(0,MAX(0,Inputs!$B$44-B2209)-((R2185-1)*IF(Inputs!$B$39="pvp",15,MAX(0.1,Skills!D12-IF(TRUE=TRUE,Inputs!$B$33,0))))))/Skills!H12+0.000000001),1)))/Inputs!$B$44),G2185*Q2185))*IF(Inputs!$B$39="pvp",1,(1+(Inputs!$B$22+Skills!Q12+((C2190=TRUE)*F2190*IF(AND(Inputs!$B$39&lt;&gt;"pvp",Inputs!$B$44&gt;0),(((R2190-1)*MIN((Skills!T17*(1+Inputs!$B$35/100)),(1/Q2190))+MIN((Skills!T17*(1+Inputs!$B$35/100)),MAX(0,Inputs!$B$44-((R2190-1)*(1/Q2190)))))/Inputs!$B$44),IF(Inputs!$B$39="pvp",MIN((Skills!T17*(1+Inputs!$B$35/100)),15)/15,MIN(1,(Skills!T17*(1+Inputs!$B$35/100))/(1/Q2190)))))+((C2178=TRUE)*IF(Inputs!$B$3&gt;=126,10*MIN(1,15*Q2178),0))+((C2187=TRUE)*IF(Inputs!$B$39="pvp",20,(1-Summary!$B$11)*(20)+Summary!$B$11*(0))*IF(AND(Inputs!$B$39&lt;&gt;"pvp",Inputs!$B$44&gt;0),(((R2187-1)*MIN((Skills!T14*(1+Inputs!$B$35/100)),(1/Q2187))+MIN((Skills!T14*(1+Inputs!$B$35/100)),MAX(0,Inputs!$B$44-((R2187-1)*(1/Q2187)))))/Inputs!$B$44),IF(Inputs!$B$39="pvp",MIN((Skills!T14*(1+Inputs!$B$35/100)),15)/15,MIN(1,(Skills!T14*(1+Inputs!$B$35/100))/(1/Q2187)))))+((C2186=TRUE)*IF(Inputs!$B$3&gt;=82,IF(Inputs!$B$39="pvp",20,(1-Summary!$B$11)*(20)+Summary!$B$11*(0)),0)*IF(AND(Inputs!$B$39&lt;&gt;"pvp",Inputs!$B$44&gt;0),(((R2186-1)*MIN((Skills!T13*(1+Inputs!$B$35/100)),(1/Q2186))+MIN((Skills!T13*(1+Inputs!$B$35/100)),MAX(0,Inputs!$B$44-((R2186-1)*(1/Q2186)))))/Inputs!$B$44),IF(Inputs!$B$39="pvp",MIN((Skills!T13*(1+Inputs!$B$35/100)),15)/15,MIN(1,(Skills!T13*(1+Inputs!$B$35/100))/(1/Q2186)))))+(IF(AND(ArtifactsInput!$M$35,Inputs!$B$4&lt;&gt;"Chapter Hunt"),CHOOSE(ArtifactsInput!$N$35+1,15,18,21,24,27,30)*(1-EXP(-(0.2*B2204)*5)),0)+IF(AND(ArtifactsInput!$M$22,Inputs!$B$4&lt;&gt;"Chapter Hunt"),CHOOSE(ArtifactsInput!$N$22+1,10,12,14,16,18,20)*((0*(((0.15*B2204*5))^0/1)+1*(((0.15*B2204*5))^1/1)+2*(((0.15*B2204*5))^2/2)+3*(((0.15*B2204*5))^3/6)+4*(((0.15*B2204*5))^4/24)+5*(((0.15*B2204*5))^5/120))/((((0.15*B2204*5))^0/1)+(((0.15*B2204*5))^1/1)+(((0.15*B2204*5))^2/2)+(((0.15*B2204*5))^3/6)+(((0.15*B2204*5))^4/24)+(((0.15*B2204*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86">
      <c r="A2186">
        <f>Skills!A13</f>
        <v/>
      </c>
      <c r="B2186">
        <f>Skills!B13</f>
        <v/>
      </c>
      <c r="C2186">
        <f>Inputs!$B$3&gt;=69</f>
        <v/>
      </c>
      <c r="D2186">
        <f>IF(Skills!C13=1,60+Inputs!$B$26+Inputs!$B$30,IF(Skills!C13=2,90+Inputs!$B$27+Inputs!$B$30,IF(Skills!C13=3,120+Inputs!$B$28+Inputs!$B$30,MAX(0,(Inputs!$B$3-100)*3)+Inputs!$B$29+Inputs!$B$30)))</f>
        <v/>
      </c>
      <c r="E2186">
        <f>INDEX(FactorTable!$B$2:$Y$301, MATCH(ROUND(MIN(300,MAX(1,D2186)),0), FactorTable!$A$2:$A$301,0), Skills!M13+1)</f>
        <v/>
      </c>
      <c r="F2186">
        <f>IF(Skills!N13=TRUE,(Skills!L13/10)*(E2186/1000),Skills!L13/10)+Skills!O13</f>
        <v/>
      </c>
      <c r="G2186">
        <f>Skills!G13*IF(Skills!H13&gt;0,INT(IF(Inputs!$B$39="pvp",MIN(Skills!I13,15),Skills!I13)/Skills!H13+0.000000001),1)</f>
        <v/>
      </c>
      <c r="H2186">
        <f>1-(1-Skills!J13/100)^Skills!K13</f>
        <v/>
      </c>
      <c r="I2186" t="inlineStr">
        <is>
          <t>1</t>
        </is>
      </c>
      <c r="J2186" t="inlineStr"/>
      <c r="K2186" t="inlineStr"/>
      <c r="L2186" t="inlineStr"/>
      <c r="M2186" t="inlineStr"/>
      <c r="N2186" t="inlineStr"/>
      <c r="O2186">
        <f>(1-Summary!$B$11)*T2186+Summary!$B$11*V2186</f>
        <v/>
      </c>
      <c r="P2186">
        <f>IF(B2212=0,0,O2186/B2212)</f>
        <v/>
      </c>
      <c r="Q2186">
        <f>IFERROR(1/IF(Inputs!$B$39="pvp",15,MAX(0.1,Skills!D13-IF(TRUE=TRUE,Inputs!$B$33,0))),0)</f>
        <v/>
      </c>
      <c r="R2186">
        <f>IF(AND(Inputs!$B$39&lt;&gt;"pvp",Inputs!$B$44&gt;0),IF(Inputs!$B$44&lt;=0,0,(INT(Inputs!$B$44/IF(Inputs!$B$39="pvp",15,MAX(0.1,Skills!D13-IF(TRUE=TRUE,Inputs!$B$33,0))))+1)),0)</f>
        <v/>
      </c>
      <c r="S2186">
        <f>IFERROR(O2186/N2186,0)</f>
        <v/>
      </c>
      <c r="T2186" t="n">
        <v>0</v>
      </c>
      <c r="V2186" t="n">
        <v>0</v>
      </c>
    </row>
    <row r="2187">
      <c r="A2187">
        <f>Skills!A14</f>
        <v/>
      </c>
      <c r="B2187">
        <f>Skills!B14</f>
        <v/>
      </c>
      <c r="C2187">
        <f>Inputs!$B$3&gt;=115</f>
        <v/>
      </c>
      <c r="D2187">
        <f>IF(Skills!C14=1,60+Inputs!$B$26+Inputs!$B$30,IF(Skills!C14=2,90+Inputs!$B$27+Inputs!$B$30,IF(Skills!C14=3,120+Inputs!$B$28+Inputs!$B$30,MAX(0,(Inputs!$B$3-100)*3)+Inputs!$B$29+Inputs!$B$30)))</f>
        <v/>
      </c>
      <c r="E2187">
        <f>INDEX(FactorTable!$B$2:$Y$301, MATCH(ROUND(MIN(300,MAX(1,D2187)),0), FactorTable!$A$2:$A$301,0), Skills!M14+1)</f>
        <v/>
      </c>
      <c r="F2187">
        <f>IF(Skills!N14=TRUE,(Skills!L14/10)*(E2187/1000),Skills!L14/10)+Skills!O14</f>
        <v/>
      </c>
      <c r="G2187">
        <f>Skills!G14*IF(Skills!H14&gt;0,INT(IF(Inputs!$B$39="pvp",MIN(Skills!I14,15),Skills!I14)/Skills!H14+0.000000001),1)</f>
        <v/>
      </c>
      <c r="H2187">
        <f>1-(1-Skills!J14/100)^Skills!K14</f>
        <v/>
      </c>
      <c r="I2187" t="inlineStr">
        <is>
          <t>1</t>
        </is>
      </c>
      <c r="J2187" t="inlineStr"/>
      <c r="K2187" t="inlineStr"/>
      <c r="L2187" t="inlineStr"/>
      <c r="M2187" t="inlineStr"/>
      <c r="N2187" t="inlineStr"/>
      <c r="O2187">
        <f>(1-Summary!$B$11)*T2187+Summary!$B$11*V2187</f>
        <v/>
      </c>
      <c r="P2187">
        <f>IF(B2212=0,0,O2187/B2212)</f>
        <v/>
      </c>
      <c r="Q2187">
        <f>IFERROR(1/IF(Inputs!$B$39="pvp",15,MAX(0.1,Skills!D14-IF(TRUE=TRUE,Inputs!$B$33,0))),0)</f>
        <v/>
      </c>
      <c r="R2187">
        <f>IF(AND(Inputs!$B$39&lt;&gt;"pvp",Inputs!$B$44&gt;0),IF(Inputs!$B$44&lt;=0,0,(INT(Inputs!$B$44/IF(Inputs!$B$39="pvp",15,MAX(0.1,Skills!D14-IF(TRUE=TRUE,Inputs!$B$33,0))))+1)),0)</f>
        <v/>
      </c>
      <c r="S2187">
        <f>IFERROR(O2187/N2187,0)</f>
        <v/>
      </c>
      <c r="T2187" t="n">
        <v>0</v>
      </c>
      <c r="V2187" t="n">
        <v>0</v>
      </c>
    </row>
    <row r="2188">
      <c r="A2188">
        <f>Skills!A15</f>
        <v/>
      </c>
      <c r="B2188">
        <f>Skills!B15</f>
        <v/>
      </c>
      <c r="C2188">
        <f>Inputs!$B$3&gt;=66</f>
        <v/>
      </c>
      <c r="D2188">
        <f>IF(Skills!C15=1,60+Inputs!$B$26+Inputs!$B$30,IF(Skills!C15=2,90+Inputs!$B$27+Inputs!$B$30,IF(Skills!C15=3,120+Inputs!$B$28+Inputs!$B$30,MAX(0,(Inputs!$B$3-100)*3)+Inputs!$B$29+Inputs!$B$30)))</f>
        <v/>
      </c>
      <c r="E2188">
        <f>INDEX(FactorTable!$B$2:$Y$301, MATCH(ROUND(MIN(300,MAX(1,D2188)),0), FactorTable!$A$2:$A$301,0), Skills!M15+1)</f>
        <v/>
      </c>
      <c r="F2188">
        <f>IF(Skills!N15=TRUE,(Skills!L15/10)*(E2188/1000),Skills!L15/10)+Skills!O15</f>
        <v/>
      </c>
      <c r="G2188">
        <f>Skills!G15*IF(Skills!H15&gt;0,INT(IF(Inputs!$B$39="pvp",MIN(Skills!I15,15),Skills!I15)/Skills!H15+0.000000001),1)</f>
        <v/>
      </c>
      <c r="H2188">
        <f>1-(1-Skills!J15/100)^Skills!K15</f>
        <v/>
      </c>
      <c r="I2188" t="inlineStr">
        <is>
          <t>1</t>
        </is>
      </c>
      <c r="J2188" t="inlineStr"/>
      <c r="K2188" t="inlineStr"/>
      <c r="L2188" t="inlineStr"/>
      <c r="M2188" t="inlineStr"/>
      <c r="N2188" t="inlineStr"/>
      <c r="O2188">
        <f>(1-Summary!$B$11)*T2188+Summary!$B$11*V2188</f>
        <v/>
      </c>
      <c r="P2188">
        <f>IF(B2212=0,0,O2188/B2212)</f>
        <v/>
      </c>
      <c r="Q2188">
        <f>IFERROR(1/IF(Inputs!$B$39="pvp",15,MAX(0.1,Skills!D15-IF(TRUE=TRUE,Inputs!$B$33,0))),0)</f>
        <v/>
      </c>
      <c r="R2188">
        <f>IF(AND(Inputs!$B$39&lt;&gt;"pvp",Inputs!$B$44&gt;0),IF(Inputs!$B$44&lt;=0,0,(INT(Inputs!$B$44/IF(Inputs!$B$39="pvp",15,MAX(0.1,Skills!D15-IF(TRUE=TRUE,Inputs!$B$33,0))))+1)),0)</f>
        <v/>
      </c>
      <c r="S2188">
        <f>IFERROR(O2188/N2188,0)</f>
        <v/>
      </c>
      <c r="T2188" t="n">
        <v>0</v>
      </c>
      <c r="V2188" t="n">
        <v>0</v>
      </c>
    </row>
    <row r="2189">
      <c r="A2189">
        <f>Skills!A16</f>
        <v/>
      </c>
      <c r="B2189">
        <f>Skills!B16</f>
        <v/>
      </c>
      <c r="C2189">
        <f>Inputs!$B$3&gt;=45</f>
        <v/>
      </c>
      <c r="D2189">
        <f>IF(Skills!C16=1,60+Inputs!$B$26+Inputs!$B$30,IF(Skills!C16=2,90+Inputs!$B$27+Inputs!$B$30,IF(Skills!C16=3,120+Inputs!$B$28+Inputs!$B$30,MAX(0,(Inputs!$B$3-100)*3)+Inputs!$B$29+Inputs!$B$30)))</f>
        <v/>
      </c>
      <c r="E2189">
        <f>INDEX(FactorTable!$B$2:$Y$301, MATCH(ROUND(MIN(300,MAX(1,D2189)),0), FactorTable!$A$2:$A$301,0), Skills!M16+1)</f>
        <v/>
      </c>
      <c r="F2189">
        <f>IF(Skills!N16=TRUE,(Skills!L16/10)*(E2189/1000),Skills!L16/10)+Skills!O16</f>
        <v/>
      </c>
      <c r="G2189">
        <f>Skills!G16*IF(Skills!H16&gt;0,INT(IF(Inputs!$B$39="pvp",MIN(Skills!I16,15),Skills!I16)/Skills!H16+0.000000001),1)</f>
        <v/>
      </c>
      <c r="H2189">
        <f>1-(1-Skills!J16/100)^Skills!K16</f>
        <v/>
      </c>
      <c r="I2189" t="inlineStr">
        <is>
          <t>1</t>
        </is>
      </c>
      <c r="J2189" t="inlineStr"/>
      <c r="K2189" t="inlineStr"/>
      <c r="L2189" t="inlineStr"/>
      <c r="M2189" t="inlineStr"/>
      <c r="N2189" t="inlineStr"/>
      <c r="O2189">
        <f>(1-Summary!$B$11)*T2189+Summary!$B$11*V2189</f>
        <v/>
      </c>
      <c r="P2189">
        <f>IF(B2212=0,0,O2189/B2212)</f>
        <v/>
      </c>
      <c r="Q2189">
        <f>IFERROR(1/IF(Inputs!$B$39="pvp",15,MAX(0.1,Skills!D16-IF(TRUE=TRUE,Inputs!$B$33,0))),0)</f>
        <v/>
      </c>
      <c r="R2189">
        <f>IF(AND(Inputs!$B$39&lt;&gt;"pvp",Inputs!$B$44&gt;0),IF(Inputs!$B$44&lt;=0,0,(INT(Inputs!$B$44/IF(Inputs!$B$39="pvp",15,MAX(0.1,Skills!D16-IF(TRUE=TRUE,Inputs!$B$33,0))))+1)),0)</f>
        <v/>
      </c>
      <c r="S2189">
        <f>IFERROR(O2189/N2189,0)</f>
        <v/>
      </c>
      <c r="T2189" t="n">
        <v>0</v>
      </c>
      <c r="V2189" t="n">
        <v>0</v>
      </c>
    </row>
    <row r="2190">
      <c r="A2190">
        <f>Skills!A17</f>
        <v/>
      </c>
      <c r="B2190">
        <f>Skills!B17</f>
        <v/>
      </c>
      <c r="C2190">
        <f>Inputs!$B$3&gt;=35</f>
        <v/>
      </c>
      <c r="D2190">
        <f>IF(Skills!C17=1,60+Inputs!$B$26+Inputs!$B$30,IF(Skills!C17=2,90+Inputs!$B$27+Inputs!$B$30,IF(Skills!C17=3,120+Inputs!$B$28+Inputs!$B$30,MAX(0,(Inputs!$B$3-100)*3)+Inputs!$B$29+Inputs!$B$30)))</f>
        <v/>
      </c>
      <c r="E2190">
        <f>INDEX(FactorTable!$B$2:$Y$301, MATCH(ROUND(MIN(300,MAX(1,D2190)),0), FactorTable!$A$2:$A$301,0), Skills!M17+1)</f>
        <v/>
      </c>
      <c r="F2190">
        <f>IF(Skills!N17=TRUE,(Skills!L17/10)*(E2190/1000),Skills!L17/10)+Skills!O17</f>
        <v/>
      </c>
      <c r="G2190">
        <f>Skills!G17*IF(Skills!H17&gt;0,INT(IF(Inputs!$B$39="pvp",MIN(Skills!I17,15),Skills!I17)/Skills!H17+0.000000001),1)</f>
        <v/>
      </c>
      <c r="H2190">
        <f>1-(1-Skills!J17/100)^Skills!K17</f>
        <v/>
      </c>
      <c r="I2190" t="inlineStr">
        <is>
          <t>1</t>
        </is>
      </c>
      <c r="J2190" t="inlineStr"/>
      <c r="K2190" t="inlineStr"/>
      <c r="L2190" t="inlineStr"/>
      <c r="M2190" t="inlineStr"/>
      <c r="N2190" t="inlineStr"/>
      <c r="O2190">
        <f>(1-Summary!$B$11)*T2190+Summary!$B$11*V2190</f>
        <v/>
      </c>
      <c r="P2190">
        <f>IF(B2212=0,0,O2190/B2212)</f>
        <v/>
      </c>
      <c r="Q2190">
        <f>IFERROR(1/IF(Inputs!$B$39="pvp",15,MAX(0.1,Skills!D17-IF(TRUE=TRUE,Inputs!$B$33,0))),0)</f>
        <v/>
      </c>
      <c r="R2190">
        <f>IF(AND(Inputs!$B$39&lt;&gt;"pvp",Inputs!$B$44&gt;0),IF(Inputs!$B$44&lt;=0,0,(INT(Inputs!$B$44/IF(Inputs!$B$39="pvp",15,MAX(0.1,Skills!D17-IF(TRUE=TRUE,Inputs!$B$33,0))))+1)),0)</f>
        <v/>
      </c>
      <c r="S2190">
        <f>IFERROR(O2190/N2190,0)</f>
        <v/>
      </c>
      <c r="T2190" t="n">
        <v>0</v>
      </c>
      <c r="V2190" t="n">
        <v>0</v>
      </c>
    </row>
    <row r="2191">
      <c r="A2191">
        <f>Skills!A18</f>
        <v/>
      </c>
      <c r="B2191">
        <f>Skills!B18</f>
        <v/>
      </c>
      <c r="C2191">
        <f>Inputs!$B$3&gt;=72</f>
        <v/>
      </c>
      <c r="D2191">
        <f>IF(Skills!C18=1,60+Inputs!$B$26+Inputs!$B$30,IF(Skills!C18=2,90+Inputs!$B$27+Inputs!$B$30,IF(Skills!C18=3,120+Inputs!$B$28+Inputs!$B$30,MAX(0,(Inputs!$B$3-100)*3)+Inputs!$B$29+Inputs!$B$30)))</f>
        <v/>
      </c>
      <c r="E2191">
        <f>INDEX(FactorTable!$B$2:$Y$301, MATCH(ROUND(MIN(300,MAX(1,D2191)),0), FactorTable!$A$2:$A$301,0), Skills!M18+1)</f>
        <v/>
      </c>
      <c r="F2191">
        <f>IF(Skills!N18=TRUE,(Skills!L18/10)*(E2191/1000),Skills!L18/10)+Skills!O18</f>
        <v/>
      </c>
      <c r="G2191">
        <f>Skills!G18*IF(Skills!H18&gt;0,INT(IF(Inputs!$B$39="pvp",MIN(Skills!I18,15),Skills!I18)/Skills!H18+0.000000001),1)</f>
        <v/>
      </c>
      <c r="H2191">
        <f>1-(1-Skills!J18/100)^Skills!K18</f>
        <v/>
      </c>
      <c r="I2191" t="inlineStr">
        <is>
          <t>1</t>
        </is>
      </c>
      <c r="J2191" t="inlineStr"/>
      <c r="K2191" t="inlineStr"/>
      <c r="L2191" t="inlineStr"/>
      <c r="M2191" t="inlineStr"/>
      <c r="N2191" t="inlineStr"/>
      <c r="O2191">
        <f>(1-Summary!$B$11)*T2191+Summary!$B$11*V2191</f>
        <v/>
      </c>
      <c r="P2191">
        <f>IF(B2212=0,0,O2191/B2212)</f>
        <v/>
      </c>
      <c r="Q2191">
        <f>IFERROR(1/IF(Inputs!$B$39="pvp",15,MAX(0.1,Skills!D18-IF(TRUE=TRUE,Inputs!$B$33,0))),0)</f>
        <v/>
      </c>
      <c r="R2191">
        <f>IF(AND(Inputs!$B$39&lt;&gt;"pvp",Inputs!$B$44&gt;0),IF(Inputs!$B$44&lt;=0,0,(INT(Inputs!$B$44/IF(Inputs!$B$39="pvp",15,MAX(0.1,Skills!D18-IF(TRUE=TRUE,Inputs!$B$33,0))))+1)),0)</f>
        <v/>
      </c>
      <c r="S2191">
        <f>IFERROR(O2191/N2191,0)</f>
        <v/>
      </c>
      <c r="T2191" t="n">
        <v>0</v>
      </c>
      <c r="V2191" t="n">
        <v>0</v>
      </c>
    </row>
    <row r="2192">
      <c r="A2192">
        <f>Skills!A19</f>
        <v/>
      </c>
      <c r="B2192">
        <f>Skills!B19</f>
        <v/>
      </c>
      <c r="C2192">
        <f>Inputs!$B$3&gt;=72</f>
        <v/>
      </c>
      <c r="D2192">
        <f>IF(Skills!C19=1,60+Inputs!$B$26+Inputs!$B$30,IF(Skills!C19=2,90+Inputs!$B$27+Inputs!$B$30,IF(Skills!C19=3,120+Inputs!$B$28+Inputs!$B$30,MAX(0,(Inputs!$B$3-100)*3)+Inputs!$B$29+Inputs!$B$30)))</f>
        <v/>
      </c>
      <c r="E2192">
        <f>INDEX(FactorTable!$B$2:$Y$301, MATCH(ROUND(MIN(300,MAX(1,D2192)),0), FactorTable!$A$2:$A$301,0), Skills!M19+1)</f>
        <v/>
      </c>
      <c r="F2192">
        <f>IF(Skills!N19=TRUE,(Skills!L19/10)*(E2192/1000),Skills!L19/10)+Skills!O19</f>
        <v/>
      </c>
      <c r="G2192">
        <f>Skills!G19*IF(Skills!H19&gt;0,INT(IF(Inputs!$B$39="pvp",MIN(Skills!I19,15),Skills!I19)/Skills!H19+0.000000001),1)</f>
        <v/>
      </c>
      <c r="H2192">
        <f>1-(1-Skills!J19/100)^Skills!K19</f>
        <v/>
      </c>
      <c r="I2192" t="inlineStr">
        <is>
          <t>1</t>
        </is>
      </c>
      <c r="J2192" t="inlineStr"/>
      <c r="K2192" t="inlineStr"/>
      <c r="L2192" t="inlineStr"/>
      <c r="M2192" t="inlineStr"/>
      <c r="N2192" t="inlineStr"/>
      <c r="O2192">
        <f>(1-Summary!$B$11)*T2192+Summary!$B$11*V2192</f>
        <v/>
      </c>
      <c r="P2192">
        <f>IF(B2212=0,0,O2192/B2212)</f>
        <v/>
      </c>
      <c r="Q2192">
        <f>IFERROR(1/IF(Inputs!$B$39="pvp",15,MAX(0.1,Skills!D19-IF(TRUE=TRUE,Inputs!$B$33,0))),0)</f>
        <v/>
      </c>
      <c r="R2192">
        <f>IF(AND(Inputs!$B$39&lt;&gt;"pvp",Inputs!$B$44&gt;0),IF(Inputs!$B$44&lt;=0,0,(INT(Inputs!$B$44/IF(Inputs!$B$39="pvp",15,MAX(0.1,Skills!D19-IF(TRUE=TRUE,Inputs!$B$33,0))))+1)),0)</f>
        <v/>
      </c>
      <c r="S2192">
        <f>IFERROR(O2192/N2192,0)</f>
        <v/>
      </c>
      <c r="T2192" t="n">
        <v>0</v>
      </c>
      <c r="V2192" t="n">
        <v>0</v>
      </c>
    </row>
    <row r="2193">
      <c r="A2193">
        <f>Skills!A20</f>
        <v/>
      </c>
      <c r="B2193">
        <f>Skills!B20</f>
        <v/>
      </c>
      <c r="C2193">
        <f>TRUE</f>
        <v/>
      </c>
      <c r="D2193">
        <f>IF(Skills!C20=1,60+Inputs!$B$26+Inputs!$B$30,IF(Skills!C20=2,90+Inputs!$B$27+Inputs!$B$30,IF(Skills!C20=3,120+Inputs!$B$28+Inputs!$B$30,MAX(0,(Inputs!$B$3-100)*3)+Inputs!$B$29+Inputs!$B$30)))</f>
        <v/>
      </c>
      <c r="E2193">
        <f>INDEX(FactorTable!$B$2:$Y$301, MATCH(ROUND(MIN(300,MAX(1,D2193)),0), FactorTable!$A$2:$A$301,0), Skills!M20+1)</f>
        <v/>
      </c>
      <c r="F2193">
        <f>IF(Skills!N20=TRUE,(Skills!L20/10)*(E2193/1000),Skills!L20/10)+Skills!O20</f>
        <v/>
      </c>
      <c r="G2193">
        <f>Skills!G20*IF(Skills!H20&gt;0,INT(IF(Inputs!$B$39="pvp",MIN(Skills!I20,15),Skills!I20)/Skills!H20+0.000000001),1)</f>
        <v/>
      </c>
      <c r="H2193">
        <f>1-(1-Skills!J20/100)^Skills!K20</f>
        <v/>
      </c>
      <c r="I2193" t="inlineStr">
        <is>
          <t>1</t>
        </is>
      </c>
      <c r="J2193" t="inlineStr"/>
      <c r="K2193" t="inlineStr"/>
      <c r="L2193" t="inlineStr"/>
      <c r="M2193" t="inlineStr"/>
      <c r="N2193" t="inlineStr"/>
      <c r="O2193">
        <f>(1-Summary!$B$11)*T2193+Summary!$B$11*V2193</f>
        <v/>
      </c>
      <c r="P2193">
        <f>IF(B2212=0,0,O2193/B2212)</f>
        <v/>
      </c>
      <c r="Q2193">
        <f>IFERROR(1/IF(Inputs!$B$39="pvp",15,MAX(0.1,Skills!D20-IF(TRUE=TRUE,Inputs!$B$33,0))),0)</f>
        <v/>
      </c>
      <c r="R2193">
        <f>IF(AND(Inputs!$B$39&lt;&gt;"pvp",Inputs!$B$44&gt;0),IF(Inputs!$B$44&lt;=0,0,(INT(Inputs!$B$44/IF(Inputs!$B$39="pvp",15,MAX(0.1,Skills!D20-IF(TRUE=TRUE,Inputs!$B$33,0))))+1)),0)</f>
        <v/>
      </c>
      <c r="S2193">
        <f>IFERROR(O2193/N2193,0)</f>
        <v/>
      </c>
      <c r="T2193" t="n">
        <v>0</v>
      </c>
      <c r="V2193" t="n">
        <v>0</v>
      </c>
    </row>
    <row r="2194">
      <c r="A2194">
        <f>Skills!A21</f>
        <v/>
      </c>
      <c r="B2194">
        <f>Skills!B21</f>
        <v/>
      </c>
      <c r="C2194">
        <f>Inputs!$B$3&gt;=33</f>
        <v/>
      </c>
      <c r="D2194">
        <f>IF(Skills!C21=1,60+Inputs!$B$26+Inputs!$B$30,IF(Skills!C21=2,90+Inputs!$B$27+Inputs!$B$30,IF(Skills!C21=3,120+Inputs!$B$28+Inputs!$B$30,MAX(0,(Inputs!$B$3-100)*3)+Inputs!$B$29+Inputs!$B$30)))</f>
        <v/>
      </c>
      <c r="E2194">
        <f>INDEX(FactorTable!$B$2:$Y$301, MATCH(ROUND(MIN(300,MAX(1,D2194)),0), FactorTable!$A$2:$A$301,0), Skills!M21+1)</f>
        <v/>
      </c>
      <c r="F2194">
        <f>IF(Skills!N21=TRUE,(Skills!L21/10)*(E2194/1000),Skills!L21/10)+Skills!O21</f>
        <v/>
      </c>
      <c r="G2194">
        <f>Skills!G21*IF(Skills!H21&gt;0,INT(IF(Inputs!$B$39="pvp",MIN(Skills!I21,15),Skills!I21)/Skills!H21+0.000000001),1)</f>
        <v/>
      </c>
      <c r="H2194">
        <f>1-(1-Skills!J21/100)^Skills!K21</f>
        <v/>
      </c>
      <c r="I2194" t="inlineStr">
        <is>
          <t>1</t>
        </is>
      </c>
      <c r="J2194" t="inlineStr"/>
      <c r="K2194" t="inlineStr"/>
      <c r="L2194" t="inlineStr"/>
      <c r="M2194" t="inlineStr"/>
      <c r="N2194" t="inlineStr"/>
      <c r="O2194">
        <f>(1-Summary!$B$11)*T2194+Summary!$B$11*V2194</f>
        <v/>
      </c>
      <c r="P2194">
        <f>IF(B2212=0,0,O2194/B2212)</f>
        <v/>
      </c>
      <c r="Q2194" t="n">
        <v>0</v>
      </c>
      <c r="R2194" t="n">
        <v>0</v>
      </c>
      <c r="S2194">
        <f>IFERROR(O2194/N2194,0)</f>
        <v/>
      </c>
      <c r="T2194" t="n">
        <v>0</v>
      </c>
      <c r="V2194" t="n">
        <v>0</v>
      </c>
    </row>
    <row r="2195">
      <c r="A2195">
        <f>Skills!A22</f>
        <v/>
      </c>
      <c r="B2195">
        <f>Skills!B22</f>
        <v/>
      </c>
      <c r="C2195">
        <f>Inputs!$B$3&gt;=43</f>
        <v/>
      </c>
      <c r="D2195">
        <f>IF(Skills!C22=1,60+Inputs!$B$26+Inputs!$B$30,IF(Skills!C22=2,90+Inputs!$B$27+Inputs!$B$30,IF(Skills!C22=3,120+Inputs!$B$28+Inputs!$B$30,MAX(0,(Inputs!$B$3-100)*3)+Inputs!$B$29+Inputs!$B$30)))</f>
        <v/>
      </c>
      <c r="E2195">
        <f>INDEX(FactorTable!$B$2:$Y$301, MATCH(ROUND(MIN(300,MAX(1,D2195)),0), FactorTable!$A$2:$A$301,0), Skills!M22+1)</f>
        <v/>
      </c>
      <c r="F2195">
        <f>IF(Skills!N22=TRUE,(Skills!L22/10)*(E2195/1000),Skills!L22/10)+Skills!O22</f>
        <v/>
      </c>
      <c r="G2195">
        <f>Skills!G22*IF(Skills!H22&gt;0,INT(IF(Inputs!$B$39="pvp",MIN(Skills!I22,15),Skills!I22)/Skills!H22+0.000000001),1)</f>
        <v/>
      </c>
      <c r="H2195">
        <f>1-(1-Skills!J22/100)^Skills!K22</f>
        <v/>
      </c>
      <c r="I2195" t="inlineStr">
        <is>
          <t>1</t>
        </is>
      </c>
      <c r="J2195" t="inlineStr"/>
      <c r="K2195" t="inlineStr"/>
      <c r="L2195" t="inlineStr"/>
      <c r="M2195" t="inlineStr"/>
      <c r="N2195" t="inlineStr"/>
      <c r="O2195">
        <f>(1-Summary!$B$11)*T2195+Summary!$B$11*V2195</f>
        <v/>
      </c>
      <c r="P2195">
        <f>IF(B2212=0,0,O2195/B2212)</f>
        <v/>
      </c>
      <c r="Q2195" t="n">
        <v>0</v>
      </c>
      <c r="R2195" t="n">
        <v>0</v>
      </c>
      <c r="S2195">
        <f>IFERROR(O2195/N2195,0)</f>
        <v/>
      </c>
      <c r="T2195" t="n">
        <v>0</v>
      </c>
      <c r="V2195" t="n">
        <v>0</v>
      </c>
    </row>
    <row r="2196">
      <c r="A2196">
        <f>Skills!A23</f>
        <v/>
      </c>
      <c r="B2196">
        <f>Skills!B23</f>
        <v/>
      </c>
      <c r="C2196">
        <f>Inputs!$B$3&gt;=120</f>
        <v/>
      </c>
      <c r="D2196">
        <f>IF(Skills!C23=1,60+Inputs!$B$26+Inputs!$B$30,IF(Skills!C23=2,90+Inputs!$B$27+Inputs!$B$30,IF(Skills!C23=3,120+Inputs!$B$28+Inputs!$B$30,MAX(0,(Inputs!$B$3-100)*3)+Inputs!$B$29+Inputs!$B$30)))</f>
        <v/>
      </c>
      <c r="E2196">
        <f>INDEX(FactorTable!$B$2:$Y$301, MATCH(ROUND(MIN(300,MAX(1,D2196)),0), FactorTable!$A$2:$A$301,0), Skills!M23+1)</f>
        <v/>
      </c>
      <c r="F2196">
        <f>IF(Skills!N23=TRUE,(Skills!L23/10)*(E2196/1000),Skills!L23/10)+Skills!O23</f>
        <v/>
      </c>
      <c r="G2196">
        <f>Skills!G23*IF(Skills!H23&gt;0,INT(IF(Inputs!$B$39="pvp",MIN(Skills!I23,15),Skills!I23)/Skills!H23+0.000000001),1)</f>
        <v/>
      </c>
      <c r="H2196">
        <f>1-(1-Skills!J23/100)^Skills!K23</f>
        <v/>
      </c>
      <c r="I2196" t="inlineStr">
        <is>
          <t>1</t>
        </is>
      </c>
      <c r="J2196" t="inlineStr"/>
      <c r="K2196" t="inlineStr"/>
      <c r="L2196" t="inlineStr"/>
      <c r="M2196" t="inlineStr"/>
      <c r="N2196" t="inlineStr"/>
      <c r="O2196">
        <f>(1-Summary!$B$11)*T2196+Summary!$B$11*V2196</f>
        <v/>
      </c>
      <c r="P2196">
        <f>IF(B2212=0,0,O2196/B2212)</f>
        <v/>
      </c>
      <c r="Q2196" t="n">
        <v>0</v>
      </c>
      <c r="R2196" t="n">
        <v>0</v>
      </c>
      <c r="S2196">
        <f>IFERROR(O2196/N2196,0)</f>
        <v/>
      </c>
      <c r="T2196" t="n">
        <v>0</v>
      </c>
      <c r="V2196" t="n">
        <v>0</v>
      </c>
    </row>
    <row r="2197">
      <c r="A2197">
        <f>Skills!A24</f>
        <v/>
      </c>
      <c r="B2197">
        <f>Skills!B24</f>
        <v/>
      </c>
      <c r="C2197">
        <f>Inputs!$B$3&gt;=120</f>
        <v/>
      </c>
      <c r="D2197">
        <f>IF(Skills!C24=1,60+Inputs!$B$26+Inputs!$B$30,IF(Skills!C24=2,90+Inputs!$B$27+Inputs!$B$30,IF(Skills!C24=3,120+Inputs!$B$28+Inputs!$B$30,MAX(0,(Inputs!$B$3-100)*3)+Inputs!$B$29+Inputs!$B$30)))</f>
        <v/>
      </c>
      <c r="E2197">
        <f>INDEX(FactorTable!$B$2:$Y$301, MATCH(ROUND(MIN(300,MAX(1,D2197)),0), FactorTable!$A$2:$A$301,0), Skills!M24+1)</f>
        <v/>
      </c>
      <c r="F2197">
        <f>IF(Skills!N24=TRUE,(Skills!L24/10)*(E2197/1000),Skills!L24/10)+Skills!O24</f>
        <v/>
      </c>
      <c r="G2197">
        <f>Skills!G24*IF(Skills!H24&gt;0,INT(IF(Inputs!$B$39="pvp",MIN(Skills!I24,15),Skills!I24)/Skills!H24+0.000000001),1)</f>
        <v/>
      </c>
      <c r="H2197">
        <f>1-(1-Skills!J24/100)^Skills!K24</f>
        <v/>
      </c>
      <c r="I2197" t="inlineStr">
        <is>
          <t>1</t>
        </is>
      </c>
      <c r="J2197" t="inlineStr"/>
      <c r="K2197" t="inlineStr"/>
      <c r="L2197" t="inlineStr"/>
      <c r="M2197" t="inlineStr"/>
      <c r="N2197" t="inlineStr"/>
      <c r="O2197">
        <f>(1-Summary!$B$11)*T2197+Summary!$B$11*V2197</f>
        <v/>
      </c>
      <c r="P2197">
        <f>IF(B2212=0,0,O2197/B2212)</f>
        <v/>
      </c>
      <c r="Q2197" t="n">
        <v>0</v>
      </c>
      <c r="R2197" t="n">
        <v>0</v>
      </c>
      <c r="S2197">
        <f>IFERROR(O2197/N2197,0)</f>
        <v/>
      </c>
      <c r="T2197" t="n">
        <v>0</v>
      </c>
      <c r="V2197" t="n">
        <v>0</v>
      </c>
    </row>
    <row r="2198">
      <c r="A2198">
        <f>Skills!A25</f>
        <v/>
      </c>
      <c r="B2198">
        <f>Skills!B25</f>
        <v/>
      </c>
      <c r="C2198">
        <f>Inputs!$B$3&gt;=125</f>
        <v/>
      </c>
      <c r="D2198">
        <f>IF(Skills!C25=1,60+Inputs!$B$26+Inputs!$B$30,IF(Skills!C25=2,90+Inputs!$B$27+Inputs!$B$30,IF(Skills!C25=3,120+Inputs!$B$28+Inputs!$B$30,MAX(0,(Inputs!$B$3-100)*3)+Inputs!$B$29+Inputs!$B$30)))</f>
        <v/>
      </c>
      <c r="E2198">
        <f>INDEX(FactorTable!$B$2:$Y$301, MATCH(ROUND(MIN(300,MAX(1,D2198)),0), FactorTable!$A$2:$A$301,0), Skills!M25+1)</f>
        <v/>
      </c>
      <c r="F2198">
        <f>IF(Skills!N25=TRUE,(Skills!L25/10)*(E2198/1000),Skills!L25/10)+Skills!O25</f>
        <v/>
      </c>
      <c r="G2198">
        <f>Skills!G25*IF(Skills!H25&gt;0,INT(IF(Inputs!$B$39="pvp",MIN(Skills!I25,15),Skills!I25)/Skills!H25+0.000000001),1)</f>
        <v/>
      </c>
      <c r="H2198">
        <f>1-(1-Skills!J25/100)^Skills!K25</f>
        <v/>
      </c>
      <c r="I2198" t="inlineStr">
        <is>
          <t>1</t>
        </is>
      </c>
      <c r="J2198" t="inlineStr"/>
      <c r="K2198" t="inlineStr"/>
      <c r="L2198" t="inlineStr"/>
      <c r="M2198" t="inlineStr"/>
      <c r="N2198" t="inlineStr"/>
      <c r="O2198">
        <f>(1-Summary!$B$11)*T2198+Summary!$B$11*V2198</f>
        <v/>
      </c>
      <c r="P2198">
        <f>IF(B2212=0,0,O2198/B2212)</f>
        <v/>
      </c>
      <c r="Q2198" t="n">
        <v>0</v>
      </c>
      <c r="R2198" t="n">
        <v>0</v>
      </c>
      <c r="S2198">
        <f>IFERROR(O2198/N2198,0)</f>
        <v/>
      </c>
      <c r="T2198" t="n">
        <v>0</v>
      </c>
      <c r="V2198" t="n">
        <v>0</v>
      </c>
    </row>
    <row r="2199">
      <c r="A2199">
        <f>Skills!A26</f>
        <v/>
      </c>
      <c r="B2199">
        <f>Skills!B26</f>
        <v/>
      </c>
      <c r="C2199">
        <f>Inputs!$B$3&gt;=107</f>
        <v/>
      </c>
      <c r="D2199">
        <f>IF(Skills!C26=1,60+Inputs!$B$26+Inputs!$B$30,IF(Skills!C26=2,90+Inputs!$B$27+Inputs!$B$30,IF(Skills!C26=3,120+Inputs!$B$28+Inputs!$B$30,MAX(0,(Inputs!$B$3-100)*3)+Inputs!$B$29+Inputs!$B$30)))</f>
        <v/>
      </c>
      <c r="E2199">
        <f>INDEX(FactorTable!$B$2:$Y$301, MATCH(ROUND(MIN(300,MAX(1,D2199)),0), FactorTable!$A$2:$A$301,0), Skills!M26+1)</f>
        <v/>
      </c>
      <c r="F2199">
        <f>IF(Skills!N26=TRUE,(Skills!L26/10)*(E2199/1000),Skills!L26/10)+Skills!O26</f>
        <v/>
      </c>
      <c r="G2199">
        <f>Skills!G26*IF(Skills!H26&gt;0,INT(IF(Inputs!$B$39="pvp",MIN(Skills!I26,15),Skills!I26)/Skills!H26+0.000000001),1)</f>
        <v/>
      </c>
      <c r="H2199">
        <f>1-(1-Skills!J26/100)^Skills!K26</f>
        <v/>
      </c>
      <c r="I2199" t="inlineStr">
        <is>
          <t>1</t>
        </is>
      </c>
      <c r="J2199" t="inlineStr"/>
      <c r="K2199" t="inlineStr"/>
      <c r="L2199" t="inlineStr"/>
      <c r="M2199" t="inlineStr"/>
      <c r="N2199" t="inlineStr"/>
      <c r="O2199">
        <f>(1-Summary!$B$11)*T2199+Summary!$B$11*V2199</f>
        <v/>
      </c>
      <c r="P2199">
        <f>IF(B2212=0,0,O2199/B2212)</f>
        <v/>
      </c>
      <c r="Q2199" t="n">
        <v>0</v>
      </c>
      <c r="R2199" t="n">
        <v>0</v>
      </c>
      <c r="S2199">
        <f>IFERROR(O2199/N2199,0)</f>
        <v/>
      </c>
      <c r="T2199" t="n">
        <v>0</v>
      </c>
      <c r="V2199" t="n">
        <v>0</v>
      </c>
    </row>
    <row r="2201">
      <c r="A2201" t="inlineStr">
        <is>
          <t>Attack% Bucket Multiplier</t>
        </is>
      </c>
      <c r="B2201">
        <f>(1+(((C2186=TRUE)*F2186*IF(AND(Inputs!$B$39&lt;&gt;"pvp",Inputs!$B$44&gt;0),(((R2186-1)*MIN((Skills!T13*(1+Inputs!$B$35/100)),(1/Q2186))+MIN((Skills!T13*(1+Inputs!$B$35/100)),MAX(0,Inputs!$B$44-((R2186-1)*(1/Q2186)))))/Inputs!$B$44),IF(Inputs!$B$39="pvp",MIN((Skills!T13*(1+Inputs!$B$35/100)),15)/15,MIN(1,(Skills!T13*(1+Inputs!$B$35/100))/(1/Q2186)))))+((C2187=TRUE)*F2187*IF(AND(Inputs!$B$39&lt;&gt;"pvp",Inputs!$B$44&gt;0),(((R2187-1)*MIN((Skills!T14*(1+Inputs!$B$35/100)),(1/Q2187))+MIN((Skills!T14*(1+Inputs!$B$35/100)),MAX(0,Inputs!$B$44-((R2187-1)*(1/Q2187)))))/Inputs!$B$44),IF(Inputs!$B$39="pvp",MIN((Skills!T14*(1+Inputs!$B$35/100)),15)/15,MIN(1,(Skills!T14*(1+Inputs!$B$35/100))/(1/Q2187)))))+((C2188=TRUE)*F2188*IF(AND(Inputs!$B$39&lt;&gt;"pvp",Inputs!$B$44&gt;0),(((R2188-1)*MIN((Skills!T15*(1+Inputs!$B$35/100)),(1/Q2188))+MIN((Skills!T15*(1+Inputs!$B$35/100)),MAX(0,Inputs!$B$44-((R2188-1)*(1/Q2188)))))/Inputs!$B$44),IF(Inputs!$B$39="pvp",MIN((Skills!T15*(1+Inputs!$B$35/100)),15)/15,MIN(1,(Skills!T15*(1+Inputs!$B$35/100))/(1/Q2188)))))+((C2189=TRUE)*F2189*IF(AND(Inputs!$B$39&lt;&gt;"pvp",Inputs!$B$44&gt;0),(((R2189-1)*MIN((Skills!T16*(1+Inputs!$B$35/100)),(1/Q2189))+MIN((Skills!T16*(1+Inputs!$B$35/100)),MAX(0,Inputs!$B$44-((R2189-1)*(1/Q2189)))))/Inputs!$B$44),IF(Inputs!$B$39="pvp",MIN((Skills!T16*(1+Inputs!$B$35/100)),15)/15,MIN(1,(Skills!T16*(1+Inputs!$B$35/100))/(1/Q2189)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2202">
      <c r="A2202" t="inlineStr">
        <is>
          <t>Global Crit Rate Bonus % (Lord of Darkness)</t>
        </is>
      </c>
      <c r="B2202">
        <f>((C2191=TRUE)*F2191*(Skills!J18/100)*IF(AND(Inputs!$B$39&lt;&gt;"pvp",Inputs!$B$44&gt;0),(((R2191-1)*MIN((Skills!T18*(1+Inputs!$B$35/100)),(1/Q2191))+MIN((Skills!T18*(1+Inputs!$B$35/100)),MAX(0,Inputs!$B$44-((R2191-1)*(1/Q2191)))))/Inputs!$B$44),IF(Inputs!$B$39="pvp",MIN((Skills!T18*(1+Inputs!$B$35/100)),15)/15,MIN(1,(Skills!T18*(1+Inputs!$B$35/100))/(1/Q2191)))))</f>
        <v/>
      </c>
    </row>
    <row r="2203">
      <c r="A2203" t="inlineStr">
        <is>
          <t>Attack Speed Buff Bonus %</t>
        </is>
      </c>
      <c r="B2203">
        <f>((C2193=TRUE)*F2193*IF(AND(Inputs!$B$39&lt;&gt;"pvp",Inputs!$B$44&gt;0),(((R2193-1)*MIN((Skills!T20*(1+Inputs!$B$35/100)),(1/Q2193))+MIN((Skills!T20*(1+Inputs!$B$35/100)),MAX(0,Inputs!$B$44-((R2193-1)*(1/Q2193)))))/Inputs!$B$44),IF(Inputs!$B$39="pvp",MIN((Skills!T20*(1+Inputs!$B$35/100)),15)/15,MIN(1,(Skills!T20*(1+Inputs!$B$35/100))/(1/Q2193)))))</f>
        <v/>
      </c>
    </row>
    <row r="2204">
      <c r="A2204" t="inlineStr">
        <is>
          <t>Actions Per Second</t>
        </is>
      </c>
      <c r="B2204">
        <f>1+MIN(150,150*(1-(1-(Inputs!$B$12+((C2194=TRUE)*(F2194-Calc!F21)))/150)*(1-B2203/150)))/100</f>
        <v/>
      </c>
    </row>
    <row r="2205">
      <c r="A2205" t="inlineStr">
        <is>
          <t>Skill + Buff Cast Rate</t>
        </is>
      </c>
      <c r="B2205">
        <f>IF(AND(Inputs!$B$39&lt;&gt;"pvp",Inputs!$B$44&gt;0),SUMPRODUCT((Skills!E2:E26=TRUE)*(C2175:C2199=TRUE)*R2175:R2199*Skills!F2:F26)/Inputs!$B$44,SUMPRODUCT((Skills!E2:E26=TRUE)*(C2175:C2199=TRUE)*Q2175:Q2199*Skills!F2:F26))</f>
        <v/>
      </c>
    </row>
    <row r="2206">
      <c r="A2206" t="inlineStr">
        <is>
          <t>Dark Impale Casts Per Second</t>
        </is>
      </c>
      <c r="B2206">
        <f>MAX(0,B2204-B2205)</f>
        <v/>
      </c>
    </row>
    <row r="2207">
      <c r="A2207" t="inlineStr">
        <is>
          <t>Global Critical Damage Bonus % (Lord of Darkness)</t>
        </is>
      </c>
      <c r="B2207">
        <f>((C2192=TRUE)*F2192*(Skills!J19/100)*IF(AND(Inputs!$B$39&lt;&gt;"pvp",Inputs!$B$44&gt;0),(((R2192-1)*MIN((Skills!T19*(1+Inputs!$B$35/100)),(1/Q2192))+MIN((Skills!T19*(1+Inputs!$B$35/100)),MAX(0,Inputs!$B$44-((R2192-1)*(1/Q2192)))))/Inputs!$B$44),IF(Inputs!$B$39="pvp",MIN((Skills!T19*(1+Inputs!$B$35/100)),15)/15,MIN(1,(Skills!T19*(1+Inputs!$B$35/100))/(1/Q2192)))))</f>
        <v/>
      </c>
    </row>
    <row r="2208">
      <c r="A2208" t="inlineStr">
        <is>
          <t>Global Final Damage Bonus % (unused)</t>
        </is>
      </c>
      <c r="B2208" t="n">
        <v>0</v>
      </c>
    </row>
    <row r="2209">
      <c r="A2209" t="inlineStr">
        <is>
          <t>Buff-Casting Startup Delay (s, fixed-duration only)</t>
        </is>
      </c>
      <c r="B2209">
        <f>IF(AND(Inputs!$B$39&lt;&gt;"pvp",Inputs!$B$44&gt;0),SUMPRODUCT((Skills!T2:T26&gt;0)*(Skills!E2:E26=TRUE)*(C2175:C2199=TRUE))/B2204,0)</f>
        <v/>
      </c>
    </row>
    <row r="2210">
      <c r="A2210" t="inlineStr">
        <is>
          <t>Boss-Only Total DPS (this block's swept value)</t>
        </is>
      </c>
      <c r="B2210">
        <f>SUM(T2175:T2199)</f>
        <v/>
      </c>
    </row>
    <row r="2211">
      <c r="A2211" t="inlineStr">
        <is>
          <t>Normal-Only Total DPS (this block's swept value)</t>
        </is>
      </c>
      <c r="B2211">
        <f>SUM(V2175:V2199)</f>
        <v/>
      </c>
    </row>
    <row r="2212">
      <c r="A2212" s="6" t="inlineStr">
        <is>
          <t>TOTAL DPS</t>
        </is>
      </c>
      <c r="B2212" s="6">
        <f>SUM(O2175:O2199)</f>
        <v/>
      </c>
    </row>
    <row r="2215">
      <c r="A2215" s="6" t="inlineStr">
        <is>
          <t>Stat: Ancient Text Piece (Equip)</t>
        </is>
      </c>
    </row>
    <row r="2216">
      <c r="A2216" s="5" t="inlineStr">
        <is>
          <t>Key</t>
        </is>
      </c>
      <c r="B2216" s="5" t="inlineStr">
        <is>
          <t>Name</t>
        </is>
      </c>
      <c r="C2216" s="5" t="inlineStr">
        <is>
          <t>Unlocked</t>
        </is>
      </c>
      <c r="D2216" s="5" t="inlineStr">
        <is>
          <t>InputLevel</t>
        </is>
      </c>
      <c r="E2216" s="5" t="inlineStr">
        <is>
          <t>Factor</t>
        </is>
      </c>
      <c r="F2216" s="5" t="inlineStr">
        <is>
          <t>CoefficientPercent</t>
        </is>
      </c>
      <c r="G2216" s="5" t="inlineStr">
        <is>
          <t>EffectiveHits</t>
        </is>
      </c>
      <c r="H2216" s="5" t="inlineStr">
        <is>
          <t>ProcProbability</t>
        </is>
      </c>
      <c r="I2216" s="5" t="inlineStr">
        <is>
          <t>MapleHeroMultiplier</t>
        </is>
      </c>
      <c r="J2216" s="5" t="inlineStr">
        <is>
          <t>BaseDamage</t>
        </is>
      </c>
      <c r="K2216" s="5" t="inlineStr">
        <is>
          <t>BaseHitDamage</t>
        </is>
      </c>
      <c r="L2216" s="5" t="inlineStr">
        <is>
          <t>NonCritAvg</t>
        </is>
      </c>
      <c r="M2216" s="5" t="inlineStr">
        <is>
          <t>CritAvg</t>
        </is>
      </c>
      <c r="N2216" s="5" t="inlineStr">
        <is>
          <t>ExpectedDamage(perHit)</t>
        </is>
      </c>
      <c r="O2216" s="5" t="inlineStr">
        <is>
          <t>DPS</t>
        </is>
      </c>
      <c r="P2216" s="5" t="inlineStr">
        <is>
          <t>% of Total</t>
        </is>
      </c>
      <c r="Q2216" s="5" t="inlineStr">
        <is>
          <t>InvCooldown</t>
        </is>
      </c>
      <c r="R2216" s="5" t="inlineStr">
        <is>
          <t>CastsInFight</t>
        </is>
      </c>
      <c r="S2216" s="5" t="inlineStr">
        <is>
          <t>HitRate(perSec)</t>
        </is>
      </c>
      <c r="U2216" t="inlineStr">
        <is>
          <t>helpers</t>
        </is>
      </c>
    </row>
    <row r="2217">
      <c r="A2217">
        <f>Skills!A2</f>
        <v/>
      </c>
      <c r="B2217">
        <f>Skills!B2</f>
        <v/>
      </c>
      <c r="C2217">
        <f>Inputs!$B$3&gt;=100</f>
        <v/>
      </c>
      <c r="D2217" t="inlineStr"/>
      <c r="E2217" t="inlineStr"/>
      <c r="F2217">
        <f>U2219+Skills!O2</f>
        <v/>
      </c>
      <c r="G2217">
        <f>Skills!G2*IF(Skills!H2&gt;0,INT(IF(Inputs!$B$39="pvp",MIN(Skills!I2,15),Skills!I2)/Skills!H2+0.000000001),1)</f>
        <v/>
      </c>
      <c r="H2217">
        <f>1-(1-Skills!J2/100)^Skills!K2</f>
        <v/>
      </c>
      <c r="I2217" t="inlineStr">
        <is>
          <t>1</t>
        </is>
      </c>
      <c r="J2217">
        <f>((Inputs!$B$6*(1+Inputs!$B$7/100))+(((Inputs!$B$13*(1+Inputs!$B$14/100))-(Inputs!$B$13*(1+Inputs!$B$14/100)))+0.25*(Inputs!$B$15-Inputs!$B$15))*(1+Inputs!$B$7/100))*(F2217/100)</f>
        <v/>
      </c>
      <c r="K2217">
        <f>J2217*(1+(((Inputs!$B$13+IF(Inputs!$B$3&gt;=38,(10*INDEX(FactorTable!$B$2:$Y$301, MATCH(ROUND(MIN(300,MAX(1,Inputs!$B$3)),0), FactorTable!$A$2:$A$301,0), 23)/1000)/100*(Inputs!$B$8*(1+Inputs!$B$9/100)),0))*(1+Inputs!$B$14/100))*0.01+Inputs!$B$15*0.0025)/100)*(1+Inputs!$B$16/100)*(1+Inputs!$B$17/100)*(5000/(6000+Inputs!$B$43*(1-(Inputs!$B$20+0)/100)))*(1+(Inputs!$B$25+((C2240=TRUE)*(F2240-Calc!F25))+((C2241=TRUE)*(F2241-Calc!F26))+B2250)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gt;=100),MIN(100,((Inputs!$B$10+0+B2244+(ArtifactsInput!$M$24-ArtifactsInput!$M$24)*CHOOSE(ArtifactsInput!$N$24+1,10,12,14,16,18,20)+IF(ArtifactsInput!$M$10,CHOOSE(ArtifactsInput!$N$10+1,15,18,21,24,27,30)*(IF(Inputs!$B$39="pvp",MIN(15,15)/15,IF(AND(Inputs!$B$39&lt;&gt;"pvp",Inputs!$B$44&gt;0),MIN(15,Inputs!$B$44)/(Inputs!$B$44),0))),0)))-100),0))*CHOOSE(ArtifactsInput!$N$42+1,0.6,0.72,0.84,0.96,1.08,1.2))),Inputs!$B$19+((C2238=TRUE)*(F2238-Calc!F23))+(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gt;=100),CHOOSE(ArtifactsInput!$N$42+1,40,48,56,64,72,80),0))))/100)*((1+(((C2228=TRUE)*F2228*IF(AND(Inputs!$B$39&lt;&gt;"pvp",Inputs!$B$44&gt;0),(((R2228-1)*MIN((Skills!T13*(1+Inputs!$B$35/100)),(1/Q2228))+MIN((Skills!T13*(1+Inputs!$B$35/100)),MAX(0,Inputs!$B$44-((R2228-1)*(1/Q2228)))))/Inputs!$B$44),IF(Inputs!$B$39="pvp",MIN((Skills!T13*(1+Inputs!$B$35/100)),15)/15,MIN(1,(Skills!T13*(1+Inputs!$B$35/100))/(1/Q2228)))))+((C2229=TRUE)*F2229*IF(AND(Inputs!$B$39&lt;&gt;"pvp",Inputs!$B$44&gt;0),(((R2229-1)*MIN((Skills!T14*(1+Inputs!$B$35/100)),(1/Q2229))+MIN((Skills!T14*(1+Inputs!$B$35/100)),MAX(0,Inputs!$B$44-((R2229-1)*(1/Q2229)))))/Inputs!$B$44),IF(Inputs!$B$39="pvp",MIN((Skills!T14*(1+Inputs!$B$35/100)),15)/15,MIN(1,(Skills!T14*(1+Inputs!$B$35/100))/(1/Q2229)))))+((C2230=TRUE)*F2230*IF(AND(Inputs!$B$39&lt;&gt;"pvp",Inputs!$B$44&gt;0),(((R2230-1)*MIN((Skills!T15*(1+Inputs!$B$35/100)),(1/Q2230))+MIN((Skills!T15*(1+Inputs!$B$35/100)),MAX(0,Inputs!$B$44-((R2230-1)*(1/Q2230)))))/Inputs!$B$44),IF(Inputs!$B$39="pvp",MIN((Skills!T15*(1+Inputs!$B$35/100)),15)/15,MIN(1,(Skills!T15*(1+Inputs!$B$35/100))/(1/Q2230)))))+((C2231=TRUE)*F2231*IF(AND(Inputs!$B$39&lt;&gt;"pvp",Inputs!$B$44&gt;0),(((R2231-1)*MIN((Skills!T16*(1+Inputs!$B$35/100)),(1/Q2231))+MIN((Skills!T16*(1+Inputs!$B$35/100)),MAX(0,Inputs!$B$44-((R2231-1)*(1/Q2231)))))/Inputs!$B$44),IF(Inputs!$B$39="pvp",MIN((Skills!T16*(1+Inputs!$B$35/100)),15)/15,MIN(1,(Skills!T16*(1+Inputs!$B$35/100))/(1/Q2231)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2217)</f>
        <v/>
      </c>
      <c r="L2217">
        <f>K2217*(MIN(Inputs!$B$23+((C2237=TRUE)*(F2237-Calc!F22)),(Inputs!$B$24+((C2239=TRUE)*(F2239-Calc!F24))+(IF(ArtifactsInput!$M$15,CHOOSE(ArtifactsInput!$N$15+1,25,30,35,40,45,50)/100*(Inputs!$B$12-Inputs!$B$12),0))))/100+(Inputs!$B$24+((C2239=TRUE)*(F2239-Calc!F24))+(IF(ArtifactsInput!$M$15,CHOOSE(ArtifactsInput!$N$15+1,25,30,35,40,45,50)/100*(Inputs!$B$12-Inputs!$B$12),0)))/100)/2</f>
        <v/>
      </c>
      <c r="M2217">
        <f>L2217*(1+(Inputs!$B$11+0+B2249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217">
        <f>L2217*(1-MIN((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2217*(MIN((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17">
        <f>(1-Summary!$B$11)*T2217+Summary!$B$11*V2217</f>
        <v/>
      </c>
      <c r="P2217">
        <f>IF(B2254=0,0,O2217/B2254)</f>
        <v/>
      </c>
      <c r="Q2217" t="n">
        <v>0</v>
      </c>
      <c r="R2217" t="n">
        <v>0</v>
      </c>
      <c r="S2217">
        <f>IFERROR(O2217/N2217,0)</f>
        <v/>
      </c>
      <c r="T2217">
        <f>IF(C2217,(Skills!G2*N2217*B2248)*IF(Inputs!$B$39="pvp",1,1+(Inputs!$B$21+0+Skills!P2+((C2232=TRUE)*F2232*IF(AND(Inputs!$B$39&lt;&gt;"pvp",Inputs!$B$44&gt;0),(((R2232-1)*MIN((Skills!T17*(1+Inputs!$B$35/100)),(1/Q2232))+MIN((Skills!T17*(1+Inputs!$B$35/100)),MAX(0,Inputs!$B$44-((R2232-1)*(1/Q2232)))))/Inputs!$B$44),IF(Inputs!$B$39="pvp",MIN((Skills!T17*(1+Inputs!$B$35/100)),15)/15,MIN(1,(Skills!T17*(1+Inputs!$B$35/100))/(1/Q2232)))))+((C2220=TRUE)*IF(Inputs!$B$3&gt;=126,10*MIN(1,15*Q2220),0))+((C2229=TRUE)*IF(Inputs!$B$39="pvp",20,(1-Summary!$B$11)*(20)+Summary!$B$11*(0))*IF(AND(Inputs!$B$39&lt;&gt;"pvp",Inputs!$B$44&gt;0),(((R2229-1)*MIN((Skills!T14*(1+Inputs!$B$35/100)),(1/Q2229))+MIN((Skills!T14*(1+Inputs!$B$35/100)),MAX(0,Inputs!$B$44-((R2229-1)*(1/Q2229)))))/Inputs!$B$44),IF(Inputs!$B$39="pvp",MIN((Skills!T14*(1+Inputs!$B$35/100)),15)/15,MIN(1,(Skills!T14*(1+Inputs!$B$35/100))/(1/Q2229)))))+((C2228=TRUE)*IF(Inputs!$B$3&gt;=82,IF(Inputs!$B$39="pvp",20,(1-Summary!$B$11)*(20)+Summary!$B$11*(0)),0)*IF(AND(Inputs!$B$39&lt;&gt;"pvp",Inputs!$B$44&gt;0),(((R2228-1)*MIN((Skills!T13*(1+Inputs!$B$35/100)),(1/Q2228))+MIN((Skills!T13*(1+Inputs!$B$35/100)),MAX(0,Inputs!$B$44-((R2228-1)*(1/Q2228)))))/Inputs!$B$44),IF(Inputs!$B$39="pvp",MIN((Skills!T13*(1+Inputs!$B$35/100)),15)/15,MIN(1,(Skills!T13*(1+Inputs!$B$35/100))/(1/Q2228)))))+(IF(AND(ArtifactsInput!$M$35,Inputs!$B$4&lt;&gt;"Chapter Hunt"),CHOOSE(ArtifactsInput!$N$35+1,15,18,21,24,27,30)*(1-EXP(-(0.2*B2246)*5)),0)+IF(AND(ArtifactsInput!$M$22,Inputs!$B$4&lt;&gt;"Chapter Hunt"),CHOOSE(ArtifactsInput!$N$22+1,10,12,14,16,18,20)*((0*(((0.15*B2246*5))^0/1)+1*(((0.15*B2246*5))^1/1)+2*(((0.15*B2246*5))^2/2)+3*(((0.15*B2246*5))^3/6)+4*(((0.15*B2246*5))^4/24)+5*(((0.15*B2246*5))^5/120))/((((0.15*B2246*5))^0/1)+(((0.15*B2246*5))^1/1)+(((0.15*B2246*5))^2/2)+(((0.15*B2246*5))^3/6)+(((0.15*B2246*5))^4/24)+(((0.15*B2246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2217*(1-MIN(100,(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2217*(MIN(100,(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2217*(1-MIN(100,(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2217*(MIN(100,(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217">
        <f>MAX(0,(Inputs!$B$3-100)*3)+Inputs!$B$29+Inputs!$B$30</f>
        <v/>
      </c>
      <c r="V2217">
        <f>IF(C2217,(Skills!G2*N2217*B2248)*IF(Inputs!$B$39="pvp",1,(1+(Inputs!$B$22+Skills!Q2+((C2232=TRUE)*F2232*IF(AND(Inputs!$B$39&lt;&gt;"pvp",Inputs!$B$44&gt;0),(((R2232-1)*MIN((Skills!T17*(1+Inputs!$B$35/100)),(1/Q2232))+MIN((Skills!T17*(1+Inputs!$B$35/100)),MAX(0,Inputs!$B$44-((R2232-1)*(1/Q2232)))))/Inputs!$B$44),IF(Inputs!$B$39="pvp",MIN((Skills!T17*(1+Inputs!$B$35/100)),15)/15,MIN(1,(Skills!T17*(1+Inputs!$B$35/100))/(1/Q2232)))))+((C2220=TRUE)*IF(Inputs!$B$3&gt;=126,10*MIN(1,15*Q2220),0))+((C2229=TRUE)*IF(Inputs!$B$39="pvp",20,(1-Summary!$B$11)*(20)+Summary!$B$11*(0))*IF(AND(Inputs!$B$39&lt;&gt;"pvp",Inputs!$B$44&gt;0),(((R2229-1)*MIN((Skills!T14*(1+Inputs!$B$35/100)),(1/Q2229))+MIN((Skills!T14*(1+Inputs!$B$35/100)),MAX(0,Inputs!$B$44-((R2229-1)*(1/Q2229)))))/Inputs!$B$44),IF(Inputs!$B$39="pvp",MIN((Skills!T14*(1+Inputs!$B$35/100)),15)/15,MIN(1,(Skills!T14*(1+Inputs!$B$35/100))/(1/Q2229)))))+((C2228=TRUE)*IF(Inputs!$B$3&gt;=82,IF(Inputs!$B$39="pvp",20,(1-Summary!$B$11)*(20)+Summary!$B$11*(0)),0)*IF(AND(Inputs!$B$39&lt;&gt;"pvp",Inputs!$B$44&gt;0),(((R2228-1)*MIN((Skills!T13*(1+Inputs!$B$35/100)),(1/Q2228))+MIN((Skills!T13*(1+Inputs!$B$35/100)),MAX(0,Inputs!$B$44-((R2228-1)*(1/Q2228)))))/Inputs!$B$44),IF(Inputs!$B$39="pvp",MIN((Skills!T13*(1+Inputs!$B$35/100)),15)/15,MIN(1,(Skills!T13*(1+Inputs!$B$35/100))/(1/Q2228)))))+(IF(AND(ArtifactsInput!$M$35,Inputs!$B$4&lt;&gt;"Chapter Hunt"),CHOOSE(ArtifactsInput!$N$35+1,15,18,21,24,27,30)*(1-EXP(-(0.2*B2246)*5)),0)+IF(AND(ArtifactsInput!$M$22,Inputs!$B$4&lt;&gt;"Chapter Hunt"),CHOOSE(ArtifactsInput!$N$22+1,10,12,14,16,18,20)*((0*(((0.15*B2246*5))^0/1)+1*(((0.15*B2246*5))^1/1)+2*(((0.15*B2246*5))^2/2)+3*(((0.15*B2246*5))^3/6)+4*(((0.15*B2246*5))^4/24)+5*(((0.15*B2246*5))^5/120))/((((0.15*B2246*5))^0/1)+(((0.15*B2246*5))^1/1)+(((0.15*B2246*5))^2/2)+(((0.15*B2246*5))^3/6)+(((0.15*B2246*5))^4/24)+(((0.15*B2246*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18">
      <c r="A2218">
        <f>Skills!A3</f>
        <v/>
      </c>
      <c r="B2218">
        <f>Skills!B3</f>
        <v/>
      </c>
      <c r="C2218">
        <f>Inputs!$B$3&gt;=50</f>
        <v/>
      </c>
      <c r="D2218">
        <f>IF(Skills!C3=1,60+Inputs!$B$26+Inputs!$B$30,IF(Skills!C3=2,90+Inputs!$B$27+Inputs!$B$30,IF(Skills!C3=3,120+Inputs!$B$28+Inputs!$B$30,MAX(0,(Inputs!$B$3-100)*3)+Inputs!$B$29+Inputs!$B$30)))</f>
        <v/>
      </c>
      <c r="E2218">
        <f>INDEX(FactorTable!$B$2:$Y$301, MATCH(ROUND(MIN(300,MAX(1,D2218)),0), FactorTable!$A$2:$A$301,0), Skills!M3+1)</f>
        <v/>
      </c>
      <c r="F2218">
        <f>IF(Skills!N3=TRUE,(Skills!L3/10)*(E2218/1000),Skills!L3/10)+Skills!O3</f>
        <v/>
      </c>
      <c r="G2218" t="inlineStr"/>
      <c r="H2218" t="inlineStr"/>
      <c r="I2218" t="inlineStr">
        <is>
          <t>1</t>
        </is>
      </c>
      <c r="J2218" t="inlineStr"/>
      <c r="K2218" t="inlineStr"/>
      <c r="L2218" t="inlineStr"/>
      <c r="M2218" t="inlineStr"/>
      <c r="N2218" t="inlineStr"/>
      <c r="O2218" t="inlineStr"/>
      <c r="P2218" t="inlineStr"/>
      <c r="Q2218" t="inlineStr"/>
      <c r="R2218" t="inlineStr"/>
      <c r="S2218" t="inlineStr"/>
      <c r="U2218">
        <f>INDEX(FactorTable!$B$2:$Y$301, MATCH(ROUND(MIN(300,MAX(1,U2217)),0), FactorTable!$A$2:$A$301,0), 22)</f>
        <v/>
      </c>
    </row>
    <row r="2219">
      <c r="A2219">
        <f>Skills!A4</f>
        <v/>
      </c>
      <c r="B2219">
        <f>Skills!B4</f>
        <v/>
      </c>
      <c r="C2219">
        <f>Inputs!$B$3&gt;=105</f>
        <v/>
      </c>
      <c r="D2219">
        <f>IF(Skills!C4=1,60+Inputs!$B$26+Inputs!$B$30,IF(Skills!C4=2,90+Inputs!$B$27+Inputs!$B$30,IF(Skills!C4=3,120+Inputs!$B$28+Inputs!$B$30,MAX(0,(Inputs!$B$3-100)*3)+Inputs!$B$29+Inputs!$B$30)))</f>
        <v/>
      </c>
      <c r="E2219">
        <f>INDEX(FactorTable!$B$2:$Y$301, MATCH(ROUND(MIN(300,MAX(1,D2219)),0), FactorTable!$A$2:$A$301,0), Skills!M4+1)</f>
        <v/>
      </c>
      <c r="F2219">
        <f>IF(Skills!N4=TRUE,(Skills!L4/10)*(E2219/1000),Skills!L4/10)+Skills!O4</f>
        <v/>
      </c>
      <c r="G2219" t="inlineStr"/>
      <c r="H2219" t="inlineStr"/>
      <c r="I2219" t="inlineStr">
        <is>
          <t>1</t>
        </is>
      </c>
      <c r="J2219" t="inlineStr"/>
      <c r="K2219" t="inlineStr"/>
      <c r="L2219" t="inlineStr"/>
      <c r="M2219" t="inlineStr"/>
      <c r="N2219" t="inlineStr"/>
      <c r="O2219" t="inlineStr"/>
      <c r="P2219" t="inlineStr"/>
      <c r="Q2219" t="inlineStr"/>
      <c r="R2219" t="inlineStr"/>
      <c r="S2219" t="inlineStr"/>
      <c r="U2219">
        <f>290*U2218/1000</f>
        <v/>
      </c>
    </row>
    <row r="2220">
      <c r="A2220">
        <f>Skills!A5</f>
        <v/>
      </c>
      <c r="B2220">
        <f>Skills!B5</f>
        <v/>
      </c>
      <c r="C2220">
        <f>Inputs!$B$3&gt;=117</f>
        <v/>
      </c>
      <c r="D2220">
        <f>IF(Skills!C5=1,60+Inputs!$B$26+Inputs!$B$30,IF(Skills!C5=2,90+Inputs!$B$27+Inputs!$B$30,IF(Skills!C5=3,120+Inputs!$B$28+Inputs!$B$30,MAX(0,(Inputs!$B$3-100)*3)+Inputs!$B$29+Inputs!$B$30)))</f>
        <v/>
      </c>
      <c r="E2220">
        <f>INDEX(FactorTable!$B$2:$Y$301, MATCH(ROUND(MIN(300,MAX(1,D2220)),0), FactorTable!$A$2:$A$301,0), Skills!M5+1)</f>
        <v/>
      </c>
      <c r="F2220">
        <f>IF(Skills!N5=TRUE,(Skills!L5/10)*(E2220/1000),Skills!L5/10)+Skills!O5</f>
        <v/>
      </c>
      <c r="G2220">
        <f>Skills!G5*IF(Skills!H5&gt;0,INT(IF(Inputs!$B$39="pvp",MIN(Skills!I5,15),Skills!I5)/Skills!H5+0.000000001),1)</f>
        <v/>
      </c>
      <c r="H2220">
        <f>1-(1-Skills!J5/100)^Skills!K5</f>
        <v/>
      </c>
      <c r="I2220" t="inlineStr">
        <is>
          <t>1</t>
        </is>
      </c>
      <c r="J2220">
        <f>((Inputs!$B$6*(1+Inputs!$B$7/100))+(((Inputs!$B$13*(1+Inputs!$B$14/100))-(Inputs!$B$13*(1+Inputs!$B$14/100)))+0.25*(Inputs!$B$15-Inputs!$B$15))*(1+Inputs!$B$7/100))*(F2220/100)</f>
        <v/>
      </c>
      <c r="K2220">
        <f>J2220*(1+(((Inputs!$B$13+IF(Inputs!$B$3&gt;=38,(10*INDEX(FactorTable!$B$2:$Y$301, MATCH(ROUND(MIN(300,MAX(1,Inputs!$B$3)),0), FactorTable!$A$2:$A$301,0), 23)/1000)/100*(Inputs!$B$8*(1+Inputs!$B$9/100)),0))*(1+Inputs!$B$14/100))*0.01+Inputs!$B$15*0.0025)/100)*(1+Inputs!$B$16/100)*(1+Inputs!$B$17/100)*(5000/(6000+Inputs!$B$43*(1-(Inputs!$B$20+0)/100)))*(1+(Inputs!$B$25+((C2240=TRUE)*(F2240-Calc!F25))+((C2241=TRUE)*(F2241-Calc!F26))+B2250)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gt;=100),MIN(100,((Inputs!$B$10+0+B2244+(ArtifactsInput!$M$24-ArtifactsInput!$M$24)*CHOOSE(ArtifactsInput!$N$24+1,10,12,14,16,18,20)+IF(ArtifactsInput!$M$10,CHOOSE(ArtifactsInput!$N$10+1,15,18,21,24,27,30)*(IF(Inputs!$B$39="pvp",MIN(15,15)/15,IF(AND(Inputs!$B$39&lt;&gt;"pvp",Inputs!$B$44&gt;0),MIN(15,Inputs!$B$44)/(Inputs!$B$44),0))),0)))-100),0))*CHOOSE(ArtifactsInput!$N$42+1,0.6,0.72,0.84,0.96,1.08,1.2))),Inputs!$B$19+((C2238=TRUE)*(F2238-Calc!F23))+(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gt;=100),CHOOSE(ArtifactsInput!$N$42+1,40,48,56,64,72,80),0))))/100)*((1+(((C2228=TRUE)*F2228*IF(AND(Inputs!$B$39&lt;&gt;"pvp",Inputs!$B$44&gt;0),(((R2228-1)*MIN((Skills!T13*(1+Inputs!$B$35/100)),(1/Q2228))+MIN((Skills!T13*(1+Inputs!$B$35/100)),MAX(0,Inputs!$B$44-((R2228-1)*(1/Q2228)))))/Inputs!$B$44),IF(Inputs!$B$39="pvp",MIN((Skills!T13*(1+Inputs!$B$35/100)),15)/15,MIN(1,(Skills!T13*(1+Inputs!$B$35/100))/(1/Q2228)))))+((C2229=TRUE)*F2229*IF(AND(Inputs!$B$39&lt;&gt;"pvp",Inputs!$B$44&gt;0),(((R2229-1)*MIN((Skills!T14*(1+Inputs!$B$35/100)),(1/Q2229))+MIN((Skills!T14*(1+Inputs!$B$35/100)),MAX(0,Inputs!$B$44-((R2229-1)*(1/Q2229)))))/Inputs!$B$44),IF(Inputs!$B$39="pvp",MIN((Skills!T14*(1+Inputs!$B$35/100)),15)/15,MIN(1,(Skills!T14*(1+Inputs!$B$35/100))/(1/Q2229)))))+((C2230=TRUE)*F2230*IF(AND(Inputs!$B$39&lt;&gt;"pvp",Inputs!$B$44&gt;0),(((R2230-1)*MIN((Skills!T15*(1+Inputs!$B$35/100)),(1/Q2230))+MIN((Skills!T15*(1+Inputs!$B$35/100)),MAX(0,Inputs!$B$44-((R2230-1)*(1/Q2230)))))/Inputs!$B$44),IF(Inputs!$B$39="pvp",MIN((Skills!T15*(1+Inputs!$B$35/100)),15)/15,MIN(1,(Skills!T15*(1+Inputs!$B$35/100))/(1/Q2230)))))+((C2231=TRUE)*F2231*IF(AND(Inputs!$B$39&lt;&gt;"pvp",Inputs!$B$44&gt;0),(((R2231-1)*MIN((Skills!T16*(1+Inputs!$B$35/100)),(1/Q2231))+MIN((Skills!T16*(1+Inputs!$B$35/100)),MAX(0,Inputs!$B$44-((R2231-1)*(1/Q2231)))))/Inputs!$B$44),IF(Inputs!$B$39="pvp",MIN((Skills!T16*(1+Inputs!$B$35/100)),15)/15,MIN(1,(Skills!T16*(1+Inputs!$B$35/100))/(1/Q2231)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2220)</f>
        <v/>
      </c>
      <c r="L2220">
        <f>K2220*(MIN(Inputs!$B$23+((C2237=TRUE)*(F2237-Calc!F22)),(Inputs!$B$24+((C2239=TRUE)*(F2239-Calc!F24))+(IF(ArtifactsInput!$M$15,CHOOSE(ArtifactsInput!$N$15+1,25,30,35,40,45,50)/100*(Inputs!$B$12-Inputs!$B$12),0))))/100+(Inputs!$B$24+((C2239=TRUE)*(F2239-Calc!F24))+(IF(ArtifactsInput!$M$15,CHOOSE(ArtifactsInput!$N$15+1,25,30,35,40,45,50)/100*(Inputs!$B$12-Inputs!$B$12),0)))/100)/2</f>
        <v/>
      </c>
      <c r="M2220">
        <f>L2220*(1+(Inputs!$B$11+0+B2249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220">
        <f>L2220*(1-MIN((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2220*(MIN((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20">
        <f>(1-Summary!$B$11)*T2220+Summary!$B$11*V2220</f>
        <v/>
      </c>
      <c r="P2220">
        <f>IF(B2254=0,0,O2220/B2254)</f>
        <v/>
      </c>
      <c r="Q2220">
        <f>IFERROR(1/IF(Inputs!$B$39="pvp",15,MAX(0.1,Skills!D5-IF(TRUE=TRUE,Inputs!$B$33,0))),0)</f>
        <v/>
      </c>
      <c r="R2220">
        <f>IF(AND(Inputs!$B$39&lt;&gt;"pvp",Inputs!$B$44&gt;0),IF(MAX(0,Inputs!$B$44-B2251)&lt;=0,0,(INT(MAX(0,Inputs!$B$44-B2251)/IF(Inputs!$B$39="pvp",15,MAX(0.1,Skills!D5-IF(TRUE=TRUE,Inputs!$B$33,0))))+1)),0)</f>
        <v/>
      </c>
      <c r="S2220">
        <f>IFERROR(O2220/N2220,0)</f>
        <v/>
      </c>
      <c r="T2220">
        <f>IF(C2220,(H2220*N2220*IF(AND(Inputs!$B$39&lt;&gt;"pvp",Inputs!$B$44&gt;0),((Skills!G5*((R2220-1)*IF(Skills!H5&gt;0,INT(Skills!I5/Skills!H5+0.000000001),1)+IF(Skills!H5&gt;0,INT(MIN(Skills!I5,MAX(0,MAX(0,Inputs!$B$44-B2251)-((R2220-1)*IF(Inputs!$B$39="pvp",15,MAX(0.1,Skills!D5-IF(TRUE=TRUE,Inputs!$B$33,0))))))/Skills!H5+0.000000001),1)))/Inputs!$B$44),G2220*Q2220))*IF(Inputs!$B$39="pvp",1,1+(Inputs!$B$21+0+Skills!P5+((C2232=TRUE)*F2232*IF(AND(Inputs!$B$39&lt;&gt;"pvp",Inputs!$B$44&gt;0),(((R2232-1)*MIN((Skills!T17*(1+Inputs!$B$35/100)),(1/Q2232))+MIN((Skills!T17*(1+Inputs!$B$35/100)),MAX(0,Inputs!$B$44-((R2232-1)*(1/Q2232)))))/Inputs!$B$44),IF(Inputs!$B$39="pvp",MIN((Skills!T17*(1+Inputs!$B$35/100)),15)/15,MIN(1,(Skills!T17*(1+Inputs!$B$35/100))/(1/Q2232)))))+((C2220=TRUE)*IF(Inputs!$B$3&gt;=126,10*MIN(1,15*Q2220),0))+((C2229=TRUE)*IF(Inputs!$B$39="pvp",20,(1-Summary!$B$11)*(20)+Summary!$B$11*(0))*IF(AND(Inputs!$B$39&lt;&gt;"pvp",Inputs!$B$44&gt;0),(((R2229-1)*MIN((Skills!T14*(1+Inputs!$B$35/100)),(1/Q2229))+MIN((Skills!T14*(1+Inputs!$B$35/100)),MAX(0,Inputs!$B$44-((R2229-1)*(1/Q2229)))))/Inputs!$B$44),IF(Inputs!$B$39="pvp",MIN((Skills!T14*(1+Inputs!$B$35/100)),15)/15,MIN(1,(Skills!T14*(1+Inputs!$B$35/100))/(1/Q2229)))))+((C2228=TRUE)*IF(Inputs!$B$3&gt;=82,IF(Inputs!$B$39="pvp",20,(1-Summary!$B$11)*(20)+Summary!$B$11*(0)),0)*IF(AND(Inputs!$B$39&lt;&gt;"pvp",Inputs!$B$44&gt;0),(((R2228-1)*MIN((Skills!T13*(1+Inputs!$B$35/100)),(1/Q2228))+MIN((Skills!T13*(1+Inputs!$B$35/100)),MAX(0,Inputs!$B$44-((R2228-1)*(1/Q2228)))))/Inputs!$B$44),IF(Inputs!$B$39="pvp",MIN((Skills!T13*(1+Inputs!$B$35/100)),15)/15,MIN(1,(Skills!T13*(1+Inputs!$B$35/100))/(1/Q2228)))))+(IF(AND(ArtifactsInput!$M$35,Inputs!$B$4&lt;&gt;"Chapter Hunt"),CHOOSE(ArtifactsInput!$N$35+1,15,18,21,24,27,30)*(1-EXP(-(0.2*B2246)*5)),0)+IF(AND(ArtifactsInput!$M$22,Inputs!$B$4&lt;&gt;"Chapter Hunt"),CHOOSE(ArtifactsInput!$N$22+1,10,12,14,16,18,20)*((0*(((0.15*B2246*5))^0/1)+1*(((0.15*B2246*5))^1/1)+2*(((0.15*B2246*5))^2/2)+3*(((0.15*B2246*5))^3/6)+4*(((0.15*B2246*5))^4/24)+5*(((0.15*B2246*5))^5/120))/((((0.15*B2246*5))^0/1)+(((0.15*B2246*5))^1/1)+(((0.15*B2246*5))^2/2)+(((0.15*B2246*5))^3/6)+(((0.15*B2246*5))^4/24)+(((0.15*B2246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2220*(1-MIN(100,(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2220*(MIN(100,(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2220*(1-MIN(100,(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2220*(MIN(100,(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20">
        <f>IF(C2220,(H2220*N2220*IF(AND(Inputs!$B$39&lt;&gt;"pvp",Inputs!$B$44&gt;0),((Skills!G5*((R2220-1)*IF(Skills!H5&gt;0,INT(Skills!I5/Skills!H5+0.000000001),1)+IF(Skills!H5&gt;0,INT(MIN(Skills!I5,MAX(0,MAX(0,Inputs!$B$44-B2251)-((R2220-1)*IF(Inputs!$B$39="pvp",15,MAX(0.1,Skills!D5-IF(TRUE=TRUE,Inputs!$B$33,0))))))/Skills!H5+0.000000001),1)))/Inputs!$B$44),G2220*Q2220))*IF(Inputs!$B$39="pvp",1,(1+(Inputs!$B$22+Skills!Q5+((C2232=TRUE)*F2232*IF(AND(Inputs!$B$39&lt;&gt;"pvp",Inputs!$B$44&gt;0),(((R2232-1)*MIN((Skills!T17*(1+Inputs!$B$35/100)),(1/Q2232))+MIN((Skills!T17*(1+Inputs!$B$35/100)),MAX(0,Inputs!$B$44-((R2232-1)*(1/Q2232)))))/Inputs!$B$44),IF(Inputs!$B$39="pvp",MIN((Skills!T17*(1+Inputs!$B$35/100)),15)/15,MIN(1,(Skills!T17*(1+Inputs!$B$35/100))/(1/Q2232)))))+((C2220=TRUE)*IF(Inputs!$B$3&gt;=126,10*MIN(1,15*Q2220),0))+((C2229=TRUE)*IF(Inputs!$B$39="pvp",20,(1-Summary!$B$11)*(20)+Summary!$B$11*(0))*IF(AND(Inputs!$B$39&lt;&gt;"pvp",Inputs!$B$44&gt;0),(((R2229-1)*MIN((Skills!T14*(1+Inputs!$B$35/100)),(1/Q2229))+MIN((Skills!T14*(1+Inputs!$B$35/100)),MAX(0,Inputs!$B$44-((R2229-1)*(1/Q2229)))))/Inputs!$B$44),IF(Inputs!$B$39="pvp",MIN((Skills!T14*(1+Inputs!$B$35/100)),15)/15,MIN(1,(Skills!T14*(1+Inputs!$B$35/100))/(1/Q2229)))))+((C2228=TRUE)*IF(Inputs!$B$3&gt;=82,IF(Inputs!$B$39="pvp",20,(1-Summary!$B$11)*(20)+Summary!$B$11*(0)),0)*IF(AND(Inputs!$B$39&lt;&gt;"pvp",Inputs!$B$44&gt;0),(((R2228-1)*MIN((Skills!T13*(1+Inputs!$B$35/100)),(1/Q2228))+MIN((Skills!T13*(1+Inputs!$B$35/100)),MAX(0,Inputs!$B$44-((R2228-1)*(1/Q2228)))))/Inputs!$B$44),IF(Inputs!$B$39="pvp",MIN((Skills!T13*(1+Inputs!$B$35/100)),15)/15,MIN(1,(Skills!T13*(1+Inputs!$B$35/100))/(1/Q2228)))))+(IF(AND(ArtifactsInput!$M$35,Inputs!$B$4&lt;&gt;"Chapter Hunt"),CHOOSE(ArtifactsInput!$N$35+1,15,18,21,24,27,30)*(1-EXP(-(0.2*B2246)*5)),0)+IF(AND(ArtifactsInput!$M$22,Inputs!$B$4&lt;&gt;"Chapter Hunt"),CHOOSE(ArtifactsInput!$N$22+1,10,12,14,16,18,20)*((0*(((0.15*B2246*5))^0/1)+1*(((0.15*B2246*5))^1/1)+2*(((0.15*B2246*5))^2/2)+3*(((0.15*B2246*5))^3/6)+4*(((0.15*B2246*5))^4/24)+5*(((0.15*B2246*5))^5/120))/((((0.15*B2246*5))^0/1)+(((0.15*B2246*5))^1/1)+(((0.15*B2246*5))^2/2)+(((0.15*B2246*5))^3/6)+(((0.15*B2246*5))^4/24)+(((0.15*B2246*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21">
      <c r="A2221">
        <f>Skills!A6</f>
        <v/>
      </c>
      <c r="B2221">
        <f>Skills!B6</f>
        <v/>
      </c>
      <c r="C2221">
        <f>Inputs!$B$3&gt;=103</f>
        <v/>
      </c>
      <c r="D2221">
        <f>IF(Skills!C6=1,60+Inputs!$B$26+Inputs!$B$30,IF(Skills!C6=2,90+Inputs!$B$27+Inputs!$B$30,IF(Skills!C6=3,120+Inputs!$B$28+Inputs!$B$30,MAX(0,(Inputs!$B$3-100)*3)+Inputs!$B$29+Inputs!$B$30)))</f>
        <v/>
      </c>
      <c r="E2221">
        <f>INDEX(FactorTable!$B$2:$Y$301, MATCH(ROUND(MIN(300,MAX(1,D2221)),0), FactorTable!$A$2:$A$301,0), Skills!M6+1)</f>
        <v/>
      </c>
      <c r="F2221">
        <f>IF(Skills!N6=TRUE,(Skills!L6/10)*(E2221/1000),Skills!L6/10)+Skills!O6</f>
        <v/>
      </c>
      <c r="G2221">
        <f>Skills!G6*IF(Skills!H6&gt;0,INT(IF(Inputs!$B$39="pvp",MIN(Skills!I6,15),Skills!I6)/Skills!H6+0.000000001),1)</f>
        <v/>
      </c>
      <c r="H2221">
        <f>1-(1-Skills!J6/100)^Skills!K6</f>
        <v/>
      </c>
      <c r="I2221" t="inlineStr">
        <is>
          <t>1</t>
        </is>
      </c>
      <c r="J2221">
        <f>((Inputs!$B$6*(1+Inputs!$B$7/100))+(((Inputs!$B$13*(1+Inputs!$B$14/100))-(Inputs!$B$13*(1+Inputs!$B$14/100)))+0.25*(Inputs!$B$15-Inputs!$B$15))*(1+Inputs!$B$7/100))*(F2221/100)</f>
        <v/>
      </c>
      <c r="K2221">
        <f>J2221*(1+(((Inputs!$B$13+IF(Inputs!$B$3&gt;=38,(10*INDEX(FactorTable!$B$2:$Y$301, MATCH(ROUND(MIN(300,MAX(1,Inputs!$B$3)),0), FactorTable!$A$2:$A$301,0), 23)/1000)/100*(Inputs!$B$8*(1+Inputs!$B$9/100)),0))*(1+Inputs!$B$14/100))*0.01+Inputs!$B$15*0.0025)/100)*(1+Inputs!$B$16/100)*(1+Inputs!$B$17/100)*(5000/(6000+Inputs!$B$43*(1-(Inputs!$B$20+0)/100)))*(1+(Inputs!$B$25+((C2240=TRUE)*(F2240-Calc!F25))+((C2241=TRUE)*(F2241-Calc!F26))+B2250)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gt;=100),MIN(100,((Inputs!$B$10+0+B2244+(ArtifactsInput!$M$24-ArtifactsInput!$M$24)*CHOOSE(ArtifactsInput!$N$24+1,10,12,14,16,18,20)+IF(ArtifactsInput!$M$10,CHOOSE(ArtifactsInput!$N$10+1,15,18,21,24,27,30)*(IF(Inputs!$B$39="pvp",MIN(15,15)/15,IF(AND(Inputs!$B$39&lt;&gt;"pvp",Inputs!$B$44&gt;0),MIN(15,Inputs!$B$44)/(Inputs!$B$44),0))),0)))-100),0))*CHOOSE(ArtifactsInput!$N$42+1,0.6,0.72,0.84,0.96,1.08,1.2))),Inputs!$B$19+((C2238=TRUE)*(F2238-Calc!F23))+(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gt;=100),CHOOSE(ArtifactsInput!$N$42+1,40,48,56,64,72,80),0))))/100)*((1+(((C2228=TRUE)*F2228*IF(AND(Inputs!$B$39&lt;&gt;"pvp",Inputs!$B$44&gt;0),(((R2228-1)*MIN((Skills!T13*(1+Inputs!$B$35/100)),(1/Q2228))+MIN((Skills!T13*(1+Inputs!$B$35/100)),MAX(0,Inputs!$B$44-((R2228-1)*(1/Q2228)))))/Inputs!$B$44),IF(Inputs!$B$39="pvp",MIN((Skills!T13*(1+Inputs!$B$35/100)),15)/15,MIN(1,(Skills!T13*(1+Inputs!$B$35/100))/(1/Q2228)))))+((C2229=TRUE)*F2229*IF(AND(Inputs!$B$39&lt;&gt;"pvp",Inputs!$B$44&gt;0),(((R2229-1)*MIN((Skills!T14*(1+Inputs!$B$35/100)),(1/Q2229))+MIN((Skills!T14*(1+Inputs!$B$35/100)),MAX(0,Inputs!$B$44-((R2229-1)*(1/Q2229)))))/Inputs!$B$44),IF(Inputs!$B$39="pvp",MIN((Skills!T14*(1+Inputs!$B$35/100)),15)/15,MIN(1,(Skills!T14*(1+Inputs!$B$35/100))/(1/Q2229)))))+((C2230=TRUE)*F2230*IF(AND(Inputs!$B$39&lt;&gt;"pvp",Inputs!$B$44&gt;0),(((R2230-1)*MIN((Skills!T15*(1+Inputs!$B$35/100)),(1/Q2230))+MIN((Skills!T15*(1+Inputs!$B$35/100)),MAX(0,Inputs!$B$44-((R2230-1)*(1/Q2230)))))/Inputs!$B$44),IF(Inputs!$B$39="pvp",MIN((Skills!T15*(1+Inputs!$B$35/100)),15)/15,MIN(1,(Skills!T15*(1+Inputs!$B$35/100))/(1/Q2230)))))+((C2231=TRUE)*F2231*IF(AND(Inputs!$B$39&lt;&gt;"pvp",Inputs!$B$44&gt;0),(((R2231-1)*MIN((Skills!T16*(1+Inputs!$B$35/100)),(1/Q2231))+MIN((Skills!T16*(1+Inputs!$B$35/100)),MAX(0,Inputs!$B$44-((R2231-1)*(1/Q2231)))))/Inputs!$B$44),IF(Inputs!$B$39="pvp",MIN((Skills!T16*(1+Inputs!$B$35/100)),15)/15,MIN(1,(Skills!T16*(1+Inputs!$B$35/100))/(1/Q2231)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2221)</f>
        <v/>
      </c>
      <c r="L2221">
        <f>K2221*(MIN(Inputs!$B$23+((C2237=TRUE)*(F2237-Calc!F22)),(Inputs!$B$24+((C2239=TRUE)*(F2239-Calc!F24))+(IF(ArtifactsInput!$M$15,CHOOSE(ArtifactsInput!$N$15+1,25,30,35,40,45,50)/100*(Inputs!$B$12-Inputs!$B$12),0))))/100+(Inputs!$B$24+((C2239=TRUE)*(F2239-Calc!F24))+(IF(ArtifactsInput!$M$15,CHOOSE(ArtifactsInput!$N$15+1,25,30,35,40,45,50)/100*(Inputs!$B$12-Inputs!$B$12),0)))/100)/2</f>
        <v/>
      </c>
      <c r="M2221">
        <f>L2221*(1+(Inputs!$B$11+0+B2249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221">
        <f>L2221*(1-MIN((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2221*(MIN((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21">
        <f>(1-Summary!$B$11)*T2221+Summary!$B$11*V2221</f>
        <v/>
      </c>
      <c r="P2221">
        <f>IF(B2254=0,0,O2221/B2254)</f>
        <v/>
      </c>
      <c r="Q2221">
        <f>IFERROR(1/IF(Inputs!$B$39="pvp",15,MAX(0.1,Skills!D6-IF(TRUE=TRUE,Inputs!$B$33,0))),0)</f>
        <v/>
      </c>
      <c r="R2221">
        <f>IF(AND(Inputs!$B$39&lt;&gt;"pvp",Inputs!$B$44&gt;0),IF(MAX(0,Inputs!$B$44-B2251)&lt;=0,0,(INT(MAX(0,Inputs!$B$44-B2251)/IF(Inputs!$B$39="pvp",15,MAX(0.1,Skills!D6-IF(TRUE=TRUE,Inputs!$B$33,0))))+1)),0)</f>
        <v/>
      </c>
      <c r="S2221">
        <f>IFERROR(O2221/N2221,0)</f>
        <v/>
      </c>
      <c r="T2221">
        <f>IF(C2221,(H2221*N2221*IF(AND(Inputs!$B$39&lt;&gt;"pvp",Inputs!$B$44&gt;0),((Skills!G6*((R2221-1)*IF(Skills!H6&gt;0,INT(Skills!I6/Skills!H6+0.000000001),1)+IF(Skills!H6&gt;0,INT(MIN(Skills!I6,MAX(0,MAX(0,Inputs!$B$44-B2251)-((R2221-1)*IF(Inputs!$B$39="pvp",15,MAX(0.1,Skills!D6-IF(TRUE=TRUE,Inputs!$B$33,0))))))/Skills!H6+0.000000001),1)))/Inputs!$B$44),G2221*Q2221))*IF(Inputs!$B$39="pvp",1,1+(Inputs!$B$21+0+Skills!P6+((C2232=TRUE)*F2232*IF(AND(Inputs!$B$39&lt;&gt;"pvp",Inputs!$B$44&gt;0),(((R2232-1)*MIN((Skills!T17*(1+Inputs!$B$35/100)),(1/Q2232))+MIN((Skills!T17*(1+Inputs!$B$35/100)),MAX(0,Inputs!$B$44-((R2232-1)*(1/Q2232)))))/Inputs!$B$44),IF(Inputs!$B$39="pvp",MIN((Skills!T17*(1+Inputs!$B$35/100)),15)/15,MIN(1,(Skills!T17*(1+Inputs!$B$35/100))/(1/Q2232)))))+((C2220=TRUE)*IF(Inputs!$B$3&gt;=126,10*MIN(1,15*Q2220),0))+((C2229=TRUE)*IF(Inputs!$B$39="pvp",20,(1-Summary!$B$11)*(20)+Summary!$B$11*(0))*IF(AND(Inputs!$B$39&lt;&gt;"pvp",Inputs!$B$44&gt;0),(((R2229-1)*MIN((Skills!T14*(1+Inputs!$B$35/100)),(1/Q2229))+MIN((Skills!T14*(1+Inputs!$B$35/100)),MAX(0,Inputs!$B$44-((R2229-1)*(1/Q2229)))))/Inputs!$B$44),IF(Inputs!$B$39="pvp",MIN((Skills!T14*(1+Inputs!$B$35/100)),15)/15,MIN(1,(Skills!T14*(1+Inputs!$B$35/100))/(1/Q2229)))))+((C2228=TRUE)*IF(Inputs!$B$3&gt;=82,IF(Inputs!$B$39="pvp",20,(1-Summary!$B$11)*(20)+Summary!$B$11*(0)),0)*IF(AND(Inputs!$B$39&lt;&gt;"pvp",Inputs!$B$44&gt;0),(((R2228-1)*MIN((Skills!T13*(1+Inputs!$B$35/100)),(1/Q2228))+MIN((Skills!T13*(1+Inputs!$B$35/100)),MAX(0,Inputs!$B$44-((R2228-1)*(1/Q2228)))))/Inputs!$B$44),IF(Inputs!$B$39="pvp",MIN((Skills!T13*(1+Inputs!$B$35/100)),15)/15,MIN(1,(Skills!T13*(1+Inputs!$B$35/100))/(1/Q2228)))))+(IF(AND(ArtifactsInput!$M$35,Inputs!$B$4&lt;&gt;"Chapter Hunt"),CHOOSE(ArtifactsInput!$N$35+1,15,18,21,24,27,30)*(1-EXP(-(0.2*B2246)*5)),0)+IF(AND(ArtifactsInput!$M$22,Inputs!$B$4&lt;&gt;"Chapter Hunt"),CHOOSE(ArtifactsInput!$N$22+1,10,12,14,16,18,20)*((0*(((0.15*B2246*5))^0/1)+1*(((0.15*B2246*5))^1/1)+2*(((0.15*B2246*5))^2/2)+3*(((0.15*B2246*5))^3/6)+4*(((0.15*B2246*5))^4/24)+5*(((0.15*B2246*5))^5/120))/((((0.15*B2246*5))^0/1)+(((0.15*B2246*5))^1/1)+(((0.15*B2246*5))^2/2)+(((0.15*B2246*5))^3/6)+(((0.15*B2246*5))^4/24)+(((0.15*B2246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2221*(1-MIN(100,(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2221*(MIN(100,(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2221*(1-MIN(100,(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2221*(MIN(100,(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21">
        <f>IF(C2221,(H2221*N2221*IF(AND(Inputs!$B$39&lt;&gt;"pvp",Inputs!$B$44&gt;0),((Skills!G6*((R2221-1)*IF(Skills!H6&gt;0,INT(Skills!I6/Skills!H6+0.000000001),1)+IF(Skills!H6&gt;0,INT(MIN(Skills!I6,MAX(0,MAX(0,Inputs!$B$44-B2251)-((R2221-1)*IF(Inputs!$B$39="pvp",15,MAX(0.1,Skills!D6-IF(TRUE=TRUE,Inputs!$B$33,0))))))/Skills!H6+0.000000001),1)))/Inputs!$B$44),G2221*Q2221))*IF(Inputs!$B$39="pvp",1,(1+(Inputs!$B$22+Skills!Q6+((C2232=TRUE)*F2232*IF(AND(Inputs!$B$39&lt;&gt;"pvp",Inputs!$B$44&gt;0),(((R2232-1)*MIN((Skills!T17*(1+Inputs!$B$35/100)),(1/Q2232))+MIN((Skills!T17*(1+Inputs!$B$35/100)),MAX(0,Inputs!$B$44-((R2232-1)*(1/Q2232)))))/Inputs!$B$44),IF(Inputs!$B$39="pvp",MIN((Skills!T17*(1+Inputs!$B$35/100)),15)/15,MIN(1,(Skills!T17*(1+Inputs!$B$35/100))/(1/Q2232)))))+((C2220=TRUE)*IF(Inputs!$B$3&gt;=126,10*MIN(1,15*Q2220),0))+((C2229=TRUE)*IF(Inputs!$B$39="pvp",20,(1-Summary!$B$11)*(20)+Summary!$B$11*(0))*IF(AND(Inputs!$B$39&lt;&gt;"pvp",Inputs!$B$44&gt;0),(((R2229-1)*MIN((Skills!T14*(1+Inputs!$B$35/100)),(1/Q2229))+MIN((Skills!T14*(1+Inputs!$B$35/100)),MAX(0,Inputs!$B$44-((R2229-1)*(1/Q2229)))))/Inputs!$B$44),IF(Inputs!$B$39="pvp",MIN((Skills!T14*(1+Inputs!$B$35/100)),15)/15,MIN(1,(Skills!T14*(1+Inputs!$B$35/100))/(1/Q2229)))))+((C2228=TRUE)*IF(Inputs!$B$3&gt;=82,IF(Inputs!$B$39="pvp",20,(1-Summary!$B$11)*(20)+Summary!$B$11*(0)),0)*IF(AND(Inputs!$B$39&lt;&gt;"pvp",Inputs!$B$44&gt;0),(((R2228-1)*MIN((Skills!T13*(1+Inputs!$B$35/100)),(1/Q2228))+MIN((Skills!T13*(1+Inputs!$B$35/100)),MAX(0,Inputs!$B$44-((R2228-1)*(1/Q2228)))))/Inputs!$B$44),IF(Inputs!$B$39="pvp",MIN((Skills!T13*(1+Inputs!$B$35/100)),15)/15,MIN(1,(Skills!T13*(1+Inputs!$B$35/100))/(1/Q2228)))))+(IF(AND(ArtifactsInput!$M$35,Inputs!$B$4&lt;&gt;"Chapter Hunt"),CHOOSE(ArtifactsInput!$N$35+1,15,18,21,24,27,30)*(1-EXP(-(0.2*B2246)*5)),0)+IF(AND(ArtifactsInput!$M$22,Inputs!$B$4&lt;&gt;"Chapter Hunt"),CHOOSE(ArtifactsInput!$N$22+1,10,12,14,16,18,20)*((0*(((0.15*B2246*5))^0/1)+1*(((0.15*B2246*5))^1/1)+2*(((0.15*B2246*5))^2/2)+3*(((0.15*B2246*5))^3/6)+4*(((0.15*B2246*5))^4/24)+5*(((0.15*B2246*5))^5/120))/((((0.15*B2246*5))^0/1)+(((0.15*B2246*5))^1/1)+(((0.15*B2246*5))^2/2)+(((0.15*B2246*5))^3/6)+(((0.15*B2246*5))^4/24)+(((0.15*B2246*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22">
      <c r="A2222">
        <f>Skills!A7</f>
        <v/>
      </c>
      <c r="B2222">
        <f>Skills!B7</f>
        <v/>
      </c>
      <c r="C2222">
        <f>Inputs!$B$3&gt;=40</f>
        <v/>
      </c>
      <c r="D2222">
        <f>IF(Skills!C7=1,60+Inputs!$B$26+Inputs!$B$30,IF(Skills!C7=2,90+Inputs!$B$27+Inputs!$B$30,IF(Skills!C7=3,120+Inputs!$B$28+Inputs!$B$30,MAX(0,(Inputs!$B$3-100)*3)+Inputs!$B$29+Inputs!$B$30)))</f>
        <v/>
      </c>
      <c r="E2222">
        <f>INDEX(FactorTable!$B$2:$Y$301, MATCH(ROUND(MIN(300,MAX(1,D2222)),0), FactorTable!$A$2:$A$301,0), Skills!M7+1)</f>
        <v/>
      </c>
      <c r="F2222">
        <f>IF(Skills!N7=TRUE,(Skills!L7/10)*(E2222/1000),Skills!L7/10)+Skills!O7</f>
        <v/>
      </c>
      <c r="G2222">
        <f>Skills!G7*IF(Skills!H7&gt;0,INT(IF(Inputs!$B$39="pvp",MIN(Skills!I7,15),Skills!I7)/Skills!H7+0.000000001),1)</f>
        <v/>
      </c>
      <c r="H2222">
        <f>1-(1-Skills!J7/100)^Skills!K7</f>
        <v/>
      </c>
      <c r="I2222" t="inlineStr">
        <is>
          <t>1</t>
        </is>
      </c>
      <c r="J2222">
        <f>((Inputs!$B$6*(1+Inputs!$B$7/100))+(((Inputs!$B$13*(1+Inputs!$B$14/100))-(Inputs!$B$13*(1+Inputs!$B$14/100)))+0.25*(Inputs!$B$15-Inputs!$B$15))*(1+Inputs!$B$7/100))*(F2222/100)</f>
        <v/>
      </c>
      <c r="K2222">
        <f>J2222*(1+(((Inputs!$B$13+IF(Inputs!$B$3&gt;=38,(10*INDEX(FactorTable!$B$2:$Y$301, MATCH(ROUND(MIN(300,MAX(1,Inputs!$B$3)),0), FactorTable!$A$2:$A$301,0), 23)/1000)/100*(Inputs!$B$8*(1+Inputs!$B$9/100)),0))*(1+Inputs!$B$14/100))*0.01+Inputs!$B$15*0.0025)/100)*(1+Inputs!$B$16/100)*(1+Inputs!$B$17/100)*(5000/(6000+Inputs!$B$43*(1-(Inputs!$B$20+0)/100)))*(1+(Inputs!$B$25+((C2240=TRUE)*(F2240-Calc!F25))+((C2241=TRUE)*(F2241-Calc!F26))+B2250)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2226=TRUE,F2226,0)/100)*(1+(IF(Skills!A7="DARK_IMPALE",Inputs!$B$18+0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gt;=100),MIN(100,((Inputs!$B$10+0+B2244+(ArtifactsInput!$M$24-ArtifactsInput!$M$24)*CHOOSE(ArtifactsInput!$N$24+1,10,12,14,16,18,20)+IF(ArtifactsInput!$M$10,CHOOSE(ArtifactsInput!$N$10+1,15,18,21,24,27,30)*(IF(Inputs!$B$39="pvp",MIN(15,15)/15,IF(AND(Inputs!$B$39&lt;&gt;"pvp",Inputs!$B$44&gt;0),MIN(15,Inputs!$B$44)/(Inputs!$B$44),0))),0)))-100),0))*CHOOSE(ArtifactsInput!$N$42+1,0.6,0.72,0.84,0.96,1.08,1.2))),Inputs!$B$19+((C2238=TRUE)*(F2238-Calc!F23))+(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gt;=100),CHOOSE(ArtifactsInput!$N$42+1,40,48,56,64,72,80),0))))/100)*((1+(((C2228=TRUE)*F2228*IF(AND(Inputs!$B$39&lt;&gt;"pvp",Inputs!$B$44&gt;0),(((R2228-1)*MIN((Skills!T13*(1+Inputs!$B$35/100)),(1/Q2228))+MIN((Skills!T13*(1+Inputs!$B$35/100)),MAX(0,Inputs!$B$44-((R2228-1)*(1/Q2228)))))/Inputs!$B$44),IF(Inputs!$B$39="pvp",MIN((Skills!T13*(1+Inputs!$B$35/100)),15)/15,MIN(1,(Skills!T13*(1+Inputs!$B$35/100))/(1/Q2228)))))+((C2229=TRUE)*F2229*IF(AND(Inputs!$B$39&lt;&gt;"pvp",Inputs!$B$44&gt;0),(((R2229-1)*MIN((Skills!T14*(1+Inputs!$B$35/100)),(1/Q2229))+MIN((Skills!T14*(1+Inputs!$B$35/100)),MAX(0,Inputs!$B$44-((R2229-1)*(1/Q2229)))))/Inputs!$B$44),IF(Inputs!$B$39="pvp",MIN((Skills!T14*(1+Inputs!$B$35/100)),15)/15,MIN(1,(Skills!T14*(1+Inputs!$B$35/100))/(1/Q2229)))))+((C2230=TRUE)*F2230*IF(AND(Inputs!$B$39&lt;&gt;"pvp",Inputs!$B$44&gt;0),(((R2230-1)*MIN((Skills!T15*(1+Inputs!$B$35/100)),(1/Q2230))+MIN((Skills!T15*(1+Inputs!$B$35/100)),MAX(0,Inputs!$B$44-((R2230-1)*(1/Q2230)))))/Inputs!$B$44),IF(Inputs!$B$39="pvp",MIN((Skills!T15*(1+Inputs!$B$35/100)),15)/15,MIN(1,(Skills!T15*(1+Inputs!$B$35/100))/(1/Q2230)))))+((C2231=TRUE)*F2231*IF(AND(Inputs!$B$39&lt;&gt;"pvp",Inputs!$B$44&gt;0),(((R2231-1)*MIN((Skills!T16*(1+Inputs!$B$35/100)),(1/Q2231))+MIN((Skills!T16*(1+Inputs!$B$35/100)),MAX(0,Inputs!$B$44-((R2231-1)*(1/Q2231)))))/Inputs!$B$44),IF(Inputs!$B$39="pvp",MIN((Skills!T16*(1+Inputs!$B$35/100)),15)/15,MIN(1,(Skills!T16*(1+Inputs!$B$35/100))/(1/Q2231)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2222)</f>
        <v/>
      </c>
      <c r="L2222">
        <f>K2222*(MIN(Inputs!$B$23+((C2237=TRUE)*(F2237-Calc!F22)),(Inputs!$B$24+((C2239=TRUE)*(F2239-Calc!F24))+(IF(ArtifactsInput!$M$15,CHOOSE(ArtifactsInput!$N$15+1,25,30,35,40,45,50)/100*(Inputs!$B$12-Inputs!$B$12),0))))/100+(Inputs!$B$24+((C2239=TRUE)*(F2239-Calc!F24))+(IF(ArtifactsInput!$M$15,CHOOSE(ArtifactsInput!$N$15+1,25,30,35,40,45,50)/100*(Inputs!$B$12-Inputs!$B$12),0)))/100)/2</f>
        <v/>
      </c>
      <c r="M2222">
        <f>L2222*(1+(Inputs!$B$11+0+B2249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222">
        <f>L2222*(1-MIN((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2222*(MIN((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22">
        <f>(1-Summary!$B$11)*T2222+Summary!$B$11*V2222</f>
        <v/>
      </c>
      <c r="P2222">
        <f>IF(B2254=0,0,O2222/B2254)</f>
        <v/>
      </c>
      <c r="Q2222">
        <f>IFERROR(1/IF(Inputs!$B$39="pvp",15,MAX(0.1,Skills!D7-IF(TRUE=TRUE,Inputs!$B$33,0))),0)</f>
        <v/>
      </c>
      <c r="R2222">
        <f>IF(AND(Inputs!$B$39&lt;&gt;"pvp",Inputs!$B$44&gt;0),IF(MAX(0,Inputs!$B$44-B2251)&lt;=0,0,(INT(MAX(0,Inputs!$B$44-B2251)/IF(Inputs!$B$39="pvp",15,MAX(0.1,Skills!D7-IF(TRUE=TRUE,Inputs!$B$33,0))))+1)),0)</f>
        <v/>
      </c>
      <c r="S2222">
        <f>IFERROR(O2222/N2222,0)</f>
        <v/>
      </c>
      <c r="T2222">
        <f>IF(C2222,(H2222*N2222*IF(AND(Inputs!$B$39&lt;&gt;"pvp",Inputs!$B$44&gt;0),((Skills!G7*((R2222-1)*IF(Skills!H7&gt;0,INT(Skills!I7/Skills!H7+0.000000001),1)+IF(Skills!H7&gt;0,INT(MIN(Skills!I7,MAX(0,MAX(0,Inputs!$B$44-B2251)-((R2222-1)*IF(Inputs!$B$39="pvp",15,MAX(0.1,Skills!D7-IF(TRUE=TRUE,Inputs!$B$33,0))))))/Skills!H7+0.000000001),1)))/Inputs!$B$44),G2222*Q2222))*IF(Inputs!$B$39="pvp",1,1+(Inputs!$B$21+0+Skills!P7+((C2232=TRUE)*F2232*IF(AND(Inputs!$B$39&lt;&gt;"pvp",Inputs!$B$44&gt;0),(((R2232-1)*MIN((Skills!T17*(1+Inputs!$B$35/100)),(1/Q2232))+MIN((Skills!T17*(1+Inputs!$B$35/100)),MAX(0,Inputs!$B$44-((R2232-1)*(1/Q2232)))))/Inputs!$B$44),IF(Inputs!$B$39="pvp",MIN((Skills!T17*(1+Inputs!$B$35/100)),15)/15,MIN(1,(Skills!T17*(1+Inputs!$B$35/100))/(1/Q2232)))))+((C2220=TRUE)*IF(Inputs!$B$3&gt;=126,10*MIN(1,15*Q2220),0))+((C2229=TRUE)*IF(Inputs!$B$39="pvp",20,(1-Summary!$B$11)*(20)+Summary!$B$11*(0))*IF(AND(Inputs!$B$39&lt;&gt;"pvp",Inputs!$B$44&gt;0),(((R2229-1)*MIN((Skills!T14*(1+Inputs!$B$35/100)),(1/Q2229))+MIN((Skills!T14*(1+Inputs!$B$35/100)),MAX(0,Inputs!$B$44-((R2229-1)*(1/Q2229)))))/Inputs!$B$44),IF(Inputs!$B$39="pvp",MIN((Skills!T14*(1+Inputs!$B$35/100)),15)/15,MIN(1,(Skills!T14*(1+Inputs!$B$35/100))/(1/Q2229)))))+((C2228=TRUE)*IF(Inputs!$B$3&gt;=82,IF(Inputs!$B$39="pvp",20,(1-Summary!$B$11)*(20)+Summary!$B$11*(0)),0)*IF(AND(Inputs!$B$39&lt;&gt;"pvp",Inputs!$B$44&gt;0),(((R2228-1)*MIN((Skills!T13*(1+Inputs!$B$35/100)),(1/Q2228))+MIN((Skills!T13*(1+Inputs!$B$35/100)),MAX(0,Inputs!$B$44-((R2228-1)*(1/Q2228)))))/Inputs!$B$44),IF(Inputs!$B$39="pvp",MIN((Skills!T13*(1+Inputs!$B$35/100)),15)/15,MIN(1,(Skills!T13*(1+Inputs!$B$35/100))/(1/Q2228)))))+(IF(AND(ArtifactsInput!$M$35,Inputs!$B$4&lt;&gt;"Chapter Hunt"),CHOOSE(ArtifactsInput!$N$35+1,15,18,21,24,27,30)*(1-EXP(-(0.2*B2246)*5)),0)+IF(AND(ArtifactsInput!$M$22,Inputs!$B$4&lt;&gt;"Chapter Hunt"),CHOOSE(ArtifactsInput!$N$22+1,10,12,14,16,18,20)*((0*(((0.15*B2246*5))^0/1)+1*(((0.15*B2246*5))^1/1)+2*(((0.15*B2246*5))^2/2)+3*(((0.15*B2246*5))^3/6)+4*(((0.15*B2246*5))^4/24)+5*(((0.15*B2246*5))^5/120))/((((0.15*B2246*5))^0/1)+(((0.15*B2246*5))^1/1)+(((0.15*B2246*5))^2/2)+(((0.15*B2246*5))^3/6)+(((0.15*B2246*5))^4/24)+(((0.15*B2246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2222*(1-MIN(100,(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2222*(MIN(100,(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2222*(1-MIN(100,(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2222*(MIN(100,(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22">
        <f>IF(C2222,(H2222*N2222*IF(AND(Inputs!$B$39&lt;&gt;"pvp",Inputs!$B$44&gt;0),((Skills!G7*((R2222-1)*IF(Skills!H7&gt;0,INT(Skills!I7/Skills!H7+0.000000001),1)+IF(Skills!H7&gt;0,INT(MIN(Skills!I7,MAX(0,MAX(0,Inputs!$B$44-B2251)-((R2222-1)*IF(Inputs!$B$39="pvp",15,MAX(0.1,Skills!D7-IF(TRUE=TRUE,Inputs!$B$33,0))))))/Skills!H7+0.000000001),1)))/Inputs!$B$44),G2222*Q2222))*IF(Inputs!$B$39="pvp",1,(1+(Inputs!$B$22+Skills!Q7+((C2232=TRUE)*F2232*IF(AND(Inputs!$B$39&lt;&gt;"pvp",Inputs!$B$44&gt;0),(((R2232-1)*MIN((Skills!T17*(1+Inputs!$B$35/100)),(1/Q2232))+MIN((Skills!T17*(1+Inputs!$B$35/100)),MAX(0,Inputs!$B$44-((R2232-1)*(1/Q2232)))))/Inputs!$B$44),IF(Inputs!$B$39="pvp",MIN((Skills!T17*(1+Inputs!$B$35/100)),15)/15,MIN(1,(Skills!T17*(1+Inputs!$B$35/100))/(1/Q2232)))))+((C2220=TRUE)*IF(Inputs!$B$3&gt;=126,10*MIN(1,15*Q2220),0))+((C2229=TRUE)*IF(Inputs!$B$39="pvp",20,(1-Summary!$B$11)*(20)+Summary!$B$11*(0))*IF(AND(Inputs!$B$39&lt;&gt;"pvp",Inputs!$B$44&gt;0),(((R2229-1)*MIN((Skills!T14*(1+Inputs!$B$35/100)),(1/Q2229))+MIN((Skills!T14*(1+Inputs!$B$35/100)),MAX(0,Inputs!$B$44-((R2229-1)*(1/Q2229)))))/Inputs!$B$44),IF(Inputs!$B$39="pvp",MIN((Skills!T14*(1+Inputs!$B$35/100)),15)/15,MIN(1,(Skills!T14*(1+Inputs!$B$35/100))/(1/Q2229)))))+((C2228=TRUE)*IF(Inputs!$B$3&gt;=82,IF(Inputs!$B$39="pvp",20,(1-Summary!$B$11)*(20)+Summary!$B$11*(0)),0)*IF(AND(Inputs!$B$39&lt;&gt;"pvp",Inputs!$B$44&gt;0),(((R2228-1)*MIN((Skills!T13*(1+Inputs!$B$35/100)),(1/Q2228))+MIN((Skills!T13*(1+Inputs!$B$35/100)),MAX(0,Inputs!$B$44-((R2228-1)*(1/Q2228)))))/Inputs!$B$44),IF(Inputs!$B$39="pvp",MIN((Skills!T13*(1+Inputs!$B$35/100)),15)/15,MIN(1,(Skills!T13*(1+Inputs!$B$35/100))/(1/Q2228)))))+(IF(AND(ArtifactsInput!$M$35,Inputs!$B$4&lt;&gt;"Chapter Hunt"),CHOOSE(ArtifactsInput!$N$35+1,15,18,21,24,27,30)*(1-EXP(-(0.2*B2246)*5)),0)+IF(AND(ArtifactsInput!$M$22,Inputs!$B$4&lt;&gt;"Chapter Hunt"),CHOOSE(ArtifactsInput!$N$22+1,10,12,14,16,18,20)*((0*(((0.15*B2246*5))^0/1)+1*(((0.15*B2246*5))^1/1)+2*(((0.15*B2246*5))^2/2)+3*(((0.15*B2246*5))^3/6)+4*(((0.15*B2246*5))^4/24)+5*(((0.15*B2246*5))^5/120))/((((0.15*B2246*5))^0/1)+(((0.15*B2246*5))^1/1)+(((0.15*B2246*5))^2/2)+(((0.15*B2246*5))^3/6)+(((0.15*B2246*5))^4/24)+(((0.15*B2246*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23">
      <c r="A2223">
        <f>Skills!A8</f>
        <v/>
      </c>
      <c r="B2223">
        <f>Skills!B8</f>
        <v/>
      </c>
      <c r="C2223">
        <f>Inputs!$B$3&gt;=75</f>
        <v/>
      </c>
      <c r="D2223">
        <f>IF(Skills!C8=1,60+Inputs!$B$26+Inputs!$B$30,IF(Skills!C8=2,90+Inputs!$B$27+Inputs!$B$30,IF(Skills!C8=3,120+Inputs!$B$28+Inputs!$B$30,MAX(0,(Inputs!$B$3-100)*3)+Inputs!$B$29+Inputs!$B$30)))</f>
        <v/>
      </c>
      <c r="E2223">
        <f>INDEX(FactorTable!$B$2:$Y$301, MATCH(ROUND(MIN(300,MAX(1,D2223)),0), FactorTable!$A$2:$A$301,0), Skills!M8+1)</f>
        <v/>
      </c>
      <c r="F2223">
        <f>IF(Skills!N8=TRUE,(Skills!L8/10)*(E2223/1000),Skills!L8/10)+Skills!O8</f>
        <v/>
      </c>
      <c r="G2223" t="inlineStr"/>
      <c r="H2223" t="inlineStr"/>
      <c r="I2223" t="inlineStr">
        <is>
          <t>1</t>
        </is>
      </c>
      <c r="J2223" t="inlineStr"/>
      <c r="K2223" t="inlineStr"/>
      <c r="L2223" t="inlineStr"/>
      <c r="M2223" t="inlineStr"/>
      <c r="N2223" t="inlineStr"/>
      <c r="O2223" t="inlineStr"/>
      <c r="P2223" t="inlineStr"/>
      <c r="Q2223" t="inlineStr"/>
      <c r="R2223" t="inlineStr"/>
      <c r="S2223" t="inlineStr"/>
    </row>
    <row r="2224">
      <c r="A2224">
        <f>Skills!A9</f>
        <v/>
      </c>
      <c r="B2224">
        <f>Skills!B9</f>
        <v/>
      </c>
      <c r="C2224">
        <f>Inputs!$B$3&gt;=60</f>
        <v/>
      </c>
      <c r="D2224">
        <f>IF(Skills!C9=1,60+Inputs!$B$26+Inputs!$B$30,IF(Skills!C9=2,90+Inputs!$B$27+Inputs!$B$30,IF(Skills!C9=3,120+Inputs!$B$28+Inputs!$B$30,MAX(0,(Inputs!$B$3-100)*3)+Inputs!$B$29+Inputs!$B$30)))</f>
        <v/>
      </c>
      <c r="E2224">
        <f>INDEX(FactorTable!$B$2:$Y$301, MATCH(ROUND(MIN(300,MAX(1,D2224)),0), FactorTable!$A$2:$A$301,0), Skills!M9+1)</f>
        <v/>
      </c>
      <c r="F2224">
        <f>IF(Skills!N9=TRUE,(Skills!L9/10)*(E2224/1000),Skills!L9/10)+Skills!O9</f>
        <v/>
      </c>
      <c r="G2224">
        <f>Skills!G9*IF(Skills!H9&gt;0,INT(IF(Inputs!$B$39="pvp",MIN(Skills!I9,15),Skills!I9)/Skills!H9+0.000000001),1)</f>
        <v/>
      </c>
      <c r="H2224">
        <f>1-(1-Skills!J9/100)^Skills!K9</f>
        <v/>
      </c>
      <c r="I2224" t="inlineStr">
        <is>
          <t>1</t>
        </is>
      </c>
      <c r="J2224">
        <f>((Inputs!$B$6*(1+Inputs!$B$7/100))+(((Inputs!$B$13*(1+Inputs!$B$14/100))-(Inputs!$B$13*(1+Inputs!$B$14/100)))+0.25*(Inputs!$B$15-Inputs!$B$15))*(1+Inputs!$B$7/100))*(F2224/100)</f>
        <v/>
      </c>
      <c r="K2224">
        <f>J2224*(1+(((Inputs!$B$13+IF(Inputs!$B$3&gt;=38,(10*INDEX(FactorTable!$B$2:$Y$301, MATCH(ROUND(MIN(300,MAX(1,Inputs!$B$3)),0), FactorTable!$A$2:$A$301,0), 23)/1000)/100*(Inputs!$B$8*(1+Inputs!$B$9/100)),0))*(1+Inputs!$B$14/100))*0.01+Inputs!$B$15*0.0025)/100)*(1+Inputs!$B$16/100)*(1+Inputs!$B$17/100)*(5000/(6000+Inputs!$B$43*(1-(Inputs!$B$20+0)/100)))*(1+(Inputs!$B$25+((C2240=TRUE)*(F2240-Calc!F25))+((C2241=TRUE)*(F2241-Calc!F26))+B2250)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2226=TRUE,F2226,0)/100)*(1+(IF(Skills!A9="DARK_IMPALE",Inputs!$B$18+0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gt;=100),MIN(100,((Inputs!$B$10+0+B2244+(ArtifactsInput!$M$24-ArtifactsInput!$M$24)*CHOOSE(ArtifactsInput!$N$24+1,10,12,14,16,18,20)+IF(ArtifactsInput!$M$10,CHOOSE(ArtifactsInput!$N$10+1,15,18,21,24,27,30)*(IF(Inputs!$B$39="pvp",MIN(15,15)/15,IF(AND(Inputs!$B$39&lt;&gt;"pvp",Inputs!$B$44&gt;0),MIN(15,Inputs!$B$44)/(Inputs!$B$44),0))),0)))-100),0))*CHOOSE(ArtifactsInput!$N$42+1,0.6,0.72,0.84,0.96,1.08,1.2))),Inputs!$B$19+((C2238=TRUE)*(F2238-Calc!F23))+(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gt;=100),CHOOSE(ArtifactsInput!$N$42+1,40,48,56,64,72,80),0))))/100)*((1+(((C2228=TRUE)*F2228*IF(AND(Inputs!$B$39&lt;&gt;"pvp",Inputs!$B$44&gt;0),(((R2228-1)*MIN((Skills!T13*(1+Inputs!$B$35/100)),(1/Q2228))+MIN((Skills!T13*(1+Inputs!$B$35/100)),MAX(0,Inputs!$B$44-((R2228-1)*(1/Q2228)))))/Inputs!$B$44),IF(Inputs!$B$39="pvp",MIN((Skills!T13*(1+Inputs!$B$35/100)),15)/15,MIN(1,(Skills!T13*(1+Inputs!$B$35/100))/(1/Q2228)))))+((C2229=TRUE)*F2229*IF(AND(Inputs!$B$39&lt;&gt;"pvp",Inputs!$B$44&gt;0),(((R2229-1)*MIN((Skills!T14*(1+Inputs!$B$35/100)),(1/Q2229))+MIN((Skills!T14*(1+Inputs!$B$35/100)),MAX(0,Inputs!$B$44-((R2229-1)*(1/Q2229)))))/Inputs!$B$44),IF(Inputs!$B$39="pvp",MIN((Skills!T14*(1+Inputs!$B$35/100)),15)/15,MIN(1,(Skills!T14*(1+Inputs!$B$35/100))/(1/Q2229)))))+((C2230=TRUE)*F2230*IF(AND(Inputs!$B$39&lt;&gt;"pvp",Inputs!$B$44&gt;0),(((R2230-1)*MIN((Skills!T15*(1+Inputs!$B$35/100)),(1/Q2230))+MIN((Skills!T15*(1+Inputs!$B$35/100)),MAX(0,Inputs!$B$44-((R2230-1)*(1/Q2230)))))/Inputs!$B$44),IF(Inputs!$B$39="pvp",MIN((Skills!T15*(1+Inputs!$B$35/100)),15)/15,MIN(1,(Skills!T15*(1+Inputs!$B$35/100))/(1/Q2230)))))+((C2231=TRUE)*F2231*IF(AND(Inputs!$B$39&lt;&gt;"pvp",Inputs!$B$44&gt;0),(((R2231-1)*MIN((Skills!T16*(1+Inputs!$B$35/100)),(1/Q2231))+MIN((Skills!T16*(1+Inputs!$B$35/100)),MAX(0,Inputs!$B$44-((R2231-1)*(1/Q2231)))))/Inputs!$B$44),IF(Inputs!$B$39="pvp",MIN((Skills!T16*(1+Inputs!$B$35/100)),15)/15,MIN(1,(Skills!T16*(1+Inputs!$B$35/100))/(1/Q2231)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2224)</f>
        <v/>
      </c>
      <c r="L2224">
        <f>K2224*(MIN(Inputs!$B$23+((C2237=TRUE)*(F2237-Calc!F22)),(Inputs!$B$24+((C2239=TRUE)*(F2239-Calc!F24))+(IF(ArtifactsInput!$M$15,CHOOSE(ArtifactsInput!$N$15+1,25,30,35,40,45,50)/100*(Inputs!$B$12-Inputs!$B$12),0))))/100+(Inputs!$B$24+((C2239=TRUE)*(F2239-Calc!F24))+(IF(ArtifactsInput!$M$15,CHOOSE(ArtifactsInput!$N$15+1,25,30,35,40,45,50)/100*(Inputs!$B$12-Inputs!$B$12),0)))/100)/2</f>
        <v/>
      </c>
      <c r="M2224">
        <f>L2224*(1+(Inputs!$B$11+0+B2249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224">
        <f>L2224*(1-MIN((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2224*(MIN((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24">
        <f>(1-Summary!$B$11)*T2224+Summary!$B$11*V2224</f>
        <v/>
      </c>
      <c r="P2224">
        <f>IF(B2254=0,0,O2224/B2254)</f>
        <v/>
      </c>
      <c r="Q2224">
        <f>IFERROR(1/IF(Inputs!$B$39="pvp",15,MAX(0.1,Skills!D9-IF(TRUE=TRUE,Inputs!$B$33,0))),0)</f>
        <v/>
      </c>
      <c r="R2224">
        <f>IF(AND(Inputs!$B$39&lt;&gt;"pvp",Inputs!$B$44&gt;0),IF(MAX(0,Inputs!$B$44-B2251)&lt;=0,0,(INT(MAX(0,Inputs!$B$44-B2251)/IF(Inputs!$B$39="pvp",15,MAX(0.1,Skills!D9-IF(TRUE=TRUE,Inputs!$B$33,0))))+1)),0)</f>
        <v/>
      </c>
      <c r="S2224">
        <f>IFERROR(O2224/N2224,0)</f>
        <v/>
      </c>
      <c r="T2224">
        <f>IF(C2224,(H2224*N2224*IF(AND(Inputs!$B$39&lt;&gt;"pvp",Inputs!$B$44&gt;0),((Skills!G9*((R2224-1)*IF(Skills!H9&gt;0,INT(Skills!I9/Skills!H9+0.000000001),1)+IF(Skills!H9&gt;0,INT(MIN(Skills!I9,MAX(0,MAX(0,Inputs!$B$44-B2251)-((R2224-1)*IF(Inputs!$B$39="pvp",15,MAX(0.1,Skills!D9-IF(TRUE=TRUE,Inputs!$B$33,0))))))/Skills!H9+0.000000001),1)))/Inputs!$B$44),G2224*Q2224))*IF(Inputs!$B$39="pvp",1,1+(Inputs!$B$21+0+Skills!P9+((C2232=TRUE)*F2232*IF(AND(Inputs!$B$39&lt;&gt;"pvp",Inputs!$B$44&gt;0),(((R2232-1)*MIN((Skills!T17*(1+Inputs!$B$35/100)),(1/Q2232))+MIN((Skills!T17*(1+Inputs!$B$35/100)),MAX(0,Inputs!$B$44-((R2232-1)*(1/Q2232)))))/Inputs!$B$44),IF(Inputs!$B$39="pvp",MIN((Skills!T17*(1+Inputs!$B$35/100)),15)/15,MIN(1,(Skills!T17*(1+Inputs!$B$35/100))/(1/Q2232)))))+((C2220=TRUE)*IF(Inputs!$B$3&gt;=126,10*MIN(1,15*Q2220),0))+((C2229=TRUE)*IF(Inputs!$B$39="pvp",20,(1-Summary!$B$11)*(20)+Summary!$B$11*(0))*IF(AND(Inputs!$B$39&lt;&gt;"pvp",Inputs!$B$44&gt;0),(((R2229-1)*MIN((Skills!T14*(1+Inputs!$B$35/100)),(1/Q2229))+MIN((Skills!T14*(1+Inputs!$B$35/100)),MAX(0,Inputs!$B$44-((R2229-1)*(1/Q2229)))))/Inputs!$B$44),IF(Inputs!$B$39="pvp",MIN((Skills!T14*(1+Inputs!$B$35/100)),15)/15,MIN(1,(Skills!T14*(1+Inputs!$B$35/100))/(1/Q2229)))))+((C2228=TRUE)*IF(Inputs!$B$3&gt;=82,IF(Inputs!$B$39="pvp",20,(1-Summary!$B$11)*(20)+Summary!$B$11*(0)),0)*IF(AND(Inputs!$B$39&lt;&gt;"pvp",Inputs!$B$44&gt;0),(((R2228-1)*MIN((Skills!T13*(1+Inputs!$B$35/100)),(1/Q2228))+MIN((Skills!T13*(1+Inputs!$B$35/100)),MAX(0,Inputs!$B$44-((R2228-1)*(1/Q2228)))))/Inputs!$B$44),IF(Inputs!$B$39="pvp",MIN((Skills!T13*(1+Inputs!$B$35/100)),15)/15,MIN(1,(Skills!T13*(1+Inputs!$B$35/100))/(1/Q2228)))))+(IF(AND(ArtifactsInput!$M$35,Inputs!$B$4&lt;&gt;"Chapter Hunt"),CHOOSE(ArtifactsInput!$N$35+1,15,18,21,24,27,30)*(1-EXP(-(0.2*B2246)*5)),0)+IF(AND(ArtifactsInput!$M$22,Inputs!$B$4&lt;&gt;"Chapter Hunt"),CHOOSE(ArtifactsInput!$N$22+1,10,12,14,16,18,20)*((0*(((0.15*B2246*5))^0/1)+1*(((0.15*B2246*5))^1/1)+2*(((0.15*B2246*5))^2/2)+3*(((0.15*B2246*5))^3/6)+4*(((0.15*B2246*5))^4/24)+5*(((0.15*B2246*5))^5/120))/((((0.15*B2246*5))^0/1)+(((0.15*B2246*5))^1/1)+(((0.15*B2246*5))^2/2)+(((0.15*B2246*5))^3/6)+(((0.15*B2246*5))^4/24)+(((0.15*B2246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2224*(1-MIN(100,(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2224*(MIN(100,(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2224*(1-MIN(100,(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2224*(MIN(100,(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24">
        <f>IF(C2224,(H2224*N2224*IF(AND(Inputs!$B$39&lt;&gt;"pvp",Inputs!$B$44&gt;0),((Skills!G9*((R2224-1)*IF(Skills!H9&gt;0,INT(Skills!I9/Skills!H9+0.000000001),1)+IF(Skills!H9&gt;0,INT(MIN(Skills!I9,MAX(0,MAX(0,Inputs!$B$44-B2251)-((R2224-1)*IF(Inputs!$B$39="pvp",15,MAX(0.1,Skills!D9-IF(TRUE=TRUE,Inputs!$B$33,0))))))/Skills!H9+0.000000001),1)))/Inputs!$B$44),G2224*Q2224))*IF(Inputs!$B$39="pvp",1,(1+(Inputs!$B$22+Skills!Q9+((C2232=TRUE)*F2232*IF(AND(Inputs!$B$39&lt;&gt;"pvp",Inputs!$B$44&gt;0),(((R2232-1)*MIN((Skills!T17*(1+Inputs!$B$35/100)),(1/Q2232))+MIN((Skills!T17*(1+Inputs!$B$35/100)),MAX(0,Inputs!$B$44-((R2232-1)*(1/Q2232)))))/Inputs!$B$44),IF(Inputs!$B$39="pvp",MIN((Skills!T17*(1+Inputs!$B$35/100)),15)/15,MIN(1,(Skills!T17*(1+Inputs!$B$35/100))/(1/Q2232)))))+((C2220=TRUE)*IF(Inputs!$B$3&gt;=126,10*MIN(1,15*Q2220),0))+((C2229=TRUE)*IF(Inputs!$B$39="pvp",20,(1-Summary!$B$11)*(20)+Summary!$B$11*(0))*IF(AND(Inputs!$B$39&lt;&gt;"pvp",Inputs!$B$44&gt;0),(((R2229-1)*MIN((Skills!T14*(1+Inputs!$B$35/100)),(1/Q2229))+MIN((Skills!T14*(1+Inputs!$B$35/100)),MAX(0,Inputs!$B$44-((R2229-1)*(1/Q2229)))))/Inputs!$B$44),IF(Inputs!$B$39="pvp",MIN((Skills!T14*(1+Inputs!$B$35/100)),15)/15,MIN(1,(Skills!T14*(1+Inputs!$B$35/100))/(1/Q2229)))))+((C2228=TRUE)*IF(Inputs!$B$3&gt;=82,IF(Inputs!$B$39="pvp",20,(1-Summary!$B$11)*(20)+Summary!$B$11*(0)),0)*IF(AND(Inputs!$B$39&lt;&gt;"pvp",Inputs!$B$44&gt;0),(((R2228-1)*MIN((Skills!T13*(1+Inputs!$B$35/100)),(1/Q2228))+MIN((Skills!T13*(1+Inputs!$B$35/100)),MAX(0,Inputs!$B$44-((R2228-1)*(1/Q2228)))))/Inputs!$B$44),IF(Inputs!$B$39="pvp",MIN((Skills!T13*(1+Inputs!$B$35/100)),15)/15,MIN(1,(Skills!T13*(1+Inputs!$B$35/100))/(1/Q2228)))))+(IF(AND(ArtifactsInput!$M$35,Inputs!$B$4&lt;&gt;"Chapter Hunt"),CHOOSE(ArtifactsInput!$N$35+1,15,18,21,24,27,30)*(1-EXP(-(0.2*B2246)*5)),0)+IF(AND(ArtifactsInput!$M$22,Inputs!$B$4&lt;&gt;"Chapter Hunt"),CHOOSE(ArtifactsInput!$N$22+1,10,12,14,16,18,20)*((0*(((0.15*B2246*5))^0/1)+1*(((0.15*B2246*5))^1/1)+2*(((0.15*B2246*5))^2/2)+3*(((0.15*B2246*5))^3/6)+4*(((0.15*B2246*5))^4/24)+5*(((0.15*B2246*5))^5/120))/((((0.15*B2246*5))^0/1)+(((0.15*B2246*5))^1/1)+(((0.15*B2246*5))^2/2)+(((0.15*B2246*5))^3/6)+(((0.15*B2246*5))^4/24)+(((0.15*B2246*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25">
      <c r="A2225">
        <f>Skills!A10</f>
        <v/>
      </c>
      <c r="B2225">
        <f>Skills!B10</f>
        <v/>
      </c>
      <c r="C2225">
        <f>Inputs!$B$3&gt;=110</f>
        <v/>
      </c>
      <c r="D2225">
        <f>IF(Skills!C10=1,60+Inputs!$B$26+Inputs!$B$30,IF(Skills!C10=2,90+Inputs!$B$27+Inputs!$B$30,IF(Skills!C10=3,120+Inputs!$B$28+Inputs!$B$30,MAX(0,(Inputs!$B$3-100)*3)+Inputs!$B$29+Inputs!$B$30)))</f>
        <v/>
      </c>
      <c r="E2225">
        <f>INDEX(FactorTable!$B$2:$Y$301, MATCH(ROUND(MIN(300,MAX(1,D2225)),0), FactorTable!$A$2:$A$301,0), Skills!M10+1)</f>
        <v/>
      </c>
      <c r="F2225">
        <f>IF(Skills!N10=TRUE,(Skills!L10/10)*(E2225/1000),Skills!L10/10)+Skills!O10</f>
        <v/>
      </c>
      <c r="G2225">
        <f>Skills!G10*IF(Skills!H10&gt;0,INT(IF(Inputs!$B$39="pvp",MIN(Skills!I10,15),Skills!I10)/Skills!H10+0.000000001),1)</f>
        <v/>
      </c>
      <c r="H2225">
        <f>1-(1-Skills!J10/100)^Skills!K10</f>
        <v/>
      </c>
      <c r="I2225" t="inlineStr">
        <is>
          <t>1</t>
        </is>
      </c>
      <c r="J2225">
        <f>((Inputs!$B$6*(1+Inputs!$B$7/100))+(((Inputs!$B$13*(1+Inputs!$B$14/100))-(Inputs!$B$13*(1+Inputs!$B$14/100)))+0.25*(Inputs!$B$15-Inputs!$B$15))*(1+Inputs!$B$7/100))*(F2225/100)</f>
        <v/>
      </c>
      <c r="K2225">
        <f>J2225*(1+(((Inputs!$B$13+IF(Inputs!$B$3&gt;=38,(10*INDEX(FactorTable!$B$2:$Y$301, MATCH(ROUND(MIN(300,MAX(1,Inputs!$B$3)),0), FactorTable!$A$2:$A$301,0), 23)/1000)/100*(Inputs!$B$8*(1+Inputs!$B$9/100)),0))*(1+Inputs!$B$14/100))*0.01+Inputs!$B$15*0.0025)/100)*(1+Inputs!$B$16/100)*(1+Inputs!$B$17/100)*(5000/(6000+Inputs!$B$43*(1-(Inputs!$B$20+0)/100)))*(1+(Inputs!$B$25+((C2240=TRUE)*(F2240-Calc!F25))+((C2241=TRUE)*(F2241-Calc!F26))+B2250)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gt;=100),MIN(100,((Inputs!$B$10+0+B2244+(ArtifactsInput!$M$24-ArtifactsInput!$M$24)*CHOOSE(ArtifactsInput!$N$24+1,10,12,14,16,18,20)+IF(ArtifactsInput!$M$10,CHOOSE(ArtifactsInput!$N$10+1,15,18,21,24,27,30)*(IF(Inputs!$B$39="pvp",MIN(15,15)/15,IF(AND(Inputs!$B$39&lt;&gt;"pvp",Inputs!$B$44&gt;0),MIN(15,Inputs!$B$44)/(Inputs!$B$44),0))),0)))-100),0))*CHOOSE(ArtifactsInput!$N$42+1,0.6,0.72,0.84,0.96,1.08,1.2))),Inputs!$B$19+((C2238=TRUE)*(F2238-Calc!F23))+(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gt;=100),CHOOSE(ArtifactsInput!$N$42+1,40,48,56,64,72,80),0))))/100)*((1+(((C2228=TRUE)*F2228*IF(AND(Inputs!$B$39&lt;&gt;"pvp",Inputs!$B$44&gt;0),(((R2228-1)*MIN((Skills!T13*(1+Inputs!$B$35/100)),(1/Q2228))+MIN((Skills!T13*(1+Inputs!$B$35/100)),MAX(0,Inputs!$B$44-((R2228-1)*(1/Q2228)))))/Inputs!$B$44),IF(Inputs!$B$39="pvp",MIN((Skills!T13*(1+Inputs!$B$35/100)),15)/15,MIN(1,(Skills!T13*(1+Inputs!$B$35/100))/(1/Q2228)))))+((C2229=TRUE)*F2229*IF(AND(Inputs!$B$39&lt;&gt;"pvp",Inputs!$B$44&gt;0),(((R2229-1)*MIN((Skills!T14*(1+Inputs!$B$35/100)),(1/Q2229))+MIN((Skills!T14*(1+Inputs!$B$35/100)),MAX(0,Inputs!$B$44-((R2229-1)*(1/Q2229)))))/Inputs!$B$44),IF(Inputs!$B$39="pvp",MIN((Skills!T14*(1+Inputs!$B$35/100)),15)/15,MIN(1,(Skills!T14*(1+Inputs!$B$35/100))/(1/Q2229)))))+((C2230=TRUE)*F2230*IF(AND(Inputs!$B$39&lt;&gt;"pvp",Inputs!$B$44&gt;0),(((R2230-1)*MIN((Skills!T15*(1+Inputs!$B$35/100)),(1/Q2230))+MIN((Skills!T15*(1+Inputs!$B$35/100)),MAX(0,Inputs!$B$44-((R2230-1)*(1/Q2230)))))/Inputs!$B$44),IF(Inputs!$B$39="pvp",MIN((Skills!T15*(1+Inputs!$B$35/100)),15)/15,MIN(1,(Skills!T15*(1+Inputs!$B$35/100))/(1/Q2230)))))+((C2231=TRUE)*F2231*IF(AND(Inputs!$B$39&lt;&gt;"pvp",Inputs!$B$44&gt;0),(((R2231-1)*MIN((Skills!T16*(1+Inputs!$B$35/100)),(1/Q2231))+MIN((Skills!T16*(1+Inputs!$B$35/100)),MAX(0,Inputs!$B$44-((R2231-1)*(1/Q2231)))))/Inputs!$B$44),IF(Inputs!$B$39="pvp",MIN((Skills!T16*(1+Inputs!$B$35/100)),15)/15,MIN(1,(Skills!T16*(1+Inputs!$B$35/100))/(1/Q2231)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2225)</f>
        <v/>
      </c>
      <c r="L2225">
        <f>K2225*(MIN(Inputs!$B$23+((C2237=TRUE)*(F2237-Calc!F22)),(Inputs!$B$24+((C2239=TRUE)*(F2239-Calc!F24))+(IF(ArtifactsInput!$M$15,CHOOSE(ArtifactsInput!$N$15+1,25,30,35,40,45,50)/100*(Inputs!$B$12-Inputs!$B$12),0))))/100+(Inputs!$B$24+((C2239=TRUE)*(F2239-Calc!F24))+(IF(ArtifactsInput!$M$15,CHOOSE(ArtifactsInput!$N$15+1,25,30,35,40,45,50)/100*(Inputs!$B$12-Inputs!$B$12),0)))/100)/2</f>
        <v/>
      </c>
      <c r="M2225">
        <f>L2225*(1+(Inputs!$B$11+0+B2249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225">
        <f>L2225*(1-MIN((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2225*(MIN((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25">
        <f>(1-Summary!$B$11)*T2225+Summary!$B$11*V2225</f>
        <v/>
      </c>
      <c r="P2225">
        <f>IF(B2254=0,0,O2225/B2254)</f>
        <v/>
      </c>
      <c r="Q2225">
        <f>IFERROR(1/IF(Inputs!$B$39="pvp",15,MAX(0.1,Skills!D10-IF(TRUE=TRUE,Inputs!$B$33,0))),0)</f>
        <v/>
      </c>
      <c r="R2225">
        <f>IF(AND(Inputs!$B$39&lt;&gt;"pvp",Inputs!$B$44&gt;0),IF(MAX(0,Inputs!$B$44-B2251)&lt;=0,0,(INT(MAX(0,Inputs!$B$44-B2251)/IF(Inputs!$B$39="pvp",15,MAX(0.1,Skills!D10-IF(TRUE=TRUE,Inputs!$B$33,0))))+1)),0)</f>
        <v/>
      </c>
      <c r="S2225">
        <f>IFERROR(O2225/N2225,0)</f>
        <v/>
      </c>
      <c r="T2225">
        <f>IF(C2225,(H2225*N2225*IF(AND(Inputs!$B$39&lt;&gt;"pvp",Inputs!$B$44&gt;0),((Skills!G10*((R2225-1)*IF(Skills!H10&gt;0,INT(Skills!I10/Skills!H10+0.000000001),1)+IF(Skills!H10&gt;0,INT(MIN(Skills!I10,MAX(0,MAX(0,Inputs!$B$44-B2251)-((R2225-1)*IF(Inputs!$B$39="pvp",15,MAX(0.1,Skills!D10-IF(TRUE=TRUE,Inputs!$B$33,0))))))/Skills!H10+0.000000001),1)))/Inputs!$B$44),G2225*Q2225))*IF(Inputs!$B$39="pvp",1,1+(Inputs!$B$21+0+Skills!P10+((C2232=TRUE)*F2232*IF(AND(Inputs!$B$39&lt;&gt;"pvp",Inputs!$B$44&gt;0),(((R2232-1)*MIN((Skills!T17*(1+Inputs!$B$35/100)),(1/Q2232))+MIN((Skills!T17*(1+Inputs!$B$35/100)),MAX(0,Inputs!$B$44-((R2232-1)*(1/Q2232)))))/Inputs!$B$44),IF(Inputs!$B$39="pvp",MIN((Skills!T17*(1+Inputs!$B$35/100)),15)/15,MIN(1,(Skills!T17*(1+Inputs!$B$35/100))/(1/Q2232)))))+((C2220=TRUE)*IF(Inputs!$B$3&gt;=126,10*MIN(1,15*Q2220),0))+((C2229=TRUE)*IF(Inputs!$B$39="pvp",20,(1-Summary!$B$11)*(20)+Summary!$B$11*(0))*IF(AND(Inputs!$B$39&lt;&gt;"pvp",Inputs!$B$44&gt;0),(((R2229-1)*MIN((Skills!T14*(1+Inputs!$B$35/100)),(1/Q2229))+MIN((Skills!T14*(1+Inputs!$B$35/100)),MAX(0,Inputs!$B$44-((R2229-1)*(1/Q2229)))))/Inputs!$B$44),IF(Inputs!$B$39="pvp",MIN((Skills!T14*(1+Inputs!$B$35/100)),15)/15,MIN(1,(Skills!T14*(1+Inputs!$B$35/100))/(1/Q2229)))))+((C2228=TRUE)*IF(Inputs!$B$3&gt;=82,IF(Inputs!$B$39="pvp",20,(1-Summary!$B$11)*(20)+Summary!$B$11*(0)),0)*IF(AND(Inputs!$B$39&lt;&gt;"pvp",Inputs!$B$44&gt;0),(((R2228-1)*MIN((Skills!T13*(1+Inputs!$B$35/100)),(1/Q2228))+MIN((Skills!T13*(1+Inputs!$B$35/100)),MAX(0,Inputs!$B$44-((R2228-1)*(1/Q2228)))))/Inputs!$B$44),IF(Inputs!$B$39="pvp",MIN((Skills!T13*(1+Inputs!$B$35/100)),15)/15,MIN(1,(Skills!T13*(1+Inputs!$B$35/100))/(1/Q2228)))))+(IF(AND(ArtifactsInput!$M$35,Inputs!$B$4&lt;&gt;"Chapter Hunt"),CHOOSE(ArtifactsInput!$N$35+1,15,18,21,24,27,30)*(1-EXP(-(0.2*B2246)*5)),0)+IF(AND(ArtifactsInput!$M$22,Inputs!$B$4&lt;&gt;"Chapter Hunt"),CHOOSE(ArtifactsInput!$N$22+1,10,12,14,16,18,20)*((0*(((0.15*B2246*5))^0/1)+1*(((0.15*B2246*5))^1/1)+2*(((0.15*B2246*5))^2/2)+3*(((0.15*B2246*5))^3/6)+4*(((0.15*B2246*5))^4/24)+5*(((0.15*B2246*5))^5/120))/((((0.15*B2246*5))^0/1)+(((0.15*B2246*5))^1/1)+(((0.15*B2246*5))^2/2)+(((0.15*B2246*5))^3/6)+(((0.15*B2246*5))^4/24)+(((0.15*B2246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2225*(1-MIN(100,(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2225*(MIN(100,(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2225*(1-MIN(100,(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2225*(MIN(100,(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25">
        <f>IF(C2225,(H2225*N2225*IF(AND(Inputs!$B$39&lt;&gt;"pvp",Inputs!$B$44&gt;0),((Skills!G10*((R2225-1)*IF(Skills!H10&gt;0,INT(Skills!I10/Skills!H10+0.000000001),1)+IF(Skills!H10&gt;0,INT(MIN(Skills!I10,MAX(0,MAX(0,Inputs!$B$44-B2251)-((R2225-1)*IF(Inputs!$B$39="pvp",15,MAX(0.1,Skills!D10-IF(TRUE=TRUE,Inputs!$B$33,0))))))/Skills!H10+0.000000001),1)))/Inputs!$B$44),G2225*Q2225))*IF(Inputs!$B$39="pvp",1,(1+(Inputs!$B$22+Skills!Q10+((C2232=TRUE)*F2232*IF(AND(Inputs!$B$39&lt;&gt;"pvp",Inputs!$B$44&gt;0),(((R2232-1)*MIN((Skills!T17*(1+Inputs!$B$35/100)),(1/Q2232))+MIN((Skills!T17*(1+Inputs!$B$35/100)),MAX(0,Inputs!$B$44-((R2232-1)*(1/Q2232)))))/Inputs!$B$44),IF(Inputs!$B$39="pvp",MIN((Skills!T17*(1+Inputs!$B$35/100)),15)/15,MIN(1,(Skills!T17*(1+Inputs!$B$35/100))/(1/Q2232)))))+((C2220=TRUE)*IF(Inputs!$B$3&gt;=126,10*MIN(1,15*Q2220),0))+((C2229=TRUE)*IF(Inputs!$B$39="pvp",20,(1-Summary!$B$11)*(20)+Summary!$B$11*(0))*IF(AND(Inputs!$B$39&lt;&gt;"pvp",Inputs!$B$44&gt;0),(((R2229-1)*MIN((Skills!T14*(1+Inputs!$B$35/100)),(1/Q2229))+MIN((Skills!T14*(1+Inputs!$B$35/100)),MAX(0,Inputs!$B$44-((R2229-1)*(1/Q2229)))))/Inputs!$B$44),IF(Inputs!$B$39="pvp",MIN((Skills!T14*(1+Inputs!$B$35/100)),15)/15,MIN(1,(Skills!T14*(1+Inputs!$B$35/100))/(1/Q2229)))))+((C2228=TRUE)*IF(Inputs!$B$3&gt;=82,IF(Inputs!$B$39="pvp",20,(1-Summary!$B$11)*(20)+Summary!$B$11*(0)),0)*IF(AND(Inputs!$B$39&lt;&gt;"pvp",Inputs!$B$44&gt;0),(((R2228-1)*MIN((Skills!T13*(1+Inputs!$B$35/100)),(1/Q2228))+MIN((Skills!T13*(1+Inputs!$B$35/100)),MAX(0,Inputs!$B$44-((R2228-1)*(1/Q2228)))))/Inputs!$B$44),IF(Inputs!$B$39="pvp",MIN((Skills!T13*(1+Inputs!$B$35/100)),15)/15,MIN(1,(Skills!T13*(1+Inputs!$B$35/100))/(1/Q2228)))))+(IF(AND(ArtifactsInput!$M$35,Inputs!$B$4&lt;&gt;"Chapter Hunt"),CHOOSE(ArtifactsInput!$N$35+1,15,18,21,24,27,30)*(1-EXP(-(0.2*B2246)*5)),0)+IF(AND(ArtifactsInput!$M$22,Inputs!$B$4&lt;&gt;"Chapter Hunt"),CHOOSE(ArtifactsInput!$N$22+1,10,12,14,16,18,20)*((0*(((0.15*B2246*5))^0/1)+1*(((0.15*B2246*5))^1/1)+2*(((0.15*B2246*5))^2/2)+3*(((0.15*B2246*5))^3/6)+4*(((0.15*B2246*5))^4/24)+5*(((0.15*B2246*5))^5/120))/((((0.15*B2246*5))^0/1)+(((0.15*B2246*5))^1/1)+(((0.15*B2246*5))^2/2)+(((0.15*B2246*5))^3/6)+(((0.15*B2246*5))^4/24)+(((0.15*B2246*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26">
      <c r="A2226">
        <f>Skills!A11</f>
        <v/>
      </c>
      <c r="B2226">
        <f>Skills!B11</f>
        <v/>
      </c>
      <c r="C2226">
        <f>Inputs!$B$3&gt;=100</f>
        <v/>
      </c>
      <c r="D2226">
        <f>IF(Skills!C11=1,60+Inputs!$B$26+Inputs!$B$30,IF(Skills!C11=2,90+Inputs!$B$27+Inputs!$B$30,IF(Skills!C11=3,120+Inputs!$B$28+Inputs!$B$30,MAX(0,(Inputs!$B$3-100)*3)+Inputs!$B$29+Inputs!$B$30)))</f>
        <v/>
      </c>
      <c r="E2226">
        <f>INDEX(FactorTable!$B$2:$Y$301, MATCH(ROUND(MIN(300,MAX(1,D2226)),0), FactorTable!$A$2:$A$301,0), Skills!M11+1)</f>
        <v/>
      </c>
      <c r="F2226">
        <f>IF(Skills!N11=TRUE,(Skills!L11/10)*(E2226/1000),Skills!L11/10)+Skills!O11</f>
        <v/>
      </c>
      <c r="G2226" t="inlineStr"/>
      <c r="H2226" t="inlineStr"/>
      <c r="I2226" t="inlineStr">
        <is>
          <t>1</t>
        </is>
      </c>
      <c r="J2226" t="inlineStr"/>
      <c r="K2226" t="inlineStr"/>
      <c r="L2226" t="inlineStr"/>
      <c r="M2226" t="inlineStr"/>
      <c r="N2226" t="inlineStr"/>
      <c r="O2226" t="inlineStr"/>
      <c r="P2226" t="inlineStr"/>
      <c r="Q2226" t="inlineStr"/>
      <c r="R2226" t="inlineStr"/>
      <c r="S2226" t="inlineStr"/>
    </row>
    <row r="2227">
      <c r="A2227">
        <f>Skills!A12</f>
        <v/>
      </c>
      <c r="B2227">
        <f>Skills!B12</f>
        <v/>
      </c>
      <c r="C2227">
        <f>Inputs!$B$3&gt;=63</f>
        <v/>
      </c>
      <c r="D2227">
        <f>IF(Skills!C12=1,60+Inputs!$B$26+Inputs!$B$30,IF(Skills!C12=2,90+Inputs!$B$27+Inputs!$B$30,IF(Skills!C12=3,120+Inputs!$B$28+Inputs!$B$30,MAX(0,(Inputs!$B$3-100)*3)+Inputs!$B$29+Inputs!$B$30)))</f>
        <v/>
      </c>
      <c r="E2227">
        <f>INDEX(FactorTable!$B$2:$Y$301, MATCH(ROUND(MIN(300,MAX(1,D2227)),0), FactorTable!$A$2:$A$301,0), Skills!M12+1)</f>
        <v/>
      </c>
      <c r="F2227">
        <f>IF(Skills!N12=TRUE,(Skills!L12/10)*(E2227/1000),Skills!L12/10)+Skills!O12</f>
        <v/>
      </c>
      <c r="G2227">
        <f>Skills!G12*IF(Skills!H12&gt;0,INT(IF(Inputs!$B$39="pvp",MIN(Skills!I12,15),Skills!I12)/Skills!H12+0.000000001),1)</f>
        <v/>
      </c>
      <c r="H2227">
        <f>1-(1-Skills!J12/100)^Skills!K12</f>
        <v/>
      </c>
      <c r="I2227" t="inlineStr">
        <is>
          <t>1</t>
        </is>
      </c>
      <c r="J2227">
        <f>((Inputs!$B$6*(1+Inputs!$B$7/100))+(((Inputs!$B$13*(1+Inputs!$B$14/100))-(Inputs!$B$13*(1+Inputs!$B$14/100)))+0.25*(Inputs!$B$15-Inputs!$B$15))*(1+Inputs!$B$7/100))*(F2227/100)</f>
        <v/>
      </c>
      <c r="K2227">
        <f>J2227*(1+(((Inputs!$B$13+IF(Inputs!$B$3&gt;=38,(10*INDEX(FactorTable!$B$2:$Y$301, MATCH(ROUND(MIN(300,MAX(1,Inputs!$B$3)),0), FactorTable!$A$2:$A$301,0), 23)/1000)/100*(Inputs!$B$8*(1+Inputs!$B$9/100)),0))*(1+Inputs!$B$14/100))*0.01+Inputs!$B$15*0.0025)/100)*(1+Inputs!$B$16/100)*(1+Inputs!$B$17/100)*(5000/(6000+Inputs!$B$43*(1-(Inputs!$B$20+0)/100)))*(1+(Inputs!$B$25+((C2240=TRUE)*(F2240-Calc!F25))+((C2241=TRUE)*(F2241-Calc!F26))+B2250)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2226=TRUE,F2226,0)/100)*(1+(IF(Skills!A12="DARK_IMPALE",Inputs!$B$18+0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gt;=100),MIN(100,((Inputs!$B$10+0+B2244+(ArtifactsInput!$M$24-ArtifactsInput!$M$24)*CHOOSE(ArtifactsInput!$N$24+1,10,12,14,16,18,20)+IF(ArtifactsInput!$M$10,CHOOSE(ArtifactsInput!$N$10+1,15,18,21,24,27,30)*(IF(Inputs!$B$39="pvp",MIN(15,15)/15,IF(AND(Inputs!$B$39&lt;&gt;"pvp",Inputs!$B$44&gt;0),MIN(15,Inputs!$B$44)/(Inputs!$B$44),0))),0)))-100),0))*CHOOSE(ArtifactsInput!$N$42+1,0.6,0.72,0.84,0.96,1.08,1.2))),Inputs!$B$19+((C2238=TRUE)*(F2238-Calc!F23))+(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gt;=100),CHOOSE(ArtifactsInput!$N$42+1,40,48,56,64,72,80),0))))/100)*((1+(((C2228=TRUE)*F2228*IF(AND(Inputs!$B$39&lt;&gt;"pvp",Inputs!$B$44&gt;0),(((R2228-1)*MIN((Skills!T13*(1+Inputs!$B$35/100)),(1/Q2228))+MIN((Skills!T13*(1+Inputs!$B$35/100)),MAX(0,Inputs!$B$44-((R2228-1)*(1/Q2228)))))/Inputs!$B$44),IF(Inputs!$B$39="pvp",MIN((Skills!T13*(1+Inputs!$B$35/100)),15)/15,MIN(1,(Skills!T13*(1+Inputs!$B$35/100))/(1/Q2228)))))+((C2229=TRUE)*F2229*IF(AND(Inputs!$B$39&lt;&gt;"pvp",Inputs!$B$44&gt;0),(((R2229-1)*MIN((Skills!T14*(1+Inputs!$B$35/100)),(1/Q2229))+MIN((Skills!T14*(1+Inputs!$B$35/100)),MAX(0,Inputs!$B$44-((R2229-1)*(1/Q2229)))))/Inputs!$B$44),IF(Inputs!$B$39="pvp",MIN((Skills!T14*(1+Inputs!$B$35/100)),15)/15,MIN(1,(Skills!T14*(1+Inputs!$B$35/100))/(1/Q2229)))))+((C2230=TRUE)*F2230*IF(AND(Inputs!$B$39&lt;&gt;"pvp",Inputs!$B$44&gt;0),(((R2230-1)*MIN((Skills!T15*(1+Inputs!$B$35/100)),(1/Q2230))+MIN((Skills!T15*(1+Inputs!$B$35/100)),MAX(0,Inputs!$B$44-((R2230-1)*(1/Q2230)))))/Inputs!$B$44),IF(Inputs!$B$39="pvp",MIN((Skills!T15*(1+Inputs!$B$35/100)),15)/15,MIN(1,(Skills!T15*(1+Inputs!$B$35/100))/(1/Q2230)))))+((C2231=TRUE)*F2231*IF(AND(Inputs!$B$39&lt;&gt;"pvp",Inputs!$B$44&gt;0),(((R2231-1)*MIN((Skills!T16*(1+Inputs!$B$35/100)),(1/Q2231))+MIN((Skills!T16*(1+Inputs!$B$35/100)),MAX(0,Inputs!$B$44-((R2231-1)*(1/Q2231)))))/Inputs!$B$44),IF(Inputs!$B$39="pvp",MIN((Skills!T16*(1+Inputs!$B$35/100)),15)/15,MIN(1,(Skills!T16*(1+Inputs!$B$35/100))/(1/Q2231)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2227)</f>
        <v/>
      </c>
      <c r="L2227">
        <f>K2227*(MIN(Inputs!$B$23+((C2237=TRUE)*(F2237-Calc!F22)),(Inputs!$B$24+((C2239=TRUE)*(F2239-Calc!F24))+(IF(ArtifactsInput!$M$15,CHOOSE(ArtifactsInput!$N$15+1,25,30,35,40,45,50)/100*(Inputs!$B$12-Inputs!$B$12),0))))/100+(Inputs!$B$24+((C2239=TRUE)*(F2239-Calc!F24))+(IF(ArtifactsInput!$M$15,CHOOSE(ArtifactsInput!$N$15+1,25,30,35,40,45,50)/100*(Inputs!$B$12-Inputs!$B$12),0)))/100)/2</f>
        <v/>
      </c>
      <c r="M2227">
        <f>L2227*(1+(Inputs!$B$11+0+B2249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227">
        <f>L2227*(1-MIN((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2227*(MIN((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27">
        <f>(1-Summary!$B$11)*T2227+Summary!$B$11*V2227</f>
        <v/>
      </c>
      <c r="P2227">
        <f>IF(B2254=0,0,O2227/B2254)</f>
        <v/>
      </c>
      <c r="Q2227">
        <f>IFERROR(1/IF(Inputs!$B$39="pvp",15,MAX(0.1,Skills!D12-IF(TRUE=TRUE,Inputs!$B$33,0))),0)</f>
        <v/>
      </c>
      <c r="R2227">
        <f>IF(AND(Inputs!$B$39&lt;&gt;"pvp",Inputs!$B$44&gt;0),IF(MAX(0,Inputs!$B$44-B2251)&lt;=0,0,(INT(MAX(0,Inputs!$B$44-B2251)/IF(Inputs!$B$39="pvp",15,MAX(0.1,Skills!D12-IF(TRUE=TRUE,Inputs!$B$33,0))))+1)),0)</f>
        <v/>
      </c>
      <c r="S2227">
        <f>IFERROR(O2227/N2227,0)</f>
        <v/>
      </c>
      <c r="T2227">
        <f>IF(C2227,(H2227*N2227*IF(AND(Inputs!$B$39&lt;&gt;"pvp",Inputs!$B$44&gt;0),((Skills!G12*((R2227-1)*IF(Skills!H12&gt;0,INT(Skills!I12/Skills!H12+0.000000001),1)+IF(Skills!H12&gt;0,INT(MIN(Skills!I12,MAX(0,MAX(0,Inputs!$B$44-B2251)-((R2227-1)*IF(Inputs!$B$39="pvp",15,MAX(0.1,Skills!D12-IF(TRUE=TRUE,Inputs!$B$33,0))))))/Skills!H12+0.000000001),1)))/Inputs!$B$44),G2227*Q2227))*IF(Inputs!$B$39="pvp",1,1+(Inputs!$B$21+0+Skills!P12+((C2232=TRUE)*F2232*IF(AND(Inputs!$B$39&lt;&gt;"pvp",Inputs!$B$44&gt;0),(((R2232-1)*MIN((Skills!T17*(1+Inputs!$B$35/100)),(1/Q2232))+MIN((Skills!T17*(1+Inputs!$B$35/100)),MAX(0,Inputs!$B$44-((R2232-1)*(1/Q2232)))))/Inputs!$B$44),IF(Inputs!$B$39="pvp",MIN((Skills!T17*(1+Inputs!$B$35/100)),15)/15,MIN(1,(Skills!T17*(1+Inputs!$B$35/100))/(1/Q2232)))))+((C2220=TRUE)*IF(Inputs!$B$3&gt;=126,10*MIN(1,15*Q2220),0))+((C2229=TRUE)*IF(Inputs!$B$39="pvp",20,(1-Summary!$B$11)*(20)+Summary!$B$11*(0))*IF(AND(Inputs!$B$39&lt;&gt;"pvp",Inputs!$B$44&gt;0),(((R2229-1)*MIN((Skills!T14*(1+Inputs!$B$35/100)),(1/Q2229))+MIN((Skills!T14*(1+Inputs!$B$35/100)),MAX(0,Inputs!$B$44-((R2229-1)*(1/Q2229)))))/Inputs!$B$44),IF(Inputs!$B$39="pvp",MIN((Skills!T14*(1+Inputs!$B$35/100)),15)/15,MIN(1,(Skills!T14*(1+Inputs!$B$35/100))/(1/Q2229)))))+((C2228=TRUE)*IF(Inputs!$B$3&gt;=82,IF(Inputs!$B$39="pvp",20,(1-Summary!$B$11)*(20)+Summary!$B$11*(0)),0)*IF(AND(Inputs!$B$39&lt;&gt;"pvp",Inputs!$B$44&gt;0),(((R2228-1)*MIN((Skills!T13*(1+Inputs!$B$35/100)),(1/Q2228))+MIN((Skills!T13*(1+Inputs!$B$35/100)),MAX(0,Inputs!$B$44-((R2228-1)*(1/Q2228)))))/Inputs!$B$44),IF(Inputs!$B$39="pvp",MIN((Skills!T13*(1+Inputs!$B$35/100)),15)/15,MIN(1,(Skills!T13*(1+Inputs!$B$35/100))/(1/Q2228)))))+(IF(AND(ArtifactsInput!$M$35,Inputs!$B$4&lt;&gt;"Chapter Hunt"),CHOOSE(ArtifactsInput!$N$35+1,15,18,21,24,27,30)*(1-EXP(-(0.2*B2246)*5)),0)+IF(AND(ArtifactsInput!$M$22,Inputs!$B$4&lt;&gt;"Chapter Hunt"),CHOOSE(ArtifactsInput!$N$22+1,10,12,14,16,18,20)*((0*(((0.15*B2246*5))^0/1)+1*(((0.15*B2246*5))^1/1)+2*(((0.15*B2246*5))^2/2)+3*(((0.15*B2246*5))^3/6)+4*(((0.15*B2246*5))^4/24)+5*(((0.15*B2246*5))^5/120))/((((0.15*B2246*5))^0/1)+(((0.15*B2246*5))^1/1)+(((0.15*B2246*5))^2/2)+(((0.15*B2246*5))^3/6)+(((0.15*B2246*5))^4/24)+(((0.15*B2246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2227*(1-MIN(100,(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2227*(MIN(100,(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2227*(1-MIN(100,(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2227*(MIN(100,(Inputs!$B$10+0+B2244+(ArtifactsInput!$M$24-ArtifactsInput!$M$24)*CHOOSE(ArtifactsInput!$N$24+1,10,12,14,16,18,20)+(IF(AND(Inputs!$B$39&lt;&gt;"pvp",Inputs!$B$44=0),1,IF(IF(Inputs!$B$39="pvp",15,Inputs!$B$44)-(B2251)&lt;=0,1,MAX(0,IF(Inputs!$B$39="pvp",15,Inputs!$B$44)-MAX(5,B2251))/(IF(Inputs!$B$39="pvp",15,Inputs!$B$44)-(B2251))))*IF(AND(ArtifactsInput!$M$42,((Inputs!$B$10+0+B2244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27">
        <f>IF(C2227,(H2227*N2227*IF(AND(Inputs!$B$39&lt;&gt;"pvp",Inputs!$B$44&gt;0),((Skills!G12*((R2227-1)*IF(Skills!H12&gt;0,INT(Skills!I12/Skills!H12+0.000000001),1)+IF(Skills!H12&gt;0,INT(MIN(Skills!I12,MAX(0,MAX(0,Inputs!$B$44-B2251)-((R2227-1)*IF(Inputs!$B$39="pvp",15,MAX(0.1,Skills!D12-IF(TRUE=TRUE,Inputs!$B$33,0))))))/Skills!H12+0.000000001),1)))/Inputs!$B$44),G2227*Q2227))*IF(Inputs!$B$39="pvp",1,(1+(Inputs!$B$22+Skills!Q12+((C2232=TRUE)*F2232*IF(AND(Inputs!$B$39&lt;&gt;"pvp",Inputs!$B$44&gt;0),(((R2232-1)*MIN((Skills!T17*(1+Inputs!$B$35/100)),(1/Q2232))+MIN((Skills!T17*(1+Inputs!$B$35/100)),MAX(0,Inputs!$B$44-((R2232-1)*(1/Q2232)))))/Inputs!$B$44),IF(Inputs!$B$39="pvp",MIN((Skills!T17*(1+Inputs!$B$35/100)),15)/15,MIN(1,(Skills!T17*(1+Inputs!$B$35/100))/(1/Q2232)))))+((C2220=TRUE)*IF(Inputs!$B$3&gt;=126,10*MIN(1,15*Q2220),0))+((C2229=TRUE)*IF(Inputs!$B$39="pvp",20,(1-Summary!$B$11)*(20)+Summary!$B$11*(0))*IF(AND(Inputs!$B$39&lt;&gt;"pvp",Inputs!$B$44&gt;0),(((R2229-1)*MIN((Skills!T14*(1+Inputs!$B$35/100)),(1/Q2229))+MIN((Skills!T14*(1+Inputs!$B$35/100)),MAX(0,Inputs!$B$44-((R2229-1)*(1/Q2229)))))/Inputs!$B$44),IF(Inputs!$B$39="pvp",MIN((Skills!T14*(1+Inputs!$B$35/100)),15)/15,MIN(1,(Skills!T14*(1+Inputs!$B$35/100))/(1/Q2229)))))+((C2228=TRUE)*IF(Inputs!$B$3&gt;=82,IF(Inputs!$B$39="pvp",20,(1-Summary!$B$11)*(20)+Summary!$B$11*(0)),0)*IF(AND(Inputs!$B$39&lt;&gt;"pvp",Inputs!$B$44&gt;0),(((R2228-1)*MIN((Skills!T13*(1+Inputs!$B$35/100)),(1/Q2228))+MIN((Skills!T13*(1+Inputs!$B$35/100)),MAX(0,Inputs!$B$44-((R2228-1)*(1/Q2228)))))/Inputs!$B$44),IF(Inputs!$B$39="pvp",MIN((Skills!T13*(1+Inputs!$B$35/100)),15)/15,MIN(1,(Skills!T13*(1+Inputs!$B$35/100))/(1/Q2228)))))+(IF(AND(ArtifactsInput!$M$35,Inputs!$B$4&lt;&gt;"Chapter Hunt"),CHOOSE(ArtifactsInput!$N$35+1,15,18,21,24,27,30)*(1-EXP(-(0.2*B2246)*5)),0)+IF(AND(ArtifactsInput!$M$22,Inputs!$B$4&lt;&gt;"Chapter Hunt"),CHOOSE(ArtifactsInput!$N$22+1,10,12,14,16,18,20)*((0*(((0.15*B2246*5))^0/1)+1*(((0.15*B2246*5))^1/1)+2*(((0.15*B2246*5))^2/2)+3*(((0.15*B2246*5))^3/6)+4*(((0.15*B2246*5))^4/24)+5*(((0.15*B2246*5))^5/120))/((((0.15*B2246*5))^0/1)+(((0.15*B2246*5))^1/1)+(((0.15*B2246*5))^2/2)+(((0.15*B2246*5))^3/6)+(((0.15*B2246*5))^4/24)+(((0.15*B2246*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28">
      <c r="A2228">
        <f>Skills!A13</f>
        <v/>
      </c>
      <c r="B2228">
        <f>Skills!B13</f>
        <v/>
      </c>
      <c r="C2228">
        <f>Inputs!$B$3&gt;=69</f>
        <v/>
      </c>
      <c r="D2228">
        <f>IF(Skills!C13=1,60+Inputs!$B$26+Inputs!$B$30,IF(Skills!C13=2,90+Inputs!$B$27+Inputs!$B$30,IF(Skills!C13=3,120+Inputs!$B$28+Inputs!$B$30,MAX(0,(Inputs!$B$3-100)*3)+Inputs!$B$29+Inputs!$B$30)))</f>
        <v/>
      </c>
      <c r="E2228">
        <f>INDEX(FactorTable!$B$2:$Y$301, MATCH(ROUND(MIN(300,MAX(1,D2228)),0), FactorTable!$A$2:$A$301,0), Skills!M13+1)</f>
        <v/>
      </c>
      <c r="F2228">
        <f>IF(Skills!N13=TRUE,(Skills!L13/10)*(E2228/1000),Skills!L13/10)+Skills!O13</f>
        <v/>
      </c>
      <c r="G2228">
        <f>Skills!G13*IF(Skills!H13&gt;0,INT(IF(Inputs!$B$39="pvp",MIN(Skills!I13,15),Skills!I13)/Skills!H13+0.000000001),1)</f>
        <v/>
      </c>
      <c r="H2228">
        <f>1-(1-Skills!J13/100)^Skills!K13</f>
        <v/>
      </c>
      <c r="I2228" t="inlineStr">
        <is>
          <t>1</t>
        </is>
      </c>
      <c r="J2228" t="inlineStr"/>
      <c r="K2228" t="inlineStr"/>
      <c r="L2228" t="inlineStr"/>
      <c r="M2228" t="inlineStr"/>
      <c r="N2228" t="inlineStr"/>
      <c r="O2228">
        <f>(1-Summary!$B$11)*T2228+Summary!$B$11*V2228</f>
        <v/>
      </c>
      <c r="P2228">
        <f>IF(B2254=0,0,O2228/B2254)</f>
        <v/>
      </c>
      <c r="Q2228">
        <f>IFERROR(1/IF(Inputs!$B$39="pvp",15,MAX(0.1,Skills!D13-IF(TRUE=TRUE,Inputs!$B$33,0))),0)</f>
        <v/>
      </c>
      <c r="R2228">
        <f>IF(AND(Inputs!$B$39&lt;&gt;"pvp",Inputs!$B$44&gt;0),IF(Inputs!$B$44&lt;=0,0,(INT(Inputs!$B$44/IF(Inputs!$B$39="pvp",15,MAX(0.1,Skills!D13-IF(TRUE=TRUE,Inputs!$B$33,0))))+1)),0)</f>
        <v/>
      </c>
      <c r="S2228">
        <f>IFERROR(O2228/N2228,0)</f>
        <v/>
      </c>
      <c r="T2228" t="n">
        <v>0</v>
      </c>
      <c r="V2228" t="n">
        <v>0</v>
      </c>
    </row>
    <row r="2229">
      <c r="A2229">
        <f>Skills!A14</f>
        <v/>
      </c>
      <c r="B2229">
        <f>Skills!B14</f>
        <v/>
      </c>
      <c r="C2229">
        <f>Inputs!$B$3&gt;=115</f>
        <v/>
      </c>
      <c r="D2229">
        <f>IF(Skills!C14=1,60+Inputs!$B$26+Inputs!$B$30,IF(Skills!C14=2,90+Inputs!$B$27+Inputs!$B$30,IF(Skills!C14=3,120+Inputs!$B$28+Inputs!$B$30,MAX(0,(Inputs!$B$3-100)*3)+Inputs!$B$29+Inputs!$B$30)))</f>
        <v/>
      </c>
      <c r="E2229">
        <f>INDEX(FactorTable!$B$2:$Y$301, MATCH(ROUND(MIN(300,MAX(1,D2229)),0), FactorTable!$A$2:$A$301,0), Skills!M14+1)</f>
        <v/>
      </c>
      <c r="F2229">
        <f>IF(Skills!N14=TRUE,(Skills!L14/10)*(E2229/1000),Skills!L14/10)+Skills!O14</f>
        <v/>
      </c>
      <c r="G2229">
        <f>Skills!G14*IF(Skills!H14&gt;0,INT(IF(Inputs!$B$39="pvp",MIN(Skills!I14,15),Skills!I14)/Skills!H14+0.000000001),1)</f>
        <v/>
      </c>
      <c r="H2229">
        <f>1-(1-Skills!J14/100)^Skills!K14</f>
        <v/>
      </c>
      <c r="I2229" t="inlineStr">
        <is>
          <t>1</t>
        </is>
      </c>
      <c r="J2229" t="inlineStr"/>
      <c r="K2229" t="inlineStr"/>
      <c r="L2229" t="inlineStr"/>
      <c r="M2229" t="inlineStr"/>
      <c r="N2229" t="inlineStr"/>
      <c r="O2229">
        <f>(1-Summary!$B$11)*T2229+Summary!$B$11*V2229</f>
        <v/>
      </c>
      <c r="P2229">
        <f>IF(B2254=0,0,O2229/B2254)</f>
        <v/>
      </c>
      <c r="Q2229">
        <f>IFERROR(1/IF(Inputs!$B$39="pvp",15,MAX(0.1,Skills!D14-IF(TRUE=TRUE,Inputs!$B$33,0))),0)</f>
        <v/>
      </c>
      <c r="R2229">
        <f>IF(AND(Inputs!$B$39&lt;&gt;"pvp",Inputs!$B$44&gt;0),IF(Inputs!$B$44&lt;=0,0,(INT(Inputs!$B$44/IF(Inputs!$B$39="pvp",15,MAX(0.1,Skills!D14-IF(TRUE=TRUE,Inputs!$B$33,0))))+1)),0)</f>
        <v/>
      </c>
      <c r="S2229">
        <f>IFERROR(O2229/N2229,0)</f>
        <v/>
      </c>
      <c r="T2229" t="n">
        <v>0</v>
      </c>
      <c r="V2229" t="n">
        <v>0</v>
      </c>
    </row>
    <row r="2230">
      <c r="A2230">
        <f>Skills!A15</f>
        <v/>
      </c>
      <c r="B2230">
        <f>Skills!B15</f>
        <v/>
      </c>
      <c r="C2230">
        <f>Inputs!$B$3&gt;=66</f>
        <v/>
      </c>
      <c r="D2230">
        <f>IF(Skills!C15=1,60+Inputs!$B$26+Inputs!$B$30,IF(Skills!C15=2,90+Inputs!$B$27+Inputs!$B$30,IF(Skills!C15=3,120+Inputs!$B$28+Inputs!$B$30,MAX(0,(Inputs!$B$3-100)*3)+Inputs!$B$29+Inputs!$B$30)))</f>
        <v/>
      </c>
      <c r="E2230">
        <f>INDEX(FactorTable!$B$2:$Y$301, MATCH(ROUND(MIN(300,MAX(1,D2230)),0), FactorTable!$A$2:$A$301,0), Skills!M15+1)</f>
        <v/>
      </c>
      <c r="F2230">
        <f>IF(Skills!N15=TRUE,(Skills!L15/10)*(E2230/1000),Skills!L15/10)+Skills!O15</f>
        <v/>
      </c>
      <c r="G2230">
        <f>Skills!G15*IF(Skills!H15&gt;0,INT(IF(Inputs!$B$39="pvp",MIN(Skills!I15,15),Skills!I15)/Skills!H15+0.000000001),1)</f>
        <v/>
      </c>
      <c r="H2230">
        <f>1-(1-Skills!J15/100)^Skills!K15</f>
        <v/>
      </c>
      <c r="I2230" t="inlineStr">
        <is>
          <t>1</t>
        </is>
      </c>
      <c r="J2230" t="inlineStr"/>
      <c r="K2230" t="inlineStr"/>
      <c r="L2230" t="inlineStr"/>
      <c r="M2230" t="inlineStr"/>
      <c r="N2230" t="inlineStr"/>
      <c r="O2230">
        <f>(1-Summary!$B$11)*T2230+Summary!$B$11*V2230</f>
        <v/>
      </c>
      <c r="P2230">
        <f>IF(B2254=0,0,O2230/B2254)</f>
        <v/>
      </c>
      <c r="Q2230">
        <f>IFERROR(1/IF(Inputs!$B$39="pvp",15,MAX(0.1,Skills!D15-IF(TRUE=TRUE,Inputs!$B$33,0))),0)</f>
        <v/>
      </c>
      <c r="R2230">
        <f>IF(AND(Inputs!$B$39&lt;&gt;"pvp",Inputs!$B$44&gt;0),IF(Inputs!$B$44&lt;=0,0,(INT(Inputs!$B$44/IF(Inputs!$B$39="pvp",15,MAX(0.1,Skills!D15-IF(TRUE=TRUE,Inputs!$B$33,0))))+1)),0)</f>
        <v/>
      </c>
      <c r="S2230">
        <f>IFERROR(O2230/N2230,0)</f>
        <v/>
      </c>
      <c r="T2230" t="n">
        <v>0</v>
      </c>
      <c r="V2230" t="n">
        <v>0</v>
      </c>
    </row>
    <row r="2231">
      <c r="A2231">
        <f>Skills!A16</f>
        <v/>
      </c>
      <c r="B2231">
        <f>Skills!B16</f>
        <v/>
      </c>
      <c r="C2231">
        <f>Inputs!$B$3&gt;=45</f>
        <v/>
      </c>
      <c r="D2231">
        <f>IF(Skills!C16=1,60+Inputs!$B$26+Inputs!$B$30,IF(Skills!C16=2,90+Inputs!$B$27+Inputs!$B$30,IF(Skills!C16=3,120+Inputs!$B$28+Inputs!$B$30,MAX(0,(Inputs!$B$3-100)*3)+Inputs!$B$29+Inputs!$B$30)))</f>
        <v/>
      </c>
      <c r="E2231">
        <f>INDEX(FactorTable!$B$2:$Y$301, MATCH(ROUND(MIN(300,MAX(1,D2231)),0), FactorTable!$A$2:$A$301,0), Skills!M16+1)</f>
        <v/>
      </c>
      <c r="F2231">
        <f>IF(Skills!N16=TRUE,(Skills!L16/10)*(E2231/1000),Skills!L16/10)+Skills!O16</f>
        <v/>
      </c>
      <c r="G2231">
        <f>Skills!G16*IF(Skills!H16&gt;0,INT(IF(Inputs!$B$39="pvp",MIN(Skills!I16,15),Skills!I16)/Skills!H16+0.000000001),1)</f>
        <v/>
      </c>
      <c r="H2231">
        <f>1-(1-Skills!J16/100)^Skills!K16</f>
        <v/>
      </c>
      <c r="I2231" t="inlineStr">
        <is>
          <t>1</t>
        </is>
      </c>
      <c r="J2231" t="inlineStr"/>
      <c r="K2231" t="inlineStr"/>
      <c r="L2231" t="inlineStr"/>
      <c r="M2231" t="inlineStr"/>
      <c r="N2231" t="inlineStr"/>
      <c r="O2231">
        <f>(1-Summary!$B$11)*T2231+Summary!$B$11*V2231</f>
        <v/>
      </c>
      <c r="P2231">
        <f>IF(B2254=0,0,O2231/B2254)</f>
        <v/>
      </c>
      <c r="Q2231">
        <f>IFERROR(1/IF(Inputs!$B$39="pvp",15,MAX(0.1,Skills!D16-IF(TRUE=TRUE,Inputs!$B$33,0))),0)</f>
        <v/>
      </c>
      <c r="R2231">
        <f>IF(AND(Inputs!$B$39&lt;&gt;"pvp",Inputs!$B$44&gt;0),IF(Inputs!$B$44&lt;=0,0,(INT(Inputs!$B$44/IF(Inputs!$B$39="pvp",15,MAX(0.1,Skills!D16-IF(TRUE=TRUE,Inputs!$B$33,0))))+1)),0)</f>
        <v/>
      </c>
      <c r="S2231">
        <f>IFERROR(O2231/N2231,0)</f>
        <v/>
      </c>
      <c r="T2231" t="n">
        <v>0</v>
      </c>
      <c r="V2231" t="n">
        <v>0</v>
      </c>
    </row>
    <row r="2232">
      <c r="A2232">
        <f>Skills!A17</f>
        <v/>
      </c>
      <c r="B2232">
        <f>Skills!B17</f>
        <v/>
      </c>
      <c r="C2232">
        <f>Inputs!$B$3&gt;=35</f>
        <v/>
      </c>
      <c r="D2232">
        <f>IF(Skills!C17=1,60+Inputs!$B$26+Inputs!$B$30,IF(Skills!C17=2,90+Inputs!$B$27+Inputs!$B$30,IF(Skills!C17=3,120+Inputs!$B$28+Inputs!$B$30,MAX(0,(Inputs!$B$3-100)*3)+Inputs!$B$29+Inputs!$B$30)))</f>
        <v/>
      </c>
      <c r="E2232">
        <f>INDEX(FactorTable!$B$2:$Y$301, MATCH(ROUND(MIN(300,MAX(1,D2232)),0), FactorTable!$A$2:$A$301,0), Skills!M17+1)</f>
        <v/>
      </c>
      <c r="F2232">
        <f>IF(Skills!N17=TRUE,(Skills!L17/10)*(E2232/1000),Skills!L17/10)+Skills!O17</f>
        <v/>
      </c>
      <c r="G2232">
        <f>Skills!G17*IF(Skills!H17&gt;0,INT(IF(Inputs!$B$39="pvp",MIN(Skills!I17,15),Skills!I17)/Skills!H17+0.000000001),1)</f>
        <v/>
      </c>
      <c r="H2232">
        <f>1-(1-Skills!J17/100)^Skills!K17</f>
        <v/>
      </c>
      <c r="I2232" t="inlineStr">
        <is>
          <t>1</t>
        </is>
      </c>
      <c r="J2232" t="inlineStr"/>
      <c r="K2232" t="inlineStr"/>
      <c r="L2232" t="inlineStr"/>
      <c r="M2232" t="inlineStr"/>
      <c r="N2232" t="inlineStr"/>
      <c r="O2232">
        <f>(1-Summary!$B$11)*T2232+Summary!$B$11*V2232</f>
        <v/>
      </c>
      <c r="P2232">
        <f>IF(B2254=0,0,O2232/B2254)</f>
        <v/>
      </c>
      <c r="Q2232">
        <f>IFERROR(1/IF(Inputs!$B$39="pvp",15,MAX(0.1,Skills!D17-IF(TRUE=TRUE,Inputs!$B$33,0))),0)</f>
        <v/>
      </c>
      <c r="R2232">
        <f>IF(AND(Inputs!$B$39&lt;&gt;"pvp",Inputs!$B$44&gt;0),IF(Inputs!$B$44&lt;=0,0,(INT(Inputs!$B$44/IF(Inputs!$B$39="pvp",15,MAX(0.1,Skills!D17-IF(TRUE=TRUE,Inputs!$B$33,0))))+1)),0)</f>
        <v/>
      </c>
      <c r="S2232">
        <f>IFERROR(O2232/N2232,0)</f>
        <v/>
      </c>
      <c r="T2232" t="n">
        <v>0</v>
      </c>
      <c r="V2232" t="n">
        <v>0</v>
      </c>
    </row>
    <row r="2233">
      <c r="A2233">
        <f>Skills!A18</f>
        <v/>
      </c>
      <c r="B2233">
        <f>Skills!B18</f>
        <v/>
      </c>
      <c r="C2233">
        <f>Inputs!$B$3&gt;=72</f>
        <v/>
      </c>
      <c r="D2233">
        <f>IF(Skills!C18=1,60+Inputs!$B$26+Inputs!$B$30,IF(Skills!C18=2,90+Inputs!$B$27+Inputs!$B$30,IF(Skills!C18=3,120+Inputs!$B$28+Inputs!$B$30,MAX(0,(Inputs!$B$3-100)*3)+Inputs!$B$29+Inputs!$B$30)))</f>
        <v/>
      </c>
      <c r="E2233">
        <f>INDEX(FactorTable!$B$2:$Y$301, MATCH(ROUND(MIN(300,MAX(1,D2233)),0), FactorTable!$A$2:$A$301,0), Skills!M18+1)</f>
        <v/>
      </c>
      <c r="F2233">
        <f>IF(Skills!N18=TRUE,(Skills!L18/10)*(E2233/1000),Skills!L18/10)+Skills!O18</f>
        <v/>
      </c>
      <c r="G2233">
        <f>Skills!G18*IF(Skills!H18&gt;0,INT(IF(Inputs!$B$39="pvp",MIN(Skills!I18,15),Skills!I18)/Skills!H18+0.000000001),1)</f>
        <v/>
      </c>
      <c r="H2233">
        <f>1-(1-Skills!J18/100)^Skills!K18</f>
        <v/>
      </c>
      <c r="I2233" t="inlineStr">
        <is>
          <t>1</t>
        </is>
      </c>
      <c r="J2233" t="inlineStr"/>
      <c r="K2233" t="inlineStr"/>
      <c r="L2233" t="inlineStr"/>
      <c r="M2233" t="inlineStr"/>
      <c r="N2233" t="inlineStr"/>
      <c r="O2233">
        <f>(1-Summary!$B$11)*T2233+Summary!$B$11*V2233</f>
        <v/>
      </c>
      <c r="P2233">
        <f>IF(B2254=0,0,O2233/B2254)</f>
        <v/>
      </c>
      <c r="Q2233">
        <f>IFERROR(1/IF(Inputs!$B$39="pvp",15,MAX(0.1,Skills!D18-IF(TRUE=TRUE,Inputs!$B$33,0))),0)</f>
        <v/>
      </c>
      <c r="R2233">
        <f>IF(AND(Inputs!$B$39&lt;&gt;"pvp",Inputs!$B$44&gt;0),IF(Inputs!$B$44&lt;=0,0,(INT(Inputs!$B$44/IF(Inputs!$B$39="pvp",15,MAX(0.1,Skills!D18-IF(TRUE=TRUE,Inputs!$B$33,0))))+1)),0)</f>
        <v/>
      </c>
      <c r="S2233">
        <f>IFERROR(O2233/N2233,0)</f>
        <v/>
      </c>
      <c r="T2233" t="n">
        <v>0</v>
      </c>
      <c r="V2233" t="n">
        <v>0</v>
      </c>
    </row>
    <row r="2234">
      <c r="A2234">
        <f>Skills!A19</f>
        <v/>
      </c>
      <c r="B2234">
        <f>Skills!B19</f>
        <v/>
      </c>
      <c r="C2234">
        <f>Inputs!$B$3&gt;=72</f>
        <v/>
      </c>
      <c r="D2234">
        <f>IF(Skills!C19=1,60+Inputs!$B$26+Inputs!$B$30,IF(Skills!C19=2,90+Inputs!$B$27+Inputs!$B$30,IF(Skills!C19=3,120+Inputs!$B$28+Inputs!$B$30,MAX(0,(Inputs!$B$3-100)*3)+Inputs!$B$29+Inputs!$B$30)))</f>
        <v/>
      </c>
      <c r="E2234">
        <f>INDEX(FactorTable!$B$2:$Y$301, MATCH(ROUND(MIN(300,MAX(1,D2234)),0), FactorTable!$A$2:$A$301,0), Skills!M19+1)</f>
        <v/>
      </c>
      <c r="F2234">
        <f>IF(Skills!N19=TRUE,(Skills!L19/10)*(E2234/1000),Skills!L19/10)+Skills!O19</f>
        <v/>
      </c>
      <c r="G2234">
        <f>Skills!G19*IF(Skills!H19&gt;0,INT(IF(Inputs!$B$39="pvp",MIN(Skills!I19,15),Skills!I19)/Skills!H19+0.000000001),1)</f>
        <v/>
      </c>
      <c r="H2234">
        <f>1-(1-Skills!J19/100)^Skills!K19</f>
        <v/>
      </c>
      <c r="I2234" t="inlineStr">
        <is>
          <t>1</t>
        </is>
      </c>
      <c r="J2234" t="inlineStr"/>
      <c r="K2234" t="inlineStr"/>
      <c r="L2234" t="inlineStr"/>
      <c r="M2234" t="inlineStr"/>
      <c r="N2234" t="inlineStr"/>
      <c r="O2234">
        <f>(1-Summary!$B$11)*T2234+Summary!$B$11*V2234</f>
        <v/>
      </c>
      <c r="P2234">
        <f>IF(B2254=0,0,O2234/B2254)</f>
        <v/>
      </c>
      <c r="Q2234">
        <f>IFERROR(1/IF(Inputs!$B$39="pvp",15,MAX(0.1,Skills!D19-IF(TRUE=TRUE,Inputs!$B$33,0))),0)</f>
        <v/>
      </c>
      <c r="R2234">
        <f>IF(AND(Inputs!$B$39&lt;&gt;"pvp",Inputs!$B$44&gt;0),IF(Inputs!$B$44&lt;=0,0,(INT(Inputs!$B$44/IF(Inputs!$B$39="pvp",15,MAX(0.1,Skills!D19-IF(TRUE=TRUE,Inputs!$B$33,0))))+1)),0)</f>
        <v/>
      </c>
      <c r="S2234">
        <f>IFERROR(O2234/N2234,0)</f>
        <v/>
      </c>
      <c r="T2234" t="n">
        <v>0</v>
      </c>
      <c r="V2234" t="n">
        <v>0</v>
      </c>
    </row>
    <row r="2235">
      <c r="A2235">
        <f>Skills!A20</f>
        <v/>
      </c>
      <c r="B2235">
        <f>Skills!B20</f>
        <v/>
      </c>
      <c r="C2235">
        <f>TRUE</f>
        <v/>
      </c>
      <c r="D2235">
        <f>IF(Skills!C20=1,60+Inputs!$B$26+Inputs!$B$30,IF(Skills!C20=2,90+Inputs!$B$27+Inputs!$B$30,IF(Skills!C20=3,120+Inputs!$B$28+Inputs!$B$30,MAX(0,(Inputs!$B$3-100)*3)+Inputs!$B$29+Inputs!$B$30)))</f>
        <v/>
      </c>
      <c r="E2235">
        <f>INDEX(FactorTable!$B$2:$Y$301, MATCH(ROUND(MIN(300,MAX(1,D2235)),0), FactorTable!$A$2:$A$301,0), Skills!M20+1)</f>
        <v/>
      </c>
      <c r="F2235">
        <f>IF(Skills!N20=TRUE,(Skills!L20/10)*(E2235/1000),Skills!L20/10)+Skills!O20</f>
        <v/>
      </c>
      <c r="G2235">
        <f>Skills!G20*IF(Skills!H20&gt;0,INT(IF(Inputs!$B$39="pvp",MIN(Skills!I20,15),Skills!I20)/Skills!H20+0.000000001),1)</f>
        <v/>
      </c>
      <c r="H2235">
        <f>1-(1-Skills!J20/100)^Skills!K20</f>
        <v/>
      </c>
      <c r="I2235" t="inlineStr">
        <is>
          <t>1</t>
        </is>
      </c>
      <c r="J2235" t="inlineStr"/>
      <c r="K2235" t="inlineStr"/>
      <c r="L2235" t="inlineStr"/>
      <c r="M2235" t="inlineStr"/>
      <c r="N2235" t="inlineStr"/>
      <c r="O2235">
        <f>(1-Summary!$B$11)*T2235+Summary!$B$11*V2235</f>
        <v/>
      </c>
      <c r="P2235">
        <f>IF(B2254=0,0,O2235/B2254)</f>
        <v/>
      </c>
      <c r="Q2235">
        <f>IFERROR(1/IF(Inputs!$B$39="pvp",15,MAX(0.1,Skills!D20-IF(TRUE=TRUE,Inputs!$B$33,0))),0)</f>
        <v/>
      </c>
      <c r="R2235">
        <f>IF(AND(Inputs!$B$39&lt;&gt;"pvp",Inputs!$B$44&gt;0),IF(Inputs!$B$44&lt;=0,0,(INT(Inputs!$B$44/IF(Inputs!$B$39="pvp",15,MAX(0.1,Skills!D20-IF(TRUE=TRUE,Inputs!$B$33,0))))+1)),0)</f>
        <v/>
      </c>
      <c r="S2235">
        <f>IFERROR(O2235/N2235,0)</f>
        <v/>
      </c>
      <c r="T2235" t="n">
        <v>0</v>
      </c>
      <c r="V2235" t="n">
        <v>0</v>
      </c>
    </row>
    <row r="2236">
      <c r="A2236">
        <f>Skills!A21</f>
        <v/>
      </c>
      <c r="B2236">
        <f>Skills!B21</f>
        <v/>
      </c>
      <c r="C2236">
        <f>Inputs!$B$3&gt;=33</f>
        <v/>
      </c>
      <c r="D2236">
        <f>IF(Skills!C21=1,60+Inputs!$B$26+Inputs!$B$30,IF(Skills!C21=2,90+Inputs!$B$27+Inputs!$B$30,IF(Skills!C21=3,120+Inputs!$B$28+Inputs!$B$30,MAX(0,(Inputs!$B$3-100)*3)+Inputs!$B$29+Inputs!$B$30)))</f>
        <v/>
      </c>
      <c r="E2236">
        <f>INDEX(FactorTable!$B$2:$Y$301, MATCH(ROUND(MIN(300,MAX(1,D2236)),0), FactorTable!$A$2:$A$301,0), Skills!M21+1)</f>
        <v/>
      </c>
      <c r="F2236">
        <f>IF(Skills!N21=TRUE,(Skills!L21/10)*(E2236/1000),Skills!L21/10)+Skills!O21</f>
        <v/>
      </c>
      <c r="G2236">
        <f>Skills!G21*IF(Skills!H21&gt;0,INT(IF(Inputs!$B$39="pvp",MIN(Skills!I21,15),Skills!I21)/Skills!H21+0.000000001),1)</f>
        <v/>
      </c>
      <c r="H2236">
        <f>1-(1-Skills!J21/100)^Skills!K21</f>
        <v/>
      </c>
      <c r="I2236" t="inlineStr">
        <is>
          <t>1</t>
        </is>
      </c>
      <c r="J2236" t="inlineStr"/>
      <c r="K2236" t="inlineStr"/>
      <c r="L2236" t="inlineStr"/>
      <c r="M2236" t="inlineStr"/>
      <c r="N2236" t="inlineStr"/>
      <c r="O2236">
        <f>(1-Summary!$B$11)*T2236+Summary!$B$11*V2236</f>
        <v/>
      </c>
      <c r="P2236">
        <f>IF(B2254=0,0,O2236/B2254)</f>
        <v/>
      </c>
      <c r="Q2236" t="n">
        <v>0</v>
      </c>
      <c r="R2236" t="n">
        <v>0</v>
      </c>
      <c r="S2236">
        <f>IFERROR(O2236/N2236,0)</f>
        <v/>
      </c>
      <c r="T2236" t="n">
        <v>0</v>
      </c>
      <c r="V2236" t="n">
        <v>0</v>
      </c>
    </row>
    <row r="2237">
      <c r="A2237">
        <f>Skills!A22</f>
        <v/>
      </c>
      <c r="B2237">
        <f>Skills!B22</f>
        <v/>
      </c>
      <c r="C2237">
        <f>Inputs!$B$3&gt;=43</f>
        <v/>
      </c>
      <c r="D2237">
        <f>IF(Skills!C22=1,60+Inputs!$B$26+Inputs!$B$30,IF(Skills!C22=2,90+Inputs!$B$27+Inputs!$B$30,IF(Skills!C22=3,120+Inputs!$B$28+Inputs!$B$30,MAX(0,(Inputs!$B$3-100)*3)+Inputs!$B$29+Inputs!$B$30)))</f>
        <v/>
      </c>
      <c r="E2237">
        <f>INDEX(FactorTable!$B$2:$Y$301, MATCH(ROUND(MIN(300,MAX(1,D2237)),0), FactorTable!$A$2:$A$301,0), Skills!M22+1)</f>
        <v/>
      </c>
      <c r="F2237">
        <f>IF(Skills!N22=TRUE,(Skills!L22/10)*(E2237/1000),Skills!L22/10)+Skills!O22</f>
        <v/>
      </c>
      <c r="G2237">
        <f>Skills!G22*IF(Skills!H22&gt;0,INT(IF(Inputs!$B$39="pvp",MIN(Skills!I22,15),Skills!I22)/Skills!H22+0.000000001),1)</f>
        <v/>
      </c>
      <c r="H2237">
        <f>1-(1-Skills!J22/100)^Skills!K22</f>
        <v/>
      </c>
      <c r="I2237" t="inlineStr">
        <is>
          <t>1</t>
        </is>
      </c>
      <c r="J2237" t="inlineStr"/>
      <c r="K2237" t="inlineStr"/>
      <c r="L2237" t="inlineStr"/>
      <c r="M2237" t="inlineStr"/>
      <c r="N2237" t="inlineStr"/>
      <c r="O2237">
        <f>(1-Summary!$B$11)*T2237+Summary!$B$11*V2237</f>
        <v/>
      </c>
      <c r="P2237">
        <f>IF(B2254=0,0,O2237/B2254)</f>
        <v/>
      </c>
      <c r="Q2237" t="n">
        <v>0</v>
      </c>
      <c r="R2237" t="n">
        <v>0</v>
      </c>
      <c r="S2237">
        <f>IFERROR(O2237/N2237,0)</f>
        <v/>
      </c>
      <c r="T2237" t="n">
        <v>0</v>
      </c>
      <c r="V2237" t="n">
        <v>0</v>
      </c>
    </row>
    <row r="2238">
      <c r="A2238">
        <f>Skills!A23</f>
        <v/>
      </c>
      <c r="B2238">
        <f>Skills!B23</f>
        <v/>
      </c>
      <c r="C2238">
        <f>Inputs!$B$3&gt;=120</f>
        <v/>
      </c>
      <c r="D2238">
        <f>IF(Skills!C23=1,60+Inputs!$B$26+Inputs!$B$30,IF(Skills!C23=2,90+Inputs!$B$27+Inputs!$B$30,IF(Skills!C23=3,120+Inputs!$B$28+Inputs!$B$30,MAX(0,(Inputs!$B$3-100)*3)+Inputs!$B$29+Inputs!$B$30)))</f>
        <v/>
      </c>
      <c r="E2238">
        <f>INDEX(FactorTable!$B$2:$Y$301, MATCH(ROUND(MIN(300,MAX(1,D2238)),0), FactorTable!$A$2:$A$301,0), Skills!M23+1)</f>
        <v/>
      </c>
      <c r="F2238">
        <f>IF(Skills!N23=TRUE,(Skills!L23/10)*(E2238/1000),Skills!L23/10)+Skills!O23</f>
        <v/>
      </c>
      <c r="G2238">
        <f>Skills!G23*IF(Skills!H23&gt;0,INT(IF(Inputs!$B$39="pvp",MIN(Skills!I23,15),Skills!I23)/Skills!H23+0.000000001),1)</f>
        <v/>
      </c>
      <c r="H2238">
        <f>1-(1-Skills!J23/100)^Skills!K23</f>
        <v/>
      </c>
      <c r="I2238" t="inlineStr">
        <is>
          <t>1</t>
        </is>
      </c>
      <c r="J2238" t="inlineStr"/>
      <c r="K2238" t="inlineStr"/>
      <c r="L2238" t="inlineStr"/>
      <c r="M2238" t="inlineStr"/>
      <c r="N2238" t="inlineStr"/>
      <c r="O2238">
        <f>(1-Summary!$B$11)*T2238+Summary!$B$11*V2238</f>
        <v/>
      </c>
      <c r="P2238">
        <f>IF(B2254=0,0,O2238/B2254)</f>
        <v/>
      </c>
      <c r="Q2238" t="n">
        <v>0</v>
      </c>
      <c r="R2238" t="n">
        <v>0</v>
      </c>
      <c r="S2238">
        <f>IFERROR(O2238/N2238,0)</f>
        <v/>
      </c>
      <c r="T2238" t="n">
        <v>0</v>
      </c>
      <c r="V2238" t="n">
        <v>0</v>
      </c>
    </row>
    <row r="2239">
      <c r="A2239">
        <f>Skills!A24</f>
        <v/>
      </c>
      <c r="B2239">
        <f>Skills!B24</f>
        <v/>
      </c>
      <c r="C2239">
        <f>Inputs!$B$3&gt;=120</f>
        <v/>
      </c>
      <c r="D2239">
        <f>IF(Skills!C24=1,60+Inputs!$B$26+Inputs!$B$30,IF(Skills!C24=2,90+Inputs!$B$27+Inputs!$B$30,IF(Skills!C24=3,120+Inputs!$B$28+Inputs!$B$30,MAX(0,(Inputs!$B$3-100)*3)+Inputs!$B$29+Inputs!$B$30)))</f>
        <v/>
      </c>
      <c r="E2239">
        <f>INDEX(FactorTable!$B$2:$Y$301, MATCH(ROUND(MIN(300,MAX(1,D2239)),0), FactorTable!$A$2:$A$301,0), Skills!M24+1)</f>
        <v/>
      </c>
      <c r="F2239">
        <f>IF(Skills!N24=TRUE,(Skills!L24/10)*(E2239/1000),Skills!L24/10)+Skills!O24</f>
        <v/>
      </c>
      <c r="G2239">
        <f>Skills!G24*IF(Skills!H24&gt;0,INT(IF(Inputs!$B$39="pvp",MIN(Skills!I24,15),Skills!I24)/Skills!H24+0.000000001),1)</f>
        <v/>
      </c>
      <c r="H2239">
        <f>1-(1-Skills!J24/100)^Skills!K24</f>
        <v/>
      </c>
      <c r="I2239" t="inlineStr">
        <is>
          <t>1</t>
        </is>
      </c>
      <c r="J2239" t="inlineStr"/>
      <c r="K2239" t="inlineStr"/>
      <c r="L2239" t="inlineStr"/>
      <c r="M2239" t="inlineStr"/>
      <c r="N2239" t="inlineStr"/>
      <c r="O2239">
        <f>(1-Summary!$B$11)*T2239+Summary!$B$11*V2239</f>
        <v/>
      </c>
      <c r="P2239">
        <f>IF(B2254=0,0,O2239/B2254)</f>
        <v/>
      </c>
      <c r="Q2239" t="n">
        <v>0</v>
      </c>
      <c r="R2239" t="n">
        <v>0</v>
      </c>
      <c r="S2239">
        <f>IFERROR(O2239/N2239,0)</f>
        <v/>
      </c>
      <c r="T2239" t="n">
        <v>0</v>
      </c>
      <c r="V2239" t="n">
        <v>0</v>
      </c>
    </row>
    <row r="2240">
      <c r="A2240">
        <f>Skills!A25</f>
        <v/>
      </c>
      <c r="B2240">
        <f>Skills!B25</f>
        <v/>
      </c>
      <c r="C2240">
        <f>Inputs!$B$3&gt;=125</f>
        <v/>
      </c>
      <c r="D2240">
        <f>IF(Skills!C25=1,60+Inputs!$B$26+Inputs!$B$30,IF(Skills!C25=2,90+Inputs!$B$27+Inputs!$B$30,IF(Skills!C25=3,120+Inputs!$B$28+Inputs!$B$30,MAX(0,(Inputs!$B$3-100)*3)+Inputs!$B$29+Inputs!$B$30)))</f>
        <v/>
      </c>
      <c r="E2240">
        <f>INDEX(FactorTable!$B$2:$Y$301, MATCH(ROUND(MIN(300,MAX(1,D2240)),0), FactorTable!$A$2:$A$301,0), Skills!M25+1)</f>
        <v/>
      </c>
      <c r="F2240">
        <f>IF(Skills!N25=TRUE,(Skills!L25/10)*(E2240/1000),Skills!L25/10)+Skills!O25</f>
        <v/>
      </c>
      <c r="G2240">
        <f>Skills!G25*IF(Skills!H25&gt;0,INT(IF(Inputs!$B$39="pvp",MIN(Skills!I25,15),Skills!I25)/Skills!H25+0.000000001),1)</f>
        <v/>
      </c>
      <c r="H2240">
        <f>1-(1-Skills!J25/100)^Skills!K25</f>
        <v/>
      </c>
      <c r="I2240" t="inlineStr">
        <is>
          <t>1</t>
        </is>
      </c>
      <c r="J2240" t="inlineStr"/>
      <c r="K2240" t="inlineStr"/>
      <c r="L2240" t="inlineStr"/>
      <c r="M2240" t="inlineStr"/>
      <c r="N2240" t="inlineStr"/>
      <c r="O2240">
        <f>(1-Summary!$B$11)*T2240+Summary!$B$11*V2240</f>
        <v/>
      </c>
      <c r="P2240">
        <f>IF(B2254=0,0,O2240/B2254)</f>
        <v/>
      </c>
      <c r="Q2240" t="n">
        <v>0</v>
      </c>
      <c r="R2240" t="n">
        <v>0</v>
      </c>
      <c r="S2240">
        <f>IFERROR(O2240/N2240,0)</f>
        <v/>
      </c>
      <c r="T2240" t="n">
        <v>0</v>
      </c>
      <c r="V2240" t="n">
        <v>0</v>
      </c>
    </row>
    <row r="2241">
      <c r="A2241">
        <f>Skills!A26</f>
        <v/>
      </c>
      <c r="B2241">
        <f>Skills!B26</f>
        <v/>
      </c>
      <c r="C2241">
        <f>Inputs!$B$3&gt;=107</f>
        <v/>
      </c>
      <c r="D2241">
        <f>IF(Skills!C26=1,60+Inputs!$B$26+Inputs!$B$30,IF(Skills!C26=2,90+Inputs!$B$27+Inputs!$B$30,IF(Skills!C26=3,120+Inputs!$B$28+Inputs!$B$30,MAX(0,(Inputs!$B$3-100)*3)+Inputs!$B$29+Inputs!$B$30)))</f>
        <v/>
      </c>
      <c r="E2241">
        <f>INDEX(FactorTable!$B$2:$Y$301, MATCH(ROUND(MIN(300,MAX(1,D2241)),0), FactorTable!$A$2:$A$301,0), Skills!M26+1)</f>
        <v/>
      </c>
      <c r="F2241">
        <f>IF(Skills!N26=TRUE,(Skills!L26/10)*(E2241/1000),Skills!L26/10)+Skills!O26</f>
        <v/>
      </c>
      <c r="G2241">
        <f>Skills!G26*IF(Skills!H26&gt;0,INT(IF(Inputs!$B$39="pvp",MIN(Skills!I26,15),Skills!I26)/Skills!H26+0.000000001),1)</f>
        <v/>
      </c>
      <c r="H2241">
        <f>1-(1-Skills!J26/100)^Skills!K26</f>
        <v/>
      </c>
      <c r="I2241" t="inlineStr">
        <is>
          <t>1</t>
        </is>
      </c>
      <c r="J2241" t="inlineStr"/>
      <c r="K2241" t="inlineStr"/>
      <c r="L2241" t="inlineStr"/>
      <c r="M2241" t="inlineStr"/>
      <c r="N2241" t="inlineStr"/>
      <c r="O2241">
        <f>(1-Summary!$B$11)*T2241+Summary!$B$11*V2241</f>
        <v/>
      </c>
      <c r="P2241">
        <f>IF(B2254=0,0,O2241/B2254)</f>
        <v/>
      </c>
      <c r="Q2241" t="n">
        <v>0</v>
      </c>
      <c r="R2241" t="n">
        <v>0</v>
      </c>
      <c r="S2241">
        <f>IFERROR(O2241/N2241,0)</f>
        <v/>
      </c>
      <c r="T2241" t="n">
        <v>0</v>
      </c>
      <c r="V2241" t="n">
        <v>0</v>
      </c>
    </row>
    <row r="2243">
      <c r="A2243" t="inlineStr">
        <is>
          <t>Attack% Bucket Multiplier</t>
        </is>
      </c>
      <c r="B2243">
        <f>(1+(((C2228=TRUE)*F2228*IF(AND(Inputs!$B$39&lt;&gt;"pvp",Inputs!$B$44&gt;0),(((R2228-1)*MIN((Skills!T13*(1+Inputs!$B$35/100)),(1/Q2228))+MIN((Skills!T13*(1+Inputs!$B$35/100)),MAX(0,Inputs!$B$44-((R2228-1)*(1/Q2228)))))/Inputs!$B$44),IF(Inputs!$B$39="pvp",MIN((Skills!T13*(1+Inputs!$B$35/100)),15)/15,MIN(1,(Skills!T13*(1+Inputs!$B$35/100))/(1/Q2228)))))+((C2229=TRUE)*F2229*IF(AND(Inputs!$B$39&lt;&gt;"pvp",Inputs!$B$44&gt;0),(((R2229-1)*MIN((Skills!T14*(1+Inputs!$B$35/100)),(1/Q2229))+MIN((Skills!T14*(1+Inputs!$B$35/100)),MAX(0,Inputs!$B$44-((R2229-1)*(1/Q2229)))))/Inputs!$B$44),IF(Inputs!$B$39="pvp",MIN((Skills!T14*(1+Inputs!$B$35/100)),15)/15,MIN(1,(Skills!T14*(1+Inputs!$B$35/100))/(1/Q2229)))))+((C2230=TRUE)*F2230*IF(AND(Inputs!$B$39&lt;&gt;"pvp",Inputs!$B$44&gt;0),(((R2230-1)*MIN((Skills!T15*(1+Inputs!$B$35/100)),(1/Q2230))+MIN((Skills!T15*(1+Inputs!$B$35/100)),MAX(0,Inputs!$B$44-((R2230-1)*(1/Q2230)))))/Inputs!$B$44),IF(Inputs!$B$39="pvp",MIN((Skills!T15*(1+Inputs!$B$35/100)),15)/15,MIN(1,(Skills!T15*(1+Inputs!$B$35/100))/(1/Q2230)))))+((C2231=TRUE)*F2231*IF(AND(Inputs!$B$39&lt;&gt;"pvp",Inputs!$B$44&gt;0),(((R2231-1)*MIN((Skills!T16*(1+Inputs!$B$35/100)),(1/Q2231))+MIN((Skills!T16*(1+Inputs!$B$35/100)),MAX(0,Inputs!$B$44-((R2231-1)*(1/Q2231)))))/Inputs!$B$44),IF(Inputs!$B$39="pvp",MIN((Skills!T16*(1+Inputs!$B$35/100)),15)/15,MIN(1,(Skills!T16*(1+Inputs!$B$35/100))/(1/Q2231)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2244">
      <c r="A2244" t="inlineStr">
        <is>
          <t>Global Crit Rate Bonus % (Lord of Darkness)</t>
        </is>
      </c>
      <c r="B2244">
        <f>((C2233=TRUE)*F2233*(Skills!J18/100)*IF(AND(Inputs!$B$39&lt;&gt;"pvp",Inputs!$B$44&gt;0),(((R2233-1)*MIN((Skills!T18*(1+Inputs!$B$35/100)),(1/Q2233))+MIN((Skills!T18*(1+Inputs!$B$35/100)),MAX(0,Inputs!$B$44-((R2233-1)*(1/Q2233)))))/Inputs!$B$44),IF(Inputs!$B$39="pvp",MIN((Skills!T18*(1+Inputs!$B$35/100)),15)/15,MIN(1,(Skills!T18*(1+Inputs!$B$35/100))/(1/Q2233)))))</f>
        <v/>
      </c>
    </row>
    <row r="2245">
      <c r="A2245" t="inlineStr">
        <is>
          <t>Attack Speed Buff Bonus %</t>
        </is>
      </c>
      <c r="B2245">
        <f>((C2235=TRUE)*F2235*IF(AND(Inputs!$B$39&lt;&gt;"pvp",Inputs!$B$44&gt;0),(((R2235-1)*MIN((Skills!T20*(1+Inputs!$B$35/100)),(1/Q2235))+MIN((Skills!T20*(1+Inputs!$B$35/100)),MAX(0,Inputs!$B$44-((R2235-1)*(1/Q2235)))))/Inputs!$B$44),IF(Inputs!$B$39="pvp",MIN((Skills!T20*(1+Inputs!$B$35/100)),15)/15,MIN(1,(Skills!T20*(1+Inputs!$B$35/100))/(1/Q2235)))))</f>
        <v/>
      </c>
    </row>
    <row r="2246">
      <c r="A2246" t="inlineStr">
        <is>
          <t>Actions Per Second</t>
        </is>
      </c>
      <c r="B2246">
        <f>1+MIN(150,150*(1-(1-(Inputs!$B$12+((C2236=TRUE)*(F2236-Calc!F21)))/150)*(1-B2245/150)))/100</f>
        <v/>
      </c>
    </row>
    <row r="2247">
      <c r="A2247" t="inlineStr">
        <is>
          <t>Skill + Buff Cast Rate</t>
        </is>
      </c>
      <c r="B2247">
        <f>IF(AND(Inputs!$B$39&lt;&gt;"pvp",Inputs!$B$44&gt;0),SUMPRODUCT((Skills!E2:E26=TRUE)*(C2217:C2241=TRUE)*R2217:R2241*Skills!F2:F26)/Inputs!$B$44,SUMPRODUCT((Skills!E2:E26=TRUE)*(C2217:C2241=TRUE)*Q2217:Q2241*Skills!F2:F26))</f>
        <v/>
      </c>
    </row>
    <row r="2248">
      <c r="A2248" t="inlineStr">
        <is>
          <t>Dark Impale Casts Per Second</t>
        </is>
      </c>
      <c r="B2248">
        <f>MAX(0,B2246-B2247)</f>
        <v/>
      </c>
    </row>
    <row r="2249">
      <c r="A2249" t="inlineStr">
        <is>
          <t>Global Critical Damage Bonus % (Lord of Darkness)</t>
        </is>
      </c>
      <c r="B2249">
        <f>((C2234=TRUE)*F2234*(Skills!J19/100)*IF(AND(Inputs!$B$39&lt;&gt;"pvp",Inputs!$B$44&gt;0),(((R2234-1)*MIN((Skills!T19*(1+Inputs!$B$35/100)),(1/Q2234))+MIN((Skills!T19*(1+Inputs!$B$35/100)),MAX(0,Inputs!$B$44-((R2234-1)*(1/Q2234)))))/Inputs!$B$44),IF(Inputs!$B$39="pvp",MIN((Skills!T19*(1+Inputs!$B$35/100)),15)/15,MIN(1,(Skills!T19*(1+Inputs!$B$35/100))/(1/Q2234)))))</f>
        <v/>
      </c>
    </row>
    <row r="2250">
      <c r="A2250" t="inlineStr">
        <is>
          <t>Global Final Damage Bonus % (unused)</t>
        </is>
      </c>
      <c r="B2250" t="n">
        <v>0</v>
      </c>
    </row>
    <row r="2251">
      <c r="A2251" t="inlineStr">
        <is>
          <t>Buff-Casting Startup Delay (s, fixed-duration only)</t>
        </is>
      </c>
      <c r="B2251">
        <f>IF(AND(Inputs!$B$39&lt;&gt;"pvp",Inputs!$B$44&gt;0),SUMPRODUCT((Skills!T2:T26&gt;0)*(Skills!E2:E26=TRUE)*(C2217:C2241=TRUE))/B2246,0)</f>
        <v/>
      </c>
    </row>
    <row r="2252">
      <c r="A2252" t="inlineStr">
        <is>
          <t>Boss-Only Total DPS (this block's swept value)</t>
        </is>
      </c>
      <c r="B2252">
        <f>SUM(T2217:T2241)</f>
        <v/>
      </c>
    </row>
    <row r="2253">
      <c r="A2253" t="inlineStr">
        <is>
          <t>Normal-Only Total DPS (this block's swept value)</t>
        </is>
      </c>
      <c r="B2253">
        <f>SUM(V2217:V2241)</f>
        <v/>
      </c>
    </row>
    <row r="2254">
      <c r="A2254" s="6" t="inlineStr">
        <is>
          <t>TOTAL DPS</t>
        </is>
      </c>
      <c r="B2254" s="6">
        <f>SUM(O2217:O2241)</f>
        <v/>
      </c>
    </row>
    <row r="2257">
      <c r="A2257" s="6" t="inlineStr">
        <is>
          <t>Stat: Icy Soul Rock (Equip)</t>
        </is>
      </c>
    </row>
    <row r="2258">
      <c r="A2258" s="5" t="inlineStr">
        <is>
          <t>Key</t>
        </is>
      </c>
      <c r="B2258" s="5" t="inlineStr">
        <is>
          <t>Name</t>
        </is>
      </c>
      <c r="C2258" s="5" t="inlineStr">
        <is>
          <t>Unlocked</t>
        </is>
      </c>
      <c r="D2258" s="5" t="inlineStr">
        <is>
          <t>InputLevel</t>
        </is>
      </c>
      <c r="E2258" s="5" t="inlineStr">
        <is>
          <t>Factor</t>
        </is>
      </c>
      <c r="F2258" s="5" t="inlineStr">
        <is>
          <t>CoefficientPercent</t>
        </is>
      </c>
      <c r="G2258" s="5" t="inlineStr">
        <is>
          <t>EffectiveHits</t>
        </is>
      </c>
      <c r="H2258" s="5" t="inlineStr">
        <is>
          <t>ProcProbability</t>
        </is>
      </c>
      <c r="I2258" s="5" t="inlineStr">
        <is>
          <t>MapleHeroMultiplier</t>
        </is>
      </c>
      <c r="J2258" s="5" t="inlineStr">
        <is>
          <t>BaseDamage</t>
        </is>
      </c>
      <c r="K2258" s="5" t="inlineStr">
        <is>
          <t>BaseHitDamage</t>
        </is>
      </c>
      <c r="L2258" s="5" t="inlineStr">
        <is>
          <t>NonCritAvg</t>
        </is>
      </c>
      <c r="M2258" s="5" t="inlineStr">
        <is>
          <t>CritAvg</t>
        </is>
      </c>
      <c r="N2258" s="5" t="inlineStr">
        <is>
          <t>ExpectedDamage(perHit)</t>
        </is>
      </c>
      <c r="O2258" s="5" t="inlineStr">
        <is>
          <t>DPS</t>
        </is>
      </c>
      <c r="P2258" s="5" t="inlineStr">
        <is>
          <t>% of Total</t>
        </is>
      </c>
      <c r="Q2258" s="5" t="inlineStr">
        <is>
          <t>InvCooldown</t>
        </is>
      </c>
      <c r="R2258" s="5" t="inlineStr">
        <is>
          <t>CastsInFight</t>
        </is>
      </c>
      <c r="S2258" s="5" t="inlineStr">
        <is>
          <t>HitRate(perSec)</t>
        </is>
      </c>
      <c r="U2258" t="inlineStr">
        <is>
          <t>helpers</t>
        </is>
      </c>
    </row>
    <row r="2259">
      <c r="A2259">
        <f>Skills!A2</f>
        <v/>
      </c>
      <c r="B2259">
        <f>Skills!B2</f>
        <v/>
      </c>
      <c r="C2259">
        <f>Inputs!$B$3&gt;=100</f>
        <v/>
      </c>
      <c r="D2259" t="inlineStr"/>
      <c r="E2259" t="inlineStr"/>
      <c r="F2259">
        <f>U2261+Skills!O2</f>
        <v/>
      </c>
      <c r="G2259">
        <f>Skills!G2*IF(Skills!H2&gt;0,INT(IF(Inputs!$B$39="pvp",MIN(Skills!I2,15),Skills!I2)/Skills!H2+0.000000001),1)</f>
        <v/>
      </c>
      <c r="H2259">
        <f>1-(1-Skills!J2/100)^Skills!K2</f>
        <v/>
      </c>
      <c r="I2259" t="inlineStr">
        <is>
          <t>1</t>
        </is>
      </c>
      <c r="J2259">
        <f>((Inputs!$B$6*(1+Inputs!$B$7/100))+(((Inputs!$B$13*(1+Inputs!$B$14/100))-(Inputs!$B$13*(1+Inputs!$B$14/100)))+0.25*(Inputs!$B$15-Inputs!$B$15))*(1+Inputs!$B$7/100))*(F2259/100)</f>
        <v/>
      </c>
      <c r="K2259">
        <f>J2259*(1+(((Inputs!$B$13+IF(Inputs!$B$3&gt;=38,(10*INDEX(FactorTable!$B$2:$Y$301, MATCH(ROUND(MIN(300,MAX(1,Inputs!$B$3)),0), FactorTable!$A$2:$A$301,0), 23)/1000)/100*(Inputs!$B$8*(1+Inputs!$B$9/100)),0))*(1+Inputs!$B$14/100))*0.01+Inputs!$B$15*0.0025)/100)*(1+Inputs!$B$16/100)*(1+Inputs!$B$17/100)*(5000/(6000+Inputs!$B$43*(1-(Inputs!$B$20+0)/100)))*(1+(Inputs!$B$25+((C2282=TRUE)*(F2282-Calc!F25))+((C2283=TRUE)*(F2283-Calc!F26))+B2292)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gt;=100),MIN(100,((Inputs!$B$10+0+B2286+(ArtifactsInput!$M$24-ArtifactsInput!$M$24)*CHOOSE(ArtifactsInput!$N$24+1,10,12,14,16,18,20)+IF(ArtifactsInput!$M$10,CHOOSE(ArtifactsInput!$N$10+1,15,18,21,24,27,30)*(IF(Inputs!$B$39="pvp",MIN(15,15)/15,IF(AND(Inputs!$B$39&lt;&gt;"pvp",Inputs!$B$44&gt;0),MIN(15,Inputs!$B$44)/(Inputs!$B$44),0))),0)))-100),0))*CHOOSE(ArtifactsInput!$N$42+1,0.6,0.72,0.84,0.96,1.08,1.2))),Inputs!$B$19+((C2280=TRUE)*(F2280-Calc!F23))+(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gt;=100),CHOOSE(ArtifactsInput!$N$42+1,40,48,56,64,72,80),0))))/100)*((1+(((C2270=TRUE)*F2270*IF(AND(Inputs!$B$39&lt;&gt;"pvp",Inputs!$B$44&gt;0),(((R2270-1)*MIN((Skills!T13*(1+Inputs!$B$35/100)),(1/Q2270))+MIN((Skills!T13*(1+Inputs!$B$35/100)),MAX(0,Inputs!$B$44-((R2270-1)*(1/Q2270)))))/Inputs!$B$44),IF(Inputs!$B$39="pvp",MIN((Skills!T13*(1+Inputs!$B$35/100)),15)/15,MIN(1,(Skills!T13*(1+Inputs!$B$35/100))/(1/Q2270)))))+((C2271=TRUE)*F2271*IF(AND(Inputs!$B$39&lt;&gt;"pvp",Inputs!$B$44&gt;0),(((R2271-1)*MIN((Skills!T14*(1+Inputs!$B$35/100)),(1/Q2271))+MIN((Skills!T14*(1+Inputs!$B$35/100)),MAX(0,Inputs!$B$44-((R2271-1)*(1/Q2271)))))/Inputs!$B$44),IF(Inputs!$B$39="pvp",MIN((Skills!T14*(1+Inputs!$B$35/100)),15)/15,MIN(1,(Skills!T14*(1+Inputs!$B$35/100))/(1/Q2271)))))+((C2272=TRUE)*F2272*IF(AND(Inputs!$B$39&lt;&gt;"pvp",Inputs!$B$44&gt;0),(((R2272-1)*MIN((Skills!T15*(1+Inputs!$B$35/100)),(1/Q2272))+MIN((Skills!T15*(1+Inputs!$B$35/100)),MAX(0,Inputs!$B$44-((R2272-1)*(1/Q2272)))))/Inputs!$B$44),IF(Inputs!$B$39="pvp",MIN((Skills!T15*(1+Inputs!$B$35/100)),15)/15,MIN(1,(Skills!T15*(1+Inputs!$B$35/100))/(1/Q2272)))))+((C2273=TRUE)*F2273*IF(AND(Inputs!$B$39&lt;&gt;"pvp",Inputs!$B$44&gt;0),(((R2273-1)*MIN((Skills!T16*(1+Inputs!$B$35/100)),(1/Q2273))+MIN((Skills!T16*(1+Inputs!$B$35/100)),MAX(0,Inputs!$B$44-((R2273-1)*(1/Q2273)))))/Inputs!$B$44),IF(Inputs!$B$39="pvp",MIN((Skills!T16*(1+Inputs!$B$35/100)),15)/15,MIN(1,(Skills!T16*(1+Inputs!$B$35/100))/(1/Q2273)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2259)</f>
        <v/>
      </c>
      <c r="L2259">
        <f>K2259*(MIN(Inputs!$B$23+((C2279=TRUE)*(F2279-Calc!F22)),(Inputs!$B$24+((C2281=TRUE)*(F2281-Calc!F24))+(IF(ArtifactsInput!$M$15,CHOOSE(ArtifactsInput!$N$15+1,25,30,35,40,45,50)/100*(Inputs!$B$12-Inputs!$B$12),0))))/100+(Inputs!$B$24+((C2281=TRUE)*(F2281-Calc!F24))+(IF(ArtifactsInput!$M$15,CHOOSE(ArtifactsInput!$N$15+1,25,30,35,40,45,50)/100*(Inputs!$B$12-Inputs!$B$12),0)))/100)/2</f>
        <v/>
      </c>
      <c r="M2259">
        <f>L2259*(1+(Inputs!$B$11+0+B2291+(IF(ArtifactsInput!$M$24,CHOOSE(ArtifactsInput!$N$24+1,30,36,42,48,54,60)/100*(Inputs!$B$10-Inputs!$B$10),0)+IF(ArtifactsInput!$M$10,CHOOSE(ArtifactsInput!$N$10+1,20,24,28,32,36,40)*(IF(Inputs!$B$39="pvp",MIN(15,15)/15,IF(AND(Inputs!$B$39&lt;&gt;"pvp",Inputs!$B$44&gt;0),MIN(15,Inputs!$B$44)/(Inputs!$B$44),0))),0)+IF(IF(ArtifactsInput!$M$31,FALSE,TRUE),1.5*CHOOSE(ArtifactsInput!$N$31+1,20,24,28,32,36,40),0)))/100)</f>
        <v/>
      </c>
      <c r="N2259">
        <f>L2259*(1-MIN((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2259*(MIN((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59">
        <f>(1-Summary!$B$11)*T2259+Summary!$B$11*V2259</f>
        <v/>
      </c>
      <c r="P2259">
        <f>IF(B2296=0,0,O2259/B2296)</f>
        <v/>
      </c>
      <c r="Q2259" t="n">
        <v>0</v>
      </c>
      <c r="R2259" t="n">
        <v>0</v>
      </c>
      <c r="S2259">
        <f>IFERROR(O2259/N2259,0)</f>
        <v/>
      </c>
      <c r="T2259">
        <f>IF(C2259,(Skills!G2*N2259*B2290)*IF(Inputs!$B$39="pvp",1,1+(Inputs!$B$21+0+Skills!P2+((C2274=TRUE)*F2274*IF(AND(Inputs!$B$39&lt;&gt;"pvp",Inputs!$B$44&gt;0),(((R2274-1)*MIN((Skills!T17*(1+Inputs!$B$35/100)),(1/Q2274))+MIN((Skills!T17*(1+Inputs!$B$35/100)),MAX(0,Inputs!$B$44-((R2274-1)*(1/Q2274)))))/Inputs!$B$44),IF(Inputs!$B$39="pvp",MIN((Skills!T17*(1+Inputs!$B$35/100)),15)/15,MIN(1,(Skills!T17*(1+Inputs!$B$35/100))/(1/Q2274)))))+((C2262=TRUE)*IF(Inputs!$B$3&gt;=126,10*MIN(1,15*Q2262),0))+((C2271=TRUE)*IF(Inputs!$B$39="pvp",20,(1-Summary!$B$11)*(20)+Summary!$B$11*(0))*IF(AND(Inputs!$B$39&lt;&gt;"pvp",Inputs!$B$44&gt;0),(((R2271-1)*MIN((Skills!T14*(1+Inputs!$B$35/100)),(1/Q2271))+MIN((Skills!T14*(1+Inputs!$B$35/100)),MAX(0,Inputs!$B$44-((R2271-1)*(1/Q2271)))))/Inputs!$B$44),IF(Inputs!$B$39="pvp",MIN((Skills!T14*(1+Inputs!$B$35/100)),15)/15,MIN(1,(Skills!T14*(1+Inputs!$B$35/100))/(1/Q2271)))))+((C2270=TRUE)*IF(Inputs!$B$3&gt;=82,IF(Inputs!$B$39="pvp",20,(1-Summary!$B$11)*(20)+Summary!$B$11*(0)),0)*IF(AND(Inputs!$B$39&lt;&gt;"pvp",Inputs!$B$44&gt;0),(((R2270-1)*MIN((Skills!T13*(1+Inputs!$B$35/100)),(1/Q2270))+MIN((Skills!T13*(1+Inputs!$B$35/100)),MAX(0,Inputs!$B$44-((R2270-1)*(1/Q2270)))))/Inputs!$B$44),IF(Inputs!$B$39="pvp",MIN((Skills!T13*(1+Inputs!$B$35/100)),15)/15,MIN(1,(Skills!T13*(1+Inputs!$B$35/100))/(1/Q2270)))))+(IF(AND(ArtifactsInput!$M$35,Inputs!$B$4&lt;&gt;"Chapter Hunt"),CHOOSE(ArtifactsInput!$N$35+1,15,18,21,24,27,30)*(1-EXP(-(0.2*B2288)*5)),0)+IF(AND(ArtifactsInput!$M$22,Inputs!$B$4&lt;&gt;"Chapter Hunt"),CHOOSE(ArtifactsInput!$N$22+1,10,12,14,16,18,20)*((0*(((0.15*B2288*5))^0/1)+1*(((0.15*B2288*5))^1/1)+2*(((0.15*B2288*5))^2/2)+3*(((0.15*B2288*5))^3/6)+4*(((0.15*B2288*5))^4/24)+5*(((0.15*B2288*5))^5/120))/((((0.15*B2288*5))^0/1)+(((0.15*B2288*5))^1/1)+(((0.15*B2288*5))^2/2)+(((0.15*B2288*5))^3/6)+(((0.15*B2288*5))^4/24)+(((0.15*B2288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2259*(1-MIN(100,(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2259*(MIN(100,(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2259*(1-MIN(100,(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2259*(MIN(100,(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259">
        <f>MAX(0,(Inputs!$B$3-100)*3)+Inputs!$B$29+Inputs!$B$30</f>
        <v/>
      </c>
      <c r="V2259">
        <f>IF(C2259,(Skills!G2*N2259*B2290)*IF(Inputs!$B$39="pvp",1,(1+(Inputs!$B$22+Skills!Q2+((C2274=TRUE)*F2274*IF(AND(Inputs!$B$39&lt;&gt;"pvp",Inputs!$B$44&gt;0),(((R2274-1)*MIN((Skills!T17*(1+Inputs!$B$35/100)),(1/Q2274))+MIN((Skills!T17*(1+Inputs!$B$35/100)),MAX(0,Inputs!$B$44-((R2274-1)*(1/Q2274)))))/Inputs!$B$44),IF(Inputs!$B$39="pvp",MIN((Skills!T17*(1+Inputs!$B$35/100)),15)/15,MIN(1,(Skills!T17*(1+Inputs!$B$35/100))/(1/Q2274)))))+((C2262=TRUE)*IF(Inputs!$B$3&gt;=126,10*MIN(1,15*Q2262),0))+((C2271=TRUE)*IF(Inputs!$B$39="pvp",20,(1-Summary!$B$11)*(20)+Summary!$B$11*(0))*IF(AND(Inputs!$B$39&lt;&gt;"pvp",Inputs!$B$44&gt;0),(((R2271-1)*MIN((Skills!T14*(1+Inputs!$B$35/100)),(1/Q2271))+MIN((Skills!T14*(1+Inputs!$B$35/100)),MAX(0,Inputs!$B$44-((R2271-1)*(1/Q2271)))))/Inputs!$B$44),IF(Inputs!$B$39="pvp",MIN((Skills!T14*(1+Inputs!$B$35/100)),15)/15,MIN(1,(Skills!T14*(1+Inputs!$B$35/100))/(1/Q2271)))))+((C2270=TRUE)*IF(Inputs!$B$3&gt;=82,IF(Inputs!$B$39="pvp",20,(1-Summary!$B$11)*(20)+Summary!$B$11*(0)),0)*IF(AND(Inputs!$B$39&lt;&gt;"pvp",Inputs!$B$44&gt;0),(((R2270-1)*MIN((Skills!T13*(1+Inputs!$B$35/100)),(1/Q2270))+MIN((Skills!T13*(1+Inputs!$B$35/100)),MAX(0,Inputs!$B$44-((R2270-1)*(1/Q2270)))))/Inputs!$B$44),IF(Inputs!$B$39="pvp",MIN((Skills!T13*(1+Inputs!$B$35/100)),15)/15,MIN(1,(Skills!T13*(1+Inputs!$B$35/100))/(1/Q2270)))))+(IF(AND(ArtifactsInput!$M$35,Inputs!$B$4&lt;&gt;"Chapter Hunt"),CHOOSE(ArtifactsInput!$N$35+1,15,18,21,24,27,30)*(1-EXP(-(0.2*B2288)*5)),0)+IF(AND(ArtifactsInput!$M$22,Inputs!$B$4&lt;&gt;"Chapter Hunt"),CHOOSE(ArtifactsInput!$N$22+1,10,12,14,16,18,20)*((0*(((0.15*B2288*5))^0/1)+1*(((0.15*B2288*5))^1/1)+2*(((0.15*B2288*5))^2/2)+3*(((0.15*B2288*5))^3/6)+4*(((0.15*B2288*5))^4/24)+5*(((0.15*B2288*5))^5/120))/((((0.15*B2288*5))^0/1)+(((0.15*B2288*5))^1/1)+(((0.15*B2288*5))^2/2)+(((0.15*B2288*5))^3/6)+(((0.15*B2288*5))^4/24)+(((0.15*B2288*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60">
      <c r="A2260">
        <f>Skills!A3</f>
        <v/>
      </c>
      <c r="B2260">
        <f>Skills!B3</f>
        <v/>
      </c>
      <c r="C2260">
        <f>Inputs!$B$3&gt;=50</f>
        <v/>
      </c>
      <c r="D2260">
        <f>IF(Skills!C3=1,60+Inputs!$B$26+Inputs!$B$30,IF(Skills!C3=2,90+Inputs!$B$27+Inputs!$B$30,IF(Skills!C3=3,120+Inputs!$B$28+Inputs!$B$30,MAX(0,(Inputs!$B$3-100)*3)+Inputs!$B$29+Inputs!$B$30)))</f>
        <v/>
      </c>
      <c r="E2260">
        <f>INDEX(FactorTable!$B$2:$Y$301, MATCH(ROUND(MIN(300,MAX(1,D2260)),0), FactorTable!$A$2:$A$301,0), Skills!M3+1)</f>
        <v/>
      </c>
      <c r="F2260">
        <f>IF(Skills!N3=TRUE,(Skills!L3/10)*(E2260/1000),Skills!L3/10)+Skills!O3</f>
        <v/>
      </c>
      <c r="G2260" t="inlineStr"/>
      <c r="H2260" t="inlineStr"/>
      <c r="I2260" t="inlineStr">
        <is>
          <t>1</t>
        </is>
      </c>
      <c r="J2260" t="inlineStr"/>
      <c r="K2260" t="inlineStr"/>
      <c r="L2260" t="inlineStr"/>
      <c r="M2260" t="inlineStr"/>
      <c r="N2260" t="inlineStr"/>
      <c r="O2260" t="inlineStr"/>
      <c r="P2260" t="inlineStr"/>
      <c r="Q2260" t="inlineStr"/>
      <c r="R2260" t="inlineStr"/>
      <c r="S2260" t="inlineStr"/>
      <c r="U2260">
        <f>INDEX(FactorTable!$B$2:$Y$301, MATCH(ROUND(MIN(300,MAX(1,U2259)),0), FactorTable!$A$2:$A$301,0), 22)</f>
        <v/>
      </c>
    </row>
    <row r="2261">
      <c r="A2261">
        <f>Skills!A4</f>
        <v/>
      </c>
      <c r="B2261">
        <f>Skills!B4</f>
        <v/>
      </c>
      <c r="C2261">
        <f>Inputs!$B$3&gt;=105</f>
        <v/>
      </c>
      <c r="D2261">
        <f>IF(Skills!C4=1,60+Inputs!$B$26+Inputs!$B$30,IF(Skills!C4=2,90+Inputs!$B$27+Inputs!$B$30,IF(Skills!C4=3,120+Inputs!$B$28+Inputs!$B$30,MAX(0,(Inputs!$B$3-100)*3)+Inputs!$B$29+Inputs!$B$30)))</f>
        <v/>
      </c>
      <c r="E2261">
        <f>INDEX(FactorTable!$B$2:$Y$301, MATCH(ROUND(MIN(300,MAX(1,D2261)),0), FactorTable!$A$2:$A$301,0), Skills!M4+1)</f>
        <v/>
      </c>
      <c r="F2261">
        <f>IF(Skills!N4=TRUE,(Skills!L4/10)*(E2261/1000),Skills!L4/10)+Skills!O4</f>
        <v/>
      </c>
      <c r="G2261" t="inlineStr"/>
      <c r="H2261" t="inlineStr"/>
      <c r="I2261" t="inlineStr">
        <is>
          <t>1</t>
        </is>
      </c>
      <c r="J2261" t="inlineStr"/>
      <c r="K2261" t="inlineStr"/>
      <c r="L2261" t="inlineStr"/>
      <c r="M2261" t="inlineStr"/>
      <c r="N2261" t="inlineStr"/>
      <c r="O2261" t="inlineStr"/>
      <c r="P2261" t="inlineStr"/>
      <c r="Q2261" t="inlineStr"/>
      <c r="R2261" t="inlineStr"/>
      <c r="S2261" t="inlineStr"/>
      <c r="U2261">
        <f>290*U2260/1000</f>
        <v/>
      </c>
    </row>
    <row r="2262">
      <c r="A2262">
        <f>Skills!A5</f>
        <v/>
      </c>
      <c r="B2262">
        <f>Skills!B5</f>
        <v/>
      </c>
      <c r="C2262">
        <f>Inputs!$B$3&gt;=117</f>
        <v/>
      </c>
      <c r="D2262">
        <f>IF(Skills!C5=1,60+Inputs!$B$26+Inputs!$B$30,IF(Skills!C5=2,90+Inputs!$B$27+Inputs!$B$30,IF(Skills!C5=3,120+Inputs!$B$28+Inputs!$B$30,MAX(0,(Inputs!$B$3-100)*3)+Inputs!$B$29+Inputs!$B$30)))</f>
        <v/>
      </c>
      <c r="E2262">
        <f>INDEX(FactorTable!$B$2:$Y$301, MATCH(ROUND(MIN(300,MAX(1,D2262)),0), FactorTable!$A$2:$A$301,0), Skills!M5+1)</f>
        <v/>
      </c>
      <c r="F2262">
        <f>IF(Skills!N5=TRUE,(Skills!L5/10)*(E2262/1000),Skills!L5/10)+Skills!O5</f>
        <v/>
      </c>
      <c r="G2262">
        <f>Skills!G5*IF(Skills!H5&gt;0,INT(IF(Inputs!$B$39="pvp",MIN(Skills!I5,15),Skills!I5)/Skills!H5+0.000000001),1)</f>
        <v/>
      </c>
      <c r="H2262">
        <f>1-(1-Skills!J5/100)^Skills!K5</f>
        <v/>
      </c>
      <c r="I2262" t="inlineStr">
        <is>
          <t>1</t>
        </is>
      </c>
      <c r="J2262">
        <f>((Inputs!$B$6*(1+Inputs!$B$7/100))+(((Inputs!$B$13*(1+Inputs!$B$14/100))-(Inputs!$B$13*(1+Inputs!$B$14/100)))+0.25*(Inputs!$B$15-Inputs!$B$15))*(1+Inputs!$B$7/100))*(F2262/100)</f>
        <v/>
      </c>
      <c r="K2262">
        <f>J2262*(1+(((Inputs!$B$13+IF(Inputs!$B$3&gt;=38,(10*INDEX(FactorTable!$B$2:$Y$301, MATCH(ROUND(MIN(300,MAX(1,Inputs!$B$3)),0), FactorTable!$A$2:$A$301,0), 23)/1000)/100*(Inputs!$B$8*(1+Inputs!$B$9/100)),0))*(1+Inputs!$B$14/100))*0.01+Inputs!$B$15*0.0025)/100)*(1+Inputs!$B$16/100)*(1+Inputs!$B$17/100)*(5000/(6000+Inputs!$B$43*(1-(Inputs!$B$20+0)/100)))*(1+(Inputs!$B$25+((C2282=TRUE)*(F2282-Calc!F25))+((C2283=TRUE)*(F2283-Calc!F26))+B2292)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gt;=100),MIN(100,((Inputs!$B$10+0+B2286+(ArtifactsInput!$M$24-ArtifactsInput!$M$24)*CHOOSE(ArtifactsInput!$N$24+1,10,12,14,16,18,20)+IF(ArtifactsInput!$M$10,CHOOSE(ArtifactsInput!$N$10+1,15,18,21,24,27,30)*(IF(Inputs!$B$39="pvp",MIN(15,15)/15,IF(AND(Inputs!$B$39&lt;&gt;"pvp",Inputs!$B$44&gt;0),MIN(15,Inputs!$B$44)/(Inputs!$B$44),0))),0)))-100),0))*CHOOSE(ArtifactsInput!$N$42+1,0.6,0.72,0.84,0.96,1.08,1.2))),Inputs!$B$19+((C2280=TRUE)*(F2280-Calc!F23))+(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gt;=100),CHOOSE(ArtifactsInput!$N$42+1,40,48,56,64,72,80),0))))/100)*((1+(((C2270=TRUE)*F2270*IF(AND(Inputs!$B$39&lt;&gt;"pvp",Inputs!$B$44&gt;0),(((R2270-1)*MIN((Skills!T13*(1+Inputs!$B$35/100)),(1/Q2270))+MIN((Skills!T13*(1+Inputs!$B$35/100)),MAX(0,Inputs!$B$44-((R2270-1)*(1/Q2270)))))/Inputs!$B$44),IF(Inputs!$B$39="pvp",MIN((Skills!T13*(1+Inputs!$B$35/100)),15)/15,MIN(1,(Skills!T13*(1+Inputs!$B$35/100))/(1/Q2270)))))+((C2271=TRUE)*F2271*IF(AND(Inputs!$B$39&lt;&gt;"pvp",Inputs!$B$44&gt;0),(((R2271-1)*MIN((Skills!T14*(1+Inputs!$B$35/100)),(1/Q2271))+MIN((Skills!T14*(1+Inputs!$B$35/100)),MAX(0,Inputs!$B$44-((R2271-1)*(1/Q2271)))))/Inputs!$B$44),IF(Inputs!$B$39="pvp",MIN((Skills!T14*(1+Inputs!$B$35/100)),15)/15,MIN(1,(Skills!T14*(1+Inputs!$B$35/100))/(1/Q2271)))))+((C2272=TRUE)*F2272*IF(AND(Inputs!$B$39&lt;&gt;"pvp",Inputs!$B$44&gt;0),(((R2272-1)*MIN((Skills!T15*(1+Inputs!$B$35/100)),(1/Q2272))+MIN((Skills!T15*(1+Inputs!$B$35/100)),MAX(0,Inputs!$B$44-((R2272-1)*(1/Q2272)))))/Inputs!$B$44),IF(Inputs!$B$39="pvp",MIN((Skills!T15*(1+Inputs!$B$35/100)),15)/15,MIN(1,(Skills!T15*(1+Inputs!$B$35/100))/(1/Q2272)))))+((C2273=TRUE)*F2273*IF(AND(Inputs!$B$39&lt;&gt;"pvp",Inputs!$B$44&gt;0),(((R2273-1)*MIN((Skills!T16*(1+Inputs!$B$35/100)),(1/Q2273))+MIN((Skills!T16*(1+Inputs!$B$35/100)),MAX(0,Inputs!$B$44-((R2273-1)*(1/Q2273)))))/Inputs!$B$44),IF(Inputs!$B$39="pvp",MIN((Skills!T16*(1+Inputs!$B$35/100)),15)/15,MIN(1,(Skills!T16*(1+Inputs!$B$35/100))/(1/Q2273)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2262)</f>
        <v/>
      </c>
      <c r="L2262">
        <f>K2262*(MIN(Inputs!$B$23+((C2279=TRUE)*(F2279-Calc!F22)),(Inputs!$B$24+((C2281=TRUE)*(F2281-Calc!F24))+(IF(ArtifactsInput!$M$15,CHOOSE(ArtifactsInput!$N$15+1,25,30,35,40,45,50)/100*(Inputs!$B$12-Inputs!$B$12),0))))/100+(Inputs!$B$24+((C2281=TRUE)*(F2281-Calc!F24))+(IF(ArtifactsInput!$M$15,CHOOSE(ArtifactsInput!$N$15+1,25,30,35,40,45,50)/100*(Inputs!$B$12-Inputs!$B$12),0)))/100)/2</f>
        <v/>
      </c>
      <c r="M2262">
        <f>L2262*(1+(Inputs!$B$11+0+B2291+(IF(ArtifactsInput!$M$24,CHOOSE(ArtifactsInput!$N$24+1,30,36,42,48,54,60)/100*(Inputs!$B$10-Inputs!$B$10),0)+IF(ArtifactsInput!$M$10,CHOOSE(ArtifactsInput!$N$10+1,20,24,28,32,36,40)*(IF(Inputs!$B$39="pvp",MIN(15,15)/15,IF(AND(Inputs!$B$39&lt;&gt;"pvp",Inputs!$B$44&gt;0),MIN(15,Inputs!$B$44)/(Inputs!$B$44),0))),0)+IF(IF(ArtifactsInput!$M$31,FALSE,TRUE),1.5*CHOOSE(ArtifactsInput!$N$31+1,20,24,28,32,36,40),0)))/100)</f>
        <v/>
      </c>
      <c r="N2262">
        <f>L2262*(1-MIN((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2262*(MIN((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62">
        <f>(1-Summary!$B$11)*T2262+Summary!$B$11*V2262</f>
        <v/>
      </c>
      <c r="P2262">
        <f>IF(B2296=0,0,O2262/B2296)</f>
        <v/>
      </c>
      <c r="Q2262">
        <f>IFERROR(1/IF(Inputs!$B$39="pvp",15,MAX(0.1,Skills!D5-IF(TRUE=TRUE,Inputs!$B$33,0))),0)</f>
        <v/>
      </c>
      <c r="R2262">
        <f>IF(AND(Inputs!$B$39&lt;&gt;"pvp",Inputs!$B$44&gt;0),IF(MAX(0,Inputs!$B$44-B2293)&lt;=0,0,(INT(MAX(0,Inputs!$B$44-B2293)/IF(Inputs!$B$39="pvp",15,MAX(0.1,Skills!D5-IF(TRUE=TRUE,Inputs!$B$33,0))))+1)),0)</f>
        <v/>
      </c>
      <c r="S2262">
        <f>IFERROR(O2262/N2262,0)</f>
        <v/>
      </c>
      <c r="T2262">
        <f>IF(C2262,(H2262*N2262*IF(AND(Inputs!$B$39&lt;&gt;"pvp",Inputs!$B$44&gt;0),((Skills!G5*((R2262-1)*IF(Skills!H5&gt;0,INT(Skills!I5/Skills!H5+0.000000001),1)+IF(Skills!H5&gt;0,INT(MIN(Skills!I5,MAX(0,MAX(0,Inputs!$B$44-B2293)-((R2262-1)*IF(Inputs!$B$39="pvp",15,MAX(0.1,Skills!D5-IF(TRUE=TRUE,Inputs!$B$33,0))))))/Skills!H5+0.000000001),1)))/Inputs!$B$44),G2262*Q2262))*IF(Inputs!$B$39="pvp",1,1+(Inputs!$B$21+0+Skills!P5+((C2274=TRUE)*F2274*IF(AND(Inputs!$B$39&lt;&gt;"pvp",Inputs!$B$44&gt;0),(((R2274-1)*MIN((Skills!T17*(1+Inputs!$B$35/100)),(1/Q2274))+MIN((Skills!T17*(1+Inputs!$B$35/100)),MAX(0,Inputs!$B$44-((R2274-1)*(1/Q2274)))))/Inputs!$B$44),IF(Inputs!$B$39="pvp",MIN((Skills!T17*(1+Inputs!$B$35/100)),15)/15,MIN(1,(Skills!T17*(1+Inputs!$B$35/100))/(1/Q2274)))))+((C2262=TRUE)*IF(Inputs!$B$3&gt;=126,10*MIN(1,15*Q2262),0))+((C2271=TRUE)*IF(Inputs!$B$39="pvp",20,(1-Summary!$B$11)*(20)+Summary!$B$11*(0))*IF(AND(Inputs!$B$39&lt;&gt;"pvp",Inputs!$B$44&gt;0),(((R2271-1)*MIN((Skills!T14*(1+Inputs!$B$35/100)),(1/Q2271))+MIN((Skills!T14*(1+Inputs!$B$35/100)),MAX(0,Inputs!$B$44-((R2271-1)*(1/Q2271)))))/Inputs!$B$44),IF(Inputs!$B$39="pvp",MIN((Skills!T14*(1+Inputs!$B$35/100)),15)/15,MIN(1,(Skills!T14*(1+Inputs!$B$35/100))/(1/Q2271)))))+((C2270=TRUE)*IF(Inputs!$B$3&gt;=82,IF(Inputs!$B$39="pvp",20,(1-Summary!$B$11)*(20)+Summary!$B$11*(0)),0)*IF(AND(Inputs!$B$39&lt;&gt;"pvp",Inputs!$B$44&gt;0),(((R2270-1)*MIN((Skills!T13*(1+Inputs!$B$35/100)),(1/Q2270))+MIN((Skills!T13*(1+Inputs!$B$35/100)),MAX(0,Inputs!$B$44-((R2270-1)*(1/Q2270)))))/Inputs!$B$44),IF(Inputs!$B$39="pvp",MIN((Skills!T13*(1+Inputs!$B$35/100)),15)/15,MIN(1,(Skills!T13*(1+Inputs!$B$35/100))/(1/Q2270)))))+(IF(AND(ArtifactsInput!$M$35,Inputs!$B$4&lt;&gt;"Chapter Hunt"),CHOOSE(ArtifactsInput!$N$35+1,15,18,21,24,27,30)*(1-EXP(-(0.2*B2288)*5)),0)+IF(AND(ArtifactsInput!$M$22,Inputs!$B$4&lt;&gt;"Chapter Hunt"),CHOOSE(ArtifactsInput!$N$22+1,10,12,14,16,18,20)*((0*(((0.15*B2288*5))^0/1)+1*(((0.15*B2288*5))^1/1)+2*(((0.15*B2288*5))^2/2)+3*(((0.15*B2288*5))^3/6)+4*(((0.15*B2288*5))^4/24)+5*(((0.15*B2288*5))^5/120))/((((0.15*B2288*5))^0/1)+(((0.15*B2288*5))^1/1)+(((0.15*B2288*5))^2/2)+(((0.15*B2288*5))^3/6)+(((0.15*B2288*5))^4/24)+(((0.15*B2288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2262*(1-MIN(100,(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2262*(MIN(100,(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2262*(1-MIN(100,(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2262*(MIN(100,(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62">
        <f>IF(C2262,(H2262*N2262*IF(AND(Inputs!$B$39&lt;&gt;"pvp",Inputs!$B$44&gt;0),((Skills!G5*((R2262-1)*IF(Skills!H5&gt;0,INT(Skills!I5/Skills!H5+0.000000001),1)+IF(Skills!H5&gt;0,INT(MIN(Skills!I5,MAX(0,MAX(0,Inputs!$B$44-B2293)-((R2262-1)*IF(Inputs!$B$39="pvp",15,MAX(0.1,Skills!D5-IF(TRUE=TRUE,Inputs!$B$33,0))))))/Skills!H5+0.000000001),1)))/Inputs!$B$44),G2262*Q2262))*IF(Inputs!$B$39="pvp",1,(1+(Inputs!$B$22+Skills!Q5+((C2274=TRUE)*F2274*IF(AND(Inputs!$B$39&lt;&gt;"pvp",Inputs!$B$44&gt;0),(((R2274-1)*MIN((Skills!T17*(1+Inputs!$B$35/100)),(1/Q2274))+MIN((Skills!T17*(1+Inputs!$B$35/100)),MAX(0,Inputs!$B$44-((R2274-1)*(1/Q2274)))))/Inputs!$B$44),IF(Inputs!$B$39="pvp",MIN((Skills!T17*(1+Inputs!$B$35/100)),15)/15,MIN(1,(Skills!T17*(1+Inputs!$B$35/100))/(1/Q2274)))))+((C2262=TRUE)*IF(Inputs!$B$3&gt;=126,10*MIN(1,15*Q2262),0))+((C2271=TRUE)*IF(Inputs!$B$39="pvp",20,(1-Summary!$B$11)*(20)+Summary!$B$11*(0))*IF(AND(Inputs!$B$39&lt;&gt;"pvp",Inputs!$B$44&gt;0),(((R2271-1)*MIN((Skills!T14*(1+Inputs!$B$35/100)),(1/Q2271))+MIN((Skills!T14*(1+Inputs!$B$35/100)),MAX(0,Inputs!$B$44-((R2271-1)*(1/Q2271)))))/Inputs!$B$44),IF(Inputs!$B$39="pvp",MIN((Skills!T14*(1+Inputs!$B$35/100)),15)/15,MIN(1,(Skills!T14*(1+Inputs!$B$35/100))/(1/Q2271)))))+((C2270=TRUE)*IF(Inputs!$B$3&gt;=82,IF(Inputs!$B$39="pvp",20,(1-Summary!$B$11)*(20)+Summary!$B$11*(0)),0)*IF(AND(Inputs!$B$39&lt;&gt;"pvp",Inputs!$B$44&gt;0),(((R2270-1)*MIN((Skills!T13*(1+Inputs!$B$35/100)),(1/Q2270))+MIN((Skills!T13*(1+Inputs!$B$35/100)),MAX(0,Inputs!$B$44-((R2270-1)*(1/Q2270)))))/Inputs!$B$44),IF(Inputs!$B$39="pvp",MIN((Skills!T13*(1+Inputs!$B$35/100)),15)/15,MIN(1,(Skills!T13*(1+Inputs!$B$35/100))/(1/Q2270)))))+(IF(AND(ArtifactsInput!$M$35,Inputs!$B$4&lt;&gt;"Chapter Hunt"),CHOOSE(ArtifactsInput!$N$35+1,15,18,21,24,27,30)*(1-EXP(-(0.2*B2288)*5)),0)+IF(AND(ArtifactsInput!$M$22,Inputs!$B$4&lt;&gt;"Chapter Hunt"),CHOOSE(ArtifactsInput!$N$22+1,10,12,14,16,18,20)*((0*(((0.15*B2288*5))^0/1)+1*(((0.15*B2288*5))^1/1)+2*(((0.15*B2288*5))^2/2)+3*(((0.15*B2288*5))^3/6)+4*(((0.15*B2288*5))^4/24)+5*(((0.15*B2288*5))^5/120))/((((0.15*B2288*5))^0/1)+(((0.15*B2288*5))^1/1)+(((0.15*B2288*5))^2/2)+(((0.15*B2288*5))^3/6)+(((0.15*B2288*5))^4/24)+(((0.15*B2288*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63">
      <c r="A2263">
        <f>Skills!A6</f>
        <v/>
      </c>
      <c r="B2263">
        <f>Skills!B6</f>
        <v/>
      </c>
      <c r="C2263">
        <f>Inputs!$B$3&gt;=103</f>
        <v/>
      </c>
      <c r="D2263">
        <f>IF(Skills!C6=1,60+Inputs!$B$26+Inputs!$B$30,IF(Skills!C6=2,90+Inputs!$B$27+Inputs!$B$30,IF(Skills!C6=3,120+Inputs!$B$28+Inputs!$B$30,MAX(0,(Inputs!$B$3-100)*3)+Inputs!$B$29+Inputs!$B$30)))</f>
        <v/>
      </c>
      <c r="E2263">
        <f>INDEX(FactorTable!$B$2:$Y$301, MATCH(ROUND(MIN(300,MAX(1,D2263)),0), FactorTable!$A$2:$A$301,0), Skills!M6+1)</f>
        <v/>
      </c>
      <c r="F2263">
        <f>IF(Skills!N6=TRUE,(Skills!L6/10)*(E2263/1000),Skills!L6/10)+Skills!O6</f>
        <v/>
      </c>
      <c r="G2263">
        <f>Skills!G6*IF(Skills!H6&gt;0,INT(IF(Inputs!$B$39="pvp",MIN(Skills!I6,15),Skills!I6)/Skills!H6+0.000000001),1)</f>
        <v/>
      </c>
      <c r="H2263">
        <f>1-(1-Skills!J6/100)^Skills!K6</f>
        <v/>
      </c>
      <c r="I2263" t="inlineStr">
        <is>
          <t>1</t>
        </is>
      </c>
      <c r="J2263">
        <f>((Inputs!$B$6*(1+Inputs!$B$7/100))+(((Inputs!$B$13*(1+Inputs!$B$14/100))-(Inputs!$B$13*(1+Inputs!$B$14/100)))+0.25*(Inputs!$B$15-Inputs!$B$15))*(1+Inputs!$B$7/100))*(F2263/100)</f>
        <v/>
      </c>
      <c r="K2263">
        <f>J2263*(1+(((Inputs!$B$13+IF(Inputs!$B$3&gt;=38,(10*INDEX(FactorTable!$B$2:$Y$301, MATCH(ROUND(MIN(300,MAX(1,Inputs!$B$3)),0), FactorTable!$A$2:$A$301,0), 23)/1000)/100*(Inputs!$B$8*(1+Inputs!$B$9/100)),0))*(1+Inputs!$B$14/100))*0.01+Inputs!$B$15*0.0025)/100)*(1+Inputs!$B$16/100)*(1+Inputs!$B$17/100)*(5000/(6000+Inputs!$B$43*(1-(Inputs!$B$20+0)/100)))*(1+(Inputs!$B$25+((C2282=TRUE)*(F2282-Calc!F25))+((C2283=TRUE)*(F2283-Calc!F26))+B2292)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gt;=100),MIN(100,((Inputs!$B$10+0+B2286+(ArtifactsInput!$M$24-ArtifactsInput!$M$24)*CHOOSE(ArtifactsInput!$N$24+1,10,12,14,16,18,20)+IF(ArtifactsInput!$M$10,CHOOSE(ArtifactsInput!$N$10+1,15,18,21,24,27,30)*(IF(Inputs!$B$39="pvp",MIN(15,15)/15,IF(AND(Inputs!$B$39&lt;&gt;"pvp",Inputs!$B$44&gt;0),MIN(15,Inputs!$B$44)/(Inputs!$B$44),0))),0)))-100),0))*CHOOSE(ArtifactsInput!$N$42+1,0.6,0.72,0.84,0.96,1.08,1.2))),Inputs!$B$19+((C2280=TRUE)*(F2280-Calc!F23))+(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gt;=100),CHOOSE(ArtifactsInput!$N$42+1,40,48,56,64,72,80),0))))/100)*((1+(((C2270=TRUE)*F2270*IF(AND(Inputs!$B$39&lt;&gt;"pvp",Inputs!$B$44&gt;0),(((R2270-1)*MIN((Skills!T13*(1+Inputs!$B$35/100)),(1/Q2270))+MIN((Skills!T13*(1+Inputs!$B$35/100)),MAX(0,Inputs!$B$44-((R2270-1)*(1/Q2270)))))/Inputs!$B$44),IF(Inputs!$B$39="pvp",MIN((Skills!T13*(1+Inputs!$B$35/100)),15)/15,MIN(1,(Skills!T13*(1+Inputs!$B$35/100))/(1/Q2270)))))+((C2271=TRUE)*F2271*IF(AND(Inputs!$B$39&lt;&gt;"pvp",Inputs!$B$44&gt;0),(((R2271-1)*MIN((Skills!T14*(1+Inputs!$B$35/100)),(1/Q2271))+MIN((Skills!T14*(1+Inputs!$B$35/100)),MAX(0,Inputs!$B$44-((R2271-1)*(1/Q2271)))))/Inputs!$B$44),IF(Inputs!$B$39="pvp",MIN((Skills!T14*(1+Inputs!$B$35/100)),15)/15,MIN(1,(Skills!T14*(1+Inputs!$B$35/100))/(1/Q2271)))))+((C2272=TRUE)*F2272*IF(AND(Inputs!$B$39&lt;&gt;"pvp",Inputs!$B$44&gt;0),(((R2272-1)*MIN((Skills!T15*(1+Inputs!$B$35/100)),(1/Q2272))+MIN((Skills!T15*(1+Inputs!$B$35/100)),MAX(0,Inputs!$B$44-((R2272-1)*(1/Q2272)))))/Inputs!$B$44),IF(Inputs!$B$39="pvp",MIN((Skills!T15*(1+Inputs!$B$35/100)),15)/15,MIN(1,(Skills!T15*(1+Inputs!$B$35/100))/(1/Q2272)))))+((C2273=TRUE)*F2273*IF(AND(Inputs!$B$39&lt;&gt;"pvp",Inputs!$B$44&gt;0),(((R2273-1)*MIN((Skills!T16*(1+Inputs!$B$35/100)),(1/Q2273))+MIN((Skills!T16*(1+Inputs!$B$35/100)),MAX(0,Inputs!$B$44-((R2273-1)*(1/Q2273)))))/Inputs!$B$44),IF(Inputs!$B$39="pvp",MIN((Skills!T16*(1+Inputs!$B$35/100)),15)/15,MIN(1,(Skills!T16*(1+Inputs!$B$35/100))/(1/Q2273)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2263)</f>
        <v/>
      </c>
      <c r="L2263">
        <f>K2263*(MIN(Inputs!$B$23+((C2279=TRUE)*(F2279-Calc!F22)),(Inputs!$B$24+((C2281=TRUE)*(F2281-Calc!F24))+(IF(ArtifactsInput!$M$15,CHOOSE(ArtifactsInput!$N$15+1,25,30,35,40,45,50)/100*(Inputs!$B$12-Inputs!$B$12),0))))/100+(Inputs!$B$24+((C2281=TRUE)*(F2281-Calc!F24))+(IF(ArtifactsInput!$M$15,CHOOSE(ArtifactsInput!$N$15+1,25,30,35,40,45,50)/100*(Inputs!$B$12-Inputs!$B$12),0)))/100)/2</f>
        <v/>
      </c>
      <c r="M2263">
        <f>L2263*(1+(Inputs!$B$11+0+B2291+(IF(ArtifactsInput!$M$24,CHOOSE(ArtifactsInput!$N$24+1,30,36,42,48,54,60)/100*(Inputs!$B$10-Inputs!$B$10),0)+IF(ArtifactsInput!$M$10,CHOOSE(ArtifactsInput!$N$10+1,20,24,28,32,36,40)*(IF(Inputs!$B$39="pvp",MIN(15,15)/15,IF(AND(Inputs!$B$39&lt;&gt;"pvp",Inputs!$B$44&gt;0),MIN(15,Inputs!$B$44)/(Inputs!$B$44),0))),0)+IF(IF(ArtifactsInput!$M$31,FALSE,TRUE),1.5*CHOOSE(ArtifactsInput!$N$31+1,20,24,28,32,36,40),0)))/100)</f>
        <v/>
      </c>
      <c r="N2263">
        <f>L2263*(1-MIN((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2263*(MIN((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63">
        <f>(1-Summary!$B$11)*T2263+Summary!$B$11*V2263</f>
        <v/>
      </c>
      <c r="P2263">
        <f>IF(B2296=0,0,O2263/B2296)</f>
        <v/>
      </c>
      <c r="Q2263">
        <f>IFERROR(1/IF(Inputs!$B$39="pvp",15,MAX(0.1,Skills!D6-IF(TRUE=TRUE,Inputs!$B$33,0))),0)</f>
        <v/>
      </c>
      <c r="R2263">
        <f>IF(AND(Inputs!$B$39&lt;&gt;"pvp",Inputs!$B$44&gt;0),IF(MAX(0,Inputs!$B$44-B2293)&lt;=0,0,(INT(MAX(0,Inputs!$B$44-B2293)/IF(Inputs!$B$39="pvp",15,MAX(0.1,Skills!D6-IF(TRUE=TRUE,Inputs!$B$33,0))))+1)),0)</f>
        <v/>
      </c>
      <c r="S2263">
        <f>IFERROR(O2263/N2263,0)</f>
        <v/>
      </c>
      <c r="T2263">
        <f>IF(C2263,(H2263*N2263*IF(AND(Inputs!$B$39&lt;&gt;"pvp",Inputs!$B$44&gt;0),((Skills!G6*((R2263-1)*IF(Skills!H6&gt;0,INT(Skills!I6/Skills!H6+0.000000001),1)+IF(Skills!H6&gt;0,INT(MIN(Skills!I6,MAX(0,MAX(0,Inputs!$B$44-B2293)-((R2263-1)*IF(Inputs!$B$39="pvp",15,MAX(0.1,Skills!D6-IF(TRUE=TRUE,Inputs!$B$33,0))))))/Skills!H6+0.000000001),1)))/Inputs!$B$44),G2263*Q2263))*IF(Inputs!$B$39="pvp",1,1+(Inputs!$B$21+0+Skills!P6+((C2274=TRUE)*F2274*IF(AND(Inputs!$B$39&lt;&gt;"pvp",Inputs!$B$44&gt;0),(((R2274-1)*MIN((Skills!T17*(1+Inputs!$B$35/100)),(1/Q2274))+MIN((Skills!T17*(1+Inputs!$B$35/100)),MAX(0,Inputs!$B$44-((R2274-1)*(1/Q2274)))))/Inputs!$B$44),IF(Inputs!$B$39="pvp",MIN((Skills!T17*(1+Inputs!$B$35/100)),15)/15,MIN(1,(Skills!T17*(1+Inputs!$B$35/100))/(1/Q2274)))))+((C2262=TRUE)*IF(Inputs!$B$3&gt;=126,10*MIN(1,15*Q2262),0))+((C2271=TRUE)*IF(Inputs!$B$39="pvp",20,(1-Summary!$B$11)*(20)+Summary!$B$11*(0))*IF(AND(Inputs!$B$39&lt;&gt;"pvp",Inputs!$B$44&gt;0),(((R2271-1)*MIN((Skills!T14*(1+Inputs!$B$35/100)),(1/Q2271))+MIN((Skills!T14*(1+Inputs!$B$35/100)),MAX(0,Inputs!$B$44-((R2271-1)*(1/Q2271)))))/Inputs!$B$44),IF(Inputs!$B$39="pvp",MIN((Skills!T14*(1+Inputs!$B$35/100)),15)/15,MIN(1,(Skills!T14*(1+Inputs!$B$35/100))/(1/Q2271)))))+((C2270=TRUE)*IF(Inputs!$B$3&gt;=82,IF(Inputs!$B$39="pvp",20,(1-Summary!$B$11)*(20)+Summary!$B$11*(0)),0)*IF(AND(Inputs!$B$39&lt;&gt;"pvp",Inputs!$B$44&gt;0),(((R2270-1)*MIN((Skills!T13*(1+Inputs!$B$35/100)),(1/Q2270))+MIN((Skills!T13*(1+Inputs!$B$35/100)),MAX(0,Inputs!$B$44-((R2270-1)*(1/Q2270)))))/Inputs!$B$44),IF(Inputs!$B$39="pvp",MIN((Skills!T13*(1+Inputs!$B$35/100)),15)/15,MIN(1,(Skills!T13*(1+Inputs!$B$35/100))/(1/Q2270)))))+(IF(AND(ArtifactsInput!$M$35,Inputs!$B$4&lt;&gt;"Chapter Hunt"),CHOOSE(ArtifactsInput!$N$35+1,15,18,21,24,27,30)*(1-EXP(-(0.2*B2288)*5)),0)+IF(AND(ArtifactsInput!$M$22,Inputs!$B$4&lt;&gt;"Chapter Hunt"),CHOOSE(ArtifactsInput!$N$22+1,10,12,14,16,18,20)*((0*(((0.15*B2288*5))^0/1)+1*(((0.15*B2288*5))^1/1)+2*(((0.15*B2288*5))^2/2)+3*(((0.15*B2288*5))^3/6)+4*(((0.15*B2288*5))^4/24)+5*(((0.15*B2288*5))^5/120))/((((0.15*B2288*5))^0/1)+(((0.15*B2288*5))^1/1)+(((0.15*B2288*5))^2/2)+(((0.15*B2288*5))^3/6)+(((0.15*B2288*5))^4/24)+(((0.15*B2288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2263*(1-MIN(100,(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2263*(MIN(100,(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2263*(1-MIN(100,(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2263*(MIN(100,(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63">
        <f>IF(C2263,(H2263*N2263*IF(AND(Inputs!$B$39&lt;&gt;"pvp",Inputs!$B$44&gt;0),((Skills!G6*((R2263-1)*IF(Skills!H6&gt;0,INT(Skills!I6/Skills!H6+0.000000001),1)+IF(Skills!H6&gt;0,INT(MIN(Skills!I6,MAX(0,MAX(0,Inputs!$B$44-B2293)-((R2263-1)*IF(Inputs!$B$39="pvp",15,MAX(0.1,Skills!D6-IF(TRUE=TRUE,Inputs!$B$33,0))))))/Skills!H6+0.000000001),1)))/Inputs!$B$44),G2263*Q2263))*IF(Inputs!$B$39="pvp",1,(1+(Inputs!$B$22+Skills!Q6+((C2274=TRUE)*F2274*IF(AND(Inputs!$B$39&lt;&gt;"pvp",Inputs!$B$44&gt;0),(((R2274-1)*MIN((Skills!T17*(1+Inputs!$B$35/100)),(1/Q2274))+MIN((Skills!T17*(1+Inputs!$B$35/100)),MAX(0,Inputs!$B$44-((R2274-1)*(1/Q2274)))))/Inputs!$B$44),IF(Inputs!$B$39="pvp",MIN((Skills!T17*(1+Inputs!$B$35/100)),15)/15,MIN(1,(Skills!T17*(1+Inputs!$B$35/100))/(1/Q2274)))))+((C2262=TRUE)*IF(Inputs!$B$3&gt;=126,10*MIN(1,15*Q2262),0))+((C2271=TRUE)*IF(Inputs!$B$39="pvp",20,(1-Summary!$B$11)*(20)+Summary!$B$11*(0))*IF(AND(Inputs!$B$39&lt;&gt;"pvp",Inputs!$B$44&gt;0),(((R2271-1)*MIN((Skills!T14*(1+Inputs!$B$35/100)),(1/Q2271))+MIN((Skills!T14*(1+Inputs!$B$35/100)),MAX(0,Inputs!$B$44-((R2271-1)*(1/Q2271)))))/Inputs!$B$44),IF(Inputs!$B$39="pvp",MIN((Skills!T14*(1+Inputs!$B$35/100)),15)/15,MIN(1,(Skills!T14*(1+Inputs!$B$35/100))/(1/Q2271)))))+((C2270=TRUE)*IF(Inputs!$B$3&gt;=82,IF(Inputs!$B$39="pvp",20,(1-Summary!$B$11)*(20)+Summary!$B$11*(0)),0)*IF(AND(Inputs!$B$39&lt;&gt;"pvp",Inputs!$B$44&gt;0),(((R2270-1)*MIN((Skills!T13*(1+Inputs!$B$35/100)),(1/Q2270))+MIN((Skills!T13*(1+Inputs!$B$35/100)),MAX(0,Inputs!$B$44-((R2270-1)*(1/Q2270)))))/Inputs!$B$44),IF(Inputs!$B$39="pvp",MIN((Skills!T13*(1+Inputs!$B$35/100)),15)/15,MIN(1,(Skills!T13*(1+Inputs!$B$35/100))/(1/Q2270)))))+(IF(AND(ArtifactsInput!$M$35,Inputs!$B$4&lt;&gt;"Chapter Hunt"),CHOOSE(ArtifactsInput!$N$35+1,15,18,21,24,27,30)*(1-EXP(-(0.2*B2288)*5)),0)+IF(AND(ArtifactsInput!$M$22,Inputs!$B$4&lt;&gt;"Chapter Hunt"),CHOOSE(ArtifactsInput!$N$22+1,10,12,14,16,18,20)*((0*(((0.15*B2288*5))^0/1)+1*(((0.15*B2288*5))^1/1)+2*(((0.15*B2288*5))^2/2)+3*(((0.15*B2288*5))^3/6)+4*(((0.15*B2288*5))^4/24)+5*(((0.15*B2288*5))^5/120))/((((0.15*B2288*5))^0/1)+(((0.15*B2288*5))^1/1)+(((0.15*B2288*5))^2/2)+(((0.15*B2288*5))^3/6)+(((0.15*B2288*5))^4/24)+(((0.15*B2288*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64">
      <c r="A2264">
        <f>Skills!A7</f>
        <v/>
      </c>
      <c r="B2264">
        <f>Skills!B7</f>
        <v/>
      </c>
      <c r="C2264">
        <f>Inputs!$B$3&gt;=40</f>
        <v/>
      </c>
      <c r="D2264">
        <f>IF(Skills!C7=1,60+Inputs!$B$26+Inputs!$B$30,IF(Skills!C7=2,90+Inputs!$B$27+Inputs!$B$30,IF(Skills!C7=3,120+Inputs!$B$28+Inputs!$B$30,MAX(0,(Inputs!$B$3-100)*3)+Inputs!$B$29+Inputs!$B$30)))</f>
        <v/>
      </c>
      <c r="E2264">
        <f>INDEX(FactorTable!$B$2:$Y$301, MATCH(ROUND(MIN(300,MAX(1,D2264)),0), FactorTable!$A$2:$A$301,0), Skills!M7+1)</f>
        <v/>
      </c>
      <c r="F2264">
        <f>IF(Skills!N7=TRUE,(Skills!L7/10)*(E2264/1000),Skills!L7/10)+Skills!O7</f>
        <v/>
      </c>
      <c r="G2264">
        <f>Skills!G7*IF(Skills!H7&gt;0,INT(IF(Inputs!$B$39="pvp",MIN(Skills!I7,15),Skills!I7)/Skills!H7+0.000000001),1)</f>
        <v/>
      </c>
      <c r="H2264">
        <f>1-(1-Skills!J7/100)^Skills!K7</f>
        <v/>
      </c>
      <c r="I2264" t="inlineStr">
        <is>
          <t>1</t>
        </is>
      </c>
      <c r="J2264">
        <f>((Inputs!$B$6*(1+Inputs!$B$7/100))+(((Inputs!$B$13*(1+Inputs!$B$14/100))-(Inputs!$B$13*(1+Inputs!$B$14/100)))+0.25*(Inputs!$B$15-Inputs!$B$15))*(1+Inputs!$B$7/100))*(F2264/100)</f>
        <v/>
      </c>
      <c r="K2264">
        <f>J2264*(1+(((Inputs!$B$13+IF(Inputs!$B$3&gt;=38,(10*INDEX(FactorTable!$B$2:$Y$301, MATCH(ROUND(MIN(300,MAX(1,Inputs!$B$3)),0), FactorTable!$A$2:$A$301,0), 23)/1000)/100*(Inputs!$B$8*(1+Inputs!$B$9/100)),0))*(1+Inputs!$B$14/100))*0.01+Inputs!$B$15*0.0025)/100)*(1+Inputs!$B$16/100)*(1+Inputs!$B$17/100)*(5000/(6000+Inputs!$B$43*(1-(Inputs!$B$20+0)/100)))*(1+(Inputs!$B$25+((C2282=TRUE)*(F2282-Calc!F25))+((C2283=TRUE)*(F2283-Calc!F26))+B2292)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2268=TRUE,F2268,0)/100)*(1+(IF(Skills!A7="DARK_IMPALE",Inputs!$B$18+0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gt;=100),MIN(100,((Inputs!$B$10+0+B2286+(ArtifactsInput!$M$24-ArtifactsInput!$M$24)*CHOOSE(ArtifactsInput!$N$24+1,10,12,14,16,18,20)+IF(ArtifactsInput!$M$10,CHOOSE(ArtifactsInput!$N$10+1,15,18,21,24,27,30)*(IF(Inputs!$B$39="pvp",MIN(15,15)/15,IF(AND(Inputs!$B$39&lt;&gt;"pvp",Inputs!$B$44&gt;0),MIN(15,Inputs!$B$44)/(Inputs!$B$44),0))),0)))-100),0))*CHOOSE(ArtifactsInput!$N$42+1,0.6,0.72,0.84,0.96,1.08,1.2))),Inputs!$B$19+((C2280=TRUE)*(F2280-Calc!F23))+(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gt;=100),CHOOSE(ArtifactsInput!$N$42+1,40,48,56,64,72,80),0))))/100)*((1+(((C2270=TRUE)*F2270*IF(AND(Inputs!$B$39&lt;&gt;"pvp",Inputs!$B$44&gt;0),(((R2270-1)*MIN((Skills!T13*(1+Inputs!$B$35/100)),(1/Q2270))+MIN((Skills!T13*(1+Inputs!$B$35/100)),MAX(0,Inputs!$B$44-((R2270-1)*(1/Q2270)))))/Inputs!$B$44),IF(Inputs!$B$39="pvp",MIN((Skills!T13*(1+Inputs!$B$35/100)),15)/15,MIN(1,(Skills!T13*(1+Inputs!$B$35/100))/(1/Q2270)))))+((C2271=TRUE)*F2271*IF(AND(Inputs!$B$39&lt;&gt;"pvp",Inputs!$B$44&gt;0),(((R2271-1)*MIN((Skills!T14*(1+Inputs!$B$35/100)),(1/Q2271))+MIN((Skills!T14*(1+Inputs!$B$35/100)),MAX(0,Inputs!$B$44-((R2271-1)*(1/Q2271)))))/Inputs!$B$44),IF(Inputs!$B$39="pvp",MIN((Skills!T14*(1+Inputs!$B$35/100)),15)/15,MIN(1,(Skills!T14*(1+Inputs!$B$35/100))/(1/Q2271)))))+((C2272=TRUE)*F2272*IF(AND(Inputs!$B$39&lt;&gt;"pvp",Inputs!$B$44&gt;0),(((R2272-1)*MIN((Skills!T15*(1+Inputs!$B$35/100)),(1/Q2272))+MIN((Skills!T15*(1+Inputs!$B$35/100)),MAX(0,Inputs!$B$44-((R2272-1)*(1/Q2272)))))/Inputs!$B$44),IF(Inputs!$B$39="pvp",MIN((Skills!T15*(1+Inputs!$B$35/100)),15)/15,MIN(1,(Skills!T15*(1+Inputs!$B$35/100))/(1/Q2272)))))+((C2273=TRUE)*F2273*IF(AND(Inputs!$B$39&lt;&gt;"pvp",Inputs!$B$44&gt;0),(((R2273-1)*MIN((Skills!T16*(1+Inputs!$B$35/100)),(1/Q2273))+MIN((Skills!T16*(1+Inputs!$B$35/100)),MAX(0,Inputs!$B$44-((R2273-1)*(1/Q2273)))))/Inputs!$B$44),IF(Inputs!$B$39="pvp",MIN((Skills!T16*(1+Inputs!$B$35/100)),15)/15,MIN(1,(Skills!T16*(1+Inputs!$B$35/100))/(1/Q2273)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2264)</f>
        <v/>
      </c>
      <c r="L2264">
        <f>K2264*(MIN(Inputs!$B$23+((C2279=TRUE)*(F2279-Calc!F22)),(Inputs!$B$24+((C2281=TRUE)*(F2281-Calc!F24))+(IF(ArtifactsInput!$M$15,CHOOSE(ArtifactsInput!$N$15+1,25,30,35,40,45,50)/100*(Inputs!$B$12-Inputs!$B$12),0))))/100+(Inputs!$B$24+((C2281=TRUE)*(F2281-Calc!F24))+(IF(ArtifactsInput!$M$15,CHOOSE(ArtifactsInput!$N$15+1,25,30,35,40,45,50)/100*(Inputs!$B$12-Inputs!$B$12),0)))/100)/2</f>
        <v/>
      </c>
      <c r="M2264">
        <f>L2264*(1+(Inputs!$B$11+0+B2291+(IF(ArtifactsInput!$M$24,CHOOSE(ArtifactsInput!$N$24+1,30,36,42,48,54,60)/100*(Inputs!$B$10-Inputs!$B$10),0)+IF(ArtifactsInput!$M$10,CHOOSE(ArtifactsInput!$N$10+1,20,24,28,32,36,40)*(IF(Inputs!$B$39="pvp",MIN(15,15)/15,IF(AND(Inputs!$B$39&lt;&gt;"pvp",Inputs!$B$44&gt;0),MIN(15,Inputs!$B$44)/(Inputs!$B$44),0))),0)+IF(IF(ArtifactsInput!$M$31,FALSE,TRUE),1.5*CHOOSE(ArtifactsInput!$N$31+1,20,24,28,32,36,40),0)))/100)</f>
        <v/>
      </c>
      <c r="N2264">
        <f>L2264*(1-MIN((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2264*(MIN((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64">
        <f>(1-Summary!$B$11)*T2264+Summary!$B$11*V2264</f>
        <v/>
      </c>
      <c r="P2264">
        <f>IF(B2296=0,0,O2264/B2296)</f>
        <v/>
      </c>
      <c r="Q2264">
        <f>IFERROR(1/IF(Inputs!$B$39="pvp",15,MAX(0.1,Skills!D7-IF(TRUE=TRUE,Inputs!$B$33,0))),0)</f>
        <v/>
      </c>
      <c r="R2264">
        <f>IF(AND(Inputs!$B$39&lt;&gt;"pvp",Inputs!$B$44&gt;0),IF(MAX(0,Inputs!$B$44-B2293)&lt;=0,0,(INT(MAX(0,Inputs!$B$44-B2293)/IF(Inputs!$B$39="pvp",15,MAX(0.1,Skills!D7-IF(TRUE=TRUE,Inputs!$B$33,0))))+1)),0)</f>
        <v/>
      </c>
      <c r="S2264">
        <f>IFERROR(O2264/N2264,0)</f>
        <v/>
      </c>
      <c r="T2264">
        <f>IF(C2264,(H2264*N2264*IF(AND(Inputs!$B$39&lt;&gt;"pvp",Inputs!$B$44&gt;0),((Skills!G7*((R2264-1)*IF(Skills!H7&gt;0,INT(Skills!I7/Skills!H7+0.000000001),1)+IF(Skills!H7&gt;0,INT(MIN(Skills!I7,MAX(0,MAX(0,Inputs!$B$44-B2293)-((R2264-1)*IF(Inputs!$B$39="pvp",15,MAX(0.1,Skills!D7-IF(TRUE=TRUE,Inputs!$B$33,0))))))/Skills!H7+0.000000001),1)))/Inputs!$B$44),G2264*Q2264))*IF(Inputs!$B$39="pvp",1,1+(Inputs!$B$21+0+Skills!P7+((C2274=TRUE)*F2274*IF(AND(Inputs!$B$39&lt;&gt;"pvp",Inputs!$B$44&gt;0),(((R2274-1)*MIN((Skills!T17*(1+Inputs!$B$35/100)),(1/Q2274))+MIN((Skills!T17*(1+Inputs!$B$35/100)),MAX(0,Inputs!$B$44-((R2274-1)*(1/Q2274)))))/Inputs!$B$44),IF(Inputs!$B$39="pvp",MIN((Skills!T17*(1+Inputs!$B$35/100)),15)/15,MIN(1,(Skills!T17*(1+Inputs!$B$35/100))/(1/Q2274)))))+((C2262=TRUE)*IF(Inputs!$B$3&gt;=126,10*MIN(1,15*Q2262),0))+((C2271=TRUE)*IF(Inputs!$B$39="pvp",20,(1-Summary!$B$11)*(20)+Summary!$B$11*(0))*IF(AND(Inputs!$B$39&lt;&gt;"pvp",Inputs!$B$44&gt;0),(((R2271-1)*MIN((Skills!T14*(1+Inputs!$B$35/100)),(1/Q2271))+MIN((Skills!T14*(1+Inputs!$B$35/100)),MAX(0,Inputs!$B$44-((R2271-1)*(1/Q2271)))))/Inputs!$B$44),IF(Inputs!$B$39="pvp",MIN((Skills!T14*(1+Inputs!$B$35/100)),15)/15,MIN(1,(Skills!T14*(1+Inputs!$B$35/100))/(1/Q2271)))))+((C2270=TRUE)*IF(Inputs!$B$3&gt;=82,IF(Inputs!$B$39="pvp",20,(1-Summary!$B$11)*(20)+Summary!$B$11*(0)),0)*IF(AND(Inputs!$B$39&lt;&gt;"pvp",Inputs!$B$44&gt;0),(((R2270-1)*MIN((Skills!T13*(1+Inputs!$B$35/100)),(1/Q2270))+MIN((Skills!T13*(1+Inputs!$B$35/100)),MAX(0,Inputs!$B$44-((R2270-1)*(1/Q2270)))))/Inputs!$B$44),IF(Inputs!$B$39="pvp",MIN((Skills!T13*(1+Inputs!$B$35/100)),15)/15,MIN(1,(Skills!T13*(1+Inputs!$B$35/100))/(1/Q2270)))))+(IF(AND(ArtifactsInput!$M$35,Inputs!$B$4&lt;&gt;"Chapter Hunt"),CHOOSE(ArtifactsInput!$N$35+1,15,18,21,24,27,30)*(1-EXP(-(0.2*B2288)*5)),0)+IF(AND(ArtifactsInput!$M$22,Inputs!$B$4&lt;&gt;"Chapter Hunt"),CHOOSE(ArtifactsInput!$N$22+1,10,12,14,16,18,20)*((0*(((0.15*B2288*5))^0/1)+1*(((0.15*B2288*5))^1/1)+2*(((0.15*B2288*5))^2/2)+3*(((0.15*B2288*5))^3/6)+4*(((0.15*B2288*5))^4/24)+5*(((0.15*B2288*5))^5/120))/((((0.15*B2288*5))^0/1)+(((0.15*B2288*5))^1/1)+(((0.15*B2288*5))^2/2)+(((0.15*B2288*5))^3/6)+(((0.15*B2288*5))^4/24)+(((0.15*B2288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2264*(1-MIN(100,(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2264*(MIN(100,(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2264*(1-MIN(100,(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2264*(MIN(100,(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64">
        <f>IF(C2264,(H2264*N2264*IF(AND(Inputs!$B$39&lt;&gt;"pvp",Inputs!$B$44&gt;0),((Skills!G7*((R2264-1)*IF(Skills!H7&gt;0,INT(Skills!I7/Skills!H7+0.000000001),1)+IF(Skills!H7&gt;0,INT(MIN(Skills!I7,MAX(0,MAX(0,Inputs!$B$44-B2293)-((R2264-1)*IF(Inputs!$B$39="pvp",15,MAX(0.1,Skills!D7-IF(TRUE=TRUE,Inputs!$B$33,0))))))/Skills!H7+0.000000001),1)))/Inputs!$B$44),G2264*Q2264))*IF(Inputs!$B$39="pvp",1,(1+(Inputs!$B$22+Skills!Q7+((C2274=TRUE)*F2274*IF(AND(Inputs!$B$39&lt;&gt;"pvp",Inputs!$B$44&gt;0),(((R2274-1)*MIN((Skills!T17*(1+Inputs!$B$35/100)),(1/Q2274))+MIN((Skills!T17*(1+Inputs!$B$35/100)),MAX(0,Inputs!$B$44-((R2274-1)*(1/Q2274)))))/Inputs!$B$44),IF(Inputs!$B$39="pvp",MIN((Skills!T17*(1+Inputs!$B$35/100)),15)/15,MIN(1,(Skills!T17*(1+Inputs!$B$35/100))/(1/Q2274)))))+((C2262=TRUE)*IF(Inputs!$B$3&gt;=126,10*MIN(1,15*Q2262),0))+((C2271=TRUE)*IF(Inputs!$B$39="pvp",20,(1-Summary!$B$11)*(20)+Summary!$B$11*(0))*IF(AND(Inputs!$B$39&lt;&gt;"pvp",Inputs!$B$44&gt;0),(((R2271-1)*MIN((Skills!T14*(1+Inputs!$B$35/100)),(1/Q2271))+MIN((Skills!T14*(1+Inputs!$B$35/100)),MAX(0,Inputs!$B$44-((R2271-1)*(1/Q2271)))))/Inputs!$B$44),IF(Inputs!$B$39="pvp",MIN((Skills!T14*(1+Inputs!$B$35/100)),15)/15,MIN(1,(Skills!T14*(1+Inputs!$B$35/100))/(1/Q2271)))))+((C2270=TRUE)*IF(Inputs!$B$3&gt;=82,IF(Inputs!$B$39="pvp",20,(1-Summary!$B$11)*(20)+Summary!$B$11*(0)),0)*IF(AND(Inputs!$B$39&lt;&gt;"pvp",Inputs!$B$44&gt;0),(((R2270-1)*MIN((Skills!T13*(1+Inputs!$B$35/100)),(1/Q2270))+MIN((Skills!T13*(1+Inputs!$B$35/100)),MAX(0,Inputs!$B$44-((R2270-1)*(1/Q2270)))))/Inputs!$B$44),IF(Inputs!$B$39="pvp",MIN((Skills!T13*(1+Inputs!$B$35/100)),15)/15,MIN(1,(Skills!T13*(1+Inputs!$B$35/100))/(1/Q2270)))))+(IF(AND(ArtifactsInput!$M$35,Inputs!$B$4&lt;&gt;"Chapter Hunt"),CHOOSE(ArtifactsInput!$N$35+1,15,18,21,24,27,30)*(1-EXP(-(0.2*B2288)*5)),0)+IF(AND(ArtifactsInput!$M$22,Inputs!$B$4&lt;&gt;"Chapter Hunt"),CHOOSE(ArtifactsInput!$N$22+1,10,12,14,16,18,20)*((0*(((0.15*B2288*5))^0/1)+1*(((0.15*B2288*5))^1/1)+2*(((0.15*B2288*5))^2/2)+3*(((0.15*B2288*5))^3/6)+4*(((0.15*B2288*5))^4/24)+5*(((0.15*B2288*5))^5/120))/((((0.15*B2288*5))^0/1)+(((0.15*B2288*5))^1/1)+(((0.15*B2288*5))^2/2)+(((0.15*B2288*5))^3/6)+(((0.15*B2288*5))^4/24)+(((0.15*B2288*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65">
      <c r="A2265">
        <f>Skills!A8</f>
        <v/>
      </c>
      <c r="B2265">
        <f>Skills!B8</f>
        <v/>
      </c>
      <c r="C2265">
        <f>Inputs!$B$3&gt;=75</f>
        <v/>
      </c>
      <c r="D2265">
        <f>IF(Skills!C8=1,60+Inputs!$B$26+Inputs!$B$30,IF(Skills!C8=2,90+Inputs!$B$27+Inputs!$B$30,IF(Skills!C8=3,120+Inputs!$B$28+Inputs!$B$30,MAX(0,(Inputs!$B$3-100)*3)+Inputs!$B$29+Inputs!$B$30)))</f>
        <v/>
      </c>
      <c r="E2265">
        <f>INDEX(FactorTable!$B$2:$Y$301, MATCH(ROUND(MIN(300,MAX(1,D2265)),0), FactorTable!$A$2:$A$301,0), Skills!M8+1)</f>
        <v/>
      </c>
      <c r="F2265">
        <f>IF(Skills!N8=TRUE,(Skills!L8/10)*(E2265/1000),Skills!L8/10)+Skills!O8</f>
        <v/>
      </c>
      <c r="G2265" t="inlineStr"/>
      <c r="H2265" t="inlineStr"/>
      <c r="I2265" t="inlineStr">
        <is>
          <t>1</t>
        </is>
      </c>
      <c r="J2265" t="inlineStr"/>
      <c r="K2265" t="inlineStr"/>
      <c r="L2265" t="inlineStr"/>
      <c r="M2265" t="inlineStr"/>
      <c r="N2265" t="inlineStr"/>
      <c r="O2265" t="inlineStr"/>
      <c r="P2265" t="inlineStr"/>
      <c r="Q2265" t="inlineStr"/>
      <c r="R2265" t="inlineStr"/>
      <c r="S2265" t="inlineStr"/>
    </row>
    <row r="2266">
      <c r="A2266">
        <f>Skills!A9</f>
        <v/>
      </c>
      <c r="B2266">
        <f>Skills!B9</f>
        <v/>
      </c>
      <c r="C2266">
        <f>Inputs!$B$3&gt;=60</f>
        <v/>
      </c>
      <c r="D2266">
        <f>IF(Skills!C9=1,60+Inputs!$B$26+Inputs!$B$30,IF(Skills!C9=2,90+Inputs!$B$27+Inputs!$B$30,IF(Skills!C9=3,120+Inputs!$B$28+Inputs!$B$30,MAX(0,(Inputs!$B$3-100)*3)+Inputs!$B$29+Inputs!$B$30)))</f>
        <v/>
      </c>
      <c r="E2266">
        <f>INDEX(FactorTable!$B$2:$Y$301, MATCH(ROUND(MIN(300,MAX(1,D2266)),0), FactorTable!$A$2:$A$301,0), Skills!M9+1)</f>
        <v/>
      </c>
      <c r="F2266">
        <f>IF(Skills!N9=TRUE,(Skills!L9/10)*(E2266/1000),Skills!L9/10)+Skills!O9</f>
        <v/>
      </c>
      <c r="G2266">
        <f>Skills!G9*IF(Skills!H9&gt;0,INT(IF(Inputs!$B$39="pvp",MIN(Skills!I9,15),Skills!I9)/Skills!H9+0.000000001),1)</f>
        <v/>
      </c>
      <c r="H2266">
        <f>1-(1-Skills!J9/100)^Skills!K9</f>
        <v/>
      </c>
      <c r="I2266" t="inlineStr">
        <is>
          <t>1</t>
        </is>
      </c>
      <c r="J2266">
        <f>((Inputs!$B$6*(1+Inputs!$B$7/100))+(((Inputs!$B$13*(1+Inputs!$B$14/100))-(Inputs!$B$13*(1+Inputs!$B$14/100)))+0.25*(Inputs!$B$15-Inputs!$B$15))*(1+Inputs!$B$7/100))*(F2266/100)</f>
        <v/>
      </c>
      <c r="K2266">
        <f>J2266*(1+(((Inputs!$B$13+IF(Inputs!$B$3&gt;=38,(10*INDEX(FactorTable!$B$2:$Y$301, MATCH(ROUND(MIN(300,MAX(1,Inputs!$B$3)),0), FactorTable!$A$2:$A$301,0), 23)/1000)/100*(Inputs!$B$8*(1+Inputs!$B$9/100)),0))*(1+Inputs!$B$14/100))*0.01+Inputs!$B$15*0.0025)/100)*(1+Inputs!$B$16/100)*(1+Inputs!$B$17/100)*(5000/(6000+Inputs!$B$43*(1-(Inputs!$B$20+0)/100)))*(1+(Inputs!$B$25+((C2282=TRUE)*(F2282-Calc!F25))+((C2283=TRUE)*(F2283-Calc!F26))+B2292)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2268=TRUE,F2268,0)/100)*(1+(IF(Skills!A9="DARK_IMPALE",Inputs!$B$18+0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gt;=100),MIN(100,((Inputs!$B$10+0+B2286+(ArtifactsInput!$M$24-ArtifactsInput!$M$24)*CHOOSE(ArtifactsInput!$N$24+1,10,12,14,16,18,20)+IF(ArtifactsInput!$M$10,CHOOSE(ArtifactsInput!$N$10+1,15,18,21,24,27,30)*(IF(Inputs!$B$39="pvp",MIN(15,15)/15,IF(AND(Inputs!$B$39&lt;&gt;"pvp",Inputs!$B$44&gt;0),MIN(15,Inputs!$B$44)/(Inputs!$B$44),0))),0)))-100),0))*CHOOSE(ArtifactsInput!$N$42+1,0.6,0.72,0.84,0.96,1.08,1.2))),Inputs!$B$19+((C2280=TRUE)*(F2280-Calc!F23))+(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gt;=100),CHOOSE(ArtifactsInput!$N$42+1,40,48,56,64,72,80),0))))/100)*((1+(((C2270=TRUE)*F2270*IF(AND(Inputs!$B$39&lt;&gt;"pvp",Inputs!$B$44&gt;0),(((R2270-1)*MIN((Skills!T13*(1+Inputs!$B$35/100)),(1/Q2270))+MIN((Skills!T13*(1+Inputs!$B$35/100)),MAX(0,Inputs!$B$44-((R2270-1)*(1/Q2270)))))/Inputs!$B$44),IF(Inputs!$B$39="pvp",MIN((Skills!T13*(1+Inputs!$B$35/100)),15)/15,MIN(1,(Skills!T13*(1+Inputs!$B$35/100))/(1/Q2270)))))+((C2271=TRUE)*F2271*IF(AND(Inputs!$B$39&lt;&gt;"pvp",Inputs!$B$44&gt;0),(((R2271-1)*MIN((Skills!T14*(1+Inputs!$B$35/100)),(1/Q2271))+MIN((Skills!T14*(1+Inputs!$B$35/100)),MAX(0,Inputs!$B$44-((R2271-1)*(1/Q2271)))))/Inputs!$B$44),IF(Inputs!$B$39="pvp",MIN((Skills!T14*(1+Inputs!$B$35/100)),15)/15,MIN(1,(Skills!T14*(1+Inputs!$B$35/100))/(1/Q2271)))))+((C2272=TRUE)*F2272*IF(AND(Inputs!$B$39&lt;&gt;"pvp",Inputs!$B$44&gt;0),(((R2272-1)*MIN((Skills!T15*(1+Inputs!$B$35/100)),(1/Q2272))+MIN((Skills!T15*(1+Inputs!$B$35/100)),MAX(0,Inputs!$B$44-((R2272-1)*(1/Q2272)))))/Inputs!$B$44),IF(Inputs!$B$39="pvp",MIN((Skills!T15*(1+Inputs!$B$35/100)),15)/15,MIN(1,(Skills!T15*(1+Inputs!$B$35/100))/(1/Q2272)))))+((C2273=TRUE)*F2273*IF(AND(Inputs!$B$39&lt;&gt;"pvp",Inputs!$B$44&gt;0),(((R2273-1)*MIN((Skills!T16*(1+Inputs!$B$35/100)),(1/Q2273))+MIN((Skills!T16*(1+Inputs!$B$35/100)),MAX(0,Inputs!$B$44-((R2273-1)*(1/Q2273)))))/Inputs!$B$44),IF(Inputs!$B$39="pvp",MIN((Skills!T16*(1+Inputs!$B$35/100)),15)/15,MIN(1,(Skills!T16*(1+Inputs!$B$35/100))/(1/Q2273)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2266)</f>
        <v/>
      </c>
      <c r="L2266">
        <f>K2266*(MIN(Inputs!$B$23+((C2279=TRUE)*(F2279-Calc!F22)),(Inputs!$B$24+((C2281=TRUE)*(F2281-Calc!F24))+(IF(ArtifactsInput!$M$15,CHOOSE(ArtifactsInput!$N$15+1,25,30,35,40,45,50)/100*(Inputs!$B$12-Inputs!$B$12),0))))/100+(Inputs!$B$24+((C2281=TRUE)*(F2281-Calc!F24))+(IF(ArtifactsInput!$M$15,CHOOSE(ArtifactsInput!$N$15+1,25,30,35,40,45,50)/100*(Inputs!$B$12-Inputs!$B$12),0)))/100)/2</f>
        <v/>
      </c>
      <c r="M2266">
        <f>L2266*(1+(Inputs!$B$11+0+B2291+(IF(ArtifactsInput!$M$24,CHOOSE(ArtifactsInput!$N$24+1,30,36,42,48,54,60)/100*(Inputs!$B$10-Inputs!$B$10),0)+IF(ArtifactsInput!$M$10,CHOOSE(ArtifactsInput!$N$10+1,20,24,28,32,36,40)*(IF(Inputs!$B$39="pvp",MIN(15,15)/15,IF(AND(Inputs!$B$39&lt;&gt;"pvp",Inputs!$B$44&gt;0),MIN(15,Inputs!$B$44)/(Inputs!$B$44),0))),0)+IF(IF(ArtifactsInput!$M$31,FALSE,TRUE),1.5*CHOOSE(ArtifactsInput!$N$31+1,20,24,28,32,36,40),0)))/100)</f>
        <v/>
      </c>
      <c r="N2266">
        <f>L2266*(1-MIN((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2266*(MIN((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66">
        <f>(1-Summary!$B$11)*T2266+Summary!$B$11*V2266</f>
        <v/>
      </c>
      <c r="P2266">
        <f>IF(B2296=0,0,O2266/B2296)</f>
        <v/>
      </c>
      <c r="Q2266">
        <f>IFERROR(1/IF(Inputs!$B$39="pvp",15,MAX(0.1,Skills!D9-IF(TRUE=TRUE,Inputs!$B$33,0))),0)</f>
        <v/>
      </c>
      <c r="R2266">
        <f>IF(AND(Inputs!$B$39&lt;&gt;"pvp",Inputs!$B$44&gt;0),IF(MAX(0,Inputs!$B$44-B2293)&lt;=0,0,(INT(MAX(0,Inputs!$B$44-B2293)/IF(Inputs!$B$39="pvp",15,MAX(0.1,Skills!D9-IF(TRUE=TRUE,Inputs!$B$33,0))))+1)),0)</f>
        <v/>
      </c>
      <c r="S2266">
        <f>IFERROR(O2266/N2266,0)</f>
        <v/>
      </c>
      <c r="T2266">
        <f>IF(C2266,(H2266*N2266*IF(AND(Inputs!$B$39&lt;&gt;"pvp",Inputs!$B$44&gt;0),((Skills!G9*((R2266-1)*IF(Skills!H9&gt;0,INT(Skills!I9/Skills!H9+0.000000001),1)+IF(Skills!H9&gt;0,INT(MIN(Skills!I9,MAX(0,MAX(0,Inputs!$B$44-B2293)-((R2266-1)*IF(Inputs!$B$39="pvp",15,MAX(0.1,Skills!D9-IF(TRUE=TRUE,Inputs!$B$33,0))))))/Skills!H9+0.000000001),1)))/Inputs!$B$44),G2266*Q2266))*IF(Inputs!$B$39="pvp",1,1+(Inputs!$B$21+0+Skills!P9+((C2274=TRUE)*F2274*IF(AND(Inputs!$B$39&lt;&gt;"pvp",Inputs!$B$44&gt;0),(((R2274-1)*MIN((Skills!T17*(1+Inputs!$B$35/100)),(1/Q2274))+MIN((Skills!T17*(1+Inputs!$B$35/100)),MAX(0,Inputs!$B$44-((R2274-1)*(1/Q2274)))))/Inputs!$B$44),IF(Inputs!$B$39="pvp",MIN((Skills!T17*(1+Inputs!$B$35/100)),15)/15,MIN(1,(Skills!T17*(1+Inputs!$B$35/100))/(1/Q2274)))))+((C2262=TRUE)*IF(Inputs!$B$3&gt;=126,10*MIN(1,15*Q2262),0))+((C2271=TRUE)*IF(Inputs!$B$39="pvp",20,(1-Summary!$B$11)*(20)+Summary!$B$11*(0))*IF(AND(Inputs!$B$39&lt;&gt;"pvp",Inputs!$B$44&gt;0),(((R2271-1)*MIN((Skills!T14*(1+Inputs!$B$35/100)),(1/Q2271))+MIN((Skills!T14*(1+Inputs!$B$35/100)),MAX(0,Inputs!$B$44-((R2271-1)*(1/Q2271)))))/Inputs!$B$44),IF(Inputs!$B$39="pvp",MIN((Skills!T14*(1+Inputs!$B$35/100)),15)/15,MIN(1,(Skills!T14*(1+Inputs!$B$35/100))/(1/Q2271)))))+((C2270=TRUE)*IF(Inputs!$B$3&gt;=82,IF(Inputs!$B$39="pvp",20,(1-Summary!$B$11)*(20)+Summary!$B$11*(0)),0)*IF(AND(Inputs!$B$39&lt;&gt;"pvp",Inputs!$B$44&gt;0),(((R2270-1)*MIN((Skills!T13*(1+Inputs!$B$35/100)),(1/Q2270))+MIN((Skills!T13*(1+Inputs!$B$35/100)),MAX(0,Inputs!$B$44-((R2270-1)*(1/Q2270)))))/Inputs!$B$44),IF(Inputs!$B$39="pvp",MIN((Skills!T13*(1+Inputs!$B$35/100)),15)/15,MIN(1,(Skills!T13*(1+Inputs!$B$35/100))/(1/Q2270)))))+(IF(AND(ArtifactsInput!$M$35,Inputs!$B$4&lt;&gt;"Chapter Hunt"),CHOOSE(ArtifactsInput!$N$35+1,15,18,21,24,27,30)*(1-EXP(-(0.2*B2288)*5)),0)+IF(AND(ArtifactsInput!$M$22,Inputs!$B$4&lt;&gt;"Chapter Hunt"),CHOOSE(ArtifactsInput!$N$22+1,10,12,14,16,18,20)*((0*(((0.15*B2288*5))^0/1)+1*(((0.15*B2288*5))^1/1)+2*(((0.15*B2288*5))^2/2)+3*(((0.15*B2288*5))^3/6)+4*(((0.15*B2288*5))^4/24)+5*(((0.15*B2288*5))^5/120))/((((0.15*B2288*5))^0/1)+(((0.15*B2288*5))^1/1)+(((0.15*B2288*5))^2/2)+(((0.15*B2288*5))^3/6)+(((0.15*B2288*5))^4/24)+(((0.15*B2288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2266*(1-MIN(100,(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2266*(MIN(100,(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2266*(1-MIN(100,(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2266*(MIN(100,(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66">
        <f>IF(C2266,(H2266*N2266*IF(AND(Inputs!$B$39&lt;&gt;"pvp",Inputs!$B$44&gt;0),((Skills!G9*((R2266-1)*IF(Skills!H9&gt;0,INT(Skills!I9/Skills!H9+0.000000001),1)+IF(Skills!H9&gt;0,INT(MIN(Skills!I9,MAX(0,MAX(0,Inputs!$B$44-B2293)-((R2266-1)*IF(Inputs!$B$39="pvp",15,MAX(0.1,Skills!D9-IF(TRUE=TRUE,Inputs!$B$33,0))))))/Skills!H9+0.000000001),1)))/Inputs!$B$44),G2266*Q2266))*IF(Inputs!$B$39="pvp",1,(1+(Inputs!$B$22+Skills!Q9+((C2274=TRUE)*F2274*IF(AND(Inputs!$B$39&lt;&gt;"pvp",Inputs!$B$44&gt;0),(((R2274-1)*MIN((Skills!T17*(1+Inputs!$B$35/100)),(1/Q2274))+MIN((Skills!T17*(1+Inputs!$B$35/100)),MAX(0,Inputs!$B$44-((R2274-1)*(1/Q2274)))))/Inputs!$B$44),IF(Inputs!$B$39="pvp",MIN((Skills!T17*(1+Inputs!$B$35/100)),15)/15,MIN(1,(Skills!T17*(1+Inputs!$B$35/100))/(1/Q2274)))))+((C2262=TRUE)*IF(Inputs!$B$3&gt;=126,10*MIN(1,15*Q2262),0))+((C2271=TRUE)*IF(Inputs!$B$39="pvp",20,(1-Summary!$B$11)*(20)+Summary!$B$11*(0))*IF(AND(Inputs!$B$39&lt;&gt;"pvp",Inputs!$B$44&gt;0),(((R2271-1)*MIN((Skills!T14*(1+Inputs!$B$35/100)),(1/Q2271))+MIN((Skills!T14*(1+Inputs!$B$35/100)),MAX(0,Inputs!$B$44-((R2271-1)*(1/Q2271)))))/Inputs!$B$44),IF(Inputs!$B$39="pvp",MIN((Skills!T14*(1+Inputs!$B$35/100)),15)/15,MIN(1,(Skills!T14*(1+Inputs!$B$35/100))/(1/Q2271)))))+((C2270=TRUE)*IF(Inputs!$B$3&gt;=82,IF(Inputs!$B$39="pvp",20,(1-Summary!$B$11)*(20)+Summary!$B$11*(0)),0)*IF(AND(Inputs!$B$39&lt;&gt;"pvp",Inputs!$B$44&gt;0),(((R2270-1)*MIN((Skills!T13*(1+Inputs!$B$35/100)),(1/Q2270))+MIN((Skills!T13*(1+Inputs!$B$35/100)),MAX(0,Inputs!$B$44-((R2270-1)*(1/Q2270)))))/Inputs!$B$44),IF(Inputs!$B$39="pvp",MIN((Skills!T13*(1+Inputs!$B$35/100)),15)/15,MIN(1,(Skills!T13*(1+Inputs!$B$35/100))/(1/Q2270)))))+(IF(AND(ArtifactsInput!$M$35,Inputs!$B$4&lt;&gt;"Chapter Hunt"),CHOOSE(ArtifactsInput!$N$35+1,15,18,21,24,27,30)*(1-EXP(-(0.2*B2288)*5)),0)+IF(AND(ArtifactsInput!$M$22,Inputs!$B$4&lt;&gt;"Chapter Hunt"),CHOOSE(ArtifactsInput!$N$22+1,10,12,14,16,18,20)*((0*(((0.15*B2288*5))^0/1)+1*(((0.15*B2288*5))^1/1)+2*(((0.15*B2288*5))^2/2)+3*(((0.15*B2288*5))^3/6)+4*(((0.15*B2288*5))^4/24)+5*(((0.15*B2288*5))^5/120))/((((0.15*B2288*5))^0/1)+(((0.15*B2288*5))^1/1)+(((0.15*B2288*5))^2/2)+(((0.15*B2288*5))^3/6)+(((0.15*B2288*5))^4/24)+(((0.15*B2288*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67">
      <c r="A2267">
        <f>Skills!A10</f>
        <v/>
      </c>
      <c r="B2267">
        <f>Skills!B10</f>
        <v/>
      </c>
      <c r="C2267">
        <f>Inputs!$B$3&gt;=110</f>
        <v/>
      </c>
      <c r="D2267">
        <f>IF(Skills!C10=1,60+Inputs!$B$26+Inputs!$B$30,IF(Skills!C10=2,90+Inputs!$B$27+Inputs!$B$30,IF(Skills!C10=3,120+Inputs!$B$28+Inputs!$B$30,MAX(0,(Inputs!$B$3-100)*3)+Inputs!$B$29+Inputs!$B$30)))</f>
        <v/>
      </c>
      <c r="E2267">
        <f>INDEX(FactorTable!$B$2:$Y$301, MATCH(ROUND(MIN(300,MAX(1,D2267)),0), FactorTable!$A$2:$A$301,0), Skills!M10+1)</f>
        <v/>
      </c>
      <c r="F2267">
        <f>IF(Skills!N10=TRUE,(Skills!L10/10)*(E2267/1000),Skills!L10/10)+Skills!O10</f>
        <v/>
      </c>
      <c r="G2267">
        <f>Skills!G10*IF(Skills!H10&gt;0,INT(IF(Inputs!$B$39="pvp",MIN(Skills!I10,15),Skills!I10)/Skills!H10+0.000000001),1)</f>
        <v/>
      </c>
      <c r="H2267">
        <f>1-(1-Skills!J10/100)^Skills!K10</f>
        <v/>
      </c>
      <c r="I2267" t="inlineStr">
        <is>
          <t>1</t>
        </is>
      </c>
      <c r="J2267">
        <f>((Inputs!$B$6*(1+Inputs!$B$7/100))+(((Inputs!$B$13*(1+Inputs!$B$14/100))-(Inputs!$B$13*(1+Inputs!$B$14/100)))+0.25*(Inputs!$B$15-Inputs!$B$15))*(1+Inputs!$B$7/100))*(F2267/100)</f>
        <v/>
      </c>
      <c r="K2267">
        <f>J2267*(1+(((Inputs!$B$13+IF(Inputs!$B$3&gt;=38,(10*INDEX(FactorTable!$B$2:$Y$301, MATCH(ROUND(MIN(300,MAX(1,Inputs!$B$3)),0), FactorTable!$A$2:$A$301,0), 23)/1000)/100*(Inputs!$B$8*(1+Inputs!$B$9/100)),0))*(1+Inputs!$B$14/100))*0.01+Inputs!$B$15*0.0025)/100)*(1+Inputs!$B$16/100)*(1+Inputs!$B$17/100)*(5000/(6000+Inputs!$B$43*(1-(Inputs!$B$20+0)/100)))*(1+(Inputs!$B$25+((C2282=TRUE)*(F2282-Calc!F25))+((C2283=TRUE)*(F2283-Calc!F26))+B2292)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gt;=100),MIN(100,((Inputs!$B$10+0+B2286+(ArtifactsInput!$M$24-ArtifactsInput!$M$24)*CHOOSE(ArtifactsInput!$N$24+1,10,12,14,16,18,20)+IF(ArtifactsInput!$M$10,CHOOSE(ArtifactsInput!$N$10+1,15,18,21,24,27,30)*(IF(Inputs!$B$39="pvp",MIN(15,15)/15,IF(AND(Inputs!$B$39&lt;&gt;"pvp",Inputs!$B$44&gt;0),MIN(15,Inputs!$B$44)/(Inputs!$B$44),0))),0)))-100),0))*CHOOSE(ArtifactsInput!$N$42+1,0.6,0.72,0.84,0.96,1.08,1.2))),Inputs!$B$19+((C2280=TRUE)*(F2280-Calc!F23))+(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gt;=100),CHOOSE(ArtifactsInput!$N$42+1,40,48,56,64,72,80),0))))/100)*((1+(((C2270=TRUE)*F2270*IF(AND(Inputs!$B$39&lt;&gt;"pvp",Inputs!$B$44&gt;0),(((R2270-1)*MIN((Skills!T13*(1+Inputs!$B$35/100)),(1/Q2270))+MIN((Skills!T13*(1+Inputs!$B$35/100)),MAX(0,Inputs!$B$44-((R2270-1)*(1/Q2270)))))/Inputs!$B$44),IF(Inputs!$B$39="pvp",MIN((Skills!T13*(1+Inputs!$B$35/100)),15)/15,MIN(1,(Skills!T13*(1+Inputs!$B$35/100))/(1/Q2270)))))+((C2271=TRUE)*F2271*IF(AND(Inputs!$B$39&lt;&gt;"pvp",Inputs!$B$44&gt;0),(((R2271-1)*MIN((Skills!T14*(1+Inputs!$B$35/100)),(1/Q2271))+MIN((Skills!T14*(1+Inputs!$B$35/100)),MAX(0,Inputs!$B$44-((R2271-1)*(1/Q2271)))))/Inputs!$B$44),IF(Inputs!$B$39="pvp",MIN((Skills!T14*(1+Inputs!$B$35/100)),15)/15,MIN(1,(Skills!T14*(1+Inputs!$B$35/100))/(1/Q2271)))))+((C2272=TRUE)*F2272*IF(AND(Inputs!$B$39&lt;&gt;"pvp",Inputs!$B$44&gt;0),(((R2272-1)*MIN((Skills!T15*(1+Inputs!$B$35/100)),(1/Q2272))+MIN((Skills!T15*(1+Inputs!$B$35/100)),MAX(0,Inputs!$B$44-((R2272-1)*(1/Q2272)))))/Inputs!$B$44),IF(Inputs!$B$39="pvp",MIN((Skills!T15*(1+Inputs!$B$35/100)),15)/15,MIN(1,(Skills!T15*(1+Inputs!$B$35/100))/(1/Q2272)))))+((C2273=TRUE)*F2273*IF(AND(Inputs!$B$39&lt;&gt;"pvp",Inputs!$B$44&gt;0),(((R2273-1)*MIN((Skills!T16*(1+Inputs!$B$35/100)),(1/Q2273))+MIN((Skills!T16*(1+Inputs!$B$35/100)),MAX(0,Inputs!$B$44-((R2273-1)*(1/Q2273)))))/Inputs!$B$44),IF(Inputs!$B$39="pvp",MIN((Skills!T16*(1+Inputs!$B$35/100)),15)/15,MIN(1,(Skills!T16*(1+Inputs!$B$35/100))/(1/Q2273)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2267)</f>
        <v/>
      </c>
      <c r="L2267">
        <f>K2267*(MIN(Inputs!$B$23+((C2279=TRUE)*(F2279-Calc!F22)),(Inputs!$B$24+((C2281=TRUE)*(F2281-Calc!F24))+(IF(ArtifactsInput!$M$15,CHOOSE(ArtifactsInput!$N$15+1,25,30,35,40,45,50)/100*(Inputs!$B$12-Inputs!$B$12),0))))/100+(Inputs!$B$24+((C2281=TRUE)*(F2281-Calc!F24))+(IF(ArtifactsInput!$M$15,CHOOSE(ArtifactsInput!$N$15+1,25,30,35,40,45,50)/100*(Inputs!$B$12-Inputs!$B$12),0)))/100)/2</f>
        <v/>
      </c>
      <c r="M2267">
        <f>L2267*(1+(Inputs!$B$11+0+B2291+(IF(ArtifactsInput!$M$24,CHOOSE(ArtifactsInput!$N$24+1,30,36,42,48,54,60)/100*(Inputs!$B$10-Inputs!$B$10),0)+IF(ArtifactsInput!$M$10,CHOOSE(ArtifactsInput!$N$10+1,20,24,28,32,36,40)*(IF(Inputs!$B$39="pvp",MIN(15,15)/15,IF(AND(Inputs!$B$39&lt;&gt;"pvp",Inputs!$B$44&gt;0),MIN(15,Inputs!$B$44)/(Inputs!$B$44),0))),0)+IF(IF(ArtifactsInput!$M$31,FALSE,TRUE),1.5*CHOOSE(ArtifactsInput!$N$31+1,20,24,28,32,36,40),0)))/100)</f>
        <v/>
      </c>
      <c r="N2267">
        <f>L2267*(1-MIN((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2267*(MIN((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67">
        <f>(1-Summary!$B$11)*T2267+Summary!$B$11*V2267</f>
        <v/>
      </c>
      <c r="P2267">
        <f>IF(B2296=0,0,O2267/B2296)</f>
        <v/>
      </c>
      <c r="Q2267">
        <f>IFERROR(1/IF(Inputs!$B$39="pvp",15,MAX(0.1,Skills!D10-IF(TRUE=TRUE,Inputs!$B$33,0))),0)</f>
        <v/>
      </c>
      <c r="R2267">
        <f>IF(AND(Inputs!$B$39&lt;&gt;"pvp",Inputs!$B$44&gt;0),IF(MAX(0,Inputs!$B$44-B2293)&lt;=0,0,(INT(MAX(0,Inputs!$B$44-B2293)/IF(Inputs!$B$39="pvp",15,MAX(0.1,Skills!D10-IF(TRUE=TRUE,Inputs!$B$33,0))))+1)),0)</f>
        <v/>
      </c>
      <c r="S2267">
        <f>IFERROR(O2267/N2267,0)</f>
        <v/>
      </c>
      <c r="T2267">
        <f>IF(C2267,(H2267*N2267*IF(AND(Inputs!$B$39&lt;&gt;"pvp",Inputs!$B$44&gt;0),((Skills!G10*((R2267-1)*IF(Skills!H10&gt;0,INT(Skills!I10/Skills!H10+0.000000001),1)+IF(Skills!H10&gt;0,INT(MIN(Skills!I10,MAX(0,MAX(0,Inputs!$B$44-B2293)-((R2267-1)*IF(Inputs!$B$39="pvp",15,MAX(0.1,Skills!D10-IF(TRUE=TRUE,Inputs!$B$33,0))))))/Skills!H10+0.000000001),1)))/Inputs!$B$44),G2267*Q2267))*IF(Inputs!$B$39="pvp",1,1+(Inputs!$B$21+0+Skills!P10+((C2274=TRUE)*F2274*IF(AND(Inputs!$B$39&lt;&gt;"pvp",Inputs!$B$44&gt;0),(((R2274-1)*MIN((Skills!T17*(1+Inputs!$B$35/100)),(1/Q2274))+MIN((Skills!T17*(1+Inputs!$B$35/100)),MAX(0,Inputs!$B$44-((R2274-1)*(1/Q2274)))))/Inputs!$B$44),IF(Inputs!$B$39="pvp",MIN((Skills!T17*(1+Inputs!$B$35/100)),15)/15,MIN(1,(Skills!T17*(1+Inputs!$B$35/100))/(1/Q2274)))))+((C2262=TRUE)*IF(Inputs!$B$3&gt;=126,10*MIN(1,15*Q2262),0))+((C2271=TRUE)*IF(Inputs!$B$39="pvp",20,(1-Summary!$B$11)*(20)+Summary!$B$11*(0))*IF(AND(Inputs!$B$39&lt;&gt;"pvp",Inputs!$B$44&gt;0),(((R2271-1)*MIN((Skills!T14*(1+Inputs!$B$35/100)),(1/Q2271))+MIN((Skills!T14*(1+Inputs!$B$35/100)),MAX(0,Inputs!$B$44-((R2271-1)*(1/Q2271)))))/Inputs!$B$44),IF(Inputs!$B$39="pvp",MIN((Skills!T14*(1+Inputs!$B$35/100)),15)/15,MIN(1,(Skills!T14*(1+Inputs!$B$35/100))/(1/Q2271)))))+((C2270=TRUE)*IF(Inputs!$B$3&gt;=82,IF(Inputs!$B$39="pvp",20,(1-Summary!$B$11)*(20)+Summary!$B$11*(0)),0)*IF(AND(Inputs!$B$39&lt;&gt;"pvp",Inputs!$B$44&gt;0),(((R2270-1)*MIN((Skills!T13*(1+Inputs!$B$35/100)),(1/Q2270))+MIN((Skills!T13*(1+Inputs!$B$35/100)),MAX(0,Inputs!$B$44-((R2270-1)*(1/Q2270)))))/Inputs!$B$44),IF(Inputs!$B$39="pvp",MIN((Skills!T13*(1+Inputs!$B$35/100)),15)/15,MIN(1,(Skills!T13*(1+Inputs!$B$35/100))/(1/Q2270)))))+(IF(AND(ArtifactsInput!$M$35,Inputs!$B$4&lt;&gt;"Chapter Hunt"),CHOOSE(ArtifactsInput!$N$35+1,15,18,21,24,27,30)*(1-EXP(-(0.2*B2288)*5)),0)+IF(AND(ArtifactsInput!$M$22,Inputs!$B$4&lt;&gt;"Chapter Hunt"),CHOOSE(ArtifactsInput!$N$22+1,10,12,14,16,18,20)*((0*(((0.15*B2288*5))^0/1)+1*(((0.15*B2288*5))^1/1)+2*(((0.15*B2288*5))^2/2)+3*(((0.15*B2288*5))^3/6)+4*(((0.15*B2288*5))^4/24)+5*(((0.15*B2288*5))^5/120))/((((0.15*B2288*5))^0/1)+(((0.15*B2288*5))^1/1)+(((0.15*B2288*5))^2/2)+(((0.15*B2288*5))^3/6)+(((0.15*B2288*5))^4/24)+(((0.15*B2288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2267*(1-MIN(100,(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2267*(MIN(100,(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2267*(1-MIN(100,(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2267*(MIN(100,(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67">
        <f>IF(C2267,(H2267*N2267*IF(AND(Inputs!$B$39&lt;&gt;"pvp",Inputs!$B$44&gt;0),((Skills!G10*((R2267-1)*IF(Skills!H10&gt;0,INT(Skills!I10/Skills!H10+0.000000001),1)+IF(Skills!H10&gt;0,INT(MIN(Skills!I10,MAX(0,MAX(0,Inputs!$B$44-B2293)-((R2267-1)*IF(Inputs!$B$39="pvp",15,MAX(0.1,Skills!D10-IF(TRUE=TRUE,Inputs!$B$33,0))))))/Skills!H10+0.000000001),1)))/Inputs!$B$44),G2267*Q2267))*IF(Inputs!$B$39="pvp",1,(1+(Inputs!$B$22+Skills!Q10+((C2274=TRUE)*F2274*IF(AND(Inputs!$B$39&lt;&gt;"pvp",Inputs!$B$44&gt;0),(((R2274-1)*MIN((Skills!T17*(1+Inputs!$B$35/100)),(1/Q2274))+MIN((Skills!T17*(1+Inputs!$B$35/100)),MAX(0,Inputs!$B$44-((R2274-1)*(1/Q2274)))))/Inputs!$B$44),IF(Inputs!$B$39="pvp",MIN((Skills!T17*(1+Inputs!$B$35/100)),15)/15,MIN(1,(Skills!T17*(1+Inputs!$B$35/100))/(1/Q2274)))))+((C2262=TRUE)*IF(Inputs!$B$3&gt;=126,10*MIN(1,15*Q2262),0))+((C2271=TRUE)*IF(Inputs!$B$39="pvp",20,(1-Summary!$B$11)*(20)+Summary!$B$11*(0))*IF(AND(Inputs!$B$39&lt;&gt;"pvp",Inputs!$B$44&gt;0),(((R2271-1)*MIN((Skills!T14*(1+Inputs!$B$35/100)),(1/Q2271))+MIN((Skills!T14*(1+Inputs!$B$35/100)),MAX(0,Inputs!$B$44-((R2271-1)*(1/Q2271)))))/Inputs!$B$44),IF(Inputs!$B$39="pvp",MIN((Skills!T14*(1+Inputs!$B$35/100)),15)/15,MIN(1,(Skills!T14*(1+Inputs!$B$35/100))/(1/Q2271)))))+((C2270=TRUE)*IF(Inputs!$B$3&gt;=82,IF(Inputs!$B$39="pvp",20,(1-Summary!$B$11)*(20)+Summary!$B$11*(0)),0)*IF(AND(Inputs!$B$39&lt;&gt;"pvp",Inputs!$B$44&gt;0),(((R2270-1)*MIN((Skills!T13*(1+Inputs!$B$35/100)),(1/Q2270))+MIN((Skills!T13*(1+Inputs!$B$35/100)),MAX(0,Inputs!$B$44-((R2270-1)*(1/Q2270)))))/Inputs!$B$44),IF(Inputs!$B$39="pvp",MIN((Skills!T13*(1+Inputs!$B$35/100)),15)/15,MIN(1,(Skills!T13*(1+Inputs!$B$35/100))/(1/Q2270)))))+(IF(AND(ArtifactsInput!$M$35,Inputs!$B$4&lt;&gt;"Chapter Hunt"),CHOOSE(ArtifactsInput!$N$35+1,15,18,21,24,27,30)*(1-EXP(-(0.2*B2288)*5)),0)+IF(AND(ArtifactsInput!$M$22,Inputs!$B$4&lt;&gt;"Chapter Hunt"),CHOOSE(ArtifactsInput!$N$22+1,10,12,14,16,18,20)*((0*(((0.15*B2288*5))^0/1)+1*(((0.15*B2288*5))^1/1)+2*(((0.15*B2288*5))^2/2)+3*(((0.15*B2288*5))^3/6)+4*(((0.15*B2288*5))^4/24)+5*(((0.15*B2288*5))^5/120))/((((0.15*B2288*5))^0/1)+(((0.15*B2288*5))^1/1)+(((0.15*B2288*5))^2/2)+(((0.15*B2288*5))^3/6)+(((0.15*B2288*5))^4/24)+(((0.15*B2288*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68">
      <c r="A2268">
        <f>Skills!A11</f>
        <v/>
      </c>
      <c r="B2268">
        <f>Skills!B11</f>
        <v/>
      </c>
      <c r="C2268">
        <f>Inputs!$B$3&gt;=100</f>
        <v/>
      </c>
      <c r="D2268">
        <f>IF(Skills!C11=1,60+Inputs!$B$26+Inputs!$B$30,IF(Skills!C11=2,90+Inputs!$B$27+Inputs!$B$30,IF(Skills!C11=3,120+Inputs!$B$28+Inputs!$B$30,MAX(0,(Inputs!$B$3-100)*3)+Inputs!$B$29+Inputs!$B$30)))</f>
        <v/>
      </c>
      <c r="E2268">
        <f>INDEX(FactorTable!$B$2:$Y$301, MATCH(ROUND(MIN(300,MAX(1,D2268)),0), FactorTable!$A$2:$A$301,0), Skills!M11+1)</f>
        <v/>
      </c>
      <c r="F2268">
        <f>IF(Skills!N11=TRUE,(Skills!L11/10)*(E2268/1000),Skills!L11/10)+Skills!O11</f>
        <v/>
      </c>
      <c r="G2268" t="inlineStr"/>
      <c r="H2268" t="inlineStr"/>
      <c r="I2268" t="inlineStr">
        <is>
          <t>1</t>
        </is>
      </c>
      <c r="J2268" t="inlineStr"/>
      <c r="K2268" t="inlineStr"/>
      <c r="L2268" t="inlineStr"/>
      <c r="M2268" t="inlineStr"/>
      <c r="N2268" t="inlineStr"/>
      <c r="O2268" t="inlineStr"/>
      <c r="P2268" t="inlineStr"/>
      <c r="Q2268" t="inlineStr"/>
      <c r="R2268" t="inlineStr"/>
      <c r="S2268" t="inlineStr"/>
    </row>
    <row r="2269">
      <c r="A2269">
        <f>Skills!A12</f>
        <v/>
      </c>
      <c r="B2269">
        <f>Skills!B12</f>
        <v/>
      </c>
      <c r="C2269">
        <f>Inputs!$B$3&gt;=63</f>
        <v/>
      </c>
      <c r="D2269">
        <f>IF(Skills!C12=1,60+Inputs!$B$26+Inputs!$B$30,IF(Skills!C12=2,90+Inputs!$B$27+Inputs!$B$30,IF(Skills!C12=3,120+Inputs!$B$28+Inputs!$B$30,MAX(0,(Inputs!$B$3-100)*3)+Inputs!$B$29+Inputs!$B$30)))</f>
        <v/>
      </c>
      <c r="E2269">
        <f>INDEX(FactorTable!$B$2:$Y$301, MATCH(ROUND(MIN(300,MAX(1,D2269)),0), FactorTable!$A$2:$A$301,0), Skills!M12+1)</f>
        <v/>
      </c>
      <c r="F2269">
        <f>IF(Skills!N12=TRUE,(Skills!L12/10)*(E2269/1000),Skills!L12/10)+Skills!O12</f>
        <v/>
      </c>
      <c r="G2269">
        <f>Skills!G12*IF(Skills!H12&gt;0,INT(IF(Inputs!$B$39="pvp",MIN(Skills!I12,15),Skills!I12)/Skills!H12+0.000000001),1)</f>
        <v/>
      </c>
      <c r="H2269">
        <f>1-(1-Skills!J12/100)^Skills!K12</f>
        <v/>
      </c>
      <c r="I2269" t="inlineStr">
        <is>
          <t>1</t>
        </is>
      </c>
      <c r="J2269">
        <f>((Inputs!$B$6*(1+Inputs!$B$7/100))+(((Inputs!$B$13*(1+Inputs!$B$14/100))-(Inputs!$B$13*(1+Inputs!$B$14/100)))+0.25*(Inputs!$B$15-Inputs!$B$15))*(1+Inputs!$B$7/100))*(F2269/100)</f>
        <v/>
      </c>
      <c r="K2269">
        <f>J2269*(1+(((Inputs!$B$13+IF(Inputs!$B$3&gt;=38,(10*INDEX(FactorTable!$B$2:$Y$301, MATCH(ROUND(MIN(300,MAX(1,Inputs!$B$3)),0), FactorTable!$A$2:$A$301,0), 23)/1000)/100*(Inputs!$B$8*(1+Inputs!$B$9/100)),0))*(1+Inputs!$B$14/100))*0.01+Inputs!$B$15*0.0025)/100)*(1+Inputs!$B$16/100)*(1+Inputs!$B$17/100)*(5000/(6000+Inputs!$B$43*(1-(Inputs!$B$20+0)/100)))*(1+(Inputs!$B$25+((C2282=TRUE)*(F2282-Calc!F25))+((C2283=TRUE)*(F2283-Calc!F26))+B2292)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2268=TRUE,F2268,0)/100)*(1+(IF(Skills!A12="DARK_IMPALE",Inputs!$B$18+0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gt;=100),MIN(100,((Inputs!$B$10+0+B2286+(ArtifactsInput!$M$24-ArtifactsInput!$M$24)*CHOOSE(ArtifactsInput!$N$24+1,10,12,14,16,18,20)+IF(ArtifactsInput!$M$10,CHOOSE(ArtifactsInput!$N$10+1,15,18,21,24,27,30)*(IF(Inputs!$B$39="pvp",MIN(15,15)/15,IF(AND(Inputs!$B$39&lt;&gt;"pvp",Inputs!$B$44&gt;0),MIN(15,Inputs!$B$44)/(Inputs!$B$44),0))),0)))-100),0))*CHOOSE(ArtifactsInput!$N$42+1,0.6,0.72,0.84,0.96,1.08,1.2))),Inputs!$B$19+((C2280=TRUE)*(F2280-Calc!F23))+(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gt;=100),CHOOSE(ArtifactsInput!$N$42+1,40,48,56,64,72,80),0))))/100)*((1+(((C2270=TRUE)*F2270*IF(AND(Inputs!$B$39&lt;&gt;"pvp",Inputs!$B$44&gt;0),(((R2270-1)*MIN((Skills!T13*(1+Inputs!$B$35/100)),(1/Q2270))+MIN((Skills!T13*(1+Inputs!$B$35/100)),MAX(0,Inputs!$B$44-((R2270-1)*(1/Q2270)))))/Inputs!$B$44),IF(Inputs!$B$39="pvp",MIN((Skills!T13*(1+Inputs!$B$35/100)),15)/15,MIN(1,(Skills!T13*(1+Inputs!$B$35/100))/(1/Q2270)))))+((C2271=TRUE)*F2271*IF(AND(Inputs!$B$39&lt;&gt;"pvp",Inputs!$B$44&gt;0),(((R2271-1)*MIN((Skills!T14*(1+Inputs!$B$35/100)),(1/Q2271))+MIN((Skills!T14*(1+Inputs!$B$35/100)),MAX(0,Inputs!$B$44-((R2271-1)*(1/Q2271)))))/Inputs!$B$44),IF(Inputs!$B$39="pvp",MIN((Skills!T14*(1+Inputs!$B$35/100)),15)/15,MIN(1,(Skills!T14*(1+Inputs!$B$35/100))/(1/Q2271)))))+((C2272=TRUE)*F2272*IF(AND(Inputs!$B$39&lt;&gt;"pvp",Inputs!$B$44&gt;0),(((R2272-1)*MIN((Skills!T15*(1+Inputs!$B$35/100)),(1/Q2272))+MIN((Skills!T15*(1+Inputs!$B$35/100)),MAX(0,Inputs!$B$44-((R2272-1)*(1/Q2272)))))/Inputs!$B$44),IF(Inputs!$B$39="pvp",MIN((Skills!T15*(1+Inputs!$B$35/100)),15)/15,MIN(1,(Skills!T15*(1+Inputs!$B$35/100))/(1/Q2272)))))+((C2273=TRUE)*F2273*IF(AND(Inputs!$B$39&lt;&gt;"pvp",Inputs!$B$44&gt;0),(((R2273-1)*MIN((Skills!T16*(1+Inputs!$B$35/100)),(1/Q2273))+MIN((Skills!T16*(1+Inputs!$B$35/100)),MAX(0,Inputs!$B$44-((R2273-1)*(1/Q2273)))))/Inputs!$B$44),IF(Inputs!$B$39="pvp",MIN((Skills!T16*(1+Inputs!$B$35/100)),15)/15,MIN(1,(Skills!T16*(1+Inputs!$B$35/100))/(1/Q2273)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2269)</f>
        <v/>
      </c>
      <c r="L2269">
        <f>K2269*(MIN(Inputs!$B$23+((C2279=TRUE)*(F2279-Calc!F22)),(Inputs!$B$24+((C2281=TRUE)*(F2281-Calc!F24))+(IF(ArtifactsInput!$M$15,CHOOSE(ArtifactsInput!$N$15+1,25,30,35,40,45,50)/100*(Inputs!$B$12-Inputs!$B$12),0))))/100+(Inputs!$B$24+((C2281=TRUE)*(F2281-Calc!F24))+(IF(ArtifactsInput!$M$15,CHOOSE(ArtifactsInput!$N$15+1,25,30,35,40,45,50)/100*(Inputs!$B$12-Inputs!$B$12),0)))/100)/2</f>
        <v/>
      </c>
      <c r="M2269">
        <f>L2269*(1+(Inputs!$B$11+0+B2291+(IF(ArtifactsInput!$M$24,CHOOSE(ArtifactsInput!$N$24+1,30,36,42,48,54,60)/100*(Inputs!$B$10-Inputs!$B$10),0)+IF(ArtifactsInput!$M$10,CHOOSE(ArtifactsInput!$N$10+1,20,24,28,32,36,40)*(IF(Inputs!$B$39="pvp",MIN(15,15)/15,IF(AND(Inputs!$B$39&lt;&gt;"pvp",Inputs!$B$44&gt;0),MIN(15,Inputs!$B$44)/(Inputs!$B$44),0))),0)+IF(IF(ArtifactsInput!$M$31,FALSE,TRUE),1.5*CHOOSE(ArtifactsInput!$N$31+1,20,24,28,32,36,40),0)))/100)</f>
        <v/>
      </c>
      <c r="N2269">
        <f>L2269*(1-MIN((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2269*(MIN((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69">
        <f>(1-Summary!$B$11)*T2269+Summary!$B$11*V2269</f>
        <v/>
      </c>
      <c r="P2269">
        <f>IF(B2296=0,0,O2269/B2296)</f>
        <v/>
      </c>
      <c r="Q2269">
        <f>IFERROR(1/IF(Inputs!$B$39="pvp",15,MAX(0.1,Skills!D12-IF(TRUE=TRUE,Inputs!$B$33,0))),0)</f>
        <v/>
      </c>
      <c r="R2269">
        <f>IF(AND(Inputs!$B$39&lt;&gt;"pvp",Inputs!$B$44&gt;0),IF(MAX(0,Inputs!$B$44-B2293)&lt;=0,0,(INT(MAX(0,Inputs!$B$44-B2293)/IF(Inputs!$B$39="pvp",15,MAX(0.1,Skills!D12-IF(TRUE=TRUE,Inputs!$B$33,0))))+1)),0)</f>
        <v/>
      </c>
      <c r="S2269">
        <f>IFERROR(O2269/N2269,0)</f>
        <v/>
      </c>
      <c r="T2269">
        <f>IF(C2269,(H2269*N2269*IF(AND(Inputs!$B$39&lt;&gt;"pvp",Inputs!$B$44&gt;0),((Skills!G12*((R2269-1)*IF(Skills!H12&gt;0,INT(Skills!I12/Skills!H12+0.000000001),1)+IF(Skills!H12&gt;0,INT(MIN(Skills!I12,MAX(0,MAX(0,Inputs!$B$44-B2293)-((R2269-1)*IF(Inputs!$B$39="pvp",15,MAX(0.1,Skills!D12-IF(TRUE=TRUE,Inputs!$B$33,0))))))/Skills!H12+0.000000001),1)))/Inputs!$B$44),G2269*Q2269))*IF(Inputs!$B$39="pvp",1,1+(Inputs!$B$21+0+Skills!P12+((C2274=TRUE)*F2274*IF(AND(Inputs!$B$39&lt;&gt;"pvp",Inputs!$B$44&gt;0),(((R2274-1)*MIN((Skills!T17*(1+Inputs!$B$35/100)),(1/Q2274))+MIN((Skills!T17*(1+Inputs!$B$35/100)),MAX(0,Inputs!$B$44-((R2274-1)*(1/Q2274)))))/Inputs!$B$44),IF(Inputs!$B$39="pvp",MIN((Skills!T17*(1+Inputs!$B$35/100)),15)/15,MIN(1,(Skills!T17*(1+Inputs!$B$35/100))/(1/Q2274)))))+((C2262=TRUE)*IF(Inputs!$B$3&gt;=126,10*MIN(1,15*Q2262),0))+((C2271=TRUE)*IF(Inputs!$B$39="pvp",20,(1-Summary!$B$11)*(20)+Summary!$B$11*(0))*IF(AND(Inputs!$B$39&lt;&gt;"pvp",Inputs!$B$44&gt;0),(((R2271-1)*MIN((Skills!T14*(1+Inputs!$B$35/100)),(1/Q2271))+MIN((Skills!T14*(1+Inputs!$B$35/100)),MAX(0,Inputs!$B$44-((R2271-1)*(1/Q2271)))))/Inputs!$B$44),IF(Inputs!$B$39="pvp",MIN((Skills!T14*(1+Inputs!$B$35/100)),15)/15,MIN(1,(Skills!T14*(1+Inputs!$B$35/100))/(1/Q2271)))))+((C2270=TRUE)*IF(Inputs!$B$3&gt;=82,IF(Inputs!$B$39="pvp",20,(1-Summary!$B$11)*(20)+Summary!$B$11*(0)),0)*IF(AND(Inputs!$B$39&lt;&gt;"pvp",Inputs!$B$44&gt;0),(((R2270-1)*MIN((Skills!T13*(1+Inputs!$B$35/100)),(1/Q2270))+MIN((Skills!T13*(1+Inputs!$B$35/100)),MAX(0,Inputs!$B$44-((R2270-1)*(1/Q2270)))))/Inputs!$B$44),IF(Inputs!$B$39="pvp",MIN((Skills!T13*(1+Inputs!$B$35/100)),15)/15,MIN(1,(Skills!T13*(1+Inputs!$B$35/100))/(1/Q2270)))))+(IF(AND(ArtifactsInput!$M$35,Inputs!$B$4&lt;&gt;"Chapter Hunt"),CHOOSE(ArtifactsInput!$N$35+1,15,18,21,24,27,30)*(1-EXP(-(0.2*B2288)*5)),0)+IF(AND(ArtifactsInput!$M$22,Inputs!$B$4&lt;&gt;"Chapter Hunt"),CHOOSE(ArtifactsInput!$N$22+1,10,12,14,16,18,20)*((0*(((0.15*B2288*5))^0/1)+1*(((0.15*B2288*5))^1/1)+2*(((0.15*B2288*5))^2/2)+3*(((0.15*B2288*5))^3/6)+4*(((0.15*B2288*5))^4/24)+5*(((0.15*B2288*5))^5/120))/((((0.15*B2288*5))^0/1)+(((0.15*B2288*5))^1/1)+(((0.15*B2288*5))^2/2)+(((0.15*B2288*5))^3/6)+(((0.15*B2288*5))^4/24)+(((0.15*B2288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2269*(1-MIN(100,(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2269*(MIN(100,(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2269*(1-MIN(100,(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2269*(MIN(100,(Inputs!$B$10+0+B2286+(ArtifactsInput!$M$24-ArtifactsInput!$M$24)*CHOOSE(ArtifactsInput!$N$24+1,10,12,14,16,18,20)+(IF(AND(Inputs!$B$39&lt;&gt;"pvp",Inputs!$B$44=0),1,IF(IF(Inputs!$B$39="pvp",15,Inputs!$B$44)-(B2293)&lt;=0,1,MAX(0,IF(Inputs!$B$39="pvp",15,Inputs!$B$44)-MAX(5,B2293))/(IF(Inputs!$B$39="pvp",15,Inputs!$B$44)-(B2293))))*IF(AND(ArtifactsInput!$M$42,((Inputs!$B$10+0+B2286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269">
        <f>IF(C2269,(H2269*N2269*IF(AND(Inputs!$B$39&lt;&gt;"pvp",Inputs!$B$44&gt;0),((Skills!G12*((R2269-1)*IF(Skills!H12&gt;0,INT(Skills!I12/Skills!H12+0.000000001),1)+IF(Skills!H12&gt;0,INT(MIN(Skills!I12,MAX(0,MAX(0,Inputs!$B$44-B2293)-((R2269-1)*IF(Inputs!$B$39="pvp",15,MAX(0.1,Skills!D12-IF(TRUE=TRUE,Inputs!$B$33,0))))))/Skills!H12+0.000000001),1)))/Inputs!$B$44),G2269*Q2269))*IF(Inputs!$B$39="pvp",1,(1+(Inputs!$B$22+Skills!Q12+((C2274=TRUE)*F2274*IF(AND(Inputs!$B$39&lt;&gt;"pvp",Inputs!$B$44&gt;0),(((R2274-1)*MIN((Skills!T17*(1+Inputs!$B$35/100)),(1/Q2274))+MIN((Skills!T17*(1+Inputs!$B$35/100)),MAX(0,Inputs!$B$44-((R2274-1)*(1/Q2274)))))/Inputs!$B$44),IF(Inputs!$B$39="pvp",MIN((Skills!T17*(1+Inputs!$B$35/100)),15)/15,MIN(1,(Skills!T17*(1+Inputs!$B$35/100))/(1/Q2274)))))+((C2262=TRUE)*IF(Inputs!$B$3&gt;=126,10*MIN(1,15*Q2262),0))+((C2271=TRUE)*IF(Inputs!$B$39="pvp",20,(1-Summary!$B$11)*(20)+Summary!$B$11*(0))*IF(AND(Inputs!$B$39&lt;&gt;"pvp",Inputs!$B$44&gt;0),(((R2271-1)*MIN((Skills!T14*(1+Inputs!$B$35/100)),(1/Q2271))+MIN((Skills!T14*(1+Inputs!$B$35/100)),MAX(0,Inputs!$B$44-((R2271-1)*(1/Q2271)))))/Inputs!$B$44),IF(Inputs!$B$39="pvp",MIN((Skills!T14*(1+Inputs!$B$35/100)),15)/15,MIN(1,(Skills!T14*(1+Inputs!$B$35/100))/(1/Q2271)))))+((C2270=TRUE)*IF(Inputs!$B$3&gt;=82,IF(Inputs!$B$39="pvp",20,(1-Summary!$B$11)*(20)+Summary!$B$11*(0)),0)*IF(AND(Inputs!$B$39&lt;&gt;"pvp",Inputs!$B$44&gt;0),(((R2270-1)*MIN((Skills!T13*(1+Inputs!$B$35/100)),(1/Q2270))+MIN((Skills!T13*(1+Inputs!$B$35/100)),MAX(0,Inputs!$B$44-((R2270-1)*(1/Q2270)))))/Inputs!$B$44),IF(Inputs!$B$39="pvp",MIN((Skills!T13*(1+Inputs!$B$35/100)),15)/15,MIN(1,(Skills!T13*(1+Inputs!$B$35/100))/(1/Q2270)))))+(IF(AND(ArtifactsInput!$M$35,Inputs!$B$4&lt;&gt;"Chapter Hunt"),CHOOSE(ArtifactsInput!$N$35+1,15,18,21,24,27,30)*(1-EXP(-(0.2*B2288)*5)),0)+IF(AND(ArtifactsInput!$M$22,Inputs!$B$4&lt;&gt;"Chapter Hunt"),CHOOSE(ArtifactsInput!$N$22+1,10,12,14,16,18,20)*((0*(((0.15*B2288*5))^0/1)+1*(((0.15*B2288*5))^1/1)+2*(((0.15*B2288*5))^2/2)+3*(((0.15*B2288*5))^3/6)+4*(((0.15*B2288*5))^4/24)+5*(((0.15*B2288*5))^5/120))/((((0.15*B2288*5))^0/1)+(((0.15*B2288*5))^1/1)+(((0.15*B2288*5))^2/2)+(((0.15*B2288*5))^3/6)+(((0.15*B2288*5))^4/24)+(((0.15*B2288*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70">
      <c r="A2270">
        <f>Skills!A13</f>
        <v/>
      </c>
      <c r="B2270">
        <f>Skills!B13</f>
        <v/>
      </c>
      <c r="C2270">
        <f>Inputs!$B$3&gt;=69</f>
        <v/>
      </c>
      <c r="D2270">
        <f>IF(Skills!C13=1,60+Inputs!$B$26+Inputs!$B$30,IF(Skills!C13=2,90+Inputs!$B$27+Inputs!$B$30,IF(Skills!C13=3,120+Inputs!$B$28+Inputs!$B$30,MAX(0,(Inputs!$B$3-100)*3)+Inputs!$B$29+Inputs!$B$30)))</f>
        <v/>
      </c>
      <c r="E2270">
        <f>INDEX(FactorTable!$B$2:$Y$301, MATCH(ROUND(MIN(300,MAX(1,D2270)),0), FactorTable!$A$2:$A$301,0), Skills!M13+1)</f>
        <v/>
      </c>
      <c r="F2270">
        <f>IF(Skills!N13=TRUE,(Skills!L13/10)*(E2270/1000),Skills!L13/10)+Skills!O13</f>
        <v/>
      </c>
      <c r="G2270">
        <f>Skills!G13*IF(Skills!H13&gt;0,INT(IF(Inputs!$B$39="pvp",MIN(Skills!I13,15),Skills!I13)/Skills!H13+0.000000001),1)</f>
        <v/>
      </c>
      <c r="H2270">
        <f>1-(1-Skills!J13/100)^Skills!K13</f>
        <v/>
      </c>
      <c r="I2270" t="inlineStr">
        <is>
          <t>1</t>
        </is>
      </c>
      <c r="J2270" t="inlineStr"/>
      <c r="K2270" t="inlineStr"/>
      <c r="L2270" t="inlineStr"/>
      <c r="M2270" t="inlineStr"/>
      <c r="N2270" t="inlineStr"/>
      <c r="O2270">
        <f>(1-Summary!$B$11)*T2270+Summary!$B$11*V2270</f>
        <v/>
      </c>
      <c r="P2270">
        <f>IF(B2296=0,0,O2270/B2296)</f>
        <v/>
      </c>
      <c r="Q2270">
        <f>IFERROR(1/IF(Inputs!$B$39="pvp",15,MAX(0.1,Skills!D13-IF(TRUE=TRUE,Inputs!$B$33,0))),0)</f>
        <v/>
      </c>
      <c r="R2270">
        <f>IF(AND(Inputs!$B$39&lt;&gt;"pvp",Inputs!$B$44&gt;0),IF(Inputs!$B$44&lt;=0,0,(INT(Inputs!$B$44/IF(Inputs!$B$39="pvp",15,MAX(0.1,Skills!D13-IF(TRUE=TRUE,Inputs!$B$33,0))))+1)),0)</f>
        <v/>
      </c>
      <c r="S2270">
        <f>IFERROR(O2270/N2270,0)</f>
        <v/>
      </c>
      <c r="T2270" t="n">
        <v>0</v>
      </c>
      <c r="V2270" t="n">
        <v>0</v>
      </c>
    </row>
    <row r="2271">
      <c r="A2271">
        <f>Skills!A14</f>
        <v/>
      </c>
      <c r="B2271">
        <f>Skills!B14</f>
        <v/>
      </c>
      <c r="C2271">
        <f>Inputs!$B$3&gt;=115</f>
        <v/>
      </c>
      <c r="D2271">
        <f>IF(Skills!C14=1,60+Inputs!$B$26+Inputs!$B$30,IF(Skills!C14=2,90+Inputs!$B$27+Inputs!$B$30,IF(Skills!C14=3,120+Inputs!$B$28+Inputs!$B$30,MAX(0,(Inputs!$B$3-100)*3)+Inputs!$B$29+Inputs!$B$30)))</f>
        <v/>
      </c>
      <c r="E2271">
        <f>INDEX(FactorTable!$B$2:$Y$301, MATCH(ROUND(MIN(300,MAX(1,D2271)),0), FactorTable!$A$2:$A$301,0), Skills!M14+1)</f>
        <v/>
      </c>
      <c r="F2271">
        <f>IF(Skills!N14=TRUE,(Skills!L14/10)*(E2271/1000),Skills!L14/10)+Skills!O14</f>
        <v/>
      </c>
      <c r="G2271">
        <f>Skills!G14*IF(Skills!H14&gt;0,INT(IF(Inputs!$B$39="pvp",MIN(Skills!I14,15),Skills!I14)/Skills!H14+0.000000001),1)</f>
        <v/>
      </c>
      <c r="H2271">
        <f>1-(1-Skills!J14/100)^Skills!K14</f>
        <v/>
      </c>
      <c r="I2271" t="inlineStr">
        <is>
          <t>1</t>
        </is>
      </c>
      <c r="J2271" t="inlineStr"/>
      <c r="K2271" t="inlineStr"/>
      <c r="L2271" t="inlineStr"/>
      <c r="M2271" t="inlineStr"/>
      <c r="N2271" t="inlineStr"/>
      <c r="O2271">
        <f>(1-Summary!$B$11)*T2271+Summary!$B$11*V2271</f>
        <v/>
      </c>
      <c r="P2271">
        <f>IF(B2296=0,0,O2271/B2296)</f>
        <v/>
      </c>
      <c r="Q2271">
        <f>IFERROR(1/IF(Inputs!$B$39="pvp",15,MAX(0.1,Skills!D14-IF(TRUE=TRUE,Inputs!$B$33,0))),0)</f>
        <v/>
      </c>
      <c r="R2271">
        <f>IF(AND(Inputs!$B$39&lt;&gt;"pvp",Inputs!$B$44&gt;0),IF(Inputs!$B$44&lt;=0,0,(INT(Inputs!$B$44/IF(Inputs!$B$39="pvp",15,MAX(0.1,Skills!D14-IF(TRUE=TRUE,Inputs!$B$33,0))))+1)),0)</f>
        <v/>
      </c>
      <c r="S2271">
        <f>IFERROR(O2271/N2271,0)</f>
        <v/>
      </c>
      <c r="T2271" t="n">
        <v>0</v>
      </c>
      <c r="V2271" t="n">
        <v>0</v>
      </c>
    </row>
    <row r="2272">
      <c r="A2272">
        <f>Skills!A15</f>
        <v/>
      </c>
      <c r="B2272">
        <f>Skills!B15</f>
        <v/>
      </c>
      <c r="C2272">
        <f>Inputs!$B$3&gt;=66</f>
        <v/>
      </c>
      <c r="D2272">
        <f>IF(Skills!C15=1,60+Inputs!$B$26+Inputs!$B$30,IF(Skills!C15=2,90+Inputs!$B$27+Inputs!$B$30,IF(Skills!C15=3,120+Inputs!$B$28+Inputs!$B$30,MAX(0,(Inputs!$B$3-100)*3)+Inputs!$B$29+Inputs!$B$30)))</f>
        <v/>
      </c>
      <c r="E2272">
        <f>INDEX(FactorTable!$B$2:$Y$301, MATCH(ROUND(MIN(300,MAX(1,D2272)),0), FactorTable!$A$2:$A$301,0), Skills!M15+1)</f>
        <v/>
      </c>
      <c r="F2272">
        <f>IF(Skills!N15=TRUE,(Skills!L15/10)*(E2272/1000),Skills!L15/10)+Skills!O15</f>
        <v/>
      </c>
      <c r="G2272">
        <f>Skills!G15*IF(Skills!H15&gt;0,INT(IF(Inputs!$B$39="pvp",MIN(Skills!I15,15),Skills!I15)/Skills!H15+0.000000001),1)</f>
        <v/>
      </c>
      <c r="H2272">
        <f>1-(1-Skills!J15/100)^Skills!K15</f>
        <v/>
      </c>
      <c r="I2272" t="inlineStr">
        <is>
          <t>1</t>
        </is>
      </c>
      <c r="J2272" t="inlineStr"/>
      <c r="K2272" t="inlineStr"/>
      <c r="L2272" t="inlineStr"/>
      <c r="M2272" t="inlineStr"/>
      <c r="N2272" t="inlineStr"/>
      <c r="O2272">
        <f>(1-Summary!$B$11)*T2272+Summary!$B$11*V2272</f>
        <v/>
      </c>
      <c r="P2272">
        <f>IF(B2296=0,0,O2272/B2296)</f>
        <v/>
      </c>
      <c r="Q2272">
        <f>IFERROR(1/IF(Inputs!$B$39="pvp",15,MAX(0.1,Skills!D15-IF(TRUE=TRUE,Inputs!$B$33,0))),0)</f>
        <v/>
      </c>
      <c r="R2272">
        <f>IF(AND(Inputs!$B$39&lt;&gt;"pvp",Inputs!$B$44&gt;0),IF(Inputs!$B$44&lt;=0,0,(INT(Inputs!$B$44/IF(Inputs!$B$39="pvp",15,MAX(0.1,Skills!D15-IF(TRUE=TRUE,Inputs!$B$33,0))))+1)),0)</f>
        <v/>
      </c>
      <c r="S2272">
        <f>IFERROR(O2272/N2272,0)</f>
        <v/>
      </c>
      <c r="T2272" t="n">
        <v>0</v>
      </c>
      <c r="V2272" t="n">
        <v>0</v>
      </c>
    </row>
    <row r="2273">
      <c r="A2273">
        <f>Skills!A16</f>
        <v/>
      </c>
      <c r="B2273">
        <f>Skills!B16</f>
        <v/>
      </c>
      <c r="C2273">
        <f>Inputs!$B$3&gt;=45</f>
        <v/>
      </c>
      <c r="D2273">
        <f>IF(Skills!C16=1,60+Inputs!$B$26+Inputs!$B$30,IF(Skills!C16=2,90+Inputs!$B$27+Inputs!$B$30,IF(Skills!C16=3,120+Inputs!$B$28+Inputs!$B$30,MAX(0,(Inputs!$B$3-100)*3)+Inputs!$B$29+Inputs!$B$30)))</f>
        <v/>
      </c>
      <c r="E2273">
        <f>INDEX(FactorTable!$B$2:$Y$301, MATCH(ROUND(MIN(300,MAX(1,D2273)),0), FactorTable!$A$2:$A$301,0), Skills!M16+1)</f>
        <v/>
      </c>
      <c r="F2273">
        <f>IF(Skills!N16=TRUE,(Skills!L16/10)*(E2273/1000),Skills!L16/10)+Skills!O16</f>
        <v/>
      </c>
      <c r="G2273">
        <f>Skills!G16*IF(Skills!H16&gt;0,INT(IF(Inputs!$B$39="pvp",MIN(Skills!I16,15),Skills!I16)/Skills!H16+0.000000001),1)</f>
        <v/>
      </c>
      <c r="H2273">
        <f>1-(1-Skills!J16/100)^Skills!K16</f>
        <v/>
      </c>
      <c r="I2273" t="inlineStr">
        <is>
          <t>1</t>
        </is>
      </c>
      <c r="J2273" t="inlineStr"/>
      <c r="K2273" t="inlineStr"/>
      <c r="L2273" t="inlineStr"/>
      <c r="M2273" t="inlineStr"/>
      <c r="N2273" t="inlineStr"/>
      <c r="O2273">
        <f>(1-Summary!$B$11)*T2273+Summary!$B$11*V2273</f>
        <v/>
      </c>
      <c r="P2273">
        <f>IF(B2296=0,0,O2273/B2296)</f>
        <v/>
      </c>
      <c r="Q2273">
        <f>IFERROR(1/IF(Inputs!$B$39="pvp",15,MAX(0.1,Skills!D16-IF(TRUE=TRUE,Inputs!$B$33,0))),0)</f>
        <v/>
      </c>
      <c r="R2273">
        <f>IF(AND(Inputs!$B$39&lt;&gt;"pvp",Inputs!$B$44&gt;0),IF(Inputs!$B$44&lt;=0,0,(INT(Inputs!$B$44/IF(Inputs!$B$39="pvp",15,MAX(0.1,Skills!D16-IF(TRUE=TRUE,Inputs!$B$33,0))))+1)),0)</f>
        <v/>
      </c>
      <c r="S2273">
        <f>IFERROR(O2273/N2273,0)</f>
        <v/>
      </c>
      <c r="T2273" t="n">
        <v>0</v>
      </c>
      <c r="V2273" t="n">
        <v>0</v>
      </c>
    </row>
    <row r="2274">
      <c r="A2274">
        <f>Skills!A17</f>
        <v/>
      </c>
      <c r="B2274">
        <f>Skills!B17</f>
        <v/>
      </c>
      <c r="C2274">
        <f>Inputs!$B$3&gt;=35</f>
        <v/>
      </c>
      <c r="D2274">
        <f>IF(Skills!C17=1,60+Inputs!$B$26+Inputs!$B$30,IF(Skills!C17=2,90+Inputs!$B$27+Inputs!$B$30,IF(Skills!C17=3,120+Inputs!$B$28+Inputs!$B$30,MAX(0,(Inputs!$B$3-100)*3)+Inputs!$B$29+Inputs!$B$30)))</f>
        <v/>
      </c>
      <c r="E2274">
        <f>INDEX(FactorTable!$B$2:$Y$301, MATCH(ROUND(MIN(300,MAX(1,D2274)),0), FactorTable!$A$2:$A$301,0), Skills!M17+1)</f>
        <v/>
      </c>
      <c r="F2274">
        <f>IF(Skills!N17=TRUE,(Skills!L17/10)*(E2274/1000),Skills!L17/10)+Skills!O17</f>
        <v/>
      </c>
      <c r="G2274">
        <f>Skills!G17*IF(Skills!H17&gt;0,INT(IF(Inputs!$B$39="pvp",MIN(Skills!I17,15),Skills!I17)/Skills!H17+0.000000001),1)</f>
        <v/>
      </c>
      <c r="H2274">
        <f>1-(1-Skills!J17/100)^Skills!K17</f>
        <v/>
      </c>
      <c r="I2274" t="inlineStr">
        <is>
          <t>1</t>
        </is>
      </c>
      <c r="J2274" t="inlineStr"/>
      <c r="K2274" t="inlineStr"/>
      <c r="L2274" t="inlineStr"/>
      <c r="M2274" t="inlineStr"/>
      <c r="N2274" t="inlineStr"/>
      <c r="O2274">
        <f>(1-Summary!$B$11)*T2274+Summary!$B$11*V2274</f>
        <v/>
      </c>
      <c r="P2274">
        <f>IF(B2296=0,0,O2274/B2296)</f>
        <v/>
      </c>
      <c r="Q2274">
        <f>IFERROR(1/IF(Inputs!$B$39="pvp",15,MAX(0.1,Skills!D17-IF(TRUE=TRUE,Inputs!$B$33,0))),0)</f>
        <v/>
      </c>
      <c r="R2274">
        <f>IF(AND(Inputs!$B$39&lt;&gt;"pvp",Inputs!$B$44&gt;0),IF(Inputs!$B$44&lt;=0,0,(INT(Inputs!$B$44/IF(Inputs!$B$39="pvp",15,MAX(0.1,Skills!D17-IF(TRUE=TRUE,Inputs!$B$33,0))))+1)),0)</f>
        <v/>
      </c>
      <c r="S2274">
        <f>IFERROR(O2274/N2274,0)</f>
        <v/>
      </c>
      <c r="T2274" t="n">
        <v>0</v>
      </c>
      <c r="V2274" t="n">
        <v>0</v>
      </c>
    </row>
    <row r="2275">
      <c r="A2275">
        <f>Skills!A18</f>
        <v/>
      </c>
      <c r="B2275">
        <f>Skills!B18</f>
        <v/>
      </c>
      <c r="C2275">
        <f>Inputs!$B$3&gt;=72</f>
        <v/>
      </c>
      <c r="D2275">
        <f>IF(Skills!C18=1,60+Inputs!$B$26+Inputs!$B$30,IF(Skills!C18=2,90+Inputs!$B$27+Inputs!$B$30,IF(Skills!C18=3,120+Inputs!$B$28+Inputs!$B$30,MAX(0,(Inputs!$B$3-100)*3)+Inputs!$B$29+Inputs!$B$30)))</f>
        <v/>
      </c>
      <c r="E2275">
        <f>INDEX(FactorTable!$B$2:$Y$301, MATCH(ROUND(MIN(300,MAX(1,D2275)),0), FactorTable!$A$2:$A$301,0), Skills!M18+1)</f>
        <v/>
      </c>
      <c r="F2275">
        <f>IF(Skills!N18=TRUE,(Skills!L18/10)*(E2275/1000),Skills!L18/10)+Skills!O18</f>
        <v/>
      </c>
      <c r="G2275">
        <f>Skills!G18*IF(Skills!H18&gt;0,INT(IF(Inputs!$B$39="pvp",MIN(Skills!I18,15),Skills!I18)/Skills!H18+0.000000001),1)</f>
        <v/>
      </c>
      <c r="H2275">
        <f>1-(1-Skills!J18/100)^Skills!K18</f>
        <v/>
      </c>
      <c r="I2275" t="inlineStr">
        <is>
          <t>1</t>
        </is>
      </c>
      <c r="J2275" t="inlineStr"/>
      <c r="K2275" t="inlineStr"/>
      <c r="L2275" t="inlineStr"/>
      <c r="M2275" t="inlineStr"/>
      <c r="N2275" t="inlineStr"/>
      <c r="O2275">
        <f>(1-Summary!$B$11)*T2275+Summary!$B$11*V2275</f>
        <v/>
      </c>
      <c r="P2275">
        <f>IF(B2296=0,0,O2275/B2296)</f>
        <v/>
      </c>
      <c r="Q2275">
        <f>IFERROR(1/IF(Inputs!$B$39="pvp",15,MAX(0.1,Skills!D18-IF(TRUE=TRUE,Inputs!$B$33,0))),0)</f>
        <v/>
      </c>
      <c r="R2275">
        <f>IF(AND(Inputs!$B$39&lt;&gt;"pvp",Inputs!$B$44&gt;0),IF(Inputs!$B$44&lt;=0,0,(INT(Inputs!$B$44/IF(Inputs!$B$39="pvp",15,MAX(0.1,Skills!D18-IF(TRUE=TRUE,Inputs!$B$33,0))))+1)),0)</f>
        <v/>
      </c>
      <c r="S2275">
        <f>IFERROR(O2275/N2275,0)</f>
        <v/>
      </c>
      <c r="T2275" t="n">
        <v>0</v>
      </c>
      <c r="V2275" t="n">
        <v>0</v>
      </c>
    </row>
    <row r="2276">
      <c r="A2276">
        <f>Skills!A19</f>
        <v/>
      </c>
      <c r="B2276">
        <f>Skills!B19</f>
        <v/>
      </c>
      <c r="C2276">
        <f>Inputs!$B$3&gt;=72</f>
        <v/>
      </c>
      <c r="D2276">
        <f>IF(Skills!C19=1,60+Inputs!$B$26+Inputs!$B$30,IF(Skills!C19=2,90+Inputs!$B$27+Inputs!$B$30,IF(Skills!C19=3,120+Inputs!$B$28+Inputs!$B$30,MAX(0,(Inputs!$B$3-100)*3)+Inputs!$B$29+Inputs!$B$30)))</f>
        <v/>
      </c>
      <c r="E2276">
        <f>INDEX(FactorTable!$B$2:$Y$301, MATCH(ROUND(MIN(300,MAX(1,D2276)),0), FactorTable!$A$2:$A$301,0), Skills!M19+1)</f>
        <v/>
      </c>
      <c r="F2276">
        <f>IF(Skills!N19=TRUE,(Skills!L19/10)*(E2276/1000),Skills!L19/10)+Skills!O19</f>
        <v/>
      </c>
      <c r="G2276">
        <f>Skills!G19*IF(Skills!H19&gt;0,INT(IF(Inputs!$B$39="pvp",MIN(Skills!I19,15),Skills!I19)/Skills!H19+0.000000001),1)</f>
        <v/>
      </c>
      <c r="H2276">
        <f>1-(1-Skills!J19/100)^Skills!K19</f>
        <v/>
      </c>
      <c r="I2276" t="inlineStr">
        <is>
          <t>1</t>
        </is>
      </c>
      <c r="J2276" t="inlineStr"/>
      <c r="K2276" t="inlineStr"/>
      <c r="L2276" t="inlineStr"/>
      <c r="M2276" t="inlineStr"/>
      <c r="N2276" t="inlineStr"/>
      <c r="O2276">
        <f>(1-Summary!$B$11)*T2276+Summary!$B$11*V2276</f>
        <v/>
      </c>
      <c r="P2276">
        <f>IF(B2296=0,0,O2276/B2296)</f>
        <v/>
      </c>
      <c r="Q2276">
        <f>IFERROR(1/IF(Inputs!$B$39="pvp",15,MAX(0.1,Skills!D19-IF(TRUE=TRUE,Inputs!$B$33,0))),0)</f>
        <v/>
      </c>
      <c r="R2276">
        <f>IF(AND(Inputs!$B$39&lt;&gt;"pvp",Inputs!$B$44&gt;0),IF(Inputs!$B$44&lt;=0,0,(INT(Inputs!$B$44/IF(Inputs!$B$39="pvp",15,MAX(0.1,Skills!D19-IF(TRUE=TRUE,Inputs!$B$33,0))))+1)),0)</f>
        <v/>
      </c>
      <c r="S2276">
        <f>IFERROR(O2276/N2276,0)</f>
        <v/>
      </c>
      <c r="T2276" t="n">
        <v>0</v>
      </c>
      <c r="V2276" t="n">
        <v>0</v>
      </c>
    </row>
    <row r="2277">
      <c r="A2277">
        <f>Skills!A20</f>
        <v/>
      </c>
      <c r="B2277">
        <f>Skills!B20</f>
        <v/>
      </c>
      <c r="C2277">
        <f>TRUE</f>
        <v/>
      </c>
      <c r="D2277">
        <f>IF(Skills!C20=1,60+Inputs!$B$26+Inputs!$B$30,IF(Skills!C20=2,90+Inputs!$B$27+Inputs!$B$30,IF(Skills!C20=3,120+Inputs!$B$28+Inputs!$B$30,MAX(0,(Inputs!$B$3-100)*3)+Inputs!$B$29+Inputs!$B$30)))</f>
        <v/>
      </c>
      <c r="E2277">
        <f>INDEX(FactorTable!$B$2:$Y$301, MATCH(ROUND(MIN(300,MAX(1,D2277)),0), FactorTable!$A$2:$A$301,0), Skills!M20+1)</f>
        <v/>
      </c>
      <c r="F2277">
        <f>IF(Skills!N20=TRUE,(Skills!L20/10)*(E2277/1000),Skills!L20/10)+Skills!O20</f>
        <v/>
      </c>
      <c r="G2277">
        <f>Skills!G20*IF(Skills!H20&gt;0,INT(IF(Inputs!$B$39="pvp",MIN(Skills!I20,15),Skills!I20)/Skills!H20+0.000000001),1)</f>
        <v/>
      </c>
      <c r="H2277">
        <f>1-(1-Skills!J20/100)^Skills!K20</f>
        <v/>
      </c>
      <c r="I2277" t="inlineStr">
        <is>
          <t>1</t>
        </is>
      </c>
      <c r="J2277" t="inlineStr"/>
      <c r="K2277" t="inlineStr"/>
      <c r="L2277" t="inlineStr"/>
      <c r="M2277" t="inlineStr"/>
      <c r="N2277" t="inlineStr"/>
      <c r="O2277">
        <f>(1-Summary!$B$11)*T2277+Summary!$B$11*V2277</f>
        <v/>
      </c>
      <c r="P2277">
        <f>IF(B2296=0,0,O2277/B2296)</f>
        <v/>
      </c>
      <c r="Q2277">
        <f>IFERROR(1/IF(Inputs!$B$39="pvp",15,MAX(0.1,Skills!D20-IF(TRUE=TRUE,Inputs!$B$33,0))),0)</f>
        <v/>
      </c>
      <c r="R2277">
        <f>IF(AND(Inputs!$B$39&lt;&gt;"pvp",Inputs!$B$44&gt;0),IF(Inputs!$B$44&lt;=0,0,(INT(Inputs!$B$44/IF(Inputs!$B$39="pvp",15,MAX(0.1,Skills!D20-IF(TRUE=TRUE,Inputs!$B$33,0))))+1)),0)</f>
        <v/>
      </c>
      <c r="S2277">
        <f>IFERROR(O2277/N2277,0)</f>
        <v/>
      </c>
      <c r="T2277" t="n">
        <v>0</v>
      </c>
      <c r="V2277" t="n">
        <v>0</v>
      </c>
    </row>
    <row r="2278">
      <c r="A2278">
        <f>Skills!A21</f>
        <v/>
      </c>
      <c r="B2278">
        <f>Skills!B21</f>
        <v/>
      </c>
      <c r="C2278">
        <f>Inputs!$B$3&gt;=33</f>
        <v/>
      </c>
      <c r="D2278">
        <f>IF(Skills!C21=1,60+Inputs!$B$26+Inputs!$B$30,IF(Skills!C21=2,90+Inputs!$B$27+Inputs!$B$30,IF(Skills!C21=3,120+Inputs!$B$28+Inputs!$B$30,MAX(0,(Inputs!$B$3-100)*3)+Inputs!$B$29+Inputs!$B$30)))</f>
        <v/>
      </c>
      <c r="E2278">
        <f>INDEX(FactorTable!$B$2:$Y$301, MATCH(ROUND(MIN(300,MAX(1,D2278)),0), FactorTable!$A$2:$A$301,0), Skills!M21+1)</f>
        <v/>
      </c>
      <c r="F2278">
        <f>IF(Skills!N21=TRUE,(Skills!L21/10)*(E2278/1000),Skills!L21/10)+Skills!O21</f>
        <v/>
      </c>
      <c r="G2278">
        <f>Skills!G21*IF(Skills!H21&gt;0,INT(IF(Inputs!$B$39="pvp",MIN(Skills!I21,15),Skills!I21)/Skills!H21+0.000000001),1)</f>
        <v/>
      </c>
      <c r="H2278">
        <f>1-(1-Skills!J21/100)^Skills!K21</f>
        <v/>
      </c>
      <c r="I2278" t="inlineStr">
        <is>
          <t>1</t>
        </is>
      </c>
      <c r="J2278" t="inlineStr"/>
      <c r="K2278" t="inlineStr"/>
      <c r="L2278" t="inlineStr"/>
      <c r="M2278" t="inlineStr"/>
      <c r="N2278" t="inlineStr"/>
      <c r="O2278">
        <f>(1-Summary!$B$11)*T2278+Summary!$B$11*V2278</f>
        <v/>
      </c>
      <c r="P2278">
        <f>IF(B2296=0,0,O2278/B2296)</f>
        <v/>
      </c>
      <c r="Q2278" t="n">
        <v>0</v>
      </c>
      <c r="R2278" t="n">
        <v>0</v>
      </c>
      <c r="S2278">
        <f>IFERROR(O2278/N2278,0)</f>
        <v/>
      </c>
      <c r="T2278" t="n">
        <v>0</v>
      </c>
      <c r="V2278" t="n">
        <v>0</v>
      </c>
    </row>
    <row r="2279">
      <c r="A2279">
        <f>Skills!A22</f>
        <v/>
      </c>
      <c r="B2279">
        <f>Skills!B22</f>
        <v/>
      </c>
      <c r="C2279">
        <f>Inputs!$B$3&gt;=43</f>
        <v/>
      </c>
      <c r="D2279">
        <f>IF(Skills!C22=1,60+Inputs!$B$26+Inputs!$B$30,IF(Skills!C22=2,90+Inputs!$B$27+Inputs!$B$30,IF(Skills!C22=3,120+Inputs!$B$28+Inputs!$B$30,MAX(0,(Inputs!$B$3-100)*3)+Inputs!$B$29+Inputs!$B$30)))</f>
        <v/>
      </c>
      <c r="E2279">
        <f>INDEX(FactorTable!$B$2:$Y$301, MATCH(ROUND(MIN(300,MAX(1,D2279)),0), FactorTable!$A$2:$A$301,0), Skills!M22+1)</f>
        <v/>
      </c>
      <c r="F2279">
        <f>IF(Skills!N22=TRUE,(Skills!L22/10)*(E2279/1000),Skills!L22/10)+Skills!O22</f>
        <v/>
      </c>
      <c r="G2279">
        <f>Skills!G22*IF(Skills!H22&gt;0,INT(IF(Inputs!$B$39="pvp",MIN(Skills!I22,15),Skills!I22)/Skills!H22+0.000000001),1)</f>
        <v/>
      </c>
      <c r="H2279">
        <f>1-(1-Skills!J22/100)^Skills!K22</f>
        <v/>
      </c>
      <c r="I2279" t="inlineStr">
        <is>
          <t>1</t>
        </is>
      </c>
      <c r="J2279" t="inlineStr"/>
      <c r="K2279" t="inlineStr"/>
      <c r="L2279" t="inlineStr"/>
      <c r="M2279" t="inlineStr"/>
      <c r="N2279" t="inlineStr"/>
      <c r="O2279">
        <f>(1-Summary!$B$11)*T2279+Summary!$B$11*V2279</f>
        <v/>
      </c>
      <c r="P2279">
        <f>IF(B2296=0,0,O2279/B2296)</f>
        <v/>
      </c>
      <c r="Q2279" t="n">
        <v>0</v>
      </c>
      <c r="R2279" t="n">
        <v>0</v>
      </c>
      <c r="S2279">
        <f>IFERROR(O2279/N2279,0)</f>
        <v/>
      </c>
      <c r="T2279" t="n">
        <v>0</v>
      </c>
      <c r="V2279" t="n">
        <v>0</v>
      </c>
    </row>
    <row r="2280">
      <c r="A2280">
        <f>Skills!A23</f>
        <v/>
      </c>
      <c r="B2280">
        <f>Skills!B23</f>
        <v/>
      </c>
      <c r="C2280">
        <f>Inputs!$B$3&gt;=120</f>
        <v/>
      </c>
      <c r="D2280">
        <f>IF(Skills!C23=1,60+Inputs!$B$26+Inputs!$B$30,IF(Skills!C23=2,90+Inputs!$B$27+Inputs!$B$30,IF(Skills!C23=3,120+Inputs!$B$28+Inputs!$B$30,MAX(0,(Inputs!$B$3-100)*3)+Inputs!$B$29+Inputs!$B$30)))</f>
        <v/>
      </c>
      <c r="E2280">
        <f>INDEX(FactorTable!$B$2:$Y$301, MATCH(ROUND(MIN(300,MAX(1,D2280)),0), FactorTable!$A$2:$A$301,0), Skills!M23+1)</f>
        <v/>
      </c>
      <c r="F2280">
        <f>IF(Skills!N23=TRUE,(Skills!L23/10)*(E2280/1000),Skills!L23/10)+Skills!O23</f>
        <v/>
      </c>
      <c r="G2280">
        <f>Skills!G23*IF(Skills!H23&gt;0,INT(IF(Inputs!$B$39="pvp",MIN(Skills!I23,15),Skills!I23)/Skills!H23+0.000000001),1)</f>
        <v/>
      </c>
      <c r="H2280">
        <f>1-(1-Skills!J23/100)^Skills!K23</f>
        <v/>
      </c>
      <c r="I2280" t="inlineStr">
        <is>
          <t>1</t>
        </is>
      </c>
      <c r="J2280" t="inlineStr"/>
      <c r="K2280" t="inlineStr"/>
      <c r="L2280" t="inlineStr"/>
      <c r="M2280" t="inlineStr"/>
      <c r="N2280" t="inlineStr"/>
      <c r="O2280">
        <f>(1-Summary!$B$11)*T2280+Summary!$B$11*V2280</f>
        <v/>
      </c>
      <c r="P2280">
        <f>IF(B2296=0,0,O2280/B2296)</f>
        <v/>
      </c>
      <c r="Q2280" t="n">
        <v>0</v>
      </c>
      <c r="R2280" t="n">
        <v>0</v>
      </c>
      <c r="S2280">
        <f>IFERROR(O2280/N2280,0)</f>
        <v/>
      </c>
      <c r="T2280" t="n">
        <v>0</v>
      </c>
      <c r="V2280" t="n">
        <v>0</v>
      </c>
    </row>
    <row r="2281">
      <c r="A2281">
        <f>Skills!A24</f>
        <v/>
      </c>
      <c r="B2281">
        <f>Skills!B24</f>
        <v/>
      </c>
      <c r="C2281">
        <f>Inputs!$B$3&gt;=120</f>
        <v/>
      </c>
      <c r="D2281">
        <f>IF(Skills!C24=1,60+Inputs!$B$26+Inputs!$B$30,IF(Skills!C24=2,90+Inputs!$B$27+Inputs!$B$30,IF(Skills!C24=3,120+Inputs!$B$28+Inputs!$B$30,MAX(0,(Inputs!$B$3-100)*3)+Inputs!$B$29+Inputs!$B$30)))</f>
        <v/>
      </c>
      <c r="E2281">
        <f>INDEX(FactorTable!$B$2:$Y$301, MATCH(ROUND(MIN(300,MAX(1,D2281)),0), FactorTable!$A$2:$A$301,0), Skills!M24+1)</f>
        <v/>
      </c>
      <c r="F2281">
        <f>IF(Skills!N24=TRUE,(Skills!L24/10)*(E2281/1000),Skills!L24/10)+Skills!O24</f>
        <v/>
      </c>
      <c r="G2281">
        <f>Skills!G24*IF(Skills!H24&gt;0,INT(IF(Inputs!$B$39="pvp",MIN(Skills!I24,15),Skills!I24)/Skills!H24+0.000000001),1)</f>
        <v/>
      </c>
      <c r="H2281">
        <f>1-(1-Skills!J24/100)^Skills!K24</f>
        <v/>
      </c>
      <c r="I2281" t="inlineStr">
        <is>
          <t>1</t>
        </is>
      </c>
      <c r="J2281" t="inlineStr"/>
      <c r="K2281" t="inlineStr"/>
      <c r="L2281" t="inlineStr"/>
      <c r="M2281" t="inlineStr"/>
      <c r="N2281" t="inlineStr"/>
      <c r="O2281">
        <f>(1-Summary!$B$11)*T2281+Summary!$B$11*V2281</f>
        <v/>
      </c>
      <c r="P2281">
        <f>IF(B2296=0,0,O2281/B2296)</f>
        <v/>
      </c>
      <c r="Q2281" t="n">
        <v>0</v>
      </c>
      <c r="R2281" t="n">
        <v>0</v>
      </c>
      <c r="S2281">
        <f>IFERROR(O2281/N2281,0)</f>
        <v/>
      </c>
      <c r="T2281" t="n">
        <v>0</v>
      </c>
      <c r="V2281" t="n">
        <v>0</v>
      </c>
    </row>
    <row r="2282">
      <c r="A2282">
        <f>Skills!A25</f>
        <v/>
      </c>
      <c r="B2282">
        <f>Skills!B25</f>
        <v/>
      </c>
      <c r="C2282">
        <f>Inputs!$B$3&gt;=125</f>
        <v/>
      </c>
      <c r="D2282">
        <f>IF(Skills!C25=1,60+Inputs!$B$26+Inputs!$B$30,IF(Skills!C25=2,90+Inputs!$B$27+Inputs!$B$30,IF(Skills!C25=3,120+Inputs!$B$28+Inputs!$B$30,MAX(0,(Inputs!$B$3-100)*3)+Inputs!$B$29+Inputs!$B$30)))</f>
        <v/>
      </c>
      <c r="E2282">
        <f>INDEX(FactorTable!$B$2:$Y$301, MATCH(ROUND(MIN(300,MAX(1,D2282)),0), FactorTable!$A$2:$A$301,0), Skills!M25+1)</f>
        <v/>
      </c>
      <c r="F2282">
        <f>IF(Skills!N25=TRUE,(Skills!L25/10)*(E2282/1000),Skills!L25/10)+Skills!O25</f>
        <v/>
      </c>
      <c r="G2282">
        <f>Skills!G25*IF(Skills!H25&gt;0,INT(IF(Inputs!$B$39="pvp",MIN(Skills!I25,15),Skills!I25)/Skills!H25+0.000000001),1)</f>
        <v/>
      </c>
      <c r="H2282">
        <f>1-(1-Skills!J25/100)^Skills!K25</f>
        <v/>
      </c>
      <c r="I2282" t="inlineStr">
        <is>
          <t>1</t>
        </is>
      </c>
      <c r="J2282" t="inlineStr"/>
      <c r="K2282" t="inlineStr"/>
      <c r="L2282" t="inlineStr"/>
      <c r="M2282" t="inlineStr"/>
      <c r="N2282" t="inlineStr"/>
      <c r="O2282">
        <f>(1-Summary!$B$11)*T2282+Summary!$B$11*V2282</f>
        <v/>
      </c>
      <c r="P2282">
        <f>IF(B2296=0,0,O2282/B2296)</f>
        <v/>
      </c>
      <c r="Q2282" t="n">
        <v>0</v>
      </c>
      <c r="R2282" t="n">
        <v>0</v>
      </c>
      <c r="S2282">
        <f>IFERROR(O2282/N2282,0)</f>
        <v/>
      </c>
      <c r="T2282" t="n">
        <v>0</v>
      </c>
      <c r="V2282" t="n">
        <v>0</v>
      </c>
    </row>
    <row r="2283">
      <c r="A2283">
        <f>Skills!A26</f>
        <v/>
      </c>
      <c r="B2283">
        <f>Skills!B26</f>
        <v/>
      </c>
      <c r="C2283">
        <f>Inputs!$B$3&gt;=107</f>
        <v/>
      </c>
      <c r="D2283">
        <f>IF(Skills!C26=1,60+Inputs!$B$26+Inputs!$B$30,IF(Skills!C26=2,90+Inputs!$B$27+Inputs!$B$30,IF(Skills!C26=3,120+Inputs!$B$28+Inputs!$B$30,MAX(0,(Inputs!$B$3-100)*3)+Inputs!$B$29+Inputs!$B$30)))</f>
        <v/>
      </c>
      <c r="E2283">
        <f>INDEX(FactorTable!$B$2:$Y$301, MATCH(ROUND(MIN(300,MAX(1,D2283)),0), FactorTable!$A$2:$A$301,0), Skills!M26+1)</f>
        <v/>
      </c>
      <c r="F2283">
        <f>IF(Skills!N26=TRUE,(Skills!L26/10)*(E2283/1000),Skills!L26/10)+Skills!O26</f>
        <v/>
      </c>
      <c r="G2283">
        <f>Skills!G26*IF(Skills!H26&gt;0,INT(IF(Inputs!$B$39="pvp",MIN(Skills!I26,15),Skills!I26)/Skills!H26+0.000000001),1)</f>
        <v/>
      </c>
      <c r="H2283">
        <f>1-(1-Skills!J26/100)^Skills!K26</f>
        <v/>
      </c>
      <c r="I2283" t="inlineStr">
        <is>
          <t>1</t>
        </is>
      </c>
      <c r="J2283" t="inlineStr"/>
      <c r="K2283" t="inlineStr"/>
      <c r="L2283" t="inlineStr"/>
      <c r="M2283" t="inlineStr"/>
      <c r="N2283" t="inlineStr"/>
      <c r="O2283">
        <f>(1-Summary!$B$11)*T2283+Summary!$B$11*V2283</f>
        <v/>
      </c>
      <c r="P2283">
        <f>IF(B2296=0,0,O2283/B2296)</f>
        <v/>
      </c>
      <c r="Q2283" t="n">
        <v>0</v>
      </c>
      <c r="R2283" t="n">
        <v>0</v>
      </c>
      <c r="S2283">
        <f>IFERROR(O2283/N2283,0)</f>
        <v/>
      </c>
      <c r="T2283" t="n">
        <v>0</v>
      </c>
      <c r="V2283" t="n">
        <v>0</v>
      </c>
    </row>
    <row r="2285">
      <c r="A2285" t="inlineStr">
        <is>
          <t>Attack% Bucket Multiplier</t>
        </is>
      </c>
      <c r="B2285">
        <f>(1+(((C2270=TRUE)*F2270*IF(AND(Inputs!$B$39&lt;&gt;"pvp",Inputs!$B$44&gt;0),(((R2270-1)*MIN((Skills!T13*(1+Inputs!$B$35/100)),(1/Q2270))+MIN((Skills!T13*(1+Inputs!$B$35/100)),MAX(0,Inputs!$B$44-((R2270-1)*(1/Q2270)))))/Inputs!$B$44),IF(Inputs!$B$39="pvp",MIN((Skills!T13*(1+Inputs!$B$35/100)),15)/15,MIN(1,(Skills!T13*(1+Inputs!$B$35/100))/(1/Q2270)))))+((C2271=TRUE)*F2271*IF(AND(Inputs!$B$39&lt;&gt;"pvp",Inputs!$B$44&gt;0),(((R2271-1)*MIN((Skills!T14*(1+Inputs!$B$35/100)),(1/Q2271))+MIN((Skills!T14*(1+Inputs!$B$35/100)),MAX(0,Inputs!$B$44-((R2271-1)*(1/Q2271)))))/Inputs!$B$44),IF(Inputs!$B$39="pvp",MIN((Skills!T14*(1+Inputs!$B$35/100)),15)/15,MIN(1,(Skills!T14*(1+Inputs!$B$35/100))/(1/Q2271)))))+((C2272=TRUE)*F2272*IF(AND(Inputs!$B$39&lt;&gt;"pvp",Inputs!$B$44&gt;0),(((R2272-1)*MIN((Skills!T15*(1+Inputs!$B$35/100)),(1/Q2272))+MIN((Skills!T15*(1+Inputs!$B$35/100)),MAX(0,Inputs!$B$44-((R2272-1)*(1/Q2272)))))/Inputs!$B$44),IF(Inputs!$B$39="pvp",MIN((Skills!T15*(1+Inputs!$B$35/100)),15)/15,MIN(1,(Skills!T15*(1+Inputs!$B$35/100))/(1/Q2272)))))+((C2273=TRUE)*F2273*IF(AND(Inputs!$B$39&lt;&gt;"pvp",Inputs!$B$44&gt;0),(((R2273-1)*MIN((Skills!T16*(1+Inputs!$B$35/100)),(1/Q2273))+MIN((Skills!T16*(1+Inputs!$B$35/100)),MAX(0,Inputs!$B$44-((R2273-1)*(1/Q2273)))))/Inputs!$B$44),IF(Inputs!$B$39="pvp",MIN((Skills!T16*(1+Inputs!$B$35/100)),15)/15,MIN(1,(Skills!T16*(1+Inputs!$B$35/100))/(1/Q2273)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2286">
      <c r="A2286" t="inlineStr">
        <is>
          <t>Global Crit Rate Bonus % (Lord of Darkness)</t>
        </is>
      </c>
      <c r="B2286">
        <f>((C2275=TRUE)*F2275*(Skills!J18/100)*IF(AND(Inputs!$B$39&lt;&gt;"pvp",Inputs!$B$44&gt;0),(((R2275-1)*MIN((Skills!T18*(1+Inputs!$B$35/100)),(1/Q2275))+MIN((Skills!T18*(1+Inputs!$B$35/100)),MAX(0,Inputs!$B$44-((R2275-1)*(1/Q2275)))))/Inputs!$B$44),IF(Inputs!$B$39="pvp",MIN((Skills!T18*(1+Inputs!$B$35/100)),15)/15,MIN(1,(Skills!T18*(1+Inputs!$B$35/100))/(1/Q2275)))))</f>
        <v/>
      </c>
    </row>
    <row r="2287">
      <c r="A2287" t="inlineStr">
        <is>
          <t>Attack Speed Buff Bonus %</t>
        </is>
      </c>
      <c r="B2287">
        <f>((C2277=TRUE)*F2277*IF(AND(Inputs!$B$39&lt;&gt;"pvp",Inputs!$B$44&gt;0),(((R2277-1)*MIN((Skills!T20*(1+Inputs!$B$35/100)),(1/Q2277))+MIN((Skills!T20*(1+Inputs!$B$35/100)),MAX(0,Inputs!$B$44-((R2277-1)*(1/Q2277)))))/Inputs!$B$44),IF(Inputs!$B$39="pvp",MIN((Skills!T20*(1+Inputs!$B$35/100)),15)/15,MIN(1,(Skills!T20*(1+Inputs!$B$35/100))/(1/Q2277)))))</f>
        <v/>
      </c>
    </row>
    <row r="2288">
      <c r="A2288" t="inlineStr">
        <is>
          <t>Actions Per Second</t>
        </is>
      </c>
      <c r="B2288">
        <f>1+MIN(150,150*(1-(1-(Inputs!$B$12+((C2278=TRUE)*(F2278-Calc!F21)))/150)*(1-B2287/150)))/100</f>
        <v/>
      </c>
    </row>
    <row r="2289">
      <c r="A2289" t="inlineStr">
        <is>
          <t>Skill + Buff Cast Rate</t>
        </is>
      </c>
      <c r="B2289">
        <f>IF(AND(Inputs!$B$39&lt;&gt;"pvp",Inputs!$B$44&gt;0),SUMPRODUCT((Skills!E2:E26=TRUE)*(C2259:C2283=TRUE)*R2259:R2283*Skills!F2:F26)/Inputs!$B$44,SUMPRODUCT((Skills!E2:E26=TRUE)*(C2259:C2283=TRUE)*Q2259:Q2283*Skills!F2:F26))</f>
        <v/>
      </c>
    </row>
    <row r="2290">
      <c r="A2290" t="inlineStr">
        <is>
          <t>Dark Impale Casts Per Second</t>
        </is>
      </c>
      <c r="B2290">
        <f>MAX(0,B2288-B2289)</f>
        <v/>
      </c>
    </row>
    <row r="2291">
      <c r="A2291" t="inlineStr">
        <is>
          <t>Global Critical Damage Bonus % (Lord of Darkness)</t>
        </is>
      </c>
      <c r="B2291">
        <f>((C2276=TRUE)*F2276*(Skills!J19/100)*IF(AND(Inputs!$B$39&lt;&gt;"pvp",Inputs!$B$44&gt;0),(((R2276-1)*MIN((Skills!T19*(1+Inputs!$B$35/100)),(1/Q2276))+MIN((Skills!T19*(1+Inputs!$B$35/100)),MAX(0,Inputs!$B$44-((R2276-1)*(1/Q2276)))))/Inputs!$B$44),IF(Inputs!$B$39="pvp",MIN((Skills!T19*(1+Inputs!$B$35/100)),15)/15,MIN(1,(Skills!T19*(1+Inputs!$B$35/100))/(1/Q2276)))))</f>
        <v/>
      </c>
    </row>
    <row r="2292">
      <c r="A2292" t="inlineStr">
        <is>
          <t>Global Final Damage Bonus % (unused)</t>
        </is>
      </c>
      <c r="B2292" t="n">
        <v>0</v>
      </c>
    </row>
    <row r="2293">
      <c r="A2293" t="inlineStr">
        <is>
          <t>Buff-Casting Startup Delay (s, fixed-duration only)</t>
        </is>
      </c>
      <c r="B2293">
        <f>IF(AND(Inputs!$B$39&lt;&gt;"pvp",Inputs!$B$44&gt;0),SUMPRODUCT((Skills!T2:T26&gt;0)*(Skills!E2:E26=TRUE)*(C2259:C2283=TRUE))/B2288,0)</f>
        <v/>
      </c>
    </row>
    <row r="2294">
      <c r="A2294" t="inlineStr">
        <is>
          <t>Boss-Only Total DPS (this block's swept value)</t>
        </is>
      </c>
      <c r="B2294">
        <f>SUM(T2259:T2283)</f>
        <v/>
      </c>
    </row>
    <row r="2295">
      <c r="A2295" t="inlineStr">
        <is>
          <t>Normal-Only Total DPS (this block's swept value)</t>
        </is>
      </c>
      <c r="B2295">
        <f>SUM(V2259:V2283)</f>
        <v/>
      </c>
    </row>
    <row r="2296">
      <c r="A2296" s="6" t="inlineStr">
        <is>
          <t>TOTAL DPS</t>
        </is>
      </c>
      <c r="B2296" s="6">
        <f>SUM(O2259:O2283)</f>
        <v/>
      </c>
    </row>
    <row r="2299">
      <c r="A2299" s="6" t="inlineStr">
        <is>
          <t>Stat: Flaming Lava (Equip)</t>
        </is>
      </c>
    </row>
    <row r="2300">
      <c r="A2300" s="5" t="inlineStr">
        <is>
          <t>Key</t>
        </is>
      </c>
      <c r="B2300" s="5" t="inlineStr">
        <is>
          <t>Name</t>
        </is>
      </c>
      <c r="C2300" s="5" t="inlineStr">
        <is>
          <t>Unlocked</t>
        </is>
      </c>
      <c r="D2300" s="5" t="inlineStr">
        <is>
          <t>InputLevel</t>
        </is>
      </c>
      <c r="E2300" s="5" t="inlineStr">
        <is>
          <t>Factor</t>
        </is>
      </c>
      <c r="F2300" s="5" t="inlineStr">
        <is>
          <t>CoefficientPercent</t>
        </is>
      </c>
      <c r="G2300" s="5" t="inlineStr">
        <is>
          <t>EffectiveHits</t>
        </is>
      </c>
      <c r="H2300" s="5" t="inlineStr">
        <is>
          <t>ProcProbability</t>
        </is>
      </c>
      <c r="I2300" s="5" t="inlineStr">
        <is>
          <t>MapleHeroMultiplier</t>
        </is>
      </c>
      <c r="J2300" s="5" t="inlineStr">
        <is>
          <t>BaseDamage</t>
        </is>
      </c>
      <c r="K2300" s="5" t="inlineStr">
        <is>
          <t>BaseHitDamage</t>
        </is>
      </c>
      <c r="L2300" s="5" t="inlineStr">
        <is>
          <t>NonCritAvg</t>
        </is>
      </c>
      <c r="M2300" s="5" t="inlineStr">
        <is>
          <t>CritAvg</t>
        </is>
      </c>
      <c r="N2300" s="5" t="inlineStr">
        <is>
          <t>ExpectedDamage(perHit)</t>
        </is>
      </c>
      <c r="O2300" s="5" t="inlineStr">
        <is>
          <t>DPS</t>
        </is>
      </c>
      <c r="P2300" s="5" t="inlineStr">
        <is>
          <t>% of Total</t>
        </is>
      </c>
      <c r="Q2300" s="5" t="inlineStr">
        <is>
          <t>InvCooldown</t>
        </is>
      </c>
      <c r="R2300" s="5" t="inlineStr">
        <is>
          <t>CastsInFight</t>
        </is>
      </c>
      <c r="S2300" s="5" t="inlineStr">
        <is>
          <t>HitRate(perSec)</t>
        </is>
      </c>
      <c r="U2300" t="inlineStr">
        <is>
          <t>helpers</t>
        </is>
      </c>
    </row>
    <row r="2301">
      <c r="A2301">
        <f>Skills!A2</f>
        <v/>
      </c>
      <c r="B2301">
        <f>Skills!B2</f>
        <v/>
      </c>
      <c r="C2301">
        <f>Inputs!$B$3&gt;=100</f>
        <v/>
      </c>
      <c r="D2301" t="inlineStr"/>
      <c r="E2301" t="inlineStr"/>
      <c r="F2301">
        <f>U2303+Skills!O2</f>
        <v/>
      </c>
      <c r="G2301">
        <f>Skills!G2*IF(Skills!H2&gt;0,INT(IF(Inputs!$B$39="pvp",MIN(Skills!I2,15),Skills!I2)/Skills!H2+0.000000001),1)</f>
        <v/>
      </c>
      <c r="H2301">
        <f>1-(1-Skills!J2/100)^Skills!K2</f>
        <v/>
      </c>
      <c r="I2301" t="inlineStr">
        <is>
          <t>1</t>
        </is>
      </c>
      <c r="J2301">
        <f>((Inputs!$B$6*(1+Inputs!$B$7/100))+(((Inputs!$B$13*(1+Inputs!$B$14/100))-(Inputs!$B$13*(1+Inputs!$B$14/100)))+0.25*(Inputs!$B$15-Inputs!$B$15))*(1+Inputs!$B$7/100))*(F2301/100)</f>
        <v/>
      </c>
      <c r="K2301">
        <f>J2301*(1+(((Inputs!$B$13+IF(Inputs!$B$3&gt;=38,(10*INDEX(FactorTable!$B$2:$Y$301, MATCH(ROUND(MIN(300,MAX(1,Inputs!$B$3)),0), FactorTable!$A$2:$A$301,0), 23)/1000)/100*(Inputs!$B$8*(1+Inputs!$B$9/100)),0))*(1+Inputs!$B$14/100))*0.01+Inputs!$B$15*0.0025)/100)*(1+Inputs!$B$16/100)*(1+Inputs!$B$17/100)*(5000/(6000+Inputs!$B$43*(1-(Inputs!$B$20+0)/100)))*(1+(Inputs!$B$25+((C2324=TRUE)*(F2324-Calc!F25))+((C2325=TRUE)*(F2325-Calc!F26))+B2334)/100)*(1+(((1+IF(AND(ArtifactsInput!$M$36,IF(Inputs!$B$39="pvp",TRUE,AND(Inputs!$B$39&lt;&gt;"pvp",Inputs!$B$44&gt;0))),CHOOSE(ArtifactsInput!$N$36+1,8,9.6,11.2,12.8,14.4,16),0)/100)*(1+IF(AND(IF(ArtifactsInput!$M$32,FALSE,TRUE),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gt;=100),MIN(100,((Inputs!$B$10+0+B2328+(ArtifactsInput!$M$24-ArtifactsInput!$M$24)*CHOOSE(ArtifactsInput!$N$24+1,10,12,14,16,18,20)+IF(ArtifactsInput!$M$10,CHOOSE(ArtifactsInput!$N$10+1,15,18,21,24,27,30)*(IF(Inputs!$B$39="pvp",MIN(15,15)/15,IF(AND(Inputs!$B$39&lt;&gt;"pvp",Inputs!$B$44&gt;0),MIN(15,Inputs!$B$44)/(Inputs!$B$44),0))),0)))-100),0))*CHOOSE(ArtifactsInput!$N$42+1,0.6,0.72,0.84,0.96,1.08,1.2))),Inputs!$B$19+((C2322=TRUE)*(F2322-Calc!F23))+(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gt;=100),CHOOSE(ArtifactsInput!$N$42+1,40,48,56,64,72,80),0))))/100)*((1+(((C2312=TRUE)*F2312*IF(AND(Inputs!$B$39&lt;&gt;"pvp",Inputs!$B$44&gt;0),(((R2312-1)*MIN((Skills!T13*(1+Inputs!$B$35/100)),(1/Q2312))+MIN((Skills!T13*(1+Inputs!$B$35/100)),MAX(0,Inputs!$B$44-((R2312-1)*(1/Q2312)))))/Inputs!$B$44),IF(Inputs!$B$39="pvp",MIN((Skills!T13*(1+Inputs!$B$35/100)),15)/15,MIN(1,(Skills!T13*(1+Inputs!$B$35/100))/(1/Q2312)))))+((C2313=TRUE)*F2313*IF(AND(Inputs!$B$39&lt;&gt;"pvp",Inputs!$B$44&gt;0),(((R2313-1)*MIN((Skills!T14*(1+Inputs!$B$35/100)),(1/Q2313))+MIN((Skills!T14*(1+Inputs!$B$35/100)),MAX(0,Inputs!$B$44-((R2313-1)*(1/Q2313)))))/Inputs!$B$44),IF(Inputs!$B$39="pvp",MIN((Skills!T14*(1+Inputs!$B$35/100)),15)/15,MIN(1,(Skills!T14*(1+Inputs!$B$35/100))/(1/Q2313)))))+((C2314=TRUE)*F2314*IF(AND(Inputs!$B$39&lt;&gt;"pvp",Inputs!$B$44&gt;0),(((R2314-1)*MIN((Skills!T15*(1+Inputs!$B$35/100)),(1/Q2314))+MIN((Skills!T15*(1+Inputs!$B$35/100)),MAX(0,Inputs!$B$44-((R2314-1)*(1/Q2314)))))/Inputs!$B$44),IF(Inputs!$B$39="pvp",MIN((Skills!T15*(1+Inputs!$B$35/100)),15)/15,MIN(1,(Skills!T15*(1+Inputs!$B$35/100))/(1/Q2314)))))+((C2315=TRUE)*F2315*IF(AND(Inputs!$B$39&lt;&gt;"pvp",Inputs!$B$44&gt;0),(((R2315-1)*MIN((Skills!T16*(1+Inputs!$B$35/100)),(1/Q2315))+MIN((Skills!T16*(1+Inputs!$B$35/100)),MAX(0,Inputs!$B$44-((R2315-1)*(1/Q2315)))))/Inputs!$B$44),IF(Inputs!$B$39="pvp",MIN((Skills!T16*(1+Inputs!$B$35/100)),15)/15,MIN(1,(Skills!T16*(1+Inputs!$B$35/100))/(1/Q2315)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2301)</f>
        <v/>
      </c>
      <c r="L2301">
        <f>K2301*(MIN(Inputs!$B$23+((C2321=TRUE)*(F2321-Calc!F22)),(Inputs!$B$24+((C2323=TRUE)*(F2323-Calc!F24))+(IF(ArtifactsInput!$M$15,CHOOSE(ArtifactsInput!$N$15+1,25,30,35,40,45,50)/100*(Inputs!$B$12-Inputs!$B$12),0))))/100+(Inputs!$B$24+((C2323=TRUE)*(F2323-Calc!F24))+(IF(ArtifactsInput!$M$15,CHOOSE(ArtifactsInput!$N$15+1,25,30,35,40,45,50)/100*(Inputs!$B$12-Inputs!$B$12),0)))/100)/2</f>
        <v/>
      </c>
      <c r="M2301">
        <f>L2301*(1+(Inputs!$B$11+0+B2333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301">
        <f>L2301*(1-MIN((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2301*(MIN((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01">
        <f>(1-Summary!$B$11)*T2301+Summary!$B$11*V2301</f>
        <v/>
      </c>
      <c r="P2301">
        <f>IF(B2338=0,0,O2301/B2338)</f>
        <v/>
      </c>
      <c r="Q2301" t="n">
        <v>0</v>
      </c>
      <c r="R2301" t="n">
        <v>0</v>
      </c>
      <c r="S2301">
        <f>IFERROR(O2301/N2301,0)</f>
        <v/>
      </c>
      <c r="T2301">
        <f>IF(C2301,(Skills!G2*N2301*B2332)*IF(Inputs!$B$39="pvp",1,1+(Inputs!$B$21+0+Skills!P2+((C2316=TRUE)*F2316*IF(AND(Inputs!$B$39&lt;&gt;"pvp",Inputs!$B$44&gt;0),(((R2316-1)*MIN((Skills!T17*(1+Inputs!$B$35/100)),(1/Q2316))+MIN((Skills!T17*(1+Inputs!$B$35/100)),MAX(0,Inputs!$B$44-((R2316-1)*(1/Q2316)))))/Inputs!$B$44),IF(Inputs!$B$39="pvp",MIN((Skills!T17*(1+Inputs!$B$35/100)),15)/15,MIN(1,(Skills!T17*(1+Inputs!$B$35/100))/(1/Q2316)))))+((C2304=TRUE)*IF(Inputs!$B$3&gt;=126,10*MIN(1,15*Q2304),0))+((C2313=TRUE)*IF(Inputs!$B$39="pvp",20,(1-Summary!$B$11)*(20)+Summary!$B$11*(0))*IF(AND(Inputs!$B$39&lt;&gt;"pvp",Inputs!$B$44&gt;0),(((R2313-1)*MIN((Skills!T14*(1+Inputs!$B$35/100)),(1/Q2313))+MIN((Skills!T14*(1+Inputs!$B$35/100)),MAX(0,Inputs!$B$44-((R2313-1)*(1/Q2313)))))/Inputs!$B$44),IF(Inputs!$B$39="pvp",MIN((Skills!T14*(1+Inputs!$B$35/100)),15)/15,MIN(1,(Skills!T14*(1+Inputs!$B$35/100))/(1/Q2313)))))+((C2312=TRUE)*IF(Inputs!$B$3&gt;=82,IF(Inputs!$B$39="pvp",20,(1-Summary!$B$11)*(20)+Summary!$B$11*(0)),0)*IF(AND(Inputs!$B$39&lt;&gt;"pvp",Inputs!$B$44&gt;0),(((R2312-1)*MIN((Skills!T13*(1+Inputs!$B$35/100)),(1/Q2312))+MIN((Skills!T13*(1+Inputs!$B$35/100)),MAX(0,Inputs!$B$44-((R2312-1)*(1/Q2312)))))/Inputs!$B$44),IF(Inputs!$B$39="pvp",MIN((Skills!T13*(1+Inputs!$B$35/100)),15)/15,MIN(1,(Skills!T13*(1+Inputs!$B$35/100))/(1/Q2312)))))+(IF(AND(ArtifactsInput!$M$35,Inputs!$B$4&lt;&gt;"Chapter Hunt"),CHOOSE(ArtifactsInput!$N$35+1,15,18,21,24,27,30)*(1-EXP(-(0.2*B2330)*5)),0)+IF(AND(ArtifactsInput!$M$22,Inputs!$B$4&lt;&gt;"Chapter Hunt"),CHOOSE(ArtifactsInput!$N$22+1,10,12,14,16,18,20)*((0*(((0.15*B2330*5))^0/1)+1*(((0.15*B2330*5))^1/1)+2*(((0.15*B2330*5))^2/2)+3*(((0.15*B2330*5))^3/6)+4*(((0.15*B2330*5))^4/24)+5*(((0.15*B2330*5))^5/120))/((((0.15*B2330*5))^0/1)+(((0.15*B2330*5))^1/1)+(((0.15*B2330*5))^2/2)+(((0.15*B2330*5))^3/6)+(((0.15*B2330*5))^4/24)+(((0.15*B2330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2301*(1-MIN(100,(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2301*(MIN(100,(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2301*(1-MIN(100,(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2301*(MIN(100,(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301">
        <f>MAX(0,(Inputs!$B$3-100)*3)+Inputs!$B$29+Inputs!$B$30</f>
        <v/>
      </c>
      <c r="V2301">
        <f>IF(C2301,(Skills!G2*N2301*B2332)*IF(Inputs!$B$39="pvp",1,(1+(Inputs!$B$22+Skills!Q2+((C2316=TRUE)*F2316*IF(AND(Inputs!$B$39&lt;&gt;"pvp",Inputs!$B$44&gt;0),(((R2316-1)*MIN((Skills!T17*(1+Inputs!$B$35/100)),(1/Q2316))+MIN((Skills!T17*(1+Inputs!$B$35/100)),MAX(0,Inputs!$B$44-((R2316-1)*(1/Q2316)))))/Inputs!$B$44),IF(Inputs!$B$39="pvp",MIN((Skills!T17*(1+Inputs!$B$35/100)),15)/15,MIN(1,(Skills!T17*(1+Inputs!$B$35/100))/(1/Q2316)))))+((C2304=TRUE)*IF(Inputs!$B$3&gt;=126,10*MIN(1,15*Q2304),0))+((C2313=TRUE)*IF(Inputs!$B$39="pvp",20,(1-Summary!$B$11)*(20)+Summary!$B$11*(0))*IF(AND(Inputs!$B$39&lt;&gt;"pvp",Inputs!$B$44&gt;0),(((R2313-1)*MIN((Skills!T14*(1+Inputs!$B$35/100)),(1/Q2313))+MIN((Skills!T14*(1+Inputs!$B$35/100)),MAX(0,Inputs!$B$44-((R2313-1)*(1/Q2313)))))/Inputs!$B$44),IF(Inputs!$B$39="pvp",MIN((Skills!T14*(1+Inputs!$B$35/100)),15)/15,MIN(1,(Skills!T14*(1+Inputs!$B$35/100))/(1/Q2313)))))+((C2312=TRUE)*IF(Inputs!$B$3&gt;=82,IF(Inputs!$B$39="pvp",20,(1-Summary!$B$11)*(20)+Summary!$B$11*(0)),0)*IF(AND(Inputs!$B$39&lt;&gt;"pvp",Inputs!$B$44&gt;0),(((R2312-1)*MIN((Skills!T13*(1+Inputs!$B$35/100)),(1/Q2312))+MIN((Skills!T13*(1+Inputs!$B$35/100)),MAX(0,Inputs!$B$44-((R2312-1)*(1/Q2312)))))/Inputs!$B$44),IF(Inputs!$B$39="pvp",MIN((Skills!T13*(1+Inputs!$B$35/100)),15)/15,MIN(1,(Skills!T13*(1+Inputs!$B$35/100))/(1/Q2312)))))+(IF(AND(ArtifactsInput!$M$35,Inputs!$B$4&lt;&gt;"Chapter Hunt"),CHOOSE(ArtifactsInput!$N$35+1,15,18,21,24,27,30)*(1-EXP(-(0.2*B2330)*5)),0)+IF(AND(ArtifactsInput!$M$22,Inputs!$B$4&lt;&gt;"Chapter Hunt"),CHOOSE(ArtifactsInput!$N$22+1,10,12,14,16,18,20)*((0*(((0.15*B2330*5))^0/1)+1*(((0.15*B2330*5))^1/1)+2*(((0.15*B2330*5))^2/2)+3*(((0.15*B2330*5))^3/6)+4*(((0.15*B2330*5))^4/24)+5*(((0.15*B2330*5))^5/120))/((((0.15*B2330*5))^0/1)+(((0.15*B2330*5))^1/1)+(((0.15*B2330*5))^2/2)+(((0.15*B2330*5))^3/6)+(((0.15*B2330*5))^4/24)+(((0.15*B2330*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02">
      <c r="A2302">
        <f>Skills!A3</f>
        <v/>
      </c>
      <c r="B2302">
        <f>Skills!B3</f>
        <v/>
      </c>
      <c r="C2302">
        <f>Inputs!$B$3&gt;=50</f>
        <v/>
      </c>
      <c r="D2302">
        <f>IF(Skills!C3=1,60+Inputs!$B$26+Inputs!$B$30,IF(Skills!C3=2,90+Inputs!$B$27+Inputs!$B$30,IF(Skills!C3=3,120+Inputs!$B$28+Inputs!$B$30,MAX(0,(Inputs!$B$3-100)*3)+Inputs!$B$29+Inputs!$B$30)))</f>
        <v/>
      </c>
      <c r="E2302">
        <f>INDEX(FactorTable!$B$2:$Y$301, MATCH(ROUND(MIN(300,MAX(1,D2302)),0), FactorTable!$A$2:$A$301,0), Skills!M3+1)</f>
        <v/>
      </c>
      <c r="F2302">
        <f>IF(Skills!N3=TRUE,(Skills!L3/10)*(E2302/1000),Skills!L3/10)+Skills!O3</f>
        <v/>
      </c>
      <c r="G2302" t="inlineStr"/>
      <c r="H2302" t="inlineStr"/>
      <c r="I2302" t="inlineStr">
        <is>
          <t>1</t>
        </is>
      </c>
      <c r="J2302" t="inlineStr"/>
      <c r="K2302" t="inlineStr"/>
      <c r="L2302" t="inlineStr"/>
      <c r="M2302" t="inlineStr"/>
      <c r="N2302" t="inlineStr"/>
      <c r="O2302" t="inlineStr"/>
      <c r="P2302" t="inlineStr"/>
      <c r="Q2302" t="inlineStr"/>
      <c r="R2302" t="inlineStr"/>
      <c r="S2302" t="inlineStr"/>
      <c r="U2302">
        <f>INDEX(FactorTable!$B$2:$Y$301, MATCH(ROUND(MIN(300,MAX(1,U2301)),0), FactorTable!$A$2:$A$301,0), 22)</f>
        <v/>
      </c>
    </row>
    <row r="2303">
      <c r="A2303">
        <f>Skills!A4</f>
        <v/>
      </c>
      <c r="B2303">
        <f>Skills!B4</f>
        <v/>
      </c>
      <c r="C2303">
        <f>Inputs!$B$3&gt;=105</f>
        <v/>
      </c>
      <c r="D2303">
        <f>IF(Skills!C4=1,60+Inputs!$B$26+Inputs!$B$30,IF(Skills!C4=2,90+Inputs!$B$27+Inputs!$B$30,IF(Skills!C4=3,120+Inputs!$B$28+Inputs!$B$30,MAX(0,(Inputs!$B$3-100)*3)+Inputs!$B$29+Inputs!$B$30)))</f>
        <v/>
      </c>
      <c r="E2303">
        <f>INDEX(FactorTable!$B$2:$Y$301, MATCH(ROUND(MIN(300,MAX(1,D2303)),0), FactorTable!$A$2:$A$301,0), Skills!M4+1)</f>
        <v/>
      </c>
      <c r="F2303">
        <f>IF(Skills!N4=TRUE,(Skills!L4/10)*(E2303/1000),Skills!L4/10)+Skills!O4</f>
        <v/>
      </c>
      <c r="G2303" t="inlineStr"/>
      <c r="H2303" t="inlineStr"/>
      <c r="I2303" t="inlineStr">
        <is>
          <t>1</t>
        </is>
      </c>
      <c r="J2303" t="inlineStr"/>
      <c r="K2303" t="inlineStr"/>
      <c r="L2303" t="inlineStr"/>
      <c r="M2303" t="inlineStr"/>
      <c r="N2303" t="inlineStr"/>
      <c r="O2303" t="inlineStr"/>
      <c r="P2303" t="inlineStr"/>
      <c r="Q2303" t="inlineStr"/>
      <c r="R2303" t="inlineStr"/>
      <c r="S2303" t="inlineStr"/>
      <c r="U2303">
        <f>290*U2302/1000</f>
        <v/>
      </c>
    </row>
    <row r="2304">
      <c r="A2304">
        <f>Skills!A5</f>
        <v/>
      </c>
      <c r="B2304">
        <f>Skills!B5</f>
        <v/>
      </c>
      <c r="C2304">
        <f>Inputs!$B$3&gt;=117</f>
        <v/>
      </c>
      <c r="D2304">
        <f>IF(Skills!C5=1,60+Inputs!$B$26+Inputs!$B$30,IF(Skills!C5=2,90+Inputs!$B$27+Inputs!$B$30,IF(Skills!C5=3,120+Inputs!$B$28+Inputs!$B$30,MAX(0,(Inputs!$B$3-100)*3)+Inputs!$B$29+Inputs!$B$30)))</f>
        <v/>
      </c>
      <c r="E2304">
        <f>INDEX(FactorTable!$B$2:$Y$301, MATCH(ROUND(MIN(300,MAX(1,D2304)),0), FactorTable!$A$2:$A$301,0), Skills!M5+1)</f>
        <v/>
      </c>
      <c r="F2304">
        <f>IF(Skills!N5=TRUE,(Skills!L5/10)*(E2304/1000),Skills!L5/10)+Skills!O5</f>
        <v/>
      </c>
      <c r="G2304">
        <f>Skills!G5*IF(Skills!H5&gt;0,INT(IF(Inputs!$B$39="pvp",MIN(Skills!I5,15),Skills!I5)/Skills!H5+0.000000001),1)</f>
        <v/>
      </c>
      <c r="H2304">
        <f>1-(1-Skills!J5/100)^Skills!K5</f>
        <v/>
      </c>
      <c r="I2304" t="inlineStr">
        <is>
          <t>1</t>
        </is>
      </c>
      <c r="J2304">
        <f>((Inputs!$B$6*(1+Inputs!$B$7/100))+(((Inputs!$B$13*(1+Inputs!$B$14/100))-(Inputs!$B$13*(1+Inputs!$B$14/100)))+0.25*(Inputs!$B$15-Inputs!$B$15))*(1+Inputs!$B$7/100))*(F2304/100)</f>
        <v/>
      </c>
      <c r="K2304">
        <f>J2304*(1+(((Inputs!$B$13+IF(Inputs!$B$3&gt;=38,(10*INDEX(FactorTable!$B$2:$Y$301, MATCH(ROUND(MIN(300,MAX(1,Inputs!$B$3)),0), FactorTable!$A$2:$A$301,0), 23)/1000)/100*(Inputs!$B$8*(1+Inputs!$B$9/100)),0))*(1+Inputs!$B$14/100))*0.01+Inputs!$B$15*0.0025)/100)*(1+Inputs!$B$16/100)*(1+Inputs!$B$17/100)*(5000/(6000+Inputs!$B$43*(1-(Inputs!$B$20+0)/100)))*(1+(Inputs!$B$25+((C2324=TRUE)*(F2324-Calc!F25))+((C2325=TRUE)*(F2325-Calc!F26))+B2334)/100)*(1+(((1+IF(AND(ArtifactsInput!$M$36,IF(Inputs!$B$39="pvp",TRUE,AND(Inputs!$B$39&lt;&gt;"pvp",Inputs!$B$44&gt;0))),CHOOSE(ArtifactsInput!$N$36+1,8,9.6,11.2,12.8,14.4,16),0)/100)*(1+IF(AND(IF(ArtifactsInput!$M$32,FALSE,TRUE),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gt;=100),MIN(100,((Inputs!$B$10+0+B2328+(ArtifactsInput!$M$24-ArtifactsInput!$M$24)*CHOOSE(ArtifactsInput!$N$24+1,10,12,14,16,18,20)+IF(ArtifactsInput!$M$10,CHOOSE(ArtifactsInput!$N$10+1,15,18,21,24,27,30)*(IF(Inputs!$B$39="pvp",MIN(15,15)/15,IF(AND(Inputs!$B$39&lt;&gt;"pvp",Inputs!$B$44&gt;0),MIN(15,Inputs!$B$44)/(Inputs!$B$44),0))),0)))-100),0))*CHOOSE(ArtifactsInput!$N$42+1,0.6,0.72,0.84,0.96,1.08,1.2))),Inputs!$B$19+((C2322=TRUE)*(F2322-Calc!F23))+(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gt;=100),CHOOSE(ArtifactsInput!$N$42+1,40,48,56,64,72,80),0))))/100)*((1+(((C2312=TRUE)*F2312*IF(AND(Inputs!$B$39&lt;&gt;"pvp",Inputs!$B$44&gt;0),(((R2312-1)*MIN((Skills!T13*(1+Inputs!$B$35/100)),(1/Q2312))+MIN((Skills!T13*(1+Inputs!$B$35/100)),MAX(0,Inputs!$B$44-((R2312-1)*(1/Q2312)))))/Inputs!$B$44),IF(Inputs!$B$39="pvp",MIN((Skills!T13*(1+Inputs!$B$35/100)),15)/15,MIN(1,(Skills!T13*(1+Inputs!$B$35/100))/(1/Q2312)))))+((C2313=TRUE)*F2313*IF(AND(Inputs!$B$39&lt;&gt;"pvp",Inputs!$B$44&gt;0),(((R2313-1)*MIN((Skills!T14*(1+Inputs!$B$35/100)),(1/Q2313))+MIN((Skills!T14*(1+Inputs!$B$35/100)),MAX(0,Inputs!$B$44-((R2313-1)*(1/Q2313)))))/Inputs!$B$44),IF(Inputs!$B$39="pvp",MIN((Skills!T14*(1+Inputs!$B$35/100)),15)/15,MIN(1,(Skills!T14*(1+Inputs!$B$35/100))/(1/Q2313)))))+((C2314=TRUE)*F2314*IF(AND(Inputs!$B$39&lt;&gt;"pvp",Inputs!$B$44&gt;0),(((R2314-1)*MIN((Skills!T15*(1+Inputs!$B$35/100)),(1/Q2314))+MIN((Skills!T15*(1+Inputs!$B$35/100)),MAX(0,Inputs!$B$44-((R2314-1)*(1/Q2314)))))/Inputs!$B$44),IF(Inputs!$B$39="pvp",MIN((Skills!T15*(1+Inputs!$B$35/100)),15)/15,MIN(1,(Skills!T15*(1+Inputs!$B$35/100))/(1/Q2314)))))+((C2315=TRUE)*F2315*IF(AND(Inputs!$B$39&lt;&gt;"pvp",Inputs!$B$44&gt;0),(((R2315-1)*MIN((Skills!T16*(1+Inputs!$B$35/100)),(1/Q2315))+MIN((Skills!T16*(1+Inputs!$B$35/100)),MAX(0,Inputs!$B$44-((R2315-1)*(1/Q2315)))))/Inputs!$B$44),IF(Inputs!$B$39="pvp",MIN((Skills!T16*(1+Inputs!$B$35/100)),15)/15,MIN(1,(Skills!T16*(1+Inputs!$B$35/100))/(1/Q2315)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2304)</f>
        <v/>
      </c>
      <c r="L2304">
        <f>K2304*(MIN(Inputs!$B$23+((C2321=TRUE)*(F2321-Calc!F22)),(Inputs!$B$24+((C2323=TRUE)*(F2323-Calc!F24))+(IF(ArtifactsInput!$M$15,CHOOSE(ArtifactsInput!$N$15+1,25,30,35,40,45,50)/100*(Inputs!$B$12-Inputs!$B$12),0))))/100+(Inputs!$B$24+((C2323=TRUE)*(F2323-Calc!F24))+(IF(ArtifactsInput!$M$15,CHOOSE(ArtifactsInput!$N$15+1,25,30,35,40,45,50)/100*(Inputs!$B$12-Inputs!$B$12),0)))/100)/2</f>
        <v/>
      </c>
      <c r="M2304">
        <f>L2304*(1+(Inputs!$B$11+0+B2333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304">
        <f>L2304*(1-MIN((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2304*(MIN((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04">
        <f>(1-Summary!$B$11)*T2304+Summary!$B$11*V2304</f>
        <v/>
      </c>
      <c r="P2304">
        <f>IF(B2338=0,0,O2304/B2338)</f>
        <v/>
      </c>
      <c r="Q2304">
        <f>IFERROR(1/IF(Inputs!$B$39="pvp",15,MAX(0.1,Skills!D5-IF(TRUE=TRUE,Inputs!$B$33,0))),0)</f>
        <v/>
      </c>
      <c r="R2304">
        <f>IF(AND(Inputs!$B$39&lt;&gt;"pvp",Inputs!$B$44&gt;0),IF(MAX(0,Inputs!$B$44-B2335)&lt;=0,0,(INT(MAX(0,Inputs!$B$44-B2335)/IF(Inputs!$B$39="pvp",15,MAX(0.1,Skills!D5-IF(TRUE=TRUE,Inputs!$B$33,0))))+1)),0)</f>
        <v/>
      </c>
      <c r="S2304">
        <f>IFERROR(O2304/N2304,0)</f>
        <v/>
      </c>
      <c r="T2304">
        <f>IF(C2304,(H2304*N2304*IF(AND(Inputs!$B$39&lt;&gt;"pvp",Inputs!$B$44&gt;0),((Skills!G5*((R2304-1)*IF(Skills!H5&gt;0,INT(Skills!I5/Skills!H5+0.000000001),1)+IF(Skills!H5&gt;0,INT(MIN(Skills!I5,MAX(0,MAX(0,Inputs!$B$44-B2335)-((R2304-1)*IF(Inputs!$B$39="pvp",15,MAX(0.1,Skills!D5-IF(TRUE=TRUE,Inputs!$B$33,0))))))/Skills!H5+0.000000001),1)))/Inputs!$B$44),G2304*Q2304))*IF(Inputs!$B$39="pvp",1,1+(Inputs!$B$21+0+Skills!P5+((C2316=TRUE)*F2316*IF(AND(Inputs!$B$39&lt;&gt;"pvp",Inputs!$B$44&gt;0),(((R2316-1)*MIN((Skills!T17*(1+Inputs!$B$35/100)),(1/Q2316))+MIN((Skills!T17*(1+Inputs!$B$35/100)),MAX(0,Inputs!$B$44-((R2316-1)*(1/Q2316)))))/Inputs!$B$44),IF(Inputs!$B$39="pvp",MIN((Skills!T17*(1+Inputs!$B$35/100)),15)/15,MIN(1,(Skills!T17*(1+Inputs!$B$35/100))/(1/Q2316)))))+((C2304=TRUE)*IF(Inputs!$B$3&gt;=126,10*MIN(1,15*Q2304),0))+((C2313=TRUE)*IF(Inputs!$B$39="pvp",20,(1-Summary!$B$11)*(20)+Summary!$B$11*(0))*IF(AND(Inputs!$B$39&lt;&gt;"pvp",Inputs!$B$44&gt;0),(((R2313-1)*MIN((Skills!T14*(1+Inputs!$B$35/100)),(1/Q2313))+MIN((Skills!T14*(1+Inputs!$B$35/100)),MAX(0,Inputs!$B$44-((R2313-1)*(1/Q2313)))))/Inputs!$B$44),IF(Inputs!$B$39="pvp",MIN((Skills!T14*(1+Inputs!$B$35/100)),15)/15,MIN(1,(Skills!T14*(1+Inputs!$B$35/100))/(1/Q2313)))))+((C2312=TRUE)*IF(Inputs!$B$3&gt;=82,IF(Inputs!$B$39="pvp",20,(1-Summary!$B$11)*(20)+Summary!$B$11*(0)),0)*IF(AND(Inputs!$B$39&lt;&gt;"pvp",Inputs!$B$44&gt;0),(((R2312-1)*MIN((Skills!T13*(1+Inputs!$B$35/100)),(1/Q2312))+MIN((Skills!T13*(1+Inputs!$B$35/100)),MAX(0,Inputs!$B$44-((R2312-1)*(1/Q2312)))))/Inputs!$B$44),IF(Inputs!$B$39="pvp",MIN((Skills!T13*(1+Inputs!$B$35/100)),15)/15,MIN(1,(Skills!T13*(1+Inputs!$B$35/100))/(1/Q2312)))))+(IF(AND(ArtifactsInput!$M$35,Inputs!$B$4&lt;&gt;"Chapter Hunt"),CHOOSE(ArtifactsInput!$N$35+1,15,18,21,24,27,30)*(1-EXP(-(0.2*B2330)*5)),0)+IF(AND(ArtifactsInput!$M$22,Inputs!$B$4&lt;&gt;"Chapter Hunt"),CHOOSE(ArtifactsInput!$N$22+1,10,12,14,16,18,20)*((0*(((0.15*B2330*5))^0/1)+1*(((0.15*B2330*5))^1/1)+2*(((0.15*B2330*5))^2/2)+3*(((0.15*B2330*5))^3/6)+4*(((0.15*B2330*5))^4/24)+5*(((0.15*B2330*5))^5/120))/((((0.15*B2330*5))^0/1)+(((0.15*B2330*5))^1/1)+(((0.15*B2330*5))^2/2)+(((0.15*B2330*5))^3/6)+(((0.15*B2330*5))^4/24)+(((0.15*B2330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2304*(1-MIN(100,(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2304*(MIN(100,(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2304*(1-MIN(100,(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2304*(MIN(100,(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04">
        <f>IF(C2304,(H2304*N2304*IF(AND(Inputs!$B$39&lt;&gt;"pvp",Inputs!$B$44&gt;0),((Skills!G5*((R2304-1)*IF(Skills!H5&gt;0,INT(Skills!I5/Skills!H5+0.000000001),1)+IF(Skills!H5&gt;0,INT(MIN(Skills!I5,MAX(0,MAX(0,Inputs!$B$44-B2335)-((R2304-1)*IF(Inputs!$B$39="pvp",15,MAX(0.1,Skills!D5-IF(TRUE=TRUE,Inputs!$B$33,0))))))/Skills!H5+0.000000001),1)))/Inputs!$B$44),G2304*Q2304))*IF(Inputs!$B$39="pvp",1,(1+(Inputs!$B$22+Skills!Q5+((C2316=TRUE)*F2316*IF(AND(Inputs!$B$39&lt;&gt;"pvp",Inputs!$B$44&gt;0),(((R2316-1)*MIN((Skills!T17*(1+Inputs!$B$35/100)),(1/Q2316))+MIN((Skills!T17*(1+Inputs!$B$35/100)),MAX(0,Inputs!$B$44-((R2316-1)*(1/Q2316)))))/Inputs!$B$44),IF(Inputs!$B$39="pvp",MIN((Skills!T17*(1+Inputs!$B$35/100)),15)/15,MIN(1,(Skills!T17*(1+Inputs!$B$35/100))/(1/Q2316)))))+((C2304=TRUE)*IF(Inputs!$B$3&gt;=126,10*MIN(1,15*Q2304),0))+((C2313=TRUE)*IF(Inputs!$B$39="pvp",20,(1-Summary!$B$11)*(20)+Summary!$B$11*(0))*IF(AND(Inputs!$B$39&lt;&gt;"pvp",Inputs!$B$44&gt;0),(((R2313-1)*MIN((Skills!T14*(1+Inputs!$B$35/100)),(1/Q2313))+MIN((Skills!T14*(1+Inputs!$B$35/100)),MAX(0,Inputs!$B$44-((R2313-1)*(1/Q2313)))))/Inputs!$B$44),IF(Inputs!$B$39="pvp",MIN((Skills!T14*(1+Inputs!$B$35/100)),15)/15,MIN(1,(Skills!T14*(1+Inputs!$B$35/100))/(1/Q2313)))))+((C2312=TRUE)*IF(Inputs!$B$3&gt;=82,IF(Inputs!$B$39="pvp",20,(1-Summary!$B$11)*(20)+Summary!$B$11*(0)),0)*IF(AND(Inputs!$B$39&lt;&gt;"pvp",Inputs!$B$44&gt;0),(((R2312-1)*MIN((Skills!T13*(1+Inputs!$B$35/100)),(1/Q2312))+MIN((Skills!T13*(1+Inputs!$B$35/100)),MAX(0,Inputs!$B$44-((R2312-1)*(1/Q2312)))))/Inputs!$B$44),IF(Inputs!$B$39="pvp",MIN((Skills!T13*(1+Inputs!$B$35/100)),15)/15,MIN(1,(Skills!T13*(1+Inputs!$B$35/100))/(1/Q2312)))))+(IF(AND(ArtifactsInput!$M$35,Inputs!$B$4&lt;&gt;"Chapter Hunt"),CHOOSE(ArtifactsInput!$N$35+1,15,18,21,24,27,30)*(1-EXP(-(0.2*B2330)*5)),0)+IF(AND(ArtifactsInput!$M$22,Inputs!$B$4&lt;&gt;"Chapter Hunt"),CHOOSE(ArtifactsInput!$N$22+1,10,12,14,16,18,20)*((0*(((0.15*B2330*5))^0/1)+1*(((0.15*B2330*5))^1/1)+2*(((0.15*B2330*5))^2/2)+3*(((0.15*B2330*5))^3/6)+4*(((0.15*B2330*5))^4/24)+5*(((0.15*B2330*5))^5/120))/((((0.15*B2330*5))^0/1)+(((0.15*B2330*5))^1/1)+(((0.15*B2330*5))^2/2)+(((0.15*B2330*5))^3/6)+(((0.15*B2330*5))^4/24)+(((0.15*B2330*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05">
      <c r="A2305">
        <f>Skills!A6</f>
        <v/>
      </c>
      <c r="B2305">
        <f>Skills!B6</f>
        <v/>
      </c>
      <c r="C2305">
        <f>Inputs!$B$3&gt;=103</f>
        <v/>
      </c>
      <c r="D2305">
        <f>IF(Skills!C6=1,60+Inputs!$B$26+Inputs!$B$30,IF(Skills!C6=2,90+Inputs!$B$27+Inputs!$B$30,IF(Skills!C6=3,120+Inputs!$B$28+Inputs!$B$30,MAX(0,(Inputs!$B$3-100)*3)+Inputs!$B$29+Inputs!$B$30)))</f>
        <v/>
      </c>
      <c r="E2305">
        <f>INDEX(FactorTable!$B$2:$Y$301, MATCH(ROUND(MIN(300,MAX(1,D2305)),0), FactorTable!$A$2:$A$301,0), Skills!M6+1)</f>
        <v/>
      </c>
      <c r="F2305">
        <f>IF(Skills!N6=TRUE,(Skills!L6/10)*(E2305/1000),Skills!L6/10)+Skills!O6</f>
        <v/>
      </c>
      <c r="G2305">
        <f>Skills!G6*IF(Skills!H6&gt;0,INT(IF(Inputs!$B$39="pvp",MIN(Skills!I6,15),Skills!I6)/Skills!H6+0.000000001),1)</f>
        <v/>
      </c>
      <c r="H2305">
        <f>1-(1-Skills!J6/100)^Skills!K6</f>
        <v/>
      </c>
      <c r="I2305" t="inlineStr">
        <is>
          <t>1</t>
        </is>
      </c>
      <c r="J2305">
        <f>((Inputs!$B$6*(1+Inputs!$B$7/100))+(((Inputs!$B$13*(1+Inputs!$B$14/100))-(Inputs!$B$13*(1+Inputs!$B$14/100)))+0.25*(Inputs!$B$15-Inputs!$B$15))*(1+Inputs!$B$7/100))*(F2305/100)</f>
        <v/>
      </c>
      <c r="K2305">
        <f>J2305*(1+(((Inputs!$B$13+IF(Inputs!$B$3&gt;=38,(10*INDEX(FactorTable!$B$2:$Y$301, MATCH(ROUND(MIN(300,MAX(1,Inputs!$B$3)),0), FactorTable!$A$2:$A$301,0), 23)/1000)/100*(Inputs!$B$8*(1+Inputs!$B$9/100)),0))*(1+Inputs!$B$14/100))*0.01+Inputs!$B$15*0.0025)/100)*(1+Inputs!$B$16/100)*(1+Inputs!$B$17/100)*(5000/(6000+Inputs!$B$43*(1-(Inputs!$B$20+0)/100)))*(1+(Inputs!$B$25+((C2324=TRUE)*(F2324-Calc!F25))+((C2325=TRUE)*(F2325-Calc!F26))+B2334)/100)*(1+(((1+IF(AND(ArtifactsInput!$M$36,IF(Inputs!$B$39="pvp",TRUE,AND(Inputs!$B$39&lt;&gt;"pvp",Inputs!$B$44&gt;0))),CHOOSE(ArtifactsInput!$N$36+1,8,9.6,11.2,12.8,14.4,16),0)/100)*(1+IF(AND(IF(ArtifactsInput!$M$32,FALSE,TRUE),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gt;=100),MIN(100,((Inputs!$B$10+0+B2328+(ArtifactsInput!$M$24-ArtifactsInput!$M$24)*CHOOSE(ArtifactsInput!$N$24+1,10,12,14,16,18,20)+IF(ArtifactsInput!$M$10,CHOOSE(ArtifactsInput!$N$10+1,15,18,21,24,27,30)*(IF(Inputs!$B$39="pvp",MIN(15,15)/15,IF(AND(Inputs!$B$39&lt;&gt;"pvp",Inputs!$B$44&gt;0),MIN(15,Inputs!$B$44)/(Inputs!$B$44),0))),0)))-100),0))*CHOOSE(ArtifactsInput!$N$42+1,0.6,0.72,0.84,0.96,1.08,1.2))),Inputs!$B$19+((C2322=TRUE)*(F2322-Calc!F23))+(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gt;=100),CHOOSE(ArtifactsInput!$N$42+1,40,48,56,64,72,80),0))))/100)*((1+(((C2312=TRUE)*F2312*IF(AND(Inputs!$B$39&lt;&gt;"pvp",Inputs!$B$44&gt;0),(((R2312-1)*MIN((Skills!T13*(1+Inputs!$B$35/100)),(1/Q2312))+MIN((Skills!T13*(1+Inputs!$B$35/100)),MAX(0,Inputs!$B$44-((R2312-1)*(1/Q2312)))))/Inputs!$B$44),IF(Inputs!$B$39="pvp",MIN((Skills!T13*(1+Inputs!$B$35/100)),15)/15,MIN(1,(Skills!T13*(1+Inputs!$B$35/100))/(1/Q2312)))))+((C2313=TRUE)*F2313*IF(AND(Inputs!$B$39&lt;&gt;"pvp",Inputs!$B$44&gt;0),(((R2313-1)*MIN((Skills!T14*(1+Inputs!$B$35/100)),(1/Q2313))+MIN((Skills!T14*(1+Inputs!$B$35/100)),MAX(0,Inputs!$B$44-((R2313-1)*(1/Q2313)))))/Inputs!$B$44),IF(Inputs!$B$39="pvp",MIN((Skills!T14*(1+Inputs!$B$35/100)),15)/15,MIN(1,(Skills!T14*(1+Inputs!$B$35/100))/(1/Q2313)))))+((C2314=TRUE)*F2314*IF(AND(Inputs!$B$39&lt;&gt;"pvp",Inputs!$B$44&gt;0),(((R2314-1)*MIN((Skills!T15*(1+Inputs!$B$35/100)),(1/Q2314))+MIN((Skills!T15*(1+Inputs!$B$35/100)),MAX(0,Inputs!$B$44-((R2314-1)*(1/Q2314)))))/Inputs!$B$44),IF(Inputs!$B$39="pvp",MIN((Skills!T15*(1+Inputs!$B$35/100)),15)/15,MIN(1,(Skills!T15*(1+Inputs!$B$35/100))/(1/Q2314)))))+((C2315=TRUE)*F2315*IF(AND(Inputs!$B$39&lt;&gt;"pvp",Inputs!$B$44&gt;0),(((R2315-1)*MIN((Skills!T16*(1+Inputs!$B$35/100)),(1/Q2315))+MIN((Skills!T16*(1+Inputs!$B$35/100)),MAX(0,Inputs!$B$44-((R2315-1)*(1/Q2315)))))/Inputs!$B$44),IF(Inputs!$B$39="pvp",MIN((Skills!T16*(1+Inputs!$B$35/100)),15)/15,MIN(1,(Skills!T16*(1+Inputs!$B$35/100))/(1/Q2315)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2305)</f>
        <v/>
      </c>
      <c r="L2305">
        <f>K2305*(MIN(Inputs!$B$23+((C2321=TRUE)*(F2321-Calc!F22)),(Inputs!$B$24+((C2323=TRUE)*(F2323-Calc!F24))+(IF(ArtifactsInput!$M$15,CHOOSE(ArtifactsInput!$N$15+1,25,30,35,40,45,50)/100*(Inputs!$B$12-Inputs!$B$12),0))))/100+(Inputs!$B$24+((C2323=TRUE)*(F2323-Calc!F24))+(IF(ArtifactsInput!$M$15,CHOOSE(ArtifactsInput!$N$15+1,25,30,35,40,45,50)/100*(Inputs!$B$12-Inputs!$B$12),0)))/100)/2</f>
        <v/>
      </c>
      <c r="M2305">
        <f>L2305*(1+(Inputs!$B$11+0+B2333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305">
        <f>L2305*(1-MIN((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2305*(MIN((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05">
        <f>(1-Summary!$B$11)*T2305+Summary!$B$11*V2305</f>
        <v/>
      </c>
      <c r="P2305">
        <f>IF(B2338=0,0,O2305/B2338)</f>
        <v/>
      </c>
      <c r="Q2305">
        <f>IFERROR(1/IF(Inputs!$B$39="pvp",15,MAX(0.1,Skills!D6-IF(TRUE=TRUE,Inputs!$B$33,0))),0)</f>
        <v/>
      </c>
      <c r="R2305">
        <f>IF(AND(Inputs!$B$39&lt;&gt;"pvp",Inputs!$B$44&gt;0),IF(MAX(0,Inputs!$B$44-B2335)&lt;=0,0,(INT(MAX(0,Inputs!$B$44-B2335)/IF(Inputs!$B$39="pvp",15,MAX(0.1,Skills!D6-IF(TRUE=TRUE,Inputs!$B$33,0))))+1)),0)</f>
        <v/>
      </c>
      <c r="S2305">
        <f>IFERROR(O2305/N2305,0)</f>
        <v/>
      </c>
      <c r="T2305">
        <f>IF(C2305,(H2305*N2305*IF(AND(Inputs!$B$39&lt;&gt;"pvp",Inputs!$B$44&gt;0),((Skills!G6*((R2305-1)*IF(Skills!H6&gt;0,INT(Skills!I6/Skills!H6+0.000000001),1)+IF(Skills!H6&gt;0,INT(MIN(Skills!I6,MAX(0,MAX(0,Inputs!$B$44-B2335)-((R2305-1)*IF(Inputs!$B$39="pvp",15,MAX(0.1,Skills!D6-IF(TRUE=TRUE,Inputs!$B$33,0))))))/Skills!H6+0.000000001),1)))/Inputs!$B$44),G2305*Q2305))*IF(Inputs!$B$39="pvp",1,1+(Inputs!$B$21+0+Skills!P6+((C2316=TRUE)*F2316*IF(AND(Inputs!$B$39&lt;&gt;"pvp",Inputs!$B$44&gt;0),(((R2316-1)*MIN((Skills!T17*(1+Inputs!$B$35/100)),(1/Q2316))+MIN((Skills!T17*(1+Inputs!$B$35/100)),MAX(0,Inputs!$B$44-((R2316-1)*(1/Q2316)))))/Inputs!$B$44),IF(Inputs!$B$39="pvp",MIN((Skills!T17*(1+Inputs!$B$35/100)),15)/15,MIN(1,(Skills!T17*(1+Inputs!$B$35/100))/(1/Q2316)))))+((C2304=TRUE)*IF(Inputs!$B$3&gt;=126,10*MIN(1,15*Q2304),0))+((C2313=TRUE)*IF(Inputs!$B$39="pvp",20,(1-Summary!$B$11)*(20)+Summary!$B$11*(0))*IF(AND(Inputs!$B$39&lt;&gt;"pvp",Inputs!$B$44&gt;0),(((R2313-1)*MIN((Skills!T14*(1+Inputs!$B$35/100)),(1/Q2313))+MIN((Skills!T14*(1+Inputs!$B$35/100)),MAX(0,Inputs!$B$44-((R2313-1)*(1/Q2313)))))/Inputs!$B$44),IF(Inputs!$B$39="pvp",MIN((Skills!T14*(1+Inputs!$B$35/100)),15)/15,MIN(1,(Skills!T14*(1+Inputs!$B$35/100))/(1/Q2313)))))+((C2312=TRUE)*IF(Inputs!$B$3&gt;=82,IF(Inputs!$B$39="pvp",20,(1-Summary!$B$11)*(20)+Summary!$B$11*(0)),0)*IF(AND(Inputs!$B$39&lt;&gt;"pvp",Inputs!$B$44&gt;0),(((R2312-1)*MIN((Skills!T13*(1+Inputs!$B$35/100)),(1/Q2312))+MIN((Skills!T13*(1+Inputs!$B$35/100)),MAX(0,Inputs!$B$44-((R2312-1)*(1/Q2312)))))/Inputs!$B$44),IF(Inputs!$B$39="pvp",MIN((Skills!T13*(1+Inputs!$B$35/100)),15)/15,MIN(1,(Skills!T13*(1+Inputs!$B$35/100))/(1/Q2312)))))+(IF(AND(ArtifactsInput!$M$35,Inputs!$B$4&lt;&gt;"Chapter Hunt"),CHOOSE(ArtifactsInput!$N$35+1,15,18,21,24,27,30)*(1-EXP(-(0.2*B2330)*5)),0)+IF(AND(ArtifactsInput!$M$22,Inputs!$B$4&lt;&gt;"Chapter Hunt"),CHOOSE(ArtifactsInput!$N$22+1,10,12,14,16,18,20)*((0*(((0.15*B2330*5))^0/1)+1*(((0.15*B2330*5))^1/1)+2*(((0.15*B2330*5))^2/2)+3*(((0.15*B2330*5))^3/6)+4*(((0.15*B2330*5))^4/24)+5*(((0.15*B2330*5))^5/120))/((((0.15*B2330*5))^0/1)+(((0.15*B2330*5))^1/1)+(((0.15*B2330*5))^2/2)+(((0.15*B2330*5))^3/6)+(((0.15*B2330*5))^4/24)+(((0.15*B2330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2305*(1-MIN(100,(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2305*(MIN(100,(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2305*(1-MIN(100,(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2305*(MIN(100,(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05">
        <f>IF(C2305,(H2305*N2305*IF(AND(Inputs!$B$39&lt;&gt;"pvp",Inputs!$B$44&gt;0),((Skills!G6*((R2305-1)*IF(Skills!H6&gt;0,INT(Skills!I6/Skills!H6+0.000000001),1)+IF(Skills!H6&gt;0,INT(MIN(Skills!I6,MAX(0,MAX(0,Inputs!$B$44-B2335)-((R2305-1)*IF(Inputs!$B$39="pvp",15,MAX(0.1,Skills!D6-IF(TRUE=TRUE,Inputs!$B$33,0))))))/Skills!H6+0.000000001),1)))/Inputs!$B$44),G2305*Q2305))*IF(Inputs!$B$39="pvp",1,(1+(Inputs!$B$22+Skills!Q6+((C2316=TRUE)*F2316*IF(AND(Inputs!$B$39&lt;&gt;"pvp",Inputs!$B$44&gt;0),(((R2316-1)*MIN((Skills!T17*(1+Inputs!$B$35/100)),(1/Q2316))+MIN((Skills!T17*(1+Inputs!$B$35/100)),MAX(0,Inputs!$B$44-((R2316-1)*(1/Q2316)))))/Inputs!$B$44),IF(Inputs!$B$39="pvp",MIN((Skills!T17*(1+Inputs!$B$35/100)),15)/15,MIN(1,(Skills!T17*(1+Inputs!$B$35/100))/(1/Q2316)))))+((C2304=TRUE)*IF(Inputs!$B$3&gt;=126,10*MIN(1,15*Q2304),0))+((C2313=TRUE)*IF(Inputs!$B$39="pvp",20,(1-Summary!$B$11)*(20)+Summary!$B$11*(0))*IF(AND(Inputs!$B$39&lt;&gt;"pvp",Inputs!$B$44&gt;0),(((R2313-1)*MIN((Skills!T14*(1+Inputs!$B$35/100)),(1/Q2313))+MIN((Skills!T14*(1+Inputs!$B$35/100)),MAX(0,Inputs!$B$44-((R2313-1)*(1/Q2313)))))/Inputs!$B$44),IF(Inputs!$B$39="pvp",MIN((Skills!T14*(1+Inputs!$B$35/100)),15)/15,MIN(1,(Skills!T14*(1+Inputs!$B$35/100))/(1/Q2313)))))+((C2312=TRUE)*IF(Inputs!$B$3&gt;=82,IF(Inputs!$B$39="pvp",20,(1-Summary!$B$11)*(20)+Summary!$B$11*(0)),0)*IF(AND(Inputs!$B$39&lt;&gt;"pvp",Inputs!$B$44&gt;0),(((R2312-1)*MIN((Skills!T13*(1+Inputs!$B$35/100)),(1/Q2312))+MIN((Skills!T13*(1+Inputs!$B$35/100)),MAX(0,Inputs!$B$44-((R2312-1)*(1/Q2312)))))/Inputs!$B$44),IF(Inputs!$B$39="pvp",MIN((Skills!T13*(1+Inputs!$B$35/100)),15)/15,MIN(1,(Skills!T13*(1+Inputs!$B$35/100))/(1/Q2312)))))+(IF(AND(ArtifactsInput!$M$35,Inputs!$B$4&lt;&gt;"Chapter Hunt"),CHOOSE(ArtifactsInput!$N$35+1,15,18,21,24,27,30)*(1-EXP(-(0.2*B2330)*5)),0)+IF(AND(ArtifactsInput!$M$22,Inputs!$B$4&lt;&gt;"Chapter Hunt"),CHOOSE(ArtifactsInput!$N$22+1,10,12,14,16,18,20)*((0*(((0.15*B2330*5))^0/1)+1*(((0.15*B2330*5))^1/1)+2*(((0.15*B2330*5))^2/2)+3*(((0.15*B2330*5))^3/6)+4*(((0.15*B2330*5))^4/24)+5*(((0.15*B2330*5))^5/120))/((((0.15*B2330*5))^0/1)+(((0.15*B2330*5))^1/1)+(((0.15*B2330*5))^2/2)+(((0.15*B2330*5))^3/6)+(((0.15*B2330*5))^4/24)+(((0.15*B2330*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06">
      <c r="A2306">
        <f>Skills!A7</f>
        <v/>
      </c>
      <c r="B2306">
        <f>Skills!B7</f>
        <v/>
      </c>
      <c r="C2306">
        <f>Inputs!$B$3&gt;=40</f>
        <v/>
      </c>
      <c r="D2306">
        <f>IF(Skills!C7=1,60+Inputs!$B$26+Inputs!$B$30,IF(Skills!C7=2,90+Inputs!$B$27+Inputs!$B$30,IF(Skills!C7=3,120+Inputs!$B$28+Inputs!$B$30,MAX(0,(Inputs!$B$3-100)*3)+Inputs!$B$29+Inputs!$B$30)))</f>
        <v/>
      </c>
      <c r="E2306">
        <f>INDEX(FactorTable!$B$2:$Y$301, MATCH(ROUND(MIN(300,MAX(1,D2306)),0), FactorTable!$A$2:$A$301,0), Skills!M7+1)</f>
        <v/>
      </c>
      <c r="F2306">
        <f>IF(Skills!N7=TRUE,(Skills!L7/10)*(E2306/1000),Skills!L7/10)+Skills!O7</f>
        <v/>
      </c>
      <c r="G2306">
        <f>Skills!G7*IF(Skills!H7&gt;0,INT(IF(Inputs!$B$39="pvp",MIN(Skills!I7,15),Skills!I7)/Skills!H7+0.000000001),1)</f>
        <v/>
      </c>
      <c r="H2306">
        <f>1-(1-Skills!J7/100)^Skills!K7</f>
        <v/>
      </c>
      <c r="I2306" t="inlineStr">
        <is>
          <t>1</t>
        </is>
      </c>
      <c r="J2306">
        <f>((Inputs!$B$6*(1+Inputs!$B$7/100))+(((Inputs!$B$13*(1+Inputs!$B$14/100))-(Inputs!$B$13*(1+Inputs!$B$14/100)))+0.25*(Inputs!$B$15-Inputs!$B$15))*(1+Inputs!$B$7/100))*(F2306/100)</f>
        <v/>
      </c>
      <c r="K2306">
        <f>J2306*(1+(((Inputs!$B$13+IF(Inputs!$B$3&gt;=38,(10*INDEX(FactorTable!$B$2:$Y$301, MATCH(ROUND(MIN(300,MAX(1,Inputs!$B$3)),0), FactorTable!$A$2:$A$301,0), 23)/1000)/100*(Inputs!$B$8*(1+Inputs!$B$9/100)),0))*(1+Inputs!$B$14/100))*0.01+Inputs!$B$15*0.0025)/100)*(1+Inputs!$B$16/100)*(1+Inputs!$B$17/100)*(5000/(6000+Inputs!$B$43*(1-(Inputs!$B$20+0)/100)))*(1+(Inputs!$B$25+((C2324=TRUE)*(F2324-Calc!F25))+((C2325=TRUE)*(F2325-Calc!F26))+B2334)/100)*(1+(((1+IF(AND(ArtifactsInput!$M$36,IF(Inputs!$B$39="pvp",TRUE,AND(Inputs!$B$39&lt;&gt;"pvp",Inputs!$B$44&gt;0))),CHOOSE(ArtifactsInput!$N$36+1,8,9.6,11.2,12.8,14.4,16),0)/100)*(1+IF(AND(IF(ArtifactsInput!$M$32,FALSE,TRUE),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2310=TRUE,F2310,0)/100)*(1+(IF(Skills!A7="DARK_IMPALE",Inputs!$B$18+0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gt;=100),MIN(100,((Inputs!$B$10+0+B2328+(ArtifactsInput!$M$24-ArtifactsInput!$M$24)*CHOOSE(ArtifactsInput!$N$24+1,10,12,14,16,18,20)+IF(ArtifactsInput!$M$10,CHOOSE(ArtifactsInput!$N$10+1,15,18,21,24,27,30)*(IF(Inputs!$B$39="pvp",MIN(15,15)/15,IF(AND(Inputs!$B$39&lt;&gt;"pvp",Inputs!$B$44&gt;0),MIN(15,Inputs!$B$44)/(Inputs!$B$44),0))),0)))-100),0))*CHOOSE(ArtifactsInput!$N$42+1,0.6,0.72,0.84,0.96,1.08,1.2))),Inputs!$B$19+((C2322=TRUE)*(F2322-Calc!F23))+(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gt;=100),CHOOSE(ArtifactsInput!$N$42+1,40,48,56,64,72,80),0))))/100)*((1+(((C2312=TRUE)*F2312*IF(AND(Inputs!$B$39&lt;&gt;"pvp",Inputs!$B$44&gt;0),(((R2312-1)*MIN((Skills!T13*(1+Inputs!$B$35/100)),(1/Q2312))+MIN((Skills!T13*(1+Inputs!$B$35/100)),MAX(0,Inputs!$B$44-((R2312-1)*(1/Q2312)))))/Inputs!$B$44),IF(Inputs!$B$39="pvp",MIN((Skills!T13*(1+Inputs!$B$35/100)),15)/15,MIN(1,(Skills!T13*(1+Inputs!$B$35/100))/(1/Q2312)))))+((C2313=TRUE)*F2313*IF(AND(Inputs!$B$39&lt;&gt;"pvp",Inputs!$B$44&gt;0),(((R2313-1)*MIN((Skills!T14*(1+Inputs!$B$35/100)),(1/Q2313))+MIN((Skills!T14*(1+Inputs!$B$35/100)),MAX(0,Inputs!$B$44-((R2313-1)*(1/Q2313)))))/Inputs!$B$44),IF(Inputs!$B$39="pvp",MIN((Skills!T14*(1+Inputs!$B$35/100)),15)/15,MIN(1,(Skills!T14*(1+Inputs!$B$35/100))/(1/Q2313)))))+((C2314=TRUE)*F2314*IF(AND(Inputs!$B$39&lt;&gt;"pvp",Inputs!$B$44&gt;0),(((R2314-1)*MIN((Skills!T15*(1+Inputs!$B$35/100)),(1/Q2314))+MIN((Skills!T15*(1+Inputs!$B$35/100)),MAX(0,Inputs!$B$44-((R2314-1)*(1/Q2314)))))/Inputs!$B$44),IF(Inputs!$B$39="pvp",MIN((Skills!T15*(1+Inputs!$B$35/100)),15)/15,MIN(1,(Skills!T15*(1+Inputs!$B$35/100))/(1/Q2314)))))+((C2315=TRUE)*F2315*IF(AND(Inputs!$B$39&lt;&gt;"pvp",Inputs!$B$44&gt;0),(((R2315-1)*MIN((Skills!T16*(1+Inputs!$B$35/100)),(1/Q2315))+MIN((Skills!T16*(1+Inputs!$B$35/100)),MAX(0,Inputs!$B$44-((R2315-1)*(1/Q2315)))))/Inputs!$B$44),IF(Inputs!$B$39="pvp",MIN((Skills!T16*(1+Inputs!$B$35/100)),15)/15,MIN(1,(Skills!T16*(1+Inputs!$B$35/100))/(1/Q2315)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2306)</f>
        <v/>
      </c>
      <c r="L2306">
        <f>K2306*(MIN(Inputs!$B$23+((C2321=TRUE)*(F2321-Calc!F22)),(Inputs!$B$24+((C2323=TRUE)*(F2323-Calc!F24))+(IF(ArtifactsInput!$M$15,CHOOSE(ArtifactsInput!$N$15+1,25,30,35,40,45,50)/100*(Inputs!$B$12-Inputs!$B$12),0))))/100+(Inputs!$B$24+((C2323=TRUE)*(F2323-Calc!F24))+(IF(ArtifactsInput!$M$15,CHOOSE(ArtifactsInput!$N$15+1,25,30,35,40,45,50)/100*(Inputs!$B$12-Inputs!$B$12),0)))/100)/2</f>
        <v/>
      </c>
      <c r="M2306">
        <f>L2306*(1+(Inputs!$B$11+0+B2333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306">
        <f>L2306*(1-MIN((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2306*(MIN((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06">
        <f>(1-Summary!$B$11)*T2306+Summary!$B$11*V2306</f>
        <v/>
      </c>
      <c r="P2306">
        <f>IF(B2338=0,0,O2306/B2338)</f>
        <v/>
      </c>
      <c r="Q2306">
        <f>IFERROR(1/IF(Inputs!$B$39="pvp",15,MAX(0.1,Skills!D7-IF(TRUE=TRUE,Inputs!$B$33,0))),0)</f>
        <v/>
      </c>
      <c r="R2306">
        <f>IF(AND(Inputs!$B$39&lt;&gt;"pvp",Inputs!$B$44&gt;0),IF(MAX(0,Inputs!$B$44-B2335)&lt;=0,0,(INT(MAX(0,Inputs!$B$44-B2335)/IF(Inputs!$B$39="pvp",15,MAX(0.1,Skills!D7-IF(TRUE=TRUE,Inputs!$B$33,0))))+1)),0)</f>
        <v/>
      </c>
      <c r="S2306">
        <f>IFERROR(O2306/N2306,0)</f>
        <v/>
      </c>
      <c r="T2306">
        <f>IF(C2306,(H2306*N2306*IF(AND(Inputs!$B$39&lt;&gt;"pvp",Inputs!$B$44&gt;0),((Skills!G7*((R2306-1)*IF(Skills!H7&gt;0,INT(Skills!I7/Skills!H7+0.000000001),1)+IF(Skills!H7&gt;0,INT(MIN(Skills!I7,MAX(0,MAX(0,Inputs!$B$44-B2335)-((R2306-1)*IF(Inputs!$B$39="pvp",15,MAX(0.1,Skills!D7-IF(TRUE=TRUE,Inputs!$B$33,0))))))/Skills!H7+0.000000001),1)))/Inputs!$B$44),G2306*Q2306))*IF(Inputs!$B$39="pvp",1,1+(Inputs!$B$21+0+Skills!P7+((C2316=TRUE)*F2316*IF(AND(Inputs!$B$39&lt;&gt;"pvp",Inputs!$B$44&gt;0),(((R2316-1)*MIN((Skills!T17*(1+Inputs!$B$35/100)),(1/Q2316))+MIN((Skills!T17*(1+Inputs!$B$35/100)),MAX(0,Inputs!$B$44-((R2316-1)*(1/Q2316)))))/Inputs!$B$44),IF(Inputs!$B$39="pvp",MIN((Skills!T17*(1+Inputs!$B$35/100)),15)/15,MIN(1,(Skills!T17*(1+Inputs!$B$35/100))/(1/Q2316)))))+((C2304=TRUE)*IF(Inputs!$B$3&gt;=126,10*MIN(1,15*Q2304),0))+((C2313=TRUE)*IF(Inputs!$B$39="pvp",20,(1-Summary!$B$11)*(20)+Summary!$B$11*(0))*IF(AND(Inputs!$B$39&lt;&gt;"pvp",Inputs!$B$44&gt;0),(((R2313-1)*MIN((Skills!T14*(1+Inputs!$B$35/100)),(1/Q2313))+MIN((Skills!T14*(1+Inputs!$B$35/100)),MAX(0,Inputs!$B$44-((R2313-1)*(1/Q2313)))))/Inputs!$B$44),IF(Inputs!$B$39="pvp",MIN((Skills!T14*(1+Inputs!$B$35/100)),15)/15,MIN(1,(Skills!T14*(1+Inputs!$B$35/100))/(1/Q2313)))))+((C2312=TRUE)*IF(Inputs!$B$3&gt;=82,IF(Inputs!$B$39="pvp",20,(1-Summary!$B$11)*(20)+Summary!$B$11*(0)),0)*IF(AND(Inputs!$B$39&lt;&gt;"pvp",Inputs!$B$44&gt;0),(((R2312-1)*MIN((Skills!T13*(1+Inputs!$B$35/100)),(1/Q2312))+MIN((Skills!T13*(1+Inputs!$B$35/100)),MAX(0,Inputs!$B$44-((R2312-1)*(1/Q2312)))))/Inputs!$B$44),IF(Inputs!$B$39="pvp",MIN((Skills!T13*(1+Inputs!$B$35/100)),15)/15,MIN(1,(Skills!T13*(1+Inputs!$B$35/100))/(1/Q2312)))))+(IF(AND(ArtifactsInput!$M$35,Inputs!$B$4&lt;&gt;"Chapter Hunt"),CHOOSE(ArtifactsInput!$N$35+1,15,18,21,24,27,30)*(1-EXP(-(0.2*B2330)*5)),0)+IF(AND(ArtifactsInput!$M$22,Inputs!$B$4&lt;&gt;"Chapter Hunt"),CHOOSE(ArtifactsInput!$N$22+1,10,12,14,16,18,20)*((0*(((0.15*B2330*5))^0/1)+1*(((0.15*B2330*5))^1/1)+2*(((0.15*B2330*5))^2/2)+3*(((0.15*B2330*5))^3/6)+4*(((0.15*B2330*5))^4/24)+5*(((0.15*B2330*5))^5/120))/((((0.15*B2330*5))^0/1)+(((0.15*B2330*5))^1/1)+(((0.15*B2330*5))^2/2)+(((0.15*B2330*5))^3/6)+(((0.15*B2330*5))^4/24)+(((0.15*B2330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2306*(1-MIN(100,(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2306*(MIN(100,(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2306*(1-MIN(100,(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2306*(MIN(100,(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06">
        <f>IF(C2306,(H2306*N2306*IF(AND(Inputs!$B$39&lt;&gt;"pvp",Inputs!$B$44&gt;0),((Skills!G7*((R2306-1)*IF(Skills!H7&gt;0,INT(Skills!I7/Skills!H7+0.000000001),1)+IF(Skills!H7&gt;0,INT(MIN(Skills!I7,MAX(0,MAX(0,Inputs!$B$44-B2335)-((R2306-1)*IF(Inputs!$B$39="pvp",15,MAX(0.1,Skills!D7-IF(TRUE=TRUE,Inputs!$B$33,0))))))/Skills!H7+0.000000001),1)))/Inputs!$B$44),G2306*Q2306))*IF(Inputs!$B$39="pvp",1,(1+(Inputs!$B$22+Skills!Q7+((C2316=TRUE)*F2316*IF(AND(Inputs!$B$39&lt;&gt;"pvp",Inputs!$B$44&gt;0),(((R2316-1)*MIN((Skills!T17*(1+Inputs!$B$35/100)),(1/Q2316))+MIN((Skills!T17*(1+Inputs!$B$35/100)),MAX(0,Inputs!$B$44-((R2316-1)*(1/Q2316)))))/Inputs!$B$44),IF(Inputs!$B$39="pvp",MIN((Skills!T17*(1+Inputs!$B$35/100)),15)/15,MIN(1,(Skills!T17*(1+Inputs!$B$35/100))/(1/Q2316)))))+((C2304=TRUE)*IF(Inputs!$B$3&gt;=126,10*MIN(1,15*Q2304),0))+((C2313=TRUE)*IF(Inputs!$B$39="pvp",20,(1-Summary!$B$11)*(20)+Summary!$B$11*(0))*IF(AND(Inputs!$B$39&lt;&gt;"pvp",Inputs!$B$44&gt;0),(((R2313-1)*MIN((Skills!T14*(1+Inputs!$B$35/100)),(1/Q2313))+MIN((Skills!T14*(1+Inputs!$B$35/100)),MAX(0,Inputs!$B$44-((R2313-1)*(1/Q2313)))))/Inputs!$B$44),IF(Inputs!$B$39="pvp",MIN((Skills!T14*(1+Inputs!$B$35/100)),15)/15,MIN(1,(Skills!T14*(1+Inputs!$B$35/100))/(1/Q2313)))))+((C2312=TRUE)*IF(Inputs!$B$3&gt;=82,IF(Inputs!$B$39="pvp",20,(1-Summary!$B$11)*(20)+Summary!$B$11*(0)),0)*IF(AND(Inputs!$B$39&lt;&gt;"pvp",Inputs!$B$44&gt;0),(((R2312-1)*MIN((Skills!T13*(1+Inputs!$B$35/100)),(1/Q2312))+MIN((Skills!T13*(1+Inputs!$B$35/100)),MAX(0,Inputs!$B$44-((R2312-1)*(1/Q2312)))))/Inputs!$B$44),IF(Inputs!$B$39="pvp",MIN((Skills!T13*(1+Inputs!$B$35/100)),15)/15,MIN(1,(Skills!T13*(1+Inputs!$B$35/100))/(1/Q2312)))))+(IF(AND(ArtifactsInput!$M$35,Inputs!$B$4&lt;&gt;"Chapter Hunt"),CHOOSE(ArtifactsInput!$N$35+1,15,18,21,24,27,30)*(1-EXP(-(0.2*B2330)*5)),0)+IF(AND(ArtifactsInput!$M$22,Inputs!$B$4&lt;&gt;"Chapter Hunt"),CHOOSE(ArtifactsInput!$N$22+1,10,12,14,16,18,20)*((0*(((0.15*B2330*5))^0/1)+1*(((0.15*B2330*5))^1/1)+2*(((0.15*B2330*5))^2/2)+3*(((0.15*B2330*5))^3/6)+4*(((0.15*B2330*5))^4/24)+5*(((0.15*B2330*5))^5/120))/((((0.15*B2330*5))^0/1)+(((0.15*B2330*5))^1/1)+(((0.15*B2330*5))^2/2)+(((0.15*B2330*5))^3/6)+(((0.15*B2330*5))^4/24)+(((0.15*B2330*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07">
      <c r="A2307">
        <f>Skills!A8</f>
        <v/>
      </c>
      <c r="B2307">
        <f>Skills!B8</f>
        <v/>
      </c>
      <c r="C2307">
        <f>Inputs!$B$3&gt;=75</f>
        <v/>
      </c>
      <c r="D2307">
        <f>IF(Skills!C8=1,60+Inputs!$B$26+Inputs!$B$30,IF(Skills!C8=2,90+Inputs!$B$27+Inputs!$B$30,IF(Skills!C8=3,120+Inputs!$B$28+Inputs!$B$30,MAX(0,(Inputs!$B$3-100)*3)+Inputs!$B$29+Inputs!$B$30)))</f>
        <v/>
      </c>
      <c r="E2307">
        <f>INDEX(FactorTable!$B$2:$Y$301, MATCH(ROUND(MIN(300,MAX(1,D2307)),0), FactorTable!$A$2:$A$301,0), Skills!M8+1)</f>
        <v/>
      </c>
      <c r="F2307">
        <f>IF(Skills!N8=TRUE,(Skills!L8/10)*(E2307/1000),Skills!L8/10)+Skills!O8</f>
        <v/>
      </c>
      <c r="G2307" t="inlineStr"/>
      <c r="H2307" t="inlineStr"/>
      <c r="I2307" t="inlineStr">
        <is>
          <t>1</t>
        </is>
      </c>
      <c r="J2307" t="inlineStr"/>
      <c r="K2307" t="inlineStr"/>
      <c r="L2307" t="inlineStr"/>
      <c r="M2307" t="inlineStr"/>
      <c r="N2307" t="inlineStr"/>
      <c r="O2307" t="inlineStr"/>
      <c r="P2307" t="inlineStr"/>
      <c r="Q2307" t="inlineStr"/>
      <c r="R2307" t="inlineStr"/>
      <c r="S2307" t="inlineStr"/>
    </row>
    <row r="2308">
      <c r="A2308">
        <f>Skills!A9</f>
        <v/>
      </c>
      <c r="B2308">
        <f>Skills!B9</f>
        <v/>
      </c>
      <c r="C2308">
        <f>Inputs!$B$3&gt;=60</f>
        <v/>
      </c>
      <c r="D2308">
        <f>IF(Skills!C9=1,60+Inputs!$B$26+Inputs!$B$30,IF(Skills!C9=2,90+Inputs!$B$27+Inputs!$B$30,IF(Skills!C9=3,120+Inputs!$B$28+Inputs!$B$30,MAX(0,(Inputs!$B$3-100)*3)+Inputs!$B$29+Inputs!$B$30)))</f>
        <v/>
      </c>
      <c r="E2308">
        <f>INDEX(FactorTable!$B$2:$Y$301, MATCH(ROUND(MIN(300,MAX(1,D2308)),0), FactorTable!$A$2:$A$301,0), Skills!M9+1)</f>
        <v/>
      </c>
      <c r="F2308">
        <f>IF(Skills!N9=TRUE,(Skills!L9/10)*(E2308/1000),Skills!L9/10)+Skills!O9</f>
        <v/>
      </c>
      <c r="G2308">
        <f>Skills!G9*IF(Skills!H9&gt;0,INT(IF(Inputs!$B$39="pvp",MIN(Skills!I9,15),Skills!I9)/Skills!H9+0.000000001),1)</f>
        <v/>
      </c>
      <c r="H2308">
        <f>1-(1-Skills!J9/100)^Skills!K9</f>
        <v/>
      </c>
      <c r="I2308" t="inlineStr">
        <is>
          <t>1</t>
        </is>
      </c>
      <c r="J2308">
        <f>((Inputs!$B$6*(1+Inputs!$B$7/100))+(((Inputs!$B$13*(1+Inputs!$B$14/100))-(Inputs!$B$13*(1+Inputs!$B$14/100)))+0.25*(Inputs!$B$15-Inputs!$B$15))*(1+Inputs!$B$7/100))*(F2308/100)</f>
        <v/>
      </c>
      <c r="K2308">
        <f>J2308*(1+(((Inputs!$B$13+IF(Inputs!$B$3&gt;=38,(10*INDEX(FactorTable!$B$2:$Y$301, MATCH(ROUND(MIN(300,MAX(1,Inputs!$B$3)),0), FactorTable!$A$2:$A$301,0), 23)/1000)/100*(Inputs!$B$8*(1+Inputs!$B$9/100)),0))*(1+Inputs!$B$14/100))*0.01+Inputs!$B$15*0.0025)/100)*(1+Inputs!$B$16/100)*(1+Inputs!$B$17/100)*(5000/(6000+Inputs!$B$43*(1-(Inputs!$B$20+0)/100)))*(1+(Inputs!$B$25+((C2324=TRUE)*(F2324-Calc!F25))+((C2325=TRUE)*(F2325-Calc!F26))+B2334)/100)*(1+(((1+IF(AND(ArtifactsInput!$M$36,IF(Inputs!$B$39="pvp",TRUE,AND(Inputs!$B$39&lt;&gt;"pvp",Inputs!$B$44&gt;0))),CHOOSE(ArtifactsInput!$N$36+1,8,9.6,11.2,12.8,14.4,16),0)/100)*(1+IF(AND(IF(ArtifactsInput!$M$32,FALSE,TRUE),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2310=TRUE,F2310,0)/100)*(1+(IF(Skills!A9="DARK_IMPALE",Inputs!$B$18+0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gt;=100),MIN(100,((Inputs!$B$10+0+B2328+(ArtifactsInput!$M$24-ArtifactsInput!$M$24)*CHOOSE(ArtifactsInput!$N$24+1,10,12,14,16,18,20)+IF(ArtifactsInput!$M$10,CHOOSE(ArtifactsInput!$N$10+1,15,18,21,24,27,30)*(IF(Inputs!$B$39="pvp",MIN(15,15)/15,IF(AND(Inputs!$B$39&lt;&gt;"pvp",Inputs!$B$44&gt;0),MIN(15,Inputs!$B$44)/(Inputs!$B$44),0))),0)))-100),0))*CHOOSE(ArtifactsInput!$N$42+1,0.6,0.72,0.84,0.96,1.08,1.2))),Inputs!$B$19+((C2322=TRUE)*(F2322-Calc!F23))+(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gt;=100),CHOOSE(ArtifactsInput!$N$42+1,40,48,56,64,72,80),0))))/100)*((1+(((C2312=TRUE)*F2312*IF(AND(Inputs!$B$39&lt;&gt;"pvp",Inputs!$B$44&gt;0),(((R2312-1)*MIN((Skills!T13*(1+Inputs!$B$35/100)),(1/Q2312))+MIN((Skills!T13*(1+Inputs!$B$35/100)),MAX(0,Inputs!$B$44-((R2312-1)*(1/Q2312)))))/Inputs!$B$44),IF(Inputs!$B$39="pvp",MIN((Skills!T13*(1+Inputs!$B$35/100)),15)/15,MIN(1,(Skills!T13*(1+Inputs!$B$35/100))/(1/Q2312)))))+((C2313=TRUE)*F2313*IF(AND(Inputs!$B$39&lt;&gt;"pvp",Inputs!$B$44&gt;0),(((R2313-1)*MIN((Skills!T14*(1+Inputs!$B$35/100)),(1/Q2313))+MIN((Skills!T14*(1+Inputs!$B$35/100)),MAX(0,Inputs!$B$44-((R2313-1)*(1/Q2313)))))/Inputs!$B$44),IF(Inputs!$B$39="pvp",MIN((Skills!T14*(1+Inputs!$B$35/100)),15)/15,MIN(1,(Skills!T14*(1+Inputs!$B$35/100))/(1/Q2313)))))+((C2314=TRUE)*F2314*IF(AND(Inputs!$B$39&lt;&gt;"pvp",Inputs!$B$44&gt;0),(((R2314-1)*MIN((Skills!T15*(1+Inputs!$B$35/100)),(1/Q2314))+MIN((Skills!T15*(1+Inputs!$B$35/100)),MAX(0,Inputs!$B$44-((R2314-1)*(1/Q2314)))))/Inputs!$B$44),IF(Inputs!$B$39="pvp",MIN((Skills!T15*(1+Inputs!$B$35/100)),15)/15,MIN(1,(Skills!T15*(1+Inputs!$B$35/100))/(1/Q2314)))))+((C2315=TRUE)*F2315*IF(AND(Inputs!$B$39&lt;&gt;"pvp",Inputs!$B$44&gt;0),(((R2315-1)*MIN((Skills!T16*(1+Inputs!$B$35/100)),(1/Q2315))+MIN((Skills!T16*(1+Inputs!$B$35/100)),MAX(0,Inputs!$B$44-((R2315-1)*(1/Q2315)))))/Inputs!$B$44),IF(Inputs!$B$39="pvp",MIN((Skills!T16*(1+Inputs!$B$35/100)),15)/15,MIN(1,(Skills!T16*(1+Inputs!$B$35/100))/(1/Q2315)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2308)</f>
        <v/>
      </c>
      <c r="L2308">
        <f>K2308*(MIN(Inputs!$B$23+((C2321=TRUE)*(F2321-Calc!F22)),(Inputs!$B$24+((C2323=TRUE)*(F2323-Calc!F24))+(IF(ArtifactsInput!$M$15,CHOOSE(ArtifactsInput!$N$15+1,25,30,35,40,45,50)/100*(Inputs!$B$12-Inputs!$B$12),0))))/100+(Inputs!$B$24+((C2323=TRUE)*(F2323-Calc!F24))+(IF(ArtifactsInput!$M$15,CHOOSE(ArtifactsInput!$N$15+1,25,30,35,40,45,50)/100*(Inputs!$B$12-Inputs!$B$12),0)))/100)/2</f>
        <v/>
      </c>
      <c r="M2308">
        <f>L2308*(1+(Inputs!$B$11+0+B2333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308">
        <f>L2308*(1-MIN((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2308*(MIN((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08">
        <f>(1-Summary!$B$11)*T2308+Summary!$B$11*V2308</f>
        <v/>
      </c>
      <c r="P2308">
        <f>IF(B2338=0,0,O2308/B2338)</f>
        <v/>
      </c>
      <c r="Q2308">
        <f>IFERROR(1/IF(Inputs!$B$39="pvp",15,MAX(0.1,Skills!D9-IF(TRUE=TRUE,Inputs!$B$33,0))),0)</f>
        <v/>
      </c>
      <c r="R2308">
        <f>IF(AND(Inputs!$B$39&lt;&gt;"pvp",Inputs!$B$44&gt;0),IF(MAX(0,Inputs!$B$44-B2335)&lt;=0,0,(INT(MAX(0,Inputs!$B$44-B2335)/IF(Inputs!$B$39="pvp",15,MAX(0.1,Skills!D9-IF(TRUE=TRUE,Inputs!$B$33,0))))+1)),0)</f>
        <v/>
      </c>
      <c r="S2308">
        <f>IFERROR(O2308/N2308,0)</f>
        <v/>
      </c>
      <c r="T2308">
        <f>IF(C2308,(H2308*N2308*IF(AND(Inputs!$B$39&lt;&gt;"pvp",Inputs!$B$44&gt;0),((Skills!G9*((R2308-1)*IF(Skills!H9&gt;0,INT(Skills!I9/Skills!H9+0.000000001),1)+IF(Skills!H9&gt;0,INT(MIN(Skills!I9,MAX(0,MAX(0,Inputs!$B$44-B2335)-((R2308-1)*IF(Inputs!$B$39="pvp",15,MAX(0.1,Skills!D9-IF(TRUE=TRUE,Inputs!$B$33,0))))))/Skills!H9+0.000000001),1)))/Inputs!$B$44),G2308*Q2308))*IF(Inputs!$B$39="pvp",1,1+(Inputs!$B$21+0+Skills!P9+((C2316=TRUE)*F2316*IF(AND(Inputs!$B$39&lt;&gt;"pvp",Inputs!$B$44&gt;0),(((R2316-1)*MIN((Skills!T17*(1+Inputs!$B$35/100)),(1/Q2316))+MIN((Skills!T17*(1+Inputs!$B$35/100)),MAX(0,Inputs!$B$44-((R2316-1)*(1/Q2316)))))/Inputs!$B$44),IF(Inputs!$B$39="pvp",MIN((Skills!T17*(1+Inputs!$B$35/100)),15)/15,MIN(1,(Skills!T17*(1+Inputs!$B$35/100))/(1/Q2316)))))+((C2304=TRUE)*IF(Inputs!$B$3&gt;=126,10*MIN(1,15*Q2304),0))+((C2313=TRUE)*IF(Inputs!$B$39="pvp",20,(1-Summary!$B$11)*(20)+Summary!$B$11*(0))*IF(AND(Inputs!$B$39&lt;&gt;"pvp",Inputs!$B$44&gt;0),(((R2313-1)*MIN((Skills!T14*(1+Inputs!$B$35/100)),(1/Q2313))+MIN((Skills!T14*(1+Inputs!$B$35/100)),MAX(0,Inputs!$B$44-((R2313-1)*(1/Q2313)))))/Inputs!$B$44),IF(Inputs!$B$39="pvp",MIN((Skills!T14*(1+Inputs!$B$35/100)),15)/15,MIN(1,(Skills!T14*(1+Inputs!$B$35/100))/(1/Q2313)))))+((C2312=TRUE)*IF(Inputs!$B$3&gt;=82,IF(Inputs!$B$39="pvp",20,(1-Summary!$B$11)*(20)+Summary!$B$11*(0)),0)*IF(AND(Inputs!$B$39&lt;&gt;"pvp",Inputs!$B$44&gt;0),(((R2312-1)*MIN((Skills!T13*(1+Inputs!$B$35/100)),(1/Q2312))+MIN((Skills!T13*(1+Inputs!$B$35/100)),MAX(0,Inputs!$B$44-((R2312-1)*(1/Q2312)))))/Inputs!$B$44),IF(Inputs!$B$39="pvp",MIN((Skills!T13*(1+Inputs!$B$35/100)),15)/15,MIN(1,(Skills!T13*(1+Inputs!$B$35/100))/(1/Q2312)))))+(IF(AND(ArtifactsInput!$M$35,Inputs!$B$4&lt;&gt;"Chapter Hunt"),CHOOSE(ArtifactsInput!$N$35+1,15,18,21,24,27,30)*(1-EXP(-(0.2*B2330)*5)),0)+IF(AND(ArtifactsInput!$M$22,Inputs!$B$4&lt;&gt;"Chapter Hunt"),CHOOSE(ArtifactsInput!$N$22+1,10,12,14,16,18,20)*((0*(((0.15*B2330*5))^0/1)+1*(((0.15*B2330*5))^1/1)+2*(((0.15*B2330*5))^2/2)+3*(((0.15*B2330*5))^3/6)+4*(((0.15*B2330*5))^4/24)+5*(((0.15*B2330*5))^5/120))/((((0.15*B2330*5))^0/1)+(((0.15*B2330*5))^1/1)+(((0.15*B2330*5))^2/2)+(((0.15*B2330*5))^3/6)+(((0.15*B2330*5))^4/24)+(((0.15*B2330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2308*(1-MIN(100,(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2308*(MIN(100,(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2308*(1-MIN(100,(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2308*(MIN(100,(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08">
        <f>IF(C2308,(H2308*N2308*IF(AND(Inputs!$B$39&lt;&gt;"pvp",Inputs!$B$44&gt;0),((Skills!G9*((R2308-1)*IF(Skills!H9&gt;0,INT(Skills!I9/Skills!H9+0.000000001),1)+IF(Skills!H9&gt;0,INT(MIN(Skills!I9,MAX(0,MAX(0,Inputs!$B$44-B2335)-((R2308-1)*IF(Inputs!$B$39="pvp",15,MAX(0.1,Skills!D9-IF(TRUE=TRUE,Inputs!$B$33,0))))))/Skills!H9+0.000000001),1)))/Inputs!$B$44),G2308*Q2308))*IF(Inputs!$B$39="pvp",1,(1+(Inputs!$B$22+Skills!Q9+((C2316=TRUE)*F2316*IF(AND(Inputs!$B$39&lt;&gt;"pvp",Inputs!$B$44&gt;0),(((R2316-1)*MIN((Skills!T17*(1+Inputs!$B$35/100)),(1/Q2316))+MIN((Skills!T17*(1+Inputs!$B$35/100)),MAX(0,Inputs!$B$44-((R2316-1)*(1/Q2316)))))/Inputs!$B$44),IF(Inputs!$B$39="pvp",MIN((Skills!T17*(1+Inputs!$B$35/100)),15)/15,MIN(1,(Skills!T17*(1+Inputs!$B$35/100))/(1/Q2316)))))+((C2304=TRUE)*IF(Inputs!$B$3&gt;=126,10*MIN(1,15*Q2304),0))+((C2313=TRUE)*IF(Inputs!$B$39="pvp",20,(1-Summary!$B$11)*(20)+Summary!$B$11*(0))*IF(AND(Inputs!$B$39&lt;&gt;"pvp",Inputs!$B$44&gt;0),(((R2313-1)*MIN((Skills!T14*(1+Inputs!$B$35/100)),(1/Q2313))+MIN((Skills!T14*(1+Inputs!$B$35/100)),MAX(0,Inputs!$B$44-((R2313-1)*(1/Q2313)))))/Inputs!$B$44),IF(Inputs!$B$39="pvp",MIN((Skills!T14*(1+Inputs!$B$35/100)),15)/15,MIN(1,(Skills!T14*(1+Inputs!$B$35/100))/(1/Q2313)))))+((C2312=TRUE)*IF(Inputs!$B$3&gt;=82,IF(Inputs!$B$39="pvp",20,(1-Summary!$B$11)*(20)+Summary!$B$11*(0)),0)*IF(AND(Inputs!$B$39&lt;&gt;"pvp",Inputs!$B$44&gt;0),(((R2312-1)*MIN((Skills!T13*(1+Inputs!$B$35/100)),(1/Q2312))+MIN((Skills!T13*(1+Inputs!$B$35/100)),MAX(0,Inputs!$B$44-((R2312-1)*(1/Q2312)))))/Inputs!$B$44),IF(Inputs!$B$39="pvp",MIN((Skills!T13*(1+Inputs!$B$35/100)),15)/15,MIN(1,(Skills!T13*(1+Inputs!$B$35/100))/(1/Q2312)))))+(IF(AND(ArtifactsInput!$M$35,Inputs!$B$4&lt;&gt;"Chapter Hunt"),CHOOSE(ArtifactsInput!$N$35+1,15,18,21,24,27,30)*(1-EXP(-(0.2*B2330)*5)),0)+IF(AND(ArtifactsInput!$M$22,Inputs!$B$4&lt;&gt;"Chapter Hunt"),CHOOSE(ArtifactsInput!$N$22+1,10,12,14,16,18,20)*((0*(((0.15*B2330*5))^0/1)+1*(((0.15*B2330*5))^1/1)+2*(((0.15*B2330*5))^2/2)+3*(((0.15*B2330*5))^3/6)+4*(((0.15*B2330*5))^4/24)+5*(((0.15*B2330*5))^5/120))/((((0.15*B2330*5))^0/1)+(((0.15*B2330*5))^1/1)+(((0.15*B2330*5))^2/2)+(((0.15*B2330*5))^3/6)+(((0.15*B2330*5))^4/24)+(((0.15*B2330*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09">
      <c r="A2309">
        <f>Skills!A10</f>
        <v/>
      </c>
      <c r="B2309">
        <f>Skills!B10</f>
        <v/>
      </c>
      <c r="C2309">
        <f>Inputs!$B$3&gt;=110</f>
        <v/>
      </c>
      <c r="D2309">
        <f>IF(Skills!C10=1,60+Inputs!$B$26+Inputs!$B$30,IF(Skills!C10=2,90+Inputs!$B$27+Inputs!$B$30,IF(Skills!C10=3,120+Inputs!$B$28+Inputs!$B$30,MAX(0,(Inputs!$B$3-100)*3)+Inputs!$B$29+Inputs!$B$30)))</f>
        <v/>
      </c>
      <c r="E2309">
        <f>INDEX(FactorTable!$B$2:$Y$301, MATCH(ROUND(MIN(300,MAX(1,D2309)),0), FactorTable!$A$2:$A$301,0), Skills!M10+1)</f>
        <v/>
      </c>
      <c r="F2309">
        <f>IF(Skills!N10=TRUE,(Skills!L10/10)*(E2309/1000),Skills!L10/10)+Skills!O10</f>
        <v/>
      </c>
      <c r="G2309">
        <f>Skills!G10*IF(Skills!H10&gt;0,INT(IF(Inputs!$B$39="pvp",MIN(Skills!I10,15),Skills!I10)/Skills!H10+0.000000001),1)</f>
        <v/>
      </c>
      <c r="H2309">
        <f>1-(1-Skills!J10/100)^Skills!K10</f>
        <v/>
      </c>
      <c r="I2309" t="inlineStr">
        <is>
          <t>1</t>
        </is>
      </c>
      <c r="J2309">
        <f>((Inputs!$B$6*(1+Inputs!$B$7/100))+(((Inputs!$B$13*(1+Inputs!$B$14/100))-(Inputs!$B$13*(1+Inputs!$B$14/100)))+0.25*(Inputs!$B$15-Inputs!$B$15))*(1+Inputs!$B$7/100))*(F2309/100)</f>
        <v/>
      </c>
      <c r="K2309">
        <f>J2309*(1+(((Inputs!$B$13+IF(Inputs!$B$3&gt;=38,(10*INDEX(FactorTable!$B$2:$Y$301, MATCH(ROUND(MIN(300,MAX(1,Inputs!$B$3)),0), FactorTable!$A$2:$A$301,0), 23)/1000)/100*(Inputs!$B$8*(1+Inputs!$B$9/100)),0))*(1+Inputs!$B$14/100))*0.01+Inputs!$B$15*0.0025)/100)*(1+Inputs!$B$16/100)*(1+Inputs!$B$17/100)*(5000/(6000+Inputs!$B$43*(1-(Inputs!$B$20+0)/100)))*(1+(Inputs!$B$25+((C2324=TRUE)*(F2324-Calc!F25))+((C2325=TRUE)*(F2325-Calc!F26))+B2334)/100)*(1+(((1+IF(AND(ArtifactsInput!$M$36,IF(Inputs!$B$39="pvp",TRUE,AND(Inputs!$B$39&lt;&gt;"pvp",Inputs!$B$44&gt;0))),CHOOSE(ArtifactsInput!$N$36+1,8,9.6,11.2,12.8,14.4,16),0)/100)*(1+IF(AND(IF(ArtifactsInput!$M$32,FALSE,TRUE),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gt;=100),MIN(100,((Inputs!$B$10+0+B2328+(ArtifactsInput!$M$24-ArtifactsInput!$M$24)*CHOOSE(ArtifactsInput!$N$24+1,10,12,14,16,18,20)+IF(ArtifactsInput!$M$10,CHOOSE(ArtifactsInput!$N$10+1,15,18,21,24,27,30)*(IF(Inputs!$B$39="pvp",MIN(15,15)/15,IF(AND(Inputs!$B$39&lt;&gt;"pvp",Inputs!$B$44&gt;0),MIN(15,Inputs!$B$44)/(Inputs!$B$44),0))),0)))-100),0))*CHOOSE(ArtifactsInput!$N$42+1,0.6,0.72,0.84,0.96,1.08,1.2))),Inputs!$B$19+((C2322=TRUE)*(F2322-Calc!F23))+(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gt;=100),CHOOSE(ArtifactsInput!$N$42+1,40,48,56,64,72,80),0))))/100)*((1+(((C2312=TRUE)*F2312*IF(AND(Inputs!$B$39&lt;&gt;"pvp",Inputs!$B$44&gt;0),(((R2312-1)*MIN((Skills!T13*(1+Inputs!$B$35/100)),(1/Q2312))+MIN((Skills!T13*(1+Inputs!$B$35/100)),MAX(0,Inputs!$B$44-((R2312-1)*(1/Q2312)))))/Inputs!$B$44),IF(Inputs!$B$39="pvp",MIN((Skills!T13*(1+Inputs!$B$35/100)),15)/15,MIN(1,(Skills!T13*(1+Inputs!$B$35/100))/(1/Q2312)))))+((C2313=TRUE)*F2313*IF(AND(Inputs!$B$39&lt;&gt;"pvp",Inputs!$B$44&gt;0),(((R2313-1)*MIN((Skills!T14*(1+Inputs!$B$35/100)),(1/Q2313))+MIN((Skills!T14*(1+Inputs!$B$35/100)),MAX(0,Inputs!$B$44-((R2313-1)*(1/Q2313)))))/Inputs!$B$44),IF(Inputs!$B$39="pvp",MIN((Skills!T14*(1+Inputs!$B$35/100)),15)/15,MIN(1,(Skills!T14*(1+Inputs!$B$35/100))/(1/Q2313)))))+((C2314=TRUE)*F2314*IF(AND(Inputs!$B$39&lt;&gt;"pvp",Inputs!$B$44&gt;0),(((R2314-1)*MIN((Skills!T15*(1+Inputs!$B$35/100)),(1/Q2314))+MIN((Skills!T15*(1+Inputs!$B$35/100)),MAX(0,Inputs!$B$44-((R2314-1)*(1/Q2314)))))/Inputs!$B$44),IF(Inputs!$B$39="pvp",MIN((Skills!T15*(1+Inputs!$B$35/100)),15)/15,MIN(1,(Skills!T15*(1+Inputs!$B$35/100))/(1/Q2314)))))+((C2315=TRUE)*F2315*IF(AND(Inputs!$B$39&lt;&gt;"pvp",Inputs!$B$44&gt;0),(((R2315-1)*MIN((Skills!T16*(1+Inputs!$B$35/100)),(1/Q2315))+MIN((Skills!T16*(1+Inputs!$B$35/100)),MAX(0,Inputs!$B$44-((R2315-1)*(1/Q2315)))))/Inputs!$B$44),IF(Inputs!$B$39="pvp",MIN((Skills!T16*(1+Inputs!$B$35/100)),15)/15,MIN(1,(Skills!T16*(1+Inputs!$B$35/100))/(1/Q2315)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2309)</f>
        <v/>
      </c>
      <c r="L2309">
        <f>K2309*(MIN(Inputs!$B$23+((C2321=TRUE)*(F2321-Calc!F22)),(Inputs!$B$24+((C2323=TRUE)*(F2323-Calc!F24))+(IF(ArtifactsInput!$M$15,CHOOSE(ArtifactsInput!$N$15+1,25,30,35,40,45,50)/100*(Inputs!$B$12-Inputs!$B$12),0))))/100+(Inputs!$B$24+((C2323=TRUE)*(F2323-Calc!F24))+(IF(ArtifactsInput!$M$15,CHOOSE(ArtifactsInput!$N$15+1,25,30,35,40,45,50)/100*(Inputs!$B$12-Inputs!$B$12),0)))/100)/2</f>
        <v/>
      </c>
      <c r="M2309">
        <f>L2309*(1+(Inputs!$B$11+0+B2333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309">
        <f>L2309*(1-MIN((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2309*(MIN((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09">
        <f>(1-Summary!$B$11)*T2309+Summary!$B$11*V2309</f>
        <v/>
      </c>
      <c r="P2309">
        <f>IF(B2338=0,0,O2309/B2338)</f>
        <v/>
      </c>
      <c r="Q2309">
        <f>IFERROR(1/IF(Inputs!$B$39="pvp",15,MAX(0.1,Skills!D10-IF(TRUE=TRUE,Inputs!$B$33,0))),0)</f>
        <v/>
      </c>
      <c r="R2309">
        <f>IF(AND(Inputs!$B$39&lt;&gt;"pvp",Inputs!$B$44&gt;0),IF(MAX(0,Inputs!$B$44-B2335)&lt;=0,0,(INT(MAX(0,Inputs!$B$44-B2335)/IF(Inputs!$B$39="pvp",15,MAX(0.1,Skills!D10-IF(TRUE=TRUE,Inputs!$B$33,0))))+1)),0)</f>
        <v/>
      </c>
      <c r="S2309">
        <f>IFERROR(O2309/N2309,0)</f>
        <v/>
      </c>
      <c r="T2309">
        <f>IF(C2309,(H2309*N2309*IF(AND(Inputs!$B$39&lt;&gt;"pvp",Inputs!$B$44&gt;0),((Skills!G10*((R2309-1)*IF(Skills!H10&gt;0,INT(Skills!I10/Skills!H10+0.000000001),1)+IF(Skills!H10&gt;0,INT(MIN(Skills!I10,MAX(0,MAX(0,Inputs!$B$44-B2335)-((R2309-1)*IF(Inputs!$B$39="pvp",15,MAX(0.1,Skills!D10-IF(TRUE=TRUE,Inputs!$B$33,0))))))/Skills!H10+0.000000001),1)))/Inputs!$B$44),G2309*Q2309))*IF(Inputs!$B$39="pvp",1,1+(Inputs!$B$21+0+Skills!P10+((C2316=TRUE)*F2316*IF(AND(Inputs!$B$39&lt;&gt;"pvp",Inputs!$B$44&gt;0),(((R2316-1)*MIN((Skills!T17*(1+Inputs!$B$35/100)),(1/Q2316))+MIN((Skills!T17*(1+Inputs!$B$35/100)),MAX(0,Inputs!$B$44-((R2316-1)*(1/Q2316)))))/Inputs!$B$44),IF(Inputs!$B$39="pvp",MIN((Skills!T17*(1+Inputs!$B$35/100)),15)/15,MIN(1,(Skills!T17*(1+Inputs!$B$35/100))/(1/Q2316)))))+((C2304=TRUE)*IF(Inputs!$B$3&gt;=126,10*MIN(1,15*Q2304),0))+((C2313=TRUE)*IF(Inputs!$B$39="pvp",20,(1-Summary!$B$11)*(20)+Summary!$B$11*(0))*IF(AND(Inputs!$B$39&lt;&gt;"pvp",Inputs!$B$44&gt;0),(((R2313-1)*MIN((Skills!T14*(1+Inputs!$B$35/100)),(1/Q2313))+MIN((Skills!T14*(1+Inputs!$B$35/100)),MAX(0,Inputs!$B$44-((R2313-1)*(1/Q2313)))))/Inputs!$B$44),IF(Inputs!$B$39="pvp",MIN((Skills!T14*(1+Inputs!$B$35/100)),15)/15,MIN(1,(Skills!T14*(1+Inputs!$B$35/100))/(1/Q2313)))))+((C2312=TRUE)*IF(Inputs!$B$3&gt;=82,IF(Inputs!$B$39="pvp",20,(1-Summary!$B$11)*(20)+Summary!$B$11*(0)),0)*IF(AND(Inputs!$B$39&lt;&gt;"pvp",Inputs!$B$44&gt;0),(((R2312-1)*MIN((Skills!T13*(1+Inputs!$B$35/100)),(1/Q2312))+MIN((Skills!T13*(1+Inputs!$B$35/100)),MAX(0,Inputs!$B$44-((R2312-1)*(1/Q2312)))))/Inputs!$B$44),IF(Inputs!$B$39="pvp",MIN((Skills!T13*(1+Inputs!$B$35/100)),15)/15,MIN(1,(Skills!T13*(1+Inputs!$B$35/100))/(1/Q2312)))))+(IF(AND(ArtifactsInput!$M$35,Inputs!$B$4&lt;&gt;"Chapter Hunt"),CHOOSE(ArtifactsInput!$N$35+1,15,18,21,24,27,30)*(1-EXP(-(0.2*B2330)*5)),0)+IF(AND(ArtifactsInput!$M$22,Inputs!$B$4&lt;&gt;"Chapter Hunt"),CHOOSE(ArtifactsInput!$N$22+1,10,12,14,16,18,20)*((0*(((0.15*B2330*5))^0/1)+1*(((0.15*B2330*5))^1/1)+2*(((0.15*B2330*5))^2/2)+3*(((0.15*B2330*5))^3/6)+4*(((0.15*B2330*5))^4/24)+5*(((0.15*B2330*5))^5/120))/((((0.15*B2330*5))^0/1)+(((0.15*B2330*5))^1/1)+(((0.15*B2330*5))^2/2)+(((0.15*B2330*5))^3/6)+(((0.15*B2330*5))^4/24)+(((0.15*B2330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2309*(1-MIN(100,(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2309*(MIN(100,(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2309*(1-MIN(100,(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2309*(MIN(100,(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09">
        <f>IF(C2309,(H2309*N2309*IF(AND(Inputs!$B$39&lt;&gt;"pvp",Inputs!$B$44&gt;0),((Skills!G10*((R2309-1)*IF(Skills!H10&gt;0,INT(Skills!I10/Skills!H10+0.000000001),1)+IF(Skills!H10&gt;0,INT(MIN(Skills!I10,MAX(0,MAX(0,Inputs!$B$44-B2335)-((R2309-1)*IF(Inputs!$B$39="pvp",15,MAX(0.1,Skills!D10-IF(TRUE=TRUE,Inputs!$B$33,0))))))/Skills!H10+0.000000001),1)))/Inputs!$B$44),G2309*Q2309))*IF(Inputs!$B$39="pvp",1,(1+(Inputs!$B$22+Skills!Q10+((C2316=TRUE)*F2316*IF(AND(Inputs!$B$39&lt;&gt;"pvp",Inputs!$B$44&gt;0),(((R2316-1)*MIN((Skills!T17*(1+Inputs!$B$35/100)),(1/Q2316))+MIN((Skills!T17*(1+Inputs!$B$35/100)),MAX(0,Inputs!$B$44-((R2316-1)*(1/Q2316)))))/Inputs!$B$44),IF(Inputs!$B$39="pvp",MIN((Skills!T17*(1+Inputs!$B$35/100)),15)/15,MIN(1,(Skills!T17*(1+Inputs!$B$35/100))/(1/Q2316)))))+((C2304=TRUE)*IF(Inputs!$B$3&gt;=126,10*MIN(1,15*Q2304),0))+((C2313=TRUE)*IF(Inputs!$B$39="pvp",20,(1-Summary!$B$11)*(20)+Summary!$B$11*(0))*IF(AND(Inputs!$B$39&lt;&gt;"pvp",Inputs!$B$44&gt;0),(((R2313-1)*MIN((Skills!T14*(1+Inputs!$B$35/100)),(1/Q2313))+MIN((Skills!T14*(1+Inputs!$B$35/100)),MAX(0,Inputs!$B$44-((R2313-1)*(1/Q2313)))))/Inputs!$B$44),IF(Inputs!$B$39="pvp",MIN((Skills!T14*(1+Inputs!$B$35/100)),15)/15,MIN(1,(Skills!T14*(1+Inputs!$B$35/100))/(1/Q2313)))))+((C2312=TRUE)*IF(Inputs!$B$3&gt;=82,IF(Inputs!$B$39="pvp",20,(1-Summary!$B$11)*(20)+Summary!$B$11*(0)),0)*IF(AND(Inputs!$B$39&lt;&gt;"pvp",Inputs!$B$44&gt;0),(((R2312-1)*MIN((Skills!T13*(1+Inputs!$B$35/100)),(1/Q2312))+MIN((Skills!T13*(1+Inputs!$B$35/100)),MAX(0,Inputs!$B$44-((R2312-1)*(1/Q2312)))))/Inputs!$B$44),IF(Inputs!$B$39="pvp",MIN((Skills!T13*(1+Inputs!$B$35/100)),15)/15,MIN(1,(Skills!T13*(1+Inputs!$B$35/100))/(1/Q2312)))))+(IF(AND(ArtifactsInput!$M$35,Inputs!$B$4&lt;&gt;"Chapter Hunt"),CHOOSE(ArtifactsInput!$N$35+1,15,18,21,24,27,30)*(1-EXP(-(0.2*B2330)*5)),0)+IF(AND(ArtifactsInput!$M$22,Inputs!$B$4&lt;&gt;"Chapter Hunt"),CHOOSE(ArtifactsInput!$N$22+1,10,12,14,16,18,20)*((0*(((0.15*B2330*5))^0/1)+1*(((0.15*B2330*5))^1/1)+2*(((0.15*B2330*5))^2/2)+3*(((0.15*B2330*5))^3/6)+4*(((0.15*B2330*5))^4/24)+5*(((0.15*B2330*5))^5/120))/((((0.15*B2330*5))^0/1)+(((0.15*B2330*5))^1/1)+(((0.15*B2330*5))^2/2)+(((0.15*B2330*5))^3/6)+(((0.15*B2330*5))^4/24)+(((0.15*B2330*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10">
      <c r="A2310">
        <f>Skills!A11</f>
        <v/>
      </c>
      <c r="B2310">
        <f>Skills!B11</f>
        <v/>
      </c>
      <c r="C2310">
        <f>Inputs!$B$3&gt;=100</f>
        <v/>
      </c>
      <c r="D2310">
        <f>IF(Skills!C11=1,60+Inputs!$B$26+Inputs!$B$30,IF(Skills!C11=2,90+Inputs!$B$27+Inputs!$B$30,IF(Skills!C11=3,120+Inputs!$B$28+Inputs!$B$30,MAX(0,(Inputs!$B$3-100)*3)+Inputs!$B$29+Inputs!$B$30)))</f>
        <v/>
      </c>
      <c r="E2310">
        <f>INDEX(FactorTable!$B$2:$Y$301, MATCH(ROUND(MIN(300,MAX(1,D2310)),0), FactorTable!$A$2:$A$301,0), Skills!M11+1)</f>
        <v/>
      </c>
      <c r="F2310">
        <f>IF(Skills!N11=TRUE,(Skills!L11/10)*(E2310/1000),Skills!L11/10)+Skills!O11</f>
        <v/>
      </c>
      <c r="G2310" t="inlineStr"/>
      <c r="H2310" t="inlineStr"/>
      <c r="I2310" t="inlineStr">
        <is>
          <t>1</t>
        </is>
      </c>
      <c r="J2310" t="inlineStr"/>
      <c r="K2310" t="inlineStr"/>
      <c r="L2310" t="inlineStr"/>
      <c r="M2310" t="inlineStr"/>
      <c r="N2310" t="inlineStr"/>
      <c r="O2310" t="inlineStr"/>
      <c r="P2310" t="inlineStr"/>
      <c r="Q2310" t="inlineStr"/>
      <c r="R2310" t="inlineStr"/>
      <c r="S2310" t="inlineStr"/>
    </row>
    <row r="2311">
      <c r="A2311">
        <f>Skills!A12</f>
        <v/>
      </c>
      <c r="B2311">
        <f>Skills!B12</f>
        <v/>
      </c>
      <c r="C2311">
        <f>Inputs!$B$3&gt;=63</f>
        <v/>
      </c>
      <c r="D2311">
        <f>IF(Skills!C12=1,60+Inputs!$B$26+Inputs!$B$30,IF(Skills!C12=2,90+Inputs!$B$27+Inputs!$B$30,IF(Skills!C12=3,120+Inputs!$B$28+Inputs!$B$30,MAX(0,(Inputs!$B$3-100)*3)+Inputs!$B$29+Inputs!$B$30)))</f>
        <v/>
      </c>
      <c r="E2311">
        <f>INDEX(FactorTable!$B$2:$Y$301, MATCH(ROUND(MIN(300,MAX(1,D2311)),0), FactorTable!$A$2:$A$301,0), Skills!M12+1)</f>
        <v/>
      </c>
      <c r="F2311">
        <f>IF(Skills!N12=TRUE,(Skills!L12/10)*(E2311/1000),Skills!L12/10)+Skills!O12</f>
        <v/>
      </c>
      <c r="G2311">
        <f>Skills!G12*IF(Skills!H12&gt;0,INT(IF(Inputs!$B$39="pvp",MIN(Skills!I12,15),Skills!I12)/Skills!H12+0.000000001),1)</f>
        <v/>
      </c>
      <c r="H2311">
        <f>1-(1-Skills!J12/100)^Skills!K12</f>
        <v/>
      </c>
      <c r="I2311" t="inlineStr">
        <is>
          <t>1</t>
        </is>
      </c>
      <c r="J2311">
        <f>((Inputs!$B$6*(1+Inputs!$B$7/100))+(((Inputs!$B$13*(1+Inputs!$B$14/100))-(Inputs!$B$13*(1+Inputs!$B$14/100)))+0.25*(Inputs!$B$15-Inputs!$B$15))*(1+Inputs!$B$7/100))*(F2311/100)</f>
        <v/>
      </c>
      <c r="K2311">
        <f>J2311*(1+(((Inputs!$B$13+IF(Inputs!$B$3&gt;=38,(10*INDEX(FactorTable!$B$2:$Y$301, MATCH(ROUND(MIN(300,MAX(1,Inputs!$B$3)),0), FactorTable!$A$2:$A$301,0), 23)/1000)/100*(Inputs!$B$8*(1+Inputs!$B$9/100)),0))*(1+Inputs!$B$14/100))*0.01+Inputs!$B$15*0.0025)/100)*(1+Inputs!$B$16/100)*(1+Inputs!$B$17/100)*(5000/(6000+Inputs!$B$43*(1-(Inputs!$B$20+0)/100)))*(1+(Inputs!$B$25+((C2324=TRUE)*(F2324-Calc!F25))+((C2325=TRUE)*(F2325-Calc!F26))+B2334)/100)*(1+(((1+IF(AND(ArtifactsInput!$M$36,IF(Inputs!$B$39="pvp",TRUE,AND(Inputs!$B$39&lt;&gt;"pvp",Inputs!$B$44&gt;0))),CHOOSE(ArtifactsInput!$N$36+1,8,9.6,11.2,12.8,14.4,16),0)/100)*(1+IF(AND(IF(ArtifactsInput!$M$32,FALSE,TRUE),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2310=TRUE,F2310,0)/100)*(1+(IF(Skills!A12="DARK_IMPALE",Inputs!$B$18+0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gt;=100),MIN(100,((Inputs!$B$10+0+B2328+(ArtifactsInput!$M$24-ArtifactsInput!$M$24)*CHOOSE(ArtifactsInput!$N$24+1,10,12,14,16,18,20)+IF(ArtifactsInput!$M$10,CHOOSE(ArtifactsInput!$N$10+1,15,18,21,24,27,30)*(IF(Inputs!$B$39="pvp",MIN(15,15)/15,IF(AND(Inputs!$B$39&lt;&gt;"pvp",Inputs!$B$44&gt;0),MIN(15,Inputs!$B$44)/(Inputs!$B$44),0))),0)))-100),0))*CHOOSE(ArtifactsInput!$N$42+1,0.6,0.72,0.84,0.96,1.08,1.2))),Inputs!$B$19+((C2322=TRUE)*(F2322-Calc!F23))+(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gt;=100),CHOOSE(ArtifactsInput!$N$42+1,40,48,56,64,72,80),0))))/100)*((1+(((C2312=TRUE)*F2312*IF(AND(Inputs!$B$39&lt;&gt;"pvp",Inputs!$B$44&gt;0),(((R2312-1)*MIN((Skills!T13*(1+Inputs!$B$35/100)),(1/Q2312))+MIN((Skills!T13*(1+Inputs!$B$35/100)),MAX(0,Inputs!$B$44-((R2312-1)*(1/Q2312)))))/Inputs!$B$44),IF(Inputs!$B$39="pvp",MIN((Skills!T13*(1+Inputs!$B$35/100)),15)/15,MIN(1,(Skills!T13*(1+Inputs!$B$35/100))/(1/Q2312)))))+((C2313=TRUE)*F2313*IF(AND(Inputs!$B$39&lt;&gt;"pvp",Inputs!$B$44&gt;0),(((R2313-1)*MIN((Skills!T14*(1+Inputs!$B$35/100)),(1/Q2313))+MIN((Skills!T14*(1+Inputs!$B$35/100)),MAX(0,Inputs!$B$44-((R2313-1)*(1/Q2313)))))/Inputs!$B$44),IF(Inputs!$B$39="pvp",MIN((Skills!T14*(1+Inputs!$B$35/100)),15)/15,MIN(1,(Skills!T14*(1+Inputs!$B$35/100))/(1/Q2313)))))+((C2314=TRUE)*F2314*IF(AND(Inputs!$B$39&lt;&gt;"pvp",Inputs!$B$44&gt;0),(((R2314-1)*MIN((Skills!T15*(1+Inputs!$B$35/100)),(1/Q2314))+MIN((Skills!T15*(1+Inputs!$B$35/100)),MAX(0,Inputs!$B$44-((R2314-1)*(1/Q2314)))))/Inputs!$B$44),IF(Inputs!$B$39="pvp",MIN((Skills!T15*(1+Inputs!$B$35/100)),15)/15,MIN(1,(Skills!T15*(1+Inputs!$B$35/100))/(1/Q2314)))))+((C2315=TRUE)*F2315*IF(AND(Inputs!$B$39&lt;&gt;"pvp",Inputs!$B$44&gt;0),(((R2315-1)*MIN((Skills!T16*(1+Inputs!$B$35/100)),(1/Q2315))+MIN((Skills!T16*(1+Inputs!$B$35/100)),MAX(0,Inputs!$B$44-((R2315-1)*(1/Q2315)))))/Inputs!$B$44),IF(Inputs!$B$39="pvp",MIN((Skills!T16*(1+Inputs!$B$35/100)),15)/15,MIN(1,(Skills!T16*(1+Inputs!$B$35/100))/(1/Q2315)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2311)</f>
        <v/>
      </c>
      <c r="L2311">
        <f>K2311*(MIN(Inputs!$B$23+((C2321=TRUE)*(F2321-Calc!F22)),(Inputs!$B$24+((C2323=TRUE)*(F2323-Calc!F24))+(IF(ArtifactsInput!$M$15,CHOOSE(ArtifactsInput!$N$15+1,25,30,35,40,45,50)/100*(Inputs!$B$12-Inputs!$B$12),0))))/100+(Inputs!$B$24+((C2323=TRUE)*(F2323-Calc!F24))+(IF(ArtifactsInput!$M$15,CHOOSE(ArtifactsInput!$N$15+1,25,30,35,40,45,50)/100*(Inputs!$B$12-Inputs!$B$12),0)))/100)/2</f>
        <v/>
      </c>
      <c r="M2311">
        <f>L2311*(1+(Inputs!$B$11+0+B2333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311">
        <f>L2311*(1-MIN((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2311*(MIN((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11">
        <f>(1-Summary!$B$11)*T2311+Summary!$B$11*V2311</f>
        <v/>
      </c>
      <c r="P2311">
        <f>IF(B2338=0,0,O2311/B2338)</f>
        <v/>
      </c>
      <c r="Q2311">
        <f>IFERROR(1/IF(Inputs!$B$39="pvp",15,MAX(0.1,Skills!D12-IF(TRUE=TRUE,Inputs!$B$33,0))),0)</f>
        <v/>
      </c>
      <c r="R2311">
        <f>IF(AND(Inputs!$B$39&lt;&gt;"pvp",Inputs!$B$44&gt;0),IF(MAX(0,Inputs!$B$44-B2335)&lt;=0,0,(INT(MAX(0,Inputs!$B$44-B2335)/IF(Inputs!$B$39="pvp",15,MAX(0.1,Skills!D12-IF(TRUE=TRUE,Inputs!$B$33,0))))+1)),0)</f>
        <v/>
      </c>
      <c r="S2311">
        <f>IFERROR(O2311/N2311,0)</f>
        <v/>
      </c>
      <c r="T2311">
        <f>IF(C2311,(H2311*N2311*IF(AND(Inputs!$B$39&lt;&gt;"pvp",Inputs!$B$44&gt;0),((Skills!G12*((R2311-1)*IF(Skills!H12&gt;0,INT(Skills!I12/Skills!H12+0.000000001),1)+IF(Skills!H12&gt;0,INT(MIN(Skills!I12,MAX(0,MAX(0,Inputs!$B$44-B2335)-((R2311-1)*IF(Inputs!$B$39="pvp",15,MAX(0.1,Skills!D12-IF(TRUE=TRUE,Inputs!$B$33,0))))))/Skills!H12+0.000000001),1)))/Inputs!$B$44),G2311*Q2311))*IF(Inputs!$B$39="pvp",1,1+(Inputs!$B$21+0+Skills!P12+((C2316=TRUE)*F2316*IF(AND(Inputs!$B$39&lt;&gt;"pvp",Inputs!$B$44&gt;0),(((R2316-1)*MIN((Skills!T17*(1+Inputs!$B$35/100)),(1/Q2316))+MIN((Skills!T17*(1+Inputs!$B$35/100)),MAX(0,Inputs!$B$44-((R2316-1)*(1/Q2316)))))/Inputs!$B$44),IF(Inputs!$B$39="pvp",MIN((Skills!T17*(1+Inputs!$B$35/100)),15)/15,MIN(1,(Skills!T17*(1+Inputs!$B$35/100))/(1/Q2316)))))+((C2304=TRUE)*IF(Inputs!$B$3&gt;=126,10*MIN(1,15*Q2304),0))+((C2313=TRUE)*IF(Inputs!$B$39="pvp",20,(1-Summary!$B$11)*(20)+Summary!$B$11*(0))*IF(AND(Inputs!$B$39&lt;&gt;"pvp",Inputs!$B$44&gt;0),(((R2313-1)*MIN((Skills!T14*(1+Inputs!$B$35/100)),(1/Q2313))+MIN((Skills!T14*(1+Inputs!$B$35/100)),MAX(0,Inputs!$B$44-((R2313-1)*(1/Q2313)))))/Inputs!$B$44),IF(Inputs!$B$39="pvp",MIN((Skills!T14*(1+Inputs!$B$35/100)),15)/15,MIN(1,(Skills!T14*(1+Inputs!$B$35/100))/(1/Q2313)))))+((C2312=TRUE)*IF(Inputs!$B$3&gt;=82,IF(Inputs!$B$39="pvp",20,(1-Summary!$B$11)*(20)+Summary!$B$11*(0)),0)*IF(AND(Inputs!$B$39&lt;&gt;"pvp",Inputs!$B$44&gt;0),(((R2312-1)*MIN((Skills!T13*(1+Inputs!$B$35/100)),(1/Q2312))+MIN((Skills!T13*(1+Inputs!$B$35/100)),MAX(0,Inputs!$B$44-((R2312-1)*(1/Q2312)))))/Inputs!$B$44),IF(Inputs!$B$39="pvp",MIN((Skills!T13*(1+Inputs!$B$35/100)),15)/15,MIN(1,(Skills!T13*(1+Inputs!$B$35/100))/(1/Q2312)))))+(IF(AND(ArtifactsInput!$M$35,Inputs!$B$4&lt;&gt;"Chapter Hunt"),CHOOSE(ArtifactsInput!$N$35+1,15,18,21,24,27,30)*(1-EXP(-(0.2*B2330)*5)),0)+IF(AND(ArtifactsInput!$M$22,Inputs!$B$4&lt;&gt;"Chapter Hunt"),CHOOSE(ArtifactsInput!$N$22+1,10,12,14,16,18,20)*((0*(((0.15*B2330*5))^0/1)+1*(((0.15*B2330*5))^1/1)+2*(((0.15*B2330*5))^2/2)+3*(((0.15*B2330*5))^3/6)+4*(((0.15*B2330*5))^4/24)+5*(((0.15*B2330*5))^5/120))/((((0.15*B2330*5))^0/1)+(((0.15*B2330*5))^1/1)+(((0.15*B2330*5))^2/2)+(((0.15*B2330*5))^3/6)+(((0.15*B2330*5))^4/24)+(((0.15*B2330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2311*(1-MIN(100,(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2311*(MIN(100,(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2311*(1-MIN(100,(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2311*(MIN(100,(Inputs!$B$10+0+B2328+(ArtifactsInput!$M$24-ArtifactsInput!$M$24)*CHOOSE(ArtifactsInput!$N$24+1,10,12,14,16,18,20)+(IF(AND(Inputs!$B$39&lt;&gt;"pvp",Inputs!$B$44=0),1,IF(IF(Inputs!$B$39="pvp",15,Inputs!$B$44)-(B2335)&lt;=0,1,MAX(0,IF(Inputs!$B$39="pvp",15,Inputs!$B$44)-MAX(5,B2335))/(IF(Inputs!$B$39="pvp",15,Inputs!$B$44)-(B2335))))*IF(AND(ArtifactsInput!$M$42,((Inputs!$B$10+0+B2328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11">
        <f>IF(C2311,(H2311*N2311*IF(AND(Inputs!$B$39&lt;&gt;"pvp",Inputs!$B$44&gt;0),((Skills!G12*((R2311-1)*IF(Skills!H12&gt;0,INT(Skills!I12/Skills!H12+0.000000001),1)+IF(Skills!H12&gt;0,INT(MIN(Skills!I12,MAX(0,MAX(0,Inputs!$B$44-B2335)-((R2311-1)*IF(Inputs!$B$39="pvp",15,MAX(0.1,Skills!D12-IF(TRUE=TRUE,Inputs!$B$33,0))))))/Skills!H12+0.000000001),1)))/Inputs!$B$44),G2311*Q2311))*IF(Inputs!$B$39="pvp",1,(1+(Inputs!$B$22+Skills!Q12+((C2316=TRUE)*F2316*IF(AND(Inputs!$B$39&lt;&gt;"pvp",Inputs!$B$44&gt;0),(((R2316-1)*MIN((Skills!T17*(1+Inputs!$B$35/100)),(1/Q2316))+MIN((Skills!T17*(1+Inputs!$B$35/100)),MAX(0,Inputs!$B$44-((R2316-1)*(1/Q2316)))))/Inputs!$B$44),IF(Inputs!$B$39="pvp",MIN((Skills!T17*(1+Inputs!$B$35/100)),15)/15,MIN(1,(Skills!T17*(1+Inputs!$B$35/100))/(1/Q2316)))))+((C2304=TRUE)*IF(Inputs!$B$3&gt;=126,10*MIN(1,15*Q2304),0))+((C2313=TRUE)*IF(Inputs!$B$39="pvp",20,(1-Summary!$B$11)*(20)+Summary!$B$11*(0))*IF(AND(Inputs!$B$39&lt;&gt;"pvp",Inputs!$B$44&gt;0),(((R2313-1)*MIN((Skills!T14*(1+Inputs!$B$35/100)),(1/Q2313))+MIN((Skills!T14*(1+Inputs!$B$35/100)),MAX(0,Inputs!$B$44-((R2313-1)*(1/Q2313)))))/Inputs!$B$44),IF(Inputs!$B$39="pvp",MIN((Skills!T14*(1+Inputs!$B$35/100)),15)/15,MIN(1,(Skills!T14*(1+Inputs!$B$35/100))/(1/Q2313)))))+((C2312=TRUE)*IF(Inputs!$B$3&gt;=82,IF(Inputs!$B$39="pvp",20,(1-Summary!$B$11)*(20)+Summary!$B$11*(0)),0)*IF(AND(Inputs!$B$39&lt;&gt;"pvp",Inputs!$B$44&gt;0),(((R2312-1)*MIN((Skills!T13*(1+Inputs!$B$35/100)),(1/Q2312))+MIN((Skills!T13*(1+Inputs!$B$35/100)),MAX(0,Inputs!$B$44-((R2312-1)*(1/Q2312)))))/Inputs!$B$44),IF(Inputs!$B$39="pvp",MIN((Skills!T13*(1+Inputs!$B$35/100)),15)/15,MIN(1,(Skills!T13*(1+Inputs!$B$35/100))/(1/Q2312)))))+(IF(AND(ArtifactsInput!$M$35,Inputs!$B$4&lt;&gt;"Chapter Hunt"),CHOOSE(ArtifactsInput!$N$35+1,15,18,21,24,27,30)*(1-EXP(-(0.2*B2330)*5)),0)+IF(AND(ArtifactsInput!$M$22,Inputs!$B$4&lt;&gt;"Chapter Hunt"),CHOOSE(ArtifactsInput!$N$22+1,10,12,14,16,18,20)*((0*(((0.15*B2330*5))^0/1)+1*(((0.15*B2330*5))^1/1)+2*(((0.15*B2330*5))^2/2)+3*(((0.15*B2330*5))^3/6)+4*(((0.15*B2330*5))^4/24)+5*(((0.15*B2330*5))^5/120))/((((0.15*B2330*5))^0/1)+(((0.15*B2330*5))^1/1)+(((0.15*B2330*5))^2/2)+(((0.15*B2330*5))^3/6)+(((0.15*B2330*5))^4/24)+(((0.15*B2330*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12">
      <c r="A2312">
        <f>Skills!A13</f>
        <v/>
      </c>
      <c r="B2312">
        <f>Skills!B13</f>
        <v/>
      </c>
      <c r="C2312">
        <f>Inputs!$B$3&gt;=69</f>
        <v/>
      </c>
      <c r="D2312">
        <f>IF(Skills!C13=1,60+Inputs!$B$26+Inputs!$B$30,IF(Skills!C13=2,90+Inputs!$B$27+Inputs!$B$30,IF(Skills!C13=3,120+Inputs!$B$28+Inputs!$B$30,MAX(0,(Inputs!$B$3-100)*3)+Inputs!$B$29+Inputs!$B$30)))</f>
        <v/>
      </c>
      <c r="E2312">
        <f>INDEX(FactorTable!$B$2:$Y$301, MATCH(ROUND(MIN(300,MAX(1,D2312)),0), FactorTable!$A$2:$A$301,0), Skills!M13+1)</f>
        <v/>
      </c>
      <c r="F2312">
        <f>IF(Skills!N13=TRUE,(Skills!L13/10)*(E2312/1000),Skills!L13/10)+Skills!O13</f>
        <v/>
      </c>
      <c r="G2312">
        <f>Skills!G13*IF(Skills!H13&gt;0,INT(IF(Inputs!$B$39="pvp",MIN(Skills!I13,15),Skills!I13)/Skills!H13+0.000000001),1)</f>
        <v/>
      </c>
      <c r="H2312">
        <f>1-(1-Skills!J13/100)^Skills!K13</f>
        <v/>
      </c>
      <c r="I2312" t="inlineStr">
        <is>
          <t>1</t>
        </is>
      </c>
      <c r="J2312" t="inlineStr"/>
      <c r="K2312" t="inlineStr"/>
      <c r="L2312" t="inlineStr"/>
      <c r="M2312" t="inlineStr"/>
      <c r="N2312" t="inlineStr"/>
      <c r="O2312">
        <f>(1-Summary!$B$11)*T2312+Summary!$B$11*V2312</f>
        <v/>
      </c>
      <c r="P2312">
        <f>IF(B2338=0,0,O2312/B2338)</f>
        <v/>
      </c>
      <c r="Q2312">
        <f>IFERROR(1/IF(Inputs!$B$39="pvp",15,MAX(0.1,Skills!D13-IF(TRUE=TRUE,Inputs!$B$33,0))),0)</f>
        <v/>
      </c>
      <c r="R2312">
        <f>IF(AND(Inputs!$B$39&lt;&gt;"pvp",Inputs!$B$44&gt;0),IF(Inputs!$B$44&lt;=0,0,(INT(Inputs!$B$44/IF(Inputs!$B$39="pvp",15,MAX(0.1,Skills!D13-IF(TRUE=TRUE,Inputs!$B$33,0))))+1)),0)</f>
        <v/>
      </c>
      <c r="S2312">
        <f>IFERROR(O2312/N2312,0)</f>
        <v/>
      </c>
      <c r="T2312" t="n">
        <v>0</v>
      </c>
      <c r="V2312" t="n">
        <v>0</v>
      </c>
    </row>
    <row r="2313">
      <c r="A2313">
        <f>Skills!A14</f>
        <v/>
      </c>
      <c r="B2313">
        <f>Skills!B14</f>
        <v/>
      </c>
      <c r="C2313">
        <f>Inputs!$B$3&gt;=115</f>
        <v/>
      </c>
      <c r="D2313">
        <f>IF(Skills!C14=1,60+Inputs!$B$26+Inputs!$B$30,IF(Skills!C14=2,90+Inputs!$B$27+Inputs!$B$30,IF(Skills!C14=3,120+Inputs!$B$28+Inputs!$B$30,MAX(0,(Inputs!$B$3-100)*3)+Inputs!$B$29+Inputs!$B$30)))</f>
        <v/>
      </c>
      <c r="E2313">
        <f>INDEX(FactorTable!$B$2:$Y$301, MATCH(ROUND(MIN(300,MAX(1,D2313)),0), FactorTable!$A$2:$A$301,0), Skills!M14+1)</f>
        <v/>
      </c>
      <c r="F2313">
        <f>IF(Skills!N14=TRUE,(Skills!L14/10)*(E2313/1000),Skills!L14/10)+Skills!O14</f>
        <v/>
      </c>
      <c r="G2313">
        <f>Skills!G14*IF(Skills!H14&gt;0,INT(IF(Inputs!$B$39="pvp",MIN(Skills!I14,15),Skills!I14)/Skills!H14+0.000000001),1)</f>
        <v/>
      </c>
      <c r="H2313">
        <f>1-(1-Skills!J14/100)^Skills!K14</f>
        <v/>
      </c>
      <c r="I2313" t="inlineStr">
        <is>
          <t>1</t>
        </is>
      </c>
      <c r="J2313" t="inlineStr"/>
      <c r="K2313" t="inlineStr"/>
      <c r="L2313" t="inlineStr"/>
      <c r="M2313" t="inlineStr"/>
      <c r="N2313" t="inlineStr"/>
      <c r="O2313">
        <f>(1-Summary!$B$11)*T2313+Summary!$B$11*V2313</f>
        <v/>
      </c>
      <c r="P2313">
        <f>IF(B2338=0,0,O2313/B2338)</f>
        <v/>
      </c>
      <c r="Q2313">
        <f>IFERROR(1/IF(Inputs!$B$39="pvp",15,MAX(0.1,Skills!D14-IF(TRUE=TRUE,Inputs!$B$33,0))),0)</f>
        <v/>
      </c>
      <c r="R2313">
        <f>IF(AND(Inputs!$B$39&lt;&gt;"pvp",Inputs!$B$44&gt;0),IF(Inputs!$B$44&lt;=0,0,(INT(Inputs!$B$44/IF(Inputs!$B$39="pvp",15,MAX(0.1,Skills!D14-IF(TRUE=TRUE,Inputs!$B$33,0))))+1)),0)</f>
        <v/>
      </c>
      <c r="S2313">
        <f>IFERROR(O2313/N2313,0)</f>
        <v/>
      </c>
      <c r="T2313" t="n">
        <v>0</v>
      </c>
      <c r="V2313" t="n">
        <v>0</v>
      </c>
    </row>
    <row r="2314">
      <c r="A2314">
        <f>Skills!A15</f>
        <v/>
      </c>
      <c r="B2314">
        <f>Skills!B15</f>
        <v/>
      </c>
      <c r="C2314">
        <f>Inputs!$B$3&gt;=66</f>
        <v/>
      </c>
      <c r="D2314">
        <f>IF(Skills!C15=1,60+Inputs!$B$26+Inputs!$B$30,IF(Skills!C15=2,90+Inputs!$B$27+Inputs!$B$30,IF(Skills!C15=3,120+Inputs!$B$28+Inputs!$B$30,MAX(0,(Inputs!$B$3-100)*3)+Inputs!$B$29+Inputs!$B$30)))</f>
        <v/>
      </c>
      <c r="E2314">
        <f>INDEX(FactorTable!$B$2:$Y$301, MATCH(ROUND(MIN(300,MAX(1,D2314)),0), FactorTable!$A$2:$A$301,0), Skills!M15+1)</f>
        <v/>
      </c>
      <c r="F2314">
        <f>IF(Skills!N15=TRUE,(Skills!L15/10)*(E2314/1000),Skills!L15/10)+Skills!O15</f>
        <v/>
      </c>
      <c r="G2314">
        <f>Skills!G15*IF(Skills!H15&gt;0,INT(IF(Inputs!$B$39="pvp",MIN(Skills!I15,15),Skills!I15)/Skills!H15+0.000000001),1)</f>
        <v/>
      </c>
      <c r="H2314">
        <f>1-(1-Skills!J15/100)^Skills!K15</f>
        <v/>
      </c>
      <c r="I2314" t="inlineStr">
        <is>
          <t>1</t>
        </is>
      </c>
      <c r="J2314" t="inlineStr"/>
      <c r="K2314" t="inlineStr"/>
      <c r="L2314" t="inlineStr"/>
      <c r="M2314" t="inlineStr"/>
      <c r="N2314" t="inlineStr"/>
      <c r="O2314">
        <f>(1-Summary!$B$11)*T2314+Summary!$B$11*V2314</f>
        <v/>
      </c>
      <c r="P2314">
        <f>IF(B2338=0,0,O2314/B2338)</f>
        <v/>
      </c>
      <c r="Q2314">
        <f>IFERROR(1/IF(Inputs!$B$39="pvp",15,MAX(0.1,Skills!D15-IF(TRUE=TRUE,Inputs!$B$33,0))),0)</f>
        <v/>
      </c>
      <c r="R2314">
        <f>IF(AND(Inputs!$B$39&lt;&gt;"pvp",Inputs!$B$44&gt;0),IF(Inputs!$B$44&lt;=0,0,(INT(Inputs!$B$44/IF(Inputs!$B$39="pvp",15,MAX(0.1,Skills!D15-IF(TRUE=TRUE,Inputs!$B$33,0))))+1)),0)</f>
        <v/>
      </c>
      <c r="S2314">
        <f>IFERROR(O2314/N2314,0)</f>
        <v/>
      </c>
      <c r="T2314" t="n">
        <v>0</v>
      </c>
      <c r="V2314" t="n">
        <v>0</v>
      </c>
    </row>
    <row r="2315">
      <c r="A2315">
        <f>Skills!A16</f>
        <v/>
      </c>
      <c r="B2315">
        <f>Skills!B16</f>
        <v/>
      </c>
      <c r="C2315">
        <f>Inputs!$B$3&gt;=45</f>
        <v/>
      </c>
      <c r="D2315">
        <f>IF(Skills!C16=1,60+Inputs!$B$26+Inputs!$B$30,IF(Skills!C16=2,90+Inputs!$B$27+Inputs!$B$30,IF(Skills!C16=3,120+Inputs!$B$28+Inputs!$B$30,MAX(0,(Inputs!$B$3-100)*3)+Inputs!$B$29+Inputs!$B$30)))</f>
        <v/>
      </c>
      <c r="E2315">
        <f>INDEX(FactorTable!$B$2:$Y$301, MATCH(ROUND(MIN(300,MAX(1,D2315)),0), FactorTable!$A$2:$A$301,0), Skills!M16+1)</f>
        <v/>
      </c>
      <c r="F2315">
        <f>IF(Skills!N16=TRUE,(Skills!L16/10)*(E2315/1000),Skills!L16/10)+Skills!O16</f>
        <v/>
      </c>
      <c r="G2315">
        <f>Skills!G16*IF(Skills!H16&gt;0,INT(IF(Inputs!$B$39="pvp",MIN(Skills!I16,15),Skills!I16)/Skills!H16+0.000000001),1)</f>
        <v/>
      </c>
      <c r="H2315">
        <f>1-(1-Skills!J16/100)^Skills!K16</f>
        <v/>
      </c>
      <c r="I2315" t="inlineStr">
        <is>
          <t>1</t>
        </is>
      </c>
      <c r="J2315" t="inlineStr"/>
      <c r="K2315" t="inlineStr"/>
      <c r="L2315" t="inlineStr"/>
      <c r="M2315" t="inlineStr"/>
      <c r="N2315" t="inlineStr"/>
      <c r="O2315">
        <f>(1-Summary!$B$11)*T2315+Summary!$B$11*V2315</f>
        <v/>
      </c>
      <c r="P2315">
        <f>IF(B2338=0,0,O2315/B2338)</f>
        <v/>
      </c>
      <c r="Q2315">
        <f>IFERROR(1/IF(Inputs!$B$39="pvp",15,MAX(0.1,Skills!D16-IF(TRUE=TRUE,Inputs!$B$33,0))),0)</f>
        <v/>
      </c>
      <c r="R2315">
        <f>IF(AND(Inputs!$B$39&lt;&gt;"pvp",Inputs!$B$44&gt;0),IF(Inputs!$B$44&lt;=0,0,(INT(Inputs!$B$44/IF(Inputs!$B$39="pvp",15,MAX(0.1,Skills!D16-IF(TRUE=TRUE,Inputs!$B$33,0))))+1)),0)</f>
        <v/>
      </c>
      <c r="S2315">
        <f>IFERROR(O2315/N2315,0)</f>
        <v/>
      </c>
      <c r="T2315" t="n">
        <v>0</v>
      </c>
      <c r="V2315" t="n">
        <v>0</v>
      </c>
    </row>
    <row r="2316">
      <c r="A2316">
        <f>Skills!A17</f>
        <v/>
      </c>
      <c r="B2316">
        <f>Skills!B17</f>
        <v/>
      </c>
      <c r="C2316">
        <f>Inputs!$B$3&gt;=35</f>
        <v/>
      </c>
      <c r="D2316">
        <f>IF(Skills!C17=1,60+Inputs!$B$26+Inputs!$B$30,IF(Skills!C17=2,90+Inputs!$B$27+Inputs!$B$30,IF(Skills!C17=3,120+Inputs!$B$28+Inputs!$B$30,MAX(0,(Inputs!$B$3-100)*3)+Inputs!$B$29+Inputs!$B$30)))</f>
        <v/>
      </c>
      <c r="E2316">
        <f>INDEX(FactorTable!$B$2:$Y$301, MATCH(ROUND(MIN(300,MAX(1,D2316)),0), FactorTable!$A$2:$A$301,0), Skills!M17+1)</f>
        <v/>
      </c>
      <c r="F2316">
        <f>IF(Skills!N17=TRUE,(Skills!L17/10)*(E2316/1000),Skills!L17/10)+Skills!O17</f>
        <v/>
      </c>
      <c r="G2316">
        <f>Skills!G17*IF(Skills!H17&gt;0,INT(IF(Inputs!$B$39="pvp",MIN(Skills!I17,15),Skills!I17)/Skills!H17+0.000000001),1)</f>
        <v/>
      </c>
      <c r="H2316">
        <f>1-(1-Skills!J17/100)^Skills!K17</f>
        <v/>
      </c>
      <c r="I2316" t="inlineStr">
        <is>
          <t>1</t>
        </is>
      </c>
      <c r="J2316" t="inlineStr"/>
      <c r="K2316" t="inlineStr"/>
      <c r="L2316" t="inlineStr"/>
      <c r="M2316" t="inlineStr"/>
      <c r="N2316" t="inlineStr"/>
      <c r="O2316">
        <f>(1-Summary!$B$11)*T2316+Summary!$B$11*V2316</f>
        <v/>
      </c>
      <c r="P2316">
        <f>IF(B2338=0,0,O2316/B2338)</f>
        <v/>
      </c>
      <c r="Q2316">
        <f>IFERROR(1/IF(Inputs!$B$39="pvp",15,MAX(0.1,Skills!D17-IF(TRUE=TRUE,Inputs!$B$33,0))),0)</f>
        <v/>
      </c>
      <c r="R2316">
        <f>IF(AND(Inputs!$B$39&lt;&gt;"pvp",Inputs!$B$44&gt;0),IF(Inputs!$B$44&lt;=0,0,(INT(Inputs!$B$44/IF(Inputs!$B$39="pvp",15,MAX(0.1,Skills!D17-IF(TRUE=TRUE,Inputs!$B$33,0))))+1)),0)</f>
        <v/>
      </c>
      <c r="S2316">
        <f>IFERROR(O2316/N2316,0)</f>
        <v/>
      </c>
      <c r="T2316" t="n">
        <v>0</v>
      </c>
      <c r="V2316" t="n">
        <v>0</v>
      </c>
    </row>
    <row r="2317">
      <c r="A2317">
        <f>Skills!A18</f>
        <v/>
      </c>
      <c r="B2317">
        <f>Skills!B18</f>
        <v/>
      </c>
      <c r="C2317">
        <f>Inputs!$B$3&gt;=72</f>
        <v/>
      </c>
      <c r="D2317">
        <f>IF(Skills!C18=1,60+Inputs!$B$26+Inputs!$B$30,IF(Skills!C18=2,90+Inputs!$B$27+Inputs!$B$30,IF(Skills!C18=3,120+Inputs!$B$28+Inputs!$B$30,MAX(0,(Inputs!$B$3-100)*3)+Inputs!$B$29+Inputs!$B$30)))</f>
        <v/>
      </c>
      <c r="E2317">
        <f>INDEX(FactorTable!$B$2:$Y$301, MATCH(ROUND(MIN(300,MAX(1,D2317)),0), FactorTable!$A$2:$A$301,0), Skills!M18+1)</f>
        <v/>
      </c>
      <c r="F2317">
        <f>IF(Skills!N18=TRUE,(Skills!L18/10)*(E2317/1000),Skills!L18/10)+Skills!O18</f>
        <v/>
      </c>
      <c r="G2317">
        <f>Skills!G18*IF(Skills!H18&gt;0,INT(IF(Inputs!$B$39="pvp",MIN(Skills!I18,15),Skills!I18)/Skills!H18+0.000000001),1)</f>
        <v/>
      </c>
      <c r="H2317">
        <f>1-(1-Skills!J18/100)^Skills!K18</f>
        <v/>
      </c>
      <c r="I2317" t="inlineStr">
        <is>
          <t>1</t>
        </is>
      </c>
      <c r="J2317" t="inlineStr"/>
      <c r="K2317" t="inlineStr"/>
      <c r="L2317" t="inlineStr"/>
      <c r="M2317" t="inlineStr"/>
      <c r="N2317" t="inlineStr"/>
      <c r="O2317">
        <f>(1-Summary!$B$11)*T2317+Summary!$B$11*V2317</f>
        <v/>
      </c>
      <c r="P2317">
        <f>IF(B2338=0,0,O2317/B2338)</f>
        <v/>
      </c>
      <c r="Q2317">
        <f>IFERROR(1/IF(Inputs!$B$39="pvp",15,MAX(0.1,Skills!D18-IF(TRUE=TRUE,Inputs!$B$33,0))),0)</f>
        <v/>
      </c>
      <c r="R2317">
        <f>IF(AND(Inputs!$B$39&lt;&gt;"pvp",Inputs!$B$44&gt;0),IF(Inputs!$B$44&lt;=0,0,(INT(Inputs!$B$44/IF(Inputs!$B$39="pvp",15,MAX(0.1,Skills!D18-IF(TRUE=TRUE,Inputs!$B$33,0))))+1)),0)</f>
        <v/>
      </c>
      <c r="S2317">
        <f>IFERROR(O2317/N2317,0)</f>
        <v/>
      </c>
      <c r="T2317" t="n">
        <v>0</v>
      </c>
      <c r="V2317" t="n">
        <v>0</v>
      </c>
    </row>
    <row r="2318">
      <c r="A2318">
        <f>Skills!A19</f>
        <v/>
      </c>
      <c r="B2318">
        <f>Skills!B19</f>
        <v/>
      </c>
      <c r="C2318">
        <f>Inputs!$B$3&gt;=72</f>
        <v/>
      </c>
      <c r="D2318">
        <f>IF(Skills!C19=1,60+Inputs!$B$26+Inputs!$B$30,IF(Skills!C19=2,90+Inputs!$B$27+Inputs!$B$30,IF(Skills!C19=3,120+Inputs!$B$28+Inputs!$B$30,MAX(0,(Inputs!$B$3-100)*3)+Inputs!$B$29+Inputs!$B$30)))</f>
        <v/>
      </c>
      <c r="E2318">
        <f>INDEX(FactorTable!$B$2:$Y$301, MATCH(ROUND(MIN(300,MAX(1,D2318)),0), FactorTable!$A$2:$A$301,0), Skills!M19+1)</f>
        <v/>
      </c>
      <c r="F2318">
        <f>IF(Skills!N19=TRUE,(Skills!L19/10)*(E2318/1000),Skills!L19/10)+Skills!O19</f>
        <v/>
      </c>
      <c r="G2318">
        <f>Skills!G19*IF(Skills!H19&gt;0,INT(IF(Inputs!$B$39="pvp",MIN(Skills!I19,15),Skills!I19)/Skills!H19+0.000000001),1)</f>
        <v/>
      </c>
      <c r="H2318">
        <f>1-(1-Skills!J19/100)^Skills!K19</f>
        <v/>
      </c>
      <c r="I2318" t="inlineStr">
        <is>
          <t>1</t>
        </is>
      </c>
      <c r="J2318" t="inlineStr"/>
      <c r="K2318" t="inlineStr"/>
      <c r="L2318" t="inlineStr"/>
      <c r="M2318" t="inlineStr"/>
      <c r="N2318" t="inlineStr"/>
      <c r="O2318">
        <f>(1-Summary!$B$11)*T2318+Summary!$B$11*V2318</f>
        <v/>
      </c>
      <c r="P2318">
        <f>IF(B2338=0,0,O2318/B2338)</f>
        <v/>
      </c>
      <c r="Q2318">
        <f>IFERROR(1/IF(Inputs!$B$39="pvp",15,MAX(0.1,Skills!D19-IF(TRUE=TRUE,Inputs!$B$33,0))),0)</f>
        <v/>
      </c>
      <c r="R2318">
        <f>IF(AND(Inputs!$B$39&lt;&gt;"pvp",Inputs!$B$44&gt;0),IF(Inputs!$B$44&lt;=0,0,(INT(Inputs!$B$44/IF(Inputs!$B$39="pvp",15,MAX(0.1,Skills!D19-IF(TRUE=TRUE,Inputs!$B$33,0))))+1)),0)</f>
        <v/>
      </c>
      <c r="S2318">
        <f>IFERROR(O2318/N2318,0)</f>
        <v/>
      </c>
      <c r="T2318" t="n">
        <v>0</v>
      </c>
      <c r="V2318" t="n">
        <v>0</v>
      </c>
    </row>
    <row r="2319">
      <c r="A2319">
        <f>Skills!A20</f>
        <v/>
      </c>
      <c r="B2319">
        <f>Skills!B20</f>
        <v/>
      </c>
      <c r="C2319">
        <f>TRUE</f>
        <v/>
      </c>
      <c r="D2319">
        <f>IF(Skills!C20=1,60+Inputs!$B$26+Inputs!$B$30,IF(Skills!C20=2,90+Inputs!$B$27+Inputs!$B$30,IF(Skills!C20=3,120+Inputs!$B$28+Inputs!$B$30,MAX(0,(Inputs!$B$3-100)*3)+Inputs!$B$29+Inputs!$B$30)))</f>
        <v/>
      </c>
      <c r="E2319">
        <f>INDEX(FactorTable!$B$2:$Y$301, MATCH(ROUND(MIN(300,MAX(1,D2319)),0), FactorTable!$A$2:$A$301,0), Skills!M20+1)</f>
        <v/>
      </c>
      <c r="F2319">
        <f>IF(Skills!N20=TRUE,(Skills!L20/10)*(E2319/1000),Skills!L20/10)+Skills!O20</f>
        <v/>
      </c>
      <c r="G2319">
        <f>Skills!G20*IF(Skills!H20&gt;0,INT(IF(Inputs!$B$39="pvp",MIN(Skills!I20,15),Skills!I20)/Skills!H20+0.000000001),1)</f>
        <v/>
      </c>
      <c r="H2319">
        <f>1-(1-Skills!J20/100)^Skills!K20</f>
        <v/>
      </c>
      <c r="I2319" t="inlineStr">
        <is>
          <t>1</t>
        </is>
      </c>
      <c r="J2319" t="inlineStr"/>
      <c r="K2319" t="inlineStr"/>
      <c r="L2319" t="inlineStr"/>
      <c r="M2319" t="inlineStr"/>
      <c r="N2319" t="inlineStr"/>
      <c r="O2319">
        <f>(1-Summary!$B$11)*T2319+Summary!$B$11*V2319</f>
        <v/>
      </c>
      <c r="P2319">
        <f>IF(B2338=0,0,O2319/B2338)</f>
        <v/>
      </c>
      <c r="Q2319">
        <f>IFERROR(1/IF(Inputs!$B$39="pvp",15,MAX(0.1,Skills!D20-IF(TRUE=TRUE,Inputs!$B$33,0))),0)</f>
        <v/>
      </c>
      <c r="R2319">
        <f>IF(AND(Inputs!$B$39&lt;&gt;"pvp",Inputs!$B$44&gt;0),IF(Inputs!$B$44&lt;=0,0,(INT(Inputs!$B$44/IF(Inputs!$B$39="pvp",15,MAX(0.1,Skills!D20-IF(TRUE=TRUE,Inputs!$B$33,0))))+1)),0)</f>
        <v/>
      </c>
      <c r="S2319">
        <f>IFERROR(O2319/N2319,0)</f>
        <v/>
      </c>
      <c r="T2319" t="n">
        <v>0</v>
      </c>
      <c r="V2319" t="n">
        <v>0</v>
      </c>
    </row>
    <row r="2320">
      <c r="A2320">
        <f>Skills!A21</f>
        <v/>
      </c>
      <c r="B2320">
        <f>Skills!B21</f>
        <v/>
      </c>
      <c r="C2320">
        <f>Inputs!$B$3&gt;=33</f>
        <v/>
      </c>
      <c r="D2320">
        <f>IF(Skills!C21=1,60+Inputs!$B$26+Inputs!$B$30,IF(Skills!C21=2,90+Inputs!$B$27+Inputs!$B$30,IF(Skills!C21=3,120+Inputs!$B$28+Inputs!$B$30,MAX(0,(Inputs!$B$3-100)*3)+Inputs!$B$29+Inputs!$B$30)))</f>
        <v/>
      </c>
      <c r="E2320">
        <f>INDEX(FactorTable!$B$2:$Y$301, MATCH(ROUND(MIN(300,MAX(1,D2320)),0), FactorTable!$A$2:$A$301,0), Skills!M21+1)</f>
        <v/>
      </c>
      <c r="F2320">
        <f>IF(Skills!N21=TRUE,(Skills!L21/10)*(E2320/1000),Skills!L21/10)+Skills!O21</f>
        <v/>
      </c>
      <c r="G2320">
        <f>Skills!G21*IF(Skills!H21&gt;0,INT(IF(Inputs!$B$39="pvp",MIN(Skills!I21,15),Skills!I21)/Skills!H21+0.000000001),1)</f>
        <v/>
      </c>
      <c r="H2320">
        <f>1-(1-Skills!J21/100)^Skills!K21</f>
        <v/>
      </c>
      <c r="I2320" t="inlineStr">
        <is>
          <t>1</t>
        </is>
      </c>
      <c r="J2320" t="inlineStr"/>
      <c r="K2320" t="inlineStr"/>
      <c r="L2320" t="inlineStr"/>
      <c r="M2320" t="inlineStr"/>
      <c r="N2320" t="inlineStr"/>
      <c r="O2320">
        <f>(1-Summary!$B$11)*T2320+Summary!$B$11*V2320</f>
        <v/>
      </c>
      <c r="P2320">
        <f>IF(B2338=0,0,O2320/B2338)</f>
        <v/>
      </c>
      <c r="Q2320" t="n">
        <v>0</v>
      </c>
      <c r="R2320" t="n">
        <v>0</v>
      </c>
      <c r="S2320">
        <f>IFERROR(O2320/N2320,0)</f>
        <v/>
      </c>
      <c r="T2320" t="n">
        <v>0</v>
      </c>
      <c r="V2320" t="n">
        <v>0</v>
      </c>
    </row>
    <row r="2321">
      <c r="A2321">
        <f>Skills!A22</f>
        <v/>
      </c>
      <c r="B2321">
        <f>Skills!B22</f>
        <v/>
      </c>
      <c r="C2321">
        <f>Inputs!$B$3&gt;=43</f>
        <v/>
      </c>
      <c r="D2321">
        <f>IF(Skills!C22=1,60+Inputs!$B$26+Inputs!$B$30,IF(Skills!C22=2,90+Inputs!$B$27+Inputs!$B$30,IF(Skills!C22=3,120+Inputs!$B$28+Inputs!$B$30,MAX(0,(Inputs!$B$3-100)*3)+Inputs!$B$29+Inputs!$B$30)))</f>
        <v/>
      </c>
      <c r="E2321">
        <f>INDEX(FactorTable!$B$2:$Y$301, MATCH(ROUND(MIN(300,MAX(1,D2321)),0), FactorTable!$A$2:$A$301,0), Skills!M22+1)</f>
        <v/>
      </c>
      <c r="F2321">
        <f>IF(Skills!N22=TRUE,(Skills!L22/10)*(E2321/1000),Skills!L22/10)+Skills!O22</f>
        <v/>
      </c>
      <c r="G2321">
        <f>Skills!G22*IF(Skills!H22&gt;0,INT(IF(Inputs!$B$39="pvp",MIN(Skills!I22,15),Skills!I22)/Skills!H22+0.000000001),1)</f>
        <v/>
      </c>
      <c r="H2321">
        <f>1-(1-Skills!J22/100)^Skills!K22</f>
        <v/>
      </c>
      <c r="I2321" t="inlineStr">
        <is>
          <t>1</t>
        </is>
      </c>
      <c r="J2321" t="inlineStr"/>
      <c r="K2321" t="inlineStr"/>
      <c r="L2321" t="inlineStr"/>
      <c r="M2321" t="inlineStr"/>
      <c r="N2321" t="inlineStr"/>
      <c r="O2321">
        <f>(1-Summary!$B$11)*T2321+Summary!$B$11*V2321</f>
        <v/>
      </c>
      <c r="P2321">
        <f>IF(B2338=0,0,O2321/B2338)</f>
        <v/>
      </c>
      <c r="Q2321" t="n">
        <v>0</v>
      </c>
      <c r="R2321" t="n">
        <v>0</v>
      </c>
      <c r="S2321">
        <f>IFERROR(O2321/N2321,0)</f>
        <v/>
      </c>
      <c r="T2321" t="n">
        <v>0</v>
      </c>
      <c r="V2321" t="n">
        <v>0</v>
      </c>
    </row>
    <row r="2322">
      <c r="A2322">
        <f>Skills!A23</f>
        <v/>
      </c>
      <c r="B2322">
        <f>Skills!B23</f>
        <v/>
      </c>
      <c r="C2322">
        <f>Inputs!$B$3&gt;=120</f>
        <v/>
      </c>
      <c r="D2322">
        <f>IF(Skills!C23=1,60+Inputs!$B$26+Inputs!$B$30,IF(Skills!C23=2,90+Inputs!$B$27+Inputs!$B$30,IF(Skills!C23=3,120+Inputs!$B$28+Inputs!$B$30,MAX(0,(Inputs!$B$3-100)*3)+Inputs!$B$29+Inputs!$B$30)))</f>
        <v/>
      </c>
      <c r="E2322">
        <f>INDEX(FactorTable!$B$2:$Y$301, MATCH(ROUND(MIN(300,MAX(1,D2322)),0), FactorTable!$A$2:$A$301,0), Skills!M23+1)</f>
        <v/>
      </c>
      <c r="F2322">
        <f>IF(Skills!N23=TRUE,(Skills!L23/10)*(E2322/1000),Skills!L23/10)+Skills!O23</f>
        <v/>
      </c>
      <c r="G2322">
        <f>Skills!G23*IF(Skills!H23&gt;0,INT(IF(Inputs!$B$39="pvp",MIN(Skills!I23,15),Skills!I23)/Skills!H23+0.000000001),1)</f>
        <v/>
      </c>
      <c r="H2322">
        <f>1-(1-Skills!J23/100)^Skills!K23</f>
        <v/>
      </c>
      <c r="I2322" t="inlineStr">
        <is>
          <t>1</t>
        </is>
      </c>
      <c r="J2322" t="inlineStr"/>
      <c r="K2322" t="inlineStr"/>
      <c r="L2322" t="inlineStr"/>
      <c r="M2322" t="inlineStr"/>
      <c r="N2322" t="inlineStr"/>
      <c r="O2322">
        <f>(1-Summary!$B$11)*T2322+Summary!$B$11*V2322</f>
        <v/>
      </c>
      <c r="P2322">
        <f>IF(B2338=0,0,O2322/B2338)</f>
        <v/>
      </c>
      <c r="Q2322" t="n">
        <v>0</v>
      </c>
      <c r="R2322" t="n">
        <v>0</v>
      </c>
      <c r="S2322">
        <f>IFERROR(O2322/N2322,0)</f>
        <v/>
      </c>
      <c r="T2322" t="n">
        <v>0</v>
      </c>
      <c r="V2322" t="n">
        <v>0</v>
      </c>
    </row>
    <row r="2323">
      <c r="A2323">
        <f>Skills!A24</f>
        <v/>
      </c>
      <c r="B2323">
        <f>Skills!B24</f>
        <v/>
      </c>
      <c r="C2323">
        <f>Inputs!$B$3&gt;=120</f>
        <v/>
      </c>
      <c r="D2323">
        <f>IF(Skills!C24=1,60+Inputs!$B$26+Inputs!$B$30,IF(Skills!C24=2,90+Inputs!$B$27+Inputs!$B$30,IF(Skills!C24=3,120+Inputs!$B$28+Inputs!$B$30,MAX(0,(Inputs!$B$3-100)*3)+Inputs!$B$29+Inputs!$B$30)))</f>
        <v/>
      </c>
      <c r="E2323">
        <f>INDEX(FactorTable!$B$2:$Y$301, MATCH(ROUND(MIN(300,MAX(1,D2323)),0), FactorTable!$A$2:$A$301,0), Skills!M24+1)</f>
        <v/>
      </c>
      <c r="F2323">
        <f>IF(Skills!N24=TRUE,(Skills!L24/10)*(E2323/1000),Skills!L24/10)+Skills!O24</f>
        <v/>
      </c>
      <c r="G2323">
        <f>Skills!G24*IF(Skills!H24&gt;0,INT(IF(Inputs!$B$39="pvp",MIN(Skills!I24,15),Skills!I24)/Skills!H24+0.000000001),1)</f>
        <v/>
      </c>
      <c r="H2323">
        <f>1-(1-Skills!J24/100)^Skills!K24</f>
        <v/>
      </c>
      <c r="I2323" t="inlineStr">
        <is>
          <t>1</t>
        </is>
      </c>
      <c r="J2323" t="inlineStr"/>
      <c r="K2323" t="inlineStr"/>
      <c r="L2323" t="inlineStr"/>
      <c r="M2323" t="inlineStr"/>
      <c r="N2323" t="inlineStr"/>
      <c r="O2323">
        <f>(1-Summary!$B$11)*T2323+Summary!$B$11*V2323</f>
        <v/>
      </c>
      <c r="P2323">
        <f>IF(B2338=0,0,O2323/B2338)</f>
        <v/>
      </c>
      <c r="Q2323" t="n">
        <v>0</v>
      </c>
      <c r="R2323" t="n">
        <v>0</v>
      </c>
      <c r="S2323">
        <f>IFERROR(O2323/N2323,0)</f>
        <v/>
      </c>
      <c r="T2323" t="n">
        <v>0</v>
      </c>
      <c r="V2323" t="n">
        <v>0</v>
      </c>
    </row>
    <row r="2324">
      <c r="A2324">
        <f>Skills!A25</f>
        <v/>
      </c>
      <c r="B2324">
        <f>Skills!B25</f>
        <v/>
      </c>
      <c r="C2324">
        <f>Inputs!$B$3&gt;=125</f>
        <v/>
      </c>
      <c r="D2324">
        <f>IF(Skills!C25=1,60+Inputs!$B$26+Inputs!$B$30,IF(Skills!C25=2,90+Inputs!$B$27+Inputs!$B$30,IF(Skills!C25=3,120+Inputs!$B$28+Inputs!$B$30,MAX(0,(Inputs!$B$3-100)*3)+Inputs!$B$29+Inputs!$B$30)))</f>
        <v/>
      </c>
      <c r="E2324">
        <f>INDEX(FactorTable!$B$2:$Y$301, MATCH(ROUND(MIN(300,MAX(1,D2324)),0), FactorTable!$A$2:$A$301,0), Skills!M25+1)</f>
        <v/>
      </c>
      <c r="F2324">
        <f>IF(Skills!N25=TRUE,(Skills!L25/10)*(E2324/1000),Skills!L25/10)+Skills!O25</f>
        <v/>
      </c>
      <c r="G2324">
        <f>Skills!G25*IF(Skills!H25&gt;0,INT(IF(Inputs!$B$39="pvp",MIN(Skills!I25,15),Skills!I25)/Skills!H25+0.000000001),1)</f>
        <v/>
      </c>
      <c r="H2324">
        <f>1-(1-Skills!J25/100)^Skills!K25</f>
        <v/>
      </c>
      <c r="I2324" t="inlineStr">
        <is>
          <t>1</t>
        </is>
      </c>
      <c r="J2324" t="inlineStr"/>
      <c r="K2324" t="inlineStr"/>
      <c r="L2324" t="inlineStr"/>
      <c r="M2324" t="inlineStr"/>
      <c r="N2324" t="inlineStr"/>
      <c r="O2324">
        <f>(1-Summary!$B$11)*T2324+Summary!$B$11*V2324</f>
        <v/>
      </c>
      <c r="P2324">
        <f>IF(B2338=0,0,O2324/B2338)</f>
        <v/>
      </c>
      <c r="Q2324" t="n">
        <v>0</v>
      </c>
      <c r="R2324" t="n">
        <v>0</v>
      </c>
      <c r="S2324">
        <f>IFERROR(O2324/N2324,0)</f>
        <v/>
      </c>
      <c r="T2324" t="n">
        <v>0</v>
      </c>
      <c r="V2324" t="n">
        <v>0</v>
      </c>
    </row>
    <row r="2325">
      <c r="A2325">
        <f>Skills!A26</f>
        <v/>
      </c>
      <c r="B2325">
        <f>Skills!B26</f>
        <v/>
      </c>
      <c r="C2325">
        <f>Inputs!$B$3&gt;=107</f>
        <v/>
      </c>
      <c r="D2325">
        <f>IF(Skills!C26=1,60+Inputs!$B$26+Inputs!$B$30,IF(Skills!C26=2,90+Inputs!$B$27+Inputs!$B$30,IF(Skills!C26=3,120+Inputs!$B$28+Inputs!$B$30,MAX(0,(Inputs!$B$3-100)*3)+Inputs!$B$29+Inputs!$B$30)))</f>
        <v/>
      </c>
      <c r="E2325">
        <f>INDEX(FactorTable!$B$2:$Y$301, MATCH(ROUND(MIN(300,MAX(1,D2325)),0), FactorTable!$A$2:$A$301,0), Skills!M26+1)</f>
        <v/>
      </c>
      <c r="F2325">
        <f>IF(Skills!N26=TRUE,(Skills!L26/10)*(E2325/1000),Skills!L26/10)+Skills!O26</f>
        <v/>
      </c>
      <c r="G2325">
        <f>Skills!G26*IF(Skills!H26&gt;0,INT(IF(Inputs!$B$39="pvp",MIN(Skills!I26,15),Skills!I26)/Skills!H26+0.000000001),1)</f>
        <v/>
      </c>
      <c r="H2325">
        <f>1-(1-Skills!J26/100)^Skills!K26</f>
        <v/>
      </c>
      <c r="I2325" t="inlineStr">
        <is>
          <t>1</t>
        </is>
      </c>
      <c r="J2325" t="inlineStr"/>
      <c r="K2325" t="inlineStr"/>
      <c r="L2325" t="inlineStr"/>
      <c r="M2325" t="inlineStr"/>
      <c r="N2325" t="inlineStr"/>
      <c r="O2325">
        <f>(1-Summary!$B$11)*T2325+Summary!$B$11*V2325</f>
        <v/>
      </c>
      <c r="P2325">
        <f>IF(B2338=0,0,O2325/B2338)</f>
        <v/>
      </c>
      <c r="Q2325" t="n">
        <v>0</v>
      </c>
      <c r="R2325" t="n">
        <v>0</v>
      </c>
      <c r="S2325">
        <f>IFERROR(O2325/N2325,0)</f>
        <v/>
      </c>
      <c r="T2325" t="n">
        <v>0</v>
      </c>
      <c r="V2325" t="n">
        <v>0</v>
      </c>
    </row>
    <row r="2327">
      <c r="A2327" t="inlineStr">
        <is>
          <t>Attack% Bucket Multiplier</t>
        </is>
      </c>
      <c r="B2327">
        <f>(1+(((C2312=TRUE)*F2312*IF(AND(Inputs!$B$39&lt;&gt;"pvp",Inputs!$B$44&gt;0),(((R2312-1)*MIN((Skills!T13*(1+Inputs!$B$35/100)),(1/Q2312))+MIN((Skills!T13*(1+Inputs!$B$35/100)),MAX(0,Inputs!$B$44-((R2312-1)*(1/Q2312)))))/Inputs!$B$44),IF(Inputs!$B$39="pvp",MIN((Skills!T13*(1+Inputs!$B$35/100)),15)/15,MIN(1,(Skills!T13*(1+Inputs!$B$35/100))/(1/Q2312)))))+((C2313=TRUE)*F2313*IF(AND(Inputs!$B$39&lt;&gt;"pvp",Inputs!$B$44&gt;0),(((R2313-1)*MIN((Skills!T14*(1+Inputs!$B$35/100)),(1/Q2313))+MIN((Skills!T14*(1+Inputs!$B$35/100)),MAX(0,Inputs!$B$44-((R2313-1)*(1/Q2313)))))/Inputs!$B$44),IF(Inputs!$B$39="pvp",MIN((Skills!T14*(1+Inputs!$B$35/100)),15)/15,MIN(1,(Skills!T14*(1+Inputs!$B$35/100))/(1/Q2313)))))+((C2314=TRUE)*F2314*IF(AND(Inputs!$B$39&lt;&gt;"pvp",Inputs!$B$44&gt;0),(((R2314-1)*MIN((Skills!T15*(1+Inputs!$B$35/100)),(1/Q2314))+MIN((Skills!T15*(1+Inputs!$B$35/100)),MAX(0,Inputs!$B$44-((R2314-1)*(1/Q2314)))))/Inputs!$B$44),IF(Inputs!$B$39="pvp",MIN((Skills!T15*(1+Inputs!$B$35/100)),15)/15,MIN(1,(Skills!T15*(1+Inputs!$B$35/100))/(1/Q2314)))))+((C2315=TRUE)*F2315*IF(AND(Inputs!$B$39&lt;&gt;"pvp",Inputs!$B$44&gt;0),(((R2315-1)*MIN((Skills!T16*(1+Inputs!$B$35/100)),(1/Q2315))+MIN((Skills!T16*(1+Inputs!$B$35/100)),MAX(0,Inputs!$B$44-((R2315-1)*(1/Q2315)))))/Inputs!$B$44),IF(Inputs!$B$39="pvp",MIN((Skills!T16*(1+Inputs!$B$35/100)),15)/15,MIN(1,(Skills!T16*(1+Inputs!$B$35/100))/(1/Q2315)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2328">
      <c r="A2328" t="inlineStr">
        <is>
          <t>Global Crit Rate Bonus % (Lord of Darkness)</t>
        </is>
      </c>
      <c r="B2328">
        <f>((C2317=TRUE)*F2317*(Skills!J18/100)*IF(AND(Inputs!$B$39&lt;&gt;"pvp",Inputs!$B$44&gt;0),(((R2317-1)*MIN((Skills!T18*(1+Inputs!$B$35/100)),(1/Q2317))+MIN((Skills!T18*(1+Inputs!$B$35/100)),MAX(0,Inputs!$B$44-((R2317-1)*(1/Q2317)))))/Inputs!$B$44),IF(Inputs!$B$39="pvp",MIN((Skills!T18*(1+Inputs!$B$35/100)),15)/15,MIN(1,(Skills!T18*(1+Inputs!$B$35/100))/(1/Q2317)))))</f>
        <v/>
      </c>
    </row>
    <row r="2329">
      <c r="A2329" t="inlineStr">
        <is>
          <t>Attack Speed Buff Bonus %</t>
        </is>
      </c>
      <c r="B2329">
        <f>((C2319=TRUE)*F2319*IF(AND(Inputs!$B$39&lt;&gt;"pvp",Inputs!$B$44&gt;0),(((R2319-1)*MIN((Skills!T20*(1+Inputs!$B$35/100)),(1/Q2319))+MIN((Skills!T20*(1+Inputs!$B$35/100)),MAX(0,Inputs!$B$44-((R2319-1)*(1/Q2319)))))/Inputs!$B$44),IF(Inputs!$B$39="pvp",MIN((Skills!T20*(1+Inputs!$B$35/100)),15)/15,MIN(1,(Skills!T20*(1+Inputs!$B$35/100))/(1/Q2319)))))</f>
        <v/>
      </c>
    </row>
    <row r="2330">
      <c r="A2330" t="inlineStr">
        <is>
          <t>Actions Per Second</t>
        </is>
      </c>
      <c r="B2330">
        <f>1+MIN(150,150*(1-(1-(Inputs!$B$12+((C2320=TRUE)*(F2320-Calc!F21)))/150)*(1-B2329/150)))/100</f>
        <v/>
      </c>
    </row>
    <row r="2331">
      <c r="A2331" t="inlineStr">
        <is>
          <t>Skill + Buff Cast Rate</t>
        </is>
      </c>
      <c r="B2331">
        <f>IF(AND(Inputs!$B$39&lt;&gt;"pvp",Inputs!$B$44&gt;0),SUMPRODUCT((Skills!E2:E26=TRUE)*(C2301:C2325=TRUE)*R2301:R2325*Skills!F2:F26)/Inputs!$B$44,SUMPRODUCT((Skills!E2:E26=TRUE)*(C2301:C2325=TRUE)*Q2301:Q2325*Skills!F2:F26))</f>
        <v/>
      </c>
    </row>
    <row r="2332">
      <c r="A2332" t="inlineStr">
        <is>
          <t>Dark Impale Casts Per Second</t>
        </is>
      </c>
      <c r="B2332">
        <f>MAX(0,B2330-B2331)</f>
        <v/>
      </c>
    </row>
    <row r="2333">
      <c r="A2333" t="inlineStr">
        <is>
          <t>Global Critical Damage Bonus % (Lord of Darkness)</t>
        </is>
      </c>
      <c r="B2333">
        <f>((C2318=TRUE)*F2318*(Skills!J19/100)*IF(AND(Inputs!$B$39&lt;&gt;"pvp",Inputs!$B$44&gt;0),(((R2318-1)*MIN((Skills!T19*(1+Inputs!$B$35/100)),(1/Q2318))+MIN((Skills!T19*(1+Inputs!$B$35/100)),MAX(0,Inputs!$B$44-((R2318-1)*(1/Q2318)))))/Inputs!$B$44),IF(Inputs!$B$39="pvp",MIN((Skills!T19*(1+Inputs!$B$35/100)),15)/15,MIN(1,(Skills!T19*(1+Inputs!$B$35/100))/(1/Q2318)))))</f>
        <v/>
      </c>
    </row>
    <row r="2334">
      <c r="A2334" t="inlineStr">
        <is>
          <t>Global Final Damage Bonus % (unused)</t>
        </is>
      </c>
      <c r="B2334" t="n">
        <v>0</v>
      </c>
    </row>
    <row r="2335">
      <c r="A2335" t="inlineStr">
        <is>
          <t>Buff-Casting Startup Delay (s, fixed-duration only)</t>
        </is>
      </c>
      <c r="B2335">
        <f>IF(AND(Inputs!$B$39&lt;&gt;"pvp",Inputs!$B$44&gt;0),SUMPRODUCT((Skills!T2:T26&gt;0)*(Skills!E2:E26=TRUE)*(C2301:C2325=TRUE))/B2330,0)</f>
        <v/>
      </c>
    </row>
    <row r="2336">
      <c r="A2336" t="inlineStr">
        <is>
          <t>Boss-Only Total DPS (this block's swept value)</t>
        </is>
      </c>
      <c r="B2336">
        <f>SUM(T2301:T2325)</f>
        <v/>
      </c>
    </row>
    <row r="2337">
      <c r="A2337" t="inlineStr">
        <is>
          <t>Normal-Only Total DPS (this block's swept value)</t>
        </is>
      </c>
      <c r="B2337">
        <f>SUM(V2301:V2325)</f>
        <v/>
      </c>
    </row>
    <row r="2338">
      <c r="A2338" s="6" t="inlineStr">
        <is>
          <t>TOTAL DPS</t>
        </is>
      </c>
      <c r="B2338" s="6">
        <f>SUM(O2301:O2325)</f>
        <v/>
      </c>
    </row>
    <row r="2341">
      <c r="A2341" s="6" t="inlineStr">
        <is>
          <t>Stat: Sayram's Necklace (Equip)</t>
        </is>
      </c>
    </row>
    <row r="2342">
      <c r="A2342" s="5" t="inlineStr">
        <is>
          <t>Key</t>
        </is>
      </c>
      <c r="B2342" s="5" t="inlineStr">
        <is>
          <t>Name</t>
        </is>
      </c>
      <c r="C2342" s="5" t="inlineStr">
        <is>
          <t>Unlocked</t>
        </is>
      </c>
      <c r="D2342" s="5" t="inlineStr">
        <is>
          <t>InputLevel</t>
        </is>
      </c>
      <c r="E2342" s="5" t="inlineStr">
        <is>
          <t>Factor</t>
        </is>
      </c>
      <c r="F2342" s="5" t="inlineStr">
        <is>
          <t>CoefficientPercent</t>
        </is>
      </c>
      <c r="G2342" s="5" t="inlineStr">
        <is>
          <t>EffectiveHits</t>
        </is>
      </c>
      <c r="H2342" s="5" t="inlineStr">
        <is>
          <t>ProcProbability</t>
        </is>
      </c>
      <c r="I2342" s="5" t="inlineStr">
        <is>
          <t>MapleHeroMultiplier</t>
        </is>
      </c>
      <c r="J2342" s="5" t="inlineStr">
        <is>
          <t>BaseDamage</t>
        </is>
      </c>
      <c r="K2342" s="5" t="inlineStr">
        <is>
          <t>BaseHitDamage</t>
        </is>
      </c>
      <c r="L2342" s="5" t="inlineStr">
        <is>
          <t>NonCritAvg</t>
        </is>
      </c>
      <c r="M2342" s="5" t="inlineStr">
        <is>
          <t>CritAvg</t>
        </is>
      </c>
      <c r="N2342" s="5" t="inlineStr">
        <is>
          <t>ExpectedDamage(perHit)</t>
        </is>
      </c>
      <c r="O2342" s="5" t="inlineStr">
        <is>
          <t>DPS</t>
        </is>
      </c>
      <c r="P2342" s="5" t="inlineStr">
        <is>
          <t>% of Total</t>
        </is>
      </c>
      <c r="Q2342" s="5" t="inlineStr">
        <is>
          <t>InvCooldown</t>
        </is>
      </c>
      <c r="R2342" s="5" t="inlineStr">
        <is>
          <t>CastsInFight</t>
        </is>
      </c>
      <c r="S2342" s="5" t="inlineStr">
        <is>
          <t>HitRate(perSec)</t>
        </is>
      </c>
      <c r="U2342" t="inlineStr">
        <is>
          <t>helpers</t>
        </is>
      </c>
    </row>
    <row r="2343">
      <c r="A2343">
        <f>Skills!A2</f>
        <v/>
      </c>
      <c r="B2343">
        <f>Skills!B2</f>
        <v/>
      </c>
      <c r="C2343">
        <f>Inputs!$B$3&gt;=100</f>
        <v/>
      </c>
      <c r="D2343" t="inlineStr"/>
      <c r="E2343" t="inlineStr"/>
      <c r="F2343">
        <f>U2345+Skills!O2</f>
        <v/>
      </c>
      <c r="G2343">
        <f>Skills!G2*IF(Skills!H2&gt;0,INT(IF(Inputs!$B$39="pvp",MIN(Skills!I2,15),Skills!I2)/Skills!H2+0.000000001),1)</f>
        <v/>
      </c>
      <c r="H2343">
        <f>1-(1-Skills!J2/100)^Skills!K2</f>
        <v/>
      </c>
      <c r="I2343" t="inlineStr">
        <is>
          <t>1</t>
        </is>
      </c>
      <c r="J2343">
        <f>((Inputs!$B$6*(1+Inputs!$B$7/100))+(((Inputs!$B$13*(1+Inputs!$B$14/100))-(Inputs!$B$13*(1+Inputs!$B$14/100)))+0.25*(Inputs!$B$15-Inputs!$B$15))*(1+Inputs!$B$7/100))*(F2343/100)</f>
        <v/>
      </c>
      <c r="K2343">
        <f>J2343*(1+(((Inputs!$B$13+IF(Inputs!$B$3&gt;=38,(10*INDEX(FactorTable!$B$2:$Y$301, MATCH(ROUND(MIN(300,MAX(1,Inputs!$B$3)),0), FactorTable!$A$2:$A$301,0), 23)/1000)/100*(Inputs!$B$8*(1+Inputs!$B$9/100)),0))*(1+Inputs!$B$14/100))*0.01+Inputs!$B$15*0.0025)/100)*(1+Inputs!$B$16/100)*(1+Inputs!$B$17/100)*(5000/(6000+Inputs!$B$43*(1-(Inputs!$B$20+0)/100)))*(1+(Inputs!$B$25+((C2366=TRUE)*(F2366-Calc!F25))+((C2367=TRUE)*(F2367-Calc!F26))+B2376)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gt;=100),MIN(100,((Inputs!$B$10+0+B2370+(ArtifactsInput!$M$24-ArtifactsInput!$M$24)*CHOOSE(ArtifactsInput!$N$24+1,10,12,14,16,18,20)+IF(ArtifactsInput!$M$10,CHOOSE(ArtifactsInput!$N$10+1,15,18,21,24,27,30)*(IF(Inputs!$B$39="pvp",MIN(15,15)/15,IF(AND(Inputs!$B$39&lt;&gt;"pvp",Inputs!$B$44&gt;0),MIN(15,Inputs!$B$44)/(Inputs!$B$44),0))),0)))-100),0))*CHOOSE(ArtifactsInput!$N$42+1,0.6,0.72,0.84,0.96,1.08,1.2))),Inputs!$B$19+((C2364=TRUE)*(F2364-Calc!F23))+(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gt;=100),CHOOSE(ArtifactsInput!$N$42+1,40,48,56,64,72,80),0))))/100)*((1+(((C2354=TRUE)*F2354*IF(AND(Inputs!$B$39&lt;&gt;"pvp",Inputs!$B$44&gt;0),(((R2354-1)*MIN((Skills!T13*(1+Inputs!$B$35/100)),(1/Q2354))+MIN((Skills!T13*(1+Inputs!$B$35/100)),MAX(0,Inputs!$B$44-((R2354-1)*(1/Q2354)))))/Inputs!$B$44),IF(Inputs!$B$39="pvp",MIN((Skills!T13*(1+Inputs!$B$35/100)),15)/15,MIN(1,(Skills!T13*(1+Inputs!$B$35/100))/(1/Q2354)))))+((C2355=TRUE)*F2355*IF(AND(Inputs!$B$39&lt;&gt;"pvp",Inputs!$B$44&gt;0),(((R2355-1)*MIN((Skills!T14*(1+Inputs!$B$35/100)),(1/Q2355))+MIN((Skills!T14*(1+Inputs!$B$35/100)),MAX(0,Inputs!$B$44-((R2355-1)*(1/Q2355)))))/Inputs!$B$44),IF(Inputs!$B$39="pvp",MIN((Skills!T14*(1+Inputs!$B$35/100)),15)/15,MIN(1,(Skills!T14*(1+Inputs!$B$35/100))/(1/Q2355)))))+((C2356=TRUE)*F2356*IF(AND(Inputs!$B$39&lt;&gt;"pvp",Inputs!$B$44&gt;0),(((R2356-1)*MIN((Skills!T15*(1+Inputs!$B$35/100)),(1/Q2356))+MIN((Skills!T15*(1+Inputs!$B$35/100)),MAX(0,Inputs!$B$44-((R2356-1)*(1/Q2356)))))/Inputs!$B$44),IF(Inputs!$B$39="pvp",MIN((Skills!T15*(1+Inputs!$B$35/100)),15)/15,MIN(1,(Skills!T15*(1+Inputs!$B$35/100))/(1/Q2356)))))+((C2357=TRUE)*F2357*IF(AND(Inputs!$B$39&lt;&gt;"pvp",Inputs!$B$44&gt;0),(((R2357-1)*MIN((Skills!T16*(1+Inputs!$B$35/100)),(1/Q2357))+MIN((Skills!T16*(1+Inputs!$B$35/100)),MAX(0,Inputs!$B$44-((R2357-1)*(1/Q2357)))))/Inputs!$B$44),IF(Inputs!$B$39="pvp",MIN((Skills!T16*(1+Inputs!$B$35/100)),15)/15,MIN(1,(Skills!T16*(1+Inputs!$B$35/100))/(1/Q2357)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2343)</f>
        <v/>
      </c>
      <c r="L2343">
        <f>K2343*(MIN(Inputs!$B$23+((C2363=TRUE)*(F2363-Calc!F22)),(Inputs!$B$24+((C2365=TRUE)*(F2365-Calc!F24))+(IF(ArtifactsInput!$M$15,CHOOSE(ArtifactsInput!$N$15+1,25,30,35,40,45,50)/100*(Inputs!$B$12-Inputs!$B$12),0))))/100+(Inputs!$B$24+((C2365=TRUE)*(F2365-Calc!F24))+(IF(ArtifactsInput!$M$15,CHOOSE(ArtifactsInput!$N$15+1,25,30,35,40,45,50)/100*(Inputs!$B$12-Inputs!$B$12),0)))/100)/2</f>
        <v/>
      </c>
      <c r="M2343">
        <f>L2343*(1+(Inputs!$B$11+0+B2375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343">
        <f>L2343*(1-MIN((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2343*(MIN((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43">
        <f>(1-Summary!$B$11)*T2343+Summary!$B$11*V2343</f>
        <v/>
      </c>
      <c r="P2343">
        <f>IF(B2380=0,0,O2343/B2380)</f>
        <v/>
      </c>
      <c r="Q2343" t="n">
        <v>0</v>
      </c>
      <c r="R2343" t="n">
        <v>0</v>
      </c>
      <c r="S2343">
        <f>IFERROR(O2343/N2343,0)</f>
        <v/>
      </c>
      <c r="T2343">
        <f>IF(C2343,(Skills!G2*N2343*B2374)*IF(Inputs!$B$39="pvp",1,1+(Inputs!$B$21+0+Skills!P2+((C2358=TRUE)*F2358*IF(AND(Inputs!$B$39&lt;&gt;"pvp",Inputs!$B$44&gt;0),(((R2358-1)*MIN((Skills!T17*(1+Inputs!$B$35/100)),(1/Q2358))+MIN((Skills!T17*(1+Inputs!$B$35/100)),MAX(0,Inputs!$B$44-((R2358-1)*(1/Q2358)))))/Inputs!$B$44),IF(Inputs!$B$39="pvp",MIN((Skills!T17*(1+Inputs!$B$35/100)),15)/15,MIN(1,(Skills!T17*(1+Inputs!$B$35/100))/(1/Q2358)))))+((C2346=TRUE)*IF(Inputs!$B$3&gt;=126,10*MIN(1,15*Q2346),0))+((C2355=TRUE)*IF(Inputs!$B$39="pvp",20,(1-Summary!$B$11)*(20)+Summary!$B$11*(0))*IF(AND(Inputs!$B$39&lt;&gt;"pvp",Inputs!$B$44&gt;0),(((R2355-1)*MIN((Skills!T14*(1+Inputs!$B$35/100)),(1/Q2355))+MIN((Skills!T14*(1+Inputs!$B$35/100)),MAX(0,Inputs!$B$44-((R2355-1)*(1/Q2355)))))/Inputs!$B$44),IF(Inputs!$B$39="pvp",MIN((Skills!T14*(1+Inputs!$B$35/100)),15)/15,MIN(1,(Skills!T14*(1+Inputs!$B$35/100))/(1/Q2355)))))+((C2354=TRUE)*IF(Inputs!$B$3&gt;=82,IF(Inputs!$B$39="pvp",20,(1-Summary!$B$11)*(20)+Summary!$B$11*(0)),0)*IF(AND(Inputs!$B$39&lt;&gt;"pvp",Inputs!$B$44&gt;0),(((R2354-1)*MIN((Skills!T13*(1+Inputs!$B$35/100)),(1/Q2354))+MIN((Skills!T13*(1+Inputs!$B$35/100)),MAX(0,Inputs!$B$44-((R2354-1)*(1/Q2354)))))/Inputs!$B$44),IF(Inputs!$B$39="pvp",MIN((Skills!T13*(1+Inputs!$B$35/100)),15)/15,MIN(1,(Skills!T13*(1+Inputs!$B$35/100))/(1/Q2354)))))+(IF(AND(ArtifactsInput!$M$35,Inputs!$B$4&lt;&gt;"Chapter Hunt"),CHOOSE(ArtifactsInput!$N$35+1,15,18,21,24,27,30)*(1-EXP(-(0.2*B2372)*5)),0)+IF(AND(ArtifactsInput!$M$22,Inputs!$B$4&lt;&gt;"Chapter Hunt"),CHOOSE(ArtifactsInput!$N$22+1,10,12,14,16,18,20)*((0*(((0.15*B2372*5))^0/1)+1*(((0.15*B2372*5))^1/1)+2*(((0.15*B2372*5))^2/2)+3*(((0.15*B2372*5))^3/6)+4*(((0.15*B2372*5))^4/24)+5*(((0.15*B2372*5))^5/120))/((((0.15*B2372*5))^0/1)+(((0.15*B2372*5))^1/1)+(((0.15*B2372*5))^2/2)+(((0.15*B2372*5))^3/6)+(((0.15*B2372*5))^4/24)+(((0.15*B2372*5))^5/120))),0))+(IF(AND(ArtifactsInput!$M$36,IF(Inputs!$B$39="pvp",TRUE,AND(Inputs!$B$39&lt;&gt;"pvp",Inputs!$B$44&gt;0))),MAX(0,MIN(40,IF(Inputs!$B$39="pvp",15,Inputs!$B$44))-MAX(20,IF(Inputs!$B$4="Breakthrough",20,IF(Inputs!$B$4="Hero Dungeon",30,0))))/(IF(Inputs!$B$39="pvp",15,Inputs!$B$44)-IF(Inputs!$B$4="Breakthrough",20,IF(Inputs!$B$4="Hero Dungeon",30,0)))*CHOOSE(ArtifactsInput!$N$36+1,30,36,42,48,54,60),0)+IF(IF(ArtifactsInput!$M$33,FALSE,TRUE),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2343*(1-MIN(100,(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2343*(MIN(100,(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2343*(1-MIN(100,(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2343*(MIN(100,(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343">
        <f>MAX(0,(Inputs!$B$3-100)*3)+Inputs!$B$29+Inputs!$B$30</f>
        <v/>
      </c>
      <c r="V2343">
        <f>IF(C2343,(Skills!G2*N2343*B2374)*IF(Inputs!$B$39="pvp",1,(1+(Inputs!$B$22+Skills!Q2+((C2358=TRUE)*F2358*IF(AND(Inputs!$B$39&lt;&gt;"pvp",Inputs!$B$44&gt;0),(((R2358-1)*MIN((Skills!T17*(1+Inputs!$B$35/100)),(1/Q2358))+MIN((Skills!T17*(1+Inputs!$B$35/100)),MAX(0,Inputs!$B$44-((R2358-1)*(1/Q2358)))))/Inputs!$B$44),IF(Inputs!$B$39="pvp",MIN((Skills!T17*(1+Inputs!$B$35/100)),15)/15,MIN(1,(Skills!T17*(1+Inputs!$B$35/100))/(1/Q2358)))))+((C2346=TRUE)*IF(Inputs!$B$3&gt;=126,10*MIN(1,15*Q2346),0))+((C2355=TRUE)*IF(Inputs!$B$39="pvp",20,(1-Summary!$B$11)*(20)+Summary!$B$11*(0))*IF(AND(Inputs!$B$39&lt;&gt;"pvp",Inputs!$B$44&gt;0),(((R2355-1)*MIN((Skills!T14*(1+Inputs!$B$35/100)),(1/Q2355))+MIN((Skills!T14*(1+Inputs!$B$35/100)),MAX(0,Inputs!$B$44-((R2355-1)*(1/Q2355)))))/Inputs!$B$44),IF(Inputs!$B$39="pvp",MIN((Skills!T14*(1+Inputs!$B$35/100)),15)/15,MIN(1,(Skills!T14*(1+Inputs!$B$35/100))/(1/Q2355)))))+((C2354=TRUE)*IF(Inputs!$B$3&gt;=82,IF(Inputs!$B$39="pvp",20,(1-Summary!$B$11)*(20)+Summary!$B$11*(0)),0)*IF(AND(Inputs!$B$39&lt;&gt;"pvp",Inputs!$B$44&gt;0),(((R2354-1)*MIN((Skills!T13*(1+Inputs!$B$35/100)),(1/Q2354))+MIN((Skills!T13*(1+Inputs!$B$35/100)),MAX(0,Inputs!$B$44-((R2354-1)*(1/Q2354)))))/Inputs!$B$44),IF(Inputs!$B$39="pvp",MIN((Skills!T13*(1+Inputs!$B$35/100)),15)/15,MIN(1,(Skills!T13*(1+Inputs!$B$35/100))/(1/Q2354)))))+(IF(AND(ArtifactsInput!$M$35,Inputs!$B$4&lt;&gt;"Chapter Hunt"),CHOOSE(ArtifactsInput!$N$35+1,15,18,21,24,27,30)*(1-EXP(-(0.2*B2372)*5)),0)+IF(AND(ArtifactsInput!$M$22,Inputs!$B$4&lt;&gt;"Chapter Hunt"),CHOOSE(ArtifactsInput!$N$22+1,10,12,14,16,18,20)*((0*(((0.15*B2372*5))^0/1)+1*(((0.15*B2372*5))^1/1)+2*(((0.15*B2372*5))^2/2)+3*(((0.15*B2372*5))^3/6)+4*(((0.15*B2372*5))^4/24)+5*(((0.15*B2372*5))^5/120))/((((0.15*B2372*5))^0/1)+(((0.15*B2372*5))^1/1)+(((0.15*B2372*5))^2/2)+(((0.15*B2372*5))^3/6)+(((0.15*B2372*5))^4/24)+(((0.15*B2372*5))^5/120))),0))+(IF(IF(ArtifactsInput!$M$33,FALSE,TRUE),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44">
      <c r="A2344">
        <f>Skills!A3</f>
        <v/>
      </c>
      <c r="B2344">
        <f>Skills!B3</f>
        <v/>
      </c>
      <c r="C2344">
        <f>Inputs!$B$3&gt;=50</f>
        <v/>
      </c>
      <c r="D2344">
        <f>IF(Skills!C3=1,60+Inputs!$B$26+Inputs!$B$30,IF(Skills!C3=2,90+Inputs!$B$27+Inputs!$B$30,IF(Skills!C3=3,120+Inputs!$B$28+Inputs!$B$30,MAX(0,(Inputs!$B$3-100)*3)+Inputs!$B$29+Inputs!$B$30)))</f>
        <v/>
      </c>
      <c r="E2344">
        <f>INDEX(FactorTable!$B$2:$Y$301, MATCH(ROUND(MIN(300,MAX(1,D2344)),0), FactorTable!$A$2:$A$301,0), Skills!M3+1)</f>
        <v/>
      </c>
      <c r="F2344">
        <f>IF(Skills!N3=TRUE,(Skills!L3/10)*(E2344/1000),Skills!L3/10)+Skills!O3</f>
        <v/>
      </c>
      <c r="G2344" t="inlineStr"/>
      <c r="H2344" t="inlineStr"/>
      <c r="I2344" t="inlineStr">
        <is>
          <t>1</t>
        </is>
      </c>
      <c r="J2344" t="inlineStr"/>
      <c r="K2344" t="inlineStr"/>
      <c r="L2344" t="inlineStr"/>
      <c r="M2344" t="inlineStr"/>
      <c r="N2344" t="inlineStr"/>
      <c r="O2344" t="inlineStr"/>
      <c r="P2344" t="inlineStr"/>
      <c r="Q2344" t="inlineStr"/>
      <c r="R2344" t="inlineStr"/>
      <c r="S2344" t="inlineStr"/>
      <c r="U2344">
        <f>INDEX(FactorTable!$B$2:$Y$301, MATCH(ROUND(MIN(300,MAX(1,U2343)),0), FactorTable!$A$2:$A$301,0), 22)</f>
        <v/>
      </c>
    </row>
    <row r="2345">
      <c r="A2345">
        <f>Skills!A4</f>
        <v/>
      </c>
      <c r="B2345">
        <f>Skills!B4</f>
        <v/>
      </c>
      <c r="C2345">
        <f>Inputs!$B$3&gt;=105</f>
        <v/>
      </c>
      <c r="D2345">
        <f>IF(Skills!C4=1,60+Inputs!$B$26+Inputs!$B$30,IF(Skills!C4=2,90+Inputs!$B$27+Inputs!$B$30,IF(Skills!C4=3,120+Inputs!$B$28+Inputs!$B$30,MAX(0,(Inputs!$B$3-100)*3)+Inputs!$B$29+Inputs!$B$30)))</f>
        <v/>
      </c>
      <c r="E2345">
        <f>INDEX(FactorTable!$B$2:$Y$301, MATCH(ROUND(MIN(300,MAX(1,D2345)),0), FactorTable!$A$2:$A$301,0), Skills!M4+1)</f>
        <v/>
      </c>
      <c r="F2345">
        <f>IF(Skills!N4=TRUE,(Skills!L4/10)*(E2345/1000),Skills!L4/10)+Skills!O4</f>
        <v/>
      </c>
      <c r="G2345" t="inlineStr"/>
      <c r="H2345" t="inlineStr"/>
      <c r="I2345" t="inlineStr">
        <is>
          <t>1</t>
        </is>
      </c>
      <c r="J2345" t="inlineStr"/>
      <c r="K2345" t="inlineStr"/>
      <c r="L2345" t="inlineStr"/>
      <c r="M2345" t="inlineStr"/>
      <c r="N2345" t="inlineStr"/>
      <c r="O2345" t="inlineStr"/>
      <c r="P2345" t="inlineStr"/>
      <c r="Q2345" t="inlineStr"/>
      <c r="R2345" t="inlineStr"/>
      <c r="S2345" t="inlineStr"/>
      <c r="U2345">
        <f>290*U2344/1000</f>
        <v/>
      </c>
    </row>
    <row r="2346">
      <c r="A2346">
        <f>Skills!A5</f>
        <v/>
      </c>
      <c r="B2346">
        <f>Skills!B5</f>
        <v/>
      </c>
      <c r="C2346">
        <f>Inputs!$B$3&gt;=117</f>
        <v/>
      </c>
      <c r="D2346">
        <f>IF(Skills!C5=1,60+Inputs!$B$26+Inputs!$B$30,IF(Skills!C5=2,90+Inputs!$B$27+Inputs!$B$30,IF(Skills!C5=3,120+Inputs!$B$28+Inputs!$B$30,MAX(0,(Inputs!$B$3-100)*3)+Inputs!$B$29+Inputs!$B$30)))</f>
        <v/>
      </c>
      <c r="E2346">
        <f>INDEX(FactorTable!$B$2:$Y$301, MATCH(ROUND(MIN(300,MAX(1,D2346)),0), FactorTable!$A$2:$A$301,0), Skills!M5+1)</f>
        <v/>
      </c>
      <c r="F2346">
        <f>IF(Skills!N5=TRUE,(Skills!L5/10)*(E2346/1000),Skills!L5/10)+Skills!O5</f>
        <v/>
      </c>
      <c r="G2346">
        <f>Skills!G5*IF(Skills!H5&gt;0,INT(IF(Inputs!$B$39="pvp",MIN(Skills!I5,15),Skills!I5)/Skills!H5+0.000000001),1)</f>
        <v/>
      </c>
      <c r="H2346">
        <f>1-(1-Skills!J5/100)^Skills!K5</f>
        <v/>
      </c>
      <c r="I2346" t="inlineStr">
        <is>
          <t>1</t>
        </is>
      </c>
      <c r="J2346">
        <f>((Inputs!$B$6*(1+Inputs!$B$7/100))+(((Inputs!$B$13*(1+Inputs!$B$14/100))-(Inputs!$B$13*(1+Inputs!$B$14/100)))+0.25*(Inputs!$B$15-Inputs!$B$15))*(1+Inputs!$B$7/100))*(F2346/100)</f>
        <v/>
      </c>
      <c r="K2346">
        <f>J2346*(1+(((Inputs!$B$13+IF(Inputs!$B$3&gt;=38,(10*INDEX(FactorTable!$B$2:$Y$301, MATCH(ROUND(MIN(300,MAX(1,Inputs!$B$3)),0), FactorTable!$A$2:$A$301,0), 23)/1000)/100*(Inputs!$B$8*(1+Inputs!$B$9/100)),0))*(1+Inputs!$B$14/100))*0.01+Inputs!$B$15*0.0025)/100)*(1+Inputs!$B$16/100)*(1+Inputs!$B$17/100)*(5000/(6000+Inputs!$B$43*(1-(Inputs!$B$20+0)/100)))*(1+(Inputs!$B$25+((C2366=TRUE)*(F2366-Calc!F25))+((C2367=TRUE)*(F2367-Calc!F26))+B2376)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gt;=100),MIN(100,((Inputs!$B$10+0+B2370+(ArtifactsInput!$M$24-ArtifactsInput!$M$24)*CHOOSE(ArtifactsInput!$N$24+1,10,12,14,16,18,20)+IF(ArtifactsInput!$M$10,CHOOSE(ArtifactsInput!$N$10+1,15,18,21,24,27,30)*(IF(Inputs!$B$39="pvp",MIN(15,15)/15,IF(AND(Inputs!$B$39&lt;&gt;"pvp",Inputs!$B$44&gt;0),MIN(15,Inputs!$B$44)/(Inputs!$B$44),0))),0)))-100),0))*CHOOSE(ArtifactsInput!$N$42+1,0.6,0.72,0.84,0.96,1.08,1.2))),Inputs!$B$19+((C2364=TRUE)*(F2364-Calc!F23))+(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gt;=100),CHOOSE(ArtifactsInput!$N$42+1,40,48,56,64,72,80),0))))/100)*((1+(((C2354=TRUE)*F2354*IF(AND(Inputs!$B$39&lt;&gt;"pvp",Inputs!$B$44&gt;0),(((R2354-1)*MIN((Skills!T13*(1+Inputs!$B$35/100)),(1/Q2354))+MIN((Skills!T13*(1+Inputs!$B$35/100)),MAX(0,Inputs!$B$44-((R2354-1)*(1/Q2354)))))/Inputs!$B$44),IF(Inputs!$B$39="pvp",MIN((Skills!T13*(1+Inputs!$B$35/100)),15)/15,MIN(1,(Skills!T13*(1+Inputs!$B$35/100))/(1/Q2354)))))+((C2355=TRUE)*F2355*IF(AND(Inputs!$B$39&lt;&gt;"pvp",Inputs!$B$44&gt;0),(((R2355-1)*MIN((Skills!T14*(1+Inputs!$B$35/100)),(1/Q2355))+MIN((Skills!T14*(1+Inputs!$B$35/100)),MAX(0,Inputs!$B$44-((R2355-1)*(1/Q2355)))))/Inputs!$B$44),IF(Inputs!$B$39="pvp",MIN((Skills!T14*(1+Inputs!$B$35/100)),15)/15,MIN(1,(Skills!T14*(1+Inputs!$B$35/100))/(1/Q2355)))))+((C2356=TRUE)*F2356*IF(AND(Inputs!$B$39&lt;&gt;"pvp",Inputs!$B$44&gt;0),(((R2356-1)*MIN((Skills!T15*(1+Inputs!$B$35/100)),(1/Q2356))+MIN((Skills!T15*(1+Inputs!$B$35/100)),MAX(0,Inputs!$B$44-((R2356-1)*(1/Q2356)))))/Inputs!$B$44),IF(Inputs!$B$39="pvp",MIN((Skills!T15*(1+Inputs!$B$35/100)),15)/15,MIN(1,(Skills!T15*(1+Inputs!$B$35/100))/(1/Q2356)))))+((C2357=TRUE)*F2357*IF(AND(Inputs!$B$39&lt;&gt;"pvp",Inputs!$B$44&gt;0),(((R2357-1)*MIN((Skills!T16*(1+Inputs!$B$35/100)),(1/Q2357))+MIN((Skills!T16*(1+Inputs!$B$35/100)),MAX(0,Inputs!$B$44-((R2357-1)*(1/Q2357)))))/Inputs!$B$44),IF(Inputs!$B$39="pvp",MIN((Skills!T16*(1+Inputs!$B$35/100)),15)/15,MIN(1,(Skills!T16*(1+Inputs!$B$35/100))/(1/Q2357)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2346)</f>
        <v/>
      </c>
      <c r="L2346">
        <f>K2346*(MIN(Inputs!$B$23+((C2363=TRUE)*(F2363-Calc!F22)),(Inputs!$B$24+((C2365=TRUE)*(F2365-Calc!F24))+(IF(ArtifactsInput!$M$15,CHOOSE(ArtifactsInput!$N$15+1,25,30,35,40,45,50)/100*(Inputs!$B$12-Inputs!$B$12),0))))/100+(Inputs!$B$24+((C2365=TRUE)*(F2365-Calc!F24))+(IF(ArtifactsInput!$M$15,CHOOSE(ArtifactsInput!$N$15+1,25,30,35,40,45,50)/100*(Inputs!$B$12-Inputs!$B$12),0)))/100)/2</f>
        <v/>
      </c>
      <c r="M2346">
        <f>L2346*(1+(Inputs!$B$11+0+B2375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346">
        <f>L2346*(1-MIN((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2346*(MIN((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46">
        <f>(1-Summary!$B$11)*T2346+Summary!$B$11*V2346</f>
        <v/>
      </c>
      <c r="P2346">
        <f>IF(B2380=0,0,O2346/B2380)</f>
        <v/>
      </c>
      <c r="Q2346">
        <f>IFERROR(1/IF(Inputs!$B$39="pvp",15,MAX(0.1,Skills!D5-IF(TRUE=TRUE,Inputs!$B$33,0))),0)</f>
        <v/>
      </c>
      <c r="R2346">
        <f>IF(AND(Inputs!$B$39&lt;&gt;"pvp",Inputs!$B$44&gt;0),IF(MAX(0,Inputs!$B$44-B2377)&lt;=0,0,(INT(MAX(0,Inputs!$B$44-B2377)/IF(Inputs!$B$39="pvp",15,MAX(0.1,Skills!D5-IF(TRUE=TRUE,Inputs!$B$33,0))))+1)),0)</f>
        <v/>
      </c>
      <c r="S2346">
        <f>IFERROR(O2346/N2346,0)</f>
        <v/>
      </c>
      <c r="T2346">
        <f>IF(C2346,(H2346*N2346*IF(AND(Inputs!$B$39&lt;&gt;"pvp",Inputs!$B$44&gt;0),((Skills!G5*((R2346-1)*IF(Skills!H5&gt;0,INT(Skills!I5/Skills!H5+0.000000001),1)+IF(Skills!H5&gt;0,INT(MIN(Skills!I5,MAX(0,MAX(0,Inputs!$B$44-B2377)-((R2346-1)*IF(Inputs!$B$39="pvp",15,MAX(0.1,Skills!D5-IF(TRUE=TRUE,Inputs!$B$33,0))))))/Skills!H5+0.000000001),1)))/Inputs!$B$44),G2346*Q2346))*IF(Inputs!$B$39="pvp",1,1+(Inputs!$B$21+0+Skills!P5+((C2358=TRUE)*F2358*IF(AND(Inputs!$B$39&lt;&gt;"pvp",Inputs!$B$44&gt;0),(((R2358-1)*MIN((Skills!T17*(1+Inputs!$B$35/100)),(1/Q2358))+MIN((Skills!T17*(1+Inputs!$B$35/100)),MAX(0,Inputs!$B$44-((R2358-1)*(1/Q2358)))))/Inputs!$B$44),IF(Inputs!$B$39="pvp",MIN((Skills!T17*(1+Inputs!$B$35/100)),15)/15,MIN(1,(Skills!T17*(1+Inputs!$B$35/100))/(1/Q2358)))))+((C2346=TRUE)*IF(Inputs!$B$3&gt;=126,10*MIN(1,15*Q2346),0))+((C2355=TRUE)*IF(Inputs!$B$39="pvp",20,(1-Summary!$B$11)*(20)+Summary!$B$11*(0))*IF(AND(Inputs!$B$39&lt;&gt;"pvp",Inputs!$B$44&gt;0),(((R2355-1)*MIN((Skills!T14*(1+Inputs!$B$35/100)),(1/Q2355))+MIN((Skills!T14*(1+Inputs!$B$35/100)),MAX(0,Inputs!$B$44-((R2355-1)*(1/Q2355)))))/Inputs!$B$44),IF(Inputs!$B$39="pvp",MIN((Skills!T14*(1+Inputs!$B$35/100)),15)/15,MIN(1,(Skills!T14*(1+Inputs!$B$35/100))/(1/Q2355)))))+((C2354=TRUE)*IF(Inputs!$B$3&gt;=82,IF(Inputs!$B$39="pvp",20,(1-Summary!$B$11)*(20)+Summary!$B$11*(0)),0)*IF(AND(Inputs!$B$39&lt;&gt;"pvp",Inputs!$B$44&gt;0),(((R2354-1)*MIN((Skills!T13*(1+Inputs!$B$35/100)),(1/Q2354))+MIN((Skills!T13*(1+Inputs!$B$35/100)),MAX(0,Inputs!$B$44-((R2354-1)*(1/Q2354)))))/Inputs!$B$44),IF(Inputs!$B$39="pvp",MIN((Skills!T13*(1+Inputs!$B$35/100)),15)/15,MIN(1,(Skills!T13*(1+Inputs!$B$35/100))/(1/Q2354)))))+(IF(AND(ArtifactsInput!$M$35,Inputs!$B$4&lt;&gt;"Chapter Hunt"),CHOOSE(ArtifactsInput!$N$35+1,15,18,21,24,27,30)*(1-EXP(-(0.2*B2372)*5)),0)+IF(AND(ArtifactsInput!$M$22,Inputs!$B$4&lt;&gt;"Chapter Hunt"),CHOOSE(ArtifactsInput!$N$22+1,10,12,14,16,18,20)*((0*(((0.15*B2372*5))^0/1)+1*(((0.15*B2372*5))^1/1)+2*(((0.15*B2372*5))^2/2)+3*(((0.15*B2372*5))^3/6)+4*(((0.15*B2372*5))^4/24)+5*(((0.15*B2372*5))^5/120))/((((0.15*B2372*5))^0/1)+(((0.15*B2372*5))^1/1)+(((0.15*B2372*5))^2/2)+(((0.15*B2372*5))^3/6)+(((0.15*B2372*5))^4/24)+(((0.15*B2372*5))^5/120))),0))+(IF(AND(ArtifactsInput!$M$36,IF(Inputs!$B$39="pvp",TRUE,AND(Inputs!$B$39&lt;&gt;"pvp",Inputs!$B$44&gt;0))),MAX(0,MIN(40,IF(Inputs!$B$39="pvp",15,Inputs!$B$44))-MAX(20,IF(Inputs!$B$4="Breakthrough",20,IF(Inputs!$B$4="Hero Dungeon",30,0))))/(IF(Inputs!$B$39="pvp",15,Inputs!$B$44)-IF(Inputs!$B$4="Breakthrough",20,IF(Inputs!$B$4="Hero Dungeon",30,0)))*CHOOSE(ArtifactsInput!$N$36+1,30,36,42,48,54,60),0)+IF(IF(ArtifactsInput!$M$33,FALSE,TRUE),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2346*(1-MIN(100,(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2346*(MIN(100,(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2346*(1-MIN(100,(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2346*(MIN(100,(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46">
        <f>IF(C2346,(H2346*N2346*IF(AND(Inputs!$B$39&lt;&gt;"pvp",Inputs!$B$44&gt;0),((Skills!G5*((R2346-1)*IF(Skills!H5&gt;0,INT(Skills!I5/Skills!H5+0.000000001),1)+IF(Skills!H5&gt;0,INT(MIN(Skills!I5,MAX(0,MAX(0,Inputs!$B$44-B2377)-((R2346-1)*IF(Inputs!$B$39="pvp",15,MAX(0.1,Skills!D5-IF(TRUE=TRUE,Inputs!$B$33,0))))))/Skills!H5+0.000000001),1)))/Inputs!$B$44),G2346*Q2346))*IF(Inputs!$B$39="pvp",1,(1+(Inputs!$B$22+Skills!Q5+((C2358=TRUE)*F2358*IF(AND(Inputs!$B$39&lt;&gt;"pvp",Inputs!$B$44&gt;0),(((R2358-1)*MIN((Skills!T17*(1+Inputs!$B$35/100)),(1/Q2358))+MIN((Skills!T17*(1+Inputs!$B$35/100)),MAX(0,Inputs!$B$44-((R2358-1)*(1/Q2358)))))/Inputs!$B$44),IF(Inputs!$B$39="pvp",MIN((Skills!T17*(1+Inputs!$B$35/100)),15)/15,MIN(1,(Skills!T17*(1+Inputs!$B$35/100))/(1/Q2358)))))+((C2346=TRUE)*IF(Inputs!$B$3&gt;=126,10*MIN(1,15*Q2346),0))+((C2355=TRUE)*IF(Inputs!$B$39="pvp",20,(1-Summary!$B$11)*(20)+Summary!$B$11*(0))*IF(AND(Inputs!$B$39&lt;&gt;"pvp",Inputs!$B$44&gt;0),(((R2355-1)*MIN((Skills!T14*(1+Inputs!$B$35/100)),(1/Q2355))+MIN((Skills!T14*(1+Inputs!$B$35/100)),MAX(0,Inputs!$B$44-((R2355-1)*(1/Q2355)))))/Inputs!$B$44),IF(Inputs!$B$39="pvp",MIN((Skills!T14*(1+Inputs!$B$35/100)),15)/15,MIN(1,(Skills!T14*(1+Inputs!$B$35/100))/(1/Q2355)))))+((C2354=TRUE)*IF(Inputs!$B$3&gt;=82,IF(Inputs!$B$39="pvp",20,(1-Summary!$B$11)*(20)+Summary!$B$11*(0)),0)*IF(AND(Inputs!$B$39&lt;&gt;"pvp",Inputs!$B$44&gt;0),(((R2354-1)*MIN((Skills!T13*(1+Inputs!$B$35/100)),(1/Q2354))+MIN((Skills!T13*(1+Inputs!$B$35/100)),MAX(0,Inputs!$B$44-((R2354-1)*(1/Q2354)))))/Inputs!$B$44),IF(Inputs!$B$39="pvp",MIN((Skills!T13*(1+Inputs!$B$35/100)),15)/15,MIN(1,(Skills!T13*(1+Inputs!$B$35/100))/(1/Q2354)))))+(IF(AND(ArtifactsInput!$M$35,Inputs!$B$4&lt;&gt;"Chapter Hunt"),CHOOSE(ArtifactsInput!$N$35+1,15,18,21,24,27,30)*(1-EXP(-(0.2*B2372)*5)),0)+IF(AND(ArtifactsInput!$M$22,Inputs!$B$4&lt;&gt;"Chapter Hunt"),CHOOSE(ArtifactsInput!$N$22+1,10,12,14,16,18,20)*((0*(((0.15*B2372*5))^0/1)+1*(((0.15*B2372*5))^1/1)+2*(((0.15*B2372*5))^2/2)+3*(((0.15*B2372*5))^3/6)+4*(((0.15*B2372*5))^4/24)+5*(((0.15*B2372*5))^5/120))/((((0.15*B2372*5))^0/1)+(((0.15*B2372*5))^1/1)+(((0.15*B2372*5))^2/2)+(((0.15*B2372*5))^3/6)+(((0.15*B2372*5))^4/24)+(((0.15*B2372*5))^5/120))),0))+(IF(IF(ArtifactsInput!$M$33,FALSE,TRUE),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47">
      <c r="A2347">
        <f>Skills!A6</f>
        <v/>
      </c>
      <c r="B2347">
        <f>Skills!B6</f>
        <v/>
      </c>
      <c r="C2347">
        <f>Inputs!$B$3&gt;=103</f>
        <v/>
      </c>
      <c r="D2347">
        <f>IF(Skills!C6=1,60+Inputs!$B$26+Inputs!$B$30,IF(Skills!C6=2,90+Inputs!$B$27+Inputs!$B$30,IF(Skills!C6=3,120+Inputs!$B$28+Inputs!$B$30,MAX(0,(Inputs!$B$3-100)*3)+Inputs!$B$29+Inputs!$B$30)))</f>
        <v/>
      </c>
      <c r="E2347">
        <f>INDEX(FactorTable!$B$2:$Y$301, MATCH(ROUND(MIN(300,MAX(1,D2347)),0), FactorTable!$A$2:$A$301,0), Skills!M6+1)</f>
        <v/>
      </c>
      <c r="F2347">
        <f>IF(Skills!N6=TRUE,(Skills!L6/10)*(E2347/1000),Skills!L6/10)+Skills!O6</f>
        <v/>
      </c>
      <c r="G2347">
        <f>Skills!G6*IF(Skills!H6&gt;0,INT(IF(Inputs!$B$39="pvp",MIN(Skills!I6,15),Skills!I6)/Skills!H6+0.000000001),1)</f>
        <v/>
      </c>
      <c r="H2347">
        <f>1-(1-Skills!J6/100)^Skills!K6</f>
        <v/>
      </c>
      <c r="I2347" t="inlineStr">
        <is>
          <t>1</t>
        </is>
      </c>
      <c r="J2347">
        <f>((Inputs!$B$6*(1+Inputs!$B$7/100))+(((Inputs!$B$13*(1+Inputs!$B$14/100))-(Inputs!$B$13*(1+Inputs!$B$14/100)))+0.25*(Inputs!$B$15-Inputs!$B$15))*(1+Inputs!$B$7/100))*(F2347/100)</f>
        <v/>
      </c>
      <c r="K2347">
        <f>J2347*(1+(((Inputs!$B$13+IF(Inputs!$B$3&gt;=38,(10*INDEX(FactorTable!$B$2:$Y$301, MATCH(ROUND(MIN(300,MAX(1,Inputs!$B$3)),0), FactorTable!$A$2:$A$301,0), 23)/1000)/100*(Inputs!$B$8*(1+Inputs!$B$9/100)),0))*(1+Inputs!$B$14/100))*0.01+Inputs!$B$15*0.0025)/100)*(1+Inputs!$B$16/100)*(1+Inputs!$B$17/100)*(5000/(6000+Inputs!$B$43*(1-(Inputs!$B$20+0)/100)))*(1+(Inputs!$B$25+((C2366=TRUE)*(F2366-Calc!F25))+((C2367=TRUE)*(F2367-Calc!F26))+B2376)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gt;=100),MIN(100,((Inputs!$B$10+0+B2370+(ArtifactsInput!$M$24-ArtifactsInput!$M$24)*CHOOSE(ArtifactsInput!$N$24+1,10,12,14,16,18,20)+IF(ArtifactsInput!$M$10,CHOOSE(ArtifactsInput!$N$10+1,15,18,21,24,27,30)*(IF(Inputs!$B$39="pvp",MIN(15,15)/15,IF(AND(Inputs!$B$39&lt;&gt;"pvp",Inputs!$B$44&gt;0),MIN(15,Inputs!$B$44)/(Inputs!$B$44),0))),0)))-100),0))*CHOOSE(ArtifactsInput!$N$42+1,0.6,0.72,0.84,0.96,1.08,1.2))),Inputs!$B$19+((C2364=TRUE)*(F2364-Calc!F23))+(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gt;=100),CHOOSE(ArtifactsInput!$N$42+1,40,48,56,64,72,80),0))))/100)*((1+(((C2354=TRUE)*F2354*IF(AND(Inputs!$B$39&lt;&gt;"pvp",Inputs!$B$44&gt;0),(((R2354-1)*MIN((Skills!T13*(1+Inputs!$B$35/100)),(1/Q2354))+MIN((Skills!T13*(1+Inputs!$B$35/100)),MAX(0,Inputs!$B$44-((R2354-1)*(1/Q2354)))))/Inputs!$B$44),IF(Inputs!$B$39="pvp",MIN((Skills!T13*(1+Inputs!$B$35/100)),15)/15,MIN(1,(Skills!T13*(1+Inputs!$B$35/100))/(1/Q2354)))))+((C2355=TRUE)*F2355*IF(AND(Inputs!$B$39&lt;&gt;"pvp",Inputs!$B$44&gt;0),(((R2355-1)*MIN((Skills!T14*(1+Inputs!$B$35/100)),(1/Q2355))+MIN((Skills!T14*(1+Inputs!$B$35/100)),MAX(0,Inputs!$B$44-((R2355-1)*(1/Q2355)))))/Inputs!$B$44),IF(Inputs!$B$39="pvp",MIN((Skills!T14*(1+Inputs!$B$35/100)),15)/15,MIN(1,(Skills!T14*(1+Inputs!$B$35/100))/(1/Q2355)))))+((C2356=TRUE)*F2356*IF(AND(Inputs!$B$39&lt;&gt;"pvp",Inputs!$B$44&gt;0),(((R2356-1)*MIN((Skills!T15*(1+Inputs!$B$35/100)),(1/Q2356))+MIN((Skills!T15*(1+Inputs!$B$35/100)),MAX(0,Inputs!$B$44-((R2356-1)*(1/Q2356)))))/Inputs!$B$44),IF(Inputs!$B$39="pvp",MIN((Skills!T15*(1+Inputs!$B$35/100)),15)/15,MIN(1,(Skills!T15*(1+Inputs!$B$35/100))/(1/Q2356)))))+((C2357=TRUE)*F2357*IF(AND(Inputs!$B$39&lt;&gt;"pvp",Inputs!$B$44&gt;0),(((R2357-1)*MIN((Skills!T16*(1+Inputs!$B$35/100)),(1/Q2357))+MIN((Skills!T16*(1+Inputs!$B$35/100)),MAX(0,Inputs!$B$44-((R2357-1)*(1/Q2357)))))/Inputs!$B$44),IF(Inputs!$B$39="pvp",MIN((Skills!T16*(1+Inputs!$B$35/100)),15)/15,MIN(1,(Skills!T16*(1+Inputs!$B$35/100))/(1/Q2357)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2347)</f>
        <v/>
      </c>
      <c r="L2347">
        <f>K2347*(MIN(Inputs!$B$23+((C2363=TRUE)*(F2363-Calc!F22)),(Inputs!$B$24+((C2365=TRUE)*(F2365-Calc!F24))+(IF(ArtifactsInput!$M$15,CHOOSE(ArtifactsInput!$N$15+1,25,30,35,40,45,50)/100*(Inputs!$B$12-Inputs!$B$12),0))))/100+(Inputs!$B$24+((C2365=TRUE)*(F2365-Calc!F24))+(IF(ArtifactsInput!$M$15,CHOOSE(ArtifactsInput!$N$15+1,25,30,35,40,45,50)/100*(Inputs!$B$12-Inputs!$B$12),0)))/100)/2</f>
        <v/>
      </c>
      <c r="M2347">
        <f>L2347*(1+(Inputs!$B$11+0+B2375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347">
        <f>L2347*(1-MIN((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2347*(MIN((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47">
        <f>(1-Summary!$B$11)*T2347+Summary!$B$11*V2347</f>
        <v/>
      </c>
      <c r="P2347">
        <f>IF(B2380=0,0,O2347/B2380)</f>
        <v/>
      </c>
      <c r="Q2347">
        <f>IFERROR(1/IF(Inputs!$B$39="pvp",15,MAX(0.1,Skills!D6-IF(TRUE=TRUE,Inputs!$B$33,0))),0)</f>
        <v/>
      </c>
      <c r="R2347">
        <f>IF(AND(Inputs!$B$39&lt;&gt;"pvp",Inputs!$B$44&gt;0),IF(MAX(0,Inputs!$B$44-B2377)&lt;=0,0,(INT(MAX(0,Inputs!$B$44-B2377)/IF(Inputs!$B$39="pvp",15,MAX(0.1,Skills!D6-IF(TRUE=TRUE,Inputs!$B$33,0))))+1)),0)</f>
        <v/>
      </c>
      <c r="S2347">
        <f>IFERROR(O2347/N2347,0)</f>
        <v/>
      </c>
      <c r="T2347">
        <f>IF(C2347,(H2347*N2347*IF(AND(Inputs!$B$39&lt;&gt;"pvp",Inputs!$B$44&gt;0),((Skills!G6*((R2347-1)*IF(Skills!H6&gt;0,INT(Skills!I6/Skills!H6+0.000000001),1)+IF(Skills!H6&gt;0,INT(MIN(Skills!I6,MAX(0,MAX(0,Inputs!$B$44-B2377)-((R2347-1)*IF(Inputs!$B$39="pvp",15,MAX(0.1,Skills!D6-IF(TRUE=TRUE,Inputs!$B$33,0))))))/Skills!H6+0.000000001),1)))/Inputs!$B$44),G2347*Q2347))*IF(Inputs!$B$39="pvp",1,1+(Inputs!$B$21+0+Skills!P6+((C2358=TRUE)*F2358*IF(AND(Inputs!$B$39&lt;&gt;"pvp",Inputs!$B$44&gt;0),(((R2358-1)*MIN((Skills!T17*(1+Inputs!$B$35/100)),(1/Q2358))+MIN((Skills!T17*(1+Inputs!$B$35/100)),MAX(0,Inputs!$B$44-((R2358-1)*(1/Q2358)))))/Inputs!$B$44),IF(Inputs!$B$39="pvp",MIN((Skills!T17*(1+Inputs!$B$35/100)),15)/15,MIN(1,(Skills!T17*(1+Inputs!$B$35/100))/(1/Q2358)))))+((C2346=TRUE)*IF(Inputs!$B$3&gt;=126,10*MIN(1,15*Q2346),0))+((C2355=TRUE)*IF(Inputs!$B$39="pvp",20,(1-Summary!$B$11)*(20)+Summary!$B$11*(0))*IF(AND(Inputs!$B$39&lt;&gt;"pvp",Inputs!$B$44&gt;0),(((R2355-1)*MIN((Skills!T14*(1+Inputs!$B$35/100)),(1/Q2355))+MIN((Skills!T14*(1+Inputs!$B$35/100)),MAX(0,Inputs!$B$44-((R2355-1)*(1/Q2355)))))/Inputs!$B$44),IF(Inputs!$B$39="pvp",MIN((Skills!T14*(1+Inputs!$B$35/100)),15)/15,MIN(1,(Skills!T14*(1+Inputs!$B$35/100))/(1/Q2355)))))+((C2354=TRUE)*IF(Inputs!$B$3&gt;=82,IF(Inputs!$B$39="pvp",20,(1-Summary!$B$11)*(20)+Summary!$B$11*(0)),0)*IF(AND(Inputs!$B$39&lt;&gt;"pvp",Inputs!$B$44&gt;0),(((R2354-1)*MIN((Skills!T13*(1+Inputs!$B$35/100)),(1/Q2354))+MIN((Skills!T13*(1+Inputs!$B$35/100)),MAX(0,Inputs!$B$44-((R2354-1)*(1/Q2354)))))/Inputs!$B$44),IF(Inputs!$B$39="pvp",MIN((Skills!T13*(1+Inputs!$B$35/100)),15)/15,MIN(1,(Skills!T13*(1+Inputs!$B$35/100))/(1/Q2354)))))+(IF(AND(ArtifactsInput!$M$35,Inputs!$B$4&lt;&gt;"Chapter Hunt"),CHOOSE(ArtifactsInput!$N$35+1,15,18,21,24,27,30)*(1-EXP(-(0.2*B2372)*5)),0)+IF(AND(ArtifactsInput!$M$22,Inputs!$B$4&lt;&gt;"Chapter Hunt"),CHOOSE(ArtifactsInput!$N$22+1,10,12,14,16,18,20)*((0*(((0.15*B2372*5))^0/1)+1*(((0.15*B2372*5))^1/1)+2*(((0.15*B2372*5))^2/2)+3*(((0.15*B2372*5))^3/6)+4*(((0.15*B2372*5))^4/24)+5*(((0.15*B2372*5))^5/120))/((((0.15*B2372*5))^0/1)+(((0.15*B2372*5))^1/1)+(((0.15*B2372*5))^2/2)+(((0.15*B2372*5))^3/6)+(((0.15*B2372*5))^4/24)+(((0.15*B2372*5))^5/120))),0))+(IF(AND(ArtifactsInput!$M$36,IF(Inputs!$B$39="pvp",TRUE,AND(Inputs!$B$39&lt;&gt;"pvp",Inputs!$B$44&gt;0))),MAX(0,MIN(40,IF(Inputs!$B$39="pvp",15,Inputs!$B$44))-MAX(20,IF(Inputs!$B$4="Breakthrough",20,IF(Inputs!$B$4="Hero Dungeon",30,0))))/(IF(Inputs!$B$39="pvp",15,Inputs!$B$44)-IF(Inputs!$B$4="Breakthrough",20,IF(Inputs!$B$4="Hero Dungeon",30,0)))*CHOOSE(ArtifactsInput!$N$36+1,30,36,42,48,54,60),0)+IF(IF(ArtifactsInput!$M$33,FALSE,TRUE),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2347*(1-MIN(100,(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2347*(MIN(100,(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2347*(1-MIN(100,(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2347*(MIN(100,(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47">
        <f>IF(C2347,(H2347*N2347*IF(AND(Inputs!$B$39&lt;&gt;"pvp",Inputs!$B$44&gt;0),((Skills!G6*((R2347-1)*IF(Skills!H6&gt;0,INT(Skills!I6/Skills!H6+0.000000001),1)+IF(Skills!H6&gt;0,INT(MIN(Skills!I6,MAX(0,MAX(0,Inputs!$B$44-B2377)-((R2347-1)*IF(Inputs!$B$39="pvp",15,MAX(0.1,Skills!D6-IF(TRUE=TRUE,Inputs!$B$33,0))))))/Skills!H6+0.000000001),1)))/Inputs!$B$44),G2347*Q2347))*IF(Inputs!$B$39="pvp",1,(1+(Inputs!$B$22+Skills!Q6+((C2358=TRUE)*F2358*IF(AND(Inputs!$B$39&lt;&gt;"pvp",Inputs!$B$44&gt;0),(((R2358-1)*MIN((Skills!T17*(1+Inputs!$B$35/100)),(1/Q2358))+MIN((Skills!T17*(1+Inputs!$B$35/100)),MAX(0,Inputs!$B$44-((R2358-1)*(1/Q2358)))))/Inputs!$B$44),IF(Inputs!$B$39="pvp",MIN((Skills!T17*(1+Inputs!$B$35/100)),15)/15,MIN(1,(Skills!T17*(1+Inputs!$B$35/100))/(1/Q2358)))))+((C2346=TRUE)*IF(Inputs!$B$3&gt;=126,10*MIN(1,15*Q2346),0))+((C2355=TRUE)*IF(Inputs!$B$39="pvp",20,(1-Summary!$B$11)*(20)+Summary!$B$11*(0))*IF(AND(Inputs!$B$39&lt;&gt;"pvp",Inputs!$B$44&gt;0),(((R2355-1)*MIN((Skills!T14*(1+Inputs!$B$35/100)),(1/Q2355))+MIN((Skills!T14*(1+Inputs!$B$35/100)),MAX(0,Inputs!$B$44-((R2355-1)*(1/Q2355)))))/Inputs!$B$44),IF(Inputs!$B$39="pvp",MIN((Skills!T14*(1+Inputs!$B$35/100)),15)/15,MIN(1,(Skills!T14*(1+Inputs!$B$35/100))/(1/Q2355)))))+((C2354=TRUE)*IF(Inputs!$B$3&gt;=82,IF(Inputs!$B$39="pvp",20,(1-Summary!$B$11)*(20)+Summary!$B$11*(0)),0)*IF(AND(Inputs!$B$39&lt;&gt;"pvp",Inputs!$B$44&gt;0),(((R2354-1)*MIN((Skills!T13*(1+Inputs!$B$35/100)),(1/Q2354))+MIN((Skills!T13*(1+Inputs!$B$35/100)),MAX(0,Inputs!$B$44-((R2354-1)*(1/Q2354)))))/Inputs!$B$44),IF(Inputs!$B$39="pvp",MIN((Skills!T13*(1+Inputs!$B$35/100)),15)/15,MIN(1,(Skills!T13*(1+Inputs!$B$35/100))/(1/Q2354)))))+(IF(AND(ArtifactsInput!$M$35,Inputs!$B$4&lt;&gt;"Chapter Hunt"),CHOOSE(ArtifactsInput!$N$35+1,15,18,21,24,27,30)*(1-EXP(-(0.2*B2372)*5)),0)+IF(AND(ArtifactsInput!$M$22,Inputs!$B$4&lt;&gt;"Chapter Hunt"),CHOOSE(ArtifactsInput!$N$22+1,10,12,14,16,18,20)*((0*(((0.15*B2372*5))^0/1)+1*(((0.15*B2372*5))^1/1)+2*(((0.15*B2372*5))^2/2)+3*(((0.15*B2372*5))^3/6)+4*(((0.15*B2372*5))^4/24)+5*(((0.15*B2372*5))^5/120))/((((0.15*B2372*5))^0/1)+(((0.15*B2372*5))^1/1)+(((0.15*B2372*5))^2/2)+(((0.15*B2372*5))^3/6)+(((0.15*B2372*5))^4/24)+(((0.15*B2372*5))^5/120))),0))+(IF(IF(ArtifactsInput!$M$33,FALSE,TRUE),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48">
      <c r="A2348">
        <f>Skills!A7</f>
        <v/>
      </c>
      <c r="B2348">
        <f>Skills!B7</f>
        <v/>
      </c>
      <c r="C2348">
        <f>Inputs!$B$3&gt;=40</f>
        <v/>
      </c>
      <c r="D2348">
        <f>IF(Skills!C7=1,60+Inputs!$B$26+Inputs!$B$30,IF(Skills!C7=2,90+Inputs!$B$27+Inputs!$B$30,IF(Skills!C7=3,120+Inputs!$B$28+Inputs!$B$30,MAX(0,(Inputs!$B$3-100)*3)+Inputs!$B$29+Inputs!$B$30)))</f>
        <v/>
      </c>
      <c r="E2348">
        <f>INDEX(FactorTable!$B$2:$Y$301, MATCH(ROUND(MIN(300,MAX(1,D2348)),0), FactorTable!$A$2:$A$301,0), Skills!M7+1)</f>
        <v/>
      </c>
      <c r="F2348">
        <f>IF(Skills!N7=TRUE,(Skills!L7/10)*(E2348/1000),Skills!L7/10)+Skills!O7</f>
        <v/>
      </c>
      <c r="G2348">
        <f>Skills!G7*IF(Skills!H7&gt;0,INT(IF(Inputs!$B$39="pvp",MIN(Skills!I7,15),Skills!I7)/Skills!H7+0.000000001),1)</f>
        <v/>
      </c>
      <c r="H2348">
        <f>1-(1-Skills!J7/100)^Skills!K7</f>
        <v/>
      </c>
      <c r="I2348" t="inlineStr">
        <is>
          <t>1</t>
        </is>
      </c>
      <c r="J2348">
        <f>((Inputs!$B$6*(1+Inputs!$B$7/100))+(((Inputs!$B$13*(1+Inputs!$B$14/100))-(Inputs!$B$13*(1+Inputs!$B$14/100)))+0.25*(Inputs!$B$15-Inputs!$B$15))*(1+Inputs!$B$7/100))*(F2348/100)</f>
        <v/>
      </c>
      <c r="K2348">
        <f>J2348*(1+(((Inputs!$B$13+IF(Inputs!$B$3&gt;=38,(10*INDEX(FactorTable!$B$2:$Y$301, MATCH(ROUND(MIN(300,MAX(1,Inputs!$B$3)),0), FactorTable!$A$2:$A$301,0), 23)/1000)/100*(Inputs!$B$8*(1+Inputs!$B$9/100)),0))*(1+Inputs!$B$14/100))*0.01+Inputs!$B$15*0.0025)/100)*(1+Inputs!$B$16/100)*(1+Inputs!$B$17/100)*(5000/(6000+Inputs!$B$43*(1-(Inputs!$B$20+0)/100)))*(1+(Inputs!$B$25+((C2366=TRUE)*(F2366-Calc!F25))+((C2367=TRUE)*(F2367-Calc!F26))+B2376)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2352=TRUE,F2352,0)/100)*(1+(IF(Skills!A7="DARK_IMPALE",Inputs!$B$18+0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gt;=100),MIN(100,((Inputs!$B$10+0+B2370+(ArtifactsInput!$M$24-ArtifactsInput!$M$24)*CHOOSE(ArtifactsInput!$N$24+1,10,12,14,16,18,20)+IF(ArtifactsInput!$M$10,CHOOSE(ArtifactsInput!$N$10+1,15,18,21,24,27,30)*(IF(Inputs!$B$39="pvp",MIN(15,15)/15,IF(AND(Inputs!$B$39&lt;&gt;"pvp",Inputs!$B$44&gt;0),MIN(15,Inputs!$B$44)/(Inputs!$B$44),0))),0)))-100),0))*CHOOSE(ArtifactsInput!$N$42+1,0.6,0.72,0.84,0.96,1.08,1.2))),Inputs!$B$19+((C2364=TRUE)*(F2364-Calc!F23))+(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gt;=100),CHOOSE(ArtifactsInput!$N$42+1,40,48,56,64,72,80),0))))/100)*((1+(((C2354=TRUE)*F2354*IF(AND(Inputs!$B$39&lt;&gt;"pvp",Inputs!$B$44&gt;0),(((R2354-1)*MIN((Skills!T13*(1+Inputs!$B$35/100)),(1/Q2354))+MIN((Skills!T13*(1+Inputs!$B$35/100)),MAX(0,Inputs!$B$44-((R2354-1)*(1/Q2354)))))/Inputs!$B$44),IF(Inputs!$B$39="pvp",MIN((Skills!T13*(1+Inputs!$B$35/100)),15)/15,MIN(1,(Skills!T13*(1+Inputs!$B$35/100))/(1/Q2354)))))+((C2355=TRUE)*F2355*IF(AND(Inputs!$B$39&lt;&gt;"pvp",Inputs!$B$44&gt;0),(((R2355-1)*MIN((Skills!T14*(1+Inputs!$B$35/100)),(1/Q2355))+MIN((Skills!T14*(1+Inputs!$B$35/100)),MAX(0,Inputs!$B$44-((R2355-1)*(1/Q2355)))))/Inputs!$B$44),IF(Inputs!$B$39="pvp",MIN((Skills!T14*(1+Inputs!$B$35/100)),15)/15,MIN(1,(Skills!T14*(1+Inputs!$B$35/100))/(1/Q2355)))))+((C2356=TRUE)*F2356*IF(AND(Inputs!$B$39&lt;&gt;"pvp",Inputs!$B$44&gt;0),(((R2356-1)*MIN((Skills!T15*(1+Inputs!$B$35/100)),(1/Q2356))+MIN((Skills!T15*(1+Inputs!$B$35/100)),MAX(0,Inputs!$B$44-((R2356-1)*(1/Q2356)))))/Inputs!$B$44),IF(Inputs!$B$39="pvp",MIN((Skills!T15*(1+Inputs!$B$35/100)),15)/15,MIN(1,(Skills!T15*(1+Inputs!$B$35/100))/(1/Q2356)))))+((C2357=TRUE)*F2357*IF(AND(Inputs!$B$39&lt;&gt;"pvp",Inputs!$B$44&gt;0),(((R2357-1)*MIN((Skills!T16*(1+Inputs!$B$35/100)),(1/Q2357))+MIN((Skills!T16*(1+Inputs!$B$35/100)),MAX(0,Inputs!$B$44-((R2357-1)*(1/Q2357)))))/Inputs!$B$44),IF(Inputs!$B$39="pvp",MIN((Skills!T16*(1+Inputs!$B$35/100)),15)/15,MIN(1,(Skills!T16*(1+Inputs!$B$35/100))/(1/Q2357)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2348)</f>
        <v/>
      </c>
      <c r="L2348">
        <f>K2348*(MIN(Inputs!$B$23+((C2363=TRUE)*(F2363-Calc!F22)),(Inputs!$B$24+((C2365=TRUE)*(F2365-Calc!F24))+(IF(ArtifactsInput!$M$15,CHOOSE(ArtifactsInput!$N$15+1,25,30,35,40,45,50)/100*(Inputs!$B$12-Inputs!$B$12),0))))/100+(Inputs!$B$24+((C2365=TRUE)*(F2365-Calc!F24))+(IF(ArtifactsInput!$M$15,CHOOSE(ArtifactsInput!$N$15+1,25,30,35,40,45,50)/100*(Inputs!$B$12-Inputs!$B$12),0)))/100)/2</f>
        <v/>
      </c>
      <c r="M2348">
        <f>L2348*(1+(Inputs!$B$11+0+B2375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348">
        <f>L2348*(1-MIN((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2348*(MIN((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48">
        <f>(1-Summary!$B$11)*T2348+Summary!$B$11*V2348</f>
        <v/>
      </c>
      <c r="P2348">
        <f>IF(B2380=0,0,O2348/B2380)</f>
        <v/>
      </c>
      <c r="Q2348">
        <f>IFERROR(1/IF(Inputs!$B$39="pvp",15,MAX(0.1,Skills!D7-IF(TRUE=TRUE,Inputs!$B$33,0))),0)</f>
        <v/>
      </c>
      <c r="R2348">
        <f>IF(AND(Inputs!$B$39&lt;&gt;"pvp",Inputs!$B$44&gt;0),IF(MAX(0,Inputs!$B$44-B2377)&lt;=0,0,(INT(MAX(0,Inputs!$B$44-B2377)/IF(Inputs!$B$39="pvp",15,MAX(0.1,Skills!D7-IF(TRUE=TRUE,Inputs!$B$33,0))))+1)),0)</f>
        <v/>
      </c>
      <c r="S2348">
        <f>IFERROR(O2348/N2348,0)</f>
        <v/>
      </c>
      <c r="T2348">
        <f>IF(C2348,(H2348*N2348*IF(AND(Inputs!$B$39&lt;&gt;"pvp",Inputs!$B$44&gt;0),((Skills!G7*((R2348-1)*IF(Skills!H7&gt;0,INT(Skills!I7/Skills!H7+0.000000001),1)+IF(Skills!H7&gt;0,INT(MIN(Skills!I7,MAX(0,MAX(0,Inputs!$B$44-B2377)-((R2348-1)*IF(Inputs!$B$39="pvp",15,MAX(0.1,Skills!D7-IF(TRUE=TRUE,Inputs!$B$33,0))))))/Skills!H7+0.000000001),1)))/Inputs!$B$44),G2348*Q2348))*IF(Inputs!$B$39="pvp",1,1+(Inputs!$B$21+0+Skills!P7+((C2358=TRUE)*F2358*IF(AND(Inputs!$B$39&lt;&gt;"pvp",Inputs!$B$44&gt;0),(((R2358-1)*MIN((Skills!T17*(1+Inputs!$B$35/100)),(1/Q2358))+MIN((Skills!T17*(1+Inputs!$B$35/100)),MAX(0,Inputs!$B$44-((R2358-1)*(1/Q2358)))))/Inputs!$B$44),IF(Inputs!$B$39="pvp",MIN((Skills!T17*(1+Inputs!$B$35/100)),15)/15,MIN(1,(Skills!T17*(1+Inputs!$B$35/100))/(1/Q2358)))))+((C2346=TRUE)*IF(Inputs!$B$3&gt;=126,10*MIN(1,15*Q2346),0))+((C2355=TRUE)*IF(Inputs!$B$39="pvp",20,(1-Summary!$B$11)*(20)+Summary!$B$11*(0))*IF(AND(Inputs!$B$39&lt;&gt;"pvp",Inputs!$B$44&gt;0),(((R2355-1)*MIN((Skills!T14*(1+Inputs!$B$35/100)),(1/Q2355))+MIN((Skills!T14*(1+Inputs!$B$35/100)),MAX(0,Inputs!$B$44-((R2355-1)*(1/Q2355)))))/Inputs!$B$44),IF(Inputs!$B$39="pvp",MIN((Skills!T14*(1+Inputs!$B$35/100)),15)/15,MIN(1,(Skills!T14*(1+Inputs!$B$35/100))/(1/Q2355)))))+((C2354=TRUE)*IF(Inputs!$B$3&gt;=82,IF(Inputs!$B$39="pvp",20,(1-Summary!$B$11)*(20)+Summary!$B$11*(0)),0)*IF(AND(Inputs!$B$39&lt;&gt;"pvp",Inputs!$B$44&gt;0),(((R2354-1)*MIN((Skills!T13*(1+Inputs!$B$35/100)),(1/Q2354))+MIN((Skills!T13*(1+Inputs!$B$35/100)),MAX(0,Inputs!$B$44-((R2354-1)*(1/Q2354)))))/Inputs!$B$44),IF(Inputs!$B$39="pvp",MIN((Skills!T13*(1+Inputs!$B$35/100)),15)/15,MIN(1,(Skills!T13*(1+Inputs!$B$35/100))/(1/Q2354)))))+(IF(AND(ArtifactsInput!$M$35,Inputs!$B$4&lt;&gt;"Chapter Hunt"),CHOOSE(ArtifactsInput!$N$35+1,15,18,21,24,27,30)*(1-EXP(-(0.2*B2372)*5)),0)+IF(AND(ArtifactsInput!$M$22,Inputs!$B$4&lt;&gt;"Chapter Hunt"),CHOOSE(ArtifactsInput!$N$22+1,10,12,14,16,18,20)*((0*(((0.15*B2372*5))^0/1)+1*(((0.15*B2372*5))^1/1)+2*(((0.15*B2372*5))^2/2)+3*(((0.15*B2372*5))^3/6)+4*(((0.15*B2372*5))^4/24)+5*(((0.15*B2372*5))^5/120))/((((0.15*B2372*5))^0/1)+(((0.15*B2372*5))^1/1)+(((0.15*B2372*5))^2/2)+(((0.15*B2372*5))^3/6)+(((0.15*B2372*5))^4/24)+(((0.15*B2372*5))^5/120))),0))+(IF(AND(ArtifactsInput!$M$36,IF(Inputs!$B$39="pvp",TRUE,AND(Inputs!$B$39&lt;&gt;"pvp",Inputs!$B$44&gt;0))),MAX(0,MIN(40,IF(Inputs!$B$39="pvp",15,Inputs!$B$44))-MAX(20,IF(Inputs!$B$4="Breakthrough",20,IF(Inputs!$B$4="Hero Dungeon",30,0))))/(IF(Inputs!$B$39="pvp",15,Inputs!$B$44)-IF(Inputs!$B$4="Breakthrough",20,IF(Inputs!$B$4="Hero Dungeon",30,0)))*CHOOSE(ArtifactsInput!$N$36+1,30,36,42,48,54,60),0)+IF(IF(ArtifactsInput!$M$33,FALSE,TRUE),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2348*(1-MIN(100,(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2348*(MIN(100,(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2348*(1-MIN(100,(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2348*(MIN(100,(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48">
        <f>IF(C2348,(H2348*N2348*IF(AND(Inputs!$B$39&lt;&gt;"pvp",Inputs!$B$44&gt;0),((Skills!G7*((R2348-1)*IF(Skills!H7&gt;0,INT(Skills!I7/Skills!H7+0.000000001),1)+IF(Skills!H7&gt;0,INT(MIN(Skills!I7,MAX(0,MAX(0,Inputs!$B$44-B2377)-((R2348-1)*IF(Inputs!$B$39="pvp",15,MAX(0.1,Skills!D7-IF(TRUE=TRUE,Inputs!$B$33,0))))))/Skills!H7+0.000000001),1)))/Inputs!$B$44),G2348*Q2348))*IF(Inputs!$B$39="pvp",1,(1+(Inputs!$B$22+Skills!Q7+((C2358=TRUE)*F2358*IF(AND(Inputs!$B$39&lt;&gt;"pvp",Inputs!$B$44&gt;0),(((R2358-1)*MIN((Skills!T17*(1+Inputs!$B$35/100)),(1/Q2358))+MIN((Skills!T17*(1+Inputs!$B$35/100)),MAX(0,Inputs!$B$44-((R2358-1)*(1/Q2358)))))/Inputs!$B$44),IF(Inputs!$B$39="pvp",MIN((Skills!T17*(1+Inputs!$B$35/100)),15)/15,MIN(1,(Skills!T17*(1+Inputs!$B$35/100))/(1/Q2358)))))+((C2346=TRUE)*IF(Inputs!$B$3&gt;=126,10*MIN(1,15*Q2346),0))+((C2355=TRUE)*IF(Inputs!$B$39="pvp",20,(1-Summary!$B$11)*(20)+Summary!$B$11*(0))*IF(AND(Inputs!$B$39&lt;&gt;"pvp",Inputs!$B$44&gt;0),(((R2355-1)*MIN((Skills!T14*(1+Inputs!$B$35/100)),(1/Q2355))+MIN((Skills!T14*(1+Inputs!$B$35/100)),MAX(0,Inputs!$B$44-((R2355-1)*(1/Q2355)))))/Inputs!$B$44),IF(Inputs!$B$39="pvp",MIN((Skills!T14*(1+Inputs!$B$35/100)),15)/15,MIN(1,(Skills!T14*(1+Inputs!$B$35/100))/(1/Q2355)))))+((C2354=TRUE)*IF(Inputs!$B$3&gt;=82,IF(Inputs!$B$39="pvp",20,(1-Summary!$B$11)*(20)+Summary!$B$11*(0)),0)*IF(AND(Inputs!$B$39&lt;&gt;"pvp",Inputs!$B$44&gt;0),(((R2354-1)*MIN((Skills!T13*(1+Inputs!$B$35/100)),(1/Q2354))+MIN((Skills!T13*(1+Inputs!$B$35/100)),MAX(0,Inputs!$B$44-((R2354-1)*(1/Q2354)))))/Inputs!$B$44),IF(Inputs!$B$39="pvp",MIN((Skills!T13*(1+Inputs!$B$35/100)),15)/15,MIN(1,(Skills!T13*(1+Inputs!$B$35/100))/(1/Q2354)))))+(IF(AND(ArtifactsInput!$M$35,Inputs!$B$4&lt;&gt;"Chapter Hunt"),CHOOSE(ArtifactsInput!$N$35+1,15,18,21,24,27,30)*(1-EXP(-(0.2*B2372)*5)),0)+IF(AND(ArtifactsInput!$M$22,Inputs!$B$4&lt;&gt;"Chapter Hunt"),CHOOSE(ArtifactsInput!$N$22+1,10,12,14,16,18,20)*((0*(((0.15*B2372*5))^0/1)+1*(((0.15*B2372*5))^1/1)+2*(((0.15*B2372*5))^2/2)+3*(((0.15*B2372*5))^3/6)+4*(((0.15*B2372*5))^4/24)+5*(((0.15*B2372*5))^5/120))/((((0.15*B2372*5))^0/1)+(((0.15*B2372*5))^1/1)+(((0.15*B2372*5))^2/2)+(((0.15*B2372*5))^3/6)+(((0.15*B2372*5))^4/24)+(((0.15*B2372*5))^5/120))),0))+(IF(IF(ArtifactsInput!$M$33,FALSE,TRUE),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49">
      <c r="A2349">
        <f>Skills!A8</f>
        <v/>
      </c>
      <c r="B2349">
        <f>Skills!B8</f>
        <v/>
      </c>
      <c r="C2349">
        <f>Inputs!$B$3&gt;=75</f>
        <v/>
      </c>
      <c r="D2349">
        <f>IF(Skills!C8=1,60+Inputs!$B$26+Inputs!$B$30,IF(Skills!C8=2,90+Inputs!$B$27+Inputs!$B$30,IF(Skills!C8=3,120+Inputs!$B$28+Inputs!$B$30,MAX(0,(Inputs!$B$3-100)*3)+Inputs!$B$29+Inputs!$B$30)))</f>
        <v/>
      </c>
      <c r="E2349">
        <f>INDEX(FactorTable!$B$2:$Y$301, MATCH(ROUND(MIN(300,MAX(1,D2349)),0), FactorTable!$A$2:$A$301,0), Skills!M8+1)</f>
        <v/>
      </c>
      <c r="F2349">
        <f>IF(Skills!N8=TRUE,(Skills!L8/10)*(E2349/1000),Skills!L8/10)+Skills!O8</f>
        <v/>
      </c>
      <c r="G2349" t="inlineStr"/>
      <c r="H2349" t="inlineStr"/>
      <c r="I2349" t="inlineStr">
        <is>
          <t>1</t>
        </is>
      </c>
      <c r="J2349" t="inlineStr"/>
      <c r="K2349" t="inlineStr"/>
      <c r="L2349" t="inlineStr"/>
      <c r="M2349" t="inlineStr"/>
      <c r="N2349" t="inlineStr"/>
      <c r="O2349" t="inlineStr"/>
      <c r="P2349" t="inlineStr"/>
      <c r="Q2349" t="inlineStr"/>
      <c r="R2349" t="inlineStr"/>
      <c r="S2349" t="inlineStr"/>
    </row>
    <row r="2350">
      <c r="A2350">
        <f>Skills!A9</f>
        <v/>
      </c>
      <c r="B2350">
        <f>Skills!B9</f>
        <v/>
      </c>
      <c r="C2350">
        <f>Inputs!$B$3&gt;=60</f>
        <v/>
      </c>
      <c r="D2350">
        <f>IF(Skills!C9=1,60+Inputs!$B$26+Inputs!$B$30,IF(Skills!C9=2,90+Inputs!$B$27+Inputs!$B$30,IF(Skills!C9=3,120+Inputs!$B$28+Inputs!$B$30,MAX(0,(Inputs!$B$3-100)*3)+Inputs!$B$29+Inputs!$B$30)))</f>
        <v/>
      </c>
      <c r="E2350">
        <f>INDEX(FactorTable!$B$2:$Y$301, MATCH(ROUND(MIN(300,MAX(1,D2350)),0), FactorTable!$A$2:$A$301,0), Skills!M9+1)</f>
        <v/>
      </c>
      <c r="F2350">
        <f>IF(Skills!N9=TRUE,(Skills!L9/10)*(E2350/1000),Skills!L9/10)+Skills!O9</f>
        <v/>
      </c>
      <c r="G2350">
        <f>Skills!G9*IF(Skills!H9&gt;0,INT(IF(Inputs!$B$39="pvp",MIN(Skills!I9,15),Skills!I9)/Skills!H9+0.000000001),1)</f>
        <v/>
      </c>
      <c r="H2350">
        <f>1-(1-Skills!J9/100)^Skills!K9</f>
        <v/>
      </c>
      <c r="I2350" t="inlineStr">
        <is>
          <t>1</t>
        </is>
      </c>
      <c r="J2350">
        <f>((Inputs!$B$6*(1+Inputs!$B$7/100))+(((Inputs!$B$13*(1+Inputs!$B$14/100))-(Inputs!$B$13*(1+Inputs!$B$14/100)))+0.25*(Inputs!$B$15-Inputs!$B$15))*(1+Inputs!$B$7/100))*(F2350/100)</f>
        <v/>
      </c>
      <c r="K2350">
        <f>J2350*(1+(((Inputs!$B$13+IF(Inputs!$B$3&gt;=38,(10*INDEX(FactorTable!$B$2:$Y$301, MATCH(ROUND(MIN(300,MAX(1,Inputs!$B$3)),0), FactorTable!$A$2:$A$301,0), 23)/1000)/100*(Inputs!$B$8*(1+Inputs!$B$9/100)),0))*(1+Inputs!$B$14/100))*0.01+Inputs!$B$15*0.0025)/100)*(1+Inputs!$B$16/100)*(1+Inputs!$B$17/100)*(5000/(6000+Inputs!$B$43*(1-(Inputs!$B$20+0)/100)))*(1+(Inputs!$B$25+((C2366=TRUE)*(F2366-Calc!F25))+((C2367=TRUE)*(F2367-Calc!F26))+B2376)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2352=TRUE,F2352,0)/100)*(1+(IF(Skills!A9="DARK_IMPALE",Inputs!$B$18+0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gt;=100),MIN(100,((Inputs!$B$10+0+B2370+(ArtifactsInput!$M$24-ArtifactsInput!$M$24)*CHOOSE(ArtifactsInput!$N$24+1,10,12,14,16,18,20)+IF(ArtifactsInput!$M$10,CHOOSE(ArtifactsInput!$N$10+1,15,18,21,24,27,30)*(IF(Inputs!$B$39="pvp",MIN(15,15)/15,IF(AND(Inputs!$B$39&lt;&gt;"pvp",Inputs!$B$44&gt;0),MIN(15,Inputs!$B$44)/(Inputs!$B$44),0))),0)))-100),0))*CHOOSE(ArtifactsInput!$N$42+1,0.6,0.72,0.84,0.96,1.08,1.2))),Inputs!$B$19+((C2364=TRUE)*(F2364-Calc!F23))+(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gt;=100),CHOOSE(ArtifactsInput!$N$42+1,40,48,56,64,72,80),0))))/100)*((1+(((C2354=TRUE)*F2354*IF(AND(Inputs!$B$39&lt;&gt;"pvp",Inputs!$B$44&gt;0),(((R2354-1)*MIN((Skills!T13*(1+Inputs!$B$35/100)),(1/Q2354))+MIN((Skills!T13*(1+Inputs!$B$35/100)),MAX(0,Inputs!$B$44-((R2354-1)*(1/Q2354)))))/Inputs!$B$44),IF(Inputs!$B$39="pvp",MIN((Skills!T13*(1+Inputs!$B$35/100)),15)/15,MIN(1,(Skills!T13*(1+Inputs!$B$35/100))/(1/Q2354)))))+((C2355=TRUE)*F2355*IF(AND(Inputs!$B$39&lt;&gt;"pvp",Inputs!$B$44&gt;0),(((R2355-1)*MIN((Skills!T14*(1+Inputs!$B$35/100)),(1/Q2355))+MIN((Skills!T14*(1+Inputs!$B$35/100)),MAX(0,Inputs!$B$44-((R2355-1)*(1/Q2355)))))/Inputs!$B$44),IF(Inputs!$B$39="pvp",MIN((Skills!T14*(1+Inputs!$B$35/100)),15)/15,MIN(1,(Skills!T14*(1+Inputs!$B$35/100))/(1/Q2355)))))+((C2356=TRUE)*F2356*IF(AND(Inputs!$B$39&lt;&gt;"pvp",Inputs!$B$44&gt;0),(((R2356-1)*MIN((Skills!T15*(1+Inputs!$B$35/100)),(1/Q2356))+MIN((Skills!T15*(1+Inputs!$B$35/100)),MAX(0,Inputs!$B$44-((R2356-1)*(1/Q2356)))))/Inputs!$B$44),IF(Inputs!$B$39="pvp",MIN((Skills!T15*(1+Inputs!$B$35/100)),15)/15,MIN(1,(Skills!T15*(1+Inputs!$B$35/100))/(1/Q2356)))))+((C2357=TRUE)*F2357*IF(AND(Inputs!$B$39&lt;&gt;"pvp",Inputs!$B$44&gt;0),(((R2357-1)*MIN((Skills!T16*(1+Inputs!$B$35/100)),(1/Q2357))+MIN((Skills!T16*(1+Inputs!$B$35/100)),MAX(0,Inputs!$B$44-((R2357-1)*(1/Q2357)))))/Inputs!$B$44),IF(Inputs!$B$39="pvp",MIN((Skills!T16*(1+Inputs!$B$35/100)),15)/15,MIN(1,(Skills!T16*(1+Inputs!$B$35/100))/(1/Q2357)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2350)</f>
        <v/>
      </c>
      <c r="L2350">
        <f>K2350*(MIN(Inputs!$B$23+((C2363=TRUE)*(F2363-Calc!F22)),(Inputs!$B$24+((C2365=TRUE)*(F2365-Calc!F24))+(IF(ArtifactsInput!$M$15,CHOOSE(ArtifactsInput!$N$15+1,25,30,35,40,45,50)/100*(Inputs!$B$12-Inputs!$B$12),0))))/100+(Inputs!$B$24+((C2365=TRUE)*(F2365-Calc!F24))+(IF(ArtifactsInput!$M$15,CHOOSE(ArtifactsInput!$N$15+1,25,30,35,40,45,50)/100*(Inputs!$B$12-Inputs!$B$12),0)))/100)/2</f>
        <v/>
      </c>
      <c r="M2350">
        <f>L2350*(1+(Inputs!$B$11+0+B2375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350">
        <f>L2350*(1-MIN((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2350*(MIN((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50">
        <f>(1-Summary!$B$11)*T2350+Summary!$B$11*V2350</f>
        <v/>
      </c>
      <c r="P2350">
        <f>IF(B2380=0,0,O2350/B2380)</f>
        <v/>
      </c>
      <c r="Q2350">
        <f>IFERROR(1/IF(Inputs!$B$39="pvp",15,MAX(0.1,Skills!D9-IF(TRUE=TRUE,Inputs!$B$33,0))),0)</f>
        <v/>
      </c>
      <c r="R2350">
        <f>IF(AND(Inputs!$B$39&lt;&gt;"pvp",Inputs!$B$44&gt;0),IF(MAX(0,Inputs!$B$44-B2377)&lt;=0,0,(INT(MAX(0,Inputs!$B$44-B2377)/IF(Inputs!$B$39="pvp",15,MAX(0.1,Skills!D9-IF(TRUE=TRUE,Inputs!$B$33,0))))+1)),0)</f>
        <v/>
      </c>
      <c r="S2350">
        <f>IFERROR(O2350/N2350,0)</f>
        <v/>
      </c>
      <c r="T2350">
        <f>IF(C2350,(H2350*N2350*IF(AND(Inputs!$B$39&lt;&gt;"pvp",Inputs!$B$44&gt;0),((Skills!G9*((R2350-1)*IF(Skills!H9&gt;0,INT(Skills!I9/Skills!H9+0.000000001),1)+IF(Skills!H9&gt;0,INT(MIN(Skills!I9,MAX(0,MAX(0,Inputs!$B$44-B2377)-((R2350-1)*IF(Inputs!$B$39="pvp",15,MAX(0.1,Skills!D9-IF(TRUE=TRUE,Inputs!$B$33,0))))))/Skills!H9+0.000000001),1)))/Inputs!$B$44),G2350*Q2350))*IF(Inputs!$B$39="pvp",1,1+(Inputs!$B$21+0+Skills!P9+((C2358=TRUE)*F2358*IF(AND(Inputs!$B$39&lt;&gt;"pvp",Inputs!$B$44&gt;0),(((R2358-1)*MIN((Skills!T17*(1+Inputs!$B$35/100)),(1/Q2358))+MIN((Skills!T17*(1+Inputs!$B$35/100)),MAX(0,Inputs!$B$44-((R2358-1)*(1/Q2358)))))/Inputs!$B$44),IF(Inputs!$B$39="pvp",MIN((Skills!T17*(1+Inputs!$B$35/100)),15)/15,MIN(1,(Skills!T17*(1+Inputs!$B$35/100))/(1/Q2358)))))+((C2346=TRUE)*IF(Inputs!$B$3&gt;=126,10*MIN(1,15*Q2346),0))+((C2355=TRUE)*IF(Inputs!$B$39="pvp",20,(1-Summary!$B$11)*(20)+Summary!$B$11*(0))*IF(AND(Inputs!$B$39&lt;&gt;"pvp",Inputs!$B$44&gt;0),(((R2355-1)*MIN((Skills!T14*(1+Inputs!$B$35/100)),(1/Q2355))+MIN((Skills!T14*(1+Inputs!$B$35/100)),MAX(0,Inputs!$B$44-((R2355-1)*(1/Q2355)))))/Inputs!$B$44),IF(Inputs!$B$39="pvp",MIN((Skills!T14*(1+Inputs!$B$35/100)),15)/15,MIN(1,(Skills!T14*(1+Inputs!$B$35/100))/(1/Q2355)))))+((C2354=TRUE)*IF(Inputs!$B$3&gt;=82,IF(Inputs!$B$39="pvp",20,(1-Summary!$B$11)*(20)+Summary!$B$11*(0)),0)*IF(AND(Inputs!$B$39&lt;&gt;"pvp",Inputs!$B$44&gt;0),(((R2354-1)*MIN((Skills!T13*(1+Inputs!$B$35/100)),(1/Q2354))+MIN((Skills!T13*(1+Inputs!$B$35/100)),MAX(0,Inputs!$B$44-((R2354-1)*(1/Q2354)))))/Inputs!$B$44),IF(Inputs!$B$39="pvp",MIN((Skills!T13*(1+Inputs!$B$35/100)),15)/15,MIN(1,(Skills!T13*(1+Inputs!$B$35/100))/(1/Q2354)))))+(IF(AND(ArtifactsInput!$M$35,Inputs!$B$4&lt;&gt;"Chapter Hunt"),CHOOSE(ArtifactsInput!$N$35+1,15,18,21,24,27,30)*(1-EXP(-(0.2*B2372)*5)),0)+IF(AND(ArtifactsInput!$M$22,Inputs!$B$4&lt;&gt;"Chapter Hunt"),CHOOSE(ArtifactsInput!$N$22+1,10,12,14,16,18,20)*((0*(((0.15*B2372*5))^0/1)+1*(((0.15*B2372*5))^1/1)+2*(((0.15*B2372*5))^2/2)+3*(((0.15*B2372*5))^3/6)+4*(((0.15*B2372*5))^4/24)+5*(((0.15*B2372*5))^5/120))/((((0.15*B2372*5))^0/1)+(((0.15*B2372*5))^1/1)+(((0.15*B2372*5))^2/2)+(((0.15*B2372*5))^3/6)+(((0.15*B2372*5))^4/24)+(((0.15*B2372*5))^5/120))),0))+(IF(AND(ArtifactsInput!$M$36,IF(Inputs!$B$39="pvp",TRUE,AND(Inputs!$B$39&lt;&gt;"pvp",Inputs!$B$44&gt;0))),MAX(0,MIN(40,IF(Inputs!$B$39="pvp",15,Inputs!$B$44))-MAX(20,IF(Inputs!$B$4="Breakthrough",20,IF(Inputs!$B$4="Hero Dungeon",30,0))))/(IF(Inputs!$B$39="pvp",15,Inputs!$B$44)-IF(Inputs!$B$4="Breakthrough",20,IF(Inputs!$B$4="Hero Dungeon",30,0)))*CHOOSE(ArtifactsInput!$N$36+1,30,36,42,48,54,60),0)+IF(IF(ArtifactsInput!$M$33,FALSE,TRUE),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2350*(1-MIN(100,(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2350*(MIN(100,(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2350*(1-MIN(100,(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2350*(MIN(100,(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50">
        <f>IF(C2350,(H2350*N2350*IF(AND(Inputs!$B$39&lt;&gt;"pvp",Inputs!$B$44&gt;0),((Skills!G9*((R2350-1)*IF(Skills!H9&gt;0,INT(Skills!I9/Skills!H9+0.000000001),1)+IF(Skills!H9&gt;0,INT(MIN(Skills!I9,MAX(0,MAX(0,Inputs!$B$44-B2377)-((R2350-1)*IF(Inputs!$B$39="pvp",15,MAX(0.1,Skills!D9-IF(TRUE=TRUE,Inputs!$B$33,0))))))/Skills!H9+0.000000001),1)))/Inputs!$B$44),G2350*Q2350))*IF(Inputs!$B$39="pvp",1,(1+(Inputs!$B$22+Skills!Q9+((C2358=TRUE)*F2358*IF(AND(Inputs!$B$39&lt;&gt;"pvp",Inputs!$B$44&gt;0),(((R2358-1)*MIN((Skills!T17*(1+Inputs!$B$35/100)),(1/Q2358))+MIN((Skills!T17*(1+Inputs!$B$35/100)),MAX(0,Inputs!$B$44-((R2358-1)*(1/Q2358)))))/Inputs!$B$44),IF(Inputs!$B$39="pvp",MIN((Skills!T17*(1+Inputs!$B$35/100)),15)/15,MIN(1,(Skills!T17*(1+Inputs!$B$35/100))/(1/Q2358)))))+((C2346=TRUE)*IF(Inputs!$B$3&gt;=126,10*MIN(1,15*Q2346),0))+((C2355=TRUE)*IF(Inputs!$B$39="pvp",20,(1-Summary!$B$11)*(20)+Summary!$B$11*(0))*IF(AND(Inputs!$B$39&lt;&gt;"pvp",Inputs!$B$44&gt;0),(((R2355-1)*MIN((Skills!T14*(1+Inputs!$B$35/100)),(1/Q2355))+MIN((Skills!T14*(1+Inputs!$B$35/100)),MAX(0,Inputs!$B$44-((R2355-1)*(1/Q2355)))))/Inputs!$B$44),IF(Inputs!$B$39="pvp",MIN((Skills!T14*(1+Inputs!$B$35/100)),15)/15,MIN(1,(Skills!T14*(1+Inputs!$B$35/100))/(1/Q2355)))))+((C2354=TRUE)*IF(Inputs!$B$3&gt;=82,IF(Inputs!$B$39="pvp",20,(1-Summary!$B$11)*(20)+Summary!$B$11*(0)),0)*IF(AND(Inputs!$B$39&lt;&gt;"pvp",Inputs!$B$44&gt;0),(((R2354-1)*MIN((Skills!T13*(1+Inputs!$B$35/100)),(1/Q2354))+MIN((Skills!T13*(1+Inputs!$B$35/100)),MAX(0,Inputs!$B$44-((R2354-1)*(1/Q2354)))))/Inputs!$B$44),IF(Inputs!$B$39="pvp",MIN((Skills!T13*(1+Inputs!$B$35/100)),15)/15,MIN(1,(Skills!T13*(1+Inputs!$B$35/100))/(1/Q2354)))))+(IF(AND(ArtifactsInput!$M$35,Inputs!$B$4&lt;&gt;"Chapter Hunt"),CHOOSE(ArtifactsInput!$N$35+1,15,18,21,24,27,30)*(1-EXP(-(0.2*B2372)*5)),0)+IF(AND(ArtifactsInput!$M$22,Inputs!$B$4&lt;&gt;"Chapter Hunt"),CHOOSE(ArtifactsInput!$N$22+1,10,12,14,16,18,20)*((0*(((0.15*B2372*5))^0/1)+1*(((0.15*B2372*5))^1/1)+2*(((0.15*B2372*5))^2/2)+3*(((0.15*B2372*5))^3/6)+4*(((0.15*B2372*5))^4/24)+5*(((0.15*B2372*5))^5/120))/((((0.15*B2372*5))^0/1)+(((0.15*B2372*5))^1/1)+(((0.15*B2372*5))^2/2)+(((0.15*B2372*5))^3/6)+(((0.15*B2372*5))^4/24)+(((0.15*B2372*5))^5/120))),0))+(IF(IF(ArtifactsInput!$M$33,FALSE,TRUE),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51">
      <c r="A2351">
        <f>Skills!A10</f>
        <v/>
      </c>
      <c r="B2351">
        <f>Skills!B10</f>
        <v/>
      </c>
      <c r="C2351">
        <f>Inputs!$B$3&gt;=110</f>
        <v/>
      </c>
      <c r="D2351">
        <f>IF(Skills!C10=1,60+Inputs!$B$26+Inputs!$B$30,IF(Skills!C10=2,90+Inputs!$B$27+Inputs!$B$30,IF(Skills!C10=3,120+Inputs!$B$28+Inputs!$B$30,MAX(0,(Inputs!$B$3-100)*3)+Inputs!$B$29+Inputs!$B$30)))</f>
        <v/>
      </c>
      <c r="E2351">
        <f>INDEX(FactorTable!$B$2:$Y$301, MATCH(ROUND(MIN(300,MAX(1,D2351)),0), FactorTable!$A$2:$A$301,0), Skills!M10+1)</f>
        <v/>
      </c>
      <c r="F2351">
        <f>IF(Skills!N10=TRUE,(Skills!L10/10)*(E2351/1000),Skills!L10/10)+Skills!O10</f>
        <v/>
      </c>
      <c r="G2351">
        <f>Skills!G10*IF(Skills!H10&gt;0,INT(IF(Inputs!$B$39="pvp",MIN(Skills!I10,15),Skills!I10)/Skills!H10+0.000000001),1)</f>
        <v/>
      </c>
      <c r="H2351">
        <f>1-(1-Skills!J10/100)^Skills!K10</f>
        <v/>
      </c>
      <c r="I2351" t="inlineStr">
        <is>
          <t>1</t>
        </is>
      </c>
      <c r="J2351">
        <f>((Inputs!$B$6*(1+Inputs!$B$7/100))+(((Inputs!$B$13*(1+Inputs!$B$14/100))-(Inputs!$B$13*(1+Inputs!$B$14/100)))+0.25*(Inputs!$B$15-Inputs!$B$15))*(1+Inputs!$B$7/100))*(F2351/100)</f>
        <v/>
      </c>
      <c r="K2351">
        <f>J2351*(1+(((Inputs!$B$13+IF(Inputs!$B$3&gt;=38,(10*INDEX(FactorTable!$B$2:$Y$301, MATCH(ROUND(MIN(300,MAX(1,Inputs!$B$3)),0), FactorTable!$A$2:$A$301,0), 23)/1000)/100*(Inputs!$B$8*(1+Inputs!$B$9/100)),0))*(1+Inputs!$B$14/100))*0.01+Inputs!$B$15*0.0025)/100)*(1+Inputs!$B$16/100)*(1+Inputs!$B$17/100)*(5000/(6000+Inputs!$B$43*(1-(Inputs!$B$20+0)/100)))*(1+(Inputs!$B$25+((C2366=TRUE)*(F2366-Calc!F25))+((C2367=TRUE)*(F2367-Calc!F26))+B2376)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gt;=100),MIN(100,((Inputs!$B$10+0+B2370+(ArtifactsInput!$M$24-ArtifactsInput!$M$24)*CHOOSE(ArtifactsInput!$N$24+1,10,12,14,16,18,20)+IF(ArtifactsInput!$M$10,CHOOSE(ArtifactsInput!$N$10+1,15,18,21,24,27,30)*(IF(Inputs!$B$39="pvp",MIN(15,15)/15,IF(AND(Inputs!$B$39&lt;&gt;"pvp",Inputs!$B$44&gt;0),MIN(15,Inputs!$B$44)/(Inputs!$B$44),0))),0)))-100),0))*CHOOSE(ArtifactsInput!$N$42+1,0.6,0.72,0.84,0.96,1.08,1.2))),Inputs!$B$19+((C2364=TRUE)*(F2364-Calc!F23))+(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gt;=100),CHOOSE(ArtifactsInput!$N$42+1,40,48,56,64,72,80),0))))/100)*((1+(((C2354=TRUE)*F2354*IF(AND(Inputs!$B$39&lt;&gt;"pvp",Inputs!$B$44&gt;0),(((R2354-1)*MIN((Skills!T13*(1+Inputs!$B$35/100)),(1/Q2354))+MIN((Skills!T13*(1+Inputs!$B$35/100)),MAX(0,Inputs!$B$44-((R2354-1)*(1/Q2354)))))/Inputs!$B$44),IF(Inputs!$B$39="pvp",MIN((Skills!T13*(1+Inputs!$B$35/100)),15)/15,MIN(1,(Skills!T13*(1+Inputs!$B$35/100))/(1/Q2354)))))+((C2355=TRUE)*F2355*IF(AND(Inputs!$B$39&lt;&gt;"pvp",Inputs!$B$44&gt;0),(((R2355-1)*MIN((Skills!T14*(1+Inputs!$B$35/100)),(1/Q2355))+MIN((Skills!T14*(1+Inputs!$B$35/100)),MAX(0,Inputs!$B$44-((R2355-1)*(1/Q2355)))))/Inputs!$B$44),IF(Inputs!$B$39="pvp",MIN((Skills!T14*(1+Inputs!$B$35/100)),15)/15,MIN(1,(Skills!T14*(1+Inputs!$B$35/100))/(1/Q2355)))))+((C2356=TRUE)*F2356*IF(AND(Inputs!$B$39&lt;&gt;"pvp",Inputs!$B$44&gt;0),(((R2356-1)*MIN((Skills!T15*(1+Inputs!$B$35/100)),(1/Q2356))+MIN((Skills!T15*(1+Inputs!$B$35/100)),MAX(0,Inputs!$B$44-((R2356-1)*(1/Q2356)))))/Inputs!$B$44),IF(Inputs!$B$39="pvp",MIN((Skills!T15*(1+Inputs!$B$35/100)),15)/15,MIN(1,(Skills!T15*(1+Inputs!$B$35/100))/(1/Q2356)))))+((C2357=TRUE)*F2357*IF(AND(Inputs!$B$39&lt;&gt;"pvp",Inputs!$B$44&gt;0),(((R2357-1)*MIN((Skills!T16*(1+Inputs!$B$35/100)),(1/Q2357))+MIN((Skills!T16*(1+Inputs!$B$35/100)),MAX(0,Inputs!$B$44-((R2357-1)*(1/Q2357)))))/Inputs!$B$44),IF(Inputs!$B$39="pvp",MIN((Skills!T16*(1+Inputs!$B$35/100)),15)/15,MIN(1,(Skills!T16*(1+Inputs!$B$35/100))/(1/Q2357)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2351)</f>
        <v/>
      </c>
      <c r="L2351">
        <f>K2351*(MIN(Inputs!$B$23+((C2363=TRUE)*(F2363-Calc!F22)),(Inputs!$B$24+((C2365=TRUE)*(F2365-Calc!F24))+(IF(ArtifactsInput!$M$15,CHOOSE(ArtifactsInput!$N$15+1,25,30,35,40,45,50)/100*(Inputs!$B$12-Inputs!$B$12),0))))/100+(Inputs!$B$24+((C2365=TRUE)*(F2365-Calc!F24))+(IF(ArtifactsInput!$M$15,CHOOSE(ArtifactsInput!$N$15+1,25,30,35,40,45,50)/100*(Inputs!$B$12-Inputs!$B$12),0)))/100)/2</f>
        <v/>
      </c>
      <c r="M2351">
        <f>L2351*(1+(Inputs!$B$11+0+B2375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351">
        <f>L2351*(1-MIN((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2351*(MIN((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51">
        <f>(1-Summary!$B$11)*T2351+Summary!$B$11*V2351</f>
        <v/>
      </c>
      <c r="P2351">
        <f>IF(B2380=0,0,O2351/B2380)</f>
        <v/>
      </c>
      <c r="Q2351">
        <f>IFERROR(1/IF(Inputs!$B$39="pvp",15,MAX(0.1,Skills!D10-IF(TRUE=TRUE,Inputs!$B$33,0))),0)</f>
        <v/>
      </c>
      <c r="R2351">
        <f>IF(AND(Inputs!$B$39&lt;&gt;"pvp",Inputs!$B$44&gt;0),IF(MAX(0,Inputs!$B$44-B2377)&lt;=0,0,(INT(MAX(0,Inputs!$B$44-B2377)/IF(Inputs!$B$39="pvp",15,MAX(0.1,Skills!D10-IF(TRUE=TRUE,Inputs!$B$33,0))))+1)),0)</f>
        <v/>
      </c>
      <c r="S2351">
        <f>IFERROR(O2351/N2351,0)</f>
        <v/>
      </c>
      <c r="T2351">
        <f>IF(C2351,(H2351*N2351*IF(AND(Inputs!$B$39&lt;&gt;"pvp",Inputs!$B$44&gt;0),((Skills!G10*((R2351-1)*IF(Skills!H10&gt;0,INT(Skills!I10/Skills!H10+0.000000001),1)+IF(Skills!H10&gt;0,INT(MIN(Skills!I10,MAX(0,MAX(0,Inputs!$B$44-B2377)-((R2351-1)*IF(Inputs!$B$39="pvp",15,MAX(0.1,Skills!D10-IF(TRUE=TRUE,Inputs!$B$33,0))))))/Skills!H10+0.000000001),1)))/Inputs!$B$44),G2351*Q2351))*IF(Inputs!$B$39="pvp",1,1+(Inputs!$B$21+0+Skills!P10+((C2358=TRUE)*F2358*IF(AND(Inputs!$B$39&lt;&gt;"pvp",Inputs!$B$44&gt;0),(((R2358-1)*MIN((Skills!T17*(1+Inputs!$B$35/100)),(1/Q2358))+MIN((Skills!T17*(1+Inputs!$B$35/100)),MAX(0,Inputs!$B$44-((R2358-1)*(1/Q2358)))))/Inputs!$B$44),IF(Inputs!$B$39="pvp",MIN((Skills!T17*(1+Inputs!$B$35/100)),15)/15,MIN(1,(Skills!T17*(1+Inputs!$B$35/100))/(1/Q2358)))))+((C2346=TRUE)*IF(Inputs!$B$3&gt;=126,10*MIN(1,15*Q2346),0))+((C2355=TRUE)*IF(Inputs!$B$39="pvp",20,(1-Summary!$B$11)*(20)+Summary!$B$11*(0))*IF(AND(Inputs!$B$39&lt;&gt;"pvp",Inputs!$B$44&gt;0),(((R2355-1)*MIN((Skills!T14*(1+Inputs!$B$35/100)),(1/Q2355))+MIN((Skills!T14*(1+Inputs!$B$35/100)),MAX(0,Inputs!$B$44-((R2355-1)*(1/Q2355)))))/Inputs!$B$44),IF(Inputs!$B$39="pvp",MIN((Skills!T14*(1+Inputs!$B$35/100)),15)/15,MIN(1,(Skills!T14*(1+Inputs!$B$35/100))/(1/Q2355)))))+((C2354=TRUE)*IF(Inputs!$B$3&gt;=82,IF(Inputs!$B$39="pvp",20,(1-Summary!$B$11)*(20)+Summary!$B$11*(0)),0)*IF(AND(Inputs!$B$39&lt;&gt;"pvp",Inputs!$B$44&gt;0),(((R2354-1)*MIN((Skills!T13*(1+Inputs!$B$35/100)),(1/Q2354))+MIN((Skills!T13*(1+Inputs!$B$35/100)),MAX(0,Inputs!$B$44-((R2354-1)*(1/Q2354)))))/Inputs!$B$44),IF(Inputs!$B$39="pvp",MIN((Skills!T13*(1+Inputs!$B$35/100)),15)/15,MIN(1,(Skills!T13*(1+Inputs!$B$35/100))/(1/Q2354)))))+(IF(AND(ArtifactsInput!$M$35,Inputs!$B$4&lt;&gt;"Chapter Hunt"),CHOOSE(ArtifactsInput!$N$35+1,15,18,21,24,27,30)*(1-EXP(-(0.2*B2372)*5)),0)+IF(AND(ArtifactsInput!$M$22,Inputs!$B$4&lt;&gt;"Chapter Hunt"),CHOOSE(ArtifactsInput!$N$22+1,10,12,14,16,18,20)*((0*(((0.15*B2372*5))^0/1)+1*(((0.15*B2372*5))^1/1)+2*(((0.15*B2372*5))^2/2)+3*(((0.15*B2372*5))^3/6)+4*(((0.15*B2372*5))^4/24)+5*(((0.15*B2372*5))^5/120))/((((0.15*B2372*5))^0/1)+(((0.15*B2372*5))^1/1)+(((0.15*B2372*5))^2/2)+(((0.15*B2372*5))^3/6)+(((0.15*B2372*5))^4/24)+(((0.15*B2372*5))^5/120))),0))+(IF(AND(ArtifactsInput!$M$36,IF(Inputs!$B$39="pvp",TRUE,AND(Inputs!$B$39&lt;&gt;"pvp",Inputs!$B$44&gt;0))),MAX(0,MIN(40,IF(Inputs!$B$39="pvp",15,Inputs!$B$44))-MAX(20,IF(Inputs!$B$4="Breakthrough",20,IF(Inputs!$B$4="Hero Dungeon",30,0))))/(IF(Inputs!$B$39="pvp",15,Inputs!$B$44)-IF(Inputs!$B$4="Breakthrough",20,IF(Inputs!$B$4="Hero Dungeon",30,0)))*CHOOSE(ArtifactsInput!$N$36+1,30,36,42,48,54,60),0)+IF(IF(ArtifactsInput!$M$33,FALSE,TRUE),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2351*(1-MIN(100,(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2351*(MIN(100,(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2351*(1-MIN(100,(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2351*(MIN(100,(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51">
        <f>IF(C2351,(H2351*N2351*IF(AND(Inputs!$B$39&lt;&gt;"pvp",Inputs!$B$44&gt;0),((Skills!G10*((R2351-1)*IF(Skills!H10&gt;0,INT(Skills!I10/Skills!H10+0.000000001),1)+IF(Skills!H10&gt;0,INT(MIN(Skills!I10,MAX(0,MAX(0,Inputs!$B$44-B2377)-((R2351-1)*IF(Inputs!$B$39="pvp",15,MAX(0.1,Skills!D10-IF(TRUE=TRUE,Inputs!$B$33,0))))))/Skills!H10+0.000000001),1)))/Inputs!$B$44),G2351*Q2351))*IF(Inputs!$B$39="pvp",1,(1+(Inputs!$B$22+Skills!Q10+((C2358=TRUE)*F2358*IF(AND(Inputs!$B$39&lt;&gt;"pvp",Inputs!$B$44&gt;0),(((R2358-1)*MIN((Skills!T17*(1+Inputs!$B$35/100)),(1/Q2358))+MIN((Skills!T17*(1+Inputs!$B$35/100)),MAX(0,Inputs!$B$44-((R2358-1)*(1/Q2358)))))/Inputs!$B$44),IF(Inputs!$B$39="pvp",MIN((Skills!T17*(1+Inputs!$B$35/100)),15)/15,MIN(1,(Skills!T17*(1+Inputs!$B$35/100))/(1/Q2358)))))+((C2346=TRUE)*IF(Inputs!$B$3&gt;=126,10*MIN(1,15*Q2346),0))+((C2355=TRUE)*IF(Inputs!$B$39="pvp",20,(1-Summary!$B$11)*(20)+Summary!$B$11*(0))*IF(AND(Inputs!$B$39&lt;&gt;"pvp",Inputs!$B$44&gt;0),(((R2355-1)*MIN((Skills!T14*(1+Inputs!$B$35/100)),(1/Q2355))+MIN((Skills!T14*(1+Inputs!$B$35/100)),MAX(0,Inputs!$B$44-((R2355-1)*(1/Q2355)))))/Inputs!$B$44),IF(Inputs!$B$39="pvp",MIN((Skills!T14*(1+Inputs!$B$35/100)),15)/15,MIN(1,(Skills!T14*(1+Inputs!$B$35/100))/(1/Q2355)))))+((C2354=TRUE)*IF(Inputs!$B$3&gt;=82,IF(Inputs!$B$39="pvp",20,(1-Summary!$B$11)*(20)+Summary!$B$11*(0)),0)*IF(AND(Inputs!$B$39&lt;&gt;"pvp",Inputs!$B$44&gt;0),(((R2354-1)*MIN((Skills!T13*(1+Inputs!$B$35/100)),(1/Q2354))+MIN((Skills!T13*(1+Inputs!$B$35/100)),MAX(0,Inputs!$B$44-((R2354-1)*(1/Q2354)))))/Inputs!$B$44),IF(Inputs!$B$39="pvp",MIN((Skills!T13*(1+Inputs!$B$35/100)),15)/15,MIN(1,(Skills!T13*(1+Inputs!$B$35/100))/(1/Q2354)))))+(IF(AND(ArtifactsInput!$M$35,Inputs!$B$4&lt;&gt;"Chapter Hunt"),CHOOSE(ArtifactsInput!$N$35+1,15,18,21,24,27,30)*(1-EXP(-(0.2*B2372)*5)),0)+IF(AND(ArtifactsInput!$M$22,Inputs!$B$4&lt;&gt;"Chapter Hunt"),CHOOSE(ArtifactsInput!$N$22+1,10,12,14,16,18,20)*((0*(((0.15*B2372*5))^0/1)+1*(((0.15*B2372*5))^1/1)+2*(((0.15*B2372*5))^2/2)+3*(((0.15*B2372*5))^3/6)+4*(((0.15*B2372*5))^4/24)+5*(((0.15*B2372*5))^5/120))/((((0.15*B2372*5))^0/1)+(((0.15*B2372*5))^1/1)+(((0.15*B2372*5))^2/2)+(((0.15*B2372*5))^3/6)+(((0.15*B2372*5))^4/24)+(((0.15*B2372*5))^5/120))),0))+(IF(IF(ArtifactsInput!$M$33,FALSE,TRUE),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52">
      <c r="A2352">
        <f>Skills!A11</f>
        <v/>
      </c>
      <c r="B2352">
        <f>Skills!B11</f>
        <v/>
      </c>
      <c r="C2352">
        <f>Inputs!$B$3&gt;=100</f>
        <v/>
      </c>
      <c r="D2352">
        <f>IF(Skills!C11=1,60+Inputs!$B$26+Inputs!$B$30,IF(Skills!C11=2,90+Inputs!$B$27+Inputs!$B$30,IF(Skills!C11=3,120+Inputs!$B$28+Inputs!$B$30,MAX(0,(Inputs!$B$3-100)*3)+Inputs!$B$29+Inputs!$B$30)))</f>
        <v/>
      </c>
      <c r="E2352">
        <f>INDEX(FactorTable!$B$2:$Y$301, MATCH(ROUND(MIN(300,MAX(1,D2352)),0), FactorTable!$A$2:$A$301,0), Skills!M11+1)</f>
        <v/>
      </c>
      <c r="F2352">
        <f>IF(Skills!N11=TRUE,(Skills!L11/10)*(E2352/1000),Skills!L11/10)+Skills!O11</f>
        <v/>
      </c>
      <c r="G2352" t="inlineStr"/>
      <c r="H2352" t="inlineStr"/>
      <c r="I2352" t="inlineStr">
        <is>
          <t>1</t>
        </is>
      </c>
      <c r="J2352" t="inlineStr"/>
      <c r="K2352" t="inlineStr"/>
      <c r="L2352" t="inlineStr"/>
      <c r="M2352" t="inlineStr"/>
      <c r="N2352" t="inlineStr"/>
      <c r="O2352" t="inlineStr"/>
      <c r="P2352" t="inlineStr"/>
      <c r="Q2352" t="inlineStr"/>
      <c r="R2352" t="inlineStr"/>
      <c r="S2352" t="inlineStr"/>
    </row>
    <row r="2353">
      <c r="A2353">
        <f>Skills!A12</f>
        <v/>
      </c>
      <c r="B2353">
        <f>Skills!B12</f>
        <v/>
      </c>
      <c r="C2353">
        <f>Inputs!$B$3&gt;=63</f>
        <v/>
      </c>
      <c r="D2353">
        <f>IF(Skills!C12=1,60+Inputs!$B$26+Inputs!$B$30,IF(Skills!C12=2,90+Inputs!$B$27+Inputs!$B$30,IF(Skills!C12=3,120+Inputs!$B$28+Inputs!$B$30,MAX(0,(Inputs!$B$3-100)*3)+Inputs!$B$29+Inputs!$B$30)))</f>
        <v/>
      </c>
      <c r="E2353">
        <f>INDEX(FactorTable!$B$2:$Y$301, MATCH(ROUND(MIN(300,MAX(1,D2353)),0), FactorTable!$A$2:$A$301,0), Skills!M12+1)</f>
        <v/>
      </c>
      <c r="F2353">
        <f>IF(Skills!N12=TRUE,(Skills!L12/10)*(E2353/1000),Skills!L12/10)+Skills!O12</f>
        <v/>
      </c>
      <c r="G2353">
        <f>Skills!G12*IF(Skills!H12&gt;0,INT(IF(Inputs!$B$39="pvp",MIN(Skills!I12,15),Skills!I12)/Skills!H12+0.000000001),1)</f>
        <v/>
      </c>
      <c r="H2353">
        <f>1-(1-Skills!J12/100)^Skills!K12</f>
        <v/>
      </c>
      <c r="I2353" t="inlineStr">
        <is>
          <t>1</t>
        </is>
      </c>
      <c r="J2353">
        <f>((Inputs!$B$6*(1+Inputs!$B$7/100))+(((Inputs!$B$13*(1+Inputs!$B$14/100))-(Inputs!$B$13*(1+Inputs!$B$14/100)))+0.25*(Inputs!$B$15-Inputs!$B$15))*(1+Inputs!$B$7/100))*(F2353/100)</f>
        <v/>
      </c>
      <c r="K2353">
        <f>J2353*(1+(((Inputs!$B$13+IF(Inputs!$B$3&gt;=38,(10*INDEX(FactorTable!$B$2:$Y$301, MATCH(ROUND(MIN(300,MAX(1,Inputs!$B$3)),0), FactorTable!$A$2:$A$301,0), 23)/1000)/100*(Inputs!$B$8*(1+Inputs!$B$9/100)),0))*(1+Inputs!$B$14/100))*0.01+Inputs!$B$15*0.0025)/100)*(1+Inputs!$B$16/100)*(1+Inputs!$B$17/100)*(5000/(6000+Inputs!$B$43*(1-(Inputs!$B$20+0)/100)))*(1+(Inputs!$B$25+((C2366=TRUE)*(F2366-Calc!F25))+((C2367=TRUE)*(F2367-Calc!F26))+B2376)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2352=TRUE,F2352,0)/100)*(1+(IF(Skills!A12="DARK_IMPALE",Inputs!$B$18+0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gt;=100),MIN(100,((Inputs!$B$10+0+B2370+(ArtifactsInput!$M$24-ArtifactsInput!$M$24)*CHOOSE(ArtifactsInput!$N$24+1,10,12,14,16,18,20)+IF(ArtifactsInput!$M$10,CHOOSE(ArtifactsInput!$N$10+1,15,18,21,24,27,30)*(IF(Inputs!$B$39="pvp",MIN(15,15)/15,IF(AND(Inputs!$B$39&lt;&gt;"pvp",Inputs!$B$44&gt;0),MIN(15,Inputs!$B$44)/(Inputs!$B$44),0))),0)))-100),0))*CHOOSE(ArtifactsInput!$N$42+1,0.6,0.72,0.84,0.96,1.08,1.2))),Inputs!$B$19+((C2364=TRUE)*(F2364-Calc!F23))+(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gt;=100),CHOOSE(ArtifactsInput!$N$42+1,40,48,56,64,72,80),0))))/100)*((1+(((C2354=TRUE)*F2354*IF(AND(Inputs!$B$39&lt;&gt;"pvp",Inputs!$B$44&gt;0),(((R2354-1)*MIN((Skills!T13*(1+Inputs!$B$35/100)),(1/Q2354))+MIN((Skills!T13*(1+Inputs!$B$35/100)),MAX(0,Inputs!$B$44-((R2354-1)*(1/Q2354)))))/Inputs!$B$44),IF(Inputs!$B$39="pvp",MIN((Skills!T13*(1+Inputs!$B$35/100)),15)/15,MIN(1,(Skills!T13*(1+Inputs!$B$35/100))/(1/Q2354)))))+((C2355=TRUE)*F2355*IF(AND(Inputs!$B$39&lt;&gt;"pvp",Inputs!$B$44&gt;0),(((R2355-1)*MIN((Skills!T14*(1+Inputs!$B$35/100)),(1/Q2355))+MIN((Skills!T14*(1+Inputs!$B$35/100)),MAX(0,Inputs!$B$44-((R2355-1)*(1/Q2355)))))/Inputs!$B$44),IF(Inputs!$B$39="pvp",MIN((Skills!T14*(1+Inputs!$B$35/100)),15)/15,MIN(1,(Skills!T14*(1+Inputs!$B$35/100))/(1/Q2355)))))+((C2356=TRUE)*F2356*IF(AND(Inputs!$B$39&lt;&gt;"pvp",Inputs!$B$44&gt;0),(((R2356-1)*MIN((Skills!T15*(1+Inputs!$B$35/100)),(1/Q2356))+MIN((Skills!T15*(1+Inputs!$B$35/100)),MAX(0,Inputs!$B$44-((R2356-1)*(1/Q2356)))))/Inputs!$B$44),IF(Inputs!$B$39="pvp",MIN((Skills!T15*(1+Inputs!$B$35/100)),15)/15,MIN(1,(Skills!T15*(1+Inputs!$B$35/100))/(1/Q2356)))))+((C2357=TRUE)*F2357*IF(AND(Inputs!$B$39&lt;&gt;"pvp",Inputs!$B$44&gt;0),(((R2357-1)*MIN((Skills!T16*(1+Inputs!$B$35/100)),(1/Q2357))+MIN((Skills!T16*(1+Inputs!$B$35/100)),MAX(0,Inputs!$B$44-((R2357-1)*(1/Q2357)))))/Inputs!$B$44),IF(Inputs!$B$39="pvp",MIN((Skills!T16*(1+Inputs!$B$35/100)),15)/15,MIN(1,(Skills!T16*(1+Inputs!$B$35/100))/(1/Q2357)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2353)</f>
        <v/>
      </c>
      <c r="L2353">
        <f>K2353*(MIN(Inputs!$B$23+((C2363=TRUE)*(F2363-Calc!F22)),(Inputs!$B$24+((C2365=TRUE)*(F2365-Calc!F24))+(IF(ArtifactsInput!$M$15,CHOOSE(ArtifactsInput!$N$15+1,25,30,35,40,45,50)/100*(Inputs!$B$12-Inputs!$B$12),0))))/100+(Inputs!$B$24+((C2365=TRUE)*(F2365-Calc!F24))+(IF(ArtifactsInput!$M$15,CHOOSE(ArtifactsInput!$N$15+1,25,30,35,40,45,50)/100*(Inputs!$B$12-Inputs!$B$12),0)))/100)/2</f>
        <v/>
      </c>
      <c r="M2353">
        <f>L2353*(1+(Inputs!$B$11+0+B2375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353">
        <f>L2353*(1-MIN((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2353*(MIN((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53">
        <f>(1-Summary!$B$11)*T2353+Summary!$B$11*V2353</f>
        <v/>
      </c>
      <c r="P2353">
        <f>IF(B2380=0,0,O2353/B2380)</f>
        <v/>
      </c>
      <c r="Q2353">
        <f>IFERROR(1/IF(Inputs!$B$39="pvp",15,MAX(0.1,Skills!D12-IF(TRUE=TRUE,Inputs!$B$33,0))),0)</f>
        <v/>
      </c>
      <c r="R2353">
        <f>IF(AND(Inputs!$B$39&lt;&gt;"pvp",Inputs!$B$44&gt;0),IF(MAX(0,Inputs!$B$44-B2377)&lt;=0,0,(INT(MAX(0,Inputs!$B$44-B2377)/IF(Inputs!$B$39="pvp",15,MAX(0.1,Skills!D12-IF(TRUE=TRUE,Inputs!$B$33,0))))+1)),0)</f>
        <v/>
      </c>
      <c r="S2353">
        <f>IFERROR(O2353/N2353,0)</f>
        <v/>
      </c>
      <c r="T2353">
        <f>IF(C2353,(H2353*N2353*IF(AND(Inputs!$B$39&lt;&gt;"pvp",Inputs!$B$44&gt;0),((Skills!G12*((R2353-1)*IF(Skills!H12&gt;0,INT(Skills!I12/Skills!H12+0.000000001),1)+IF(Skills!H12&gt;0,INT(MIN(Skills!I12,MAX(0,MAX(0,Inputs!$B$44-B2377)-((R2353-1)*IF(Inputs!$B$39="pvp",15,MAX(0.1,Skills!D12-IF(TRUE=TRUE,Inputs!$B$33,0))))))/Skills!H12+0.000000001),1)))/Inputs!$B$44),G2353*Q2353))*IF(Inputs!$B$39="pvp",1,1+(Inputs!$B$21+0+Skills!P12+((C2358=TRUE)*F2358*IF(AND(Inputs!$B$39&lt;&gt;"pvp",Inputs!$B$44&gt;0),(((R2358-1)*MIN((Skills!T17*(1+Inputs!$B$35/100)),(1/Q2358))+MIN((Skills!T17*(1+Inputs!$B$35/100)),MAX(0,Inputs!$B$44-((R2358-1)*(1/Q2358)))))/Inputs!$B$44),IF(Inputs!$B$39="pvp",MIN((Skills!T17*(1+Inputs!$B$35/100)),15)/15,MIN(1,(Skills!T17*(1+Inputs!$B$35/100))/(1/Q2358)))))+((C2346=TRUE)*IF(Inputs!$B$3&gt;=126,10*MIN(1,15*Q2346),0))+((C2355=TRUE)*IF(Inputs!$B$39="pvp",20,(1-Summary!$B$11)*(20)+Summary!$B$11*(0))*IF(AND(Inputs!$B$39&lt;&gt;"pvp",Inputs!$B$44&gt;0),(((R2355-1)*MIN((Skills!T14*(1+Inputs!$B$35/100)),(1/Q2355))+MIN((Skills!T14*(1+Inputs!$B$35/100)),MAX(0,Inputs!$B$44-((R2355-1)*(1/Q2355)))))/Inputs!$B$44),IF(Inputs!$B$39="pvp",MIN((Skills!T14*(1+Inputs!$B$35/100)),15)/15,MIN(1,(Skills!T14*(1+Inputs!$B$35/100))/(1/Q2355)))))+((C2354=TRUE)*IF(Inputs!$B$3&gt;=82,IF(Inputs!$B$39="pvp",20,(1-Summary!$B$11)*(20)+Summary!$B$11*(0)),0)*IF(AND(Inputs!$B$39&lt;&gt;"pvp",Inputs!$B$44&gt;0),(((R2354-1)*MIN((Skills!T13*(1+Inputs!$B$35/100)),(1/Q2354))+MIN((Skills!T13*(1+Inputs!$B$35/100)),MAX(0,Inputs!$B$44-((R2354-1)*(1/Q2354)))))/Inputs!$B$44),IF(Inputs!$B$39="pvp",MIN((Skills!T13*(1+Inputs!$B$35/100)),15)/15,MIN(1,(Skills!T13*(1+Inputs!$B$35/100))/(1/Q2354)))))+(IF(AND(ArtifactsInput!$M$35,Inputs!$B$4&lt;&gt;"Chapter Hunt"),CHOOSE(ArtifactsInput!$N$35+1,15,18,21,24,27,30)*(1-EXP(-(0.2*B2372)*5)),0)+IF(AND(ArtifactsInput!$M$22,Inputs!$B$4&lt;&gt;"Chapter Hunt"),CHOOSE(ArtifactsInput!$N$22+1,10,12,14,16,18,20)*((0*(((0.15*B2372*5))^0/1)+1*(((0.15*B2372*5))^1/1)+2*(((0.15*B2372*5))^2/2)+3*(((0.15*B2372*5))^3/6)+4*(((0.15*B2372*5))^4/24)+5*(((0.15*B2372*5))^5/120))/((((0.15*B2372*5))^0/1)+(((0.15*B2372*5))^1/1)+(((0.15*B2372*5))^2/2)+(((0.15*B2372*5))^3/6)+(((0.15*B2372*5))^4/24)+(((0.15*B2372*5))^5/120))),0))+(IF(AND(ArtifactsInput!$M$36,IF(Inputs!$B$39="pvp",TRUE,AND(Inputs!$B$39&lt;&gt;"pvp",Inputs!$B$44&gt;0))),MAX(0,MIN(40,IF(Inputs!$B$39="pvp",15,Inputs!$B$44))-MAX(20,IF(Inputs!$B$4="Breakthrough",20,IF(Inputs!$B$4="Hero Dungeon",30,0))))/(IF(Inputs!$B$39="pvp",15,Inputs!$B$44)-IF(Inputs!$B$4="Breakthrough",20,IF(Inputs!$B$4="Hero Dungeon",30,0)))*CHOOSE(ArtifactsInput!$N$36+1,30,36,42,48,54,60),0)+IF(IF(ArtifactsInput!$M$33,FALSE,TRUE),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2353*(1-MIN(100,(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2353*(MIN(100,(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2353*(1-MIN(100,(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2353*(MIN(100,(Inputs!$B$10+0+B2370+(ArtifactsInput!$M$24-ArtifactsInput!$M$24)*CHOOSE(ArtifactsInput!$N$24+1,10,12,14,16,18,20)+(IF(AND(Inputs!$B$39&lt;&gt;"pvp",Inputs!$B$44=0),1,IF(IF(Inputs!$B$39="pvp",15,Inputs!$B$44)-(B2377)&lt;=0,1,MAX(0,IF(Inputs!$B$39="pvp",15,Inputs!$B$44)-MAX(5,B2377))/(IF(Inputs!$B$39="pvp",15,Inputs!$B$44)-(B2377))))*IF(AND(ArtifactsInput!$M$42,((Inputs!$B$10+0+B2370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53">
        <f>IF(C2353,(H2353*N2353*IF(AND(Inputs!$B$39&lt;&gt;"pvp",Inputs!$B$44&gt;0),((Skills!G12*((R2353-1)*IF(Skills!H12&gt;0,INT(Skills!I12/Skills!H12+0.000000001),1)+IF(Skills!H12&gt;0,INT(MIN(Skills!I12,MAX(0,MAX(0,Inputs!$B$44-B2377)-((R2353-1)*IF(Inputs!$B$39="pvp",15,MAX(0.1,Skills!D12-IF(TRUE=TRUE,Inputs!$B$33,0))))))/Skills!H12+0.000000001),1)))/Inputs!$B$44),G2353*Q2353))*IF(Inputs!$B$39="pvp",1,(1+(Inputs!$B$22+Skills!Q12+((C2358=TRUE)*F2358*IF(AND(Inputs!$B$39&lt;&gt;"pvp",Inputs!$B$44&gt;0),(((R2358-1)*MIN((Skills!T17*(1+Inputs!$B$35/100)),(1/Q2358))+MIN((Skills!T17*(1+Inputs!$B$35/100)),MAX(0,Inputs!$B$44-((R2358-1)*(1/Q2358)))))/Inputs!$B$44),IF(Inputs!$B$39="pvp",MIN((Skills!T17*(1+Inputs!$B$35/100)),15)/15,MIN(1,(Skills!T17*(1+Inputs!$B$35/100))/(1/Q2358)))))+((C2346=TRUE)*IF(Inputs!$B$3&gt;=126,10*MIN(1,15*Q2346),0))+((C2355=TRUE)*IF(Inputs!$B$39="pvp",20,(1-Summary!$B$11)*(20)+Summary!$B$11*(0))*IF(AND(Inputs!$B$39&lt;&gt;"pvp",Inputs!$B$44&gt;0),(((R2355-1)*MIN((Skills!T14*(1+Inputs!$B$35/100)),(1/Q2355))+MIN((Skills!T14*(1+Inputs!$B$35/100)),MAX(0,Inputs!$B$44-((R2355-1)*(1/Q2355)))))/Inputs!$B$44),IF(Inputs!$B$39="pvp",MIN((Skills!T14*(1+Inputs!$B$35/100)),15)/15,MIN(1,(Skills!T14*(1+Inputs!$B$35/100))/(1/Q2355)))))+((C2354=TRUE)*IF(Inputs!$B$3&gt;=82,IF(Inputs!$B$39="pvp",20,(1-Summary!$B$11)*(20)+Summary!$B$11*(0)),0)*IF(AND(Inputs!$B$39&lt;&gt;"pvp",Inputs!$B$44&gt;0),(((R2354-1)*MIN((Skills!T13*(1+Inputs!$B$35/100)),(1/Q2354))+MIN((Skills!T13*(1+Inputs!$B$35/100)),MAX(0,Inputs!$B$44-((R2354-1)*(1/Q2354)))))/Inputs!$B$44),IF(Inputs!$B$39="pvp",MIN((Skills!T13*(1+Inputs!$B$35/100)),15)/15,MIN(1,(Skills!T13*(1+Inputs!$B$35/100))/(1/Q2354)))))+(IF(AND(ArtifactsInput!$M$35,Inputs!$B$4&lt;&gt;"Chapter Hunt"),CHOOSE(ArtifactsInput!$N$35+1,15,18,21,24,27,30)*(1-EXP(-(0.2*B2372)*5)),0)+IF(AND(ArtifactsInput!$M$22,Inputs!$B$4&lt;&gt;"Chapter Hunt"),CHOOSE(ArtifactsInput!$N$22+1,10,12,14,16,18,20)*((0*(((0.15*B2372*5))^0/1)+1*(((0.15*B2372*5))^1/1)+2*(((0.15*B2372*5))^2/2)+3*(((0.15*B2372*5))^3/6)+4*(((0.15*B2372*5))^4/24)+5*(((0.15*B2372*5))^5/120))/((((0.15*B2372*5))^0/1)+(((0.15*B2372*5))^1/1)+(((0.15*B2372*5))^2/2)+(((0.15*B2372*5))^3/6)+(((0.15*B2372*5))^4/24)+(((0.15*B2372*5))^5/120))),0))+(IF(IF(ArtifactsInput!$M$33,FALSE,TRUE),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54">
      <c r="A2354">
        <f>Skills!A13</f>
        <v/>
      </c>
      <c r="B2354">
        <f>Skills!B13</f>
        <v/>
      </c>
      <c r="C2354">
        <f>Inputs!$B$3&gt;=69</f>
        <v/>
      </c>
      <c r="D2354">
        <f>IF(Skills!C13=1,60+Inputs!$B$26+Inputs!$B$30,IF(Skills!C13=2,90+Inputs!$B$27+Inputs!$B$30,IF(Skills!C13=3,120+Inputs!$B$28+Inputs!$B$30,MAX(0,(Inputs!$B$3-100)*3)+Inputs!$B$29+Inputs!$B$30)))</f>
        <v/>
      </c>
      <c r="E2354">
        <f>INDEX(FactorTable!$B$2:$Y$301, MATCH(ROUND(MIN(300,MAX(1,D2354)),0), FactorTable!$A$2:$A$301,0), Skills!M13+1)</f>
        <v/>
      </c>
      <c r="F2354">
        <f>IF(Skills!N13=TRUE,(Skills!L13/10)*(E2354/1000),Skills!L13/10)+Skills!O13</f>
        <v/>
      </c>
      <c r="G2354">
        <f>Skills!G13*IF(Skills!H13&gt;0,INT(IF(Inputs!$B$39="pvp",MIN(Skills!I13,15),Skills!I13)/Skills!H13+0.000000001),1)</f>
        <v/>
      </c>
      <c r="H2354">
        <f>1-(1-Skills!J13/100)^Skills!K13</f>
        <v/>
      </c>
      <c r="I2354" t="inlineStr">
        <is>
          <t>1</t>
        </is>
      </c>
      <c r="J2354" t="inlineStr"/>
      <c r="K2354" t="inlineStr"/>
      <c r="L2354" t="inlineStr"/>
      <c r="M2354" t="inlineStr"/>
      <c r="N2354" t="inlineStr"/>
      <c r="O2354">
        <f>(1-Summary!$B$11)*T2354+Summary!$B$11*V2354</f>
        <v/>
      </c>
      <c r="P2354">
        <f>IF(B2380=0,0,O2354/B2380)</f>
        <v/>
      </c>
      <c r="Q2354">
        <f>IFERROR(1/IF(Inputs!$B$39="pvp",15,MAX(0.1,Skills!D13-IF(TRUE=TRUE,Inputs!$B$33,0))),0)</f>
        <v/>
      </c>
      <c r="R2354">
        <f>IF(AND(Inputs!$B$39&lt;&gt;"pvp",Inputs!$B$44&gt;0),IF(Inputs!$B$44&lt;=0,0,(INT(Inputs!$B$44/IF(Inputs!$B$39="pvp",15,MAX(0.1,Skills!D13-IF(TRUE=TRUE,Inputs!$B$33,0))))+1)),0)</f>
        <v/>
      </c>
      <c r="S2354">
        <f>IFERROR(O2354/N2354,0)</f>
        <v/>
      </c>
      <c r="T2354" t="n">
        <v>0</v>
      </c>
      <c r="V2354" t="n">
        <v>0</v>
      </c>
    </row>
    <row r="2355">
      <c r="A2355">
        <f>Skills!A14</f>
        <v/>
      </c>
      <c r="B2355">
        <f>Skills!B14</f>
        <v/>
      </c>
      <c r="C2355">
        <f>Inputs!$B$3&gt;=115</f>
        <v/>
      </c>
      <c r="D2355">
        <f>IF(Skills!C14=1,60+Inputs!$B$26+Inputs!$B$30,IF(Skills!C14=2,90+Inputs!$B$27+Inputs!$B$30,IF(Skills!C14=3,120+Inputs!$B$28+Inputs!$B$30,MAX(0,(Inputs!$B$3-100)*3)+Inputs!$B$29+Inputs!$B$30)))</f>
        <v/>
      </c>
      <c r="E2355">
        <f>INDEX(FactorTable!$B$2:$Y$301, MATCH(ROUND(MIN(300,MAX(1,D2355)),0), FactorTable!$A$2:$A$301,0), Skills!M14+1)</f>
        <v/>
      </c>
      <c r="F2355">
        <f>IF(Skills!N14=TRUE,(Skills!L14/10)*(E2355/1000),Skills!L14/10)+Skills!O14</f>
        <v/>
      </c>
      <c r="G2355">
        <f>Skills!G14*IF(Skills!H14&gt;0,INT(IF(Inputs!$B$39="pvp",MIN(Skills!I14,15),Skills!I14)/Skills!H14+0.000000001),1)</f>
        <v/>
      </c>
      <c r="H2355">
        <f>1-(1-Skills!J14/100)^Skills!K14</f>
        <v/>
      </c>
      <c r="I2355" t="inlineStr">
        <is>
          <t>1</t>
        </is>
      </c>
      <c r="J2355" t="inlineStr"/>
      <c r="K2355" t="inlineStr"/>
      <c r="L2355" t="inlineStr"/>
      <c r="M2355" t="inlineStr"/>
      <c r="N2355" t="inlineStr"/>
      <c r="O2355">
        <f>(1-Summary!$B$11)*T2355+Summary!$B$11*V2355</f>
        <v/>
      </c>
      <c r="P2355">
        <f>IF(B2380=0,0,O2355/B2380)</f>
        <v/>
      </c>
      <c r="Q2355">
        <f>IFERROR(1/IF(Inputs!$B$39="pvp",15,MAX(0.1,Skills!D14-IF(TRUE=TRUE,Inputs!$B$33,0))),0)</f>
        <v/>
      </c>
      <c r="R2355">
        <f>IF(AND(Inputs!$B$39&lt;&gt;"pvp",Inputs!$B$44&gt;0),IF(Inputs!$B$44&lt;=0,0,(INT(Inputs!$B$44/IF(Inputs!$B$39="pvp",15,MAX(0.1,Skills!D14-IF(TRUE=TRUE,Inputs!$B$33,0))))+1)),0)</f>
        <v/>
      </c>
      <c r="S2355">
        <f>IFERROR(O2355/N2355,0)</f>
        <v/>
      </c>
      <c r="T2355" t="n">
        <v>0</v>
      </c>
      <c r="V2355" t="n">
        <v>0</v>
      </c>
    </row>
    <row r="2356">
      <c r="A2356">
        <f>Skills!A15</f>
        <v/>
      </c>
      <c r="B2356">
        <f>Skills!B15</f>
        <v/>
      </c>
      <c r="C2356">
        <f>Inputs!$B$3&gt;=66</f>
        <v/>
      </c>
      <c r="D2356">
        <f>IF(Skills!C15=1,60+Inputs!$B$26+Inputs!$B$30,IF(Skills!C15=2,90+Inputs!$B$27+Inputs!$B$30,IF(Skills!C15=3,120+Inputs!$B$28+Inputs!$B$30,MAX(0,(Inputs!$B$3-100)*3)+Inputs!$B$29+Inputs!$B$30)))</f>
        <v/>
      </c>
      <c r="E2356">
        <f>INDEX(FactorTable!$B$2:$Y$301, MATCH(ROUND(MIN(300,MAX(1,D2356)),0), FactorTable!$A$2:$A$301,0), Skills!M15+1)</f>
        <v/>
      </c>
      <c r="F2356">
        <f>IF(Skills!N15=TRUE,(Skills!L15/10)*(E2356/1000),Skills!L15/10)+Skills!O15</f>
        <v/>
      </c>
      <c r="G2356">
        <f>Skills!G15*IF(Skills!H15&gt;0,INT(IF(Inputs!$B$39="pvp",MIN(Skills!I15,15),Skills!I15)/Skills!H15+0.000000001),1)</f>
        <v/>
      </c>
      <c r="H2356">
        <f>1-(1-Skills!J15/100)^Skills!K15</f>
        <v/>
      </c>
      <c r="I2356" t="inlineStr">
        <is>
          <t>1</t>
        </is>
      </c>
      <c r="J2356" t="inlineStr"/>
      <c r="K2356" t="inlineStr"/>
      <c r="L2356" t="inlineStr"/>
      <c r="M2356" t="inlineStr"/>
      <c r="N2356" t="inlineStr"/>
      <c r="O2356">
        <f>(1-Summary!$B$11)*T2356+Summary!$B$11*V2356</f>
        <v/>
      </c>
      <c r="P2356">
        <f>IF(B2380=0,0,O2356/B2380)</f>
        <v/>
      </c>
      <c r="Q2356">
        <f>IFERROR(1/IF(Inputs!$B$39="pvp",15,MAX(0.1,Skills!D15-IF(TRUE=TRUE,Inputs!$B$33,0))),0)</f>
        <v/>
      </c>
      <c r="R2356">
        <f>IF(AND(Inputs!$B$39&lt;&gt;"pvp",Inputs!$B$44&gt;0),IF(Inputs!$B$44&lt;=0,0,(INT(Inputs!$B$44/IF(Inputs!$B$39="pvp",15,MAX(0.1,Skills!D15-IF(TRUE=TRUE,Inputs!$B$33,0))))+1)),0)</f>
        <v/>
      </c>
      <c r="S2356">
        <f>IFERROR(O2356/N2356,0)</f>
        <v/>
      </c>
      <c r="T2356" t="n">
        <v>0</v>
      </c>
      <c r="V2356" t="n">
        <v>0</v>
      </c>
    </row>
    <row r="2357">
      <c r="A2357">
        <f>Skills!A16</f>
        <v/>
      </c>
      <c r="B2357">
        <f>Skills!B16</f>
        <v/>
      </c>
      <c r="C2357">
        <f>Inputs!$B$3&gt;=45</f>
        <v/>
      </c>
      <c r="D2357">
        <f>IF(Skills!C16=1,60+Inputs!$B$26+Inputs!$B$30,IF(Skills!C16=2,90+Inputs!$B$27+Inputs!$B$30,IF(Skills!C16=3,120+Inputs!$B$28+Inputs!$B$30,MAX(0,(Inputs!$B$3-100)*3)+Inputs!$B$29+Inputs!$B$30)))</f>
        <v/>
      </c>
      <c r="E2357">
        <f>INDEX(FactorTable!$B$2:$Y$301, MATCH(ROUND(MIN(300,MAX(1,D2357)),0), FactorTable!$A$2:$A$301,0), Skills!M16+1)</f>
        <v/>
      </c>
      <c r="F2357">
        <f>IF(Skills!N16=TRUE,(Skills!L16/10)*(E2357/1000),Skills!L16/10)+Skills!O16</f>
        <v/>
      </c>
      <c r="G2357">
        <f>Skills!G16*IF(Skills!H16&gt;0,INT(IF(Inputs!$B$39="pvp",MIN(Skills!I16,15),Skills!I16)/Skills!H16+0.000000001),1)</f>
        <v/>
      </c>
      <c r="H2357">
        <f>1-(1-Skills!J16/100)^Skills!K16</f>
        <v/>
      </c>
      <c r="I2357" t="inlineStr">
        <is>
          <t>1</t>
        </is>
      </c>
      <c r="J2357" t="inlineStr"/>
      <c r="K2357" t="inlineStr"/>
      <c r="L2357" t="inlineStr"/>
      <c r="M2357" t="inlineStr"/>
      <c r="N2357" t="inlineStr"/>
      <c r="O2357">
        <f>(1-Summary!$B$11)*T2357+Summary!$B$11*V2357</f>
        <v/>
      </c>
      <c r="P2357">
        <f>IF(B2380=0,0,O2357/B2380)</f>
        <v/>
      </c>
      <c r="Q2357">
        <f>IFERROR(1/IF(Inputs!$B$39="pvp",15,MAX(0.1,Skills!D16-IF(TRUE=TRUE,Inputs!$B$33,0))),0)</f>
        <v/>
      </c>
      <c r="R2357">
        <f>IF(AND(Inputs!$B$39&lt;&gt;"pvp",Inputs!$B$44&gt;0),IF(Inputs!$B$44&lt;=0,0,(INT(Inputs!$B$44/IF(Inputs!$B$39="pvp",15,MAX(0.1,Skills!D16-IF(TRUE=TRUE,Inputs!$B$33,0))))+1)),0)</f>
        <v/>
      </c>
      <c r="S2357">
        <f>IFERROR(O2357/N2357,0)</f>
        <v/>
      </c>
      <c r="T2357" t="n">
        <v>0</v>
      </c>
      <c r="V2357" t="n">
        <v>0</v>
      </c>
    </row>
    <row r="2358">
      <c r="A2358">
        <f>Skills!A17</f>
        <v/>
      </c>
      <c r="B2358">
        <f>Skills!B17</f>
        <v/>
      </c>
      <c r="C2358">
        <f>Inputs!$B$3&gt;=35</f>
        <v/>
      </c>
      <c r="D2358">
        <f>IF(Skills!C17=1,60+Inputs!$B$26+Inputs!$B$30,IF(Skills!C17=2,90+Inputs!$B$27+Inputs!$B$30,IF(Skills!C17=3,120+Inputs!$B$28+Inputs!$B$30,MAX(0,(Inputs!$B$3-100)*3)+Inputs!$B$29+Inputs!$B$30)))</f>
        <v/>
      </c>
      <c r="E2358">
        <f>INDEX(FactorTable!$B$2:$Y$301, MATCH(ROUND(MIN(300,MAX(1,D2358)),0), FactorTable!$A$2:$A$301,0), Skills!M17+1)</f>
        <v/>
      </c>
      <c r="F2358">
        <f>IF(Skills!N17=TRUE,(Skills!L17/10)*(E2358/1000),Skills!L17/10)+Skills!O17</f>
        <v/>
      </c>
      <c r="G2358">
        <f>Skills!G17*IF(Skills!H17&gt;0,INT(IF(Inputs!$B$39="pvp",MIN(Skills!I17,15),Skills!I17)/Skills!H17+0.000000001),1)</f>
        <v/>
      </c>
      <c r="H2358">
        <f>1-(1-Skills!J17/100)^Skills!K17</f>
        <v/>
      </c>
      <c r="I2358" t="inlineStr">
        <is>
          <t>1</t>
        </is>
      </c>
      <c r="J2358" t="inlineStr"/>
      <c r="K2358" t="inlineStr"/>
      <c r="L2358" t="inlineStr"/>
      <c r="M2358" t="inlineStr"/>
      <c r="N2358" t="inlineStr"/>
      <c r="O2358">
        <f>(1-Summary!$B$11)*T2358+Summary!$B$11*V2358</f>
        <v/>
      </c>
      <c r="P2358">
        <f>IF(B2380=0,0,O2358/B2380)</f>
        <v/>
      </c>
      <c r="Q2358">
        <f>IFERROR(1/IF(Inputs!$B$39="pvp",15,MAX(0.1,Skills!D17-IF(TRUE=TRUE,Inputs!$B$33,0))),0)</f>
        <v/>
      </c>
      <c r="R2358">
        <f>IF(AND(Inputs!$B$39&lt;&gt;"pvp",Inputs!$B$44&gt;0),IF(Inputs!$B$44&lt;=0,0,(INT(Inputs!$B$44/IF(Inputs!$B$39="pvp",15,MAX(0.1,Skills!D17-IF(TRUE=TRUE,Inputs!$B$33,0))))+1)),0)</f>
        <v/>
      </c>
      <c r="S2358">
        <f>IFERROR(O2358/N2358,0)</f>
        <v/>
      </c>
      <c r="T2358" t="n">
        <v>0</v>
      </c>
      <c r="V2358" t="n">
        <v>0</v>
      </c>
    </row>
    <row r="2359">
      <c r="A2359">
        <f>Skills!A18</f>
        <v/>
      </c>
      <c r="B2359">
        <f>Skills!B18</f>
        <v/>
      </c>
      <c r="C2359">
        <f>Inputs!$B$3&gt;=72</f>
        <v/>
      </c>
      <c r="D2359">
        <f>IF(Skills!C18=1,60+Inputs!$B$26+Inputs!$B$30,IF(Skills!C18=2,90+Inputs!$B$27+Inputs!$B$30,IF(Skills!C18=3,120+Inputs!$B$28+Inputs!$B$30,MAX(0,(Inputs!$B$3-100)*3)+Inputs!$B$29+Inputs!$B$30)))</f>
        <v/>
      </c>
      <c r="E2359">
        <f>INDEX(FactorTable!$B$2:$Y$301, MATCH(ROUND(MIN(300,MAX(1,D2359)),0), FactorTable!$A$2:$A$301,0), Skills!M18+1)</f>
        <v/>
      </c>
      <c r="F2359">
        <f>IF(Skills!N18=TRUE,(Skills!L18/10)*(E2359/1000),Skills!L18/10)+Skills!O18</f>
        <v/>
      </c>
      <c r="G2359">
        <f>Skills!G18*IF(Skills!H18&gt;0,INT(IF(Inputs!$B$39="pvp",MIN(Skills!I18,15),Skills!I18)/Skills!H18+0.000000001),1)</f>
        <v/>
      </c>
      <c r="H2359">
        <f>1-(1-Skills!J18/100)^Skills!K18</f>
        <v/>
      </c>
      <c r="I2359" t="inlineStr">
        <is>
          <t>1</t>
        </is>
      </c>
      <c r="J2359" t="inlineStr"/>
      <c r="K2359" t="inlineStr"/>
      <c r="L2359" t="inlineStr"/>
      <c r="M2359" t="inlineStr"/>
      <c r="N2359" t="inlineStr"/>
      <c r="O2359">
        <f>(1-Summary!$B$11)*T2359+Summary!$B$11*V2359</f>
        <v/>
      </c>
      <c r="P2359">
        <f>IF(B2380=0,0,O2359/B2380)</f>
        <v/>
      </c>
      <c r="Q2359">
        <f>IFERROR(1/IF(Inputs!$B$39="pvp",15,MAX(0.1,Skills!D18-IF(TRUE=TRUE,Inputs!$B$33,0))),0)</f>
        <v/>
      </c>
      <c r="R2359">
        <f>IF(AND(Inputs!$B$39&lt;&gt;"pvp",Inputs!$B$44&gt;0),IF(Inputs!$B$44&lt;=0,0,(INT(Inputs!$B$44/IF(Inputs!$B$39="pvp",15,MAX(0.1,Skills!D18-IF(TRUE=TRUE,Inputs!$B$33,0))))+1)),0)</f>
        <v/>
      </c>
      <c r="S2359">
        <f>IFERROR(O2359/N2359,0)</f>
        <v/>
      </c>
      <c r="T2359" t="n">
        <v>0</v>
      </c>
      <c r="V2359" t="n">
        <v>0</v>
      </c>
    </row>
    <row r="2360">
      <c r="A2360">
        <f>Skills!A19</f>
        <v/>
      </c>
      <c r="B2360">
        <f>Skills!B19</f>
        <v/>
      </c>
      <c r="C2360">
        <f>Inputs!$B$3&gt;=72</f>
        <v/>
      </c>
      <c r="D2360">
        <f>IF(Skills!C19=1,60+Inputs!$B$26+Inputs!$B$30,IF(Skills!C19=2,90+Inputs!$B$27+Inputs!$B$30,IF(Skills!C19=3,120+Inputs!$B$28+Inputs!$B$30,MAX(0,(Inputs!$B$3-100)*3)+Inputs!$B$29+Inputs!$B$30)))</f>
        <v/>
      </c>
      <c r="E2360">
        <f>INDEX(FactorTable!$B$2:$Y$301, MATCH(ROUND(MIN(300,MAX(1,D2360)),0), FactorTable!$A$2:$A$301,0), Skills!M19+1)</f>
        <v/>
      </c>
      <c r="F2360">
        <f>IF(Skills!N19=TRUE,(Skills!L19/10)*(E2360/1000),Skills!L19/10)+Skills!O19</f>
        <v/>
      </c>
      <c r="G2360">
        <f>Skills!G19*IF(Skills!H19&gt;0,INT(IF(Inputs!$B$39="pvp",MIN(Skills!I19,15),Skills!I19)/Skills!H19+0.000000001),1)</f>
        <v/>
      </c>
      <c r="H2360">
        <f>1-(1-Skills!J19/100)^Skills!K19</f>
        <v/>
      </c>
      <c r="I2360" t="inlineStr">
        <is>
          <t>1</t>
        </is>
      </c>
      <c r="J2360" t="inlineStr"/>
      <c r="K2360" t="inlineStr"/>
      <c r="L2360" t="inlineStr"/>
      <c r="M2360" t="inlineStr"/>
      <c r="N2360" t="inlineStr"/>
      <c r="O2360">
        <f>(1-Summary!$B$11)*T2360+Summary!$B$11*V2360</f>
        <v/>
      </c>
      <c r="P2360">
        <f>IF(B2380=0,0,O2360/B2380)</f>
        <v/>
      </c>
      <c r="Q2360">
        <f>IFERROR(1/IF(Inputs!$B$39="pvp",15,MAX(0.1,Skills!D19-IF(TRUE=TRUE,Inputs!$B$33,0))),0)</f>
        <v/>
      </c>
      <c r="R2360">
        <f>IF(AND(Inputs!$B$39&lt;&gt;"pvp",Inputs!$B$44&gt;0),IF(Inputs!$B$44&lt;=0,0,(INT(Inputs!$B$44/IF(Inputs!$B$39="pvp",15,MAX(0.1,Skills!D19-IF(TRUE=TRUE,Inputs!$B$33,0))))+1)),0)</f>
        <v/>
      </c>
      <c r="S2360">
        <f>IFERROR(O2360/N2360,0)</f>
        <v/>
      </c>
      <c r="T2360" t="n">
        <v>0</v>
      </c>
      <c r="V2360" t="n">
        <v>0</v>
      </c>
    </row>
    <row r="2361">
      <c r="A2361">
        <f>Skills!A20</f>
        <v/>
      </c>
      <c r="B2361">
        <f>Skills!B20</f>
        <v/>
      </c>
      <c r="C2361">
        <f>TRUE</f>
        <v/>
      </c>
      <c r="D2361">
        <f>IF(Skills!C20=1,60+Inputs!$B$26+Inputs!$B$30,IF(Skills!C20=2,90+Inputs!$B$27+Inputs!$B$30,IF(Skills!C20=3,120+Inputs!$B$28+Inputs!$B$30,MAX(0,(Inputs!$B$3-100)*3)+Inputs!$B$29+Inputs!$B$30)))</f>
        <v/>
      </c>
      <c r="E2361">
        <f>INDEX(FactorTable!$B$2:$Y$301, MATCH(ROUND(MIN(300,MAX(1,D2361)),0), FactorTable!$A$2:$A$301,0), Skills!M20+1)</f>
        <v/>
      </c>
      <c r="F2361">
        <f>IF(Skills!N20=TRUE,(Skills!L20/10)*(E2361/1000),Skills!L20/10)+Skills!O20</f>
        <v/>
      </c>
      <c r="G2361">
        <f>Skills!G20*IF(Skills!H20&gt;0,INT(IF(Inputs!$B$39="pvp",MIN(Skills!I20,15),Skills!I20)/Skills!H20+0.000000001),1)</f>
        <v/>
      </c>
      <c r="H2361">
        <f>1-(1-Skills!J20/100)^Skills!K20</f>
        <v/>
      </c>
      <c r="I2361" t="inlineStr">
        <is>
          <t>1</t>
        </is>
      </c>
      <c r="J2361" t="inlineStr"/>
      <c r="K2361" t="inlineStr"/>
      <c r="L2361" t="inlineStr"/>
      <c r="M2361" t="inlineStr"/>
      <c r="N2361" t="inlineStr"/>
      <c r="O2361">
        <f>(1-Summary!$B$11)*T2361+Summary!$B$11*V2361</f>
        <v/>
      </c>
      <c r="P2361">
        <f>IF(B2380=0,0,O2361/B2380)</f>
        <v/>
      </c>
      <c r="Q2361">
        <f>IFERROR(1/IF(Inputs!$B$39="pvp",15,MAX(0.1,Skills!D20-IF(TRUE=TRUE,Inputs!$B$33,0))),0)</f>
        <v/>
      </c>
      <c r="R2361">
        <f>IF(AND(Inputs!$B$39&lt;&gt;"pvp",Inputs!$B$44&gt;0),IF(Inputs!$B$44&lt;=0,0,(INT(Inputs!$B$44/IF(Inputs!$B$39="pvp",15,MAX(0.1,Skills!D20-IF(TRUE=TRUE,Inputs!$B$33,0))))+1)),0)</f>
        <v/>
      </c>
      <c r="S2361">
        <f>IFERROR(O2361/N2361,0)</f>
        <v/>
      </c>
      <c r="T2361" t="n">
        <v>0</v>
      </c>
      <c r="V2361" t="n">
        <v>0</v>
      </c>
    </row>
    <row r="2362">
      <c r="A2362">
        <f>Skills!A21</f>
        <v/>
      </c>
      <c r="B2362">
        <f>Skills!B21</f>
        <v/>
      </c>
      <c r="C2362">
        <f>Inputs!$B$3&gt;=33</f>
        <v/>
      </c>
      <c r="D2362">
        <f>IF(Skills!C21=1,60+Inputs!$B$26+Inputs!$B$30,IF(Skills!C21=2,90+Inputs!$B$27+Inputs!$B$30,IF(Skills!C21=3,120+Inputs!$B$28+Inputs!$B$30,MAX(0,(Inputs!$B$3-100)*3)+Inputs!$B$29+Inputs!$B$30)))</f>
        <v/>
      </c>
      <c r="E2362">
        <f>INDEX(FactorTable!$B$2:$Y$301, MATCH(ROUND(MIN(300,MAX(1,D2362)),0), FactorTable!$A$2:$A$301,0), Skills!M21+1)</f>
        <v/>
      </c>
      <c r="F2362">
        <f>IF(Skills!N21=TRUE,(Skills!L21/10)*(E2362/1000),Skills!L21/10)+Skills!O21</f>
        <v/>
      </c>
      <c r="G2362">
        <f>Skills!G21*IF(Skills!H21&gt;0,INT(IF(Inputs!$B$39="pvp",MIN(Skills!I21,15),Skills!I21)/Skills!H21+0.000000001),1)</f>
        <v/>
      </c>
      <c r="H2362">
        <f>1-(1-Skills!J21/100)^Skills!K21</f>
        <v/>
      </c>
      <c r="I2362" t="inlineStr">
        <is>
          <t>1</t>
        </is>
      </c>
      <c r="J2362" t="inlineStr"/>
      <c r="K2362" t="inlineStr"/>
      <c r="L2362" t="inlineStr"/>
      <c r="M2362" t="inlineStr"/>
      <c r="N2362" t="inlineStr"/>
      <c r="O2362">
        <f>(1-Summary!$B$11)*T2362+Summary!$B$11*V2362</f>
        <v/>
      </c>
      <c r="P2362">
        <f>IF(B2380=0,0,O2362/B2380)</f>
        <v/>
      </c>
      <c r="Q2362" t="n">
        <v>0</v>
      </c>
      <c r="R2362" t="n">
        <v>0</v>
      </c>
      <c r="S2362">
        <f>IFERROR(O2362/N2362,0)</f>
        <v/>
      </c>
      <c r="T2362" t="n">
        <v>0</v>
      </c>
      <c r="V2362" t="n">
        <v>0</v>
      </c>
    </row>
    <row r="2363">
      <c r="A2363">
        <f>Skills!A22</f>
        <v/>
      </c>
      <c r="B2363">
        <f>Skills!B22</f>
        <v/>
      </c>
      <c r="C2363">
        <f>Inputs!$B$3&gt;=43</f>
        <v/>
      </c>
      <c r="D2363">
        <f>IF(Skills!C22=1,60+Inputs!$B$26+Inputs!$B$30,IF(Skills!C22=2,90+Inputs!$B$27+Inputs!$B$30,IF(Skills!C22=3,120+Inputs!$B$28+Inputs!$B$30,MAX(0,(Inputs!$B$3-100)*3)+Inputs!$B$29+Inputs!$B$30)))</f>
        <v/>
      </c>
      <c r="E2363">
        <f>INDEX(FactorTable!$B$2:$Y$301, MATCH(ROUND(MIN(300,MAX(1,D2363)),0), FactorTable!$A$2:$A$301,0), Skills!M22+1)</f>
        <v/>
      </c>
      <c r="F2363">
        <f>IF(Skills!N22=TRUE,(Skills!L22/10)*(E2363/1000),Skills!L22/10)+Skills!O22</f>
        <v/>
      </c>
      <c r="G2363">
        <f>Skills!G22*IF(Skills!H22&gt;0,INT(IF(Inputs!$B$39="pvp",MIN(Skills!I22,15),Skills!I22)/Skills!H22+0.000000001),1)</f>
        <v/>
      </c>
      <c r="H2363">
        <f>1-(1-Skills!J22/100)^Skills!K22</f>
        <v/>
      </c>
      <c r="I2363" t="inlineStr">
        <is>
          <t>1</t>
        </is>
      </c>
      <c r="J2363" t="inlineStr"/>
      <c r="K2363" t="inlineStr"/>
      <c r="L2363" t="inlineStr"/>
      <c r="M2363" t="inlineStr"/>
      <c r="N2363" t="inlineStr"/>
      <c r="O2363">
        <f>(1-Summary!$B$11)*T2363+Summary!$B$11*V2363</f>
        <v/>
      </c>
      <c r="P2363">
        <f>IF(B2380=0,0,O2363/B2380)</f>
        <v/>
      </c>
      <c r="Q2363" t="n">
        <v>0</v>
      </c>
      <c r="R2363" t="n">
        <v>0</v>
      </c>
      <c r="S2363">
        <f>IFERROR(O2363/N2363,0)</f>
        <v/>
      </c>
      <c r="T2363" t="n">
        <v>0</v>
      </c>
      <c r="V2363" t="n">
        <v>0</v>
      </c>
    </row>
    <row r="2364">
      <c r="A2364">
        <f>Skills!A23</f>
        <v/>
      </c>
      <c r="B2364">
        <f>Skills!B23</f>
        <v/>
      </c>
      <c r="C2364">
        <f>Inputs!$B$3&gt;=120</f>
        <v/>
      </c>
      <c r="D2364">
        <f>IF(Skills!C23=1,60+Inputs!$B$26+Inputs!$B$30,IF(Skills!C23=2,90+Inputs!$B$27+Inputs!$B$30,IF(Skills!C23=3,120+Inputs!$B$28+Inputs!$B$30,MAX(0,(Inputs!$B$3-100)*3)+Inputs!$B$29+Inputs!$B$30)))</f>
        <v/>
      </c>
      <c r="E2364">
        <f>INDEX(FactorTable!$B$2:$Y$301, MATCH(ROUND(MIN(300,MAX(1,D2364)),0), FactorTable!$A$2:$A$301,0), Skills!M23+1)</f>
        <v/>
      </c>
      <c r="F2364">
        <f>IF(Skills!N23=TRUE,(Skills!L23/10)*(E2364/1000),Skills!L23/10)+Skills!O23</f>
        <v/>
      </c>
      <c r="G2364">
        <f>Skills!G23*IF(Skills!H23&gt;0,INT(IF(Inputs!$B$39="pvp",MIN(Skills!I23,15),Skills!I23)/Skills!H23+0.000000001),1)</f>
        <v/>
      </c>
      <c r="H2364">
        <f>1-(1-Skills!J23/100)^Skills!K23</f>
        <v/>
      </c>
      <c r="I2364" t="inlineStr">
        <is>
          <t>1</t>
        </is>
      </c>
      <c r="J2364" t="inlineStr"/>
      <c r="K2364" t="inlineStr"/>
      <c r="L2364" t="inlineStr"/>
      <c r="M2364" t="inlineStr"/>
      <c r="N2364" t="inlineStr"/>
      <c r="O2364">
        <f>(1-Summary!$B$11)*T2364+Summary!$B$11*V2364</f>
        <v/>
      </c>
      <c r="P2364">
        <f>IF(B2380=0,0,O2364/B2380)</f>
        <v/>
      </c>
      <c r="Q2364" t="n">
        <v>0</v>
      </c>
      <c r="R2364" t="n">
        <v>0</v>
      </c>
      <c r="S2364">
        <f>IFERROR(O2364/N2364,0)</f>
        <v/>
      </c>
      <c r="T2364" t="n">
        <v>0</v>
      </c>
      <c r="V2364" t="n">
        <v>0</v>
      </c>
    </row>
    <row r="2365">
      <c r="A2365">
        <f>Skills!A24</f>
        <v/>
      </c>
      <c r="B2365">
        <f>Skills!B24</f>
        <v/>
      </c>
      <c r="C2365">
        <f>Inputs!$B$3&gt;=120</f>
        <v/>
      </c>
      <c r="D2365">
        <f>IF(Skills!C24=1,60+Inputs!$B$26+Inputs!$B$30,IF(Skills!C24=2,90+Inputs!$B$27+Inputs!$B$30,IF(Skills!C24=3,120+Inputs!$B$28+Inputs!$B$30,MAX(0,(Inputs!$B$3-100)*3)+Inputs!$B$29+Inputs!$B$30)))</f>
        <v/>
      </c>
      <c r="E2365">
        <f>INDEX(FactorTable!$B$2:$Y$301, MATCH(ROUND(MIN(300,MAX(1,D2365)),0), FactorTable!$A$2:$A$301,0), Skills!M24+1)</f>
        <v/>
      </c>
      <c r="F2365">
        <f>IF(Skills!N24=TRUE,(Skills!L24/10)*(E2365/1000),Skills!L24/10)+Skills!O24</f>
        <v/>
      </c>
      <c r="G2365">
        <f>Skills!G24*IF(Skills!H24&gt;0,INT(IF(Inputs!$B$39="pvp",MIN(Skills!I24,15),Skills!I24)/Skills!H24+0.000000001),1)</f>
        <v/>
      </c>
      <c r="H2365">
        <f>1-(1-Skills!J24/100)^Skills!K24</f>
        <v/>
      </c>
      <c r="I2365" t="inlineStr">
        <is>
          <t>1</t>
        </is>
      </c>
      <c r="J2365" t="inlineStr"/>
      <c r="K2365" t="inlineStr"/>
      <c r="L2365" t="inlineStr"/>
      <c r="M2365" t="inlineStr"/>
      <c r="N2365" t="inlineStr"/>
      <c r="O2365">
        <f>(1-Summary!$B$11)*T2365+Summary!$B$11*V2365</f>
        <v/>
      </c>
      <c r="P2365">
        <f>IF(B2380=0,0,O2365/B2380)</f>
        <v/>
      </c>
      <c r="Q2365" t="n">
        <v>0</v>
      </c>
      <c r="R2365" t="n">
        <v>0</v>
      </c>
      <c r="S2365">
        <f>IFERROR(O2365/N2365,0)</f>
        <v/>
      </c>
      <c r="T2365" t="n">
        <v>0</v>
      </c>
      <c r="V2365" t="n">
        <v>0</v>
      </c>
    </row>
    <row r="2366">
      <c r="A2366">
        <f>Skills!A25</f>
        <v/>
      </c>
      <c r="B2366">
        <f>Skills!B25</f>
        <v/>
      </c>
      <c r="C2366">
        <f>Inputs!$B$3&gt;=125</f>
        <v/>
      </c>
      <c r="D2366">
        <f>IF(Skills!C25=1,60+Inputs!$B$26+Inputs!$B$30,IF(Skills!C25=2,90+Inputs!$B$27+Inputs!$B$30,IF(Skills!C25=3,120+Inputs!$B$28+Inputs!$B$30,MAX(0,(Inputs!$B$3-100)*3)+Inputs!$B$29+Inputs!$B$30)))</f>
        <v/>
      </c>
      <c r="E2366">
        <f>INDEX(FactorTable!$B$2:$Y$301, MATCH(ROUND(MIN(300,MAX(1,D2366)),0), FactorTable!$A$2:$A$301,0), Skills!M25+1)</f>
        <v/>
      </c>
      <c r="F2366">
        <f>IF(Skills!N25=TRUE,(Skills!L25/10)*(E2366/1000),Skills!L25/10)+Skills!O25</f>
        <v/>
      </c>
      <c r="G2366">
        <f>Skills!G25*IF(Skills!H25&gt;0,INT(IF(Inputs!$B$39="pvp",MIN(Skills!I25,15),Skills!I25)/Skills!H25+0.000000001),1)</f>
        <v/>
      </c>
      <c r="H2366">
        <f>1-(1-Skills!J25/100)^Skills!K25</f>
        <v/>
      </c>
      <c r="I2366" t="inlineStr">
        <is>
          <t>1</t>
        </is>
      </c>
      <c r="J2366" t="inlineStr"/>
      <c r="K2366" t="inlineStr"/>
      <c r="L2366" t="inlineStr"/>
      <c r="M2366" t="inlineStr"/>
      <c r="N2366" t="inlineStr"/>
      <c r="O2366">
        <f>(1-Summary!$B$11)*T2366+Summary!$B$11*V2366</f>
        <v/>
      </c>
      <c r="P2366">
        <f>IF(B2380=0,0,O2366/B2380)</f>
        <v/>
      </c>
      <c r="Q2366" t="n">
        <v>0</v>
      </c>
      <c r="R2366" t="n">
        <v>0</v>
      </c>
      <c r="S2366">
        <f>IFERROR(O2366/N2366,0)</f>
        <v/>
      </c>
      <c r="T2366" t="n">
        <v>0</v>
      </c>
      <c r="V2366" t="n">
        <v>0</v>
      </c>
    </row>
    <row r="2367">
      <c r="A2367">
        <f>Skills!A26</f>
        <v/>
      </c>
      <c r="B2367">
        <f>Skills!B26</f>
        <v/>
      </c>
      <c r="C2367">
        <f>Inputs!$B$3&gt;=107</f>
        <v/>
      </c>
      <c r="D2367">
        <f>IF(Skills!C26=1,60+Inputs!$B$26+Inputs!$B$30,IF(Skills!C26=2,90+Inputs!$B$27+Inputs!$B$30,IF(Skills!C26=3,120+Inputs!$B$28+Inputs!$B$30,MAX(0,(Inputs!$B$3-100)*3)+Inputs!$B$29+Inputs!$B$30)))</f>
        <v/>
      </c>
      <c r="E2367">
        <f>INDEX(FactorTable!$B$2:$Y$301, MATCH(ROUND(MIN(300,MAX(1,D2367)),0), FactorTable!$A$2:$A$301,0), Skills!M26+1)</f>
        <v/>
      </c>
      <c r="F2367">
        <f>IF(Skills!N26=TRUE,(Skills!L26/10)*(E2367/1000),Skills!L26/10)+Skills!O26</f>
        <v/>
      </c>
      <c r="G2367">
        <f>Skills!G26*IF(Skills!H26&gt;0,INT(IF(Inputs!$B$39="pvp",MIN(Skills!I26,15),Skills!I26)/Skills!H26+0.000000001),1)</f>
        <v/>
      </c>
      <c r="H2367">
        <f>1-(1-Skills!J26/100)^Skills!K26</f>
        <v/>
      </c>
      <c r="I2367" t="inlineStr">
        <is>
          <t>1</t>
        </is>
      </c>
      <c r="J2367" t="inlineStr"/>
      <c r="K2367" t="inlineStr"/>
      <c r="L2367" t="inlineStr"/>
      <c r="M2367" t="inlineStr"/>
      <c r="N2367" t="inlineStr"/>
      <c r="O2367">
        <f>(1-Summary!$B$11)*T2367+Summary!$B$11*V2367</f>
        <v/>
      </c>
      <c r="P2367">
        <f>IF(B2380=0,0,O2367/B2380)</f>
        <v/>
      </c>
      <c r="Q2367" t="n">
        <v>0</v>
      </c>
      <c r="R2367" t="n">
        <v>0</v>
      </c>
      <c r="S2367">
        <f>IFERROR(O2367/N2367,0)</f>
        <v/>
      </c>
      <c r="T2367" t="n">
        <v>0</v>
      </c>
      <c r="V2367" t="n">
        <v>0</v>
      </c>
    </row>
    <row r="2369">
      <c r="A2369" t="inlineStr">
        <is>
          <t>Attack% Bucket Multiplier</t>
        </is>
      </c>
      <c r="B2369">
        <f>(1+(((C2354=TRUE)*F2354*IF(AND(Inputs!$B$39&lt;&gt;"pvp",Inputs!$B$44&gt;0),(((R2354-1)*MIN((Skills!T13*(1+Inputs!$B$35/100)),(1/Q2354))+MIN((Skills!T13*(1+Inputs!$B$35/100)),MAX(0,Inputs!$B$44-((R2354-1)*(1/Q2354)))))/Inputs!$B$44),IF(Inputs!$B$39="pvp",MIN((Skills!T13*(1+Inputs!$B$35/100)),15)/15,MIN(1,(Skills!T13*(1+Inputs!$B$35/100))/(1/Q2354)))))+((C2355=TRUE)*F2355*IF(AND(Inputs!$B$39&lt;&gt;"pvp",Inputs!$B$44&gt;0),(((R2355-1)*MIN((Skills!T14*(1+Inputs!$B$35/100)),(1/Q2355))+MIN((Skills!T14*(1+Inputs!$B$35/100)),MAX(0,Inputs!$B$44-((R2355-1)*(1/Q2355)))))/Inputs!$B$44),IF(Inputs!$B$39="pvp",MIN((Skills!T14*(1+Inputs!$B$35/100)),15)/15,MIN(1,(Skills!T14*(1+Inputs!$B$35/100))/(1/Q2355)))))+((C2356=TRUE)*F2356*IF(AND(Inputs!$B$39&lt;&gt;"pvp",Inputs!$B$44&gt;0),(((R2356-1)*MIN((Skills!T15*(1+Inputs!$B$35/100)),(1/Q2356))+MIN((Skills!T15*(1+Inputs!$B$35/100)),MAX(0,Inputs!$B$44-((R2356-1)*(1/Q2356)))))/Inputs!$B$44),IF(Inputs!$B$39="pvp",MIN((Skills!T15*(1+Inputs!$B$35/100)),15)/15,MIN(1,(Skills!T15*(1+Inputs!$B$35/100))/(1/Q2356)))))+((C2357=TRUE)*F2357*IF(AND(Inputs!$B$39&lt;&gt;"pvp",Inputs!$B$44&gt;0),(((R2357-1)*MIN((Skills!T16*(1+Inputs!$B$35/100)),(1/Q2357))+MIN((Skills!T16*(1+Inputs!$B$35/100)),MAX(0,Inputs!$B$44-((R2357-1)*(1/Q2357)))))/Inputs!$B$44),IF(Inputs!$B$39="pvp",MIN((Skills!T16*(1+Inputs!$B$35/100)),15)/15,MIN(1,(Skills!T16*(1+Inputs!$B$35/100))/(1/Q2357)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2370">
      <c r="A2370" t="inlineStr">
        <is>
          <t>Global Crit Rate Bonus % (Lord of Darkness)</t>
        </is>
      </c>
      <c r="B2370">
        <f>((C2359=TRUE)*F2359*(Skills!J18/100)*IF(AND(Inputs!$B$39&lt;&gt;"pvp",Inputs!$B$44&gt;0),(((R2359-1)*MIN((Skills!T18*(1+Inputs!$B$35/100)),(1/Q2359))+MIN((Skills!T18*(1+Inputs!$B$35/100)),MAX(0,Inputs!$B$44-((R2359-1)*(1/Q2359)))))/Inputs!$B$44),IF(Inputs!$B$39="pvp",MIN((Skills!T18*(1+Inputs!$B$35/100)),15)/15,MIN(1,(Skills!T18*(1+Inputs!$B$35/100))/(1/Q2359)))))</f>
        <v/>
      </c>
    </row>
    <row r="2371">
      <c r="A2371" t="inlineStr">
        <is>
          <t>Attack Speed Buff Bonus %</t>
        </is>
      </c>
      <c r="B2371">
        <f>((C2361=TRUE)*F2361*IF(AND(Inputs!$B$39&lt;&gt;"pvp",Inputs!$B$44&gt;0),(((R2361-1)*MIN((Skills!T20*(1+Inputs!$B$35/100)),(1/Q2361))+MIN((Skills!T20*(1+Inputs!$B$35/100)),MAX(0,Inputs!$B$44-((R2361-1)*(1/Q2361)))))/Inputs!$B$44),IF(Inputs!$B$39="pvp",MIN((Skills!T20*(1+Inputs!$B$35/100)),15)/15,MIN(1,(Skills!T20*(1+Inputs!$B$35/100))/(1/Q2361)))))</f>
        <v/>
      </c>
    </row>
    <row r="2372">
      <c r="A2372" t="inlineStr">
        <is>
          <t>Actions Per Second</t>
        </is>
      </c>
      <c r="B2372">
        <f>1+MIN(150,150*(1-(1-(Inputs!$B$12+((C2362=TRUE)*(F2362-Calc!F21)))/150)*(1-B2371/150)))/100</f>
        <v/>
      </c>
    </row>
    <row r="2373">
      <c r="A2373" t="inlineStr">
        <is>
          <t>Skill + Buff Cast Rate</t>
        </is>
      </c>
      <c r="B2373">
        <f>IF(AND(Inputs!$B$39&lt;&gt;"pvp",Inputs!$B$44&gt;0),SUMPRODUCT((Skills!E2:E26=TRUE)*(C2343:C2367=TRUE)*R2343:R2367*Skills!F2:F26)/Inputs!$B$44,SUMPRODUCT((Skills!E2:E26=TRUE)*(C2343:C2367=TRUE)*Q2343:Q2367*Skills!F2:F26))</f>
        <v/>
      </c>
    </row>
    <row r="2374">
      <c r="A2374" t="inlineStr">
        <is>
          <t>Dark Impale Casts Per Second</t>
        </is>
      </c>
      <c r="B2374">
        <f>MAX(0,B2372-B2373)</f>
        <v/>
      </c>
    </row>
    <row r="2375">
      <c r="A2375" t="inlineStr">
        <is>
          <t>Global Critical Damage Bonus % (Lord of Darkness)</t>
        </is>
      </c>
      <c r="B2375">
        <f>((C2360=TRUE)*F2360*(Skills!J19/100)*IF(AND(Inputs!$B$39&lt;&gt;"pvp",Inputs!$B$44&gt;0),(((R2360-1)*MIN((Skills!T19*(1+Inputs!$B$35/100)),(1/Q2360))+MIN((Skills!T19*(1+Inputs!$B$35/100)),MAX(0,Inputs!$B$44-((R2360-1)*(1/Q2360)))))/Inputs!$B$44),IF(Inputs!$B$39="pvp",MIN((Skills!T19*(1+Inputs!$B$35/100)),15)/15,MIN(1,(Skills!T19*(1+Inputs!$B$35/100))/(1/Q2360)))))</f>
        <v/>
      </c>
    </row>
    <row r="2376">
      <c r="A2376" t="inlineStr">
        <is>
          <t>Global Final Damage Bonus % (unused)</t>
        </is>
      </c>
      <c r="B2376" t="n">
        <v>0</v>
      </c>
    </row>
    <row r="2377">
      <c r="A2377" t="inlineStr">
        <is>
          <t>Buff-Casting Startup Delay (s, fixed-duration only)</t>
        </is>
      </c>
      <c r="B2377">
        <f>IF(AND(Inputs!$B$39&lt;&gt;"pvp",Inputs!$B$44&gt;0),SUMPRODUCT((Skills!T2:T26&gt;0)*(Skills!E2:E26=TRUE)*(C2343:C2367=TRUE))/B2372,0)</f>
        <v/>
      </c>
    </row>
    <row r="2378">
      <c r="A2378" t="inlineStr">
        <is>
          <t>Boss-Only Total DPS (this block's swept value)</t>
        </is>
      </c>
      <c r="B2378">
        <f>SUM(T2343:T2367)</f>
        <v/>
      </c>
    </row>
    <row r="2379">
      <c r="A2379" t="inlineStr">
        <is>
          <t>Normal-Only Total DPS (this block's swept value)</t>
        </is>
      </c>
      <c r="B2379">
        <f>SUM(V2343:V2367)</f>
        <v/>
      </c>
    </row>
    <row r="2380">
      <c r="A2380" s="6" t="inlineStr">
        <is>
          <t>TOTAL DPS</t>
        </is>
      </c>
      <c r="B2380" s="6">
        <f>SUM(O2343:O2367)</f>
        <v/>
      </c>
    </row>
    <row r="2383">
      <c r="A2383" s="6" t="inlineStr">
        <is>
          <t>Stat: Bottle of Emotion (Equip)</t>
        </is>
      </c>
    </row>
    <row r="2384">
      <c r="A2384" s="5" t="inlineStr">
        <is>
          <t>Key</t>
        </is>
      </c>
      <c r="B2384" s="5" t="inlineStr">
        <is>
          <t>Name</t>
        </is>
      </c>
      <c r="C2384" s="5" t="inlineStr">
        <is>
          <t>Unlocked</t>
        </is>
      </c>
      <c r="D2384" s="5" t="inlineStr">
        <is>
          <t>InputLevel</t>
        </is>
      </c>
      <c r="E2384" s="5" t="inlineStr">
        <is>
          <t>Factor</t>
        </is>
      </c>
      <c r="F2384" s="5" t="inlineStr">
        <is>
          <t>CoefficientPercent</t>
        </is>
      </c>
      <c r="G2384" s="5" t="inlineStr">
        <is>
          <t>EffectiveHits</t>
        </is>
      </c>
      <c r="H2384" s="5" t="inlineStr">
        <is>
          <t>ProcProbability</t>
        </is>
      </c>
      <c r="I2384" s="5" t="inlineStr">
        <is>
          <t>MapleHeroMultiplier</t>
        </is>
      </c>
      <c r="J2384" s="5" t="inlineStr">
        <is>
          <t>BaseDamage</t>
        </is>
      </c>
      <c r="K2384" s="5" t="inlineStr">
        <is>
          <t>BaseHitDamage</t>
        </is>
      </c>
      <c r="L2384" s="5" t="inlineStr">
        <is>
          <t>NonCritAvg</t>
        </is>
      </c>
      <c r="M2384" s="5" t="inlineStr">
        <is>
          <t>CritAvg</t>
        </is>
      </c>
      <c r="N2384" s="5" t="inlineStr">
        <is>
          <t>ExpectedDamage(perHit)</t>
        </is>
      </c>
      <c r="O2384" s="5" t="inlineStr">
        <is>
          <t>DPS</t>
        </is>
      </c>
      <c r="P2384" s="5" t="inlineStr">
        <is>
          <t>% of Total</t>
        </is>
      </c>
      <c r="Q2384" s="5" t="inlineStr">
        <is>
          <t>InvCooldown</t>
        </is>
      </c>
      <c r="R2384" s="5" t="inlineStr">
        <is>
          <t>CastsInFight</t>
        </is>
      </c>
      <c r="S2384" s="5" t="inlineStr">
        <is>
          <t>HitRate(perSec)</t>
        </is>
      </c>
      <c r="U2384" t="inlineStr">
        <is>
          <t>helpers</t>
        </is>
      </c>
    </row>
    <row r="2385">
      <c r="A2385">
        <f>Skills!A2</f>
        <v/>
      </c>
      <c r="B2385">
        <f>Skills!B2</f>
        <v/>
      </c>
      <c r="C2385">
        <f>Inputs!$B$3&gt;=100</f>
        <v/>
      </c>
      <c r="D2385" t="inlineStr"/>
      <c r="E2385" t="inlineStr"/>
      <c r="F2385">
        <f>U2387+Skills!O2</f>
        <v/>
      </c>
      <c r="G2385">
        <f>Skills!G2*IF(Skills!H2&gt;0,INT(IF(Inputs!$B$39="pvp",MIN(Skills!I2,15),Skills!I2)/Skills!H2+0.000000001),1)</f>
        <v/>
      </c>
      <c r="H2385">
        <f>1-(1-Skills!J2/100)^Skills!K2</f>
        <v/>
      </c>
      <c r="I2385" t="inlineStr">
        <is>
          <t>1</t>
        </is>
      </c>
      <c r="J2385">
        <f>((Inputs!$B$6*(1+Inputs!$B$7/100))+(((Inputs!$B$13*(1+Inputs!$B$14/100))-(Inputs!$B$13*(1+Inputs!$B$14/100)))+0.25*(Inputs!$B$15-Inputs!$B$15))*(1+Inputs!$B$7/100))*(F2385/100)</f>
        <v/>
      </c>
      <c r="K2385">
        <f>J2385*(1+(((Inputs!$B$13+IF(Inputs!$B$3&gt;=38,(10*INDEX(FactorTable!$B$2:$Y$301, MATCH(ROUND(MIN(300,MAX(1,Inputs!$B$3)),0), FactorTable!$A$2:$A$301,0), 23)/1000)/100*(Inputs!$B$8*(1+Inputs!$B$9/100)),0))*(1+Inputs!$B$14/100))*0.01+Inputs!$B$15*0.0025)/100)*(1+Inputs!$B$16/100)*(1+Inputs!$B$17/100)*(5000/(6000+Inputs!$B$43*(1-(Inputs!$B$20+0)/100)))*(1+(Inputs!$B$25+((C2408=TRUE)*(F2408-Calc!F25))+((C2409=TRUE)*(F2409-Calc!F26))+B2418)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$12-60))),0)))/100)*(1+(IF(Skills!A2="DARK_IMPALE",Inputs!$B$18+0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gt;=100),MIN(100,((Inputs!$B$10+0+B2412+(ArtifactsInput!$M$24-ArtifactsInput!$M$24)*CHOOSE(ArtifactsInput!$N$24+1,10,12,14,16,18,20)+IF(ArtifactsInput!$M$10,CHOOSE(ArtifactsInput!$N$10+1,15,18,21,24,27,30)*(IF(Inputs!$B$39="pvp",MIN(15,15)/15,IF(AND(Inputs!$B$39&lt;&gt;"pvp",Inputs!$B$44&gt;0),MIN(15,Inputs!$B$44)/(Inputs!$B$44),0))),0)))-100),0))*CHOOSE(ArtifactsInput!$N$42+1,0.6,0.72,0.84,0.96,1.08,1.2))),Inputs!$B$19+((C2406=TRUE)*(F2406-Calc!F23))+(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gt;=100),CHOOSE(ArtifactsInput!$N$42+1,40,48,56,64,72,80),0))))/100)*((1+(((C2396=TRUE)*F2396*IF(AND(Inputs!$B$39&lt;&gt;"pvp",Inputs!$B$44&gt;0),(((R2396-1)*MIN((Skills!T13*(1+Inputs!$B$35/100)),(1/Q2396))+MIN((Skills!T13*(1+Inputs!$B$35/100)),MAX(0,Inputs!$B$44-((R2396-1)*(1/Q2396)))))/Inputs!$B$44),IF(Inputs!$B$39="pvp",MIN((Skills!T13*(1+Inputs!$B$35/100)),15)/15,MIN(1,(Skills!T13*(1+Inputs!$B$35/100))/(1/Q2396)))))+((C2397=TRUE)*F2397*IF(AND(Inputs!$B$39&lt;&gt;"pvp",Inputs!$B$44&gt;0),(((R2397-1)*MIN((Skills!T14*(1+Inputs!$B$35/100)),(1/Q2397))+MIN((Skills!T14*(1+Inputs!$B$35/100)),MAX(0,Inputs!$B$44-((R2397-1)*(1/Q2397)))))/Inputs!$B$44),IF(Inputs!$B$39="pvp",MIN((Skills!T14*(1+Inputs!$B$35/100)),15)/15,MIN(1,(Skills!T14*(1+Inputs!$B$35/100))/(1/Q2397)))))+((C2398=TRUE)*F2398*IF(AND(Inputs!$B$39&lt;&gt;"pvp",Inputs!$B$44&gt;0),(((R2398-1)*MIN((Skills!T15*(1+Inputs!$B$35/100)),(1/Q2398))+MIN((Skills!T15*(1+Inputs!$B$35/100)),MAX(0,Inputs!$B$44-((R2398-1)*(1/Q2398)))))/Inputs!$B$44),IF(Inputs!$B$39="pvp",MIN((Skills!T15*(1+Inputs!$B$35/100)),15)/15,MIN(1,(Skills!T15*(1+Inputs!$B$35/100))/(1/Q2398)))))+((C2399=TRUE)*F2399*IF(AND(Inputs!$B$39&lt;&gt;"pvp",Inputs!$B$44&gt;0),(((R2399-1)*MIN((Skills!T16*(1+Inputs!$B$35/100)),(1/Q2399))+MIN((Skills!T16*(1+Inputs!$B$35/100)),MAX(0,Inputs!$B$44-((R2399-1)*(1/Q2399)))))/Inputs!$B$44),IF(Inputs!$B$39="pvp",MIN((Skills!T16*(1+Inputs!$B$35/100)),15)/15,MIN(1,(Skills!T16*(1+Inputs!$B$35/100))/(1/Q2399)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2385)</f>
        <v/>
      </c>
      <c r="L2385">
        <f>K2385*(MIN(Inputs!$B$23+((C2405=TRUE)*(F2405-Calc!F22)),(Inputs!$B$24+((C2407=TRUE)*(F2407-Calc!F24))+(IF(ArtifactsInput!$M$15,CHOOSE(ArtifactsInput!$N$15+1,25,30,35,40,45,50)/100*(Inputs!$B$12-Inputs!$B$12),0))))/100+(Inputs!$B$24+((C2407=TRUE)*(F2407-Calc!F24))+(IF(ArtifactsInput!$M$15,CHOOSE(ArtifactsInput!$N$15+1,25,30,35,40,45,50)/100*(Inputs!$B$12-Inputs!$B$12),0)))/100)/2</f>
        <v/>
      </c>
      <c r="M2385">
        <f>L2385*(1+(Inputs!$B$11+0+B2417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385">
        <f>L2385*(1-MIN((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2385*(MIN((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85">
        <f>(1-Summary!$B$11)*T2385+Summary!$B$11*V2385</f>
        <v/>
      </c>
      <c r="P2385">
        <f>IF(B2422=0,0,O2385/B2422)</f>
        <v/>
      </c>
      <c r="Q2385" t="n">
        <v>0</v>
      </c>
      <c r="R2385" t="n">
        <v>0</v>
      </c>
      <c r="S2385">
        <f>IFERROR(O2385/N2385,0)</f>
        <v/>
      </c>
      <c r="T2385">
        <f>IF(C2385,(Skills!G2*N2385*B2416)*IF(Inputs!$B$39="pvp",1,1+(Inputs!$B$21+0+Skills!P2+((C2400=TRUE)*F2400*IF(AND(Inputs!$B$39&lt;&gt;"pvp",Inputs!$B$44&gt;0),(((R2400-1)*MIN((Skills!T17*(1+Inputs!$B$35/100)),(1/Q2400))+MIN((Skills!T17*(1+Inputs!$B$35/100)),MAX(0,Inputs!$B$44-((R2400-1)*(1/Q2400)))))/Inputs!$B$44),IF(Inputs!$B$39="pvp",MIN((Skills!T17*(1+Inputs!$B$35/100)),15)/15,MIN(1,(Skills!T17*(1+Inputs!$B$35/100))/(1/Q2400)))))+((C2388=TRUE)*IF(Inputs!$B$3&gt;=126,10*MIN(1,15*Q2388),0))+((C2397=TRUE)*IF(Inputs!$B$39="pvp",20,(1-Summary!$B$11)*(20)+Summary!$B$11*(0))*IF(AND(Inputs!$B$39&lt;&gt;"pvp",Inputs!$B$44&gt;0),(((R2397-1)*MIN((Skills!T14*(1+Inputs!$B$35/100)),(1/Q2397))+MIN((Skills!T14*(1+Inputs!$B$35/100)),MAX(0,Inputs!$B$44-((R2397-1)*(1/Q2397)))))/Inputs!$B$44),IF(Inputs!$B$39="pvp",MIN((Skills!T14*(1+Inputs!$B$35/100)),15)/15,MIN(1,(Skills!T14*(1+Inputs!$B$35/100))/(1/Q2397)))))+((C2396=TRUE)*IF(Inputs!$B$3&gt;=82,IF(Inputs!$B$39="pvp",20,(1-Summary!$B$11)*(20)+Summary!$B$11*(0)),0)*IF(AND(Inputs!$B$39&lt;&gt;"pvp",Inputs!$B$44&gt;0),(((R2396-1)*MIN((Skills!T13*(1+Inputs!$B$35/100)),(1/Q2396))+MIN((Skills!T13*(1+Inputs!$B$35/100)),MAX(0,Inputs!$B$44-((R2396-1)*(1/Q2396)))))/Inputs!$B$44),IF(Inputs!$B$39="pvp",MIN((Skills!T13*(1+Inputs!$B$35/100)),15)/15,MIN(1,(Skills!T13*(1+Inputs!$B$35/100))/(1/Q2396)))))+(IF(AND(ArtifactsInput!$M$35,Inputs!$B$4&lt;&gt;"Chapter Hunt"),CHOOSE(ArtifactsInput!$N$35+1,15,18,21,24,27,30)*(1-EXP(-(0.2*B2414)*5)),0)+IF(AND(ArtifactsInput!$M$22,Inputs!$B$4&lt;&gt;"Chapter Hunt"),CHOOSE(ArtifactsInput!$N$22+1,10,12,14,16,18,20)*((0*(((0.15*B2414*5))^0/1)+1*(((0.15*B2414*5))^1/1)+2*(((0.15*B2414*5))^2/2)+3*(((0.15*B2414*5))^3/6)+4*(((0.15*B2414*5))^4/24)+5*(((0.15*B2414*5))^5/120))/((((0.15*B2414*5))^0/1)+(((0.15*B2414*5))^1/1)+(((0.15*B2414*5))^2/2)+(((0.15*B2414*5))^3/6)+(((0.15*B2414*5))^4/24)+(((0.15*B2414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2385*(1-MIN(100,(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2385*(MIN(100,(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2385*(1-MIN(100,(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2385*(MIN(100,(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385">
        <f>MAX(0,(Inputs!$B$3-100)*3)+Inputs!$B$29+Inputs!$B$30</f>
        <v/>
      </c>
      <c r="V2385">
        <f>IF(C2385,(Skills!G2*N2385*B2416)*IF(Inputs!$B$39="pvp",1,(1+(Inputs!$B$22+Skills!Q2+((C2400=TRUE)*F2400*IF(AND(Inputs!$B$39&lt;&gt;"pvp",Inputs!$B$44&gt;0),(((R2400-1)*MIN((Skills!T17*(1+Inputs!$B$35/100)),(1/Q2400))+MIN((Skills!T17*(1+Inputs!$B$35/100)),MAX(0,Inputs!$B$44-((R2400-1)*(1/Q2400)))))/Inputs!$B$44),IF(Inputs!$B$39="pvp",MIN((Skills!T17*(1+Inputs!$B$35/100)),15)/15,MIN(1,(Skills!T17*(1+Inputs!$B$35/100))/(1/Q2400)))))+((C2388=TRUE)*IF(Inputs!$B$3&gt;=126,10*MIN(1,15*Q2388),0))+((C2397=TRUE)*IF(Inputs!$B$39="pvp",20,(1-Summary!$B$11)*(20)+Summary!$B$11*(0))*IF(AND(Inputs!$B$39&lt;&gt;"pvp",Inputs!$B$44&gt;0),(((R2397-1)*MIN((Skills!T14*(1+Inputs!$B$35/100)),(1/Q2397))+MIN((Skills!T14*(1+Inputs!$B$35/100)),MAX(0,Inputs!$B$44-((R2397-1)*(1/Q2397)))))/Inputs!$B$44),IF(Inputs!$B$39="pvp",MIN((Skills!T14*(1+Inputs!$B$35/100)),15)/15,MIN(1,(Skills!T14*(1+Inputs!$B$35/100))/(1/Q2397)))))+((C2396=TRUE)*IF(Inputs!$B$3&gt;=82,IF(Inputs!$B$39="pvp",20,(1-Summary!$B$11)*(20)+Summary!$B$11*(0)),0)*IF(AND(Inputs!$B$39&lt;&gt;"pvp",Inputs!$B$44&gt;0),(((R2396-1)*MIN((Skills!T13*(1+Inputs!$B$35/100)),(1/Q2396))+MIN((Skills!T13*(1+Inputs!$B$35/100)),MAX(0,Inputs!$B$44-((R2396-1)*(1/Q2396)))))/Inputs!$B$44),IF(Inputs!$B$39="pvp",MIN((Skills!T13*(1+Inputs!$B$35/100)),15)/15,MIN(1,(Skills!T13*(1+Inputs!$B$35/100))/(1/Q2396)))))+(IF(AND(ArtifactsInput!$M$35,Inputs!$B$4&lt;&gt;"Chapter Hunt"),CHOOSE(ArtifactsInput!$N$35+1,15,18,21,24,27,30)*(1-EXP(-(0.2*B2414)*5)),0)+IF(AND(ArtifactsInput!$M$22,Inputs!$B$4&lt;&gt;"Chapter Hunt"),CHOOSE(ArtifactsInput!$N$22+1,10,12,14,16,18,20)*((0*(((0.15*B2414*5))^0/1)+1*(((0.15*B2414*5))^1/1)+2*(((0.15*B2414*5))^2/2)+3*(((0.15*B2414*5))^3/6)+4*(((0.15*B2414*5))^4/24)+5*(((0.15*B2414*5))^5/120))/((((0.15*B2414*5))^0/1)+(((0.15*B2414*5))^1/1)+(((0.15*B2414*5))^2/2)+(((0.15*B2414*5))^3/6)+(((0.15*B2414*5))^4/24)+(((0.15*B2414*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86">
      <c r="A2386">
        <f>Skills!A3</f>
        <v/>
      </c>
      <c r="B2386">
        <f>Skills!B3</f>
        <v/>
      </c>
      <c r="C2386">
        <f>Inputs!$B$3&gt;=50</f>
        <v/>
      </c>
      <c r="D2386">
        <f>IF(Skills!C3=1,60+Inputs!$B$26+Inputs!$B$30,IF(Skills!C3=2,90+Inputs!$B$27+Inputs!$B$30,IF(Skills!C3=3,120+Inputs!$B$28+Inputs!$B$30,MAX(0,(Inputs!$B$3-100)*3)+Inputs!$B$29+Inputs!$B$30)))</f>
        <v/>
      </c>
      <c r="E2386">
        <f>INDEX(FactorTable!$B$2:$Y$301, MATCH(ROUND(MIN(300,MAX(1,D2386)),0), FactorTable!$A$2:$A$301,0), Skills!M3+1)</f>
        <v/>
      </c>
      <c r="F2386">
        <f>IF(Skills!N3=TRUE,(Skills!L3/10)*(E2386/1000),Skills!L3/10)+Skills!O3</f>
        <v/>
      </c>
      <c r="G2386" t="inlineStr"/>
      <c r="H2386" t="inlineStr"/>
      <c r="I2386" t="inlineStr">
        <is>
          <t>1</t>
        </is>
      </c>
      <c r="J2386" t="inlineStr"/>
      <c r="K2386" t="inlineStr"/>
      <c r="L2386" t="inlineStr"/>
      <c r="M2386" t="inlineStr"/>
      <c r="N2386" t="inlineStr"/>
      <c r="O2386" t="inlineStr"/>
      <c r="P2386" t="inlineStr"/>
      <c r="Q2386" t="inlineStr"/>
      <c r="R2386" t="inlineStr"/>
      <c r="S2386" t="inlineStr"/>
      <c r="U2386">
        <f>INDEX(FactorTable!$B$2:$Y$301, MATCH(ROUND(MIN(300,MAX(1,U2385)),0), FactorTable!$A$2:$A$301,0), 22)</f>
        <v/>
      </c>
    </row>
    <row r="2387">
      <c r="A2387">
        <f>Skills!A4</f>
        <v/>
      </c>
      <c r="B2387">
        <f>Skills!B4</f>
        <v/>
      </c>
      <c r="C2387">
        <f>Inputs!$B$3&gt;=105</f>
        <v/>
      </c>
      <c r="D2387">
        <f>IF(Skills!C4=1,60+Inputs!$B$26+Inputs!$B$30,IF(Skills!C4=2,90+Inputs!$B$27+Inputs!$B$30,IF(Skills!C4=3,120+Inputs!$B$28+Inputs!$B$30,MAX(0,(Inputs!$B$3-100)*3)+Inputs!$B$29+Inputs!$B$30)))</f>
        <v/>
      </c>
      <c r="E2387">
        <f>INDEX(FactorTable!$B$2:$Y$301, MATCH(ROUND(MIN(300,MAX(1,D2387)),0), FactorTable!$A$2:$A$301,0), Skills!M4+1)</f>
        <v/>
      </c>
      <c r="F2387">
        <f>IF(Skills!N4=TRUE,(Skills!L4/10)*(E2387/1000),Skills!L4/10)+Skills!O4</f>
        <v/>
      </c>
      <c r="G2387" t="inlineStr"/>
      <c r="H2387" t="inlineStr"/>
      <c r="I2387" t="inlineStr">
        <is>
          <t>1</t>
        </is>
      </c>
      <c r="J2387" t="inlineStr"/>
      <c r="K2387" t="inlineStr"/>
      <c r="L2387" t="inlineStr"/>
      <c r="M2387" t="inlineStr"/>
      <c r="N2387" t="inlineStr"/>
      <c r="O2387" t="inlineStr"/>
      <c r="P2387" t="inlineStr"/>
      <c r="Q2387" t="inlineStr"/>
      <c r="R2387" t="inlineStr"/>
      <c r="S2387" t="inlineStr"/>
      <c r="U2387">
        <f>290*U2386/1000</f>
        <v/>
      </c>
    </row>
    <row r="2388">
      <c r="A2388">
        <f>Skills!A5</f>
        <v/>
      </c>
      <c r="B2388">
        <f>Skills!B5</f>
        <v/>
      </c>
      <c r="C2388">
        <f>Inputs!$B$3&gt;=117</f>
        <v/>
      </c>
      <c r="D2388">
        <f>IF(Skills!C5=1,60+Inputs!$B$26+Inputs!$B$30,IF(Skills!C5=2,90+Inputs!$B$27+Inputs!$B$30,IF(Skills!C5=3,120+Inputs!$B$28+Inputs!$B$30,MAX(0,(Inputs!$B$3-100)*3)+Inputs!$B$29+Inputs!$B$30)))</f>
        <v/>
      </c>
      <c r="E2388">
        <f>INDEX(FactorTable!$B$2:$Y$301, MATCH(ROUND(MIN(300,MAX(1,D2388)),0), FactorTable!$A$2:$A$301,0), Skills!M5+1)</f>
        <v/>
      </c>
      <c r="F2388">
        <f>IF(Skills!N5=TRUE,(Skills!L5/10)*(E2388/1000),Skills!L5/10)+Skills!O5</f>
        <v/>
      </c>
      <c r="G2388">
        <f>Skills!G5*IF(Skills!H5&gt;0,INT(IF(Inputs!$B$39="pvp",MIN(Skills!I5,15),Skills!I5)/Skills!H5+0.000000001),1)</f>
        <v/>
      </c>
      <c r="H2388">
        <f>1-(1-Skills!J5/100)^Skills!K5</f>
        <v/>
      </c>
      <c r="I2388" t="inlineStr">
        <is>
          <t>1</t>
        </is>
      </c>
      <c r="J2388">
        <f>((Inputs!$B$6*(1+Inputs!$B$7/100))+(((Inputs!$B$13*(1+Inputs!$B$14/100))-(Inputs!$B$13*(1+Inputs!$B$14/100)))+0.25*(Inputs!$B$15-Inputs!$B$15))*(1+Inputs!$B$7/100))*(F2388/100)</f>
        <v/>
      </c>
      <c r="K2388">
        <f>J2388*(1+(((Inputs!$B$13+IF(Inputs!$B$3&gt;=38,(10*INDEX(FactorTable!$B$2:$Y$301, MATCH(ROUND(MIN(300,MAX(1,Inputs!$B$3)),0), FactorTable!$A$2:$A$301,0), 23)/1000)/100*(Inputs!$B$8*(1+Inputs!$B$9/100)),0))*(1+Inputs!$B$14/100))*0.01+Inputs!$B$15*0.0025)/100)*(1+Inputs!$B$16/100)*(1+Inputs!$B$17/100)*(5000/(6000+Inputs!$B$43*(1-(Inputs!$B$20+0)/100)))*(1+(Inputs!$B$25+((C2408=TRUE)*(F2408-Calc!F25))+((C2409=TRUE)*(F2409-Calc!F26))+B2418)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$12-60))),0)))/100)*(1+(IF(Skills!A5="DARK_IMPALE",Inputs!$B$18+0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gt;=100),MIN(100,((Inputs!$B$10+0+B2412+(ArtifactsInput!$M$24-ArtifactsInput!$M$24)*CHOOSE(ArtifactsInput!$N$24+1,10,12,14,16,18,20)+IF(ArtifactsInput!$M$10,CHOOSE(ArtifactsInput!$N$10+1,15,18,21,24,27,30)*(IF(Inputs!$B$39="pvp",MIN(15,15)/15,IF(AND(Inputs!$B$39&lt;&gt;"pvp",Inputs!$B$44&gt;0),MIN(15,Inputs!$B$44)/(Inputs!$B$44),0))),0)))-100),0))*CHOOSE(ArtifactsInput!$N$42+1,0.6,0.72,0.84,0.96,1.08,1.2))),Inputs!$B$19+((C2406=TRUE)*(F2406-Calc!F23))+(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gt;=100),CHOOSE(ArtifactsInput!$N$42+1,40,48,56,64,72,80),0))))/100)*((1+(((C2396=TRUE)*F2396*IF(AND(Inputs!$B$39&lt;&gt;"pvp",Inputs!$B$44&gt;0),(((R2396-1)*MIN((Skills!T13*(1+Inputs!$B$35/100)),(1/Q2396))+MIN((Skills!T13*(1+Inputs!$B$35/100)),MAX(0,Inputs!$B$44-((R2396-1)*(1/Q2396)))))/Inputs!$B$44),IF(Inputs!$B$39="pvp",MIN((Skills!T13*(1+Inputs!$B$35/100)),15)/15,MIN(1,(Skills!T13*(1+Inputs!$B$35/100))/(1/Q2396)))))+((C2397=TRUE)*F2397*IF(AND(Inputs!$B$39&lt;&gt;"pvp",Inputs!$B$44&gt;0),(((R2397-1)*MIN((Skills!T14*(1+Inputs!$B$35/100)),(1/Q2397))+MIN((Skills!T14*(1+Inputs!$B$35/100)),MAX(0,Inputs!$B$44-((R2397-1)*(1/Q2397)))))/Inputs!$B$44),IF(Inputs!$B$39="pvp",MIN((Skills!T14*(1+Inputs!$B$35/100)),15)/15,MIN(1,(Skills!T14*(1+Inputs!$B$35/100))/(1/Q2397)))))+((C2398=TRUE)*F2398*IF(AND(Inputs!$B$39&lt;&gt;"pvp",Inputs!$B$44&gt;0),(((R2398-1)*MIN((Skills!T15*(1+Inputs!$B$35/100)),(1/Q2398))+MIN((Skills!T15*(1+Inputs!$B$35/100)),MAX(0,Inputs!$B$44-((R2398-1)*(1/Q2398)))))/Inputs!$B$44),IF(Inputs!$B$39="pvp",MIN((Skills!T15*(1+Inputs!$B$35/100)),15)/15,MIN(1,(Skills!T15*(1+Inputs!$B$35/100))/(1/Q2398)))))+((C2399=TRUE)*F2399*IF(AND(Inputs!$B$39&lt;&gt;"pvp",Inputs!$B$44&gt;0),(((R2399-1)*MIN((Skills!T16*(1+Inputs!$B$35/100)),(1/Q2399))+MIN((Skills!T16*(1+Inputs!$B$35/100)),MAX(0,Inputs!$B$44-((R2399-1)*(1/Q2399)))))/Inputs!$B$44),IF(Inputs!$B$39="pvp",MIN((Skills!T16*(1+Inputs!$B$35/100)),15)/15,MIN(1,(Skills!T16*(1+Inputs!$B$35/100))/(1/Q2399)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2388)</f>
        <v/>
      </c>
      <c r="L2388">
        <f>K2388*(MIN(Inputs!$B$23+((C2405=TRUE)*(F2405-Calc!F22)),(Inputs!$B$24+((C2407=TRUE)*(F2407-Calc!F24))+(IF(ArtifactsInput!$M$15,CHOOSE(ArtifactsInput!$N$15+1,25,30,35,40,45,50)/100*(Inputs!$B$12-Inputs!$B$12),0))))/100+(Inputs!$B$24+((C2407=TRUE)*(F2407-Calc!F24))+(IF(ArtifactsInput!$M$15,CHOOSE(ArtifactsInput!$N$15+1,25,30,35,40,45,50)/100*(Inputs!$B$12-Inputs!$B$12),0)))/100)/2</f>
        <v/>
      </c>
      <c r="M2388">
        <f>L2388*(1+(Inputs!$B$11+0+B2417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388">
        <f>L2388*(1-MIN((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2388*(MIN((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88">
        <f>(1-Summary!$B$11)*T2388+Summary!$B$11*V2388</f>
        <v/>
      </c>
      <c r="P2388">
        <f>IF(B2422=0,0,O2388/B2422)</f>
        <v/>
      </c>
      <c r="Q2388">
        <f>IFERROR(1/IF(Inputs!$B$39="pvp",15,MAX(0.1,Skills!D5-IF(TRUE=TRUE,Inputs!$B$33,0))),0)</f>
        <v/>
      </c>
      <c r="R2388">
        <f>IF(AND(Inputs!$B$39&lt;&gt;"pvp",Inputs!$B$44&gt;0),IF(MAX(0,Inputs!$B$44-B2419)&lt;=0,0,(INT(MAX(0,Inputs!$B$44-B2419)/IF(Inputs!$B$39="pvp",15,MAX(0.1,Skills!D5-IF(TRUE=TRUE,Inputs!$B$33,0))))+1)),0)</f>
        <v/>
      </c>
      <c r="S2388">
        <f>IFERROR(O2388/N2388,0)</f>
        <v/>
      </c>
      <c r="T2388">
        <f>IF(C2388,(H2388*N2388*IF(AND(Inputs!$B$39&lt;&gt;"pvp",Inputs!$B$44&gt;0),((Skills!G5*((R2388-1)*IF(Skills!H5&gt;0,INT(Skills!I5/Skills!H5+0.000000001),1)+IF(Skills!H5&gt;0,INT(MIN(Skills!I5,MAX(0,MAX(0,Inputs!$B$44-B2419)-((R2388-1)*IF(Inputs!$B$39="pvp",15,MAX(0.1,Skills!D5-IF(TRUE=TRUE,Inputs!$B$33,0))))))/Skills!H5+0.000000001),1)))/Inputs!$B$44),G2388*Q2388))*IF(Inputs!$B$39="pvp",1,1+(Inputs!$B$21+0+Skills!P5+((C2400=TRUE)*F2400*IF(AND(Inputs!$B$39&lt;&gt;"pvp",Inputs!$B$44&gt;0),(((R2400-1)*MIN((Skills!T17*(1+Inputs!$B$35/100)),(1/Q2400))+MIN((Skills!T17*(1+Inputs!$B$35/100)),MAX(0,Inputs!$B$44-((R2400-1)*(1/Q2400)))))/Inputs!$B$44),IF(Inputs!$B$39="pvp",MIN((Skills!T17*(1+Inputs!$B$35/100)),15)/15,MIN(1,(Skills!T17*(1+Inputs!$B$35/100))/(1/Q2400)))))+((C2388=TRUE)*IF(Inputs!$B$3&gt;=126,10*MIN(1,15*Q2388),0))+((C2397=TRUE)*IF(Inputs!$B$39="pvp",20,(1-Summary!$B$11)*(20)+Summary!$B$11*(0))*IF(AND(Inputs!$B$39&lt;&gt;"pvp",Inputs!$B$44&gt;0),(((R2397-1)*MIN((Skills!T14*(1+Inputs!$B$35/100)),(1/Q2397))+MIN((Skills!T14*(1+Inputs!$B$35/100)),MAX(0,Inputs!$B$44-((R2397-1)*(1/Q2397)))))/Inputs!$B$44),IF(Inputs!$B$39="pvp",MIN((Skills!T14*(1+Inputs!$B$35/100)),15)/15,MIN(1,(Skills!T14*(1+Inputs!$B$35/100))/(1/Q2397)))))+((C2396=TRUE)*IF(Inputs!$B$3&gt;=82,IF(Inputs!$B$39="pvp",20,(1-Summary!$B$11)*(20)+Summary!$B$11*(0)),0)*IF(AND(Inputs!$B$39&lt;&gt;"pvp",Inputs!$B$44&gt;0),(((R2396-1)*MIN((Skills!T13*(1+Inputs!$B$35/100)),(1/Q2396))+MIN((Skills!T13*(1+Inputs!$B$35/100)),MAX(0,Inputs!$B$44-((R2396-1)*(1/Q2396)))))/Inputs!$B$44),IF(Inputs!$B$39="pvp",MIN((Skills!T13*(1+Inputs!$B$35/100)),15)/15,MIN(1,(Skills!T13*(1+Inputs!$B$35/100))/(1/Q2396)))))+(IF(AND(ArtifactsInput!$M$35,Inputs!$B$4&lt;&gt;"Chapter Hunt"),CHOOSE(ArtifactsInput!$N$35+1,15,18,21,24,27,30)*(1-EXP(-(0.2*B2414)*5)),0)+IF(AND(ArtifactsInput!$M$22,Inputs!$B$4&lt;&gt;"Chapter Hunt"),CHOOSE(ArtifactsInput!$N$22+1,10,12,14,16,18,20)*((0*(((0.15*B2414*5))^0/1)+1*(((0.15*B2414*5))^1/1)+2*(((0.15*B2414*5))^2/2)+3*(((0.15*B2414*5))^3/6)+4*(((0.15*B2414*5))^4/24)+5*(((0.15*B2414*5))^5/120))/((((0.15*B2414*5))^0/1)+(((0.15*B2414*5))^1/1)+(((0.15*B2414*5))^2/2)+(((0.15*B2414*5))^3/6)+(((0.15*B2414*5))^4/24)+(((0.15*B2414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2388*(1-MIN(100,(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2388*(MIN(100,(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2388*(1-MIN(100,(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2388*(MIN(100,(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88">
        <f>IF(C2388,(H2388*N2388*IF(AND(Inputs!$B$39&lt;&gt;"pvp",Inputs!$B$44&gt;0),((Skills!G5*((R2388-1)*IF(Skills!H5&gt;0,INT(Skills!I5/Skills!H5+0.000000001),1)+IF(Skills!H5&gt;0,INT(MIN(Skills!I5,MAX(0,MAX(0,Inputs!$B$44-B2419)-((R2388-1)*IF(Inputs!$B$39="pvp",15,MAX(0.1,Skills!D5-IF(TRUE=TRUE,Inputs!$B$33,0))))))/Skills!H5+0.000000001),1)))/Inputs!$B$44),G2388*Q2388))*IF(Inputs!$B$39="pvp",1,(1+(Inputs!$B$22+Skills!Q5+((C2400=TRUE)*F2400*IF(AND(Inputs!$B$39&lt;&gt;"pvp",Inputs!$B$44&gt;0),(((R2400-1)*MIN((Skills!T17*(1+Inputs!$B$35/100)),(1/Q2400))+MIN((Skills!T17*(1+Inputs!$B$35/100)),MAX(0,Inputs!$B$44-((R2400-1)*(1/Q2400)))))/Inputs!$B$44),IF(Inputs!$B$39="pvp",MIN((Skills!T17*(1+Inputs!$B$35/100)),15)/15,MIN(1,(Skills!T17*(1+Inputs!$B$35/100))/(1/Q2400)))))+((C2388=TRUE)*IF(Inputs!$B$3&gt;=126,10*MIN(1,15*Q2388),0))+((C2397=TRUE)*IF(Inputs!$B$39="pvp",20,(1-Summary!$B$11)*(20)+Summary!$B$11*(0))*IF(AND(Inputs!$B$39&lt;&gt;"pvp",Inputs!$B$44&gt;0),(((R2397-1)*MIN((Skills!T14*(1+Inputs!$B$35/100)),(1/Q2397))+MIN((Skills!T14*(1+Inputs!$B$35/100)),MAX(0,Inputs!$B$44-((R2397-1)*(1/Q2397)))))/Inputs!$B$44),IF(Inputs!$B$39="pvp",MIN((Skills!T14*(1+Inputs!$B$35/100)),15)/15,MIN(1,(Skills!T14*(1+Inputs!$B$35/100))/(1/Q2397)))))+((C2396=TRUE)*IF(Inputs!$B$3&gt;=82,IF(Inputs!$B$39="pvp",20,(1-Summary!$B$11)*(20)+Summary!$B$11*(0)),0)*IF(AND(Inputs!$B$39&lt;&gt;"pvp",Inputs!$B$44&gt;0),(((R2396-1)*MIN((Skills!T13*(1+Inputs!$B$35/100)),(1/Q2396))+MIN((Skills!T13*(1+Inputs!$B$35/100)),MAX(0,Inputs!$B$44-((R2396-1)*(1/Q2396)))))/Inputs!$B$44),IF(Inputs!$B$39="pvp",MIN((Skills!T13*(1+Inputs!$B$35/100)),15)/15,MIN(1,(Skills!T13*(1+Inputs!$B$35/100))/(1/Q2396)))))+(IF(AND(ArtifactsInput!$M$35,Inputs!$B$4&lt;&gt;"Chapter Hunt"),CHOOSE(ArtifactsInput!$N$35+1,15,18,21,24,27,30)*(1-EXP(-(0.2*B2414)*5)),0)+IF(AND(ArtifactsInput!$M$22,Inputs!$B$4&lt;&gt;"Chapter Hunt"),CHOOSE(ArtifactsInput!$N$22+1,10,12,14,16,18,20)*((0*(((0.15*B2414*5))^0/1)+1*(((0.15*B2414*5))^1/1)+2*(((0.15*B2414*5))^2/2)+3*(((0.15*B2414*5))^3/6)+4*(((0.15*B2414*5))^4/24)+5*(((0.15*B2414*5))^5/120))/((((0.15*B2414*5))^0/1)+(((0.15*B2414*5))^1/1)+(((0.15*B2414*5))^2/2)+(((0.15*B2414*5))^3/6)+(((0.15*B2414*5))^4/24)+(((0.15*B2414*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89">
      <c r="A2389">
        <f>Skills!A6</f>
        <v/>
      </c>
      <c r="B2389">
        <f>Skills!B6</f>
        <v/>
      </c>
      <c r="C2389">
        <f>Inputs!$B$3&gt;=103</f>
        <v/>
      </c>
      <c r="D2389">
        <f>IF(Skills!C6=1,60+Inputs!$B$26+Inputs!$B$30,IF(Skills!C6=2,90+Inputs!$B$27+Inputs!$B$30,IF(Skills!C6=3,120+Inputs!$B$28+Inputs!$B$30,MAX(0,(Inputs!$B$3-100)*3)+Inputs!$B$29+Inputs!$B$30)))</f>
        <v/>
      </c>
      <c r="E2389">
        <f>INDEX(FactorTable!$B$2:$Y$301, MATCH(ROUND(MIN(300,MAX(1,D2389)),0), FactorTable!$A$2:$A$301,0), Skills!M6+1)</f>
        <v/>
      </c>
      <c r="F2389">
        <f>IF(Skills!N6=TRUE,(Skills!L6/10)*(E2389/1000),Skills!L6/10)+Skills!O6</f>
        <v/>
      </c>
      <c r="G2389">
        <f>Skills!G6*IF(Skills!H6&gt;0,INT(IF(Inputs!$B$39="pvp",MIN(Skills!I6,15),Skills!I6)/Skills!H6+0.000000001),1)</f>
        <v/>
      </c>
      <c r="H2389">
        <f>1-(1-Skills!J6/100)^Skills!K6</f>
        <v/>
      </c>
      <c r="I2389" t="inlineStr">
        <is>
          <t>1</t>
        </is>
      </c>
      <c r="J2389">
        <f>((Inputs!$B$6*(1+Inputs!$B$7/100))+(((Inputs!$B$13*(1+Inputs!$B$14/100))-(Inputs!$B$13*(1+Inputs!$B$14/100)))+0.25*(Inputs!$B$15-Inputs!$B$15))*(1+Inputs!$B$7/100))*(F2389/100)</f>
        <v/>
      </c>
      <c r="K2389">
        <f>J2389*(1+(((Inputs!$B$13+IF(Inputs!$B$3&gt;=38,(10*INDEX(FactorTable!$B$2:$Y$301, MATCH(ROUND(MIN(300,MAX(1,Inputs!$B$3)),0), FactorTable!$A$2:$A$301,0), 23)/1000)/100*(Inputs!$B$8*(1+Inputs!$B$9/100)),0))*(1+Inputs!$B$14/100))*0.01+Inputs!$B$15*0.0025)/100)*(1+Inputs!$B$16/100)*(1+Inputs!$B$17/100)*(5000/(6000+Inputs!$B$43*(1-(Inputs!$B$20+0)/100)))*(1+(Inputs!$B$25+((C2408=TRUE)*(F2408-Calc!F25))+((C2409=TRUE)*(F2409-Calc!F26))+B2418)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$12-60))),0)))/100)*(1+(IF(Skills!A6="DARK_IMPALE",Inputs!$B$18+0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gt;=100),MIN(100,((Inputs!$B$10+0+B2412+(ArtifactsInput!$M$24-ArtifactsInput!$M$24)*CHOOSE(ArtifactsInput!$N$24+1,10,12,14,16,18,20)+IF(ArtifactsInput!$M$10,CHOOSE(ArtifactsInput!$N$10+1,15,18,21,24,27,30)*(IF(Inputs!$B$39="pvp",MIN(15,15)/15,IF(AND(Inputs!$B$39&lt;&gt;"pvp",Inputs!$B$44&gt;0),MIN(15,Inputs!$B$44)/(Inputs!$B$44),0))),0)))-100),0))*CHOOSE(ArtifactsInput!$N$42+1,0.6,0.72,0.84,0.96,1.08,1.2))),Inputs!$B$19+((C2406=TRUE)*(F2406-Calc!F23))+(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gt;=100),CHOOSE(ArtifactsInput!$N$42+1,40,48,56,64,72,80),0))))/100)*((1+(((C2396=TRUE)*F2396*IF(AND(Inputs!$B$39&lt;&gt;"pvp",Inputs!$B$44&gt;0),(((R2396-1)*MIN((Skills!T13*(1+Inputs!$B$35/100)),(1/Q2396))+MIN((Skills!T13*(1+Inputs!$B$35/100)),MAX(0,Inputs!$B$44-((R2396-1)*(1/Q2396)))))/Inputs!$B$44),IF(Inputs!$B$39="pvp",MIN((Skills!T13*(1+Inputs!$B$35/100)),15)/15,MIN(1,(Skills!T13*(1+Inputs!$B$35/100))/(1/Q2396)))))+((C2397=TRUE)*F2397*IF(AND(Inputs!$B$39&lt;&gt;"pvp",Inputs!$B$44&gt;0),(((R2397-1)*MIN((Skills!T14*(1+Inputs!$B$35/100)),(1/Q2397))+MIN((Skills!T14*(1+Inputs!$B$35/100)),MAX(0,Inputs!$B$44-((R2397-1)*(1/Q2397)))))/Inputs!$B$44),IF(Inputs!$B$39="pvp",MIN((Skills!T14*(1+Inputs!$B$35/100)),15)/15,MIN(1,(Skills!T14*(1+Inputs!$B$35/100))/(1/Q2397)))))+((C2398=TRUE)*F2398*IF(AND(Inputs!$B$39&lt;&gt;"pvp",Inputs!$B$44&gt;0),(((R2398-1)*MIN((Skills!T15*(1+Inputs!$B$35/100)),(1/Q2398))+MIN((Skills!T15*(1+Inputs!$B$35/100)),MAX(0,Inputs!$B$44-((R2398-1)*(1/Q2398)))))/Inputs!$B$44),IF(Inputs!$B$39="pvp",MIN((Skills!T15*(1+Inputs!$B$35/100)),15)/15,MIN(1,(Skills!T15*(1+Inputs!$B$35/100))/(1/Q2398)))))+((C2399=TRUE)*F2399*IF(AND(Inputs!$B$39&lt;&gt;"pvp",Inputs!$B$44&gt;0),(((R2399-1)*MIN((Skills!T16*(1+Inputs!$B$35/100)),(1/Q2399))+MIN((Skills!T16*(1+Inputs!$B$35/100)),MAX(0,Inputs!$B$44-((R2399-1)*(1/Q2399)))))/Inputs!$B$44),IF(Inputs!$B$39="pvp",MIN((Skills!T16*(1+Inputs!$B$35/100)),15)/15,MIN(1,(Skills!T16*(1+Inputs!$B$35/100))/(1/Q2399)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2389)</f>
        <v/>
      </c>
      <c r="L2389">
        <f>K2389*(MIN(Inputs!$B$23+((C2405=TRUE)*(F2405-Calc!F22)),(Inputs!$B$24+((C2407=TRUE)*(F2407-Calc!F24))+(IF(ArtifactsInput!$M$15,CHOOSE(ArtifactsInput!$N$15+1,25,30,35,40,45,50)/100*(Inputs!$B$12-Inputs!$B$12),0))))/100+(Inputs!$B$24+((C2407=TRUE)*(F2407-Calc!F24))+(IF(ArtifactsInput!$M$15,CHOOSE(ArtifactsInput!$N$15+1,25,30,35,40,45,50)/100*(Inputs!$B$12-Inputs!$B$12),0)))/100)/2</f>
        <v/>
      </c>
      <c r="M2389">
        <f>L2389*(1+(Inputs!$B$11+0+B2417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389">
        <f>L2389*(1-MIN((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2389*(MIN((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89">
        <f>(1-Summary!$B$11)*T2389+Summary!$B$11*V2389</f>
        <v/>
      </c>
      <c r="P2389">
        <f>IF(B2422=0,0,O2389/B2422)</f>
        <v/>
      </c>
      <c r="Q2389">
        <f>IFERROR(1/IF(Inputs!$B$39="pvp",15,MAX(0.1,Skills!D6-IF(TRUE=TRUE,Inputs!$B$33,0))),0)</f>
        <v/>
      </c>
      <c r="R2389">
        <f>IF(AND(Inputs!$B$39&lt;&gt;"pvp",Inputs!$B$44&gt;0),IF(MAX(0,Inputs!$B$44-B2419)&lt;=0,0,(INT(MAX(0,Inputs!$B$44-B2419)/IF(Inputs!$B$39="pvp",15,MAX(0.1,Skills!D6-IF(TRUE=TRUE,Inputs!$B$33,0))))+1)),0)</f>
        <v/>
      </c>
      <c r="S2389">
        <f>IFERROR(O2389/N2389,0)</f>
        <v/>
      </c>
      <c r="T2389">
        <f>IF(C2389,(H2389*N2389*IF(AND(Inputs!$B$39&lt;&gt;"pvp",Inputs!$B$44&gt;0),((Skills!G6*((R2389-1)*IF(Skills!H6&gt;0,INT(Skills!I6/Skills!H6+0.000000001),1)+IF(Skills!H6&gt;0,INT(MIN(Skills!I6,MAX(0,MAX(0,Inputs!$B$44-B2419)-((R2389-1)*IF(Inputs!$B$39="pvp",15,MAX(0.1,Skills!D6-IF(TRUE=TRUE,Inputs!$B$33,0))))))/Skills!H6+0.000000001),1)))/Inputs!$B$44),G2389*Q2389))*IF(Inputs!$B$39="pvp",1,1+(Inputs!$B$21+0+Skills!P6+((C2400=TRUE)*F2400*IF(AND(Inputs!$B$39&lt;&gt;"pvp",Inputs!$B$44&gt;0),(((R2400-1)*MIN((Skills!T17*(1+Inputs!$B$35/100)),(1/Q2400))+MIN((Skills!T17*(1+Inputs!$B$35/100)),MAX(0,Inputs!$B$44-((R2400-1)*(1/Q2400)))))/Inputs!$B$44),IF(Inputs!$B$39="pvp",MIN((Skills!T17*(1+Inputs!$B$35/100)),15)/15,MIN(1,(Skills!T17*(1+Inputs!$B$35/100))/(1/Q2400)))))+((C2388=TRUE)*IF(Inputs!$B$3&gt;=126,10*MIN(1,15*Q2388),0))+((C2397=TRUE)*IF(Inputs!$B$39="pvp",20,(1-Summary!$B$11)*(20)+Summary!$B$11*(0))*IF(AND(Inputs!$B$39&lt;&gt;"pvp",Inputs!$B$44&gt;0),(((R2397-1)*MIN((Skills!T14*(1+Inputs!$B$35/100)),(1/Q2397))+MIN((Skills!T14*(1+Inputs!$B$35/100)),MAX(0,Inputs!$B$44-((R2397-1)*(1/Q2397)))))/Inputs!$B$44),IF(Inputs!$B$39="pvp",MIN((Skills!T14*(1+Inputs!$B$35/100)),15)/15,MIN(1,(Skills!T14*(1+Inputs!$B$35/100))/(1/Q2397)))))+((C2396=TRUE)*IF(Inputs!$B$3&gt;=82,IF(Inputs!$B$39="pvp",20,(1-Summary!$B$11)*(20)+Summary!$B$11*(0)),0)*IF(AND(Inputs!$B$39&lt;&gt;"pvp",Inputs!$B$44&gt;0),(((R2396-1)*MIN((Skills!T13*(1+Inputs!$B$35/100)),(1/Q2396))+MIN((Skills!T13*(1+Inputs!$B$35/100)),MAX(0,Inputs!$B$44-((R2396-1)*(1/Q2396)))))/Inputs!$B$44),IF(Inputs!$B$39="pvp",MIN((Skills!T13*(1+Inputs!$B$35/100)),15)/15,MIN(1,(Skills!T13*(1+Inputs!$B$35/100))/(1/Q2396)))))+(IF(AND(ArtifactsInput!$M$35,Inputs!$B$4&lt;&gt;"Chapter Hunt"),CHOOSE(ArtifactsInput!$N$35+1,15,18,21,24,27,30)*(1-EXP(-(0.2*B2414)*5)),0)+IF(AND(ArtifactsInput!$M$22,Inputs!$B$4&lt;&gt;"Chapter Hunt"),CHOOSE(ArtifactsInput!$N$22+1,10,12,14,16,18,20)*((0*(((0.15*B2414*5))^0/1)+1*(((0.15*B2414*5))^1/1)+2*(((0.15*B2414*5))^2/2)+3*(((0.15*B2414*5))^3/6)+4*(((0.15*B2414*5))^4/24)+5*(((0.15*B2414*5))^5/120))/((((0.15*B2414*5))^0/1)+(((0.15*B2414*5))^1/1)+(((0.15*B2414*5))^2/2)+(((0.15*B2414*5))^3/6)+(((0.15*B2414*5))^4/24)+(((0.15*B2414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2389*(1-MIN(100,(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2389*(MIN(100,(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2389*(1-MIN(100,(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2389*(MIN(100,(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89">
        <f>IF(C2389,(H2389*N2389*IF(AND(Inputs!$B$39&lt;&gt;"pvp",Inputs!$B$44&gt;0),((Skills!G6*((R2389-1)*IF(Skills!H6&gt;0,INT(Skills!I6/Skills!H6+0.000000001),1)+IF(Skills!H6&gt;0,INT(MIN(Skills!I6,MAX(0,MAX(0,Inputs!$B$44-B2419)-((R2389-1)*IF(Inputs!$B$39="pvp",15,MAX(0.1,Skills!D6-IF(TRUE=TRUE,Inputs!$B$33,0))))))/Skills!H6+0.000000001),1)))/Inputs!$B$44),G2389*Q2389))*IF(Inputs!$B$39="pvp",1,(1+(Inputs!$B$22+Skills!Q6+((C2400=TRUE)*F2400*IF(AND(Inputs!$B$39&lt;&gt;"pvp",Inputs!$B$44&gt;0),(((R2400-1)*MIN((Skills!T17*(1+Inputs!$B$35/100)),(1/Q2400))+MIN((Skills!T17*(1+Inputs!$B$35/100)),MAX(0,Inputs!$B$44-((R2400-1)*(1/Q2400)))))/Inputs!$B$44),IF(Inputs!$B$39="pvp",MIN((Skills!T17*(1+Inputs!$B$35/100)),15)/15,MIN(1,(Skills!T17*(1+Inputs!$B$35/100))/(1/Q2400)))))+((C2388=TRUE)*IF(Inputs!$B$3&gt;=126,10*MIN(1,15*Q2388),0))+((C2397=TRUE)*IF(Inputs!$B$39="pvp",20,(1-Summary!$B$11)*(20)+Summary!$B$11*(0))*IF(AND(Inputs!$B$39&lt;&gt;"pvp",Inputs!$B$44&gt;0),(((R2397-1)*MIN((Skills!T14*(1+Inputs!$B$35/100)),(1/Q2397))+MIN((Skills!T14*(1+Inputs!$B$35/100)),MAX(0,Inputs!$B$44-((R2397-1)*(1/Q2397)))))/Inputs!$B$44),IF(Inputs!$B$39="pvp",MIN((Skills!T14*(1+Inputs!$B$35/100)),15)/15,MIN(1,(Skills!T14*(1+Inputs!$B$35/100))/(1/Q2397)))))+((C2396=TRUE)*IF(Inputs!$B$3&gt;=82,IF(Inputs!$B$39="pvp",20,(1-Summary!$B$11)*(20)+Summary!$B$11*(0)),0)*IF(AND(Inputs!$B$39&lt;&gt;"pvp",Inputs!$B$44&gt;0),(((R2396-1)*MIN((Skills!T13*(1+Inputs!$B$35/100)),(1/Q2396))+MIN((Skills!T13*(1+Inputs!$B$35/100)),MAX(0,Inputs!$B$44-((R2396-1)*(1/Q2396)))))/Inputs!$B$44),IF(Inputs!$B$39="pvp",MIN((Skills!T13*(1+Inputs!$B$35/100)),15)/15,MIN(1,(Skills!T13*(1+Inputs!$B$35/100))/(1/Q2396)))))+(IF(AND(ArtifactsInput!$M$35,Inputs!$B$4&lt;&gt;"Chapter Hunt"),CHOOSE(ArtifactsInput!$N$35+1,15,18,21,24,27,30)*(1-EXP(-(0.2*B2414)*5)),0)+IF(AND(ArtifactsInput!$M$22,Inputs!$B$4&lt;&gt;"Chapter Hunt"),CHOOSE(ArtifactsInput!$N$22+1,10,12,14,16,18,20)*((0*(((0.15*B2414*5))^0/1)+1*(((0.15*B2414*5))^1/1)+2*(((0.15*B2414*5))^2/2)+3*(((0.15*B2414*5))^3/6)+4*(((0.15*B2414*5))^4/24)+5*(((0.15*B2414*5))^5/120))/((((0.15*B2414*5))^0/1)+(((0.15*B2414*5))^1/1)+(((0.15*B2414*5))^2/2)+(((0.15*B2414*5))^3/6)+(((0.15*B2414*5))^4/24)+(((0.15*B2414*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90">
      <c r="A2390">
        <f>Skills!A7</f>
        <v/>
      </c>
      <c r="B2390">
        <f>Skills!B7</f>
        <v/>
      </c>
      <c r="C2390">
        <f>Inputs!$B$3&gt;=40</f>
        <v/>
      </c>
      <c r="D2390">
        <f>IF(Skills!C7=1,60+Inputs!$B$26+Inputs!$B$30,IF(Skills!C7=2,90+Inputs!$B$27+Inputs!$B$30,IF(Skills!C7=3,120+Inputs!$B$28+Inputs!$B$30,MAX(0,(Inputs!$B$3-100)*3)+Inputs!$B$29+Inputs!$B$30)))</f>
        <v/>
      </c>
      <c r="E2390">
        <f>INDEX(FactorTable!$B$2:$Y$301, MATCH(ROUND(MIN(300,MAX(1,D2390)),0), FactorTable!$A$2:$A$301,0), Skills!M7+1)</f>
        <v/>
      </c>
      <c r="F2390">
        <f>IF(Skills!N7=TRUE,(Skills!L7/10)*(E2390/1000),Skills!L7/10)+Skills!O7</f>
        <v/>
      </c>
      <c r="G2390">
        <f>Skills!G7*IF(Skills!H7&gt;0,INT(IF(Inputs!$B$39="pvp",MIN(Skills!I7,15),Skills!I7)/Skills!H7+0.000000001),1)</f>
        <v/>
      </c>
      <c r="H2390">
        <f>1-(1-Skills!J7/100)^Skills!K7</f>
        <v/>
      </c>
      <c r="I2390" t="inlineStr">
        <is>
          <t>1</t>
        </is>
      </c>
      <c r="J2390">
        <f>((Inputs!$B$6*(1+Inputs!$B$7/100))+(((Inputs!$B$13*(1+Inputs!$B$14/100))-(Inputs!$B$13*(1+Inputs!$B$14/100)))+0.25*(Inputs!$B$15-Inputs!$B$15))*(1+Inputs!$B$7/100))*(F2390/100)</f>
        <v/>
      </c>
      <c r="K2390">
        <f>J2390*(1+(((Inputs!$B$13+IF(Inputs!$B$3&gt;=38,(10*INDEX(FactorTable!$B$2:$Y$301, MATCH(ROUND(MIN(300,MAX(1,Inputs!$B$3)),0), FactorTable!$A$2:$A$301,0), 23)/1000)/100*(Inputs!$B$8*(1+Inputs!$B$9/100)),0))*(1+Inputs!$B$14/100))*0.01+Inputs!$B$15*0.0025)/100)*(1+Inputs!$B$16/100)*(1+Inputs!$B$17/100)*(5000/(6000+Inputs!$B$43*(1-(Inputs!$B$20+0)/100)))*(1+(Inputs!$B$25+((C2408=TRUE)*(F2408-Calc!F25))+((C2409=TRUE)*(F2409-Calc!F26))+B2418)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$12-60))),0)))/100)*(1+0.75*IF(C2394=TRUE,F2394,0)/100)*(1+(IF(Skills!A7="DARK_IMPALE",Inputs!$B$18+0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gt;=100),MIN(100,((Inputs!$B$10+0+B2412+(ArtifactsInput!$M$24-ArtifactsInput!$M$24)*CHOOSE(ArtifactsInput!$N$24+1,10,12,14,16,18,20)+IF(ArtifactsInput!$M$10,CHOOSE(ArtifactsInput!$N$10+1,15,18,21,24,27,30)*(IF(Inputs!$B$39="pvp",MIN(15,15)/15,IF(AND(Inputs!$B$39&lt;&gt;"pvp",Inputs!$B$44&gt;0),MIN(15,Inputs!$B$44)/(Inputs!$B$44),0))),0)))-100),0))*CHOOSE(ArtifactsInput!$N$42+1,0.6,0.72,0.84,0.96,1.08,1.2))),Inputs!$B$19+((C2406=TRUE)*(F2406-Calc!F23))+(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gt;=100),CHOOSE(ArtifactsInput!$N$42+1,40,48,56,64,72,80),0))))/100)*((1+(((C2396=TRUE)*F2396*IF(AND(Inputs!$B$39&lt;&gt;"pvp",Inputs!$B$44&gt;0),(((R2396-1)*MIN((Skills!T13*(1+Inputs!$B$35/100)),(1/Q2396))+MIN((Skills!T13*(1+Inputs!$B$35/100)),MAX(0,Inputs!$B$44-((R2396-1)*(1/Q2396)))))/Inputs!$B$44),IF(Inputs!$B$39="pvp",MIN((Skills!T13*(1+Inputs!$B$35/100)),15)/15,MIN(1,(Skills!T13*(1+Inputs!$B$35/100))/(1/Q2396)))))+((C2397=TRUE)*F2397*IF(AND(Inputs!$B$39&lt;&gt;"pvp",Inputs!$B$44&gt;0),(((R2397-1)*MIN((Skills!T14*(1+Inputs!$B$35/100)),(1/Q2397))+MIN((Skills!T14*(1+Inputs!$B$35/100)),MAX(0,Inputs!$B$44-((R2397-1)*(1/Q2397)))))/Inputs!$B$44),IF(Inputs!$B$39="pvp",MIN((Skills!T14*(1+Inputs!$B$35/100)),15)/15,MIN(1,(Skills!T14*(1+Inputs!$B$35/100))/(1/Q2397)))))+((C2398=TRUE)*F2398*IF(AND(Inputs!$B$39&lt;&gt;"pvp",Inputs!$B$44&gt;0),(((R2398-1)*MIN((Skills!T15*(1+Inputs!$B$35/100)),(1/Q2398))+MIN((Skills!T15*(1+Inputs!$B$35/100)),MAX(0,Inputs!$B$44-((R2398-1)*(1/Q2398)))))/Inputs!$B$44),IF(Inputs!$B$39="pvp",MIN((Skills!T15*(1+Inputs!$B$35/100)),15)/15,MIN(1,(Skills!T15*(1+Inputs!$B$35/100))/(1/Q2398)))))+((C2399=TRUE)*F2399*IF(AND(Inputs!$B$39&lt;&gt;"pvp",Inputs!$B$44&gt;0),(((R2399-1)*MIN((Skills!T16*(1+Inputs!$B$35/100)),(1/Q2399))+MIN((Skills!T16*(1+Inputs!$B$35/100)),MAX(0,Inputs!$B$44-((R2399-1)*(1/Q2399)))))/Inputs!$B$44),IF(Inputs!$B$39="pvp",MIN((Skills!T16*(1+Inputs!$B$35/100)),15)/15,MIN(1,(Skills!T16*(1+Inputs!$B$35/100))/(1/Q2399)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2390)</f>
        <v/>
      </c>
      <c r="L2390">
        <f>K2390*(MIN(Inputs!$B$23+((C2405=TRUE)*(F2405-Calc!F22)),(Inputs!$B$24+((C2407=TRUE)*(F2407-Calc!F24))+(IF(ArtifactsInput!$M$15,CHOOSE(ArtifactsInput!$N$15+1,25,30,35,40,45,50)/100*(Inputs!$B$12-Inputs!$B$12),0))))/100+(Inputs!$B$24+((C2407=TRUE)*(F2407-Calc!F24))+(IF(ArtifactsInput!$M$15,CHOOSE(ArtifactsInput!$N$15+1,25,30,35,40,45,50)/100*(Inputs!$B$12-Inputs!$B$12),0)))/100)/2</f>
        <v/>
      </c>
      <c r="M2390">
        <f>L2390*(1+(Inputs!$B$11+0+B2417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390">
        <f>L2390*(1-MIN((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2390*(MIN((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90">
        <f>(1-Summary!$B$11)*T2390+Summary!$B$11*V2390</f>
        <v/>
      </c>
      <c r="P2390">
        <f>IF(B2422=0,0,O2390/B2422)</f>
        <v/>
      </c>
      <c r="Q2390">
        <f>IFERROR(1/IF(Inputs!$B$39="pvp",15,MAX(0.1,Skills!D7-IF(TRUE=TRUE,Inputs!$B$33,0))),0)</f>
        <v/>
      </c>
      <c r="R2390">
        <f>IF(AND(Inputs!$B$39&lt;&gt;"pvp",Inputs!$B$44&gt;0),IF(MAX(0,Inputs!$B$44-B2419)&lt;=0,0,(INT(MAX(0,Inputs!$B$44-B2419)/IF(Inputs!$B$39="pvp",15,MAX(0.1,Skills!D7-IF(TRUE=TRUE,Inputs!$B$33,0))))+1)),0)</f>
        <v/>
      </c>
      <c r="S2390">
        <f>IFERROR(O2390/N2390,0)</f>
        <v/>
      </c>
      <c r="T2390">
        <f>IF(C2390,(H2390*N2390*IF(AND(Inputs!$B$39&lt;&gt;"pvp",Inputs!$B$44&gt;0),((Skills!G7*((R2390-1)*IF(Skills!H7&gt;0,INT(Skills!I7/Skills!H7+0.000000001),1)+IF(Skills!H7&gt;0,INT(MIN(Skills!I7,MAX(0,MAX(0,Inputs!$B$44-B2419)-((R2390-1)*IF(Inputs!$B$39="pvp",15,MAX(0.1,Skills!D7-IF(TRUE=TRUE,Inputs!$B$33,0))))))/Skills!H7+0.000000001),1)))/Inputs!$B$44),G2390*Q2390))*IF(Inputs!$B$39="pvp",1,1+(Inputs!$B$21+0+Skills!P7+((C2400=TRUE)*F2400*IF(AND(Inputs!$B$39&lt;&gt;"pvp",Inputs!$B$44&gt;0),(((R2400-1)*MIN((Skills!T17*(1+Inputs!$B$35/100)),(1/Q2400))+MIN((Skills!T17*(1+Inputs!$B$35/100)),MAX(0,Inputs!$B$44-((R2400-1)*(1/Q2400)))))/Inputs!$B$44),IF(Inputs!$B$39="pvp",MIN((Skills!T17*(1+Inputs!$B$35/100)),15)/15,MIN(1,(Skills!T17*(1+Inputs!$B$35/100))/(1/Q2400)))))+((C2388=TRUE)*IF(Inputs!$B$3&gt;=126,10*MIN(1,15*Q2388),0))+((C2397=TRUE)*IF(Inputs!$B$39="pvp",20,(1-Summary!$B$11)*(20)+Summary!$B$11*(0))*IF(AND(Inputs!$B$39&lt;&gt;"pvp",Inputs!$B$44&gt;0),(((R2397-1)*MIN((Skills!T14*(1+Inputs!$B$35/100)),(1/Q2397))+MIN((Skills!T14*(1+Inputs!$B$35/100)),MAX(0,Inputs!$B$44-((R2397-1)*(1/Q2397)))))/Inputs!$B$44),IF(Inputs!$B$39="pvp",MIN((Skills!T14*(1+Inputs!$B$35/100)),15)/15,MIN(1,(Skills!T14*(1+Inputs!$B$35/100))/(1/Q2397)))))+((C2396=TRUE)*IF(Inputs!$B$3&gt;=82,IF(Inputs!$B$39="pvp",20,(1-Summary!$B$11)*(20)+Summary!$B$11*(0)),0)*IF(AND(Inputs!$B$39&lt;&gt;"pvp",Inputs!$B$44&gt;0),(((R2396-1)*MIN((Skills!T13*(1+Inputs!$B$35/100)),(1/Q2396))+MIN((Skills!T13*(1+Inputs!$B$35/100)),MAX(0,Inputs!$B$44-((R2396-1)*(1/Q2396)))))/Inputs!$B$44),IF(Inputs!$B$39="pvp",MIN((Skills!T13*(1+Inputs!$B$35/100)),15)/15,MIN(1,(Skills!T13*(1+Inputs!$B$35/100))/(1/Q2396)))))+(IF(AND(ArtifactsInput!$M$35,Inputs!$B$4&lt;&gt;"Chapter Hunt"),CHOOSE(ArtifactsInput!$N$35+1,15,18,21,24,27,30)*(1-EXP(-(0.2*B2414)*5)),0)+IF(AND(ArtifactsInput!$M$22,Inputs!$B$4&lt;&gt;"Chapter Hunt"),CHOOSE(ArtifactsInput!$N$22+1,10,12,14,16,18,20)*((0*(((0.15*B2414*5))^0/1)+1*(((0.15*B2414*5))^1/1)+2*(((0.15*B2414*5))^2/2)+3*(((0.15*B2414*5))^3/6)+4*(((0.15*B2414*5))^4/24)+5*(((0.15*B2414*5))^5/120))/((((0.15*B2414*5))^0/1)+(((0.15*B2414*5))^1/1)+(((0.15*B2414*5))^2/2)+(((0.15*B2414*5))^3/6)+(((0.15*B2414*5))^4/24)+(((0.15*B2414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2390*(1-MIN(100,(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2390*(MIN(100,(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2390*(1-MIN(100,(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2390*(MIN(100,(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90">
        <f>IF(C2390,(H2390*N2390*IF(AND(Inputs!$B$39&lt;&gt;"pvp",Inputs!$B$44&gt;0),((Skills!G7*((R2390-1)*IF(Skills!H7&gt;0,INT(Skills!I7/Skills!H7+0.000000001),1)+IF(Skills!H7&gt;0,INT(MIN(Skills!I7,MAX(0,MAX(0,Inputs!$B$44-B2419)-((R2390-1)*IF(Inputs!$B$39="pvp",15,MAX(0.1,Skills!D7-IF(TRUE=TRUE,Inputs!$B$33,0))))))/Skills!H7+0.000000001),1)))/Inputs!$B$44),G2390*Q2390))*IF(Inputs!$B$39="pvp",1,(1+(Inputs!$B$22+Skills!Q7+((C2400=TRUE)*F2400*IF(AND(Inputs!$B$39&lt;&gt;"pvp",Inputs!$B$44&gt;0),(((R2400-1)*MIN((Skills!T17*(1+Inputs!$B$35/100)),(1/Q2400))+MIN((Skills!T17*(1+Inputs!$B$35/100)),MAX(0,Inputs!$B$44-((R2400-1)*(1/Q2400)))))/Inputs!$B$44),IF(Inputs!$B$39="pvp",MIN((Skills!T17*(1+Inputs!$B$35/100)),15)/15,MIN(1,(Skills!T17*(1+Inputs!$B$35/100))/(1/Q2400)))))+((C2388=TRUE)*IF(Inputs!$B$3&gt;=126,10*MIN(1,15*Q2388),0))+((C2397=TRUE)*IF(Inputs!$B$39="pvp",20,(1-Summary!$B$11)*(20)+Summary!$B$11*(0))*IF(AND(Inputs!$B$39&lt;&gt;"pvp",Inputs!$B$44&gt;0),(((R2397-1)*MIN((Skills!T14*(1+Inputs!$B$35/100)),(1/Q2397))+MIN((Skills!T14*(1+Inputs!$B$35/100)),MAX(0,Inputs!$B$44-((R2397-1)*(1/Q2397)))))/Inputs!$B$44),IF(Inputs!$B$39="pvp",MIN((Skills!T14*(1+Inputs!$B$35/100)),15)/15,MIN(1,(Skills!T14*(1+Inputs!$B$35/100))/(1/Q2397)))))+((C2396=TRUE)*IF(Inputs!$B$3&gt;=82,IF(Inputs!$B$39="pvp",20,(1-Summary!$B$11)*(20)+Summary!$B$11*(0)),0)*IF(AND(Inputs!$B$39&lt;&gt;"pvp",Inputs!$B$44&gt;0),(((R2396-1)*MIN((Skills!T13*(1+Inputs!$B$35/100)),(1/Q2396))+MIN((Skills!T13*(1+Inputs!$B$35/100)),MAX(0,Inputs!$B$44-((R2396-1)*(1/Q2396)))))/Inputs!$B$44),IF(Inputs!$B$39="pvp",MIN((Skills!T13*(1+Inputs!$B$35/100)),15)/15,MIN(1,(Skills!T13*(1+Inputs!$B$35/100))/(1/Q2396)))))+(IF(AND(ArtifactsInput!$M$35,Inputs!$B$4&lt;&gt;"Chapter Hunt"),CHOOSE(ArtifactsInput!$N$35+1,15,18,21,24,27,30)*(1-EXP(-(0.2*B2414)*5)),0)+IF(AND(ArtifactsInput!$M$22,Inputs!$B$4&lt;&gt;"Chapter Hunt"),CHOOSE(ArtifactsInput!$N$22+1,10,12,14,16,18,20)*((0*(((0.15*B2414*5))^0/1)+1*(((0.15*B2414*5))^1/1)+2*(((0.15*B2414*5))^2/2)+3*(((0.15*B2414*5))^3/6)+4*(((0.15*B2414*5))^4/24)+5*(((0.15*B2414*5))^5/120))/((((0.15*B2414*5))^0/1)+(((0.15*B2414*5))^1/1)+(((0.15*B2414*5))^2/2)+(((0.15*B2414*5))^3/6)+(((0.15*B2414*5))^4/24)+(((0.15*B2414*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91">
      <c r="A2391">
        <f>Skills!A8</f>
        <v/>
      </c>
      <c r="B2391">
        <f>Skills!B8</f>
        <v/>
      </c>
      <c r="C2391">
        <f>Inputs!$B$3&gt;=75</f>
        <v/>
      </c>
      <c r="D2391">
        <f>IF(Skills!C8=1,60+Inputs!$B$26+Inputs!$B$30,IF(Skills!C8=2,90+Inputs!$B$27+Inputs!$B$30,IF(Skills!C8=3,120+Inputs!$B$28+Inputs!$B$30,MAX(0,(Inputs!$B$3-100)*3)+Inputs!$B$29+Inputs!$B$30)))</f>
        <v/>
      </c>
      <c r="E2391">
        <f>INDEX(FactorTable!$B$2:$Y$301, MATCH(ROUND(MIN(300,MAX(1,D2391)),0), FactorTable!$A$2:$A$301,0), Skills!M8+1)</f>
        <v/>
      </c>
      <c r="F2391">
        <f>IF(Skills!N8=TRUE,(Skills!L8/10)*(E2391/1000),Skills!L8/10)+Skills!O8</f>
        <v/>
      </c>
      <c r="G2391" t="inlineStr"/>
      <c r="H2391" t="inlineStr"/>
      <c r="I2391" t="inlineStr">
        <is>
          <t>1</t>
        </is>
      </c>
      <c r="J2391" t="inlineStr"/>
      <c r="K2391" t="inlineStr"/>
      <c r="L2391" t="inlineStr"/>
      <c r="M2391" t="inlineStr"/>
      <c r="N2391" t="inlineStr"/>
      <c r="O2391" t="inlineStr"/>
      <c r="P2391" t="inlineStr"/>
      <c r="Q2391" t="inlineStr"/>
      <c r="R2391" t="inlineStr"/>
      <c r="S2391" t="inlineStr"/>
    </row>
    <row r="2392">
      <c r="A2392">
        <f>Skills!A9</f>
        <v/>
      </c>
      <c r="B2392">
        <f>Skills!B9</f>
        <v/>
      </c>
      <c r="C2392">
        <f>Inputs!$B$3&gt;=60</f>
        <v/>
      </c>
      <c r="D2392">
        <f>IF(Skills!C9=1,60+Inputs!$B$26+Inputs!$B$30,IF(Skills!C9=2,90+Inputs!$B$27+Inputs!$B$30,IF(Skills!C9=3,120+Inputs!$B$28+Inputs!$B$30,MAX(0,(Inputs!$B$3-100)*3)+Inputs!$B$29+Inputs!$B$30)))</f>
        <v/>
      </c>
      <c r="E2392">
        <f>INDEX(FactorTable!$B$2:$Y$301, MATCH(ROUND(MIN(300,MAX(1,D2392)),0), FactorTable!$A$2:$A$301,0), Skills!M9+1)</f>
        <v/>
      </c>
      <c r="F2392">
        <f>IF(Skills!N9=TRUE,(Skills!L9/10)*(E2392/1000),Skills!L9/10)+Skills!O9</f>
        <v/>
      </c>
      <c r="G2392">
        <f>Skills!G9*IF(Skills!H9&gt;0,INT(IF(Inputs!$B$39="pvp",MIN(Skills!I9,15),Skills!I9)/Skills!H9+0.000000001),1)</f>
        <v/>
      </c>
      <c r="H2392">
        <f>1-(1-Skills!J9/100)^Skills!K9</f>
        <v/>
      </c>
      <c r="I2392" t="inlineStr">
        <is>
          <t>1</t>
        </is>
      </c>
      <c r="J2392">
        <f>((Inputs!$B$6*(1+Inputs!$B$7/100))+(((Inputs!$B$13*(1+Inputs!$B$14/100))-(Inputs!$B$13*(1+Inputs!$B$14/100)))+0.25*(Inputs!$B$15-Inputs!$B$15))*(1+Inputs!$B$7/100))*(F2392/100)</f>
        <v/>
      </c>
      <c r="K2392">
        <f>J2392*(1+(((Inputs!$B$13+IF(Inputs!$B$3&gt;=38,(10*INDEX(FactorTable!$B$2:$Y$301, MATCH(ROUND(MIN(300,MAX(1,Inputs!$B$3)),0), FactorTable!$A$2:$A$301,0), 23)/1000)/100*(Inputs!$B$8*(1+Inputs!$B$9/100)),0))*(1+Inputs!$B$14/100))*0.01+Inputs!$B$15*0.0025)/100)*(1+Inputs!$B$16/100)*(1+Inputs!$B$17/100)*(5000/(6000+Inputs!$B$43*(1-(Inputs!$B$20+0)/100)))*(1+(Inputs!$B$25+((C2408=TRUE)*(F2408-Calc!F25))+((C2409=TRUE)*(F2409-Calc!F26))+B2418)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$12-60))),0)))/100)*(1+1.0*IF(C2394=TRUE,F2394,0)/100)*(1+(IF(Skills!A9="DARK_IMPALE",Inputs!$B$18+0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gt;=100),MIN(100,((Inputs!$B$10+0+B2412+(ArtifactsInput!$M$24-ArtifactsInput!$M$24)*CHOOSE(ArtifactsInput!$N$24+1,10,12,14,16,18,20)+IF(ArtifactsInput!$M$10,CHOOSE(ArtifactsInput!$N$10+1,15,18,21,24,27,30)*(IF(Inputs!$B$39="pvp",MIN(15,15)/15,IF(AND(Inputs!$B$39&lt;&gt;"pvp",Inputs!$B$44&gt;0),MIN(15,Inputs!$B$44)/(Inputs!$B$44),0))),0)))-100),0))*CHOOSE(ArtifactsInput!$N$42+1,0.6,0.72,0.84,0.96,1.08,1.2))),Inputs!$B$19+((C2406=TRUE)*(F2406-Calc!F23))+(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gt;=100),CHOOSE(ArtifactsInput!$N$42+1,40,48,56,64,72,80),0))))/100)*((1+(((C2396=TRUE)*F2396*IF(AND(Inputs!$B$39&lt;&gt;"pvp",Inputs!$B$44&gt;0),(((R2396-1)*MIN((Skills!T13*(1+Inputs!$B$35/100)),(1/Q2396))+MIN((Skills!T13*(1+Inputs!$B$35/100)),MAX(0,Inputs!$B$44-((R2396-1)*(1/Q2396)))))/Inputs!$B$44),IF(Inputs!$B$39="pvp",MIN((Skills!T13*(1+Inputs!$B$35/100)),15)/15,MIN(1,(Skills!T13*(1+Inputs!$B$35/100))/(1/Q2396)))))+((C2397=TRUE)*F2397*IF(AND(Inputs!$B$39&lt;&gt;"pvp",Inputs!$B$44&gt;0),(((R2397-1)*MIN((Skills!T14*(1+Inputs!$B$35/100)),(1/Q2397))+MIN((Skills!T14*(1+Inputs!$B$35/100)),MAX(0,Inputs!$B$44-((R2397-1)*(1/Q2397)))))/Inputs!$B$44),IF(Inputs!$B$39="pvp",MIN((Skills!T14*(1+Inputs!$B$35/100)),15)/15,MIN(1,(Skills!T14*(1+Inputs!$B$35/100))/(1/Q2397)))))+((C2398=TRUE)*F2398*IF(AND(Inputs!$B$39&lt;&gt;"pvp",Inputs!$B$44&gt;0),(((R2398-1)*MIN((Skills!T15*(1+Inputs!$B$35/100)),(1/Q2398))+MIN((Skills!T15*(1+Inputs!$B$35/100)),MAX(0,Inputs!$B$44-((R2398-1)*(1/Q2398)))))/Inputs!$B$44),IF(Inputs!$B$39="pvp",MIN((Skills!T15*(1+Inputs!$B$35/100)),15)/15,MIN(1,(Skills!T15*(1+Inputs!$B$35/100))/(1/Q2398)))))+((C2399=TRUE)*F2399*IF(AND(Inputs!$B$39&lt;&gt;"pvp",Inputs!$B$44&gt;0),(((R2399-1)*MIN((Skills!T16*(1+Inputs!$B$35/100)),(1/Q2399))+MIN((Skills!T16*(1+Inputs!$B$35/100)),MAX(0,Inputs!$B$44-((R2399-1)*(1/Q2399)))))/Inputs!$B$44),IF(Inputs!$B$39="pvp",MIN((Skills!T16*(1+Inputs!$B$35/100)),15)/15,MIN(1,(Skills!T16*(1+Inputs!$B$35/100))/(1/Q2399)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2392)</f>
        <v/>
      </c>
      <c r="L2392">
        <f>K2392*(MIN(Inputs!$B$23+((C2405=TRUE)*(F2405-Calc!F22)),(Inputs!$B$24+((C2407=TRUE)*(F2407-Calc!F24))+(IF(ArtifactsInput!$M$15,CHOOSE(ArtifactsInput!$N$15+1,25,30,35,40,45,50)/100*(Inputs!$B$12-Inputs!$B$12),0))))/100+(Inputs!$B$24+((C2407=TRUE)*(F2407-Calc!F24))+(IF(ArtifactsInput!$M$15,CHOOSE(ArtifactsInput!$N$15+1,25,30,35,40,45,50)/100*(Inputs!$B$12-Inputs!$B$12),0)))/100)/2</f>
        <v/>
      </c>
      <c r="M2392">
        <f>L2392*(1+(Inputs!$B$11+0+B2417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392">
        <f>L2392*(1-MIN((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2392*(MIN((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92">
        <f>(1-Summary!$B$11)*T2392+Summary!$B$11*V2392</f>
        <v/>
      </c>
      <c r="P2392">
        <f>IF(B2422=0,0,O2392/B2422)</f>
        <v/>
      </c>
      <c r="Q2392">
        <f>IFERROR(1/IF(Inputs!$B$39="pvp",15,MAX(0.1,Skills!D9-IF(TRUE=TRUE,Inputs!$B$33,0))),0)</f>
        <v/>
      </c>
      <c r="R2392">
        <f>IF(AND(Inputs!$B$39&lt;&gt;"pvp",Inputs!$B$44&gt;0),IF(MAX(0,Inputs!$B$44-B2419)&lt;=0,0,(INT(MAX(0,Inputs!$B$44-B2419)/IF(Inputs!$B$39="pvp",15,MAX(0.1,Skills!D9-IF(TRUE=TRUE,Inputs!$B$33,0))))+1)),0)</f>
        <v/>
      </c>
      <c r="S2392">
        <f>IFERROR(O2392/N2392,0)</f>
        <v/>
      </c>
      <c r="T2392">
        <f>IF(C2392,(H2392*N2392*IF(AND(Inputs!$B$39&lt;&gt;"pvp",Inputs!$B$44&gt;0),((Skills!G9*((R2392-1)*IF(Skills!H9&gt;0,INT(Skills!I9/Skills!H9+0.000000001),1)+IF(Skills!H9&gt;0,INT(MIN(Skills!I9,MAX(0,MAX(0,Inputs!$B$44-B2419)-((R2392-1)*IF(Inputs!$B$39="pvp",15,MAX(0.1,Skills!D9-IF(TRUE=TRUE,Inputs!$B$33,0))))))/Skills!H9+0.000000001),1)))/Inputs!$B$44),G2392*Q2392))*IF(Inputs!$B$39="pvp",1,1+(Inputs!$B$21+0+Skills!P9+((C2400=TRUE)*F2400*IF(AND(Inputs!$B$39&lt;&gt;"pvp",Inputs!$B$44&gt;0),(((R2400-1)*MIN((Skills!T17*(1+Inputs!$B$35/100)),(1/Q2400))+MIN((Skills!T17*(1+Inputs!$B$35/100)),MAX(0,Inputs!$B$44-((R2400-1)*(1/Q2400)))))/Inputs!$B$44),IF(Inputs!$B$39="pvp",MIN((Skills!T17*(1+Inputs!$B$35/100)),15)/15,MIN(1,(Skills!T17*(1+Inputs!$B$35/100))/(1/Q2400)))))+((C2388=TRUE)*IF(Inputs!$B$3&gt;=126,10*MIN(1,15*Q2388),0))+((C2397=TRUE)*IF(Inputs!$B$39="pvp",20,(1-Summary!$B$11)*(20)+Summary!$B$11*(0))*IF(AND(Inputs!$B$39&lt;&gt;"pvp",Inputs!$B$44&gt;0),(((R2397-1)*MIN((Skills!T14*(1+Inputs!$B$35/100)),(1/Q2397))+MIN((Skills!T14*(1+Inputs!$B$35/100)),MAX(0,Inputs!$B$44-((R2397-1)*(1/Q2397)))))/Inputs!$B$44),IF(Inputs!$B$39="pvp",MIN((Skills!T14*(1+Inputs!$B$35/100)),15)/15,MIN(1,(Skills!T14*(1+Inputs!$B$35/100))/(1/Q2397)))))+((C2396=TRUE)*IF(Inputs!$B$3&gt;=82,IF(Inputs!$B$39="pvp",20,(1-Summary!$B$11)*(20)+Summary!$B$11*(0)),0)*IF(AND(Inputs!$B$39&lt;&gt;"pvp",Inputs!$B$44&gt;0),(((R2396-1)*MIN((Skills!T13*(1+Inputs!$B$35/100)),(1/Q2396))+MIN((Skills!T13*(1+Inputs!$B$35/100)),MAX(0,Inputs!$B$44-((R2396-1)*(1/Q2396)))))/Inputs!$B$44),IF(Inputs!$B$39="pvp",MIN((Skills!T13*(1+Inputs!$B$35/100)),15)/15,MIN(1,(Skills!T13*(1+Inputs!$B$35/100))/(1/Q2396)))))+(IF(AND(ArtifactsInput!$M$35,Inputs!$B$4&lt;&gt;"Chapter Hunt"),CHOOSE(ArtifactsInput!$N$35+1,15,18,21,24,27,30)*(1-EXP(-(0.2*B2414)*5)),0)+IF(AND(ArtifactsInput!$M$22,Inputs!$B$4&lt;&gt;"Chapter Hunt"),CHOOSE(ArtifactsInput!$N$22+1,10,12,14,16,18,20)*((0*(((0.15*B2414*5))^0/1)+1*(((0.15*B2414*5))^1/1)+2*(((0.15*B2414*5))^2/2)+3*(((0.15*B2414*5))^3/6)+4*(((0.15*B2414*5))^4/24)+5*(((0.15*B2414*5))^5/120))/((((0.15*B2414*5))^0/1)+(((0.15*B2414*5))^1/1)+(((0.15*B2414*5))^2/2)+(((0.15*B2414*5))^3/6)+(((0.15*B2414*5))^4/24)+(((0.15*B2414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2392*(1-MIN(100,(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2392*(MIN(100,(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2392*(1-MIN(100,(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2392*(MIN(100,(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92">
        <f>IF(C2392,(H2392*N2392*IF(AND(Inputs!$B$39&lt;&gt;"pvp",Inputs!$B$44&gt;0),((Skills!G9*((R2392-1)*IF(Skills!H9&gt;0,INT(Skills!I9/Skills!H9+0.000000001),1)+IF(Skills!H9&gt;0,INT(MIN(Skills!I9,MAX(0,MAX(0,Inputs!$B$44-B2419)-((R2392-1)*IF(Inputs!$B$39="pvp",15,MAX(0.1,Skills!D9-IF(TRUE=TRUE,Inputs!$B$33,0))))))/Skills!H9+0.000000001),1)))/Inputs!$B$44),G2392*Q2392))*IF(Inputs!$B$39="pvp",1,(1+(Inputs!$B$22+Skills!Q9+((C2400=TRUE)*F2400*IF(AND(Inputs!$B$39&lt;&gt;"pvp",Inputs!$B$44&gt;0),(((R2400-1)*MIN((Skills!T17*(1+Inputs!$B$35/100)),(1/Q2400))+MIN((Skills!T17*(1+Inputs!$B$35/100)),MAX(0,Inputs!$B$44-((R2400-1)*(1/Q2400)))))/Inputs!$B$44),IF(Inputs!$B$39="pvp",MIN((Skills!T17*(1+Inputs!$B$35/100)),15)/15,MIN(1,(Skills!T17*(1+Inputs!$B$35/100))/(1/Q2400)))))+((C2388=TRUE)*IF(Inputs!$B$3&gt;=126,10*MIN(1,15*Q2388),0))+((C2397=TRUE)*IF(Inputs!$B$39="pvp",20,(1-Summary!$B$11)*(20)+Summary!$B$11*(0))*IF(AND(Inputs!$B$39&lt;&gt;"pvp",Inputs!$B$44&gt;0),(((R2397-1)*MIN((Skills!T14*(1+Inputs!$B$35/100)),(1/Q2397))+MIN((Skills!T14*(1+Inputs!$B$35/100)),MAX(0,Inputs!$B$44-((R2397-1)*(1/Q2397)))))/Inputs!$B$44),IF(Inputs!$B$39="pvp",MIN((Skills!T14*(1+Inputs!$B$35/100)),15)/15,MIN(1,(Skills!T14*(1+Inputs!$B$35/100))/(1/Q2397)))))+((C2396=TRUE)*IF(Inputs!$B$3&gt;=82,IF(Inputs!$B$39="pvp",20,(1-Summary!$B$11)*(20)+Summary!$B$11*(0)),0)*IF(AND(Inputs!$B$39&lt;&gt;"pvp",Inputs!$B$44&gt;0),(((R2396-1)*MIN((Skills!T13*(1+Inputs!$B$35/100)),(1/Q2396))+MIN((Skills!T13*(1+Inputs!$B$35/100)),MAX(0,Inputs!$B$44-((R2396-1)*(1/Q2396)))))/Inputs!$B$44),IF(Inputs!$B$39="pvp",MIN((Skills!T13*(1+Inputs!$B$35/100)),15)/15,MIN(1,(Skills!T13*(1+Inputs!$B$35/100))/(1/Q2396)))))+(IF(AND(ArtifactsInput!$M$35,Inputs!$B$4&lt;&gt;"Chapter Hunt"),CHOOSE(ArtifactsInput!$N$35+1,15,18,21,24,27,30)*(1-EXP(-(0.2*B2414)*5)),0)+IF(AND(ArtifactsInput!$M$22,Inputs!$B$4&lt;&gt;"Chapter Hunt"),CHOOSE(ArtifactsInput!$N$22+1,10,12,14,16,18,20)*((0*(((0.15*B2414*5))^0/1)+1*(((0.15*B2414*5))^1/1)+2*(((0.15*B2414*5))^2/2)+3*(((0.15*B2414*5))^3/6)+4*(((0.15*B2414*5))^4/24)+5*(((0.15*B2414*5))^5/120))/((((0.15*B2414*5))^0/1)+(((0.15*B2414*5))^1/1)+(((0.15*B2414*5))^2/2)+(((0.15*B2414*5))^3/6)+(((0.15*B2414*5))^4/24)+(((0.15*B2414*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93">
      <c r="A2393">
        <f>Skills!A10</f>
        <v/>
      </c>
      <c r="B2393">
        <f>Skills!B10</f>
        <v/>
      </c>
      <c r="C2393">
        <f>Inputs!$B$3&gt;=110</f>
        <v/>
      </c>
      <c r="D2393">
        <f>IF(Skills!C10=1,60+Inputs!$B$26+Inputs!$B$30,IF(Skills!C10=2,90+Inputs!$B$27+Inputs!$B$30,IF(Skills!C10=3,120+Inputs!$B$28+Inputs!$B$30,MAX(0,(Inputs!$B$3-100)*3)+Inputs!$B$29+Inputs!$B$30)))</f>
        <v/>
      </c>
      <c r="E2393">
        <f>INDEX(FactorTable!$B$2:$Y$301, MATCH(ROUND(MIN(300,MAX(1,D2393)),0), FactorTable!$A$2:$A$301,0), Skills!M10+1)</f>
        <v/>
      </c>
      <c r="F2393">
        <f>IF(Skills!N10=TRUE,(Skills!L10/10)*(E2393/1000),Skills!L10/10)+Skills!O10</f>
        <v/>
      </c>
      <c r="G2393">
        <f>Skills!G10*IF(Skills!H10&gt;0,INT(IF(Inputs!$B$39="pvp",MIN(Skills!I10,15),Skills!I10)/Skills!H10+0.000000001),1)</f>
        <v/>
      </c>
      <c r="H2393">
        <f>1-(1-Skills!J10/100)^Skills!K10</f>
        <v/>
      </c>
      <c r="I2393" t="inlineStr">
        <is>
          <t>1</t>
        </is>
      </c>
      <c r="J2393">
        <f>((Inputs!$B$6*(1+Inputs!$B$7/100))+(((Inputs!$B$13*(1+Inputs!$B$14/100))-(Inputs!$B$13*(1+Inputs!$B$14/100)))+0.25*(Inputs!$B$15-Inputs!$B$15))*(1+Inputs!$B$7/100))*(F2393/100)</f>
        <v/>
      </c>
      <c r="K2393">
        <f>J2393*(1+(((Inputs!$B$13+IF(Inputs!$B$3&gt;=38,(10*INDEX(FactorTable!$B$2:$Y$301, MATCH(ROUND(MIN(300,MAX(1,Inputs!$B$3)),0), FactorTable!$A$2:$A$301,0), 23)/1000)/100*(Inputs!$B$8*(1+Inputs!$B$9/100)),0))*(1+Inputs!$B$14/100))*0.01+Inputs!$B$15*0.0025)/100)*(1+Inputs!$B$16/100)*(1+Inputs!$B$17/100)*(5000/(6000+Inputs!$B$43*(1-(Inputs!$B$20+0)/100)))*(1+(Inputs!$B$25+((C2408=TRUE)*(F2408-Calc!F25))+((C2409=TRUE)*(F2409-Calc!F26))+B2418)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$12-60))),0)))/100)*(1+(IF(Skills!A10="DARK_IMPALE",Inputs!$B$18+0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gt;=100),MIN(100,((Inputs!$B$10+0+B2412+(ArtifactsInput!$M$24-ArtifactsInput!$M$24)*CHOOSE(ArtifactsInput!$N$24+1,10,12,14,16,18,20)+IF(ArtifactsInput!$M$10,CHOOSE(ArtifactsInput!$N$10+1,15,18,21,24,27,30)*(IF(Inputs!$B$39="pvp",MIN(15,15)/15,IF(AND(Inputs!$B$39&lt;&gt;"pvp",Inputs!$B$44&gt;0),MIN(15,Inputs!$B$44)/(Inputs!$B$44),0))),0)))-100),0))*CHOOSE(ArtifactsInput!$N$42+1,0.6,0.72,0.84,0.96,1.08,1.2))),Inputs!$B$19+((C2406=TRUE)*(F2406-Calc!F23))+(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gt;=100),CHOOSE(ArtifactsInput!$N$42+1,40,48,56,64,72,80),0))))/100)*((1+(((C2396=TRUE)*F2396*IF(AND(Inputs!$B$39&lt;&gt;"pvp",Inputs!$B$44&gt;0),(((R2396-1)*MIN((Skills!T13*(1+Inputs!$B$35/100)),(1/Q2396))+MIN((Skills!T13*(1+Inputs!$B$35/100)),MAX(0,Inputs!$B$44-((R2396-1)*(1/Q2396)))))/Inputs!$B$44),IF(Inputs!$B$39="pvp",MIN((Skills!T13*(1+Inputs!$B$35/100)),15)/15,MIN(1,(Skills!T13*(1+Inputs!$B$35/100))/(1/Q2396)))))+((C2397=TRUE)*F2397*IF(AND(Inputs!$B$39&lt;&gt;"pvp",Inputs!$B$44&gt;0),(((R2397-1)*MIN((Skills!T14*(1+Inputs!$B$35/100)),(1/Q2397))+MIN((Skills!T14*(1+Inputs!$B$35/100)),MAX(0,Inputs!$B$44-((R2397-1)*(1/Q2397)))))/Inputs!$B$44),IF(Inputs!$B$39="pvp",MIN((Skills!T14*(1+Inputs!$B$35/100)),15)/15,MIN(1,(Skills!T14*(1+Inputs!$B$35/100))/(1/Q2397)))))+((C2398=TRUE)*F2398*IF(AND(Inputs!$B$39&lt;&gt;"pvp",Inputs!$B$44&gt;0),(((R2398-1)*MIN((Skills!T15*(1+Inputs!$B$35/100)),(1/Q2398))+MIN((Skills!T15*(1+Inputs!$B$35/100)),MAX(0,Inputs!$B$44-((R2398-1)*(1/Q2398)))))/Inputs!$B$44),IF(Inputs!$B$39="pvp",MIN((Skills!T15*(1+Inputs!$B$35/100)),15)/15,MIN(1,(Skills!T15*(1+Inputs!$B$35/100))/(1/Q2398)))))+((C2399=TRUE)*F2399*IF(AND(Inputs!$B$39&lt;&gt;"pvp",Inputs!$B$44&gt;0),(((R2399-1)*MIN((Skills!T16*(1+Inputs!$B$35/100)),(1/Q2399))+MIN((Skills!T16*(1+Inputs!$B$35/100)),MAX(0,Inputs!$B$44-((R2399-1)*(1/Q2399)))))/Inputs!$B$44),IF(Inputs!$B$39="pvp",MIN((Skills!T16*(1+Inputs!$B$35/100)),15)/15,MIN(1,(Skills!T16*(1+Inputs!$B$35/100))/(1/Q2399)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2393)</f>
        <v/>
      </c>
      <c r="L2393">
        <f>K2393*(MIN(Inputs!$B$23+((C2405=TRUE)*(F2405-Calc!F22)),(Inputs!$B$24+((C2407=TRUE)*(F2407-Calc!F24))+(IF(ArtifactsInput!$M$15,CHOOSE(ArtifactsInput!$N$15+1,25,30,35,40,45,50)/100*(Inputs!$B$12-Inputs!$B$12),0))))/100+(Inputs!$B$24+((C2407=TRUE)*(F2407-Calc!F24))+(IF(ArtifactsInput!$M$15,CHOOSE(ArtifactsInput!$N$15+1,25,30,35,40,45,50)/100*(Inputs!$B$12-Inputs!$B$12),0)))/100)/2</f>
        <v/>
      </c>
      <c r="M2393">
        <f>L2393*(1+(Inputs!$B$11+0+B2417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393">
        <f>L2393*(1-MIN((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2393*(MIN((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93">
        <f>(1-Summary!$B$11)*T2393+Summary!$B$11*V2393</f>
        <v/>
      </c>
      <c r="P2393">
        <f>IF(B2422=0,0,O2393/B2422)</f>
        <v/>
      </c>
      <c r="Q2393">
        <f>IFERROR(1/IF(Inputs!$B$39="pvp",15,MAX(0.1,Skills!D10-IF(TRUE=TRUE,Inputs!$B$33,0))),0)</f>
        <v/>
      </c>
      <c r="R2393">
        <f>IF(AND(Inputs!$B$39&lt;&gt;"pvp",Inputs!$B$44&gt;0),IF(MAX(0,Inputs!$B$44-B2419)&lt;=0,0,(INT(MAX(0,Inputs!$B$44-B2419)/IF(Inputs!$B$39="pvp",15,MAX(0.1,Skills!D10-IF(TRUE=TRUE,Inputs!$B$33,0))))+1)),0)</f>
        <v/>
      </c>
      <c r="S2393">
        <f>IFERROR(O2393/N2393,0)</f>
        <v/>
      </c>
      <c r="T2393">
        <f>IF(C2393,(H2393*N2393*IF(AND(Inputs!$B$39&lt;&gt;"pvp",Inputs!$B$44&gt;0),((Skills!G10*((R2393-1)*IF(Skills!H10&gt;0,INT(Skills!I10/Skills!H10+0.000000001),1)+IF(Skills!H10&gt;0,INT(MIN(Skills!I10,MAX(0,MAX(0,Inputs!$B$44-B2419)-((R2393-1)*IF(Inputs!$B$39="pvp",15,MAX(0.1,Skills!D10-IF(TRUE=TRUE,Inputs!$B$33,0))))))/Skills!H10+0.000000001),1)))/Inputs!$B$44),G2393*Q2393))*IF(Inputs!$B$39="pvp",1,1+(Inputs!$B$21+0+Skills!P10+((C2400=TRUE)*F2400*IF(AND(Inputs!$B$39&lt;&gt;"pvp",Inputs!$B$44&gt;0),(((R2400-1)*MIN((Skills!T17*(1+Inputs!$B$35/100)),(1/Q2400))+MIN((Skills!T17*(1+Inputs!$B$35/100)),MAX(0,Inputs!$B$44-((R2400-1)*(1/Q2400)))))/Inputs!$B$44),IF(Inputs!$B$39="pvp",MIN((Skills!T17*(1+Inputs!$B$35/100)),15)/15,MIN(1,(Skills!T17*(1+Inputs!$B$35/100))/(1/Q2400)))))+((C2388=TRUE)*IF(Inputs!$B$3&gt;=126,10*MIN(1,15*Q2388),0))+((C2397=TRUE)*IF(Inputs!$B$39="pvp",20,(1-Summary!$B$11)*(20)+Summary!$B$11*(0))*IF(AND(Inputs!$B$39&lt;&gt;"pvp",Inputs!$B$44&gt;0),(((R2397-1)*MIN((Skills!T14*(1+Inputs!$B$35/100)),(1/Q2397))+MIN((Skills!T14*(1+Inputs!$B$35/100)),MAX(0,Inputs!$B$44-((R2397-1)*(1/Q2397)))))/Inputs!$B$44),IF(Inputs!$B$39="pvp",MIN((Skills!T14*(1+Inputs!$B$35/100)),15)/15,MIN(1,(Skills!T14*(1+Inputs!$B$35/100))/(1/Q2397)))))+((C2396=TRUE)*IF(Inputs!$B$3&gt;=82,IF(Inputs!$B$39="pvp",20,(1-Summary!$B$11)*(20)+Summary!$B$11*(0)),0)*IF(AND(Inputs!$B$39&lt;&gt;"pvp",Inputs!$B$44&gt;0),(((R2396-1)*MIN((Skills!T13*(1+Inputs!$B$35/100)),(1/Q2396))+MIN((Skills!T13*(1+Inputs!$B$35/100)),MAX(0,Inputs!$B$44-((R2396-1)*(1/Q2396)))))/Inputs!$B$44),IF(Inputs!$B$39="pvp",MIN((Skills!T13*(1+Inputs!$B$35/100)),15)/15,MIN(1,(Skills!T13*(1+Inputs!$B$35/100))/(1/Q2396)))))+(IF(AND(ArtifactsInput!$M$35,Inputs!$B$4&lt;&gt;"Chapter Hunt"),CHOOSE(ArtifactsInput!$N$35+1,15,18,21,24,27,30)*(1-EXP(-(0.2*B2414)*5)),0)+IF(AND(ArtifactsInput!$M$22,Inputs!$B$4&lt;&gt;"Chapter Hunt"),CHOOSE(ArtifactsInput!$N$22+1,10,12,14,16,18,20)*((0*(((0.15*B2414*5))^0/1)+1*(((0.15*B2414*5))^1/1)+2*(((0.15*B2414*5))^2/2)+3*(((0.15*B2414*5))^3/6)+4*(((0.15*B2414*5))^4/24)+5*(((0.15*B2414*5))^5/120))/((((0.15*B2414*5))^0/1)+(((0.15*B2414*5))^1/1)+(((0.15*B2414*5))^2/2)+(((0.15*B2414*5))^3/6)+(((0.15*B2414*5))^4/24)+(((0.15*B2414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2393*(1-MIN(100,(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2393*(MIN(100,(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2393*(1-MIN(100,(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2393*(MIN(100,(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93">
        <f>IF(C2393,(H2393*N2393*IF(AND(Inputs!$B$39&lt;&gt;"pvp",Inputs!$B$44&gt;0),((Skills!G10*((R2393-1)*IF(Skills!H10&gt;0,INT(Skills!I10/Skills!H10+0.000000001),1)+IF(Skills!H10&gt;0,INT(MIN(Skills!I10,MAX(0,MAX(0,Inputs!$B$44-B2419)-((R2393-1)*IF(Inputs!$B$39="pvp",15,MAX(0.1,Skills!D10-IF(TRUE=TRUE,Inputs!$B$33,0))))))/Skills!H10+0.000000001),1)))/Inputs!$B$44),G2393*Q2393))*IF(Inputs!$B$39="pvp",1,(1+(Inputs!$B$22+Skills!Q10+((C2400=TRUE)*F2400*IF(AND(Inputs!$B$39&lt;&gt;"pvp",Inputs!$B$44&gt;0),(((R2400-1)*MIN((Skills!T17*(1+Inputs!$B$35/100)),(1/Q2400))+MIN((Skills!T17*(1+Inputs!$B$35/100)),MAX(0,Inputs!$B$44-((R2400-1)*(1/Q2400)))))/Inputs!$B$44),IF(Inputs!$B$39="pvp",MIN((Skills!T17*(1+Inputs!$B$35/100)),15)/15,MIN(1,(Skills!T17*(1+Inputs!$B$35/100))/(1/Q2400)))))+((C2388=TRUE)*IF(Inputs!$B$3&gt;=126,10*MIN(1,15*Q2388),0))+((C2397=TRUE)*IF(Inputs!$B$39="pvp",20,(1-Summary!$B$11)*(20)+Summary!$B$11*(0))*IF(AND(Inputs!$B$39&lt;&gt;"pvp",Inputs!$B$44&gt;0),(((R2397-1)*MIN((Skills!T14*(1+Inputs!$B$35/100)),(1/Q2397))+MIN((Skills!T14*(1+Inputs!$B$35/100)),MAX(0,Inputs!$B$44-((R2397-1)*(1/Q2397)))))/Inputs!$B$44),IF(Inputs!$B$39="pvp",MIN((Skills!T14*(1+Inputs!$B$35/100)),15)/15,MIN(1,(Skills!T14*(1+Inputs!$B$35/100))/(1/Q2397)))))+((C2396=TRUE)*IF(Inputs!$B$3&gt;=82,IF(Inputs!$B$39="pvp",20,(1-Summary!$B$11)*(20)+Summary!$B$11*(0)),0)*IF(AND(Inputs!$B$39&lt;&gt;"pvp",Inputs!$B$44&gt;0),(((R2396-1)*MIN((Skills!T13*(1+Inputs!$B$35/100)),(1/Q2396))+MIN((Skills!T13*(1+Inputs!$B$35/100)),MAX(0,Inputs!$B$44-((R2396-1)*(1/Q2396)))))/Inputs!$B$44),IF(Inputs!$B$39="pvp",MIN((Skills!T13*(1+Inputs!$B$35/100)),15)/15,MIN(1,(Skills!T13*(1+Inputs!$B$35/100))/(1/Q2396)))))+(IF(AND(ArtifactsInput!$M$35,Inputs!$B$4&lt;&gt;"Chapter Hunt"),CHOOSE(ArtifactsInput!$N$35+1,15,18,21,24,27,30)*(1-EXP(-(0.2*B2414)*5)),0)+IF(AND(ArtifactsInput!$M$22,Inputs!$B$4&lt;&gt;"Chapter Hunt"),CHOOSE(ArtifactsInput!$N$22+1,10,12,14,16,18,20)*((0*(((0.15*B2414*5))^0/1)+1*(((0.15*B2414*5))^1/1)+2*(((0.15*B2414*5))^2/2)+3*(((0.15*B2414*5))^3/6)+4*(((0.15*B2414*5))^4/24)+5*(((0.15*B2414*5))^5/120))/((((0.15*B2414*5))^0/1)+(((0.15*B2414*5))^1/1)+(((0.15*B2414*5))^2/2)+(((0.15*B2414*5))^3/6)+(((0.15*B2414*5))^4/24)+(((0.15*B2414*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94">
      <c r="A2394">
        <f>Skills!A11</f>
        <v/>
      </c>
      <c r="B2394">
        <f>Skills!B11</f>
        <v/>
      </c>
      <c r="C2394">
        <f>Inputs!$B$3&gt;=100</f>
        <v/>
      </c>
      <c r="D2394">
        <f>IF(Skills!C11=1,60+Inputs!$B$26+Inputs!$B$30,IF(Skills!C11=2,90+Inputs!$B$27+Inputs!$B$30,IF(Skills!C11=3,120+Inputs!$B$28+Inputs!$B$30,MAX(0,(Inputs!$B$3-100)*3)+Inputs!$B$29+Inputs!$B$30)))</f>
        <v/>
      </c>
      <c r="E2394">
        <f>INDEX(FactorTable!$B$2:$Y$301, MATCH(ROUND(MIN(300,MAX(1,D2394)),0), FactorTable!$A$2:$A$301,0), Skills!M11+1)</f>
        <v/>
      </c>
      <c r="F2394">
        <f>IF(Skills!N11=TRUE,(Skills!L11/10)*(E2394/1000),Skills!L11/10)+Skills!O11</f>
        <v/>
      </c>
      <c r="G2394" t="inlineStr"/>
      <c r="H2394" t="inlineStr"/>
      <c r="I2394" t="inlineStr">
        <is>
          <t>1</t>
        </is>
      </c>
      <c r="J2394" t="inlineStr"/>
      <c r="K2394" t="inlineStr"/>
      <c r="L2394" t="inlineStr"/>
      <c r="M2394" t="inlineStr"/>
      <c r="N2394" t="inlineStr"/>
      <c r="O2394" t="inlineStr"/>
      <c r="P2394" t="inlineStr"/>
      <c r="Q2394" t="inlineStr"/>
      <c r="R2394" t="inlineStr"/>
      <c r="S2394" t="inlineStr"/>
    </row>
    <row r="2395">
      <c r="A2395">
        <f>Skills!A12</f>
        <v/>
      </c>
      <c r="B2395">
        <f>Skills!B12</f>
        <v/>
      </c>
      <c r="C2395">
        <f>Inputs!$B$3&gt;=63</f>
        <v/>
      </c>
      <c r="D2395">
        <f>IF(Skills!C12=1,60+Inputs!$B$26+Inputs!$B$30,IF(Skills!C12=2,90+Inputs!$B$27+Inputs!$B$30,IF(Skills!C12=3,120+Inputs!$B$28+Inputs!$B$30,MAX(0,(Inputs!$B$3-100)*3)+Inputs!$B$29+Inputs!$B$30)))</f>
        <v/>
      </c>
      <c r="E2395">
        <f>INDEX(FactorTable!$B$2:$Y$301, MATCH(ROUND(MIN(300,MAX(1,D2395)),0), FactorTable!$A$2:$A$301,0), Skills!M12+1)</f>
        <v/>
      </c>
      <c r="F2395">
        <f>IF(Skills!N12=TRUE,(Skills!L12/10)*(E2395/1000),Skills!L12/10)+Skills!O12</f>
        <v/>
      </c>
      <c r="G2395">
        <f>Skills!G12*IF(Skills!H12&gt;0,INT(IF(Inputs!$B$39="pvp",MIN(Skills!I12,15),Skills!I12)/Skills!H12+0.000000001),1)</f>
        <v/>
      </c>
      <c r="H2395">
        <f>1-(1-Skills!J12/100)^Skills!K12</f>
        <v/>
      </c>
      <c r="I2395" t="inlineStr">
        <is>
          <t>1</t>
        </is>
      </c>
      <c r="J2395">
        <f>((Inputs!$B$6*(1+Inputs!$B$7/100))+(((Inputs!$B$13*(1+Inputs!$B$14/100))-(Inputs!$B$13*(1+Inputs!$B$14/100)))+0.25*(Inputs!$B$15-Inputs!$B$15))*(1+Inputs!$B$7/100))*(F2395/100)</f>
        <v/>
      </c>
      <c r="K2395">
        <f>J2395*(1+(((Inputs!$B$13+IF(Inputs!$B$3&gt;=38,(10*INDEX(FactorTable!$B$2:$Y$301, MATCH(ROUND(MIN(300,MAX(1,Inputs!$B$3)),0), FactorTable!$A$2:$A$301,0), 23)/1000)/100*(Inputs!$B$8*(1+Inputs!$B$9/100)),0))*(1+Inputs!$B$14/100))*0.01+Inputs!$B$15*0.0025)/100)*(1+Inputs!$B$16/100)*(1+Inputs!$B$17/100)*(5000/(6000+Inputs!$B$43*(1-(Inputs!$B$20+0)/100)))*(1+(Inputs!$B$25+((C2408=TRUE)*(F2408-Calc!F25))+((C2409=TRUE)*(F2409-Calc!F26))+B2418)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$12-60))),0)))/100)*(1+0.75*IF(C2394=TRUE,F2394,0)/100)*(1+(IF(Skills!A12="DARK_IMPALE",Inputs!$B$18+0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gt;=100),MIN(100,((Inputs!$B$10+0+B2412+(ArtifactsInput!$M$24-ArtifactsInput!$M$24)*CHOOSE(ArtifactsInput!$N$24+1,10,12,14,16,18,20)+IF(ArtifactsInput!$M$10,CHOOSE(ArtifactsInput!$N$10+1,15,18,21,24,27,30)*(IF(Inputs!$B$39="pvp",MIN(15,15)/15,IF(AND(Inputs!$B$39&lt;&gt;"pvp",Inputs!$B$44&gt;0),MIN(15,Inputs!$B$44)/(Inputs!$B$44),0))),0)))-100),0))*CHOOSE(ArtifactsInput!$N$42+1,0.6,0.72,0.84,0.96,1.08,1.2))),Inputs!$B$19+((C2406=TRUE)*(F2406-Calc!F23))+(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gt;=100),CHOOSE(ArtifactsInput!$N$42+1,40,48,56,64,72,80),0))))/100)*((1+(((C2396=TRUE)*F2396*IF(AND(Inputs!$B$39&lt;&gt;"pvp",Inputs!$B$44&gt;0),(((R2396-1)*MIN((Skills!T13*(1+Inputs!$B$35/100)),(1/Q2396))+MIN((Skills!T13*(1+Inputs!$B$35/100)),MAX(0,Inputs!$B$44-((R2396-1)*(1/Q2396)))))/Inputs!$B$44),IF(Inputs!$B$39="pvp",MIN((Skills!T13*(1+Inputs!$B$35/100)),15)/15,MIN(1,(Skills!T13*(1+Inputs!$B$35/100))/(1/Q2396)))))+((C2397=TRUE)*F2397*IF(AND(Inputs!$B$39&lt;&gt;"pvp",Inputs!$B$44&gt;0),(((R2397-1)*MIN((Skills!T14*(1+Inputs!$B$35/100)),(1/Q2397))+MIN((Skills!T14*(1+Inputs!$B$35/100)),MAX(0,Inputs!$B$44-((R2397-1)*(1/Q2397)))))/Inputs!$B$44),IF(Inputs!$B$39="pvp",MIN((Skills!T14*(1+Inputs!$B$35/100)),15)/15,MIN(1,(Skills!T14*(1+Inputs!$B$35/100))/(1/Q2397)))))+((C2398=TRUE)*F2398*IF(AND(Inputs!$B$39&lt;&gt;"pvp",Inputs!$B$44&gt;0),(((R2398-1)*MIN((Skills!T15*(1+Inputs!$B$35/100)),(1/Q2398))+MIN((Skills!T15*(1+Inputs!$B$35/100)),MAX(0,Inputs!$B$44-((R2398-1)*(1/Q2398)))))/Inputs!$B$44),IF(Inputs!$B$39="pvp",MIN((Skills!T15*(1+Inputs!$B$35/100)),15)/15,MIN(1,(Skills!T15*(1+Inputs!$B$35/100))/(1/Q2398)))))+((C2399=TRUE)*F2399*IF(AND(Inputs!$B$39&lt;&gt;"pvp",Inputs!$B$44&gt;0),(((R2399-1)*MIN((Skills!T16*(1+Inputs!$B$35/100)),(1/Q2399))+MIN((Skills!T16*(1+Inputs!$B$35/100)),MAX(0,Inputs!$B$44-((R2399-1)*(1/Q2399)))))/Inputs!$B$44),IF(Inputs!$B$39="pvp",MIN((Skills!T16*(1+Inputs!$B$35/100)),15)/15,MIN(1,(Skills!T16*(1+Inputs!$B$35/100))/(1/Q2399)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2395)</f>
        <v/>
      </c>
      <c r="L2395">
        <f>K2395*(MIN(Inputs!$B$23+((C2405=TRUE)*(F2405-Calc!F22)),(Inputs!$B$24+((C2407=TRUE)*(F2407-Calc!F24))+(IF(ArtifactsInput!$M$15,CHOOSE(ArtifactsInput!$N$15+1,25,30,35,40,45,50)/100*(Inputs!$B$12-Inputs!$B$12),0))))/100+(Inputs!$B$24+((C2407=TRUE)*(F2407-Calc!F24))+(IF(ArtifactsInput!$M$15,CHOOSE(ArtifactsInput!$N$15+1,25,30,35,40,45,50)/100*(Inputs!$B$12-Inputs!$B$12),0)))/100)/2</f>
        <v/>
      </c>
      <c r="M2395">
        <f>L2395*(1+(Inputs!$B$11+0+B2417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395">
        <f>L2395*(1-MIN((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2395*(MIN((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95">
        <f>(1-Summary!$B$11)*T2395+Summary!$B$11*V2395</f>
        <v/>
      </c>
      <c r="P2395">
        <f>IF(B2422=0,0,O2395/B2422)</f>
        <v/>
      </c>
      <c r="Q2395">
        <f>IFERROR(1/IF(Inputs!$B$39="pvp",15,MAX(0.1,Skills!D12-IF(TRUE=TRUE,Inputs!$B$33,0))),0)</f>
        <v/>
      </c>
      <c r="R2395">
        <f>IF(AND(Inputs!$B$39&lt;&gt;"pvp",Inputs!$B$44&gt;0),IF(MAX(0,Inputs!$B$44-B2419)&lt;=0,0,(INT(MAX(0,Inputs!$B$44-B2419)/IF(Inputs!$B$39="pvp",15,MAX(0.1,Skills!D12-IF(TRUE=TRUE,Inputs!$B$33,0))))+1)),0)</f>
        <v/>
      </c>
      <c r="S2395">
        <f>IFERROR(O2395/N2395,0)</f>
        <v/>
      </c>
      <c r="T2395">
        <f>IF(C2395,(H2395*N2395*IF(AND(Inputs!$B$39&lt;&gt;"pvp",Inputs!$B$44&gt;0),((Skills!G12*((R2395-1)*IF(Skills!H12&gt;0,INT(Skills!I12/Skills!H12+0.000000001),1)+IF(Skills!H12&gt;0,INT(MIN(Skills!I12,MAX(0,MAX(0,Inputs!$B$44-B2419)-((R2395-1)*IF(Inputs!$B$39="pvp",15,MAX(0.1,Skills!D12-IF(TRUE=TRUE,Inputs!$B$33,0))))))/Skills!H12+0.000000001),1)))/Inputs!$B$44),G2395*Q2395))*IF(Inputs!$B$39="pvp",1,1+(Inputs!$B$21+0+Skills!P12+((C2400=TRUE)*F2400*IF(AND(Inputs!$B$39&lt;&gt;"pvp",Inputs!$B$44&gt;0),(((R2400-1)*MIN((Skills!T17*(1+Inputs!$B$35/100)),(1/Q2400))+MIN((Skills!T17*(1+Inputs!$B$35/100)),MAX(0,Inputs!$B$44-((R2400-1)*(1/Q2400)))))/Inputs!$B$44),IF(Inputs!$B$39="pvp",MIN((Skills!T17*(1+Inputs!$B$35/100)),15)/15,MIN(1,(Skills!T17*(1+Inputs!$B$35/100))/(1/Q2400)))))+((C2388=TRUE)*IF(Inputs!$B$3&gt;=126,10*MIN(1,15*Q2388),0))+((C2397=TRUE)*IF(Inputs!$B$39="pvp",20,(1-Summary!$B$11)*(20)+Summary!$B$11*(0))*IF(AND(Inputs!$B$39&lt;&gt;"pvp",Inputs!$B$44&gt;0),(((R2397-1)*MIN((Skills!T14*(1+Inputs!$B$35/100)),(1/Q2397))+MIN((Skills!T14*(1+Inputs!$B$35/100)),MAX(0,Inputs!$B$44-((R2397-1)*(1/Q2397)))))/Inputs!$B$44),IF(Inputs!$B$39="pvp",MIN((Skills!T14*(1+Inputs!$B$35/100)),15)/15,MIN(1,(Skills!T14*(1+Inputs!$B$35/100))/(1/Q2397)))))+((C2396=TRUE)*IF(Inputs!$B$3&gt;=82,IF(Inputs!$B$39="pvp",20,(1-Summary!$B$11)*(20)+Summary!$B$11*(0)),0)*IF(AND(Inputs!$B$39&lt;&gt;"pvp",Inputs!$B$44&gt;0),(((R2396-1)*MIN((Skills!T13*(1+Inputs!$B$35/100)),(1/Q2396))+MIN((Skills!T13*(1+Inputs!$B$35/100)),MAX(0,Inputs!$B$44-((R2396-1)*(1/Q2396)))))/Inputs!$B$44),IF(Inputs!$B$39="pvp",MIN((Skills!T13*(1+Inputs!$B$35/100)),15)/15,MIN(1,(Skills!T13*(1+Inputs!$B$35/100))/(1/Q2396)))))+(IF(AND(ArtifactsInput!$M$35,Inputs!$B$4&lt;&gt;"Chapter Hunt"),CHOOSE(ArtifactsInput!$N$35+1,15,18,21,24,27,30)*(1-EXP(-(0.2*B2414)*5)),0)+IF(AND(ArtifactsInput!$M$22,Inputs!$B$4&lt;&gt;"Chapter Hunt"),CHOOSE(ArtifactsInput!$N$22+1,10,12,14,16,18,20)*((0*(((0.15*B2414*5))^0/1)+1*(((0.15*B2414*5))^1/1)+2*(((0.15*B2414*5))^2/2)+3*(((0.15*B2414*5))^3/6)+4*(((0.15*B2414*5))^4/24)+5*(((0.15*B2414*5))^5/120))/((((0.15*B2414*5))^0/1)+(((0.15*B2414*5))^1/1)+(((0.15*B2414*5))^2/2)+(((0.15*B2414*5))^3/6)+(((0.15*B2414*5))^4/24)+(((0.15*B2414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2395*(1-MIN(100,(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2395*(MIN(100,(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2395*(1-MIN(100,(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2395*(MIN(100,(Inputs!$B$10+0+B2412+(ArtifactsInput!$M$24-ArtifactsInput!$M$24)*CHOOSE(ArtifactsInput!$N$24+1,10,12,14,16,18,20)+(IF(AND(Inputs!$B$39&lt;&gt;"pvp",Inputs!$B$44=0),1,IF(IF(Inputs!$B$39="pvp",15,Inputs!$B$44)-(B2419)&lt;=0,1,MAX(0,IF(Inputs!$B$39="pvp",15,Inputs!$B$44)-MAX(5,B2419))/(IF(Inputs!$B$39="pvp",15,Inputs!$B$44)-(B2419))))*IF(AND(ArtifactsInput!$M$42,((Inputs!$B$10+0+B2412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395">
        <f>IF(C2395,(H2395*N2395*IF(AND(Inputs!$B$39&lt;&gt;"pvp",Inputs!$B$44&gt;0),((Skills!G12*((R2395-1)*IF(Skills!H12&gt;0,INT(Skills!I12/Skills!H12+0.000000001),1)+IF(Skills!H12&gt;0,INT(MIN(Skills!I12,MAX(0,MAX(0,Inputs!$B$44-B2419)-((R2395-1)*IF(Inputs!$B$39="pvp",15,MAX(0.1,Skills!D12-IF(TRUE=TRUE,Inputs!$B$33,0))))))/Skills!H12+0.000000001),1)))/Inputs!$B$44),G2395*Q2395))*IF(Inputs!$B$39="pvp",1,(1+(Inputs!$B$22+Skills!Q12+((C2400=TRUE)*F2400*IF(AND(Inputs!$B$39&lt;&gt;"pvp",Inputs!$B$44&gt;0),(((R2400-1)*MIN((Skills!T17*(1+Inputs!$B$35/100)),(1/Q2400))+MIN((Skills!T17*(1+Inputs!$B$35/100)),MAX(0,Inputs!$B$44-((R2400-1)*(1/Q2400)))))/Inputs!$B$44),IF(Inputs!$B$39="pvp",MIN((Skills!T17*(1+Inputs!$B$35/100)),15)/15,MIN(1,(Skills!T17*(1+Inputs!$B$35/100))/(1/Q2400)))))+((C2388=TRUE)*IF(Inputs!$B$3&gt;=126,10*MIN(1,15*Q2388),0))+((C2397=TRUE)*IF(Inputs!$B$39="pvp",20,(1-Summary!$B$11)*(20)+Summary!$B$11*(0))*IF(AND(Inputs!$B$39&lt;&gt;"pvp",Inputs!$B$44&gt;0),(((R2397-1)*MIN((Skills!T14*(1+Inputs!$B$35/100)),(1/Q2397))+MIN((Skills!T14*(1+Inputs!$B$35/100)),MAX(0,Inputs!$B$44-((R2397-1)*(1/Q2397)))))/Inputs!$B$44),IF(Inputs!$B$39="pvp",MIN((Skills!T14*(1+Inputs!$B$35/100)),15)/15,MIN(1,(Skills!T14*(1+Inputs!$B$35/100))/(1/Q2397)))))+((C2396=TRUE)*IF(Inputs!$B$3&gt;=82,IF(Inputs!$B$39="pvp",20,(1-Summary!$B$11)*(20)+Summary!$B$11*(0)),0)*IF(AND(Inputs!$B$39&lt;&gt;"pvp",Inputs!$B$44&gt;0),(((R2396-1)*MIN((Skills!T13*(1+Inputs!$B$35/100)),(1/Q2396))+MIN((Skills!T13*(1+Inputs!$B$35/100)),MAX(0,Inputs!$B$44-((R2396-1)*(1/Q2396)))))/Inputs!$B$44),IF(Inputs!$B$39="pvp",MIN((Skills!T13*(1+Inputs!$B$35/100)),15)/15,MIN(1,(Skills!T13*(1+Inputs!$B$35/100))/(1/Q2396)))))+(IF(AND(ArtifactsInput!$M$35,Inputs!$B$4&lt;&gt;"Chapter Hunt"),CHOOSE(ArtifactsInput!$N$35+1,15,18,21,24,27,30)*(1-EXP(-(0.2*B2414)*5)),0)+IF(AND(ArtifactsInput!$M$22,Inputs!$B$4&lt;&gt;"Chapter Hunt"),CHOOSE(ArtifactsInput!$N$22+1,10,12,14,16,18,20)*((0*(((0.15*B2414*5))^0/1)+1*(((0.15*B2414*5))^1/1)+2*(((0.15*B2414*5))^2/2)+3*(((0.15*B2414*5))^3/6)+4*(((0.15*B2414*5))^4/24)+5*(((0.15*B2414*5))^5/120))/((((0.15*B2414*5))^0/1)+(((0.15*B2414*5))^1/1)+(((0.15*B2414*5))^2/2)+(((0.15*B2414*5))^3/6)+(((0.15*B2414*5))^4/24)+(((0.15*B2414*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96">
      <c r="A2396">
        <f>Skills!A13</f>
        <v/>
      </c>
      <c r="B2396">
        <f>Skills!B13</f>
        <v/>
      </c>
      <c r="C2396">
        <f>Inputs!$B$3&gt;=69</f>
        <v/>
      </c>
      <c r="D2396">
        <f>IF(Skills!C13=1,60+Inputs!$B$26+Inputs!$B$30,IF(Skills!C13=2,90+Inputs!$B$27+Inputs!$B$30,IF(Skills!C13=3,120+Inputs!$B$28+Inputs!$B$30,MAX(0,(Inputs!$B$3-100)*3)+Inputs!$B$29+Inputs!$B$30)))</f>
        <v/>
      </c>
      <c r="E2396">
        <f>INDEX(FactorTable!$B$2:$Y$301, MATCH(ROUND(MIN(300,MAX(1,D2396)),0), FactorTable!$A$2:$A$301,0), Skills!M13+1)</f>
        <v/>
      </c>
      <c r="F2396">
        <f>IF(Skills!N13=TRUE,(Skills!L13/10)*(E2396/1000),Skills!L13/10)+Skills!O13</f>
        <v/>
      </c>
      <c r="G2396">
        <f>Skills!G13*IF(Skills!H13&gt;0,INT(IF(Inputs!$B$39="pvp",MIN(Skills!I13,15),Skills!I13)/Skills!H13+0.000000001),1)</f>
        <v/>
      </c>
      <c r="H2396">
        <f>1-(1-Skills!J13/100)^Skills!K13</f>
        <v/>
      </c>
      <c r="I2396" t="inlineStr">
        <is>
          <t>1</t>
        </is>
      </c>
      <c r="J2396" t="inlineStr"/>
      <c r="K2396" t="inlineStr"/>
      <c r="L2396" t="inlineStr"/>
      <c r="M2396" t="inlineStr"/>
      <c r="N2396" t="inlineStr"/>
      <c r="O2396">
        <f>(1-Summary!$B$11)*T2396+Summary!$B$11*V2396</f>
        <v/>
      </c>
      <c r="P2396">
        <f>IF(B2422=0,0,O2396/B2422)</f>
        <v/>
      </c>
      <c r="Q2396">
        <f>IFERROR(1/IF(Inputs!$B$39="pvp",15,MAX(0.1,Skills!D13-IF(TRUE=TRUE,Inputs!$B$33,0))),0)</f>
        <v/>
      </c>
      <c r="R2396">
        <f>IF(AND(Inputs!$B$39&lt;&gt;"pvp",Inputs!$B$44&gt;0),IF(Inputs!$B$44&lt;=0,0,(INT(Inputs!$B$44/IF(Inputs!$B$39="pvp",15,MAX(0.1,Skills!D13-IF(TRUE=TRUE,Inputs!$B$33,0))))+1)),0)</f>
        <v/>
      </c>
      <c r="S2396">
        <f>IFERROR(O2396/N2396,0)</f>
        <v/>
      </c>
      <c r="T2396" t="n">
        <v>0</v>
      </c>
      <c r="V2396" t="n">
        <v>0</v>
      </c>
    </row>
    <row r="2397">
      <c r="A2397">
        <f>Skills!A14</f>
        <v/>
      </c>
      <c r="B2397">
        <f>Skills!B14</f>
        <v/>
      </c>
      <c r="C2397">
        <f>Inputs!$B$3&gt;=115</f>
        <v/>
      </c>
      <c r="D2397">
        <f>IF(Skills!C14=1,60+Inputs!$B$26+Inputs!$B$30,IF(Skills!C14=2,90+Inputs!$B$27+Inputs!$B$30,IF(Skills!C14=3,120+Inputs!$B$28+Inputs!$B$30,MAX(0,(Inputs!$B$3-100)*3)+Inputs!$B$29+Inputs!$B$30)))</f>
        <v/>
      </c>
      <c r="E2397">
        <f>INDEX(FactorTable!$B$2:$Y$301, MATCH(ROUND(MIN(300,MAX(1,D2397)),0), FactorTable!$A$2:$A$301,0), Skills!M14+1)</f>
        <v/>
      </c>
      <c r="F2397">
        <f>IF(Skills!N14=TRUE,(Skills!L14/10)*(E2397/1000),Skills!L14/10)+Skills!O14</f>
        <v/>
      </c>
      <c r="G2397">
        <f>Skills!G14*IF(Skills!H14&gt;0,INT(IF(Inputs!$B$39="pvp",MIN(Skills!I14,15),Skills!I14)/Skills!H14+0.000000001),1)</f>
        <v/>
      </c>
      <c r="H2397">
        <f>1-(1-Skills!J14/100)^Skills!K14</f>
        <v/>
      </c>
      <c r="I2397" t="inlineStr">
        <is>
          <t>1</t>
        </is>
      </c>
      <c r="J2397" t="inlineStr"/>
      <c r="K2397" t="inlineStr"/>
      <c r="L2397" t="inlineStr"/>
      <c r="M2397" t="inlineStr"/>
      <c r="N2397" t="inlineStr"/>
      <c r="O2397">
        <f>(1-Summary!$B$11)*T2397+Summary!$B$11*V2397</f>
        <v/>
      </c>
      <c r="P2397">
        <f>IF(B2422=0,0,O2397/B2422)</f>
        <v/>
      </c>
      <c r="Q2397">
        <f>IFERROR(1/IF(Inputs!$B$39="pvp",15,MAX(0.1,Skills!D14-IF(TRUE=TRUE,Inputs!$B$33,0))),0)</f>
        <v/>
      </c>
      <c r="R2397">
        <f>IF(AND(Inputs!$B$39&lt;&gt;"pvp",Inputs!$B$44&gt;0),IF(Inputs!$B$44&lt;=0,0,(INT(Inputs!$B$44/IF(Inputs!$B$39="pvp",15,MAX(0.1,Skills!D14-IF(TRUE=TRUE,Inputs!$B$33,0))))+1)),0)</f>
        <v/>
      </c>
      <c r="S2397">
        <f>IFERROR(O2397/N2397,0)</f>
        <v/>
      </c>
      <c r="T2397" t="n">
        <v>0</v>
      </c>
      <c r="V2397" t="n">
        <v>0</v>
      </c>
    </row>
    <row r="2398">
      <c r="A2398">
        <f>Skills!A15</f>
        <v/>
      </c>
      <c r="B2398">
        <f>Skills!B15</f>
        <v/>
      </c>
      <c r="C2398">
        <f>Inputs!$B$3&gt;=66</f>
        <v/>
      </c>
      <c r="D2398">
        <f>IF(Skills!C15=1,60+Inputs!$B$26+Inputs!$B$30,IF(Skills!C15=2,90+Inputs!$B$27+Inputs!$B$30,IF(Skills!C15=3,120+Inputs!$B$28+Inputs!$B$30,MAX(0,(Inputs!$B$3-100)*3)+Inputs!$B$29+Inputs!$B$30)))</f>
        <v/>
      </c>
      <c r="E2398">
        <f>INDEX(FactorTable!$B$2:$Y$301, MATCH(ROUND(MIN(300,MAX(1,D2398)),0), FactorTable!$A$2:$A$301,0), Skills!M15+1)</f>
        <v/>
      </c>
      <c r="F2398">
        <f>IF(Skills!N15=TRUE,(Skills!L15/10)*(E2398/1000),Skills!L15/10)+Skills!O15</f>
        <v/>
      </c>
      <c r="G2398">
        <f>Skills!G15*IF(Skills!H15&gt;0,INT(IF(Inputs!$B$39="pvp",MIN(Skills!I15,15),Skills!I15)/Skills!H15+0.000000001),1)</f>
        <v/>
      </c>
      <c r="H2398">
        <f>1-(1-Skills!J15/100)^Skills!K15</f>
        <v/>
      </c>
      <c r="I2398" t="inlineStr">
        <is>
          <t>1</t>
        </is>
      </c>
      <c r="J2398" t="inlineStr"/>
      <c r="K2398" t="inlineStr"/>
      <c r="L2398" t="inlineStr"/>
      <c r="M2398" t="inlineStr"/>
      <c r="N2398" t="inlineStr"/>
      <c r="O2398">
        <f>(1-Summary!$B$11)*T2398+Summary!$B$11*V2398</f>
        <v/>
      </c>
      <c r="P2398">
        <f>IF(B2422=0,0,O2398/B2422)</f>
        <v/>
      </c>
      <c r="Q2398">
        <f>IFERROR(1/IF(Inputs!$B$39="pvp",15,MAX(0.1,Skills!D15-IF(TRUE=TRUE,Inputs!$B$33,0))),0)</f>
        <v/>
      </c>
      <c r="R2398">
        <f>IF(AND(Inputs!$B$39&lt;&gt;"pvp",Inputs!$B$44&gt;0),IF(Inputs!$B$44&lt;=0,0,(INT(Inputs!$B$44/IF(Inputs!$B$39="pvp",15,MAX(0.1,Skills!D15-IF(TRUE=TRUE,Inputs!$B$33,0))))+1)),0)</f>
        <v/>
      </c>
      <c r="S2398">
        <f>IFERROR(O2398/N2398,0)</f>
        <v/>
      </c>
      <c r="T2398" t="n">
        <v>0</v>
      </c>
      <c r="V2398" t="n">
        <v>0</v>
      </c>
    </row>
    <row r="2399">
      <c r="A2399">
        <f>Skills!A16</f>
        <v/>
      </c>
      <c r="B2399">
        <f>Skills!B16</f>
        <v/>
      </c>
      <c r="C2399">
        <f>Inputs!$B$3&gt;=45</f>
        <v/>
      </c>
      <c r="D2399">
        <f>IF(Skills!C16=1,60+Inputs!$B$26+Inputs!$B$30,IF(Skills!C16=2,90+Inputs!$B$27+Inputs!$B$30,IF(Skills!C16=3,120+Inputs!$B$28+Inputs!$B$30,MAX(0,(Inputs!$B$3-100)*3)+Inputs!$B$29+Inputs!$B$30)))</f>
        <v/>
      </c>
      <c r="E2399">
        <f>INDEX(FactorTable!$B$2:$Y$301, MATCH(ROUND(MIN(300,MAX(1,D2399)),0), FactorTable!$A$2:$A$301,0), Skills!M16+1)</f>
        <v/>
      </c>
      <c r="F2399">
        <f>IF(Skills!N16=TRUE,(Skills!L16/10)*(E2399/1000),Skills!L16/10)+Skills!O16</f>
        <v/>
      </c>
      <c r="G2399">
        <f>Skills!G16*IF(Skills!H16&gt;0,INT(IF(Inputs!$B$39="pvp",MIN(Skills!I16,15),Skills!I16)/Skills!H16+0.000000001),1)</f>
        <v/>
      </c>
      <c r="H2399">
        <f>1-(1-Skills!J16/100)^Skills!K16</f>
        <v/>
      </c>
      <c r="I2399" t="inlineStr">
        <is>
          <t>1</t>
        </is>
      </c>
      <c r="J2399" t="inlineStr"/>
      <c r="K2399" t="inlineStr"/>
      <c r="L2399" t="inlineStr"/>
      <c r="M2399" t="inlineStr"/>
      <c r="N2399" t="inlineStr"/>
      <c r="O2399">
        <f>(1-Summary!$B$11)*T2399+Summary!$B$11*V2399</f>
        <v/>
      </c>
      <c r="P2399">
        <f>IF(B2422=0,0,O2399/B2422)</f>
        <v/>
      </c>
      <c r="Q2399">
        <f>IFERROR(1/IF(Inputs!$B$39="pvp",15,MAX(0.1,Skills!D16-IF(TRUE=TRUE,Inputs!$B$33,0))),0)</f>
        <v/>
      </c>
      <c r="R2399">
        <f>IF(AND(Inputs!$B$39&lt;&gt;"pvp",Inputs!$B$44&gt;0),IF(Inputs!$B$44&lt;=0,0,(INT(Inputs!$B$44/IF(Inputs!$B$39="pvp",15,MAX(0.1,Skills!D16-IF(TRUE=TRUE,Inputs!$B$33,0))))+1)),0)</f>
        <v/>
      </c>
      <c r="S2399">
        <f>IFERROR(O2399/N2399,0)</f>
        <v/>
      </c>
      <c r="T2399" t="n">
        <v>0</v>
      </c>
      <c r="V2399" t="n">
        <v>0</v>
      </c>
    </row>
    <row r="2400">
      <c r="A2400">
        <f>Skills!A17</f>
        <v/>
      </c>
      <c r="B2400">
        <f>Skills!B17</f>
        <v/>
      </c>
      <c r="C2400">
        <f>Inputs!$B$3&gt;=35</f>
        <v/>
      </c>
      <c r="D2400">
        <f>IF(Skills!C17=1,60+Inputs!$B$26+Inputs!$B$30,IF(Skills!C17=2,90+Inputs!$B$27+Inputs!$B$30,IF(Skills!C17=3,120+Inputs!$B$28+Inputs!$B$30,MAX(0,(Inputs!$B$3-100)*3)+Inputs!$B$29+Inputs!$B$30)))</f>
        <v/>
      </c>
      <c r="E2400">
        <f>INDEX(FactorTable!$B$2:$Y$301, MATCH(ROUND(MIN(300,MAX(1,D2400)),0), FactorTable!$A$2:$A$301,0), Skills!M17+1)</f>
        <v/>
      </c>
      <c r="F2400">
        <f>IF(Skills!N17=TRUE,(Skills!L17/10)*(E2400/1000),Skills!L17/10)+Skills!O17</f>
        <v/>
      </c>
      <c r="G2400">
        <f>Skills!G17*IF(Skills!H17&gt;0,INT(IF(Inputs!$B$39="pvp",MIN(Skills!I17,15),Skills!I17)/Skills!H17+0.000000001),1)</f>
        <v/>
      </c>
      <c r="H2400">
        <f>1-(1-Skills!J17/100)^Skills!K17</f>
        <v/>
      </c>
      <c r="I2400" t="inlineStr">
        <is>
          <t>1</t>
        </is>
      </c>
      <c r="J2400" t="inlineStr"/>
      <c r="K2400" t="inlineStr"/>
      <c r="L2400" t="inlineStr"/>
      <c r="M2400" t="inlineStr"/>
      <c r="N2400" t="inlineStr"/>
      <c r="O2400">
        <f>(1-Summary!$B$11)*T2400+Summary!$B$11*V2400</f>
        <v/>
      </c>
      <c r="P2400">
        <f>IF(B2422=0,0,O2400/B2422)</f>
        <v/>
      </c>
      <c r="Q2400">
        <f>IFERROR(1/IF(Inputs!$B$39="pvp",15,MAX(0.1,Skills!D17-IF(TRUE=TRUE,Inputs!$B$33,0))),0)</f>
        <v/>
      </c>
      <c r="R2400">
        <f>IF(AND(Inputs!$B$39&lt;&gt;"pvp",Inputs!$B$44&gt;0),IF(Inputs!$B$44&lt;=0,0,(INT(Inputs!$B$44/IF(Inputs!$B$39="pvp",15,MAX(0.1,Skills!D17-IF(TRUE=TRUE,Inputs!$B$33,0))))+1)),0)</f>
        <v/>
      </c>
      <c r="S2400">
        <f>IFERROR(O2400/N2400,0)</f>
        <v/>
      </c>
      <c r="T2400" t="n">
        <v>0</v>
      </c>
      <c r="V2400" t="n">
        <v>0</v>
      </c>
    </row>
    <row r="2401">
      <c r="A2401">
        <f>Skills!A18</f>
        <v/>
      </c>
      <c r="B2401">
        <f>Skills!B18</f>
        <v/>
      </c>
      <c r="C2401">
        <f>Inputs!$B$3&gt;=72</f>
        <v/>
      </c>
      <c r="D2401">
        <f>IF(Skills!C18=1,60+Inputs!$B$26+Inputs!$B$30,IF(Skills!C18=2,90+Inputs!$B$27+Inputs!$B$30,IF(Skills!C18=3,120+Inputs!$B$28+Inputs!$B$30,MAX(0,(Inputs!$B$3-100)*3)+Inputs!$B$29+Inputs!$B$30)))</f>
        <v/>
      </c>
      <c r="E2401">
        <f>INDEX(FactorTable!$B$2:$Y$301, MATCH(ROUND(MIN(300,MAX(1,D2401)),0), FactorTable!$A$2:$A$301,0), Skills!M18+1)</f>
        <v/>
      </c>
      <c r="F2401">
        <f>IF(Skills!N18=TRUE,(Skills!L18/10)*(E2401/1000),Skills!L18/10)+Skills!O18</f>
        <v/>
      </c>
      <c r="G2401">
        <f>Skills!G18*IF(Skills!H18&gt;0,INT(IF(Inputs!$B$39="pvp",MIN(Skills!I18,15),Skills!I18)/Skills!H18+0.000000001),1)</f>
        <v/>
      </c>
      <c r="H2401">
        <f>1-(1-Skills!J18/100)^Skills!K18</f>
        <v/>
      </c>
      <c r="I2401" t="inlineStr">
        <is>
          <t>1</t>
        </is>
      </c>
      <c r="J2401" t="inlineStr"/>
      <c r="K2401" t="inlineStr"/>
      <c r="L2401" t="inlineStr"/>
      <c r="M2401" t="inlineStr"/>
      <c r="N2401" t="inlineStr"/>
      <c r="O2401">
        <f>(1-Summary!$B$11)*T2401+Summary!$B$11*V2401</f>
        <v/>
      </c>
      <c r="P2401">
        <f>IF(B2422=0,0,O2401/B2422)</f>
        <v/>
      </c>
      <c r="Q2401">
        <f>IFERROR(1/IF(Inputs!$B$39="pvp",15,MAX(0.1,Skills!D18-IF(TRUE=TRUE,Inputs!$B$33,0))),0)</f>
        <v/>
      </c>
      <c r="R2401">
        <f>IF(AND(Inputs!$B$39&lt;&gt;"pvp",Inputs!$B$44&gt;0),IF(Inputs!$B$44&lt;=0,0,(INT(Inputs!$B$44/IF(Inputs!$B$39="pvp",15,MAX(0.1,Skills!D18-IF(TRUE=TRUE,Inputs!$B$33,0))))+1)),0)</f>
        <v/>
      </c>
      <c r="S2401">
        <f>IFERROR(O2401/N2401,0)</f>
        <v/>
      </c>
      <c r="T2401" t="n">
        <v>0</v>
      </c>
      <c r="V2401" t="n">
        <v>0</v>
      </c>
    </row>
    <row r="2402">
      <c r="A2402">
        <f>Skills!A19</f>
        <v/>
      </c>
      <c r="B2402">
        <f>Skills!B19</f>
        <v/>
      </c>
      <c r="C2402">
        <f>Inputs!$B$3&gt;=72</f>
        <v/>
      </c>
      <c r="D2402">
        <f>IF(Skills!C19=1,60+Inputs!$B$26+Inputs!$B$30,IF(Skills!C19=2,90+Inputs!$B$27+Inputs!$B$30,IF(Skills!C19=3,120+Inputs!$B$28+Inputs!$B$30,MAX(0,(Inputs!$B$3-100)*3)+Inputs!$B$29+Inputs!$B$30)))</f>
        <v/>
      </c>
      <c r="E2402">
        <f>INDEX(FactorTable!$B$2:$Y$301, MATCH(ROUND(MIN(300,MAX(1,D2402)),0), FactorTable!$A$2:$A$301,0), Skills!M19+1)</f>
        <v/>
      </c>
      <c r="F2402">
        <f>IF(Skills!N19=TRUE,(Skills!L19/10)*(E2402/1000),Skills!L19/10)+Skills!O19</f>
        <v/>
      </c>
      <c r="G2402">
        <f>Skills!G19*IF(Skills!H19&gt;0,INT(IF(Inputs!$B$39="pvp",MIN(Skills!I19,15),Skills!I19)/Skills!H19+0.000000001),1)</f>
        <v/>
      </c>
      <c r="H2402">
        <f>1-(1-Skills!J19/100)^Skills!K19</f>
        <v/>
      </c>
      <c r="I2402" t="inlineStr">
        <is>
          <t>1</t>
        </is>
      </c>
      <c r="J2402" t="inlineStr"/>
      <c r="K2402" t="inlineStr"/>
      <c r="L2402" t="inlineStr"/>
      <c r="M2402" t="inlineStr"/>
      <c r="N2402" t="inlineStr"/>
      <c r="O2402">
        <f>(1-Summary!$B$11)*T2402+Summary!$B$11*V2402</f>
        <v/>
      </c>
      <c r="P2402">
        <f>IF(B2422=0,0,O2402/B2422)</f>
        <v/>
      </c>
      <c r="Q2402">
        <f>IFERROR(1/IF(Inputs!$B$39="pvp",15,MAX(0.1,Skills!D19-IF(TRUE=TRUE,Inputs!$B$33,0))),0)</f>
        <v/>
      </c>
      <c r="R2402">
        <f>IF(AND(Inputs!$B$39&lt;&gt;"pvp",Inputs!$B$44&gt;0),IF(Inputs!$B$44&lt;=0,0,(INT(Inputs!$B$44/IF(Inputs!$B$39="pvp",15,MAX(0.1,Skills!D19-IF(TRUE=TRUE,Inputs!$B$33,0))))+1)),0)</f>
        <v/>
      </c>
      <c r="S2402">
        <f>IFERROR(O2402/N2402,0)</f>
        <v/>
      </c>
      <c r="T2402" t="n">
        <v>0</v>
      </c>
      <c r="V2402" t="n">
        <v>0</v>
      </c>
    </row>
    <row r="2403">
      <c r="A2403">
        <f>Skills!A20</f>
        <v/>
      </c>
      <c r="B2403">
        <f>Skills!B20</f>
        <v/>
      </c>
      <c r="C2403">
        <f>TRUE</f>
        <v/>
      </c>
      <c r="D2403">
        <f>IF(Skills!C20=1,60+Inputs!$B$26+Inputs!$B$30,IF(Skills!C20=2,90+Inputs!$B$27+Inputs!$B$30,IF(Skills!C20=3,120+Inputs!$B$28+Inputs!$B$30,MAX(0,(Inputs!$B$3-100)*3)+Inputs!$B$29+Inputs!$B$30)))</f>
        <v/>
      </c>
      <c r="E2403">
        <f>INDEX(FactorTable!$B$2:$Y$301, MATCH(ROUND(MIN(300,MAX(1,D2403)),0), FactorTable!$A$2:$A$301,0), Skills!M20+1)</f>
        <v/>
      </c>
      <c r="F2403">
        <f>IF(Skills!N20=TRUE,(Skills!L20/10)*(E2403/1000),Skills!L20/10)+Skills!O20</f>
        <v/>
      </c>
      <c r="G2403">
        <f>Skills!G20*IF(Skills!H20&gt;0,INT(IF(Inputs!$B$39="pvp",MIN(Skills!I20,15),Skills!I20)/Skills!H20+0.000000001),1)</f>
        <v/>
      </c>
      <c r="H2403">
        <f>1-(1-Skills!J20/100)^Skills!K20</f>
        <v/>
      </c>
      <c r="I2403" t="inlineStr">
        <is>
          <t>1</t>
        </is>
      </c>
      <c r="J2403" t="inlineStr"/>
      <c r="K2403" t="inlineStr"/>
      <c r="L2403" t="inlineStr"/>
      <c r="M2403" t="inlineStr"/>
      <c r="N2403" t="inlineStr"/>
      <c r="O2403">
        <f>(1-Summary!$B$11)*T2403+Summary!$B$11*V2403</f>
        <v/>
      </c>
      <c r="P2403">
        <f>IF(B2422=0,0,O2403/B2422)</f>
        <v/>
      </c>
      <c r="Q2403">
        <f>IFERROR(1/IF(Inputs!$B$39="pvp",15,MAX(0.1,Skills!D20-IF(TRUE=TRUE,Inputs!$B$33,0))),0)</f>
        <v/>
      </c>
      <c r="R2403">
        <f>IF(AND(Inputs!$B$39&lt;&gt;"pvp",Inputs!$B$44&gt;0),IF(Inputs!$B$44&lt;=0,0,(INT(Inputs!$B$44/IF(Inputs!$B$39="pvp",15,MAX(0.1,Skills!D20-IF(TRUE=TRUE,Inputs!$B$33,0))))+1)),0)</f>
        <v/>
      </c>
      <c r="S2403">
        <f>IFERROR(O2403/N2403,0)</f>
        <v/>
      </c>
      <c r="T2403" t="n">
        <v>0</v>
      </c>
      <c r="V2403" t="n">
        <v>0</v>
      </c>
    </row>
    <row r="2404">
      <c r="A2404">
        <f>Skills!A21</f>
        <v/>
      </c>
      <c r="B2404">
        <f>Skills!B21</f>
        <v/>
      </c>
      <c r="C2404">
        <f>Inputs!$B$3&gt;=33</f>
        <v/>
      </c>
      <c r="D2404">
        <f>IF(Skills!C21=1,60+Inputs!$B$26+Inputs!$B$30,IF(Skills!C21=2,90+Inputs!$B$27+Inputs!$B$30,IF(Skills!C21=3,120+Inputs!$B$28+Inputs!$B$30,MAX(0,(Inputs!$B$3-100)*3)+Inputs!$B$29+Inputs!$B$30)))</f>
        <v/>
      </c>
      <c r="E2404">
        <f>INDEX(FactorTable!$B$2:$Y$301, MATCH(ROUND(MIN(300,MAX(1,D2404)),0), FactorTable!$A$2:$A$301,0), Skills!M21+1)</f>
        <v/>
      </c>
      <c r="F2404">
        <f>IF(Skills!N21=TRUE,(Skills!L21/10)*(E2404/1000),Skills!L21/10)+Skills!O21</f>
        <v/>
      </c>
      <c r="G2404">
        <f>Skills!G21*IF(Skills!H21&gt;0,INT(IF(Inputs!$B$39="pvp",MIN(Skills!I21,15),Skills!I21)/Skills!H21+0.000000001),1)</f>
        <v/>
      </c>
      <c r="H2404">
        <f>1-(1-Skills!J21/100)^Skills!K21</f>
        <v/>
      </c>
      <c r="I2404" t="inlineStr">
        <is>
          <t>1</t>
        </is>
      </c>
      <c r="J2404" t="inlineStr"/>
      <c r="K2404" t="inlineStr"/>
      <c r="L2404" t="inlineStr"/>
      <c r="M2404" t="inlineStr"/>
      <c r="N2404" t="inlineStr"/>
      <c r="O2404">
        <f>(1-Summary!$B$11)*T2404+Summary!$B$11*V2404</f>
        <v/>
      </c>
      <c r="P2404">
        <f>IF(B2422=0,0,O2404/B2422)</f>
        <v/>
      </c>
      <c r="Q2404" t="n">
        <v>0</v>
      </c>
      <c r="R2404" t="n">
        <v>0</v>
      </c>
      <c r="S2404">
        <f>IFERROR(O2404/N2404,0)</f>
        <v/>
      </c>
      <c r="T2404" t="n">
        <v>0</v>
      </c>
      <c r="V2404" t="n">
        <v>0</v>
      </c>
    </row>
    <row r="2405">
      <c r="A2405">
        <f>Skills!A22</f>
        <v/>
      </c>
      <c r="B2405">
        <f>Skills!B22</f>
        <v/>
      </c>
      <c r="C2405">
        <f>Inputs!$B$3&gt;=43</f>
        <v/>
      </c>
      <c r="D2405">
        <f>IF(Skills!C22=1,60+Inputs!$B$26+Inputs!$B$30,IF(Skills!C22=2,90+Inputs!$B$27+Inputs!$B$30,IF(Skills!C22=3,120+Inputs!$B$28+Inputs!$B$30,MAX(0,(Inputs!$B$3-100)*3)+Inputs!$B$29+Inputs!$B$30)))</f>
        <v/>
      </c>
      <c r="E2405">
        <f>INDEX(FactorTable!$B$2:$Y$301, MATCH(ROUND(MIN(300,MAX(1,D2405)),0), FactorTable!$A$2:$A$301,0), Skills!M22+1)</f>
        <v/>
      </c>
      <c r="F2405">
        <f>IF(Skills!N22=TRUE,(Skills!L22/10)*(E2405/1000),Skills!L22/10)+Skills!O22</f>
        <v/>
      </c>
      <c r="G2405">
        <f>Skills!G22*IF(Skills!H22&gt;0,INT(IF(Inputs!$B$39="pvp",MIN(Skills!I22,15),Skills!I22)/Skills!H22+0.000000001),1)</f>
        <v/>
      </c>
      <c r="H2405">
        <f>1-(1-Skills!J22/100)^Skills!K22</f>
        <v/>
      </c>
      <c r="I2405" t="inlineStr">
        <is>
          <t>1</t>
        </is>
      </c>
      <c r="J2405" t="inlineStr"/>
      <c r="K2405" t="inlineStr"/>
      <c r="L2405" t="inlineStr"/>
      <c r="M2405" t="inlineStr"/>
      <c r="N2405" t="inlineStr"/>
      <c r="O2405">
        <f>(1-Summary!$B$11)*T2405+Summary!$B$11*V2405</f>
        <v/>
      </c>
      <c r="P2405">
        <f>IF(B2422=0,0,O2405/B2422)</f>
        <v/>
      </c>
      <c r="Q2405" t="n">
        <v>0</v>
      </c>
      <c r="R2405" t="n">
        <v>0</v>
      </c>
      <c r="S2405">
        <f>IFERROR(O2405/N2405,0)</f>
        <v/>
      </c>
      <c r="T2405" t="n">
        <v>0</v>
      </c>
      <c r="V2405" t="n">
        <v>0</v>
      </c>
    </row>
    <row r="2406">
      <c r="A2406">
        <f>Skills!A23</f>
        <v/>
      </c>
      <c r="B2406">
        <f>Skills!B23</f>
        <v/>
      </c>
      <c r="C2406">
        <f>Inputs!$B$3&gt;=120</f>
        <v/>
      </c>
      <c r="D2406">
        <f>IF(Skills!C23=1,60+Inputs!$B$26+Inputs!$B$30,IF(Skills!C23=2,90+Inputs!$B$27+Inputs!$B$30,IF(Skills!C23=3,120+Inputs!$B$28+Inputs!$B$30,MAX(0,(Inputs!$B$3-100)*3)+Inputs!$B$29+Inputs!$B$30)))</f>
        <v/>
      </c>
      <c r="E2406">
        <f>INDEX(FactorTable!$B$2:$Y$301, MATCH(ROUND(MIN(300,MAX(1,D2406)),0), FactorTable!$A$2:$A$301,0), Skills!M23+1)</f>
        <v/>
      </c>
      <c r="F2406">
        <f>IF(Skills!N23=TRUE,(Skills!L23/10)*(E2406/1000),Skills!L23/10)+Skills!O23</f>
        <v/>
      </c>
      <c r="G2406">
        <f>Skills!G23*IF(Skills!H23&gt;0,INT(IF(Inputs!$B$39="pvp",MIN(Skills!I23,15),Skills!I23)/Skills!H23+0.000000001),1)</f>
        <v/>
      </c>
      <c r="H2406">
        <f>1-(1-Skills!J23/100)^Skills!K23</f>
        <v/>
      </c>
      <c r="I2406" t="inlineStr">
        <is>
          <t>1</t>
        </is>
      </c>
      <c r="J2406" t="inlineStr"/>
      <c r="K2406" t="inlineStr"/>
      <c r="L2406" t="inlineStr"/>
      <c r="M2406" t="inlineStr"/>
      <c r="N2406" t="inlineStr"/>
      <c r="O2406">
        <f>(1-Summary!$B$11)*T2406+Summary!$B$11*V2406</f>
        <v/>
      </c>
      <c r="P2406">
        <f>IF(B2422=0,0,O2406/B2422)</f>
        <v/>
      </c>
      <c r="Q2406" t="n">
        <v>0</v>
      </c>
      <c r="R2406" t="n">
        <v>0</v>
      </c>
      <c r="S2406">
        <f>IFERROR(O2406/N2406,0)</f>
        <v/>
      </c>
      <c r="T2406" t="n">
        <v>0</v>
      </c>
      <c r="V2406" t="n">
        <v>0</v>
      </c>
    </row>
    <row r="2407">
      <c r="A2407">
        <f>Skills!A24</f>
        <v/>
      </c>
      <c r="B2407">
        <f>Skills!B24</f>
        <v/>
      </c>
      <c r="C2407">
        <f>Inputs!$B$3&gt;=120</f>
        <v/>
      </c>
      <c r="D2407">
        <f>IF(Skills!C24=1,60+Inputs!$B$26+Inputs!$B$30,IF(Skills!C24=2,90+Inputs!$B$27+Inputs!$B$30,IF(Skills!C24=3,120+Inputs!$B$28+Inputs!$B$30,MAX(0,(Inputs!$B$3-100)*3)+Inputs!$B$29+Inputs!$B$30)))</f>
        <v/>
      </c>
      <c r="E2407">
        <f>INDEX(FactorTable!$B$2:$Y$301, MATCH(ROUND(MIN(300,MAX(1,D2407)),0), FactorTable!$A$2:$A$301,0), Skills!M24+1)</f>
        <v/>
      </c>
      <c r="F2407">
        <f>IF(Skills!N24=TRUE,(Skills!L24/10)*(E2407/1000),Skills!L24/10)+Skills!O24</f>
        <v/>
      </c>
      <c r="G2407">
        <f>Skills!G24*IF(Skills!H24&gt;0,INT(IF(Inputs!$B$39="pvp",MIN(Skills!I24,15),Skills!I24)/Skills!H24+0.000000001),1)</f>
        <v/>
      </c>
      <c r="H2407">
        <f>1-(1-Skills!J24/100)^Skills!K24</f>
        <v/>
      </c>
      <c r="I2407" t="inlineStr">
        <is>
          <t>1</t>
        </is>
      </c>
      <c r="J2407" t="inlineStr"/>
      <c r="K2407" t="inlineStr"/>
      <c r="L2407" t="inlineStr"/>
      <c r="M2407" t="inlineStr"/>
      <c r="N2407" t="inlineStr"/>
      <c r="O2407">
        <f>(1-Summary!$B$11)*T2407+Summary!$B$11*V2407</f>
        <v/>
      </c>
      <c r="P2407">
        <f>IF(B2422=0,0,O2407/B2422)</f>
        <v/>
      </c>
      <c r="Q2407" t="n">
        <v>0</v>
      </c>
      <c r="R2407" t="n">
        <v>0</v>
      </c>
      <c r="S2407">
        <f>IFERROR(O2407/N2407,0)</f>
        <v/>
      </c>
      <c r="T2407" t="n">
        <v>0</v>
      </c>
      <c r="V2407" t="n">
        <v>0</v>
      </c>
    </row>
    <row r="2408">
      <c r="A2408">
        <f>Skills!A25</f>
        <v/>
      </c>
      <c r="B2408">
        <f>Skills!B25</f>
        <v/>
      </c>
      <c r="C2408">
        <f>Inputs!$B$3&gt;=125</f>
        <v/>
      </c>
      <c r="D2408">
        <f>IF(Skills!C25=1,60+Inputs!$B$26+Inputs!$B$30,IF(Skills!C25=2,90+Inputs!$B$27+Inputs!$B$30,IF(Skills!C25=3,120+Inputs!$B$28+Inputs!$B$30,MAX(0,(Inputs!$B$3-100)*3)+Inputs!$B$29+Inputs!$B$30)))</f>
        <v/>
      </c>
      <c r="E2408">
        <f>INDEX(FactorTable!$B$2:$Y$301, MATCH(ROUND(MIN(300,MAX(1,D2408)),0), FactorTable!$A$2:$A$301,0), Skills!M25+1)</f>
        <v/>
      </c>
      <c r="F2408">
        <f>IF(Skills!N25=TRUE,(Skills!L25/10)*(E2408/1000),Skills!L25/10)+Skills!O25</f>
        <v/>
      </c>
      <c r="G2408">
        <f>Skills!G25*IF(Skills!H25&gt;0,INT(IF(Inputs!$B$39="pvp",MIN(Skills!I25,15),Skills!I25)/Skills!H25+0.000000001),1)</f>
        <v/>
      </c>
      <c r="H2408">
        <f>1-(1-Skills!J25/100)^Skills!K25</f>
        <v/>
      </c>
      <c r="I2408" t="inlineStr">
        <is>
          <t>1</t>
        </is>
      </c>
      <c r="J2408" t="inlineStr"/>
      <c r="K2408" t="inlineStr"/>
      <c r="L2408" t="inlineStr"/>
      <c r="M2408" t="inlineStr"/>
      <c r="N2408" t="inlineStr"/>
      <c r="O2408">
        <f>(1-Summary!$B$11)*T2408+Summary!$B$11*V2408</f>
        <v/>
      </c>
      <c r="P2408">
        <f>IF(B2422=0,0,O2408/B2422)</f>
        <v/>
      </c>
      <c r="Q2408" t="n">
        <v>0</v>
      </c>
      <c r="R2408" t="n">
        <v>0</v>
      </c>
      <c r="S2408">
        <f>IFERROR(O2408/N2408,0)</f>
        <v/>
      </c>
      <c r="T2408" t="n">
        <v>0</v>
      </c>
      <c r="V2408" t="n">
        <v>0</v>
      </c>
    </row>
    <row r="2409">
      <c r="A2409">
        <f>Skills!A26</f>
        <v/>
      </c>
      <c r="B2409">
        <f>Skills!B26</f>
        <v/>
      </c>
      <c r="C2409">
        <f>Inputs!$B$3&gt;=107</f>
        <v/>
      </c>
      <c r="D2409">
        <f>IF(Skills!C26=1,60+Inputs!$B$26+Inputs!$B$30,IF(Skills!C26=2,90+Inputs!$B$27+Inputs!$B$30,IF(Skills!C26=3,120+Inputs!$B$28+Inputs!$B$30,MAX(0,(Inputs!$B$3-100)*3)+Inputs!$B$29+Inputs!$B$30)))</f>
        <v/>
      </c>
      <c r="E2409">
        <f>INDEX(FactorTable!$B$2:$Y$301, MATCH(ROUND(MIN(300,MAX(1,D2409)),0), FactorTable!$A$2:$A$301,0), Skills!M26+1)</f>
        <v/>
      </c>
      <c r="F2409">
        <f>IF(Skills!N26=TRUE,(Skills!L26/10)*(E2409/1000),Skills!L26/10)+Skills!O26</f>
        <v/>
      </c>
      <c r="G2409">
        <f>Skills!G26*IF(Skills!H26&gt;0,INT(IF(Inputs!$B$39="pvp",MIN(Skills!I26,15),Skills!I26)/Skills!H26+0.000000001),1)</f>
        <v/>
      </c>
      <c r="H2409">
        <f>1-(1-Skills!J26/100)^Skills!K26</f>
        <v/>
      </c>
      <c r="I2409" t="inlineStr">
        <is>
          <t>1</t>
        </is>
      </c>
      <c r="J2409" t="inlineStr"/>
      <c r="K2409" t="inlineStr"/>
      <c r="L2409" t="inlineStr"/>
      <c r="M2409" t="inlineStr"/>
      <c r="N2409" t="inlineStr"/>
      <c r="O2409">
        <f>(1-Summary!$B$11)*T2409+Summary!$B$11*V2409</f>
        <v/>
      </c>
      <c r="P2409">
        <f>IF(B2422=0,0,O2409/B2422)</f>
        <v/>
      </c>
      <c r="Q2409" t="n">
        <v>0</v>
      </c>
      <c r="R2409" t="n">
        <v>0</v>
      </c>
      <c r="S2409">
        <f>IFERROR(O2409/N2409,0)</f>
        <v/>
      </c>
      <c r="T2409" t="n">
        <v>0</v>
      </c>
      <c r="V2409" t="n">
        <v>0</v>
      </c>
    </row>
    <row r="2411">
      <c r="A2411" t="inlineStr">
        <is>
          <t>Attack% Bucket Multiplier</t>
        </is>
      </c>
      <c r="B2411">
        <f>(1+(((C2396=TRUE)*F2396*IF(AND(Inputs!$B$39&lt;&gt;"pvp",Inputs!$B$44&gt;0),(((R2396-1)*MIN((Skills!T13*(1+Inputs!$B$35/100)),(1/Q2396))+MIN((Skills!T13*(1+Inputs!$B$35/100)),MAX(0,Inputs!$B$44-((R2396-1)*(1/Q2396)))))/Inputs!$B$44),IF(Inputs!$B$39="pvp",MIN((Skills!T13*(1+Inputs!$B$35/100)),15)/15,MIN(1,(Skills!T13*(1+Inputs!$B$35/100))/(1/Q2396)))))+((C2397=TRUE)*F2397*IF(AND(Inputs!$B$39&lt;&gt;"pvp",Inputs!$B$44&gt;0),(((R2397-1)*MIN((Skills!T14*(1+Inputs!$B$35/100)),(1/Q2397))+MIN((Skills!T14*(1+Inputs!$B$35/100)),MAX(0,Inputs!$B$44-((R2397-1)*(1/Q2397)))))/Inputs!$B$44),IF(Inputs!$B$39="pvp",MIN((Skills!T14*(1+Inputs!$B$35/100)),15)/15,MIN(1,(Skills!T14*(1+Inputs!$B$35/100))/(1/Q2397)))))+((C2398=TRUE)*F2398*IF(AND(Inputs!$B$39&lt;&gt;"pvp",Inputs!$B$44&gt;0),(((R2398-1)*MIN((Skills!T15*(1+Inputs!$B$35/100)),(1/Q2398))+MIN((Skills!T15*(1+Inputs!$B$35/100)),MAX(0,Inputs!$B$44-((R2398-1)*(1/Q2398)))))/Inputs!$B$44),IF(Inputs!$B$39="pvp",MIN((Skills!T15*(1+Inputs!$B$35/100)),15)/15,MIN(1,(Skills!T15*(1+Inputs!$B$35/100))/(1/Q2398)))))+((C2399=TRUE)*F2399*IF(AND(Inputs!$B$39&lt;&gt;"pvp",Inputs!$B$44&gt;0),(((R2399-1)*MIN((Skills!T16*(1+Inputs!$B$35/100)),(1/Q2399))+MIN((Skills!T16*(1+Inputs!$B$35/100)),MAX(0,Inputs!$B$44-((R2399-1)*(1/Q2399)))))/Inputs!$B$44),IF(Inputs!$B$39="pvp",MIN((Skills!T16*(1+Inputs!$B$35/100)),15)/15,MIN(1,(Skills!T16*(1+Inputs!$B$35/100))/(1/Q2399)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$39&lt;&gt;"pvp",Inputs!$B$44=0),0.5,(5*INT(MAX(0,IF(Inputs!$B$39="pvp",15,Inputs!$B$44)-10)/10)+MIN((MAX(0,IF(Inputs!$B$39="pvp",15,Inputs!$B$44)-10)-10*INT(MAX(0,IF(Inputs!$B$39="pvp",15,Inputs!$B$44)-10)/10)),5))/IF(Inputs!$B$39="pvp",15,Inputs!$B$44))),0)))/100)</f>
        <v/>
      </c>
    </row>
    <row r="2412">
      <c r="A2412" t="inlineStr">
        <is>
          <t>Global Crit Rate Bonus % (Lord of Darkness)</t>
        </is>
      </c>
      <c r="B2412">
        <f>((C2401=TRUE)*F2401*(Skills!J18/100)*IF(AND(Inputs!$B$39&lt;&gt;"pvp",Inputs!$B$44&gt;0),(((R2401-1)*MIN((Skills!T18*(1+Inputs!$B$35/100)),(1/Q2401))+MIN((Skills!T18*(1+Inputs!$B$35/100)),MAX(0,Inputs!$B$44-((R2401-1)*(1/Q2401)))))/Inputs!$B$44),IF(Inputs!$B$39="pvp",MIN((Skills!T18*(1+Inputs!$B$35/100)),15)/15,MIN(1,(Skills!T18*(1+Inputs!$B$35/100))/(1/Q2401)))))</f>
        <v/>
      </c>
    </row>
    <row r="2413">
      <c r="A2413" t="inlineStr">
        <is>
          <t>Attack Speed Buff Bonus %</t>
        </is>
      </c>
      <c r="B2413">
        <f>((C2403=TRUE)*F2403*IF(AND(Inputs!$B$39&lt;&gt;"pvp",Inputs!$B$44&gt;0),(((R2403-1)*MIN((Skills!T20*(1+Inputs!$B$35/100)),(1/Q2403))+MIN((Skills!T20*(1+Inputs!$B$35/100)),MAX(0,Inputs!$B$44-((R2403-1)*(1/Q2403)))))/Inputs!$B$44),IF(Inputs!$B$39="pvp",MIN((Skills!T20*(1+Inputs!$B$35/100)),15)/15,MIN(1,(Skills!T20*(1+Inputs!$B$35/100))/(1/Q2403)))))</f>
        <v/>
      </c>
    </row>
    <row r="2414">
      <c r="A2414" t="inlineStr">
        <is>
          <t>Actions Per Second</t>
        </is>
      </c>
      <c r="B2414">
        <f>1+MIN(150,150*(1-(1-(Inputs!$B$12+((C2404=TRUE)*(F2404-Calc!F21)))/150)*(1-B2413/150)))/100</f>
        <v/>
      </c>
    </row>
    <row r="2415">
      <c r="A2415" t="inlineStr">
        <is>
          <t>Skill + Buff Cast Rate</t>
        </is>
      </c>
      <c r="B2415">
        <f>IF(AND(Inputs!$B$39&lt;&gt;"pvp",Inputs!$B$44&gt;0),SUMPRODUCT((Skills!E2:E26=TRUE)*(C2385:C2409=TRUE)*R2385:R2409*Skills!F2:F26)/Inputs!$B$44,SUMPRODUCT((Skills!E2:E26=TRUE)*(C2385:C2409=TRUE)*Q2385:Q2409*Skills!F2:F26))</f>
        <v/>
      </c>
    </row>
    <row r="2416">
      <c r="A2416" t="inlineStr">
        <is>
          <t>Dark Impale Casts Per Second</t>
        </is>
      </c>
      <c r="B2416">
        <f>MAX(0,B2414-B2415)</f>
        <v/>
      </c>
    </row>
    <row r="2417">
      <c r="A2417" t="inlineStr">
        <is>
          <t>Global Critical Damage Bonus % (Lord of Darkness)</t>
        </is>
      </c>
      <c r="B2417">
        <f>((C2402=TRUE)*F2402*(Skills!J19/100)*IF(AND(Inputs!$B$39&lt;&gt;"pvp",Inputs!$B$44&gt;0),(((R2402-1)*MIN((Skills!T19*(1+Inputs!$B$35/100)),(1/Q2402))+MIN((Skills!T19*(1+Inputs!$B$35/100)),MAX(0,Inputs!$B$44-((R2402-1)*(1/Q2402)))))/Inputs!$B$44),IF(Inputs!$B$39="pvp",MIN((Skills!T19*(1+Inputs!$B$35/100)),15)/15,MIN(1,(Skills!T19*(1+Inputs!$B$35/100))/(1/Q2402)))))</f>
        <v/>
      </c>
    </row>
    <row r="2418">
      <c r="A2418" t="inlineStr">
        <is>
          <t>Global Final Damage Bonus % (unused)</t>
        </is>
      </c>
      <c r="B2418" t="n">
        <v>0</v>
      </c>
    </row>
    <row r="2419">
      <c r="A2419" t="inlineStr">
        <is>
          <t>Buff-Casting Startup Delay (s, fixed-duration only)</t>
        </is>
      </c>
      <c r="B2419">
        <f>IF(AND(Inputs!$B$39&lt;&gt;"pvp",Inputs!$B$44&gt;0),SUMPRODUCT((Skills!T2:T26&gt;0)*(Skills!E2:E26=TRUE)*(C2385:C2409=TRUE))/B2414,0)</f>
        <v/>
      </c>
    </row>
    <row r="2420">
      <c r="A2420" t="inlineStr">
        <is>
          <t>Boss-Only Total DPS (this block's swept value)</t>
        </is>
      </c>
      <c r="B2420">
        <f>SUM(T2385:T2409)</f>
        <v/>
      </c>
    </row>
    <row r="2421">
      <c r="A2421" t="inlineStr">
        <is>
          <t>Normal-Only Total DPS (this block's swept value)</t>
        </is>
      </c>
      <c r="B2421">
        <f>SUM(V2385:V2409)</f>
        <v/>
      </c>
    </row>
    <row r="2422">
      <c r="A2422" s="6" t="inlineStr">
        <is>
          <t>TOTAL DPS</t>
        </is>
      </c>
      <c r="B2422" s="6">
        <f>SUM(O2385:O2409)</f>
        <v/>
      </c>
    </row>
    <row r="2425">
      <c r="A2425" s="6" t="inlineStr">
        <is>
          <t>Stat: Peach Tree Herb Pouch (Equip)</t>
        </is>
      </c>
    </row>
    <row r="2426">
      <c r="A2426" s="5" t="inlineStr">
        <is>
          <t>Key</t>
        </is>
      </c>
      <c r="B2426" s="5" t="inlineStr">
        <is>
          <t>Name</t>
        </is>
      </c>
      <c r="C2426" s="5" t="inlineStr">
        <is>
          <t>Unlocked</t>
        </is>
      </c>
      <c r="D2426" s="5" t="inlineStr">
        <is>
          <t>InputLevel</t>
        </is>
      </c>
      <c r="E2426" s="5" t="inlineStr">
        <is>
          <t>Factor</t>
        </is>
      </c>
      <c r="F2426" s="5" t="inlineStr">
        <is>
          <t>CoefficientPercent</t>
        </is>
      </c>
      <c r="G2426" s="5" t="inlineStr">
        <is>
          <t>EffectiveHits</t>
        </is>
      </c>
      <c r="H2426" s="5" t="inlineStr">
        <is>
          <t>ProcProbability</t>
        </is>
      </c>
      <c r="I2426" s="5" t="inlineStr">
        <is>
          <t>MapleHeroMultiplier</t>
        </is>
      </c>
      <c r="J2426" s="5" t="inlineStr">
        <is>
          <t>BaseDamage</t>
        </is>
      </c>
      <c r="K2426" s="5" t="inlineStr">
        <is>
          <t>BaseHitDamage</t>
        </is>
      </c>
      <c r="L2426" s="5" t="inlineStr">
        <is>
          <t>NonCritAvg</t>
        </is>
      </c>
      <c r="M2426" s="5" t="inlineStr">
        <is>
          <t>CritAvg</t>
        </is>
      </c>
      <c r="N2426" s="5" t="inlineStr">
        <is>
          <t>ExpectedDamage(perHit)</t>
        </is>
      </c>
      <c r="O2426" s="5" t="inlineStr">
        <is>
          <t>DPS</t>
        </is>
      </c>
      <c r="P2426" s="5" t="inlineStr">
        <is>
          <t>% of Total</t>
        </is>
      </c>
      <c r="Q2426" s="5" t="inlineStr">
        <is>
          <t>InvCooldown</t>
        </is>
      </c>
      <c r="R2426" s="5" t="inlineStr">
        <is>
          <t>CastsInFight</t>
        </is>
      </c>
      <c r="S2426" s="5" t="inlineStr">
        <is>
          <t>HitRate(perSec)</t>
        </is>
      </c>
      <c r="U2426" t="inlineStr">
        <is>
          <t>helpers</t>
        </is>
      </c>
    </row>
    <row r="2427">
      <c r="A2427">
        <f>Skills!A2</f>
        <v/>
      </c>
      <c r="B2427">
        <f>Skills!B2</f>
        <v/>
      </c>
      <c r="C2427">
        <f>Inputs!$B$3&gt;=100</f>
        <v/>
      </c>
      <c r="D2427" t="inlineStr"/>
      <c r="E2427" t="inlineStr"/>
      <c r="F2427">
        <f>U2429+Skills!O2</f>
        <v/>
      </c>
      <c r="G2427">
        <f>Skills!G2*IF(Skills!H2&gt;0,INT(IF(Inputs!$B$39="pvp",MIN(Skills!I2,15),Skills!I2)/Skills!H2+0.000000001),1)</f>
        <v/>
      </c>
      <c r="H2427">
        <f>1-(1-Skills!J2/100)^Skills!K2</f>
        <v/>
      </c>
      <c r="I2427" t="inlineStr">
        <is>
          <t>1</t>
        </is>
      </c>
      <c r="J2427">
        <f>((Inputs!$B$6*(1+Inputs!$B$7/100))+(((Inputs!$B$13*(1+Inputs!$B$14/100))-(Inputs!$B$13*(1+Inputs!$B$14/100)))+0.25*(Inputs!$B$15-Inputs!$B$15))*(1+Inputs!$B$7/100))*(F2427/100)</f>
        <v/>
      </c>
      <c r="K2427">
        <f>J2427*(1+(((Inputs!$B$13+IF(Inputs!$B$3&gt;=38,(10*INDEX(FactorTable!$B$2:$Y$301, MATCH(ROUND(MIN(300,MAX(1,Inputs!$B$3)),0), FactorTable!$A$2:$A$301,0), 23)/1000)/100*(Inputs!$B$8*(1+Inputs!$B$9/100)),0))*(1+Inputs!$B$14/100))*0.01+Inputs!$B$15*0.0025)/100)*(1+Inputs!$B$16/100)*(1+Inputs!$B$17/100)*(5000/(6000+Inputs!$B$43*(1-(Inputs!$B$20+0)/100)))*(1+(Inputs!$B$25+((C2450=TRUE)*(F2450-Calc!F25))+((C2451=TRUE)*(F2451-Calc!F26))+B2460)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gt;=100),MIN(100,((Inputs!$B$10+0+B2454+(ArtifactsInput!$M$24-ArtifactsInput!$M$24)*CHOOSE(ArtifactsInput!$N$24+1,10,12,14,16,18,20)+IF(ArtifactsInput!$M$10,CHOOSE(ArtifactsInput!$N$10+1,15,18,21,24,27,30)*(IF(Inputs!$B$39="pvp",MIN(15,15)/15,IF(AND(Inputs!$B$39&lt;&gt;"pvp",Inputs!$B$44&gt;0),MIN(15,Inputs!$B$44)/(Inputs!$B$44),0))),0)))-100),0))*CHOOSE(ArtifactsInput!$N$42+1,0.6,0.72,0.84,0.96,1.08,1.2))),Inputs!$B$19+((C2448=TRUE)*(F2448-Calc!F23))+(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gt;=100),CHOOSE(ArtifactsInput!$N$42+1,40,48,56,64,72,80),0))))/100)*((1+(((C2438=TRUE)*F2438*IF(AND(Inputs!$B$39&lt;&gt;"pvp",Inputs!$B$44&gt;0),(((R2438-1)*MIN((Skills!T13*(1+Inputs!$B$35/100)),(1/Q2438))+MIN((Skills!T13*(1+Inputs!$B$35/100)),MAX(0,Inputs!$B$44-((R2438-1)*(1/Q2438)))))/Inputs!$B$44),IF(Inputs!$B$39="pvp",MIN((Skills!T13*(1+Inputs!$B$35/100)),15)/15,MIN(1,(Skills!T13*(1+Inputs!$B$35/100))/(1/Q2438)))))+((C2439=TRUE)*F2439*IF(AND(Inputs!$B$39&lt;&gt;"pvp",Inputs!$B$44&gt;0),(((R2439-1)*MIN((Skills!T14*(1+Inputs!$B$35/100)),(1/Q2439))+MIN((Skills!T14*(1+Inputs!$B$35/100)),MAX(0,Inputs!$B$44-((R2439-1)*(1/Q2439)))))/Inputs!$B$44),IF(Inputs!$B$39="pvp",MIN((Skills!T14*(1+Inputs!$B$35/100)),15)/15,MIN(1,(Skills!T14*(1+Inputs!$B$35/100))/(1/Q2439)))))+((C2440=TRUE)*F2440*IF(AND(Inputs!$B$39&lt;&gt;"pvp",Inputs!$B$44&gt;0),(((R2440-1)*MIN((Skills!T15*(1+Inputs!$B$35/100)),(1/Q2440))+MIN((Skills!T15*(1+Inputs!$B$35/100)),MAX(0,Inputs!$B$44-((R2440-1)*(1/Q2440)))))/Inputs!$B$44),IF(Inputs!$B$39="pvp",MIN((Skills!T15*(1+Inputs!$B$35/100)),15)/15,MIN(1,(Skills!T15*(1+Inputs!$B$35/100))/(1/Q2440)))))+((C2441=TRUE)*F2441*IF(AND(Inputs!$B$39&lt;&gt;"pvp",Inputs!$B$44&gt;0),(((R2441-1)*MIN((Skills!T16*(1+Inputs!$B$35/100)),(1/Q2441))+MIN((Skills!T16*(1+Inputs!$B$35/100)),MAX(0,Inputs!$B$44-((R2441-1)*(1/Q2441)))))/Inputs!$B$44),IF(Inputs!$B$39="pvp",MIN((Skills!T16*(1+Inputs!$B$35/100)),15)/15,MIN(1,(Skills!T16*(1+Inputs!$B$35/100))/(1/Q2441)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2427)</f>
        <v/>
      </c>
      <c r="L2427">
        <f>K2427*(MIN(Inputs!$B$23+((C2447=TRUE)*(F2447-Calc!F22)),(Inputs!$B$24+((C2449=TRUE)*(F2449-Calc!F24))+(IF(ArtifactsInput!$M$15,CHOOSE(ArtifactsInput!$N$15+1,25,30,35,40,45,50)/100*(Inputs!$B$12-Inputs!$B$12),0))))/100+(Inputs!$B$24+((C2449=TRUE)*(F2449-Calc!F24))+(IF(ArtifactsInput!$M$15,CHOOSE(ArtifactsInput!$N$15+1,25,30,35,40,45,50)/100*(Inputs!$B$12-Inputs!$B$12),0)))/100)/2</f>
        <v/>
      </c>
      <c r="M2427">
        <f>L2427*(1+(Inputs!$B$11+0+B2459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427">
        <f>L2427*(1-MIN((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2427*(MIN((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27">
        <f>(1-Summary!$B$11)*T2427+Summary!$B$11*V2427</f>
        <v/>
      </c>
      <c r="P2427">
        <f>IF(B2464=0,0,O2427/B2464)</f>
        <v/>
      </c>
      <c r="Q2427" t="n">
        <v>0</v>
      </c>
      <c r="R2427" t="n">
        <v>0</v>
      </c>
      <c r="S2427">
        <f>IFERROR(O2427/N2427,0)</f>
        <v/>
      </c>
      <c r="T2427">
        <f>IF(C2427,(Skills!G2*N2427*B2458)*IF(Inputs!$B$39="pvp",1,1+(Inputs!$B$21+0+Skills!P2+((C2442=TRUE)*F2442*IF(AND(Inputs!$B$39&lt;&gt;"pvp",Inputs!$B$44&gt;0),(((R2442-1)*MIN((Skills!T17*(1+Inputs!$B$35/100)),(1/Q2442))+MIN((Skills!T17*(1+Inputs!$B$35/100)),MAX(0,Inputs!$B$44-((R2442-1)*(1/Q2442)))))/Inputs!$B$44),IF(Inputs!$B$39="pvp",MIN((Skills!T17*(1+Inputs!$B$35/100)),15)/15,MIN(1,(Skills!T17*(1+Inputs!$B$35/100))/(1/Q2442)))))+((C2430=TRUE)*IF(Inputs!$B$3&gt;=126,10*MIN(1,15*Q2430),0))+((C2439=TRUE)*IF(Inputs!$B$39="pvp",20,(1-Summary!$B$11)*(20)+Summary!$B$11*(0))*IF(AND(Inputs!$B$39&lt;&gt;"pvp",Inputs!$B$44&gt;0),(((R2439-1)*MIN((Skills!T14*(1+Inputs!$B$35/100)),(1/Q2439))+MIN((Skills!T14*(1+Inputs!$B$35/100)),MAX(0,Inputs!$B$44-((R2439-1)*(1/Q2439)))))/Inputs!$B$44),IF(Inputs!$B$39="pvp",MIN((Skills!T14*(1+Inputs!$B$35/100)),15)/15,MIN(1,(Skills!T14*(1+Inputs!$B$35/100))/(1/Q2439)))))+((C2438=TRUE)*IF(Inputs!$B$3&gt;=82,IF(Inputs!$B$39="pvp",20,(1-Summary!$B$11)*(20)+Summary!$B$11*(0)),0)*IF(AND(Inputs!$B$39&lt;&gt;"pvp",Inputs!$B$44&gt;0),(((R2438-1)*MIN((Skills!T13*(1+Inputs!$B$35/100)),(1/Q2438))+MIN((Skills!T13*(1+Inputs!$B$35/100)),MAX(0,Inputs!$B$44-((R2438-1)*(1/Q2438)))))/Inputs!$B$44),IF(Inputs!$B$39="pvp",MIN((Skills!T13*(1+Inputs!$B$35/100)),15)/15,MIN(1,(Skills!T13*(1+Inputs!$B$35/100))/(1/Q2438)))))+(IF(AND(IF(ArtifactsInput!$M$35,FALSE,TRUE),Inputs!$B$4&lt;&gt;"Chapter Hunt"),CHOOSE(ArtifactsInput!$N$35+1,15,18,21,24,27,30)*(1-EXP(-(0.2*B2456)*5)),0)+IF(AND(ArtifactsInput!$M$22,Inputs!$B$4&lt;&gt;"Chapter Hunt"),CHOOSE(ArtifactsInput!$N$22+1,10,12,14,16,18,20)*((0*(((0.15*B2456*5))^0/1)+1*(((0.15*B2456*5))^1/1)+2*(((0.15*B2456*5))^2/2)+3*(((0.15*B2456*5))^3/6)+4*(((0.15*B2456*5))^4/24)+5*(((0.15*B2456*5))^5/120))/((((0.15*B2456*5))^0/1)+(((0.15*B2456*5))^1/1)+(((0.15*B2456*5))^2/2)+(((0.15*B2456*5))^3/6)+(((0.15*B2456*5))^4/24)+(((0.15*B2456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2427*(1-MIN(100,(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2427*(MIN(100,(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2427*(1-MIN(100,(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2427*(MIN(100,(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427">
        <f>MAX(0,(Inputs!$B$3-100)*3)+Inputs!$B$29+Inputs!$B$30</f>
        <v/>
      </c>
      <c r="V2427">
        <f>IF(C2427,(Skills!G2*N2427*B2458)*IF(Inputs!$B$39="pvp",1,(1+(Inputs!$B$22+Skills!Q2+((C2442=TRUE)*F2442*IF(AND(Inputs!$B$39&lt;&gt;"pvp",Inputs!$B$44&gt;0),(((R2442-1)*MIN((Skills!T17*(1+Inputs!$B$35/100)),(1/Q2442))+MIN((Skills!T17*(1+Inputs!$B$35/100)),MAX(0,Inputs!$B$44-((R2442-1)*(1/Q2442)))))/Inputs!$B$44),IF(Inputs!$B$39="pvp",MIN((Skills!T17*(1+Inputs!$B$35/100)),15)/15,MIN(1,(Skills!T17*(1+Inputs!$B$35/100))/(1/Q2442)))))+((C2430=TRUE)*IF(Inputs!$B$3&gt;=126,10*MIN(1,15*Q2430),0))+((C2439=TRUE)*IF(Inputs!$B$39="pvp",20,(1-Summary!$B$11)*(20)+Summary!$B$11*(0))*IF(AND(Inputs!$B$39&lt;&gt;"pvp",Inputs!$B$44&gt;0),(((R2439-1)*MIN((Skills!T14*(1+Inputs!$B$35/100)),(1/Q2439))+MIN((Skills!T14*(1+Inputs!$B$35/100)),MAX(0,Inputs!$B$44-((R2439-1)*(1/Q2439)))))/Inputs!$B$44),IF(Inputs!$B$39="pvp",MIN((Skills!T14*(1+Inputs!$B$35/100)),15)/15,MIN(1,(Skills!T14*(1+Inputs!$B$35/100))/(1/Q2439)))))+((C2438=TRUE)*IF(Inputs!$B$3&gt;=82,IF(Inputs!$B$39="pvp",20,(1-Summary!$B$11)*(20)+Summary!$B$11*(0)),0)*IF(AND(Inputs!$B$39&lt;&gt;"pvp",Inputs!$B$44&gt;0),(((R2438-1)*MIN((Skills!T13*(1+Inputs!$B$35/100)),(1/Q2438))+MIN((Skills!T13*(1+Inputs!$B$35/100)),MAX(0,Inputs!$B$44-((R2438-1)*(1/Q2438)))))/Inputs!$B$44),IF(Inputs!$B$39="pvp",MIN((Skills!T13*(1+Inputs!$B$35/100)),15)/15,MIN(1,(Skills!T13*(1+Inputs!$B$35/100))/(1/Q2438)))))+(IF(AND(IF(ArtifactsInput!$M$35,FALSE,TRUE),Inputs!$B$4&lt;&gt;"Chapter Hunt"),CHOOSE(ArtifactsInput!$N$35+1,15,18,21,24,27,30)*(1-EXP(-(0.2*B2456)*5)),0)+IF(AND(ArtifactsInput!$M$22,Inputs!$B$4&lt;&gt;"Chapter Hunt"),CHOOSE(ArtifactsInput!$N$22+1,10,12,14,16,18,20)*((0*(((0.15*B2456*5))^0/1)+1*(((0.15*B2456*5))^1/1)+2*(((0.15*B2456*5))^2/2)+3*(((0.15*B2456*5))^3/6)+4*(((0.15*B2456*5))^4/24)+5*(((0.15*B2456*5))^5/120))/((((0.15*B2456*5))^0/1)+(((0.15*B2456*5))^1/1)+(((0.15*B2456*5))^2/2)+(((0.15*B2456*5))^3/6)+(((0.15*B2456*5))^4/24)+(((0.15*B2456*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28">
      <c r="A2428">
        <f>Skills!A3</f>
        <v/>
      </c>
      <c r="B2428">
        <f>Skills!B3</f>
        <v/>
      </c>
      <c r="C2428">
        <f>Inputs!$B$3&gt;=50</f>
        <v/>
      </c>
      <c r="D2428">
        <f>IF(Skills!C3=1,60+Inputs!$B$26+Inputs!$B$30,IF(Skills!C3=2,90+Inputs!$B$27+Inputs!$B$30,IF(Skills!C3=3,120+Inputs!$B$28+Inputs!$B$30,MAX(0,(Inputs!$B$3-100)*3)+Inputs!$B$29+Inputs!$B$30)))</f>
        <v/>
      </c>
      <c r="E2428">
        <f>INDEX(FactorTable!$B$2:$Y$301, MATCH(ROUND(MIN(300,MAX(1,D2428)),0), FactorTable!$A$2:$A$301,0), Skills!M3+1)</f>
        <v/>
      </c>
      <c r="F2428">
        <f>IF(Skills!N3=TRUE,(Skills!L3/10)*(E2428/1000),Skills!L3/10)+Skills!O3</f>
        <v/>
      </c>
      <c r="G2428" t="inlineStr"/>
      <c r="H2428" t="inlineStr"/>
      <c r="I2428" t="inlineStr">
        <is>
          <t>1</t>
        </is>
      </c>
      <c r="J2428" t="inlineStr"/>
      <c r="K2428" t="inlineStr"/>
      <c r="L2428" t="inlineStr"/>
      <c r="M2428" t="inlineStr"/>
      <c r="N2428" t="inlineStr"/>
      <c r="O2428" t="inlineStr"/>
      <c r="P2428" t="inlineStr"/>
      <c r="Q2428" t="inlineStr"/>
      <c r="R2428" t="inlineStr"/>
      <c r="S2428" t="inlineStr"/>
      <c r="U2428">
        <f>INDEX(FactorTable!$B$2:$Y$301, MATCH(ROUND(MIN(300,MAX(1,U2427)),0), FactorTable!$A$2:$A$301,0), 22)</f>
        <v/>
      </c>
    </row>
    <row r="2429">
      <c r="A2429">
        <f>Skills!A4</f>
        <v/>
      </c>
      <c r="B2429">
        <f>Skills!B4</f>
        <v/>
      </c>
      <c r="C2429">
        <f>Inputs!$B$3&gt;=105</f>
        <v/>
      </c>
      <c r="D2429">
        <f>IF(Skills!C4=1,60+Inputs!$B$26+Inputs!$B$30,IF(Skills!C4=2,90+Inputs!$B$27+Inputs!$B$30,IF(Skills!C4=3,120+Inputs!$B$28+Inputs!$B$30,MAX(0,(Inputs!$B$3-100)*3)+Inputs!$B$29+Inputs!$B$30)))</f>
        <v/>
      </c>
      <c r="E2429">
        <f>INDEX(FactorTable!$B$2:$Y$301, MATCH(ROUND(MIN(300,MAX(1,D2429)),0), FactorTable!$A$2:$A$301,0), Skills!M4+1)</f>
        <v/>
      </c>
      <c r="F2429">
        <f>IF(Skills!N4=TRUE,(Skills!L4/10)*(E2429/1000),Skills!L4/10)+Skills!O4</f>
        <v/>
      </c>
      <c r="G2429" t="inlineStr"/>
      <c r="H2429" t="inlineStr"/>
      <c r="I2429" t="inlineStr">
        <is>
          <t>1</t>
        </is>
      </c>
      <c r="J2429" t="inlineStr"/>
      <c r="K2429" t="inlineStr"/>
      <c r="L2429" t="inlineStr"/>
      <c r="M2429" t="inlineStr"/>
      <c r="N2429" t="inlineStr"/>
      <c r="O2429" t="inlineStr"/>
      <c r="P2429" t="inlineStr"/>
      <c r="Q2429" t="inlineStr"/>
      <c r="R2429" t="inlineStr"/>
      <c r="S2429" t="inlineStr"/>
      <c r="U2429">
        <f>290*U2428/1000</f>
        <v/>
      </c>
    </row>
    <row r="2430">
      <c r="A2430">
        <f>Skills!A5</f>
        <v/>
      </c>
      <c r="B2430">
        <f>Skills!B5</f>
        <v/>
      </c>
      <c r="C2430">
        <f>Inputs!$B$3&gt;=117</f>
        <v/>
      </c>
      <c r="D2430">
        <f>IF(Skills!C5=1,60+Inputs!$B$26+Inputs!$B$30,IF(Skills!C5=2,90+Inputs!$B$27+Inputs!$B$30,IF(Skills!C5=3,120+Inputs!$B$28+Inputs!$B$30,MAX(0,(Inputs!$B$3-100)*3)+Inputs!$B$29+Inputs!$B$30)))</f>
        <v/>
      </c>
      <c r="E2430">
        <f>INDEX(FactorTable!$B$2:$Y$301, MATCH(ROUND(MIN(300,MAX(1,D2430)),0), FactorTable!$A$2:$A$301,0), Skills!M5+1)</f>
        <v/>
      </c>
      <c r="F2430">
        <f>IF(Skills!N5=TRUE,(Skills!L5/10)*(E2430/1000),Skills!L5/10)+Skills!O5</f>
        <v/>
      </c>
      <c r="G2430">
        <f>Skills!G5*IF(Skills!H5&gt;0,INT(IF(Inputs!$B$39="pvp",MIN(Skills!I5,15),Skills!I5)/Skills!H5+0.000000001),1)</f>
        <v/>
      </c>
      <c r="H2430">
        <f>1-(1-Skills!J5/100)^Skills!K5</f>
        <v/>
      </c>
      <c r="I2430" t="inlineStr">
        <is>
          <t>1</t>
        </is>
      </c>
      <c r="J2430">
        <f>((Inputs!$B$6*(1+Inputs!$B$7/100))+(((Inputs!$B$13*(1+Inputs!$B$14/100))-(Inputs!$B$13*(1+Inputs!$B$14/100)))+0.25*(Inputs!$B$15-Inputs!$B$15))*(1+Inputs!$B$7/100))*(F2430/100)</f>
        <v/>
      </c>
      <c r="K2430">
        <f>J2430*(1+(((Inputs!$B$13+IF(Inputs!$B$3&gt;=38,(10*INDEX(FactorTable!$B$2:$Y$301, MATCH(ROUND(MIN(300,MAX(1,Inputs!$B$3)),0), FactorTable!$A$2:$A$301,0), 23)/1000)/100*(Inputs!$B$8*(1+Inputs!$B$9/100)),0))*(1+Inputs!$B$14/100))*0.01+Inputs!$B$15*0.0025)/100)*(1+Inputs!$B$16/100)*(1+Inputs!$B$17/100)*(5000/(6000+Inputs!$B$43*(1-(Inputs!$B$20+0)/100)))*(1+(Inputs!$B$25+((C2450=TRUE)*(F2450-Calc!F25))+((C2451=TRUE)*(F2451-Calc!F26))+B2460)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gt;=100),MIN(100,((Inputs!$B$10+0+B2454+(ArtifactsInput!$M$24-ArtifactsInput!$M$24)*CHOOSE(ArtifactsInput!$N$24+1,10,12,14,16,18,20)+IF(ArtifactsInput!$M$10,CHOOSE(ArtifactsInput!$N$10+1,15,18,21,24,27,30)*(IF(Inputs!$B$39="pvp",MIN(15,15)/15,IF(AND(Inputs!$B$39&lt;&gt;"pvp",Inputs!$B$44&gt;0),MIN(15,Inputs!$B$44)/(Inputs!$B$44),0))),0)))-100),0))*CHOOSE(ArtifactsInput!$N$42+1,0.6,0.72,0.84,0.96,1.08,1.2))),Inputs!$B$19+((C2448=TRUE)*(F2448-Calc!F23))+(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gt;=100),CHOOSE(ArtifactsInput!$N$42+1,40,48,56,64,72,80),0))))/100)*((1+(((C2438=TRUE)*F2438*IF(AND(Inputs!$B$39&lt;&gt;"pvp",Inputs!$B$44&gt;0),(((R2438-1)*MIN((Skills!T13*(1+Inputs!$B$35/100)),(1/Q2438))+MIN((Skills!T13*(1+Inputs!$B$35/100)),MAX(0,Inputs!$B$44-((R2438-1)*(1/Q2438)))))/Inputs!$B$44),IF(Inputs!$B$39="pvp",MIN((Skills!T13*(1+Inputs!$B$35/100)),15)/15,MIN(1,(Skills!T13*(1+Inputs!$B$35/100))/(1/Q2438)))))+((C2439=TRUE)*F2439*IF(AND(Inputs!$B$39&lt;&gt;"pvp",Inputs!$B$44&gt;0),(((R2439-1)*MIN((Skills!T14*(1+Inputs!$B$35/100)),(1/Q2439))+MIN((Skills!T14*(1+Inputs!$B$35/100)),MAX(0,Inputs!$B$44-((R2439-1)*(1/Q2439)))))/Inputs!$B$44),IF(Inputs!$B$39="pvp",MIN((Skills!T14*(1+Inputs!$B$35/100)),15)/15,MIN(1,(Skills!T14*(1+Inputs!$B$35/100))/(1/Q2439)))))+((C2440=TRUE)*F2440*IF(AND(Inputs!$B$39&lt;&gt;"pvp",Inputs!$B$44&gt;0),(((R2440-1)*MIN((Skills!T15*(1+Inputs!$B$35/100)),(1/Q2440))+MIN((Skills!T15*(1+Inputs!$B$35/100)),MAX(0,Inputs!$B$44-((R2440-1)*(1/Q2440)))))/Inputs!$B$44),IF(Inputs!$B$39="pvp",MIN((Skills!T15*(1+Inputs!$B$35/100)),15)/15,MIN(1,(Skills!T15*(1+Inputs!$B$35/100))/(1/Q2440)))))+((C2441=TRUE)*F2441*IF(AND(Inputs!$B$39&lt;&gt;"pvp",Inputs!$B$44&gt;0),(((R2441-1)*MIN((Skills!T16*(1+Inputs!$B$35/100)),(1/Q2441))+MIN((Skills!T16*(1+Inputs!$B$35/100)),MAX(0,Inputs!$B$44-((R2441-1)*(1/Q2441)))))/Inputs!$B$44),IF(Inputs!$B$39="pvp",MIN((Skills!T16*(1+Inputs!$B$35/100)),15)/15,MIN(1,(Skills!T16*(1+Inputs!$B$35/100))/(1/Q2441)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2430)</f>
        <v/>
      </c>
      <c r="L2430">
        <f>K2430*(MIN(Inputs!$B$23+((C2447=TRUE)*(F2447-Calc!F22)),(Inputs!$B$24+((C2449=TRUE)*(F2449-Calc!F24))+(IF(ArtifactsInput!$M$15,CHOOSE(ArtifactsInput!$N$15+1,25,30,35,40,45,50)/100*(Inputs!$B$12-Inputs!$B$12),0))))/100+(Inputs!$B$24+((C2449=TRUE)*(F2449-Calc!F24))+(IF(ArtifactsInput!$M$15,CHOOSE(ArtifactsInput!$N$15+1,25,30,35,40,45,50)/100*(Inputs!$B$12-Inputs!$B$12),0)))/100)/2</f>
        <v/>
      </c>
      <c r="M2430">
        <f>L2430*(1+(Inputs!$B$11+0+B2459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430">
        <f>L2430*(1-MIN((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2430*(MIN((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30">
        <f>(1-Summary!$B$11)*T2430+Summary!$B$11*V2430</f>
        <v/>
      </c>
      <c r="P2430">
        <f>IF(B2464=0,0,O2430/B2464)</f>
        <v/>
      </c>
      <c r="Q2430">
        <f>IFERROR(1/IF(Inputs!$B$39="pvp",15,MAX(0.1,Skills!D5-IF(TRUE=TRUE,Inputs!$B$33,0))),0)</f>
        <v/>
      </c>
      <c r="R2430">
        <f>IF(AND(Inputs!$B$39&lt;&gt;"pvp",Inputs!$B$44&gt;0),IF(MAX(0,Inputs!$B$44-B2461)&lt;=0,0,(INT(MAX(0,Inputs!$B$44-B2461)/IF(Inputs!$B$39="pvp",15,MAX(0.1,Skills!D5-IF(TRUE=TRUE,Inputs!$B$33,0))))+1)),0)</f>
        <v/>
      </c>
      <c r="S2430">
        <f>IFERROR(O2430/N2430,0)</f>
        <v/>
      </c>
      <c r="T2430">
        <f>IF(C2430,(H2430*N2430*IF(AND(Inputs!$B$39&lt;&gt;"pvp",Inputs!$B$44&gt;0),((Skills!G5*((R2430-1)*IF(Skills!H5&gt;0,INT(Skills!I5/Skills!H5+0.000000001),1)+IF(Skills!H5&gt;0,INT(MIN(Skills!I5,MAX(0,MAX(0,Inputs!$B$44-B2461)-((R2430-1)*IF(Inputs!$B$39="pvp",15,MAX(0.1,Skills!D5-IF(TRUE=TRUE,Inputs!$B$33,0))))))/Skills!H5+0.000000001),1)))/Inputs!$B$44),G2430*Q2430))*IF(Inputs!$B$39="pvp",1,1+(Inputs!$B$21+0+Skills!P5+((C2442=TRUE)*F2442*IF(AND(Inputs!$B$39&lt;&gt;"pvp",Inputs!$B$44&gt;0),(((R2442-1)*MIN((Skills!T17*(1+Inputs!$B$35/100)),(1/Q2442))+MIN((Skills!T17*(1+Inputs!$B$35/100)),MAX(0,Inputs!$B$44-((R2442-1)*(1/Q2442)))))/Inputs!$B$44),IF(Inputs!$B$39="pvp",MIN((Skills!T17*(1+Inputs!$B$35/100)),15)/15,MIN(1,(Skills!T17*(1+Inputs!$B$35/100))/(1/Q2442)))))+((C2430=TRUE)*IF(Inputs!$B$3&gt;=126,10*MIN(1,15*Q2430),0))+((C2439=TRUE)*IF(Inputs!$B$39="pvp",20,(1-Summary!$B$11)*(20)+Summary!$B$11*(0))*IF(AND(Inputs!$B$39&lt;&gt;"pvp",Inputs!$B$44&gt;0),(((R2439-1)*MIN((Skills!T14*(1+Inputs!$B$35/100)),(1/Q2439))+MIN((Skills!T14*(1+Inputs!$B$35/100)),MAX(0,Inputs!$B$44-((R2439-1)*(1/Q2439)))))/Inputs!$B$44),IF(Inputs!$B$39="pvp",MIN((Skills!T14*(1+Inputs!$B$35/100)),15)/15,MIN(1,(Skills!T14*(1+Inputs!$B$35/100))/(1/Q2439)))))+((C2438=TRUE)*IF(Inputs!$B$3&gt;=82,IF(Inputs!$B$39="pvp",20,(1-Summary!$B$11)*(20)+Summary!$B$11*(0)),0)*IF(AND(Inputs!$B$39&lt;&gt;"pvp",Inputs!$B$44&gt;0),(((R2438-1)*MIN((Skills!T13*(1+Inputs!$B$35/100)),(1/Q2438))+MIN((Skills!T13*(1+Inputs!$B$35/100)),MAX(0,Inputs!$B$44-((R2438-1)*(1/Q2438)))))/Inputs!$B$44),IF(Inputs!$B$39="pvp",MIN((Skills!T13*(1+Inputs!$B$35/100)),15)/15,MIN(1,(Skills!T13*(1+Inputs!$B$35/100))/(1/Q2438)))))+(IF(AND(IF(ArtifactsInput!$M$35,FALSE,TRUE),Inputs!$B$4&lt;&gt;"Chapter Hunt"),CHOOSE(ArtifactsInput!$N$35+1,15,18,21,24,27,30)*(1-EXP(-(0.2*B2456)*5)),0)+IF(AND(ArtifactsInput!$M$22,Inputs!$B$4&lt;&gt;"Chapter Hunt"),CHOOSE(ArtifactsInput!$N$22+1,10,12,14,16,18,20)*((0*(((0.15*B2456*5))^0/1)+1*(((0.15*B2456*5))^1/1)+2*(((0.15*B2456*5))^2/2)+3*(((0.15*B2456*5))^3/6)+4*(((0.15*B2456*5))^4/24)+5*(((0.15*B2456*5))^5/120))/((((0.15*B2456*5))^0/1)+(((0.15*B2456*5))^1/1)+(((0.15*B2456*5))^2/2)+(((0.15*B2456*5))^3/6)+(((0.15*B2456*5))^4/24)+(((0.15*B2456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2430*(1-MIN(100,(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2430*(MIN(100,(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2430*(1-MIN(100,(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2430*(MIN(100,(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30">
        <f>IF(C2430,(H2430*N2430*IF(AND(Inputs!$B$39&lt;&gt;"pvp",Inputs!$B$44&gt;0),((Skills!G5*((R2430-1)*IF(Skills!H5&gt;0,INT(Skills!I5/Skills!H5+0.000000001),1)+IF(Skills!H5&gt;0,INT(MIN(Skills!I5,MAX(0,MAX(0,Inputs!$B$44-B2461)-((R2430-1)*IF(Inputs!$B$39="pvp",15,MAX(0.1,Skills!D5-IF(TRUE=TRUE,Inputs!$B$33,0))))))/Skills!H5+0.000000001),1)))/Inputs!$B$44),G2430*Q2430))*IF(Inputs!$B$39="pvp",1,(1+(Inputs!$B$22+Skills!Q5+((C2442=TRUE)*F2442*IF(AND(Inputs!$B$39&lt;&gt;"pvp",Inputs!$B$44&gt;0),(((R2442-1)*MIN((Skills!T17*(1+Inputs!$B$35/100)),(1/Q2442))+MIN((Skills!T17*(1+Inputs!$B$35/100)),MAX(0,Inputs!$B$44-((R2442-1)*(1/Q2442)))))/Inputs!$B$44),IF(Inputs!$B$39="pvp",MIN((Skills!T17*(1+Inputs!$B$35/100)),15)/15,MIN(1,(Skills!T17*(1+Inputs!$B$35/100))/(1/Q2442)))))+((C2430=TRUE)*IF(Inputs!$B$3&gt;=126,10*MIN(1,15*Q2430),0))+((C2439=TRUE)*IF(Inputs!$B$39="pvp",20,(1-Summary!$B$11)*(20)+Summary!$B$11*(0))*IF(AND(Inputs!$B$39&lt;&gt;"pvp",Inputs!$B$44&gt;0),(((R2439-1)*MIN((Skills!T14*(1+Inputs!$B$35/100)),(1/Q2439))+MIN((Skills!T14*(1+Inputs!$B$35/100)),MAX(0,Inputs!$B$44-((R2439-1)*(1/Q2439)))))/Inputs!$B$44),IF(Inputs!$B$39="pvp",MIN((Skills!T14*(1+Inputs!$B$35/100)),15)/15,MIN(1,(Skills!T14*(1+Inputs!$B$35/100))/(1/Q2439)))))+((C2438=TRUE)*IF(Inputs!$B$3&gt;=82,IF(Inputs!$B$39="pvp",20,(1-Summary!$B$11)*(20)+Summary!$B$11*(0)),0)*IF(AND(Inputs!$B$39&lt;&gt;"pvp",Inputs!$B$44&gt;0),(((R2438-1)*MIN((Skills!T13*(1+Inputs!$B$35/100)),(1/Q2438))+MIN((Skills!T13*(1+Inputs!$B$35/100)),MAX(0,Inputs!$B$44-((R2438-1)*(1/Q2438)))))/Inputs!$B$44),IF(Inputs!$B$39="pvp",MIN((Skills!T13*(1+Inputs!$B$35/100)),15)/15,MIN(1,(Skills!T13*(1+Inputs!$B$35/100))/(1/Q2438)))))+(IF(AND(IF(ArtifactsInput!$M$35,FALSE,TRUE),Inputs!$B$4&lt;&gt;"Chapter Hunt"),CHOOSE(ArtifactsInput!$N$35+1,15,18,21,24,27,30)*(1-EXP(-(0.2*B2456)*5)),0)+IF(AND(ArtifactsInput!$M$22,Inputs!$B$4&lt;&gt;"Chapter Hunt"),CHOOSE(ArtifactsInput!$N$22+1,10,12,14,16,18,20)*((0*(((0.15*B2456*5))^0/1)+1*(((0.15*B2456*5))^1/1)+2*(((0.15*B2456*5))^2/2)+3*(((0.15*B2456*5))^3/6)+4*(((0.15*B2456*5))^4/24)+5*(((0.15*B2456*5))^5/120))/((((0.15*B2456*5))^0/1)+(((0.15*B2456*5))^1/1)+(((0.15*B2456*5))^2/2)+(((0.15*B2456*5))^3/6)+(((0.15*B2456*5))^4/24)+(((0.15*B2456*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31">
      <c r="A2431">
        <f>Skills!A6</f>
        <v/>
      </c>
      <c r="B2431">
        <f>Skills!B6</f>
        <v/>
      </c>
      <c r="C2431">
        <f>Inputs!$B$3&gt;=103</f>
        <v/>
      </c>
      <c r="D2431">
        <f>IF(Skills!C6=1,60+Inputs!$B$26+Inputs!$B$30,IF(Skills!C6=2,90+Inputs!$B$27+Inputs!$B$30,IF(Skills!C6=3,120+Inputs!$B$28+Inputs!$B$30,MAX(0,(Inputs!$B$3-100)*3)+Inputs!$B$29+Inputs!$B$30)))</f>
        <v/>
      </c>
      <c r="E2431">
        <f>INDEX(FactorTable!$B$2:$Y$301, MATCH(ROUND(MIN(300,MAX(1,D2431)),0), FactorTable!$A$2:$A$301,0), Skills!M6+1)</f>
        <v/>
      </c>
      <c r="F2431">
        <f>IF(Skills!N6=TRUE,(Skills!L6/10)*(E2431/1000),Skills!L6/10)+Skills!O6</f>
        <v/>
      </c>
      <c r="G2431">
        <f>Skills!G6*IF(Skills!H6&gt;0,INT(IF(Inputs!$B$39="pvp",MIN(Skills!I6,15),Skills!I6)/Skills!H6+0.000000001),1)</f>
        <v/>
      </c>
      <c r="H2431">
        <f>1-(1-Skills!J6/100)^Skills!K6</f>
        <v/>
      </c>
      <c r="I2431" t="inlineStr">
        <is>
          <t>1</t>
        </is>
      </c>
      <c r="J2431">
        <f>((Inputs!$B$6*(1+Inputs!$B$7/100))+(((Inputs!$B$13*(1+Inputs!$B$14/100))-(Inputs!$B$13*(1+Inputs!$B$14/100)))+0.25*(Inputs!$B$15-Inputs!$B$15))*(1+Inputs!$B$7/100))*(F2431/100)</f>
        <v/>
      </c>
      <c r="K2431">
        <f>J2431*(1+(((Inputs!$B$13+IF(Inputs!$B$3&gt;=38,(10*INDEX(FactorTable!$B$2:$Y$301, MATCH(ROUND(MIN(300,MAX(1,Inputs!$B$3)),0), FactorTable!$A$2:$A$301,0), 23)/1000)/100*(Inputs!$B$8*(1+Inputs!$B$9/100)),0))*(1+Inputs!$B$14/100))*0.01+Inputs!$B$15*0.0025)/100)*(1+Inputs!$B$16/100)*(1+Inputs!$B$17/100)*(5000/(6000+Inputs!$B$43*(1-(Inputs!$B$20+0)/100)))*(1+(Inputs!$B$25+((C2450=TRUE)*(F2450-Calc!F25))+((C2451=TRUE)*(F2451-Calc!F26))+B2460)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gt;=100),MIN(100,((Inputs!$B$10+0+B2454+(ArtifactsInput!$M$24-ArtifactsInput!$M$24)*CHOOSE(ArtifactsInput!$N$24+1,10,12,14,16,18,20)+IF(ArtifactsInput!$M$10,CHOOSE(ArtifactsInput!$N$10+1,15,18,21,24,27,30)*(IF(Inputs!$B$39="pvp",MIN(15,15)/15,IF(AND(Inputs!$B$39&lt;&gt;"pvp",Inputs!$B$44&gt;0),MIN(15,Inputs!$B$44)/(Inputs!$B$44),0))),0)))-100),0))*CHOOSE(ArtifactsInput!$N$42+1,0.6,0.72,0.84,0.96,1.08,1.2))),Inputs!$B$19+((C2448=TRUE)*(F2448-Calc!F23))+(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gt;=100),CHOOSE(ArtifactsInput!$N$42+1,40,48,56,64,72,80),0))))/100)*((1+(((C2438=TRUE)*F2438*IF(AND(Inputs!$B$39&lt;&gt;"pvp",Inputs!$B$44&gt;0),(((R2438-1)*MIN((Skills!T13*(1+Inputs!$B$35/100)),(1/Q2438))+MIN((Skills!T13*(1+Inputs!$B$35/100)),MAX(0,Inputs!$B$44-((R2438-1)*(1/Q2438)))))/Inputs!$B$44),IF(Inputs!$B$39="pvp",MIN((Skills!T13*(1+Inputs!$B$35/100)),15)/15,MIN(1,(Skills!T13*(1+Inputs!$B$35/100))/(1/Q2438)))))+((C2439=TRUE)*F2439*IF(AND(Inputs!$B$39&lt;&gt;"pvp",Inputs!$B$44&gt;0),(((R2439-1)*MIN((Skills!T14*(1+Inputs!$B$35/100)),(1/Q2439))+MIN((Skills!T14*(1+Inputs!$B$35/100)),MAX(0,Inputs!$B$44-((R2439-1)*(1/Q2439)))))/Inputs!$B$44),IF(Inputs!$B$39="pvp",MIN((Skills!T14*(1+Inputs!$B$35/100)),15)/15,MIN(1,(Skills!T14*(1+Inputs!$B$35/100))/(1/Q2439)))))+((C2440=TRUE)*F2440*IF(AND(Inputs!$B$39&lt;&gt;"pvp",Inputs!$B$44&gt;0),(((R2440-1)*MIN((Skills!T15*(1+Inputs!$B$35/100)),(1/Q2440))+MIN((Skills!T15*(1+Inputs!$B$35/100)),MAX(0,Inputs!$B$44-((R2440-1)*(1/Q2440)))))/Inputs!$B$44),IF(Inputs!$B$39="pvp",MIN((Skills!T15*(1+Inputs!$B$35/100)),15)/15,MIN(1,(Skills!T15*(1+Inputs!$B$35/100))/(1/Q2440)))))+((C2441=TRUE)*F2441*IF(AND(Inputs!$B$39&lt;&gt;"pvp",Inputs!$B$44&gt;0),(((R2441-1)*MIN((Skills!T16*(1+Inputs!$B$35/100)),(1/Q2441))+MIN((Skills!T16*(1+Inputs!$B$35/100)),MAX(0,Inputs!$B$44-((R2441-1)*(1/Q2441)))))/Inputs!$B$44),IF(Inputs!$B$39="pvp",MIN((Skills!T16*(1+Inputs!$B$35/100)),15)/15,MIN(1,(Skills!T16*(1+Inputs!$B$35/100))/(1/Q2441)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2431)</f>
        <v/>
      </c>
      <c r="L2431">
        <f>K2431*(MIN(Inputs!$B$23+((C2447=TRUE)*(F2447-Calc!F22)),(Inputs!$B$24+((C2449=TRUE)*(F2449-Calc!F24))+(IF(ArtifactsInput!$M$15,CHOOSE(ArtifactsInput!$N$15+1,25,30,35,40,45,50)/100*(Inputs!$B$12-Inputs!$B$12),0))))/100+(Inputs!$B$24+((C2449=TRUE)*(F2449-Calc!F24))+(IF(ArtifactsInput!$M$15,CHOOSE(ArtifactsInput!$N$15+1,25,30,35,40,45,50)/100*(Inputs!$B$12-Inputs!$B$12),0)))/100)/2</f>
        <v/>
      </c>
      <c r="M2431">
        <f>L2431*(1+(Inputs!$B$11+0+B2459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431">
        <f>L2431*(1-MIN((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2431*(MIN((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31">
        <f>(1-Summary!$B$11)*T2431+Summary!$B$11*V2431</f>
        <v/>
      </c>
      <c r="P2431">
        <f>IF(B2464=0,0,O2431/B2464)</f>
        <v/>
      </c>
      <c r="Q2431">
        <f>IFERROR(1/IF(Inputs!$B$39="pvp",15,MAX(0.1,Skills!D6-IF(TRUE=TRUE,Inputs!$B$33,0))),0)</f>
        <v/>
      </c>
      <c r="R2431">
        <f>IF(AND(Inputs!$B$39&lt;&gt;"pvp",Inputs!$B$44&gt;0),IF(MAX(0,Inputs!$B$44-B2461)&lt;=0,0,(INT(MAX(0,Inputs!$B$44-B2461)/IF(Inputs!$B$39="pvp",15,MAX(0.1,Skills!D6-IF(TRUE=TRUE,Inputs!$B$33,0))))+1)),0)</f>
        <v/>
      </c>
      <c r="S2431">
        <f>IFERROR(O2431/N2431,0)</f>
        <v/>
      </c>
      <c r="T2431">
        <f>IF(C2431,(H2431*N2431*IF(AND(Inputs!$B$39&lt;&gt;"pvp",Inputs!$B$44&gt;0),((Skills!G6*((R2431-1)*IF(Skills!H6&gt;0,INT(Skills!I6/Skills!H6+0.000000001),1)+IF(Skills!H6&gt;0,INT(MIN(Skills!I6,MAX(0,MAX(0,Inputs!$B$44-B2461)-((R2431-1)*IF(Inputs!$B$39="pvp",15,MAX(0.1,Skills!D6-IF(TRUE=TRUE,Inputs!$B$33,0))))))/Skills!H6+0.000000001),1)))/Inputs!$B$44),G2431*Q2431))*IF(Inputs!$B$39="pvp",1,1+(Inputs!$B$21+0+Skills!P6+((C2442=TRUE)*F2442*IF(AND(Inputs!$B$39&lt;&gt;"pvp",Inputs!$B$44&gt;0),(((R2442-1)*MIN((Skills!T17*(1+Inputs!$B$35/100)),(1/Q2442))+MIN((Skills!T17*(1+Inputs!$B$35/100)),MAX(0,Inputs!$B$44-((R2442-1)*(1/Q2442)))))/Inputs!$B$44),IF(Inputs!$B$39="pvp",MIN((Skills!T17*(1+Inputs!$B$35/100)),15)/15,MIN(1,(Skills!T17*(1+Inputs!$B$35/100))/(1/Q2442)))))+((C2430=TRUE)*IF(Inputs!$B$3&gt;=126,10*MIN(1,15*Q2430),0))+((C2439=TRUE)*IF(Inputs!$B$39="pvp",20,(1-Summary!$B$11)*(20)+Summary!$B$11*(0))*IF(AND(Inputs!$B$39&lt;&gt;"pvp",Inputs!$B$44&gt;0),(((R2439-1)*MIN((Skills!T14*(1+Inputs!$B$35/100)),(1/Q2439))+MIN((Skills!T14*(1+Inputs!$B$35/100)),MAX(0,Inputs!$B$44-((R2439-1)*(1/Q2439)))))/Inputs!$B$44),IF(Inputs!$B$39="pvp",MIN((Skills!T14*(1+Inputs!$B$35/100)),15)/15,MIN(1,(Skills!T14*(1+Inputs!$B$35/100))/(1/Q2439)))))+((C2438=TRUE)*IF(Inputs!$B$3&gt;=82,IF(Inputs!$B$39="pvp",20,(1-Summary!$B$11)*(20)+Summary!$B$11*(0)),0)*IF(AND(Inputs!$B$39&lt;&gt;"pvp",Inputs!$B$44&gt;0),(((R2438-1)*MIN((Skills!T13*(1+Inputs!$B$35/100)),(1/Q2438))+MIN((Skills!T13*(1+Inputs!$B$35/100)),MAX(0,Inputs!$B$44-((R2438-1)*(1/Q2438)))))/Inputs!$B$44),IF(Inputs!$B$39="pvp",MIN((Skills!T13*(1+Inputs!$B$35/100)),15)/15,MIN(1,(Skills!T13*(1+Inputs!$B$35/100))/(1/Q2438)))))+(IF(AND(IF(ArtifactsInput!$M$35,FALSE,TRUE),Inputs!$B$4&lt;&gt;"Chapter Hunt"),CHOOSE(ArtifactsInput!$N$35+1,15,18,21,24,27,30)*(1-EXP(-(0.2*B2456)*5)),0)+IF(AND(ArtifactsInput!$M$22,Inputs!$B$4&lt;&gt;"Chapter Hunt"),CHOOSE(ArtifactsInput!$N$22+1,10,12,14,16,18,20)*((0*(((0.15*B2456*5))^0/1)+1*(((0.15*B2456*5))^1/1)+2*(((0.15*B2456*5))^2/2)+3*(((0.15*B2456*5))^3/6)+4*(((0.15*B2456*5))^4/24)+5*(((0.15*B2456*5))^5/120))/((((0.15*B2456*5))^0/1)+(((0.15*B2456*5))^1/1)+(((0.15*B2456*5))^2/2)+(((0.15*B2456*5))^3/6)+(((0.15*B2456*5))^4/24)+(((0.15*B2456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2431*(1-MIN(100,(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2431*(MIN(100,(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2431*(1-MIN(100,(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2431*(MIN(100,(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31">
        <f>IF(C2431,(H2431*N2431*IF(AND(Inputs!$B$39&lt;&gt;"pvp",Inputs!$B$44&gt;0),((Skills!G6*((R2431-1)*IF(Skills!H6&gt;0,INT(Skills!I6/Skills!H6+0.000000001),1)+IF(Skills!H6&gt;0,INT(MIN(Skills!I6,MAX(0,MAX(0,Inputs!$B$44-B2461)-((R2431-1)*IF(Inputs!$B$39="pvp",15,MAX(0.1,Skills!D6-IF(TRUE=TRUE,Inputs!$B$33,0))))))/Skills!H6+0.000000001),1)))/Inputs!$B$44),G2431*Q2431))*IF(Inputs!$B$39="pvp",1,(1+(Inputs!$B$22+Skills!Q6+((C2442=TRUE)*F2442*IF(AND(Inputs!$B$39&lt;&gt;"pvp",Inputs!$B$44&gt;0),(((R2442-1)*MIN((Skills!T17*(1+Inputs!$B$35/100)),(1/Q2442))+MIN((Skills!T17*(1+Inputs!$B$35/100)),MAX(0,Inputs!$B$44-((R2442-1)*(1/Q2442)))))/Inputs!$B$44),IF(Inputs!$B$39="pvp",MIN((Skills!T17*(1+Inputs!$B$35/100)),15)/15,MIN(1,(Skills!T17*(1+Inputs!$B$35/100))/(1/Q2442)))))+((C2430=TRUE)*IF(Inputs!$B$3&gt;=126,10*MIN(1,15*Q2430),0))+((C2439=TRUE)*IF(Inputs!$B$39="pvp",20,(1-Summary!$B$11)*(20)+Summary!$B$11*(0))*IF(AND(Inputs!$B$39&lt;&gt;"pvp",Inputs!$B$44&gt;0),(((R2439-1)*MIN((Skills!T14*(1+Inputs!$B$35/100)),(1/Q2439))+MIN((Skills!T14*(1+Inputs!$B$35/100)),MAX(0,Inputs!$B$44-((R2439-1)*(1/Q2439)))))/Inputs!$B$44),IF(Inputs!$B$39="pvp",MIN((Skills!T14*(1+Inputs!$B$35/100)),15)/15,MIN(1,(Skills!T14*(1+Inputs!$B$35/100))/(1/Q2439)))))+((C2438=TRUE)*IF(Inputs!$B$3&gt;=82,IF(Inputs!$B$39="pvp",20,(1-Summary!$B$11)*(20)+Summary!$B$11*(0)),0)*IF(AND(Inputs!$B$39&lt;&gt;"pvp",Inputs!$B$44&gt;0),(((R2438-1)*MIN((Skills!T13*(1+Inputs!$B$35/100)),(1/Q2438))+MIN((Skills!T13*(1+Inputs!$B$35/100)),MAX(0,Inputs!$B$44-((R2438-1)*(1/Q2438)))))/Inputs!$B$44),IF(Inputs!$B$39="pvp",MIN((Skills!T13*(1+Inputs!$B$35/100)),15)/15,MIN(1,(Skills!T13*(1+Inputs!$B$35/100))/(1/Q2438)))))+(IF(AND(IF(ArtifactsInput!$M$35,FALSE,TRUE),Inputs!$B$4&lt;&gt;"Chapter Hunt"),CHOOSE(ArtifactsInput!$N$35+1,15,18,21,24,27,30)*(1-EXP(-(0.2*B2456)*5)),0)+IF(AND(ArtifactsInput!$M$22,Inputs!$B$4&lt;&gt;"Chapter Hunt"),CHOOSE(ArtifactsInput!$N$22+1,10,12,14,16,18,20)*((0*(((0.15*B2456*5))^0/1)+1*(((0.15*B2456*5))^1/1)+2*(((0.15*B2456*5))^2/2)+3*(((0.15*B2456*5))^3/6)+4*(((0.15*B2456*5))^4/24)+5*(((0.15*B2456*5))^5/120))/((((0.15*B2456*5))^0/1)+(((0.15*B2456*5))^1/1)+(((0.15*B2456*5))^2/2)+(((0.15*B2456*5))^3/6)+(((0.15*B2456*5))^4/24)+(((0.15*B2456*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32">
      <c r="A2432">
        <f>Skills!A7</f>
        <v/>
      </c>
      <c r="B2432">
        <f>Skills!B7</f>
        <v/>
      </c>
      <c r="C2432">
        <f>Inputs!$B$3&gt;=40</f>
        <v/>
      </c>
      <c r="D2432">
        <f>IF(Skills!C7=1,60+Inputs!$B$26+Inputs!$B$30,IF(Skills!C7=2,90+Inputs!$B$27+Inputs!$B$30,IF(Skills!C7=3,120+Inputs!$B$28+Inputs!$B$30,MAX(0,(Inputs!$B$3-100)*3)+Inputs!$B$29+Inputs!$B$30)))</f>
        <v/>
      </c>
      <c r="E2432">
        <f>INDEX(FactorTable!$B$2:$Y$301, MATCH(ROUND(MIN(300,MAX(1,D2432)),0), FactorTable!$A$2:$A$301,0), Skills!M7+1)</f>
        <v/>
      </c>
      <c r="F2432">
        <f>IF(Skills!N7=TRUE,(Skills!L7/10)*(E2432/1000),Skills!L7/10)+Skills!O7</f>
        <v/>
      </c>
      <c r="G2432">
        <f>Skills!G7*IF(Skills!H7&gt;0,INT(IF(Inputs!$B$39="pvp",MIN(Skills!I7,15),Skills!I7)/Skills!H7+0.000000001),1)</f>
        <v/>
      </c>
      <c r="H2432">
        <f>1-(1-Skills!J7/100)^Skills!K7</f>
        <v/>
      </c>
      <c r="I2432" t="inlineStr">
        <is>
          <t>1</t>
        </is>
      </c>
      <c r="J2432">
        <f>((Inputs!$B$6*(1+Inputs!$B$7/100))+(((Inputs!$B$13*(1+Inputs!$B$14/100))-(Inputs!$B$13*(1+Inputs!$B$14/100)))+0.25*(Inputs!$B$15-Inputs!$B$15))*(1+Inputs!$B$7/100))*(F2432/100)</f>
        <v/>
      </c>
      <c r="K2432">
        <f>J2432*(1+(((Inputs!$B$13+IF(Inputs!$B$3&gt;=38,(10*INDEX(FactorTable!$B$2:$Y$301, MATCH(ROUND(MIN(300,MAX(1,Inputs!$B$3)),0), FactorTable!$A$2:$A$301,0), 23)/1000)/100*(Inputs!$B$8*(1+Inputs!$B$9/100)),0))*(1+Inputs!$B$14/100))*0.01+Inputs!$B$15*0.0025)/100)*(1+Inputs!$B$16/100)*(1+Inputs!$B$17/100)*(5000/(6000+Inputs!$B$43*(1-(Inputs!$B$20+0)/100)))*(1+(Inputs!$B$25+((C2450=TRUE)*(F2450-Calc!F25))+((C2451=TRUE)*(F2451-Calc!F26))+B2460)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2436=TRUE,F2436,0)/100)*(1+(IF(Skills!A7="DARK_IMPALE",Inputs!$B$18+0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gt;=100),MIN(100,((Inputs!$B$10+0+B2454+(ArtifactsInput!$M$24-ArtifactsInput!$M$24)*CHOOSE(ArtifactsInput!$N$24+1,10,12,14,16,18,20)+IF(ArtifactsInput!$M$10,CHOOSE(ArtifactsInput!$N$10+1,15,18,21,24,27,30)*(IF(Inputs!$B$39="pvp",MIN(15,15)/15,IF(AND(Inputs!$B$39&lt;&gt;"pvp",Inputs!$B$44&gt;0),MIN(15,Inputs!$B$44)/(Inputs!$B$44),0))),0)))-100),0))*CHOOSE(ArtifactsInput!$N$42+1,0.6,0.72,0.84,0.96,1.08,1.2))),Inputs!$B$19+((C2448=TRUE)*(F2448-Calc!F23))+(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gt;=100),CHOOSE(ArtifactsInput!$N$42+1,40,48,56,64,72,80),0))))/100)*((1+(((C2438=TRUE)*F2438*IF(AND(Inputs!$B$39&lt;&gt;"pvp",Inputs!$B$44&gt;0),(((R2438-1)*MIN((Skills!T13*(1+Inputs!$B$35/100)),(1/Q2438))+MIN((Skills!T13*(1+Inputs!$B$35/100)),MAX(0,Inputs!$B$44-((R2438-1)*(1/Q2438)))))/Inputs!$B$44),IF(Inputs!$B$39="pvp",MIN((Skills!T13*(1+Inputs!$B$35/100)),15)/15,MIN(1,(Skills!T13*(1+Inputs!$B$35/100))/(1/Q2438)))))+((C2439=TRUE)*F2439*IF(AND(Inputs!$B$39&lt;&gt;"pvp",Inputs!$B$44&gt;0),(((R2439-1)*MIN((Skills!T14*(1+Inputs!$B$35/100)),(1/Q2439))+MIN((Skills!T14*(1+Inputs!$B$35/100)),MAX(0,Inputs!$B$44-((R2439-1)*(1/Q2439)))))/Inputs!$B$44),IF(Inputs!$B$39="pvp",MIN((Skills!T14*(1+Inputs!$B$35/100)),15)/15,MIN(1,(Skills!T14*(1+Inputs!$B$35/100))/(1/Q2439)))))+((C2440=TRUE)*F2440*IF(AND(Inputs!$B$39&lt;&gt;"pvp",Inputs!$B$44&gt;0),(((R2440-1)*MIN((Skills!T15*(1+Inputs!$B$35/100)),(1/Q2440))+MIN((Skills!T15*(1+Inputs!$B$35/100)),MAX(0,Inputs!$B$44-((R2440-1)*(1/Q2440)))))/Inputs!$B$44),IF(Inputs!$B$39="pvp",MIN((Skills!T15*(1+Inputs!$B$35/100)),15)/15,MIN(1,(Skills!T15*(1+Inputs!$B$35/100))/(1/Q2440)))))+((C2441=TRUE)*F2441*IF(AND(Inputs!$B$39&lt;&gt;"pvp",Inputs!$B$44&gt;0),(((R2441-1)*MIN((Skills!T16*(1+Inputs!$B$35/100)),(1/Q2441))+MIN((Skills!T16*(1+Inputs!$B$35/100)),MAX(0,Inputs!$B$44-((R2441-1)*(1/Q2441)))))/Inputs!$B$44),IF(Inputs!$B$39="pvp",MIN((Skills!T16*(1+Inputs!$B$35/100)),15)/15,MIN(1,(Skills!T16*(1+Inputs!$B$35/100))/(1/Q2441)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2432)</f>
        <v/>
      </c>
      <c r="L2432">
        <f>K2432*(MIN(Inputs!$B$23+((C2447=TRUE)*(F2447-Calc!F22)),(Inputs!$B$24+((C2449=TRUE)*(F2449-Calc!F24))+(IF(ArtifactsInput!$M$15,CHOOSE(ArtifactsInput!$N$15+1,25,30,35,40,45,50)/100*(Inputs!$B$12-Inputs!$B$12),0))))/100+(Inputs!$B$24+((C2449=TRUE)*(F2449-Calc!F24))+(IF(ArtifactsInput!$M$15,CHOOSE(ArtifactsInput!$N$15+1,25,30,35,40,45,50)/100*(Inputs!$B$12-Inputs!$B$12),0)))/100)/2</f>
        <v/>
      </c>
      <c r="M2432">
        <f>L2432*(1+(Inputs!$B$11+0+B2459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432">
        <f>L2432*(1-MIN((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2432*(MIN((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32">
        <f>(1-Summary!$B$11)*T2432+Summary!$B$11*V2432</f>
        <v/>
      </c>
      <c r="P2432">
        <f>IF(B2464=0,0,O2432/B2464)</f>
        <v/>
      </c>
      <c r="Q2432">
        <f>IFERROR(1/IF(Inputs!$B$39="pvp",15,MAX(0.1,Skills!D7-IF(TRUE=TRUE,Inputs!$B$33,0))),0)</f>
        <v/>
      </c>
      <c r="R2432">
        <f>IF(AND(Inputs!$B$39&lt;&gt;"pvp",Inputs!$B$44&gt;0),IF(MAX(0,Inputs!$B$44-B2461)&lt;=0,0,(INT(MAX(0,Inputs!$B$44-B2461)/IF(Inputs!$B$39="pvp",15,MAX(0.1,Skills!D7-IF(TRUE=TRUE,Inputs!$B$33,0))))+1)),0)</f>
        <v/>
      </c>
      <c r="S2432">
        <f>IFERROR(O2432/N2432,0)</f>
        <v/>
      </c>
      <c r="T2432">
        <f>IF(C2432,(H2432*N2432*IF(AND(Inputs!$B$39&lt;&gt;"pvp",Inputs!$B$44&gt;0),((Skills!G7*((R2432-1)*IF(Skills!H7&gt;0,INT(Skills!I7/Skills!H7+0.000000001),1)+IF(Skills!H7&gt;0,INT(MIN(Skills!I7,MAX(0,MAX(0,Inputs!$B$44-B2461)-((R2432-1)*IF(Inputs!$B$39="pvp",15,MAX(0.1,Skills!D7-IF(TRUE=TRUE,Inputs!$B$33,0))))))/Skills!H7+0.000000001),1)))/Inputs!$B$44),G2432*Q2432))*IF(Inputs!$B$39="pvp",1,1+(Inputs!$B$21+0+Skills!P7+((C2442=TRUE)*F2442*IF(AND(Inputs!$B$39&lt;&gt;"pvp",Inputs!$B$44&gt;0),(((R2442-1)*MIN((Skills!T17*(1+Inputs!$B$35/100)),(1/Q2442))+MIN((Skills!T17*(1+Inputs!$B$35/100)),MAX(0,Inputs!$B$44-((R2442-1)*(1/Q2442)))))/Inputs!$B$44),IF(Inputs!$B$39="pvp",MIN((Skills!T17*(1+Inputs!$B$35/100)),15)/15,MIN(1,(Skills!T17*(1+Inputs!$B$35/100))/(1/Q2442)))))+((C2430=TRUE)*IF(Inputs!$B$3&gt;=126,10*MIN(1,15*Q2430),0))+((C2439=TRUE)*IF(Inputs!$B$39="pvp",20,(1-Summary!$B$11)*(20)+Summary!$B$11*(0))*IF(AND(Inputs!$B$39&lt;&gt;"pvp",Inputs!$B$44&gt;0),(((R2439-1)*MIN((Skills!T14*(1+Inputs!$B$35/100)),(1/Q2439))+MIN((Skills!T14*(1+Inputs!$B$35/100)),MAX(0,Inputs!$B$44-((R2439-1)*(1/Q2439)))))/Inputs!$B$44),IF(Inputs!$B$39="pvp",MIN((Skills!T14*(1+Inputs!$B$35/100)),15)/15,MIN(1,(Skills!T14*(1+Inputs!$B$35/100))/(1/Q2439)))))+((C2438=TRUE)*IF(Inputs!$B$3&gt;=82,IF(Inputs!$B$39="pvp",20,(1-Summary!$B$11)*(20)+Summary!$B$11*(0)),0)*IF(AND(Inputs!$B$39&lt;&gt;"pvp",Inputs!$B$44&gt;0),(((R2438-1)*MIN((Skills!T13*(1+Inputs!$B$35/100)),(1/Q2438))+MIN((Skills!T13*(1+Inputs!$B$35/100)),MAX(0,Inputs!$B$44-((R2438-1)*(1/Q2438)))))/Inputs!$B$44),IF(Inputs!$B$39="pvp",MIN((Skills!T13*(1+Inputs!$B$35/100)),15)/15,MIN(1,(Skills!T13*(1+Inputs!$B$35/100))/(1/Q2438)))))+(IF(AND(IF(ArtifactsInput!$M$35,FALSE,TRUE),Inputs!$B$4&lt;&gt;"Chapter Hunt"),CHOOSE(ArtifactsInput!$N$35+1,15,18,21,24,27,30)*(1-EXP(-(0.2*B2456)*5)),0)+IF(AND(ArtifactsInput!$M$22,Inputs!$B$4&lt;&gt;"Chapter Hunt"),CHOOSE(ArtifactsInput!$N$22+1,10,12,14,16,18,20)*((0*(((0.15*B2456*5))^0/1)+1*(((0.15*B2456*5))^1/1)+2*(((0.15*B2456*5))^2/2)+3*(((0.15*B2456*5))^3/6)+4*(((0.15*B2456*5))^4/24)+5*(((0.15*B2456*5))^5/120))/((((0.15*B2456*5))^0/1)+(((0.15*B2456*5))^1/1)+(((0.15*B2456*5))^2/2)+(((0.15*B2456*5))^3/6)+(((0.15*B2456*5))^4/24)+(((0.15*B2456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2432*(1-MIN(100,(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2432*(MIN(100,(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2432*(1-MIN(100,(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2432*(MIN(100,(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32">
        <f>IF(C2432,(H2432*N2432*IF(AND(Inputs!$B$39&lt;&gt;"pvp",Inputs!$B$44&gt;0),((Skills!G7*((R2432-1)*IF(Skills!H7&gt;0,INT(Skills!I7/Skills!H7+0.000000001),1)+IF(Skills!H7&gt;0,INT(MIN(Skills!I7,MAX(0,MAX(0,Inputs!$B$44-B2461)-((R2432-1)*IF(Inputs!$B$39="pvp",15,MAX(0.1,Skills!D7-IF(TRUE=TRUE,Inputs!$B$33,0))))))/Skills!H7+0.000000001),1)))/Inputs!$B$44),G2432*Q2432))*IF(Inputs!$B$39="pvp",1,(1+(Inputs!$B$22+Skills!Q7+((C2442=TRUE)*F2442*IF(AND(Inputs!$B$39&lt;&gt;"pvp",Inputs!$B$44&gt;0),(((R2442-1)*MIN((Skills!T17*(1+Inputs!$B$35/100)),(1/Q2442))+MIN((Skills!T17*(1+Inputs!$B$35/100)),MAX(0,Inputs!$B$44-((R2442-1)*(1/Q2442)))))/Inputs!$B$44),IF(Inputs!$B$39="pvp",MIN((Skills!T17*(1+Inputs!$B$35/100)),15)/15,MIN(1,(Skills!T17*(1+Inputs!$B$35/100))/(1/Q2442)))))+((C2430=TRUE)*IF(Inputs!$B$3&gt;=126,10*MIN(1,15*Q2430),0))+((C2439=TRUE)*IF(Inputs!$B$39="pvp",20,(1-Summary!$B$11)*(20)+Summary!$B$11*(0))*IF(AND(Inputs!$B$39&lt;&gt;"pvp",Inputs!$B$44&gt;0),(((R2439-1)*MIN((Skills!T14*(1+Inputs!$B$35/100)),(1/Q2439))+MIN((Skills!T14*(1+Inputs!$B$35/100)),MAX(0,Inputs!$B$44-((R2439-1)*(1/Q2439)))))/Inputs!$B$44),IF(Inputs!$B$39="pvp",MIN((Skills!T14*(1+Inputs!$B$35/100)),15)/15,MIN(1,(Skills!T14*(1+Inputs!$B$35/100))/(1/Q2439)))))+((C2438=TRUE)*IF(Inputs!$B$3&gt;=82,IF(Inputs!$B$39="pvp",20,(1-Summary!$B$11)*(20)+Summary!$B$11*(0)),0)*IF(AND(Inputs!$B$39&lt;&gt;"pvp",Inputs!$B$44&gt;0),(((R2438-1)*MIN((Skills!T13*(1+Inputs!$B$35/100)),(1/Q2438))+MIN((Skills!T13*(1+Inputs!$B$35/100)),MAX(0,Inputs!$B$44-((R2438-1)*(1/Q2438)))))/Inputs!$B$44),IF(Inputs!$B$39="pvp",MIN((Skills!T13*(1+Inputs!$B$35/100)),15)/15,MIN(1,(Skills!T13*(1+Inputs!$B$35/100))/(1/Q2438)))))+(IF(AND(IF(ArtifactsInput!$M$35,FALSE,TRUE),Inputs!$B$4&lt;&gt;"Chapter Hunt"),CHOOSE(ArtifactsInput!$N$35+1,15,18,21,24,27,30)*(1-EXP(-(0.2*B2456)*5)),0)+IF(AND(ArtifactsInput!$M$22,Inputs!$B$4&lt;&gt;"Chapter Hunt"),CHOOSE(ArtifactsInput!$N$22+1,10,12,14,16,18,20)*((0*(((0.15*B2456*5))^0/1)+1*(((0.15*B2456*5))^1/1)+2*(((0.15*B2456*5))^2/2)+3*(((0.15*B2456*5))^3/6)+4*(((0.15*B2456*5))^4/24)+5*(((0.15*B2456*5))^5/120))/((((0.15*B2456*5))^0/1)+(((0.15*B2456*5))^1/1)+(((0.15*B2456*5))^2/2)+(((0.15*B2456*5))^3/6)+(((0.15*B2456*5))^4/24)+(((0.15*B2456*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33">
      <c r="A2433">
        <f>Skills!A8</f>
        <v/>
      </c>
      <c r="B2433">
        <f>Skills!B8</f>
        <v/>
      </c>
      <c r="C2433">
        <f>Inputs!$B$3&gt;=75</f>
        <v/>
      </c>
      <c r="D2433">
        <f>IF(Skills!C8=1,60+Inputs!$B$26+Inputs!$B$30,IF(Skills!C8=2,90+Inputs!$B$27+Inputs!$B$30,IF(Skills!C8=3,120+Inputs!$B$28+Inputs!$B$30,MAX(0,(Inputs!$B$3-100)*3)+Inputs!$B$29+Inputs!$B$30)))</f>
        <v/>
      </c>
      <c r="E2433">
        <f>INDEX(FactorTable!$B$2:$Y$301, MATCH(ROUND(MIN(300,MAX(1,D2433)),0), FactorTable!$A$2:$A$301,0), Skills!M8+1)</f>
        <v/>
      </c>
      <c r="F2433">
        <f>IF(Skills!N8=TRUE,(Skills!L8/10)*(E2433/1000),Skills!L8/10)+Skills!O8</f>
        <v/>
      </c>
      <c r="G2433" t="inlineStr"/>
      <c r="H2433" t="inlineStr"/>
      <c r="I2433" t="inlineStr">
        <is>
          <t>1</t>
        </is>
      </c>
      <c r="J2433" t="inlineStr"/>
      <c r="K2433" t="inlineStr"/>
      <c r="L2433" t="inlineStr"/>
      <c r="M2433" t="inlineStr"/>
      <c r="N2433" t="inlineStr"/>
      <c r="O2433" t="inlineStr"/>
      <c r="P2433" t="inlineStr"/>
      <c r="Q2433" t="inlineStr"/>
      <c r="R2433" t="inlineStr"/>
      <c r="S2433" t="inlineStr"/>
    </row>
    <row r="2434">
      <c r="A2434">
        <f>Skills!A9</f>
        <v/>
      </c>
      <c r="B2434">
        <f>Skills!B9</f>
        <v/>
      </c>
      <c r="C2434">
        <f>Inputs!$B$3&gt;=60</f>
        <v/>
      </c>
      <c r="D2434">
        <f>IF(Skills!C9=1,60+Inputs!$B$26+Inputs!$B$30,IF(Skills!C9=2,90+Inputs!$B$27+Inputs!$B$30,IF(Skills!C9=3,120+Inputs!$B$28+Inputs!$B$30,MAX(0,(Inputs!$B$3-100)*3)+Inputs!$B$29+Inputs!$B$30)))</f>
        <v/>
      </c>
      <c r="E2434">
        <f>INDEX(FactorTable!$B$2:$Y$301, MATCH(ROUND(MIN(300,MAX(1,D2434)),0), FactorTable!$A$2:$A$301,0), Skills!M9+1)</f>
        <v/>
      </c>
      <c r="F2434">
        <f>IF(Skills!N9=TRUE,(Skills!L9/10)*(E2434/1000),Skills!L9/10)+Skills!O9</f>
        <v/>
      </c>
      <c r="G2434">
        <f>Skills!G9*IF(Skills!H9&gt;0,INT(IF(Inputs!$B$39="pvp",MIN(Skills!I9,15),Skills!I9)/Skills!H9+0.000000001),1)</f>
        <v/>
      </c>
      <c r="H2434">
        <f>1-(1-Skills!J9/100)^Skills!K9</f>
        <v/>
      </c>
      <c r="I2434" t="inlineStr">
        <is>
          <t>1</t>
        </is>
      </c>
      <c r="J2434">
        <f>((Inputs!$B$6*(1+Inputs!$B$7/100))+(((Inputs!$B$13*(1+Inputs!$B$14/100))-(Inputs!$B$13*(1+Inputs!$B$14/100)))+0.25*(Inputs!$B$15-Inputs!$B$15))*(1+Inputs!$B$7/100))*(F2434/100)</f>
        <v/>
      </c>
      <c r="K2434">
        <f>J2434*(1+(((Inputs!$B$13+IF(Inputs!$B$3&gt;=38,(10*INDEX(FactorTable!$B$2:$Y$301, MATCH(ROUND(MIN(300,MAX(1,Inputs!$B$3)),0), FactorTable!$A$2:$A$301,0), 23)/1000)/100*(Inputs!$B$8*(1+Inputs!$B$9/100)),0))*(1+Inputs!$B$14/100))*0.01+Inputs!$B$15*0.0025)/100)*(1+Inputs!$B$16/100)*(1+Inputs!$B$17/100)*(5000/(6000+Inputs!$B$43*(1-(Inputs!$B$20+0)/100)))*(1+(Inputs!$B$25+((C2450=TRUE)*(F2450-Calc!F25))+((C2451=TRUE)*(F2451-Calc!F26))+B2460)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2436=TRUE,F2436,0)/100)*(1+(IF(Skills!A9="DARK_IMPALE",Inputs!$B$18+0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gt;=100),MIN(100,((Inputs!$B$10+0+B2454+(ArtifactsInput!$M$24-ArtifactsInput!$M$24)*CHOOSE(ArtifactsInput!$N$24+1,10,12,14,16,18,20)+IF(ArtifactsInput!$M$10,CHOOSE(ArtifactsInput!$N$10+1,15,18,21,24,27,30)*(IF(Inputs!$B$39="pvp",MIN(15,15)/15,IF(AND(Inputs!$B$39&lt;&gt;"pvp",Inputs!$B$44&gt;0),MIN(15,Inputs!$B$44)/(Inputs!$B$44),0))),0)))-100),0))*CHOOSE(ArtifactsInput!$N$42+1,0.6,0.72,0.84,0.96,1.08,1.2))),Inputs!$B$19+((C2448=TRUE)*(F2448-Calc!F23))+(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gt;=100),CHOOSE(ArtifactsInput!$N$42+1,40,48,56,64,72,80),0))))/100)*((1+(((C2438=TRUE)*F2438*IF(AND(Inputs!$B$39&lt;&gt;"pvp",Inputs!$B$44&gt;0),(((R2438-1)*MIN((Skills!T13*(1+Inputs!$B$35/100)),(1/Q2438))+MIN((Skills!T13*(1+Inputs!$B$35/100)),MAX(0,Inputs!$B$44-((R2438-1)*(1/Q2438)))))/Inputs!$B$44),IF(Inputs!$B$39="pvp",MIN((Skills!T13*(1+Inputs!$B$35/100)),15)/15,MIN(1,(Skills!T13*(1+Inputs!$B$35/100))/(1/Q2438)))))+((C2439=TRUE)*F2439*IF(AND(Inputs!$B$39&lt;&gt;"pvp",Inputs!$B$44&gt;0),(((R2439-1)*MIN((Skills!T14*(1+Inputs!$B$35/100)),(1/Q2439))+MIN((Skills!T14*(1+Inputs!$B$35/100)),MAX(0,Inputs!$B$44-((R2439-1)*(1/Q2439)))))/Inputs!$B$44),IF(Inputs!$B$39="pvp",MIN((Skills!T14*(1+Inputs!$B$35/100)),15)/15,MIN(1,(Skills!T14*(1+Inputs!$B$35/100))/(1/Q2439)))))+((C2440=TRUE)*F2440*IF(AND(Inputs!$B$39&lt;&gt;"pvp",Inputs!$B$44&gt;0),(((R2440-1)*MIN((Skills!T15*(1+Inputs!$B$35/100)),(1/Q2440))+MIN((Skills!T15*(1+Inputs!$B$35/100)),MAX(0,Inputs!$B$44-((R2440-1)*(1/Q2440)))))/Inputs!$B$44),IF(Inputs!$B$39="pvp",MIN((Skills!T15*(1+Inputs!$B$35/100)),15)/15,MIN(1,(Skills!T15*(1+Inputs!$B$35/100))/(1/Q2440)))))+((C2441=TRUE)*F2441*IF(AND(Inputs!$B$39&lt;&gt;"pvp",Inputs!$B$44&gt;0),(((R2441-1)*MIN((Skills!T16*(1+Inputs!$B$35/100)),(1/Q2441))+MIN((Skills!T16*(1+Inputs!$B$35/100)),MAX(0,Inputs!$B$44-((R2441-1)*(1/Q2441)))))/Inputs!$B$44),IF(Inputs!$B$39="pvp",MIN((Skills!T16*(1+Inputs!$B$35/100)),15)/15,MIN(1,(Skills!T16*(1+Inputs!$B$35/100))/(1/Q2441)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2434)</f>
        <v/>
      </c>
      <c r="L2434">
        <f>K2434*(MIN(Inputs!$B$23+((C2447=TRUE)*(F2447-Calc!F22)),(Inputs!$B$24+((C2449=TRUE)*(F2449-Calc!F24))+(IF(ArtifactsInput!$M$15,CHOOSE(ArtifactsInput!$N$15+1,25,30,35,40,45,50)/100*(Inputs!$B$12-Inputs!$B$12),0))))/100+(Inputs!$B$24+((C2449=TRUE)*(F2449-Calc!F24))+(IF(ArtifactsInput!$M$15,CHOOSE(ArtifactsInput!$N$15+1,25,30,35,40,45,50)/100*(Inputs!$B$12-Inputs!$B$12),0)))/100)/2</f>
        <v/>
      </c>
      <c r="M2434">
        <f>L2434*(1+(Inputs!$B$11+0+B2459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434">
        <f>L2434*(1-MIN((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2434*(MIN((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34">
        <f>(1-Summary!$B$11)*T2434+Summary!$B$11*V2434</f>
        <v/>
      </c>
      <c r="P2434">
        <f>IF(B2464=0,0,O2434/B2464)</f>
        <v/>
      </c>
      <c r="Q2434">
        <f>IFERROR(1/IF(Inputs!$B$39="pvp",15,MAX(0.1,Skills!D9-IF(TRUE=TRUE,Inputs!$B$33,0))),0)</f>
        <v/>
      </c>
      <c r="R2434">
        <f>IF(AND(Inputs!$B$39&lt;&gt;"pvp",Inputs!$B$44&gt;0),IF(MAX(0,Inputs!$B$44-B2461)&lt;=0,0,(INT(MAX(0,Inputs!$B$44-B2461)/IF(Inputs!$B$39="pvp",15,MAX(0.1,Skills!D9-IF(TRUE=TRUE,Inputs!$B$33,0))))+1)),0)</f>
        <v/>
      </c>
      <c r="S2434">
        <f>IFERROR(O2434/N2434,0)</f>
        <v/>
      </c>
      <c r="T2434">
        <f>IF(C2434,(H2434*N2434*IF(AND(Inputs!$B$39&lt;&gt;"pvp",Inputs!$B$44&gt;0),((Skills!G9*((R2434-1)*IF(Skills!H9&gt;0,INT(Skills!I9/Skills!H9+0.000000001),1)+IF(Skills!H9&gt;0,INT(MIN(Skills!I9,MAX(0,MAX(0,Inputs!$B$44-B2461)-((R2434-1)*IF(Inputs!$B$39="pvp",15,MAX(0.1,Skills!D9-IF(TRUE=TRUE,Inputs!$B$33,0))))))/Skills!H9+0.000000001),1)))/Inputs!$B$44),G2434*Q2434))*IF(Inputs!$B$39="pvp",1,1+(Inputs!$B$21+0+Skills!P9+((C2442=TRUE)*F2442*IF(AND(Inputs!$B$39&lt;&gt;"pvp",Inputs!$B$44&gt;0),(((R2442-1)*MIN((Skills!T17*(1+Inputs!$B$35/100)),(1/Q2442))+MIN((Skills!T17*(1+Inputs!$B$35/100)),MAX(0,Inputs!$B$44-((R2442-1)*(1/Q2442)))))/Inputs!$B$44),IF(Inputs!$B$39="pvp",MIN((Skills!T17*(1+Inputs!$B$35/100)),15)/15,MIN(1,(Skills!T17*(1+Inputs!$B$35/100))/(1/Q2442)))))+((C2430=TRUE)*IF(Inputs!$B$3&gt;=126,10*MIN(1,15*Q2430),0))+((C2439=TRUE)*IF(Inputs!$B$39="pvp",20,(1-Summary!$B$11)*(20)+Summary!$B$11*(0))*IF(AND(Inputs!$B$39&lt;&gt;"pvp",Inputs!$B$44&gt;0),(((R2439-1)*MIN((Skills!T14*(1+Inputs!$B$35/100)),(1/Q2439))+MIN((Skills!T14*(1+Inputs!$B$35/100)),MAX(0,Inputs!$B$44-((R2439-1)*(1/Q2439)))))/Inputs!$B$44),IF(Inputs!$B$39="pvp",MIN((Skills!T14*(1+Inputs!$B$35/100)),15)/15,MIN(1,(Skills!T14*(1+Inputs!$B$35/100))/(1/Q2439)))))+((C2438=TRUE)*IF(Inputs!$B$3&gt;=82,IF(Inputs!$B$39="pvp",20,(1-Summary!$B$11)*(20)+Summary!$B$11*(0)),0)*IF(AND(Inputs!$B$39&lt;&gt;"pvp",Inputs!$B$44&gt;0),(((R2438-1)*MIN((Skills!T13*(1+Inputs!$B$35/100)),(1/Q2438))+MIN((Skills!T13*(1+Inputs!$B$35/100)),MAX(0,Inputs!$B$44-((R2438-1)*(1/Q2438)))))/Inputs!$B$44),IF(Inputs!$B$39="pvp",MIN((Skills!T13*(1+Inputs!$B$35/100)),15)/15,MIN(1,(Skills!T13*(1+Inputs!$B$35/100))/(1/Q2438)))))+(IF(AND(IF(ArtifactsInput!$M$35,FALSE,TRUE),Inputs!$B$4&lt;&gt;"Chapter Hunt"),CHOOSE(ArtifactsInput!$N$35+1,15,18,21,24,27,30)*(1-EXP(-(0.2*B2456)*5)),0)+IF(AND(ArtifactsInput!$M$22,Inputs!$B$4&lt;&gt;"Chapter Hunt"),CHOOSE(ArtifactsInput!$N$22+1,10,12,14,16,18,20)*((0*(((0.15*B2456*5))^0/1)+1*(((0.15*B2456*5))^1/1)+2*(((0.15*B2456*5))^2/2)+3*(((0.15*B2456*5))^3/6)+4*(((0.15*B2456*5))^4/24)+5*(((0.15*B2456*5))^5/120))/((((0.15*B2456*5))^0/1)+(((0.15*B2456*5))^1/1)+(((0.15*B2456*5))^2/2)+(((0.15*B2456*5))^3/6)+(((0.15*B2456*5))^4/24)+(((0.15*B2456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2434*(1-MIN(100,(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2434*(MIN(100,(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2434*(1-MIN(100,(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2434*(MIN(100,(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34">
        <f>IF(C2434,(H2434*N2434*IF(AND(Inputs!$B$39&lt;&gt;"pvp",Inputs!$B$44&gt;0),((Skills!G9*((R2434-1)*IF(Skills!H9&gt;0,INT(Skills!I9/Skills!H9+0.000000001),1)+IF(Skills!H9&gt;0,INT(MIN(Skills!I9,MAX(0,MAX(0,Inputs!$B$44-B2461)-((R2434-1)*IF(Inputs!$B$39="pvp",15,MAX(0.1,Skills!D9-IF(TRUE=TRUE,Inputs!$B$33,0))))))/Skills!H9+0.000000001),1)))/Inputs!$B$44),G2434*Q2434))*IF(Inputs!$B$39="pvp",1,(1+(Inputs!$B$22+Skills!Q9+((C2442=TRUE)*F2442*IF(AND(Inputs!$B$39&lt;&gt;"pvp",Inputs!$B$44&gt;0),(((R2442-1)*MIN((Skills!T17*(1+Inputs!$B$35/100)),(1/Q2442))+MIN((Skills!T17*(1+Inputs!$B$35/100)),MAX(0,Inputs!$B$44-((R2442-1)*(1/Q2442)))))/Inputs!$B$44),IF(Inputs!$B$39="pvp",MIN((Skills!T17*(1+Inputs!$B$35/100)),15)/15,MIN(1,(Skills!T17*(1+Inputs!$B$35/100))/(1/Q2442)))))+((C2430=TRUE)*IF(Inputs!$B$3&gt;=126,10*MIN(1,15*Q2430),0))+((C2439=TRUE)*IF(Inputs!$B$39="pvp",20,(1-Summary!$B$11)*(20)+Summary!$B$11*(0))*IF(AND(Inputs!$B$39&lt;&gt;"pvp",Inputs!$B$44&gt;0),(((R2439-1)*MIN((Skills!T14*(1+Inputs!$B$35/100)),(1/Q2439))+MIN((Skills!T14*(1+Inputs!$B$35/100)),MAX(0,Inputs!$B$44-((R2439-1)*(1/Q2439)))))/Inputs!$B$44),IF(Inputs!$B$39="pvp",MIN((Skills!T14*(1+Inputs!$B$35/100)),15)/15,MIN(1,(Skills!T14*(1+Inputs!$B$35/100))/(1/Q2439)))))+((C2438=TRUE)*IF(Inputs!$B$3&gt;=82,IF(Inputs!$B$39="pvp",20,(1-Summary!$B$11)*(20)+Summary!$B$11*(0)),0)*IF(AND(Inputs!$B$39&lt;&gt;"pvp",Inputs!$B$44&gt;0),(((R2438-1)*MIN((Skills!T13*(1+Inputs!$B$35/100)),(1/Q2438))+MIN((Skills!T13*(1+Inputs!$B$35/100)),MAX(0,Inputs!$B$44-((R2438-1)*(1/Q2438)))))/Inputs!$B$44),IF(Inputs!$B$39="pvp",MIN((Skills!T13*(1+Inputs!$B$35/100)),15)/15,MIN(1,(Skills!T13*(1+Inputs!$B$35/100))/(1/Q2438)))))+(IF(AND(IF(ArtifactsInput!$M$35,FALSE,TRUE),Inputs!$B$4&lt;&gt;"Chapter Hunt"),CHOOSE(ArtifactsInput!$N$35+1,15,18,21,24,27,30)*(1-EXP(-(0.2*B2456)*5)),0)+IF(AND(ArtifactsInput!$M$22,Inputs!$B$4&lt;&gt;"Chapter Hunt"),CHOOSE(ArtifactsInput!$N$22+1,10,12,14,16,18,20)*((0*(((0.15*B2456*5))^0/1)+1*(((0.15*B2456*5))^1/1)+2*(((0.15*B2456*5))^2/2)+3*(((0.15*B2456*5))^3/6)+4*(((0.15*B2456*5))^4/24)+5*(((0.15*B2456*5))^5/120))/((((0.15*B2456*5))^0/1)+(((0.15*B2456*5))^1/1)+(((0.15*B2456*5))^2/2)+(((0.15*B2456*5))^3/6)+(((0.15*B2456*5))^4/24)+(((0.15*B2456*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35">
      <c r="A2435">
        <f>Skills!A10</f>
        <v/>
      </c>
      <c r="B2435">
        <f>Skills!B10</f>
        <v/>
      </c>
      <c r="C2435">
        <f>Inputs!$B$3&gt;=110</f>
        <v/>
      </c>
      <c r="D2435">
        <f>IF(Skills!C10=1,60+Inputs!$B$26+Inputs!$B$30,IF(Skills!C10=2,90+Inputs!$B$27+Inputs!$B$30,IF(Skills!C10=3,120+Inputs!$B$28+Inputs!$B$30,MAX(0,(Inputs!$B$3-100)*3)+Inputs!$B$29+Inputs!$B$30)))</f>
        <v/>
      </c>
      <c r="E2435">
        <f>INDEX(FactorTable!$B$2:$Y$301, MATCH(ROUND(MIN(300,MAX(1,D2435)),0), FactorTable!$A$2:$A$301,0), Skills!M10+1)</f>
        <v/>
      </c>
      <c r="F2435">
        <f>IF(Skills!N10=TRUE,(Skills!L10/10)*(E2435/1000),Skills!L10/10)+Skills!O10</f>
        <v/>
      </c>
      <c r="G2435">
        <f>Skills!G10*IF(Skills!H10&gt;0,INT(IF(Inputs!$B$39="pvp",MIN(Skills!I10,15),Skills!I10)/Skills!H10+0.000000001),1)</f>
        <v/>
      </c>
      <c r="H2435">
        <f>1-(1-Skills!J10/100)^Skills!K10</f>
        <v/>
      </c>
      <c r="I2435" t="inlineStr">
        <is>
          <t>1</t>
        </is>
      </c>
      <c r="J2435">
        <f>((Inputs!$B$6*(1+Inputs!$B$7/100))+(((Inputs!$B$13*(1+Inputs!$B$14/100))-(Inputs!$B$13*(1+Inputs!$B$14/100)))+0.25*(Inputs!$B$15-Inputs!$B$15))*(1+Inputs!$B$7/100))*(F2435/100)</f>
        <v/>
      </c>
      <c r="K2435">
        <f>J2435*(1+(((Inputs!$B$13+IF(Inputs!$B$3&gt;=38,(10*INDEX(FactorTable!$B$2:$Y$301, MATCH(ROUND(MIN(300,MAX(1,Inputs!$B$3)),0), FactorTable!$A$2:$A$301,0), 23)/1000)/100*(Inputs!$B$8*(1+Inputs!$B$9/100)),0))*(1+Inputs!$B$14/100))*0.01+Inputs!$B$15*0.0025)/100)*(1+Inputs!$B$16/100)*(1+Inputs!$B$17/100)*(5000/(6000+Inputs!$B$43*(1-(Inputs!$B$20+0)/100)))*(1+(Inputs!$B$25+((C2450=TRUE)*(F2450-Calc!F25))+((C2451=TRUE)*(F2451-Calc!F26))+B2460)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gt;=100),MIN(100,((Inputs!$B$10+0+B2454+(ArtifactsInput!$M$24-ArtifactsInput!$M$24)*CHOOSE(ArtifactsInput!$N$24+1,10,12,14,16,18,20)+IF(ArtifactsInput!$M$10,CHOOSE(ArtifactsInput!$N$10+1,15,18,21,24,27,30)*(IF(Inputs!$B$39="pvp",MIN(15,15)/15,IF(AND(Inputs!$B$39&lt;&gt;"pvp",Inputs!$B$44&gt;0),MIN(15,Inputs!$B$44)/(Inputs!$B$44),0))),0)))-100),0))*CHOOSE(ArtifactsInput!$N$42+1,0.6,0.72,0.84,0.96,1.08,1.2))),Inputs!$B$19+((C2448=TRUE)*(F2448-Calc!F23))+(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gt;=100),CHOOSE(ArtifactsInput!$N$42+1,40,48,56,64,72,80),0))))/100)*((1+(((C2438=TRUE)*F2438*IF(AND(Inputs!$B$39&lt;&gt;"pvp",Inputs!$B$44&gt;0),(((R2438-1)*MIN((Skills!T13*(1+Inputs!$B$35/100)),(1/Q2438))+MIN((Skills!T13*(1+Inputs!$B$35/100)),MAX(0,Inputs!$B$44-((R2438-1)*(1/Q2438)))))/Inputs!$B$44),IF(Inputs!$B$39="pvp",MIN((Skills!T13*(1+Inputs!$B$35/100)),15)/15,MIN(1,(Skills!T13*(1+Inputs!$B$35/100))/(1/Q2438)))))+((C2439=TRUE)*F2439*IF(AND(Inputs!$B$39&lt;&gt;"pvp",Inputs!$B$44&gt;0),(((R2439-1)*MIN((Skills!T14*(1+Inputs!$B$35/100)),(1/Q2439))+MIN((Skills!T14*(1+Inputs!$B$35/100)),MAX(0,Inputs!$B$44-((R2439-1)*(1/Q2439)))))/Inputs!$B$44),IF(Inputs!$B$39="pvp",MIN((Skills!T14*(1+Inputs!$B$35/100)),15)/15,MIN(1,(Skills!T14*(1+Inputs!$B$35/100))/(1/Q2439)))))+((C2440=TRUE)*F2440*IF(AND(Inputs!$B$39&lt;&gt;"pvp",Inputs!$B$44&gt;0),(((R2440-1)*MIN((Skills!T15*(1+Inputs!$B$35/100)),(1/Q2440))+MIN((Skills!T15*(1+Inputs!$B$35/100)),MAX(0,Inputs!$B$44-((R2440-1)*(1/Q2440)))))/Inputs!$B$44),IF(Inputs!$B$39="pvp",MIN((Skills!T15*(1+Inputs!$B$35/100)),15)/15,MIN(1,(Skills!T15*(1+Inputs!$B$35/100))/(1/Q2440)))))+((C2441=TRUE)*F2441*IF(AND(Inputs!$B$39&lt;&gt;"pvp",Inputs!$B$44&gt;0),(((R2441-1)*MIN((Skills!T16*(1+Inputs!$B$35/100)),(1/Q2441))+MIN((Skills!T16*(1+Inputs!$B$35/100)),MAX(0,Inputs!$B$44-((R2441-1)*(1/Q2441)))))/Inputs!$B$44),IF(Inputs!$B$39="pvp",MIN((Skills!T16*(1+Inputs!$B$35/100)),15)/15,MIN(1,(Skills!T16*(1+Inputs!$B$35/100))/(1/Q2441)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2435)</f>
        <v/>
      </c>
      <c r="L2435">
        <f>K2435*(MIN(Inputs!$B$23+((C2447=TRUE)*(F2447-Calc!F22)),(Inputs!$B$24+((C2449=TRUE)*(F2449-Calc!F24))+(IF(ArtifactsInput!$M$15,CHOOSE(ArtifactsInput!$N$15+1,25,30,35,40,45,50)/100*(Inputs!$B$12-Inputs!$B$12),0))))/100+(Inputs!$B$24+((C2449=TRUE)*(F2449-Calc!F24))+(IF(ArtifactsInput!$M$15,CHOOSE(ArtifactsInput!$N$15+1,25,30,35,40,45,50)/100*(Inputs!$B$12-Inputs!$B$12),0)))/100)/2</f>
        <v/>
      </c>
      <c r="M2435">
        <f>L2435*(1+(Inputs!$B$11+0+B2459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435">
        <f>L2435*(1-MIN((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2435*(MIN((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35">
        <f>(1-Summary!$B$11)*T2435+Summary!$B$11*V2435</f>
        <v/>
      </c>
      <c r="P2435">
        <f>IF(B2464=0,0,O2435/B2464)</f>
        <v/>
      </c>
      <c r="Q2435">
        <f>IFERROR(1/IF(Inputs!$B$39="pvp",15,MAX(0.1,Skills!D10-IF(TRUE=TRUE,Inputs!$B$33,0))),0)</f>
        <v/>
      </c>
      <c r="R2435">
        <f>IF(AND(Inputs!$B$39&lt;&gt;"pvp",Inputs!$B$44&gt;0),IF(MAX(0,Inputs!$B$44-B2461)&lt;=0,0,(INT(MAX(0,Inputs!$B$44-B2461)/IF(Inputs!$B$39="pvp",15,MAX(0.1,Skills!D10-IF(TRUE=TRUE,Inputs!$B$33,0))))+1)),0)</f>
        <v/>
      </c>
      <c r="S2435">
        <f>IFERROR(O2435/N2435,0)</f>
        <v/>
      </c>
      <c r="T2435">
        <f>IF(C2435,(H2435*N2435*IF(AND(Inputs!$B$39&lt;&gt;"pvp",Inputs!$B$44&gt;0),((Skills!G10*((R2435-1)*IF(Skills!H10&gt;0,INT(Skills!I10/Skills!H10+0.000000001),1)+IF(Skills!H10&gt;0,INT(MIN(Skills!I10,MAX(0,MAX(0,Inputs!$B$44-B2461)-((R2435-1)*IF(Inputs!$B$39="pvp",15,MAX(0.1,Skills!D10-IF(TRUE=TRUE,Inputs!$B$33,0))))))/Skills!H10+0.000000001),1)))/Inputs!$B$44),G2435*Q2435))*IF(Inputs!$B$39="pvp",1,1+(Inputs!$B$21+0+Skills!P10+((C2442=TRUE)*F2442*IF(AND(Inputs!$B$39&lt;&gt;"pvp",Inputs!$B$44&gt;0),(((R2442-1)*MIN((Skills!T17*(1+Inputs!$B$35/100)),(1/Q2442))+MIN((Skills!T17*(1+Inputs!$B$35/100)),MAX(0,Inputs!$B$44-((R2442-1)*(1/Q2442)))))/Inputs!$B$44),IF(Inputs!$B$39="pvp",MIN((Skills!T17*(1+Inputs!$B$35/100)),15)/15,MIN(1,(Skills!T17*(1+Inputs!$B$35/100))/(1/Q2442)))))+((C2430=TRUE)*IF(Inputs!$B$3&gt;=126,10*MIN(1,15*Q2430),0))+((C2439=TRUE)*IF(Inputs!$B$39="pvp",20,(1-Summary!$B$11)*(20)+Summary!$B$11*(0))*IF(AND(Inputs!$B$39&lt;&gt;"pvp",Inputs!$B$44&gt;0),(((R2439-1)*MIN((Skills!T14*(1+Inputs!$B$35/100)),(1/Q2439))+MIN((Skills!T14*(1+Inputs!$B$35/100)),MAX(0,Inputs!$B$44-((R2439-1)*(1/Q2439)))))/Inputs!$B$44),IF(Inputs!$B$39="pvp",MIN((Skills!T14*(1+Inputs!$B$35/100)),15)/15,MIN(1,(Skills!T14*(1+Inputs!$B$35/100))/(1/Q2439)))))+((C2438=TRUE)*IF(Inputs!$B$3&gt;=82,IF(Inputs!$B$39="pvp",20,(1-Summary!$B$11)*(20)+Summary!$B$11*(0)),0)*IF(AND(Inputs!$B$39&lt;&gt;"pvp",Inputs!$B$44&gt;0),(((R2438-1)*MIN((Skills!T13*(1+Inputs!$B$35/100)),(1/Q2438))+MIN((Skills!T13*(1+Inputs!$B$35/100)),MAX(0,Inputs!$B$44-((R2438-1)*(1/Q2438)))))/Inputs!$B$44),IF(Inputs!$B$39="pvp",MIN((Skills!T13*(1+Inputs!$B$35/100)),15)/15,MIN(1,(Skills!T13*(1+Inputs!$B$35/100))/(1/Q2438)))))+(IF(AND(IF(ArtifactsInput!$M$35,FALSE,TRUE),Inputs!$B$4&lt;&gt;"Chapter Hunt"),CHOOSE(ArtifactsInput!$N$35+1,15,18,21,24,27,30)*(1-EXP(-(0.2*B2456)*5)),0)+IF(AND(ArtifactsInput!$M$22,Inputs!$B$4&lt;&gt;"Chapter Hunt"),CHOOSE(ArtifactsInput!$N$22+1,10,12,14,16,18,20)*((0*(((0.15*B2456*5))^0/1)+1*(((0.15*B2456*5))^1/1)+2*(((0.15*B2456*5))^2/2)+3*(((0.15*B2456*5))^3/6)+4*(((0.15*B2456*5))^4/24)+5*(((0.15*B2456*5))^5/120))/((((0.15*B2456*5))^0/1)+(((0.15*B2456*5))^1/1)+(((0.15*B2456*5))^2/2)+(((0.15*B2456*5))^3/6)+(((0.15*B2456*5))^4/24)+(((0.15*B2456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2435*(1-MIN(100,(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2435*(MIN(100,(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2435*(1-MIN(100,(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2435*(MIN(100,(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35">
        <f>IF(C2435,(H2435*N2435*IF(AND(Inputs!$B$39&lt;&gt;"pvp",Inputs!$B$44&gt;0),((Skills!G10*((R2435-1)*IF(Skills!H10&gt;0,INT(Skills!I10/Skills!H10+0.000000001),1)+IF(Skills!H10&gt;0,INT(MIN(Skills!I10,MAX(0,MAX(0,Inputs!$B$44-B2461)-((R2435-1)*IF(Inputs!$B$39="pvp",15,MAX(0.1,Skills!D10-IF(TRUE=TRUE,Inputs!$B$33,0))))))/Skills!H10+0.000000001),1)))/Inputs!$B$44),G2435*Q2435))*IF(Inputs!$B$39="pvp",1,(1+(Inputs!$B$22+Skills!Q10+((C2442=TRUE)*F2442*IF(AND(Inputs!$B$39&lt;&gt;"pvp",Inputs!$B$44&gt;0),(((R2442-1)*MIN((Skills!T17*(1+Inputs!$B$35/100)),(1/Q2442))+MIN((Skills!T17*(1+Inputs!$B$35/100)),MAX(0,Inputs!$B$44-((R2442-1)*(1/Q2442)))))/Inputs!$B$44),IF(Inputs!$B$39="pvp",MIN((Skills!T17*(1+Inputs!$B$35/100)),15)/15,MIN(1,(Skills!T17*(1+Inputs!$B$35/100))/(1/Q2442)))))+((C2430=TRUE)*IF(Inputs!$B$3&gt;=126,10*MIN(1,15*Q2430),0))+((C2439=TRUE)*IF(Inputs!$B$39="pvp",20,(1-Summary!$B$11)*(20)+Summary!$B$11*(0))*IF(AND(Inputs!$B$39&lt;&gt;"pvp",Inputs!$B$44&gt;0),(((R2439-1)*MIN((Skills!T14*(1+Inputs!$B$35/100)),(1/Q2439))+MIN((Skills!T14*(1+Inputs!$B$35/100)),MAX(0,Inputs!$B$44-((R2439-1)*(1/Q2439)))))/Inputs!$B$44),IF(Inputs!$B$39="pvp",MIN((Skills!T14*(1+Inputs!$B$35/100)),15)/15,MIN(1,(Skills!T14*(1+Inputs!$B$35/100))/(1/Q2439)))))+((C2438=TRUE)*IF(Inputs!$B$3&gt;=82,IF(Inputs!$B$39="pvp",20,(1-Summary!$B$11)*(20)+Summary!$B$11*(0)),0)*IF(AND(Inputs!$B$39&lt;&gt;"pvp",Inputs!$B$44&gt;0),(((R2438-1)*MIN((Skills!T13*(1+Inputs!$B$35/100)),(1/Q2438))+MIN((Skills!T13*(1+Inputs!$B$35/100)),MAX(0,Inputs!$B$44-((R2438-1)*(1/Q2438)))))/Inputs!$B$44),IF(Inputs!$B$39="pvp",MIN((Skills!T13*(1+Inputs!$B$35/100)),15)/15,MIN(1,(Skills!T13*(1+Inputs!$B$35/100))/(1/Q2438)))))+(IF(AND(IF(ArtifactsInput!$M$35,FALSE,TRUE),Inputs!$B$4&lt;&gt;"Chapter Hunt"),CHOOSE(ArtifactsInput!$N$35+1,15,18,21,24,27,30)*(1-EXP(-(0.2*B2456)*5)),0)+IF(AND(ArtifactsInput!$M$22,Inputs!$B$4&lt;&gt;"Chapter Hunt"),CHOOSE(ArtifactsInput!$N$22+1,10,12,14,16,18,20)*((0*(((0.15*B2456*5))^0/1)+1*(((0.15*B2456*5))^1/1)+2*(((0.15*B2456*5))^2/2)+3*(((0.15*B2456*5))^3/6)+4*(((0.15*B2456*5))^4/24)+5*(((0.15*B2456*5))^5/120))/((((0.15*B2456*5))^0/1)+(((0.15*B2456*5))^1/1)+(((0.15*B2456*5))^2/2)+(((0.15*B2456*5))^3/6)+(((0.15*B2456*5))^4/24)+(((0.15*B2456*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36">
      <c r="A2436">
        <f>Skills!A11</f>
        <v/>
      </c>
      <c r="B2436">
        <f>Skills!B11</f>
        <v/>
      </c>
      <c r="C2436">
        <f>Inputs!$B$3&gt;=100</f>
        <v/>
      </c>
      <c r="D2436">
        <f>IF(Skills!C11=1,60+Inputs!$B$26+Inputs!$B$30,IF(Skills!C11=2,90+Inputs!$B$27+Inputs!$B$30,IF(Skills!C11=3,120+Inputs!$B$28+Inputs!$B$30,MAX(0,(Inputs!$B$3-100)*3)+Inputs!$B$29+Inputs!$B$30)))</f>
        <v/>
      </c>
      <c r="E2436">
        <f>INDEX(FactorTable!$B$2:$Y$301, MATCH(ROUND(MIN(300,MAX(1,D2436)),0), FactorTable!$A$2:$A$301,0), Skills!M11+1)</f>
        <v/>
      </c>
      <c r="F2436">
        <f>IF(Skills!N11=TRUE,(Skills!L11/10)*(E2436/1000),Skills!L11/10)+Skills!O11</f>
        <v/>
      </c>
      <c r="G2436" t="inlineStr"/>
      <c r="H2436" t="inlineStr"/>
      <c r="I2436" t="inlineStr">
        <is>
          <t>1</t>
        </is>
      </c>
      <c r="J2436" t="inlineStr"/>
      <c r="K2436" t="inlineStr"/>
      <c r="L2436" t="inlineStr"/>
      <c r="M2436" t="inlineStr"/>
      <c r="N2436" t="inlineStr"/>
      <c r="O2436" t="inlineStr"/>
      <c r="P2436" t="inlineStr"/>
      <c r="Q2436" t="inlineStr"/>
      <c r="R2436" t="inlineStr"/>
      <c r="S2436" t="inlineStr"/>
    </row>
    <row r="2437">
      <c r="A2437">
        <f>Skills!A12</f>
        <v/>
      </c>
      <c r="B2437">
        <f>Skills!B12</f>
        <v/>
      </c>
      <c r="C2437">
        <f>Inputs!$B$3&gt;=63</f>
        <v/>
      </c>
      <c r="D2437">
        <f>IF(Skills!C12=1,60+Inputs!$B$26+Inputs!$B$30,IF(Skills!C12=2,90+Inputs!$B$27+Inputs!$B$30,IF(Skills!C12=3,120+Inputs!$B$28+Inputs!$B$30,MAX(0,(Inputs!$B$3-100)*3)+Inputs!$B$29+Inputs!$B$30)))</f>
        <v/>
      </c>
      <c r="E2437">
        <f>INDEX(FactorTable!$B$2:$Y$301, MATCH(ROUND(MIN(300,MAX(1,D2437)),0), FactorTable!$A$2:$A$301,0), Skills!M12+1)</f>
        <v/>
      </c>
      <c r="F2437">
        <f>IF(Skills!N12=TRUE,(Skills!L12/10)*(E2437/1000),Skills!L12/10)+Skills!O12</f>
        <v/>
      </c>
      <c r="G2437">
        <f>Skills!G12*IF(Skills!H12&gt;0,INT(IF(Inputs!$B$39="pvp",MIN(Skills!I12,15),Skills!I12)/Skills!H12+0.000000001),1)</f>
        <v/>
      </c>
      <c r="H2437">
        <f>1-(1-Skills!J12/100)^Skills!K12</f>
        <v/>
      </c>
      <c r="I2437" t="inlineStr">
        <is>
          <t>1</t>
        </is>
      </c>
      <c r="J2437">
        <f>((Inputs!$B$6*(1+Inputs!$B$7/100))+(((Inputs!$B$13*(1+Inputs!$B$14/100))-(Inputs!$B$13*(1+Inputs!$B$14/100)))+0.25*(Inputs!$B$15-Inputs!$B$15))*(1+Inputs!$B$7/100))*(F2437/100)</f>
        <v/>
      </c>
      <c r="K2437">
        <f>J2437*(1+(((Inputs!$B$13+IF(Inputs!$B$3&gt;=38,(10*INDEX(FactorTable!$B$2:$Y$301, MATCH(ROUND(MIN(300,MAX(1,Inputs!$B$3)),0), FactorTable!$A$2:$A$301,0), 23)/1000)/100*(Inputs!$B$8*(1+Inputs!$B$9/100)),0))*(1+Inputs!$B$14/100))*0.01+Inputs!$B$15*0.0025)/100)*(1+Inputs!$B$16/100)*(1+Inputs!$B$17/100)*(5000/(6000+Inputs!$B$43*(1-(Inputs!$B$20+0)/100)))*(1+(Inputs!$B$25+((C2450=TRUE)*(F2450-Calc!F25))+((C2451=TRUE)*(F2451-Calc!F26))+B2460)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2436=TRUE,F2436,0)/100)*(1+(IF(Skills!A12="DARK_IMPALE",Inputs!$B$18+0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gt;=100),MIN(100,((Inputs!$B$10+0+B2454+(ArtifactsInput!$M$24-ArtifactsInput!$M$24)*CHOOSE(ArtifactsInput!$N$24+1,10,12,14,16,18,20)+IF(ArtifactsInput!$M$10,CHOOSE(ArtifactsInput!$N$10+1,15,18,21,24,27,30)*(IF(Inputs!$B$39="pvp",MIN(15,15)/15,IF(AND(Inputs!$B$39&lt;&gt;"pvp",Inputs!$B$44&gt;0),MIN(15,Inputs!$B$44)/(Inputs!$B$44),0))),0)))-100),0))*CHOOSE(ArtifactsInput!$N$42+1,0.6,0.72,0.84,0.96,1.08,1.2))),Inputs!$B$19+((C2448=TRUE)*(F2448-Calc!F23))+(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gt;=100),CHOOSE(ArtifactsInput!$N$42+1,40,48,56,64,72,80),0))))/100)*((1+(((C2438=TRUE)*F2438*IF(AND(Inputs!$B$39&lt;&gt;"pvp",Inputs!$B$44&gt;0),(((R2438-1)*MIN((Skills!T13*(1+Inputs!$B$35/100)),(1/Q2438))+MIN((Skills!T13*(1+Inputs!$B$35/100)),MAX(0,Inputs!$B$44-((R2438-1)*(1/Q2438)))))/Inputs!$B$44),IF(Inputs!$B$39="pvp",MIN((Skills!T13*(1+Inputs!$B$35/100)),15)/15,MIN(1,(Skills!T13*(1+Inputs!$B$35/100))/(1/Q2438)))))+((C2439=TRUE)*F2439*IF(AND(Inputs!$B$39&lt;&gt;"pvp",Inputs!$B$44&gt;0),(((R2439-1)*MIN((Skills!T14*(1+Inputs!$B$35/100)),(1/Q2439))+MIN((Skills!T14*(1+Inputs!$B$35/100)),MAX(0,Inputs!$B$44-((R2439-1)*(1/Q2439)))))/Inputs!$B$44),IF(Inputs!$B$39="pvp",MIN((Skills!T14*(1+Inputs!$B$35/100)),15)/15,MIN(1,(Skills!T14*(1+Inputs!$B$35/100))/(1/Q2439)))))+((C2440=TRUE)*F2440*IF(AND(Inputs!$B$39&lt;&gt;"pvp",Inputs!$B$44&gt;0),(((R2440-1)*MIN((Skills!T15*(1+Inputs!$B$35/100)),(1/Q2440))+MIN((Skills!T15*(1+Inputs!$B$35/100)),MAX(0,Inputs!$B$44-((R2440-1)*(1/Q2440)))))/Inputs!$B$44),IF(Inputs!$B$39="pvp",MIN((Skills!T15*(1+Inputs!$B$35/100)),15)/15,MIN(1,(Skills!T15*(1+Inputs!$B$35/100))/(1/Q2440)))))+((C2441=TRUE)*F2441*IF(AND(Inputs!$B$39&lt;&gt;"pvp",Inputs!$B$44&gt;0),(((R2441-1)*MIN((Skills!T16*(1+Inputs!$B$35/100)),(1/Q2441))+MIN((Skills!T16*(1+Inputs!$B$35/100)),MAX(0,Inputs!$B$44-((R2441-1)*(1/Q2441)))))/Inputs!$B$44),IF(Inputs!$B$39="pvp",MIN((Skills!T16*(1+Inputs!$B$35/100)),15)/15,MIN(1,(Skills!T16*(1+Inputs!$B$35/100))/(1/Q2441)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2437)</f>
        <v/>
      </c>
      <c r="L2437">
        <f>K2437*(MIN(Inputs!$B$23+((C2447=TRUE)*(F2447-Calc!F22)),(Inputs!$B$24+((C2449=TRUE)*(F2449-Calc!F24))+(IF(ArtifactsInput!$M$15,CHOOSE(ArtifactsInput!$N$15+1,25,30,35,40,45,50)/100*(Inputs!$B$12-Inputs!$B$12),0))))/100+(Inputs!$B$24+((C2449=TRUE)*(F2449-Calc!F24))+(IF(ArtifactsInput!$M$15,CHOOSE(ArtifactsInput!$N$15+1,25,30,35,40,45,50)/100*(Inputs!$B$12-Inputs!$B$12),0)))/100)/2</f>
        <v/>
      </c>
      <c r="M2437">
        <f>L2437*(1+(Inputs!$B$11+0+B2459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437">
        <f>L2437*(1-MIN((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2437*(MIN((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37">
        <f>(1-Summary!$B$11)*T2437+Summary!$B$11*V2437</f>
        <v/>
      </c>
      <c r="P2437">
        <f>IF(B2464=0,0,O2437/B2464)</f>
        <v/>
      </c>
      <c r="Q2437">
        <f>IFERROR(1/IF(Inputs!$B$39="pvp",15,MAX(0.1,Skills!D12-IF(TRUE=TRUE,Inputs!$B$33,0))),0)</f>
        <v/>
      </c>
      <c r="R2437">
        <f>IF(AND(Inputs!$B$39&lt;&gt;"pvp",Inputs!$B$44&gt;0),IF(MAX(0,Inputs!$B$44-B2461)&lt;=0,0,(INT(MAX(0,Inputs!$B$44-B2461)/IF(Inputs!$B$39="pvp",15,MAX(0.1,Skills!D12-IF(TRUE=TRUE,Inputs!$B$33,0))))+1)),0)</f>
        <v/>
      </c>
      <c r="S2437">
        <f>IFERROR(O2437/N2437,0)</f>
        <v/>
      </c>
      <c r="T2437">
        <f>IF(C2437,(H2437*N2437*IF(AND(Inputs!$B$39&lt;&gt;"pvp",Inputs!$B$44&gt;0),((Skills!G12*((R2437-1)*IF(Skills!H12&gt;0,INT(Skills!I12/Skills!H12+0.000000001),1)+IF(Skills!H12&gt;0,INT(MIN(Skills!I12,MAX(0,MAX(0,Inputs!$B$44-B2461)-((R2437-1)*IF(Inputs!$B$39="pvp",15,MAX(0.1,Skills!D12-IF(TRUE=TRUE,Inputs!$B$33,0))))))/Skills!H12+0.000000001),1)))/Inputs!$B$44),G2437*Q2437))*IF(Inputs!$B$39="pvp",1,1+(Inputs!$B$21+0+Skills!P12+((C2442=TRUE)*F2442*IF(AND(Inputs!$B$39&lt;&gt;"pvp",Inputs!$B$44&gt;0),(((R2442-1)*MIN((Skills!T17*(1+Inputs!$B$35/100)),(1/Q2442))+MIN((Skills!T17*(1+Inputs!$B$35/100)),MAX(0,Inputs!$B$44-((R2442-1)*(1/Q2442)))))/Inputs!$B$44),IF(Inputs!$B$39="pvp",MIN((Skills!T17*(1+Inputs!$B$35/100)),15)/15,MIN(1,(Skills!T17*(1+Inputs!$B$35/100))/(1/Q2442)))))+((C2430=TRUE)*IF(Inputs!$B$3&gt;=126,10*MIN(1,15*Q2430),0))+((C2439=TRUE)*IF(Inputs!$B$39="pvp",20,(1-Summary!$B$11)*(20)+Summary!$B$11*(0))*IF(AND(Inputs!$B$39&lt;&gt;"pvp",Inputs!$B$44&gt;0),(((R2439-1)*MIN((Skills!T14*(1+Inputs!$B$35/100)),(1/Q2439))+MIN((Skills!T14*(1+Inputs!$B$35/100)),MAX(0,Inputs!$B$44-((R2439-1)*(1/Q2439)))))/Inputs!$B$44),IF(Inputs!$B$39="pvp",MIN((Skills!T14*(1+Inputs!$B$35/100)),15)/15,MIN(1,(Skills!T14*(1+Inputs!$B$35/100))/(1/Q2439)))))+((C2438=TRUE)*IF(Inputs!$B$3&gt;=82,IF(Inputs!$B$39="pvp",20,(1-Summary!$B$11)*(20)+Summary!$B$11*(0)),0)*IF(AND(Inputs!$B$39&lt;&gt;"pvp",Inputs!$B$44&gt;0),(((R2438-1)*MIN((Skills!T13*(1+Inputs!$B$35/100)),(1/Q2438))+MIN((Skills!T13*(1+Inputs!$B$35/100)),MAX(0,Inputs!$B$44-((R2438-1)*(1/Q2438)))))/Inputs!$B$44),IF(Inputs!$B$39="pvp",MIN((Skills!T13*(1+Inputs!$B$35/100)),15)/15,MIN(1,(Skills!T13*(1+Inputs!$B$35/100))/(1/Q2438)))))+(IF(AND(IF(ArtifactsInput!$M$35,FALSE,TRUE),Inputs!$B$4&lt;&gt;"Chapter Hunt"),CHOOSE(ArtifactsInput!$N$35+1,15,18,21,24,27,30)*(1-EXP(-(0.2*B2456)*5)),0)+IF(AND(ArtifactsInput!$M$22,Inputs!$B$4&lt;&gt;"Chapter Hunt"),CHOOSE(ArtifactsInput!$N$22+1,10,12,14,16,18,20)*((0*(((0.15*B2456*5))^0/1)+1*(((0.15*B2456*5))^1/1)+2*(((0.15*B2456*5))^2/2)+3*(((0.15*B2456*5))^3/6)+4*(((0.15*B2456*5))^4/24)+5*(((0.15*B2456*5))^5/120))/((((0.15*B2456*5))^0/1)+(((0.15*B2456*5))^1/1)+(((0.15*B2456*5))^2/2)+(((0.15*B2456*5))^3/6)+(((0.15*B2456*5))^4/24)+(((0.15*B2456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2437*(1-MIN(100,(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2437*(MIN(100,(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2437*(1-MIN(100,(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2437*(MIN(100,(Inputs!$B$10+0+B2454+(ArtifactsInput!$M$24-ArtifactsInput!$M$24)*CHOOSE(ArtifactsInput!$N$24+1,10,12,14,16,18,20)+(IF(AND(Inputs!$B$39&lt;&gt;"pvp",Inputs!$B$44=0),1,IF(IF(Inputs!$B$39="pvp",15,Inputs!$B$44)-(B2461)&lt;=0,1,MAX(0,IF(Inputs!$B$39="pvp",15,Inputs!$B$44)-MAX(5,B2461))/(IF(Inputs!$B$39="pvp",15,Inputs!$B$44)-(B2461))))*IF(AND(ArtifactsInput!$M$42,((Inputs!$B$10+0+B2454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37">
        <f>IF(C2437,(H2437*N2437*IF(AND(Inputs!$B$39&lt;&gt;"pvp",Inputs!$B$44&gt;0),((Skills!G12*((R2437-1)*IF(Skills!H12&gt;0,INT(Skills!I12/Skills!H12+0.000000001),1)+IF(Skills!H12&gt;0,INT(MIN(Skills!I12,MAX(0,MAX(0,Inputs!$B$44-B2461)-((R2437-1)*IF(Inputs!$B$39="pvp",15,MAX(0.1,Skills!D12-IF(TRUE=TRUE,Inputs!$B$33,0))))))/Skills!H12+0.000000001),1)))/Inputs!$B$44),G2437*Q2437))*IF(Inputs!$B$39="pvp",1,(1+(Inputs!$B$22+Skills!Q12+((C2442=TRUE)*F2442*IF(AND(Inputs!$B$39&lt;&gt;"pvp",Inputs!$B$44&gt;0),(((R2442-1)*MIN((Skills!T17*(1+Inputs!$B$35/100)),(1/Q2442))+MIN((Skills!T17*(1+Inputs!$B$35/100)),MAX(0,Inputs!$B$44-((R2442-1)*(1/Q2442)))))/Inputs!$B$44),IF(Inputs!$B$39="pvp",MIN((Skills!T17*(1+Inputs!$B$35/100)),15)/15,MIN(1,(Skills!T17*(1+Inputs!$B$35/100))/(1/Q2442)))))+((C2430=TRUE)*IF(Inputs!$B$3&gt;=126,10*MIN(1,15*Q2430),0))+((C2439=TRUE)*IF(Inputs!$B$39="pvp",20,(1-Summary!$B$11)*(20)+Summary!$B$11*(0))*IF(AND(Inputs!$B$39&lt;&gt;"pvp",Inputs!$B$44&gt;0),(((R2439-1)*MIN((Skills!T14*(1+Inputs!$B$35/100)),(1/Q2439))+MIN((Skills!T14*(1+Inputs!$B$35/100)),MAX(0,Inputs!$B$44-((R2439-1)*(1/Q2439)))))/Inputs!$B$44),IF(Inputs!$B$39="pvp",MIN((Skills!T14*(1+Inputs!$B$35/100)),15)/15,MIN(1,(Skills!T14*(1+Inputs!$B$35/100))/(1/Q2439)))))+((C2438=TRUE)*IF(Inputs!$B$3&gt;=82,IF(Inputs!$B$39="pvp",20,(1-Summary!$B$11)*(20)+Summary!$B$11*(0)),0)*IF(AND(Inputs!$B$39&lt;&gt;"pvp",Inputs!$B$44&gt;0),(((R2438-1)*MIN((Skills!T13*(1+Inputs!$B$35/100)),(1/Q2438))+MIN((Skills!T13*(1+Inputs!$B$35/100)),MAX(0,Inputs!$B$44-((R2438-1)*(1/Q2438)))))/Inputs!$B$44),IF(Inputs!$B$39="pvp",MIN((Skills!T13*(1+Inputs!$B$35/100)),15)/15,MIN(1,(Skills!T13*(1+Inputs!$B$35/100))/(1/Q2438)))))+(IF(AND(IF(ArtifactsInput!$M$35,FALSE,TRUE),Inputs!$B$4&lt;&gt;"Chapter Hunt"),CHOOSE(ArtifactsInput!$N$35+1,15,18,21,24,27,30)*(1-EXP(-(0.2*B2456)*5)),0)+IF(AND(ArtifactsInput!$M$22,Inputs!$B$4&lt;&gt;"Chapter Hunt"),CHOOSE(ArtifactsInput!$N$22+1,10,12,14,16,18,20)*((0*(((0.15*B2456*5))^0/1)+1*(((0.15*B2456*5))^1/1)+2*(((0.15*B2456*5))^2/2)+3*(((0.15*B2456*5))^3/6)+4*(((0.15*B2456*5))^4/24)+5*(((0.15*B2456*5))^5/120))/((((0.15*B2456*5))^0/1)+(((0.15*B2456*5))^1/1)+(((0.15*B2456*5))^2/2)+(((0.15*B2456*5))^3/6)+(((0.15*B2456*5))^4/24)+(((0.15*B2456*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38">
      <c r="A2438">
        <f>Skills!A13</f>
        <v/>
      </c>
      <c r="B2438">
        <f>Skills!B13</f>
        <v/>
      </c>
      <c r="C2438">
        <f>Inputs!$B$3&gt;=69</f>
        <v/>
      </c>
      <c r="D2438">
        <f>IF(Skills!C13=1,60+Inputs!$B$26+Inputs!$B$30,IF(Skills!C13=2,90+Inputs!$B$27+Inputs!$B$30,IF(Skills!C13=3,120+Inputs!$B$28+Inputs!$B$30,MAX(0,(Inputs!$B$3-100)*3)+Inputs!$B$29+Inputs!$B$30)))</f>
        <v/>
      </c>
      <c r="E2438">
        <f>INDEX(FactorTable!$B$2:$Y$301, MATCH(ROUND(MIN(300,MAX(1,D2438)),0), FactorTable!$A$2:$A$301,0), Skills!M13+1)</f>
        <v/>
      </c>
      <c r="F2438">
        <f>IF(Skills!N13=TRUE,(Skills!L13/10)*(E2438/1000),Skills!L13/10)+Skills!O13</f>
        <v/>
      </c>
      <c r="G2438">
        <f>Skills!G13*IF(Skills!H13&gt;0,INT(IF(Inputs!$B$39="pvp",MIN(Skills!I13,15),Skills!I13)/Skills!H13+0.000000001),1)</f>
        <v/>
      </c>
      <c r="H2438">
        <f>1-(1-Skills!J13/100)^Skills!K13</f>
        <v/>
      </c>
      <c r="I2438" t="inlineStr">
        <is>
          <t>1</t>
        </is>
      </c>
      <c r="J2438" t="inlineStr"/>
      <c r="K2438" t="inlineStr"/>
      <c r="L2438" t="inlineStr"/>
      <c r="M2438" t="inlineStr"/>
      <c r="N2438" t="inlineStr"/>
      <c r="O2438">
        <f>(1-Summary!$B$11)*T2438+Summary!$B$11*V2438</f>
        <v/>
      </c>
      <c r="P2438">
        <f>IF(B2464=0,0,O2438/B2464)</f>
        <v/>
      </c>
      <c r="Q2438">
        <f>IFERROR(1/IF(Inputs!$B$39="pvp",15,MAX(0.1,Skills!D13-IF(TRUE=TRUE,Inputs!$B$33,0))),0)</f>
        <v/>
      </c>
      <c r="R2438">
        <f>IF(AND(Inputs!$B$39&lt;&gt;"pvp",Inputs!$B$44&gt;0),IF(Inputs!$B$44&lt;=0,0,(INT(Inputs!$B$44/IF(Inputs!$B$39="pvp",15,MAX(0.1,Skills!D13-IF(TRUE=TRUE,Inputs!$B$33,0))))+1)),0)</f>
        <v/>
      </c>
      <c r="S2438">
        <f>IFERROR(O2438/N2438,0)</f>
        <v/>
      </c>
      <c r="T2438" t="n">
        <v>0</v>
      </c>
      <c r="V2438" t="n">
        <v>0</v>
      </c>
    </row>
    <row r="2439">
      <c r="A2439">
        <f>Skills!A14</f>
        <v/>
      </c>
      <c r="B2439">
        <f>Skills!B14</f>
        <v/>
      </c>
      <c r="C2439">
        <f>Inputs!$B$3&gt;=115</f>
        <v/>
      </c>
      <c r="D2439">
        <f>IF(Skills!C14=1,60+Inputs!$B$26+Inputs!$B$30,IF(Skills!C14=2,90+Inputs!$B$27+Inputs!$B$30,IF(Skills!C14=3,120+Inputs!$B$28+Inputs!$B$30,MAX(0,(Inputs!$B$3-100)*3)+Inputs!$B$29+Inputs!$B$30)))</f>
        <v/>
      </c>
      <c r="E2439">
        <f>INDEX(FactorTable!$B$2:$Y$301, MATCH(ROUND(MIN(300,MAX(1,D2439)),0), FactorTable!$A$2:$A$301,0), Skills!M14+1)</f>
        <v/>
      </c>
      <c r="F2439">
        <f>IF(Skills!N14=TRUE,(Skills!L14/10)*(E2439/1000),Skills!L14/10)+Skills!O14</f>
        <v/>
      </c>
      <c r="G2439">
        <f>Skills!G14*IF(Skills!H14&gt;0,INT(IF(Inputs!$B$39="pvp",MIN(Skills!I14,15),Skills!I14)/Skills!H14+0.000000001),1)</f>
        <v/>
      </c>
      <c r="H2439">
        <f>1-(1-Skills!J14/100)^Skills!K14</f>
        <v/>
      </c>
      <c r="I2439" t="inlineStr">
        <is>
          <t>1</t>
        </is>
      </c>
      <c r="J2439" t="inlineStr"/>
      <c r="K2439" t="inlineStr"/>
      <c r="L2439" t="inlineStr"/>
      <c r="M2439" t="inlineStr"/>
      <c r="N2439" t="inlineStr"/>
      <c r="O2439">
        <f>(1-Summary!$B$11)*T2439+Summary!$B$11*V2439</f>
        <v/>
      </c>
      <c r="P2439">
        <f>IF(B2464=0,0,O2439/B2464)</f>
        <v/>
      </c>
      <c r="Q2439">
        <f>IFERROR(1/IF(Inputs!$B$39="pvp",15,MAX(0.1,Skills!D14-IF(TRUE=TRUE,Inputs!$B$33,0))),0)</f>
        <v/>
      </c>
      <c r="R2439">
        <f>IF(AND(Inputs!$B$39&lt;&gt;"pvp",Inputs!$B$44&gt;0),IF(Inputs!$B$44&lt;=0,0,(INT(Inputs!$B$44/IF(Inputs!$B$39="pvp",15,MAX(0.1,Skills!D14-IF(TRUE=TRUE,Inputs!$B$33,0))))+1)),0)</f>
        <v/>
      </c>
      <c r="S2439">
        <f>IFERROR(O2439/N2439,0)</f>
        <v/>
      </c>
      <c r="T2439" t="n">
        <v>0</v>
      </c>
      <c r="V2439" t="n">
        <v>0</v>
      </c>
    </row>
    <row r="2440">
      <c r="A2440">
        <f>Skills!A15</f>
        <v/>
      </c>
      <c r="B2440">
        <f>Skills!B15</f>
        <v/>
      </c>
      <c r="C2440">
        <f>Inputs!$B$3&gt;=66</f>
        <v/>
      </c>
      <c r="D2440">
        <f>IF(Skills!C15=1,60+Inputs!$B$26+Inputs!$B$30,IF(Skills!C15=2,90+Inputs!$B$27+Inputs!$B$30,IF(Skills!C15=3,120+Inputs!$B$28+Inputs!$B$30,MAX(0,(Inputs!$B$3-100)*3)+Inputs!$B$29+Inputs!$B$30)))</f>
        <v/>
      </c>
      <c r="E2440">
        <f>INDEX(FactorTable!$B$2:$Y$301, MATCH(ROUND(MIN(300,MAX(1,D2440)),0), FactorTable!$A$2:$A$301,0), Skills!M15+1)</f>
        <v/>
      </c>
      <c r="F2440">
        <f>IF(Skills!N15=TRUE,(Skills!L15/10)*(E2440/1000),Skills!L15/10)+Skills!O15</f>
        <v/>
      </c>
      <c r="G2440">
        <f>Skills!G15*IF(Skills!H15&gt;0,INT(IF(Inputs!$B$39="pvp",MIN(Skills!I15,15),Skills!I15)/Skills!H15+0.000000001),1)</f>
        <v/>
      </c>
      <c r="H2440">
        <f>1-(1-Skills!J15/100)^Skills!K15</f>
        <v/>
      </c>
      <c r="I2440" t="inlineStr">
        <is>
          <t>1</t>
        </is>
      </c>
      <c r="J2440" t="inlineStr"/>
      <c r="K2440" t="inlineStr"/>
      <c r="L2440" t="inlineStr"/>
      <c r="M2440" t="inlineStr"/>
      <c r="N2440" t="inlineStr"/>
      <c r="O2440">
        <f>(1-Summary!$B$11)*T2440+Summary!$B$11*V2440</f>
        <v/>
      </c>
      <c r="P2440">
        <f>IF(B2464=0,0,O2440/B2464)</f>
        <v/>
      </c>
      <c r="Q2440">
        <f>IFERROR(1/IF(Inputs!$B$39="pvp",15,MAX(0.1,Skills!D15-IF(TRUE=TRUE,Inputs!$B$33,0))),0)</f>
        <v/>
      </c>
      <c r="R2440">
        <f>IF(AND(Inputs!$B$39&lt;&gt;"pvp",Inputs!$B$44&gt;0),IF(Inputs!$B$44&lt;=0,0,(INT(Inputs!$B$44/IF(Inputs!$B$39="pvp",15,MAX(0.1,Skills!D15-IF(TRUE=TRUE,Inputs!$B$33,0))))+1)),0)</f>
        <v/>
      </c>
      <c r="S2440">
        <f>IFERROR(O2440/N2440,0)</f>
        <v/>
      </c>
      <c r="T2440" t="n">
        <v>0</v>
      </c>
      <c r="V2440" t="n">
        <v>0</v>
      </c>
    </row>
    <row r="2441">
      <c r="A2441">
        <f>Skills!A16</f>
        <v/>
      </c>
      <c r="B2441">
        <f>Skills!B16</f>
        <v/>
      </c>
      <c r="C2441">
        <f>Inputs!$B$3&gt;=45</f>
        <v/>
      </c>
      <c r="D2441">
        <f>IF(Skills!C16=1,60+Inputs!$B$26+Inputs!$B$30,IF(Skills!C16=2,90+Inputs!$B$27+Inputs!$B$30,IF(Skills!C16=3,120+Inputs!$B$28+Inputs!$B$30,MAX(0,(Inputs!$B$3-100)*3)+Inputs!$B$29+Inputs!$B$30)))</f>
        <v/>
      </c>
      <c r="E2441">
        <f>INDEX(FactorTable!$B$2:$Y$301, MATCH(ROUND(MIN(300,MAX(1,D2441)),0), FactorTable!$A$2:$A$301,0), Skills!M16+1)</f>
        <v/>
      </c>
      <c r="F2441">
        <f>IF(Skills!N16=TRUE,(Skills!L16/10)*(E2441/1000),Skills!L16/10)+Skills!O16</f>
        <v/>
      </c>
      <c r="G2441">
        <f>Skills!G16*IF(Skills!H16&gt;0,INT(IF(Inputs!$B$39="pvp",MIN(Skills!I16,15),Skills!I16)/Skills!H16+0.000000001),1)</f>
        <v/>
      </c>
      <c r="H2441">
        <f>1-(1-Skills!J16/100)^Skills!K16</f>
        <v/>
      </c>
      <c r="I2441" t="inlineStr">
        <is>
          <t>1</t>
        </is>
      </c>
      <c r="J2441" t="inlineStr"/>
      <c r="K2441" t="inlineStr"/>
      <c r="L2441" t="inlineStr"/>
      <c r="M2441" t="inlineStr"/>
      <c r="N2441" t="inlineStr"/>
      <c r="O2441">
        <f>(1-Summary!$B$11)*T2441+Summary!$B$11*V2441</f>
        <v/>
      </c>
      <c r="P2441">
        <f>IF(B2464=0,0,O2441/B2464)</f>
        <v/>
      </c>
      <c r="Q2441">
        <f>IFERROR(1/IF(Inputs!$B$39="pvp",15,MAX(0.1,Skills!D16-IF(TRUE=TRUE,Inputs!$B$33,0))),0)</f>
        <v/>
      </c>
      <c r="R2441">
        <f>IF(AND(Inputs!$B$39&lt;&gt;"pvp",Inputs!$B$44&gt;0),IF(Inputs!$B$44&lt;=0,0,(INT(Inputs!$B$44/IF(Inputs!$B$39="pvp",15,MAX(0.1,Skills!D16-IF(TRUE=TRUE,Inputs!$B$33,0))))+1)),0)</f>
        <v/>
      </c>
      <c r="S2441">
        <f>IFERROR(O2441/N2441,0)</f>
        <v/>
      </c>
      <c r="T2441" t="n">
        <v>0</v>
      </c>
      <c r="V2441" t="n">
        <v>0</v>
      </c>
    </row>
    <row r="2442">
      <c r="A2442">
        <f>Skills!A17</f>
        <v/>
      </c>
      <c r="B2442">
        <f>Skills!B17</f>
        <v/>
      </c>
      <c r="C2442">
        <f>Inputs!$B$3&gt;=35</f>
        <v/>
      </c>
      <c r="D2442">
        <f>IF(Skills!C17=1,60+Inputs!$B$26+Inputs!$B$30,IF(Skills!C17=2,90+Inputs!$B$27+Inputs!$B$30,IF(Skills!C17=3,120+Inputs!$B$28+Inputs!$B$30,MAX(0,(Inputs!$B$3-100)*3)+Inputs!$B$29+Inputs!$B$30)))</f>
        <v/>
      </c>
      <c r="E2442">
        <f>INDEX(FactorTable!$B$2:$Y$301, MATCH(ROUND(MIN(300,MAX(1,D2442)),0), FactorTable!$A$2:$A$301,0), Skills!M17+1)</f>
        <v/>
      </c>
      <c r="F2442">
        <f>IF(Skills!N17=TRUE,(Skills!L17/10)*(E2442/1000),Skills!L17/10)+Skills!O17</f>
        <v/>
      </c>
      <c r="G2442">
        <f>Skills!G17*IF(Skills!H17&gt;0,INT(IF(Inputs!$B$39="pvp",MIN(Skills!I17,15),Skills!I17)/Skills!H17+0.000000001),1)</f>
        <v/>
      </c>
      <c r="H2442">
        <f>1-(1-Skills!J17/100)^Skills!K17</f>
        <v/>
      </c>
      <c r="I2442" t="inlineStr">
        <is>
          <t>1</t>
        </is>
      </c>
      <c r="J2442" t="inlineStr"/>
      <c r="K2442" t="inlineStr"/>
      <c r="L2442" t="inlineStr"/>
      <c r="M2442" t="inlineStr"/>
      <c r="N2442" t="inlineStr"/>
      <c r="O2442">
        <f>(1-Summary!$B$11)*T2442+Summary!$B$11*V2442</f>
        <v/>
      </c>
      <c r="P2442">
        <f>IF(B2464=0,0,O2442/B2464)</f>
        <v/>
      </c>
      <c r="Q2442">
        <f>IFERROR(1/IF(Inputs!$B$39="pvp",15,MAX(0.1,Skills!D17-IF(TRUE=TRUE,Inputs!$B$33,0))),0)</f>
        <v/>
      </c>
      <c r="R2442">
        <f>IF(AND(Inputs!$B$39&lt;&gt;"pvp",Inputs!$B$44&gt;0),IF(Inputs!$B$44&lt;=0,0,(INT(Inputs!$B$44/IF(Inputs!$B$39="pvp",15,MAX(0.1,Skills!D17-IF(TRUE=TRUE,Inputs!$B$33,0))))+1)),0)</f>
        <v/>
      </c>
      <c r="S2442">
        <f>IFERROR(O2442/N2442,0)</f>
        <v/>
      </c>
      <c r="T2442" t="n">
        <v>0</v>
      </c>
      <c r="V2442" t="n">
        <v>0</v>
      </c>
    </row>
    <row r="2443">
      <c r="A2443">
        <f>Skills!A18</f>
        <v/>
      </c>
      <c r="B2443">
        <f>Skills!B18</f>
        <v/>
      </c>
      <c r="C2443">
        <f>Inputs!$B$3&gt;=72</f>
        <v/>
      </c>
      <c r="D2443">
        <f>IF(Skills!C18=1,60+Inputs!$B$26+Inputs!$B$30,IF(Skills!C18=2,90+Inputs!$B$27+Inputs!$B$30,IF(Skills!C18=3,120+Inputs!$B$28+Inputs!$B$30,MAX(0,(Inputs!$B$3-100)*3)+Inputs!$B$29+Inputs!$B$30)))</f>
        <v/>
      </c>
      <c r="E2443">
        <f>INDEX(FactorTable!$B$2:$Y$301, MATCH(ROUND(MIN(300,MAX(1,D2443)),0), FactorTable!$A$2:$A$301,0), Skills!M18+1)</f>
        <v/>
      </c>
      <c r="F2443">
        <f>IF(Skills!N18=TRUE,(Skills!L18/10)*(E2443/1000),Skills!L18/10)+Skills!O18</f>
        <v/>
      </c>
      <c r="G2443">
        <f>Skills!G18*IF(Skills!H18&gt;0,INT(IF(Inputs!$B$39="pvp",MIN(Skills!I18,15),Skills!I18)/Skills!H18+0.000000001),1)</f>
        <v/>
      </c>
      <c r="H2443">
        <f>1-(1-Skills!J18/100)^Skills!K18</f>
        <v/>
      </c>
      <c r="I2443" t="inlineStr">
        <is>
          <t>1</t>
        </is>
      </c>
      <c r="J2443" t="inlineStr"/>
      <c r="K2443" t="inlineStr"/>
      <c r="L2443" t="inlineStr"/>
      <c r="M2443" t="inlineStr"/>
      <c r="N2443" t="inlineStr"/>
      <c r="O2443">
        <f>(1-Summary!$B$11)*T2443+Summary!$B$11*V2443</f>
        <v/>
      </c>
      <c r="P2443">
        <f>IF(B2464=0,0,O2443/B2464)</f>
        <v/>
      </c>
      <c r="Q2443">
        <f>IFERROR(1/IF(Inputs!$B$39="pvp",15,MAX(0.1,Skills!D18-IF(TRUE=TRUE,Inputs!$B$33,0))),0)</f>
        <v/>
      </c>
      <c r="R2443">
        <f>IF(AND(Inputs!$B$39&lt;&gt;"pvp",Inputs!$B$44&gt;0),IF(Inputs!$B$44&lt;=0,0,(INT(Inputs!$B$44/IF(Inputs!$B$39="pvp",15,MAX(0.1,Skills!D18-IF(TRUE=TRUE,Inputs!$B$33,0))))+1)),0)</f>
        <v/>
      </c>
      <c r="S2443">
        <f>IFERROR(O2443/N2443,0)</f>
        <v/>
      </c>
      <c r="T2443" t="n">
        <v>0</v>
      </c>
      <c r="V2443" t="n">
        <v>0</v>
      </c>
    </row>
    <row r="2444">
      <c r="A2444">
        <f>Skills!A19</f>
        <v/>
      </c>
      <c r="B2444">
        <f>Skills!B19</f>
        <v/>
      </c>
      <c r="C2444">
        <f>Inputs!$B$3&gt;=72</f>
        <v/>
      </c>
      <c r="D2444">
        <f>IF(Skills!C19=1,60+Inputs!$B$26+Inputs!$B$30,IF(Skills!C19=2,90+Inputs!$B$27+Inputs!$B$30,IF(Skills!C19=3,120+Inputs!$B$28+Inputs!$B$30,MAX(0,(Inputs!$B$3-100)*3)+Inputs!$B$29+Inputs!$B$30)))</f>
        <v/>
      </c>
      <c r="E2444">
        <f>INDEX(FactorTable!$B$2:$Y$301, MATCH(ROUND(MIN(300,MAX(1,D2444)),0), FactorTable!$A$2:$A$301,0), Skills!M19+1)</f>
        <v/>
      </c>
      <c r="F2444">
        <f>IF(Skills!N19=TRUE,(Skills!L19/10)*(E2444/1000),Skills!L19/10)+Skills!O19</f>
        <v/>
      </c>
      <c r="G2444">
        <f>Skills!G19*IF(Skills!H19&gt;0,INT(IF(Inputs!$B$39="pvp",MIN(Skills!I19,15),Skills!I19)/Skills!H19+0.000000001),1)</f>
        <v/>
      </c>
      <c r="H2444">
        <f>1-(1-Skills!J19/100)^Skills!K19</f>
        <v/>
      </c>
      <c r="I2444" t="inlineStr">
        <is>
          <t>1</t>
        </is>
      </c>
      <c r="J2444" t="inlineStr"/>
      <c r="K2444" t="inlineStr"/>
      <c r="L2444" t="inlineStr"/>
      <c r="M2444" t="inlineStr"/>
      <c r="N2444" t="inlineStr"/>
      <c r="O2444">
        <f>(1-Summary!$B$11)*T2444+Summary!$B$11*V2444</f>
        <v/>
      </c>
      <c r="P2444">
        <f>IF(B2464=0,0,O2444/B2464)</f>
        <v/>
      </c>
      <c r="Q2444">
        <f>IFERROR(1/IF(Inputs!$B$39="pvp",15,MAX(0.1,Skills!D19-IF(TRUE=TRUE,Inputs!$B$33,0))),0)</f>
        <v/>
      </c>
      <c r="R2444">
        <f>IF(AND(Inputs!$B$39&lt;&gt;"pvp",Inputs!$B$44&gt;0),IF(Inputs!$B$44&lt;=0,0,(INT(Inputs!$B$44/IF(Inputs!$B$39="pvp",15,MAX(0.1,Skills!D19-IF(TRUE=TRUE,Inputs!$B$33,0))))+1)),0)</f>
        <v/>
      </c>
      <c r="S2444">
        <f>IFERROR(O2444/N2444,0)</f>
        <v/>
      </c>
      <c r="T2444" t="n">
        <v>0</v>
      </c>
      <c r="V2444" t="n">
        <v>0</v>
      </c>
    </row>
    <row r="2445">
      <c r="A2445">
        <f>Skills!A20</f>
        <v/>
      </c>
      <c r="B2445">
        <f>Skills!B20</f>
        <v/>
      </c>
      <c r="C2445">
        <f>TRUE</f>
        <v/>
      </c>
      <c r="D2445">
        <f>IF(Skills!C20=1,60+Inputs!$B$26+Inputs!$B$30,IF(Skills!C20=2,90+Inputs!$B$27+Inputs!$B$30,IF(Skills!C20=3,120+Inputs!$B$28+Inputs!$B$30,MAX(0,(Inputs!$B$3-100)*3)+Inputs!$B$29+Inputs!$B$30)))</f>
        <v/>
      </c>
      <c r="E2445">
        <f>INDEX(FactorTable!$B$2:$Y$301, MATCH(ROUND(MIN(300,MAX(1,D2445)),0), FactorTable!$A$2:$A$301,0), Skills!M20+1)</f>
        <v/>
      </c>
      <c r="F2445">
        <f>IF(Skills!N20=TRUE,(Skills!L20/10)*(E2445/1000),Skills!L20/10)+Skills!O20</f>
        <v/>
      </c>
      <c r="G2445">
        <f>Skills!G20*IF(Skills!H20&gt;0,INT(IF(Inputs!$B$39="pvp",MIN(Skills!I20,15),Skills!I20)/Skills!H20+0.000000001),1)</f>
        <v/>
      </c>
      <c r="H2445">
        <f>1-(1-Skills!J20/100)^Skills!K20</f>
        <v/>
      </c>
      <c r="I2445" t="inlineStr">
        <is>
          <t>1</t>
        </is>
      </c>
      <c r="J2445" t="inlineStr"/>
      <c r="K2445" t="inlineStr"/>
      <c r="L2445" t="inlineStr"/>
      <c r="M2445" t="inlineStr"/>
      <c r="N2445" t="inlineStr"/>
      <c r="O2445">
        <f>(1-Summary!$B$11)*T2445+Summary!$B$11*V2445</f>
        <v/>
      </c>
      <c r="P2445">
        <f>IF(B2464=0,0,O2445/B2464)</f>
        <v/>
      </c>
      <c r="Q2445">
        <f>IFERROR(1/IF(Inputs!$B$39="pvp",15,MAX(0.1,Skills!D20-IF(TRUE=TRUE,Inputs!$B$33,0))),0)</f>
        <v/>
      </c>
      <c r="R2445">
        <f>IF(AND(Inputs!$B$39&lt;&gt;"pvp",Inputs!$B$44&gt;0),IF(Inputs!$B$44&lt;=0,0,(INT(Inputs!$B$44/IF(Inputs!$B$39="pvp",15,MAX(0.1,Skills!D20-IF(TRUE=TRUE,Inputs!$B$33,0))))+1)),0)</f>
        <v/>
      </c>
      <c r="S2445">
        <f>IFERROR(O2445/N2445,0)</f>
        <v/>
      </c>
      <c r="T2445" t="n">
        <v>0</v>
      </c>
      <c r="V2445" t="n">
        <v>0</v>
      </c>
    </row>
    <row r="2446">
      <c r="A2446">
        <f>Skills!A21</f>
        <v/>
      </c>
      <c r="B2446">
        <f>Skills!B21</f>
        <v/>
      </c>
      <c r="C2446">
        <f>Inputs!$B$3&gt;=33</f>
        <v/>
      </c>
      <c r="D2446">
        <f>IF(Skills!C21=1,60+Inputs!$B$26+Inputs!$B$30,IF(Skills!C21=2,90+Inputs!$B$27+Inputs!$B$30,IF(Skills!C21=3,120+Inputs!$B$28+Inputs!$B$30,MAX(0,(Inputs!$B$3-100)*3)+Inputs!$B$29+Inputs!$B$30)))</f>
        <v/>
      </c>
      <c r="E2446">
        <f>INDEX(FactorTable!$B$2:$Y$301, MATCH(ROUND(MIN(300,MAX(1,D2446)),0), FactorTable!$A$2:$A$301,0), Skills!M21+1)</f>
        <v/>
      </c>
      <c r="F2446">
        <f>IF(Skills!N21=TRUE,(Skills!L21/10)*(E2446/1000),Skills!L21/10)+Skills!O21</f>
        <v/>
      </c>
      <c r="G2446">
        <f>Skills!G21*IF(Skills!H21&gt;0,INT(IF(Inputs!$B$39="pvp",MIN(Skills!I21,15),Skills!I21)/Skills!H21+0.000000001),1)</f>
        <v/>
      </c>
      <c r="H2446">
        <f>1-(1-Skills!J21/100)^Skills!K21</f>
        <v/>
      </c>
      <c r="I2446" t="inlineStr">
        <is>
          <t>1</t>
        </is>
      </c>
      <c r="J2446" t="inlineStr"/>
      <c r="K2446" t="inlineStr"/>
      <c r="L2446" t="inlineStr"/>
      <c r="M2446" t="inlineStr"/>
      <c r="N2446" t="inlineStr"/>
      <c r="O2446">
        <f>(1-Summary!$B$11)*T2446+Summary!$B$11*V2446</f>
        <v/>
      </c>
      <c r="P2446">
        <f>IF(B2464=0,0,O2446/B2464)</f>
        <v/>
      </c>
      <c r="Q2446" t="n">
        <v>0</v>
      </c>
      <c r="R2446" t="n">
        <v>0</v>
      </c>
      <c r="S2446">
        <f>IFERROR(O2446/N2446,0)</f>
        <v/>
      </c>
      <c r="T2446" t="n">
        <v>0</v>
      </c>
      <c r="V2446" t="n">
        <v>0</v>
      </c>
    </row>
    <row r="2447">
      <c r="A2447">
        <f>Skills!A22</f>
        <v/>
      </c>
      <c r="B2447">
        <f>Skills!B22</f>
        <v/>
      </c>
      <c r="C2447">
        <f>Inputs!$B$3&gt;=43</f>
        <v/>
      </c>
      <c r="D2447">
        <f>IF(Skills!C22=1,60+Inputs!$B$26+Inputs!$B$30,IF(Skills!C22=2,90+Inputs!$B$27+Inputs!$B$30,IF(Skills!C22=3,120+Inputs!$B$28+Inputs!$B$30,MAX(0,(Inputs!$B$3-100)*3)+Inputs!$B$29+Inputs!$B$30)))</f>
        <v/>
      </c>
      <c r="E2447">
        <f>INDEX(FactorTable!$B$2:$Y$301, MATCH(ROUND(MIN(300,MAX(1,D2447)),0), FactorTable!$A$2:$A$301,0), Skills!M22+1)</f>
        <v/>
      </c>
      <c r="F2447">
        <f>IF(Skills!N22=TRUE,(Skills!L22/10)*(E2447/1000),Skills!L22/10)+Skills!O22</f>
        <v/>
      </c>
      <c r="G2447">
        <f>Skills!G22*IF(Skills!H22&gt;0,INT(IF(Inputs!$B$39="pvp",MIN(Skills!I22,15),Skills!I22)/Skills!H22+0.000000001),1)</f>
        <v/>
      </c>
      <c r="H2447">
        <f>1-(1-Skills!J22/100)^Skills!K22</f>
        <v/>
      </c>
      <c r="I2447" t="inlineStr">
        <is>
          <t>1</t>
        </is>
      </c>
      <c r="J2447" t="inlineStr"/>
      <c r="K2447" t="inlineStr"/>
      <c r="L2447" t="inlineStr"/>
      <c r="M2447" t="inlineStr"/>
      <c r="N2447" t="inlineStr"/>
      <c r="O2447">
        <f>(1-Summary!$B$11)*T2447+Summary!$B$11*V2447</f>
        <v/>
      </c>
      <c r="P2447">
        <f>IF(B2464=0,0,O2447/B2464)</f>
        <v/>
      </c>
      <c r="Q2447" t="n">
        <v>0</v>
      </c>
      <c r="R2447" t="n">
        <v>0</v>
      </c>
      <c r="S2447">
        <f>IFERROR(O2447/N2447,0)</f>
        <v/>
      </c>
      <c r="T2447" t="n">
        <v>0</v>
      </c>
      <c r="V2447" t="n">
        <v>0</v>
      </c>
    </row>
    <row r="2448">
      <c r="A2448">
        <f>Skills!A23</f>
        <v/>
      </c>
      <c r="B2448">
        <f>Skills!B23</f>
        <v/>
      </c>
      <c r="C2448">
        <f>Inputs!$B$3&gt;=120</f>
        <v/>
      </c>
      <c r="D2448">
        <f>IF(Skills!C23=1,60+Inputs!$B$26+Inputs!$B$30,IF(Skills!C23=2,90+Inputs!$B$27+Inputs!$B$30,IF(Skills!C23=3,120+Inputs!$B$28+Inputs!$B$30,MAX(0,(Inputs!$B$3-100)*3)+Inputs!$B$29+Inputs!$B$30)))</f>
        <v/>
      </c>
      <c r="E2448">
        <f>INDEX(FactorTable!$B$2:$Y$301, MATCH(ROUND(MIN(300,MAX(1,D2448)),0), FactorTable!$A$2:$A$301,0), Skills!M23+1)</f>
        <v/>
      </c>
      <c r="F2448">
        <f>IF(Skills!N23=TRUE,(Skills!L23/10)*(E2448/1000),Skills!L23/10)+Skills!O23</f>
        <v/>
      </c>
      <c r="G2448">
        <f>Skills!G23*IF(Skills!H23&gt;0,INT(IF(Inputs!$B$39="pvp",MIN(Skills!I23,15),Skills!I23)/Skills!H23+0.000000001),1)</f>
        <v/>
      </c>
      <c r="H2448">
        <f>1-(1-Skills!J23/100)^Skills!K23</f>
        <v/>
      </c>
      <c r="I2448" t="inlineStr">
        <is>
          <t>1</t>
        </is>
      </c>
      <c r="J2448" t="inlineStr"/>
      <c r="K2448" t="inlineStr"/>
      <c r="L2448" t="inlineStr"/>
      <c r="M2448" t="inlineStr"/>
      <c r="N2448" t="inlineStr"/>
      <c r="O2448">
        <f>(1-Summary!$B$11)*T2448+Summary!$B$11*V2448</f>
        <v/>
      </c>
      <c r="P2448">
        <f>IF(B2464=0,0,O2448/B2464)</f>
        <v/>
      </c>
      <c r="Q2448" t="n">
        <v>0</v>
      </c>
      <c r="R2448" t="n">
        <v>0</v>
      </c>
      <c r="S2448">
        <f>IFERROR(O2448/N2448,0)</f>
        <v/>
      </c>
      <c r="T2448" t="n">
        <v>0</v>
      </c>
      <c r="V2448" t="n">
        <v>0</v>
      </c>
    </row>
    <row r="2449">
      <c r="A2449">
        <f>Skills!A24</f>
        <v/>
      </c>
      <c r="B2449">
        <f>Skills!B24</f>
        <v/>
      </c>
      <c r="C2449">
        <f>Inputs!$B$3&gt;=120</f>
        <v/>
      </c>
      <c r="D2449">
        <f>IF(Skills!C24=1,60+Inputs!$B$26+Inputs!$B$30,IF(Skills!C24=2,90+Inputs!$B$27+Inputs!$B$30,IF(Skills!C24=3,120+Inputs!$B$28+Inputs!$B$30,MAX(0,(Inputs!$B$3-100)*3)+Inputs!$B$29+Inputs!$B$30)))</f>
        <v/>
      </c>
      <c r="E2449">
        <f>INDEX(FactorTable!$B$2:$Y$301, MATCH(ROUND(MIN(300,MAX(1,D2449)),0), FactorTable!$A$2:$A$301,0), Skills!M24+1)</f>
        <v/>
      </c>
      <c r="F2449">
        <f>IF(Skills!N24=TRUE,(Skills!L24/10)*(E2449/1000),Skills!L24/10)+Skills!O24</f>
        <v/>
      </c>
      <c r="G2449">
        <f>Skills!G24*IF(Skills!H24&gt;0,INT(IF(Inputs!$B$39="pvp",MIN(Skills!I24,15),Skills!I24)/Skills!H24+0.000000001),1)</f>
        <v/>
      </c>
      <c r="H2449">
        <f>1-(1-Skills!J24/100)^Skills!K24</f>
        <v/>
      </c>
      <c r="I2449" t="inlineStr">
        <is>
          <t>1</t>
        </is>
      </c>
      <c r="J2449" t="inlineStr"/>
      <c r="K2449" t="inlineStr"/>
      <c r="L2449" t="inlineStr"/>
      <c r="M2449" t="inlineStr"/>
      <c r="N2449" t="inlineStr"/>
      <c r="O2449">
        <f>(1-Summary!$B$11)*T2449+Summary!$B$11*V2449</f>
        <v/>
      </c>
      <c r="P2449">
        <f>IF(B2464=0,0,O2449/B2464)</f>
        <v/>
      </c>
      <c r="Q2449" t="n">
        <v>0</v>
      </c>
      <c r="R2449" t="n">
        <v>0</v>
      </c>
      <c r="S2449">
        <f>IFERROR(O2449/N2449,0)</f>
        <v/>
      </c>
      <c r="T2449" t="n">
        <v>0</v>
      </c>
      <c r="V2449" t="n">
        <v>0</v>
      </c>
    </row>
    <row r="2450">
      <c r="A2450">
        <f>Skills!A25</f>
        <v/>
      </c>
      <c r="B2450">
        <f>Skills!B25</f>
        <v/>
      </c>
      <c r="C2450">
        <f>Inputs!$B$3&gt;=125</f>
        <v/>
      </c>
      <c r="D2450">
        <f>IF(Skills!C25=1,60+Inputs!$B$26+Inputs!$B$30,IF(Skills!C25=2,90+Inputs!$B$27+Inputs!$B$30,IF(Skills!C25=3,120+Inputs!$B$28+Inputs!$B$30,MAX(0,(Inputs!$B$3-100)*3)+Inputs!$B$29+Inputs!$B$30)))</f>
        <v/>
      </c>
      <c r="E2450">
        <f>INDEX(FactorTable!$B$2:$Y$301, MATCH(ROUND(MIN(300,MAX(1,D2450)),0), FactorTable!$A$2:$A$301,0), Skills!M25+1)</f>
        <v/>
      </c>
      <c r="F2450">
        <f>IF(Skills!N25=TRUE,(Skills!L25/10)*(E2450/1000),Skills!L25/10)+Skills!O25</f>
        <v/>
      </c>
      <c r="G2450">
        <f>Skills!G25*IF(Skills!H25&gt;0,INT(IF(Inputs!$B$39="pvp",MIN(Skills!I25,15),Skills!I25)/Skills!H25+0.000000001),1)</f>
        <v/>
      </c>
      <c r="H2450">
        <f>1-(1-Skills!J25/100)^Skills!K25</f>
        <v/>
      </c>
      <c r="I2450" t="inlineStr">
        <is>
          <t>1</t>
        </is>
      </c>
      <c r="J2450" t="inlineStr"/>
      <c r="K2450" t="inlineStr"/>
      <c r="L2450" t="inlineStr"/>
      <c r="M2450" t="inlineStr"/>
      <c r="N2450" t="inlineStr"/>
      <c r="O2450">
        <f>(1-Summary!$B$11)*T2450+Summary!$B$11*V2450</f>
        <v/>
      </c>
      <c r="P2450">
        <f>IF(B2464=0,0,O2450/B2464)</f>
        <v/>
      </c>
      <c r="Q2450" t="n">
        <v>0</v>
      </c>
      <c r="R2450" t="n">
        <v>0</v>
      </c>
      <c r="S2450">
        <f>IFERROR(O2450/N2450,0)</f>
        <v/>
      </c>
      <c r="T2450" t="n">
        <v>0</v>
      </c>
      <c r="V2450" t="n">
        <v>0</v>
      </c>
    </row>
    <row r="2451">
      <c r="A2451">
        <f>Skills!A26</f>
        <v/>
      </c>
      <c r="B2451">
        <f>Skills!B26</f>
        <v/>
      </c>
      <c r="C2451">
        <f>Inputs!$B$3&gt;=107</f>
        <v/>
      </c>
      <c r="D2451">
        <f>IF(Skills!C26=1,60+Inputs!$B$26+Inputs!$B$30,IF(Skills!C26=2,90+Inputs!$B$27+Inputs!$B$30,IF(Skills!C26=3,120+Inputs!$B$28+Inputs!$B$30,MAX(0,(Inputs!$B$3-100)*3)+Inputs!$B$29+Inputs!$B$30)))</f>
        <v/>
      </c>
      <c r="E2451">
        <f>INDEX(FactorTable!$B$2:$Y$301, MATCH(ROUND(MIN(300,MAX(1,D2451)),0), FactorTable!$A$2:$A$301,0), Skills!M26+1)</f>
        <v/>
      </c>
      <c r="F2451">
        <f>IF(Skills!N26=TRUE,(Skills!L26/10)*(E2451/1000),Skills!L26/10)+Skills!O26</f>
        <v/>
      </c>
      <c r="G2451">
        <f>Skills!G26*IF(Skills!H26&gt;0,INT(IF(Inputs!$B$39="pvp",MIN(Skills!I26,15),Skills!I26)/Skills!H26+0.000000001),1)</f>
        <v/>
      </c>
      <c r="H2451">
        <f>1-(1-Skills!J26/100)^Skills!K26</f>
        <v/>
      </c>
      <c r="I2451" t="inlineStr">
        <is>
          <t>1</t>
        </is>
      </c>
      <c r="J2451" t="inlineStr"/>
      <c r="K2451" t="inlineStr"/>
      <c r="L2451" t="inlineStr"/>
      <c r="M2451" t="inlineStr"/>
      <c r="N2451" t="inlineStr"/>
      <c r="O2451">
        <f>(1-Summary!$B$11)*T2451+Summary!$B$11*V2451</f>
        <v/>
      </c>
      <c r="P2451">
        <f>IF(B2464=0,0,O2451/B2464)</f>
        <v/>
      </c>
      <c r="Q2451" t="n">
        <v>0</v>
      </c>
      <c r="R2451" t="n">
        <v>0</v>
      </c>
      <c r="S2451">
        <f>IFERROR(O2451/N2451,0)</f>
        <v/>
      </c>
      <c r="T2451" t="n">
        <v>0</v>
      </c>
      <c r="V2451" t="n">
        <v>0</v>
      </c>
    </row>
    <row r="2453">
      <c r="A2453" t="inlineStr">
        <is>
          <t>Attack% Bucket Multiplier</t>
        </is>
      </c>
      <c r="B2453">
        <f>(1+(((C2438=TRUE)*F2438*IF(AND(Inputs!$B$39&lt;&gt;"pvp",Inputs!$B$44&gt;0),(((R2438-1)*MIN((Skills!T13*(1+Inputs!$B$35/100)),(1/Q2438))+MIN((Skills!T13*(1+Inputs!$B$35/100)),MAX(0,Inputs!$B$44-((R2438-1)*(1/Q2438)))))/Inputs!$B$44),IF(Inputs!$B$39="pvp",MIN((Skills!T13*(1+Inputs!$B$35/100)),15)/15,MIN(1,(Skills!T13*(1+Inputs!$B$35/100))/(1/Q2438)))))+((C2439=TRUE)*F2439*IF(AND(Inputs!$B$39&lt;&gt;"pvp",Inputs!$B$44&gt;0),(((R2439-1)*MIN((Skills!T14*(1+Inputs!$B$35/100)),(1/Q2439))+MIN((Skills!T14*(1+Inputs!$B$35/100)),MAX(0,Inputs!$B$44-((R2439-1)*(1/Q2439)))))/Inputs!$B$44),IF(Inputs!$B$39="pvp",MIN((Skills!T14*(1+Inputs!$B$35/100)),15)/15,MIN(1,(Skills!T14*(1+Inputs!$B$35/100))/(1/Q2439)))))+((C2440=TRUE)*F2440*IF(AND(Inputs!$B$39&lt;&gt;"pvp",Inputs!$B$44&gt;0),(((R2440-1)*MIN((Skills!T15*(1+Inputs!$B$35/100)),(1/Q2440))+MIN((Skills!T15*(1+Inputs!$B$35/100)),MAX(0,Inputs!$B$44-((R2440-1)*(1/Q2440)))))/Inputs!$B$44),IF(Inputs!$B$39="pvp",MIN((Skills!T15*(1+Inputs!$B$35/100)),15)/15,MIN(1,(Skills!T15*(1+Inputs!$B$35/100))/(1/Q2440)))))+((C2441=TRUE)*F2441*IF(AND(Inputs!$B$39&lt;&gt;"pvp",Inputs!$B$44&gt;0),(((R2441-1)*MIN((Skills!T16*(1+Inputs!$B$35/100)),(1/Q2441))+MIN((Skills!T16*(1+Inputs!$B$35/100)),MAX(0,Inputs!$B$44-((R2441-1)*(1/Q2441)))))/Inputs!$B$44),IF(Inputs!$B$39="pvp",MIN((Skills!T16*(1+Inputs!$B$35/100)),15)/15,MIN(1,(Skills!T16*(1+Inputs!$B$35/100))/(1/Q2441)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2454">
      <c r="A2454" t="inlineStr">
        <is>
          <t>Global Crit Rate Bonus % (Lord of Darkness)</t>
        </is>
      </c>
      <c r="B2454">
        <f>((C2443=TRUE)*F2443*(Skills!J18/100)*IF(AND(Inputs!$B$39&lt;&gt;"pvp",Inputs!$B$44&gt;0),(((R2443-1)*MIN((Skills!T18*(1+Inputs!$B$35/100)),(1/Q2443))+MIN((Skills!T18*(1+Inputs!$B$35/100)),MAX(0,Inputs!$B$44-((R2443-1)*(1/Q2443)))))/Inputs!$B$44),IF(Inputs!$B$39="pvp",MIN((Skills!T18*(1+Inputs!$B$35/100)),15)/15,MIN(1,(Skills!T18*(1+Inputs!$B$35/100))/(1/Q2443)))))</f>
        <v/>
      </c>
    </row>
    <row r="2455">
      <c r="A2455" t="inlineStr">
        <is>
          <t>Attack Speed Buff Bonus %</t>
        </is>
      </c>
      <c r="B2455">
        <f>((C2445=TRUE)*F2445*IF(AND(Inputs!$B$39&lt;&gt;"pvp",Inputs!$B$44&gt;0),(((R2445-1)*MIN((Skills!T20*(1+Inputs!$B$35/100)),(1/Q2445))+MIN((Skills!T20*(1+Inputs!$B$35/100)),MAX(0,Inputs!$B$44-((R2445-1)*(1/Q2445)))))/Inputs!$B$44),IF(Inputs!$B$39="pvp",MIN((Skills!T20*(1+Inputs!$B$35/100)),15)/15,MIN(1,(Skills!T20*(1+Inputs!$B$35/100))/(1/Q2445)))))</f>
        <v/>
      </c>
    </row>
    <row r="2456">
      <c r="A2456" t="inlineStr">
        <is>
          <t>Actions Per Second</t>
        </is>
      </c>
      <c r="B2456">
        <f>1+MIN(150,150*(1-(1-(Inputs!$B$12+((C2446=TRUE)*(F2446-Calc!F21)))/150)*(1-B2455/150)))/100</f>
        <v/>
      </c>
    </row>
    <row r="2457">
      <c r="A2457" t="inlineStr">
        <is>
          <t>Skill + Buff Cast Rate</t>
        </is>
      </c>
      <c r="B2457">
        <f>IF(AND(Inputs!$B$39&lt;&gt;"pvp",Inputs!$B$44&gt;0),SUMPRODUCT((Skills!E2:E26=TRUE)*(C2427:C2451=TRUE)*R2427:R2451*Skills!F2:F26)/Inputs!$B$44,SUMPRODUCT((Skills!E2:E26=TRUE)*(C2427:C2451=TRUE)*Q2427:Q2451*Skills!F2:F26))</f>
        <v/>
      </c>
    </row>
    <row r="2458">
      <c r="A2458" t="inlineStr">
        <is>
          <t>Dark Impale Casts Per Second</t>
        </is>
      </c>
      <c r="B2458">
        <f>MAX(0,B2456-B2457)</f>
        <v/>
      </c>
    </row>
    <row r="2459">
      <c r="A2459" t="inlineStr">
        <is>
          <t>Global Critical Damage Bonus % (Lord of Darkness)</t>
        </is>
      </c>
      <c r="B2459">
        <f>((C2444=TRUE)*F2444*(Skills!J19/100)*IF(AND(Inputs!$B$39&lt;&gt;"pvp",Inputs!$B$44&gt;0),(((R2444-1)*MIN((Skills!T19*(1+Inputs!$B$35/100)),(1/Q2444))+MIN((Skills!T19*(1+Inputs!$B$35/100)),MAX(0,Inputs!$B$44-((R2444-1)*(1/Q2444)))))/Inputs!$B$44),IF(Inputs!$B$39="pvp",MIN((Skills!T19*(1+Inputs!$B$35/100)),15)/15,MIN(1,(Skills!T19*(1+Inputs!$B$35/100))/(1/Q2444)))))</f>
        <v/>
      </c>
    </row>
    <row r="2460">
      <c r="A2460" t="inlineStr">
        <is>
          <t>Global Final Damage Bonus % (unused)</t>
        </is>
      </c>
      <c r="B2460" t="n">
        <v>0</v>
      </c>
    </row>
    <row r="2461">
      <c r="A2461" t="inlineStr">
        <is>
          <t>Buff-Casting Startup Delay (s, fixed-duration only)</t>
        </is>
      </c>
      <c r="B2461">
        <f>IF(AND(Inputs!$B$39&lt;&gt;"pvp",Inputs!$B$44&gt;0),SUMPRODUCT((Skills!T2:T26&gt;0)*(Skills!E2:E26=TRUE)*(C2427:C2451=TRUE))/B2456,0)</f>
        <v/>
      </c>
    </row>
    <row r="2462">
      <c r="A2462" t="inlineStr">
        <is>
          <t>Boss-Only Total DPS (this block's swept value)</t>
        </is>
      </c>
      <c r="B2462">
        <f>SUM(T2427:T2451)</f>
        <v/>
      </c>
    </row>
    <row r="2463">
      <c r="A2463" t="inlineStr">
        <is>
          <t>Normal-Only Total DPS (this block's swept value)</t>
        </is>
      </c>
      <c r="B2463">
        <f>SUM(V2427:V2451)</f>
        <v/>
      </c>
    </row>
    <row r="2464">
      <c r="A2464" s="6" t="inlineStr">
        <is>
          <t>TOTAL DPS</t>
        </is>
      </c>
      <c r="B2464" s="6">
        <f>SUM(O2427:O2451)</f>
        <v/>
      </c>
    </row>
    <row r="2467">
      <c r="A2467" s="6" t="inlineStr">
        <is>
          <t>Stat: Candle (Equip)</t>
        </is>
      </c>
    </row>
    <row r="2468">
      <c r="A2468" s="5" t="inlineStr">
        <is>
          <t>Key</t>
        </is>
      </c>
      <c r="B2468" s="5" t="inlineStr">
        <is>
          <t>Name</t>
        </is>
      </c>
      <c r="C2468" s="5" t="inlineStr">
        <is>
          <t>Unlocked</t>
        </is>
      </c>
      <c r="D2468" s="5" t="inlineStr">
        <is>
          <t>InputLevel</t>
        </is>
      </c>
      <c r="E2468" s="5" t="inlineStr">
        <is>
          <t>Factor</t>
        </is>
      </c>
      <c r="F2468" s="5" t="inlineStr">
        <is>
          <t>CoefficientPercent</t>
        </is>
      </c>
      <c r="G2468" s="5" t="inlineStr">
        <is>
          <t>EffectiveHits</t>
        </is>
      </c>
      <c r="H2468" s="5" t="inlineStr">
        <is>
          <t>ProcProbability</t>
        </is>
      </c>
      <c r="I2468" s="5" t="inlineStr">
        <is>
          <t>MapleHeroMultiplier</t>
        </is>
      </c>
      <c r="J2468" s="5" t="inlineStr">
        <is>
          <t>BaseDamage</t>
        </is>
      </c>
      <c r="K2468" s="5" t="inlineStr">
        <is>
          <t>BaseHitDamage</t>
        </is>
      </c>
      <c r="L2468" s="5" t="inlineStr">
        <is>
          <t>NonCritAvg</t>
        </is>
      </c>
      <c r="M2468" s="5" t="inlineStr">
        <is>
          <t>CritAvg</t>
        </is>
      </c>
      <c r="N2468" s="5" t="inlineStr">
        <is>
          <t>ExpectedDamage(perHit)</t>
        </is>
      </c>
      <c r="O2468" s="5" t="inlineStr">
        <is>
          <t>DPS</t>
        </is>
      </c>
      <c r="P2468" s="5" t="inlineStr">
        <is>
          <t>% of Total</t>
        </is>
      </c>
      <c r="Q2468" s="5" t="inlineStr">
        <is>
          <t>InvCooldown</t>
        </is>
      </c>
      <c r="R2468" s="5" t="inlineStr">
        <is>
          <t>CastsInFight</t>
        </is>
      </c>
      <c r="S2468" s="5" t="inlineStr">
        <is>
          <t>HitRate(perSec)</t>
        </is>
      </c>
      <c r="U2468" t="inlineStr">
        <is>
          <t>helpers</t>
        </is>
      </c>
    </row>
    <row r="2469">
      <c r="A2469">
        <f>Skills!A2</f>
        <v/>
      </c>
      <c r="B2469">
        <f>Skills!B2</f>
        <v/>
      </c>
      <c r="C2469">
        <f>Inputs!$B$3&gt;=100</f>
        <v/>
      </c>
      <c r="D2469" t="inlineStr"/>
      <c r="E2469" t="inlineStr"/>
      <c r="F2469">
        <f>U2471+Skills!O2</f>
        <v/>
      </c>
      <c r="G2469">
        <f>Skills!G2*IF(Skills!H2&gt;0,INT(IF(Inputs!$B$39="pvp",MIN(Skills!I2,15),Skills!I2)/Skills!H2+0.000000001),1)</f>
        <v/>
      </c>
      <c r="H2469">
        <f>1-(1-Skills!J2/100)^Skills!K2</f>
        <v/>
      </c>
      <c r="I2469" t="inlineStr">
        <is>
          <t>1</t>
        </is>
      </c>
      <c r="J2469">
        <f>((Inputs!$B$6*(1+Inputs!$B$7/100))+(((Inputs!$B$13*(1+Inputs!$B$14/100))-(Inputs!$B$13*(1+Inputs!$B$14/100)))+0.25*(Inputs!$B$15-Inputs!$B$15))*(1+Inputs!$B$7/100))*(F2469/100)</f>
        <v/>
      </c>
      <c r="K2469">
        <f>J2469*(1+(((Inputs!$B$13+IF(Inputs!$B$3&gt;=38,(10*INDEX(FactorTable!$B$2:$Y$301, MATCH(ROUND(MIN(300,MAX(1,Inputs!$B$3)),0), FactorTable!$A$2:$A$301,0), 23)/1000)/100*(Inputs!$B$8*(1+Inputs!$B$9/100)),0))*(1+Inputs!$B$14/100))*0.01+Inputs!$B$15*0.0025)/100)*(1+Inputs!$B$16/100)*(1+Inputs!$B$17/100)*(5000/(6000+Inputs!$B$43*(1-(Inputs!$B$20+0)/100)))*(1+(Inputs!$B$25+((C2492=TRUE)*(F2492-Calc!F25))+((C2493=TRUE)*(F2493-Calc!F26))+B2502)/100)*(1+(((1+IF(AND(IF(ArtifactsInput!$M$36,FALSE,TRUE),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gt;=100),MIN(100,((Inputs!$B$10+0+B2496+(ArtifactsInput!$M$24-ArtifactsInput!$M$24)*CHOOSE(ArtifactsInput!$N$24+1,10,12,14,16,18,20)+IF(ArtifactsInput!$M$10,CHOOSE(ArtifactsInput!$N$10+1,15,18,21,24,27,30)*(IF(Inputs!$B$39="pvp",MIN(15,15)/15,IF(AND(Inputs!$B$39&lt;&gt;"pvp",Inputs!$B$44&gt;0),MIN(15,Inputs!$B$44)/(Inputs!$B$44),0))),0)))-100),0))*CHOOSE(ArtifactsInput!$N$42+1,0.6,0.72,0.84,0.96,1.08,1.2))),Inputs!$B$19+((C2490=TRUE)*(F2490-Calc!F23))+(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gt;=100),CHOOSE(ArtifactsInput!$N$42+1,40,48,56,64,72,80),0))))/100)*((1+(((C2480=TRUE)*F2480*IF(AND(Inputs!$B$39&lt;&gt;"pvp",Inputs!$B$44&gt;0),(((R2480-1)*MIN((Skills!T13*(1+Inputs!$B$35/100)),(1/Q2480))+MIN((Skills!T13*(1+Inputs!$B$35/100)),MAX(0,Inputs!$B$44-((R2480-1)*(1/Q2480)))))/Inputs!$B$44),IF(Inputs!$B$39="pvp",MIN((Skills!T13*(1+Inputs!$B$35/100)),15)/15,MIN(1,(Skills!T13*(1+Inputs!$B$35/100))/(1/Q2480)))))+((C2481=TRUE)*F2481*IF(AND(Inputs!$B$39&lt;&gt;"pvp",Inputs!$B$44&gt;0),(((R2481-1)*MIN((Skills!T14*(1+Inputs!$B$35/100)),(1/Q2481))+MIN((Skills!T14*(1+Inputs!$B$35/100)),MAX(0,Inputs!$B$44-((R2481-1)*(1/Q2481)))))/Inputs!$B$44),IF(Inputs!$B$39="pvp",MIN((Skills!T14*(1+Inputs!$B$35/100)),15)/15,MIN(1,(Skills!T14*(1+Inputs!$B$35/100))/(1/Q2481)))))+((C2482=TRUE)*F2482*IF(AND(Inputs!$B$39&lt;&gt;"pvp",Inputs!$B$44&gt;0),(((R2482-1)*MIN((Skills!T15*(1+Inputs!$B$35/100)),(1/Q2482))+MIN((Skills!T15*(1+Inputs!$B$35/100)),MAX(0,Inputs!$B$44-((R2482-1)*(1/Q2482)))))/Inputs!$B$44),IF(Inputs!$B$39="pvp",MIN((Skills!T15*(1+Inputs!$B$35/100)),15)/15,MIN(1,(Skills!T15*(1+Inputs!$B$35/100))/(1/Q2482)))))+((C2483=TRUE)*F2483*IF(AND(Inputs!$B$39&lt;&gt;"pvp",Inputs!$B$44&gt;0),(((R2483-1)*MIN((Skills!T16*(1+Inputs!$B$35/100)),(1/Q2483))+MIN((Skills!T16*(1+Inputs!$B$35/100)),MAX(0,Inputs!$B$44-((R2483-1)*(1/Q2483)))))/Inputs!$B$44),IF(Inputs!$B$39="pvp",MIN((Skills!T16*(1+Inputs!$B$35/100)),15)/15,MIN(1,(Skills!T16*(1+Inputs!$B$35/100))/(1/Q2483)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2469)</f>
        <v/>
      </c>
      <c r="L2469">
        <f>K2469*(MIN(Inputs!$B$23+((C2489=TRUE)*(F2489-Calc!F22)),(Inputs!$B$24+((C2491=TRUE)*(F2491-Calc!F24))+(IF(ArtifactsInput!$M$15,CHOOSE(ArtifactsInput!$N$15+1,25,30,35,40,45,50)/100*(Inputs!$B$12-Inputs!$B$12),0))))/100+(Inputs!$B$24+((C2491=TRUE)*(F2491-Calc!F24))+(IF(ArtifactsInput!$M$15,CHOOSE(ArtifactsInput!$N$15+1,25,30,35,40,45,50)/100*(Inputs!$B$12-Inputs!$B$12),0)))/100)/2</f>
        <v/>
      </c>
      <c r="M2469">
        <f>L2469*(1+(Inputs!$B$11+0+B2501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469">
        <f>L2469*(1-MIN((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2469*(MIN((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69">
        <f>(1-Summary!$B$11)*T2469+Summary!$B$11*V2469</f>
        <v/>
      </c>
      <c r="P2469">
        <f>IF(B2506=0,0,O2469/B2506)</f>
        <v/>
      </c>
      <c r="Q2469" t="n">
        <v>0</v>
      </c>
      <c r="R2469" t="n">
        <v>0</v>
      </c>
      <c r="S2469">
        <f>IFERROR(O2469/N2469,0)</f>
        <v/>
      </c>
      <c r="T2469">
        <f>IF(C2469,(Skills!G2*N2469*B2500)*IF(Inputs!$B$39="pvp",1,1+(Inputs!$B$21+0+Skills!P2+((C2484=TRUE)*F2484*IF(AND(Inputs!$B$39&lt;&gt;"pvp",Inputs!$B$44&gt;0),(((R2484-1)*MIN((Skills!T17*(1+Inputs!$B$35/100)),(1/Q2484))+MIN((Skills!T17*(1+Inputs!$B$35/100)),MAX(0,Inputs!$B$44-((R2484-1)*(1/Q2484)))))/Inputs!$B$44),IF(Inputs!$B$39="pvp",MIN((Skills!T17*(1+Inputs!$B$35/100)),15)/15,MIN(1,(Skills!T17*(1+Inputs!$B$35/100))/(1/Q2484)))))+((C2472=TRUE)*IF(Inputs!$B$3&gt;=126,10*MIN(1,15*Q2472),0))+((C2481=TRUE)*IF(Inputs!$B$39="pvp",20,(1-Summary!$B$11)*(20)+Summary!$B$11*(0))*IF(AND(Inputs!$B$39&lt;&gt;"pvp",Inputs!$B$44&gt;0),(((R2481-1)*MIN((Skills!T14*(1+Inputs!$B$35/100)),(1/Q2481))+MIN((Skills!T14*(1+Inputs!$B$35/100)),MAX(0,Inputs!$B$44-((R2481-1)*(1/Q2481)))))/Inputs!$B$44),IF(Inputs!$B$39="pvp",MIN((Skills!T14*(1+Inputs!$B$35/100)),15)/15,MIN(1,(Skills!T14*(1+Inputs!$B$35/100))/(1/Q2481)))))+((C2480=TRUE)*IF(Inputs!$B$3&gt;=82,IF(Inputs!$B$39="pvp",20,(1-Summary!$B$11)*(20)+Summary!$B$11*(0)),0)*IF(AND(Inputs!$B$39&lt;&gt;"pvp",Inputs!$B$44&gt;0),(((R2480-1)*MIN((Skills!T13*(1+Inputs!$B$35/100)),(1/Q2480))+MIN((Skills!T13*(1+Inputs!$B$35/100)),MAX(0,Inputs!$B$44-((R2480-1)*(1/Q2480)))))/Inputs!$B$44),IF(Inputs!$B$39="pvp",MIN((Skills!T13*(1+Inputs!$B$35/100)),15)/15,MIN(1,(Skills!T13*(1+Inputs!$B$35/100))/(1/Q2480)))))+(IF(AND(ArtifactsInput!$M$35,Inputs!$B$4&lt;&gt;"Chapter Hunt"),CHOOSE(ArtifactsInput!$N$35+1,15,18,21,24,27,30)*(1-EXP(-(0.2*B2498)*5)),0)+IF(AND(ArtifactsInput!$M$22,Inputs!$B$4&lt;&gt;"Chapter Hunt"),CHOOSE(ArtifactsInput!$N$22+1,10,12,14,16,18,20)*((0*(((0.15*B2498*5))^0/1)+1*(((0.15*B2498*5))^1/1)+2*(((0.15*B2498*5))^2/2)+3*(((0.15*B2498*5))^3/6)+4*(((0.15*B2498*5))^4/24)+5*(((0.15*B2498*5))^5/120))/((((0.15*B2498*5))^0/1)+(((0.15*B2498*5))^1/1)+(((0.15*B2498*5))^2/2)+(((0.15*B2498*5))^3/6)+(((0.15*B2498*5))^4/24)+(((0.15*B2498*5))^5/120))),0))+(IF(AND(IF(ArtifactsInput!$M$36,FALSE,TRUE),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2469*(1-MIN(100,(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2469*(MIN(100,(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2469*(1-MIN(100,(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2469*(MIN(100,(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469">
        <f>MAX(0,(Inputs!$B$3-100)*3)+Inputs!$B$29+Inputs!$B$30</f>
        <v/>
      </c>
      <c r="V2469">
        <f>IF(C2469,(Skills!G2*N2469*B2500)*IF(Inputs!$B$39="pvp",1,(1+(Inputs!$B$22+Skills!Q2+((C2484=TRUE)*F2484*IF(AND(Inputs!$B$39&lt;&gt;"pvp",Inputs!$B$44&gt;0),(((R2484-1)*MIN((Skills!T17*(1+Inputs!$B$35/100)),(1/Q2484))+MIN((Skills!T17*(1+Inputs!$B$35/100)),MAX(0,Inputs!$B$44-((R2484-1)*(1/Q2484)))))/Inputs!$B$44),IF(Inputs!$B$39="pvp",MIN((Skills!T17*(1+Inputs!$B$35/100)),15)/15,MIN(1,(Skills!T17*(1+Inputs!$B$35/100))/(1/Q2484)))))+((C2472=TRUE)*IF(Inputs!$B$3&gt;=126,10*MIN(1,15*Q2472),0))+((C2481=TRUE)*IF(Inputs!$B$39="pvp",20,(1-Summary!$B$11)*(20)+Summary!$B$11*(0))*IF(AND(Inputs!$B$39&lt;&gt;"pvp",Inputs!$B$44&gt;0),(((R2481-1)*MIN((Skills!T14*(1+Inputs!$B$35/100)),(1/Q2481))+MIN((Skills!T14*(1+Inputs!$B$35/100)),MAX(0,Inputs!$B$44-((R2481-1)*(1/Q2481)))))/Inputs!$B$44),IF(Inputs!$B$39="pvp",MIN((Skills!T14*(1+Inputs!$B$35/100)),15)/15,MIN(1,(Skills!T14*(1+Inputs!$B$35/100))/(1/Q2481)))))+((C2480=TRUE)*IF(Inputs!$B$3&gt;=82,IF(Inputs!$B$39="pvp",20,(1-Summary!$B$11)*(20)+Summary!$B$11*(0)),0)*IF(AND(Inputs!$B$39&lt;&gt;"pvp",Inputs!$B$44&gt;0),(((R2480-1)*MIN((Skills!T13*(1+Inputs!$B$35/100)),(1/Q2480))+MIN((Skills!T13*(1+Inputs!$B$35/100)),MAX(0,Inputs!$B$44-((R2480-1)*(1/Q2480)))))/Inputs!$B$44),IF(Inputs!$B$39="pvp",MIN((Skills!T13*(1+Inputs!$B$35/100)),15)/15,MIN(1,(Skills!T13*(1+Inputs!$B$35/100))/(1/Q2480)))))+(IF(AND(ArtifactsInput!$M$35,Inputs!$B$4&lt;&gt;"Chapter Hunt"),CHOOSE(ArtifactsInput!$N$35+1,15,18,21,24,27,30)*(1-EXP(-(0.2*B2498)*5)),0)+IF(AND(ArtifactsInput!$M$22,Inputs!$B$4&lt;&gt;"Chapter Hunt"),CHOOSE(ArtifactsInput!$N$22+1,10,12,14,16,18,20)*((0*(((0.15*B2498*5))^0/1)+1*(((0.15*B2498*5))^1/1)+2*(((0.15*B2498*5))^2/2)+3*(((0.15*B2498*5))^3/6)+4*(((0.15*B2498*5))^4/24)+5*(((0.15*B2498*5))^5/120))/((((0.15*B2498*5))^0/1)+(((0.15*B2498*5))^1/1)+(((0.15*B2498*5))^2/2)+(((0.15*B2498*5))^3/6)+(((0.15*B2498*5))^4/24)+(((0.15*B2498*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70">
      <c r="A2470">
        <f>Skills!A3</f>
        <v/>
      </c>
      <c r="B2470">
        <f>Skills!B3</f>
        <v/>
      </c>
      <c r="C2470">
        <f>Inputs!$B$3&gt;=50</f>
        <v/>
      </c>
      <c r="D2470">
        <f>IF(Skills!C3=1,60+Inputs!$B$26+Inputs!$B$30,IF(Skills!C3=2,90+Inputs!$B$27+Inputs!$B$30,IF(Skills!C3=3,120+Inputs!$B$28+Inputs!$B$30,MAX(0,(Inputs!$B$3-100)*3)+Inputs!$B$29+Inputs!$B$30)))</f>
        <v/>
      </c>
      <c r="E2470">
        <f>INDEX(FactorTable!$B$2:$Y$301, MATCH(ROUND(MIN(300,MAX(1,D2470)),0), FactorTable!$A$2:$A$301,0), Skills!M3+1)</f>
        <v/>
      </c>
      <c r="F2470">
        <f>IF(Skills!N3=TRUE,(Skills!L3/10)*(E2470/1000),Skills!L3/10)+Skills!O3</f>
        <v/>
      </c>
      <c r="G2470" t="inlineStr"/>
      <c r="H2470" t="inlineStr"/>
      <c r="I2470" t="inlineStr">
        <is>
          <t>1</t>
        </is>
      </c>
      <c r="J2470" t="inlineStr"/>
      <c r="K2470" t="inlineStr"/>
      <c r="L2470" t="inlineStr"/>
      <c r="M2470" t="inlineStr"/>
      <c r="N2470" t="inlineStr"/>
      <c r="O2470" t="inlineStr"/>
      <c r="P2470" t="inlineStr"/>
      <c r="Q2470" t="inlineStr"/>
      <c r="R2470" t="inlineStr"/>
      <c r="S2470" t="inlineStr"/>
      <c r="U2470">
        <f>INDEX(FactorTable!$B$2:$Y$301, MATCH(ROUND(MIN(300,MAX(1,U2469)),0), FactorTable!$A$2:$A$301,0), 22)</f>
        <v/>
      </c>
    </row>
    <row r="2471">
      <c r="A2471">
        <f>Skills!A4</f>
        <v/>
      </c>
      <c r="B2471">
        <f>Skills!B4</f>
        <v/>
      </c>
      <c r="C2471">
        <f>Inputs!$B$3&gt;=105</f>
        <v/>
      </c>
      <c r="D2471">
        <f>IF(Skills!C4=1,60+Inputs!$B$26+Inputs!$B$30,IF(Skills!C4=2,90+Inputs!$B$27+Inputs!$B$30,IF(Skills!C4=3,120+Inputs!$B$28+Inputs!$B$30,MAX(0,(Inputs!$B$3-100)*3)+Inputs!$B$29+Inputs!$B$30)))</f>
        <v/>
      </c>
      <c r="E2471">
        <f>INDEX(FactorTable!$B$2:$Y$301, MATCH(ROUND(MIN(300,MAX(1,D2471)),0), FactorTable!$A$2:$A$301,0), Skills!M4+1)</f>
        <v/>
      </c>
      <c r="F2471">
        <f>IF(Skills!N4=TRUE,(Skills!L4/10)*(E2471/1000),Skills!L4/10)+Skills!O4</f>
        <v/>
      </c>
      <c r="G2471" t="inlineStr"/>
      <c r="H2471" t="inlineStr"/>
      <c r="I2471" t="inlineStr">
        <is>
          <t>1</t>
        </is>
      </c>
      <c r="J2471" t="inlineStr"/>
      <c r="K2471" t="inlineStr"/>
      <c r="L2471" t="inlineStr"/>
      <c r="M2471" t="inlineStr"/>
      <c r="N2471" t="inlineStr"/>
      <c r="O2471" t="inlineStr"/>
      <c r="P2471" t="inlineStr"/>
      <c r="Q2471" t="inlineStr"/>
      <c r="R2471" t="inlineStr"/>
      <c r="S2471" t="inlineStr"/>
      <c r="U2471">
        <f>290*U2470/1000</f>
        <v/>
      </c>
    </row>
    <row r="2472">
      <c r="A2472">
        <f>Skills!A5</f>
        <v/>
      </c>
      <c r="B2472">
        <f>Skills!B5</f>
        <v/>
      </c>
      <c r="C2472">
        <f>Inputs!$B$3&gt;=117</f>
        <v/>
      </c>
      <c r="D2472">
        <f>IF(Skills!C5=1,60+Inputs!$B$26+Inputs!$B$30,IF(Skills!C5=2,90+Inputs!$B$27+Inputs!$B$30,IF(Skills!C5=3,120+Inputs!$B$28+Inputs!$B$30,MAX(0,(Inputs!$B$3-100)*3)+Inputs!$B$29+Inputs!$B$30)))</f>
        <v/>
      </c>
      <c r="E2472">
        <f>INDEX(FactorTable!$B$2:$Y$301, MATCH(ROUND(MIN(300,MAX(1,D2472)),0), FactorTable!$A$2:$A$301,0), Skills!M5+1)</f>
        <v/>
      </c>
      <c r="F2472">
        <f>IF(Skills!N5=TRUE,(Skills!L5/10)*(E2472/1000),Skills!L5/10)+Skills!O5</f>
        <v/>
      </c>
      <c r="G2472">
        <f>Skills!G5*IF(Skills!H5&gt;0,INT(IF(Inputs!$B$39="pvp",MIN(Skills!I5,15),Skills!I5)/Skills!H5+0.000000001),1)</f>
        <v/>
      </c>
      <c r="H2472">
        <f>1-(1-Skills!J5/100)^Skills!K5</f>
        <v/>
      </c>
      <c r="I2472" t="inlineStr">
        <is>
          <t>1</t>
        </is>
      </c>
      <c r="J2472">
        <f>((Inputs!$B$6*(1+Inputs!$B$7/100))+(((Inputs!$B$13*(1+Inputs!$B$14/100))-(Inputs!$B$13*(1+Inputs!$B$14/100)))+0.25*(Inputs!$B$15-Inputs!$B$15))*(1+Inputs!$B$7/100))*(F2472/100)</f>
        <v/>
      </c>
      <c r="K2472">
        <f>J2472*(1+(((Inputs!$B$13+IF(Inputs!$B$3&gt;=38,(10*INDEX(FactorTable!$B$2:$Y$301, MATCH(ROUND(MIN(300,MAX(1,Inputs!$B$3)),0), FactorTable!$A$2:$A$301,0), 23)/1000)/100*(Inputs!$B$8*(1+Inputs!$B$9/100)),0))*(1+Inputs!$B$14/100))*0.01+Inputs!$B$15*0.0025)/100)*(1+Inputs!$B$16/100)*(1+Inputs!$B$17/100)*(5000/(6000+Inputs!$B$43*(1-(Inputs!$B$20+0)/100)))*(1+(Inputs!$B$25+((C2492=TRUE)*(F2492-Calc!F25))+((C2493=TRUE)*(F2493-Calc!F26))+B2502)/100)*(1+(((1+IF(AND(IF(ArtifactsInput!$M$36,FALSE,TRUE),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gt;=100),MIN(100,((Inputs!$B$10+0+B2496+(ArtifactsInput!$M$24-ArtifactsInput!$M$24)*CHOOSE(ArtifactsInput!$N$24+1,10,12,14,16,18,20)+IF(ArtifactsInput!$M$10,CHOOSE(ArtifactsInput!$N$10+1,15,18,21,24,27,30)*(IF(Inputs!$B$39="pvp",MIN(15,15)/15,IF(AND(Inputs!$B$39&lt;&gt;"pvp",Inputs!$B$44&gt;0),MIN(15,Inputs!$B$44)/(Inputs!$B$44),0))),0)))-100),0))*CHOOSE(ArtifactsInput!$N$42+1,0.6,0.72,0.84,0.96,1.08,1.2))),Inputs!$B$19+((C2490=TRUE)*(F2490-Calc!F23))+(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gt;=100),CHOOSE(ArtifactsInput!$N$42+1,40,48,56,64,72,80),0))))/100)*((1+(((C2480=TRUE)*F2480*IF(AND(Inputs!$B$39&lt;&gt;"pvp",Inputs!$B$44&gt;0),(((R2480-1)*MIN((Skills!T13*(1+Inputs!$B$35/100)),(1/Q2480))+MIN((Skills!T13*(1+Inputs!$B$35/100)),MAX(0,Inputs!$B$44-((R2480-1)*(1/Q2480)))))/Inputs!$B$44),IF(Inputs!$B$39="pvp",MIN((Skills!T13*(1+Inputs!$B$35/100)),15)/15,MIN(1,(Skills!T13*(1+Inputs!$B$35/100))/(1/Q2480)))))+((C2481=TRUE)*F2481*IF(AND(Inputs!$B$39&lt;&gt;"pvp",Inputs!$B$44&gt;0),(((R2481-1)*MIN((Skills!T14*(1+Inputs!$B$35/100)),(1/Q2481))+MIN((Skills!T14*(1+Inputs!$B$35/100)),MAX(0,Inputs!$B$44-((R2481-1)*(1/Q2481)))))/Inputs!$B$44),IF(Inputs!$B$39="pvp",MIN((Skills!T14*(1+Inputs!$B$35/100)),15)/15,MIN(1,(Skills!T14*(1+Inputs!$B$35/100))/(1/Q2481)))))+((C2482=TRUE)*F2482*IF(AND(Inputs!$B$39&lt;&gt;"pvp",Inputs!$B$44&gt;0),(((R2482-1)*MIN((Skills!T15*(1+Inputs!$B$35/100)),(1/Q2482))+MIN((Skills!T15*(1+Inputs!$B$35/100)),MAX(0,Inputs!$B$44-((R2482-1)*(1/Q2482)))))/Inputs!$B$44),IF(Inputs!$B$39="pvp",MIN((Skills!T15*(1+Inputs!$B$35/100)),15)/15,MIN(1,(Skills!T15*(1+Inputs!$B$35/100))/(1/Q2482)))))+((C2483=TRUE)*F2483*IF(AND(Inputs!$B$39&lt;&gt;"pvp",Inputs!$B$44&gt;0),(((R2483-1)*MIN((Skills!T16*(1+Inputs!$B$35/100)),(1/Q2483))+MIN((Skills!T16*(1+Inputs!$B$35/100)),MAX(0,Inputs!$B$44-((R2483-1)*(1/Q2483)))))/Inputs!$B$44),IF(Inputs!$B$39="pvp",MIN((Skills!T16*(1+Inputs!$B$35/100)),15)/15,MIN(1,(Skills!T16*(1+Inputs!$B$35/100))/(1/Q2483)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2472)</f>
        <v/>
      </c>
      <c r="L2472">
        <f>K2472*(MIN(Inputs!$B$23+((C2489=TRUE)*(F2489-Calc!F22)),(Inputs!$B$24+((C2491=TRUE)*(F2491-Calc!F24))+(IF(ArtifactsInput!$M$15,CHOOSE(ArtifactsInput!$N$15+1,25,30,35,40,45,50)/100*(Inputs!$B$12-Inputs!$B$12),0))))/100+(Inputs!$B$24+((C2491=TRUE)*(F2491-Calc!F24))+(IF(ArtifactsInput!$M$15,CHOOSE(ArtifactsInput!$N$15+1,25,30,35,40,45,50)/100*(Inputs!$B$12-Inputs!$B$12),0)))/100)/2</f>
        <v/>
      </c>
      <c r="M2472">
        <f>L2472*(1+(Inputs!$B$11+0+B2501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472">
        <f>L2472*(1-MIN((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2472*(MIN((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72">
        <f>(1-Summary!$B$11)*T2472+Summary!$B$11*V2472</f>
        <v/>
      </c>
      <c r="P2472">
        <f>IF(B2506=0,0,O2472/B2506)</f>
        <v/>
      </c>
      <c r="Q2472">
        <f>IFERROR(1/IF(Inputs!$B$39="pvp",15,MAX(0.1,Skills!D5-IF(TRUE=TRUE,Inputs!$B$33,0))),0)</f>
        <v/>
      </c>
      <c r="R2472">
        <f>IF(AND(Inputs!$B$39&lt;&gt;"pvp",Inputs!$B$44&gt;0),IF(MAX(0,Inputs!$B$44-B2503)&lt;=0,0,(INT(MAX(0,Inputs!$B$44-B2503)/IF(Inputs!$B$39="pvp",15,MAX(0.1,Skills!D5-IF(TRUE=TRUE,Inputs!$B$33,0))))+1)),0)</f>
        <v/>
      </c>
      <c r="S2472">
        <f>IFERROR(O2472/N2472,0)</f>
        <v/>
      </c>
      <c r="T2472">
        <f>IF(C2472,(H2472*N2472*IF(AND(Inputs!$B$39&lt;&gt;"pvp",Inputs!$B$44&gt;0),((Skills!G5*((R2472-1)*IF(Skills!H5&gt;0,INT(Skills!I5/Skills!H5+0.000000001),1)+IF(Skills!H5&gt;0,INT(MIN(Skills!I5,MAX(0,MAX(0,Inputs!$B$44-B2503)-((R2472-1)*IF(Inputs!$B$39="pvp",15,MAX(0.1,Skills!D5-IF(TRUE=TRUE,Inputs!$B$33,0))))))/Skills!H5+0.000000001),1)))/Inputs!$B$44),G2472*Q2472))*IF(Inputs!$B$39="pvp",1,1+(Inputs!$B$21+0+Skills!P5+((C2484=TRUE)*F2484*IF(AND(Inputs!$B$39&lt;&gt;"pvp",Inputs!$B$44&gt;0),(((R2484-1)*MIN((Skills!T17*(1+Inputs!$B$35/100)),(1/Q2484))+MIN((Skills!T17*(1+Inputs!$B$35/100)),MAX(0,Inputs!$B$44-((R2484-1)*(1/Q2484)))))/Inputs!$B$44),IF(Inputs!$B$39="pvp",MIN((Skills!T17*(1+Inputs!$B$35/100)),15)/15,MIN(1,(Skills!T17*(1+Inputs!$B$35/100))/(1/Q2484)))))+((C2472=TRUE)*IF(Inputs!$B$3&gt;=126,10*MIN(1,15*Q2472),0))+((C2481=TRUE)*IF(Inputs!$B$39="pvp",20,(1-Summary!$B$11)*(20)+Summary!$B$11*(0))*IF(AND(Inputs!$B$39&lt;&gt;"pvp",Inputs!$B$44&gt;0),(((R2481-1)*MIN((Skills!T14*(1+Inputs!$B$35/100)),(1/Q2481))+MIN((Skills!T14*(1+Inputs!$B$35/100)),MAX(0,Inputs!$B$44-((R2481-1)*(1/Q2481)))))/Inputs!$B$44),IF(Inputs!$B$39="pvp",MIN((Skills!T14*(1+Inputs!$B$35/100)),15)/15,MIN(1,(Skills!T14*(1+Inputs!$B$35/100))/(1/Q2481)))))+((C2480=TRUE)*IF(Inputs!$B$3&gt;=82,IF(Inputs!$B$39="pvp",20,(1-Summary!$B$11)*(20)+Summary!$B$11*(0)),0)*IF(AND(Inputs!$B$39&lt;&gt;"pvp",Inputs!$B$44&gt;0),(((R2480-1)*MIN((Skills!T13*(1+Inputs!$B$35/100)),(1/Q2480))+MIN((Skills!T13*(1+Inputs!$B$35/100)),MAX(0,Inputs!$B$44-((R2480-1)*(1/Q2480)))))/Inputs!$B$44),IF(Inputs!$B$39="pvp",MIN((Skills!T13*(1+Inputs!$B$35/100)),15)/15,MIN(1,(Skills!T13*(1+Inputs!$B$35/100))/(1/Q2480)))))+(IF(AND(ArtifactsInput!$M$35,Inputs!$B$4&lt;&gt;"Chapter Hunt"),CHOOSE(ArtifactsInput!$N$35+1,15,18,21,24,27,30)*(1-EXP(-(0.2*B2498)*5)),0)+IF(AND(ArtifactsInput!$M$22,Inputs!$B$4&lt;&gt;"Chapter Hunt"),CHOOSE(ArtifactsInput!$N$22+1,10,12,14,16,18,20)*((0*(((0.15*B2498*5))^0/1)+1*(((0.15*B2498*5))^1/1)+2*(((0.15*B2498*5))^2/2)+3*(((0.15*B2498*5))^3/6)+4*(((0.15*B2498*5))^4/24)+5*(((0.15*B2498*5))^5/120))/((((0.15*B2498*5))^0/1)+(((0.15*B2498*5))^1/1)+(((0.15*B2498*5))^2/2)+(((0.15*B2498*5))^3/6)+(((0.15*B2498*5))^4/24)+(((0.15*B2498*5))^5/120))),0))+(IF(AND(IF(ArtifactsInput!$M$36,FALSE,TRUE),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2472*(1-MIN(100,(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2472*(MIN(100,(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2472*(1-MIN(100,(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2472*(MIN(100,(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72">
        <f>IF(C2472,(H2472*N2472*IF(AND(Inputs!$B$39&lt;&gt;"pvp",Inputs!$B$44&gt;0),((Skills!G5*((R2472-1)*IF(Skills!H5&gt;0,INT(Skills!I5/Skills!H5+0.000000001),1)+IF(Skills!H5&gt;0,INT(MIN(Skills!I5,MAX(0,MAX(0,Inputs!$B$44-B2503)-((R2472-1)*IF(Inputs!$B$39="pvp",15,MAX(0.1,Skills!D5-IF(TRUE=TRUE,Inputs!$B$33,0))))))/Skills!H5+0.000000001),1)))/Inputs!$B$44),G2472*Q2472))*IF(Inputs!$B$39="pvp",1,(1+(Inputs!$B$22+Skills!Q5+((C2484=TRUE)*F2484*IF(AND(Inputs!$B$39&lt;&gt;"pvp",Inputs!$B$44&gt;0),(((R2484-1)*MIN((Skills!T17*(1+Inputs!$B$35/100)),(1/Q2484))+MIN((Skills!T17*(1+Inputs!$B$35/100)),MAX(0,Inputs!$B$44-((R2484-1)*(1/Q2484)))))/Inputs!$B$44),IF(Inputs!$B$39="pvp",MIN((Skills!T17*(1+Inputs!$B$35/100)),15)/15,MIN(1,(Skills!T17*(1+Inputs!$B$35/100))/(1/Q2484)))))+((C2472=TRUE)*IF(Inputs!$B$3&gt;=126,10*MIN(1,15*Q2472),0))+((C2481=TRUE)*IF(Inputs!$B$39="pvp",20,(1-Summary!$B$11)*(20)+Summary!$B$11*(0))*IF(AND(Inputs!$B$39&lt;&gt;"pvp",Inputs!$B$44&gt;0),(((R2481-1)*MIN((Skills!T14*(1+Inputs!$B$35/100)),(1/Q2481))+MIN((Skills!T14*(1+Inputs!$B$35/100)),MAX(0,Inputs!$B$44-((R2481-1)*(1/Q2481)))))/Inputs!$B$44),IF(Inputs!$B$39="pvp",MIN((Skills!T14*(1+Inputs!$B$35/100)),15)/15,MIN(1,(Skills!T14*(1+Inputs!$B$35/100))/(1/Q2481)))))+((C2480=TRUE)*IF(Inputs!$B$3&gt;=82,IF(Inputs!$B$39="pvp",20,(1-Summary!$B$11)*(20)+Summary!$B$11*(0)),0)*IF(AND(Inputs!$B$39&lt;&gt;"pvp",Inputs!$B$44&gt;0),(((R2480-1)*MIN((Skills!T13*(1+Inputs!$B$35/100)),(1/Q2480))+MIN((Skills!T13*(1+Inputs!$B$35/100)),MAX(0,Inputs!$B$44-((R2480-1)*(1/Q2480)))))/Inputs!$B$44),IF(Inputs!$B$39="pvp",MIN((Skills!T13*(1+Inputs!$B$35/100)),15)/15,MIN(1,(Skills!T13*(1+Inputs!$B$35/100))/(1/Q2480)))))+(IF(AND(ArtifactsInput!$M$35,Inputs!$B$4&lt;&gt;"Chapter Hunt"),CHOOSE(ArtifactsInput!$N$35+1,15,18,21,24,27,30)*(1-EXP(-(0.2*B2498)*5)),0)+IF(AND(ArtifactsInput!$M$22,Inputs!$B$4&lt;&gt;"Chapter Hunt"),CHOOSE(ArtifactsInput!$N$22+1,10,12,14,16,18,20)*((0*(((0.15*B2498*5))^0/1)+1*(((0.15*B2498*5))^1/1)+2*(((0.15*B2498*5))^2/2)+3*(((0.15*B2498*5))^3/6)+4*(((0.15*B2498*5))^4/24)+5*(((0.15*B2498*5))^5/120))/((((0.15*B2498*5))^0/1)+(((0.15*B2498*5))^1/1)+(((0.15*B2498*5))^2/2)+(((0.15*B2498*5))^3/6)+(((0.15*B2498*5))^4/24)+(((0.15*B2498*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73">
      <c r="A2473">
        <f>Skills!A6</f>
        <v/>
      </c>
      <c r="B2473">
        <f>Skills!B6</f>
        <v/>
      </c>
      <c r="C2473">
        <f>Inputs!$B$3&gt;=103</f>
        <v/>
      </c>
      <c r="D2473">
        <f>IF(Skills!C6=1,60+Inputs!$B$26+Inputs!$B$30,IF(Skills!C6=2,90+Inputs!$B$27+Inputs!$B$30,IF(Skills!C6=3,120+Inputs!$B$28+Inputs!$B$30,MAX(0,(Inputs!$B$3-100)*3)+Inputs!$B$29+Inputs!$B$30)))</f>
        <v/>
      </c>
      <c r="E2473">
        <f>INDEX(FactorTable!$B$2:$Y$301, MATCH(ROUND(MIN(300,MAX(1,D2473)),0), FactorTable!$A$2:$A$301,0), Skills!M6+1)</f>
        <v/>
      </c>
      <c r="F2473">
        <f>IF(Skills!N6=TRUE,(Skills!L6/10)*(E2473/1000),Skills!L6/10)+Skills!O6</f>
        <v/>
      </c>
      <c r="G2473">
        <f>Skills!G6*IF(Skills!H6&gt;0,INT(IF(Inputs!$B$39="pvp",MIN(Skills!I6,15),Skills!I6)/Skills!H6+0.000000001),1)</f>
        <v/>
      </c>
      <c r="H2473">
        <f>1-(1-Skills!J6/100)^Skills!K6</f>
        <v/>
      </c>
      <c r="I2473" t="inlineStr">
        <is>
          <t>1</t>
        </is>
      </c>
      <c r="J2473">
        <f>((Inputs!$B$6*(1+Inputs!$B$7/100))+(((Inputs!$B$13*(1+Inputs!$B$14/100))-(Inputs!$B$13*(1+Inputs!$B$14/100)))+0.25*(Inputs!$B$15-Inputs!$B$15))*(1+Inputs!$B$7/100))*(F2473/100)</f>
        <v/>
      </c>
      <c r="K2473">
        <f>J2473*(1+(((Inputs!$B$13+IF(Inputs!$B$3&gt;=38,(10*INDEX(FactorTable!$B$2:$Y$301, MATCH(ROUND(MIN(300,MAX(1,Inputs!$B$3)),0), FactorTable!$A$2:$A$301,0), 23)/1000)/100*(Inputs!$B$8*(1+Inputs!$B$9/100)),0))*(1+Inputs!$B$14/100))*0.01+Inputs!$B$15*0.0025)/100)*(1+Inputs!$B$16/100)*(1+Inputs!$B$17/100)*(5000/(6000+Inputs!$B$43*(1-(Inputs!$B$20+0)/100)))*(1+(Inputs!$B$25+((C2492=TRUE)*(F2492-Calc!F25))+((C2493=TRUE)*(F2493-Calc!F26))+B2502)/100)*(1+(((1+IF(AND(IF(ArtifactsInput!$M$36,FALSE,TRUE),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gt;=100),MIN(100,((Inputs!$B$10+0+B2496+(ArtifactsInput!$M$24-ArtifactsInput!$M$24)*CHOOSE(ArtifactsInput!$N$24+1,10,12,14,16,18,20)+IF(ArtifactsInput!$M$10,CHOOSE(ArtifactsInput!$N$10+1,15,18,21,24,27,30)*(IF(Inputs!$B$39="pvp",MIN(15,15)/15,IF(AND(Inputs!$B$39&lt;&gt;"pvp",Inputs!$B$44&gt;0),MIN(15,Inputs!$B$44)/(Inputs!$B$44),0))),0)))-100),0))*CHOOSE(ArtifactsInput!$N$42+1,0.6,0.72,0.84,0.96,1.08,1.2))),Inputs!$B$19+((C2490=TRUE)*(F2490-Calc!F23))+(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gt;=100),CHOOSE(ArtifactsInput!$N$42+1,40,48,56,64,72,80),0))))/100)*((1+(((C2480=TRUE)*F2480*IF(AND(Inputs!$B$39&lt;&gt;"pvp",Inputs!$B$44&gt;0),(((R2480-1)*MIN((Skills!T13*(1+Inputs!$B$35/100)),(1/Q2480))+MIN((Skills!T13*(1+Inputs!$B$35/100)),MAX(0,Inputs!$B$44-((R2480-1)*(1/Q2480)))))/Inputs!$B$44),IF(Inputs!$B$39="pvp",MIN((Skills!T13*(1+Inputs!$B$35/100)),15)/15,MIN(1,(Skills!T13*(1+Inputs!$B$35/100))/(1/Q2480)))))+((C2481=TRUE)*F2481*IF(AND(Inputs!$B$39&lt;&gt;"pvp",Inputs!$B$44&gt;0),(((R2481-1)*MIN((Skills!T14*(1+Inputs!$B$35/100)),(1/Q2481))+MIN((Skills!T14*(1+Inputs!$B$35/100)),MAX(0,Inputs!$B$44-((R2481-1)*(1/Q2481)))))/Inputs!$B$44),IF(Inputs!$B$39="pvp",MIN((Skills!T14*(1+Inputs!$B$35/100)),15)/15,MIN(1,(Skills!T14*(1+Inputs!$B$35/100))/(1/Q2481)))))+((C2482=TRUE)*F2482*IF(AND(Inputs!$B$39&lt;&gt;"pvp",Inputs!$B$44&gt;0),(((R2482-1)*MIN((Skills!T15*(1+Inputs!$B$35/100)),(1/Q2482))+MIN((Skills!T15*(1+Inputs!$B$35/100)),MAX(0,Inputs!$B$44-((R2482-1)*(1/Q2482)))))/Inputs!$B$44),IF(Inputs!$B$39="pvp",MIN((Skills!T15*(1+Inputs!$B$35/100)),15)/15,MIN(1,(Skills!T15*(1+Inputs!$B$35/100))/(1/Q2482)))))+((C2483=TRUE)*F2483*IF(AND(Inputs!$B$39&lt;&gt;"pvp",Inputs!$B$44&gt;0),(((R2483-1)*MIN((Skills!T16*(1+Inputs!$B$35/100)),(1/Q2483))+MIN((Skills!T16*(1+Inputs!$B$35/100)),MAX(0,Inputs!$B$44-((R2483-1)*(1/Q2483)))))/Inputs!$B$44),IF(Inputs!$B$39="pvp",MIN((Skills!T16*(1+Inputs!$B$35/100)),15)/15,MIN(1,(Skills!T16*(1+Inputs!$B$35/100))/(1/Q2483)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2473)</f>
        <v/>
      </c>
      <c r="L2473">
        <f>K2473*(MIN(Inputs!$B$23+((C2489=TRUE)*(F2489-Calc!F22)),(Inputs!$B$24+((C2491=TRUE)*(F2491-Calc!F24))+(IF(ArtifactsInput!$M$15,CHOOSE(ArtifactsInput!$N$15+1,25,30,35,40,45,50)/100*(Inputs!$B$12-Inputs!$B$12),0))))/100+(Inputs!$B$24+((C2491=TRUE)*(F2491-Calc!F24))+(IF(ArtifactsInput!$M$15,CHOOSE(ArtifactsInput!$N$15+1,25,30,35,40,45,50)/100*(Inputs!$B$12-Inputs!$B$12),0)))/100)/2</f>
        <v/>
      </c>
      <c r="M2473">
        <f>L2473*(1+(Inputs!$B$11+0+B2501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473">
        <f>L2473*(1-MIN((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2473*(MIN((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73">
        <f>(1-Summary!$B$11)*T2473+Summary!$B$11*V2473</f>
        <v/>
      </c>
      <c r="P2473">
        <f>IF(B2506=0,0,O2473/B2506)</f>
        <v/>
      </c>
      <c r="Q2473">
        <f>IFERROR(1/IF(Inputs!$B$39="pvp",15,MAX(0.1,Skills!D6-IF(TRUE=TRUE,Inputs!$B$33,0))),0)</f>
        <v/>
      </c>
      <c r="R2473">
        <f>IF(AND(Inputs!$B$39&lt;&gt;"pvp",Inputs!$B$44&gt;0),IF(MAX(0,Inputs!$B$44-B2503)&lt;=0,0,(INT(MAX(0,Inputs!$B$44-B2503)/IF(Inputs!$B$39="pvp",15,MAX(0.1,Skills!D6-IF(TRUE=TRUE,Inputs!$B$33,0))))+1)),0)</f>
        <v/>
      </c>
      <c r="S2473">
        <f>IFERROR(O2473/N2473,0)</f>
        <v/>
      </c>
      <c r="T2473">
        <f>IF(C2473,(H2473*N2473*IF(AND(Inputs!$B$39&lt;&gt;"pvp",Inputs!$B$44&gt;0),((Skills!G6*((R2473-1)*IF(Skills!H6&gt;0,INT(Skills!I6/Skills!H6+0.000000001),1)+IF(Skills!H6&gt;0,INT(MIN(Skills!I6,MAX(0,MAX(0,Inputs!$B$44-B2503)-((R2473-1)*IF(Inputs!$B$39="pvp",15,MAX(0.1,Skills!D6-IF(TRUE=TRUE,Inputs!$B$33,0))))))/Skills!H6+0.000000001),1)))/Inputs!$B$44),G2473*Q2473))*IF(Inputs!$B$39="pvp",1,1+(Inputs!$B$21+0+Skills!P6+((C2484=TRUE)*F2484*IF(AND(Inputs!$B$39&lt;&gt;"pvp",Inputs!$B$44&gt;0),(((R2484-1)*MIN((Skills!T17*(1+Inputs!$B$35/100)),(1/Q2484))+MIN((Skills!T17*(1+Inputs!$B$35/100)),MAX(0,Inputs!$B$44-((R2484-1)*(1/Q2484)))))/Inputs!$B$44),IF(Inputs!$B$39="pvp",MIN((Skills!T17*(1+Inputs!$B$35/100)),15)/15,MIN(1,(Skills!T17*(1+Inputs!$B$35/100))/(1/Q2484)))))+((C2472=TRUE)*IF(Inputs!$B$3&gt;=126,10*MIN(1,15*Q2472),0))+((C2481=TRUE)*IF(Inputs!$B$39="pvp",20,(1-Summary!$B$11)*(20)+Summary!$B$11*(0))*IF(AND(Inputs!$B$39&lt;&gt;"pvp",Inputs!$B$44&gt;0),(((R2481-1)*MIN((Skills!T14*(1+Inputs!$B$35/100)),(1/Q2481))+MIN((Skills!T14*(1+Inputs!$B$35/100)),MAX(0,Inputs!$B$44-((R2481-1)*(1/Q2481)))))/Inputs!$B$44),IF(Inputs!$B$39="pvp",MIN((Skills!T14*(1+Inputs!$B$35/100)),15)/15,MIN(1,(Skills!T14*(1+Inputs!$B$35/100))/(1/Q2481)))))+((C2480=TRUE)*IF(Inputs!$B$3&gt;=82,IF(Inputs!$B$39="pvp",20,(1-Summary!$B$11)*(20)+Summary!$B$11*(0)),0)*IF(AND(Inputs!$B$39&lt;&gt;"pvp",Inputs!$B$44&gt;0),(((R2480-1)*MIN((Skills!T13*(1+Inputs!$B$35/100)),(1/Q2480))+MIN((Skills!T13*(1+Inputs!$B$35/100)),MAX(0,Inputs!$B$44-((R2480-1)*(1/Q2480)))))/Inputs!$B$44),IF(Inputs!$B$39="pvp",MIN((Skills!T13*(1+Inputs!$B$35/100)),15)/15,MIN(1,(Skills!T13*(1+Inputs!$B$35/100))/(1/Q2480)))))+(IF(AND(ArtifactsInput!$M$35,Inputs!$B$4&lt;&gt;"Chapter Hunt"),CHOOSE(ArtifactsInput!$N$35+1,15,18,21,24,27,30)*(1-EXP(-(0.2*B2498)*5)),0)+IF(AND(ArtifactsInput!$M$22,Inputs!$B$4&lt;&gt;"Chapter Hunt"),CHOOSE(ArtifactsInput!$N$22+1,10,12,14,16,18,20)*((0*(((0.15*B2498*5))^0/1)+1*(((0.15*B2498*5))^1/1)+2*(((0.15*B2498*5))^2/2)+3*(((0.15*B2498*5))^3/6)+4*(((0.15*B2498*5))^4/24)+5*(((0.15*B2498*5))^5/120))/((((0.15*B2498*5))^0/1)+(((0.15*B2498*5))^1/1)+(((0.15*B2498*5))^2/2)+(((0.15*B2498*5))^3/6)+(((0.15*B2498*5))^4/24)+(((0.15*B2498*5))^5/120))),0))+(IF(AND(IF(ArtifactsInput!$M$36,FALSE,TRUE),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2473*(1-MIN(100,(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2473*(MIN(100,(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2473*(1-MIN(100,(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2473*(MIN(100,(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73">
        <f>IF(C2473,(H2473*N2473*IF(AND(Inputs!$B$39&lt;&gt;"pvp",Inputs!$B$44&gt;0),((Skills!G6*((R2473-1)*IF(Skills!H6&gt;0,INT(Skills!I6/Skills!H6+0.000000001),1)+IF(Skills!H6&gt;0,INT(MIN(Skills!I6,MAX(0,MAX(0,Inputs!$B$44-B2503)-((R2473-1)*IF(Inputs!$B$39="pvp",15,MAX(0.1,Skills!D6-IF(TRUE=TRUE,Inputs!$B$33,0))))))/Skills!H6+0.000000001),1)))/Inputs!$B$44),G2473*Q2473))*IF(Inputs!$B$39="pvp",1,(1+(Inputs!$B$22+Skills!Q6+((C2484=TRUE)*F2484*IF(AND(Inputs!$B$39&lt;&gt;"pvp",Inputs!$B$44&gt;0),(((R2484-1)*MIN((Skills!T17*(1+Inputs!$B$35/100)),(1/Q2484))+MIN((Skills!T17*(1+Inputs!$B$35/100)),MAX(0,Inputs!$B$44-((R2484-1)*(1/Q2484)))))/Inputs!$B$44),IF(Inputs!$B$39="pvp",MIN((Skills!T17*(1+Inputs!$B$35/100)),15)/15,MIN(1,(Skills!T17*(1+Inputs!$B$35/100))/(1/Q2484)))))+((C2472=TRUE)*IF(Inputs!$B$3&gt;=126,10*MIN(1,15*Q2472),0))+((C2481=TRUE)*IF(Inputs!$B$39="pvp",20,(1-Summary!$B$11)*(20)+Summary!$B$11*(0))*IF(AND(Inputs!$B$39&lt;&gt;"pvp",Inputs!$B$44&gt;0),(((R2481-1)*MIN((Skills!T14*(1+Inputs!$B$35/100)),(1/Q2481))+MIN((Skills!T14*(1+Inputs!$B$35/100)),MAX(0,Inputs!$B$44-((R2481-1)*(1/Q2481)))))/Inputs!$B$44),IF(Inputs!$B$39="pvp",MIN((Skills!T14*(1+Inputs!$B$35/100)),15)/15,MIN(1,(Skills!T14*(1+Inputs!$B$35/100))/(1/Q2481)))))+((C2480=TRUE)*IF(Inputs!$B$3&gt;=82,IF(Inputs!$B$39="pvp",20,(1-Summary!$B$11)*(20)+Summary!$B$11*(0)),0)*IF(AND(Inputs!$B$39&lt;&gt;"pvp",Inputs!$B$44&gt;0),(((R2480-1)*MIN((Skills!T13*(1+Inputs!$B$35/100)),(1/Q2480))+MIN((Skills!T13*(1+Inputs!$B$35/100)),MAX(0,Inputs!$B$44-((R2480-1)*(1/Q2480)))))/Inputs!$B$44),IF(Inputs!$B$39="pvp",MIN((Skills!T13*(1+Inputs!$B$35/100)),15)/15,MIN(1,(Skills!T13*(1+Inputs!$B$35/100))/(1/Q2480)))))+(IF(AND(ArtifactsInput!$M$35,Inputs!$B$4&lt;&gt;"Chapter Hunt"),CHOOSE(ArtifactsInput!$N$35+1,15,18,21,24,27,30)*(1-EXP(-(0.2*B2498)*5)),0)+IF(AND(ArtifactsInput!$M$22,Inputs!$B$4&lt;&gt;"Chapter Hunt"),CHOOSE(ArtifactsInput!$N$22+1,10,12,14,16,18,20)*((0*(((0.15*B2498*5))^0/1)+1*(((0.15*B2498*5))^1/1)+2*(((0.15*B2498*5))^2/2)+3*(((0.15*B2498*5))^3/6)+4*(((0.15*B2498*5))^4/24)+5*(((0.15*B2498*5))^5/120))/((((0.15*B2498*5))^0/1)+(((0.15*B2498*5))^1/1)+(((0.15*B2498*5))^2/2)+(((0.15*B2498*5))^3/6)+(((0.15*B2498*5))^4/24)+(((0.15*B2498*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74">
      <c r="A2474">
        <f>Skills!A7</f>
        <v/>
      </c>
      <c r="B2474">
        <f>Skills!B7</f>
        <v/>
      </c>
      <c r="C2474">
        <f>Inputs!$B$3&gt;=40</f>
        <v/>
      </c>
      <c r="D2474">
        <f>IF(Skills!C7=1,60+Inputs!$B$26+Inputs!$B$30,IF(Skills!C7=2,90+Inputs!$B$27+Inputs!$B$30,IF(Skills!C7=3,120+Inputs!$B$28+Inputs!$B$30,MAX(0,(Inputs!$B$3-100)*3)+Inputs!$B$29+Inputs!$B$30)))</f>
        <v/>
      </c>
      <c r="E2474">
        <f>INDEX(FactorTable!$B$2:$Y$301, MATCH(ROUND(MIN(300,MAX(1,D2474)),0), FactorTable!$A$2:$A$301,0), Skills!M7+1)</f>
        <v/>
      </c>
      <c r="F2474">
        <f>IF(Skills!N7=TRUE,(Skills!L7/10)*(E2474/1000),Skills!L7/10)+Skills!O7</f>
        <v/>
      </c>
      <c r="G2474">
        <f>Skills!G7*IF(Skills!H7&gt;0,INT(IF(Inputs!$B$39="pvp",MIN(Skills!I7,15),Skills!I7)/Skills!H7+0.000000001),1)</f>
        <v/>
      </c>
      <c r="H2474">
        <f>1-(1-Skills!J7/100)^Skills!K7</f>
        <v/>
      </c>
      <c r="I2474" t="inlineStr">
        <is>
          <t>1</t>
        </is>
      </c>
      <c r="J2474">
        <f>((Inputs!$B$6*(1+Inputs!$B$7/100))+(((Inputs!$B$13*(1+Inputs!$B$14/100))-(Inputs!$B$13*(1+Inputs!$B$14/100)))+0.25*(Inputs!$B$15-Inputs!$B$15))*(1+Inputs!$B$7/100))*(F2474/100)</f>
        <v/>
      </c>
      <c r="K2474">
        <f>J2474*(1+(((Inputs!$B$13+IF(Inputs!$B$3&gt;=38,(10*INDEX(FactorTable!$B$2:$Y$301, MATCH(ROUND(MIN(300,MAX(1,Inputs!$B$3)),0), FactorTable!$A$2:$A$301,0), 23)/1000)/100*(Inputs!$B$8*(1+Inputs!$B$9/100)),0))*(1+Inputs!$B$14/100))*0.01+Inputs!$B$15*0.0025)/100)*(1+Inputs!$B$16/100)*(1+Inputs!$B$17/100)*(5000/(6000+Inputs!$B$43*(1-(Inputs!$B$20+0)/100)))*(1+(Inputs!$B$25+((C2492=TRUE)*(F2492-Calc!F25))+((C2493=TRUE)*(F2493-Calc!F26))+B2502)/100)*(1+(((1+IF(AND(IF(ArtifactsInput!$M$36,FALSE,TRUE),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2478=TRUE,F2478,0)/100)*(1+(IF(Skills!A7="DARK_IMPALE",Inputs!$B$18+0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gt;=100),MIN(100,((Inputs!$B$10+0+B2496+(ArtifactsInput!$M$24-ArtifactsInput!$M$24)*CHOOSE(ArtifactsInput!$N$24+1,10,12,14,16,18,20)+IF(ArtifactsInput!$M$10,CHOOSE(ArtifactsInput!$N$10+1,15,18,21,24,27,30)*(IF(Inputs!$B$39="pvp",MIN(15,15)/15,IF(AND(Inputs!$B$39&lt;&gt;"pvp",Inputs!$B$44&gt;0),MIN(15,Inputs!$B$44)/(Inputs!$B$44),0))),0)))-100),0))*CHOOSE(ArtifactsInput!$N$42+1,0.6,0.72,0.84,0.96,1.08,1.2))),Inputs!$B$19+((C2490=TRUE)*(F2490-Calc!F23))+(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gt;=100),CHOOSE(ArtifactsInput!$N$42+1,40,48,56,64,72,80),0))))/100)*((1+(((C2480=TRUE)*F2480*IF(AND(Inputs!$B$39&lt;&gt;"pvp",Inputs!$B$44&gt;0),(((R2480-1)*MIN((Skills!T13*(1+Inputs!$B$35/100)),(1/Q2480))+MIN((Skills!T13*(1+Inputs!$B$35/100)),MAX(0,Inputs!$B$44-((R2480-1)*(1/Q2480)))))/Inputs!$B$44),IF(Inputs!$B$39="pvp",MIN((Skills!T13*(1+Inputs!$B$35/100)),15)/15,MIN(1,(Skills!T13*(1+Inputs!$B$35/100))/(1/Q2480)))))+((C2481=TRUE)*F2481*IF(AND(Inputs!$B$39&lt;&gt;"pvp",Inputs!$B$44&gt;0),(((R2481-1)*MIN((Skills!T14*(1+Inputs!$B$35/100)),(1/Q2481))+MIN((Skills!T14*(1+Inputs!$B$35/100)),MAX(0,Inputs!$B$44-((R2481-1)*(1/Q2481)))))/Inputs!$B$44),IF(Inputs!$B$39="pvp",MIN((Skills!T14*(1+Inputs!$B$35/100)),15)/15,MIN(1,(Skills!T14*(1+Inputs!$B$35/100))/(1/Q2481)))))+((C2482=TRUE)*F2482*IF(AND(Inputs!$B$39&lt;&gt;"pvp",Inputs!$B$44&gt;0),(((R2482-1)*MIN((Skills!T15*(1+Inputs!$B$35/100)),(1/Q2482))+MIN((Skills!T15*(1+Inputs!$B$35/100)),MAX(0,Inputs!$B$44-((R2482-1)*(1/Q2482)))))/Inputs!$B$44),IF(Inputs!$B$39="pvp",MIN((Skills!T15*(1+Inputs!$B$35/100)),15)/15,MIN(1,(Skills!T15*(1+Inputs!$B$35/100))/(1/Q2482)))))+((C2483=TRUE)*F2483*IF(AND(Inputs!$B$39&lt;&gt;"pvp",Inputs!$B$44&gt;0),(((R2483-1)*MIN((Skills!T16*(1+Inputs!$B$35/100)),(1/Q2483))+MIN((Skills!T16*(1+Inputs!$B$35/100)),MAX(0,Inputs!$B$44-((R2483-1)*(1/Q2483)))))/Inputs!$B$44),IF(Inputs!$B$39="pvp",MIN((Skills!T16*(1+Inputs!$B$35/100)),15)/15,MIN(1,(Skills!T16*(1+Inputs!$B$35/100))/(1/Q2483)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2474)</f>
        <v/>
      </c>
      <c r="L2474">
        <f>K2474*(MIN(Inputs!$B$23+((C2489=TRUE)*(F2489-Calc!F22)),(Inputs!$B$24+((C2491=TRUE)*(F2491-Calc!F24))+(IF(ArtifactsInput!$M$15,CHOOSE(ArtifactsInput!$N$15+1,25,30,35,40,45,50)/100*(Inputs!$B$12-Inputs!$B$12),0))))/100+(Inputs!$B$24+((C2491=TRUE)*(F2491-Calc!F24))+(IF(ArtifactsInput!$M$15,CHOOSE(ArtifactsInput!$N$15+1,25,30,35,40,45,50)/100*(Inputs!$B$12-Inputs!$B$12),0)))/100)/2</f>
        <v/>
      </c>
      <c r="M2474">
        <f>L2474*(1+(Inputs!$B$11+0+B2501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474">
        <f>L2474*(1-MIN((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2474*(MIN((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74">
        <f>(1-Summary!$B$11)*T2474+Summary!$B$11*V2474</f>
        <v/>
      </c>
      <c r="P2474">
        <f>IF(B2506=0,0,O2474/B2506)</f>
        <v/>
      </c>
      <c r="Q2474">
        <f>IFERROR(1/IF(Inputs!$B$39="pvp",15,MAX(0.1,Skills!D7-IF(TRUE=TRUE,Inputs!$B$33,0))),0)</f>
        <v/>
      </c>
      <c r="R2474">
        <f>IF(AND(Inputs!$B$39&lt;&gt;"pvp",Inputs!$B$44&gt;0),IF(MAX(0,Inputs!$B$44-B2503)&lt;=0,0,(INT(MAX(0,Inputs!$B$44-B2503)/IF(Inputs!$B$39="pvp",15,MAX(0.1,Skills!D7-IF(TRUE=TRUE,Inputs!$B$33,0))))+1)),0)</f>
        <v/>
      </c>
      <c r="S2474">
        <f>IFERROR(O2474/N2474,0)</f>
        <v/>
      </c>
      <c r="T2474">
        <f>IF(C2474,(H2474*N2474*IF(AND(Inputs!$B$39&lt;&gt;"pvp",Inputs!$B$44&gt;0),((Skills!G7*((R2474-1)*IF(Skills!H7&gt;0,INT(Skills!I7/Skills!H7+0.000000001),1)+IF(Skills!H7&gt;0,INT(MIN(Skills!I7,MAX(0,MAX(0,Inputs!$B$44-B2503)-((R2474-1)*IF(Inputs!$B$39="pvp",15,MAX(0.1,Skills!D7-IF(TRUE=TRUE,Inputs!$B$33,0))))))/Skills!H7+0.000000001),1)))/Inputs!$B$44),G2474*Q2474))*IF(Inputs!$B$39="pvp",1,1+(Inputs!$B$21+0+Skills!P7+((C2484=TRUE)*F2484*IF(AND(Inputs!$B$39&lt;&gt;"pvp",Inputs!$B$44&gt;0),(((R2484-1)*MIN((Skills!T17*(1+Inputs!$B$35/100)),(1/Q2484))+MIN((Skills!T17*(1+Inputs!$B$35/100)),MAX(0,Inputs!$B$44-((R2484-1)*(1/Q2484)))))/Inputs!$B$44),IF(Inputs!$B$39="pvp",MIN((Skills!T17*(1+Inputs!$B$35/100)),15)/15,MIN(1,(Skills!T17*(1+Inputs!$B$35/100))/(1/Q2484)))))+((C2472=TRUE)*IF(Inputs!$B$3&gt;=126,10*MIN(1,15*Q2472),0))+((C2481=TRUE)*IF(Inputs!$B$39="pvp",20,(1-Summary!$B$11)*(20)+Summary!$B$11*(0))*IF(AND(Inputs!$B$39&lt;&gt;"pvp",Inputs!$B$44&gt;0),(((R2481-1)*MIN((Skills!T14*(1+Inputs!$B$35/100)),(1/Q2481))+MIN((Skills!T14*(1+Inputs!$B$35/100)),MAX(0,Inputs!$B$44-((R2481-1)*(1/Q2481)))))/Inputs!$B$44),IF(Inputs!$B$39="pvp",MIN((Skills!T14*(1+Inputs!$B$35/100)),15)/15,MIN(1,(Skills!T14*(1+Inputs!$B$35/100))/(1/Q2481)))))+((C2480=TRUE)*IF(Inputs!$B$3&gt;=82,IF(Inputs!$B$39="pvp",20,(1-Summary!$B$11)*(20)+Summary!$B$11*(0)),0)*IF(AND(Inputs!$B$39&lt;&gt;"pvp",Inputs!$B$44&gt;0),(((R2480-1)*MIN((Skills!T13*(1+Inputs!$B$35/100)),(1/Q2480))+MIN((Skills!T13*(1+Inputs!$B$35/100)),MAX(0,Inputs!$B$44-((R2480-1)*(1/Q2480)))))/Inputs!$B$44),IF(Inputs!$B$39="pvp",MIN((Skills!T13*(1+Inputs!$B$35/100)),15)/15,MIN(1,(Skills!T13*(1+Inputs!$B$35/100))/(1/Q2480)))))+(IF(AND(ArtifactsInput!$M$35,Inputs!$B$4&lt;&gt;"Chapter Hunt"),CHOOSE(ArtifactsInput!$N$35+1,15,18,21,24,27,30)*(1-EXP(-(0.2*B2498)*5)),0)+IF(AND(ArtifactsInput!$M$22,Inputs!$B$4&lt;&gt;"Chapter Hunt"),CHOOSE(ArtifactsInput!$N$22+1,10,12,14,16,18,20)*((0*(((0.15*B2498*5))^0/1)+1*(((0.15*B2498*5))^1/1)+2*(((0.15*B2498*5))^2/2)+3*(((0.15*B2498*5))^3/6)+4*(((0.15*B2498*5))^4/24)+5*(((0.15*B2498*5))^5/120))/((((0.15*B2498*5))^0/1)+(((0.15*B2498*5))^1/1)+(((0.15*B2498*5))^2/2)+(((0.15*B2498*5))^3/6)+(((0.15*B2498*5))^4/24)+(((0.15*B2498*5))^5/120))),0))+(IF(AND(IF(ArtifactsInput!$M$36,FALSE,TRUE),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2474*(1-MIN(100,(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2474*(MIN(100,(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2474*(1-MIN(100,(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2474*(MIN(100,(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74">
        <f>IF(C2474,(H2474*N2474*IF(AND(Inputs!$B$39&lt;&gt;"pvp",Inputs!$B$44&gt;0),((Skills!G7*((R2474-1)*IF(Skills!H7&gt;0,INT(Skills!I7/Skills!H7+0.000000001),1)+IF(Skills!H7&gt;0,INT(MIN(Skills!I7,MAX(0,MAX(0,Inputs!$B$44-B2503)-((R2474-1)*IF(Inputs!$B$39="pvp",15,MAX(0.1,Skills!D7-IF(TRUE=TRUE,Inputs!$B$33,0))))))/Skills!H7+0.000000001),1)))/Inputs!$B$44),G2474*Q2474))*IF(Inputs!$B$39="pvp",1,(1+(Inputs!$B$22+Skills!Q7+((C2484=TRUE)*F2484*IF(AND(Inputs!$B$39&lt;&gt;"pvp",Inputs!$B$44&gt;0),(((R2484-1)*MIN((Skills!T17*(1+Inputs!$B$35/100)),(1/Q2484))+MIN((Skills!T17*(1+Inputs!$B$35/100)),MAX(0,Inputs!$B$44-((R2484-1)*(1/Q2484)))))/Inputs!$B$44),IF(Inputs!$B$39="pvp",MIN((Skills!T17*(1+Inputs!$B$35/100)),15)/15,MIN(1,(Skills!T17*(1+Inputs!$B$35/100))/(1/Q2484)))))+((C2472=TRUE)*IF(Inputs!$B$3&gt;=126,10*MIN(1,15*Q2472),0))+((C2481=TRUE)*IF(Inputs!$B$39="pvp",20,(1-Summary!$B$11)*(20)+Summary!$B$11*(0))*IF(AND(Inputs!$B$39&lt;&gt;"pvp",Inputs!$B$44&gt;0),(((R2481-1)*MIN((Skills!T14*(1+Inputs!$B$35/100)),(1/Q2481))+MIN((Skills!T14*(1+Inputs!$B$35/100)),MAX(0,Inputs!$B$44-((R2481-1)*(1/Q2481)))))/Inputs!$B$44),IF(Inputs!$B$39="pvp",MIN((Skills!T14*(1+Inputs!$B$35/100)),15)/15,MIN(1,(Skills!T14*(1+Inputs!$B$35/100))/(1/Q2481)))))+((C2480=TRUE)*IF(Inputs!$B$3&gt;=82,IF(Inputs!$B$39="pvp",20,(1-Summary!$B$11)*(20)+Summary!$B$11*(0)),0)*IF(AND(Inputs!$B$39&lt;&gt;"pvp",Inputs!$B$44&gt;0),(((R2480-1)*MIN((Skills!T13*(1+Inputs!$B$35/100)),(1/Q2480))+MIN((Skills!T13*(1+Inputs!$B$35/100)),MAX(0,Inputs!$B$44-((R2480-1)*(1/Q2480)))))/Inputs!$B$44),IF(Inputs!$B$39="pvp",MIN((Skills!T13*(1+Inputs!$B$35/100)),15)/15,MIN(1,(Skills!T13*(1+Inputs!$B$35/100))/(1/Q2480)))))+(IF(AND(ArtifactsInput!$M$35,Inputs!$B$4&lt;&gt;"Chapter Hunt"),CHOOSE(ArtifactsInput!$N$35+1,15,18,21,24,27,30)*(1-EXP(-(0.2*B2498)*5)),0)+IF(AND(ArtifactsInput!$M$22,Inputs!$B$4&lt;&gt;"Chapter Hunt"),CHOOSE(ArtifactsInput!$N$22+1,10,12,14,16,18,20)*((0*(((0.15*B2498*5))^0/1)+1*(((0.15*B2498*5))^1/1)+2*(((0.15*B2498*5))^2/2)+3*(((0.15*B2498*5))^3/6)+4*(((0.15*B2498*5))^4/24)+5*(((0.15*B2498*5))^5/120))/((((0.15*B2498*5))^0/1)+(((0.15*B2498*5))^1/1)+(((0.15*B2498*5))^2/2)+(((0.15*B2498*5))^3/6)+(((0.15*B2498*5))^4/24)+(((0.15*B2498*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75">
      <c r="A2475">
        <f>Skills!A8</f>
        <v/>
      </c>
      <c r="B2475">
        <f>Skills!B8</f>
        <v/>
      </c>
      <c r="C2475">
        <f>Inputs!$B$3&gt;=75</f>
        <v/>
      </c>
      <c r="D2475">
        <f>IF(Skills!C8=1,60+Inputs!$B$26+Inputs!$B$30,IF(Skills!C8=2,90+Inputs!$B$27+Inputs!$B$30,IF(Skills!C8=3,120+Inputs!$B$28+Inputs!$B$30,MAX(0,(Inputs!$B$3-100)*3)+Inputs!$B$29+Inputs!$B$30)))</f>
        <v/>
      </c>
      <c r="E2475">
        <f>INDEX(FactorTable!$B$2:$Y$301, MATCH(ROUND(MIN(300,MAX(1,D2475)),0), FactorTable!$A$2:$A$301,0), Skills!M8+1)</f>
        <v/>
      </c>
      <c r="F2475">
        <f>IF(Skills!N8=TRUE,(Skills!L8/10)*(E2475/1000),Skills!L8/10)+Skills!O8</f>
        <v/>
      </c>
      <c r="G2475" t="inlineStr"/>
      <c r="H2475" t="inlineStr"/>
      <c r="I2475" t="inlineStr">
        <is>
          <t>1</t>
        </is>
      </c>
      <c r="J2475" t="inlineStr"/>
      <c r="K2475" t="inlineStr"/>
      <c r="L2475" t="inlineStr"/>
      <c r="M2475" t="inlineStr"/>
      <c r="N2475" t="inlineStr"/>
      <c r="O2475" t="inlineStr"/>
      <c r="P2475" t="inlineStr"/>
      <c r="Q2475" t="inlineStr"/>
      <c r="R2475" t="inlineStr"/>
      <c r="S2475" t="inlineStr"/>
    </row>
    <row r="2476">
      <c r="A2476">
        <f>Skills!A9</f>
        <v/>
      </c>
      <c r="B2476">
        <f>Skills!B9</f>
        <v/>
      </c>
      <c r="C2476">
        <f>Inputs!$B$3&gt;=60</f>
        <v/>
      </c>
      <c r="D2476">
        <f>IF(Skills!C9=1,60+Inputs!$B$26+Inputs!$B$30,IF(Skills!C9=2,90+Inputs!$B$27+Inputs!$B$30,IF(Skills!C9=3,120+Inputs!$B$28+Inputs!$B$30,MAX(0,(Inputs!$B$3-100)*3)+Inputs!$B$29+Inputs!$B$30)))</f>
        <v/>
      </c>
      <c r="E2476">
        <f>INDEX(FactorTable!$B$2:$Y$301, MATCH(ROUND(MIN(300,MAX(1,D2476)),0), FactorTable!$A$2:$A$301,0), Skills!M9+1)</f>
        <v/>
      </c>
      <c r="F2476">
        <f>IF(Skills!N9=TRUE,(Skills!L9/10)*(E2476/1000),Skills!L9/10)+Skills!O9</f>
        <v/>
      </c>
      <c r="G2476">
        <f>Skills!G9*IF(Skills!H9&gt;0,INT(IF(Inputs!$B$39="pvp",MIN(Skills!I9,15),Skills!I9)/Skills!H9+0.000000001),1)</f>
        <v/>
      </c>
      <c r="H2476">
        <f>1-(1-Skills!J9/100)^Skills!K9</f>
        <v/>
      </c>
      <c r="I2476" t="inlineStr">
        <is>
          <t>1</t>
        </is>
      </c>
      <c r="J2476">
        <f>((Inputs!$B$6*(1+Inputs!$B$7/100))+(((Inputs!$B$13*(1+Inputs!$B$14/100))-(Inputs!$B$13*(1+Inputs!$B$14/100)))+0.25*(Inputs!$B$15-Inputs!$B$15))*(1+Inputs!$B$7/100))*(F2476/100)</f>
        <v/>
      </c>
      <c r="K2476">
        <f>J2476*(1+(((Inputs!$B$13+IF(Inputs!$B$3&gt;=38,(10*INDEX(FactorTable!$B$2:$Y$301, MATCH(ROUND(MIN(300,MAX(1,Inputs!$B$3)),0), FactorTable!$A$2:$A$301,0), 23)/1000)/100*(Inputs!$B$8*(1+Inputs!$B$9/100)),0))*(1+Inputs!$B$14/100))*0.01+Inputs!$B$15*0.0025)/100)*(1+Inputs!$B$16/100)*(1+Inputs!$B$17/100)*(5000/(6000+Inputs!$B$43*(1-(Inputs!$B$20+0)/100)))*(1+(Inputs!$B$25+((C2492=TRUE)*(F2492-Calc!F25))+((C2493=TRUE)*(F2493-Calc!F26))+B2502)/100)*(1+(((1+IF(AND(IF(ArtifactsInput!$M$36,FALSE,TRUE),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2478=TRUE,F2478,0)/100)*(1+(IF(Skills!A9="DARK_IMPALE",Inputs!$B$18+0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gt;=100),MIN(100,((Inputs!$B$10+0+B2496+(ArtifactsInput!$M$24-ArtifactsInput!$M$24)*CHOOSE(ArtifactsInput!$N$24+1,10,12,14,16,18,20)+IF(ArtifactsInput!$M$10,CHOOSE(ArtifactsInput!$N$10+1,15,18,21,24,27,30)*(IF(Inputs!$B$39="pvp",MIN(15,15)/15,IF(AND(Inputs!$B$39&lt;&gt;"pvp",Inputs!$B$44&gt;0),MIN(15,Inputs!$B$44)/(Inputs!$B$44),0))),0)))-100),0))*CHOOSE(ArtifactsInput!$N$42+1,0.6,0.72,0.84,0.96,1.08,1.2))),Inputs!$B$19+((C2490=TRUE)*(F2490-Calc!F23))+(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gt;=100),CHOOSE(ArtifactsInput!$N$42+1,40,48,56,64,72,80),0))))/100)*((1+(((C2480=TRUE)*F2480*IF(AND(Inputs!$B$39&lt;&gt;"pvp",Inputs!$B$44&gt;0),(((R2480-1)*MIN((Skills!T13*(1+Inputs!$B$35/100)),(1/Q2480))+MIN((Skills!T13*(1+Inputs!$B$35/100)),MAX(0,Inputs!$B$44-((R2480-1)*(1/Q2480)))))/Inputs!$B$44),IF(Inputs!$B$39="pvp",MIN((Skills!T13*(1+Inputs!$B$35/100)),15)/15,MIN(1,(Skills!T13*(1+Inputs!$B$35/100))/(1/Q2480)))))+((C2481=TRUE)*F2481*IF(AND(Inputs!$B$39&lt;&gt;"pvp",Inputs!$B$44&gt;0),(((R2481-1)*MIN((Skills!T14*(1+Inputs!$B$35/100)),(1/Q2481))+MIN((Skills!T14*(1+Inputs!$B$35/100)),MAX(0,Inputs!$B$44-((R2481-1)*(1/Q2481)))))/Inputs!$B$44),IF(Inputs!$B$39="pvp",MIN((Skills!T14*(1+Inputs!$B$35/100)),15)/15,MIN(1,(Skills!T14*(1+Inputs!$B$35/100))/(1/Q2481)))))+((C2482=TRUE)*F2482*IF(AND(Inputs!$B$39&lt;&gt;"pvp",Inputs!$B$44&gt;0),(((R2482-1)*MIN((Skills!T15*(1+Inputs!$B$35/100)),(1/Q2482))+MIN((Skills!T15*(1+Inputs!$B$35/100)),MAX(0,Inputs!$B$44-((R2482-1)*(1/Q2482)))))/Inputs!$B$44),IF(Inputs!$B$39="pvp",MIN((Skills!T15*(1+Inputs!$B$35/100)),15)/15,MIN(1,(Skills!T15*(1+Inputs!$B$35/100))/(1/Q2482)))))+((C2483=TRUE)*F2483*IF(AND(Inputs!$B$39&lt;&gt;"pvp",Inputs!$B$44&gt;0),(((R2483-1)*MIN((Skills!T16*(1+Inputs!$B$35/100)),(1/Q2483))+MIN((Skills!T16*(1+Inputs!$B$35/100)),MAX(0,Inputs!$B$44-((R2483-1)*(1/Q2483)))))/Inputs!$B$44),IF(Inputs!$B$39="pvp",MIN((Skills!T16*(1+Inputs!$B$35/100)),15)/15,MIN(1,(Skills!T16*(1+Inputs!$B$35/100))/(1/Q2483)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2476)</f>
        <v/>
      </c>
      <c r="L2476">
        <f>K2476*(MIN(Inputs!$B$23+((C2489=TRUE)*(F2489-Calc!F22)),(Inputs!$B$24+((C2491=TRUE)*(F2491-Calc!F24))+(IF(ArtifactsInput!$M$15,CHOOSE(ArtifactsInput!$N$15+1,25,30,35,40,45,50)/100*(Inputs!$B$12-Inputs!$B$12),0))))/100+(Inputs!$B$24+((C2491=TRUE)*(F2491-Calc!F24))+(IF(ArtifactsInput!$M$15,CHOOSE(ArtifactsInput!$N$15+1,25,30,35,40,45,50)/100*(Inputs!$B$12-Inputs!$B$12),0)))/100)/2</f>
        <v/>
      </c>
      <c r="M2476">
        <f>L2476*(1+(Inputs!$B$11+0+B2501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476">
        <f>L2476*(1-MIN((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2476*(MIN((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76">
        <f>(1-Summary!$B$11)*T2476+Summary!$B$11*V2476</f>
        <v/>
      </c>
      <c r="P2476">
        <f>IF(B2506=0,0,O2476/B2506)</f>
        <v/>
      </c>
      <c r="Q2476">
        <f>IFERROR(1/IF(Inputs!$B$39="pvp",15,MAX(0.1,Skills!D9-IF(TRUE=TRUE,Inputs!$B$33,0))),0)</f>
        <v/>
      </c>
      <c r="R2476">
        <f>IF(AND(Inputs!$B$39&lt;&gt;"pvp",Inputs!$B$44&gt;0),IF(MAX(0,Inputs!$B$44-B2503)&lt;=0,0,(INT(MAX(0,Inputs!$B$44-B2503)/IF(Inputs!$B$39="pvp",15,MAX(0.1,Skills!D9-IF(TRUE=TRUE,Inputs!$B$33,0))))+1)),0)</f>
        <v/>
      </c>
      <c r="S2476">
        <f>IFERROR(O2476/N2476,0)</f>
        <v/>
      </c>
      <c r="T2476">
        <f>IF(C2476,(H2476*N2476*IF(AND(Inputs!$B$39&lt;&gt;"pvp",Inputs!$B$44&gt;0),((Skills!G9*((R2476-1)*IF(Skills!H9&gt;0,INT(Skills!I9/Skills!H9+0.000000001),1)+IF(Skills!H9&gt;0,INT(MIN(Skills!I9,MAX(0,MAX(0,Inputs!$B$44-B2503)-((R2476-1)*IF(Inputs!$B$39="pvp",15,MAX(0.1,Skills!D9-IF(TRUE=TRUE,Inputs!$B$33,0))))))/Skills!H9+0.000000001),1)))/Inputs!$B$44),G2476*Q2476))*IF(Inputs!$B$39="pvp",1,1+(Inputs!$B$21+0+Skills!P9+((C2484=TRUE)*F2484*IF(AND(Inputs!$B$39&lt;&gt;"pvp",Inputs!$B$44&gt;0),(((R2484-1)*MIN((Skills!T17*(1+Inputs!$B$35/100)),(1/Q2484))+MIN((Skills!T17*(1+Inputs!$B$35/100)),MAX(0,Inputs!$B$44-((R2484-1)*(1/Q2484)))))/Inputs!$B$44),IF(Inputs!$B$39="pvp",MIN((Skills!T17*(1+Inputs!$B$35/100)),15)/15,MIN(1,(Skills!T17*(1+Inputs!$B$35/100))/(1/Q2484)))))+((C2472=TRUE)*IF(Inputs!$B$3&gt;=126,10*MIN(1,15*Q2472),0))+((C2481=TRUE)*IF(Inputs!$B$39="pvp",20,(1-Summary!$B$11)*(20)+Summary!$B$11*(0))*IF(AND(Inputs!$B$39&lt;&gt;"pvp",Inputs!$B$44&gt;0),(((R2481-1)*MIN((Skills!T14*(1+Inputs!$B$35/100)),(1/Q2481))+MIN((Skills!T14*(1+Inputs!$B$35/100)),MAX(0,Inputs!$B$44-((R2481-1)*(1/Q2481)))))/Inputs!$B$44),IF(Inputs!$B$39="pvp",MIN((Skills!T14*(1+Inputs!$B$35/100)),15)/15,MIN(1,(Skills!T14*(1+Inputs!$B$35/100))/(1/Q2481)))))+((C2480=TRUE)*IF(Inputs!$B$3&gt;=82,IF(Inputs!$B$39="pvp",20,(1-Summary!$B$11)*(20)+Summary!$B$11*(0)),0)*IF(AND(Inputs!$B$39&lt;&gt;"pvp",Inputs!$B$44&gt;0),(((R2480-1)*MIN((Skills!T13*(1+Inputs!$B$35/100)),(1/Q2480))+MIN((Skills!T13*(1+Inputs!$B$35/100)),MAX(0,Inputs!$B$44-((R2480-1)*(1/Q2480)))))/Inputs!$B$44),IF(Inputs!$B$39="pvp",MIN((Skills!T13*(1+Inputs!$B$35/100)),15)/15,MIN(1,(Skills!T13*(1+Inputs!$B$35/100))/(1/Q2480)))))+(IF(AND(ArtifactsInput!$M$35,Inputs!$B$4&lt;&gt;"Chapter Hunt"),CHOOSE(ArtifactsInput!$N$35+1,15,18,21,24,27,30)*(1-EXP(-(0.2*B2498)*5)),0)+IF(AND(ArtifactsInput!$M$22,Inputs!$B$4&lt;&gt;"Chapter Hunt"),CHOOSE(ArtifactsInput!$N$22+1,10,12,14,16,18,20)*((0*(((0.15*B2498*5))^0/1)+1*(((0.15*B2498*5))^1/1)+2*(((0.15*B2498*5))^2/2)+3*(((0.15*B2498*5))^3/6)+4*(((0.15*B2498*5))^4/24)+5*(((0.15*B2498*5))^5/120))/((((0.15*B2498*5))^0/1)+(((0.15*B2498*5))^1/1)+(((0.15*B2498*5))^2/2)+(((0.15*B2498*5))^3/6)+(((0.15*B2498*5))^4/24)+(((0.15*B2498*5))^5/120))),0))+(IF(AND(IF(ArtifactsInput!$M$36,FALSE,TRUE),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2476*(1-MIN(100,(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2476*(MIN(100,(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2476*(1-MIN(100,(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2476*(MIN(100,(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76">
        <f>IF(C2476,(H2476*N2476*IF(AND(Inputs!$B$39&lt;&gt;"pvp",Inputs!$B$44&gt;0),((Skills!G9*((R2476-1)*IF(Skills!H9&gt;0,INT(Skills!I9/Skills!H9+0.000000001),1)+IF(Skills!H9&gt;0,INT(MIN(Skills!I9,MAX(0,MAX(0,Inputs!$B$44-B2503)-((R2476-1)*IF(Inputs!$B$39="pvp",15,MAX(0.1,Skills!D9-IF(TRUE=TRUE,Inputs!$B$33,0))))))/Skills!H9+0.000000001),1)))/Inputs!$B$44),G2476*Q2476))*IF(Inputs!$B$39="pvp",1,(1+(Inputs!$B$22+Skills!Q9+((C2484=TRUE)*F2484*IF(AND(Inputs!$B$39&lt;&gt;"pvp",Inputs!$B$44&gt;0),(((R2484-1)*MIN((Skills!T17*(1+Inputs!$B$35/100)),(1/Q2484))+MIN((Skills!T17*(1+Inputs!$B$35/100)),MAX(0,Inputs!$B$44-((R2484-1)*(1/Q2484)))))/Inputs!$B$44),IF(Inputs!$B$39="pvp",MIN((Skills!T17*(1+Inputs!$B$35/100)),15)/15,MIN(1,(Skills!T17*(1+Inputs!$B$35/100))/(1/Q2484)))))+((C2472=TRUE)*IF(Inputs!$B$3&gt;=126,10*MIN(1,15*Q2472),0))+((C2481=TRUE)*IF(Inputs!$B$39="pvp",20,(1-Summary!$B$11)*(20)+Summary!$B$11*(0))*IF(AND(Inputs!$B$39&lt;&gt;"pvp",Inputs!$B$44&gt;0),(((R2481-1)*MIN((Skills!T14*(1+Inputs!$B$35/100)),(1/Q2481))+MIN((Skills!T14*(1+Inputs!$B$35/100)),MAX(0,Inputs!$B$44-((R2481-1)*(1/Q2481)))))/Inputs!$B$44),IF(Inputs!$B$39="pvp",MIN((Skills!T14*(1+Inputs!$B$35/100)),15)/15,MIN(1,(Skills!T14*(1+Inputs!$B$35/100))/(1/Q2481)))))+((C2480=TRUE)*IF(Inputs!$B$3&gt;=82,IF(Inputs!$B$39="pvp",20,(1-Summary!$B$11)*(20)+Summary!$B$11*(0)),0)*IF(AND(Inputs!$B$39&lt;&gt;"pvp",Inputs!$B$44&gt;0),(((R2480-1)*MIN((Skills!T13*(1+Inputs!$B$35/100)),(1/Q2480))+MIN((Skills!T13*(1+Inputs!$B$35/100)),MAX(0,Inputs!$B$44-((R2480-1)*(1/Q2480)))))/Inputs!$B$44),IF(Inputs!$B$39="pvp",MIN((Skills!T13*(1+Inputs!$B$35/100)),15)/15,MIN(1,(Skills!T13*(1+Inputs!$B$35/100))/(1/Q2480)))))+(IF(AND(ArtifactsInput!$M$35,Inputs!$B$4&lt;&gt;"Chapter Hunt"),CHOOSE(ArtifactsInput!$N$35+1,15,18,21,24,27,30)*(1-EXP(-(0.2*B2498)*5)),0)+IF(AND(ArtifactsInput!$M$22,Inputs!$B$4&lt;&gt;"Chapter Hunt"),CHOOSE(ArtifactsInput!$N$22+1,10,12,14,16,18,20)*((0*(((0.15*B2498*5))^0/1)+1*(((0.15*B2498*5))^1/1)+2*(((0.15*B2498*5))^2/2)+3*(((0.15*B2498*5))^3/6)+4*(((0.15*B2498*5))^4/24)+5*(((0.15*B2498*5))^5/120))/((((0.15*B2498*5))^0/1)+(((0.15*B2498*5))^1/1)+(((0.15*B2498*5))^2/2)+(((0.15*B2498*5))^3/6)+(((0.15*B2498*5))^4/24)+(((0.15*B2498*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77">
      <c r="A2477">
        <f>Skills!A10</f>
        <v/>
      </c>
      <c r="B2477">
        <f>Skills!B10</f>
        <v/>
      </c>
      <c r="C2477">
        <f>Inputs!$B$3&gt;=110</f>
        <v/>
      </c>
      <c r="D2477">
        <f>IF(Skills!C10=1,60+Inputs!$B$26+Inputs!$B$30,IF(Skills!C10=2,90+Inputs!$B$27+Inputs!$B$30,IF(Skills!C10=3,120+Inputs!$B$28+Inputs!$B$30,MAX(0,(Inputs!$B$3-100)*3)+Inputs!$B$29+Inputs!$B$30)))</f>
        <v/>
      </c>
      <c r="E2477">
        <f>INDEX(FactorTable!$B$2:$Y$301, MATCH(ROUND(MIN(300,MAX(1,D2477)),0), FactorTable!$A$2:$A$301,0), Skills!M10+1)</f>
        <v/>
      </c>
      <c r="F2477">
        <f>IF(Skills!N10=TRUE,(Skills!L10/10)*(E2477/1000),Skills!L10/10)+Skills!O10</f>
        <v/>
      </c>
      <c r="G2477">
        <f>Skills!G10*IF(Skills!H10&gt;0,INT(IF(Inputs!$B$39="pvp",MIN(Skills!I10,15),Skills!I10)/Skills!H10+0.000000001),1)</f>
        <v/>
      </c>
      <c r="H2477">
        <f>1-(1-Skills!J10/100)^Skills!K10</f>
        <v/>
      </c>
      <c r="I2477" t="inlineStr">
        <is>
          <t>1</t>
        </is>
      </c>
      <c r="J2477">
        <f>((Inputs!$B$6*(1+Inputs!$B$7/100))+(((Inputs!$B$13*(1+Inputs!$B$14/100))-(Inputs!$B$13*(1+Inputs!$B$14/100)))+0.25*(Inputs!$B$15-Inputs!$B$15))*(1+Inputs!$B$7/100))*(F2477/100)</f>
        <v/>
      </c>
      <c r="K2477">
        <f>J2477*(1+(((Inputs!$B$13+IF(Inputs!$B$3&gt;=38,(10*INDEX(FactorTable!$B$2:$Y$301, MATCH(ROUND(MIN(300,MAX(1,Inputs!$B$3)),0), FactorTable!$A$2:$A$301,0), 23)/1000)/100*(Inputs!$B$8*(1+Inputs!$B$9/100)),0))*(1+Inputs!$B$14/100))*0.01+Inputs!$B$15*0.0025)/100)*(1+Inputs!$B$16/100)*(1+Inputs!$B$17/100)*(5000/(6000+Inputs!$B$43*(1-(Inputs!$B$20+0)/100)))*(1+(Inputs!$B$25+((C2492=TRUE)*(F2492-Calc!F25))+((C2493=TRUE)*(F2493-Calc!F26))+B2502)/100)*(1+(((1+IF(AND(IF(ArtifactsInput!$M$36,FALSE,TRUE),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gt;=100),MIN(100,((Inputs!$B$10+0+B2496+(ArtifactsInput!$M$24-ArtifactsInput!$M$24)*CHOOSE(ArtifactsInput!$N$24+1,10,12,14,16,18,20)+IF(ArtifactsInput!$M$10,CHOOSE(ArtifactsInput!$N$10+1,15,18,21,24,27,30)*(IF(Inputs!$B$39="pvp",MIN(15,15)/15,IF(AND(Inputs!$B$39&lt;&gt;"pvp",Inputs!$B$44&gt;0),MIN(15,Inputs!$B$44)/(Inputs!$B$44),0))),0)))-100),0))*CHOOSE(ArtifactsInput!$N$42+1,0.6,0.72,0.84,0.96,1.08,1.2))),Inputs!$B$19+((C2490=TRUE)*(F2490-Calc!F23))+(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gt;=100),CHOOSE(ArtifactsInput!$N$42+1,40,48,56,64,72,80),0))))/100)*((1+(((C2480=TRUE)*F2480*IF(AND(Inputs!$B$39&lt;&gt;"pvp",Inputs!$B$44&gt;0),(((R2480-1)*MIN((Skills!T13*(1+Inputs!$B$35/100)),(1/Q2480))+MIN((Skills!T13*(1+Inputs!$B$35/100)),MAX(0,Inputs!$B$44-((R2480-1)*(1/Q2480)))))/Inputs!$B$44),IF(Inputs!$B$39="pvp",MIN((Skills!T13*(1+Inputs!$B$35/100)),15)/15,MIN(1,(Skills!T13*(1+Inputs!$B$35/100))/(1/Q2480)))))+((C2481=TRUE)*F2481*IF(AND(Inputs!$B$39&lt;&gt;"pvp",Inputs!$B$44&gt;0),(((R2481-1)*MIN((Skills!T14*(1+Inputs!$B$35/100)),(1/Q2481))+MIN((Skills!T14*(1+Inputs!$B$35/100)),MAX(0,Inputs!$B$44-((R2481-1)*(1/Q2481)))))/Inputs!$B$44),IF(Inputs!$B$39="pvp",MIN((Skills!T14*(1+Inputs!$B$35/100)),15)/15,MIN(1,(Skills!T14*(1+Inputs!$B$35/100))/(1/Q2481)))))+((C2482=TRUE)*F2482*IF(AND(Inputs!$B$39&lt;&gt;"pvp",Inputs!$B$44&gt;0),(((R2482-1)*MIN((Skills!T15*(1+Inputs!$B$35/100)),(1/Q2482))+MIN((Skills!T15*(1+Inputs!$B$35/100)),MAX(0,Inputs!$B$44-((R2482-1)*(1/Q2482)))))/Inputs!$B$44),IF(Inputs!$B$39="pvp",MIN((Skills!T15*(1+Inputs!$B$35/100)),15)/15,MIN(1,(Skills!T15*(1+Inputs!$B$35/100))/(1/Q2482)))))+((C2483=TRUE)*F2483*IF(AND(Inputs!$B$39&lt;&gt;"pvp",Inputs!$B$44&gt;0),(((R2483-1)*MIN((Skills!T16*(1+Inputs!$B$35/100)),(1/Q2483))+MIN((Skills!T16*(1+Inputs!$B$35/100)),MAX(0,Inputs!$B$44-((R2483-1)*(1/Q2483)))))/Inputs!$B$44),IF(Inputs!$B$39="pvp",MIN((Skills!T16*(1+Inputs!$B$35/100)),15)/15,MIN(1,(Skills!T16*(1+Inputs!$B$35/100))/(1/Q2483)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2477)</f>
        <v/>
      </c>
      <c r="L2477">
        <f>K2477*(MIN(Inputs!$B$23+((C2489=TRUE)*(F2489-Calc!F22)),(Inputs!$B$24+((C2491=TRUE)*(F2491-Calc!F24))+(IF(ArtifactsInput!$M$15,CHOOSE(ArtifactsInput!$N$15+1,25,30,35,40,45,50)/100*(Inputs!$B$12-Inputs!$B$12),0))))/100+(Inputs!$B$24+((C2491=TRUE)*(F2491-Calc!F24))+(IF(ArtifactsInput!$M$15,CHOOSE(ArtifactsInput!$N$15+1,25,30,35,40,45,50)/100*(Inputs!$B$12-Inputs!$B$12),0)))/100)/2</f>
        <v/>
      </c>
      <c r="M2477">
        <f>L2477*(1+(Inputs!$B$11+0+B2501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477">
        <f>L2477*(1-MIN((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2477*(MIN((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77">
        <f>(1-Summary!$B$11)*T2477+Summary!$B$11*V2477</f>
        <v/>
      </c>
      <c r="P2477">
        <f>IF(B2506=0,0,O2477/B2506)</f>
        <v/>
      </c>
      <c r="Q2477">
        <f>IFERROR(1/IF(Inputs!$B$39="pvp",15,MAX(0.1,Skills!D10-IF(TRUE=TRUE,Inputs!$B$33,0))),0)</f>
        <v/>
      </c>
      <c r="R2477">
        <f>IF(AND(Inputs!$B$39&lt;&gt;"pvp",Inputs!$B$44&gt;0),IF(MAX(0,Inputs!$B$44-B2503)&lt;=0,0,(INT(MAX(0,Inputs!$B$44-B2503)/IF(Inputs!$B$39="pvp",15,MAX(0.1,Skills!D10-IF(TRUE=TRUE,Inputs!$B$33,0))))+1)),0)</f>
        <v/>
      </c>
      <c r="S2477">
        <f>IFERROR(O2477/N2477,0)</f>
        <v/>
      </c>
      <c r="T2477">
        <f>IF(C2477,(H2477*N2477*IF(AND(Inputs!$B$39&lt;&gt;"pvp",Inputs!$B$44&gt;0),((Skills!G10*((R2477-1)*IF(Skills!H10&gt;0,INT(Skills!I10/Skills!H10+0.000000001),1)+IF(Skills!H10&gt;0,INT(MIN(Skills!I10,MAX(0,MAX(0,Inputs!$B$44-B2503)-((R2477-1)*IF(Inputs!$B$39="pvp",15,MAX(0.1,Skills!D10-IF(TRUE=TRUE,Inputs!$B$33,0))))))/Skills!H10+0.000000001),1)))/Inputs!$B$44),G2477*Q2477))*IF(Inputs!$B$39="pvp",1,1+(Inputs!$B$21+0+Skills!P10+((C2484=TRUE)*F2484*IF(AND(Inputs!$B$39&lt;&gt;"pvp",Inputs!$B$44&gt;0),(((R2484-1)*MIN((Skills!T17*(1+Inputs!$B$35/100)),(1/Q2484))+MIN((Skills!T17*(1+Inputs!$B$35/100)),MAX(0,Inputs!$B$44-((R2484-1)*(1/Q2484)))))/Inputs!$B$44),IF(Inputs!$B$39="pvp",MIN((Skills!T17*(1+Inputs!$B$35/100)),15)/15,MIN(1,(Skills!T17*(1+Inputs!$B$35/100))/(1/Q2484)))))+((C2472=TRUE)*IF(Inputs!$B$3&gt;=126,10*MIN(1,15*Q2472),0))+((C2481=TRUE)*IF(Inputs!$B$39="pvp",20,(1-Summary!$B$11)*(20)+Summary!$B$11*(0))*IF(AND(Inputs!$B$39&lt;&gt;"pvp",Inputs!$B$44&gt;0),(((R2481-1)*MIN((Skills!T14*(1+Inputs!$B$35/100)),(1/Q2481))+MIN((Skills!T14*(1+Inputs!$B$35/100)),MAX(0,Inputs!$B$44-((R2481-1)*(1/Q2481)))))/Inputs!$B$44),IF(Inputs!$B$39="pvp",MIN((Skills!T14*(1+Inputs!$B$35/100)),15)/15,MIN(1,(Skills!T14*(1+Inputs!$B$35/100))/(1/Q2481)))))+((C2480=TRUE)*IF(Inputs!$B$3&gt;=82,IF(Inputs!$B$39="pvp",20,(1-Summary!$B$11)*(20)+Summary!$B$11*(0)),0)*IF(AND(Inputs!$B$39&lt;&gt;"pvp",Inputs!$B$44&gt;0),(((R2480-1)*MIN((Skills!T13*(1+Inputs!$B$35/100)),(1/Q2480))+MIN((Skills!T13*(1+Inputs!$B$35/100)),MAX(0,Inputs!$B$44-((R2480-1)*(1/Q2480)))))/Inputs!$B$44),IF(Inputs!$B$39="pvp",MIN((Skills!T13*(1+Inputs!$B$35/100)),15)/15,MIN(1,(Skills!T13*(1+Inputs!$B$35/100))/(1/Q2480)))))+(IF(AND(ArtifactsInput!$M$35,Inputs!$B$4&lt;&gt;"Chapter Hunt"),CHOOSE(ArtifactsInput!$N$35+1,15,18,21,24,27,30)*(1-EXP(-(0.2*B2498)*5)),0)+IF(AND(ArtifactsInput!$M$22,Inputs!$B$4&lt;&gt;"Chapter Hunt"),CHOOSE(ArtifactsInput!$N$22+1,10,12,14,16,18,20)*((0*(((0.15*B2498*5))^0/1)+1*(((0.15*B2498*5))^1/1)+2*(((0.15*B2498*5))^2/2)+3*(((0.15*B2498*5))^3/6)+4*(((0.15*B2498*5))^4/24)+5*(((0.15*B2498*5))^5/120))/((((0.15*B2498*5))^0/1)+(((0.15*B2498*5))^1/1)+(((0.15*B2498*5))^2/2)+(((0.15*B2498*5))^3/6)+(((0.15*B2498*5))^4/24)+(((0.15*B2498*5))^5/120))),0))+(IF(AND(IF(ArtifactsInput!$M$36,FALSE,TRUE),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2477*(1-MIN(100,(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2477*(MIN(100,(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2477*(1-MIN(100,(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2477*(MIN(100,(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77">
        <f>IF(C2477,(H2477*N2477*IF(AND(Inputs!$B$39&lt;&gt;"pvp",Inputs!$B$44&gt;0),((Skills!G10*((R2477-1)*IF(Skills!H10&gt;0,INT(Skills!I10/Skills!H10+0.000000001),1)+IF(Skills!H10&gt;0,INT(MIN(Skills!I10,MAX(0,MAX(0,Inputs!$B$44-B2503)-((R2477-1)*IF(Inputs!$B$39="pvp",15,MAX(0.1,Skills!D10-IF(TRUE=TRUE,Inputs!$B$33,0))))))/Skills!H10+0.000000001),1)))/Inputs!$B$44),G2477*Q2477))*IF(Inputs!$B$39="pvp",1,(1+(Inputs!$B$22+Skills!Q10+((C2484=TRUE)*F2484*IF(AND(Inputs!$B$39&lt;&gt;"pvp",Inputs!$B$44&gt;0),(((R2484-1)*MIN((Skills!T17*(1+Inputs!$B$35/100)),(1/Q2484))+MIN((Skills!T17*(1+Inputs!$B$35/100)),MAX(0,Inputs!$B$44-((R2484-1)*(1/Q2484)))))/Inputs!$B$44),IF(Inputs!$B$39="pvp",MIN((Skills!T17*(1+Inputs!$B$35/100)),15)/15,MIN(1,(Skills!T17*(1+Inputs!$B$35/100))/(1/Q2484)))))+((C2472=TRUE)*IF(Inputs!$B$3&gt;=126,10*MIN(1,15*Q2472),0))+((C2481=TRUE)*IF(Inputs!$B$39="pvp",20,(1-Summary!$B$11)*(20)+Summary!$B$11*(0))*IF(AND(Inputs!$B$39&lt;&gt;"pvp",Inputs!$B$44&gt;0),(((R2481-1)*MIN((Skills!T14*(1+Inputs!$B$35/100)),(1/Q2481))+MIN((Skills!T14*(1+Inputs!$B$35/100)),MAX(0,Inputs!$B$44-((R2481-1)*(1/Q2481)))))/Inputs!$B$44),IF(Inputs!$B$39="pvp",MIN((Skills!T14*(1+Inputs!$B$35/100)),15)/15,MIN(1,(Skills!T14*(1+Inputs!$B$35/100))/(1/Q2481)))))+((C2480=TRUE)*IF(Inputs!$B$3&gt;=82,IF(Inputs!$B$39="pvp",20,(1-Summary!$B$11)*(20)+Summary!$B$11*(0)),0)*IF(AND(Inputs!$B$39&lt;&gt;"pvp",Inputs!$B$44&gt;0),(((R2480-1)*MIN((Skills!T13*(1+Inputs!$B$35/100)),(1/Q2480))+MIN((Skills!T13*(1+Inputs!$B$35/100)),MAX(0,Inputs!$B$44-((R2480-1)*(1/Q2480)))))/Inputs!$B$44),IF(Inputs!$B$39="pvp",MIN((Skills!T13*(1+Inputs!$B$35/100)),15)/15,MIN(1,(Skills!T13*(1+Inputs!$B$35/100))/(1/Q2480)))))+(IF(AND(ArtifactsInput!$M$35,Inputs!$B$4&lt;&gt;"Chapter Hunt"),CHOOSE(ArtifactsInput!$N$35+1,15,18,21,24,27,30)*(1-EXP(-(0.2*B2498)*5)),0)+IF(AND(ArtifactsInput!$M$22,Inputs!$B$4&lt;&gt;"Chapter Hunt"),CHOOSE(ArtifactsInput!$N$22+1,10,12,14,16,18,20)*((0*(((0.15*B2498*5))^0/1)+1*(((0.15*B2498*5))^1/1)+2*(((0.15*B2498*5))^2/2)+3*(((0.15*B2498*5))^3/6)+4*(((0.15*B2498*5))^4/24)+5*(((0.15*B2498*5))^5/120))/((((0.15*B2498*5))^0/1)+(((0.15*B2498*5))^1/1)+(((0.15*B2498*5))^2/2)+(((0.15*B2498*5))^3/6)+(((0.15*B2498*5))^4/24)+(((0.15*B2498*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78">
      <c r="A2478">
        <f>Skills!A11</f>
        <v/>
      </c>
      <c r="B2478">
        <f>Skills!B11</f>
        <v/>
      </c>
      <c r="C2478">
        <f>Inputs!$B$3&gt;=100</f>
        <v/>
      </c>
      <c r="D2478">
        <f>IF(Skills!C11=1,60+Inputs!$B$26+Inputs!$B$30,IF(Skills!C11=2,90+Inputs!$B$27+Inputs!$B$30,IF(Skills!C11=3,120+Inputs!$B$28+Inputs!$B$30,MAX(0,(Inputs!$B$3-100)*3)+Inputs!$B$29+Inputs!$B$30)))</f>
        <v/>
      </c>
      <c r="E2478">
        <f>INDEX(FactorTable!$B$2:$Y$301, MATCH(ROUND(MIN(300,MAX(1,D2478)),0), FactorTable!$A$2:$A$301,0), Skills!M11+1)</f>
        <v/>
      </c>
      <c r="F2478">
        <f>IF(Skills!N11=TRUE,(Skills!L11/10)*(E2478/1000),Skills!L11/10)+Skills!O11</f>
        <v/>
      </c>
      <c r="G2478" t="inlineStr"/>
      <c r="H2478" t="inlineStr"/>
      <c r="I2478" t="inlineStr">
        <is>
          <t>1</t>
        </is>
      </c>
      <c r="J2478" t="inlineStr"/>
      <c r="K2478" t="inlineStr"/>
      <c r="L2478" t="inlineStr"/>
      <c r="M2478" t="inlineStr"/>
      <c r="N2478" t="inlineStr"/>
      <c r="O2478" t="inlineStr"/>
      <c r="P2478" t="inlineStr"/>
      <c r="Q2478" t="inlineStr"/>
      <c r="R2478" t="inlineStr"/>
      <c r="S2478" t="inlineStr"/>
    </row>
    <row r="2479">
      <c r="A2479">
        <f>Skills!A12</f>
        <v/>
      </c>
      <c r="B2479">
        <f>Skills!B12</f>
        <v/>
      </c>
      <c r="C2479">
        <f>Inputs!$B$3&gt;=63</f>
        <v/>
      </c>
      <c r="D2479">
        <f>IF(Skills!C12=1,60+Inputs!$B$26+Inputs!$B$30,IF(Skills!C12=2,90+Inputs!$B$27+Inputs!$B$30,IF(Skills!C12=3,120+Inputs!$B$28+Inputs!$B$30,MAX(0,(Inputs!$B$3-100)*3)+Inputs!$B$29+Inputs!$B$30)))</f>
        <v/>
      </c>
      <c r="E2479">
        <f>INDEX(FactorTable!$B$2:$Y$301, MATCH(ROUND(MIN(300,MAX(1,D2479)),0), FactorTable!$A$2:$A$301,0), Skills!M12+1)</f>
        <v/>
      </c>
      <c r="F2479">
        <f>IF(Skills!N12=TRUE,(Skills!L12/10)*(E2479/1000),Skills!L12/10)+Skills!O12</f>
        <v/>
      </c>
      <c r="G2479">
        <f>Skills!G12*IF(Skills!H12&gt;0,INT(IF(Inputs!$B$39="pvp",MIN(Skills!I12,15),Skills!I12)/Skills!H12+0.000000001),1)</f>
        <v/>
      </c>
      <c r="H2479">
        <f>1-(1-Skills!J12/100)^Skills!K12</f>
        <v/>
      </c>
      <c r="I2479" t="inlineStr">
        <is>
          <t>1</t>
        </is>
      </c>
      <c r="J2479">
        <f>((Inputs!$B$6*(1+Inputs!$B$7/100))+(((Inputs!$B$13*(1+Inputs!$B$14/100))-(Inputs!$B$13*(1+Inputs!$B$14/100)))+0.25*(Inputs!$B$15-Inputs!$B$15))*(1+Inputs!$B$7/100))*(F2479/100)</f>
        <v/>
      </c>
      <c r="K2479">
        <f>J2479*(1+(((Inputs!$B$13+IF(Inputs!$B$3&gt;=38,(10*INDEX(FactorTable!$B$2:$Y$301, MATCH(ROUND(MIN(300,MAX(1,Inputs!$B$3)),0), FactorTable!$A$2:$A$301,0), 23)/1000)/100*(Inputs!$B$8*(1+Inputs!$B$9/100)),0))*(1+Inputs!$B$14/100))*0.01+Inputs!$B$15*0.0025)/100)*(1+Inputs!$B$16/100)*(1+Inputs!$B$17/100)*(5000/(6000+Inputs!$B$43*(1-(Inputs!$B$20+0)/100)))*(1+(Inputs!$B$25+((C2492=TRUE)*(F2492-Calc!F25))+((C2493=TRUE)*(F2493-Calc!F26))+B2502)/100)*(1+(((1+IF(AND(IF(ArtifactsInput!$M$36,FALSE,TRUE),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2478=TRUE,F2478,0)/100)*(1+(IF(Skills!A12="DARK_IMPALE",Inputs!$B$18+0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gt;=100),MIN(100,((Inputs!$B$10+0+B2496+(ArtifactsInput!$M$24-ArtifactsInput!$M$24)*CHOOSE(ArtifactsInput!$N$24+1,10,12,14,16,18,20)+IF(ArtifactsInput!$M$10,CHOOSE(ArtifactsInput!$N$10+1,15,18,21,24,27,30)*(IF(Inputs!$B$39="pvp",MIN(15,15)/15,IF(AND(Inputs!$B$39&lt;&gt;"pvp",Inputs!$B$44&gt;0),MIN(15,Inputs!$B$44)/(Inputs!$B$44),0))),0)))-100),0))*CHOOSE(ArtifactsInput!$N$42+1,0.6,0.72,0.84,0.96,1.08,1.2))),Inputs!$B$19+((C2490=TRUE)*(F2490-Calc!F23))+(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gt;=100),CHOOSE(ArtifactsInput!$N$42+1,40,48,56,64,72,80),0))))/100)*((1+(((C2480=TRUE)*F2480*IF(AND(Inputs!$B$39&lt;&gt;"pvp",Inputs!$B$44&gt;0),(((R2480-1)*MIN((Skills!T13*(1+Inputs!$B$35/100)),(1/Q2480))+MIN((Skills!T13*(1+Inputs!$B$35/100)),MAX(0,Inputs!$B$44-((R2480-1)*(1/Q2480)))))/Inputs!$B$44),IF(Inputs!$B$39="pvp",MIN((Skills!T13*(1+Inputs!$B$35/100)),15)/15,MIN(1,(Skills!T13*(1+Inputs!$B$35/100))/(1/Q2480)))))+((C2481=TRUE)*F2481*IF(AND(Inputs!$B$39&lt;&gt;"pvp",Inputs!$B$44&gt;0),(((R2481-1)*MIN((Skills!T14*(1+Inputs!$B$35/100)),(1/Q2481))+MIN((Skills!T14*(1+Inputs!$B$35/100)),MAX(0,Inputs!$B$44-((R2481-1)*(1/Q2481)))))/Inputs!$B$44),IF(Inputs!$B$39="pvp",MIN((Skills!T14*(1+Inputs!$B$35/100)),15)/15,MIN(1,(Skills!T14*(1+Inputs!$B$35/100))/(1/Q2481)))))+((C2482=TRUE)*F2482*IF(AND(Inputs!$B$39&lt;&gt;"pvp",Inputs!$B$44&gt;0),(((R2482-1)*MIN((Skills!T15*(1+Inputs!$B$35/100)),(1/Q2482))+MIN((Skills!T15*(1+Inputs!$B$35/100)),MAX(0,Inputs!$B$44-((R2482-1)*(1/Q2482)))))/Inputs!$B$44),IF(Inputs!$B$39="pvp",MIN((Skills!T15*(1+Inputs!$B$35/100)),15)/15,MIN(1,(Skills!T15*(1+Inputs!$B$35/100))/(1/Q2482)))))+((C2483=TRUE)*F2483*IF(AND(Inputs!$B$39&lt;&gt;"pvp",Inputs!$B$44&gt;0),(((R2483-1)*MIN((Skills!T16*(1+Inputs!$B$35/100)),(1/Q2483))+MIN((Skills!T16*(1+Inputs!$B$35/100)),MAX(0,Inputs!$B$44-((R2483-1)*(1/Q2483)))))/Inputs!$B$44),IF(Inputs!$B$39="pvp",MIN((Skills!T16*(1+Inputs!$B$35/100)),15)/15,MIN(1,(Skills!T16*(1+Inputs!$B$35/100))/(1/Q2483)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2479)</f>
        <v/>
      </c>
      <c r="L2479">
        <f>K2479*(MIN(Inputs!$B$23+((C2489=TRUE)*(F2489-Calc!F22)),(Inputs!$B$24+((C2491=TRUE)*(F2491-Calc!F24))+(IF(ArtifactsInput!$M$15,CHOOSE(ArtifactsInput!$N$15+1,25,30,35,40,45,50)/100*(Inputs!$B$12-Inputs!$B$12),0))))/100+(Inputs!$B$24+((C2491=TRUE)*(F2491-Calc!F24))+(IF(ArtifactsInput!$M$15,CHOOSE(ArtifactsInput!$N$15+1,25,30,35,40,45,50)/100*(Inputs!$B$12-Inputs!$B$12),0)))/100)/2</f>
        <v/>
      </c>
      <c r="M2479">
        <f>L2479*(1+(Inputs!$B$11+0+B2501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479">
        <f>L2479*(1-MIN((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2479*(MIN((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79">
        <f>(1-Summary!$B$11)*T2479+Summary!$B$11*V2479</f>
        <v/>
      </c>
      <c r="P2479">
        <f>IF(B2506=0,0,O2479/B2506)</f>
        <v/>
      </c>
      <c r="Q2479">
        <f>IFERROR(1/IF(Inputs!$B$39="pvp",15,MAX(0.1,Skills!D12-IF(TRUE=TRUE,Inputs!$B$33,0))),0)</f>
        <v/>
      </c>
      <c r="R2479">
        <f>IF(AND(Inputs!$B$39&lt;&gt;"pvp",Inputs!$B$44&gt;0),IF(MAX(0,Inputs!$B$44-B2503)&lt;=0,0,(INT(MAX(0,Inputs!$B$44-B2503)/IF(Inputs!$B$39="pvp",15,MAX(0.1,Skills!D12-IF(TRUE=TRUE,Inputs!$B$33,0))))+1)),0)</f>
        <v/>
      </c>
      <c r="S2479">
        <f>IFERROR(O2479/N2479,0)</f>
        <v/>
      </c>
      <c r="T2479">
        <f>IF(C2479,(H2479*N2479*IF(AND(Inputs!$B$39&lt;&gt;"pvp",Inputs!$B$44&gt;0),((Skills!G12*((R2479-1)*IF(Skills!H12&gt;0,INT(Skills!I12/Skills!H12+0.000000001),1)+IF(Skills!H12&gt;0,INT(MIN(Skills!I12,MAX(0,MAX(0,Inputs!$B$44-B2503)-((R2479-1)*IF(Inputs!$B$39="pvp",15,MAX(0.1,Skills!D12-IF(TRUE=TRUE,Inputs!$B$33,0))))))/Skills!H12+0.000000001),1)))/Inputs!$B$44),G2479*Q2479))*IF(Inputs!$B$39="pvp",1,1+(Inputs!$B$21+0+Skills!P12+((C2484=TRUE)*F2484*IF(AND(Inputs!$B$39&lt;&gt;"pvp",Inputs!$B$44&gt;0),(((R2484-1)*MIN((Skills!T17*(1+Inputs!$B$35/100)),(1/Q2484))+MIN((Skills!T17*(1+Inputs!$B$35/100)),MAX(0,Inputs!$B$44-((R2484-1)*(1/Q2484)))))/Inputs!$B$44),IF(Inputs!$B$39="pvp",MIN((Skills!T17*(1+Inputs!$B$35/100)),15)/15,MIN(1,(Skills!T17*(1+Inputs!$B$35/100))/(1/Q2484)))))+((C2472=TRUE)*IF(Inputs!$B$3&gt;=126,10*MIN(1,15*Q2472),0))+((C2481=TRUE)*IF(Inputs!$B$39="pvp",20,(1-Summary!$B$11)*(20)+Summary!$B$11*(0))*IF(AND(Inputs!$B$39&lt;&gt;"pvp",Inputs!$B$44&gt;0),(((R2481-1)*MIN((Skills!T14*(1+Inputs!$B$35/100)),(1/Q2481))+MIN((Skills!T14*(1+Inputs!$B$35/100)),MAX(0,Inputs!$B$44-((R2481-1)*(1/Q2481)))))/Inputs!$B$44),IF(Inputs!$B$39="pvp",MIN((Skills!T14*(1+Inputs!$B$35/100)),15)/15,MIN(1,(Skills!T14*(1+Inputs!$B$35/100))/(1/Q2481)))))+((C2480=TRUE)*IF(Inputs!$B$3&gt;=82,IF(Inputs!$B$39="pvp",20,(1-Summary!$B$11)*(20)+Summary!$B$11*(0)),0)*IF(AND(Inputs!$B$39&lt;&gt;"pvp",Inputs!$B$44&gt;0),(((R2480-1)*MIN((Skills!T13*(1+Inputs!$B$35/100)),(1/Q2480))+MIN((Skills!T13*(1+Inputs!$B$35/100)),MAX(0,Inputs!$B$44-((R2480-1)*(1/Q2480)))))/Inputs!$B$44),IF(Inputs!$B$39="pvp",MIN((Skills!T13*(1+Inputs!$B$35/100)),15)/15,MIN(1,(Skills!T13*(1+Inputs!$B$35/100))/(1/Q2480)))))+(IF(AND(ArtifactsInput!$M$35,Inputs!$B$4&lt;&gt;"Chapter Hunt"),CHOOSE(ArtifactsInput!$N$35+1,15,18,21,24,27,30)*(1-EXP(-(0.2*B2498)*5)),0)+IF(AND(ArtifactsInput!$M$22,Inputs!$B$4&lt;&gt;"Chapter Hunt"),CHOOSE(ArtifactsInput!$N$22+1,10,12,14,16,18,20)*((0*(((0.15*B2498*5))^0/1)+1*(((0.15*B2498*5))^1/1)+2*(((0.15*B2498*5))^2/2)+3*(((0.15*B2498*5))^3/6)+4*(((0.15*B2498*5))^4/24)+5*(((0.15*B2498*5))^5/120))/((((0.15*B2498*5))^0/1)+(((0.15*B2498*5))^1/1)+(((0.15*B2498*5))^2/2)+(((0.15*B2498*5))^3/6)+(((0.15*B2498*5))^4/24)+(((0.15*B2498*5))^5/120))),0))+(IF(AND(IF(ArtifactsInput!$M$36,FALSE,TRUE),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2479*(1-MIN(100,(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2479*(MIN(100,(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2479*(1-MIN(100,(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2479*(MIN(100,(Inputs!$B$10+0+B2496+(ArtifactsInput!$M$24-ArtifactsInput!$M$24)*CHOOSE(ArtifactsInput!$N$24+1,10,12,14,16,18,20)+(IF(AND(Inputs!$B$39&lt;&gt;"pvp",Inputs!$B$44=0),1,IF(IF(Inputs!$B$39="pvp",15,Inputs!$B$44)-(B2503)&lt;=0,1,MAX(0,IF(Inputs!$B$39="pvp",15,Inputs!$B$44)-MAX(5,B2503))/(IF(Inputs!$B$39="pvp",15,Inputs!$B$44)-(B2503))))*IF(AND(ArtifactsInput!$M$42,((Inputs!$B$10+0+B2496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479">
        <f>IF(C2479,(H2479*N2479*IF(AND(Inputs!$B$39&lt;&gt;"pvp",Inputs!$B$44&gt;0),((Skills!G12*((R2479-1)*IF(Skills!H12&gt;0,INT(Skills!I12/Skills!H12+0.000000001),1)+IF(Skills!H12&gt;0,INT(MIN(Skills!I12,MAX(0,MAX(0,Inputs!$B$44-B2503)-((R2479-1)*IF(Inputs!$B$39="pvp",15,MAX(0.1,Skills!D12-IF(TRUE=TRUE,Inputs!$B$33,0))))))/Skills!H12+0.000000001),1)))/Inputs!$B$44),G2479*Q2479))*IF(Inputs!$B$39="pvp",1,(1+(Inputs!$B$22+Skills!Q12+((C2484=TRUE)*F2484*IF(AND(Inputs!$B$39&lt;&gt;"pvp",Inputs!$B$44&gt;0),(((R2484-1)*MIN((Skills!T17*(1+Inputs!$B$35/100)),(1/Q2484))+MIN((Skills!T17*(1+Inputs!$B$35/100)),MAX(0,Inputs!$B$44-((R2484-1)*(1/Q2484)))))/Inputs!$B$44),IF(Inputs!$B$39="pvp",MIN((Skills!T17*(1+Inputs!$B$35/100)),15)/15,MIN(1,(Skills!T17*(1+Inputs!$B$35/100))/(1/Q2484)))))+((C2472=TRUE)*IF(Inputs!$B$3&gt;=126,10*MIN(1,15*Q2472),0))+((C2481=TRUE)*IF(Inputs!$B$39="pvp",20,(1-Summary!$B$11)*(20)+Summary!$B$11*(0))*IF(AND(Inputs!$B$39&lt;&gt;"pvp",Inputs!$B$44&gt;0),(((R2481-1)*MIN((Skills!T14*(1+Inputs!$B$35/100)),(1/Q2481))+MIN((Skills!T14*(1+Inputs!$B$35/100)),MAX(0,Inputs!$B$44-((R2481-1)*(1/Q2481)))))/Inputs!$B$44),IF(Inputs!$B$39="pvp",MIN((Skills!T14*(1+Inputs!$B$35/100)),15)/15,MIN(1,(Skills!T14*(1+Inputs!$B$35/100))/(1/Q2481)))))+((C2480=TRUE)*IF(Inputs!$B$3&gt;=82,IF(Inputs!$B$39="pvp",20,(1-Summary!$B$11)*(20)+Summary!$B$11*(0)),0)*IF(AND(Inputs!$B$39&lt;&gt;"pvp",Inputs!$B$44&gt;0),(((R2480-1)*MIN((Skills!T13*(1+Inputs!$B$35/100)),(1/Q2480))+MIN((Skills!T13*(1+Inputs!$B$35/100)),MAX(0,Inputs!$B$44-((R2480-1)*(1/Q2480)))))/Inputs!$B$44),IF(Inputs!$B$39="pvp",MIN((Skills!T13*(1+Inputs!$B$35/100)),15)/15,MIN(1,(Skills!T13*(1+Inputs!$B$35/100))/(1/Q2480)))))+(IF(AND(ArtifactsInput!$M$35,Inputs!$B$4&lt;&gt;"Chapter Hunt"),CHOOSE(ArtifactsInput!$N$35+1,15,18,21,24,27,30)*(1-EXP(-(0.2*B2498)*5)),0)+IF(AND(ArtifactsInput!$M$22,Inputs!$B$4&lt;&gt;"Chapter Hunt"),CHOOSE(ArtifactsInput!$N$22+1,10,12,14,16,18,20)*((0*(((0.15*B2498*5))^0/1)+1*(((0.15*B2498*5))^1/1)+2*(((0.15*B2498*5))^2/2)+3*(((0.15*B2498*5))^3/6)+4*(((0.15*B2498*5))^4/24)+5*(((0.15*B2498*5))^5/120))/((((0.15*B2498*5))^0/1)+(((0.15*B2498*5))^1/1)+(((0.15*B2498*5))^2/2)+(((0.15*B2498*5))^3/6)+(((0.15*B2498*5))^4/24)+(((0.15*B2498*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80">
      <c r="A2480">
        <f>Skills!A13</f>
        <v/>
      </c>
      <c r="B2480">
        <f>Skills!B13</f>
        <v/>
      </c>
      <c r="C2480">
        <f>Inputs!$B$3&gt;=69</f>
        <v/>
      </c>
      <c r="D2480">
        <f>IF(Skills!C13=1,60+Inputs!$B$26+Inputs!$B$30,IF(Skills!C13=2,90+Inputs!$B$27+Inputs!$B$30,IF(Skills!C13=3,120+Inputs!$B$28+Inputs!$B$30,MAX(0,(Inputs!$B$3-100)*3)+Inputs!$B$29+Inputs!$B$30)))</f>
        <v/>
      </c>
      <c r="E2480">
        <f>INDEX(FactorTable!$B$2:$Y$301, MATCH(ROUND(MIN(300,MAX(1,D2480)),0), FactorTable!$A$2:$A$301,0), Skills!M13+1)</f>
        <v/>
      </c>
      <c r="F2480">
        <f>IF(Skills!N13=TRUE,(Skills!L13/10)*(E2480/1000),Skills!L13/10)+Skills!O13</f>
        <v/>
      </c>
      <c r="G2480">
        <f>Skills!G13*IF(Skills!H13&gt;0,INT(IF(Inputs!$B$39="pvp",MIN(Skills!I13,15),Skills!I13)/Skills!H13+0.000000001),1)</f>
        <v/>
      </c>
      <c r="H2480">
        <f>1-(1-Skills!J13/100)^Skills!K13</f>
        <v/>
      </c>
      <c r="I2480" t="inlineStr">
        <is>
          <t>1</t>
        </is>
      </c>
      <c r="J2480" t="inlineStr"/>
      <c r="K2480" t="inlineStr"/>
      <c r="L2480" t="inlineStr"/>
      <c r="M2480" t="inlineStr"/>
      <c r="N2480" t="inlineStr"/>
      <c r="O2480">
        <f>(1-Summary!$B$11)*T2480+Summary!$B$11*V2480</f>
        <v/>
      </c>
      <c r="P2480">
        <f>IF(B2506=0,0,O2480/B2506)</f>
        <v/>
      </c>
      <c r="Q2480">
        <f>IFERROR(1/IF(Inputs!$B$39="pvp",15,MAX(0.1,Skills!D13-IF(TRUE=TRUE,Inputs!$B$33,0))),0)</f>
        <v/>
      </c>
      <c r="R2480">
        <f>IF(AND(Inputs!$B$39&lt;&gt;"pvp",Inputs!$B$44&gt;0),IF(Inputs!$B$44&lt;=0,0,(INT(Inputs!$B$44/IF(Inputs!$B$39="pvp",15,MAX(0.1,Skills!D13-IF(TRUE=TRUE,Inputs!$B$33,0))))+1)),0)</f>
        <v/>
      </c>
      <c r="S2480">
        <f>IFERROR(O2480/N2480,0)</f>
        <v/>
      </c>
      <c r="T2480" t="n">
        <v>0</v>
      </c>
      <c r="V2480" t="n">
        <v>0</v>
      </c>
    </row>
    <row r="2481">
      <c r="A2481">
        <f>Skills!A14</f>
        <v/>
      </c>
      <c r="B2481">
        <f>Skills!B14</f>
        <v/>
      </c>
      <c r="C2481">
        <f>Inputs!$B$3&gt;=115</f>
        <v/>
      </c>
      <c r="D2481">
        <f>IF(Skills!C14=1,60+Inputs!$B$26+Inputs!$B$30,IF(Skills!C14=2,90+Inputs!$B$27+Inputs!$B$30,IF(Skills!C14=3,120+Inputs!$B$28+Inputs!$B$30,MAX(0,(Inputs!$B$3-100)*3)+Inputs!$B$29+Inputs!$B$30)))</f>
        <v/>
      </c>
      <c r="E2481">
        <f>INDEX(FactorTable!$B$2:$Y$301, MATCH(ROUND(MIN(300,MAX(1,D2481)),0), FactorTable!$A$2:$A$301,0), Skills!M14+1)</f>
        <v/>
      </c>
      <c r="F2481">
        <f>IF(Skills!N14=TRUE,(Skills!L14/10)*(E2481/1000),Skills!L14/10)+Skills!O14</f>
        <v/>
      </c>
      <c r="G2481">
        <f>Skills!G14*IF(Skills!H14&gt;0,INT(IF(Inputs!$B$39="pvp",MIN(Skills!I14,15),Skills!I14)/Skills!H14+0.000000001),1)</f>
        <v/>
      </c>
      <c r="H2481">
        <f>1-(1-Skills!J14/100)^Skills!K14</f>
        <v/>
      </c>
      <c r="I2481" t="inlineStr">
        <is>
          <t>1</t>
        </is>
      </c>
      <c r="J2481" t="inlineStr"/>
      <c r="K2481" t="inlineStr"/>
      <c r="L2481" t="inlineStr"/>
      <c r="M2481" t="inlineStr"/>
      <c r="N2481" t="inlineStr"/>
      <c r="O2481">
        <f>(1-Summary!$B$11)*T2481+Summary!$B$11*V2481</f>
        <v/>
      </c>
      <c r="P2481">
        <f>IF(B2506=0,0,O2481/B2506)</f>
        <v/>
      </c>
      <c r="Q2481">
        <f>IFERROR(1/IF(Inputs!$B$39="pvp",15,MAX(0.1,Skills!D14-IF(TRUE=TRUE,Inputs!$B$33,0))),0)</f>
        <v/>
      </c>
      <c r="R2481">
        <f>IF(AND(Inputs!$B$39&lt;&gt;"pvp",Inputs!$B$44&gt;0),IF(Inputs!$B$44&lt;=0,0,(INT(Inputs!$B$44/IF(Inputs!$B$39="pvp",15,MAX(0.1,Skills!D14-IF(TRUE=TRUE,Inputs!$B$33,0))))+1)),0)</f>
        <v/>
      </c>
      <c r="S2481">
        <f>IFERROR(O2481/N2481,0)</f>
        <v/>
      </c>
      <c r="T2481" t="n">
        <v>0</v>
      </c>
      <c r="V2481" t="n">
        <v>0</v>
      </c>
    </row>
    <row r="2482">
      <c r="A2482">
        <f>Skills!A15</f>
        <v/>
      </c>
      <c r="B2482">
        <f>Skills!B15</f>
        <v/>
      </c>
      <c r="C2482">
        <f>Inputs!$B$3&gt;=66</f>
        <v/>
      </c>
      <c r="D2482">
        <f>IF(Skills!C15=1,60+Inputs!$B$26+Inputs!$B$30,IF(Skills!C15=2,90+Inputs!$B$27+Inputs!$B$30,IF(Skills!C15=3,120+Inputs!$B$28+Inputs!$B$30,MAX(0,(Inputs!$B$3-100)*3)+Inputs!$B$29+Inputs!$B$30)))</f>
        <v/>
      </c>
      <c r="E2482">
        <f>INDEX(FactorTable!$B$2:$Y$301, MATCH(ROUND(MIN(300,MAX(1,D2482)),0), FactorTable!$A$2:$A$301,0), Skills!M15+1)</f>
        <v/>
      </c>
      <c r="F2482">
        <f>IF(Skills!N15=TRUE,(Skills!L15/10)*(E2482/1000),Skills!L15/10)+Skills!O15</f>
        <v/>
      </c>
      <c r="G2482">
        <f>Skills!G15*IF(Skills!H15&gt;0,INT(IF(Inputs!$B$39="pvp",MIN(Skills!I15,15),Skills!I15)/Skills!H15+0.000000001),1)</f>
        <v/>
      </c>
      <c r="H2482">
        <f>1-(1-Skills!J15/100)^Skills!K15</f>
        <v/>
      </c>
      <c r="I2482" t="inlineStr">
        <is>
          <t>1</t>
        </is>
      </c>
      <c r="J2482" t="inlineStr"/>
      <c r="K2482" t="inlineStr"/>
      <c r="L2482" t="inlineStr"/>
      <c r="M2482" t="inlineStr"/>
      <c r="N2482" t="inlineStr"/>
      <c r="O2482">
        <f>(1-Summary!$B$11)*T2482+Summary!$B$11*V2482</f>
        <v/>
      </c>
      <c r="P2482">
        <f>IF(B2506=0,0,O2482/B2506)</f>
        <v/>
      </c>
      <c r="Q2482">
        <f>IFERROR(1/IF(Inputs!$B$39="pvp",15,MAX(0.1,Skills!D15-IF(TRUE=TRUE,Inputs!$B$33,0))),0)</f>
        <v/>
      </c>
      <c r="R2482">
        <f>IF(AND(Inputs!$B$39&lt;&gt;"pvp",Inputs!$B$44&gt;0),IF(Inputs!$B$44&lt;=0,0,(INT(Inputs!$B$44/IF(Inputs!$B$39="pvp",15,MAX(0.1,Skills!D15-IF(TRUE=TRUE,Inputs!$B$33,0))))+1)),0)</f>
        <v/>
      </c>
      <c r="S2482">
        <f>IFERROR(O2482/N2482,0)</f>
        <v/>
      </c>
      <c r="T2482" t="n">
        <v>0</v>
      </c>
      <c r="V2482" t="n">
        <v>0</v>
      </c>
    </row>
    <row r="2483">
      <c r="A2483">
        <f>Skills!A16</f>
        <v/>
      </c>
      <c r="B2483">
        <f>Skills!B16</f>
        <v/>
      </c>
      <c r="C2483">
        <f>Inputs!$B$3&gt;=45</f>
        <v/>
      </c>
      <c r="D2483">
        <f>IF(Skills!C16=1,60+Inputs!$B$26+Inputs!$B$30,IF(Skills!C16=2,90+Inputs!$B$27+Inputs!$B$30,IF(Skills!C16=3,120+Inputs!$B$28+Inputs!$B$30,MAX(0,(Inputs!$B$3-100)*3)+Inputs!$B$29+Inputs!$B$30)))</f>
        <v/>
      </c>
      <c r="E2483">
        <f>INDEX(FactorTable!$B$2:$Y$301, MATCH(ROUND(MIN(300,MAX(1,D2483)),0), FactorTable!$A$2:$A$301,0), Skills!M16+1)</f>
        <v/>
      </c>
      <c r="F2483">
        <f>IF(Skills!N16=TRUE,(Skills!L16/10)*(E2483/1000),Skills!L16/10)+Skills!O16</f>
        <v/>
      </c>
      <c r="G2483">
        <f>Skills!G16*IF(Skills!H16&gt;0,INT(IF(Inputs!$B$39="pvp",MIN(Skills!I16,15),Skills!I16)/Skills!H16+0.000000001),1)</f>
        <v/>
      </c>
      <c r="H2483">
        <f>1-(1-Skills!J16/100)^Skills!K16</f>
        <v/>
      </c>
      <c r="I2483" t="inlineStr">
        <is>
          <t>1</t>
        </is>
      </c>
      <c r="J2483" t="inlineStr"/>
      <c r="K2483" t="inlineStr"/>
      <c r="L2483" t="inlineStr"/>
      <c r="M2483" t="inlineStr"/>
      <c r="N2483" t="inlineStr"/>
      <c r="O2483">
        <f>(1-Summary!$B$11)*T2483+Summary!$B$11*V2483</f>
        <v/>
      </c>
      <c r="P2483">
        <f>IF(B2506=0,0,O2483/B2506)</f>
        <v/>
      </c>
      <c r="Q2483">
        <f>IFERROR(1/IF(Inputs!$B$39="pvp",15,MAX(0.1,Skills!D16-IF(TRUE=TRUE,Inputs!$B$33,0))),0)</f>
        <v/>
      </c>
      <c r="R2483">
        <f>IF(AND(Inputs!$B$39&lt;&gt;"pvp",Inputs!$B$44&gt;0),IF(Inputs!$B$44&lt;=0,0,(INT(Inputs!$B$44/IF(Inputs!$B$39="pvp",15,MAX(0.1,Skills!D16-IF(TRUE=TRUE,Inputs!$B$33,0))))+1)),0)</f>
        <v/>
      </c>
      <c r="S2483">
        <f>IFERROR(O2483/N2483,0)</f>
        <v/>
      </c>
      <c r="T2483" t="n">
        <v>0</v>
      </c>
      <c r="V2483" t="n">
        <v>0</v>
      </c>
    </row>
    <row r="2484">
      <c r="A2484">
        <f>Skills!A17</f>
        <v/>
      </c>
      <c r="B2484">
        <f>Skills!B17</f>
        <v/>
      </c>
      <c r="C2484">
        <f>Inputs!$B$3&gt;=35</f>
        <v/>
      </c>
      <c r="D2484">
        <f>IF(Skills!C17=1,60+Inputs!$B$26+Inputs!$B$30,IF(Skills!C17=2,90+Inputs!$B$27+Inputs!$B$30,IF(Skills!C17=3,120+Inputs!$B$28+Inputs!$B$30,MAX(0,(Inputs!$B$3-100)*3)+Inputs!$B$29+Inputs!$B$30)))</f>
        <v/>
      </c>
      <c r="E2484">
        <f>INDEX(FactorTable!$B$2:$Y$301, MATCH(ROUND(MIN(300,MAX(1,D2484)),0), FactorTable!$A$2:$A$301,0), Skills!M17+1)</f>
        <v/>
      </c>
      <c r="F2484">
        <f>IF(Skills!N17=TRUE,(Skills!L17/10)*(E2484/1000),Skills!L17/10)+Skills!O17</f>
        <v/>
      </c>
      <c r="G2484">
        <f>Skills!G17*IF(Skills!H17&gt;0,INT(IF(Inputs!$B$39="pvp",MIN(Skills!I17,15),Skills!I17)/Skills!H17+0.000000001),1)</f>
        <v/>
      </c>
      <c r="H2484">
        <f>1-(1-Skills!J17/100)^Skills!K17</f>
        <v/>
      </c>
      <c r="I2484" t="inlineStr">
        <is>
          <t>1</t>
        </is>
      </c>
      <c r="J2484" t="inlineStr"/>
      <c r="K2484" t="inlineStr"/>
      <c r="L2484" t="inlineStr"/>
      <c r="M2484" t="inlineStr"/>
      <c r="N2484" t="inlineStr"/>
      <c r="O2484">
        <f>(1-Summary!$B$11)*T2484+Summary!$B$11*V2484</f>
        <v/>
      </c>
      <c r="P2484">
        <f>IF(B2506=0,0,O2484/B2506)</f>
        <v/>
      </c>
      <c r="Q2484">
        <f>IFERROR(1/IF(Inputs!$B$39="pvp",15,MAX(0.1,Skills!D17-IF(TRUE=TRUE,Inputs!$B$33,0))),0)</f>
        <v/>
      </c>
      <c r="R2484">
        <f>IF(AND(Inputs!$B$39&lt;&gt;"pvp",Inputs!$B$44&gt;0),IF(Inputs!$B$44&lt;=0,0,(INT(Inputs!$B$44/IF(Inputs!$B$39="pvp",15,MAX(0.1,Skills!D17-IF(TRUE=TRUE,Inputs!$B$33,0))))+1)),0)</f>
        <v/>
      </c>
      <c r="S2484">
        <f>IFERROR(O2484/N2484,0)</f>
        <v/>
      </c>
      <c r="T2484" t="n">
        <v>0</v>
      </c>
      <c r="V2484" t="n">
        <v>0</v>
      </c>
    </row>
    <row r="2485">
      <c r="A2485">
        <f>Skills!A18</f>
        <v/>
      </c>
      <c r="B2485">
        <f>Skills!B18</f>
        <v/>
      </c>
      <c r="C2485">
        <f>Inputs!$B$3&gt;=72</f>
        <v/>
      </c>
      <c r="D2485">
        <f>IF(Skills!C18=1,60+Inputs!$B$26+Inputs!$B$30,IF(Skills!C18=2,90+Inputs!$B$27+Inputs!$B$30,IF(Skills!C18=3,120+Inputs!$B$28+Inputs!$B$30,MAX(0,(Inputs!$B$3-100)*3)+Inputs!$B$29+Inputs!$B$30)))</f>
        <v/>
      </c>
      <c r="E2485">
        <f>INDEX(FactorTable!$B$2:$Y$301, MATCH(ROUND(MIN(300,MAX(1,D2485)),0), FactorTable!$A$2:$A$301,0), Skills!M18+1)</f>
        <v/>
      </c>
      <c r="F2485">
        <f>IF(Skills!N18=TRUE,(Skills!L18/10)*(E2485/1000),Skills!L18/10)+Skills!O18</f>
        <v/>
      </c>
      <c r="G2485">
        <f>Skills!G18*IF(Skills!H18&gt;0,INT(IF(Inputs!$B$39="pvp",MIN(Skills!I18,15),Skills!I18)/Skills!H18+0.000000001),1)</f>
        <v/>
      </c>
      <c r="H2485">
        <f>1-(1-Skills!J18/100)^Skills!K18</f>
        <v/>
      </c>
      <c r="I2485" t="inlineStr">
        <is>
          <t>1</t>
        </is>
      </c>
      <c r="J2485" t="inlineStr"/>
      <c r="K2485" t="inlineStr"/>
      <c r="L2485" t="inlineStr"/>
      <c r="M2485" t="inlineStr"/>
      <c r="N2485" t="inlineStr"/>
      <c r="O2485">
        <f>(1-Summary!$B$11)*T2485+Summary!$B$11*V2485</f>
        <v/>
      </c>
      <c r="P2485">
        <f>IF(B2506=0,0,O2485/B2506)</f>
        <v/>
      </c>
      <c r="Q2485">
        <f>IFERROR(1/IF(Inputs!$B$39="pvp",15,MAX(0.1,Skills!D18-IF(TRUE=TRUE,Inputs!$B$33,0))),0)</f>
        <v/>
      </c>
      <c r="R2485">
        <f>IF(AND(Inputs!$B$39&lt;&gt;"pvp",Inputs!$B$44&gt;0),IF(Inputs!$B$44&lt;=0,0,(INT(Inputs!$B$44/IF(Inputs!$B$39="pvp",15,MAX(0.1,Skills!D18-IF(TRUE=TRUE,Inputs!$B$33,0))))+1)),0)</f>
        <v/>
      </c>
      <c r="S2485">
        <f>IFERROR(O2485/N2485,0)</f>
        <v/>
      </c>
      <c r="T2485" t="n">
        <v>0</v>
      </c>
      <c r="V2485" t="n">
        <v>0</v>
      </c>
    </row>
    <row r="2486">
      <c r="A2486">
        <f>Skills!A19</f>
        <v/>
      </c>
      <c r="B2486">
        <f>Skills!B19</f>
        <v/>
      </c>
      <c r="C2486">
        <f>Inputs!$B$3&gt;=72</f>
        <v/>
      </c>
      <c r="D2486">
        <f>IF(Skills!C19=1,60+Inputs!$B$26+Inputs!$B$30,IF(Skills!C19=2,90+Inputs!$B$27+Inputs!$B$30,IF(Skills!C19=3,120+Inputs!$B$28+Inputs!$B$30,MAX(0,(Inputs!$B$3-100)*3)+Inputs!$B$29+Inputs!$B$30)))</f>
        <v/>
      </c>
      <c r="E2486">
        <f>INDEX(FactorTable!$B$2:$Y$301, MATCH(ROUND(MIN(300,MAX(1,D2486)),0), FactorTable!$A$2:$A$301,0), Skills!M19+1)</f>
        <v/>
      </c>
      <c r="F2486">
        <f>IF(Skills!N19=TRUE,(Skills!L19/10)*(E2486/1000),Skills!L19/10)+Skills!O19</f>
        <v/>
      </c>
      <c r="G2486">
        <f>Skills!G19*IF(Skills!H19&gt;0,INT(IF(Inputs!$B$39="pvp",MIN(Skills!I19,15),Skills!I19)/Skills!H19+0.000000001),1)</f>
        <v/>
      </c>
      <c r="H2486">
        <f>1-(1-Skills!J19/100)^Skills!K19</f>
        <v/>
      </c>
      <c r="I2486" t="inlineStr">
        <is>
          <t>1</t>
        </is>
      </c>
      <c r="J2486" t="inlineStr"/>
      <c r="K2486" t="inlineStr"/>
      <c r="L2486" t="inlineStr"/>
      <c r="M2486" t="inlineStr"/>
      <c r="N2486" t="inlineStr"/>
      <c r="O2486">
        <f>(1-Summary!$B$11)*T2486+Summary!$B$11*V2486</f>
        <v/>
      </c>
      <c r="P2486">
        <f>IF(B2506=0,0,O2486/B2506)</f>
        <v/>
      </c>
      <c r="Q2486">
        <f>IFERROR(1/IF(Inputs!$B$39="pvp",15,MAX(0.1,Skills!D19-IF(TRUE=TRUE,Inputs!$B$33,0))),0)</f>
        <v/>
      </c>
      <c r="R2486">
        <f>IF(AND(Inputs!$B$39&lt;&gt;"pvp",Inputs!$B$44&gt;0),IF(Inputs!$B$44&lt;=0,0,(INT(Inputs!$B$44/IF(Inputs!$B$39="pvp",15,MAX(0.1,Skills!D19-IF(TRUE=TRUE,Inputs!$B$33,0))))+1)),0)</f>
        <v/>
      </c>
      <c r="S2486">
        <f>IFERROR(O2486/N2486,0)</f>
        <v/>
      </c>
      <c r="T2486" t="n">
        <v>0</v>
      </c>
      <c r="V2486" t="n">
        <v>0</v>
      </c>
    </row>
    <row r="2487">
      <c r="A2487">
        <f>Skills!A20</f>
        <v/>
      </c>
      <c r="B2487">
        <f>Skills!B20</f>
        <v/>
      </c>
      <c r="C2487">
        <f>TRUE</f>
        <v/>
      </c>
      <c r="D2487">
        <f>IF(Skills!C20=1,60+Inputs!$B$26+Inputs!$B$30,IF(Skills!C20=2,90+Inputs!$B$27+Inputs!$B$30,IF(Skills!C20=3,120+Inputs!$B$28+Inputs!$B$30,MAX(0,(Inputs!$B$3-100)*3)+Inputs!$B$29+Inputs!$B$30)))</f>
        <v/>
      </c>
      <c r="E2487">
        <f>INDEX(FactorTable!$B$2:$Y$301, MATCH(ROUND(MIN(300,MAX(1,D2487)),0), FactorTable!$A$2:$A$301,0), Skills!M20+1)</f>
        <v/>
      </c>
      <c r="F2487">
        <f>IF(Skills!N20=TRUE,(Skills!L20/10)*(E2487/1000),Skills!L20/10)+Skills!O20</f>
        <v/>
      </c>
      <c r="G2487">
        <f>Skills!G20*IF(Skills!H20&gt;0,INT(IF(Inputs!$B$39="pvp",MIN(Skills!I20,15),Skills!I20)/Skills!H20+0.000000001),1)</f>
        <v/>
      </c>
      <c r="H2487">
        <f>1-(1-Skills!J20/100)^Skills!K20</f>
        <v/>
      </c>
      <c r="I2487" t="inlineStr">
        <is>
          <t>1</t>
        </is>
      </c>
      <c r="J2487" t="inlineStr"/>
      <c r="K2487" t="inlineStr"/>
      <c r="L2487" t="inlineStr"/>
      <c r="M2487" t="inlineStr"/>
      <c r="N2487" t="inlineStr"/>
      <c r="O2487">
        <f>(1-Summary!$B$11)*T2487+Summary!$B$11*V2487</f>
        <v/>
      </c>
      <c r="P2487">
        <f>IF(B2506=0,0,O2487/B2506)</f>
        <v/>
      </c>
      <c r="Q2487">
        <f>IFERROR(1/IF(Inputs!$B$39="pvp",15,MAX(0.1,Skills!D20-IF(TRUE=TRUE,Inputs!$B$33,0))),0)</f>
        <v/>
      </c>
      <c r="R2487">
        <f>IF(AND(Inputs!$B$39&lt;&gt;"pvp",Inputs!$B$44&gt;0),IF(Inputs!$B$44&lt;=0,0,(INT(Inputs!$B$44/IF(Inputs!$B$39="pvp",15,MAX(0.1,Skills!D20-IF(TRUE=TRUE,Inputs!$B$33,0))))+1)),0)</f>
        <v/>
      </c>
      <c r="S2487">
        <f>IFERROR(O2487/N2487,0)</f>
        <v/>
      </c>
      <c r="T2487" t="n">
        <v>0</v>
      </c>
      <c r="V2487" t="n">
        <v>0</v>
      </c>
    </row>
    <row r="2488">
      <c r="A2488">
        <f>Skills!A21</f>
        <v/>
      </c>
      <c r="B2488">
        <f>Skills!B21</f>
        <v/>
      </c>
      <c r="C2488">
        <f>Inputs!$B$3&gt;=33</f>
        <v/>
      </c>
      <c r="D2488">
        <f>IF(Skills!C21=1,60+Inputs!$B$26+Inputs!$B$30,IF(Skills!C21=2,90+Inputs!$B$27+Inputs!$B$30,IF(Skills!C21=3,120+Inputs!$B$28+Inputs!$B$30,MAX(0,(Inputs!$B$3-100)*3)+Inputs!$B$29+Inputs!$B$30)))</f>
        <v/>
      </c>
      <c r="E2488">
        <f>INDEX(FactorTable!$B$2:$Y$301, MATCH(ROUND(MIN(300,MAX(1,D2488)),0), FactorTable!$A$2:$A$301,0), Skills!M21+1)</f>
        <v/>
      </c>
      <c r="F2488">
        <f>IF(Skills!N21=TRUE,(Skills!L21/10)*(E2488/1000),Skills!L21/10)+Skills!O21</f>
        <v/>
      </c>
      <c r="G2488">
        <f>Skills!G21*IF(Skills!H21&gt;0,INT(IF(Inputs!$B$39="pvp",MIN(Skills!I21,15),Skills!I21)/Skills!H21+0.000000001),1)</f>
        <v/>
      </c>
      <c r="H2488">
        <f>1-(1-Skills!J21/100)^Skills!K21</f>
        <v/>
      </c>
      <c r="I2488" t="inlineStr">
        <is>
          <t>1</t>
        </is>
      </c>
      <c r="J2488" t="inlineStr"/>
      <c r="K2488" t="inlineStr"/>
      <c r="L2488" t="inlineStr"/>
      <c r="M2488" t="inlineStr"/>
      <c r="N2488" t="inlineStr"/>
      <c r="O2488">
        <f>(1-Summary!$B$11)*T2488+Summary!$B$11*V2488</f>
        <v/>
      </c>
      <c r="P2488">
        <f>IF(B2506=0,0,O2488/B2506)</f>
        <v/>
      </c>
      <c r="Q2488" t="n">
        <v>0</v>
      </c>
      <c r="R2488" t="n">
        <v>0</v>
      </c>
      <c r="S2488">
        <f>IFERROR(O2488/N2488,0)</f>
        <v/>
      </c>
      <c r="T2488" t="n">
        <v>0</v>
      </c>
      <c r="V2488" t="n">
        <v>0</v>
      </c>
    </row>
    <row r="2489">
      <c r="A2489">
        <f>Skills!A22</f>
        <v/>
      </c>
      <c r="B2489">
        <f>Skills!B22</f>
        <v/>
      </c>
      <c r="C2489">
        <f>Inputs!$B$3&gt;=43</f>
        <v/>
      </c>
      <c r="D2489">
        <f>IF(Skills!C22=1,60+Inputs!$B$26+Inputs!$B$30,IF(Skills!C22=2,90+Inputs!$B$27+Inputs!$B$30,IF(Skills!C22=3,120+Inputs!$B$28+Inputs!$B$30,MAX(0,(Inputs!$B$3-100)*3)+Inputs!$B$29+Inputs!$B$30)))</f>
        <v/>
      </c>
      <c r="E2489">
        <f>INDEX(FactorTable!$B$2:$Y$301, MATCH(ROUND(MIN(300,MAX(1,D2489)),0), FactorTable!$A$2:$A$301,0), Skills!M22+1)</f>
        <v/>
      </c>
      <c r="F2489">
        <f>IF(Skills!N22=TRUE,(Skills!L22/10)*(E2489/1000),Skills!L22/10)+Skills!O22</f>
        <v/>
      </c>
      <c r="G2489">
        <f>Skills!G22*IF(Skills!H22&gt;0,INT(IF(Inputs!$B$39="pvp",MIN(Skills!I22,15),Skills!I22)/Skills!H22+0.000000001),1)</f>
        <v/>
      </c>
      <c r="H2489">
        <f>1-(1-Skills!J22/100)^Skills!K22</f>
        <v/>
      </c>
      <c r="I2489" t="inlineStr">
        <is>
          <t>1</t>
        </is>
      </c>
      <c r="J2489" t="inlineStr"/>
      <c r="K2489" t="inlineStr"/>
      <c r="L2489" t="inlineStr"/>
      <c r="M2489" t="inlineStr"/>
      <c r="N2489" t="inlineStr"/>
      <c r="O2489">
        <f>(1-Summary!$B$11)*T2489+Summary!$B$11*V2489</f>
        <v/>
      </c>
      <c r="P2489">
        <f>IF(B2506=0,0,O2489/B2506)</f>
        <v/>
      </c>
      <c r="Q2489" t="n">
        <v>0</v>
      </c>
      <c r="R2489" t="n">
        <v>0</v>
      </c>
      <c r="S2489">
        <f>IFERROR(O2489/N2489,0)</f>
        <v/>
      </c>
      <c r="T2489" t="n">
        <v>0</v>
      </c>
      <c r="V2489" t="n">
        <v>0</v>
      </c>
    </row>
    <row r="2490">
      <c r="A2490">
        <f>Skills!A23</f>
        <v/>
      </c>
      <c r="B2490">
        <f>Skills!B23</f>
        <v/>
      </c>
      <c r="C2490">
        <f>Inputs!$B$3&gt;=120</f>
        <v/>
      </c>
      <c r="D2490">
        <f>IF(Skills!C23=1,60+Inputs!$B$26+Inputs!$B$30,IF(Skills!C23=2,90+Inputs!$B$27+Inputs!$B$30,IF(Skills!C23=3,120+Inputs!$B$28+Inputs!$B$30,MAX(0,(Inputs!$B$3-100)*3)+Inputs!$B$29+Inputs!$B$30)))</f>
        <v/>
      </c>
      <c r="E2490">
        <f>INDEX(FactorTable!$B$2:$Y$301, MATCH(ROUND(MIN(300,MAX(1,D2490)),0), FactorTable!$A$2:$A$301,0), Skills!M23+1)</f>
        <v/>
      </c>
      <c r="F2490">
        <f>IF(Skills!N23=TRUE,(Skills!L23/10)*(E2490/1000),Skills!L23/10)+Skills!O23</f>
        <v/>
      </c>
      <c r="G2490">
        <f>Skills!G23*IF(Skills!H23&gt;0,INT(IF(Inputs!$B$39="pvp",MIN(Skills!I23,15),Skills!I23)/Skills!H23+0.000000001),1)</f>
        <v/>
      </c>
      <c r="H2490">
        <f>1-(1-Skills!J23/100)^Skills!K23</f>
        <v/>
      </c>
      <c r="I2490" t="inlineStr">
        <is>
          <t>1</t>
        </is>
      </c>
      <c r="J2490" t="inlineStr"/>
      <c r="K2490" t="inlineStr"/>
      <c r="L2490" t="inlineStr"/>
      <c r="M2490" t="inlineStr"/>
      <c r="N2490" t="inlineStr"/>
      <c r="O2490">
        <f>(1-Summary!$B$11)*T2490+Summary!$B$11*V2490</f>
        <v/>
      </c>
      <c r="P2490">
        <f>IF(B2506=0,0,O2490/B2506)</f>
        <v/>
      </c>
      <c r="Q2490" t="n">
        <v>0</v>
      </c>
      <c r="R2490" t="n">
        <v>0</v>
      </c>
      <c r="S2490">
        <f>IFERROR(O2490/N2490,0)</f>
        <v/>
      </c>
      <c r="T2490" t="n">
        <v>0</v>
      </c>
      <c r="V2490" t="n">
        <v>0</v>
      </c>
    </row>
    <row r="2491">
      <c r="A2491">
        <f>Skills!A24</f>
        <v/>
      </c>
      <c r="B2491">
        <f>Skills!B24</f>
        <v/>
      </c>
      <c r="C2491">
        <f>Inputs!$B$3&gt;=120</f>
        <v/>
      </c>
      <c r="D2491">
        <f>IF(Skills!C24=1,60+Inputs!$B$26+Inputs!$B$30,IF(Skills!C24=2,90+Inputs!$B$27+Inputs!$B$30,IF(Skills!C24=3,120+Inputs!$B$28+Inputs!$B$30,MAX(0,(Inputs!$B$3-100)*3)+Inputs!$B$29+Inputs!$B$30)))</f>
        <v/>
      </c>
      <c r="E2491">
        <f>INDEX(FactorTable!$B$2:$Y$301, MATCH(ROUND(MIN(300,MAX(1,D2491)),0), FactorTable!$A$2:$A$301,0), Skills!M24+1)</f>
        <v/>
      </c>
      <c r="F2491">
        <f>IF(Skills!N24=TRUE,(Skills!L24/10)*(E2491/1000),Skills!L24/10)+Skills!O24</f>
        <v/>
      </c>
      <c r="G2491">
        <f>Skills!G24*IF(Skills!H24&gt;0,INT(IF(Inputs!$B$39="pvp",MIN(Skills!I24,15),Skills!I24)/Skills!H24+0.000000001),1)</f>
        <v/>
      </c>
      <c r="H2491">
        <f>1-(1-Skills!J24/100)^Skills!K24</f>
        <v/>
      </c>
      <c r="I2491" t="inlineStr">
        <is>
          <t>1</t>
        </is>
      </c>
      <c r="J2491" t="inlineStr"/>
      <c r="K2491" t="inlineStr"/>
      <c r="L2491" t="inlineStr"/>
      <c r="M2491" t="inlineStr"/>
      <c r="N2491" t="inlineStr"/>
      <c r="O2491">
        <f>(1-Summary!$B$11)*T2491+Summary!$B$11*V2491</f>
        <v/>
      </c>
      <c r="P2491">
        <f>IF(B2506=0,0,O2491/B2506)</f>
        <v/>
      </c>
      <c r="Q2491" t="n">
        <v>0</v>
      </c>
      <c r="R2491" t="n">
        <v>0</v>
      </c>
      <c r="S2491">
        <f>IFERROR(O2491/N2491,0)</f>
        <v/>
      </c>
      <c r="T2491" t="n">
        <v>0</v>
      </c>
      <c r="V2491" t="n">
        <v>0</v>
      </c>
    </row>
    <row r="2492">
      <c r="A2492">
        <f>Skills!A25</f>
        <v/>
      </c>
      <c r="B2492">
        <f>Skills!B25</f>
        <v/>
      </c>
      <c r="C2492">
        <f>Inputs!$B$3&gt;=125</f>
        <v/>
      </c>
      <c r="D2492">
        <f>IF(Skills!C25=1,60+Inputs!$B$26+Inputs!$B$30,IF(Skills!C25=2,90+Inputs!$B$27+Inputs!$B$30,IF(Skills!C25=3,120+Inputs!$B$28+Inputs!$B$30,MAX(0,(Inputs!$B$3-100)*3)+Inputs!$B$29+Inputs!$B$30)))</f>
        <v/>
      </c>
      <c r="E2492">
        <f>INDEX(FactorTable!$B$2:$Y$301, MATCH(ROUND(MIN(300,MAX(1,D2492)),0), FactorTable!$A$2:$A$301,0), Skills!M25+1)</f>
        <v/>
      </c>
      <c r="F2492">
        <f>IF(Skills!N25=TRUE,(Skills!L25/10)*(E2492/1000),Skills!L25/10)+Skills!O25</f>
        <v/>
      </c>
      <c r="G2492">
        <f>Skills!G25*IF(Skills!H25&gt;0,INT(IF(Inputs!$B$39="pvp",MIN(Skills!I25,15),Skills!I25)/Skills!H25+0.000000001),1)</f>
        <v/>
      </c>
      <c r="H2492">
        <f>1-(1-Skills!J25/100)^Skills!K25</f>
        <v/>
      </c>
      <c r="I2492" t="inlineStr">
        <is>
          <t>1</t>
        </is>
      </c>
      <c r="J2492" t="inlineStr"/>
      <c r="K2492" t="inlineStr"/>
      <c r="L2492" t="inlineStr"/>
      <c r="M2492" t="inlineStr"/>
      <c r="N2492" t="inlineStr"/>
      <c r="O2492">
        <f>(1-Summary!$B$11)*T2492+Summary!$B$11*V2492</f>
        <v/>
      </c>
      <c r="P2492">
        <f>IF(B2506=0,0,O2492/B2506)</f>
        <v/>
      </c>
      <c r="Q2492" t="n">
        <v>0</v>
      </c>
      <c r="R2492" t="n">
        <v>0</v>
      </c>
      <c r="S2492">
        <f>IFERROR(O2492/N2492,0)</f>
        <v/>
      </c>
      <c r="T2492" t="n">
        <v>0</v>
      </c>
      <c r="V2492" t="n">
        <v>0</v>
      </c>
    </row>
    <row r="2493">
      <c r="A2493">
        <f>Skills!A26</f>
        <v/>
      </c>
      <c r="B2493">
        <f>Skills!B26</f>
        <v/>
      </c>
      <c r="C2493">
        <f>Inputs!$B$3&gt;=107</f>
        <v/>
      </c>
      <c r="D2493">
        <f>IF(Skills!C26=1,60+Inputs!$B$26+Inputs!$B$30,IF(Skills!C26=2,90+Inputs!$B$27+Inputs!$B$30,IF(Skills!C26=3,120+Inputs!$B$28+Inputs!$B$30,MAX(0,(Inputs!$B$3-100)*3)+Inputs!$B$29+Inputs!$B$30)))</f>
        <v/>
      </c>
      <c r="E2493">
        <f>INDEX(FactorTable!$B$2:$Y$301, MATCH(ROUND(MIN(300,MAX(1,D2493)),0), FactorTable!$A$2:$A$301,0), Skills!M26+1)</f>
        <v/>
      </c>
      <c r="F2493">
        <f>IF(Skills!N26=TRUE,(Skills!L26/10)*(E2493/1000),Skills!L26/10)+Skills!O26</f>
        <v/>
      </c>
      <c r="G2493">
        <f>Skills!G26*IF(Skills!H26&gt;0,INT(IF(Inputs!$B$39="pvp",MIN(Skills!I26,15),Skills!I26)/Skills!H26+0.000000001),1)</f>
        <v/>
      </c>
      <c r="H2493">
        <f>1-(1-Skills!J26/100)^Skills!K26</f>
        <v/>
      </c>
      <c r="I2493" t="inlineStr">
        <is>
          <t>1</t>
        </is>
      </c>
      <c r="J2493" t="inlineStr"/>
      <c r="K2493" t="inlineStr"/>
      <c r="L2493" t="inlineStr"/>
      <c r="M2493" t="inlineStr"/>
      <c r="N2493" t="inlineStr"/>
      <c r="O2493">
        <f>(1-Summary!$B$11)*T2493+Summary!$B$11*V2493</f>
        <v/>
      </c>
      <c r="P2493">
        <f>IF(B2506=0,0,O2493/B2506)</f>
        <v/>
      </c>
      <c r="Q2493" t="n">
        <v>0</v>
      </c>
      <c r="R2493" t="n">
        <v>0</v>
      </c>
      <c r="S2493">
        <f>IFERROR(O2493/N2493,0)</f>
        <v/>
      </c>
      <c r="T2493" t="n">
        <v>0</v>
      </c>
      <c r="V2493" t="n">
        <v>0</v>
      </c>
    </row>
    <row r="2495">
      <c r="A2495" t="inlineStr">
        <is>
          <t>Attack% Bucket Multiplier</t>
        </is>
      </c>
      <c r="B2495">
        <f>(1+(((C2480=TRUE)*F2480*IF(AND(Inputs!$B$39&lt;&gt;"pvp",Inputs!$B$44&gt;0),(((R2480-1)*MIN((Skills!T13*(1+Inputs!$B$35/100)),(1/Q2480))+MIN((Skills!T13*(1+Inputs!$B$35/100)),MAX(0,Inputs!$B$44-((R2480-1)*(1/Q2480)))))/Inputs!$B$44),IF(Inputs!$B$39="pvp",MIN((Skills!T13*(1+Inputs!$B$35/100)),15)/15,MIN(1,(Skills!T13*(1+Inputs!$B$35/100))/(1/Q2480)))))+((C2481=TRUE)*F2481*IF(AND(Inputs!$B$39&lt;&gt;"pvp",Inputs!$B$44&gt;0),(((R2481-1)*MIN((Skills!T14*(1+Inputs!$B$35/100)),(1/Q2481))+MIN((Skills!T14*(1+Inputs!$B$35/100)),MAX(0,Inputs!$B$44-((R2481-1)*(1/Q2481)))))/Inputs!$B$44),IF(Inputs!$B$39="pvp",MIN((Skills!T14*(1+Inputs!$B$35/100)),15)/15,MIN(1,(Skills!T14*(1+Inputs!$B$35/100))/(1/Q2481)))))+((C2482=TRUE)*F2482*IF(AND(Inputs!$B$39&lt;&gt;"pvp",Inputs!$B$44&gt;0),(((R2482-1)*MIN((Skills!T15*(1+Inputs!$B$35/100)),(1/Q2482))+MIN((Skills!T15*(1+Inputs!$B$35/100)),MAX(0,Inputs!$B$44-((R2482-1)*(1/Q2482)))))/Inputs!$B$44),IF(Inputs!$B$39="pvp",MIN((Skills!T15*(1+Inputs!$B$35/100)),15)/15,MIN(1,(Skills!T15*(1+Inputs!$B$35/100))/(1/Q2482)))))+((C2483=TRUE)*F2483*IF(AND(Inputs!$B$39&lt;&gt;"pvp",Inputs!$B$44&gt;0),(((R2483-1)*MIN((Skills!T16*(1+Inputs!$B$35/100)),(1/Q2483))+MIN((Skills!T16*(1+Inputs!$B$35/100)),MAX(0,Inputs!$B$44-((R2483-1)*(1/Q2483)))))/Inputs!$B$44),IF(Inputs!$B$39="pvp",MIN((Skills!T16*(1+Inputs!$B$35/100)),15)/15,MIN(1,(Skills!T16*(1+Inputs!$B$35/100))/(1/Q2483)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2496">
      <c r="A2496" t="inlineStr">
        <is>
          <t>Global Crit Rate Bonus % (Lord of Darkness)</t>
        </is>
      </c>
      <c r="B2496">
        <f>((C2485=TRUE)*F2485*(Skills!J18/100)*IF(AND(Inputs!$B$39&lt;&gt;"pvp",Inputs!$B$44&gt;0),(((R2485-1)*MIN((Skills!T18*(1+Inputs!$B$35/100)),(1/Q2485))+MIN((Skills!T18*(1+Inputs!$B$35/100)),MAX(0,Inputs!$B$44-((R2485-1)*(1/Q2485)))))/Inputs!$B$44),IF(Inputs!$B$39="pvp",MIN((Skills!T18*(1+Inputs!$B$35/100)),15)/15,MIN(1,(Skills!T18*(1+Inputs!$B$35/100))/(1/Q2485)))))</f>
        <v/>
      </c>
    </row>
    <row r="2497">
      <c r="A2497" t="inlineStr">
        <is>
          <t>Attack Speed Buff Bonus %</t>
        </is>
      </c>
      <c r="B2497">
        <f>((C2487=TRUE)*F2487*IF(AND(Inputs!$B$39&lt;&gt;"pvp",Inputs!$B$44&gt;0),(((R2487-1)*MIN((Skills!T20*(1+Inputs!$B$35/100)),(1/Q2487))+MIN((Skills!T20*(1+Inputs!$B$35/100)),MAX(0,Inputs!$B$44-((R2487-1)*(1/Q2487)))))/Inputs!$B$44),IF(Inputs!$B$39="pvp",MIN((Skills!T20*(1+Inputs!$B$35/100)),15)/15,MIN(1,(Skills!T20*(1+Inputs!$B$35/100))/(1/Q2487)))))</f>
        <v/>
      </c>
    </row>
    <row r="2498">
      <c r="A2498" t="inlineStr">
        <is>
          <t>Actions Per Second</t>
        </is>
      </c>
      <c r="B2498">
        <f>1+MIN(150,150*(1-(1-(Inputs!$B$12+((C2488=TRUE)*(F2488-Calc!F21)))/150)*(1-B2497/150)))/100</f>
        <v/>
      </c>
    </row>
    <row r="2499">
      <c r="A2499" t="inlineStr">
        <is>
          <t>Skill + Buff Cast Rate</t>
        </is>
      </c>
      <c r="B2499">
        <f>IF(AND(Inputs!$B$39&lt;&gt;"pvp",Inputs!$B$44&gt;0),SUMPRODUCT((Skills!E2:E26=TRUE)*(C2469:C2493=TRUE)*R2469:R2493*Skills!F2:F26)/Inputs!$B$44,SUMPRODUCT((Skills!E2:E26=TRUE)*(C2469:C2493=TRUE)*Q2469:Q2493*Skills!F2:F26))</f>
        <v/>
      </c>
    </row>
    <row r="2500">
      <c r="A2500" t="inlineStr">
        <is>
          <t>Dark Impale Casts Per Second</t>
        </is>
      </c>
      <c r="B2500">
        <f>MAX(0,B2498-B2499)</f>
        <v/>
      </c>
    </row>
    <row r="2501">
      <c r="A2501" t="inlineStr">
        <is>
          <t>Global Critical Damage Bonus % (Lord of Darkness)</t>
        </is>
      </c>
      <c r="B2501">
        <f>((C2486=TRUE)*F2486*(Skills!J19/100)*IF(AND(Inputs!$B$39&lt;&gt;"pvp",Inputs!$B$44&gt;0),(((R2486-1)*MIN((Skills!T19*(1+Inputs!$B$35/100)),(1/Q2486))+MIN((Skills!T19*(1+Inputs!$B$35/100)),MAX(0,Inputs!$B$44-((R2486-1)*(1/Q2486)))))/Inputs!$B$44),IF(Inputs!$B$39="pvp",MIN((Skills!T19*(1+Inputs!$B$35/100)),15)/15,MIN(1,(Skills!T19*(1+Inputs!$B$35/100))/(1/Q2486)))))</f>
        <v/>
      </c>
    </row>
    <row r="2502">
      <c r="A2502" t="inlineStr">
        <is>
          <t>Global Final Damage Bonus % (unused)</t>
        </is>
      </c>
      <c r="B2502" t="n">
        <v>0</v>
      </c>
    </row>
    <row r="2503">
      <c r="A2503" t="inlineStr">
        <is>
          <t>Buff-Casting Startup Delay (s, fixed-duration only)</t>
        </is>
      </c>
      <c r="B2503">
        <f>IF(AND(Inputs!$B$39&lt;&gt;"pvp",Inputs!$B$44&gt;0),SUMPRODUCT((Skills!T2:T26&gt;0)*(Skills!E2:E26=TRUE)*(C2469:C2493=TRUE))/B2498,0)</f>
        <v/>
      </c>
    </row>
    <row r="2504">
      <c r="A2504" t="inlineStr">
        <is>
          <t>Boss-Only Total DPS (this block's swept value)</t>
        </is>
      </c>
      <c r="B2504">
        <f>SUM(T2469:T2493)</f>
        <v/>
      </c>
    </row>
    <row r="2505">
      <c r="A2505" t="inlineStr">
        <is>
          <t>Normal-Only Total DPS (this block's swept value)</t>
        </is>
      </c>
      <c r="B2505">
        <f>SUM(V2469:V2493)</f>
        <v/>
      </c>
    </row>
    <row r="2506">
      <c r="A2506" s="6" t="inlineStr">
        <is>
          <t>TOTAL DPS</t>
        </is>
      </c>
      <c r="B2506" s="6">
        <f>SUM(O2469:O2493)</f>
        <v/>
      </c>
    </row>
    <row r="2509">
      <c r="A2509" s="6" t="inlineStr">
        <is>
          <t>Stat: Alliance Badge (Equip)</t>
        </is>
      </c>
    </row>
    <row r="2510">
      <c r="A2510" s="5" t="inlineStr">
        <is>
          <t>Key</t>
        </is>
      </c>
      <c r="B2510" s="5" t="inlineStr">
        <is>
          <t>Name</t>
        </is>
      </c>
      <c r="C2510" s="5" t="inlineStr">
        <is>
          <t>Unlocked</t>
        </is>
      </c>
      <c r="D2510" s="5" t="inlineStr">
        <is>
          <t>InputLevel</t>
        </is>
      </c>
      <c r="E2510" s="5" t="inlineStr">
        <is>
          <t>Factor</t>
        </is>
      </c>
      <c r="F2510" s="5" t="inlineStr">
        <is>
          <t>CoefficientPercent</t>
        </is>
      </c>
      <c r="G2510" s="5" t="inlineStr">
        <is>
          <t>EffectiveHits</t>
        </is>
      </c>
      <c r="H2510" s="5" t="inlineStr">
        <is>
          <t>ProcProbability</t>
        </is>
      </c>
      <c r="I2510" s="5" t="inlineStr">
        <is>
          <t>MapleHeroMultiplier</t>
        </is>
      </c>
      <c r="J2510" s="5" t="inlineStr">
        <is>
          <t>BaseDamage</t>
        </is>
      </c>
      <c r="K2510" s="5" t="inlineStr">
        <is>
          <t>BaseHitDamage</t>
        </is>
      </c>
      <c r="L2510" s="5" t="inlineStr">
        <is>
          <t>NonCritAvg</t>
        </is>
      </c>
      <c r="M2510" s="5" t="inlineStr">
        <is>
          <t>CritAvg</t>
        </is>
      </c>
      <c r="N2510" s="5" t="inlineStr">
        <is>
          <t>ExpectedDamage(perHit)</t>
        </is>
      </c>
      <c r="O2510" s="5" t="inlineStr">
        <is>
          <t>DPS</t>
        </is>
      </c>
      <c r="P2510" s="5" t="inlineStr">
        <is>
          <t>% of Total</t>
        </is>
      </c>
      <c r="Q2510" s="5" t="inlineStr">
        <is>
          <t>InvCooldown</t>
        </is>
      </c>
      <c r="R2510" s="5" t="inlineStr">
        <is>
          <t>CastsInFight</t>
        </is>
      </c>
      <c r="S2510" s="5" t="inlineStr">
        <is>
          <t>HitRate(perSec)</t>
        </is>
      </c>
      <c r="U2510" t="inlineStr">
        <is>
          <t>helpers</t>
        </is>
      </c>
    </row>
    <row r="2511">
      <c r="A2511">
        <f>Skills!A2</f>
        <v/>
      </c>
      <c r="B2511">
        <f>Skills!B2</f>
        <v/>
      </c>
      <c r="C2511">
        <f>Inputs!$B$3&gt;=100</f>
        <v/>
      </c>
      <c r="D2511" t="inlineStr"/>
      <c r="E2511" t="inlineStr"/>
      <c r="F2511">
        <f>U2513+Skills!O2</f>
        <v/>
      </c>
      <c r="G2511">
        <f>Skills!G2*IF(Skills!H2&gt;0,INT(IF(Inputs!$B$39="pvp",MIN(Skills!I2,15),Skills!I2)/Skills!H2+0.000000001),1)</f>
        <v/>
      </c>
      <c r="H2511">
        <f>1-(1-Skills!J2/100)^Skills!K2</f>
        <v/>
      </c>
      <c r="I2511" t="inlineStr">
        <is>
          <t>1</t>
        </is>
      </c>
      <c r="J2511">
        <f>((Inputs!$B$6*(1+Inputs!$B$7/100))+(((Inputs!$B$13*(1+Inputs!$B$14/100))-(Inputs!$B$13*(1+Inputs!$B$14/100)))+0.25*(Inputs!$B$15-Inputs!$B$15))*(1+Inputs!$B$7/100))*(F2511/100)</f>
        <v/>
      </c>
      <c r="K2511">
        <f>J2511*(1+(((Inputs!$B$13+IF(Inputs!$B$3&gt;=38,(10*INDEX(FactorTable!$B$2:$Y$301, MATCH(ROUND(MIN(300,MAX(1,Inputs!$B$3)),0), FactorTable!$A$2:$A$301,0), 23)/1000)/100*(Inputs!$B$8*(1+Inputs!$B$9/100)),0))*(1+Inputs!$B$14/100))*0.01+Inputs!$B$15*0.0025)/100)*(1+Inputs!$B$16/100)*(1+Inputs!$B$17/100)*(5000/(6000+Inputs!$B$43*(1-(Inputs!$B$20+0)/100)))*(1+(Inputs!$B$25+((C2534=TRUE)*(F2534-Calc!F25))+((C2535=TRUE)*(F2535-Calc!F26))+B2544)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gt;=100),MIN(100,((Inputs!$B$10+0+B2538+(ArtifactsInput!$M$24-ArtifactsInput!$M$24)*CHOOSE(ArtifactsInput!$N$24+1,10,12,14,16,18,20)+IF(ArtifactsInput!$M$10,CHOOSE(ArtifactsInput!$N$10+1,15,18,21,24,27,30)*(IF(Inputs!$B$39="pvp",MIN(15,15)/15,IF(AND(Inputs!$B$39&lt;&gt;"pvp",Inputs!$B$44&gt;0),MIN(15,Inputs!$B$44)/(Inputs!$B$44),0))),0)))-100),0))*CHOOSE(ArtifactsInput!$N$42+1,0.6,0.72,0.84,0.96,1.08,1.2))),Inputs!$B$19+((C2532=TRUE)*(F2532-Calc!F23))+(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gt;=100),CHOOSE(ArtifactsInput!$N$42+1,40,48,56,64,72,80),0))))/100)*((1+(((C2522=TRUE)*F2522*IF(AND(Inputs!$B$39&lt;&gt;"pvp",Inputs!$B$44&gt;0),(((R2522-1)*MIN((Skills!T13*(1+Inputs!$B$35/100)),(1/Q2522))+MIN((Skills!T13*(1+Inputs!$B$35/100)),MAX(0,Inputs!$B$44-((R2522-1)*(1/Q2522)))))/Inputs!$B$44),IF(Inputs!$B$39="pvp",MIN((Skills!T13*(1+Inputs!$B$35/100)),15)/15,MIN(1,(Skills!T13*(1+Inputs!$B$35/100))/(1/Q2522)))))+((C2523=TRUE)*F2523*IF(AND(Inputs!$B$39&lt;&gt;"pvp",Inputs!$B$44&gt;0),(((R2523-1)*MIN((Skills!T14*(1+Inputs!$B$35/100)),(1/Q2523))+MIN((Skills!T14*(1+Inputs!$B$35/100)),MAX(0,Inputs!$B$44-((R2523-1)*(1/Q2523)))))/Inputs!$B$44),IF(Inputs!$B$39="pvp",MIN((Skills!T14*(1+Inputs!$B$35/100)),15)/15,MIN(1,(Skills!T14*(1+Inputs!$B$35/100))/(1/Q2523)))))+((C2524=TRUE)*F2524*IF(AND(Inputs!$B$39&lt;&gt;"pvp",Inputs!$B$44&gt;0),(((R2524-1)*MIN((Skills!T15*(1+Inputs!$B$35/100)),(1/Q2524))+MIN((Skills!T15*(1+Inputs!$B$35/100)),MAX(0,Inputs!$B$44-((R2524-1)*(1/Q2524)))))/Inputs!$B$44),IF(Inputs!$B$39="pvp",MIN((Skills!T15*(1+Inputs!$B$35/100)),15)/15,MIN(1,(Skills!T15*(1+Inputs!$B$35/100))/(1/Q2524)))))+((C2525=TRUE)*F2525*IF(AND(Inputs!$B$39&lt;&gt;"pvp",Inputs!$B$44&gt;0),(((R2525-1)*MIN((Skills!T16*(1+Inputs!$B$35/100)),(1/Q2525))+MIN((Skills!T16*(1+Inputs!$B$35/100)),MAX(0,Inputs!$B$44-((R2525-1)*(1/Q2525)))))/Inputs!$B$44),IF(Inputs!$B$39="pvp",MIN((Skills!T16*(1+Inputs!$B$35/100)),15)/15,MIN(1,(Skills!T16*(1+Inputs!$B$35/100))/(1/Q2525)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2511)</f>
        <v/>
      </c>
      <c r="L2511">
        <f>K2511*(MIN(Inputs!$B$23+((C2531=TRUE)*(F2531-Calc!F22)),(Inputs!$B$24+((C2533=TRUE)*(F2533-Calc!F24))+(IF(ArtifactsInput!$M$15,CHOOSE(ArtifactsInput!$N$15+1,25,30,35,40,45,50)/100*(Inputs!$B$12-Inputs!$B$12),0))))/100+(Inputs!$B$24+((C2533=TRUE)*(F2533-Calc!F24))+(IF(ArtifactsInput!$M$15,CHOOSE(ArtifactsInput!$N$15+1,25,30,35,40,45,50)/100*(Inputs!$B$12-Inputs!$B$12),0)))/100)/2</f>
        <v/>
      </c>
      <c r="M2511">
        <f>L2511*(1+(Inputs!$B$11+0+B2543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511">
        <f>L2511*(1-MIN((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2511*(MIN((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11">
        <f>(1-Summary!$B$11)*T2511+Summary!$B$11*V2511</f>
        <v/>
      </c>
      <c r="P2511">
        <f>IF(B2548=0,0,O2511/B2548)</f>
        <v/>
      </c>
      <c r="Q2511" t="n">
        <v>0</v>
      </c>
      <c r="R2511" t="n">
        <v>0</v>
      </c>
      <c r="S2511">
        <f>IFERROR(O2511/N2511,0)</f>
        <v/>
      </c>
      <c r="T2511">
        <f>IF(C2511,(Skills!G2*N2511*B2542)*IF(Inputs!$B$39="pvp",1,1+(Inputs!$B$21+0+Skills!P2+((C2526=TRUE)*F2526*IF(AND(Inputs!$B$39&lt;&gt;"pvp",Inputs!$B$44&gt;0),(((R2526-1)*MIN((Skills!T17*(1+Inputs!$B$35/100)),(1/Q2526))+MIN((Skills!T17*(1+Inputs!$B$35/100)),MAX(0,Inputs!$B$44-((R2526-1)*(1/Q2526)))))/Inputs!$B$44),IF(Inputs!$B$39="pvp",MIN((Skills!T17*(1+Inputs!$B$35/100)),15)/15,MIN(1,(Skills!T17*(1+Inputs!$B$35/100))/(1/Q2526)))))+((C2514=TRUE)*IF(Inputs!$B$3&gt;=126,10*MIN(1,15*Q2514),0))+((C2523=TRUE)*IF(Inputs!$B$39="pvp",20,(1-Summary!$B$11)*(20)+Summary!$B$11*(0))*IF(AND(Inputs!$B$39&lt;&gt;"pvp",Inputs!$B$44&gt;0),(((R2523-1)*MIN((Skills!T14*(1+Inputs!$B$35/100)),(1/Q2523))+MIN((Skills!T14*(1+Inputs!$B$35/100)),MAX(0,Inputs!$B$44-((R2523-1)*(1/Q2523)))))/Inputs!$B$44),IF(Inputs!$B$39="pvp",MIN((Skills!T14*(1+Inputs!$B$35/100)),15)/15,MIN(1,(Skills!T14*(1+Inputs!$B$35/100))/(1/Q2523)))))+((C2522=TRUE)*IF(Inputs!$B$3&gt;=82,IF(Inputs!$B$39="pvp",20,(1-Summary!$B$11)*(20)+Summary!$B$11*(0)),0)*IF(AND(Inputs!$B$39&lt;&gt;"pvp",Inputs!$B$44&gt;0),(((R2522-1)*MIN((Skills!T13*(1+Inputs!$B$35/100)),(1/Q2522))+MIN((Skills!T13*(1+Inputs!$B$35/100)),MAX(0,Inputs!$B$44-((R2522-1)*(1/Q2522)))))/Inputs!$B$44),IF(Inputs!$B$39="pvp",MIN((Skills!T13*(1+Inputs!$B$35/100)),15)/15,MIN(1,(Skills!T13*(1+Inputs!$B$35/100))/(1/Q2522)))))+(IF(AND(ArtifactsInput!$M$35,Inputs!$B$4&lt;&gt;"Chapter Hunt"),CHOOSE(ArtifactsInput!$N$35+1,15,18,21,24,27,30)*(1-EXP(-(0.2*B2540)*5)),0)+IF(AND(ArtifactsInput!$M$22,Inputs!$B$4&lt;&gt;"Chapter Hunt"),CHOOSE(ArtifactsInput!$N$22+1,10,12,14,16,18,20)*((0*(((0.15*B2540*5))^0/1)+1*(((0.15*B2540*5))^1/1)+2*(((0.15*B2540*5))^2/2)+3*(((0.15*B2540*5))^3/6)+4*(((0.15*B2540*5))^4/24)+5*(((0.15*B2540*5))^5/120))/((((0.15*B2540*5))^0/1)+(((0.15*B2540*5))^1/1)+(((0.15*B2540*5))^2/2)+(((0.15*B2540*5))^3/6)+(((0.15*B2540*5))^4/24)+(((0.15*B2540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2511*(1-MIN(100,(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2511*(MIN(100,(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2511*(1-MIN(100,(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2511*(MIN(100,(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511">
        <f>MAX(0,(Inputs!$B$3-100)*3)+Inputs!$B$29+Inputs!$B$30</f>
        <v/>
      </c>
      <c r="V2511">
        <f>IF(C2511,(Skills!G2*N2511*B2542)*IF(Inputs!$B$39="pvp",1,(1+(Inputs!$B$22+Skills!Q2+((C2526=TRUE)*F2526*IF(AND(Inputs!$B$39&lt;&gt;"pvp",Inputs!$B$44&gt;0),(((R2526-1)*MIN((Skills!T17*(1+Inputs!$B$35/100)),(1/Q2526))+MIN((Skills!T17*(1+Inputs!$B$35/100)),MAX(0,Inputs!$B$44-((R2526-1)*(1/Q2526)))))/Inputs!$B$44),IF(Inputs!$B$39="pvp",MIN((Skills!T17*(1+Inputs!$B$35/100)),15)/15,MIN(1,(Skills!T17*(1+Inputs!$B$35/100))/(1/Q2526)))))+((C2514=TRUE)*IF(Inputs!$B$3&gt;=126,10*MIN(1,15*Q2514),0))+((C2523=TRUE)*IF(Inputs!$B$39="pvp",20,(1-Summary!$B$11)*(20)+Summary!$B$11*(0))*IF(AND(Inputs!$B$39&lt;&gt;"pvp",Inputs!$B$44&gt;0),(((R2523-1)*MIN((Skills!T14*(1+Inputs!$B$35/100)),(1/Q2523))+MIN((Skills!T14*(1+Inputs!$B$35/100)),MAX(0,Inputs!$B$44-((R2523-1)*(1/Q2523)))))/Inputs!$B$44),IF(Inputs!$B$39="pvp",MIN((Skills!T14*(1+Inputs!$B$35/100)),15)/15,MIN(1,(Skills!T14*(1+Inputs!$B$35/100))/(1/Q2523)))))+((C2522=TRUE)*IF(Inputs!$B$3&gt;=82,IF(Inputs!$B$39="pvp",20,(1-Summary!$B$11)*(20)+Summary!$B$11*(0)),0)*IF(AND(Inputs!$B$39&lt;&gt;"pvp",Inputs!$B$44&gt;0),(((R2522-1)*MIN((Skills!T13*(1+Inputs!$B$35/100)),(1/Q2522))+MIN((Skills!T13*(1+Inputs!$B$35/100)),MAX(0,Inputs!$B$44-((R2522-1)*(1/Q2522)))))/Inputs!$B$44),IF(Inputs!$B$39="pvp",MIN((Skills!T13*(1+Inputs!$B$35/100)),15)/15,MIN(1,(Skills!T13*(1+Inputs!$B$35/100))/(1/Q2522)))))+(IF(AND(ArtifactsInput!$M$35,Inputs!$B$4&lt;&gt;"Chapter Hunt"),CHOOSE(ArtifactsInput!$N$35+1,15,18,21,24,27,30)*(1-EXP(-(0.2*B2540)*5)),0)+IF(AND(ArtifactsInput!$M$22,Inputs!$B$4&lt;&gt;"Chapter Hunt"),CHOOSE(ArtifactsInput!$N$22+1,10,12,14,16,18,20)*((0*(((0.15*B2540*5))^0/1)+1*(((0.15*B2540*5))^1/1)+2*(((0.15*B2540*5))^2/2)+3*(((0.15*B2540*5))^3/6)+4*(((0.15*B2540*5))^4/24)+5*(((0.15*B2540*5))^5/120))/((((0.15*B2540*5))^0/1)+(((0.15*B2540*5))^1/1)+(((0.15*B2540*5))^2/2)+(((0.15*B2540*5))^3/6)+(((0.15*B2540*5))^4/24)+(((0.15*B2540*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12">
      <c r="A2512">
        <f>Skills!A3</f>
        <v/>
      </c>
      <c r="B2512">
        <f>Skills!B3</f>
        <v/>
      </c>
      <c r="C2512">
        <f>Inputs!$B$3&gt;=50</f>
        <v/>
      </c>
      <c r="D2512">
        <f>IF(Skills!C3=1,60+Inputs!$B$26+Inputs!$B$30,IF(Skills!C3=2,90+Inputs!$B$27+Inputs!$B$30,IF(Skills!C3=3,120+Inputs!$B$28+Inputs!$B$30,MAX(0,(Inputs!$B$3-100)*3)+Inputs!$B$29+Inputs!$B$30)))</f>
        <v/>
      </c>
      <c r="E2512">
        <f>INDEX(FactorTable!$B$2:$Y$301, MATCH(ROUND(MIN(300,MAX(1,D2512)),0), FactorTable!$A$2:$A$301,0), Skills!M3+1)</f>
        <v/>
      </c>
      <c r="F2512">
        <f>IF(Skills!N3=TRUE,(Skills!L3/10)*(E2512/1000),Skills!L3/10)+Skills!O3</f>
        <v/>
      </c>
      <c r="G2512" t="inlineStr"/>
      <c r="H2512" t="inlineStr"/>
      <c r="I2512" t="inlineStr">
        <is>
          <t>1</t>
        </is>
      </c>
      <c r="J2512" t="inlineStr"/>
      <c r="K2512" t="inlineStr"/>
      <c r="L2512" t="inlineStr"/>
      <c r="M2512" t="inlineStr"/>
      <c r="N2512" t="inlineStr"/>
      <c r="O2512" t="inlineStr"/>
      <c r="P2512" t="inlineStr"/>
      <c r="Q2512" t="inlineStr"/>
      <c r="R2512" t="inlineStr"/>
      <c r="S2512" t="inlineStr"/>
      <c r="U2512">
        <f>INDEX(FactorTable!$B$2:$Y$301, MATCH(ROUND(MIN(300,MAX(1,U2511)),0), FactorTable!$A$2:$A$301,0), 22)</f>
        <v/>
      </c>
    </row>
    <row r="2513">
      <c r="A2513">
        <f>Skills!A4</f>
        <v/>
      </c>
      <c r="B2513">
        <f>Skills!B4</f>
        <v/>
      </c>
      <c r="C2513">
        <f>Inputs!$B$3&gt;=105</f>
        <v/>
      </c>
      <c r="D2513">
        <f>IF(Skills!C4=1,60+Inputs!$B$26+Inputs!$B$30,IF(Skills!C4=2,90+Inputs!$B$27+Inputs!$B$30,IF(Skills!C4=3,120+Inputs!$B$28+Inputs!$B$30,MAX(0,(Inputs!$B$3-100)*3)+Inputs!$B$29+Inputs!$B$30)))</f>
        <v/>
      </c>
      <c r="E2513">
        <f>INDEX(FactorTable!$B$2:$Y$301, MATCH(ROUND(MIN(300,MAX(1,D2513)),0), FactorTable!$A$2:$A$301,0), Skills!M4+1)</f>
        <v/>
      </c>
      <c r="F2513">
        <f>IF(Skills!N4=TRUE,(Skills!L4/10)*(E2513/1000),Skills!L4/10)+Skills!O4</f>
        <v/>
      </c>
      <c r="G2513" t="inlineStr"/>
      <c r="H2513" t="inlineStr"/>
      <c r="I2513" t="inlineStr">
        <is>
          <t>1</t>
        </is>
      </c>
      <c r="J2513" t="inlineStr"/>
      <c r="K2513" t="inlineStr"/>
      <c r="L2513" t="inlineStr"/>
      <c r="M2513" t="inlineStr"/>
      <c r="N2513" t="inlineStr"/>
      <c r="O2513" t="inlineStr"/>
      <c r="P2513" t="inlineStr"/>
      <c r="Q2513" t="inlineStr"/>
      <c r="R2513" t="inlineStr"/>
      <c r="S2513" t="inlineStr"/>
      <c r="U2513">
        <f>290*U2512/1000</f>
        <v/>
      </c>
    </row>
    <row r="2514">
      <c r="A2514">
        <f>Skills!A5</f>
        <v/>
      </c>
      <c r="B2514">
        <f>Skills!B5</f>
        <v/>
      </c>
      <c r="C2514">
        <f>Inputs!$B$3&gt;=117</f>
        <v/>
      </c>
      <c r="D2514">
        <f>IF(Skills!C5=1,60+Inputs!$B$26+Inputs!$B$30,IF(Skills!C5=2,90+Inputs!$B$27+Inputs!$B$30,IF(Skills!C5=3,120+Inputs!$B$28+Inputs!$B$30,MAX(0,(Inputs!$B$3-100)*3)+Inputs!$B$29+Inputs!$B$30)))</f>
        <v/>
      </c>
      <c r="E2514">
        <f>INDEX(FactorTable!$B$2:$Y$301, MATCH(ROUND(MIN(300,MAX(1,D2514)),0), FactorTable!$A$2:$A$301,0), Skills!M5+1)</f>
        <v/>
      </c>
      <c r="F2514">
        <f>IF(Skills!N5=TRUE,(Skills!L5/10)*(E2514/1000),Skills!L5/10)+Skills!O5</f>
        <v/>
      </c>
      <c r="G2514">
        <f>Skills!G5*IF(Skills!H5&gt;0,INT(IF(Inputs!$B$39="pvp",MIN(Skills!I5,15),Skills!I5)/Skills!H5+0.000000001),1)</f>
        <v/>
      </c>
      <c r="H2514">
        <f>1-(1-Skills!J5/100)^Skills!K5</f>
        <v/>
      </c>
      <c r="I2514" t="inlineStr">
        <is>
          <t>1</t>
        </is>
      </c>
      <c r="J2514">
        <f>((Inputs!$B$6*(1+Inputs!$B$7/100))+(((Inputs!$B$13*(1+Inputs!$B$14/100))-(Inputs!$B$13*(1+Inputs!$B$14/100)))+0.25*(Inputs!$B$15-Inputs!$B$15))*(1+Inputs!$B$7/100))*(F2514/100)</f>
        <v/>
      </c>
      <c r="K2514">
        <f>J2514*(1+(((Inputs!$B$13+IF(Inputs!$B$3&gt;=38,(10*INDEX(FactorTable!$B$2:$Y$301, MATCH(ROUND(MIN(300,MAX(1,Inputs!$B$3)),0), FactorTable!$A$2:$A$301,0), 23)/1000)/100*(Inputs!$B$8*(1+Inputs!$B$9/100)),0))*(1+Inputs!$B$14/100))*0.01+Inputs!$B$15*0.0025)/100)*(1+Inputs!$B$16/100)*(1+Inputs!$B$17/100)*(5000/(6000+Inputs!$B$43*(1-(Inputs!$B$20+0)/100)))*(1+(Inputs!$B$25+((C2534=TRUE)*(F2534-Calc!F25))+((C2535=TRUE)*(F2535-Calc!F26))+B2544)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gt;=100),MIN(100,((Inputs!$B$10+0+B2538+(ArtifactsInput!$M$24-ArtifactsInput!$M$24)*CHOOSE(ArtifactsInput!$N$24+1,10,12,14,16,18,20)+IF(ArtifactsInput!$M$10,CHOOSE(ArtifactsInput!$N$10+1,15,18,21,24,27,30)*(IF(Inputs!$B$39="pvp",MIN(15,15)/15,IF(AND(Inputs!$B$39&lt;&gt;"pvp",Inputs!$B$44&gt;0),MIN(15,Inputs!$B$44)/(Inputs!$B$44),0))),0)))-100),0))*CHOOSE(ArtifactsInput!$N$42+1,0.6,0.72,0.84,0.96,1.08,1.2))),Inputs!$B$19+((C2532=TRUE)*(F2532-Calc!F23))+(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gt;=100),CHOOSE(ArtifactsInput!$N$42+1,40,48,56,64,72,80),0))))/100)*((1+(((C2522=TRUE)*F2522*IF(AND(Inputs!$B$39&lt;&gt;"pvp",Inputs!$B$44&gt;0),(((R2522-1)*MIN((Skills!T13*(1+Inputs!$B$35/100)),(1/Q2522))+MIN((Skills!T13*(1+Inputs!$B$35/100)),MAX(0,Inputs!$B$44-((R2522-1)*(1/Q2522)))))/Inputs!$B$44),IF(Inputs!$B$39="pvp",MIN((Skills!T13*(1+Inputs!$B$35/100)),15)/15,MIN(1,(Skills!T13*(1+Inputs!$B$35/100))/(1/Q2522)))))+((C2523=TRUE)*F2523*IF(AND(Inputs!$B$39&lt;&gt;"pvp",Inputs!$B$44&gt;0),(((R2523-1)*MIN((Skills!T14*(1+Inputs!$B$35/100)),(1/Q2523))+MIN((Skills!T14*(1+Inputs!$B$35/100)),MAX(0,Inputs!$B$44-((R2523-1)*(1/Q2523)))))/Inputs!$B$44),IF(Inputs!$B$39="pvp",MIN((Skills!T14*(1+Inputs!$B$35/100)),15)/15,MIN(1,(Skills!T14*(1+Inputs!$B$35/100))/(1/Q2523)))))+((C2524=TRUE)*F2524*IF(AND(Inputs!$B$39&lt;&gt;"pvp",Inputs!$B$44&gt;0),(((R2524-1)*MIN((Skills!T15*(1+Inputs!$B$35/100)),(1/Q2524))+MIN((Skills!T15*(1+Inputs!$B$35/100)),MAX(0,Inputs!$B$44-((R2524-1)*(1/Q2524)))))/Inputs!$B$44),IF(Inputs!$B$39="pvp",MIN((Skills!T15*(1+Inputs!$B$35/100)),15)/15,MIN(1,(Skills!T15*(1+Inputs!$B$35/100))/(1/Q2524)))))+((C2525=TRUE)*F2525*IF(AND(Inputs!$B$39&lt;&gt;"pvp",Inputs!$B$44&gt;0),(((R2525-1)*MIN((Skills!T16*(1+Inputs!$B$35/100)),(1/Q2525))+MIN((Skills!T16*(1+Inputs!$B$35/100)),MAX(0,Inputs!$B$44-((R2525-1)*(1/Q2525)))))/Inputs!$B$44),IF(Inputs!$B$39="pvp",MIN((Skills!T16*(1+Inputs!$B$35/100)),15)/15,MIN(1,(Skills!T16*(1+Inputs!$B$35/100))/(1/Q2525)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2514)</f>
        <v/>
      </c>
      <c r="L2514">
        <f>K2514*(MIN(Inputs!$B$23+((C2531=TRUE)*(F2531-Calc!F22)),(Inputs!$B$24+((C2533=TRUE)*(F2533-Calc!F24))+(IF(ArtifactsInput!$M$15,CHOOSE(ArtifactsInput!$N$15+1,25,30,35,40,45,50)/100*(Inputs!$B$12-Inputs!$B$12),0))))/100+(Inputs!$B$24+((C2533=TRUE)*(F2533-Calc!F24))+(IF(ArtifactsInput!$M$15,CHOOSE(ArtifactsInput!$N$15+1,25,30,35,40,45,50)/100*(Inputs!$B$12-Inputs!$B$12),0)))/100)/2</f>
        <v/>
      </c>
      <c r="M2514">
        <f>L2514*(1+(Inputs!$B$11+0+B2543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514">
        <f>L2514*(1-MIN((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2514*(MIN((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14">
        <f>(1-Summary!$B$11)*T2514+Summary!$B$11*V2514</f>
        <v/>
      </c>
      <c r="P2514">
        <f>IF(B2548=0,0,O2514/B2548)</f>
        <v/>
      </c>
      <c r="Q2514">
        <f>IFERROR(1/IF(Inputs!$B$39="pvp",15,MAX(0.1,Skills!D5-IF(TRUE=TRUE,Inputs!$B$33,0))),0)</f>
        <v/>
      </c>
      <c r="R2514">
        <f>IF(AND(Inputs!$B$39&lt;&gt;"pvp",Inputs!$B$44&gt;0),IF(MAX(0,Inputs!$B$44-B2545)&lt;=0,0,(INT(MAX(0,Inputs!$B$44-B2545)/IF(Inputs!$B$39="pvp",15,MAX(0.1,Skills!D5-IF(TRUE=TRUE,Inputs!$B$33,0))))+1)),0)</f>
        <v/>
      </c>
      <c r="S2514">
        <f>IFERROR(O2514/N2514,0)</f>
        <v/>
      </c>
      <c r="T2514">
        <f>IF(C2514,(H2514*N2514*IF(AND(Inputs!$B$39&lt;&gt;"pvp",Inputs!$B$44&gt;0),((Skills!G5*((R2514-1)*IF(Skills!H5&gt;0,INT(Skills!I5/Skills!H5+0.000000001),1)+IF(Skills!H5&gt;0,INT(MIN(Skills!I5,MAX(0,MAX(0,Inputs!$B$44-B2545)-((R2514-1)*IF(Inputs!$B$39="pvp",15,MAX(0.1,Skills!D5-IF(TRUE=TRUE,Inputs!$B$33,0))))))/Skills!H5+0.000000001),1)))/Inputs!$B$44),G2514*Q2514))*IF(Inputs!$B$39="pvp",1,1+(Inputs!$B$21+0+Skills!P5+((C2526=TRUE)*F2526*IF(AND(Inputs!$B$39&lt;&gt;"pvp",Inputs!$B$44&gt;0),(((R2526-1)*MIN((Skills!T17*(1+Inputs!$B$35/100)),(1/Q2526))+MIN((Skills!T17*(1+Inputs!$B$35/100)),MAX(0,Inputs!$B$44-((R2526-1)*(1/Q2526)))))/Inputs!$B$44),IF(Inputs!$B$39="pvp",MIN((Skills!T17*(1+Inputs!$B$35/100)),15)/15,MIN(1,(Skills!T17*(1+Inputs!$B$35/100))/(1/Q2526)))))+((C2514=TRUE)*IF(Inputs!$B$3&gt;=126,10*MIN(1,15*Q2514),0))+((C2523=TRUE)*IF(Inputs!$B$39="pvp",20,(1-Summary!$B$11)*(20)+Summary!$B$11*(0))*IF(AND(Inputs!$B$39&lt;&gt;"pvp",Inputs!$B$44&gt;0),(((R2523-1)*MIN((Skills!T14*(1+Inputs!$B$35/100)),(1/Q2523))+MIN((Skills!T14*(1+Inputs!$B$35/100)),MAX(0,Inputs!$B$44-((R2523-1)*(1/Q2523)))))/Inputs!$B$44),IF(Inputs!$B$39="pvp",MIN((Skills!T14*(1+Inputs!$B$35/100)),15)/15,MIN(1,(Skills!T14*(1+Inputs!$B$35/100))/(1/Q2523)))))+((C2522=TRUE)*IF(Inputs!$B$3&gt;=82,IF(Inputs!$B$39="pvp",20,(1-Summary!$B$11)*(20)+Summary!$B$11*(0)),0)*IF(AND(Inputs!$B$39&lt;&gt;"pvp",Inputs!$B$44&gt;0),(((R2522-1)*MIN((Skills!T13*(1+Inputs!$B$35/100)),(1/Q2522))+MIN((Skills!T13*(1+Inputs!$B$35/100)),MAX(0,Inputs!$B$44-((R2522-1)*(1/Q2522)))))/Inputs!$B$44),IF(Inputs!$B$39="pvp",MIN((Skills!T13*(1+Inputs!$B$35/100)),15)/15,MIN(1,(Skills!T13*(1+Inputs!$B$35/100))/(1/Q2522)))))+(IF(AND(ArtifactsInput!$M$35,Inputs!$B$4&lt;&gt;"Chapter Hunt"),CHOOSE(ArtifactsInput!$N$35+1,15,18,21,24,27,30)*(1-EXP(-(0.2*B2540)*5)),0)+IF(AND(ArtifactsInput!$M$22,Inputs!$B$4&lt;&gt;"Chapter Hunt"),CHOOSE(ArtifactsInput!$N$22+1,10,12,14,16,18,20)*((0*(((0.15*B2540*5))^0/1)+1*(((0.15*B2540*5))^1/1)+2*(((0.15*B2540*5))^2/2)+3*(((0.15*B2540*5))^3/6)+4*(((0.15*B2540*5))^4/24)+5*(((0.15*B2540*5))^5/120))/((((0.15*B2540*5))^0/1)+(((0.15*B2540*5))^1/1)+(((0.15*B2540*5))^2/2)+(((0.15*B2540*5))^3/6)+(((0.15*B2540*5))^4/24)+(((0.15*B2540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2514*(1-MIN(100,(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2514*(MIN(100,(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2514*(1-MIN(100,(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2514*(MIN(100,(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14">
        <f>IF(C2514,(H2514*N2514*IF(AND(Inputs!$B$39&lt;&gt;"pvp",Inputs!$B$44&gt;0),((Skills!G5*((R2514-1)*IF(Skills!H5&gt;0,INT(Skills!I5/Skills!H5+0.000000001),1)+IF(Skills!H5&gt;0,INT(MIN(Skills!I5,MAX(0,MAX(0,Inputs!$B$44-B2545)-((R2514-1)*IF(Inputs!$B$39="pvp",15,MAX(0.1,Skills!D5-IF(TRUE=TRUE,Inputs!$B$33,0))))))/Skills!H5+0.000000001),1)))/Inputs!$B$44),G2514*Q2514))*IF(Inputs!$B$39="pvp",1,(1+(Inputs!$B$22+Skills!Q5+((C2526=TRUE)*F2526*IF(AND(Inputs!$B$39&lt;&gt;"pvp",Inputs!$B$44&gt;0),(((R2526-1)*MIN((Skills!T17*(1+Inputs!$B$35/100)),(1/Q2526))+MIN((Skills!T17*(1+Inputs!$B$35/100)),MAX(0,Inputs!$B$44-((R2526-1)*(1/Q2526)))))/Inputs!$B$44),IF(Inputs!$B$39="pvp",MIN((Skills!T17*(1+Inputs!$B$35/100)),15)/15,MIN(1,(Skills!T17*(1+Inputs!$B$35/100))/(1/Q2526)))))+((C2514=TRUE)*IF(Inputs!$B$3&gt;=126,10*MIN(1,15*Q2514),0))+((C2523=TRUE)*IF(Inputs!$B$39="pvp",20,(1-Summary!$B$11)*(20)+Summary!$B$11*(0))*IF(AND(Inputs!$B$39&lt;&gt;"pvp",Inputs!$B$44&gt;0),(((R2523-1)*MIN((Skills!T14*(1+Inputs!$B$35/100)),(1/Q2523))+MIN((Skills!T14*(1+Inputs!$B$35/100)),MAX(0,Inputs!$B$44-((R2523-1)*(1/Q2523)))))/Inputs!$B$44),IF(Inputs!$B$39="pvp",MIN((Skills!T14*(1+Inputs!$B$35/100)),15)/15,MIN(1,(Skills!T14*(1+Inputs!$B$35/100))/(1/Q2523)))))+((C2522=TRUE)*IF(Inputs!$B$3&gt;=82,IF(Inputs!$B$39="pvp",20,(1-Summary!$B$11)*(20)+Summary!$B$11*(0)),0)*IF(AND(Inputs!$B$39&lt;&gt;"pvp",Inputs!$B$44&gt;0),(((R2522-1)*MIN((Skills!T13*(1+Inputs!$B$35/100)),(1/Q2522))+MIN((Skills!T13*(1+Inputs!$B$35/100)),MAX(0,Inputs!$B$44-((R2522-1)*(1/Q2522)))))/Inputs!$B$44),IF(Inputs!$B$39="pvp",MIN((Skills!T13*(1+Inputs!$B$35/100)),15)/15,MIN(1,(Skills!T13*(1+Inputs!$B$35/100))/(1/Q2522)))))+(IF(AND(ArtifactsInput!$M$35,Inputs!$B$4&lt;&gt;"Chapter Hunt"),CHOOSE(ArtifactsInput!$N$35+1,15,18,21,24,27,30)*(1-EXP(-(0.2*B2540)*5)),0)+IF(AND(ArtifactsInput!$M$22,Inputs!$B$4&lt;&gt;"Chapter Hunt"),CHOOSE(ArtifactsInput!$N$22+1,10,12,14,16,18,20)*((0*(((0.15*B2540*5))^0/1)+1*(((0.15*B2540*5))^1/1)+2*(((0.15*B2540*5))^2/2)+3*(((0.15*B2540*5))^3/6)+4*(((0.15*B2540*5))^4/24)+5*(((0.15*B2540*5))^5/120))/((((0.15*B2540*5))^0/1)+(((0.15*B2540*5))^1/1)+(((0.15*B2540*5))^2/2)+(((0.15*B2540*5))^3/6)+(((0.15*B2540*5))^4/24)+(((0.15*B2540*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15">
      <c r="A2515">
        <f>Skills!A6</f>
        <v/>
      </c>
      <c r="B2515">
        <f>Skills!B6</f>
        <v/>
      </c>
      <c r="C2515">
        <f>Inputs!$B$3&gt;=103</f>
        <v/>
      </c>
      <c r="D2515">
        <f>IF(Skills!C6=1,60+Inputs!$B$26+Inputs!$B$30,IF(Skills!C6=2,90+Inputs!$B$27+Inputs!$B$30,IF(Skills!C6=3,120+Inputs!$B$28+Inputs!$B$30,MAX(0,(Inputs!$B$3-100)*3)+Inputs!$B$29+Inputs!$B$30)))</f>
        <v/>
      </c>
      <c r="E2515">
        <f>INDEX(FactorTable!$B$2:$Y$301, MATCH(ROUND(MIN(300,MAX(1,D2515)),0), FactorTable!$A$2:$A$301,0), Skills!M6+1)</f>
        <v/>
      </c>
      <c r="F2515">
        <f>IF(Skills!N6=TRUE,(Skills!L6/10)*(E2515/1000),Skills!L6/10)+Skills!O6</f>
        <v/>
      </c>
      <c r="G2515">
        <f>Skills!G6*IF(Skills!H6&gt;0,INT(IF(Inputs!$B$39="pvp",MIN(Skills!I6,15),Skills!I6)/Skills!H6+0.000000001),1)</f>
        <v/>
      </c>
      <c r="H2515">
        <f>1-(1-Skills!J6/100)^Skills!K6</f>
        <v/>
      </c>
      <c r="I2515" t="inlineStr">
        <is>
          <t>1</t>
        </is>
      </c>
      <c r="J2515">
        <f>((Inputs!$B$6*(1+Inputs!$B$7/100))+(((Inputs!$B$13*(1+Inputs!$B$14/100))-(Inputs!$B$13*(1+Inputs!$B$14/100)))+0.25*(Inputs!$B$15-Inputs!$B$15))*(1+Inputs!$B$7/100))*(F2515/100)</f>
        <v/>
      </c>
      <c r="K2515">
        <f>J2515*(1+(((Inputs!$B$13+IF(Inputs!$B$3&gt;=38,(10*INDEX(FactorTable!$B$2:$Y$301, MATCH(ROUND(MIN(300,MAX(1,Inputs!$B$3)),0), FactorTable!$A$2:$A$301,0), 23)/1000)/100*(Inputs!$B$8*(1+Inputs!$B$9/100)),0))*(1+Inputs!$B$14/100))*0.01+Inputs!$B$15*0.0025)/100)*(1+Inputs!$B$16/100)*(1+Inputs!$B$17/100)*(5000/(6000+Inputs!$B$43*(1-(Inputs!$B$20+0)/100)))*(1+(Inputs!$B$25+((C2534=TRUE)*(F2534-Calc!F25))+((C2535=TRUE)*(F2535-Calc!F26))+B2544)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gt;=100),MIN(100,((Inputs!$B$10+0+B2538+(ArtifactsInput!$M$24-ArtifactsInput!$M$24)*CHOOSE(ArtifactsInput!$N$24+1,10,12,14,16,18,20)+IF(ArtifactsInput!$M$10,CHOOSE(ArtifactsInput!$N$10+1,15,18,21,24,27,30)*(IF(Inputs!$B$39="pvp",MIN(15,15)/15,IF(AND(Inputs!$B$39&lt;&gt;"pvp",Inputs!$B$44&gt;0),MIN(15,Inputs!$B$44)/(Inputs!$B$44),0))),0)))-100),0))*CHOOSE(ArtifactsInput!$N$42+1,0.6,0.72,0.84,0.96,1.08,1.2))),Inputs!$B$19+((C2532=TRUE)*(F2532-Calc!F23))+(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gt;=100),CHOOSE(ArtifactsInput!$N$42+1,40,48,56,64,72,80),0))))/100)*((1+(((C2522=TRUE)*F2522*IF(AND(Inputs!$B$39&lt;&gt;"pvp",Inputs!$B$44&gt;0),(((R2522-1)*MIN((Skills!T13*(1+Inputs!$B$35/100)),(1/Q2522))+MIN((Skills!T13*(1+Inputs!$B$35/100)),MAX(0,Inputs!$B$44-((R2522-1)*(1/Q2522)))))/Inputs!$B$44),IF(Inputs!$B$39="pvp",MIN((Skills!T13*(1+Inputs!$B$35/100)),15)/15,MIN(1,(Skills!T13*(1+Inputs!$B$35/100))/(1/Q2522)))))+((C2523=TRUE)*F2523*IF(AND(Inputs!$B$39&lt;&gt;"pvp",Inputs!$B$44&gt;0),(((R2523-1)*MIN((Skills!T14*(1+Inputs!$B$35/100)),(1/Q2523))+MIN((Skills!T14*(1+Inputs!$B$35/100)),MAX(0,Inputs!$B$44-((R2523-1)*(1/Q2523)))))/Inputs!$B$44),IF(Inputs!$B$39="pvp",MIN((Skills!T14*(1+Inputs!$B$35/100)),15)/15,MIN(1,(Skills!T14*(1+Inputs!$B$35/100))/(1/Q2523)))))+((C2524=TRUE)*F2524*IF(AND(Inputs!$B$39&lt;&gt;"pvp",Inputs!$B$44&gt;0),(((R2524-1)*MIN((Skills!T15*(1+Inputs!$B$35/100)),(1/Q2524))+MIN((Skills!T15*(1+Inputs!$B$35/100)),MAX(0,Inputs!$B$44-((R2524-1)*(1/Q2524)))))/Inputs!$B$44),IF(Inputs!$B$39="pvp",MIN((Skills!T15*(1+Inputs!$B$35/100)),15)/15,MIN(1,(Skills!T15*(1+Inputs!$B$35/100))/(1/Q2524)))))+((C2525=TRUE)*F2525*IF(AND(Inputs!$B$39&lt;&gt;"pvp",Inputs!$B$44&gt;0),(((R2525-1)*MIN((Skills!T16*(1+Inputs!$B$35/100)),(1/Q2525))+MIN((Skills!T16*(1+Inputs!$B$35/100)),MAX(0,Inputs!$B$44-((R2525-1)*(1/Q2525)))))/Inputs!$B$44),IF(Inputs!$B$39="pvp",MIN((Skills!T16*(1+Inputs!$B$35/100)),15)/15,MIN(1,(Skills!T16*(1+Inputs!$B$35/100))/(1/Q2525)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2515)</f>
        <v/>
      </c>
      <c r="L2515">
        <f>K2515*(MIN(Inputs!$B$23+((C2531=TRUE)*(F2531-Calc!F22)),(Inputs!$B$24+((C2533=TRUE)*(F2533-Calc!F24))+(IF(ArtifactsInput!$M$15,CHOOSE(ArtifactsInput!$N$15+1,25,30,35,40,45,50)/100*(Inputs!$B$12-Inputs!$B$12),0))))/100+(Inputs!$B$24+((C2533=TRUE)*(F2533-Calc!F24))+(IF(ArtifactsInput!$M$15,CHOOSE(ArtifactsInput!$N$15+1,25,30,35,40,45,50)/100*(Inputs!$B$12-Inputs!$B$12),0)))/100)/2</f>
        <v/>
      </c>
      <c r="M2515">
        <f>L2515*(1+(Inputs!$B$11+0+B2543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515">
        <f>L2515*(1-MIN((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2515*(MIN((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15">
        <f>(1-Summary!$B$11)*T2515+Summary!$B$11*V2515</f>
        <v/>
      </c>
      <c r="P2515">
        <f>IF(B2548=0,0,O2515/B2548)</f>
        <v/>
      </c>
      <c r="Q2515">
        <f>IFERROR(1/IF(Inputs!$B$39="pvp",15,MAX(0.1,Skills!D6-IF(TRUE=TRUE,Inputs!$B$33,0))),0)</f>
        <v/>
      </c>
      <c r="R2515">
        <f>IF(AND(Inputs!$B$39&lt;&gt;"pvp",Inputs!$B$44&gt;0),IF(MAX(0,Inputs!$B$44-B2545)&lt;=0,0,(INT(MAX(0,Inputs!$B$44-B2545)/IF(Inputs!$B$39="pvp",15,MAX(0.1,Skills!D6-IF(TRUE=TRUE,Inputs!$B$33,0))))+1)),0)</f>
        <v/>
      </c>
      <c r="S2515">
        <f>IFERROR(O2515/N2515,0)</f>
        <v/>
      </c>
      <c r="T2515">
        <f>IF(C2515,(H2515*N2515*IF(AND(Inputs!$B$39&lt;&gt;"pvp",Inputs!$B$44&gt;0),((Skills!G6*((R2515-1)*IF(Skills!H6&gt;0,INT(Skills!I6/Skills!H6+0.000000001),1)+IF(Skills!H6&gt;0,INT(MIN(Skills!I6,MAX(0,MAX(0,Inputs!$B$44-B2545)-((R2515-1)*IF(Inputs!$B$39="pvp",15,MAX(0.1,Skills!D6-IF(TRUE=TRUE,Inputs!$B$33,0))))))/Skills!H6+0.000000001),1)))/Inputs!$B$44),G2515*Q2515))*IF(Inputs!$B$39="pvp",1,1+(Inputs!$B$21+0+Skills!P6+((C2526=TRUE)*F2526*IF(AND(Inputs!$B$39&lt;&gt;"pvp",Inputs!$B$44&gt;0),(((R2526-1)*MIN((Skills!T17*(1+Inputs!$B$35/100)),(1/Q2526))+MIN((Skills!T17*(1+Inputs!$B$35/100)),MAX(0,Inputs!$B$44-((R2526-1)*(1/Q2526)))))/Inputs!$B$44),IF(Inputs!$B$39="pvp",MIN((Skills!T17*(1+Inputs!$B$35/100)),15)/15,MIN(1,(Skills!T17*(1+Inputs!$B$35/100))/(1/Q2526)))))+((C2514=TRUE)*IF(Inputs!$B$3&gt;=126,10*MIN(1,15*Q2514),0))+((C2523=TRUE)*IF(Inputs!$B$39="pvp",20,(1-Summary!$B$11)*(20)+Summary!$B$11*(0))*IF(AND(Inputs!$B$39&lt;&gt;"pvp",Inputs!$B$44&gt;0),(((R2523-1)*MIN((Skills!T14*(1+Inputs!$B$35/100)),(1/Q2523))+MIN((Skills!T14*(1+Inputs!$B$35/100)),MAX(0,Inputs!$B$44-((R2523-1)*(1/Q2523)))))/Inputs!$B$44),IF(Inputs!$B$39="pvp",MIN((Skills!T14*(1+Inputs!$B$35/100)),15)/15,MIN(1,(Skills!T14*(1+Inputs!$B$35/100))/(1/Q2523)))))+((C2522=TRUE)*IF(Inputs!$B$3&gt;=82,IF(Inputs!$B$39="pvp",20,(1-Summary!$B$11)*(20)+Summary!$B$11*(0)),0)*IF(AND(Inputs!$B$39&lt;&gt;"pvp",Inputs!$B$44&gt;0),(((R2522-1)*MIN((Skills!T13*(1+Inputs!$B$35/100)),(1/Q2522))+MIN((Skills!T13*(1+Inputs!$B$35/100)),MAX(0,Inputs!$B$44-((R2522-1)*(1/Q2522)))))/Inputs!$B$44),IF(Inputs!$B$39="pvp",MIN((Skills!T13*(1+Inputs!$B$35/100)),15)/15,MIN(1,(Skills!T13*(1+Inputs!$B$35/100))/(1/Q2522)))))+(IF(AND(ArtifactsInput!$M$35,Inputs!$B$4&lt;&gt;"Chapter Hunt"),CHOOSE(ArtifactsInput!$N$35+1,15,18,21,24,27,30)*(1-EXP(-(0.2*B2540)*5)),0)+IF(AND(ArtifactsInput!$M$22,Inputs!$B$4&lt;&gt;"Chapter Hunt"),CHOOSE(ArtifactsInput!$N$22+1,10,12,14,16,18,20)*((0*(((0.15*B2540*5))^0/1)+1*(((0.15*B2540*5))^1/1)+2*(((0.15*B2540*5))^2/2)+3*(((0.15*B2540*5))^3/6)+4*(((0.15*B2540*5))^4/24)+5*(((0.15*B2540*5))^5/120))/((((0.15*B2540*5))^0/1)+(((0.15*B2540*5))^1/1)+(((0.15*B2540*5))^2/2)+(((0.15*B2540*5))^3/6)+(((0.15*B2540*5))^4/24)+(((0.15*B2540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2515*(1-MIN(100,(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2515*(MIN(100,(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2515*(1-MIN(100,(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2515*(MIN(100,(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15">
        <f>IF(C2515,(H2515*N2515*IF(AND(Inputs!$B$39&lt;&gt;"pvp",Inputs!$B$44&gt;0),((Skills!G6*((R2515-1)*IF(Skills!H6&gt;0,INT(Skills!I6/Skills!H6+0.000000001),1)+IF(Skills!H6&gt;0,INT(MIN(Skills!I6,MAX(0,MAX(0,Inputs!$B$44-B2545)-((R2515-1)*IF(Inputs!$B$39="pvp",15,MAX(0.1,Skills!D6-IF(TRUE=TRUE,Inputs!$B$33,0))))))/Skills!H6+0.000000001),1)))/Inputs!$B$44),G2515*Q2515))*IF(Inputs!$B$39="pvp",1,(1+(Inputs!$B$22+Skills!Q6+((C2526=TRUE)*F2526*IF(AND(Inputs!$B$39&lt;&gt;"pvp",Inputs!$B$44&gt;0),(((R2526-1)*MIN((Skills!T17*(1+Inputs!$B$35/100)),(1/Q2526))+MIN((Skills!T17*(1+Inputs!$B$35/100)),MAX(0,Inputs!$B$44-((R2526-1)*(1/Q2526)))))/Inputs!$B$44),IF(Inputs!$B$39="pvp",MIN((Skills!T17*(1+Inputs!$B$35/100)),15)/15,MIN(1,(Skills!T17*(1+Inputs!$B$35/100))/(1/Q2526)))))+((C2514=TRUE)*IF(Inputs!$B$3&gt;=126,10*MIN(1,15*Q2514),0))+((C2523=TRUE)*IF(Inputs!$B$39="pvp",20,(1-Summary!$B$11)*(20)+Summary!$B$11*(0))*IF(AND(Inputs!$B$39&lt;&gt;"pvp",Inputs!$B$44&gt;0),(((R2523-1)*MIN((Skills!T14*(1+Inputs!$B$35/100)),(1/Q2523))+MIN((Skills!T14*(1+Inputs!$B$35/100)),MAX(0,Inputs!$B$44-((R2523-1)*(1/Q2523)))))/Inputs!$B$44),IF(Inputs!$B$39="pvp",MIN((Skills!T14*(1+Inputs!$B$35/100)),15)/15,MIN(1,(Skills!T14*(1+Inputs!$B$35/100))/(1/Q2523)))))+((C2522=TRUE)*IF(Inputs!$B$3&gt;=82,IF(Inputs!$B$39="pvp",20,(1-Summary!$B$11)*(20)+Summary!$B$11*(0)),0)*IF(AND(Inputs!$B$39&lt;&gt;"pvp",Inputs!$B$44&gt;0),(((R2522-1)*MIN((Skills!T13*(1+Inputs!$B$35/100)),(1/Q2522))+MIN((Skills!T13*(1+Inputs!$B$35/100)),MAX(0,Inputs!$B$44-((R2522-1)*(1/Q2522)))))/Inputs!$B$44),IF(Inputs!$B$39="pvp",MIN((Skills!T13*(1+Inputs!$B$35/100)),15)/15,MIN(1,(Skills!T13*(1+Inputs!$B$35/100))/(1/Q2522)))))+(IF(AND(ArtifactsInput!$M$35,Inputs!$B$4&lt;&gt;"Chapter Hunt"),CHOOSE(ArtifactsInput!$N$35+1,15,18,21,24,27,30)*(1-EXP(-(0.2*B2540)*5)),0)+IF(AND(ArtifactsInput!$M$22,Inputs!$B$4&lt;&gt;"Chapter Hunt"),CHOOSE(ArtifactsInput!$N$22+1,10,12,14,16,18,20)*((0*(((0.15*B2540*5))^0/1)+1*(((0.15*B2540*5))^1/1)+2*(((0.15*B2540*5))^2/2)+3*(((0.15*B2540*5))^3/6)+4*(((0.15*B2540*5))^4/24)+5*(((0.15*B2540*5))^5/120))/((((0.15*B2540*5))^0/1)+(((0.15*B2540*5))^1/1)+(((0.15*B2540*5))^2/2)+(((0.15*B2540*5))^3/6)+(((0.15*B2540*5))^4/24)+(((0.15*B2540*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16">
      <c r="A2516">
        <f>Skills!A7</f>
        <v/>
      </c>
      <c r="B2516">
        <f>Skills!B7</f>
        <v/>
      </c>
      <c r="C2516">
        <f>Inputs!$B$3&gt;=40</f>
        <v/>
      </c>
      <c r="D2516">
        <f>IF(Skills!C7=1,60+Inputs!$B$26+Inputs!$B$30,IF(Skills!C7=2,90+Inputs!$B$27+Inputs!$B$30,IF(Skills!C7=3,120+Inputs!$B$28+Inputs!$B$30,MAX(0,(Inputs!$B$3-100)*3)+Inputs!$B$29+Inputs!$B$30)))</f>
        <v/>
      </c>
      <c r="E2516">
        <f>INDEX(FactorTable!$B$2:$Y$301, MATCH(ROUND(MIN(300,MAX(1,D2516)),0), FactorTable!$A$2:$A$301,0), Skills!M7+1)</f>
        <v/>
      </c>
      <c r="F2516">
        <f>IF(Skills!N7=TRUE,(Skills!L7/10)*(E2516/1000),Skills!L7/10)+Skills!O7</f>
        <v/>
      </c>
      <c r="G2516">
        <f>Skills!G7*IF(Skills!H7&gt;0,INT(IF(Inputs!$B$39="pvp",MIN(Skills!I7,15),Skills!I7)/Skills!H7+0.000000001),1)</f>
        <v/>
      </c>
      <c r="H2516">
        <f>1-(1-Skills!J7/100)^Skills!K7</f>
        <v/>
      </c>
      <c r="I2516" t="inlineStr">
        <is>
          <t>1</t>
        </is>
      </c>
      <c r="J2516">
        <f>((Inputs!$B$6*(1+Inputs!$B$7/100))+(((Inputs!$B$13*(1+Inputs!$B$14/100))-(Inputs!$B$13*(1+Inputs!$B$14/100)))+0.25*(Inputs!$B$15-Inputs!$B$15))*(1+Inputs!$B$7/100))*(F2516/100)</f>
        <v/>
      </c>
      <c r="K2516">
        <f>J2516*(1+(((Inputs!$B$13+IF(Inputs!$B$3&gt;=38,(10*INDEX(FactorTable!$B$2:$Y$301, MATCH(ROUND(MIN(300,MAX(1,Inputs!$B$3)),0), FactorTable!$A$2:$A$301,0), 23)/1000)/100*(Inputs!$B$8*(1+Inputs!$B$9/100)),0))*(1+Inputs!$B$14/100))*0.01+Inputs!$B$15*0.0025)/100)*(1+Inputs!$B$16/100)*(1+Inputs!$B$17/100)*(5000/(6000+Inputs!$B$43*(1-(Inputs!$B$20+0)/100)))*(1+(Inputs!$B$25+((C2534=TRUE)*(F2534-Calc!F25))+((C2535=TRUE)*(F2535-Calc!F26))+B2544)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2520=TRUE,F2520,0)/100)*(1+(IF(Skills!A7="DARK_IMPALE",Inputs!$B$18+0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gt;=100),MIN(100,((Inputs!$B$10+0+B2538+(ArtifactsInput!$M$24-ArtifactsInput!$M$24)*CHOOSE(ArtifactsInput!$N$24+1,10,12,14,16,18,20)+IF(ArtifactsInput!$M$10,CHOOSE(ArtifactsInput!$N$10+1,15,18,21,24,27,30)*(IF(Inputs!$B$39="pvp",MIN(15,15)/15,IF(AND(Inputs!$B$39&lt;&gt;"pvp",Inputs!$B$44&gt;0),MIN(15,Inputs!$B$44)/(Inputs!$B$44),0))),0)))-100),0))*CHOOSE(ArtifactsInput!$N$42+1,0.6,0.72,0.84,0.96,1.08,1.2))),Inputs!$B$19+((C2532=TRUE)*(F2532-Calc!F23))+(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gt;=100),CHOOSE(ArtifactsInput!$N$42+1,40,48,56,64,72,80),0))))/100)*((1+(((C2522=TRUE)*F2522*IF(AND(Inputs!$B$39&lt;&gt;"pvp",Inputs!$B$44&gt;0),(((R2522-1)*MIN((Skills!T13*(1+Inputs!$B$35/100)),(1/Q2522))+MIN((Skills!T13*(1+Inputs!$B$35/100)),MAX(0,Inputs!$B$44-((R2522-1)*(1/Q2522)))))/Inputs!$B$44),IF(Inputs!$B$39="pvp",MIN((Skills!T13*(1+Inputs!$B$35/100)),15)/15,MIN(1,(Skills!T13*(1+Inputs!$B$35/100))/(1/Q2522)))))+((C2523=TRUE)*F2523*IF(AND(Inputs!$B$39&lt;&gt;"pvp",Inputs!$B$44&gt;0),(((R2523-1)*MIN((Skills!T14*(1+Inputs!$B$35/100)),(1/Q2523))+MIN((Skills!T14*(1+Inputs!$B$35/100)),MAX(0,Inputs!$B$44-((R2523-1)*(1/Q2523)))))/Inputs!$B$44),IF(Inputs!$B$39="pvp",MIN((Skills!T14*(1+Inputs!$B$35/100)),15)/15,MIN(1,(Skills!T14*(1+Inputs!$B$35/100))/(1/Q2523)))))+((C2524=TRUE)*F2524*IF(AND(Inputs!$B$39&lt;&gt;"pvp",Inputs!$B$44&gt;0),(((R2524-1)*MIN((Skills!T15*(1+Inputs!$B$35/100)),(1/Q2524))+MIN((Skills!T15*(1+Inputs!$B$35/100)),MAX(0,Inputs!$B$44-((R2524-1)*(1/Q2524)))))/Inputs!$B$44),IF(Inputs!$B$39="pvp",MIN((Skills!T15*(1+Inputs!$B$35/100)),15)/15,MIN(1,(Skills!T15*(1+Inputs!$B$35/100))/(1/Q2524)))))+((C2525=TRUE)*F2525*IF(AND(Inputs!$B$39&lt;&gt;"pvp",Inputs!$B$44&gt;0),(((R2525-1)*MIN((Skills!T16*(1+Inputs!$B$35/100)),(1/Q2525))+MIN((Skills!T16*(1+Inputs!$B$35/100)),MAX(0,Inputs!$B$44-((R2525-1)*(1/Q2525)))))/Inputs!$B$44),IF(Inputs!$B$39="pvp",MIN((Skills!T16*(1+Inputs!$B$35/100)),15)/15,MIN(1,(Skills!T16*(1+Inputs!$B$35/100))/(1/Q2525)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2516)</f>
        <v/>
      </c>
      <c r="L2516">
        <f>K2516*(MIN(Inputs!$B$23+((C2531=TRUE)*(F2531-Calc!F22)),(Inputs!$B$24+((C2533=TRUE)*(F2533-Calc!F24))+(IF(ArtifactsInput!$M$15,CHOOSE(ArtifactsInput!$N$15+1,25,30,35,40,45,50)/100*(Inputs!$B$12-Inputs!$B$12),0))))/100+(Inputs!$B$24+((C2533=TRUE)*(F2533-Calc!F24))+(IF(ArtifactsInput!$M$15,CHOOSE(ArtifactsInput!$N$15+1,25,30,35,40,45,50)/100*(Inputs!$B$12-Inputs!$B$12),0)))/100)/2</f>
        <v/>
      </c>
      <c r="M2516">
        <f>L2516*(1+(Inputs!$B$11+0+B2543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516">
        <f>L2516*(1-MIN((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2516*(MIN((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16">
        <f>(1-Summary!$B$11)*T2516+Summary!$B$11*V2516</f>
        <v/>
      </c>
      <c r="P2516">
        <f>IF(B2548=0,0,O2516/B2548)</f>
        <v/>
      </c>
      <c r="Q2516">
        <f>IFERROR(1/IF(Inputs!$B$39="pvp",15,MAX(0.1,Skills!D7-IF(TRUE=TRUE,Inputs!$B$33,0))),0)</f>
        <v/>
      </c>
      <c r="R2516">
        <f>IF(AND(Inputs!$B$39&lt;&gt;"pvp",Inputs!$B$44&gt;0),IF(MAX(0,Inputs!$B$44-B2545)&lt;=0,0,(INT(MAX(0,Inputs!$B$44-B2545)/IF(Inputs!$B$39="pvp",15,MAX(0.1,Skills!D7-IF(TRUE=TRUE,Inputs!$B$33,0))))+1)),0)</f>
        <v/>
      </c>
      <c r="S2516">
        <f>IFERROR(O2516/N2516,0)</f>
        <v/>
      </c>
      <c r="T2516">
        <f>IF(C2516,(H2516*N2516*IF(AND(Inputs!$B$39&lt;&gt;"pvp",Inputs!$B$44&gt;0),((Skills!G7*((R2516-1)*IF(Skills!H7&gt;0,INT(Skills!I7/Skills!H7+0.000000001),1)+IF(Skills!H7&gt;0,INT(MIN(Skills!I7,MAX(0,MAX(0,Inputs!$B$44-B2545)-((R2516-1)*IF(Inputs!$B$39="pvp",15,MAX(0.1,Skills!D7-IF(TRUE=TRUE,Inputs!$B$33,0))))))/Skills!H7+0.000000001),1)))/Inputs!$B$44),G2516*Q2516))*IF(Inputs!$B$39="pvp",1,1+(Inputs!$B$21+0+Skills!P7+((C2526=TRUE)*F2526*IF(AND(Inputs!$B$39&lt;&gt;"pvp",Inputs!$B$44&gt;0),(((R2526-1)*MIN((Skills!T17*(1+Inputs!$B$35/100)),(1/Q2526))+MIN((Skills!T17*(1+Inputs!$B$35/100)),MAX(0,Inputs!$B$44-((R2526-1)*(1/Q2526)))))/Inputs!$B$44),IF(Inputs!$B$39="pvp",MIN((Skills!T17*(1+Inputs!$B$35/100)),15)/15,MIN(1,(Skills!T17*(1+Inputs!$B$35/100))/(1/Q2526)))))+((C2514=TRUE)*IF(Inputs!$B$3&gt;=126,10*MIN(1,15*Q2514),0))+((C2523=TRUE)*IF(Inputs!$B$39="pvp",20,(1-Summary!$B$11)*(20)+Summary!$B$11*(0))*IF(AND(Inputs!$B$39&lt;&gt;"pvp",Inputs!$B$44&gt;0),(((R2523-1)*MIN((Skills!T14*(1+Inputs!$B$35/100)),(1/Q2523))+MIN((Skills!T14*(1+Inputs!$B$35/100)),MAX(0,Inputs!$B$44-((R2523-1)*(1/Q2523)))))/Inputs!$B$44),IF(Inputs!$B$39="pvp",MIN((Skills!T14*(1+Inputs!$B$35/100)),15)/15,MIN(1,(Skills!T14*(1+Inputs!$B$35/100))/(1/Q2523)))))+((C2522=TRUE)*IF(Inputs!$B$3&gt;=82,IF(Inputs!$B$39="pvp",20,(1-Summary!$B$11)*(20)+Summary!$B$11*(0)),0)*IF(AND(Inputs!$B$39&lt;&gt;"pvp",Inputs!$B$44&gt;0),(((R2522-1)*MIN((Skills!T13*(1+Inputs!$B$35/100)),(1/Q2522))+MIN((Skills!T13*(1+Inputs!$B$35/100)),MAX(0,Inputs!$B$44-((R2522-1)*(1/Q2522)))))/Inputs!$B$44),IF(Inputs!$B$39="pvp",MIN((Skills!T13*(1+Inputs!$B$35/100)),15)/15,MIN(1,(Skills!T13*(1+Inputs!$B$35/100))/(1/Q2522)))))+(IF(AND(ArtifactsInput!$M$35,Inputs!$B$4&lt;&gt;"Chapter Hunt"),CHOOSE(ArtifactsInput!$N$35+1,15,18,21,24,27,30)*(1-EXP(-(0.2*B2540)*5)),0)+IF(AND(ArtifactsInput!$M$22,Inputs!$B$4&lt;&gt;"Chapter Hunt"),CHOOSE(ArtifactsInput!$N$22+1,10,12,14,16,18,20)*((0*(((0.15*B2540*5))^0/1)+1*(((0.15*B2540*5))^1/1)+2*(((0.15*B2540*5))^2/2)+3*(((0.15*B2540*5))^3/6)+4*(((0.15*B2540*5))^4/24)+5*(((0.15*B2540*5))^5/120))/((((0.15*B2540*5))^0/1)+(((0.15*B2540*5))^1/1)+(((0.15*B2540*5))^2/2)+(((0.15*B2540*5))^3/6)+(((0.15*B2540*5))^4/24)+(((0.15*B2540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2516*(1-MIN(100,(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2516*(MIN(100,(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2516*(1-MIN(100,(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2516*(MIN(100,(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16">
        <f>IF(C2516,(H2516*N2516*IF(AND(Inputs!$B$39&lt;&gt;"pvp",Inputs!$B$44&gt;0),((Skills!G7*((R2516-1)*IF(Skills!H7&gt;0,INT(Skills!I7/Skills!H7+0.000000001),1)+IF(Skills!H7&gt;0,INT(MIN(Skills!I7,MAX(0,MAX(0,Inputs!$B$44-B2545)-((R2516-1)*IF(Inputs!$B$39="pvp",15,MAX(0.1,Skills!D7-IF(TRUE=TRUE,Inputs!$B$33,0))))))/Skills!H7+0.000000001),1)))/Inputs!$B$44),G2516*Q2516))*IF(Inputs!$B$39="pvp",1,(1+(Inputs!$B$22+Skills!Q7+((C2526=TRUE)*F2526*IF(AND(Inputs!$B$39&lt;&gt;"pvp",Inputs!$B$44&gt;0),(((R2526-1)*MIN((Skills!T17*(1+Inputs!$B$35/100)),(1/Q2526))+MIN((Skills!T17*(1+Inputs!$B$35/100)),MAX(0,Inputs!$B$44-((R2526-1)*(1/Q2526)))))/Inputs!$B$44),IF(Inputs!$B$39="pvp",MIN((Skills!T17*(1+Inputs!$B$35/100)),15)/15,MIN(1,(Skills!T17*(1+Inputs!$B$35/100))/(1/Q2526)))))+((C2514=TRUE)*IF(Inputs!$B$3&gt;=126,10*MIN(1,15*Q2514),0))+((C2523=TRUE)*IF(Inputs!$B$39="pvp",20,(1-Summary!$B$11)*(20)+Summary!$B$11*(0))*IF(AND(Inputs!$B$39&lt;&gt;"pvp",Inputs!$B$44&gt;0),(((R2523-1)*MIN((Skills!T14*(1+Inputs!$B$35/100)),(1/Q2523))+MIN((Skills!T14*(1+Inputs!$B$35/100)),MAX(0,Inputs!$B$44-((R2523-1)*(1/Q2523)))))/Inputs!$B$44),IF(Inputs!$B$39="pvp",MIN((Skills!T14*(1+Inputs!$B$35/100)),15)/15,MIN(1,(Skills!T14*(1+Inputs!$B$35/100))/(1/Q2523)))))+((C2522=TRUE)*IF(Inputs!$B$3&gt;=82,IF(Inputs!$B$39="pvp",20,(1-Summary!$B$11)*(20)+Summary!$B$11*(0)),0)*IF(AND(Inputs!$B$39&lt;&gt;"pvp",Inputs!$B$44&gt;0),(((R2522-1)*MIN((Skills!T13*(1+Inputs!$B$35/100)),(1/Q2522))+MIN((Skills!T13*(1+Inputs!$B$35/100)),MAX(0,Inputs!$B$44-((R2522-1)*(1/Q2522)))))/Inputs!$B$44),IF(Inputs!$B$39="pvp",MIN((Skills!T13*(1+Inputs!$B$35/100)),15)/15,MIN(1,(Skills!T13*(1+Inputs!$B$35/100))/(1/Q2522)))))+(IF(AND(ArtifactsInput!$M$35,Inputs!$B$4&lt;&gt;"Chapter Hunt"),CHOOSE(ArtifactsInput!$N$35+1,15,18,21,24,27,30)*(1-EXP(-(0.2*B2540)*5)),0)+IF(AND(ArtifactsInput!$M$22,Inputs!$B$4&lt;&gt;"Chapter Hunt"),CHOOSE(ArtifactsInput!$N$22+1,10,12,14,16,18,20)*((0*(((0.15*B2540*5))^0/1)+1*(((0.15*B2540*5))^1/1)+2*(((0.15*B2540*5))^2/2)+3*(((0.15*B2540*5))^3/6)+4*(((0.15*B2540*5))^4/24)+5*(((0.15*B2540*5))^5/120))/((((0.15*B2540*5))^0/1)+(((0.15*B2540*5))^1/1)+(((0.15*B2540*5))^2/2)+(((0.15*B2540*5))^3/6)+(((0.15*B2540*5))^4/24)+(((0.15*B2540*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17">
      <c r="A2517">
        <f>Skills!A8</f>
        <v/>
      </c>
      <c r="B2517">
        <f>Skills!B8</f>
        <v/>
      </c>
      <c r="C2517">
        <f>Inputs!$B$3&gt;=75</f>
        <v/>
      </c>
      <c r="D2517">
        <f>IF(Skills!C8=1,60+Inputs!$B$26+Inputs!$B$30,IF(Skills!C8=2,90+Inputs!$B$27+Inputs!$B$30,IF(Skills!C8=3,120+Inputs!$B$28+Inputs!$B$30,MAX(0,(Inputs!$B$3-100)*3)+Inputs!$B$29+Inputs!$B$30)))</f>
        <v/>
      </c>
      <c r="E2517">
        <f>INDEX(FactorTable!$B$2:$Y$301, MATCH(ROUND(MIN(300,MAX(1,D2517)),0), FactorTable!$A$2:$A$301,0), Skills!M8+1)</f>
        <v/>
      </c>
      <c r="F2517">
        <f>IF(Skills!N8=TRUE,(Skills!L8/10)*(E2517/1000),Skills!L8/10)+Skills!O8</f>
        <v/>
      </c>
      <c r="G2517" t="inlineStr"/>
      <c r="H2517" t="inlineStr"/>
      <c r="I2517" t="inlineStr">
        <is>
          <t>1</t>
        </is>
      </c>
      <c r="J2517" t="inlineStr"/>
      <c r="K2517" t="inlineStr"/>
      <c r="L2517" t="inlineStr"/>
      <c r="M2517" t="inlineStr"/>
      <c r="N2517" t="inlineStr"/>
      <c r="O2517" t="inlineStr"/>
      <c r="P2517" t="inlineStr"/>
      <c r="Q2517" t="inlineStr"/>
      <c r="R2517" t="inlineStr"/>
      <c r="S2517" t="inlineStr"/>
    </row>
    <row r="2518">
      <c r="A2518">
        <f>Skills!A9</f>
        <v/>
      </c>
      <c r="B2518">
        <f>Skills!B9</f>
        <v/>
      </c>
      <c r="C2518">
        <f>Inputs!$B$3&gt;=60</f>
        <v/>
      </c>
      <c r="D2518">
        <f>IF(Skills!C9=1,60+Inputs!$B$26+Inputs!$B$30,IF(Skills!C9=2,90+Inputs!$B$27+Inputs!$B$30,IF(Skills!C9=3,120+Inputs!$B$28+Inputs!$B$30,MAX(0,(Inputs!$B$3-100)*3)+Inputs!$B$29+Inputs!$B$30)))</f>
        <v/>
      </c>
      <c r="E2518">
        <f>INDEX(FactorTable!$B$2:$Y$301, MATCH(ROUND(MIN(300,MAX(1,D2518)),0), FactorTable!$A$2:$A$301,0), Skills!M9+1)</f>
        <v/>
      </c>
      <c r="F2518">
        <f>IF(Skills!N9=TRUE,(Skills!L9/10)*(E2518/1000),Skills!L9/10)+Skills!O9</f>
        <v/>
      </c>
      <c r="G2518">
        <f>Skills!G9*IF(Skills!H9&gt;0,INT(IF(Inputs!$B$39="pvp",MIN(Skills!I9,15),Skills!I9)/Skills!H9+0.000000001),1)</f>
        <v/>
      </c>
      <c r="H2518">
        <f>1-(1-Skills!J9/100)^Skills!K9</f>
        <v/>
      </c>
      <c r="I2518" t="inlineStr">
        <is>
          <t>1</t>
        </is>
      </c>
      <c r="J2518">
        <f>((Inputs!$B$6*(1+Inputs!$B$7/100))+(((Inputs!$B$13*(1+Inputs!$B$14/100))-(Inputs!$B$13*(1+Inputs!$B$14/100)))+0.25*(Inputs!$B$15-Inputs!$B$15))*(1+Inputs!$B$7/100))*(F2518/100)</f>
        <v/>
      </c>
      <c r="K2518">
        <f>J2518*(1+(((Inputs!$B$13+IF(Inputs!$B$3&gt;=38,(10*INDEX(FactorTable!$B$2:$Y$301, MATCH(ROUND(MIN(300,MAX(1,Inputs!$B$3)),0), FactorTable!$A$2:$A$301,0), 23)/1000)/100*(Inputs!$B$8*(1+Inputs!$B$9/100)),0))*(1+Inputs!$B$14/100))*0.01+Inputs!$B$15*0.0025)/100)*(1+Inputs!$B$16/100)*(1+Inputs!$B$17/100)*(5000/(6000+Inputs!$B$43*(1-(Inputs!$B$20+0)/100)))*(1+(Inputs!$B$25+((C2534=TRUE)*(F2534-Calc!F25))+((C2535=TRUE)*(F2535-Calc!F26))+B2544)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2520=TRUE,F2520,0)/100)*(1+(IF(Skills!A9="DARK_IMPALE",Inputs!$B$18+0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gt;=100),MIN(100,((Inputs!$B$10+0+B2538+(ArtifactsInput!$M$24-ArtifactsInput!$M$24)*CHOOSE(ArtifactsInput!$N$24+1,10,12,14,16,18,20)+IF(ArtifactsInput!$M$10,CHOOSE(ArtifactsInput!$N$10+1,15,18,21,24,27,30)*(IF(Inputs!$B$39="pvp",MIN(15,15)/15,IF(AND(Inputs!$B$39&lt;&gt;"pvp",Inputs!$B$44&gt;0),MIN(15,Inputs!$B$44)/(Inputs!$B$44),0))),0)))-100),0))*CHOOSE(ArtifactsInput!$N$42+1,0.6,0.72,0.84,0.96,1.08,1.2))),Inputs!$B$19+((C2532=TRUE)*(F2532-Calc!F23))+(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gt;=100),CHOOSE(ArtifactsInput!$N$42+1,40,48,56,64,72,80),0))))/100)*((1+(((C2522=TRUE)*F2522*IF(AND(Inputs!$B$39&lt;&gt;"pvp",Inputs!$B$44&gt;0),(((R2522-1)*MIN((Skills!T13*(1+Inputs!$B$35/100)),(1/Q2522))+MIN((Skills!T13*(1+Inputs!$B$35/100)),MAX(0,Inputs!$B$44-((R2522-1)*(1/Q2522)))))/Inputs!$B$44),IF(Inputs!$B$39="pvp",MIN((Skills!T13*(1+Inputs!$B$35/100)),15)/15,MIN(1,(Skills!T13*(1+Inputs!$B$35/100))/(1/Q2522)))))+((C2523=TRUE)*F2523*IF(AND(Inputs!$B$39&lt;&gt;"pvp",Inputs!$B$44&gt;0),(((R2523-1)*MIN((Skills!T14*(1+Inputs!$B$35/100)),(1/Q2523))+MIN((Skills!T14*(1+Inputs!$B$35/100)),MAX(0,Inputs!$B$44-((R2523-1)*(1/Q2523)))))/Inputs!$B$44),IF(Inputs!$B$39="pvp",MIN((Skills!T14*(1+Inputs!$B$35/100)),15)/15,MIN(1,(Skills!T14*(1+Inputs!$B$35/100))/(1/Q2523)))))+((C2524=TRUE)*F2524*IF(AND(Inputs!$B$39&lt;&gt;"pvp",Inputs!$B$44&gt;0),(((R2524-1)*MIN((Skills!T15*(1+Inputs!$B$35/100)),(1/Q2524))+MIN((Skills!T15*(1+Inputs!$B$35/100)),MAX(0,Inputs!$B$44-((R2524-1)*(1/Q2524)))))/Inputs!$B$44),IF(Inputs!$B$39="pvp",MIN((Skills!T15*(1+Inputs!$B$35/100)),15)/15,MIN(1,(Skills!T15*(1+Inputs!$B$35/100))/(1/Q2524)))))+((C2525=TRUE)*F2525*IF(AND(Inputs!$B$39&lt;&gt;"pvp",Inputs!$B$44&gt;0),(((R2525-1)*MIN((Skills!T16*(1+Inputs!$B$35/100)),(1/Q2525))+MIN((Skills!T16*(1+Inputs!$B$35/100)),MAX(0,Inputs!$B$44-((R2525-1)*(1/Q2525)))))/Inputs!$B$44),IF(Inputs!$B$39="pvp",MIN((Skills!T16*(1+Inputs!$B$35/100)),15)/15,MIN(1,(Skills!T16*(1+Inputs!$B$35/100))/(1/Q2525)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2518)</f>
        <v/>
      </c>
      <c r="L2518">
        <f>K2518*(MIN(Inputs!$B$23+((C2531=TRUE)*(F2531-Calc!F22)),(Inputs!$B$24+((C2533=TRUE)*(F2533-Calc!F24))+(IF(ArtifactsInput!$M$15,CHOOSE(ArtifactsInput!$N$15+1,25,30,35,40,45,50)/100*(Inputs!$B$12-Inputs!$B$12),0))))/100+(Inputs!$B$24+((C2533=TRUE)*(F2533-Calc!F24))+(IF(ArtifactsInput!$M$15,CHOOSE(ArtifactsInput!$N$15+1,25,30,35,40,45,50)/100*(Inputs!$B$12-Inputs!$B$12),0)))/100)/2</f>
        <v/>
      </c>
      <c r="M2518">
        <f>L2518*(1+(Inputs!$B$11+0+B2543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518">
        <f>L2518*(1-MIN((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2518*(MIN((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18">
        <f>(1-Summary!$B$11)*T2518+Summary!$B$11*V2518</f>
        <v/>
      </c>
      <c r="P2518">
        <f>IF(B2548=0,0,O2518/B2548)</f>
        <v/>
      </c>
      <c r="Q2518">
        <f>IFERROR(1/IF(Inputs!$B$39="pvp",15,MAX(0.1,Skills!D9-IF(TRUE=TRUE,Inputs!$B$33,0))),0)</f>
        <v/>
      </c>
      <c r="R2518">
        <f>IF(AND(Inputs!$B$39&lt;&gt;"pvp",Inputs!$B$44&gt;0),IF(MAX(0,Inputs!$B$44-B2545)&lt;=0,0,(INT(MAX(0,Inputs!$B$44-B2545)/IF(Inputs!$B$39="pvp",15,MAX(0.1,Skills!D9-IF(TRUE=TRUE,Inputs!$B$33,0))))+1)),0)</f>
        <v/>
      </c>
      <c r="S2518">
        <f>IFERROR(O2518/N2518,0)</f>
        <v/>
      </c>
      <c r="T2518">
        <f>IF(C2518,(H2518*N2518*IF(AND(Inputs!$B$39&lt;&gt;"pvp",Inputs!$B$44&gt;0),((Skills!G9*((R2518-1)*IF(Skills!H9&gt;0,INT(Skills!I9/Skills!H9+0.000000001),1)+IF(Skills!H9&gt;0,INT(MIN(Skills!I9,MAX(0,MAX(0,Inputs!$B$44-B2545)-((R2518-1)*IF(Inputs!$B$39="pvp",15,MAX(0.1,Skills!D9-IF(TRUE=TRUE,Inputs!$B$33,0))))))/Skills!H9+0.000000001),1)))/Inputs!$B$44),G2518*Q2518))*IF(Inputs!$B$39="pvp",1,1+(Inputs!$B$21+0+Skills!P9+((C2526=TRUE)*F2526*IF(AND(Inputs!$B$39&lt;&gt;"pvp",Inputs!$B$44&gt;0),(((R2526-1)*MIN((Skills!T17*(1+Inputs!$B$35/100)),(1/Q2526))+MIN((Skills!T17*(1+Inputs!$B$35/100)),MAX(0,Inputs!$B$44-((R2526-1)*(1/Q2526)))))/Inputs!$B$44),IF(Inputs!$B$39="pvp",MIN((Skills!T17*(1+Inputs!$B$35/100)),15)/15,MIN(1,(Skills!T17*(1+Inputs!$B$35/100))/(1/Q2526)))))+((C2514=TRUE)*IF(Inputs!$B$3&gt;=126,10*MIN(1,15*Q2514),0))+((C2523=TRUE)*IF(Inputs!$B$39="pvp",20,(1-Summary!$B$11)*(20)+Summary!$B$11*(0))*IF(AND(Inputs!$B$39&lt;&gt;"pvp",Inputs!$B$44&gt;0),(((R2523-1)*MIN((Skills!T14*(1+Inputs!$B$35/100)),(1/Q2523))+MIN((Skills!T14*(1+Inputs!$B$35/100)),MAX(0,Inputs!$B$44-((R2523-1)*(1/Q2523)))))/Inputs!$B$44),IF(Inputs!$B$39="pvp",MIN((Skills!T14*(1+Inputs!$B$35/100)),15)/15,MIN(1,(Skills!T14*(1+Inputs!$B$35/100))/(1/Q2523)))))+((C2522=TRUE)*IF(Inputs!$B$3&gt;=82,IF(Inputs!$B$39="pvp",20,(1-Summary!$B$11)*(20)+Summary!$B$11*(0)),0)*IF(AND(Inputs!$B$39&lt;&gt;"pvp",Inputs!$B$44&gt;0),(((R2522-1)*MIN((Skills!T13*(1+Inputs!$B$35/100)),(1/Q2522))+MIN((Skills!T13*(1+Inputs!$B$35/100)),MAX(0,Inputs!$B$44-((R2522-1)*(1/Q2522)))))/Inputs!$B$44),IF(Inputs!$B$39="pvp",MIN((Skills!T13*(1+Inputs!$B$35/100)),15)/15,MIN(1,(Skills!T13*(1+Inputs!$B$35/100))/(1/Q2522)))))+(IF(AND(ArtifactsInput!$M$35,Inputs!$B$4&lt;&gt;"Chapter Hunt"),CHOOSE(ArtifactsInput!$N$35+1,15,18,21,24,27,30)*(1-EXP(-(0.2*B2540)*5)),0)+IF(AND(ArtifactsInput!$M$22,Inputs!$B$4&lt;&gt;"Chapter Hunt"),CHOOSE(ArtifactsInput!$N$22+1,10,12,14,16,18,20)*((0*(((0.15*B2540*5))^0/1)+1*(((0.15*B2540*5))^1/1)+2*(((0.15*B2540*5))^2/2)+3*(((0.15*B2540*5))^3/6)+4*(((0.15*B2540*5))^4/24)+5*(((0.15*B2540*5))^5/120))/((((0.15*B2540*5))^0/1)+(((0.15*B2540*5))^1/1)+(((0.15*B2540*5))^2/2)+(((0.15*B2540*5))^3/6)+(((0.15*B2540*5))^4/24)+(((0.15*B2540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2518*(1-MIN(100,(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2518*(MIN(100,(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2518*(1-MIN(100,(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2518*(MIN(100,(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18">
        <f>IF(C2518,(H2518*N2518*IF(AND(Inputs!$B$39&lt;&gt;"pvp",Inputs!$B$44&gt;0),((Skills!G9*((R2518-1)*IF(Skills!H9&gt;0,INT(Skills!I9/Skills!H9+0.000000001),1)+IF(Skills!H9&gt;0,INT(MIN(Skills!I9,MAX(0,MAX(0,Inputs!$B$44-B2545)-((R2518-1)*IF(Inputs!$B$39="pvp",15,MAX(0.1,Skills!D9-IF(TRUE=TRUE,Inputs!$B$33,0))))))/Skills!H9+0.000000001),1)))/Inputs!$B$44),G2518*Q2518))*IF(Inputs!$B$39="pvp",1,(1+(Inputs!$B$22+Skills!Q9+((C2526=TRUE)*F2526*IF(AND(Inputs!$B$39&lt;&gt;"pvp",Inputs!$B$44&gt;0),(((R2526-1)*MIN((Skills!T17*(1+Inputs!$B$35/100)),(1/Q2526))+MIN((Skills!T17*(1+Inputs!$B$35/100)),MAX(0,Inputs!$B$44-((R2526-1)*(1/Q2526)))))/Inputs!$B$44),IF(Inputs!$B$39="pvp",MIN((Skills!T17*(1+Inputs!$B$35/100)),15)/15,MIN(1,(Skills!T17*(1+Inputs!$B$35/100))/(1/Q2526)))))+((C2514=TRUE)*IF(Inputs!$B$3&gt;=126,10*MIN(1,15*Q2514),0))+((C2523=TRUE)*IF(Inputs!$B$39="pvp",20,(1-Summary!$B$11)*(20)+Summary!$B$11*(0))*IF(AND(Inputs!$B$39&lt;&gt;"pvp",Inputs!$B$44&gt;0),(((R2523-1)*MIN((Skills!T14*(1+Inputs!$B$35/100)),(1/Q2523))+MIN((Skills!T14*(1+Inputs!$B$35/100)),MAX(0,Inputs!$B$44-((R2523-1)*(1/Q2523)))))/Inputs!$B$44),IF(Inputs!$B$39="pvp",MIN((Skills!T14*(1+Inputs!$B$35/100)),15)/15,MIN(1,(Skills!T14*(1+Inputs!$B$35/100))/(1/Q2523)))))+((C2522=TRUE)*IF(Inputs!$B$3&gt;=82,IF(Inputs!$B$39="pvp",20,(1-Summary!$B$11)*(20)+Summary!$B$11*(0)),0)*IF(AND(Inputs!$B$39&lt;&gt;"pvp",Inputs!$B$44&gt;0),(((R2522-1)*MIN((Skills!T13*(1+Inputs!$B$35/100)),(1/Q2522))+MIN((Skills!T13*(1+Inputs!$B$35/100)),MAX(0,Inputs!$B$44-((R2522-1)*(1/Q2522)))))/Inputs!$B$44),IF(Inputs!$B$39="pvp",MIN((Skills!T13*(1+Inputs!$B$35/100)),15)/15,MIN(1,(Skills!T13*(1+Inputs!$B$35/100))/(1/Q2522)))))+(IF(AND(ArtifactsInput!$M$35,Inputs!$B$4&lt;&gt;"Chapter Hunt"),CHOOSE(ArtifactsInput!$N$35+1,15,18,21,24,27,30)*(1-EXP(-(0.2*B2540)*5)),0)+IF(AND(ArtifactsInput!$M$22,Inputs!$B$4&lt;&gt;"Chapter Hunt"),CHOOSE(ArtifactsInput!$N$22+1,10,12,14,16,18,20)*((0*(((0.15*B2540*5))^0/1)+1*(((0.15*B2540*5))^1/1)+2*(((0.15*B2540*5))^2/2)+3*(((0.15*B2540*5))^3/6)+4*(((0.15*B2540*5))^4/24)+5*(((0.15*B2540*5))^5/120))/((((0.15*B2540*5))^0/1)+(((0.15*B2540*5))^1/1)+(((0.15*B2540*5))^2/2)+(((0.15*B2540*5))^3/6)+(((0.15*B2540*5))^4/24)+(((0.15*B2540*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19">
      <c r="A2519">
        <f>Skills!A10</f>
        <v/>
      </c>
      <c r="B2519">
        <f>Skills!B10</f>
        <v/>
      </c>
      <c r="C2519">
        <f>Inputs!$B$3&gt;=110</f>
        <v/>
      </c>
      <c r="D2519">
        <f>IF(Skills!C10=1,60+Inputs!$B$26+Inputs!$B$30,IF(Skills!C10=2,90+Inputs!$B$27+Inputs!$B$30,IF(Skills!C10=3,120+Inputs!$B$28+Inputs!$B$30,MAX(0,(Inputs!$B$3-100)*3)+Inputs!$B$29+Inputs!$B$30)))</f>
        <v/>
      </c>
      <c r="E2519">
        <f>INDEX(FactorTable!$B$2:$Y$301, MATCH(ROUND(MIN(300,MAX(1,D2519)),0), FactorTable!$A$2:$A$301,0), Skills!M10+1)</f>
        <v/>
      </c>
      <c r="F2519">
        <f>IF(Skills!N10=TRUE,(Skills!L10/10)*(E2519/1000),Skills!L10/10)+Skills!O10</f>
        <v/>
      </c>
      <c r="G2519">
        <f>Skills!G10*IF(Skills!H10&gt;0,INT(IF(Inputs!$B$39="pvp",MIN(Skills!I10,15),Skills!I10)/Skills!H10+0.000000001),1)</f>
        <v/>
      </c>
      <c r="H2519">
        <f>1-(1-Skills!J10/100)^Skills!K10</f>
        <v/>
      </c>
      <c r="I2519" t="inlineStr">
        <is>
          <t>1</t>
        </is>
      </c>
      <c r="J2519">
        <f>((Inputs!$B$6*(1+Inputs!$B$7/100))+(((Inputs!$B$13*(1+Inputs!$B$14/100))-(Inputs!$B$13*(1+Inputs!$B$14/100)))+0.25*(Inputs!$B$15-Inputs!$B$15))*(1+Inputs!$B$7/100))*(F2519/100)</f>
        <v/>
      </c>
      <c r="K2519">
        <f>J2519*(1+(((Inputs!$B$13+IF(Inputs!$B$3&gt;=38,(10*INDEX(FactorTable!$B$2:$Y$301, MATCH(ROUND(MIN(300,MAX(1,Inputs!$B$3)),0), FactorTable!$A$2:$A$301,0), 23)/1000)/100*(Inputs!$B$8*(1+Inputs!$B$9/100)),0))*(1+Inputs!$B$14/100))*0.01+Inputs!$B$15*0.0025)/100)*(1+Inputs!$B$16/100)*(1+Inputs!$B$17/100)*(5000/(6000+Inputs!$B$43*(1-(Inputs!$B$20+0)/100)))*(1+(Inputs!$B$25+((C2534=TRUE)*(F2534-Calc!F25))+((C2535=TRUE)*(F2535-Calc!F26))+B2544)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gt;=100),MIN(100,((Inputs!$B$10+0+B2538+(ArtifactsInput!$M$24-ArtifactsInput!$M$24)*CHOOSE(ArtifactsInput!$N$24+1,10,12,14,16,18,20)+IF(ArtifactsInput!$M$10,CHOOSE(ArtifactsInput!$N$10+1,15,18,21,24,27,30)*(IF(Inputs!$B$39="pvp",MIN(15,15)/15,IF(AND(Inputs!$B$39&lt;&gt;"pvp",Inputs!$B$44&gt;0),MIN(15,Inputs!$B$44)/(Inputs!$B$44),0))),0)))-100),0))*CHOOSE(ArtifactsInput!$N$42+1,0.6,0.72,0.84,0.96,1.08,1.2))),Inputs!$B$19+((C2532=TRUE)*(F2532-Calc!F23))+(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gt;=100),CHOOSE(ArtifactsInput!$N$42+1,40,48,56,64,72,80),0))))/100)*((1+(((C2522=TRUE)*F2522*IF(AND(Inputs!$B$39&lt;&gt;"pvp",Inputs!$B$44&gt;0),(((R2522-1)*MIN((Skills!T13*(1+Inputs!$B$35/100)),(1/Q2522))+MIN((Skills!T13*(1+Inputs!$B$35/100)),MAX(0,Inputs!$B$44-((R2522-1)*(1/Q2522)))))/Inputs!$B$44),IF(Inputs!$B$39="pvp",MIN((Skills!T13*(1+Inputs!$B$35/100)),15)/15,MIN(1,(Skills!T13*(1+Inputs!$B$35/100))/(1/Q2522)))))+((C2523=TRUE)*F2523*IF(AND(Inputs!$B$39&lt;&gt;"pvp",Inputs!$B$44&gt;0),(((R2523-1)*MIN((Skills!T14*(1+Inputs!$B$35/100)),(1/Q2523))+MIN((Skills!T14*(1+Inputs!$B$35/100)),MAX(0,Inputs!$B$44-((R2523-1)*(1/Q2523)))))/Inputs!$B$44),IF(Inputs!$B$39="pvp",MIN((Skills!T14*(1+Inputs!$B$35/100)),15)/15,MIN(1,(Skills!T14*(1+Inputs!$B$35/100))/(1/Q2523)))))+((C2524=TRUE)*F2524*IF(AND(Inputs!$B$39&lt;&gt;"pvp",Inputs!$B$44&gt;0),(((R2524-1)*MIN((Skills!T15*(1+Inputs!$B$35/100)),(1/Q2524))+MIN((Skills!T15*(1+Inputs!$B$35/100)),MAX(0,Inputs!$B$44-((R2524-1)*(1/Q2524)))))/Inputs!$B$44),IF(Inputs!$B$39="pvp",MIN((Skills!T15*(1+Inputs!$B$35/100)),15)/15,MIN(1,(Skills!T15*(1+Inputs!$B$35/100))/(1/Q2524)))))+((C2525=TRUE)*F2525*IF(AND(Inputs!$B$39&lt;&gt;"pvp",Inputs!$B$44&gt;0),(((R2525-1)*MIN((Skills!T16*(1+Inputs!$B$35/100)),(1/Q2525))+MIN((Skills!T16*(1+Inputs!$B$35/100)),MAX(0,Inputs!$B$44-((R2525-1)*(1/Q2525)))))/Inputs!$B$44),IF(Inputs!$B$39="pvp",MIN((Skills!T16*(1+Inputs!$B$35/100)),15)/15,MIN(1,(Skills!T16*(1+Inputs!$B$35/100))/(1/Q2525)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2519)</f>
        <v/>
      </c>
      <c r="L2519">
        <f>K2519*(MIN(Inputs!$B$23+((C2531=TRUE)*(F2531-Calc!F22)),(Inputs!$B$24+((C2533=TRUE)*(F2533-Calc!F24))+(IF(ArtifactsInput!$M$15,CHOOSE(ArtifactsInput!$N$15+1,25,30,35,40,45,50)/100*(Inputs!$B$12-Inputs!$B$12),0))))/100+(Inputs!$B$24+((C2533=TRUE)*(F2533-Calc!F24))+(IF(ArtifactsInput!$M$15,CHOOSE(ArtifactsInput!$N$15+1,25,30,35,40,45,50)/100*(Inputs!$B$12-Inputs!$B$12),0)))/100)/2</f>
        <v/>
      </c>
      <c r="M2519">
        <f>L2519*(1+(Inputs!$B$11+0+B2543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519">
        <f>L2519*(1-MIN((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2519*(MIN((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19">
        <f>(1-Summary!$B$11)*T2519+Summary!$B$11*V2519</f>
        <v/>
      </c>
      <c r="P2519">
        <f>IF(B2548=0,0,O2519/B2548)</f>
        <v/>
      </c>
      <c r="Q2519">
        <f>IFERROR(1/IF(Inputs!$B$39="pvp",15,MAX(0.1,Skills!D10-IF(TRUE=TRUE,Inputs!$B$33,0))),0)</f>
        <v/>
      </c>
      <c r="R2519">
        <f>IF(AND(Inputs!$B$39&lt;&gt;"pvp",Inputs!$B$44&gt;0),IF(MAX(0,Inputs!$B$44-B2545)&lt;=0,0,(INT(MAX(0,Inputs!$B$44-B2545)/IF(Inputs!$B$39="pvp",15,MAX(0.1,Skills!D10-IF(TRUE=TRUE,Inputs!$B$33,0))))+1)),0)</f>
        <v/>
      </c>
      <c r="S2519">
        <f>IFERROR(O2519/N2519,0)</f>
        <v/>
      </c>
      <c r="T2519">
        <f>IF(C2519,(H2519*N2519*IF(AND(Inputs!$B$39&lt;&gt;"pvp",Inputs!$B$44&gt;0),((Skills!G10*((R2519-1)*IF(Skills!H10&gt;0,INT(Skills!I10/Skills!H10+0.000000001),1)+IF(Skills!H10&gt;0,INT(MIN(Skills!I10,MAX(0,MAX(0,Inputs!$B$44-B2545)-((R2519-1)*IF(Inputs!$B$39="pvp",15,MAX(0.1,Skills!D10-IF(TRUE=TRUE,Inputs!$B$33,0))))))/Skills!H10+0.000000001),1)))/Inputs!$B$44),G2519*Q2519))*IF(Inputs!$B$39="pvp",1,1+(Inputs!$B$21+0+Skills!P10+((C2526=TRUE)*F2526*IF(AND(Inputs!$B$39&lt;&gt;"pvp",Inputs!$B$44&gt;0),(((R2526-1)*MIN((Skills!T17*(1+Inputs!$B$35/100)),(1/Q2526))+MIN((Skills!T17*(1+Inputs!$B$35/100)),MAX(0,Inputs!$B$44-((R2526-1)*(1/Q2526)))))/Inputs!$B$44),IF(Inputs!$B$39="pvp",MIN((Skills!T17*(1+Inputs!$B$35/100)),15)/15,MIN(1,(Skills!T17*(1+Inputs!$B$35/100))/(1/Q2526)))))+((C2514=TRUE)*IF(Inputs!$B$3&gt;=126,10*MIN(1,15*Q2514),0))+((C2523=TRUE)*IF(Inputs!$B$39="pvp",20,(1-Summary!$B$11)*(20)+Summary!$B$11*(0))*IF(AND(Inputs!$B$39&lt;&gt;"pvp",Inputs!$B$44&gt;0),(((R2523-1)*MIN((Skills!T14*(1+Inputs!$B$35/100)),(1/Q2523))+MIN((Skills!T14*(1+Inputs!$B$35/100)),MAX(0,Inputs!$B$44-((R2523-1)*(1/Q2523)))))/Inputs!$B$44),IF(Inputs!$B$39="pvp",MIN((Skills!T14*(1+Inputs!$B$35/100)),15)/15,MIN(1,(Skills!T14*(1+Inputs!$B$35/100))/(1/Q2523)))))+((C2522=TRUE)*IF(Inputs!$B$3&gt;=82,IF(Inputs!$B$39="pvp",20,(1-Summary!$B$11)*(20)+Summary!$B$11*(0)),0)*IF(AND(Inputs!$B$39&lt;&gt;"pvp",Inputs!$B$44&gt;0),(((R2522-1)*MIN((Skills!T13*(1+Inputs!$B$35/100)),(1/Q2522))+MIN((Skills!T13*(1+Inputs!$B$35/100)),MAX(0,Inputs!$B$44-((R2522-1)*(1/Q2522)))))/Inputs!$B$44),IF(Inputs!$B$39="pvp",MIN((Skills!T13*(1+Inputs!$B$35/100)),15)/15,MIN(1,(Skills!T13*(1+Inputs!$B$35/100))/(1/Q2522)))))+(IF(AND(ArtifactsInput!$M$35,Inputs!$B$4&lt;&gt;"Chapter Hunt"),CHOOSE(ArtifactsInput!$N$35+1,15,18,21,24,27,30)*(1-EXP(-(0.2*B2540)*5)),0)+IF(AND(ArtifactsInput!$M$22,Inputs!$B$4&lt;&gt;"Chapter Hunt"),CHOOSE(ArtifactsInput!$N$22+1,10,12,14,16,18,20)*((0*(((0.15*B2540*5))^0/1)+1*(((0.15*B2540*5))^1/1)+2*(((0.15*B2540*5))^2/2)+3*(((0.15*B2540*5))^3/6)+4*(((0.15*B2540*5))^4/24)+5*(((0.15*B2540*5))^5/120))/((((0.15*B2540*5))^0/1)+(((0.15*B2540*5))^1/1)+(((0.15*B2540*5))^2/2)+(((0.15*B2540*5))^3/6)+(((0.15*B2540*5))^4/24)+(((0.15*B2540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2519*(1-MIN(100,(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2519*(MIN(100,(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2519*(1-MIN(100,(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2519*(MIN(100,(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19">
        <f>IF(C2519,(H2519*N2519*IF(AND(Inputs!$B$39&lt;&gt;"pvp",Inputs!$B$44&gt;0),((Skills!G10*((R2519-1)*IF(Skills!H10&gt;0,INT(Skills!I10/Skills!H10+0.000000001),1)+IF(Skills!H10&gt;0,INT(MIN(Skills!I10,MAX(0,MAX(0,Inputs!$B$44-B2545)-((R2519-1)*IF(Inputs!$B$39="pvp",15,MAX(0.1,Skills!D10-IF(TRUE=TRUE,Inputs!$B$33,0))))))/Skills!H10+0.000000001),1)))/Inputs!$B$44),G2519*Q2519))*IF(Inputs!$B$39="pvp",1,(1+(Inputs!$B$22+Skills!Q10+((C2526=TRUE)*F2526*IF(AND(Inputs!$B$39&lt;&gt;"pvp",Inputs!$B$44&gt;0),(((R2526-1)*MIN((Skills!T17*(1+Inputs!$B$35/100)),(1/Q2526))+MIN((Skills!T17*(1+Inputs!$B$35/100)),MAX(0,Inputs!$B$44-((R2526-1)*(1/Q2526)))))/Inputs!$B$44),IF(Inputs!$B$39="pvp",MIN((Skills!T17*(1+Inputs!$B$35/100)),15)/15,MIN(1,(Skills!T17*(1+Inputs!$B$35/100))/(1/Q2526)))))+((C2514=TRUE)*IF(Inputs!$B$3&gt;=126,10*MIN(1,15*Q2514),0))+((C2523=TRUE)*IF(Inputs!$B$39="pvp",20,(1-Summary!$B$11)*(20)+Summary!$B$11*(0))*IF(AND(Inputs!$B$39&lt;&gt;"pvp",Inputs!$B$44&gt;0),(((R2523-1)*MIN((Skills!T14*(1+Inputs!$B$35/100)),(1/Q2523))+MIN((Skills!T14*(1+Inputs!$B$35/100)),MAX(0,Inputs!$B$44-((R2523-1)*(1/Q2523)))))/Inputs!$B$44),IF(Inputs!$B$39="pvp",MIN((Skills!T14*(1+Inputs!$B$35/100)),15)/15,MIN(1,(Skills!T14*(1+Inputs!$B$35/100))/(1/Q2523)))))+((C2522=TRUE)*IF(Inputs!$B$3&gt;=82,IF(Inputs!$B$39="pvp",20,(1-Summary!$B$11)*(20)+Summary!$B$11*(0)),0)*IF(AND(Inputs!$B$39&lt;&gt;"pvp",Inputs!$B$44&gt;0),(((R2522-1)*MIN((Skills!T13*(1+Inputs!$B$35/100)),(1/Q2522))+MIN((Skills!T13*(1+Inputs!$B$35/100)),MAX(0,Inputs!$B$44-((R2522-1)*(1/Q2522)))))/Inputs!$B$44),IF(Inputs!$B$39="pvp",MIN((Skills!T13*(1+Inputs!$B$35/100)),15)/15,MIN(1,(Skills!T13*(1+Inputs!$B$35/100))/(1/Q2522)))))+(IF(AND(ArtifactsInput!$M$35,Inputs!$B$4&lt;&gt;"Chapter Hunt"),CHOOSE(ArtifactsInput!$N$35+1,15,18,21,24,27,30)*(1-EXP(-(0.2*B2540)*5)),0)+IF(AND(ArtifactsInput!$M$22,Inputs!$B$4&lt;&gt;"Chapter Hunt"),CHOOSE(ArtifactsInput!$N$22+1,10,12,14,16,18,20)*((0*(((0.15*B2540*5))^0/1)+1*(((0.15*B2540*5))^1/1)+2*(((0.15*B2540*5))^2/2)+3*(((0.15*B2540*5))^3/6)+4*(((0.15*B2540*5))^4/24)+5*(((0.15*B2540*5))^5/120))/((((0.15*B2540*5))^0/1)+(((0.15*B2540*5))^1/1)+(((0.15*B2540*5))^2/2)+(((0.15*B2540*5))^3/6)+(((0.15*B2540*5))^4/24)+(((0.15*B2540*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20">
      <c r="A2520">
        <f>Skills!A11</f>
        <v/>
      </c>
      <c r="B2520">
        <f>Skills!B11</f>
        <v/>
      </c>
      <c r="C2520">
        <f>Inputs!$B$3&gt;=100</f>
        <v/>
      </c>
      <c r="D2520">
        <f>IF(Skills!C11=1,60+Inputs!$B$26+Inputs!$B$30,IF(Skills!C11=2,90+Inputs!$B$27+Inputs!$B$30,IF(Skills!C11=3,120+Inputs!$B$28+Inputs!$B$30,MAX(0,(Inputs!$B$3-100)*3)+Inputs!$B$29+Inputs!$B$30)))</f>
        <v/>
      </c>
      <c r="E2520">
        <f>INDEX(FactorTable!$B$2:$Y$301, MATCH(ROUND(MIN(300,MAX(1,D2520)),0), FactorTable!$A$2:$A$301,0), Skills!M11+1)</f>
        <v/>
      </c>
      <c r="F2520">
        <f>IF(Skills!N11=TRUE,(Skills!L11/10)*(E2520/1000),Skills!L11/10)+Skills!O11</f>
        <v/>
      </c>
      <c r="G2520" t="inlineStr"/>
      <c r="H2520" t="inlineStr"/>
      <c r="I2520" t="inlineStr">
        <is>
          <t>1</t>
        </is>
      </c>
      <c r="J2520" t="inlineStr"/>
      <c r="K2520" t="inlineStr"/>
      <c r="L2520" t="inlineStr"/>
      <c r="M2520" t="inlineStr"/>
      <c r="N2520" t="inlineStr"/>
      <c r="O2520" t="inlineStr"/>
      <c r="P2520" t="inlineStr"/>
      <c r="Q2520" t="inlineStr"/>
      <c r="R2520" t="inlineStr"/>
      <c r="S2520" t="inlineStr"/>
    </row>
    <row r="2521">
      <c r="A2521">
        <f>Skills!A12</f>
        <v/>
      </c>
      <c r="B2521">
        <f>Skills!B12</f>
        <v/>
      </c>
      <c r="C2521">
        <f>Inputs!$B$3&gt;=63</f>
        <v/>
      </c>
      <c r="D2521">
        <f>IF(Skills!C12=1,60+Inputs!$B$26+Inputs!$B$30,IF(Skills!C12=2,90+Inputs!$B$27+Inputs!$B$30,IF(Skills!C12=3,120+Inputs!$B$28+Inputs!$B$30,MAX(0,(Inputs!$B$3-100)*3)+Inputs!$B$29+Inputs!$B$30)))</f>
        <v/>
      </c>
      <c r="E2521">
        <f>INDEX(FactorTable!$B$2:$Y$301, MATCH(ROUND(MIN(300,MAX(1,D2521)),0), FactorTable!$A$2:$A$301,0), Skills!M12+1)</f>
        <v/>
      </c>
      <c r="F2521">
        <f>IF(Skills!N12=TRUE,(Skills!L12/10)*(E2521/1000),Skills!L12/10)+Skills!O12</f>
        <v/>
      </c>
      <c r="G2521">
        <f>Skills!G12*IF(Skills!H12&gt;0,INT(IF(Inputs!$B$39="pvp",MIN(Skills!I12,15),Skills!I12)/Skills!H12+0.000000001),1)</f>
        <v/>
      </c>
      <c r="H2521">
        <f>1-(1-Skills!J12/100)^Skills!K12</f>
        <v/>
      </c>
      <c r="I2521" t="inlineStr">
        <is>
          <t>1</t>
        </is>
      </c>
      <c r="J2521">
        <f>((Inputs!$B$6*(1+Inputs!$B$7/100))+(((Inputs!$B$13*(1+Inputs!$B$14/100))-(Inputs!$B$13*(1+Inputs!$B$14/100)))+0.25*(Inputs!$B$15-Inputs!$B$15))*(1+Inputs!$B$7/100))*(F2521/100)</f>
        <v/>
      </c>
      <c r="K2521">
        <f>J2521*(1+(((Inputs!$B$13+IF(Inputs!$B$3&gt;=38,(10*INDEX(FactorTable!$B$2:$Y$301, MATCH(ROUND(MIN(300,MAX(1,Inputs!$B$3)),0), FactorTable!$A$2:$A$301,0), 23)/1000)/100*(Inputs!$B$8*(1+Inputs!$B$9/100)),0))*(1+Inputs!$B$14/100))*0.01+Inputs!$B$15*0.0025)/100)*(1+Inputs!$B$16/100)*(1+Inputs!$B$17/100)*(5000/(6000+Inputs!$B$43*(1-(Inputs!$B$20+0)/100)))*(1+(Inputs!$B$25+((C2534=TRUE)*(F2534-Calc!F25))+((C2535=TRUE)*(F2535-Calc!F26))+B2544)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2520=TRUE,F2520,0)/100)*(1+(IF(Skills!A12="DARK_IMPALE",Inputs!$B$18+0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gt;=100),MIN(100,((Inputs!$B$10+0+B2538+(ArtifactsInput!$M$24-ArtifactsInput!$M$24)*CHOOSE(ArtifactsInput!$N$24+1,10,12,14,16,18,20)+IF(ArtifactsInput!$M$10,CHOOSE(ArtifactsInput!$N$10+1,15,18,21,24,27,30)*(IF(Inputs!$B$39="pvp",MIN(15,15)/15,IF(AND(Inputs!$B$39&lt;&gt;"pvp",Inputs!$B$44&gt;0),MIN(15,Inputs!$B$44)/(Inputs!$B$44),0))),0)))-100),0))*CHOOSE(ArtifactsInput!$N$42+1,0.6,0.72,0.84,0.96,1.08,1.2))),Inputs!$B$19+((C2532=TRUE)*(F2532-Calc!F23))+(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gt;=100),CHOOSE(ArtifactsInput!$N$42+1,40,48,56,64,72,80),0))))/100)*((1+(((C2522=TRUE)*F2522*IF(AND(Inputs!$B$39&lt;&gt;"pvp",Inputs!$B$44&gt;0),(((R2522-1)*MIN((Skills!T13*(1+Inputs!$B$35/100)),(1/Q2522))+MIN((Skills!T13*(1+Inputs!$B$35/100)),MAX(0,Inputs!$B$44-((R2522-1)*(1/Q2522)))))/Inputs!$B$44),IF(Inputs!$B$39="pvp",MIN((Skills!T13*(1+Inputs!$B$35/100)),15)/15,MIN(1,(Skills!T13*(1+Inputs!$B$35/100))/(1/Q2522)))))+((C2523=TRUE)*F2523*IF(AND(Inputs!$B$39&lt;&gt;"pvp",Inputs!$B$44&gt;0),(((R2523-1)*MIN((Skills!T14*(1+Inputs!$B$35/100)),(1/Q2523))+MIN((Skills!T14*(1+Inputs!$B$35/100)),MAX(0,Inputs!$B$44-((R2523-1)*(1/Q2523)))))/Inputs!$B$44),IF(Inputs!$B$39="pvp",MIN((Skills!T14*(1+Inputs!$B$35/100)),15)/15,MIN(1,(Skills!T14*(1+Inputs!$B$35/100))/(1/Q2523)))))+((C2524=TRUE)*F2524*IF(AND(Inputs!$B$39&lt;&gt;"pvp",Inputs!$B$44&gt;0),(((R2524-1)*MIN((Skills!T15*(1+Inputs!$B$35/100)),(1/Q2524))+MIN((Skills!T15*(1+Inputs!$B$35/100)),MAX(0,Inputs!$B$44-((R2524-1)*(1/Q2524)))))/Inputs!$B$44),IF(Inputs!$B$39="pvp",MIN((Skills!T15*(1+Inputs!$B$35/100)),15)/15,MIN(1,(Skills!T15*(1+Inputs!$B$35/100))/(1/Q2524)))))+((C2525=TRUE)*F2525*IF(AND(Inputs!$B$39&lt;&gt;"pvp",Inputs!$B$44&gt;0),(((R2525-1)*MIN((Skills!T16*(1+Inputs!$B$35/100)),(1/Q2525))+MIN((Skills!T16*(1+Inputs!$B$35/100)),MAX(0,Inputs!$B$44-((R2525-1)*(1/Q2525)))))/Inputs!$B$44),IF(Inputs!$B$39="pvp",MIN((Skills!T16*(1+Inputs!$B$35/100)),15)/15,MIN(1,(Skills!T16*(1+Inputs!$B$35/100))/(1/Q2525)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2521)</f>
        <v/>
      </c>
      <c r="L2521">
        <f>K2521*(MIN(Inputs!$B$23+((C2531=TRUE)*(F2531-Calc!F22)),(Inputs!$B$24+((C2533=TRUE)*(F2533-Calc!F24))+(IF(ArtifactsInput!$M$15,CHOOSE(ArtifactsInput!$N$15+1,25,30,35,40,45,50)/100*(Inputs!$B$12-Inputs!$B$12),0))))/100+(Inputs!$B$24+((C2533=TRUE)*(F2533-Calc!F24))+(IF(ArtifactsInput!$M$15,CHOOSE(ArtifactsInput!$N$15+1,25,30,35,40,45,50)/100*(Inputs!$B$12-Inputs!$B$12),0)))/100)/2</f>
        <v/>
      </c>
      <c r="M2521">
        <f>L2521*(1+(Inputs!$B$11+0+B2543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521">
        <f>L2521*(1-MIN((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2521*(MIN((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21">
        <f>(1-Summary!$B$11)*T2521+Summary!$B$11*V2521</f>
        <v/>
      </c>
      <c r="P2521">
        <f>IF(B2548=0,0,O2521/B2548)</f>
        <v/>
      </c>
      <c r="Q2521">
        <f>IFERROR(1/IF(Inputs!$B$39="pvp",15,MAX(0.1,Skills!D12-IF(TRUE=TRUE,Inputs!$B$33,0))),0)</f>
        <v/>
      </c>
      <c r="R2521">
        <f>IF(AND(Inputs!$B$39&lt;&gt;"pvp",Inputs!$B$44&gt;0),IF(MAX(0,Inputs!$B$44-B2545)&lt;=0,0,(INT(MAX(0,Inputs!$B$44-B2545)/IF(Inputs!$B$39="pvp",15,MAX(0.1,Skills!D12-IF(TRUE=TRUE,Inputs!$B$33,0))))+1)),0)</f>
        <v/>
      </c>
      <c r="S2521">
        <f>IFERROR(O2521/N2521,0)</f>
        <v/>
      </c>
      <c r="T2521">
        <f>IF(C2521,(H2521*N2521*IF(AND(Inputs!$B$39&lt;&gt;"pvp",Inputs!$B$44&gt;0),((Skills!G12*((R2521-1)*IF(Skills!H12&gt;0,INT(Skills!I12/Skills!H12+0.000000001),1)+IF(Skills!H12&gt;0,INT(MIN(Skills!I12,MAX(0,MAX(0,Inputs!$B$44-B2545)-((R2521-1)*IF(Inputs!$B$39="pvp",15,MAX(0.1,Skills!D12-IF(TRUE=TRUE,Inputs!$B$33,0))))))/Skills!H12+0.000000001),1)))/Inputs!$B$44),G2521*Q2521))*IF(Inputs!$B$39="pvp",1,1+(Inputs!$B$21+0+Skills!P12+((C2526=TRUE)*F2526*IF(AND(Inputs!$B$39&lt;&gt;"pvp",Inputs!$B$44&gt;0),(((R2526-1)*MIN((Skills!T17*(1+Inputs!$B$35/100)),(1/Q2526))+MIN((Skills!T17*(1+Inputs!$B$35/100)),MAX(0,Inputs!$B$44-((R2526-1)*(1/Q2526)))))/Inputs!$B$44),IF(Inputs!$B$39="pvp",MIN((Skills!T17*(1+Inputs!$B$35/100)),15)/15,MIN(1,(Skills!T17*(1+Inputs!$B$35/100))/(1/Q2526)))))+((C2514=TRUE)*IF(Inputs!$B$3&gt;=126,10*MIN(1,15*Q2514),0))+((C2523=TRUE)*IF(Inputs!$B$39="pvp",20,(1-Summary!$B$11)*(20)+Summary!$B$11*(0))*IF(AND(Inputs!$B$39&lt;&gt;"pvp",Inputs!$B$44&gt;0),(((R2523-1)*MIN((Skills!T14*(1+Inputs!$B$35/100)),(1/Q2523))+MIN((Skills!T14*(1+Inputs!$B$35/100)),MAX(0,Inputs!$B$44-((R2523-1)*(1/Q2523)))))/Inputs!$B$44),IF(Inputs!$B$39="pvp",MIN((Skills!T14*(1+Inputs!$B$35/100)),15)/15,MIN(1,(Skills!T14*(1+Inputs!$B$35/100))/(1/Q2523)))))+((C2522=TRUE)*IF(Inputs!$B$3&gt;=82,IF(Inputs!$B$39="pvp",20,(1-Summary!$B$11)*(20)+Summary!$B$11*(0)),0)*IF(AND(Inputs!$B$39&lt;&gt;"pvp",Inputs!$B$44&gt;0),(((R2522-1)*MIN((Skills!T13*(1+Inputs!$B$35/100)),(1/Q2522))+MIN((Skills!T13*(1+Inputs!$B$35/100)),MAX(0,Inputs!$B$44-((R2522-1)*(1/Q2522)))))/Inputs!$B$44),IF(Inputs!$B$39="pvp",MIN((Skills!T13*(1+Inputs!$B$35/100)),15)/15,MIN(1,(Skills!T13*(1+Inputs!$B$35/100))/(1/Q2522)))))+(IF(AND(ArtifactsInput!$M$35,Inputs!$B$4&lt;&gt;"Chapter Hunt"),CHOOSE(ArtifactsInput!$N$35+1,15,18,21,24,27,30)*(1-EXP(-(0.2*B2540)*5)),0)+IF(AND(ArtifactsInput!$M$22,Inputs!$B$4&lt;&gt;"Chapter Hunt"),CHOOSE(ArtifactsInput!$N$22+1,10,12,14,16,18,20)*((0*(((0.15*B2540*5))^0/1)+1*(((0.15*B2540*5))^1/1)+2*(((0.15*B2540*5))^2/2)+3*(((0.15*B2540*5))^3/6)+4*(((0.15*B2540*5))^4/24)+5*(((0.15*B2540*5))^5/120))/((((0.15*B2540*5))^0/1)+(((0.15*B2540*5))^1/1)+(((0.15*B2540*5))^2/2)+(((0.15*B2540*5))^3/6)+(((0.15*B2540*5))^4/24)+(((0.15*B2540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2521*(1-MIN(100,(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2521*(MIN(100,(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2521*(1-MIN(100,(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2521*(MIN(100,(Inputs!$B$10+0+B2538+(ArtifactsInput!$M$24-ArtifactsInput!$M$24)*CHOOSE(ArtifactsInput!$N$24+1,10,12,14,16,18,20)+(IF(AND(Inputs!$B$39&lt;&gt;"pvp",Inputs!$B$44=0),1,IF(IF(Inputs!$B$39="pvp",15,Inputs!$B$44)-(B2545)&lt;=0,1,MAX(0,IF(Inputs!$B$39="pvp",15,Inputs!$B$44)-MAX(5,B2545))/(IF(Inputs!$B$39="pvp",15,Inputs!$B$44)-(B2545))))*IF(AND(ArtifactsInput!$M$42,((Inputs!$B$10+0+B2538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21">
        <f>IF(C2521,(H2521*N2521*IF(AND(Inputs!$B$39&lt;&gt;"pvp",Inputs!$B$44&gt;0),((Skills!G12*((R2521-1)*IF(Skills!H12&gt;0,INT(Skills!I12/Skills!H12+0.000000001),1)+IF(Skills!H12&gt;0,INT(MIN(Skills!I12,MAX(0,MAX(0,Inputs!$B$44-B2545)-((R2521-1)*IF(Inputs!$B$39="pvp",15,MAX(0.1,Skills!D12-IF(TRUE=TRUE,Inputs!$B$33,0))))))/Skills!H12+0.000000001),1)))/Inputs!$B$44),G2521*Q2521))*IF(Inputs!$B$39="pvp",1,(1+(Inputs!$B$22+Skills!Q12+((C2526=TRUE)*F2526*IF(AND(Inputs!$B$39&lt;&gt;"pvp",Inputs!$B$44&gt;0),(((R2526-1)*MIN((Skills!T17*(1+Inputs!$B$35/100)),(1/Q2526))+MIN((Skills!T17*(1+Inputs!$B$35/100)),MAX(0,Inputs!$B$44-((R2526-1)*(1/Q2526)))))/Inputs!$B$44),IF(Inputs!$B$39="pvp",MIN((Skills!T17*(1+Inputs!$B$35/100)),15)/15,MIN(1,(Skills!T17*(1+Inputs!$B$35/100))/(1/Q2526)))))+((C2514=TRUE)*IF(Inputs!$B$3&gt;=126,10*MIN(1,15*Q2514),0))+((C2523=TRUE)*IF(Inputs!$B$39="pvp",20,(1-Summary!$B$11)*(20)+Summary!$B$11*(0))*IF(AND(Inputs!$B$39&lt;&gt;"pvp",Inputs!$B$44&gt;0),(((R2523-1)*MIN((Skills!T14*(1+Inputs!$B$35/100)),(1/Q2523))+MIN((Skills!T14*(1+Inputs!$B$35/100)),MAX(0,Inputs!$B$44-((R2523-1)*(1/Q2523)))))/Inputs!$B$44),IF(Inputs!$B$39="pvp",MIN((Skills!T14*(1+Inputs!$B$35/100)),15)/15,MIN(1,(Skills!T14*(1+Inputs!$B$35/100))/(1/Q2523)))))+((C2522=TRUE)*IF(Inputs!$B$3&gt;=82,IF(Inputs!$B$39="pvp",20,(1-Summary!$B$11)*(20)+Summary!$B$11*(0)),0)*IF(AND(Inputs!$B$39&lt;&gt;"pvp",Inputs!$B$44&gt;0),(((R2522-1)*MIN((Skills!T13*(1+Inputs!$B$35/100)),(1/Q2522))+MIN((Skills!T13*(1+Inputs!$B$35/100)),MAX(0,Inputs!$B$44-((R2522-1)*(1/Q2522)))))/Inputs!$B$44),IF(Inputs!$B$39="pvp",MIN((Skills!T13*(1+Inputs!$B$35/100)),15)/15,MIN(1,(Skills!T13*(1+Inputs!$B$35/100))/(1/Q2522)))))+(IF(AND(ArtifactsInput!$M$35,Inputs!$B$4&lt;&gt;"Chapter Hunt"),CHOOSE(ArtifactsInput!$N$35+1,15,18,21,24,27,30)*(1-EXP(-(0.2*B2540)*5)),0)+IF(AND(ArtifactsInput!$M$22,Inputs!$B$4&lt;&gt;"Chapter Hunt"),CHOOSE(ArtifactsInput!$N$22+1,10,12,14,16,18,20)*((0*(((0.15*B2540*5))^0/1)+1*(((0.15*B2540*5))^1/1)+2*(((0.15*B2540*5))^2/2)+3*(((0.15*B2540*5))^3/6)+4*(((0.15*B2540*5))^4/24)+5*(((0.15*B2540*5))^5/120))/((((0.15*B2540*5))^0/1)+(((0.15*B2540*5))^1/1)+(((0.15*B2540*5))^2/2)+(((0.15*B2540*5))^3/6)+(((0.15*B2540*5))^4/24)+(((0.15*B2540*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22">
      <c r="A2522">
        <f>Skills!A13</f>
        <v/>
      </c>
      <c r="B2522">
        <f>Skills!B13</f>
        <v/>
      </c>
      <c r="C2522">
        <f>Inputs!$B$3&gt;=69</f>
        <v/>
      </c>
      <c r="D2522">
        <f>IF(Skills!C13=1,60+Inputs!$B$26+Inputs!$B$30,IF(Skills!C13=2,90+Inputs!$B$27+Inputs!$B$30,IF(Skills!C13=3,120+Inputs!$B$28+Inputs!$B$30,MAX(0,(Inputs!$B$3-100)*3)+Inputs!$B$29+Inputs!$B$30)))</f>
        <v/>
      </c>
      <c r="E2522">
        <f>INDEX(FactorTable!$B$2:$Y$301, MATCH(ROUND(MIN(300,MAX(1,D2522)),0), FactorTable!$A$2:$A$301,0), Skills!M13+1)</f>
        <v/>
      </c>
      <c r="F2522">
        <f>IF(Skills!N13=TRUE,(Skills!L13/10)*(E2522/1000),Skills!L13/10)+Skills!O13</f>
        <v/>
      </c>
      <c r="G2522">
        <f>Skills!G13*IF(Skills!H13&gt;0,INT(IF(Inputs!$B$39="pvp",MIN(Skills!I13,15),Skills!I13)/Skills!H13+0.000000001),1)</f>
        <v/>
      </c>
      <c r="H2522">
        <f>1-(1-Skills!J13/100)^Skills!K13</f>
        <v/>
      </c>
      <c r="I2522" t="inlineStr">
        <is>
          <t>1</t>
        </is>
      </c>
      <c r="J2522" t="inlineStr"/>
      <c r="K2522" t="inlineStr"/>
      <c r="L2522" t="inlineStr"/>
      <c r="M2522" t="inlineStr"/>
      <c r="N2522" t="inlineStr"/>
      <c r="O2522">
        <f>(1-Summary!$B$11)*T2522+Summary!$B$11*V2522</f>
        <v/>
      </c>
      <c r="P2522">
        <f>IF(B2548=0,0,O2522/B2548)</f>
        <v/>
      </c>
      <c r="Q2522">
        <f>IFERROR(1/IF(Inputs!$B$39="pvp",15,MAX(0.1,Skills!D13-IF(TRUE=TRUE,Inputs!$B$33,0))),0)</f>
        <v/>
      </c>
      <c r="R2522">
        <f>IF(AND(Inputs!$B$39&lt;&gt;"pvp",Inputs!$B$44&gt;0),IF(Inputs!$B$44&lt;=0,0,(INT(Inputs!$B$44/IF(Inputs!$B$39="pvp",15,MAX(0.1,Skills!D13-IF(TRUE=TRUE,Inputs!$B$33,0))))+1)),0)</f>
        <v/>
      </c>
      <c r="S2522">
        <f>IFERROR(O2522/N2522,0)</f>
        <v/>
      </c>
      <c r="T2522" t="n">
        <v>0</v>
      </c>
      <c r="V2522" t="n">
        <v>0</v>
      </c>
    </row>
    <row r="2523">
      <c r="A2523">
        <f>Skills!A14</f>
        <v/>
      </c>
      <c r="B2523">
        <f>Skills!B14</f>
        <v/>
      </c>
      <c r="C2523">
        <f>Inputs!$B$3&gt;=115</f>
        <v/>
      </c>
      <c r="D2523">
        <f>IF(Skills!C14=1,60+Inputs!$B$26+Inputs!$B$30,IF(Skills!C14=2,90+Inputs!$B$27+Inputs!$B$30,IF(Skills!C14=3,120+Inputs!$B$28+Inputs!$B$30,MAX(0,(Inputs!$B$3-100)*3)+Inputs!$B$29+Inputs!$B$30)))</f>
        <v/>
      </c>
      <c r="E2523">
        <f>INDEX(FactorTable!$B$2:$Y$301, MATCH(ROUND(MIN(300,MAX(1,D2523)),0), FactorTable!$A$2:$A$301,0), Skills!M14+1)</f>
        <v/>
      </c>
      <c r="F2523">
        <f>IF(Skills!N14=TRUE,(Skills!L14/10)*(E2523/1000),Skills!L14/10)+Skills!O14</f>
        <v/>
      </c>
      <c r="G2523">
        <f>Skills!G14*IF(Skills!H14&gt;0,INT(IF(Inputs!$B$39="pvp",MIN(Skills!I14,15),Skills!I14)/Skills!H14+0.000000001),1)</f>
        <v/>
      </c>
      <c r="H2523">
        <f>1-(1-Skills!J14/100)^Skills!K14</f>
        <v/>
      </c>
      <c r="I2523" t="inlineStr">
        <is>
          <t>1</t>
        </is>
      </c>
      <c r="J2523" t="inlineStr"/>
      <c r="K2523" t="inlineStr"/>
      <c r="L2523" t="inlineStr"/>
      <c r="M2523" t="inlineStr"/>
      <c r="N2523" t="inlineStr"/>
      <c r="O2523">
        <f>(1-Summary!$B$11)*T2523+Summary!$B$11*V2523</f>
        <v/>
      </c>
      <c r="P2523">
        <f>IF(B2548=0,0,O2523/B2548)</f>
        <v/>
      </c>
      <c r="Q2523">
        <f>IFERROR(1/IF(Inputs!$B$39="pvp",15,MAX(0.1,Skills!D14-IF(TRUE=TRUE,Inputs!$B$33,0))),0)</f>
        <v/>
      </c>
      <c r="R2523">
        <f>IF(AND(Inputs!$B$39&lt;&gt;"pvp",Inputs!$B$44&gt;0),IF(Inputs!$B$44&lt;=0,0,(INT(Inputs!$B$44/IF(Inputs!$B$39="pvp",15,MAX(0.1,Skills!D14-IF(TRUE=TRUE,Inputs!$B$33,0))))+1)),0)</f>
        <v/>
      </c>
      <c r="S2523">
        <f>IFERROR(O2523/N2523,0)</f>
        <v/>
      </c>
      <c r="T2523" t="n">
        <v>0</v>
      </c>
      <c r="V2523" t="n">
        <v>0</v>
      </c>
    </row>
    <row r="2524">
      <c r="A2524">
        <f>Skills!A15</f>
        <v/>
      </c>
      <c r="B2524">
        <f>Skills!B15</f>
        <v/>
      </c>
      <c r="C2524">
        <f>Inputs!$B$3&gt;=66</f>
        <v/>
      </c>
      <c r="D2524">
        <f>IF(Skills!C15=1,60+Inputs!$B$26+Inputs!$B$30,IF(Skills!C15=2,90+Inputs!$B$27+Inputs!$B$30,IF(Skills!C15=3,120+Inputs!$B$28+Inputs!$B$30,MAX(0,(Inputs!$B$3-100)*3)+Inputs!$B$29+Inputs!$B$30)))</f>
        <v/>
      </c>
      <c r="E2524">
        <f>INDEX(FactorTable!$B$2:$Y$301, MATCH(ROUND(MIN(300,MAX(1,D2524)),0), FactorTable!$A$2:$A$301,0), Skills!M15+1)</f>
        <v/>
      </c>
      <c r="F2524">
        <f>IF(Skills!N15=TRUE,(Skills!L15/10)*(E2524/1000),Skills!L15/10)+Skills!O15</f>
        <v/>
      </c>
      <c r="G2524">
        <f>Skills!G15*IF(Skills!H15&gt;0,INT(IF(Inputs!$B$39="pvp",MIN(Skills!I15,15),Skills!I15)/Skills!H15+0.000000001),1)</f>
        <v/>
      </c>
      <c r="H2524">
        <f>1-(1-Skills!J15/100)^Skills!K15</f>
        <v/>
      </c>
      <c r="I2524" t="inlineStr">
        <is>
          <t>1</t>
        </is>
      </c>
      <c r="J2524" t="inlineStr"/>
      <c r="K2524" t="inlineStr"/>
      <c r="L2524" t="inlineStr"/>
      <c r="M2524" t="inlineStr"/>
      <c r="N2524" t="inlineStr"/>
      <c r="O2524">
        <f>(1-Summary!$B$11)*T2524+Summary!$B$11*V2524</f>
        <v/>
      </c>
      <c r="P2524">
        <f>IF(B2548=0,0,O2524/B2548)</f>
        <v/>
      </c>
      <c r="Q2524">
        <f>IFERROR(1/IF(Inputs!$B$39="pvp",15,MAX(0.1,Skills!D15-IF(TRUE=TRUE,Inputs!$B$33,0))),0)</f>
        <v/>
      </c>
      <c r="R2524">
        <f>IF(AND(Inputs!$B$39&lt;&gt;"pvp",Inputs!$B$44&gt;0),IF(Inputs!$B$44&lt;=0,0,(INT(Inputs!$B$44/IF(Inputs!$B$39="pvp",15,MAX(0.1,Skills!D15-IF(TRUE=TRUE,Inputs!$B$33,0))))+1)),0)</f>
        <v/>
      </c>
      <c r="S2524">
        <f>IFERROR(O2524/N2524,0)</f>
        <v/>
      </c>
      <c r="T2524" t="n">
        <v>0</v>
      </c>
      <c r="V2524" t="n">
        <v>0</v>
      </c>
    </row>
    <row r="2525">
      <c r="A2525">
        <f>Skills!A16</f>
        <v/>
      </c>
      <c r="B2525">
        <f>Skills!B16</f>
        <v/>
      </c>
      <c r="C2525">
        <f>Inputs!$B$3&gt;=45</f>
        <v/>
      </c>
      <c r="D2525">
        <f>IF(Skills!C16=1,60+Inputs!$B$26+Inputs!$B$30,IF(Skills!C16=2,90+Inputs!$B$27+Inputs!$B$30,IF(Skills!C16=3,120+Inputs!$B$28+Inputs!$B$30,MAX(0,(Inputs!$B$3-100)*3)+Inputs!$B$29+Inputs!$B$30)))</f>
        <v/>
      </c>
      <c r="E2525">
        <f>INDEX(FactorTable!$B$2:$Y$301, MATCH(ROUND(MIN(300,MAX(1,D2525)),0), FactorTable!$A$2:$A$301,0), Skills!M16+1)</f>
        <v/>
      </c>
      <c r="F2525">
        <f>IF(Skills!N16=TRUE,(Skills!L16/10)*(E2525/1000),Skills!L16/10)+Skills!O16</f>
        <v/>
      </c>
      <c r="G2525">
        <f>Skills!G16*IF(Skills!H16&gt;0,INT(IF(Inputs!$B$39="pvp",MIN(Skills!I16,15),Skills!I16)/Skills!H16+0.000000001),1)</f>
        <v/>
      </c>
      <c r="H2525">
        <f>1-(1-Skills!J16/100)^Skills!K16</f>
        <v/>
      </c>
      <c r="I2525" t="inlineStr">
        <is>
          <t>1</t>
        </is>
      </c>
      <c r="J2525" t="inlineStr"/>
      <c r="K2525" t="inlineStr"/>
      <c r="L2525" t="inlineStr"/>
      <c r="M2525" t="inlineStr"/>
      <c r="N2525" t="inlineStr"/>
      <c r="O2525">
        <f>(1-Summary!$B$11)*T2525+Summary!$B$11*V2525</f>
        <v/>
      </c>
      <c r="P2525">
        <f>IF(B2548=0,0,O2525/B2548)</f>
        <v/>
      </c>
      <c r="Q2525">
        <f>IFERROR(1/IF(Inputs!$B$39="pvp",15,MAX(0.1,Skills!D16-IF(TRUE=TRUE,Inputs!$B$33,0))),0)</f>
        <v/>
      </c>
      <c r="R2525">
        <f>IF(AND(Inputs!$B$39&lt;&gt;"pvp",Inputs!$B$44&gt;0),IF(Inputs!$B$44&lt;=0,0,(INT(Inputs!$B$44/IF(Inputs!$B$39="pvp",15,MAX(0.1,Skills!D16-IF(TRUE=TRUE,Inputs!$B$33,0))))+1)),0)</f>
        <v/>
      </c>
      <c r="S2525">
        <f>IFERROR(O2525/N2525,0)</f>
        <v/>
      </c>
      <c r="T2525" t="n">
        <v>0</v>
      </c>
      <c r="V2525" t="n">
        <v>0</v>
      </c>
    </row>
    <row r="2526">
      <c r="A2526">
        <f>Skills!A17</f>
        <v/>
      </c>
      <c r="B2526">
        <f>Skills!B17</f>
        <v/>
      </c>
      <c r="C2526">
        <f>Inputs!$B$3&gt;=35</f>
        <v/>
      </c>
      <c r="D2526">
        <f>IF(Skills!C17=1,60+Inputs!$B$26+Inputs!$B$30,IF(Skills!C17=2,90+Inputs!$B$27+Inputs!$B$30,IF(Skills!C17=3,120+Inputs!$B$28+Inputs!$B$30,MAX(0,(Inputs!$B$3-100)*3)+Inputs!$B$29+Inputs!$B$30)))</f>
        <v/>
      </c>
      <c r="E2526">
        <f>INDEX(FactorTable!$B$2:$Y$301, MATCH(ROUND(MIN(300,MAX(1,D2526)),0), FactorTable!$A$2:$A$301,0), Skills!M17+1)</f>
        <v/>
      </c>
      <c r="F2526">
        <f>IF(Skills!N17=TRUE,(Skills!L17/10)*(E2526/1000),Skills!L17/10)+Skills!O17</f>
        <v/>
      </c>
      <c r="G2526">
        <f>Skills!G17*IF(Skills!H17&gt;0,INT(IF(Inputs!$B$39="pvp",MIN(Skills!I17,15),Skills!I17)/Skills!H17+0.000000001),1)</f>
        <v/>
      </c>
      <c r="H2526">
        <f>1-(1-Skills!J17/100)^Skills!K17</f>
        <v/>
      </c>
      <c r="I2526" t="inlineStr">
        <is>
          <t>1</t>
        </is>
      </c>
      <c r="J2526" t="inlineStr"/>
      <c r="K2526" t="inlineStr"/>
      <c r="L2526" t="inlineStr"/>
      <c r="M2526" t="inlineStr"/>
      <c r="N2526" t="inlineStr"/>
      <c r="O2526">
        <f>(1-Summary!$B$11)*T2526+Summary!$B$11*V2526</f>
        <v/>
      </c>
      <c r="P2526">
        <f>IF(B2548=0,0,O2526/B2548)</f>
        <v/>
      </c>
      <c r="Q2526">
        <f>IFERROR(1/IF(Inputs!$B$39="pvp",15,MAX(0.1,Skills!D17-IF(TRUE=TRUE,Inputs!$B$33,0))),0)</f>
        <v/>
      </c>
      <c r="R2526">
        <f>IF(AND(Inputs!$B$39&lt;&gt;"pvp",Inputs!$B$44&gt;0),IF(Inputs!$B$44&lt;=0,0,(INT(Inputs!$B$44/IF(Inputs!$B$39="pvp",15,MAX(0.1,Skills!D17-IF(TRUE=TRUE,Inputs!$B$33,0))))+1)),0)</f>
        <v/>
      </c>
      <c r="S2526">
        <f>IFERROR(O2526/N2526,0)</f>
        <v/>
      </c>
      <c r="T2526" t="n">
        <v>0</v>
      </c>
      <c r="V2526" t="n">
        <v>0</v>
      </c>
    </row>
    <row r="2527">
      <c r="A2527">
        <f>Skills!A18</f>
        <v/>
      </c>
      <c r="B2527">
        <f>Skills!B18</f>
        <v/>
      </c>
      <c r="C2527">
        <f>Inputs!$B$3&gt;=72</f>
        <v/>
      </c>
      <c r="D2527">
        <f>IF(Skills!C18=1,60+Inputs!$B$26+Inputs!$B$30,IF(Skills!C18=2,90+Inputs!$B$27+Inputs!$B$30,IF(Skills!C18=3,120+Inputs!$B$28+Inputs!$B$30,MAX(0,(Inputs!$B$3-100)*3)+Inputs!$B$29+Inputs!$B$30)))</f>
        <v/>
      </c>
      <c r="E2527">
        <f>INDEX(FactorTable!$B$2:$Y$301, MATCH(ROUND(MIN(300,MAX(1,D2527)),0), FactorTable!$A$2:$A$301,0), Skills!M18+1)</f>
        <v/>
      </c>
      <c r="F2527">
        <f>IF(Skills!N18=TRUE,(Skills!L18/10)*(E2527/1000),Skills!L18/10)+Skills!O18</f>
        <v/>
      </c>
      <c r="G2527">
        <f>Skills!G18*IF(Skills!H18&gt;0,INT(IF(Inputs!$B$39="pvp",MIN(Skills!I18,15),Skills!I18)/Skills!H18+0.000000001),1)</f>
        <v/>
      </c>
      <c r="H2527">
        <f>1-(1-Skills!J18/100)^Skills!K18</f>
        <v/>
      </c>
      <c r="I2527" t="inlineStr">
        <is>
          <t>1</t>
        </is>
      </c>
      <c r="J2527" t="inlineStr"/>
      <c r="K2527" t="inlineStr"/>
      <c r="L2527" t="inlineStr"/>
      <c r="M2527" t="inlineStr"/>
      <c r="N2527" t="inlineStr"/>
      <c r="O2527">
        <f>(1-Summary!$B$11)*T2527+Summary!$B$11*V2527</f>
        <v/>
      </c>
      <c r="P2527">
        <f>IF(B2548=0,0,O2527/B2548)</f>
        <v/>
      </c>
      <c r="Q2527">
        <f>IFERROR(1/IF(Inputs!$B$39="pvp",15,MAX(0.1,Skills!D18-IF(TRUE=TRUE,Inputs!$B$33,0))),0)</f>
        <v/>
      </c>
      <c r="R2527">
        <f>IF(AND(Inputs!$B$39&lt;&gt;"pvp",Inputs!$B$44&gt;0),IF(Inputs!$B$44&lt;=0,0,(INT(Inputs!$B$44/IF(Inputs!$B$39="pvp",15,MAX(0.1,Skills!D18-IF(TRUE=TRUE,Inputs!$B$33,0))))+1)),0)</f>
        <v/>
      </c>
      <c r="S2527">
        <f>IFERROR(O2527/N2527,0)</f>
        <v/>
      </c>
      <c r="T2527" t="n">
        <v>0</v>
      </c>
      <c r="V2527" t="n">
        <v>0</v>
      </c>
    </row>
    <row r="2528">
      <c r="A2528">
        <f>Skills!A19</f>
        <v/>
      </c>
      <c r="B2528">
        <f>Skills!B19</f>
        <v/>
      </c>
      <c r="C2528">
        <f>Inputs!$B$3&gt;=72</f>
        <v/>
      </c>
      <c r="D2528">
        <f>IF(Skills!C19=1,60+Inputs!$B$26+Inputs!$B$30,IF(Skills!C19=2,90+Inputs!$B$27+Inputs!$B$30,IF(Skills!C19=3,120+Inputs!$B$28+Inputs!$B$30,MAX(0,(Inputs!$B$3-100)*3)+Inputs!$B$29+Inputs!$B$30)))</f>
        <v/>
      </c>
      <c r="E2528">
        <f>INDEX(FactorTable!$B$2:$Y$301, MATCH(ROUND(MIN(300,MAX(1,D2528)),0), FactorTable!$A$2:$A$301,0), Skills!M19+1)</f>
        <v/>
      </c>
      <c r="F2528">
        <f>IF(Skills!N19=TRUE,(Skills!L19/10)*(E2528/1000),Skills!L19/10)+Skills!O19</f>
        <v/>
      </c>
      <c r="G2528">
        <f>Skills!G19*IF(Skills!H19&gt;0,INT(IF(Inputs!$B$39="pvp",MIN(Skills!I19,15),Skills!I19)/Skills!H19+0.000000001),1)</f>
        <v/>
      </c>
      <c r="H2528">
        <f>1-(1-Skills!J19/100)^Skills!K19</f>
        <v/>
      </c>
      <c r="I2528" t="inlineStr">
        <is>
          <t>1</t>
        </is>
      </c>
      <c r="J2528" t="inlineStr"/>
      <c r="K2528" t="inlineStr"/>
      <c r="L2528" t="inlineStr"/>
      <c r="M2528" t="inlineStr"/>
      <c r="N2528" t="inlineStr"/>
      <c r="O2528">
        <f>(1-Summary!$B$11)*T2528+Summary!$B$11*V2528</f>
        <v/>
      </c>
      <c r="P2528">
        <f>IF(B2548=0,0,O2528/B2548)</f>
        <v/>
      </c>
      <c r="Q2528">
        <f>IFERROR(1/IF(Inputs!$B$39="pvp",15,MAX(0.1,Skills!D19-IF(TRUE=TRUE,Inputs!$B$33,0))),0)</f>
        <v/>
      </c>
      <c r="R2528">
        <f>IF(AND(Inputs!$B$39&lt;&gt;"pvp",Inputs!$B$44&gt;0),IF(Inputs!$B$44&lt;=0,0,(INT(Inputs!$B$44/IF(Inputs!$B$39="pvp",15,MAX(0.1,Skills!D19-IF(TRUE=TRUE,Inputs!$B$33,0))))+1)),0)</f>
        <v/>
      </c>
      <c r="S2528">
        <f>IFERROR(O2528/N2528,0)</f>
        <v/>
      </c>
      <c r="T2528" t="n">
        <v>0</v>
      </c>
      <c r="V2528" t="n">
        <v>0</v>
      </c>
    </row>
    <row r="2529">
      <c r="A2529">
        <f>Skills!A20</f>
        <v/>
      </c>
      <c r="B2529">
        <f>Skills!B20</f>
        <v/>
      </c>
      <c r="C2529">
        <f>TRUE</f>
        <v/>
      </c>
      <c r="D2529">
        <f>IF(Skills!C20=1,60+Inputs!$B$26+Inputs!$B$30,IF(Skills!C20=2,90+Inputs!$B$27+Inputs!$B$30,IF(Skills!C20=3,120+Inputs!$B$28+Inputs!$B$30,MAX(0,(Inputs!$B$3-100)*3)+Inputs!$B$29+Inputs!$B$30)))</f>
        <v/>
      </c>
      <c r="E2529">
        <f>INDEX(FactorTable!$B$2:$Y$301, MATCH(ROUND(MIN(300,MAX(1,D2529)),0), FactorTable!$A$2:$A$301,0), Skills!M20+1)</f>
        <v/>
      </c>
      <c r="F2529">
        <f>IF(Skills!N20=TRUE,(Skills!L20/10)*(E2529/1000),Skills!L20/10)+Skills!O20</f>
        <v/>
      </c>
      <c r="G2529">
        <f>Skills!G20*IF(Skills!H20&gt;0,INT(IF(Inputs!$B$39="pvp",MIN(Skills!I20,15),Skills!I20)/Skills!H20+0.000000001),1)</f>
        <v/>
      </c>
      <c r="H2529">
        <f>1-(1-Skills!J20/100)^Skills!K20</f>
        <v/>
      </c>
      <c r="I2529" t="inlineStr">
        <is>
          <t>1</t>
        </is>
      </c>
      <c r="J2529" t="inlineStr"/>
      <c r="K2529" t="inlineStr"/>
      <c r="L2529" t="inlineStr"/>
      <c r="M2529" t="inlineStr"/>
      <c r="N2529" t="inlineStr"/>
      <c r="O2529">
        <f>(1-Summary!$B$11)*T2529+Summary!$B$11*V2529</f>
        <v/>
      </c>
      <c r="P2529">
        <f>IF(B2548=0,0,O2529/B2548)</f>
        <v/>
      </c>
      <c r="Q2529">
        <f>IFERROR(1/IF(Inputs!$B$39="pvp",15,MAX(0.1,Skills!D20-IF(TRUE=TRUE,Inputs!$B$33,0))),0)</f>
        <v/>
      </c>
      <c r="R2529">
        <f>IF(AND(Inputs!$B$39&lt;&gt;"pvp",Inputs!$B$44&gt;0),IF(Inputs!$B$44&lt;=0,0,(INT(Inputs!$B$44/IF(Inputs!$B$39="pvp",15,MAX(0.1,Skills!D20-IF(TRUE=TRUE,Inputs!$B$33,0))))+1)),0)</f>
        <v/>
      </c>
      <c r="S2529">
        <f>IFERROR(O2529/N2529,0)</f>
        <v/>
      </c>
      <c r="T2529" t="n">
        <v>0</v>
      </c>
      <c r="V2529" t="n">
        <v>0</v>
      </c>
    </row>
    <row r="2530">
      <c r="A2530">
        <f>Skills!A21</f>
        <v/>
      </c>
      <c r="B2530">
        <f>Skills!B21</f>
        <v/>
      </c>
      <c r="C2530">
        <f>Inputs!$B$3&gt;=33</f>
        <v/>
      </c>
      <c r="D2530">
        <f>IF(Skills!C21=1,60+Inputs!$B$26+Inputs!$B$30,IF(Skills!C21=2,90+Inputs!$B$27+Inputs!$B$30,IF(Skills!C21=3,120+Inputs!$B$28+Inputs!$B$30,MAX(0,(Inputs!$B$3-100)*3)+Inputs!$B$29+Inputs!$B$30)))</f>
        <v/>
      </c>
      <c r="E2530">
        <f>INDEX(FactorTable!$B$2:$Y$301, MATCH(ROUND(MIN(300,MAX(1,D2530)),0), FactorTable!$A$2:$A$301,0), Skills!M21+1)</f>
        <v/>
      </c>
      <c r="F2530">
        <f>IF(Skills!N21=TRUE,(Skills!L21/10)*(E2530/1000),Skills!L21/10)+Skills!O21</f>
        <v/>
      </c>
      <c r="G2530">
        <f>Skills!G21*IF(Skills!H21&gt;0,INT(IF(Inputs!$B$39="pvp",MIN(Skills!I21,15),Skills!I21)/Skills!H21+0.000000001),1)</f>
        <v/>
      </c>
      <c r="H2530">
        <f>1-(1-Skills!J21/100)^Skills!K21</f>
        <v/>
      </c>
      <c r="I2530" t="inlineStr">
        <is>
          <t>1</t>
        </is>
      </c>
      <c r="J2530" t="inlineStr"/>
      <c r="K2530" t="inlineStr"/>
      <c r="L2530" t="inlineStr"/>
      <c r="M2530" t="inlineStr"/>
      <c r="N2530" t="inlineStr"/>
      <c r="O2530">
        <f>(1-Summary!$B$11)*T2530+Summary!$B$11*V2530</f>
        <v/>
      </c>
      <c r="P2530">
        <f>IF(B2548=0,0,O2530/B2548)</f>
        <v/>
      </c>
      <c r="Q2530" t="n">
        <v>0</v>
      </c>
      <c r="R2530" t="n">
        <v>0</v>
      </c>
      <c r="S2530">
        <f>IFERROR(O2530/N2530,0)</f>
        <v/>
      </c>
      <c r="T2530" t="n">
        <v>0</v>
      </c>
      <c r="V2530" t="n">
        <v>0</v>
      </c>
    </row>
    <row r="2531">
      <c r="A2531">
        <f>Skills!A22</f>
        <v/>
      </c>
      <c r="B2531">
        <f>Skills!B22</f>
        <v/>
      </c>
      <c r="C2531">
        <f>Inputs!$B$3&gt;=43</f>
        <v/>
      </c>
      <c r="D2531">
        <f>IF(Skills!C22=1,60+Inputs!$B$26+Inputs!$B$30,IF(Skills!C22=2,90+Inputs!$B$27+Inputs!$B$30,IF(Skills!C22=3,120+Inputs!$B$28+Inputs!$B$30,MAX(0,(Inputs!$B$3-100)*3)+Inputs!$B$29+Inputs!$B$30)))</f>
        <v/>
      </c>
      <c r="E2531">
        <f>INDEX(FactorTable!$B$2:$Y$301, MATCH(ROUND(MIN(300,MAX(1,D2531)),0), FactorTable!$A$2:$A$301,0), Skills!M22+1)</f>
        <v/>
      </c>
      <c r="F2531">
        <f>IF(Skills!N22=TRUE,(Skills!L22/10)*(E2531/1000),Skills!L22/10)+Skills!O22</f>
        <v/>
      </c>
      <c r="G2531">
        <f>Skills!G22*IF(Skills!H22&gt;0,INT(IF(Inputs!$B$39="pvp",MIN(Skills!I22,15),Skills!I22)/Skills!H22+0.000000001),1)</f>
        <v/>
      </c>
      <c r="H2531">
        <f>1-(1-Skills!J22/100)^Skills!K22</f>
        <v/>
      </c>
      <c r="I2531" t="inlineStr">
        <is>
          <t>1</t>
        </is>
      </c>
      <c r="J2531" t="inlineStr"/>
      <c r="K2531" t="inlineStr"/>
      <c r="L2531" t="inlineStr"/>
      <c r="M2531" t="inlineStr"/>
      <c r="N2531" t="inlineStr"/>
      <c r="O2531">
        <f>(1-Summary!$B$11)*T2531+Summary!$B$11*V2531</f>
        <v/>
      </c>
      <c r="P2531">
        <f>IF(B2548=0,0,O2531/B2548)</f>
        <v/>
      </c>
      <c r="Q2531" t="n">
        <v>0</v>
      </c>
      <c r="R2531" t="n">
        <v>0</v>
      </c>
      <c r="S2531">
        <f>IFERROR(O2531/N2531,0)</f>
        <v/>
      </c>
      <c r="T2531" t="n">
        <v>0</v>
      </c>
      <c r="V2531" t="n">
        <v>0</v>
      </c>
    </row>
    <row r="2532">
      <c r="A2532">
        <f>Skills!A23</f>
        <v/>
      </c>
      <c r="B2532">
        <f>Skills!B23</f>
        <v/>
      </c>
      <c r="C2532">
        <f>Inputs!$B$3&gt;=120</f>
        <v/>
      </c>
      <c r="D2532">
        <f>IF(Skills!C23=1,60+Inputs!$B$26+Inputs!$B$30,IF(Skills!C23=2,90+Inputs!$B$27+Inputs!$B$30,IF(Skills!C23=3,120+Inputs!$B$28+Inputs!$B$30,MAX(0,(Inputs!$B$3-100)*3)+Inputs!$B$29+Inputs!$B$30)))</f>
        <v/>
      </c>
      <c r="E2532">
        <f>INDEX(FactorTable!$B$2:$Y$301, MATCH(ROUND(MIN(300,MAX(1,D2532)),0), FactorTable!$A$2:$A$301,0), Skills!M23+1)</f>
        <v/>
      </c>
      <c r="F2532">
        <f>IF(Skills!N23=TRUE,(Skills!L23/10)*(E2532/1000),Skills!L23/10)+Skills!O23</f>
        <v/>
      </c>
      <c r="G2532">
        <f>Skills!G23*IF(Skills!H23&gt;0,INT(IF(Inputs!$B$39="pvp",MIN(Skills!I23,15),Skills!I23)/Skills!H23+0.000000001),1)</f>
        <v/>
      </c>
      <c r="H2532">
        <f>1-(1-Skills!J23/100)^Skills!K23</f>
        <v/>
      </c>
      <c r="I2532" t="inlineStr">
        <is>
          <t>1</t>
        </is>
      </c>
      <c r="J2532" t="inlineStr"/>
      <c r="K2532" t="inlineStr"/>
      <c r="L2532" t="inlineStr"/>
      <c r="M2532" t="inlineStr"/>
      <c r="N2532" t="inlineStr"/>
      <c r="O2532">
        <f>(1-Summary!$B$11)*T2532+Summary!$B$11*V2532</f>
        <v/>
      </c>
      <c r="P2532">
        <f>IF(B2548=0,0,O2532/B2548)</f>
        <v/>
      </c>
      <c r="Q2532" t="n">
        <v>0</v>
      </c>
      <c r="R2532" t="n">
        <v>0</v>
      </c>
      <c r="S2532">
        <f>IFERROR(O2532/N2532,0)</f>
        <v/>
      </c>
      <c r="T2532" t="n">
        <v>0</v>
      </c>
      <c r="V2532" t="n">
        <v>0</v>
      </c>
    </row>
    <row r="2533">
      <c r="A2533">
        <f>Skills!A24</f>
        <v/>
      </c>
      <c r="B2533">
        <f>Skills!B24</f>
        <v/>
      </c>
      <c r="C2533">
        <f>Inputs!$B$3&gt;=120</f>
        <v/>
      </c>
      <c r="D2533">
        <f>IF(Skills!C24=1,60+Inputs!$B$26+Inputs!$B$30,IF(Skills!C24=2,90+Inputs!$B$27+Inputs!$B$30,IF(Skills!C24=3,120+Inputs!$B$28+Inputs!$B$30,MAX(0,(Inputs!$B$3-100)*3)+Inputs!$B$29+Inputs!$B$30)))</f>
        <v/>
      </c>
      <c r="E2533">
        <f>INDEX(FactorTable!$B$2:$Y$301, MATCH(ROUND(MIN(300,MAX(1,D2533)),0), FactorTable!$A$2:$A$301,0), Skills!M24+1)</f>
        <v/>
      </c>
      <c r="F2533">
        <f>IF(Skills!N24=TRUE,(Skills!L24/10)*(E2533/1000),Skills!L24/10)+Skills!O24</f>
        <v/>
      </c>
      <c r="G2533">
        <f>Skills!G24*IF(Skills!H24&gt;0,INT(IF(Inputs!$B$39="pvp",MIN(Skills!I24,15),Skills!I24)/Skills!H24+0.000000001),1)</f>
        <v/>
      </c>
      <c r="H2533">
        <f>1-(1-Skills!J24/100)^Skills!K24</f>
        <v/>
      </c>
      <c r="I2533" t="inlineStr">
        <is>
          <t>1</t>
        </is>
      </c>
      <c r="J2533" t="inlineStr"/>
      <c r="K2533" t="inlineStr"/>
      <c r="L2533" t="inlineStr"/>
      <c r="M2533" t="inlineStr"/>
      <c r="N2533" t="inlineStr"/>
      <c r="O2533">
        <f>(1-Summary!$B$11)*T2533+Summary!$B$11*V2533</f>
        <v/>
      </c>
      <c r="P2533">
        <f>IF(B2548=0,0,O2533/B2548)</f>
        <v/>
      </c>
      <c r="Q2533" t="n">
        <v>0</v>
      </c>
      <c r="R2533" t="n">
        <v>0</v>
      </c>
      <c r="S2533">
        <f>IFERROR(O2533/N2533,0)</f>
        <v/>
      </c>
      <c r="T2533" t="n">
        <v>0</v>
      </c>
      <c r="V2533" t="n">
        <v>0</v>
      </c>
    </row>
    <row r="2534">
      <c r="A2534">
        <f>Skills!A25</f>
        <v/>
      </c>
      <c r="B2534">
        <f>Skills!B25</f>
        <v/>
      </c>
      <c r="C2534">
        <f>Inputs!$B$3&gt;=125</f>
        <v/>
      </c>
      <c r="D2534">
        <f>IF(Skills!C25=1,60+Inputs!$B$26+Inputs!$B$30,IF(Skills!C25=2,90+Inputs!$B$27+Inputs!$B$30,IF(Skills!C25=3,120+Inputs!$B$28+Inputs!$B$30,MAX(0,(Inputs!$B$3-100)*3)+Inputs!$B$29+Inputs!$B$30)))</f>
        <v/>
      </c>
      <c r="E2534">
        <f>INDEX(FactorTable!$B$2:$Y$301, MATCH(ROUND(MIN(300,MAX(1,D2534)),0), FactorTable!$A$2:$A$301,0), Skills!M25+1)</f>
        <v/>
      </c>
      <c r="F2534">
        <f>IF(Skills!N25=TRUE,(Skills!L25/10)*(E2534/1000),Skills!L25/10)+Skills!O25</f>
        <v/>
      </c>
      <c r="G2534">
        <f>Skills!G25*IF(Skills!H25&gt;0,INT(IF(Inputs!$B$39="pvp",MIN(Skills!I25,15),Skills!I25)/Skills!H25+0.000000001),1)</f>
        <v/>
      </c>
      <c r="H2534">
        <f>1-(1-Skills!J25/100)^Skills!K25</f>
        <v/>
      </c>
      <c r="I2534" t="inlineStr">
        <is>
          <t>1</t>
        </is>
      </c>
      <c r="J2534" t="inlineStr"/>
      <c r="K2534" t="inlineStr"/>
      <c r="L2534" t="inlineStr"/>
      <c r="M2534" t="inlineStr"/>
      <c r="N2534" t="inlineStr"/>
      <c r="O2534">
        <f>(1-Summary!$B$11)*T2534+Summary!$B$11*V2534</f>
        <v/>
      </c>
      <c r="P2534">
        <f>IF(B2548=0,0,O2534/B2548)</f>
        <v/>
      </c>
      <c r="Q2534" t="n">
        <v>0</v>
      </c>
      <c r="R2534" t="n">
        <v>0</v>
      </c>
      <c r="S2534">
        <f>IFERROR(O2534/N2534,0)</f>
        <v/>
      </c>
      <c r="T2534" t="n">
        <v>0</v>
      </c>
      <c r="V2534" t="n">
        <v>0</v>
      </c>
    </row>
    <row r="2535">
      <c r="A2535">
        <f>Skills!A26</f>
        <v/>
      </c>
      <c r="B2535">
        <f>Skills!B26</f>
        <v/>
      </c>
      <c r="C2535">
        <f>Inputs!$B$3&gt;=107</f>
        <v/>
      </c>
      <c r="D2535">
        <f>IF(Skills!C26=1,60+Inputs!$B$26+Inputs!$B$30,IF(Skills!C26=2,90+Inputs!$B$27+Inputs!$B$30,IF(Skills!C26=3,120+Inputs!$B$28+Inputs!$B$30,MAX(0,(Inputs!$B$3-100)*3)+Inputs!$B$29+Inputs!$B$30)))</f>
        <v/>
      </c>
      <c r="E2535">
        <f>INDEX(FactorTable!$B$2:$Y$301, MATCH(ROUND(MIN(300,MAX(1,D2535)),0), FactorTable!$A$2:$A$301,0), Skills!M26+1)</f>
        <v/>
      </c>
      <c r="F2535">
        <f>IF(Skills!N26=TRUE,(Skills!L26/10)*(E2535/1000),Skills!L26/10)+Skills!O26</f>
        <v/>
      </c>
      <c r="G2535">
        <f>Skills!G26*IF(Skills!H26&gt;0,INT(IF(Inputs!$B$39="pvp",MIN(Skills!I26,15),Skills!I26)/Skills!H26+0.000000001),1)</f>
        <v/>
      </c>
      <c r="H2535">
        <f>1-(1-Skills!J26/100)^Skills!K26</f>
        <v/>
      </c>
      <c r="I2535" t="inlineStr">
        <is>
          <t>1</t>
        </is>
      </c>
      <c r="J2535" t="inlineStr"/>
      <c r="K2535" t="inlineStr"/>
      <c r="L2535" t="inlineStr"/>
      <c r="M2535" t="inlineStr"/>
      <c r="N2535" t="inlineStr"/>
      <c r="O2535">
        <f>(1-Summary!$B$11)*T2535+Summary!$B$11*V2535</f>
        <v/>
      </c>
      <c r="P2535">
        <f>IF(B2548=0,0,O2535/B2548)</f>
        <v/>
      </c>
      <c r="Q2535" t="n">
        <v>0</v>
      </c>
      <c r="R2535" t="n">
        <v>0</v>
      </c>
      <c r="S2535">
        <f>IFERROR(O2535/N2535,0)</f>
        <v/>
      </c>
      <c r="T2535" t="n">
        <v>0</v>
      </c>
      <c r="V2535" t="n">
        <v>0</v>
      </c>
    </row>
    <row r="2537">
      <c r="A2537" t="inlineStr">
        <is>
          <t>Attack% Bucket Multiplier</t>
        </is>
      </c>
      <c r="B2537">
        <f>(1+(((C2522=TRUE)*F2522*IF(AND(Inputs!$B$39&lt;&gt;"pvp",Inputs!$B$44&gt;0),(((R2522-1)*MIN((Skills!T13*(1+Inputs!$B$35/100)),(1/Q2522))+MIN((Skills!T13*(1+Inputs!$B$35/100)),MAX(0,Inputs!$B$44-((R2522-1)*(1/Q2522)))))/Inputs!$B$44),IF(Inputs!$B$39="pvp",MIN((Skills!T13*(1+Inputs!$B$35/100)),15)/15,MIN(1,(Skills!T13*(1+Inputs!$B$35/100))/(1/Q2522)))))+((C2523=TRUE)*F2523*IF(AND(Inputs!$B$39&lt;&gt;"pvp",Inputs!$B$44&gt;0),(((R2523-1)*MIN((Skills!T14*(1+Inputs!$B$35/100)),(1/Q2523))+MIN((Skills!T14*(1+Inputs!$B$35/100)),MAX(0,Inputs!$B$44-((R2523-1)*(1/Q2523)))))/Inputs!$B$44),IF(Inputs!$B$39="pvp",MIN((Skills!T14*(1+Inputs!$B$35/100)),15)/15,MIN(1,(Skills!T14*(1+Inputs!$B$35/100))/(1/Q2523)))))+((C2524=TRUE)*F2524*IF(AND(Inputs!$B$39&lt;&gt;"pvp",Inputs!$B$44&gt;0),(((R2524-1)*MIN((Skills!T15*(1+Inputs!$B$35/100)),(1/Q2524))+MIN((Skills!T15*(1+Inputs!$B$35/100)),MAX(0,Inputs!$B$44-((R2524-1)*(1/Q2524)))))/Inputs!$B$44),IF(Inputs!$B$39="pvp",MIN((Skills!T15*(1+Inputs!$B$35/100)),15)/15,MIN(1,(Skills!T15*(1+Inputs!$B$35/100))/(1/Q2524)))))+((C2525=TRUE)*F2525*IF(AND(Inputs!$B$39&lt;&gt;"pvp",Inputs!$B$44&gt;0),(((R2525-1)*MIN((Skills!T16*(1+Inputs!$B$35/100)),(1/Q2525))+MIN((Skills!T16*(1+Inputs!$B$35/100)),MAX(0,Inputs!$B$44-((R2525-1)*(1/Q2525)))))/Inputs!$B$44),IF(Inputs!$B$39="pvp",MIN((Skills!T16*(1+Inputs!$B$35/100)),15)/15,MIN(1,(Skills!T16*(1+Inputs!$B$35/100))/(1/Q2525)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2538">
      <c r="A2538" t="inlineStr">
        <is>
          <t>Global Crit Rate Bonus % (Lord of Darkness)</t>
        </is>
      </c>
      <c r="B2538">
        <f>((C2527=TRUE)*F2527*(Skills!J18/100)*IF(AND(Inputs!$B$39&lt;&gt;"pvp",Inputs!$B$44&gt;0),(((R2527-1)*MIN((Skills!T18*(1+Inputs!$B$35/100)),(1/Q2527))+MIN((Skills!T18*(1+Inputs!$B$35/100)),MAX(0,Inputs!$B$44-((R2527-1)*(1/Q2527)))))/Inputs!$B$44),IF(Inputs!$B$39="pvp",MIN((Skills!T18*(1+Inputs!$B$35/100)),15)/15,MIN(1,(Skills!T18*(1+Inputs!$B$35/100))/(1/Q2527)))))</f>
        <v/>
      </c>
    </row>
    <row r="2539">
      <c r="A2539" t="inlineStr">
        <is>
          <t>Attack Speed Buff Bonus %</t>
        </is>
      </c>
      <c r="B2539">
        <f>((C2529=TRUE)*F2529*IF(AND(Inputs!$B$39&lt;&gt;"pvp",Inputs!$B$44&gt;0),(((R2529-1)*MIN((Skills!T20*(1+Inputs!$B$35/100)),(1/Q2529))+MIN((Skills!T20*(1+Inputs!$B$35/100)),MAX(0,Inputs!$B$44-((R2529-1)*(1/Q2529)))))/Inputs!$B$44),IF(Inputs!$B$39="pvp",MIN((Skills!T20*(1+Inputs!$B$35/100)),15)/15,MIN(1,(Skills!T20*(1+Inputs!$B$35/100))/(1/Q2529)))))</f>
        <v/>
      </c>
    </row>
    <row r="2540">
      <c r="A2540" t="inlineStr">
        <is>
          <t>Actions Per Second</t>
        </is>
      </c>
      <c r="B2540">
        <f>1+MIN(150,150*(1-(1-(Inputs!$B$12+((C2530=TRUE)*(F2530-Calc!F21)))/150)*(1-B2539/150)))/100</f>
        <v/>
      </c>
    </row>
    <row r="2541">
      <c r="A2541" t="inlineStr">
        <is>
          <t>Skill + Buff Cast Rate</t>
        </is>
      </c>
      <c r="B2541">
        <f>IF(AND(Inputs!$B$39&lt;&gt;"pvp",Inputs!$B$44&gt;0),SUMPRODUCT((Skills!E2:E26=TRUE)*(C2511:C2535=TRUE)*R2511:R2535*Skills!F2:F26)/Inputs!$B$44,SUMPRODUCT((Skills!E2:E26=TRUE)*(C2511:C2535=TRUE)*Q2511:Q2535*Skills!F2:F26))</f>
        <v/>
      </c>
    </row>
    <row r="2542">
      <c r="A2542" t="inlineStr">
        <is>
          <t>Dark Impale Casts Per Second</t>
        </is>
      </c>
      <c r="B2542">
        <f>MAX(0,B2540-B2541)</f>
        <v/>
      </c>
    </row>
    <row r="2543">
      <c r="A2543" t="inlineStr">
        <is>
          <t>Global Critical Damage Bonus % (Lord of Darkness)</t>
        </is>
      </c>
      <c r="B2543">
        <f>((C2528=TRUE)*F2528*(Skills!J19/100)*IF(AND(Inputs!$B$39&lt;&gt;"pvp",Inputs!$B$44&gt;0),(((R2528-1)*MIN((Skills!T19*(1+Inputs!$B$35/100)),(1/Q2528))+MIN((Skills!T19*(1+Inputs!$B$35/100)),MAX(0,Inputs!$B$44-((R2528-1)*(1/Q2528)))))/Inputs!$B$44),IF(Inputs!$B$39="pvp",MIN((Skills!T19*(1+Inputs!$B$35/100)),15)/15,MIN(1,(Skills!T19*(1+Inputs!$B$35/100))/(1/Q2528)))))</f>
        <v/>
      </c>
    </row>
    <row r="2544">
      <c r="A2544" t="inlineStr">
        <is>
          <t>Global Final Damage Bonus % (unused)</t>
        </is>
      </c>
      <c r="B2544" t="n">
        <v>0</v>
      </c>
    </row>
    <row r="2545">
      <c r="A2545" t="inlineStr">
        <is>
          <t>Buff-Casting Startup Delay (s, fixed-duration only)</t>
        </is>
      </c>
      <c r="B2545">
        <f>IF(AND(Inputs!$B$39&lt;&gt;"pvp",Inputs!$B$44&gt;0),SUMPRODUCT((Skills!T2:T26&gt;0)*(Skills!E2:E26=TRUE)*(C2511:C2535=TRUE))/B2540,0)</f>
        <v/>
      </c>
    </row>
    <row r="2546">
      <c r="A2546" t="inlineStr">
        <is>
          <t>Boss-Only Total DPS (this block's swept value)</t>
        </is>
      </c>
      <c r="B2546">
        <f>SUM(T2511:T2535)</f>
        <v/>
      </c>
    </row>
    <row r="2547">
      <c r="A2547" t="inlineStr">
        <is>
          <t>Normal-Only Total DPS (this block's swept value)</t>
        </is>
      </c>
      <c r="B2547">
        <f>SUM(V2511:V2535)</f>
        <v/>
      </c>
    </row>
    <row r="2548">
      <c r="A2548" s="6" t="inlineStr">
        <is>
          <t>TOTAL DPS</t>
        </is>
      </c>
      <c r="B2548" s="6">
        <f>SUM(O2511:O2535)</f>
        <v/>
      </c>
    </row>
    <row r="2551">
      <c r="A2551" s="6" t="inlineStr">
        <is>
          <t>Stat: Horn Flute (Equip)</t>
        </is>
      </c>
    </row>
    <row r="2552">
      <c r="A2552" s="5" t="inlineStr">
        <is>
          <t>Key</t>
        </is>
      </c>
      <c r="B2552" s="5" t="inlineStr">
        <is>
          <t>Name</t>
        </is>
      </c>
      <c r="C2552" s="5" t="inlineStr">
        <is>
          <t>Unlocked</t>
        </is>
      </c>
      <c r="D2552" s="5" t="inlineStr">
        <is>
          <t>InputLevel</t>
        </is>
      </c>
      <c r="E2552" s="5" t="inlineStr">
        <is>
          <t>Factor</t>
        </is>
      </c>
      <c r="F2552" s="5" t="inlineStr">
        <is>
          <t>CoefficientPercent</t>
        </is>
      </c>
      <c r="G2552" s="5" t="inlineStr">
        <is>
          <t>EffectiveHits</t>
        </is>
      </c>
      <c r="H2552" s="5" t="inlineStr">
        <is>
          <t>ProcProbability</t>
        </is>
      </c>
      <c r="I2552" s="5" t="inlineStr">
        <is>
          <t>MapleHeroMultiplier</t>
        </is>
      </c>
      <c r="J2552" s="5" t="inlineStr">
        <is>
          <t>BaseDamage</t>
        </is>
      </c>
      <c r="K2552" s="5" t="inlineStr">
        <is>
          <t>BaseHitDamage</t>
        </is>
      </c>
      <c r="L2552" s="5" t="inlineStr">
        <is>
          <t>NonCritAvg</t>
        </is>
      </c>
      <c r="M2552" s="5" t="inlineStr">
        <is>
          <t>CritAvg</t>
        </is>
      </c>
      <c r="N2552" s="5" t="inlineStr">
        <is>
          <t>ExpectedDamage(perHit)</t>
        </is>
      </c>
      <c r="O2552" s="5" t="inlineStr">
        <is>
          <t>DPS</t>
        </is>
      </c>
      <c r="P2552" s="5" t="inlineStr">
        <is>
          <t>% of Total</t>
        </is>
      </c>
      <c r="Q2552" s="5" t="inlineStr">
        <is>
          <t>InvCooldown</t>
        </is>
      </c>
      <c r="R2552" s="5" t="inlineStr">
        <is>
          <t>CastsInFight</t>
        </is>
      </c>
      <c r="S2552" s="5" t="inlineStr">
        <is>
          <t>HitRate(perSec)</t>
        </is>
      </c>
      <c r="U2552" t="inlineStr">
        <is>
          <t>helpers</t>
        </is>
      </c>
    </row>
    <row r="2553">
      <c r="A2553">
        <f>Skills!A2</f>
        <v/>
      </c>
      <c r="B2553">
        <f>Skills!B2</f>
        <v/>
      </c>
      <c r="C2553">
        <f>Inputs!$B$3&gt;=100</f>
        <v/>
      </c>
      <c r="D2553" t="inlineStr"/>
      <c r="E2553" t="inlineStr"/>
      <c r="F2553">
        <f>U2555+Skills!O2</f>
        <v/>
      </c>
      <c r="G2553">
        <f>Skills!G2*IF(Skills!H2&gt;0,INT(IF(Inputs!$B$39="pvp",MIN(Skills!I2,15),Skills!I2)/Skills!H2+0.000000001),1)</f>
        <v/>
      </c>
      <c r="H2553">
        <f>1-(1-Skills!J2/100)^Skills!K2</f>
        <v/>
      </c>
      <c r="I2553" t="inlineStr">
        <is>
          <t>1</t>
        </is>
      </c>
      <c r="J2553">
        <f>((Inputs!$B$6*(1+Inputs!$B$7/100))+(((Inputs!$B$13*(1+Inputs!$B$14/100))-(Inputs!$B$13*(1+Inputs!$B$14/100)))+0.25*(Inputs!$B$15-Inputs!$B$15))*(1+Inputs!$B$7/100))*(F2553/100)</f>
        <v/>
      </c>
      <c r="K2553">
        <f>J2553*(1+(((Inputs!$B$13+IF(Inputs!$B$3&gt;=38,(10*INDEX(FactorTable!$B$2:$Y$301, MATCH(ROUND(MIN(300,MAX(1,Inputs!$B$3)),0), FactorTable!$A$2:$A$301,0), 23)/1000)/100*(Inputs!$B$8*(1+Inputs!$B$9/100)),0))*(1+Inputs!$B$14/100))*0.01+Inputs!$B$15*0.0025)/100)*(1+Inputs!$B$16/100)*(1+Inputs!$B$17/100)*(5000/(6000+Inputs!$B$43*(1-(Inputs!$B$20+0)/100)))*(1+(Inputs!$B$25+((C2576=TRUE)*(F2576-Calc!F25))+((C2577=TRUE)*(F2577-Calc!F26))+B2586)/100)*(1+(((1+IF(AND(ArtifactsInput!$M$36,IF(Inputs!$B$39="pvp",TRUE,AND(Inputs!$B$39&lt;&gt;"pvp",Inputs!$B$44&gt;0))),CHOOSE(ArtifactsInput!$N$36+1,8,9.6,11.2,12.8,14.4,16),0)/100)*(1+IF(AND(ArtifactsInput!$M$32,Inputs!$B$4&lt;&gt;"Chapter Hunt"),CHOOSE(ArtifactsInput!$N$32+1,8,9.6,11.2,12.8,14.4,16),0)/100)*(1+IF(AND(IF(ArtifactsInput!$M$38,FALSE,TRUE),Inputs!$B$39&lt;&gt;"pvp",Inputs!$B$44&gt;0),CHOOSE(ArtifactsInput!$N$38+1,10,12,14,16,18,20)*(MIN(30,MAX(0,Inputs!$B$44-7))/Inputs!$B$44)*IF(Inputs!$B$4="Chapter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gt;=100),MIN(100,((Inputs!$B$10+0+B2580+(ArtifactsInput!$M$24-ArtifactsInput!$M$24)*CHOOSE(ArtifactsInput!$N$24+1,10,12,14,16,18,20)+IF(ArtifactsInput!$M$10,CHOOSE(ArtifactsInput!$N$10+1,15,18,21,24,27,30)*(IF(Inputs!$B$39="pvp",MIN(15,15)/15,IF(AND(Inputs!$B$39&lt;&gt;"pvp",Inputs!$B$44&gt;0),MIN(15,Inputs!$B$44)/(Inputs!$B$44),0))),0)))-100),0))*CHOOSE(ArtifactsInput!$N$42+1,0.6,0.72,0.84,0.96,1.08,1.2))),Inputs!$B$19+((C2574=TRUE)*(F2574-Calc!F23))+(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gt;=100),CHOOSE(ArtifactsInput!$N$42+1,40,48,56,64,72,80),0))))/100)*((1+(((C2564=TRUE)*F2564*IF(AND(Inputs!$B$39&lt;&gt;"pvp",Inputs!$B$44&gt;0),(((R2564-1)*MIN((Skills!T13*(1+Inputs!$B$35/100)),(1/Q2564))+MIN((Skills!T13*(1+Inputs!$B$35/100)),MAX(0,Inputs!$B$44-((R2564-1)*(1/Q2564)))))/Inputs!$B$44),IF(Inputs!$B$39="pvp",MIN((Skills!T13*(1+Inputs!$B$35/100)),15)/15,MIN(1,(Skills!T13*(1+Inputs!$B$35/100))/(1/Q2564)))))+((C2565=TRUE)*F2565*IF(AND(Inputs!$B$39&lt;&gt;"pvp",Inputs!$B$44&gt;0),(((R2565-1)*MIN((Skills!T14*(1+Inputs!$B$35/100)),(1/Q2565))+MIN((Skills!T14*(1+Inputs!$B$35/100)),MAX(0,Inputs!$B$44-((R2565-1)*(1/Q2565)))))/Inputs!$B$44),IF(Inputs!$B$39="pvp",MIN((Skills!T14*(1+Inputs!$B$35/100)),15)/15,MIN(1,(Skills!T14*(1+Inputs!$B$35/100))/(1/Q2565)))))+((C2566=TRUE)*F2566*IF(AND(Inputs!$B$39&lt;&gt;"pvp",Inputs!$B$44&gt;0),(((R2566-1)*MIN((Skills!T15*(1+Inputs!$B$35/100)),(1/Q2566))+MIN((Skills!T15*(1+Inputs!$B$35/100)),MAX(0,Inputs!$B$44-((R2566-1)*(1/Q2566)))))/Inputs!$B$44),IF(Inputs!$B$39="pvp",MIN((Skills!T15*(1+Inputs!$B$35/100)),15)/15,MIN(1,(Skills!T15*(1+Inputs!$B$35/100))/(1/Q2566)))))+((C2567=TRUE)*F2567*IF(AND(Inputs!$B$39&lt;&gt;"pvp",Inputs!$B$44&gt;0),(((R2567-1)*MIN((Skills!T16*(1+Inputs!$B$35/100)),(1/Q2567))+MIN((Skills!T16*(1+Inputs!$B$35/100)),MAX(0,Inputs!$B$44-((R2567-1)*(1/Q2567)))))/Inputs!$B$44),IF(Inputs!$B$39="pvp",MIN((Skills!T16*(1+Inputs!$B$35/100)),15)/15,MIN(1,(Skills!T16*(1+Inputs!$B$35/100))/(1/Q2567)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2553)</f>
        <v/>
      </c>
      <c r="L2553">
        <f>K2553*(MIN(Inputs!$B$23+((C2573=TRUE)*(F2573-Calc!F22)),(Inputs!$B$24+((C2575=TRUE)*(F2575-Calc!F24))+(IF(ArtifactsInput!$M$15,CHOOSE(ArtifactsInput!$N$15+1,25,30,35,40,45,50)/100*(Inputs!$B$12-Inputs!$B$12),0))))/100+(Inputs!$B$24+((C2575=TRUE)*(F2575-Calc!F24))+(IF(ArtifactsInput!$M$15,CHOOSE(ArtifactsInput!$N$15+1,25,30,35,40,45,50)/100*(Inputs!$B$12-Inputs!$B$12),0)))/100)/2</f>
        <v/>
      </c>
      <c r="M2553">
        <f>L2553*(1+(Inputs!$B$11+0+B2585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553">
        <f>L2553*(1-MIN((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2553*(MIN((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53">
        <f>(1-Summary!$B$11)*T2553+Summary!$B$11*V2553</f>
        <v/>
      </c>
      <c r="P2553">
        <f>IF(B2590=0,0,O2553/B2590)</f>
        <v/>
      </c>
      <c r="Q2553" t="n">
        <v>0</v>
      </c>
      <c r="R2553" t="n">
        <v>0</v>
      </c>
      <c r="S2553">
        <f>IFERROR(O2553/N2553,0)</f>
        <v/>
      </c>
      <c r="T2553">
        <f>IF(C2553,(Skills!G2*N2553*B2584)*IF(Inputs!$B$39="pvp",1,1+(Inputs!$B$21+0+Skills!P2+((C2568=TRUE)*F2568*IF(AND(Inputs!$B$39&lt;&gt;"pvp",Inputs!$B$44&gt;0),(((R2568-1)*MIN((Skills!T17*(1+Inputs!$B$35/100)),(1/Q2568))+MIN((Skills!T17*(1+Inputs!$B$35/100)),MAX(0,Inputs!$B$44-((R2568-1)*(1/Q2568)))))/Inputs!$B$44),IF(Inputs!$B$39="pvp",MIN((Skills!T17*(1+Inputs!$B$35/100)),15)/15,MIN(1,(Skills!T17*(1+Inputs!$B$35/100))/(1/Q2568)))))+((C2556=TRUE)*IF(Inputs!$B$3&gt;=126,10*MIN(1,15*Q2556),0))+((C2565=TRUE)*IF(Inputs!$B$39="pvp",20,(1-Summary!$B$11)*(20)+Summary!$B$11*(0))*IF(AND(Inputs!$B$39&lt;&gt;"pvp",Inputs!$B$44&gt;0),(((R2565-1)*MIN((Skills!T14*(1+Inputs!$B$35/100)),(1/Q2565))+MIN((Skills!T14*(1+Inputs!$B$35/100)),MAX(0,Inputs!$B$44-((R2565-1)*(1/Q2565)))))/Inputs!$B$44),IF(Inputs!$B$39="pvp",MIN((Skills!T14*(1+Inputs!$B$35/100)),15)/15,MIN(1,(Skills!T14*(1+Inputs!$B$35/100))/(1/Q2565)))))+((C2564=TRUE)*IF(Inputs!$B$3&gt;=82,IF(Inputs!$B$39="pvp",20,(1-Summary!$B$11)*(20)+Summary!$B$11*(0)),0)*IF(AND(Inputs!$B$39&lt;&gt;"pvp",Inputs!$B$44&gt;0),(((R2564-1)*MIN((Skills!T13*(1+Inputs!$B$35/100)),(1/Q2564))+MIN((Skills!T13*(1+Inputs!$B$35/100)),MAX(0,Inputs!$B$44-((R2564-1)*(1/Q2564)))))/Inputs!$B$44),IF(Inputs!$B$39="pvp",MIN((Skills!T13*(1+Inputs!$B$35/100)),15)/15,MIN(1,(Skills!T13*(1+Inputs!$B$35/100))/(1/Q2564)))))+(IF(AND(ArtifactsInput!$M$35,Inputs!$B$4&lt;&gt;"Chapter Hunt"),CHOOSE(ArtifactsInput!$N$35+1,15,18,21,24,27,30)*(1-EXP(-(0.2*B2582)*5)),0)+IF(AND(ArtifactsInput!$M$22,Inputs!$B$4&lt;&gt;"Chapter Hunt"),CHOOSE(ArtifactsInput!$N$22+1,10,12,14,16,18,20)*((0*(((0.15*B2582*5))^0/1)+1*(((0.15*B2582*5))^1/1)+2*(((0.15*B2582*5))^2/2)+3*(((0.15*B2582*5))^3/6)+4*(((0.15*B2582*5))^4/24)+5*(((0.15*B2582*5))^5/120))/((((0.15*B2582*5))^0/1)+(((0.15*B2582*5))^1/1)+(((0.15*B2582*5))^2/2)+(((0.15*B2582*5))^3/6)+(((0.15*B2582*5))^4/24)+(((0.15*B2582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2553*(1-MIN(100,(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2553*(MIN(100,(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2553*(1-MIN(100,(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2553*(MIN(100,(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553">
        <f>MAX(0,(Inputs!$B$3-100)*3)+Inputs!$B$29+Inputs!$B$30</f>
        <v/>
      </c>
      <c r="V2553">
        <f>IF(C2553,(Skills!G2*N2553*B2584)*IF(Inputs!$B$39="pvp",1,(1+(Inputs!$B$22+Skills!Q2+((C2568=TRUE)*F2568*IF(AND(Inputs!$B$39&lt;&gt;"pvp",Inputs!$B$44&gt;0),(((R2568-1)*MIN((Skills!T17*(1+Inputs!$B$35/100)),(1/Q2568))+MIN((Skills!T17*(1+Inputs!$B$35/100)),MAX(0,Inputs!$B$44-((R2568-1)*(1/Q2568)))))/Inputs!$B$44),IF(Inputs!$B$39="pvp",MIN((Skills!T17*(1+Inputs!$B$35/100)),15)/15,MIN(1,(Skills!T17*(1+Inputs!$B$35/100))/(1/Q2568)))))+((C2556=TRUE)*IF(Inputs!$B$3&gt;=126,10*MIN(1,15*Q2556),0))+((C2565=TRUE)*IF(Inputs!$B$39="pvp",20,(1-Summary!$B$11)*(20)+Summary!$B$11*(0))*IF(AND(Inputs!$B$39&lt;&gt;"pvp",Inputs!$B$44&gt;0),(((R2565-1)*MIN((Skills!T14*(1+Inputs!$B$35/100)),(1/Q2565))+MIN((Skills!T14*(1+Inputs!$B$35/100)),MAX(0,Inputs!$B$44-((R2565-1)*(1/Q2565)))))/Inputs!$B$44),IF(Inputs!$B$39="pvp",MIN((Skills!T14*(1+Inputs!$B$35/100)),15)/15,MIN(1,(Skills!T14*(1+Inputs!$B$35/100))/(1/Q2565)))))+((C2564=TRUE)*IF(Inputs!$B$3&gt;=82,IF(Inputs!$B$39="pvp",20,(1-Summary!$B$11)*(20)+Summary!$B$11*(0)),0)*IF(AND(Inputs!$B$39&lt;&gt;"pvp",Inputs!$B$44&gt;0),(((R2564-1)*MIN((Skills!T13*(1+Inputs!$B$35/100)),(1/Q2564))+MIN((Skills!T13*(1+Inputs!$B$35/100)),MAX(0,Inputs!$B$44-((R2564-1)*(1/Q2564)))))/Inputs!$B$44),IF(Inputs!$B$39="pvp",MIN((Skills!T13*(1+Inputs!$B$35/100)),15)/15,MIN(1,(Skills!T13*(1+Inputs!$B$35/100))/(1/Q2564)))))+(IF(AND(ArtifactsInput!$M$35,Inputs!$B$4&lt;&gt;"Chapter Hunt"),CHOOSE(ArtifactsInput!$N$35+1,15,18,21,24,27,30)*(1-EXP(-(0.2*B2582)*5)),0)+IF(AND(ArtifactsInput!$M$22,Inputs!$B$4&lt;&gt;"Chapter Hunt"),CHOOSE(ArtifactsInput!$N$22+1,10,12,14,16,18,20)*((0*(((0.15*B2582*5))^0/1)+1*(((0.15*B2582*5))^1/1)+2*(((0.15*B2582*5))^2/2)+3*(((0.15*B2582*5))^3/6)+4*(((0.15*B2582*5))^4/24)+5*(((0.15*B2582*5))^5/120))/((((0.15*B2582*5))^0/1)+(((0.15*B2582*5))^1/1)+(((0.15*B2582*5))^2/2)+(((0.15*B2582*5))^3/6)+(((0.15*B2582*5))^4/24)+(((0.15*B2582*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54">
      <c r="A2554">
        <f>Skills!A3</f>
        <v/>
      </c>
      <c r="B2554">
        <f>Skills!B3</f>
        <v/>
      </c>
      <c r="C2554">
        <f>Inputs!$B$3&gt;=50</f>
        <v/>
      </c>
      <c r="D2554">
        <f>IF(Skills!C3=1,60+Inputs!$B$26+Inputs!$B$30,IF(Skills!C3=2,90+Inputs!$B$27+Inputs!$B$30,IF(Skills!C3=3,120+Inputs!$B$28+Inputs!$B$30,MAX(0,(Inputs!$B$3-100)*3)+Inputs!$B$29+Inputs!$B$30)))</f>
        <v/>
      </c>
      <c r="E2554">
        <f>INDEX(FactorTable!$B$2:$Y$301, MATCH(ROUND(MIN(300,MAX(1,D2554)),0), FactorTable!$A$2:$A$301,0), Skills!M3+1)</f>
        <v/>
      </c>
      <c r="F2554">
        <f>IF(Skills!N3=TRUE,(Skills!L3/10)*(E2554/1000),Skills!L3/10)+Skills!O3</f>
        <v/>
      </c>
      <c r="G2554" t="inlineStr"/>
      <c r="H2554" t="inlineStr"/>
      <c r="I2554" t="inlineStr">
        <is>
          <t>1</t>
        </is>
      </c>
      <c r="J2554" t="inlineStr"/>
      <c r="K2554" t="inlineStr"/>
      <c r="L2554" t="inlineStr"/>
      <c r="M2554" t="inlineStr"/>
      <c r="N2554" t="inlineStr"/>
      <c r="O2554" t="inlineStr"/>
      <c r="P2554" t="inlineStr"/>
      <c r="Q2554" t="inlineStr"/>
      <c r="R2554" t="inlineStr"/>
      <c r="S2554" t="inlineStr"/>
      <c r="U2554">
        <f>INDEX(FactorTable!$B$2:$Y$301, MATCH(ROUND(MIN(300,MAX(1,U2553)),0), FactorTable!$A$2:$A$301,0), 22)</f>
        <v/>
      </c>
    </row>
    <row r="2555">
      <c r="A2555">
        <f>Skills!A4</f>
        <v/>
      </c>
      <c r="B2555">
        <f>Skills!B4</f>
        <v/>
      </c>
      <c r="C2555">
        <f>Inputs!$B$3&gt;=105</f>
        <v/>
      </c>
      <c r="D2555">
        <f>IF(Skills!C4=1,60+Inputs!$B$26+Inputs!$B$30,IF(Skills!C4=2,90+Inputs!$B$27+Inputs!$B$30,IF(Skills!C4=3,120+Inputs!$B$28+Inputs!$B$30,MAX(0,(Inputs!$B$3-100)*3)+Inputs!$B$29+Inputs!$B$30)))</f>
        <v/>
      </c>
      <c r="E2555">
        <f>INDEX(FactorTable!$B$2:$Y$301, MATCH(ROUND(MIN(300,MAX(1,D2555)),0), FactorTable!$A$2:$A$301,0), Skills!M4+1)</f>
        <v/>
      </c>
      <c r="F2555">
        <f>IF(Skills!N4=TRUE,(Skills!L4/10)*(E2555/1000),Skills!L4/10)+Skills!O4</f>
        <v/>
      </c>
      <c r="G2555" t="inlineStr"/>
      <c r="H2555" t="inlineStr"/>
      <c r="I2555" t="inlineStr">
        <is>
          <t>1</t>
        </is>
      </c>
      <c r="J2555" t="inlineStr"/>
      <c r="K2555" t="inlineStr"/>
      <c r="L2555" t="inlineStr"/>
      <c r="M2555" t="inlineStr"/>
      <c r="N2555" t="inlineStr"/>
      <c r="O2555" t="inlineStr"/>
      <c r="P2555" t="inlineStr"/>
      <c r="Q2555" t="inlineStr"/>
      <c r="R2555" t="inlineStr"/>
      <c r="S2555" t="inlineStr"/>
      <c r="U2555">
        <f>290*U2554/1000</f>
        <v/>
      </c>
    </row>
    <row r="2556">
      <c r="A2556">
        <f>Skills!A5</f>
        <v/>
      </c>
      <c r="B2556">
        <f>Skills!B5</f>
        <v/>
      </c>
      <c r="C2556">
        <f>Inputs!$B$3&gt;=117</f>
        <v/>
      </c>
      <c r="D2556">
        <f>IF(Skills!C5=1,60+Inputs!$B$26+Inputs!$B$30,IF(Skills!C5=2,90+Inputs!$B$27+Inputs!$B$30,IF(Skills!C5=3,120+Inputs!$B$28+Inputs!$B$30,MAX(0,(Inputs!$B$3-100)*3)+Inputs!$B$29+Inputs!$B$30)))</f>
        <v/>
      </c>
      <c r="E2556">
        <f>INDEX(FactorTable!$B$2:$Y$301, MATCH(ROUND(MIN(300,MAX(1,D2556)),0), FactorTable!$A$2:$A$301,0), Skills!M5+1)</f>
        <v/>
      </c>
      <c r="F2556">
        <f>IF(Skills!N5=TRUE,(Skills!L5/10)*(E2556/1000),Skills!L5/10)+Skills!O5</f>
        <v/>
      </c>
      <c r="G2556">
        <f>Skills!G5*IF(Skills!H5&gt;0,INT(IF(Inputs!$B$39="pvp",MIN(Skills!I5,15),Skills!I5)/Skills!H5+0.000000001),1)</f>
        <v/>
      </c>
      <c r="H2556">
        <f>1-(1-Skills!J5/100)^Skills!K5</f>
        <v/>
      </c>
      <c r="I2556" t="inlineStr">
        <is>
          <t>1</t>
        </is>
      </c>
      <c r="J2556">
        <f>((Inputs!$B$6*(1+Inputs!$B$7/100))+(((Inputs!$B$13*(1+Inputs!$B$14/100))-(Inputs!$B$13*(1+Inputs!$B$14/100)))+0.25*(Inputs!$B$15-Inputs!$B$15))*(1+Inputs!$B$7/100))*(F2556/100)</f>
        <v/>
      </c>
      <c r="K2556">
        <f>J2556*(1+(((Inputs!$B$13+IF(Inputs!$B$3&gt;=38,(10*INDEX(FactorTable!$B$2:$Y$301, MATCH(ROUND(MIN(300,MAX(1,Inputs!$B$3)),0), FactorTable!$A$2:$A$301,0), 23)/1000)/100*(Inputs!$B$8*(1+Inputs!$B$9/100)),0))*(1+Inputs!$B$14/100))*0.01+Inputs!$B$15*0.0025)/100)*(1+Inputs!$B$16/100)*(1+Inputs!$B$17/100)*(5000/(6000+Inputs!$B$43*(1-(Inputs!$B$20+0)/100)))*(1+(Inputs!$B$25+((C2576=TRUE)*(F2576-Calc!F25))+((C2577=TRUE)*(F2577-Calc!F26))+B2586)/100)*(1+(((1+IF(AND(ArtifactsInput!$M$36,IF(Inputs!$B$39="pvp",TRUE,AND(Inputs!$B$39&lt;&gt;"pvp",Inputs!$B$44&gt;0))),CHOOSE(ArtifactsInput!$N$36+1,8,9.6,11.2,12.8,14.4,16),0)/100)*(1+IF(AND(ArtifactsInput!$M$32,Inputs!$B$4&lt;&gt;"Chapter Hunt"),CHOOSE(ArtifactsInput!$N$32+1,8,9.6,11.2,12.8,14.4,16),0)/100)*(1+IF(AND(IF(ArtifactsInput!$M$38,FALSE,TRUE),Inputs!$B$39&lt;&gt;"pvp",Inputs!$B$44&gt;0),CHOOSE(ArtifactsInput!$N$38+1,10,12,14,16,18,20)*(MIN(30,MAX(0,Inputs!$B$44-7))/Inputs!$B$44)*IF(Inputs!$B$4="Chapter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gt;=100),MIN(100,((Inputs!$B$10+0+B2580+(ArtifactsInput!$M$24-ArtifactsInput!$M$24)*CHOOSE(ArtifactsInput!$N$24+1,10,12,14,16,18,20)+IF(ArtifactsInput!$M$10,CHOOSE(ArtifactsInput!$N$10+1,15,18,21,24,27,30)*(IF(Inputs!$B$39="pvp",MIN(15,15)/15,IF(AND(Inputs!$B$39&lt;&gt;"pvp",Inputs!$B$44&gt;0),MIN(15,Inputs!$B$44)/(Inputs!$B$44),0))),0)))-100),0))*CHOOSE(ArtifactsInput!$N$42+1,0.6,0.72,0.84,0.96,1.08,1.2))),Inputs!$B$19+((C2574=TRUE)*(F2574-Calc!F23))+(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gt;=100),CHOOSE(ArtifactsInput!$N$42+1,40,48,56,64,72,80),0))))/100)*((1+(((C2564=TRUE)*F2564*IF(AND(Inputs!$B$39&lt;&gt;"pvp",Inputs!$B$44&gt;0),(((R2564-1)*MIN((Skills!T13*(1+Inputs!$B$35/100)),(1/Q2564))+MIN((Skills!T13*(1+Inputs!$B$35/100)),MAX(0,Inputs!$B$44-((R2564-1)*(1/Q2564)))))/Inputs!$B$44),IF(Inputs!$B$39="pvp",MIN((Skills!T13*(1+Inputs!$B$35/100)),15)/15,MIN(1,(Skills!T13*(1+Inputs!$B$35/100))/(1/Q2564)))))+((C2565=TRUE)*F2565*IF(AND(Inputs!$B$39&lt;&gt;"pvp",Inputs!$B$44&gt;0),(((R2565-1)*MIN((Skills!T14*(1+Inputs!$B$35/100)),(1/Q2565))+MIN((Skills!T14*(1+Inputs!$B$35/100)),MAX(0,Inputs!$B$44-((R2565-1)*(1/Q2565)))))/Inputs!$B$44),IF(Inputs!$B$39="pvp",MIN((Skills!T14*(1+Inputs!$B$35/100)),15)/15,MIN(1,(Skills!T14*(1+Inputs!$B$35/100))/(1/Q2565)))))+((C2566=TRUE)*F2566*IF(AND(Inputs!$B$39&lt;&gt;"pvp",Inputs!$B$44&gt;0),(((R2566-1)*MIN((Skills!T15*(1+Inputs!$B$35/100)),(1/Q2566))+MIN((Skills!T15*(1+Inputs!$B$35/100)),MAX(0,Inputs!$B$44-((R2566-1)*(1/Q2566)))))/Inputs!$B$44),IF(Inputs!$B$39="pvp",MIN((Skills!T15*(1+Inputs!$B$35/100)),15)/15,MIN(1,(Skills!T15*(1+Inputs!$B$35/100))/(1/Q2566)))))+((C2567=TRUE)*F2567*IF(AND(Inputs!$B$39&lt;&gt;"pvp",Inputs!$B$44&gt;0),(((R2567-1)*MIN((Skills!T16*(1+Inputs!$B$35/100)),(1/Q2567))+MIN((Skills!T16*(1+Inputs!$B$35/100)),MAX(0,Inputs!$B$44-((R2567-1)*(1/Q2567)))))/Inputs!$B$44),IF(Inputs!$B$39="pvp",MIN((Skills!T16*(1+Inputs!$B$35/100)),15)/15,MIN(1,(Skills!T16*(1+Inputs!$B$35/100))/(1/Q2567)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2556)</f>
        <v/>
      </c>
      <c r="L2556">
        <f>K2556*(MIN(Inputs!$B$23+((C2573=TRUE)*(F2573-Calc!F22)),(Inputs!$B$24+((C2575=TRUE)*(F2575-Calc!F24))+(IF(ArtifactsInput!$M$15,CHOOSE(ArtifactsInput!$N$15+1,25,30,35,40,45,50)/100*(Inputs!$B$12-Inputs!$B$12),0))))/100+(Inputs!$B$24+((C2575=TRUE)*(F2575-Calc!F24))+(IF(ArtifactsInput!$M$15,CHOOSE(ArtifactsInput!$N$15+1,25,30,35,40,45,50)/100*(Inputs!$B$12-Inputs!$B$12),0)))/100)/2</f>
        <v/>
      </c>
      <c r="M2556">
        <f>L2556*(1+(Inputs!$B$11+0+B2585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556">
        <f>L2556*(1-MIN((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2556*(MIN((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56">
        <f>(1-Summary!$B$11)*T2556+Summary!$B$11*V2556</f>
        <v/>
      </c>
      <c r="P2556">
        <f>IF(B2590=0,0,O2556/B2590)</f>
        <v/>
      </c>
      <c r="Q2556">
        <f>IFERROR(1/IF(Inputs!$B$39="pvp",15,MAX(0.1,Skills!D5-IF(TRUE=TRUE,Inputs!$B$33,0))),0)</f>
        <v/>
      </c>
      <c r="R2556">
        <f>IF(AND(Inputs!$B$39&lt;&gt;"pvp",Inputs!$B$44&gt;0),IF(MAX(0,Inputs!$B$44-B2587)&lt;=0,0,(INT(MAX(0,Inputs!$B$44-B2587)/IF(Inputs!$B$39="pvp",15,MAX(0.1,Skills!D5-IF(TRUE=TRUE,Inputs!$B$33,0))))+1)),0)</f>
        <v/>
      </c>
      <c r="S2556">
        <f>IFERROR(O2556/N2556,0)</f>
        <v/>
      </c>
      <c r="T2556">
        <f>IF(C2556,(H2556*N2556*IF(AND(Inputs!$B$39&lt;&gt;"pvp",Inputs!$B$44&gt;0),((Skills!G5*((R2556-1)*IF(Skills!H5&gt;0,INT(Skills!I5/Skills!H5+0.000000001),1)+IF(Skills!H5&gt;0,INT(MIN(Skills!I5,MAX(0,MAX(0,Inputs!$B$44-B2587)-((R2556-1)*IF(Inputs!$B$39="pvp",15,MAX(0.1,Skills!D5-IF(TRUE=TRUE,Inputs!$B$33,0))))))/Skills!H5+0.000000001),1)))/Inputs!$B$44),G2556*Q2556))*IF(Inputs!$B$39="pvp",1,1+(Inputs!$B$21+0+Skills!P5+((C2568=TRUE)*F2568*IF(AND(Inputs!$B$39&lt;&gt;"pvp",Inputs!$B$44&gt;0),(((R2568-1)*MIN((Skills!T17*(1+Inputs!$B$35/100)),(1/Q2568))+MIN((Skills!T17*(1+Inputs!$B$35/100)),MAX(0,Inputs!$B$44-((R2568-1)*(1/Q2568)))))/Inputs!$B$44),IF(Inputs!$B$39="pvp",MIN((Skills!T17*(1+Inputs!$B$35/100)),15)/15,MIN(1,(Skills!T17*(1+Inputs!$B$35/100))/(1/Q2568)))))+((C2556=TRUE)*IF(Inputs!$B$3&gt;=126,10*MIN(1,15*Q2556),0))+((C2565=TRUE)*IF(Inputs!$B$39="pvp",20,(1-Summary!$B$11)*(20)+Summary!$B$11*(0))*IF(AND(Inputs!$B$39&lt;&gt;"pvp",Inputs!$B$44&gt;0),(((R2565-1)*MIN((Skills!T14*(1+Inputs!$B$35/100)),(1/Q2565))+MIN((Skills!T14*(1+Inputs!$B$35/100)),MAX(0,Inputs!$B$44-((R2565-1)*(1/Q2565)))))/Inputs!$B$44),IF(Inputs!$B$39="pvp",MIN((Skills!T14*(1+Inputs!$B$35/100)),15)/15,MIN(1,(Skills!T14*(1+Inputs!$B$35/100))/(1/Q2565)))))+((C2564=TRUE)*IF(Inputs!$B$3&gt;=82,IF(Inputs!$B$39="pvp",20,(1-Summary!$B$11)*(20)+Summary!$B$11*(0)),0)*IF(AND(Inputs!$B$39&lt;&gt;"pvp",Inputs!$B$44&gt;0),(((R2564-1)*MIN((Skills!T13*(1+Inputs!$B$35/100)),(1/Q2564))+MIN((Skills!T13*(1+Inputs!$B$35/100)),MAX(0,Inputs!$B$44-((R2564-1)*(1/Q2564)))))/Inputs!$B$44),IF(Inputs!$B$39="pvp",MIN((Skills!T13*(1+Inputs!$B$35/100)),15)/15,MIN(1,(Skills!T13*(1+Inputs!$B$35/100))/(1/Q2564)))))+(IF(AND(ArtifactsInput!$M$35,Inputs!$B$4&lt;&gt;"Chapter Hunt"),CHOOSE(ArtifactsInput!$N$35+1,15,18,21,24,27,30)*(1-EXP(-(0.2*B2582)*5)),0)+IF(AND(ArtifactsInput!$M$22,Inputs!$B$4&lt;&gt;"Chapter Hunt"),CHOOSE(ArtifactsInput!$N$22+1,10,12,14,16,18,20)*((0*(((0.15*B2582*5))^0/1)+1*(((0.15*B2582*5))^1/1)+2*(((0.15*B2582*5))^2/2)+3*(((0.15*B2582*5))^3/6)+4*(((0.15*B2582*5))^4/24)+5*(((0.15*B2582*5))^5/120))/((((0.15*B2582*5))^0/1)+(((0.15*B2582*5))^1/1)+(((0.15*B2582*5))^2/2)+(((0.15*B2582*5))^3/6)+(((0.15*B2582*5))^4/24)+(((0.15*B2582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2556*(1-MIN(100,(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2556*(MIN(100,(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2556*(1-MIN(100,(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2556*(MIN(100,(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56">
        <f>IF(C2556,(H2556*N2556*IF(AND(Inputs!$B$39&lt;&gt;"pvp",Inputs!$B$44&gt;0),((Skills!G5*((R2556-1)*IF(Skills!H5&gt;0,INT(Skills!I5/Skills!H5+0.000000001),1)+IF(Skills!H5&gt;0,INT(MIN(Skills!I5,MAX(0,MAX(0,Inputs!$B$44-B2587)-((R2556-1)*IF(Inputs!$B$39="pvp",15,MAX(0.1,Skills!D5-IF(TRUE=TRUE,Inputs!$B$33,0))))))/Skills!H5+0.000000001),1)))/Inputs!$B$44),G2556*Q2556))*IF(Inputs!$B$39="pvp",1,(1+(Inputs!$B$22+Skills!Q5+((C2568=TRUE)*F2568*IF(AND(Inputs!$B$39&lt;&gt;"pvp",Inputs!$B$44&gt;0),(((R2568-1)*MIN((Skills!T17*(1+Inputs!$B$35/100)),(1/Q2568))+MIN((Skills!T17*(1+Inputs!$B$35/100)),MAX(0,Inputs!$B$44-((R2568-1)*(1/Q2568)))))/Inputs!$B$44),IF(Inputs!$B$39="pvp",MIN((Skills!T17*(1+Inputs!$B$35/100)),15)/15,MIN(1,(Skills!T17*(1+Inputs!$B$35/100))/(1/Q2568)))))+((C2556=TRUE)*IF(Inputs!$B$3&gt;=126,10*MIN(1,15*Q2556),0))+((C2565=TRUE)*IF(Inputs!$B$39="pvp",20,(1-Summary!$B$11)*(20)+Summary!$B$11*(0))*IF(AND(Inputs!$B$39&lt;&gt;"pvp",Inputs!$B$44&gt;0),(((R2565-1)*MIN((Skills!T14*(1+Inputs!$B$35/100)),(1/Q2565))+MIN((Skills!T14*(1+Inputs!$B$35/100)),MAX(0,Inputs!$B$44-((R2565-1)*(1/Q2565)))))/Inputs!$B$44),IF(Inputs!$B$39="pvp",MIN((Skills!T14*(1+Inputs!$B$35/100)),15)/15,MIN(1,(Skills!T14*(1+Inputs!$B$35/100))/(1/Q2565)))))+((C2564=TRUE)*IF(Inputs!$B$3&gt;=82,IF(Inputs!$B$39="pvp",20,(1-Summary!$B$11)*(20)+Summary!$B$11*(0)),0)*IF(AND(Inputs!$B$39&lt;&gt;"pvp",Inputs!$B$44&gt;0),(((R2564-1)*MIN((Skills!T13*(1+Inputs!$B$35/100)),(1/Q2564))+MIN((Skills!T13*(1+Inputs!$B$35/100)),MAX(0,Inputs!$B$44-((R2564-1)*(1/Q2564)))))/Inputs!$B$44),IF(Inputs!$B$39="pvp",MIN((Skills!T13*(1+Inputs!$B$35/100)),15)/15,MIN(1,(Skills!T13*(1+Inputs!$B$35/100))/(1/Q2564)))))+(IF(AND(ArtifactsInput!$M$35,Inputs!$B$4&lt;&gt;"Chapter Hunt"),CHOOSE(ArtifactsInput!$N$35+1,15,18,21,24,27,30)*(1-EXP(-(0.2*B2582)*5)),0)+IF(AND(ArtifactsInput!$M$22,Inputs!$B$4&lt;&gt;"Chapter Hunt"),CHOOSE(ArtifactsInput!$N$22+1,10,12,14,16,18,20)*((0*(((0.15*B2582*5))^0/1)+1*(((0.15*B2582*5))^1/1)+2*(((0.15*B2582*5))^2/2)+3*(((0.15*B2582*5))^3/6)+4*(((0.15*B2582*5))^4/24)+5*(((0.15*B2582*5))^5/120))/((((0.15*B2582*5))^0/1)+(((0.15*B2582*5))^1/1)+(((0.15*B2582*5))^2/2)+(((0.15*B2582*5))^3/6)+(((0.15*B2582*5))^4/24)+(((0.15*B2582*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57">
      <c r="A2557">
        <f>Skills!A6</f>
        <v/>
      </c>
      <c r="B2557">
        <f>Skills!B6</f>
        <v/>
      </c>
      <c r="C2557">
        <f>Inputs!$B$3&gt;=103</f>
        <v/>
      </c>
      <c r="D2557">
        <f>IF(Skills!C6=1,60+Inputs!$B$26+Inputs!$B$30,IF(Skills!C6=2,90+Inputs!$B$27+Inputs!$B$30,IF(Skills!C6=3,120+Inputs!$B$28+Inputs!$B$30,MAX(0,(Inputs!$B$3-100)*3)+Inputs!$B$29+Inputs!$B$30)))</f>
        <v/>
      </c>
      <c r="E2557">
        <f>INDEX(FactorTable!$B$2:$Y$301, MATCH(ROUND(MIN(300,MAX(1,D2557)),0), FactorTable!$A$2:$A$301,0), Skills!M6+1)</f>
        <v/>
      </c>
      <c r="F2557">
        <f>IF(Skills!N6=TRUE,(Skills!L6/10)*(E2557/1000),Skills!L6/10)+Skills!O6</f>
        <v/>
      </c>
      <c r="G2557">
        <f>Skills!G6*IF(Skills!H6&gt;0,INT(IF(Inputs!$B$39="pvp",MIN(Skills!I6,15),Skills!I6)/Skills!H6+0.000000001),1)</f>
        <v/>
      </c>
      <c r="H2557">
        <f>1-(1-Skills!J6/100)^Skills!K6</f>
        <v/>
      </c>
      <c r="I2557" t="inlineStr">
        <is>
          <t>1</t>
        </is>
      </c>
      <c r="J2557">
        <f>((Inputs!$B$6*(1+Inputs!$B$7/100))+(((Inputs!$B$13*(1+Inputs!$B$14/100))-(Inputs!$B$13*(1+Inputs!$B$14/100)))+0.25*(Inputs!$B$15-Inputs!$B$15))*(1+Inputs!$B$7/100))*(F2557/100)</f>
        <v/>
      </c>
      <c r="K2557">
        <f>J2557*(1+(((Inputs!$B$13+IF(Inputs!$B$3&gt;=38,(10*INDEX(FactorTable!$B$2:$Y$301, MATCH(ROUND(MIN(300,MAX(1,Inputs!$B$3)),0), FactorTable!$A$2:$A$301,0), 23)/1000)/100*(Inputs!$B$8*(1+Inputs!$B$9/100)),0))*(1+Inputs!$B$14/100))*0.01+Inputs!$B$15*0.0025)/100)*(1+Inputs!$B$16/100)*(1+Inputs!$B$17/100)*(5000/(6000+Inputs!$B$43*(1-(Inputs!$B$20+0)/100)))*(1+(Inputs!$B$25+((C2576=TRUE)*(F2576-Calc!F25))+((C2577=TRUE)*(F2577-Calc!F26))+B2586)/100)*(1+(((1+IF(AND(ArtifactsInput!$M$36,IF(Inputs!$B$39="pvp",TRUE,AND(Inputs!$B$39&lt;&gt;"pvp",Inputs!$B$44&gt;0))),CHOOSE(ArtifactsInput!$N$36+1,8,9.6,11.2,12.8,14.4,16),0)/100)*(1+IF(AND(ArtifactsInput!$M$32,Inputs!$B$4&lt;&gt;"Chapter Hunt"),CHOOSE(ArtifactsInput!$N$32+1,8,9.6,11.2,12.8,14.4,16),0)/100)*(1+IF(AND(IF(ArtifactsInput!$M$38,FALSE,TRUE),Inputs!$B$39&lt;&gt;"pvp",Inputs!$B$44&gt;0),CHOOSE(ArtifactsInput!$N$38+1,10,12,14,16,18,20)*(MIN(30,MAX(0,Inputs!$B$44-7))/Inputs!$B$44)*IF(Inputs!$B$4="Chapter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gt;=100),MIN(100,((Inputs!$B$10+0+B2580+(ArtifactsInput!$M$24-ArtifactsInput!$M$24)*CHOOSE(ArtifactsInput!$N$24+1,10,12,14,16,18,20)+IF(ArtifactsInput!$M$10,CHOOSE(ArtifactsInput!$N$10+1,15,18,21,24,27,30)*(IF(Inputs!$B$39="pvp",MIN(15,15)/15,IF(AND(Inputs!$B$39&lt;&gt;"pvp",Inputs!$B$44&gt;0),MIN(15,Inputs!$B$44)/(Inputs!$B$44),0))),0)))-100),0))*CHOOSE(ArtifactsInput!$N$42+1,0.6,0.72,0.84,0.96,1.08,1.2))),Inputs!$B$19+((C2574=TRUE)*(F2574-Calc!F23))+(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gt;=100),CHOOSE(ArtifactsInput!$N$42+1,40,48,56,64,72,80),0))))/100)*((1+(((C2564=TRUE)*F2564*IF(AND(Inputs!$B$39&lt;&gt;"pvp",Inputs!$B$44&gt;0),(((R2564-1)*MIN((Skills!T13*(1+Inputs!$B$35/100)),(1/Q2564))+MIN((Skills!T13*(1+Inputs!$B$35/100)),MAX(0,Inputs!$B$44-((R2564-1)*(1/Q2564)))))/Inputs!$B$44),IF(Inputs!$B$39="pvp",MIN((Skills!T13*(1+Inputs!$B$35/100)),15)/15,MIN(1,(Skills!T13*(1+Inputs!$B$35/100))/(1/Q2564)))))+((C2565=TRUE)*F2565*IF(AND(Inputs!$B$39&lt;&gt;"pvp",Inputs!$B$44&gt;0),(((R2565-1)*MIN((Skills!T14*(1+Inputs!$B$35/100)),(1/Q2565))+MIN((Skills!T14*(1+Inputs!$B$35/100)),MAX(0,Inputs!$B$44-((R2565-1)*(1/Q2565)))))/Inputs!$B$44),IF(Inputs!$B$39="pvp",MIN((Skills!T14*(1+Inputs!$B$35/100)),15)/15,MIN(1,(Skills!T14*(1+Inputs!$B$35/100))/(1/Q2565)))))+((C2566=TRUE)*F2566*IF(AND(Inputs!$B$39&lt;&gt;"pvp",Inputs!$B$44&gt;0),(((R2566-1)*MIN((Skills!T15*(1+Inputs!$B$35/100)),(1/Q2566))+MIN((Skills!T15*(1+Inputs!$B$35/100)),MAX(0,Inputs!$B$44-((R2566-1)*(1/Q2566)))))/Inputs!$B$44),IF(Inputs!$B$39="pvp",MIN((Skills!T15*(1+Inputs!$B$35/100)),15)/15,MIN(1,(Skills!T15*(1+Inputs!$B$35/100))/(1/Q2566)))))+((C2567=TRUE)*F2567*IF(AND(Inputs!$B$39&lt;&gt;"pvp",Inputs!$B$44&gt;0),(((R2567-1)*MIN((Skills!T16*(1+Inputs!$B$35/100)),(1/Q2567))+MIN((Skills!T16*(1+Inputs!$B$35/100)),MAX(0,Inputs!$B$44-((R2567-1)*(1/Q2567)))))/Inputs!$B$44),IF(Inputs!$B$39="pvp",MIN((Skills!T16*(1+Inputs!$B$35/100)),15)/15,MIN(1,(Skills!T16*(1+Inputs!$B$35/100))/(1/Q2567)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2557)</f>
        <v/>
      </c>
      <c r="L2557">
        <f>K2557*(MIN(Inputs!$B$23+((C2573=TRUE)*(F2573-Calc!F22)),(Inputs!$B$24+((C2575=TRUE)*(F2575-Calc!F24))+(IF(ArtifactsInput!$M$15,CHOOSE(ArtifactsInput!$N$15+1,25,30,35,40,45,50)/100*(Inputs!$B$12-Inputs!$B$12),0))))/100+(Inputs!$B$24+((C2575=TRUE)*(F2575-Calc!F24))+(IF(ArtifactsInput!$M$15,CHOOSE(ArtifactsInput!$N$15+1,25,30,35,40,45,50)/100*(Inputs!$B$12-Inputs!$B$12),0)))/100)/2</f>
        <v/>
      </c>
      <c r="M2557">
        <f>L2557*(1+(Inputs!$B$11+0+B2585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557">
        <f>L2557*(1-MIN((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2557*(MIN((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57">
        <f>(1-Summary!$B$11)*T2557+Summary!$B$11*V2557</f>
        <v/>
      </c>
      <c r="P2557">
        <f>IF(B2590=0,0,O2557/B2590)</f>
        <v/>
      </c>
      <c r="Q2557">
        <f>IFERROR(1/IF(Inputs!$B$39="pvp",15,MAX(0.1,Skills!D6-IF(TRUE=TRUE,Inputs!$B$33,0))),0)</f>
        <v/>
      </c>
      <c r="R2557">
        <f>IF(AND(Inputs!$B$39&lt;&gt;"pvp",Inputs!$B$44&gt;0),IF(MAX(0,Inputs!$B$44-B2587)&lt;=0,0,(INT(MAX(0,Inputs!$B$44-B2587)/IF(Inputs!$B$39="pvp",15,MAX(0.1,Skills!D6-IF(TRUE=TRUE,Inputs!$B$33,0))))+1)),0)</f>
        <v/>
      </c>
      <c r="S2557">
        <f>IFERROR(O2557/N2557,0)</f>
        <v/>
      </c>
      <c r="T2557">
        <f>IF(C2557,(H2557*N2557*IF(AND(Inputs!$B$39&lt;&gt;"pvp",Inputs!$B$44&gt;0),((Skills!G6*((R2557-1)*IF(Skills!H6&gt;0,INT(Skills!I6/Skills!H6+0.000000001),1)+IF(Skills!H6&gt;0,INT(MIN(Skills!I6,MAX(0,MAX(0,Inputs!$B$44-B2587)-((R2557-1)*IF(Inputs!$B$39="pvp",15,MAX(0.1,Skills!D6-IF(TRUE=TRUE,Inputs!$B$33,0))))))/Skills!H6+0.000000001),1)))/Inputs!$B$44),G2557*Q2557))*IF(Inputs!$B$39="pvp",1,1+(Inputs!$B$21+0+Skills!P6+((C2568=TRUE)*F2568*IF(AND(Inputs!$B$39&lt;&gt;"pvp",Inputs!$B$44&gt;0),(((R2568-1)*MIN((Skills!T17*(1+Inputs!$B$35/100)),(1/Q2568))+MIN((Skills!T17*(1+Inputs!$B$35/100)),MAX(0,Inputs!$B$44-((R2568-1)*(1/Q2568)))))/Inputs!$B$44),IF(Inputs!$B$39="pvp",MIN((Skills!T17*(1+Inputs!$B$35/100)),15)/15,MIN(1,(Skills!T17*(1+Inputs!$B$35/100))/(1/Q2568)))))+((C2556=TRUE)*IF(Inputs!$B$3&gt;=126,10*MIN(1,15*Q2556),0))+((C2565=TRUE)*IF(Inputs!$B$39="pvp",20,(1-Summary!$B$11)*(20)+Summary!$B$11*(0))*IF(AND(Inputs!$B$39&lt;&gt;"pvp",Inputs!$B$44&gt;0),(((R2565-1)*MIN((Skills!T14*(1+Inputs!$B$35/100)),(1/Q2565))+MIN((Skills!T14*(1+Inputs!$B$35/100)),MAX(0,Inputs!$B$44-((R2565-1)*(1/Q2565)))))/Inputs!$B$44),IF(Inputs!$B$39="pvp",MIN((Skills!T14*(1+Inputs!$B$35/100)),15)/15,MIN(1,(Skills!T14*(1+Inputs!$B$35/100))/(1/Q2565)))))+((C2564=TRUE)*IF(Inputs!$B$3&gt;=82,IF(Inputs!$B$39="pvp",20,(1-Summary!$B$11)*(20)+Summary!$B$11*(0)),0)*IF(AND(Inputs!$B$39&lt;&gt;"pvp",Inputs!$B$44&gt;0),(((R2564-1)*MIN((Skills!T13*(1+Inputs!$B$35/100)),(1/Q2564))+MIN((Skills!T13*(1+Inputs!$B$35/100)),MAX(0,Inputs!$B$44-((R2564-1)*(1/Q2564)))))/Inputs!$B$44),IF(Inputs!$B$39="pvp",MIN((Skills!T13*(1+Inputs!$B$35/100)),15)/15,MIN(1,(Skills!T13*(1+Inputs!$B$35/100))/(1/Q2564)))))+(IF(AND(ArtifactsInput!$M$35,Inputs!$B$4&lt;&gt;"Chapter Hunt"),CHOOSE(ArtifactsInput!$N$35+1,15,18,21,24,27,30)*(1-EXP(-(0.2*B2582)*5)),0)+IF(AND(ArtifactsInput!$M$22,Inputs!$B$4&lt;&gt;"Chapter Hunt"),CHOOSE(ArtifactsInput!$N$22+1,10,12,14,16,18,20)*((0*(((0.15*B2582*5))^0/1)+1*(((0.15*B2582*5))^1/1)+2*(((0.15*B2582*5))^2/2)+3*(((0.15*B2582*5))^3/6)+4*(((0.15*B2582*5))^4/24)+5*(((0.15*B2582*5))^5/120))/((((0.15*B2582*5))^0/1)+(((0.15*B2582*5))^1/1)+(((0.15*B2582*5))^2/2)+(((0.15*B2582*5))^3/6)+(((0.15*B2582*5))^4/24)+(((0.15*B2582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2557*(1-MIN(100,(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2557*(MIN(100,(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2557*(1-MIN(100,(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2557*(MIN(100,(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57">
        <f>IF(C2557,(H2557*N2557*IF(AND(Inputs!$B$39&lt;&gt;"pvp",Inputs!$B$44&gt;0),((Skills!G6*((R2557-1)*IF(Skills!H6&gt;0,INT(Skills!I6/Skills!H6+0.000000001),1)+IF(Skills!H6&gt;0,INT(MIN(Skills!I6,MAX(0,MAX(0,Inputs!$B$44-B2587)-((R2557-1)*IF(Inputs!$B$39="pvp",15,MAX(0.1,Skills!D6-IF(TRUE=TRUE,Inputs!$B$33,0))))))/Skills!H6+0.000000001),1)))/Inputs!$B$44),G2557*Q2557))*IF(Inputs!$B$39="pvp",1,(1+(Inputs!$B$22+Skills!Q6+((C2568=TRUE)*F2568*IF(AND(Inputs!$B$39&lt;&gt;"pvp",Inputs!$B$44&gt;0),(((R2568-1)*MIN((Skills!T17*(1+Inputs!$B$35/100)),(1/Q2568))+MIN((Skills!T17*(1+Inputs!$B$35/100)),MAX(0,Inputs!$B$44-((R2568-1)*(1/Q2568)))))/Inputs!$B$44),IF(Inputs!$B$39="pvp",MIN((Skills!T17*(1+Inputs!$B$35/100)),15)/15,MIN(1,(Skills!T17*(1+Inputs!$B$35/100))/(1/Q2568)))))+((C2556=TRUE)*IF(Inputs!$B$3&gt;=126,10*MIN(1,15*Q2556),0))+((C2565=TRUE)*IF(Inputs!$B$39="pvp",20,(1-Summary!$B$11)*(20)+Summary!$B$11*(0))*IF(AND(Inputs!$B$39&lt;&gt;"pvp",Inputs!$B$44&gt;0),(((R2565-1)*MIN((Skills!T14*(1+Inputs!$B$35/100)),(1/Q2565))+MIN((Skills!T14*(1+Inputs!$B$35/100)),MAX(0,Inputs!$B$44-((R2565-1)*(1/Q2565)))))/Inputs!$B$44),IF(Inputs!$B$39="pvp",MIN((Skills!T14*(1+Inputs!$B$35/100)),15)/15,MIN(1,(Skills!T14*(1+Inputs!$B$35/100))/(1/Q2565)))))+((C2564=TRUE)*IF(Inputs!$B$3&gt;=82,IF(Inputs!$B$39="pvp",20,(1-Summary!$B$11)*(20)+Summary!$B$11*(0)),0)*IF(AND(Inputs!$B$39&lt;&gt;"pvp",Inputs!$B$44&gt;0),(((R2564-1)*MIN((Skills!T13*(1+Inputs!$B$35/100)),(1/Q2564))+MIN((Skills!T13*(1+Inputs!$B$35/100)),MAX(0,Inputs!$B$44-((R2564-1)*(1/Q2564)))))/Inputs!$B$44),IF(Inputs!$B$39="pvp",MIN((Skills!T13*(1+Inputs!$B$35/100)),15)/15,MIN(1,(Skills!T13*(1+Inputs!$B$35/100))/(1/Q2564)))))+(IF(AND(ArtifactsInput!$M$35,Inputs!$B$4&lt;&gt;"Chapter Hunt"),CHOOSE(ArtifactsInput!$N$35+1,15,18,21,24,27,30)*(1-EXP(-(0.2*B2582)*5)),0)+IF(AND(ArtifactsInput!$M$22,Inputs!$B$4&lt;&gt;"Chapter Hunt"),CHOOSE(ArtifactsInput!$N$22+1,10,12,14,16,18,20)*((0*(((0.15*B2582*5))^0/1)+1*(((0.15*B2582*5))^1/1)+2*(((0.15*B2582*5))^2/2)+3*(((0.15*B2582*5))^3/6)+4*(((0.15*B2582*5))^4/24)+5*(((0.15*B2582*5))^5/120))/((((0.15*B2582*5))^0/1)+(((0.15*B2582*5))^1/1)+(((0.15*B2582*5))^2/2)+(((0.15*B2582*5))^3/6)+(((0.15*B2582*5))^4/24)+(((0.15*B2582*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58">
      <c r="A2558">
        <f>Skills!A7</f>
        <v/>
      </c>
      <c r="B2558">
        <f>Skills!B7</f>
        <v/>
      </c>
      <c r="C2558">
        <f>Inputs!$B$3&gt;=40</f>
        <v/>
      </c>
      <c r="D2558">
        <f>IF(Skills!C7=1,60+Inputs!$B$26+Inputs!$B$30,IF(Skills!C7=2,90+Inputs!$B$27+Inputs!$B$30,IF(Skills!C7=3,120+Inputs!$B$28+Inputs!$B$30,MAX(0,(Inputs!$B$3-100)*3)+Inputs!$B$29+Inputs!$B$30)))</f>
        <v/>
      </c>
      <c r="E2558">
        <f>INDEX(FactorTable!$B$2:$Y$301, MATCH(ROUND(MIN(300,MAX(1,D2558)),0), FactorTable!$A$2:$A$301,0), Skills!M7+1)</f>
        <v/>
      </c>
      <c r="F2558">
        <f>IF(Skills!N7=TRUE,(Skills!L7/10)*(E2558/1000),Skills!L7/10)+Skills!O7</f>
        <v/>
      </c>
      <c r="G2558">
        <f>Skills!G7*IF(Skills!H7&gt;0,INT(IF(Inputs!$B$39="pvp",MIN(Skills!I7,15),Skills!I7)/Skills!H7+0.000000001),1)</f>
        <v/>
      </c>
      <c r="H2558">
        <f>1-(1-Skills!J7/100)^Skills!K7</f>
        <v/>
      </c>
      <c r="I2558" t="inlineStr">
        <is>
          <t>1</t>
        </is>
      </c>
      <c r="J2558">
        <f>((Inputs!$B$6*(1+Inputs!$B$7/100))+(((Inputs!$B$13*(1+Inputs!$B$14/100))-(Inputs!$B$13*(1+Inputs!$B$14/100)))+0.25*(Inputs!$B$15-Inputs!$B$15))*(1+Inputs!$B$7/100))*(F2558/100)</f>
        <v/>
      </c>
      <c r="K2558">
        <f>J2558*(1+(((Inputs!$B$13+IF(Inputs!$B$3&gt;=38,(10*INDEX(FactorTable!$B$2:$Y$301, MATCH(ROUND(MIN(300,MAX(1,Inputs!$B$3)),0), FactorTable!$A$2:$A$301,0), 23)/1000)/100*(Inputs!$B$8*(1+Inputs!$B$9/100)),0))*(1+Inputs!$B$14/100))*0.01+Inputs!$B$15*0.0025)/100)*(1+Inputs!$B$16/100)*(1+Inputs!$B$17/100)*(5000/(6000+Inputs!$B$43*(1-(Inputs!$B$20+0)/100)))*(1+(Inputs!$B$25+((C2576=TRUE)*(F2576-Calc!F25))+((C2577=TRUE)*(F2577-Calc!F26))+B2586)/100)*(1+(((1+IF(AND(ArtifactsInput!$M$36,IF(Inputs!$B$39="pvp",TRUE,AND(Inputs!$B$39&lt;&gt;"pvp",Inputs!$B$44&gt;0))),CHOOSE(ArtifactsInput!$N$36+1,8,9.6,11.2,12.8,14.4,16),0)/100)*(1+IF(AND(ArtifactsInput!$M$32,Inputs!$B$4&lt;&gt;"Chapter Hunt"),CHOOSE(ArtifactsInput!$N$32+1,8,9.6,11.2,12.8,14.4,16),0)/100)*(1+IF(AND(IF(ArtifactsInput!$M$38,FALSE,TRUE),Inputs!$B$39&lt;&gt;"pvp",Inputs!$B$44&gt;0),CHOOSE(ArtifactsInput!$N$38+1,10,12,14,16,18,20)*(MIN(30,MAX(0,Inputs!$B$44-7))/Inputs!$B$44)*IF(Inputs!$B$4="Chapter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2562=TRUE,F2562,0)/100)*(1+(IF(Skills!A7="DARK_IMPALE",Inputs!$B$18+0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gt;=100),MIN(100,((Inputs!$B$10+0+B2580+(ArtifactsInput!$M$24-ArtifactsInput!$M$24)*CHOOSE(ArtifactsInput!$N$24+1,10,12,14,16,18,20)+IF(ArtifactsInput!$M$10,CHOOSE(ArtifactsInput!$N$10+1,15,18,21,24,27,30)*(IF(Inputs!$B$39="pvp",MIN(15,15)/15,IF(AND(Inputs!$B$39&lt;&gt;"pvp",Inputs!$B$44&gt;0),MIN(15,Inputs!$B$44)/(Inputs!$B$44),0))),0)))-100),0))*CHOOSE(ArtifactsInput!$N$42+1,0.6,0.72,0.84,0.96,1.08,1.2))),Inputs!$B$19+((C2574=TRUE)*(F2574-Calc!F23))+(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gt;=100),CHOOSE(ArtifactsInput!$N$42+1,40,48,56,64,72,80),0))))/100)*((1+(((C2564=TRUE)*F2564*IF(AND(Inputs!$B$39&lt;&gt;"pvp",Inputs!$B$44&gt;0),(((R2564-1)*MIN((Skills!T13*(1+Inputs!$B$35/100)),(1/Q2564))+MIN((Skills!T13*(1+Inputs!$B$35/100)),MAX(0,Inputs!$B$44-((R2564-1)*(1/Q2564)))))/Inputs!$B$44),IF(Inputs!$B$39="pvp",MIN((Skills!T13*(1+Inputs!$B$35/100)),15)/15,MIN(1,(Skills!T13*(1+Inputs!$B$35/100))/(1/Q2564)))))+((C2565=TRUE)*F2565*IF(AND(Inputs!$B$39&lt;&gt;"pvp",Inputs!$B$44&gt;0),(((R2565-1)*MIN((Skills!T14*(1+Inputs!$B$35/100)),(1/Q2565))+MIN((Skills!T14*(1+Inputs!$B$35/100)),MAX(0,Inputs!$B$44-((R2565-1)*(1/Q2565)))))/Inputs!$B$44),IF(Inputs!$B$39="pvp",MIN((Skills!T14*(1+Inputs!$B$35/100)),15)/15,MIN(1,(Skills!T14*(1+Inputs!$B$35/100))/(1/Q2565)))))+((C2566=TRUE)*F2566*IF(AND(Inputs!$B$39&lt;&gt;"pvp",Inputs!$B$44&gt;0),(((R2566-1)*MIN((Skills!T15*(1+Inputs!$B$35/100)),(1/Q2566))+MIN((Skills!T15*(1+Inputs!$B$35/100)),MAX(0,Inputs!$B$44-((R2566-1)*(1/Q2566)))))/Inputs!$B$44),IF(Inputs!$B$39="pvp",MIN((Skills!T15*(1+Inputs!$B$35/100)),15)/15,MIN(1,(Skills!T15*(1+Inputs!$B$35/100))/(1/Q2566)))))+((C2567=TRUE)*F2567*IF(AND(Inputs!$B$39&lt;&gt;"pvp",Inputs!$B$44&gt;0),(((R2567-1)*MIN((Skills!T16*(1+Inputs!$B$35/100)),(1/Q2567))+MIN((Skills!T16*(1+Inputs!$B$35/100)),MAX(0,Inputs!$B$44-((R2567-1)*(1/Q2567)))))/Inputs!$B$44),IF(Inputs!$B$39="pvp",MIN((Skills!T16*(1+Inputs!$B$35/100)),15)/15,MIN(1,(Skills!T16*(1+Inputs!$B$35/100))/(1/Q2567)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2558)</f>
        <v/>
      </c>
      <c r="L2558">
        <f>K2558*(MIN(Inputs!$B$23+((C2573=TRUE)*(F2573-Calc!F22)),(Inputs!$B$24+((C2575=TRUE)*(F2575-Calc!F24))+(IF(ArtifactsInput!$M$15,CHOOSE(ArtifactsInput!$N$15+1,25,30,35,40,45,50)/100*(Inputs!$B$12-Inputs!$B$12),0))))/100+(Inputs!$B$24+((C2575=TRUE)*(F2575-Calc!F24))+(IF(ArtifactsInput!$M$15,CHOOSE(ArtifactsInput!$N$15+1,25,30,35,40,45,50)/100*(Inputs!$B$12-Inputs!$B$12),0)))/100)/2</f>
        <v/>
      </c>
      <c r="M2558">
        <f>L2558*(1+(Inputs!$B$11+0+B2585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558">
        <f>L2558*(1-MIN((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2558*(MIN((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58">
        <f>(1-Summary!$B$11)*T2558+Summary!$B$11*V2558</f>
        <v/>
      </c>
      <c r="P2558">
        <f>IF(B2590=0,0,O2558/B2590)</f>
        <v/>
      </c>
      <c r="Q2558">
        <f>IFERROR(1/IF(Inputs!$B$39="pvp",15,MAX(0.1,Skills!D7-IF(TRUE=TRUE,Inputs!$B$33,0))),0)</f>
        <v/>
      </c>
      <c r="R2558">
        <f>IF(AND(Inputs!$B$39&lt;&gt;"pvp",Inputs!$B$44&gt;0),IF(MAX(0,Inputs!$B$44-B2587)&lt;=0,0,(INT(MAX(0,Inputs!$B$44-B2587)/IF(Inputs!$B$39="pvp",15,MAX(0.1,Skills!D7-IF(TRUE=TRUE,Inputs!$B$33,0))))+1)),0)</f>
        <v/>
      </c>
      <c r="S2558">
        <f>IFERROR(O2558/N2558,0)</f>
        <v/>
      </c>
      <c r="T2558">
        <f>IF(C2558,(H2558*N2558*IF(AND(Inputs!$B$39&lt;&gt;"pvp",Inputs!$B$44&gt;0),((Skills!G7*((R2558-1)*IF(Skills!H7&gt;0,INT(Skills!I7/Skills!H7+0.000000001),1)+IF(Skills!H7&gt;0,INT(MIN(Skills!I7,MAX(0,MAX(0,Inputs!$B$44-B2587)-((R2558-1)*IF(Inputs!$B$39="pvp",15,MAX(0.1,Skills!D7-IF(TRUE=TRUE,Inputs!$B$33,0))))))/Skills!H7+0.000000001),1)))/Inputs!$B$44),G2558*Q2558))*IF(Inputs!$B$39="pvp",1,1+(Inputs!$B$21+0+Skills!P7+((C2568=TRUE)*F2568*IF(AND(Inputs!$B$39&lt;&gt;"pvp",Inputs!$B$44&gt;0),(((R2568-1)*MIN((Skills!T17*(1+Inputs!$B$35/100)),(1/Q2568))+MIN((Skills!T17*(1+Inputs!$B$35/100)),MAX(0,Inputs!$B$44-((R2568-1)*(1/Q2568)))))/Inputs!$B$44),IF(Inputs!$B$39="pvp",MIN((Skills!T17*(1+Inputs!$B$35/100)),15)/15,MIN(1,(Skills!T17*(1+Inputs!$B$35/100))/(1/Q2568)))))+((C2556=TRUE)*IF(Inputs!$B$3&gt;=126,10*MIN(1,15*Q2556),0))+((C2565=TRUE)*IF(Inputs!$B$39="pvp",20,(1-Summary!$B$11)*(20)+Summary!$B$11*(0))*IF(AND(Inputs!$B$39&lt;&gt;"pvp",Inputs!$B$44&gt;0),(((R2565-1)*MIN((Skills!T14*(1+Inputs!$B$35/100)),(1/Q2565))+MIN((Skills!T14*(1+Inputs!$B$35/100)),MAX(0,Inputs!$B$44-((R2565-1)*(1/Q2565)))))/Inputs!$B$44),IF(Inputs!$B$39="pvp",MIN((Skills!T14*(1+Inputs!$B$35/100)),15)/15,MIN(1,(Skills!T14*(1+Inputs!$B$35/100))/(1/Q2565)))))+((C2564=TRUE)*IF(Inputs!$B$3&gt;=82,IF(Inputs!$B$39="pvp",20,(1-Summary!$B$11)*(20)+Summary!$B$11*(0)),0)*IF(AND(Inputs!$B$39&lt;&gt;"pvp",Inputs!$B$44&gt;0),(((R2564-1)*MIN((Skills!T13*(1+Inputs!$B$35/100)),(1/Q2564))+MIN((Skills!T13*(1+Inputs!$B$35/100)),MAX(0,Inputs!$B$44-((R2564-1)*(1/Q2564)))))/Inputs!$B$44),IF(Inputs!$B$39="pvp",MIN((Skills!T13*(1+Inputs!$B$35/100)),15)/15,MIN(1,(Skills!T13*(1+Inputs!$B$35/100))/(1/Q2564)))))+(IF(AND(ArtifactsInput!$M$35,Inputs!$B$4&lt;&gt;"Chapter Hunt"),CHOOSE(ArtifactsInput!$N$35+1,15,18,21,24,27,30)*(1-EXP(-(0.2*B2582)*5)),0)+IF(AND(ArtifactsInput!$M$22,Inputs!$B$4&lt;&gt;"Chapter Hunt"),CHOOSE(ArtifactsInput!$N$22+1,10,12,14,16,18,20)*((0*(((0.15*B2582*5))^0/1)+1*(((0.15*B2582*5))^1/1)+2*(((0.15*B2582*5))^2/2)+3*(((0.15*B2582*5))^3/6)+4*(((0.15*B2582*5))^4/24)+5*(((0.15*B2582*5))^5/120))/((((0.15*B2582*5))^0/1)+(((0.15*B2582*5))^1/1)+(((0.15*B2582*5))^2/2)+(((0.15*B2582*5))^3/6)+(((0.15*B2582*5))^4/24)+(((0.15*B2582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2558*(1-MIN(100,(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2558*(MIN(100,(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2558*(1-MIN(100,(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2558*(MIN(100,(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58">
        <f>IF(C2558,(H2558*N2558*IF(AND(Inputs!$B$39&lt;&gt;"pvp",Inputs!$B$44&gt;0),((Skills!G7*((R2558-1)*IF(Skills!H7&gt;0,INT(Skills!I7/Skills!H7+0.000000001),1)+IF(Skills!H7&gt;0,INT(MIN(Skills!I7,MAX(0,MAX(0,Inputs!$B$44-B2587)-((R2558-1)*IF(Inputs!$B$39="pvp",15,MAX(0.1,Skills!D7-IF(TRUE=TRUE,Inputs!$B$33,0))))))/Skills!H7+0.000000001),1)))/Inputs!$B$44),G2558*Q2558))*IF(Inputs!$B$39="pvp",1,(1+(Inputs!$B$22+Skills!Q7+((C2568=TRUE)*F2568*IF(AND(Inputs!$B$39&lt;&gt;"pvp",Inputs!$B$44&gt;0),(((R2568-1)*MIN((Skills!T17*(1+Inputs!$B$35/100)),(1/Q2568))+MIN((Skills!T17*(1+Inputs!$B$35/100)),MAX(0,Inputs!$B$44-((R2568-1)*(1/Q2568)))))/Inputs!$B$44),IF(Inputs!$B$39="pvp",MIN((Skills!T17*(1+Inputs!$B$35/100)),15)/15,MIN(1,(Skills!T17*(1+Inputs!$B$35/100))/(1/Q2568)))))+((C2556=TRUE)*IF(Inputs!$B$3&gt;=126,10*MIN(1,15*Q2556),0))+((C2565=TRUE)*IF(Inputs!$B$39="pvp",20,(1-Summary!$B$11)*(20)+Summary!$B$11*(0))*IF(AND(Inputs!$B$39&lt;&gt;"pvp",Inputs!$B$44&gt;0),(((R2565-1)*MIN((Skills!T14*(1+Inputs!$B$35/100)),(1/Q2565))+MIN((Skills!T14*(1+Inputs!$B$35/100)),MAX(0,Inputs!$B$44-((R2565-1)*(1/Q2565)))))/Inputs!$B$44),IF(Inputs!$B$39="pvp",MIN((Skills!T14*(1+Inputs!$B$35/100)),15)/15,MIN(1,(Skills!T14*(1+Inputs!$B$35/100))/(1/Q2565)))))+((C2564=TRUE)*IF(Inputs!$B$3&gt;=82,IF(Inputs!$B$39="pvp",20,(1-Summary!$B$11)*(20)+Summary!$B$11*(0)),0)*IF(AND(Inputs!$B$39&lt;&gt;"pvp",Inputs!$B$44&gt;0),(((R2564-1)*MIN((Skills!T13*(1+Inputs!$B$35/100)),(1/Q2564))+MIN((Skills!T13*(1+Inputs!$B$35/100)),MAX(0,Inputs!$B$44-((R2564-1)*(1/Q2564)))))/Inputs!$B$44),IF(Inputs!$B$39="pvp",MIN((Skills!T13*(1+Inputs!$B$35/100)),15)/15,MIN(1,(Skills!T13*(1+Inputs!$B$35/100))/(1/Q2564)))))+(IF(AND(ArtifactsInput!$M$35,Inputs!$B$4&lt;&gt;"Chapter Hunt"),CHOOSE(ArtifactsInput!$N$35+1,15,18,21,24,27,30)*(1-EXP(-(0.2*B2582)*5)),0)+IF(AND(ArtifactsInput!$M$22,Inputs!$B$4&lt;&gt;"Chapter Hunt"),CHOOSE(ArtifactsInput!$N$22+1,10,12,14,16,18,20)*((0*(((0.15*B2582*5))^0/1)+1*(((0.15*B2582*5))^1/1)+2*(((0.15*B2582*5))^2/2)+3*(((0.15*B2582*5))^3/6)+4*(((0.15*B2582*5))^4/24)+5*(((0.15*B2582*5))^5/120))/((((0.15*B2582*5))^0/1)+(((0.15*B2582*5))^1/1)+(((0.15*B2582*5))^2/2)+(((0.15*B2582*5))^3/6)+(((0.15*B2582*5))^4/24)+(((0.15*B2582*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59">
      <c r="A2559">
        <f>Skills!A8</f>
        <v/>
      </c>
      <c r="B2559">
        <f>Skills!B8</f>
        <v/>
      </c>
      <c r="C2559">
        <f>Inputs!$B$3&gt;=75</f>
        <v/>
      </c>
      <c r="D2559">
        <f>IF(Skills!C8=1,60+Inputs!$B$26+Inputs!$B$30,IF(Skills!C8=2,90+Inputs!$B$27+Inputs!$B$30,IF(Skills!C8=3,120+Inputs!$B$28+Inputs!$B$30,MAX(0,(Inputs!$B$3-100)*3)+Inputs!$B$29+Inputs!$B$30)))</f>
        <v/>
      </c>
      <c r="E2559">
        <f>INDEX(FactorTable!$B$2:$Y$301, MATCH(ROUND(MIN(300,MAX(1,D2559)),0), FactorTable!$A$2:$A$301,0), Skills!M8+1)</f>
        <v/>
      </c>
      <c r="F2559">
        <f>IF(Skills!N8=TRUE,(Skills!L8/10)*(E2559/1000),Skills!L8/10)+Skills!O8</f>
        <v/>
      </c>
      <c r="G2559" t="inlineStr"/>
      <c r="H2559" t="inlineStr"/>
      <c r="I2559" t="inlineStr">
        <is>
          <t>1</t>
        </is>
      </c>
      <c r="J2559" t="inlineStr"/>
      <c r="K2559" t="inlineStr"/>
      <c r="L2559" t="inlineStr"/>
      <c r="M2559" t="inlineStr"/>
      <c r="N2559" t="inlineStr"/>
      <c r="O2559" t="inlineStr"/>
      <c r="P2559" t="inlineStr"/>
      <c r="Q2559" t="inlineStr"/>
      <c r="R2559" t="inlineStr"/>
      <c r="S2559" t="inlineStr"/>
    </row>
    <row r="2560">
      <c r="A2560">
        <f>Skills!A9</f>
        <v/>
      </c>
      <c r="B2560">
        <f>Skills!B9</f>
        <v/>
      </c>
      <c r="C2560">
        <f>Inputs!$B$3&gt;=60</f>
        <v/>
      </c>
      <c r="D2560">
        <f>IF(Skills!C9=1,60+Inputs!$B$26+Inputs!$B$30,IF(Skills!C9=2,90+Inputs!$B$27+Inputs!$B$30,IF(Skills!C9=3,120+Inputs!$B$28+Inputs!$B$30,MAX(0,(Inputs!$B$3-100)*3)+Inputs!$B$29+Inputs!$B$30)))</f>
        <v/>
      </c>
      <c r="E2560">
        <f>INDEX(FactorTable!$B$2:$Y$301, MATCH(ROUND(MIN(300,MAX(1,D2560)),0), FactorTable!$A$2:$A$301,0), Skills!M9+1)</f>
        <v/>
      </c>
      <c r="F2560">
        <f>IF(Skills!N9=TRUE,(Skills!L9/10)*(E2560/1000),Skills!L9/10)+Skills!O9</f>
        <v/>
      </c>
      <c r="G2560">
        <f>Skills!G9*IF(Skills!H9&gt;0,INT(IF(Inputs!$B$39="pvp",MIN(Skills!I9,15),Skills!I9)/Skills!H9+0.000000001),1)</f>
        <v/>
      </c>
      <c r="H2560">
        <f>1-(1-Skills!J9/100)^Skills!K9</f>
        <v/>
      </c>
      <c r="I2560" t="inlineStr">
        <is>
          <t>1</t>
        </is>
      </c>
      <c r="J2560">
        <f>((Inputs!$B$6*(1+Inputs!$B$7/100))+(((Inputs!$B$13*(1+Inputs!$B$14/100))-(Inputs!$B$13*(1+Inputs!$B$14/100)))+0.25*(Inputs!$B$15-Inputs!$B$15))*(1+Inputs!$B$7/100))*(F2560/100)</f>
        <v/>
      </c>
      <c r="K2560">
        <f>J2560*(1+(((Inputs!$B$13+IF(Inputs!$B$3&gt;=38,(10*INDEX(FactorTable!$B$2:$Y$301, MATCH(ROUND(MIN(300,MAX(1,Inputs!$B$3)),0), FactorTable!$A$2:$A$301,0), 23)/1000)/100*(Inputs!$B$8*(1+Inputs!$B$9/100)),0))*(1+Inputs!$B$14/100))*0.01+Inputs!$B$15*0.0025)/100)*(1+Inputs!$B$16/100)*(1+Inputs!$B$17/100)*(5000/(6000+Inputs!$B$43*(1-(Inputs!$B$20+0)/100)))*(1+(Inputs!$B$25+((C2576=TRUE)*(F2576-Calc!F25))+((C2577=TRUE)*(F2577-Calc!F26))+B2586)/100)*(1+(((1+IF(AND(ArtifactsInput!$M$36,IF(Inputs!$B$39="pvp",TRUE,AND(Inputs!$B$39&lt;&gt;"pvp",Inputs!$B$44&gt;0))),CHOOSE(ArtifactsInput!$N$36+1,8,9.6,11.2,12.8,14.4,16),0)/100)*(1+IF(AND(ArtifactsInput!$M$32,Inputs!$B$4&lt;&gt;"Chapter Hunt"),CHOOSE(ArtifactsInput!$N$32+1,8,9.6,11.2,12.8,14.4,16),0)/100)*(1+IF(AND(IF(ArtifactsInput!$M$38,FALSE,TRUE),Inputs!$B$39&lt;&gt;"pvp",Inputs!$B$44&gt;0),CHOOSE(ArtifactsInput!$N$38+1,10,12,14,16,18,20)*(MIN(30,MAX(0,Inputs!$B$44-7))/Inputs!$B$44)*IF(Inputs!$B$4="Chapter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2562=TRUE,F2562,0)/100)*(1+(IF(Skills!A9="DARK_IMPALE",Inputs!$B$18+0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gt;=100),MIN(100,((Inputs!$B$10+0+B2580+(ArtifactsInput!$M$24-ArtifactsInput!$M$24)*CHOOSE(ArtifactsInput!$N$24+1,10,12,14,16,18,20)+IF(ArtifactsInput!$M$10,CHOOSE(ArtifactsInput!$N$10+1,15,18,21,24,27,30)*(IF(Inputs!$B$39="pvp",MIN(15,15)/15,IF(AND(Inputs!$B$39&lt;&gt;"pvp",Inputs!$B$44&gt;0),MIN(15,Inputs!$B$44)/(Inputs!$B$44),0))),0)))-100),0))*CHOOSE(ArtifactsInput!$N$42+1,0.6,0.72,0.84,0.96,1.08,1.2))),Inputs!$B$19+((C2574=TRUE)*(F2574-Calc!F23))+(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gt;=100),CHOOSE(ArtifactsInput!$N$42+1,40,48,56,64,72,80),0))))/100)*((1+(((C2564=TRUE)*F2564*IF(AND(Inputs!$B$39&lt;&gt;"pvp",Inputs!$B$44&gt;0),(((R2564-1)*MIN((Skills!T13*(1+Inputs!$B$35/100)),(1/Q2564))+MIN((Skills!T13*(1+Inputs!$B$35/100)),MAX(0,Inputs!$B$44-((R2564-1)*(1/Q2564)))))/Inputs!$B$44),IF(Inputs!$B$39="pvp",MIN((Skills!T13*(1+Inputs!$B$35/100)),15)/15,MIN(1,(Skills!T13*(1+Inputs!$B$35/100))/(1/Q2564)))))+((C2565=TRUE)*F2565*IF(AND(Inputs!$B$39&lt;&gt;"pvp",Inputs!$B$44&gt;0),(((R2565-1)*MIN((Skills!T14*(1+Inputs!$B$35/100)),(1/Q2565))+MIN((Skills!T14*(1+Inputs!$B$35/100)),MAX(0,Inputs!$B$44-((R2565-1)*(1/Q2565)))))/Inputs!$B$44),IF(Inputs!$B$39="pvp",MIN((Skills!T14*(1+Inputs!$B$35/100)),15)/15,MIN(1,(Skills!T14*(1+Inputs!$B$35/100))/(1/Q2565)))))+((C2566=TRUE)*F2566*IF(AND(Inputs!$B$39&lt;&gt;"pvp",Inputs!$B$44&gt;0),(((R2566-1)*MIN((Skills!T15*(1+Inputs!$B$35/100)),(1/Q2566))+MIN((Skills!T15*(1+Inputs!$B$35/100)),MAX(0,Inputs!$B$44-((R2566-1)*(1/Q2566)))))/Inputs!$B$44),IF(Inputs!$B$39="pvp",MIN((Skills!T15*(1+Inputs!$B$35/100)),15)/15,MIN(1,(Skills!T15*(1+Inputs!$B$35/100))/(1/Q2566)))))+((C2567=TRUE)*F2567*IF(AND(Inputs!$B$39&lt;&gt;"pvp",Inputs!$B$44&gt;0),(((R2567-1)*MIN((Skills!T16*(1+Inputs!$B$35/100)),(1/Q2567))+MIN((Skills!T16*(1+Inputs!$B$35/100)),MAX(0,Inputs!$B$44-((R2567-1)*(1/Q2567)))))/Inputs!$B$44),IF(Inputs!$B$39="pvp",MIN((Skills!T16*(1+Inputs!$B$35/100)),15)/15,MIN(1,(Skills!T16*(1+Inputs!$B$35/100))/(1/Q2567)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2560)</f>
        <v/>
      </c>
      <c r="L2560">
        <f>K2560*(MIN(Inputs!$B$23+((C2573=TRUE)*(F2573-Calc!F22)),(Inputs!$B$24+((C2575=TRUE)*(F2575-Calc!F24))+(IF(ArtifactsInput!$M$15,CHOOSE(ArtifactsInput!$N$15+1,25,30,35,40,45,50)/100*(Inputs!$B$12-Inputs!$B$12),0))))/100+(Inputs!$B$24+((C2575=TRUE)*(F2575-Calc!F24))+(IF(ArtifactsInput!$M$15,CHOOSE(ArtifactsInput!$N$15+1,25,30,35,40,45,50)/100*(Inputs!$B$12-Inputs!$B$12),0)))/100)/2</f>
        <v/>
      </c>
      <c r="M2560">
        <f>L2560*(1+(Inputs!$B$11+0+B2585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560">
        <f>L2560*(1-MIN((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2560*(MIN((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60">
        <f>(1-Summary!$B$11)*T2560+Summary!$B$11*V2560</f>
        <v/>
      </c>
      <c r="P2560">
        <f>IF(B2590=0,0,O2560/B2590)</f>
        <v/>
      </c>
      <c r="Q2560">
        <f>IFERROR(1/IF(Inputs!$B$39="pvp",15,MAX(0.1,Skills!D9-IF(TRUE=TRUE,Inputs!$B$33,0))),0)</f>
        <v/>
      </c>
      <c r="R2560">
        <f>IF(AND(Inputs!$B$39&lt;&gt;"pvp",Inputs!$B$44&gt;0),IF(MAX(0,Inputs!$B$44-B2587)&lt;=0,0,(INT(MAX(0,Inputs!$B$44-B2587)/IF(Inputs!$B$39="pvp",15,MAX(0.1,Skills!D9-IF(TRUE=TRUE,Inputs!$B$33,0))))+1)),0)</f>
        <v/>
      </c>
      <c r="S2560">
        <f>IFERROR(O2560/N2560,0)</f>
        <v/>
      </c>
      <c r="T2560">
        <f>IF(C2560,(H2560*N2560*IF(AND(Inputs!$B$39&lt;&gt;"pvp",Inputs!$B$44&gt;0),((Skills!G9*((R2560-1)*IF(Skills!H9&gt;0,INT(Skills!I9/Skills!H9+0.000000001),1)+IF(Skills!H9&gt;0,INT(MIN(Skills!I9,MAX(0,MAX(0,Inputs!$B$44-B2587)-((R2560-1)*IF(Inputs!$B$39="pvp",15,MAX(0.1,Skills!D9-IF(TRUE=TRUE,Inputs!$B$33,0))))))/Skills!H9+0.000000001),1)))/Inputs!$B$44),G2560*Q2560))*IF(Inputs!$B$39="pvp",1,1+(Inputs!$B$21+0+Skills!P9+((C2568=TRUE)*F2568*IF(AND(Inputs!$B$39&lt;&gt;"pvp",Inputs!$B$44&gt;0),(((R2568-1)*MIN((Skills!T17*(1+Inputs!$B$35/100)),(1/Q2568))+MIN((Skills!T17*(1+Inputs!$B$35/100)),MAX(0,Inputs!$B$44-((R2568-1)*(1/Q2568)))))/Inputs!$B$44),IF(Inputs!$B$39="pvp",MIN((Skills!T17*(1+Inputs!$B$35/100)),15)/15,MIN(1,(Skills!T17*(1+Inputs!$B$35/100))/(1/Q2568)))))+((C2556=TRUE)*IF(Inputs!$B$3&gt;=126,10*MIN(1,15*Q2556),0))+((C2565=TRUE)*IF(Inputs!$B$39="pvp",20,(1-Summary!$B$11)*(20)+Summary!$B$11*(0))*IF(AND(Inputs!$B$39&lt;&gt;"pvp",Inputs!$B$44&gt;0),(((R2565-1)*MIN((Skills!T14*(1+Inputs!$B$35/100)),(1/Q2565))+MIN((Skills!T14*(1+Inputs!$B$35/100)),MAX(0,Inputs!$B$44-((R2565-1)*(1/Q2565)))))/Inputs!$B$44),IF(Inputs!$B$39="pvp",MIN((Skills!T14*(1+Inputs!$B$35/100)),15)/15,MIN(1,(Skills!T14*(1+Inputs!$B$35/100))/(1/Q2565)))))+((C2564=TRUE)*IF(Inputs!$B$3&gt;=82,IF(Inputs!$B$39="pvp",20,(1-Summary!$B$11)*(20)+Summary!$B$11*(0)),0)*IF(AND(Inputs!$B$39&lt;&gt;"pvp",Inputs!$B$44&gt;0),(((R2564-1)*MIN((Skills!T13*(1+Inputs!$B$35/100)),(1/Q2564))+MIN((Skills!T13*(1+Inputs!$B$35/100)),MAX(0,Inputs!$B$44-((R2564-1)*(1/Q2564)))))/Inputs!$B$44),IF(Inputs!$B$39="pvp",MIN((Skills!T13*(1+Inputs!$B$35/100)),15)/15,MIN(1,(Skills!T13*(1+Inputs!$B$35/100))/(1/Q2564)))))+(IF(AND(ArtifactsInput!$M$35,Inputs!$B$4&lt;&gt;"Chapter Hunt"),CHOOSE(ArtifactsInput!$N$35+1,15,18,21,24,27,30)*(1-EXP(-(0.2*B2582)*5)),0)+IF(AND(ArtifactsInput!$M$22,Inputs!$B$4&lt;&gt;"Chapter Hunt"),CHOOSE(ArtifactsInput!$N$22+1,10,12,14,16,18,20)*((0*(((0.15*B2582*5))^0/1)+1*(((0.15*B2582*5))^1/1)+2*(((0.15*B2582*5))^2/2)+3*(((0.15*B2582*5))^3/6)+4*(((0.15*B2582*5))^4/24)+5*(((0.15*B2582*5))^5/120))/((((0.15*B2582*5))^0/1)+(((0.15*B2582*5))^1/1)+(((0.15*B2582*5))^2/2)+(((0.15*B2582*5))^3/6)+(((0.15*B2582*5))^4/24)+(((0.15*B2582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2560*(1-MIN(100,(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2560*(MIN(100,(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2560*(1-MIN(100,(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2560*(MIN(100,(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60">
        <f>IF(C2560,(H2560*N2560*IF(AND(Inputs!$B$39&lt;&gt;"pvp",Inputs!$B$44&gt;0),((Skills!G9*((R2560-1)*IF(Skills!H9&gt;0,INT(Skills!I9/Skills!H9+0.000000001),1)+IF(Skills!H9&gt;0,INT(MIN(Skills!I9,MAX(0,MAX(0,Inputs!$B$44-B2587)-((R2560-1)*IF(Inputs!$B$39="pvp",15,MAX(0.1,Skills!D9-IF(TRUE=TRUE,Inputs!$B$33,0))))))/Skills!H9+0.000000001),1)))/Inputs!$B$44),G2560*Q2560))*IF(Inputs!$B$39="pvp",1,(1+(Inputs!$B$22+Skills!Q9+((C2568=TRUE)*F2568*IF(AND(Inputs!$B$39&lt;&gt;"pvp",Inputs!$B$44&gt;0),(((R2568-1)*MIN((Skills!T17*(1+Inputs!$B$35/100)),(1/Q2568))+MIN((Skills!T17*(1+Inputs!$B$35/100)),MAX(0,Inputs!$B$44-((R2568-1)*(1/Q2568)))))/Inputs!$B$44),IF(Inputs!$B$39="pvp",MIN((Skills!T17*(1+Inputs!$B$35/100)),15)/15,MIN(1,(Skills!T17*(1+Inputs!$B$35/100))/(1/Q2568)))))+((C2556=TRUE)*IF(Inputs!$B$3&gt;=126,10*MIN(1,15*Q2556),0))+((C2565=TRUE)*IF(Inputs!$B$39="pvp",20,(1-Summary!$B$11)*(20)+Summary!$B$11*(0))*IF(AND(Inputs!$B$39&lt;&gt;"pvp",Inputs!$B$44&gt;0),(((R2565-1)*MIN((Skills!T14*(1+Inputs!$B$35/100)),(1/Q2565))+MIN((Skills!T14*(1+Inputs!$B$35/100)),MAX(0,Inputs!$B$44-((R2565-1)*(1/Q2565)))))/Inputs!$B$44),IF(Inputs!$B$39="pvp",MIN((Skills!T14*(1+Inputs!$B$35/100)),15)/15,MIN(1,(Skills!T14*(1+Inputs!$B$35/100))/(1/Q2565)))))+((C2564=TRUE)*IF(Inputs!$B$3&gt;=82,IF(Inputs!$B$39="pvp",20,(1-Summary!$B$11)*(20)+Summary!$B$11*(0)),0)*IF(AND(Inputs!$B$39&lt;&gt;"pvp",Inputs!$B$44&gt;0),(((R2564-1)*MIN((Skills!T13*(1+Inputs!$B$35/100)),(1/Q2564))+MIN((Skills!T13*(1+Inputs!$B$35/100)),MAX(0,Inputs!$B$44-((R2564-1)*(1/Q2564)))))/Inputs!$B$44),IF(Inputs!$B$39="pvp",MIN((Skills!T13*(1+Inputs!$B$35/100)),15)/15,MIN(1,(Skills!T13*(1+Inputs!$B$35/100))/(1/Q2564)))))+(IF(AND(ArtifactsInput!$M$35,Inputs!$B$4&lt;&gt;"Chapter Hunt"),CHOOSE(ArtifactsInput!$N$35+1,15,18,21,24,27,30)*(1-EXP(-(0.2*B2582)*5)),0)+IF(AND(ArtifactsInput!$M$22,Inputs!$B$4&lt;&gt;"Chapter Hunt"),CHOOSE(ArtifactsInput!$N$22+1,10,12,14,16,18,20)*((0*(((0.15*B2582*5))^0/1)+1*(((0.15*B2582*5))^1/1)+2*(((0.15*B2582*5))^2/2)+3*(((0.15*B2582*5))^3/6)+4*(((0.15*B2582*5))^4/24)+5*(((0.15*B2582*5))^5/120))/((((0.15*B2582*5))^0/1)+(((0.15*B2582*5))^1/1)+(((0.15*B2582*5))^2/2)+(((0.15*B2582*5))^3/6)+(((0.15*B2582*5))^4/24)+(((0.15*B2582*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61">
      <c r="A2561">
        <f>Skills!A10</f>
        <v/>
      </c>
      <c r="B2561">
        <f>Skills!B10</f>
        <v/>
      </c>
      <c r="C2561">
        <f>Inputs!$B$3&gt;=110</f>
        <v/>
      </c>
      <c r="D2561">
        <f>IF(Skills!C10=1,60+Inputs!$B$26+Inputs!$B$30,IF(Skills!C10=2,90+Inputs!$B$27+Inputs!$B$30,IF(Skills!C10=3,120+Inputs!$B$28+Inputs!$B$30,MAX(0,(Inputs!$B$3-100)*3)+Inputs!$B$29+Inputs!$B$30)))</f>
        <v/>
      </c>
      <c r="E2561">
        <f>INDEX(FactorTable!$B$2:$Y$301, MATCH(ROUND(MIN(300,MAX(1,D2561)),0), FactorTable!$A$2:$A$301,0), Skills!M10+1)</f>
        <v/>
      </c>
      <c r="F2561">
        <f>IF(Skills!N10=TRUE,(Skills!L10/10)*(E2561/1000),Skills!L10/10)+Skills!O10</f>
        <v/>
      </c>
      <c r="G2561">
        <f>Skills!G10*IF(Skills!H10&gt;0,INT(IF(Inputs!$B$39="pvp",MIN(Skills!I10,15),Skills!I10)/Skills!H10+0.000000001),1)</f>
        <v/>
      </c>
      <c r="H2561">
        <f>1-(1-Skills!J10/100)^Skills!K10</f>
        <v/>
      </c>
      <c r="I2561" t="inlineStr">
        <is>
          <t>1</t>
        </is>
      </c>
      <c r="J2561">
        <f>((Inputs!$B$6*(1+Inputs!$B$7/100))+(((Inputs!$B$13*(1+Inputs!$B$14/100))-(Inputs!$B$13*(1+Inputs!$B$14/100)))+0.25*(Inputs!$B$15-Inputs!$B$15))*(1+Inputs!$B$7/100))*(F2561/100)</f>
        <v/>
      </c>
      <c r="K2561">
        <f>J2561*(1+(((Inputs!$B$13+IF(Inputs!$B$3&gt;=38,(10*INDEX(FactorTable!$B$2:$Y$301, MATCH(ROUND(MIN(300,MAX(1,Inputs!$B$3)),0), FactorTable!$A$2:$A$301,0), 23)/1000)/100*(Inputs!$B$8*(1+Inputs!$B$9/100)),0))*(1+Inputs!$B$14/100))*0.01+Inputs!$B$15*0.0025)/100)*(1+Inputs!$B$16/100)*(1+Inputs!$B$17/100)*(5000/(6000+Inputs!$B$43*(1-(Inputs!$B$20+0)/100)))*(1+(Inputs!$B$25+((C2576=TRUE)*(F2576-Calc!F25))+((C2577=TRUE)*(F2577-Calc!F26))+B2586)/100)*(1+(((1+IF(AND(ArtifactsInput!$M$36,IF(Inputs!$B$39="pvp",TRUE,AND(Inputs!$B$39&lt;&gt;"pvp",Inputs!$B$44&gt;0))),CHOOSE(ArtifactsInput!$N$36+1,8,9.6,11.2,12.8,14.4,16),0)/100)*(1+IF(AND(ArtifactsInput!$M$32,Inputs!$B$4&lt;&gt;"Chapter Hunt"),CHOOSE(ArtifactsInput!$N$32+1,8,9.6,11.2,12.8,14.4,16),0)/100)*(1+IF(AND(IF(ArtifactsInput!$M$38,FALSE,TRUE),Inputs!$B$39&lt;&gt;"pvp",Inputs!$B$44&gt;0),CHOOSE(ArtifactsInput!$N$38+1,10,12,14,16,18,20)*(MIN(30,MAX(0,Inputs!$B$44-7))/Inputs!$B$44)*IF(Inputs!$B$4="Chapter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gt;=100),MIN(100,((Inputs!$B$10+0+B2580+(ArtifactsInput!$M$24-ArtifactsInput!$M$24)*CHOOSE(ArtifactsInput!$N$24+1,10,12,14,16,18,20)+IF(ArtifactsInput!$M$10,CHOOSE(ArtifactsInput!$N$10+1,15,18,21,24,27,30)*(IF(Inputs!$B$39="pvp",MIN(15,15)/15,IF(AND(Inputs!$B$39&lt;&gt;"pvp",Inputs!$B$44&gt;0),MIN(15,Inputs!$B$44)/(Inputs!$B$44),0))),0)))-100),0))*CHOOSE(ArtifactsInput!$N$42+1,0.6,0.72,0.84,0.96,1.08,1.2))),Inputs!$B$19+((C2574=TRUE)*(F2574-Calc!F23))+(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gt;=100),CHOOSE(ArtifactsInput!$N$42+1,40,48,56,64,72,80),0))))/100)*((1+(((C2564=TRUE)*F2564*IF(AND(Inputs!$B$39&lt;&gt;"pvp",Inputs!$B$44&gt;0),(((R2564-1)*MIN((Skills!T13*(1+Inputs!$B$35/100)),(1/Q2564))+MIN((Skills!T13*(1+Inputs!$B$35/100)),MAX(0,Inputs!$B$44-((R2564-1)*(1/Q2564)))))/Inputs!$B$44),IF(Inputs!$B$39="pvp",MIN((Skills!T13*(1+Inputs!$B$35/100)),15)/15,MIN(1,(Skills!T13*(1+Inputs!$B$35/100))/(1/Q2564)))))+((C2565=TRUE)*F2565*IF(AND(Inputs!$B$39&lt;&gt;"pvp",Inputs!$B$44&gt;0),(((R2565-1)*MIN((Skills!T14*(1+Inputs!$B$35/100)),(1/Q2565))+MIN((Skills!T14*(1+Inputs!$B$35/100)),MAX(0,Inputs!$B$44-((R2565-1)*(1/Q2565)))))/Inputs!$B$44),IF(Inputs!$B$39="pvp",MIN((Skills!T14*(1+Inputs!$B$35/100)),15)/15,MIN(1,(Skills!T14*(1+Inputs!$B$35/100))/(1/Q2565)))))+((C2566=TRUE)*F2566*IF(AND(Inputs!$B$39&lt;&gt;"pvp",Inputs!$B$44&gt;0),(((R2566-1)*MIN((Skills!T15*(1+Inputs!$B$35/100)),(1/Q2566))+MIN((Skills!T15*(1+Inputs!$B$35/100)),MAX(0,Inputs!$B$44-((R2566-1)*(1/Q2566)))))/Inputs!$B$44),IF(Inputs!$B$39="pvp",MIN((Skills!T15*(1+Inputs!$B$35/100)),15)/15,MIN(1,(Skills!T15*(1+Inputs!$B$35/100))/(1/Q2566)))))+((C2567=TRUE)*F2567*IF(AND(Inputs!$B$39&lt;&gt;"pvp",Inputs!$B$44&gt;0),(((R2567-1)*MIN((Skills!T16*(1+Inputs!$B$35/100)),(1/Q2567))+MIN((Skills!T16*(1+Inputs!$B$35/100)),MAX(0,Inputs!$B$44-((R2567-1)*(1/Q2567)))))/Inputs!$B$44),IF(Inputs!$B$39="pvp",MIN((Skills!T16*(1+Inputs!$B$35/100)),15)/15,MIN(1,(Skills!T16*(1+Inputs!$B$35/100))/(1/Q2567)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2561)</f>
        <v/>
      </c>
      <c r="L2561">
        <f>K2561*(MIN(Inputs!$B$23+((C2573=TRUE)*(F2573-Calc!F22)),(Inputs!$B$24+((C2575=TRUE)*(F2575-Calc!F24))+(IF(ArtifactsInput!$M$15,CHOOSE(ArtifactsInput!$N$15+1,25,30,35,40,45,50)/100*(Inputs!$B$12-Inputs!$B$12),0))))/100+(Inputs!$B$24+((C2575=TRUE)*(F2575-Calc!F24))+(IF(ArtifactsInput!$M$15,CHOOSE(ArtifactsInput!$N$15+1,25,30,35,40,45,50)/100*(Inputs!$B$12-Inputs!$B$12),0)))/100)/2</f>
        <v/>
      </c>
      <c r="M2561">
        <f>L2561*(1+(Inputs!$B$11+0+B2585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561">
        <f>L2561*(1-MIN((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2561*(MIN((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61">
        <f>(1-Summary!$B$11)*T2561+Summary!$B$11*V2561</f>
        <v/>
      </c>
      <c r="P2561">
        <f>IF(B2590=0,0,O2561/B2590)</f>
        <v/>
      </c>
      <c r="Q2561">
        <f>IFERROR(1/IF(Inputs!$B$39="pvp",15,MAX(0.1,Skills!D10-IF(TRUE=TRUE,Inputs!$B$33,0))),0)</f>
        <v/>
      </c>
      <c r="R2561">
        <f>IF(AND(Inputs!$B$39&lt;&gt;"pvp",Inputs!$B$44&gt;0),IF(MAX(0,Inputs!$B$44-B2587)&lt;=0,0,(INT(MAX(0,Inputs!$B$44-B2587)/IF(Inputs!$B$39="pvp",15,MAX(0.1,Skills!D10-IF(TRUE=TRUE,Inputs!$B$33,0))))+1)),0)</f>
        <v/>
      </c>
      <c r="S2561">
        <f>IFERROR(O2561/N2561,0)</f>
        <v/>
      </c>
      <c r="T2561">
        <f>IF(C2561,(H2561*N2561*IF(AND(Inputs!$B$39&lt;&gt;"pvp",Inputs!$B$44&gt;0),((Skills!G10*((R2561-1)*IF(Skills!H10&gt;0,INT(Skills!I10/Skills!H10+0.000000001),1)+IF(Skills!H10&gt;0,INT(MIN(Skills!I10,MAX(0,MAX(0,Inputs!$B$44-B2587)-((R2561-1)*IF(Inputs!$B$39="pvp",15,MAX(0.1,Skills!D10-IF(TRUE=TRUE,Inputs!$B$33,0))))))/Skills!H10+0.000000001),1)))/Inputs!$B$44),G2561*Q2561))*IF(Inputs!$B$39="pvp",1,1+(Inputs!$B$21+0+Skills!P10+((C2568=TRUE)*F2568*IF(AND(Inputs!$B$39&lt;&gt;"pvp",Inputs!$B$44&gt;0),(((R2568-1)*MIN((Skills!T17*(1+Inputs!$B$35/100)),(1/Q2568))+MIN((Skills!T17*(1+Inputs!$B$35/100)),MAX(0,Inputs!$B$44-((R2568-1)*(1/Q2568)))))/Inputs!$B$44),IF(Inputs!$B$39="pvp",MIN((Skills!T17*(1+Inputs!$B$35/100)),15)/15,MIN(1,(Skills!T17*(1+Inputs!$B$35/100))/(1/Q2568)))))+((C2556=TRUE)*IF(Inputs!$B$3&gt;=126,10*MIN(1,15*Q2556),0))+((C2565=TRUE)*IF(Inputs!$B$39="pvp",20,(1-Summary!$B$11)*(20)+Summary!$B$11*(0))*IF(AND(Inputs!$B$39&lt;&gt;"pvp",Inputs!$B$44&gt;0),(((R2565-1)*MIN((Skills!T14*(1+Inputs!$B$35/100)),(1/Q2565))+MIN((Skills!T14*(1+Inputs!$B$35/100)),MAX(0,Inputs!$B$44-((R2565-1)*(1/Q2565)))))/Inputs!$B$44),IF(Inputs!$B$39="pvp",MIN((Skills!T14*(1+Inputs!$B$35/100)),15)/15,MIN(1,(Skills!T14*(1+Inputs!$B$35/100))/(1/Q2565)))))+((C2564=TRUE)*IF(Inputs!$B$3&gt;=82,IF(Inputs!$B$39="pvp",20,(1-Summary!$B$11)*(20)+Summary!$B$11*(0)),0)*IF(AND(Inputs!$B$39&lt;&gt;"pvp",Inputs!$B$44&gt;0),(((R2564-1)*MIN((Skills!T13*(1+Inputs!$B$35/100)),(1/Q2564))+MIN((Skills!T13*(1+Inputs!$B$35/100)),MAX(0,Inputs!$B$44-((R2564-1)*(1/Q2564)))))/Inputs!$B$44),IF(Inputs!$B$39="pvp",MIN((Skills!T13*(1+Inputs!$B$35/100)),15)/15,MIN(1,(Skills!T13*(1+Inputs!$B$35/100))/(1/Q2564)))))+(IF(AND(ArtifactsInput!$M$35,Inputs!$B$4&lt;&gt;"Chapter Hunt"),CHOOSE(ArtifactsInput!$N$35+1,15,18,21,24,27,30)*(1-EXP(-(0.2*B2582)*5)),0)+IF(AND(ArtifactsInput!$M$22,Inputs!$B$4&lt;&gt;"Chapter Hunt"),CHOOSE(ArtifactsInput!$N$22+1,10,12,14,16,18,20)*((0*(((0.15*B2582*5))^0/1)+1*(((0.15*B2582*5))^1/1)+2*(((0.15*B2582*5))^2/2)+3*(((0.15*B2582*5))^3/6)+4*(((0.15*B2582*5))^4/24)+5*(((0.15*B2582*5))^5/120))/((((0.15*B2582*5))^0/1)+(((0.15*B2582*5))^1/1)+(((0.15*B2582*5))^2/2)+(((0.15*B2582*5))^3/6)+(((0.15*B2582*5))^4/24)+(((0.15*B2582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2561*(1-MIN(100,(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2561*(MIN(100,(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2561*(1-MIN(100,(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2561*(MIN(100,(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61">
        <f>IF(C2561,(H2561*N2561*IF(AND(Inputs!$B$39&lt;&gt;"pvp",Inputs!$B$44&gt;0),((Skills!G10*((R2561-1)*IF(Skills!H10&gt;0,INT(Skills!I10/Skills!H10+0.000000001),1)+IF(Skills!H10&gt;0,INT(MIN(Skills!I10,MAX(0,MAX(0,Inputs!$B$44-B2587)-((R2561-1)*IF(Inputs!$B$39="pvp",15,MAX(0.1,Skills!D10-IF(TRUE=TRUE,Inputs!$B$33,0))))))/Skills!H10+0.000000001),1)))/Inputs!$B$44),G2561*Q2561))*IF(Inputs!$B$39="pvp",1,(1+(Inputs!$B$22+Skills!Q10+((C2568=TRUE)*F2568*IF(AND(Inputs!$B$39&lt;&gt;"pvp",Inputs!$B$44&gt;0),(((R2568-1)*MIN((Skills!T17*(1+Inputs!$B$35/100)),(1/Q2568))+MIN((Skills!T17*(1+Inputs!$B$35/100)),MAX(0,Inputs!$B$44-((R2568-1)*(1/Q2568)))))/Inputs!$B$44),IF(Inputs!$B$39="pvp",MIN((Skills!T17*(1+Inputs!$B$35/100)),15)/15,MIN(1,(Skills!T17*(1+Inputs!$B$35/100))/(1/Q2568)))))+((C2556=TRUE)*IF(Inputs!$B$3&gt;=126,10*MIN(1,15*Q2556),0))+((C2565=TRUE)*IF(Inputs!$B$39="pvp",20,(1-Summary!$B$11)*(20)+Summary!$B$11*(0))*IF(AND(Inputs!$B$39&lt;&gt;"pvp",Inputs!$B$44&gt;0),(((R2565-1)*MIN((Skills!T14*(1+Inputs!$B$35/100)),(1/Q2565))+MIN((Skills!T14*(1+Inputs!$B$35/100)),MAX(0,Inputs!$B$44-((R2565-1)*(1/Q2565)))))/Inputs!$B$44),IF(Inputs!$B$39="pvp",MIN((Skills!T14*(1+Inputs!$B$35/100)),15)/15,MIN(1,(Skills!T14*(1+Inputs!$B$35/100))/(1/Q2565)))))+((C2564=TRUE)*IF(Inputs!$B$3&gt;=82,IF(Inputs!$B$39="pvp",20,(1-Summary!$B$11)*(20)+Summary!$B$11*(0)),0)*IF(AND(Inputs!$B$39&lt;&gt;"pvp",Inputs!$B$44&gt;0),(((R2564-1)*MIN((Skills!T13*(1+Inputs!$B$35/100)),(1/Q2564))+MIN((Skills!T13*(1+Inputs!$B$35/100)),MAX(0,Inputs!$B$44-((R2564-1)*(1/Q2564)))))/Inputs!$B$44),IF(Inputs!$B$39="pvp",MIN((Skills!T13*(1+Inputs!$B$35/100)),15)/15,MIN(1,(Skills!T13*(1+Inputs!$B$35/100))/(1/Q2564)))))+(IF(AND(ArtifactsInput!$M$35,Inputs!$B$4&lt;&gt;"Chapter Hunt"),CHOOSE(ArtifactsInput!$N$35+1,15,18,21,24,27,30)*(1-EXP(-(0.2*B2582)*5)),0)+IF(AND(ArtifactsInput!$M$22,Inputs!$B$4&lt;&gt;"Chapter Hunt"),CHOOSE(ArtifactsInput!$N$22+1,10,12,14,16,18,20)*((0*(((0.15*B2582*5))^0/1)+1*(((0.15*B2582*5))^1/1)+2*(((0.15*B2582*5))^2/2)+3*(((0.15*B2582*5))^3/6)+4*(((0.15*B2582*5))^4/24)+5*(((0.15*B2582*5))^5/120))/((((0.15*B2582*5))^0/1)+(((0.15*B2582*5))^1/1)+(((0.15*B2582*5))^2/2)+(((0.15*B2582*5))^3/6)+(((0.15*B2582*5))^4/24)+(((0.15*B2582*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62">
      <c r="A2562">
        <f>Skills!A11</f>
        <v/>
      </c>
      <c r="B2562">
        <f>Skills!B11</f>
        <v/>
      </c>
      <c r="C2562">
        <f>Inputs!$B$3&gt;=100</f>
        <v/>
      </c>
      <c r="D2562">
        <f>IF(Skills!C11=1,60+Inputs!$B$26+Inputs!$B$30,IF(Skills!C11=2,90+Inputs!$B$27+Inputs!$B$30,IF(Skills!C11=3,120+Inputs!$B$28+Inputs!$B$30,MAX(0,(Inputs!$B$3-100)*3)+Inputs!$B$29+Inputs!$B$30)))</f>
        <v/>
      </c>
      <c r="E2562">
        <f>INDEX(FactorTable!$B$2:$Y$301, MATCH(ROUND(MIN(300,MAX(1,D2562)),0), FactorTable!$A$2:$A$301,0), Skills!M11+1)</f>
        <v/>
      </c>
      <c r="F2562">
        <f>IF(Skills!N11=TRUE,(Skills!L11/10)*(E2562/1000),Skills!L11/10)+Skills!O11</f>
        <v/>
      </c>
      <c r="G2562" t="inlineStr"/>
      <c r="H2562" t="inlineStr"/>
      <c r="I2562" t="inlineStr">
        <is>
          <t>1</t>
        </is>
      </c>
      <c r="J2562" t="inlineStr"/>
      <c r="K2562" t="inlineStr"/>
      <c r="L2562" t="inlineStr"/>
      <c r="M2562" t="inlineStr"/>
      <c r="N2562" t="inlineStr"/>
      <c r="O2562" t="inlineStr"/>
      <c r="P2562" t="inlineStr"/>
      <c r="Q2562" t="inlineStr"/>
      <c r="R2562" t="inlineStr"/>
      <c r="S2562" t="inlineStr"/>
    </row>
    <row r="2563">
      <c r="A2563">
        <f>Skills!A12</f>
        <v/>
      </c>
      <c r="B2563">
        <f>Skills!B12</f>
        <v/>
      </c>
      <c r="C2563">
        <f>Inputs!$B$3&gt;=63</f>
        <v/>
      </c>
      <c r="D2563">
        <f>IF(Skills!C12=1,60+Inputs!$B$26+Inputs!$B$30,IF(Skills!C12=2,90+Inputs!$B$27+Inputs!$B$30,IF(Skills!C12=3,120+Inputs!$B$28+Inputs!$B$30,MAX(0,(Inputs!$B$3-100)*3)+Inputs!$B$29+Inputs!$B$30)))</f>
        <v/>
      </c>
      <c r="E2563">
        <f>INDEX(FactorTable!$B$2:$Y$301, MATCH(ROUND(MIN(300,MAX(1,D2563)),0), FactorTable!$A$2:$A$301,0), Skills!M12+1)</f>
        <v/>
      </c>
      <c r="F2563">
        <f>IF(Skills!N12=TRUE,(Skills!L12/10)*(E2563/1000),Skills!L12/10)+Skills!O12</f>
        <v/>
      </c>
      <c r="G2563">
        <f>Skills!G12*IF(Skills!H12&gt;0,INT(IF(Inputs!$B$39="pvp",MIN(Skills!I12,15),Skills!I12)/Skills!H12+0.000000001),1)</f>
        <v/>
      </c>
      <c r="H2563">
        <f>1-(1-Skills!J12/100)^Skills!K12</f>
        <v/>
      </c>
      <c r="I2563" t="inlineStr">
        <is>
          <t>1</t>
        </is>
      </c>
      <c r="J2563">
        <f>((Inputs!$B$6*(1+Inputs!$B$7/100))+(((Inputs!$B$13*(1+Inputs!$B$14/100))-(Inputs!$B$13*(1+Inputs!$B$14/100)))+0.25*(Inputs!$B$15-Inputs!$B$15))*(1+Inputs!$B$7/100))*(F2563/100)</f>
        <v/>
      </c>
      <c r="K2563">
        <f>J2563*(1+(((Inputs!$B$13+IF(Inputs!$B$3&gt;=38,(10*INDEX(FactorTable!$B$2:$Y$301, MATCH(ROUND(MIN(300,MAX(1,Inputs!$B$3)),0), FactorTable!$A$2:$A$301,0), 23)/1000)/100*(Inputs!$B$8*(1+Inputs!$B$9/100)),0))*(1+Inputs!$B$14/100))*0.01+Inputs!$B$15*0.0025)/100)*(1+Inputs!$B$16/100)*(1+Inputs!$B$17/100)*(5000/(6000+Inputs!$B$43*(1-(Inputs!$B$20+0)/100)))*(1+(Inputs!$B$25+((C2576=TRUE)*(F2576-Calc!F25))+((C2577=TRUE)*(F2577-Calc!F26))+B2586)/100)*(1+(((1+IF(AND(ArtifactsInput!$M$36,IF(Inputs!$B$39="pvp",TRUE,AND(Inputs!$B$39&lt;&gt;"pvp",Inputs!$B$44&gt;0))),CHOOSE(ArtifactsInput!$N$36+1,8,9.6,11.2,12.8,14.4,16),0)/100)*(1+IF(AND(ArtifactsInput!$M$32,Inputs!$B$4&lt;&gt;"Chapter Hunt"),CHOOSE(ArtifactsInput!$N$32+1,8,9.6,11.2,12.8,14.4,16),0)/100)*(1+IF(AND(IF(ArtifactsInput!$M$38,FALSE,TRUE),Inputs!$B$39&lt;&gt;"pvp",Inputs!$B$44&gt;0),CHOOSE(ArtifactsInput!$N$38+1,10,12,14,16,18,20)*(MIN(30,MAX(0,Inputs!$B$44-7))/Inputs!$B$44)*IF(Inputs!$B$4="Chapter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2562=TRUE,F2562,0)/100)*(1+(IF(Skills!A12="DARK_IMPALE",Inputs!$B$18+0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gt;=100),MIN(100,((Inputs!$B$10+0+B2580+(ArtifactsInput!$M$24-ArtifactsInput!$M$24)*CHOOSE(ArtifactsInput!$N$24+1,10,12,14,16,18,20)+IF(ArtifactsInput!$M$10,CHOOSE(ArtifactsInput!$N$10+1,15,18,21,24,27,30)*(IF(Inputs!$B$39="pvp",MIN(15,15)/15,IF(AND(Inputs!$B$39&lt;&gt;"pvp",Inputs!$B$44&gt;0),MIN(15,Inputs!$B$44)/(Inputs!$B$44),0))),0)))-100),0))*CHOOSE(ArtifactsInput!$N$42+1,0.6,0.72,0.84,0.96,1.08,1.2))),Inputs!$B$19+((C2574=TRUE)*(F2574-Calc!F23))+(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gt;=100),CHOOSE(ArtifactsInput!$N$42+1,40,48,56,64,72,80),0))))/100)*((1+(((C2564=TRUE)*F2564*IF(AND(Inputs!$B$39&lt;&gt;"pvp",Inputs!$B$44&gt;0),(((R2564-1)*MIN((Skills!T13*(1+Inputs!$B$35/100)),(1/Q2564))+MIN((Skills!T13*(1+Inputs!$B$35/100)),MAX(0,Inputs!$B$44-((R2564-1)*(1/Q2564)))))/Inputs!$B$44),IF(Inputs!$B$39="pvp",MIN((Skills!T13*(1+Inputs!$B$35/100)),15)/15,MIN(1,(Skills!T13*(1+Inputs!$B$35/100))/(1/Q2564)))))+((C2565=TRUE)*F2565*IF(AND(Inputs!$B$39&lt;&gt;"pvp",Inputs!$B$44&gt;0),(((R2565-1)*MIN((Skills!T14*(1+Inputs!$B$35/100)),(1/Q2565))+MIN((Skills!T14*(1+Inputs!$B$35/100)),MAX(0,Inputs!$B$44-((R2565-1)*(1/Q2565)))))/Inputs!$B$44),IF(Inputs!$B$39="pvp",MIN((Skills!T14*(1+Inputs!$B$35/100)),15)/15,MIN(1,(Skills!T14*(1+Inputs!$B$35/100))/(1/Q2565)))))+((C2566=TRUE)*F2566*IF(AND(Inputs!$B$39&lt;&gt;"pvp",Inputs!$B$44&gt;0),(((R2566-1)*MIN((Skills!T15*(1+Inputs!$B$35/100)),(1/Q2566))+MIN((Skills!T15*(1+Inputs!$B$35/100)),MAX(0,Inputs!$B$44-((R2566-1)*(1/Q2566)))))/Inputs!$B$44),IF(Inputs!$B$39="pvp",MIN((Skills!T15*(1+Inputs!$B$35/100)),15)/15,MIN(1,(Skills!T15*(1+Inputs!$B$35/100))/(1/Q2566)))))+((C2567=TRUE)*F2567*IF(AND(Inputs!$B$39&lt;&gt;"pvp",Inputs!$B$44&gt;0),(((R2567-1)*MIN((Skills!T16*(1+Inputs!$B$35/100)),(1/Q2567))+MIN((Skills!T16*(1+Inputs!$B$35/100)),MAX(0,Inputs!$B$44-((R2567-1)*(1/Q2567)))))/Inputs!$B$44),IF(Inputs!$B$39="pvp",MIN((Skills!T16*(1+Inputs!$B$35/100)),15)/15,MIN(1,(Skills!T16*(1+Inputs!$B$35/100))/(1/Q2567)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2563)</f>
        <v/>
      </c>
      <c r="L2563">
        <f>K2563*(MIN(Inputs!$B$23+((C2573=TRUE)*(F2573-Calc!F22)),(Inputs!$B$24+((C2575=TRUE)*(F2575-Calc!F24))+(IF(ArtifactsInput!$M$15,CHOOSE(ArtifactsInput!$N$15+1,25,30,35,40,45,50)/100*(Inputs!$B$12-Inputs!$B$12),0))))/100+(Inputs!$B$24+((C2575=TRUE)*(F2575-Calc!F24))+(IF(ArtifactsInput!$M$15,CHOOSE(ArtifactsInput!$N$15+1,25,30,35,40,45,50)/100*(Inputs!$B$12-Inputs!$B$12),0)))/100)/2</f>
        <v/>
      </c>
      <c r="M2563">
        <f>L2563*(1+(Inputs!$B$11+0+B2585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563">
        <f>L2563*(1-MIN((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2563*(MIN((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63">
        <f>(1-Summary!$B$11)*T2563+Summary!$B$11*V2563</f>
        <v/>
      </c>
      <c r="P2563">
        <f>IF(B2590=0,0,O2563/B2590)</f>
        <v/>
      </c>
      <c r="Q2563">
        <f>IFERROR(1/IF(Inputs!$B$39="pvp",15,MAX(0.1,Skills!D12-IF(TRUE=TRUE,Inputs!$B$33,0))),0)</f>
        <v/>
      </c>
      <c r="R2563">
        <f>IF(AND(Inputs!$B$39&lt;&gt;"pvp",Inputs!$B$44&gt;0),IF(MAX(0,Inputs!$B$44-B2587)&lt;=0,0,(INT(MAX(0,Inputs!$B$44-B2587)/IF(Inputs!$B$39="pvp",15,MAX(0.1,Skills!D12-IF(TRUE=TRUE,Inputs!$B$33,0))))+1)),0)</f>
        <v/>
      </c>
      <c r="S2563">
        <f>IFERROR(O2563/N2563,0)</f>
        <v/>
      </c>
      <c r="T2563">
        <f>IF(C2563,(H2563*N2563*IF(AND(Inputs!$B$39&lt;&gt;"pvp",Inputs!$B$44&gt;0),((Skills!G12*((R2563-1)*IF(Skills!H12&gt;0,INT(Skills!I12/Skills!H12+0.000000001),1)+IF(Skills!H12&gt;0,INT(MIN(Skills!I12,MAX(0,MAX(0,Inputs!$B$44-B2587)-((R2563-1)*IF(Inputs!$B$39="pvp",15,MAX(0.1,Skills!D12-IF(TRUE=TRUE,Inputs!$B$33,0))))))/Skills!H12+0.000000001),1)))/Inputs!$B$44),G2563*Q2563))*IF(Inputs!$B$39="pvp",1,1+(Inputs!$B$21+0+Skills!P12+((C2568=TRUE)*F2568*IF(AND(Inputs!$B$39&lt;&gt;"pvp",Inputs!$B$44&gt;0),(((R2568-1)*MIN((Skills!T17*(1+Inputs!$B$35/100)),(1/Q2568))+MIN((Skills!T17*(1+Inputs!$B$35/100)),MAX(0,Inputs!$B$44-((R2568-1)*(1/Q2568)))))/Inputs!$B$44),IF(Inputs!$B$39="pvp",MIN((Skills!T17*(1+Inputs!$B$35/100)),15)/15,MIN(1,(Skills!T17*(1+Inputs!$B$35/100))/(1/Q2568)))))+((C2556=TRUE)*IF(Inputs!$B$3&gt;=126,10*MIN(1,15*Q2556),0))+((C2565=TRUE)*IF(Inputs!$B$39="pvp",20,(1-Summary!$B$11)*(20)+Summary!$B$11*(0))*IF(AND(Inputs!$B$39&lt;&gt;"pvp",Inputs!$B$44&gt;0),(((R2565-1)*MIN((Skills!T14*(1+Inputs!$B$35/100)),(1/Q2565))+MIN((Skills!T14*(1+Inputs!$B$35/100)),MAX(0,Inputs!$B$44-((R2565-1)*(1/Q2565)))))/Inputs!$B$44),IF(Inputs!$B$39="pvp",MIN((Skills!T14*(1+Inputs!$B$35/100)),15)/15,MIN(1,(Skills!T14*(1+Inputs!$B$35/100))/(1/Q2565)))))+((C2564=TRUE)*IF(Inputs!$B$3&gt;=82,IF(Inputs!$B$39="pvp",20,(1-Summary!$B$11)*(20)+Summary!$B$11*(0)),0)*IF(AND(Inputs!$B$39&lt;&gt;"pvp",Inputs!$B$44&gt;0),(((R2564-1)*MIN((Skills!T13*(1+Inputs!$B$35/100)),(1/Q2564))+MIN((Skills!T13*(1+Inputs!$B$35/100)),MAX(0,Inputs!$B$44-((R2564-1)*(1/Q2564)))))/Inputs!$B$44),IF(Inputs!$B$39="pvp",MIN((Skills!T13*(1+Inputs!$B$35/100)),15)/15,MIN(1,(Skills!T13*(1+Inputs!$B$35/100))/(1/Q2564)))))+(IF(AND(ArtifactsInput!$M$35,Inputs!$B$4&lt;&gt;"Chapter Hunt"),CHOOSE(ArtifactsInput!$N$35+1,15,18,21,24,27,30)*(1-EXP(-(0.2*B2582)*5)),0)+IF(AND(ArtifactsInput!$M$22,Inputs!$B$4&lt;&gt;"Chapter Hunt"),CHOOSE(ArtifactsInput!$N$22+1,10,12,14,16,18,20)*((0*(((0.15*B2582*5))^0/1)+1*(((0.15*B2582*5))^1/1)+2*(((0.15*B2582*5))^2/2)+3*(((0.15*B2582*5))^3/6)+4*(((0.15*B2582*5))^4/24)+5*(((0.15*B2582*5))^5/120))/((((0.15*B2582*5))^0/1)+(((0.15*B2582*5))^1/1)+(((0.15*B2582*5))^2/2)+(((0.15*B2582*5))^3/6)+(((0.15*B2582*5))^4/24)+(((0.15*B2582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2563*(1-MIN(100,(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2563*(MIN(100,(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2563*(1-MIN(100,(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2563*(MIN(100,(Inputs!$B$10+0+B2580+(ArtifactsInput!$M$24-ArtifactsInput!$M$24)*CHOOSE(ArtifactsInput!$N$24+1,10,12,14,16,18,20)+(IF(AND(Inputs!$B$39&lt;&gt;"pvp",Inputs!$B$44=0),1,IF(IF(Inputs!$B$39="pvp",15,Inputs!$B$44)-(B2587)&lt;=0,1,MAX(0,IF(Inputs!$B$39="pvp",15,Inputs!$B$44)-MAX(5,B2587))/(IF(Inputs!$B$39="pvp",15,Inputs!$B$44)-(B2587))))*IF(AND(ArtifactsInput!$M$42,((Inputs!$B$10+0+B2580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63">
        <f>IF(C2563,(H2563*N2563*IF(AND(Inputs!$B$39&lt;&gt;"pvp",Inputs!$B$44&gt;0),((Skills!G12*((R2563-1)*IF(Skills!H12&gt;0,INT(Skills!I12/Skills!H12+0.000000001),1)+IF(Skills!H12&gt;0,INT(MIN(Skills!I12,MAX(0,MAX(0,Inputs!$B$44-B2587)-((R2563-1)*IF(Inputs!$B$39="pvp",15,MAX(0.1,Skills!D12-IF(TRUE=TRUE,Inputs!$B$33,0))))))/Skills!H12+0.000000001),1)))/Inputs!$B$44),G2563*Q2563))*IF(Inputs!$B$39="pvp",1,(1+(Inputs!$B$22+Skills!Q12+((C2568=TRUE)*F2568*IF(AND(Inputs!$B$39&lt;&gt;"pvp",Inputs!$B$44&gt;0),(((R2568-1)*MIN((Skills!T17*(1+Inputs!$B$35/100)),(1/Q2568))+MIN((Skills!T17*(1+Inputs!$B$35/100)),MAX(0,Inputs!$B$44-((R2568-1)*(1/Q2568)))))/Inputs!$B$44),IF(Inputs!$B$39="pvp",MIN((Skills!T17*(1+Inputs!$B$35/100)),15)/15,MIN(1,(Skills!T17*(1+Inputs!$B$35/100))/(1/Q2568)))))+((C2556=TRUE)*IF(Inputs!$B$3&gt;=126,10*MIN(1,15*Q2556),0))+((C2565=TRUE)*IF(Inputs!$B$39="pvp",20,(1-Summary!$B$11)*(20)+Summary!$B$11*(0))*IF(AND(Inputs!$B$39&lt;&gt;"pvp",Inputs!$B$44&gt;0),(((R2565-1)*MIN((Skills!T14*(1+Inputs!$B$35/100)),(1/Q2565))+MIN((Skills!T14*(1+Inputs!$B$35/100)),MAX(0,Inputs!$B$44-((R2565-1)*(1/Q2565)))))/Inputs!$B$44),IF(Inputs!$B$39="pvp",MIN((Skills!T14*(1+Inputs!$B$35/100)),15)/15,MIN(1,(Skills!T14*(1+Inputs!$B$35/100))/(1/Q2565)))))+((C2564=TRUE)*IF(Inputs!$B$3&gt;=82,IF(Inputs!$B$39="pvp",20,(1-Summary!$B$11)*(20)+Summary!$B$11*(0)),0)*IF(AND(Inputs!$B$39&lt;&gt;"pvp",Inputs!$B$44&gt;0),(((R2564-1)*MIN((Skills!T13*(1+Inputs!$B$35/100)),(1/Q2564))+MIN((Skills!T13*(1+Inputs!$B$35/100)),MAX(0,Inputs!$B$44-((R2564-1)*(1/Q2564)))))/Inputs!$B$44),IF(Inputs!$B$39="pvp",MIN((Skills!T13*(1+Inputs!$B$35/100)),15)/15,MIN(1,(Skills!T13*(1+Inputs!$B$35/100))/(1/Q2564)))))+(IF(AND(ArtifactsInput!$M$35,Inputs!$B$4&lt;&gt;"Chapter Hunt"),CHOOSE(ArtifactsInput!$N$35+1,15,18,21,24,27,30)*(1-EXP(-(0.2*B2582)*5)),0)+IF(AND(ArtifactsInput!$M$22,Inputs!$B$4&lt;&gt;"Chapter Hunt"),CHOOSE(ArtifactsInput!$N$22+1,10,12,14,16,18,20)*((0*(((0.15*B2582*5))^0/1)+1*(((0.15*B2582*5))^1/1)+2*(((0.15*B2582*5))^2/2)+3*(((0.15*B2582*5))^3/6)+4*(((0.15*B2582*5))^4/24)+5*(((0.15*B2582*5))^5/120))/((((0.15*B2582*5))^0/1)+(((0.15*B2582*5))^1/1)+(((0.15*B2582*5))^2/2)+(((0.15*B2582*5))^3/6)+(((0.15*B2582*5))^4/24)+(((0.15*B2582*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64">
      <c r="A2564">
        <f>Skills!A13</f>
        <v/>
      </c>
      <c r="B2564">
        <f>Skills!B13</f>
        <v/>
      </c>
      <c r="C2564">
        <f>Inputs!$B$3&gt;=69</f>
        <v/>
      </c>
      <c r="D2564">
        <f>IF(Skills!C13=1,60+Inputs!$B$26+Inputs!$B$30,IF(Skills!C13=2,90+Inputs!$B$27+Inputs!$B$30,IF(Skills!C13=3,120+Inputs!$B$28+Inputs!$B$30,MAX(0,(Inputs!$B$3-100)*3)+Inputs!$B$29+Inputs!$B$30)))</f>
        <v/>
      </c>
      <c r="E2564">
        <f>INDEX(FactorTable!$B$2:$Y$301, MATCH(ROUND(MIN(300,MAX(1,D2564)),0), FactorTable!$A$2:$A$301,0), Skills!M13+1)</f>
        <v/>
      </c>
      <c r="F2564">
        <f>IF(Skills!N13=TRUE,(Skills!L13/10)*(E2564/1000),Skills!L13/10)+Skills!O13</f>
        <v/>
      </c>
      <c r="G2564">
        <f>Skills!G13*IF(Skills!H13&gt;0,INT(IF(Inputs!$B$39="pvp",MIN(Skills!I13,15),Skills!I13)/Skills!H13+0.000000001),1)</f>
        <v/>
      </c>
      <c r="H2564">
        <f>1-(1-Skills!J13/100)^Skills!K13</f>
        <v/>
      </c>
      <c r="I2564" t="inlineStr">
        <is>
          <t>1</t>
        </is>
      </c>
      <c r="J2564" t="inlineStr"/>
      <c r="K2564" t="inlineStr"/>
      <c r="L2564" t="inlineStr"/>
      <c r="M2564" t="inlineStr"/>
      <c r="N2564" t="inlineStr"/>
      <c r="O2564">
        <f>(1-Summary!$B$11)*T2564+Summary!$B$11*V2564</f>
        <v/>
      </c>
      <c r="P2564">
        <f>IF(B2590=0,0,O2564/B2590)</f>
        <v/>
      </c>
      <c r="Q2564">
        <f>IFERROR(1/IF(Inputs!$B$39="pvp",15,MAX(0.1,Skills!D13-IF(TRUE=TRUE,Inputs!$B$33,0))),0)</f>
        <v/>
      </c>
      <c r="R2564">
        <f>IF(AND(Inputs!$B$39&lt;&gt;"pvp",Inputs!$B$44&gt;0),IF(Inputs!$B$44&lt;=0,0,(INT(Inputs!$B$44/IF(Inputs!$B$39="pvp",15,MAX(0.1,Skills!D13-IF(TRUE=TRUE,Inputs!$B$33,0))))+1)),0)</f>
        <v/>
      </c>
      <c r="S2564">
        <f>IFERROR(O2564/N2564,0)</f>
        <v/>
      </c>
      <c r="T2564" t="n">
        <v>0</v>
      </c>
      <c r="V2564" t="n">
        <v>0</v>
      </c>
    </row>
    <row r="2565">
      <c r="A2565">
        <f>Skills!A14</f>
        <v/>
      </c>
      <c r="B2565">
        <f>Skills!B14</f>
        <v/>
      </c>
      <c r="C2565">
        <f>Inputs!$B$3&gt;=115</f>
        <v/>
      </c>
      <c r="D2565">
        <f>IF(Skills!C14=1,60+Inputs!$B$26+Inputs!$B$30,IF(Skills!C14=2,90+Inputs!$B$27+Inputs!$B$30,IF(Skills!C14=3,120+Inputs!$B$28+Inputs!$B$30,MAX(0,(Inputs!$B$3-100)*3)+Inputs!$B$29+Inputs!$B$30)))</f>
        <v/>
      </c>
      <c r="E2565">
        <f>INDEX(FactorTable!$B$2:$Y$301, MATCH(ROUND(MIN(300,MAX(1,D2565)),0), FactorTable!$A$2:$A$301,0), Skills!M14+1)</f>
        <v/>
      </c>
      <c r="F2565">
        <f>IF(Skills!N14=TRUE,(Skills!L14/10)*(E2565/1000),Skills!L14/10)+Skills!O14</f>
        <v/>
      </c>
      <c r="G2565">
        <f>Skills!G14*IF(Skills!H14&gt;0,INT(IF(Inputs!$B$39="pvp",MIN(Skills!I14,15),Skills!I14)/Skills!H14+0.000000001),1)</f>
        <v/>
      </c>
      <c r="H2565">
        <f>1-(1-Skills!J14/100)^Skills!K14</f>
        <v/>
      </c>
      <c r="I2565" t="inlineStr">
        <is>
          <t>1</t>
        </is>
      </c>
      <c r="J2565" t="inlineStr"/>
      <c r="K2565" t="inlineStr"/>
      <c r="L2565" t="inlineStr"/>
      <c r="M2565" t="inlineStr"/>
      <c r="N2565" t="inlineStr"/>
      <c r="O2565">
        <f>(1-Summary!$B$11)*T2565+Summary!$B$11*V2565</f>
        <v/>
      </c>
      <c r="P2565">
        <f>IF(B2590=0,0,O2565/B2590)</f>
        <v/>
      </c>
      <c r="Q2565">
        <f>IFERROR(1/IF(Inputs!$B$39="pvp",15,MAX(0.1,Skills!D14-IF(TRUE=TRUE,Inputs!$B$33,0))),0)</f>
        <v/>
      </c>
      <c r="R2565">
        <f>IF(AND(Inputs!$B$39&lt;&gt;"pvp",Inputs!$B$44&gt;0),IF(Inputs!$B$44&lt;=0,0,(INT(Inputs!$B$44/IF(Inputs!$B$39="pvp",15,MAX(0.1,Skills!D14-IF(TRUE=TRUE,Inputs!$B$33,0))))+1)),0)</f>
        <v/>
      </c>
      <c r="S2565">
        <f>IFERROR(O2565/N2565,0)</f>
        <v/>
      </c>
      <c r="T2565" t="n">
        <v>0</v>
      </c>
      <c r="V2565" t="n">
        <v>0</v>
      </c>
    </row>
    <row r="2566">
      <c r="A2566">
        <f>Skills!A15</f>
        <v/>
      </c>
      <c r="B2566">
        <f>Skills!B15</f>
        <v/>
      </c>
      <c r="C2566">
        <f>Inputs!$B$3&gt;=66</f>
        <v/>
      </c>
      <c r="D2566">
        <f>IF(Skills!C15=1,60+Inputs!$B$26+Inputs!$B$30,IF(Skills!C15=2,90+Inputs!$B$27+Inputs!$B$30,IF(Skills!C15=3,120+Inputs!$B$28+Inputs!$B$30,MAX(0,(Inputs!$B$3-100)*3)+Inputs!$B$29+Inputs!$B$30)))</f>
        <v/>
      </c>
      <c r="E2566">
        <f>INDEX(FactorTable!$B$2:$Y$301, MATCH(ROUND(MIN(300,MAX(1,D2566)),0), FactorTable!$A$2:$A$301,0), Skills!M15+1)</f>
        <v/>
      </c>
      <c r="F2566">
        <f>IF(Skills!N15=TRUE,(Skills!L15/10)*(E2566/1000),Skills!L15/10)+Skills!O15</f>
        <v/>
      </c>
      <c r="G2566">
        <f>Skills!G15*IF(Skills!H15&gt;0,INT(IF(Inputs!$B$39="pvp",MIN(Skills!I15,15),Skills!I15)/Skills!H15+0.000000001),1)</f>
        <v/>
      </c>
      <c r="H2566">
        <f>1-(1-Skills!J15/100)^Skills!K15</f>
        <v/>
      </c>
      <c r="I2566" t="inlineStr">
        <is>
          <t>1</t>
        </is>
      </c>
      <c r="J2566" t="inlineStr"/>
      <c r="K2566" t="inlineStr"/>
      <c r="L2566" t="inlineStr"/>
      <c r="M2566" t="inlineStr"/>
      <c r="N2566" t="inlineStr"/>
      <c r="O2566">
        <f>(1-Summary!$B$11)*T2566+Summary!$B$11*V2566</f>
        <v/>
      </c>
      <c r="P2566">
        <f>IF(B2590=0,0,O2566/B2590)</f>
        <v/>
      </c>
      <c r="Q2566">
        <f>IFERROR(1/IF(Inputs!$B$39="pvp",15,MAX(0.1,Skills!D15-IF(TRUE=TRUE,Inputs!$B$33,0))),0)</f>
        <v/>
      </c>
      <c r="R2566">
        <f>IF(AND(Inputs!$B$39&lt;&gt;"pvp",Inputs!$B$44&gt;0),IF(Inputs!$B$44&lt;=0,0,(INT(Inputs!$B$44/IF(Inputs!$B$39="pvp",15,MAX(0.1,Skills!D15-IF(TRUE=TRUE,Inputs!$B$33,0))))+1)),0)</f>
        <v/>
      </c>
      <c r="S2566">
        <f>IFERROR(O2566/N2566,0)</f>
        <v/>
      </c>
      <c r="T2566" t="n">
        <v>0</v>
      </c>
      <c r="V2566" t="n">
        <v>0</v>
      </c>
    </row>
    <row r="2567">
      <c r="A2567">
        <f>Skills!A16</f>
        <v/>
      </c>
      <c r="B2567">
        <f>Skills!B16</f>
        <v/>
      </c>
      <c r="C2567">
        <f>Inputs!$B$3&gt;=45</f>
        <v/>
      </c>
      <c r="D2567">
        <f>IF(Skills!C16=1,60+Inputs!$B$26+Inputs!$B$30,IF(Skills!C16=2,90+Inputs!$B$27+Inputs!$B$30,IF(Skills!C16=3,120+Inputs!$B$28+Inputs!$B$30,MAX(0,(Inputs!$B$3-100)*3)+Inputs!$B$29+Inputs!$B$30)))</f>
        <v/>
      </c>
      <c r="E2567">
        <f>INDEX(FactorTable!$B$2:$Y$301, MATCH(ROUND(MIN(300,MAX(1,D2567)),0), FactorTable!$A$2:$A$301,0), Skills!M16+1)</f>
        <v/>
      </c>
      <c r="F2567">
        <f>IF(Skills!N16=TRUE,(Skills!L16/10)*(E2567/1000),Skills!L16/10)+Skills!O16</f>
        <v/>
      </c>
      <c r="G2567">
        <f>Skills!G16*IF(Skills!H16&gt;0,INT(IF(Inputs!$B$39="pvp",MIN(Skills!I16,15),Skills!I16)/Skills!H16+0.000000001),1)</f>
        <v/>
      </c>
      <c r="H2567">
        <f>1-(1-Skills!J16/100)^Skills!K16</f>
        <v/>
      </c>
      <c r="I2567" t="inlineStr">
        <is>
          <t>1</t>
        </is>
      </c>
      <c r="J2567" t="inlineStr"/>
      <c r="K2567" t="inlineStr"/>
      <c r="L2567" t="inlineStr"/>
      <c r="M2567" t="inlineStr"/>
      <c r="N2567" t="inlineStr"/>
      <c r="O2567">
        <f>(1-Summary!$B$11)*T2567+Summary!$B$11*V2567</f>
        <v/>
      </c>
      <c r="P2567">
        <f>IF(B2590=0,0,O2567/B2590)</f>
        <v/>
      </c>
      <c r="Q2567">
        <f>IFERROR(1/IF(Inputs!$B$39="pvp",15,MAX(0.1,Skills!D16-IF(TRUE=TRUE,Inputs!$B$33,0))),0)</f>
        <v/>
      </c>
      <c r="R2567">
        <f>IF(AND(Inputs!$B$39&lt;&gt;"pvp",Inputs!$B$44&gt;0),IF(Inputs!$B$44&lt;=0,0,(INT(Inputs!$B$44/IF(Inputs!$B$39="pvp",15,MAX(0.1,Skills!D16-IF(TRUE=TRUE,Inputs!$B$33,0))))+1)),0)</f>
        <v/>
      </c>
      <c r="S2567">
        <f>IFERROR(O2567/N2567,0)</f>
        <v/>
      </c>
      <c r="T2567" t="n">
        <v>0</v>
      </c>
      <c r="V2567" t="n">
        <v>0</v>
      </c>
    </row>
    <row r="2568">
      <c r="A2568">
        <f>Skills!A17</f>
        <v/>
      </c>
      <c r="B2568">
        <f>Skills!B17</f>
        <v/>
      </c>
      <c r="C2568">
        <f>Inputs!$B$3&gt;=35</f>
        <v/>
      </c>
      <c r="D2568">
        <f>IF(Skills!C17=1,60+Inputs!$B$26+Inputs!$B$30,IF(Skills!C17=2,90+Inputs!$B$27+Inputs!$B$30,IF(Skills!C17=3,120+Inputs!$B$28+Inputs!$B$30,MAX(0,(Inputs!$B$3-100)*3)+Inputs!$B$29+Inputs!$B$30)))</f>
        <v/>
      </c>
      <c r="E2568">
        <f>INDEX(FactorTable!$B$2:$Y$301, MATCH(ROUND(MIN(300,MAX(1,D2568)),0), FactorTable!$A$2:$A$301,0), Skills!M17+1)</f>
        <v/>
      </c>
      <c r="F2568">
        <f>IF(Skills!N17=TRUE,(Skills!L17/10)*(E2568/1000),Skills!L17/10)+Skills!O17</f>
        <v/>
      </c>
      <c r="G2568">
        <f>Skills!G17*IF(Skills!H17&gt;0,INT(IF(Inputs!$B$39="pvp",MIN(Skills!I17,15),Skills!I17)/Skills!H17+0.000000001),1)</f>
        <v/>
      </c>
      <c r="H2568">
        <f>1-(1-Skills!J17/100)^Skills!K17</f>
        <v/>
      </c>
      <c r="I2568" t="inlineStr">
        <is>
          <t>1</t>
        </is>
      </c>
      <c r="J2568" t="inlineStr"/>
      <c r="K2568" t="inlineStr"/>
      <c r="L2568" t="inlineStr"/>
      <c r="M2568" t="inlineStr"/>
      <c r="N2568" t="inlineStr"/>
      <c r="O2568">
        <f>(1-Summary!$B$11)*T2568+Summary!$B$11*V2568</f>
        <v/>
      </c>
      <c r="P2568">
        <f>IF(B2590=0,0,O2568/B2590)</f>
        <v/>
      </c>
      <c r="Q2568">
        <f>IFERROR(1/IF(Inputs!$B$39="pvp",15,MAX(0.1,Skills!D17-IF(TRUE=TRUE,Inputs!$B$33,0))),0)</f>
        <v/>
      </c>
      <c r="R2568">
        <f>IF(AND(Inputs!$B$39&lt;&gt;"pvp",Inputs!$B$44&gt;0),IF(Inputs!$B$44&lt;=0,0,(INT(Inputs!$B$44/IF(Inputs!$B$39="pvp",15,MAX(0.1,Skills!D17-IF(TRUE=TRUE,Inputs!$B$33,0))))+1)),0)</f>
        <v/>
      </c>
      <c r="S2568">
        <f>IFERROR(O2568/N2568,0)</f>
        <v/>
      </c>
      <c r="T2568" t="n">
        <v>0</v>
      </c>
      <c r="V2568" t="n">
        <v>0</v>
      </c>
    </row>
    <row r="2569">
      <c r="A2569">
        <f>Skills!A18</f>
        <v/>
      </c>
      <c r="B2569">
        <f>Skills!B18</f>
        <v/>
      </c>
      <c r="C2569">
        <f>Inputs!$B$3&gt;=72</f>
        <v/>
      </c>
      <c r="D2569">
        <f>IF(Skills!C18=1,60+Inputs!$B$26+Inputs!$B$30,IF(Skills!C18=2,90+Inputs!$B$27+Inputs!$B$30,IF(Skills!C18=3,120+Inputs!$B$28+Inputs!$B$30,MAX(0,(Inputs!$B$3-100)*3)+Inputs!$B$29+Inputs!$B$30)))</f>
        <v/>
      </c>
      <c r="E2569">
        <f>INDEX(FactorTable!$B$2:$Y$301, MATCH(ROUND(MIN(300,MAX(1,D2569)),0), FactorTable!$A$2:$A$301,0), Skills!M18+1)</f>
        <v/>
      </c>
      <c r="F2569">
        <f>IF(Skills!N18=TRUE,(Skills!L18/10)*(E2569/1000),Skills!L18/10)+Skills!O18</f>
        <v/>
      </c>
      <c r="G2569">
        <f>Skills!G18*IF(Skills!H18&gt;0,INT(IF(Inputs!$B$39="pvp",MIN(Skills!I18,15),Skills!I18)/Skills!H18+0.000000001),1)</f>
        <v/>
      </c>
      <c r="H2569">
        <f>1-(1-Skills!J18/100)^Skills!K18</f>
        <v/>
      </c>
      <c r="I2569" t="inlineStr">
        <is>
          <t>1</t>
        </is>
      </c>
      <c r="J2569" t="inlineStr"/>
      <c r="K2569" t="inlineStr"/>
      <c r="L2569" t="inlineStr"/>
      <c r="M2569" t="inlineStr"/>
      <c r="N2569" t="inlineStr"/>
      <c r="O2569">
        <f>(1-Summary!$B$11)*T2569+Summary!$B$11*V2569</f>
        <v/>
      </c>
      <c r="P2569">
        <f>IF(B2590=0,0,O2569/B2590)</f>
        <v/>
      </c>
      <c r="Q2569">
        <f>IFERROR(1/IF(Inputs!$B$39="pvp",15,MAX(0.1,Skills!D18-IF(TRUE=TRUE,Inputs!$B$33,0))),0)</f>
        <v/>
      </c>
      <c r="R2569">
        <f>IF(AND(Inputs!$B$39&lt;&gt;"pvp",Inputs!$B$44&gt;0),IF(Inputs!$B$44&lt;=0,0,(INT(Inputs!$B$44/IF(Inputs!$B$39="pvp",15,MAX(0.1,Skills!D18-IF(TRUE=TRUE,Inputs!$B$33,0))))+1)),0)</f>
        <v/>
      </c>
      <c r="S2569">
        <f>IFERROR(O2569/N2569,0)</f>
        <v/>
      </c>
      <c r="T2569" t="n">
        <v>0</v>
      </c>
      <c r="V2569" t="n">
        <v>0</v>
      </c>
    </row>
    <row r="2570">
      <c r="A2570">
        <f>Skills!A19</f>
        <v/>
      </c>
      <c r="B2570">
        <f>Skills!B19</f>
        <v/>
      </c>
      <c r="C2570">
        <f>Inputs!$B$3&gt;=72</f>
        <v/>
      </c>
      <c r="D2570">
        <f>IF(Skills!C19=1,60+Inputs!$B$26+Inputs!$B$30,IF(Skills!C19=2,90+Inputs!$B$27+Inputs!$B$30,IF(Skills!C19=3,120+Inputs!$B$28+Inputs!$B$30,MAX(0,(Inputs!$B$3-100)*3)+Inputs!$B$29+Inputs!$B$30)))</f>
        <v/>
      </c>
      <c r="E2570">
        <f>INDEX(FactorTable!$B$2:$Y$301, MATCH(ROUND(MIN(300,MAX(1,D2570)),0), FactorTable!$A$2:$A$301,0), Skills!M19+1)</f>
        <v/>
      </c>
      <c r="F2570">
        <f>IF(Skills!N19=TRUE,(Skills!L19/10)*(E2570/1000),Skills!L19/10)+Skills!O19</f>
        <v/>
      </c>
      <c r="G2570">
        <f>Skills!G19*IF(Skills!H19&gt;0,INT(IF(Inputs!$B$39="pvp",MIN(Skills!I19,15),Skills!I19)/Skills!H19+0.000000001),1)</f>
        <v/>
      </c>
      <c r="H2570">
        <f>1-(1-Skills!J19/100)^Skills!K19</f>
        <v/>
      </c>
      <c r="I2570" t="inlineStr">
        <is>
          <t>1</t>
        </is>
      </c>
      <c r="J2570" t="inlineStr"/>
      <c r="K2570" t="inlineStr"/>
      <c r="L2570" t="inlineStr"/>
      <c r="M2570" t="inlineStr"/>
      <c r="N2570" t="inlineStr"/>
      <c r="O2570">
        <f>(1-Summary!$B$11)*T2570+Summary!$B$11*V2570</f>
        <v/>
      </c>
      <c r="P2570">
        <f>IF(B2590=0,0,O2570/B2590)</f>
        <v/>
      </c>
      <c r="Q2570">
        <f>IFERROR(1/IF(Inputs!$B$39="pvp",15,MAX(0.1,Skills!D19-IF(TRUE=TRUE,Inputs!$B$33,0))),0)</f>
        <v/>
      </c>
      <c r="R2570">
        <f>IF(AND(Inputs!$B$39&lt;&gt;"pvp",Inputs!$B$44&gt;0),IF(Inputs!$B$44&lt;=0,0,(INT(Inputs!$B$44/IF(Inputs!$B$39="pvp",15,MAX(0.1,Skills!D19-IF(TRUE=TRUE,Inputs!$B$33,0))))+1)),0)</f>
        <v/>
      </c>
      <c r="S2570">
        <f>IFERROR(O2570/N2570,0)</f>
        <v/>
      </c>
      <c r="T2570" t="n">
        <v>0</v>
      </c>
      <c r="V2570" t="n">
        <v>0</v>
      </c>
    </row>
    <row r="2571">
      <c r="A2571">
        <f>Skills!A20</f>
        <v/>
      </c>
      <c r="B2571">
        <f>Skills!B20</f>
        <v/>
      </c>
      <c r="C2571">
        <f>TRUE</f>
        <v/>
      </c>
      <c r="D2571">
        <f>IF(Skills!C20=1,60+Inputs!$B$26+Inputs!$B$30,IF(Skills!C20=2,90+Inputs!$B$27+Inputs!$B$30,IF(Skills!C20=3,120+Inputs!$B$28+Inputs!$B$30,MAX(0,(Inputs!$B$3-100)*3)+Inputs!$B$29+Inputs!$B$30)))</f>
        <v/>
      </c>
      <c r="E2571">
        <f>INDEX(FactorTable!$B$2:$Y$301, MATCH(ROUND(MIN(300,MAX(1,D2571)),0), FactorTable!$A$2:$A$301,0), Skills!M20+1)</f>
        <v/>
      </c>
      <c r="F2571">
        <f>IF(Skills!N20=TRUE,(Skills!L20/10)*(E2571/1000),Skills!L20/10)+Skills!O20</f>
        <v/>
      </c>
      <c r="G2571">
        <f>Skills!G20*IF(Skills!H20&gt;0,INT(IF(Inputs!$B$39="pvp",MIN(Skills!I20,15),Skills!I20)/Skills!H20+0.000000001),1)</f>
        <v/>
      </c>
      <c r="H2571">
        <f>1-(1-Skills!J20/100)^Skills!K20</f>
        <v/>
      </c>
      <c r="I2571" t="inlineStr">
        <is>
          <t>1</t>
        </is>
      </c>
      <c r="J2571" t="inlineStr"/>
      <c r="K2571" t="inlineStr"/>
      <c r="L2571" t="inlineStr"/>
      <c r="M2571" t="inlineStr"/>
      <c r="N2571" t="inlineStr"/>
      <c r="O2571">
        <f>(1-Summary!$B$11)*T2571+Summary!$B$11*V2571</f>
        <v/>
      </c>
      <c r="P2571">
        <f>IF(B2590=0,0,O2571/B2590)</f>
        <v/>
      </c>
      <c r="Q2571">
        <f>IFERROR(1/IF(Inputs!$B$39="pvp",15,MAX(0.1,Skills!D20-IF(TRUE=TRUE,Inputs!$B$33,0))),0)</f>
        <v/>
      </c>
      <c r="R2571">
        <f>IF(AND(Inputs!$B$39&lt;&gt;"pvp",Inputs!$B$44&gt;0),IF(Inputs!$B$44&lt;=0,0,(INT(Inputs!$B$44/IF(Inputs!$B$39="pvp",15,MAX(0.1,Skills!D20-IF(TRUE=TRUE,Inputs!$B$33,0))))+1)),0)</f>
        <v/>
      </c>
      <c r="S2571">
        <f>IFERROR(O2571/N2571,0)</f>
        <v/>
      </c>
      <c r="T2571" t="n">
        <v>0</v>
      </c>
      <c r="V2571" t="n">
        <v>0</v>
      </c>
    </row>
    <row r="2572">
      <c r="A2572">
        <f>Skills!A21</f>
        <v/>
      </c>
      <c r="B2572">
        <f>Skills!B21</f>
        <v/>
      </c>
      <c r="C2572">
        <f>Inputs!$B$3&gt;=33</f>
        <v/>
      </c>
      <c r="D2572">
        <f>IF(Skills!C21=1,60+Inputs!$B$26+Inputs!$B$30,IF(Skills!C21=2,90+Inputs!$B$27+Inputs!$B$30,IF(Skills!C21=3,120+Inputs!$B$28+Inputs!$B$30,MAX(0,(Inputs!$B$3-100)*3)+Inputs!$B$29+Inputs!$B$30)))</f>
        <v/>
      </c>
      <c r="E2572">
        <f>INDEX(FactorTable!$B$2:$Y$301, MATCH(ROUND(MIN(300,MAX(1,D2572)),0), FactorTable!$A$2:$A$301,0), Skills!M21+1)</f>
        <v/>
      </c>
      <c r="F2572">
        <f>IF(Skills!N21=TRUE,(Skills!L21/10)*(E2572/1000),Skills!L21/10)+Skills!O21</f>
        <v/>
      </c>
      <c r="G2572">
        <f>Skills!G21*IF(Skills!H21&gt;0,INT(IF(Inputs!$B$39="pvp",MIN(Skills!I21,15),Skills!I21)/Skills!H21+0.000000001),1)</f>
        <v/>
      </c>
      <c r="H2572">
        <f>1-(1-Skills!J21/100)^Skills!K21</f>
        <v/>
      </c>
      <c r="I2572" t="inlineStr">
        <is>
          <t>1</t>
        </is>
      </c>
      <c r="J2572" t="inlineStr"/>
      <c r="K2572" t="inlineStr"/>
      <c r="L2572" t="inlineStr"/>
      <c r="M2572" t="inlineStr"/>
      <c r="N2572" t="inlineStr"/>
      <c r="O2572">
        <f>(1-Summary!$B$11)*T2572+Summary!$B$11*V2572</f>
        <v/>
      </c>
      <c r="P2572">
        <f>IF(B2590=0,0,O2572/B2590)</f>
        <v/>
      </c>
      <c r="Q2572" t="n">
        <v>0</v>
      </c>
      <c r="R2572" t="n">
        <v>0</v>
      </c>
      <c r="S2572">
        <f>IFERROR(O2572/N2572,0)</f>
        <v/>
      </c>
      <c r="T2572" t="n">
        <v>0</v>
      </c>
      <c r="V2572" t="n">
        <v>0</v>
      </c>
    </row>
    <row r="2573">
      <c r="A2573">
        <f>Skills!A22</f>
        <v/>
      </c>
      <c r="B2573">
        <f>Skills!B22</f>
        <v/>
      </c>
      <c r="C2573">
        <f>Inputs!$B$3&gt;=43</f>
        <v/>
      </c>
      <c r="D2573">
        <f>IF(Skills!C22=1,60+Inputs!$B$26+Inputs!$B$30,IF(Skills!C22=2,90+Inputs!$B$27+Inputs!$B$30,IF(Skills!C22=3,120+Inputs!$B$28+Inputs!$B$30,MAX(0,(Inputs!$B$3-100)*3)+Inputs!$B$29+Inputs!$B$30)))</f>
        <v/>
      </c>
      <c r="E2573">
        <f>INDEX(FactorTable!$B$2:$Y$301, MATCH(ROUND(MIN(300,MAX(1,D2573)),0), FactorTable!$A$2:$A$301,0), Skills!M22+1)</f>
        <v/>
      </c>
      <c r="F2573">
        <f>IF(Skills!N22=TRUE,(Skills!L22/10)*(E2573/1000),Skills!L22/10)+Skills!O22</f>
        <v/>
      </c>
      <c r="G2573">
        <f>Skills!G22*IF(Skills!H22&gt;0,INT(IF(Inputs!$B$39="pvp",MIN(Skills!I22,15),Skills!I22)/Skills!H22+0.000000001),1)</f>
        <v/>
      </c>
      <c r="H2573">
        <f>1-(1-Skills!J22/100)^Skills!K22</f>
        <v/>
      </c>
      <c r="I2573" t="inlineStr">
        <is>
          <t>1</t>
        </is>
      </c>
      <c r="J2573" t="inlineStr"/>
      <c r="K2573" t="inlineStr"/>
      <c r="L2573" t="inlineStr"/>
      <c r="M2573" t="inlineStr"/>
      <c r="N2573" t="inlineStr"/>
      <c r="O2573">
        <f>(1-Summary!$B$11)*T2573+Summary!$B$11*V2573</f>
        <v/>
      </c>
      <c r="P2573">
        <f>IF(B2590=0,0,O2573/B2590)</f>
        <v/>
      </c>
      <c r="Q2573" t="n">
        <v>0</v>
      </c>
      <c r="R2573" t="n">
        <v>0</v>
      </c>
      <c r="S2573">
        <f>IFERROR(O2573/N2573,0)</f>
        <v/>
      </c>
      <c r="T2573" t="n">
        <v>0</v>
      </c>
      <c r="V2573" t="n">
        <v>0</v>
      </c>
    </row>
    <row r="2574">
      <c r="A2574">
        <f>Skills!A23</f>
        <v/>
      </c>
      <c r="B2574">
        <f>Skills!B23</f>
        <v/>
      </c>
      <c r="C2574">
        <f>Inputs!$B$3&gt;=120</f>
        <v/>
      </c>
      <c r="D2574">
        <f>IF(Skills!C23=1,60+Inputs!$B$26+Inputs!$B$30,IF(Skills!C23=2,90+Inputs!$B$27+Inputs!$B$30,IF(Skills!C23=3,120+Inputs!$B$28+Inputs!$B$30,MAX(0,(Inputs!$B$3-100)*3)+Inputs!$B$29+Inputs!$B$30)))</f>
        <v/>
      </c>
      <c r="E2574">
        <f>INDEX(FactorTable!$B$2:$Y$301, MATCH(ROUND(MIN(300,MAX(1,D2574)),0), FactorTable!$A$2:$A$301,0), Skills!M23+1)</f>
        <v/>
      </c>
      <c r="F2574">
        <f>IF(Skills!N23=TRUE,(Skills!L23/10)*(E2574/1000),Skills!L23/10)+Skills!O23</f>
        <v/>
      </c>
      <c r="G2574">
        <f>Skills!G23*IF(Skills!H23&gt;0,INT(IF(Inputs!$B$39="pvp",MIN(Skills!I23,15),Skills!I23)/Skills!H23+0.000000001),1)</f>
        <v/>
      </c>
      <c r="H2574">
        <f>1-(1-Skills!J23/100)^Skills!K23</f>
        <v/>
      </c>
      <c r="I2574" t="inlineStr">
        <is>
          <t>1</t>
        </is>
      </c>
      <c r="J2574" t="inlineStr"/>
      <c r="K2574" t="inlineStr"/>
      <c r="L2574" t="inlineStr"/>
      <c r="M2574" t="inlineStr"/>
      <c r="N2574" t="inlineStr"/>
      <c r="O2574">
        <f>(1-Summary!$B$11)*T2574+Summary!$B$11*V2574</f>
        <v/>
      </c>
      <c r="P2574">
        <f>IF(B2590=0,0,O2574/B2590)</f>
        <v/>
      </c>
      <c r="Q2574" t="n">
        <v>0</v>
      </c>
      <c r="R2574" t="n">
        <v>0</v>
      </c>
      <c r="S2574">
        <f>IFERROR(O2574/N2574,0)</f>
        <v/>
      </c>
      <c r="T2574" t="n">
        <v>0</v>
      </c>
      <c r="V2574" t="n">
        <v>0</v>
      </c>
    </row>
    <row r="2575">
      <c r="A2575">
        <f>Skills!A24</f>
        <v/>
      </c>
      <c r="B2575">
        <f>Skills!B24</f>
        <v/>
      </c>
      <c r="C2575">
        <f>Inputs!$B$3&gt;=120</f>
        <v/>
      </c>
      <c r="D2575">
        <f>IF(Skills!C24=1,60+Inputs!$B$26+Inputs!$B$30,IF(Skills!C24=2,90+Inputs!$B$27+Inputs!$B$30,IF(Skills!C24=3,120+Inputs!$B$28+Inputs!$B$30,MAX(0,(Inputs!$B$3-100)*3)+Inputs!$B$29+Inputs!$B$30)))</f>
        <v/>
      </c>
      <c r="E2575">
        <f>INDEX(FactorTable!$B$2:$Y$301, MATCH(ROUND(MIN(300,MAX(1,D2575)),0), FactorTable!$A$2:$A$301,0), Skills!M24+1)</f>
        <v/>
      </c>
      <c r="F2575">
        <f>IF(Skills!N24=TRUE,(Skills!L24/10)*(E2575/1000),Skills!L24/10)+Skills!O24</f>
        <v/>
      </c>
      <c r="G2575">
        <f>Skills!G24*IF(Skills!H24&gt;0,INT(IF(Inputs!$B$39="pvp",MIN(Skills!I24,15),Skills!I24)/Skills!H24+0.000000001),1)</f>
        <v/>
      </c>
      <c r="H2575">
        <f>1-(1-Skills!J24/100)^Skills!K24</f>
        <v/>
      </c>
      <c r="I2575" t="inlineStr">
        <is>
          <t>1</t>
        </is>
      </c>
      <c r="J2575" t="inlineStr"/>
      <c r="K2575" t="inlineStr"/>
      <c r="L2575" t="inlineStr"/>
      <c r="M2575" t="inlineStr"/>
      <c r="N2575" t="inlineStr"/>
      <c r="O2575">
        <f>(1-Summary!$B$11)*T2575+Summary!$B$11*V2575</f>
        <v/>
      </c>
      <c r="P2575">
        <f>IF(B2590=0,0,O2575/B2590)</f>
        <v/>
      </c>
      <c r="Q2575" t="n">
        <v>0</v>
      </c>
      <c r="R2575" t="n">
        <v>0</v>
      </c>
      <c r="S2575">
        <f>IFERROR(O2575/N2575,0)</f>
        <v/>
      </c>
      <c r="T2575" t="n">
        <v>0</v>
      </c>
      <c r="V2575" t="n">
        <v>0</v>
      </c>
    </row>
    <row r="2576">
      <c r="A2576">
        <f>Skills!A25</f>
        <v/>
      </c>
      <c r="B2576">
        <f>Skills!B25</f>
        <v/>
      </c>
      <c r="C2576">
        <f>Inputs!$B$3&gt;=125</f>
        <v/>
      </c>
      <c r="D2576">
        <f>IF(Skills!C25=1,60+Inputs!$B$26+Inputs!$B$30,IF(Skills!C25=2,90+Inputs!$B$27+Inputs!$B$30,IF(Skills!C25=3,120+Inputs!$B$28+Inputs!$B$30,MAX(0,(Inputs!$B$3-100)*3)+Inputs!$B$29+Inputs!$B$30)))</f>
        <v/>
      </c>
      <c r="E2576">
        <f>INDEX(FactorTable!$B$2:$Y$301, MATCH(ROUND(MIN(300,MAX(1,D2576)),0), FactorTable!$A$2:$A$301,0), Skills!M25+1)</f>
        <v/>
      </c>
      <c r="F2576">
        <f>IF(Skills!N25=TRUE,(Skills!L25/10)*(E2576/1000),Skills!L25/10)+Skills!O25</f>
        <v/>
      </c>
      <c r="G2576">
        <f>Skills!G25*IF(Skills!H25&gt;0,INT(IF(Inputs!$B$39="pvp",MIN(Skills!I25,15),Skills!I25)/Skills!H25+0.000000001),1)</f>
        <v/>
      </c>
      <c r="H2576">
        <f>1-(1-Skills!J25/100)^Skills!K25</f>
        <v/>
      </c>
      <c r="I2576" t="inlineStr">
        <is>
          <t>1</t>
        </is>
      </c>
      <c r="J2576" t="inlineStr"/>
      <c r="K2576" t="inlineStr"/>
      <c r="L2576" t="inlineStr"/>
      <c r="M2576" t="inlineStr"/>
      <c r="N2576" t="inlineStr"/>
      <c r="O2576">
        <f>(1-Summary!$B$11)*T2576+Summary!$B$11*V2576</f>
        <v/>
      </c>
      <c r="P2576">
        <f>IF(B2590=0,0,O2576/B2590)</f>
        <v/>
      </c>
      <c r="Q2576" t="n">
        <v>0</v>
      </c>
      <c r="R2576" t="n">
        <v>0</v>
      </c>
      <c r="S2576">
        <f>IFERROR(O2576/N2576,0)</f>
        <v/>
      </c>
      <c r="T2576" t="n">
        <v>0</v>
      </c>
      <c r="V2576" t="n">
        <v>0</v>
      </c>
    </row>
    <row r="2577">
      <c r="A2577">
        <f>Skills!A26</f>
        <v/>
      </c>
      <c r="B2577">
        <f>Skills!B26</f>
        <v/>
      </c>
      <c r="C2577">
        <f>Inputs!$B$3&gt;=107</f>
        <v/>
      </c>
      <c r="D2577">
        <f>IF(Skills!C26=1,60+Inputs!$B$26+Inputs!$B$30,IF(Skills!C26=2,90+Inputs!$B$27+Inputs!$B$30,IF(Skills!C26=3,120+Inputs!$B$28+Inputs!$B$30,MAX(0,(Inputs!$B$3-100)*3)+Inputs!$B$29+Inputs!$B$30)))</f>
        <v/>
      </c>
      <c r="E2577">
        <f>INDEX(FactorTable!$B$2:$Y$301, MATCH(ROUND(MIN(300,MAX(1,D2577)),0), FactorTable!$A$2:$A$301,0), Skills!M26+1)</f>
        <v/>
      </c>
      <c r="F2577">
        <f>IF(Skills!N26=TRUE,(Skills!L26/10)*(E2577/1000),Skills!L26/10)+Skills!O26</f>
        <v/>
      </c>
      <c r="G2577">
        <f>Skills!G26*IF(Skills!H26&gt;0,INT(IF(Inputs!$B$39="pvp",MIN(Skills!I26,15),Skills!I26)/Skills!H26+0.000000001),1)</f>
        <v/>
      </c>
      <c r="H2577">
        <f>1-(1-Skills!J26/100)^Skills!K26</f>
        <v/>
      </c>
      <c r="I2577" t="inlineStr">
        <is>
          <t>1</t>
        </is>
      </c>
      <c r="J2577" t="inlineStr"/>
      <c r="K2577" t="inlineStr"/>
      <c r="L2577" t="inlineStr"/>
      <c r="M2577" t="inlineStr"/>
      <c r="N2577" t="inlineStr"/>
      <c r="O2577">
        <f>(1-Summary!$B$11)*T2577+Summary!$B$11*V2577</f>
        <v/>
      </c>
      <c r="P2577">
        <f>IF(B2590=0,0,O2577/B2590)</f>
        <v/>
      </c>
      <c r="Q2577" t="n">
        <v>0</v>
      </c>
      <c r="R2577" t="n">
        <v>0</v>
      </c>
      <c r="S2577">
        <f>IFERROR(O2577/N2577,0)</f>
        <v/>
      </c>
      <c r="T2577" t="n">
        <v>0</v>
      </c>
      <c r="V2577" t="n">
        <v>0</v>
      </c>
    </row>
    <row r="2579">
      <c r="A2579" t="inlineStr">
        <is>
          <t>Attack% Bucket Multiplier</t>
        </is>
      </c>
      <c r="B2579">
        <f>(1+(((C2564=TRUE)*F2564*IF(AND(Inputs!$B$39&lt;&gt;"pvp",Inputs!$B$44&gt;0),(((R2564-1)*MIN((Skills!T13*(1+Inputs!$B$35/100)),(1/Q2564))+MIN((Skills!T13*(1+Inputs!$B$35/100)),MAX(0,Inputs!$B$44-((R2564-1)*(1/Q2564)))))/Inputs!$B$44),IF(Inputs!$B$39="pvp",MIN((Skills!T13*(1+Inputs!$B$35/100)),15)/15,MIN(1,(Skills!T13*(1+Inputs!$B$35/100))/(1/Q2564)))))+((C2565=TRUE)*F2565*IF(AND(Inputs!$B$39&lt;&gt;"pvp",Inputs!$B$44&gt;0),(((R2565-1)*MIN((Skills!T14*(1+Inputs!$B$35/100)),(1/Q2565))+MIN((Skills!T14*(1+Inputs!$B$35/100)),MAX(0,Inputs!$B$44-((R2565-1)*(1/Q2565)))))/Inputs!$B$44),IF(Inputs!$B$39="pvp",MIN((Skills!T14*(1+Inputs!$B$35/100)),15)/15,MIN(1,(Skills!T14*(1+Inputs!$B$35/100))/(1/Q2565)))))+((C2566=TRUE)*F2566*IF(AND(Inputs!$B$39&lt;&gt;"pvp",Inputs!$B$44&gt;0),(((R2566-1)*MIN((Skills!T15*(1+Inputs!$B$35/100)),(1/Q2566))+MIN((Skills!T15*(1+Inputs!$B$35/100)),MAX(0,Inputs!$B$44-((R2566-1)*(1/Q2566)))))/Inputs!$B$44),IF(Inputs!$B$39="pvp",MIN((Skills!T15*(1+Inputs!$B$35/100)),15)/15,MIN(1,(Skills!T15*(1+Inputs!$B$35/100))/(1/Q2566)))))+((C2567=TRUE)*F2567*IF(AND(Inputs!$B$39&lt;&gt;"pvp",Inputs!$B$44&gt;0),(((R2567-1)*MIN((Skills!T16*(1+Inputs!$B$35/100)),(1/Q2567))+MIN((Skills!T16*(1+Inputs!$B$35/100)),MAX(0,Inputs!$B$44-((R2567-1)*(1/Q2567)))))/Inputs!$B$44),IF(Inputs!$B$39="pvp",MIN((Skills!T16*(1+Inputs!$B$35/100)),15)/15,MIN(1,(Skills!T16*(1+Inputs!$B$35/100))/(1/Q2567)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2580">
      <c r="A2580" t="inlineStr">
        <is>
          <t>Global Crit Rate Bonus % (Lord of Darkness)</t>
        </is>
      </c>
      <c r="B2580">
        <f>((C2569=TRUE)*F2569*(Skills!J18/100)*IF(AND(Inputs!$B$39&lt;&gt;"pvp",Inputs!$B$44&gt;0),(((R2569-1)*MIN((Skills!T18*(1+Inputs!$B$35/100)),(1/Q2569))+MIN((Skills!T18*(1+Inputs!$B$35/100)),MAX(0,Inputs!$B$44-((R2569-1)*(1/Q2569)))))/Inputs!$B$44),IF(Inputs!$B$39="pvp",MIN((Skills!T18*(1+Inputs!$B$35/100)),15)/15,MIN(1,(Skills!T18*(1+Inputs!$B$35/100))/(1/Q2569)))))</f>
        <v/>
      </c>
    </row>
    <row r="2581">
      <c r="A2581" t="inlineStr">
        <is>
          <t>Attack Speed Buff Bonus %</t>
        </is>
      </c>
      <c r="B2581">
        <f>((C2571=TRUE)*F2571*IF(AND(Inputs!$B$39&lt;&gt;"pvp",Inputs!$B$44&gt;0),(((R2571-1)*MIN((Skills!T20*(1+Inputs!$B$35/100)),(1/Q2571))+MIN((Skills!T20*(1+Inputs!$B$35/100)),MAX(0,Inputs!$B$44-((R2571-1)*(1/Q2571)))))/Inputs!$B$44),IF(Inputs!$B$39="pvp",MIN((Skills!T20*(1+Inputs!$B$35/100)),15)/15,MIN(1,(Skills!T20*(1+Inputs!$B$35/100))/(1/Q2571)))))</f>
        <v/>
      </c>
    </row>
    <row r="2582">
      <c r="A2582" t="inlineStr">
        <is>
          <t>Actions Per Second</t>
        </is>
      </c>
      <c r="B2582">
        <f>1+MIN(150,150*(1-(1-(Inputs!$B$12+((C2572=TRUE)*(F2572-Calc!F21)))/150)*(1-B2581/150)))/100</f>
        <v/>
      </c>
    </row>
    <row r="2583">
      <c r="A2583" t="inlineStr">
        <is>
          <t>Skill + Buff Cast Rate</t>
        </is>
      </c>
      <c r="B2583">
        <f>IF(AND(Inputs!$B$39&lt;&gt;"pvp",Inputs!$B$44&gt;0),SUMPRODUCT((Skills!E2:E26=TRUE)*(C2553:C2577=TRUE)*R2553:R2577*Skills!F2:F26)/Inputs!$B$44,SUMPRODUCT((Skills!E2:E26=TRUE)*(C2553:C2577=TRUE)*Q2553:Q2577*Skills!F2:F26))</f>
        <v/>
      </c>
    </row>
    <row r="2584">
      <c r="A2584" t="inlineStr">
        <is>
          <t>Dark Impale Casts Per Second</t>
        </is>
      </c>
      <c r="B2584">
        <f>MAX(0,B2582-B2583)</f>
        <v/>
      </c>
    </row>
    <row r="2585">
      <c r="A2585" t="inlineStr">
        <is>
          <t>Global Critical Damage Bonus % (Lord of Darkness)</t>
        </is>
      </c>
      <c r="B2585">
        <f>((C2570=TRUE)*F2570*(Skills!J19/100)*IF(AND(Inputs!$B$39&lt;&gt;"pvp",Inputs!$B$44&gt;0),(((R2570-1)*MIN((Skills!T19*(1+Inputs!$B$35/100)),(1/Q2570))+MIN((Skills!T19*(1+Inputs!$B$35/100)),MAX(0,Inputs!$B$44-((R2570-1)*(1/Q2570)))))/Inputs!$B$44),IF(Inputs!$B$39="pvp",MIN((Skills!T19*(1+Inputs!$B$35/100)),15)/15,MIN(1,(Skills!T19*(1+Inputs!$B$35/100))/(1/Q2570)))))</f>
        <v/>
      </c>
    </row>
    <row r="2586">
      <c r="A2586" t="inlineStr">
        <is>
          <t>Global Final Damage Bonus % (unused)</t>
        </is>
      </c>
      <c r="B2586" t="n">
        <v>0</v>
      </c>
    </row>
    <row r="2587">
      <c r="A2587" t="inlineStr">
        <is>
          <t>Buff-Casting Startup Delay (s, fixed-duration only)</t>
        </is>
      </c>
      <c r="B2587">
        <f>IF(AND(Inputs!$B$39&lt;&gt;"pvp",Inputs!$B$44&gt;0),SUMPRODUCT((Skills!T2:T26&gt;0)*(Skills!E2:E26=TRUE)*(C2553:C2577=TRUE))/B2582,0)</f>
        <v/>
      </c>
    </row>
    <row r="2588">
      <c r="A2588" t="inlineStr">
        <is>
          <t>Boss-Only Total DPS (this block's swept value)</t>
        </is>
      </c>
      <c r="B2588">
        <f>SUM(T2553:T2577)</f>
        <v/>
      </c>
    </row>
    <row r="2589">
      <c r="A2589" t="inlineStr">
        <is>
          <t>Normal-Only Total DPS (this block's swept value)</t>
        </is>
      </c>
      <c r="B2589">
        <f>SUM(V2553:V2577)</f>
        <v/>
      </c>
    </row>
    <row r="2590">
      <c r="A2590" s="6" t="inlineStr">
        <is>
          <t>TOTAL DPS</t>
        </is>
      </c>
      <c r="B2590" s="6">
        <f>SUM(O2553:O2577)</f>
        <v/>
      </c>
    </row>
    <row r="2593">
      <c r="A2593" s="6" t="inlineStr">
        <is>
          <t>Stat: Cursed Doll (Equip)</t>
        </is>
      </c>
    </row>
    <row r="2594">
      <c r="A2594" s="5" t="inlineStr">
        <is>
          <t>Key</t>
        </is>
      </c>
      <c r="B2594" s="5" t="inlineStr">
        <is>
          <t>Name</t>
        </is>
      </c>
      <c r="C2594" s="5" t="inlineStr">
        <is>
          <t>Unlocked</t>
        </is>
      </c>
      <c r="D2594" s="5" t="inlineStr">
        <is>
          <t>InputLevel</t>
        </is>
      </c>
      <c r="E2594" s="5" t="inlineStr">
        <is>
          <t>Factor</t>
        </is>
      </c>
      <c r="F2594" s="5" t="inlineStr">
        <is>
          <t>CoefficientPercent</t>
        </is>
      </c>
      <c r="G2594" s="5" t="inlineStr">
        <is>
          <t>EffectiveHits</t>
        </is>
      </c>
      <c r="H2594" s="5" t="inlineStr">
        <is>
          <t>ProcProbability</t>
        </is>
      </c>
      <c r="I2594" s="5" t="inlineStr">
        <is>
          <t>MapleHeroMultiplier</t>
        </is>
      </c>
      <c r="J2594" s="5" t="inlineStr">
        <is>
          <t>BaseDamage</t>
        </is>
      </c>
      <c r="K2594" s="5" t="inlineStr">
        <is>
          <t>BaseHitDamage</t>
        </is>
      </c>
      <c r="L2594" s="5" t="inlineStr">
        <is>
          <t>NonCritAvg</t>
        </is>
      </c>
      <c r="M2594" s="5" t="inlineStr">
        <is>
          <t>CritAvg</t>
        </is>
      </c>
      <c r="N2594" s="5" t="inlineStr">
        <is>
          <t>ExpectedDamage(perHit)</t>
        </is>
      </c>
      <c r="O2594" s="5" t="inlineStr">
        <is>
          <t>DPS</t>
        </is>
      </c>
      <c r="P2594" s="5" t="inlineStr">
        <is>
          <t>% of Total</t>
        </is>
      </c>
      <c r="Q2594" s="5" t="inlineStr">
        <is>
          <t>InvCooldown</t>
        </is>
      </c>
      <c r="R2594" s="5" t="inlineStr">
        <is>
          <t>CastsInFight</t>
        </is>
      </c>
      <c r="S2594" s="5" t="inlineStr">
        <is>
          <t>HitRate(perSec)</t>
        </is>
      </c>
      <c r="U2594" t="inlineStr">
        <is>
          <t>helpers</t>
        </is>
      </c>
    </row>
    <row r="2595">
      <c r="A2595">
        <f>Skills!A2</f>
        <v/>
      </c>
      <c r="B2595">
        <f>Skills!B2</f>
        <v/>
      </c>
      <c r="C2595">
        <f>Inputs!$B$3&gt;=100</f>
        <v/>
      </c>
      <c r="D2595" t="inlineStr"/>
      <c r="E2595" t="inlineStr"/>
      <c r="F2595">
        <f>U2597+Skills!O2</f>
        <v/>
      </c>
      <c r="G2595">
        <f>Skills!G2*IF(Skills!H2&gt;0,INT(IF(Inputs!$B$39="pvp",MIN(Skills!I2,15),Skills!I2)/Skills!H2+0.000000001),1)</f>
        <v/>
      </c>
      <c r="H2595">
        <f>1-(1-Skills!J2/100)^Skills!K2</f>
        <v/>
      </c>
      <c r="I2595" t="inlineStr">
        <is>
          <t>1</t>
        </is>
      </c>
      <c r="J2595">
        <f>((Inputs!$B$6*(1+Inputs!$B$7/100))+(((Inputs!$B$13*(1+Inputs!$B$14/100))-(Inputs!$B$13*(1+Inputs!$B$14/100)))+0.25*(Inputs!$B$15-Inputs!$B$15))*(1+Inputs!$B$7/100))*(F2595/100)</f>
        <v/>
      </c>
      <c r="K2595">
        <f>J2595*(1+(((Inputs!$B$13+IF(Inputs!$B$3&gt;=38,(10*INDEX(FactorTable!$B$2:$Y$301, MATCH(ROUND(MIN(300,MAX(1,Inputs!$B$3)),0), FactorTable!$A$2:$A$301,0), 23)/1000)/100*(Inputs!$B$8*(1+Inputs!$B$9/100)),0))*(1+Inputs!$B$14/100))*0.01+Inputs!$B$15*0.0025)/100)*(1+Inputs!$B$16/100)*(1+Inputs!$B$17/100)*(5000/(6000+Inputs!$B$43*(1-(Inputs!$B$20+0)/100)))*(1+(Inputs!$B$25+((C2618=TRUE)*(F2618-Calc!F25))+((C2619=TRUE)*(F2619-Calc!F26))+B2628)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gt;=100),MIN(100,((Inputs!$B$10+0+B2622+(ArtifactsInput!$M$24-ArtifactsInput!$M$24)*CHOOSE(ArtifactsInput!$N$24+1,10,12,14,16,18,20)+IF(ArtifactsInput!$M$10,CHOOSE(ArtifactsInput!$N$10+1,15,18,21,24,27,30)*(IF(Inputs!$B$39="pvp",MIN(15,15)/15,IF(AND(Inputs!$B$39&lt;&gt;"pvp",Inputs!$B$44&gt;0),MIN(15,Inputs!$B$44)/(Inputs!$B$44),0))),0)))-100),0))*CHOOSE(ArtifactsInput!$N$42+1,0.6,0.72,0.84,0.96,1.08,1.2))),Inputs!$B$19+((C2616=TRUE)*(F2616-Calc!F23))+(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gt;=100),CHOOSE(ArtifactsInput!$N$42+1,40,48,56,64,72,80),0))))/100)*((1+(((C2606=TRUE)*F2606*IF(AND(Inputs!$B$39&lt;&gt;"pvp",Inputs!$B$44&gt;0),(((R2606-1)*MIN((Skills!T13*(1+Inputs!$B$35/100)),(1/Q2606))+MIN((Skills!T13*(1+Inputs!$B$35/100)),MAX(0,Inputs!$B$44-((R2606-1)*(1/Q2606)))))/Inputs!$B$44),IF(Inputs!$B$39="pvp",MIN((Skills!T13*(1+Inputs!$B$35/100)),15)/15,MIN(1,(Skills!T13*(1+Inputs!$B$35/100))/(1/Q2606)))))+((C2607=TRUE)*F2607*IF(AND(Inputs!$B$39&lt;&gt;"pvp",Inputs!$B$44&gt;0),(((R2607-1)*MIN((Skills!T14*(1+Inputs!$B$35/100)),(1/Q2607))+MIN((Skills!T14*(1+Inputs!$B$35/100)),MAX(0,Inputs!$B$44-((R2607-1)*(1/Q2607)))))/Inputs!$B$44),IF(Inputs!$B$39="pvp",MIN((Skills!T14*(1+Inputs!$B$35/100)),15)/15,MIN(1,(Skills!T14*(1+Inputs!$B$35/100))/(1/Q2607)))))+((C2608=TRUE)*F2608*IF(AND(Inputs!$B$39&lt;&gt;"pvp",Inputs!$B$44&gt;0),(((R2608-1)*MIN((Skills!T15*(1+Inputs!$B$35/100)),(1/Q2608))+MIN((Skills!T15*(1+Inputs!$B$35/100)),MAX(0,Inputs!$B$44-((R2608-1)*(1/Q2608)))))/Inputs!$B$44),IF(Inputs!$B$39="pvp",MIN((Skills!T15*(1+Inputs!$B$35/100)),15)/15,MIN(1,(Skills!T15*(1+Inputs!$B$35/100))/(1/Q2608)))))+((C2609=TRUE)*F2609*IF(AND(Inputs!$B$39&lt;&gt;"pvp",Inputs!$B$44&gt;0),(((R2609-1)*MIN((Skills!T16*(1+Inputs!$B$35/100)),(1/Q2609))+MIN((Skills!T16*(1+Inputs!$B$35/100)),MAX(0,Inputs!$B$44-((R2609-1)*(1/Q2609)))))/Inputs!$B$44),IF(Inputs!$B$39="pvp",MIN((Skills!T16*(1+Inputs!$B$35/100)),15)/15,MIN(1,(Skills!T16*(1+Inputs!$B$35/100))/(1/Q2609)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2595)</f>
        <v/>
      </c>
      <c r="L2595">
        <f>K2595*(MIN(Inputs!$B$23+((C2615=TRUE)*(F2615-Calc!F22)),(Inputs!$B$24+((C2617=TRUE)*(F2617-Calc!F24))+(IF(ArtifactsInput!$M$15,CHOOSE(ArtifactsInput!$N$15+1,25,30,35,40,45,50)/100*(Inputs!$B$12-Inputs!$B$12),0))))/100+(Inputs!$B$24+((C2617=TRUE)*(F2617-Calc!F24))+(IF(ArtifactsInput!$M$15,CHOOSE(ArtifactsInput!$N$15+1,25,30,35,40,45,50)/100*(Inputs!$B$12-Inputs!$B$12),0)))/100)/2</f>
        <v/>
      </c>
      <c r="M2595">
        <f>L2595*(1+(Inputs!$B$11+0+B2627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595">
        <f>L2595*(1-MIN((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2595*(MIN((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95">
        <f>(1-Summary!$B$11)*T2595+Summary!$B$11*V2595</f>
        <v/>
      </c>
      <c r="P2595">
        <f>IF(B2632=0,0,O2595/B2632)</f>
        <v/>
      </c>
      <c r="Q2595" t="n">
        <v>0</v>
      </c>
      <c r="R2595" t="n">
        <v>0</v>
      </c>
      <c r="S2595">
        <f>IFERROR(O2595/N2595,0)</f>
        <v/>
      </c>
      <c r="T2595">
        <f>IF(C2595,(Skills!G2*N2595*B2626)*IF(Inputs!$B$39="pvp",1,1+(Inputs!$B$21+0+Skills!P2+((C2610=TRUE)*F2610*IF(AND(Inputs!$B$39&lt;&gt;"pvp",Inputs!$B$44&gt;0),(((R2610-1)*MIN((Skills!T17*(1+Inputs!$B$35/100)),(1/Q2610))+MIN((Skills!T17*(1+Inputs!$B$35/100)),MAX(0,Inputs!$B$44-((R2610-1)*(1/Q2610)))))/Inputs!$B$44),IF(Inputs!$B$39="pvp",MIN((Skills!T17*(1+Inputs!$B$35/100)),15)/15,MIN(1,(Skills!T17*(1+Inputs!$B$35/100))/(1/Q2610)))))+((C2598=TRUE)*IF(Inputs!$B$3&gt;=126,10*MIN(1,15*Q2598),0))+((C2607=TRUE)*IF(Inputs!$B$39="pvp",20,(1-Summary!$B$11)*(20)+Summary!$B$11*(0))*IF(AND(Inputs!$B$39&lt;&gt;"pvp",Inputs!$B$44&gt;0),(((R2607-1)*MIN((Skills!T14*(1+Inputs!$B$35/100)),(1/Q2607))+MIN((Skills!T14*(1+Inputs!$B$35/100)),MAX(0,Inputs!$B$44-((R2607-1)*(1/Q2607)))))/Inputs!$B$44),IF(Inputs!$B$39="pvp",MIN((Skills!T14*(1+Inputs!$B$35/100)),15)/15,MIN(1,(Skills!T14*(1+Inputs!$B$35/100))/(1/Q2607)))))+((C2606=TRUE)*IF(Inputs!$B$3&gt;=82,IF(Inputs!$B$39="pvp",20,(1-Summary!$B$11)*(20)+Summary!$B$11*(0)),0)*IF(AND(Inputs!$B$39&lt;&gt;"pvp",Inputs!$B$44&gt;0),(((R2606-1)*MIN((Skills!T13*(1+Inputs!$B$35/100)),(1/Q2606))+MIN((Skills!T13*(1+Inputs!$B$35/100)),MAX(0,Inputs!$B$44-((R2606-1)*(1/Q2606)))))/Inputs!$B$44),IF(Inputs!$B$39="pvp",MIN((Skills!T13*(1+Inputs!$B$35/100)),15)/15,MIN(1,(Skills!T13*(1+Inputs!$B$35/100))/(1/Q2606)))))+(IF(AND(ArtifactsInput!$M$35,Inputs!$B$4&lt;&gt;"Chapter Hunt"),CHOOSE(ArtifactsInput!$N$35+1,15,18,21,24,27,30)*(1-EXP(-(0.2*B2624)*5)),0)+IF(AND(ArtifactsInput!$M$22,Inputs!$B$4&lt;&gt;"Chapter Hunt"),CHOOSE(ArtifactsInput!$N$22+1,10,12,14,16,18,20)*((0*(((0.15*B2624*5))^0/1)+1*(((0.15*B2624*5))^1/1)+2*(((0.15*B2624*5))^2/2)+3*(((0.15*B2624*5))^3/6)+4*(((0.15*B2624*5))^4/24)+5*(((0.15*B2624*5))^5/120))/((((0.15*B2624*5))^0/1)+(((0.15*B2624*5))^1/1)+(((0.15*B2624*5))^2/2)+(((0.15*B2624*5))^3/6)+(((0.15*B2624*5))^4/24)+(((0.15*B2624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2595*(1-MIN(100,(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2595*(MIN(100,(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2595*(1-MIN(100,(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2595*(MIN(100,(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595">
        <f>MAX(0,(Inputs!$B$3-100)*3)+Inputs!$B$29+Inputs!$B$30</f>
        <v/>
      </c>
      <c r="V2595">
        <f>IF(C2595,(Skills!G2*N2595*B2626)*IF(Inputs!$B$39="pvp",1,(1+(Inputs!$B$22+Skills!Q2+((C2610=TRUE)*F2610*IF(AND(Inputs!$B$39&lt;&gt;"pvp",Inputs!$B$44&gt;0),(((R2610-1)*MIN((Skills!T17*(1+Inputs!$B$35/100)),(1/Q2610))+MIN((Skills!T17*(1+Inputs!$B$35/100)),MAX(0,Inputs!$B$44-((R2610-1)*(1/Q2610)))))/Inputs!$B$44),IF(Inputs!$B$39="pvp",MIN((Skills!T17*(1+Inputs!$B$35/100)),15)/15,MIN(1,(Skills!T17*(1+Inputs!$B$35/100))/(1/Q2610)))))+((C2598=TRUE)*IF(Inputs!$B$3&gt;=126,10*MIN(1,15*Q2598),0))+((C2607=TRUE)*IF(Inputs!$B$39="pvp",20,(1-Summary!$B$11)*(20)+Summary!$B$11*(0))*IF(AND(Inputs!$B$39&lt;&gt;"pvp",Inputs!$B$44&gt;0),(((R2607-1)*MIN((Skills!T14*(1+Inputs!$B$35/100)),(1/Q2607))+MIN((Skills!T14*(1+Inputs!$B$35/100)),MAX(0,Inputs!$B$44-((R2607-1)*(1/Q2607)))))/Inputs!$B$44),IF(Inputs!$B$39="pvp",MIN((Skills!T14*(1+Inputs!$B$35/100)),15)/15,MIN(1,(Skills!T14*(1+Inputs!$B$35/100))/(1/Q2607)))))+((C2606=TRUE)*IF(Inputs!$B$3&gt;=82,IF(Inputs!$B$39="pvp",20,(1-Summary!$B$11)*(20)+Summary!$B$11*(0)),0)*IF(AND(Inputs!$B$39&lt;&gt;"pvp",Inputs!$B$44&gt;0),(((R2606-1)*MIN((Skills!T13*(1+Inputs!$B$35/100)),(1/Q2606))+MIN((Skills!T13*(1+Inputs!$B$35/100)),MAX(0,Inputs!$B$44-((R2606-1)*(1/Q2606)))))/Inputs!$B$44),IF(Inputs!$B$39="pvp",MIN((Skills!T13*(1+Inputs!$B$35/100)),15)/15,MIN(1,(Skills!T13*(1+Inputs!$B$35/100))/(1/Q2606)))))+(IF(AND(ArtifactsInput!$M$35,Inputs!$B$4&lt;&gt;"Chapter Hunt"),CHOOSE(ArtifactsInput!$N$35+1,15,18,21,24,27,30)*(1-EXP(-(0.2*B2624)*5)),0)+IF(AND(ArtifactsInput!$M$22,Inputs!$B$4&lt;&gt;"Chapter Hunt"),CHOOSE(ArtifactsInput!$N$22+1,10,12,14,16,18,20)*((0*(((0.15*B2624*5))^0/1)+1*(((0.15*B2624*5))^1/1)+2*(((0.15*B2624*5))^2/2)+3*(((0.15*B2624*5))^3/6)+4*(((0.15*B2624*5))^4/24)+5*(((0.15*B2624*5))^5/120))/((((0.15*B2624*5))^0/1)+(((0.15*B2624*5))^1/1)+(((0.15*B2624*5))^2/2)+(((0.15*B2624*5))^3/6)+(((0.15*B2624*5))^4/24)+(((0.15*B2624*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96">
      <c r="A2596">
        <f>Skills!A3</f>
        <v/>
      </c>
      <c r="B2596">
        <f>Skills!B3</f>
        <v/>
      </c>
      <c r="C2596">
        <f>Inputs!$B$3&gt;=50</f>
        <v/>
      </c>
      <c r="D2596">
        <f>IF(Skills!C3=1,60+Inputs!$B$26+Inputs!$B$30,IF(Skills!C3=2,90+Inputs!$B$27+Inputs!$B$30,IF(Skills!C3=3,120+Inputs!$B$28+Inputs!$B$30,MAX(0,(Inputs!$B$3-100)*3)+Inputs!$B$29+Inputs!$B$30)))</f>
        <v/>
      </c>
      <c r="E2596">
        <f>INDEX(FactorTable!$B$2:$Y$301, MATCH(ROUND(MIN(300,MAX(1,D2596)),0), FactorTable!$A$2:$A$301,0), Skills!M3+1)</f>
        <v/>
      </c>
      <c r="F2596">
        <f>IF(Skills!N3=TRUE,(Skills!L3/10)*(E2596/1000),Skills!L3/10)+Skills!O3</f>
        <v/>
      </c>
      <c r="G2596" t="inlineStr"/>
      <c r="H2596" t="inlineStr"/>
      <c r="I2596" t="inlineStr">
        <is>
          <t>1</t>
        </is>
      </c>
      <c r="J2596" t="inlineStr"/>
      <c r="K2596" t="inlineStr"/>
      <c r="L2596" t="inlineStr"/>
      <c r="M2596" t="inlineStr"/>
      <c r="N2596" t="inlineStr"/>
      <c r="O2596" t="inlineStr"/>
      <c r="P2596" t="inlineStr"/>
      <c r="Q2596" t="inlineStr"/>
      <c r="R2596" t="inlineStr"/>
      <c r="S2596" t="inlineStr"/>
      <c r="U2596">
        <f>INDEX(FactorTable!$B$2:$Y$301, MATCH(ROUND(MIN(300,MAX(1,U2595)),0), FactorTable!$A$2:$A$301,0), 22)</f>
        <v/>
      </c>
    </row>
    <row r="2597">
      <c r="A2597">
        <f>Skills!A4</f>
        <v/>
      </c>
      <c r="B2597">
        <f>Skills!B4</f>
        <v/>
      </c>
      <c r="C2597">
        <f>Inputs!$B$3&gt;=105</f>
        <v/>
      </c>
      <c r="D2597">
        <f>IF(Skills!C4=1,60+Inputs!$B$26+Inputs!$B$30,IF(Skills!C4=2,90+Inputs!$B$27+Inputs!$B$30,IF(Skills!C4=3,120+Inputs!$B$28+Inputs!$B$30,MAX(0,(Inputs!$B$3-100)*3)+Inputs!$B$29+Inputs!$B$30)))</f>
        <v/>
      </c>
      <c r="E2597">
        <f>INDEX(FactorTable!$B$2:$Y$301, MATCH(ROUND(MIN(300,MAX(1,D2597)),0), FactorTable!$A$2:$A$301,0), Skills!M4+1)</f>
        <v/>
      </c>
      <c r="F2597">
        <f>IF(Skills!N4=TRUE,(Skills!L4/10)*(E2597/1000),Skills!L4/10)+Skills!O4</f>
        <v/>
      </c>
      <c r="G2597" t="inlineStr"/>
      <c r="H2597" t="inlineStr"/>
      <c r="I2597" t="inlineStr">
        <is>
          <t>1</t>
        </is>
      </c>
      <c r="J2597" t="inlineStr"/>
      <c r="K2597" t="inlineStr"/>
      <c r="L2597" t="inlineStr"/>
      <c r="M2597" t="inlineStr"/>
      <c r="N2597" t="inlineStr"/>
      <c r="O2597" t="inlineStr"/>
      <c r="P2597" t="inlineStr"/>
      <c r="Q2597" t="inlineStr"/>
      <c r="R2597" t="inlineStr"/>
      <c r="S2597" t="inlineStr"/>
      <c r="U2597">
        <f>290*U2596/1000</f>
        <v/>
      </c>
    </row>
    <row r="2598">
      <c r="A2598">
        <f>Skills!A5</f>
        <v/>
      </c>
      <c r="B2598">
        <f>Skills!B5</f>
        <v/>
      </c>
      <c r="C2598">
        <f>Inputs!$B$3&gt;=117</f>
        <v/>
      </c>
      <c r="D2598">
        <f>IF(Skills!C5=1,60+Inputs!$B$26+Inputs!$B$30,IF(Skills!C5=2,90+Inputs!$B$27+Inputs!$B$30,IF(Skills!C5=3,120+Inputs!$B$28+Inputs!$B$30,MAX(0,(Inputs!$B$3-100)*3)+Inputs!$B$29+Inputs!$B$30)))</f>
        <v/>
      </c>
      <c r="E2598">
        <f>INDEX(FactorTable!$B$2:$Y$301, MATCH(ROUND(MIN(300,MAX(1,D2598)),0), FactorTable!$A$2:$A$301,0), Skills!M5+1)</f>
        <v/>
      </c>
      <c r="F2598">
        <f>IF(Skills!N5=TRUE,(Skills!L5/10)*(E2598/1000),Skills!L5/10)+Skills!O5</f>
        <v/>
      </c>
      <c r="G2598">
        <f>Skills!G5*IF(Skills!H5&gt;0,INT(IF(Inputs!$B$39="pvp",MIN(Skills!I5,15),Skills!I5)/Skills!H5+0.000000001),1)</f>
        <v/>
      </c>
      <c r="H2598">
        <f>1-(1-Skills!J5/100)^Skills!K5</f>
        <v/>
      </c>
      <c r="I2598" t="inlineStr">
        <is>
          <t>1</t>
        </is>
      </c>
      <c r="J2598">
        <f>((Inputs!$B$6*(1+Inputs!$B$7/100))+(((Inputs!$B$13*(1+Inputs!$B$14/100))-(Inputs!$B$13*(1+Inputs!$B$14/100)))+0.25*(Inputs!$B$15-Inputs!$B$15))*(1+Inputs!$B$7/100))*(F2598/100)</f>
        <v/>
      </c>
      <c r="K2598">
        <f>J2598*(1+(((Inputs!$B$13+IF(Inputs!$B$3&gt;=38,(10*INDEX(FactorTable!$B$2:$Y$301, MATCH(ROUND(MIN(300,MAX(1,Inputs!$B$3)),0), FactorTable!$A$2:$A$301,0), 23)/1000)/100*(Inputs!$B$8*(1+Inputs!$B$9/100)),0))*(1+Inputs!$B$14/100))*0.01+Inputs!$B$15*0.0025)/100)*(1+Inputs!$B$16/100)*(1+Inputs!$B$17/100)*(5000/(6000+Inputs!$B$43*(1-(Inputs!$B$20+0)/100)))*(1+(Inputs!$B$25+((C2618=TRUE)*(F2618-Calc!F25))+((C2619=TRUE)*(F2619-Calc!F26))+B2628)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gt;=100),MIN(100,((Inputs!$B$10+0+B2622+(ArtifactsInput!$M$24-ArtifactsInput!$M$24)*CHOOSE(ArtifactsInput!$N$24+1,10,12,14,16,18,20)+IF(ArtifactsInput!$M$10,CHOOSE(ArtifactsInput!$N$10+1,15,18,21,24,27,30)*(IF(Inputs!$B$39="pvp",MIN(15,15)/15,IF(AND(Inputs!$B$39&lt;&gt;"pvp",Inputs!$B$44&gt;0),MIN(15,Inputs!$B$44)/(Inputs!$B$44),0))),0)))-100),0))*CHOOSE(ArtifactsInput!$N$42+1,0.6,0.72,0.84,0.96,1.08,1.2))),Inputs!$B$19+((C2616=TRUE)*(F2616-Calc!F23))+(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gt;=100),CHOOSE(ArtifactsInput!$N$42+1,40,48,56,64,72,80),0))))/100)*((1+(((C2606=TRUE)*F2606*IF(AND(Inputs!$B$39&lt;&gt;"pvp",Inputs!$B$44&gt;0),(((R2606-1)*MIN((Skills!T13*(1+Inputs!$B$35/100)),(1/Q2606))+MIN((Skills!T13*(1+Inputs!$B$35/100)),MAX(0,Inputs!$B$44-((R2606-1)*(1/Q2606)))))/Inputs!$B$44),IF(Inputs!$B$39="pvp",MIN((Skills!T13*(1+Inputs!$B$35/100)),15)/15,MIN(1,(Skills!T13*(1+Inputs!$B$35/100))/(1/Q2606)))))+((C2607=TRUE)*F2607*IF(AND(Inputs!$B$39&lt;&gt;"pvp",Inputs!$B$44&gt;0),(((R2607-1)*MIN((Skills!T14*(1+Inputs!$B$35/100)),(1/Q2607))+MIN((Skills!T14*(1+Inputs!$B$35/100)),MAX(0,Inputs!$B$44-((R2607-1)*(1/Q2607)))))/Inputs!$B$44),IF(Inputs!$B$39="pvp",MIN((Skills!T14*(1+Inputs!$B$35/100)),15)/15,MIN(1,(Skills!T14*(1+Inputs!$B$35/100))/(1/Q2607)))))+((C2608=TRUE)*F2608*IF(AND(Inputs!$B$39&lt;&gt;"pvp",Inputs!$B$44&gt;0),(((R2608-1)*MIN((Skills!T15*(1+Inputs!$B$35/100)),(1/Q2608))+MIN((Skills!T15*(1+Inputs!$B$35/100)),MAX(0,Inputs!$B$44-((R2608-1)*(1/Q2608)))))/Inputs!$B$44),IF(Inputs!$B$39="pvp",MIN((Skills!T15*(1+Inputs!$B$35/100)),15)/15,MIN(1,(Skills!T15*(1+Inputs!$B$35/100))/(1/Q2608)))))+((C2609=TRUE)*F2609*IF(AND(Inputs!$B$39&lt;&gt;"pvp",Inputs!$B$44&gt;0),(((R2609-1)*MIN((Skills!T16*(1+Inputs!$B$35/100)),(1/Q2609))+MIN((Skills!T16*(1+Inputs!$B$35/100)),MAX(0,Inputs!$B$44-((R2609-1)*(1/Q2609)))))/Inputs!$B$44),IF(Inputs!$B$39="pvp",MIN((Skills!T16*(1+Inputs!$B$35/100)),15)/15,MIN(1,(Skills!T16*(1+Inputs!$B$35/100))/(1/Q2609)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2598)</f>
        <v/>
      </c>
      <c r="L2598">
        <f>K2598*(MIN(Inputs!$B$23+((C2615=TRUE)*(F2615-Calc!F22)),(Inputs!$B$24+((C2617=TRUE)*(F2617-Calc!F24))+(IF(ArtifactsInput!$M$15,CHOOSE(ArtifactsInput!$N$15+1,25,30,35,40,45,50)/100*(Inputs!$B$12-Inputs!$B$12),0))))/100+(Inputs!$B$24+((C2617=TRUE)*(F2617-Calc!F24))+(IF(ArtifactsInput!$M$15,CHOOSE(ArtifactsInput!$N$15+1,25,30,35,40,45,50)/100*(Inputs!$B$12-Inputs!$B$12),0)))/100)/2</f>
        <v/>
      </c>
      <c r="M2598">
        <f>L2598*(1+(Inputs!$B$11+0+B2627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598">
        <f>L2598*(1-MIN((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2598*(MIN((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98">
        <f>(1-Summary!$B$11)*T2598+Summary!$B$11*V2598</f>
        <v/>
      </c>
      <c r="P2598">
        <f>IF(B2632=0,0,O2598/B2632)</f>
        <v/>
      </c>
      <c r="Q2598">
        <f>IFERROR(1/IF(Inputs!$B$39="pvp",15,MAX(0.1,Skills!D5-IF(TRUE=TRUE,Inputs!$B$33,0))),0)</f>
        <v/>
      </c>
      <c r="R2598">
        <f>IF(AND(Inputs!$B$39&lt;&gt;"pvp",Inputs!$B$44&gt;0),IF(MAX(0,Inputs!$B$44-B2629)&lt;=0,0,(INT(MAX(0,Inputs!$B$44-B2629)/IF(Inputs!$B$39="pvp",15,MAX(0.1,Skills!D5-IF(TRUE=TRUE,Inputs!$B$33,0))))+1)),0)</f>
        <v/>
      </c>
      <c r="S2598">
        <f>IFERROR(O2598/N2598,0)</f>
        <v/>
      </c>
      <c r="T2598">
        <f>IF(C2598,(H2598*N2598*IF(AND(Inputs!$B$39&lt;&gt;"pvp",Inputs!$B$44&gt;0),((Skills!G5*((R2598-1)*IF(Skills!H5&gt;0,INT(Skills!I5/Skills!H5+0.000000001),1)+IF(Skills!H5&gt;0,INT(MIN(Skills!I5,MAX(0,MAX(0,Inputs!$B$44-B2629)-((R2598-1)*IF(Inputs!$B$39="pvp",15,MAX(0.1,Skills!D5-IF(TRUE=TRUE,Inputs!$B$33,0))))))/Skills!H5+0.000000001),1)))/Inputs!$B$44),G2598*Q2598))*IF(Inputs!$B$39="pvp",1,1+(Inputs!$B$21+0+Skills!P5+((C2610=TRUE)*F2610*IF(AND(Inputs!$B$39&lt;&gt;"pvp",Inputs!$B$44&gt;0),(((R2610-1)*MIN((Skills!T17*(1+Inputs!$B$35/100)),(1/Q2610))+MIN((Skills!T17*(1+Inputs!$B$35/100)),MAX(0,Inputs!$B$44-((R2610-1)*(1/Q2610)))))/Inputs!$B$44),IF(Inputs!$B$39="pvp",MIN((Skills!T17*(1+Inputs!$B$35/100)),15)/15,MIN(1,(Skills!T17*(1+Inputs!$B$35/100))/(1/Q2610)))))+((C2598=TRUE)*IF(Inputs!$B$3&gt;=126,10*MIN(1,15*Q2598),0))+((C2607=TRUE)*IF(Inputs!$B$39="pvp",20,(1-Summary!$B$11)*(20)+Summary!$B$11*(0))*IF(AND(Inputs!$B$39&lt;&gt;"pvp",Inputs!$B$44&gt;0),(((R2607-1)*MIN((Skills!T14*(1+Inputs!$B$35/100)),(1/Q2607))+MIN((Skills!T14*(1+Inputs!$B$35/100)),MAX(0,Inputs!$B$44-((R2607-1)*(1/Q2607)))))/Inputs!$B$44),IF(Inputs!$B$39="pvp",MIN((Skills!T14*(1+Inputs!$B$35/100)),15)/15,MIN(1,(Skills!T14*(1+Inputs!$B$35/100))/(1/Q2607)))))+((C2606=TRUE)*IF(Inputs!$B$3&gt;=82,IF(Inputs!$B$39="pvp",20,(1-Summary!$B$11)*(20)+Summary!$B$11*(0)),0)*IF(AND(Inputs!$B$39&lt;&gt;"pvp",Inputs!$B$44&gt;0),(((R2606-1)*MIN((Skills!T13*(1+Inputs!$B$35/100)),(1/Q2606))+MIN((Skills!T13*(1+Inputs!$B$35/100)),MAX(0,Inputs!$B$44-((R2606-1)*(1/Q2606)))))/Inputs!$B$44),IF(Inputs!$B$39="pvp",MIN((Skills!T13*(1+Inputs!$B$35/100)),15)/15,MIN(1,(Skills!T13*(1+Inputs!$B$35/100))/(1/Q2606)))))+(IF(AND(ArtifactsInput!$M$35,Inputs!$B$4&lt;&gt;"Chapter Hunt"),CHOOSE(ArtifactsInput!$N$35+1,15,18,21,24,27,30)*(1-EXP(-(0.2*B2624)*5)),0)+IF(AND(ArtifactsInput!$M$22,Inputs!$B$4&lt;&gt;"Chapter Hunt"),CHOOSE(ArtifactsInput!$N$22+1,10,12,14,16,18,20)*((0*(((0.15*B2624*5))^0/1)+1*(((0.15*B2624*5))^1/1)+2*(((0.15*B2624*5))^2/2)+3*(((0.15*B2624*5))^3/6)+4*(((0.15*B2624*5))^4/24)+5*(((0.15*B2624*5))^5/120))/((((0.15*B2624*5))^0/1)+(((0.15*B2624*5))^1/1)+(((0.15*B2624*5))^2/2)+(((0.15*B2624*5))^3/6)+(((0.15*B2624*5))^4/24)+(((0.15*B2624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2598*(1-MIN(100,(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2598*(MIN(100,(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2598*(1-MIN(100,(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2598*(MIN(100,(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98">
        <f>IF(C2598,(H2598*N2598*IF(AND(Inputs!$B$39&lt;&gt;"pvp",Inputs!$B$44&gt;0),((Skills!G5*((R2598-1)*IF(Skills!H5&gt;0,INT(Skills!I5/Skills!H5+0.000000001),1)+IF(Skills!H5&gt;0,INT(MIN(Skills!I5,MAX(0,MAX(0,Inputs!$B$44-B2629)-((R2598-1)*IF(Inputs!$B$39="pvp",15,MAX(0.1,Skills!D5-IF(TRUE=TRUE,Inputs!$B$33,0))))))/Skills!H5+0.000000001),1)))/Inputs!$B$44),G2598*Q2598))*IF(Inputs!$B$39="pvp",1,(1+(Inputs!$B$22+Skills!Q5+((C2610=TRUE)*F2610*IF(AND(Inputs!$B$39&lt;&gt;"pvp",Inputs!$B$44&gt;0),(((R2610-1)*MIN((Skills!T17*(1+Inputs!$B$35/100)),(1/Q2610))+MIN((Skills!T17*(1+Inputs!$B$35/100)),MAX(0,Inputs!$B$44-((R2610-1)*(1/Q2610)))))/Inputs!$B$44),IF(Inputs!$B$39="pvp",MIN((Skills!T17*(1+Inputs!$B$35/100)),15)/15,MIN(1,(Skills!T17*(1+Inputs!$B$35/100))/(1/Q2610)))))+((C2598=TRUE)*IF(Inputs!$B$3&gt;=126,10*MIN(1,15*Q2598),0))+((C2607=TRUE)*IF(Inputs!$B$39="pvp",20,(1-Summary!$B$11)*(20)+Summary!$B$11*(0))*IF(AND(Inputs!$B$39&lt;&gt;"pvp",Inputs!$B$44&gt;0),(((R2607-1)*MIN((Skills!T14*(1+Inputs!$B$35/100)),(1/Q2607))+MIN((Skills!T14*(1+Inputs!$B$35/100)),MAX(0,Inputs!$B$44-((R2607-1)*(1/Q2607)))))/Inputs!$B$44),IF(Inputs!$B$39="pvp",MIN((Skills!T14*(1+Inputs!$B$35/100)),15)/15,MIN(1,(Skills!T14*(1+Inputs!$B$35/100))/(1/Q2607)))))+((C2606=TRUE)*IF(Inputs!$B$3&gt;=82,IF(Inputs!$B$39="pvp",20,(1-Summary!$B$11)*(20)+Summary!$B$11*(0)),0)*IF(AND(Inputs!$B$39&lt;&gt;"pvp",Inputs!$B$44&gt;0),(((R2606-1)*MIN((Skills!T13*(1+Inputs!$B$35/100)),(1/Q2606))+MIN((Skills!T13*(1+Inputs!$B$35/100)),MAX(0,Inputs!$B$44-((R2606-1)*(1/Q2606)))))/Inputs!$B$44),IF(Inputs!$B$39="pvp",MIN((Skills!T13*(1+Inputs!$B$35/100)),15)/15,MIN(1,(Skills!T13*(1+Inputs!$B$35/100))/(1/Q2606)))))+(IF(AND(ArtifactsInput!$M$35,Inputs!$B$4&lt;&gt;"Chapter Hunt"),CHOOSE(ArtifactsInput!$N$35+1,15,18,21,24,27,30)*(1-EXP(-(0.2*B2624)*5)),0)+IF(AND(ArtifactsInput!$M$22,Inputs!$B$4&lt;&gt;"Chapter Hunt"),CHOOSE(ArtifactsInput!$N$22+1,10,12,14,16,18,20)*((0*(((0.15*B2624*5))^0/1)+1*(((0.15*B2624*5))^1/1)+2*(((0.15*B2624*5))^2/2)+3*(((0.15*B2624*5))^3/6)+4*(((0.15*B2624*5))^4/24)+5*(((0.15*B2624*5))^5/120))/((((0.15*B2624*5))^0/1)+(((0.15*B2624*5))^1/1)+(((0.15*B2624*5))^2/2)+(((0.15*B2624*5))^3/6)+(((0.15*B2624*5))^4/24)+(((0.15*B2624*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99">
      <c r="A2599">
        <f>Skills!A6</f>
        <v/>
      </c>
      <c r="B2599">
        <f>Skills!B6</f>
        <v/>
      </c>
      <c r="C2599">
        <f>Inputs!$B$3&gt;=103</f>
        <v/>
      </c>
      <c r="D2599">
        <f>IF(Skills!C6=1,60+Inputs!$B$26+Inputs!$B$30,IF(Skills!C6=2,90+Inputs!$B$27+Inputs!$B$30,IF(Skills!C6=3,120+Inputs!$B$28+Inputs!$B$30,MAX(0,(Inputs!$B$3-100)*3)+Inputs!$B$29+Inputs!$B$30)))</f>
        <v/>
      </c>
      <c r="E2599">
        <f>INDEX(FactorTable!$B$2:$Y$301, MATCH(ROUND(MIN(300,MAX(1,D2599)),0), FactorTable!$A$2:$A$301,0), Skills!M6+1)</f>
        <v/>
      </c>
      <c r="F2599">
        <f>IF(Skills!N6=TRUE,(Skills!L6/10)*(E2599/1000),Skills!L6/10)+Skills!O6</f>
        <v/>
      </c>
      <c r="G2599">
        <f>Skills!G6*IF(Skills!H6&gt;0,INT(IF(Inputs!$B$39="pvp",MIN(Skills!I6,15),Skills!I6)/Skills!H6+0.000000001),1)</f>
        <v/>
      </c>
      <c r="H2599">
        <f>1-(1-Skills!J6/100)^Skills!K6</f>
        <v/>
      </c>
      <c r="I2599" t="inlineStr">
        <is>
          <t>1</t>
        </is>
      </c>
      <c r="J2599">
        <f>((Inputs!$B$6*(1+Inputs!$B$7/100))+(((Inputs!$B$13*(1+Inputs!$B$14/100))-(Inputs!$B$13*(1+Inputs!$B$14/100)))+0.25*(Inputs!$B$15-Inputs!$B$15))*(1+Inputs!$B$7/100))*(F2599/100)</f>
        <v/>
      </c>
      <c r="K2599">
        <f>J2599*(1+(((Inputs!$B$13+IF(Inputs!$B$3&gt;=38,(10*INDEX(FactorTable!$B$2:$Y$301, MATCH(ROUND(MIN(300,MAX(1,Inputs!$B$3)),0), FactorTable!$A$2:$A$301,0), 23)/1000)/100*(Inputs!$B$8*(1+Inputs!$B$9/100)),0))*(1+Inputs!$B$14/100))*0.01+Inputs!$B$15*0.0025)/100)*(1+Inputs!$B$16/100)*(1+Inputs!$B$17/100)*(5000/(6000+Inputs!$B$43*(1-(Inputs!$B$20+0)/100)))*(1+(Inputs!$B$25+((C2618=TRUE)*(F2618-Calc!F25))+((C2619=TRUE)*(F2619-Calc!F26))+B2628)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gt;=100),MIN(100,((Inputs!$B$10+0+B2622+(ArtifactsInput!$M$24-ArtifactsInput!$M$24)*CHOOSE(ArtifactsInput!$N$24+1,10,12,14,16,18,20)+IF(ArtifactsInput!$M$10,CHOOSE(ArtifactsInput!$N$10+1,15,18,21,24,27,30)*(IF(Inputs!$B$39="pvp",MIN(15,15)/15,IF(AND(Inputs!$B$39&lt;&gt;"pvp",Inputs!$B$44&gt;0),MIN(15,Inputs!$B$44)/(Inputs!$B$44),0))),0)))-100),0))*CHOOSE(ArtifactsInput!$N$42+1,0.6,0.72,0.84,0.96,1.08,1.2))),Inputs!$B$19+((C2616=TRUE)*(F2616-Calc!F23))+(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gt;=100),CHOOSE(ArtifactsInput!$N$42+1,40,48,56,64,72,80),0))))/100)*((1+(((C2606=TRUE)*F2606*IF(AND(Inputs!$B$39&lt;&gt;"pvp",Inputs!$B$44&gt;0),(((R2606-1)*MIN((Skills!T13*(1+Inputs!$B$35/100)),(1/Q2606))+MIN((Skills!T13*(1+Inputs!$B$35/100)),MAX(0,Inputs!$B$44-((R2606-1)*(1/Q2606)))))/Inputs!$B$44),IF(Inputs!$B$39="pvp",MIN((Skills!T13*(1+Inputs!$B$35/100)),15)/15,MIN(1,(Skills!T13*(1+Inputs!$B$35/100))/(1/Q2606)))))+((C2607=TRUE)*F2607*IF(AND(Inputs!$B$39&lt;&gt;"pvp",Inputs!$B$44&gt;0),(((R2607-1)*MIN((Skills!T14*(1+Inputs!$B$35/100)),(1/Q2607))+MIN((Skills!T14*(1+Inputs!$B$35/100)),MAX(0,Inputs!$B$44-((R2607-1)*(1/Q2607)))))/Inputs!$B$44),IF(Inputs!$B$39="pvp",MIN((Skills!T14*(1+Inputs!$B$35/100)),15)/15,MIN(1,(Skills!T14*(1+Inputs!$B$35/100))/(1/Q2607)))))+((C2608=TRUE)*F2608*IF(AND(Inputs!$B$39&lt;&gt;"pvp",Inputs!$B$44&gt;0),(((R2608-1)*MIN((Skills!T15*(1+Inputs!$B$35/100)),(1/Q2608))+MIN((Skills!T15*(1+Inputs!$B$35/100)),MAX(0,Inputs!$B$44-((R2608-1)*(1/Q2608)))))/Inputs!$B$44),IF(Inputs!$B$39="pvp",MIN((Skills!T15*(1+Inputs!$B$35/100)),15)/15,MIN(1,(Skills!T15*(1+Inputs!$B$35/100))/(1/Q2608)))))+((C2609=TRUE)*F2609*IF(AND(Inputs!$B$39&lt;&gt;"pvp",Inputs!$B$44&gt;0),(((R2609-1)*MIN((Skills!T16*(1+Inputs!$B$35/100)),(1/Q2609))+MIN((Skills!T16*(1+Inputs!$B$35/100)),MAX(0,Inputs!$B$44-((R2609-1)*(1/Q2609)))))/Inputs!$B$44),IF(Inputs!$B$39="pvp",MIN((Skills!T16*(1+Inputs!$B$35/100)),15)/15,MIN(1,(Skills!T16*(1+Inputs!$B$35/100))/(1/Q2609)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2599)</f>
        <v/>
      </c>
      <c r="L2599">
        <f>K2599*(MIN(Inputs!$B$23+((C2615=TRUE)*(F2615-Calc!F22)),(Inputs!$B$24+((C2617=TRUE)*(F2617-Calc!F24))+(IF(ArtifactsInput!$M$15,CHOOSE(ArtifactsInput!$N$15+1,25,30,35,40,45,50)/100*(Inputs!$B$12-Inputs!$B$12),0))))/100+(Inputs!$B$24+((C2617=TRUE)*(F2617-Calc!F24))+(IF(ArtifactsInput!$M$15,CHOOSE(ArtifactsInput!$N$15+1,25,30,35,40,45,50)/100*(Inputs!$B$12-Inputs!$B$12),0)))/100)/2</f>
        <v/>
      </c>
      <c r="M2599">
        <f>L2599*(1+(Inputs!$B$11+0+B2627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599">
        <f>L2599*(1-MIN((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2599*(MIN((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99">
        <f>(1-Summary!$B$11)*T2599+Summary!$B$11*V2599</f>
        <v/>
      </c>
      <c r="P2599">
        <f>IF(B2632=0,0,O2599/B2632)</f>
        <v/>
      </c>
      <c r="Q2599">
        <f>IFERROR(1/IF(Inputs!$B$39="pvp",15,MAX(0.1,Skills!D6-IF(TRUE=TRUE,Inputs!$B$33,0))),0)</f>
        <v/>
      </c>
      <c r="R2599">
        <f>IF(AND(Inputs!$B$39&lt;&gt;"pvp",Inputs!$B$44&gt;0),IF(MAX(0,Inputs!$B$44-B2629)&lt;=0,0,(INT(MAX(0,Inputs!$B$44-B2629)/IF(Inputs!$B$39="pvp",15,MAX(0.1,Skills!D6-IF(TRUE=TRUE,Inputs!$B$33,0))))+1)),0)</f>
        <v/>
      </c>
      <c r="S2599">
        <f>IFERROR(O2599/N2599,0)</f>
        <v/>
      </c>
      <c r="T2599">
        <f>IF(C2599,(H2599*N2599*IF(AND(Inputs!$B$39&lt;&gt;"pvp",Inputs!$B$44&gt;0),((Skills!G6*((R2599-1)*IF(Skills!H6&gt;0,INT(Skills!I6/Skills!H6+0.000000001),1)+IF(Skills!H6&gt;0,INT(MIN(Skills!I6,MAX(0,MAX(0,Inputs!$B$44-B2629)-((R2599-1)*IF(Inputs!$B$39="pvp",15,MAX(0.1,Skills!D6-IF(TRUE=TRUE,Inputs!$B$33,0))))))/Skills!H6+0.000000001),1)))/Inputs!$B$44),G2599*Q2599))*IF(Inputs!$B$39="pvp",1,1+(Inputs!$B$21+0+Skills!P6+((C2610=TRUE)*F2610*IF(AND(Inputs!$B$39&lt;&gt;"pvp",Inputs!$B$44&gt;0),(((R2610-1)*MIN((Skills!T17*(1+Inputs!$B$35/100)),(1/Q2610))+MIN((Skills!T17*(1+Inputs!$B$35/100)),MAX(0,Inputs!$B$44-((R2610-1)*(1/Q2610)))))/Inputs!$B$44),IF(Inputs!$B$39="pvp",MIN((Skills!T17*(1+Inputs!$B$35/100)),15)/15,MIN(1,(Skills!T17*(1+Inputs!$B$35/100))/(1/Q2610)))))+((C2598=TRUE)*IF(Inputs!$B$3&gt;=126,10*MIN(1,15*Q2598),0))+((C2607=TRUE)*IF(Inputs!$B$39="pvp",20,(1-Summary!$B$11)*(20)+Summary!$B$11*(0))*IF(AND(Inputs!$B$39&lt;&gt;"pvp",Inputs!$B$44&gt;0),(((R2607-1)*MIN((Skills!T14*(1+Inputs!$B$35/100)),(1/Q2607))+MIN((Skills!T14*(1+Inputs!$B$35/100)),MAX(0,Inputs!$B$44-((R2607-1)*(1/Q2607)))))/Inputs!$B$44),IF(Inputs!$B$39="pvp",MIN((Skills!T14*(1+Inputs!$B$35/100)),15)/15,MIN(1,(Skills!T14*(1+Inputs!$B$35/100))/(1/Q2607)))))+((C2606=TRUE)*IF(Inputs!$B$3&gt;=82,IF(Inputs!$B$39="pvp",20,(1-Summary!$B$11)*(20)+Summary!$B$11*(0)),0)*IF(AND(Inputs!$B$39&lt;&gt;"pvp",Inputs!$B$44&gt;0),(((R2606-1)*MIN((Skills!T13*(1+Inputs!$B$35/100)),(1/Q2606))+MIN((Skills!T13*(1+Inputs!$B$35/100)),MAX(0,Inputs!$B$44-((R2606-1)*(1/Q2606)))))/Inputs!$B$44),IF(Inputs!$B$39="pvp",MIN((Skills!T13*(1+Inputs!$B$35/100)),15)/15,MIN(1,(Skills!T13*(1+Inputs!$B$35/100))/(1/Q2606)))))+(IF(AND(ArtifactsInput!$M$35,Inputs!$B$4&lt;&gt;"Chapter Hunt"),CHOOSE(ArtifactsInput!$N$35+1,15,18,21,24,27,30)*(1-EXP(-(0.2*B2624)*5)),0)+IF(AND(ArtifactsInput!$M$22,Inputs!$B$4&lt;&gt;"Chapter Hunt"),CHOOSE(ArtifactsInput!$N$22+1,10,12,14,16,18,20)*((0*(((0.15*B2624*5))^0/1)+1*(((0.15*B2624*5))^1/1)+2*(((0.15*B2624*5))^2/2)+3*(((0.15*B2624*5))^3/6)+4*(((0.15*B2624*5))^4/24)+5*(((0.15*B2624*5))^5/120))/((((0.15*B2624*5))^0/1)+(((0.15*B2624*5))^1/1)+(((0.15*B2624*5))^2/2)+(((0.15*B2624*5))^3/6)+(((0.15*B2624*5))^4/24)+(((0.15*B2624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2599*(1-MIN(100,(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2599*(MIN(100,(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2599*(1-MIN(100,(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2599*(MIN(100,(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599">
        <f>IF(C2599,(H2599*N2599*IF(AND(Inputs!$B$39&lt;&gt;"pvp",Inputs!$B$44&gt;0),((Skills!G6*((R2599-1)*IF(Skills!H6&gt;0,INT(Skills!I6/Skills!H6+0.000000001),1)+IF(Skills!H6&gt;0,INT(MIN(Skills!I6,MAX(0,MAX(0,Inputs!$B$44-B2629)-((R2599-1)*IF(Inputs!$B$39="pvp",15,MAX(0.1,Skills!D6-IF(TRUE=TRUE,Inputs!$B$33,0))))))/Skills!H6+0.000000001),1)))/Inputs!$B$44),G2599*Q2599))*IF(Inputs!$B$39="pvp",1,(1+(Inputs!$B$22+Skills!Q6+((C2610=TRUE)*F2610*IF(AND(Inputs!$B$39&lt;&gt;"pvp",Inputs!$B$44&gt;0),(((R2610-1)*MIN((Skills!T17*(1+Inputs!$B$35/100)),(1/Q2610))+MIN((Skills!T17*(1+Inputs!$B$35/100)),MAX(0,Inputs!$B$44-((R2610-1)*(1/Q2610)))))/Inputs!$B$44),IF(Inputs!$B$39="pvp",MIN((Skills!T17*(1+Inputs!$B$35/100)),15)/15,MIN(1,(Skills!T17*(1+Inputs!$B$35/100))/(1/Q2610)))))+((C2598=TRUE)*IF(Inputs!$B$3&gt;=126,10*MIN(1,15*Q2598),0))+((C2607=TRUE)*IF(Inputs!$B$39="pvp",20,(1-Summary!$B$11)*(20)+Summary!$B$11*(0))*IF(AND(Inputs!$B$39&lt;&gt;"pvp",Inputs!$B$44&gt;0),(((R2607-1)*MIN((Skills!T14*(1+Inputs!$B$35/100)),(1/Q2607))+MIN((Skills!T14*(1+Inputs!$B$35/100)),MAX(0,Inputs!$B$44-((R2607-1)*(1/Q2607)))))/Inputs!$B$44),IF(Inputs!$B$39="pvp",MIN((Skills!T14*(1+Inputs!$B$35/100)),15)/15,MIN(1,(Skills!T14*(1+Inputs!$B$35/100))/(1/Q2607)))))+((C2606=TRUE)*IF(Inputs!$B$3&gt;=82,IF(Inputs!$B$39="pvp",20,(1-Summary!$B$11)*(20)+Summary!$B$11*(0)),0)*IF(AND(Inputs!$B$39&lt;&gt;"pvp",Inputs!$B$44&gt;0),(((R2606-1)*MIN((Skills!T13*(1+Inputs!$B$35/100)),(1/Q2606))+MIN((Skills!T13*(1+Inputs!$B$35/100)),MAX(0,Inputs!$B$44-((R2606-1)*(1/Q2606)))))/Inputs!$B$44),IF(Inputs!$B$39="pvp",MIN((Skills!T13*(1+Inputs!$B$35/100)),15)/15,MIN(1,(Skills!T13*(1+Inputs!$B$35/100))/(1/Q2606)))))+(IF(AND(ArtifactsInput!$M$35,Inputs!$B$4&lt;&gt;"Chapter Hunt"),CHOOSE(ArtifactsInput!$N$35+1,15,18,21,24,27,30)*(1-EXP(-(0.2*B2624)*5)),0)+IF(AND(ArtifactsInput!$M$22,Inputs!$B$4&lt;&gt;"Chapter Hunt"),CHOOSE(ArtifactsInput!$N$22+1,10,12,14,16,18,20)*((0*(((0.15*B2624*5))^0/1)+1*(((0.15*B2624*5))^1/1)+2*(((0.15*B2624*5))^2/2)+3*(((0.15*B2624*5))^3/6)+4*(((0.15*B2624*5))^4/24)+5*(((0.15*B2624*5))^5/120))/((((0.15*B2624*5))^0/1)+(((0.15*B2624*5))^1/1)+(((0.15*B2624*5))^2/2)+(((0.15*B2624*5))^3/6)+(((0.15*B2624*5))^4/24)+(((0.15*B2624*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00">
      <c r="A2600">
        <f>Skills!A7</f>
        <v/>
      </c>
      <c r="B2600">
        <f>Skills!B7</f>
        <v/>
      </c>
      <c r="C2600">
        <f>Inputs!$B$3&gt;=40</f>
        <v/>
      </c>
      <c r="D2600">
        <f>IF(Skills!C7=1,60+Inputs!$B$26+Inputs!$B$30,IF(Skills!C7=2,90+Inputs!$B$27+Inputs!$B$30,IF(Skills!C7=3,120+Inputs!$B$28+Inputs!$B$30,MAX(0,(Inputs!$B$3-100)*3)+Inputs!$B$29+Inputs!$B$30)))</f>
        <v/>
      </c>
      <c r="E2600">
        <f>INDEX(FactorTable!$B$2:$Y$301, MATCH(ROUND(MIN(300,MAX(1,D2600)),0), FactorTable!$A$2:$A$301,0), Skills!M7+1)</f>
        <v/>
      </c>
      <c r="F2600">
        <f>IF(Skills!N7=TRUE,(Skills!L7/10)*(E2600/1000),Skills!L7/10)+Skills!O7</f>
        <v/>
      </c>
      <c r="G2600">
        <f>Skills!G7*IF(Skills!H7&gt;0,INT(IF(Inputs!$B$39="pvp",MIN(Skills!I7,15),Skills!I7)/Skills!H7+0.000000001),1)</f>
        <v/>
      </c>
      <c r="H2600">
        <f>1-(1-Skills!J7/100)^Skills!K7</f>
        <v/>
      </c>
      <c r="I2600" t="inlineStr">
        <is>
          <t>1</t>
        </is>
      </c>
      <c r="J2600">
        <f>((Inputs!$B$6*(1+Inputs!$B$7/100))+(((Inputs!$B$13*(1+Inputs!$B$14/100))-(Inputs!$B$13*(1+Inputs!$B$14/100)))+0.25*(Inputs!$B$15-Inputs!$B$15))*(1+Inputs!$B$7/100))*(F2600/100)</f>
        <v/>
      </c>
      <c r="K2600">
        <f>J2600*(1+(((Inputs!$B$13+IF(Inputs!$B$3&gt;=38,(10*INDEX(FactorTable!$B$2:$Y$301, MATCH(ROUND(MIN(300,MAX(1,Inputs!$B$3)),0), FactorTable!$A$2:$A$301,0), 23)/1000)/100*(Inputs!$B$8*(1+Inputs!$B$9/100)),0))*(1+Inputs!$B$14/100))*0.01+Inputs!$B$15*0.0025)/100)*(1+Inputs!$B$16/100)*(1+Inputs!$B$17/100)*(5000/(6000+Inputs!$B$43*(1-(Inputs!$B$20+0)/100)))*(1+(Inputs!$B$25+((C2618=TRUE)*(F2618-Calc!F25))+((C2619=TRUE)*(F2619-Calc!F26))+B2628)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2604=TRUE,F2604,0)/100)*(1+(IF(Skills!A7="DARK_IMPALE",Inputs!$B$18+0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gt;=100),MIN(100,((Inputs!$B$10+0+B2622+(ArtifactsInput!$M$24-ArtifactsInput!$M$24)*CHOOSE(ArtifactsInput!$N$24+1,10,12,14,16,18,20)+IF(ArtifactsInput!$M$10,CHOOSE(ArtifactsInput!$N$10+1,15,18,21,24,27,30)*(IF(Inputs!$B$39="pvp",MIN(15,15)/15,IF(AND(Inputs!$B$39&lt;&gt;"pvp",Inputs!$B$44&gt;0),MIN(15,Inputs!$B$44)/(Inputs!$B$44),0))),0)))-100),0))*CHOOSE(ArtifactsInput!$N$42+1,0.6,0.72,0.84,0.96,1.08,1.2))),Inputs!$B$19+((C2616=TRUE)*(F2616-Calc!F23))+(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gt;=100),CHOOSE(ArtifactsInput!$N$42+1,40,48,56,64,72,80),0))))/100)*((1+(((C2606=TRUE)*F2606*IF(AND(Inputs!$B$39&lt;&gt;"pvp",Inputs!$B$44&gt;0),(((R2606-1)*MIN((Skills!T13*(1+Inputs!$B$35/100)),(1/Q2606))+MIN((Skills!T13*(1+Inputs!$B$35/100)),MAX(0,Inputs!$B$44-((R2606-1)*(1/Q2606)))))/Inputs!$B$44),IF(Inputs!$B$39="pvp",MIN((Skills!T13*(1+Inputs!$B$35/100)),15)/15,MIN(1,(Skills!T13*(1+Inputs!$B$35/100))/(1/Q2606)))))+((C2607=TRUE)*F2607*IF(AND(Inputs!$B$39&lt;&gt;"pvp",Inputs!$B$44&gt;0),(((R2607-1)*MIN((Skills!T14*(1+Inputs!$B$35/100)),(1/Q2607))+MIN((Skills!T14*(1+Inputs!$B$35/100)),MAX(0,Inputs!$B$44-((R2607-1)*(1/Q2607)))))/Inputs!$B$44),IF(Inputs!$B$39="pvp",MIN((Skills!T14*(1+Inputs!$B$35/100)),15)/15,MIN(1,(Skills!T14*(1+Inputs!$B$35/100))/(1/Q2607)))))+((C2608=TRUE)*F2608*IF(AND(Inputs!$B$39&lt;&gt;"pvp",Inputs!$B$44&gt;0),(((R2608-1)*MIN((Skills!T15*(1+Inputs!$B$35/100)),(1/Q2608))+MIN((Skills!T15*(1+Inputs!$B$35/100)),MAX(0,Inputs!$B$44-((R2608-1)*(1/Q2608)))))/Inputs!$B$44),IF(Inputs!$B$39="pvp",MIN((Skills!T15*(1+Inputs!$B$35/100)),15)/15,MIN(1,(Skills!T15*(1+Inputs!$B$35/100))/(1/Q2608)))))+((C2609=TRUE)*F2609*IF(AND(Inputs!$B$39&lt;&gt;"pvp",Inputs!$B$44&gt;0),(((R2609-1)*MIN((Skills!T16*(1+Inputs!$B$35/100)),(1/Q2609))+MIN((Skills!T16*(1+Inputs!$B$35/100)),MAX(0,Inputs!$B$44-((R2609-1)*(1/Q2609)))))/Inputs!$B$44),IF(Inputs!$B$39="pvp",MIN((Skills!T16*(1+Inputs!$B$35/100)),15)/15,MIN(1,(Skills!T16*(1+Inputs!$B$35/100))/(1/Q2609)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2600)</f>
        <v/>
      </c>
      <c r="L2600">
        <f>K2600*(MIN(Inputs!$B$23+((C2615=TRUE)*(F2615-Calc!F22)),(Inputs!$B$24+((C2617=TRUE)*(F2617-Calc!F24))+(IF(ArtifactsInput!$M$15,CHOOSE(ArtifactsInput!$N$15+1,25,30,35,40,45,50)/100*(Inputs!$B$12-Inputs!$B$12),0))))/100+(Inputs!$B$24+((C2617=TRUE)*(F2617-Calc!F24))+(IF(ArtifactsInput!$M$15,CHOOSE(ArtifactsInput!$N$15+1,25,30,35,40,45,50)/100*(Inputs!$B$12-Inputs!$B$12),0)))/100)/2</f>
        <v/>
      </c>
      <c r="M2600">
        <f>L2600*(1+(Inputs!$B$11+0+B2627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600">
        <f>L2600*(1-MIN((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2600*(MIN((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00">
        <f>(1-Summary!$B$11)*T2600+Summary!$B$11*V2600</f>
        <v/>
      </c>
      <c r="P2600">
        <f>IF(B2632=0,0,O2600/B2632)</f>
        <v/>
      </c>
      <c r="Q2600">
        <f>IFERROR(1/IF(Inputs!$B$39="pvp",15,MAX(0.1,Skills!D7-IF(TRUE=TRUE,Inputs!$B$33,0))),0)</f>
        <v/>
      </c>
      <c r="R2600">
        <f>IF(AND(Inputs!$B$39&lt;&gt;"pvp",Inputs!$B$44&gt;0),IF(MAX(0,Inputs!$B$44-B2629)&lt;=0,0,(INT(MAX(0,Inputs!$B$44-B2629)/IF(Inputs!$B$39="pvp",15,MAX(0.1,Skills!D7-IF(TRUE=TRUE,Inputs!$B$33,0))))+1)),0)</f>
        <v/>
      </c>
      <c r="S2600">
        <f>IFERROR(O2600/N2600,0)</f>
        <v/>
      </c>
      <c r="T2600">
        <f>IF(C2600,(H2600*N2600*IF(AND(Inputs!$B$39&lt;&gt;"pvp",Inputs!$B$44&gt;0),((Skills!G7*((R2600-1)*IF(Skills!H7&gt;0,INT(Skills!I7/Skills!H7+0.000000001),1)+IF(Skills!H7&gt;0,INT(MIN(Skills!I7,MAX(0,MAX(0,Inputs!$B$44-B2629)-((R2600-1)*IF(Inputs!$B$39="pvp",15,MAX(0.1,Skills!D7-IF(TRUE=TRUE,Inputs!$B$33,0))))))/Skills!H7+0.000000001),1)))/Inputs!$B$44),G2600*Q2600))*IF(Inputs!$B$39="pvp",1,1+(Inputs!$B$21+0+Skills!P7+((C2610=TRUE)*F2610*IF(AND(Inputs!$B$39&lt;&gt;"pvp",Inputs!$B$44&gt;0),(((R2610-1)*MIN((Skills!T17*(1+Inputs!$B$35/100)),(1/Q2610))+MIN((Skills!T17*(1+Inputs!$B$35/100)),MAX(0,Inputs!$B$44-((R2610-1)*(1/Q2610)))))/Inputs!$B$44),IF(Inputs!$B$39="pvp",MIN((Skills!T17*(1+Inputs!$B$35/100)),15)/15,MIN(1,(Skills!T17*(1+Inputs!$B$35/100))/(1/Q2610)))))+((C2598=TRUE)*IF(Inputs!$B$3&gt;=126,10*MIN(1,15*Q2598),0))+((C2607=TRUE)*IF(Inputs!$B$39="pvp",20,(1-Summary!$B$11)*(20)+Summary!$B$11*(0))*IF(AND(Inputs!$B$39&lt;&gt;"pvp",Inputs!$B$44&gt;0),(((R2607-1)*MIN((Skills!T14*(1+Inputs!$B$35/100)),(1/Q2607))+MIN((Skills!T14*(1+Inputs!$B$35/100)),MAX(0,Inputs!$B$44-((R2607-1)*(1/Q2607)))))/Inputs!$B$44),IF(Inputs!$B$39="pvp",MIN((Skills!T14*(1+Inputs!$B$35/100)),15)/15,MIN(1,(Skills!T14*(1+Inputs!$B$35/100))/(1/Q2607)))))+((C2606=TRUE)*IF(Inputs!$B$3&gt;=82,IF(Inputs!$B$39="pvp",20,(1-Summary!$B$11)*(20)+Summary!$B$11*(0)),0)*IF(AND(Inputs!$B$39&lt;&gt;"pvp",Inputs!$B$44&gt;0),(((R2606-1)*MIN((Skills!T13*(1+Inputs!$B$35/100)),(1/Q2606))+MIN((Skills!T13*(1+Inputs!$B$35/100)),MAX(0,Inputs!$B$44-((R2606-1)*(1/Q2606)))))/Inputs!$B$44),IF(Inputs!$B$39="pvp",MIN((Skills!T13*(1+Inputs!$B$35/100)),15)/15,MIN(1,(Skills!T13*(1+Inputs!$B$35/100))/(1/Q2606)))))+(IF(AND(ArtifactsInput!$M$35,Inputs!$B$4&lt;&gt;"Chapter Hunt"),CHOOSE(ArtifactsInput!$N$35+1,15,18,21,24,27,30)*(1-EXP(-(0.2*B2624)*5)),0)+IF(AND(ArtifactsInput!$M$22,Inputs!$B$4&lt;&gt;"Chapter Hunt"),CHOOSE(ArtifactsInput!$N$22+1,10,12,14,16,18,20)*((0*(((0.15*B2624*5))^0/1)+1*(((0.15*B2624*5))^1/1)+2*(((0.15*B2624*5))^2/2)+3*(((0.15*B2624*5))^3/6)+4*(((0.15*B2624*5))^4/24)+5*(((0.15*B2624*5))^5/120))/((((0.15*B2624*5))^0/1)+(((0.15*B2624*5))^1/1)+(((0.15*B2624*5))^2/2)+(((0.15*B2624*5))^3/6)+(((0.15*B2624*5))^4/24)+(((0.15*B2624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2600*(1-MIN(100,(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2600*(MIN(100,(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2600*(1-MIN(100,(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2600*(MIN(100,(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00">
        <f>IF(C2600,(H2600*N2600*IF(AND(Inputs!$B$39&lt;&gt;"pvp",Inputs!$B$44&gt;0),((Skills!G7*((R2600-1)*IF(Skills!H7&gt;0,INT(Skills!I7/Skills!H7+0.000000001),1)+IF(Skills!H7&gt;0,INT(MIN(Skills!I7,MAX(0,MAX(0,Inputs!$B$44-B2629)-((R2600-1)*IF(Inputs!$B$39="pvp",15,MAX(0.1,Skills!D7-IF(TRUE=TRUE,Inputs!$B$33,0))))))/Skills!H7+0.000000001),1)))/Inputs!$B$44),G2600*Q2600))*IF(Inputs!$B$39="pvp",1,(1+(Inputs!$B$22+Skills!Q7+((C2610=TRUE)*F2610*IF(AND(Inputs!$B$39&lt;&gt;"pvp",Inputs!$B$44&gt;0),(((R2610-1)*MIN((Skills!T17*(1+Inputs!$B$35/100)),(1/Q2610))+MIN((Skills!T17*(1+Inputs!$B$35/100)),MAX(0,Inputs!$B$44-((R2610-1)*(1/Q2610)))))/Inputs!$B$44),IF(Inputs!$B$39="pvp",MIN((Skills!T17*(1+Inputs!$B$35/100)),15)/15,MIN(1,(Skills!T17*(1+Inputs!$B$35/100))/(1/Q2610)))))+((C2598=TRUE)*IF(Inputs!$B$3&gt;=126,10*MIN(1,15*Q2598),0))+((C2607=TRUE)*IF(Inputs!$B$39="pvp",20,(1-Summary!$B$11)*(20)+Summary!$B$11*(0))*IF(AND(Inputs!$B$39&lt;&gt;"pvp",Inputs!$B$44&gt;0),(((R2607-1)*MIN((Skills!T14*(1+Inputs!$B$35/100)),(1/Q2607))+MIN((Skills!T14*(1+Inputs!$B$35/100)),MAX(0,Inputs!$B$44-((R2607-1)*(1/Q2607)))))/Inputs!$B$44),IF(Inputs!$B$39="pvp",MIN((Skills!T14*(1+Inputs!$B$35/100)),15)/15,MIN(1,(Skills!T14*(1+Inputs!$B$35/100))/(1/Q2607)))))+((C2606=TRUE)*IF(Inputs!$B$3&gt;=82,IF(Inputs!$B$39="pvp",20,(1-Summary!$B$11)*(20)+Summary!$B$11*(0)),0)*IF(AND(Inputs!$B$39&lt;&gt;"pvp",Inputs!$B$44&gt;0),(((R2606-1)*MIN((Skills!T13*(1+Inputs!$B$35/100)),(1/Q2606))+MIN((Skills!T13*(1+Inputs!$B$35/100)),MAX(0,Inputs!$B$44-((R2606-1)*(1/Q2606)))))/Inputs!$B$44),IF(Inputs!$B$39="pvp",MIN((Skills!T13*(1+Inputs!$B$35/100)),15)/15,MIN(1,(Skills!T13*(1+Inputs!$B$35/100))/(1/Q2606)))))+(IF(AND(ArtifactsInput!$M$35,Inputs!$B$4&lt;&gt;"Chapter Hunt"),CHOOSE(ArtifactsInput!$N$35+1,15,18,21,24,27,30)*(1-EXP(-(0.2*B2624)*5)),0)+IF(AND(ArtifactsInput!$M$22,Inputs!$B$4&lt;&gt;"Chapter Hunt"),CHOOSE(ArtifactsInput!$N$22+1,10,12,14,16,18,20)*((0*(((0.15*B2624*5))^0/1)+1*(((0.15*B2624*5))^1/1)+2*(((0.15*B2624*5))^2/2)+3*(((0.15*B2624*5))^3/6)+4*(((0.15*B2624*5))^4/24)+5*(((0.15*B2624*5))^5/120))/((((0.15*B2624*5))^0/1)+(((0.15*B2624*5))^1/1)+(((0.15*B2624*5))^2/2)+(((0.15*B2624*5))^3/6)+(((0.15*B2624*5))^4/24)+(((0.15*B2624*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01">
      <c r="A2601">
        <f>Skills!A8</f>
        <v/>
      </c>
      <c r="B2601">
        <f>Skills!B8</f>
        <v/>
      </c>
      <c r="C2601">
        <f>Inputs!$B$3&gt;=75</f>
        <v/>
      </c>
      <c r="D2601">
        <f>IF(Skills!C8=1,60+Inputs!$B$26+Inputs!$B$30,IF(Skills!C8=2,90+Inputs!$B$27+Inputs!$B$30,IF(Skills!C8=3,120+Inputs!$B$28+Inputs!$B$30,MAX(0,(Inputs!$B$3-100)*3)+Inputs!$B$29+Inputs!$B$30)))</f>
        <v/>
      </c>
      <c r="E2601">
        <f>INDEX(FactorTable!$B$2:$Y$301, MATCH(ROUND(MIN(300,MAX(1,D2601)),0), FactorTable!$A$2:$A$301,0), Skills!M8+1)</f>
        <v/>
      </c>
      <c r="F2601">
        <f>IF(Skills!N8=TRUE,(Skills!L8/10)*(E2601/1000),Skills!L8/10)+Skills!O8</f>
        <v/>
      </c>
      <c r="G2601" t="inlineStr"/>
      <c r="H2601" t="inlineStr"/>
      <c r="I2601" t="inlineStr">
        <is>
          <t>1</t>
        </is>
      </c>
      <c r="J2601" t="inlineStr"/>
      <c r="K2601" t="inlineStr"/>
      <c r="L2601" t="inlineStr"/>
      <c r="M2601" t="inlineStr"/>
      <c r="N2601" t="inlineStr"/>
      <c r="O2601" t="inlineStr"/>
      <c r="P2601" t="inlineStr"/>
      <c r="Q2601" t="inlineStr"/>
      <c r="R2601" t="inlineStr"/>
      <c r="S2601" t="inlineStr"/>
    </row>
    <row r="2602">
      <c r="A2602">
        <f>Skills!A9</f>
        <v/>
      </c>
      <c r="B2602">
        <f>Skills!B9</f>
        <v/>
      </c>
      <c r="C2602">
        <f>Inputs!$B$3&gt;=60</f>
        <v/>
      </c>
      <c r="D2602">
        <f>IF(Skills!C9=1,60+Inputs!$B$26+Inputs!$B$30,IF(Skills!C9=2,90+Inputs!$B$27+Inputs!$B$30,IF(Skills!C9=3,120+Inputs!$B$28+Inputs!$B$30,MAX(0,(Inputs!$B$3-100)*3)+Inputs!$B$29+Inputs!$B$30)))</f>
        <v/>
      </c>
      <c r="E2602">
        <f>INDEX(FactorTable!$B$2:$Y$301, MATCH(ROUND(MIN(300,MAX(1,D2602)),0), FactorTable!$A$2:$A$301,0), Skills!M9+1)</f>
        <v/>
      </c>
      <c r="F2602">
        <f>IF(Skills!N9=TRUE,(Skills!L9/10)*(E2602/1000),Skills!L9/10)+Skills!O9</f>
        <v/>
      </c>
      <c r="G2602">
        <f>Skills!G9*IF(Skills!H9&gt;0,INT(IF(Inputs!$B$39="pvp",MIN(Skills!I9,15),Skills!I9)/Skills!H9+0.000000001),1)</f>
        <v/>
      </c>
      <c r="H2602">
        <f>1-(1-Skills!J9/100)^Skills!K9</f>
        <v/>
      </c>
      <c r="I2602" t="inlineStr">
        <is>
          <t>1</t>
        </is>
      </c>
      <c r="J2602">
        <f>((Inputs!$B$6*(1+Inputs!$B$7/100))+(((Inputs!$B$13*(1+Inputs!$B$14/100))-(Inputs!$B$13*(1+Inputs!$B$14/100)))+0.25*(Inputs!$B$15-Inputs!$B$15))*(1+Inputs!$B$7/100))*(F2602/100)</f>
        <v/>
      </c>
      <c r="K2602">
        <f>J2602*(1+(((Inputs!$B$13+IF(Inputs!$B$3&gt;=38,(10*INDEX(FactorTable!$B$2:$Y$301, MATCH(ROUND(MIN(300,MAX(1,Inputs!$B$3)),0), FactorTable!$A$2:$A$301,0), 23)/1000)/100*(Inputs!$B$8*(1+Inputs!$B$9/100)),0))*(1+Inputs!$B$14/100))*0.01+Inputs!$B$15*0.0025)/100)*(1+Inputs!$B$16/100)*(1+Inputs!$B$17/100)*(5000/(6000+Inputs!$B$43*(1-(Inputs!$B$20+0)/100)))*(1+(Inputs!$B$25+((C2618=TRUE)*(F2618-Calc!F25))+((C2619=TRUE)*(F2619-Calc!F26))+B2628)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2604=TRUE,F2604,0)/100)*(1+(IF(Skills!A9="DARK_IMPALE",Inputs!$B$18+0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gt;=100),MIN(100,((Inputs!$B$10+0+B2622+(ArtifactsInput!$M$24-ArtifactsInput!$M$24)*CHOOSE(ArtifactsInput!$N$24+1,10,12,14,16,18,20)+IF(ArtifactsInput!$M$10,CHOOSE(ArtifactsInput!$N$10+1,15,18,21,24,27,30)*(IF(Inputs!$B$39="pvp",MIN(15,15)/15,IF(AND(Inputs!$B$39&lt;&gt;"pvp",Inputs!$B$44&gt;0),MIN(15,Inputs!$B$44)/(Inputs!$B$44),0))),0)))-100),0))*CHOOSE(ArtifactsInput!$N$42+1,0.6,0.72,0.84,0.96,1.08,1.2))),Inputs!$B$19+((C2616=TRUE)*(F2616-Calc!F23))+(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gt;=100),CHOOSE(ArtifactsInput!$N$42+1,40,48,56,64,72,80),0))))/100)*((1+(((C2606=TRUE)*F2606*IF(AND(Inputs!$B$39&lt;&gt;"pvp",Inputs!$B$44&gt;0),(((R2606-1)*MIN((Skills!T13*(1+Inputs!$B$35/100)),(1/Q2606))+MIN((Skills!T13*(1+Inputs!$B$35/100)),MAX(0,Inputs!$B$44-((R2606-1)*(1/Q2606)))))/Inputs!$B$44),IF(Inputs!$B$39="pvp",MIN((Skills!T13*(1+Inputs!$B$35/100)),15)/15,MIN(1,(Skills!T13*(1+Inputs!$B$35/100))/(1/Q2606)))))+((C2607=TRUE)*F2607*IF(AND(Inputs!$B$39&lt;&gt;"pvp",Inputs!$B$44&gt;0),(((R2607-1)*MIN((Skills!T14*(1+Inputs!$B$35/100)),(1/Q2607))+MIN((Skills!T14*(1+Inputs!$B$35/100)),MAX(0,Inputs!$B$44-((R2607-1)*(1/Q2607)))))/Inputs!$B$44),IF(Inputs!$B$39="pvp",MIN((Skills!T14*(1+Inputs!$B$35/100)),15)/15,MIN(1,(Skills!T14*(1+Inputs!$B$35/100))/(1/Q2607)))))+((C2608=TRUE)*F2608*IF(AND(Inputs!$B$39&lt;&gt;"pvp",Inputs!$B$44&gt;0),(((R2608-1)*MIN((Skills!T15*(1+Inputs!$B$35/100)),(1/Q2608))+MIN((Skills!T15*(1+Inputs!$B$35/100)),MAX(0,Inputs!$B$44-((R2608-1)*(1/Q2608)))))/Inputs!$B$44),IF(Inputs!$B$39="pvp",MIN((Skills!T15*(1+Inputs!$B$35/100)),15)/15,MIN(1,(Skills!T15*(1+Inputs!$B$35/100))/(1/Q2608)))))+((C2609=TRUE)*F2609*IF(AND(Inputs!$B$39&lt;&gt;"pvp",Inputs!$B$44&gt;0),(((R2609-1)*MIN((Skills!T16*(1+Inputs!$B$35/100)),(1/Q2609))+MIN((Skills!T16*(1+Inputs!$B$35/100)),MAX(0,Inputs!$B$44-((R2609-1)*(1/Q2609)))))/Inputs!$B$44),IF(Inputs!$B$39="pvp",MIN((Skills!T16*(1+Inputs!$B$35/100)),15)/15,MIN(1,(Skills!T16*(1+Inputs!$B$35/100))/(1/Q2609)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2602)</f>
        <v/>
      </c>
      <c r="L2602">
        <f>K2602*(MIN(Inputs!$B$23+((C2615=TRUE)*(F2615-Calc!F22)),(Inputs!$B$24+((C2617=TRUE)*(F2617-Calc!F24))+(IF(ArtifactsInput!$M$15,CHOOSE(ArtifactsInput!$N$15+1,25,30,35,40,45,50)/100*(Inputs!$B$12-Inputs!$B$12),0))))/100+(Inputs!$B$24+((C2617=TRUE)*(F2617-Calc!F24))+(IF(ArtifactsInput!$M$15,CHOOSE(ArtifactsInput!$N$15+1,25,30,35,40,45,50)/100*(Inputs!$B$12-Inputs!$B$12),0)))/100)/2</f>
        <v/>
      </c>
      <c r="M2602">
        <f>L2602*(1+(Inputs!$B$11+0+B2627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602">
        <f>L2602*(1-MIN((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2602*(MIN((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02">
        <f>(1-Summary!$B$11)*T2602+Summary!$B$11*V2602</f>
        <v/>
      </c>
      <c r="P2602">
        <f>IF(B2632=0,0,O2602/B2632)</f>
        <v/>
      </c>
      <c r="Q2602">
        <f>IFERROR(1/IF(Inputs!$B$39="pvp",15,MAX(0.1,Skills!D9-IF(TRUE=TRUE,Inputs!$B$33,0))),0)</f>
        <v/>
      </c>
      <c r="R2602">
        <f>IF(AND(Inputs!$B$39&lt;&gt;"pvp",Inputs!$B$44&gt;0),IF(MAX(0,Inputs!$B$44-B2629)&lt;=0,0,(INT(MAX(0,Inputs!$B$44-B2629)/IF(Inputs!$B$39="pvp",15,MAX(0.1,Skills!D9-IF(TRUE=TRUE,Inputs!$B$33,0))))+1)),0)</f>
        <v/>
      </c>
      <c r="S2602">
        <f>IFERROR(O2602/N2602,0)</f>
        <v/>
      </c>
      <c r="T2602">
        <f>IF(C2602,(H2602*N2602*IF(AND(Inputs!$B$39&lt;&gt;"pvp",Inputs!$B$44&gt;0),((Skills!G9*((R2602-1)*IF(Skills!H9&gt;0,INT(Skills!I9/Skills!H9+0.000000001),1)+IF(Skills!H9&gt;0,INT(MIN(Skills!I9,MAX(0,MAX(0,Inputs!$B$44-B2629)-((R2602-1)*IF(Inputs!$B$39="pvp",15,MAX(0.1,Skills!D9-IF(TRUE=TRUE,Inputs!$B$33,0))))))/Skills!H9+0.000000001),1)))/Inputs!$B$44),G2602*Q2602))*IF(Inputs!$B$39="pvp",1,1+(Inputs!$B$21+0+Skills!P9+((C2610=TRUE)*F2610*IF(AND(Inputs!$B$39&lt;&gt;"pvp",Inputs!$B$44&gt;0),(((R2610-1)*MIN((Skills!T17*(1+Inputs!$B$35/100)),(1/Q2610))+MIN((Skills!T17*(1+Inputs!$B$35/100)),MAX(0,Inputs!$B$44-((R2610-1)*(1/Q2610)))))/Inputs!$B$44),IF(Inputs!$B$39="pvp",MIN((Skills!T17*(1+Inputs!$B$35/100)),15)/15,MIN(1,(Skills!T17*(1+Inputs!$B$35/100))/(1/Q2610)))))+((C2598=TRUE)*IF(Inputs!$B$3&gt;=126,10*MIN(1,15*Q2598),0))+((C2607=TRUE)*IF(Inputs!$B$39="pvp",20,(1-Summary!$B$11)*(20)+Summary!$B$11*(0))*IF(AND(Inputs!$B$39&lt;&gt;"pvp",Inputs!$B$44&gt;0),(((R2607-1)*MIN((Skills!T14*(1+Inputs!$B$35/100)),(1/Q2607))+MIN((Skills!T14*(1+Inputs!$B$35/100)),MAX(0,Inputs!$B$44-((R2607-1)*(1/Q2607)))))/Inputs!$B$44),IF(Inputs!$B$39="pvp",MIN((Skills!T14*(1+Inputs!$B$35/100)),15)/15,MIN(1,(Skills!T14*(1+Inputs!$B$35/100))/(1/Q2607)))))+((C2606=TRUE)*IF(Inputs!$B$3&gt;=82,IF(Inputs!$B$39="pvp",20,(1-Summary!$B$11)*(20)+Summary!$B$11*(0)),0)*IF(AND(Inputs!$B$39&lt;&gt;"pvp",Inputs!$B$44&gt;0),(((R2606-1)*MIN((Skills!T13*(1+Inputs!$B$35/100)),(1/Q2606))+MIN((Skills!T13*(1+Inputs!$B$35/100)),MAX(0,Inputs!$B$44-((R2606-1)*(1/Q2606)))))/Inputs!$B$44),IF(Inputs!$B$39="pvp",MIN((Skills!T13*(1+Inputs!$B$35/100)),15)/15,MIN(1,(Skills!T13*(1+Inputs!$B$35/100))/(1/Q2606)))))+(IF(AND(ArtifactsInput!$M$35,Inputs!$B$4&lt;&gt;"Chapter Hunt"),CHOOSE(ArtifactsInput!$N$35+1,15,18,21,24,27,30)*(1-EXP(-(0.2*B2624)*5)),0)+IF(AND(ArtifactsInput!$M$22,Inputs!$B$4&lt;&gt;"Chapter Hunt"),CHOOSE(ArtifactsInput!$N$22+1,10,12,14,16,18,20)*((0*(((0.15*B2624*5))^0/1)+1*(((0.15*B2624*5))^1/1)+2*(((0.15*B2624*5))^2/2)+3*(((0.15*B2624*5))^3/6)+4*(((0.15*B2624*5))^4/24)+5*(((0.15*B2624*5))^5/120))/((((0.15*B2624*5))^0/1)+(((0.15*B2624*5))^1/1)+(((0.15*B2624*5))^2/2)+(((0.15*B2624*5))^3/6)+(((0.15*B2624*5))^4/24)+(((0.15*B2624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2602*(1-MIN(100,(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2602*(MIN(100,(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2602*(1-MIN(100,(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2602*(MIN(100,(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02">
        <f>IF(C2602,(H2602*N2602*IF(AND(Inputs!$B$39&lt;&gt;"pvp",Inputs!$B$44&gt;0),((Skills!G9*((R2602-1)*IF(Skills!H9&gt;0,INT(Skills!I9/Skills!H9+0.000000001),1)+IF(Skills!H9&gt;0,INT(MIN(Skills!I9,MAX(0,MAX(0,Inputs!$B$44-B2629)-((R2602-1)*IF(Inputs!$B$39="pvp",15,MAX(0.1,Skills!D9-IF(TRUE=TRUE,Inputs!$B$33,0))))))/Skills!H9+0.000000001),1)))/Inputs!$B$44),G2602*Q2602))*IF(Inputs!$B$39="pvp",1,(1+(Inputs!$B$22+Skills!Q9+((C2610=TRUE)*F2610*IF(AND(Inputs!$B$39&lt;&gt;"pvp",Inputs!$B$44&gt;0),(((R2610-1)*MIN((Skills!T17*(1+Inputs!$B$35/100)),(1/Q2610))+MIN((Skills!T17*(1+Inputs!$B$35/100)),MAX(0,Inputs!$B$44-((R2610-1)*(1/Q2610)))))/Inputs!$B$44),IF(Inputs!$B$39="pvp",MIN((Skills!T17*(1+Inputs!$B$35/100)),15)/15,MIN(1,(Skills!T17*(1+Inputs!$B$35/100))/(1/Q2610)))))+((C2598=TRUE)*IF(Inputs!$B$3&gt;=126,10*MIN(1,15*Q2598),0))+((C2607=TRUE)*IF(Inputs!$B$39="pvp",20,(1-Summary!$B$11)*(20)+Summary!$B$11*(0))*IF(AND(Inputs!$B$39&lt;&gt;"pvp",Inputs!$B$44&gt;0),(((R2607-1)*MIN((Skills!T14*(1+Inputs!$B$35/100)),(1/Q2607))+MIN((Skills!T14*(1+Inputs!$B$35/100)),MAX(0,Inputs!$B$44-((R2607-1)*(1/Q2607)))))/Inputs!$B$44),IF(Inputs!$B$39="pvp",MIN((Skills!T14*(1+Inputs!$B$35/100)),15)/15,MIN(1,(Skills!T14*(1+Inputs!$B$35/100))/(1/Q2607)))))+((C2606=TRUE)*IF(Inputs!$B$3&gt;=82,IF(Inputs!$B$39="pvp",20,(1-Summary!$B$11)*(20)+Summary!$B$11*(0)),0)*IF(AND(Inputs!$B$39&lt;&gt;"pvp",Inputs!$B$44&gt;0),(((R2606-1)*MIN((Skills!T13*(1+Inputs!$B$35/100)),(1/Q2606))+MIN((Skills!T13*(1+Inputs!$B$35/100)),MAX(0,Inputs!$B$44-((R2606-1)*(1/Q2606)))))/Inputs!$B$44),IF(Inputs!$B$39="pvp",MIN((Skills!T13*(1+Inputs!$B$35/100)),15)/15,MIN(1,(Skills!T13*(1+Inputs!$B$35/100))/(1/Q2606)))))+(IF(AND(ArtifactsInput!$M$35,Inputs!$B$4&lt;&gt;"Chapter Hunt"),CHOOSE(ArtifactsInput!$N$35+1,15,18,21,24,27,30)*(1-EXP(-(0.2*B2624)*5)),0)+IF(AND(ArtifactsInput!$M$22,Inputs!$B$4&lt;&gt;"Chapter Hunt"),CHOOSE(ArtifactsInput!$N$22+1,10,12,14,16,18,20)*((0*(((0.15*B2624*5))^0/1)+1*(((0.15*B2624*5))^1/1)+2*(((0.15*B2624*5))^2/2)+3*(((0.15*B2624*5))^3/6)+4*(((0.15*B2624*5))^4/24)+5*(((0.15*B2624*5))^5/120))/((((0.15*B2624*5))^0/1)+(((0.15*B2624*5))^1/1)+(((0.15*B2624*5))^2/2)+(((0.15*B2624*5))^3/6)+(((0.15*B2624*5))^4/24)+(((0.15*B2624*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03">
      <c r="A2603">
        <f>Skills!A10</f>
        <v/>
      </c>
      <c r="B2603">
        <f>Skills!B10</f>
        <v/>
      </c>
      <c r="C2603">
        <f>Inputs!$B$3&gt;=110</f>
        <v/>
      </c>
      <c r="D2603">
        <f>IF(Skills!C10=1,60+Inputs!$B$26+Inputs!$B$30,IF(Skills!C10=2,90+Inputs!$B$27+Inputs!$B$30,IF(Skills!C10=3,120+Inputs!$B$28+Inputs!$B$30,MAX(0,(Inputs!$B$3-100)*3)+Inputs!$B$29+Inputs!$B$30)))</f>
        <v/>
      </c>
      <c r="E2603">
        <f>INDEX(FactorTable!$B$2:$Y$301, MATCH(ROUND(MIN(300,MAX(1,D2603)),0), FactorTable!$A$2:$A$301,0), Skills!M10+1)</f>
        <v/>
      </c>
      <c r="F2603">
        <f>IF(Skills!N10=TRUE,(Skills!L10/10)*(E2603/1000),Skills!L10/10)+Skills!O10</f>
        <v/>
      </c>
      <c r="G2603">
        <f>Skills!G10*IF(Skills!H10&gt;0,INT(IF(Inputs!$B$39="pvp",MIN(Skills!I10,15),Skills!I10)/Skills!H10+0.000000001),1)</f>
        <v/>
      </c>
      <c r="H2603">
        <f>1-(1-Skills!J10/100)^Skills!K10</f>
        <v/>
      </c>
      <c r="I2603" t="inlineStr">
        <is>
          <t>1</t>
        </is>
      </c>
      <c r="J2603">
        <f>((Inputs!$B$6*(1+Inputs!$B$7/100))+(((Inputs!$B$13*(1+Inputs!$B$14/100))-(Inputs!$B$13*(1+Inputs!$B$14/100)))+0.25*(Inputs!$B$15-Inputs!$B$15))*(1+Inputs!$B$7/100))*(F2603/100)</f>
        <v/>
      </c>
      <c r="K2603">
        <f>J2603*(1+(((Inputs!$B$13+IF(Inputs!$B$3&gt;=38,(10*INDEX(FactorTable!$B$2:$Y$301, MATCH(ROUND(MIN(300,MAX(1,Inputs!$B$3)),0), FactorTable!$A$2:$A$301,0), 23)/1000)/100*(Inputs!$B$8*(1+Inputs!$B$9/100)),0))*(1+Inputs!$B$14/100))*0.01+Inputs!$B$15*0.0025)/100)*(1+Inputs!$B$16/100)*(1+Inputs!$B$17/100)*(5000/(6000+Inputs!$B$43*(1-(Inputs!$B$20+0)/100)))*(1+(Inputs!$B$25+((C2618=TRUE)*(F2618-Calc!F25))+((C2619=TRUE)*(F2619-Calc!F26))+B2628)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gt;=100),MIN(100,((Inputs!$B$10+0+B2622+(ArtifactsInput!$M$24-ArtifactsInput!$M$24)*CHOOSE(ArtifactsInput!$N$24+1,10,12,14,16,18,20)+IF(ArtifactsInput!$M$10,CHOOSE(ArtifactsInput!$N$10+1,15,18,21,24,27,30)*(IF(Inputs!$B$39="pvp",MIN(15,15)/15,IF(AND(Inputs!$B$39&lt;&gt;"pvp",Inputs!$B$44&gt;0),MIN(15,Inputs!$B$44)/(Inputs!$B$44),0))),0)))-100),0))*CHOOSE(ArtifactsInput!$N$42+1,0.6,0.72,0.84,0.96,1.08,1.2))),Inputs!$B$19+((C2616=TRUE)*(F2616-Calc!F23))+(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gt;=100),CHOOSE(ArtifactsInput!$N$42+1,40,48,56,64,72,80),0))))/100)*((1+(((C2606=TRUE)*F2606*IF(AND(Inputs!$B$39&lt;&gt;"pvp",Inputs!$B$44&gt;0),(((R2606-1)*MIN((Skills!T13*(1+Inputs!$B$35/100)),(1/Q2606))+MIN((Skills!T13*(1+Inputs!$B$35/100)),MAX(0,Inputs!$B$44-((R2606-1)*(1/Q2606)))))/Inputs!$B$44),IF(Inputs!$B$39="pvp",MIN((Skills!T13*(1+Inputs!$B$35/100)),15)/15,MIN(1,(Skills!T13*(1+Inputs!$B$35/100))/(1/Q2606)))))+((C2607=TRUE)*F2607*IF(AND(Inputs!$B$39&lt;&gt;"pvp",Inputs!$B$44&gt;0),(((R2607-1)*MIN((Skills!T14*(1+Inputs!$B$35/100)),(1/Q2607))+MIN((Skills!T14*(1+Inputs!$B$35/100)),MAX(0,Inputs!$B$44-((R2607-1)*(1/Q2607)))))/Inputs!$B$44),IF(Inputs!$B$39="pvp",MIN((Skills!T14*(1+Inputs!$B$35/100)),15)/15,MIN(1,(Skills!T14*(1+Inputs!$B$35/100))/(1/Q2607)))))+((C2608=TRUE)*F2608*IF(AND(Inputs!$B$39&lt;&gt;"pvp",Inputs!$B$44&gt;0),(((R2608-1)*MIN((Skills!T15*(1+Inputs!$B$35/100)),(1/Q2608))+MIN((Skills!T15*(1+Inputs!$B$35/100)),MAX(0,Inputs!$B$44-((R2608-1)*(1/Q2608)))))/Inputs!$B$44),IF(Inputs!$B$39="pvp",MIN((Skills!T15*(1+Inputs!$B$35/100)),15)/15,MIN(1,(Skills!T15*(1+Inputs!$B$35/100))/(1/Q2608)))))+((C2609=TRUE)*F2609*IF(AND(Inputs!$B$39&lt;&gt;"pvp",Inputs!$B$44&gt;0),(((R2609-1)*MIN((Skills!T16*(1+Inputs!$B$35/100)),(1/Q2609))+MIN((Skills!T16*(1+Inputs!$B$35/100)),MAX(0,Inputs!$B$44-((R2609-1)*(1/Q2609)))))/Inputs!$B$44),IF(Inputs!$B$39="pvp",MIN((Skills!T16*(1+Inputs!$B$35/100)),15)/15,MIN(1,(Skills!T16*(1+Inputs!$B$35/100))/(1/Q2609)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2603)</f>
        <v/>
      </c>
      <c r="L2603">
        <f>K2603*(MIN(Inputs!$B$23+((C2615=TRUE)*(F2615-Calc!F22)),(Inputs!$B$24+((C2617=TRUE)*(F2617-Calc!F24))+(IF(ArtifactsInput!$M$15,CHOOSE(ArtifactsInput!$N$15+1,25,30,35,40,45,50)/100*(Inputs!$B$12-Inputs!$B$12),0))))/100+(Inputs!$B$24+((C2617=TRUE)*(F2617-Calc!F24))+(IF(ArtifactsInput!$M$15,CHOOSE(ArtifactsInput!$N$15+1,25,30,35,40,45,50)/100*(Inputs!$B$12-Inputs!$B$12),0)))/100)/2</f>
        <v/>
      </c>
      <c r="M2603">
        <f>L2603*(1+(Inputs!$B$11+0+B2627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603">
        <f>L2603*(1-MIN((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2603*(MIN((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03">
        <f>(1-Summary!$B$11)*T2603+Summary!$B$11*V2603</f>
        <v/>
      </c>
      <c r="P2603">
        <f>IF(B2632=0,0,O2603/B2632)</f>
        <v/>
      </c>
      <c r="Q2603">
        <f>IFERROR(1/IF(Inputs!$B$39="pvp",15,MAX(0.1,Skills!D10-IF(TRUE=TRUE,Inputs!$B$33,0))),0)</f>
        <v/>
      </c>
      <c r="R2603">
        <f>IF(AND(Inputs!$B$39&lt;&gt;"pvp",Inputs!$B$44&gt;0),IF(MAX(0,Inputs!$B$44-B2629)&lt;=0,0,(INT(MAX(0,Inputs!$B$44-B2629)/IF(Inputs!$B$39="pvp",15,MAX(0.1,Skills!D10-IF(TRUE=TRUE,Inputs!$B$33,0))))+1)),0)</f>
        <v/>
      </c>
      <c r="S2603">
        <f>IFERROR(O2603/N2603,0)</f>
        <v/>
      </c>
      <c r="T2603">
        <f>IF(C2603,(H2603*N2603*IF(AND(Inputs!$B$39&lt;&gt;"pvp",Inputs!$B$44&gt;0),((Skills!G10*((R2603-1)*IF(Skills!H10&gt;0,INT(Skills!I10/Skills!H10+0.000000001),1)+IF(Skills!H10&gt;0,INT(MIN(Skills!I10,MAX(0,MAX(0,Inputs!$B$44-B2629)-((R2603-1)*IF(Inputs!$B$39="pvp",15,MAX(0.1,Skills!D10-IF(TRUE=TRUE,Inputs!$B$33,0))))))/Skills!H10+0.000000001),1)))/Inputs!$B$44),G2603*Q2603))*IF(Inputs!$B$39="pvp",1,1+(Inputs!$B$21+0+Skills!P10+((C2610=TRUE)*F2610*IF(AND(Inputs!$B$39&lt;&gt;"pvp",Inputs!$B$44&gt;0),(((R2610-1)*MIN((Skills!T17*(1+Inputs!$B$35/100)),(1/Q2610))+MIN((Skills!T17*(1+Inputs!$B$35/100)),MAX(0,Inputs!$B$44-((R2610-1)*(1/Q2610)))))/Inputs!$B$44),IF(Inputs!$B$39="pvp",MIN((Skills!T17*(1+Inputs!$B$35/100)),15)/15,MIN(1,(Skills!T17*(1+Inputs!$B$35/100))/(1/Q2610)))))+((C2598=TRUE)*IF(Inputs!$B$3&gt;=126,10*MIN(1,15*Q2598),0))+((C2607=TRUE)*IF(Inputs!$B$39="pvp",20,(1-Summary!$B$11)*(20)+Summary!$B$11*(0))*IF(AND(Inputs!$B$39&lt;&gt;"pvp",Inputs!$B$44&gt;0),(((R2607-1)*MIN((Skills!T14*(1+Inputs!$B$35/100)),(1/Q2607))+MIN((Skills!T14*(1+Inputs!$B$35/100)),MAX(0,Inputs!$B$44-((R2607-1)*(1/Q2607)))))/Inputs!$B$44),IF(Inputs!$B$39="pvp",MIN((Skills!T14*(1+Inputs!$B$35/100)),15)/15,MIN(1,(Skills!T14*(1+Inputs!$B$35/100))/(1/Q2607)))))+((C2606=TRUE)*IF(Inputs!$B$3&gt;=82,IF(Inputs!$B$39="pvp",20,(1-Summary!$B$11)*(20)+Summary!$B$11*(0)),0)*IF(AND(Inputs!$B$39&lt;&gt;"pvp",Inputs!$B$44&gt;0),(((R2606-1)*MIN((Skills!T13*(1+Inputs!$B$35/100)),(1/Q2606))+MIN((Skills!T13*(1+Inputs!$B$35/100)),MAX(0,Inputs!$B$44-((R2606-1)*(1/Q2606)))))/Inputs!$B$44),IF(Inputs!$B$39="pvp",MIN((Skills!T13*(1+Inputs!$B$35/100)),15)/15,MIN(1,(Skills!T13*(1+Inputs!$B$35/100))/(1/Q2606)))))+(IF(AND(ArtifactsInput!$M$35,Inputs!$B$4&lt;&gt;"Chapter Hunt"),CHOOSE(ArtifactsInput!$N$35+1,15,18,21,24,27,30)*(1-EXP(-(0.2*B2624)*5)),0)+IF(AND(ArtifactsInput!$M$22,Inputs!$B$4&lt;&gt;"Chapter Hunt"),CHOOSE(ArtifactsInput!$N$22+1,10,12,14,16,18,20)*((0*(((0.15*B2624*5))^0/1)+1*(((0.15*B2624*5))^1/1)+2*(((0.15*B2624*5))^2/2)+3*(((0.15*B2624*5))^3/6)+4*(((0.15*B2624*5))^4/24)+5*(((0.15*B2624*5))^5/120))/((((0.15*B2624*5))^0/1)+(((0.15*B2624*5))^1/1)+(((0.15*B2624*5))^2/2)+(((0.15*B2624*5))^3/6)+(((0.15*B2624*5))^4/24)+(((0.15*B2624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2603*(1-MIN(100,(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2603*(MIN(100,(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2603*(1-MIN(100,(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2603*(MIN(100,(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03">
        <f>IF(C2603,(H2603*N2603*IF(AND(Inputs!$B$39&lt;&gt;"pvp",Inputs!$B$44&gt;0),((Skills!G10*((R2603-1)*IF(Skills!H10&gt;0,INT(Skills!I10/Skills!H10+0.000000001),1)+IF(Skills!H10&gt;0,INT(MIN(Skills!I10,MAX(0,MAX(0,Inputs!$B$44-B2629)-((R2603-1)*IF(Inputs!$B$39="pvp",15,MAX(0.1,Skills!D10-IF(TRUE=TRUE,Inputs!$B$33,0))))))/Skills!H10+0.000000001),1)))/Inputs!$B$44),G2603*Q2603))*IF(Inputs!$B$39="pvp",1,(1+(Inputs!$B$22+Skills!Q10+((C2610=TRUE)*F2610*IF(AND(Inputs!$B$39&lt;&gt;"pvp",Inputs!$B$44&gt;0),(((R2610-1)*MIN((Skills!T17*(1+Inputs!$B$35/100)),(1/Q2610))+MIN((Skills!T17*(1+Inputs!$B$35/100)),MAX(0,Inputs!$B$44-((R2610-1)*(1/Q2610)))))/Inputs!$B$44),IF(Inputs!$B$39="pvp",MIN((Skills!T17*(1+Inputs!$B$35/100)),15)/15,MIN(1,(Skills!T17*(1+Inputs!$B$35/100))/(1/Q2610)))))+((C2598=TRUE)*IF(Inputs!$B$3&gt;=126,10*MIN(1,15*Q2598),0))+((C2607=TRUE)*IF(Inputs!$B$39="pvp",20,(1-Summary!$B$11)*(20)+Summary!$B$11*(0))*IF(AND(Inputs!$B$39&lt;&gt;"pvp",Inputs!$B$44&gt;0),(((R2607-1)*MIN((Skills!T14*(1+Inputs!$B$35/100)),(1/Q2607))+MIN((Skills!T14*(1+Inputs!$B$35/100)),MAX(0,Inputs!$B$44-((R2607-1)*(1/Q2607)))))/Inputs!$B$44),IF(Inputs!$B$39="pvp",MIN((Skills!T14*(1+Inputs!$B$35/100)),15)/15,MIN(1,(Skills!T14*(1+Inputs!$B$35/100))/(1/Q2607)))))+((C2606=TRUE)*IF(Inputs!$B$3&gt;=82,IF(Inputs!$B$39="pvp",20,(1-Summary!$B$11)*(20)+Summary!$B$11*(0)),0)*IF(AND(Inputs!$B$39&lt;&gt;"pvp",Inputs!$B$44&gt;0),(((R2606-1)*MIN((Skills!T13*(1+Inputs!$B$35/100)),(1/Q2606))+MIN((Skills!T13*(1+Inputs!$B$35/100)),MAX(0,Inputs!$B$44-((R2606-1)*(1/Q2606)))))/Inputs!$B$44),IF(Inputs!$B$39="pvp",MIN((Skills!T13*(1+Inputs!$B$35/100)),15)/15,MIN(1,(Skills!T13*(1+Inputs!$B$35/100))/(1/Q2606)))))+(IF(AND(ArtifactsInput!$M$35,Inputs!$B$4&lt;&gt;"Chapter Hunt"),CHOOSE(ArtifactsInput!$N$35+1,15,18,21,24,27,30)*(1-EXP(-(0.2*B2624)*5)),0)+IF(AND(ArtifactsInput!$M$22,Inputs!$B$4&lt;&gt;"Chapter Hunt"),CHOOSE(ArtifactsInput!$N$22+1,10,12,14,16,18,20)*((0*(((0.15*B2624*5))^0/1)+1*(((0.15*B2624*5))^1/1)+2*(((0.15*B2624*5))^2/2)+3*(((0.15*B2624*5))^3/6)+4*(((0.15*B2624*5))^4/24)+5*(((0.15*B2624*5))^5/120))/((((0.15*B2624*5))^0/1)+(((0.15*B2624*5))^1/1)+(((0.15*B2624*5))^2/2)+(((0.15*B2624*5))^3/6)+(((0.15*B2624*5))^4/24)+(((0.15*B2624*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04">
      <c r="A2604">
        <f>Skills!A11</f>
        <v/>
      </c>
      <c r="B2604">
        <f>Skills!B11</f>
        <v/>
      </c>
      <c r="C2604">
        <f>Inputs!$B$3&gt;=100</f>
        <v/>
      </c>
      <c r="D2604">
        <f>IF(Skills!C11=1,60+Inputs!$B$26+Inputs!$B$30,IF(Skills!C11=2,90+Inputs!$B$27+Inputs!$B$30,IF(Skills!C11=3,120+Inputs!$B$28+Inputs!$B$30,MAX(0,(Inputs!$B$3-100)*3)+Inputs!$B$29+Inputs!$B$30)))</f>
        <v/>
      </c>
      <c r="E2604">
        <f>INDEX(FactorTable!$B$2:$Y$301, MATCH(ROUND(MIN(300,MAX(1,D2604)),0), FactorTable!$A$2:$A$301,0), Skills!M11+1)</f>
        <v/>
      </c>
      <c r="F2604">
        <f>IF(Skills!N11=TRUE,(Skills!L11/10)*(E2604/1000),Skills!L11/10)+Skills!O11</f>
        <v/>
      </c>
      <c r="G2604" t="inlineStr"/>
      <c r="H2604" t="inlineStr"/>
      <c r="I2604" t="inlineStr">
        <is>
          <t>1</t>
        </is>
      </c>
      <c r="J2604" t="inlineStr"/>
      <c r="K2604" t="inlineStr"/>
      <c r="L2604" t="inlineStr"/>
      <c r="M2604" t="inlineStr"/>
      <c r="N2604" t="inlineStr"/>
      <c r="O2604" t="inlineStr"/>
      <c r="P2604" t="inlineStr"/>
      <c r="Q2604" t="inlineStr"/>
      <c r="R2604" t="inlineStr"/>
      <c r="S2604" t="inlineStr"/>
    </row>
    <row r="2605">
      <c r="A2605">
        <f>Skills!A12</f>
        <v/>
      </c>
      <c r="B2605">
        <f>Skills!B12</f>
        <v/>
      </c>
      <c r="C2605">
        <f>Inputs!$B$3&gt;=63</f>
        <v/>
      </c>
      <c r="D2605">
        <f>IF(Skills!C12=1,60+Inputs!$B$26+Inputs!$B$30,IF(Skills!C12=2,90+Inputs!$B$27+Inputs!$B$30,IF(Skills!C12=3,120+Inputs!$B$28+Inputs!$B$30,MAX(0,(Inputs!$B$3-100)*3)+Inputs!$B$29+Inputs!$B$30)))</f>
        <v/>
      </c>
      <c r="E2605">
        <f>INDEX(FactorTable!$B$2:$Y$301, MATCH(ROUND(MIN(300,MAX(1,D2605)),0), FactorTable!$A$2:$A$301,0), Skills!M12+1)</f>
        <v/>
      </c>
      <c r="F2605">
        <f>IF(Skills!N12=TRUE,(Skills!L12/10)*(E2605/1000),Skills!L12/10)+Skills!O12</f>
        <v/>
      </c>
      <c r="G2605">
        <f>Skills!G12*IF(Skills!H12&gt;0,INT(IF(Inputs!$B$39="pvp",MIN(Skills!I12,15),Skills!I12)/Skills!H12+0.000000001),1)</f>
        <v/>
      </c>
      <c r="H2605">
        <f>1-(1-Skills!J12/100)^Skills!K12</f>
        <v/>
      </c>
      <c r="I2605" t="inlineStr">
        <is>
          <t>1</t>
        </is>
      </c>
      <c r="J2605">
        <f>((Inputs!$B$6*(1+Inputs!$B$7/100))+(((Inputs!$B$13*(1+Inputs!$B$14/100))-(Inputs!$B$13*(1+Inputs!$B$14/100)))+0.25*(Inputs!$B$15-Inputs!$B$15))*(1+Inputs!$B$7/100))*(F2605/100)</f>
        <v/>
      </c>
      <c r="K2605">
        <f>J2605*(1+(((Inputs!$B$13+IF(Inputs!$B$3&gt;=38,(10*INDEX(FactorTable!$B$2:$Y$301, MATCH(ROUND(MIN(300,MAX(1,Inputs!$B$3)),0), FactorTable!$A$2:$A$301,0), 23)/1000)/100*(Inputs!$B$8*(1+Inputs!$B$9/100)),0))*(1+Inputs!$B$14/100))*0.01+Inputs!$B$15*0.0025)/100)*(1+Inputs!$B$16/100)*(1+Inputs!$B$17/100)*(5000/(6000+Inputs!$B$43*(1-(Inputs!$B$20+0)/100)))*(1+(Inputs!$B$25+((C2618=TRUE)*(F2618-Calc!F25))+((C2619=TRUE)*(F2619-Calc!F26))+B2628)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2604=TRUE,F2604,0)/100)*(1+(IF(Skills!A12="DARK_IMPALE",Inputs!$B$18+0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gt;=100),MIN(100,((Inputs!$B$10+0+B2622+(ArtifactsInput!$M$24-ArtifactsInput!$M$24)*CHOOSE(ArtifactsInput!$N$24+1,10,12,14,16,18,20)+IF(ArtifactsInput!$M$10,CHOOSE(ArtifactsInput!$N$10+1,15,18,21,24,27,30)*(IF(Inputs!$B$39="pvp",MIN(15,15)/15,IF(AND(Inputs!$B$39&lt;&gt;"pvp",Inputs!$B$44&gt;0),MIN(15,Inputs!$B$44)/(Inputs!$B$44),0))),0)))-100),0))*CHOOSE(ArtifactsInput!$N$42+1,0.6,0.72,0.84,0.96,1.08,1.2))),Inputs!$B$19+((C2616=TRUE)*(F2616-Calc!F23))+(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gt;=100),CHOOSE(ArtifactsInput!$N$42+1,40,48,56,64,72,80),0))))/100)*((1+(((C2606=TRUE)*F2606*IF(AND(Inputs!$B$39&lt;&gt;"pvp",Inputs!$B$44&gt;0),(((R2606-1)*MIN((Skills!T13*(1+Inputs!$B$35/100)),(1/Q2606))+MIN((Skills!T13*(1+Inputs!$B$35/100)),MAX(0,Inputs!$B$44-((R2606-1)*(1/Q2606)))))/Inputs!$B$44),IF(Inputs!$B$39="pvp",MIN((Skills!T13*(1+Inputs!$B$35/100)),15)/15,MIN(1,(Skills!T13*(1+Inputs!$B$35/100))/(1/Q2606)))))+((C2607=TRUE)*F2607*IF(AND(Inputs!$B$39&lt;&gt;"pvp",Inputs!$B$44&gt;0),(((R2607-1)*MIN((Skills!T14*(1+Inputs!$B$35/100)),(1/Q2607))+MIN((Skills!T14*(1+Inputs!$B$35/100)),MAX(0,Inputs!$B$44-((R2607-1)*(1/Q2607)))))/Inputs!$B$44),IF(Inputs!$B$39="pvp",MIN((Skills!T14*(1+Inputs!$B$35/100)),15)/15,MIN(1,(Skills!T14*(1+Inputs!$B$35/100))/(1/Q2607)))))+((C2608=TRUE)*F2608*IF(AND(Inputs!$B$39&lt;&gt;"pvp",Inputs!$B$44&gt;0),(((R2608-1)*MIN((Skills!T15*(1+Inputs!$B$35/100)),(1/Q2608))+MIN((Skills!T15*(1+Inputs!$B$35/100)),MAX(0,Inputs!$B$44-((R2608-1)*(1/Q2608)))))/Inputs!$B$44),IF(Inputs!$B$39="pvp",MIN((Skills!T15*(1+Inputs!$B$35/100)),15)/15,MIN(1,(Skills!T15*(1+Inputs!$B$35/100))/(1/Q2608)))))+((C2609=TRUE)*F2609*IF(AND(Inputs!$B$39&lt;&gt;"pvp",Inputs!$B$44&gt;0),(((R2609-1)*MIN((Skills!T16*(1+Inputs!$B$35/100)),(1/Q2609))+MIN((Skills!T16*(1+Inputs!$B$35/100)),MAX(0,Inputs!$B$44-((R2609-1)*(1/Q2609)))))/Inputs!$B$44),IF(Inputs!$B$39="pvp",MIN((Skills!T16*(1+Inputs!$B$35/100)),15)/15,MIN(1,(Skills!T16*(1+Inputs!$B$35/100))/(1/Q2609)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2605)</f>
        <v/>
      </c>
      <c r="L2605">
        <f>K2605*(MIN(Inputs!$B$23+((C2615=TRUE)*(F2615-Calc!F22)),(Inputs!$B$24+((C2617=TRUE)*(F2617-Calc!F24))+(IF(ArtifactsInput!$M$15,CHOOSE(ArtifactsInput!$N$15+1,25,30,35,40,45,50)/100*(Inputs!$B$12-Inputs!$B$12),0))))/100+(Inputs!$B$24+((C2617=TRUE)*(F2617-Calc!F24))+(IF(ArtifactsInput!$M$15,CHOOSE(ArtifactsInput!$N$15+1,25,30,35,40,45,50)/100*(Inputs!$B$12-Inputs!$B$12),0)))/100)/2</f>
        <v/>
      </c>
      <c r="M2605">
        <f>L2605*(1+(Inputs!$B$11+0+B2627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605">
        <f>L2605*(1-MIN((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2605*(MIN((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05">
        <f>(1-Summary!$B$11)*T2605+Summary!$B$11*V2605</f>
        <v/>
      </c>
      <c r="P2605">
        <f>IF(B2632=0,0,O2605/B2632)</f>
        <v/>
      </c>
      <c r="Q2605">
        <f>IFERROR(1/IF(Inputs!$B$39="pvp",15,MAX(0.1,Skills!D12-IF(TRUE=TRUE,Inputs!$B$33,0))),0)</f>
        <v/>
      </c>
      <c r="R2605">
        <f>IF(AND(Inputs!$B$39&lt;&gt;"pvp",Inputs!$B$44&gt;0),IF(MAX(0,Inputs!$B$44-B2629)&lt;=0,0,(INT(MAX(0,Inputs!$B$44-B2629)/IF(Inputs!$B$39="pvp",15,MAX(0.1,Skills!D12-IF(TRUE=TRUE,Inputs!$B$33,0))))+1)),0)</f>
        <v/>
      </c>
      <c r="S2605">
        <f>IFERROR(O2605/N2605,0)</f>
        <v/>
      </c>
      <c r="T2605">
        <f>IF(C2605,(H2605*N2605*IF(AND(Inputs!$B$39&lt;&gt;"pvp",Inputs!$B$44&gt;0),((Skills!G12*((R2605-1)*IF(Skills!H12&gt;0,INT(Skills!I12/Skills!H12+0.000000001),1)+IF(Skills!H12&gt;0,INT(MIN(Skills!I12,MAX(0,MAX(0,Inputs!$B$44-B2629)-((R2605-1)*IF(Inputs!$B$39="pvp",15,MAX(0.1,Skills!D12-IF(TRUE=TRUE,Inputs!$B$33,0))))))/Skills!H12+0.000000001),1)))/Inputs!$B$44),G2605*Q2605))*IF(Inputs!$B$39="pvp",1,1+(Inputs!$B$21+0+Skills!P12+((C2610=TRUE)*F2610*IF(AND(Inputs!$B$39&lt;&gt;"pvp",Inputs!$B$44&gt;0),(((R2610-1)*MIN((Skills!T17*(1+Inputs!$B$35/100)),(1/Q2610))+MIN((Skills!T17*(1+Inputs!$B$35/100)),MAX(0,Inputs!$B$44-((R2610-1)*(1/Q2610)))))/Inputs!$B$44),IF(Inputs!$B$39="pvp",MIN((Skills!T17*(1+Inputs!$B$35/100)),15)/15,MIN(1,(Skills!T17*(1+Inputs!$B$35/100))/(1/Q2610)))))+((C2598=TRUE)*IF(Inputs!$B$3&gt;=126,10*MIN(1,15*Q2598),0))+((C2607=TRUE)*IF(Inputs!$B$39="pvp",20,(1-Summary!$B$11)*(20)+Summary!$B$11*(0))*IF(AND(Inputs!$B$39&lt;&gt;"pvp",Inputs!$B$44&gt;0),(((R2607-1)*MIN((Skills!T14*(1+Inputs!$B$35/100)),(1/Q2607))+MIN((Skills!T14*(1+Inputs!$B$35/100)),MAX(0,Inputs!$B$44-((R2607-1)*(1/Q2607)))))/Inputs!$B$44),IF(Inputs!$B$39="pvp",MIN((Skills!T14*(1+Inputs!$B$35/100)),15)/15,MIN(1,(Skills!T14*(1+Inputs!$B$35/100))/(1/Q2607)))))+((C2606=TRUE)*IF(Inputs!$B$3&gt;=82,IF(Inputs!$B$39="pvp",20,(1-Summary!$B$11)*(20)+Summary!$B$11*(0)),0)*IF(AND(Inputs!$B$39&lt;&gt;"pvp",Inputs!$B$44&gt;0),(((R2606-1)*MIN((Skills!T13*(1+Inputs!$B$35/100)),(1/Q2606))+MIN((Skills!T13*(1+Inputs!$B$35/100)),MAX(0,Inputs!$B$44-((R2606-1)*(1/Q2606)))))/Inputs!$B$44),IF(Inputs!$B$39="pvp",MIN((Skills!T13*(1+Inputs!$B$35/100)),15)/15,MIN(1,(Skills!T13*(1+Inputs!$B$35/100))/(1/Q2606)))))+(IF(AND(ArtifactsInput!$M$35,Inputs!$B$4&lt;&gt;"Chapter Hunt"),CHOOSE(ArtifactsInput!$N$35+1,15,18,21,24,27,30)*(1-EXP(-(0.2*B2624)*5)),0)+IF(AND(ArtifactsInput!$M$22,Inputs!$B$4&lt;&gt;"Chapter Hunt"),CHOOSE(ArtifactsInput!$N$22+1,10,12,14,16,18,20)*((0*(((0.15*B2624*5))^0/1)+1*(((0.15*B2624*5))^1/1)+2*(((0.15*B2624*5))^2/2)+3*(((0.15*B2624*5))^3/6)+4*(((0.15*B2624*5))^4/24)+5*(((0.15*B2624*5))^5/120))/((((0.15*B2624*5))^0/1)+(((0.15*B2624*5))^1/1)+(((0.15*B2624*5))^2/2)+(((0.15*B2624*5))^3/6)+(((0.15*B2624*5))^4/24)+(((0.15*B2624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2605*(1-MIN(100,(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2605*(MIN(100,(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2605*(1-MIN(100,(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2605*(MIN(100,(Inputs!$B$10+0+B2622+(ArtifactsInput!$M$24-ArtifactsInput!$M$24)*CHOOSE(ArtifactsInput!$N$24+1,10,12,14,16,18,20)+(IF(AND(Inputs!$B$39&lt;&gt;"pvp",Inputs!$B$44=0),1,IF(IF(Inputs!$B$39="pvp",15,Inputs!$B$44)-(B2629)&lt;=0,1,MAX(0,IF(Inputs!$B$39="pvp",15,Inputs!$B$44)-MAX(5,B2629))/(IF(Inputs!$B$39="pvp",15,Inputs!$B$44)-(B2629))))*IF(AND(ArtifactsInput!$M$42,((Inputs!$B$10+0+B2622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05">
        <f>IF(C2605,(H2605*N2605*IF(AND(Inputs!$B$39&lt;&gt;"pvp",Inputs!$B$44&gt;0),((Skills!G12*((R2605-1)*IF(Skills!H12&gt;0,INT(Skills!I12/Skills!H12+0.000000001),1)+IF(Skills!H12&gt;0,INT(MIN(Skills!I12,MAX(0,MAX(0,Inputs!$B$44-B2629)-((R2605-1)*IF(Inputs!$B$39="pvp",15,MAX(0.1,Skills!D12-IF(TRUE=TRUE,Inputs!$B$33,0))))))/Skills!H12+0.000000001),1)))/Inputs!$B$44),G2605*Q2605))*IF(Inputs!$B$39="pvp",1,(1+(Inputs!$B$22+Skills!Q12+((C2610=TRUE)*F2610*IF(AND(Inputs!$B$39&lt;&gt;"pvp",Inputs!$B$44&gt;0),(((R2610-1)*MIN((Skills!T17*(1+Inputs!$B$35/100)),(1/Q2610))+MIN((Skills!T17*(1+Inputs!$B$35/100)),MAX(0,Inputs!$B$44-((R2610-1)*(1/Q2610)))))/Inputs!$B$44),IF(Inputs!$B$39="pvp",MIN((Skills!T17*(1+Inputs!$B$35/100)),15)/15,MIN(1,(Skills!T17*(1+Inputs!$B$35/100))/(1/Q2610)))))+((C2598=TRUE)*IF(Inputs!$B$3&gt;=126,10*MIN(1,15*Q2598),0))+((C2607=TRUE)*IF(Inputs!$B$39="pvp",20,(1-Summary!$B$11)*(20)+Summary!$B$11*(0))*IF(AND(Inputs!$B$39&lt;&gt;"pvp",Inputs!$B$44&gt;0),(((R2607-1)*MIN((Skills!T14*(1+Inputs!$B$35/100)),(1/Q2607))+MIN((Skills!T14*(1+Inputs!$B$35/100)),MAX(0,Inputs!$B$44-((R2607-1)*(1/Q2607)))))/Inputs!$B$44),IF(Inputs!$B$39="pvp",MIN((Skills!T14*(1+Inputs!$B$35/100)),15)/15,MIN(1,(Skills!T14*(1+Inputs!$B$35/100))/(1/Q2607)))))+((C2606=TRUE)*IF(Inputs!$B$3&gt;=82,IF(Inputs!$B$39="pvp",20,(1-Summary!$B$11)*(20)+Summary!$B$11*(0)),0)*IF(AND(Inputs!$B$39&lt;&gt;"pvp",Inputs!$B$44&gt;0),(((R2606-1)*MIN((Skills!T13*(1+Inputs!$B$35/100)),(1/Q2606))+MIN((Skills!T13*(1+Inputs!$B$35/100)),MAX(0,Inputs!$B$44-((R2606-1)*(1/Q2606)))))/Inputs!$B$44),IF(Inputs!$B$39="pvp",MIN((Skills!T13*(1+Inputs!$B$35/100)),15)/15,MIN(1,(Skills!T13*(1+Inputs!$B$35/100))/(1/Q2606)))))+(IF(AND(ArtifactsInput!$M$35,Inputs!$B$4&lt;&gt;"Chapter Hunt"),CHOOSE(ArtifactsInput!$N$35+1,15,18,21,24,27,30)*(1-EXP(-(0.2*B2624)*5)),0)+IF(AND(ArtifactsInput!$M$22,Inputs!$B$4&lt;&gt;"Chapter Hunt"),CHOOSE(ArtifactsInput!$N$22+1,10,12,14,16,18,20)*((0*(((0.15*B2624*5))^0/1)+1*(((0.15*B2624*5))^1/1)+2*(((0.15*B2624*5))^2/2)+3*(((0.15*B2624*5))^3/6)+4*(((0.15*B2624*5))^4/24)+5*(((0.15*B2624*5))^5/120))/((((0.15*B2624*5))^0/1)+(((0.15*B2624*5))^1/1)+(((0.15*B2624*5))^2/2)+(((0.15*B2624*5))^3/6)+(((0.15*B2624*5))^4/24)+(((0.15*B2624*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06">
      <c r="A2606">
        <f>Skills!A13</f>
        <v/>
      </c>
      <c r="B2606">
        <f>Skills!B13</f>
        <v/>
      </c>
      <c r="C2606">
        <f>Inputs!$B$3&gt;=69</f>
        <v/>
      </c>
      <c r="D2606">
        <f>IF(Skills!C13=1,60+Inputs!$B$26+Inputs!$B$30,IF(Skills!C13=2,90+Inputs!$B$27+Inputs!$B$30,IF(Skills!C13=3,120+Inputs!$B$28+Inputs!$B$30,MAX(0,(Inputs!$B$3-100)*3)+Inputs!$B$29+Inputs!$B$30)))</f>
        <v/>
      </c>
      <c r="E2606">
        <f>INDEX(FactorTable!$B$2:$Y$301, MATCH(ROUND(MIN(300,MAX(1,D2606)),0), FactorTable!$A$2:$A$301,0), Skills!M13+1)</f>
        <v/>
      </c>
      <c r="F2606">
        <f>IF(Skills!N13=TRUE,(Skills!L13/10)*(E2606/1000),Skills!L13/10)+Skills!O13</f>
        <v/>
      </c>
      <c r="G2606">
        <f>Skills!G13*IF(Skills!H13&gt;0,INT(IF(Inputs!$B$39="pvp",MIN(Skills!I13,15),Skills!I13)/Skills!H13+0.000000001),1)</f>
        <v/>
      </c>
      <c r="H2606">
        <f>1-(1-Skills!J13/100)^Skills!K13</f>
        <v/>
      </c>
      <c r="I2606" t="inlineStr">
        <is>
          <t>1</t>
        </is>
      </c>
      <c r="J2606" t="inlineStr"/>
      <c r="K2606" t="inlineStr"/>
      <c r="L2606" t="inlineStr"/>
      <c r="M2606" t="inlineStr"/>
      <c r="N2606" t="inlineStr"/>
      <c r="O2606">
        <f>(1-Summary!$B$11)*T2606+Summary!$B$11*V2606</f>
        <v/>
      </c>
      <c r="P2606">
        <f>IF(B2632=0,0,O2606/B2632)</f>
        <v/>
      </c>
      <c r="Q2606">
        <f>IFERROR(1/IF(Inputs!$B$39="pvp",15,MAX(0.1,Skills!D13-IF(TRUE=TRUE,Inputs!$B$33,0))),0)</f>
        <v/>
      </c>
      <c r="R2606">
        <f>IF(AND(Inputs!$B$39&lt;&gt;"pvp",Inputs!$B$44&gt;0),IF(Inputs!$B$44&lt;=0,0,(INT(Inputs!$B$44/IF(Inputs!$B$39="pvp",15,MAX(0.1,Skills!D13-IF(TRUE=TRUE,Inputs!$B$33,0))))+1)),0)</f>
        <v/>
      </c>
      <c r="S2606">
        <f>IFERROR(O2606/N2606,0)</f>
        <v/>
      </c>
      <c r="T2606" t="n">
        <v>0</v>
      </c>
      <c r="V2606" t="n">
        <v>0</v>
      </c>
    </row>
    <row r="2607">
      <c r="A2607">
        <f>Skills!A14</f>
        <v/>
      </c>
      <c r="B2607">
        <f>Skills!B14</f>
        <v/>
      </c>
      <c r="C2607">
        <f>Inputs!$B$3&gt;=115</f>
        <v/>
      </c>
      <c r="D2607">
        <f>IF(Skills!C14=1,60+Inputs!$B$26+Inputs!$B$30,IF(Skills!C14=2,90+Inputs!$B$27+Inputs!$B$30,IF(Skills!C14=3,120+Inputs!$B$28+Inputs!$B$30,MAX(0,(Inputs!$B$3-100)*3)+Inputs!$B$29+Inputs!$B$30)))</f>
        <v/>
      </c>
      <c r="E2607">
        <f>INDEX(FactorTable!$B$2:$Y$301, MATCH(ROUND(MIN(300,MAX(1,D2607)),0), FactorTable!$A$2:$A$301,0), Skills!M14+1)</f>
        <v/>
      </c>
      <c r="F2607">
        <f>IF(Skills!N14=TRUE,(Skills!L14/10)*(E2607/1000),Skills!L14/10)+Skills!O14</f>
        <v/>
      </c>
      <c r="G2607">
        <f>Skills!G14*IF(Skills!H14&gt;0,INT(IF(Inputs!$B$39="pvp",MIN(Skills!I14,15),Skills!I14)/Skills!H14+0.000000001),1)</f>
        <v/>
      </c>
      <c r="H2607">
        <f>1-(1-Skills!J14/100)^Skills!K14</f>
        <v/>
      </c>
      <c r="I2607" t="inlineStr">
        <is>
          <t>1</t>
        </is>
      </c>
      <c r="J2607" t="inlineStr"/>
      <c r="K2607" t="inlineStr"/>
      <c r="L2607" t="inlineStr"/>
      <c r="M2607" t="inlineStr"/>
      <c r="N2607" t="inlineStr"/>
      <c r="O2607">
        <f>(1-Summary!$B$11)*T2607+Summary!$B$11*V2607</f>
        <v/>
      </c>
      <c r="P2607">
        <f>IF(B2632=0,0,O2607/B2632)</f>
        <v/>
      </c>
      <c r="Q2607">
        <f>IFERROR(1/IF(Inputs!$B$39="pvp",15,MAX(0.1,Skills!D14-IF(TRUE=TRUE,Inputs!$B$33,0))),0)</f>
        <v/>
      </c>
      <c r="R2607">
        <f>IF(AND(Inputs!$B$39&lt;&gt;"pvp",Inputs!$B$44&gt;0),IF(Inputs!$B$44&lt;=0,0,(INT(Inputs!$B$44/IF(Inputs!$B$39="pvp",15,MAX(0.1,Skills!D14-IF(TRUE=TRUE,Inputs!$B$33,0))))+1)),0)</f>
        <v/>
      </c>
      <c r="S2607">
        <f>IFERROR(O2607/N2607,0)</f>
        <v/>
      </c>
      <c r="T2607" t="n">
        <v>0</v>
      </c>
      <c r="V2607" t="n">
        <v>0</v>
      </c>
    </row>
    <row r="2608">
      <c r="A2608">
        <f>Skills!A15</f>
        <v/>
      </c>
      <c r="B2608">
        <f>Skills!B15</f>
        <v/>
      </c>
      <c r="C2608">
        <f>Inputs!$B$3&gt;=66</f>
        <v/>
      </c>
      <c r="D2608">
        <f>IF(Skills!C15=1,60+Inputs!$B$26+Inputs!$B$30,IF(Skills!C15=2,90+Inputs!$B$27+Inputs!$B$30,IF(Skills!C15=3,120+Inputs!$B$28+Inputs!$B$30,MAX(0,(Inputs!$B$3-100)*3)+Inputs!$B$29+Inputs!$B$30)))</f>
        <v/>
      </c>
      <c r="E2608">
        <f>INDEX(FactorTable!$B$2:$Y$301, MATCH(ROUND(MIN(300,MAX(1,D2608)),0), FactorTable!$A$2:$A$301,0), Skills!M15+1)</f>
        <v/>
      </c>
      <c r="F2608">
        <f>IF(Skills!N15=TRUE,(Skills!L15/10)*(E2608/1000),Skills!L15/10)+Skills!O15</f>
        <v/>
      </c>
      <c r="G2608">
        <f>Skills!G15*IF(Skills!H15&gt;0,INT(IF(Inputs!$B$39="pvp",MIN(Skills!I15,15),Skills!I15)/Skills!H15+0.000000001),1)</f>
        <v/>
      </c>
      <c r="H2608">
        <f>1-(1-Skills!J15/100)^Skills!K15</f>
        <v/>
      </c>
      <c r="I2608" t="inlineStr">
        <is>
          <t>1</t>
        </is>
      </c>
      <c r="J2608" t="inlineStr"/>
      <c r="K2608" t="inlineStr"/>
      <c r="L2608" t="inlineStr"/>
      <c r="M2608" t="inlineStr"/>
      <c r="N2608" t="inlineStr"/>
      <c r="O2608">
        <f>(1-Summary!$B$11)*T2608+Summary!$B$11*V2608</f>
        <v/>
      </c>
      <c r="P2608">
        <f>IF(B2632=0,0,O2608/B2632)</f>
        <v/>
      </c>
      <c r="Q2608">
        <f>IFERROR(1/IF(Inputs!$B$39="pvp",15,MAX(0.1,Skills!D15-IF(TRUE=TRUE,Inputs!$B$33,0))),0)</f>
        <v/>
      </c>
      <c r="R2608">
        <f>IF(AND(Inputs!$B$39&lt;&gt;"pvp",Inputs!$B$44&gt;0),IF(Inputs!$B$44&lt;=0,0,(INT(Inputs!$B$44/IF(Inputs!$B$39="pvp",15,MAX(0.1,Skills!D15-IF(TRUE=TRUE,Inputs!$B$33,0))))+1)),0)</f>
        <v/>
      </c>
      <c r="S2608">
        <f>IFERROR(O2608/N2608,0)</f>
        <v/>
      </c>
      <c r="T2608" t="n">
        <v>0</v>
      </c>
      <c r="V2608" t="n">
        <v>0</v>
      </c>
    </row>
    <row r="2609">
      <c r="A2609">
        <f>Skills!A16</f>
        <v/>
      </c>
      <c r="B2609">
        <f>Skills!B16</f>
        <v/>
      </c>
      <c r="C2609">
        <f>Inputs!$B$3&gt;=45</f>
        <v/>
      </c>
      <c r="D2609">
        <f>IF(Skills!C16=1,60+Inputs!$B$26+Inputs!$B$30,IF(Skills!C16=2,90+Inputs!$B$27+Inputs!$B$30,IF(Skills!C16=3,120+Inputs!$B$28+Inputs!$B$30,MAX(0,(Inputs!$B$3-100)*3)+Inputs!$B$29+Inputs!$B$30)))</f>
        <v/>
      </c>
      <c r="E2609">
        <f>INDEX(FactorTable!$B$2:$Y$301, MATCH(ROUND(MIN(300,MAX(1,D2609)),0), FactorTable!$A$2:$A$301,0), Skills!M16+1)</f>
        <v/>
      </c>
      <c r="F2609">
        <f>IF(Skills!N16=TRUE,(Skills!L16/10)*(E2609/1000),Skills!L16/10)+Skills!O16</f>
        <v/>
      </c>
      <c r="G2609">
        <f>Skills!G16*IF(Skills!H16&gt;0,INT(IF(Inputs!$B$39="pvp",MIN(Skills!I16,15),Skills!I16)/Skills!H16+0.000000001),1)</f>
        <v/>
      </c>
      <c r="H2609">
        <f>1-(1-Skills!J16/100)^Skills!K16</f>
        <v/>
      </c>
      <c r="I2609" t="inlineStr">
        <is>
          <t>1</t>
        </is>
      </c>
      <c r="J2609" t="inlineStr"/>
      <c r="K2609" t="inlineStr"/>
      <c r="L2609" t="inlineStr"/>
      <c r="M2609" t="inlineStr"/>
      <c r="N2609" t="inlineStr"/>
      <c r="O2609">
        <f>(1-Summary!$B$11)*T2609+Summary!$B$11*V2609</f>
        <v/>
      </c>
      <c r="P2609">
        <f>IF(B2632=0,0,O2609/B2632)</f>
        <v/>
      </c>
      <c r="Q2609">
        <f>IFERROR(1/IF(Inputs!$B$39="pvp",15,MAX(0.1,Skills!D16-IF(TRUE=TRUE,Inputs!$B$33,0))),0)</f>
        <v/>
      </c>
      <c r="R2609">
        <f>IF(AND(Inputs!$B$39&lt;&gt;"pvp",Inputs!$B$44&gt;0),IF(Inputs!$B$44&lt;=0,0,(INT(Inputs!$B$44/IF(Inputs!$B$39="pvp",15,MAX(0.1,Skills!D16-IF(TRUE=TRUE,Inputs!$B$33,0))))+1)),0)</f>
        <v/>
      </c>
      <c r="S2609">
        <f>IFERROR(O2609/N2609,0)</f>
        <v/>
      </c>
      <c r="T2609" t="n">
        <v>0</v>
      </c>
      <c r="V2609" t="n">
        <v>0</v>
      </c>
    </row>
    <row r="2610">
      <c r="A2610">
        <f>Skills!A17</f>
        <v/>
      </c>
      <c r="B2610">
        <f>Skills!B17</f>
        <v/>
      </c>
      <c r="C2610">
        <f>Inputs!$B$3&gt;=35</f>
        <v/>
      </c>
      <c r="D2610">
        <f>IF(Skills!C17=1,60+Inputs!$B$26+Inputs!$B$30,IF(Skills!C17=2,90+Inputs!$B$27+Inputs!$B$30,IF(Skills!C17=3,120+Inputs!$B$28+Inputs!$B$30,MAX(0,(Inputs!$B$3-100)*3)+Inputs!$B$29+Inputs!$B$30)))</f>
        <v/>
      </c>
      <c r="E2610">
        <f>INDEX(FactorTable!$B$2:$Y$301, MATCH(ROUND(MIN(300,MAX(1,D2610)),0), FactorTable!$A$2:$A$301,0), Skills!M17+1)</f>
        <v/>
      </c>
      <c r="F2610">
        <f>IF(Skills!N17=TRUE,(Skills!L17/10)*(E2610/1000),Skills!L17/10)+Skills!O17</f>
        <v/>
      </c>
      <c r="G2610">
        <f>Skills!G17*IF(Skills!H17&gt;0,INT(IF(Inputs!$B$39="pvp",MIN(Skills!I17,15),Skills!I17)/Skills!H17+0.000000001),1)</f>
        <v/>
      </c>
      <c r="H2610">
        <f>1-(1-Skills!J17/100)^Skills!K17</f>
        <v/>
      </c>
      <c r="I2610" t="inlineStr">
        <is>
          <t>1</t>
        </is>
      </c>
      <c r="J2610" t="inlineStr"/>
      <c r="K2610" t="inlineStr"/>
      <c r="L2610" t="inlineStr"/>
      <c r="M2610" t="inlineStr"/>
      <c r="N2610" t="inlineStr"/>
      <c r="O2610">
        <f>(1-Summary!$B$11)*T2610+Summary!$B$11*V2610</f>
        <v/>
      </c>
      <c r="P2610">
        <f>IF(B2632=0,0,O2610/B2632)</f>
        <v/>
      </c>
      <c r="Q2610">
        <f>IFERROR(1/IF(Inputs!$B$39="pvp",15,MAX(0.1,Skills!D17-IF(TRUE=TRUE,Inputs!$B$33,0))),0)</f>
        <v/>
      </c>
      <c r="R2610">
        <f>IF(AND(Inputs!$B$39&lt;&gt;"pvp",Inputs!$B$44&gt;0),IF(Inputs!$B$44&lt;=0,0,(INT(Inputs!$B$44/IF(Inputs!$B$39="pvp",15,MAX(0.1,Skills!D17-IF(TRUE=TRUE,Inputs!$B$33,0))))+1)),0)</f>
        <v/>
      </c>
      <c r="S2610">
        <f>IFERROR(O2610/N2610,0)</f>
        <v/>
      </c>
      <c r="T2610" t="n">
        <v>0</v>
      </c>
      <c r="V2610" t="n">
        <v>0</v>
      </c>
    </row>
    <row r="2611">
      <c r="A2611">
        <f>Skills!A18</f>
        <v/>
      </c>
      <c r="B2611">
        <f>Skills!B18</f>
        <v/>
      </c>
      <c r="C2611">
        <f>Inputs!$B$3&gt;=72</f>
        <v/>
      </c>
      <c r="D2611">
        <f>IF(Skills!C18=1,60+Inputs!$B$26+Inputs!$B$30,IF(Skills!C18=2,90+Inputs!$B$27+Inputs!$B$30,IF(Skills!C18=3,120+Inputs!$B$28+Inputs!$B$30,MAX(0,(Inputs!$B$3-100)*3)+Inputs!$B$29+Inputs!$B$30)))</f>
        <v/>
      </c>
      <c r="E2611">
        <f>INDEX(FactorTable!$B$2:$Y$301, MATCH(ROUND(MIN(300,MAX(1,D2611)),0), FactorTable!$A$2:$A$301,0), Skills!M18+1)</f>
        <v/>
      </c>
      <c r="F2611">
        <f>IF(Skills!N18=TRUE,(Skills!L18/10)*(E2611/1000),Skills!L18/10)+Skills!O18</f>
        <v/>
      </c>
      <c r="G2611">
        <f>Skills!G18*IF(Skills!H18&gt;0,INT(IF(Inputs!$B$39="pvp",MIN(Skills!I18,15),Skills!I18)/Skills!H18+0.000000001),1)</f>
        <v/>
      </c>
      <c r="H2611">
        <f>1-(1-Skills!J18/100)^Skills!K18</f>
        <v/>
      </c>
      <c r="I2611" t="inlineStr">
        <is>
          <t>1</t>
        </is>
      </c>
      <c r="J2611" t="inlineStr"/>
      <c r="K2611" t="inlineStr"/>
      <c r="L2611" t="inlineStr"/>
      <c r="M2611" t="inlineStr"/>
      <c r="N2611" t="inlineStr"/>
      <c r="O2611">
        <f>(1-Summary!$B$11)*T2611+Summary!$B$11*V2611</f>
        <v/>
      </c>
      <c r="P2611">
        <f>IF(B2632=0,0,O2611/B2632)</f>
        <v/>
      </c>
      <c r="Q2611">
        <f>IFERROR(1/IF(Inputs!$B$39="pvp",15,MAX(0.1,Skills!D18-IF(TRUE=TRUE,Inputs!$B$33,0))),0)</f>
        <v/>
      </c>
      <c r="R2611">
        <f>IF(AND(Inputs!$B$39&lt;&gt;"pvp",Inputs!$B$44&gt;0),IF(Inputs!$B$44&lt;=0,0,(INT(Inputs!$B$44/IF(Inputs!$B$39="pvp",15,MAX(0.1,Skills!D18-IF(TRUE=TRUE,Inputs!$B$33,0))))+1)),0)</f>
        <v/>
      </c>
      <c r="S2611">
        <f>IFERROR(O2611/N2611,0)</f>
        <v/>
      </c>
      <c r="T2611" t="n">
        <v>0</v>
      </c>
      <c r="V2611" t="n">
        <v>0</v>
      </c>
    </row>
    <row r="2612">
      <c r="A2612">
        <f>Skills!A19</f>
        <v/>
      </c>
      <c r="B2612">
        <f>Skills!B19</f>
        <v/>
      </c>
      <c r="C2612">
        <f>Inputs!$B$3&gt;=72</f>
        <v/>
      </c>
      <c r="D2612">
        <f>IF(Skills!C19=1,60+Inputs!$B$26+Inputs!$B$30,IF(Skills!C19=2,90+Inputs!$B$27+Inputs!$B$30,IF(Skills!C19=3,120+Inputs!$B$28+Inputs!$B$30,MAX(0,(Inputs!$B$3-100)*3)+Inputs!$B$29+Inputs!$B$30)))</f>
        <v/>
      </c>
      <c r="E2612">
        <f>INDEX(FactorTable!$B$2:$Y$301, MATCH(ROUND(MIN(300,MAX(1,D2612)),0), FactorTable!$A$2:$A$301,0), Skills!M19+1)</f>
        <v/>
      </c>
      <c r="F2612">
        <f>IF(Skills!N19=TRUE,(Skills!L19/10)*(E2612/1000),Skills!L19/10)+Skills!O19</f>
        <v/>
      </c>
      <c r="G2612">
        <f>Skills!G19*IF(Skills!H19&gt;0,INT(IF(Inputs!$B$39="pvp",MIN(Skills!I19,15),Skills!I19)/Skills!H19+0.000000001),1)</f>
        <v/>
      </c>
      <c r="H2612">
        <f>1-(1-Skills!J19/100)^Skills!K19</f>
        <v/>
      </c>
      <c r="I2612" t="inlineStr">
        <is>
          <t>1</t>
        </is>
      </c>
      <c r="J2612" t="inlineStr"/>
      <c r="K2612" t="inlineStr"/>
      <c r="L2612" t="inlineStr"/>
      <c r="M2612" t="inlineStr"/>
      <c r="N2612" t="inlineStr"/>
      <c r="O2612">
        <f>(1-Summary!$B$11)*T2612+Summary!$B$11*V2612</f>
        <v/>
      </c>
      <c r="P2612">
        <f>IF(B2632=0,0,O2612/B2632)</f>
        <v/>
      </c>
      <c r="Q2612">
        <f>IFERROR(1/IF(Inputs!$B$39="pvp",15,MAX(0.1,Skills!D19-IF(TRUE=TRUE,Inputs!$B$33,0))),0)</f>
        <v/>
      </c>
      <c r="R2612">
        <f>IF(AND(Inputs!$B$39&lt;&gt;"pvp",Inputs!$B$44&gt;0),IF(Inputs!$B$44&lt;=0,0,(INT(Inputs!$B$44/IF(Inputs!$B$39="pvp",15,MAX(0.1,Skills!D19-IF(TRUE=TRUE,Inputs!$B$33,0))))+1)),0)</f>
        <v/>
      </c>
      <c r="S2612">
        <f>IFERROR(O2612/N2612,0)</f>
        <v/>
      </c>
      <c r="T2612" t="n">
        <v>0</v>
      </c>
      <c r="V2612" t="n">
        <v>0</v>
      </c>
    </row>
    <row r="2613">
      <c r="A2613">
        <f>Skills!A20</f>
        <v/>
      </c>
      <c r="B2613">
        <f>Skills!B20</f>
        <v/>
      </c>
      <c r="C2613">
        <f>TRUE</f>
        <v/>
      </c>
      <c r="D2613">
        <f>IF(Skills!C20=1,60+Inputs!$B$26+Inputs!$B$30,IF(Skills!C20=2,90+Inputs!$B$27+Inputs!$B$30,IF(Skills!C20=3,120+Inputs!$B$28+Inputs!$B$30,MAX(0,(Inputs!$B$3-100)*3)+Inputs!$B$29+Inputs!$B$30)))</f>
        <v/>
      </c>
      <c r="E2613">
        <f>INDEX(FactorTable!$B$2:$Y$301, MATCH(ROUND(MIN(300,MAX(1,D2613)),0), FactorTable!$A$2:$A$301,0), Skills!M20+1)</f>
        <v/>
      </c>
      <c r="F2613">
        <f>IF(Skills!N20=TRUE,(Skills!L20/10)*(E2613/1000),Skills!L20/10)+Skills!O20</f>
        <v/>
      </c>
      <c r="G2613">
        <f>Skills!G20*IF(Skills!H20&gt;0,INT(IF(Inputs!$B$39="pvp",MIN(Skills!I20,15),Skills!I20)/Skills!H20+0.000000001),1)</f>
        <v/>
      </c>
      <c r="H2613">
        <f>1-(1-Skills!J20/100)^Skills!K20</f>
        <v/>
      </c>
      <c r="I2613" t="inlineStr">
        <is>
          <t>1</t>
        </is>
      </c>
      <c r="J2613" t="inlineStr"/>
      <c r="K2613" t="inlineStr"/>
      <c r="L2613" t="inlineStr"/>
      <c r="M2613" t="inlineStr"/>
      <c r="N2613" t="inlineStr"/>
      <c r="O2613">
        <f>(1-Summary!$B$11)*T2613+Summary!$B$11*V2613</f>
        <v/>
      </c>
      <c r="P2613">
        <f>IF(B2632=0,0,O2613/B2632)</f>
        <v/>
      </c>
      <c r="Q2613">
        <f>IFERROR(1/IF(Inputs!$B$39="pvp",15,MAX(0.1,Skills!D20-IF(TRUE=TRUE,Inputs!$B$33,0))),0)</f>
        <v/>
      </c>
      <c r="R2613">
        <f>IF(AND(Inputs!$B$39&lt;&gt;"pvp",Inputs!$B$44&gt;0),IF(Inputs!$B$44&lt;=0,0,(INT(Inputs!$B$44/IF(Inputs!$B$39="pvp",15,MAX(0.1,Skills!D20-IF(TRUE=TRUE,Inputs!$B$33,0))))+1)),0)</f>
        <v/>
      </c>
      <c r="S2613">
        <f>IFERROR(O2613/N2613,0)</f>
        <v/>
      </c>
      <c r="T2613" t="n">
        <v>0</v>
      </c>
      <c r="V2613" t="n">
        <v>0</v>
      </c>
    </row>
    <row r="2614">
      <c r="A2614">
        <f>Skills!A21</f>
        <v/>
      </c>
      <c r="B2614">
        <f>Skills!B21</f>
        <v/>
      </c>
      <c r="C2614">
        <f>Inputs!$B$3&gt;=33</f>
        <v/>
      </c>
      <c r="D2614">
        <f>IF(Skills!C21=1,60+Inputs!$B$26+Inputs!$B$30,IF(Skills!C21=2,90+Inputs!$B$27+Inputs!$B$30,IF(Skills!C21=3,120+Inputs!$B$28+Inputs!$B$30,MAX(0,(Inputs!$B$3-100)*3)+Inputs!$B$29+Inputs!$B$30)))</f>
        <v/>
      </c>
      <c r="E2614">
        <f>INDEX(FactorTable!$B$2:$Y$301, MATCH(ROUND(MIN(300,MAX(1,D2614)),0), FactorTable!$A$2:$A$301,0), Skills!M21+1)</f>
        <v/>
      </c>
      <c r="F2614">
        <f>IF(Skills!N21=TRUE,(Skills!L21/10)*(E2614/1000),Skills!L21/10)+Skills!O21</f>
        <v/>
      </c>
      <c r="G2614">
        <f>Skills!G21*IF(Skills!H21&gt;0,INT(IF(Inputs!$B$39="pvp",MIN(Skills!I21,15),Skills!I21)/Skills!H21+0.000000001),1)</f>
        <v/>
      </c>
      <c r="H2614">
        <f>1-(1-Skills!J21/100)^Skills!K21</f>
        <v/>
      </c>
      <c r="I2614" t="inlineStr">
        <is>
          <t>1</t>
        </is>
      </c>
      <c r="J2614" t="inlineStr"/>
      <c r="K2614" t="inlineStr"/>
      <c r="L2614" t="inlineStr"/>
      <c r="M2614" t="inlineStr"/>
      <c r="N2614" t="inlineStr"/>
      <c r="O2614">
        <f>(1-Summary!$B$11)*T2614+Summary!$B$11*V2614</f>
        <v/>
      </c>
      <c r="P2614">
        <f>IF(B2632=0,0,O2614/B2632)</f>
        <v/>
      </c>
      <c r="Q2614" t="n">
        <v>0</v>
      </c>
      <c r="R2614" t="n">
        <v>0</v>
      </c>
      <c r="S2614">
        <f>IFERROR(O2614/N2614,0)</f>
        <v/>
      </c>
      <c r="T2614" t="n">
        <v>0</v>
      </c>
      <c r="V2614" t="n">
        <v>0</v>
      </c>
    </row>
    <row r="2615">
      <c r="A2615">
        <f>Skills!A22</f>
        <v/>
      </c>
      <c r="B2615">
        <f>Skills!B22</f>
        <v/>
      </c>
      <c r="C2615">
        <f>Inputs!$B$3&gt;=43</f>
        <v/>
      </c>
      <c r="D2615">
        <f>IF(Skills!C22=1,60+Inputs!$B$26+Inputs!$B$30,IF(Skills!C22=2,90+Inputs!$B$27+Inputs!$B$30,IF(Skills!C22=3,120+Inputs!$B$28+Inputs!$B$30,MAX(0,(Inputs!$B$3-100)*3)+Inputs!$B$29+Inputs!$B$30)))</f>
        <v/>
      </c>
      <c r="E2615">
        <f>INDEX(FactorTable!$B$2:$Y$301, MATCH(ROUND(MIN(300,MAX(1,D2615)),0), FactorTable!$A$2:$A$301,0), Skills!M22+1)</f>
        <v/>
      </c>
      <c r="F2615">
        <f>IF(Skills!N22=TRUE,(Skills!L22/10)*(E2615/1000),Skills!L22/10)+Skills!O22</f>
        <v/>
      </c>
      <c r="G2615">
        <f>Skills!G22*IF(Skills!H22&gt;0,INT(IF(Inputs!$B$39="pvp",MIN(Skills!I22,15),Skills!I22)/Skills!H22+0.000000001),1)</f>
        <v/>
      </c>
      <c r="H2615">
        <f>1-(1-Skills!J22/100)^Skills!K22</f>
        <v/>
      </c>
      <c r="I2615" t="inlineStr">
        <is>
          <t>1</t>
        </is>
      </c>
      <c r="J2615" t="inlineStr"/>
      <c r="K2615" t="inlineStr"/>
      <c r="L2615" t="inlineStr"/>
      <c r="M2615" t="inlineStr"/>
      <c r="N2615" t="inlineStr"/>
      <c r="O2615">
        <f>(1-Summary!$B$11)*T2615+Summary!$B$11*V2615</f>
        <v/>
      </c>
      <c r="P2615">
        <f>IF(B2632=0,0,O2615/B2632)</f>
        <v/>
      </c>
      <c r="Q2615" t="n">
        <v>0</v>
      </c>
      <c r="R2615" t="n">
        <v>0</v>
      </c>
      <c r="S2615">
        <f>IFERROR(O2615/N2615,0)</f>
        <v/>
      </c>
      <c r="T2615" t="n">
        <v>0</v>
      </c>
      <c r="V2615" t="n">
        <v>0</v>
      </c>
    </row>
    <row r="2616">
      <c r="A2616">
        <f>Skills!A23</f>
        <v/>
      </c>
      <c r="B2616">
        <f>Skills!B23</f>
        <v/>
      </c>
      <c r="C2616">
        <f>Inputs!$B$3&gt;=120</f>
        <v/>
      </c>
      <c r="D2616">
        <f>IF(Skills!C23=1,60+Inputs!$B$26+Inputs!$B$30,IF(Skills!C23=2,90+Inputs!$B$27+Inputs!$B$30,IF(Skills!C23=3,120+Inputs!$B$28+Inputs!$B$30,MAX(0,(Inputs!$B$3-100)*3)+Inputs!$B$29+Inputs!$B$30)))</f>
        <v/>
      </c>
      <c r="E2616">
        <f>INDEX(FactorTable!$B$2:$Y$301, MATCH(ROUND(MIN(300,MAX(1,D2616)),0), FactorTable!$A$2:$A$301,0), Skills!M23+1)</f>
        <v/>
      </c>
      <c r="F2616">
        <f>IF(Skills!N23=TRUE,(Skills!L23/10)*(E2616/1000),Skills!L23/10)+Skills!O23</f>
        <v/>
      </c>
      <c r="G2616">
        <f>Skills!G23*IF(Skills!H23&gt;0,INT(IF(Inputs!$B$39="pvp",MIN(Skills!I23,15),Skills!I23)/Skills!H23+0.000000001),1)</f>
        <v/>
      </c>
      <c r="H2616">
        <f>1-(1-Skills!J23/100)^Skills!K23</f>
        <v/>
      </c>
      <c r="I2616" t="inlineStr">
        <is>
          <t>1</t>
        </is>
      </c>
      <c r="J2616" t="inlineStr"/>
      <c r="K2616" t="inlineStr"/>
      <c r="L2616" t="inlineStr"/>
      <c r="M2616" t="inlineStr"/>
      <c r="N2616" t="inlineStr"/>
      <c r="O2616">
        <f>(1-Summary!$B$11)*T2616+Summary!$B$11*V2616</f>
        <v/>
      </c>
      <c r="P2616">
        <f>IF(B2632=0,0,O2616/B2632)</f>
        <v/>
      </c>
      <c r="Q2616" t="n">
        <v>0</v>
      </c>
      <c r="R2616" t="n">
        <v>0</v>
      </c>
      <c r="S2616">
        <f>IFERROR(O2616/N2616,0)</f>
        <v/>
      </c>
      <c r="T2616" t="n">
        <v>0</v>
      </c>
      <c r="V2616" t="n">
        <v>0</v>
      </c>
    </row>
    <row r="2617">
      <c r="A2617">
        <f>Skills!A24</f>
        <v/>
      </c>
      <c r="B2617">
        <f>Skills!B24</f>
        <v/>
      </c>
      <c r="C2617">
        <f>Inputs!$B$3&gt;=120</f>
        <v/>
      </c>
      <c r="D2617">
        <f>IF(Skills!C24=1,60+Inputs!$B$26+Inputs!$B$30,IF(Skills!C24=2,90+Inputs!$B$27+Inputs!$B$30,IF(Skills!C24=3,120+Inputs!$B$28+Inputs!$B$30,MAX(0,(Inputs!$B$3-100)*3)+Inputs!$B$29+Inputs!$B$30)))</f>
        <v/>
      </c>
      <c r="E2617">
        <f>INDEX(FactorTable!$B$2:$Y$301, MATCH(ROUND(MIN(300,MAX(1,D2617)),0), FactorTable!$A$2:$A$301,0), Skills!M24+1)</f>
        <v/>
      </c>
      <c r="F2617">
        <f>IF(Skills!N24=TRUE,(Skills!L24/10)*(E2617/1000),Skills!L24/10)+Skills!O24</f>
        <v/>
      </c>
      <c r="G2617">
        <f>Skills!G24*IF(Skills!H24&gt;0,INT(IF(Inputs!$B$39="pvp",MIN(Skills!I24,15),Skills!I24)/Skills!H24+0.000000001),1)</f>
        <v/>
      </c>
      <c r="H2617">
        <f>1-(1-Skills!J24/100)^Skills!K24</f>
        <v/>
      </c>
      <c r="I2617" t="inlineStr">
        <is>
          <t>1</t>
        </is>
      </c>
      <c r="J2617" t="inlineStr"/>
      <c r="K2617" t="inlineStr"/>
      <c r="L2617" t="inlineStr"/>
      <c r="M2617" t="inlineStr"/>
      <c r="N2617" t="inlineStr"/>
      <c r="O2617">
        <f>(1-Summary!$B$11)*T2617+Summary!$B$11*V2617</f>
        <v/>
      </c>
      <c r="P2617">
        <f>IF(B2632=0,0,O2617/B2632)</f>
        <v/>
      </c>
      <c r="Q2617" t="n">
        <v>0</v>
      </c>
      <c r="R2617" t="n">
        <v>0</v>
      </c>
      <c r="S2617">
        <f>IFERROR(O2617/N2617,0)</f>
        <v/>
      </c>
      <c r="T2617" t="n">
        <v>0</v>
      </c>
      <c r="V2617" t="n">
        <v>0</v>
      </c>
    </row>
    <row r="2618">
      <c r="A2618">
        <f>Skills!A25</f>
        <v/>
      </c>
      <c r="B2618">
        <f>Skills!B25</f>
        <v/>
      </c>
      <c r="C2618">
        <f>Inputs!$B$3&gt;=125</f>
        <v/>
      </c>
      <c r="D2618">
        <f>IF(Skills!C25=1,60+Inputs!$B$26+Inputs!$B$30,IF(Skills!C25=2,90+Inputs!$B$27+Inputs!$B$30,IF(Skills!C25=3,120+Inputs!$B$28+Inputs!$B$30,MAX(0,(Inputs!$B$3-100)*3)+Inputs!$B$29+Inputs!$B$30)))</f>
        <v/>
      </c>
      <c r="E2618">
        <f>INDEX(FactorTable!$B$2:$Y$301, MATCH(ROUND(MIN(300,MAX(1,D2618)),0), FactorTable!$A$2:$A$301,0), Skills!M25+1)</f>
        <v/>
      </c>
      <c r="F2618">
        <f>IF(Skills!N25=TRUE,(Skills!L25/10)*(E2618/1000),Skills!L25/10)+Skills!O25</f>
        <v/>
      </c>
      <c r="G2618">
        <f>Skills!G25*IF(Skills!H25&gt;0,INT(IF(Inputs!$B$39="pvp",MIN(Skills!I25,15),Skills!I25)/Skills!H25+0.000000001),1)</f>
        <v/>
      </c>
      <c r="H2618">
        <f>1-(1-Skills!J25/100)^Skills!K25</f>
        <v/>
      </c>
      <c r="I2618" t="inlineStr">
        <is>
          <t>1</t>
        </is>
      </c>
      <c r="J2618" t="inlineStr"/>
      <c r="K2618" t="inlineStr"/>
      <c r="L2618" t="inlineStr"/>
      <c r="M2618" t="inlineStr"/>
      <c r="N2618" t="inlineStr"/>
      <c r="O2618">
        <f>(1-Summary!$B$11)*T2618+Summary!$B$11*V2618</f>
        <v/>
      </c>
      <c r="P2618">
        <f>IF(B2632=0,0,O2618/B2632)</f>
        <v/>
      </c>
      <c r="Q2618" t="n">
        <v>0</v>
      </c>
      <c r="R2618" t="n">
        <v>0</v>
      </c>
      <c r="S2618">
        <f>IFERROR(O2618/N2618,0)</f>
        <v/>
      </c>
      <c r="T2618" t="n">
        <v>0</v>
      </c>
      <c r="V2618" t="n">
        <v>0</v>
      </c>
    </row>
    <row r="2619">
      <c r="A2619">
        <f>Skills!A26</f>
        <v/>
      </c>
      <c r="B2619">
        <f>Skills!B26</f>
        <v/>
      </c>
      <c r="C2619">
        <f>Inputs!$B$3&gt;=107</f>
        <v/>
      </c>
      <c r="D2619">
        <f>IF(Skills!C26=1,60+Inputs!$B$26+Inputs!$B$30,IF(Skills!C26=2,90+Inputs!$B$27+Inputs!$B$30,IF(Skills!C26=3,120+Inputs!$B$28+Inputs!$B$30,MAX(0,(Inputs!$B$3-100)*3)+Inputs!$B$29+Inputs!$B$30)))</f>
        <v/>
      </c>
      <c r="E2619">
        <f>INDEX(FactorTable!$B$2:$Y$301, MATCH(ROUND(MIN(300,MAX(1,D2619)),0), FactorTable!$A$2:$A$301,0), Skills!M26+1)</f>
        <v/>
      </c>
      <c r="F2619">
        <f>IF(Skills!N26=TRUE,(Skills!L26/10)*(E2619/1000),Skills!L26/10)+Skills!O26</f>
        <v/>
      </c>
      <c r="G2619">
        <f>Skills!G26*IF(Skills!H26&gt;0,INT(IF(Inputs!$B$39="pvp",MIN(Skills!I26,15),Skills!I26)/Skills!H26+0.000000001),1)</f>
        <v/>
      </c>
      <c r="H2619">
        <f>1-(1-Skills!J26/100)^Skills!K26</f>
        <v/>
      </c>
      <c r="I2619" t="inlineStr">
        <is>
          <t>1</t>
        </is>
      </c>
      <c r="J2619" t="inlineStr"/>
      <c r="K2619" t="inlineStr"/>
      <c r="L2619" t="inlineStr"/>
      <c r="M2619" t="inlineStr"/>
      <c r="N2619" t="inlineStr"/>
      <c r="O2619">
        <f>(1-Summary!$B$11)*T2619+Summary!$B$11*V2619</f>
        <v/>
      </c>
      <c r="P2619">
        <f>IF(B2632=0,0,O2619/B2632)</f>
        <v/>
      </c>
      <c r="Q2619" t="n">
        <v>0</v>
      </c>
      <c r="R2619" t="n">
        <v>0</v>
      </c>
      <c r="S2619">
        <f>IFERROR(O2619/N2619,0)</f>
        <v/>
      </c>
      <c r="T2619" t="n">
        <v>0</v>
      </c>
      <c r="V2619" t="n">
        <v>0</v>
      </c>
    </row>
    <row r="2621">
      <c r="A2621" t="inlineStr">
        <is>
          <t>Attack% Bucket Multiplier</t>
        </is>
      </c>
      <c r="B2621">
        <f>(1+(((C2606=TRUE)*F2606*IF(AND(Inputs!$B$39&lt;&gt;"pvp",Inputs!$B$44&gt;0),(((R2606-1)*MIN((Skills!T13*(1+Inputs!$B$35/100)),(1/Q2606))+MIN((Skills!T13*(1+Inputs!$B$35/100)),MAX(0,Inputs!$B$44-((R2606-1)*(1/Q2606)))))/Inputs!$B$44),IF(Inputs!$B$39="pvp",MIN((Skills!T13*(1+Inputs!$B$35/100)),15)/15,MIN(1,(Skills!T13*(1+Inputs!$B$35/100))/(1/Q2606)))))+((C2607=TRUE)*F2607*IF(AND(Inputs!$B$39&lt;&gt;"pvp",Inputs!$B$44&gt;0),(((R2607-1)*MIN((Skills!T14*(1+Inputs!$B$35/100)),(1/Q2607))+MIN((Skills!T14*(1+Inputs!$B$35/100)),MAX(0,Inputs!$B$44-((R2607-1)*(1/Q2607)))))/Inputs!$B$44),IF(Inputs!$B$39="pvp",MIN((Skills!T14*(1+Inputs!$B$35/100)),15)/15,MIN(1,(Skills!T14*(1+Inputs!$B$35/100))/(1/Q2607)))))+((C2608=TRUE)*F2608*IF(AND(Inputs!$B$39&lt;&gt;"pvp",Inputs!$B$44&gt;0),(((R2608-1)*MIN((Skills!T15*(1+Inputs!$B$35/100)),(1/Q2608))+MIN((Skills!T15*(1+Inputs!$B$35/100)),MAX(0,Inputs!$B$44-((R2608-1)*(1/Q2608)))))/Inputs!$B$44),IF(Inputs!$B$39="pvp",MIN((Skills!T15*(1+Inputs!$B$35/100)),15)/15,MIN(1,(Skills!T15*(1+Inputs!$B$35/100))/(1/Q2608)))))+((C2609=TRUE)*F2609*IF(AND(Inputs!$B$39&lt;&gt;"pvp",Inputs!$B$44&gt;0),(((R2609-1)*MIN((Skills!T16*(1+Inputs!$B$35/100)),(1/Q2609))+MIN((Skills!T16*(1+Inputs!$B$35/100)),MAX(0,Inputs!$B$44-((R2609-1)*(1/Q2609)))))/Inputs!$B$44),IF(Inputs!$B$39="pvp",MIN((Skills!T16*(1+Inputs!$B$35/100)),15)/15,MIN(1,(Skills!T16*(1+Inputs!$B$35/100))/(1/Q2609)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2622">
      <c r="A2622" t="inlineStr">
        <is>
          <t>Global Crit Rate Bonus % (Lord of Darkness)</t>
        </is>
      </c>
      <c r="B2622">
        <f>((C2611=TRUE)*F2611*(Skills!J18/100)*IF(AND(Inputs!$B$39&lt;&gt;"pvp",Inputs!$B$44&gt;0),(((R2611-1)*MIN((Skills!T18*(1+Inputs!$B$35/100)),(1/Q2611))+MIN((Skills!T18*(1+Inputs!$B$35/100)),MAX(0,Inputs!$B$44-((R2611-1)*(1/Q2611)))))/Inputs!$B$44),IF(Inputs!$B$39="pvp",MIN((Skills!T18*(1+Inputs!$B$35/100)),15)/15,MIN(1,(Skills!T18*(1+Inputs!$B$35/100))/(1/Q2611)))))</f>
        <v/>
      </c>
    </row>
    <row r="2623">
      <c r="A2623" t="inlineStr">
        <is>
          <t>Attack Speed Buff Bonus %</t>
        </is>
      </c>
      <c r="B2623">
        <f>((C2613=TRUE)*F2613*IF(AND(Inputs!$B$39&lt;&gt;"pvp",Inputs!$B$44&gt;0),(((R2613-1)*MIN((Skills!T20*(1+Inputs!$B$35/100)),(1/Q2613))+MIN((Skills!T20*(1+Inputs!$B$35/100)),MAX(0,Inputs!$B$44-((R2613-1)*(1/Q2613)))))/Inputs!$B$44),IF(Inputs!$B$39="pvp",MIN((Skills!T20*(1+Inputs!$B$35/100)),15)/15,MIN(1,(Skills!T20*(1+Inputs!$B$35/100))/(1/Q2613)))))</f>
        <v/>
      </c>
    </row>
    <row r="2624">
      <c r="A2624" t="inlineStr">
        <is>
          <t>Actions Per Second</t>
        </is>
      </c>
      <c r="B2624">
        <f>1+MIN(150,150*(1-(1-(Inputs!$B$12+((C2614=TRUE)*(F2614-Calc!F21)))/150)*(1-B2623/150)))/100</f>
        <v/>
      </c>
    </row>
    <row r="2625">
      <c r="A2625" t="inlineStr">
        <is>
          <t>Skill + Buff Cast Rate</t>
        </is>
      </c>
      <c r="B2625">
        <f>IF(AND(Inputs!$B$39&lt;&gt;"pvp",Inputs!$B$44&gt;0),SUMPRODUCT((Skills!E2:E26=TRUE)*(C2595:C2619=TRUE)*R2595:R2619*Skills!F2:F26)/Inputs!$B$44,SUMPRODUCT((Skills!E2:E26=TRUE)*(C2595:C2619=TRUE)*Q2595:Q2619*Skills!F2:F26))</f>
        <v/>
      </c>
    </row>
    <row r="2626">
      <c r="A2626" t="inlineStr">
        <is>
          <t>Dark Impale Casts Per Second</t>
        </is>
      </c>
      <c r="B2626">
        <f>MAX(0,B2624-B2625)</f>
        <v/>
      </c>
    </row>
    <row r="2627">
      <c r="A2627" t="inlineStr">
        <is>
          <t>Global Critical Damage Bonus % (Lord of Darkness)</t>
        </is>
      </c>
      <c r="B2627">
        <f>((C2612=TRUE)*F2612*(Skills!J19/100)*IF(AND(Inputs!$B$39&lt;&gt;"pvp",Inputs!$B$44&gt;0),(((R2612-1)*MIN((Skills!T19*(1+Inputs!$B$35/100)),(1/Q2612))+MIN((Skills!T19*(1+Inputs!$B$35/100)),MAX(0,Inputs!$B$44-((R2612-1)*(1/Q2612)))))/Inputs!$B$44),IF(Inputs!$B$39="pvp",MIN((Skills!T19*(1+Inputs!$B$35/100)),15)/15,MIN(1,(Skills!T19*(1+Inputs!$B$35/100))/(1/Q2612)))))</f>
        <v/>
      </c>
    </row>
    <row r="2628">
      <c r="A2628" t="inlineStr">
        <is>
          <t>Global Final Damage Bonus % (unused)</t>
        </is>
      </c>
      <c r="B2628" t="n">
        <v>0</v>
      </c>
    </row>
    <row r="2629">
      <c r="A2629" t="inlineStr">
        <is>
          <t>Buff-Casting Startup Delay (s, fixed-duration only)</t>
        </is>
      </c>
      <c r="B2629">
        <f>IF(AND(Inputs!$B$39&lt;&gt;"pvp",Inputs!$B$44&gt;0),SUMPRODUCT((Skills!T2:T26&gt;0)*(Skills!E2:E26=TRUE)*(C2595:C2619=TRUE))/B2624,0)</f>
        <v/>
      </c>
    </row>
    <row r="2630">
      <c r="A2630" t="inlineStr">
        <is>
          <t>Boss-Only Total DPS (this block's swept value)</t>
        </is>
      </c>
      <c r="B2630">
        <f>SUM(T2595:T2619)</f>
        <v/>
      </c>
    </row>
    <row r="2631">
      <c r="A2631" t="inlineStr">
        <is>
          <t>Normal-Only Total DPS (this block's swept value)</t>
        </is>
      </c>
      <c r="B2631">
        <f>SUM(V2595:V2619)</f>
        <v/>
      </c>
    </row>
    <row r="2632">
      <c r="A2632" s="6" t="inlineStr">
        <is>
          <t>TOTAL DPS</t>
        </is>
      </c>
      <c r="B2632" s="6">
        <f>SUM(O2595:O2619)</f>
        <v/>
      </c>
    </row>
    <row r="2635">
      <c r="A2635" s="6" t="inlineStr">
        <is>
          <t>Stat: Reindeer's Spear (Equip)</t>
        </is>
      </c>
    </row>
    <row r="2636">
      <c r="A2636" s="5" t="inlineStr">
        <is>
          <t>Key</t>
        </is>
      </c>
      <c r="B2636" s="5" t="inlineStr">
        <is>
          <t>Name</t>
        </is>
      </c>
      <c r="C2636" s="5" t="inlineStr">
        <is>
          <t>Unlocked</t>
        </is>
      </c>
      <c r="D2636" s="5" t="inlineStr">
        <is>
          <t>InputLevel</t>
        </is>
      </c>
      <c r="E2636" s="5" t="inlineStr">
        <is>
          <t>Factor</t>
        </is>
      </c>
      <c r="F2636" s="5" t="inlineStr">
        <is>
          <t>CoefficientPercent</t>
        </is>
      </c>
      <c r="G2636" s="5" t="inlineStr">
        <is>
          <t>EffectiveHits</t>
        </is>
      </c>
      <c r="H2636" s="5" t="inlineStr">
        <is>
          <t>ProcProbability</t>
        </is>
      </c>
      <c r="I2636" s="5" t="inlineStr">
        <is>
          <t>MapleHeroMultiplier</t>
        </is>
      </c>
      <c r="J2636" s="5" t="inlineStr">
        <is>
          <t>BaseDamage</t>
        </is>
      </c>
      <c r="K2636" s="5" t="inlineStr">
        <is>
          <t>BaseHitDamage</t>
        </is>
      </c>
      <c r="L2636" s="5" t="inlineStr">
        <is>
          <t>NonCritAvg</t>
        </is>
      </c>
      <c r="M2636" s="5" t="inlineStr">
        <is>
          <t>CritAvg</t>
        </is>
      </c>
      <c r="N2636" s="5" t="inlineStr">
        <is>
          <t>ExpectedDamage(perHit)</t>
        </is>
      </c>
      <c r="O2636" s="5" t="inlineStr">
        <is>
          <t>DPS</t>
        </is>
      </c>
      <c r="P2636" s="5" t="inlineStr">
        <is>
          <t>% of Total</t>
        </is>
      </c>
      <c r="Q2636" s="5" t="inlineStr">
        <is>
          <t>InvCooldown</t>
        </is>
      </c>
      <c r="R2636" s="5" t="inlineStr">
        <is>
          <t>CastsInFight</t>
        </is>
      </c>
      <c r="S2636" s="5" t="inlineStr">
        <is>
          <t>HitRate(perSec)</t>
        </is>
      </c>
      <c r="U2636" t="inlineStr">
        <is>
          <t>helpers</t>
        </is>
      </c>
    </row>
    <row r="2637">
      <c r="A2637">
        <f>Skills!A2</f>
        <v/>
      </c>
      <c r="B2637">
        <f>Skills!B2</f>
        <v/>
      </c>
      <c r="C2637">
        <f>Inputs!$B$3&gt;=100</f>
        <v/>
      </c>
      <c r="D2637" t="inlineStr"/>
      <c r="E2637" t="inlineStr"/>
      <c r="F2637">
        <f>U2639+Skills!O2</f>
        <v/>
      </c>
      <c r="G2637">
        <f>Skills!G2*IF(Skills!H2&gt;0,INT(IF(Inputs!$B$39="pvp",MIN(Skills!I2,15),Skills!I2)/Skills!H2+0.000000001),1)</f>
        <v/>
      </c>
      <c r="H2637">
        <f>1-(1-Skills!J2/100)^Skills!K2</f>
        <v/>
      </c>
      <c r="I2637" t="inlineStr">
        <is>
          <t>1</t>
        </is>
      </c>
      <c r="J2637">
        <f>((Inputs!$B$6*(1+Inputs!$B$7/100))+(((Inputs!$B$13*(1+Inputs!$B$14/100))-(Inputs!$B$13*(1+Inputs!$B$14/100)))+0.25*(Inputs!$B$15-Inputs!$B$15))*(1+Inputs!$B$7/100))*(F2637/100)</f>
        <v/>
      </c>
      <c r="K2637">
        <f>J2637*(1+(((Inputs!$B$13+IF(Inputs!$B$3&gt;=38,(10*INDEX(FactorTable!$B$2:$Y$301, MATCH(ROUND(MIN(300,MAX(1,Inputs!$B$3)),0), FactorTable!$A$2:$A$301,0), 23)/1000)/100*(Inputs!$B$8*(1+Inputs!$B$9/100)),0))*(1+Inputs!$B$14/100))*0.01+Inputs!$B$15*0.0025)/100)*(1+Inputs!$B$16/100)*(1+Inputs!$B$17/100)*(5000/(6000+Inputs!$B$43*(1-(Inputs!$B$20+0)/100)))*(1+(Inputs!$B$25+((C2660=TRUE)*(F2660-Calc!F25))+((C2661=TRUE)*(F2661-Calc!F26))+B2670)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gt;=100),MIN(100,((Inputs!$B$10+0+B2664+(ArtifactsInput!$M$24-ArtifactsInput!$M$24)*CHOOSE(ArtifactsInput!$N$24+1,10,12,14,16,18,20)+IF(ArtifactsInput!$M$10,CHOOSE(ArtifactsInput!$N$10+1,15,18,21,24,27,30)*(IF(Inputs!$B$39="pvp",MIN(15,15)/15,IF(AND(Inputs!$B$39&lt;&gt;"pvp",Inputs!$B$44&gt;0),MIN(15,Inputs!$B$44)/(Inputs!$B$44),0))),0)))-100),0))*CHOOSE(ArtifactsInput!$N$42+1,0.6,0.72,0.84,0.96,1.08,1.2))),Inputs!$B$19+((C2658=TRUE)*(F2658-Calc!F23))+(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gt;=100),CHOOSE(ArtifactsInput!$N$42+1,40,48,56,64,72,80),0))))/100)*((1+(((C2648=TRUE)*F2648*IF(AND(Inputs!$B$39&lt;&gt;"pvp",Inputs!$B$44&gt;0),(((R2648-1)*MIN((Skills!T13*(1+Inputs!$B$35/100)),(1/Q2648))+MIN((Skills!T13*(1+Inputs!$B$35/100)),MAX(0,Inputs!$B$44-((R2648-1)*(1/Q2648)))))/Inputs!$B$44),IF(Inputs!$B$39="pvp",MIN((Skills!T13*(1+Inputs!$B$35/100)),15)/15,MIN(1,(Skills!T13*(1+Inputs!$B$35/100))/(1/Q2648)))))+((C2649=TRUE)*F2649*IF(AND(Inputs!$B$39&lt;&gt;"pvp",Inputs!$B$44&gt;0),(((R2649-1)*MIN((Skills!T14*(1+Inputs!$B$35/100)),(1/Q2649))+MIN((Skills!T14*(1+Inputs!$B$35/100)),MAX(0,Inputs!$B$44-((R2649-1)*(1/Q2649)))))/Inputs!$B$44),IF(Inputs!$B$39="pvp",MIN((Skills!T14*(1+Inputs!$B$35/100)),15)/15,MIN(1,(Skills!T14*(1+Inputs!$B$35/100))/(1/Q2649)))))+((C2650=TRUE)*F2650*IF(AND(Inputs!$B$39&lt;&gt;"pvp",Inputs!$B$44&gt;0),(((R2650-1)*MIN((Skills!T15*(1+Inputs!$B$35/100)),(1/Q2650))+MIN((Skills!T15*(1+Inputs!$B$35/100)),MAX(0,Inputs!$B$44-((R2650-1)*(1/Q2650)))))/Inputs!$B$44),IF(Inputs!$B$39="pvp",MIN((Skills!T15*(1+Inputs!$B$35/100)),15)/15,MIN(1,(Skills!T15*(1+Inputs!$B$35/100))/(1/Q2650)))))+((C2651=TRUE)*F2651*IF(AND(Inputs!$B$39&lt;&gt;"pvp",Inputs!$B$44&gt;0),(((R2651-1)*MIN((Skills!T16*(1+Inputs!$B$35/100)),(1/Q2651))+MIN((Skills!T16*(1+Inputs!$B$35/100)),MAX(0,Inputs!$B$44-((R2651-1)*(1/Q2651)))))/Inputs!$B$44),IF(Inputs!$B$39="pvp",MIN((Skills!T16*(1+Inputs!$B$35/100)),15)/15,MIN(1,(Skills!T16*(1+Inputs!$B$35/100))/(1/Q2651)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2637)</f>
        <v/>
      </c>
      <c r="L2637">
        <f>K2637*(MIN(Inputs!$B$23+((C2657=TRUE)*(F2657-Calc!F22)),(Inputs!$B$24+((C2659=TRUE)*(F2659-Calc!F24))+(IF(ArtifactsInput!$M$15,CHOOSE(ArtifactsInput!$N$15+1,25,30,35,40,45,50)/100*(Inputs!$B$12-Inputs!$B$12),0))))/100+(Inputs!$B$24+((C2659=TRUE)*(F2659-Calc!F24))+(IF(ArtifactsInput!$M$15,CHOOSE(ArtifactsInput!$N$15+1,25,30,35,40,45,50)/100*(Inputs!$B$12-Inputs!$B$12),0)))/100)/2</f>
        <v/>
      </c>
      <c r="M2637">
        <f>L2637*(1+(Inputs!$B$11+0+B2669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637">
        <f>L2637*(1-MIN((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2637*(MIN((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37">
        <f>(1-Summary!$B$11)*T2637+Summary!$B$11*V2637</f>
        <v/>
      </c>
      <c r="P2637">
        <f>IF(B2674=0,0,O2637/B2674)</f>
        <v/>
      </c>
      <c r="Q2637" t="n">
        <v>0</v>
      </c>
      <c r="R2637" t="n">
        <v>0</v>
      </c>
      <c r="S2637">
        <f>IFERROR(O2637/N2637,0)</f>
        <v/>
      </c>
      <c r="T2637">
        <f>IF(C2637,(Skills!G2*N2637*B2668)*IF(Inputs!$B$39="pvp",1,1+(Inputs!$B$21+0+Skills!P2+((C2652=TRUE)*F2652*IF(AND(Inputs!$B$39&lt;&gt;"pvp",Inputs!$B$44&gt;0),(((R2652-1)*MIN((Skills!T17*(1+Inputs!$B$35/100)),(1/Q2652))+MIN((Skills!T17*(1+Inputs!$B$35/100)),MAX(0,Inputs!$B$44-((R2652-1)*(1/Q2652)))))/Inputs!$B$44),IF(Inputs!$B$39="pvp",MIN((Skills!T17*(1+Inputs!$B$35/100)),15)/15,MIN(1,(Skills!T17*(1+Inputs!$B$35/100))/(1/Q2652)))))+((C2640=TRUE)*IF(Inputs!$B$3&gt;=126,10*MIN(1,15*Q2640),0))+((C2649=TRUE)*IF(Inputs!$B$39="pvp",20,(1-Summary!$B$11)*(20)+Summary!$B$11*(0))*IF(AND(Inputs!$B$39&lt;&gt;"pvp",Inputs!$B$44&gt;0),(((R2649-1)*MIN((Skills!T14*(1+Inputs!$B$35/100)),(1/Q2649))+MIN((Skills!T14*(1+Inputs!$B$35/100)),MAX(0,Inputs!$B$44-((R2649-1)*(1/Q2649)))))/Inputs!$B$44),IF(Inputs!$B$39="pvp",MIN((Skills!T14*(1+Inputs!$B$35/100)),15)/15,MIN(1,(Skills!T14*(1+Inputs!$B$35/100))/(1/Q2649)))))+((C2648=TRUE)*IF(Inputs!$B$3&gt;=82,IF(Inputs!$B$39="pvp",20,(1-Summary!$B$11)*(20)+Summary!$B$11*(0)),0)*IF(AND(Inputs!$B$39&lt;&gt;"pvp",Inputs!$B$44&gt;0),(((R2648-1)*MIN((Skills!T13*(1+Inputs!$B$35/100)),(1/Q2648))+MIN((Skills!T13*(1+Inputs!$B$35/100)),MAX(0,Inputs!$B$44-((R2648-1)*(1/Q2648)))))/Inputs!$B$44),IF(Inputs!$B$39="pvp",MIN((Skills!T13*(1+Inputs!$B$35/100)),15)/15,MIN(1,(Skills!T13*(1+Inputs!$B$35/100))/(1/Q2648)))))+(IF(AND(ArtifactsInput!$M$35,Inputs!$B$4&lt;&gt;"Chapter Hunt"),CHOOSE(ArtifactsInput!$N$35+1,15,18,21,24,27,30)*(1-EXP(-(0.2*B2666)*5)),0)+IF(AND(ArtifactsInput!$M$22,Inputs!$B$4&lt;&gt;"Chapter Hunt"),CHOOSE(ArtifactsInput!$N$22+1,10,12,14,16,18,20)*((0*(((0.15*B2666*5))^0/1)+1*(((0.15*B2666*5))^1/1)+2*(((0.15*B2666*5))^2/2)+3*(((0.15*B2666*5))^3/6)+4*(((0.15*B2666*5))^4/24)+5*(((0.15*B2666*5))^5/120))/((((0.15*B2666*5))^0/1)+(((0.15*B2666*5))^1/1)+(((0.15*B2666*5))^2/2)+(((0.15*B2666*5))^3/6)+(((0.15*B2666*5))^4/24)+(((0.15*B2666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IF(ArtifactsInput!$M$40,FALSE,TRUE)-ArtifactsInput!$M$40)))/100)*(1-IF(IF(ArtifactsInput!$M$40,FALSE,TRUE),CHOOSE(ArtifactsInput!$N$40+1,5,6,7,8,9,10),0)/100)^IF(Inputs!$B$39="pvp",1,2)))/100)))/(5000/(6000+Inputs!$B$43*(1-(100*(1-(1-(Inputs!$B$20+0)/100)*(1-CHOOSE(ArtifactsInput!$N$40+1,5,6,7,8,9,10)/100)^(IF(ArtifactsInput!$M$40,FALSE,TRUE)-ArtifactsInput!$M$40)))/100))))*((L2637*(1-MIN(100,(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2637*(MIN(100,(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2637*(1-MIN(100,(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2637*(MIN(100,(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637">
        <f>MAX(0,(Inputs!$B$3-100)*3)+Inputs!$B$29+Inputs!$B$30</f>
        <v/>
      </c>
      <c r="V2637">
        <f>IF(C2637,(Skills!G2*N2637*B2668)*IF(Inputs!$B$39="pvp",1,(1+(Inputs!$B$22+Skills!Q2+((C2652=TRUE)*F2652*IF(AND(Inputs!$B$39&lt;&gt;"pvp",Inputs!$B$44&gt;0),(((R2652-1)*MIN((Skills!T17*(1+Inputs!$B$35/100)),(1/Q2652))+MIN((Skills!T17*(1+Inputs!$B$35/100)),MAX(0,Inputs!$B$44-((R2652-1)*(1/Q2652)))))/Inputs!$B$44),IF(Inputs!$B$39="pvp",MIN((Skills!T17*(1+Inputs!$B$35/100)),15)/15,MIN(1,(Skills!T17*(1+Inputs!$B$35/100))/(1/Q2652)))))+((C2640=TRUE)*IF(Inputs!$B$3&gt;=126,10*MIN(1,15*Q2640),0))+((C2649=TRUE)*IF(Inputs!$B$39="pvp",20,(1-Summary!$B$11)*(20)+Summary!$B$11*(0))*IF(AND(Inputs!$B$39&lt;&gt;"pvp",Inputs!$B$44&gt;0),(((R2649-1)*MIN((Skills!T14*(1+Inputs!$B$35/100)),(1/Q2649))+MIN((Skills!T14*(1+Inputs!$B$35/100)),MAX(0,Inputs!$B$44-((R2649-1)*(1/Q2649)))))/Inputs!$B$44),IF(Inputs!$B$39="pvp",MIN((Skills!T14*(1+Inputs!$B$35/100)),15)/15,MIN(1,(Skills!T14*(1+Inputs!$B$35/100))/(1/Q2649)))))+((C2648=TRUE)*IF(Inputs!$B$3&gt;=82,IF(Inputs!$B$39="pvp",20,(1-Summary!$B$11)*(20)+Summary!$B$11*(0)),0)*IF(AND(Inputs!$B$39&lt;&gt;"pvp",Inputs!$B$44&gt;0),(((R2648-1)*MIN((Skills!T13*(1+Inputs!$B$35/100)),(1/Q2648))+MIN((Skills!T13*(1+Inputs!$B$35/100)),MAX(0,Inputs!$B$44-((R2648-1)*(1/Q2648)))))/Inputs!$B$44),IF(Inputs!$B$39="pvp",MIN((Skills!T13*(1+Inputs!$B$35/100)),15)/15,MIN(1,(Skills!T13*(1+Inputs!$B$35/100))/(1/Q2648)))))+(IF(AND(ArtifactsInput!$M$35,Inputs!$B$4&lt;&gt;"Chapter Hunt"),CHOOSE(ArtifactsInput!$N$35+1,15,18,21,24,27,30)*(1-EXP(-(0.2*B2666)*5)),0)+IF(AND(ArtifactsInput!$M$22,Inputs!$B$4&lt;&gt;"Chapter Hunt"),CHOOSE(ArtifactsInput!$N$22+1,10,12,14,16,18,20)*((0*(((0.15*B2666*5))^0/1)+1*(((0.15*B2666*5))^1/1)+2*(((0.15*B2666*5))^2/2)+3*(((0.15*B2666*5))^3/6)+4*(((0.15*B2666*5))^4/24)+5*(((0.15*B2666*5))^5/120))/((((0.15*B2666*5))^0/1)+(((0.15*B2666*5))^1/1)+(((0.15*B2666*5))^2/2)+(((0.15*B2666*5))^3/6)+(((0.15*B2666*5))^4/24)+(((0.15*B2666*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38">
      <c r="A2638">
        <f>Skills!A3</f>
        <v/>
      </c>
      <c r="B2638">
        <f>Skills!B3</f>
        <v/>
      </c>
      <c r="C2638">
        <f>Inputs!$B$3&gt;=50</f>
        <v/>
      </c>
      <c r="D2638">
        <f>IF(Skills!C3=1,60+Inputs!$B$26+Inputs!$B$30,IF(Skills!C3=2,90+Inputs!$B$27+Inputs!$B$30,IF(Skills!C3=3,120+Inputs!$B$28+Inputs!$B$30,MAX(0,(Inputs!$B$3-100)*3)+Inputs!$B$29+Inputs!$B$30)))</f>
        <v/>
      </c>
      <c r="E2638">
        <f>INDEX(FactorTable!$B$2:$Y$301, MATCH(ROUND(MIN(300,MAX(1,D2638)),0), FactorTable!$A$2:$A$301,0), Skills!M3+1)</f>
        <v/>
      </c>
      <c r="F2638">
        <f>IF(Skills!N3=TRUE,(Skills!L3/10)*(E2638/1000),Skills!L3/10)+Skills!O3</f>
        <v/>
      </c>
      <c r="G2638" t="inlineStr"/>
      <c r="H2638" t="inlineStr"/>
      <c r="I2638" t="inlineStr">
        <is>
          <t>1</t>
        </is>
      </c>
      <c r="J2638" t="inlineStr"/>
      <c r="K2638" t="inlineStr"/>
      <c r="L2638" t="inlineStr"/>
      <c r="M2638" t="inlineStr"/>
      <c r="N2638" t="inlineStr"/>
      <c r="O2638" t="inlineStr"/>
      <c r="P2638" t="inlineStr"/>
      <c r="Q2638" t="inlineStr"/>
      <c r="R2638" t="inlineStr"/>
      <c r="S2638" t="inlineStr"/>
      <c r="U2638">
        <f>INDEX(FactorTable!$B$2:$Y$301, MATCH(ROUND(MIN(300,MAX(1,U2637)),0), FactorTable!$A$2:$A$301,0), 22)</f>
        <v/>
      </c>
    </row>
    <row r="2639">
      <c r="A2639">
        <f>Skills!A4</f>
        <v/>
      </c>
      <c r="B2639">
        <f>Skills!B4</f>
        <v/>
      </c>
      <c r="C2639">
        <f>Inputs!$B$3&gt;=105</f>
        <v/>
      </c>
      <c r="D2639">
        <f>IF(Skills!C4=1,60+Inputs!$B$26+Inputs!$B$30,IF(Skills!C4=2,90+Inputs!$B$27+Inputs!$B$30,IF(Skills!C4=3,120+Inputs!$B$28+Inputs!$B$30,MAX(0,(Inputs!$B$3-100)*3)+Inputs!$B$29+Inputs!$B$30)))</f>
        <v/>
      </c>
      <c r="E2639">
        <f>INDEX(FactorTable!$B$2:$Y$301, MATCH(ROUND(MIN(300,MAX(1,D2639)),0), FactorTable!$A$2:$A$301,0), Skills!M4+1)</f>
        <v/>
      </c>
      <c r="F2639">
        <f>IF(Skills!N4=TRUE,(Skills!L4/10)*(E2639/1000),Skills!L4/10)+Skills!O4</f>
        <v/>
      </c>
      <c r="G2639" t="inlineStr"/>
      <c r="H2639" t="inlineStr"/>
      <c r="I2639" t="inlineStr">
        <is>
          <t>1</t>
        </is>
      </c>
      <c r="J2639" t="inlineStr"/>
      <c r="K2639" t="inlineStr"/>
      <c r="L2639" t="inlineStr"/>
      <c r="M2639" t="inlineStr"/>
      <c r="N2639" t="inlineStr"/>
      <c r="O2639" t="inlineStr"/>
      <c r="P2639" t="inlineStr"/>
      <c r="Q2639" t="inlineStr"/>
      <c r="R2639" t="inlineStr"/>
      <c r="S2639" t="inlineStr"/>
      <c r="U2639">
        <f>290*U2638/1000</f>
        <v/>
      </c>
    </row>
    <row r="2640">
      <c r="A2640">
        <f>Skills!A5</f>
        <v/>
      </c>
      <c r="B2640">
        <f>Skills!B5</f>
        <v/>
      </c>
      <c r="C2640">
        <f>Inputs!$B$3&gt;=117</f>
        <v/>
      </c>
      <c r="D2640">
        <f>IF(Skills!C5=1,60+Inputs!$B$26+Inputs!$B$30,IF(Skills!C5=2,90+Inputs!$B$27+Inputs!$B$30,IF(Skills!C5=3,120+Inputs!$B$28+Inputs!$B$30,MAX(0,(Inputs!$B$3-100)*3)+Inputs!$B$29+Inputs!$B$30)))</f>
        <v/>
      </c>
      <c r="E2640">
        <f>INDEX(FactorTable!$B$2:$Y$301, MATCH(ROUND(MIN(300,MAX(1,D2640)),0), FactorTable!$A$2:$A$301,0), Skills!M5+1)</f>
        <v/>
      </c>
      <c r="F2640">
        <f>IF(Skills!N5=TRUE,(Skills!L5/10)*(E2640/1000),Skills!L5/10)+Skills!O5</f>
        <v/>
      </c>
      <c r="G2640">
        <f>Skills!G5*IF(Skills!H5&gt;0,INT(IF(Inputs!$B$39="pvp",MIN(Skills!I5,15),Skills!I5)/Skills!H5+0.000000001),1)</f>
        <v/>
      </c>
      <c r="H2640">
        <f>1-(1-Skills!J5/100)^Skills!K5</f>
        <v/>
      </c>
      <c r="I2640" t="inlineStr">
        <is>
          <t>1</t>
        </is>
      </c>
      <c r="J2640">
        <f>((Inputs!$B$6*(1+Inputs!$B$7/100))+(((Inputs!$B$13*(1+Inputs!$B$14/100))-(Inputs!$B$13*(1+Inputs!$B$14/100)))+0.25*(Inputs!$B$15-Inputs!$B$15))*(1+Inputs!$B$7/100))*(F2640/100)</f>
        <v/>
      </c>
      <c r="K2640">
        <f>J2640*(1+(((Inputs!$B$13+IF(Inputs!$B$3&gt;=38,(10*INDEX(FactorTable!$B$2:$Y$301, MATCH(ROUND(MIN(300,MAX(1,Inputs!$B$3)),0), FactorTable!$A$2:$A$301,0), 23)/1000)/100*(Inputs!$B$8*(1+Inputs!$B$9/100)),0))*(1+Inputs!$B$14/100))*0.01+Inputs!$B$15*0.0025)/100)*(1+Inputs!$B$16/100)*(1+Inputs!$B$17/100)*(5000/(6000+Inputs!$B$43*(1-(Inputs!$B$20+0)/100)))*(1+(Inputs!$B$25+((C2660=TRUE)*(F2660-Calc!F25))+((C2661=TRUE)*(F2661-Calc!F26))+B2670)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gt;=100),MIN(100,((Inputs!$B$10+0+B2664+(ArtifactsInput!$M$24-ArtifactsInput!$M$24)*CHOOSE(ArtifactsInput!$N$24+1,10,12,14,16,18,20)+IF(ArtifactsInput!$M$10,CHOOSE(ArtifactsInput!$N$10+1,15,18,21,24,27,30)*(IF(Inputs!$B$39="pvp",MIN(15,15)/15,IF(AND(Inputs!$B$39&lt;&gt;"pvp",Inputs!$B$44&gt;0),MIN(15,Inputs!$B$44)/(Inputs!$B$44),0))),0)))-100),0))*CHOOSE(ArtifactsInput!$N$42+1,0.6,0.72,0.84,0.96,1.08,1.2))),Inputs!$B$19+((C2658=TRUE)*(F2658-Calc!F23))+(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gt;=100),CHOOSE(ArtifactsInput!$N$42+1,40,48,56,64,72,80),0))))/100)*((1+(((C2648=TRUE)*F2648*IF(AND(Inputs!$B$39&lt;&gt;"pvp",Inputs!$B$44&gt;0),(((R2648-1)*MIN((Skills!T13*(1+Inputs!$B$35/100)),(1/Q2648))+MIN((Skills!T13*(1+Inputs!$B$35/100)),MAX(0,Inputs!$B$44-((R2648-1)*(1/Q2648)))))/Inputs!$B$44),IF(Inputs!$B$39="pvp",MIN((Skills!T13*(1+Inputs!$B$35/100)),15)/15,MIN(1,(Skills!T13*(1+Inputs!$B$35/100))/(1/Q2648)))))+((C2649=TRUE)*F2649*IF(AND(Inputs!$B$39&lt;&gt;"pvp",Inputs!$B$44&gt;0),(((R2649-1)*MIN((Skills!T14*(1+Inputs!$B$35/100)),(1/Q2649))+MIN((Skills!T14*(1+Inputs!$B$35/100)),MAX(0,Inputs!$B$44-((R2649-1)*(1/Q2649)))))/Inputs!$B$44),IF(Inputs!$B$39="pvp",MIN((Skills!T14*(1+Inputs!$B$35/100)),15)/15,MIN(1,(Skills!T14*(1+Inputs!$B$35/100))/(1/Q2649)))))+((C2650=TRUE)*F2650*IF(AND(Inputs!$B$39&lt;&gt;"pvp",Inputs!$B$44&gt;0),(((R2650-1)*MIN((Skills!T15*(1+Inputs!$B$35/100)),(1/Q2650))+MIN((Skills!T15*(1+Inputs!$B$35/100)),MAX(0,Inputs!$B$44-((R2650-1)*(1/Q2650)))))/Inputs!$B$44),IF(Inputs!$B$39="pvp",MIN((Skills!T15*(1+Inputs!$B$35/100)),15)/15,MIN(1,(Skills!T15*(1+Inputs!$B$35/100))/(1/Q2650)))))+((C2651=TRUE)*F2651*IF(AND(Inputs!$B$39&lt;&gt;"pvp",Inputs!$B$44&gt;0),(((R2651-1)*MIN((Skills!T16*(1+Inputs!$B$35/100)),(1/Q2651))+MIN((Skills!T16*(1+Inputs!$B$35/100)),MAX(0,Inputs!$B$44-((R2651-1)*(1/Q2651)))))/Inputs!$B$44),IF(Inputs!$B$39="pvp",MIN((Skills!T16*(1+Inputs!$B$35/100)),15)/15,MIN(1,(Skills!T16*(1+Inputs!$B$35/100))/(1/Q2651)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2640)</f>
        <v/>
      </c>
      <c r="L2640">
        <f>K2640*(MIN(Inputs!$B$23+((C2657=TRUE)*(F2657-Calc!F22)),(Inputs!$B$24+((C2659=TRUE)*(F2659-Calc!F24))+(IF(ArtifactsInput!$M$15,CHOOSE(ArtifactsInput!$N$15+1,25,30,35,40,45,50)/100*(Inputs!$B$12-Inputs!$B$12),0))))/100+(Inputs!$B$24+((C2659=TRUE)*(F2659-Calc!F24))+(IF(ArtifactsInput!$M$15,CHOOSE(ArtifactsInput!$N$15+1,25,30,35,40,45,50)/100*(Inputs!$B$12-Inputs!$B$12),0)))/100)/2</f>
        <v/>
      </c>
      <c r="M2640">
        <f>L2640*(1+(Inputs!$B$11+0+B2669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640">
        <f>L2640*(1-MIN((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2640*(MIN((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40">
        <f>(1-Summary!$B$11)*T2640+Summary!$B$11*V2640</f>
        <v/>
      </c>
      <c r="P2640">
        <f>IF(B2674=0,0,O2640/B2674)</f>
        <v/>
      </c>
      <c r="Q2640">
        <f>IFERROR(1/IF(Inputs!$B$39="pvp",15,MAX(0.1,Skills!D5-IF(TRUE=TRUE,Inputs!$B$33,0))),0)</f>
        <v/>
      </c>
      <c r="R2640">
        <f>IF(AND(Inputs!$B$39&lt;&gt;"pvp",Inputs!$B$44&gt;0),IF(MAX(0,Inputs!$B$44-B2671)&lt;=0,0,(INT(MAX(0,Inputs!$B$44-B2671)/IF(Inputs!$B$39="pvp",15,MAX(0.1,Skills!D5-IF(TRUE=TRUE,Inputs!$B$33,0))))+1)),0)</f>
        <v/>
      </c>
      <c r="S2640">
        <f>IFERROR(O2640/N2640,0)</f>
        <v/>
      </c>
      <c r="T2640">
        <f>IF(C2640,(H2640*N2640*IF(AND(Inputs!$B$39&lt;&gt;"pvp",Inputs!$B$44&gt;0),((Skills!G5*((R2640-1)*IF(Skills!H5&gt;0,INT(Skills!I5/Skills!H5+0.000000001),1)+IF(Skills!H5&gt;0,INT(MIN(Skills!I5,MAX(0,MAX(0,Inputs!$B$44-B2671)-((R2640-1)*IF(Inputs!$B$39="pvp",15,MAX(0.1,Skills!D5-IF(TRUE=TRUE,Inputs!$B$33,0))))))/Skills!H5+0.000000001),1)))/Inputs!$B$44),G2640*Q2640))*IF(Inputs!$B$39="pvp",1,1+(Inputs!$B$21+0+Skills!P5+((C2652=TRUE)*F2652*IF(AND(Inputs!$B$39&lt;&gt;"pvp",Inputs!$B$44&gt;0),(((R2652-1)*MIN((Skills!T17*(1+Inputs!$B$35/100)),(1/Q2652))+MIN((Skills!T17*(1+Inputs!$B$35/100)),MAX(0,Inputs!$B$44-((R2652-1)*(1/Q2652)))))/Inputs!$B$44),IF(Inputs!$B$39="pvp",MIN((Skills!T17*(1+Inputs!$B$35/100)),15)/15,MIN(1,(Skills!T17*(1+Inputs!$B$35/100))/(1/Q2652)))))+((C2640=TRUE)*IF(Inputs!$B$3&gt;=126,10*MIN(1,15*Q2640),0))+((C2649=TRUE)*IF(Inputs!$B$39="pvp",20,(1-Summary!$B$11)*(20)+Summary!$B$11*(0))*IF(AND(Inputs!$B$39&lt;&gt;"pvp",Inputs!$B$44&gt;0),(((R2649-1)*MIN((Skills!T14*(1+Inputs!$B$35/100)),(1/Q2649))+MIN((Skills!T14*(1+Inputs!$B$35/100)),MAX(0,Inputs!$B$44-((R2649-1)*(1/Q2649)))))/Inputs!$B$44),IF(Inputs!$B$39="pvp",MIN((Skills!T14*(1+Inputs!$B$35/100)),15)/15,MIN(1,(Skills!T14*(1+Inputs!$B$35/100))/(1/Q2649)))))+((C2648=TRUE)*IF(Inputs!$B$3&gt;=82,IF(Inputs!$B$39="pvp",20,(1-Summary!$B$11)*(20)+Summary!$B$11*(0)),0)*IF(AND(Inputs!$B$39&lt;&gt;"pvp",Inputs!$B$44&gt;0),(((R2648-1)*MIN((Skills!T13*(1+Inputs!$B$35/100)),(1/Q2648))+MIN((Skills!T13*(1+Inputs!$B$35/100)),MAX(0,Inputs!$B$44-((R2648-1)*(1/Q2648)))))/Inputs!$B$44),IF(Inputs!$B$39="pvp",MIN((Skills!T13*(1+Inputs!$B$35/100)),15)/15,MIN(1,(Skills!T13*(1+Inputs!$B$35/100))/(1/Q2648)))))+(IF(AND(ArtifactsInput!$M$35,Inputs!$B$4&lt;&gt;"Chapter Hunt"),CHOOSE(ArtifactsInput!$N$35+1,15,18,21,24,27,30)*(1-EXP(-(0.2*B2666)*5)),0)+IF(AND(ArtifactsInput!$M$22,Inputs!$B$4&lt;&gt;"Chapter Hunt"),CHOOSE(ArtifactsInput!$N$22+1,10,12,14,16,18,20)*((0*(((0.15*B2666*5))^0/1)+1*(((0.15*B2666*5))^1/1)+2*(((0.15*B2666*5))^2/2)+3*(((0.15*B2666*5))^3/6)+4*(((0.15*B2666*5))^4/24)+5*(((0.15*B2666*5))^5/120))/((((0.15*B2666*5))^0/1)+(((0.15*B2666*5))^1/1)+(((0.15*B2666*5))^2/2)+(((0.15*B2666*5))^3/6)+(((0.15*B2666*5))^4/24)+(((0.15*B2666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IF(ArtifactsInput!$M$40,FALSE,TRUE)-ArtifactsInput!$M$40)))/100)*(1-IF(IF(ArtifactsInput!$M$40,FALSE,TRUE),CHOOSE(ArtifactsInput!$N$40+1,5,6,7,8,9,10),0)/100)^IF(Inputs!$B$39="pvp",1,2)))/100)))/(5000/(6000+Inputs!$B$43*(1-(100*(1-(1-(Inputs!$B$20+0)/100)*(1-CHOOSE(ArtifactsInput!$N$40+1,5,6,7,8,9,10)/100)^(IF(ArtifactsInput!$M$40,FALSE,TRUE)-ArtifactsInput!$M$40)))/100))))*((L2640*(1-MIN(100,(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2640*(MIN(100,(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2640*(1-MIN(100,(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2640*(MIN(100,(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40">
        <f>IF(C2640,(H2640*N2640*IF(AND(Inputs!$B$39&lt;&gt;"pvp",Inputs!$B$44&gt;0),((Skills!G5*((R2640-1)*IF(Skills!H5&gt;0,INT(Skills!I5/Skills!H5+0.000000001),1)+IF(Skills!H5&gt;0,INT(MIN(Skills!I5,MAX(0,MAX(0,Inputs!$B$44-B2671)-((R2640-1)*IF(Inputs!$B$39="pvp",15,MAX(0.1,Skills!D5-IF(TRUE=TRUE,Inputs!$B$33,0))))))/Skills!H5+0.000000001),1)))/Inputs!$B$44),G2640*Q2640))*IF(Inputs!$B$39="pvp",1,(1+(Inputs!$B$22+Skills!Q5+((C2652=TRUE)*F2652*IF(AND(Inputs!$B$39&lt;&gt;"pvp",Inputs!$B$44&gt;0),(((R2652-1)*MIN((Skills!T17*(1+Inputs!$B$35/100)),(1/Q2652))+MIN((Skills!T17*(1+Inputs!$B$35/100)),MAX(0,Inputs!$B$44-((R2652-1)*(1/Q2652)))))/Inputs!$B$44),IF(Inputs!$B$39="pvp",MIN((Skills!T17*(1+Inputs!$B$35/100)),15)/15,MIN(1,(Skills!T17*(1+Inputs!$B$35/100))/(1/Q2652)))))+((C2640=TRUE)*IF(Inputs!$B$3&gt;=126,10*MIN(1,15*Q2640),0))+((C2649=TRUE)*IF(Inputs!$B$39="pvp",20,(1-Summary!$B$11)*(20)+Summary!$B$11*(0))*IF(AND(Inputs!$B$39&lt;&gt;"pvp",Inputs!$B$44&gt;0),(((R2649-1)*MIN((Skills!T14*(1+Inputs!$B$35/100)),(1/Q2649))+MIN((Skills!T14*(1+Inputs!$B$35/100)),MAX(0,Inputs!$B$44-((R2649-1)*(1/Q2649)))))/Inputs!$B$44),IF(Inputs!$B$39="pvp",MIN((Skills!T14*(1+Inputs!$B$35/100)),15)/15,MIN(1,(Skills!T14*(1+Inputs!$B$35/100))/(1/Q2649)))))+((C2648=TRUE)*IF(Inputs!$B$3&gt;=82,IF(Inputs!$B$39="pvp",20,(1-Summary!$B$11)*(20)+Summary!$B$11*(0)),0)*IF(AND(Inputs!$B$39&lt;&gt;"pvp",Inputs!$B$44&gt;0),(((R2648-1)*MIN((Skills!T13*(1+Inputs!$B$35/100)),(1/Q2648))+MIN((Skills!T13*(1+Inputs!$B$35/100)),MAX(0,Inputs!$B$44-((R2648-1)*(1/Q2648)))))/Inputs!$B$44),IF(Inputs!$B$39="pvp",MIN((Skills!T13*(1+Inputs!$B$35/100)),15)/15,MIN(1,(Skills!T13*(1+Inputs!$B$35/100))/(1/Q2648)))))+(IF(AND(ArtifactsInput!$M$35,Inputs!$B$4&lt;&gt;"Chapter Hunt"),CHOOSE(ArtifactsInput!$N$35+1,15,18,21,24,27,30)*(1-EXP(-(0.2*B2666)*5)),0)+IF(AND(ArtifactsInput!$M$22,Inputs!$B$4&lt;&gt;"Chapter Hunt"),CHOOSE(ArtifactsInput!$N$22+1,10,12,14,16,18,20)*((0*(((0.15*B2666*5))^0/1)+1*(((0.15*B2666*5))^1/1)+2*(((0.15*B2666*5))^2/2)+3*(((0.15*B2666*5))^3/6)+4*(((0.15*B2666*5))^4/24)+5*(((0.15*B2666*5))^5/120))/((((0.15*B2666*5))^0/1)+(((0.15*B2666*5))^1/1)+(((0.15*B2666*5))^2/2)+(((0.15*B2666*5))^3/6)+(((0.15*B2666*5))^4/24)+(((0.15*B2666*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41">
      <c r="A2641">
        <f>Skills!A6</f>
        <v/>
      </c>
      <c r="B2641">
        <f>Skills!B6</f>
        <v/>
      </c>
      <c r="C2641">
        <f>Inputs!$B$3&gt;=103</f>
        <v/>
      </c>
      <c r="D2641">
        <f>IF(Skills!C6=1,60+Inputs!$B$26+Inputs!$B$30,IF(Skills!C6=2,90+Inputs!$B$27+Inputs!$B$30,IF(Skills!C6=3,120+Inputs!$B$28+Inputs!$B$30,MAX(0,(Inputs!$B$3-100)*3)+Inputs!$B$29+Inputs!$B$30)))</f>
        <v/>
      </c>
      <c r="E2641">
        <f>INDEX(FactorTable!$B$2:$Y$301, MATCH(ROUND(MIN(300,MAX(1,D2641)),0), FactorTable!$A$2:$A$301,0), Skills!M6+1)</f>
        <v/>
      </c>
      <c r="F2641">
        <f>IF(Skills!N6=TRUE,(Skills!L6/10)*(E2641/1000),Skills!L6/10)+Skills!O6</f>
        <v/>
      </c>
      <c r="G2641">
        <f>Skills!G6*IF(Skills!H6&gt;0,INT(IF(Inputs!$B$39="pvp",MIN(Skills!I6,15),Skills!I6)/Skills!H6+0.000000001),1)</f>
        <v/>
      </c>
      <c r="H2641">
        <f>1-(1-Skills!J6/100)^Skills!K6</f>
        <v/>
      </c>
      <c r="I2641" t="inlineStr">
        <is>
          <t>1</t>
        </is>
      </c>
      <c r="J2641">
        <f>((Inputs!$B$6*(1+Inputs!$B$7/100))+(((Inputs!$B$13*(1+Inputs!$B$14/100))-(Inputs!$B$13*(1+Inputs!$B$14/100)))+0.25*(Inputs!$B$15-Inputs!$B$15))*(1+Inputs!$B$7/100))*(F2641/100)</f>
        <v/>
      </c>
      <c r="K2641">
        <f>J2641*(1+(((Inputs!$B$13+IF(Inputs!$B$3&gt;=38,(10*INDEX(FactorTable!$B$2:$Y$301, MATCH(ROUND(MIN(300,MAX(1,Inputs!$B$3)),0), FactorTable!$A$2:$A$301,0), 23)/1000)/100*(Inputs!$B$8*(1+Inputs!$B$9/100)),0))*(1+Inputs!$B$14/100))*0.01+Inputs!$B$15*0.0025)/100)*(1+Inputs!$B$16/100)*(1+Inputs!$B$17/100)*(5000/(6000+Inputs!$B$43*(1-(Inputs!$B$20+0)/100)))*(1+(Inputs!$B$25+((C2660=TRUE)*(F2660-Calc!F25))+((C2661=TRUE)*(F2661-Calc!F26))+B2670)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gt;=100),MIN(100,((Inputs!$B$10+0+B2664+(ArtifactsInput!$M$24-ArtifactsInput!$M$24)*CHOOSE(ArtifactsInput!$N$24+1,10,12,14,16,18,20)+IF(ArtifactsInput!$M$10,CHOOSE(ArtifactsInput!$N$10+1,15,18,21,24,27,30)*(IF(Inputs!$B$39="pvp",MIN(15,15)/15,IF(AND(Inputs!$B$39&lt;&gt;"pvp",Inputs!$B$44&gt;0),MIN(15,Inputs!$B$44)/(Inputs!$B$44),0))),0)))-100),0))*CHOOSE(ArtifactsInput!$N$42+1,0.6,0.72,0.84,0.96,1.08,1.2))),Inputs!$B$19+((C2658=TRUE)*(F2658-Calc!F23))+(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gt;=100),CHOOSE(ArtifactsInput!$N$42+1,40,48,56,64,72,80),0))))/100)*((1+(((C2648=TRUE)*F2648*IF(AND(Inputs!$B$39&lt;&gt;"pvp",Inputs!$B$44&gt;0),(((R2648-1)*MIN((Skills!T13*(1+Inputs!$B$35/100)),(1/Q2648))+MIN((Skills!T13*(1+Inputs!$B$35/100)),MAX(0,Inputs!$B$44-((R2648-1)*(1/Q2648)))))/Inputs!$B$44),IF(Inputs!$B$39="pvp",MIN((Skills!T13*(1+Inputs!$B$35/100)),15)/15,MIN(1,(Skills!T13*(1+Inputs!$B$35/100))/(1/Q2648)))))+((C2649=TRUE)*F2649*IF(AND(Inputs!$B$39&lt;&gt;"pvp",Inputs!$B$44&gt;0),(((R2649-1)*MIN((Skills!T14*(1+Inputs!$B$35/100)),(1/Q2649))+MIN((Skills!T14*(1+Inputs!$B$35/100)),MAX(0,Inputs!$B$44-((R2649-1)*(1/Q2649)))))/Inputs!$B$44),IF(Inputs!$B$39="pvp",MIN((Skills!T14*(1+Inputs!$B$35/100)),15)/15,MIN(1,(Skills!T14*(1+Inputs!$B$35/100))/(1/Q2649)))))+((C2650=TRUE)*F2650*IF(AND(Inputs!$B$39&lt;&gt;"pvp",Inputs!$B$44&gt;0),(((R2650-1)*MIN((Skills!T15*(1+Inputs!$B$35/100)),(1/Q2650))+MIN((Skills!T15*(1+Inputs!$B$35/100)),MAX(0,Inputs!$B$44-((R2650-1)*(1/Q2650)))))/Inputs!$B$44),IF(Inputs!$B$39="pvp",MIN((Skills!T15*(1+Inputs!$B$35/100)),15)/15,MIN(1,(Skills!T15*(1+Inputs!$B$35/100))/(1/Q2650)))))+((C2651=TRUE)*F2651*IF(AND(Inputs!$B$39&lt;&gt;"pvp",Inputs!$B$44&gt;0),(((R2651-1)*MIN((Skills!T16*(1+Inputs!$B$35/100)),(1/Q2651))+MIN((Skills!T16*(1+Inputs!$B$35/100)),MAX(0,Inputs!$B$44-((R2651-1)*(1/Q2651)))))/Inputs!$B$44),IF(Inputs!$B$39="pvp",MIN((Skills!T16*(1+Inputs!$B$35/100)),15)/15,MIN(1,(Skills!T16*(1+Inputs!$B$35/100))/(1/Q2651)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2641)</f>
        <v/>
      </c>
      <c r="L2641">
        <f>K2641*(MIN(Inputs!$B$23+((C2657=TRUE)*(F2657-Calc!F22)),(Inputs!$B$24+((C2659=TRUE)*(F2659-Calc!F24))+(IF(ArtifactsInput!$M$15,CHOOSE(ArtifactsInput!$N$15+1,25,30,35,40,45,50)/100*(Inputs!$B$12-Inputs!$B$12),0))))/100+(Inputs!$B$24+((C2659=TRUE)*(F2659-Calc!F24))+(IF(ArtifactsInput!$M$15,CHOOSE(ArtifactsInput!$N$15+1,25,30,35,40,45,50)/100*(Inputs!$B$12-Inputs!$B$12),0)))/100)/2</f>
        <v/>
      </c>
      <c r="M2641">
        <f>L2641*(1+(Inputs!$B$11+0+B2669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641">
        <f>L2641*(1-MIN((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2641*(MIN((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41">
        <f>(1-Summary!$B$11)*T2641+Summary!$B$11*V2641</f>
        <v/>
      </c>
      <c r="P2641">
        <f>IF(B2674=0,0,O2641/B2674)</f>
        <v/>
      </c>
      <c r="Q2641">
        <f>IFERROR(1/IF(Inputs!$B$39="pvp",15,MAX(0.1,Skills!D6-IF(TRUE=TRUE,Inputs!$B$33,0))),0)</f>
        <v/>
      </c>
      <c r="R2641">
        <f>IF(AND(Inputs!$B$39&lt;&gt;"pvp",Inputs!$B$44&gt;0),IF(MAX(0,Inputs!$B$44-B2671)&lt;=0,0,(INT(MAX(0,Inputs!$B$44-B2671)/IF(Inputs!$B$39="pvp",15,MAX(0.1,Skills!D6-IF(TRUE=TRUE,Inputs!$B$33,0))))+1)),0)</f>
        <v/>
      </c>
      <c r="S2641">
        <f>IFERROR(O2641/N2641,0)</f>
        <v/>
      </c>
      <c r="T2641">
        <f>IF(C2641,(H2641*N2641*IF(AND(Inputs!$B$39&lt;&gt;"pvp",Inputs!$B$44&gt;0),((Skills!G6*((R2641-1)*IF(Skills!H6&gt;0,INT(Skills!I6/Skills!H6+0.000000001),1)+IF(Skills!H6&gt;0,INT(MIN(Skills!I6,MAX(0,MAX(0,Inputs!$B$44-B2671)-((R2641-1)*IF(Inputs!$B$39="pvp",15,MAX(0.1,Skills!D6-IF(TRUE=TRUE,Inputs!$B$33,0))))))/Skills!H6+0.000000001),1)))/Inputs!$B$44),G2641*Q2641))*IF(Inputs!$B$39="pvp",1,1+(Inputs!$B$21+0+Skills!P6+((C2652=TRUE)*F2652*IF(AND(Inputs!$B$39&lt;&gt;"pvp",Inputs!$B$44&gt;0),(((R2652-1)*MIN((Skills!T17*(1+Inputs!$B$35/100)),(1/Q2652))+MIN((Skills!T17*(1+Inputs!$B$35/100)),MAX(0,Inputs!$B$44-((R2652-1)*(1/Q2652)))))/Inputs!$B$44),IF(Inputs!$B$39="pvp",MIN((Skills!T17*(1+Inputs!$B$35/100)),15)/15,MIN(1,(Skills!T17*(1+Inputs!$B$35/100))/(1/Q2652)))))+((C2640=TRUE)*IF(Inputs!$B$3&gt;=126,10*MIN(1,15*Q2640),0))+((C2649=TRUE)*IF(Inputs!$B$39="pvp",20,(1-Summary!$B$11)*(20)+Summary!$B$11*(0))*IF(AND(Inputs!$B$39&lt;&gt;"pvp",Inputs!$B$44&gt;0),(((R2649-1)*MIN((Skills!T14*(1+Inputs!$B$35/100)),(1/Q2649))+MIN((Skills!T14*(1+Inputs!$B$35/100)),MAX(0,Inputs!$B$44-((R2649-1)*(1/Q2649)))))/Inputs!$B$44),IF(Inputs!$B$39="pvp",MIN((Skills!T14*(1+Inputs!$B$35/100)),15)/15,MIN(1,(Skills!T14*(1+Inputs!$B$35/100))/(1/Q2649)))))+((C2648=TRUE)*IF(Inputs!$B$3&gt;=82,IF(Inputs!$B$39="pvp",20,(1-Summary!$B$11)*(20)+Summary!$B$11*(0)),0)*IF(AND(Inputs!$B$39&lt;&gt;"pvp",Inputs!$B$44&gt;0),(((R2648-1)*MIN((Skills!T13*(1+Inputs!$B$35/100)),(1/Q2648))+MIN((Skills!T13*(1+Inputs!$B$35/100)),MAX(0,Inputs!$B$44-((R2648-1)*(1/Q2648)))))/Inputs!$B$44),IF(Inputs!$B$39="pvp",MIN((Skills!T13*(1+Inputs!$B$35/100)),15)/15,MIN(1,(Skills!T13*(1+Inputs!$B$35/100))/(1/Q2648)))))+(IF(AND(ArtifactsInput!$M$35,Inputs!$B$4&lt;&gt;"Chapter Hunt"),CHOOSE(ArtifactsInput!$N$35+1,15,18,21,24,27,30)*(1-EXP(-(0.2*B2666)*5)),0)+IF(AND(ArtifactsInput!$M$22,Inputs!$B$4&lt;&gt;"Chapter Hunt"),CHOOSE(ArtifactsInput!$N$22+1,10,12,14,16,18,20)*((0*(((0.15*B2666*5))^0/1)+1*(((0.15*B2666*5))^1/1)+2*(((0.15*B2666*5))^2/2)+3*(((0.15*B2666*5))^3/6)+4*(((0.15*B2666*5))^4/24)+5*(((0.15*B2666*5))^5/120))/((((0.15*B2666*5))^0/1)+(((0.15*B2666*5))^1/1)+(((0.15*B2666*5))^2/2)+(((0.15*B2666*5))^3/6)+(((0.15*B2666*5))^4/24)+(((0.15*B2666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IF(ArtifactsInput!$M$40,FALSE,TRUE)-ArtifactsInput!$M$40)))/100)*(1-IF(IF(ArtifactsInput!$M$40,FALSE,TRUE),CHOOSE(ArtifactsInput!$N$40+1,5,6,7,8,9,10),0)/100)^IF(Inputs!$B$39="pvp",1,2)))/100)))/(5000/(6000+Inputs!$B$43*(1-(100*(1-(1-(Inputs!$B$20+0)/100)*(1-CHOOSE(ArtifactsInput!$N$40+1,5,6,7,8,9,10)/100)^(IF(ArtifactsInput!$M$40,FALSE,TRUE)-ArtifactsInput!$M$40)))/100))))*((L2641*(1-MIN(100,(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2641*(MIN(100,(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2641*(1-MIN(100,(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2641*(MIN(100,(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41">
        <f>IF(C2641,(H2641*N2641*IF(AND(Inputs!$B$39&lt;&gt;"pvp",Inputs!$B$44&gt;0),((Skills!G6*((R2641-1)*IF(Skills!H6&gt;0,INT(Skills!I6/Skills!H6+0.000000001),1)+IF(Skills!H6&gt;0,INT(MIN(Skills!I6,MAX(0,MAX(0,Inputs!$B$44-B2671)-((R2641-1)*IF(Inputs!$B$39="pvp",15,MAX(0.1,Skills!D6-IF(TRUE=TRUE,Inputs!$B$33,0))))))/Skills!H6+0.000000001),1)))/Inputs!$B$44),G2641*Q2641))*IF(Inputs!$B$39="pvp",1,(1+(Inputs!$B$22+Skills!Q6+((C2652=TRUE)*F2652*IF(AND(Inputs!$B$39&lt;&gt;"pvp",Inputs!$B$44&gt;0),(((R2652-1)*MIN((Skills!T17*(1+Inputs!$B$35/100)),(1/Q2652))+MIN((Skills!T17*(1+Inputs!$B$35/100)),MAX(0,Inputs!$B$44-((R2652-1)*(1/Q2652)))))/Inputs!$B$44),IF(Inputs!$B$39="pvp",MIN((Skills!T17*(1+Inputs!$B$35/100)),15)/15,MIN(1,(Skills!T17*(1+Inputs!$B$35/100))/(1/Q2652)))))+((C2640=TRUE)*IF(Inputs!$B$3&gt;=126,10*MIN(1,15*Q2640),0))+((C2649=TRUE)*IF(Inputs!$B$39="pvp",20,(1-Summary!$B$11)*(20)+Summary!$B$11*(0))*IF(AND(Inputs!$B$39&lt;&gt;"pvp",Inputs!$B$44&gt;0),(((R2649-1)*MIN((Skills!T14*(1+Inputs!$B$35/100)),(1/Q2649))+MIN((Skills!T14*(1+Inputs!$B$35/100)),MAX(0,Inputs!$B$44-((R2649-1)*(1/Q2649)))))/Inputs!$B$44),IF(Inputs!$B$39="pvp",MIN((Skills!T14*(1+Inputs!$B$35/100)),15)/15,MIN(1,(Skills!T14*(1+Inputs!$B$35/100))/(1/Q2649)))))+((C2648=TRUE)*IF(Inputs!$B$3&gt;=82,IF(Inputs!$B$39="pvp",20,(1-Summary!$B$11)*(20)+Summary!$B$11*(0)),0)*IF(AND(Inputs!$B$39&lt;&gt;"pvp",Inputs!$B$44&gt;0),(((R2648-1)*MIN((Skills!T13*(1+Inputs!$B$35/100)),(1/Q2648))+MIN((Skills!T13*(1+Inputs!$B$35/100)),MAX(0,Inputs!$B$44-((R2648-1)*(1/Q2648)))))/Inputs!$B$44),IF(Inputs!$B$39="pvp",MIN((Skills!T13*(1+Inputs!$B$35/100)),15)/15,MIN(1,(Skills!T13*(1+Inputs!$B$35/100))/(1/Q2648)))))+(IF(AND(ArtifactsInput!$M$35,Inputs!$B$4&lt;&gt;"Chapter Hunt"),CHOOSE(ArtifactsInput!$N$35+1,15,18,21,24,27,30)*(1-EXP(-(0.2*B2666)*5)),0)+IF(AND(ArtifactsInput!$M$22,Inputs!$B$4&lt;&gt;"Chapter Hunt"),CHOOSE(ArtifactsInput!$N$22+1,10,12,14,16,18,20)*((0*(((0.15*B2666*5))^0/1)+1*(((0.15*B2666*5))^1/1)+2*(((0.15*B2666*5))^2/2)+3*(((0.15*B2666*5))^3/6)+4*(((0.15*B2666*5))^4/24)+5*(((0.15*B2666*5))^5/120))/((((0.15*B2666*5))^0/1)+(((0.15*B2666*5))^1/1)+(((0.15*B2666*5))^2/2)+(((0.15*B2666*5))^3/6)+(((0.15*B2666*5))^4/24)+(((0.15*B2666*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42">
      <c r="A2642">
        <f>Skills!A7</f>
        <v/>
      </c>
      <c r="B2642">
        <f>Skills!B7</f>
        <v/>
      </c>
      <c r="C2642">
        <f>Inputs!$B$3&gt;=40</f>
        <v/>
      </c>
      <c r="D2642">
        <f>IF(Skills!C7=1,60+Inputs!$B$26+Inputs!$B$30,IF(Skills!C7=2,90+Inputs!$B$27+Inputs!$B$30,IF(Skills!C7=3,120+Inputs!$B$28+Inputs!$B$30,MAX(0,(Inputs!$B$3-100)*3)+Inputs!$B$29+Inputs!$B$30)))</f>
        <v/>
      </c>
      <c r="E2642">
        <f>INDEX(FactorTable!$B$2:$Y$301, MATCH(ROUND(MIN(300,MAX(1,D2642)),0), FactorTable!$A$2:$A$301,0), Skills!M7+1)</f>
        <v/>
      </c>
      <c r="F2642">
        <f>IF(Skills!N7=TRUE,(Skills!L7/10)*(E2642/1000),Skills!L7/10)+Skills!O7</f>
        <v/>
      </c>
      <c r="G2642">
        <f>Skills!G7*IF(Skills!H7&gt;0,INT(IF(Inputs!$B$39="pvp",MIN(Skills!I7,15),Skills!I7)/Skills!H7+0.000000001),1)</f>
        <v/>
      </c>
      <c r="H2642">
        <f>1-(1-Skills!J7/100)^Skills!K7</f>
        <v/>
      </c>
      <c r="I2642" t="inlineStr">
        <is>
          <t>1</t>
        </is>
      </c>
      <c r="J2642">
        <f>((Inputs!$B$6*(1+Inputs!$B$7/100))+(((Inputs!$B$13*(1+Inputs!$B$14/100))-(Inputs!$B$13*(1+Inputs!$B$14/100)))+0.25*(Inputs!$B$15-Inputs!$B$15))*(1+Inputs!$B$7/100))*(F2642/100)</f>
        <v/>
      </c>
      <c r="K2642">
        <f>J2642*(1+(((Inputs!$B$13+IF(Inputs!$B$3&gt;=38,(10*INDEX(FactorTable!$B$2:$Y$301, MATCH(ROUND(MIN(300,MAX(1,Inputs!$B$3)),0), FactorTable!$A$2:$A$301,0), 23)/1000)/100*(Inputs!$B$8*(1+Inputs!$B$9/100)),0))*(1+Inputs!$B$14/100))*0.01+Inputs!$B$15*0.0025)/100)*(1+Inputs!$B$16/100)*(1+Inputs!$B$17/100)*(5000/(6000+Inputs!$B$43*(1-(Inputs!$B$20+0)/100)))*(1+(Inputs!$B$25+((C2660=TRUE)*(F2660-Calc!F25))+((C2661=TRUE)*(F2661-Calc!F26))+B2670)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2646=TRUE,F2646,0)/100)*(1+(IF(Skills!A7="DARK_IMPALE",Inputs!$B$18+0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gt;=100),MIN(100,((Inputs!$B$10+0+B2664+(ArtifactsInput!$M$24-ArtifactsInput!$M$24)*CHOOSE(ArtifactsInput!$N$24+1,10,12,14,16,18,20)+IF(ArtifactsInput!$M$10,CHOOSE(ArtifactsInput!$N$10+1,15,18,21,24,27,30)*(IF(Inputs!$B$39="pvp",MIN(15,15)/15,IF(AND(Inputs!$B$39&lt;&gt;"pvp",Inputs!$B$44&gt;0),MIN(15,Inputs!$B$44)/(Inputs!$B$44),0))),0)))-100),0))*CHOOSE(ArtifactsInput!$N$42+1,0.6,0.72,0.84,0.96,1.08,1.2))),Inputs!$B$19+((C2658=TRUE)*(F2658-Calc!F23))+(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gt;=100),CHOOSE(ArtifactsInput!$N$42+1,40,48,56,64,72,80),0))))/100)*((1+(((C2648=TRUE)*F2648*IF(AND(Inputs!$B$39&lt;&gt;"pvp",Inputs!$B$44&gt;0),(((R2648-1)*MIN((Skills!T13*(1+Inputs!$B$35/100)),(1/Q2648))+MIN((Skills!T13*(1+Inputs!$B$35/100)),MAX(0,Inputs!$B$44-((R2648-1)*(1/Q2648)))))/Inputs!$B$44),IF(Inputs!$B$39="pvp",MIN((Skills!T13*(1+Inputs!$B$35/100)),15)/15,MIN(1,(Skills!T13*(1+Inputs!$B$35/100))/(1/Q2648)))))+((C2649=TRUE)*F2649*IF(AND(Inputs!$B$39&lt;&gt;"pvp",Inputs!$B$44&gt;0),(((R2649-1)*MIN((Skills!T14*(1+Inputs!$B$35/100)),(1/Q2649))+MIN((Skills!T14*(1+Inputs!$B$35/100)),MAX(0,Inputs!$B$44-((R2649-1)*(1/Q2649)))))/Inputs!$B$44),IF(Inputs!$B$39="pvp",MIN((Skills!T14*(1+Inputs!$B$35/100)),15)/15,MIN(1,(Skills!T14*(1+Inputs!$B$35/100))/(1/Q2649)))))+((C2650=TRUE)*F2650*IF(AND(Inputs!$B$39&lt;&gt;"pvp",Inputs!$B$44&gt;0),(((R2650-1)*MIN((Skills!T15*(1+Inputs!$B$35/100)),(1/Q2650))+MIN((Skills!T15*(1+Inputs!$B$35/100)),MAX(0,Inputs!$B$44-((R2650-1)*(1/Q2650)))))/Inputs!$B$44),IF(Inputs!$B$39="pvp",MIN((Skills!T15*(1+Inputs!$B$35/100)),15)/15,MIN(1,(Skills!T15*(1+Inputs!$B$35/100))/(1/Q2650)))))+((C2651=TRUE)*F2651*IF(AND(Inputs!$B$39&lt;&gt;"pvp",Inputs!$B$44&gt;0),(((R2651-1)*MIN((Skills!T16*(1+Inputs!$B$35/100)),(1/Q2651))+MIN((Skills!T16*(1+Inputs!$B$35/100)),MAX(0,Inputs!$B$44-((R2651-1)*(1/Q2651)))))/Inputs!$B$44),IF(Inputs!$B$39="pvp",MIN((Skills!T16*(1+Inputs!$B$35/100)),15)/15,MIN(1,(Skills!T16*(1+Inputs!$B$35/100))/(1/Q2651)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2642)</f>
        <v/>
      </c>
      <c r="L2642">
        <f>K2642*(MIN(Inputs!$B$23+((C2657=TRUE)*(F2657-Calc!F22)),(Inputs!$B$24+((C2659=TRUE)*(F2659-Calc!F24))+(IF(ArtifactsInput!$M$15,CHOOSE(ArtifactsInput!$N$15+1,25,30,35,40,45,50)/100*(Inputs!$B$12-Inputs!$B$12),0))))/100+(Inputs!$B$24+((C2659=TRUE)*(F2659-Calc!F24))+(IF(ArtifactsInput!$M$15,CHOOSE(ArtifactsInput!$N$15+1,25,30,35,40,45,50)/100*(Inputs!$B$12-Inputs!$B$12),0)))/100)/2</f>
        <v/>
      </c>
      <c r="M2642">
        <f>L2642*(1+(Inputs!$B$11+0+B2669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642">
        <f>L2642*(1-MIN((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2642*(MIN((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42">
        <f>(1-Summary!$B$11)*T2642+Summary!$B$11*V2642</f>
        <v/>
      </c>
      <c r="P2642">
        <f>IF(B2674=0,0,O2642/B2674)</f>
        <v/>
      </c>
      <c r="Q2642">
        <f>IFERROR(1/IF(Inputs!$B$39="pvp",15,MAX(0.1,Skills!D7-IF(TRUE=TRUE,Inputs!$B$33,0))),0)</f>
        <v/>
      </c>
      <c r="R2642">
        <f>IF(AND(Inputs!$B$39&lt;&gt;"pvp",Inputs!$B$44&gt;0),IF(MAX(0,Inputs!$B$44-B2671)&lt;=0,0,(INT(MAX(0,Inputs!$B$44-B2671)/IF(Inputs!$B$39="pvp",15,MAX(0.1,Skills!D7-IF(TRUE=TRUE,Inputs!$B$33,0))))+1)),0)</f>
        <v/>
      </c>
      <c r="S2642">
        <f>IFERROR(O2642/N2642,0)</f>
        <v/>
      </c>
      <c r="T2642">
        <f>IF(C2642,(H2642*N2642*IF(AND(Inputs!$B$39&lt;&gt;"pvp",Inputs!$B$44&gt;0),((Skills!G7*((R2642-1)*IF(Skills!H7&gt;0,INT(Skills!I7/Skills!H7+0.000000001),1)+IF(Skills!H7&gt;0,INT(MIN(Skills!I7,MAX(0,MAX(0,Inputs!$B$44-B2671)-((R2642-1)*IF(Inputs!$B$39="pvp",15,MAX(0.1,Skills!D7-IF(TRUE=TRUE,Inputs!$B$33,0))))))/Skills!H7+0.000000001),1)))/Inputs!$B$44),G2642*Q2642))*IF(Inputs!$B$39="pvp",1,1+(Inputs!$B$21+0+Skills!P7+((C2652=TRUE)*F2652*IF(AND(Inputs!$B$39&lt;&gt;"pvp",Inputs!$B$44&gt;0),(((R2652-1)*MIN((Skills!T17*(1+Inputs!$B$35/100)),(1/Q2652))+MIN((Skills!T17*(1+Inputs!$B$35/100)),MAX(0,Inputs!$B$44-((R2652-1)*(1/Q2652)))))/Inputs!$B$44),IF(Inputs!$B$39="pvp",MIN((Skills!T17*(1+Inputs!$B$35/100)),15)/15,MIN(1,(Skills!T17*(1+Inputs!$B$35/100))/(1/Q2652)))))+((C2640=TRUE)*IF(Inputs!$B$3&gt;=126,10*MIN(1,15*Q2640),0))+((C2649=TRUE)*IF(Inputs!$B$39="pvp",20,(1-Summary!$B$11)*(20)+Summary!$B$11*(0))*IF(AND(Inputs!$B$39&lt;&gt;"pvp",Inputs!$B$44&gt;0),(((R2649-1)*MIN((Skills!T14*(1+Inputs!$B$35/100)),(1/Q2649))+MIN((Skills!T14*(1+Inputs!$B$35/100)),MAX(0,Inputs!$B$44-((R2649-1)*(1/Q2649)))))/Inputs!$B$44),IF(Inputs!$B$39="pvp",MIN((Skills!T14*(1+Inputs!$B$35/100)),15)/15,MIN(1,(Skills!T14*(1+Inputs!$B$35/100))/(1/Q2649)))))+((C2648=TRUE)*IF(Inputs!$B$3&gt;=82,IF(Inputs!$B$39="pvp",20,(1-Summary!$B$11)*(20)+Summary!$B$11*(0)),0)*IF(AND(Inputs!$B$39&lt;&gt;"pvp",Inputs!$B$44&gt;0),(((R2648-1)*MIN((Skills!T13*(1+Inputs!$B$35/100)),(1/Q2648))+MIN((Skills!T13*(1+Inputs!$B$35/100)),MAX(0,Inputs!$B$44-((R2648-1)*(1/Q2648)))))/Inputs!$B$44),IF(Inputs!$B$39="pvp",MIN((Skills!T13*(1+Inputs!$B$35/100)),15)/15,MIN(1,(Skills!T13*(1+Inputs!$B$35/100))/(1/Q2648)))))+(IF(AND(ArtifactsInput!$M$35,Inputs!$B$4&lt;&gt;"Chapter Hunt"),CHOOSE(ArtifactsInput!$N$35+1,15,18,21,24,27,30)*(1-EXP(-(0.2*B2666)*5)),0)+IF(AND(ArtifactsInput!$M$22,Inputs!$B$4&lt;&gt;"Chapter Hunt"),CHOOSE(ArtifactsInput!$N$22+1,10,12,14,16,18,20)*((0*(((0.15*B2666*5))^0/1)+1*(((0.15*B2666*5))^1/1)+2*(((0.15*B2666*5))^2/2)+3*(((0.15*B2666*5))^3/6)+4*(((0.15*B2666*5))^4/24)+5*(((0.15*B2666*5))^5/120))/((((0.15*B2666*5))^0/1)+(((0.15*B2666*5))^1/1)+(((0.15*B2666*5))^2/2)+(((0.15*B2666*5))^3/6)+(((0.15*B2666*5))^4/24)+(((0.15*B2666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IF(ArtifactsInput!$M$40,FALSE,TRUE)-ArtifactsInput!$M$40)))/100)*(1-IF(IF(ArtifactsInput!$M$40,FALSE,TRUE),CHOOSE(ArtifactsInput!$N$40+1,5,6,7,8,9,10),0)/100)^IF(Inputs!$B$39="pvp",1,2)))/100)))/(5000/(6000+Inputs!$B$43*(1-(100*(1-(1-(Inputs!$B$20+0)/100)*(1-CHOOSE(ArtifactsInput!$N$40+1,5,6,7,8,9,10)/100)^(IF(ArtifactsInput!$M$40,FALSE,TRUE)-ArtifactsInput!$M$40)))/100))))*((L2642*(1-MIN(100,(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2642*(MIN(100,(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2642*(1-MIN(100,(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2642*(MIN(100,(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42">
        <f>IF(C2642,(H2642*N2642*IF(AND(Inputs!$B$39&lt;&gt;"pvp",Inputs!$B$44&gt;0),((Skills!G7*((R2642-1)*IF(Skills!H7&gt;0,INT(Skills!I7/Skills!H7+0.000000001),1)+IF(Skills!H7&gt;0,INT(MIN(Skills!I7,MAX(0,MAX(0,Inputs!$B$44-B2671)-((R2642-1)*IF(Inputs!$B$39="pvp",15,MAX(0.1,Skills!D7-IF(TRUE=TRUE,Inputs!$B$33,0))))))/Skills!H7+0.000000001),1)))/Inputs!$B$44),G2642*Q2642))*IF(Inputs!$B$39="pvp",1,(1+(Inputs!$B$22+Skills!Q7+((C2652=TRUE)*F2652*IF(AND(Inputs!$B$39&lt;&gt;"pvp",Inputs!$B$44&gt;0),(((R2652-1)*MIN((Skills!T17*(1+Inputs!$B$35/100)),(1/Q2652))+MIN((Skills!T17*(1+Inputs!$B$35/100)),MAX(0,Inputs!$B$44-((R2652-1)*(1/Q2652)))))/Inputs!$B$44),IF(Inputs!$B$39="pvp",MIN((Skills!T17*(1+Inputs!$B$35/100)),15)/15,MIN(1,(Skills!T17*(1+Inputs!$B$35/100))/(1/Q2652)))))+((C2640=TRUE)*IF(Inputs!$B$3&gt;=126,10*MIN(1,15*Q2640),0))+((C2649=TRUE)*IF(Inputs!$B$39="pvp",20,(1-Summary!$B$11)*(20)+Summary!$B$11*(0))*IF(AND(Inputs!$B$39&lt;&gt;"pvp",Inputs!$B$44&gt;0),(((R2649-1)*MIN((Skills!T14*(1+Inputs!$B$35/100)),(1/Q2649))+MIN((Skills!T14*(1+Inputs!$B$35/100)),MAX(0,Inputs!$B$44-((R2649-1)*(1/Q2649)))))/Inputs!$B$44),IF(Inputs!$B$39="pvp",MIN((Skills!T14*(1+Inputs!$B$35/100)),15)/15,MIN(1,(Skills!T14*(1+Inputs!$B$35/100))/(1/Q2649)))))+((C2648=TRUE)*IF(Inputs!$B$3&gt;=82,IF(Inputs!$B$39="pvp",20,(1-Summary!$B$11)*(20)+Summary!$B$11*(0)),0)*IF(AND(Inputs!$B$39&lt;&gt;"pvp",Inputs!$B$44&gt;0),(((R2648-1)*MIN((Skills!T13*(1+Inputs!$B$35/100)),(1/Q2648))+MIN((Skills!T13*(1+Inputs!$B$35/100)),MAX(0,Inputs!$B$44-((R2648-1)*(1/Q2648)))))/Inputs!$B$44),IF(Inputs!$B$39="pvp",MIN((Skills!T13*(1+Inputs!$B$35/100)),15)/15,MIN(1,(Skills!T13*(1+Inputs!$B$35/100))/(1/Q2648)))))+(IF(AND(ArtifactsInput!$M$35,Inputs!$B$4&lt;&gt;"Chapter Hunt"),CHOOSE(ArtifactsInput!$N$35+1,15,18,21,24,27,30)*(1-EXP(-(0.2*B2666)*5)),0)+IF(AND(ArtifactsInput!$M$22,Inputs!$B$4&lt;&gt;"Chapter Hunt"),CHOOSE(ArtifactsInput!$N$22+1,10,12,14,16,18,20)*((0*(((0.15*B2666*5))^0/1)+1*(((0.15*B2666*5))^1/1)+2*(((0.15*B2666*5))^2/2)+3*(((0.15*B2666*5))^3/6)+4*(((0.15*B2666*5))^4/24)+5*(((0.15*B2666*5))^5/120))/((((0.15*B2666*5))^0/1)+(((0.15*B2666*5))^1/1)+(((0.15*B2666*5))^2/2)+(((0.15*B2666*5))^3/6)+(((0.15*B2666*5))^4/24)+(((0.15*B2666*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43">
      <c r="A2643">
        <f>Skills!A8</f>
        <v/>
      </c>
      <c r="B2643">
        <f>Skills!B8</f>
        <v/>
      </c>
      <c r="C2643">
        <f>Inputs!$B$3&gt;=75</f>
        <v/>
      </c>
      <c r="D2643">
        <f>IF(Skills!C8=1,60+Inputs!$B$26+Inputs!$B$30,IF(Skills!C8=2,90+Inputs!$B$27+Inputs!$B$30,IF(Skills!C8=3,120+Inputs!$B$28+Inputs!$B$30,MAX(0,(Inputs!$B$3-100)*3)+Inputs!$B$29+Inputs!$B$30)))</f>
        <v/>
      </c>
      <c r="E2643">
        <f>INDEX(FactorTable!$B$2:$Y$301, MATCH(ROUND(MIN(300,MAX(1,D2643)),0), FactorTable!$A$2:$A$301,0), Skills!M8+1)</f>
        <v/>
      </c>
      <c r="F2643">
        <f>IF(Skills!N8=TRUE,(Skills!L8/10)*(E2643/1000),Skills!L8/10)+Skills!O8</f>
        <v/>
      </c>
      <c r="G2643" t="inlineStr"/>
      <c r="H2643" t="inlineStr"/>
      <c r="I2643" t="inlineStr">
        <is>
          <t>1</t>
        </is>
      </c>
      <c r="J2643" t="inlineStr"/>
      <c r="K2643" t="inlineStr"/>
      <c r="L2643" t="inlineStr"/>
      <c r="M2643" t="inlineStr"/>
      <c r="N2643" t="inlineStr"/>
      <c r="O2643" t="inlineStr"/>
      <c r="P2643" t="inlineStr"/>
      <c r="Q2643" t="inlineStr"/>
      <c r="R2643" t="inlineStr"/>
      <c r="S2643" t="inlineStr"/>
    </row>
    <row r="2644">
      <c r="A2644">
        <f>Skills!A9</f>
        <v/>
      </c>
      <c r="B2644">
        <f>Skills!B9</f>
        <v/>
      </c>
      <c r="C2644">
        <f>Inputs!$B$3&gt;=60</f>
        <v/>
      </c>
      <c r="D2644">
        <f>IF(Skills!C9=1,60+Inputs!$B$26+Inputs!$B$30,IF(Skills!C9=2,90+Inputs!$B$27+Inputs!$B$30,IF(Skills!C9=3,120+Inputs!$B$28+Inputs!$B$30,MAX(0,(Inputs!$B$3-100)*3)+Inputs!$B$29+Inputs!$B$30)))</f>
        <v/>
      </c>
      <c r="E2644">
        <f>INDEX(FactorTable!$B$2:$Y$301, MATCH(ROUND(MIN(300,MAX(1,D2644)),0), FactorTable!$A$2:$A$301,0), Skills!M9+1)</f>
        <v/>
      </c>
      <c r="F2644">
        <f>IF(Skills!N9=TRUE,(Skills!L9/10)*(E2644/1000),Skills!L9/10)+Skills!O9</f>
        <v/>
      </c>
      <c r="G2644">
        <f>Skills!G9*IF(Skills!H9&gt;0,INT(IF(Inputs!$B$39="pvp",MIN(Skills!I9,15),Skills!I9)/Skills!H9+0.000000001),1)</f>
        <v/>
      </c>
      <c r="H2644">
        <f>1-(1-Skills!J9/100)^Skills!K9</f>
        <v/>
      </c>
      <c r="I2644" t="inlineStr">
        <is>
          <t>1</t>
        </is>
      </c>
      <c r="J2644">
        <f>((Inputs!$B$6*(1+Inputs!$B$7/100))+(((Inputs!$B$13*(1+Inputs!$B$14/100))-(Inputs!$B$13*(1+Inputs!$B$14/100)))+0.25*(Inputs!$B$15-Inputs!$B$15))*(1+Inputs!$B$7/100))*(F2644/100)</f>
        <v/>
      </c>
      <c r="K2644">
        <f>J2644*(1+(((Inputs!$B$13+IF(Inputs!$B$3&gt;=38,(10*INDEX(FactorTable!$B$2:$Y$301, MATCH(ROUND(MIN(300,MAX(1,Inputs!$B$3)),0), FactorTable!$A$2:$A$301,0), 23)/1000)/100*(Inputs!$B$8*(1+Inputs!$B$9/100)),0))*(1+Inputs!$B$14/100))*0.01+Inputs!$B$15*0.0025)/100)*(1+Inputs!$B$16/100)*(1+Inputs!$B$17/100)*(5000/(6000+Inputs!$B$43*(1-(Inputs!$B$20+0)/100)))*(1+(Inputs!$B$25+((C2660=TRUE)*(F2660-Calc!F25))+((C2661=TRUE)*(F2661-Calc!F26))+B2670)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2646=TRUE,F2646,0)/100)*(1+(IF(Skills!A9="DARK_IMPALE",Inputs!$B$18+0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gt;=100),MIN(100,((Inputs!$B$10+0+B2664+(ArtifactsInput!$M$24-ArtifactsInput!$M$24)*CHOOSE(ArtifactsInput!$N$24+1,10,12,14,16,18,20)+IF(ArtifactsInput!$M$10,CHOOSE(ArtifactsInput!$N$10+1,15,18,21,24,27,30)*(IF(Inputs!$B$39="pvp",MIN(15,15)/15,IF(AND(Inputs!$B$39&lt;&gt;"pvp",Inputs!$B$44&gt;0),MIN(15,Inputs!$B$44)/(Inputs!$B$44),0))),0)))-100),0))*CHOOSE(ArtifactsInput!$N$42+1,0.6,0.72,0.84,0.96,1.08,1.2))),Inputs!$B$19+((C2658=TRUE)*(F2658-Calc!F23))+(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gt;=100),CHOOSE(ArtifactsInput!$N$42+1,40,48,56,64,72,80),0))))/100)*((1+(((C2648=TRUE)*F2648*IF(AND(Inputs!$B$39&lt;&gt;"pvp",Inputs!$B$44&gt;0),(((R2648-1)*MIN((Skills!T13*(1+Inputs!$B$35/100)),(1/Q2648))+MIN((Skills!T13*(1+Inputs!$B$35/100)),MAX(0,Inputs!$B$44-((R2648-1)*(1/Q2648)))))/Inputs!$B$44),IF(Inputs!$B$39="pvp",MIN((Skills!T13*(1+Inputs!$B$35/100)),15)/15,MIN(1,(Skills!T13*(1+Inputs!$B$35/100))/(1/Q2648)))))+((C2649=TRUE)*F2649*IF(AND(Inputs!$B$39&lt;&gt;"pvp",Inputs!$B$44&gt;0),(((R2649-1)*MIN((Skills!T14*(1+Inputs!$B$35/100)),(1/Q2649))+MIN((Skills!T14*(1+Inputs!$B$35/100)),MAX(0,Inputs!$B$44-((R2649-1)*(1/Q2649)))))/Inputs!$B$44),IF(Inputs!$B$39="pvp",MIN((Skills!T14*(1+Inputs!$B$35/100)),15)/15,MIN(1,(Skills!T14*(1+Inputs!$B$35/100))/(1/Q2649)))))+((C2650=TRUE)*F2650*IF(AND(Inputs!$B$39&lt;&gt;"pvp",Inputs!$B$44&gt;0),(((R2650-1)*MIN((Skills!T15*(1+Inputs!$B$35/100)),(1/Q2650))+MIN((Skills!T15*(1+Inputs!$B$35/100)),MAX(0,Inputs!$B$44-((R2650-1)*(1/Q2650)))))/Inputs!$B$44),IF(Inputs!$B$39="pvp",MIN((Skills!T15*(1+Inputs!$B$35/100)),15)/15,MIN(1,(Skills!T15*(1+Inputs!$B$35/100))/(1/Q2650)))))+((C2651=TRUE)*F2651*IF(AND(Inputs!$B$39&lt;&gt;"pvp",Inputs!$B$44&gt;0),(((R2651-1)*MIN((Skills!T16*(1+Inputs!$B$35/100)),(1/Q2651))+MIN((Skills!T16*(1+Inputs!$B$35/100)),MAX(0,Inputs!$B$44-((R2651-1)*(1/Q2651)))))/Inputs!$B$44),IF(Inputs!$B$39="pvp",MIN((Skills!T16*(1+Inputs!$B$35/100)),15)/15,MIN(1,(Skills!T16*(1+Inputs!$B$35/100))/(1/Q2651)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2644)</f>
        <v/>
      </c>
      <c r="L2644">
        <f>K2644*(MIN(Inputs!$B$23+((C2657=TRUE)*(F2657-Calc!F22)),(Inputs!$B$24+((C2659=TRUE)*(F2659-Calc!F24))+(IF(ArtifactsInput!$M$15,CHOOSE(ArtifactsInput!$N$15+1,25,30,35,40,45,50)/100*(Inputs!$B$12-Inputs!$B$12),0))))/100+(Inputs!$B$24+((C2659=TRUE)*(F2659-Calc!F24))+(IF(ArtifactsInput!$M$15,CHOOSE(ArtifactsInput!$N$15+1,25,30,35,40,45,50)/100*(Inputs!$B$12-Inputs!$B$12),0)))/100)/2</f>
        <v/>
      </c>
      <c r="M2644">
        <f>L2644*(1+(Inputs!$B$11+0+B2669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644">
        <f>L2644*(1-MIN((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2644*(MIN((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44">
        <f>(1-Summary!$B$11)*T2644+Summary!$B$11*V2644</f>
        <v/>
      </c>
      <c r="P2644">
        <f>IF(B2674=0,0,O2644/B2674)</f>
        <v/>
      </c>
      <c r="Q2644">
        <f>IFERROR(1/IF(Inputs!$B$39="pvp",15,MAX(0.1,Skills!D9-IF(TRUE=TRUE,Inputs!$B$33,0))),0)</f>
        <v/>
      </c>
      <c r="R2644">
        <f>IF(AND(Inputs!$B$39&lt;&gt;"pvp",Inputs!$B$44&gt;0),IF(MAX(0,Inputs!$B$44-B2671)&lt;=0,0,(INT(MAX(0,Inputs!$B$44-B2671)/IF(Inputs!$B$39="pvp",15,MAX(0.1,Skills!D9-IF(TRUE=TRUE,Inputs!$B$33,0))))+1)),0)</f>
        <v/>
      </c>
      <c r="S2644">
        <f>IFERROR(O2644/N2644,0)</f>
        <v/>
      </c>
      <c r="T2644">
        <f>IF(C2644,(H2644*N2644*IF(AND(Inputs!$B$39&lt;&gt;"pvp",Inputs!$B$44&gt;0),((Skills!G9*((R2644-1)*IF(Skills!H9&gt;0,INT(Skills!I9/Skills!H9+0.000000001),1)+IF(Skills!H9&gt;0,INT(MIN(Skills!I9,MAX(0,MAX(0,Inputs!$B$44-B2671)-((R2644-1)*IF(Inputs!$B$39="pvp",15,MAX(0.1,Skills!D9-IF(TRUE=TRUE,Inputs!$B$33,0))))))/Skills!H9+0.000000001),1)))/Inputs!$B$44),G2644*Q2644))*IF(Inputs!$B$39="pvp",1,1+(Inputs!$B$21+0+Skills!P9+((C2652=TRUE)*F2652*IF(AND(Inputs!$B$39&lt;&gt;"pvp",Inputs!$B$44&gt;0),(((R2652-1)*MIN((Skills!T17*(1+Inputs!$B$35/100)),(1/Q2652))+MIN((Skills!T17*(1+Inputs!$B$35/100)),MAX(0,Inputs!$B$44-((R2652-1)*(1/Q2652)))))/Inputs!$B$44),IF(Inputs!$B$39="pvp",MIN((Skills!T17*(1+Inputs!$B$35/100)),15)/15,MIN(1,(Skills!T17*(1+Inputs!$B$35/100))/(1/Q2652)))))+((C2640=TRUE)*IF(Inputs!$B$3&gt;=126,10*MIN(1,15*Q2640),0))+((C2649=TRUE)*IF(Inputs!$B$39="pvp",20,(1-Summary!$B$11)*(20)+Summary!$B$11*(0))*IF(AND(Inputs!$B$39&lt;&gt;"pvp",Inputs!$B$44&gt;0),(((R2649-1)*MIN((Skills!T14*(1+Inputs!$B$35/100)),(1/Q2649))+MIN((Skills!T14*(1+Inputs!$B$35/100)),MAX(0,Inputs!$B$44-((R2649-1)*(1/Q2649)))))/Inputs!$B$44),IF(Inputs!$B$39="pvp",MIN((Skills!T14*(1+Inputs!$B$35/100)),15)/15,MIN(1,(Skills!T14*(1+Inputs!$B$35/100))/(1/Q2649)))))+((C2648=TRUE)*IF(Inputs!$B$3&gt;=82,IF(Inputs!$B$39="pvp",20,(1-Summary!$B$11)*(20)+Summary!$B$11*(0)),0)*IF(AND(Inputs!$B$39&lt;&gt;"pvp",Inputs!$B$44&gt;0),(((R2648-1)*MIN((Skills!T13*(1+Inputs!$B$35/100)),(1/Q2648))+MIN((Skills!T13*(1+Inputs!$B$35/100)),MAX(0,Inputs!$B$44-((R2648-1)*(1/Q2648)))))/Inputs!$B$44),IF(Inputs!$B$39="pvp",MIN((Skills!T13*(1+Inputs!$B$35/100)),15)/15,MIN(1,(Skills!T13*(1+Inputs!$B$35/100))/(1/Q2648)))))+(IF(AND(ArtifactsInput!$M$35,Inputs!$B$4&lt;&gt;"Chapter Hunt"),CHOOSE(ArtifactsInput!$N$35+1,15,18,21,24,27,30)*(1-EXP(-(0.2*B2666)*5)),0)+IF(AND(ArtifactsInput!$M$22,Inputs!$B$4&lt;&gt;"Chapter Hunt"),CHOOSE(ArtifactsInput!$N$22+1,10,12,14,16,18,20)*((0*(((0.15*B2666*5))^0/1)+1*(((0.15*B2666*5))^1/1)+2*(((0.15*B2666*5))^2/2)+3*(((0.15*B2666*5))^3/6)+4*(((0.15*B2666*5))^4/24)+5*(((0.15*B2666*5))^5/120))/((((0.15*B2666*5))^0/1)+(((0.15*B2666*5))^1/1)+(((0.15*B2666*5))^2/2)+(((0.15*B2666*5))^3/6)+(((0.15*B2666*5))^4/24)+(((0.15*B2666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IF(ArtifactsInput!$M$40,FALSE,TRUE)-ArtifactsInput!$M$40)))/100)*(1-IF(IF(ArtifactsInput!$M$40,FALSE,TRUE),CHOOSE(ArtifactsInput!$N$40+1,5,6,7,8,9,10),0)/100)^IF(Inputs!$B$39="pvp",1,2)))/100)))/(5000/(6000+Inputs!$B$43*(1-(100*(1-(1-(Inputs!$B$20+0)/100)*(1-CHOOSE(ArtifactsInput!$N$40+1,5,6,7,8,9,10)/100)^(IF(ArtifactsInput!$M$40,FALSE,TRUE)-ArtifactsInput!$M$40)))/100))))*((L2644*(1-MIN(100,(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2644*(MIN(100,(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2644*(1-MIN(100,(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2644*(MIN(100,(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44">
        <f>IF(C2644,(H2644*N2644*IF(AND(Inputs!$B$39&lt;&gt;"pvp",Inputs!$B$44&gt;0),((Skills!G9*((R2644-1)*IF(Skills!H9&gt;0,INT(Skills!I9/Skills!H9+0.000000001),1)+IF(Skills!H9&gt;0,INT(MIN(Skills!I9,MAX(0,MAX(0,Inputs!$B$44-B2671)-((R2644-1)*IF(Inputs!$B$39="pvp",15,MAX(0.1,Skills!D9-IF(TRUE=TRUE,Inputs!$B$33,0))))))/Skills!H9+0.000000001),1)))/Inputs!$B$44),G2644*Q2644))*IF(Inputs!$B$39="pvp",1,(1+(Inputs!$B$22+Skills!Q9+((C2652=TRUE)*F2652*IF(AND(Inputs!$B$39&lt;&gt;"pvp",Inputs!$B$44&gt;0),(((R2652-1)*MIN((Skills!T17*(1+Inputs!$B$35/100)),(1/Q2652))+MIN((Skills!T17*(1+Inputs!$B$35/100)),MAX(0,Inputs!$B$44-((R2652-1)*(1/Q2652)))))/Inputs!$B$44),IF(Inputs!$B$39="pvp",MIN((Skills!T17*(1+Inputs!$B$35/100)),15)/15,MIN(1,(Skills!T17*(1+Inputs!$B$35/100))/(1/Q2652)))))+((C2640=TRUE)*IF(Inputs!$B$3&gt;=126,10*MIN(1,15*Q2640),0))+((C2649=TRUE)*IF(Inputs!$B$39="pvp",20,(1-Summary!$B$11)*(20)+Summary!$B$11*(0))*IF(AND(Inputs!$B$39&lt;&gt;"pvp",Inputs!$B$44&gt;0),(((R2649-1)*MIN((Skills!T14*(1+Inputs!$B$35/100)),(1/Q2649))+MIN((Skills!T14*(1+Inputs!$B$35/100)),MAX(0,Inputs!$B$44-((R2649-1)*(1/Q2649)))))/Inputs!$B$44),IF(Inputs!$B$39="pvp",MIN((Skills!T14*(1+Inputs!$B$35/100)),15)/15,MIN(1,(Skills!T14*(1+Inputs!$B$35/100))/(1/Q2649)))))+((C2648=TRUE)*IF(Inputs!$B$3&gt;=82,IF(Inputs!$B$39="pvp",20,(1-Summary!$B$11)*(20)+Summary!$B$11*(0)),0)*IF(AND(Inputs!$B$39&lt;&gt;"pvp",Inputs!$B$44&gt;0),(((R2648-1)*MIN((Skills!T13*(1+Inputs!$B$35/100)),(1/Q2648))+MIN((Skills!T13*(1+Inputs!$B$35/100)),MAX(0,Inputs!$B$44-((R2648-1)*(1/Q2648)))))/Inputs!$B$44),IF(Inputs!$B$39="pvp",MIN((Skills!T13*(1+Inputs!$B$35/100)),15)/15,MIN(1,(Skills!T13*(1+Inputs!$B$35/100))/(1/Q2648)))))+(IF(AND(ArtifactsInput!$M$35,Inputs!$B$4&lt;&gt;"Chapter Hunt"),CHOOSE(ArtifactsInput!$N$35+1,15,18,21,24,27,30)*(1-EXP(-(0.2*B2666)*5)),0)+IF(AND(ArtifactsInput!$M$22,Inputs!$B$4&lt;&gt;"Chapter Hunt"),CHOOSE(ArtifactsInput!$N$22+1,10,12,14,16,18,20)*((0*(((0.15*B2666*5))^0/1)+1*(((0.15*B2666*5))^1/1)+2*(((0.15*B2666*5))^2/2)+3*(((0.15*B2666*5))^3/6)+4*(((0.15*B2666*5))^4/24)+5*(((0.15*B2666*5))^5/120))/((((0.15*B2666*5))^0/1)+(((0.15*B2666*5))^1/1)+(((0.15*B2666*5))^2/2)+(((0.15*B2666*5))^3/6)+(((0.15*B2666*5))^4/24)+(((0.15*B2666*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45">
      <c r="A2645">
        <f>Skills!A10</f>
        <v/>
      </c>
      <c r="B2645">
        <f>Skills!B10</f>
        <v/>
      </c>
      <c r="C2645">
        <f>Inputs!$B$3&gt;=110</f>
        <v/>
      </c>
      <c r="D2645">
        <f>IF(Skills!C10=1,60+Inputs!$B$26+Inputs!$B$30,IF(Skills!C10=2,90+Inputs!$B$27+Inputs!$B$30,IF(Skills!C10=3,120+Inputs!$B$28+Inputs!$B$30,MAX(0,(Inputs!$B$3-100)*3)+Inputs!$B$29+Inputs!$B$30)))</f>
        <v/>
      </c>
      <c r="E2645">
        <f>INDEX(FactorTable!$B$2:$Y$301, MATCH(ROUND(MIN(300,MAX(1,D2645)),0), FactorTable!$A$2:$A$301,0), Skills!M10+1)</f>
        <v/>
      </c>
      <c r="F2645">
        <f>IF(Skills!N10=TRUE,(Skills!L10/10)*(E2645/1000),Skills!L10/10)+Skills!O10</f>
        <v/>
      </c>
      <c r="G2645">
        <f>Skills!G10*IF(Skills!H10&gt;0,INT(IF(Inputs!$B$39="pvp",MIN(Skills!I10,15),Skills!I10)/Skills!H10+0.000000001),1)</f>
        <v/>
      </c>
      <c r="H2645">
        <f>1-(1-Skills!J10/100)^Skills!K10</f>
        <v/>
      </c>
      <c r="I2645" t="inlineStr">
        <is>
          <t>1</t>
        </is>
      </c>
      <c r="J2645">
        <f>((Inputs!$B$6*(1+Inputs!$B$7/100))+(((Inputs!$B$13*(1+Inputs!$B$14/100))-(Inputs!$B$13*(1+Inputs!$B$14/100)))+0.25*(Inputs!$B$15-Inputs!$B$15))*(1+Inputs!$B$7/100))*(F2645/100)</f>
        <v/>
      </c>
      <c r="K2645">
        <f>J2645*(1+(((Inputs!$B$13+IF(Inputs!$B$3&gt;=38,(10*INDEX(FactorTable!$B$2:$Y$301, MATCH(ROUND(MIN(300,MAX(1,Inputs!$B$3)),0), FactorTable!$A$2:$A$301,0), 23)/1000)/100*(Inputs!$B$8*(1+Inputs!$B$9/100)),0))*(1+Inputs!$B$14/100))*0.01+Inputs!$B$15*0.0025)/100)*(1+Inputs!$B$16/100)*(1+Inputs!$B$17/100)*(5000/(6000+Inputs!$B$43*(1-(Inputs!$B$20+0)/100)))*(1+(Inputs!$B$25+((C2660=TRUE)*(F2660-Calc!F25))+((C2661=TRUE)*(F2661-Calc!F26))+B2670)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gt;=100),MIN(100,((Inputs!$B$10+0+B2664+(ArtifactsInput!$M$24-ArtifactsInput!$M$24)*CHOOSE(ArtifactsInput!$N$24+1,10,12,14,16,18,20)+IF(ArtifactsInput!$M$10,CHOOSE(ArtifactsInput!$N$10+1,15,18,21,24,27,30)*(IF(Inputs!$B$39="pvp",MIN(15,15)/15,IF(AND(Inputs!$B$39&lt;&gt;"pvp",Inputs!$B$44&gt;0),MIN(15,Inputs!$B$44)/(Inputs!$B$44),0))),0)))-100),0))*CHOOSE(ArtifactsInput!$N$42+1,0.6,0.72,0.84,0.96,1.08,1.2))),Inputs!$B$19+((C2658=TRUE)*(F2658-Calc!F23))+(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gt;=100),CHOOSE(ArtifactsInput!$N$42+1,40,48,56,64,72,80),0))))/100)*((1+(((C2648=TRUE)*F2648*IF(AND(Inputs!$B$39&lt;&gt;"pvp",Inputs!$B$44&gt;0),(((R2648-1)*MIN((Skills!T13*(1+Inputs!$B$35/100)),(1/Q2648))+MIN((Skills!T13*(1+Inputs!$B$35/100)),MAX(0,Inputs!$B$44-((R2648-1)*(1/Q2648)))))/Inputs!$B$44),IF(Inputs!$B$39="pvp",MIN((Skills!T13*(1+Inputs!$B$35/100)),15)/15,MIN(1,(Skills!T13*(1+Inputs!$B$35/100))/(1/Q2648)))))+((C2649=TRUE)*F2649*IF(AND(Inputs!$B$39&lt;&gt;"pvp",Inputs!$B$44&gt;0),(((R2649-1)*MIN((Skills!T14*(1+Inputs!$B$35/100)),(1/Q2649))+MIN((Skills!T14*(1+Inputs!$B$35/100)),MAX(0,Inputs!$B$44-((R2649-1)*(1/Q2649)))))/Inputs!$B$44),IF(Inputs!$B$39="pvp",MIN((Skills!T14*(1+Inputs!$B$35/100)),15)/15,MIN(1,(Skills!T14*(1+Inputs!$B$35/100))/(1/Q2649)))))+((C2650=TRUE)*F2650*IF(AND(Inputs!$B$39&lt;&gt;"pvp",Inputs!$B$44&gt;0),(((R2650-1)*MIN((Skills!T15*(1+Inputs!$B$35/100)),(1/Q2650))+MIN((Skills!T15*(1+Inputs!$B$35/100)),MAX(0,Inputs!$B$44-((R2650-1)*(1/Q2650)))))/Inputs!$B$44),IF(Inputs!$B$39="pvp",MIN((Skills!T15*(1+Inputs!$B$35/100)),15)/15,MIN(1,(Skills!T15*(1+Inputs!$B$35/100))/(1/Q2650)))))+((C2651=TRUE)*F2651*IF(AND(Inputs!$B$39&lt;&gt;"pvp",Inputs!$B$44&gt;0),(((R2651-1)*MIN((Skills!T16*(1+Inputs!$B$35/100)),(1/Q2651))+MIN((Skills!T16*(1+Inputs!$B$35/100)),MAX(0,Inputs!$B$44-((R2651-1)*(1/Q2651)))))/Inputs!$B$44),IF(Inputs!$B$39="pvp",MIN((Skills!T16*(1+Inputs!$B$35/100)),15)/15,MIN(1,(Skills!T16*(1+Inputs!$B$35/100))/(1/Q2651)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2645)</f>
        <v/>
      </c>
      <c r="L2645">
        <f>K2645*(MIN(Inputs!$B$23+((C2657=TRUE)*(F2657-Calc!F22)),(Inputs!$B$24+((C2659=TRUE)*(F2659-Calc!F24))+(IF(ArtifactsInput!$M$15,CHOOSE(ArtifactsInput!$N$15+1,25,30,35,40,45,50)/100*(Inputs!$B$12-Inputs!$B$12),0))))/100+(Inputs!$B$24+((C2659=TRUE)*(F2659-Calc!F24))+(IF(ArtifactsInput!$M$15,CHOOSE(ArtifactsInput!$N$15+1,25,30,35,40,45,50)/100*(Inputs!$B$12-Inputs!$B$12),0)))/100)/2</f>
        <v/>
      </c>
      <c r="M2645">
        <f>L2645*(1+(Inputs!$B$11+0+B2669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645">
        <f>L2645*(1-MIN((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2645*(MIN((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45">
        <f>(1-Summary!$B$11)*T2645+Summary!$B$11*V2645</f>
        <v/>
      </c>
      <c r="P2645">
        <f>IF(B2674=0,0,O2645/B2674)</f>
        <v/>
      </c>
      <c r="Q2645">
        <f>IFERROR(1/IF(Inputs!$B$39="pvp",15,MAX(0.1,Skills!D10-IF(TRUE=TRUE,Inputs!$B$33,0))),0)</f>
        <v/>
      </c>
      <c r="R2645">
        <f>IF(AND(Inputs!$B$39&lt;&gt;"pvp",Inputs!$B$44&gt;0),IF(MAX(0,Inputs!$B$44-B2671)&lt;=0,0,(INT(MAX(0,Inputs!$B$44-B2671)/IF(Inputs!$B$39="pvp",15,MAX(0.1,Skills!D10-IF(TRUE=TRUE,Inputs!$B$33,0))))+1)),0)</f>
        <v/>
      </c>
      <c r="S2645">
        <f>IFERROR(O2645/N2645,0)</f>
        <v/>
      </c>
      <c r="T2645">
        <f>IF(C2645,(H2645*N2645*IF(AND(Inputs!$B$39&lt;&gt;"pvp",Inputs!$B$44&gt;0),((Skills!G10*((R2645-1)*IF(Skills!H10&gt;0,INT(Skills!I10/Skills!H10+0.000000001),1)+IF(Skills!H10&gt;0,INT(MIN(Skills!I10,MAX(0,MAX(0,Inputs!$B$44-B2671)-((R2645-1)*IF(Inputs!$B$39="pvp",15,MAX(0.1,Skills!D10-IF(TRUE=TRUE,Inputs!$B$33,0))))))/Skills!H10+0.000000001),1)))/Inputs!$B$44),G2645*Q2645))*IF(Inputs!$B$39="pvp",1,1+(Inputs!$B$21+0+Skills!P10+((C2652=TRUE)*F2652*IF(AND(Inputs!$B$39&lt;&gt;"pvp",Inputs!$B$44&gt;0),(((R2652-1)*MIN((Skills!T17*(1+Inputs!$B$35/100)),(1/Q2652))+MIN((Skills!T17*(1+Inputs!$B$35/100)),MAX(0,Inputs!$B$44-((R2652-1)*(1/Q2652)))))/Inputs!$B$44),IF(Inputs!$B$39="pvp",MIN((Skills!T17*(1+Inputs!$B$35/100)),15)/15,MIN(1,(Skills!T17*(1+Inputs!$B$35/100))/(1/Q2652)))))+((C2640=TRUE)*IF(Inputs!$B$3&gt;=126,10*MIN(1,15*Q2640),0))+((C2649=TRUE)*IF(Inputs!$B$39="pvp",20,(1-Summary!$B$11)*(20)+Summary!$B$11*(0))*IF(AND(Inputs!$B$39&lt;&gt;"pvp",Inputs!$B$44&gt;0),(((R2649-1)*MIN((Skills!T14*(1+Inputs!$B$35/100)),(1/Q2649))+MIN((Skills!T14*(1+Inputs!$B$35/100)),MAX(0,Inputs!$B$44-((R2649-1)*(1/Q2649)))))/Inputs!$B$44),IF(Inputs!$B$39="pvp",MIN((Skills!T14*(1+Inputs!$B$35/100)),15)/15,MIN(1,(Skills!T14*(1+Inputs!$B$35/100))/(1/Q2649)))))+((C2648=TRUE)*IF(Inputs!$B$3&gt;=82,IF(Inputs!$B$39="pvp",20,(1-Summary!$B$11)*(20)+Summary!$B$11*(0)),0)*IF(AND(Inputs!$B$39&lt;&gt;"pvp",Inputs!$B$44&gt;0),(((R2648-1)*MIN((Skills!T13*(1+Inputs!$B$35/100)),(1/Q2648))+MIN((Skills!T13*(1+Inputs!$B$35/100)),MAX(0,Inputs!$B$44-((R2648-1)*(1/Q2648)))))/Inputs!$B$44),IF(Inputs!$B$39="pvp",MIN((Skills!T13*(1+Inputs!$B$35/100)),15)/15,MIN(1,(Skills!T13*(1+Inputs!$B$35/100))/(1/Q2648)))))+(IF(AND(ArtifactsInput!$M$35,Inputs!$B$4&lt;&gt;"Chapter Hunt"),CHOOSE(ArtifactsInput!$N$35+1,15,18,21,24,27,30)*(1-EXP(-(0.2*B2666)*5)),0)+IF(AND(ArtifactsInput!$M$22,Inputs!$B$4&lt;&gt;"Chapter Hunt"),CHOOSE(ArtifactsInput!$N$22+1,10,12,14,16,18,20)*((0*(((0.15*B2666*5))^0/1)+1*(((0.15*B2666*5))^1/1)+2*(((0.15*B2666*5))^2/2)+3*(((0.15*B2666*5))^3/6)+4*(((0.15*B2666*5))^4/24)+5*(((0.15*B2666*5))^5/120))/((((0.15*B2666*5))^0/1)+(((0.15*B2666*5))^1/1)+(((0.15*B2666*5))^2/2)+(((0.15*B2666*5))^3/6)+(((0.15*B2666*5))^4/24)+(((0.15*B2666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IF(ArtifactsInput!$M$40,FALSE,TRUE)-ArtifactsInput!$M$40)))/100)*(1-IF(IF(ArtifactsInput!$M$40,FALSE,TRUE),CHOOSE(ArtifactsInput!$N$40+1,5,6,7,8,9,10),0)/100)^IF(Inputs!$B$39="pvp",1,2)))/100)))/(5000/(6000+Inputs!$B$43*(1-(100*(1-(1-(Inputs!$B$20+0)/100)*(1-CHOOSE(ArtifactsInput!$N$40+1,5,6,7,8,9,10)/100)^(IF(ArtifactsInput!$M$40,FALSE,TRUE)-ArtifactsInput!$M$40)))/100))))*((L2645*(1-MIN(100,(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2645*(MIN(100,(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2645*(1-MIN(100,(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2645*(MIN(100,(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45">
        <f>IF(C2645,(H2645*N2645*IF(AND(Inputs!$B$39&lt;&gt;"pvp",Inputs!$B$44&gt;0),((Skills!G10*((R2645-1)*IF(Skills!H10&gt;0,INT(Skills!I10/Skills!H10+0.000000001),1)+IF(Skills!H10&gt;0,INT(MIN(Skills!I10,MAX(0,MAX(0,Inputs!$B$44-B2671)-((R2645-1)*IF(Inputs!$B$39="pvp",15,MAX(0.1,Skills!D10-IF(TRUE=TRUE,Inputs!$B$33,0))))))/Skills!H10+0.000000001),1)))/Inputs!$B$44),G2645*Q2645))*IF(Inputs!$B$39="pvp",1,(1+(Inputs!$B$22+Skills!Q10+((C2652=TRUE)*F2652*IF(AND(Inputs!$B$39&lt;&gt;"pvp",Inputs!$B$44&gt;0),(((R2652-1)*MIN((Skills!T17*(1+Inputs!$B$35/100)),(1/Q2652))+MIN((Skills!T17*(1+Inputs!$B$35/100)),MAX(0,Inputs!$B$44-((R2652-1)*(1/Q2652)))))/Inputs!$B$44),IF(Inputs!$B$39="pvp",MIN((Skills!T17*(1+Inputs!$B$35/100)),15)/15,MIN(1,(Skills!T17*(1+Inputs!$B$35/100))/(1/Q2652)))))+((C2640=TRUE)*IF(Inputs!$B$3&gt;=126,10*MIN(1,15*Q2640),0))+((C2649=TRUE)*IF(Inputs!$B$39="pvp",20,(1-Summary!$B$11)*(20)+Summary!$B$11*(0))*IF(AND(Inputs!$B$39&lt;&gt;"pvp",Inputs!$B$44&gt;0),(((R2649-1)*MIN((Skills!T14*(1+Inputs!$B$35/100)),(1/Q2649))+MIN((Skills!T14*(1+Inputs!$B$35/100)),MAX(0,Inputs!$B$44-((R2649-1)*(1/Q2649)))))/Inputs!$B$44),IF(Inputs!$B$39="pvp",MIN((Skills!T14*(1+Inputs!$B$35/100)),15)/15,MIN(1,(Skills!T14*(1+Inputs!$B$35/100))/(1/Q2649)))))+((C2648=TRUE)*IF(Inputs!$B$3&gt;=82,IF(Inputs!$B$39="pvp",20,(1-Summary!$B$11)*(20)+Summary!$B$11*(0)),0)*IF(AND(Inputs!$B$39&lt;&gt;"pvp",Inputs!$B$44&gt;0),(((R2648-1)*MIN((Skills!T13*(1+Inputs!$B$35/100)),(1/Q2648))+MIN((Skills!T13*(1+Inputs!$B$35/100)),MAX(0,Inputs!$B$44-((R2648-1)*(1/Q2648)))))/Inputs!$B$44),IF(Inputs!$B$39="pvp",MIN((Skills!T13*(1+Inputs!$B$35/100)),15)/15,MIN(1,(Skills!T13*(1+Inputs!$B$35/100))/(1/Q2648)))))+(IF(AND(ArtifactsInput!$M$35,Inputs!$B$4&lt;&gt;"Chapter Hunt"),CHOOSE(ArtifactsInput!$N$35+1,15,18,21,24,27,30)*(1-EXP(-(0.2*B2666)*5)),0)+IF(AND(ArtifactsInput!$M$22,Inputs!$B$4&lt;&gt;"Chapter Hunt"),CHOOSE(ArtifactsInput!$N$22+1,10,12,14,16,18,20)*((0*(((0.15*B2666*5))^0/1)+1*(((0.15*B2666*5))^1/1)+2*(((0.15*B2666*5))^2/2)+3*(((0.15*B2666*5))^3/6)+4*(((0.15*B2666*5))^4/24)+5*(((0.15*B2666*5))^5/120))/((((0.15*B2666*5))^0/1)+(((0.15*B2666*5))^1/1)+(((0.15*B2666*5))^2/2)+(((0.15*B2666*5))^3/6)+(((0.15*B2666*5))^4/24)+(((0.15*B2666*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46">
      <c r="A2646">
        <f>Skills!A11</f>
        <v/>
      </c>
      <c r="B2646">
        <f>Skills!B11</f>
        <v/>
      </c>
      <c r="C2646">
        <f>Inputs!$B$3&gt;=100</f>
        <v/>
      </c>
      <c r="D2646">
        <f>IF(Skills!C11=1,60+Inputs!$B$26+Inputs!$B$30,IF(Skills!C11=2,90+Inputs!$B$27+Inputs!$B$30,IF(Skills!C11=3,120+Inputs!$B$28+Inputs!$B$30,MAX(0,(Inputs!$B$3-100)*3)+Inputs!$B$29+Inputs!$B$30)))</f>
        <v/>
      </c>
      <c r="E2646">
        <f>INDEX(FactorTable!$B$2:$Y$301, MATCH(ROUND(MIN(300,MAX(1,D2646)),0), FactorTable!$A$2:$A$301,0), Skills!M11+1)</f>
        <v/>
      </c>
      <c r="F2646">
        <f>IF(Skills!N11=TRUE,(Skills!L11/10)*(E2646/1000),Skills!L11/10)+Skills!O11</f>
        <v/>
      </c>
      <c r="G2646" t="inlineStr"/>
      <c r="H2646" t="inlineStr"/>
      <c r="I2646" t="inlineStr">
        <is>
          <t>1</t>
        </is>
      </c>
      <c r="J2646" t="inlineStr"/>
      <c r="K2646" t="inlineStr"/>
      <c r="L2646" t="inlineStr"/>
      <c r="M2646" t="inlineStr"/>
      <c r="N2646" t="inlineStr"/>
      <c r="O2646" t="inlineStr"/>
      <c r="P2646" t="inlineStr"/>
      <c r="Q2646" t="inlineStr"/>
      <c r="R2646" t="inlineStr"/>
      <c r="S2646" t="inlineStr"/>
    </row>
    <row r="2647">
      <c r="A2647">
        <f>Skills!A12</f>
        <v/>
      </c>
      <c r="B2647">
        <f>Skills!B12</f>
        <v/>
      </c>
      <c r="C2647">
        <f>Inputs!$B$3&gt;=63</f>
        <v/>
      </c>
      <c r="D2647">
        <f>IF(Skills!C12=1,60+Inputs!$B$26+Inputs!$B$30,IF(Skills!C12=2,90+Inputs!$B$27+Inputs!$B$30,IF(Skills!C12=3,120+Inputs!$B$28+Inputs!$B$30,MAX(0,(Inputs!$B$3-100)*3)+Inputs!$B$29+Inputs!$B$30)))</f>
        <v/>
      </c>
      <c r="E2647">
        <f>INDEX(FactorTable!$B$2:$Y$301, MATCH(ROUND(MIN(300,MAX(1,D2647)),0), FactorTable!$A$2:$A$301,0), Skills!M12+1)</f>
        <v/>
      </c>
      <c r="F2647">
        <f>IF(Skills!N12=TRUE,(Skills!L12/10)*(E2647/1000),Skills!L12/10)+Skills!O12</f>
        <v/>
      </c>
      <c r="G2647">
        <f>Skills!G12*IF(Skills!H12&gt;0,INT(IF(Inputs!$B$39="pvp",MIN(Skills!I12,15),Skills!I12)/Skills!H12+0.000000001),1)</f>
        <v/>
      </c>
      <c r="H2647">
        <f>1-(1-Skills!J12/100)^Skills!K12</f>
        <v/>
      </c>
      <c r="I2647" t="inlineStr">
        <is>
          <t>1</t>
        </is>
      </c>
      <c r="J2647">
        <f>((Inputs!$B$6*(1+Inputs!$B$7/100))+(((Inputs!$B$13*(1+Inputs!$B$14/100))-(Inputs!$B$13*(1+Inputs!$B$14/100)))+0.25*(Inputs!$B$15-Inputs!$B$15))*(1+Inputs!$B$7/100))*(F2647/100)</f>
        <v/>
      </c>
      <c r="K2647">
        <f>J2647*(1+(((Inputs!$B$13+IF(Inputs!$B$3&gt;=38,(10*INDEX(FactorTable!$B$2:$Y$301, MATCH(ROUND(MIN(300,MAX(1,Inputs!$B$3)),0), FactorTable!$A$2:$A$301,0), 23)/1000)/100*(Inputs!$B$8*(1+Inputs!$B$9/100)),0))*(1+Inputs!$B$14/100))*0.01+Inputs!$B$15*0.0025)/100)*(1+Inputs!$B$16/100)*(1+Inputs!$B$17/100)*(5000/(6000+Inputs!$B$43*(1-(Inputs!$B$20+0)/100)))*(1+(Inputs!$B$25+((C2660=TRUE)*(F2660-Calc!F25))+((C2661=TRUE)*(F2661-Calc!F26))+B2670)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2646=TRUE,F2646,0)/100)*(1+(IF(Skills!A12="DARK_IMPALE",Inputs!$B$18+0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gt;=100),MIN(100,((Inputs!$B$10+0+B2664+(ArtifactsInput!$M$24-ArtifactsInput!$M$24)*CHOOSE(ArtifactsInput!$N$24+1,10,12,14,16,18,20)+IF(ArtifactsInput!$M$10,CHOOSE(ArtifactsInput!$N$10+1,15,18,21,24,27,30)*(IF(Inputs!$B$39="pvp",MIN(15,15)/15,IF(AND(Inputs!$B$39&lt;&gt;"pvp",Inputs!$B$44&gt;0),MIN(15,Inputs!$B$44)/(Inputs!$B$44),0))),0)))-100),0))*CHOOSE(ArtifactsInput!$N$42+1,0.6,0.72,0.84,0.96,1.08,1.2))),Inputs!$B$19+((C2658=TRUE)*(F2658-Calc!F23))+(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gt;=100),CHOOSE(ArtifactsInput!$N$42+1,40,48,56,64,72,80),0))))/100)*((1+(((C2648=TRUE)*F2648*IF(AND(Inputs!$B$39&lt;&gt;"pvp",Inputs!$B$44&gt;0),(((R2648-1)*MIN((Skills!T13*(1+Inputs!$B$35/100)),(1/Q2648))+MIN((Skills!T13*(1+Inputs!$B$35/100)),MAX(0,Inputs!$B$44-((R2648-1)*(1/Q2648)))))/Inputs!$B$44),IF(Inputs!$B$39="pvp",MIN((Skills!T13*(1+Inputs!$B$35/100)),15)/15,MIN(1,(Skills!T13*(1+Inputs!$B$35/100))/(1/Q2648)))))+((C2649=TRUE)*F2649*IF(AND(Inputs!$B$39&lt;&gt;"pvp",Inputs!$B$44&gt;0),(((R2649-1)*MIN((Skills!T14*(1+Inputs!$B$35/100)),(1/Q2649))+MIN((Skills!T14*(1+Inputs!$B$35/100)),MAX(0,Inputs!$B$44-((R2649-1)*(1/Q2649)))))/Inputs!$B$44),IF(Inputs!$B$39="pvp",MIN((Skills!T14*(1+Inputs!$B$35/100)),15)/15,MIN(1,(Skills!T14*(1+Inputs!$B$35/100))/(1/Q2649)))))+((C2650=TRUE)*F2650*IF(AND(Inputs!$B$39&lt;&gt;"pvp",Inputs!$B$44&gt;0),(((R2650-1)*MIN((Skills!T15*(1+Inputs!$B$35/100)),(1/Q2650))+MIN((Skills!T15*(1+Inputs!$B$35/100)),MAX(0,Inputs!$B$44-((R2650-1)*(1/Q2650)))))/Inputs!$B$44),IF(Inputs!$B$39="pvp",MIN((Skills!T15*(1+Inputs!$B$35/100)),15)/15,MIN(1,(Skills!T15*(1+Inputs!$B$35/100))/(1/Q2650)))))+((C2651=TRUE)*F2651*IF(AND(Inputs!$B$39&lt;&gt;"pvp",Inputs!$B$44&gt;0),(((R2651-1)*MIN((Skills!T16*(1+Inputs!$B$35/100)),(1/Q2651))+MIN((Skills!T16*(1+Inputs!$B$35/100)),MAX(0,Inputs!$B$44-((R2651-1)*(1/Q2651)))))/Inputs!$B$44),IF(Inputs!$B$39="pvp",MIN((Skills!T16*(1+Inputs!$B$35/100)),15)/15,MIN(1,(Skills!T16*(1+Inputs!$B$35/100))/(1/Q2651)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2647)</f>
        <v/>
      </c>
      <c r="L2647">
        <f>K2647*(MIN(Inputs!$B$23+((C2657=TRUE)*(F2657-Calc!F22)),(Inputs!$B$24+((C2659=TRUE)*(F2659-Calc!F24))+(IF(ArtifactsInput!$M$15,CHOOSE(ArtifactsInput!$N$15+1,25,30,35,40,45,50)/100*(Inputs!$B$12-Inputs!$B$12),0))))/100+(Inputs!$B$24+((C2659=TRUE)*(F2659-Calc!F24))+(IF(ArtifactsInput!$M$15,CHOOSE(ArtifactsInput!$N$15+1,25,30,35,40,45,50)/100*(Inputs!$B$12-Inputs!$B$12),0)))/100)/2</f>
        <v/>
      </c>
      <c r="M2647">
        <f>L2647*(1+(Inputs!$B$11+0+B2669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647">
        <f>L2647*(1-MIN((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2647*(MIN((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47">
        <f>(1-Summary!$B$11)*T2647+Summary!$B$11*V2647</f>
        <v/>
      </c>
      <c r="P2647">
        <f>IF(B2674=0,0,O2647/B2674)</f>
        <v/>
      </c>
      <c r="Q2647">
        <f>IFERROR(1/IF(Inputs!$B$39="pvp",15,MAX(0.1,Skills!D12-IF(TRUE=TRUE,Inputs!$B$33,0))),0)</f>
        <v/>
      </c>
      <c r="R2647">
        <f>IF(AND(Inputs!$B$39&lt;&gt;"pvp",Inputs!$B$44&gt;0),IF(MAX(0,Inputs!$B$44-B2671)&lt;=0,0,(INT(MAX(0,Inputs!$B$44-B2671)/IF(Inputs!$B$39="pvp",15,MAX(0.1,Skills!D12-IF(TRUE=TRUE,Inputs!$B$33,0))))+1)),0)</f>
        <v/>
      </c>
      <c r="S2647">
        <f>IFERROR(O2647/N2647,0)</f>
        <v/>
      </c>
      <c r="T2647">
        <f>IF(C2647,(H2647*N2647*IF(AND(Inputs!$B$39&lt;&gt;"pvp",Inputs!$B$44&gt;0),((Skills!G12*((R2647-1)*IF(Skills!H12&gt;0,INT(Skills!I12/Skills!H12+0.000000001),1)+IF(Skills!H12&gt;0,INT(MIN(Skills!I12,MAX(0,MAX(0,Inputs!$B$44-B2671)-((R2647-1)*IF(Inputs!$B$39="pvp",15,MAX(0.1,Skills!D12-IF(TRUE=TRUE,Inputs!$B$33,0))))))/Skills!H12+0.000000001),1)))/Inputs!$B$44),G2647*Q2647))*IF(Inputs!$B$39="pvp",1,1+(Inputs!$B$21+0+Skills!P12+((C2652=TRUE)*F2652*IF(AND(Inputs!$B$39&lt;&gt;"pvp",Inputs!$B$44&gt;0),(((R2652-1)*MIN((Skills!T17*(1+Inputs!$B$35/100)),(1/Q2652))+MIN((Skills!T17*(1+Inputs!$B$35/100)),MAX(0,Inputs!$B$44-((R2652-1)*(1/Q2652)))))/Inputs!$B$44),IF(Inputs!$B$39="pvp",MIN((Skills!T17*(1+Inputs!$B$35/100)),15)/15,MIN(1,(Skills!T17*(1+Inputs!$B$35/100))/(1/Q2652)))))+((C2640=TRUE)*IF(Inputs!$B$3&gt;=126,10*MIN(1,15*Q2640),0))+((C2649=TRUE)*IF(Inputs!$B$39="pvp",20,(1-Summary!$B$11)*(20)+Summary!$B$11*(0))*IF(AND(Inputs!$B$39&lt;&gt;"pvp",Inputs!$B$44&gt;0),(((R2649-1)*MIN((Skills!T14*(1+Inputs!$B$35/100)),(1/Q2649))+MIN((Skills!T14*(1+Inputs!$B$35/100)),MAX(0,Inputs!$B$44-((R2649-1)*(1/Q2649)))))/Inputs!$B$44),IF(Inputs!$B$39="pvp",MIN((Skills!T14*(1+Inputs!$B$35/100)),15)/15,MIN(1,(Skills!T14*(1+Inputs!$B$35/100))/(1/Q2649)))))+((C2648=TRUE)*IF(Inputs!$B$3&gt;=82,IF(Inputs!$B$39="pvp",20,(1-Summary!$B$11)*(20)+Summary!$B$11*(0)),0)*IF(AND(Inputs!$B$39&lt;&gt;"pvp",Inputs!$B$44&gt;0),(((R2648-1)*MIN((Skills!T13*(1+Inputs!$B$35/100)),(1/Q2648))+MIN((Skills!T13*(1+Inputs!$B$35/100)),MAX(0,Inputs!$B$44-((R2648-1)*(1/Q2648)))))/Inputs!$B$44),IF(Inputs!$B$39="pvp",MIN((Skills!T13*(1+Inputs!$B$35/100)),15)/15,MIN(1,(Skills!T13*(1+Inputs!$B$35/100))/(1/Q2648)))))+(IF(AND(ArtifactsInput!$M$35,Inputs!$B$4&lt;&gt;"Chapter Hunt"),CHOOSE(ArtifactsInput!$N$35+1,15,18,21,24,27,30)*(1-EXP(-(0.2*B2666)*5)),0)+IF(AND(ArtifactsInput!$M$22,Inputs!$B$4&lt;&gt;"Chapter Hunt"),CHOOSE(ArtifactsInput!$N$22+1,10,12,14,16,18,20)*((0*(((0.15*B2666*5))^0/1)+1*(((0.15*B2666*5))^1/1)+2*(((0.15*B2666*5))^2/2)+3*(((0.15*B2666*5))^3/6)+4*(((0.15*B2666*5))^4/24)+5*(((0.15*B2666*5))^5/120))/((((0.15*B2666*5))^0/1)+(((0.15*B2666*5))^1/1)+(((0.15*B2666*5))^2/2)+(((0.15*B2666*5))^3/6)+(((0.15*B2666*5))^4/24)+(((0.15*B2666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IF(ArtifactsInput!$M$40,FALSE,TRUE)-ArtifactsInput!$M$40)))/100)*(1-IF(IF(ArtifactsInput!$M$40,FALSE,TRUE),CHOOSE(ArtifactsInput!$N$40+1,5,6,7,8,9,10),0)/100)^IF(Inputs!$B$39="pvp",1,2)))/100)))/(5000/(6000+Inputs!$B$43*(1-(100*(1-(1-(Inputs!$B$20+0)/100)*(1-CHOOSE(ArtifactsInput!$N$40+1,5,6,7,8,9,10)/100)^(IF(ArtifactsInput!$M$40,FALSE,TRUE)-ArtifactsInput!$M$40)))/100))))*((L2647*(1-MIN(100,(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2647*(MIN(100,(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2647*(1-MIN(100,(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2647*(MIN(100,(Inputs!$B$10+0+B2664+(ArtifactsInput!$M$24-ArtifactsInput!$M$24)*CHOOSE(ArtifactsInput!$N$24+1,10,12,14,16,18,20)+(IF(AND(Inputs!$B$39&lt;&gt;"pvp",Inputs!$B$44=0),1,IF(IF(Inputs!$B$39="pvp",15,Inputs!$B$44)-(B2671)&lt;=0,1,MAX(0,IF(Inputs!$B$39="pvp",15,Inputs!$B$44)-MAX(5,B2671))/(IF(Inputs!$B$39="pvp",15,Inputs!$B$44)-(B2671))))*IF(AND(ArtifactsInput!$M$42,((Inputs!$B$10+0+B2664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47">
        <f>IF(C2647,(H2647*N2647*IF(AND(Inputs!$B$39&lt;&gt;"pvp",Inputs!$B$44&gt;0),((Skills!G12*((R2647-1)*IF(Skills!H12&gt;0,INT(Skills!I12/Skills!H12+0.000000001),1)+IF(Skills!H12&gt;0,INT(MIN(Skills!I12,MAX(0,MAX(0,Inputs!$B$44-B2671)-((R2647-1)*IF(Inputs!$B$39="pvp",15,MAX(0.1,Skills!D12-IF(TRUE=TRUE,Inputs!$B$33,0))))))/Skills!H12+0.000000001),1)))/Inputs!$B$44),G2647*Q2647))*IF(Inputs!$B$39="pvp",1,(1+(Inputs!$B$22+Skills!Q12+((C2652=TRUE)*F2652*IF(AND(Inputs!$B$39&lt;&gt;"pvp",Inputs!$B$44&gt;0),(((R2652-1)*MIN((Skills!T17*(1+Inputs!$B$35/100)),(1/Q2652))+MIN((Skills!T17*(1+Inputs!$B$35/100)),MAX(0,Inputs!$B$44-((R2652-1)*(1/Q2652)))))/Inputs!$B$44),IF(Inputs!$B$39="pvp",MIN((Skills!T17*(1+Inputs!$B$35/100)),15)/15,MIN(1,(Skills!T17*(1+Inputs!$B$35/100))/(1/Q2652)))))+((C2640=TRUE)*IF(Inputs!$B$3&gt;=126,10*MIN(1,15*Q2640),0))+((C2649=TRUE)*IF(Inputs!$B$39="pvp",20,(1-Summary!$B$11)*(20)+Summary!$B$11*(0))*IF(AND(Inputs!$B$39&lt;&gt;"pvp",Inputs!$B$44&gt;0),(((R2649-1)*MIN((Skills!T14*(1+Inputs!$B$35/100)),(1/Q2649))+MIN((Skills!T14*(1+Inputs!$B$35/100)),MAX(0,Inputs!$B$44-((R2649-1)*(1/Q2649)))))/Inputs!$B$44),IF(Inputs!$B$39="pvp",MIN((Skills!T14*(1+Inputs!$B$35/100)),15)/15,MIN(1,(Skills!T14*(1+Inputs!$B$35/100))/(1/Q2649)))))+((C2648=TRUE)*IF(Inputs!$B$3&gt;=82,IF(Inputs!$B$39="pvp",20,(1-Summary!$B$11)*(20)+Summary!$B$11*(0)),0)*IF(AND(Inputs!$B$39&lt;&gt;"pvp",Inputs!$B$44&gt;0),(((R2648-1)*MIN((Skills!T13*(1+Inputs!$B$35/100)),(1/Q2648))+MIN((Skills!T13*(1+Inputs!$B$35/100)),MAX(0,Inputs!$B$44-((R2648-1)*(1/Q2648)))))/Inputs!$B$44),IF(Inputs!$B$39="pvp",MIN((Skills!T13*(1+Inputs!$B$35/100)),15)/15,MIN(1,(Skills!T13*(1+Inputs!$B$35/100))/(1/Q2648)))))+(IF(AND(ArtifactsInput!$M$35,Inputs!$B$4&lt;&gt;"Chapter Hunt"),CHOOSE(ArtifactsInput!$N$35+1,15,18,21,24,27,30)*(1-EXP(-(0.2*B2666)*5)),0)+IF(AND(ArtifactsInput!$M$22,Inputs!$B$4&lt;&gt;"Chapter Hunt"),CHOOSE(ArtifactsInput!$N$22+1,10,12,14,16,18,20)*((0*(((0.15*B2666*5))^0/1)+1*(((0.15*B2666*5))^1/1)+2*(((0.15*B2666*5))^2/2)+3*(((0.15*B2666*5))^3/6)+4*(((0.15*B2666*5))^4/24)+5*(((0.15*B2666*5))^5/120))/((((0.15*B2666*5))^0/1)+(((0.15*B2666*5))^1/1)+(((0.15*B2666*5))^2/2)+(((0.15*B2666*5))^3/6)+(((0.15*B2666*5))^4/24)+(((0.15*B2666*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48">
      <c r="A2648">
        <f>Skills!A13</f>
        <v/>
      </c>
      <c r="B2648">
        <f>Skills!B13</f>
        <v/>
      </c>
      <c r="C2648">
        <f>Inputs!$B$3&gt;=69</f>
        <v/>
      </c>
      <c r="D2648">
        <f>IF(Skills!C13=1,60+Inputs!$B$26+Inputs!$B$30,IF(Skills!C13=2,90+Inputs!$B$27+Inputs!$B$30,IF(Skills!C13=3,120+Inputs!$B$28+Inputs!$B$30,MAX(0,(Inputs!$B$3-100)*3)+Inputs!$B$29+Inputs!$B$30)))</f>
        <v/>
      </c>
      <c r="E2648">
        <f>INDEX(FactorTable!$B$2:$Y$301, MATCH(ROUND(MIN(300,MAX(1,D2648)),0), FactorTable!$A$2:$A$301,0), Skills!M13+1)</f>
        <v/>
      </c>
      <c r="F2648">
        <f>IF(Skills!N13=TRUE,(Skills!L13/10)*(E2648/1000),Skills!L13/10)+Skills!O13</f>
        <v/>
      </c>
      <c r="G2648">
        <f>Skills!G13*IF(Skills!H13&gt;0,INT(IF(Inputs!$B$39="pvp",MIN(Skills!I13,15),Skills!I13)/Skills!H13+0.000000001),1)</f>
        <v/>
      </c>
      <c r="H2648">
        <f>1-(1-Skills!J13/100)^Skills!K13</f>
        <v/>
      </c>
      <c r="I2648" t="inlineStr">
        <is>
          <t>1</t>
        </is>
      </c>
      <c r="J2648" t="inlineStr"/>
      <c r="K2648" t="inlineStr"/>
      <c r="L2648" t="inlineStr"/>
      <c r="M2648" t="inlineStr"/>
      <c r="N2648" t="inlineStr"/>
      <c r="O2648">
        <f>(1-Summary!$B$11)*T2648+Summary!$B$11*V2648</f>
        <v/>
      </c>
      <c r="P2648">
        <f>IF(B2674=0,0,O2648/B2674)</f>
        <v/>
      </c>
      <c r="Q2648">
        <f>IFERROR(1/IF(Inputs!$B$39="pvp",15,MAX(0.1,Skills!D13-IF(TRUE=TRUE,Inputs!$B$33,0))),0)</f>
        <v/>
      </c>
      <c r="R2648">
        <f>IF(AND(Inputs!$B$39&lt;&gt;"pvp",Inputs!$B$44&gt;0),IF(Inputs!$B$44&lt;=0,0,(INT(Inputs!$B$44/IF(Inputs!$B$39="pvp",15,MAX(0.1,Skills!D13-IF(TRUE=TRUE,Inputs!$B$33,0))))+1)),0)</f>
        <v/>
      </c>
      <c r="S2648">
        <f>IFERROR(O2648/N2648,0)</f>
        <v/>
      </c>
      <c r="T2648" t="n">
        <v>0</v>
      </c>
      <c r="V2648" t="n">
        <v>0</v>
      </c>
    </row>
    <row r="2649">
      <c r="A2649">
        <f>Skills!A14</f>
        <v/>
      </c>
      <c r="B2649">
        <f>Skills!B14</f>
        <v/>
      </c>
      <c r="C2649">
        <f>Inputs!$B$3&gt;=115</f>
        <v/>
      </c>
      <c r="D2649">
        <f>IF(Skills!C14=1,60+Inputs!$B$26+Inputs!$B$30,IF(Skills!C14=2,90+Inputs!$B$27+Inputs!$B$30,IF(Skills!C14=3,120+Inputs!$B$28+Inputs!$B$30,MAX(0,(Inputs!$B$3-100)*3)+Inputs!$B$29+Inputs!$B$30)))</f>
        <v/>
      </c>
      <c r="E2649">
        <f>INDEX(FactorTable!$B$2:$Y$301, MATCH(ROUND(MIN(300,MAX(1,D2649)),0), FactorTable!$A$2:$A$301,0), Skills!M14+1)</f>
        <v/>
      </c>
      <c r="F2649">
        <f>IF(Skills!N14=TRUE,(Skills!L14/10)*(E2649/1000),Skills!L14/10)+Skills!O14</f>
        <v/>
      </c>
      <c r="G2649">
        <f>Skills!G14*IF(Skills!H14&gt;0,INT(IF(Inputs!$B$39="pvp",MIN(Skills!I14,15),Skills!I14)/Skills!H14+0.000000001),1)</f>
        <v/>
      </c>
      <c r="H2649">
        <f>1-(1-Skills!J14/100)^Skills!K14</f>
        <v/>
      </c>
      <c r="I2649" t="inlineStr">
        <is>
          <t>1</t>
        </is>
      </c>
      <c r="J2649" t="inlineStr"/>
      <c r="K2649" t="inlineStr"/>
      <c r="L2649" t="inlineStr"/>
      <c r="M2649" t="inlineStr"/>
      <c r="N2649" t="inlineStr"/>
      <c r="O2649">
        <f>(1-Summary!$B$11)*T2649+Summary!$B$11*V2649</f>
        <v/>
      </c>
      <c r="P2649">
        <f>IF(B2674=0,0,O2649/B2674)</f>
        <v/>
      </c>
      <c r="Q2649">
        <f>IFERROR(1/IF(Inputs!$B$39="pvp",15,MAX(0.1,Skills!D14-IF(TRUE=TRUE,Inputs!$B$33,0))),0)</f>
        <v/>
      </c>
      <c r="R2649">
        <f>IF(AND(Inputs!$B$39&lt;&gt;"pvp",Inputs!$B$44&gt;0),IF(Inputs!$B$44&lt;=0,0,(INT(Inputs!$B$44/IF(Inputs!$B$39="pvp",15,MAX(0.1,Skills!D14-IF(TRUE=TRUE,Inputs!$B$33,0))))+1)),0)</f>
        <v/>
      </c>
      <c r="S2649">
        <f>IFERROR(O2649/N2649,0)</f>
        <v/>
      </c>
      <c r="T2649" t="n">
        <v>0</v>
      </c>
      <c r="V2649" t="n">
        <v>0</v>
      </c>
    </row>
    <row r="2650">
      <c r="A2650">
        <f>Skills!A15</f>
        <v/>
      </c>
      <c r="B2650">
        <f>Skills!B15</f>
        <v/>
      </c>
      <c r="C2650">
        <f>Inputs!$B$3&gt;=66</f>
        <v/>
      </c>
      <c r="D2650">
        <f>IF(Skills!C15=1,60+Inputs!$B$26+Inputs!$B$30,IF(Skills!C15=2,90+Inputs!$B$27+Inputs!$B$30,IF(Skills!C15=3,120+Inputs!$B$28+Inputs!$B$30,MAX(0,(Inputs!$B$3-100)*3)+Inputs!$B$29+Inputs!$B$30)))</f>
        <v/>
      </c>
      <c r="E2650">
        <f>INDEX(FactorTable!$B$2:$Y$301, MATCH(ROUND(MIN(300,MAX(1,D2650)),0), FactorTable!$A$2:$A$301,0), Skills!M15+1)</f>
        <v/>
      </c>
      <c r="F2650">
        <f>IF(Skills!N15=TRUE,(Skills!L15/10)*(E2650/1000),Skills!L15/10)+Skills!O15</f>
        <v/>
      </c>
      <c r="G2650">
        <f>Skills!G15*IF(Skills!H15&gt;0,INT(IF(Inputs!$B$39="pvp",MIN(Skills!I15,15),Skills!I15)/Skills!H15+0.000000001),1)</f>
        <v/>
      </c>
      <c r="H2650">
        <f>1-(1-Skills!J15/100)^Skills!K15</f>
        <v/>
      </c>
      <c r="I2650" t="inlineStr">
        <is>
          <t>1</t>
        </is>
      </c>
      <c r="J2650" t="inlineStr"/>
      <c r="K2650" t="inlineStr"/>
      <c r="L2650" t="inlineStr"/>
      <c r="M2650" t="inlineStr"/>
      <c r="N2650" t="inlineStr"/>
      <c r="O2650">
        <f>(1-Summary!$B$11)*T2650+Summary!$B$11*V2650</f>
        <v/>
      </c>
      <c r="P2650">
        <f>IF(B2674=0,0,O2650/B2674)</f>
        <v/>
      </c>
      <c r="Q2650">
        <f>IFERROR(1/IF(Inputs!$B$39="pvp",15,MAX(0.1,Skills!D15-IF(TRUE=TRUE,Inputs!$B$33,0))),0)</f>
        <v/>
      </c>
      <c r="R2650">
        <f>IF(AND(Inputs!$B$39&lt;&gt;"pvp",Inputs!$B$44&gt;0),IF(Inputs!$B$44&lt;=0,0,(INT(Inputs!$B$44/IF(Inputs!$B$39="pvp",15,MAX(0.1,Skills!D15-IF(TRUE=TRUE,Inputs!$B$33,0))))+1)),0)</f>
        <v/>
      </c>
      <c r="S2650">
        <f>IFERROR(O2650/N2650,0)</f>
        <v/>
      </c>
      <c r="T2650" t="n">
        <v>0</v>
      </c>
      <c r="V2650" t="n">
        <v>0</v>
      </c>
    </row>
    <row r="2651">
      <c r="A2651">
        <f>Skills!A16</f>
        <v/>
      </c>
      <c r="B2651">
        <f>Skills!B16</f>
        <v/>
      </c>
      <c r="C2651">
        <f>Inputs!$B$3&gt;=45</f>
        <v/>
      </c>
      <c r="D2651">
        <f>IF(Skills!C16=1,60+Inputs!$B$26+Inputs!$B$30,IF(Skills!C16=2,90+Inputs!$B$27+Inputs!$B$30,IF(Skills!C16=3,120+Inputs!$B$28+Inputs!$B$30,MAX(0,(Inputs!$B$3-100)*3)+Inputs!$B$29+Inputs!$B$30)))</f>
        <v/>
      </c>
      <c r="E2651">
        <f>INDEX(FactorTable!$B$2:$Y$301, MATCH(ROUND(MIN(300,MAX(1,D2651)),0), FactorTable!$A$2:$A$301,0), Skills!M16+1)</f>
        <v/>
      </c>
      <c r="F2651">
        <f>IF(Skills!N16=TRUE,(Skills!L16/10)*(E2651/1000),Skills!L16/10)+Skills!O16</f>
        <v/>
      </c>
      <c r="G2651">
        <f>Skills!G16*IF(Skills!H16&gt;0,INT(IF(Inputs!$B$39="pvp",MIN(Skills!I16,15),Skills!I16)/Skills!H16+0.000000001),1)</f>
        <v/>
      </c>
      <c r="H2651">
        <f>1-(1-Skills!J16/100)^Skills!K16</f>
        <v/>
      </c>
      <c r="I2651" t="inlineStr">
        <is>
          <t>1</t>
        </is>
      </c>
      <c r="J2651" t="inlineStr"/>
      <c r="K2651" t="inlineStr"/>
      <c r="L2651" t="inlineStr"/>
      <c r="M2651" t="inlineStr"/>
      <c r="N2651" t="inlineStr"/>
      <c r="O2651">
        <f>(1-Summary!$B$11)*T2651+Summary!$B$11*V2651</f>
        <v/>
      </c>
      <c r="P2651">
        <f>IF(B2674=0,0,O2651/B2674)</f>
        <v/>
      </c>
      <c r="Q2651">
        <f>IFERROR(1/IF(Inputs!$B$39="pvp",15,MAX(0.1,Skills!D16-IF(TRUE=TRUE,Inputs!$B$33,0))),0)</f>
        <v/>
      </c>
      <c r="R2651">
        <f>IF(AND(Inputs!$B$39&lt;&gt;"pvp",Inputs!$B$44&gt;0),IF(Inputs!$B$44&lt;=0,0,(INT(Inputs!$B$44/IF(Inputs!$B$39="pvp",15,MAX(0.1,Skills!D16-IF(TRUE=TRUE,Inputs!$B$33,0))))+1)),0)</f>
        <v/>
      </c>
      <c r="S2651">
        <f>IFERROR(O2651/N2651,0)</f>
        <v/>
      </c>
      <c r="T2651" t="n">
        <v>0</v>
      </c>
      <c r="V2651" t="n">
        <v>0</v>
      </c>
    </row>
    <row r="2652">
      <c r="A2652">
        <f>Skills!A17</f>
        <v/>
      </c>
      <c r="B2652">
        <f>Skills!B17</f>
        <v/>
      </c>
      <c r="C2652">
        <f>Inputs!$B$3&gt;=35</f>
        <v/>
      </c>
      <c r="D2652">
        <f>IF(Skills!C17=1,60+Inputs!$B$26+Inputs!$B$30,IF(Skills!C17=2,90+Inputs!$B$27+Inputs!$B$30,IF(Skills!C17=3,120+Inputs!$B$28+Inputs!$B$30,MAX(0,(Inputs!$B$3-100)*3)+Inputs!$B$29+Inputs!$B$30)))</f>
        <v/>
      </c>
      <c r="E2652">
        <f>INDEX(FactorTable!$B$2:$Y$301, MATCH(ROUND(MIN(300,MAX(1,D2652)),0), FactorTable!$A$2:$A$301,0), Skills!M17+1)</f>
        <v/>
      </c>
      <c r="F2652">
        <f>IF(Skills!N17=TRUE,(Skills!L17/10)*(E2652/1000),Skills!L17/10)+Skills!O17</f>
        <v/>
      </c>
      <c r="G2652">
        <f>Skills!G17*IF(Skills!H17&gt;0,INT(IF(Inputs!$B$39="pvp",MIN(Skills!I17,15),Skills!I17)/Skills!H17+0.000000001),1)</f>
        <v/>
      </c>
      <c r="H2652">
        <f>1-(1-Skills!J17/100)^Skills!K17</f>
        <v/>
      </c>
      <c r="I2652" t="inlineStr">
        <is>
          <t>1</t>
        </is>
      </c>
      <c r="J2652" t="inlineStr"/>
      <c r="K2652" t="inlineStr"/>
      <c r="L2652" t="inlineStr"/>
      <c r="M2652" t="inlineStr"/>
      <c r="N2652" t="inlineStr"/>
      <c r="O2652">
        <f>(1-Summary!$B$11)*T2652+Summary!$B$11*V2652</f>
        <v/>
      </c>
      <c r="P2652">
        <f>IF(B2674=0,0,O2652/B2674)</f>
        <v/>
      </c>
      <c r="Q2652">
        <f>IFERROR(1/IF(Inputs!$B$39="pvp",15,MAX(0.1,Skills!D17-IF(TRUE=TRUE,Inputs!$B$33,0))),0)</f>
        <v/>
      </c>
      <c r="R2652">
        <f>IF(AND(Inputs!$B$39&lt;&gt;"pvp",Inputs!$B$44&gt;0),IF(Inputs!$B$44&lt;=0,0,(INT(Inputs!$B$44/IF(Inputs!$B$39="pvp",15,MAX(0.1,Skills!D17-IF(TRUE=TRUE,Inputs!$B$33,0))))+1)),0)</f>
        <v/>
      </c>
      <c r="S2652">
        <f>IFERROR(O2652/N2652,0)</f>
        <v/>
      </c>
      <c r="T2652" t="n">
        <v>0</v>
      </c>
      <c r="V2652" t="n">
        <v>0</v>
      </c>
    </row>
    <row r="2653">
      <c r="A2653">
        <f>Skills!A18</f>
        <v/>
      </c>
      <c r="B2653">
        <f>Skills!B18</f>
        <v/>
      </c>
      <c r="C2653">
        <f>Inputs!$B$3&gt;=72</f>
        <v/>
      </c>
      <c r="D2653">
        <f>IF(Skills!C18=1,60+Inputs!$B$26+Inputs!$B$30,IF(Skills!C18=2,90+Inputs!$B$27+Inputs!$B$30,IF(Skills!C18=3,120+Inputs!$B$28+Inputs!$B$30,MAX(0,(Inputs!$B$3-100)*3)+Inputs!$B$29+Inputs!$B$30)))</f>
        <v/>
      </c>
      <c r="E2653">
        <f>INDEX(FactorTable!$B$2:$Y$301, MATCH(ROUND(MIN(300,MAX(1,D2653)),0), FactorTable!$A$2:$A$301,0), Skills!M18+1)</f>
        <v/>
      </c>
      <c r="F2653">
        <f>IF(Skills!N18=TRUE,(Skills!L18/10)*(E2653/1000),Skills!L18/10)+Skills!O18</f>
        <v/>
      </c>
      <c r="G2653">
        <f>Skills!G18*IF(Skills!H18&gt;0,INT(IF(Inputs!$B$39="pvp",MIN(Skills!I18,15),Skills!I18)/Skills!H18+0.000000001),1)</f>
        <v/>
      </c>
      <c r="H2653">
        <f>1-(1-Skills!J18/100)^Skills!K18</f>
        <v/>
      </c>
      <c r="I2653" t="inlineStr">
        <is>
          <t>1</t>
        </is>
      </c>
      <c r="J2653" t="inlineStr"/>
      <c r="K2653" t="inlineStr"/>
      <c r="L2653" t="inlineStr"/>
      <c r="M2653" t="inlineStr"/>
      <c r="N2653" t="inlineStr"/>
      <c r="O2653">
        <f>(1-Summary!$B$11)*T2653+Summary!$B$11*V2653</f>
        <v/>
      </c>
      <c r="P2653">
        <f>IF(B2674=0,0,O2653/B2674)</f>
        <v/>
      </c>
      <c r="Q2653">
        <f>IFERROR(1/IF(Inputs!$B$39="pvp",15,MAX(0.1,Skills!D18-IF(TRUE=TRUE,Inputs!$B$33,0))),0)</f>
        <v/>
      </c>
      <c r="R2653">
        <f>IF(AND(Inputs!$B$39&lt;&gt;"pvp",Inputs!$B$44&gt;0),IF(Inputs!$B$44&lt;=0,0,(INT(Inputs!$B$44/IF(Inputs!$B$39="pvp",15,MAX(0.1,Skills!D18-IF(TRUE=TRUE,Inputs!$B$33,0))))+1)),0)</f>
        <v/>
      </c>
      <c r="S2653">
        <f>IFERROR(O2653/N2653,0)</f>
        <v/>
      </c>
      <c r="T2653" t="n">
        <v>0</v>
      </c>
      <c r="V2653" t="n">
        <v>0</v>
      </c>
    </row>
    <row r="2654">
      <c r="A2654">
        <f>Skills!A19</f>
        <v/>
      </c>
      <c r="B2654">
        <f>Skills!B19</f>
        <v/>
      </c>
      <c r="C2654">
        <f>Inputs!$B$3&gt;=72</f>
        <v/>
      </c>
      <c r="D2654">
        <f>IF(Skills!C19=1,60+Inputs!$B$26+Inputs!$B$30,IF(Skills!C19=2,90+Inputs!$B$27+Inputs!$B$30,IF(Skills!C19=3,120+Inputs!$B$28+Inputs!$B$30,MAX(0,(Inputs!$B$3-100)*3)+Inputs!$B$29+Inputs!$B$30)))</f>
        <v/>
      </c>
      <c r="E2654">
        <f>INDEX(FactorTable!$B$2:$Y$301, MATCH(ROUND(MIN(300,MAX(1,D2654)),0), FactorTable!$A$2:$A$301,0), Skills!M19+1)</f>
        <v/>
      </c>
      <c r="F2654">
        <f>IF(Skills!N19=TRUE,(Skills!L19/10)*(E2654/1000),Skills!L19/10)+Skills!O19</f>
        <v/>
      </c>
      <c r="G2654">
        <f>Skills!G19*IF(Skills!H19&gt;0,INT(IF(Inputs!$B$39="pvp",MIN(Skills!I19,15),Skills!I19)/Skills!H19+0.000000001),1)</f>
        <v/>
      </c>
      <c r="H2654">
        <f>1-(1-Skills!J19/100)^Skills!K19</f>
        <v/>
      </c>
      <c r="I2654" t="inlineStr">
        <is>
          <t>1</t>
        </is>
      </c>
      <c r="J2654" t="inlineStr"/>
      <c r="K2654" t="inlineStr"/>
      <c r="L2654" t="inlineStr"/>
      <c r="M2654" t="inlineStr"/>
      <c r="N2654" t="inlineStr"/>
      <c r="O2654">
        <f>(1-Summary!$B$11)*T2654+Summary!$B$11*V2654</f>
        <v/>
      </c>
      <c r="P2654">
        <f>IF(B2674=0,0,O2654/B2674)</f>
        <v/>
      </c>
      <c r="Q2654">
        <f>IFERROR(1/IF(Inputs!$B$39="pvp",15,MAX(0.1,Skills!D19-IF(TRUE=TRUE,Inputs!$B$33,0))),0)</f>
        <v/>
      </c>
      <c r="R2654">
        <f>IF(AND(Inputs!$B$39&lt;&gt;"pvp",Inputs!$B$44&gt;0),IF(Inputs!$B$44&lt;=0,0,(INT(Inputs!$B$44/IF(Inputs!$B$39="pvp",15,MAX(0.1,Skills!D19-IF(TRUE=TRUE,Inputs!$B$33,0))))+1)),0)</f>
        <v/>
      </c>
      <c r="S2654">
        <f>IFERROR(O2654/N2654,0)</f>
        <v/>
      </c>
      <c r="T2654" t="n">
        <v>0</v>
      </c>
      <c r="V2654" t="n">
        <v>0</v>
      </c>
    </row>
    <row r="2655">
      <c r="A2655">
        <f>Skills!A20</f>
        <v/>
      </c>
      <c r="B2655">
        <f>Skills!B20</f>
        <v/>
      </c>
      <c r="C2655">
        <f>TRUE</f>
        <v/>
      </c>
      <c r="D2655">
        <f>IF(Skills!C20=1,60+Inputs!$B$26+Inputs!$B$30,IF(Skills!C20=2,90+Inputs!$B$27+Inputs!$B$30,IF(Skills!C20=3,120+Inputs!$B$28+Inputs!$B$30,MAX(0,(Inputs!$B$3-100)*3)+Inputs!$B$29+Inputs!$B$30)))</f>
        <v/>
      </c>
      <c r="E2655">
        <f>INDEX(FactorTable!$B$2:$Y$301, MATCH(ROUND(MIN(300,MAX(1,D2655)),0), FactorTable!$A$2:$A$301,0), Skills!M20+1)</f>
        <v/>
      </c>
      <c r="F2655">
        <f>IF(Skills!N20=TRUE,(Skills!L20/10)*(E2655/1000),Skills!L20/10)+Skills!O20</f>
        <v/>
      </c>
      <c r="G2655">
        <f>Skills!G20*IF(Skills!H20&gt;0,INT(IF(Inputs!$B$39="pvp",MIN(Skills!I20,15),Skills!I20)/Skills!H20+0.000000001),1)</f>
        <v/>
      </c>
      <c r="H2655">
        <f>1-(1-Skills!J20/100)^Skills!K20</f>
        <v/>
      </c>
      <c r="I2655" t="inlineStr">
        <is>
          <t>1</t>
        </is>
      </c>
      <c r="J2655" t="inlineStr"/>
      <c r="K2655" t="inlineStr"/>
      <c r="L2655" t="inlineStr"/>
      <c r="M2655" t="inlineStr"/>
      <c r="N2655" t="inlineStr"/>
      <c r="O2655">
        <f>(1-Summary!$B$11)*T2655+Summary!$B$11*V2655</f>
        <v/>
      </c>
      <c r="P2655">
        <f>IF(B2674=0,0,O2655/B2674)</f>
        <v/>
      </c>
      <c r="Q2655">
        <f>IFERROR(1/IF(Inputs!$B$39="pvp",15,MAX(0.1,Skills!D20-IF(TRUE=TRUE,Inputs!$B$33,0))),0)</f>
        <v/>
      </c>
      <c r="R2655">
        <f>IF(AND(Inputs!$B$39&lt;&gt;"pvp",Inputs!$B$44&gt;0),IF(Inputs!$B$44&lt;=0,0,(INT(Inputs!$B$44/IF(Inputs!$B$39="pvp",15,MAX(0.1,Skills!D20-IF(TRUE=TRUE,Inputs!$B$33,0))))+1)),0)</f>
        <v/>
      </c>
      <c r="S2655">
        <f>IFERROR(O2655/N2655,0)</f>
        <v/>
      </c>
      <c r="T2655" t="n">
        <v>0</v>
      </c>
      <c r="V2655" t="n">
        <v>0</v>
      </c>
    </row>
    <row r="2656">
      <c r="A2656">
        <f>Skills!A21</f>
        <v/>
      </c>
      <c r="B2656">
        <f>Skills!B21</f>
        <v/>
      </c>
      <c r="C2656">
        <f>Inputs!$B$3&gt;=33</f>
        <v/>
      </c>
      <c r="D2656">
        <f>IF(Skills!C21=1,60+Inputs!$B$26+Inputs!$B$30,IF(Skills!C21=2,90+Inputs!$B$27+Inputs!$B$30,IF(Skills!C21=3,120+Inputs!$B$28+Inputs!$B$30,MAX(0,(Inputs!$B$3-100)*3)+Inputs!$B$29+Inputs!$B$30)))</f>
        <v/>
      </c>
      <c r="E2656">
        <f>INDEX(FactorTable!$B$2:$Y$301, MATCH(ROUND(MIN(300,MAX(1,D2656)),0), FactorTable!$A$2:$A$301,0), Skills!M21+1)</f>
        <v/>
      </c>
      <c r="F2656">
        <f>IF(Skills!N21=TRUE,(Skills!L21/10)*(E2656/1000),Skills!L21/10)+Skills!O21</f>
        <v/>
      </c>
      <c r="G2656">
        <f>Skills!G21*IF(Skills!H21&gt;0,INT(IF(Inputs!$B$39="pvp",MIN(Skills!I21,15),Skills!I21)/Skills!H21+0.000000001),1)</f>
        <v/>
      </c>
      <c r="H2656">
        <f>1-(1-Skills!J21/100)^Skills!K21</f>
        <v/>
      </c>
      <c r="I2656" t="inlineStr">
        <is>
          <t>1</t>
        </is>
      </c>
      <c r="J2656" t="inlineStr"/>
      <c r="K2656" t="inlineStr"/>
      <c r="L2656" t="inlineStr"/>
      <c r="M2656" t="inlineStr"/>
      <c r="N2656" t="inlineStr"/>
      <c r="O2656">
        <f>(1-Summary!$B$11)*T2656+Summary!$B$11*V2656</f>
        <v/>
      </c>
      <c r="P2656">
        <f>IF(B2674=0,0,O2656/B2674)</f>
        <v/>
      </c>
      <c r="Q2656" t="n">
        <v>0</v>
      </c>
      <c r="R2656" t="n">
        <v>0</v>
      </c>
      <c r="S2656">
        <f>IFERROR(O2656/N2656,0)</f>
        <v/>
      </c>
      <c r="T2656" t="n">
        <v>0</v>
      </c>
      <c r="V2656" t="n">
        <v>0</v>
      </c>
    </row>
    <row r="2657">
      <c r="A2657">
        <f>Skills!A22</f>
        <v/>
      </c>
      <c r="B2657">
        <f>Skills!B22</f>
        <v/>
      </c>
      <c r="C2657">
        <f>Inputs!$B$3&gt;=43</f>
        <v/>
      </c>
      <c r="D2657">
        <f>IF(Skills!C22=1,60+Inputs!$B$26+Inputs!$B$30,IF(Skills!C22=2,90+Inputs!$B$27+Inputs!$B$30,IF(Skills!C22=3,120+Inputs!$B$28+Inputs!$B$30,MAX(0,(Inputs!$B$3-100)*3)+Inputs!$B$29+Inputs!$B$30)))</f>
        <v/>
      </c>
      <c r="E2657">
        <f>INDEX(FactorTable!$B$2:$Y$301, MATCH(ROUND(MIN(300,MAX(1,D2657)),0), FactorTable!$A$2:$A$301,0), Skills!M22+1)</f>
        <v/>
      </c>
      <c r="F2657">
        <f>IF(Skills!N22=TRUE,(Skills!L22/10)*(E2657/1000),Skills!L22/10)+Skills!O22</f>
        <v/>
      </c>
      <c r="G2657">
        <f>Skills!G22*IF(Skills!H22&gt;0,INT(IF(Inputs!$B$39="pvp",MIN(Skills!I22,15),Skills!I22)/Skills!H22+0.000000001),1)</f>
        <v/>
      </c>
      <c r="H2657">
        <f>1-(1-Skills!J22/100)^Skills!K22</f>
        <v/>
      </c>
      <c r="I2657" t="inlineStr">
        <is>
          <t>1</t>
        </is>
      </c>
      <c r="J2657" t="inlineStr"/>
      <c r="K2657" t="inlineStr"/>
      <c r="L2657" t="inlineStr"/>
      <c r="M2657" t="inlineStr"/>
      <c r="N2657" t="inlineStr"/>
      <c r="O2657">
        <f>(1-Summary!$B$11)*T2657+Summary!$B$11*V2657</f>
        <v/>
      </c>
      <c r="P2657">
        <f>IF(B2674=0,0,O2657/B2674)</f>
        <v/>
      </c>
      <c r="Q2657" t="n">
        <v>0</v>
      </c>
      <c r="R2657" t="n">
        <v>0</v>
      </c>
      <c r="S2657">
        <f>IFERROR(O2657/N2657,0)</f>
        <v/>
      </c>
      <c r="T2657" t="n">
        <v>0</v>
      </c>
      <c r="V2657" t="n">
        <v>0</v>
      </c>
    </row>
    <row r="2658">
      <c r="A2658">
        <f>Skills!A23</f>
        <v/>
      </c>
      <c r="B2658">
        <f>Skills!B23</f>
        <v/>
      </c>
      <c r="C2658">
        <f>Inputs!$B$3&gt;=120</f>
        <v/>
      </c>
      <c r="D2658">
        <f>IF(Skills!C23=1,60+Inputs!$B$26+Inputs!$B$30,IF(Skills!C23=2,90+Inputs!$B$27+Inputs!$B$30,IF(Skills!C23=3,120+Inputs!$B$28+Inputs!$B$30,MAX(0,(Inputs!$B$3-100)*3)+Inputs!$B$29+Inputs!$B$30)))</f>
        <v/>
      </c>
      <c r="E2658">
        <f>INDEX(FactorTable!$B$2:$Y$301, MATCH(ROUND(MIN(300,MAX(1,D2658)),0), FactorTable!$A$2:$A$301,0), Skills!M23+1)</f>
        <v/>
      </c>
      <c r="F2658">
        <f>IF(Skills!N23=TRUE,(Skills!L23/10)*(E2658/1000),Skills!L23/10)+Skills!O23</f>
        <v/>
      </c>
      <c r="G2658">
        <f>Skills!G23*IF(Skills!H23&gt;0,INT(IF(Inputs!$B$39="pvp",MIN(Skills!I23,15),Skills!I23)/Skills!H23+0.000000001),1)</f>
        <v/>
      </c>
      <c r="H2658">
        <f>1-(1-Skills!J23/100)^Skills!K23</f>
        <v/>
      </c>
      <c r="I2658" t="inlineStr">
        <is>
          <t>1</t>
        </is>
      </c>
      <c r="J2658" t="inlineStr"/>
      <c r="K2658" t="inlineStr"/>
      <c r="L2658" t="inlineStr"/>
      <c r="M2658" t="inlineStr"/>
      <c r="N2658" t="inlineStr"/>
      <c r="O2658">
        <f>(1-Summary!$B$11)*T2658+Summary!$B$11*V2658</f>
        <v/>
      </c>
      <c r="P2658">
        <f>IF(B2674=0,0,O2658/B2674)</f>
        <v/>
      </c>
      <c r="Q2658" t="n">
        <v>0</v>
      </c>
      <c r="R2658" t="n">
        <v>0</v>
      </c>
      <c r="S2658">
        <f>IFERROR(O2658/N2658,0)</f>
        <v/>
      </c>
      <c r="T2658" t="n">
        <v>0</v>
      </c>
      <c r="V2658" t="n">
        <v>0</v>
      </c>
    </row>
    <row r="2659">
      <c r="A2659">
        <f>Skills!A24</f>
        <v/>
      </c>
      <c r="B2659">
        <f>Skills!B24</f>
        <v/>
      </c>
      <c r="C2659">
        <f>Inputs!$B$3&gt;=120</f>
        <v/>
      </c>
      <c r="D2659">
        <f>IF(Skills!C24=1,60+Inputs!$B$26+Inputs!$B$30,IF(Skills!C24=2,90+Inputs!$B$27+Inputs!$B$30,IF(Skills!C24=3,120+Inputs!$B$28+Inputs!$B$30,MAX(0,(Inputs!$B$3-100)*3)+Inputs!$B$29+Inputs!$B$30)))</f>
        <v/>
      </c>
      <c r="E2659">
        <f>INDEX(FactorTable!$B$2:$Y$301, MATCH(ROUND(MIN(300,MAX(1,D2659)),0), FactorTable!$A$2:$A$301,0), Skills!M24+1)</f>
        <v/>
      </c>
      <c r="F2659">
        <f>IF(Skills!N24=TRUE,(Skills!L24/10)*(E2659/1000),Skills!L24/10)+Skills!O24</f>
        <v/>
      </c>
      <c r="G2659">
        <f>Skills!G24*IF(Skills!H24&gt;0,INT(IF(Inputs!$B$39="pvp",MIN(Skills!I24,15),Skills!I24)/Skills!H24+0.000000001),1)</f>
        <v/>
      </c>
      <c r="H2659">
        <f>1-(1-Skills!J24/100)^Skills!K24</f>
        <v/>
      </c>
      <c r="I2659" t="inlineStr">
        <is>
          <t>1</t>
        </is>
      </c>
      <c r="J2659" t="inlineStr"/>
      <c r="K2659" t="inlineStr"/>
      <c r="L2659" t="inlineStr"/>
      <c r="M2659" t="inlineStr"/>
      <c r="N2659" t="inlineStr"/>
      <c r="O2659">
        <f>(1-Summary!$B$11)*T2659+Summary!$B$11*V2659</f>
        <v/>
      </c>
      <c r="P2659">
        <f>IF(B2674=0,0,O2659/B2674)</f>
        <v/>
      </c>
      <c r="Q2659" t="n">
        <v>0</v>
      </c>
      <c r="R2659" t="n">
        <v>0</v>
      </c>
      <c r="S2659">
        <f>IFERROR(O2659/N2659,0)</f>
        <v/>
      </c>
      <c r="T2659" t="n">
        <v>0</v>
      </c>
      <c r="V2659" t="n">
        <v>0</v>
      </c>
    </row>
    <row r="2660">
      <c r="A2660">
        <f>Skills!A25</f>
        <v/>
      </c>
      <c r="B2660">
        <f>Skills!B25</f>
        <v/>
      </c>
      <c r="C2660">
        <f>Inputs!$B$3&gt;=125</f>
        <v/>
      </c>
      <c r="D2660">
        <f>IF(Skills!C25=1,60+Inputs!$B$26+Inputs!$B$30,IF(Skills!C25=2,90+Inputs!$B$27+Inputs!$B$30,IF(Skills!C25=3,120+Inputs!$B$28+Inputs!$B$30,MAX(0,(Inputs!$B$3-100)*3)+Inputs!$B$29+Inputs!$B$30)))</f>
        <v/>
      </c>
      <c r="E2660">
        <f>INDEX(FactorTable!$B$2:$Y$301, MATCH(ROUND(MIN(300,MAX(1,D2660)),0), FactorTable!$A$2:$A$301,0), Skills!M25+1)</f>
        <v/>
      </c>
      <c r="F2660">
        <f>IF(Skills!N25=TRUE,(Skills!L25/10)*(E2660/1000),Skills!L25/10)+Skills!O25</f>
        <v/>
      </c>
      <c r="G2660">
        <f>Skills!G25*IF(Skills!H25&gt;0,INT(IF(Inputs!$B$39="pvp",MIN(Skills!I25,15),Skills!I25)/Skills!H25+0.000000001),1)</f>
        <v/>
      </c>
      <c r="H2660">
        <f>1-(1-Skills!J25/100)^Skills!K25</f>
        <v/>
      </c>
      <c r="I2660" t="inlineStr">
        <is>
          <t>1</t>
        </is>
      </c>
      <c r="J2660" t="inlineStr"/>
      <c r="K2660" t="inlineStr"/>
      <c r="L2660" t="inlineStr"/>
      <c r="M2660" t="inlineStr"/>
      <c r="N2660" t="inlineStr"/>
      <c r="O2660">
        <f>(1-Summary!$B$11)*T2660+Summary!$B$11*V2660</f>
        <v/>
      </c>
      <c r="P2660">
        <f>IF(B2674=0,0,O2660/B2674)</f>
        <v/>
      </c>
      <c r="Q2660" t="n">
        <v>0</v>
      </c>
      <c r="R2660" t="n">
        <v>0</v>
      </c>
      <c r="S2660">
        <f>IFERROR(O2660/N2660,0)</f>
        <v/>
      </c>
      <c r="T2660" t="n">
        <v>0</v>
      </c>
      <c r="V2660" t="n">
        <v>0</v>
      </c>
    </row>
    <row r="2661">
      <c r="A2661">
        <f>Skills!A26</f>
        <v/>
      </c>
      <c r="B2661">
        <f>Skills!B26</f>
        <v/>
      </c>
      <c r="C2661">
        <f>Inputs!$B$3&gt;=107</f>
        <v/>
      </c>
      <c r="D2661">
        <f>IF(Skills!C26=1,60+Inputs!$B$26+Inputs!$B$30,IF(Skills!C26=2,90+Inputs!$B$27+Inputs!$B$30,IF(Skills!C26=3,120+Inputs!$B$28+Inputs!$B$30,MAX(0,(Inputs!$B$3-100)*3)+Inputs!$B$29+Inputs!$B$30)))</f>
        <v/>
      </c>
      <c r="E2661">
        <f>INDEX(FactorTable!$B$2:$Y$301, MATCH(ROUND(MIN(300,MAX(1,D2661)),0), FactorTable!$A$2:$A$301,0), Skills!M26+1)</f>
        <v/>
      </c>
      <c r="F2661">
        <f>IF(Skills!N26=TRUE,(Skills!L26/10)*(E2661/1000),Skills!L26/10)+Skills!O26</f>
        <v/>
      </c>
      <c r="G2661">
        <f>Skills!G26*IF(Skills!H26&gt;0,INT(IF(Inputs!$B$39="pvp",MIN(Skills!I26,15),Skills!I26)/Skills!H26+0.000000001),1)</f>
        <v/>
      </c>
      <c r="H2661">
        <f>1-(1-Skills!J26/100)^Skills!K26</f>
        <v/>
      </c>
      <c r="I2661" t="inlineStr">
        <is>
          <t>1</t>
        </is>
      </c>
      <c r="J2661" t="inlineStr"/>
      <c r="K2661" t="inlineStr"/>
      <c r="L2661" t="inlineStr"/>
      <c r="M2661" t="inlineStr"/>
      <c r="N2661" t="inlineStr"/>
      <c r="O2661">
        <f>(1-Summary!$B$11)*T2661+Summary!$B$11*V2661</f>
        <v/>
      </c>
      <c r="P2661">
        <f>IF(B2674=0,0,O2661/B2674)</f>
        <v/>
      </c>
      <c r="Q2661" t="n">
        <v>0</v>
      </c>
      <c r="R2661" t="n">
        <v>0</v>
      </c>
      <c r="S2661">
        <f>IFERROR(O2661/N2661,0)</f>
        <v/>
      </c>
      <c r="T2661" t="n">
        <v>0</v>
      </c>
      <c r="V2661" t="n">
        <v>0</v>
      </c>
    </row>
    <row r="2663">
      <c r="A2663" t="inlineStr">
        <is>
          <t>Attack% Bucket Multiplier</t>
        </is>
      </c>
      <c r="B2663">
        <f>(1+(((C2648=TRUE)*F2648*IF(AND(Inputs!$B$39&lt;&gt;"pvp",Inputs!$B$44&gt;0),(((R2648-1)*MIN((Skills!T13*(1+Inputs!$B$35/100)),(1/Q2648))+MIN((Skills!T13*(1+Inputs!$B$35/100)),MAX(0,Inputs!$B$44-((R2648-1)*(1/Q2648)))))/Inputs!$B$44),IF(Inputs!$B$39="pvp",MIN((Skills!T13*(1+Inputs!$B$35/100)),15)/15,MIN(1,(Skills!T13*(1+Inputs!$B$35/100))/(1/Q2648)))))+((C2649=TRUE)*F2649*IF(AND(Inputs!$B$39&lt;&gt;"pvp",Inputs!$B$44&gt;0),(((R2649-1)*MIN((Skills!T14*(1+Inputs!$B$35/100)),(1/Q2649))+MIN((Skills!T14*(1+Inputs!$B$35/100)),MAX(0,Inputs!$B$44-((R2649-1)*(1/Q2649)))))/Inputs!$B$44),IF(Inputs!$B$39="pvp",MIN((Skills!T14*(1+Inputs!$B$35/100)),15)/15,MIN(1,(Skills!T14*(1+Inputs!$B$35/100))/(1/Q2649)))))+((C2650=TRUE)*F2650*IF(AND(Inputs!$B$39&lt;&gt;"pvp",Inputs!$B$44&gt;0),(((R2650-1)*MIN((Skills!T15*(1+Inputs!$B$35/100)),(1/Q2650))+MIN((Skills!T15*(1+Inputs!$B$35/100)),MAX(0,Inputs!$B$44-((R2650-1)*(1/Q2650)))))/Inputs!$B$44),IF(Inputs!$B$39="pvp",MIN((Skills!T15*(1+Inputs!$B$35/100)),15)/15,MIN(1,(Skills!T15*(1+Inputs!$B$35/100))/(1/Q2650)))))+((C2651=TRUE)*F2651*IF(AND(Inputs!$B$39&lt;&gt;"pvp",Inputs!$B$44&gt;0),(((R2651-1)*MIN((Skills!T16*(1+Inputs!$B$35/100)),(1/Q2651))+MIN((Skills!T16*(1+Inputs!$B$35/100)),MAX(0,Inputs!$B$44-((R2651-1)*(1/Q2651)))))/Inputs!$B$44),IF(Inputs!$B$39="pvp",MIN((Skills!T16*(1+Inputs!$B$35/100)),15)/15,MIN(1,(Skills!T16*(1+Inputs!$B$35/100))/(1/Q2651)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2664">
      <c r="A2664" t="inlineStr">
        <is>
          <t>Global Crit Rate Bonus % (Lord of Darkness)</t>
        </is>
      </c>
      <c r="B2664">
        <f>((C2653=TRUE)*F2653*(Skills!J18/100)*IF(AND(Inputs!$B$39&lt;&gt;"pvp",Inputs!$B$44&gt;0),(((R2653-1)*MIN((Skills!T18*(1+Inputs!$B$35/100)),(1/Q2653))+MIN((Skills!T18*(1+Inputs!$B$35/100)),MAX(0,Inputs!$B$44-((R2653-1)*(1/Q2653)))))/Inputs!$B$44),IF(Inputs!$B$39="pvp",MIN((Skills!T18*(1+Inputs!$B$35/100)),15)/15,MIN(1,(Skills!T18*(1+Inputs!$B$35/100))/(1/Q2653)))))</f>
        <v/>
      </c>
    </row>
    <row r="2665">
      <c r="A2665" t="inlineStr">
        <is>
          <t>Attack Speed Buff Bonus %</t>
        </is>
      </c>
      <c r="B2665">
        <f>((C2655=TRUE)*F2655*IF(AND(Inputs!$B$39&lt;&gt;"pvp",Inputs!$B$44&gt;0),(((R2655-1)*MIN((Skills!T20*(1+Inputs!$B$35/100)),(1/Q2655))+MIN((Skills!T20*(1+Inputs!$B$35/100)),MAX(0,Inputs!$B$44-((R2655-1)*(1/Q2655)))))/Inputs!$B$44),IF(Inputs!$B$39="pvp",MIN((Skills!T20*(1+Inputs!$B$35/100)),15)/15,MIN(1,(Skills!T20*(1+Inputs!$B$35/100))/(1/Q2655)))))</f>
        <v/>
      </c>
    </row>
    <row r="2666">
      <c r="A2666" t="inlineStr">
        <is>
          <t>Actions Per Second</t>
        </is>
      </c>
      <c r="B2666">
        <f>1+MIN(150,150*(1-(1-(Inputs!$B$12+((C2656=TRUE)*(F2656-Calc!F21)))/150)*(1-B2665/150)))/100</f>
        <v/>
      </c>
    </row>
    <row r="2667">
      <c r="A2667" t="inlineStr">
        <is>
          <t>Skill + Buff Cast Rate</t>
        </is>
      </c>
      <c r="B2667">
        <f>IF(AND(Inputs!$B$39&lt;&gt;"pvp",Inputs!$B$44&gt;0),SUMPRODUCT((Skills!E2:E26=TRUE)*(C2637:C2661=TRUE)*R2637:R2661*Skills!F2:F26)/Inputs!$B$44,SUMPRODUCT((Skills!E2:E26=TRUE)*(C2637:C2661=TRUE)*Q2637:Q2661*Skills!F2:F26))</f>
        <v/>
      </c>
    </row>
    <row r="2668">
      <c r="A2668" t="inlineStr">
        <is>
          <t>Dark Impale Casts Per Second</t>
        </is>
      </c>
      <c r="B2668">
        <f>MAX(0,B2666-B2667)</f>
        <v/>
      </c>
    </row>
    <row r="2669">
      <c r="A2669" t="inlineStr">
        <is>
          <t>Global Critical Damage Bonus % (Lord of Darkness)</t>
        </is>
      </c>
      <c r="B2669">
        <f>((C2654=TRUE)*F2654*(Skills!J19/100)*IF(AND(Inputs!$B$39&lt;&gt;"pvp",Inputs!$B$44&gt;0),(((R2654-1)*MIN((Skills!T19*(1+Inputs!$B$35/100)),(1/Q2654))+MIN((Skills!T19*(1+Inputs!$B$35/100)),MAX(0,Inputs!$B$44-((R2654-1)*(1/Q2654)))))/Inputs!$B$44),IF(Inputs!$B$39="pvp",MIN((Skills!T19*(1+Inputs!$B$35/100)),15)/15,MIN(1,(Skills!T19*(1+Inputs!$B$35/100))/(1/Q2654)))))</f>
        <v/>
      </c>
    </row>
    <row r="2670">
      <c r="A2670" t="inlineStr">
        <is>
          <t>Global Final Damage Bonus % (unused)</t>
        </is>
      </c>
      <c r="B2670" t="n">
        <v>0</v>
      </c>
    </row>
    <row r="2671">
      <c r="A2671" t="inlineStr">
        <is>
          <t>Buff-Casting Startup Delay (s, fixed-duration only)</t>
        </is>
      </c>
      <c r="B2671">
        <f>IF(AND(Inputs!$B$39&lt;&gt;"pvp",Inputs!$B$44&gt;0),SUMPRODUCT((Skills!T2:T26&gt;0)*(Skills!E2:E26=TRUE)*(C2637:C2661=TRUE))/B2666,0)</f>
        <v/>
      </c>
    </row>
    <row r="2672">
      <c r="A2672" t="inlineStr">
        <is>
          <t>Boss-Only Total DPS (this block's swept value)</t>
        </is>
      </c>
      <c r="B2672">
        <f>SUM(T2637:T2661)</f>
        <v/>
      </c>
    </row>
    <row r="2673">
      <c r="A2673" t="inlineStr">
        <is>
          <t>Normal-Only Total DPS (this block's swept value)</t>
        </is>
      </c>
      <c r="B2673">
        <f>SUM(V2637:V2661)</f>
        <v/>
      </c>
    </row>
    <row r="2674">
      <c r="A2674" s="6" t="inlineStr">
        <is>
          <t>TOTAL DPS</t>
        </is>
      </c>
      <c r="B2674" s="6">
        <f>SUM(O2637:O2661)</f>
        <v/>
      </c>
    </row>
    <row r="2677">
      <c r="A2677" s="6" t="inlineStr">
        <is>
          <t>Stat: Secret Map (Equip)</t>
        </is>
      </c>
    </row>
    <row r="2678">
      <c r="A2678" s="5" t="inlineStr">
        <is>
          <t>Key</t>
        </is>
      </c>
      <c r="B2678" s="5" t="inlineStr">
        <is>
          <t>Name</t>
        </is>
      </c>
      <c r="C2678" s="5" t="inlineStr">
        <is>
          <t>Unlocked</t>
        </is>
      </c>
      <c r="D2678" s="5" t="inlineStr">
        <is>
          <t>InputLevel</t>
        </is>
      </c>
      <c r="E2678" s="5" t="inlineStr">
        <is>
          <t>Factor</t>
        </is>
      </c>
      <c r="F2678" s="5" t="inlineStr">
        <is>
          <t>CoefficientPercent</t>
        </is>
      </c>
      <c r="G2678" s="5" t="inlineStr">
        <is>
          <t>EffectiveHits</t>
        </is>
      </c>
      <c r="H2678" s="5" t="inlineStr">
        <is>
          <t>ProcProbability</t>
        </is>
      </c>
      <c r="I2678" s="5" t="inlineStr">
        <is>
          <t>MapleHeroMultiplier</t>
        </is>
      </c>
      <c r="J2678" s="5" t="inlineStr">
        <is>
          <t>BaseDamage</t>
        </is>
      </c>
      <c r="K2678" s="5" t="inlineStr">
        <is>
          <t>BaseHitDamage</t>
        </is>
      </c>
      <c r="L2678" s="5" t="inlineStr">
        <is>
          <t>NonCritAvg</t>
        </is>
      </c>
      <c r="M2678" s="5" t="inlineStr">
        <is>
          <t>CritAvg</t>
        </is>
      </c>
      <c r="N2678" s="5" t="inlineStr">
        <is>
          <t>ExpectedDamage(perHit)</t>
        </is>
      </c>
      <c r="O2678" s="5" t="inlineStr">
        <is>
          <t>DPS</t>
        </is>
      </c>
      <c r="P2678" s="5" t="inlineStr">
        <is>
          <t>% of Total</t>
        </is>
      </c>
      <c r="Q2678" s="5" t="inlineStr">
        <is>
          <t>InvCooldown</t>
        </is>
      </c>
      <c r="R2678" s="5" t="inlineStr">
        <is>
          <t>CastsInFight</t>
        </is>
      </c>
      <c r="S2678" s="5" t="inlineStr">
        <is>
          <t>HitRate(perSec)</t>
        </is>
      </c>
      <c r="U2678" t="inlineStr">
        <is>
          <t>helpers</t>
        </is>
      </c>
    </row>
    <row r="2679">
      <c r="A2679">
        <f>Skills!A2</f>
        <v/>
      </c>
      <c r="B2679">
        <f>Skills!B2</f>
        <v/>
      </c>
      <c r="C2679">
        <f>Inputs!$B$3&gt;=100</f>
        <v/>
      </c>
      <c r="D2679" t="inlineStr"/>
      <c r="E2679" t="inlineStr"/>
      <c r="F2679">
        <f>U2681+Skills!O2</f>
        <v/>
      </c>
      <c r="G2679">
        <f>Skills!G2*IF(Skills!H2&gt;0,INT(IF(Inputs!$B$39="pvp",MIN(Skills!I2,15),Skills!I2)/Skills!H2+0.000000001),1)</f>
        <v/>
      </c>
      <c r="H2679">
        <f>1-(1-Skills!J2/100)^Skills!K2</f>
        <v/>
      </c>
      <c r="I2679" t="inlineStr">
        <is>
          <t>1</t>
        </is>
      </c>
      <c r="J2679">
        <f>((Inputs!$B$6*(1+Inputs!$B$7/100))+(((Inputs!$B$13*(1+Inputs!$B$14/100))-(Inputs!$B$13*(1+Inputs!$B$14/100)))+0.25*(Inputs!$B$15-Inputs!$B$15))*(1+Inputs!$B$7/100))*(F2679/100)</f>
        <v/>
      </c>
      <c r="K2679">
        <f>J2679*(1+(((Inputs!$B$13+IF(Inputs!$B$3&gt;=38,(10*INDEX(FactorTable!$B$2:$Y$301, MATCH(ROUND(MIN(300,MAX(1,Inputs!$B$3)),0), FactorTable!$A$2:$A$301,0), 23)/1000)/100*(Inputs!$B$8*(1+Inputs!$B$9/100)),0))*(1+Inputs!$B$14/100))*0.01+Inputs!$B$15*0.0025)/100)*(1+Inputs!$B$16/100)*(1+Inputs!$B$17/100)*(5000/(6000+Inputs!$B$43*(1-(Inputs!$B$20+0)/100)))*(1+(Inputs!$B$25+((C2702=TRUE)*(F2702-Calc!F25))+((C2703=TRUE)*(F2703-Calc!F26))+B2712)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gt;=100),MIN(100,((Inputs!$B$10+0+B2706+(ArtifactsInput!$M$24-ArtifactsInput!$M$24)*CHOOSE(ArtifactsInput!$N$24+1,10,12,14,16,18,20)+IF(ArtifactsInput!$M$10,CHOOSE(ArtifactsInput!$N$10+1,15,18,21,24,27,30)*(IF(Inputs!$B$39="pvp",MIN(15,15)/15,IF(AND(Inputs!$B$39&lt;&gt;"pvp",Inputs!$B$44&gt;0),MIN(15,Inputs!$B$44)/(Inputs!$B$44),0))),0)))-100),0))*CHOOSE(ArtifactsInput!$N$42+1,0.6,0.72,0.84,0.96,1.08,1.2))),Inputs!$B$19+((C2700=TRUE)*(F2700-Calc!F23))+(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gt;=100),CHOOSE(ArtifactsInput!$N$42+1,40,48,56,64,72,80),0))))/100)*((1+(((C2690=TRUE)*F2690*IF(AND(Inputs!$B$39&lt;&gt;"pvp",Inputs!$B$44&gt;0),(((R2690-1)*MIN((Skills!T13*(1+Inputs!$B$35/100)),(1/Q2690))+MIN((Skills!T13*(1+Inputs!$B$35/100)),MAX(0,Inputs!$B$44-((R2690-1)*(1/Q2690)))))/Inputs!$B$44),IF(Inputs!$B$39="pvp",MIN((Skills!T13*(1+Inputs!$B$35/100)),15)/15,MIN(1,(Skills!T13*(1+Inputs!$B$35/100))/(1/Q2690)))))+((C2691=TRUE)*F2691*IF(AND(Inputs!$B$39&lt;&gt;"pvp",Inputs!$B$44&gt;0),(((R2691-1)*MIN((Skills!T14*(1+Inputs!$B$35/100)),(1/Q2691))+MIN((Skills!T14*(1+Inputs!$B$35/100)),MAX(0,Inputs!$B$44-((R2691-1)*(1/Q2691)))))/Inputs!$B$44),IF(Inputs!$B$39="pvp",MIN((Skills!T14*(1+Inputs!$B$35/100)),15)/15,MIN(1,(Skills!T14*(1+Inputs!$B$35/100))/(1/Q2691)))))+((C2692=TRUE)*F2692*IF(AND(Inputs!$B$39&lt;&gt;"pvp",Inputs!$B$44&gt;0),(((R2692-1)*MIN((Skills!T15*(1+Inputs!$B$35/100)),(1/Q2692))+MIN((Skills!T15*(1+Inputs!$B$35/100)),MAX(0,Inputs!$B$44-((R2692-1)*(1/Q2692)))))/Inputs!$B$44),IF(Inputs!$B$39="pvp",MIN((Skills!T15*(1+Inputs!$B$35/100)),15)/15,MIN(1,(Skills!T15*(1+Inputs!$B$35/100))/(1/Q2692)))))+((C2693=TRUE)*F2693*IF(AND(Inputs!$B$39&lt;&gt;"pvp",Inputs!$B$44&gt;0),(((R2693-1)*MIN((Skills!T16*(1+Inputs!$B$35/100)),(1/Q2693))+MIN((Skills!T16*(1+Inputs!$B$35/100)),MAX(0,Inputs!$B$44-((R2693-1)*(1/Q2693)))))/Inputs!$B$44),IF(Inputs!$B$39="pvp",MIN((Skills!T16*(1+Inputs!$B$35/100)),15)/15,MIN(1,(Skills!T16*(1+Inputs!$B$35/100))/(1/Q2693)))))+0+(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2679)</f>
        <v/>
      </c>
      <c r="L2679">
        <f>K2679*(MIN(Inputs!$B$23+((C2699=TRUE)*(F2699-Calc!F22)),(Inputs!$B$24+((C2701=TRUE)*(F2701-Calc!F24))+(IF(ArtifactsInput!$M$15,CHOOSE(ArtifactsInput!$N$15+1,25,30,35,40,45,50)/100*(Inputs!$B$12-Inputs!$B$12),0))))/100+(Inputs!$B$24+((C2701=TRUE)*(F2701-Calc!F24))+(IF(ArtifactsInput!$M$15,CHOOSE(ArtifactsInput!$N$15+1,25,30,35,40,45,50)/100*(Inputs!$B$12-Inputs!$B$12),0)))/100)/2</f>
        <v/>
      </c>
      <c r="M2679">
        <f>L2679*(1+(Inputs!$B$11+0+B2711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679">
        <f>L2679*(1-MIN((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2679*(MIN((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79">
        <f>(1-Summary!$B$11)*T2679+Summary!$B$11*V2679</f>
        <v/>
      </c>
      <c r="P2679">
        <f>IF(B2716=0,0,O2679/B2716)</f>
        <v/>
      </c>
      <c r="Q2679" t="n">
        <v>0</v>
      </c>
      <c r="R2679" t="n">
        <v>0</v>
      </c>
      <c r="S2679">
        <f>IFERROR(O2679/N2679,0)</f>
        <v/>
      </c>
      <c r="T2679">
        <f>IF(C2679,(Skills!G2*N2679*B2710)*IF(Inputs!$B$39="pvp",1,1+(Inputs!$B$21+0+Skills!P2+((C2694=TRUE)*F2694*IF(AND(Inputs!$B$39&lt;&gt;"pvp",Inputs!$B$44&gt;0),(((R2694-1)*MIN((Skills!T17*(1+Inputs!$B$35/100)),(1/Q2694))+MIN((Skills!T17*(1+Inputs!$B$35/100)),MAX(0,Inputs!$B$44-((R2694-1)*(1/Q2694)))))/Inputs!$B$44),IF(Inputs!$B$39="pvp",MIN((Skills!T17*(1+Inputs!$B$35/100)),15)/15,MIN(1,(Skills!T17*(1+Inputs!$B$35/100))/(1/Q2694)))))+((C2682=TRUE)*IF(Inputs!$B$3&gt;=126,10*MIN(1,15*Q2682),0))+((C2691=TRUE)*IF(Inputs!$B$39="pvp",20,(1-Summary!$B$11)*(20)+Summary!$B$11*(0))*IF(AND(Inputs!$B$39&lt;&gt;"pvp",Inputs!$B$44&gt;0),(((R2691-1)*MIN((Skills!T14*(1+Inputs!$B$35/100)),(1/Q2691))+MIN((Skills!T14*(1+Inputs!$B$35/100)),MAX(0,Inputs!$B$44-((R2691-1)*(1/Q2691)))))/Inputs!$B$44),IF(Inputs!$B$39="pvp",MIN((Skills!T14*(1+Inputs!$B$35/100)),15)/15,MIN(1,(Skills!T14*(1+Inputs!$B$35/100))/(1/Q2691)))))+((C2690=TRUE)*IF(Inputs!$B$3&gt;=82,IF(Inputs!$B$39="pvp",20,(1-Summary!$B$11)*(20)+Summary!$B$11*(0)),0)*IF(AND(Inputs!$B$39&lt;&gt;"pvp",Inputs!$B$44&gt;0),(((R2690-1)*MIN((Skills!T13*(1+Inputs!$B$35/100)),(1/Q2690))+MIN((Skills!T13*(1+Inputs!$B$35/100)),MAX(0,Inputs!$B$44-((R2690-1)*(1/Q2690)))))/Inputs!$B$44),IF(Inputs!$B$39="pvp",MIN((Skills!T13*(1+Inputs!$B$35/100)),15)/15,MIN(1,(Skills!T13*(1+Inputs!$B$35/100))/(1/Q2690)))))+(IF(AND(ArtifactsInput!$M$35,Inputs!$B$4&lt;&gt;"Chapter Hunt"),CHOOSE(ArtifactsInput!$N$35+1,15,18,21,24,27,30)*(1-EXP(-(0.2*B2708)*5)),0)+IF(AND(ArtifactsInput!$M$22,Inputs!$B$4&lt;&gt;"Chapter Hunt"),CHOOSE(ArtifactsInput!$N$22+1,10,12,14,16,18,20)*((0*(((0.15*B2708*5))^0/1)+1*(((0.15*B2708*5))^1/1)+2*(((0.15*B2708*5))^2/2)+3*(((0.15*B2708*5))^3/6)+4*(((0.15*B2708*5))^4/24)+5*(((0.15*B2708*5))^5/120))/((((0.15*B2708*5))^0/1)+(((0.15*B2708*5))^1/1)+(((0.15*B2708*5))^2/2)+(((0.15*B2708*5))^3/6)+(((0.15*B2708*5))^4/24)+(((0.15*B2708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2679*(1-MIN(100,(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2679*(MIN(100,(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2679*(1-MIN(100,(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2679*(MIN(100,(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679">
        <f>MAX(0,(Inputs!$B$3-100)*3)+Inputs!$B$29+Inputs!$B$30</f>
        <v/>
      </c>
      <c r="V2679">
        <f>IF(C2679,(Skills!G2*N2679*B2710)*IF(Inputs!$B$39="pvp",1,(1+(Inputs!$B$22+Skills!Q2+((C2694=TRUE)*F2694*IF(AND(Inputs!$B$39&lt;&gt;"pvp",Inputs!$B$44&gt;0),(((R2694-1)*MIN((Skills!T17*(1+Inputs!$B$35/100)),(1/Q2694))+MIN((Skills!T17*(1+Inputs!$B$35/100)),MAX(0,Inputs!$B$44-((R2694-1)*(1/Q2694)))))/Inputs!$B$44),IF(Inputs!$B$39="pvp",MIN((Skills!T17*(1+Inputs!$B$35/100)),15)/15,MIN(1,(Skills!T17*(1+Inputs!$B$35/100))/(1/Q2694)))))+((C2682=TRUE)*IF(Inputs!$B$3&gt;=126,10*MIN(1,15*Q2682),0))+((C2691=TRUE)*IF(Inputs!$B$39="pvp",20,(1-Summary!$B$11)*(20)+Summary!$B$11*(0))*IF(AND(Inputs!$B$39&lt;&gt;"pvp",Inputs!$B$44&gt;0),(((R2691-1)*MIN((Skills!T14*(1+Inputs!$B$35/100)),(1/Q2691))+MIN((Skills!T14*(1+Inputs!$B$35/100)),MAX(0,Inputs!$B$44-((R2691-1)*(1/Q2691)))))/Inputs!$B$44),IF(Inputs!$B$39="pvp",MIN((Skills!T14*(1+Inputs!$B$35/100)),15)/15,MIN(1,(Skills!T14*(1+Inputs!$B$35/100))/(1/Q2691)))))+((C2690=TRUE)*IF(Inputs!$B$3&gt;=82,IF(Inputs!$B$39="pvp",20,(1-Summary!$B$11)*(20)+Summary!$B$11*(0)),0)*IF(AND(Inputs!$B$39&lt;&gt;"pvp",Inputs!$B$44&gt;0),(((R2690-1)*MIN((Skills!T13*(1+Inputs!$B$35/100)),(1/Q2690))+MIN((Skills!T13*(1+Inputs!$B$35/100)),MAX(0,Inputs!$B$44-((R2690-1)*(1/Q2690)))))/Inputs!$B$44),IF(Inputs!$B$39="pvp",MIN((Skills!T13*(1+Inputs!$B$35/100)),15)/15,MIN(1,(Skills!T13*(1+Inputs!$B$35/100))/(1/Q2690)))))+(IF(AND(ArtifactsInput!$M$35,Inputs!$B$4&lt;&gt;"Chapter Hunt"),CHOOSE(ArtifactsInput!$N$35+1,15,18,21,24,27,30)*(1-EXP(-(0.2*B2708)*5)),0)+IF(AND(ArtifactsInput!$M$22,Inputs!$B$4&lt;&gt;"Chapter Hunt"),CHOOSE(ArtifactsInput!$N$22+1,10,12,14,16,18,20)*((0*(((0.15*B2708*5))^0/1)+1*(((0.15*B2708*5))^1/1)+2*(((0.15*B2708*5))^2/2)+3*(((0.15*B2708*5))^3/6)+4*(((0.15*B2708*5))^4/24)+5*(((0.15*B2708*5))^5/120))/((((0.15*B2708*5))^0/1)+(((0.15*B2708*5))^1/1)+(((0.15*B2708*5))^2/2)+(((0.15*B2708*5))^3/6)+(((0.15*B2708*5))^4/24)+(((0.15*B2708*5))^5/120))),0))+(IF(ArtifactsInput!$M$33,CHOOSE(ArtifactsInput!$N$33+1,30,36,42,48,54,60),0)))/100)*(MIN((6+Inputs!$B$34),Inputs!$B$38)))*((1+(IF(AND(IF(ArtifactsInput!$M$41,FALSE,TRUE),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80">
      <c r="A2680">
        <f>Skills!A3</f>
        <v/>
      </c>
      <c r="B2680">
        <f>Skills!B3</f>
        <v/>
      </c>
      <c r="C2680">
        <f>Inputs!$B$3&gt;=50</f>
        <v/>
      </c>
      <c r="D2680">
        <f>IF(Skills!C3=1,60+Inputs!$B$26+Inputs!$B$30,IF(Skills!C3=2,90+Inputs!$B$27+Inputs!$B$30,IF(Skills!C3=3,120+Inputs!$B$28+Inputs!$B$30,MAX(0,(Inputs!$B$3-100)*3)+Inputs!$B$29+Inputs!$B$30)))</f>
        <v/>
      </c>
      <c r="E2680">
        <f>INDEX(FactorTable!$B$2:$Y$301, MATCH(ROUND(MIN(300,MAX(1,D2680)),0), FactorTable!$A$2:$A$301,0), Skills!M3+1)</f>
        <v/>
      </c>
      <c r="F2680">
        <f>IF(Skills!N3=TRUE,(Skills!L3/10)*(E2680/1000),Skills!L3/10)+Skills!O3</f>
        <v/>
      </c>
      <c r="G2680" t="inlineStr"/>
      <c r="H2680" t="inlineStr"/>
      <c r="I2680" t="inlineStr">
        <is>
          <t>1</t>
        </is>
      </c>
      <c r="J2680" t="inlineStr"/>
      <c r="K2680" t="inlineStr"/>
      <c r="L2680" t="inlineStr"/>
      <c r="M2680" t="inlineStr"/>
      <c r="N2680" t="inlineStr"/>
      <c r="O2680" t="inlineStr"/>
      <c r="P2680" t="inlineStr"/>
      <c r="Q2680" t="inlineStr"/>
      <c r="R2680" t="inlineStr"/>
      <c r="S2680" t="inlineStr"/>
      <c r="U2680">
        <f>INDEX(FactorTable!$B$2:$Y$301, MATCH(ROUND(MIN(300,MAX(1,U2679)),0), FactorTable!$A$2:$A$301,0), 22)</f>
        <v/>
      </c>
    </row>
    <row r="2681">
      <c r="A2681">
        <f>Skills!A4</f>
        <v/>
      </c>
      <c r="B2681">
        <f>Skills!B4</f>
        <v/>
      </c>
      <c r="C2681">
        <f>Inputs!$B$3&gt;=105</f>
        <v/>
      </c>
      <c r="D2681">
        <f>IF(Skills!C4=1,60+Inputs!$B$26+Inputs!$B$30,IF(Skills!C4=2,90+Inputs!$B$27+Inputs!$B$30,IF(Skills!C4=3,120+Inputs!$B$28+Inputs!$B$30,MAX(0,(Inputs!$B$3-100)*3)+Inputs!$B$29+Inputs!$B$30)))</f>
        <v/>
      </c>
      <c r="E2681">
        <f>INDEX(FactorTable!$B$2:$Y$301, MATCH(ROUND(MIN(300,MAX(1,D2681)),0), FactorTable!$A$2:$A$301,0), Skills!M4+1)</f>
        <v/>
      </c>
      <c r="F2681">
        <f>IF(Skills!N4=TRUE,(Skills!L4/10)*(E2681/1000),Skills!L4/10)+Skills!O4</f>
        <v/>
      </c>
      <c r="G2681" t="inlineStr"/>
      <c r="H2681" t="inlineStr"/>
      <c r="I2681" t="inlineStr">
        <is>
          <t>1</t>
        </is>
      </c>
      <c r="J2681" t="inlineStr"/>
      <c r="K2681" t="inlineStr"/>
      <c r="L2681" t="inlineStr"/>
      <c r="M2681" t="inlineStr"/>
      <c r="N2681" t="inlineStr"/>
      <c r="O2681" t="inlineStr"/>
      <c r="P2681" t="inlineStr"/>
      <c r="Q2681" t="inlineStr"/>
      <c r="R2681" t="inlineStr"/>
      <c r="S2681" t="inlineStr"/>
      <c r="U2681">
        <f>290*U2680/1000</f>
        <v/>
      </c>
    </row>
    <row r="2682">
      <c r="A2682">
        <f>Skills!A5</f>
        <v/>
      </c>
      <c r="B2682">
        <f>Skills!B5</f>
        <v/>
      </c>
      <c r="C2682">
        <f>Inputs!$B$3&gt;=117</f>
        <v/>
      </c>
      <c r="D2682">
        <f>IF(Skills!C5=1,60+Inputs!$B$26+Inputs!$B$30,IF(Skills!C5=2,90+Inputs!$B$27+Inputs!$B$30,IF(Skills!C5=3,120+Inputs!$B$28+Inputs!$B$30,MAX(0,(Inputs!$B$3-100)*3)+Inputs!$B$29+Inputs!$B$30)))</f>
        <v/>
      </c>
      <c r="E2682">
        <f>INDEX(FactorTable!$B$2:$Y$301, MATCH(ROUND(MIN(300,MAX(1,D2682)),0), FactorTable!$A$2:$A$301,0), Skills!M5+1)</f>
        <v/>
      </c>
      <c r="F2682">
        <f>IF(Skills!N5=TRUE,(Skills!L5/10)*(E2682/1000),Skills!L5/10)+Skills!O5</f>
        <v/>
      </c>
      <c r="G2682">
        <f>Skills!G5*IF(Skills!H5&gt;0,INT(IF(Inputs!$B$39="pvp",MIN(Skills!I5,15),Skills!I5)/Skills!H5+0.000000001),1)</f>
        <v/>
      </c>
      <c r="H2682">
        <f>1-(1-Skills!J5/100)^Skills!K5</f>
        <v/>
      </c>
      <c r="I2682" t="inlineStr">
        <is>
          <t>1</t>
        </is>
      </c>
      <c r="J2682">
        <f>((Inputs!$B$6*(1+Inputs!$B$7/100))+(((Inputs!$B$13*(1+Inputs!$B$14/100))-(Inputs!$B$13*(1+Inputs!$B$14/100)))+0.25*(Inputs!$B$15-Inputs!$B$15))*(1+Inputs!$B$7/100))*(F2682/100)</f>
        <v/>
      </c>
      <c r="K2682">
        <f>J2682*(1+(((Inputs!$B$13+IF(Inputs!$B$3&gt;=38,(10*INDEX(FactorTable!$B$2:$Y$301, MATCH(ROUND(MIN(300,MAX(1,Inputs!$B$3)),0), FactorTable!$A$2:$A$301,0), 23)/1000)/100*(Inputs!$B$8*(1+Inputs!$B$9/100)),0))*(1+Inputs!$B$14/100))*0.01+Inputs!$B$15*0.0025)/100)*(1+Inputs!$B$16/100)*(1+Inputs!$B$17/100)*(5000/(6000+Inputs!$B$43*(1-(Inputs!$B$20+0)/100)))*(1+(Inputs!$B$25+((C2702=TRUE)*(F2702-Calc!F25))+((C2703=TRUE)*(F2703-Calc!F26))+B2712)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gt;=100),MIN(100,((Inputs!$B$10+0+B2706+(ArtifactsInput!$M$24-ArtifactsInput!$M$24)*CHOOSE(ArtifactsInput!$N$24+1,10,12,14,16,18,20)+IF(ArtifactsInput!$M$10,CHOOSE(ArtifactsInput!$N$10+1,15,18,21,24,27,30)*(IF(Inputs!$B$39="pvp",MIN(15,15)/15,IF(AND(Inputs!$B$39&lt;&gt;"pvp",Inputs!$B$44&gt;0),MIN(15,Inputs!$B$44)/(Inputs!$B$44),0))),0)))-100),0))*CHOOSE(ArtifactsInput!$N$42+1,0.6,0.72,0.84,0.96,1.08,1.2))),Inputs!$B$19+((C2700=TRUE)*(F2700-Calc!F23))+(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gt;=100),CHOOSE(ArtifactsInput!$N$42+1,40,48,56,64,72,80),0))))/100)*((1+(((C2690=TRUE)*F2690*IF(AND(Inputs!$B$39&lt;&gt;"pvp",Inputs!$B$44&gt;0),(((R2690-1)*MIN((Skills!T13*(1+Inputs!$B$35/100)),(1/Q2690))+MIN((Skills!T13*(1+Inputs!$B$35/100)),MAX(0,Inputs!$B$44-((R2690-1)*(1/Q2690)))))/Inputs!$B$44),IF(Inputs!$B$39="pvp",MIN((Skills!T13*(1+Inputs!$B$35/100)),15)/15,MIN(1,(Skills!T13*(1+Inputs!$B$35/100))/(1/Q2690)))))+((C2691=TRUE)*F2691*IF(AND(Inputs!$B$39&lt;&gt;"pvp",Inputs!$B$44&gt;0),(((R2691-1)*MIN((Skills!T14*(1+Inputs!$B$35/100)),(1/Q2691))+MIN((Skills!T14*(1+Inputs!$B$35/100)),MAX(0,Inputs!$B$44-((R2691-1)*(1/Q2691)))))/Inputs!$B$44),IF(Inputs!$B$39="pvp",MIN((Skills!T14*(1+Inputs!$B$35/100)),15)/15,MIN(1,(Skills!T14*(1+Inputs!$B$35/100))/(1/Q2691)))))+((C2692=TRUE)*F2692*IF(AND(Inputs!$B$39&lt;&gt;"pvp",Inputs!$B$44&gt;0),(((R2692-1)*MIN((Skills!T15*(1+Inputs!$B$35/100)),(1/Q2692))+MIN((Skills!T15*(1+Inputs!$B$35/100)),MAX(0,Inputs!$B$44-((R2692-1)*(1/Q2692)))))/Inputs!$B$44),IF(Inputs!$B$39="pvp",MIN((Skills!T15*(1+Inputs!$B$35/100)),15)/15,MIN(1,(Skills!T15*(1+Inputs!$B$35/100))/(1/Q2692)))))+((C2693=TRUE)*F2693*IF(AND(Inputs!$B$39&lt;&gt;"pvp",Inputs!$B$44&gt;0),(((R2693-1)*MIN((Skills!T16*(1+Inputs!$B$35/100)),(1/Q2693))+MIN((Skills!T16*(1+Inputs!$B$35/100)),MAX(0,Inputs!$B$44-((R2693-1)*(1/Q2693)))))/Inputs!$B$44),IF(Inputs!$B$39="pvp",MIN((Skills!T16*(1+Inputs!$B$35/100)),15)/15,MIN(1,(Skills!T16*(1+Inputs!$B$35/100))/(1/Q2693)))))+0+(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2682)</f>
        <v/>
      </c>
      <c r="L2682">
        <f>K2682*(MIN(Inputs!$B$23+((C2699=TRUE)*(F2699-Calc!F22)),(Inputs!$B$24+((C2701=TRUE)*(F2701-Calc!F24))+(IF(ArtifactsInput!$M$15,CHOOSE(ArtifactsInput!$N$15+1,25,30,35,40,45,50)/100*(Inputs!$B$12-Inputs!$B$12),0))))/100+(Inputs!$B$24+((C2701=TRUE)*(F2701-Calc!F24))+(IF(ArtifactsInput!$M$15,CHOOSE(ArtifactsInput!$N$15+1,25,30,35,40,45,50)/100*(Inputs!$B$12-Inputs!$B$12),0)))/100)/2</f>
        <v/>
      </c>
      <c r="M2682">
        <f>L2682*(1+(Inputs!$B$11+0+B2711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682">
        <f>L2682*(1-MIN((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2682*(MIN((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82">
        <f>(1-Summary!$B$11)*T2682+Summary!$B$11*V2682</f>
        <v/>
      </c>
      <c r="P2682">
        <f>IF(B2716=0,0,O2682/B2716)</f>
        <v/>
      </c>
      <c r="Q2682">
        <f>IFERROR(1/IF(Inputs!$B$39="pvp",15,MAX(0.1,Skills!D5-IF(TRUE=TRUE,Inputs!$B$33,0))),0)</f>
        <v/>
      </c>
      <c r="R2682">
        <f>IF(AND(Inputs!$B$39&lt;&gt;"pvp",Inputs!$B$44&gt;0),IF(MAX(0,Inputs!$B$44-B2713)&lt;=0,0,(INT(MAX(0,Inputs!$B$44-B2713)/IF(Inputs!$B$39="pvp",15,MAX(0.1,Skills!D5-IF(TRUE=TRUE,Inputs!$B$33,0))))+1)),0)</f>
        <v/>
      </c>
      <c r="S2682">
        <f>IFERROR(O2682/N2682,0)</f>
        <v/>
      </c>
      <c r="T2682">
        <f>IF(C2682,(H2682*N2682*IF(AND(Inputs!$B$39&lt;&gt;"pvp",Inputs!$B$44&gt;0),((Skills!G5*((R2682-1)*IF(Skills!H5&gt;0,INT(Skills!I5/Skills!H5+0.000000001),1)+IF(Skills!H5&gt;0,INT(MIN(Skills!I5,MAX(0,MAX(0,Inputs!$B$44-B2713)-((R2682-1)*IF(Inputs!$B$39="pvp",15,MAX(0.1,Skills!D5-IF(TRUE=TRUE,Inputs!$B$33,0))))))/Skills!H5+0.000000001),1)))/Inputs!$B$44),G2682*Q2682))*IF(Inputs!$B$39="pvp",1,1+(Inputs!$B$21+0+Skills!P5+((C2694=TRUE)*F2694*IF(AND(Inputs!$B$39&lt;&gt;"pvp",Inputs!$B$44&gt;0),(((R2694-1)*MIN((Skills!T17*(1+Inputs!$B$35/100)),(1/Q2694))+MIN((Skills!T17*(1+Inputs!$B$35/100)),MAX(0,Inputs!$B$44-((R2694-1)*(1/Q2694)))))/Inputs!$B$44),IF(Inputs!$B$39="pvp",MIN((Skills!T17*(1+Inputs!$B$35/100)),15)/15,MIN(1,(Skills!T17*(1+Inputs!$B$35/100))/(1/Q2694)))))+((C2682=TRUE)*IF(Inputs!$B$3&gt;=126,10*MIN(1,15*Q2682),0))+((C2691=TRUE)*IF(Inputs!$B$39="pvp",20,(1-Summary!$B$11)*(20)+Summary!$B$11*(0))*IF(AND(Inputs!$B$39&lt;&gt;"pvp",Inputs!$B$44&gt;0),(((R2691-1)*MIN((Skills!T14*(1+Inputs!$B$35/100)),(1/Q2691))+MIN((Skills!T14*(1+Inputs!$B$35/100)),MAX(0,Inputs!$B$44-((R2691-1)*(1/Q2691)))))/Inputs!$B$44),IF(Inputs!$B$39="pvp",MIN((Skills!T14*(1+Inputs!$B$35/100)),15)/15,MIN(1,(Skills!T14*(1+Inputs!$B$35/100))/(1/Q2691)))))+((C2690=TRUE)*IF(Inputs!$B$3&gt;=82,IF(Inputs!$B$39="pvp",20,(1-Summary!$B$11)*(20)+Summary!$B$11*(0)),0)*IF(AND(Inputs!$B$39&lt;&gt;"pvp",Inputs!$B$44&gt;0),(((R2690-1)*MIN((Skills!T13*(1+Inputs!$B$35/100)),(1/Q2690))+MIN((Skills!T13*(1+Inputs!$B$35/100)),MAX(0,Inputs!$B$44-((R2690-1)*(1/Q2690)))))/Inputs!$B$44),IF(Inputs!$B$39="pvp",MIN((Skills!T13*(1+Inputs!$B$35/100)),15)/15,MIN(1,(Skills!T13*(1+Inputs!$B$35/100))/(1/Q2690)))))+(IF(AND(ArtifactsInput!$M$35,Inputs!$B$4&lt;&gt;"Chapter Hunt"),CHOOSE(ArtifactsInput!$N$35+1,15,18,21,24,27,30)*(1-EXP(-(0.2*B2708)*5)),0)+IF(AND(ArtifactsInput!$M$22,Inputs!$B$4&lt;&gt;"Chapter Hunt"),CHOOSE(ArtifactsInput!$N$22+1,10,12,14,16,18,20)*((0*(((0.15*B2708*5))^0/1)+1*(((0.15*B2708*5))^1/1)+2*(((0.15*B2708*5))^2/2)+3*(((0.15*B2708*5))^3/6)+4*(((0.15*B2708*5))^4/24)+5*(((0.15*B2708*5))^5/120))/((((0.15*B2708*5))^0/1)+(((0.15*B2708*5))^1/1)+(((0.15*B2708*5))^2/2)+(((0.15*B2708*5))^3/6)+(((0.15*B2708*5))^4/24)+(((0.15*B2708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2682*(1-MIN(100,(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2682*(MIN(100,(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2682*(1-MIN(100,(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2682*(MIN(100,(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82">
        <f>IF(C2682,(H2682*N2682*IF(AND(Inputs!$B$39&lt;&gt;"pvp",Inputs!$B$44&gt;0),((Skills!G5*((R2682-1)*IF(Skills!H5&gt;0,INT(Skills!I5/Skills!H5+0.000000001),1)+IF(Skills!H5&gt;0,INT(MIN(Skills!I5,MAX(0,MAX(0,Inputs!$B$44-B2713)-((R2682-1)*IF(Inputs!$B$39="pvp",15,MAX(0.1,Skills!D5-IF(TRUE=TRUE,Inputs!$B$33,0))))))/Skills!H5+0.000000001),1)))/Inputs!$B$44),G2682*Q2682))*IF(Inputs!$B$39="pvp",1,(1+(Inputs!$B$22+Skills!Q5+((C2694=TRUE)*F2694*IF(AND(Inputs!$B$39&lt;&gt;"pvp",Inputs!$B$44&gt;0),(((R2694-1)*MIN((Skills!T17*(1+Inputs!$B$35/100)),(1/Q2694))+MIN((Skills!T17*(1+Inputs!$B$35/100)),MAX(0,Inputs!$B$44-((R2694-1)*(1/Q2694)))))/Inputs!$B$44),IF(Inputs!$B$39="pvp",MIN((Skills!T17*(1+Inputs!$B$35/100)),15)/15,MIN(1,(Skills!T17*(1+Inputs!$B$35/100))/(1/Q2694)))))+((C2682=TRUE)*IF(Inputs!$B$3&gt;=126,10*MIN(1,15*Q2682),0))+((C2691=TRUE)*IF(Inputs!$B$39="pvp",20,(1-Summary!$B$11)*(20)+Summary!$B$11*(0))*IF(AND(Inputs!$B$39&lt;&gt;"pvp",Inputs!$B$44&gt;0),(((R2691-1)*MIN((Skills!T14*(1+Inputs!$B$35/100)),(1/Q2691))+MIN((Skills!T14*(1+Inputs!$B$35/100)),MAX(0,Inputs!$B$44-((R2691-1)*(1/Q2691)))))/Inputs!$B$44),IF(Inputs!$B$39="pvp",MIN((Skills!T14*(1+Inputs!$B$35/100)),15)/15,MIN(1,(Skills!T14*(1+Inputs!$B$35/100))/(1/Q2691)))))+((C2690=TRUE)*IF(Inputs!$B$3&gt;=82,IF(Inputs!$B$39="pvp",20,(1-Summary!$B$11)*(20)+Summary!$B$11*(0)),0)*IF(AND(Inputs!$B$39&lt;&gt;"pvp",Inputs!$B$44&gt;0),(((R2690-1)*MIN((Skills!T13*(1+Inputs!$B$35/100)),(1/Q2690))+MIN((Skills!T13*(1+Inputs!$B$35/100)),MAX(0,Inputs!$B$44-((R2690-1)*(1/Q2690)))))/Inputs!$B$44),IF(Inputs!$B$39="pvp",MIN((Skills!T13*(1+Inputs!$B$35/100)),15)/15,MIN(1,(Skills!T13*(1+Inputs!$B$35/100))/(1/Q2690)))))+(IF(AND(ArtifactsInput!$M$35,Inputs!$B$4&lt;&gt;"Chapter Hunt"),CHOOSE(ArtifactsInput!$N$35+1,15,18,21,24,27,30)*(1-EXP(-(0.2*B2708)*5)),0)+IF(AND(ArtifactsInput!$M$22,Inputs!$B$4&lt;&gt;"Chapter Hunt"),CHOOSE(ArtifactsInput!$N$22+1,10,12,14,16,18,20)*((0*(((0.15*B2708*5))^0/1)+1*(((0.15*B2708*5))^1/1)+2*(((0.15*B2708*5))^2/2)+3*(((0.15*B2708*5))^3/6)+4*(((0.15*B2708*5))^4/24)+5*(((0.15*B2708*5))^5/120))/((((0.15*B2708*5))^0/1)+(((0.15*B2708*5))^1/1)+(((0.15*B2708*5))^2/2)+(((0.15*B2708*5))^3/6)+(((0.15*B2708*5))^4/24)+(((0.15*B2708*5))^5/120))),0))+(IF(ArtifactsInput!$M$33,CHOOSE(ArtifactsInput!$N$33+1,30,36,42,48,54,60),0)))/100)*(MIN(Skills!R5,Inputs!$B$38)))*((1+(IF(AND(IF(ArtifactsInput!$M$41,FALSE,TRUE),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83">
      <c r="A2683">
        <f>Skills!A6</f>
        <v/>
      </c>
      <c r="B2683">
        <f>Skills!B6</f>
        <v/>
      </c>
      <c r="C2683">
        <f>Inputs!$B$3&gt;=103</f>
        <v/>
      </c>
      <c r="D2683">
        <f>IF(Skills!C6=1,60+Inputs!$B$26+Inputs!$B$30,IF(Skills!C6=2,90+Inputs!$B$27+Inputs!$B$30,IF(Skills!C6=3,120+Inputs!$B$28+Inputs!$B$30,MAX(0,(Inputs!$B$3-100)*3)+Inputs!$B$29+Inputs!$B$30)))</f>
        <v/>
      </c>
      <c r="E2683">
        <f>INDEX(FactorTable!$B$2:$Y$301, MATCH(ROUND(MIN(300,MAX(1,D2683)),0), FactorTable!$A$2:$A$301,0), Skills!M6+1)</f>
        <v/>
      </c>
      <c r="F2683">
        <f>IF(Skills!N6=TRUE,(Skills!L6/10)*(E2683/1000),Skills!L6/10)+Skills!O6</f>
        <v/>
      </c>
      <c r="G2683">
        <f>Skills!G6*IF(Skills!H6&gt;0,INT(IF(Inputs!$B$39="pvp",MIN(Skills!I6,15),Skills!I6)/Skills!H6+0.000000001),1)</f>
        <v/>
      </c>
      <c r="H2683">
        <f>1-(1-Skills!J6/100)^Skills!K6</f>
        <v/>
      </c>
      <c r="I2683" t="inlineStr">
        <is>
          <t>1</t>
        </is>
      </c>
      <c r="J2683">
        <f>((Inputs!$B$6*(1+Inputs!$B$7/100))+(((Inputs!$B$13*(1+Inputs!$B$14/100))-(Inputs!$B$13*(1+Inputs!$B$14/100)))+0.25*(Inputs!$B$15-Inputs!$B$15))*(1+Inputs!$B$7/100))*(F2683/100)</f>
        <v/>
      </c>
      <c r="K2683">
        <f>J2683*(1+(((Inputs!$B$13+IF(Inputs!$B$3&gt;=38,(10*INDEX(FactorTable!$B$2:$Y$301, MATCH(ROUND(MIN(300,MAX(1,Inputs!$B$3)),0), FactorTable!$A$2:$A$301,0), 23)/1000)/100*(Inputs!$B$8*(1+Inputs!$B$9/100)),0))*(1+Inputs!$B$14/100))*0.01+Inputs!$B$15*0.0025)/100)*(1+Inputs!$B$16/100)*(1+Inputs!$B$17/100)*(5000/(6000+Inputs!$B$43*(1-(Inputs!$B$20+0)/100)))*(1+(Inputs!$B$25+((C2702=TRUE)*(F2702-Calc!F25))+((C2703=TRUE)*(F2703-Calc!F26))+B2712)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gt;=100),MIN(100,((Inputs!$B$10+0+B2706+(ArtifactsInput!$M$24-ArtifactsInput!$M$24)*CHOOSE(ArtifactsInput!$N$24+1,10,12,14,16,18,20)+IF(ArtifactsInput!$M$10,CHOOSE(ArtifactsInput!$N$10+1,15,18,21,24,27,30)*(IF(Inputs!$B$39="pvp",MIN(15,15)/15,IF(AND(Inputs!$B$39&lt;&gt;"pvp",Inputs!$B$44&gt;0),MIN(15,Inputs!$B$44)/(Inputs!$B$44),0))),0)))-100),0))*CHOOSE(ArtifactsInput!$N$42+1,0.6,0.72,0.84,0.96,1.08,1.2))),Inputs!$B$19+((C2700=TRUE)*(F2700-Calc!F23))+(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gt;=100),CHOOSE(ArtifactsInput!$N$42+1,40,48,56,64,72,80),0))))/100)*((1+(((C2690=TRUE)*F2690*IF(AND(Inputs!$B$39&lt;&gt;"pvp",Inputs!$B$44&gt;0),(((R2690-1)*MIN((Skills!T13*(1+Inputs!$B$35/100)),(1/Q2690))+MIN((Skills!T13*(1+Inputs!$B$35/100)),MAX(0,Inputs!$B$44-((R2690-1)*(1/Q2690)))))/Inputs!$B$44),IF(Inputs!$B$39="pvp",MIN((Skills!T13*(1+Inputs!$B$35/100)),15)/15,MIN(1,(Skills!T13*(1+Inputs!$B$35/100))/(1/Q2690)))))+((C2691=TRUE)*F2691*IF(AND(Inputs!$B$39&lt;&gt;"pvp",Inputs!$B$44&gt;0),(((R2691-1)*MIN((Skills!T14*(1+Inputs!$B$35/100)),(1/Q2691))+MIN((Skills!T14*(1+Inputs!$B$35/100)),MAX(0,Inputs!$B$44-((R2691-1)*(1/Q2691)))))/Inputs!$B$44),IF(Inputs!$B$39="pvp",MIN((Skills!T14*(1+Inputs!$B$35/100)),15)/15,MIN(1,(Skills!T14*(1+Inputs!$B$35/100))/(1/Q2691)))))+((C2692=TRUE)*F2692*IF(AND(Inputs!$B$39&lt;&gt;"pvp",Inputs!$B$44&gt;0),(((R2692-1)*MIN((Skills!T15*(1+Inputs!$B$35/100)),(1/Q2692))+MIN((Skills!T15*(1+Inputs!$B$35/100)),MAX(0,Inputs!$B$44-((R2692-1)*(1/Q2692)))))/Inputs!$B$44),IF(Inputs!$B$39="pvp",MIN((Skills!T15*(1+Inputs!$B$35/100)),15)/15,MIN(1,(Skills!T15*(1+Inputs!$B$35/100))/(1/Q2692)))))+((C2693=TRUE)*F2693*IF(AND(Inputs!$B$39&lt;&gt;"pvp",Inputs!$B$44&gt;0),(((R2693-1)*MIN((Skills!T16*(1+Inputs!$B$35/100)),(1/Q2693))+MIN((Skills!T16*(1+Inputs!$B$35/100)),MAX(0,Inputs!$B$44-((R2693-1)*(1/Q2693)))))/Inputs!$B$44),IF(Inputs!$B$39="pvp",MIN((Skills!T16*(1+Inputs!$B$35/100)),15)/15,MIN(1,(Skills!T16*(1+Inputs!$B$35/100))/(1/Q2693)))))+0+(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2683)</f>
        <v/>
      </c>
      <c r="L2683">
        <f>K2683*(MIN(Inputs!$B$23+((C2699=TRUE)*(F2699-Calc!F22)),(Inputs!$B$24+((C2701=TRUE)*(F2701-Calc!F24))+(IF(ArtifactsInput!$M$15,CHOOSE(ArtifactsInput!$N$15+1,25,30,35,40,45,50)/100*(Inputs!$B$12-Inputs!$B$12),0))))/100+(Inputs!$B$24+((C2701=TRUE)*(F2701-Calc!F24))+(IF(ArtifactsInput!$M$15,CHOOSE(ArtifactsInput!$N$15+1,25,30,35,40,45,50)/100*(Inputs!$B$12-Inputs!$B$12),0)))/100)/2</f>
        <v/>
      </c>
      <c r="M2683">
        <f>L2683*(1+(Inputs!$B$11+0+B2711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683">
        <f>L2683*(1-MIN((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2683*(MIN((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83">
        <f>(1-Summary!$B$11)*T2683+Summary!$B$11*V2683</f>
        <v/>
      </c>
      <c r="P2683">
        <f>IF(B2716=0,0,O2683/B2716)</f>
        <v/>
      </c>
      <c r="Q2683">
        <f>IFERROR(1/IF(Inputs!$B$39="pvp",15,MAX(0.1,Skills!D6-IF(TRUE=TRUE,Inputs!$B$33,0))),0)</f>
        <v/>
      </c>
      <c r="R2683">
        <f>IF(AND(Inputs!$B$39&lt;&gt;"pvp",Inputs!$B$44&gt;0),IF(MAX(0,Inputs!$B$44-B2713)&lt;=0,0,(INT(MAX(0,Inputs!$B$44-B2713)/IF(Inputs!$B$39="pvp",15,MAX(0.1,Skills!D6-IF(TRUE=TRUE,Inputs!$B$33,0))))+1)),0)</f>
        <v/>
      </c>
      <c r="S2683">
        <f>IFERROR(O2683/N2683,0)</f>
        <v/>
      </c>
      <c r="T2683">
        <f>IF(C2683,(H2683*N2683*IF(AND(Inputs!$B$39&lt;&gt;"pvp",Inputs!$B$44&gt;0),((Skills!G6*((R2683-1)*IF(Skills!H6&gt;0,INT(Skills!I6/Skills!H6+0.000000001),1)+IF(Skills!H6&gt;0,INT(MIN(Skills!I6,MAX(0,MAX(0,Inputs!$B$44-B2713)-((R2683-1)*IF(Inputs!$B$39="pvp",15,MAX(0.1,Skills!D6-IF(TRUE=TRUE,Inputs!$B$33,0))))))/Skills!H6+0.000000001),1)))/Inputs!$B$44),G2683*Q2683))*IF(Inputs!$B$39="pvp",1,1+(Inputs!$B$21+0+Skills!P6+((C2694=TRUE)*F2694*IF(AND(Inputs!$B$39&lt;&gt;"pvp",Inputs!$B$44&gt;0),(((R2694-1)*MIN((Skills!T17*(1+Inputs!$B$35/100)),(1/Q2694))+MIN((Skills!T17*(1+Inputs!$B$35/100)),MAX(0,Inputs!$B$44-((R2694-1)*(1/Q2694)))))/Inputs!$B$44),IF(Inputs!$B$39="pvp",MIN((Skills!T17*(1+Inputs!$B$35/100)),15)/15,MIN(1,(Skills!T17*(1+Inputs!$B$35/100))/(1/Q2694)))))+((C2682=TRUE)*IF(Inputs!$B$3&gt;=126,10*MIN(1,15*Q2682),0))+((C2691=TRUE)*IF(Inputs!$B$39="pvp",20,(1-Summary!$B$11)*(20)+Summary!$B$11*(0))*IF(AND(Inputs!$B$39&lt;&gt;"pvp",Inputs!$B$44&gt;0),(((R2691-1)*MIN((Skills!T14*(1+Inputs!$B$35/100)),(1/Q2691))+MIN((Skills!T14*(1+Inputs!$B$35/100)),MAX(0,Inputs!$B$44-((R2691-1)*(1/Q2691)))))/Inputs!$B$44),IF(Inputs!$B$39="pvp",MIN((Skills!T14*(1+Inputs!$B$35/100)),15)/15,MIN(1,(Skills!T14*(1+Inputs!$B$35/100))/(1/Q2691)))))+((C2690=TRUE)*IF(Inputs!$B$3&gt;=82,IF(Inputs!$B$39="pvp",20,(1-Summary!$B$11)*(20)+Summary!$B$11*(0)),0)*IF(AND(Inputs!$B$39&lt;&gt;"pvp",Inputs!$B$44&gt;0),(((R2690-1)*MIN((Skills!T13*(1+Inputs!$B$35/100)),(1/Q2690))+MIN((Skills!T13*(1+Inputs!$B$35/100)),MAX(0,Inputs!$B$44-((R2690-1)*(1/Q2690)))))/Inputs!$B$44),IF(Inputs!$B$39="pvp",MIN((Skills!T13*(1+Inputs!$B$35/100)),15)/15,MIN(1,(Skills!T13*(1+Inputs!$B$35/100))/(1/Q2690)))))+(IF(AND(ArtifactsInput!$M$35,Inputs!$B$4&lt;&gt;"Chapter Hunt"),CHOOSE(ArtifactsInput!$N$35+1,15,18,21,24,27,30)*(1-EXP(-(0.2*B2708)*5)),0)+IF(AND(ArtifactsInput!$M$22,Inputs!$B$4&lt;&gt;"Chapter Hunt"),CHOOSE(ArtifactsInput!$N$22+1,10,12,14,16,18,20)*((0*(((0.15*B2708*5))^0/1)+1*(((0.15*B2708*5))^1/1)+2*(((0.15*B2708*5))^2/2)+3*(((0.15*B2708*5))^3/6)+4*(((0.15*B2708*5))^4/24)+5*(((0.15*B2708*5))^5/120))/((((0.15*B2708*5))^0/1)+(((0.15*B2708*5))^1/1)+(((0.15*B2708*5))^2/2)+(((0.15*B2708*5))^3/6)+(((0.15*B2708*5))^4/24)+(((0.15*B2708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2683*(1-MIN(100,(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2683*(MIN(100,(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2683*(1-MIN(100,(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2683*(MIN(100,(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83">
        <f>IF(C2683,(H2683*N2683*IF(AND(Inputs!$B$39&lt;&gt;"pvp",Inputs!$B$44&gt;0),((Skills!G6*((R2683-1)*IF(Skills!H6&gt;0,INT(Skills!I6/Skills!H6+0.000000001),1)+IF(Skills!H6&gt;0,INT(MIN(Skills!I6,MAX(0,MAX(0,Inputs!$B$44-B2713)-((R2683-1)*IF(Inputs!$B$39="pvp",15,MAX(0.1,Skills!D6-IF(TRUE=TRUE,Inputs!$B$33,0))))))/Skills!H6+0.000000001),1)))/Inputs!$B$44),G2683*Q2683))*IF(Inputs!$B$39="pvp",1,(1+(Inputs!$B$22+Skills!Q6+((C2694=TRUE)*F2694*IF(AND(Inputs!$B$39&lt;&gt;"pvp",Inputs!$B$44&gt;0),(((R2694-1)*MIN((Skills!T17*(1+Inputs!$B$35/100)),(1/Q2694))+MIN((Skills!T17*(1+Inputs!$B$35/100)),MAX(0,Inputs!$B$44-((R2694-1)*(1/Q2694)))))/Inputs!$B$44),IF(Inputs!$B$39="pvp",MIN((Skills!T17*(1+Inputs!$B$35/100)),15)/15,MIN(1,(Skills!T17*(1+Inputs!$B$35/100))/(1/Q2694)))))+((C2682=TRUE)*IF(Inputs!$B$3&gt;=126,10*MIN(1,15*Q2682),0))+((C2691=TRUE)*IF(Inputs!$B$39="pvp",20,(1-Summary!$B$11)*(20)+Summary!$B$11*(0))*IF(AND(Inputs!$B$39&lt;&gt;"pvp",Inputs!$B$44&gt;0),(((R2691-1)*MIN((Skills!T14*(1+Inputs!$B$35/100)),(1/Q2691))+MIN((Skills!T14*(1+Inputs!$B$35/100)),MAX(0,Inputs!$B$44-((R2691-1)*(1/Q2691)))))/Inputs!$B$44),IF(Inputs!$B$39="pvp",MIN((Skills!T14*(1+Inputs!$B$35/100)),15)/15,MIN(1,(Skills!T14*(1+Inputs!$B$35/100))/(1/Q2691)))))+((C2690=TRUE)*IF(Inputs!$B$3&gt;=82,IF(Inputs!$B$39="pvp",20,(1-Summary!$B$11)*(20)+Summary!$B$11*(0)),0)*IF(AND(Inputs!$B$39&lt;&gt;"pvp",Inputs!$B$44&gt;0),(((R2690-1)*MIN((Skills!T13*(1+Inputs!$B$35/100)),(1/Q2690))+MIN((Skills!T13*(1+Inputs!$B$35/100)),MAX(0,Inputs!$B$44-((R2690-1)*(1/Q2690)))))/Inputs!$B$44),IF(Inputs!$B$39="pvp",MIN((Skills!T13*(1+Inputs!$B$35/100)),15)/15,MIN(1,(Skills!T13*(1+Inputs!$B$35/100))/(1/Q2690)))))+(IF(AND(ArtifactsInput!$M$35,Inputs!$B$4&lt;&gt;"Chapter Hunt"),CHOOSE(ArtifactsInput!$N$35+1,15,18,21,24,27,30)*(1-EXP(-(0.2*B2708)*5)),0)+IF(AND(ArtifactsInput!$M$22,Inputs!$B$4&lt;&gt;"Chapter Hunt"),CHOOSE(ArtifactsInput!$N$22+1,10,12,14,16,18,20)*((0*(((0.15*B2708*5))^0/1)+1*(((0.15*B2708*5))^1/1)+2*(((0.15*B2708*5))^2/2)+3*(((0.15*B2708*5))^3/6)+4*(((0.15*B2708*5))^4/24)+5*(((0.15*B2708*5))^5/120))/((((0.15*B2708*5))^0/1)+(((0.15*B2708*5))^1/1)+(((0.15*B2708*5))^2/2)+(((0.15*B2708*5))^3/6)+(((0.15*B2708*5))^4/24)+(((0.15*B2708*5))^5/120))),0))+(IF(ArtifactsInput!$M$33,CHOOSE(ArtifactsInput!$N$33+1,30,36,42,48,54,60),0)))/100)*(MIN(Skills!R6,Inputs!$B$38)))*((1+(IF(AND(IF(ArtifactsInput!$M$41,FALSE,TRUE),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84">
      <c r="A2684">
        <f>Skills!A7</f>
        <v/>
      </c>
      <c r="B2684">
        <f>Skills!B7</f>
        <v/>
      </c>
      <c r="C2684">
        <f>Inputs!$B$3&gt;=40</f>
        <v/>
      </c>
      <c r="D2684">
        <f>IF(Skills!C7=1,60+Inputs!$B$26+Inputs!$B$30,IF(Skills!C7=2,90+Inputs!$B$27+Inputs!$B$30,IF(Skills!C7=3,120+Inputs!$B$28+Inputs!$B$30,MAX(0,(Inputs!$B$3-100)*3)+Inputs!$B$29+Inputs!$B$30)))</f>
        <v/>
      </c>
      <c r="E2684">
        <f>INDEX(FactorTable!$B$2:$Y$301, MATCH(ROUND(MIN(300,MAX(1,D2684)),0), FactorTable!$A$2:$A$301,0), Skills!M7+1)</f>
        <v/>
      </c>
      <c r="F2684">
        <f>IF(Skills!N7=TRUE,(Skills!L7/10)*(E2684/1000),Skills!L7/10)+Skills!O7</f>
        <v/>
      </c>
      <c r="G2684">
        <f>Skills!G7*IF(Skills!H7&gt;0,INT(IF(Inputs!$B$39="pvp",MIN(Skills!I7,15),Skills!I7)/Skills!H7+0.000000001),1)</f>
        <v/>
      </c>
      <c r="H2684">
        <f>1-(1-Skills!J7/100)^Skills!K7</f>
        <v/>
      </c>
      <c r="I2684" t="inlineStr">
        <is>
          <t>1</t>
        </is>
      </c>
      <c r="J2684">
        <f>((Inputs!$B$6*(1+Inputs!$B$7/100))+(((Inputs!$B$13*(1+Inputs!$B$14/100))-(Inputs!$B$13*(1+Inputs!$B$14/100)))+0.25*(Inputs!$B$15-Inputs!$B$15))*(1+Inputs!$B$7/100))*(F2684/100)</f>
        <v/>
      </c>
      <c r="K2684">
        <f>J2684*(1+(((Inputs!$B$13+IF(Inputs!$B$3&gt;=38,(10*INDEX(FactorTable!$B$2:$Y$301, MATCH(ROUND(MIN(300,MAX(1,Inputs!$B$3)),0), FactorTable!$A$2:$A$301,0), 23)/1000)/100*(Inputs!$B$8*(1+Inputs!$B$9/100)),0))*(1+Inputs!$B$14/100))*0.01+Inputs!$B$15*0.0025)/100)*(1+Inputs!$B$16/100)*(1+Inputs!$B$17/100)*(5000/(6000+Inputs!$B$43*(1-(Inputs!$B$20+0)/100)))*(1+(Inputs!$B$25+((C2702=TRUE)*(F2702-Calc!F25))+((C2703=TRUE)*(F2703-Calc!F26))+B2712)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2688=TRUE,F2688,0)/100)*(1+(IF(Skills!A7="DARK_IMPALE",Inputs!$B$18+0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gt;=100),MIN(100,((Inputs!$B$10+0+B2706+(ArtifactsInput!$M$24-ArtifactsInput!$M$24)*CHOOSE(ArtifactsInput!$N$24+1,10,12,14,16,18,20)+IF(ArtifactsInput!$M$10,CHOOSE(ArtifactsInput!$N$10+1,15,18,21,24,27,30)*(IF(Inputs!$B$39="pvp",MIN(15,15)/15,IF(AND(Inputs!$B$39&lt;&gt;"pvp",Inputs!$B$44&gt;0),MIN(15,Inputs!$B$44)/(Inputs!$B$44),0))),0)))-100),0))*CHOOSE(ArtifactsInput!$N$42+1,0.6,0.72,0.84,0.96,1.08,1.2))),Inputs!$B$19+((C2700=TRUE)*(F2700-Calc!F23))+(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gt;=100),CHOOSE(ArtifactsInput!$N$42+1,40,48,56,64,72,80),0))))/100)*((1+(((C2690=TRUE)*F2690*IF(AND(Inputs!$B$39&lt;&gt;"pvp",Inputs!$B$44&gt;0),(((R2690-1)*MIN((Skills!T13*(1+Inputs!$B$35/100)),(1/Q2690))+MIN((Skills!T13*(1+Inputs!$B$35/100)),MAX(0,Inputs!$B$44-((R2690-1)*(1/Q2690)))))/Inputs!$B$44),IF(Inputs!$B$39="pvp",MIN((Skills!T13*(1+Inputs!$B$35/100)),15)/15,MIN(1,(Skills!T13*(1+Inputs!$B$35/100))/(1/Q2690)))))+((C2691=TRUE)*F2691*IF(AND(Inputs!$B$39&lt;&gt;"pvp",Inputs!$B$44&gt;0),(((R2691-1)*MIN((Skills!T14*(1+Inputs!$B$35/100)),(1/Q2691))+MIN((Skills!T14*(1+Inputs!$B$35/100)),MAX(0,Inputs!$B$44-((R2691-1)*(1/Q2691)))))/Inputs!$B$44),IF(Inputs!$B$39="pvp",MIN((Skills!T14*(1+Inputs!$B$35/100)),15)/15,MIN(1,(Skills!T14*(1+Inputs!$B$35/100))/(1/Q2691)))))+((C2692=TRUE)*F2692*IF(AND(Inputs!$B$39&lt;&gt;"pvp",Inputs!$B$44&gt;0),(((R2692-1)*MIN((Skills!T15*(1+Inputs!$B$35/100)),(1/Q2692))+MIN((Skills!T15*(1+Inputs!$B$35/100)),MAX(0,Inputs!$B$44-((R2692-1)*(1/Q2692)))))/Inputs!$B$44),IF(Inputs!$B$39="pvp",MIN((Skills!T15*(1+Inputs!$B$35/100)),15)/15,MIN(1,(Skills!T15*(1+Inputs!$B$35/100))/(1/Q2692)))))+((C2693=TRUE)*F2693*IF(AND(Inputs!$B$39&lt;&gt;"pvp",Inputs!$B$44&gt;0),(((R2693-1)*MIN((Skills!T16*(1+Inputs!$B$35/100)),(1/Q2693))+MIN((Skills!T16*(1+Inputs!$B$35/100)),MAX(0,Inputs!$B$44-((R2693-1)*(1/Q2693)))))/Inputs!$B$44),IF(Inputs!$B$39="pvp",MIN((Skills!T16*(1+Inputs!$B$35/100)),15)/15,MIN(1,(Skills!T16*(1+Inputs!$B$35/100))/(1/Q2693)))))+0+(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2684)</f>
        <v/>
      </c>
      <c r="L2684">
        <f>K2684*(MIN(Inputs!$B$23+((C2699=TRUE)*(F2699-Calc!F22)),(Inputs!$B$24+((C2701=TRUE)*(F2701-Calc!F24))+(IF(ArtifactsInput!$M$15,CHOOSE(ArtifactsInput!$N$15+1,25,30,35,40,45,50)/100*(Inputs!$B$12-Inputs!$B$12),0))))/100+(Inputs!$B$24+((C2701=TRUE)*(F2701-Calc!F24))+(IF(ArtifactsInput!$M$15,CHOOSE(ArtifactsInput!$N$15+1,25,30,35,40,45,50)/100*(Inputs!$B$12-Inputs!$B$12),0)))/100)/2</f>
        <v/>
      </c>
      <c r="M2684">
        <f>L2684*(1+(Inputs!$B$11+0+B2711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684">
        <f>L2684*(1-MIN((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2684*(MIN((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84">
        <f>(1-Summary!$B$11)*T2684+Summary!$B$11*V2684</f>
        <v/>
      </c>
      <c r="P2684">
        <f>IF(B2716=0,0,O2684/B2716)</f>
        <v/>
      </c>
      <c r="Q2684">
        <f>IFERROR(1/IF(Inputs!$B$39="pvp",15,MAX(0.1,Skills!D7-IF(TRUE=TRUE,Inputs!$B$33,0))),0)</f>
        <v/>
      </c>
      <c r="R2684">
        <f>IF(AND(Inputs!$B$39&lt;&gt;"pvp",Inputs!$B$44&gt;0),IF(MAX(0,Inputs!$B$44-B2713)&lt;=0,0,(INT(MAX(0,Inputs!$B$44-B2713)/IF(Inputs!$B$39="pvp",15,MAX(0.1,Skills!D7-IF(TRUE=TRUE,Inputs!$B$33,0))))+1)),0)</f>
        <v/>
      </c>
      <c r="S2684">
        <f>IFERROR(O2684/N2684,0)</f>
        <v/>
      </c>
      <c r="T2684">
        <f>IF(C2684,(H2684*N2684*IF(AND(Inputs!$B$39&lt;&gt;"pvp",Inputs!$B$44&gt;0),((Skills!G7*((R2684-1)*IF(Skills!H7&gt;0,INT(Skills!I7/Skills!H7+0.000000001),1)+IF(Skills!H7&gt;0,INT(MIN(Skills!I7,MAX(0,MAX(0,Inputs!$B$44-B2713)-((R2684-1)*IF(Inputs!$B$39="pvp",15,MAX(0.1,Skills!D7-IF(TRUE=TRUE,Inputs!$B$33,0))))))/Skills!H7+0.000000001),1)))/Inputs!$B$44),G2684*Q2684))*IF(Inputs!$B$39="pvp",1,1+(Inputs!$B$21+0+Skills!P7+((C2694=TRUE)*F2694*IF(AND(Inputs!$B$39&lt;&gt;"pvp",Inputs!$B$44&gt;0),(((R2694-1)*MIN((Skills!T17*(1+Inputs!$B$35/100)),(1/Q2694))+MIN((Skills!T17*(1+Inputs!$B$35/100)),MAX(0,Inputs!$B$44-((R2694-1)*(1/Q2694)))))/Inputs!$B$44),IF(Inputs!$B$39="pvp",MIN((Skills!T17*(1+Inputs!$B$35/100)),15)/15,MIN(1,(Skills!T17*(1+Inputs!$B$35/100))/(1/Q2694)))))+((C2682=TRUE)*IF(Inputs!$B$3&gt;=126,10*MIN(1,15*Q2682),0))+((C2691=TRUE)*IF(Inputs!$B$39="pvp",20,(1-Summary!$B$11)*(20)+Summary!$B$11*(0))*IF(AND(Inputs!$B$39&lt;&gt;"pvp",Inputs!$B$44&gt;0),(((R2691-1)*MIN((Skills!T14*(1+Inputs!$B$35/100)),(1/Q2691))+MIN((Skills!T14*(1+Inputs!$B$35/100)),MAX(0,Inputs!$B$44-((R2691-1)*(1/Q2691)))))/Inputs!$B$44),IF(Inputs!$B$39="pvp",MIN((Skills!T14*(1+Inputs!$B$35/100)),15)/15,MIN(1,(Skills!T14*(1+Inputs!$B$35/100))/(1/Q2691)))))+((C2690=TRUE)*IF(Inputs!$B$3&gt;=82,IF(Inputs!$B$39="pvp",20,(1-Summary!$B$11)*(20)+Summary!$B$11*(0)),0)*IF(AND(Inputs!$B$39&lt;&gt;"pvp",Inputs!$B$44&gt;0),(((R2690-1)*MIN((Skills!T13*(1+Inputs!$B$35/100)),(1/Q2690))+MIN((Skills!T13*(1+Inputs!$B$35/100)),MAX(0,Inputs!$B$44-((R2690-1)*(1/Q2690)))))/Inputs!$B$44),IF(Inputs!$B$39="pvp",MIN((Skills!T13*(1+Inputs!$B$35/100)),15)/15,MIN(1,(Skills!T13*(1+Inputs!$B$35/100))/(1/Q2690)))))+(IF(AND(ArtifactsInput!$M$35,Inputs!$B$4&lt;&gt;"Chapter Hunt"),CHOOSE(ArtifactsInput!$N$35+1,15,18,21,24,27,30)*(1-EXP(-(0.2*B2708)*5)),0)+IF(AND(ArtifactsInput!$M$22,Inputs!$B$4&lt;&gt;"Chapter Hunt"),CHOOSE(ArtifactsInput!$N$22+1,10,12,14,16,18,20)*((0*(((0.15*B2708*5))^0/1)+1*(((0.15*B2708*5))^1/1)+2*(((0.15*B2708*5))^2/2)+3*(((0.15*B2708*5))^3/6)+4*(((0.15*B2708*5))^4/24)+5*(((0.15*B2708*5))^5/120))/((((0.15*B2708*5))^0/1)+(((0.15*B2708*5))^1/1)+(((0.15*B2708*5))^2/2)+(((0.15*B2708*5))^3/6)+(((0.15*B2708*5))^4/24)+(((0.15*B2708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2684*(1-MIN(100,(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2684*(MIN(100,(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2684*(1-MIN(100,(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2684*(MIN(100,(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84">
        <f>IF(C2684,(H2684*N2684*IF(AND(Inputs!$B$39&lt;&gt;"pvp",Inputs!$B$44&gt;0),((Skills!G7*((R2684-1)*IF(Skills!H7&gt;0,INT(Skills!I7/Skills!H7+0.000000001),1)+IF(Skills!H7&gt;0,INT(MIN(Skills!I7,MAX(0,MAX(0,Inputs!$B$44-B2713)-((R2684-1)*IF(Inputs!$B$39="pvp",15,MAX(0.1,Skills!D7-IF(TRUE=TRUE,Inputs!$B$33,0))))))/Skills!H7+0.000000001),1)))/Inputs!$B$44),G2684*Q2684))*IF(Inputs!$B$39="pvp",1,(1+(Inputs!$B$22+Skills!Q7+((C2694=TRUE)*F2694*IF(AND(Inputs!$B$39&lt;&gt;"pvp",Inputs!$B$44&gt;0),(((R2694-1)*MIN((Skills!T17*(1+Inputs!$B$35/100)),(1/Q2694))+MIN((Skills!T17*(1+Inputs!$B$35/100)),MAX(0,Inputs!$B$44-((R2694-1)*(1/Q2694)))))/Inputs!$B$44),IF(Inputs!$B$39="pvp",MIN((Skills!T17*(1+Inputs!$B$35/100)),15)/15,MIN(1,(Skills!T17*(1+Inputs!$B$35/100))/(1/Q2694)))))+((C2682=TRUE)*IF(Inputs!$B$3&gt;=126,10*MIN(1,15*Q2682),0))+((C2691=TRUE)*IF(Inputs!$B$39="pvp",20,(1-Summary!$B$11)*(20)+Summary!$B$11*(0))*IF(AND(Inputs!$B$39&lt;&gt;"pvp",Inputs!$B$44&gt;0),(((R2691-1)*MIN((Skills!T14*(1+Inputs!$B$35/100)),(1/Q2691))+MIN((Skills!T14*(1+Inputs!$B$35/100)),MAX(0,Inputs!$B$44-((R2691-1)*(1/Q2691)))))/Inputs!$B$44),IF(Inputs!$B$39="pvp",MIN((Skills!T14*(1+Inputs!$B$35/100)),15)/15,MIN(1,(Skills!T14*(1+Inputs!$B$35/100))/(1/Q2691)))))+((C2690=TRUE)*IF(Inputs!$B$3&gt;=82,IF(Inputs!$B$39="pvp",20,(1-Summary!$B$11)*(20)+Summary!$B$11*(0)),0)*IF(AND(Inputs!$B$39&lt;&gt;"pvp",Inputs!$B$44&gt;0),(((R2690-1)*MIN((Skills!T13*(1+Inputs!$B$35/100)),(1/Q2690))+MIN((Skills!T13*(1+Inputs!$B$35/100)),MAX(0,Inputs!$B$44-((R2690-1)*(1/Q2690)))))/Inputs!$B$44),IF(Inputs!$B$39="pvp",MIN((Skills!T13*(1+Inputs!$B$35/100)),15)/15,MIN(1,(Skills!T13*(1+Inputs!$B$35/100))/(1/Q2690)))))+(IF(AND(ArtifactsInput!$M$35,Inputs!$B$4&lt;&gt;"Chapter Hunt"),CHOOSE(ArtifactsInput!$N$35+1,15,18,21,24,27,30)*(1-EXP(-(0.2*B2708)*5)),0)+IF(AND(ArtifactsInput!$M$22,Inputs!$B$4&lt;&gt;"Chapter Hunt"),CHOOSE(ArtifactsInput!$N$22+1,10,12,14,16,18,20)*((0*(((0.15*B2708*5))^0/1)+1*(((0.15*B2708*5))^1/1)+2*(((0.15*B2708*5))^2/2)+3*(((0.15*B2708*5))^3/6)+4*(((0.15*B2708*5))^4/24)+5*(((0.15*B2708*5))^5/120))/((((0.15*B2708*5))^0/1)+(((0.15*B2708*5))^1/1)+(((0.15*B2708*5))^2/2)+(((0.15*B2708*5))^3/6)+(((0.15*B2708*5))^4/24)+(((0.15*B2708*5))^5/120))),0))+(IF(ArtifactsInput!$M$33,CHOOSE(ArtifactsInput!$N$33+1,30,36,42,48,54,60),0)))/100)*(MIN(Skills!R7,Inputs!$B$38)))*((1+(IF(AND(IF(ArtifactsInput!$M$41,FALSE,TRUE),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85">
      <c r="A2685">
        <f>Skills!A8</f>
        <v/>
      </c>
      <c r="B2685">
        <f>Skills!B8</f>
        <v/>
      </c>
      <c r="C2685">
        <f>Inputs!$B$3&gt;=75</f>
        <v/>
      </c>
      <c r="D2685">
        <f>IF(Skills!C8=1,60+Inputs!$B$26+Inputs!$B$30,IF(Skills!C8=2,90+Inputs!$B$27+Inputs!$B$30,IF(Skills!C8=3,120+Inputs!$B$28+Inputs!$B$30,MAX(0,(Inputs!$B$3-100)*3)+Inputs!$B$29+Inputs!$B$30)))</f>
        <v/>
      </c>
      <c r="E2685">
        <f>INDEX(FactorTable!$B$2:$Y$301, MATCH(ROUND(MIN(300,MAX(1,D2685)),0), FactorTable!$A$2:$A$301,0), Skills!M8+1)</f>
        <v/>
      </c>
      <c r="F2685">
        <f>IF(Skills!N8=TRUE,(Skills!L8/10)*(E2685/1000),Skills!L8/10)+Skills!O8</f>
        <v/>
      </c>
      <c r="G2685" t="inlineStr"/>
      <c r="H2685" t="inlineStr"/>
      <c r="I2685" t="inlineStr">
        <is>
          <t>1</t>
        </is>
      </c>
      <c r="J2685" t="inlineStr"/>
      <c r="K2685" t="inlineStr"/>
      <c r="L2685" t="inlineStr"/>
      <c r="M2685" t="inlineStr"/>
      <c r="N2685" t="inlineStr"/>
      <c r="O2685" t="inlineStr"/>
      <c r="P2685" t="inlineStr"/>
      <c r="Q2685" t="inlineStr"/>
      <c r="R2685" t="inlineStr"/>
      <c r="S2685" t="inlineStr"/>
    </row>
    <row r="2686">
      <c r="A2686">
        <f>Skills!A9</f>
        <v/>
      </c>
      <c r="B2686">
        <f>Skills!B9</f>
        <v/>
      </c>
      <c r="C2686">
        <f>Inputs!$B$3&gt;=60</f>
        <v/>
      </c>
      <c r="D2686">
        <f>IF(Skills!C9=1,60+Inputs!$B$26+Inputs!$B$30,IF(Skills!C9=2,90+Inputs!$B$27+Inputs!$B$30,IF(Skills!C9=3,120+Inputs!$B$28+Inputs!$B$30,MAX(0,(Inputs!$B$3-100)*3)+Inputs!$B$29+Inputs!$B$30)))</f>
        <v/>
      </c>
      <c r="E2686">
        <f>INDEX(FactorTable!$B$2:$Y$301, MATCH(ROUND(MIN(300,MAX(1,D2686)),0), FactorTable!$A$2:$A$301,0), Skills!M9+1)</f>
        <v/>
      </c>
      <c r="F2686">
        <f>IF(Skills!N9=TRUE,(Skills!L9/10)*(E2686/1000),Skills!L9/10)+Skills!O9</f>
        <v/>
      </c>
      <c r="G2686">
        <f>Skills!G9*IF(Skills!H9&gt;0,INT(IF(Inputs!$B$39="pvp",MIN(Skills!I9,15),Skills!I9)/Skills!H9+0.000000001),1)</f>
        <v/>
      </c>
      <c r="H2686">
        <f>1-(1-Skills!J9/100)^Skills!K9</f>
        <v/>
      </c>
      <c r="I2686" t="inlineStr">
        <is>
          <t>1</t>
        </is>
      </c>
      <c r="J2686">
        <f>((Inputs!$B$6*(1+Inputs!$B$7/100))+(((Inputs!$B$13*(1+Inputs!$B$14/100))-(Inputs!$B$13*(1+Inputs!$B$14/100)))+0.25*(Inputs!$B$15-Inputs!$B$15))*(1+Inputs!$B$7/100))*(F2686/100)</f>
        <v/>
      </c>
      <c r="K2686">
        <f>J2686*(1+(((Inputs!$B$13+IF(Inputs!$B$3&gt;=38,(10*INDEX(FactorTable!$B$2:$Y$301, MATCH(ROUND(MIN(300,MAX(1,Inputs!$B$3)),0), FactorTable!$A$2:$A$301,0), 23)/1000)/100*(Inputs!$B$8*(1+Inputs!$B$9/100)),0))*(1+Inputs!$B$14/100))*0.01+Inputs!$B$15*0.0025)/100)*(1+Inputs!$B$16/100)*(1+Inputs!$B$17/100)*(5000/(6000+Inputs!$B$43*(1-(Inputs!$B$20+0)/100)))*(1+(Inputs!$B$25+((C2702=TRUE)*(F2702-Calc!F25))+((C2703=TRUE)*(F2703-Calc!F26))+B2712)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2688=TRUE,F2688,0)/100)*(1+(IF(Skills!A9="DARK_IMPALE",Inputs!$B$18+0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gt;=100),MIN(100,((Inputs!$B$10+0+B2706+(ArtifactsInput!$M$24-ArtifactsInput!$M$24)*CHOOSE(ArtifactsInput!$N$24+1,10,12,14,16,18,20)+IF(ArtifactsInput!$M$10,CHOOSE(ArtifactsInput!$N$10+1,15,18,21,24,27,30)*(IF(Inputs!$B$39="pvp",MIN(15,15)/15,IF(AND(Inputs!$B$39&lt;&gt;"pvp",Inputs!$B$44&gt;0),MIN(15,Inputs!$B$44)/(Inputs!$B$44),0))),0)))-100),0))*CHOOSE(ArtifactsInput!$N$42+1,0.6,0.72,0.84,0.96,1.08,1.2))),Inputs!$B$19+((C2700=TRUE)*(F2700-Calc!F23))+(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gt;=100),CHOOSE(ArtifactsInput!$N$42+1,40,48,56,64,72,80),0))))/100)*((1+(((C2690=TRUE)*F2690*IF(AND(Inputs!$B$39&lt;&gt;"pvp",Inputs!$B$44&gt;0),(((R2690-1)*MIN((Skills!T13*(1+Inputs!$B$35/100)),(1/Q2690))+MIN((Skills!T13*(1+Inputs!$B$35/100)),MAX(0,Inputs!$B$44-((R2690-1)*(1/Q2690)))))/Inputs!$B$44),IF(Inputs!$B$39="pvp",MIN((Skills!T13*(1+Inputs!$B$35/100)),15)/15,MIN(1,(Skills!T13*(1+Inputs!$B$35/100))/(1/Q2690)))))+((C2691=TRUE)*F2691*IF(AND(Inputs!$B$39&lt;&gt;"pvp",Inputs!$B$44&gt;0),(((R2691-1)*MIN((Skills!T14*(1+Inputs!$B$35/100)),(1/Q2691))+MIN((Skills!T14*(1+Inputs!$B$35/100)),MAX(0,Inputs!$B$44-((R2691-1)*(1/Q2691)))))/Inputs!$B$44),IF(Inputs!$B$39="pvp",MIN((Skills!T14*(1+Inputs!$B$35/100)),15)/15,MIN(1,(Skills!T14*(1+Inputs!$B$35/100))/(1/Q2691)))))+((C2692=TRUE)*F2692*IF(AND(Inputs!$B$39&lt;&gt;"pvp",Inputs!$B$44&gt;0),(((R2692-1)*MIN((Skills!T15*(1+Inputs!$B$35/100)),(1/Q2692))+MIN((Skills!T15*(1+Inputs!$B$35/100)),MAX(0,Inputs!$B$44-((R2692-1)*(1/Q2692)))))/Inputs!$B$44),IF(Inputs!$B$39="pvp",MIN((Skills!T15*(1+Inputs!$B$35/100)),15)/15,MIN(1,(Skills!T15*(1+Inputs!$B$35/100))/(1/Q2692)))))+((C2693=TRUE)*F2693*IF(AND(Inputs!$B$39&lt;&gt;"pvp",Inputs!$B$44&gt;0),(((R2693-1)*MIN((Skills!T16*(1+Inputs!$B$35/100)),(1/Q2693))+MIN((Skills!T16*(1+Inputs!$B$35/100)),MAX(0,Inputs!$B$44-((R2693-1)*(1/Q2693)))))/Inputs!$B$44),IF(Inputs!$B$39="pvp",MIN((Skills!T16*(1+Inputs!$B$35/100)),15)/15,MIN(1,(Skills!T16*(1+Inputs!$B$35/100))/(1/Q2693)))))+0+(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2686)</f>
        <v/>
      </c>
      <c r="L2686">
        <f>K2686*(MIN(Inputs!$B$23+((C2699=TRUE)*(F2699-Calc!F22)),(Inputs!$B$24+((C2701=TRUE)*(F2701-Calc!F24))+(IF(ArtifactsInput!$M$15,CHOOSE(ArtifactsInput!$N$15+1,25,30,35,40,45,50)/100*(Inputs!$B$12-Inputs!$B$12),0))))/100+(Inputs!$B$24+((C2701=TRUE)*(F2701-Calc!F24))+(IF(ArtifactsInput!$M$15,CHOOSE(ArtifactsInput!$N$15+1,25,30,35,40,45,50)/100*(Inputs!$B$12-Inputs!$B$12),0)))/100)/2</f>
        <v/>
      </c>
      <c r="M2686">
        <f>L2686*(1+(Inputs!$B$11+0+B2711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686">
        <f>L2686*(1-MIN((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2686*(MIN((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86">
        <f>(1-Summary!$B$11)*T2686+Summary!$B$11*V2686</f>
        <v/>
      </c>
      <c r="P2686">
        <f>IF(B2716=0,0,O2686/B2716)</f>
        <v/>
      </c>
      <c r="Q2686">
        <f>IFERROR(1/IF(Inputs!$B$39="pvp",15,MAX(0.1,Skills!D9-IF(TRUE=TRUE,Inputs!$B$33,0))),0)</f>
        <v/>
      </c>
      <c r="R2686">
        <f>IF(AND(Inputs!$B$39&lt;&gt;"pvp",Inputs!$B$44&gt;0),IF(MAX(0,Inputs!$B$44-B2713)&lt;=0,0,(INT(MAX(0,Inputs!$B$44-B2713)/IF(Inputs!$B$39="pvp",15,MAX(0.1,Skills!D9-IF(TRUE=TRUE,Inputs!$B$33,0))))+1)),0)</f>
        <v/>
      </c>
      <c r="S2686">
        <f>IFERROR(O2686/N2686,0)</f>
        <v/>
      </c>
      <c r="T2686">
        <f>IF(C2686,(H2686*N2686*IF(AND(Inputs!$B$39&lt;&gt;"pvp",Inputs!$B$44&gt;0),((Skills!G9*((R2686-1)*IF(Skills!H9&gt;0,INT(Skills!I9/Skills!H9+0.000000001),1)+IF(Skills!H9&gt;0,INT(MIN(Skills!I9,MAX(0,MAX(0,Inputs!$B$44-B2713)-((R2686-1)*IF(Inputs!$B$39="pvp",15,MAX(0.1,Skills!D9-IF(TRUE=TRUE,Inputs!$B$33,0))))))/Skills!H9+0.000000001),1)))/Inputs!$B$44),G2686*Q2686))*IF(Inputs!$B$39="pvp",1,1+(Inputs!$B$21+0+Skills!P9+((C2694=TRUE)*F2694*IF(AND(Inputs!$B$39&lt;&gt;"pvp",Inputs!$B$44&gt;0),(((R2694-1)*MIN((Skills!T17*(1+Inputs!$B$35/100)),(1/Q2694))+MIN((Skills!T17*(1+Inputs!$B$35/100)),MAX(0,Inputs!$B$44-((R2694-1)*(1/Q2694)))))/Inputs!$B$44),IF(Inputs!$B$39="pvp",MIN((Skills!T17*(1+Inputs!$B$35/100)),15)/15,MIN(1,(Skills!T17*(1+Inputs!$B$35/100))/(1/Q2694)))))+((C2682=TRUE)*IF(Inputs!$B$3&gt;=126,10*MIN(1,15*Q2682),0))+((C2691=TRUE)*IF(Inputs!$B$39="pvp",20,(1-Summary!$B$11)*(20)+Summary!$B$11*(0))*IF(AND(Inputs!$B$39&lt;&gt;"pvp",Inputs!$B$44&gt;0),(((R2691-1)*MIN((Skills!T14*(1+Inputs!$B$35/100)),(1/Q2691))+MIN((Skills!T14*(1+Inputs!$B$35/100)),MAX(0,Inputs!$B$44-((R2691-1)*(1/Q2691)))))/Inputs!$B$44),IF(Inputs!$B$39="pvp",MIN((Skills!T14*(1+Inputs!$B$35/100)),15)/15,MIN(1,(Skills!T14*(1+Inputs!$B$35/100))/(1/Q2691)))))+((C2690=TRUE)*IF(Inputs!$B$3&gt;=82,IF(Inputs!$B$39="pvp",20,(1-Summary!$B$11)*(20)+Summary!$B$11*(0)),0)*IF(AND(Inputs!$B$39&lt;&gt;"pvp",Inputs!$B$44&gt;0),(((R2690-1)*MIN((Skills!T13*(1+Inputs!$B$35/100)),(1/Q2690))+MIN((Skills!T13*(1+Inputs!$B$35/100)),MAX(0,Inputs!$B$44-((R2690-1)*(1/Q2690)))))/Inputs!$B$44),IF(Inputs!$B$39="pvp",MIN((Skills!T13*(1+Inputs!$B$35/100)),15)/15,MIN(1,(Skills!T13*(1+Inputs!$B$35/100))/(1/Q2690)))))+(IF(AND(ArtifactsInput!$M$35,Inputs!$B$4&lt;&gt;"Chapter Hunt"),CHOOSE(ArtifactsInput!$N$35+1,15,18,21,24,27,30)*(1-EXP(-(0.2*B2708)*5)),0)+IF(AND(ArtifactsInput!$M$22,Inputs!$B$4&lt;&gt;"Chapter Hunt"),CHOOSE(ArtifactsInput!$N$22+1,10,12,14,16,18,20)*((0*(((0.15*B2708*5))^0/1)+1*(((0.15*B2708*5))^1/1)+2*(((0.15*B2708*5))^2/2)+3*(((0.15*B2708*5))^3/6)+4*(((0.15*B2708*5))^4/24)+5*(((0.15*B2708*5))^5/120))/((((0.15*B2708*5))^0/1)+(((0.15*B2708*5))^1/1)+(((0.15*B2708*5))^2/2)+(((0.15*B2708*5))^3/6)+(((0.15*B2708*5))^4/24)+(((0.15*B2708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2686*(1-MIN(100,(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2686*(MIN(100,(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2686*(1-MIN(100,(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2686*(MIN(100,(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86">
        <f>IF(C2686,(H2686*N2686*IF(AND(Inputs!$B$39&lt;&gt;"pvp",Inputs!$B$44&gt;0),((Skills!G9*((R2686-1)*IF(Skills!H9&gt;0,INT(Skills!I9/Skills!H9+0.000000001),1)+IF(Skills!H9&gt;0,INT(MIN(Skills!I9,MAX(0,MAX(0,Inputs!$B$44-B2713)-((R2686-1)*IF(Inputs!$B$39="pvp",15,MAX(0.1,Skills!D9-IF(TRUE=TRUE,Inputs!$B$33,0))))))/Skills!H9+0.000000001),1)))/Inputs!$B$44),G2686*Q2686))*IF(Inputs!$B$39="pvp",1,(1+(Inputs!$B$22+Skills!Q9+((C2694=TRUE)*F2694*IF(AND(Inputs!$B$39&lt;&gt;"pvp",Inputs!$B$44&gt;0),(((R2694-1)*MIN((Skills!T17*(1+Inputs!$B$35/100)),(1/Q2694))+MIN((Skills!T17*(1+Inputs!$B$35/100)),MAX(0,Inputs!$B$44-((R2694-1)*(1/Q2694)))))/Inputs!$B$44),IF(Inputs!$B$39="pvp",MIN((Skills!T17*(1+Inputs!$B$35/100)),15)/15,MIN(1,(Skills!T17*(1+Inputs!$B$35/100))/(1/Q2694)))))+((C2682=TRUE)*IF(Inputs!$B$3&gt;=126,10*MIN(1,15*Q2682),0))+((C2691=TRUE)*IF(Inputs!$B$39="pvp",20,(1-Summary!$B$11)*(20)+Summary!$B$11*(0))*IF(AND(Inputs!$B$39&lt;&gt;"pvp",Inputs!$B$44&gt;0),(((R2691-1)*MIN((Skills!T14*(1+Inputs!$B$35/100)),(1/Q2691))+MIN((Skills!T14*(1+Inputs!$B$35/100)),MAX(0,Inputs!$B$44-((R2691-1)*(1/Q2691)))))/Inputs!$B$44),IF(Inputs!$B$39="pvp",MIN((Skills!T14*(1+Inputs!$B$35/100)),15)/15,MIN(1,(Skills!T14*(1+Inputs!$B$35/100))/(1/Q2691)))))+((C2690=TRUE)*IF(Inputs!$B$3&gt;=82,IF(Inputs!$B$39="pvp",20,(1-Summary!$B$11)*(20)+Summary!$B$11*(0)),0)*IF(AND(Inputs!$B$39&lt;&gt;"pvp",Inputs!$B$44&gt;0),(((R2690-1)*MIN((Skills!T13*(1+Inputs!$B$35/100)),(1/Q2690))+MIN((Skills!T13*(1+Inputs!$B$35/100)),MAX(0,Inputs!$B$44-((R2690-1)*(1/Q2690)))))/Inputs!$B$44),IF(Inputs!$B$39="pvp",MIN((Skills!T13*(1+Inputs!$B$35/100)),15)/15,MIN(1,(Skills!T13*(1+Inputs!$B$35/100))/(1/Q2690)))))+(IF(AND(ArtifactsInput!$M$35,Inputs!$B$4&lt;&gt;"Chapter Hunt"),CHOOSE(ArtifactsInput!$N$35+1,15,18,21,24,27,30)*(1-EXP(-(0.2*B2708)*5)),0)+IF(AND(ArtifactsInput!$M$22,Inputs!$B$4&lt;&gt;"Chapter Hunt"),CHOOSE(ArtifactsInput!$N$22+1,10,12,14,16,18,20)*((0*(((0.15*B2708*5))^0/1)+1*(((0.15*B2708*5))^1/1)+2*(((0.15*B2708*5))^2/2)+3*(((0.15*B2708*5))^3/6)+4*(((0.15*B2708*5))^4/24)+5*(((0.15*B2708*5))^5/120))/((((0.15*B2708*5))^0/1)+(((0.15*B2708*5))^1/1)+(((0.15*B2708*5))^2/2)+(((0.15*B2708*5))^3/6)+(((0.15*B2708*5))^4/24)+(((0.15*B2708*5))^5/120))),0))+(IF(ArtifactsInput!$M$33,CHOOSE(ArtifactsInput!$N$33+1,30,36,42,48,54,60),0)))/100)*(MIN(Skills!R9,Inputs!$B$38)))*((1+(IF(AND(IF(ArtifactsInput!$M$41,FALSE,TRUE),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87">
      <c r="A2687">
        <f>Skills!A10</f>
        <v/>
      </c>
      <c r="B2687">
        <f>Skills!B10</f>
        <v/>
      </c>
      <c r="C2687">
        <f>Inputs!$B$3&gt;=110</f>
        <v/>
      </c>
      <c r="D2687">
        <f>IF(Skills!C10=1,60+Inputs!$B$26+Inputs!$B$30,IF(Skills!C10=2,90+Inputs!$B$27+Inputs!$B$30,IF(Skills!C10=3,120+Inputs!$B$28+Inputs!$B$30,MAX(0,(Inputs!$B$3-100)*3)+Inputs!$B$29+Inputs!$B$30)))</f>
        <v/>
      </c>
      <c r="E2687">
        <f>INDEX(FactorTable!$B$2:$Y$301, MATCH(ROUND(MIN(300,MAX(1,D2687)),0), FactorTable!$A$2:$A$301,0), Skills!M10+1)</f>
        <v/>
      </c>
      <c r="F2687">
        <f>IF(Skills!N10=TRUE,(Skills!L10/10)*(E2687/1000),Skills!L10/10)+Skills!O10</f>
        <v/>
      </c>
      <c r="G2687">
        <f>Skills!G10*IF(Skills!H10&gt;0,INT(IF(Inputs!$B$39="pvp",MIN(Skills!I10,15),Skills!I10)/Skills!H10+0.000000001),1)</f>
        <v/>
      </c>
      <c r="H2687">
        <f>1-(1-Skills!J10/100)^Skills!K10</f>
        <v/>
      </c>
      <c r="I2687" t="inlineStr">
        <is>
          <t>1</t>
        </is>
      </c>
      <c r="J2687">
        <f>((Inputs!$B$6*(1+Inputs!$B$7/100))+(((Inputs!$B$13*(1+Inputs!$B$14/100))-(Inputs!$B$13*(1+Inputs!$B$14/100)))+0.25*(Inputs!$B$15-Inputs!$B$15))*(1+Inputs!$B$7/100))*(F2687/100)</f>
        <v/>
      </c>
      <c r="K2687">
        <f>J2687*(1+(((Inputs!$B$13+IF(Inputs!$B$3&gt;=38,(10*INDEX(FactorTable!$B$2:$Y$301, MATCH(ROUND(MIN(300,MAX(1,Inputs!$B$3)),0), FactorTable!$A$2:$A$301,0), 23)/1000)/100*(Inputs!$B$8*(1+Inputs!$B$9/100)),0))*(1+Inputs!$B$14/100))*0.01+Inputs!$B$15*0.0025)/100)*(1+Inputs!$B$16/100)*(1+Inputs!$B$17/100)*(5000/(6000+Inputs!$B$43*(1-(Inputs!$B$20+0)/100)))*(1+(Inputs!$B$25+((C2702=TRUE)*(F2702-Calc!F25))+((C2703=TRUE)*(F2703-Calc!F26))+B2712)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gt;=100),MIN(100,((Inputs!$B$10+0+B2706+(ArtifactsInput!$M$24-ArtifactsInput!$M$24)*CHOOSE(ArtifactsInput!$N$24+1,10,12,14,16,18,20)+IF(ArtifactsInput!$M$10,CHOOSE(ArtifactsInput!$N$10+1,15,18,21,24,27,30)*(IF(Inputs!$B$39="pvp",MIN(15,15)/15,IF(AND(Inputs!$B$39&lt;&gt;"pvp",Inputs!$B$44&gt;0),MIN(15,Inputs!$B$44)/(Inputs!$B$44),0))),0)))-100),0))*CHOOSE(ArtifactsInput!$N$42+1,0.6,0.72,0.84,0.96,1.08,1.2))),Inputs!$B$19+((C2700=TRUE)*(F2700-Calc!F23))+(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gt;=100),CHOOSE(ArtifactsInput!$N$42+1,40,48,56,64,72,80),0))))/100)*((1+(((C2690=TRUE)*F2690*IF(AND(Inputs!$B$39&lt;&gt;"pvp",Inputs!$B$44&gt;0),(((R2690-1)*MIN((Skills!T13*(1+Inputs!$B$35/100)),(1/Q2690))+MIN((Skills!T13*(1+Inputs!$B$35/100)),MAX(0,Inputs!$B$44-((R2690-1)*(1/Q2690)))))/Inputs!$B$44),IF(Inputs!$B$39="pvp",MIN((Skills!T13*(1+Inputs!$B$35/100)),15)/15,MIN(1,(Skills!T13*(1+Inputs!$B$35/100))/(1/Q2690)))))+((C2691=TRUE)*F2691*IF(AND(Inputs!$B$39&lt;&gt;"pvp",Inputs!$B$44&gt;0),(((R2691-1)*MIN((Skills!T14*(1+Inputs!$B$35/100)),(1/Q2691))+MIN((Skills!T14*(1+Inputs!$B$35/100)),MAX(0,Inputs!$B$44-((R2691-1)*(1/Q2691)))))/Inputs!$B$44),IF(Inputs!$B$39="pvp",MIN((Skills!T14*(1+Inputs!$B$35/100)),15)/15,MIN(1,(Skills!T14*(1+Inputs!$B$35/100))/(1/Q2691)))))+((C2692=TRUE)*F2692*IF(AND(Inputs!$B$39&lt;&gt;"pvp",Inputs!$B$44&gt;0),(((R2692-1)*MIN((Skills!T15*(1+Inputs!$B$35/100)),(1/Q2692))+MIN((Skills!T15*(1+Inputs!$B$35/100)),MAX(0,Inputs!$B$44-((R2692-1)*(1/Q2692)))))/Inputs!$B$44),IF(Inputs!$B$39="pvp",MIN((Skills!T15*(1+Inputs!$B$35/100)),15)/15,MIN(1,(Skills!T15*(1+Inputs!$B$35/100))/(1/Q2692)))))+((C2693=TRUE)*F2693*IF(AND(Inputs!$B$39&lt;&gt;"pvp",Inputs!$B$44&gt;0),(((R2693-1)*MIN((Skills!T16*(1+Inputs!$B$35/100)),(1/Q2693))+MIN((Skills!T16*(1+Inputs!$B$35/100)),MAX(0,Inputs!$B$44-((R2693-1)*(1/Q2693)))))/Inputs!$B$44),IF(Inputs!$B$39="pvp",MIN((Skills!T16*(1+Inputs!$B$35/100)),15)/15,MIN(1,(Skills!T16*(1+Inputs!$B$35/100))/(1/Q2693)))))+0+(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2687)</f>
        <v/>
      </c>
      <c r="L2687">
        <f>K2687*(MIN(Inputs!$B$23+((C2699=TRUE)*(F2699-Calc!F22)),(Inputs!$B$24+((C2701=TRUE)*(F2701-Calc!F24))+(IF(ArtifactsInput!$M$15,CHOOSE(ArtifactsInput!$N$15+1,25,30,35,40,45,50)/100*(Inputs!$B$12-Inputs!$B$12),0))))/100+(Inputs!$B$24+((C2701=TRUE)*(F2701-Calc!F24))+(IF(ArtifactsInput!$M$15,CHOOSE(ArtifactsInput!$N$15+1,25,30,35,40,45,50)/100*(Inputs!$B$12-Inputs!$B$12),0)))/100)/2</f>
        <v/>
      </c>
      <c r="M2687">
        <f>L2687*(1+(Inputs!$B$11+0+B2711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687">
        <f>L2687*(1-MIN((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2687*(MIN((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87">
        <f>(1-Summary!$B$11)*T2687+Summary!$B$11*V2687</f>
        <v/>
      </c>
      <c r="P2687">
        <f>IF(B2716=0,0,O2687/B2716)</f>
        <v/>
      </c>
      <c r="Q2687">
        <f>IFERROR(1/IF(Inputs!$B$39="pvp",15,MAX(0.1,Skills!D10-IF(TRUE=TRUE,Inputs!$B$33,0))),0)</f>
        <v/>
      </c>
      <c r="R2687">
        <f>IF(AND(Inputs!$B$39&lt;&gt;"pvp",Inputs!$B$44&gt;0),IF(MAX(0,Inputs!$B$44-B2713)&lt;=0,0,(INT(MAX(0,Inputs!$B$44-B2713)/IF(Inputs!$B$39="pvp",15,MAX(0.1,Skills!D10-IF(TRUE=TRUE,Inputs!$B$33,0))))+1)),0)</f>
        <v/>
      </c>
      <c r="S2687">
        <f>IFERROR(O2687/N2687,0)</f>
        <v/>
      </c>
      <c r="T2687">
        <f>IF(C2687,(H2687*N2687*IF(AND(Inputs!$B$39&lt;&gt;"pvp",Inputs!$B$44&gt;0),((Skills!G10*((R2687-1)*IF(Skills!H10&gt;0,INT(Skills!I10/Skills!H10+0.000000001),1)+IF(Skills!H10&gt;0,INT(MIN(Skills!I10,MAX(0,MAX(0,Inputs!$B$44-B2713)-((R2687-1)*IF(Inputs!$B$39="pvp",15,MAX(0.1,Skills!D10-IF(TRUE=TRUE,Inputs!$B$33,0))))))/Skills!H10+0.000000001),1)))/Inputs!$B$44),G2687*Q2687))*IF(Inputs!$B$39="pvp",1,1+(Inputs!$B$21+0+Skills!P10+((C2694=TRUE)*F2694*IF(AND(Inputs!$B$39&lt;&gt;"pvp",Inputs!$B$44&gt;0),(((R2694-1)*MIN((Skills!T17*(1+Inputs!$B$35/100)),(1/Q2694))+MIN((Skills!T17*(1+Inputs!$B$35/100)),MAX(0,Inputs!$B$44-((R2694-1)*(1/Q2694)))))/Inputs!$B$44),IF(Inputs!$B$39="pvp",MIN((Skills!T17*(1+Inputs!$B$35/100)),15)/15,MIN(1,(Skills!T17*(1+Inputs!$B$35/100))/(1/Q2694)))))+((C2682=TRUE)*IF(Inputs!$B$3&gt;=126,10*MIN(1,15*Q2682),0))+((C2691=TRUE)*IF(Inputs!$B$39="pvp",20,(1-Summary!$B$11)*(20)+Summary!$B$11*(0))*IF(AND(Inputs!$B$39&lt;&gt;"pvp",Inputs!$B$44&gt;0),(((R2691-1)*MIN((Skills!T14*(1+Inputs!$B$35/100)),(1/Q2691))+MIN((Skills!T14*(1+Inputs!$B$35/100)),MAX(0,Inputs!$B$44-((R2691-1)*(1/Q2691)))))/Inputs!$B$44),IF(Inputs!$B$39="pvp",MIN((Skills!T14*(1+Inputs!$B$35/100)),15)/15,MIN(1,(Skills!T14*(1+Inputs!$B$35/100))/(1/Q2691)))))+((C2690=TRUE)*IF(Inputs!$B$3&gt;=82,IF(Inputs!$B$39="pvp",20,(1-Summary!$B$11)*(20)+Summary!$B$11*(0)),0)*IF(AND(Inputs!$B$39&lt;&gt;"pvp",Inputs!$B$44&gt;0),(((R2690-1)*MIN((Skills!T13*(1+Inputs!$B$35/100)),(1/Q2690))+MIN((Skills!T13*(1+Inputs!$B$35/100)),MAX(0,Inputs!$B$44-((R2690-1)*(1/Q2690)))))/Inputs!$B$44),IF(Inputs!$B$39="pvp",MIN((Skills!T13*(1+Inputs!$B$35/100)),15)/15,MIN(1,(Skills!T13*(1+Inputs!$B$35/100))/(1/Q2690)))))+(IF(AND(ArtifactsInput!$M$35,Inputs!$B$4&lt;&gt;"Chapter Hunt"),CHOOSE(ArtifactsInput!$N$35+1,15,18,21,24,27,30)*(1-EXP(-(0.2*B2708)*5)),0)+IF(AND(ArtifactsInput!$M$22,Inputs!$B$4&lt;&gt;"Chapter Hunt"),CHOOSE(ArtifactsInput!$N$22+1,10,12,14,16,18,20)*((0*(((0.15*B2708*5))^0/1)+1*(((0.15*B2708*5))^1/1)+2*(((0.15*B2708*5))^2/2)+3*(((0.15*B2708*5))^3/6)+4*(((0.15*B2708*5))^4/24)+5*(((0.15*B2708*5))^5/120))/((((0.15*B2708*5))^0/1)+(((0.15*B2708*5))^1/1)+(((0.15*B2708*5))^2/2)+(((0.15*B2708*5))^3/6)+(((0.15*B2708*5))^4/24)+(((0.15*B2708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2687*(1-MIN(100,(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2687*(MIN(100,(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2687*(1-MIN(100,(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2687*(MIN(100,(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87">
        <f>IF(C2687,(H2687*N2687*IF(AND(Inputs!$B$39&lt;&gt;"pvp",Inputs!$B$44&gt;0),((Skills!G10*((R2687-1)*IF(Skills!H10&gt;0,INT(Skills!I10/Skills!H10+0.000000001),1)+IF(Skills!H10&gt;0,INT(MIN(Skills!I10,MAX(0,MAX(0,Inputs!$B$44-B2713)-((R2687-1)*IF(Inputs!$B$39="pvp",15,MAX(0.1,Skills!D10-IF(TRUE=TRUE,Inputs!$B$33,0))))))/Skills!H10+0.000000001),1)))/Inputs!$B$44),G2687*Q2687))*IF(Inputs!$B$39="pvp",1,(1+(Inputs!$B$22+Skills!Q10+((C2694=TRUE)*F2694*IF(AND(Inputs!$B$39&lt;&gt;"pvp",Inputs!$B$44&gt;0),(((R2694-1)*MIN((Skills!T17*(1+Inputs!$B$35/100)),(1/Q2694))+MIN((Skills!T17*(1+Inputs!$B$35/100)),MAX(0,Inputs!$B$44-((R2694-1)*(1/Q2694)))))/Inputs!$B$44),IF(Inputs!$B$39="pvp",MIN((Skills!T17*(1+Inputs!$B$35/100)),15)/15,MIN(1,(Skills!T17*(1+Inputs!$B$35/100))/(1/Q2694)))))+((C2682=TRUE)*IF(Inputs!$B$3&gt;=126,10*MIN(1,15*Q2682),0))+((C2691=TRUE)*IF(Inputs!$B$39="pvp",20,(1-Summary!$B$11)*(20)+Summary!$B$11*(0))*IF(AND(Inputs!$B$39&lt;&gt;"pvp",Inputs!$B$44&gt;0),(((R2691-1)*MIN((Skills!T14*(1+Inputs!$B$35/100)),(1/Q2691))+MIN((Skills!T14*(1+Inputs!$B$35/100)),MAX(0,Inputs!$B$44-((R2691-1)*(1/Q2691)))))/Inputs!$B$44),IF(Inputs!$B$39="pvp",MIN((Skills!T14*(1+Inputs!$B$35/100)),15)/15,MIN(1,(Skills!T14*(1+Inputs!$B$35/100))/(1/Q2691)))))+((C2690=TRUE)*IF(Inputs!$B$3&gt;=82,IF(Inputs!$B$39="pvp",20,(1-Summary!$B$11)*(20)+Summary!$B$11*(0)),0)*IF(AND(Inputs!$B$39&lt;&gt;"pvp",Inputs!$B$44&gt;0),(((R2690-1)*MIN((Skills!T13*(1+Inputs!$B$35/100)),(1/Q2690))+MIN((Skills!T13*(1+Inputs!$B$35/100)),MAX(0,Inputs!$B$44-((R2690-1)*(1/Q2690)))))/Inputs!$B$44),IF(Inputs!$B$39="pvp",MIN((Skills!T13*(1+Inputs!$B$35/100)),15)/15,MIN(1,(Skills!T13*(1+Inputs!$B$35/100))/(1/Q2690)))))+(IF(AND(ArtifactsInput!$M$35,Inputs!$B$4&lt;&gt;"Chapter Hunt"),CHOOSE(ArtifactsInput!$N$35+1,15,18,21,24,27,30)*(1-EXP(-(0.2*B2708)*5)),0)+IF(AND(ArtifactsInput!$M$22,Inputs!$B$4&lt;&gt;"Chapter Hunt"),CHOOSE(ArtifactsInput!$N$22+1,10,12,14,16,18,20)*((0*(((0.15*B2708*5))^0/1)+1*(((0.15*B2708*5))^1/1)+2*(((0.15*B2708*5))^2/2)+3*(((0.15*B2708*5))^3/6)+4*(((0.15*B2708*5))^4/24)+5*(((0.15*B2708*5))^5/120))/((((0.15*B2708*5))^0/1)+(((0.15*B2708*5))^1/1)+(((0.15*B2708*5))^2/2)+(((0.15*B2708*5))^3/6)+(((0.15*B2708*5))^4/24)+(((0.15*B2708*5))^5/120))),0))+(IF(ArtifactsInput!$M$33,CHOOSE(ArtifactsInput!$N$33+1,30,36,42,48,54,60),0)))/100)*(MIN(Skills!R10,Inputs!$B$38)))*((1+(IF(AND(IF(ArtifactsInput!$M$41,FALSE,TRUE),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88">
      <c r="A2688">
        <f>Skills!A11</f>
        <v/>
      </c>
      <c r="B2688">
        <f>Skills!B11</f>
        <v/>
      </c>
      <c r="C2688">
        <f>Inputs!$B$3&gt;=100</f>
        <v/>
      </c>
      <c r="D2688">
        <f>IF(Skills!C11=1,60+Inputs!$B$26+Inputs!$B$30,IF(Skills!C11=2,90+Inputs!$B$27+Inputs!$B$30,IF(Skills!C11=3,120+Inputs!$B$28+Inputs!$B$30,MAX(0,(Inputs!$B$3-100)*3)+Inputs!$B$29+Inputs!$B$30)))</f>
        <v/>
      </c>
      <c r="E2688">
        <f>INDEX(FactorTable!$B$2:$Y$301, MATCH(ROUND(MIN(300,MAX(1,D2688)),0), FactorTable!$A$2:$A$301,0), Skills!M11+1)</f>
        <v/>
      </c>
      <c r="F2688">
        <f>IF(Skills!N11=TRUE,(Skills!L11/10)*(E2688/1000),Skills!L11/10)+Skills!O11</f>
        <v/>
      </c>
      <c r="G2688" t="inlineStr"/>
      <c r="H2688" t="inlineStr"/>
      <c r="I2688" t="inlineStr">
        <is>
          <t>1</t>
        </is>
      </c>
      <c r="J2688" t="inlineStr"/>
      <c r="K2688" t="inlineStr"/>
      <c r="L2688" t="inlineStr"/>
      <c r="M2688" t="inlineStr"/>
      <c r="N2688" t="inlineStr"/>
      <c r="O2688" t="inlineStr"/>
      <c r="P2688" t="inlineStr"/>
      <c r="Q2688" t="inlineStr"/>
      <c r="R2688" t="inlineStr"/>
      <c r="S2688" t="inlineStr"/>
    </row>
    <row r="2689">
      <c r="A2689">
        <f>Skills!A12</f>
        <v/>
      </c>
      <c r="B2689">
        <f>Skills!B12</f>
        <v/>
      </c>
      <c r="C2689">
        <f>Inputs!$B$3&gt;=63</f>
        <v/>
      </c>
      <c r="D2689">
        <f>IF(Skills!C12=1,60+Inputs!$B$26+Inputs!$B$30,IF(Skills!C12=2,90+Inputs!$B$27+Inputs!$B$30,IF(Skills!C12=3,120+Inputs!$B$28+Inputs!$B$30,MAX(0,(Inputs!$B$3-100)*3)+Inputs!$B$29+Inputs!$B$30)))</f>
        <v/>
      </c>
      <c r="E2689">
        <f>INDEX(FactorTable!$B$2:$Y$301, MATCH(ROUND(MIN(300,MAX(1,D2689)),0), FactorTable!$A$2:$A$301,0), Skills!M12+1)</f>
        <v/>
      </c>
      <c r="F2689">
        <f>IF(Skills!N12=TRUE,(Skills!L12/10)*(E2689/1000),Skills!L12/10)+Skills!O12</f>
        <v/>
      </c>
      <c r="G2689">
        <f>Skills!G12*IF(Skills!H12&gt;0,INT(IF(Inputs!$B$39="pvp",MIN(Skills!I12,15),Skills!I12)/Skills!H12+0.000000001),1)</f>
        <v/>
      </c>
      <c r="H2689">
        <f>1-(1-Skills!J12/100)^Skills!K12</f>
        <v/>
      </c>
      <c r="I2689" t="inlineStr">
        <is>
          <t>1</t>
        </is>
      </c>
      <c r="J2689">
        <f>((Inputs!$B$6*(1+Inputs!$B$7/100))+(((Inputs!$B$13*(1+Inputs!$B$14/100))-(Inputs!$B$13*(1+Inputs!$B$14/100)))+0.25*(Inputs!$B$15-Inputs!$B$15))*(1+Inputs!$B$7/100))*(F2689/100)</f>
        <v/>
      </c>
      <c r="K2689">
        <f>J2689*(1+(((Inputs!$B$13+IF(Inputs!$B$3&gt;=38,(10*INDEX(FactorTable!$B$2:$Y$301, MATCH(ROUND(MIN(300,MAX(1,Inputs!$B$3)),0), FactorTable!$A$2:$A$301,0), 23)/1000)/100*(Inputs!$B$8*(1+Inputs!$B$9/100)),0))*(1+Inputs!$B$14/100))*0.01+Inputs!$B$15*0.0025)/100)*(1+Inputs!$B$16/100)*(1+Inputs!$B$17/100)*(5000/(6000+Inputs!$B$43*(1-(Inputs!$B$20+0)/100)))*(1+(Inputs!$B$25+((C2702=TRUE)*(F2702-Calc!F25))+((C2703=TRUE)*(F2703-Calc!F26))+B2712)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2688=TRUE,F2688,0)/100)*(1+(IF(Skills!A12="DARK_IMPALE",Inputs!$B$18+0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gt;=100),MIN(100,((Inputs!$B$10+0+B2706+(ArtifactsInput!$M$24-ArtifactsInput!$M$24)*CHOOSE(ArtifactsInput!$N$24+1,10,12,14,16,18,20)+IF(ArtifactsInput!$M$10,CHOOSE(ArtifactsInput!$N$10+1,15,18,21,24,27,30)*(IF(Inputs!$B$39="pvp",MIN(15,15)/15,IF(AND(Inputs!$B$39&lt;&gt;"pvp",Inputs!$B$44&gt;0),MIN(15,Inputs!$B$44)/(Inputs!$B$44),0))),0)))-100),0))*CHOOSE(ArtifactsInput!$N$42+1,0.6,0.72,0.84,0.96,1.08,1.2))),Inputs!$B$19+((C2700=TRUE)*(F2700-Calc!F23))+(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gt;=100),CHOOSE(ArtifactsInput!$N$42+1,40,48,56,64,72,80),0))))/100)*((1+(((C2690=TRUE)*F2690*IF(AND(Inputs!$B$39&lt;&gt;"pvp",Inputs!$B$44&gt;0),(((R2690-1)*MIN((Skills!T13*(1+Inputs!$B$35/100)),(1/Q2690))+MIN((Skills!T13*(1+Inputs!$B$35/100)),MAX(0,Inputs!$B$44-((R2690-1)*(1/Q2690)))))/Inputs!$B$44),IF(Inputs!$B$39="pvp",MIN((Skills!T13*(1+Inputs!$B$35/100)),15)/15,MIN(1,(Skills!T13*(1+Inputs!$B$35/100))/(1/Q2690)))))+((C2691=TRUE)*F2691*IF(AND(Inputs!$B$39&lt;&gt;"pvp",Inputs!$B$44&gt;0),(((R2691-1)*MIN((Skills!T14*(1+Inputs!$B$35/100)),(1/Q2691))+MIN((Skills!T14*(1+Inputs!$B$35/100)),MAX(0,Inputs!$B$44-((R2691-1)*(1/Q2691)))))/Inputs!$B$44),IF(Inputs!$B$39="pvp",MIN((Skills!T14*(1+Inputs!$B$35/100)),15)/15,MIN(1,(Skills!T14*(1+Inputs!$B$35/100))/(1/Q2691)))))+((C2692=TRUE)*F2692*IF(AND(Inputs!$B$39&lt;&gt;"pvp",Inputs!$B$44&gt;0),(((R2692-1)*MIN((Skills!T15*(1+Inputs!$B$35/100)),(1/Q2692))+MIN((Skills!T15*(1+Inputs!$B$35/100)),MAX(0,Inputs!$B$44-((R2692-1)*(1/Q2692)))))/Inputs!$B$44),IF(Inputs!$B$39="pvp",MIN((Skills!T15*(1+Inputs!$B$35/100)),15)/15,MIN(1,(Skills!T15*(1+Inputs!$B$35/100))/(1/Q2692)))))+((C2693=TRUE)*F2693*IF(AND(Inputs!$B$39&lt;&gt;"pvp",Inputs!$B$44&gt;0),(((R2693-1)*MIN((Skills!T16*(1+Inputs!$B$35/100)),(1/Q2693))+MIN((Skills!T16*(1+Inputs!$B$35/100)),MAX(0,Inputs!$B$44-((R2693-1)*(1/Q2693)))))/Inputs!$B$44),IF(Inputs!$B$39="pvp",MIN((Skills!T16*(1+Inputs!$B$35/100)),15)/15,MIN(1,(Skills!T16*(1+Inputs!$B$35/100))/(1/Q2693)))))+0+(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2689)</f>
        <v/>
      </c>
      <c r="L2689">
        <f>K2689*(MIN(Inputs!$B$23+((C2699=TRUE)*(F2699-Calc!F22)),(Inputs!$B$24+((C2701=TRUE)*(F2701-Calc!F24))+(IF(ArtifactsInput!$M$15,CHOOSE(ArtifactsInput!$N$15+1,25,30,35,40,45,50)/100*(Inputs!$B$12-Inputs!$B$12),0))))/100+(Inputs!$B$24+((C2701=TRUE)*(F2701-Calc!F24))+(IF(ArtifactsInput!$M$15,CHOOSE(ArtifactsInput!$N$15+1,25,30,35,40,45,50)/100*(Inputs!$B$12-Inputs!$B$12),0)))/100)/2</f>
        <v/>
      </c>
      <c r="M2689">
        <f>L2689*(1+(Inputs!$B$11+0+B2711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689">
        <f>L2689*(1-MIN((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2689*(MIN((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89">
        <f>(1-Summary!$B$11)*T2689+Summary!$B$11*V2689</f>
        <v/>
      </c>
      <c r="P2689">
        <f>IF(B2716=0,0,O2689/B2716)</f>
        <v/>
      </c>
      <c r="Q2689">
        <f>IFERROR(1/IF(Inputs!$B$39="pvp",15,MAX(0.1,Skills!D12-IF(TRUE=TRUE,Inputs!$B$33,0))),0)</f>
        <v/>
      </c>
      <c r="R2689">
        <f>IF(AND(Inputs!$B$39&lt;&gt;"pvp",Inputs!$B$44&gt;0),IF(MAX(0,Inputs!$B$44-B2713)&lt;=0,0,(INT(MAX(0,Inputs!$B$44-B2713)/IF(Inputs!$B$39="pvp",15,MAX(0.1,Skills!D12-IF(TRUE=TRUE,Inputs!$B$33,0))))+1)),0)</f>
        <v/>
      </c>
      <c r="S2689">
        <f>IFERROR(O2689/N2689,0)</f>
        <v/>
      </c>
      <c r="T2689">
        <f>IF(C2689,(H2689*N2689*IF(AND(Inputs!$B$39&lt;&gt;"pvp",Inputs!$B$44&gt;0),((Skills!G12*((R2689-1)*IF(Skills!H12&gt;0,INT(Skills!I12/Skills!H12+0.000000001),1)+IF(Skills!H12&gt;0,INT(MIN(Skills!I12,MAX(0,MAX(0,Inputs!$B$44-B2713)-((R2689-1)*IF(Inputs!$B$39="pvp",15,MAX(0.1,Skills!D12-IF(TRUE=TRUE,Inputs!$B$33,0))))))/Skills!H12+0.000000001),1)))/Inputs!$B$44),G2689*Q2689))*IF(Inputs!$B$39="pvp",1,1+(Inputs!$B$21+0+Skills!P12+((C2694=TRUE)*F2694*IF(AND(Inputs!$B$39&lt;&gt;"pvp",Inputs!$B$44&gt;0),(((R2694-1)*MIN((Skills!T17*(1+Inputs!$B$35/100)),(1/Q2694))+MIN((Skills!T17*(1+Inputs!$B$35/100)),MAX(0,Inputs!$B$44-((R2694-1)*(1/Q2694)))))/Inputs!$B$44),IF(Inputs!$B$39="pvp",MIN((Skills!T17*(1+Inputs!$B$35/100)),15)/15,MIN(1,(Skills!T17*(1+Inputs!$B$35/100))/(1/Q2694)))))+((C2682=TRUE)*IF(Inputs!$B$3&gt;=126,10*MIN(1,15*Q2682),0))+((C2691=TRUE)*IF(Inputs!$B$39="pvp",20,(1-Summary!$B$11)*(20)+Summary!$B$11*(0))*IF(AND(Inputs!$B$39&lt;&gt;"pvp",Inputs!$B$44&gt;0),(((R2691-1)*MIN((Skills!T14*(1+Inputs!$B$35/100)),(1/Q2691))+MIN((Skills!T14*(1+Inputs!$B$35/100)),MAX(0,Inputs!$B$44-((R2691-1)*(1/Q2691)))))/Inputs!$B$44),IF(Inputs!$B$39="pvp",MIN((Skills!T14*(1+Inputs!$B$35/100)),15)/15,MIN(1,(Skills!T14*(1+Inputs!$B$35/100))/(1/Q2691)))))+((C2690=TRUE)*IF(Inputs!$B$3&gt;=82,IF(Inputs!$B$39="pvp",20,(1-Summary!$B$11)*(20)+Summary!$B$11*(0)),0)*IF(AND(Inputs!$B$39&lt;&gt;"pvp",Inputs!$B$44&gt;0),(((R2690-1)*MIN((Skills!T13*(1+Inputs!$B$35/100)),(1/Q2690))+MIN((Skills!T13*(1+Inputs!$B$35/100)),MAX(0,Inputs!$B$44-((R2690-1)*(1/Q2690)))))/Inputs!$B$44),IF(Inputs!$B$39="pvp",MIN((Skills!T13*(1+Inputs!$B$35/100)),15)/15,MIN(1,(Skills!T13*(1+Inputs!$B$35/100))/(1/Q2690)))))+(IF(AND(ArtifactsInput!$M$35,Inputs!$B$4&lt;&gt;"Chapter Hunt"),CHOOSE(ArtifactsInput!$N$35+1,15,18,21,24,27,30)*(1-EXP(-(0.2*B2708)*5)),0)+IF(AND(ArtifactsInput!$M$22,Inputs!$B$4&lt;&gt;"Chapter Hunt"),CHOOSE(ArtifactsInput!$N$22+1,10,12,14,16,18,20)*((0*(((0.15*B2708*5))^0/1)+1*(((0.15*B2708*5))^1/1)+2*(((0.15*B2708*5))^2/2)+3*(((0.15*B2708*5))^3/6)+4*(((0.15*B2708*5))^4/24)+5*(((0.15*B2708*5))^5/120))/((((0.15*B2708*5))^0/1)+(((0.15*B2708*5))^1/1)+(((0.15*B2708*5))^2/2)+(((0.15*B2708*5))^3/6)+(((0.15*B2708*5))^4/24)+(((0.15*B2708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2689*(1-MIN(100,(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2689*(MIN(100,(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2689*(1-MIN(100,(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2689*(MIN(100,(Inputs!$B$10+0+B2706+(ArtifactsInput!$M$24-ArtifactsInput!$M$24)*CHOOSE(ArtifactsInput!$N$24+1,10,12,14,16,18,20)+(IF(AND(Inputs!$B$39&lt;&gt;"pvp",Inputs!$B$44=0),1,IF(IF(Inputs!$B$39="pvp",15,Inputs!$B$44)-(B2713)&lt;=0,1,MAX(0,IF(Inputs!$B$39="pvp",15,Inputs!$B$44)-MAX(5,B2713))/(IF(Inputs!$B$39="pvp",15,Inputs!$B$44)-(B2713))))*IF(AND(ArtifactsInput!$M$42,((Inputs!$B$10+0+B2706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689">
        <f>IF(C2689,(H2689*N2689*IF(AND(Inputs!$B$39&lt;&gt;"pvp",Inputs!$B$44&gt;0),((Skills!G12*((R2689-1)*IF(Skills!H12&gt;0,INT(Skills!I12/Skills!H12+0.000000001),1)+IF(Skills!H12&gt;0,INT(MIN(Skills!I12,MAX(0,MAX(0,Inputs!$B$44-B2713)-((R2689-1)*IF(Inputs!$B$39="pvp",15,MAX(0.1,Skills!D12-IF(TRUE=TRUE,Inputs!$B$33,0))))))/Skills!H12+0.000000001),1)))/Inputs!$B$44),G2689*Q2689))*IF(Inputs!$B$39="pvp",1,(1+(Inputs!$B$22+Skills!Q12+((C2694=TRUE)*F2694*IF(AND(Inputs!$B$39&lt;&gt;"pvp",Inputs!$B$44&gt;0),(((R2694-1)*MIN((Skills!T17*(1+Inputs!$B$35/100)),(1/Q2694))+MIN((Skills!T17*(1+Inputs!$B$35/100)),MAX(0,Inputs!$B$44-((R2694-1)*(1/Q2694)))))/Inputs!$B$44),IF(Inputs!$B$39="pvp",MIN((Skills!T17*(1+Inputs!$B$35/100)),15)/15,MIN(1,(Skills!T17*(1+Inputs!$B$35/100))/(1/Q2694)))))+((C2682=TRUE)*IF(Inputs!$B$3&gt;=126,10*MIN(1,15*Q2682),0))+((C2691=TRUE)*IF(Inputs!$B$39="pvp",20,(1-Summary!$B$11)*(20)+Summary!$B$11*(0))*IF(AND(Inputs!$B$39&lt;&gt;"pvp",Inputs!$B$44&gt;0),(((R2691-1)*MIN((Skills!T14*(1+Inputs!$B$35/100)),(1/Q2691))+MIN((Skills!T14*(1+Inputs!$B$35/100)),MAX(0,Inputs!$B$44-((R2691-1)*(1/Q2691)))))/Inputs!$B$44),IF(Inputs!$B$39="pvp",MIN((Skills!T14*(1+Inputs!$B$35/100)),15)/15,MIN(1,(Skills!T14*(1+Inputs!$B$35/100))/(1/Q2691)))))+((C2690=TRUE)*IF(Inputs!$B$3&gt;=82,IF(Inputs!$B$39="pvp",20,(1-Summary!$B$11)*(20)+Summary!$B$11*(0)),0)*IF(AND(Inputs!$B$39&lt;&gt;"pvp",Inputs!$B$44&gt;0),(((R2690-1)*MIN((Skills!T13*(1+Inputs!$B$35/100)),(1/Q2690))+MIN((Skills!T13*(1+Inputs!$B$35/100)),MAX(0,Inputs!$B$44-((R2690-1)*(1/Q2690)))))/Inputs!$B$44),IF(Inputs!$B$39="pvp",MIN((Skills!T13*(1+Inputs!$B$35/100)),15)/15,MIN(1,(Skills!T13*(1+Inputs!$B$35/100))/(1/Q2690)))))+(IF(AND(ArtifactsInput!$M$35,Inputs!$B$4&lt;&gt;"Chapter Hunt"),CHOOSE(ArtifactsInput!$N$35+1,15,18,21,24,27,30)*(1-EXP(-(0.2*B2708)*5)),0)+IF(AND(ArtifactsInput!$M$22,Inputs!$B$4&lt;&gt;"Chapter Hunt"),CHOOSE(ArtifactsInput!$N$22+1,10,12,14,16,18,20)*((0*(((0.15*B2708*5))^0/1)+1*(((0.15*B2708*5))^1/1)+2*(((0.15*B2708*5))^2/2)+3*(((0.15*B2708*5))^3/6)+4*(((0.15*B2708*5))^4/24)+5*(((0.15*B2708*5))^5/120))/((((0.15*B2708*5))^0/1)+(((0.15*B2708*5))^1/1)+(((0.15*B2708*5))^2/2)+(((0.15*B2708*5))^3/6)+(((0.15*B2708*5))^4/24)+(((0.15*B2708*5))^5/120))),0))+(IF(ArtifactsInput!$M$33,CHOOSE(ArtifactsInput!$N$33+1,30,36,42,48,54,60),0)))/100)*(MIN(Skills!R12,Inputs!$B$38)))*((1+(IF(AND(IF(ArtifactsInput!$M$41,FALSE,TRUE),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90">
      <c r="A2690">
        <f>Skills!A13</f>
        <v/>
      </c>
      <c r="B2690">
        <f>Skills!B13</f>
        <v/>
      </c>
      <c r="C2690">
        <f>Inputs!$B$3&gt;=69</f>
        <v/>
      </c>
      <c r="D2690">
        <f>IF(Skills!C13=1,60+Inputs!$B$26+Inputs!$B$30,IF(Skills!C13=2,90+Inputs!$B$27+Inputs!$B$30,IF(Skills!C13=3,120+Inputs!$B$28+Inputs!$B$30,MAX(0,(Inputs!$B$3-100)*3)+Inputs!$B$29+Inputs!$B$30)))</f>
        <v/>
      </c>
      <c r="E2690">
        <f>INDEX(FactorTable!$B$2:$Y$301, MATCH(ROUND(MIN(300,MAX(1,D2690)),0), FactorTable!$A$2:$A$301,0), Skills!M13+1)</f>
        <v/>
      </c>
      <c r="F2690">
        <f>IF(Skills!N13=TRUE,(Skills!L13/10)*(E2690/1000),Skills!L13/10)+Skills!O13</f>
        <v/>
      </c>
      <c r="G2690">
        <f>Skills!G13*IF(Skills!H13&gt;0,INT(IF(Inputs!$B$39="pvp",MIN(Skills!I13,15),Skills!I13)/Skills!H13+0.000000001),1)</f>
        <v/>
      </c>
      <c r="H2690">
        <f>1-(1-Skills!J13/100)^Skills!K13</f>
        <v/>
      </c>
      <c r="I2690" t="inlineStr">
        <is>
          <t>1</t>
        </is>
      </c>
      <c r="J2690" t="inlineStr"/>
      <c r="K2690" t="inlineStr"/>
      <c r="L2690" t="inlineStr"/>
      <c r="M2690" t="inlineStr"/>
      <c r="N2690" t="inlineStr"/>
      <c r="O2690">
        <f>(1-Summary!$B$11)*T2690+Summary!$B$11*V2690</f>
        <v/>
      </c>
      <c r="P2690">
        <f>IF(B2716=0,0,O2690/B2716)</f>
        <v/>
      </c>
      <c r="Q2690">
        <f>IFERROR(1/IF(Inputs!$B$39="pvp",15,MAX(0.1,Skills!D13-IF(TRUE=TRUE,Inputs!$B$33,0))),0)</f>
        <v/>
      </c>
      <c r="R2690">
        <f>IF(AND(Inputs!$B$39&lt;&gt;"pvp",Inputs!$B$44&gt;0),IF(Inputs!$B$44&lt;=0,0,(INT(Inputs!$B$44/IF(Inputs!$B$39="pvp",15,MAX(0.1,Skills!D13-IF(TRUE=TRUE,Inputs!$B$33,0))))+1)),0)</f>
        <v/>
      </c>
      <c r="S2690">
        <f>IFERROR(O2690/N2690,0)</f>
        <v/>
      </c>
      <c r="T2690" t="n">
        <v>0</v>
      </c>
      <c r="V2690" t="n">
        <v>0</v>
      </c>
    </row>
    <row r="2691">
      <c r="A2691">
        <f>Skills!A14</f>
        <v/>
      </c>
      <c r="B2691">
        <f>Skills!B14</f>
        <v/>
      </c>
      <c r="C2691">
        <f>Inputs!$B$3&gt;=115</f>
        <v/>
      </c>
      <c r="D2691">
        <f>IF(Skills!C14=1,60+Inputs!$B$26+Inputs!$B$30,IF(Skills!C14=2,90+Inputs!$B$27+Inputs!$B$30,IF(Skills!C14=3,120+Inputs!$B$28+Inputs!$B$30,MAX(0,(Inputs!$B$3-100)*3)+Inputs!$B$29+Inputs!$B$30)))</f>
        <v/>
      </c>
      <c r="E2691">
        <f>INDEX(FactorTable!$B$2:$Y$301, MATCH(ROUND(MIN(300,MAX(1,D2691)),0), FactorTable!$A$2:$A$301,0), Skills!M14+1)</f>
        <v/>
      </c>
      <c r="F2691">
        <f>IF(Skills!N14=TRUE,(Skills!L14/10)*(E2691/1000),Skills!L14/10)+Skills!O14</f>
        <v/>
      </c>
      <c r="G2691">
        <f>Skills!G14*IF(Skills!H14&gt;0,INT(IF(Inputs!$B$39="pvp",MIN(Skills!I14,15),Skills!I14)/Skills!H14+0.000000001),1)</f>
        <v/>
      </c>
      <c r="H2691">
        <f>1-(1-Skills!J14/100)^Skills!K14</f>
        <v/>
      </c>
      <c r="I2691" t="inlineStr">
        <is>
          <t>1</t>
        </is>
      </c>
      <c r="J2691" t="inlineStr"/>
      <c r="K2691" t="inlineStr"/>
      <c r="L2691" t="inlineStr"/>
      <c r="M2691" t="inlineStr"/>
      <c r="N2691" t="inlineStr"/>
      <c r="O2691">
        <f>(1-Summary!$B$11)*T2691+Summary!$B$11*V2691</f>
        <v/>
      </c>
      <c r="P2691">
        <f>IF(B2716=0,0,O2691/B2716)</f>
        <v/>
      </c>
      <c r="Q2691">
        <f>IFERROR(1/IF(Inputs!$B$39="pvp",15,MAX(0.1,Skills!D14-IF(TRUE=TRUE,Inputs!$B$33,0))),0)</f>
        <v/>
      </c>
      <c r="R2691">
        <f>IF(AND(Inputs!$B$39&lt;&gt;"pvp",Inputs!$B$44&gt;0),IF(Inputs!$B$44&lt;=0,0,(INT(Inputs!$B$44/IF(Inputs!$B$39="pvp",15,MAX(0.1,Skills!D14-IF(TRUE=TRUE,Inputs!$B$33,0))))+1)),0)</f>
        <v/>
      </c>
      <c r="S2691">
        <f>IFERROR(O2691/N2691,0)</f>
        <v/>
      </c>
      <c r="T2691" t="n">
        <v>0</v>
      </c>
      <c r="V2691" t="n">
        <v>0</v>
      </c>
    </row>
    <row r="2692">
      <c r="A2692">
        <f>Skills!A15</f>
        <v/>
      </c>
      <c r="B2692">
        <f>Skills!B15</f>
        <v/>
      </c>
      <c r="C2692">
        <f>Inputs!$B$3&gt;=66</f>
        <v/>
      </c>
      <c r="D2692">
        <f>IF(Skills!C15=1,60+Inputs!$B$26+Inputs!$B$30,IF(Skills!C15=2,90+Inputs!$B$27+Inputs!$B$30,IF(Skills!C15=3,120+Inputs!$B$28+Inputs!$B$30,MAX(0,(Inputs!$B$3-100)*3)+Inputs!$B$29+Inputs!$B$30)))</f>
        <v/>
      </c>
      <c r="E2692">
        <f>INDEX(FactorTable!$B$2:$Y$301, MATCH(ROUND(MIN(300,MAX(1,D2692)),0), FactorTable!$A$2:$A$301,0), Skills!M15+1)</f>
        <v/>
      </c>
      <c r="F2692">
        <f>IF(Skills!N15=TRUE,(Skills!L15/10)*(E2692/1000),Skills!L15/10)+Skills!O15</f>
        <v/>
      </c>
      <c r="G2692">
        <f>Skills!G15*IF(Skills!H15&gt;0,INT(IF(Inputs!$B$39="pvp",MIN(Skills!I15,15),Skills!I15)/Skills!H15+0.000000001),1)</f>
        <v/>
      </c>
      <c r="H2692">
        <f>1-(1-Skills!J15/100)^Skills!K15</f>
        <v/>
      </c>
      <c r="I2692" t="inlineStr">
        <is>
          <t>1</t>
        </is>
      </c>
      <c r="J2692" t="inlineStr"/>
      <c r="K2692" t="inlineStr"/>
      <c r="L2692" t="inlineStr"/>
      <c r="M2692" t="inlineStr"/>
      <c r="N2692" t="inlineStr"/>
      <c r="O2692">
        <f>(1-Summary!$B$11)*T2692+Summary!$B$11*V2692</f>
        <v/>
      </c>
      <c r="P2692">
        <f>IF(B2716=0,0,O2692/B2716)</f>
        <v/>
      </c>
      <c r="Q2692">
        <f>IFERROR(1/IF(Inputs!$B$39="pvp",15,MAX(0.1,Skills!D15-IF(TRUE=TRUE,Inputs!$B$33,0))),0)</f>
        <v/>
      </c>
      <c r="R2692">
        <f>IF(AND(Inputs!$B$39&lt;&gt;"pvp",Inputs!$B$44&gt;0),IF(Inputs!$B$44&lt;=0,0,(INT(Inputs!$B$44/IF(Inputs!$B$39="pvp",15,MAX(0.1,Skills!D15-IF(TRUE=TRUE,Inputs!$B$33,0))))+1)),0)</f>
        <v/>
      </c>
      <c r="S2692">
        <f>IFERROR(O2692/N2692,0)</f>
        <v/>
      </c>
      <c r="T2692" t="n">
        <v>0</v>
      </c>
      <c r="V2692" t="n">
        <v>0</v>
      </c>
    </row>
    <row r="2693">
      <c r="A2693">
        <f>Skills!A16</f>
        <v/>
      </c>
      <c r="B2693">
        <f>Skills!B16</f>
        <v/>
      </c>
      <c r="C2693">
        <f>Inputs!$B$3&gt;=45</f>
        <v/>
      </c>
      <c r="D2693">
        <f>IF(Skills!C16=1,60+Inputs!$B$26+Inputs!$B$30,IF(Skills!C16=2,90+Inputs!$B$27+Inputs!$B$30,IF(Skills!C16=3,120+Inputs!$B$28+Inputs!$B$30,MAX(0,(Inputs!$B$3-100)*3)+Inputs!$B$29+Inputs!$B$30)))</f>
        <v/>
      </c>
      <c r="E2693">
        <f>INDEX(FactorTable!$B$2:$Y$301, MATCH(ROUND(MIN(300,MAX(1,D2693)),0), FactorTable!$A$2:$A$301,0), Skills!M16+1)</f>
        <v/>
      </c>
      <c r="F2693">
        <f>IF(Skills!N16=TRUE,(Skills!L16/10)*(E2693/1000),Skills!L16/10)+Skills!O16</f>
        <v/>
      </c>
      <c r="G2693">
        <f>Skills!G16*IF(Skills!H16&gt;0,INT(IF(Inputs!$B$39="pvp",MIN(Skills!I16,15),Skills!I16)/Skills!H16+0.000000001),1)</f>
        <v/>
      </c>
      <c r="H2693">
        <f>1-(1-Skills!J16/100)^Skills!K16</f>
        <v/>
      </c>
      <c r="I2693" t="inlineStr">
        <is>
          <t>1</t>
        </is>
      </c>
      <c r="J2693" t="inlineStr"/>
      <c r="K2693" t="inlineStr"/>
      <c r="L2693" t="inlineStr"/>
      <c r="M2693" t="inlineStr"/>
      <c r="N2693" t="inlineStr"/>
      <c r="O2693">
        <f>(1-Summary!$B$11)*T2693+Summary!$B$11*V2693</f>
        <v/>
      </c>
      <c r="P2693">
        <f>IF(B2716=0,0,O2693/B2716)</f>
        <v/>
      </c>
      <c r="Q2693">
        <f>IFERROR(1/IF(Inputs!$B$39="pvp",15,MAX(0.1,Skills!D16-IF(TRUE=TRUE,Inputs!$B$33,0))),0)</f>
        <v/>
      </c>
      <c r="R2693">
        <f>IF(AND(Inputs!$B$39&lt;&gt;"pvp",Inputs!$B$44&gt;0),IF(Inputs!$B$44&lt;=0,0,(INT(Inputs!$B$44/IF(Inputs!$B$39="pvp",15,MAX(0.1,Skills!D16-IF(TRUE=TRUE,Inputs!$B$33,0))))+1)),0)</f>
        <v/>
      </c>
      <c r="S2693">
        <f>IFERROR(O2693/N2693,0)</f>
        <v/>
      </c>
      <c r="T2693" t="n">
        <v>0</v>
      </c>
      <c r="V2693" t="n">
        <v>0</v>
      </c>
    </row>
    <row r="2694">
      <c r="A2694">
        <f>Skills!A17</f>
        <v/>
      </c>
      <c r="B2694">
        <f>Skills!B17</f>
        <v/>
      </c>
      <c r="C2694">
        <f>Inputs!$B$3&gt;=35</f>
        <v/>
      </c>
      <c r="D2694">
        <f>IF(Skills!C17=1,60+Inputs!$B$26+Inputs!$B$30,IF(Skills!C17=2,90+Inputs!$B$27+Inputs!$B$30,IF(Skills!C17=3,120+Inputs!$B$28+Inputs!$B$30,MAX(0,(Inputs!$B$3-100)*3)+Inputs!$B$29+Inputs!$B$30)))</f>
        <v/>
      </c>
      <c r="E2694">
        <f>INDEX(FactorTable!$B$2:$Y$301, MATCH(ROUND(MIN(300,MAX(1,D2694)),0), FactorTable!$A$2:$A$301,0), Skills!M17+1)</f>
        <v/>
      </c>
      <c r="F2694">
        <f>IF(Skills!N17=TRUE,(Skills!L17/10)*(E2694/1000),Skills!L17/10)+Skills!O17</f>
        <v/>
      </c>
      <c r="G2694">
        <f>Skills!G17*IF(Skills!H17&gt;0,INT(IF(Inputs!$B$39="pvp",MIN(Skills!I17,15),Skills!I17)/Skills!H17+0.000000001),1)</f>
        <v/>
      </c>
      <c r="H2694">
        <f>1-(1-Skills!J17/100)^Skills!K17</f>
        <v/>
      </c>
      <c r="I2694" t="inlineStr">
        <is>
          <t>1</t>
        </is>
      </c>
      <c r="J2694" t="inlineStr"/>
      <c r="K2694" t="inlineStr"/>
      <c r="L2694" t="inlineStr"/>
      <c r="M2694" t="inlineStr"/>
      <c r="N2694" t="inlineStr"/>
      <c r="O2694">
        <f>(1-Summary!$B$11)*T2694+Summary!$B$11*V2694</f>
        <v/>
      </c>
      <c r="P2694">
        <f>IF(B2716=0,0,O2694/B2716)</f>
        <v/>
      </c>
      <c r="Q2694">
        <f>IFERROR(1/IF(Inputs!$B$39="pvp",15,MAX(0.1,Skills!D17-IF(TRUE=TRUE,Inputs!$B$33,0))),0)</f>
        <v/>
      </c>
      <c r="R2694">
        <f>IF(AND(Inputs!$B$39&lt;&gt;"pvp",Inputs!$B$44&gt;0),IF(Inputs!$B$44&lt;=0,0,(INT(Inputs!$B$44/IF(Inputs!$B$39="pvp",15,MAX(0.1,Skills!D17-IF(TRUE=TRUE,Inputs!$B$33,0))))+1)),0)</f>
        <v/>
      </c>
      <c r="S2694">
        <f>IFERROR(O2694/N2694,0)</f>
        <v/>
      </c>
      <c r="T2694" t="n">
        <v>0</v>
      </c>
      <c r="V2694" t="n">
        <v>0</v>
      </c>
    </row>
    <row r="2695">
      <c r="A2695">
        <f>Skills!A18</f>
        <v/>
      </c>
      <c r="B2695">
        <f>Skills!B18</f>
        <v/>
      </c>
      <c r="C2695">
        <f>Inputs!$B$3&gt;=72</f>
        <v/>
      </c>
      <c r="D2695">
        <f>IF(Skills!C18=1,60+Inputs!$B$26+Inputs!$B$30,IF(Skills!C18=2,90+Inputs!$B$27+Inputs!$B$30,IF(Skills!C18=3,120+Inputs!$B$28+Inputs!$B$30,MAX(0,(Inputs!$B$3-100)*3)+Inputs!$B$29+Inputs!$B$30)))</f>
        <v/>
      </c>
      <c r="E2695">
        <f>INDEX(FactorTable!$B$2:$Y$301, MATCH(ROUND(MIN(300,MAX(1,D2695)),0), FactorTable!$A$2:$A$301,0), Skills!M18+1)</f>
        <v/>
      </c>
      <c r="F2695">
        <f>IF(Skills!N18=TRUE,(Skills!L18/10)*(E2695/1000),Skills!L18/10)+Skills!O18</f>
        <v/>
      </c>
      <c r="G2695">
        <f>Skills!G18*IF(Skills!H18&gt;0,INT(IF(Inputs!$B$39="pvp",MIN(Skills!I18,15),Skills!I18)/Skills!H18+0.000000001),1)</f>
        <v/>
      </c>
      <c r="H2695">
        <f>1-(1-Skills!J18/100)^Skills!K18</f>
        <v/>
      </c>
      <c r="I2695" t="inlineStr">
        <is>
          <t>1</t>
        </is>
      </c>
      <c r="J2695" t="inlineStr"/>
      <c r="K2695" t="inlineStr"/>
      <c r="L2695" t="inlineStr"/>
      <c r="M2695" t="inlineStr"/>
      <c r="N2695" t="inlineStr"/>
      <c r="O2695">
        <f>(1-Summary!$B$11)*T2695+Summary!$B$11*V2695</f>
        <v/>
      </c>
      <c r="P2695">
        <f>IF(B2716=0,0,O2695/B2716)</f>
        <v/>
      </c>
      <c r="Q2695">
        <f>IFERROR(1/IF(Inputs!$B$39="pvp",15,MAX(0.1,Skills!D18-IF(TRUE=TRUE,Inputs!$B$33,0))),0)</f>
        <v/>
      </c>
      <c r="R2695">
        <f>IF(AND(Inputs!$B$39&lt;&gt;"pvp",Inputs!$B$44&gt;0),IF(Inputs!$B$44&lt;=0,0,(INT(Inputs!$B$44/IF(Inputs!$B$39="pvp",15,MAX(0.1,Skills!D18-IF(TRUE=TRUE,Inputs!$B$33,0))))+1)),0)</f>
        <v/>
      </c>
      <c r="S2695">
        <f>IFERROR(O2695/N2695,0)</f>
        <v/>
      </c>
      <c r="T2695" t="n">
        <v>0</v>
      </c>
      <c r="V2695" t="n">
        <v>0</v>
      </c>
    </row>
    <row r="2696">
      <c r="A2696">
        <f>Skills!A19</f>
        <v/>
      </c>
      <c r="B2696">
        <f>Skills!B19</f>
        <v/>
      </c>
      <c r="C2696">
        <f>Inputs!$B$3&gt;=72</f>
        <v/>
      </c>
      <c r="D2696">
        <f>IF(Skills!C19=1,60+Inputs!$B$26+Inputs!$B$30,IF(Skills!C19=2,90+Inputs!$B$27+Inputs!$B$30,IF(Skills!C19=3,120+Inputs!$B$28+Inputs!$B$30,MAX(0,(Inputs!$B$3-100)*3)+Inputs!$B$29+Inputs!$B$30)))</f>
        <v/>
      </c>
      <c r="E2696">
        <f>INDEX(FactorTable!$B$2:$Y$301, MATCH(ROUND(MIN(300,MAX(1,D2696)),0), FactorTable!$A$2:$A$301,0), Skills!M19+1)</f>
        <v/>
      </c>
      <c r="F2696">
        <f>IF(Skills!N19=TRUE,(Skills!L19/10)*(E2696/1000),Skills!L19/10)+Skills!O19</f>
        <v/>
      </c>
      <c r="G2696">
        <f>Skills!G19*IF(Skills!H19&gt;0,INT(IF(Inputs!$B$39="pvp",MIN(Skills!I19,15),Skills!I19)/Skills!H19+0.000000001),1)</f>
        <v/>
      </c>
      <c r="H2696">
        <f>1-(1-Skills!J19/100)^Skills!K19</f>
        <v/>
      </c>
      <c r="I2696" t="inlineStr">
        <is>
          <t>1</t>
        </is>
      </c>
      <c r="J2696" t="inlineStr"/>
      <c r="K2696" t="inlineStr"/>
      <c r="L2696" t="inlineStr"/>
      <c r="M2696" t="inlineStr"/>
      <c r="N2696" t="inlineStr"/>
      <c r="O2696">
        <f>(1-Summary!$B$11)*T2696+Summary!$B$11*V2696</f>
        <v/>
      </c>
      <c r="P2696">
        <f>IF(B2716=0,0,O2696/B2716)</f>
        <v/>
      </c>
      <c r="Q2696">
        <f>IFERROR(1/IF(Inputs!$B$39="pvp",15,MAX(0.1,Skills!D19-IF(TRUE=TRUE,Inputs!$B$33,0))),0)</f>
        <v/>
      </c>
      <c r="R2696">
        <f>IF(AND(Inputs!$B$39&lt;&gt;"pvp",Inputs!$B$44&gt;0),IF(Inputs!$B$44&lt;=0,0,(INT(Inputs!$B$44/IF(Inputs!$B$39="pvp",15,MAX(0.1,Skills!D19-IF(TRUE=TRUE,Inputs!$B$33,0))))+1)),0)</f>
        <v/>
      </c>
      <c r="S2696">
        <f>IFERROR(O2696/N2696,0)</f>
        <v/>
      </c>
      <c r="T2696" t="n">
        <v>0</v>
      </c>
      <c r="V2696" t="n">
        <v>0</v>
      </c>
    </row>
    <row r="2697">
      <c r="A2697">
        <f>Skills!A20</f>
        <v/>
      </c>
      <c r="B2697">
        <f>Skills!B20</f>
        <v/>
      </c>
      <c r="C2697">
        <f>TRUE</f>
        <v/>
      </c>
      <c r="D2697">
        <f>IF(Skills!C20=1,60+Inputs!$B$26+Inputs!$B$30,IF(Skills!C20=2,90+Inputs!$B$27+Inputs!$B$30,IF(Skills!C20=3,120+Inputs!$B$28+Inputs!$B$30,MAX(0,(Inputs!$B$3-100)*3)+Inputs!$B$29+Inputs!$B$30)))</f>
        <v/>
      </c>
      <c r="E2697">
        <f>INDEX(FactorTable!$B$2:$Y$301, MATCH(ROUND(MIN(300,MAX(1,D2697)),0), FactorTable!$A$2:$A$301,0), Skills!M20+1)</f>
        <v/>
      </c>
      <c r="F2697">
        <f>IF(Skills!N20=TRUE,(Skills!L20/10)*(E2697/1000),Skills!L20/10)+Skills!O20</f>
        <v/>
      </c>
      <c r="G2697">
        <f>Skills!G20*IF(Skills!H20&gt;0,INT(IF(Inputs!$B$39="pvp",MIN(Skills!I20,15),Skills!I20)/Skills!H20+0.000000001),1)</f>
        <v/>
      </c>
      <c r="H2697">
        <f>1-(1-Skills!J20/100)^Skills!K20</f>
        <v/>
      </c>
      <c r="I2697" t="inlineStr">
        <is>
          <t>1</t>
        </is>
      </c>
      <c r="J2697" t="inlineStr"/>
      <c r="K2697" t="inlineStr"/>
      <c r="L2697" t="inlineStr"/>
      <c r="M2697" t="inlineStr"/>
      <c r="N2697" t="inlineStr"/>
      <c r="O2697">
        <f>(1-Summary!$B$11)*T2697+Summary!$B$11*V2697</f>
        <v/>
      </c>
      <c r="P2697">
        <f>IF(B2716=0,0,O2697/B2716)</f>
        <v/>
      </c>
      <c r="Q2697">
        <f>IFERROR(1/IF(Inputs!$B$39="pvp",15,MAX(0.1,Skills!D20-IF(TRUE=TRUE,Inputs!$B$33,0))),0)</f>
        <v/>
      </c>
      <c r="R2697">
        <f>IF(AND(Inputs!$B$39&lt;&gt;"pvp",Inputs!$B$44&gt;0),IF(Inputs!$B$44&lt;=0,0,(INT(Inputs!$B$44/IF(Inputs!$B$39="pvp",15,MAX(0.1,Skills!D20-IF(TRUE=TRUE,Inputs!$B$33,0))))+1)),0)</f>
        <v/>
      </c>
      <c r="S2697">
        <f>IFERROR(O2697/N2697,0)</f>
        <v/>
      </c>
      <c r="T2697" t="n">
        <v>0</v>
      </c>
      <c r="V2697" t="n">
        <v>0</v>
      </c>
    </row>
    <row r="2698">
      <c r="A2698">
        <f>Skills!A21</f>
        <v/>
      </c>
      <c r="B2698">
        <f>Skills!B21</f>
        <v/>
      </c>
      <c r="C2698">
        <f>Inputs!$B$3&gt;=33</f>
        <v/>
      </c>
      <c r="D2698">
        <f>IF(Skills!C21=1,60+Inputs!$B$26+Inputs!$B$30,IF(Skills!C21=2,90+Inputs!$B$27+Inputs!$B$30,IF(Skills!C21=3,120+Inputs!$B$28+Inputs!$B$30,MAX(0,(Inputs!$B$3-100)*3)+Inputs!$B$29+Inputs!$B$30)))</f>
        <v/>
      </c>
      <c r="E2698">
        <f>INDEX(FactorTable!$B$2:$Y$301, MATCH(ROUND(MIN(300,MAX(1,D2698)),0), FactorTable!$A$2:$A$301,0), Skills!M21+1)</f>
        <v/>
      </c>
      <c r="F2698">
        <f>IF(Skills!N21=TRUE,(Skills!L21/10)*(E2698/1000),Skills!L21/10)+Skills!O21</f>
        <v/>
      </c>
      <c r="G2698">
        <f>Skills!G21*IF(Skills!H21&gt;0,INT(IF(Inputs!$B$39="pvp",MIN(Skills!I21,15),Skills!I21)/Skills!H21+0.000000001),1)</f>
        <v/>
      </c>
      <c r="H2698">
        <f>1-(1-Skills!J21/100)^Skills!K21</f>
        <v/>
      </c>
      <c r="I2698" t="inlineStr">
        <is>
          <t>1</t>
        </is>
      </c>
      <c r="J2698" t="inlineStr"/>
      <c r="K2698" t="inlineStr"/>
      <c r="L2698" t="inlineStr"/>
      <c r="M2698" t="inlineStr"/>
      <c r="N2698" t="inlineStr"/>
      <c r="O2698">
        <f>(1-Summary!$B$11)*T2698+Summary!$B$11*V2698</f>
        <v/>
      </c>
      <c r="P2698">
        <f>IF(B2716=0,0,O2698/B2716)</f>
        <v/>
      </c>
      <c r="Q2698" t="n">
        <v>0</v>
      </c>
      <c r="R2698" t="n">
        <v>0</v>
      </c>
      <c r="S2698">
        <f>IFERROR(O2698/N2698,0)</f>
        <v/>
      </c>
      <c r="T2698" t="n">
        <v>0</v>
      </c>
      <c r="V2698" t="n">
        <v>0</v>
      </c>
    </row>
    <row r="2699">
      <c r="A2699">
        <f>Skills!A22</f>
        <v/>
      </c>
      <c r="B2699">
        <f>Skills!B22</f>
        <v/>
      </c>
      <c r="C2699">
        <f>Inputs!$B$3&gt;=43</f>
        <v/>
      </c>
      <c r="D2699">
        <f>IF(Skills!C22=1,60+Inputs!$B$26+Inputs!$B$30,IF(Skills!C22=2,90+Inputs!$B$27+Inputs!$B$30,IF(Skills!C22=3,120+Inputs!$B$28+Inputs!$B$30,MAX(0,(Inputs!$B$3-100)*3)+Inputs!$B$29+Inputs!$B$30)))</f>
        <v/>
      </c>
      <c r="E2699">
        <f>INDEX(FactorTable!$B$2:$Y$301, MATCH(ROUND(MIN(300,MAX(1,D2699)),0), FactorTable!$A$2:$A$301,0), Skills!M22+1)</f>
        <v/>
      </c>
      <c r="F2699">
        <f>IF(Skills!N22=TRUE,(Skills!L22/10)*(E2699/1000),Skills!L22/10)+Skills!O22</f>
        <v/>
      </c>
      <c r="G2699">
        <f>Skills!G22*IF(Skills!H22&gt;0,INT(IF(Inputs!$B$39="pvp",MIN(Skills!I22,15),Skills!I22)/Skills!H22+0.000000001),1)</f>
        <v/>
      </c>
      <c r="H2699">
        <f>1-(1-Skills!J22/100)^Skills!K22</f>
        <v/>
      </c>
      <c r="I2699" t="inlineStr">
        <is>
          <t>1</t>
        </is>
      </c>
      <c r="J2699" t="inlineStr"/>
      <c r="K2699" t="inlineStr"/>
      <c r="L2699" t="inlineStr"/>
      <c r="M2699" t="inlineStr"/>
      <c r="N2699" t="inlineStr"/>
      <c r="O2699">
        <f>(1-Summary!$B$11)*T2699+Summary!$B$11*V2699</f>
        <v/>
      </c>
      <c r="P2699">
        <f>IF(B2716=0,0,O2699/B2716)</f>
        <v/>
      </c>
      <c r="Q2699" t="n">
        <v>0</v>
      </c>
      <c r="R2699" t="n">
        <v>0</v>
      </c>
      <c r="S2699">
        <f>IFERROR(O2699/N2699,0)</f>
        <v/>
      </c>
      <c r="T2699" t="n">
        <v>0</v>
      </c>
      <c r="V2699" t="n">
        <v>0</v>
      </c>
    </row>
    <row r="2700">
      <c r="A2700">
        <f>Skills!A23</f>
        <v/>
      </c>
      <c r="B2700">
        <f>Skills!B23</f>
        <v/>
      </c>
      <c r="C2700">
        <f>Inputs!$B$3&gt;=120</f>
        <v/>
      </c>
      <c r="D2700">
        <f>IF(Skills!C23=1,60+Inputs!$B$26+Inputs!$B$30,IF(Skills!C23=2,90+Inputs!$B$27+Inputs!$B$30,IF(Skills!C23=3,120+Inputs!$B$28+Inputs!$B$30,MAX(0,(Inputs!$B$3-100)*3)+Inputs!$B$29+Inputs!$B$30)))</f>
        <v/>
      </c>
      <c r="E2700">
        <f>INDEX(FactorTable!$B$2:$Y$301, MATCH(ROUND(MIN(300,MAX(1,D2700)),0), FactorTable!$A$2:$A$301,0), Skills!M23+1)</f>
        <v/>
      </c>
      <c r="F2700">
        <f>IF(Skills!N23=TRUE,(Skills!L23/10)*(E2700/1000),Skills!L23/10)+Skills!O23</f>
        <v/>
      </c>
      <c r="G2700">
        <f>Skills!G23*IF(Skills!H23&gt;0,INT(IF(Inputs!$B$39="pvp",MIN(Skills!I23,15),Skills!I23)/Skills!H23+0.000000001),1)</f>
        <v/>
      </c>
      <c r="H2700">
        <f>1-(1-Skills!J23/100)^Skills!K23</f>
        <v/>
      </c>
      <c r="I2700" t="inlineStr">
        <is>
          <t>1</t>
        </is>
      </c>
      <c r="J2700" t="inlineStr"/>
      <c r="K2700" t="inlineStr"/>
      <c r="L2700" t="inlineStr"/>
      <c r="M2700" t="inlineStr"/>
      <c r="N2700" t="inlineStr"/>
      <c r="O2700">
        <f>(1-Summary!$B$11)*T2700+Summary!$B$11*V2700</f>
        <v/>
      </c>
      <c r="P2700">
        <f>IF(B2716=0,0,O2700/B2716)</f>
        <v/>
      </c>
      <c r="Q2700" t="n">
        <v>0</v>
      </c>
      <c r="R2700" t="n">
        <v>0</v>
      </c>
      <c r="S2700">
        <f>IFERROR(O2700/N2700,0)</f>
        <v/>
      </c>
      <c r="T2700" t="n">
        <v>0</v>
      </c>
      <c r="V2700" t="n">
        <v>0</v>
      </c>
    </row>
    <row r="2701">
      <c r="A2701">
        <f>Skills!A24</f>
        <v/>
      </c>
      <c r="B2701">
        <f>Skills!B24</f>
        <v/>
      </c>
      <c r="C2701">
        <f>Inputs!$B$3&gt;=120</f>
        <v/>
      </c>
      <c r="D2701">
        <f>IF(Skills!C24=1,60+Inputs!$B$26+Inputs!$B$30,IF(Skills!C24=2,90+Inputs!$B$27+Inputs!$B$30,IF(Skills!C24=3,120+Inputs!$B$28+Inputs!$B$30,MAX(0,(Inputs!$B$3-100)*3)+Inputs!$B$29+Inputs!$B$30)))</f>
        <v/>
      </c>
      <c r="E2701">
        <f>INDEX(FactorTable!$B$2:$Y$301, MATCH(ROUND(MIN(300,MAX(1,D2701)),0), FactorTable!$A$2:$A$301,0), Skills!M24+1)</f>
        <v/>
      </c>
      <c r="F2701">
        <f>IF(Skills!N24=TRUE,(Skills!L24/10)*(E2701/1000),Skills!L24/10)+Skills!O24</f>
        <v/>
      </c>
      <c r="G2701">
        <f>Skills!G24*IF(Skills!H24&gt;0,INT(IF(Inputs!$B$39="pvp",MIN(Skills!I24,15),Skills!I24)/Skills!H24+0.000000001),1)</f>
        <v/>
      </c>
      <c r="H2701">
        <f>1-(1-Skills!J24/100)^Skills!K24</f>
        <v/>
      </c>
      <c r="I2701" t="inlineStr">
        <is>
          <t>1</t>
        </is>
      </c>
      <c r="J2701" t="inlineStr"/>
      <c r="K2701" t="inlineStr"/>
      <c r="L2701" t="inlineStr"/>
      <c r="M2701" t="inlineStr"/>
      <c r="N2701" t="inlineStr"/>
      <c r="O2701">
        <f>(1-Summary!$B$11)*T2701+Summary!$B$11*V2701</f>
        <v/>
      </c>
      <c r="P2701">
        <f>IF(B2716=0,0,O2701/B2716)</f>
        <v/>
      </c>
      <c r="Q2701" t="n">
        <v>0</v>
      </c>
      <c r="R2701" t="n">
        <v>0</v>
      </c>
      <c r="S2701">
        <f>IFERROR(O2701/N2701,0)</f>
        <v/>
      </c>
      <c r="T2701" t="n">
        <v>0</v>
      </c>
      <c r="V2701" t="n">
        <v>0</v>
      </c>
    </row>
    <row r="2702">
      <c r="A2702">
        <f>Skills!A25</f>
        <v/>
      </c>
      <c r="B2702">
        <f>Skills!B25</f>
        <v/>
      </c>
      <c r="C2702">
        <f>Inputs!$B$3&gt;=125</f>
        <v/>
      </c>
      <c r="D2702">
        <f>IF(Skills!C25=1,60+Inputs!$B$26+Inputs!$B$30,IF(Skills!C25=2,90+Inputs!$B$27+Inputs!$B$30,IF(Skills!C25=3,120+Inputs!$B$28+Inputs!$B$30,MAX(0,(Inputs!$B$3-100)*3)+Inputs!$B$29+Inputs!$B$30)))</f>
        <v/>
      </c>
      <c r="E2702">
        <f>INDEX(FactorTable!$B$2:$Y$301, MATCH(ROUND(MIN(300,MAX(1,D2702)),0), FactorTable!$A$2:$A$301,0), Skills!M25+1)</f>
        <v/>
      </c>
      <c r="F2702">
        <f>IF(Skills!N25=TRUE,(Skills!L25/10)*(E2702/1000),Skills!L25/10)+Skills!O25</f>
        <v/>
      </c>
      <c r="G2702">
        <f>Skills!G25*IF(Skills!H25&gt;0,INT(IF(Inputs!$B$39="pvp",MIN(Skills!I25,15),Skills!I25)/Skills!H25+0.000000001),1)</f>
        <v/>
      </c>
      <c r="H2702">
        <f>1-(1-Skills!J25/100)^Skills!K25</f>
        <v/>
      </c>
      <c r="I2702" t="inlineStr">
        <is>
          <t>1</t>
        </is>
      </c>
      <c r="J2702" t="inlineStr"/>
      <c r="K2702" t="inlineStr"/>
      <c r="L2702" t="inlineStr"/>
      <c r="M2702" t="inlineStr"/>
      <c r="N2702" t="inlineStr"/>
      <c r="O2702">
        <f>(1-Summary!$B$11)*T2702+Summary!$B$11*V2702</f>
        <v/>
      </c>
      <c r="P2702">
        <f>IF(B2716=0,0,O2702/B2716)</f>
        <v/>
      </c>
      <c r="Q2702" t="n">
        <v>0</v>
      </c>
      <c r="R2702" t="n">
        <v>0</v>
      </c>
      <c r="S2702">
        <f>IFERROR(O2702/N2702,0)</f>
        <v/>
      </c>
      <c r="T2702" t="n">
        <v>0</v>
      </c>
      <c r="V2702" t="n">
        <v>0</v>
      </c>
    </row>
    <row r="2703">
      <c r="A2703">
        <f>Skills!A26</f>
        <v/>
      </c>
      <c r="B2703">
        <f>Skills!B26</f>
        <v/>
      </c>
      <c r="C2703">
        <f>Inputs!$B$3&gt;=107</f>
        <v/>
      </c>
      <c r="D2703">
        <f>IF(Skills!C26=1,60+Inputs!$B$26+Inputs!$B$30,IF(Skills!C26=2,90+Inputs!$B$27+Inputs!$B$30,IF(Skills!C26=3,120+Inputs!$B$28+Inputs!$B$30,MAX(0,(Inputs!$B$3-100)*3)+Inputs!$B$29+Inputs!$B$30)))</f>
        <v/>
      </c>
      <c r="E2703">
        <f>INDEX(FactorTable!$B$2:$Y$301, MATCH(ROUND(MIN(300,MAX(1,D2703)),0), FactorTable!$A$2:$A$301,0), Skills!M26+1)</f>
        <v/>
      </c>
      <c r="F2703">
        <f>IF(Skills!N26=TRUE,(Skills!L26/10)*(E2703/1000),Skills!L26/10)+Skills!O26</f>
        <v/>
      </c>
      <c r="G2703">
        <f>Skills!G26*IF(Skills!H26&gt;0,INT(IF(Inputs!$B$39="pvp",MIN(Skills!I26,15),Skills!I26)/Skills!H26+0.000000001),1)</f>
        <v/>
      </c>
      <c r="H2703">
        <f>1-(1-Skills!J26/100)^Skills!K26</f>
        <v/>
      </c>
      <c r="I2703" t="inlineStr">
        <is>
          <t>1</t>
        </is>
      </c>
      <c r="J2703" t="inlineStr"/>
      <c r="K2703" t="inlineStr"/>
      <c r="L2703" t="inlineStr"/>
      <c r="M2703" t="inlineStr"/>
      <c r="N2703" t="inlineStr"/>
      <c r="O2703">
        <f>(1-Summary!$B$11)*T2703+Summary!$B$11*V2703</f>
        <v/>
      </c>
      <c r="P2703">
        <f>IF(B2716=0,0,O2703/B2716)</f>
        <v/>
      </c>
      <c r="Q2703" t="n">
        <v>0</v>
      </c>
      <c r="R2703" t="n">
        <v>0</v>
      </c>
      <c r="S2703">
        <f>IFERROR(O2703/N2703,0)</f>
        <v/>
      </c>
      <c r="T2703" t="n">
        <v>0</v>
      </c>
      <c r="V2703" t="n">
        <v>0</v>
      </c>
    </row>
    <row r="2705">
      <c r="A2705" t="inlineStr">
        <is>
          <t>Attack% Bucket Multiplier</t>
        </is>
      </c>
      <c r="B2705">
        <f>(1+(((C2690=TRUE)*F2690*IF(AND(Inputs!$B$39&lt;&gt;"pvp",Inputs!$B$44&gt;0),(((R2690-1)*MIN((Skills!T13*(1+Inputs!$B$35/100)),(1/Q2690))+MIN((Skills!T13*(1+Inputs!$B$35/100)),MAX(0,Inputs!$B$44-((R2690-1)*(1/Q2690)))))/Inputs!$B$44),IF(Inputs!$B$39="pvp",MIN((Skills!T13*(1+Inputs!$B$35/100)),15)/15,MIN(1,(Skills!T13*(1+Inputs!$B$35/100))/(1/Q2690)))))+((C2691=TRUE)*F2691*IF(AND(Inputs!$B$39&lt;&gt;"pvp",Inputs!$B$44&gt;0),(((R2691-1)*MIN((Skills!T14*(1+Inputs!$B$35/100)),(1/Q2691))+MIN((Skills!T14*(1+Inputs!$B$35/100)),MAX(0,Inputs!$B$44-((R2691-1)*(1/Q2691)))))/Inputs!$B$44),IF(Inputs!$B$39="pvp",MIN((Skills!T14*(1+Inputs!$B$35/100)),15)/15,MIN(1,(Skills!T14*(1+Inputs!$B$35/100))/(1/Q2691)))))+((C2692=TRUE)*F2692*IF(AND(Inputs!$B$39&lt;&gt;"pvp",Inputs!$B$44&gt;0),(((R2692-1)*MIN((Skills!T15*(1+Inputs!$B$35/100)),(1/Q2692))+MIN((Skills!T15*(1+Inputs!$B$35/100)),MAX(0,Inputs!$B$44-((R2692-1)*(1/Q2692)))))/Inputs!$B$44),IF(Inputs!$B$39="pvp",MIN((Skills!T15*(1+Inputs!$B$35/100)),15)/15,MIN(1,(Skills!T15*(1+Inputs!$B$35/100))/(1/Q2692)))))+((C2693=TRUE)*F2693*IF(AND(Inputs!$B$39&lt;&gt;"pvp",Inputs!$B$44&gt;0),(((R2693-1)*MIN((Skills!T16*(1+Inputs!$B$35/100)),(1/Q2693))+MIN((Skills!T16*(1+Inputs!$B$35/100)),MAX(0,Inputs!$B$44-((R2693-1)*(1/Q2693)))))/Inputs!$B$44),IF(Inputs!$B$39="pvp",MIN((Skills!T16*(1+Inputs!$B$35/100)),15)/15,MIN(1,(Skills!T16*(1+Inputs!$B$35/100))/(1/Q2693)))))+0+(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2706">
      <c r="A2706" t="inlineStr">
        <is>
          <t>Global Crit Rate Bonus % (Lord of Darkness)</t>
        </is>
      </c>
      <c r="B2706">
        <f>((C2695=TRUE)*F2695*(Skills!J18/100)*IF(AND(Inputs!$B$39&lt;&gt;"pvp",Inputs!$B$44&gt;0),(((R2695-1)*MIN((Skills!T18*(1+Inputs!$B$35/100)),(1/Q2695))+MIN((Skills!T18*(1+Inputs!$B$35/100)),MAX(0,Inputs!$B$44-((R2695-1)*(1/Q2695)))))/Inputs!$B$44),IF(Inputs!$B$39="pvp",MIN((Skills!T18*(1+Inputs!$B$35/100)),15)/15,MIN(1,(Skills!T18*(1+Inputs!$B$35/100))/(1/Q2695)))))</f>
        <v/>
      </c>
    </row>
    <row r="2707">
      <c r="A2707" t="inlineStr">
        <is>
          <t>Attack Speed Buff Bonus %</t>
        </is>
      </c>
      <c r="B2707">
        <f>((C2697=TRUE)*F2697*IF(AND(Inputs!$B$39&lt;&gt;"pvp",Inputs!$B$44&gt;0),(((R2697-1)*MIN((Skills!T20*(1+Inputs!$B$35/100)),(1/Q2697))+MIN((Skills!T20*(1+Inputs!$B$35/100)),MAX(0,Inputs!$B$44-((R2697-1)*(1/Q2697)))))/Inputs!$B$44),IF(Inputs!$B$39="pvp",MIN((Skills!T20*(1+Inputs!$B$35/100)),15)/15,MIN(1,(Skills!T20*(1+Inputs!$B$35/100))/(1/Q2697)))))</f>
        <v/>
      </c>
    </row>
    <row r="2708">
      <c r="A2708" t="inlineStr">
        <is>
          <t>Actions Per Second</t>
        </is>
      </c>
      <c r="B2708">
        <f>1+MIN(150,150*(1-(1-(Inputs!$B$12+((C2698=TRUE)*(F2698-Calc!F21)))/150)*(1-B2707/150)))/100</f>
        <v/>
      </c>
    </row>
    <row r="2709">
      <c r="A2709" t="inlineStr">
        <is>
          <t>Skill + Buff Cast Rate</t>
        </is>
      </c>
      <c r="B2709">
        <f>IF(AND(Inputs!$B$39&lt;&gt;"pvp",Inputs!$B$44&gt;0),SUMPRODUCT((Skills!E2:E26=TRUE)*(C2679:C2703=TRUE)*R2679:R2703*Skills!F2:F26)/Inputs!$B$44,SUMPRODUCT((Skills!E2:E26=TRUE)*(C2679:C2703=TRUE)*Q2679:Q2703*Skills!F2:F26))</f>
        <v/>
      </c>
    </row>
    <row r="2710">
      <c r="A2710" t="inlineStr">
        <is>
          <t>Dark Impale Casts Per Second</t>
        </is>
      </c>
      <c r="B2710">
        <f>MAX(0,B2708-B2709)</f>
        <v/>
      </c>
    </row>
    <row r="2711">
      <c r="A2711" t="inlineStr">
        <is>
          <t>Global Critical Damage Bonus % (Lord of Darkness)</t>
        </is>
      </c>
      <c r="B2711">
        <f>((C2696=TRUE)*F2696*(Skills!J19/100)*IF(AND(Inputs!$B$39&lt;&gt;"pvp",Inputs!$B$44&gt;0),(((R2696-1)*MIN((Skills!T19*(1+Inputs!$B$35/100)),(1/Q2696))+MIN((Skills!T19*(1+Inputs!$B$35/100)),MAX(0,Inputs!$B$44-((R2696-1)*(1/Q2696)))))/Inputs!$B$44),IF(Inputs!$B$39="pvp",MIN((Skills!T19*(1+Inputs!$B$35/100)),15)/15,MIN(1,(Skills!T19*(1+Inputs!$B$35/100))/(1/Q2696)))))</f>
        <v/>
      </c>
    </row>
    <row r="2712">
      <c r="A2712" t="inlineStr">
        <is>
          <t>Global Final Damage Bonus % (unused)</t>
        </is>
      </c>
      <c r="B2712" t="n">
        <v>0</v>
      </c>
    </row>
    <row r="2713">
      <c r="A2713" t="inlineStr">
        <is>
          <t>Buff-Casting Startup Delay (s, fixed-duration only)</t>
        </is>
      </c>
      <c r="B2713">
        <f>IF(AND(Inputs!$B$39&lt;&gt;"pvp",Inputs!$B$44&gt;0),SUMPRODUCT((Skills!T2:T26&gt;0)*(Skills!E2:E26=TRUE)*(C2679:C2703=TRUE))/B2708,0)</f>
        <v/>
      </c>
    </row>
    <row r="2714">
      <c r="A2714" t="inlineStr">
        <is>
          <t>Boss-Only Total DPS (this block's swept value)</t>
        </is>
      </c>
      <c r="B2714">
        <f>SUM(T2679:T2703)</f>
        <v/>
      </c>
    </row>
    <row r="2715">
      <c r="A2715" t="inlineStr">
        <is>
          <t>Normal-Only Total DPS (this block's swept value)</t>
        </is>
      </c>
      <c r="B2715">
        <f>SUM(V2679:V2703)</f>
        <v/>
      </c>
    </row>
    <row r="2716">
      <c r="A2716" s="6" t="inlineStr">
        <is>
          <t>TOTAL DPS</t>
        </is>
      </c>
      <c r="B2716" s="6">
        <f>SUM(O2679:O2703)</f>
        <v/>
      </c>
    </row>
    <row r="2719">
      <c r="A2719" s="6" t="inlineStr">
        <is>
          <t>Stat: Ring of Cycles (Equip)</t>
        </is>
      </c>
    </row>
    <row r="2720">
      <c r="A2720" s="5" t="inlineStr">
        <is>
          <t>Key</t>
        </is>
      </c>
      <c r="B2720" s="5" t="inlineStr">
        <is>
          <t>Name</t>
        </is>
      </c>
      <c r="C2720" s="5" t="inlineStr">
        <is>
          <t>Unlocked</t>
        </is>
      </c>
      <c r="D2720" s="5" t="inlineStr">
        <is>
          <t>InputLevel</t>
        </is>
      </c>
      <c r="E2720" s="5" t="inlineStr">
        <is>
          <t>Factor</t>
        </is>
      </c>
      <c r="F2720" s="5" t="inlineStr">
        <is>
          <t>CoefficientPercent</t>
        </is>
      </c>
      <c r="G2720" s="5" t="inlineStr">
        <is>
          <t>EffectiveHits</t>
        </is>
      </c>
      <c r="H2720" s="5" t="inlineStr">
        <is>
          <t>ProcProbability</t>
        </is>
      </c>
      <c r="I2720" s="5" t="inlineStr">
        <is>
          <t>MapleHeroMultiplier</t>
        </is>
      </c>
      <c r="J2720" s="5" t="inlineStr">
        <is>
          <t>BaseDamage</t>
        </is>
      </c>
      <c r="K2720" s="5" t="inlineStr">
        <is>
          <t>BaseHitDamage</t>
        </is>
      </c>
      <c r="L2720" s="5" t="inlineStr">
        <is>
          <t>NonCritAvg</t>
        </is>
      </c>
      <c r="M2720" s="5" t="inlineStr">
        <is>
          <t>CritAvg</t>
        </is>
      </c>
      <c r="N2720" s="5" t="inlineStr">
        <is>
          <t>ExpectedDamage(perHit)</t>
        </is>
      </c>
      <c r="O2720" s="5" t="inlineStr">
        <is>
          <t>DPS</t>
        </is>
      </c>
      <c r="P2720" s="5" t="inlineStr">
        <is>
          <t>% of Total</t>
        </is>
      </c>
      <c r="Q2720" s="5" t="inlineStr">
        <is>
          <t>InvCooldown</t>
        </is>
      </c>
      <c r="R2720" s="5" t="inlineStr">
        <is>
          <t>CastsInFight</t>
        </is>
      </c>
      <c r="S2720" s="5" t="inlineStr">
        <is>
          <t>HitRate(perSec)</t>
        </is>
      </c>
      <c r="U2720" t="inlineStr">
        <is>
          <t>helpers</t>
        </is>
      </c>
    </row>
    <row r="2721">
      <c r="A2721">
        <f>Skills!A2</f>
        <v/>
      </c>
      <c r="B2721">
        <f>Skills!B2</f>
        <v/>
      </c>
      <c r="C2721">
        <f>Inputs!$B$3&gt;=100</f>
        <v/>
      </c>
      <c r="D2721" t="inlineStr"/>
      <c r="E2721" t="inlineStr"/>
      <c r="F2721">
        <f>U2723+Skills!O2</f>
        <v/>
      </c>
      <c r="G2721">
        <f>Skills!G2*IF(Skills!H2&gt;0,INT(IF(Inputs!$B$39="pvp",MIN(Skills!I2,15),Skills!I2)/Skills!H2+0.000000001),1)</f>
        <v/>
      </c>
      <c r="H2721">
        <f>1-(1-Skills!J2/100)^Skills!K2</f>
        <v/>
      </c>
      <c r="I2721" t="inlineStr">
        <is>
          <t>1</t>
        </is>
      </c>
      <c r="J2721">
        <f>((Inputs!$B$6*(1+Inputs!$B$7/100))+(((Inputs!$B$13*(1+Inputs!$B$14/100))-(Inputs!$B$13*(1+Inputs!$B$14/100)))+0.25*(Inputs!$B$15-Inputs!$B$15))*(1+Inputs!$B$7/100))*(F2721/100)</f>
        <v/>
      </c>
      <c r="K2721">
        <f>J2721*(1+(((Inputs!$B$13+IF(Inputs!$B$3&gt;=38,(10*INDEX(FactorTable!$B$2:$Y$301, MATCH(ROUND(MIN(300,MAX(1,Inputs!$B$3)),0), FactorTable!$A$2:$A$301,0), 23)/1000)/100*(Inputs!$B$8*(1+Inputs!$B$9/100)),0))*(1+Inputs!$B$14/100))*0.01+Inputs!$B$15*0.0025)/100)*(1+Inputs!$B$16/100)*(1+Inputs!$B$17/100)*(5000/(6000+Inputs!$B$43*(1-(Inputs!$B$20+0)/100)))*(1+(Inputs!$B$25+((C2744=TRUE)*(F2744-Calc!F25))+((C2745=TRUE)*(F2745-Calc!F26))+B2754)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gt;=100),MIN(100,((Inputs!$B$10+0+B2748+(ArtifactsInput!$M$24-ArtifactsInput!$M$24)*CHOOSE(ArtifactsInput!$N$24+1,10,12,14,16,18,20)+IF(ArtifactsInput!$M$10,CHOOSE(ArtifactsInput!$N$10+1,15,18,21,24,27,30)*(IF(Inputs!$B$39="pvp",MIN(15,15)/15,IF(AND(Inputs!$B$39&lt;&gt;"pvp",Inputs!$B$44&gt;0),MIN(15,Inputs!$B$44)/(Inputs!$B$44),0))),0)))-100),0))*CHOOSE(ArtifactsInput!$N$42+1,0.6,0.72,0.84,0.96,1.08,1.2))),Inputs!$B$19+((C2742=TRUE)*(F2742-Calc!F23))+(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gt;=100),CHOOSE(ArtifactsInput!$N$42+1,40,48,56,64,72,80),0))))/100)*((1+(((C2732=TRUE)*F2732*IF(AND(Inputs!$B$39&lt;&gt;"pvp",Inputs!$B$44&gt;0),(((R2732-1)*MIN((Skills!T13*(1+Inputs!$B$35/100)),(1/Q2732))+MIN((Skills!T13*(1+Inputs!$B$35/100)),MAX(0,Inputs!$B$44-((R2732-1)*(1/Q2732)))))/Inputs!$B$44),IF(Inputs!$B$39="pvp",MIN((Skills!T13*(1+Inputs!$B$35/100)),15)/15,MIN(1,(Skills!T13*(1+Inputs!$B$35/100))/(1/Q2732)))))+((C2733=TRUE)*F2733*IF(AND(Inputs!$B$39&lt;&gt;"pvp",Inputs!$B$44&gt;0),(((R2733-1)*MIN((Skills!T14*(1+Inputs!$B$35/100)),(1/Q2733))+MIN((Skills!T14*(1+Inputs!$B$35/100)),MAX(0,Inputs!$B$44-((R2733-1)*(1/Q2733)))))/Inputs!$B$44),IF(Inputs!$B$39="pvp",MIN((Skills!T14*(1+Inputs!$B$35/100)),15)/15,MIN(1,(Skills!T14*(1+Inputs!$B$35/100))/(1/Q2733)))))+((C2734=TRUE)*F2734*IF(AND(Inputs!$B$39&lt;&gt;"pvp",Inputs!$B$44&gt;0),(((R2734-1)*MIN((Skills!T15*(1+Inputs!$B$35/100)),(1/Q2734))+MIN((Skills!T15*(1+Inputs!$B$35/100)),MAX(0,Inputs!$B$44-((R2734-1)*(1/Q2734)))))/Inputs!$B$44),IF(Inputs!$B$39="pvp",MIN((Skills!T15*(1+Inputs!$B$35/100)),15)/15,MIN(1,(Skills!T15*(1+Inputs!$B$35/100))/(1/Q2734)))))+((C2735=TRUE)*F2735*IF(AND(Inputs!$B$39&lt;&gt;"pvp",Inputs!$B$44&gt;0),(((R2735-1)*MIN((Skills!T16*(1+Inputs!$B$35/100)),(1/Q2735))+MIN((Skills!T16*(1+Inputs!$B$35/100)),MAX(0,Inputs!$B$44-((R2735-1)*(1/Q2735)))))/Inputs!$B$44),IF(Inputs!$B$39="pvp",MIN((Skills!T16*(1+Inputs!$B$35/100)),15)/15,MIN(1,(Skills!T16*(1+Inputs!$B$35/100))/(1/Q2735)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2721)</f>
        <v/>
      </c>
      <c r="L2721">
        <f>K2721*(MIN(Inputs!$B$23+((C2741=TRUE)*(F2741-Calc!F22)),(Inputs!$B$24+((C2743=TRUE)*(F2743-Calc!F24))+(IF(ArtifactsInput!$M$15,CHOOSE(ArtifactsInput!$N$15+1,25,30,35,40,45,50)/100*(Inputs!$B$12-Inputs!$B$12),0))))/100+(Inputs!$B$24+((C2743=TRUE)*(F2743-Calc!F24))+(IF(ArtifactsInput!$M$15,CHOOSE(ArtifactsInput!$N$15+1,25,30,35,40,45,50)/100*(Inputs!$B$12-Inputs!$B$12),0)))/100)/2</f>
        <v/>
      </c>
      <c r="M2721">
        <f>L2721*(1+(Inputs!$B$11+0+B2753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721">
        <f>L2721*(1-MIN((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2721*(MIN((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21">
        <f>(1-Summary!$B$11)*T2721+Summary!$B$11*V2721</f>
        <v/>
      </c>
      <c r="P2721">
        <f>IF(B2758=0,0,O2721/B2758)</f>
        <v/>
      </c>
      <c r="Q2721" t="n">
        <v>0</v>
      </c>
      <c r="R2721" t="n">
        <v>0</v>
      </c>
      <c r="S2721">
        <f>IFERROR(O2721/N2721,0)</f>
        <v/>
      </c>
      <c r="T2721">
        <f>IF(C2721,(Skills!G2*N2721*B2752)*IF(Inputs!$B$39="pvp",1,1+(Inputs!$B$21+0+Skills!P2+((C2736=TRUE)*F2736*IF(AND(Inputs!$B$39&lt;&gt;"pvp",Inputs!$B$44&gt;0),(((R2736-1)*MIN((Skills!T17*(1+Inputs!$B$35/100)),(1/Q2736))+MIN((Skills!T17*(1+Inputs!$B$35/100)),MAX(0,Inputs!$B$44-((R2736-1)*(1/Q2736)))))/Inputs!$B$44),IF(Inputs!$B$39="pvp",MIN((Skills!T17*(1+Inputs!$B$35/100)),15)/15,MIN(1,(Skills!T17*(1+Inputs!$B$35/100))/(1/Q2736)))))+((C2724=TRUE)*IF(Inputs!$B$3&gt;=126,10*MIN(1,15*Q2724),0))+((C2733=TRUE)*IF(Inputs!$B$39="pvp",20,(1-Summary!$B$11)*(20)+Summary!$B$11*(0))*IF(AND(Inputs!$B$39&lt;&gt;"pvp",Inputs!$B$44&gt;0),(((R2733-1)*MIN((Skills!T14*(1+Inputs!$B$35/100)),(1/Q2733))+MIN((Skills!T14*(1+Inputs!$B$35/100)),MAX(0,Inputs!$B$44-((R2733-1)*(1/Q2733)))))/Inputs!$B$44),IF(Inputs!$B$39="pvp",MIN((Skills!T14*(1+Inputs!$B$35/100)),15)/15,MIN(1,(Skills!T14*(1+Inputs!$B$35/100))/(1/Q2733)))))+((C2732=TRUE)*IF(Inputs!$B$3&gt;=82,IF(Inputs!$B$39="pvp",20,(1-Summary!$B$11)*(20)+Summary!$B$11*(0)),0)*IF(AND(Inputs!$B$39&lt;&gt;"pvp",Inputs!$B$44&gt;0),(((R2732-1)*MIN((Skills!T13*(1+Inputs!$B$35/100)),(1/Q2732))+MIN((Skills!T13*(1+Inputs!$B$35/100)),MAX(0,Inputs!$B$44-((R2732-1)*(1/Q2732)))))/Inputs!$B$44),IF(Inputs!$B$39="pvp",MIN((Skills!T13*(1+Inputs!$B$35/100)),15)/15,MIN(1,(Skills!T13*(1+Inputs!$B$35/100))/(1/Q2732)))))+(IF(AND(ArtifactsInput!$M$35,Inputs!$B$4&lt;&gt;"Chapter Hunt"),CHOOSE(ArtifactsInput!$N$35+1,15,18,21,24,27,30)*(1-EXP(-(0.2*B2750)*5)),0)+IF(AND(ArtifactsInput!$M$22,Inputs!$B$4&lt;&gt;"Chapter Hunt"),CHOOSE(ArtifactsInput!$N$22+1,10,12,14,16,18,20)*((0*(((0.15*B2750*5))^0/1)+1*(((0.15*B2750*5))^1/1)+2*(((0.15*B2750*5))^2/2)+3*(((0.15*B2750*5))^3/6)+4*(((0.15*B2750*5))^4/24)+5*(((0.15*B2750*5))^5/120))/((((0.15*B2750*5))^0/1)+(((0.15*B2750*5))^1/1)+(((0.15*B2750*5))^2/2)+(((0.15*B2750*5))^3/6)+(((0.15*B2750*5))^4/24)+(((0.15*B2750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2721*(1-MIN(100,(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2721*(MIN(100,(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2721*(1-MIN(100,(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2721*(MIN(100,(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721">
        <f>MAX(0,(Inputs!$B$3-100)*3)+Inputs!$B$29+Inputs!$B$30</f>
        <v/>
      </c>
      <c r="V2721">
        <f>IF(C2721,(Skills!G2*N2721*B2752)*IF(Inputs!$B$39="pvp",1,(1+(Inputs!$B$22+Skills!Q2+((C2736=TRUE)*F2736*IF(AND(Inputs!$B$39&lt;&gt;"pvp",Inputs!$B$44&gt;0),(((R2736-1)*MIN((Skills!T17*(1+Inputs!$B$35/100)),(1/Q2736))+MIN((Skills!T17*(1+Inputs!$B$35/100)),MAX(0,Inputs!$B$44-((R2736-1)*(1/Q2736)))))/Inputs!$B$44),IF(Inputs!$B$39="pvp",MIN((Skills!T17*(1+Inputs!$B$35/100)),15)/15,MIN(1,(Skills!T17*(1+Inputs!$B$35/100))/(1/Q2736)))))+((C2724=TRUE)*IF(Inputs!$B$3&gt;=126,10*MIN(1,15*Q2724),0))+((C2733=TRUE)*IF(Inputs!$B$39="pvp",20,(1-Summary!$B$11)*(20)+Summary!$B$11*(0))*IF(AND(Inputs!$B$39&lt;&gt;"pvp",Inputs!$B$44&gt;0),(((R2733-1)*MIN((Skills!T14*(1+Inputs!$B$35/100)),(1/Q2733))+MIN((Skills!T14*(1+Inputs!$B$35/100)),MAX(0,Inputs!$B$44-((R2733-1)*(1/Q2733)))))/Inputs!$B$44),IF(Inputs!$B$39="pvp",MIN((Skills!T14*(1+Inputs!$B$35/100)),15)/15,MIN(1,(Skills!T14*(1+Inputs!$B$35/100))/(1/Q2733)))))+((C2732=TRUE)*IF(Inputs!$B$3&gt;=82,IF(Inputs!$B$39="pvp",20,(1-Summary!$B$11)*(20)+Summary!$B$11*(0)),0)*IF(AND(Inputs!$B$39&lt;&gt;"pvp",Inputs!$B$44&gt;0),(((R2732-1)*MIN((Skills!T13*(1+Inputs!$B$35/100)),(1/Q2732))+MIN((Skills!T13*(1+Inputs!$B$35/100)),MAX(0,Inputs!$B$44-((R2732-1)*(1/Q2732)))))/Inputs!$B$44),IF(Inputs!$B$39="pvp",MIN((Skills!T13*(1+Inputs!$B$35/100)),15)/15,MIN(1,(Skills!T13*(1+Inputs!$B$35/100))/(1/Q2732)))))+(IF(AND(ArtifactsInput!$M$35,Inputs!$B$4&lt;&gt;"Chapter Hunt"),CHOOSE(ArtifactsInput!$N$35+1,15,18,21,24,27,30)*(1-EXP(-(0.2*B2750)*5)),0)+IF(AND(ArtifactsInput!$M$22,Inputs!$B$4&lt;&gt;"Chapter Hunt"),CHOOSE(ArtifactsInput!$N$22+1,10,12,14,16,18,20)*((0*(((0.15*B2750*5))^0/1)+1*(((0.15*B2750*5))^1/1)+2*(((0.15*B2750*5))^2/2)+3*(((0.15*B2750*5))^3/6)+4*(((0.15*B2750*5))^4/24)+5*(((0.15*B2750*5))^5/120))/((((0.15*B2750*5))^0/1)+(((0.15*B2750*5))^1/1)+(((0.15*B2750*5))^2/2)+(((0.15*B2750*5))^3/6)+(((0.15*B2750*5))^4/24)+(((0.15*B2750*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22">
      <c r="A2722">
        <f>Skills!A3</f>
        <v/>
      </c>
      <c r="B2722">
        <f>Skills!B3</f>
        <v/>
      </c>
      <c r="C2722">
        <f>Inputs!$B$3&gt;=50</f>
        <v/>
      </c>
      <c r="D2722">
        <f>IF(Skills!C3=1,60+Inputs!$B$26+Inputs!$B$30,IF(Skills!C3=2,90+Inputs!$B$27+Inputs!$B$30,IF(Skills!C3=3,120+Inputs!$B$28+Inputs!$B$30,MAX(0,(Inputs!$B$3-100)*3)+Inputs!$B$29+Inputs!$B$30)))</f>
        <v/>
      </c>
      <c r="E2722">
        <f>INDEX(FactorTable!$B$2:$Y$301, MATCH(ROUND(MIN(300,MAX(1,D2722)),0), FactorTable!$A$2:$A$301,0), Skills!M3+1)</f>
        <v/>
      </c>
      <c r="F2722">
        <f>IF(Skills!N3=TRUE,(Skills!L3/10)*(E2722/1000),Skills!L3/10)+Skills!O3</f>
        <v/>
      </c>
      <c r="G2722" t="inlineStr"/>
      <c r="H2722" t="inlineStr"/>
      <c r="I2722" t="inlineStr">
        <is>
          <t>1</t>
        </is>
      </c>
      <c r="J2722" t="inlineStr"/>
      <c r="K2722" t="inlineStr"/>
      <c r="L2722" t="inlineStr"/>
      <c r="M2722" t="inlineStr"/>
      <c r="N2722" t="inlineStr"/>
      <c r="O2722" t="inlineStr"/>
      <c r="P2722" t="inlineStr"/>
      <c r="Q2722" t="inlineStr"/>
      <c r="R2722" t="inlineStr"/>
      <c r="S2722" t="inlineStr"/>
      <c r="U2722">
        <f>INDEX(FactorTable!$B$2:$Y$301, MATCH(ROUND(MIN(300,MAX(1,U2721)),0), FactorTable!$A$2:$A$301,0), 22)</f>
        <v/>
      </c>
    </row>
    <row r="2723">
      <c r="A2723">
        <f>Skills!A4</f>
        <v/>
      </c>
      <c r="B2723">
        <f>Skills!B4</f>
        <v/>
      </c>
      <c r="C2723">
        <f>Inputs!$B$3&gt;=105</f>
        <v/>
      </c>
      <c r="D2723">
        <f>IF(Skills!C4=1,60+Inputs!$B$26+Inputs!$B$30,IF(Skills!C4=2,90+Inputs!$B$27+Inputs!$B$30,IF(Skills!C4=3,120+Inputs!$B$28+Inputs!$B$30,MAX(0,(Inputs!$B$3-100)*3)+Inputs!$B$29+Inputs!$B$30)))</f>
        <v/>
      </c>
      <c r="E2723">
        <f>INDEX(FactorTable!$B$2:$Y$301, MATCH(ROUND(MIN(300,MAX(1,D2723)),0), FactorTable!$A$2:$A$301,0), Skills!M4+1)</f>
        <v/>
      </c>
      <c r="F2723">
        <f>IF(Skills!N4=TRUE,(Skills!L4/10)*(E2723/1000),Skills!L4/10)+Skills!O4</f>
        <v/>
      </c>
      <c r="G2723" t="inlineStr"/>
      <c r="H2723" t="inlineStr"/>
      <c r="I2723" t="inlineStr">
        <is>
          <t>1</t>
        </is>
      </c>
      <c r="J2723" t="inlineStr"/>
      <c r="K2723" t="inlineStr"/>
      <c r="L2723" t="inlineStr"/>
      <c r="M2723" t="inlineStr"/>
      <c r="N2723" t="inlineStr"/>
      <c r="O2723" t="inlineStr"/>
      <c r="P2723" t="inlineStr"/>
      <c r="Q2723" t="inlineStr"/>
      <c r="R2723" t="inlineStr"/>
      <c r="S2723" t="inlineStr"/>
      <c r="U2723">
        <f>290*U2722/1000</f>
        <v/>
      </c>
    </row>
    <row r="2724">
      <c r="A2724">
        <f>Skills!A5</f>
        <v/>
      </c>
      <c r="B2724">
        <f>Skills!B5</f>
        <v/>
      </c>
      <c r="C2724">
        <f>Inputs!$B$3&gt;=117</f>
        <v/>
      </c>
      <c r="D2724">
        <f>IF(Skills!C5=1,60+Inputs!$B$26+Inputs!$B$30,IF(Skills!C5=2,90+Inputs!$B$27+Inputs!$B$30,IF(Skills!C5=3,120+Inputs!$B$28+Inputs!$B$30,MAX(0,(Inputs!$B$3-100)*3)+Inputs!$B$29+Inputs!$B$30)))</f>
        <v/>
      </c>
      <c r="E2724">
        <f>INDEX(FactorTable!$B$2:$Y$301, MATCH(ROUND(MIN(300,MAX(1,D2724)),0), FactorTable!$A$2:$A$301,0), Skills!M5+1)</f>
        <v/>
      </c>
      <c r="F2724">
        <f>IF(Skills!N5=TRUE,(Skills!L5/10)*(E2724/1000),Skills!L5/10)+Skills!O5</f>
        <v/>
      </c>
      <c r="G2724">
        <f>Skills!G5*IF(Skills!H5&gt;0,INT(IF(Inputs!$B$39="pvp",MIN(Skills!I5,15),Skills!I5)/Skills!H5+0.000000001),1)</f>
        <v/>
      </c>
      <c r="H2724">
        <f>1-(1-Skills!J5/100)^Skills!K5</f>
        <v/>
      </c>
      <c r="I2724" t="inlineStr">
        <is>
          <t>1</t>
        </is>
      </c>
      <c r="J2724">
        <f>((Inputs!$B$6*(1+Inputs!$B$7/100))+(((Inputs!$B$13*(1+Inputs!$B$14/100))-(Inputs!$B$13*(1+Inputs!$B$14/100)))+0.25*(Inputs!$B$15-Inputs!$B$15))*(1+Inputs!$B$7/100))*(F2724/100)</f>
        <v/>
      </c>
      <c r="K2724">
        <f>J2724*(1+(((Inputs!$B$13+IF(Inputs!$B$3&gt;=38,(10*INDEX(FactorTable!$B$2:$Y$301, MATCH(ROUND(MIN(300,MAX(1,Inputs!$B$3)),0), FactorTable!$A$2:$A$301,0), 23)/1000)/100*(Inputs!$B$8*(1+Inputs!$B$9/100)),0))*(1+Inputs!$B$14/100))*0.01+Inputs!$B$15*0.0025)/100)*(1+Inputs!$B$16/100)*(1+Inputs!$B$17/100)*(5000/(6000+Inputs!$B$43*(1-(Inputs!$B$20+0)/100)))*(1+(Inputs!$B$25+((C2744=TRUE)*(F2744-Calc!F25))+((C2745=TRUE)*(F2745-Calc!F26))+B2754)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gt;=100),MIN(100,((Inputs!$B$10+0+B2748+(ArtifactsInput!$M$24-ArtifactsInput!$M$24)*CHOOSE(ArtifactsInput!$N$24+1,10,12,14,16,18,20)+IF(ArtifactsInput!$M$10,CHOOSE(ArtifactsInput!$N$10+1,15,18,21,24,27,30)*(IF(Inputs!$B$39="pvp",MIN(15,15)/15,IF(AND(Inputs!$B$39&lt;&gt;"pvp",Inputs!$B$44&gt;0),MIN(15,Inputs!$B$44)/(Inputs!$B$44),0))),0)))-100),0))*CHOOSE(ArtifactsInput!$N$42+1,0.6,0.72,0.84,0.96,1.08,1.2))),Inputs!$B$19+((C2742=TRUE)*(F2742-Calc!F23))+(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gt;=100),CHOOSE(ArtifactsInput!$N$42+1,40,48,56,64,72,80),0))))/100)*((1+(((C2732=TRUE)*F2732*IF(AND(Inputs!$B$39&lt;&gt;"pvp",Inputs!$B$44&gt;0),(((R2732-1)*MIN((Skills!T13*(1+Inputs!$B$35/100)),(1/Q2732))+MIN((Skills!T13*(1+Inputs!$B$35/100)),MAX(0,Inputs!$B$44-((R2732-1)*(1/Q2732)))))/Inputs!$B$44),IF(Inputs!$B$39="pvp",MIN((Skills!T13*(1+Inputs!$B$35/100)),15)/15,MIN(1,(Skills!T13*(1+Inputs!$B$35/100))/(1/Q2732)))))+((C2733=TRUE)*F2733*IF(AND(Inputs!$B$39&lt;&gt;"pvp",Inputs!$B$44&gt;0),(((R2733-1)*MIN((Skills!T14*(1+Inputs!$B$35/100)),(1/Q2733))+MIN((Skills!T14*(1+Inputs!$B$35/100)),MAX(0,Inputs!$B$44-((R2733-1)*(1/Q2733)))))/Inputs!$B$44),IF(Inputs!$B$39="pvp",MIN((Skills!T14*(1+Inputs!$B$35/100)),15)/15,MIN(1,(Skills!T14*(1+Inputs!$B$35/100))/(1/Q2733)))))+((C2734=TRUE)*F2734*IF(AND(Inputs!$B$39&lt;&gt;"pvp",Inputs!$B$44&gt;0),(((R2734-1)*MIN((Skills!T15*(1+Inputs!$B$35/100)),(1/Q2734))+MIN((Skills!T15*(1+Inputs!$B$35/100)),MAX(0,Inputs!$B$44-((R2734-1)*(1/Q2734)))))/Inputs!$B$44),IF(Inputs!$B$39="pvp",MIN((Skills!T15*(1+Inputs!$B$35/100)),15)/15,MIN(1,(Skills!T15*(1+Inputs!$B$35/100))/(1/Q2734)))))+((C2735=TRUE)*F2735*IF(AND(Inputs!$B$39&lt;&gt;"pvp",Inputs!$B$44&gt;0),(((R2735-1)*MIN((Skills!T16*(1+Inputs!$B$35/100)),(1/Q2735))+MIN((Skills!T16*(1+Inputs!$B$35/100)),MAX(0,Inputs!$B$44-((R2735-1)*(1/Q2735)))))/Inputs!$B$44),IF(Inputs!$B$39="pvp",MIN((Skills!T16*(1+Inputs!$B$35/100)),15)/15,MIN(1,(Skills!T16*(1+Inputs!$B$35/100))/(1/Q2735)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2724)</f>
        <v/>
      </c>
      <c r="L2724">
        <f>K2724*(MIN(Inputs!$B$23+((C2741=TRUE)*(F2741-Calc!F22)),(Inputs!$B$24+((C2743=TRUE)*(F2743-Calc!F24))+(IF(ArtifactsInput!$M$15,CHOOSE(ArtifactsInput!$N$15+1,25,30,35,40,45,50)/100*(Inputs!$B$12-Inputs!$B$12),0))))/100+(Inputs!$B$24+((C2743=TRUE)*(F2743-Calc!F24))+(IF(ArtifactsInput!$M$15,CHOOSE(ArtifactsInput!$N$15+1,25,30,35,40,45,50)/100*(Inputs!$B$12-Inputs!$B$12),0)))/100)/2</f>
        <v/>
      </c>
      <c r="M2724">
        <f>L2724*(1+(Inputs!$B$11+0+B2753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724">
        <f>L2724*(1-MIN((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2724*(MIN((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24">
        <f>(1-Summary!$B$11)*T2724+Summary!$B$11*V2724</f>
        <v/>
      </c>
      <c r="P2724">
        <f>IF(B2758=0,0,O2724/B2758)</f>
        <v/>
      </c>
      <c r="Q2724">
        <f>IFERROR(1/IF(Inputs!$B$39="pvp",15,MAX(0.1,Skills!D5-IF(TRUE=TRUE,Inputs!$B$33,0))),0)</f>
        <v/>
      </c>
      <c r="R2724">
        <f>IF(AND(Inputs!$B$39&lt;&gt;"pvp",Inputs!$B$44&gt;0),IF(MAX(0,Inputs!$B$44-B2755)&lt;=0,0,(INT(MAX(0,Inputs!$B$44-B2755)/IF(Inputs!$B$39="pvp",15,MAX(0.1,Skills!D5-IF(TRUE=TRUE,Inputs!$B$33,0))))+1)),0)</f>
        <v/>
      </c>
      <c r="S2724">
        <f>IFERROR(O2724/N2724,0)</f>
        <v/>
      </c>
      <c r="T2724">
        <f>IF(C2724,(H2724*N2724*IF(AND(Inputs!$B$39&lt;&gt;"pvp",Inputs!$B$44&gt;0),((Skills!G5*((R2724-1)*IF(Skills!H5&gt;0,INT(Skills!I5/Skills!H5+0.000000001),1)+IF(Skills!H5&gt;0,INT(MIN(Skills!I5,MAX(0,MAX(0,Inputs!$B$44-B2755)-((R2724-1)*IF(Inputs!$B$39="pvp",15,MAX(0.1,Skills!D5-IF(TRUE=TRUE,Inputs!$B$33,0))))))/Skills!H5+0.000000001),1)))/Inputs!$B$44),G2724*Q2724))*IF(Inputs!$B$39="pvp",1,1+(Inputs!$B$21+0+Skills!P5+((C2736=TRUE)*F2736*IF(AND(Inputs!$B$39&lt;&gt;"pvp",Inputs!$B$44&gt;0),(((R2736-1)*MIN((Skills!T17*(1+Inputs!$B$35/100)),(1/Q2736))+MIN((Skills!T17*(1+Inputs!$B$35/100)),MAX(0,Inputs!$B$44-((R2736-1)*(1/Q2736)))))/Inputs!$B$44),IF(Inputs!$B$39="pvp",MIN((Skills!T17*(1+Inputs!$B$35/100)),15)/15,MIN(1,(Skills!T17*(1+Inputs!$B$35/100))/(1/Q2736)))))+((C2724=TRUE)*IF(Inputs!$B$3&gt;=126,10*MIN(1,15*Q2724),0))+((C2733=TRUE)*IF(Inputs!$B$39="pvp",20,(1-Summary!$B$11)*(20)+Summary!$B$11*(0))*IF(AND(Inputs!$B$39&lt;&gt;"pvp",Inputs!$B$44&gt;0),(((R2733-1)*MIN((Skills!T14*(1+Inputs!$B$35/100)),(1/Q2733))+MIN((Skills!T14*(1+Inputs!$B$35/100)),MAX(0,Inputs!$B$44-((R2733-1)*(1/Q2733)))))/Inputs!$B$44),IF(Inputs!$B$39="pvp",MIN((Skills!T14*(1+Inputs!$B$35/100)),15)/15,MIN(1,(Skills!T14*(1+Inputs!$B$35/100))/(1/Q2733)))))+((C2732=TRUE)*IF(Inputs!$B$3&gt;=82,IF(Inputs!$B$39="pvp",20,(1-Summary!$B$11)*(20)+Summary!$B$11*(0)),0)*IF(AND(Inputs!$B$39&lt;&gt;"pvp",Inputs!$B$44&gt;0),(((R2732-1)*MIN((Skills!T13*(1+Inputs!$B$35/100)),(1/Q2732))+MIN((Skills!T13*(1+Inputs!$B$35/100)),MAX(0,Inputs!$B$44-((R2732-1)*(1/Q2732)))))/Inputs!$B$44),IF(Inputs!$B$39="pvp",MIN((Skills!T13*(1+Inputs!$B$35/100)),15)/15,MIN(1,(Skills!T13*(1+Inputs!$B$35/100))/(1/Q2732)))))+(IF(AND(ArtifactsInput!$M$35,Inputs!$B$4&lt;&gt;"Chapter Hunt"),CHOOSE(ArtifactsInput!$N$35+1,15,18,21,24,27,30)*(1-EXP(-(0.2*B2750)*5)),0)+IF(AND(ArtifactsInput!$M$22,Inputs!$B$4&lt;&gt;"Chapter Hunt"),CHOOSE(ArtifactsInput!$N$22+1,10,12,14,16,18,20)*((0*(((0.15*B2750*5))^0/1)+1*(((0.15*B2750*5))^1/1)+2*(((0.15*B2750*5))^2/2)+3*(((0.15*B2750*5))^3/6)+4*(((0.15*B2750*5))^4/24)+5*(((0.15*B2750*5))^5/120))/((((0.15*B2750*5))^0/1)+(((0.15*B2750*5))^1/1)+(((0.15*B2750*5))^2/2)+(((0.15*B2750*5))^3/6)+(((0.15*B2750*5))^4/24)+(((0.15*B2750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2724*(1-MIN(100,(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2724*(MIN(100,(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2724*(1-MIN(100,(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2724*(MIN(100,(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24">
        <f>IF(C2724,(H2724*N2724*IF(AND(Inputs!$B$39&lt;&gt;"pvp",Inputs!$B$44&gt;0),((Skills!G5*((R2724-1)*IF(Skills!H5&gt;0,INT(Skills!I5/Skills!H5+0.000000001),1)+IF(Skills!H5&gt;0,INT(MIN(Skills!I5,MAX(0,MAX(0,Inputs!$B$44-B2755)-((R2724-1)*IF(Inputs!$B$39="pvp",15,MAX(0.1,Skills!D5-IF(TRUE=TRUE,Inputs!$B$33,0))))))/Skills!H5+0.000000001),1)))/Inputs!$B$44),G2724*Q2724))*IF(Inputs!$B$39="pvp",1,(1+(Inputs!$B$22+Skills!Q5+((C2736=TRUE)*F2736*IF(AND(Inputs!$B$39&lt;&gt;"pvp",Inputs!$B$44&gt;0),(((R2736-1)*MIN((Skills!T17*(1+Inputs!$B$35/100)),(1/Q2736))+MIN((Skills!T17*(1+Inputs!$B$35/100)),MAX(0,Inputs!$B$44-((R2736-1)*(1/Q2736)))))/Inputs!$B$44),IF(Inputs!$B$39="pvp",MIN((Skills!T17*(1+Inputs!$B$35/100)),15)/15,MIN(1,(Skills!T17*(1+Inputs!$B$35/100))/(1/Q2736)))))+((C2724=TRUE)*IF(Inputs!$B$3&gt;=126,10*MIN(1,15*Q2724),0))+((C2733=TRUE)*IF(Inputs!$B$39="pvp",20,(1-Summary!$B$11)*(20)+Summary!$B$11*(0))*IF(AND(Inputs!$B$39&lt;&gt;"pvp",Inputs!$B$44&gt;0),(((R2733-1)*MIN((Skills!T14*(1+Inputs!$B$35/100)),(1/Q2733))+MIN((Skills!T14*(1+Inputs!$B$35/100)),MAX(0,Inputs!$B$44-((R2733-1)*(1/Q2733)))))/Inputs!$B$44),IF(Inputs!$B$39="pvp",MIN((Skills!T14*(1+Inputs!$B$35/100)),15)/15,MIN(1,(Skills!T14*(1+Inputs!$B$35/100))/(1/Q2733)))))+((C2732=TRUE)*IF(Inputs!$B$3&gt;=82,IF(Inputs!$B$39="pvp",20,(1-Summary!$B$11)*(20)+Summary!$B$11*(0)),0)*IF(AND(Inputs!$B$39&lt;&gt;"pvp",Inputs!$B$44&gt;0),(((R2732-1)*MIN((Skills!T13*(1+Inputs!$B$35/100)),(1/Q2732))+MIN((Skills!T13*(1+Inputs!$B$35/100)),MAX(0,Inputs!$B$44-((R2732-1)*(1/Q2732)))))/Inputs!$B$44),IF(Inputs!$B$39="pvp",MIN((Skills!T13*(1+Inputs!$B$35/100)),15)/15,MIN(1,(Skills!T13*(1+Inputs!$B$35/100))/(1/Q2732)))))+(IF(AND(ArtifactsInput!$M$35,Inputs!$B$4&lt;&gt;"Chapter Hunt"),CHOOSE(ArtifactsInput!$N$35+1,15,18,21,24,27,30)*(1-EXP(-(0.2*B2750)*5)),0)+IF(AND(ArtifactsInput!$M$22,Inputs!$B$4&lt;&gt;"Chapter Hunt"),CHOOSE(ArtifactsInput!$N$22+1,10,12,14,16,18,20)*((0*(((0.15*B2750*5))^0/1)+1*(((0.15*B2750*5))^1/1)+2*(((0.15*B2750*5))^2/2)+3*(((0.15*B2750*5))^3/6)+4*(((0.15*B2750*5))^4/24)+5*(((0.15*B2750*5))^5/120))/((((0.15*B2750*5))^0/1)+(((0.15*B2750*5))^1/1)+(((0.15*B2750*5))^2/2)+(((0.15*B2750*5))^3/6)+(((0.15*B2750*5))^4/24)+(((0.15*B2750*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25">
      <c r="A2725">
        <f>Skills!A6</f>
        <v/>
      </c>
      <c r="B2725">
        <f>Skills!B6</f>
        <v/>
      </c>
      <c r="C2725">
        <f>Inputs!$B$3&gt;=103</f>
        <v/>
      </c>
      <c r="D2725">
        <f>IF(Skills!C6=1,60+Inputs!$B$26+Inputs!$B$30,IF(Skills!C6=2,90+Inputs!$B$27+Inputs!$B$30,IF(Skills!C6=3,120+Inputs!$B$28+Inputs!$B$30,MAX(0,(Inputs!$B$3-100)*3)+Inputs!$B$29+Inputs!$B$30)))</f>
        <v/>
      </c>
      <c r="E2725">
        <f>INDEX(FactorTable!$B$2:$Y$301, MATCH(ROUND(MIN(300,MAX(1,D2725)),0), FactorTable!$A$2:$A$301,0), Skills!M6+1)</f>
        <v/>
      </c>
      <c r="F2725">
        <f>IF(Skills!N6=TRUE,(Skills!L6/10)*(E2725/1000),Skills!L6/10)+Skills!O6</f>
        <v/>
      </c>
      <c r="G2725">
        <f>Skills!G6*IF(Skills!H6&gt;0,INT(IF(Inputs!$B$39="pvp",MIN(Skills!I6,15),Skills!I6)/Skills!H6+0.000000001),1)</f>
        <v/>
      </c>
      <c r="H2725">
        <f>1-(1-Skills!J6/100)^Skills!K6</f>
        <v/>
      </c>
      <c r="I2725" t="inlineStr">
        <is>
          <t>1</t>
        </is>
      </c>
      <c r="J2725">
        <f>((Inputs!$B$6*(1+Inputs!$B$7/100))+(((Inputs!$B$13*(1+Inputs!$B$14/100))-(Inputs!$B$13*(1+Inputs!$B$14/100)))+0.25*(Inputs!$B$15-Inputs!$B$15))*(1+Inputs!$B$7/100))*(F2725/100)</f>
        <v/>
      </c>
      <c r="K2725">
        <f>J2725*(1+(((Inputs!$B$13+IF(Inputs!$B$3&gt;=38,(10*INDEX(FactorTable!$B$2:$Y$301, MATCH(ROUND(MIN(300,MAX(1,Inputs!$B$3)),0), FactorTable!$A$2:$A$301,0), 23)/1000)/100*(Inputs!$B$8*(1+Inputs!$B$9/100)),0))*(1+Inputs!$B$14/100))*0.01+Inputs!$B$15*0.0025)/100)*(1+Inputs!$B$16/100)*(1+Inputs!$B$17/100)*(5000/(6000+Inputs!$B$43*(1-(Inputs!$B$20+0)/100)))*(1+(Inputs!$B$25+((C2744=TRUE)*(F2744-Calc!F25))+((C2745=TRUE)*(F2745-Calc!F26))+B2754)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gt;=100),MIN(100,((Inputs!$B$10+0+B2748+(ArtifactsInput!$M$24-ArtifactsInput!$M$24)*CHOOSE(ArtifactsInput!$N$24+1,10,12,14,16,18,20)+IF(ArtifactsInput!$M$10,CHOOSE(ArtifactsInput!$N$10+1,15,18,21,24,27,30)*(IF(Inputs!$B$39="pvp",MIN(15,15)/15,IF(AND(Inputs!$B$39&lt;&gt;"pvp",Inputs!$B$44&gt;0),MIN(15,Inputs!$B$44)/(Inputs!$B$44),0))),0)))-100),0))*CHOOSE(ArtifactsInput!$N$42+1,0.6,0.72,0.84,0.96,1.08,1.2))),Inputs!$B$19+((C2742=TRUE)*(F2742-Calc!F23))+(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gt;=100),CHOOSE(ArtifactsInput!$N$42+1,40,48,56,64,72,80),0))))/100)*((1+(((C2732=TRUE)*F2732*IF(AND(Inputs!$B$39&lt;&gt;"pvp",Inputs!$B$44&gt;0),(((R2732-1)*MIN((Skills!T13*(1+Inputs!$B$35/100)),(1/Q2732))+MIN((Skills!T13*(1+Inputs!$B$35/100)),MAX(0,Inputs!$B$44-((R2732-1)*(1/Q2732)))))/Inputs!$B$44),IF(Inputs!$B$39="pvp",MIN((Skills!T13*(1+Inputs!$B$35/100)),15)/15,MIN(1,(Skills!T13*(1+Inputs!$B$35/100))/(1/Q2732)))))+((C2733=TRUE)*F2733*IF(AND(Inputs!$B$39&lt;&gt;"pvp",Inputs!$B$44&gt;0),(((R2733-1)*MIN((Skills!T14*(1+Inputs!$B$35/100)),(1/Q2733))+MIN((Skills!T14*(1+Inputs!$B$35/100)),MAX(0,Inputs!$B$44-((R2733-1)*(1/Q2733)))))/Inputs!$B$44),IF(Inputs!$B$39="pvp",MIN((Skills!T14*(1+Inputs!$B$35/100)),15)/15,MIN(1,(Skills!T14*(1+Inputs!$B$35/100))/(1/Q2733)))))+((C2734=TRUE)*F2734*IF(AND(Inputs!$B$39&lt;&gt;"pvp",Inputs!$B$44&gt;0),(((R2734-1)*MIN((Skills!T15*(1+Inputs!$B$35/100)),(1/Q2734))+MIN((Skills!T15*(1+Inputs!$B$35/100)),MAX(0,Inputs!$B$44-((R2734-1)*(1/Q2734)))))/Inputs!$B$44),IF(Inputs!$B$39="pvp",MIN((Skills!T15*(1+Inputs!$B$35/100)),15)/15,MIN(1,(Skills!T15*(1+Inputs!$B$35/100))/(1/Q2734)))))+((C2735=TRUE)*F2735*IF(AND(Inputs!$B$39&lt;&gt;"pvp",Inputs!$B$44&gt;0),(((R2735-1)*MIN((Skills!T16*(1+Inputs!$B$35/100)),(1/Q2735))+MIN((Skills!T16*(1+Inputs!$B$35/100)),MAX(0,Inputs!$B$44-((R2735-1)*(1/Q2735)))))/Inputs!$B$44),IF(Inputs!$B$39="pvp",MIN((Skills!T16*(1+Inputs!$B$35/100)),15)/15,MIN(1,(Skills!T16*(1+Inputs!$B$35/100))/(1/Q2735)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2725)</f>
        <v/>
      </c>
      <c r="L2725">
        <f>K2725*(MIN(Inputs!$B$23+((C2741=TRUE)*(F2741-Calc!F22)),(Inputs!$B$24+((C2743=TRUE)*(F2743-Calc!F24))+(IF(ArtifactsInput!$M$15,CHOOSE(ArtifactsInput!$N$15+1,25,30,35,40,45,50)/100*(Inputs!$B$12-Inputs!$B$12),0))))/100+(Inputs!$B$24+((C2743=TRUE)*(F2743-Calc!F24))+(IF(ArtifactsInput!$M$15,CHOOSE(ArtifactsInput!$N$15+1,25,30,35,40,45,50)/100*(Inputs!$B$12-Inputs!$B$12),0)))/100)/2</f>
        <v/>
      </c>
      <c r="M2725">
        <f>L2725*(1+(Inputs!$B$11+0+B2753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725">
        <f>L2725*(1-MIN((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2725*(MIN((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25">
        <f>(1-Summary!$B$11)*T2725+Summary!$B$11*V2725</f>
        <v/>
      </c>
      <c r="P2725">
        <f>IF(B2758=0,0,O2725/B2758)</f>
        <v/>
      </c>
      <c r="Q2725">
        <f>IFERROR(1/IF(Inputs!$B$39="pvp",15,MAX(0.1,Skills!D6-IF(TRUE=TRUE,Inputs!$B$33,0))),0)</f>
        <v/>
      </c>
      <c r="R2725">
        <f>IF(AND(Inputs!$B$39&lt;&gt;"pvp",Inputs!$B$44&gt;0),IF(MAX(0,Inputs!$B$44-B2755)&lt;=0,0,(INT(MAX(0,Inputs!$B$44-B2755)/IF(Inputs!$B$39="pvp",15,MAX(0.1,Skills!D6-IF(TRUE=TRUE,Inputs!$B$33,0))))+1)),0)</f>
        <v/>
      </c>
      <c r="S2725">
        <f>IFERROR(O2725/N2725,0)</f>
        <v/>
      </c>
      <c r="T2725">
        <f>IF(C2725,(H2725*N2725*IF(AND(Inputs!$B$39&lt;&gt;"pvp",Inputs!$B$44&gt;0),((Skills!G6*((R2725-1)*IF(Skills!H6&gt;0,INT(Skills!I6/Skills!H6+0.000000001),1)+IF(Skills!H6&gt;0,INT(MIN(Skills!I6,MAX(0,MAX(0,Inputs!$B$44-B2755)-((R2725-1)*IF(Inputs!$B$39="pvp",15,MAX(0.1,Skills!D6-IF(TRUE=TRUE,Inputs!$B$33,0))))))/Skills!H6+0.000000001),1)))/Inputs!$B$44),G2725*Q2725))*IF(Inputs!$B$39="pvp",1,1+(Inputs!$B$21+0+Skills!P6+((C2736=TRUE)*F2736*IF(AND(Inputs!$B$39&lt;&gt;"pvp",Inputs!$B$44&gt;0),(((R2736-1)*MIN((Skills!T17*(1+Inputs!$B$35/100)),(1/Q2736))+MIN((Skills!T17*(1+Inputs!$B$35/100)),MAX(0,Inputs!$B$44-((R2736-1)*(1/Q2736)))))/Inputs!$B$44),IF(Inputs!$B$39="pvp",MIN((Skills!T17*(1+Inputs!$B$35/100)),15)/15,MIN(1,(Skills!T17*(1+Inputs!$B$35/100))/(1/Q2736)))))+((C2724=TRUE)*IF(Inputs!$B$3&gt;=126,10*MIN(1,15*Q2724),0))+((C2733=TRUE)*IF(Inputs!$B$39="pvp",20,(1-Summary!$B$11)*(20)+Summary!$B$11*(0))*IF(AND(Inputs!$B$39&lt;&gt;"pvp",Inputs!$B$44&gt;0),(((R2733-1)*MIN((Skills!T14*(1+Inputs!$B$35/100)),(1/Q2733))+MIN((Skills!T14*(1+Inputs!$B$35/100)),MAX(0,Inputs!$B$44-((R2733-1)*(1/Q2733)))))/Inputs!$B$44),IF(Inputs!$B$39="pvp",MIN((Skills!T14*(1+Inputs!$B$35/100)),15)/15,MIN(1,(Skills!T14*(1+Inputs!$B$35/100))/(1/Q2733)))))+((C2732=TRUE)*IF(Inputs!$B$3&gt;=82,IF(Inputs!$B$39="pvp",20,(1-Summary!$B$11)*(20)+Summary!$B$11*(0)),0)*IF(AND(Inputs!$B$39&lt;&gt;"pvp",Inputs!$B$44&gt;0),(((R2732-1)*MIN((Skills!T13*(1+Inputs!$B$35/100)),(1/Q2732))+MIN((Skills!T13*(1+Inputs!$B$35/100)),MAX(0,Inputs!$B$44-((R2732-1)*(1/Q2732)))))/Inputs!$B$44),IF(Inputs!$B$39="pvp",MIN((Skills!T13*(1+Inputs!$B$35/100)),15)/15,MIN(1,(Skills!T13*(1+Inputs!$B$35/100))/(1/Q2732)))))+(IF(AND(ArtifactsInput!$M$35,Inputs!$B$4&lt;&gt;"Chapter Hunt"),CHOOSE(ArtifactsInput!$N$35+1,15,18,21,24,27,30)*(1-EXP(-(0.2*B2750)*5)),0)+IF(AND(ArtifactsInput!$M$22,Inputs!$B$4&lt;&gt;"Chapter Hunt"),CHOOSE(ArtifactsInput!$N$22+1,10,12,14,16,18,20)*((0*(((0.15*B2750*5))^0/1)+1*(((0.15*B2750*5))^1/1)+2*(((0.15*B2750*5))^2/2)+3*(((0.15*B2750*5))^3/6)+4*(((0.15*B2750*5))^4/24)+5*(((0.15*B2750*5))^5/120))/((((0.15*B2750*5))^0/1)+(((0.15*B2750*5))^1/1)+(((0.15*B2750*5))^2/2)+(((0.15*B2750*5))^3/6)+(((0.15*B2750*5))^4/24)+(((0.15*B2750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2725*(1-MIN(100,(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2725*(MIN(100,(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2725*(1-MIN(100,(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2725*(MIN(100,(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25">
        <f>IF(C2725,(H2725*N2725*IF(AND(Inputs!$B$39&lt;&gt;"pvp",Inputs!$B$44&gt;0),((Skills!G6*((R2725-1)*IF(Skills!H6&gt;0,INT(Skills!I6/Skills!H6+0.000000001),1)+IF(Skills!H6&gt;0,INT(MIN(Skills!I6,MAX(0,MAX(0,Inputs!$B$44-B2755)-((R2725-1)*IF(Inputs!$B$39="pvp",15,MAX(0.1,Skills!D6-IF(TRUE=TRUE,Inputs!$B$33,0))))))/Skills!H6+0.000000001),1)))/Inputs!$B$44),G2725*Q2725))*IF(Inputs!$B$39="pvp",1,(1+(Inputs!$B$22+Skills!Q6+((C2736=TRUE)*F2736*IF(AND(Inputs!$B$39&lt;&gt;"pvp",Inputs!$B$44&gt;0),(((R2736-1)*MIN((Skills!T17*(1+Inputs!$B$35/100)),(1/Q2736))+MIN((Skills!T17*(1+Inputs!$B$35/100)),MAX(0,Inputs!$B$44-((R2736-1)*(1/Q2736)))))/Inputs!$B$44),IF(Inputs!$B$39="pvp",MIN((Skills!T17*(1+Inputs!$B$35/100)),15)/15,MIN(1,(Skills!T17*(1+Inputs!$B$35/100))/(1/Q2736)))))+((C2724=TRUE)*IF(Inputs!$B$3&gt;=126,10*MIN(1,15*Q2724),0))+((C2733=TRUE)*IF(Inputs!$B$39="pvp",20,(1-Summary!$B$11)*(20)+Summary!$B$11*(0))*IF(AND(Inputs!$B$39&lt;&gt;"pvp",Inputs!$B$44&gt;0),(((R2733-1)*MIN((Skills!T14*(1+Inputs!$B$35/100)),(1/Q2733))+MIN((Skills!T14*(1+Inputs!$B$35/100)),MAX(0,Inputs!$B$44-((R2733-1)*(1/Q2733)))))/Inputs!$B$44),IF(Inputs!$B$39="pvp",MIN((Skills!T14*(1+Inputs!$B$35/100)),15)/15,MIN(1,(Skills!T14*(1+Inputs!$B$35/100))/(1/Q2733)))))+((C2732=TRUE)*IF(Inputs!$B$3&gt;=82,IF(Inputs!$B$39="pvp",20,(1-Summary!$B$11)*(20)+Summary!$B$11*(0)),0)*IF(AND(Inputs!$B$39&lt;&gt;"pvp",Inputs!$B$44&gt;0),(((R2732-1)*MIN((Skills!T13*(1+Inputs!$B$35/100)),(1/Q2732))+MIN((Skills!T13*(1+Inputs!$B$35/100)),MAX(0,Inputs!$B$44-((R2732-1)*(1/Q2732)))))/Inputs!$B$44),IF(Inputs!$B$39="pvp",MIN((Skills!T13*(1+Inputs!$B$35/100)),15)/15,MIN(1,(Skills!T13*(1+Inputs!$B$35/100))/(1/Q2732)))))+(IF(AND(ArtifactsInput!$M$35,Inputs!$B$4&lt;&gt;"Chapter Hunt"),CHOOSE(ArtifactsInput!$N$35+1,15,18,21,24,27,30)*(1-EXP(-(0.2*B2750)*5)),0)+IF(AND(ArtifactsInput!$M$22,Inputs!$B$4&lt;&gt;"Chapter Hunt"),CHOOSE(ArtifactsInput!$N$22+1,10,12,14,16,18,20)*((0*(((0.15*B2750*5))^0/1)+1*(((0.15*B2750*5))^1/1)+2*(((0.15*B2750*5))^2/2)+3*(((0.15*B2750*5))^3/6)+4*(((0.15*B2750*5))^4/24)+5*(((0.15*B2750*5))^5/120))/((((0.15*B2750*5))^0/1)+(((0.15*B2750*5))^1/1)+(((0.15*B2750*5))^2/2)+(((0.15*B2750*5))^3/6)+(((0.15*B2750*5))^4/24)+(((0.15*B2750*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26">
      <c r="A2726">
        <f>Skills!A7</f>
        <v/>
      </c>
      <c r="B2726">
        <f>Skills!B7</f>
        <v/>
      </c>
      <c r="C2726">
        <f>Inputs!$B$3&gt;=40</f>
        <v/>
      </c>
      <c r="D2726">
        <f>IF(Skills!C7=1,60+Inputs!$B$26+Inputs!$B$30,IF(Skills!C7=2,90+Inputs!$B$27+Inputs!$B$30,IF(Skills!C7=3,120+Inputs!$B$28+Inputs!$B$30,MAX(0,(Inputs!$B$3-100)*3)+Inputs!$B$29+Inputs!$B$30)))</f>
        <v/>
      </c>
      <c r="E2726">
        <f>INDEX(FactorTable!$B$2:$Y$301, MATCH(ROUND(MIN(300,MAX(1,D2726)),0), FactorTable!$A$2:$A$301,0), Skills!M7+1)</f>
        <v/>
      </c>
      <c r="F2726">
        <f>IF(Skills!N7=TRUE,(Skills!L7/10)*(E2726/1000),Skills!L7/10)+Skills!O7</f>
        <v/>
      </c>
      <c r="G2726">
        <f>Skills!G7*IF(Skills!H7&gt;0,INT(IF(Inputs!$B$39="pvp",MIN(Skills!I7,15),Skills!I7)/Skills!H7+0.000000001),1)</f>
        <v/>
      </c>
      <c r="H2726">
        <f>1-(1-Skills!J7/100)^Skills!K7</f>
        <v/>
      </c>
      <c r="I2726" t="inlineStr">
        <is>
          <t>1</t>
        </is>
      </c>
      <c r="J2726">
        <f>((Inputs!$B$6*(1+Inputs!$B$7/100))+(((Inputs!$B$13*(1+Inputs!$B$14/100))-(Inputs!$B$13*(1+Inputs!$B$14/100)))+0.25*(Inputs!$B$15-Inputs!$B$15))*(1+Inputs!$B$7/100))*(F2726/100)</f>
        <v/>
      </c>
      <c r="K2726">
        <f>J2726*(1+(((Inputs!$B$13+IF(Inputs!$B$3&gt;=38,(10*INDEX(FactorTable!$B$2:$Y$301, MATCH(ROUND(MIN(300,MAX(1,Inputs!$B$3)),0), FactorTable!$A$2:$A$301,0), 23)/1000)/100*(Inputs!$B$8*(1+Inputs!$B$9/100)),0))*(1+Inputs!$B$14/100))*0.01+Inputs!$B$15*0.0025)/100)*(1+Inputs!$B$16/100)*(1+Inputs!$B$17/100)*(5000/(6000+Inputs!$B$43*(1-(Inputs!$B$20+0)/100)))*(1+(Inputs!$B$25+((C2744=TRUE)*(F2744-Calc!F25))+((C2745=TRUE)*(F2745-Calc!F26))+B2754)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2730=TRUE,F2730,0)/100)*(1+(IF(Skills!A7="DARK_IMPALE",Inputs!$B$18+0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gt;=100),MIN(100,((Inputs!$B$10+0+B2748+(ArtifactsInput!$M$24-ArtifactsInput!$M$24)*CHOOSE(ArtifactsInput!$N$24+1,10,12,14,16,18,20)+IF(ArtifactsInput!$M$10,CHOOSE(ArtifactsInput!$N$10+1,15,18,21,24,27,30)*(IF(Inputs!$B$39="pvp",MIN(15,15)/15,IF(AND(Inputs!$B$39&lt;&gt;"pvp",Inputs!$B$44&gt;0),MIN(15,Inputs!$B$44)/(Inputs!$B$44),0))),0)))-100),0))*CHOOSE(ArtifactsInput!$N$42+1,0.6,0.72,0.84,0.96,1.08,1.2))),Inputs!$B$19+((C2742=TRUE)*(F2742-Calc!F23))+(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gt;=100),CHOOSE(ArtifactsInput!$N$42+1,40,48,56,64,72,80),0))))/100)*((1+(((C2732=TRUE)*F2732*IF(AND(Inputs!$B$39&lt;&gt;"pvp",Inputs!$B$44&gt;0),(((R2732-1)*MIN((Skills!T13*(1+Inputs!$B$35/100)),(1/Q2732))+MIN((Skills!T13*(1+Inputs!$B$35/100)),MAX(0,Inputs!$B$44-((R2732-1)*(1/Q2732)))))/Inputs!$B$44),IF(Inputs!$B$39="pvp",MIN((Skills!T13*(1+Inputs!$B$35/100)),15)/15,MIN(1,(Skills!T13*(1+Inputs!$B$35/100))/(1/Q2732)))))+((C2733=TRUE)*F2733*IF(AND(Inputs!$B$39&lt;&gt;"pvp",Inputs!$B$44&gt;0),(((R2733-1)*MIN((Skills!T14*(1+Inputs!$B$35/100)),(1/Q2733))+MIN((Skills!T14*(1+Inputs!$B$35/100)),MAX(0,Inputs!$B$44-((R2733-1)*(1/Q2733)))))/Inputs!$B$44),IF(Inputs!$B$39="pvp",MIN((Skills!T14*(1+Inputs!$B$35/100)),15)/15,MIN(1,(Skills!T14*(1+Inputs!$B$35/100))/(1/Q2733)))))+((C2734=TRUE)*F2734*IF(AND(Inputs!$B$39&lt;&gt;"pvp",Inputs!$B$44&gt;0),(((R2734-1)*MIN((Skills!T15*(1+Inputs!$B$35/100)),(1/Q2734))+MIN((Skills!T15*(1+Inputs!$B$35/100)),MAX(0,Inputs!$B$44-((R2734-1)*(1/Q2734)))))/Inputs!$B$44),IF(Inputs!$B$39="pvp",MIN((Skills!T15*(1+Inputs!$B$35/100)),15)/15,MIN(1,(Skills!T15*(1+Inputs!$B$35/100))/(1/Q2734)))))+((C2735=TRUE)*F2735*IF(AND(Inputs!$B$39&lt;&gt;"pvp",Inputs!$B$44&gt;0),(((R2735-1)*MIN((Skills!T16*(1+Inputs!$B$35/100)),(1/Q2735))+MIN((Skills!T16*(1+Inputs!$B$35/100)),MAX(0,Inputs!$B$44-((R2735-1)*(1/Q2735)))))/Inputs!$B$44),IF(Inputs!$B$39="pvp",MIN((Skills!T16*(1+Inputs!$B$35/100)),15)/15,MIN(1,(Skills!T16*(1+Inputs!$B$35/100))/(1/Q2735)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2726)</f>
        <v/>
      </c>
      <c r="L2726">
        <f>K2726*(MIN(Inputs!$B$23+((C2741=TRUE)*(F2741-Calc!F22)),(Inputs!$B$24+((C2743=TRUE)*(F2743-Calc!F24))+(IF(ArtifactsInput!$M$15,CHOOSE(ArtifactsInput!$N$15+1,25,30,35,40,45,50)/100*(Inputs!$B$12-Inputs!$B$12),0))))/100+(Inputs!$B$24+((C2743=TRUE)*(F2743-Calc!F24))+(IF(ArtifactsInput!$M$15,CHOOSE(ArtifactsInput!$N$15+1,25,30,35,40,45,50)/100*(Inputs!$B$12-Inputs!$B$12),0)))/100)/2</f>
        <v/>
      </c>
      <c r="M2726">
        <f>L2726*(1+(Inputs!$B$11+0+B2753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726">
        <f>L2726*(1-MIN((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2726*(MIN((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26">
        <f>(1-Summary!$B$11)*T2726+Summary!$B$11*V2726</f>
        <v/>
      </c>
      <c r="P2726">
        <f>IF(B2758=0,0,O2726/B2758)</f>
        <v/>
      </c>
      <c r="Q2726">
        <f>IFERROR(1/IF(Inputs!$B$39="pvp",15,MAX(0.1,Skills!D7-IF(TRUE=TRUE,Inputs!$B$33,0))),0)</f>
        <v/>
      </c>
      <c r="R2726">
        <f>IF(AND(Inputs!$B$39&lt;&gt;"pvp",Inputs!$B$44&gt;0),IF(MAX(0,Inputs!$B$44-B2755)&lt;=0,0,(INT(MAX(0,Inputs!$B$44-B2755)/IF(Inputs!$B$39="pvp",15,MAX(0.1,Skills!D7-IF(TRUE=TRUE,Inputs!$B$33,0))))+1)),0)</f>
        <v/>
      </c>
      <c r="S2726">
        <f>IFERROR(O2726/N2726,0)</f>
        <v/>
      </c>
      <c r="T2726">
        <f>IF(C2726,(H2726*N2726*IF(AND(Inputs!$B$39&lt;&gt;"pvp",Inputs!$B$44&gt;0),((Skills!G7*((R2726-1)*IF(Skills!H7&gt;0,INT(Skills!I7/Skills!H7+0.000000001),1)+IF(Skills!H7&gt;0,INT(MIN(Skills!I7,MAX(0,MAX(0,Inputs!$B$44-B2755)-((R2726-1)*IF(Inputs!$B$39="pvp",15,MAX(0.1,Skills!D7-IF(TRUE=TRUE,Inputs!$B$33,0))))))/Skills!H7+0.000000001),1)))/Inputs!$B$44),G2726*Q2726))*IF(Inputs!$B$39="pvp",1,1+(Inputs!$B$21+0+Skills!P7+((C2736=TRUE)*F2736*IF(AND(Inputs!$B$39&lt;&gt;"pvp",Inputs!$B$44&gt;0),(((R2736-1)*MIN((Skills!T17*(1+Inputs!$B$35/100)),(1/Q2736))+MIN((Skills!T17*(1+Inputs!$B$35/100)),MAX(0,Inputs!$B$44-((R2736-1)*(1/Q2736)))))/Inputs!$B$44),IF(Inputs!$B$39="pvp",MIN((Skills!T17*(1+Inputs!$B$35/100)),15)/15,MIN(1,(Skills!T17*(1+Inputs!$B$35/100))/(1/Q2736)))))+((C2724=TRUE)*IF(Inputs!$B$3&gt;=126,10*MIN(1,15*Q2724),0))+((C2733=TRUE)*IF(Inputs!$B$39="pvp",20,(1-Summary!$B$11)*(20)+Summary!$B$11*(0))*IF(AND(Inputs!$B$39&lt;&gt;"pvp",Inputs!$B$44&gt;0),(((R2733-1)*MIN((Skills!T14*(1+Inputs!$B$35/100)),(1/Q2733))+MIN((Skills!T14*(1+Inputs!$B$35/100)),MAX(0,Inputs!$B$44-((R2733-1)*(1/Q2733)))))/Inputs!$B$44),IF(Inputs!$B$39="pvp",MIN((Skills!T14*(1+Inputs!$B$35/100)),15)/15,MIN(1,(Skills!T14*(1+Inputs!$B$35/100))/(1/Q2733)))))+((C2732=TRUE)*IF(Inputs!$B$3&gt;=82,IF(Inputs!$B$39="pvp",20,(1-Summary!$B$11)*(20)+Summary!$B$11*(0)),0)*IF(AND(Inputs!$B$39&lt;&gt;"pvp",Inputs!$B$44&gt;0),(((R2732-1)*MIN((Skills!T13*(1+Inputs!$B$35/100)),(1/Q2732))+MIN((Skills!T13*(1+Inputs!$B$35/100)),MAX(0,Inputs!$B$44-((R2732-1)*(1/Q2732)))))/Inputs!$B$44),IF(Inputs!$B$39="pvp",MIN((Skills!T13*(1+Inputs!$B$35/100)),15)/15,MIN(1,(Skills!T13*(1+Inputs!$B$35/100))/(1/Q2732)))))+(IF(AND(ArtifactsInput!$M$35,Inputs!$B$4&lt;&gt;"Chapter Hunt"),CHOOSE(ArtifactsInput!$N$35+1,15,18,21,24,27,30)*(1-EXP(-(0.2*B2750)*5)),0)+IF(AND(ArtifactsInput!$M$22,Inputs!$B$4&lt;&gt;"Chapter Hunt"),CHOOSE(ArtifactsInput!$N$22+1,10,12,14,16,18,20)*((0*(((0.15*B2750*5))^0/1)+1*(((0.15*B2750*5))^1/1)+2*(((0.15*B2750*5))^2/2)+3*(((0.15*B2750*5))^3/6)+4*(((0.15*B2750*5))^4/24)+5*(((0.15*B2750*5))^5/120))/((((0.15*B2750*5))^0/1)+(((0.15*B2750*5))^1/1)+(((0.15*B2750*5))^2/2)+(((0.15*B2750*5))^3/6)+(((0.15*B2750*5))^4/24)+(((0.15*B2750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2726*(1-MIN(100,(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2726*(MIN(100,(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2726*(1-MIN(100,(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2726*(MIN(100,(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26">
        <f>IF(C2726,(H2726*N2726*IF(AND(Inputs!$B$39&lt;&gt;"pvp",Inputs!$B$44&gt;0),((Skills!G7*((R2726-1)*IF(Skills!H7&gt;0,INT(Skills!I7/Skills!H7+0.000000001),1)+IF(Skills!H7&gt;0,INT(MIN(Skills!I7,MAX(0,MAX(0,Inputs!$B$44-B2755)-((R2726-1)*IF(Inputs!$B$39="pvp",15,MAX(0.1,Skills!D7-IF(TRUE=TRUE,Inputs!$B$33,0))))))/Skills!H7+0.000000001),1)))/Inputs!$B$44),G2726*Q2726))*IF(Inputs!$B$39="pvp",1,(1+(Inputs!$B$22+Skills!Q7+((C2736=TRUE)*F2736*IF(AND(Inputs!$B$39&lt;&gt;"pvp",Inputs!$B$44&gt;0),(((R2736-1)*MIN((Skills!T17*(1+Inputs!$B$35/100)),(1/Q2736))+MIN((Skills!T17*(1+Inputs!$B$35/100)),MAX(0,Inputs!$B$44-((R2736-1)*(1/Q2736)))))/Inputs!$B$44),IF(Inputs!$B$39="pvp",MIN((Skills!T17*(1+Inputs!$B$35/100)),15)/15,MIN(1,(Skills!T17*(1+Inputs!$B$35/100))/(1/Q2736)))))+((C2724=TRUE)*IF(Inputs!$B$3&gt;=126,10*MIN(1,15*Q2724),0))+((C2733=TRUE)*IF(Inputs!$B$39="pvp",20,(1-Summary!$B$11)*(20)+Summary!$B$11*(0))*IF(AND(Inputs!$B$39&lt;&gt;"pvp",Inputs!$B$44&gt;0),(((R2733-1)*MIN((Skills!T14*(1+Inputs!$B$35/100)),(1/Q2733))+MIN((Skills!T14*(1+Inputs!$B$35/100)),MAX(0,Inputs!$B$44-((R2733-1)*(1/Q2733)))))/Inputs!$B$44),IF(Inputs!$B$39="pvp",MIN((Skills!T14*(1+Inputs!$B$35/100)),15)/15,MIN(1,(Skills!T14*(1+Inputs!$B$35/100))/(1/Q2733)))))+((C2732=TRUE)*IF(Inputs!$B$3&gt;=82,IF(Inputs!$B$39="pvp",20,(1-Summary!$B$11)*(20)+Summary!$B$11*(0)),0)*IF(AND(Inputs!$B$39&lt;&gt;"pvp",Inputs!$B$44&gt;0),(((R2732-1)*MIN((Skills!T13*(1+Inputs!$B$35/100)),(1/Q2732))+MIN((Skills!T13*(1+Inputs!$B$35/100)),MAX(0,Inputs!$B$44-((R2732-1)*(1/Q2732)))))/Inputs!$B$44),IF(Inputs!$B$39="pvp",MIN((Skills!T13*(1+Inputs!$B$35/100)),15)/15,MIN(1,(Skills!T13*(1+Inputs!$B$35/100))/(1/Q2732)))))+(IF(AND(ArtifactsInput!$M$35,Inputs!$B$4&lt;&gt;"Chapter Hunt"),CHOOSE(ArtifactsInput!$N$35+1,15,18,21,24,27,30)*(1-EXP(-(0.2*B2750)*5)),0)+IF(AND(ArtifactsInput!$M$22,Inputs!$B$4&lt;&gt;"Chapter Hunt"),CHOOSE(ArtifactsInput!$N$22+1,10,12,14,16,18,20)*((0*(((0.15*B2750*5))^0/1)+1*(((0.15*B2750*5))^1/1)+2*(((0.15*B2750*5))^2/2)+3*(((0.15*B2750*5))^3/6)+4*(((0.15*B2750*5))^4/24)+5*(((0.15*B2750*5))^5/120))/((((0.15*B2750*5))^0/1)+(((0.15*B2750*5))^1/1)+(((0.15*B2750*5))^2/2)+(((0.15*B2750*5))^3/6)+(((0.15*B2750*5))^4/24)+(((0.15*B2750*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27">
      <c r="A2727">
        <f>Skills!A8</f>
        <v/>
      </c>
      <c r="B2727">
        <f>Skills!B8</f>
        <v/>
      </c>
      <c r="C2727">
        <f>Inputs!$B$3&gt;=75</f>
        <v/>
      </c>
      <c r="D2727">
        <f>IF(Skills!C8=1,60+Inputs!$B$26+Inputs!$B$30,IF(Skills!C8=2,90+Inputs!$B$27+Inputs!$B$30,IF(Skills!C8=3,120+Inputs!$B$28+Inputs!$B$30,MAX(0,(Inputs!$B$3-100)*3)+Inputs!$B$29+Inputs!$B$30)))</f>
        <v/>
      </c>
      <c r="E2727">
        <f>INDEX(FactorTable!$B$2:$Y$301, MATCH(ROUND(MIN(300,MAX(1,D2727)),0), FactorTable!$A$2:$A$301,0), Skills!M8+1)</f>
        <v/>
      </c>
      <c r="F2727">
        <f>IF(Skills!N8=TRUE,(Skills!L8/10)*(E2727/1000),Skills!L8/10)+Skills!O8</f>
        <v/>
      </c>
      <c r="G2727" t="inlineStr"/>
      <c r="H2727" t="inlineStr"/>
      <c r="I2727" t="inlineStr">
        <is>
          <t>1</t>
        </is>
      </c>
      <c r="J2727" t="inlineStr"/>
      <c r="K2727" t="inlineStr"/>
      <c r="L2727" t="inlineStr"/>
      <c r="M2727" t="inlineStr"/>
      <c r="N2727" t="inlineStr"/>
      <c r="O2727" t="inlineStr"/>
      <c r="P2727" t="inlineStr"/>
      <c r="Q2727" t="inlineStr"/>
      <c r="R2727" t="inlineStr"/>
      <c r="S2727" t="inlineStr"/>
    </row>
    <row r="2728">
      <c r="A2728">
        <f>Skills!A9</f>
        <v/>
      </c>
      <c r="B2728">
        <f>Skills!B9</f>
        <v/>
      </c>
      <c r="C2728">
        <f>Inputs!$B$3&gt;=60</f>
        <v/>
      </c>
      <c r="D2728">
        <f>IF(Skills!C9=1,60+Inputs!$B$26+Inputs!$B$30,IF(Skills!C9=2,90+Inputs!$B$27+Inputs!$B$30,IF(Skills!C9=3,120+Inputs!$B$28+Inputs!$B$30,MAX(0,(Inputs!$B$3-100)*3)+Inputs!$B$29+Inputs!$B$30)))</f>
        <v/>
      </c>
      <c r="E2728">
        <f>INDEX(FactorTable!$B$2:$Y$301, MATCH(ROUND(MIN(300,MAX(1,D2728)),0), FactorTable!$A$2:$A$301,0), Skills!M9+1)</f>
        <v/>
      </c>
      <c r="F2728">
        <f>IF(Skills!N9=TRUE,(Skills!L9/10)*(E2728/1000),Skills!L9/10)+Skills!O9</f>
        <v/>
      </c>
      <c r="G2728">
        <f>Skills!G9*IF(Skills!H9&gt;0,INT(IF(Inputs!$B$39="pvp",MIN(Skills!I9,15),Skills!I9)/Skills!H9+0.000000001),1)</f>
        <v/>
      </c>
      <c r="H2728">
        <f>1-(1-Skills!J9/100)^Skills!K9</f>
        <v/>
      </c>
      <c r="I2728" t="inlineStr">
        <is>
          <t>1</t>
        </is>
      </c>
      <c r="J2728">
        <f>((Inputs!$B$6*(1+Inputs!$B$7/100))+(((Inputs!$B$13*(1+Inputs!$B$14/100))-(Inputs!$B$13*(1+Inputs!$B$14/100)))+0.25*(Inputs!$B$15-Inputs!$B$15))*(1+Inputs!$B$7/100))*(F2728/100)</f>
        <v/>
      </c>
      <c r="K2728">
        <f>J2728*(1+(((Inputs!$B$13+IF(Inputs!$B$3&gt;=38,(10*INDEX(FactorTable!$B$2:$Y$301, MATCH(ROUND(MIN(300,MAX(1,Inputs!$B$3)),0), FactorTable!$A$2:$A$301,0), 23)/1000)/100*(Inputs!$B$8*(1+Inputs!$B$9/100)),0))*(1+Inputs!$B$14/100))*0.01+Inputs!$B$15*0.0025)/100)*(1+Inputs!$B$16/100)*(1+Inputs!$B$17/100)*(5000/(6000+Inputs!$B$43*(1-(Inputs!$B$20+0)/100)))*(1+(Inputs!$B$25+((C2744=TRUE)*(F2744-Calc!F25))+((C2745=TRUE)*(F2745-Calc!F26))+B2754)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2730=TRUE,F2730,0)/100)*(1+(IF(Skills!A9="DARK_IMPALE",Inputs!$B$18+0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gt;=100),MIN(100,((Inputs!$B$10+0+B2748+(ArtifactsInput!$M$24-ArtifactsInput!$M$24)*CHOOSE(ArtifactsInput!$N$24+1,10,12,14,16,18,20)+IF(ArtifactsInput!$M$10,CHOOSE(ArtifactsInput!$N$10+1,15,18,21,24,27,30)*(IF(Inputs!$B$39="pvp",MIN(15,15)/15,IF(AND(Inputs!$B$39&lt;&gt;"pvp",Inputs!$B$44&gt;0),MIN(15,Inputs!$B$44)/(Inputs!$B$44),0))),0)))-100),0))*CHOOSE(ArtifactsInput!$N$42+1,0.6,0.72,0.84,0.96,1.08,1.2))),Inputs!$B$19+((C2742=TRUE)*(F2742-Calc!F23))+(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gt;=100),CHOOSE(ArtifactsInput!$N$42+1,40,48,56,64,72,80),0))))/100)*((1+(((C2732=TRUE)*F2732*IF(AND(Inputs!$B$39&lt;&gt;"pvp",Inputs!$B$44&gt;0),(((R2732-1)*MIN((Skills!T13*(1+Inputs!$B$35/100)),(1/Q2732))+MIN((Skills!T13*(1+Inputs!$B$35/100)),MAX(0,Inputs!$B$44-((R2732-1)*(1/Q2732)))))/Inputs!$B$44),IF(Inputs!$B$39="pvp",MIN((Skills!T13*(1+Inputs!$B$35/100)),15)/15,MIN(1,(Skills!T13*(1+Inputs!$B$35/100))/(1/Q2732)))))+((C2733=TRUE)*F2733*IF(AND(Inputs!$B$39&lt;&gt;"pvp",Inputs!$B$44&gt;0),(((R2733-1)*MIN((Skills!T14*(1+Inputs!$B$35/100)),(1/Q2733))+MIN((Skills!T14*(1+Inputs!$B$35/100)),MAX(0,Inputs!$B$44-((R2733-1)*(1/Q2733)))))/Inputs!$B$44),IF(Inputs!$B$39="pvp",MIN((Skills!T14*(1+Inputs!$B$35/100)),15)/15,MIN(1,(Skills!T14*(1+Inputs!$B$35/100))/(1/Q2733)))))+((C2734=TRUE)*F2734*IF(AND(Inputs!$B$39&lt;&gt;"pvp",Inputs!$B$44&gt;0),(((R2734-1)*MIN((Skills!T15*(1+Inputs!$B$35/100)),(1/Q2734))+MIN((Skills!T15*(1+Inputs!$B$35/100)),MAX(0,Inputs!$B$44-((R2734-1)*(1/Q2734)))))/Inputs!$B$44),IF(Inputs!$B$39="pvp",MIN((Skills!T15*(1+Inputs!$B$35/100)),15)/15,MIN(1,(Skills!T15*(1+Inputs!$B$35/100))/(1/Q2734)))))+((C2735=TRUE)*F2735*IF(AND(Inputs!$B$39&lt;&gt;"pvp",Inputs!$B$44&gt;0),(((R2735-1)*MIN((Skills!T16*(1+Inputs!$B$35/100)),(1/Q2735))+MIN((Skills!T16*(1+Inputs!$B$35/100)),MAX(0,Inputs!$B$44-((R2735-1)*(1/Q2735)))))/Inputs!$B$44),IF(Inputs!$B$39="pvp",MIN((Skills!T16*(1+Inputs!$B$35/100)),15)/15,MIN(1,(Skills!T16*(1+Inputs!$B$35/100))/(1/Q2735)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2728)</f>
        <v/>
      </c>
      <c r="L2728">
        <f>K2728*(MIN(Inputs!$B$23+((C2741=TRUE)*(F2741-Calc!F22)),(Inputs!$B$24+((C2743=TRUE)*(F2743-Calc!F24))+(IF(ArtifactsInput!$M$15,CHOOSE(ArtifactsInput!$N$15+1,25,30,35,40,45,50)/100*(Inputs!$B$12-Inputs!$B$12),0))))/100+(Inputs!$B$24+((C2743=TRUE)*(F2743-Calc!F24))+(IF(ArtifactsInput!$M$15,CHOOSE(ArtifactsInput!$N$15+1,25,30,35,40,45,50)/100*(Inputs!$B$12-Inputs!$B$12),0)))/100)/2</f>
        <v/>
      </c>
      <c r="M2728">
        <f>L2728*(1+(Inputs!$B$11+0+B2753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728">
        <f>L2728*(1-MIN((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2728*(MIN((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28">
        <f>(1-Summary!$B$11)*T2728+Summary!$B$11*V2728</f>
        <v/>
      </c>
      <c r="P2728">
        <f>IF(B2758=0,0,O2728/B2758)</f>
        <v/>
      </c>
      <c r="Q2728">
        <f>IFERROR(1/IF(Inputs!$B$39="pvp",15,MAX(0.1,Skills!D9-IF(TRUE=TRUE,Inputs!$B$33,0))),0)</f>
        <v/>
      </c>
      <c r="R2728">
        <f>IF(AND(Inputs!$B$39&lt;&gt;"pvp",Inputs!$B$44&gt;0),IF(MAX(0,Inputs!$B$44-B2755)&lt;=0,0,(INT(MAX(0,Inputs!$B$44-B2755)/IF(Inputs!$B$39="pvp",15,MAX(0.1,Skills!D9-IF(TRUE=TRUE,Inputs!$B$33,0))))+1)),0)</f>
        <v/>
      </c>
      <c r="S2728">
        <f>IFERROR(O2728/N2728,0)</f>
        <v/>
      </c>
      <c r="T2728">
        <f>IF(C2728,(H2728*N2728*IF(AND(Inputs!$B$39&lt;&gt;"pvp",Inputs!$B$44&gt;0),((Skills!G9*((R2728-1)*IF(Skills!H9&gt;0,INT(Skills!I9/Skills!H9+0.000000001),1)+IF(Skills!H9&gt;0,INT(MIN(Skills!I9,MAX(0,MAX(0,Inputs!$B$44-B2755)-((R2728-1)*IF(Inputs!$B$39="pvp",15,MAX(0.1,Skills!D9-IF(TRUE=TRUE,Inputs!$B$33,0))))))/Skills!H9+0.000000001),1)))/Inputs!$B$44),G2728*Q2728))*IF(Inputs!$B$39="pvp",1,1+(Inputs!$B$21+0+Skills!P9+((C2736=TRUE)*F2736*IF(AND(Inputs!$B$39&lt;&gt;"pvp",Inputs!$B$44&gt;0),(((R2736-1)*MIN((Skills!T17*(1+Inputs!$B$35/100)),(1/Q2736))+MIN((Skills!T17*(1+Inputs!$B$35/100)),MAX(0,Inputs!$B$44-((R2736-1)*(1/Q2736)))))/Inputs!$B$44),IF(Inputs!$B$39="pvp",MIN((Skills!T17*(1+Inputs!$B$35/100)),15)/15,MIN(1,(Skills!T17*(1+Inputs!$B$35/100))/(1/Q2736)))))+((C2724=TRUE)*IF(Inputs!$B$3&gt;=126,10*MIN(1,15*Q2724),0))+((C2733=TRUE)*IF(Inputs!$B$39="pvp",20,(1-Summary!$B$11)*(20)+Summary!$B$11*(0))*IF(AND(Inputs!$B$39&lt;&gt;"pvp",Inputs!$B$44&gt;0),(((R2733-1)*MIN((Skills!T14*(1+Inputs!$B$35/100)),(1/Q2733))+MIN((Skills!T14*(1+Inputs!$B$35/100)),MAX(0,Inputs!$B$44-((R2733-1)*(1/Q2733)))))/Inputs!$B$44),IF(Inputs!$B$39="pvp",MIN((Skills!T14*(1+Inputs!$B$35/100)),15)/15,MIN(1,(Skills!T14*(1+Inputs!$B$35/100))/(1/Q2733)))))+((C2732=TRUE)*IF(Inputs!$B$3&gt;=82,IF(Inputs!$B$39="pvp",20,(1-Summary!$B$11)*(20)+Summary!$B$11*(0)),0)*IF(AND(Inputs!$B$39&lt;&gt;"pvp",Inputs!$B$44&gt;0),(((R2732-1)*MIN((Skills!T13*(1+Inputs!$B$35/100)),(1/Q2732))+MIN((Skills!T13*(1+Inputs!$B$35/100)),MAX(0,Inputs!$B$44-((R2732-1)*(1/Q2732)))))/Inputs!$B$44),IF(Inputs!$B$39="pvp",MIN((Skills!T13*(1+Inputs!$B$35/100)),15)/15,MIN(1,(Skills!T13*(1+Inputs!$B$35/100))/(1/Q2732)))))+(IF(AND(ArtifactsInput!$M$35,Inputs!$B$4&lt;&gt;"Chapter Hunt"),CHOOSE(ArtifactsInput!$N$35+1,15,18,21,24,27,30)*(1-EXP(-(0.2*B2750)*5)),0)+IF(AND(ArtifactsInput!$M$22,Inputs!$B$4&lt;&gt;"Chapter Hunt"),CHOOSE(ArtifactsInput!$N$22+1,10,12,14,16,18,20)*((0*(((0.15*B2750*5))^0/1)+1*(((0.15*B2750*5))^1/1)+2*(((0.15*B2750*5))^2/2)+3*(((0.15*B2750*5))^3/6)+4*(((0.15*B2750*5))^4/24)+5*(((0.15*B2750*5))^5/120))/((((0.15*B2750*5))^0/1)+(((0.15*B2750*5))^1/1)+(((0.15*B2750*5))^2/2)+(((0.15*B2750*5))^3/6)+(((0.15*B2750*5))^4/24)+(((0.15*B2750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2728*(1-MIN(100,(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2728*(MIN(100,(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2728*(1-MIN(100,(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2728*(MIN(100,(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28">
        <f>IF(C2728,(H2728*N2728*IF(AND(Inputs!$B$39&lt;&gt;"pvp",Inputs!$B$44&gt;0),((Skills!G9*((R2728-1)*IF(Skills!H9&gt;0,INT(Skills!I9/Skills!H9+0.000000001),1)+IF(Skills!H9&gt;0,INT(MIN(Skills!I9,MAX(0,MAX(0,Inputs!$B$44-B2755)-((R2728-1)*IF(Inputs!$B$39="pvp",15,MAX(0.1,Skills!D9-IF(TRUE=TRUE,Inputs!$B$33,0))))))/Skills!H9+0.000000001),1)))/Inputs!$B$44),G2728*Q2728))*IF(Inputs!$B$39="pvp",1,(1+(Inputs!$B$22+Skills!Q9+((C2736=TRUE)*F2736*IF(AND(Inputs!$B$39&lt;&gt;"pvp",Inputs!$B$44&gt;0),(((R2736-1)*MIN((Skills!T17*(1+Inputs!$B$35/100)),(1/Q2736))+MIN((Skills!T17*(1+Inputs!$B$35/100)),MAX(0,Inputs!$B$44-((R2736-1)*(1/Q2736)))))/Inputs!$B$44),IF(Inputs!$B$39="pvp",MIN((Skills!T17*(1+Inputs!$B$35/100)),15)/15,MIN(1,(Skills!T17*(1+Inputs!$B$35/100))/(1/Q2736)))))+((C2724=TRUE)*IF(Inputs!$B$3&gt;=126,10*MIN(1,15*Q2724),0))+((C2733=TRUE)*IF(Inputs!$B$39="pvp",20,(1-Summary!$B$11)*(20)+Summary!$B$11*(0))*IF(AND(Inputs!$B$39&lt;&gt;"pvp",Inputs!$B$44&gt;0),(((R2733-1)*MIN((Skills!T14*(1+Inputs!$B$35/100)),(1/Q2733))+MIN((Skills!T14*(1+Inputs!$B$35/100)),MAX(0,Inputs!$B$44-((R2733-1)*(1/Q2733)))))/Inputs!$B$44),IF(Inputs!$B$39="pvp",MIN((Skills!T14*(1+Inputs!$B$35/100)),15)/15,MIN(1,(Skills!T14*(1+Inputs!$B$35/100))/(1/Q2733)))))+((C2732=TRUE)*IF(Inputs!$B$3&gt;=82,IF(Inputs!$B$39="pvp",20,(1-Summary!$B$11)*(20)+Summary!$B$11*(0)),0)*IF(AND(Inputs!$B$39&lt;&gt;"pvp",Inputs!$B$44&gt;0),(((R2732-1)*MIN((Skills!T13*(1+Inputs!$B$35/100)),(1/Q2732))+MIN((Skills!T13*(1+Inputs!$B$35/100)),MAX(0,Inputs!$B$44-((R2732-1)*(1/Q2732)))))/Inputs!$B$44),IF(Inputs!$B$39="pvp",MIN((Skills!T13*(1+Inputs!$B$35/100)),15)/15,MIN(1,(Skills!T13*(1+Inputs!$B$35/100))/(1/Q2732)))))+(IF(AND(ArtifactsInput!$M$35,Inputs!$B$4&lt;&gt;"Chapter Hunt"),CHOOSE(ArtifactsInput!$N$35+1,15,18,21,24,27,30)*(1-EXP(-(0.2*B2750)*5)),0)+IF(AND(ArtifactsInput!$M$22,Inputs!$B$4&lt;&gt;"Chapter Hunt"),CHOOSE(ArtifactsInput!$N$22+1,10,12,14,16,18,20)*((0*(((0.15*B2750*5))^0/1)+1*(((0.15*B2750*5))^1/1)+2*(((0.15*B2750*5))^2/2)+3*(((0.15*B2750*5))^3/6)+4*(((0.15*B2750*5))^4/24)+5*(((0.15*B2750*5))^5/120))/((((0.15*B2750*5))^0/1)+(((0.15*B2750*5))^1/1)+(((0.15*B2750*5))^2/2)+(((0.15*B2750*5))^3/6)+(((0.15*B2750*5))^4/24)+(((0.15*B2750*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29">
      <c r="A2729">
        <f>Skills!A10</f>
        <v/>
      </c>
      <c r="B2729">
        <f>Skills!B10</f>
        <v/>
      </c>
      <c r="C2729">
        <f>Inputs!$B$3&gt;=110</f>
        <v/>
      </c>
      <c r="D2729">
        <f>IF(Skills!C10=1,60+Inputs!$B$26+Inputs!$B$30,IF(Skills!C10=2,90+Inputs!$B$27+Inputs!$B$30,IF(Skills!C10=3,120+Inputs!$B$28+Inputs!$B$30,MAX(0,(Inputs!$B$3-100)*3)+Inputs!$B$29+Inputs!$B$30)))</f>
        <v/>
      </c>
      <c r="E2729">
        <f>INDEX(FactorTable!$B$2:$Y$301, MATCH(ROUND(MIN(300,MAX(1,D2729)),0), FactorTable!$A$2:$A$301,0), Skills!M10+1)</f>
        <v/>
      </c>
      <c r="F2729">
        <f>IF(Skills!N10=TRUE,(Skills!L10/10)*(E2729/1000),Skills!L10/10)+Skills!O10</f>
        <v/>
      </c>
      <c r="G2729">
        <f>Skills!G10*IF(Skills!H10&gt;0,INT(IF(Inputs!$B$39="pvp",MIN(Skills!I10,15),Skills!I10)/Skills!H10+0.000000001),1)</f>
        <v/>
      </c>
      <c r="H2729">
        <f>1-(1-Skills!J10/100)^Skills!K10</f>
        <v/>
      </c>
      <c r="I2729" t="inlineStr">
        <is>
          <t>1</t>
        </is>
      </c>
      <c r="J2729">
        <f>((Inputs!$B$6*(1+Inputs!$B$7/100))+(((Inputs!$B$13*(1+Inputs!$B$14/100))-(Inputs!$B$13*(1+Inputs!$B$14/100)))+0.25*(Inputs!$B$15-Inputs!$B$15))*(1+Inputs!$B$7/100))*(F2729/100)</f>
        <v/>
      </c>
      <c r="K2729">
        <f>J2729*(1+(((Inputs!$B$13+IF(Inputs!$B$3&gt;=38,(10*INDEX(FactorTable!$B$2:$Y$301, MATCH(ROUND(MIN(300,MAX(1,Inputs!$B$3)),0), FactorTable!$A$2:$A$301,0), 23)/1000)/100*(Inputs!$B$8*(1+Inputs!$B$9/100)),0))*(1+Inputs!$B$14/100))*0.01+Inputs!$B$15*0.0025)/100)*(1+Inputs!$B$16/100)*(1+Inputs!$B$17/100)*(5000/(6000+Inputs!$B$43*(1-(Inputs!$B$20+0)/100)))*(1+(Inputs!$B$25+((C2744=TRUE)*(F2744-Calc!F25))+((C2745=TRUE)*(F2745-Calc!F26))+B2754)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gt;=100),MIN(100,((Inputs!$B$10+0+B2748+(ArtifactsInput!$M$24-ArtifactsInput!$M$24)*CHOOSE(ArtifactsInput!$N$24+1,10,12,14,16,18,20)+IF(ArtifactsInput!$M$10,CHOOSE(ArtifactsInput!$N$10+1,15,18,21,24,27,30)*(IF(Inputs!$B$39="pvp",MIN(15,15)/15,IF(AND(Inputs!$B$39&lt;&gt;"pvp",Inputs!$B$44&gt;0),MIN(15,Inputs!$B$44)/(Inputs!$B$44),0))),0)))-100),0))*CHOOSE(ArtifactsInput!$N$42+1,0.6,0.72,0.84,0.96,1.08,1.2))),Inputs!$B$19+((C2742=TRUE)*(F2742-Calc!F23))+(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gt;=100),CHOOSE(ArtifactsInput!$N$42+1,40,48,56,64,72,80),0))))/100)*((1+(((C2732=TRUE)*F2732*IF(AND(Inputs!$B$39&lt;&gt;"pvp",Inputs!$B$44&gt;0),(((R2732-1)*MIN((Skills!T13*(1+Inputs!$B$35/100)),(1/Q2732))+MIN((Skills!T13*(1+Inputs!$B$35/100)),MAX(0,Inputs!$B$44-((R2732-1)*(1/Q2732)))))/Inputs!$B$44),IF(Inputs!$B$39="pvp",MIN((Skills!T13*(1+Inputs!$B$35/100)),15)/15,MIN(1,(Skills!T13*(1+Inputs!$B$35/100))/(1/Q2732)))))+((C2733=TRUE)*F2733*IF(AND(Inputs!$B$39&lt;&gt;"pvp",Inputs!$B$44&gt;0),(((R2733-1)*MIN((Skills!T14*(1+Inputs!$B$35/100)),(1/Q2733))+MIN((Skills!T14*(1+Inputs!$B$35/100)),MAX(0,Inputs!$B$44-((R2733-1)*(1/Q2733)))))/Inputs!$B$44),IF(Inputs!$B$39="pvp",MIN((Skills!T14*(1+Inputs!$B$35/100)),15)/15,MIN(1,(Skills!T14*(1+Inputs!$B$35/100))/(1/Q2733)))))+((C2734=TRUE)*F2734*IF(AND(Inputs!$B$39&lt;&gt;"pvp",Inputs!$B$44&gt;0),(((R2734-1)*MIN((Skills!T15*(1+Inputs!$B$35/100)),(1/Q2734))+MIN((Skills!T15*(1+Inputs!$B$35/100)),MAX(0,Inputs!$B$44-((R2734-1)*(1/Q2734)))))/Inputs!$B$44),IF(Inputs!$B$39="pvp",MIN((Skills!T15*(1+Inputs!$B$35/100)),15)/15,MIN(1,(Skills!T15*(1+Inputs!$B$35/100))/(1/Q2734)))))+((C2735=TRUE)*F2735*IF(AND(Inputs!$B$39&lt;&gt;"pvp",Inputs!$B$44&gt;0),(((R2735-1)*MIN((Skills!T16*(1+Inputs!$B$35/100)),(1/Q2735))+MIN((Skills!T16*(1+Inputs!$B$35/100)),MAX(0,Inputs!$B$44-((R2735-1)*(1/Q2735)))))/Inputs!$B$44),IF(Inputs!$B$39="pvp",MIN((Skills!T16*(1+Inputs!$B$35/100)),15)/15,MIN(1,(Skills!T16*(1+Inputs!$B$35/100))/(1/Q2735)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2729)</f>
        <v/>
      </c>
      <c r="L2729">
        <f>K2729*(MIN(Inputs!$B$23+((C2741=TRUE)*(F2741-Calc!F22)),(Inputs!$B$24+((C2743=TRUE)*(F2743-Calc!F24))+(IF(ArtifactsInput!$M$15,CHOOSE(ArtifactsInput!$N$15+1,25,30,35,40,45,50)/100*(Inputs!$B$12-Inputs!$B$12),0))))/100+(Inputs!$B$24+((C2743=TRUE)*(F2743-Calc!F24))+(IF(ArtifactsInput!$M$15,CHOOSE(ArtifactsInput!$N$15+1,25,30,35,40,45,50)/100*(Inputs!$B$12-Inputs!$B$12),0)))/100)/2</f>
        <v/>
      </c>
      <c r="M2729">
        <f>L2729*(1+(Inputs!$B$11+0+B2753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729">
        <f>L2729*(1-MIN((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2729*(MIN((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29">
        <f>(1-Summary!$B$11)*T2729+Summary!$B$11*V2729</f>
        <v/>
      </c>
      <c r="P2729">
        <f>IF(B2758=0,0,O2729/B2758)</f>
        <v/>
      </c>
      <c r="Q2729">
        <f>IFERROR(1/IF(Inputs!$B$39="pvp",15,MAX(0.1,Skills!D10-IF(TRUE=TRUE,Inputs!$B$33,0))),0)</f>
        <v/>
      </c>
      <c r="R2729">
        <f>IF(AND(Inputs!$B$39&lt;&gt;"pvp",Inputs!$B$44&gt;0),IF(MAX(0,Inputs!$B$44-B2755)&lt;=0,0,(INT(MAX(0,Inputs!$B$44-B2755)/IF(Inputs!$B$39="pvp",15,MAX(0.1,Skills!D10-IF(TRUE=TRUE,Inputs!$B$33,0))))+1)),0)</f>
        <v/>
      </c>
      <c r="S2729">
        <f>IFERROR(O2729/N2729,0)</f>
        <v/>
      </c>
      <c r="T2729">
        <f>IF(C2729,(H2729*N2729*IF(AND(Inputs!$B$39&lt;&gt;"pvp",Inputs!$B$44&gt;0),((Skills!G10*((R2729-1)*IF(Skills!H10&gt;0,INT(Skills!I10/Skills!H10+0.000000001),1)+IF(Skills!H10&gt;0,INT(MIN(Skills!I10,MAX(0,MAX(0,Inputs!$B$44-B2755)-((R2729-1)*IF(Inputs!$B$39="pvp",15,MAX(0.1,Skills!D10-IF(TRUE=TRUE,Inputs!$B$33,0))))))/Skills!H10+0.000000001),1)))/Inputs!$B$44),G2729*Q2729))*IF(Inputs!$B$39="pvp",1,1+(Inputs!$B$21+0+Skills!P10+((C2736=TRUE)*F2736*IF(AND(Inputs!$B$39&lt;&gt;"pvp",Inputs!$B$44&gt;0),(((R2736-1)*MIN((Skills!T17*(1+Inputs!$B$35/100)),(1/Q2736))+MIN((Skills!T17*(1+Inputs!$B$35/100)),MAX(0,Inputs!$B$44-((R2736-1)*(1/Q2736)))))/Inputs!$B$44),IF(Inputs!$B$39="pvp",MIN((Skills!T17*(1+Inputs!$B$35/100)),15)/15,MIN(1,(Skills!T17*(1+Inputs!$B$35/100))/(1/Q2736)))))+((C2724=TRUE)*IF(Inputs!$B$3&gt;=126,10*MIN(1,15*Q2724),0))+((C2733=TRUE)*IF(Inputs!$B$39="pvp",20,(1-Summary!$B$11)*(20)+Summary!$B$11*(0))*IF(AND(Inputs!$B$39&lt;&gt;"pvp",Inputs!$B$44&gt;0),(((R2733-1)*MIN((Skills!T14*(1+Inputs!$B$35/100)),(1/Q2733))+MIN((Skills!T14*(1+Inputs!$B$35/100)),MAX(0,Inputs!$B$44-((R2733-1)*(1/Q2733)))))/Inputs!$B$44),IF(Inputs!$B$39="pvp",MIN((Skills!T14*(1+Inputs!$B$35/100)),15)/15,MIN(1,(Skills!T14*(1+Inputs!$B$35/100))/(1/Q2733)))))+((C2732=TRUE)*IF(Inputs!$B$3&gt;=82,IF(Inputs!$B$39="pvp",20,(1-Summary!$B$11)*(20)+Summary!$B$11*(0)),0)*IF(AND(Inputs!$B$39&lt;&gt;"pvp",Inputs!$B$44&gt;0),(((R2732-1)*MIN((Skills!T13*(1+Inputs!$B$35/100)),(1/Q2732))+MIN((Skills!T13*(1+Inputs!$B$35/100)),MAX(0,Inputs!$B$44-((R2732-1)*(1/Q2732)))))/Inputs!$B$44),IF(Inputs!$B$39="pvp",MIN((Skills!T13*(1+Inputs!$B$35/100)),15)/15,MIN(1,(Skills!T13*(1+Inputs!$B$35/100))/(1/Q2732)))))+(IF(AND(ArtifactsInput!$M$35,Inputs!$B$4&lt;&gt;"Chapter Hunt"),CHOOSE(ArtifactsInput!$N$35+1,15,18,21,24,27,30)*(1-EXP(-(0.2*B2750)*5)),0)+IF(AND(ArtifactsInput!$M$22,Inputs!$B$4&lt;&gt;"Chapter Hunt"),CHOOSE(ArtifactsInput!$N$22+1,10,12,14,16,18,20)*((0*(((0.15*B2750*5))^0/1)+1*(((0.15*B2750*5))^1/1)+2*(((0.15*B2750*5))^2/2)+3*(((0.15*B2750*5))^3/6)+4*(((0.15*B2750*5))^4/24)+5*(((0.15*B2750*5))^5/120))/((((0.15*B2750*5))^0/1)+(((0.15*B2750*5))^1/1)+(((0.15*B2750*5))^2/2)+(((0.15*B2750*5))^3/6)+(((0.15*B2750*5))^4/24)+(((0.15*B2750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2729*(1-MIN(100,(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2729*(MIN(100,(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2729*(1-MIN(100,(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2729*(MIN(100,(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29">
        <f>IF(C2729,(H2729*N2729*IF(AND(Inputs!$B$39&lt;&gt;"pvp",Inputs!$B$44&gt;0),((Skills!G10*((R2729-1)*IF(Skills!H10&gt;0,INT(Skills!I10/Skills!H10+0.000000001),1)+IF(Skills!H10&gt;0,INT(MIN(Skills!I10,MAX(0,MAX(0,Inputs!$B$44-B2755)-((R2729-1)*IF(Inputs!$B$39="pvp",15,MAX(0.1,Skills!D10-IF(TRUE=TRUE,Inputs!$B$33,0))))))/Skills!H10+0.000000001),1)))/Inputs!$B$44),G2729*Q2729))*IF(Inputs!$B$39="pvp",1,(1+(Inputs!$B$22+Skills!Q10+((C2736=TRUE)*F2736*IF(AND(Inputs!$B$39&lt;&gt;"pvp",Inputs!$B$44&gt;0),(((R2736-1)*MIN((Skills!T17*(1+Inputs!$B$35/100)),(1/Q2736))+MIN((Skills!T17*(1+Inputs!$B$35/100)),MAX(0,Inputs!$B$44-((R2736-1)*(1/Q2736)))))/Inputs!$B$44),IF(Inputs!$B$39="pvp",MIN((Skills!T17*(1+Inputs!$B$35/100)),15)/15,MIN(1,(Skills!T17*(1+Inputs!$B$35/100))/(1/Q2736)))))+((C2724=TRUE)*IF(Inputs!$B$3&gt;=126,10*MIN(1,15*Q2724),0))+((C2733=TRUE)*IF(Inputs!$B$39="pvp",20,(1-Summary!$B$11)*(20)+Summary!$B$11*(0))*IF(AND(Inputs!$B$39&lt;&gt;"pvp",Inputs!$B$44&gt;0),(((R2733-1)*MIN((Skills!T14*(1+Inputs!$B$35/100)),(1/Q2733))+MIN((Skills!T14*(1+Inputs!$B$35/100)),MAX(0,Inputs!$B$44-((R2733-1)*(1/Q2733)))))/Inputs!$B$44),IF(Inputs!$B$39="pvp",MIN((Skills!T14*(1+Inputs!$B$35/100)),15)/15,MIN(1,(Skills!T14*(1+Inputs!$B$35/100))/(1/Q2733)))))+((C2732=TRUE)*IF(Inputs!$B$3&gt;=82,IF(Inputs!$B$39="pvp",20,(1-Summary!$B$11)*(20)+Summary!$B$11*(0)),0)*IF(AND(Inputs!$B$39&lt;&gt;"pvp",Inputs!$B$44&gt;0),(((R2732-1)*MIN((Skills!T13*(1+Inputs!$B$35/100)),(1/Q2732))+MIN((Skills!T13*(1+Inputs!$B$35/100)),MAX(0,Inputs!$B$44-((R2732-1)*(1/Q2732)))))/Inputs!$B$44),IF(Inputs!$B$39="pvp",MIN((Skills!T13*(1+Inputs!$B$35/100)),15)/15,MIN(1,(Skills!T13*(1+Inputs!$B$35/100))/(1/Q2732)))))+(IF(AND(ArtifactsInput!$M$35,Inputs!$B$4&lt;&gt;"Chapter Hunt"),CHOOSE(ArtifactsInput!$N$35+1,15,18,21,24,27,30)*(1-EXP(-(0.2*B2750)*5)),0)+IF(AND(ArtifactsInput!$M$22,Inputs!$B$4&lt;&gt;"Chapter Hunt"),CHOOSE(ArtifactsInput!$N$22+1,10,12,14,16,18,20)*((0*(((0.15*B2750*5))^0/1)+1*(((0.15*B2750*5))^1/1)+2*(((0.15*B2750*5))^2/2)+3*(((0.15*B2750*5))^3/6)+4*(((0.15*B2750*5))^4/24)+5*(((0.15*B2750*5))^5/120))/((((0.15*B2750*5))^0/1)+(((0.15*B2750*5))^1/1)+(((0.15*B2750*5))^2/2)+(((0.15*B2750*5))^3/6)+(((0.15*B2750*5))^4/24)+(((0.15*B2750*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30">
      <c r="A2730">
        <f>Skills!A11</f>
        <v/>
      </c>
      <c r="B2730">
        <f>Skills!B11</f>
        <v/>
      </c>
      <c r="C2730">
        <f>Inputs!$B$3&gt;=100</f>
        <v/>
      </c>
      <c r="D2730">
        <f>IF(Skills!C11=1,60+Inputs!$B$26+Inputs!$B$30,IF(Skills!C11=2,90+Inputs!$B$27+Inputs!$B$30,IF(Skills!C11=3,120+Inputs!$B$28+Inputs!$B$30,MAX(0,(Inputs!$B$3-100)*3)+Inputs!$B$29+Inputs!$B$30)))</f>
        <v/>
      </c>
      <c r="E2730">
        <f>INDEX(FactorTable!$B$2:$Y$301, MATCH(ROUND(MIN(300,MAX(1,D2730)),0), FactorTable!$A$2:$A$301,0), Skills!M11+1)</f>
        <v/>
      </c>
      <c r="F2730">
        <f>IF(Skills!N11=TRUE,(Skills!L11/10)*(E2730/1000),Skills!L11/10)+Skills!O11</f>
        <v/>
      </c>
      <c r="G2730" t="inlineStr"/>
      <c r="H2730" t="inlineStr"/>
      <c r="I2730" t="inlineStr">
        <is>
          <t>1</t>
        </is>
      </c>
      <c r="J2730" t="inlineStr"/>
      <c r="K2730" t="inlineStr"/>
      <c r="L2730" t="inlineStr"/>
      <c r="M2730" t="inlineStr"/>
      <c r="N2730" t="inlineStr"/>
      <c r="O2730" t="inlineStr"/>
      <c r="P2730" t="inlineStr"/>
      <c r="Q2730" t="inlineStr"/>
      <c r="R2730" t="inlineStr"/>
      <c r="S2730" t="inlineStr"/>
    </row>
    <row r="2731">
      <c r="A2731">
        <f>Skills!A12</f>
        <v/>
      </c>
      <c r="B2731">
        <f>Skills!B12</f>
        <v/>
      </c>
      <c r="C2731">
        <f>Inputs!$B$3&gt;=63</f>
        <v/>
      </c>
      <c r="D2731">
        <f>IF(Skills!C12=1,60+Inputs!$B$26+Inputs!$B$30,IF(Skills!C12=2,90+Inputs!$B$27+Inputs!$B$30,IF(Skills!C12=3,120+Inputs!$B$28+Inputs!$B$30,MAX(0,(Inputs!$B$3-100)*3)+Inputs!$B$29+Inputs!$B$30)))</f>
        <v/>
      </c>
      <c r="E2731">
        <f>INDEX(FactorTable!$B$2:$Y$301, MATCH(ROUND(MIN(300,MAX(1,D2731)),0), FactorTable!$A$2:$A$301,0), Skills!M12+1)</f>
        <v/>
      </c>
      <c r="F2731">
        <f>IF(Skills!N12=TRUE,(Skills!L12/10)*(E2731/1000),Skills!L12/10)+Skills!O12</f>
        <v/>
      </c>
      <c r="G2731">
        <f>Skills!G12*IF(Skills!H12&gt;0,INT(IF(Inputs!$B$39="pvp",MIN(Skills!I12,15),Skills!I12)/Skills!H12+0.000000001),1)</f>
        <v/>
      </c>
      <c r="H2731">
        <f>1-(1-Skills!J12/100)^Skills!K12</f>
        <v/>
      </c>
      <c r="I2731" t="inlineStr">
        <is>
          <t>1</t>
        </is>
      </c>
      <c r="J2731">
        <f>((Inputs!$B$6*(1+Inputs!$B$7/100))+(((Inputs!$B$13*(1+Inputs!$B$14/100))-(Inputs!$B$13*(1+Inputs!$B$14/100)))+0.25*(Inputs!$B$15-Inputs!$B$15))*(1+Inputs!$B$7/100))*(F2731/100)</f>
        <v/>
      </c>
      <c r="K2731">
        <f>J2731*(1+(((Inputs!$B$13+IF(Inputs!$B$3&gt;=38,(10*INDEX(FactorTable!$B$2:$Y$301, MATCH(ROUND(MIN(300,MAX(1,Inputs!$B$3)),0), FactorTable!$A$2:$A$301,0), 23)/1000)/100*(Inputs!$B$8*(1+Inputs!$B$9/100)),0))*(1+Inputs!$B$14/100))*0.01+Inputs!$B$15*0.0025)/100)*(1+Inputs!$B$16/100)*(1+Inputs!$B$17/100)*(5000/(6000+Inputs!$B$43*(1-(Inputs!$B$20+0)/100)))*(1+(Inputs!$B$25+((C2744=TRUE)*(F2744-Calc!F25))+((C2745=TRUE)*(F2745-Calc!F26))+B2754)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2730=TRUE,F2730,0)/100)*(1+(IF(Skills!A12="DARK_IMPALE",Inputs!$B$18+0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gt;=100),MIN(100,((Inputs!$B$10+0+B2748+(ArtifactsInput!$M$24-ArtifactsInput!$M$24)*CHOOSE(ArtifactsInput!$N$24+1,10,12,14,16,18,20)+IF(ArtifactsInput!$M$10,CHOOSE(ArtifactsInput!$N$10+1,15,18,21,24,27,30)*(IF(Inputs!$B$39="pvp",MIN(15,15)/15,IF(AND(Inputs!$B$39&lt;&gt;"pvp",Inputs!$B$44&gt;0),MIN(15,Inputs!$B$44)/(Inputs!$B$44),0))),0)))-100),0))*CHOOSE(ArtifactsInput!$N$42+1,0.6,0.72,0.84,0.96,1.08,1.2))),Inputs!$B$19+((C2742=TRUE)*(F2742-Calc!F23))+(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gt;=100),CHOOSE(ArtifactsInput!$N$42+1,40,48,56,64,72,80),0))))/100)*((1+(((C2732=TRUE)*F2732*IF(AND(Inputs!$B$39&lt;&gt;"pvp",Inputs!$B$44&gt;0),(((R2732-1)*MIN((Skills!T13*(1+Inputs!$B$35/100)),(1/Q2732))+MIN((Skills!T13*(1+Inputs!$B$35/100)),MAX(0,Inputs!$B$44-((R2732-1)*(1/Q2732)))))/Inputs!$B$44),IF(Inputs!$B$39="pvp",MIN((Skills!T13*(1+Inputs!$B$35/100)),15)/15,MIN(1,(Skills!T13*(1+Inputs!$B$35/100))/(1/Q2732)))))+((C2733=TRUE)*F2733*IF(AND(Inputs!$B$39&lt;&gt;"pvp",Inputs!$B$44&gt;0),(((R2733-1)*MIN((Skills!T14*(1+Inputs!$B$35/100)),(1/Q2733))+MIN((Skills!T14*(1+Inputs!$B$35/100)),MAX(0,Inputs!$B$44-((R2733-1)*(1/Q2733)))))/Inputs!$B$44),IF(Inputs!$B$39="pvp",MIN((Skills!T14*(1+Inputs!$B$35/100)),15)/15,MIN(1,(Skills!T14*(1+Inputs!$B$35/100))/(1/Q2733)))))+((C2734=TRUE)*F2734*IF(AND(Inputs!$B$39&lt;&gt;"pvp",Inputs!$B$44&gt;0),(((R2734-1)*MIN((Skills!T15*(1+Inputs!$B$35/100)),(1/Q2734))+MIN((Skills!T15*(1+Inputs!$B$35/100)),MAX(0,Inputs!$B$44-((R2734-1)*(1/Q2734)))))/Inputs!$B$44),IF(Inputs!$B$39="pvp",MIN((Skills!T15*(1+Inputs!$B$35/100)),15)/15,MIN(1,(Skills!T15*(1+Inputs!$B$35/100))/(1/Q2734)))))+((C2735=TRUE)*F2735*IF(AND(Inputs!$B$39&lt;&gt;"pvp",Inputs!$B$44&gt;0),(((R2735-1)*MIN((Skills!T16*(1+Inputs!$B$35/100)),(1/Q2735))+MIN((Skills!T16*(1+Inputs!$B$35/100)),MAX(0,Inputs!$B$44-((R2735-1)*(1/Q2735)))))/Inputs!$B$44),IF(Inputs!$B$39="pvp",MIN((Skills!T16*(1+Inputs!$B$35/100)),15)/15,MIN(1,(Skills!T16*(1+Inputs!$B$35/100))/(1/Q2735)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2731)</f>
        <v/>
      </c>
      <c r="L2731">
        <f>K2731*(MIN(Inputs!$B$23+((C2741=TRUE)*(F2741-Calc!F22)),(Inputs!$B$24+((C2743=TRUE)*(F2743-Calc!F24))+(IF(ArtifactsInput!$M$15,CHOOSE(ArtifactsInput!$N$15+1,25,30,35,40,45,50)/100*(Inputs!$B$12-Inputs!$B$12),0))))/100+(Inputs!$B$24+((C2743=TRUE)*(F2743-Calc!F24))+(IF(ArtifactsInput!$M$15,CHOOSE(ArtifactsInput!$N$15+1,25,30,35,40,45,50)/100*(Inputs!$B$12-Inputs!$B$12),0)))/100)/2</f>
        <v/>
      </c>
      <c r="M2731">
        <f>L2731*(1+(Inputs!$B$11+0+B2753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731">
        <f>L2731*(1-MIN((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2731*(MIN((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31">
        <f>(1-Summary!$B$11)*T2731+Summary!$B$11*V2731</f>
        <v/>
      </c>
      <c r="P2731">
        <f>IF(B2758=0,0,O2731/B2758)</f>
        <v/>
      </c>
      <c r="Q2731">
        <f>IFERROR(1/IF(Inputs!$B$39="pvp",15,MAX(0.1,Skills!D12-IF(TRUE=TRUE,Inputs!$B$33,0))),0)</f>
        <v/>
      </c>
      <c r="R2731">
        <f>IF(AND(Inputs!$B$39&lt;&gt;"pvp",Inputs!$B$44&gt;0),IF(MAX(0,Inputs!$B$44-B2755)&lt;=0,0,(INT(MAX(0,Inputs!$B$44-B2755)/IF(Inputs!$B$39="pvp",15,MAX(0.1,Skills!D12-IF(TRUE=TRUE,Inputs!$B$33,0))))+1)),0)</f>
        <v/>
      </c>
      <c r="S2731">
        <f>IFERROR(O2731/N2731,0)</f>
        <v/>
      </c>
      <c r="T2731">
        <f>IF(C2731,(H2731*N2731*IF(AND(Inputs!$B$39&lt;&gt;"pvp",Inputs!$B$44&gt;0),((Skills!G12*((R2731-1)*IF(Skills!H12&gt;0,INT(Skills!I12/Skills!H12+0.000000001),1)+IF(Skills!H12&gt;0,INT(MIN(Skills!I12,MAX(0,MAX(0,Inputs!$B$44-B2755)-((R2731-1)*IF(Inputs!$B$39="pvp",15,MAX(0.1,Skills!D12-IF(TRUE=TRUE,Inputs!$B$33,0))))))/Skills!H12+0.000000001),1)))/Inputs!$B$44),G2731*Q2731))*IF(Inputs!$B$39="pvp",1,1+(Inputs!$B$21+0+Skills!P12+((C2736=TRUE)*F2736*IF(AND(Inputs!$B$39&lt;&gt;"pvp",Inputs!$B$44&gt;0),(((R2736-1)*MIN((Skills!T17*(1+Inputs!$B$35/100)),(1/Q2736))+MIN((Skills!T17*(1+Inputs!$B$35/100)),MAX(0,Inputs!$B$44-((R2736-1)*(1/Q2736)))))/Inputs!$B$44),IF(Inputs!$B$39="pvp",MIN((Skills!T17*(1+Inputs!$B$35/100)),15)/15,MIN(1,(Skills!T17*(1+Inputs!$B$35/100))/(1/Q2736)))))+((C2724=TRUE)*IF(Inputs!$B$3&gt;=126,10*MIN(1,15*Q2724),0))+((C2733=TRUE)*IF(Inputs!$B$39="pvp",20,(1-Summary!$B$11)*(20)+Summary!$B$11*(0))*IF(AND(Inputs!$B$39&lt;&gt;"pvp",Inputs!$B$44&gt;0),(((R2733-1)*MIN((Skills!T14*(1+Inputs!$B$35/100)),(1/Q2733))+MIN((Skills!T14*(1+Inputs!$B$35/100)),MAX(0,Inputs!$B$44-((R2733-1)*(1/Q2733)))))/Inputs!$B$44),IF(Inputs!$B$39="pvp",MIN((Skills!T14*(1+Inputs!$B$35/100)),15)/15,MIN(1,(Skills!T14*(1+Inputs!$B$35/100))/(1/Q2733)))))+((C2732=TRUE)*IF(Inputs!$B$3&gt;=82,IF(Inputs!$B$39="pvp",20,(1-Summary!$B$11)*(20)+Summary!$B$11*(0)),0)*IF(AND(Inputs!$B$39&lt;&gt;"pvp",Inputs!$B$44&gt;0),(((R2732-1)*MIN((Skills!T13*(1+Inputs!$B$35/100)),(1/Q2732))+MIN((Skills!T13*(1+Inputs!$B$35/100)),MAX(0,Inputs!$B$44-((R2732-1)*(1/Q2732)))))/Inputs!$B$44),IF(Inputs!$B$39="pvp",MIN((Skills!T13*(1+Inputs!$B$35/100)),15)/15,MIN(1,(Skills!T13*(1+Inputs!$B$35/100))/(1/Q2732)))))+(IF(AND(ArtifactsInput!$M$35,Inputs!$B$4&lt;&gt;"Chapter Hunt"),CHOOSE(ArtifactsInput!$N$35+1,15,18,21,24,27,30)*(1-EXP(-(0.2*B2750)*5)),0)+IF(AND(ArtifactsInput!$M$22,Inputs!$B$4&lt;&gt;"Chapter Hunt"),CHOOSE(ArtifactsInput!$N$22+1,10,12,14,16,18,20)*((0*(((0.15*B2750*5))^0/1)+1*(((0.15*B2750*5))^1/1)+2*(((0.15*B2750*5))^2/2)+3*(((0.15*B2750*5))^3/6)+4*(((0.15*B2750*5))^4/24)+5*(((0.15*B2750*5))^5/120))/((((0.15*B2750*5))^0/1)+(((0.15*B2750*5))^1/1)+(((0.15*B2750*5))^2/2)+(((0.15*B2750*5))^3/6)+(((0.15*B2750*5))^4/24)+(((0.15*B2750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2731*(1-MIN(100,(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2731*(MIN(100,(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2731*(1-MIN(100,(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2731*(MIN(100,(Inputs!$B$10+0+B2748+(ArtifactsInput!$M$24-ArtifactsInput!$M$24)*CHOOSE(ArtifactsInput!$N$24+1,10,12,14,16,18,20)+(IF(AND(Inputs!$B$39&lt;&gt;"pvp",Inputs!$B$44=0),1,IF(IF(Inputs!$B$39="pvp",15,Inputs!$B$44)-(B2755)&lt;=0,1,MAX(0,IF(Inputs!$B$39="pvp",15,Inputs!$B$44)-MAX(5,B2755))/(IF(Inputs!$B$39="pvp",15,Inputs!$B$44)-(B2755))))*IF(AND(IF(ArtifactsInput!$M$42,FALSE,TRUE),((Inputs!$B$10+0+B2748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31">
        <f>IF(C2731,(H2731*N2731*IF(AND(Inputs!$B$39&lt;&gt;"pvp",Inputs!$B$44&gt;0),((Skills!G12*((R2731-1)*IF(Skills!H12&gt;0,INT(Skills!I12/Skills!H12+0.000000001),1)+IF(Skills!H12&gt;0,INT(MIN(Skills!I12,MAX(0,MAX(0,Inputs!$B$44-B2755)-((R2731-1)*IF(Inputs!$B$39="pvp",15,MAX(0.1,Skills!D12-IF(TRUE=TRUE,Inputs!$B$33,0))))))/Skills!H12+0.000000001),1)))/Inputs!$B$44),G2731*Q2731))*IF(Inputs!$B$39="pvp",1,(1+(Inputs!$B$22+Skills!Q12+((C2736=TRUE)*F2736*IF(AND(Inputs!$B$39&lt;&gt;"pvp",Inputs!$B$44&gt;0),(((R2736-1)*MIN((Skills!T17*(1+Inputs!$B$35/100)),(1/Q2736))+MIN((Skills!T17*(1+Inputs!$B$35/100)),MAX(0,Inputs!$B$44-((R2736-1)*(1/Q2736)))))/Inputs!$B$44),IF(Inputs!$B$39="pvp",MIN((Skills!T17*(1+Inputs!$B$35/100)),15)/15,MIN(1,(Skills!T17*(1+Inputs!$B$35/100))/(1/Q2736)))))+((C2724=TRUE)*IF(Inputs!$B$3&gt;=126,10*MIN(1,15*Q2724),0))+((C2733=TRUE)*IF(Inputs!$B$39="pvp",20,(1-Summary!$B$11)*(20)+Summary!$B$11*(0))*IF(AND(Inputs!$B$39&lt;&gt;"pvp",Inputs!$B$44&gt;0),(((R2733-1)*MIN((Skills!T14*(1+Inputs!$B$35/100)),(1/Q2733))+MIN((Skills!T14*(1+Inputs!$B$35/100)),MAX(0,Inputs!$B$44-((R2733-1)*(1/Q2733)))))/Inputs!$B$44),IF(Inputs!$B$39="pvp",MIN((Skills!T14*(1+Inputs!$B$35/100)),15)/15,MIN(1,(Skills!T14*(1+Inputs!$B$35/100))/(1/Q2733)))))+((C2732=TRUE)*IF(Inputs!$B$3&gt;=82,IF(Inputs!$B$39="pvp",20,(1-Summary!$B$11)*(20)+Summary!$B$11*(0)),0)*IF(AND(Inputs!$B$39&lt;&gt;"pvp",Inputs!$B$44&gt;0),(((R2732-1)*MIN((Skills!T13*(1+Inputs!$B$35/100)),(1/Q2732))+MIN((Skills!T13*(1+Inputs!$B$35/100)),MAX(0,Inputs!$B$44-((R2732-1)*(1/Q2732)))))/Inputs!$B$44),IF(Inputs!$B$39="pvp",MIN((Skills!T13*(1+Inputs!$B$35/100)),15)/15,MIN(1,(Skills!T13*(1+Inputs!$B$35/100))/(1/Q2732)))))+(IF(AND(ArtifactsInput!$M$35,Inputs!$B$4&lt;&gt;"Chapter Hunt"),CHOOSE(ArtifactsInput!$N$35+1,15,18,21,24,27,30)*(1-EXP(-(0.2*B2750)*5)),0)+IF(AND(ArtifactsInput!$M$22,Inputs!$B$4&lt;&gt;"Chapter Hunt"),CHOOSE(ArtifactsInput!$N$22+1,10,12,14,16,18,20)*((0*(((0.15*B2750*5))^0/1)+1*(((0.15*B2750*5))^1/1)+2*(((0.15*B2750*5))^2/2)+3*(((0.15*B2750*5))^3/6)+4*(((0.15*B2750*5))^4/24)+5*(((0.15*B2750*5))^5/120))/((((0.15*B2750*5))^0/1)+(((0.15*B2750*5))^1/1)+(((0.15*B2750*5))^2/2)+(((0.15*B2750*5))^3/6)+(((0.15*B2750*5))^4/24)+(((0.15*B2750*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32">
      <c r="A2732">
        <f>Skills!A13</f>
        <v/>
      </c>
      <c r="B2732">
        <f>Skills!B13</f>
        <v/>
      </c>
      <c r="C2732">
        <f>Inputs!$B$3&gt;=69</f>
        <v/>
      </c>
      <c r="D2732">
        <f>IF(Skills!C13=1,60+Inputs!$B$26+Inputs!$B$30,IF(Skills!C13=2,90+Inputs!$B$27+Inputs!$B$30,IF(Skills!C13=3,120+Inputs!$B$28+Inputs!$B$30,MAX(0,(Inputs!$B$3-100)*3)+Inputs!$B$29+Inputs!$B$30)))</f>
        <v/>
      </c>
      <c r="E2732">
        <f>INDEX(FactorTable!$B$2:$Y$301, MATCH(ROUND(MIN(300,MAX(1,D2732)),0), FactorTable!$A$2:$A$301,0), Skills!M13+1)</f>
        <v/>
      </c>
      <c r="F2732">
        <f>IF(Skills!N13=TRUE,(Skills!L13/10)*(E2732/1000),Skills!L13/10)+Skills!O13</f>
        <v/>
      </c>
      <c r="G2732">
        <f>Skills!G13*IF(Skills!H13&gt;0,INT(IF(Inputs!$B$39="pvp",MIN(Skills!I13,15),Skills!I13)/Skills!H13+0.000000001),1)</f>
        <v/>
      </c>
      <c r="H2732">
        <f>1-(1-Skills!J13/100)^Skills!K13</f>
        <v/>
      </c>
      <c r="I2732" t="inlineStr">
        <is>
          <t>1</t>
        </is>
      </c>
      <c r="J2732" t="inlineStr"/>
      <c r="K2732" t="inlineStr"/>
      <c r="L2732" t="inlineStr"/>
      <c r="M2732" t="inlineStr"/>
      <c r="N2732" t="inlineStr"/>
      <c r="O2732">
        <f>(1-Summary!$B$11)*T2732+Summary!$B$11*V2732</f>
        <v/>
      </c>
      <c r="P2732">
        <f>IF(B2758=0,0,O2732/B2758)</f>
        <v/>
      </c>
      <c r="Q2732">
        <f>IFERROR(1/IF(Inputs!$B$39="pvp",15,MAX(0.1,Skills!D13-IF(TRUE=TRUE,Inputs!$B$33,0))),0)</f>
        <v/>
      </c>
      <c r="R2732">
        <f>IF(AND(Inputs!$B$39&lt;&gt;"pvp",Inputs!$B$44&gt;0),IF(Inputs!$B$44&lt;=0,0,(INT(Inputs!$B$44/IF(Inputs!$B$39="pvp",15,MAX(0.1,Skills!D13-IF(TRUE=TRUE,Inputs!$B$33,0))))+1)),0)</f>
        <v/>
      </c>
      <c r="S2732">
        <f>IFERROR(O2732/N2732,0)</f>
        <v/>
      </c>
      <c r="T2732" t="n">
        <v>0</v>
      </c>
      <c r="V2732" t="n">
        <v>0</v>
      </c>
    </row>
    <row r="2733">
      <c r="A2733">
        <f>Skills!A14</f>
        <v/>
      </c>
      <c r="B2733">
        <f>Skills!B14</f>
        <v/>
      </c>
      <c r="C2733">
        <f>Inputs!$B$3&gt;=115</f>
        <v/>
      </c>
      <c r="D2733">
        <f>IF(Skills!C14=1,60+Inputs!$B$26+Inputs!$B$30,IF(Skills!C14=2,90+Inputs!$B$27+Inputs!$B$30,IF(Skills!C14=3,120+Inputs!$B$28+Inputs!$B$30,MAX(0,(Inputs!$B$3-100)*3)+Inputs!$B$29+Inputs!$B$30)))</f>
        <v/>
      </c>
      <c r="E2733">
        <f>INDEX(FactorTable!$B$2:$Y$301, MATCH(ROUND(MIN(300,MAX(1,D2733)),0), FactorTable!$A$2:$A$301,0), Skills!M14+1)</f>
        <v/>
      </c>
      <c r="F2733">
        <f>IF(Skills!N14=TRUE,(Skills!L14/10)*(E2733/1000),Skills!L14/10)+Skills!O14</f>
        <v/>
      </c>
      <c r="G2733">
        <f>Skills!G14*IF(Skills!H14&gt;0,INT(IF(Inputs!$B$39="pvp",MIN(Skills!I14,15),Skills!I14)/Skills!H14+0.000000001),1)</f>
        <v/>
      </c>
      <c r="H2733">
        <f>1-(1-Skills!J14/100)^Skills!K14</f>
        <v/>
      </c>
      <c r="I2733" t="inlineStr">
        <is>
          <t>1</t>
        </is>
      </c>
      <c r="J2733" t="inlineStr"/>
      <c r="K2733" t="inlineStr"/>
      <c r="L2733" t="inlineStr"/>
      <c r="M2733" t="inlineStr"/>
      <c r="N2733" t="inlineStr"/>
      <c r="O2733">
        <f>(1-Summary!$B$11)*T2733+Summary!$B$11*V2733</f>
        <v/>
      </c>
      <c r="P2733">
        <f>IF(B2758=0,0,O2733/B2758)</f>
        <v/>
      </c>
      <c r="Q2733">
        <f>IFERROR(1/IF(Inputs!$B$39="pvp",15,MAX(0.1,Skills!D14-IF(TRUE=TRUE,Inputs!$B$33,0))),0)</f>
        <v/>
      </c>
      <c r="R2733">
        <f>IF(AND(Inputs!$B$39&lt;&gt;"pvp",Inputs!$B$44&gt;0),IF(Inputs!$B$44&lt;=0,0,(INT(Inputs!$B$44/IF(Inputs!$B$39="pvp",15,MAX(0.1,Skills!D14-IF(TRUE=TRUE,Inputs!$B$33,0))))+1)),0)</f>
        <v/>
      </c>
      <c r="S2733">
        <f>IFERROR(O2733/N2733,0)</f>
        <v/>
      </c>
      <c r="T2733" t="n">
        <v>0</v>
      </c>
      <c r="V2733" t="n">
        <v>0</v>
      </c>
    </row>
    <row r="2734">
      <c r="A2734">
        <f>Skills!A15</f>
        <v/>
      </c>
      <c r="B2734">
        <f>Skills!B15</f>
        <v/>
      </c>
      <c r="C2734">
        <f>Inputs!$B$3&gt;=66</f>
        <v/>
      </c>
      <c r="D2734">
        <f>IF(Skills!C15=1,60+Inputs!$B$26+Inputs!$B$30,IF(Skills!C15=2,90+Inputs!$B$27+Inputs!$B$30,IF(Skills!C15=3,120+Inputs!$B$28+Inputs!$B$30,MAX(0,(Inputs!$B$3-100)*3)+Inputs!$B$29+Inputs!$B$30)))</f>
        <v/>
      </c>
      <c r="E2734">
        <f>INDEX(FactorTable!$B$2:$Y$301, MATCH(ROUND(MIN(300,MAX(1,D2734)),0), FactorTable!$A$2:$A$301,0), Skills!M15+1)</f>
        <v/>
      </c>
      <c r="F2734">
        <f>IF(Skills!N15=TRUE,(Skills!L15/10)*(E2734/1000),Skills!L15/10)+Skills!O15</f>
        <v/>
      </c>
      <c r="G2734">
        <f>Skills!G15*IF(Skills!H15&gt;0,INT(IF(Inputs!$B$39="pvp",MIN(Skills!I15,15),Skills!I15)/Skills!H15+0.000000001),1)</f>
        <v/>
      </c>
      <c r="H2734">
        <f>1-(1-Skills!J15/100)^Skills!K15</f>
        <v/>
      </c>
      <c r="I2734" t="inlineStr">
        <is>
          <t>1</t>
        </is>
      </c>
      <c r="J2734" t="inlineStr"/>
      <c r="K2734" t="inlineStr"/>
      <c r="L2734" t="inlineStr"/>
      <c r="M2734" t="inlineStr"/>
      <c r="N2734" t="inlineStr"/>
      <c r="O2734">
        <f>(1-Summary!$B$11)*T2734+Summary!$B$11*V2734</f>
        <v/>
      </c>
      <c r="P2734">
        <f>IF(B2758=0,0,O2734/B2758)</f>
        <v/>
      </c>
      <c r="Q2734">
        <f>IFERROR(1/IF(Inputs!$B$39="pvp",15,MAX(0.1,Skills!D15-IF(TRUE=TRUE,Inputs!$B$33,0))),0)</f>
        <v/>
      </c>
      <c r="R2734">
        <f>IF(AND(Inputs!$B$39&lt;&gt;"pvp",Inputs!$B$44&gt;0),IF(Inputs!$B$44&lt;=0,0,(INT(Inputs!$B$44/IF(Inputs!$B$39="pvp",15,MAX(0.1,Skills!D15-IF(TRUE=TRUE,Inputs!$B$33,0))))+1)),0)</f>
        <v/>
      </c>
      <c r="S2734">
        <f>IFERROR(O2734/N2734,0)</f>
        <v/>
      </c>
      <c r="T2734" t="n">
        <v>0</v>
      </c>
      <c r="V2734" t="n">
        <v>0</v>
      </c>
    </row>
    <row r="2735">
      <c r="A2735">
        <f>Skills!A16</f>
        <v/>
      </c>
      <c r="B2735">
        <f>Skills!B16</f>
        <v/>
      </c>
      <c r="C2735">
        <f>Inputs!$B$3&gt;=45</f>
        <v/>
      </c>
      <c r="D2735">
        <f>IF(Skills!C16=1,60+Inputs!$B$26+Inputs!$B$30,IF(Skills!C16=2,90+Inputs!$B$27+Inputs!$B$30,IF(Skills!C16=3,120+Inputs!$B$28+Inputs!$B$30,MAX(0,(Inputs!$B$3-100)*3)+Inputs!$B$29+Inputs!$B$30)))</f>
        <v/>
      </c>
      <c r="E2735">
        <f>INDEX(FactorTable!$B$2:$Y$301, MATCH(ROUND(MIN(300,MAX(1,D2735)),0), FactorTable!$A$2:$A$301,0), Skills!M16+1)</f>
        <v/>
      </c>
      <c r="F2735">
        <f>IF(Skills!N16=TRUE,(Skills!L16/10)*(E2735/1000),Skills!L16/10)+Skills!O16</f>
        <v/>
      </c>
      <c r="G2735">
        <f>Skills!G16*IF(Skills!H16&gt;0,INT(IF(Inputs!$B$39="pvp",MIN(Skills!I16,15),Skills!I16)/Skills!H16+0.000000001),1)</f>
        <v/>
      </c>
      <c r="H2735">
        <f>1-(1-Skills!J16/100)^Skills!K16</f>
        <v/>
      </c>
      <c r="I2735" t="inlineStr">
        <is>
          <t>1</t>
        </is>
      </c>
      <c r="J2735" t="inlineStr"/>
      <c r="K2735" t="inlineStr"/>
      <c r="L2735" t="inlineStr"/>
      <c r="M2735" t="inlineStr"/>
      <c r="N2735" t="inlineStr"/>
      <c r="O2735">
        <f>(1-Summary!$B$11)*T2735+Summary!$B$11*V2735</f>
        <v/>
      </c>
      <c r="P2735">
        <f>IF(B2758=0,0,O2735/B2758)</f>
        <v/>
      </c>
      <c r="Q2735">
        <f>IFERROR(1/IF(Inputs!$B$39="pvp",15,MAX(0.1,Skills!D16-IF(TRUE=TRUE,Inputs!$B$33,0))),0)</f>
        <v/>
      </c>
      <c r="R2735">
        <f>IF(AND(Inputs!$B$39&lt;&gt;"pvp",Inputs!$B$44&gt;0),IF(Inputs!$B$44&lt;=0,0,(INT(Inputs!$B$44/IF(Inputs!$B$39="pvp",15,MAX(0.1,Skills!D16-IF(TRUE=TRUE,Inputs!$B$33,0))))+1)),0)</f>
        <v/>
      </c>
      <c r="S2735">
        <f>IFERROR(O2735/N2735,0)</f>
        <v/>
      </c>
      <c r="T2735" t="n">
        <v>0</v>
      </c>
      <c r="V2735" t="n">
        <v>0</v>
      </c>
    </row>
    <row r="2736">
      <c r="A2736">
        <f>Skills!A17</f>
        <v/>
      </c>
      <c r="B2736">
        <f>Skills!B17</f>
        <v/>
      </c>
      <c r="C2736">
        <f>Inputs!$B$3&gt;=35</f>
        <v/>
      </c>
      <c r="D2736">
        <f>IF(Skills!C17=1,60+Inputs!$B$26+Inputs!$B$30,IF(Skills!C17=2,90+Inputs!$B$27+Inputs!$B$30,IF(Skills!C17=3,120+Inputs!$B$28+Inputs!$B$30,MAX(0,(Inputs!$B$3-100)*3)+Inputs!$B$29+Inputs!$B$30)))</f>
        <v/>
      </c>
      <c r="E2736">
        <f>INDEX(FactorTable!$B$2:$Y$301, MATCH(ROUND(MIN(300,MAX(1,D2736)),0), FactorTable!$A$2:$A$301,0), Skills!M17+1)</f>
        <v/>
      </c>
      <c r="F2736">
        <f>IF(Skills!N17=TRUE,(Skills!L17/10)*(E2736/1000),Skills!L17/10)+Skills!O17</f>
        <v/>
      </c>
      <c r="G2736">
        <f>Skills!G17*IF(Skills!H17&gt;0,INT(IF(Inputs!$B$39="pvp",MIN(Skills!I17,15),Skills!I17)/Skills!H17+0.000000001),1)</f>
        <v/>
      </c>
      <c r="H2736">
        <f>1-(1-Skills!J17/100)^Skills!K17</f>
        <v/>
      </c>
      <c r="I2736" t="inlineStr">
        <is>
          <t>1</t>
        </is>
      </c>
      <c r="J2736" t="inlineStr"/>
      <c r="K2736" t="inlineStr"/>
      <c r="L2736" t="inlineStr"/>
      <c r="M2736" t="inlineStr"/>
      <c r="N2736" t="inlineStr"/>
      <c r="O2736">
        <f>(1-Summary!$B$11)*T2736+Summary!$B$11*V2736</f>
        <v/>
      </c>
      <c r="P2736">
        <f>IF(B2758=0,0,O2736/B2758)</f>
        <v/>
      </c>
      <c r="Q2736">
        <f>IFERROR(1/IF(Inputs!$B$39="pvp",15,MAX(0.1,Skills!D17-IF(TRUE=TRUE,Inputs!$B$33,0))),0)</f>
        <v/>
      </c>
      <c r="R2736">
        <f>IF(AND(Inputs!$B$39&lt;&gt;"pvp",Inputs!$B$44&gt;0),IF(Inputs!$B$44&lt;=0,0,(INT(Inputs!$B$44/IF(Inputs!$B$39="pvp",15,MAX(0.1,Skills!D17-IF(TRUE=TRUE,Inputs!$B$33,0))))+1)),0)</f>
        <v/>
      </c>
      <c r="S2736">
        <f>IFERROR(O2736/N2736,0)</f>
        <v/>
      </c>
      <c r="T2736" t="n">
        <v>0</v>
      </c>
      <c r="V2736" t="n">
        <v>0</v>
      </c>
    </row>
    <row r="2737">
      <c r="A2737">
        <f>Skills!A18</f>
        <v/>
      </c>
      <c r="B2737">
        <f>Skills!B18</f>
        <v/>
      </c>
      <c r="C2737">
        <f>Inputs!$B$3&gt;=72</f>
        <v/>
      </c>
      <c r="D2737">
        <f>IF(Skills!C18=1,60+Inputs!$B$26+Inputs!$B$30,IF(Skills!C18=2,90+Inputs!$B$27+Inputs!$B$30,IF(Skills!C18=3,120+Inputs!$B$28+Inputs!$B$30,MAX(0,(Inputs!$B$3-100)*3)+Inputs!$B$29+Inputs!$B$30)))</f>
        <v/>
      </c>
      <c r="E2737">
        <f>INDEX(FactorTable!$B$2:$Y$301, MATCH(ROUND(MIN(300,MAX(1,D2737)),0), FactorTable!$A$2:$A$301,0), Skills!M18+1)</f>
        <v/>
      </c>
      <c r="F2737">
        <f>IF(Skills!N18=TRUE,(Skills!L18/10)*(E2737/1000),Skills!L18/10)+Skills!O18</f>
        <v/>
      </c>
      <c r="G2737">
        <f>Skills!G18*IF(Skills!H18&gt;0,INT(IF(Inputs!$B$39="pvp",MIN(Skills!I18,15),Skills!I18)/Skills!H18+0.000000001),1)</f>
        <v/>
      </c>
      <c r="H2737">
        <f>1-(1-Skills!J18/100)^Skills!K18</f>
        <v/>
      </c>
      <c r="I2737" t="inlineStr">
        <is>
          <t>1</t>
        </is>
      </c>
      <c r="J2737" t="inlineStr"/>
      <c r="K2737" t="inlineStr"/>
      <c r="L2737" t="inlineStr"/>
      <c r="M2737" t="inlineStr"/>
      <c r="N2737" t="inlineStr"/>
      <c r="O2737">
        <f>(1-Summary!$B$11)*T2737+Summary!$B$11*V2737</f>
        <v/>
      </c>
      <c r="P2737">
        <f>IF(B2758=0,0,O2737/B2758)</f>
        <v/>
      </c>
      <c r="Q2737">
        <f>IFERROR(1/IF(Inputs!$B$39="pvp",15,MAX(0.1,Skills!D18-IF(TRUE=TRUE,Inputs!$B$33,0))),0)</f>
        <v/>
      </c>
      <c r="R2737">
        <f>IF(AND(Inputs!$B$39&lt;&gt;"pvp",Inputs!$B$44&gt;0),IF(Inputs!$B$44&lt;=0,0,(INT(Inputs!$B$44/IF(Inputs!$B$39="pvp",15,MAX(0.1,Skills!D18-IF(TRUE=TRUE,Inputs!$B$33,0))))+1)),0)</f>
        <v/>
      </c>
      <c r="S2737">
        <f>IFERROR(O2737/N2737,0)</f>
        <v/>
      </c>
      <c r="T2737" t="n">
        <v>0</v>
      </c>
      <c r="V2737" t="n">
        <v>0</v>
      </c>
    </row>
    <row r="2738">
      <c r="A2738">
        <f>Skills!A19</f>
        <v/>
      </c>
      <c r="B2738">
        <f>Skills!B19</f>
        <v/>
      </c>
      <c r="C2738">
        <f>Inputs!$B$3&gt;=72</f>
        <v/>
      </c>
      <c r="D2738">
        <f>IF(Skills!C19=1,60+Inputs!$B$26+Inputs!$B$30,IF(Skills!C19=2,90+Inputs!$B$27+Inputs!$B$30,IF(Skills!C19=3,120+Inputs!$B$28+Inputs!$B$30,MAX(0,(Inputs!$B$3-100)*3)+Inputs!$B$29+Inputs!$B$30)))</f>
        <v/>
      </c>
      <c r="E2738">
        <f>INDEX(FactorTable!$B$2:$Y$301, MATCH(ROUND(MIN(300,MAX(1,D2738)),0), FactorTable!$A$2:$A$301,0), Skills!M19+1)</f>
        <v/>
      </c>
      <c r="F2738">
        <f>IF(Skills!N19=TRUE,(Skills!L19/10)*(E2738/1000),Skills!L19/10)+Skills!O19</f>
        <v/>
      </c>
      <c r="G2738">
        <f>Skills!G19*IF(Skills!H19&gt;0,INT(IF(Inputs!$B$39="pvp",MIN(Skills!I19,15),Skills!I19)/Skills!H19+0.000000001),1)</f>
        <v/>
      </c>
      <c r="H2738">
        <f>1-(1-Skills!J19/100)^Skills!K19</f>
        <v/>
      </c>
      <c r="I2738" t="inlineStr">
        <is>
          <t>1</t>
        </is>
      </c>
      <c r="J2738" t="inlineStr"/>
      <c r="K2738" t="inlineStr"/>
      <c r="L2738" t="inlineStr"/>
      <c r="M2738" t="inlineStr"/>
      <c r="N2738" t="inlineStr"/>
      <c r="O2738">
        <f>(1-Summary!$B$11)*T2738+Summary!$B$11*V2738</f>
        <v/>
      </c>
      <c r="P2738">
        <f>IF(B2758=0,0,O2738/B2758)</f>
        <v/>
      </c>
      <c r="Q2738">
        <f>IFERROR(1/IF(Inputs!$B$39="pvp",15,MAX(0.1,Skills!D19-IF(TRUE=TRUE,Inputs!$B$33,0))),0)</f>
        <v/>
      </c>
      <c r="R2738">
        <f>IF(AND(Inputs!$B$39&lt;&gt;"pvp",Inputs!$B$44&gt;0),IF(Inputs!$B$44&lt;=0,0,(INT(Inputs!$B$44/IF(Inputs!$B$39="pvp",15,MAX(0.1,Skills!D19-IF(TRUE=TRUE,Inputs!$B$33,0))))+1)),0)</f>
        <v/>
      </c>
      <c r="S2738">
        <f>IFERROR(O2738/N2738,0)</f>
        <v/>
      </c>
      <c r="T2738" t="n">
        <v>0</v>
      </c>
      <c r="V2738" t="n">
        <v>0</v>
      </c>
    </row>
    <row r="2739">
      <c r="A2739">
        <f>Skills!A20</f>
        <v/>
      </c>
      <c r="B2739">
        <f>Skills!B20</f>
        <v/>
      </c>
      <c r="C2739">
        <f>TRUE</f>
        <v/>
      </c>
      <c r="D2739">
        <f>IF(Skills!C20=1,60+Inputs!$B$26+Inputs!$B$30,IF(Skills!C20=2,90+Inputs!$B$27+Inputs!$B$30,IF(Skills!C20=3,120+Inputs!$B$28+Inputs!$B$30,MAX(0,(Inputs!$B$3-100)*3)+Inputs!$B$29+Inputs!$B$30)))</f>
        <v/>
      </c>
      <c r="E2739">
        <f>INDEX(FactorTable!$B$2:$Y$301, MATCH(ROUND(MIN(300,MAX(1,D2739)),0), FactorTable!$A$2:$A$301,0), Skills!M20+1)</f>
        <v/>
      </c>
      <c r="F2739">
        <f>IF(Skills!N20=TRUE,(Skills!L20/10)*(E2739/1000),Skills!L20/10)+Skills!O20</f>
        <v/>
      </c>
      <c r="G2739">
        <f>Skills!G20*IF(Skills!H20&gt;0,INT(IF(Inputs!$B$39="pvp",MIN(Skills!I20,15),Skills!I20)/Skills!H20+0.000000001),1)</f>
        <v/>
      </c>
      <c r="H2739">
        <f>1-(1-Skills!J20/100)^Skills!K20</f>
        <v/>
      </c>
      <c r="I2739" t="inlineStr">
        <is>
          <t>1</t>
        </is>
      </c>
      <c r="J2739" t="inlineStr"/>
      <c r="K2739" t="inlineStr"/>
      <c r="L2739" t="inlineStr"/>
      <c r="M2739" t="inlineStr"/>
      <c r="N2739" t="inlineStr"/>
      <c r="O2739">
        <f>(1-Summary!$B$11)*T2739+Summary!$B$11*V2739</f>
        <v/>
      </c>
      <c r="P2739">
        <f>IF(B2758=0,0,O2739/B2758)</f>
        <v/>
      </c>
      <c r="Q2739">
        <f>IFERROR(1/IF(Inputs!$B$39="pvp",15,MAX(0.1,Skills!D20-IF(TRUE=TRUE,Inputs!$B$33,0))),0)</f>
        <v/>
      </c>
      <c r="R2739">
        <f>IF(AND(Inputs!$B$39&lt;&gt;"pvp",Inputs!$B$44&gt;0),IF(Inputs!$B$44&lt;=0,0,(INT(Inputs!$B$44/IF(Inputs!$B$39="pvp",15,MAX(0.1,Skills!D20-IF(TRUE=TRUE,Inputs!$B$33,0))))+1)),0)</f>
        <v/>
      </c>
      <c r="S2739">
        <f>IFERROR(O2739/N2739,0)</f>
        <v/>
      </c>
      <c r="T2739" t="n">
        <v>0</v>
      </c>
      <c r="V2739" t="n">
        <v>0</v>
      </c>
    </row>
    <row r="2740">
      <c r="A2740">
        <f>Skills!A21</f>
        <v/>
      </c>
      <c r="B2740">
        <f>Skills!B21</f>
        <v/>
      </c>
      <c r="C2740">
        <f>Inputs!$B$3&gt;=33</f>
        <v/>
      </c>
      <c r="D2740">
        <f>IF(Skills!C21=1,60+Inputs!$B$26+Inputs!$B$30,IF(Skills!C21=2,90+Inputs!$B$27+Inputs!$B$30,IF(Skills!C21=3,120+Inputs!$B$28+Inputs!$B$30,MAX(0,(Inputs!$B$3-100)*3)+Inputs!$B$29+Inputs!$B$30)))</f>
        <v/>
      </c>
      <c r="E2740">
        <f>INDEX(FactorTable!$B$2:$Y$301, MATCH(ROUND(MIN(300,MAX(1,D2740)),0), FactorTable!$A$2:$A$301,0), Skills!M21+1)</f>
        <v/>
      </c>
      <c r="F2740">
        <f>IF(Skills!N21=TRUE,(Skills!L21/10)*(E2740/1000),Skills!L21/10)+Skills!O21</f>
        <v/>
      </c>
      <c r="G2740">
        <f>Skills!G21*IF(Skills!H21&gt;0,INT(IF(Inputs!$B$39="pvp",MIN(Skills!I21,15),Skills!I21)/Skills!H21+0.000000001),1)</f>
        <v/>
      </c>
      <c r="H2740">
        <f>1-(1-Skills!J21/100)^Skills!K21</f>
        <v/>
      </c>
      <c r="I2740" t="inlineStr">
        <is>
          <t>1</t>
        </is>
      </c>
      <c r="J2740" t="inlineStr"/>
      <c r="K2740" t="inlineStr"/>
      <c r="L2740" t="inlineStr"/>
      <c r="M2740" t="inlineStr"/>
      <c r="N2740" t="inlineStr"/>
      <c r="O2740">
        <f>(1-Summary!$B$11)*T2740+Summary!$B$11*V2740</f>
        <v/>
      </c>
      <c r="P2740">
        <f>IF(B2758=0,0,O2740/B2758)</f>
        <v/>
      </c>
      <c r="Q2740" t="n">
        <v>0</v>
      </c>
      <c r="R2740" t="n">
        <v>0</v>
      </c>
      <c r="S2740">
        <f>IFERROR(O2740/N2740,0)</f>
        <v/>
      </c>
      <c r="T2740" t="n">
        <v>0</v>
      </c>
      <c r="V2740" t="n">
        <v>0</v>
      </c>
    </row>
    <row r="2741">
      <c r="A2741">
        <f>Skills!A22</f>
        <v/>
      </c>
      <c r="B2741">
        <f>Skills!B22</f>
        <v/>
      </c>
      <c r="C2741">
        <f>Inputs!$B$3&gt;=43</f>
        <v/>
      </c>
      <c r="D2741">
        <f>IF(Skills!C22=1,60+Inputs!$B$26+Inputs!$B$30,IF(Skills!C22=2,90+Inputs!$B$27+Inputs!$B$30,IF(Skills!C22=3,120+Inputs!$B$28+Inputs!$B$30,MAX(0,(Inputs!$B$3-100)*3)+Inputs!$B$29+Inputs!$B$30)))</f>
        <v/>
      </c>
      <c r="E2741">
        <f>INDEX(FactorTable!$B$2:$Y$301, MATCH(ROUND(MIN(300,MAX(1,D2741)),0), FactorTable!$A$2:$A$301,0), Skills!M22+1)</f>
        <v/>
      </c>
      <c r="F2741">
        <f>IF(Skills!N22=TRUE,(Skills!L22/10)*(E2741/1000),Skills!L22/10)+Skills!O22</f>
        <v/>
      </c>
      <c r="G2741">
        <f>Skills!G22*IF(Skills!H22&gt;0,INT(IF(Inputs!$B$39="pvp",MIN(Skills!I22,15),Skills!I22)/Skills!H22+0.000000001),1)</f>
        <v/>
      </c>
      <c r="H2741">
        <f>1-(1-Skills!J22/100)^Skills!K22</f>
        <v/>
      </c>
      <c r="I2741" t="inlineStr">
        <is>
          <t>1</t>
        </is>
      </c>
      <c r="J2741" t="inlineStr"/>
      <c r="K2741" t="inlineStr"/>
      <c r="L2741" t="inlineStr"/>
      <c r="M2741" t="inlineStr"/>
      <c r="N2741" t="inlineStr"/>
      <c r="O2741">
        <f>(1-Summary!$B$11)*T2741+Summary!$B$11*V2741</f>
        <v/>
      </c>
      <c r="P2741">
        <f>IF(B2758=0,0,O2741/B2758)</f>
        <v/>
      </c>
      <c r="Q2741" t="n">
        <v>0</v>
      </c>
      <c r="R2741" t="n">
        <v>0</v>
      </c>
      <c r="S2741">
        <f>IFERROR(O2741/N2741,0)</f>
        <v/>
      </c>
      <c r="T2741" t="n">
        <v>0</v>
      </c>
      <c r="V2741" t="n">
        <v>0</v>
      </c>
    </row>
    <row r="2742">
      <c r="A2742">
        <f>Skills!A23</f>
        <v/>
      </c>
      <c r="B2742">
        <f>Skills!B23</f>
        <v/>
      </c>
      <c r="C2742">
        <f>Inputs!$B$3&gt;=120</f>
        <v/>
      </c>
      <c r="D2742">
        <f>IF(Skills!C23=1,60+Inputs!$B$26+Inputs!$B$30,IF(Skills!C23=2,90+Inputs!$B$27+Inputs!$B$30,IF(Skills!C23=3,120+Inputs!$B$28+Inputs!$B$30,MAX(0,(Inputs!$B$3-100)*3)+Inputs!$B$29+Inputs!$B$30)))</f>
        <v/>
      </c>
      <c r="E2742">
        <f>INDEX(FactorTable!$B$2:$Y$301, MATCH(ROUND(MIN(300,MAX(1,D2742)),0), FactorTable!$A$2:$A$301,0), Skills!M23+1)</f>
        <v/>
      </c>
      <c r="F2742">
        <f>IF(Skills!N23=TRUE,(Skills!L23/10)*(E2742/1000),Skills!L23/10)+Skills!O23</f>
        <v/>
      </c>
      <c r="G2742">
        <f>Skills!G23*IF(Skills!H23&gt;0,INT(IF(Inputs!$B$39="pvp",MIN(Skills!I23,15),Skills!I23)/Skills!H23+0.000000001),1)</f>
        <v/>
      </c>
      <c r="H2742">
        <f>1-(1-Skills!J23/100)^Skills!K23</f>
        <v/>
      </c>
      <c r="I2742" t="inlineStr">
        <is>
          <t>1</t>
        </is>
      </c>
      <c r="J2742" t="inlineStr"/>
      <c r="K2742" t="inlineStr"/>
      <c r="L2742" t="inlineStr"/>
      <c r="M2742" t="inlineStr"/>
      <c r="N2742" t="inlineStr"/>
      <c r="O2742">
        <f>(1-Summary!$B$11)*T2742+Summary!$B$11*V2742</f>
        <v/>
      </c>
      <c r="P2742">
        <f>IF(B2758=0,0,O2742/B2758)</f>
        <v/>
      </c>
      <c r="Q2742" t="n">
        <v>0</v>
      </c>
      <c r="R2742" t="n">
        <v>0</v>
      </c>
      <c r="S2742">
        <f>IFERROR(O2742/N2742,0)</f>
        <v/>
      </c>
      <c r="T2742" t="n">
        <v>0</v>
      </c>
      <c r="V2742" t="n">
        <v>0</v>
      </c>
    </row>
    <row r="2743">
      <c r="A2743">
        <f>Skills!A24</f>
        <v/>
      </c>
      <c r="B2743">
        <f>Skills!B24</f>
        <v/>
      </c>
      <c r="C2743">
        <f>Inputs!$B$3&gt;=120</f>
        <v/>
      </c>
      <c r="D2743">
        <f>IF(Skills!C24=1,60+Inputs!$B$26+Inputs!$B$30,IF(Skills!C24=2,90+Inputs!$B$27+Inputs!$B$30,IF(Skills!C24=3,120+Inputs!$B$28+Inputs!$B$30,MAX(0,(Inputs!$B$3-100)*3)+Inputs!$B$29+Inputs!$B$30)))</f>
        <v/>
      </c>
      <c r="E2743">
        <f>INDEX(FactorTable!$B$2:$Y$301, MATCH(ROUND(MIN(300,MAX(1,D2743)),0), FactorTable!$A$2:$A$301,0), Skills!M24+1)</f>
        <v/>
      </c>
      <c r="F2743">
        <f>IF(Skills!N24=TRUE,(Skills!L24/10)*(E2743/1000),Skills!L24/10)+Skills!O24</f>
        <v/>
      </c>
      <c r="G2743">
        <f>Skills!G24*IF(Skills!H24&gt;0,INT(IF(Inputs!$B$39="pvp",MIN(Skills!I24,15),Skills!I24)/Skills!H24+0.000000001),1)</f>
        <v/>
      </c>
      <c r="H2743">
        <f>1-(1-Skills!J24/100)^Skills!K24</f>
        <v/>
      </c>
      <c r="I2743" t="inlineStr">
        <is>
          <t>1</t>
        </is>
      </c>
      <c r="J2743" t="inlineStr"/>
      <c r="K2743" t="inlineStr"/>
      <c r="L2743" t="inlineStr"/>
      <c r="M2743" t="inlineStr"/>
      <c r="N2743" t="inlineStr"/>
      <c r="O2743">
        <f>(1-Summary!$B$11)*T2743+Summary!$B$11*V2743</f>
        <v/>
      </c>
      <c r="P2743">
        <f>IF(B2758=0,0,O2743/B2758)</f>
        <v/>
      </c>
      <c r="Q2743" t="n">
        <v>0</v>
      </c>
      <c r="R2743" t="n">
        <v>0</v>
      </c>
      <c r="S2743">
        <f>IFERROR(O2743/N2743,0)</f>
        <v/>
      </c>
      <c r="T2743" t="n">
        <v>0</v>
      </c>
      <c r="V2743" t="n">
        <v>0</v>
      </c>
    </row>
    <row r="2744">
      <c r="A2744">
        <f>Skills!A25</f>
        <v/>
      </c>
      <c r="B2744">
        <f>Skills!B25</f>
        <v/>
      </c>
      <c r="C2744">
        <f>Inputs!$B$3&gt;=125</f>
        <v/>
      </c>
      <c r="D2744">
        <f>IF(Skills!C25=1,60+Inputs!$B$26+Inputs!$B$30,IF(Skills!C25=2,90+Inputs!$B$27+Inputs!$B$30,IF(Skills!C25=3,120+Inputs!$B$28+Inputs!$B$30,MAX(0,(Inputs!$B$3-100)*3)+Inputs!$B$29+Inputs!$B$30)))</f>
        <v/>
      </c>
      <c r="E2744">
        <f>INDEX(FactorTable!$B$2:$Y$301, MATCH(ROUND(MIN(300,MAX(1,D2744)),0), FactorTable!$A$2:$A$301,0), Skills!M25+1)</f>
        <v/>
      </c>
      <c r="F2744">
        <f>IF(Skills!N25=TRUE,(Skills!L25/10)*(E2744/1000),Skills!L25/10)+Skills!O25</f>
        <v/>
      </c>
      <c r="G2744">
        <f>Skills!G25*IF(Skills!H25&gt;0,INT(IF(Inputs!$B$39="pvp",MIN(Skills!I25,15),Skills!I25)/Skills!H25+0.000000001),1)</f>
        <v/>
      </c>
      <c r="H2744">
        <f>1-(1-Skills!J25/100)^Skills!K25</f>
        <v/>
      </c>
      <c r="I2744" t="inlineStr">
        <is>
          <t>1</t>
        </is>
      </c>
      <c r="J2744" t="inlineStr"/>
      <c r="K2744" t="inlineStr"/>
      <c r="L2744" t="inlineStr"/>
      <c r="M2744" t="inlineStr"/>
      <c r="N2744" t="inlineStr"/>
      <c r="O2744">
        <f>(1-Summary!$B$11)*T2744+Summary!$B$11*V2744</f>
        <v/>
      </c>
      <c r="P2744">
        <f>IF(B2758=0,0,O2744/B2758)</f>
        <v/>
      </c>
      <c r="Q2744" t="n">
        <v>0</v>
      </c>
      <c r="R2744" t="n">
        <v>0</v>
      </c>
      <c r="S2744">
        <f>IFERROR(O2744/N2744,0)</f>
        <v/>
      </c>
      <c r="T2744" t="n">
        <v>0</v>
      </c>
      <c r="V2744" t="n">
        <v>0</v>
      </c>
    </row>
    <row r="2745">
      <c r="A2745">
        <f>Skills!A26</f>
        <v/>
      </c>
      <c r="B2745">
        <f>Skills!B26</f>
        <v/>
      </c>
      <c r="C2745">
        <f>Inputs!$B$3&gt;=107</f>
        <v/>
      </c>
      <c r="D2745">
        <f>IF(Skills!C26=1,60+Inputs!$B$26+Inputs!$B$30,IF(Skills!C26=2,90+Inputs!$B$27+Inputs!$B$30,IF(Skills!C26=3,120+Inputs!$B$28+Inputs!$B$30,MAX(0,(Inputs!$B$3-100)*3)+Inputs!$B$29+Inputs!$B$30)))</f>
        <v/>
      </c>
      <c r="E2745">
        <f>INDEX(FactorTable!$B$2:$Y$301, MATCH(ROUND(MIN(300,MAX(1,D2745)),0), FactorTable!$A$2:$A$301,0), Skills!M26+1)</f>
        <v/>
      </c>
      <c r="F2745">
        <f>IF(Skills!N26=TRUE,(Skills!L26/10)*(E2745/1000),Skills!L26/10)+Skills!O26</f>
        <v/>
      </c>
      <c r="G2745">
        <f>Skills!G26*IF(Skills!H26&gt;0,INT(IF(Inputs!$B$39="pvp",MIN(Skills!I26,15),Skills!I26)/Skills!H26+0.000000001),1)</f>
        <v/>
      </c>
      <c r="H2745">
        <f>1-(1-Skills!J26/100)^Skills!K26</f>
        <v/>
      </c>
      <c r="I2745" t="inlineStr">
        <is>
          <t>1</t>
        </is>
      </c>
      <c r="J2745" t="inlineStr"/>
      <c r="K2745" t="inlineStr"/>
      <c r="L2745" t="inlineStr"/>
      <c r="M2745" t="inlineStr"/>
      <c r="N2745" t="inlineStr"/>
      <c r="O2745">
        <f>(1-Summary!$B$11)*T2745+Summary!$B$11*V2745</f>
        <v/>
      </c>
      <c r="P2745">
        <f>IF(B2758=0,0,O2745/B2758)</f>
        <v/>
      </c>
      <c r="Q2745" t="n">
        <v>0</v>
      </c>
      <c r="R2745" t="n">
        <v>0</v>
      </c>
      <c r="S2745">
        <f>IFERROR(O2745/N2745,0)</f>
        <v/>
      </c>
      <c r="T2745" t="n">
        <v>0</v>
      </c>
      <c r="V2745" t="n">
        <v>0</v>
      </c>
    </row>
    <row r="2747">
      <c r="A2747" t="inlineStr">
        <is>
          <t>Attack% Bucket Multiplier</t>
        </is>
      </c>
      <c r="B2747">
        <f>(1+(((C2732=TRUE)*F2732*IF(AND(Inputs!$B$39&lt;&gt;"pvp",Inputs!$B$44&gt;0),(((R2732-1)*MIN((Skills!T13*(1+Inputs!$B$35/100)),(1/Q2732))+MIN((Skills!T13*(1+Inputs!$B$35/100)),MAX(0,Inputs!$B$44-((R2732-1)*(1/Q2732)))))/Inputs!$B$44),IF(Inputs!$B$39="pvp",MIN((Skills!T13*(1+Inputs!$B$35/100)),15)/15,MIN(1,(Skills!T13*(1+Inputs!$B$35/100))/(1/Q2732)))))+((C2733=TRUE)*F2733*IF(AND(Inputs!$B$39&lt;&gt;"pvp",Inputs!$B$44&gt;0),(((R2733-1)*MIN((Skills!T14*(1+Inputs!$B$35/100)),(1/Q2733))+MIN((Skills!T14*(1+Inputs!$B$35/100)),MAX(0,Inputs!$B$44-((R2733-1)*(1/Q2733)))))/Inputs!$B$44),IF(Inputs!$B$39="pvp",MIN((Skills!T14*(1+Inputs!$B$35/100)),15)/15,MIN(1,(Skills!T14*(1+Inputs!$B$35/100))/(1/Q2733)))))+((C2734=TRUE)*F2734*IF(AND(Inputs!$B$39&lt;&gt;"pvp",Inputs!$B$44&gt;0),(((R2734-1)*MIN((Skills!T15*(1+Inputs!$B$35/100)),(1/Q2734))+MIN((Skills!T15*(1+Inputs!$B$35/100)),MAX(0,Inputs!$B$44-((R2734-1)*(1/Q2734)))))/Inputs!$B$44),IF(Inputs!$B$39="pvp",MIN((Skills!T15*(1+Inputs!$B$35/100)),15)/15,MIN(1,(Skills!T15*(1+Inputs!$B$35/100))/(1/Q2734)))))+((C2735=TRUE)*F2735*IF(AND(Inputs!$B$39&lt;&gt;"pvp",Inputs!$B$44&gt;0),(((R2735-1)*MIN((Skills!T16*(1+Inputs!$B$35/100)),(1/Q2735))+MIN((Skills!T16*(1+Inputs!$B$35/100)),MAX(0,Inputs!$B$44-((R2735-1)*(1/Q2735)))))/Inputs!$B$44),IF(Inputs!$B$39="pvp",MIN((Skills!T16*(1+Inputs!$B$35/100)),15)/15,MIN(1,(Skills!T16*(1+Inputs!$B$35/100))/(1/Q2735)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2748">
      <c r="A2748" t="inlineStr">
        <is>
          <t>Global Crit Rate Bonus % (Lord of Darkness)</t>
        </is>
      </c>
      <c r="B2748">
        <f>((C2737=TRUE)*F2737*(Skills!J18/100)*IF(AND(Inputs!$B$39&lt;&gt;"pvp",Inputs!$B$44&gt;0),(((R2737-1)*MIN((Skills!T18*(1+Inputs!$B$35/100)),(1/Q2737))+MIN((Skills!T18*(1+Inputs!$B$35/100)),MAX(0,Inputs!$B$44-((R2737-1)*(1/Q2737)))))/Inputs!$B$44),IF(Inputs!$B$39="pvp",MIN((Skills!T18*(1+Inputs!$B$35/100)),15)/15,MIN(1,(Skills!T18*(1+Inputs!$B$35/100))/(1/Q2737)))))</f>
        <v/>
      </c>
    </row>
    <row r="2749">
      <c r="A2749" t="inlineStr">
        <is>
          <t>Attack Speed Buff Bonus %</t>
        </is>
      </c>
      <c r="B2749">
        <f>((C2739=TRUE)*F2739*IF(AND(Inputs!$B$39&lt;&gt;"pvp",Inputs!$B$44&gt;0),(((R2739-1)*MIN((Skills!T20*(1+Inputs!$B$35/100)),(1/Q2739))+MIN((Skills!T20*(1+Inputs!$B$35/100)),MAX(0,Inputs!$B$44-((R2739-1)*(1/Q2739)))))/Inputs!$B$44),IF(Inputs!$B$39="pvp",MIN((Skills!T20*(1+Inputs!$B$35/100)),15)/15,MIN(1,(Skills!T20*(1+Inputs!$B$35/100))/(1/Q2739)))))</f>
        <v/>
      </c>
    </row>
    <row r="2750">
      <c r="A2750" t="inlineStr">
        <is>
          <t>Actions Per Second</t>
        </is>
      </c>
      <c r="B2750">
        <f>1+MIN(150,150*(1-(1-(Inputs!$B$12+((C2740=TRUE)*(F2740-Calc!F21)))/150)*(1-B2749/150)))/100</f>
        <v/>
      </c>
    </row>
    <row r="2751">
      <c r="A2751" t="inlineStr">
        <is>
          <t>Skill + Buff Cast Rate</t>
        </is>
      </c>
      <c r="B2751">
        <f>IF(AND(Inputs!$B$39&lt;&gt;"pvp",Inputs!$B$44&gt;0),SUMPRODUCT((Skills!E2:E26=TRUE)*(C2721:C2745=TRUE)*R2721:R2745*Skills!F2:F26)/Inputs!$B$44,SUMPRODUCT((Skills!E2:E26=TRUE)*(C2721:C2745=TRUE)*Q2721:Q2745*Skills!F2:F26))</f>
        <v/>
      </c>
    </row>
    <row r="2752">
      <c r="A2752" t="inlineStr">
        <is>
          <t>Dark Impale Casts Per Second</t>
        </is>
      </c>
      <c r="B2752">
        <f>MAX(0,B2750-B2751)</f>
        <v/>
      </c>
    </row>
    <row r="2753">
      <c r="A2753" t="inlineStr">
        <is>
          <t>Global Critical Damage Bonus % (Lord of Darkness)</t>
        </is>
      </c>
      <c r="B2753">
        <f>((C2738=TRUE)*F2738*(Skills!J19/100)*IF(AND(Inputs!$B$39&lt;&gt;"pvp",Inputs!$B$44&gt;0),(((R2738-1)*MIN((Skills!T19*(1+Inputs!$B$35/100)),(1/Q2738))+MIN((Skills!T19*(1+Inputs!$B$35/100)),MAX(0,Inputs!$B$44-((R2738-1)*(1/Q2738)))))/Inputs!$B$44),IF(Inputs!$B$39="pvp",MIN((Skills!T19*(1+Inputs!$B$35/100)),15)/15,MIN(1,(Skills!T19*(1+Inputs!$B$35/100))/(1/Q2738)))))</f>
        <v/>
      </c>
    </row>
    <row r="2754">
      <c r="A2754" t="inlineStr">
        <is>
          <t>Global Final Damage Bonus % (unused)</t>
        </is>
      </c>
      <c r="B2754" t="n">
        <v>0</v>
      </c>
    </row>
    <row r="2755">
      <c r="A2755" t="inlineStr">
        <is>
          <t>Buff-Casting Startup Delay (s, fixed-duration only)</t>
        </is>
      </c>
      <c r="B2755">
        <f>IF(AND(Inputs!$B$39&lt;&gt;"pvp",Inputs!$B$44&gt;0),SUMPRODUCT((Skills!T2:T26&gt;0)*(Skills!E2:E26=TRUE)*(C2721:C2745=TRUE))/B2750,0)</f>
        <v/>
      </c>
    </row>
    <row r="2756">
      <c r="A2756" t="inlineStr">
        <is>
          <t>Boss-Only Total DPS (this block's swept value)</t>
        </is>
      </c>
      <c r="B2756">
        <f>SUM(T2721:T2745)</f>
        <v/>
      </c>
    </row>
    <row r="2757">
      <c r="A2757" t="inlineStr">
        <is>
          <t>Normal-Only Total DPS (this block's swept value)</t>
        </is>
      </c>
      <c r="B2757">
        <f>SUM(V2721:V2745)</f>
        <v/>
      </c>
    </row>
    <row r="2758">
      <c r="A2758" s="6" t="inlineStr">
        <is>
          <t>TOTAL DPS</t>
        </is>
      </c>
      <c r="B2758" s="6">
        <f>SUM(O2721:O2745)</f>
        <v/>
      </c>
    </row>
    <row r="2761">
      <c r="A2761" s="9" t="inlineStr">
        <is>
          <t>Cooldown Reduction Milestone Sweep (absolute CDR seconds, fixed-duration content only)</t>
        </is>
      </c>
    </row>
    <row r="2762">
      <c r="A2762" s="5" t="inlineStr">
        <is>
          <t>CDR (s)</t>
        </is>
      </c>
      <c r="B2762" s="5" t="inlineStr">
        <is>
          <t>Total DPS</t>
        </is>
      </c>
      <c r="C2762" s="5" t="inlineStr">
        <is>
          <t>DPS Gain (vs prior step)</t>
        </is>
      </c>
      <c r="D2762" s="5" t="inlineStr">
        <is>
          <t>% Gain (vs current CDR)</t>
        </is>
      </c>
    </row>
    <row r="2763">
      <c r="A2763" t="n">
        <v>0.5</v>
      </c>
      <c r="B2763">
        <f>B2814</f>
        <v/>
      </c>
      <c r="C2763" t="n">
        <v>0</v>
      </c>
      <c r="D2763">
        <f>IF(Summary!$B$3=0,0,(B2763-Summary!$B$3)/Summary!$B$3*100)</f>
        <v/>
      </c>
    </row>
    <row r="2764">
      <c r="A2764" t="n">
        <v>1</v>
      </c>
      <c r="B2764">
        <f>B2856</f>
        <v/>
      </c>
      <c r="C2764">
        <f>B2764-B2763</f>
        <v/>
      </c>
      <c r="D2764">
        <f>IF(Summary!$B$3=0,0,(B2764-Summary!$B$3)/Summary!$B$3*100)</f>
        <v/>
      </c>
    </row>
    <row r="2765">
      <c r="A2765" t="n">
        <v>1.5</v>
      </c>
      <c r="B2765">
        <f>B2898</f>
        <v/>
      </c>
      <c r="C2765">
        <f>B2765-B2764</f>
        <v/>
      </c>
      <c r="D2765">
        <f>IF(Summary!$B$3=0,0,(B2765-Summary!$B$3)/Summary!$B$3*100)</f>
        <v/>
      </c>
    </row>
    <row r="2766">
      <c r="A2766" t="n">
        <v>2</v>
      </c>
      <c r="B2766">
        <f>B2940</f>
        <v/>
      </c>
      <c r="C2766">
        <f>B2766-B2765</f>
        <v/>
      </c>
      <c r="D2766">
        <f>IF(Summary!$B$3=0,0,(B2766-Summary!$B$3)/Summary!$B$3*100)</f>
        <v/>
      </c>
    </row>
    <row r="2767">
      <c r="A2767" t="n">
        <v>2.5</v>
      </c>
      <c r="B2767">
        <f>B2982</f>
        <v/>
      </c>
      <c r="C2767">
        <f>B2767-B2766</f>
        <v/>
      </c>
      <c r="D2767">
        <f>IF(Summary!$B$3=0,0,(B2767-Summary!$B$3)/Summary!$B$3*100)</f>
        <v/>
      </c>
    </row>
    <row r="2768">
      <c r="A2768" t="n">
        <v>3</v>
      </c>
      <c r="B2768">
        <f>B3024</f>
        <v/>
      </c>
      <c r="C2768">
        <f>B2768-B2767</f>
        <v/>
      </c>
      <c r="D2768">
        <f>IF(Summary!$B$3=0,0,(B2768-Summary!$B$3)/Summary!$B$3*100)</f>
        <v/>
      </c>
    </row>
    <row r="2769">
      <c r="A2769" t="n">
        <v>3.5</v>
      </c>
      <c r="B2769">
        <f>B3066</f>
        <v/>
      </c>
      <c r="C2769">
        <f>B2769-B2768</f>
        <v/>
      </c>
      <c r="D2769">
        <f>IF(Summary!$B$3=0,0,(B2769-Summary!$B$3)/Summary!$B$3*100)</f>
        <v/>
      </c>
    </row>
    <row r="2770">
      <c r="A2770" t="n">
        <v>4</v>
      </c>
      <c r="B2770">
        <f>B3108</f>
        <v/>
      </c>
      <c r="C2770">
        <f>B2770-B2769</f>
        <v/>
      </c>
      <c r="D2770">
        <f>IF(Summary!$B$3=0,0,(B2770-Summary!$B$3)/Summary!$B$3*100)</f>
        <v/>
      </c>
    </row>
    <row r="2771">
      <c r="A2771" t="n">
        <v>4.5</v>
      </c>
      <c r="B2771">
        <f>B3150</f>
        <v/>
      </c>
      <c r="C2771">
        <f>B2771-B2770</f>
        <v/>
      </c>
      <c r="D2771">
        <f>IF(Summary!$B$3=0,0,(B2771-Summary!$B$3)/Summary!$B$3*100)</f>
        <v/>
      </c>
    </row>
    <row r="2772">
      <c r="A2772" t="n">
        <v>5</v>
      </c>
      <c r="B2772">
        <f>B3192</f>
        <v/>
      </c>
      <c r="C2772">
        <f>B2772-B2771</f>
        <v/>
      </c>
      <c r="D2772">
        <f>IF(Summary!$B$3=0,0,(B2772-Summary!$B$3)/Summary!$B$3*100)</f>
        <v/>
      </c>
    </row>
    <row r="2775">
      <c r="A2775" s="6" t="inlineStr">
        <is>
          <t>Stat: CDR = 0.5s</t>
        </is>
      </c>
    </row>
    <row r="2776">
      <c r="A2776" s="5" t="inlineStr">
        <is>
          <t>Key</t>
        </is>
      </c>
      <c r="B2776" s="5" t="inlineStr">
        <is>
          <t>Name</t>
        </is>
      </c>
      <c r="C2776" s="5" t="inlineStr">
        <is>
          <t>Unlocked</t>
        </is>
      </c>
      <c r="D2776" s="5" t="inlineStr">
        <is>
          <t>InputLevel</t>
        </is>
      </c>
      <c r="E2776" s="5" t="inlineStr">
        <is>
          <t>Factor</t>
        </is>
      </c>
      <c r="F2776" s="5" t="inlineStr">
        <is>
          <t>CoefficientPercent</t>
        </is>
      </c>
      <c r="G2776" s="5" t="inlineStr">
        <is>
          <t>EffectiveHits</t>
        </is>
      </c>
      <c r="H2776" s="5" t="inlineStr">
        <is>
          <t>ProcProbability</t>
        </is>
      </c>
      <c r="I2776" s="5" t="inlineStr">
        <is>
          <t>MapleHeroMultiplier</t>
        </is>
      </c>
      <c r="J2776" s="5" t="inlineStr">
        <is>
          <t>BaseDamage</t>
        </is>
      </c>
      <c r="K2776" s="5" t="inlineStr">
        <is>
          <t>BaseHitDamage</t>
        </is>
      </c>
      <c r="L2776" s="5" t="inlineStr">
        <is>
          <t>NonCritAvg</t>
        </is>
      </c>
      <c r="M2776" s="5" t="inlineStr">
        <is>
          <t>CritAvg</t>
        </is>
      </c>
      <c r="N2776" s="5" t="inlineStr">
        <is>
          <t>ExpectedDamage(perHit)</t>
        </is>
      </c>
      <c r="O2776" s="5" t="inlineStr">
        <is>
          <t>DPS</t>
        </is>
      </c>
      <c r="P2776" s="5" t="inlineStr">
        <is>
          <t>% of Total</t>
        </is>
      </c>
      <c r="Q2776" s="5" t="inlineStr">
        <is>
          <t>InvCooldown</t>
        </is>
      </c>
      <c r="R2776" s="5" t="inlineStr">
        <is>
          <t>CastsInFight</t>
        </is>
      </c>
      <c r="S2776" s="5" t="inlineStr">
        <is>
          <t>HitRate(perSec)</t>
        </is>
      </c>
      <c r="U2776" t="inlineStr">
        <is>
          <t>helpers</t>
        </is>
      </c>
    </row>
    <row r="2777">
      <c r="A2777">
        <f>Skills!A2</f>
        <v/>
      </c>
      <c r="B2777">
        <f>Skills!B2</f>
        <v/>
      </c>
      <c r="C2777">
        <f>Inputs!$B$3&gt;=100</f>
        <v/>
      </c>
      <c r="D2777" t="inlineStr"/>
      <c r="E2777" t="inlineStr"/>
      <c r="F2777">
        <f>U2779+Skills!O2</f>
        <v/>
      </c>
      <c r="G2777">
        <f>Skills!G2*IF(Skills!H2&gt;0,INT(IF(Inputs!$B$39="pvp",MIN(Skills!I2,15),Skills!I2)/Skills!H2+0.000000001),1)</f>
        <v/>
      </c>
      <c r="H2777">
        <f>1-(1-Skills!J2/100)^Skills!K2</f>
        <v/>
      </c>
      <c r="I2777" t="inlineStr">
        <is>
          <t>1</t>
        </is>
      </c>
      <c r="J2777">
        <f>((Inputs!$B$6*(1+Inputs!$B$7/100))+(((Inputs!$B$13*(1+Inputs!$B$14/100))-(Inputs!$B$13*(1+Inputs!$B$14/100)))+0.25*(Inputs!$B$15-Inputs!$B$15))*(1+Inputs!$B$7/100))*(F2777/100)</f>
        <v/>
      </c>
      <c r="K2777">
        <f>J2777*(1+(((Inputs!$B$13+IF(Inputs!$B$3&gt;=38,(10*INDEX(FactorTable!$B$2:$Y$301, MATCH(ROUND(MIN(300,MAX(1,Inputs!$B$3)),0), FactorTable!$A$2:$A$301,0), 23)/1000)/100*(Inputs!$B$8*(1+Inputs!$B$9/100)),0))*(1+Inputs!$B$14/100))*0.01+Inputs!$B$15*0.0025)/100)*(1+Inputs!$B$16/100)*(1+Inputs!$B$17/100)*(5000/(6000+Inputs!$B$43*(1-(Inputs!$B$20+0)/100)))*(1+(Inputs!$B$25+((C2800=TRUE)*(F2800-Calc!F25))+((C2801=TRUE)*(F2801-Calc!F26))+B2810)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gt;=100),MIN(100,((Inputs!$B$10+0+B2804+(ArtifactsInput!$M$24-ArtifactsInput!$M$24)*CHOOSE(ArtifactsInput!$N$24+1,10,12,14,16,18,20)+IF(ArtifactsInput!$M$10,CHOOSE(ArtifactsInput!$N$10+1,15,18,21,24,27,30)*(IF(Inputs!$B$39="pvp",MIN(15,15)/15,IF(AND(Inputs!$B$39&lt;&gt;"pvp",Inputs!$B$44&gt;0),MIN(15,Inputs!$B$44)/(Inputs!$B$44),0))),0)))-100),0))*CHOOSE(ArtifactsInput!$N$42+1,0.6,0.72,0.84,0.96,1.08,1.2))),Inputs!$B$19+((C2798=TRUE)*(F2798-Calc!F23))+(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gt;=100),CHOOSE(ArtifactsInput!$N$42+1,40,48,56,64,72,80),0))))/100)*((1+(((C2788=TRUE)*F2788*IF(AND(Inputs!$B$39&lt;&gt;"pvp",Inputs!$B$44&gt;0),(((R2788-1)*MIN((Skills!T13*(1+Inputs!$B$35/100)),(1/Q2788))+MIN((Skills!T13*(1+Inputs!$B$35/100)),MAX(0,Inputs!$B$44-((R2788-1)*(1/Q2788)))))/Inputs!$B$44),IF(Inputs!$B$39="pvp",MIN((Skills!T13*(1+Inputs!$B$35/100)),15)/15,MIN(1,(Skills!T13*(1+Inputs!$B$35/100))/(1/Q2788)))))+((C2789=TRUE)*F2789*IF(AND(Inputs!$B$39&lt;&gt;"pvp",Inputs!$B$44&gt;0),(((R2789-1)*MIN((Skills!T14*(1+Inputs!$B$35/100)),(1/Q2789))+MIN((Skills!T14*(1+Inputs!$B$35/100)),MAX(0,Inputs!$B$44-((R2789-1)*(1/Q2789)))))/Inputs!$B$44),IF(Inputs!$B$39="pvp",MIN((Skills!T14*(1+Inputs!$B$35/100)),15)/15,MIN(1,(Skills!T14*(1+Inputs!$B$35/100))/(1/Q2789)))))+((C2790=TRUE)*F2790*IF(AND(Inputs!$B$39&lt;&gt;"pvp",Inputs!$B$44&gt;0),(((R2790-1)*MIN((Skills!T15*(1+Inputs!$B$35/100)),(1/Q2790))+MIN((Skills!T15*(1+Inputs!$B$35/100)),MAX(0,Inputs!$B$44-((R2790-1)*(1/Q2790)))))/Inputs!$B$44),IF(Inputs!$B$39="pvp",MIN((Skills!T15*(1+Inputs!$B$35/100)),15)/15,MIN(1,(Skills!T15*(1+Inputs!$B$35/100))/(1/Q2790)))))+((C2791=TRUE)*F2791*IF(AND(Inputs!$B$39&lt;&gt;"pvp",Inputs!$B$44&gt;0),(((R2791-1)*MIN((Skills!T16*(1+Inputs!$B$35/100)),(1/Q2791))+MIN((Skills!T16*(1+Inputs!$B$35/100)),MAX(0,Inputs!$B$44-((R2791-1)*(1/Q2791)))))/Inputs!$B$44),IF(Inputs!$B$39="pvp",MIN((Skills!T16*(1+Inputs!$B$35/100)),15)/15,MIN(1,(Skills!T16*(1+Inputs!$B$35/100))/(1/Q2791)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2777)</f>
        <v/>
      </c>
      <c r="L2777">
        <f>K2777*(MIN(Inputs!$B$23+((C2797=TRUE)*(F2797-Calc!F22)),(Inputs!$B$24+((C2799=TRUE)*(F2799-Calc!F24))+(IF(ArtifactsInput!$M$15,CHOOSE(ArtifactsInput!$N$15+1,25,30,35,40,45,50)/100*(Inputs!$B$12-Inputs!$B$12),0))))/100+(Inputs!$B$24+((C2799=TRUE)*(F2799-Calc!F24))+(IF(ArtifactsInput!$M$15,CHOOSE(ArtifactsInput!$N$15+1,25,30,35,40,45,50)/100*(Inputs!$B$12-Inputs!$B$12),0)))/100)/2</f>
        <v/>
      </c>
      <c r="M2777">
        <f>L2777*(1+(Inputs!$B$11+0+B2809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777">
        <f>L2777*(1-MIN((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2777*(MIN((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77">
        <f>(1-Summary!$B$11)*T2777+Summary!$B$11*V2777</f>
        <v/>
      </c>
      <c r="P2777">
        <f>IF(B2814=0,0,O2777/B2814)</f>
        <v/>
      </c>
      <c r="Q2777" t="n">
        <v>0</v>
      </c>
      <c r="R2777" t="n">
        <v>0</v>
      </c>
      <c r="S2777">
        <f>IFERROR(O2777/N2777,0)</f>
        <v/>
      </c>
      <c r="T2777">
        <f>IF(C2777,(Skills!G2*N2777*B2808)*IF(Inputs!$B$39="pvp",1,1+(Inputs!$B$21+0+Skills!P2+((C2792=TRUE)*F2792*IF(AND(Inputs!$B$39&lt;&gt;"pvp",Inputs!$B$44&gt;0),(((R2792-1)*MIN((Skills!T17*(1+Inputs!$B$35/100)),(1/Q2792))+MIN((Skills!T17*(1+Inputs!$B$35/100)),MAX(0,Inputs!$B$44-((R2792-1)*(1/Q2792)))))/Inputs!$B$44),IF(Inputs!$B$39="pvp",MIN((Skills!T17*(1+Inputs!$B$35/100)),15)/15,MIN(1,(Skills!T17*(1+Inputs!$B$35/100))/(1/Q2792)))))+((C2780=TRUE)*IF(Inputs!$B$3&gt;=126,10*MIN(1,15*Q2780),0))+((C2789=TRUE)*IF(Inputs!$B$39="pvp",20,(1-Summary!$B$11)*(20)+Summary!$B$11*(0))*IF(AND(Inputs!$B$39&lt;&gt;"pvp",Inputs!$B$44&gt;0),(((R2789-1)*MIN((Skills!T14*(1+Inputs!$B$35/100)),(1/Q2789))+MIN((Skills!T14*(1+Inputs!$B$35/100)),MAX(0,Inputs!$B$44-((R2789-1)*(1/Q2789)))))/Inputs!$B$44),IF(Inputs!$B$39="pvp",MIN((Skills!T14*(1+Inputs!$B$35/100)),15)/15,MIN(1,(Skills!T14*(1+Inputs!$B$35/100))/(1/Q2789)))))+((C2788=TRUE)*IF(Inputs!$B$3&gt;=82,IF(Inputs!$B$39="pvp",20,(1-Summary!$B$11)*(20)+Summary!$B$11*(0)),0)*IF(AND(Inputs!$B$39&lt;&gt;"pvp",Inputs!$B$44&gt;0),(((R2788-1)*MIN((Skills!T13*(1+Inputs!$B$35/100)),(1/Q2788))+MIN((Skills!T13*(1+Inputs!$B$35/100)),MAX(0,Inputs!$B$44-((R2788-1)*(1/Q2788)))))/Inputs!$B$44),IF(Inputs!$B$39="pvp",MIN((Skills!T13*(1+Inputs!$B$35/100)),15)/15,MIN(1,(Skills!T13*(1+Inputs!$B$35/100))/(1/Q2788)))))+(IF(AND(ArtifactsInput!$M$35,Inputs!$B$4&lt;&gt;"Chapter Hunt"),CHOOSE(ArtifactsInput!$N$35+1,15,18,21,24,27,30)*(1-EXP(-(0.2*B2806)*5)),0)+IF(AND(ArtifactsInput!$M$22,Inputs!$B$4&lt;&gt;"Chapter Hunt"),CHOOSE(ArtifactsInput!$N$22+1,10,12,14,16,18,20)*((0*(((0.15*B2806*5))^0/1)+1*(((0.15*B2806*5))^1/1)+2*(((0.15*B2806*5))^2/2)+3*(((0.15*B2806*5))^3/6)+4*(((0.15*B2806*5))^4/24)+5*(((0.15*B2806*5))^5/120))/((((0.15*B2806*5))^0/1)+(((0.15*B2806*5))^1/1)+(((0.15*B2806*5))^2/2)+(((0.15*B2806*5))^3/6)+(((0.15*B2806*5))^4/24)+(((0.15*B2806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2777*(1-MIN(100,(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2777*(MIN(100,(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2777*(1-MIN(100,(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2777*(MIN(100,(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777">
        <f>MAX(0,(Inputs!$B$3-100)*3)+Inputs!$B$29+Inputs!$B$30</f>
        <v/>
      </c>
      <c r="V2777">
        <f>IF(C2777,(Skills!G2*N2777*B2808)*IF(Inputs!$B$39="pvp",1,(1+(Inputs!$B$22+Skills!Q2+((C2792=TRUE)*F2792*IF(AND(Inputs!$B$39&lt;&gt;"pvp",Inputs!$B$44&gt;0),(((R2792-1)*MIN((Skills!T17*(1+Inputs!$B$35/100)),(1/Q2792))+MIN((Skills!T17*(1+Inputs!$B$35/100)),MAX(0,Inputs!$B$44-((R2792-1)*(1/Q2792)))))/Inputs!$B$44),IF(Inputs!$B$39="pvp",MIN((Skills!T17*(1+Inputs!$B$35/100)),15)/15,MIN(1,(Skills!T17*(1+Inputs!$B$35/100))/(1/Q2792)))))+((C2780=TRUE)*IF(Inputs!$B$3&gt;=126,10*MIN(1,15*Q2780),0))+((C2789=TRUE)*IF(Inputs!$B$39="pvp",20,(1-Summary!$B$11)*(20)+Summary!$B$11*(0))*IF(AND(Inputs!$B$39&lt;&gt;"pvp",Inputs!$B$44&gt;0),(((R2789-1)*MIN((Skills!T14*(1+Inputs!$B$35/100)),(1/Q2789))+MIN((Skills!T14*(1+Inputs!$B$35/100)),MAX(0,Inputs!$B$44-((R2789-1)*(1/Q2789)))))/Inputs!$B$44),IF(Inputs!$B$39="pvp",MIN((Skills!T14*(1+Inputs!$B$35/100)),15)/15,MIN(1,(Skills!T14*(1+Inputs!$B$35/100))/(1/Q2789)))))+((C2788=TRUE)*IF(Inputs!$B$3&gt;=82,IF(Inputs!$B$39="pvp",20,(1-Summary!$B$11)*(20)+Summary!$B$11*(0)),0)*IF(AND(Inputs!$B$39&lt;&gt;"pvp",Inputs!$B$44&gt;0),(((R2788-1)*MIN((Skills!T13*(1+Inputs!$B$35/100)),(1/Q2788))+MIN((Skills!T13*(1+Inputs!$B$35/100)),MAX(0,Inputs!$B$44-((R2788-1)*(1/Q2788)))))/Inputs!$B$44),IF(Inputs!$B$39="pvp",MIN((Skills!T13*(1+Inputs!$B$35/100)),15)/15,MIN(1,(Skills!T13*(1+Inputs!$B$35/100))/(1/Q2788)))))+(IF(AND(ArtifactsInput!$M$35,Inputs!$B$4&lt;&gt;"Chapter Hunt"),CHOOSE(ArtifactsInput!$N$35+1,15,18,21,24,27,30)*(1-EXP(-(0.2*B2806)*5)),0)+IF(AND(ArtifactsInput!$M$22,Inputs!$B$4&lt;&gt;"Chapter Hunt"),CHOOSE(ArtifactsInput!$N$22+1,10,12,14,16,18,20)*((0*(((0.15*B2806*5))^0/1)+1*(((0.15*B2806*5))^1/1)+2*(((0.15*B2806*5))^2/2)+3*(((0.15*B2806*5))^3/6)+4*(((0.15*B2806*5))^4/24)+5*(((0.15*B2806*5))^5/120))/((((0.15*B2806*5))^0/1)+(((0.15*B2806*5))^1/1)+(((0.15*B2806*5))^2/2)+(((0.15*B2806*5))^3/6)+(((0.15*B2806*5))^4/24)+(((0.15*B2806*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78">
      <c r="A2778">
        <f>Skills!A3</f>
        <v/>
      </c>
      <c r="B2778">
        <f>Skills!B3</f>
        <v/>
      </c>
      <c r="C2778">
        <f>Inputs!$B$3&gt;=50</f>
        <v/>
      </c>
      <c r="D2778">
        <f>IF(Skills!C3=1,60+Inputs!$B$26+Inputs!$B$30,IF(Skills!C3=2,90+Inputs!$B$27+Inputs!$B$30,IF(Skills!C3=3,120+Inputs!$B$28+Inputs!$B$30,MAX(0,(Inputs!$B$3-100)*3)+Inputs!$B$29+Inputs!$B$30)))</f>
        <v/>
      </c>
      <c r="E2778">
        <f>INDEX(FactorTable!$B$2:$Y$301, MATCH(ROUND(MIN(300,MAX(1,D2778)),0), FactorTable!$A$2:$A$301,0), Skills!M3+1)</f>
        <v/>
      </c>
      <c r="F2778">
        <f>IF(Skills!N3=TRUE,(Skills!L3/10)*(E2778/1000),Skills!L3/10)+Skills!O3</f>
        <v/>
      </c>
      <c r="G2778" t="inlineStr"/>
      <c r="H2778" t="inlineStr"/>
      <c r="I2778" t="inlineStr">
        <is>
          <t>1</t>
        </is>
      </c>
      <c r="J2778" t="inlineStr"/>
      <c r="K2778" t="inlineStr"/>
      <c r="L2778" t="inlineStr"/>
      <c r="M2778" t="inlineStr"/>
      <c r="N2778" t="inlineStr"/>
      <c r="O2778" t="inlineStr"/>
      <c r="P2778" t="inlineStr"/>
      <c r="Q2778" t="inlineStr"/>
      <c r="R2778" t="inlineStr"/>
      <c r="S2778" t="inlineStr"/>
      <c r="U2778">
        <f>INDEX(FactorTable!$B$2:$Y$301, MATCH(ROUND(MIN(300,MAX(1,U2777)),0), FactorTable!$A$2:$A$301,0), 22)</f>
        <v/>
      </c>
    </row>
    <row r="2779">
      <c r="A2779">
        <f>Skills!A4</f>
        <v/>
      </c>
      <c r="B2779">
        <f>Skills!B4</f>
        <v/>
      </c>
      <c r="C2779">
        <f>Inputs!$B$3&gt;=105</f>
        <v/>
      </c>
      <c r="D2779">
        <f>IF(Skills!C4=1,60+Inputs!$B$26+Inputs!$B$30,IF(Skills!C4=2,90+Inputs!$B$27+Inputs!$B$30,IF(Skills!C4=3,120+Inputs!$B$28+Inputs!$B$30,MAX(0,(Inputs!$B$3-100)*3)+Inputs!$B$29+Inputs!$B$30)))</f>
        <v/>
      </c>
      <c r="E2779">
        <f>INDEX(FactorTable!$B$2:$Y$301, MATCH(ROUND(MIN(300,MAX(1,D2779)),0), FactorTable!$A$2:$A$301,0), Skills!M4+1)</f>
        <v/>
      </c>
      <c r="F2779">
        <f>IF(Skills!N4=TRUE,(Skills!L4/10)*(E2779/1000),Skills!L4/10)+Skills!O4</f>
        <v/>
      </c>
      <c r="G2779" t="inlineStr"/>
      <c r="H2779" t="inlineStr"/>
      <c r="I2779" t="inlineStr">
        <is>
          <t>1</t>
        </is>
      </c>
      <c r="J2779" t="inlineStr"/>
      <c r="K2779" t="inlineStr"/>
      <c r="L2779" t="inlineStr"/>
      <c r="M2779" t="inlineStr"/>
      <c r="N2779" t="inlineStr"/>
      <c r="O2779" t="inlineStr"/>
      <c r="P2779" t="inlineStr"/>
      <c r="Q2779" t="inlineStr"/>
      <c r="R2779" t="inlineStr"/>
      <c r="S2779" t="inlineStr"/>
      <c r="U2779">
        <f>290*U2778/1000</f>
        <v/>
      </c>
    </row>
    <row r="2780">
      <c r="A2780">
        <f>Skills!A5</f>
        <v/>
      </c>
      <c r="B2780">
        <f>Skills!B5</f>
        <v/>
      </c>
      <c r="C2780">
        <f>Inputs!$B$3&gt;=117</f>
        <v/>
      </c>
      <c r="D2780">
        <f>IF(Skills!C5=1,60+Inputs!$B$26+Inputs!$B$30,IF(Skills!C5=2,90+Inputs!$B$27+Inputs!$B$30,IF(Skills!C5=3,120+Inputs!$B$28+Inputs!$B$30,MAX(0,(Inputs!$B$3-100)*3)+Inputs!$B$29+Inputs!$B$30)))</f>
        <v/>
      </c>
      <c r="E2780">
        <f>INDEX(FactorTable!$B$2:$Y$301, MATCH(ROUND(MIN(300,MAX(1,D2780)),0), FactorTable!$A$2:$A$301,0), Skills!M5+1)</f>
        <v/>
      </c>
      <c r="F2780">
        <f>IF(Skills!N5=TRUE,(Skills!L5/10)*(E2780/1000),Skills!L5/10)+Skills!O5</f>
        <v/>
      </c>
      <c r="G2780">
        <f>Skills!G5*IF(Skills!H5&gt;0,INT(IF(Inputs!$B$39="pvp",MIN(Skills!I5,15),Skills!I5)/Skills!H5+0.000000001),1)</f>
        <v/>
      </c>
      <c r="H2780">
        <f>1-(1-Skills!J5/100)^Skills!K5</f>
        <v/>
      </c>
      <c r="I2780" t="inlineStr">
        <is>
          <t>1</t>
        </is>
      </c>
      <c r="J2780">
        <f>((Inputs!$B$6*(1+Inputs!$B$7/100))+(((Inputs!$B$13*(1+Inputs!$B$14/100))-(Inputs!$B$13*(1+Inputs!$B$14/100)))+0.25*(Inputs!$B$15-Inputs!$B$15))*(1+Inputs!$B$7/100))*(F2780/100)</f>
        <v/>
      </c>
      <c r="K2780">
        <f>J2780*(1+(((Inputs!$B$13+IF(Inputs!$B$3&gt;=38,(10*INDEX(FactorTable!$B$2:$Y$301, MATCH(ROUND(MIN(300,MAX(1,Inputs!$B$3)),0), FactorTable!$A$2:$A$301,0), 23)/1000)/100*(Inputs!$B$8*(1+Inputs!$B$9/100)),0))*(1+Inputs!$B$14/100))*0.01+Inputs!$B$15*0.0025)/100)*(1+Inputs!$B$16/100)*(1+Inputs!$B$17/100)*(5000/(6000+Inputs!$B$43*(1-(Inputs!$B$20+0)/100)))*(1+(Inputs!$B$25+((C2800=TRUE)*(F2800-Calc!F25))+((C2801=TRUE)*(F2801-Calc!F26))+B2810)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gt;=100),MIN(100,((Inputs!$B$10+0+B2804+(ArtifactsInput!$M$24-ArtifactsInput!$M$24)*CHOOSE(ArtifactsInput!$N$24+1,10,12,14,16,18,20)+IF(ArtifactsInput!$M$10,CHOOSE(ArtifactsInput!$N$10+1,15,18,21,24,27,30)*(IF(Inputs!$B$39="pvp",MIN(15,15)/15,IF(AND(Inputs!$B$39&lt;&gt;"pvp",Inputs!$B$44&gt;0),MIN(15,Inputs!$B$44)/(Inputs!$B$44),0))),0)))-100),0))*CHOOSE(ArtifactsInput!$N$42+1,0.6,0.72,0.84,0.96,1.08,1.2))),Inputs!$B$19+((C2798=TRUE)*(F2798-Calc!F23))+(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gt;=100),CHOOSE(ArtifactsInput!$N$42+1,40,48,56,64,72,80),0))))/100)*((1+(((C2788=TRUE)*F2788*IF(AND(Inputs!$B$39&lt;&gt;"pvp",Inputs!$B$44&gt;0),(((R2788-1)*MIN((Skills!T13*(1+Inputs!$B$35/100)),(1/Q2788))+MIN((Skills!T13*(1+Inputs!$B$35/100)),MAX(0,Inputs!$B$44-((R2788-1)*(1/Q2788)))))/Inputs!$B$44),IF(Inputs!$B$39="pvp",MIN((Skills!T13*(1+Inputs!$B$35/100)),15)/15,MIN(1,(Skills!T13*(1+Inputs!$B$35/100))/(1/Q2788)))))+((C2789=TRUE)*F2789*IF(AND(Inputs!$B$39&lt;&gt;"pvp",Inputs!$B$44&gt;0),(((R2789-1)*MIN((Skills!T14*(1+Inputs!$B$35/100)),(1/Q2789))+MIN((Skills!T14*(1+Inputs!$B$35/100)),MAX(0,Inputs!$B$44-((R2789-1)*(1/Q2789)))))/Inputs!$B$44),IF(Inputs!$B$39="pvp",MIN((Skills!T14*(1+Inputs!$B$35/100)),15)/15,MIN(1,(Skills!T14*(1+Inputs!$B$35/100))/(1/Q2789)))))+((C2790=TRUE)*F2790*IF(AND(Inputs!$B$39&lt;&gt;"pvp",Inputs!$B$44&gt;0),(((R2790-1)*MIN((Skills!T15*(1+Inputs!$B$35/100)),(1/Q2790))+MIN((Skills!T15*(1+Inputs!$B$35/100)),MAX(0,Inputs!$B$44-((R2790-1)*(1/Q2790)))))/Inputs!$B$44),IF(Inputs!$B$39="pvp",MIN((Skills!T15*(1+Inputs!$B$35/100)),15)/15,MIN(1,(Skills!T15*(1+Inputs!$B$35/100))/(1/Q2790)))))+((C2791=TRUE)*F2791*IF(AND(Inputs!$B$39&lt;&gt;"pvp",Inputs!$B$44&gt;0),(((R2791-1)*MIN((Skills!T16*(1+Inputs!$B$35/100)),(1/Q2791))+MIN((Skills!T16*(1+Inputs!$B$35/100)),MAX(0,Inputs!$B$44-((R2791-1)*(1/Q2791)))))/Inputs!$B$44),IF(Inputs!$B$39="pvp",MIN((Skills!T16*(1+Inputs!$B$35/100)),15)/15,MIN(1,(Skills!T16*(1+Inputs!$B$35/100))/(1/Q2791)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2780)</f>
        <v/>
      </c>
      <c r="L2780">
        <f>K2780*(MIN(Inputs!$B$23+((C2797=TRUE)*(F2797-Calc!F22)),(Inputs!$B$24+((C2799=TRUE)*(F2799-Calc!F24))+(IF(ArtifactsInput!$M$15,CHOOSE(ArtifactsInput!$N$15+1,25,30,35,40,45,50)/100*(Inputs!$B$12-Inputs!$B$12),0))))/100+(Inputs!$B$24+((C2799=TRUE)*(F2799-Calc!F24))+(IF(ArtifactsInput!$M$15,CHOOSE(ArtifactsInput!$N$15+1,25,30,35,40,45,50)/100*(Inputs!$B$12-Inputs!$B$12),0)))/100)/2</f>
        <v/>
      </c>
      <c r="M2780">
        <f>L2780*(1+(Inputs!$B$11+0+B2809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780">
        <f>L2780*(1-MIN((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2780*(MIN((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80">
        <f>(1-Summary!$B$11)*T2780+Summary!$B$11*V2780</f>
        <v/>
      </c>
      <c r="P2780">
        <f>IF(B2814=0,0,O2780/B2814)</f>
        <v/>
      </c>
      <c r="Q2780">
        <f>IFERROR(1/IF(Inputs!$B$39="pvp",15,MAX(0.1,Skills!D5-IF(TRUE=TRUE,0.5,0))),0)</f>
        <v/>
      </c>
      <c r="R2780">
        <f>IF(AND(Inputs!$B$39&lt;&gt;"pvp",Inputs!$B$44&gt;0),IF(MAX(0,Inputs!$B$44-B2811)&lt;=0,0,(INT(MAX(0,Inputs!$B$44-B2811)/IF(Inputs!$B$39="pvp",15,MAX(0.1,Skills!D5-IF(TRUE=TRUE,0.5,0))))+1)),0)</f>
        <v/>
      </c>
      <c r="S2780">
        <f>IFERROR(O2780/N2780,0)</f>
        <v/>
      </c>
      <c r="T2780">
        <f>IF(C2780,(H2780*N2780*IF(AND(Inputs!$B$39&lt;&gt;"pvp",Inputs!$B$44&gt;0),((Skills!G5*((R2780-1)*IF(Skills!H5&gt;0,INT(Skills!I5/Skills!H5+0.000000001),1)+IF(Skills!H5&gt;0,INT(MIN(Skills!I5,MAX(0,MAX(0,Inputs!$B$44-B2811)-((R2780-1)*IF(Inputs!$B$39="pvp",15,MAX(0.1,Skills!D5-IF(TRUE=TRUE,0.5,0))))))/Skills!H5+0.000000001),1)))/Inputs!$B$44),G2780*Q2780))*IF(Inputs!$B$39="pvp",1,1+(Inputs!$B$21+0+Skills!P5+((C2792=TRUE)*F2792*IF(AND(Inputs!$B$39&lt;&gt;"pvp",Inputs!$B$44&gt;0),(((R2792-1)*MIN((Skills!T17*(1+Inputs!$B$35/100)),(1/Q2792))+MIN((Skills!T17*(1+Inputs!$B$35/100)),MAX(0,Inputs!$B$44-((R2792-1)*(1/Q2792)))))/Inputs!$B$44),IF(Inputs!$B$39="pvp",MIN((Skills!T17*(1+Inputs!$B$35/100)),15)/15,MIN(1,(Skills!T17*(1+Inputs!$B$35/100))/(1/Q2792)))))+((C2780=TRUE)*IF(Inputs!$B$3&gt;=126,10*MIN(1,15*Q2780),0))+((C2789=TRUE)*IF(Inputs!$B$39="pvp",20,(1-Summary!$B$11)*(20)+Summary!$B$11*(0))*IF(AND(Inputs!$B$39&lt;&gt;"pvp",Inputs!$B$44&gt;0),(((R2789-1)*MIN((Skills!T14*(1+Inputs!$B$35/100)),(1/Q2789))+MIN((Skills!T14*(1+Inputs!$B$35/100)),MAX(0,Inputs!$B$44-((R2789-1)*(1/Q2789)))))/Inputs!$B$44),IF(Inputs!$B$39="pvp",MIN((Skills!T14*(1+Inputs!$B$35/100)),15)/15,MIN(1,(Skills!T14*(1+Inputs!$B$35/100))/(1/Q2789)))))+((C2788=TRUE)*IF(Inputs!$B$3&gt;=82,IF(Inputs!$B$39="pvp",20,(1-Summary!$B$11)*(20)+Summary!$B$11*(0)),0)*IF(AND(Inputs!$B$39&lt;&gt;"pvp",Inputs!$B$44&gt;0),(((R2788-1)*MIN((Skills!T13*(1+Inputs!$B$35/100)),(1/Q2788))+MIN((Skills!T13*(1+Inputs!$B$35/100)),MAX(0,Inputs!$B$44-((R2788-1)*(1/Q2788)))))/Inputs!$B$44),IF(Inputs!$B$39="pvp",MIN((Skills!T13*(1+Inputs!$B$35/100)),15)/15,MIN(1,(Skills!T13*(1+Inputs!$B$35/100))/(1/Q2788)))))+(IF(AND(ArtifactsInput!$M$35,Inputs!$B$4&lt;&gt;"Chapter Hunt"),CHOOSE(ArtifactsInput!$N$35+1,15,18,21,24,27,30)*(1-EXP(-(0.2*B2806)*5)),0)+IF(AND(ArtifactsInput!$M$22,Inputs!$B$4&lt;&gt;"Chapter Hunt"),CHOOSE(ArtifactsInput!$N$22+1,10,12,14,16,18,20)*((0*(((0.15*B2806*5))^0/1)+1*(((0.15*B2806*5))^1/1)+2*(((0.15*B2806*5))^2/2)+3*(((0.15*B2806*5))^3/6)+4*(((0.15*B2806*5))^4/24)+5*(((0.15*B2806*5))^5/120))/((((0.15*B2806*5))^0/1)+(((0.15*B2806*5))^1/1)+(((0.15*B2806*5))^2/2)+(((0.15*B2806*5))^3/6)+(((0.15*B2806*5))^4/24)+(((0.15*B2806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2780*(1-MIN(100,(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2780*(MIN(100,(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2780*(1-MIN(100,(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2780*(MIN(100,(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80">
        <f>IF(C2780,(H2780*N2780*IF(AND(Inputs!$B$39&lt;&gt;"pvp",Inputs!$B$44&gt;0),((Skills!G5*((R2780-1)*IF(Skills!H5&gt;0,INT(Skills!I5/Skills!H5+0.000000001),1)+IF(Skills!H5&gt;0,INT(MIN(Skills!I5,MAX(0,MAX(0,Inputs!$B$44-B2811)-((R2780-1)*IF(Inputs!$B$39="pvp",15,MAX(0.1,Skills!D5-IF(TRUE=TRUE,0.5,0))))))/Skills!H5+0.000000001),1)))/Inputs!$B$44),G2780*Q2780))*IF(Inputs!$B$39="pvp",1,(1+(Inputs!$B$22+Skills!Q5+((C2792=TRUE)*F2792*IF(AND(Inputs!$B$39&lt;&gt;"pvp",Inputs!$B$44&gt;0),(((R2792-1)*MIN((Skills!T17*(1+Inputs!$B$35/100)),(1/Q2792))+MIN((Skills!T17*(1+Inputs!$B$35/100)),MAX(0,Inputs!$B$44-((R2792-1)*(1/Q2792)))))/Inputs!$B$44),IF(Inputs!$B$39="pvp",MIN((Skills!T17*(1+Inputs!$B$35/100)),15)/15,MIN(1,(Skills!T17*(1+Inputs!$B$35/100))/(1/Q2792)))))+((C2780=TRUE)*IF(Inputs!$B$3&gt;=126,10*MIN(1,15*Q2780),0))+((C2789=TRUE)*IF(Inputs!$B$39="pvp",20,(1-Summary!$B$11)*(20)+Summary!$B$11*(0))*IF(AND(Inputs!$B$39&lt;&gt;"pvp",Inputs!$B$44&gt;0),(((R2789-1)*MIN((Skills!T14*(1+Inputs!$B$35/100)),(1/Q2789))+MIN((Skills!T14*(1+Inputs!$B$35/100)),MAX(0,Inputs!$B$44-((R2789-1)*(1/Q2789)))))/Inputs!$B$44),IF(Inputs!$B$39="pvp",MIN((Skills!T14*(1+Inputs!$B$35/100)),15)/15,MIN(1,(Skills!T14*(1+Inputs!$B$35/100))/(1/Q2789)))))+((C2788=TRUE)*IF(Inputs!$B$3&gt;=82,IF(Inputs!$B$39="pvp",20,(1-Summary!$B$11)*(20)+Summary!$B$11*(0)),0)*IF(AND(Inputs!$B$39&lt;&gt;"pvp",Inputs!$B$44&gt;0),(((R2788-1)*MIN((Skills!T13*(1+Inputs!$B$35/100)),(1/Q2788))+MIN((Skills!T13*(1+Inputs!$B$35/100)),MAX(0,Inputs!$B$44-((R2788-1)*(1/Q2788)))))/Inputs!$B$44),IF(Inputs!$B$39="pvp",MIN((Skills!T13*(1+Inputs!$B$35/100)),15)/15,MIN(1,(Skills!T13*(1+Inputs!$B$35/100))/(1/Q2788)))))+(IF(AND(ArtifactsInput!$M$35,Inputs!$B$4&lt;&gt;"Chapter Hunt"),CHOOSE(ArtifactsInput!$N$35+1,15,18,21,24,27,30)*(1-EXP(-(0.2*B2806)*5)),0)+IF(AND(ArtifactsInput!$M$22,Inputs!$B$4&lt;&gt;"Chapter Hunt"),CHOOSE(ArtifactsInput!$N$22+1,10,12,14,16,18,20)*((0*(((0.15*B2806*5))^0/1)+1*(((0.15*B2806*5))^1/1)+2*(((0.15*B2806*5))^2/2)+3*(((0.15*B2806*5))^3/6)+4*(((0.15*B2806*5))^4/24)+5*(((0.15*B2806*5))^5/120))/((((0.15*B2806*5))^0/1)+(((0.15*B2806*5))^1/1)+(((0.15*B2806*5))^2/2)+(((0.15*B2806*5))^3/6)+(((0.15*B2806*5))^4/24)+(((0.15*B2806*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81">
      <c r="A2781">
        <f>Skills!A6</f>
        <v/>
      </c>
      <c r="B2781">
        <f>Skills!B6</f>
        <v/>
      </c>
      <c r="C2781">
        <f>Inputs!$B$3&gt;=103</f>
        <v/>
      </c>
      <c r="D2781">
        <f>IF(Skills!C6=1,60+Inputs!$B$26+Inputs!$B$30,IF(Skills!C6=2,90+Inputs!$B$27+Inputs!$B$30,IF(Skills!C6=3,120+Inputs!$B$28+Inputs!$B$30,MAX(0,(Inputs!$B$3-100)*3)+Inputs!$B$29+Inputs!$B$30)))</f>
        <v/>
      </c>
      <c r="E2781">
        <f>INDEX(FactorTable!$B$2:$Y$301, MATCH(ROUND(MIN(300,MAX(1,D2781)),0), FactorTable!$A$2:$A$301,0), Skills!M6+1)</f>
        <v/>
      </c>
      <c r="F2781">
        <f>IF(Skills!N6=TRUE,(Skills!L6/10)*(E2781/1000),Skills!L6/10)+Skills!O6</f>
        <v/>
      </c>
      <c r="G2781">
        <f>Skills!G6*IF(Skills!H6&gt;0,INT(IF(Inputs!$B$39="pvp",MIN(Skills!I6,15),Skills!I6)/Skills!H6+0.000000001),1)</f>
        <v/>
      </c>
      <c r="H2781">
        <f>1-(1-Skills!J6/100)^Skills!K6</f>
        <v/>
      </c>
      <c r="I2781" t="inlineStr">
        <is>
          <t>1</t>
        </is>
      </c>
      <c r="J2781">
        <f>((Inputs!$B$6*(1+Inputs!$B$7/100))+(((Inputs!$B$13*(1+Inputs!$B$14/100))-(Inputs!$B$13*(1+Inputs!$B$14/100)))+0.25*(Inputs!$B$15-Inputs!$B$15))*(1+Inputs!$B$7/100))*(F2781/100)</f>
        <v/>
      </c>
      <c r="K2781">
        <f>J2781*(1+(((Inputs!$B$13+IF(Inputs!$B$3&gt;=38,(10*INDEX(FactorTable!$B$2:$Y$301, MATCH(ROUND(MIN(300,MAX(1,Inputs!$B$3)),0), FactorTable!$A$2:$A$301,0), 23)/1000)/100*(Inputs!$B$8*(1+Inputs!$B$9/100)),0))*(1+Inputs!$B$14/100))*0.01+Inputs!$B$15*0.0025)/100)*(1+Inputs!$B$16/100)*(1+Inputs!$B$17/100)*(5000/(6000+Inputs!$B$43*(1-(Inputs!$B$20+0)/100)))*(1+(Inputs!$B$25+((C2800=TRUE)*(F2800-Calc!F25))+((C2801=TRUE)*(F2801-Calc!F26))+B2810)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gt;=100),MIN(100,((Inputs!$B$10+0+B2804+(ArtifactsInput!$M$24-ArtifactsInput!$M$24)*CHOOSE(ArtifactsInput!$N$24+1,10,12,14,16,18,20)+IF(ArtifactsInput!$M$10,CHOOSE(ArtifactsInput!$N$10+1,15,18,21,24,27,30)*(IF(Inputs!$B$39="pvp",MIN(15,15)/15,IF(AND(Inputs!$B$39&lt;&gt;"pvp",Inputs!$B$44&gt;0),MIN(15,Inputs!$B$44)/(Inputs!$B$44),0))),0)))-100),0))*CHOOSE(ArtifactsInput!$N$42+1,0.6,0.72,0.84,0.96,1.08,1.2))),Inputs!$B$19+((C2798=TRUE)*(F2798-Calc!F23))+(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gt;=100),CHOOSE(ArtifactsInput!$N$42+1,40,48,56,64,72,80),0))))/100)*((1+(((C2788=TRUE)*F2788*IF(AND(Inputs!$B$39&lt;&gt;"pvp",Inputs!$B$44&gt;0),(((R2788-1)*MIN((Skills!T13*(1+Inputs!$B$35/100)),(1/Q2788))+MIN((Skills!T13*(1+Inputs!$B$35/100)),MAX(0,Inputs!$B$44-((R2788-1)*(1/Q2788)))))/Inputs!$B$44),IF(Inputs!$B$39="pvp",MIN((Skills!T13*(1+Inputs!$B$35/100)),15)/15,MIN(1,(Skills!T13*(1+Inputs!$B$35/100))/(1/Q2788)))))+((C2789=TRUE)*F2789*IF(AND(Inputs!$B$39&lt;&gt;"pvp",Inputs!$B$44&gt;0),(((R2789-1)*MIN((Skills!T14*(1+Inputs!$B$35/100)),(1/Q2789))+MIN((Skills!T14*(1+Inputs!$B$35/100)),MAX(0,Inputs!$B$44-((R2789-1)*(1/Q2789)))))/Inputs!$B$44),IF(Inputs!$B$39="pvp",MIN((Skills!T14*(1+Inputs!$B$35/100)),15)/15,MIN(1,(Skills!T14*(1+Inputs!$B$35/100))/(1/Q2789)))))+((C2790=TRUE)*F2790*IF(AND(Inputs!$B$39&lt;&gt;"pvp",Inputs!$B$44&gt;0),(((R2790-1)*MIN((Skills!T15*(1+Inputs!$B$35/100)),(1/Q2790))+MIN((Skills!T15*(1+Inputs!$B$35/100)),MAX(0,Inputs!$B$44-((R2790-1)*(1/Q2790)))))/Inputs!$B$44),IF(Inputs!$B$39="pvp",MIN((Skills!T15*(1+Inputs!$B$35/100)),15)/15,MIN(1,(Skills!T15*(1+Inputs!$B$35/100))/(1/Q2790)))))+((C2791=TRUE)*F2791*IF(AND(Inputs!$B$39&lt;&gt;"pvp",Inputs!$B$44&gt;0),(((R2791-1)*MIN((Skills!T16*(1+Inputs!$B$35/100)),(1/Q2791))+MIN((Skills!T16*(1+Inputs!$B$35/100)),MAX(0,Inputs!$B$44-((R2791-1)*(1/Q2791)))))/Inputs!$B$44),IF(Inputs!$B$39="pvp",MIN((Skills!T16*(1+Inputs!$B$35/100)),15)/15,MIN(1,(Skills!T16*(1+Inputs!$B$35/100))/(1/Q2791)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2781)</f>
        <v/>
      </c>
      <c r="L2781">
        <f>K2781*(MIN(Inputs!$B$23+((C2797=TRUE)*(F2797-Calc!F22)),(Inputs!$B$24+((C2799=TRUE)*(F2799-Calc!F24))+(IF(ArtifactsInput!$M$15,CHOOSE(ArtifactsInput!$N$15+1,25,30,35,40,45,50)/100*(Inputs!$B$12-Inputs!$B$12),0))))/100+(Inputs!$B$24+((C2799=TRUE)*(F2799-Calc!F24))+(IF(ArtifactsInput!$M$15,CHOOSE(ArtifactsInput!$N$15+1,25,30,35,40,45,50)/100*(Inputs!$B$12-Inputs!$B$12),0)))/100)/2</f>
        <v/>
      </c>
      <c r="M2781">
        <f>L2781*(1+(Inputs!$B$11+0+B2809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781">
        <f>L2781*(1-MIN((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2781*(MIN((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81">
        <f>(1-Summary!$B$11)*T2781+Summary!$B$11*V2781</f>
        <v/>
      </c>
      <c r="P2781">
        <f>IF(B2814=0,0,O2781/B2814)</f>
        <v/>
      </c>
      <c r="Q2781">
        <f>IFERROR(1/IF(Inputs!$B$39="pvp",15,MAX(0.1,Skills!D6-IF(TRUE=TRUE,0.5,0))),0)</f>
        <v/>
      </c>
      <c r="R2781">
        <f>IF(AND(Inputs!$B$39&lt;&gt;"pvp",Inputs!$B$44&gt;0),IF(MAX(0,Inputs!$B$44-B2811)&lt;=0,0,(INT(MAX(0,Inputs!$B$44-B2811)/IF(Inputs!$B$39="pvp",15,MAX(0.1,Skills!D6-IF(TRUE=TRUE,0.5,0))))+1)),0)</f>
        <v/>
      </c>
      <c r="S2781">
        <f>IFERROR(O2781/N2781,0)</f>
        <v/>
      </c>
      <c r="T2781">
        <f>IF(C2781,(H2781*N2781*IF(AND(Inputs!$B$39&lt;&gt;"pvp",Inputs!$B$44&gt;0),((Skills!G6*((R2781-1)*IF(Skills!H6&gt;0,INT(Skills!I6/Skills!H6+0.000000001),1)+IF(Skills!H6&gt;0,INT(MIN(Skills!I6,MAX(0,MAX(0,Inputs!$B$44-B2811)-((R2781-1)*IF(Inputs!$B$39="pvp",15,MAX(0.1,Skills!D6-IF(TRUE=TRUE,0.5,0))))))/Skills!H6+0.000000001),1)))/Inputs!$B$44),G2781*Q2781))*IF(Inputs!$B$39="pvp",1,1+(Inputs!$B$21+0+Skills!P6+((C2792=TRUE)*F2792*IF(AND(Inputs!$B$39&lt;&gt;"pvp",Inputs!$B$44&gt;0),(((R2792-1)*MIN((Skills!T17*(1+Inputs!$B$35/100)),(1/Q2792))+MIN((Skills!T17*(1+Inputs!$B$35/100)),MAX(0,Inputs!$B$44-((R2792-1)*(1/Q2792)))))/Inputs!$B$44),IF(Inputs!$B$39="pvp",MIN((Skills!T17*(1+Inputs!$B$35/100)),15)/15,MIN(1,(Skills!T17*(1+Inputs!$B$35/100))/(1/Q2792)))))+((C2780=TRUE)*IF(Inputs!$B$3&gt;=126,10*MIN(1,15*Q2780),0))+((C2789=TRUE)*IF(Inputs!$B$39="pvp",20,(1-Summary!$B$11)*(20)+Summary!$B$11*(0))*IF(AND(Inputs!$B$39&lt;&gt;"pvp",Inputs!$B$44&gt;0),(((R2789-1)*MIN((Skills!T14*(1+Inputs!$B$35/100)),(1/Q2789))+MIN((Skills!T14*(1+Inputs!$B$35/100)),MAX(0,Inputs!$B$44-((R2789-1)*(1/Q2789)))))/Inputs!$B$44),IF(Inputs!$B$39="pvp",MIN((Skills!T14*(1+Inputs!$B$35/100)),15)/15,MIN(1,(Skills!T14*(1+Inputs!$B$35/100))/(1/Q2789)))))+((C2788=TRUE)*IF(Inputs!$B$3&gt;=82,IF(Inputs!$B$39="pvp",20,(1-Summary!$B$11)*(20)+Summary!$B$11*(0)),0)*IF(AND(Inputs!$B$39&lt;&gt;"pvp",Inputs!$B$44&gt;0),(((R2788-1)*MIN((Skills!T13*(1+Inputs!$B$35/100)),(1/Q2788))+MIN((Skills!T13*(1+Inputs!$B$35/100)),MAX(0,Inputs!$B$44-((R2788-1)*(1/Q2788)))))/Inputs!$B$44),IF(Inputs!$B$39="pvp",MIN((Skills!T13*(1+Inputs!$B$35/100)),15)/15,MIN(1,(Skills!T13*(1+Inputs!$B$35/100))/(1/Q2788)))))+(IF(AND(ArtifactsInput!$M$35,Inputs!$B$4&lt;&gt;"Chapter Hunt"),CHOOSE(ArtifactsInput!$N$35+1,15,18,21,24,27,30)*(1-EXP(-(0.2*B2806)*5)),0)+IF(AND(ArtifactsInput!$M$22,Inputs!$B$4&lt;&gt;"Chapter Hunt"),CHOOSE(ArtifactsInput!$N$22+1,10,12,14,16,18,20)*((0*(((0.15*B2806*5))^0/1)+1*(((0.15*B2806*5))^1/1)+2*(((0.15*B2806*5))^2/2)+3*(((0.15*B2806*5))^3/6)+4*(((0.15*B2806*5))^4/24)+5*(((0.15*B2806*5))^5/120))/((((0.15*B2806*5))^0/1)+(((0.15*B2806*5))^1/1)+(((0.15*B2806*5))^2/2)+(((0.15*B2806*5))^3/6)+(((0.15*B2806*5))^4/24)+(((0.15*B2806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2781*(1-MIN(100,(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2781*(MIN(100,(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2781*(1-MIN(100,(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2781*(MIN(100,(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81">
        <f>IF(C2781,(H2781*N2781*IF(AND(Inputs!$B$39&lt;&gt;"pvp",Inputs!$B$44&gt;0),((Skills!G6*((R2781-1)*IF(Skills!H6&gt;0,INT(Skills!I6/Skills!H6+0.000000001),1)+IF(Skills!H6&gt;0,INT(MIN(Skills!I6,MAX(0,MAX(0,Inputs!$B$44-B2811)-((R2781-1)*IF(Inputs!$B$39="pvp",15,MAX(0.1,Skills!D6-IF(TRUE=TRUE,0.5,0))))))/Skills!H6+0.000000001),1)))/Inputs!$B$44),G2781*Q2781))*IF(Inputs!$B$39="pvp",1,(1+(Inputs!$B$22+Skills!Q6+((C2792=TRUE)*F2792*IF(AND(Inputs!$B$39&lt;&gt;"pvp",Inputs!$B$44&gt;0),(((R2792-1)*MIN((Skills!T17*(1+Inputs!$B$35/100)),(1/Q2792))+MIN((Skills!T17*(1+Inputs!$B$35/100)),MAX(0,Inputs!$B$44-((R2792-1)*(1/Q2792)))))/Inputs!$B$44),IF(Inputs!$B$39="pvp",MIN((Skills!T17*(1+Inputs!$B$35/100)),15)/15,MIN(1,(Skills!T17*(1+Inputs!$B$35/100))/(1/Q2792)))))+((C2780=TRUE)*IF(Inputs!$B$3&gt;=126,10*MIN(1,15*Q2780),0))+((C2789=TRUE)*IF(Inputs!$B$39="pvp",20,(1-Summary!$B$11)*(20)+Summary!$B$11*(0))*IF(AND(Inputs!$B$39&lt;&gt;"pvp",Inputs!$B$44&gt;0),(((R2789-1)*MIN((Skills!T14*(1+Inputs!$B$35/100)),(1/Q2789))+MIN((Skills!T14*(1+Inputs!$B$35/100)),MAX(0,Inputs!$B$44-((R2789-1)*(1/Q2789)))))/Inputs!$B$44),IF(Inputs!$B$39="pvp",MIN((Skills!T14*(1+Inputs!$B$35/100)),15)/15,MIN(1,(Skills!T14*(1+Inputs!$B$35/100))/(1/Q2789)))))+((C2788=TRUE)*IF(Inputs!$B$3&gt;=82,IF(Inputs!$B$39="pvp",20,(1-Summary!$B$11)*(20)+Summary!$B$11*(0)),0)*IF(AND(Inputs!$B$39&lt;&gt;"pvp",Inputs!$B$44&gt;0),(((R2788-1)*MIN((Skills!T13*(1+Inputs!$B$35/100)),(1/Q2788))+MIN((Skills!T13*(1+Inputs!$B$35/100)),MAX(0,Inputs!$B$44-((R2788-1)*(1/Q2788)))))/Inputs!$B$44),IF(Inputs!$B$39="pvp",MIN((Skills!T13*(1+Inputs!$B$35/100)),15)/15,MIN(1,(Skills!T13*(1+Inputs!$B$35/100))/(1/Q2788)))))+(IF(AND(ArtifactsInput!$M$35,Inputs!$B$4&lt;&gt;"Chapter Hunt"),CHOOSE(ArtifactsInput!$N$35+1,15,18,21,24,27,30)*(1-EXP(-(0.2*B2806)*5)),0)+IF(AND(ArtifactsInput!$M$22,Inputs!$B$4&lt;&gt;"Chapter Hunt"),CHOOSE(ArtifactsInput!$N$22+1,10,12,14,16,18,20)*((0*(((0.15*B2806*5))^0/1)+1*(((0.15*B2806*5))^1/1)+2*(((0.15*B2806*5))^2/2)+3*(((0.15*B2806*5))^3/6)+4*(((0.15*B2806*5))^4/24)+5*(((0.15*B2806*5))^5/120))/((((0.15*B2806*5))^0/1)+(((0.15*B2806*5))^1/1)+(((0.15*B2806*5))^2/2)+(((0.15*B2806*5))^3/6)+(((0.15*B2806*5))^4/24)+(((0.15*B2806*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82">
      <c r="A2782">
        <f>Skills!A7</f>
        <v/>
      </c>
      <c r="B2782">
        <f>Skills!B7</f>
        <v/>
      </c>
      <c r="C2782">
        <f>Inputs!$B$3&gt;=40</f>
        <v/>
      </c>
      <c r="D2782">
        <f>IF(Skills!C7=1,60+Inputs!$B$26+Inputs!$B$30,IF(Skills!C7=2,90+Inputs!$B$27+Inputs!$B$30,IF(Skills!C7=3,120+Inputs!$B$28+Inputs!$B$30,MAX(0,(Inputs!$B$3-100)*3)+Inputs!$B$29+Inputs!$B$30)))</f>
        <v/>
      </c>
      <c r="E2782">
        <f>INDEX(FactorTable!$B$2:$Y$301, MATCH(ROUND(MIN(300,MAX(1,D2782)),0), FactorTable!$A$2:$A$301,0), Skills!M7+1)</f>
        <v/>
      </c>
      <c r="F2782">
        <f>IF(Skills!N7=TRUE,(Skills!L7/10)*(E2782/1000),Skills!L7/10)+Skills!O7</f>
        <v/>
      </c>
      <c r="G2782">
        <f>Skills!G7*IF(Skills!H7&gt;0,INT(IF(Inputs!$B$39="pvp",MIN(Skills!I7,15),Skills!I7)/Skills!H7+0.000000001),1)</f>
        <v/>
      </c>
      <c r="H2782">
        <f>1-(1-Skills!J7/100)^Skills!K7</f>
        <v/>
      </c>
      <c r="I2782" t="inlineStr">
        <is>
          <t>1</t>
        </is>
      </c>
      <c r="J2782">
        <f>((Inputs!$B$6*(1+Inputs!$B$7/100))+(((Inputs!$B$13*(1+Inputs!$B$14/100))-(Inputs!$B$13*(1+Inputs!$B$14/100)))+0.25*(Inputs!$B$15-Inputs!$B$15))*(1+Inputs!$B$7/100))*(F2782/100)</f>
        <v/>
      </c>
      <c r="K2782">
        <f>J2782*(1+(((Inputs!$B$13+IF(Inputs!$B$3&gt;=38,(10*INDEX(FactorTable!$B$2:$Y$301, MATCH(ROUND(MIN(300,MAX(1,Inputs!$B$3)),0), FactorTable!$A$2:$A$301,0), 23)/1000)/100*(Inputs!$B$8*(1+Inputs!$B$9/100)),0))*(1+Inputs!$B$14/100))*0.01+Inputs!$B$15*0.0025)/100)*(1+Inputs!$B$16/100)*(1+Inputs!$B$17/100)*(5000/(6000+Inputs!$B$43*(1-(Inputs!$B$20+0)/100)))*(1+(Inputs!$B$25+((C2800=TRUE)*(F2800-Calc!F25))+((C2801=TRUE)*(F2801-Calc!F26))+B2810)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2786=TRUE,F2786,0)/100)*(1+(IF(Skills!A7="DARK_IMPALE",Inputs!$B$18+0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gt;=100),MIN(100,((Inputs!$B$10+0+B2804+(ArtifactsInput!$M$24-ArtifactsInput!$M$24)*CHOOSE(ArtifactsInput!$N$24+1,10,12,14,16,18,20)+IF(ArtifactsInput!$M$10,CHOOSE(ArtifactsInput!$N$10+1,15,18,21,24,27,30)*(IF(Inputs!$B$39="pvp",MIN(15,15)/15,IF(AND(Inputs!$B$39&lt;&gt;"pvp",Inputs!$B$44&gt;0),MIN(15,Inputs!$B$44)/(Inputs!$B$44),0))),0)))-100),0))*CHOOSE(ArtifactsInput!$N$42+1,0.6,0.72,0.84,0.96,1.08,1.2))),Inputs!$B$19+((C2798=TRUE)*(F2798-Calc!F23))+(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gt;=100),CHOOSE(ArtifactsInput!$N$42+1,40,48,56,64,72,80),0))))/100)*((1+(((C2788=TRUE)*F2788*IF(AND(Inputs!$B$39&lt;&gt;"pvp",Inputs!$B$44&gt;0),(((R2788-1)*MIN((Skills!T13*(1+Inputs!$B$35/100)),(1/Q2788))+MIN((Skills!T13*(1+Inputs!$B$35/100)),MAX(0,Inputs!$B$44-((R2788-1)*(1/Q2788)))))/Inputs!$B$44),IF(Inputs!$B$39="pvp",MIN((Skills!T13*(1+Inputs!$B$35/100)),15)/15,MIN(1,(Skills!T13*(1+Inputs!$B$35/100))/(1/Q2788)))))+((C2789=TRUE)*F2789*IF(AND(Inputs!$B$39&lt;&gt;"pvp",Inputs!$B$44&gt;0),(((R2789-1)*MIN((Skills!T14*(1+Inputs!$B$35/100)),(1/Q2789))+MIN((Skills!T14*(1+Inputs!$B$35/100)),MAX(0,Inputs!$B$44-((R2789-1)*(1/Q2789)))))/Inputs!$B$44),IF(Inputs!$B$39="pvp",MIN((Skills!T14*(1+Inputs!$B$35/100)),15)/15,MIN(1,(Skills!T14*(1+Inputs!$B$35/100))/(1/Q2789)))))+((C2790=TRUE)*F2790*IF(AND(Inputs!$B$39&lt;&gt;"pvp",Inputs!$B$44&gt;0),(((R2790-1)*MIN((Skills!T15*(1+Inputs!$B$35/100)),(1/Q2790))+MIN((Skills!T15*(1+Inputs!$B$35/100)),MAX(0,Inputs!$B$44-((R2790-1)*(1/Q2790)))))/Inputs!$B$44),IF(Inputs!$B$39="pvp",MIN((Skills!T15*(1+Inputs!$B$35/100)),15)/15,MIN(1,(Skills!T15*(1+Inputs!$B$35/100))/(1/Q2790)))))+((C2791=TRUE)*F2791*IF(AND(Inputs!$B$39&lt;&gt;"pvp",Inputs!$B$44&gt;0),(((R2791-1)*MIN((Skills!T16*(1+Inputs!$B$35/100)),(1/Q2791))+MIN((Skills!T16*(1+Inputs!$B$35/100)),MAX(0,Inputs!$B$44-((R2791-1)*(1/Q2791)))))/Inputs!$B$44),IF(Inputs!$B$39="pvp",MIN((Skills!T16*(1+Inputs!$B$35/100)),15)/15,MIN(1,(Skills!T16*(1+Inputs!$B$35/100))/(1/Q2791)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2782)</f>
        <v/>
      </c>
      <c r="L2782">
        <f>K2782*(MIN(Inputs!$B$23+((C2797=TRUE)*(F2797-Calc!F22)),(Inputs!$B$24+((C2799=TRUE)*(F2799-Calc!F24))+(IF(ArtifactsInput!$M$15,CHOOSE(ArtifactsInput!$N$15+1,25,30,35,40,45,50)/100*(Inputs!$B$12-Inputs!$B$12),0))))/100+(Inputs!$B$24+((C2799=TRUE)*(F2799-Calc!F24))+(IF(ArtifactsInput!$M$15,CHOOSE(ArtifactsInput!$N$15+1,25,30,35,40,45,50)/100*(Inputs!$B$12-Inputs!$B$12),0)))/100)/2</f>
        <v/>
      </c>
      <c r="M2782">
        <f>L2782*(1+(Inputs!$B$11+0+B2809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782">
        <f>L2782*(1-MIN((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2782*(MIN((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82">
        <f>(1-Summary!$B$11)*T2782+Summary!$B$11*V2782</f>
        <v/>
      </c>
      <c r="P2782">
        <f>IF(B2814=0,0,O2782/B2814)</f>
        <v/>
      </c>
      <c r="Q2782">
        <f>IFERROR(1/IF(Inputs!$B$39="pvp",15,MAX(0.1,Skills!D7-IF(TRUE=TRUE,0.5,0))),0)</f>
        <v/>
      </c>
      <c r="R2782">
        <f>IF(AND(Inputs!$B$39&lt;&gt;"pvp",Inputs!$B$44&gt;0),IF(MAX(0,Inputs!$B$44-B2811)&lt;=0,0,(INT(MAX(0,Inputs!$B$44-B2811)/IF(Inputs!$B$39="pvp",15,MAX(0.1,Skills!D7-IF(TRUE=TRUE,0.5,0))))+1)),0)</f>
        <v/>
      </c>
      <c r="S2782">
        <f>IFERROR(O2782/N2782,0)</f>
        <v/>
      </c>
      <c r="T2782">
        <f>IF(C2782,(H2782*N2782*IF(AND(Inputs!$B$39&lt;&gt;"pvp",Inputs!$B$44&gt;0),((Skills!G7*((R2782-1)*IF(Skills!H7&gt;0,INT(Skills!I7/Skills!H7+0.000000001),1)+IF(Skills!H7&gt;0,INT(MIN(Skills!I7,MAX(0,MAX(0,Inputs!$B$44-B2811)-((R2782-1)*IF(Inputs!$B$39="pvp",15,MAX(0.1,Skills!D7-IF(TRUE=TRUE,0.5,0))))))/Skills!H7+0.000000001),1)))/Inputs!$B$44),G2782*Q2782))*IF(Inputs!$B$39="pvp",1,1+(Inputs!$B$21+0+Skills!P7+((C2792=TRUE)*F2792*IF(AND(Inputs!$B$39&lt;&gt;"pvp",Inputs!$B$44&gt;0),(((R2792-1)*MIN((Skills!T17*(1+Inputs!$B$35/100)),(1/Q2792))+MIN((Skills!T17*(1+Inputs!$B$35/100)),MAX(0,Inputs!$B$44-((R2792-1)*(1/Q2792)))))/Inputs!$B$44),IF(Inputs!$B$39="pvp",MIN((Skills!T17*(1+Inputs!$B$35/100)),15)/15,MIN(1,(Skills!T17*(1+Inputs!$B$35/100))/(1/Q2792)))))+((C2780=TRUE)*IF(Inputs!$B$3&gt;=126,10*MIN(1,15*Q2780),0))+((C2789=TRUE)*IF(Inputs!$B$39="pvp",20,(1-Summary!$B$11)*(20)+Summary!$B$11*(0))*IF(AND(Inputs!$B$39&lt;&gt;"pvp",Inputs!$B$44&gt;0),(((R2789-1)*MIN((Skills!T14*(1+Inputs!$B$35/100)),(1/Q2789))+MIN((Skills!T14*(1+Inputs!$B$35/100)),MAX(0,Inputs!$B$44-((R2789-1)*(1/Q2789)))))/Inputs!$B$44),IF(Inputs!$B$39="pvp",MIN((Skills!T14*(1+Inputs!$B$35/100)),15)/15,MIN(1,(Skills!T14*(1+Inputs!$B$35/100))/(1/Q2789)))))+((C2788=TRUE)*IF(Inputs!$B$3&gt;=82,IF(Inputs!$B$39="pvp",20,(1-Summary!$B$11)*(20)+Summary!$B$11*(0)),0)*IF(AND(Inputs!$B$39&lt;&gt;"pvp",Inputs!$B$44&gt;0),(((R2788-1)*MIN((Skills!T13*(1+Inputs!$B$35/100)),(1/Q2788))+MIN((Skills!T13*(1+Inputs!$B$35/100)),MAX(0,Inputs!$B$44-((R2788-1)*(1/Q2788)))))/Inputs!$B$44),IF(Inputs!$B$39="pvp",MIN((Skills!T13*(1+Inputs!$B$35/100)),15)/15,MIN(1,(Skills!T13*(1+Inputs!$B$35/100))/(1/Q2788)))))+(IF(AND(ArtifactsInput!$M$35,Inputs!$B$4&lt;&gt;"Chapter Hunt"),CHOOSE(ArtifactsInput!$N$35+1,15,18,21,24,27,30)*(1-EXP(-(0.2*B2806)*5)),0)+IF(AND(ArtifactsInput!$M$22,Inputs!$B$4&lt;&gt;"Chapter Hunt"),CHOOSE(ArtifactsInput!$N$22+1,10,12,14,16,18,20)*((0*(((0.15*B2806*5))^0/1)+1*(((0.15*B2806*5))^1/1)+2*(((0.15*B2806*5))^2/2)+3*(((0.15*B2806*5))^3/6)+4*(((0.15*B2806*5))^4/24)+5*(((0.15*B2806*5))^5/120))/((((0.15*B2806*5))^0/1)+(((0.15*B2806*5))^1/1)+(((0.15*B2806*5))^2/2)+(((0.15*B2806*5))^3/6)+(((0.15*B2806*5))^4/24)+(((0.15*B2806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2782*(1-MIN(100,(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2782*(MIN(100,(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2782*(1-MIN(100,(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2782*(MIN(100,(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82">
        <f>IF(C2782,(H2782*N2782*IF(AND(Inputs!$B$39&lt;&gt;"pvp",Inputs!$B$44&gt;0),((Skills!G7*((R2782-1)*IF(Skills!H7&gt;0,INT(Skills!I7/Skills!H7+0.000000001),1)+IF(Skills!H7&gt;0,INT(MIN(Skills!I7,MAX(0,MAX(0,Inputs!$B$44-B2811)-((R2782-1)*IF(Inputs!$B$39="pvp",15,MAX(0.1,Skills!D7-IF(TRUE=TRUE,0.5,0))))))/Skills!H7+0.000000001),1)))/Inputs!$B$44),G2782*Q2782))*IF(Inputs!$B$39="pvp",1,(1+(Inputs!$B$22+Skills!Q7+((C2792=TRUE)*F2792*IF(AND(Inputs!$B$39&lt;&gt;"pvp",Inputs!$B$44&gt;0),(((R2792-1)*MIN((Skills!T17*(1+Inputs!$B$35/100)),(1/Q2792))+MIN((Skills!T17*(1+Inputs!$B$35/100)),MAX(0,Inputs!$B$44-((R2792-1)*(1/Q2792)))))/Inputs!$B$44),IF(Inputs!$B$39="pvp",MIN((Skills!T17*(1+Inputs!$B$35/100)),15)/15,MIN(1,(Skills!T17*(1+Inputs!$B$35/100))/(1/Q2792)))))+((C2780=TRUE)*IF(Inputs!$B$3&gt;=126,10*MIN(1,15*Q2780),0))+((C2789=TRUE)*IF(Inputs!$B$39="pvp",20,(1-Summary!$B$11)*(20)+Summary!$B$11*(0))*IF(AND(Inputs!$B$39&lt;&gt;"pvp",Inputs!$B$44&gt;0),(((R2789-1)*MIN((Skills!T14*(1+Inputs!$B$35/100)),(1/Q2789))+MIN((Skills!T14*(1+Inputs!$B$35/100)),MAX(0,Inputs!$B$44-((R2789-1)*(1/Q2789)))))/Inputs!$B$44),IF(Inputs!$B$39="pvp",MIN((Skills!T14*(1+Inputs!$B$35/100)),15)/15,MIN(1,(Skills!T14*(1+Inputs!$B$35/100))/(1/Q2789)))))+((C2788=TRUE)*IF(Inputs!$B$3&gt;=82,IF(Inputs!$B$39="pvp",20,(1-Summary!$B$11)*(20)+Summary!$B$11*(0)),0)*IF(AND(Inputs!$B$39&lt;&gt;"pvp",Inputs!$B$44&gt;0),(((R2788-1)*MIN((Skills!T13*(1+Inputs!$B$35/100)),(1/Q2788))+MIN((Skills!T13*(1+Inputs!$B$35/100)),MAX(0,Inputs!$B$44-((R2788-1)*(1/Q2788)))))/Inputs!$B$44),IF(Inputs!$B$39="pvp",MIN((Skills!T13*(1+Inputs!$B$35/100)),15)/15,MIN(1,(Skills!T13*(1+Inputs!$B$35/100))/(1/Q2788)))))+(IF(AND(ArtifactsInput!$M$35,Inputs!$B$4&lt;&gt;"Chapter Hunt"),CHOOSE(ArtifactsInput!$N$35+1,15,18,21,24,27,30)*(1-EXP(-(0.2*B2806)*5)),0)+IF(AND(ArtifactsInput!$M$22,Inputs!$B$4&lt;&gt;"Chapter Hunt"),CHOOSE(ArtifactsInput!$N$22+1,10,12,14,16,18,20)*((0*(((0.15*B2806*5))^0/1)+1*(((0.15*B2806*5))^1/1)+2*(((0.15*B2806*5))^2/2)+3*(((0.15*B2806*5))^3/6)+4*(((0.15*B2806*5))^4/24)+5*(((0.15*B2806*5))^5/120))/((((0.15*B2806*5))^0/1)+(((0.15*B2806*5))^1/1)+(((0.15*B2806*5))^2/2)+(((0.15*B2806*5))^3/6)+(((0.15*B2806*5))^4/24)+(((0.15*B2806*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83">
      <c r="A2783">
        <f>Skills!A8</f>
        <v/>
      </c>
      <c r="B2783">
        <f>Skills!B8</f>
        <v/>
      </c>
      <c r="C2783">
        <f>Inputs!$B$3&gt;=75</f>
        <v/>
      </c>
      <c r="D2783">
        <f>IF(Skills!C8=1,60+Inputs!$B$26+Inputs!$B$30,IF(Skills!C8=2,90+Inputs!$B$27+Inputs!$B$30,IF(Skills!C8=3,120+Inputs!$B$28+Inputs!$B$30,MAX(0,(Inputs!$B$3-100)*3)+Inputs!$B$29+Inputs!$B$30)))</f>
        <v/>
      </c>
      <c r="E2783">
        <f>INDEX(FactorTable!$B$2:$Y$301, MATCH(ROUND(MIN(300,MAX(1,D2783)),0), FactorTable!$A$2:$A$301,0), Skills!M8+1)</f>
        <v/>
      </c>
      <c r="F2783">
        <f>IF(Skills!N8=TRUE,(Skills!L8/10)*(E2783/1000),Skills!L8/10)+Skills!O8</f>
        <v/>
      </c>
      <c r="G2783" t="inlineStr"/>
      <c r="H2783" t="inlineStr"/>
      <c r="I2783" t="inlineStr">
        <is>
          <t>1</t>
        </is>
      </c>
      <c r="J2783" t="inlineStr"/>
      <c r="K2783" t="inlineStr"/>
      <c r="L2783" t="inlineStr"/>
      <c r="M2783" t="inlineStr"/>
      <c r="N2783" t="inlineStr"/>
      <c r="O2783" t="inlineStr"/>
      <c r="P2783" t="inlineStr"/>
      <c r="Q2783" t="inlineStr"/>
      <c r="R2783" t="inlineStr"/>
      <c r="S2783" t="inlineStr"/>
    </row>
    <row r="2784">
      <c r="A2784">
        <f>Skills!A9</f>
        <v/>
      </c>
      <c r="B2784">
        <f>Skills!B9</f>
        <v/>
      </c>
      <c r="C2784">
        <f>Inputs!$B$3&gt;=60</f>
        <v/>
      </c>
      <c r="D2784">
        <f>IF(Skills!C9=1,60+Inputs!$B$26+Inputs!$B$30,IF(Skills!C9=2,90+Inputs!$B$27+Inputs!$B$30,IF(Skills!C9=3,120+Inputs!$B$28+Inputs!$B$30,MAX(0,(Inputs!$B$3-100)*3)+Inputs!$B$29+Inputs!$B$30)))</f>
        <v/>
      </c>
      <c r="E2784">
        <f>INDEX(FactorTable!$B$2:$Y$301, MATCH(ROUND(MIN(300,MAX(1,D2784)),0), FactorTable!$A$2:$A$301,0), Skills!M9+1)</f>
        <v/>
      </c>
      <c r="F2784">
        <f>IF(Skills!N9=TRUE,(Skills!L9/10)*(E2784/1000),Skills!L9/10)+Skills!O9</f>
        <v/>
      </c>
      <c r="G2784">
        <f>Skills!G9*IF(Skills!H9&gt;0,INT(IF(Inputs!$B$39="pvp",MIN(Skills!I9,15),Skills!I9)/Skills!H9+0.000000001),1)</f>
        <v/>
      </c>
      <c r="H2784">
        <f>1-(1-Skills!J9/100)^Skills!K9</f>
        <v/>
      </c>
      <c r="I2784" t="inlineStr">
        <is>
          <t>1</t>
        </is>
      </c>
      <c r="J2784">
        <f>((Inputs!$B$6*(1+Inputs!$B$7/100))+(((Inputs!$B$13*(1+Inputs!$B$14/100))-(Inputs!$B$13*(1+Inputs!$B$14/100)))+0.25*(Inputs!$B$15-Inputs!$B$15))*(1+Inputs!$B$7/100))*(F2784/100)</f>
        <v/>
      </c>
      <c r="K2784">
        <f>J2784*(1+(((Inputs!$B$13+IF(Inputs!$B$3&gt;=38,(10*INDEX(FactorTable!$B$2:$Y$301, MATCH(ROUND(MIN(300,MAX(1,Inputs!$B$3)),0), FactorTable!$A$2:$A$301,0), 23)/1000)/100*(Inputs!$B$8*(1+Inputs!$B$9/100)),0))*(1+Inputs!$B$14/100))*0.01+Inputs!$B$15*0.0025)/100)*(1+Inputs!$B$16/100)*(1+Inputs!$B$17/100)*(5000/(6000+Inputs!$B$43*(1-(Inputs!$B$20+0)/100)))*(1+(Inputs!$B$25+((C2800=TRUE)*(F2800-Calc!F25))+((C2801=TRUE)*(F2801-Calc!F26))+B2810)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2786=TRUE,F2786,0)/100)*(1+(IF(Skills!A9="DARK_IMPALE",Inputs!$B$18+0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gt;=100),MIN(100,((Inputs!$B$10+0+B2804+(ArtifactsInput!$M$24-ArtifactsInput!$M$24)*CHOOSE(ArtifactsInput!$N$24+1,10,12,14,16,18,20)+IF(ArtifactsInput!$M$10,CHOOSE(ArtifactsInput!$N$10+1,15,18,21,24,27,30)*(IF(Inputs!$B$39="pvp",MIN(15,15)/15,IF(AND(Inputs!$B$39&lt;&gt;"pvp",Inputs!$B$44&gt;0),MIN(15,Inputs!$B$44)/(Inputs!$B$44),0))),0)))-100),0))*CHOOSE(ArtifactsInput!$N$42+1,0.6,0.72,0.84,0.96,1.08,1.2))),Inputs!$B$19+((C2798=TRUE)*(F2798-Calc!F23))+(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gt;=100),CHOOSE(ArtifactsInput!$N$42+1,40,48,56,64,72,80),0))))/100)*((1+(((C2788=TRUE)*F2788*IF(AND(Inputs!$B$39&lt;&gt;"pvp",Inputs!$B$44&gt;0),(((R2788-1)*MIN((Skills!T13*(1+Inputs!$B$35/100)),(1/Q2788))+MIN((Skills!T13*(1+Inputs!$B$35/100)),MAX(0,Inputs!$B$44-((R2788-1)*(1/Q2788)))))/Inputs!$B$44),IF(Inputs!$B$39="pvp",MIN((Skills!T13*(1+Inputs!$B$35/100)),15)/15,MIN(1,(Skills!T13*(1+Inputs!$B$35/100))/(1/Q2788)))))+((C2789=TRUE)*F2789*IF(AND(Inputs!$B$39&lt;&gt;"pvp",Inputs!$B$44&gt;0),(((R2789-1)*MIN((Skills!T14*(1+Inputs!$B$35/100)),(1/Q2789))+MIN((Skills!T14*(1+Inputs!$B$35/100)),MAX(0,Inputs!$B$44-((R2789-1)*(1/Q2789)))))/Inputs!$B$44),IF(Inputs!$B$39="pvp",MIN((Skills!T14*(1+Inputs!$B$35/100)),15)/15,MIN(1,(Skills!T14*(1+Inputs!$B$35/100))/(1/Q2789)))))+((C2790=TRUE)*F2790*IF(AND(Inputs!$B$39&lt;&gt;"pvp",Inputs!$B$44&gt;0),(((R2790-1)*MIN((Skills!T15*(1+Inputs!$B$35/100)),(1/Q2790))+MIN((Skills!T15*(1+Inputs!$B$35/100)),MAX(0,Inputs!$B$44-((R2790-1)*(1/Q2790)))))/Inputs!$B$44),IF(Inputs!$B$39="pvp",MIN((Skills!T15*(1+Inputs!$B$35/100)),15)/15,MIN(1,(Skills!T15*(1+Inputs!$B$35/100))/(1/Q2790)))))+((C2791=TRUE)*F2791*IF(AND(Inputs!$B$39&lt;&gt;"pvp",Inputs!$B$44&gt;0),(((R2791-1)*MIN((Skills!T16*(1+Inputs!$B$35/100)),(1/Q2791))+MIN((Skills!T16*(1+Inputs!$B$35/100)),MAX(0,Inputs!$B$44-((R2791-1)*(1/Q2791)))))/Inputs!$B$44),IF(Inputs!$B$39="pvp",MIN((Skills!T16*(1+Inputs!$B$35/100)),15)/15,MIN(1,(Skills!T16*(1+Inputs!$B$35/100))/(1/Q2791)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2784)</f>
        <v/>
      </c>
      <c r="L2784">
        <f>K2784*(MIN(Inputs!$B$23+((C2797=TRUE)*(F2797-Calc!F22)),(Inputs!$B$24+((C2799=TRUE)*(F2799-Calc!F24))+(IF(ArtifactsInput!$M$15,CHOOSE(ArtifactsInput!$N$15+1,25,30,35,40,45,50)/100*(Inputs!$B$12-Inputs!$B$12),0))))/100+(Inputs!$B$24+((C2799=TRUE)*(F2799-Calc!F24))+(IF(ArtifactsInput!$M$15,CHOOSE(ArtifactsInput!$N$15+1,25,30,35,40,45,50)/100*(Inputs!$B$12-Inputs!$B$12),0)))/100)/2</f>
        <v/>
      </c>
      <c r="M2784">
        <f>L2784*(1+(Inputs!$B$11+0+B2809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784">
        <f>L2784*(1-MIN((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2784*(MIN((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84">
        <f>(1-Summary!$B$11)*T2784+Summary!$B$11*V2784</f>
        <v/>
      </c>
      <c r="P2784">
        <f>IF(B2814=0,0,O2784/B2814)</f>
        <v/>
      </c>
      <c r="Q2784">
        <f>IFERROR(1/IF(Inputs!$B$39="pvp",15,MAX(0.1,Skills!D9-IF(TRUE=TRUE,0.5,0))),0)</f>
        <v/>
      </c>
      <c r="R2784">
        <f>IF(AND(Inputs!$B$39&lt;&gt;"pvp",Inputs!$B$44&gt;0),IF(MAX(0,Inputs!$B$44-B2811)&lt;=0,0,(INT(MAX(0,Inputs!$B$44-B2811)/IF(Inputs!$B$39="pvp",15,MAX(0.1,Skills!D9-IF(TRUE=TRUE,0.5,0))))+1)),0)</f>
        <v/>
      </c>
      <c r="S2784">
        <f>IFERROR(O2784/N2784,0)</f>
        <v/>
      </c>
      <c r="T2784">
        <f>IF(C2784,(H2784*N2784*IF(AND(Inputs!$B$39&lt;&gt;"pvp",Inputs!$B$44&gt;0),((Skills!G9*((R2784-1)*IF(Skills!H9&gt;0,INT(Skills!I9/Skills!H9+0.000000001),1)+IF(Skills!H9&gt;0,INT(MIN(Skills!I9,MAX(0,MAX(0,Inputs!$B$44-B2811)-((R2784-1)*IF(Inputs!$B$39="pvp",15,MAX(0.1,Skills!D9-IF(TRUE=TRUE,0.5,0))))))/Skills!H9+0.000000001),1)))/Inputs!$B$44),G2784*Q2784))*IF(Inputs!$B$39="pvp",1,1+(Inputs!$B$21+0+Skills!P9+((C2792=TRUE)*F2792*IF(AND(Inputs!$B$39&lt;&gt;"pvp",Inputs!$B$44&gt;0),(((R2792-1)*MIN((Skills!T17*(1+Inputs!$B$35/100)),(1/Q2792))+MIN((Skills!T17*(1+Inputs!$B$35/100)),MAX(0,Inputs!$B$44-((R2792-1)*(1/Q2792)))))/Inputs!$B$44),IF(Inputs!$B$39="pvp",MIN((Skills!T17*(1+Inputs!$B$35/100)),15)/15,MIN(1,(Skills!T17*(1+Inputs!$B$35/100))/(1/Q2792)))))+((C2780=TRUE)*IF(Inputs!$B$3&gt;=126,10*MIN(1,15*Q2780),0))+((C2789=TRUE)*IF(Inputs!$B$39="pvp",20,(1-Summary!$B$11)*(20)+Summary!$B$11*(0))*IF(AND(Inputs!$B$39&lt;&gt;"pvp",Inputs!$B$44&gt;0),(((R2789-1)*MIN((Skills!T14*(1+Inputs!$B$35/100)),(1/Q2789))+MIN((Skills!T14*(1+Inputs!$B$35/100)),MAX(0,Inputs!$B$44-((R2789-1)*(1/Q2789)))))/Inputs!$B$44),IF(Inputs!$B$39="pvp",MIN((Skills!T14*(1+Inputs!$B$35/100)),15)/15,MIN(1,(Skills!T14*(1+Inputs!$B$35/100))/(1/Q2789)))))+((C2788=TRUE)*IF(Inputs!$B$3&gt;=82,IF(Inputs!$B$39="pvp",20,(1-Summary!$B$11)*(20)+Summary!$B$11*(0)),0)*IF(AND(Inputs!$B$39&lt;&gt;"pvp",Inputs!$B$44&gt;0),(((R2788-1)*MIN((Skills!T13*(1+Inputs!$B$35/100)),(1/Q2788))+MIN((Skills!T13*(1+Inputs!$B$35/100)),MAX(0,Inputs!$B$44-((R2788-1)*(1/Q2788)))))/Inputs!$B$44),IF(Inputs!$B$39="pvp",MIN((Skills!T13*(1+Inputs!$B$35/100)),15)/15,MIN(1,(Skills!T13*(1+Inputs!$B$35/100))/(1/Q2788)))))+(IF(AND(ArtifactsInput!$M$35,Inputs!$B$4&lt;&gt;"Chapter Hunt"),CHOOSE(ArtifactsInput!$N$35+1,15,18,21,24,27,30)*(1-EXP(-(0.2*B2806)*5)),0)+IF(AND(ArtifactsInput!$M$22,Inputs!$B$4&lt;&gt;"Chapter Hunt"),CHOOSE(ArtifactsInput!$N$22+1,10,12,14,16,18,20)*((0*(((0.15*B2806*5))^0/1)+1*(((0.15*B2806*5))^1/1)+2*(((0.15*B2806*5))^2/2)+3*(((0.15*B2806*5))^3/6)+4*(((0.15*B2806*5))^4/24)+5*(((0.15*B2806*5))^5/120))/((((0.15*B2806*5))^0/1)+(((0.15*B2806*5))^1/1)+(((0.15*B2806*5))^2/2)+(((0.15*B2806*5))^3/6)+(((0.15*B2806*5))^4/24)+(((0.15*B2806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2784*(1-MIN(100,(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2784*(MIN(100,(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2784*(1-MIN(100,(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2784*(MIN(100,(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84">
        <f>IF(C2784,(H2784*N2784*IF(AND(Inputs!$B$39&lt;&gt;"pvp",Inputs!$B$44&gt;0),((Skills!G9*((R2784-1)*IF(Skills!H9&gt;0,INT(Skills!I9/Skills!H9+0.000000001),1)+IF(Skills!H9&gt;0,INT(MIN(Skills!I9,MAX(0,MAX(0,Inputs!$B$44-B2811)-((R2784-1)*IF(Inputs!$B$39="pvp",15,MAX(0.1,Skills!D9-IF(TRUE=TRUE,0.5,0))))))/Skills!H9+0.000000001),1)))/Inputs!$B$44),G2784*Q2784))*IF(Inputs!$B$39="pvp",1,(1+(Inputs!$B$22+Skills!Q9+((C2792=TRUE)*F2792*IF(AND(Inputs!$B$39&lt;&gt;"pvp",Inputs!$B$44&gt;0),(((R2792-1)*MIN((Skills!T17*(1+Inputs!$B$35/100)),(1/Q2792))+MIN((Skills!T17*(1+Inputs!$B$35/100)),MAX(0,Inputs!$B$44-((R2792-1)*(1/Q2792)))))/Inputs!$B$44),IF(Inputs!$B$39="pvp",MIN((Skills!T17*(1+Inputs!$B$35/100)),15)/15,MIN(1,(Skills!T17*(1+Inputs!$B$35/100))/(1/Q2792)))))+((C2780=TRUE)*IF(Inputs!$B$3&gt;=126,10*MIN(1,15*Q2780),0))+((C2789=TRUE)*IF(Inputs!$B$39="pvp",20,(1-Summary!$B$11)*(20)+Summary!$B$11*(0))*IF(AND(Inputs!$B$39&lt;&gt;"pvp",Inputs!$B$44&gt;0),(((R2789-1)*MIN((Skills!T14*(1+Inputs!$B$35/100)),(1/Q2789))+MIN((Skills!T14*(1+Inputs!$B$35/100)),MAX(0,Inputs!$B$44-((R2789-1)*(1/Q2789)))))/Inputs!$B$44),IF(Inputs!$B$39="pvp",MIN((Skills!T14*(1+Inputs!$B$35/100)),15)/15,MIN(1,(Skills!T14*(1+Inputs!$B$35/100))/(1/Q2789)))))+((C2788=TRUE)*IF(Inputs!$B$3&gt;=82,IF(Inputs!$B$39="pvp",20,(1-Summary!$B$11)*(20)+Summary!$B$11*(0)),0)*IF(AND(Inputs!$B$39&lt;&gt;"pvp",Inputs!$B$44&gt;0),(((R2788-1)*MIN((Skills!T13*(1+Inputs!$B$35/100)),(1/Q2788))+MIN((Skills!T13*(1+Inputs!$B$35/100)),MAX(0,Inputs!$B$44-((R2788-1)*(1/Q2788)))))/Inputs!$B$44),IF(Inputs!$B$39="pvp",MIN((Skills!T13*(1+Inputs!$B$35/100)),15)/15,MIN(1,(Skills!T13*(1+Inputs!$B$35/100))/(1/Q2788)))))+(IF(AND(ArtifactsInput!$M$35,Inputs!$B$4&lt;&gt;"Chapter Hunt"),CHOOSE(ArtifactsInput!$N$35+1,15,18,21,24,27,30)*(1-EXP(-(0.2*B2806)*5)),0)+IF(AND(ArtifactsInput!$M$22,Inputs!$B$4&lt;&gt;"Chapter Hunt"),CHOOSE(ArtifactsInput!$N$22+1,10,12,14,16,18,20)*((0*(((0.15*B2806*5))^0/1)+1*(((0.15*B2806*5))^1/1)+2*(((0.15*B2806*5))^2/2)+3*(((0.15*B2806*5))^3/6)+4*(((0.15*B2806*5))^4/24)+5*(((0.15*B2806*5))^5/120))/((((0.15*B2806*5))^0/1)+(((0.15*B2806*5))^1/1)+(((0.15*B2806*5))^2/2)+(((0.15*B2806*5))^3/6)+(((0.15*B2806*5))^4/24)+(((0.15*B2806*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85">
      <c r="A2785">
        <f>Skills!A10</f>
        <v/>
      </c>
      <c r="B2785">
        <f>Skills!B10</f>
        <v/>
      </c>
      <c r="C2785">
        <f>Inputs!$B$3&gt;=110</f>
        <v/>
      </c>
      <c r="D2785">
        <f>IF(Skills!C10=1,60+Inputs!$B$26+Inputs!$B$30,IF(Skills!C10=2,90+Inputs!$B$27+Inputs!$B$30,IF(Skills!C10=3,120+Inputs!$B$28+Inputs!$B$30,MAX(0,(Inputs!$B$3-100)*3)+Inputs!$B$29+Inputs!$B$30)))</f>
        <v/>
      </c>
      <c r="E2785">
        <f>INDEX(FactorTable!$B$2:$Y$301, MATCH(ROUND(MIN(300,MAX(1,D2785)),0), FactorTable!$A$2:$A$301,0), Skills!M10+1)</f>
        <v/>
      </c>
      <c r="F2785">
        <f>IF(Skills!N10=TRUE,(Skills!L10/10)*(E2785/1000),Skills!L10/10)+Skills!O10</f>
        <v/>
      </c>
      <c r="G2785">
        <f>Skills!G10*IF(Skills!H10&gt;0,INT(IF(Inputs!$B$39="pvp",MIN(Skills!I10,15),Skills!I10)/Skills!H10+0.000000001),1)</f>
        <v/>
      </c>
      <c r="H2785">
        <f>1-(1-Skills!J10/100)^Skills!K10</f>
        <v/>
      </c>
      <c r="I2785" t="inlineStr">
        <is>
          <t>1</t>
        </is>
      </c>
      <c r="J2785">
        <f>((Inputs!$B$6*(1+Inputs!$B$7/100))+(((Inputs!$B$13*(1+Inputs!$B$14/100))-(Inputs!$B$13*(1+Inputs!$B$14/100)))+0.25*(Inputs!$B$15-Inputs!$B$15))*(1+Inputs!$B$7/100))*(F2785/100)</f>
        <v/>
      </c>
      <c r="K2785">
        <f>J2785*(1+(((Inputs!$B$13+IF(Inputs!$B$3&gt;=38,(10*INDEX(FactorTable!$B$2:$Y$301, MATCH(ROUND(MIN(300,MAX(1,Inputs!$B$3)),0), FactorTable!$A$2:$A$301,0), 23)/1000)/100*(Inputs!$B$8*(1+Inputs!$B$9/100)),0))*(1+Inputs!$B$14/100))*0.01+Inputs!$B$15*0.0025)/100)*(1+Inputs!$B$16/100)*(1+Inputs!$B$17/100)*(5000/(6000+Inputs!$B$43*(1-(Inputs!$B$20+0)/100)))*(1+(Inputs!$B$25+((C2800=TRUE)*(F2800-Calc!F25))+((C2801=TRUE)*(F2801-Calc!F26))+B2810)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gt;=100),MIN(100,((Inputs!$B$10+0+B2804+(ArtifactsInput!$M$24-ArtifactsInput!$M$24)*CHOOSE(ArtifactsInput!$N$24+1,10,12,14,16,18,20)+IF(ArtifactsInput!$M$10,CHOOSE(ArtifactsInput!$N$10+1,15,18,21,24,27,30)*(IF(Inputs!$B$39="pvp",MIN(15,15)/15,IF(AND(Inputs!$B$39&lt;&gt;"pvp",Inputs!$B$44&gt;0),MIN(15,Inputs!$B$44)/(Inputs!$B$44),0))),0)))-100),0))*CHOOSE(ArtifactsInput!$N$42+1,0.6,0.72,0.84,0.96,1.08,1.2))),Inputs!$B$19+((C2798=TRUE)*(F2798-Calc!F23))+(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gt;=100),CHOOSE(ArtifactsInput!$N$42+1,40,48,56,64,72,80),0))))/100)*((1+(((C2788=TRUE)*F2788*IF(AND(Inputs!$B$39&lt;&gt;"pvp",Inputs!$B$44&gt;0),(((R2788-1)*MIN((Skills!T13*(1+Inputs!$B$35/100)),(1/Q2788))+MIN((Skills!T13*(1+Inputs!$B$35/100)),MAX(0,Inputs!$B$44-((R2788-1)*(1/Q2788)))))/Inputs!$B$44),IF(Inputs!$B$39="pvp",MIN((Skills!T13*(1+Inputs!$B$35/100)),15)/15,MIN(1,(Skills!T13*(1+Inputs!$B$35/100))/(1/Q2788)))))+((C2789=TRUE)*F2789*IF(AND(Inputs!$B$39&lt;&gt;"pvp",Inputs!$B$44&gt;0),(((R2789-1)*MIN((Skills!T14*(1+Inputs!$B$35/100)),(1/Q2789))+MIN((Skills!T14*(1+Inputs!$B$35/100)),MAX(0,Inputs!$B$44-((R2789-1)*(1/Q2789)))))/Inputs!$B$44),IF(Inputs!$B$39="pvp",MIN((Skills!T14*(1+Inputs!$B$35/100)),15)/15,MIN(1,(Skills!T14*(1+Inputs!$B$35/100))/(1/Q2789)))))+((C2790=TRUE)*F2790*IF(AND(Inputs!$B$39&lt;&gt;"pvp",Inputs!$B$44&gt;0),(((R2790-1)*MIN((Skills!T15*(1+Inputs!$B$35/100)),(1/Q2790))+MIN((Skills!T15*(1+Inputs!$B$35/100)),MAX(0,Inputs!$B$44-((R2790-1)*(1/Q2790)))))/Inputs!$B$44),IF(Inputs!$B$39="pvp",MIN((Skills!T15*(1+Inputs!$B$35/100)),15)/15,MIN(1,(Skills!T15*(1+Inputs!$B$35/100))/(1/Q2790)))))+((C2791=TRUE)*F2791*IF(AND(Inputs!$B$39&lt;&gt;"pvp",Inputs!$B$44&gt;0),(((R2791-1)*MIN((Skills!T16*(1+Inputs!$B$35/100)),(1/Q2791))+MIN((Skills!T16*(1+Inputs!$B$35/100)),MAX(0,Inputs!$B$44-((R2791-1)*(1/Q2791)))))/Inputs!$B$44),IF(Inputs!$B$39="pvp",MIN((Skills!T16*(1+Inputs!$B$35/100)),15)/15,MIN(1,(Skills!T16*(1+Inputs!$B$35/100))/(1/Q2791)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2785)</f>
        <v/>
      </c>
      <c r="L2785">
        <f>K2785*(MIN(Inputs!$B$23+((C2797=TRUE)*(F2797-Calc!F22)),(Inputs!$B$24+((C2799=TRUE)*(F2799-Calc!F24))+(IF(ArtifactsInput!$M$15,CHOOSE(ArtifactsInput!$N$15+1,25,30,35,40,45,50)/100*(Inputs!$B$12-Inputs!$B$12),0))))/100+(Inputs!$B$24+((C2799=TRUE)*(F2799-Calc!F24))+(IF(ArtifactsInput!$M$15,CHOOSE(ArtifactsInput!$N$15+1,25,30,35,40,45,50)/100*(Inputs!$B$12-Inputs!$B$12),0)))/100)/2</f>
        <v/>
      </c>
      <c r="M2785">
        <f>L2785*(1+(Inputs!$B$11+0+B2809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785">
        <f>L2785*(1-MIN((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2785*(MIN((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85">
        <f>(1-Summary!$B$11)*T2785+Summary!$B$11*V2785</f>
        <v/>
      </c>
      <c r="P2785">
        <f>IF(B2814=0,0,O2785/B2814)</f>
        <v/>
      </c>
      <c r="Q2785">
        <f>IFERROR(1/IF(Inputs!$B$39="pvp",15,MAX(0.1,Skills!D10-IF(TRUE=TRUE,0.5,0))),0)</f>
        <v/>
      </c>
      <c r="R2785">
        <f>IF(AND(Inputs!$B$39&lt;&gt;"pvp",Inputs!$B$44&gt;0),IF(MAX(0,Inputs!$B$44-B2811)&lt;=0,0,(INT(MAX(0,Inputs!$B$44-B2811)/IF(Inputs!$B$39="pvp",15,MAX(0.1,Skills!D10-IF(TRUE=TRUE,0.5,0))))+1)),0)</f>
        <v/>
      </c>
      <c r="S2785">
        <f>IFERROR(O2785/N2785,0)</f>
        <v/>
      </c>
      <c r="T2785">
        <f>IF(C2785,(H2785*N2785*IF(AND(Inputs!$B$39&lt;&gt;"pvp",Inputs!$B$44&gt;0),((Skills!G10*((R2785-1)*IF(Skills!H10&gt;0,INT(Skills!I10/Skills!H10+0.000000001),1)+IF(Skills!H10&gt;0,INT(MIN(Skills!I10,MAX(0,MAX(0,Inputs!$B$44-B2811)-((R2785-1)*IF(Inputs!$B$39="pvp",15,MAX(0.1,Skills!D10-IF(TRUE=TRUE,0.5,0))))))/Skills!H10+0.000000001),1)))/Inputs!$B$44),G2785*Q2785))*IF(Inputs!$B$39="pvp",1,1+(Inputs!$B$21+0+Skills!P10+((C2792=TRUE)*F2792*IF(AND(Inputs!$B$39&lt;&gt;"pvp",Inputs!$B$44&gt;0),(((R2792-1)*MIN((Skills!T17*(1+Inputs!$B$35/100)),(1/Q2792))+MIN((Skills!T17*(1+Inputs!$B$35/100)),MAX(0,Inputs!$B$44-((R2792-1)*(1/Q2792)))))/Inputs!$B$44),IF(Inputs!$B$39="pvp",MIN((Skills!T17*(1+Inputs!$B$35/100)),15)/15,MIN(1,(Skills!T17*(1+Inputs!$B$35/100))/(1/Q2792)))))+((C2780=TRUE)*IF(Inputs!$B$3&gt;=126,10*MIN(1,15*Q2780),0))+((C2789=TRUE)*IF(Inputs!$B$39="pvp",20,(1-Summary!$B$11)*(20)+Summary!$B$11*(0))*IF(AND(Inputs!$B$39&lt;&gt;"pvp",Inputs!$B$44&gt;0),(((R2789-1)*MIN((Skills!T14*(1+Inputs!$B$35/100)),(1/Q2789))+MIN((Skills!T14*(1+Inputs!$B$35/100)),MAX(0,Inputs!$B$44-((R2789-1)*(1/Q2789)))))/Inputs!$B$44),IF(Inputs!$B$39="pvp",MIN((Skills!T14*(1+Inputs!$B$35/100)),15)/15,MIN(1,(Skills!T14*(1+Inputs!$B$35/100))/(1/Q2789)))))+((C2788=TRUE)*IF(Inputs!$B$3&gt;=82,IF(Inputs!$B$39="pvp",20,(1-Summary!$B$11)*(20)+Summary!$B$11*(0)),0)*IF(AND(Inputs!$B$39&lt;&gt;"pvp",Inputs!$B$44&gt;0),(((R2788-1)*MIN((Skills!T13*(1+Inputs!$B$35/100)),(1/Q2788))+MIN((Skills!T13*(1+Inputs!$B$35/100)),MAX(0,Inputs!$B$44-((R2788-1)*(1/Q2788)))))/Inputs!$B$44),IF(Inputs!$B$39="pvp",MIN((Skills!T13*(1+Inputs!$B$35/100)),15)/15,MIN(1,(Skills!T13*(1+Inputs!$B$35/100))/(1/Q2788)))))+(IF(AND(ArtifactsInput!$M$35,Inputs!$B$4&lt;&gt;"Chapter Hunt"),CHOOSE(ArtifactsInput!$N$35+1,15,18,21,24,27,30)*(1-EXP(-(0.2*B2806)*5)),0)+IF(AND(ArtifactsInput!$M$22,Inputs!$B$4&lt;&gt;"Chapter Hunt"),CHOOSE(ArtifactsInput!$N$22+1,10,12,14,16,18,20)*((0*(((0.15*B2806*5))^0/1)+1*(((0.15*B2806*5))^1/1)+2*(((0.15*B2806*5))^2/2)+3*(((0.15*B2806*5))^3/6)+4*(((0.15*B2806*5))^4/24)+5*(((0.15*B2806*5))^5/120))/((((0.15*B2806*5))^0/1)+(((0.15*B2806*5))^1/1)+(((0.15*B2806*5))^2/2)+(((0.15*B2806*5))^3/6)+(((0.15*B2806*5))^4/24)+(((0.15*B2806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2785*(1-MIN(100,(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2785*(MIN(100,(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2785*(1-MIN(100,(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2785*(MIN(100,(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85">
        <f>IF(C2785,(H2785*N2785*IF(AND(Inputs!$B$39&lt;&gt;"pvp",Inputs!$B$44&gt;0),((Skills!G10*((R2785-1)*IF(Skills!H10&gt;0,INT(Skills!I10/Skills!H10+0.000000001),1)+IF(Skills!H10&gt;0,INT(MIN(Skills!I10,MAX(0,MAX(0,Inputs!$B$44-B2811)-((R2785-1)*IF(Inputs!$B$39="pvp",15,MAX(0.1,Skills!D10-IF(TRUE=TRUE,0.5,0))))))/Skills!H10+0.000000001),1)))/Inputs!$B$44),G2785*Q2785))*IF(Inputs!$B$39="pvp",1,(1+(Inputs!$B$22+Skills!Q10+((C2792=TRUE)*F2792*IF(AND(Inputs!$B$39&lt;&gt;"pvp",Inputs!$B$44&gt;0),(((R2792-1)*MIN((Skills!T17*(1+Inputs!$B$35/100)),(1/Q2792))+MIN((Skills!T17*(1+Inputs!$B$35/100)),MAX(0,Inputs!$B$44-((R2792-1)*(1/Q2792)))))/Inputs!$B$44),IF(Inputs!$B$39="pvp",MIN((Skills!T17*(1+Inputs!$B$35/100)),15)/15,MIN(1,(Skills!T17*(1+Inputs!$B$35/100))/(1/Q2792)))))+((C2780=TRUE)*IF(Inputs!$B$3&gt;=126,10*MIN(1,15*Q2780),0))+((C2789=TRUE)*IF(Inputs!$B$39="pvp",20,(1-Summary!$B$11)*(20)+Summary!$B$11*(0))*IF(AND(Inputs!$B$39&lt;&gt;"pvp",Inputs!$B$44&gt;0),(((R2789-1)*MIN((Skills!T14*(1+Inputs!$B$35/100)),(1/Q2789))+MIN((Skills!T14*(1+Inputs!$B$35/100)),MAX(0,Inputs!$B$44-((R2789-1)*(1/Q2789)))))/Inputs!$B$44),IF(Inputs!$B$39="pvp",MIN((Skills!T14*(1+Inputs!$B$35/100)),15)/15,MIN(1,(Skills!T14*(1+Inputs!$B$35/100))/(1/Q2789)))))+((C2788=TRUE)*IF(Inputs!$B$3&gt;=82,IF(Inputs!$B$39="pvp",20,(1-Summary!$B$11)*(20)+Summary!$B$11*(0)),0)*IF(AND(Inputs!$B$39&lt;&gt;"pvp",Inputs!$B$44&gt;0),(((R2788-1)*MIN((Skills!T13*(1+Inputs!$B$35/100)),(1/Q2788))+MIN((Skills!T13*(1+Inputs!$B$35/100)),MAX(0,Inputs!$B$44-((R2788-1)*(1/Q2788)))))/Inputs!$B$44),IF(Inputs!$B$39="pvp",MIN((Skills!T13*(1+Inputs!$B$35/100)),15)/15,MIN(1,(Skills!T13*(1+Inputs!$B$35/100))/(1/Q2788)))))+(IF(AND(ArtifactsInput!$M$35,Inputs!$B$4&lt;&gt;"Chapter Hunt"),CHOOSE(ArtifactsInput!$N$35+1,15,18,21,24,27,30)*(1-EXP(-(0.2*B2806)*5)),0)+IF(AND(ArtifactsInput!$M$22,Inputs!$B$4&lt;&gt;"Chapter Hunt"),CHOOSE(ArtifactsInput!$N$22+1,10,12,14,16,18,20)*((0*(((0.15*B2806*5))^0/1)+1*(((0.15*B2806*5))^1/1)+2*(((0.15*B2806*5))^2/2)+3*(((0.15*B2806*5))^3/6)+4*(((0.15*B2806*5))^4/24)+5*(((0.15*B2806*5))^5/120))/((((0.15*B2806*5))^0/1)+(((0.15*B2806*5))^1/1)+(((0.15*B2806*5))^2/2)+(((0.15*B2806*5))^3/6)+(((0.15*B2806*5))^4/24)+(((0.15*B2806*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86">
      <c r="A2786">
        <f>Skills!A11</f>
        <v/>
      </c>
      <c r="B2786">
        <f>Skills!B11</f>
        <v/>
      </c>
      <c r="C2786">
        <f>Inputs!$B$3&gt;=100</f>
        <v/>
      </c>
      <c r="D2786">
        <f>IF(Skills!C11=1,60+Inputs!$B$26+Inputs!$B$30,IF(Skills!C11=2,90+Inputs!$B$27+Inputs!$B$30,IF(Skills!C11=3,120+Inputs!$B$28+Inputs!$B$30,MAX(0,(Inputs!$B$3-100)*3)+Inputs!$B$29+Inputs!$B$30)))</f>
        <v/>
      </c>
      <c r="E2786">
        <f>INDEX(FactorTable!$B$2:$Y$301, MATCH(ROUND(MIN(300,MAX(1,D2786)),0), FactorTable!$A$2:$A$301,0), Skills!M11+1)</f>
        <v/>
      </c>
      <c r="F2786">
        <f>IF(Skills!N11=TRUE,(Skills!L11/10)*(E2786/1000),Skills!L11/10)+Skills!O11</f>
        <v/>
      </c>
      <c r="G2786" t="inlineStr"/>
      <c r="H2786" t="inlineStr"/>
      <c r="I2786" t="inlineStr">
        <is>
          <t>1</t>
        </is>
      </c>
      <c r="J2786" t="inlineStr"/>
      <c r="K2786" t="inlineStr"/>
      <c r="L2786" t="inlineStr"/>
      <c r="M2786" t="inlineStr"/>
      <c r="N2786" t="inlineStr"/>
      <c r="O2786" t="inlineStr"/>
      <c r="P2786" t="inlineStr"/>
      <c r="Q2786" t="inlineStr"/>
      <c r="R2786" t="inlineStr"/>
      <c r="S2786" t="inlineStr"/>
    </row>
    <row r="2787">
      <c r="A2787">
        <f>Skills!A12</f>
        <v/>
      </c>
      <c r="B2787">
        <f>Skills!B12</f>
        <v/>
      </c>
      <c r="C2787">
        <f>Inputs!$B$3&gt;=63</f>
        <v/>
      </c>
      <c r="D2787">
        <f>IF(Skills!C12=1,60+Inputs!$B$26+Inputs!$B$30,IF(Skills!C12=2,90+Inputs!$B$27+Inputs!$B$30,IF(Skills!C12=3,120+Inputs!$B$28+Inputs!$B$30,MAX(0,(Inputs!$B$3-100)*3)+Inputs!$B$29+Inputs!$B$30)))</f>
        <v/>
      </c>
      <c r="E2787">
        <f>INDEX(FactorTable!$B$2:$Y$301, MATCH(ROUND(MIN(300,MAX(1,D2787)),0), FactorTable!$A$2:$A$301,0), Skills!M12+1)</f>
        <v/>
      </c>
      <c r="F2787">
        <f>IF(Skills!N12=TRUE,(Skills!L12/10)*(E2787/1000),Skills!L12/10)+Skills!O12</f>
        <v/>
      </c>
      <c r="G2787">
        <f>Skills!G12*IF(Skills!H12&gt;0,INT(IF(Inputs!$B$39="pvp",MIN(Skills!I12,15),Skills!I12)/Skills!H12+0.000000001),1)</f>
        <v/>
      </c>
      <c r="H2787">
        <f>1-(1-Skills!J12/100)^Skills!K12</f>
        <v/>
      </c>
      <c r="I2787" t="inlineStr">
        <is>
          <t>1</t>
        </is>
      </c>
      <c r="J2787">
        <f>((Inputs!$B$6*(1+Inputs!$B$7/100))+(((Inputs!$B$13*(1+Inputs!$B$14/100))-(Inputs!$B$13*(1+Inputs!$B$14/100)))+0.25*(Inputs!$B$15-Inputs!$B$15))*(1+Inputs!$B$7/100))*(F2787/100)</f>
        <v/>
      </c>
      <c r="K2787">
        <f>J2787*(1+(((Inputs!$B$13+IF(Inputs!$B$3&gt;=38,(10*INDEX(FactorTable!$B$2:$Y$301, MATCH(ROUND(MIN(300,MAX(1,Inputs!$B$3)),0), FactorTable!$A$2:$A$301,0), 23)/1000)/100*(Inputs!$B$8*(1+Inputs!$B$9/100)),0))*(1+Inputs!$B$14/100))*0.01+Inputs!$B$15*0.0025)/100)*(1+Inputs!$B$16/100)*(1+Inputs!$B$17/100)*(5000/(6000+Inputs!$B$43*(1-(Inputs!$B$20+0)/100)))*(1+(Inputs!$B$25+((C2800=TRUE)*(F2800-Calc!F25))+((C2801=TRUE)*(F2801-Calc!F26))+B2810)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2786=TRUE,F2786,0)/100)*(1+(IF(Skills!A12="DARK_IMPALE",Inputs!$B$18+0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gt;=100),MIN(100,((Inputs!$B$10+0+B2804+(ArtifactsInput!$M$24-ArtifactsInput!$M$24)*CHOOSE(ArtifactsInput!$N$24+1,10,12,14,16,18,20)+IF(ArtifactsInput!$M$10,CHOOSE(ArtifactsInput!$N$10+1,15,18,21,24,27,30)*(IF(Inputs!$B$39="pvp",MIN(15,15)/15,IF(AND(Inputs!$B$39&lt;&gt;"pvp",Inputs!$B$44&gt;0),MIN(15,Inputs!$B$44)/(Inputs!$B$44),0))),0)))-100),0))*CHOOSE(ArtifactsInput!$N$42+1,0.6,0.72,0.84,0.96,1.08,1.2))),Inputs!$B$19+((C2798=TRUE)*(F2798-Calc!F23))+(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gt;=100),CHOOSE(ArtifactsInput!$N$42+1,40,48,56,64,72,80),0))))/100)*((1+(((C2788=TRUE)*F2788*IF(AND(Inputs!$B$39&lt;&gt;"pvp",Inputs!$B$44&gt;0),(((R2788-1)*MIN((Skills!T13*(1+Inputs!$B$35/100)),(1/Q2788))+MIN((Skills!T13*(1+Inputs!$B$35/100)),MAX(0,Inputs!$B$44-((R2788-1)*(1/Q2788)))))/Inputs!$B$44),IF(Inputs!$B$39="pvp",MIN((Skills!T13*(1+Inputs!$B$35/100)),15)/15,MIN(1,(Skills!T13*(1+Inputs!$B$35/100))/(1/Q2788)))))+((C2789=TRUE)*F2789*IF(AND(Inputs!$B$39&lt;&gt;"pvp",Inputs!$B$44&gt;0),(((R2789-1)*MIN((Skills!T14*(1+Inputs!$B$35/100)),(1/Q2789))+MIN((Skills!T14*(1+Inputs!$B$35/100)),MAX(0,Inputs!$B$44-((R2789-1)*(1/Q2789)))))/Inputs!$B$44),IF(Inputs!$B$39="pvp",MIN((Skills!T14*(1+Inputs!$B$35/100)),15)/15,MIN(1,(Skills!T14*(1+Inputs!$B$35/100))/(1/Q2789)))))+((C2790=TRUE)*F2790*IF(AND(Inputs!$B$39&lt;&gt;"pvp",Inputs!$B$44&gt;0),(((R2790-1)*MIN((Skills!T15*(1+Inputs!$B$35/100)),(1/Q2790))+MIN((Skills!T15*(1+Inputs!$B$35/100)),MAX(0,Inputs!$B$44-((R2790-1)*(1/Q2790)))))/Inputs!$B$44),IF(Inputs!$B$39="pvp",MIN((Skills!T15*(1+Inputs!$B$35/100)),15)/15,MIN(1,(Skills!T15*(1+Inputs!$B$35/100))/(1/Q2790)))))+((C2791=TRUE)*F2791*IF(AND(Inputs!$B$39&lt;&gt;"pvp",Inputs!$B$44&gt;0),(((R2791-1)*MIN((Skills!T16*(1+Inputs!$B$35/100)),(1/Q2791))+MIN((Skills!T16*(1+Inputs!$B$35/100)),MAX(0,Inputs!$B$44-((R2791-1)*(1/Q2791)))))/Inputs!$B$44),IF(Inputs!$B$39="pvp",MIN((Skills!T16*(1+Inputs!$B$35/100)),15)/15,MIN(1,(Skills!T16*(1+Inputs!$B$35/100))/(1/Q2791)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2787)</f>
        <v/>
      </c>
      <c r="L2787">
        <f>K2787*(MIN(Inputs!$B$23+((C2797=TRUE)*(F2797-Calc!F22)),(Inputs!$B$24+((C2799=TRUE)*(F2799-Calc!F24))+(IF(ArtifactsInput!$M$15,CHOOSE(ArtifactsInput!$N$15+1,25,30,35,40,45,50)/100*(Inputs!$B$12-Inputs!$B$12),0))))/100+(Inputs!$B$24+((C2799=TRUE)*(F2799-Calc!F24))+(IF(ArtifactsInput!$M$15,CHOOSE(ArtifactsInput!$N$15+1,25,30,35,40,45,50)/100*(Inputs!$B$12-Inputs!$B$12),0)))/100)/2</f>
        <v/>
      </c>
      <c r="M2787">
        <f>L2787*(1+(Inputs!$B$11+0+B2809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787">
        <f>L2787*(1-MIN((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2787*(MIN((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87">
        <f>(1-Summary!$B$11)*T2787+Summary!$B$11*V2787</f>
        <v/>
      </c>
      <c r="P2787">
        <f>IF(B2814=0,0,O2787/B2814)</f>
        <v/>
      </c>
      <c r="Q2787">
        <f>IFERROR(1/IF(Inputs!$B$39="pvp",15,MAX(0.1,Skills!D12-IF(TRUE=TRUE,0.5,0))),0)</f>
        <v/>
      </c>
      <c r="R2787">
        <f>IF(AND(Inputs!$B$39&lt;&gt;"pvp",Inputs!$B$44&gt;0),IF(MAX(0,Inputs!$B$44-B2811)&lt;=0,0,(INT(MAX(0,Inputs!$B$44-B2811)/IF(Inputs!$B$39="pvp",15,MAX(0.1,Skills!D12-IF(TRUE=TRUE,0.5,0))))+1)),0)</f>
        <v/>
      </c>
      <c r="S2787">
        <f>IFERROR(O2787/N2787,0)</f>
        <v/>
      </c>
      <c r="T2787">
        <f>IF(C2787,(H2787*N2787*IF(AND(Inputs!$B$39&lt;&gt;"pvp",Inputs!$B$44&gt;0),((Skills!G12*((R2787-1)*IF(Skills!H12&gt;0,INT(Skills!I12/Skills!H12+0.000000001),1)+IF(Skills!H12&gt;0,INT(MIN(Skills!I12,MAX(0,MAX(0,Inputs!$B$44-B2811)-((R2787-1)*IF(Inputs!$B$39="pvp",15,MAX(0.1,Skills!D12-IF(TRUE=TRUE,0.5,0))))))/Skills!H12+0.000000001),1)))/Inputs!$B$44),G2787*Q2787))*IF(Inputs!$B$39="pvp",1,1+(Inputs!$B$21+0+Skills!P12+((C2792=TRUE)*F2792*IF(AND(Inputs!$B$39&lt;&gt;"pvp",Inputs!$B$44&gt;0),(((R2792-1)*MIN((Skills!T17*(1+Inputs!$B$35/100)),(1/Q2792))+MIN((Skills!T17*(1+Inputs!$B$35/100)),MAX(0,Inputs!$B$44-((R2792-1)*(1/Q2792)))))/Inputs!$B$44),IF(Inputs!$B$39="pvp",MIN((Skills!T17*(1+Inputs!$B$35/100)),15)/15,MIN(1,(Skills!T17*(1+Inputs!$B$35/100))/(1/Q2792)))))+((C2780=TRUE)*IF(Inputs!$B$3&gt;=126,10*MIN(1,15*Q2780),0))+((C2789=TRUE)*IF(Inputs!$B$39="pvp",20,(1-Summary!$B$11)*(20)+Summary!$B$11*(0))*IF(AND(Inputs!$B$39&lt;&gt;"pvp",Inputs!$B$44&gt;0),(((R2789-1)*MIN((Skills!T14*(1+Inputs!$B$35/100)),(1/Q2789))+MIN((Skills!T14*(1+Inputs!$B$35/100)),MAX(0,Inputs!$B$44-((R2789-1)*(1/Q2789)))))/Inputs!$B$44),IF(Inputs!$B$39="pvp",MIN((Skills!T14*(1+Inputs!$B$35/100)),15)/15,MIN(1,(Skills!T14*(1+Inputs!$B$35/100))/(1/Q2789)))))+((C2788=TRUE)*IF(Inputs!$B$3&gt;=82,IF(Inputs!$B$39="pvp",20,(1-Summary!$B$11)*(20)+Summary!$B$11*(0)),0)*IF(AND(Inputs!$B$39&lt;&gt;"pvp",Inputs!$B$44&gt;0),(((R2788-1)*MIN((Skills!T13*(1+Inputs!$B$35/100)),(1/Q2788))+MIN((Skills!T13*(1+Inputs!$B$35/100)),MAX(0,Inputs!$B$44-((R2788-1)*(1/Q2788)))))/Inputs!$B$44),IF(Inputs!$B$39="pvp",MIN((Skills!T13*(1+Inputs!$B$35/100)),15)/15,MIN(1,(Skills!T13*(1+Inputs!$B$35/100))/(1/Q2788)))))+(IF(AND(ArtifactsInput!$M$35,Inputs!$B$4&lt;&gt;"Chapter Hunt"),CHOOSE(ArtifactsInput!$N$35+1,15,18,21,24,27,30)*(1-EXP(-(0.2*B2806)*5)),0)+IF(AND(ArtifactsInput!$M$22,Inputs!$B$4&lt;&gt;"Chapter Hunt"),CHOOSE(ArtifactsInput!$N$22+1,10,12,14,16,18,20)*((0*(((0.15*B2806*5))^0/1)+1*(((0.15*B2806*5))^1/1)+2*(((0.15*B2806*5))^2/2)+3*(((0.15*B2806*5))^3/6)+4*(((0.15*B2806*5))^4/24)+5*(((0.15*B2806*5))^5/120))/((((0.15*B2806*5))^0/1)+(((0.15*B2806*5))^1/1)+(((0.15*B2806*5))^2/2)+(((0.15*B2806*5))^3/6)+(((0.15*B2806*5))^4/24)+(((0.15*B2806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2787*(1-MIN(100,(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2787*(MIN(100,(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2787*(1-MIN(100,(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2787*(MIN(100,(Inputs!$B$10+0+B2804+(ArtifactsInput!$M$24-ArtifactsInput!$M$24)*CHOOSE(ArtifactsInput!$N$24+1,10,12,14,16,18,20)+(IF(AND(Inputs!$B$39&lt;&gt;"pvp",Inputs!$B$44=0),1,IF(IF(Inputs!$B$39="pvp",15,Inputs!$B$44)-(B2811)&lt;=0,1,MAX(0,IF(Inputs!$B$39="pvp",15,Inputs!$B$44)-MAX(5,B2811))/(IF(Inputs!$B$39="pvp",15,Inputs!$B$44)-(B2811))))*IF(AND(ArtifactsInput!$M$42,((Inputs!$B$10+0+B2804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787">
        <f>IF(C2787,(H2787*N2787*IF(AND(Inputs!$B$39&lt;&gt;"pvp",Inputs!$B$44&gt;0),((Skills!G12*((R2787-1)*IF(Skills!H12&gt;0,INT(Skills!I12/Skills!H12+0.000000001),1)+IF(Skills!H12&gt;0,INT(MIN(Skills!I12,MAX(0,MAX(0,Inputs!$B$44-B2811)-((R2787-1)*IF(Inputs!$B$39="pvp",15,MAX(0.1,Skills!D12-IF(TRUE=TRUE,0.5,0))))))/Skills!H12+0.000000001),1)))/Inputs!$B$44),G2787*Q2787))*IF(Inputs!$B$39="pvp",1,(1+(Inputs!$B$22+Skills!Q12+((C2792=TRUE)*F2792*IF(AND(Inputs!$B$39&lt;&gt;"pvp",Inputs!$B$44&gt;0),(((R2792-1)*MIN((Skills!T17*(1+Inputs!$B$35/100)),(1/Q2792))+MIN((Skills!T17*(1+Inputs!$B$35/100)),MAX(0,Inputs!$B$44-((R2792-1)*(1/Q2792)))))/Inputs!$B$44),IF(Inputs!$B$39="pvp",MIN((Skills!T17*(1+Inputs!$B$35/100)),15)/15,MIN(1,(Skills!T17*(1+Inputs!$B$35/100))/(1/Q2792)))))+((C2780=TRUE)*IF(Inputs!$B$3&gt;=126,10*MIN(1,15*Q2780),0))+((C2789=TRUE)*IF(Inputs!$B$39="pvp",20,(1-Summary!$B$11)*(20)+Summary!$B$11*(0))*IF(AND(Inputs!$B$39&lt;&gt;"pvp",Inputs!$B$44&gt;0),(((R2789-1)*MIN((Skills!T14*(1+Inputs!$B$35/100)),(1/Q2789))+MIN((Skills!T14*(1+Inputs!$B$35/100)),MAX(0,Inputs!$B$44-((R2789-1)*(1/Q2789)))))/Inputs!$B$44),IF(Inputs!$B$39="pvp",MIN((Skills!T14*(1+Inputs!$B$35/100)),15)/15,MIN(1,(Skills!T14*(1+Inputs!$B$35/100))/(1/Q2789)))))+((C2788=TRUE)*IF(Inputs!$B$3&gt;=82,IF(Inputs!$B$39="pvp",20,(1-Summary!$B$11)*(20)+Summary!$B$11*(0)),0)*IF(AND(Inputs!$B$39&lt;&gt;"pvp",Inputs!$B$44&gt;0),(((R2788-1)*MIN((Skills!T13*(1+Inputs!$B$35/100)),(1/Q2788))+MIN((Skills!T13*(1+Inputs!$B$35/100)),MAX(0,Inputs!$B$44-((R2788-1)*(1/Q2788)))))/Inputs!$B$44),IF(Inputs!$B$39="pvp",MIN((Skills!T13*(1+Inputs!$B$35/100)),15)/15,MIN(1,(Skills!T13*(1+Inputs!$B$35/100))/(1/Q2788)))))+(IF(AND(ArtifactsInput!$M$35,Inputs!$B$4&lt;&gt;"Chapter Hunt"),CHOOSE(ArtifactsInput!$N$35+1,15,18,21,24,27,30)*(1-EXP(-(0.2*B2806)*5)),0)+IF(AND(ArtifactsInput!$M$22,Inputs!$B$4&lt;&gt;"Chapter Hunt"),CHOOSE(ArtifactsInput!$N$22+1,10,12,14,16,18,20)*((0*(((0.15*B2806*5))^0/1)+1*(((0.15*B2806*5))^1/1)+2*(((0.15*B2806*5))^2/2)+3*(((0.15*B2806*5))^3/6)+4*(((0.15*B2806*5))^4/24)+5*(((0.15*B2806*5))^5/120))/((((0.15*B2806*5))^0/1)+(((0.15*B2806*5))^1/1)+(((0.15*B2806*5))^2/2)+(((0.15*B2806*5))^3/6)+(((0.15*B2806*5))^4/24)+(((0.15*B2806*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88">
      <c r="A2788">
        <f>Skills!A13</f>
        <v/>
      </c>
      <c r="B2788">
        <f>Skills!B13</f>
        <v/>
      </c>
      <c r="C2788">
        <f>Inputs!$B$3&gt;=69</f>
        <v/>
      </c>
      <c r="D2788">
        <f>IF(Skills!C13=1,60+Inputs!$B$26+Inputs!$B$30,IF(Skills!C13=2,90+Inputs!$B$27+Inputs!$B$30,IF(Skills!C13=3,120+Inputs!$B$28+Inputs!$B$30,MAX(0,(Inputs!$B$3-100)*3)+Inputs!$B$29+Inputs!$B$30)))</f>
        <v/>
      </c>
      <c r="E2788">
        <f>INDEX(FactorTable!$B$2:$Y$301, MATCH(ROUND(MIN(300,MAX(1,D2788)),0), FactorTable!$A$2:$A$301,0), Skills!M13+1)</f>
        <v/>
      </c>
      <c r="F2788">
        <f>IF(Skills!N13=TRUE,(Skills!L13/10)*(E2788/1000),Skills!L13/10)+Skills!O13</f>
        <v/>
      </c>
      <c r="G2788">
        <f>Skills!G13*IF(Skills!H13&gt;0,INT(IF(Inputs!$B$39="pvp",MIN(Skills!I13,15),Skills!I13)/Skills!H13+0.000000001),1)</f>
        <v/>
      </c>
      <c r="H2788">
        <f>1-(1-Skills!J13/100)^Skills!K13</f>
        <v/>
      </c>
      <c r="I2788" t="inlineStr">
        <is>
          <t>1</t>
        </is>
      </c>
      <c r="J2788" t="inlineStr"/>
      <c r="K2788" t="inlineStr"/>
      <c r="L2788" t="inlineStr"/>
      <c r="M2788" t="inlineStr"/>
      <c r="N2788" t="inlineStr"/>
      <c r="O2788">
        <f>(1-Summary!$B$11)*T2788+Summary!$B$11*V2788</f>
        <v/>
      </c>
      <c r="P2788">
        <f>IF(B2814=0,0,O2788/B2814)</f>
        <v/>
      </c>
      <c r="Q2788">
        <f>IFERROR(1/IF(Inputs!$B$39="pvp",15,MAX(0.1,Skills!D13-IF(TRUE=TRUE,0.5,0))),0)</f>
        <v/>
      </c>
      <c r="R2788">
        <f>IF(AND(Inputs!$B$39&lt;&gt;"pvp",Inputs!$B$44&gt;0),IF(Inputs!$B$44&lt;=0,0,(INT(Inputs!$B$44/IF(Inputs!$B$39="pvp",15,MAX(0.1,Skills!D13-IF(TRUE=TRUE,0.5,0))))+1)),0)</f>
        <v/>
      </c>
      <c r="S2788">
        <f>IFERROR(O2788/N2788,0)</f>
        <v/>
      </c>
      <c r="T2788" t="n">
        <v>0</v>
      </c>
      <c r="V2788" t="n">
        <v>0</v>
      </c>
    </row>
    <row r="2789">
      <c r="A2789">
        <f>Skills!A14</f>
        <v/>
      </c>
      <c r="B2789">
        <f>Skills!B14</f>
        <v/>
      </c>
      <c r="C2789">
        <f>Inputs!$B$3&gt;=115</f>
        <v/>
      </c>
      <c r="D2789">
        <f>IF(Skills!C14=1,60+Inputs!$B$26+Inputs!$B$30,IF(Skills!C14=2,90+Inputs!$B$27+Inputs!$B$30,IF(Skills!C14=3,120+Inputs!$B$28+Inputs!$B$30,MAX(0,(Inputs!$B$3-100)*3)+Inputs!$B$29+Inputs!$B$30)))</f>
        <v/>
      </c>
      <c r="E2789">
        <f>INDEX(FactorTable!$B$2:$Y$301, MATCH(ROUND(MIN(300,MAX(1,D2789)),0), FactorTable!$A$2:$A$301,0), Skills!M14+1)</f>
        <v/>
      </c>
      <c r="F2789">
        <f>IF(Skills!N14=TRUE,(Skills!L14/10)*(E2789/1000),Skills!L14/10)+Skills!O14</f>
        <v/>
      </c>
      <c r="G2789">
        <f>Skills!G14*IF(Skills!H14&gt;0,INT(IF(Inputs!$B$39="pvp",MIN(Skills!I14,15),Skills!I14)/Skills!H14+0.000000001),1)</f>
        <v/>
      </c>
      <c r="H2789">
        <f>1-(1-Skills!J14/100)^Skills!K14</f>
        <v/>
      </c>
      <c r="I2789" t="inlineStr">
        <is>
          <t>1</t>
        </is>
      </c>
      <c r="J2789" t="inlineStr"/>
      <c r="K2789" t="inlineStr"/>
      <c r="L2789" t="inlineStr"/>
      <c r="M2789" t="inlineStr"/>
      <c r="N2789" t="inlineStr"/>
      <c r="O2789">
        <f>(1-Summary!$B$11)*T2789+Summary!$B$11*V2789</f>
        <v/>
      </c>
      <c r="P2789">
        <f>IF(B2814=0,0,O2789/B2814)</f>
        <v/>
      </c>
      <c r="Q2789">
        <f>IFERROR(1/IF(Inputs!$B$39="pvp",15,MAX(0.1,Skills!D14-IF(TRUE=TRUE,0.5,0))),0)</f>
        <v/>
      </c>
      <c r="R2789">
        <f>IF(AND(Inputs!$B$39&lt;&gt;"pvp",Inputs!$B$44&gt;0),IF(Inputs!$B$44&lt;=0,0,(INT(Inputs!$B$44/IF(Inputs!$B$39="pvp",15,MAX(0.1,Skills!D14-IF(TRUE=TRUE,0.5,0))))+1)),0)</f>
        <v/>
      </c>
      <c r="S2789">
        <f>IFERROR(O2789/N2789,0)</f>
        <v/>
      </c>
      <c r="T2789" t="n">
        <v>0</v>
      </c>
      <c r="V2789" t="n">
        <v>0</v>
      </c>
    </row>
    <row r="2790">
      <c r="A2790">
        <f>Skills!A15</f>
        <v/>
      </c>
      <c r="B2790">
        <f>Skills!B15</f>
        <v/>
      </c>
      <c r="C2790">
        <f>Inputs!$B$3&gt;=66</f>
        <v/>
      </c>
      <c r="D2790">
        <f>IF(Skills!C15=1,60+Inputs!$B$26+Inputs!$B$30,IF(Skills!C15=2,90+Inputs!$B$27+Inputs!$B$30,IF(Skills!C15=3,120+Inputs!$B$28+Inputs!$B$30,MAX(0,(Inputs!$B$3-100)*3)+Inputs!$B$29+Inputs!$B$30)))</f>
        <v/>
      </c>
      <c r="E2790">
        <f>INDEX(FactorTable!$B$2:$Y$301, MATCH(ROUND(MIN(300,MAX(1,D2790)),0), FactorTable!$A$2:$A$301,0), Skills!M15+1)</f>
        <v/>
      </c>
      <c r="F2790">
        <f>IF(Skills!N15=TRUE,(Skills!L15/10)*(E2790/1000),Skills!L15/10)+Skills!O15</f>
        <v/>
      </c>
      <c r="G2790">
        <f>Skills!G15*IF(Skills!H15&gt;0,INT(IF(Inputs!$B$39="pvp",MIN(Skills!I15,15),Skills!I15)/Skills!H15+0.000000001),1)</f>
        <v/>
      </c>
      <c r="H2790">
        <f>1-(1-Skills!J15/100)^Skills!K15</f>
        <v/>
      </c>
      <c r="I2790" t="inlineStr">
        <is>
          <t>1</t>
        </is>
      </c>
      <c r="J2790" t="inlineStr"/>
      <c r="K2790" t="inlineStr"/>
      <c r="L2790" t="inlineStr"/>
      <c r="M2790" t="inlineStr"/>
      <c r="N2790" t="inlineStr"/>
      <c r="O2790">
        <f>(1-Summary!$B$11)*T2790+Summary!$B$11*V2790</f>
        <v/>
      </c>
      <c r="P2790">
        <f>IF(B2814=0,0,O2790/B2814)</f>
        <v/>
      </c>
      <c r="Q2790">
        <f>IFERROR(1/IF(Inputs!$B$39="pvp",15,MAX(0.1,Skills!D15-IF(TRUE=TRUE,0.5,0))),0)</f>
        <v/>
      </c>
      <c r="R2790">
        <f>IF(AND(Inputs!$B$39&lt;&gt;"pvp",Inputs!$B$44&gt;0),IF(Inputs!$B$44&lt;=0,0,(INT(Inputs!$B$44/IF(Inputs!$B$39="pvp",15,MAX(0.1,Skills!D15-IF(TRUE=TRUE,0.5,0))))+1)),0)</f>
        <v/>
      </c>
      <c r="S2790">
        <f>IFERROR(O2790/N2790,0)</f>
        <v/>
      </c>
      <c r="T2790" t="n">
        <v>0</v>
      </c>
      <c r="V2790" t="n">
        <v>0</v>
      </c>
    </row>
    <row r="2791">
      <c r="A2791">
        <f>Skills!A16</f>
        <v/>
      </c>
      <c r="B2791">
        <f>Skills!B16</f>
        <v/>
      </c>
      <c r="C2791">
        <f>Inputs!$B$3&gt;=45</f>
        <v/>
      </c>
      <c r="D2791">
        <f>IF(Skills!C16=1,60+Inputs!$B$26+Inputs!$B$30,IF(Skills!C16=2,90+Inputs!$B$27+Inputs!$B$30,IF(Skills!C16=3,120+Inputs!$B$28+Inputs!$B$30,MAX(0,(Inputs!$B$3-100)*3)+Inputs!$B$29+Inputs!$B$30)))</f>
        <v/>
      </c>
      <c r="E2791">
        <f>INDEX(FactorTable!$B$2:$Y$301, MATCH(ROUND(MIN(300,MAX(1,D2791)),0), FactorTable!$A$2:$A$301,0), Skills!M16+1)</f>
        <v/>
      </c>
      <c r="F2791">
        <f>IF(Skills!N16=TRUE,(Skills!L16/10)*(E2791/1000),Skills!L16/10)+Skills!O16</f>
        <v/>
      </c>
      <c r="G2791">
        <f>Skills!G16*IF(Skills!H16&gt;0,INT(IF(Inputs!$B$39="pvp",MIN(Skills!I16,15),Skills!I16)/Skills!H16+0.000000001),1)</f>
        <v/>
      </c>
      <c r="H2791">
        <f>1-(1-Skills!J16/100)^Skills!K16</f>
        <v/>
      </c>
      <c r="I2791" t="inlineStr">
        <is>
          <t>1</t>
        </is>
      </c>
      <c r="J2791" t="inlineStr"/>
      <c r="K2791" t="inlineStr"/>
      <c r="L2791" t="inlineStr"/>
      <c r="M2791" t="inlineStr"/>
      <c r="N2791" t="inlineStr"/>
      <c r="O2791">
        <f>(1-Summary!$B$11)*T2791+Summary!$B$11*V2791</f>
        <v/>
      </c>
      <c r="P2791">
        <f>IF(B2814=0,0,O2791/B2814)</f>
        <v/>
      </c>
      <c r="Q2791">
        <f>IFERROR(1/IF(Inputs!$B$39="pvp",15,MAX(0.1,Skills!D16-IF(TRUE=TRUE,0.5,0))),0)</f>
        <v/>
      </c>
      <c r="R2791">
        <f>IF(AND(Inputs!$B$39&lt;&gt;"pvp",Inputs!$B$44&gt;0),IF(Inputs!$B$44&lt;=0,0,(INT(Inputs!$B$44/IF(Inputs!$B$39="pvp",15,MAX(0.1,Skills!D16-IF(TRUE=TRUE,0.5,0))))+1)),0)</f>
        <v/>
      </c>
      <c r="S2791">
        <f>IFERROR(O2791/N2791,0)</f>
        <v/>
      </c>
      <c r="T2791" t="n">
        <v>0</v>
      </c>
      <c r="V2791" t="n">
        <v>0</v>
      </c>
    </row>
    <row r="2792">
      <c r="A2792">
        <f>Skills!A17</f>
        <v/>
      </c>
      <c r="B2792">
        <f>Skills!B17</f>
        <v/>
      </c>
      <c r="C2792">
        <f>Inputs!$B$3&gt;=35</f>
        <v/>
      </c>
      <c r="D2792">
        <f>IF(Skills!C17=1,60+Inputs!$B$26+Inputs!$B$30,IF(Skills!C17=2,90+Inputs!$B$27+Inputs!$B$30,IF(Skills!C17=3,120+Inputs!$B$28+Inputs!$B$30,MAX(0,(Inputs!$B$3-100)*3)+Inputs!$B$29+Inputs!$B$30)))</f>
        <v/>
      </c>
      <c r="E2792">
        <f>INDEX(FactorTable!$B$2:$Y$301, MATCH(ROUND(MIN(300,MAX(1,D2792)),0), FactorTable!$A$2:$A$301,0), Skills!M17+1)</f>
        <v/>
      </c>
      <c r="F2792">
        <f>IF(Skills!N17=TRUE,(Skills!L17/10)*(E2792/1000),Skills!L17/10)+Skills!O17</f>
        <v/>
      </c>
      <c r="G2792">
        <f>Skills!G17*IF(Skills!H17&gt;0,INT(IF(Inputs!$B$39="pvp",MIN(Skills!I17,15),Skills!I17)/Skills!H17+0.000000001),1)</f>
        <v/>
      </c>
      <c r="H2792">
        <f>1-(1-Skills!J17/100)^Skills!K17</f>
        <v/>
      </c>
      <c r="I2792" t="inlineStr">
        <is>
          <t>1</t>
        </is>
      </c>
      <c r="J2792" t="inlineStr"/>
      <c r="K2792" t="inlineStr"/>
      <c r="L2792" t="inlineStr"/>
      <c r="M2792" t="inlineStr"/>
      <c r="N2792" t="inlineStr"/>
      <c r="O2792">
        <f>(1-Summary!$B$11)*T2792+Summary!$B$11*V2792</f>
        <v/>
      </c>
      <c r="P2792">
        <f>IF(B2814=0,0,O2792/B2814)</f>
        <v/>
      </c>
      <c r="Q2792">
        <f>IFERROR(1/IF(Inputs!$B$39="pvp",15,MAX(0.1,Skills!D17-IF(TRUE=TRUE,0.5,0))),0)</f>
        <v/>
      </c>
      <c r="R2792">
        <f>IF(AND(Inputs!$B$39&lt;&gt;"pvp",Inputs!$B$44&gt;0),IF(Inputs!$B$44&lt;=0,0,(INT(Inputs!$B$44/IF(Inputs!$B$39="pvp",15,MAX(0.1,Skills!D17-IF(TRUE=TRUE,0.5,0))))+1)),0)</f>
        <v/>
      </c>
      <c r="S2792">
        <f>IFERROR(O2792/N2792,0)</f>
        <v/>
      </c>
      <c r="T2792" t="n">
        <v>0</v>
      </c>
      <c r="V2792" t="n">
        <v>0</v>
      </c>
    </row>
    <row r="2793">
      <c r="A2793">
        <f>Skills!A18</f>
        <v/>
      </c>
      <c r="B2793">
        <f>Skills!B18</f>
        <v/>
      </c>
      <c r="C2793">
        <f>Inputs!$B$3&gt;=72</f>
        <v/>
      </c>
      <c r="D2793">
        <f>IF(Skills!C18=1,60+Inputs!$B$26+Inputs!$B$30,IF(Skills!C18=2,90+Inputs!$B$27+Inputs!$B$30,IF(Skills!C18=3,120+Inputs!$B$28+Inputs!$B$30,MAX(0,(Inputs!$B$3-100)*3)+Inputs!$B$29+Inputs!$B$30)))</f>
        <v/>
      </c>
      <c r="E2793">
        <f>INDEX(FactorTable!$B$2:$Y$301, MATCH(ROUND(MIN(300,MAX(1,D2793)),0), FactorTable!$A$2:$A$301,0), Skills!M18+1)</f>
        <v/>
      </c>
      <c r="F2793">
        <f>IF(Skills!N18=TRUE,(Skills!L18/10)*(E2793/1000),Skills!L18/10)+Skills!O18</f>
        <v/>
      </c>
      <c r="G2793">
        <f>Skills!G18*IF(Skills!H18&gt;0,INT(IF(Inputs!$B$39="pvp",MIN(Skills!I18,15),Skills!I18)/Skills!H18+0.000000001),1)</f>
        <v/>
      </c>
      <c r="H2793">
        <f>1-(1-Skills!J18/100)^Skills!K18</f>
        <v/>
      </c>
      <c r="I2793" t="inlineStr">
        <is>
          <t>1</t>
        </is>
      </c>
      <c r="J2793" t="inlineStr"/>
      <c r="K2793" t="inlineStr"/>
      <c r="L2793" t="inlineStr"/>
      <c r="M2793" t="inlineStr"/>
      <c r="N2793" t="inlineStr"/>
      <c r="O2793">
        <f>(1-Summary!$B$11)*T2793+Summary!$B$11*V2793</f>
        <v/>
      </c>
      <c r="P2793">
        <f>IF(B2814=0,0,O2793/B2814)</f>
        <v/>
      </c>
      <c r="Q2793">
        <f>IFERROR(1/IF(Inputs!$B$39="pvp",15,MAX(0.1,Skills!D18-IF(TRUE=TRUE,0.5,0))),0)</f>
        <v/>
      </c>
      <c r="R2793">
        <f>IF(AND(Inputs!$B$39&lt;&gt;"pvp",Inputs!$B$44&gt;0),IF(Inputs!$B$44&lt;=0,0,(INT(Inputs!$B$44/IF(Inputs!$B$39="pvp",15,MAX(0.1,Skills!D18-IF(TRUE=TRUE,0.5,0))))+1)),0)</f>
        <v/>
      </c>
      <c r="S2793">
        <f>IFERROR(O2793/N2793,0)</f>
        <v/>
      </c>
      <c r="T2793" t="n">
        <v>0</v>
      </c>
      <c r="V2793" t="n">
        <v>0</v>
      </c>
    </row>
    <row r="2794">
      <c r="A2794">
        <f>Skills!A19</f>
        <v/>
      </c>
      <c r="B2794">
        <f>Skills!B19</f>
        <v/>
      </c>
      <c r="C2794">
        <f>Inputs!$B$3&gt;=72</f>
        <v/>
      </c>
      <c r="D2794">
        <f>IF(Skills!C19=1,60+Inputs!$B$26+Inputs!$B$30,IF(Skills!C19=2,90+Inputs!$B$27+Inputs!$B$30,IF(Skills!C19=3,120+Inputs!$B$28+Inputs!$B$30,MAX(0,(Inputs!$B$3-100)*3)+Inputs!$B$29+Inputs!$B$30)))</f>
        <v/>
      </c>
      <c r="E2794">
        <f>INDEX(FactorTable!$B$2:$Y$301, MATCH(ROUND(MIN(300,MAX(1,D2794)),0), FactorTable!$A$2:$A$301,0), Skills!M19+1)</f>
        <v/>
      </c>
      <c r="F2794">
        <f>IF(Skills!N19=TRUE,(Skills!L19/10)*(E2794/1000),Skills!L19/10)+Skills!O19</f>
        <v/>
      </c>
      <c r="G2794">
        <f>Skills!G19*IF(Skills!H19&gt;0,INT(IF(Inputs!$B$39="pvp",MIN(Skills!I19,15),Skills!I19)/Skills!H19+0.000000001),1)</f>
        <v/>
      </c>
      <c r="H2794">
        <f>1-(1-Skills!J19/100)^Skills!K19</f>
        <v/>
      </c>
      <c r="I2794" t="inlineStr">
        <is>
          <t>1</t>
        </is>
      </c>
      <c r="J2794" t="inlineStr"/>
      <c r="K2794" t="inlineStr"/>
      <c r="L2794" t="inlineStr"/>
      <c r="M2794" t="inlineStr"/>
      <c r="N2794" t="inlineStr"/>
      <c r="O2794">
        <f>(1-Summary!$B$11)*T2794+Summary!$B$11*V2794</f>
        <v/>
      </c>
      <c r="P2794">
        <f>IF(B2814=0,0,O2794/B2814)</f>
        <v/>
      </c>
      <c r="Q2794">
        <f>IFERROR(1/IF(Inputs!$B$39="pvp",15,MAX(0.1,Skills!D19-IF(TRUE=TRUE,0.5,0))),0)</f>
        <v/>
      </c>
      <c r="R2794">
        <f>IF(AND(Inputs!$B$39&lt;&gt;"pvp",Inputs!$B$44&gt;0),IF(Inputs!$B$44&lt;=0,0,(INT(Inputs!$B$44/IF(Inputs!$B$39="pvp",15,MAX(0.1,Skills!D19-IF(TRUE=TRUE,0.5,0))))+1)),0)</f>
        <v/>
      </c>
      <c r="S2794">
        <f>IFERROR(O2794/N2794,0)</f>
        <v/>
      </c>
      <c r="T2794" t="n">
        <v>0</v>
      </c>
      <c r="V2794" t="n">
        <v>0</v>
      </c>
    </row>
    <row r="2795">
      <c r="A2795">
        <f>Skills!A20</f>
        <v/>
      </c>
      <c r="B2795">
        <f>Skills!B20</f>
        <v/>
      </c>
      <c r="C2795">
        <f>TRUE</f>
        <v/>
      </c>
      <c r="D2795">
        <f>IF(Skills!C20=1,60+Inputs!$B$26+Inputs!$B$30,IF(Skills!C20=2,90+Inputs!$B$27+Inputs!$B$30,IF(Skills!C20=3,120+Inputs!$B$28+Inputs!$B$30,MAX(0,(Inputs!$B$3-100)*3)+Inputs!$B$29+Inputs!$B$30)))</f>
        <v/>
      </c>
      <c r="E2795">
        <f>INDEX(FactorTable!$B$2:$Y$301, MATCH(ROUND(MIN(300,MAX(1,D2795)),0), FactorTable!$A$2:$A$301,0), Skills!M20+1)</f>
        <v/>
      </c>
      <c r="F2795">
        <f>IF(Skills!N20=TRUE,(Skills!L20/10)*(E2795/1000),Skills!L20/10)+Skills!O20</f>
        <v/>
      </c>
      <c r="G2795">
        <f>Skills!G20*IF(Skills!H20&gt;0,INT(IF(Inputs!$B$39="pvp",MIN(Skills!I20,15),Skills!I20)/Skills!H20+0.000000001),1)</f>
        <v/>
      </c>
      <c r="H2795">
        <f>1-(1-Skills!J20/100)^Skills!K20</f>
        <v/>
      </c>
      <c r="I2795" t="inlineStr">
        <is>
          <t>1</t>
        </is>
      </c>
      <c r="J2795" t="inlineStr"/>
      <c r="K2795" t="inlineStr"/>
      <c r="L2795" t="inlineStr"/>
      <c r="M2795" t="inlineStr"/>
      <c r="N2795" t="inlineStr"/>
      <c r="O2795">
        <f>(1-Summary!$B$11)*T2795+Summary!$B$11*V2795</f>
        <v/>
      </c>
      <c r="P2795">
        <f>IF(B2814=0,0,O2795/B2814)</f>
        <v/>
      </c>
      <c r="Q2795">
        <f>IFERROR(1/IF(Inputs!$B$39="pvp",15,MAX(0.1,Skills!D20-IF(TRUE=TRUE,0.5,0))),0)</f>
        <v/>
      </c>
      <c r="R2795">
        <f>IF(AND(Inputs!$B$39&lt;&gt;"pvp",Inputs!$B$44&gt;0),IF(Inputs!$B$44&lt;=0,0,(INT(Inputs!$B$44/IF(Inputs!$B$39="pvp",15,MAX(0.1,Skills!D20-IF(TRUE=TRUE,0.5,0))))+1)),0)</f>
        <v/>
      </c>
      <c r="S2795">
        <f>IFERROR(O2795/N2795,0)</f>
        <v/>
      </c>
      <c r="T2795" t="n">
        <v>0</v>
      </c>
      <c r="V2795" t="n">
        <v>0</v>
      </c>
    </row>
    <row r="2796">
      <c r="A2796">
        <f>Skills!A21</f>
        <v/>
      </c>
      <c r="B2796">
        <f>Skills!B21</f>
        <v/>
      </c>
      <c r="C2796">
        <f>Inputs!$B$3&gt;=33</f>
        <v/>
      </c>
      <c r="D2796">
        <f>IF(Skills!C21=1,60+Inputs!$B$26+Inputs!$B$30,IF(Skills!C21=2,90+Inputs!$B$27+Inputs!$B$30,IF(Skills!C21=3,120+Inputs!$B$28+Inputs!$B$30,MAX(0,(Inputs!$B$3-100)*3)+Inputs!$B$29+Inputs!$B$30)))</f>
        <v/>
      </c>
      <c r="E2796">
        <f>INDEX(FactorTable!$B$2:$Y$301, MATCH(ROUND(MIN(300,MAX(1,D2796)),0), FactorTable!$A$2:$A$301,0), Skills!M21+1)</f>
        <v/>
      </c>
      <c r="F2796">
        <f>IF(Skills!N21=TRUE,(Skills!L21/10)*(E2796/1000),Skills!L21/10)+Skills!O21</f>
        <v/>
      </c>
      <c r="G2796">
        <f>Skills!G21*IF(Skills!H21&gt;0,INT(IF(Inputs!$B$39="pvp",MIN(Skills!I21,15),Skills!I21)/Skills!H21+0.000000001),1)</f>
        <v/>
      </c>
      <c r="H2796">
        <f>1-(1-Skills!J21/100)^Skills!K21</f>
        <v/>
      </c>
      <c r="I2796" t="inlineStr">
        <is>
          <t>1</t>
        </is>
      </c>
      <c r="J2796" t="inlineStr"/>
      <c r="K2796" t="inlineStr"/>
      <c r="L2796" t="inlineStr"/>
      <c r="M2796" t="inlineStr"/>
      <c r="N2796" t="inlineStr"/>
      <c r="O2796">
        <f>(1-Summary!$B$11)*T2796+Summary!$B$11*V2796</f>
        <v/>
      </c>
      <c r="P2796">
        <f>IF(B2814=0,0,O2796/B2814)</f>
        <v/>
      </c>
      <c r="Q2796" t="n">
        <v>0</v>
      </c>
      <c r="R2796" t="n">
        <v>0</v>
      </c>
      <c r="S2796">
        <f>IFERROR(O2796/N2796,0)</f>
        <v/>
      </c>
      <c r="T2796" t="n">
        <v>0</v>
      </c>
      <c r="V2796" t="n">
        <v>0</v>
      </c>
    </row>
    <row r="2797">
      <c r="A2797">
        <f>Skills!A22</f>
        <v/>
      </c>
      <c r="B2797">
        <f>Skills!B22</f>
        <v/>
      </c>
      <c r="C2797">
        <f>Inputs!$B$3&gt;=43</f>
        <v/>
      </c>
      <c r="D2797">
        <f>IF(Skills!C22=1,60+Inputs!$B$26+Inputs!$B$30,IF(Skills!C22=2,90+Inputs!$B$27+Inputs!$B$30,IF(Skills!C22=3,120+Inputs!$B$28+Inputs!$B$30,MAX(0,(Inputs!$B$3-100)*3)+Inputs!$B$29+Inputs!$B$30)))</f>
        <v/>
      </c>
      <c r="E2797">
        <f>INDEX(FactorTable!$B$2:$Y$301, MATCH(ROUND(MIN(300,MAX(1,D2797)),0), FactorTable!$A$2:$A$301,0), Skills!M22+1)</f>
        <v/>
      </c>
      <c r="F2797">
        <f>IF(Skills!N22=TRUE,(Skills!L22/10)*(E2797/1000),Skills!L22/10)+Skills!O22</f>
        <v/>
      </c>
      <c r="G2797">
        <f>Skills!G22*IF(Skills!H22&gt;0,INT(IF(Inputs!$B$39="pvp",MIN(Skills!I22,15),Skills!I22)/Skills!H22+0.000000001),1)</f>
        <v/>
      </c>
      <c r="H2797">
        <f>1-(1-Skills!J22/100)^Skills!K22</f>
        <v/>
      </c>
      <c r="I2797" t="inlineStr">
        <is>
          <t>1</t>
        </is>
      </c>
      <c r="J2797" t="inlineStr"/>
      <c r="K2797" t="inlineStr"/>
      <c r="L2797" t="inlineStr"/>
      <c r="M2797" t="inlineStr"/>
      <c r="N2797" t="inlineStr"/>
      <c r="O2797">
        <f>(1-Summary!$B$11)*T2797+Summary!$B$11*V2797</f>
        <v/>
      </c>
      <c r="P2797">
        <f>IF(B2814=0,0,O2797/B2814)</f>
        <v/>
      </c>
      <c r="Q2797" t="n">
        <v>0</v>
      </c>
      <c r="R2797" t="n">
        <v>0</v>
      </c>
      <c r="S2797">
        <f>IFERROR(O2797/N2797,0)</f>
        <v/>
      </c>
      <c r="T2797" t="n">
        <v>0</v>
      </c>
      <c r="V2797" t="n">
        <v>0</v>
      </c>
    </row>
    <row r="2798">
      <c r="A2798">
        <f>Skills!A23</f>
        <v/>
      </c>
      <c r="B2798">
        <f>Skills!B23</f>
        <v/>
      </c>
      <c r="C2798">
        <f>Inputs!$B$3&gt;=120</f>
        <v/>
      </c>
      <c r="D2798">
        <f>IF(Skills!C23=1,60+Inputs!$B$26+Inputs!$B$30,IF(Skills!C23=2,90+Inputs!$B$27+Inputs!$B$30,IF(Skills!C23=3,120+Inputs!$B$28+Inputs!$B$30,MAX(0,(Inputs!$B$3-100)*3)+Inputs!$B$29+Inputs!$B$30)))</f>
        <v/>
      </c>
      <c r="E2798">
        <f>INDEX(FactorTable!$B$2:$Y$301, MATCH(ROUND(MIN(300,MAX(1,D2798)),0), FactorTable!$A$2:$A$301,0), Skills!M23+1)</f>
        <v/>
      </c>
      <c r="F2798">
        <f>IF(Skills!N23=TRUE,(Skills!L23/10)*(E2798/1000),Skills!L23/10)+Skills!O23</f>
        <v/>
      </c>
      <c r="G2798">
        <f>Skills!G23*IF(Skills!H23&gt;0,INT(IF(Inputs!$B$39="pvp",MIN(Skills!I23,15),Skills!I23)/Skills!H23+0.000000001),1)</f>
        <v/>
      </c>
      <c r="H2798">
        <f>1-(1-Skills!J23/100)^Skills!K23</f>
        <v/>
      </c>
      <c r="I2798" t="inlineStr">
        <is>
          <t>1</t>
        </is>
      </c>
      <c r="J2798" t="inlineStr"/>
      <c r="K2798" t="inlineStr"/>
      <c r="L2798" t="inlineStr"/>
      <c r="M2798" t="inlineStr"/>
      <c r="N2798" t="inlineStr"/>
      <c r="O2798">
        <f>(1-Summary!$B$11)*T2798+Summary!$B$11*V2798</f>
        <v/>
      </c>
      <c r="P2798">
        <f>IF(B2814=0,0,O2798/B2814)</f>
        <v/>
      </c>
      <c r="Q2798" t="n">
        <v>0</v>
      </c>
      <c r="R2798" t="n">
        <v>0</v>
      </c>
      <c r="S2798">
        <f>IFERROR(O2798/N2798,0)</f>
        <v/>
      </c>
      <c r="T2798" t="n">
        <v>0</v>
      </c>
      <c r="V2798" t="n">
        <v>0</v>
      </c>
    </row>
    <row r="2799">
      <c r="A2799">
        <f>Skills!A24</f>
        <v/>
      </c>
      <c r="B2799">
        <f>Skills!B24</f>
        <v/>
      </c>
      <c r="C2799">
        <f>Inputs!$B$3&gt;=120</f>
        <v/>
      </c>
      <c r="D2799">
        <f>IF(Skills!C24=1,60+Inputs!$B$26+Inputs!$B$30,IF(Skills!C24=2,90+Inputs!$B$27+Inputs!$B$30,IF(Skills!C24=3,120+Inputs!$B$28+Inputs!$B$30,MAX(0,(Inputs!$B$3-100)*3)+Inputs!$B$29+Inputs!$B$30)))</f>
        <v/>
      </c>
      <c r="E2799">
        <f>INDEX(FactorTable!$B$2:$Y$301, MATCH(ROUND(MIN(300,MAX(1,D2799)),0), FactorTable!$A$2:$A$301,0), Skills!M24+1)</f>
        <v/>
      </c>
      <c r="F2799">
        <f>IF(Skills!N24=TRUE,(Skills!L24/10)*(E2799/1000),Skills!L24/10)+Skills!O24</f>
        <v/>
      </c>
      <c r="G2799">
        <f>Skills!G24*IF(Skills!H24&gt;0,INT(IF(Inputs!$B$39="pvp",MIN(Skills!I24,15),Skills!I24)/Skills!H24+0.000000001),1)</f>
        <v/>
      </c>
      <c r="H2799">
        <f>1-(1-Skills!J24/100)^Skills!K24</f>
        <v/>
      </c>
      <c r="I2799" t="inlineStr">
        <is>
          <t>1</t>
        </is>
      </c>
      <c r="J2799" t="inlineStr"/>
      <c r="K2799" t="inlineStr"/>
      <c r="L2799" t="inlineStr"/>
      <c r="M2799" t="inlineStr"/>
      <c r="N2799" t="inlineStr"/>
      <c r="O2799">
        <f>(1-Summary!$B$11)*T2799+Summary!$B$11*V2799</f>
        <v/>
      </c>
      <c r="P2799">
        <f>IF(B2814=0,0,O2799/B2814)</f>
        <v/>
      </c>
      <c r="Q2799" t="n">
        <v>0</v>
      </c>
      <c r="R2799" t="n">
        <v>0</v>
      </c>
      <c r="S2799">
        <f>IFERROR(O2799/N2799,0)</f>
        <v/>
      </c>
      <c r="T2799" t="n">
        <v>0</v>
      </c>
      <c r="V2799" t="n">
        <v>0</v>
      </c>
    </row>
    <row r="2800">
      <c r="A2800">
        <f>Skills!A25</f>
        <v/>
      </c>
      <c r="B2800">
        <f>Skills!B25</f>
        <v/>
      </c>
      <c r="C2800">
        <f>Inputs!$B$3&gt;=125</f>
        <v/>
      </c>
      <c r="D2800">
        <f>IF(Skills!C25=1,60+Inputs!$B$26+Inputs!$B$30,IF(Skills!C25=2,90+Inputs!$B$27+Inputs!$B$30,IF(Skills!C25=3,120+Inputs!$B$28+Inputs!$B$30,MAX(0,(Inputs!$B$3-100)*3)+Inputs!$B$29+Inputs!$B$30)))</f>
        <v/>
      </c>
      <c r="E2800">
        <f>INDEX(FactorTable!$B$2:$Y$301, MATCH(ROUND(MIN(300,MAX(1,D2800)),0), FactorTable!$A$2:$A$301,0), Skills!M25+1)</f>
        <v/>
      </c>
      <c r="F2800">
        <f>IF(Skills!N25=TRUE,(Skills!L25/10)*(E2800/1000),Skills!L25/10)+Skills!O25</f>
        <v/>
      </c>
      <c r="G2800">
        <f>Skills!G25*IF(Skills!H25&gt;0,INT(IF(Inputs!$B$39="pvp",MIN(Skills!I25,15),Skills!I25)/Skills!H25+0.000000001),1)</f>
        <v/>
      </c>
      <c r="H2800">
        <f>1-(1-Skills!J25/100)^Skills!K25</f>
        <v/>
      </c>
      <c r="I2800" t="inlineStr">
        <is>
          <t>1</t>
        </is>
      </c>
      <c r="J2800" t="inlineStr"/>
      <c r="K2800" t="inlineStr"/>
      <c r="L2800" t="inlineStr"/>
      <c r="M2800" t="inlineStr"/>
      <c r="N2800" t="inlineStr"/>
      <c r="O2800">
        <f>(1-Summary!$B$11)*T2800+Summary!$B$11*V2800</f>
        <v/>
      </c>
      <c r="P2800">
        <f>IF(B2814=0,0,O2800/B2814)</f>
        <v/>
      </c>
      <c r="Q2800" t="n">
        <v>0</v>
      </c>
      <c r="R2800" t="n">
        <v>0</v>
      </c>
      <c r="S2800">
        <f>IFERROR(O2800/N2800,0)</f>
        <v/>
      </c>
      <c r="T2800" t="n">
        <v>0</v>
      </c>
      <c r="V2800" t="n">
        <v>0</v>
      </c>
    </row>
    <row r="2801">
      <c r="A2801">
        <f>Skills!A26</f>
        <v/>
      </c>
      <c r="B2801">
        <f>Skills!B26</f>
        <v/>
      </c>
      <c r="C2801">
        <f>Inputs!$B$3&gt;=107</f>
        <v/>
      </c>
      <c r="D2801">
        <f>IF(Skills!C26=1,60+Inputs!$B$26+Inputs!$B$30,IF(Skills!C26=2,90+Inputs!$B$27+Inputs!$B$30,IF(Skills!C26=3,120+Inputs!$B$28+Inputs!$B$30,MAX(0,(Inputs!$B$3-100)*3)+Inputs!$B$29+Inputs!$B$30)))</f>
        <v/>
      </c>
      <c r="E2801">
        <f>INDEX(FactorTable!$B$2:$Y$301, MATCH(ROUND(MIN(300,MAX(1,D2801)),0), FactorTable!$A$2:$A$301,0), Skills!M26+1)</f>
        <v/>
      </c>
      <c r="F2801">
        <f>IF(Skills!N26=TRUE,(Skills!L26/10)*(E2801/1000),Skills!L26/10)+Skills!O26</f>
        <v/>
      </c>
      <c r="G2801">
        <f>Skills!G26*IF(Skills!H26&gt;0,INT(IF(Inputs!$B$39="pvp",MIN(Skills!I26,15),Skills!I26)/Skills!H26+0.000000001),1)</f>
        <v/>
      </c>
      <c r="H2801">
        <f>1-(1-Skills!J26/100)^Skills!K26</f>
        <v/>
      </c>
      <c r="I2801" t="inlineStr">
        <is>
          <t>1</t>
        </is>
      </c>
      <c r="J2801" t="inlineStr"/>
      <c r="K2801" t="inlineStr"/>
      <c r="L2801" t="inlineStr"/>
      <c r="M2801" t="inlineStr"/>
      <c r="N2801" t="inlineStr"/>
      <c r="O2801">
        <f>(1-Summary!$B$11)*T2801+Summary!$B$11*V2801</f>
        <v/>
      </c>
      <c r="P2801">
        <f>IF(B2814=0,0,O2801/B2814)</f>
        <v/>
      </c>
      <c r="Q2801" t="n">
        <v>0</v>
      </c>
      <c r="R2801" t="n">
        <v>0</v>
      </c>
      <c r="S2801">
        <f>IFERROR(O2801/N2801,0)</f>
        <v/>
      </c>
      <c r="T2801" t="n">
        <v>0</v>
      </c>
      <c r="V2801" t="n">
        <v>0</v>
      </c>
    </row>
    <row r="2803">
      <c r="A2803" t="inlineStr">
        <is>
          <t>Attack% Bucket Multiplier</t>
        </is>
      </c>
      <c r="B2803">
        <f>(1+(((C2788=TRUE)*F2788*IF(AND(Inputs!$B$39&lt;&gt;"pvp",Inputs!$B$44&gt;0),(((R2788-1)*MIN((Skills!T13*(1+Inputs!$B$35/100)),(1/Q2788))+MIN((Skills!T13*(1+Inputs!$B$35/100)),MAX(0,Inputs!$B$44-((R2788-1)*(1/Q2788)))))/Inputs!$B$44),IF(Inputs!$B$39="pvp",MIN((Skills!T13*(1+Inputs!$B$35/100)),15)/15,MIN(1,(Skills!T13*(1+Inputs!$B$35/100))/(1/Q2788)))))+((C2789=TRUE)*F2789*IF(AND(Inputs!$B$39&lt;&gt;"pvp",Inputs!$B$44&gt;0),(((R2789-1)*MIN((Skills!T14*(1+Inputs!$B$35/100)),(1/Q2789))+MIN((Skills!T14*(1+Inputs!$B$35/100)),MAX(0,Inputs!$B$44-((R2789-1)*(1/Q2789)))))/Inputs!$B$44),IF(Inputs!$B$39="pvp",MIN((Skills!T14*(1+Inputs!$B$35/100)),15)/15,MIN(1,(Skills!T14*(1+Inputs!$B$35/100))/(1/Q2789)))))+((C2790=TRUE)*F2790*IF(AND(Inputs!$B$39&lt;&gt;"pvp",Inputs!$B$44&gt;0),(((R2790-1)*MIN((Skills!T15*(1+Inputs!$B$35/100)),(1/Q2790))+MIN((Skills!T15*(1+Inputs!$B$35/100)),MAX(0,Inputs!$B$44-((R2790-1)*(1/Q2790)))))/Inputs!$B$44),IF(Inputs!$B$39="pvp",MIN((Skills!T15*(1+Inputs!$B$35/100)),15)/15,MIN(1,(Skills!T15*(1+Inputs!$B$35/100))/(1/Q2790)))))+((C2791=TRUE)*F2791*IF(AND(Inputs!$B$39&lt;&gt;"pvp",Inputs!$B$44&gt;0),(((R2791-1)*MIN((Skills!T16*(1+Inputs!$B$35/100)),(1/Q2791))+MIN((Skills!T16*(1+Inputs!$B$35/100)),MAX(0,Inputs!$B$44-((R2791-1)*(1/Q2791)))))/Inputs!$B$44),IF(Inputs!$B$39="pvp",MIN((Skills!T16*(1+Inputs!$B$35/100)),15)/15,MIN(1,(Skills!T16*(1+Inputs!$B$35/100))/(1/Q2791)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2804">
      <c r="A2804" t="inlineStr">
        <is>
          <t>Global Crit Rate Bonus % (Lord of Darkness)</t>
        </is>
      </c>
      <c r="B2804">
        <f>((C2793=TRUE)*F2793*(Skills!J18/100)*IF(AND(Inputs!$B$39&lt;&gt;"pvp",Inputs!$B$44&gt;0),(((R2793-1)*MIN((Skills!T18*(1+Inputs!$B$35/100)),(1/Q2793))+MIN((Skills!T18*(1+Inputs!$B$35/100)),MAX(0,Inputs!$B$44-((R2793-1)*(1/Q2793)))))/Inputs!$B$44),IF(Inputs!$B$39="pvp",MIN((Skills!T18*(1+Inputs!$B$35/100)),15)/15,MIN(1,(Skills!T18*(1+Inputs!$B$35/100))/(1/Q2793)))))</f>
        <v/>
      </c>
    </row>
    <row r="2805">
      <c r="A2805" t="inlineStr">
        <is>
          <t>Attack Speed Buff Bonus %</t>
        </is>
      </c>
      <c r="B2805">
        <f>((C2795=TRUE)*F2795*IF(AND(Inputs!$B$39&lt;&gt;"pvp",Inputs!$B$44&gt;0),(((R2795-1)*MIN((Skills!T20*(1+Inputs!$B$35/100)),(1/Q2795))+MIN((Skills!T20*(1+Inputs!$B$35/100)),MAX(0,Inputs!$B$44-((R2795-1)*(1/Q2795)))))/Inputs!$B$44),IF(Inputs!$B$39="pvp",MIN((Skills!T20*(1+Inputs!$B$35/100)),15)/15,MIN(1,(Skills!T20*(1+Inputs!$B$35/100))/(1/Q2795)))))</f>
        <v/>
      </c>
    </row>
    <row r="2806">
      <c r="A2806" t="inlineStr">
        <is>
          <t>Actions Per Second</t>
        </is>
      </c>
      <c r="B2806">
        <f>1+MIN(150,150*(1-(1-(Inputs!$B$12+((C2796=TRUE)*(F2796-Calc!F21)))/150)*(1-B2805/150)))/100</f>
        <v/>
      </c>
    </row>
    <row r="2807">
      <c r="A2807" t="inlineStr">
        <is>
          <t>Skill + Buff Cast Rate</t>
        </is>
      </c>
      <c r="B2807">
        <f>IF(AND(Inputs!$B$39&lt;&gt;"pvp",Inputs!$B$44&gt;0),SUMPRODUCT((Skills!E2:E26=TRUE)*(C2777:C2801=TRUE)*R2777:R2801*Skills!F2:F26)/Inputs!$B$44,SUMPRODUCT((Skills!E2:E26=TRUE)*(C2777:C2801=TRUE)*Q2777:Q2801*Skills!F2:F26))</f>
        <v/>
      </c>
    </row>
    <row r="2808">
      <c r="A2808" t="inlineStr">
        <is>
          <t>Dark Impale Casts Per Second</t>
        </is>
      </c>
      <c r="B2808">
        <f>MAX(0,B2806-B2807)</f>
        <v/>
      </c>
    </row>
    <row r="2809">
      <c r="A2809" t="inlineStr">
        <is>
          <t>Global Critical Damage Bonus % (Lord of Darkness)</t>
        </is>
      </c>
      <c r="B2809">
        <f>((C2794=TRUE)*F2794*(Skills!J19/100)*IF(AND(Inputs!$B$39&lt;&gt;"pvp",Inputs!$B$44&gt;0),(((R2794-1)*MIN((Skills!T19*(1+Inputs!$B$35/100)),(1/Q2794))+MIN((Skills!T19*(1+Inputs!$B$35/100)),MAX(0,Inputs!$B$44-((R2794-1)*(1/Q2794)))))/Inputs!$B$44),IF(Inputs!$B$39="pvp",MIN((Skills!T19*(1+Inputs!$B$35/100)),15)/15,MIN(1,(Skills!T19*(1+Inputs!$B$35/100))/(1/Q2794)))))</f>
        <v/>
      </c>
    </row>
    <row r="2810">
      <c r="A2810" t="inlineStr">
        <is>
          <t>Global Final Damage Bonus % (unused)</t>
        </is>
      </c>
      <c r="B2810" t="n">
        <v>0</v>
      </c>
    </row>
    <row r="2811">
      <c r="A2811" t="inlineStr">
        <is>
          <t>Buff-Casting Startup Delay (s, fixed-duration only)</t>
        </is>
      </c>
      <c r="B2811">
        <f>IF(AND(Inputs!$B$39&lt;&gt;"pvp",Inputs!$B$44&gt;0),SUMPRODUCT((Skills!T2:T26&gt;0)*(Skills!E2:E26=TRUE)*(C2777:C2801=TRUE))/B2806,0)</f>
        <v/>
      </c>
    </row>
    <row r="2812">
      <c r="A2812" t="inlineStr">
        <is>
          <t>Boss-Only Total DPS (this block's swept value)</t>
        </is>
      </c>
      <c r="B2812">
        <f>SUM(T2777:T2801)</f>
        <v/>
      </c>
    </row>
    <row r="2813">
      <c r="A2813" t="inlineStr">
        <is>
          <t>Normal-Only Total DPS (this block's swept value)</t>
        </is>
      </c>
      <c r="B2813">
        <f>SUM(V2777:V2801)</f>
        <v/>
      </c>
    </row>
    <row r="2814">
      <c r="A2814" s="6" t="inlineStr">
        <is>
          <t>TOTAL DPS</t>
        </is>
      </c>
      <c r="B2814" s="6">
        <f>SUM(O2777:O2801)</f>
        <v/>
      </c>
    </row>
    <row r="2817">
      <c r="A2817" s="6" t="inlineStr">
        <is>
          <t>Stat: CDR = 1.0s</t>
        </is>
      </c>
    </row>
    <row r="2818">
      <c r="A2818" s="5" t="inlineStr">
        <is>
          <t>Key</t>
        </is>
      </c>
      <c r="B2818" s="5" t="inlineStr">
        <is>
          <t>Name</t>
        </is>
      </c>
      <c r="C2818" s="5" t="inlineStr">
        <is>
          <t>Unlocked</t>
        </is>
      </c>
      <c r="D2818" s="5" t="inlineStr">
        <is>
          <t>InputLevel</t>
        </is>
      </c>
      <c r="E2818" s="5" t="inlineStr">
        <is>
          <t>Factor</t>
        </is>
      </c>
      <c r="F2818" s="5" t="inlineStr">
        <is>
          <t>CoefficientPercent</t>
        </is>
      </c>
      <c r="G2818" s="5" t="inlineStr">
        <is>
          <t>EffectiveHits</t>
        </is>
      </c>
      <c r="H2818" s="5" t="inlineStr">
        <is>
          <t>ProcProbability</t>
        </is>
      </c>
      <c r="I2818" s="5" t="inlineStr">
        <is>
          <t>MapleHeroMultiplier</t>
        </is>
      </c>
      <c r="J2818" s="5" t="inlineStr">
        <is>
          <t>BaseDamage</t>
        </is>
      </c>
      <c r="K2818" s="5" t="inlineStr">
        <is>
          <t>BaseHitDamage</t>
        </is>
      </c>
      <c r="L2818" s="5" t="inlineStr">
        <is>
          <t>NonCritAvg</t>
        </is>
      </c>
      <c r="M2818" s="5" t="inlineStr">
        <is>
          <t>CritAvg</t>
        </is>
      </c>
      <c r="N2818" s="5" t="inlineStr">
        <is>
          <t>ExpectedDamage(perHit)</t>
        </is>
      </c>
      <c r="O2818" s="5" t="inlineStr">
        <is>
          <t>DPS</t>
        </is>
      </c>
      <c r="P2818" s="5" t="inlineStr">
        <is>
          <t>% of Total</t>
        </is>
      </c>
      <c r="Q2818" s="5" t="inlineStr">
        <is>
          <t>InvCooldown</t>
        </is>
      </c>
      <c r="R2818" s="5" t="inlineStr">
        <is>
          <t>CastsInFight</t>
        </is>
      </c>
      <c r="S2818" s="5" t="inlineStr">
        <is>
          <t>HitRate(perSec)</t>
        </is>
      </c>
      <c r="U2818" t="inlineStr">
        <is>
          <t>helpers</t>
        </is>
      </c>
    </row>
    <row r="2819">
      <c r="A2819">
        <f>Skills!A2</f>
        <v/>
      </c>
      <c r="B2819">
        <f>Skills!B2</f>
        <v/>
      </c>
      <c r="C2819">
        <f>Inputs!$B$3&gt;=100</f>
        <v/>
      </c>
      <c r="D2819" t="inlineStr"/>
      <c r="E2819" t="inlineStr"/>
      <c r="F2819">
        <f>U2821+Skills!O2</f>
        <v/>
      </c>
      <c r="G2819">
        <f>Skills!G2*IF(Skills!H2&gt;0,INT(IF(Inputs!$B$39="pvp",MIN(Skills!I2,15),Skills!I2)/Skills!H2+0.000000001),1)</f>
        <v/>
      </c>
      <c r="H2819">
        <f>1-(1-Skills!J2/100)^Skills!K2</f>
        <v/>
      </c>
      <c r="I2819" t="inlineStr">
        <is>
          <t>1</t>
        </is>
      </c>
      <c r="J2819">
        <f>((Inputs!$B$6*(1+Inputs!$B$7/100))+(((Inputs!$B$13*(1+Inputs!$B$14/100))-(Inputs!$B$13*(1+Inputs!$B$14/100)))+0.25*(Inputs!$B$15-Inputs!$B$15))*(1+Inputs!$B$7/100))*(F2819/100)</f>
        <v/>
      </c>
      <c r="K2819">
        <f>J2819*(1+(((Inputs!$B$13+IF(Inputs!$B$3&gt;=38,(10*INDEX(FactorTable!$B$2:$Y$301, MATCH(ROUND(MIN(300,MAX(1,Inputs!$B$3)),0), FactorTable!$A$2:$A$301,0), 23)/1000)/100*(Inputs!$B$8*(1+Inputs!$B$9/100)),0))*(1+Inputs!$B$14/100))*0.01+Inputs!$B$15*0.0025)/100)*(1+Inputs!$B$16/100)*(1+Inputs!$B$17/100)*(5000/(6000+Inputs!$B$43*(1-(Inputs!$B$20+0)/100)))*(1+(Inputs!$B$25+((C2842=TRUE)*(F2842-Calc!F25))+((C2843=TRUE)*(F2843-Calc!F26))+B2852)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gt;=100),MIN(100,((Inputs!$B$10+0+B2846+(ArtifactsInput!$M$24-ArtifactsInput!$M$24)*CHOOSE(ArtifactsInput!$N$24+1,10,12,14,16,18,20)+IF(ArtifactsInput!$M$10,CHOOSE(ArtifactsInput!$N$10+1,15,18,21,24,27,30)*(IF(Inputs!$B$39="pvp",MIN(15,15)/15,IF(AND(Inputs!$B$39&lt;&gt;"pvp",Inputs!$B$44&gt;0),MIN(15,Inputs!$B$44)/(Inputs!$B$44),0))),0)))-100),0))*CHOOSE(ArtifactsInput!$N$42+1,0.6,0.72,0.84,0.96,1.08,1.2))),Inputs!$B$19+((C2840=TRUE)*(F2840-Calc!F23))+(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gt;=100),CHOOSE(ArtifactsInput!$N$42+1,40,48,56,64,72,80),0))))/100)*((1+(((C2830=TRUE)*F2830*IF(AND(Inputs!$B$39&lt;&gt;"pvp",Inputs!$B$44&gt;0),(((R2830-1)*MIN((Skills!T13*(1+Inputs!$B$35/100)),(1/Q2830))+MIN((Skills!T13*(1+Inputs!$B$35/100)),MAX(0,Inputs!$B$44-((R2830-1)*(1/Q2830)))))/Inputs!$B$44),IF(Inputs!$B$39="pvp",MIN((Skills!T13*(1+Inputs!$B$35/100)),15)/15,MIN(1,(Skills!T13*(1+Inputs!$B$35/100))/(1/Q2830)))))+((C2831=TRUE)*F2831*IF(AND(Inputs!$B$39&lt;&gt;"pvp",Inputs!$B$44&gt;0),(((R2831-1)*MIN((Skills!T14*(1+Inputs!$B$35/100)),(1/Q2831))+MIN((Skills!T14*(1+Inputs!$B$35/100)),MAX(0,Inputs!$B$44-((R2831-1)*(1/Q2831)))))/Inputs!$B$44),IF(Inputs!$B$39="pvp",MIN((Skills!T14*(1+Inputs!$B$35/100)),15)/15,MIN(1,(Skills!T14*(1+Inputs!$B$35/100))/(1/Q2831)))))+((C2832=TRUE)*F2832*IF(AND(Inputs!$B$39&lt;&gt;"pvp",Inputs!$B$44&gt;0),(((R2832-1)*MIN((Skills!T15*(1+Inputs!$B$35/100)),(1/Q2832))+MIN((Skills!T15*(1+Inputs!$B$35/100)),MAX(0,Inputs!$B$44-((R2832-1)*(1/Q2832)))))/Inputs!$B$44),IF(Inputs!$B$39="pvp",MIN((Skills!T15*(1+Inputs!$B$35/100)),15)/15,MIN(1,(Skills!T15*(1+Inputs!$B$35/100))/(1/Q2832)))))+((C2833=TRUE)*F2833*IF(AND(Inputs!$B$39&lt;&gt;"pvp",Inputs!$B$44&gt;0),(((R2833-1)*MIN((Skills!T16*(1+Inputs!$B$35/100)),(1/Q2833))+MIN((Skills!T16*(1+Inputs!$B$35/100)),MAX(0,Inputs!$B$44-((R2833-1)*(1/Q2833)))))/Inputs!$B$44),IF(Inputs!$B$39="pvp",MIN((Skills!T16*(1+Inputs!$B$35/100)),15)/15,MIN(1,(Skills!T16*(1+Inputs!$B$35/100))/(1/Q2833)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2819)</f>
        <v/>
      </c>
      <c r="L2819">
        <f>K2819*(MIN(Inputs!$B$23+((C2839=TRUE)*(F2839-Calc!F22)),(Inputs!$B$24+((C2841=TRUE)*(F2841-Calc!F24))+(IF(ArtifactsInput!$M$15,CHOOSE(ArtifactsInput!$N$15+1,25,30,35,40,45,50)/100*(Inputs!$B$12-Inputs!$B$12),0))))/100+(Inputs!$B$24+((C2841=TRUE)*(F2841-Calc!F24))+(IF(ArtifactsInput!$M$15,CHOOSE(ArtifactsInput!$N$15+1,25,30,35,40,45,50)/100*(Inputs!$B$12-Inputs!$B$12),0)))/100)/2</f>
        <v/>
      </c>
      <c r="M2819">
        <f>L2819*(1+(Inputs!$B$11+0+B2851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819">
        <f>L2819*(1-MIN((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2819*(MIN((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19">
        <f>(1-Summary!$B$11)*T2819+Summary!$B$11*V2819</f>
        <v/>
      </c>
      <c r="P2819">
        <f>IF(B2856=0,0,O2819/B2856)</f>
        <v/>
      </c>
      <c r="Q2819" t="n">
        <v>0</v>
      </c>
      <c r="R2819" t="n">
        <v>0</v>
      </c>
      <c r="S2819">
        <f>IFERROR(O2819/N2819,0)</f>
        <v/>
      </c>
      <c r="T2819">
        <f>IF(C2819,(Skills!G2*N2819*B2850)*IF(Inputs!$B$39="pvp",1,1+(Inputs!$B$21+0+Skills!P2+((C2834=TRUE)*F2834*IF(AND(Inputs!$B$39&lt;&gt;"pvp",Inputs!$B$44&gt;0),(((R2834-1)*MIN((Skills!T17*(1+Inputs!$B$35/100)),(1/Q2834))+MIN((Skills!T17*(1+Inputs!$B$35/100)),MAX(0,Inputs!$B$44-((R2834-1)*(1/Q2834)))))/Inputs!$B$44),IF(Inputs!$B$39="pvp",MIN((Skills!T17*(1+Inputs!$B$35/100)),15)/15,MIN(1,(Skills!T17*(1+Inputs!$B$35/100))/(1/Q2834)))))+((C2822=TRUE)*IF(Inputs!$B$3&gt;=126,10*MIN(1,15*Q2822),0))+((C2831=TRUE)*IF(Inputs!$B$39="pvp",20,(1-Summary!$B$11)*(20)+Summary!$B$11*(0))*IF(AND(Inputs!$B$39&lt;&gt;"pvp",Inputs!$B$44&gt;0),(((R2831-1)*MIN((Skills!T14*(1+Inputs!$B$35/100)),(1/Q2831))+MIN((Skills!T14*(1+Inputs!$B$35/100)),MAX(0,Inputs!$B$44-((R2831-1)*(1/Q2831)))))/Inputs!$B$44),IF(Inputs!$B$39="pvp",MIN((Skills!T14*(1+Inputs!$B$35/100)),15)/15,MIN(1,(Skills!T14*(1+Inputs!$B$35/100))/(1/Q2831)))))+((C2830=TRUE)*IF(Inputs!$B$3&gt;=82,IF(Inputs!$B$39="pvp",20,(1-Summary!$B$11)*(20)+Summary!$B$11*(0)),0)*IF(AND(Inputs!$B$39&lt;&gt;"pvp",Inputs!$B$44&gt;0),(((R2830-1)*MIN((Skills!T13*(1+Inputs!$B$35/100)),(1/Q2830))+MIN((Skills!T13*(1+Inputs!$B$35/100)),MAX(0,Inputs!$B$44-((R2830-1)*(1/Q2830)))))/Inputs!$B$44),IF(Inputs!$B$39="pvp",MIN((Skills!T13*(1+Inputs!$B$35/100)),15)/15,MIN(1,(Skills!T13*(1+Inputs!$B$35/100))/(1/Q2830)))))+(IF(AND(ArtifactsInput!$M$35,Inputs!$B$4&lt;&gt;"Chapter Hunt"),CHOOSE(ArtifactsInput!$N$35+1,15,18,21,24,27,30)*(1-EXP(-(0.2*B2848)*5)),0)+IF(AND(ArtifactsInput!$M$22,Inputs!$B$4&lt;&gt;"Chapter Hunt"),CHOOSE(ArtifactsInput!$N$22+1,10,12,14,16,18,20)*((0*(((0.15*B2848*5))^0/1)+1*(((0.15*B2848*5))^1/1)+2*(((0.15*B2848*5))^2/2)+3*(((0.15*B2848*5))^3/6)+4*(((0.15*B2848*5))^4/24)+5*(((0.15*B2848*5))^5/120))/((((0.15*B2848*5))^0/1)+(((0.15*B2848*5))^1/1)+(((0.15*B2848*5))^2/2)+(((0.15*B2848*5))^3/6)+(((0.15*B2848*5))^4/24)+(((0.15*B2848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2819*(1-MIN(100,(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2819*(MIN(100,(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2819*(1-MIN(100,(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2819*(MIN(100,(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819">
        <f>MAX(0,(Inputs!$B$3-100)*3)+Inputs!$B$29+Inputs!$B$30</f>
        <v/>
      </c>
      <c r="V2819">
        <f>IF(C2819,(Skills!G2*N2819*B2850)*IF(Inputs!$B$39="pvp",1,(1+(Inputs!$B$22+Skills!Q2+((C2834=TRUE)*F2834*IF(AND(Inputs!$B$39&lt;&gt;"pvp",Inputs!$B$44&gt;0),(((R2834-1)*MIN((Skills!T17*(1+Inputs!$B$35/100)),(1/Q2834))+MIN((Skills!T17*(1+Inputs!$B$35/100)),MAX(0,Inputs!$B$44-((R2834-1)*(1/Q2834)))))/Inputs!$B$44),IF(Inputs!$B$39="pvp",MIN((Skills!T17*(1+Inputs!$B$35/100)),15)/15,MIN(1,(Skills!T17*(1+Inputs!$B$35/100))/(1/Q2834)))))+((C2822=TRUE)*IF(Inputs!$B$3&gt;=126,10*MIN(1,15*Q2822),0))+((C2831=TRUE)*IF(Inputs!$B$39="pvp",20,(1-Summary!$B$11)*(20)+Summary!$B$11*(0))*IF(AND(Inputs!$B$39&lt;&gt;"pvp",Inputs!$B$44&gt;0),(((R2831-1)*MIN((Skills!T14*(1+Inputs!$B$35/100)),(1/Q2831))+MIN((Skills!T14*(1+Inputs!$B$35/100)),MAX(0,Inputs!$B$44-((R2831-1)*(1/Q2831)))))/Inputs!$B$44),IF(Inputs!$B$39="pvp",MIN((Skills!T14*(1+Inputs!$B$35/100)),15)/15,MIN(1,(Skills!T14*(1+Inputs!$B$35/100))/(1/Q2831)))))+((C2830=TRUE)*IF(Inputs!$B$3&gt;=82,IF(Inputs!$B$39="pvp",20,(1-Summary!$B$11)*(20)+Summary!$B$11*(0)),0)*IF(AND(Inputs!$B$39&lt;&gt;"pvp",Inputs!$B$44&gt;0),(((R2830-1)*MIN((Skills!T13*(1+Inputs!$B$35/100)),(1/Q2830))+MIN((Skills!T13*(1+Inputs!$B$35/100)),MAX(0,Inputs!$B$44-((R2830-1)*(1/Q2830)))))/Inputs!$B$44),IF(Inputs!$B$39="pvp",MIN((Skills!T13*(1+Inputs!$B$35/100)),15)/15,MIN(1,(Skills!T13*(1+Inputs!$B$35/100))/(1/Q2830)))))+(IF(AND(ArtifactsInput!$M$35,Inputs!$B$4&lt;&gt;"Chapter Hunt"),CHOOSE(ArtifactsInput!$N$35+1,15,18,21,24,27,30)*(1-EXP(-(0.2*B2848)*5)),0)+IF(AND(ArtifactsInput!$M$22,Inputs!$B$4&lt;&gt;"Chapter Hunt"),CHOOSE(ArtifactsInput!$N$22+1,10,12,14,16,18,20)*((0*(((0.15*B2848*5))^0/1)+1*(((0.15*B2848*5))^1/1)+2*(((0.15*B2848*5))^2/2)+3*(((0.15*B2848*5))^3/6)+4*(((0.15*B2848*5))^4/24)+5*(((0.15*B2848*5))^5/120))/((((0.15*B2848*5))^0/1)+(((0.15*B2848*5))^1/1)+(((0.15*B2848*5))^2/2)+(((0.15*B2848*5))^3/6)+(((0.15*B2848*5))^4/24)+(((0.15*B2848*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20">
      <c r="A2820">
        <f>Skills!A3</f>
        <v/>
      </c>
      <c r="B2820">
        <f>Skills!B3</f>
        <v/>
      </c>
      <c r="C2820">
        <f>Inputs!$B$3&gt;=50</f>
        <v/>
      </c>
      <c r="D2820">
        <f>IF(Skills!C3=1,60+Inputs!$B$26+Inputs!$B$30,IF(Skills!C3=2,90+Inputs!$B$27+Inputs!$B$30,IF(Skills!C3=3,120+Inputs!$B$28+Inputs!$B$30,MAX(0,(Inputs!$B$3-100)*3)+Inputs!$B$29+Inputs!$B$30)))</f>
        <v/>
      </c>
      <c r="E2820">
        <f>INDEX(FactorTable!$B$2:$Y$301, MATCH(ROUND(MIN(300,MAX(1,D2820)),0), FactorTable!$A$2:$A$301,0), Skills!M3+1)</f>
        <v/>
      </c>
      <c r="F2820">
        <f>IF(Skills!N3=TRUE,(Skills!L3/10)*(E2820/1000),Skills!L3/10)+Skills!O3</f>
        <v/>
      </c>
      <c r="G2820" t="inlineStr"/>
      <c r="H2820" t="inlineStr"/>
      <c r="I2820" t="inlineStr">
        <is>
          <t>1</t>
        </is>
      </c>
      <c r="J2820" t="inlineStr"/>
      <c r="K2820" t="inlineStr"/>
      <c r="L2820" t="inlineStr"/>
      <c r="M2820" t="inlineStr"/>
      <c r="N2820" t="inlineStr"/>
      <c r="O2820" t="inlineStr"/>
      <c r="P2820" t="inlineStr"/>
      <c r="Q2820" t="inlineStr"/>
      <c r="R2820" t="inlineStr"/>
      <c r="S2820" t="inlineStr"/>
      <c r="U2820">
        <f>INDEX(FactorTable!$B$2:$Y$301, MATCH(ROUND(MIN(300,MAX(1,U2819)),0), FactorTable!$A$2:$A$301,0), 22)</f>
        <v/>
      </c>
    </row>
    <row r="2821">
      <c r="A2821">
        <f>Skills!A4</f>
        <v/>
      </c>
      <c r="B2821">
        <f>Skills!B4</f>
        <v/>
      </c>
      <c r="C2821">
        <f>Inputs!$B$3&gt;=105</f>
        <v/>
      </c>
      <c r="D2821">
        <f>IF(Skills!C4=1,60+Inputs!$B$26+Inputs!$B$30,IF(Skills!C4=2,90+Inputs!$B$27+Inputs!$B$30,IF(Skills!C4=3,120+Inputs!$B$28+Inputs!$B$30,MAX(0,(Inputs!$B$3-100)*3)+Inputs!$B$29+Inputs!$B$30)))</f>
        <v/>
      </c>
      <c r="E2821">
        <f>INDEX(FactorTable!$B$2:$Y$301, MATCH(ROUND(MIN(300,MAX(1,D2821)),0), FactorTable!$A$2:$A$301,0), Skills!M4+1)</f>
        <v/>
      </c>
      <c r="F2821">
        <f>IF(Skills!N4=TRUE,(Skills!L4/10)*(E2821/1000),Skills!L4/10)+Skills!O4</f>
        <v/>
      </c>
      <c r="G2821" t="inlineStr"/>
      <c r="H2821" t="inlineStr"/>
      <c r="I2821" t="inlineStr">
        <is>
          <t>1</t>
        </is>
      </c>
      <c r="J2821" t="inlineStr"/>
      <c r="K2821" t="inlineStr"/>
      <c r="L2821" t="inlineStr"/>
      <c r="M2821" t="inlineStr"/>
      <c r="N2821" t="inlineStr"/>
      <c r="O2821" t="inlineStr"/>
      <c r="P2821" t="inlineStr"/>
      <c r="Q2821" t="inlineStr"/>
      <c r="R2821" t="inlineStr"/>
      <c r="S2821" t="inlineStr"/>
      <c r="U2821">
        <f>290*U2820/1000</f>
        <v/>
      </c>
    </row>
    <row r="2822">
      <c r="A2822">
        <f>Skills!A5</f>
        <v/>
      </c>
      <c r="B2822">
        <f>Skills!B5</f>
        <v/>
      </c>
      <c r="C2822">
        <f>Inputs!$B$3&gt;=117</f>
        <v/>
      </c>
      <c r="D2822">
        <f>IF(Skills!C5=1,60+Inputs!$B$26+Inputs!$B$30,IF(Skills!C5=2,90+Inputs!$B$27+Inputs!$B$30,IF(Skills!C5=3,120+Inputs!$B$28+Inputs!$B$30,MAX(0,(Inputs!$B$3-100)*3)+Inputs!$B$29+Inputs!$B$30)))</f>
        <v/>
      </c>
      <c r="E2822">
        <f>INDEX(FactorTable!$B$2:$Y$301, MATCH(ROUND(MIN(300,MAX(1,D2822)),0), FactorTable!$A$2:$A$301,0), Skills!M5+1)</f>
        <v/>
      </c>
      <c r="F2822">
        <f>IF(Skills!N5=TRUE,(Skills!L5/10)*(E2822/1000),Skills!L5/10)+Skills!O5</f>
        <v/>
      </c>
      <c r="G2822">
        <f>Skills!G5*IF(Skills!H5&gt;0,INT(IF(Inputs!$B$39="pvp",MIN(Skills!I5,15),Skills!I5)/Skills!H5+0.000000001),1)</f>
        <v/>
      </c>
      <c r="H2822">
        <f>1-(1-Skills!J5/100)^Skills!K5</f>
        <v/>
      </c>
      <c r="I2822" t="inlineStr">
        <is>
          <t>1</t>
        </is>
      </c>
      <c r="J2822">
        <f>((Inputs!$B$6*(1+Inputs!$B$7/100))+(((Inputs!$B$13*(1+Inputs!$B$14/100))-(Inputs!$B$13*(1+Inputs!$B$14/100)))+0.25*(Inputs!$B$15-Inputs!$B$15))*(1+Inputs!$B$7/100))*(F2822/100)</f>
        <v/>
      </c>
      <c r="K2822">
        <f>J2822*(1+(((Inputs!$B$13+IF(Inputs!$B$3&gt;=38,(10*INDEX(FactorTable!$B$2:$Y$301, MATCH(ROUND(MIN(300,MAX(1,Inputs!$B$3)),0), FactorTable!$A$2:$A$301,0), 23)/1000)/100*(Inputs!$B$8*(1+Inputs!$B$9/100)),0))*(1+Inputs!$B$14/100))*0.01+Inputs!$B$15*0.0025)/100)*(1+Inputs!$B$16/100)*(1+Inputs!$B$17/100)*(5000/(6000+Inputs!$B$43*(1-(Inputs!$B$20+0)/100)))*(1+(Inputs!$B$25+((C2842=TRUE)*(F2842-Calc!F25))+((C2843=TRUE)*(F2843-Calc!F26))+B2852)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gt;=100),MIN(100,((Inputs!$B$10+0+B2846+(ArtifactsInput!$M$24-ArtifactsInput!$M$24)*CHOOSE(ArtifactsInput!$N$24+1,10,12,14,16,18,20)+IF(ArtifactsInput!$M$10,CHOOSE(ArtifactsInput!$N$10+1,15,18,21,24,27,30)*(IF(Inputs!$B$39="pvp",MIN(15,15)/15,IF(AND(Inputs!$B$39&lt;&gt;"pvp",Inputs!$B$44&gt;0),MIN(15,Inputs!$B$44)/(Inputs!$B$44),0))),0)))-100),0))*CHOOSE(ArtifactsInput!$N$42+1,0.6,0.72,0.84,0.96,1.08,1.2))),Inputs!$B$19+((C2840=TRUE)*(F2840-Calc!F23))+(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gt;=100),CHOOSE(ArtifactsInput!$N$42+1,40,48,56,64,72,80),0))))/100)*((1+(((C2830=TRUE)*F2830*IF(AND(Inputs!$B$39&lt;&gt;"pvp",Inputs!$B$44&gt;0),(((R2830-1)*MIN((Skills!T13*(1+Inputs!$B$35/100)),(1/Q2830))+MIN((Skills!T13*(1+Inputs!$B$35/100)),MAX(0,Inputs!$B$44-((R2830-1)*(1/Q2830)))))/Inputs!$B$44),IF(Inputs!$B$39="pvp",MIN((Skills!T13*(1+Inputs!$B$35/100)),15)/15,MIN(1,(Skills!T13*(1+Inputs!$B$35/100))/(1/Q2830)))))+((C2831=TRUE)*F2831*IF(AND(Inputs!$B$39&lt;&gt;"pvp",Inputs!$B$44&gt;0),(((R2831-1)*MIN((Skills!T14*(1+Inputs!$B$35/100)),(1/Q2831))+MIN((Skills!T14*(1+Inputs!$B$35/100)),MAX(0,Inputs!$B$44-((R2831-1)*(1/Q2831)))))/Inputs!$B$44),IF(Inputs!$B$39="pvp",MIN((Skills!T14*(1+Inputs!$B$35/100)),15)/15,MIN(1,(Skills!T14*(1+Inputs!$B$35/100))/(1/Q2831)))))+((C2832=TRUE)*F2832*IF(AND(Inputs!$B$39&lt;&gt;"pvp",Inputs!$B$44&gt;0),(((R2832-1)*MIN((Skills!T15*(1+Inputs!$B$35/100)),(1/Q2832))+MIN((Skills!T15*(1+Inputs!$B$35/100)),MAX(0,Inputs!$B$44-((R2832-1)*(1/Q2832)))))/Inputs!$B$44),IF(Inputs!$B$39="pvp",MIN((Skills!T15*(1+Inputs!$B$35/100)),15)/15,MIN(1,(Skills!T15*(1+Inputs!$B$35/100))/(1/Q2832)))))+((C2833=TRUE)*F2833*IF(AND(Inputs!$B$39&lt;&gt;"pvp",Inputs!$B$44&gt;0),(((R2833-1)*MIN((Skills!T16*(1+Inputs!$B$35/100)),(1/Q2833))+MIN((Skills!T16*(1+Inputs!$B$35/100)),MAX(0,Inputs!$B$44-((R2833-1)*(1/Q2833)))))/Inputs!$B$44),IF(Inputs!$B$39="pvp",MIN((Skills!T16*(1+Inputs!$B$35/100)),15)/15,MIN(1,(Skills!T16*(1+Inputs!$B$35/100))/(1/Q2833)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2822)</f>
        <v/>
      </c>
      <c r="L2822">
        <f>K2822*(MIN(Inputs!$B$23+((C2839=TRUE)*(F2839-Calc!F22)),(Inputs!$B$24+((C2841=TRUE)*(F2841-Calc!F24))+(IF(ArtifactsInput!$M$15,CHOOSE(ArtifactsInput!$N$15+1,25,30,35,40,45,50)/100*(Inputs!$B$12-Inputs!$B$12),0))))/100+(Inputs!$B$24+((C2841=TRUE)*(F2841-Calc!F24))+(IF(ArtifactsInput!$M$15,CHOOSE(ArtifactsInput!$N$15+1,25,30,35,40,45,50)/100*(Inputs!$B$12-Inputs!$B$12),0)))/100)/2</f>
        <v/>
      </c>
      <c r="M2822">
        <f>L2822*(1+(Inputs!$B$11+0+B2851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822">
        <f>L2822*(1-MIN((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2822*(MIN((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22">
        <f>(1-Summary!$B$11)*T2822+Summary!$B$11*V2822</f>
        <v/>
      </c>
      <c r="P2822">
        <f>IF(B2856=0,0,O2822/B2856)</f>
        <v/>
      </c>
      <c r="Q2822">
        <f>IFERROR(1/IF(Inputs!$B$39="pvp",15,MAX(0.1,Skills!D5-IF(TRUE=TRUE,1.0,0))),0)</f>
        <v/>
      </c>
      <c r="R2822">
        <f>IF(AND(Inputs!$B$39&lt;&gt;"pvp",Inputs!$B$44&gt;0),IF(MAX(0,Inputs!$B$44-B2853)&lt;=0,0,(INT(MAX(0,Inputs!$B$44-B2853)/IF(Inputs!$B$39="pvp",15,MAX(0.1,Skills!D5-IF(TRUE=TRUE,1.0,0))))+1)),0)</f>
        <v/>
      </c>
      <c r="S2822">
        <f>IFERROR(O2822/N2822,0)</f>
        <v/>
      </c>
      <c r="T2822">
        <f>IF(C2822,(H2822*N2822*IF(AND(Inputs!$B$39&lt;&gt;"pvp",Inputs!$B$44&gt;0),((Skills!G5*((R2822-1)*IF(Skills!H5&gt;0,INT(Skills!I5/Skills!H5+0.000000001),1)+IF(Skills!H5&gt;0,INT(MIN(Skills!I5,MAX(0,MAX(0,Inputs!$B$44-B2853)-((R2822-1)*IF(Inputs!$B$39="pvp",15,MAX(0.1,Skills!D5-IF(TRUE=TRUE,1.0,0))))))/Skills!H5+0.000000001),1)))/Inputs!$B$44),G2822*Q2822))*IF(Inputs!$B$39="pvp",1,1+(Inputs!$B$21+0+Skills!P5+((C2834=TRUE)*F2834*IF(AND(Inputs!$B$39&lt;&gt;"pvp",Inputs!$B$44&gt;0),(((R2834-1)*MIN((Skills!T17*(1+Inputs!$B$35/100)),(1/Q2834))+MIN((Skills!T17*(1+Inputs!$B$35/100)),MAX(0,Inputs!$B$44-((R2834-1)*(1/Q2834)))))/Inputs!$B$44),IF(Inputs!$B$39="pvp",MIN((Skills!T17*(1+Inputs!$B$35/100)),15)/15,MIN(1,(Skills!T17*(1+Inputs!$B$35/100))/(1/Q2834)))))+((C2822=TRUE)*IF(Inputs!$B$3&gt;=126,10*MIN(1,15*Q2822),0))+((C2831=TRUE)*IF(Inputs!$B$39="pvp",20,(1-Summary!$B$11)*(20)+Summary!$B$11*(0))*IF(AND(Inputs!$B$39&lt;&gt;"pvp",Inputs!$B$44&gt;0),(((R2831-1)*MIN((Skills!T14*(1+Inputs!$B$35/100)),(1/Q2831))+MIN((Skills!T14*(1+Inputs!$B$35/100)),MAX(0,Inputs!$B$44-((R2831-1)*(1/Q2831)))))/Inputs!$B$44),IF(Inputs!$B$39="pvp",MIN((Skills!T14*(1+Inputs!$B$35/100)),15)/15,MIN(1,(Skills!T14*(1+Inputs!$B$35/100))/(1/Q2831)))))+((C2830=TRUE)*IF(Inputs!$B$3&gt;=82,IF(Inputs!$B$39="pvp",20,(1-Summary!$B$11)*(20)+Summary!$B$11*(0)),0)*IF(AND(Inputs!$B$39&lt;&gt;"pvp",Inputs!$B$44&gt;0),(((R2830-1)*MIN((Skills!T13*(1+Inputs!$B$35/100)),(1/Q2830))+MIN((Skills!T13*(1+Inputs!$B$35/100)),MAX(0,Inputs!$B$44-((R2830-1)*(1/Q2830)))))/Inputs!$B$44),IF(Inputs!$B$39="pvp",MIN((Skills!T13*(1+Inputs!$B$35/100)),15)/15,MIN(1,(Skills!T13*(1+Inputs!$B$35/100))/(1/Q2830)))))+(IF(AND(ArtifactsInput!$M$35,Inputs!$B$4&lt;&gt;"Chapter Hunt"),CHOOSE(ArtifactsInput!$N$35+1,15,18,21,24,27,30)*(1-EXP(-(0.2*B2848)*5)),0)+IF(AND(ArtifactsInput!$M$22,Inputs!$B$4&lt;&gt;"Chapter Hunt"),CHOOSE(ArtifactsInput!$N$22+1,10,12,14,16,18,20)*((0*(((0.15*B2848*5))^0/1)+1*(((0.15*B2848*5))^1/1)+2*(((0.15*B2848*5))^2/2)+3*(((0.15*B2848*5))^3/6)+4*(((0.15*B2848*5))^4/24)+5*(((0.15*B2848*5))^5/120))/((((0.15*B2848*5))^0/1)+(((0.15*B2848*5))^1/1)+(((0.15*B2848*5))^2/2)+(((0.15*B2848*5))^3/6)+(((0.15*B2848*5))^4/24)+(((0.15*B2848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2822*(1-MIN(100,(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2822*(MIN(100,(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2822*(1-MIN(100,(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2822*(MIN(100,(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22">
        <f>IF(C2822,(H2822*N2822*IF(AND(Inputs!$B$39&lt;&gt;"pvp",Inputs!$B$44&gt;0),((Skills!G5*((R2822-1)*IF(Skills!H5&gt;0,INT(Skills!I5/Skills!H5+0.000000001),1)+IF(Skills!H5&gt;0,INT(MIN(Skills!I5,MAX(0,MAX(0,Inputs!$B$44-B2853)-((R2822-1)*IF(Inputs!$B$39="pvp",15,MAX(0.1,Skills!D5-IF(TRUE=TRUE,1.0,0))))))/Skills!H5+0.000000001),1)))/Inputs!$B$44),G2822*Q2822))*IF(Inputs!$B$39="pvp",1,(1+(Inputs!$B$22+Skills!Q5+((C2834=TRUE)*F2834*IF(AND(Inputs!$B$39&lt;&gt;"pvp",Inputs!$B$44&gt;0),(((R2834-1)*MIN((Skills!T17*(1+Inputs!$B$35/100)),(1/Q2834))+MIN((Skills!T17*(1+Inputs!$B$35/100)),MAX(0,Inputs!$B$44-((R2834-1)*(1/Q2834)))))/Inputs!$B$44),IF(Inputs!$B$39="pvp",MIN((Skills!T17*(1+Inputs!$B$35/100)),15)/15,MIN(1,(Skills!T17*(1+Inputs!$B$35/100))/(1/Q2834)))))+((C2822=TRUE)*IF(Inputs!$B$3&gt;=126,10*MIN(1,15*Q2822),0))+((C2831=TRUE)*IF(Inputs!$B$39="pvp",20,(1-Summary!$B$11)*(20)+Summary!$B$11*(0))*IF(AND(Inputs!$B$39&lt;&gt;"pvp",Inputs!$B$44&gt;0),(((R2831-1)*MIN((Skills!T14*(1+Inputs!$B$35/100)),(1/Q2831))+MIN((Skills!T14*(1+Inputs!$B$35/100)),MAX(0,Inputs!$B$44-((R2831-1)*(1/Q2831)))))/Inputs!$B$44),IF(Inputs!$B$39="pvp",MIN((Skills!T14*(1+Inputs!$B$35/100)),15)/15,MIN(1,(Skills!T14*(1+Inputs!$B$35/100))/(1/Q2831)))))+((C2830=TRUE)*IF(Inputs!$B$3&gt;=82,IF(Inputs!$B$39="pvp",20,(1-Summary!$B$11)*(20)+Summary!$B$11*(0)),0)*IF(AND(Inputs!$B$39&lt;&gt;"pvp",Inputs!$B$44&gt;0),(((R2830-1)*MIN((Skills!T13*(1+Inputs!$B$35/100)),(1/Q2830))+MIN((Skills!T13*(1+Inputs!$B$35/100)),MAX(0,Inputs!$B$44-((R2830-1)*(1/Q2830)))))/Inputs!$B$44),IF(Inputs!$B$39="pvp",MIN((Skills!T13*(1+Inputs!$B$35/100)),15)/15,MIN(1,(Skills!T13*(1+Inputs!$B$35/100))/(1/Q2830)))))+(IF(AND(ArtifactsInput!$M$35,Inputs!$B$4&lt;&gt;"Chapter Hunt"),CHOOSE(ArtifactsInput!$N$35+1,15,18,21,24,27,30)*(1-EXP(-(0.2*B2848)*5)),0)+IF(AND(ArtifactsInput!$M$22,Inputs!$B$4&lt;&gt;"Chapter Hunt"),CHOOSE(ArtifactsInput!$N$22+1,10,12,14,16,18,20)*((0*(((0.15*B2848*5))^0/1)+1*(((0.15*B2848*5))^1/1)+2*(((0.15*B2848*5))^2/2)+3*(((0.15*B2848*5))^3/6)+4*(((0.15*B2848*5))^4/24)+5*(((0.15*B2848*5))^5/120))/((((0.15*B2848*5))^0/1)+(((0.15*B2848*5))^1/1)+(((0.15*B2848*5))^2/2)+(((0.15*B2848*5))^3/6)+(((0.15*B2848*5))^4/24)+(((0.15*B2848*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23">
      <c r="A2823">
        <f>Skills!A6</f>
        <v/>
      </c>
      <c r="B2823">
        <f>Skills!B6</f>
        <v/>
      </c>
      <c r="C2823">
        <f>Inputs!$B$3&gt;=103</f>
        <v/>
      </c>
      <c r="D2823">
        <f>IF(Skills!C6=1,60+Inputs!$B$26+Inputs!$B$30,IF(Skills!C6=2,90+Inputs!$B$27+Inputs!$B$30,IF(Skills!C6=3,120+Inputs!$B$28+Inputs!$B$30,MAX(0,(Inputs!$B$3-100)*3)+Inputs!$B$29+Inputs!$B$30)))</f>
        <v/>
      </c>
      <c r="E2823">
        <f>INDEX(FactorTable!$B$2:$Y$301, MATCH(ROUND(MIN(300,MAX(1,D2823)),0), FactorTable!$A$2:$A$301,0), Skills!M6+1)</f>
        <v/>
      </c>
      <c r="F2823">
        <f>IF(Skills!N6=TRUE,(Skills!L6/10)*(E2823/1000),Skills!L6/10)+Skills!O6</f>
        <v/>
      </c>
      <c r="G2823">
        <f>Skills!G6*IF(Skills!H6&gt;0,INT(IF(Inputs!$B$39="pvp",MIN(Skills!I6,15),Skills!I6)/Skills!H6+0.000000001),1)</f>
        <v/>
      </c>
      <c r="H2823">
        <f>1-(1-Skills!J6/100)^Skills!K6</f>
        <v/>
      </c>
      <c r="I2823" t="inlineStr">
        <is>
          <t>1</t>
        </is>
      </c>
      <c r="J2823">
        <f>((Inputs!$B$6*(1+Inputs!$B$7/100))+(((Inputs!$B$13*(1+Inputs!$B$14/100))-(Inputs!$B$13*(1+Inputs!$B$14/100)))+0.25*(Inputs!$B$15-Inputs!$B$15))*(1+Inputs!$B$7/100))*(F2823/100)</f>
        <v/>
      </c>
      <c r="K2823">
        <f>J2823*(1+(((Inputs!$B$13+IF(Inputs!$B$3&gt;=38,(10*INDEX(FactorTable!$B$2:$Y$301, MATCH(ROUND(MIN(300,MAX(1,Inputs!$B$3)),0), FactorTable!$A$2:$A$301,0), 23)/1000)/100*(Inputs!$B$8*(1+Inputs!$B$9/100)),0))*(1+Inputs!$B$14/100))*0.01+Inputs!$B$15*0.0025)/100)*(1+Inputs!$B$16/100)*(1+Inputs!$B$17/100)*(5000/(6000+Inputs!$B$43*(1-(Inputs!$B$20+0)/100)))*(1+(Inputs!$B$25+((C2842=TRUE)*(F2842-Calc!F25))+((C2843=TRUE)*(F2843-Calc!F26))+B2852)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gt;=100),MIN(100,((Inputs!$B$10+0+B2846+(ArtifactsInput!$M$24-ArtifactsInput!$M$24)*CHOOSE(ArtifactsInput!$N$24+1,10,12,14,16,18,20)+IF(ArtifactsInput!$M$10,CHOOSE(ArtifactsInput!$N$10+1,15,18,21,24,27,30)*(IF(Inputs!$B$39="pvp",MIN(15,15)/15,IF(AND(Inputs!$B$39&lt;&gt;"pvp",Inputs!$B$44&gt;0),MIN(15,Inputs!$B$44)/(Inputs!$B$44),0))),0)))-100),0))*CHOOSE(ArtifactsInput!$N$42+1,0.6,0.72,0.84,0.96,1.08,1.2))),Inputs!$B$19+((C2840=TRUE)*(F2840-Calc!F23))+(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gt;=100),CHOOSE(ArtifactsInput!$N$42+1,40,48,56,64,72,80),0))))/100)*((1+(((C2830=TRUE)*F2830*IF(AND(Inputs!$B$39&lt;&gt;"pvp",Inputs!$B$44&gt;0),(((R2830-1)*MIN((Skills!T13*(1+Inputs!$B$35/100)),(1/Q2830))+MIN((Skills!T13*(1+Inputs!$B$35/100)),MAX(0,Inputs!$B$44-((R2830-1)*(1/Q2830)))))/Inputs!$B$44),IF(Inputs!$B$39="pvp",MIN((Skills!T13*(1+Inputs!$B$35/100)),15)/15,MIN(1,(Skills!T13*(1+Inputs!$B$35/100))/(1/Q2830)))))+((C2831=TRUE)*F2831*IF(AND(Inputs!$B$39&lt;&gt;"pvp",Inputs!$B$44&gt;0),(((R2831-1)*MIN((Skills!T14*(1+Inputs!$B$35/100)),(1/Q2831))+MIN((Skills!T14*(1+Inputs!$B$35/100)),MAX(0,Inputs!$B$44-((R2831-1)*(1/Q2831)))))/Inputs!$B$44),IF(Inputs!$B$39="pvp",MIN((Skills!T14*(1+Inputs!$B$35/100)),15)/15,MIN(1,(Skills!T14*(1+Inputs!$B$35/100))/(1/Q2831)))))+((C2832=TRUE)*F2832*IF(AND(Inputs!$B$39&lt;&gt;"pvp",Inputs!$B$44&gt;0),(((R2832-1)*MIN((Skills!T15*(1+Inputs!$B$35/100)),(1/Q2832))+MIN((Skills!T15*(1+Inputs!$B$35/100)),MAX(0,Inputs!$B$44-((R2832-1)*(1/Q2832)))))/Inputs!$B$44),IF(Inputs!$B$39="pvp",MIN((Skills!T15*(1+Inputs!$B$35/100)),15)/15,MIN(1,(Skills!T15*(1+Inputs!$B$35/100))/(1/Q2832)))))+((C2833=TRUE)*F2833*IF(AND(Inputs!$B$39&lt;&gt;"pvp",Inputs!$B$44&gt;0),(((R2833-1)*MIN((Skills!T16*(1+Inputs!$B$35/100)),(1/Q2833))+MIN((Skills!T16*(1+Inputs!$B$35/100)),MAX(0,Inputs!$B$44-((R2833-1)*(1/Q2833)))))/Inputs!$B$44),IF(Inputs!$B$39="pvp",MIN((Skills!T16*(1+Inputs!$B$35/100)),15)/15,MIN(1,(Skills!T16*(1+Inputs!$B$35/100))/(1/Q2833)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2823)</f>
        <v/>
      </c>
      <c r="L2823">
        <f>K2823*(MIN(Inputs!$B$23+((C2839=TRUE)*(F2839-Calc!F22)),(Inputs!$B$24+((C2841=TRUE)*(F2841-Calc!F24))+(IF(ArtifactsInput!$M$15,CHOOSE(ArtifactsInput!$N$15+1,25,30,35,40,45,50)/100*(Inputs!$B$12-Inputs!$B$12),0))))/100+(Inputs!$B$24+((C2841=TRUE)*(F2841-Calc!F24))+(IF(ArtifactsInput!$M$15,CHOOSE(ArtifactsInput!$N$15+1,25,30,35,40,45,50)/100*(Inputs!$B$12-Inputs!$B$12),0)))/100)/2</f>
        <v/>
      </c>
      <c r="M2823">
        <f>L2823*(1+(Inputs!$B$11+0+B2851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823">
        <f>L2823*(1-MIN((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2823*(MIN((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23">
        <f>(1-Summary!$B$11)*T2823+Summary!$B$11*V2823</f>
        <v/>
      </c>
      <c r="P2823">
        <f>IF(B2856=0,0,O2823/B2856)</f>
        <v/>
      </c>
      <c r="Q2823">
        <f>IFERROR(1/IF(Inputs!$B$39="pvp",15,MAX(0.1,Skills!D6-IF(TRUE=TRUE,1.0,0))),0)</f>
        <v/>
      </c>
      <c r="R2823">
        <f>IF(AND(Inputs!$B$39&lt;&gt;"pvp",Inputs!$B$44&gt;0),IF(MAX(0,Inputs!$B$44-B2853)&lt;=0,0,(INT(MAX(0,Inputs!$B$44-B2853)/IF(Inputs!$B$39="pvp",15,MAX(0.1,Skills!D6-IF(TRUE=TRUE,1.0,0))))+1)),0)</f>
        <v/>
      </c>
      <c r="S2823">
        <f>IFERROR(O2823/N2823,0)</f>
        <v/>
      </c>
      <c r="T2823">
        <f>IF(C2823,(H2823*N2823*IF(AND(Inputs!$B$39&lt;&gt;"pvp",Inputs!$B$44&gt;0),((Skills!G6*((R2823-1)*IF(Skills!H6&gt;0,INT(Skills!I6/Skills!H6+0.000000001),1)+IF(Skills!H6&gt;0,INT(MIN(Skills!I6,MAX(0,MAX(0,Inputs!$B$44-B2853)-((R2823-1)*IF(Inputs!$B$39="pvp",15,MAX(0.1,Skills!D6-IF(TRUE=TRUE,1.0,0))))))/Skills!H6+0.000000001),1)))/Inputs!$B$44),G2823*Q2823))*IF(Inputs!$B$39="pvp",1,1+(Inputs!$B$21+0+Skills!P6+((C2834=TRUE)*F2834*IF(AND(Inputs!$B$39&lt;&gt;"pvp",Inputs!$B$44&gt;0),(((R2834-1)*MIN((Skills!T17*(1+Inputs!$B$35/100)),(1/Q2834))+MIN((Skills!T17*(1+Inputs!$B$35/100)),MAX(0,Inputs!$B$44-((R2834-1)*(1/Q2834)))))/Inputs!$B$44),IF(Inputs!$B$39="pvp",MIN((Skills!T17*(1+Inputs!$B$35/100)),15)/15,MIN(1,(Skills!T17*(1+Inputs!$B$35/100))/(1/Q2834)))))+((C2822=TRUE)*IF(Inputs!$B$3&gt;=126,10*MIN(1,15*Q2822),0))+((C2831=TRUE)*IF(Inputs!$B$39="pvp",20,(1-Summary!$B$11)*(20)+Summary!$B$11*(0))*IF(AND(Inputs!$B$39&lt;&gt;"pvp",Inputs!$B$44&gt;0),(((R2831-1)*MIN((Skills!T14*(1+Inputs!$B$35/100)),(1/Q2831))+MIN((Skills!T14*(1+Inputs!$B$35/100)),MAX(0,Inputs!$B$44-((R2831-1)*(1/Q2831)))))/Inputs!$B$44),IF(Inputs!$B$39="pvp",MIN((Skills!T14*(1+Inputs!$B$35/100)),15)/15,MIN(1,(Skills!T14*(1+Inputs!$B$35/100))/(1/Q2831)))))+((C2830=TRUE)*IF(Inputs!$B$3&gt;=82,IF(Inputs!$B$39="pvp",20,(1-Summary!$B$11)*(20)+Summary!$B$11*(0)),0)*IF(AND(Inputs!$B$39&lt;&gt;"pvp",Inputs!$B$44&gt;0),(((R2830-1)*MIN((Skills!T13*(1+Inputs!$B$35/100)),(1/Q2830))+MIN((Skills!T13*(1+Inputs!$B$35/100)),MAX(0,Inputs!$B$44-((R2830-1)*(1/Q2830)))))/Inputs!$B$44),IF(Inputs!$B$39="pvp",MIN((Skills!T13*(1+Inputs!$B$35/100)),15)/15,MIN(1,(Skills!T13*(1+Inputs!$B$35/100))/(1/Q2830)))))+(IF(AND(ArtifactsInput!$M$35,Inputs!$B$4&lt;&gt;"Chapter Hunt"),CHOOSE(ArtifactsInput!$N$35+1,15,18,21,24,27,30)*(1-EXP(-(0.2*B2848)*5)),0)+IF(AND(ArtifactsInput!$M$22,Inputs!$B$4&lt;&gt;"Chapter Hunt"),CHOOSE(ArtifactsInput!$N$22+1,10,12,14,16,18,20)*((0*(((0.15*B2848*5))^0/1)+1*(((0.15*B2848*5))^1/1)+2*(((0.15*B2848*5))^2/2)+3*(((0.15*B2848*5))^3/6)+4*(((0.15*B2848*5))^4/24)+5*(((0.15*B2848*5))^5/120))/((((0.15*B2848*5))^0/1)+(((0.15*B2848*5))^1/1)+(((0.15*B2848*5))^2/2)+(((0.15*B2848*5))^3/6)+(((0.15*B2848*5))^4/24)+(((0.15*B2848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2823*(1-MIN(100,(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2823*(MIN(100,(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2823*(1-MIN(100,(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2823*(MIN(100,(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23">
        <f>IF(C2823,(H2823*N2823*IF(AND(Inputs!$B$39&lt;&gt;"pvp",Inputs!$B$44&gt;0),((Skills!G6*((R2823-1)*IF(Skills!H6&gt;0,INT(Skills!I6/Skills!H6+0.000000001),1)+IF(Skills!H6&gt;0,INT(MIN(Skills!I6,MAX(0,MAX(0,Inputs!$B$44-B2853)-((R2823-1)*IF(Inputs!$B$39="pvp",15,MAX(0.1,Skills!D6-IF(TRUE=TRUE,1.0,0))))))/Skills!H6+0.000000001),1)))/Inputs!$B$44),G2823*Q2823))*IF(Inputs!$B$39="pvp",1,(1+(Inputs!$B$22+Skills!Q6+((C2834=TRUE)*F2834*IF(AND(Inputs!$B$39&lt;&gt;"pvp",Inputs!$B$44&gt;0),(((R2834-1)*MIN((Skills!T17*(1+Inputs!$B$35/100)),(1/Q2834))+MIN((Skills!T17*(1+Inputs!$B$35/100)),MAX(0,Inputs!$B$44-((R2834-1)*(1/Q2834)))))/Inputs!$B$44),IF(Inputs!$B$39="pvp",MIN((Skills!T17*(1+Inputs!$B$35/100)),15)/15,MIN(1,(Skills!T17*(1+Inputs!$B$35/100))/(1/Q2834)))))+((C2822=TRUE)*IF(Inputs!$B$3&gt;=126,10*MIN(1,15*Q2822),0))+((C2831=TRUE)*IF(Inputs!$B$39="pvp",20,(1-Summary!$B$11)*(20)+Summary!$B$11*(0))*IF(AND(Inputs!$B$39&lt;&gt;"pvp",Inputs!$B$44&gt;0),(((R2831-1)*MIN((Skills!T14*(1+Inputs!$B$35/100)),(1/Q2831))+MIN((Skills!T14*(1+Inputs!$B$35/100)),MAX(0,Inputs!$B$44-((R2831-1)*(1/Q2831)))))/Inputs!$B$44),IF(Inputs!$B$39="pvp",MIN((Skills!T14*(1+Inputs!$B$35/100)),15)/15,MIN(1,(Skills!T14*(1+Inputs!$B$35/100))/(1/Q2831)))))+((C2830=TRUE)*IF(Inputs!$B$3&gt;=82,IF(Inputs!$B$39="pvp",20,(1-Summary!$B$11)*(20)+Summary!$B$11*(0)),0)*IF(AND(Inputs!$B$39&lt;&gt;"pvp",Inputs!$B$44&gt;0),(((R2830-1)*MIN((Skills!T13*(1+Inputs!$B$35/100)),(1/Q2830))+MIN((Skills!T13*(1+Inputs!$B$35/100)),MAX(0,Inputs!$B$44-((R2830-1)*(1/Q2830)))))/Inputs!$B$44),IF(Inputs!$B$39="pvp",MIN((Skills!T13*(1+Inputs!$B$35/100)),15)/15,MIN(1,(Skills!T13*(1+Inputs!$B$35/100))/(1/Q2830)))))+(IF(AND(ArtifactsInput!$M$35,Inputs!$B$4&lt;&gt;"Chapter Hunt"),CHOOSE(ArtifactsInput!$N$35+1,15,18,21,24,27,30)*(1-EXP(-(0.2*B2848)*5)),0)+IF(AND(ArtifactsInput!$M$22,Inputs!$B$4&lt;&gt;"Chapter Hunt"),CHOOSE(ArtifactsInput!$N$22+1,10,12,14,16,18,20)*((0*(((0.15*B2848*5))^0/1)+1*(((0.15*B2848*5))^1/1)+2*(((0.15*B2848*5))^2/2)+3*(((0.15*B2848*5))^3/6)+4*(((0.15*B2848*5))^4/24)+5*(((0.15*B2848*5))^5/120))/((((0.15*B2848*5))^0/1)+(((0.15*B2848*5))^1/1)+(((0.15*B2848*5))^2/2)+(((0.15*B2848*5))^3/6)+(((0.15*B2848*5))^4/24)+(((0.15*B2848*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24">
      <c r="A2824">
        <f>Skills!A7</f>
        <v/>
      </c>
      <c r="B2824">
        <f>Skills!B7</f>
        <v/>
      </c>
      <c r="C2824">
        <f>Inputs!$B$3&gt;=40</f>
        <v/>
      </c>
      <c r="D2824">
        <f>IF(Skills!C7=1,60+Inputs!$B$26+Inputs!$B$30,IF(Skills!C7=2,90+Inputs!$B$27+Inputs!$B$30,IF(Skills!C7=3,120+Inputs!$B$28+Inputs!$B$30,MAX(0,(Inputs!$B$3-100)*3)+Inputs!$B$29+Inputs!$B$30)))</f>
        <v/>
      </c>
      <c r="E2824">
        <f>INDEX(FactorTable!$B$2:$Y$301, MATCH(ROUND(MIN(300,MAX(1,D2824)),0), FactorTable!$A$2:$A$301,0), Skills!M7+1)</f>
        <v/>
      </c>
      <c r="F2824">
        <f>IF(Skills!N7=TRUE,(Skills!L7/10)*(E2824/1000),Skills!L7/10)+Skills!O7</f>
        <v/>
      </c>
      <c r="G2824">
        <f>Skills!G7*IF(Skills!H7&gt;0,INT(IF(Inputs!$B$39="pvp",MIN(Skills!I7,15),Skills!I7)/Skills!H7+0.000000001),1)</f>
        <v/>
      </c>
      <c r="H2824">
        <f>1-(1-Skills!J7/100)^Skills!K7</f>
        <v/>
      </c>
      <c r="I2824" t="inlineStr">
        <is>
          <t>1</t>
        </is>
      </c>
      <c r="J2824">
        <f>((Inputs!$B$6*(1+Inputs!$B$7/100))+(((Inputs!$B$13*(1+Inputs!$B$14/100))-(Inputs!$B$13*(1+Inputs!$B$14/100)))+0.25*(Inputs!$B$15-Inputs!$B$15))*(1+Inputs!$B$7/100))*(F2824/100)</f>
        <v/>
      </c>
      <c r="K2824">
        <f>J2824*(1+(((Inputs!$B$13+IF(Inputs!$B$3&gt;=38,(10*INDEX(FactorTable!$B$2:$Y$301, MATCH(ROUND(MIN(300,MAX(1,Inputs!$B$3)),0), FactorTable!$A$2:$A$301,0), 23)/1000)/100*(Inputs!$B$8*(1+Inputs!$B$9/100)),0))*(1+Inputs!$B$14/100))*0.01+Inputs!$B$15*0.0025)/100)*(1+Inputs!$B$16/100)*(1+Inputs!$B$17/100)*(5000/(6000+Inputs!$B$43*(1-(Inputs!$B$20+0)/100)))*(1+(Inputs!$B$25+((C2842=TRUE)*(F2842-Calc!F25))+((C2843=TRUE)*(F2843-Calc!F26))+B2852)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2828=TRUE,F2828,0)/100)*(1+(IF(Skills!A7="DARK_IMPALE",Inputs!$B$18+0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gt;=100),MIN(100,((Inputs!$B$10+0+B2846+(ArtifactsInput!$M$24-ArtifactsInput!$M$24)*CHOOSE(ArtifactsInput!$N$24+1,10,12,14,16,18,20)+IF(ArtifactsInput!$M$10,CHOOSE(ArtifactsInput!$N$10+1,15,18,21,24,27,30)*(IF(Inputs!$B$39="pvp",MIN(15,15)/15,IF(AND(Inputs!$B$39&lt;&gt;"pvp",Inputs!$B$44&gt;0),MIN(15,Inputs!$B$44)/(Inputs!$B$44),0))),0)))-100),0))*CHOOSE(ArtifactsInput!$N$42+1,0.6,0.72,0.84,0.96,1.08,1.2))),Inputs!$B$19+((C2840=TRUE)*(F2840-Calc!F23))+(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gt;=100),CHOOSE(ArtifactsInput!$N$42+1,40,48,56,64,72,80),0))))/100)*((1+(((C2830=TRUE)*F2830*IF(AND(Inputs!$B$39&lt;&gt;"pvp",Inputs!$B$44&gt;0),(((R2830-1)*MIN((Skills!T13*(1+Inputs!$B$35/100)),(1/Q2830))+MIN((Skills!T13*(1+Inputs!$B$35/100)),MAX(0,Inputs!$B$44-((R2830-1)*(1/Q2830)))))/Inputs!$B$44),IF(Inputs!$B$39="pvp",MIN((Skills!T13*(1+Inputs!$B$35/100)),15)/15,MIN(1,(Skills!T13*(1+Inputs!$B$35/100))/(1/Q2830)))))+((C2831=TRUE)*F2831*IF(AND(Inputs!$B$39&lt;&gt;"pvp",Inputs!$B$44&gt;0),(((R2831-1)*MIN((Skills!T14*(1+Inputs!$B$35/100)),(1/Q2831))+MIN((Skills!T14*(1+Inputs!$B$35/100)),MAX(0,Inputs!$B$44-((R2831-1)*(1/Q2831)))))/Inputs!$B$44),IF(Inputs!$B$39="pvp",MIN((Skills!T14*(1+Inputs!$B$35/100)),15)/15,MIN(1,(Skills!T14*(1+Inputs!$B$35/100))/(1/Q2831)))))+((C2832=TRUE)*F2832*IF(AND(Inputs!$B$39&lt;&gt;"pvp",Inputs!$B$44&gt;0),(((R2832-1)*MIN((Skills!T15*(1+Inputs!$B$35/100)),(1/Q2832))+MIN((Skills!T15*(1+Inputs!$B$35/100)),MAX(0,Inputs!$B$44-((R2832-1)*(1/Q2832)))))/Inputs!$B$44),IF(Inputs!$B$39="pvp",MIN((Skills!T15*(1+Inputs!$B$35/100)),15)/15,MIN(1,(Skills!T15*(1+Inputs!$B$35/100))/(1/Q2832)))))+((C2833=TRUE)*F2833*IF(AND(Inputs!$B$39&lt;&gt;"pvp",Inputs!$B$44&gt;0),(((R2833-1)*MIN((Skills!T16*(1+Inputs!$B$35/100)),(1/Q2833))+MIN((Skills!T16*(1+Inputs!$B$35/100)),MAX(0,Inputs!$B$44-((R2833-1)*(1/Q2833)))))/Inputs!$B$44),IF(Inputs!$B$39="pvp",MIN((Skills!T16*(1+Inputs!$B$35/100)),15)/15,MIN(1,(Skills!T16*(1+Inputs!$B$35/100))/(1/Q2833)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2824)</f>
        <v/>
      </c>
      <c r="L2824">
        <f>K2824*(MIN(Inputs!$B$23+((C2839=TRUE)*(F2839-Calc!F22)),(Inputs!$B$24+((C2841=TRUE)*(F2841-Calc!F24))+(IF(ArtifactsInput!$M$15,CHOOSE(ArtifactsInput!$N$15+1,25,30,35,40,45,50)/100*(Inputs!$B$12-Inputs!$B$12),0))))/100+(Inputs!$B$24+((C2841=TRUE)*(F2841-Calc!F24))+(IF(ArtifactsInput!$M$15,CHOOSE(ArtifactsInput!$N$15+1,25,30,35,40,45,50)/100*(Inputs!$B$12-Inputs!$B$12),0)))/100)/2</f>
        <v/>
      </c>
      <c r="M2824">
        <f>L2824*(1+(Inputs!$B$11+0+B2851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824">
        <f>L2824*(1-MIN((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2824*(MIN((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24">
        <f>(1-Summary!$B$11)*T2824+Summary!$B$11*V2824</f>
        <v/>
      </c>
      <c r="P2824">
        <f>IF(B2856=0,0,O2824/B2856)</f>
        <v/>
      </c>
      <c r="Q2824">
        <f>IFERROR(1/IF(Inputs!$B$39="pvp",15,MAX(0.1,Skills!D7-IF(TRUE=TRUE,1.0,0))),0)</f>
        <v/>
      </c>
      <c r="R2824">
        <f>IF(AND(Inputs!$B$39&lt;&gt;"pvp",Inputs!$B$44&gt;0),IF(MAX(0,Inputs!$B$44-B2853)&lt;=0,0,(INT(MAX(0,Inputs!$B$44-B2853)/IF(Inputs!$B$39="pvp",15,MAX(0.1,Skills!D7-IF(TRUE=TRUE,1.0,0))))+1)),0)</f>
        <v/>
      </c>
      <c r="S2824">
        <f>IFERROR(O2824/N2824,0)</f>
        <v/>
      </c>
      <c r="T2824">
        <f>IF(C2824,(H2824*N2824*IF(AND(Inputs!$B$39&lt;&gt;"pvp",Inputs!$B$44&gt;0),((Skills!G7*((R2824-1)*IF(Skills!H7&gt;0,INT(Skills!I7/Skills!H7+0.000000001),1)+IF(Skills!H7&gt;0,INT(MIN(Skills!I7,MAX(0,MAX(0,Inputs!$B$44-B2853)-((R2824-1)*IF(Inputs!$B$39="pvp",15,MAX(0.1,Skills!D7-IF(TRUE=TRUE,1.0,0))))))/Skills!H7+0.000000001),1)))/Inputs!$B$44),G2824*Q2824))*IF(Inputs!$B$39="pvp",1,1+(Inputs!$B$21+0+Skills!P7+((C2834=TRUE)*F2834*IF(AND(Inputs!$B$39&lt;&gt;"pvp",Inputs!$B$44&gt;0),(((R2834-1)*MIN((Skills!T17*(1+Inputs!$B$35/100)),(1/Q2834))+MIN((Skills!T17*(1+Inputs!$B$35/100)),MAX(0,Inputs!$B$44-((R2834-1)*(1/Q2834)))))/Inputs!$B$44),IF(Inputs!$B$39="pvp",MIN((Skills!T17*(1+Inputs!$B$35/100)),15)/15,MIN(1,(Skills!T17*(1+Inputs!$B$35/100))/(1/Q2834)))))+((C2822=TRUE)*IF(Inputs!$B$3&gt;=126,10*MIN(1,15*Q2822),0))+((C2831=TRUE)*IF(Inputs!$B$39="pvp",20,(1-Summary!$B$11)*(20)+Summary!$B$11*(0))*IF(AND(Inputs!$B$39&lt;&gt;"pvp",Inputs!$B$44&gt;0),(((R2831-1)*MIN((Skills!T14*(1+Inputs!$B$35/100)),(1/Q2831))+MIN((Skills!T14*(1+Inputs!$B$35/100)),MAX(0,Inputs!$B$44-((R2831-1)*(1/Q2831)))))/Inputs!$B$44),IF(Inputs!$B$39="pvp",MIN((Skills!T14*(1+Inputs!$B$35/100)),15)/15,MIN(1,(Skills!T14*(1+Inputs!$B$35/100))/(1/Q2831)))))+((C2830=TRUE)*IF(Inputs!$B$3&gt;=82,IF(Inputs!$B$39="pvp",20,(1-Summary!$B$11)*(20)+Summary!$B$11*(0)),0)*IF(AND(Inputs!$B$39&lt;&gt;"pvp",Inputs!$B$44&gt;0),(((R2830-1)*MIN((Skills!T13*(1+Inputs!$B$35/100)),(1/Q2830))+MIN((Skills!T13*(1+Inputs!$B$35/100)),MAX(0,Inputs!$B$44-((R2830-1)*(1/Q2830)))))/Inputs!$B$44),IF(Inputs!$B$39="pvp",MIN((Skills!T13*(1+Inputs!$B$35/100)),15)/15,MIN(1,(Skills!T13*(1+Inputs!$B$35/100))/(1/Q2830)))))+(IF(AND(ArtifactsInput!$M$35,Inputs!$B$4&lt;&gt;"Chapter Hunt"),CHOOSE(ArtifactsInput!$N$35+1,15,18,21,24,27,30)*(1-EXP(-(0.2*B2848)*5)),0)+IF(AND(ArtifactsInput!$M$22,Inputs!$B$4&lt;&gt;"Chapter Hunt"),CHOOSE(ArtifactsInput!$N$22+1,10,12,14,16,18,20)*((0*(((0.15*B2848*5))^0/1)+1*(((0.15*B2848*5))^1/1)+2*(((0.15*B2848*5))^2/2)+3*(((0.15*B2848*5))^3/6)+4*(((0.15*B2848*5))^4/24)+5*(((0.15*B2848*5))^5/120))/((((0.15*B2848*5))^0/1)+(((0.15*B2848*5))^1/1)+(((0.15*B2848*5))^2/2)+(((0.15*B2848*5))^3/6)+(((0.15*B2848*5))^4/24)+(((0.15*B2848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2824*(1-MIN(100,(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2824*(MIN(100,(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2824*(1-MIN(100,(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2824*(MIN(100,(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24">
        <f>IF(C2824,(H2824*N2824*IF(AND(Inputs!$B$39&lt;&gt;"pvp",Inputs!$B$44&gt;0),((Skills!G7*((R2824-1)*IF(Skills!H7&gt;0,INT(Skills!I7/Skills!H7+0.000000001),1)+IF(Skills!H7&gt;0,INT(MIN(Skills!I7,MAX(0,MAX(0,Inputs!$B$44-B2853)-((R2824-1)*IF(Inputs!$B$39="pvp",15,MAX(0.1,Skills!D7-IF(TRUE=TRUE,1.0,0))))))/Skills!H7+0.000000001),1)))/Inputs!$B$44),G2824*Q2824))*IF(Inputs!$B$39="pvp",1,(1+(Inputs!$B$22+Skills!Q7+((C2834=TRUE)*F2834*IF(AND(Inputs!$B$39&lt;&gt;"pvp",Inputs!$B$44&gt;0),(((R2834-1)*MIN((Skills!T17*(1+Inputs!$B$35/100)),(1/Q2834))+MIN((Skills!T17*(1+Inputs!$B$35/100)),MAX(0,Inputs!$B$44-((R2834-1)*(1/Q2834)))))/Inputs!$B$44),IF(Inputs!$B$39="pvp",MIN((Skills!T17*(1+Inputs!$B$35/100)),15)/15,MIN(1,(Skills!T17*(1+Inputs!$B$35/100))/(1/Q2834)))))+((C2822=TRUE)*IF(Inputs!$B$3&gt;=126,10*MIN(1,15*Q2822),0))+((C2831=TRUE)*IF(Inputs!$B$39="pvp",20,(1-Summary!$B$11)*(20)+Summary!$B$11*(0))*IF(AND(Inputs!$B$39&lt;&gt;"pvp",Inputs!$B$44&gt;0),(((R2831-1)*MIN((Skills!T14*(1+Inputs!$B$35/100)),(1/Q2831))+MIN((Skills!T14*(1+Inputs!$B$35/100)),MAX(0,Inputs!$B$44-((R2831-1)*(1/Q2831)))))/Inputs!$B$44),IF(Inputs!$B$39="pvp",MIN((Skills!T14*(1+Inputs!$B$35/100)),15)/15,MIN(1,(Skills!T14*(1+Inputs!$B$35/100))/(1/Q2831)))))+((C2830=TRUE)*IF(Inputs!$B$3&gt;=82,IF(Inputs!$B$39="pvp",20,(1-Summary!$B$11)*(20)+Summary!$B$11*(0)),0)*IF(AND(Inputs!$B$39&lt;&gt;"pvp",Inputs!$B$44&gt;0),(((R2830-1)*MIN((Skills!T13*(1+Inputs!$B$35/100)),(1/Q2830))+MIN((Skills!T13*(1+Inputs!$B$35/100)),MAX(0,Inputs!$B$44-((R2830-1)*(1/Q2830)))))/Inputs!$B$44),IF(Inputs!$B$39="pvp",MIN((Skills!T13*(1+Inputs!$B$35/100)),15)/15,MIN(1,(Skills!T13*(1+Inputs!$B$35/100))/(1/Q2830)))))+(IF(AND(ArtifactsInput!$M$35,Inputs!$B$4&lt;&gt;"Chapter Hunt"),CHOOSE(ArtifactsInput!$N$35+1,15,18,21,24,27,30)*(1-EXP(-(0.2*B2848)*5)),0)+IF(AND(ArtifactsInput!$M$22,Inputs!$B$4&lt;&gt;"Chapter Hunt"),CHOOSE(ArtifactsInput!$N$22+1,10,12,14,16,18,20)*((0*(((0.15*B2848*5))^0/1)+1*(((0.15*B2848*5))^1/1)+2*(((0.15*B2848*5))^2/2)+3*(((0.15*B2848*5))^3/6)+4*(((0.15*B2848*5))^4/24)+5*(((0.15*B2848*5))^5/120))/((((0.15*B2848*5))^0/1)+(((0.15*B2848*5))^1/1)+(((0.15*B2848*5))^2/2)+(((0.15*B2848*5))^3/6)+(((0.15*B2848*5))^4/24)+(((0.15*B2848*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25">
      <c r="A2825">
        <f>Skills!A8</f>
        <v/>
      </c>
      <c r="B2825">
        <f>Skills!B8</f>
        <v/>
      </c>
      <c r="C2825">
        <f>Inputs!$B$3&gt;=75</f>
        <v/>
      </c>
      <c r="D2825">
        <f>IF(Skills!C8=1,60+Inputs!$B$26+Inputs!$B$30,IF(Skills!C8=2,90+Inputs!$B$27+Inputs!$B$30,IF(Skills!C8=3,120+Inputs!$B$28+Inputs!$B$30,MAX(0,(Inputs!$B$3-100)*3)+Inputs!$B$29+Inputs!$B$30)))</f>
        <v/>
      </c>
      <c r="E2825">
        <f>INDEX(FactorTable!$B$2:$Y$301, MATCH(ROUND(MIN(300,MAX(1,D2825)),0), FactorTable!$A$2:$A$301,0), Skills!M8+1)</f>
        <v/>
      </c>
      <c r="F2825">
        <f>IF(Skills!N8=TRUE,(Skills!L8/10)*(E2825/1000),Skills!L8/10)+Skills!O8</f>
        <v/>
      </c>
      <c r="G2825" t="inlineStr"/>
      <c r="H2825" t="inlineStr"/>
      <c r="I2825" t="inlineStr">
        <is>
          <t>1</t>
        </is>
      </c>
      <c r="J2825" t="inlineStr"/>
      <c r="K2825" t="inlineStr"/>
      <c r="L2825" t="inlineStr"/>
      <c r="M2825" t="inlineStr"/>
      <c r="N2825" t="inlineStr"/>
      <c r="O2825" t="inlineStr"/>
      <c r="P2825" t="inlineStr"/>
      <c r="Q2825" t="inlineStr"/>
      <c r="R2825" t="inlineStr"/>
      <c r="S2825" t="inlineStr"/>
    </row>
    <row r="2826">
      <c r="A2826">
        <f>Skills!A9</f>
        <v/>
      </c>
      <c r="B2826">
        <f>Skills!B9</f>
        <v/>
      </c>
      <c r="C2826">
        <f>Inputs!$B$3&gt;=60</f>
        <v/>
      </c>
      <c r="D2826">
        <f>IF(Skills!C9=1,60+Inputs!$B$26+Inputs!$B$30,IF(Skills!C9=2,90+Inputs!$B$27+Inputs!$B$30,IF(Skills!C9=3,120+Inputs!$B$28+Inputs!$B$30,MAX(0,(Inputs!$B$3-100)*3)+Inputs!$B$29+Inputs!$B$30)))</f>
        <v/>
      </c>
      <c r="E2826">
        <f>INDEX(FactorTable!$B$2:$Y$301, MATCH(ROUND(MIN(300,MAX(1,D2826)),0), FactorTable!$A$2:$A$301,0), Skills!M9+1)</f>
        <v/>
      </c>
      <c r="F2826">
        <f>IF(Skills!N9=TRUE,(Skills!L9/10)*(E2826/1000),Skills!L9/10)+Skills!O9</f>
        <v/>
      </c>
      <c r="G2826">
        <f>Skills!G9*IF(Skills!H9&gt;0,INT(IF(Inputs!$B$39="pvp",MIN(Skills!I9,15),Skills!I9)/Skills!H9+0.000000001),1)</f>
        <v/>
      </c>
      <c r="H2826">
        <f>1-(1-Skills!J9/100)^Skills!K9</f>
        <v/>
      </c>
      <c r="I2826" t="inlineStr">
        <is>
          <t>1</t>
        </is>
      </c>
      <c r="J2826">
        <f>((Inputs!$B$6*(1+Inputs!$B$7/100))+(((Inputs!$B$13*(1+Inputs!$B$14/100))-(Inputs!$B$13*(1+Inputs!$B$14/100)))+0.25*(Inputs!$B$15-Inputs!$B$15))*(1+Inputs!$B$7/100))*(F2826/100)</f>
        <v/>
      </c>
      <c r="K2826">
        <f>J2826*(1+(((Inputs!$B$13+IF(Inputs!$B$3&gt;=38,(10*INDEX(FactorTable!$B$2:$Y$301, MATCH(ROUND(MIN(300,MAX(1,Inputs!$B$3)),0), FactorTable!$A$2:$A$301,0), 23)/1000)/100*(Inputs!$B$8*(1+Inputs!$B$9/100)),0))*(1+Inputs!$B$14/100))*0.01+Inputs!$B$15*0.0025)/100)*(1+Inputs!$B$16/100)*(1+Inputs!$B$17/100)*(5000/(6000+Inputs!$B$43*(1-(Inputs!$B$20+0)/100)))*(1+(Inputs!$B$25+((C2842=TRUE)*(F2842-Calc!F25))+((C2843=TRUE)*(F2843-Calc!F26))+B2852)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2828=TRUE,F2828,0)/100)*(1+(IF(Skills!A9="DARK_IMPALE",Inputs!$B$18+0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gt;=100),MIN(100,((Inputs!$B$10+0+B2846+(ArtifactsInput!$M$24-ArtifactsInput!$M$24)*CHOOSE(ArtifactsInput!$N$24+1,10,12,14,16,18,20)+IF(ArtifactsInput!$M$10,CHOOSE(ArtifactsInput!$N$10+1,15,18,21,24,27,30)*(IF(Inputs!$B$39="pvp",MIN(15,15)/15,IF(AND(Inputs!$B$39&lt;&gt;"pvp",Inputs!$B$44&gt;0),MIN(15,Inputs!$B$44)/(Inputs!$B$44),0))),0)))-100),0))*CHOOSE(ArtifactsInput!$N$42+1,0.6,0.72,0.84,0.96,1.08,1.2))),Inputs!$B$19+((C2840=TRUE)*(F2840-Calc!F23))+(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gt;=100),CHOOSE(ArtifactsInput!$N$42+1,40,48,56,64,72,80),0))))/100)*((1+(((C2830=TRUE)*F2830*IF(AND(Inputs!$B$39&lt;&gt;"pvp",Inputs!$B$44&gt;0),(((R2830-1)*MIN((Skills!T13*(1+Inputs!$B$35/100)),(1/Q2830))+MIN((Skills!T13*(1+Inputs!$B$35/100)),MAX(0,Inputs!$B$44-((R2830-1)*(1/Q2830)))))/Inputs!$B$44),IF(Inputs!$B$39="pvp",MIN((Skills!T13*(1+Inputs!$B$35/100)),15)/15,MIN(1,(Skills!T13*(1+Inputs!$B$35/100))/(1/Q2830)))))+((C2831=TRUE)*F2831*IF(AND(Inputs!$B$39&lt;&gt;"pvp",Inputs!$B$44&gt;0),(((R2831-1)*MIN((Skills!T14*(1+Inputs!$B$35/100)),(1/Q2831))+MIN((Skills!T14*(1+Inputs!$B$35/100)),MAX(0,Inputs!$B$44-((R2831-1)*(1/Q2831)))))/Inputs!$B$44),IF(Inputs!$B$39="pvp",MIN((Skills!T14*(1+Inputs!$B$35/100)),15)/15,MIN(1,(Skills!T14*(1+Inputs!$B$35/100))/(1/Q2831)))))+((C2832=TRUE)*F2832*IF(AND(Inputs!$B$39&lt;&gt;"pvp",Inputs!$B$44&gt;0),(((R2832-1)*MIN((Skills!T15*(1+Inputs!$B$35/100)),(1/Q2832))+MIN((Skills!T15*(1+Inputs!$B$35/100)),MAX(0,Inputs!$B$44-((R2832-1)*(1/Q2832)))))/Inputs!$B$44),IF(Inputs!$B$39="pvp",MIN((Skills!T15*(1+Inputs!$B$35/100)),15)/15,MIN(1,(Skills!T15*(1+Inputs!$B$35/100))/(1/Q2832)))))+((C2833=TRUE)*F2833*IF(AND(Inputs!$B$39&lt;&gt;"pvp",Inputs!$B$44&gt;0),(((R2833-1)*MIN((Skills!T16*(1+Inputs!$B$35/100)),(1/Q2833))+MIN((Skills!T16*(1+Inputs!$B$35/100)),MAX(0,Inputs!$B$44-((R2833-1)*(1/Q2833)))))/Inputs!$B$44),IF(Inputs!$B$39="pvp",MIN((Skills!T16*(1+Inputs!$B$35/100)),15)/15,MIN(1,(Skills!T16*(1+Inputs!$B$35/100))/(1/Q2833)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2826)</f>
        <v/>
      </c>
      <c r="L2826">
        <f>K2826*(MIN(Inputs!$B$23+((C2839=TRUE)*(F2839-Calc!F22)),(Inputs!$B$24+((C2841=TRUE)*(F2841-Calc!F24))+(IF(ArtifactsInput!$M$15,CHOOSE(ArtifactsInput!$N$15+1,25,30,35,40,45,50)/100*(Inputs!$B$12-Inputs!$B$12),0))))/100+(Inputs!$B$24+((C2841=TRUE)*(F2841-Calc!F24))+(IF(ArtifactsInput!$M$15,CHOOSE(ArtifactsInput!$N$15+1,25,30,35,40,45,50)/100*(Inputs!$B$12-Inputs!$B$12),0)))/100)/2</f>
        <v/>
      </c>
      <c r="M2826">
        <f>L2826*(1+(Inputs!$B$11+0+B2851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826">
        <f>L2826*(1-MIN((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2826*(MIN((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26">
        <f>(1-Summary!$B$11)*T2826+Summary!$B$11*V2826</f>
        <v/>
      </c>
      <c r="P2826">
        <f>IF(B2856=0,0,O2826/B2856)</f>
        <v/>
      </c>
      <c r="Q2826">
        <f>IFERROR(1/IF(Inputs!$B$39="pvp",15,MAX(0.1,Skills!D9-IF(TRUE=TRUE,1.0,0))),0)</f>
        <v/>
      </c>
      <c r="R2826">
        <f>IF(AND(Inputs!$B$39&lt;&gt;"pvp",Inputs!$B$44&gt;0),IF(MAX(0,Inputs!$B$44-B2853)&lt;=0,0,(INT(MAX(0,Inputs!$B$44-B2853)/IF(Inputs!$B$39="pvp",15,MAX(0.1,Skills!D9-IF(TRUE=TRUE,1.0,0))))+1)),0)</f>
        <v/>
      </c>
      <c r="S2826">
        <f>IFERROR(O2826/N2826,0)</f>
        <v/>
      </c>
      <c r="T2826">
        <f>IF(C2826,(H2826*N2826*IF(AND(Inputs!$B$39&lt;&gt;"pvp",Inputs!$B$44&gt;0),((Skills!G9*((R2826-1)*IF(Skills!H9&gt;0,INT(Skills!I9/Skills!H9+0.000000001),1)+IF(Skills!H9&gt;0,INT(MIN(Skills!I9,MAX(0,MAX(0,Inputs!$B$44-B2853)-((R2826-1)*IF(Inputs!$B$39="pvp",15,MAX(0.1,Skills!D9-IF(TRUE=TRUE,1.0,0))))))/Skills!H9+0.000000001),1)))/Inputs!$B$44),G2826*Q2826))*IF(Inputs!$B$39="pvp",1,1+(Inputs!$B$21+0+Skills!P9+((C2834=TRUE)*F2834*IF(AND(Inputs!$B$39&lt;&gt;"pvp",Inputs!$B$44&gt;0),(((R2834-1)*MIN((Skills!T17*(1+Inputs!$B$35/100)),(1/Q2834))+MIN((Skills!T17*(1+Inputs!$B$35/100)),MAX(0,Inputs!$B$44-((R2834-1)*(1/Q2834)))))/Inputs!$B$44),IF(Inputs!$B$39="pvp",MIN((Skills!T17*(1+Inputs!$B$35/100)),15)/15,MIN(1,(Skills!T17*(1+Inputs!$B$35/100))/(1/Q2834)))))+((C2822=TRUE)*IF(Inputs!$B$3&gt;=126,10*MIN(1,15*Q2822),0))+((C2831=TRUE)*IF(Inputs!$B$39="pvp",20,(1-Summary!$B$11)*(20)+Summary!$B$11*(0))*IF(AND(Inputs!$B$39&lt;&gt;"pvp",Inputs!$B$44&gt;0),(((R2831-1)*MIN((Skills!T14*(1+Inputs!$B$35/100)),(1/Q2831))+MIN((Skills!T14*(1+Inputs!$B$35/100)),MAX(0,Inputs!$B$44-((R2831-1)*(1/Q2831)))))/Inputs!$B$44),IF(Inputs!$B$39="pvp",MIN((Skills!T14*(1+Inputs!$B$35/100)),15)/15,MIN(1,(Skills!T14*(1+Inputs!$B$35/100))/(1/Q2831)))))+((C2830=TRUE)*IF(Inputs!$B$3&gt;=82,IF(Inputs!$B$39="pvp",20,(1-Summary!$B$11)*(20)+Summary!$B$11*(0)),0)*IF(AND(Inputs!$B$39&lt;&gt;"pvp",Inputs!$B$44&gt;0),(((R2830-1)*MIN((Skills!T13*(1+Inputs!$B$35/100)),(1/Q2830))+MIN((Skills!T13*(1+Inputs!$B$35/100)),MAX(0,Inputs!$B$44-((R2830-1)*(1/Q2830)))))/Inputs!$B$44),IF(Inputs!$B$39="pvp",MIN((Skills!T13*(1+Inputs!$B$35/100)),15)/15,MIN(1,(Skills!T13*(1+Inputs!$B$35/100))/(1/Q2830)))))+(IF(AND(ArtifactsInput!$M$35,Inputs!$B$4&lt;&gt;"Chapter Hunt"),CHOOSE(ArtifactsInput!$N$35+1,15,18,21,24,27,30)*(1-EXP(-(0.2*B2848)*5)),0)+IF(AND(ArtifactsInput!$M$22,Inputs!$B$4&lt;&gt;"Chapter Hunt"),CHOOSE(ArtifactsInput!$N$22+1,10,12,14,16,18,20)*((0*(((0.15*B2848*5))^0/1)+1*(((0.15*B2848*5))^1/1)+2*(((0.15*B2848*5))^2/2)+3*(((0.15*B2848*5))^3/6)+4*(((0.15*B2848*5))^4/24)+5*(((0.15*B2848*5))^5/120))/((((0.15*B2848*5))^0/1)+(((0.15*B2848*5))^1/1)+(((0.15*B2848*5))^2/2)+(((0.15*B2848*5))^3/6)+(((0.15*B2848*5))^4/24)+(((0.15*B2848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2826*(1-MIN(100,(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2826*(MIN(100,(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2826*(1-MIN(100,(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2826*(MIN(100,(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26">
        <f>IF(C2826,(H2826*N2826*IF(AND(Inputs!$B$39&lt;&gt;"pvp",Inputs!$B$44&gt;0),((Skills!G9*((R2826-1)*IF(Skills!H9&gt;0,INT(Skills!I9/Skills!H9+0.000000001),1)+IF(Skills!H9&gt;0,INT(MIN(Skills!I9,MAX(0,MAX(0,Inputs!$B$44-B2853)-((R2826-1)*IF(Inputs!$B$39="pvp",15,MAX(0.1,Skills!D9-IF(TRUE=TRUE,1.0,0))))))/Skills!H9+0.000000001),1)))/Inputs!$B$44),G2826*Q2826))*IF(Inputs!$B$39="pvp",1,(1+(Inputs!$B$22+Skills!Q9+((C2834=TRUE)*F2834*IF(AND(Inputs!$B$39&lt;&gt;"pvp",Inputs!$B$44&gt;0),(((R2834-1)*MIN((Skills!T17*(1+Inputs!$B$35/100)),(1/Q2834))+MIN((Skills!T17*(1+Inputs!$B$35/100)),MAX(0,Inputs!$B$44-((R2834-1)*(1/Q2834)))))/Inputs!$B$44),IF(Inputs!$B$39="pvp",MIN((Skills!T17*(1+Inputs!$B$35/100)),15)/15,MIN(1,(Skills!T17*(1+Inputs!$B$35/100))/(1/Q2834)))))+((C2822=TRUE)*IF(Inputs!$B$3&gt;=126,10*MIN(1,15*Q2822),0))+((C2831=TRUE)*IF(Inputs!$B$39="pvp",20,(1-Summary!$B$11)*(20)+Summary!$B$11*(0))*IF(AND(Inputs!$B$39&lt;&gt;"pvp",Inputs!$B$44&gt;0),(((R2831-1)*MIN((Skills!T14*(1+Inputs!$B$35/100)),(1/Q2831))+MIN((Skills!T14*(1+Inputs!$B$35/100)),MAX(0,Inputs!$B$44-((R2831-1)*(1/Q2831)))))/Inputs!$B$44),IF(Inputs!$B$39="pvp",MIN((Skills!T14*(1+Inputs!$B$35/100)),15)/15,MIN(1,(Skills!T14*(1+Inputs!$B$35/100))/(1/Q2831)))))+((C2830=TRUE)*IF(Inputs!$B$3&gt;=82,IF(Inputs!$B$39="pvp",20,(1-Summary!$B$11)*(20)+Summary!$B$11*(0)),0)*IF(AND(Inputs!$B$39&lt;&gt;"pvp",Inputs!$B$44&gt;0),(((R2830-1)*MIN((Skills!T13*(1+Inputs!$B$35/100)),(1/Q2830))+MIN((Skills!T13*(1+Inputs!$B$35/100)),MAX(0,Inputs!$B$44-((R2830-1)*(1/Q2830)))))/Inputs!$B$44),IF(Inputs!$B$39="pvp",MIN((Skills!T13*(1+Inputs!$B$35/100)),15)/15,MIN(1,(Skills!T13*(1+Inputs!$B$35/100))/(1/Q2830)))))+(IF(AND(ArtifactsInput!$M$35,Inputs!$B$4&lt;&gt;"Chapter Hunt"),CHOOSE(ArtifactsInput!$N$35+1,15,18,21,24,27,30)*(1-EXP(-(0.2*B2848)*5)),0)+IF(AND(ArtifactsInput!$M$22,Inputs!$B$4&lt;&gt;"Chapter Hunt"),CHOOSE(ArtifactsInput!$N$22+1,10,12,14,16,18,20)*((0*(((0.15*B2848*5))^0/1)+1*(((0.15*B2848*5))^1/1)+2*(((0.15*B2848*5))^2/2)+3*(((0.15*B2848*5))^3/6)+4*(((0.15*B2848*5))^4/24)+5*(((0.15*B2848*5))^5/120))/((((0.15*B2848*5))^0/1)+(((0.15*B2848*5))^1/1)+(((0.15*B2848*5))^2/2)+(((0.15*B2848*5))^3/6)+(((0.15*B2848*5))^4/24)+(((0.15*B2848*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27">
      <c r="A2827">
        <f>Skills!A10</f>
        <v/>
      </c>
      <c r="B2827">
        <f>Skills!B10</f>
        <v/>
      </c>
      <c r="C2827">
        <f>Inputs!$B$3&gt;=110</f>
        <v/>
      </c>
      <c r="D2827">
        <f>IF(Skills!C10=1,60+Inputs!$B$26+Inputs!$B$30,IF(Skills!C10=2,90+Inputs!$B$27+Inputs!$B$30,IF(Skills!C10=3,120+Inputs!$B$28+Inputs!$B$30,MAX(0,(Inputs!$B$3-100)*3)+Inputs!$B$29+Inputs!$B$30)))</f>
        <v/>
      </c>
      <c r="E2827">
        <f>INDEX(FactorTable!$B$2:$Y$301, MATCH(ROUND(MIN(300,MAX(1,D2827)),0), FactorTable!$A$2:$A$301,0), Skills!M10+1)</f>
        <v/>
      </c>
      <c r="F2827">
        <f>IF(Skills!N10=TRUE,(Skills!L10/10)*(E2827/1000),Skills!L10/10)+Skills!O10</f>
        <v/>
      </c>
      <c r="G2827">
        <f>Skills!G10*IF(Skills!H10&gt;0,INT(IF(Inputs!$B$39="pvp",MIN(Skills!I10,15),Skills!I10)/Skills!H10+0.000000001),1)</f>
        <v/>
      </c>
      <c r="H2827">
        <f>1-(1-Skills!J10/100)^Skills!K10</f>
        <v/>
      </c>
      <c r="I2827" t="inlineStr">
        <is>
          <t>1</t>
        </is>
      </c>
      <c r="J2827">
        <f>((Inputs!$B$6*(1+Inputs!$B$7/100))+(((Inputs!$B$13*(1+Inputs!$B$14/100))-(Inputs!$B$13*(1+Inputs!$B$14/100)))+0.25*(Inputs!$B$15-Inputs!$B$15))*(1+Inputs!$B$7/100))*(F2827/100)</f>
        <v/>
      </c>
      <c r="K2827">
        <f>J2827*(1+(((Inputs!$B$13+IF(Inputs!$B$3&gt;=38,(10*INDEX(FactorTable!$B$2:$Y$301, MATCH(ROUND(MIN(300,MAX(1,Inputs!$B$3)),0), FactorTable!$A$2:$A$301,0), 23)/1000)/100*(Inputs!$B$8*(1+Inputs!$B$9/100)),0))*(1+Inputs!$B$14/100))*0.01+Inputs!$B$15*0.0025)/100)*(1+Inputs!$B$16/100)*(1+Inputs!$B$17/100)*(5000/(6000+Inputs!$B$43*(1-(Inputs!$B$20+0)/100)))*(1+(Inputs!$B$25+((C2842=TRUE)*(F2842-Calc!F25))+((C2843=TRUE)*(F2843-Calc!F26))+B2852)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gt;=100),MIN(100,((Inputs!$B$10+0+B2846+(ArtifactsInput!$M$24-ArtifactsInput!$M$24)*CHOOSE(ArtifactsInput!$N$24+1,10,12,14,16,18,20)+IF(ArtifactsInput!$M$10,CHOOSE(ArtifactsInput!$N$10+1,15,18,21,24,27,30)*(IF(Inputs!$B$39="pvp",MIN(15,15)/15,IF(AND(Inputs!$B$39&lt;&gt;"pvp",Inputs!$B$44&gt;0),MIN(15,Inputs!$B$44)/(Inputs!$B$44),0))),0)))-100),0))*CHOOSE(ArtifactsInput!$N$42+1,0.6,0.72,0.84,0.96,1.08,1.2))),Inputs!$B$19+((C2840=TRUE)*(F2840-Calc!F23))+(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gt;=100),CHOOSE(ArtifactsInput!$N$42+1,40,48,56,64,72,80),0))))/100)*((1+(((C2830=TRUE)*F2830*IF(AND(Inputs!$B$39&lt;&gt;"pvp",Inputs!$B$44&gt;0),(((R2830-1)*MIN((Skills!T13*(1+Inputs!$B$35/100)),(1/Q2830))+MIN((Skills!T13*(1+Inputs!$B$35/100)),MAX(0,Inputs!$B$44-((R2830-1)*(1/Q2830)))))/Inputs!$B$44),IF(Inputs!$B$39="pvp",MIN((Skills!T13*(1+Inputs!$B$35/100)),15)/15,MIN(1,(Skills!T13*(1+Inputs!$B$35/100))/(1/Q2830)))))+((C2831=TRUE)*F2831*IF(AND(Inputs!$B$39&lt;&gt;"pvp",Inputs!$B$44&gt;0),(((R2831-1)*MIN((Skills!T14*(1+Inputs!$B$35/100)),(1/Q2831))+MIN((Skills!T14*(1+Inputs!$B$35/100)),MAX(0,Inputs!$B$44-((R2831-1)*(1/Q2831)))))/Inputs!$B$44),IF(Inputs!$B$39="pvp",MIN((Skills!T14*(1+Inputs!$B$35/100)),15)/15,MIN(1,(Skills!T14*(1+Inputs!$B$35/100))/(1/Q2831)))))+((C2832=TRUE)*F2832*IF(AND(Inputs!$B$39&lt;&gt;"pvp",Inputs!$B$44&gt;0),(((R2832-1)*MIN((Skills!T15*(1+Inputs!$B$35/100)),(1/Q2832))+MIN((Skills!T15*(1+Inputs!$B$35/100)),MAX(0,Inputs!$B$44-((R2832-1)*(1/Q2832)))))/Inputs!$B$44),IF(Inputs!$B$39="pvp",MIN((Skills!T15*(1+Inputs!$B$35/100)),15)/15,MIN(1,(Skills!T15*(1+Inputs!$B$35/100))/(1/Q2832)))))+((C2833=TRUE)*F2833*IF(AND(Inputs!$B$39&lt;&gt;"pvp",Inputs!$B$44&gt;0),(((R2833-1)*MIN((Skills!T16*(1+Inputs!$B$35/100)),(1/Q2833))+MIN((Skills!T16*(1+Inputs!$B$35/100)),MAX(0,Inputs!$B$44-((R2833-1)*(1/Q2833)))))/Inputs!$B$44),IF(Inputs!$B$39="pvp",MIN((Skills!T16*(1+Inputs!$B$35/100)),15)/15,MIN(1,(Skills!T16*(1+Inputs!$B$35/100))/(1/Q2833)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2827)</f>
        <v/>
      </c>
      <c r="L2827">
        <f>K2827*(MIN(Inputs!$B$23+((C2839=TRUE)*(F2839-Calc!F22)),(Inputs!$B$24+((C2841=TRUE)*(F2841-Calc!F24))+(IF(ArtifactsInput!$M$15,CHOOSE(ArtifactsInput!$N$15+1,25,30,35,40,45,50)/100*(Inputs!$B$12-Inputs!$B$12),0))))/100+(Inputs!$B$24+((C2841=TRUE)*(F2841-Calc!F24))+(IF(ArtifactsInput!$M$15,CHOOSE(ArtifactsInput!$N$15+1,25,30,35,40,45,50)/100*(Inputs!$B$12-Inputs!$B$12),0)))/100)/2</f>
        <v/>
      </c>
      <c r="M2827">
        <f>L2827*(1+(Inputs!$B$11+0+B2851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827">
        <f>L2827*(1-MIN((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2827*(MIN((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27">
        <f>(1-Summary!$B$11)*T2827+Summary!$B$11*V2827</f>
        <v/>
      </c>
      <c r="P2827">
        <f>IF(B2856=0,0,O2827/B2856)</f>
        <v/>
      </c>
      <c r="Q2827">
        <f>IFERROR(1/IF(Inputs!$B$39="pvp",15,MAX(0.1,Skills!D10-IF(TRUE=TRUE,1.0,0))),0)</f>
        <v/>
      </c>
      <c r="R2827">
        <f>IF(AND(Inputs!$B$39&lt;&gt;"pvp",Inputs!$B$44&gt;0),IF(MAX(0,Inputs!$B$44-B2853)&lt;=0,0,(INT(MAX(0,Inputs!$B$44-B2853)/IF(Inputs!$B$39="pvp",15,MAX(0.1,Skills!D10-IF(TRUE=TRUE,1.0,0))))+1)),0)</f>
        <v/>
      </c>
      <c r="S2827">
        <f>IFERROR(O2827/N2827,0)</f>
        <v/>
      </c>
      <c r="T2827">
        <f>IF(C2827,(H2827*N2827*IF(AND(Inputs!$B$39&lt;&gt;"pvp",Inputs!$B$44&gt;0),((Skills!G10*((R2827-1)*IF(Skills!H10&gt;0,INT(Skills!I10/Skills!H10+0.000000001),1)+IF(Skills!H10&gt;0,INT(MIN(Skills!I10,MAX(0,MAX(0,Inputs!$B$44-B2853)-((R2827-1)*IF(Inputs!$B$39="pvp",15,MAX(0.1,Skills!D10-IF(TRUE=TRUE,1.0,0))))))/Skills!H10+0.000000001),1)))/Inputs!$B$44),G2827*Q2827))*IF(Inputs!$B$39="pvp",1,1+(Inputs!$B$21+0+Skills!P10+((C2834=TRUE)*F2834*IF(AND(Inputs!$B$39&lt;&gt;"pvp",Inputs!$B$44&gt;0),(((R2834-1)*MIN((Skills!T17*(1+Inputs!$B$35/100)),(1/Q2834))+MIN((Skills!T17*(1+Inputs!$B$35/100)),MAX(0,Inputs!$B$44-((R2834-1)*(1/Q2834)))))/Inputs!$B$44),IF(Inputs!$B$39="pvp",MIN((Skills!T17*(1+Inputs!$B$35/100)),15)/15,MIN(1,(Skills!T17*(1+Inputs!$B$35/100))/(1/Q2834)))))+((C2822=TRUE)*IF(Inputs!$B$3&gt;=126,10*MIN(1,15*Q2822),0))+((C2831=TRUE)*IF(Inputs!$B$39="pvp",20,(1-Summary!$B$11)*(20)+Summary!$B$11*(0))*IF(AND(Inputs!$B$39&lt;&gt;"pvp",Inputs!$B$44&gt;0),(((R2831-1)*MIN((Skills!T14*(1+Inputs!$B$35/100)),(1/Q2831))+MIN((Skills!T14*(1+Inputs!$B$35/100)),MAX(0,Inputs!$B$44-((R2831-1)*(1/Q2831)))))/Inputs!$B$44),IF(Inputs!$B$39="pvp",MIN((Skills!T14*(1+Inputs!$B$35/100)),15)/15,MIN(1,(Skills!T14*(1+Inputs!$B$35/100))/(1/Q2831)))))+((C2830=TRUE)*IF(Inputs!$B$3&gt;=82,IF(Inputs!$B$39="pvp",20,(1-Summary!$B$11)*(20)+Summary!$B$11*(0)),0)*IF(AND(Inputs!$B$39&lt;&gt;"pvp",Inputs!$B$44&gt;0),(((R2830-1)*MIN((Skills!T13*(1+Inputs!$B$35/100)),(1/Q2830))+MIN((Skills!T13*(1+Inputs!$B$35/100)),MAX(0,Inputs!$B$44-((R2830-1)*(1/Q2830)))))/Inputs!$B$44),IF(Inputs!$B$39="pvp",MIN((Skills!T13*(1+Inputs!$B$35/100)),15)/15,MIN(1,(Skills!T13*(1+Inputs!$B$35/100))/(1/Q2830)))))+(IF(AND(ArtifactsInput!$M$35,Inputs!$B$4&lt;&gt;"Chapter Hunt"),CHOOSE(ArtifactsInput!$N$35+1,15,18,21,24,27,30)*(1-EXP(-(0.2*B2848)*5)),0)+IF(AND(ArtifactsInput!$M$22,Inputs!$B$4&lt;&gt;"Chapter Hunt"),CHOOSE(ArtifactsInput!$N$22+1,10,12,14,16,18,20)*((0*(((0.15*B2848*5))^0/1)+1*(((0.15*B2848*5))^1/1)+2*(((0.15*B2848*5))^2/2)+3*(((0.15*B2848*5))^3/6)+4*(((0.15*B2848*5))^4/24)+5*(((0.15*B2848*5))^5/120))/((((0.15*B2848*5))^0/1)+(((0.15*B2848*5))^1/1)+(((0.15*B2848*5))^2/2)+(((0.15*B2848*5))^3/6)+(((0.15*B2848*5))^4/24)+(((0.15*B2848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2827*(1-MIN(100,(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2827*(MIN(100,(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2827*(1-MIN(100,(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2827*(MIN(100,(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27">
        <f>IF(C2827,(H2827*N2827*IF(AND(Inputs!$B$39&lt;&gt;"pvp",Inputs!$B$44&gt;0),((Skills!G10*((R2827-1)*IF(Skills!H10&gt;0,INT(Skills!I10/Skills!H10+0.000000001),1)+IF(Skills!H10&gt;0,INT(MIN(Skills!I10,MAX(0,MAX(0,Inputs!$B$44-B2853)-((R2827-1)*IF(Inputs!$B$39="pvp",15,MAX(0.1,Skills!D10-IF(TRUE=TRUE,1.0,0))))))/Skills!H10+0.000000001),1)))/Inputs!$B$44),G2827*Q2827))*IF(Inputs!$B$39="pvp",1,(1+(Inputs!$B$22+Skills!Q10+((C2834=TRUE)*F2834*IF(AND(Inputs!$B$39&lt;&gt;"pvp",Inputs!$B$44&gt;0),(((R2834-1)*MIN((Skills!T17*(1+Inputs!$B$35/100)),(1/Q2834))+MIN((Skills!T17*(1+Inputs!$B$35/100)),MAX(0,Inputs!$B$44-((R2834-1)*(1/Q2834)))))/Inputs!$B$44),IF(Inputs!$B$39="pvp",MIN((Skills!T17*(1+Inputs!$B$35/100)),15)/15,MIN(1,(Skills!T17*(1+Inputs!$B$35/100))/(1/Q2834)))))+((C2822=TRUE)*IF(Inputs!$B$3&gt;=126,10*MIN(1,15*Q2822),0))+((C2831=TRUE)*IF(Inputs!$B$39="pvp",20,(1-Summary!$B$11)*(20)+Summary!$B$11*(0))*IF(AND(Inputs!$B$39&lt;&gt;"pvp",Inputs!$B$44&gt;0),(((R2831-1)*MIN((Skills!T14*(1+Inputs!$B$35/100)),(1/Q2831))+MIN((Skills!T14*(1+Inputs!$B$35/100)),MAX(0,Inputs!$B$44-((R2831-1)*(1/Q2831)))))/Inputs!$B$44),IF(Inputs!$B$39="pvp",MIN((Skills!T14*(1+Inputs!$B$35/100)),15)/15,MIN(1,(Skills!T14*(1+Inputs!$B$35/100))/(1/Q2831)))))+((C2830=TRUE)*IF(Inputs!$B$3&gt;=82,IF(Inputs!$B$39="pvp",20,(1-Summary!$B$11)*(20)+Summary!$B$11*(0)),0)*IF(AND(Inputs!$B$39&lt;&gt;"pvp",Inputs!$B$44&gt;0),(((R2830-1)*MIN((Skills!T13*(1+Inputs!$B$35/100)),(1/Q2830))+MIN((Skills!T13*(1+Inputs!$B$35/100)),MAX(0,Inputs!$B$44-((R2830-1)*(1/Q2830)))))/Inputs!$B$44),IF(Inputs!$B$39="pvp",MIN((Skills!T13*(1+Inputs!$B$35/100)),15)/15,MIN(1,(Skills!T13*(1+Inputs!$B$35/100))/(1/Q2830)))))+(IF(AND(ArtifactsInput!$M$35,Inputs!$B$4&lt;&gt;"Chapter Hunt"),CHOOSE(ArtifactsInput!$N$35+1,15,18,21,24,27,30)*(1-EXP(-(0.2*B2848)*5)),0)+IF(AND(ArtifactsInput!$M$22,Inputs!$B$4&lt;&gt;"Chapter Hunt"),CHOOSE(ArtifactsInput!$N$22+1,10,12,14,16,18,20)*((0*(((0.15*B2848*5))^0/1)+1*(((0.15*B2848*5))^1/1)+2*(((0.15*B2848*5))^2/2)+3*(((0.15*B2848*5))^3/6)+4*(((0.15*B2848*5))^4/24)+5*(((0.15*B2848*5))^5/120))/((((0.15*B2848*5))^0/1)+(((0.15*B2848*5))^1/1)+(((0.15*B2848*5))^2/2)+(((0.15*B2848*5))^3/6)+(((0.15*B2848*5))^4/24)+(((0.15*B2848*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28">
      <c r="A2828">
        <f>Skills!A11</f>
        <v/>
      </c>
      <c r="B2828">
        <f>Skills!B11</f>
        <v/>
      </c>
      <c r="C2828">
        <f>Inputs!$B$3&gt;=100</f>
        <v/>
      </c>
      <c r="D2828">
        <f>IF(Skills!C11=1,60+Inputs!$B$26+Inputs!$B$30,IF(Skills!C11=2,90+Inputs!$B$27+Inputs!$B$30,IF(Skills!C11=3,120+Inputs!$B$28+Inputs!$B$30,MAX(0,(Inputs!$B$3-100)*3)+Inputs!$B$29+Inputs!$B$30)))</f>
        <v/>
      </c>
      <c r="E2828">
        <f>INDEX(FactorTable!$B$2:$Y$301, MATCH(ROUND(MIN(300,MAX(1,D2828)),0), FactorTable!$A$2:$A$301,0), Skills!M11+1)</f>
        <v/>
      </c>
      <c r="F2828">
        <f>IF(Skills!N11=TRUE,(Skills!L11/10)*(E2828/1000),Skills!L11/10)+Skills!O11</f>
        <v/>
      </c>
      <c r="G2828" t="inlineStr"/>
      <c r="H2828" t="inlineStr"/>
      <c r="I2828" t="inlineStr">
        <is>
          <t>1</t>
        </is>
      </c>
      <c r="J2828" t="inlineStr"/>
      <c r="K2828" t="inlineStr"/>
      <c r="L2828" t="inlineStr"/>
      <c r="M2828" t="inlineStr"/>
      <c r="N2828" t="inlineStr"/>
      <c r="O2828" t="inlineStr"/>
      <c r="P2828" t="inlineStr"/>
      <c r="Q2828" t="inlineStr"/>
      <c r="R2828" t="inlineStr"/>
      <c r="S2828" t="inlineStr"/>
    </row>
    <row r="2829">
      <c r="A2829">
        <f>Skills!A12</f>
        <v/>
      </c>
      <c r="B2829">
        <f>Skills!B12</f>
        <v/>
      </c>
      <c r="C2829">
        <f>Inputs!$B$3&gt;=63</f>
        <v/>
      </c>
      <c r="D2829">
        <f>IF(Skills!C12=1,60+Inputs!$B$26+Inputs!$B$30,IF(Skills!C12=2,90+Inputs!$B$27+Inputs!$B$30,IF(Skills!C12=3,120+Inputs!$B$28+Inputs!$B$30,MAX(0,(Inputs!$B$3-100)*3)+Inputs!$B$29+Inputs!$B$30)))</f>
        <v/>
      </c>
      <c r="E2829">
        <f>INDEX(FactorTable!$B$2:$Y$301, MATCH(ROUND(MIN(300,MAX(1,D2829)),0), FactorTable!$A$2:$A$301,0), Skills!M12+1)</f>
        <v/>
      </c>
      <c r="F2829">
        <f>IF(Skills!N12=TRUE,(Skills!L12/10)*(E2829/1000),Skills!L12/10)+Skills!O12</f>
        <v/>
      </c>
      <c r="G2829">
        <f>Skills!G12*IF(Skills!H12&gt;0,INT(IF(Inputs!$B$39="pvp",MIN(Skills!I12,15),Skills!I12)/Skills!H12+0.000000001),1)</f>
        <v/>
      </c>
      <c r="H2829">
        <f>1-(1-Skills!J12/100)^Skills!K12</f>
        <v/>
      </c>
      <c r="I2829" t="inlineStr">
        <is>
          <t>1</t>
        </is>
      </c>
      <c r="J2829">
        <f>((Inputs!$B$6*(1+Inputs!$B$7/100))+(((Inputs!$B$13*(1+Inputs!$B$14/100))-(Inputs!$B$13*(1+Inputs!$B$14/100)))+0.25*(Inputs!$B$15-Inputs!$B$15))*(1+Inputs!$B$7/100))*(F2829/100)</f>
        <v/>
      </c>
      <c r="K2829">
        <f>J2829*(1+(((Inputs!$B$13+IF(Inputs!$B$3&gt;=38,(10*INDEX(FactorTable!$B$2:$Y$301, MATCH(ROUND(MIN(300,MAX(1,Inputs!$B$3)),0), FactorTable!$A$2:$A$301,0), 23)/1000)/100*(Inputs!$B$8*(1+Inputs!$B$9/100)),0))*(1+Inputs!$B$14/100))*0.01+Inputs!$B$15*0.0025)/100)*(1+Inputs!$B$16/100)*(1+Inputs!$B$17/100)*(5000/(6000+Inputs!$B$43*(1-(Inputs!$B$20+0)/100)))*(1+(Inputs!$B$25+((C2842=TRUE)*(F2842-Calc!F25))+((C2843=TRUE)*(F2843-Calc!F26))+B2852)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2828=TRUE,F2828,0)/100)*(1+(IF(Skills!A12="DARK_IMPALE",Inputs!$B$18+0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gt;=100),MIN(100,((Inputs!$B$10+0+B2846+(ArtifactsInput!$M$24-ArtifactsInput!$M$24)*CHOOSE(ArtifactsInput!$N$24+1,10,12,14,16,18,20)+IF(ArtifactsInput!$M$10,CHOOSE(ArtifactsInput!$N$10+1,15,18,21,24,27,30)*(IF(Inputs!$B$39="pvp",MIN(15,15)/15,IF(AND(Inputs!$B$39&lt;&gt;"pvp",Inputs!$B$44&gt;0),MIN(15,Inputs!$B$44)/(Inputs!$B$44),0))),0)))-100),0))*CHOOSE(ArtifactsInput!$N$42+1,0.6,0.72,0.84,0.96,1.08,1.2))),Inputs!$B$19+((C2840=TRUE)*(F2840-Calc!F23))+(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gt;=100),CHOOSE(ArtifactsInput!$N$42+1,40,48,56,64,72,80),0))))/100)*((1+(((C2830=TRUE)*F2830*IF(AND(Inputs!$B$39&lt;&gt;"pvp",Inputs!$B$44&gt;0),(((R2830-1)*MIN((Skills!T13*(1+Inputs!$B$35/100)),(1/Q2830))+MIN((Skills!T13*(1+Inputs!$B$35/100)),MAX(0,Inputs!$B$44-((R2830-1)*(1/Q2830)))))/Inputs!$B$44),IF(Inputs!$B$39="pvp",MIN((Skills!T13*(1+Inputs!$B$35/100)),15)/15,MIN(1,(Skills!T13*(1+Inputs!$B$35/100))/(1/Q2830)))))+((C2831=TRUE)*F2831*IF(AND(Inputs!$B$39&lt;&gt;"pvp",Inputs!$B$44&gt;0),(((R2831-1)*MIN((Skills!T14*(1+Inputs!$B$35/100)),(1/Q2831))+MIN((Skills!T14*(1+Inputs!$B$35/100)),MAX(0,Inputs!$B$44-((R2831-1)*(1/Q2831)))))/Inputs!$B$44),IF(Inputs!$B$39="pvp",MIN((Skills!T14*(1+Inputs!$B$35/100)),15)/15,MIN(1,(Skills!T14*(1+Inputs!$B$35/100))/(1/Q2831)))))+((C2832=TRUE)*F2832*IF(AND(Inputs!$B$39&lt;&gt;"pvp",Inputs!$B$44&gt;0),(((R2832-1)*MIN((Skills!T15*(1+Inputs!$B$35/100)),(1/Q2832))+MIN((Skills!T15*(1+Inputs!$B$35/100)),MAX(0,Inputs!$B$44-((R2832-1)*(1/Q2832)))))/Inputs!$B$44),IF(Inputs!$B$39="pvp",MIN((Skills!T15*(1+Inputs!$B$35/100)),15)/15,MIN(1,(Skills!T15*(1+Inputs!$B$35/100))/(1/Q2832)))))+((C2833=TRUE)*F2833*IF(AND(Inputs!$B$39&lt;&gt;"pvp",Inputs!$B$44&gt;0),(((R2833-1)*MIN((Skills!T16*(1+Inputs!$B$35/100)),(1/Q2833))+MIN((Skills!T16*(1+Inputs!$B$35/100)),MAX(0,Inputs!$B$44-((R2833-1)*(1/Q2833)))))/Inputs!$B$44),IF(Inputs!$B$39="pvp",MIN((Skills!T16*(1+Inputs!$B$35/100)),15)/15,MIN(1,(Skills!T16*(1+Inputs!$B$35/100))/(1/Q2833)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2829)</f>
        <v/>
      </c>
      <c r="L2829">
        <f>K2829*(MIN(Inputs!$B$23+((C2839=TRUE)*(F2839-Calc!F22)),(Inputs!$B$24+((C2841=TRUE)*(F2841-Calc!F24))+(IF(ArtifactsInput!$M$15,CHOOSE(ArtifactsInput!$N$15+1,25,30,35,40,45,50)/100*(Inputs!$B$12-Inputs!$B$12),0))))/100+(Inputs!$B$24+((C2841=TRUE)*(F2841-Calc!F24))+(IF(ArtifactsInput!$M$15,CHOOSE(ArtifactsInput!$N$15+1,25,30,35,40,45,50)/100*(Inputs!$B$12-Inputs!$B$12),0)))/100)/2</f>
        <v/>
      </c>
      <c r="M2829">
        <f>L2829*(1+(Inputs!$B$11+0+B2851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829">
        <f>L2829*(1-MIN((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2829*(MIN((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29">
        <f>(1-Summary!$B$11)*T2829+Summary!$B$11*V2829</f>
        <v/>
      </c>
      <c r="P2829">
        <f>IF(B2856=0,0,O2829/B2856)</f>
        <v/>
      </c>
      <c r="Q2829">
        <f>IFERROR(1/IF(Inputs!$B$39="pvp",15,MAX(0.1,Skills!D12-IF(TRUE=TRUE,1.0,0))),0)</f>
        <v/>
      </c>
      <c r="R2829">
        <f>IF(AND(Inputs!$B$39&lt;&gt;"pvp",Inputs!$B$44&gt;0),IF(MAX(0,Inputs!$B$44-B2853)&lt;=0,0,(INT(MAX(0,Inputs!$B$44-B2853)/IF(Inputs!$B$39="pvp",15,MAX(0.1,Skills!D12-IF(TRUE=TRUE,1.0,0))))+1)),0)</f>
        <v/>
      </c>
      <c r="S2829">
        <f>IFERROR(O2829/N2829,0)</f>
        <v/>
      </c>
      <c r="T2829">
        <f>IF(C2829,(H2829*N2829*IF(AND(Inputs!$B$39&lt;&gt;"pvp",Inputs!$B$44&gt;0),((Skills!G12*((R2829-1)*IF(Skills!H12&gt;0,INT(Skills!I12/Skills!H12+0.000000001),1)+IF(Skills!H12&gt;0,INT(MIN(Skills!I12,MAX(0,MAX(0,Inputs!$B$44-B2853)-((R2829-1)*IF(Inputs!$B$39="pvp",15,MAX(0.1,Skills!D12-IF(TRUE=TRUE,1.0,0))))))/Skills!H12+0.000000001),1)))/Inputs!$B$44),G2829*Q2829))*IF(Inputs!$B$39="pvp",1,1+(Inputs!$B$21+0+Skills!P12+((C2834=TRUE)*F2834*IF(AND(Inputs!$B$39&lt;&gt;"pvp",Inputs!$B$44&gt;0),(((R2834-1)*MIN((Skills!T17*(1+Inputs!$B$35/100)),(1/Q2834))+MIN((Skills!T17*(1+Inputs!$B$35/100)),MAX(0,Inputs!$B$44-((R2834-1)*(1/Q2834)))))/Inputs!$B$44),IF(Inputs!$B$39="pvp",MIN((Skills!T17*(1+Inputs!$B$35/100)),15)/15,MIN(1,(Skills!T17*(1+Inputs!$B$35/100))/(1/Q2834)))))+((C2822=TRUE)*IF(Inputs!$B$3&gt;=126,10*MIN(1,15*Q2822),0))+((C2831=TRUE)*IF(Inputs!$B$39="pvp",20,(1-Summary!$B$11)*(20)+Summary!$B$11*(0))*IF(AND(Inputs!$B$39&lt;&gt;"pvp",Inputs!$B$44&gt;0),(((R2831-1)*MIN((Skills!T14*(1+Inputs!$B$35/100)),(1/Q2831))+MIN((Skills!T14*(1+Inputs!$B$35/100)),MAX(0,Inputs!$B$44-((R2831-1)*(1/Q2831)))))/Inputs!$B$44),IF(Inputs!$B$39="pvp",MIN((Skills!T14*(1+Inputs!$B$35/100)),15)/15,MIN(1,(Skills!T14*(1+Inputs!$B$35/100))/(1/Q2831)))))+((C2830=TRUE)*IF(Inputs!$B$3&gt;=82,IF(Inputs!$B$39="pvp",20,(1-Summary!$B$11)*(20)+Summary!$B$11*(0)),0)*IF(AND(Inputs!$B$39&lt;&gt;"pvp",Inputs!$B$44&gt;0),(((R2830-1)*MIN((Skills!T13*(1+Inputs!$B$35/100)),(1/Q2830))+MIN((Skills!T13*(1+Inputs!$B$35/100)),MAX(0,Inputs!$B$44-((R2830-1)*(1/Q2830)))))/Inputs!$B$44),IF(Inputs!$B$39="pvp",MIN((Skills!T13*(1+Inputs!$B$35/100)),15)/15,MIN(1,(Skills!T13*(1+Inputs!$B$35/100))/(1/Q2830)))))+(IF(AND(ArtifactsInput!$M$35,Inputs!$B$4&lt;&gt;"Chapter Hunt"),CHOOSE(ArtifactsInput!$N$35+1,15,18,21,24,27,30)*(1-EXP(-(0.2*B2848)*5)),0)+IF(AND(ArtifactsInput!$M$22,Inputs!$B$4&lt;&gt;"Chapter Hunt"),CHOOSE(ArtifactsInput!$N$22+1,10,12,14,16,18,20)*((0*(((0.15*B2848*5))^0/1)+1*(((0.15*B2848*5))^1/1)+2*(((0.15*B2848*5))^2/2)+3*(((0.15*B2848*5))^3/6)+4*(((0.15*B2848*5))^4/24)+5*(((0.15*B2848*5))^5/120))/((((0.15*B2848*5))^0/1)+(((0.15*B2848*5))^1/1)+(((0.15*B2848*5))^2/2)+(((0.15*B2848*5))^3/6)+(((0.15*B2848*5))^4/24)+(((0.15*B2848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2829*(1-MIN(100,(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2829*(MIN(100,(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2829*(1-MIN(100,(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2829*(MIN(100,(Inputs!$B$10+0+B2846+(ArtifactsInput!$M$24-ArtifactsInput!$M$24)*CHOOSE(ArtifactsInput!$N$24+1,10,12,14,16,18,20)+(IF(AND(Inputs!$B$39&lt;&gt;"pvp",Inputs!$B$44=0),1,IF(IF(Inputs!$B$39="pvp",15,Inputs!$B$44)-(B2853)&lt;=0,1,MAX(0,IF(Inputs!$B$39="pvp",15,Inputs!$B$44)-MAX(5,B2853))/(IF(Inputs!$B$39="pvp",15,Inputs!$B$44)-(B2853))))*IF(AND(ArtifactsInput!$M$42,((Inputs!$B$10+0+B2846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29">
        <f>IF(C2829,(H2829*N2829*IF(AND(Inputs!$B$39&lt;&gt;"pvp",Inputs!$B$44&gt;0),((Skills!G12*((R2829-1)*IF(Skills!H12&gt;0,INT(Skills!I12/Skills!H12+0.000000001),1)+IF(Skills!H12&gt;0,INT(MIN(Skills!I12,MAX(0,MAX(0,Inputs!$B$44-B2853)-((R2829-1)*IF(Inputs!$B$39="pvp",15,MAX(0.1,Skills!D12-IF(TRUE=TRUE,1.0,0))))))/Skills!H12+0.000000001),1)))/Inputs!$B$44),G2829*Q2829))*IF(Inputs!$B$39="pvp",1,(1+(Inputs!$B$22+Skills!Q12+((C2834=TRUE)*F2834*IF(AND(Inputs!$B$39&lt;&gt;"pvp",Inputs!$B$44&gt;0),(((R2834-1)*MIN((Skills!T17*(1+Inputs!$B$35/100)),(1/Q2834))+MIN((Skills!T17*(1+Inputs!$B$35/100)),MAX(0,Inputs!$B$44-((R2834-1)*(1/Q2834)))))/Inputs!$B$44),IF(Inputs!$B$39="pvp",MIN((Skills!T17*(1+Inputs!$B$35/100)),15)/15,MIN(1,(Skills!T17*(1+Inputs!$B$35/100))/(1/Q2834)))))+((C2822=TRUE)*IF(Inputs!$B$3&gt;=126,10*MIN(1,15*Q2822),0))+((C2831=TRUE)*IF(Inputs!$B$39="pvp",20,(1-Summary!$B$11)*(20)+Summary!$B$11*(0))*IF(AND(Inputs!$B$39&lt;&gt;"pvp",Inputs!$B$44&gt;0),(((R2831-1)*MIN((Skills!T14*(1+Inputs!$B$35/100)),(1/Q2831))+MIN((Skills!T14*(1+Inputs!$B$35/100)),MAX(0,Inputs!$B$44-((R2831-1)*(1/Q2831)))))/Inputs!$B$44),IF(Inputs!$B$39="pvp",MIN((Skills!T14*(1+Inputs!$B$35/100)),15)/15,MIN(1,(Skills!T14*(1+Inputs!$B$35/100))/(1/Q2831)))))+((C2830=TRUE)*IF(Inputs!$B$3&gt;=82,IF(Inputs!$B$39="pvp",20,(1-Summary!$B$11)*(20)+Summary!$B$11*(0)),0)*IF(AND(Inputs!$B$39&lt;&gt;"pvp",Inputs!$B$44&gt;0),(((R2830-1)*MIN((Skills!T13*(1+Inputs!$B$35/100)),(1/Q2830))+MIN((Skills!T13*(1+Inputs!$B$35/100)),MAX(0,Inputs!$B$44-((R2830-1)*(1/Q2830)))))/Inputs!$B$44),IF(Inputs!$B$39="pvp",MIN((Skills!T13*(1+Inputs!$B$35/100)),15)/15,MIN(1,(Skills!T13*(1+Inputs!$B$35/100))/(1/Q2830)))))+(IF(AND(ArtifactsInput!$M$35,Inputs!$B$4&lt;&gt;"Chapter Hunt"),CHOOSE(ArtifactsInput!$N$35+1,15,18,21,24,27,30)*(1-EXP(-(0.2*B2848)*5)),0)+IF(AND(ArtifactsInput!$M$22,Inputs!$B$4&lt;&gt;"Chapter Hunt"),CHOOSE(ArtifactsInput!$N$22+1,10,12,14,16,18,20)*((0*(((0.15*B2848*5))^0/1)+1*(((0.15*B2848*5))^1/1)+2*(((0.15*B2848*5))^2/2)+3*(((0.15*B2848*5))^3/6)+4*(((0.15*B2848*5))^4/24)+5*(((0.15*B2848*5))^5/120))/((((0.15*B2848*5))^0/1)+(((0.15*B2848*5))^1/1)+(((0.15*B2848*5))^2/2)+(((0.15*B2848*5))^3/6)+(((0.15*B2848*5))^4/24)+(((0.15*B2848*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30">
      <c r="A2830">
        <f>Skills!A13</f>
        <v/>
      </c>
      <c r="B2830">
        <f>Skills!B13</f>
        <v/>
      </c>
      <c r="C2830">
        <f>Inputs!$B$3&gt;=69</f>
        <v/>
      </c>
      <c r="D2830">
        <f>IF(Skills!C13=1,60+Inputs!$B$26+Inputs!$B$30,IF(Skills!C13=2,90+Inputs!$B$27+Inputs!$B$30,IF(Skills!C13=3,120+Inputs!$B$28+Inputs!$B$30,MAX(0,(Inputs!$B$3-100)*3)+Inputs!$B$29+Inputs!$B$30)))</f>
        <v/>
      </c>
      <c r="E2830">
        <f>INDEX(FactorTable!$B$2:$Y$301, MATCH(ROUND(MIN(300,MAX(1,D2830)),0), FactorTable!$A$2:$A$301,0), Skills!M13+1)</f>
        <v/>
      </c>
      <c r="F2830">
        <f>IF(Skills!N13=TRUE,(Skills!L13/10)*(E2830/1000),Skills!L13/10)+Skills!O13</f>
        <v/>
      </c>
      <c r="G2830">
        <f>Skills!G13*IF(Skills!H13&gt;0,INT(IF(Inputs!$B$39="pvp",MIN(Skills!I13,15),Skills!I13)/Skills!H13+0.000000001),1)</f>
        <v/>
      </c>
      <c r="H2830">
        <f>1-(1-Skills!J13/100)^Skills!K13</f>
        <v/>
      </c>
      <c r="I2830" t="inlineStr">
        <is>
          <t>1</t>
        </is>
      </c>
      <c r="J2830" t="inlineStr"/>
      <c r="K2830" t="inlineStr"/>
      <c r="L2830" t="inlineStr"/>
      <c r="M2830" t="inlineStr"/>
      <c r="N2830" t="inlineStr"/>
      <c r="O2830">
        <f>(1-Summary!$B$11)*T2830+Summary!$B$11*V2830</f>
        <v/>
      </c>
      <c r="P2830">
        <f>IF(B2856=0,0,O2830/B2856)</f>
        <v/>
      </c>
      <c r="Q2830">
        <f>IFERROR(1/IF(Inputs!$B$39="pvp",15,MAX(0.1,Skills!D13-IF(TRUE=TRUE,1.0,0))),0)</f>
        <v/>
      </c>
      <c r="R2830">
        <f>IF(AND(Inputs!$B$39&lt;&gt;"pvp",Inputs!$B$44&gt;0),IF(Inputs!$B$44&lt;=0,0,(INT(Inputs!$B$44/IF(Inputs!$B$39="pvp",15,MAX(0.1,Skills!D13-IF(TRUE=TRUE,1.0,0))))+1)),0)</f>
        <v/>
      </c>
      <c r="S2830">
        <f>IFERROR(O2830/N2830,0)</f>
        <v/>
      </c>
      <c r="T2830" t="n">
        <v>0</v>
      </c>
      <c r="V2830" t="n">
        <v>0</v>
      </c>
    </row>
    <row r="2831">
      <c r="A2831">
        <f>Skills!A14</f>
        <v/>
      </c>
      <c r="B2831">
        <f>Skills!B14</f>
        <v/>
      </c>
      <c r="C2831">
        <f>Inputs!$B$3&gt;=115</f>
        <v/>
      </c>
      <c r="D2831">
        <f>IF(Skills!C14=1,60+Inputs!$B$26+Inputs!$B$30,IF(Skills!C14=2,90+Inputs!$B$27+Inputs!$B$30,IF(Skills!C14=3,120+Inputs!$B$28+Inputs!$B$30,MAX(0,(Inputs!$B$3-100)*3)+Inputs!$B$29+Inputs!$B$30)))</f>
        <v/>
      </c>
      <c r="E2831">
        <f>INDEX(FactorTable!$B$2:$Y$301, MATCH(ROUND(MIN(300,MAX(1,D2831)),0), FactorTable!$A$2:$A$301,0), Skills!M14+1)</f>
        <v/>
      </c>
      <c r="F2831">
        <f>IF(Skills!N14=TRUE,(Skills!L14/10)*(E2831/1000),Skills!L14/10)+Skills!O14</f>
        <v/>
      </c>
      <c r="G2831">
        <f>Skills!G14*IF(Skills!H14&gt;0,INT(IF(Inputs!$B$39="pvp",MIN(Skills!I14,15),Skills!I14)/Skills!H14+0.000000001),1)</f>
        <v/>
      </c>
      <c r="H2831">
        <f>1-(1-Skills!J14/100)^Skills!K14</f>
        <v/>
      </c>
      <c r="I2831" t="inlineStr">
        <is>
          <t>1</t>
        </is>
      </c>
      <c r="J2831" t="inlineStr"/>
      <c r="K2831" t="inlineStr"/>
      <c r="L2831" t="inlineStr"/>
      <c r="M2831" t="inlineStr"/>
      <c r="N2831" t="inlineStr"/>
      <c r="O2831">
        <f>(1-Summary!$B$11)*T2831+Summary!$B$11*V2831</f>
        <v/>
      </c>
      <c r="P2831">
        <f>IF(B2856=0,0,O2831/B2856)</f>
        <v/>
      </c>
      <c r="Q2831">
        <f>IFERROR(1/IF(Inputs!$B$39="pvp",15,MAX(0.1,Skills!D14-IF(TRUE=TRUE,1.0,0))),0)</f>
        <v/>
      </c>
      <c r="R2831">
        <f>IF(AND(Inputs!$B$39&lt;&gt;"pvp",Inputs!$B$44&gt;0),IF(Inputs!$B$44&lt;=0,0,(INT(Inputs!$B$44/IF(Inputs!$B$39="pvp",15,MAX(0.1,Skills!D14-IF(TRUE=TRUE,1.0,0))))+1)),0)</f>
        <v/>
      </c>
      <c r="S2831">
        <f>IFERROR(O2831/N2831,0)</f>
        <v/>
      </c>
      <c r="T2831" t="n">
        <v>0</v>
      </c>
      <c r="V2831" t="n">
        <v>0</v>
      </c>
    </row>
    <row r="2832">
      <c r="A2832">
        <f>Skills!A15</f>
        <v/>
      </c>
      <c r="B2832">
        <f>Skills!B15</f>
        <v/>
      </c>
      <c r="C2832">
        <f>Inputs!$B$3&gt;=66</f>
        <v/>
      </c>
      <c r="D2832">
        <f>IF(Skills!C15=1,60+Inputs!$B$26+Inputs!$B$30,IF(Skills!C15=2,90+Inputs!$B$27+Inputs!$B$30,IF(Skills!C15=3,120+Inputs!$B$28+Inputs!$B$30,MAX(0,(Inputs!$B$3-100)*3)+Inputs!$B$29+Inputs!$B$30)))</f>
        <v/>
      </c>
      <c r="E2832">
        <f>INDEX(FactorTable!$B$2:$Y$301, MATCH(ROUND(MIN(300,MAX(1,D2832)),0), FactorTable!$A$2:$A$301,0), Skills!M15+1)</f>
        <v/>
      </c>
      <c r="F2832">
        <f>IF(Skills!N15=TRUE,(Skills!L15/10)*(E2832/1000),Skills!L15/10)+Skills!O15</f>
        <v/>
      </c>
      <c r="G2832">
        <f>Skills!G15*IF(Skills!H15&gt;0,INT(IF(Inputs!$B$39="pvp",MIN(Skills!I15,15),Skills!I15)/Skills!H15+0.000000001),1)</f>
        <v/>
      </c>
      <c r="H2832">
        <f>1-(1-Skills!J15/100)^Skills!K15</f>
        <v/>
      </c>
      <c r="I2832" t="inlineStr">
        <is>
          <t>1</t>
        </is>
      </c>
      <c r="J2832" t="inlineStr"/>
      <c r="K2832" t="inlineStr"/>
      <c r="L2832" t="inlineStr"/>
      <c r="M2832" t="inlineStr"/>
      <c r="N2832" t="inlineStr"/>
      <c r="O2832">
        <f>(1-Summary!$B$11)*T2832+Summary!$B$11*V2832</f>
        <v/>
      </c>
      <c r="P2832">
        <f>IF(B2856=0,0,O2832/B2856)</f>
        <v/>
      </c>
      <c r="Q2832">
        <f>IFERROR(1/IF(Inputs!$B$39="pvp",15,MAX(0.1,Skills!D15-IF(TRUE=TRUE,1.0,0))),0)</f>
        <v/>
      </c>
      <c r="R2832">
        <f>IF(AND(Inputs!$B$39&lt;&gt;"pvp",Inputs!$B$44&gt;0),IF(Inputs!$B$44&lt;=0,0,(INT(Inputs!$B$44/IF(Inputs!$B$39="pvp",15,MAX(0.1,Skills!D15-IF(TRUE=TRUE,1.0,0))))+1)),0)</f>
        <v/>
      </c>
      <c r="S2832">
        <f>IFERROR(O2832/N2832,0)</f>
        <v/>
      </c>
      <c r="T2832" t="n">
        <v>0</v>
      </c>
      <c r="V2832" t="n">
        <v>0</v>
      </c>
    </row>
    <row r="2833">
      <c r="A2833">
        <f>Skills!A16</f>
        <v/>
      </c>
      <c r="B2833">
        <f>Skills!B16</f>
        <v/>
      </c>
      <c r="C2833">
        <f>Inputs!$B$3&gt;=45</f>
        <v/>
      </c>
      <c r="D2833">
        <f>IF(Skills!C16=1,60+Inputs!$B$26+Inputs!$B$30,IF(Skills!C16=2,90+Inputs!$B$27+Inputs!$B$30,IF(Skills!C16=3,120+Inputs!$B$28+Inputs!$B$30,MAX(0,(Inputs!$B$3-100)*3)+Inputs!$B$29+Inputs!$B$30)))</f>
        <v/>
      </c>
      <c r="E2833">
        <f>INDEX(FactorTable!$B$2:$Y$301, MATCH(ROUND(MIN(300,MAX(1,D2833)),0), FactorTable!$A$2:$A$301,0), Skills!M16+1)</f>
        <v/>
      </c>
      <c r="F2833">
        <f>IF(Skills!N16=TRUE,(Skills!L16/10)*(E2833/1000),Skills!L16/10)+Skills!O16</f>
        <v/>
      </c>
      <c r="G2833">
        <f>Skills!G16*IF(Skills!H16&gt;0,INT(IF(Inputs!$B$39="pvp",MIN(Skills!I16,15),Skills!I16)/Skills!H16+0.000000001),1)</f>
        <v/>
      </c>
      <c r="H2833">
        <f>1-(1-Skills!J16/100)^Skills!K16</f>
        <v/>
      </c>
      <c r="I2833" t="inlineStr">
        <is>
          <t>1</t>
        </is>
      </c>
      <c r="J2833" t="inlineStr"/>
      <c r="K2833" t="inlineStr"/>
      <c r="L2833" t="inlineStr"/>
      <c r="M2833" t="inlineStr"/>
      <c r="N2833" t="inlineStr"/>
      <c r="O2833">
        <f>(1-Summary!$B$11)*T2833+Summary!$B$11*V2833</f>
        <v/>
      </c>
      <c r="P2833">
        <f>IF(B2856=0,0,O2833/B2856)</f>
        <v/>
      </c>
      <c r="Q2833">
        <f>IFERROR(1/IF(Inputs!$B$39="pvp",15,MAX(0.1,Skills!D16-IF(TRUE=TRUE,1.0,0))),0)</f>
        <v/>
      </c>
      <c r="R2833">
        <f>IF(AND(Inputs!$B$39&lt;&gt;"pvp",Inputs!$B$44&gt;0),IF(Inputs!$B$44&lt;=0,0,(INT(Inputs!$B$44/IF(Inputs!$B$39="pvp",15,MAX(0.1,Skills!D16-IF(TRUE=TRUE,1.0,0))))+1)),0)</f>
        <v/>
      </c>
      <c r="S2833">
        <f>IFERROR(O2833/N2833,0)</f>
        <v/>
      </c>
      <c r="T2833" t="n">
        <v>0</v>
      </c>
      <c r="V2833" t="n">
        <v>0</v>
      </c>
    </row>
    <row r="2834">
      <c r="A2834">
        <f>Skills!A17</f>
        <v/>
      </c>
      <c r="B2834">
        <f>Skills!B17</f>
        <v/>
      </c>
      <c r="C2834">
        <f>Inputs!$B$3&gt;=35</f>
        <v/>
      </c>
      <c r="D2834">
        <f>IF(Skills!C17=1,60+Inputs!$B$26+Inputs!$B$30,IF(Skills!C17=2,90+Inputs!$B$27+Inputs!$B$30,IF(Skills!C17=3,120+Inputs!$B$28+Inputs!$B$30,MAX(0,(Inputs!$B$3-100)*3)+Inputs!$B$29+Inputs!$B$30)))</f>
        <v/>
      </c>
      <c r="E2834">
        <f>INDEX(FactorTable!$B$2:$Y$301, MATCH(ROUND(MIN(300,MAX(1,D2834)),0), FactorTable!$A$2:$A$301,0), Skills!M17+1)</f>
        <v/>
      </c>
      <c r="F2834">
        <f>IF(Skills!N17=TRUE,(Skills!L17/10)*(E2834/1000),Skills!L17/10)+Skills!O17</f>
        <v/>
      </c>
      <c r="G2834">
        <f>Skills!G17*IF(Skills!H17&gt;0,INT(IF(Inputs!$B$39="pvp",MIN(Skills!I17,15),Skills!I17)/Skills!H17+0.000000001),1)</f>
        <v/>
      </c>
      <c r="H2834">
        <f>1-(1-Skills!J17/100)^Skills!K17</f>
        <v/>
      </c>
      <c r="I2834" t="inlineStr">
        <is>
          <t>1</t>
        </is>
      </c>
      <c r="J2834" t="inlineStr"/>
      <c r="K2834" t="inlineStr"/>
      <c r="L2834" t="inlineStr"/>
      <c r="M2834" t="inlineStr"/>
      <c r="N2834" t="inlineStr"/>
      <c r="O2834">
        <f>(1-Summary!$B$11)*T2834+Summary!$B$11*V2834</f>
        <v/>
      </c>
      <c r="P2834">
        <f>IF(B2856=0,0,O2834/B2856)</f>
        <v/>
      </c>
      <c r="Q2834">
        <f>IFERROR(1/IF(Inputs!$B$39="pvp",15,MAX(0.1,Skills!D17-IF(TRUE=TRUE,1.0,0))),0)</f>
        <v/>
      </c>
      <c r="R2834">
        <f>IF(AND(Inputs!$B$39&lt;&gt;"pvp",Inputs!$B$44&gt;0),IF(Inputs!$B$44&lt;=0,0,(INT(Inputs!$B$44/IF(Inputs!$B$39="pvp",15,MAX(0.1,Skills!D17-IF(TRUE=TRUE,1.0,0))))+1)),0)</f>
        <v/>
      </c>
      <c r="S2834">
        <f>IFERROR(O2834/N2834,0)</f>
        <v/>
      </c>
      <c r="T2834" t="n">
        <v>0</v>
      </c>
      <c r="V2834" t="n">
        <v>0</v>
      </c>
    </row>
    <row r="2835">
      <c r="A2835">
        <f>Skills!A18</f>
        <v/>
      </c>
      <c r="B2835">
        <f>Skills!B18</f>
        <v/>
      </c>
      <c r="C2835">
        <f>Inputs!$B$3&gt;=72</f>
        <v/>
      </c>
      <c r="D2835">
        <f>IF(Skills!C18=1,60+Inputs!$B$26+Inputs!$B$30,IF(Skills!C18=2,90+Inputs!$B$27+Inputs!$B$30,IF(Skills!C18=3,120+Inputs!$B$28+Inputs!$B$30,MAX(0,(Inputs!$B$3-100)*3)+Inputs!$B$29+Inputs!$B$30)))</f>
        <v/>
      </c>
      <c r="E2835">
        <f>INDEX(FactorTable!$B$2:$Y$301, MATCH(ROUND(MIN(300,MAX(1,D2835)),0), FactorTable!$A$2:$A$301,0), Skills!M18+1)</f>
        <v/>
      </c>
      <c r="F2835">
        <f>IF(Skills!N18=TRUE,(Skills!L18/10)*(E2835/1000),Skills!L18/10)+Skills!O18</f>
        <v/>
      </c>
      <c r="G2835">
        <f>Skills!G18*IF(Skills!H18&gt;0,INT(IF(Inputs!$B$39="pvp",MIN(Skills!I18,15),Skills!I18)/Skills!H18+0.000000001),1)</f>
        <v/>
      </c>
      <c r="H2835">
        <f>1-(1-Skills!J18/100)^Skills!K18</f>
        <v/>
      </c>
      <c r="I2835" t="inlineStr">
        <is>
          <t>1</t>
        </is>
      </c>
      <c r="J2835" t="inlineStr"/>
      <c r="K2835" t="inlineStr"/>
      <c r="L2835" t="inlineStr"/>
      <c r="M2835" t="inlineStr"/>
      <c r="N2835" t="inlineStr"/>
      <c r="O2835">
        <f>(1-Summary!$B$11)*T2835+Summary!$B$11*V2835</f>
        <v/>
      </c>
      <c r="P2835">
        <f>IF(B2856=0,0,O2835/B2856)</f>
        <v/>
      </c>
      <c r="Q2835">
        <f>IFERROR(1/IF(Inputs!$B$39="pvp",15,MAX(0.1,Skills!D18-IF(TRUE=TRUE,1.0,0))),0)</f>
        <v/>
      </c>
      <c r="R2835">
        <f>IF(AND(Inputs!$B$39&lt;&gt;"pvp",Inputs!$B$44&gt;0),IF(Inputs!$B$44&lt;=0,0,(INT(Inputs!$B$44/IF(Inputs!$B$39="pvp",15,MAX(0.1,Skills!D18-IF(TRUE=TRUE,1.0,0))))+1)),0)</f>
        <v/>
      </c>
      <c r="S2835">
        <f>IFERROR(O2835/N2835,0)</f>
        <v/>
      </c>
      <c r="T2835" t="n">
        <v>0</v>
      </c>
      <c r="V2835" t="n">
        <v>0</v>
      </c>
    </row>
    <row r="2836">
      <c r="A2836">
        <f>Skills!A19</f>
        <v/>
      </c>
      <c r="B2836">
        <f>Skills!B19</f>
        <v/>
      </c>
      <c r="C2836">
        <f>Inputs!$B$3&gt;=72</f>
        <v/>
      </c>
      <c r="D2836">
        <f>IF(Skills!C19=1,60+Inputs!$B$26+Inputs!$B$30,IF(Skills!C19=2,90+Inputs!$B$27+Inputs!$B$30,IF(Skills!C19=3,120+Inputs!$B$28+Inputs!$B$30,MAX(0,(Inputs!$B$3-100)*3)+Inputs!$B$29+Inputs!$B$30)))</f>
        <v/>
      </c>
      <c r="E2836">
        <f>INDEX(FactorTable!$B$2:$Y$301, MATCH(ROUND(MIN(300,MAX(1,D2836)),0), FactorTable!$A$2:$A$301,0), Skills!M19+1)</f>
        <v/>
      </c>
      <c r="F2836">
        <f>IF(Skills!N19=TRUE,(Skills!L19/10)*(E2836/1000),Skills!L19/10)+Skills!O19</f>
        <v/>
      </c>
      <c r="G2836">
        <f>Skills!G19*IF(Skills!H19&gt;0,INT(IF(Inputs!$B$39="pvp",MIN(Skills!I19,15),Skills!I19)/Skills!H19+0.000000001),1)</f>
        <v/>
      </c>
      <c r="H2836">
        <f>1-(1-Skills!J19/100)^Skills!K19</f>
        <v/>
      </c>
      <c r="I2836" t="inlineStr">
        <is>
          <t>1</t>
        </is>
      </c>
      <c r="J2836" t="inlineStr"/>
      <c r="K2836" t="inlineStr"/>
      <c r="L2836" t="inlineStr"/>
      <c r="M2836" t="inlineStr"/>
      <c r="N2836" t="inlineStr"/>
      <c r="O2836">
        <f>(1-Summary!$B$11)*T2836+Summary!$B$11*V2836</f>
        <v/>
      </c>
      <c r="P2836">
        <f>IF(B2856=0,0,O2836/B2856)</f>
        <v/>
      </c>
      <c r="Q2836">
        <f>IFERROR(1/IF(Inputs!$B$39="pvp",15,MAX(0.1,Skills!D19-IF(TRUE=TRUE,1.0,0))),0)</f>
        <v/>
      </c>
      <c r="R2836">
        <f>IF(AND(Inputs!$B$39&lt;&gt;"pvp",Inputs!$B$44&gt;0),IF(Inputs!$B$44&lt;=0,0,(INT(Inputs!$B$44/IF(Inputs!$B$39="pvp",15,MAX(0.1,Skills!D19-IF(TRUE=TRUE,1.0,0))))+1)),0)</f>
        <v/>
      </c>
      <c r="S2836">
        <f>IFERROR(O2836/N2836,0)</f>
        <v/>
      </c>
      <c r="T2836" t="n">
        <v>0</v>
      </c>
      <c r="V2836" t="n">
        <v>0</v>
      </c>
    </row>
    <row r="2837">
      <c r="A2837">
        <f>Skills!A20</f>
        <v/>
      </c>
      <c r="B2837">
        <f>Skills!B20</f>
        <v/>
      </c>
      <c r="C2837">
        <f>TRUE</f>
        <v/>
      </c>
      <c r="D2837">
        <f>IF(Skills!C20=1,60+Inputs!$B$26+Inputs!$B$30,IF(Skills!C20=2,90+Inputs!$B$27+Inputs!$B$30,IF(Skills!C20=3,120+Inputs!$B$28+Inputs!$B$30,MAX(0,(Inputs!$B$3-100)*3)+Inputs!$B$29+Inputs!$B$30)))</f>
        <v/>
      </c>
      <c r="E2837">
        <f>INDEX(FactorTable!$B$2:$Y$301, MATCH(ROUND(MIN(300,MAX(1,D2837)),0), FactorTable!$A$2:$A$301,0), Skills!M20+1)</f>
        <v/>
      </c>
      <c r="F2837">
        <f>IF(Skills!N20=TRUE,(Skills!L20/10)*(E2837/1000),Skills!L20/10)+Skills!O20</f>
        <v/>
      </c>
      <c r="G2837">
        <f>Skills!G20*IF(Skills!H20&gt;0,INT(IF(Inputs!$B$39="pvp",MIN(Skills!I20,15),Skills!I20)/Skills!H20+0.000000001),1)</f>
        <v/>
      </c>
      <c r="H2837">
        <f>1-(1-Skills!J20/100)^Skills!K20</f>
        <v/>
      </c>
      <c r="I2837" t="inlineStr">
        <is>
          <t>1</t>
        </is>
      </c>
      <c r="J2837" t="inlineStr"/>
      <c r="K2837" t="inlineStr"/>
      <c r="L2837" t="inlineStr"/>
      <c r="M2837" t="inlineStr"/>
      <c r="N2837" t="inlineStr"/>
      <c r="O2837">
        <f>(1-Summary!$B$11)*T2837+Summary!$B$11*V2837</f>
        <v/>
      </c>
      <c r="P2837">
        <f>IF(B2856=0,0,O2837/B2856)</f>
        <v/>
      </c>
      <c r="Q2837">
        <f>IFERROR(1/IF(Inputs!$B$39="pvp",15,MAX(0.1,Skills!D20-IF(TRUE=TRUE,1.0,0))),0)</f>
        <v/>
      </c>
      <c r="R2837">
        <f>IF(AND(Inputs!$B$39&lt;&gt;"pvp",Inputs!$B$44&gt;0),IF(Inputs!$B$44&lt;=0,0,(INT(Inputs!$B$44/IF(Inputs!$B$39="pvp",15,MAX(0.1,Skills!D20-IF(TRUE=TRUE,1.0,0))))+1)),0)</f>
        <v/>
      </c>
      <c r="S2837">
        <f>IFERROR(O2837/N2837,0)</f>
        <v/>
      </c>
      <c r="T2837" t="n">
        <v>0</v>
      </c>
      <c r="V2837" t="n">
        <v>0</v>
      </c>
    </row>
    <row r="2838">
      <c r="A2838">
        <f>Skills!A21</f>
        <v/>
      </c>
      <c r="B2838">
        <f>Skills!B21</f>
        <v/>
      </c>
      <c r="C2838">
        <f>Inputs!$B$3&gt;=33</f>
        <v/>
      </c>
      <c r="D2838">
        <f>IF(Skills!C21=1,60+Inputs!$B$26+Inputs!$B$30,IF(Skills!C21=2,90+Inputs!$B$27+Inputs!$B$30,IF(Skills!C21=3,120+Inputs!$B$28+Inputs!$B$30,MAX(0,(Inputs!$B$3-100)*3)+Inputs!$B$29+Inputs!$B$30)))</f>
        <v/>
      </c>
      <c r="E2838">
        <f>INDEX(FactorTable!$B$2:$Y$301, MATCH(ROUND(MIN(300,MAX(1,D2838)),0), FactorTable!$A$2:$A$301,0), Skills!M21+1)</f>
        <v/>
      </c>
      <c r="F2838">
        <f>IF(Skills!N21=TRUE,(Skills!L21/10)*(E2838/1000),Skills!L21/10)+Skills!O21</f>
        <v/>
      </c>
      <c r="G2838">
        <f>Skills!G21*IF(Skills!H21&gt;0,INT(IF(Inputs!$B$39="pvp",MIN(Skills!I21,15),Skills!I21)/Skills!H21+0.000000001),1)</f>
        <v/>
      </c>
      <c r="H2838">
        <f>1-(1-Skills!J21/100)^Skills!K21</f>
        <v/>
      </c>
      <c r="I2838" t="inlineStr">
        <is>
          <t>1</t>
        </is>
      </c>
      <c r="J2838" t="inlineStr"/>
      <c r="K2838" t="inlineStr"/>
      <c r="L2838" t="inlineStr"/>
      <c r="M2838" t="inlineStr"/>
      <c r="N2838" t="inlineStr"/>
      <c r="O2838">
        <f>(1-Summary!$B$11)*T2838+Summary!$B$11*V2838</f>
        <v/>
      </c>
      <c r="P2838">
        <f>IF(B2856=0,0,O2838/B2856)</f>
        <v/>
      </c>
      <c r="Q2838" t="n">
        <v>0</v>
      </c>
      <c r="R2838" t="n">
        <v>0</v>
      </c>
      <c r="S2838">
        <f>IFERROR(O2838/N2838,0)</f>
        <v/>
      </c>
      <c r="T2838" t="n">
        <v>0</v>
      </c>
      <c r="V2838" t="n">
        <v>0</v>
      </c>
    </row>
    <row r="2839">
      <c r="A2839">
        <f>Skills!A22</f>
        <v/>
      </c>
      <c r="B2839">
        <f>Skills!B22</f>
        <v/>
      </c>
      <c r="C2839">
        <f>Inputs!$B$3&gt;=43</f>
        <v/>
      </c>
      <c r="D2839">
        <f>IF(Skills!C22=1,60+Inputs!$B$26+Inputs!$B$30,IF(Skills!C22=2,90+Inputs!$B$27+Inputs!$B$30,IF(Skills!C22=3,120+Inputs!$B$28+Inputs!$B$30,MAX(0,(Inputs!$B$3-100)*3)+Inputs!$B$29+Inputs!$B$30)))</f>
        <v/>
      </c>
      <c r="E2839">
        <f>INDEX(FactorTable!$B$2:$Y$301, MATCH(ROUND(MIN(300,MAX(1,D2839)),0), FactorTable!$A$2:$A$301,0), Skills!M22+1)</f>
        <v/>
      </c>
      <c r="F2839">
        <f>IF(Skills!N22=TRUE,(Skills!L22/10)*(E2839/1000),Skills!L22/10)+Skills!O22</f>
        <v/>
      </c>
      <c r="G2839">
        <f>Skills!G22*IF(Skills!H22&gt;0,INT(IF(Inputs!$B$39="pvp",MIN(Skills!I22,15),Skills!I22)/Skills!H22+0.000000001),1)</f>
        <v/>
      </c>
      <c r="H2839">
        <f>1-(1-Skills!J22/100)^Skills!K22</f>
        <v/>
      </c>
      <c r="I2839" t="inlineStr">
        <is>
          <t>1</t>
        </is>
      </c>
      <c r="J2839" t="inlineStr"/>
      <c r="K2839" t="inlineStr"/>
      <c r="L2839" t="inlineStr"/>
      <c r="M2839" t="inlineStr"/>
      <c r="N2839" t="inlineStr"/>
      <c r="O2839">
        <f>(1-Summary!$B$11)*T2839+Summary!$B$11*V2839</f>
        <v/>
      </c>
      <c r="P2839">
        <f>IF(B2856=0,0,O2839/B2856)</f>
        <v/>
      </c>
      <c r="Q2839" t="n">
        <v>0</v>
      </c>
      <c r="R2839" t="n">
        <v>0</v>
      </c>
      <c r="S2839">
        <f>IFERROR(O2839/N2839,0)</f>
        <v/>
      </c>
      <c r="T2839" t="n">
        <v>0</v>
      </c>
      <c r="V2839" t="n">
        <v>0</v>
      </c>
    </row>
    <row r="2840">
      <c r="A2840">
        <f>Skills!A23</f>
        <v/>
      </c>
      <c r="B2840">
        <f>Skills!B23</f>
        <v/>
      </c>
      <c r="C2840">
        <f>Inputs!$B$3&gt;=120</f>
        <v/>
      </c>
      <c r="D2840">
        <f>IF(Skills!C23=1,60+Inputs!$B$26+Inputs!$B$30,IF(Skills!C23=2,90+Inputs!$B$27+Inputs!$B$30,IF(Skills!C23=3,120+Inputs!$B$28+Inputs!$B$30,MAX(0,(Inputs!$B$3-100)*3)+Inputs!$B$29+Inputs!$B$30)))</f>
        <v/>
      </c>
      <c r="E2840">
        <f>INDEX(FactorTable!$B$2:$Y$301, MATCH(ROUND(MIN(300,MAX(1,D2840)),0), FactorTable!$A$2:$A$301,0), Skills!M23+1)</f>
        <v/>
      </c>
      <c r="F2840">
        <f>IF(Skills!N23=TRUE,(Skills!L23/10)*(E2840/1000),Skills!L23/10)+Skills!O23</f>
        <v/>
      </c>
      <c r="G2840">
        <f>Skills!G23*IF(Skills!H23&gt;0,INT(IF(Inputs!$B$39="pvp",MIN(Skills!I23,15),Skills!I23)/Skills!H23+0.000000001),1)</f>
        <v/>
      </c>
      <c r="H2840">
        <f>1-(1-Skills!J23/100)^Skills!K23</f>
        <v/>
      </c>
      <c r="I2840" t="inlineStr">
        <is>
          <t>1</t>
        </is>
      </c>
      <c r="J2840" t="inlineStr"/>
      <c r="K2840" t="inlineStr"/>
      <c r="L2840" t="inlineStr"/>
      <c r="M2840" t="inlineStr"/>
      <c r="N2840" t="inlineStr"/>
      <c r="O2840">
        <f>(1-Summary!$B$11)*T2840+Summary!$B$11*V2840</f>
        <v/>
      </c>
      <c r="P2840">
        <f>IF(B2856=0,0,O2840/B2856)</f>
        <v/>
      </c>
      <c r="Q2840" t="n">
        <v>0</v>
      </c>
      <c r="R2840" t="n">
        <v>0</v>
      </c>
      <c r="S2840">
        <f>IFERROR(O2840/N2840,0)</f>
        <v/>
      </c>
      <c r="T2840" t="n">
        <v>0</v>
      </c>
      <c r="V2840" t="n">
        <v>0</v>
      </c>
    </row>
    <row r="2841">
      <c r="A2841">
        <f>Skills!A24</f>
        <v/>
      </c>
      <c r="B2841">
        <f>Skills!B24</f>
        <v/>
      </c>
      <c r="C2841">
        <f>Inputs!$B$3&gt;=120</f>
        <v/>
      </c>
      <c r="D2841">
        <f>IF(Skills!C24=1,60+Inputs!$B$26+Inputs!$B$30,IF(Skills!C24=2,90+Inputs!$B$27+Inputs!$B$30,IF(Skills!C24=3,120+Inputs!$B$28+Inputs!$B$30,MAX(0,(Inputs!$B$3-100)*3)+Inputs!$B$29+Inputs!$B$30)))</f>
        <v/>
      </c>
      <c r="E2841">
        <f>INDEX(FactorTable!$B$2:$Y$301, MATCH(ROUND(MIN(300,MAX(1,D2841)),0), FactorTable!$A$2:$A$301,0), Skills!M24+1)</f>
        <v/>
      </c>
      <c r="F2841">
        <f>IF(Skills!N24=TRUE,(Skills!L24/10)*(E2841/1000),Skills!L24/10)+Skills!O24</f>
        <v/>
      </c>
      <c r="G2841">
        <f>Skills!G24*IF(Skills!H24&gt;0,INT(IF(Inputs!$B$39="pvp",MIN(Skills!I24,15),Skills!I24)/Skills!H24+0.000000001),1)</f>
        <v/>
      </c>
      <c r="H2841">
        <f>1-(1-Skills!J24/100)^Skills!K24</f>
        <v/>
      </c>
      <c r="I2841" t="inlineStr">
        <is>
          <t>1</t>
        </is>
      </c>
      <c r="J2841" t="inlineStr"/>
      <c r="K2841" t="inlineStr"/>
      <c r="L2841" t="inlineStr"/>
      <c r="M2841" t="inlineStr"/>
      <c r="N2841" t="inlineStr"/>
      <c r="O2841">
        <f>(1-Summary!$B$11)*T2841+Summary!$B$11*V2841</f>
        <v/>
      </c>
      <c r="P2841">
        <f>IF(B2856=0,0,O2841/B2856)</f>
        <v/>
      </c>
      <c r="Q2841" t="n">
        <v>0</v>
      </c>
      <c r="R2841" t="n">
        <v>0</v>
      </c>
      <c r="S2841">
        <f>IFERROR(O2841/N2841,0)</f>
        <v/>
      </c>
      <c r="T2841" t="n">
        <v>0</v>
      </c>
      <c r="V2841" t="n">
        <v>0</v>
      </c>
    </row>
    <row r="2842">
      <c r="A2842">
        <f>Skills!A25</f>
        <v/>
      </c>
      <c r="B2842">
        <f>Skills!B25</f>
        <v/>
      </c>
      <c r="C2842">
        <f>Inputs!$B$3&gt;=125</f>
        <v/>
      </c>
      <c r="D2842">
        <f>IF(Skills!C25=1,60+Inputs!$B$26+Inputs!$B$30,IF(Skills!C25=2,90+Inputs!$B$27+Inputs!$B$30,IF(Skills!C25=3,120+Inputs!$B$28+Inputs!$B$30,MAX(0,(Inputs!$B$3-100)*3)+Inputs!$B$29+Inputs!$B$30)))</f>
        <v/>
      </c>
      <c r="E2842">
        <f>INDEX(FactorTable!$B$2:$Y$301, MATCH(ROUND(MIN(300,MAX(1,D2842)),0), FactorTable!$A$2:$A$301,0), Skills!M25+1)</f>
        <v/>
      </c>
      <c r="F2842">
        <f>IF(Skills!N25=TRUE,(Skills!L25/10)*(E2842/1000),Skills!L25/10)+Skills!O25</f>
        <v/>
      </c>
      <c r="G2842">
        <f>Skills!G25*IF(Skills!H25&gt;0,INT(IF(Inputs!$B$39="pvp",MIN(Skills!I25,15),Skills!I25)/Skills!H25+0.000000001),1)</f>
        <v/>
      </c>
      <c r="H2842">
        <f>1-(1-Skills!J25/100)^Skills!K25</f>
        <v/>
      </c>
      <c r="I2842" t="inlineStr">
        <is>
          <t>1</t>
        </is>
      </c>
      <c r="J2842" t="inlineStr"/>
      <c r="K2842" t="inlineStr"/>
      <c r="L2842" t="inlineStr"/>
      <c r="M2842" t="inlineStr"/>
      <c r="N2842" t="inlineStr"/>
      <c r="O2842">
        <f>(1-Summary!$B$11)*T2842+Summary!$B$11*V2842</f>
        <v/>
      </c>
      <c r="P2842">
        <f>IF(B2856=0,0,O2842/B2856)</f>
        <v/>
      </c>
      <c r="Q2842" t="n">
        <v>0</v>
      </c>
      <c r="R2842" t="n">
        <v>0</v>
      </c>
      <c r="S2842">
        <f>IFERROR(O2842/N2842,0)</f>
        <v/>
      </c>
      <c r="T2842" t="n">
        <v>0</v>
      </c>
      <c r="V2842" t="n">
        <v>0</v>
      </c>
    </row>
    <row r="2843">
      <c r="A2843">
        <f>Skills!A26</f>
        <v/>
      </c>
      <c r="B2843">
        <f>Skills!B26</f>
        <v/>
      </c>
      <c r="C2843">
        <f>Inputs!$B$3&gt;=107</f>
        <v/>
      </c>
      <c r="D2843">
        <f>IF(Skills!C26=1,60+Inputs!$B$26+Inputs!$B$30,IF(Skills!C26=2,90+Inputs!$B$27+Inputs!$B$30,IF(Skills!C26=3,120+Inputs!$B$28+Inputs!$B$30,MAX(0,(Inputs!$B$3-100)*3)+Inputs!$B$29+Inputs!$B$30)))</f>
        <v/>
      </c>
      <c r="E2843">
        <f>INDEX(FactorTable!$B$2:$Y$301, MATCH(ROUND(MIN(300,MAX(1,D2843)),0), FactorTable!$A$2:$A$301,0), Skills!M26+1)</f>
        <v/>
      </c>
      <c r="F2843">
        <f>IF(Skills!N26=TRUE,(Skills!L26/10)*(E2843/1000),Skills!L26/10)+Skills!O26</f>
        <v/>
      </c>
      <c r="G2843">
        <f>Skills!G26*IF(Skills!H26&gt;0,INT(IF(Inputs!$B$39="pvp",MIN(Skills!I26,15),Skills!I26)/Skills!H26+0.000000001),1)</f>
        <v/>
      </c>
      <c r="H2843">
        <f>1-(1-Skills!J26/100)^Skills!K26</f>
        <v/>
      </c>
      <c r="I2843" t="inlineStr">
        <is>
          <t>1</t>
        </is>
      </c>
      <c r="J2843" t="inlineStr"/>
      <c r="K2843" t="inlineStr"/>
      <c r="L2843" t="inlineStr"/>
      <c r="M2843" t="inlineStr"/>
      <c r="N2843" t="inlineStr"/>
      <c r="O2843">
        <f>(1-Summary!$B$11)*T2843+Summary!$B$11*V2843</f>
        <v/>
      </c>
      <c r="P2843">
        <f>IF(B2856=0,0,O2843/B2856)</f>
        <v/>
      </c>
      <c r="Q2843" t="n">
        <v>0</v>
      </c>
      <c r="R2843" t="n">
        <v>0</v>
      </c>
      <c r="S2843">
        <f>IFERROR(O2843/N2843,0)</f>
        <v/>
      </c>
      <c r="T2843" t="n">
        <v>0</v>
      </c>
      <c r="V2843" t="n">
        <v>0</v>
      </c>
    </row>
    <row r="2845">
      <c r="A2845" t="inlineStr">
        <is>
          <t>Attack% Bucket Multiplier</t>
        </is>
      </c>
      <c r="B2845">
        <f>(1+(((C2830=TRUE)*F2830*IF(AND(Inputs!$B$39&lt;&gt;"pvp",Inputs!$B$44&gt;0),(((R2830-1)*MIN((Skills!T13*(1+Inputs!$B$35/100)),(1/Q2830))+MIN((Skills!T13*(1+Inputs!$B$35/100)),MAX(0,Inputs!$B$44-((R2830-1)*(1/Q2830)))))/Inputs!$B$44),IF(Inputs!$B$39="pvp",MIN((Skills!T13*(1+Inputs!$B$35/100)),15)/15,MIN(1,(Skills!T13*(1+Inputs!$B$35/100))/(1/Q2830)))))+((C2831=TRUE)*F2831*IF(AND(Inputs!$B$39&lt;&gt;"pvp",Inputs!$B$44&gt;0),(((R2831-1)*MIN((Skills!T14*(1+Inputs!$B$35/100)),(1/Q2831))+MIN((Skills!T14*(1+Inputs!$B$35/100)),MAX(0,Inputs!$B$44-((R2831-1)*(1/Q2831)))))/Inputs!$B$44),IF(Inputs!$B$39="pvp",MIN((Skills!T14*(1+Inputs!$B$35/100)),15)/15,MIN(1,(Skills!T14*(1+Inputs!$B$35/100))/(1/Q2831)))))+((C2832=TRUE)*F2832*IF(AND(Inputs!$B$39&lt;&gt;"pvp",Inputs!$B$44&gt;0),(((R2832-1)*MIN((Skills!T15*(1+Inputs!$B$35/100)),(1/Q2832))+MIN((Skills!T15*(1+Inputs!$B$35/100)),MAX(0,Inputs!$B$44-((R2832-1)*(1/Q2832)))))/Inputs!$B$44),IF(Inputs!$B$39="pvp",MIN((Skills!T15*(1+Inputs!$B$35/100)),15)/15,MIN(1,(Skills!T15*(1+Inputs!$B$35/100))/(1/Q2832)))))+((C2833=TRUE)*F2833*IF(AND(Inputs!$B$39&lt;&gt;"pvp",Inputs!$B$44&gt;0),(((R2833-1)*MIN((Skills!T16*(1+Inputs!$B$35/100)),(1/Q2833))+MIN((Skills!T16*(1+Inputs!$B$35/100)),MAX(0,Inputs!$B$44-((R2833-1)*(1/Q2833)))))/Inputs!$B$44),IF(Inputs!$B$39="pvp",MIN((Skills!T16*(1+Inputs!$B$35/100)),15)/15,MIN(1,(Skills!T16*(1+Inputs!$B$35/100))/(1/Q2833)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2846">
      <c r="A2846" t="inlineStr">
        <is>
          <t>Global Crit Rate Bonus % (Lord of Darkness)</t>
        </is>
      </c>
      <c r="B2846">
        <f>((C2835=TRUE)*F2835*(Skills!J18/100)*IF(AND(Inputs!$B$39&lt;&gt;"pvp",Inputs!$B$44&gt;0),(((R2835-1)*MIN((Skills!T18*(1+Inputs!$B$35/100)),(1/Q2835))+MIN((Skills!T18*(1+Inputs!$B$35/100)),MAX(0,Inputs!$B$44-((R2835-1)*(1/Q2835)))))/Inputs!$B$44),IF(Inputs!$B$39="pvp",MIN((Skills!T18*(1+Inputs!$B$35/100)),15)/15,MIN(1,(Skills!T18*(1+Inputs!$B$35/100))/(1/Q2835)))))</f>
        <v/>
      </c>
    </row>
    <row r="2847">
      <c r="A2847" t="inlineStr">
        <is>
          <t>Attack Speed Buff Bonus %</t>
        </is>
      </c>
      <c r="B2847">
        <f>((C2837=TRUE)*F2837*IF(AND(Inputs!$B$39&lt;&gt;"pvp",Inputs!$B$44&gt;0),(((R2837-1)*MIN((Skills!T20*(1+Inputs!$B$35/100)),(1/Q2837))+MIN((Skills!T20*(1+Inputs!$B$35/100)),MAX(0,Inputs!$B$44-((R2837-1)*(1/Q2837)))))/Inputs!$B$44),IF(Inputs!$B$39="pvp",MIN((Skills!T20*(1+Inputs!$B$35/100)),15)/15,MIN(1,(Skills!T20*(1+Inputs!$B$35/100))/(1/Q2837)))))</f>
        <v/>
      </c>
    </row>
    <row r="2848">
      <c r="A2848" t="inlineStr">
        <is>
          <t>Actions Per Second</t>
        </is>
      </c>
      <c r="B2848">
        <f>1+MIN(150,150*(1-(1-(Inputs!$B$12+((C2838=TRUE)*(F2838-Calc!F21)))/150)*(1-B2847/150)))/100</f>
        <v/>
      </c>
    </row>
    <row r="2849">
      <c r="A2849" t="inlineStr">
        <is>
          <t>Skill + Buff Cast Rate</t>
        </is>
      </c>
      <c r="B2849">
        <f>IF(AND(Inputs!$B$39&lt;&gt;"pvp",Inputs!$B$44&gt;0),SUMPRODUCT((Skills!E2:E26=TRUE)*(C2819:C2843=TRUE)*R2819:R2843*Skills!F2:F26)/Inputs!$B$44,SUMPRODUCT((Skills!E2:E26=TRUE)*(C2819:C2843=TRUE)*Q2819:Q2843*Skills!F2:F26))</f>
        <v/>
      </c>
    </row>
    <row r="2850">
      <c r="A2850" t="inlineStr">
        <is>
          <t>Dark Impale Casts Per Second</t>
        </is>
      </c>
      <c r="B2850">
        <f>MAX(0,B2848-B2849)</f>
        <v/>
      </c>
    </row>
    <row r="2851">
      <c r="A2851" t="inlineStr">
        <is>
          <t>Global Critical Damage Bonus % (Lord of Darkness)</t>
        </is>
      </c>
      <c r="B2851">
        <f>((C2836=TRUE)*F2836*(Skills!J19/100)*IF(AND(Inputs!$B$39&lt;&gt;"pvp",Inputs!$B$44&gt;0),(((R2836-1)*MIN((Skills!T19*(1+Inputs!$B$35/100)),(1/Q2836))+MIN((Skills!T19*(1+Inputs!$B$35/100)),MAX(0,Inputs!$B$44-((R2836-1)*(1/Q2836)))))/Inputs!$B$44),IF(Inputs!$B$39="pvp",MIN((Skills!T19*(1+Inputs!$B$35/100)),15)/15,MIN(1,(Skills!T19*(1+Inputs!$B$35/100))/(1/Q2836)))))</f>
        <v/>
      </c>
    </row>
    <row r="2852">
      <c r="A2852" t="inlineStr">
        <is>
          <t>Global Final Damage Bonus % (unused)</t>
        </is>
      </c>
      <c r="B2852" t="n">
        <v>0</v>
      </c>
    </row>
    <row r="2853">
      <c r="A2853" t="inlineStr">
        <is>
          <t>Buff-Casting Startup Delay (s, fixed-duration only)</t>
        </is>
      </c>
      <c r="B2853">
        <f>IF(AND(Inputs!$B$39&lt;&gt;"pvp",Inputs!$B$44&gt;0),SUMPRODUCT((Skills!T2:T26&gt;0)*(Skills!E2:E26=TRUE)*(C2819:C2843=TRUE))/B2848,0)</f>
        <v/>
      </c>
    </row>
    <row r="2854">
      <c r="A2854" t="inlineStr">
        <is>
          <t>Boss-Only Total DPS (this block's swept value)</t>
        </is>
      </c>
      <c r="B2854">
        <f>SUM(T2819:T2843)</f>
        <v/>
      </c>
    </row>
    <row r="2855">
      <c r="A2855" t="inlineStr">
        <is>
          <t>Normal-Only Total DPS (this block's swept value)</t>
        </is>
      </c>
      <c r="B2855">
        <f>SUM(V2819:V2843)</f>
        <v/>
      </c>
    </row>
    <row r="2856">
      <c r="A2856" s="6" t="inlineStr">
        <is>
          <t>TOTAL DPS</t>
        </is>
      </c>
      <c r="B2856" s="6">
        <f>SUM(O2819:O2843)</f>
        <v/>
      </c>
    </row>
    <row r="2859">
      <c r="A2859" s="6" t="inlineStr">
        <is>
          <t>Stat: CDR = 1.5s</t>
        </is>
      </c>
    </row>
    <row r="2860">
      <c r="A2860" s="5" t="inlineStr">
        <is>
          <t>Key</t>
        </is>
      </c>
      <c r="B2860" s="5" t="inlineStr">
        <is>
          <t>Name</t>
        </is>
      </c>
      <c r="C2860" s="5" t="inlineStr">
        <is>
          <t>Unlocked</t>
        </is>
      </c>
      <c r="D2860" s="5" t="inlineStr">
        <is>
          <t>InputLevel</t>
        </is>
      </c>
      <c r="E2860" s="5" t="inlineStr">
        <is>
          <t>Factor</t>
        </is>
      </c>
      <c r="F2860" s="5" t="inlineStr">
        <is>
          <t>CoefficientPercent</t>
        </is>
      </c>
      <c r="G2860" s="5" t="inlineStr">
        <is>
          <t>EffectiveHits</t>
        </is>
      </c>
      <c r="H2860" s="5" t="inlineStr">
        <is>
          <t>ProcProbability</t>
        </is>
      </c>
      <c r="I2860" s="5" t="inlineStr">
        <is>
          <t>MapleHeroMultiplier</t>
        </is>
      </c>
      <c r="J2860" s="5" t="inlineStr">
        <is>
          <t>BaseDamage</t>
        </is>
      </c>
      <c r="K2860" s="5" t="inlineStr">
        <is>
          <t>BaseHitDamage</t>
        </is>
      </c>
      <c r="L2860" s="5" t="inlineStr">
        <is>
          <t>NonCritAvg</t>
        </is>
      </c>
      <c r="M2860" s="5" t="inlineStr">
        <is>
          <t>CritAvg</t>
        </is>
      </c>
      <c r="N2860" s="5" t="inlineStr">
        <is>
          <t>ExpectedDamage(perHit)</t>
        </is>
      </c>
      <c r="O2860" s="5" t="inlineStr">
        <is>
          <t>DPS</t>
        </is>
      </c>
      <c r="P2860" s="5" t="inlineStr">
        <is>
          <t>% of Total</t>
        </is>
      </c>
      <c r="Q2860" s="5" t="inlineStr">
        <is>
          <t>InvCooldown</t>
        </is>
      </c>
      <c r="R2860" s="5" t="inlineStr">
        <is>
          <t>CastsInFight</t>
        </is>
      </c>
      <c r="S2860" s="5" t="inlineStr">
        <is>
          <t>HitRate(perSec)</t>
        </is>
      </c>
      <c r="U2860" t="inlineStr">
        <is>
          <t>helpers</t>
        </is>
      </c>
    </row>
    <row r="2861">
      <c r="A2861">
        <f>Skills!A2</f>
        <v/>
      </c>
      <c r="B2861">
        <f>Skills!B2</f>
        <v/>
      </c>
      <c r="C2861">
        <f>Inputs!$B$3&gt;=100</f>
        <v/>
      </c>
      <c r="D2861" t="inlineStr"/>
      <c r="E2861" t="inlineStr"/>
      <c r="F2861">
        <f>U2863+Skills!O2</f>
        <v/>
      </c>
      <c r="G2861">
        <f>Skills!G2*IF(Skills!H2&gt;0,INT(IF(Inputs!$B$39="pvp",MIN(Skills!I2,15),Skills!I2)/Skills!H2+0.000000001),1)</f>
        <v/>
      </c>
      <c r="H2861">
        <f>1-(1-Skills!J2/100)^Skills!K2</f>
        <v/>
      </c>
      <c r="I2861" t="inlineStr">
        <is>
          <t>1</t>
        </is>
      </c>
      <c r="J2861">
        <f>((Inputs!$B$6*(1+Inputs!$B$7/100))+(((Inputs!$B$13*(1+Inputs!$B$14/100))-(Inputs!$B$13*(1+Inputs!$B$14/100)))+0.25*(Inputs!$B$15-Inputs!$B$15))*(1+Inputs!$B$7/100))*(F2861/100)</f>
        <v/>
      </c>
      <c r="K2861">
        <f>J2861*(1+(((Inputs!$B$13+IF(Inputs!$B$3&gt;=38,(10*INDEX(FactorTable!$B$2:$Y$301, MATCH(ROUND(MIN(300,MAX(1,Inputs!$B$3)),0), FactorTable!$A$2:$A$301,0), 23)/1000)/100*(Inputs!$B$8*(1+Inputs!$B$9/100)),0))*(1+Inputs!$B$14/100))*0.01+Inputs!$B$15*0.0025)/100)*(1+Inputs!$B$16/100)*(1+Inputs!$B$17/100)*(5000/(6000+Inputs!$B$43*(1-(Inputs!$B$20+0)/100)))*(1+(Inputs!$B$25+((C2884=TRUE)*(F2884-Calc!F25))+((C2885=TRUE)*(F2885-Calc!F26))+B2894)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gt;=100),MIN(100,((Inputs!$B$10+0+B2888+(ArtifactsInput!$M$24-ArtifactsInput!$M$24)*CHOOSE(ArtifactsInput!$N$24+1,10,12,14,16,18,20)+IF(ArtifactsInput!$M$10,CHOOSE(ArtifactsInput!$N$10+1,15,18,21,24,27,30)*(IF(Inputs!$B$39="pvp",MIN(15,15)/15,IF(AND(Inputs!$B$39&lt;&gt;"pvp",Inputs!$B$44&gt;0),MIN(15,Inputs!$B$44)/(Inputs!$B$44),0))),0)))-100),0))*CHOOSE(ArtifactsInput!$N$42+1,0.6,0.72,0.84,0.96,1.08,1.2))),Inputs!$B$19+((C2882=TRUE)*(F2882-Calc!F23))+(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gt;=100),CHOOSE(ArtifactsInput!$N$42+1,40,48,56,64,72,80),0))))/100)*((1+(((C2872=TRUE)*F2872*IF(AND(Inputs!$B$39&lt;&gt;"pvp",Inputs!$B$44&gt;0),(((R2872-1)*MIN((Skills!T13*(1+Inputs!$B$35/100)),(1/Q2872))+MIN((Skills!T13*(1+Inputs!$B$35/100)),MAX(0,Inputs!$B$44-((R2872-1)*(1/Q2872)))))/Inputs!$B$44),IF(Inputs!$B$39="pvp",MIN((Skills!T13*(1+Inputs!$B$35/100)),15)/15,MIN(1,(Skills!T13*(1+Inputs!$B$35/100))/(1/Q2872)))))+((C2873=TRUE)*F2873*IF(AND(Inputs!$B$39&lt;&gt;"pvp",Inputs!$B$44&gt;0),(((R2873-1)*MIN((Skills!T14*(1+Inputs!$B$35/100)),(1/Q2873))+MIN((Skills!T14*(1+Inputs!$B$35/100)),MAX(0,Inputs!$B$44-((R2873-1)*(1/Q2873)))))/Inputs!$B$44),IF(Inputs!$B$39="pvp",MIN((Skills!T14*(1+Inputs!$B$35/100)),15)/15,MIN(1,(Skills!T14*(1+Inputs!$B$35/100))/(1/Q2873)))))+((C2874=TRUE)*F2874*IF(AND(Inputs!$B$39&lt;&gt;"pvp",Inputs!$B$44&gt;0),(((R2874-1)*MIN((Skills!T15*(1+Inputs!$B$35/100)),(1/Q2874))+MIN((Skills!T15*(1+Inputs!$B$35/100)),MAX(0,Inputs!$B$44-((R2874-1)*(1/Q2874)))))/Inputs!$B$44),IF(Inputs!$B$39="pvp",MIN((Skills!T15*(1+Inputs!$B$35/100)),15)/15,MIN(1,(Skills!T15*(1+Inputs!$B$35/100))/(1/Q2874)))))+((C2875=TRUE)*F2875*IF(AND(Inputs!$B$39&lt;&gt;"pvp",Inputs!$B$44&gt;0),(((R2875-1)*MIN((Skills!T16*(1+Inputs!$B$35/100)),(1/Q2875))+MIN((Skills!T16*(1+Inputs!$B$35/100)),MAX(0,Inputs!$B$44-((R2875-1)*(1/Q2875)))))/Inputs!$B$44),IF(Inputs!$B$39="pvp",MIN((Skills!T16*(1+Inputs!$B$35/100)),15)/15,MIN(1,(Skills!T16*(1+Inputs!$B$35/100))/(1/Q2875)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2861)</f>
        <v/>
      </c>
      <c r="L2861">
        <f>K2861*(MIN(Inputs!$B$23+((C2881=TRUE)*(F2881-Calc!F22)),(Inputs!$B$24+((C2883=TRUE)*(F2883-Calc!F24))+(IF(ArtifactsInput!$M$15,CHOOSE(ArtifactsInput!$N$15+1,25,30,35,40,45,50)/100*(Inputs!$B$12-Inputs!$B$12),0))))/100+(Inputs!$B$24+((C2883=TRUE)*(F2883-Calc!F24))+(IF(ArtifactsInput!$M$15,CHOOSE(ArtifactsInput!$N$15+1,25,30,35,40,45,50)/100*(Inputs!$B$12-Inputs!$B$12),0)))/100)/2</f>
        <v/>
      </c>
      <c r="M2861">
        <f>L2861*(1+(Inputs!$B$11+0+B2893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861">
        <f>L2861*(1-MIN((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2861*(MIN((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61">
        <f>(1-Summary!$B$11)*T2861+Summary!$B$11*V2861</f>
        <v/>
      </c>
      <c r="P2861">
        <f>IF(B2898=0,0,O2861/B2898)</f>
        <v/>
      </c>
      <c r="Q2861" t="n">
        <v>0</v>
      </c>
      <c r="R2861" t="n">
        <v>0</v>
      </c>
      <c r="S2861">
        <f>IFERROR(O2861/N2861,0)</f>
        <v/>
      </c>
      <c r="T2861">
        <f>IF(C2861,(Skills!G2*N2861*B2892)*IF(Inputs!$B$39="pvp",1,1+(Inputs!$B$21+0+Skills!P2+((C2876=TRUE)*F2876*IF(AND(Inputs!$B$39&lt;&gt;"pvp",Inputs!$B$44&gt;0),(((R2876-1)*MIN((Skills!T17*(1+Inputs!$B$35/100)),(1/Q2876))+MIN((Skills!T17*(1+Inputs!$B$35/100)),MAX(0,Inputs!$B$44-((R2876-1)*(1/Q2876)))))/Inputs!$B$44),IF(Inputs!$B$39="pvp",MIN((Skills!T17*(1+Inputs!$B$35/100)),15)/15,MIN(1,(Skills!T17*(1+Inputs!$B$35/100))/(1/Q2876)))))+((C2864=TRUE)*IF(Inputs!$B$3&gt;=126,10*MIN(1,15*Q2864),0))+((C2873=TRUE)*IF(Inputs!$B$39="pvp",20,(1-Summary!$B$11)*(20)+Summary!$B$11*(0))*IF(AND(Inputs!$B$39&lt;&gt;"pvp",Inputs!$B$44&gt;0),(((R2873-1)*MIN((Skills!T14*(1+Inputs!$B$35/100)),(1/Q2873))+MIN((Skills!T14*(1+Inputs!$B$35/100)),MAX(0,Inputs!$B$44-((R2873-1)*(1/Q2873)))))/Inputs!$B$44),IF(Inputs!$B$39="pvp",MIN((Skills!T14*(1+Inputs!$B$35/100)),15)/15,MIN(1,(Skills!T14*(1+Inputs!$B$35/100))/(1/Q2873)))))+((C2872=TRUE)*IF(Inputs!$B$3&gt;=82,IF(Inputs!$B$39="pvp",20,(1-Summary!$B$11)*(20)+Summary!$B$11*(0)),0)*IF(AND(Inputs!$B$39&lt;&gt;"pvp",Inputs!$B$44&gt;0),(((R2872-1)*MIN((Skills!T13*(1+Inputs!$B$35/100)),(1/Q2872))+MIN((Skills!T13*(1+Inputs!$B$35/100)),MAX(0,Inputs!$B$44-((R2872-1)*(1/Q2872)))))/Inputs!$B$44),IF(Inputs!$B$39="pvp",MIN((Skills!T13*(1+Inputs!$B$35/100)),15)/15,MIN(1,(Skills!T13*(1+Inputs!$B$35/100))/(1/Q2872)))))+(IF(AND(ArtifactsInput!$M$35,Inputs!$B$4&lt;&gt;"Chapter Hunt"),CHOOSE(ArtifactsInput!$N$35+1,15,18,21,24,27,30)*(1-EXP(-(0.2*B2890)*5)),0)+IF(AND(ArtifactsInput!$M$22,Inputs!$B$4&lt;&gt;"Chapter Hunt"),CHOOSE(ArtifactsInput!$N$22+1,10,12,14,16,18,20)*((0*(((0.15*B2890*5))^0/1)+1*(((0.15*B2890*5))^1/1)+2*(((0.15*B2890*5))^2/2)+3*(((0.15*B2890*5))^3/6)+4*(((0.15*B2890*5))^4/24)+5*(((0.15*B2890*5))^5/120))/((((0.15*B2890*5))^0/1)+(((0.15*B2890*5))^1/1)+(((0.15*B2890*5))^2/2)+(((0.15*B2890*5))^3/6)+(((0.15*B2890*5))^4/24)+(((0.15*B2890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2861*(1-MIN(100,(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2861*(MIN(100,(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2861*(1-MIN(100,(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2861*(MIN(100,(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861">
        <f>MAX(0,(Inputs!$B$3-100)*3)+Inputs!$B$29+Inputs!$B$30</f>
        <v/>
      </c>
      <c r="V2861">
        <f>IF(C2861,(Skills!G2*N2861*B2892)*IF(Inputs!$B$39="pvp",1,(1+(Inputs!$B$22+Skills!Q2+((C2876=TRUE)*F2876*IF(AND(Inputs!$B$39&lt;&gt;"pvp",Inputs!$B$44&gt;0),(((R2876-1)*MIN((Skills!T17*(1+Inputs!$B$35/100)),(1/Q2876))+MIN((Skills!T17*(1+Inputs!$B$35/100)),MAX(0,Inputs!$B$44-((R2876-1)*(1/Q2876)))))/Inputs!$B$44),IF(Inputs!$B$39="pvp",MIN((Skills!T17*(1+Inputs!$B$35/100)),15)/15,MIN(1,(Skills!T17*(1+Inputs!$B$35/100))/(1/Q2876)))))+((C2864=TRUE)*IF(Inputs!$B$3&gt;=126,10*MIN(1,15*Q2864),0))+((C2873=TRUE)*IF(Inputs!$B$39="pvp",20,(1-Summary!$B$11)*(20)+Summary!$B$11*(0))*IF(AND(Inputs!$B$39&lt;&gt;"pvp",Inputs!$B$44&gt;0),(((R2873-1)*MIN((Skills!T14*(1+Inputs!$B$35/100)),(1/Q2873))+MIN((Skills!T14*(1+Inputs!$B$35/100)),MAX(0,Inputs!$B$44-((R2873-1)*(1/Q2873)))))/Inputs!$B$44),IF(Inputs!$B$39="pvp",MIN((Skills!T14*(1+Inputs!$B$35/100)),15)/15,MIN(1,(Skills!T14*(1+Inputs!$B$35/100))/(1/Q2873)))))+((C2872=TRUE)*IF(Inputs!$B$3&gt;=82,IF(Inputs!$B$39="pvp",20,(1-Summary!$B$11)*(20)+Summary!$B$11*(0)),0)*IF(AND(Inputs!$B$39&lt;&gt;"pvp",Inputs!$B$44&gt;0),(((R2872-1)*MIN((Skills!T13*(1+Inputs!$B$35/100)),(1/Q2872))+MIN((Skills!T13*(1+Inputs!$B$35/100)),MAX(0,Inputs!$B$44-((R2872-1)*(1/Q2872)))))/Inputs!$B$44),IF(Inputs!$B$39="pvp",MIN((Skills!T13*(1+Inputs!$B$35/100)),15)/15,MIN(1,(Skills!T13*(1+Inputs!$B$35/100))/(1/Q2872)))))+(IF(AND(ArtifactsInput!$M$35,Inputs!$B$4&lt;&gt;"Chapter Hunt"),CHOOSE(ArtifactsInput!$N$35+1,15,18,21,24,27,30)*(1-EXP(-(0.2*B2890)*5)),0)+IF(AND(ArtifactsInput!$M$22,Inputs!$B$4&lt;&gt;"Chapter Hunt"),CHOOSE(ArtifactsInput!$N$22+1,10,12,14,16,18,20)*((0*(((0.15*B2890*5))^0/1)+1*(((0.15*B2890*5))^1/1)+2*(((0.15*B2890*5))^2/2)+3*(((0.15*B2890*5))^3/6)+4*(((0.15*B2890*5))^4/24)+5*(((0.15*B2890*5))^5/120))/((((0.15*B2890*5))^0/1)+(((0.15*B2890*5))^1/1)+(((0.15*B2890*5))^2/2)+(((0.15*B2890*5))^3/6)+(((0.15*B2890*5))^4/24)+(((0.15*B2890*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62">
      <c r="A2862">
        <f>Skills!A3</f>
        <v/>
      </c>
      <c r="B2862">
        <f>Skills!B3</f>
        <v/>
      </c>
      <c r="C2862">
        <f>Inputs!$B$3&gt;=50</f>
        <v/>
      </c>
      <c r="D2862">
        <f>IF(Skills!C3=1,60+Inputs!$B$26+Inputs!$B$30,IF(Skills!C3=2,90+Inputs!$B$27+Inputs!$B$30,IF(Skills!C3=3,120+Inputs!$B$28+Inputs!$B$30,MAX(0,(Inputs!$B$3-100)*3)+Inputs!$B$29+Inputs!$B$30)))</f>
        <v/>
      </c>
      <c r="E2862">
        <f>INDEX(FactorTable!$B$2:$Y$301, MATCH(ROUND(MIN(300,MAX(1,D2862)),0), FactorTable!$A$2:$A$301,0), Skills!M3+1)</f>
        <v/>
      </c>
      <c r="F2862">
        <f>IF(Skills!N3=TRUE,(Skills!L3/10)*(E2862/1000),Skills!L3/10)+Skills!O3</f>
        <v/>
      </c>
      <c r="G2862" t="inlineStr"/>
      <c r="H2862" t="inlineStr"/>
      <c r="I2862" t="inlineStr">
        <is>
          <t>1</t>
        </is>
      </c>
      <c r="J2862" t="inlineStr"/>
      <c r="K2862" t="inlineStr"/>
      <c r="L2862" t="inlineStr"/>
      <c r="M2862" t="inlineStr"/>
      <c r="N2862" t="inlineStr"/>
      <c r="O2862" t="inlineStr"/>
      <c r="P2862" t="inlineStr"/>
      <c r="Q2862" t="inlineStr"/>
      <c r="R2862" t="inlineStr"/>
      <c r="S2862" t="inlineStr"/>
      <c r="U2862">
        <f>INDEX(FactorTable!$B$2:$Y$301, MATCH(ROUND(MIN(300,MAX(1,U2861)),0), FactorTable!$A$2:$A$301,0), 22)</f>
        <v/>
      </c>
    </row>
    <row r="2863">
      <c r="A2863">
        <f>Skills!A4</f>
        <v/>
      </c>
      <c r="B2863">
        <f>Skills!B4</f>
        <v/>
      </c>
      <c r="C2863">
        <f>Inputs!$B$3&gt;=105</f>
        <v/>
      </c>
      <c r="D2863">
        <f>IF(Skills!C4=1,60+Inputs!$B$26+Inputs!$B$30,IF(Skills!C4=2,90+Inputs!$B$27+Inputs!$B$30,IF(Skills!C4=3,120+Inputs!$B$28+Inputs!$B$30,MAX(0,(Inputs!$B$3-100)*3)+Inputs!$B$29+Inputs!$B$30)))</f>
        <v/>
      </c>
      <c r="E2863">
        <f>INDEX(FactorTable!$B$2:$Y$301, MATCH(ROUND(MIN(300,MAX(1,D2863)),0), FactorTable!$A$2:$A$301,0), Skills!M4+1)</f>
        <v/>
      </c>
      <c r="F2863">
        <f>IF(Skills!N4=TRUE,(Skills!L4/10)*(E2863/1000),Skills!L4/10)+Skills!O4</f>
        <v/>
      </c>
      <c r="G2863" t="inlineStr"/>
      <c r="H2863" t="inlineStr"/>
      <c r="I2863" t="inlineStr">
        <is>
          <t>1</t>
        </is>
      </c>
      <c r="J2863" t="inlineStr"/>
      <c r="K2863" t="inlineStr"/>
      <c r="L2863" t="inlineStr"/>
      <c r="M2863" t="inlineStr"/>
      <c r="N2863" t="inlineStr"/>
      <c r="O2863" t="inlineStr"/>
      <c r="P2863" t="inlineStr"/>
      <c r="Q2863" t="inlineStr"/>
      <c r="R2863" t="inlineStr"/>
      <c r="S2863" t="inlineStr"/>
      <c r="U2863">
        <f>290*U2862/1000</f>
        <v/>
      </c>
    </row>
    <row r="2864">
      <c r="A2864">
        <f>Skills!A5</f>
        <v/>
      </c>
      <c r="B2864">
        <f>Skills!B5</f>
        <v/>
      </c>
      <c r="C2864">
        <f>Inputs!$B$3&gt;=117</f>
        <v/>
      </c>
      <c r="D2864">
        <f>IF(Skills!C5=1,60+Inputs!$B$26+Inputs!$B$30,IF(Skills!C5=2,90+Inputs!$B$27+Inputs!$B$30,IF(Skills!C5=3,120+Inputs!$B$28+Inputs!$B$30,MAX(0,(Inputs!$B$3-100)*3)+Inputs!$B$29+Inputs!$B$30)))</f>
        <v/>
      </c>
      <c r="E2864">
        <f>INDEX(FactorTable!$B$2:$Y$301, MATCH(ROUND(MIN(300,MAX(1,D2864)),0), FactorTable!$A$2:$A$301,0), Skills!M5+1)</f>
        <v/>
      </c>
      <c r="F2864">
        <f>IF(Skills!N5=TRUE,(Skills!L5/10)*(E2864/1000),Skills!L5/10)+Skills!O5</f>
        <v/>
      </c>
      <c r="G2864">
        <f>Skills!G5*IF(Skills!H5&gt;0,INT(IF(Inputs!$B$39="pvp",MIN(Skills!I5,15),Skills!I5)/Skills!H5+0.000000001),1)</f>
        <v/>
      </c>
      <c r="H2864">
        <f>1-(1-Skills!J5/100)^Skills!K5</f>
        <v/>
      </c>
      <c r="I2864" t="inlineStr">
        <is>
          <t>1</t>
        </is>
      </c>
      <c r="J2864">
        <f>((Inputs!$B$6*(1+Inputs!$B$7/100))+(((Inputs!$B$13*(1+Inputs!$B$14/100))-(Inputs!$B$13*(1+Inputs!$B$14/100)))+0.25*(Inputs!$B$15-Inputs!$B$15))*(1+Inputs!$B$7/100))*(F2864/100)</f>
        <v/>
      </c>
      <c r="K2864">
        <f>J2864*(1+(((Inputs!$B$13+IF(Inputs!$B$3&gt;=38,(10*INDEX(FactorTable!$B$2:$Y$301, MATCH(ROUND(MIN(300,MAX(1,Inputs!$B$3)),0), FactorTable!$A$2:$A$301,0), 23)/1000)/100*(Inputs!$B$8*(1+Inputs!$B$9/100)),0))*(1+Inputs!$B$14/100))*0.01+Inputs!$B$15*0.0025)/100)*(1+Inputs!$B$16/100)*(1+Inputs!$B$17/100)*(5000/(6000+Inputs!$B$43*(1-(Inputs!$B$20+0)/100)))*(1+(Inputs!$B$25+((C2884=TRUE)*(F2884-Calc!F25))+((C2885=TRUE)*(F2885-Calc!F26))+B2894)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gt;=100),MIN(100,((Inputs!$B$10+0+B2888+(ArtifactsInput!$M$24-ArtifactsInput!$M$24)*CHOOSE(ArtifactsInput!$N$24+1,10,12,14,16,18,20)+IF(ArtifactsInput!$M$10,CHOOSE(ArtifactsInput!$N$10+1,15,18,21,24,27,30)*(IF(Inputs!$B$39="pvp",MIN(15,15)/15,IF(AND(Inputs!$B$39&lt;&gt;"pvp",Inputs!$B$44&gt;0),MIN(15,Inputs!$B$44)/(Inputs!$B$44),0))),0)))-100),0))*CHOOSE(ArtifactsInput!$N$42+1,0.6,0.72,0.84,0.96,1.08,1.2))),Inputs!$B$19+((C2882=TRUE)*(F2882-Calc!F23))+(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gt;=100),CHOOSE(ArtifactsInput!$N$42+1,40,48,56,64,72,80),0))))/100)*((1+(((C2872=TRUE)*F2872*IF(AND(Inputs!$B$39&lt;&gt;"pvp",Inputs!$B$44&gt;0),(((R2872-1)*MIN((Skills!T13*(1+Inputs!$B$35/100)),(1/Q2872))+MIN((Skills!T13*(1+Inputs!$B$35/100)),MAX(0,Inputs!$B$44-((R2872-1)*(1/Q2872)))))/Inputs!$B$44),IF(Inputs!$B$39="pvp",MIN((Skills!T13*(1+Inputs!$B$35/100)),15)/15,MIN(1,(Skills!T13*(1+Inputs!$B$35/100))/(1/Q2872)))))+((C2873=TRUE)*F2873*IF(AND(Inputs!$B$39&lt;&gt;"pvp",Inputs!$B$44&gt;0),(((R2873-1)*MIN((Skills!T14*(1+Inputs!$B$35/100)),(1/Q2873))+MIN((Skills!T14*(1+Inputs!$B$35/100)),MAX(0,Inputs!$B$44-((R2873-1)*(1/Q2873)))))/Inputs!$B$44),IF(Inputs!$B$39="pvp",MIN((Skills!T14*(1+Inputs!$B$35/100)),15)/15,MIN(1,(Skills!T14*(1+Inputs!$B$35/100))/(1/Q2873)))))+((C2874=TRUE)*F2874*IF(AND(Inputs!$B$39&lt;&gt;"pvp",Inputs!$B$44&gt;0),(((R2874-1)*MIN((Skills!T15*(1+Inputs!$B$35/100)),(1/Q2874))+MIN((Skills!T15*(1+Inputs!$B$35/100)),MAX(0,Inputs!$B$44-((R2874-1)*(1/Q2874)))))/Inputs!$B$44),IF(Inputs!$B$39="pvp",MIN((Skills!T15*(1+Inputs!$B$35/100)),15)/15,MIN(1,(Skills!T15*(1+Inputs!$B$35/100))/(1/Q2874)))))+((C2875=TRUE)*F2875*IF(AND(Inputs!$B$39&lt;&gt;"pvp",Inputs!$B$44&gt;0),(((R2875-1)*MIN((Skills!T16*(1+Inputs!$B$35/100)),(1/Q2875))+MIN((Skills!T16*(1+Inputs!$B$35/100)),MAX(0,Inputs!$B$44-((R2875-1)*(1/Q2875)))))/Inputs!$B$44),IF(Inputs!$B$39="pvp",MIN((Skills!T16*(1+Inputs!$B$35/100)),15)/15,MIN(1,(Skills!T16*(1+Inputs!$B$35/100))/(1/Q2875)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2864)</f>
        <v/>
      </c>
      <c r="L2864">
        <f>K2864*(MIN(Inputs!$B$23+((C2881=TRUE)*(F2881-Calc!F22)),(Inputs!$B$24+((C2883=TRUE)*(F2883-Calc!F24))+(IF(ArtifactsInput!$M$15,CHOOSE(ArtifactsInput!$N$15+1,25,30,35,40,45,50)/100*(Inputs!$B$12-Inputs!$B$12),0))))/100+(Inputs!$B$24+((C2883=TRUE)*(F2883-Calc!F24))+(IF(ArtifactsInput!$M$15,CHOOSE(ArtifactsInput!$N$15+1,25,30,35,40,45,50)/100*(Inputs!$B$12-Inputs!$B$12),0)))/100)/2</f>
        <v/>
      </c>
      <c r="M2864">
        <f>L2864*(1+(Inputs!$B$11+0+B2893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864">
        <f>L2864*(1-MIN((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2864*(MIN((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64">
        <f>(1-Summary!$B$11)*T2864+Summary!$B$11*V2864</f>
        <v/>
      </c>
      <c r="P2864">
        <f>IF(B2898=0,0,O2864/B2898)</f>
        <v/>
      </c>
      <c r="Q2864">
        <f>IFERROR(1/IF(Inputs!$B$39="pvp",15,MAX(0.1,Skills!D5-IF(TRUE=TRUE,1.5,0))),0)</f>
        <v/>
      </c>
      <c r="R2864">
        <f>IF(AND(Inputs!$B$39&lt;&gt;"pvp",Inputs!$B$44&gt;0),IF(MAX(0,Inputs!$B$44-B2895)&lt;=0,0,(INT(MAX(0,Inputs!$B$44-B2895)/IF(Inputs!$B$39="pvp",15,MAX(0.1,Skills!D5-IF(TRUE=TRUE,1.5,0))))+1)),0)</f>
        <v/>
      </c>
      <c r="S2864">
        <f>IFERROR(O2864/N2864,0)</f>
        <v/>
      </c>
      <c r="T2864">
        <f>IF(C2864,(H2864*N2864*IF(AND(Inputs!$B$39&lt;&gt;"pvp",Inputs!$B$44&gt;0),((Skills!G5*((R2864-1)*IF(Skills!H5&gt;0,INT(Skills!I5/Skills!H5+0.000000001),1)+IF(Skills!H5&gt;0,INT(MIN(Skills!I5,MAX(0,MAX(0,Inputs!$B$44-B2895)-((R2864-1)*IF(Inputs!$B$39="pvp",15,MAX(0.1,Skills!D5-IF(TRUE=TRUE,1.5,0))))))/Skills!H5+0.000000001),1)))/Inputs!$B$44),G2864*Q2864))*IF(Inputs!$B$39="pvp",1,1+(Inputs!$B$21+0+Skills!P5+((C2876=TRUE)*F2876*IF(AND(Inputs!$B$39&lt;&gt;"pvp",Inputs!$B$44&gt;0),(((R2876-1)*MIN((Skills!T17*(1+Inputs!$B$35/100)),(1/Q2876))+MIN((Skills!T17*(1+Inputs!$B$35/100)),MAX(0,Inputs!$B$44-((R2876-1)*(1/Q2876)))))/Inputs!$B$44),IF(Inputs!$B$39="pvp",MIN((Skills!T17*(1+Inputs!$B$35/100)),15)/15,MIN(1,(Skills!T17*(1+Inputs!$B$35/100))/(1/Q2876)))))+((C2864=TRUE)*IF(Inputs!$B$3&gt;=126,10*MIN(1,15*Q2864),0))+((C2873=TRUE)*IF(Inputs!$B$39="pvp",20,(1-Summary!$B$11)*(20)+Summary!$B$11*(0))*IF(AND(Inputs!$B$39&lt;&gt;"pvp",Inputs!$B$44&gt;0),(((R2873-1)*MIN((Skills!T14*(1+Inputs!$B$35/100)),(1/Q2873))+MIN((Skills!T14*(1+Inputs!$B$35/100)),MAX(0,Inputs!$B$44-((R2873-1)*(1/Q2873)))))/Inputs!$B$44),IF(Inputs!$B$39="pvp",MIN((Skills!T14*(1+Inputs!$B$35/100)),15)/15,MIN(1,(Skills!T14*(1+Inputs!$B$35/100))/(1/Q2873)))))+((C2872=TRUE)*IF(Inputs!$B$3&gt;=82,IF(Inputs!$B$39="pvp",20,(1-Summary!$B$11)*(20)+Summary!$B$11*(0)),0)*IF(AND(Inputs!$B$39&lt;&gt;"pvp",Inputs!$B$44&gt;0),(((R2872-1)*MIN((Skills!T13*(1+Inputs!$B$35/100)),(1/Q2872))+MIN((Skills!T13*(1+Inputs!$B$35/100)),MAX(0,Inputs!$B$44-((R2872-1)*(1/Q2872)))))/Inputs!$B$44),IF(Inputs!$B$39="pvp",MIN((Skills!T13*(1+Inputs!$B$35/100)),15)/15,MIN(1,(Skills!T13*(1+Inputs!$B$35/100))/(1/Q2872)))))+(IF(AND(ArtifactsInput!$M$35,Inputs!$B$4&lt;&gt;"Chapter Hunt"),CHOOSE(ArtifactsInput!$N$35+1,15,18,21,24,27,30)*(1-EXP(-(0.2*B2890)*5)),0)+IF(AND(ArtifactsInput!$M$22,Inputs!$B$4&lt;&gt;"Chapter Hunt"),CHOOSE(ArtifactsInput!$N$22+1,10,12,14,16,18,20)*((0*(((0.15*B2890*5))^0/1)+1*(((0.15*B2890*5))^1/1)+2*(((0.15*B2890*5))^2/2)+3*(((0.15*B2890*5))^3/6)+4*(((0.15*B2890*5))^4/24)+5*(((0.15*B2890*5))^5/120))/((((0.15*B2890*5))^0/1)+(((0.15*B2890*5))^1/1)+(((0.15*B2890*5))^2/2)+(((0.15*B2890*5))^3/6)+(((0.15*B2890*5))^4/24)+(((0.15*B2890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2864*(1-MIN(100,(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2864*(MIN(100,(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2864*(1-MIN(100,(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2864*(MIN(100,(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64">
        <f>IF(C2864,(H2864*N2864*IF(AND(Inputs!$B$39&lt;&gt;"pvp",Inputs!$B$44&gt;0),((Skills!G5*((R2864-1)*IF(Skills!H5&gt;0,INT(Skills!I5/Skills!H5+0.000000001),1)+IF(Skills!H5&gt;0,INT(MIN(Skills!I5,MAX(0,MAX(0,Inputs!$B$44-B2895)-((R2864-1)*IF(Inputs!$B$39="pvp",15,MAX(0.1,Skills!D5-IF(TRUE=TRUE,1.5,0))))))/Skills!H5+0.000000001),1)))/Inputs!$B$44),G2864*Q2864))*IF(Inputs!$B$39="pvp",1,(1+(Inputs!$B$22+Skills!Q5+((C2876=TRUE)*F2876*IF(AND(Inputs!$B$39&lt;&gt;"pvp",Inputs!$B$44&gt;0),(((R2876-1)*MIN((Skills!T17*(1+Inputs!$B$35/100)),(1/Q2876))+MIN((Skills!T17*(1+Inputs!$B$35/100)),MAX(0,Inputs!$B$44-((R2876-1)*(1/Q2876)))))/Inputs!$B$44),IF(Inputs!$B$39="pvp",MIN((Skills!T17*(1+Inputs!$B$35/100)),15)/15,MIN(1,(Skills!T17*(1+Inputs!$B$35/100))/(1/Q2876)))))+((C2864=TRUE)*IF(Inputs!$B$3&gt;=126,10*MIN(1,15*Q2864),0))+((C2873=TRUE)*IF(Inputs!$B$39="pvp",20,(1-Summary!$B$11)*(20)+Summary!$B$11*(0))*IF(AND(Inputs!$B$39&lt;&gt;"pvp",Inputs!$B$44&gt;0),(((R2873-1)*MIN((Skills!T14*(1+Inputs!$B$35/100)),(1/Q2873))+MIN((Skills!T14*(1+Inputs!$B$35/100)),MAX(0,Inputs!$B$44-((R2873-1)*(1/Q2873)))))/Inputs!$B$44),IF(Inputs!$B$39="pvp",MIN((Skills!T14*(1+Inputs!$B$35/100)),15)/15,MIN(1,(Skills!T14*(1+Inputs!$B$35/100))/(1/Q2873)))))+((C2872=TRUE)*IF(Inputs!$B$3&gt;=82,IF(Inputs!$B$39="pvp",20,(1-Summary!$B$11)*(20)+Summary!$B$11*(0)),0)*IF(AND(Inputs!$B$39&lt;&gt;"pvp",Inputs!$B$44&gt;0),(((R2872-1)*MIN((Skills!T13*(1+Inputs!$B$35/100)),(1/Q2872))+MIN((Skills!T13*(1+Inputs!$B$35/100)),MAX(0,Inputs!$B$44-((R2872-1)*(1/Q2872)))))/Inputs!$B$44),IF(Inputs!$B$39="pvp",MIN((Skills!T13*(1+Inputs!$B$35/100)),15)/15,MIN(1,(Skills!T13*(1+Inputs!$B$35/100))/(1/Q2872)))))+(IF(AND(ArtifactsInput!$M$35,Inputs!$B$4&lt;&gt;"Chapter Hunt"),CHOOSE(ArtifactsInput!$N$35+1,15,18,21,24,27,30)*(1-EXP(-(0.2*B2890)*5)),0)+IF(AND(ArtifactsInput!$M$22,Inputs!$B$4&lt;&gt;"Chapter Hunt"),CHOOSE(ArtifactsInput!$N$22+1,10,12,14,16,18,20)*((0*(((0.15*B2890*5))^0/1)+1*(((0.15*B2890*5))^1/1)+2*(((0.15*B2890*5))^2/2)+3*(((0.15*B2890*5))^3/6)+4*(((0.15*B2890*5))^4/24)+5*(((0.15*B2890*5))^5/120))/((((0.15*B2890*5))^0/1)+(((0.15*B2890*5))^1/1)+(((0.15*B2890*5))^2/2)+(((0.15*B2890*5))^3/6)+(((0.15*B2890*5))^4/24)+(((0.15*B2890*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65">
      <c r="A2865">
        <f>Skills!A6</f>
        <v/>
      </c>
      <c r="B2865">
        <f>Skills!B6</f>
        <v/>
      </c>
      <c r="C2865">
        <f>Inputs!$B$3&gt;=103</f>
        <v/>
      </c>
      <c r="D2865">
        <f>IF(Skills!C6=1,60+Inputs!$B$26+Inputs!$B$30,IF(Skills!C6=2,90+Inputs!$B$27+Inputs!$B$30,IF(Skills!C6=3,120+Inputs!$B$28+Inputs!$B$30,MAX(0,(Inputs!$B$3-100)*3)+Inputs!$B$29+Inputs!$B$30)))</f>
        <v/>
      </c>
      <c r="E2865">
        <f>INDEX(FactorTable!$B$2:$Y$301, MATCH(ROUND(MIN(300,MAX(1,D2865)),0), FactorTable!$A$2:$A$301,0), Skills!M6+1)</f>
        <v/>
      </c>
      <c r="F2865">
        <f>IF(Skills!N6=TRUE,(Skills!L6/10)*(E2865/1000),Skills!L6/10)+Skills!O6</f>
        <v/>
      </c>
      <c r="G2865">
        <f>Skills!G6*IF(Skills!H6&gt;0,INT(IF(Inputs!$B$39="pvp",MIN(Skills!I6,15),Skills!I6)/Skills!H6+0.000000001),1)</f>
        <v/>
      </c>
      <c r="H2865">
        <f>1-(1-Skills!J6/100)^Skills!K6</f>
        <v/>
      </c>
      <c r="I2865" t="inlineStr">
        <is>
          <t>1</t>
        </is>
      </c>
      <c r="J2865">
        <f>((Inputs!$B$6*(1+Inputs!$B$7/100))+(((Inputs!$B$13*(1+Inputs!$B$14/100))-(Inputs!$B$13*(1+Inputs!$B$14/100)))+0.25*(Inputs!$B$15-Inputs!$B$15))*(1+Inputs!$B$7/100))*(F2865/100)</f>
        <v/>
      </c>
      <c r="K2865">
        <f>J2865*(1+(((Inputs!$B$13+IF(Inputs!$B$3&gt;=38,(10*INDEX(FactorTable!$B$2:$Y$301, MATCH(ROUND(MIN(300,MAX(1,Inputs!$B$3)),0), FactorTable!$A$2:$A$301,0), 23)/1000)/100*(Inputs!$B$8*(1+Inputs!$B$9/100)),0))*(1+Inputs!$B$14/100))*0.01+Inputs!$B$15*0.0025)/100)*(1+Inputs!$B$16/100)*(1+Inputs!$B$17/100)*(5000/(6000+Inputs!$B$43*(1-(Inputs!$B$20+0)/100)))*(1+(Inputs!$B$25+((C2884=TRUE)*(F2884-Calc!F25))+((C2885=TRUE)*(F2885-Calc!F26))+B2894)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gt;=100),MIN(100,((Inputs!$B$10+0+B2888+(ArtifactsInput!$M$24-ArtifactsInput!$M$24)*CHOOSE(ArtifactsInput!$N$24+1,10,12,14,16,18,20)+IF(ArtifactsInput!$M$10,CHOOSE(ArtifactsInput!$N$10+1,15,18,21,24,27,30)*(IF(Inputs!$B$39="pvp",MIN(15,15)/15,IF(AND(Inputs!$B$39&lt;&gt;"pvp",Inputs!$B$44&gt;0),MIN(15,Inputs!$B$44)/(Inputs!$B$44),0))),0)))-100),0))*CHOOSE(ArtifactsInput!$N$42+1,0.6,0.72,0.84,0.96,1.08,1.2))),Inputs!$B$19+((C2882=TRUE)*(F2882-Calc!F23))+(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gt;=100),CHOOSE(ArtifactsInput!$N$42+1,40,48,56,64,72,80),0))))/100)*((1+(((C2872=TRUE)*F2872*IF(AND(Inputs!$B$39&lt;&gt;"pvp",Inputs!$B$44&gt;0),(((R2872-1)*MIN((Skills!T13*(1+Inputs!$B$35/100)),(1/Q2872))+MIN((Skills!T13*(1+Inputs!$B$35/100)),MAX(0,Inputs!$B$44-((R2872-1)*(1/Q2872)))))/Inputs!$B$44),IF(Inputs!$B$39="pvp",MIN((Skills!T13*(1+Inputs!$B$35/100)),15)/15,MIN(1,(Skills!T13*(1+Inputs!$B$35/100))/(1/Q2872)))))+((C2873=TRUE)*F2873*IF(AND(Inputs!$B$39&lt;&gt;"pvp",Inputs!$B$44&gt;0),(((R2873-1)*MIN((Skills!T14*(1+Inputs!$B$35/100)),(1/Q2873))+MIN((Skills!T14*(1+Inputs!$B$35/100)),MAX(0,Inputs!$B$44-((R2873-1)*(1/Q2873)))))/Inputs!$B$44),IF(Inputs!$B$39="pvp",MIN((Skills!T14*(1+Inputs!$B$35/100)),15)/15,MIN(1,(Skills!T14*(1+Inputs!$B$35/100))/(1/Q2873)))))+((C2874=TRUE)*F2874*IF(AND(Inputs!$B$39&lt;&gt;"pvp",Inputs!$B$44&gt;0),(((R2874-1)*MIN((Skills!T15*(1+Inputs!$B$35/100)),(1/Q2874))+MIN((Skills!T15*(1+Inputs!$B$35/100)),MAX(0,Inputs!$B$44-((R2874-1)*(1/Q2874)))))/Inputs!$B$44),IF(Inputs!$B$39="pvp",MIN((Skills!T15*(1+Inputs!$B$35/100)),15)/15,MIN(1,(Skills!T15*(1+Inputs!$B$35/100))/(1/Q2874)))))+((C2875=TRUE)*F2875*IF(AND(Inputs!$B$39&lt;&gt;"pvp",Inputs!$B$44&gt;0),(((R2875-1)*MIN((Skills!T16*(1+Inputs!$B$35/100)),(1/Q2875))+MIN((Skills!T16*(1+Inputs!$B$35/100)),MAX(0,Inputs!$B$44-((R2875-1)*(1/Q2875)))))/Inputs!$B$44),IF(Inputs!$B$39="pvp",MIN((Skills!T16*(1+Inputs!$B$35/100)),15)/15,MIN(1,(Skills!T16*(1+Inputs!$B$35/100))/(1/Q2875)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2865)</f>
        <v/>
      </c>
      <c r="L2865">
        <f>K2865*(MIN(Inputs!$B$23+((C2881=TRUE)*(F2881-Calc!F22)),(Inputs!$B$24+((C2883=TRUE)*(F2883-Calc!F24))+(IF(ArtifactsInput!$M$15,CHOOSE(ArtifactsInput!$N$15+1,25,30,35,40,45,50)/100*(Inputs!$B$12-Inputs!$B$12),0))))/100+(Inputs!$B$24+((C2883=TRUE)*(F2883-Calc!F24))+(IF(ArtifactsInput!$M$15,CHOOSE(ArtifactsInput!$N$15+1,25,30,35,40,45,50)/100*(Inputs!$B$12-Inputs!$B$12),0)))/100)/2</f>
        <v/>
      </c>
      <c r="M2865">
        <f>L2865*(1+(Inputs!$B$11+0+B2893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865">
        <f>L2865*(1-MIN((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2865*(MIN((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65">
        <f>(1-Summary!$B$11)*T2865+Summary!$B$11*V2865</f>
        <v/>
      </c>
      <c r="P2865">
        <f>IF(B2898=0,0,O2865/B2898)</f>
        <v/>
      </c>
      <c r="Q2865">
        <f>IFERROR(1/IF(Inputs!$B$39="pvp",15,MAX(0.1,Skills!D6-IF(TRUE=TRUE,1.5,0))),0)</f>
        <v/>
      </c>
      <c r="R2865">
        <f>IF(AND(Inputs!$B$39&lt;&gt;"pvp",Inputs!$B$44&gt;0),IF(MAX(0,Inputs!$B$44-B2895)&lt;=0,0,(INT(MAX(0,Inputs!$B$44-B2895)/IF(Inputs!$B$39="pvp",15,MAX(0.1,Skills!D6-IF(TRUE=TRUE,1.5,0))))+1)),0)</f>
        <v/>
      </c>
      <c r="S2865">
        <f>IFERROR(O2865/N2865,0)</f>
        <v/>
      </c>
      <c r="T2865">
        <f>IF(C2865,(H2865*N2865*IF(AND(Inputs!$B$39&lt;&gt;"pvp",Inputs!$B$44&gt;0),((Skills!G6*((R2865-1)*IF(Skills!H6&gt;0,INT(Skills!I6/Skills!H6+0.000000001),1)+IF(Skills!H6&gt;0,INT(MIN(Skills!I6,MAX(0,MAX(0,Inputs!$B$44-B2895)-((R2865-1)*IF(Inputs!$B$39="pvp",15,MAX(0.1,Skills!D6-IF(TRUE=TRUE,1.5,0))))))/Skills!H6+0.000000001),1)))/Inputs!$B$44),G2865*Q2865))*IF(Inputs!$B$39="pvp",1,1+(Inputs!$B$21+0+Skills!P6+((C2876=TRUE)*F2876*IF(AND(Inputs!$B$39&lt;&gt;"pvp",Inputs!$B$44&gt;0),(((R2876-1)*MIN((Skills!T17*(1+Inputs!$B$35/100)),(1/Q2876))+MIN((Skills!T17*(1+Inputs!$B$35/100)),MAX(0,Inputs!$B$44-((R2876-1)*(1/Q2876)))))/Inputs!$B$44),IF(Inputs!$B$39="pvp",MIN((Skills!T17*(1+Inputs!$B$35/100)),15)/15,MIN(1,(Skills!T17*(1+Inputs!$B$35/100))/(1/Q2876)))))+((C2864=TRUE)*IF(Inputs!$B$3&gt;=126,10*MIN(1,15*Q2864),0))+((C2873=TRUE)*IF(Inputs!$B$39="pvp",20,(1-Summary!$B$11)*(20)+Summary!$B$11*(0))*IF(AND(Inputs!$B$39&lt;&gt;"pvp",Inputs!$B$44&gt;0),(((R2873-1)*MIN((Skills!T14*(1+Inputs!$B$35/100)),(1/Q2873))+MIN((Skills!T14*(1+Inputs!$B$35/100)),MAX(0,Inputs!$B$44-((R2873-1)*(1/Q2873)))))/Inputs!$B$44),IF(Inputs!$B$39="pvp",MIN((Skills!T14*(1+Inputs!$B$35/100)),15)/15,MIN(1,(Skills!T14*(1+Inputs!$B$35/100))/(1/Q2873)))))+((C2872=TRUE)*IF(Inputs!$B$3&gt;=82,IF(Inputs!$B$39="pvp",20,(1-Summary!$B$11)*(20)+Summary!$B$11*(0)),0)*IF(AND(Inputs!$B$39&lt;&gt;"pvp",Inputs!$B$44&gt;0),(((R2872-1)*MIN((Skills!T13*(1+Inputs!$B$35/100)),(1/Q2872))+MIN((Skills!T13*(1+Inputs!$B$35/100)),MAX(0,Inputs!$B$44-((R2872-1)*(1/Q2872)))))/Inputs!$B$44),IF(Inputs!$B$39="pvp",MIN((Skills!T13*(1+Inputs!$B$35/100)),15)/15,MIN(1,(Skills!T13*(1+Inputs!$B$35/100))/(1/Q2872)))))+(IF(AND(ArtifactsInput!$M$35,Inputs!$B$4&lt;&gt;"Chapter Hunt"),CHOOSE(ArtifactsInput!$N$35+1,15,18,21,24,27,30)*(1-EXP(-(0.2*B2890)*5)),0)+IF(AND(ArtifactsInput!$M$22,Inputs!$B$4&lt;&gt;"Chapter Hunt"),CHOOSE(ArtifactsInput!$N$22+1,10,12,14,16,18,20)*((0*(((0.15*B2890*5))^0/1)+1*(((0.15*B2890*5))^1/1)+2*(((0.15*B2890*5))^2/2)+3*(((0.15*B2890*5))^3/6)+4*(((0.15*B2890*5))^4/24)+5*(((0.15*B2890*5))^5/120))/((((0.15*B2890*5))^0/1)+(((0.15*B2890*5))^1/1)+(((0.15*B2890*5))^2/2)+(((0.15*B2890*5))^3/6)+(((0.15*B2890*5))^4/24)+(((0.15*B2890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2865*(1-MIN(100,(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2865*(MIN(100,(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2865*(1-MIN(100,(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2865*(MIN(100,(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65">
        <f>IF(C2865,(H2865*N2865*IF(AND(Inputs!$B$39&lt;&gt;"pvp",Inputs!$B$44&gt;0),((Skills!G6*((R2865-1)*IF(Skills!H6&gt;0,INT(Skills!I6/Skills!H6+0.000000001),1)+IF(Skills!H6&gt;0,INT(MIN(Skills!I6,MAX(0,MAX(0,Inputs!$B$44-B2895)-((R2865-1)*IF(Inputs!$B$39="pvp",15,MAX(0.1,Skills!D6-IF(TRUE=TRUE,1.5,0))))))/Skills!H6+0.000000001),1)))/Inputs!$B$44),G2865*Q2865))*IF(Inputs!$B$39="pvp",1,(1+(Inputs!$B$22+Skills!Q6+((C2876=TRUE)*F2876*IF(AND(Inputs!$B$39&lt;&gt;"pvp",Inputs!$B$44&gt;0),(((R2876-1)*MIN((Skills!T17*(1+Inputs!$B$35/100)),(1/Q2876))+MIN((Skills!T17*(1+Inputs!$B$35/100)),MAX(0,Inputs!$B$44-((R2876-1)*(1/Q2876)))))/Inputs!$B$44),IF(Inputs!$B$39="pvp",MIN((Skills!T17*(1+Inputs!$B$35/100)),15)/15,MIN(1,(Skills!T17*(1+Inputs!$B$35/100))/(1/Q2876)))))+((C2864=TRUE)*IF(Inputs!$B$3&gt;=126,10*MIN(1,15*Q2864),0))+((C2873=TRUE)*IF(Inputs!$B$39="pvp",20,(1-Summary!$B$11)*(20)+Summary!$B$11*(0))*IF(AND(Inputs!$B$39&lt;&gt;"pvp",Inputs!$B$44&gt;0),(((R2873-1)*MIN((Skills!T14*(1+Inputs!$B$35/100)),(1/Q2873))+MIN((Skills!T14*(1+Inputs!$B$35/100)),MAX(0,Inputs!$B$44-((R2873-1)*(1/Q2873)))))/Inputs!$B$44),IF(Inputs!$B$39="pvp",MIN((Skills!T14*(1+Inputs!$B$35/100)),15)/15,MIN(1,(Skills!T14*(1+Inputs!$B$35/100))/(1/Q2873)))))+((C2872=TRUE)*IF(Inputs!$B$3&gt;=82,IF(Inputs!$B$39="pvp",20,(1-Summary!$B$11)*(20)+Summary!$B$11*(0)),0)*IF(AND(Inputs!$B$39&lt;&gt;"pvp",Inputs!$B$44&gt;0),(((R2872-1)*MIN((Skills!T13*(1+Inputs!$B$35/100)),(1/Q2872))+MIN((Skills!T13*(1+Inputs!$B$35/100)),MAX(0,Inputs!$B$44-((R2872-1)*(1/Q2872)))))/Inputs!$B$44),IF(Inputs!$B$39="pvp",MIN((Skills!T13*(1+Inputs!$B$35/100)),15)/15,MIN(1,(Skills!T13*(1+Inputs!$B$35/100))/(1/Q2872)))))+(IF(AND(ArtifactsInput!$M$35,Inputs!$B$4&lt;&gt;"Chapter Hunt"),CHOOSE(ArtifactsInput!$N$35+1,15,18,21,24,27,30)*(1-EXP(-(0.2*B2890)*5)),0)+IF(AND(ArtifactsInput!$M$22,Inputs!$B$4&lt;&gt;"Chapter Hunt"),CHOOSE(ArtifactsInput!$N$22+1,10,12,14,16,18,20)*((0*(((0.15*B2890*5))^0/1)+1*(((0.15*B2890*5))^1/1)+2*(((0.15*B2890*5))^2/2)+3*(((0.15*B2890*5))^3/6)+4*(((0.15*B2890*5))^4/24)+5*(((0.15*B2890*5))^5/120))/((((0.15*B2890*5))^0/1)+(((0.15*B2890*5))^1/1)+(((0.15*B2890*5))^2/2)+(((0.15*B2890*5))^3/6)+(((0.15*B2890*5))^4/24)+(((0.15*B2890*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66">
      <c r="A2866">
        <f>Skills!A7</f>
        <v/>
      </c>
      <c r="B2866">
        <f>Skills!B7</f>
        <v/>
      </c>
      <c r="C2866">
        <f>Inputs!$B$3&gt;=40</f>
        <v/>
      </c>
      <c r="D2866">
        <f>IF(Skills!C7=1,60+Inputs!$B$26+Inputs!$B$30,IF(Skills!C7=2,90+Inputs!$B$27+Inputs!$B$30,IF(Skills!C7=3,120+Inputs!$B$28+Inputs!$B$30,MAX(0,(Inputs!$B$3-100)*3)+Inputs!$B$29+Inputs!$B$30)))</f>
        <v/>
      </c>
      <c r="E2866">
        <f>INDEX(FactorTable!$B$2:$Y$301, MATCH(ROUND(MIN(300,MAX(1,D2866)),0), FactorTable!$A$2:$A$301,0), Skills!M7+1)</f>
        <v/>
      </c>
      <c r="F2866">
        <f>IF(Skills!N7=TRUE,(Skills!L7/10)*(E2866/1000),Skills!L7/10)+Skills!O7</f>
        <v/>
      </c>
      <c r="G2866">
        <f>Skills!G7*IF(Skills!H7&gt;0,INT(IF(Inputs!$B$39="pvp",MIN(Skills!I7,15),Skills!I7)/Skills!H7+0.000000001),1)</f>
        <v/>
      </c>
      <c r="H2866">
        <f>1-(1-Skills!J7/100)^Skills!K7</f>
        <v/>
      </c>
      <c r="I2866" t="inlineStr">
        <is>
          <t>1</t>
        </is>
      </c>
      <c r="J2866">
        <f>((Inputs!$B$6*(1+Inputs!$B$7/100))+(((Inputs!$B$13*(1+Inputs!$B$14/100))-(Inputs!$B$13*(1+Inputs!$B$14/100)))+0.25*(Inputs!$B$15-Inputs!$B$15))*(1+Inputs!$B$7/100))*(F2866/100)</f>
        <v/>
      </c>
      <c r="K2866">
        <f>J2866*(1+(((Inputs!$B$13+IF(Inputs!$B$3&gt;=38,(10*INDEX(FactorTable!$B$2:$Y$301, MATCH(ROUND(MIN(300,MAX(1,Inputs!$B$3)),0), FactorTable!$A$2:$A$301,0), 23)/1000)/100*(Inputs!$B$8*(1+Inputs!$B$9/100)),0))*(1+Inputs!$B$14/100))*0.01+Inputs!$B$15*0.0025)/100)*(1+Inputs!$B$16/100)*(1+Inputs!$B$17/100)*(5000/(6000+Inputs!$B$43*(1-(Inputs!$B$20+0)/100)))*(1+(Inputs!$B$25+((C2884=TRUE)*(F2884-Calc!F25))+((C2885=TRUE)*(F2885-Calc!F26))+B2894)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2870=TRUE,F2870,0)/100)*(1+(IF(Skills!A7="DARK_IMPALE",Inputs!$B$18+0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gt;=100),MIN(100,((Inputs!$B$10+0+B2888+(ArtifactsInput!$M$24-ArtifactsInput!$M$24)*CHOOSE(ArtifactsInput!$N$24+1,10,12,14,16,18,20)+IF(ArtifactsInput!$M$10,CHOOSE(ArtifactsInput!$N$10+1,15,18,21,24,27,30)*(IF(Inputs!$B$39="pvp",MIN(15,15)/15,IF(AND(Inputs!$B$39&lt;&gt;"pvp",Inputs!$B$44&gt;0),MIN(15,Inputs!$B$44)/(Inputs!$B$44),0))),0)))-100),0))*CHOOSE(ArtifactsInput!$N$42+1,0.6,0.72,0.84,0.96,1.08,1.2))),Inputs!$B$19+((C2882=TRUE)*(F2882-Calc!F23))+(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gt;=100),CHOOSE(ArtifactsInput!$N$42+1,40,48,56,64,72,80),0))))/100)*((1+(((C2872=TRUE)*F2872*IF(AND(Inputs!$B$39&lt;&gt;"pvp",Inputs!$B$44&gt;0),(((R2872-1)*MIN((Skills!T13*(1+Inputs!$B$35/100)),(1/Q2872))+MIN((Skills!T13*(1+Inputs!$B$35/100)),MAX(0,Inputs!$B$44-((R2872-1)*(1/Q2872)))))/Inputs!$B$44),IF(Inputs!$B$39="pvp",MIN((Skills!T13*(1+Inputs!$B$35/100)),15)/15,MIN(1,(Skills!T13*(1+Inputs!$B$35/100))/(1/Q2872)))))+((C2873=TRUE)*F2873*IF(AND(Inputs!$B$39&lt;&gt;"pvp",Inputs!$B$44&gt;0),(((R2873-1)*MIN((Skills!T14*(1+Inputs!$B$35/100)),(1/Q2873))+MIN((Skills!T14*(1+Inputs!$B$35/100)),MAX(0,Inputs!$B$44-((R2873-1)*(1/Q2873)))))/Inputs!$B$44),IF(Inputs!$B$39="pvp",MIN((Skills!T14*(1+Inputs!$B$35/100)),15)/15,MIN(1,(Skills!T14*(1+Inputs!$B$35/100))/(1/Q2873)))))+((C2874=TRUE)*F2874*IF(AND(Inputs!$B$39&lt;&gt;"pvp",Inputs!$B$44&gt;0),(((R2874-1)*MIN((Skills!T15*(1+Inputs!$B$35/100)),(1/Q2874))+MIN((Skills!T15*(1+Inputs!$B$35/100)),MAX(0,Inputs!$B$44-((R2874-1)*(1/Q2874)))))/Inputs!$B$44),IF(Inputs!$B$39="pvp",MIN((Skills!T15*(1+Inputs!$B$35/100)),15)/15,MIN(1,(Skills!T15*(1+Inputs!$B$35/100))/(1/Q2874)))))+((C2875=TRUE)*F2875*IF(AND(Inputs!$B$39&lt;&gt;"pvp",Inputs!$B$44&gt;0),(((R2875-1)*MIN((Skills!T16*(1+Inputs!$B$35/100)),(1/Q2875))+MIN((Skills!T16*(1+Inputs!$B$35/100)),MAX(0,Inputs!$B$44-((R2875-1)*(1/Q2875)))))/Inputs!$B$44),IF(Inputs!$B$39="pvp",MIN((Skills!T16*(1+Inputs!$B$35/100)),15)/15,MIN(1,(Skills!T16*(1+Inputs!$B$35/100))/(1/Q2875)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2866)</f>
        <v/>
      </c>
      <c r="L2866">
        <f>K2866*(MIN(Inputs!$B$23+((C2881=TRUE)*(F2881-Calc!F22)),(Inputs!$B$24+((C2883=TRUE)*(F2883-Calc!F24))+(IF(ArtifactsInput!$M$15,CHOOSE(ArtifactsInput!$N$15+1,25,30,35,40,45,50)/100*(Inputs!$B$12-Inputs!$B$12),0))))/100+(Inputs!$B$24+((C2883=TRUE)*(F2883-Calc!F24))+(IF(ArtifactsInput!$M$15,CHOOSE(ArtifactsInput!$N$15+1,25,30,35,40,45,50)/100*(Inputs!$B$12-Inputs!$B$12),0)))/100)/2</f>
        <v/>
      </c>
      <c r="M2866">
        <f>L2866*(1+(Inputs!$B$11+0+B2893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866">
        <f>L2866*(1-MIN((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2866*(MIN((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66">
        <f>(1-Summary!$B$11)*T2866+Summary!$B$11*V2866</f>
        <v/>
      </c>
      <c r="P2866">
        <f>IF(B2898=0,0,O2866/B2898)</f>
        <v/>
      </c>
      <c r="Q2866">
        <f>IFERROR(1/IF(Inputs!$B$39="pvp",15,MAX(0.1,Skills!D7-IF(TRUE=TRUE,1.5,0))),0)</f>
        <v/>
      </c>
      <c r="R2866">
        <f>IF(AND(Inputs!$B$39&lt;&gt;"pvp",Inputs!$B$44&gt;0),IF(MAX(0,Inputs!$B$44-B2895)&lt;=0,0,(INT(MAX(0,Inputs!$B$44-B2895)/IF(Inputs!$B$39="pvp",15,MAX(0.1,Skills!D7-IF(TRUE=TRUE,1.5,0))))+1)),0)</f>
        <v/>
      </c>
      <c r="S2866">
        <f>IFERROR(O2866/N2866,0)</f>
        <v/>
      </c>
      <c r="T2866">
        <f>IF(C2866,(H2866*N2866*IF(AND(Inputs!$B$39&lt;&gt;"pvp",Inputs!$B$44&gt;0),((Skills!G7*((R2866-1)*IF(Skills!H7&gt;0,INT(Skills!I7/Skills!H7+0.000000001),1)+IF(Skills!H7&gt;0,INT(MIN(Skills!I7,MAX(0,MAX(0,Inputs!$B$44-B2895)-((R2866-1)*IF(Inputs!$B$39="pvp",15,MAX(0.1,Skills!D7-IF(TRUE=TRUE,1.5,0))))))/Skills!H7+0.000000001),1)))/Inputs!$B$44),G2866*Q2866))*IF(Inputs!$B$39="pvp",1,1+(Inputs!$B$21+0+Skills!P7+((C2876=TRUE)*F2876*IF(AND(Inputs!$B$39&lt;&gt;"pvp",Inputs!$B$44&gt;0),(((R2876-1)*MIN((Skills!T17*(1+Inputs!$B$35/100)),(1/Q2876))+MIN((Skills!T17*(1+Inputs!$B$35/100)),MAX(0,Inputs!$B$44-((R2876-1)*(1/Q2876)))))/Inputs!$B$44),IF(Inputs!$B$39="pvp",MIN((Skills!T17*(1+Inputs!$B$35/100)),15)/15,MIN(1,(Skills!T17*(1+Inputs!$B$35/100))/(1/Q2876)))))+((C2864=TRUE)*IF(Inputs!$B$3&gt;=126,10*MIN(1,15*Q2864),0))+((C2873=TRUE)*IF(Inputs!$B$39="pvp",20,(1-Summary!$B$11)*(20)+Summary!$B$11*(0))*IF(AND(Inputs!$B$39&lt;&gt;"pvp",Inputs!$B$44&gt;0),(((R2873-1)*MIN((Skills!T14*(1+Inputs!$B$35/100)),(1/Q2873))+MIN((Skills!T14*(1+Inputs!$B$35/100)),MAX(0,Inputs!$B$44-((R2873-1)*(1/Q2873)))))/Inputs!$B$44),IF(Inputs!$B$39="pvp",MIN((Skills!T14*(1+Inputs!$B$35/100)),15)/15,MIN(1,(Skills!T14*(1+Inputs!$B$35/100))/(1/Q2873)))))+((C2872=TRUE)*IF(Inputs!$B$3&gt;=82,IF(Inputs!$B$39="pvp",20,(1-Summary!$B$11)*(20)+Summary!$B$11*(0)),0)*IF(AND(Inputs!$B$39&lt;&gt;"pvp",Inputs!$B$44&gt;0),(((R2872-1)*MIN((Skills!T13*(1+Inputs!$B$35/100)),(1/Q2872))+MIN((Skills!T13*(1+Inputs!$B$35/100)),MAX(0,Inputs!$B$44-((R2872-1)*(1/Q2872)))))/Inputs!$B$44),IF(Inputs!$B$39="pvp",MIN((Skills!T13*(1+Inputs!$B$35/100)),15)/15,MIN(1,(Skills!T13*(1+Inputs!$B$35/100))/(1/Q2872)))))+(IF(AND(ArtifactsInput!$M$35,Inputs!$B$4&lt;&gt;"Chapter Hunt"),CHOOSE(ArtifactsInput!$N$35+1,15,18,21,24,27,30)*(1-EXP(-(0.2*B2890)*5)),0)+IF(AND(ArtifactsInput!$M$22,Inputs!$B$4&lt;&gt;"Chapter Hunt"),CHOOSE(ArtifactsInput!$N$22+1,10,12,14,16,18,20)*((0*(((0.15*B2890*5))^0/1)+1*(((0.15*B2890*5))^1/1)+2*(((0.15*B2890*5))^2/2)+3*(((0.15*B2890*5))^3/6)+4*(((0.15*B2890*5))^4/24)+5*(((0.15*B2890*5))^5/120))/((((0.15*B2890*5))^0/1)+(((0.15*B2890*5))^1/1)+(((0.15*B2890*5))^2/2)+(((0.15*B2890*5))^3/6)+(((0.15*B2890*5))^4/24)+(((0.15*B2890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2866*(1-MIN(100,(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2866*(MIN(100,(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2866*(1-MIN(100,(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2866*(MIN(100,(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66">
        <f>IF(C2866,(H2866*N2866*IF(AND(Inputs!$B$39&lt;&gt;"pvp",Inputs!$B$44&gt;0),((Skills!G7*((R2866-1)*IF(Skills!H7&gt;0,INT(Skills!I7/Skills!H7+0.000000001),1)+IF(Skills!H7&gt;0,INT(MIN(Skills!I7,MAX(0,MAX(0,Inputs!$B$44-B2895)-((R2866-1)*IF(Inputs!$B$39="pvp",15,MAX(0.1,Skills!D7-IF(TRUE=TRUE,1.5,0))))))/Skills!H7+0.000000001),1)))/Inputs!$B$44),G2866*Q2866))*IF(Inputs!$B$39="pvp",1,(1+(Inputs!$B$22+Skills!Q7+((C2876=TRUE)*F2876*IF(AND(Inputs!$B$39&lt;&gt;"pvp",Inputs!$B$44&gt;0),(((R2876-1)*MIN((Skills!T17*(1+Inputs!$B$35/100)),(1/Q2876))+MIN((Skills!T17*(1+Inputs!$B$35/100)),MAX(0,Inputs!$B$44-((R2876-1)*(1/Q2876)))))/Inputs!$B$44),IF(Inputs!$B$39="pvp",MIN((Skills!T17*(1+Inputs!$B$35/100)),15)/15,MIN(1,(Skills!T17*(1+Inputs!$B$35/100))/(1/Q2876)))))+((C2864=TRUE)*IF(Inputs!$B$3&gt;=126,10*MIN(1,15*Q2864),0))+((C2873=TRUE)*IF(Inputs!$B$39="pvp",20,(1-Summary!$B$11)*(20)+Summary!$B$11*(0))*IF(AND(Inputs!$B$39&lt;&gt;"pvp",Inputs!$B$44&gt;0),(((R2873-1)*MIN((Skills!T14*(1+Inputs!$B$35/100)),(1/Q2873))+MIN((Skills!T14*(1+Inputs!$B$35/100)),MAX(0,Inputs!$B$44-((R2873-1)*(1/Q2873)))))/Inputs!$B$44),IF(Inputs!$B$39="pvp",MIN((Skills!T14*(1+Inputs!$B$35/100)),15)/15,MIN(1,(Skills!T14*(1+Inputs!$B$35/100))/(1/Q2873)))))+((C2872=TRUE)*IF(Inputs!$B$3&gt;=82,IF(Inputs!$B$39="pvp",20,(1-Summary!$B$11)*(20)+Summary!$B$11*(0)),0)*IF(AND(Inputs!$B$39&lt;&gt;"pvp",Inputs!$B$44&gt;0),(((R2872-1)*MIN((Skills!T13*(1+Inputs!$B$35/100)),(1/Q2872))+MIN((Skills!T13*(1+Inputs!$B$35/100)),MAX(0,Inputs!$B$44-((R2872-1)*(1/Q2872)))))/Inputs!$B$44),IF(Inputs!$B$39="pvp",MIN((Skills!T13*(1+Inputs!$B$35/100)),15)/15,MIN(1,(Skills!T13*(1+Inputs!$B$35/100))/(1/Q2872)))))+(IF(AND(ArtifactsInput!$M$35,Inputs!$B$4&lt;&gt;"Chapter Hunt"),CHOOSE(ArtifactsInput!$N$35+1,15,18,21,24,27,30)*(1-EXP(-(0.2*B2890)*5)),0)+IF(AND(ArtifactsInput!$M$22,Inputs!$B$4&lt;&gt;"Chapter Hunt"),CHOOSE(ArtifactsInput!$N$22+1,10,12,14,16,18,20)*((0*(((0.15*B2890*5))^0/1)+1*(((0.15*B2890*5))^1/1)+2*(((0.15*B2890*5))^2/2)+3*(((0.15*B2890*5))^3/6)+4*(((0.15*B2890*5))^4/24)+5*(((0.15*B2890*5))^5/120))/((((0.15*B2890*5))^0/1)+(((0.15*B2890*5))^1/1)+(((0.15*B2890*5))^2/2)+(((0.15*B2890*5))^3/6)+(((0.15*B2890*5))^4/24)+(((0.15*B2890*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67">
      <c r="A2867">
        <f>Skills!A8</f>
        <v/>
      </c>
      <c r="B2867">
        <f>Skills!B8</f>
        <v/>
      </c>
      <c r="C2867">
        <f>Inputs!$B$3&gt;=75</f>
        <v/>
      </c>
      <c r="D2867">
        <f>IF(Skills!C8=1,60+Inputs!$B$26+Inputs!$B$30,IF(Skills!C8=2,90+Inputs!$B$27+Inputs!$B$30,IF(Skills!C8=3,120+Inputs!$B$28+Inputs!$B$30,MAX(0,(Inputs!$B$3-100)*3)+Inputs!$B$29+Inputs!$B$30)))</f>
        <v/>
      </c>
      <c r="E2867">
        <f>INDEX(FactorTable!$B$2:$Y$301, MATCH(ROUND(MIN(300,MAX(1,D2867)),0), FactorTable!$A$2:$A$301,0), Skills!M8+1)</f>
        <v/>
      </c>
      <c r="F2867">
        <f>IF(Skills!N8=TRUE,(Skills!L8/10)*(E2867/1000),Skills!L8/10)+Skills!O8</f>
        <v/>
      </c>
      <c r="G2867" t="inlineStr"/>
      <c r="H2867" t="inlineStr"/>
      <c r="I2867" t="inlineStr">
        <is>
          <t>1</t>
        </is>
      </c>
      <c r="J2867" t="inlineStr"/>
      <c r="K2867" t="inlineStr"/>
      <c r="L2867" t="inlineStr"/>
      <c r="M2867" t="inlineStr"/>
      <c r="N2867" t="inlineStr"/>
      <c r="O2867" t="inlineStr"/>
      <c r="P2867" t="inlineStr"/>
      <c r="Q2867" t="inlineStr"/>
      <c r="R2867" t="inlineStr"/>
      <c r="S2867" t="inlineStr"/>
    </row>
    <row r="2868">
      <c r="A2868">
        <f>Skills!A9</f>
        <v/>
      </c>
      <c r="B2868">
        <f>Skills!B9</f>
        <v/>
      </c>
      <c r="C2868">
        <f>Inputs!$B$3&gt;=60</f>
        <v/>
      </c>
      <c r="D2868">
        <f>IF(Skills!C9=1,60+Inputs!$B$26+Inputs!$B$30,IF(Skills!C9=2,90+Inputs!$B$27+Inputs!$B$30,IF(Skills!C9=3,120+Inputs!$B$28+Inputs!$B$30,MAX(0,(Inputs!$B$3-100)*3)+Inputs!$B$29+Inputs!$B$30)))</f>
        <v/>
      </c>
      <c r="E2868">
        <f>INDEX(FactorTable!$B$2:$Y$301, MATCH(ROUND(MIN(300,MAX(1,D2868)),0), FactorTable!$A$2:$A$301,0), Skills!M9+1)</f>
        <v/>
      </c>
      <c r="F2868">
        <f>IF(Skills!N9=TRUE,(Skills!L9/10)*(E2868/1000),Skills!L9/10)+Skills!O9</f>
        <v/>
      </c>
      <c r="G2868">
        <f>Skills!G9*IF(Skills!H9&gt;0,INT(IF(Inputs!$B$39="pvp",MIN(Skills!I9,15),Skills!I9)/Skills!H9+0.000000001),1)</f>
        <v/>
      </c>
      <c r="H2868">
        <f>1-(1-Skills!J9/100)^Skills!K9</f>
        <v/>
      </c>
      <c r="I2868" t="inlineStr">
        <is>
          <t>1</t>
        </is>
      </c>
      <c r="J2868">
        <f>((Inputs!$B$6*(1+Inputs!$B$7/100))+(((Inputs!$B$13*(1+Inputs!$B$14/100))-(Inputs!$B$13*(1+Inputs!$B$14/100)))+0.25*(Inputs!$B$15-Inputs!$B$15))*(1+Inputs!$B$7/100))*(F2868/100)</f>
        <v/>
      </c>
      <c r="K2868">
        <f>J2868*(1+(((Inputs!$B$13+IF(Inputs!$B$3&gt;=38,(10*INDEX(FactorTable!$B$2:$Y$301, MATCH(ROUND(MIN(300,MAX(1,Inputs!$B$3)),0), FactorTable!$A$2:$A$301,0), 23)/1000)/100*(Inputs!$B$8*(1+Inputs!$B$9/100)),0))*(1+Inputs!$B$14/100))*0.01+Inputs!$B$15*0.0025)/100)*(1+Inputs!$B$16/100)*(1+Inputs!$B$17/100)*(5000/(6000+Inputs!$B$43*(1-(Inputs!$B$20+0)/100)))*(1+(Inputs!$B$25+((C2884=TRUE)*(F2884-Calc!F25))+((C2885=TRUE)*(F2885-Calc!F26))+B2894)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2870=TRUE,F2870,0)/100)*(1+(IF(Skills!A9="DARK_IMPALE",Inputs!$B$18+0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gt;=100),MIN(100,((Inputs!$B$10+0+B2888+(ArtifactsInput!$M$24-ArtifactsInput!$M$24)*CHOOSE(ArtifactsInput!$N$24+1,10,12,14,16,18,20)+IF(ArtifactsInput!$M$10,CHOOSE(ArtifactsInput!$N$10+1,15,18,21,24,27,30)*(IF(Inputs!$B$39="pvp",MIN(15,15)/15,IF(AND(Inputs!$B$39&lt;&gt;"pvp",Inputs!$B$44&gt;0),MIN(15,Inputs!$B$44)/(Inputs!$B$44),0))),0)))-100),0))*CHOOSE(ArtifactsInput!$N$42+1,0.6,0.72,0.84,0.96,1.08,1.2))),Inputs!$B$19+((C2882=TRUE)*(F2882-Calc!F23))+(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gt;=100),CHOOSE(ArtifactsInput!$N$42+1,40,48,56,64,72,80),0))))/100)*((1+(((C2872=TRUE)*F2872*IF(AND(Inputs!$B$39&lt;&gt;"pvp",Inputs!$B$44&gt;0),(((R2872-1)*MIN((Skills!T13*(1+Inputs!$B$35/100)),(1/Q2872))+MIN((Skills!T13*(1+Inputs!$B$35/100)),MAX(0,Inputs!$B$44-((R2872-1)*(1/Q2872)))))/Inputs!$B$44),IF(Inputs!$B$39="pvp",MIN((Skills!T13*(1+Inputs!$B$35/100)),15)/15,MIN(1,(Skills!T13*(1+Inputs!$B$35/100))/(1/Q2872)))))+((C2873=TRUE)*F2873*IF(AND(Inputs!$B$39&lt;&gt;"pvp",Inputs!$B$44&gt;0),(((R2873-1)*MIN((Skills!T14*(1+Inputs!$B$35/100)),(1/Q2873))+MIN((Skills!T14*(1+Inputs!$B$35/100)),MAX(0,Inputs!$B$44-((R2873-1)*(1/Q2873)))))/Inputs!$B$44),IF(Inputs!$B$39="pvp",MIN((Skills!T14*(1+Inputs!$B$35/100)),15)/15,MIN(1,(Skills!T14*(1+Inputs!$B$35/100))/(1/Q2873)))))+((C2874=TRUE)*F2874*IF(AND(Inputs!$B$39&lt;&gt;"pvp",Inputs!$B$44&gt;0),(((R2874-1)*MIN((Skills!T15*(1+Inputs!$B$35/100)),(1/Q2874))+MIN((Skills!T15*(1+Inputs!$B$35/100)),MAX(0,Inputs!$B$44-((R2874-1)*(1/Q2874)))))/Inputs!$B$44),IF(Inputs!$B$39="pvp",MIN((Skills!T15*(1+Inputs!$B$35/100)),15)/15,MIN(1,(Skills!T15*(1+Inputs!$B$35/100))/(1/Q2874)))))+((C2875=TRUE)*F2875*IF(AND(Inputs!$B$39&lt;&gt;"pvp",Inputs!$B$44&gt;0),(((R2875-1)*MIN((Skills!T16*(1+Inputs!$B$35/100)),(1/Q2875))+MIN((Skills!T16*(1+Inputs!$B$35/100)),MAX(0,Inputs!$B$44-((R2875-1)*(1/Q2875)))))/Inputs!$B$44),IF(Inputs!$B$39="pvp",MIN((Skills!T16*(1+Inputs!$B$35/100)),15)/15,MIN(1,(Skills!T16*(1+Inputs!$B$35/100))/(1/Q2875)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2868)</f>
        <v/>
      </c>
      <c r="L2868">
        <f>K2868*(MIN(Inputs!$B$23+((C2881=TRUE)*(F2881-Calc!F22)),(Inputs!$B$24+((C2883=TRUE)*(F2883-Calc!F24))+(IF(ArtifactsInput!$M$15,CHOOSE(ArtifactsInput!$N$15+1,25,30,35,40,45,50)/100*(Inputs!$B$12-Inputs!$B$12),0))))/100+(Inputs!$B$24+((C2883=TRUE)*(F2883-Calc!F24))+(IF(ArtifactsInput!$M$15,CHOOSE(ArtifactsInput!$N$15+1,25,30,35,40,45,50)/100*(Inputs!$B$12-Inputs!$B$12),0)))/100)/2</f>
        <v/>
      </c>
      <c r="M2868">
        <f>L2868*(1+(Inputs!$B$11+0+B2893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868">
        <f>L2868*(1-MIN((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2868*(MIN((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68">
        <f>(1-Summary!$B$11)*T2868+Summary!$B$11*V2868</f>
        <v/>
      </c>
      <c r="P2868">
        <f>IF(B2898=0,0,O2868/B2898)</f>
        <v/>
      </c>
      <c r="Q2868">
        <f>IFERROR(1/IF(Inputs!$B$39="pvp",15,MAX(0.1,Skills!D9-IF(TRUE=TRUE,1.5,0))),0)</f>
        <v/>
      </c>
      <c r="R2868">
        <f>IF(AND(Inputs!$B$39&lt;&gt;"pvp",Inputs!$B$44&gt;0),IF(MAX(0,Inputs!$B$44-B2895)&lt;=0,0,(INT(MAX(0,Inputs!$B$44-B2895)/IF(Inputs!$B$39="pvp",15,MAX(0.1,Skills!D9-IF(TRUE=TRUE,1.5,0))))+1)),0)</f>
        <v/>
      </c>
      <c r="S2868">
        <f>IFERROR(O2868/N2868,0)</f>
        <v/>
      </c>
      <c r="T2868">
        <f>IF(C2868,(H2868*N2868*IF(AND(Inputs!$B$39&lt;&gt;"pvp",Inputs!$B$44&gt;0),((Skills!G9*((R2868-1)*IF(Skills!H9&gt;0,INT(Skills!I9/Skills!H9+0.000000001),1)+IF(Skills!H9&gt;0,INT(MIN(Skills!I9,MAX(0,MAX(0,Inputs!$B$44-B2895)-((R2868-1)*IF(Inputs!$B$39="pvp",15,MAX(0.1,Skills!D9-IF(TRUE=TRUE,1.5,0))))))/Skills!H9+0.000000001),1)))/Inputs!$B$44),G2868*Q2868))*IF(Inputs!$B$39="pvp",1,1+(Inputs!$B$21+0+Skills!P9+((C2876=TRUE)*F2876*IF(AND(Inputs!$B$39&lt;&gt;"pvp",Inputs!$B$44&gt;0),(((R2876-1)*MIN((Skills!T17*(1+Inputs!$B$35/100)),(1/Q2876))+MIN((Skills!T17*(1+Inputs!$B$35/100)),MAX(0,Inputs!$B$44-((R2876-1)*(1/Q2876)))))/Inputs!$B$44),IF(Inputs!$B$39="pvp",MIN((Skills!T17*(1+Inputs!$B$35/100)),15)/15,MIN(1,(Skills!T17*(1+Inputs!$B$35/100))/(1/Q2876)))))+((C2864=TRUE)*IF(Inputs!$B$3&gt;=126,10*MIN(1,15*Q2864),0))+((C2873=TRUE)*IF(Inputs!$B$39="pvp",20,(1-Summary!$B$11)*(20)+Summary!$B$11*(0))*IF(AND(Inputs!$B$39&lt;&gt;"pvp",Inputs!$B$44&gt;0),(((R2873-1)*MIN((Skills!T14*(1+Inputs!$B$35/100)),(1/Q2873))+MIN((Skills!T14*(1+Inputs!$B$35/100)),MAX(0,Inputs!$B$44-((R2873-1)*(1/Q2873)))))/Inputs!$B$44),IF(Inputs!$B$39="pvp",MIN((Skills!T14*(1+Inputs!$B$35/100)),15)/15,MIN(1,(Skills!T14*(1+Inputs!$B$35/100))/(1/Q2873)))))+((C2872=TRUE)*IF(Inputs!$B$3&gt;=82,IF(Inputs!$B$39="pvp",20,(1-Summary!$B$11)*(20)+Summary!$B$11*(0)),0)*IF(AND(Inputs!$B$39&lt;&gt;"pvp",Inputs!$B$44&gt;0),(((R2872-1)*MIN((Skills!T13*(1+Inputs!$B$35/100)),(1/Q2872))+MIN((Skills!T13*(1+Inputs!$B$35/100)),MAX(0,Inputs!$B$44-((R2872-1)*(1/Q2872)))))/Inputs!$B$44),IF(Inputs!$B$39="pvp",MIN((Skills!T13*(1+Inputs!$B$35/100)),15)/15,MIN(1,(Skills!T13*(1+Inputs!$B$35/100))/(1/Q2872)))))+(IF(AND(ArtifactsInput!$M$35,Inputs!$B$4&lt;&gt;"Chapter Hunt"),CHOOSE(ArtifactsInput!$N$35+1,15,18,21,24,27,30)*(1-EXP(-(0.2*B2890)*5)),0)+IF(AND(ArtifactsInput!$M$22,Inputs!$B$4&lt;&gt;"Chapter Hunt"),CHOOSE(ArtifactsInput!$N$22+1,10,12,14,16,18,20)*((0*(((0.15*B2890*5))^0/1)+1*(((0.15*B2890*5))^1/1)+2*(((0.15*B2890*5))^2/2)+3*(((0.15*B2890*5))^3/6)+4*(((0.15*B2890*5))^4/24)+5*(((0.15*B2890*5))^5/120))/((((0.15*B2890*5))^0/1)+(((0.15*B2890*5))^1/1)+(((0.15*B2890*5))^2/2)+(((0.15*B2890*5))^3/6)+(((0.15*B2890*5))^4/24)+(((0.15*B2890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2868*(1-MIN(100,(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2868*(MIN(100,(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2868*(1-MIN(100,(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2868*(MIN(100,(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68">
        <f>IF(C2868,(H2868*N2868*IF(AND(Inputs!$B$39&lt;&gt;"pvp",Inputs!$B$44&gt;0),((Skills!G9*((R2868-1)*IF(Skills!H9&gt;0,INT(Skills!I9/Skills!H9+0.000000001),1)+IF(Skills!H9&gt;0,INT(MIN(Skills!I9,MAX(0,MAX(0,Inputs!$B$44-B2895)-((R2868-1)*IF(Inputs!$B$39="pvp",15,MAX(0.1,Skills!D9-IF(TRUE=TRUE,1.5,0))))))/Skills!H9+0.000000001),1)))/Inputs!$B$44),G2868*Q2868))*IF(Inputs!$B$39="pvp",1,(1+(Inputs!$B$22+Skills!Q9+((C2876=TRUE)*F2876*IF(AND(Inputs!$B$39&lt;&gt;"pvp",Inputs!$B$44&gt;0),(((R2876-1)*MIN((Skills!T17*(1+Inputs!$B$35/100)),(1/Q2876))+MIN((Skills!T17*(1+Inputs!$B$35/100)),MAX(0,Inputs!$B$44-((R2876-1)*(1/Q2876)))))/Inputs!$B$44),IF(Inputs!$B$39="pvp",MIN((Skills!T17*(1+Inputs!$B$35/100)),15)/15,MIN(1,(Skills!T17*(1+Inputs!$B$35/100))/(1/Q2876)))))+((C2864=TRUE)*IF(Inputs!$B$3&gt;=126,10*MIN(1,15*Q2864),0))+((C2873=TRUE)*IF(Inputs!$B$39="pvp",20,(1-Summary!$B$11)*(20)+Summary!$B$11*(0))*IF(AND(Inputs!$B$39&lt;&gt;"pvp",Inputs!$B$44&gt;0),(((R2873-1)*MIN((Skills!T14*(1+Inputs!$B$35/100)),(1/Q2873))+MIN((Skills!T14*(1+Inputs!$B$35/100)),MAX(0,Inputs!$B$44-((R2873-1)*(1/Q2873)))))/Inputs!$B$44),IF(Inputs!$B$39="pvp",MIN((Skills!T14*(1+Inputs!$B$35/100)),15)/15,MIN(1,(Skills!T14*(1+Inputs!$B$35/100))/(1/Q2873)))))+((C2872=TRUE)*IF(Inputs!$B$3&gt;=82,IF(Inputs!$B$39="pvp",20,(1-Summary!$B$11)*(20)+Summary!$B$11*(0)),0)*IF(AND(Inputs!$B$39&lt;&gt;"pvp",Inputs!$B$44&gt;0),(((R2872-1)*MIN((Skills!T13*(1+Inputs!$B$35/100)),(1/Q2872))+MIN((Skills!T13*(1+Inputs!$B$35/100)),MAX(0,Inputs!$B$44-((R2872-1)*(1/Q2872)))))/Inputs!$B$44),IF(Inputs!$B$39="pvp",MIN((Skills!T13*(1+Inputs!$B$35/100)),15)/15,MIN(1,(Skills!T13*(1+Inputs!$B$35/100))/(1/Q2872)))))+(IF(AND(ArtifactsInput!$M$35,Inputs!$B$4&lt;&gt;"Chapter Hunt"),CHOOSE(ArtifactsInput!$N$35+1,15,18,21,24,27,30)*(1-EXP(-(0.2*B2890)*5)),0)+IF(AND(ArtifactsInput!$M$22,Inputs!$B$4&lt;&gt;"Chapter Hunt"),CHOOSE(ArtifactsInput!$N$22+1,10,12,14,16,18,20)*((0*(((0.15*B2890*5))^0/1)+1*(((0.15*B2890*5))^1/1)+2*(((0.15*B2890*5))^2/2)+3*(((0.15*B2890*5))^3/6)+4*(((0.15*B2890*5))^4/24)+5*(((0.15*B2890*5))^5/120))/((((0.15*B2890*5))^0/1)+(((0.15*B2890*5))^1/1)+(((0.15*B2890*5))^2/2)+(((0.15*B2890*5))^3/6)+(((0.15*B2890*5))^4/24)+(((0.15*B2890*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69">
      <c r="A2869">
        <f>Skills!A10</f>
        <v/>
      </c>
      <c r="B2869">
        <f>Skills!B10</f>
        <v/>
      </c>
      <c r="C2869">
        <f>Inputs!$B$3&gt;=110</f>
        <v/>
      </c>
      <c r="D2869">
        <f>IF(Skills!C10=1,60+Inputs!$B$26+Inputs!$B$30,IF(Skills!C10=2,90+Inputs!$B$27+Inputs!$B$30,IF(Skills!C10=3,120+Inputs!$B$28+Inputs!$B$30,MAX(0,(Inputs!$B$3-100)*3)+Inputs!$B$29+Inputs!$B$30)))</f>
        <v/>
      </c>
      <c r="E2869">
        <f>INDEX(FactorTable!$B$2:$Y$301, MATCH(ROUND(MIN(300,MAX(1,D2869)),0), FactorTable!$A$2:$A$301,0), Skills!M10+1)</f>
        <v/>
      </c>
      <c r="F2869">
        <f>IF(Skills!N10=TRUE,(Skills!L10/10)*(E2869/1000),Skills!L10/10)+Skills!O10</f>
        <v/>
      </c>
      <c r="G2869">
        <f>Skills!G10*IF(Skills!H10&gt;0,INT(IF(Inputs!$B$39="pvp",MIN(Skills!I10,15),Skills!I10)/Skills!H10+0.000000001),1)</f>
        <v/>
      </c>
      <c r="H2869">
        <f>1-(1-Skills!J10/100)^Skills!K10</f>
        <v/>
      </c>
      <c r="I2869" t="inlineStr">
        <is>
          <t>1</t>
        </is>
      </c>
      <c r="J2869">
        <f>((Inputs!$B$6*(1+Inputs!$B$7/100))+(((Inputs!$B$13*(1+Inputs!$B$14/100))-(Inputs!$B$13*(1+Inputs!$B$14/100)))+0.25*(Inputs!$B$15-Inputs!$B$15))*(1+Inputs!$B$7/100))*(F2869/100)</f>
        <v/>
      </c>
      <c r="K2869">
        <f>J2869*(1+(((Inputs!$B$13+IF(Inputs!$B$3&gt;=38,(10*INDEX(FactorTable!$B$2:$Y$301, MATCH(ROUND(MIN(300,MAX(1,Inputs!$B$3)),0), FactorTable!$A$2:$A$301,0), 23)/1000)/100*(Inputs!$B$8*(1+Inputs!$B$9/100)),0))*(1+Inputs!$B$14/100))*0.01+Inputs!$B$15*0.0025)/100)*(1+Inputs!$B$16/100)*(1+Inputs!$B$17/100)*(5000/(6000+Inputs!$B$43*(1-(Inputs!$B$20+0)/100)))*(1+(Inputs!$B$25+((C2884=TRUE)*(F2884-Calc!F25))+((C2885=TRUE)*(F2885-Calc!F26))+B2894)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gt;=100),MIN(100,((Inputs!$B$10+0+B2888+(ArtifactsInput!$M$24-ArtifactsInput!$M$24)*CHOOSE(ArtifactsInput!$N$24+1,10,12,14,16,18,20)+IF(ArtifactsInput!$M$10,CHOOSE(ArtifactsInput!$N$10+1,15,18,21,24,27,30)*(IF(Inputs!$B$39="pvp",MIN(15,15)/15,IF(AND(Inputs!$B$39&lt;&gt;"pvp",Inputs!$B$44&gt;0),MIN(15,Inputs!$B$44)/(Inputs!$B$44),0))),0)))-100),0))*CHOOSE(ArtifactsInput!$N$42+1,0.6,0.72,0.84,0.96,1.08,1.2))),Inputs!$B$19+((C2882=TRUE)*(F2882-Calc!F23))+(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gt;=100),CHOOSE(ArtifactsInput!$N$42+1,40,48,56,64,72,80),0))))/100)*((1+(((C2872=TRUE)*F2872*IF(AND(Inputs!$B$39&lt;&gt;"pvp",Inputs!$B$44&gt;0),(((R2872-1)*MIN((Skills!T13*(1+Inputs!$B$35/100)),(1/Q2872))+MIN((Skills!T13*(1+Inputs!$B$35/100)),MAX(0,Inputs!$B$44-((R2872-1)*(1/Q2872)))))/Inputs!$B$44),IF(Inputs!$B$39="pvp",MIN((Skills!T13*(1+Inputs!$B$35/100)),15)/15,MIN(1,(Skills!T13*(1+Inputs!$B$35/100))/(1/Q2872)))))+((C2873=TRUE)*F2873*IF(AND(Inputs!$B$39&lt;&gt;"pvp",Inputs!$B$44&gt;0),(((R2873-1)*MIN((Skills!T14*(1+Inputs!$B$35/100)),(1/Q2873))+MIN((Skills!T14*(1+Inputs!$B$35/100)),MAX(0,Inputs!$B$44-((R2873-1)*(1/Q2873)))))/Inputs!$B$44),IF(Inputs!$B$39="pvp",MIN((Skills!T14*(1+Inputs!$B$35/100)),15)/15,MIN(1,(Skills!T14*(1+Inputs!$B$35/100))/(1/Q2873)))))+((C2874=TRUE)*F2874*IF(AND(Inputs!$B$39&lt;&gt;"pvp",Inputs!$B$44&gt;0),(((R2874-1)*MIN((Skills!T15*(1+Inputs!$B$35/100)),(1/Q2874))+MIN((Skills!T15*(1+Inputs!$B$35/100)),MAX(0,Inputs!$B$44-((R2874-1)*(1/Q2874)))))/Inputs!$B$44),IF(Inputs!$B$39="pvp",MIN((Skills!T15*(1+Inputs!$B$35/100)),15)/15,MIN(1,(Skills!T15*(1+Inputs!$B$35/100))/(1/Q2874)))))+((C2875=TRUE)*F2875*IF(AND(Inputs!$B$39&lt;&gt;"pvp",Inputs!$B$44&gt;0),(((R2875-1)*MIN((Skills!T16*(1+Inputs!$B$35/100)),(1/Q2875))+MIN((Skills!T16*(1+Inputs!$B$35/100)),MAX(0,Inputs!$B$44-((R2875-1)*(1/Q2875)))))/Inputs!$B$44),IF(Inputs!$B$39="pvp",MIN((Skills!T16*(1+Inputs!$B$35/100)),15)/15,MIN(1,(Skills!T16*(1+Inputs!$B$35/100))/(1/Q2875)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2869)</f>
        <v/>
      </c>
      <c r="L2869">
        <f>K2869*(MIN(Inputs!$B$23+((C2881=TRUE)*(F2881-Calc!F22)),(Inputs!$B$24+((C2883=TRUE)*(F2883-Calc!F24))+(IF(ArtifactsInput!$M$15,CHOOSE(ArtifactsInput!$N$15+1,25,30,35,40,45,50)/100*(Inputs!$B$12-Inputs!$B$12),0))))/100+(Inputs!$B$24+((C2883=TRUE)*(F2883-Calc!F24))+(IF(ArtifactsInput!$M$15,CHOOSE(ArtifactsInput!$N$15+1,25,30,35,40,45,50)/100*(Inputs!$B$12-Inputs!$B$12),0)))/100)/2</f>
        <v/>
      </c>
      <c r="M2869">
        <f>L2869*(1+(Inputs!$B$11+0+B2893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869">
        <f>L2869*(1-MIN((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2869*(MIN((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69">
        <f>(1-Summary!$B$11)*T2869+Summary!$B$11*V2869</f>
        <v/>
      </c>
      <c r="P2869">
        <f>IF(B2898=0,0,O2869/B2898)</f>
        <v/>
      </c>
      <c r="Q2869">
        <f>IFERROR(1/IF(Inputs!$B$39="pvp",15,MAX(0.1,Skills!D10-IF(TRUE=TRUE,1.5,0))),0)</f>
        <v/>
      </c>
      <c r="R2869">
        <f>IF(AND(Inputs!$B$39&lt;&gt;"pvp",Inputs!$B$44&gt;0),IF(MAX(0,Inputs!$B$44-B2895)&lt;=0,0,(INT(MAX(0,Inputs!$B$44-B2895)/IF(Inputs!$B$39="pvp",15,MAX(0.1,Skills!D10-IF(TRUE=TRUE,1.5,0))))+1)),0)</f>
        <v/>
      </c>
      <c r="S2869">
        <f>IFERROR(O2869/N2869,0)</f>
        <v/>
      </c>
      <c r="T2869">
        <f>IF(C2869,(H2869*N2869*IF(AND(Inputs!$B$39&lt;&gt;"pvp",Inputs!$B$44&gt;0),((Skills!G10*((R2869-1)*IF(Skills!H10&gt;0,INT(Skills!I10/Skills!H10+0.000000001),1)+IF(Skills!H10&gt;0,INT(MIN(Skills!I10,MAX(0,MAX(0,Inputs!$B$44-B2895)-((R2869-1)*IF(Inputs!$B$39="pvp",15,MAX(0.1,Skills!D10-IF(TRUE=TRUE,1.5,0))))))/Skills!H10+0.000000001),1)))/Inputs!$B$44),G2869*Q2869))*IF(Inputs!$B$39="pvp",1,1+(Inputs!$B$21+0+Skills!P10+((C2876=TRUE)*F2876*IF(AND(Inputs!$B$39&lt;&gt;"pvp",Inputs!$B$44&gt;0),(((R2876-1)*MIN((Skills!T17*(1+Inputs!$B$35/100)),(1/Q2876))+MIN((Skills!T17*(1+Inputs!$B$35/100)),MAX(0,Inputs!$B$44-((R2876-1)*(1/Q2876)))))/Inputs!$B$44),IF(Inputs!$B$39="pvp",MIN((Skills!T17*(1+Inputs!$B$35/100)),15)/15,MIN(1,(Skills!T17*(1+Inputs!$B$35/100))/(1/Q2876)))))+((C2864=TRUE)*IF(Inputs!$B$3&gt;=126,10*MIN(1,15*Q2864),0))+((C2873=TRUE)*IF(Inputs!$B$39="pvp",20,(1-Summary!$B$11)*(20)+Summary!$B$11*(0))*IF(AND(Inputs!$B$39&lt;&gt;"pvp",Inputs!$B$44&gt;0),(((R2873-1)*MIN((Skills!T14*(1+Inputs!$B$35/100)),(1/Q2873))+MIN((Skills!T14*(1+Inputs!$B$35/100)),MAX(0,Inputs!$B$44-((R2873-1)*(1/Q2873)))))/Inputs!$B$44),IF(Inputs!$B$39="pvp",MIN((Skills!T14*(1+Inputs!$B$35/100)),15)/15,MIN(1,(Skills!T14*(1+Inputs!$B$35/100))/(1/Q2873)))))+((C2872=TRUE)*IF(Inputs!$B$3&gt;=82,IF(Inputs!$B$39="pvp",20,(1-Summary!$B$11)*(20)+Summary!$B$11*(0)),0)*IF(AND(Inputs!$B$39&lt;&gt;"pvp",Inputs!$B$44&gt;0),(((R2872-1)*MIN((Skills!T13*(1+Inputs!$B$35/100)),(1/Q2872))+MIN((Skills!T13*(1+Inputs!$B$35/100)),MAX(0,Inputs!$B$44-((R2872-1)*(1/Q2872)))))/Inputs!$B$44),IF(Inputs!$B$39="pvp",MIN((Skills!T13*(1+Inputs!$B$35/100)),15)/15,MIN(1,(Skills!T13*(1+Inputs!$B$35/100))/(1/Q2872)))))+(IF(AND(ArtifactsInput!$M$35,Inputs!$B$4&lt;&gt;"Chapter Hunt"),CHOOSE(ArtifactsInput!$N$35+1,15,18,21,24,27,30)*(1-EXP(-(0.2*B2890)*5)),0)+IF(AND(ArtifactsInput!$M$22,Inputs!$B$4&lt;&gt;"Chapter Hunt"),CHOOSE(ArtifactsInput!$N$22+1,10,12,14,16,18,20)*((0*(((0.15*B2890*5))^0/1)+1*(((0.15*B2890*5))^1/1)+2*(((0.15*B2890*5))^2/2)+3*(((0.15*B2890*5))^3/6)+4*(((0.15*B2890*5))^4/24)+5*(((0.15*B2890*5))^5/120))/((((0.15*B2890*5))^0/1)+(((0.15*B2890*5))^1/1)+(((0.15*B2890*5))^2/2)+(((0.15*B2890*5))^3/6)+(((0.15*B2890*5))^4/24)+(((0.15*B2890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2869*(1-MIN(100,(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2869*(MIN(100,(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2869*(1-MIN(100,(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2869*(MIN(100,(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69">
        <f>IF(C2869,(H2869*N2869*IF(AND(Inputs!$B$39&lt;&gt;"pvp",Inputs!$B$44&gt;0),((Skills!G10*((R2869-1)*IF(Skills!H10&gt;0,INT(Skills!I10/Skills!H10+0.000000001),1)+IF(Skills!H10&gt;0,INT(MIN(Skills!I10,MAX(0,MAX(0,Inputs!$B$44-B2895)-((R2869-1)*IF(Inputs!$B$39="pvp",15,MAX(0.1,Skills!D10-IF(TRUE=TRUE,1.5,0))))))/Skills!H10+0.000000001),1)))/Inputs!$B$44),G2869*Q2869))*IF(Inputs!$B$39="pvp",1,(1+(Inputs!$B$22+Skills!Q10+((C2876=TRUE)*F2876*IF(AND(Inputs!$B$39&lt;&gt;"pvp",Inputs!$B$44&gt;0),(((R2876-1)*MIN((Skills!T17*(1+Inputs!$B$35/100)),(1/Q2876))+MIN((Skills!T17*(1+Inputs!$B$35/100)),MAX(0,Inputs!$B$44-((R2876-1)*(1/Q2876)))))/Inputs!$B$44),IF(Inputs!$B$39="pvp",MIN((Skills!T17*(1+Inputs!$B$35/100)),15)/15,MIN(1,(Skills!T17*(1+Inputs!$B$35/100))/(1/Q2876)))))+((C2864=TRUE)*IF(Inputs!$B$3&gt;=126,10*MIN(1,15*Q2864),0))+((C2873=TRUE)*IF(Inputs!$B$39="pvp",20,(1-Summary!$B$11)*(20)+Summary!$B$11*(0))*IF(AND(Inputs!$B$39&lt;&gt;"pvp",Inputs!$B$44&gt;0),(((R2873-1)*MIN((Skills!T14*(1+Inputs!$B$35/100)),(1/Q2873))+MIN((Skills!T14*(1+Inputs!$B$35/100)),MAX(0,Inputs!$B$44-((R2873-1)*(1/Q2873)))))/Inputs!$B$44),IF(Inputs!$B$39="pvp",MIN((Skills!T14*(1+Inputs!$B$35/100)),15)/15,MIN(1,(Skills!T14*(1+Inputs!$B$35/100))/(1/Q2873)))))+((C2872=TRUE)*IF(Inputs!$B$3&gt;=82,IF(Inputs!$B$39="pvp",20,(1-Summary!$B$11)*(20)+Summary!$B$11*(0)),0)*IF(AND(Inputs!$B$39&lt;&gt;"pvp",Inputs!$B$44&gt;0),(((R2872-1)*MIN((Skills!T13*(1+Inputs!$B$35/100)),(1/Q2872))+MIN((Skills!T13*(1+Inputs!$B$35/100)),MAX(0,Inputs!$B$44-((R2872-1)*(1/Q2872)))))/Inputs!$B$44),IF(Inputs!$B$39="pvp",MIN((Skills!T13*(1+Inputs!$B$35/100)),15)/15,MIN(1,(Skills!T13*(1+Inputs!$B$35/100))/(1/Q2872)))))+(IF(AND(ArtifactsInput!$M$35,Inputs!$B$4&lt;&gt;"Chapter Hunt"),CHOOSE(ArtifactsInput!$N$35+1,15,18,21,24,27,30)*(1-EXP(-(0.2*B2890)*5)),0)+IF(AND(ArtifactsInput!$M$22,Inputs!$B$4&lt;&gt;"Chapter Hunt"),CHOOSE(ArtifactsInput!$N$22+1,10,12,14,16,18,20)*((0*(((0.15*B2890*5))^0/1)+1*(((0.15*B2890*5))^1/1)+2*(((0.15*B2890*5))^2/2)+3*(((0.15*B2890*5))^3/6)+4*(((0.15*B2890*5))^4/24)+5*(((0.15*B2890*5))^5/120))/((((0.15*B2890*5))^0/1)+(((0.15*B2890*5))^1/1)+(((0.15*B2890*5))^2/2)+(((0.15*B2890*5))^3/6)+(((0.15*B2890*5))^4/24)+(((0.15*B2890*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70">
      <c r="A2870">
        <f>Skills!A11</f>
        <v/>
      </c>
      <c r="B2870">
        <f>Skills!B11</f>
        <v/>
      </c>
      <c r="C2870">
        <f>Inputs!$B$3&gt;=100</f>
        <v/>
      </c>
      <c r="D2870">
        <f>IF(Skills!C11=1,60+Inputs!$B$26+Inputs!$B$30,IF(Skills!C11=2,90+Inputs!$B$27+Inputs!$B$30,IF(Skills!C11=3,120+Inputs!$B$28+Inputs!$B$30,MAX(0,(Inputs!$B$3-100)*3)+Inputs!$B$29+Inputs!$B$30)))</f>
        <v/>
      </c>
      <c r="E2870">
        <f>INDEX(FactorTable!$B$2:$Y$301, MATCH(ROUND(MIN(300,MAX(1,D2870)),0), FactorTable!$A$2:$A$301,0), Skills!M11+1)</f>
        <v/>
      </c>
      <c r="F2870">
        <f>IF(Skills!N11=TRUE,(Skills!L11/10)*(E2870/1000),Skills!L11/10)+Skills!O11</f>
        <v/>
      </c>
      <c r="G2870" t="inlineStr"/>
      <c r="H2870" t="inlineStr"/>
      <c r="I2870" t="inlineStr">
        <is>
          <t>1</t>
        </is>
      </c>
      <c r="J2870" t="inlineStr"/>
      <c r="K2870" t="inlineStr"/>
      <c r="L2870" t="inlineStr"/>
      <c r="M2870" t="inlineStr"/>
      <c r="N2870" t="inlineStr"/>
      <c r="O2870" t="inlineStr"/>
      <c r="P2870" t="inlineStr"/>
      <c r="Q2870" t="inlineStr"/>
      <c r="R2870" t="inlineStr"/>
      <c r="S2870" t="inlineStr"/>
    </row>
    <row r="2871">
      <c r="A2871">
        <f>Skills!A12</f>
        <v/>
      </c>
      <c r="B2871">
        <f>Skills!B12</f>
        <v/>
      </c>
      <c r="C2871">
        <f>Inputs!$B$3&gt;=63</f>
        <v/>
      </c>
      <c r="D2871">
        <f>IF(Skills!C12=1,60+Inputs!$B$26+Inputs!$B$30,IF(Skills!C12=2,90+Inputs!$B$27+Inputs!$B$30,IF(Skills!C12=3,120+Inputs!$B$28+Inputs!$B$30,MAX(0,(Inputs!$B$3-100)*3)+Inputs!$B$29+Inputs!$B$30)))</f>
        <v/>
      </c>
      <c r="E2871">
        <f>INDEX(FactorTable!$B$2:$Y$301, MATCH(ROUND(MIN(300,MAX(1,D2871)),0), FactorTable!$A$2:$A$301,0), Skills!M12+1)</f>
        <v/>
      </c>
      <c r="F2871">
        <f>IF(Skills!N12=TRUE,(Skills!L12/10)*(E2871/1000),Skills!L12/10)+Skills!O12</f>
        <v/>
      </c>
      <c r="G2871">
        <f>Skills!G12*IF(Skills!H12&gt;0,INT(IF(Inputs!$B$39="pvp",MIN(Skills!I12,15),Skills!I12)/Skills!H12+0.000000001),1)</f>
        <v/>
      </c>
      <c r="H2871">
        <f>1-(1-Skills!J12/100)^Skills!K12</f>
        <v/>
      </c>
      <c r="I2871" t="inlineStr">
        <is>
          <t>1</t>
        </is>
      </c>
      <c r="J2871">
        <f>((Inputs!$B$6*(1+Inputs!$B$7/100))+(((Inputs!$B$13*(1+Inputs!$B$14/100))-(Inputs!$B$13*(1+Inputs!$B$14/100)))+0.25*(Inputs!$B$15-Inputs!$B$15))*(1+Inputs!$B$7/100))*(F2871/100)</f>
        <v/>
      </c>
      <c r="K2871">
        <f>J2871*(1+(((Inputs!$B$13+IF(Inputs!$B$3&gt;=38,(10*INDEX(FactorTable!$B$2:$Y$301, MATCH(ROUND(MIN(300,MAX(1,Inputs!$B$3)),0), FactorTable!$A$2:$A$301,0), 23)/1000)/100*(Inputs!$B$8*(1+Inputs!$B$9/100)),0))*(1+Inputs!$B$14/100))*0.01+Inputs!$B$15*0.0025)/100)*(1+Inputs!$B$16/100)*(1+Inputs!$B$17/100)*(5000/(6000+Inputs!$B$43*(1-(Inputs!$B$20+0)/100)))*(1+(Inputs!$B$25+((C2884=TRUE)*(F2884-Calc!F25))+((C2885=TRUE)*(F2885-Calc!F26))+B2894)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2870=TRUE,F2870,0)/100)*(1+(IF(Skills!A12="DARK_IMPALE",Inputs!$B$18+0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gt;=100),MIN(100,((Inputs!$B$10+0+B2888+(ArtifactsInput!$M$24-ArtifactsInput!$M$24)*CHOOSE(ArtifactsInput!$N$24+1,10,12,14,16,18,20)+IF(ArtifactsInput!$M$10,CHOOSE(ArtifactsInput!$N$10+1,15,18,21,24,27,30)*(IF(Inputs!$B$39="pvp",MIN(15,15)/15,IF(AND(Inputs!$B$39&lt;&gt;"pvp",Inputs!$B$44&gt;0),MIN(15,Inputs!$B$44)/(Inputs!$B$44),0))),0)))-100),0))*CHOOSE(ArtifactsInput!$N$42+1,0.6,0.72,0.84,0.96,1.08,1.2))),Inputs!$B$19+((C2882=TRUE)*(F2882-Calc!F23))+(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gt;=100),CHOOSE(ArtifactsInput!$N$42+1,40,48,56,64,72,80),0))))/100)*((1+(((C2872=TRUE)*F2872*IF(AND(Inputs!$B$39&lt;&gt;"pvp",Inputs!$B$44&gt;0),(((R2872-1)*MIN((Skills!T13*(1+Inputs!$B$35/100)),(1/Q2872))+MIN((Skills!T13*(1+Inputs!$B$35/100)),MAX(0,Inputs!$B$44-((R2872-1)*(1/Q2872)))))/Inputs!$B$44),IF(Inputs!$B$39="pvp",MIN((Skills!T13*(1+Inputs!$B$35/100)),15)/15,MIN(1,(Skills!T13*(1+Inputs!$B$35/100))/(1/Q2872)))))+((C2873=TRUE)*F2873*IF(AND(Inputs!$B$39&lt;&gt;"pvp",Inputs!$B$44&gt;0),(((R2873-1)*MIN((Skills!T14*(1+Inputs!$B$35/100)),(1/Q2873))+MIN((Skills!T14*(1+Inputs!$B$35/100)),MAX(0,Inputs!$B$44-((R2873-1)*(1/Q2873)))))/Inputs!$B$44),IF(Inputs!$B$39="pvp",MIN((Skills!T14*(1+Inputs!$B$35/100)),15)/15,MIN(1,(Skills!T14*(1+Inputs!$B$35/100))/(1/Q2873)))))+((C2874=TRUE)*F2874*IF(AND(Inputs!$B$39&lt;&gt;"pvp",Inputs!$B$44&gt;0),(((R2874-1)*MIN((Skills!T15*(1+Inputs!$B$35/100)),(1/Q2874))+MIN((Skills!T15*(1+Inputs!$B$35/100)),MAX(0,Inputs!$B$44-((R2874-1)*(1/Q2874)))))/Inputs!$B$44),IF(Inputs!$B$39="pvp",MIN((Skills!T15*(1+Inputs!$B$35/100)),15)/15,MIN(1,(Skills!T15*(1+Inputs!$B$35/100))/(1/Q2874)))))+((C2875=TRUE)*F2875*IF(AND(Inputs!$B$39&lt;&gt;"pvp",Inputs!$B$44&gt;0),(((R2875-1)*MIN((Skills!T16*(1+Inputs!$B$35/100)),(1/Q2875))+MIN((Skills!T16*(1+Inputs!$B$35/100)),MAX(0,Inputs!$B$44-((R2875-1)*(1/Q2875)))))/Inputs!$B$44),IF(Inputs!$B$39="pvp",MIN((Skills!T16*(1+Inputs!$B$35/100)),15)/15,MIN(1,(Skills!T16*(1+Inputs!$B$35/100))/(1/Q2875)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2871)</f>
        <v/>
      </c>
      <c r="L2871">
        <f>K2871*(MIN(Inputs!$B$23+((C2881=TRUE)*(F2881-Calc!F22)),(Inputs!$B$24+((C2883=TRUE)*(F2883-Calc!F24))+(IF(ArtifactsInput!$M$15,CHOOSE(ArtifactsInput!$N$15+1,25,30,35,40,45,50)/100*(Inputs!$B$12-Inputs!$B$12),0))))/100+(Inputs!$B$24+((C2883=TRUE)*(F2883-Calc!F24))+(IF(ArtifactsInput!$M$15,CHOOSE(ArtifactsInput!$N$15+1,25,30,35,40,45,50)/100*(Inputs!$B$12-Inputs!$B$12),0)))/100)/2</f>
        <v/>
      </c>
      <c r="M2871">
        <f>L2871*(1+(Inputs!$B$11+0+B2893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871">
        <f>L2871*(1-MIN((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2871*(MIN((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71">
        <f>(1-Summary!$B$11)*T2871+Summary!$B$11*V2871</f>
        <v/>
      </c>
      <c r="P2871">
        <f>IF(B2898=0,0,O2871/B2898)</f>
        <v/>
      </c>
      <c r="Q2871">
        <f>IFERROR(1/IF(Inputs!$B$39="pvp",15,MAX(0.1,Skills!D12-IF(TRUE=TRUE,1.5,0))),0)</f>
        <v/>
      </c>
      <c r="R2871">
        <f>IF(AND(Inputs!$B$39&lt;&gt;"pvp",Inputs!$B$44&gt;0),IF(MAX(0,Inputs!$B$44-B2895)&lt;=0,0,(INT(MAX(0,Inputs!$B$44-B2895)/IF(Inputs!$B$39="pvp",15,MAX(0.1,Skills!D12-IF(TRUE=TRUE,1.5,0))))+1)),0)</f>
        <v/>
      </c>
      <c r="S2871">
        <f>IFERROR(O2871/N2871,0)</f>
        <v/>
      </c>
      <c r="T2871">
        <f>IF(C2871,(H2871*N2871*IF(AND(Inputs!$B$39&lt;&gt;"pvp",Inputs!$B$44&gt;0),((Skills!G12*((R2871-1)*IF(Skills!H12&gt;0,INT(Skills!I12/Skills!H12+0.000000001),1)+IF(Skills!H12&gt;0,INT(MIN(Skills!I12,MAX(0,MAX(0,Inputs!$B$44-B2895)-((R2871-1)*IF(Inputs!$B$39="pvp",15,MAX(0.1,Skills!D12-IF(TRUE=TRUE,1.5,0))))))/Skills!H12+0.000000001),1)))/Inputs!$B$44),G2871*Q2871))*IF(Inputs!$B$39="pvp",1,1+(Inputs!$B$21+0+Skills!P12+((C2876=TRUE)*F2876*IF(AND(Inputs!$B$39&lt;&gt;"pvp",Inputs!$B$44&gt;0),(((R2876-1)*MIN((Skills!T17*(1+Inputs!$B$35/100)),(1/Q2876))+MIN((Skills!T17*(1+Inputs!$B$35/100)),MAX(0,Inputs!$B$44-((R2876-1)*(1/Q2876)))))/Inputs!$B$44),IF(Inputs!$B$39="pvp",MIN((Skills!T17*(1+Inputs!$B$35/100)),15)/15,MIN(1,(Skills!T17*(1+Inputs!$B$35/100))/(1/Q2876)))))+((C2864=TRUE)*IF(Inputs!$B$3&gt;=126,10*MIN(1,15*Q2864),0))+((C2873=TRUE)*IF(Inputs!$B$39="pvp",20,(1-Summary!$B$11)*(20)+Summary!$B$11*(0))*IF(AND(Inputs!$B$39&lt;&gt;"pvp",Inputs!$B$44&gt;0),(((R2873-1)*MIN((Skills!T14*(1+Inputs!$B$35/100)),(1/Q2873))+MIN((Skills!T14*(1+Inputs!$B$35/100)),MAX(0,Inputs!$B$44-((R2873-1)*(1/Q2873)))))/Inputs!$B$44),IF(Inputs!$B$39="pvp",MIN((Skills!T14*(1+Inputs!$B$35/100)),15)/15,MIN(1,(Skills!T14*(1+Inputs!$B$35/100))/(1/Q2873)))))+((C2872=TRUE)*IF(Inputs!$B$3&gt;=82,IF(Inputs!$B$39="pvp",20,(1-Summary!$B$11)*(20)+Summary!$B$11*(0)),0)*IF(AND(Inputs!$B$39&lt;&gt;"pvp",Inputs!$B$44&gt;0),(((R2872-1)*MIN((Skills!T13*(1+Inputs!$B$35/100)),(1/Q2872))+MIN((Skills!T13*(1+Inputs!$B$35/100)),MAX(0,Inputs!$B$44-((R2872-1)*(1/Q2872)))))/Inputs!$B$44),IF(Inputs!$B$39="pvp",MIN((Skills!T13*(1+Inputs!$B$35/100)),15)/15,MIN(1,(Skills!T13*(1+Inputs!$B$35/100))/(1/Q2872)))))+(IF(AND(ArtifactsInput!$M$35,Inputs!$B$4&lt;&gt;"Chapter Hunt"),CHOOSE(ArtifactsInput!$N$35+1,15,18,21,24,27,30)*(1-EXP(-(0.2*B2890)*5)),0)+IF(AND(ArtifactsInput!$M$22,Inputs!$B$4&lt;&gt;"Chapter Hunt"),CHOOSE(ArtifactsInput!$N$22+1,10,12,14,16,18,20)*((0*(((0.15*B2890*5))^0/1)+1*(((0.15*B2890*5))^1/1)+2*(((0.15*B2890*5))^2/2)+3*(((0.15*B2890*5))^3/6)+4*(((0.15*B2890*5))^4/24)+5*(((0.15*B2890*5))^5/120))/((((0.15*B2890*5))^0/1)+(((0.15*B2890*5))^1/1)+(((0.15*B2890*5))^2/2)+(((0.15*B2890*5))^3/6)+(((0.15*B2890*5))^4/24)+(((0.15*B2890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2871*(1-MIN(100,(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2871*(MIN(100,(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2871*(1-MIN(100,(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2871*(MIN(100,(Inputs!$B$10+0+B2888+(ArtifactsInput!$M$24-ArtifactsInput!$M$24)*CHOOSE(ArtifactsInput!$N$24+1,10,12,14,16,18,20)+(IF(AND(Inputs!$B$39&lt;&gt;"pvp",Inputs!$B$44=0),1,IF(IF(Inputs!$B$39="pvp",15,Inputs!$B$44)-(B2895)&lt;=0,1,MAX(0,IF(Inputs!$B$39="pvp",15,Inputs!$B$44)-MAX(5,B2895))/(IF(Inputs!$B$39="pvp",15,Inputs!$B$44)-(B2895))))*IF(AND(ArtifactsInput!$M$42,((Inputs!$B$10+0+B2888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871">
        <f>IF(C2871,(H2871*N2871*IF(AND(Inputs!$B$39&lt;&gt;"pvp",Inputs!$B$44&gt;0),((Skills!G12*((R2871-1)*IF(Skills!H12&gt;0,INT(Skills!I12/Skills!H12+0.000000001),1)+IF(Skills!H12&gt;0,INT(MIN(Skills!I12,MAX(0,MAX(0,Inputs!$B$44-B2895)-((R2871-1)*IF(Inputs!$B$39="pvp",15,MAX(0.1,Skills!D12-IF(TRUE=TRUE,1.5,0))))))/Skills!H12+0.000000001),1)))/Inputs!$B$44),G2871*Q2871))*IF(Inputs!$B$39="pvp",1,(1+(Inputs!$B$22+Skills!Q12+((C2876=TRUE)*F2876*IF(AND(Inputs!$B$39&lt;&gt;"pvp",Inputs!$B$44&gt;0),(((R2876-1)*MIN((Skills!T17*(1+Inputs!$B$35/100)),(1/Q2876))+MIN((Skills!T17*(1+Inputs!$B$35/100)),MAX(0,Inputs!$B$44-((R2876-1)*(1/Q2876)))))/Inputs!$B$44),IF(Inputs!$B$39="pvp",MIN((Skills!T17*(1+Inputs!$B$35/100)),15)/15,MIN(1,(Skills!T17*(1+Inputs!$B$35/100))/(1/Q2876)))))+((C2864=TRUE)*IF(Inputs!$B$3&gt;=126,10*MIN(1,15*Q2864),0))+((C2873=TRUE)*IF(Inputs!$B$39="pvp",20,(1-Summary!$B$11)*(20)+Summary!$B$11*(0))*IF(AND(Inputs!$B$39&lt;&gt;"pvp",Inputs!$B$44&gt;0),(((R2873-1)*MIN((Skills!T14*(1+Inputs!$B$35/100)),(1/Q2873))+MIN((Skills!T14*(1+Inputs!$B$35/100)),MAX(0,Inputs!$B$44-((R2873-1)*(1/Q2873)))))/Inputs!$B$44),IF(Inputs!$B$39="pvp",MIN((Skills!T14*(1+Inputs!$B$35/100)),15)/15,MIN(1,(Skills!T14*(1+Inputs!$B$35/100))/(1/Q2873)))))+((C2872=TRUE)*IF(Inputs!$B$3&gt;=82,IF(Inputs!$B$39="pvp",20,(1-Summary!$B$11)*(20)+Summary!$B$11*(0)),0)*IF(AND(Inputs!$B$39&lt;&gt;"pvp",Inputs!$B$44&gt;0),(((R2872-1)*MIN((Skills!T13*(1+Inputs!$B$35/100)),(1/Q2872))+MIN((Skills!T13*(1+Inputs!$B$35/100)),MAX(0,Inputs!$B$44-((R2872-1)*(1/Q2872)))))/Inputs!$B$44),IF(Inputs!$B$39="pvp",MIN((Skills!T13*(1+Inputs!$B$35/100)),15)/15,MIN(1,(Skills!T13*(1+Inputs!$B$35/100))/(1/Q2872)))))+(IF(AND(ArtifactsInput!$M$35,Inputs!$B$4&lt;&gt;"Chapter Hunt"),CHOOSE(ArtifactsInput!$N$35+1,15,18,21,24,27,30)*(1-EXP(-(0.2*B2890)*5)),0)+IF(AND(ArtifactsInput!$M$22,Inputs!$B$4&lt;&gt;"Chapter Hunt"),CHOOSE(ArtifactsInput!$N$22+1,10,12,14,16,18,20)*((0*(((0.15*B2890*5))^0/1)+1*(((0.15*B2890*5))^1/1)+2*(((0.15*B2890*5))^2/2)+3*(((0.15*B2890*5))^3/6)+4*(((0.15*B2890*5))^4/24)+5*(((0.15*B2890*5))^5/120))/((((0.15*B2890*5))^0/1)+(((0.15*B2890*5))^1/1)+(((0.15*B2890*5))^2/2)+(((0.15*B2890*5))^3/6)+(((0.15*B2890*5))^4/24)+(((0.15*B2890*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72">
      <c r="A2872">
        <f>Skills!A13</f>
        <v/>
      </c>
      <c r="B2872">
        <f>Skills!B13</f>
        <v/>
      </c>
      <c r="C2872">
        <f>Inputs!$B$3&gt;=69</f>
        <v/>
      </c>
      <c r="D2872">
        <f>IF(Skills!C13=1,60+Inputs!$B$26+Inputs!$B$30,IF(Skills!C13=2,90+Inputs!$B$27+Inputs!$B$30,IF(Skills!C13=3,120+Inputs!$B$28+Inputs!$B$30,MAX(0,(Inputs!$B$3-100)*3)+Inputs!$B$29+Inputs!$B$30)))</f>
        <v/>
      </c>
      <c r="E2872">
        <f>INDEX(FactorTable!$B$2:$Y$301, MATCH(ROUND(MIN(300,MAX(1,D2872)),0), FactorTable!$A$2:$A$301,0), Skills!M13+1)</f>
        <v/>
      </c>
      <c r="F2872">
        <f>IF(Skills!N13=TRUE,(Skills!L13/10)*(E2872/1000),Skills!L13/10)+Skills!O13</f>
        <v/>
      </c>
      <c r="G2872">
        <f>Skills!G13*IF(Skills!H13&gt;0,INT(IF(Inputs!$B$39="pvp",MIN(Skills!I13,15),Skills!I13)/Skills!H13+0.000000001),1)</f>
        <v/>
      </c>
      <c r="H2872">
        <f>1-(1-Skills!J13/100)^Skills!K13</f>
        <v/>
      </c>
      <c r="I2872" t="inlineStr">
        <is>
          <t>1</t>
        </is>
      </c>
      <c r="J2872" t="inlineStr"/>
      <c r="K2872" t="inlineStr"/>
      <c r="L2872" t="inlineStr"/>
      <c r="M2872" t="inlineStr"/>
      <c r="N2872" t="inlineStr"/>
      <c r="O2872">
        <f>(1-Summary!$B$11)*T2872+Summary!$B$11*V2872</f>
        <v/>
      </c>
      <c r="P2872">
        <f>IF(B2898=0,0,O2872/B2898)</f>
        <v/>
      </c>
      <c r="Q2872">
        <f>IFERROR(1/IF(Inputs!$B$39="pvp",15,MAX(0.1,Skills!D13-IF(TRUE=TRUE,1.5,0))),0)</f>
        <v/>
      </c>
      <c r="R2872">
        <f>IF(AND(Inputs!$B$39&lt;&gt;"pvp",Inputs!$B$44&gt;0),IF(Inputs!$B$44&lt;=0,0,(INT(Inputs!$B$44/IF(Inputs!$B$39="pvp",15,MAX(0.1,Skills!D13-IF(TRUE=TRUE,1.5,0))))+1)),0)</f>
        <v/>
      </c>
      <c r="S2872">
        <f>IFERROR(O2872/N2872,0)</f>
        <v/>
      </c>
      <c r="T2872" t="n">
        <v>0</v>
      </c>
      <c r="V2872" t="n">
        <v>0</v>
      </c>
    </row>
    <row r="2873">
      <c r="A2873">
        <f>Skills!A14</f>
        <v/>
      </c>
      <c r="B2873">
        <f>Skills!B14</f>
        <v/>
      </c>
      <c r="C2873">
        <f>Inputs!$B$3&gt;=115</f>
        <v/>
      </c>
      <c r="D2873">
        <f>IF(Skills!C14=1,60+Inputs!$B$26+Inputs!$B$30,IF(Skills!C14=2,90+Inputs!$B$27+Inputs!$B$30,IF(Skills!C14=3,120+Inputs!$B$28+Inputs!$B$30,MAX(0,(Inputs!$B$3-100)*3)+Inputs!$B$29+Inputs!$B$30)))</f>
        <v/>
      </c>
      <c r="E2873">
        <f>INDEX(FactorTable!$B$2:$Y$301, MATCH(ROUND(MIN(300,MAX(1,D2873)),0), FactorTable!$A$2:$A$301,0), Skills!M14+1)</f>
        <v/>
      </c>
      <c r="F2873">
        <f>IF(Skills!N14=TRUE,(Skills!L14/10)*(E2873/1000),Skills!L14/10)+Skills!O14</f>
        <v/>
      </c>
      <c r="G2873">
        <f>Skills!G14*IF(Skills!H14&gt;0,INT(IF(Inputs!$B$39="pvp",MIN(Skills!I14,15),Skills!I14)/Skills!H14+0.000000001),1)</f>
        <v/>
      </c>
      <c r="H2873">
        <f>1-(1-Skills!J14/100)^Skills!K14</f>
        <v/>
      </c>
      <c r="I2873" t="inlineStr">
        <is>
          <t>1</t>
        </is>
      </c>
      <c r="J2873" t="inlineStr"/>
      <c r="K2873" t="inlineStr"/>
      <c r="L2873" t="inlineStr"/>
      <c r="M2873" t="inlineStr"/>
      <c r="N2873" t="inlineStr"/>
      <c r="O2873">
        <f>(1-Summary!$B$11)*T2873+Summary!$B$11*V2873</f>
        <v/>
      </c>
      <c r="P2873">
        <f>IF(B2898=0,0,O2873/B2898)</f>
        <v/>
      </c>
      <c r="Q2873">
        <f>IFERROR(1/IF(Inputs!$B$39="pvp",15,MAX(0.1,Skills!D14-IF(TRUE=TRUE,1.5,0))),0)</f>
        <v/>
      </c>
      <c r="R2873">
        <f>IF(AND(Inputs!$B$39&lt;&gt;"pvp",Inputs!$B$44&gt;0),IF(Inputs!$B$44&lt;=0,0,(INT(Inputs!$B$44/IF(Inputs!$B$39="pvp",15,MAX(0.1,Skills!D14-IF(TRUE=TRUE,1.5,0))))+1)),0)</f>
        <v/>
      </c>
      <c r="S2873">
        <f>IFERROR(O2873/N2873,0)</f>
        <v/>
      </c>
      <c r="T2873" t="n">
        <v>0</v>
      </c>
      <c r="V2873" t="n">
        <v>0</v>
      </c>
    </row>
    <row r="2874">
      <c r="A2874">
        <f>Skills!A15</f>
        <v/>
      </c>
      <c r="B2874">
        <f>Skills!B15</f>
        <v/>
      </c>
      <c r="C2874">
        <f>Inputs!$B$3&gt;=66</f>
        <v/>
      </c>
      <c r="D2874">
        <f>IF(Skills!C15=1,60+Inputs!$B$26+Inputs!$B$30,IF(Skills!C15=2,90+Inputs!$B$27+Inputs!$B$30,IF(Skills!C15=3,120+Inputs!$B$28+Inputs!$B$30,MAX(0,(Inputs!$B$3-100)*3)+Inputs!$B$29+Inputs!$B$30)))</f>
        <v/>
      </c>
      <c r="E2874">
        <f>INDEX(FactorTable!$B$2:$Y$301, MATCH(ROUND(MIN(300,MAX(1,D2874)),0), FactorTable!$A$2:$A$301,0), Skills!M15+1)</f>
        <v/>
      </c>
      <c r="F2874">
        <f>IF(Skills!N15=TRUE,(Skills!L15/10)*(E2874/1000),Skills!L15/10)+Skills!O15</f>
        <v/>
      </c>
      <c r="G2874">
        <f>Skills!G15*IF(Skills!H15&gt;0,INT(IF(Inputs!$B$39="pvp",MIN(Skills!I15,15),Skills!I15)/Skills!H15+0.000000001),1)</f>
        <v/>
      </c>
      <c r="H2874">
        <f>1-(1-Skills!J15/100)^Skills!K15</f>
        <v/>
      </c>
      <c r="I2874" t="inlineStr">
        <is>
          <t>1</t>
        </is>
      </c>
      <c r="J2874" t="inlineStr"/>
      <c r="K2874" t="inlineStr"/>
      <c r="L2874" t="inlineStr"/>
      <c r="M2874" t="inlineStr"/>
      <c r="N2874" t="inlineStr"/>
      <c r="O2874">
        <f>(1-Summary!$B$11)*T2874+Summary!$B$11*V2874</f>
        <v/>
      </c>
      <c r="P2874">
        <f>IF(B2898=0,0,O2874/B2898)</f>
        <v/>
      </c>
      <c r="Q2874">
        <f>IFERROR(1/IF(Inputs!$B$39="pvp",15,MAX(0.1,Skills!D15-IF(TRUE=TRUE,1.5,0))),0)</f>
        <v/>
      </c>
      <c r="R2874">
        <f>IF(AND(Inputs!$B$39&lt;&gt;"pvp",Inputs!$B$44&gt;0),IF(Inputs!$B$44&lt;=0,0,(INT(Inputs!$B$44/IF(Inputs!$B$39="pvp",15,MAX(0.1,Skills!D15-IF(TRUE=TRUE,1.5,0))))+1)),0)</f>
        <v/>
      </c>
      <c r="S2874">
        <f>IFERROR(O2874/N2874,0)</f>
        <v/>
      </c>
      <c r="T2874" t="n">
        <v>0</v>
      </c>
      <c r="V2874" t="n">
        <v>0</v>
      </c>
    </row>
    <row r="2875">
      <c r="A2875">
        <f>Skills!A16</f>
        <v/>
      </c>
      <c r="B2875">
        <f>Skills!B16</f>
        <v/>
      </c>
      <c r="C2875">
        <f>Inputs!$B$3&gt;=45</f>
        <v/>
      </c>
      <c r="D2875">
        <f>IF(Skills!C16=1,60+Inputs!$B$26+Inputs!$B$30,IF(Skills!C16=2,90+Inputs!$B$27+Inputs!$B$30,IF(Skills!C16=3,120+Inputs!$B$28+Inputs!$B$30,MAX(0,(Inputs!$B$3-100)*3)+Inputs!$B$29+Inputs!$B$30)))</f>
        <v/>
      </c>
      <c r="E2875">
        <f>INDEX(FactorTable!$B$2:$Y$301, MATCH(ROUND(MIN(300,MAX(1,D2875)),0), FactorTable!$A$2:$A$301,0), Skills!M16+1)</f>
        <v/>
      </c>
      <c r="F2875">
        <f>IF(Skills!N16=TRUE,(Skills!L16/10)*(E2875/1000),Skills!L16/10)+Skills!O16</f>
        <v/>
      </c>
      <c r="G2875">
        <f>Skills!G16*IF(Skills!H16&gt;0,INT(IF(Inputs!$B$39="pvp",MIN(Skills!I16,15),Skills!I16)/Skills!H16+0.000000001),1)</f>
        <v/>
      </c>
      <c r="H2875">
        <f>1-(1-Skills!J16/100)^Skills!K16</f>
        <v/>
      </c>
      <c r="I2875" t="inlineStr">
        <is>
          <t>1</t>
        </is>
      </c>
      <c r="J2875" t="inlineStr"/>
      <c r="K2875" t="inlineStr"/>
      <c r="L2875" t="inlineStr"/>
      <c r="M2875" t="inlineStr"/>
      <c r="N2875" t="inlineStr"/>
      <c r="O2875">
        <f>(1-Summary!$B$11)*T2875+Summary!$B$11*V2875</f>
        <v/>
      </c>
      <c r="P2875">
        <f>IF(B2898=0,0,O2875/B2898)</f>
        <v/>
      </c>
      <c r="Q2875">
        <f>IFERROR(1/IF(Inputs!$B$39="pvp",15,MAX(0.1,Skills!D16-IF(TRUE=TRUE,1.5,0))),0)</f>
        <v/>
      </c>
      <c r="R2875">
        <f>IF(AND(Inputs!$B$39&lt;&gt;"pvp",Inputs!$B$44&gt;0),IF(Inputs!$B$44&lt;=0,0,(INT(Inputs!$B$44/IF(Inputs!$B$39="pvp",15,MAX(0.1,Skills!D16-IF(TRUE=TRUE,1.5,0))))+1)),0)</f>
        <v/>
      </c>
      <c r="S2875">
        <f>IFERROR(O2875/N2875,0)</f>
        <v/>
      </c>
      <c r="T2875" t="n">
        <v>0</v>
      </c>
      <c r="V2875" t="n">
        <v>0</v>
      </c>
    </row>
    <row r="2876">
      <c r="A2876">
        <f>Skills!A17</f>
        <v/>
      </c>
      <c r="B2876">
        <f>Skills!B17</f>
        <v/>
      </c>
      <c r="C2876">
        <f>Inputs!$B$3&gt;=35</f>
        <v/>
      </c>
      <c r="D2876">
        <f>IF(Skills!C17=1,60+Inputs!$B$26+Inputs!$B$30,IF(Skills!C17=2,90+Inputs!$B$27+Inputs!$B$30,IF(Skills!C17=3,120+Inputs!$B$28+Inputs!$B$30,MAX(0,(Inputs!$B$3-100)*3)+Inputs!$B$29+Inputs!$B$30)))</f>
        <v/>
      </c>
      <c r="E2876">
        <f>INDEX(FactorTable!$B$2:$Y$301, MATCH(ROUND(MIN(300,MAX(1,D2876)),0), FactorTable!$A$2:$A$301,0), Skills!M17+1)</f>
        <v/>
      </c>
      <c r="F2876">
        <f>IF(Skills!N17=TRUE,(Skills!L17/10)*(E2876/1000),Skills!L17/10)+Skills!O17</f>
        <v/>
      </c>
      <c r="G2876">
        <f>Skills!G17*IF(Skills!H17&gt;0,INT(IF(Inputs!$B$39="pvp",MIN(Skills!I17,15),Skills!I17)/Skills!H17+0.000000001),1)</f>
        <v/>
      </c>
      <c r="H2876">
        <f>1-(1-Skills!J17/100)^Skills!K17</f>
        <v/>
      </c>
      <c r="I2876" t="inlineStr">
        <is>
          <t>1</t>
        </is>
      </c>
      <c r="J2876" t="inlineStr"/>
      <c r="K2876" t="inlineStr"/>
      <c r="L2876" t="inlineStr"/>
      <c r="M2876" t="inlineStr"/>
      <c r="N2876" t="inlineStr"/>
      <c r="O2876">
        <f>(1-Summary!$B$11)*T2876+Summary!$B$11*V2876</f>
        <v/>
      </c>
      <c r="P2876">
        <f>IF(B2898=0,0,O2876/B2898)</f>
        <v/>
      </c>
      <c r="Q2876">
        <f>IFERROR(1/IF(Inputs!$B$39="pvp",15,MAX(0.1,Skills!D17-IF(TRUE=TRUE,1.5,0))),0)</f>
        <v/>
      </c>
      <c r="R2876">
        <f>IF(AND(Inputs!$B$39&lt;&gt;"pvp",Inputs!$B$44&gt;0),IF(Inputs!$B$44&lt;=0,0,(INT(Inputs!$B$44/IF(Inputs!$B$39="pvp",15,MAX(0.1,Skills!D17-IF(TRUE=TRUE,1.5,0))))+1)),0)</f>
        <v/>
      </c>
      <c r="S2876">
        <f>IFERROR(O2876/N2876,0)</f>
        <v/>
      </c>
      <c r="T2876" t="n">
        <v>0</v>
      </c>
      <c r="V2876" t="n">
        <v>0</v>
      </c>
    </row>
    <row r="2877">
      <c r="A2877">
        <f>Skills!A18</f>
        <v/>
      </c>
      <c r="B2877">
        <f>Skills!B18</f>
        <v/>
      </c>
      <c r="C2877">
        <f>Inputs!$B$3&gt;=72</f>
        <v/>
      </c>
      <c r="D2877">
        <f>IF(Skills!C18=1,60+Inputs!$B$26+Inputs!$B$30,IF(Skills!C18=2,90+Inputs!$B$27+Inputs!$B$30,IF(Skills!C18=3,120+Inputs!$B$28+Inputs!$B$30,MAX(0,(Inputs!$B$3-100)*3)+Inputs!$B$29+Inputs!$B$30)))</f>
        <v/>
      </c>
      <c r="E2877">
        <f>INDEX(FactorTable!$B$2:$Y$301, MATCH(ROUND(MIN(300,MAX(1,D2877)),0), FactorTable!$A$2:$A$301,0), Skills!M18+1)</f>
        <v/>
      </c>
      <c r="F2877">
        <f>IF(Skills!N18=TRUE,(Skills!L18/10)*(E2877/1000),Skills!L18/10)+Skills!O18</f>
        <v/>
      </c>
      <c r="G2877">
        <f>Skills!G18*IF(Skills!H18&gt;0,INT(IF(Inputs!$B$39="pvp",MIN(Skills!I18,15),Skills!I18)/Skills!H18+0.000000001),1)</f>
        <v/>
      </c>
      <c r="H2877">
        <f>1-(1-Skills!J18/100)^Skills!K18</f>
        <v/>
      </c>
      <c r="I2877" t="inlineStr">
        <is>
          <t>1</t>
        </is>
      </c>
      <c r="J2877" t="inlineStr"/>
      <c r="K2877" t="inlineStr"/>
      <c r="L2877" t="inlineStr"/>
      <c r="M2877" t="inlineStr"/>
      <c r="N2877" t="inlineStr"/>
      <c r="O2877">
        <f>(1-Summary!$B$11)*T2877+Summary!$B$11*V2877</f>
        <v/>
      </c>
      <c r="P2877">
        <f>IF(B2898=0,0,O2877/B2898)</f>
        <v/>
      </c>
      <c r="Q2877">
        <f>IFERROR(1/IF(Inputs!$B$39="pvp",15,MAX(0.1,Skills!D18-IF(TRUE=TRUE,1.5,0))),0)</f>
        <v/>
      </c>
      <c r="R2877">
        <f>IF(AND(Inputs!$B$39&lt;&gt;"pvp",Inputs!$B$44&gt;0),IF(Inputs!$B$44&lt;=0,0,(INT(Inputs!$B$44/IF(Inputs!$B$39="pvp",15,MAX(0.1,Skills!D18-IF(TRUE=TRUE,1.5,0))))+1)),0)</f>
        <v/>
      </c>
      <c r="S2877">
        <f>IFERROR(O2877/N2877,0)</f>
        <v/>
      </c>
      <c r="T2877" t="n">
        <v>0</v>
      </c>
      <c r="V2877" t="n">
        <v>0</v>
      </c>
    </row>
    <row r="2878">
      <c r="A2878">
        <f>Skills!A19</f>
        <v/>
      </c>
      <c r="B2878">
        <f>Skills!B19</f>
        <v/>
      </c>
      <c r="C2878">
        <f>Inputs!$B$3&gt;=72</f>
        <v/>
      </c>
      <c r="D2878">
        <f>IF(Skills!C19=1,60+Inputs!$B$26+Inputs!$B$30,IF(Skills!C19=2,90+Inputs!$B$27+Inputs!$B$30,IF(Skills!C19=3,120+Inputs!$B$28+Inputs!$B$30,MAX(0,(Inputs!$B$3-100)*3)+Inputs!$B$29+Inputs!$B$30)))</f>
        <v/>
      </c>
      <c r="E2878">
        <f>INDEX(FactorTable!$B$2:$Y$301, MATCH(ROUND(MIN(300,MAX(1,D2878)),0), FactorTable!$A$2:$A$301,0), Skills!M19+1)</f>
        <v/>
      </c>
      <c r="F2878">
        <f>IF(Skills!N19=TRUE,(Skills!L19/10)*(E2878/1000),Skills!L19/10)+Skills!O19</f>
        <v/>
      </c>
      <c r="G2878">
        <f>Skills!G19*IF(Skills!H19&gt;0,INT(IF(Inputs!$B$39="pvp",MIN(Skills!I19,15),Skills!I19)/Skills!H19+0.000000001),1)</f>
        <v/>
      </c>
      <c r="H2878">
        <f>1-(1-Skills!J19/100)^Skills!K19</f>
        <v/>
      </c>
      <c r="I2878" t="inlineStr">
        <is>
          <t>1</t>
        </is>
      </c>
      <c r="J2878" t="inlineStr"/>
      <c r="K2878" t="inlineStr"/>
      <c r="L2878" t="inlineStr"/>
      <c r="M2878" t="inlineStr"/>
      <c r="N2878" t="inlineStr"/>
      <c r="O2878">
        <f>(1-Summary!$B$11)*T2878+Summary!$B$11*V2878</f>
        <v/>
      </c>
      <c r="P2878">
        <f>IF(B2898=0,0,O2878/B2898)</f>
        <v/>
      </c>
      <c r="Q2878">
        <f>IFERROR(1/IF(Inputs!$B$39="pvp",15,MAX(0.1,Skills!D19-IF(TRUE=TRUE,1.5,0))),0)</f>
        <v/>
      </c>
      <c r="R2878">
        <f>IF(AND(Inputs!$B$39&lt;&gt;"pvp",Inputs!$B$44&gt;0),IF(Inputs!$B$44&lt;=0,0,(INT(Inputs!$B$44/IF(Inputs!$B$39="pvp",15,MAX(0.1,Skills!D19-IF(TRUE=TRUE,1.5,0))))+1)),0)</f>
        <v/>
      </c>
      <c r="S2878">
        <f>IFERROR(O2878/N2878,0)</f>
        <v/>
      </c>
      <c r="T2878" t="n">
        <v>0</v>
      </c>
      <c r="V2878" t="n">
        <v>0</v>
      </c>
    </row>
    <row r="2879">
      <c r="A2879">
        <f>Skills!A20</f>
        <v/>
      </c>
      <c r="B2879">
        <f>Skills!B20</f>
        <v/>
      </c>
      <c r="C2879">
        <f>TRUE</f>
        <v/>
      </c>
      <c r="D2879">
        <f>IF(Skills!C20=1,60+Inputs!$B$26+Inputs!$B$30,IF(Skills!C20=2,90+Inputs!$B$27+Inputs!$B$30,IF(Skills!C20=3,120+Inputs!$B$28+Inputs!$B$30,MAX(0,(Inputs!$B$3-100)*3)+Inputs!$B$29+Inputs!$B$30)))</f>
        <v/>
      </c>
      <c r="E2879">
        <f>INDEX(FactorTable!$B$2:$Y$301, MATCH(ROUND(MIN(300,MAX(1,D2879)),0), FactorTable!$A$2:$A$301,0), Skills!M20+1)</f>
        <v/>
      </c>
      <c r="F2879">
        <f>IF(Skills!N20=TRUE,(Skills!L20/10)*(E2879/1000),Skills!L20/10)+Skills!O20</f>
        <v/>
      </c>
      <c r="G2879">
        <f>Skills!G20*IF(Skills!H20&gt;0,INT(IF(Inputs!$B$39="pvp",MIN(Skills!I20,15),Skills!I20)/Skills!H20+0.000000001),1)</f>
        <v/>
      </c>
      <c r="H2879">
        <f>1-(1-Skills!J20/100)^Skills!K20</f>
        <v/>
      </c>
      <c r="I2879" t="inlineStr">
        <is>
          <t>1</t>
        </is>
      </c>
      <c r="J2879" t="inlineStr"/>
      <c r="K2879" t="inlineStr"/>
      <c r="L2879" t="inlineStr"/>
      <c r="M2879" t="inlineStr"/>
      <c r="N2879" t="inlineStr"/>
      <c r="O2879">
        <f>(1-Summary!$B$11)*T2879+Summary!$B$11*V2879</f>
        <v/>
      </c>
      <c r="P2879">
        <f>IF(B2898=0,0,O2879/B2898)</f>
        <v/>
      </c>
      <c r="Q2879">
        <f>IFERROR(1/IF(Inputs!$B$39="pvp",15,MAX(0.1,Skills!D20-IF(TRUE=TRUE,1.5,0))),0)</f>
        <v/>
      </c>
      <c r="R2879">
        <f>IF(AND(Inputs!$B$39&lt;&gt;"pvp",Inputs!$B$44&gt;0),IF(Inputs!$B$44&lt;=0,0,(INT(Inputs!$B$44/IF(Inputs!$B$39="pvp",15,MAX(0.1,Skills!D20-IF(TRUE=TRUE,1.5,0))))+1)),0)</f>
        <v/>
      </c>
      <c r="S2879">
        <f>IFERROR(O2879/N2879,0)</f>
        <v/>
      </c>
      <c r="T2879" t="n">
        <v>0</v>
      </c>
      <c r="V2879" t="n">
        <v>0</v>
      </c>
    </row>
    <row r="2880">
      <c r="A2880">
        <f>Skills!A21</f>
        <v/>
      </c>
      <c r="B2880">
        <f>Skills!B21</f>
        <v/>
      </c>
      <c r="C2880">
        <f>Inputs!$B$3&gt;=33</f>
        <v/>
      </c>
      <c r="D2880">
        <f>IF(Skills!C21=1,60+Inputs!$B$26+Inputs!$B$30,IF(Skills!C21=2,90+Inputs!$B$27+Inputs!$B$30,IF(Skills!C21=3,120+Inputs!$B$28+Inputs!$B$30,MAX(0,(Inputs!$B$3-100)*3)+Inputs!$B$29+Inputs!$B$30)))</f>
        <v/>
      </c>
      <c r="E2880">
        <f>INDEX(FactorTable!$B$2:$Y$301, MATCH(ROUND(MIN(300,MAX(1,D2880)),0), FactorTable!$A$2:$A$301,0), Skills!M21+1)</f>
        <v/>
      </c>
      <c r="F2880">
        <f>IF(Skills!N21=TRUE,(Skills!L21/10)*(E2880/1000),Skills!L21/10)+Skills!O21</f>
        <v/>
      </c>
      <c r="G2880">
        <f>Skills!G21*IF(Skills!H21&gt;0,INT(IF(Inputs!$B$39="pvp",MIN(Skills!I21,15),Skills!I21)/Skills!H21+0.000000001),1)</f>
        <v/>
      </c>
      <c r="H2880">
        <f>1-(1-Skills!J21/100)^Skills!K21</f>
        <v/>
      </c>
      <c r="I2880" t="inlineStr">
        <is>
          <t>1</t>
        </is>
      </c>
      <c r="J2880" t="inlineStr"/>
      <c r="K2880" t="inlineStr"/>
      <c r="L2880" t="inlineStr"/>
      <c r="M2880" t="inlineStr"/>
      <c r="N2880" t="inlineStr"/>
      <c r="O2880">
        <f>(1-Summary!$B$11)*T2880+Summary!$B$11*V2880</f>
        <v/>
      </c>
      <c r="P2880">
        <f>IF(B2898=0,0,O2880/B2898)</f>
        <v/>
      </c>
      <c r="Q2880" t="n">
        <v>0</v>
      </c>
      <c r="R2880" t="n">
        <v>0</v>
      </c>
      <c r="S2880">
        <f>IFERROR(O2880/N2880,0)</f>
        <v/>
      </c>
      <c r="T2880" t="n">
        <v>0</v>
      </c>
      <c r="V2880" t="n">
        <v>0</v>
      </c>
    </row>
    <row r="2881">
      <c r="A2881">
        <f>Skills!A22</f>
        <v/>
      </c>
      <c r="B2881">
        <f>Skills!B22</f>
        <v/>
      </c>
      <c r="C2881">
        <f>Inputs!$B$3&gt;=43</f>
        <v/>
      </c>
      <c r="D2881">
        <f>IF(Skills!C22=1,60+Inputs!$B$26+Inputs!$B$30,IF(Skills!C22=2,90+Inputs!$B$27+Inputs!$B$30,IF(Skills!C22=3,120+Inputs!$B$28+Inputs!$B$30,MAX(0,(Inputs!$B$3-100)*3)+Inputs!$B$29+Inputs!$B$30)))</f>
        <v/>
      </c>
      <c r="E2881">
        <f>INDEX(FactorTable!$B$2:$Y$301, MATCH(ROUND(MIN(300,MAX(1,D2881)),0), FactorTable!$A$2:$A$301,0), Skills!M22+1)</f>
        <v/>
      </c>
      <c r="F2881">
        <f>IF(Skills!N22=TRUE,(Skills!L22/10)*(E2881/1000),Skills!L22/10)+Skills!O22</f>
        <v/>
      </c>
      <c r="G2881">
        <f>Skills!G22*IF(Skills!H22&gt;0,INT(IF(Inputs!$B$39="pvp",MIN(Skills!I22,15),Skills!I22)/Skills!H22+0.000000001),1)</f>
        <v/>
      </c>
      <c r="H2881">
        <f>1-(1-Skills!J22/100)^Skills!K22</f>
        <v/>
      </c>
      <c r="I2881" t="inlineStr">
        <is>
          <t>1</t>
        </is>
      </c>
      <c r="J2881" t="inlineStr"/>
      <c r="K2881" t="inlineStr"/>
      <c r="L2881" t="inlineStr"/>
      <c r="M2881" t="inlineStr"/>
      <c r="N2881" t="inlineStr"/>
      <c r="O2881">
        <f>(1-Summary!$B$11)*T2881+Summary!$B$11*V2881</f>
        <v/>
      </c>
      <c r="P2881">
        <f>IF(B2898=0,0,O2881/B2898)</f>
        <v/>
      </c>
      <c r="Q2881" t="n">
        <v>0</v>
      </c>
      <c r="R2881" t="n">
        <v>0</v>
      </c>
      <c r="S2881">
        <f>IFERROR(O2881/N2881,0)</f>
        <v/>
      </c>
      <c r="T2881" t="n">
        <v>0</v>
      </c>
      <c r="V2881" t="n">
        <v>0</v>
      </c>
    </row>
    <row r="2882">
      <c r="A2882">
        <f>Skills!A23</f>
        <v/>
      </c>
      <c r="B2882">
        <f>Skills!B23</f>
        <v/>
      </c>
      <c r="C2882">
        <f>Inputs!$B$3&gt;=120</f>
        <v/>
      </c>
      <c r="D2882">
        <f>IF(Skills!C23=1,60+Inputs!$B$26+Inputs!$B$30,IF(Skills!C23=2,90+Inputs!$B$27+Inputs!$B$30,IF(Skills!C23=3,120+Inputs!$B$28+Inputs!$B$30,MAX(0,(Inputs!$B$3-100)*3)+Inputs!$B$29+Inputs!$B$30)))</f>
        <v/>
      </c>
      <c r="E2882">
        <f>INDEX(FactorTable!$B$2:$Y$301, MATCH(ROUND(MIN(300,MAX(1,D2882)),0), FactorTable!$A$2:$A$301,0), Skills!M23+1)</f>
        <v/>
      </c>
      <c r="F2882">
        <f>IF(Skills!N23=TRUE,(Skills!L23/10)*(E2882/1000),Skills!L23/10)+Skills!O23</f>
        <v/>
      </c>
      <c r="G2882">
        <f>Skills!G23*IF(Skills!H23&gt;0,INT(IF(Inputs!$B$39="pvp",MIN(Skills!I23,15),Skills!I23)/Skills!H23+0.000000001),1)</f>
        <v/>
      </c>
      <c r="H2882">
        <f>1-(1-Skills!J23/100)^Skills!K23</f>
        <v/>
      </c>
      <c r="I2882" t="inlineStr">
        <is>
          <t>1</t>
        </is>
      </c>
      <c r="J2882" t="inlineStr"/>
      <c r="K2882" t="inlineStr"/>
      <c r="L2882" t="inlineStr"/>
      <c r="M2882" t="inlineStr"/>
      <c r="N2882" t="inlineStr"/>
      <c r="O2882">
        <f>(1-Summary!$B$11)*T2882+Summary!$B$11*V2882</f>
        <v/>
      </c>
      <c r="P2882">
        <f>IF(B2898=0,0,O2882/B2898)</f>
        <v/>
      </c>
      <c r="Q2882" t="n">
        <v>0</v>
      </c>
      <c r="R2882" t="n">
        <v>0</v>
      </c>
      <c r="S2882">
        <f>IFERROR(O2882/N2882,0)</f>
        <v/>
      </c>
      <c r="T2882" t="n">
        <v>0</v>
      </c>
      <c r="V2882" t="n">
        <v>0</v>
      </c>
    </row>
    <row r="2883">
      <c r="A2883">
        <f>Skills!A24</f>
        <v/>
      </c>
      <c r="B2883">
        <f>Skills!B24</f>
        <v/>
      </c>
      <c r="C2883">
        <f>Inputs!$B$3&gt;=120</f>
        <v/>
      </c>
      <c r="D2883">
        <f>IF(Skills!C24=1,60+Inputs!$B$26+Inputs!$B$30,IF(Skills!C24=2,90+Inputs!$B$27+Inputs!$B$30,IF(Skills!C24=3,120+Inputs!$B$28+Inputs!$B$30,MAX(0,(Inputs!$B$3-100)*3)+Inputs!$B$29+Inputs!$B$30)))</f>
        <v/>
      </c>
      <c r="E2883">
        <f>INDEX(FactorTable!$B$2:$Y$301, MATCH(ROUND(MIN(300,MAX(1,D2883)),0), FactorTable!$A$2:$A$301,0), Skills!M24+1)</f>
        <v/>
      </c>
      <c r="F2883">
        <f>IF(Skills!N24=TRUE,(Skills!L24/10)*(E2883/1000),Skills!L24/10)+Skills!O24</f>
        <v/>
      </c>
      <c r="G2883">
        <f>Skills!G24*IF(Skills!H24&gt;0,INT(IF(Inputs!$B$39="pvp",MIN(Skills!I24,15),Skills!I24)/Skills!H24+0.000000001),1)</f>
        <v/>
      </c>
      <c r="H2883">
        <f>1-(1-Skills!J24/100)^Skills!K24</f>
        <v/>
      </c>
      <c r="I2883" t="inlineStr">
        <is>
          <t>1</t>
        </is>
      </c>
      <c r="J2883" t="inlineStr"/>
      <c r="K2883" t="inlineStr"/>
      <c r="L2883" t="inlineStr"/>
      <c r="M2883" t="inlineStr"/>
      <c r="N2883" t="inlineStr"/>
      <c r="O2883">
        <f>(1-Summary!$B$11)*T2883+Summary!$B$11*V2883</f>
        <v/>
      </c>
      <c r="P2883">
        <f>IF(B2898=0,0,O2883/B2898)</f>
        <v/>
      </c>
      <c r="Q2883" t="n">
        <v>0</v>
      </c>
      <c r="R2883" t="n">
        <v>0</v>
      </c>
      <c r="S2883">
        <f>IFERROR(O2883/N2883,0)</f>
        <v/>
      </c>
      <c r="T2883" t="n">
        <v>0</v>
      </c>
      <c r="V2883" t="n">
        <v>0</v>
      </c>
    </row>
    <row r="2884">
      <c r="A2884">
        <f>Skills!A25</f>
        <v/>
      </c>
      <c r="B2884">
        <f>Skills!B25</f>
        <v/>
      </c>
      <c r="C2884">
        <f>Inputs!$B$3&gt;=125</f>
        <v/>
      </c>
      <c r="D2884">
        <f>IF(Skills!C25=1,60+Inputs!$B$26+Inputs!$B$30,IF(Skills!C25=2,90+Inputs!$B$27+Inputs!$B$30,IF(Skills!C25=3,120+Inputs!$B$28+Inputs!$B$30,MAX(0,(Inputs!$B$3-100)*3)+Inputs!$B$29+Inputs!$B$30)))</f>
        <v/>
      </c>
      <c r="E2884">
        <f>INDEX(FactorTable!$B$2:$Y$301, MATCH(ROUND(MIN(300,MAX(1,D2884)),0), FactorTable!$A$2:$A$301,0), Skills!M25+1)</f>
        <v/>
      </c>
      <c r="F2884">
        <f>IF(Skills!N25=TRUE,(Skills!L25/10)*(E2884/1000),Skills!L25/10)+Skills!O25</f>
        <v/>
      </c>
      <c r="G2884">
        <f>Skills!G25*IF(Skills!H25&gt;0,INT(IF(Inputs!$B$39="pvp",MIN(Skills!I25,15),Skills!I25)/Skills!H25+0.000000001),1)</f>
        <v/>
      </c>
      <c r="H2884">
        <f>1-(1-Skills!J25/100)^Skills!K25</f>
        <v/>
      </c>
      <c r="I2884" t="inlineStr">
        <is>
          <t>1</t>
        </is>
      </c>
      <c r="J2884" t="inlineStr"/>
      <c r="K2884" t="inlineStr"/>
      <c r="L2884" t="inlineStr"/>
      <c r="M2884" t="inlineStr"/>
      <c r="N2884" t="inlineStr"/>
      <c r="O2884">
        <f>(1-Summary!$B$11)*T2884+Summary!$B$11*V2884</f>
        <v/>
      </c>
      <c r="P2884">
        <f>IF(B2898=0,0,O2884/B2898)</f>
        <v/>
      </c>
      <c r="Q2884" t="n">
        <v>0</v>
      </c>
      <c r="R2884" t="n">
        <v>0</v>
      </c>
      <c r="S2884">
        <f>IFERROR(O2884/N2884,0)</f>
        <v/>
      </c>
      <c r="T2884" t="n">
        <v>0</v>
      </c>
      <c r="V2884" t="n">
        <v>0</v>
      </c>
    </row>
    <row r="2885">
      <c r="A2885">
        <f>Skills!A26</f>
        <v/>
      </c>
      <c r="B2885">
        <f>Skills!B26</f>
        <v/>
      </c>
      <c r="C2885">
        <f>Inputs!$B$3&gt;=107</f>
        <v/>
      </c>
      <c r="D2885">
        <f>IF(Skills!C26=1,60+Inputs!$B$26+Inputs!$B$30,IF(Skills!C26=2,90+Inputs!$B$27+Inputs!$B$30,IF(Skills!C26=3,120+Inputs!$B$28+Inputs!$B$30,MAX(0,(Inputs!$B$3-100)*3)+Inputs!$B$29+Inputs!$B$30)))</f>
        <v/>
      </c>
      <c r="E2885">
        <f>INDEX(FactorTable!$B$2:$Y$301, MATCH(ROUND(MIN(300,MAX(1,D2885)),0), FactorTable!$A$2:$A$301,0), Skills!M26+1)</f>
        <v/>
      </c>
      <c r="F2885">
        <f>IF(Skills!N26=TRUE,(Skills!L26/10)*(E2885/1000),Skills!L26/10)+Skills!O26</f>
        <v/>
      </c>
      <c r="G2885">
        <f>Skills!G26*IF(Skills!H26&gt;0,INT(IF(Inputs!$B$39="pvp",MIN(Skills!I26,15),Skills!I26)/Skills!H26+0.000000001),1)</f>
        <v/>
      </c>
      <c r="H2885">
        <f>1-(1-Skills!J26/100)^Skills!K26</f>
        <v/>
      </c>
      <c r="I2885" t="inlineStr">
        <is>
          <t>1</t>
        </is>
      </c>
      <c r="J2885" t="inlineStr"/>
      <c r="K2885" t="inlineStr"/>
      <c r="L2885" t="inlineStr"/>
      <c r="M2885" t="inlineStr"/>
      <c r="N2885" t="inlineStr"/>
      <c r="O2885">
        <f>(1-Summary!$B$11)*T2885+Summary!$B$11*V2885</f>
        <v/>
      </c>
      <c r="P2885">
        <f>IF(B2898=0,0,O2885/B2898)</f>
        <v/>
      </c>
      <c r="Q2885" t="n">
        <v>0</v>
      </c>
      <c r="R2885" t="n">
        <v>0</v>
      </c>
      <c r="S2885">
        <f>IFERROR(O2885/N2885,0)</f>
        <v/>
      </c>
      <c r="T2885" t="n">
        <v>0</v>
      </c>
      <c r="V2885" t="n">
        <v>0</v>
      </c>
    </row>
    <row r="2887">
      <c r="A2887" t="inlineStr">
        <is>
          <t>Attack% Bucket Multiplier</t>
        </is>
      </c>
      <c r="B2887">
        <f>(1+(((C2872=TRUE)*F2872*IF(AND(Inputs!$B$39&lt;&gt;"pvp",Inputs!$B$44&gt;0),(((R2872-1)*MIN((Skills!T13*(1+Inputs!$B$35/100)),(1/Q2872))+MIN((Skills!T13*(1+Inputs!$B$35/100)),MAX(0,Inputs!$B$44-((R2872-1)*(1/Q2872)))))/Inputs!$B$44),IF(Inputs!$B$39="pvp",MIN((Skills!T13*(1+Inputs!$B$35/100)),15)/15,MIN(1,(Skills!T13*(1+Inputs!$B$35/100))/(1/Q2872)))))+((C2873=TRUE)*F2873*IF(AND(Inputs!$B$39&lt;&gt;"pvp",Inputs!$B$44&gt;0),(((R2873-1)*MIN((Skills!T14*(1+Inputs!$B$35/100)),(1/Q2873))+MIN((Skills!T14*(1+Inputs!$B$35/100)),MAX(0,Inputs!$B$44-((R2873-1)*(1/Q2873)))))/Inputs!$B$44),IF(Inputs!$B$39="pvp",MIN((Skills!T14*(1+Inputs!$B$35/100)),15)/15,MIN(1,(Skills!T14*(1+Inputs!$B$35/100))/(1/Q2873)))))+((C2874=TRUE)*F2874*IF(AND(Inputs!$B$39&lt;&gt;"pvp",Inputs!$B$44&gt;0),(((R2874-1)*MIN((Skills!T15*(1+Inputs!$B$35/100)),(1/Q2874))+MIN((Skills!T15*(1+Inputs!$B$35/100)),MAX(0,Inputs!$B$44-((R2874-1)*(1/Q2874)))))/Inputs!$B$44),IF(Inputs!$B$39="pvp",MIN((Skills!T15*(1+Inputs!$B$35/100)),15)/15,MIN(1,(Skills!T15*(1+Inputs!$B$35/100))/(1/Q2874)))))+((C2875=TRUE)*F2875*IF(AND(Inputs!$B$39&lt;&gt;"pvp",Inputs!$B$44&gt;0),(((R2875-1)*MIN((Skills!T16*(1+Inputs!$B$35/100)),(1/Q2875))+MIN((Skills!T16*(1+Inputs!$B$35/100)),MAX(0,Inputs!$B$44-((R2875-1)*(1/Q2875)))))/Inputs!$B$44),IF(Inputs!$B$39="pvp",MIN((Skills!T16*(1+Inputs!$B$35/100)),15)/15,MIN(1,(Skills!T16*(1+Inputs!$B$35/100))/(1/Q2875)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2888">
      <c r="A2888" t="inlineStr">
        <is>
          <t>Global Crit Rate Bonus % (Lord of Darkness)</t>
        </is>
      </c>
      <c r="B2888">
        <f>((C2877=TRUE)*F2877*(Skills!J18/100)*IF(AND(Inputs!$B$39&lt;&gt;"pvp",Inputs!$B$44&gt;0),(((R2877-1)*MIN((Skills!T18*(1+Inputs!$B$35/100)),(1/Q2877))+MIN((Skills!T18*(1+Inputs!$B$35/100)),MAX(0,Inputs!$B$44-((R2877-1)*(1/Q2877)))))/Inputs!$B$44),IF(Inputs!$B$39="pvp",MIN((Skills!T18*(1+Inputs!$B$35/100)),15)/15,MIN(1,(Skills!T18*(1+Inputs!$B$35/100))/(1/Q2877)))))</f>
        <v/>
      </c>
    </row>
    <row r="2889">
      <c r="A2889" t="inlineStr">
        <is>
          <t>Attack Speed Buff Bonus %</t>
        </is>
      </c>
      <c r="B2889">
        <f>((C2879=TRUE)*F2879*IF(AND(Inputs!$B$39&lt;&gt;"pvp",Inputs!$B$44&gt;0),(((R2879-1)*MIN((Skills!T20*(1+Inputs!$B$35/100)),(1/Q2879))+MIN((Skills!T20*(1+Inputs!$B$35/100)),MAX(0,Inputs!$B$44-((R2879-1)*(1/Q2879)))))/Inputs!$B$44),IF(Inputs!$B$39="pvp",MIN((Skills!T20*(1+Inputs!$B$35/100)),15)/15,MIN(1,(Skills!T20*(1+Inputs!$B$35/100))/(1/Q2879)))))</f>
        <v/>
      </c>
    </row>
    <row r="2890">
      <c r="A2890" t="inlineStr">
        <is>
          <t>Actions Per Second</t>
        </is>
      </c>
      <c r="B2890">
        <f>1+MIN(150,150*(1-(1-(Inputs!$B$12+((C2880=TRUE)*(F2880-Calc!F21)))/150)*(1-B2889/150)))/100</f>
        <v/>
      </c>
    </row>
    <row r="2891">
      <c r="A2891" t="inlineStr">
        <is>
          <t>Skill + Buff Cast Rate</t>
        </is>
      </c>
      <c r="B2891">
        <f>IF(AND(Inputs!$B$39&lt;&gt;"pvp",Inputs!$B$44&gt;0),SUMPRODUCT((Skills!E2:E26=TRUE)*(C2861:C2885=TRUE)*R2861:R2885*Skills!F2:F26)/Inputs!$B$44,SUMPRODUCT((Skills!E2:E26=TRUE)*(C2861:C2885=TRUE)*Q2861:Q2885*Skills!F2:F26))</f>
        <v/>
      </c>
    </row>
    <row r="2892">
      <c r="A2892" t="inlineStr">
        <is>
          <t>Dark Impale Casts Per Second</t>
        </is>
      </c>
      <c r="B2892">
        <f>MAX(0,B2890-B2891)</f>
        <v/>
      </c>
    </row>
    <row r="2893">
      <c r="A2893" t="inlineStr">
        <is>
          <t>Global Critical Damage Bonus % (Lord of Darkness)</t>
        </is>
      </c>
      <c r="B2893">
        <f>((C2878=TRUE)*F2878*(Skills!J19/100)*IF(AND(Inputs!$B$39&lt;&gt;"pvp",Inputs!$B$44&gt;0),(((R2878-1)*MIN((Skills!T19*(1+Inputs!$B$35/100)),(1/Q2878))+MIN((Skills!T19*(1+Inputs!$B$35/100)),MAX(0,Inputs!$B$44-((R2878-1)*(1/Q2878)))))/Inputs!$B$44),IF(Inputs!$B$39="pvp",MIN((Skills!T19*(1+Inputs!$B$35/100)),15)/15,MIN(1,(Skills!T19*(1+Inputs!$B$35/100))/(1/Q2878)))))</f>
        <v/>
      </c>
    </row>
    <row r="2894">
      <c r="A2894" t="inlineStr">
        <is>
          <t>Global Final Damage Bonus % (unused)</t>
        </is>
      </c>
      <c r="B2894" t="n">
        <v>0</v>
      </c>
    </row>
    <row r="2895">
      <c r="A2895" t="inlineStr">
        <is>
          <t>Buff-Casting Startup Delay (s, fixed-duration only)</t>
        </is>
      </c>
      <c r="B2895">
        <f>IF(AND(Inputs!$B$39&lt;&gt;"pvp",Inputs!$B$44&gt;0),SUMPRODUCT((Skills!T2:T26&gt;0)*(Skills!E2:E26=TRUE)*(C2861:C2885=TRUE))/B2890,0)</f>
        <v/>
      </c>
    </row>
    <row r="2896">
      <c r="A2896" t="inlineStr">
        <is>
          <t>Boss-Only Total DPS (this block's swept value)</t>
        </is>
      </c>
      <c r="B2896">
        <f>SUM(T2861:T2885)</f>
        <v/>
      </c>
    </row>
    <row r="2897">
      <c r="A2897" t="inlineStr">
        <is>
          <t>Normal-Only Total DPS (this block's swept value)</t>
        </is>
      </c>
      <c r="B2897">
        <f>SUM(V2861:V2885)</f>
        <v/>
      </c>
    </row>
    <row r="2898">
      <c r="A2898" s="6" t="inlineStr">
        <is>
          <t>TOTAL DPS</t>
        </is>
      </c>
      <c r="B2898" s="6">
        <f>SUM(O2861:O2885)</f>
        <v/>
      </c>
    </row>
    <row r="2901">
      <c r="A2901" s="6" t="inlineStr">
        <is>
          <t>Stat: CDR = 2.0s</t>
        </is>
      </c>
    </row>
    <row r="2902">
      <c r="A2902" s="5" t="inlineStr">
        <is>
          <t>Key</t>
        </is>
      </c>
      <c r="B2902" s="5" t="inlineStr">
        <is>
          <t>Name</t>
        </is>
      </c>
      <c r="C2902" s="5" t="inlineStr">
        <is>
          <t>Unlocked</t>
        </is>
      </c>
      <c r="D2902" s="5" t="inlineStr">
        <is>
          <t>InputLevel</t>
        </is>
      </c>
      <c r="E2902" s="5" t="inlineStr">
        <is>
          <t>Factor</t>
        </is>
      </c>
      <c r="F2902" s="5" t="inlineStr">
        <is>
          <t>CoefficientPercent</t>
        </is>
      </c>
      <c r="G2902" s="5" t="inlineStr">
        <is>
          <t>EffectiveHits</t>
        </is>
      </c>
      <c r="H2902" s="5" t="inlineStr">
        <is>
          <t>ProcProbability</t>
        </is>
      </c>
      <c r="I2902" s="5" t="inlineStr">
        <is>
          <t>MapleHeroMultiplier</t>
        </is>
      </c>
      <c r="J2902" s="5" t="inlineStr">
        <is>
          <t>BaseDamage</t>
        </is>
      </c>
      <c r="K2902" s="5" t="inlineStr">
        <is>
          <t>BaseHitDamage</t>
        </is>
      </c>
      <c r="L2902" s="5" t="inlineStr">
        <is>
          <t>NonCritAvg</t>
        </is>
      </c>
      <c r="M2902" s="5" t="inlineStr">
        <is>
          <t>CritAvg</t>
        </is>
      </c>
      <c r="N2902" s="5" t="inlineStr">
        <is>
          <t>ExpectedDamage(perHit)</t>
        </is>
      </c>
      <c r="O2902" s="5" t="inlineStr">
        <is>
          <t>DPS</t>
        </is>
      </c>
      <c r="P2902" s="5" t="inlineStr">
        <is>
          <t>% of Total</t>
        </is>
      </c>
      <c r="Q2902" s="5" t="inlineStr">
        <is>
          <t>InvCooldown</t>
        </is>
      </c>
      <c r="R2902" s="5" t="inlineStr">
        <is>
          <t>CastsInFight</t>
        </is>
      </c>
      <c r="S2902" s="5" t="inlineStr">
        <is>
          <t>HitRate(perSec)</t>
        </is>
      </c>
      <c r="U2902" t="inlineStr">
        <is>
          <t>helpers</t>
        </is>
      </c>
    </row>
    <row r="2903">
      <c r="A2903">
        <f>Skills!A2</f>
        <v/>
      </c>
      <c r="B2903">
        <f>Skills!B2</f>
        <v/>
      </c>
      <c r="C2903">
        <f>Inputs!$B$3&gt;=100</f>
        <v/>
      </c>
      <c r="D2903" t="inlineStr"/>
      <c r="E2903" t="inlineStr"/>
      <c r="F2903">
        <f>U2905+Skills!O2</f>
        <v/>
      </c>
      <c r="G2903">
        <f>Skills!G2*IF(Skills!H2&gt;0,INT(IF(Inputs!$B$39="pvp",MIN(Skills!I2,15),Skills!I2)/Skills!H2+0.000000001),1)</f>
        <v/>
      </c>
      <c r="H2903">
        <f>1-(1-Skills!J2/100)^Skills!K2</f>
        <v/>
      </c>
      <c r="I2903" t="inlineStr">
        <is>
          <t>1</t>
        </is>
      </c>
      <c r="J2903">
        <f>((Inputs!$B$6*(1+Inputs!$B$7/100))+(((Inputs!$B$13*(1+Inputs!$B$14/100))-(Inputs!$B$13*(1+Inputs!$B$14/100)))+0.25*(Inputs!$B$15-Inputs!$B$15))*(1+Inputs!$B$7/100))*(F2903/100)</f>
        <v/>
      </c>
      <c r="K2903">
        <f>J2903*(1+(((Inputs!$B$13+IF(Inputs!$B$3&gt;=38,(10*INDEX(FactorTable!$B$2:$Y$301, MATCH(ROUND(MIN(300,MAX(1,Inputs!$B$3)),0), FactorTable!$A$2:$A$301,0), 23)/1000)/100*(Inputs!$B$8*(1+Inputs!$B$9/100)),0))*(1+Inputs!$B$14/100))*0.01+Inputs!$B$15*0.0025)/100)*(1+Inputs!$B$16/100)*(1+Inputs!$B$17/100)*(5000/(6000+Inputs!$B$43*(1-(Inputs!$B$20+0)/100)))*(1+(Inputs!$B$25+((C2926=TRUE)*(F2926-Calc!F25))+((C2927=TRUE)*(F2927-Calc!F26))+B2936)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gt;=100),MIN(100,((Inputs!$B$10+0+B2930+(ArtifactsInput!$M$24-ArtifactsInput!$M$24)*CHOOSE(ArtifactsInput!$N$24+1,10,12,14,16,18,20)+IF(ArtifactsInput!$M$10,CHOOSE(ArtifactsInput!$N$10+1,15,18,21,24,27,30)*(IF(Inputs!$B$39="pvp",MIN(15,15)/15,IF(AND(Inputs!$B$39&lt;&gt;"pvp",Inputs!$B$44&gt;0),MIN(15,Inputs!$B$44)/(Inputs!$B$44),0))),0)))-100),0))*CHOOSE(ArtifactsInput!$N$42+1,0.6,0.72,0.84,0.96,1.08,1.2))),Inputs!$B$19+((C2924=TRUE)*(F2924-Calc!F23))+(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gt;=100),CHOOSE(ArtifactsInput!$N$42+1,40,48,56,64,72,80),0))))/100)*((1+(((C2914=TRUE)*F2914*IF(AND(Inputs!$B$39&lt;&gt;"pvp",Inputs!$B$44&gt;0),(((R2914-1)*MIN((Skills!T13*(1+Inputs!$B$35/100)),(1/Q2914))+MIN((Skills!T13*(1+Inputs!$B$35/100)),MAX(0,Inputs!$B$44-((R2914-1)*(1/Q2914)))))/Inputs!$B$44),IF(Inputs!$B$39="pvp",MIN((Skills!T13*(1+Inputs!$B$35/100)),15)/15,MIN(1,(Skills!T13*(1+Inputs!$B$35/100))/(1/Q2914)))))+((C2915=TRUE)*F2915*IF(AND(Inputs!$B$39&lt;&gt;"pvp",Inputs!$B$44&gt;0),(((R2915-1)*MIN((Skills!T14*(1+Inputs!$B$35/100)),(1/Q2915))+MIN((Skills!T14*(1+Inputs!$B$35/100)),MAX(0,Inputs!$B$44-((R2915-1)*(1/Q2915)))))/Inputs!$B$44),IF(Inputs!$B$39="pvp",MIN((Skills!T14*(1+Inputs!$B$35/100)),15)/15,MIN(1,(Skills!T14*(1+Inputs!$B$35/100))/(1/Q2915)))))+((C2916=TRUE)*F2916*IF(AND(Inputs!$B$39&lt;&gt;"pvp",Inputs!$B$44&gt;0),(((R2916-1)*MIN((Skills!T15*(1+Inputs!$B$35/100)),(1/Q2916))+MIN((Skills!T15*(1+Inputs!$B$35/100)),MAX(0,Inputs!$B$44-((R2916-1)*(1/Q2916)))))/Inputs!$B$44),IF(Inputs!$B$39="pvp",MIN((Skills!T15*(1+Inputs!$B$35/100)),15)/15,MIN(1,(Skills!T15*(1+Inputs!$B$35/100))/(1/Q2916)))))+((C2917=TRUE)*F2917*IF(AND(Inputs!$B$39&lt;&gt;"pvp",Inputs!$B$44&gt;0),(((R2917-1)*MIN((Skills!T16*(1+Inputs!$B$35/100)),(1/Q2917))+MIN((Skills!T16*(1+Inputs!$B$35/100)),MAX(0,Inputs!$B$44-((R2917-1)*(1/Q2917)))))/Inputs!$B$44),IF(Inputs!$B$39="pvp",MIN((Skills!T16*(1+Inputs!$B$35/100)),15)/15,MIN(1,(Skills!T16*(1+Inputs!$B$35/100))/(1/Q2917)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2903)</f>
        <v/>
      </c>
      <c r="L2903">
        <f>K2903*(MIN(Inputs!$B$23+((C2923=TRUE)*(F2923-Calc!F22)),(Inputs!$B$24+((C2925=TRUE)*(F2925-Calc!F24))+(IF(ArtifactsInput!$M$15,CHOOSE(ArtifactsInput!$N$15+1,25,30,35,40,45,50)/100*(Inputs!$B$12-Inputs!$B$12),0))))/100+(Inputs!$B$24+((C2925=TRUE)*(F2925-Calc!F24))+(IF(ArtifactsInput!$M$15,CHOOSE(ArtifactsInput!$N$15+1,25,30,35,40,45,50)/100*(Inputs!$B$12-Inputs!$B$12),0)))/100)/2</f>
        <v/>
      </c>
      <c r="M2903">
        <f>L2903*(1+(Inputs!$B$11+0+B2935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903">
        <f>L2903*(1-MIN((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2903*(MIN((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03">
        <f>(1-Summary!$B$11)*T2903+Summary!$B$11*V2903</f>
        <v/>
      </c>
      <c r="P2903">
        <f>IF(B2940=0,0,O2903/B2940)</f>
        <v/>
      </c>
      <c r="Q2903" t="n">
        <v>0</v>
      </c>
      <c r="R2903" t="n">
        <v>0</v>
      </c>
      <c r="S2903">
        <f>IFERROR(O2903/N2903,0)</f>
        <v/>
      </c>
      <c r="T2903">
        <f>IF(C2903,(Skills!G2*N2903*B2934)*IF(Inputs!$B$39="pvp",1,1+(Inputs!$B$21+0+Skills!P2+((C2918=TRUE)*F2918*IF(AND(Inputs!$B$39&lt;&gt;"pvp",Inputs!$B$44&gt;0),(((R2918-1)*MIN((Skills!T17*(1+Inputs!$B$35/100)),(1/Q2918))+MIN((Skills!T17*(1+Inputs!$B$35/100)),MAX(0,Inputs!$B$44-((R2918-1)*(1/Q2918)))))/Inputs!$B$44),IF(Inputs!$B$39="pvp",MIN((Skills!T17*(1+Inputs!$B$35/100)),15)/15,MIN(1,(Skills!T17*(1+Inputs!$B$35/100))/(1/Q2918)))))+((C2906=TRUE)*IF(Inputs!$B$3&gt;=126,10*MIN(1,15*Q2906),0))+((C2915=TRUE)*IF(Inputs!$B$39="pvp",20,(1-Summary!$B$11)*(20)+Summary!$B$11*(0))*IF(AND(Inputs!$B$39&lt;&gt;"pvp",Inputs!$B$44&gt;0),(((R2915-1)*MIN((Skills!T14*(1+Inputs!$B$35/100)),(1/Q2915))+MIN((Skills!T14*(1+Inputs!$B$35/100)),MAX(0,Inputs!$B$44-((R2915-1)*(1/Q2915)))))/Inputs!$B$44),IF(Inputs!$B$39="pvp",MIN((Skills!T14*(1+Inputs!$B$35/100)),15)/15,MIN(1,(Skills!T14*(1+Inputs!$B$35/100))/(1/Q2915)))))+((C2914=TRUE)*IF(Inputs!$B$3&gt;=82,IF(Inputs!$B$39="pvp",20,(1-Summary!$B$11)*(20)+Summary!$B$11*(0)),0)*IF(AND(Inputs!$B$39&lt;&gt;"pvp",Inputs!$B$44&gt;0),(((R2914-1)*MIN((Skills!T13*(1+Inputs!$B$35/100)),(1/Q2914))+MIN((Skills!T13*(1+Inputs!$B$35/100)),MAX(0,Inputs!$B$44-((R2914-1)*(1/Q2914)))))/Inputs!$B$44),IF(Inputs!$B$39="pvp",MIN((Skills!T13*(1+Inputs!$B$35/100)),15)/15,MIN(1,(Skills!T13*(1+Inputs!$B$35/100))/(1/Q2914)))))+(IF(AND(ArtifactsInput!$M$35,Inputs!$B$4&lt;&gt;"Chapter Hunt"),CHOOSE(ArtifactsInput!$N$35+1,15,18,21,24,27,30)*(1-EXP(-(0.2*B2932)*5)),0)+IF(AND(ArtifactsInput!$M$22,Inputs!$B$4&lt;&gt;"Chapter Hunt"),CHOOSE(ArtifactsInput!$N$22+1,10,12,14,16,18,20)*((0*(((0.15*B2932*5))^0/1)+1*(((0.15*B2932*5))^1/1)+2*(((0.15*B2932*5))^2/2)+3*(((0.15*B2932*5))^3/6)+4*(((0.15*B2932*5))^4/24)+5*(((0.15*B2932*5))^5/120))/((((0.15*B2932*5))^0/1)+(((0.15*B2932*5))^1/1)+(((0.15*B2932*5))^2/2)+(((0.15*B2932*5))^3/6)+(((0.15*B2932*5))^4/24)+(((0.15*B2932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2903*(1-MIN(100,(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2903*(MIN(100,(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2903*(1-MIN(100,(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2903*(MIN(100,(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903">
        <f>MAX(0,(Inputs!$B$3-100)*3)+Inputs!$B$29+Inputs!$B$30</f>
        <v/>
      </c>
      <c r="V2903">
        <f>IF(C2903,(Skills!G2*N2903*B2934)*IF(Inputs!$B$39="pvp",1,(1+(Inputs!$B$22+Skills!Q2+((C2918=TRUE)*F2918*IF(AND(Inputs!$B$39&lt;&gt;"pvp",Inputs!$B$44&gt;0),(((R2918-1)*MIN((Skills!T17*(1+Inputs!$B$35/100)),(1/Q2918))+MIN((Skills!T17*(1+Inputs!$B$35/100)),MAX(0,Inputs!$B$44-((R2918-1)*(1/Q2918)))))/Inputs!$B$44),IF(Inputs!$B$39="pvp",MIN((Skills!T17*(1+Inputs!$B$35/100)),15)/15,MIN(1,(Skills!T17*(1+Inputs!$B$35/100))/(1/Q2918)))))+((C2906=TRUE)*IF(Inputs!$B$3&gt;=126,10*MIN(1,15*Q2906),0))+((C2915=TRUE)*IF(Inputs!$B$39="pvp",20,(1-Summary!$B$11)*(20)+Summary!$B$11*(0))*IF(AND(Inputs!$B$39&lt;&gt;"pvp",Inputs!$B$44&gt;0),(((R2915-1)*MIN((Skills!T14*(1+Inputs!$B$35/100)),(1/Q2915))+MIN((Skills!T14*(1+Inputs!$B$35/100)),MAX(0,Inputs!$B$44-((R2915-1)*(1/Q2915)))))/Inputs!$B$44),IF(Inputs!$B$39="pvp",MIN((Skills!T14*(1+Inputs!$B$35/100)),15)/15,MIN(1,(Skills!T14*(1+Inputs!$B$35/100))/(1/Q2915)))))+((C2914=TRUE)*IF(Inputs!$B$3&gt;=82,IF(Inputs!$B$39="pvp",20,(1-Summary!$B$11)*(20)+Summary!$B$11*(0)),0)*IF(AND(Inputs!$B$39&lt;&gt;"pvp",Inputs!$B$44&gt;0),(((R2914-1)*MIN((Skills!T13*(1+Inputs!$B$35/100)),(1/Q2914))+MIN((Skills!T13*(1+Inputs!$B$35/100)),MAX(0,Inputs!$B$44-((R2914-1)*(1/Q2914)))))/Inputs!$B$44),IF(Inputs!$B$39="pvp",MIN((Skills!T13*(1+Inputs!$B$35/100)),15)/15,MIN(1,(Skills!T13*(1+Inputs!$B$35/100))/(1/Q2914)))))+(IF(AND(ArtifactsInput!$M$35,Inputs!$B$4&lt;&gt;"Chapter Hunt"),CHOOSE(ArtifactsInput!$N$35+1,15,18,21,24,27,30)*(1-EXP(-(0.2*B2932)*5)),0)+IF(AND(ArtifactsInput!$M$22,Inputs!$B$4&lt;&gt;"Chapter Hunt"),CHOOSE(ArtifactsInput!$N$22+1,10,12,14,16,18,20)*((0*(((0.15*B2932*5))^0/1)+1*(((0.15*B2932*5))^1/1)+2*(((0.15*B2932*5))^2/2)+3*(((0.15*B2932*5))^3/6)+4*(((0.15*B2932*5))^4/24)+5*(((0.15*B2932*5))^5/120))/((((0.15*B2932*5))^0/1)+(((0.15*B2932*5))^1/1)+(((0.15*B2932*5))^2/2)+(((0.15*B2932*5))^3/6)+(((0.15*B2932*5))^4/24)+(((0.15*B2932*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04">
      <c r="A2904">
        <f>Skills!A3</f>
        <v/>
      </c>
      <c r="B2904">
        <f>Skills!B3</f>
        <v/>
      </c>
      <c r="C2904">
        <f>Inputs!$B$3&gt;=50</f>
        <v/>
      </c>
      <c r="D2904">
        <f>IF(Skills!C3=1,60+Inputs!$B$26+Inputs!$B$30,IF(Skills!C3=2,90+Inputs!$B$27+Inputs!$B$30,IF(Skills!C3=3,120+Inputs!$B$28+Inputs!$B$30,MAX(0,(Inputs!$B$3-100)*3)+Inputs!$B$29+Inputs!$B$30)))</f>
        <v/>
      </c>
      <c r="E2904">
        <f>INDEX(FactorTable!$B$2:$Y$301, MATCH(ROUND(MIN(300,MAX(1,D2904)),0), FactorTable!$A$2:$A$301,0), Skills!M3+1)</f>
        <v/>
      </c>
      <c r="F2904">
        <f>IF(Skills!N3=TRUE,(Skills!L3/10)*(E2904/1000),Skills!L3/10)+Skills!O3</f>
        <v/>
      </c>
      <c r="G2904" t="inlineStr"/>
      <c r="H2904" t="inlineStr"/>
      <c r="I2904" t="inlineStr">
        <is>
          <t>1</t>
        </is>
      </c>
      <c r="J2904" t="inlineStr"/>
      <c r="K2904" t="inlineStr"/>
      <c r="L2904" t="inlineStr"/>
      <c r="M2904" t="inlineStr"/>
      <c r="N2904" t="inlineStr"/>
      <c r="O2904" t="inlineStr"/>
      <c r="P2904" t="inlineStr"/>
      <c r="Q2904" t="inlineStr"/>
      <c r="R2904" t="inlineStr"/>
      <c r="S2904" t="inlineStr"/>
      <c r="U2904">
        <f>INDEX(FactorTable!$B$2:$Y$301, MATCH(ROUND(MIN(300,MAX(1,U2903)),0), FactorTable!$A$2:$A$301,0), 22)</f>
        <v/>
      </c>
    </row>
    <row r="2905">
      <c r="A2905">
        <f>Skills!A4</f>
        <v/>
      </c>
      <c r="B2905">
        <f>Skills!B4</f>
        <v/>
      </c>
      <c r="C2905">
        <f>Inputs!$B$3&gt;=105</f>
        <v/>
      </c>
      <c r="D2905">
        <f>IF(Skills!C4=1,60+Inputs!$B$26+Inputs!$B$30,IF(Skills!C4=2,90+Inputs!$B$27+Inputs!$B$30,IF(Skills!C4=3,120+Inputs!$B$28+Inputs!$B$30,MAX(0,(Inputs!$B$3-100)*3)+Inputs!$B$29+Inputs!$B$30)))</f>
        <v/>
      </c>
      <c r="E2905">
        <f>INDEX(FactorTable!$B$2:$Y$301, MATCH(ROUND(MIN(300,MAX(1,D2905)),0), FactorTable!$A$2:$A$301,0), Skills!M4+1)</f>
        <v/>
      </c>
      <c r="F2905">
        <f>IF(Skills!N4=TRUE,(Skills!L4/10)*(E2905/1000),Skills!L4/10)+Skills!O4</f>
        <v/>
      </c>
      <c r="G2905" t="inlineStr"/>
      <c r="H2905" t="inlineStr"/>
      <c r="I2905" t="inlineStr">
        <is>
          <t>1</t>
        </is>
      </c>
      <c r="J2905" t="inlineStr"/>
      <c r="K2905" t="inlineStr"/>
      <c r="L2905" t="inlineStr"/>
      <c r="M2905" t="inlineStr"/>
      <c r="N2905" t="inlineStr"/>
      <c r="O2905" t="inlineStr"/>
      <c r="P2905" t="inlineStr"/>
      <c r="Q2905" t="inlineStr"/>
      <c r="R2905" t="inlineStr"/>
      <c r="S2905" t="inlineStr"/>
      <c r="U2905">
        <f>290*U2904/1000</f>
        <v/>
      </c>
    </row>
    <row r="2906">
      <c r="A2906">
        <f>Skills!A5</f>
        <v/>
      </c>
      <c r="B2906">
        <f>Skills!B5</f>
        <v/>
      </c>
      <c r="C2906">
        <f>Inputs!$B$3&gt;=117</f>
        <v/>
      </c>
      <c r="D2906">
        <f>IF(Skills!C5=1,60+Inputs!$B$26+Inputs!$B$30,IF(Skills!C5=2,90+Inputs!$B$27+Inputs!$B$30,IF(Skills!C5=3,120+Inputs!$B$28+Inputs!$B$30,MAX(0,(Inputs!$B$3-100)*3)+Inputs!$B$29+Inputs!$B$30)))</f>
        <v/>
      </c>
      <c r="E2906">
        <f>INDEX(FactorTable!$B$2:$Y$301, MATCH(ROUND(MIN(300,MAX(1,D2906)),0), FactorTable!$A$2:$A$301,0), Skills!M5+1)</f>
        <v/>
      </c>
      <c r="F2906">
        <f>IF(Skills!N5=TRUE,(Skills!L5/10)*(E2906/1000),Skills!L5/10)+Skills!O5</f>
        <v/>
      </c>
      <c r="G2906">
        <f>Skills!G5*IF(Skills!H5&gt;0,INT(IF(Inputs!$B$39="pvp",MIN(Skills!I5,15),Skills!I5)/Skills!H5+0.000000001),1)</f>
        <v/>
      </c>
      <c r="H2906">
        <f>1-(1-Skills!J5/100)^Skills!K5</f>
        <v/>
      </c>
      <c r="I2906" t="inlineStr">
        <is>
          <t>1</t>
        </is>
      </c>
      <c r="J2906">
        <f>((Inputs!$B$6*(1+Inputs!$B$7/100))+(((Inputs!$B$13*(1+Inputs!$B$14/100))-(Inputs!$B$13*(1+Inputs!$B$14/100)))+0.25*(Inputs!$B$15-Inputs!$B$15))*(1+Inputs!$B$7/100))*(F2906/100)</f>
        <v/>
      </c>
      <c r="K2906">
        <f>J2906*(1+(((Inputs!$B$13+IF(Inputs!$B$3&gt;=38,(10*INDEX(FactorTable!$B$2:$Y$301, MATCH(ROUND(MIN(300,MAX(1,Inputs!$B$3)),0), FactorTable!$A$2:$A$301,0), 23)/1000)/100*(Inputs!$B$8*(1+Inputs!$B$9/100)),0))*(1+Inputs!$B$14/100))*0.01+Inputs!$B$15*0.0025)/100)*(1+Inputs!$B$16/100)*(1+Inputs!$B$17/100)*(5000/(6000+Inputs!$B$43*(1-(Inputs!$B$20+0)/100)))*(1+(Inputs!$B$25+((C2926=TRUE)*(F2926-Calc!F25))+((C2927=TRUE)*(F2927-Calc!F26))+B2936)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gt;=100),MIN(100,((Inputs!$B$10+0+B2930+(ArtifactsInput!$M$24-ArtifactsInput!$M$24)*CHOOSE(ArtifactsInput!$N$24+1,10,12,14,16,18,20)+IF(ArtifactsInput!$M$10,CHOOSE(ArtifactsInput!$N$10+1,15,18,21,24,27,30)*(IF(Inputs!$B$39="pvp",MIN(15,15)/15,IF(AND(Inputs!$B$39&lt;&gt;"pvp",Inputs!$B$44&gt;0),MIN(15,Inputs!$B$44)/(Inputs!$B$44),0))),0)))-100),0))*CHOOSE(ArtifactsInput!$N$42+1,0.6,0.72,0.84,0.96,1.08,1.2))),Inputs!$B$19+((C2924=TRUE)*(F2924-Calc!F23))+(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gt;=100),CHOOSE(ArtifactsInput!$N$42+1,40,48,56,64,72,80),0))))/100)*((1+(((C2914=TRUE)*F2914*IF(AND(Inputs!$B$39&lt;&gt;"pvp",Inputs!$B$44&gt;0),(((R2914-1)*MIN((Skills!T13*(1+Inputs!$B$35/100)),(1/Q2914))+MIN((Skills!T13*(1+Inputs!$B$35/100)),MAX(0,Inputs!$B$44-((R2914-1)*(1/Q2914)))))/Inputs!$B$44),IF(Inputs!$B$39="pvp",MIN((Skills!T13*(1+Inputs!$B$35/100)),15)/15,MIN(1,(Skills!T13*(1+Inputs!$B$35/100))/(1/Q2914)))))+((C2915=TRUE)*F2915*IF(AND(Inputs!$B$39&lt;&gt;"pvp",Inputs!$B$44&gt;0),(((R2915-1)*MIN((Skills!T14*(1+Inputs!$B$35/100)),(1/Q2915))+MIN((Skills!T14*(1+Inputs!$B$35/100)),MAX(0,Inputs!$B$44-((R2915-1)*(1/Q2915)))))/Inputs!$B$44),IF(Inputs!$B$39="pvp",MIN((Skills!T14*(1+Inputs!$B$35/100)),15)/15,MIN(1,(Skills!T14*(1+Inputs!$B$35/100))/(1/Q2915)))))+((C2916=TRUE)*F2916*IF(AND(Inputs!$B$39&lt;&gt;"pvp",Inputs!$B$44&gt;0),(((R2916-1)*MIN((Skills!T15*(1+Inputs!$B$35/100)),(1/Q2916))+MIN((Skills!T15*(1+Inputs!$B$35/100)),MAX(0,Inputs!$B$44-((R2916-1)*(1/Q2916)))))/Inputs!$B$44),IF(Inputs!$B$39="pvp",MIN((Skills!T15*(1+Inputs!$B$35/100)),15)/15,MIN(1,(Skills!T15*(1+Inputs!$B$35/100))/(1/Q2916)))))+((C2917=TRUE)*F2917*IF(AND(Inputs!$B$39&lt;&gt;"pvp",Inputs!$B$44&gt;0),(((R2917-1)*MIN((Skills!T16*(1+Inputs!$B$35/100)),(1/Q2917))+MIN((Skills!T16*(1+Inputs!$B$35/100)),MAX(0,Inputs!$B$44-((R2917-1)*(1/Q2917)))))/Inputs!$B$44),IF(Inputs!$B$39="pvp",MIN((Skills!T16*(1+Inputs!$B$35/100)),15)/15,MIN(1,(Skills!T16*(1+Inputs!$B$35/100))/(1/Q2917)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2906)</f>
        <v/>
      </c>
      <c r="L2906">
        <f>K2906*(MIN(Inputs!$B$23+((C2923=TRUE)*(F2923-Calc!F22)),(Inputs!$B$24+((C2925=TRUE)*(F2925-Calc!F24))+(IF(ArtifactsInput!$M$15,CHOOSE(ArtifactsInput!$N$15+1,25,30,35,40,45,50)/100*(Inputs!$B$12-Inputs!$B$12),0))))/100+(Inputs!$B$24+((C2925=TRUE)*(F2925-Calc!F24))+(IF(ArtifactsInput!$M$15,CHOOSE(ArtifactsInput!$N$15+1,25,30,35,40,45,50)/100*(Inputs!$B$12-Inputs!$B$12),0)))/100)/2</f>
        <v/>
      </c>
      <c r="M2906">
        <f>L2906*(1+(Inputs!$B$11+0+B2935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906">
        <f>L2906*(1-MIN((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2906*(MIN((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06">
        <f>(1-Summary!$B$11)*T2906+Summary!$B$11*V2906</f>
        <v/>
      </c>
      <c r="P2906">
        <f>IF(B2940=0,0,O2906/B2940)</f>
        <v/>
      </c>
      <c r="Q2906">
        <f>IFERROR(1/IF(Inputs!$B$39="pvp",15,MAX(0.1,Skills!D5-IF(TRUE=TRUE,2.0,0))),0)</f>
        <v/>
      </c>
      <c r="R2906">
        <f>IF(AND(Inputs!$B$39&lt;&gt;"pvp",Inputs!$B$44&gt;0),IF(MAX(0,Inputs!$B$44-B2937)&lt;=0,0,(INT(MAX(0,Inputs!$B$44-B2937)/IF(Inputs!$B$39="pvp",15,MAX(0.1,Skills!D5-IF(TRUE=TRUE,2.0,0))))+1)),0)</f>
        <v/>
      </c>
      <c r="S2906">
        <f>IFERROR(O2906/N2906,0)</f>
        <v/>
      </c>
      <c r="T2906">
        <f>IF(C2906,(H2906*N2906*IF(AND(Inputs!$B$39&lt;&gt;"pvp",Inputs!$B$44&gt;0),((Skills!G5*((R2906-1)*IF(Skills!H5&gt;0,INT(Skills!I5/Skills!H5+0.000000001),1)+IF(Skills!H5&gt;0,INT(MIN(Skills!I5,MAX(0,MAX(0,Inputs!$B$44-B2937)-((R2906-1)*IF(Inputs!$B$39="pvp",15,MAX(0.1,Skills!D5-IF(TRUE=TRUE,2.0,0))))))/Skills!H5+0.000000001),1)))/Inputs!$B$44),G2906*Q2906))*IF(Inputs!$B$39="pvp",1,1+(Inputs!$B$21+0+Skills!P5+((C2918=TRUE)*F2918*IF(AND(Inputs!$B$39&lt;&gt;"pvp",Inputs!$B$44&gt;0),(((R2918-1)*MIN((Skills!T17*(1+Inputs!$B$35/100)),(1/Q2918))+MIN((Skills!T17*(1+Inputs!$B$35/100)),MAX(0,Inputs!$B$44-((R2918-1)*(1/Q2918)))))/Inputs!$B$44),IF(Inputs!$B$39="pvp",MIN((Skills!T17*(1+Inputs!$B$35/100)),15)/15,MIN(1,(Skills!T17*(1+Inputs!$B$35/100))/(1/Q2918)))))+((C2906=TRUE)*IF(Inputs!$B$3&gt;=126,10*MIN(1,15*Q2906),0))+((C2915=TRUE)*IF(Inputs!$B$39="pvp",20,(1-Summary!$B$11)*(20)+Summary!$B$11*(0))*IF(AND(Inputs!$B$39&lt;&gt;"pvp",Inputs!$B$44&gt;0),(((R2915-1)*MIN((Skills!T14*(1+Inputs!$B$35/100)),(1/Q2915))+MIN((Skills!T14*(1+Inputs!$B$35/100)),MAX(0,Inputs!$B$44-((R2915-1)*(1/Q2915)))))/Inputs!$B$44),IF(Inputs!$B$39="pvp",MIN((Skills!T14*(1+Inputs!$B$35/100)),15)/15,MIN(1,(Skills!T14*(1+Inputs!$B$35/100))/(1/Q2915)))))+((C2914=TRUE)*IF(Inputs!$B$3&gt;=82,IF(Inputs!$B$39="pvp",20,(1-Summary!$B$11)*(20)+Summary!$B$11*(0)),0)*IF(AND(Inputs!$B$39&lt;&gt;"pvp",Inputs!$B$44&gt;0),(((R2914-1)*MIN((Skills!T13*(1+Inputs!$B$35/100)),(1/Q2914))+MIN((Skills!T13*(1+Inputs!$B$35/100)),MAX(0,Inputs!$B$44-((R2914-1)*(1/Q2914)))))/Inputs!$B$44),IF(Inputs!$B$39="pvp",MIN((Skills!T13*(1+Inputs!$B$35/100)),15)/15,MIN(1,(Skills!T13*(1+Inputs!$B$35/100))/(1/Q2914)))))+(IF(AND(ArtifactsInput!$M$35,Inputs!$B$4&lt;&gt;"Chapter Hunt"),CHOOSE(ArtifactsInput!$N$35+1,15,18,21,24,27,30)*(1-EXP(-(0.2*B2932)*5)),0)+IF(AND(ArtifactsInput!$M$22,Inputs!$B$4&lt;&gt;"Chapter Hunt"),CHOOSE(ArtifactsInput!$N$22+1,10,12,14,16,18,20)*((0*(((0.15*B2932*5))^0/1)+1*(((0.15*B2932*5))^1/1)+2*(((0.15*B2932*5))^2/2)+3*(((0.15*B2932*5))^3/6)+4*(((0.15*B2932*5))^4/24)+5*(((0.15*B2932*5))^5/120))/((((0.15*B2932*5))^0/1)+(((0.15*B2932*5))^1/1)+(((0.15*B2932*5))^2/2)+(((0.15*B2932*5))^3/6)+(((0.15*B2932*5))^4/24)+(((0.15*B2932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2906*(1-MIN(100,(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2906*(MIN(100,(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2906*(1-MIN(100,(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2906*(MIN(100,(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06">
        <f>IF(C2906,(H2906*N2906*IF(AND(Inputs!$B$39&lt;&gt;"pvp",Inputs!$B$44&gt;0),((Skills!G5*((R2906-1)*IF(Skills!H5&gt;0,INT(Skills!I5/Skills!H5+0.000000001),1)+IF(Skills!H5&gt;0,INT(MIN(Skills!I5,MAX(0,MAX(0,Inputs!$B$44-B2937)-((R2906-1)*IF(Inputs!$B$39="pvp",15,MAX(0.1,Skills!D5-IF(TRUE=TRUE,2.0,0))))))/Skills!H5+0.000000001),1)))/Inputs!$B$44),G2906*Q2906))*IF(Inputs!$B$39="pvp",1,(1+(Inputs!$B$22+Skills!Q5+((C2918=TRUE)*F2918*IF(AND(Inputs!$B$39&lt;&gt;"pvp",Inputs!$B$44&gt;0),(((R2918-1)*MIN((Skills!T17*(1+Inputs!$B$35/100)),(1/Q2918))+MIN((Skills!T17*(1+Inputs!$B$35/100)),MAX(0,Inputs!$B$44-((R2918-1)*(1/Q2918)))))/Inputs!$B$44),IF(Inputs!$B$39="pvp",MIN((Skills!T17*(1+Inputs!$B$35/100)),15)/15,MIN(1,(Skills!T17*(1+Inputs!$B$35/100))/(1/Q2918)))))+((C2906=TRUE)*IF(Inputs!$B$3&gt;=126,10*MIN(1,15*Q2906),0))+((C2915=TRUE)*IF(Inputs!$B$39="pvp",20,(1-Summary!$B$11)*(20)+Summary!$B$11*(0))*IF(AND(Inputs!$B$39&lt;&gt;"pvp",Inputs!$B$44&gt;0),(((R2915-1)*MIN((Skills!T14*(1+Inputs!$B$35/100)),(1/Q2915))+MIN((Skills!T14*(1+Inputs!$B$35/100)),MAX(0,Inputs!$B$44-((R2915-1)*(1/Q2915)))))/Inputs!$B$44),IF(Inputs!$B$39="pvp",MIN((Skills!T14*(1+Inputs!$B$35/100)),15)/15,MIN(1,(Skills!T14*(1+Inputs!$B$35/100))/(1/Q2915)))))+((C2914=TRUE)*IF(Inputs!$B$3&gt;=82,IF(Inputs!$B$39="pvp",20,(1-Summary!$B$11)*(20)+Summary!$B$11*(0)),0)*IF(AND(Inputs!$B$39&lt;&gt;"pvp",Inputs!$B$44&gt;0),(((R2914-1)*MIN((Skills!T13*(1+Inputs!$B$35/100)),(1/Q2914))+MIN((Skills!T13*(1+Inputs!$B$35/100)),MAX(0,Inputs!$B$44-((R2914-1)*(1/Q2914)))))/Inputs!$B$44),IF(Inputs!$B$39="pvp",MIN((Skills!T13*(1+Inputs!$B$35/100)),15)/15,MIN(1,(Skills!T13*(1+Inputs!$B$35/100))/(1/Q2914)))))+(IF(AND(ArtifactsInput!$M$35,Inputs!$B$4&lt;&gt;"Chapter Hunt"),CHOOSE(ArtifactsInput!$N$35+1,15,18,21,24,27,30)*(1-EXP(-(0.2*B2932)*5)),0)+IF(AND(ArtifactsInput!$M$22,Inputs!$B$4&lt;&gt;"Chapter Hunt"),CHOOSE(ArtifactsInput!$N$22+1,10,12,14,16,18,20)*((0*(((0.15*B2932*5))^0/1)+1*(((0.15*B2932*5))^1/1)+2*(((0.15*B2932*5))^2/2)+3*(((0.15*B2932*5))^3/6)+4*(((0.15*B2932*5))^4/24)+5*(((0.15*B2932*5))^5/120))/((((0.15*B2932*5))^0/1)+(((0.15*B2932*5))^1/1)+(((0.15*B2932*5))^2/2)+(((0.15*B2932*5))^3/6)+(((0.15*B2932*5))^4/24)+(((0.15*B2932*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07">
      <c r="A2907">
        <f>Skills!A6</f>
        <v/>
      </c>
      <c r="B2907">
        <f>Skills!B6</f>
        <v/>
      </c>
      <c r="C2907">
        <f>Inputs!$B$3&gt;=103</f>
        <v/>
      </c>
      <c r="D2907">
        <f>IF(Skills!C6=1,60+Inputs!$B$26+Inputs!$B$30,IF(Skills!C6=2,90+Inputs!$B$27+Inputs!$B$30,IF(Skills!C6=3,120+Inputs!$B$28+Inputs!$B$30,MAX(0,(Inputs!$B$3-100)*3)+Inputs!$B$29+Inputs!$B$30)))</f>
        <v/>
      </c>
      <c r="E2907">
        <f>INDEX(FactorTable!$B$2:$Y$301, MATCH(ROUND(MIN(300,MAX(1,D2907)),0), FactorTable!$A$2:$A$301,0), Skills!M6+1)</f>
        <v/>
      </c>
      <c r="F2907">
        <f>IF(Skills!N6=TRUE,(Skills!L6/10)*(E2907/1000),Skills!L6/10)+Skills!O6</f>
        <v/>
      </c>
      <c r="G2907">
        <f>Skills!G6*IF(Skills!H6&gt;0,INT(IF(Inputs!$B$39="pvp",MIN(Skills!I6,15),Skills!I6)/Skills!H6+0.000000001),1)</f>
        <v/>
      </c>
      <c r="H2907">
        <f>1-(1-Skills!J6/100)^Skills!K6</f>
        <v/>
      </c>
      <c r="I2907" t="inlineStr">
        <is>
          <t>1</t>
        </is>
      </c>
      <c r="J2907">
        <f>((Inputs!$B$6*(1+Inputs!$B$7/100))+(((Inputs!$B$13*(1+Inputs!$B$14/100))-(Inputs!$B$13*(1+Inputs!$B$14/100)))+0.25*(Inputs!$B$15-Inputs!$B$15))*(1+Inputs!$B$7/100))*(F2907/100)</f>
        <v/>
      </c>
      <c r="K2907">
        <f>J2907*(1+(((Inputs!$B$13+IF(Inputs!$B$3&gt;=38,(10*INDEX(FactorTable!$B$2:$Y$301, MATCH(ROUND(MIN(300,MAX(1,Inputs!$B$3)),0), FactorTable!$A$2:$A$301,0), 23)/1000)/100*(Inputs!$B$8*(1+Inputs!$B$9/100)),0))*(1+Inputs!$B$14/100))*0.01+Inputs!$B$15*0.0025)/100)*(1+Inputs!$B$16/100)*(1+Inputs!$B$17/100)*(5000/(6000+Inputs!$B$43*(1-(Inputs!$B$20+0)/100)))*(1+(Inputs!$B$25+((C2926=TRUE)*(F2926-Calc!F25))+((C2927=TRUE)*(F2927-Calc!F26))+B2936)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gt;=100),MIN(100,((Inputs!$B$10+0+B2930+(ArtifactsInput!$M$24-ArtifactsInput!$M$24)*CHOOSE(ArtifactsInput!$N$24+1,10,12,14,16,18,20)+IF(ArtifactsInput!$M$10,CHOOSE(ArtifactsInput!$N$10+1,15,18,21,24,27,30)*(IF(Inputs!$B$39="pvp",MIN(15,15)/15,IF(AND(Inputs!$B$39&lt;&gt;"pvp",Inputs!$B$44&gt;0),MIN(15,Inputs!$B$44)/(Inputs!$B$44),0))),0)))-100),0))*CHOOSE(ArtifactsInput!$N$42+1,0.6,0.72,0.84,0.96,1.08,1.2))),Inputs!$B$19+((C2924=TRUE)*(F2924-Calc!F23))+(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gt;=100),CHOOSE(ArtifactsInput!$N$42+1,40,48,56,64,72,80),0))))/100)*((1+(((C2914=TRUE)*F2914*IF(AND(Inputs!$B$39&lt;&gt;"pvp",Inputs!$B$44&gt;0),(((R2914-1)*MIN((Skills!T13*(1+Inputs!$B$35/100)),(1/Q2914))+MIN((Skills!T13*(1+Inputs!$B$35/100)),MAX(0,Inputs!$B$44-((R2914-1)*(1/Q2914)))))/Inputs!$B$44),IF(Inputs!$B$39="pvp",MIN((Skills!T13*(1+Inputs!$B$35/100)),15)/15,MIN(1,(Skills!T13*(1+Inputs!$B$35/100))/(1/Q2914)))))+((C2915=TRUE)*F2915*IF(AND(Inputs!$B$39&lt;&gt;"pvp",Inputs!$B$44&gt;0),(((R2915-1)*MIN((Skills!T14*(1+Inputs!$B$35/100)),(1/Q2915))+MIN((Skills!T14*(1+Inputs!$B$35/100)),MAX(0,Inputs!$B$44-((R2915-1)*(1/Q2915)))))/Inputs!$B$44),IF(Inputs!$B$39="pvp",MIN((Skills!T14*(1+Inputs!$B$35/100)),15)/15,MIN(1,(Skills!T14*(1+Inputs!$B$35/100))/(1/Q2915)))))+((C2916=TRUE)*F2916*IF(AND(Inputs!$B$39&lt;&gt;"pvp",Inputs!$B$44&gt;0),(((R2916-1)*MIN((Skills!T15*(1+Inputs!$B$35/100)),(1/Q2916))+MIN((Skills!T15*(1+Inputs!$B$35/100)),MAX(0,Inputs!$B$44-((R2916-1)*(1/Q2916)))))/Inputs!$B$44),IF(Inputs!$B$39="pvp",MIN((Skills!T15*(1+Inputs!$B$35/100)),15)/15,MIN(1,(Skills!T15*(1+Inputs!$B$35/100))/(1/Q2916)))))+((C2917=TRUE)*F2917*IF(AND(Inputs!$B$39&lt;&gt;"pvp",Inputs!$B$44&gt;0),(((R2917-1)*MIN((Skills!T16*(1+Inputs!$B$35/100)),(1/Q2917))+MIN((Skills!T16*(1+Inputs!$B$35/100)),MAX(0,Inputs!$B$44-((R2917-1)*(1/Q2917)))))/Inputs!$B$44),IF(Inputs!$B$39="pvp",MIN((Skills!T16*(1+Inputs!$B$35/100)),15)/15,MIN(1,(Skills!T16*(1+Inputs!$B$35/100))/(1/Q2917)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2907)</f>
        <v/>
      </c>
      <c r="L2907">
        <f>K2907*(MIN(Inputs!$B$23+((C2923=TRUE)*(F2923-Calc!F22)),(Inputs!$B$24+((C2925=TRUE)*(F2925-Calc!F24))+(IF(ArtifactsInput!$M$15,CHOOSE(ArtifactsInput!$N$15+1,25,30,35,40,45,50)/100*(Inputs!$B$12-Inputs!$B$12),0))))/100+(Inputs!$B$24+((C2925=TRUE)*(F2925-Calc!F24))+(IF(ArtifactsInput!$M$15,CHOOSE(ArtifactsInput!$N$15+1,25,30,35,40,45,50)/100*(Inputs!$B$12-Inputs!$B$12),0)))/100)/2</f>
        <v/>
      </c>
      <c r="M2907">
        <f>L2907*(1+(Inputs!$B$11+0+B2935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907">
        <f>L2907*(1-MIN((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2907*(MIN((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07">
        <f>(1-Summary!$B$11)*T2907+Summary!$B$11*V2907</f>
        <v/>
      </c>
      <c r="P2907">
        <f>IF(B2940=0,0,O2907/B2940)</f>
        <v/>
      </c>
      <c r="Q2907">
        <f>IFERROR(1/IF(Inputs!$B$39="pvp",15,MAX(0.1,Skills!D6-IF(TRUE=TRUE,2.0,0))),0)</f>
        <v/>
      </c>
      <c r="R2907">
        <f>IF(AND(Inputs!$B$39&lt;&gt;"pvp",Inputs!$B$44&gt;0),IF(MAX(0,Inputs!$B$44-B2937)&lt;=0,0,(INT(MAX(0,Inputs!$B$44-B2937)/IF(Inputs!$B$39="pvp",15,MAX(0.1,Skills!D6-IF(TRUE=TRUE,2.0,0))))+1)),0)</f>
        <v/>
      </c>
      <c r="S2907">
        <f>IFERROR(O2907/N2907,0)</f>
        <v/>
      </c>
      <c r="T2907">
        <f>IF(C2907,(H2907*N2907*IF(AND(Inputs!$B$39&lt;&gt;"pvp",Inputs!$B$44&gt;0),((Skills!G6*((R2907-1)*IF(Skills!H6&gt;0,INT(Skills!I6/Skills!H6+0.000000001),1)+IF(Skills!H6&gt;0,INT(MIN(Skills!I6,MAX(0,MAX(0,Inputs!$B$44-B2937)-((R2907-1)*IF(Inputs!$B$39="pvp",15,MAX(0.1,Skills!D6-IF(TRUE=TRUE,2.0,0))))))/Skills!H6+0.000000001),1)))/Inputs!$B$44),G2907*Q2907))*IF(Inputs!$B$39="pvp",1,1+(Inputs!$B$21+0+Skills!P6+((C2918=TRUE)*F2918*IF(AND(Inputs!$B$39&lt;&gt;"pvp",Inputs!$B$44&gt;0),(((R2918-1)*MIN((Skills!T17*(1+Inputs!$B$35/100)),(1/Q2918))+MIN((Skills!T17*(1+Inputs!$B$35/100)),MAX(0,Inputs!$B$44-((R2918-1)*(1/Q2918)))))/Inputs!$B$44),IF(Inputs!$B$39="pvp",MIN((Skills!T17*(1+Inputs!$B$35/100)),15)/15,MIN(1,(Skills!T17*(1+Inputs!$B$35/100))/(1/Q2918)))))+((C2906=TRUE)*IF(Inputs!$B$3&gt;=126,10*MIN(1,15*Q2906),0))+((C2915=TRUE)*IF(Inputs!$B$39="pvp",20,(1-Summary!$B$11)*(20)+Summary!$B$11*(0))*IF(AND(Inputs!$B$39&lt;&gt;"pvp",Inputs!$B$44&gt;0),(((R2915-1)*MIN((Skills!T14*(1+Inputs!$B$35/100)),(1/Q2915))+MIN((Skills!T14*(1+Inputs!$B$35/100)),MAX(0,Inputs!$B$44-((R2915-1)*(1/Q2915)))))/Inputs!$B$44),IF(Inputs!$B$39="pvp",MIN((Skills!T14*(1+Inputs!$B$35/100)),15)/15,MIN(1,(Skills!T14*(1+Inputs!$B$35/100))/(1/Q2915)))))+((C2914=TRUE)*IF(Inputs!$B$3&gt;=82,IF(Inputs!$B$39="pvp",20,(1-Summary!$B$11)*(20)+Summary!$B$11*(0)),0)*IF(AND(Inputs!$B$39&lt;&gt;"pvp",Inputs!$B$44&gt;0),(((R2914-1)*MIN((Skills!T13*(1+Inputs!$B$35/100)),(1/Q2914))+MIN((Skills!T13*(1+Inputs!$B$35/100)),MAX(0,Inputs!$B$44-((R2914-1)*(1/Q2914)))))/Inputs!$B$44),IF(Inputs!$B$39="pvp",MIN((Skills!T13*(1+Inputs!$B$35/100)),15)/15,MIN(1,(Skills!T13*(1+Inputs!$B$35/100))/(1/Q2914)))))+(IF(AND(ArtifactsInput!$M$35,Inputs!$B$4&lt;&gt;"Chapter Hunt"),CHOOSE(ArtifactsInput!$N$35+1,15,18,21,24,27,30)*(1-EXP(-(0.2*B2932)*5)),0)+IF(AND(ArtifactsInput!$M$22,Inputs!$B$4&lt;&gt;"Chapter Hunt"),CHOOSE(ArtifactsInput!$N$22+1,10,12,14,16,18,20)*((0*(((0.15*B2932*5))^0/1)+1*(((0.15*B2932*5))^1/1)+2*(((0.15*B2932*5))^2/2)+3*(((0.15*B2932*5))^3/6)+4*(((0.15*B2932*5))^4/24)+5*(((0.15*B2932*5))^5/120))/((((0.15*B2932*5))^0/1)+(((0.15*B2932*5))^1/1)+(((0.15*B2932*5))^2/2)+(((0.15*B2932*5))^3/6)+(((0.15*B2932*5))^4/24)+(((0.15*B2932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2907*(1-MIN(100,(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2907*(MIN(100,(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2907*(1-MIN(100,(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2907*(MIN(100,(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07">
        <f>IF(C2907,(H2907*N2907*IF(AND(Inputs!$B$39&lt;&gt;"pvp",Inputs!$B$44&gt;0),((Skills!G6*((R2907-1)*IF(Skills!H6&gt;0,INT(Skills!I6/Skills!H6+0.000000001),1)+IF(Skills!H6&gt;0,INT(MIN(Skills!I6,MAX(0,MAX(0,Inputs!$B$44-B2937)-((R2907-1)*IF(Inputs!$B$39="pvp",15,MAX(0.1,Skills!D6-IF(TRUE=TRUE,2.0,0))))))/Skills!H6+0.000000001),1)))/Inputs!$B$44),G2907*Q2907))*IF(Inputs!$B$39="pvp",1,(1+(Inputs!$B$22+Skills!Q6+((C2918=TRUE)*F2918*IF(AND(Inputs!$B$39&lt;&gt;"pvp",Inputs!$B$44&gt;0),(((R2918-1)*MIN((Skills!T17*(1+Inputs!$B$35/100)),(1/Q2918))+MIN((Skills!T17*(1+Inputs!$B$35/100)),MAX(0,Inputs!$B$44-((R2918-1)*(1/Q2918)))))/Inputs!$B$44),IF(Inputs!$B$39="pvp",MIN((Skills!T17*(1+Inputs!$B$35/100)),15)/15,MIN(1,(Skills!T17*(1+Inputs!$B$35/100))/(1/Q2918)))))+((C2906=TRUE)*IF(Inputs!$B$3&gt;=126,10*MIN(1,15*Q2906),0))+((C2915=TRUE)*IF(Inputs!$B$39="pvp",20,(1-Summary!$B$11)*(20)+Summary!$B$11*(0))*IF(AND(Inputs!$B$39&lt;&gt;"pvp",Inputs!$B$44&gt;0),(((R2915-1)*MIN((Skills!T14*(1+Inputs!$B$35/100)),(1/Q2915))+MIN((Skills!T14*(1+Inputs!$B$35/100)),MAX(0,Inputs!$B$44-((R2915-1)*(1/Q2915)))))/Inputs!$B$44),IF(Inputs!$B$39="pvp",MIN((Skills!T14*(1+Inputs!$B$35/100)),15)/15,MIN(1,(Skills!T14*(1+Inputs!$B$35/100))/(1/Q2915)))))+((C2914=TRUE)*IF(Inputs!$B$3&gt;=82,IF(Inputs!$B$39="pvp",20,(1-Summary!$B$11)*(20)+Summary!$B$11*(0)),0)*IF(AND(Inputs!$B$39&lt;&gt;"pvp",Inputs!$B$44&gt;0),(((R2914-1)*MIN((Skills!T13*(1+Inputs!$B$35/100)),(1/Q2914))+MIN((Skills!T13*(1+Inputs!$B$35/100)),MAX(0,Inputs!$B$44-((R2914-1)*(1/Q2914)))))/Inputs!$B$44),IF(Inputs!$B$39="pvp",MIN((Skills!T13*(1+Inputs!$B$35/100)),15)/15,MIN(1,(Skills!T13*(1+Inputs!$B$35/100))/(1/Q2914)))))+(IF(AND(ArtifactsInput!$M$35,Inputs!$B$4&lt;&gt;"Chapter Hunt"),CHOOSE(ArtifactsInput!$N$35+1,15,18,21,24,27,30)*(1-EXP(-(0.2*B2932)*5)),0)+IF(AND(ArtifactsInput!$M$22,Inputs!$B$4&lt;&gt;"Chapter Hunt"),CHOOSE(ArtifactsInput!$N$22+1,10,12,14,16,18,20)*((0*(((0.15*B2932*5))^0/1)+1*(((0.15*B2932*5))^1/1)+2*(((0.15*B2932*5))^2/2)+3*(((0.15*B2932*5))^3/6)+4*(((0.15*B2932*5))^4/24)+5*(((0.15*B2932*5))^5/120))/((((0.15*B2932*5))^0/1)+(((0.15*B2932*5))^1/1)+(((0.15*B2932*5))^2/2)+(((0.15*B2932*5))^3/6)+(((0.15*B2932*5))^4/24)+(((0.15*B2932*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08">
      <c r="A2908">
        <f>Skills!A7</f>
        <v/>
      </c>
      <c r="B2908">
        <f>Skills!B7</f>
        <v/>
      </c>
      <c r="C2908">
        <f>Inputs!$B$3&gt;=40</f>
        <v/>
      </c>
      <c r="D2908">
        <f>IF(Skills!C7=1,60+Inputs!$B$26+Inputs!$B$30,IF(Skills!C7=2,90+Inputs!$B$27+Inputs!$B$30,IF(Skills!C7=3,120+Inputs!$B$28+Inputs!$B$30,MAX(0,(Inputs!$B$3-100)*3)+Inputs!$B$29+Inputs!$B$30)))</f>
        <v/>
      </c>
      <c r="E2908">
        <f>INDEX(FactorTable!$B$2:$Y$301, MATCH(ROUND(MIN(300,MAX(1,D2908)),0), FactorTable!$A$2:$A$301,0), Skills!M7+1)</f>
        <v/>
      </c>
      <c r="F2908">
        <f>IF(Skills!N7=TRUE,(Skills!L7/10)*(E2908/1000),Skills!L7/10)+Skills!O7</f>
        <v/>
      </c>
      <c r="G2908">
        <f>Skills!G7*IF(Skills!H7&gt;0,INT(IF(Inputs!$B$39="pvp",MIN(Skills!I7,15),Skills!I7)/Skills!H7+0.000000001),1)</f>
        <v/>
      </c>
      <c r="H2908">
        <f>1-(1-Skills!J7/100)^Skills!K7</f>
        <v/>
      </c>
      <c r="I2908" t="inlineStr">
        <is>
          <t>1</t>
        </is>
      </c>
      <c r="J2908">
        <f>((Inputs!$B$6*(1+Inputs!$B$7/100))+(((Inputs!$B$13*(1+Inputs!$B$14/100))-(Inputs!$B$13*(1+Inputs!$B$14/100)))+0.25*(Inputs!$B$15-Inputs!$B$15))*(1+Inputs!$B$7/100))*(F2908/100)</f>
        <v/>
      </c>
      <c r="K2908">
        <f>J2908*(1+(((Inputs!$B$13+IF(Inputs!$B$3&gt;=38,(10*INDEX(FactorTable!$B$2:$Y$301, MATCH(ROUND(MIN(300,MAX(1,Inputs!$B$3)),0), FactorTable!$A$2:$A$301,0), 23)/1000)/100*(Inputs!$B$8*(1+Inputs!$B$9/100)),0))*(1+Inputs!$B$14/100))*0.01+Inputs!$B$15*0.0025)/100)*(1+Inputs!$B$16/100)*(1+Inputs!$B$17/100)*(5000/(6000+Inputs!$B$43*(1-(Inputs!$B$20+0)/100)))*(1+(Inputs!$B$25+((C2926=TRUE)*(F2926-Calc!F25))+((C2927=TRUE)*(F2927-Calc!F26))+B2936)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2912=TRUE,F2912,0)/100)*(1+(IF(Skills!A7="DARK_IMPALE",Inputs!$B$18+0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gt;=100),MIN(100,((Inputs!$B$10+0+B2930+(ArtifactsInput!$M$24-ArtifactsInput!$M$24)*CHOOSE(ArtifactsInput!$N$24+1,10,12,14,16,18,20)+IF(ArtifactsInput!$M$10,CHOOSE(ArtifactsInput!$N$10+1,15,18,21,24,27,30)*(IF(Inputs!$B$39="pvp",MIN(15,15)/15,IF(AND(Inputs!$B$39&lt;&gt;"pvp",Inputs!$B$44&gt;0),MIN(15,Inputs!$B$44)/(Inputs!$B$44),0))),0)))-100),0))*CHOOSE(ArtifactsInput!$N$42+1,0.6,0.72,0.84,0.96,1.08,1.2))),Inputs!$B$19+((C2924=TRUE)*(F2924-Calc!F23))+(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gt;=100),CHOOSE(ArtifactsInput!$N$42+1,40,48,56,64,72,80),0))))/100)*((1+(((C2914=TRUE)*F2914*IF(AND(Inputs!$B$39&lt;&gt;"pvp",Inputs!$B$44&gt;0),(((R2914-1)*MIN((Skills!T13*(1+Inputs!$B$35/100)),(1/Q2914))+MIN((Skills!T13*(1+Inputs!$B$35/100)),MAX(0,Inputs!$B$44-((R2914-1)*(1/Q2914)))))/Inputs!$B$44),IF(Inputs!$B$39="pvp",MIN((Skills!T13*(1+Inputs!$B$35/100)),15)/15,MIN(1,(Skills!T13*(1+Inputs!$B$35/100))/(1/Q2914)))))+((C2915=TRUE)*F2915*IF(AND(Inputs!$B$39&lt;&gt;"pvp",Inputs!$B$44&gt;0),(((R2915-1)*MIN((Skills!T14*(1+Inputs!$B$35/100)),(1/Q2915))+MIN((Skills!T14*(1+Inputs!$B$35/100)),MAX(0,Inputs!$B$44-((R2915-1)*(1/Q2915)))))/Inputs!$B$44),IF(Inputs!$B$39="pvp",MIN((Skills!T14*(1+Inputs!$B$35/100)),15)/15,MIN(1,(Skills!T14*(1+Inputs!$B$35/100))/(1/Q2915)))))+((C2916=TRUE)*F2916*IF(AND(Inputs!$B$39&lt;&gt;"pvp",Inputs!$B$44&gt;0),(((R2916-1)*MIN((Skills!T15*(1+Inputs!$B$35/100)),(1/Q2916))+MIN((Skills!T15*(1+Inputs!$B$35/100)),MAX(0,Inputs!$B$44-((R2916-1)*(1/Q2916)))))/Inputs!$B$44),IF(Inputs!$B$39="pvp",MIN((Skills!T15*(1+Inputs!$B$35/100)),15)/15,MIN(1,(Skills!T15*(1+Inputs!$B$35/100))/(1/Q2916)))))+((C2917=TRUE)*F2917*IF(AND(Inputs!$B$39&lt;&gt;"pvp",Inputs!$B$44&gt;0),(((R2917-1)*MIN((Skills!T16*(1+Inputs!$B$35/100)),(1/Q2917))+MIN((Skills!T16*(1+Inputs!$B$35/100)),MAX(0,Inputs!$B$44-((R2917-1)*(1/Q2917)))))/Inputs!$B$44),IF(Inputs!$B$39="pvp",MIN((Skills!T16*(1+Inputs!$B$35/100)),15)/15,MIN(1,(Skills!T16*(1+Inputs!$B$35/100))/(1/Q2917)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2908)</f>
        <v/>
      </c>
      <c r="L2908">
        <f>K2908*(MIN(Inputs!$B$23+((C2923=TRUE)*(F2923-Calc!F22)),(Inputs!$B$24+((C2925=TRUE)*(F2925-Calc!F24))+(IF(ArtifactsInput!$M$15,CHOOSE(ArtifactsInput!$N$15+1,25,30,35,40,45,50)/100*(Inputs!$B$12-Inputs!$B$12),0))))/100+(Inputs!$B$24+((C2925=TRUE)*(F2925-Calc!F24))+(IF(ArtifactsInput!$M$15,CHOOSE(ArtifactsInput!$N$15+1,25,30,35,40,45,50)/100*(Inputs!$B$12-Inputs!$B$12),0)))/100)/2</f>
        <v/>
      </c>
      <c r="M2908">
        <f>L2908*(1+(Inputs!$B$11+0+B2935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908">
        <f>L2908*(1-MIN((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2908*(MIN((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08">
        <f>(1-Summary!$B$11)*T2908+Summary!$B$11*V2908</f>
        <v/>
      </c>
      <c r="P2908">
        <f>IF(B2940=0,0,O2908/B2940)</f>
        <v/>
      </c>
      <c r="Q2908">
        <f>IFERROR(1/IF(Inputs!$B$39="pvp",15,MAX(0.1,Skills!D7-IF(TRUE=TRUE,2.0,0))),0)</f>
        <v/>
      </c>
      <c r="R2908">
        <f>IF(AND(Inputs!$B$39&lt;&gt;"pvp",Inputs!$B$44&gt;0),IF(MAX(0,Inputs!$B$44-B2937)&lt;=0,0,(INT(MAX(0,Inputs!$B$44-B2937)/IF(Inputs!$B$39="pvp",15,MAX(0.1,Skills!D7-IF(TRUE=TRUE,2.0,0))))+1)),0)</f>
        <v/>
      </c>
      <c r="S2908">
        <f>IFERROR(O2908/N2908,0)</f>
        <v/>
      </c>
      <c r="T2908">
        <f>IF(C2908,(H2908*N2908*IF(AND(Inputs!$B$39&lt;&gt;"pvp",Inputs!$B$44&gt;0),((Skills!G7*((R2908-1)*IF(Skills!H7&gt;0,INT(Skills!I7/Skills!H7+0.000000001),1)+IF(Skills!H7&gt;0,INT(MIN(Skills!I7,MAX(0,MAX(0,Inputs!$B$44-B2937)-((R2908-1)*IF(Inputs!$B$39="pvp",15,MAX(0.1,Skills!D7-IF(TRUE=TRUE,2.0,0))))))/Skills!H7+0.000000001),1)))/Inputs!$B$44),G2908*Q2908))*IF(Inputs!$B$39="pvp",1,1+(Inputs!$B$21+0+Skills!P7+((C2918=TRUE)*F2918*IF(AND(Inputs!$B$39&lt;&gt;"pvp",Inputs!$B$44&gt;0),(((R2918-1)*MIN((Skills!T17*(1+Inputs!$B$35/100)),(1/Q2918))+MIN((Skills!T17*(1+Inputs!$B$35/100)),MAX(0,Inputs!$B$44-((R2918-1)*(1/Q2918)))))/Inputs!$B$44),IF(Inputs!$B$39="pvp",MIN((Skills!T17*(1+Inputs!$B$35/100)),15)/15,MIN(1,(Skills!T17*(1+Inputs!$B$35/100))/(1/Q2918)))))+((C2906=TRUE)*IF(Inputs!$B$3&gt;=126,10*MIN(1,15*Q2906),0))+((C2915=TRUE)*IF(Inputs!$B$39="pvp",20,(1-Summary!$B$11)*(20)+Summary!$B$11*(0))*IF(AND(Inputs!$B$39&lt;&gt;"pvp",Inputs!$B$44&gt;0),(((R2915-1)*MIN((Skills!T14*(1+Inputs!$B$35/100)),(1/Q2915))+MIN((Skills!T14*(1+Inputs!$B$35/100)),MAX(0,Inputs!$B$44-((R2915-1)*(1/Q2915)))))/Inputs!$B$44),IF(Inputs!$B$39="pvp",MIN((Skills!T14*(1+Inputs!$B$35/100)),15)/15,MIN(1,(Skills!T14*(1+Inputs!$B$35/100))/(1/Q2915)))))+((C2914=TRUE)*IF(Inputs!$B$3&gt;=82,IF(Inputs!$B$39="pvp",20,(1-Summary!$B$11)*(20)+Summary!$B$11*(0)),0)*IF(AND(Inputs!$B$39&lt;&gt;"pvp",Inputs!$B$44&gt;0),(((R2914-1)*MIN((Skills!T13*(1+Inputs!$B$35/100)),(1/Q2914))+MIN((Skills!T13*(1+Inputs!$B$35/100)),MAX(0,Inputs!$B$44-((R2914-1)*(1/Q2914)))))/Inputs!$B$44),IF(Inputs!$B$39="pvp",MIN((Skills!T13*(1+Inputs!$B$35/100)),15)/15,MIN(1,(Skills!T13*(1+Inputs!$B$35/100))/(1/Q2914)))))+(IF(AND(ArtifactsInput!$M$35,Inputs!$B$4&lt;&gt;"Chapter Hunt"),CHOOSE(ArtifactsInput!$N$35+1,15,18,21,24,27,30)*(1-EXP(-(0.2*B2932)*5)),0)+IF(AND(ArtifactsInput!$M$22,Inputs!$B$4&lt;&gt;"Chapter Hunt"),CHOOSE(ArtifactsInput!$N$22+1,10,12,14,16,18,20)*((0*(((0.15*B2932*5))^0/1)+1*(((0.15*B2932*5))^1/1)+2*(((0.15*B2932*5))^2/2)+3*(((0.15*B2932*5))^3/6)+4*(((0.15*B2932*5))^4/24)+5*(((0.15*B2932*5))^5/120))/((((0.15*B2932*5))^0/1)+(((0.15*B2932*5))^1/1)+(((0.15*B2932*5))^2/2)+(((0.15*B2932*5))^3/6)+(((0.15*B2932*5))^4/24)+(((0.15*B2932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2908*(1-MIN(100,(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2908*(MIN(100,(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2908*(1-MIN(100,(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2908*(MIN(100,(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08">
        <f>IF(C2908,(H2908*N2908*IF(AND(Inputs!$B$39&lt;&gt;"pvp",Inputs!$B$44&gt;0),((Skills!G7*((R2908-1)*IF(Skills!H7&gt;0,INT(Skills!I7/Skills!H7+0.000000001),1)+IF(Skills!H7&gt;0,INT(MIN(Skills!I7,MAX(0,MAX(0,Inputs!$B$44-B2937)-((R2908-1)*IF(Inputs!$B$39="pvp",15,MAX(0.1,Skills!D7-IF(TRUE=TRUE,2.0,0))))))/Skills!H7+0.000000001),1)))/Inputs!$B$44),G2908*Q2908))*IF(Inputs!$B$39="pvp",1,(1+(Inputs!$B$22+Skills!Q7+((C2918=TRUE)*F2918*IF(AND(Inputs!$B$39&lt;&gt;"pvp",Inputs!$B$44&gt;0),(((R2918-1)*MIN((Skills!T17*(1+Inputs!$B$35/100)),(1/Q2918))+MIN((Skills!T17*(1+Inputs!$B$35/100)),MAX(0,Inputs!$B$44-((R2918-1)*(1/Q2918)))))/Inputs!$B$44),IF(Inputs!$B$39="pvp",MIN((Skills!T17*(1+Inputs!$B$35/100)),15)/15,MIN(1,(Skills!T17*(1+Inputs!$B$35/100))/(1/Q2918)))))+((C2906=TRUE)*IF(Inputs!$B$3&gt;=126,10*MIN(1,15*Q2906),0))+((C2915=TRUE)*IF(Inputs!$B$39="pvp",20,(1-Summary!$B$11)*(20)+Summary!$B$11*(0))*IF(AND(Inputs!$B$39&lt;&gt;"pvp",Inputs!$B$44&gt;0),(((R2915-1)*MIN((Skills!T14*(1+Inputs!$B$35/100)),(1/Q2915))+MIN((Skills!T14*(1+Inputs!$B$35/100)),MAX(0,Inputs!$B$44-((R2915-1)*(1/Q2915)))))/Inputs!$B$44),IF(Inputs!$B$39="pvp",MIN((Skills!T14*(1+Inputs!$B$35/100)),15)/15,MIN(1,(Skills!T14*(1+Inputs!$B$35/100))/(1/Q2915)))))+((C2914=TRUE)*IF(Inputs!$B$3&gt;=82,IF(Inputs!$B$39="pvp",20,(1-Summary!$B$11)*(20)+Summary!$B$11*(0)),0)*IF(AND(Inputs!$B$39&lt;&gt;"pvp",Inputs!$B$44&gt;0),(((R2914-1)*MIN((Skills!T13*(1+Inputs!$B$35/100)),(1/Q2914))+MIN((Skills!T13*(1+Inputs!$B$35/100)),MAX(0,Inputs!$B$44-((R2914-1)*(1/Q2914)))))/Inputs!$B$44),IF(Inputs!$B$39="pvp",MIN((Skills!T13*(1+Inputs!$B$35/100)),15)/15,MIN(1,(Skills!T13*(1+Inputs!$B$35/100))/(1/Q2914)))))+(IF(AND(ArtifactsInput!$M$35,Inputs!$B$4&lt;&gt;"Chapter Hunt"),CHOOSE(ArtifactsInput!$N$35+1,15,18,21,24,27,30)*(1-EXP(-(0.2*B2932)*5)),0)+IF(AND(ArtifactsInput!$M$22,Inputs!$B$4&lt;&gt;"Chapter Hunt"),CHOOSE(ArtifactsInput!$N$22+1,10,12,14,16,18,20)*((0*(((0.15*B2932*5))^0/1)+1*(((0.15*B2932*5))^1/1)+2*(((0.15*B2932*5))^2/2)+3*(((0.15*B2932*5))^3/6)+4*(((0.15*B2932*5))^4/24)+5*(((0.15*B2932*5))^5/120))/((((0.15*B2932*5))^0/1)+(((0.15*B2932*5))^1/1)+(((0.15*B2932*5))^2/2)+(((0.15*B2932*5))^3/6)+(((0.15*B2932*5))^4/24)+(((0.15*B2932*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09">
      <c r="A2909">
        <f>Skills!A8</f>
        <v/>
      </c>
      <c r="B2909">
        <f>Skills!B8</f>
        <v/>
      </c>
      <c r="C2909">
        <f>Inputs!$B$3&gt;=75</f>
        <v/>
      </c>
      <c r="D2909">
        <f>IF(Skills!C8=1,60+Inputs!$B$26+Inputs!$B$30,IF(Skills!C8=2,90+Inputs!$B$27+Inputs!$B$30,IF(Skills!C8=3,120+Inputs!$B$28+Inputs!$B$30,MAX(0,(Inputs!$B$3-100)*3)+Inputs!$B$29+Inputs!$B$30)))</f>
        <v/>
      </c>
      <c r="E2909">
        <f>INDEX(FactorTable!$B$2:$Y$301, MATCH(ROUND(MIN(300,MAX(1,D2909)),0), FactorTable!$A$2:$A$301,0), Skills!M8+1)</f>
        <v/>
      </c>
      <c r="F2909">
        <f>IF(Skills!N8=TRUE,(Skills!L8/10)*(E2909/1000),Skills!L8/10)+Skills!O8</f>
        <v/>
      </c>
      <c r="G2909" t="inlineStr"/>
      <c r="H2909" t="inlineStr"/>
      <c r="I2909" t="inlineStr">
        <is>
          <t>1</t>
        </is>
      </c>
      <c r="J2909" t="inlineStr"/>
      <c r="K2909" t="inlineStr"/>
      <c r="L2909" t="inlineStr"/>
      <c r="M2909" t="inlineStr"/>
      <c r="N2909" t="inlineStr"/>
      <c r="O2909" t="inlineStr"/>
      <c r="P2909" t="inlineStr"/>
      <c r="Q2909" t="inlineStr"/>
      <c r="R2909" t="inlineStr"/>
      <c r="S2909" t="inlineStr"/>
    </row>
    <row r="2910">
      <c r="A2910">
        <f>Skills!A9</f>
        <v/>
      </c>
      <c r="B2910">
        <f>Skills!B9</f>
        <v/>
      </c>
      <c r="C2910">
        <f>Inputs!$B$3&gt;=60</f>
        <v/>
      </c>
      <c r="D2910">
        <f>IF(Skills!C9=1,60+Inputs!$B$26+Inputs!$B$30,IF(Skills!C9=2,90+Inputs!$B$27+Inputs!$B$30,IF(Skills!C9=3,120+Inputs!$B$28+Inputs!$B$30,MAX(0,(Inputs!$B$3-100)*3)+Inputs!$B$29+Inputs!$B$30)))</f>
        <v/>
      </c>
      <c r="E2910">
        <f>INDEX(FactorTable!$B$2:$Y$301, MATCH(ROUND(MIN(300,MAX(1,D2910)),0), FactorTable!$A$2:$A$301,0), Skills!M9+1)</f>
        <v/>
      </c>
      <c r="F2910">
        <f>IF(Skills!N9=TRUE,(Skills!L9/10)*(E2910/1000),Skills!L9/10)+Skills!O9</f>
        <v/>
      </c>
      <c r="G2910">
        <f>Skills!G9*IF(Skills!H9&gt;0,INT(IF(Inputs!$B$39="pvp",MIN(Skills!I9,15),Skills!I9)/Skills!H9+0.000000001),1)</f>
        <v/>
      </c>
      <c r="H2910">
        <f>1-(1-Skills!J9/100)^Skills!K9</f>
        <v/>
      </c>
      <c r="I2910" t="inlineStr">
        <is>
          <t>1</t>
        </is>
      </c>
      <c r="J2910">
        <f>((Inputs!$B$6*(1+Inputs!$B$7/100))+(((Inputs!$B$13*(1+Inputs!$B$14/100))-(Inputs!$B$13*(1+Inputs!$B$14/100)))+0.25*(Inputs!$B$15-Inputs!$B$15))*(1+Inputs!$B$7/100))*(F2910/100)</f>
        <v/>
      </c>
      <c r="K2910">
        <f>J2910*(1+(((Inputs!$B$13+IF(Inputs!$B$3&gt;=38,(10*INDEX(FactorTable!$B$2:$Y$301, MATCH(ROUND(MIN(300,MAX(1,Inputs!$B$3)),0), FactorTable!$A$2:$A$301,0), 23)/1000)/100*(Inputs!$B$8*(1+Inputs!$B$9/100)),0))*(1+Inputs!$B$14/100))*0.01+Inputs!$B$15*0.0025)/100)*(1+Inputs!$B$16/100)*(1+Inputs!$B$17/100)*(5000/(6000+Inputs!$B$43*(1-(Inputs!$B$20+0)/100)))*(1+(Inputs!$B$25+((C2926=TRUE)*(F2926-Calc!F25))+((C2927=TRUE)*(F2927-Calc!F26))+B2936)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2912=TRUE,F2912,0)/100)*(1+(IF(Skills!A9="DARK_IMPALE",Inputs!$B$18+0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gt;=100),MIN(100,((Inputs!$B$10+0+B2930+(ArtifactsInput!$M$24-ArtifactsInput!$M$24)*CHOOSE(ArtifactsInput!$N$24+1,10,12,14,16,18,20)+IF(ArtifactsInput!$M$10,CHOOSE(ArtifactsInput!$N$10+1,15,18,21,24,27,30)*(IF(Inputs!$B$39="pvp",MIN(15,15)/15,IF(AND(Inputs!$B$39&lt;&gt;"pvp",Inputs!$B$44&gt;0),MIN(15,Inputs!$B$44)/(Inputs!$B$44),0))),0)))-100),0))*CHOOSE(ArtifactsInput!$N$42+1,0.6,0.72,0.84,0.96,1.08,1.2))),Inputs!$B$19+((C2924=TRUE)*(F2924-Calc!F23))+(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gt;=100),CHOOSE(ArtifactsInput!$N$42+1,40,48,56,64,72,80),0))))/100)*((1+(((C2914=TRUE)*F2914*IF(AND(Inputs!$B$39&lt;&gt;"pvp",Inputs!$B$44&gt;0),(((R2914-1)*MIN((Skills!T13*(1+Inputs!$B$35/100)),(1/Q2914))+MIN((Skills!T13*(1+Inputs!$B$35/100)),MAX(0,Inputs!$B$44-((R2914-1)*(1/Q2914)))))/Inputs!$B$44),IF(Inputs!$B$39="pvp",MIN((Skills!T13*(1+Inputs!$B$35/100)),15)/15,MIN(1,(Skills!T13*(1+Inputs!$B$35/100))/(1/Q2914)))))+((C2915=TRUE)*F2915*IF(AND(Inputs!$B$39&lt;&gt;"pvp",Inputs!$B$44&gt;0),(((R2915-1)*MIN((Skills!T14*(1+Inputs!$B$35/100)),(1/Q2915))+MIN((Skills!T14*(1+Inputs!$B$35/100)),MAX(0,Inputs!$B$44-((R2915-1)*(1/Q2915)))))/Inputs!$B$44),IF(Inputs!$B$39="pvp",MIN((Skills!T14*(1+Inputs!$B$35/100)),15)/15,MIN(1,(Skills!T14*(1+Inputs!$B$35/100))/(1/Q2915)))))+((C2916=TRUE)*F2916*IF(AND(Inputs!$B$39&lt;&gt;"pvp",Inputs!$B$44&gt;0),(((R2916-1)*MIN((Skills!T15*(1+Inputs!$B$35/100)),(1/Q2916))+MIN((Skills!T15*(1+Inputs!$B$35/100)),MAX(0,Inputs!$B$44-((R2916-1)*(1/Q2916)))))/Inputs!$B$44),IF(Inputs!$B$39="pvp",MIN((Skills!T15*(1+Inputs!$B$35/100)),15)/15,MIN(1,(Skills!T15*(1+Inputs!$B$35/100))/(1/Q2916)))))+((C2917=TRUE)*F2917*IF(AND(Inputs!$B$39&lt;&gt;"pvp",Inputs!$B$44&gt;0),(((R2917-1)*MIN((Skills!T16*(1+Inputs!$B$35/100)),(1/Q2917))+MIN((Skills!T16*(1+Inputs!$B$35/100)),MAX(0,Inputs!$B$44-((R2917-1)*(1/Q2917)))))/Inputs!$B$44),IF(Inputs!$B$39="pvp",MIN((Skills!T16*(1+Inputs!$B$35/100)),15)/15,MIN(1,(Skills!T16*(1+Inputs!$B$35/100))/(1/Q2917)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2910)</f>
        <v/>
      </c>
      <c r="L2910">
        <f>K2910*(MIN(Inputs!$B$23+((C2923=TRUE)*(F2923-Calc!F22)),(Inputs!$B$24+((C2925=TRUE)*(F2925-Calc!F24))+(IF(ArtifactsInput!$M$15,CHOOSE(ArtifactsInput!$N$15+1,25,30,35,40,45,50)/100*(Inputs!$B$12-Inputs!$B$12),0))))/100+(Inputs!$B$24+((C2925=TRUE)*(F2925-Calc!F24))+(IF(ArtifactsInput!$M$15,CHOOSE(ArtifactsInput!$N$15+1,25,30,35,40,45,50)/100*(Inputs!$B$12-Inputs!$B$12),0)))/100)/2</f>
        <v/>
      </c>
      <c r="M2910">
        <f>L2910*(1+(Inputs!$B$11+0+B2935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910">
        <f>L2910*(1-MIN((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2910*(MIN((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10">
        <f>(1-Summary!$B$11)*T2910+Summary!$B$11*V2910</f>
        <v/>
      </c>
      <c r="P2910">
        <f>IF(B2940=0,0,O2910/B2940)</f>
        <v/>
      </c>
      <c r="Q2910">
        <f>IFERROR(1/IF(Inputs!$B$39="pvp",15,MAX(0.1,Skills!D9-IF(TRUE=TRUE,2.0,0))),0)</f>
        <v/>
      </c>
      <c r="R2910">
        <f>IF(AND(Inputs!$B$39&lt;&gt;"pvp",Inputs!$B$44&gt;0),IF(MAX(0,Inputs!$B$44-B2937)&lt;=0,0,(INT(MAX(0,Inputs!$B$44-B2937)/IF(Inputs!$B$39="pvp",15,MAX(0.1,Skills!D9-IF(TRUE=TRUE,2.0,0))))+1)),0)</f>
        <v/>
      </c>
      <c r="S2910">
        <f>IFERROR(O2910/N2910,0)</f>
        <v/>
      </c>
      <c r="T2910">
        <f>IF(C2910,(H2910*N2910*IF(AND(Inputs!$B$39&lt;&gt;"pvp",Inputs!$B$44&gt;0),((Skills!G9*((R2910-1)*IF(Skills!H9&gt;0,INT(Skills!I9/Skills!H9+0.000000001),1)+IF(Skills!H9&gt;0,INT(MIN(Skills!I9,MAX(0,MAX(0,Inputs!$B$44-B2937)-((R2910-1)*IF(Inputs!$B$39="pvp",15,MAX(0.1,Skills!D9-IF(TRUE=TRUE,2.0,0))))))/Skills!H9+0.000000001),1)))/Inputs!$B$44),G2910*Q2910))*IF(Inputs!$B$39="pvp",1,1+(Inputs!$B$21+0+Skills!P9+((C2918=TRUE)*F2918*IF(AND(Inputs!$B$39&lt;&gt;"pvp",Inputs!$B$44&gt;0),(((R2918-1)*MIN((Skills!T17*(1+Inputs!$B$35/100)),(1/Q2918))+MIN((Skills!T17*(1+Inputs!$B$35/100)),MAX(0,Inputs!$B$44-((R2918-1)*(1/Q2918)))))/Inputs!$B$44),IF(Inputs!$B$39="pvp",MIN((Skills!T17*(1+Inputs!$B$35/100)),15)/15,MIN(1,(Skills!T17*(1+Inputs!$B$35/100))/(1/Q2918)))))+((C2906=TRUE)*IF(Inputs!$B$3&gt;=126,10*MIN(1,15*Q2906),0))+((C2915=TRUE)*IF(Inputs!$B$39="pvp",20,(1-Summary!$B$11)*(20)+Summary!$B$11*(0))*IF(AND(Inputs!$B$39&lt;&gt;"pvp",Inputs!$B$44&gt;0),(((R2915-1)*MIN((Skills!T14*(1+Inputs!$B$35/100)),(1/Q2915))+MIN((Skills!T14*(1+Inputs!$B$35/100)),MAX(0,Inputs!$B$44-((R2915-1)*(1/Q2915)))))/Inputs!$B$44),IF(Inputs!$B$39="pvp",MIN((Skills!T14*(1+Inputs!$B$35/100)),15)/15,MIN(1,(Skills!T14*(1+Inputs!$B$35/100))/(1/Q2915)))))+((C2914=TRUE)*IF(Inputs!$B$3&gt;=82,IF(Inputs!$B$39="pvp",20,(1-Summary!$B$11)*(20)+Summary!$B$11*(0)),0)*IF(AND(Inputs!$B$39&lt;&gt;"pvp",Inputs!$B$44&gt;0),(((R2914-1)*MIN((Skills!T13*(1+Inputs!$B$35/100)),(1/Q2914))+MIN((Skills!T13*(1+Inputs!$B$35/100)),MAX(0,Inputs!$B$44-((R2914-1)*(1/Q2914)))))/Inputs!$B$44),IF(Inputs!$B$39="pvp",MIN((Skills!T13*(1+Inputs!$B$35/100)),15)/15,MIN(1,(Skills!T13*(1+Inputs!$B$35/100))/(1/Q2914)))))+(IF(AND(ArtifactsInput!$M$35,Inputs!$B$4&lt;&gt;"Chapter Hunt"),CHOOSE(ArtifactsInput!$N$35+1,15,18,21,24,27,30)*(1-EXP(-(0.2*B2932)*5)),0)+IF(AND(ArtifactsInput!$M$22,Inputs!$B$4&lt;&gt;"Chapter Hunt"),CHOOSE(ArtifactsInput!$N$22+1,10,12,14,16,18,20)*((0*(((0.15*B2932*5))^0/1)+1*(((0.15*B2932*5))^1/1)+2*(((0.15*B2932*5))^2/2)+3*(((0.15*B2932*5))^3/6)+4*(((0.15*B2932*5))^4/24)+5*(((0.15*B2932*5))^5/120))/((((0.15*B2932*5))^0/1)+(((0.15*B2932*5))^1/1)+(((0.15*B2932*5))^2/2)+(((0.15*B2932*5))^3/6)+(((0.15*B2932*5))^4/24)+(((0.15*B2932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2910*(1-MIN(100,(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2910*(MIN(100,(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2910*(1-MIN(100,(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2910*(MIN(100,(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10">
        <f>IF(C2910,(H2910*N2910*IF(AND(Inputs!$B$39&lt;&gt;"pvp",Inputs!$B$44&gt;0),((Skills!G9*((R2910-1)*IF(Skills!H9&gt;0,INT(Skills!I9/Skills!H9+0.000000001),1)+IF(Skills!H9&gt;0,INT(MIN(Skills!I9,MAX(0,MAX(0,Inputs!$B$44-B2937)-((R2910-1)*IF(Inputs!$B$39="pvp",15,MAX(0.1,Skills!D9-IF(TRUE=TRUE,2.0,0))))))/Skills!H9+0.000000001),1)))/Inputs!$B$44),G2910*Q2910))*IF(Inputs!$B$39="pvp",1,(1+(Inputs!$B$22+Skills!Q9+((C2918=TRUE)*F2918*IF(AND(Inputs!$B$39&lt;&gt;"pvp",Inputs!$B$44&gt;0),(((R2918-1)*MIN((Skills!T17*(1+Inputs!$B$35/100)),(1/Q2918))+MIN((Skills!T17*(1+Inputs!$B$35/100)),MAX(0,Inputs!$B$44-((R2918-1)*(1/Q2918)))))/Inputs!$B$44),IF(Inputs!$B$39="pvp",MIN((Skills!T17*(1+Inputs!$B$35/100)),15)/15,MIN(1,(Skills!T17*(1+Inputs!$B$35/100))/(1/Q2918)))))+((C2906=TRUE)*IF(Inputs!$B$3&gt;=126,10*MIN(1,15*Q2906),0))+((C2915=TRUE)*IF(Inputs!$B$39="pvp",20,(1-Summary!$B$11)*(20)+Summary!$B$11*(0))*IF(AND(Inputs!$B$39&lt;&gt;"pvp",Inputs!$B$44&gt;0),(((R2915-1)*MIN((Skills!T14*(1+Inputs!$B$35/100)),(1/Q2915))+MIN((Skills!T14*(1+Inputs!$B$35/100)),MAX(0,Inputs!$B$44-((R2915-1)*(1/Q2915)))))/Inputs!$B$44),IF(Inputs!$B$39="pvp",MIN((Skills!T14*(1+Inputs!$B$35/100)),15)/15,MIN(1,(Skills!T14*(1+Inputs!$B$35/100))/(1/Q2915)))))+((C2914=TRUE)*IF(Inputs!$B$3&gt;=82,IF(Inputs!$B$39="pvp",20,(1-Summary!$B$11)*(20)+Summary!$B$11*(0)),0)*IF(AND(Inputs!$B$39&lt;&gt;"pvp",Inputs!$B$44&gt;0),(((R2914-1)*MIN((Skills!T13*(1+Inputs!$B$35/100)),(1/Q2914))+MIN((Skills!T13*(1+Inputs!$B$35/100)),MAX(0,Inputs!$B$44-((R2914-1)*(1/Q2914)))))/Inputs!$B$44),IF(Inputs!$B$39="pvp",MIN((Skills!T13*(1+Inputs!$B$35/100)),15)/15,MIN(1,(Skills!T13*(1+Inputs!$B$35/100))/(1/Q2914)))))+(IF(AND(ArtifactsInput!$M$35,Inputs!$B$4&lt;&gt;"Chapter Hunt"),CHOOSE(ArtifactsInput!$N$35+1,15,18,21,24,27,30)*(1-EXP(-(0.2*B2932)*5)),0)+IF(AND(ArtifactsInput!$M$22,Inputs!$B$4&lt;&gt;"Chapter Hunt"),CHOOSE(ArtifactsInput!$N$22+1,10,12,14,16,18,20)*((0*(((0.15*B2932*5))^0/1)+1*(((0.15*B2932*5))^1/1)+2*(((0.15*B2932*5))^2/2)+3*(((0.15*B2932*5))^3/6)+4*(((0.15*B2932*5))^4/24)+5*(((0.15*B2932*5))^5/120))/((((0.15*B2932*5))^0/1)+(((0.15*B2932*5))^1/1)+(((0.15*B2932*5))^2/2)+(((0.15*B2932*5))^3/6)+(((0.15*B2932*5))^4/24)+(((0.15*B2932*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11">
      <c r="A2911">
        <f>Skills!A10</f>
        <v/>
      </c>
      <c r="B2911">
        <f>Skills!B10</f>
        <v/>
      </c>
      <c r="C2911">
        <f>Inputs!$B$3&gt;=110</f>
        <v/>
      </c>
      <c r="D2911">
        <f>IF(Skills!C10=1,60+Inputs!$B$26+Inputs!$B$30,IF(Skills!C10=2,90+Inputs!$B$27+Inputs!$B$30,IF(Skills!C10=3,120+Inputs!$B$28+Inputs!$B$30,MAX(0,(Inputs!$B$3-100)*3)+Inputs!$B$29+Inputs!$B$30)))</f>
        <v/>
      </c>
      <c r="E2911">
        <f>INDEX(FactorTable!$B$2:$Y$301, MATCH(ROUND(MIN(300,MAX(1,D2911)),0), FactorTable!$A$2:$A$301,0), Skills!M10+1)</f>
        <v/>
      </c>
      <c r="F2911">
        <f>IF(Skills!N10=TRUE,(Skills!L10/10)*(E2911/1000),Skills!L10/10)+Skills!O10</f>
        <v/>
      </c>
      <c r="G2911">
        <f>Skills!G10*IF(Skills!H10&gt;0,INT(IF(Inputs!$B$39="pvp",MIN(Skills!I10,15),Skills!I10)/Skills!H10+0.000000001),1)</f>
        <v/>
      </c>
      <c r="H2911">
        <f>1-(1-Skills!J10/100)^Skills!K10</f>
        <v/>
      </c>
      <c r="I2911" t="inlineStr">
        <is>
          <t>1</t>
        </is>
      </c>
      <c r="J2911">
        <f>((Inputs!$B$6*(1+Inputs!$B$7/100))+(((Inputs!$B$13*(1+Inputs!$B$14/100))-(Inputs!$B$13*(1+Inputs!$B$14/100)))+0.25*(Inputs!$B$15-Inputs!$B$15))*(1+Inputs!$B$7/100))*(F2911/100)</f>
        <v/>
      </c>
      <c r="K2911">
        <f>J2911*(1+(((Inputs!$B$13+IF(Inputs!$B$3&gt;=38,(10*INDEX(FactorTable!$B$2:$Y$301, MATCH(ROUND(MIN(300,MAX(1,Inputs!$B$3)),0), FactorTable!$A$2:$A$301,0), 23)/1000)/100*(Inputs!$B$8*(1+Inputs!$B$9/100)),0))*(1+Inputs!$B$14/100))*0.01+Inputs!$B$15*0.0025)/100)*(1+Inputs!$B$16/100)*(1+Inputs!$B$17/100)*(5000/(6000+Inputs!$B$43*(1-(Inputs!$B$20+0)/100)))*(1+(Inputs!$B$25+((C2926=TRUE)*(F2926-Calc!F25))+((C2927=TRUE)*(F2927-Calc!F26))+B2936)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gt;=100),MIN(100,((Inputs!$B$10+0+B2930+(ArtifactsInput!$M$24-ArtifactsInput!$M$24)*CHOOSE(ArtifactsInput!$N$24+1,10,12,14,16,18,20)+IF(ArtifactsInput!$M$10,CHOOSE(ArtifactsInput!$N$10+1,15,18,21,24,27,30)*(IF(Inputs!$B$39="pvp",MIN(15,15)/15,IF(AND(Inputs!$B$39&lt;&gt;"pvp",Inputs!$B$44&gt;0),MIN(15,Inputs!$B$44)/(Inputs!$B$44),0))),0)))-100),0))*CHOOSE(ArtifactsInput!$N$42+1,0.6,0.72,0.84,0.96,1.08,1.2))),Inputs!$B$19+((C2924=TRUE)*(F2924-Calc!F23))+(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gt;=100),CHOOSE(ArtifactsInput!$N$42+1,40,48,56,64,72,80),0))))/100)*((1+(((C2914=TRUE)*F2914*IF(AND(Inputs!$B$39&lt;&gt;"pvp",Inputs!$B$44&gt;0),(((R2914-1)*MIN((Skills!T13*(1+Inputs!$B$35/100)),(1/Q2914))+MIN((Skills!T13*(1+Inputs!$B$35/100)),MAX(0,Inputs!$B$44-((R2914-1)*(1/Q2914)))))/Inputs!$B$44),IF(Inputs!$B$39="pvp",MIN((Skills!T13*(1+Inputs!$B$35/100)),15)/15,MIN(1,(Skills!T13*(1+Inputs!$B$35/100))/(1/Q2914)))))+((C2915=TRUE)*F2915*IF(AND(Inputs!$B$39&lt;&gt;"pvp",Inputs!$B$44&gt;0),(((R2915-1)*MIN((Skills!T14*(1+Inputs!$B$35/100)),(1/Q2915))+MIN((Skills!T14*(1+Inputs!$B$35/100)),MAX(0,Inputs!$B$44-((R2915-1)*(1/Q2915)))))/Inputs!$B$44),IF(Inputs!$B$39="pvp",MIN((Skills!T14*(1+Inputs!$B$35/100)),15)/15,MIN(1,(Skills!T14*(1+Inputs!$B$35/100))/(1/Q2915)))))+((C2916=TRUE)*F2916*IF(AND(Inputs!$B$39&lt;&gt;"pvp",Inputs!$B$44&gt;0),(((R2916-1)*MIN((Skills!T15*(1+Inputs!$B$35/100)),(1/Q2916))+MIN((Skills!T15*(1+Inputs!$B$35/100)),MAX(0,Inputs!$B$44-((R2916-1)*(1/Q2916)))))/Inputs!$B$44),IF(Inputs!$B$39="pvp",MIN((Skills!T15*(1+Inputs!$B$35/100)),15)/15,MIN(1,(Skills!T15*(1+Inputs!$B$35/100))/(1/Q2916)))))+((C2917=TRUE)*F2917*IF(AND(Inputs!$B$39&lt;&gt;"pvp",Inputs!$B$44&gt;0),(((R2917-1)*MIN((Skills!T16*(1+Inputs!$B$35/100)),(1/Q2917))+MIN((Skills!T16*(1+Inputs!$B$35/100)),MAX(0,Inputs!$B$44-((R2917-1)*(1/Q2917)))))/Inputs!$B$44),IF(Inputs!$B$39="pvp",MIN((Skills!T16*(1+Inputs!$B$35/100)),15)/15,MIN(1,(Skills!T16*(1+Inputs!$B$35/100))/(1/Q2917)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2911)</f>
        <v/>
      </c>
      <c r="L2911">
        <f>K2911*(MIN(Inputs!$B$23+((C2923=TRUE)*(F2923-Calc!F22)),(Inputs!$B$24+((C2925=TRUE)*(F2925-Calc!F24))+(IF(ArtifactsInput!$M$15,CHOOSE(ArtifactsInput!$N$15+1,25,30,35,40,45,50)/100*(Inputs!$B$12-Inputs!$B$12),0))))/100+(Inputs!$B$24+((C2925=TRUE)*(F2925-Calc!F24))+(IF(ArtifactsInput!$M$15,CHOOSE(ArtifactsInput!$N$15+1,25,30,35,40,45,50)/100*(Inputs!$B$12-Inputs!$B$12),0)))/100)/2</f>
        <v/>
      </c>
      <c r="M2911">
        <f>L2911*(1+(Inputs!$B$11+0+B2935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911">
        <f>L2911*(1-MIN((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2911*(MIN((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11">
        <f>(1-Summary!$B$11)*T2911+Summary!$B$11*V2911</f>
        <v/>
      </c>
      <c r="P2911">
        <f>IF(B2940=0,0,O2911/B2940)</f>
        <v/>
      </c>
      <c r="Q2911">
        <f>IFERROR(1/IF(Inputs!$B$39="pvp",15,MAX(0.1,Skills!D10-IF(TRUE=TRUE,2.0,0))),0)</f>
        <v/>
      </c>
      <c r="R2911">
        <f>IF(AND(Inputs!$B$39&lt;&gt;"pvp",Inputs!$B$44&gt;0),IF(MAX(0,Inputs!$B$44-B2937)&lt;=0,0,(INT(MAX(0,Inputs!$B$44-B2937)/IF(Inputs!$B$39="pvp",15,MAX(0.1,Skills!D10-IF(TRUE=TRUE,2.0,0))))+1)),0)</f>
        <v/>
      </c>
      <c r="S2911">
        <f>IFERROR(O2911/N2911,0)</f>
        <v/>
      </c>
      <c r="T2911">
        <f>IF(C2911,(H2911*N2911*IF(AND(Inputs!$B$39&lt;&gt;"pvp",Inputs!$B$44&gt;0),((Skills!G10*((R2911-1)*IF(Skills!H10&gt;0,INT(Skills!I10/Skills!H10+0.000000001),1)+IF(Skills!H10&gt;0,INT(MIN(Skills!I10,MAX(0,MAX(0,Inputs!$B$44-B2937)-((R2911-1)*IF(Inputs!$B$39="pvp",15,MAX(0.1,Skills!D10-IF(TRUE=TRUE,2.0,0))))))/Skills!H10+0.000000001),1)))/Inputs!$B$44),G2911*Q2911))*IF(Inputs!$B$39="pvp",1,1+(Inputs!$B$21+0+Skills!P10+((C2918=TRUE)*F2918*IF(AND(Inputs!$B$39&lt;&gt;"pvp",Inputs!$B$44&gt;0),(((R2918-1)*MIN((Skills!T17*(1+Inputs!$B$35/100)),(1/Q2918))+MIN((Skills!T17*(1+Inputs!$B$35/100)),MAX(0,Inputs!$B$44-((R2918-1)*(1/Q2918)))))/Inputs!$B$44),IF(Inputs!$B$39="pvp",MIN((Skills!T17*(1+Inputs!$B$35/100)),15)/15,MIN(1,(Skills!T17*(1+Inputs!$B$35/100))/(1/Q2918)))))+((C2906=TRUE)*IF(Inputs!$B$3&gt;=126,10*MIN(1,15*Q2906),0))+((C2915=TRUE)*IF(Inputs!$B$39="pvp",20,(1-Summary!$B$11)*(20)+Summary!$B$11*(0))*IF(AND(Inputs!$B$39&lt;&gt;"pvp",Inputs!$B$44&gt;0),(((R2915-1)*MIN((Skills!T14*(1+Inputs!$B$35/100)),(1/Q2915))+MIN((Skills!T14*(1+Inputs!$B$35/100)),MAX(0,Inputs!$B$44-((R2915-1)*(1/Q2915)))))/Inputs!$B$44),IF(Inputs!$B$39="pvp",MIN((Skills!T14*(1+Inputs!$B$35/100)),15)/15,MIN(1,(Skills!T14*(1+Inputs!$B$35/100))/(1/Q2915)))))+((C2914=TRUE)*IF(Inputs!$B$3&gt;=82,IF(Inputs!$B$39="pvp",20,(1-Summary!$B$11)*(20)+Summary!$B$11*(0)),0)*IF(AND(Inputs!$B$39&lt;&gt;"pvp",Inputs!$B$44&gt;0),(((R2914-1)*MIN((Skills!T13*(1+Inputs!$B$35/100)),(1/Q2914))+MIN((Skills!T13*(1+Inputs!$B$35/100)),MAX(0,Inputs!$B$44-((R2914-1)*(1/Q2914)))))/Inputs!$B$44),IF(Inputs!$B$39="pvp",MIN((Skills!T13*(1+Inputs!$B$35/100)),15)/15,MIN(1,(Skills!T13*(1+Inputs!$B$35/100))/(1/Q2914)))))+(IF(AND(ArtifactsInput!$M$35,Inputs!$B$4&lt;&gt;"Chapter Hunt"),CHOOSE(ArtifactsInput!$N$35+1,15,18,21,24,27,30)*(1-EXP(-(0.2*B2932)*5)),0)+IF(AND(ArtifactsInput!$M$22,Inputs!$B$4&lt;&gt;"Chapter Hunt"),CHOOSE(ArtifactsInput!$N$22+1,10,12,14,16,18,20)*((0*(((0.15*B2932*5))^0/1)+1*(((0.15*B2932*5))^1/1)+2*(((0.15*B2932*5))^2/2)+3*(((0.15*B2932*5))^3/6)+4*(((0.15*B2932*5))^4/24)+5*(((0.15*B2932*5))^5/120))/((((0.15*B2932*5))^0/1)+(((0.15*B2932*5))^1/1)+(((0.15*B2932*5))^2/2)+(((0.15*B2932*5))^3/6)+(((0.15*B2932*5))^4/24)+(((0.15*B2932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2911*(1-MIN(100,(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2911*(MIN(100,(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2911*(1-MIN(100,(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2911*(MIN(100,(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11">
        <f>IF(C2911,(H2911*N2911*IF(AND(Inputs!$B$39&lt;&gt;"pvp",Inputs!$B$44&gt;0),((Skills!G10*((R2911-1)*IF(Skills!H10&gt;0,INT(Skills!I10/Skills!H10+0.000000001),1)+IF(Skills!H10&gt;0,INT(MIN(Skills!I10,MAX(0,MAX(0,Inputs!$B$44-B2937)-((R2911-1)*IF(Inputs!$B$39="pvp",15,MAX(0.1,Skills!D10-IF(TRUE=TRUE,2.0,0))))))/Skills!H10+0.000000001),1)))/Inputs!$B$44),G2911*Q2911))*IF(Inputs!$B$39="pvp",1,(1+(Inputs!$B$22+Skills!Q10+((C2918=TRUE)*F2918*IF(AND(Inputs!$B$39&lt;&gt;"pvp",Inputs!$B$44&gt;0),(((R2918-1)*MIN((Skills!T17*(1+Inputs!$B$35/100)),(1/Q2918))+MIN((Skills!T17*(1+Inputs!$B$35/100)),MAX(0,Inputs!$B$44-((R2918-1)*(1/Q2918)))))/Inputs!$B$44),IF(Inputs!$B$39="pvp",MIN((Skills!T17*(1+Inputs!$B$35/100)),15)/15,MIN(1,(Skills!T17*(1+Inputs!$B$35/100))/(1/Q2918)))))+((C2906=TRUE)*IF(Inputs!$B$3&gt;=126,10*MIN(1,15*Q2906),0))+((C2915=TRUE)*IF(Inputs!$B$39="pvp",20,(1-Summary!$B$11)*(20)+Summary!$B$11*(0))*IF(AND(Inputs!$B$39&lt;&gt;"pvp",Inputs!$B$44&gt;0),(((R2915-1)*MIN((Skills!T14*(1+Inputs!$B$35/100)),(1/Q2915))+MIN((Skills!T14*(1+Inputs!$B$35/100)),MAX(0,Inputs!$B$44-((R2915-1)*(1/Q2915)))))/Inputs!$B$44),IF(Inputs!$B$39="pvp",MIN((Skills!T14*(1+Inputs!$B$35/100)),15)/15,MIN(1,(Skills!T14*(1+Inputs!$B$35/100))/(1/Q2915)))))+((C2914=TRUE)*IF(Inputs!$B$3&gt;=82,IF(Inputs!$B$39="pvp",20,(1-Summary!$B$11)*(20)+Summary!$B$11*(0)),0)*IF(AND(Inputs!$B$39&lt;&gt;"pvp",Inputs!$B$44&gt;0),(((R2914-1)*MIN((Skills!T13*(1+Inputs!$B$35/100)),(1/Q2914))+MIN((Skills!T13*(1+Inputs!$B$35/100)),MAX(0,Inputs!$B$44-((R2914-1)*(1/Q2914)))))/Inputs!$B$44),IF(Inputs!$B$39="pvp",MIN((Skills!T13*(1+Inputs!$B$35/100)),15)/15,MIN(1,(Skills!T13*(1+Inputs!$B$35/100))/(1/Q2914)))))+(IF(AND(ArtifactsInput!$M$35,Inputs!$B$4&lt;&gt;"Chapter Hunt"),CHOOSE(ArtifactsInput!$N$35+1,15,18,21,24,27,30)*(1-EXP(-(0.2*B2932)*5)),0)+IF(AND(ArtifactsInput!$M$22,Inputs!$B$4&lt;&gt;"Chapter Hunt"),CHOOSE(ArtifactsInput!$N$22+1,10,12,14,16,18,20)*((0*(((0.15*B2932*5))^0/1)+1*(((0.15*B2932*5))^1/1)+2*(((0.15*B2932*5))^2/2)+3*(((0.15*B2932*5))^3/6)+4*(((0.15*B2932*5))^4/24)+5*(((0.15*B2932*5))^5/120))/((((0.15*B2932*5))^0/1)+(((0.15*B2932*5))^1/1)+(((0.15*B2932*5))^2/2)+(((0.15*B2932*5))^3/6)+(((0.15*B2932*5))^4/24)+(((0.15*B2932*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12">
      <c r="A2912">
        <f>Skills!A11</f>
        <v/>
      </c>
      <c r="B2912">
        <f>Skills!B11</f>
        <v/>
      </c>
      <c r="C2912">
        <f>Inputs!$B$3&gt;=100</f>
        <v/>
      </c>
      <c r="D2912">
        <f>IF(Skills!C11=1,60+Inputs!$B$26+Inputs!$B$30,IF(Skills!C11=2,90+Inputs!$B$27+Inputs!$B$30,IF(Skills!C11=3,120+Inputs!$B$28+Inputs!$B$30,MAX(0,(Inputs!$B$3-100)*3)+Inputs!$B$29+Inputs!$B$30)))</f>
        <v/>
      </c>
      <c r="E2912">
        <f>INDEX(FactorTable!$B$2:$Y$301, MATCH(ROUND(MIN(300,MAX(1,D2912)),0), FactorTable!$A$2:$A$301,0), Skills!M11+1)</f>
        <v/>
      </c>
      <c r="F2912">
        <f>IF(Skills!N11=TRUE,(Skills!L11/10)*(E2912/1000),Skills!L11/10)+Skills!O11</f>
        <v/>
      </c>
      <c r="G2912" t="inlineStr"/>
      <c r="H2912" t="inlineStr"/>
      <c r="I2912" t="inlineStr">
        <is>
          <t>1</t>
        </is>
      </c>
      <c r="J2912" t="inlineStr"/>
      <c r="K2912" t="inlineStr"/>
      <c r="L2912" t="inlineStr"/>
      <c r="M2912" t="inlineStr"/>
      <c r="N2912" t="inlineStr"/>
      <c r="O2912" t="inlineStr"/>
      <c r="P2912" t="inlineStr"/>
      <c r="Q2912" t="inlineStr"/>
      <c r="R2912" t="inlineStr"/>
      <c r="S2912" t="inlineStr"/>
    </row>
    <row r="2913">
      <c r="A2913">
        <f>Skills!A12</f>
        <v/>
      </c>
      <c r="B2913">
        <f>Skills!B12</f>
        <v/>
      </c>
      <c r="C2913">
        <f>Inputs!$B$3&gt;=63</f>
        <v/>
      </c>
      <c r="D2913">
        <f>IF(Skills!C12=1,60+Inputs!$B$26+Inputs!$B$30,IF(Skills!C12=2,90+Inputs!$B$27+Inputs!$B$30,IF(Skills!C12=3,120+Inputs!$B$28+Inputs!$B$30,MAX(0,(Inputs!$B$3-100)*3)+Inputs!$B$29+Inputs!$B$30)))</f>
        <v/>
      </c>
      <c r="E2913">
        <f>INDEX(FactorTable!$B$2:$Y$301, MATCH(ROUND(MIN(300,MAX(1,D2913)),0), FactorTable!$A$2:$A$301,0), Skills!M12+1)</f>
        <v/>
      </c>
      <c r="F2913">
        <f>IF(Skills!N12=TRUE,(Skills!L12/10)*(E2913/1000),Skills!L12/10)+Skills!O12</f>
        <v/>
      </c>
      <c r="G2913">
        <f>Skills!G12*IF(Skills!H12&gt;0,INT(IF(Inputs!$B$39="pvp",MIN(Skills!I12,15),Skills!I12)/Skills!H12+0.000000001),1)</f>
        <v/>
      </c>
      <c r="H2913">
        <f>1-(1-Skills!J12/100)^Skills!K12</f>
        <v/>
      </c>
      <c r="I2913" t="inlineStr">
        <is>
          <t>1</t>
        </is>
      </c>
      <c r="J2913">
        <f>((Inputs!$B$6*(1+Inputs!$B$7/100))+(((Inputs!$B$13*(1+Inputs!$B$14/100))-(Inputs!$B$13*(1+Inputs!$B$14/100)))+0.25*(Inputs!$B$15-Inputs!$B$15))*(1+Inputs!$B$7/100))*(F2913/100)</f>
        <v/>
      </c>
      <c r="K2913">
        <f>J2913*(1+(((Inputs!$B$13+IF(Inputs!$B$3&gt;=38,(10*INDEX(FactorTable!$B$2:$Y$301, MATCH(ROUND(MIN(300,MAX(1,Inputs!$B$3)),0), FactorTable!$A$2:$A$301,0), 23)/1000)/100*(Inputs!$B$8*(1+Inputs!$B$9/100)),0))*(1+Inputs!$B$14/100))*0.01+Inputs!$B$15*0.0025)/100)*(1+Inputs!$B$16/100)*(1+Inputs!$B$17/100)*(5000/(6000+Inputs!$B$43*(1-(Inputs!$B$20+0)/100)))*(1+(Inputs!$B$25+((C2926=TRUE)*(F2926-Calc!F25))+((C2927=TRUE)*(F2927-Calc!F26))+B2936)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2912=TRUE,F2912,0)/100)*(1+(IF(Skills!A12="DARK_IMPALE",Inputs!$B$18+0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gt;=100),MIN(100,((Inputs!$B$10+0+B2930+(ArtifactsInput!$M$24-ArtifactsInput!$M$24)*CHOOSE(ArtifactsInput!$N$24+1,10,12,14,16,18,20)+IF(ArtifactsInput!$M$10,CHOOSE(ArtifactsInput!$N$10+1,15,18,21,24,27,30)*(IF(Inputs!$B$39="pvp",MIN(15,15)/15,IF(AND(Inputs!$B$39&lt;&gt;"pvp",Inputs!$B$44&gt;0),MIN(15,Inputs!$B$44)/(Inputs!$B$44),0))),0)))-100),0))*CHOOSE(ArtifactsInput!$N$42+1,0.6,0.72,0.84,0.96,1.08,1.2))),Inputs!$B$19+((C2924=TRUE)*(F2924-Calc!F23))+(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gt;=100),CHOOSE(ArtifactsInput!$N$42+1,40,48,56,64,72,80),0))))/100)*((1+(((C2914=TRUE)*F2914*IF(AND(Inputs!$B$39&lt;&gt;"pvp",Inputs!$B$44&gt;0),(((R2914-1)*MIN((Skills!T13*(1+Inputs!$B$35/100)),(1/Q2914))+MIN((Skills!T13*(1+Inputs!$B$35/100)),MAX(0,Inputs!$B$44-((R2914-1)*(1/Q2914)))))/Inputs!$B$44),IF(Inputs!$B$39="pvp",MIN((Skills!T13*(1+Inputs!$B$35/100)),15)/15,MIN(1,(Skills!T13*(1+Inputs!$B$35/100))/(1/Q2914)))))+((C2915=TRUE)*F2915*IF(AND(Inputs!$B$39&lt;&gt;"pvp",Inputs!$B$44&gt;0),(((R2915-1)*MIN((Skills!T14*(1+Inputs!$B$35/100)),(1/Q2915))+MIN((Skills!T14*(1+Inputs!$B$35/100)),MAX(0,Inputs!$B$44-((R2915-1)*(1/Q2915)))))/Inputs!$B$44),IF(Inputs!$B$39="pvp",MIN((Skills!T14*(1+Inputs!$B$35/100)),15)/15,MIN(1,(Skills!T14*(1+Inputs!$B$35/100))/(1/Q2915)))))+((C2916=TRUE)*F2916*IF(AND(Inputs!$B$39&lt;&gt;"pvp",Inputs!$B$44&gt;0),(((R2916-1)*MIN((Skills!T15*(1+Inputs!$B$35/100)),(1/Q2916))+MIN((Skills!T15*(1+Inputs!$B$35/100)),MAX(0,Inputs!$B$44-((R2916-1)*(1/Q2916)))))/Inputs!$B$44),IF(Inputs!$B$39="pvp",MIN((Skills!T15*(1+Inputs!$B$35/100)),15)/15,MIN(1,(Skills!T15*(1+Inputs!$B$35/100))/(1/Q2916)))))+((C2917=TRUE)*F2917*IF(AND(Inputs!$B$39&lt;&gt;"pvp",Inputs!$B$44&gt;0),(((R2917-1)*MIN((Skills!T16*(1+Inputs!$B$35/100)),(1/Q2917))+MIN((Skills!T16*(1+Inputs!$B$35/100)),MAX(0,Inputs!$B$44-((R2917-1)*(1/Q2917)))))/Inputs!$B$44),IF(Inputs!$B$39="pvp",MIN((Skills!T16*(1+Inputs!$B$35/100)),15)/15,MIN(1,(Skills!T16*(1+Inputs!$B$35/100))/(1/Q2917)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2913)</f>
        <v/>
      </c>
      <c r="L2913">
        <f>K2913*(MIN(Inputs!$B$23+((C2923=TRUE)*(F2923-Calc!F22)),(Inputs!$B$24+((C2925=TRUE)*(F2925-Calc!F24))+(IF(ArtifactsInput!$M$15,CHOOSE(ArtifactsInput!$N$15+1,25,30,35,40,45,50)/100*(Inputs!$B$12-Inputs!$B$12),0))))/100+(Inputs!$B$24+((C2925=TRUE)*(F2925-Calc!F24))+(IF(ArtifactsInput!$M$15,CHOOSE(ArtifactsInput!$N$15+1,25,30,35,40,45,50)/100*(Inputs!$B$12-Inputs!$B$12),0)))/100)/2</f>
        <v/>
      </c>
      <c r="M2913">
        <f>L2913*(1+(Inputs!$B$11+0+B2935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913">
        <f>L2913*(1-MIN((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2913*(MIN((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13">
        <f>(1-Summary!$B$11)*T2913+Summary!$B$11*V2913</f>
        <v/>
      </c>
      <c r="P2913">
        <f>IF(B2940=0,0,O2913/B2940)</f>
        <v/>
      </c>
      <c r="Q2913">
        <f>IFERROR(1/IF(Inputs!$B$39="pvp",15,MAX(0.1,Skills!D12-IF(TRUE=TRUE,2.0,0))),0)</f>
        <v/>
      </c>
      <c r="R2913">
        <f>IF(AND(Inputs!$B$39&lt;&gt;"pvp",Inputs!$B$44&gt;0),IF(MAX(0,Inputs!$B$44-B2937)&lt;=0,0,(INT(MAX(0,Inputs!$B$44-B2937)/IF(Inputs!$B$39="pvp",15,MAX(0.1,Skills!D12-IF(TRUE=TRUE,2.0,0))))+1)),0)</f>
        <v/>
      </c>
      <c r="S2913">
        <f>IFERROR(O2913/N2913,0)</f>
        <v/>
      </c>
      <c r="T2913">
        <f>IF(C2913,(H2913*N2913*IF(AND(Inputs!$B$39&lt;&gt;"pvp",Inputs!$B$44&gt;0),((Skills!G12*((R2913-1)*IF(Skills!H12&gt;0,INT(Skills!I12/Skills!H12+0.000000001),1)+IF(Skills!H12&gt;0,INT(MIN(Skills!I12,MAX(0,MAX(0,Inputs!$B$44-B2937)-((R2913-1)*IF(Inputs!$B$39="pvp",15,MAX(0.1,Skills!D12-IF(TRUE=TRUE,2.0,0))))))/Skills!H12+0.000000001),1)))/Inputs!$B$44),G2913*Q2913))*IF(Inputs!$B$39="pvp",1,1+(Inputs!$B$21+0+Skills!P12+((C2918=TRUE)*F2918*IF(AND(Inputs!$B$39&lt;&gt;"pvp",Inputs!$B$44&gt;0),(((R2918-1)*MIN((Skills!T17*(1+Inputs!$B$35/100)),(1/Q2918))+MIN((Skills!T17*(1+Inputs!$B$35/100)),MAX(0,Inputs!$B$44-((R2918-1)*(1/Q2918)))))/Inputs!$B$44),IF(Inputs!$B$39="pvp",MIN((Skills!T17*(1+Inputs!$B$35/100)),15)/15,MIN(1,(Skills!T17*(1+Inputs!$B$35/100))/(1/Q2918)))))+((C2906=TRUE)*IF(Inputs!$B$3&gt;=126,10*MIN(1,15*Q2906),0))+((C2915=TRUE)*IF(Inputs!$B$39="pvp",20,(1-Summary!$B$11)*(20)+Summary!$B$11*(0))*IF(AND(Inputs!$B$39&lt;&gt;"pvp",Inputs!$B$44&gt;0),(((R2915-1)*MIN((Skills!T14*(1+Inputs!$B$35/100)),(1/Q2915))+MIN((Skills!T14*(1+Inputs!$B$35/100)),MAX(0,Inputs!$B$44-((R2915-1)*(1/Q2915)))))/Inputs!$B$44),IF(Inputs!$B$39="pvp",MIN((Skills!T14*(1+Inputs!$B$35/100)),15)/15,MIN(1,(Skills!T14*(1+Inputs!$B$35/100))/(1/Q2915)))))+((C2914=TRUE)*IF(Inputs!$B$3&gt;=82,IF(Inputs!$B$39="pvp",20,(1-Summary!$B$11)*(20)+Summary!$B$11*(0)),0)*IF(AND(Inputs!$B$39&lt;&gt;"pvp",Inputs!$B$44&gt;0),(((R2914-1)*MIN((Skills!T13*(1+Inputs!$B$35/100)),(1/Q2914))+MIN((Skills!T13*(1+Inputs!$B$35/100)),MAX(0,Inputs!$B$44-((R2914-1)*(1/Q2914)))))/Inputs!$B$44),IF(Inputs!$B$39="pvp",MIN((Skills!T13*(1+Inputs!$B$35/100)),15)/15,MIN(1,(Skills!T13*(1+Inputs!$B$35/100))/(1/Q2914)))))+(IF(AND(ArtifactsInput!$M$35,Inputs!$B$4&lt;&gt;"Chapter Hunt"),CHOOSE(ArtifactsInput!$N$35+1,15,18,21,24,27,30)*(1-EXP(-(0.2*B2932)*5)),0)+IF(AND(ArtifactsInput!$M$22,Inputs!$B$4&lt;&gt;"Chapter Hunt"),CHOOSE(ArtifactsInput!$N$22+1,10,12,14,16,18,20)*((0*(((0.15*B2932*5))^0/1)+1*(((0.15*B2932*5))^1/1)+2*(((0.15*B2932*5))^2/2)+3*(((0.15*B2932*5))^3/6)+4*(((0.15*B2932*5))^4/24)+5*(((0.15*B2932*5))^5/120))/((((0.15*B2932*5))^0/1)+(((0.15*B2932*5))^1/1)+(((0.15*B2932*5))^2/2)+(((0.15*B2932*5))^3/6)+(((0.15*B2932*5))^4/24)+(((0.15*B2932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2913*(1-MIN(100,(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2913*(MIN(100,(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2913*(1-MIN(100,(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2913*(MIN(100,(Inputs!$B$10+0+B2930+(ArtifactsInput!$M$24-ArtifactsInput!$M$24)*CHOOSE(ArtifactsInput!$N$24+1,10,12,14,16,18,20)+(IF(AND(Inputs!$B$39&lt;&gt;"pvp",Inputs!$B$44=0),1,IF(IF(Inputs!$B$39="pvp",15,Inputs!$B$44)-(B2937)&lt;=0,1,MAX(0,IF(Inputs!$B$39="pvp",15,Inputs!$B$44)-MAX(5,B2937))/(IF(Inputs!$B$39="pvp",15,Inputs!$B$44)-(B2937))))*IF(AND(ArtifactsInput!$M$42,((Inputs!$B$10+0+B2930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13">
        <f>IF(C2913,(H2913*N2913*IF(AND(Inputs!$B$39&lt;&gt;"pvp",Inputs!$B$44&gt;0),((Skills!G12*((R2913-1)*IF(Skills!H12&gt;0,INT(Skills!I12/Skills!H12+0.000000001),1)+IF(Skills!H12&gt;0,INT(MIN(Skills!I12,MAX(0,MAX(0,Inputs!$B$44-B2937)-((R2913-1)*IF(Inputs!$B$39="pvp",15,MAX(0.1,Skills!D12-IF(TRUE=TRUE,2.0,0))))))/Skills!H12+0.000000001),1)))/Inputs!$B$44),G2913*Q2913))*IF(Inputs!$B$39="pvp",1,(1+(Inputs!$B$22+Skills!Q12+((C2918=TRUE)*F2918*IF(AND(Inputs!$B$39&lt;&gt;"pvp",Inputs!$B$44&gt;0),(((R2918-1)*MIN((Skills!T17*(1+Inputs!$B$35/100)),(1/Q2918))+MIN((Skills!T17*(1+Inputs!$B$35/100)),MAX(0,Inputs!$B$44-((R2918-1)*(1/Q2918)))))/Inputs!$B$44),IF(Inputs!$B$39="pvp",MIN((Skills!T17*(1+Inputs!$B$35/100)),15)/15,MIN(1,(Skills!T17*(1+Inputs!$B$35/100))/(1/Q2918)))))+((C2906=TRUE)*IF(Inputs!$B$3&gt;=126,10*MIN(1,15*Q2906),0))+((C2915=TRUE)*IF(Inputs!$B$39="pvp",20,(1-Summary!$B$11)*(20)+Summary!$B$11*(0))*IF(AND(Inputs!$B$39&lt;&gt;"pvp",Inputs!$B$44&gt;0),(((R2915-1)*MIN((Skills!T14*(1+Inputs!$B$35/100)),(1/Q2915))+MIN((Skills!T14*(1+Inputs!$B$35/100)),MAX(0,Inputs!$B$44-((R2915-1)*(1/Q2915)))))/Inputs!$B$44),IF(Inputs!$B$39="pvp",MIN((Skills!T14*(1+Inputs!$B$35/100)),15)/15,MIN(1,(Skills!T14*(1+Inputs!$B$35/100))/(1/Q2915)))))+((C2914=TRUE)*IF(Inputs!$B$3&gt;=82,IF(Inputs!$B$39="pvp",20,(1-Summary!$B$11)*(20)+Summary!$B$11*(0)),0)*IF(AND(Inputs!$B$39&lt;&gt;"pvp",Inputs!$B$44&gt;0),(((R2914-1)*MIN((Skills!T13*(1+Inputs!$B$35/100)),(1/Q2914))+MIN((Skills!T13*(1+Inputs!$B$35/100)),MAX(0,Inputs!$B$44-((R2914-1)*(1/Q2914)))))/Inputs!$B$44),IF(Inputs!$B$39="pvp",MIN((Skills!T13*(1+Inputs!$B$35/100)),15)/15,MIN(1,(Skills!T13*(1+Inputs!$B$35/100))/(1/Q2914)))))+(IF(AND(ArtifactsInput!$M$35,Inputs!$B$4&lt;&gt;"Chapter Hunt"),CHOOSE(ArtifactsInput!$N$35+1,15,18,21,24,27,30)*(1-EXP(-(0.2*B2932)*5)),0)+IF(AND(ArtifactsInput!$M$22,Inputs!$B$4&lt;&gt;"Chapter Hunt"),CHOOSE(ArtifactsInput!$N$22+1,10,12,14,16,18,20)*((0*(((0.15*B2932*5))^0/1)+1*(((0.15*B2932*5))^1/1)+2*(((0.15*B2932*5))^2/2)+3*(((0.15*B2932*5))^3/6)+4*(((0.15*B2932*5))^4/24)+5*(((0.15*B2932*5))^5/120))/((((0.15*B2932*5))^0/1)+(((0.15*B2932*5))^1/1)+(((0.15*B2932*5))^2/2)+(((0.15*B2932*5))^3/6)+(((0.15*B2932*5))^4/24)+(((0.15*B2932*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14">
      <c r="A2914">
        <f>Skills!A13</f>
        <v/>
      </c>
      <c r="B2914">
        <f>Skills!B13</f>
        <v/>
      </c>
      <c r="C2914">
        <f>Inputs!$B$3&gt;=69</f>
        <v/>
      </c>
      <c r="D2914">
        <f>IF(Skills!C13=1,60+Inputs!$B$26+Inputs!$B$30,IF(Skills!C13=2,90+Inputs!$B$27+Inputs!$B$30,IF(Skills!C13=3,120+Inputs!$B$28+Inputs!$B$30,MAX(0,(Inputs!$B$3-100)*3)+Inputs!$B$29+Inputs!$B$30)))</f>
        <v/>
      </c>
      <c r="E2914">
        <f>INDEX(FactorTable!$B$2:$Y$301, MATCH(ROUND(MIN(300,MAX(1,D2914)),0), FactorTable!$A$2:$A$301,0), Skills!M13+1)</f>
        <v/>
      </c>
      <c r="F2914">
        <f>IF(Skills!N13=TRUE,(Skills!L13/10)*(E2914/1000),Skills!L13/10)+Skills!O13</f>
        <v/>
      </c>
      <c r="G2914">
        <f>Skills!G13*IF(Skills!H13&gt;0,INT(IF(Inputs!$B$39="pvp",MIN(Skills!I13,15),Skills!I13)/Skills!H13+0.000000001),1)</f>
        <v/>
      </c>
      <c r="H2914">
        <f>1-(1-Skills!J13/100)^Skills!K13</f>
        <v/>
      </c>
      <c r="I2914" t="inlineStr">
        <is>
          <t>1</t>
        </is>
      </c>
      <c r="J2914" t="inlineStr"/>
      <c r="K2914" t="inlineStr"/>
      <c r="L2914" t="inlineStr"/>
      <c r="M2914" t="inlineStr"/>
      <c r="N2914" t="inlineStr"/>
      <c r="O2914">
        <f>(1-Summary!$B$11)*T2914+Summary!$B$11*V2914</f>
        <v/>
      </c>
      <c r="P2914">
        <f>IF(B2940=0,0,O2914/B2940)</f>
        <v/>
      </c>
      <c r="Q2914">
        <f>IFERROR(1/IF(Inputs!$B$39="pvp",15,MAX(0.1,Skills!D13-IF(TRUE=TRUE,2.0,0))),0)</f>
        <v/>
      </c>
      <c r="R2914">
        <f>IF(AND(Inputs!$B$39&lt;&gt;"pvp",Inputs!$B$44&gt;0),IF(Inputs!$B$44&lt;=0,0,(INT(Inputs!$B$44/IF(Inputs!$B$39="pvp",15,MAX(0.1,Skills!D13-IF(TRUE=TRUE,2.0,0))))+1)),0)</f>
        <v/>
      </c>
      <c r="S2914">
        <f>IFERROR(O2914/N2914,0)</f>
        <v/>
      </c>
      <c r="T2914" t="n">
        <v>0</v>
      </c>
      <c r="V2914" t="n">
        <v>0</v>
      </c>
    </row>
    <row r="2915">
      <c r="A2915">
        <f>Skills!A14</f>
        <v/>
      </c>
      <c r="B2915">
        <f>Skills!B14</f>
        <v/>
      </c>
      <c r="C2915">
        <f>Inputs!$B$3&gt;=115</f>
        <v/>
      </c>
      <c r="D2915">
        <f>IF(Skills!C14=1,60+Inputs!$B$26+Inputs!$B$30,IF(Skills!C14=2,90+Inputs!$B$27+Inputs!$B$30,IF(Skills!C14=3,120+Inputs!$B$28+Inputs!$B$30,MAX(0,(Inputs!$B$3-100)*3)+Inputs!$B$29+Inputs!$B$30)))</f>
        <v/>
      </c>
      <c r="E2915">
        <f>INDEX(FactorTable!$B$2:$Y$301, MATCH(ROUND(MIN(300,MAX(1,D2915)),0), FactorTable!$A$2:$A$301,0), Skills!M14+1)</f>
        <v/>
      </c>
      <c r="F2915">
        <f>IF(Skills!N14=TRUE,(Skills!L14/10)*(E2915/1000),Skills!L14/10)+Skills!O14</f>
        <v/>
      </c>
      <c r="G2915">
        <f>Skills!G14*IF(Skills!H14&gt;0,INT(IF(Inputs!$B$39="pvp",MIN(Skills!I14,15),Skills!I14)/Skills!H14+0.000000001),1)</f>
        <v/>
      </c>
      <c r="H2915">
        <f>1-(1-Skills!J14/100)^Skills!K14</f>
        <v/>
      </c>
      <c r="I2915" t="inlineStr">
        <is>
          <t>1</t>
        </is>
      </c>
      <c r="J2915" t="inlineStr"/>
      <c r="K2915" t="inlineStr"/>
      <c r="L2915" t="inlineStr"/>
      <c r="M2915" t="inlineStr"/>
      <c r="N2915" t="inlineStr"/>
      <c r="O2915">
        <f>(1-Summary!$B$11)*T2915+Summary!$B$11*V2915</f>
        <v/>
      </c>
      <c r="P2915">
        <f>IF(B2940=0,0,O2915/B2940)</f>
        <v/>
      </c>
      <c r="Q2915">
        <f>IFERROR(1/IF(Inputs!$B$39="pvp",15,MAX(0.1,Skills!D14-IF(TRUE=TRUE,2.0,0))),0)</f>
        <v/>
      </c>
      <c r="R2915">
        <f>IF(AND(Inputs!$B$39&lt;&gt;"pvp",Inputs!$B$44&gt;0),IF(Inputs!$B$44&lt;=0,0,(INT(Inputs!$B$44/IF(Inputs!$B$39="pvp",15,MAX(0.1,Skills!D14-IF(TRUE=TRUE,2.0,0))))+1)),0)</f>
        <v/>
      </c>
      <c r="S2915">
        <f>IFERROR(O2915/N2915,0)</f>
        <v/>
      </c>
      <c r="T2915" t="n">
        <v>0</v>
      </c>
      <c r="V2915" t="n">
        <v>0</v>
      </c>
    </row>
    <row r="2916">
      <c r="A2916">
        <f>Skills!A15</f>
        <v/>
      </c>
      <c r="B2916">
        <f>Skills!B15</f>
        <v/>
      </c>
      <c r="C2916">
        <f>Inputs!$B$3&gt;=66</f>
        <v/>
      </c>
      <c r="D2916">
        <f>IF(Skills!C15=1,60+Inputs!$B$26+Inputs!$B$30,IF(Skills!C15=2,90+Inputs!$B$27+Inputs!$B$30,IF(Skills!C15=3,120+Inputs!$B$28+Inputs!$B$30,MAX(0,(Inputs!$B$3-100)*3)+Inputs!$B$29+Inputs!$B$30)))</f>
        <v/>
      </c>
      <c r="E2916">
        <f>INDEX(FactorTable!$B$2:$Y$301, MATCH(ROUND(MIN(300,MAX(1,D2916)),0), FactorTable!$A$2:$A$301,0), Skills!M15+1)</f>
        <v/>
      </c>
      <c r="F2916">
        <f>IF(Skills!N15=TRUE,(Skills!L15/10)*(E2916/1000),Skills!L15/10)+Skills!O15</f>
        <v/>
      </c>
      <c r="G2916">
        <f>Skills!G15*IF(Skills!H15&gt;0,INT(IF(Inputs!$B$39="pvp",MIN(Skills!I15,15),Skills!I15)/Skills!H15+0.000000001),1)</f>
        <v/>
      </c>
      <c r="H2916">
        <f>1-(1-Skills!J15/100)^Skills!K15</f>
        <v/>
      </c>
      <c r="I2916" t="inlineStr">
        <is>
          <t>1</t>
        </is>
      </c>
      <c r="J2916" t="inlineStr"/>
      <c r="K2916" t="inlineStr"/>
      <c r="L2916" t="inlineStr"/>
      <c r="M2916" t="inlineStr"/>
      <c r="N2916" t="inlineStr"/>
      <c r="O2916">
        <f>(1-Summary!$B$11)*T2916+Summary!$B$11*V2916</f>
        <v/>
      </c>
      <c r="P2916">
        <f>IF(B2940=0,0,O2916/B2940)</f>
        <v/>
      </c>
      <c r="Q2916">
        <f>IFERROR(1/IF(Inputs!$B$39="pvp",15,MAX(0.1,Skills!D15-IF(TRUE=TRUE,2.0,0))),0)</f>
        <v/>
      </c>
      <c r="R2916">
        <f>IF(AND(Inputs!$B$39&lt;&gt;"pvp",Inputs!$B$44&gt;0),IF(Inputs!$B$44&lt;=0,0,(INT(Inputs!$B$44/IF(Inputs!$B$39="pvp",15,MAX(0.1,Skills!D15-IF(TRUE=TRUE,2.0,0))))+1)),0)</f>
        <v/>
      </c>
      <c r="S2916">
        <f>IFERROR(O2916/N2916,0)</f>
        <v/>
      </c>
      <c r="T2916" t="n">
        <v>0</v>
      </c>
      <c r="V2916" t="n">
        <v>0</v>
      </c>
    </row>
    <row r="2917">
      <c r="A2917">
        <f>Skills!A16</f>
        <v/>
      </c>
      <c r="B2917">
        <f>Skills!B16</f>
        <v/>
      </c>
      <c r="C2917">
        <f>Inputs!$B$3&gt;=45</f>
        <v/>
      </c>
      <c r="D2917">
        <f>IF(Skills!C16=1,60+Inputs!$B$26+Inputs!$B$30,IF(Skills!C16=2,90+Inputs!$B$27+Inputs!$B$30,IF(Skills!C16=3,120+Inputs!$B$28+Inputs!$B$30,MAX(0,(Inputs!$B$3-100)*3)+Inputs!$B$29+Inputs!$B$30)))</f>
        <v/>
      </c>
      <c r="E2917">
        <f>INDEX(FactorTable!$B$2:$Y$301, MATCH(ROUND(MIN(300,MAX(1,D2917)),0), FactorTable!$A$2:$A$301,0), Skills!M16+1)</f>
        <v/>
      </c>
      <c r="F2917">
        <f>IF(Skills!N16=TRUE,(Skills!L16/10)*(E2917/1000),Skills!L16/10)+Skills!O16</f>
        <v/>
      </c>
      <c r="G2917">
        <f>Skills!G16*IF(Skills!H16&gt;0,INT(IF(Inputs!$B$39="pvp",MIN(Skills!I16,15),Skills!I16)/Skills!H16+0.000000001),1)</f>
        <v/>
      </c>
      <c r="H2917">
        <f>1-(1-Skills!J16/100)^Skills!K16</f>
        <v/>
      </c>
      <c r="I2917" t="inlineStr">
        <is>
          <t>1</t>
        </is>
      </c>
      <c r="J2917" t="inlineStr"/>
      <c r="K2917" t="inlineStr"/>
      <c r="L2917" t="inlineStr"/>
      <c r="M2917" t="inlineStr"/>
      <c r="N2917" t="inlineStr"/>
      <c r="O2917">
        <f>(1-Summary!$B$11)*T2917+Summary!$B$11*V2917</f>
        <v/>
      </c>
      <c r="P2917">
        <f>IF(B2940=0,0,O2917/B2940)</f>
        <v/>
      </c>
      <c r="Q2917">
        <f>IFERROR(1/IF(Inputs!$B$39="pvp",15,MAX(0.1,Skills!D16-IF(TRUE=TRUE,2.0,0))),0)</f>
        <v/>
      </c>
      <c r="R2917">
        <f>IF(AND(Inputs!$B$39&lt;&gt;"pvp",Inputs!$B$44&gt;0),IF(Inputs!$B$44&lt;=0,0,(INT(Inputs!$B$44/IF(Inputs!$B$39="pvp",15,MAX(0.1,Skills!D16-IF(TRUE=TRUE,2.0,0))))+1)),0)</f>
        <v/>
      </c>
      <c r="S2917">
        <f>IFERROR(O2917/N2917,0)</f>
        <v/>
      </c>
      <c r="T2917" t="n">
        <v>0</v>
      </c>
      <c r="V2917" t="n">
        <v>0</v>
      </c>
    </row>
    <row r="2918">
      <c r="A2918">
        <f>Skills!A17</f>
        <v/>
      </c>
      <c r="B2918">
        <f>Skills!B17</f>
        <v/>
      </c>
      <c r="C2918">
        <f>Inputs!$B$3&gt;=35</f>
        <v/>
      </c>
      <c r="D2918">
        <f>IF(Skills!C17=1,60+Inputs!$B$26+Inputs!$B$30,IF(Skills!C17=2,90+Inputs!$B$27+Inputs!$B$30,IF(Skills!C17=3,120+Inputs!$B$28+Inputs!$B$30,MAX(0,(Inputs!$B$3-100)*3)+Inputs!$B$29+Inputs!$B$30)))</f>
        <v/>
      </c>
      <c r="E2918">
        <f>INDEX(FactorTable!$B$2:$Y$301, MATCH(ROUND(MIN(300,MAX(1,D2918)),0), FactorTable!$A$2:$A$301,0), Skills!M17+1)</f>
        <v/>
      </c>
      <c r="F2918">
        <f>IF(Skills!N17=TRUE,(Skills!L17/10)*(E2918/1000),Skills!L17/10)+Skills!O17</f>
        <v/>
      </c>
      <c r="G2918">
        <f>Skills!G17*IF(Skills!H17&gt;0,INT(IF(Inputs!$B$39="pvp",MIN(Skills!I17,15),Skills!I17)/Skills!H17+0.000000001),1)</f>
        <v/>
      </c>
      <c r="H2918">
        <f>1-(1-Skills!J17/100)^Skills!K17</f>
        <v/>
      </c>
      <c r="I2918" t="inlineStr">
        <is>
          <t>1</t>
        </is>
      </c>
      <c r="J2918" t="inlineStr"/>
      <c r="K2918" t="inlineStr"/>
      <c r="L2918" t="inlineStr"/>
      <c r="M2918" t="inlineStr"/>
      <c r="N2918" t="inlineStr"/>
      <c r="O2918">
        <f>(1-Summary!$B$11)*T2918+Summary!$B$11*V2918</f>
        <v/>
      </c>
      <c r="P2918">
        <f>IF(B2940=0,0,O2918/B2940)</f>
        <v/>
      </c>
      <c r="Q2918">
        <f>IFERROR(1/IF(Inputs!$B$39="pvp",15,MAX(0.1,Skills!D17-IF(TRUE=TRUE,2.0,0))),0)</f>
        <v/>
      </c>
      <c r="R2918">
        <f>IF(AND(Inputs!$B$39&lt;&gt;"pvp",Inputs!$B$44&gt;0),IF(Inputs!$B$44&lt;=0,0,(INT(Inputs!$B$44/IF(Inputs!$B$39="pvp",15,MAX(0.1,Skills!D17-IF(TRUE=TRUE,2.0,0))))+1)),0)</f>
        <v/>
      </c>
      <c r="S2918">
        <f>IFERROR(O2918/N2918,0)</f>
        <v/>
      </c>
      <c r="T2918" t="n">
        <v>0</v>
      </c>
      <c r="V2918" t="n">
        <v>0</v>
      </c>
    </row>
    <row r="2919">
      <c r="A2919">
        <f>Skills!A18</f>
        <v/>
      </c>
      <c r="B2919">
        <f>Skills!B18</f>
        <v/>
      </c>
      <c r="C2919">
        <f>Inputs!$B$3&gt;=72</f>
        <v/>
      </c>
      <c r="D2919">
        <f>IF(Skills!C18=1,60+Inputs!$B$26+Inputs!$B$30,IF(Skills!C18=2,90+Inputs!$B$27+Inputs!$B$30,IF(Skills!C18=3,120+Inputs!$B$28+Inputs!$B$30,MAX(0,(Inputs!$B$3-100)*3)+Inputs!$B$29+Inputs!$B$30)))</f>
        <v/>
      </c>
      <c r="E2919">
        <f>INDEX(FactorTable!$B$2:$Y$301, MATCH(ROUND(MIN(300,MAX(1,D2919)),0), FactorTable!$A$2:$A$301,0), Skills!M18+1)</f>
        <v/>
      </c>
      <c r="F2919">
        <f>IF(Skills!N18=TRUE,(Skills!L18/10)*(E2919/1000),Skills!L18/10)+Skills!O18</f>
        <v/>
      </c>
      <c r="G2919">
        <f>Skills!G18*IF(Skills!H18&gt;0,INT(IF(Inputs!$B$39="pvp",MIN(Skills!I18,15),Skills!I18)/Skills!H18+0.000000001),1)</f>
        <v/>
      </c>
      <c r="H2919">
        <f>1-(1-Skills!J18/100)^Skills!K18</f>
        <v/>
      </c>
      <c r="I2919" t="inlineStr">
        <is>
          <t>1</t>
        </is>
      </c>
      <c r="J2919" t="inlineStr"/>
      <c r="K2919" t="inlineStr"/>
      <c r="L2919" t="inlineStr"/>
      <c r="M2919" t="inlineStr"/>
      <c r="N2919" t="inlineStr"/>
      <c r="O2919">
        <f>(1-Summary!$B$11)*T2919+Summary!$B$11*V2919</f>
        <v/>
      </c>
      <c r="P2919">
        <f>IF(B2940=0,0,O2919/B2940)</f>
        <v/>
      </c>
      <c r="Q2919">
        <f>IFERROR(1/IF(Inputs!$B$39="pvp",15,MAX(0.1,Skills!D18-IF(TRUE=TRUE,2.0,0))),0)</f>
        <v/>
      </c>
      <c r="R2919">
        <f>IF(AND(Inputs!$B$39&lt;&gt;"pvp",Inputs!$B$44&gt;0),IF(Inputs!$B$44&lt;=0,0,(INT(Inputs!$B$44/IF(Inputs!$B$39="pvp",15,MAX(0.1,Skills!D18-IF(TRUE=TRUE,2.0,0))))+1)),0)</f>
        <v/>
      </c>
      <c r="S2919">
        <f>IFERROR(O2919/N2919,0)</f>
        <v/>
      </c>
      <c r="T2919" t="n">
        <v>0</v>
      </c>
      <c r="V2919" t="n">
        <v>0</v>
      </c>
    </row>
    <row r="2920">
      <c r="A2920">
        <f>Skills!A19</f>
        <v/>
      </c>
      <c r="B2920">
        <f>Skills!B19</f>
        <v/>
      </c>
      <c r="C2920">
        <f>Inputs!$B$3&gt;=72</f>
        <v/>
      </c>
      <c r="D2920">
        <f>IF(Skills!C19=1,60+Inputs!$B$26+Inputs!$B$30,IF(Skills!C19=2,90+Inputs!$B$27+Inputs!$B$30,IF(Skills!C19=3,120+Inputs!$B$28+Inputs!$B$30,MAX(0,(Inputs!$B$3-100)*3)+Inputs!$B$29+Inputs!$B$30)))</f>
        <v/>
      </c>
      <c r="E2920">
        <f>INDEX(FactorTable!$B$2:$Y$301, MATCH(ROUND(MIN(300,MAX(1,D2920)),0), FactorTable!$A$2:$A$301,0), Skills!M19+1)</f>
        <v/>
      </c>
      <c r="F2920">
        <f>IF(Skills!N19=TRUE,(Skills!L19/10)*(E2920/1000),Skills!L19/10)+Skills!O19</f>
        <v/>
      </c>
      <c r="G2920">
        <f>Skills!G19*IF(Skills!H19&gt;0,INT(IF(Inputs!$B$39="pvp",MIN(Skills!I19,15),Skills!I19)/Skills!H19+0.000000001),1)</f>
        <v/>
      </c>
      <c r="H2920">
        <f>1-(1-Skills!J19/100)^Skills!K19</f>
        <v/>
      </c>
      <c r="I2920" t="inlineStr">
        <is>
          <t>1</t>
        </is>
      </c>
      <c r="J2920" t="inlineStr"/>
      <c r="K2920" t="inlineStr"/>
      <c r="L2920" t="inlineStr"/>
      <c r="M2920" t="inlineStr"/>
      <c r="N2920" t="inlineStr"/>
      <c r="O2920">
        <f>(1-Summary!$B$11)*T2920+Summary!$B$11*V2920</f>
        <v/>
      </c>
      <c r="P2920">
        <f>IF(B2940=0,0,O2920/B2940)</f>
        <v/>
      </c>
      <c r="Q2920">
        <f>IFERROR(1/IF(Inputs!$B$39="pvp",15,MAX(0.1,Skills!D19-IF(TRUE=TRUE,2.0,0))),0)</f>
        <v/>
      </c>
      <c r="R2920">
        <f>IF(AND(Inputs!$B$39&lt;&gt;"pvp",Inputs!$B$44&gt;0),IF(Inputs!$B$44&lt;=0,0,(INT(Inputs!$B$44/IF(Inputs!$B$39="pvp",15,MAX(0.1,Skills!D19-IF(TRUE=TRUE,2.0,0))))+1)),0)</f>
        <v/>
      </c>
      <c r="S2920">
        <f>IFERROR(O2920/N2920,0)</f>
        <v/>
      </c>
      <c r="T2920" t="n">
        <v>0</v>
      </c>
      <c r="V2920" t="n">
        <v>0</v>
      </c>
    </row>
    <row r="2921">
      <c r="A2921">
        <f>Skills!A20</f>
        <v/>
      </c>
      <c r="B2921">
        <f>Skills!B20</f>
        <v/>
      </c>
      <c r="C2921">
        <f>TRUE</f>
        <v/>
      </c>
      <c r="D2921">
        <f>IF(Skills!C20=1,60+Inputs!$B$26+Inputs!$B$30,IF(Skills!C20=2,90+Inputs!$B$27+Inputs!$B$30,IF(Skills!C20=3,120+Inputs!$B$28+Inputs!$B$30,MAX(0,(Inputs!$B$3-100)*3)+Inputs!$B$29+Inputs!$B$30)))</f>
        <v/>
      </c>
      <c r="E2921">
        <f>INDEX(FactorTable!$B$2:$Y$301, MATCH(ROUND(MIN(300,MAX(1,D2921)),0), FactorTable!$A$2:$A$301,0), Skills!M20+1)</f>
        <v/>
      </c>
      <c r="F2921">
        <f>IF(Skills!N20=TRUE,(Skills!L20/10)*(E2921/1000),Skills!L20/10)+Skills!O20</f>
        <v/>
      </c>
      <c r="G2921">
        <f>Skills!G20*IF(Skills!H20&gt;0,INT(IF(Inputs!$B$39="pvp",MIN(Skills!I20,15),Skills!I20)/Skills!H20+0.000000001),1)</f>
        <v/>
      </c>
      <c r="H2921">
        <f>1-(1-Skills!J20/100)^Skills!K20</f>
        <v/>
      </c>
      <c r="I2921" t="inlineStr">
        <is>
          <t>1</t>
        </is>
      </c>
      <c r="J2921" t="inlineStr"/>
      <c r="K2921" t="inlineStr"/>
      <c r="L2921" t="inlineStr"/>
      <c r="M2921" t="inlineStr"/>
      <c r="N2921" t="inlineStr"/>
      <c r="O2921">
        <f>(1-Summary!$B$11)*T2921+Summary!$B$11*V2921</f>
        <v/>
      </c>
      <c r="P2921">
        <f>IF(B2940=0,0,O2921/B2940)</f>
        <v/>
      </c>
      <c r="Q2921">
        <f>IFERROR(1/IF(Inputs!$B$39="pvp",15,MAX(0.1,Skills!D20-IF(TRUE=TRUE,2.0,0))),0)</f>
        <v/>
      </c>
      <c r="R2921">
        <f>IF(AND(Inputs!$B$39&lt;&gt;"pvp",Inputs!$B$44&gt;0),IF(Inputs!$B$44&lt;=0,0,(INT(Inputs!$B$44/IF(Inputs!$B$39="pvp",15,MAX(0.1,Skills!D20-IF(TRUE=TRUE,2.0,0))))+1)),0)</f>
        <v/>
      </c>
      <c r="S2921">
        <f>IFERROR(O2921/N2921,0)</f>
        <v/>
      </c>
      <c r="T2921" t="n">
        <v>0</v>
      </c>
      <c r="V2921" t="n">
        <v>0</v>
      </c>
    </row>
    <row r="2922">
      <c r="A2922">
        <f>Skills!A21</f>
        <v/>
      </c>
      <c r="B2922">
        <f>Skills!B21</f>
        <v/>
      </c>
      <c r="C2922">
        <f>Inputs!$B$3&gt;=33</f>
        <v/>
      </c>
      <c r="D2922">
        <f>IF(Skills!C21=1,60+Inputs!$B$26+Inputs!$B$30,IF(Skills!C21=2,90+Inputs!$B$27+Inputs!$B$30,IF(Skills!C21=3,120+Inputs!$B$28+Inputs!$B$30,MAX(0,(Inputs!$B$3-100)*3)+Inputs!$B$29+Inputs!$B$30)))</f>
        <v/>
      </c>
      <c r="E2922">
        <f>INDEX(FactorTable!$B$2:$Y$301, MATCH(ROUND(MIN(300,MAX(1,D2922)),0), FactorTable!$A$2:$A$301,0), Skills!M21+1)</f>
        <v/>
      </c>
      <c r="F2922">
        <f>IF(Skills!N21=TRUE,(Skills!L21/10)*(E2922/1000),Skills!L21/10)+Skills!O21</f>
        <v/>
      </c>
      <c r="G2922">
        <f>Skills!G21*IF(Skills!H21&gt;0,INT(IF(Inputs!$B$39="pvp",MIN(Skills!I21,15),Skills!I21)/Skills!H21+0.000000001),1)</f>
        <v/>
      </c>
      <c r="H2922">
        <f>1-(1-Skills!J21/100)^Skills!K21</f>
        <v/>
      </c>
      <c r="I2922" t="inlineStr">
        <is>
          <t>1</t>
        </is>
      </c>
      <c r="J2922" t="inlineStr"/>
      <c r="K2922" t="inlineStr"/>
      <c r="L2922" t="inlineStr"/>
      <c r="M2922" t="inlineStr"/>
      <c r="N2922" t="inlineStr"/>
      <c r="O2922">
        <f>(1-Summary!$B$11)*T2922+Summary!$B$11*V2922</f>
        <v/>
      </c>
      <c r="P2922">
        <f>IF(B2940=0,0,O2922/B2940)</f>
        <v/>
      </c>
      <c r="Q2922" t="n">
        <v>0</v>
      </c>
      <c r="R2922" t="n">
        <v>0</v>
      </c>
      <c r="S2922">
        <f>IFERROR(O2922/N2922,0)</f>
        <v/>
      </c>
      <c r="T2922" t="n">
        <v>0</v>
      </c>
      <c r="V2922" t="n">
        <v>0</v>
      </c>
    </row>
    <row r="2923">
      <c r="A2923">
        <f>Skills!A22</f>
        <v/>
      </c>
      <c r="B2923">
        <f>Skills!B22</f>
        <v/>
      </c>
      <c r="C2923">
        <f>Inputs!$B$3&gt;=43</f>
        <v/>
      </c>
      <c r="D2923">
        <f>IF(Skills!C22=1,60+Inputs!$B$26+Inputs!$B$30,IF(Skills!C22=2,90+Inputs!$B$27+Inputs!$B$30,IF(Skills!C22=3,120+Inputs!$B$28+Inputs!$B$30,MAX(0,(Inputs!$B$3-100)*3)+Inputs!$B$29+Inputs!$B$30)))</f>
        <v/>
      </c>
      <c r="E2923">
        <f>INDEX(FactorTable!$B$2:$Y$301, MATCH(ROUND(MIN(300,MAX(1,D2923)),0), FactorTable!$A$2:$A$301,0), Skills!M22+1)</f>
        <v/>
      </c>
      <c r="F2923">
        <f>IF(Skills!N22=TRUE,(Skills!L22/10)*(E2923/1000),Skills!L22/10)+Skills!O22</f>
        <v/>
      </c>
      <c r="G2923">
        <f>Skills!G22*IF(Skills!H22&gt;0,INT(IF(Inputs!$B$39="pvp",MIN(Skills!I22,15),Skills!I22)/Skills!H22+0.000000001),1)</f>
        <v/>
      </c>
      <c r="H2923">
        <f>1-(1-Skills!J22/100)^Skills!K22</f>
        <v/>
      </c>
      <c r="I2923" t="inlineStr">
        <is>
          <t>1</t>
        </is>
      </c>
      <c r="J2923" t="inlineStr"/>
      <c r="K2923" t="inlineStr"/>
      <c r="L2923" t="inlineStr"/>
      <c r="M2923" t="inlineStr"/>
      <c r="N2923" t="inlineStr"/>
      <c r="O2923">
        <f>(1-Summary!$B$11)*T2923+Summary!$B$11*V2923</f>
        <v/>
      </c>
      <c r="P2923">
        <f>IF(B2940=0,0,O2923/B2940)</f>
        <v/>
      </c>
      <c r="Q2923" t="n">
        <v>0</v>
      </c>
      <c r="R2923" t="n">
        <v>0</v>
      </c>
      <c r="S2923">
        <f>IFERROR(O2923/N2923,0)</f>
        <v/>
      </c>
      <c r="T2923" t="n">
        <v>0</v>
      </c>
      <c r="V2923" t="n">
        <v>0</v>
      </c>
    </row>
    <row r="2924">
      <c r="A2924">
        <f>Skills!A23</f>
        <v/>
      </c>
      <c r="B2924">
        <f>Skills!B23</f>
        <v/>
      </c>
      <c r="C2924">
        <f>Inputs!$B$3&gt;=120</f>
        <v/>
      </c>
      <c r="D2924">
        <f>IF(Skills!C23=1,60+Inputs!$B$26+Inputs!$B$30,IF(Skills!C23=2,90+Inputs!$B$27+Inputs!$B$30,IF(Skills!C23=3,120+Inputs!$B$28+Inputs!$B$30,MAX(0,(Inputs!$B$3-100)*3)+Inputs!$B$29+Inputs!$B$30)))</f>
        <v/>
      </c>
      <c r="E2924">
        <f>INDEX(FactorTable!$B$2:$Y$301, MATCH(ROUND(MIN(300,MAX(1,D2924)),0), FactorTable!$A$2:$A$301,0), Skills!M23+1)</f>
        <v/>
      </c>
      <c r="F2924">
        <f>IF(Skills!N23=TRUE,(Skills!L23/10)*(E2924/1000),Skills!L23/10)+Skills!O23</f>
        <v/>
      </c>
      <c r="G2924">
        <f>Skills!G23*IF(Skills!H23&gt;0,INT(IF(Inputs!$B$39="pvp",MIN(Skills!I23,15),Skills!I23)/Skills!H23+0.000000001),1)</f>
        <v/>
      </c>
      <c r="H2924">
        <f>1-(1-Skills!J23/100)^Skills!K23</f>
        <v/>
      </c>
      <c r="I2924" t="inlineStr">
        <is>
          <t>1</t>
        </is>
      </c>
      <c r="J2924" t="inlineStr"/>
      <c r="K2924" t="inlineStr"/>
      <c r="L2924" t="inlineStr"/>
      <c r="M2924" t="inlineStr"/>
      <c r="N2924" t="inlineStr"/>
      <c r="O2924">
        <f>(1-Summary!$B$11)*T2924+Summary!$B$11*V2924</f>
        <v/>
      </c>
      <c r="P2924">
        <f>IF(B2940=0,0,O2924/B2940)</f>
        <v/>
      </c>
      <c r="Q2924" t="n">
        <v>0</v>
      </c>
      <c r="R2924" t="n">
        <v>0</v>
      </c>
      <c r="S2924">
        <f>IFERROR(O2924/N2924,0)</f>
        <v/>
      </c>
      <c r="T2924" t="n">
        <v>0</v>
      </c>
      <c r="V2924" t="n">
        <v>0</v>
      </c>
    </row>
    <row r="2925">
      <c r="A2925">
        <f>Skills!A24</f>
        <v/>
      </c>
      <c r="B2925">
        <f>Skills!B24</f>
        <v/>
      </c>
      <c r="C2925">
        <f>Inputs!$B$3&gt;=120</f>
        <v/>
      </c>
      <c r="D2925">
        <f>IF(Skills!C24=1,60+Inputs!$B$26+Inputs!$B$30,IF(Skills!C24=2,90+Inputs!$B$27+Inputs!$B$30,IF(Skills!C24=3,120+Inputs!$B$28+Inputs!$B$30,MAX(0,(Inputs!$B$3-100)*3)+Inputs!$B$29+Inputs!$B$30)))</f>
        <v/>
      </c>
      <c r="E2925">
        <f>INDEX(FactorTable!$B$2:$Y$301, MATCH(ROUND(MIN(300,MAX(1,D2925)),0), FactorTable!$A$2:$A$301,0), Skills!M24+1)</f>
        <v/>
      </c>
      <c r="F2925">
        <f>IF(Skills!N24=TRUE,(Skills!L24/10)*(E2925/1000),Skills!L24/10)+Skills!O24</f>
        <v/>
      </c>
      <c r="G2925">
        <f>Skills!G24*IF(Skills!H24&gt;0,INT(IF(Inputs!$B$39="pvp",MIN(Skills!I24,15),Skills!I24)/Skills!H24+0.000000001),1)</f>
        <v/>
      </c>
      <c r="H2925">
        <f>1-(1-Skills!J24/100)^Skills!K24</f>
        <v/>
      </c>
      <c r="I2925" t="inlineStr">
        <is>
          <t>1</t>
        </is>
      </c>
      <c r="J2925" t="inlineStr"/>
      <c r="K2925" t="inlineStr"/>
      <c r="L2925" t="inlineStr"/>
      <c r="M2925" t="inlineStr"/>
      <c r="N2925" t="inlineStr"/>
      <c r="O2925">
        <f>(1-Summary!$B$11)*T2925+Summary!$B$11*V2925</f>
        <v/>
      </c>
      <c r="P2925">
        <f>IF(B2940=0,0,O2925/B2940)</f>
        <v/>
      </c>
      <c r="Q2925" t="n">
        <v>0</v>
      </c>
      <c r="R2925" t="n">
        <v>0</v>
      </c>
      <c r="S2925">
        <f>IFERROR(O2925/N2925,0)</f>
        <v/>
      </c>
      <c r="T2925" t="n">
        <v>0</v>
      </c>
      <c r="V2925" t="n">
        <v>0</v>
      </c>
    </row>
    <row r="2926">
      <c r="A2926">
        <f>Skills!A25</f>
        <v/>
      </c>
      <c r="B2926">
        <f>Skills!B25</f>
        <v/>
      </c>
      <c r="C2926">
        <f>Inputs!$B$3&gt;=125</f>
        <v/>
      </c>
      <c r="D2926">
        <f>IF(Skills!C25=1,60+Inputs!$B$26+Inputs!$B$30,IF(Skills!C25=2,90+Inputs!$B$27+Inputs!$B$30,IF(Skills!C25=3,120+Inputs!$B$28+Inputs!$B$30,MAX(0,(Inputs!$B$3-100)*3)+Inputs!$B$29+Inputs!$B$30)))</f>
        <v/>
      </c>
      <c r="E2926">
        <f>INDEX(FactorTable!$B$2:$Y$301, MATCH(ROUND(MIN(300,MAX(1,D2926)),0), FactorTable!$A$2:$A$301,0), Skills!M25+1)</f>
        <v/>
      </c>
      <c r="F2926">
        <f>IF(Skills!N25=TRUE,(Skills!L25/10)*(E2926/1000),Skills!L25/10)+Skills!O25</f>
        <v/>
      </c>
      <c r="G2926">
        <f>Skills!G25*IF(Skills!H25&gt;0,INT(IF(Inputs!$B$39="pvp",MIN(Skills!I25,15),Skills!I25)/Skills!H25+0.000000001),1)</f>
        <v/>
      </c>
      <c r="H2926">
        <f>1-(1-Skills!J25/100)^Skills!K25</f>
        <v/>
      </c>
      <c r="I2926" t="inlineStr">
        <is>
          <t>1</t>
        </is>
      </c>
      <c r="J2926" t="inlineStr"/>
      <c r="K2926" t="inlineStr"/>
      <c r="L2926" t="inlineStr"/>
      <c r="M2926" t="inlineStr"/>
      <c r="N2926" t="inlineStr"/>
      <c r="O2926">
        <f>(1-Summary!$B$11)*T2926+Summary!$B$11*V2926</f>
        <v/>
      </c>
      <c r="P2926">
        <f>IF(B2940=0,0,O2926/B2940)</f>
        <v/>
      </c>
      <c r="Q2926" t="n">
        <v>0</v>
      </c>
      <c r="R2926" t="n">
        <v>0</v>
      </c>
      <c r="S2926">
        <f>IFERROR(O2926/N2926,0)</f>
        <v/>
      </c>
      <c r="T2926" t="n">
        <v>0</v>
      </c>
      <c r="V2926" t="n">
        <v>0</v>
      </c>
    </row>
    <row r="2927">
      <c r="A2927">
        <f>Skills!A26</f>
        <v/>
      </c>
      <c r="B2927">
        <f>Skills!B26</f>
        <v/>
      </c>
      <c r="C2927">
        <f>Inputs!$B$3&gt;=107</f>
        <v/>
      </c>
      <c r="D2927">
        <f>IF(Skills!C26=1,60+Inputs!$B$26+Inputs!$B$30,IF(Skills!C26=2,90+Inputs!$B$27+Inputs!$B$30,IF(Skills!C26=3,120+Inputs!$B$28+Inputs!$B$30,MAX(0,(Inputs!$B$3-100)*3)+Inputs!$B$29+Inputs!$B$30)))</f>
        <v/>
      </c>
      <c r="E2927">
        <f>INDEX(FactorTable!$B$2:$Y$301, MATCH(ROUND(MIN(300,MAX(1,D2927)),0), FactorTable!$A$2:$A$301,0), Skills!M26+1)</f>
        <v/>
      </c>
      <c r="F2927">
        <f>IF(Skills!N26=TRUE,(Skills!L26/10)*(E2927/1000),Skills!L26/10)+Skills!O26</f>
        <v/>
      </c>
      <c r="G2927">
        <f>Skills!G26*IF(Skills!H26&gt;0,INT(IF(Inputs!$B$39="pvp",MIN(Skills!I26,15),Skills!I26)/Skills!H26+0.000000001),1)</f>
        <v/>
      </c>
      <c r="H2927">
        <f>1-(1-Skills!J26/100)^Skills!K26</f>
        <v/>
      </c>
      <c r="I2927" t="inlineStr">
        <is>
          <t>1</t>
        </is>
      </c>
      <c r="J2927" t="inlineStr"/>
      <c r="K2927" t="inlineStr"/>
      <c r="L2927" t="inlineStr"/>
      <c r="M2927" t="inlineStr"/>
      <c r="N2927" t="inlineStr"/>
      <c r="O2927">
        <f>(1-Summary!$B$11)*T2927+Summary!$B$11*V2927</f>
        <v/>
      </c>
      <c r="P2927">
        <f>IF(B2940=0,0,O2927/B2940)</f>
        <v/>
      </c>
      <c r="Q2927" t="n">
        <v>0</v>
      </c>
      <c r="R2927" t="n">
        <v>0</v>
      </c>
      <c r="S2927">
        <f>IFERROR(O2927/N2927,0)</f>
        <v/>
      </c>
      <c r="T2927" t="n">
        <v>0</v>
      </c>
      <c r="V2927" t="n">
        <v>0</v>
      </c>
    </row>
    <row r="2929">
      <c r="A2929" t="inlineStr">
        <is>
          <t>Attack% Bucket Multiplier</t>
        </is>
      </c>
      <c r="B2929">
        <f>(1+(((C2914=TRUE)*F2914*IF(AND(Inputs!$B$39&lt;&gt;"pvp",Inputs!$B$44&gt;0),(((R2914-1)*MIN((Skills!T13*(1+Inputs!$B$35/100)),(1/Q2914))+MIN((Skills!T13*(1+Inputs!$B$35/100)),MAX(0,Inputs!$B$44-((R2914-1)*(1/Q2914)))))/Inputs!$B$44),IF(Inputs!$B$39="pvp",MIN((Skills!T13*(1+Inputs!$B$35/100)),15)/15,MIN(1,(Skills!T13*(1+Inputs!$B$35/100))/(1/Q2914)))))+((C2915=TRUE)*F2915*IF(AND(Inputs!$B$39&lt;&gt;"pvp",Inputs!$B$44&gt;0),(((R2915-1)*MIN((Skills!T14*(1+Inputs!$B$35/100)),(1/Q2915))+MIN((Skills!T14*(1+Inputs!$B$35/100)),MAX(0,Inputs!$B$44-((R2915-1)*(1/Q2915)))))/Inputs!$B$44),IF(Inputs!$B$39="pvp",MIN((Skills!T14*(1+Inputs!$B$35/100)),15)/15,MIN(1,(Skills!T14*(1+Inputs!$B$35/100))/(1/Q2915)))))+((C2916=TRUE)*F2916*IF(AND(Inputs!$B$39&lt;&gt;"pvp",Inputs!$B$44&gt;0),(((R2916-1)*MIN((Skills!T15*(1+Inputs!$B$35/100)),(1/Q2916))+MIN((Skills!T15*(1+Inputs!$B$35/100)),MAX(0,Inputs!$B$44-((R2916-1)*(1/Q2916)))))/Inputs!$B$44),IF(Inputs!$B$39="pvp",MIN((Skills!T15*(1+Inputs!$B$35/100)),15)/15,MIN(1,(Skills!T15*(1+Inputs!$B$35/100))/(1/Q2916)))))+((C2917=TRUE)*F2917*IF(AND(Inputs!$B$39&lt;&gt;"pvp",Inputs!$B$44&gt;0),(((R2917-1)*MIN((Skills!T16*(1+Inputs!$B$35/100)),(1/Q2917))+MIN((Skills!T16*(1+Inputs!$B$35/100)),MAX(0,Inputs!$B$44-((R2917-1)*(1/Q2917)))))/Inputs!$B$44),IF(Inputs!$B$39="pvp",MIN((Skills!T16*(1+Inputs!$B$35/100)),15)/15,MIN(1,(Skills!T16*(1+Inputs!$B$35/100))/(1/Q2917)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2930">
      <c r="A2930" t="inlineStr">
        <is>
          <t>Global Crit Rate Bonus % (Lord of Darkness)</t>
        </is>
      </c>
      <c r="B2930">
        <f>((C2919=TRUE)*F2919*(Skills!J18/100)*IF(AND(Inputs!$B$39&lt;&gt;"pvp",Inputs!$B$44&gt;0),(((R2919-1)*MIN((Skills!T18*(1+Inputs!$B$35/100)),(1/Q2919))+MIN((Skills!T18*(1+Inputs!$B$35/100)),MAX(0,Inputs!$B$44-((R2919-1)*(1/Q2919)))))/Inputs!$B$44),IF(Inputs!$B$39="pvp",MIN((Skills!T18*(1+Inputs!$B$35/100)),15)/15,MIN(1,(Skills!T18*(1+Inputs!$B$35/100))/(1/Q2919)))))</f>
        <v/>
      </c>
    </row>
    <row r="2931">
      <c r="A2931" t="inlineStr">
        <is>
          <t>Attack Speed Buff Bonus %</t>
        </is>
      </c>
      <c r="B2931">
        <f>((C2921=TRUE)*F2921*IF(AND(Inputs!$B$39&lt;&gt;"pvp",Inputs!$B$44&gt;0),(((R2921-1)*MIN((Skills!T20*(1+Inputs!$B$35/100)),(1/Q2921))+MIN((Skills!T20*(1+Inputs!$B$35/100)),MAX(0,Inputs!$B$44-((R2921-1)*(1/Q2921)))))/Inputs!$B$44),IF(Inputs!$B$39="pvp",MIN((Skills!T20*(1+Inputs!$B$35/100)),15)/15,MIN(1,(Skills!T20*(1+Inputs!$B$35/100))/(1/Q2921)))))</f>
        <v/>
      </c>
    </row>
    <row r="2932">
      <c r="A2932" t="inlineStr">
        <is>
          <t>Actions Per Second</t>
        </is>
      </c>
      <c r="B2932">
        <f>1+MIN(150,150*(1-(1-(Inputs!$B$12+((C2922=TRUE)*(F2922-Calc!F21)))/150)*(1-B2931/150)))/100</f>
        <v/>
      </c>
    </row>
    <row r="2933">
      <c r="A2933" t="inlineStr">
        <is>
          <t>Skill + Buff Cast Rate</t>
        </is>
      </c>
      <c r="B2933">
        <f>IF(AND(Inputs!$B$39&lt;&gt;"pvp",Inputs!$B$44&gt;0),SUMPRODUCT((Skills!E2:E26=TRUE)*(C2903:C2927=TRUE)*R2903:R2927*Skills!F2:F26)/Inputs!$B$44,SUMPRODUCT((Skills!E2:E26=TRUE)*(C2903:C2927=TRUE)*Q2903:Q2927*Skills!F2:F26))</f>
        <v/>
      </c>
    </row>
    <row r="2934">
      <c r="A2934" t="inlineStr">
        <is>
          <t>Dark Impale Casts Per Second</t>
        </is>
      </c>
      <c r="B2934">
        <f>MAX(0,B2932-B2933)</f>
        <v/>
      </c>
    </row>
    <row r="2935">
      <c r="A2935" t="inlineStr">
        <is>
          <t>Global Critical Damage Bonus % (Lord of Darkness)</t>
        </is>
      </c>
      <c r="B2935">
        <f>((C2920=TRUE)*F2920*(Skills!J19/100)*IF(AND(Inputs!$B$39&lt;&gt;"pvp",Inputs!$B$44&gt;0),(((R2920-1)*MIN((Skills!T19*(1+Inputs!$B$35/100)),(1/Q2920))+MIN((Skills!T19*(1+Inputs!$B$35/100)),MAX(0,Inputs!$B$44-((R2920-1)*(1/Q2920)))))/Inputs!$B$44),IF(Inputs!$B$39="pvp",MIN((Skills!T19*(1+Inputs!$B$35/100)),15)/15,MIN(1,(Skills!T19*(1+Inputs!$B$35/100))/(1/Q2920)))))</f>
        <v/>
      </c>
    </row>
    <row r="2936">
      <c r="A2936" t="inlineStr">
        <is>
          <t>Global Final Damage Bonus % (unused)</t>
        </is>
      </c>
      <c r="B2936" t="n">
        <v>0</v>
      </c>
    </row>
    <row r="2937">
      <c r="A2937" t="inlineStr">
        <is>
          <t>Buff-Casting Startup Delay (s, fixed-duration only)</t>
        </is>
      </c>
      <c r="B2937">
        <f>IF(AND(Inputs!$B$39&lt;&gt;"pvp",Inputs!$B$44&gt;0),SUMPRODUCT((Skills!T2:T26&gt;0)*(Skills!E2:E26=TRUE)*(C2903:C2927=TRUE))/B2932,0)</f>
        <v/>
      </c>
    </row>
    <row r="2938">
      <c r="A2938" t="inlineStr">
        <is>
          <t>Boss-Only Total DPS (this block's swept value)</t>
        </is>
      </c>
      <c r="B2938">
        <f>SUM(T2903:T2927)</f>
        <v/>
      </c>
    </row>
    <row r="2939">
      <c r="A2939" t="inlineStr">
        <is>
          <t>Normal-Only Total DPS (this block's swept value)</t>
        </is>
      </c>
      <c r="B2939">
        <f>SUM(V2903:V2927)</f>
        <v/>
      </c>
    </row>
    <row r="2940">
      <c r="A2940" s="6" t="inlineStr">
        <is>
          <t>TOTAL DPS</t>
        </is>
      </c>
      <c r="B2940" s="6">
        <f>SUM(O2903:O2927)</f>
        <v/>
      </c>
    </row>
    <row r="2943">
      <c r="A2943" s="6" t="inlineStr">
        <is>
          <t>Stat: CDR = 2.5s</t>
        </is>
      </c>
    </row>
    <row r="2944">
      <c r="A2944" s="5" t="inlineStr">
        <is>
          <t>Key</t>
        </is>
      </c>
      <c r="B2944" s="5" t="inlineStr">
        <is>
          <t>Name</t>
        </is>
      </c>
      <c r="C2944" s="5" t="inlineStr">
        <is>
          <t>Unlocked</t>
        </is>
      </c>
      <c r="D2944" s="5" t="inlineStr">
        <is>
          <t>InputLevel</t>
        </is>
      </c>
      <c r="E2944" s="5" t="inlineStr">
        <is>
          <t>Factor</t>
        </is>
      </c>
      <c r="F2944" s="5" t="inlineStr">
        <is>
          <t>CoefficientPercent</t>
        </is>
      </c>
      <c r="G2944" s="5" t="inlineStr">
        <is>
          <t>EffectiveHits</t>
        </is>
      </c>
      <c r="H2944" s="5" t="inlineStr">
        <is>
          <t>ProcProbability</t>
        </is>
      </c>
      <c r="I2944" s="5" t="inlineStr">
        <is>
          <t>MapleHeroMultiplier</t>
        </is>
      </c>
      <c r="J2944" s="5" t="inlineStr">
        <is>
          <t>BaseDamage</t>
        </is>
      </c>
      <c r="K2944" s="5" t="inlineStr">
        <is>
          <t>BaseHitDamage</t>
        </is>
      </c>
      <c r="L2944" s="5" t="inlineStr">
        <is>
          <t>NonCritAvg</t>
        </is>
      </c>
      <c r="M2944" s="5" t="inlineStr">
        <is>
          <t>CritAvg</t>
        </is>
      </c>
      <c r="N2944" s="5" t="inlineStr">
        <is>
          <t>ExpectedDamage(perHit)</t>
        </is>
      </c>
      <c r="O2944" s="5" t="inlineStr">
        <is>
          <t>DPS</t>
        </is>
      </c>
      <c r="P2944" s="5" t="inlineStr">
        <is>
          <t>% of Total</t>
        </is>
      </c>
      <c r="Q2944" s="5" t="inlineStr">
        <is>
          <t>InvCooldown</t>
        </is>
      </c>
      <c r="R2944" s="5" t="inlineStr">
        <is>
          <t>CastsInFight</t>
        </is>
      </c>
      <c r="S2944" s="5" t="inlineStr">
        <is>
          <t>HitRate(perSec)</t>
        </is>
      </c>
      <c r="U2944" t="inlineStr">
        <is>
          <t>helpers</t>
        </is>
      </c>
    </row>
    <row r="2945">
      <c r="A2945">
        <f>Skills!A2</f>
        <v/>
      </c>
      <c r="B2945">
        <f>Skills!B2</f>
        <v/>
      </c>
      <c r="C2945">
        <f>Inputs!$B$3&gt;=100</f>
        <v/>
      </c>
      <c r="D2945" t="inlineStr"/>
      <c r="E2945" t="inlineStr"/>
      <c r="F2945">
        <f>U2947+Skills!O2</f>
        <v/>
      </c>
      <c r="G2945">
        <f>Skills!G2*IF(Skills!H2&gt;0,INT(IF(Inputs!$B$39="pvp",MIN(Skills!I2,15),Skills!I2)/Skills!H2+0.000000001),1)</f>
        <v/>
      </c>
      <c r="H2945">
        <f>1-(1-Skills!J2/100)^Skills!K2</f>
        <v/>
      </c>
      <c r="I2945" t="inlineStr">
        <is>
          <t>1</t>
        </is>
      </c>
      <c r="J2945">
        <f>((Inputs!$B$6*(1+Inputs!$B$7/100))+(((Inputs!$B$13*(1+Inputs!$B$14/100))-(Inputs!$B$13*(1+Inputs!$B$14/100)))+0.25*(Inputs!$B$15-Inputs!$B$15))*(1+Inputs!$B$7/100))*(F2945/100)</f>
        <v/>
      </c>
      <c r="K2945">
        <f>J2945*(1+(((Inputs!$B$13+IF(Inputs!$B$3&gt;=38,(10*INDEX(FactorTable!$B$2:$Y$301, MATCH(ROUND(MIN(300,MAX(1,Inputs!$B$3)),0), FactorTable!$A$2:$A$301,0), 23)/1000)/100*(Inputs!$B$8*(1+Inputs!$B$9/100)),0))*(1+Inputs!$B$14/100))*0.01+Inputs!$B$15*0.0025)/100)*(1+Inputs!$B$16/100)*(1+Inputs!$B$17/100)*(5000/(6000+Inputs!$B$43*(1-(Inputs!$B$20+0)/100)))*(1+(Inputs!$B$25+((C2968=TRUE)*(F2968-Calc!F25))+((C2969=TRUE)*(F2969-Calc!F26))+B2978)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gt;=100),MIN(100,((Inputs!$B$10+0+B2972+(ArtifactsInput!$M$24-ArtifactsInput!$M$24)*CHOOSE(ArtifactsInput!$N$24+1,10,12,14,16,18,20)+IF(ArtifactsInput!$M$10,CHOOSE(ArtifactsInput!$N$10+1,15,18,21,24,27,30)*(IF(Inputs!$B$39="pvp",MIN(15,15)/15,IF(AND(Inputs!$B$39&lt;&gt;"pvp",Inputs!$B$44&gt;0),MIN(15,Inputs!$B$44)/(Inputs!$B$44),0))),0)))-100),0))*CHOOSE(ArtifactsInput!$N$42+1,0.6,0.72,0.84,0.96,1.08,1.2))),Inputs!$B$19+((C2966=TRUE)*(F2966-Calc!F23))+(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gt;=100),CHOOSE(ArtifactsInput!$N$42+1,40,48,56,64,72,80),0))))/100)*((1+(((C2956=TRUE)*F2956*IF(AND(Inputs!$B$39&lt;&gt;"pvp",Inputs!$B$44&gt;0),(((R2956-1)*MIN((Skills!T13*(1+Inputs!$B$35/100)),(1/Q2956))+MIN((Skills!T13*(1+Inputs!$B$35/100)),MAX(0,Inputs!$B$44-((R2956-1)*(1/Q2956)))))/Inputs!$B$44),IF(Inputs!$B$39="pvp",MIN((Skills!T13*(1+Inputs!$B$35/100)),15)/15,MIN(1,(Skills!T13*(1+Inputs!$B$35/100))/(1/Q2956)))))+((C2957=TRUE)*F2957*IF(AND(Inputs!$B$39&lt;&gt;"pvp",Inputs!$B$44&gt;0),(((R2957-1)*MIN((Skills!T14*(1+Inputs!$B$35/100)),(1/Q2957))+MIN((Skills!T14*(1+Inputs!$B$35/100)),MAX(0,Inputs!$B$44-((R2957-1)*(1/Q2957)))))/Inputs!$B$44),IF(Inputs!$B$39="pvp",MIN((Skills!T14*(1+Inputs!$B$35/100)),15)/15,MIN(1,(Skills!T14*(1+Inputs!$B$35/100))/(1/Q2957)))))+((C2958=TRUE)*F2958*IF(AND(Inputs!$B$39&lt;&gt;"pvp",Inputs!$B$44&gt;0),(((R2958-1)*MIN((Skills!T15*(1+Inputs!$B$35/100)),(1/Q2958))+MIN((Skills!T15*(1+Inputs!$B$35/100)),MAX(0,Inputs!$B$44-((R2958-1)*(1/Q2958)))))/Inputs!$B$44),IF(Inputs!$B$39="pvp",MIN((Skills!T15*(1+Inputs!$B$35/100)),15)/15,MIN(1,(Skills!T15*(1+Inputs!$B$35/100))/(1/Q2958)))))+((C2959=TRUE)*F2959*IF(AND(Inputs!$B$39&lt;&gt;"pvp",Inputs!$B$44&gt;0),(((R2959-1)*MIN((Skills!T16*(1+Inputs!$B$35/100)),(1/Q2959))+MIN((Skills!T16*(1+Inputs!$B$35/100)),MAX(0,Inputs!$B$44-((R2959-1)*(1/Q2959)))))/Inputs!$B$44),IF(Inputs!$B$39="pvp",MIN((Skills!T16*(1+Inputs!$B$35/100)),15)/15,MIN(1,(Skills!T16*(1+Inputs!$B$35/100))/(1/Q2959)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2945)</f>
        <v/>
      </c>
      <c r="L2945">
        <f>K2945*(MIN(Inputs!$B$23+((C2965=TRUE)*(F2965-Calc!F22)),(Inputs!$B$24+((C2967=TRUE)*(F2967-Calc!F24))+(IF(ArtifactsInput!$M$15,CHOOSE(ArtifactsInput!$N$15+1,25,30,35,40,45,50)/100*(Inputs!$B$12-Inputs!$B$12),0))))/100+(Inputs!$B$24+((C2967=TRUE)*(F2967-Calc!F24))+(IF(ArtifactsInput!$M$15,CHOOSE(ArtifactsInput!$N$15+1,25,30,35,40,45,50)/100*(Inputs!$B$12-Inputs!$B$12),0)))/100)/2</f>
        <v/>
      </c>
      <c r="M2945">
        <f>L2945*(1+(Inputs!$B$11+0+B2977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945">
        <f>L2945*(1-MIN((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2945*(MIN((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45">
        <f>(1-Summary!$B$11)*T2945+Summary!$B$11*V2945</f>
        <v/>
      </c>
      <c r="P2945">
        <f>IF(B2982=0,0,O2945/B2982)</f>
        <v/>
      </c>
      <c r="Q2945" t="n">
        <v>0</v>
      </c>
      <c r="R2945" t="n">
        <v>0</v>
      </c>
      <c r="S2945">
        <f>IFERROR(O2945/N2945,0)</f>
        <v/>
      </c>
      <c r="T2945">
        <f>IF(C2945,(Skills!G2*N2945*B2976)*IF(Inputs!$B$39="pvp",1,1+(Inputs!$B$21+0+Skills!P2+((C2960=TRUE)*F2960*IF(AND(Inputs!$B$39&lt;&gt;"pvp",Inputs!$B$44&gt;0),(((R2960-1)*MIN((Skills!T17*(1+Inputs!$B$35/100)),(1/Q2960))+MIN((Skills!T17*(1+Inputs!$B$35/100)),MAX(0,Inputs!$B$44-((R2960-1)*(1/Q2960)))))/Inputs!$B$44),IF(Inputs!$B$39="pvp",MIN((Skills!T17*(1+Inputs!$B$35/100)),15)/15,MIN(1,(Skills!T17*(1+Inputs!$B$35/100))/(1/Q2960)))))+((C2948=TRUE)*IF(Inputs!$B$3&gt;=126,10*MIN(1,15*Q2948),0))+((C2957=TRUE)*IF(Inputs!$B$39="pvp",20,(1-Summary!$B$11)*(20)+Summary!$B$11*(0))*IF(AND(Inputs!$B$39&lt;&gt;"pvp",Inputs!$B$44&gt;0),(((R2957-1)*MIN((Skills!T14*(1+Inputs!$B$35/100)),(1/Q2957))+MIN((Skills!T14*(1+Inputs!$B$35/100)),MAX(0,Inputs!$B$44-((R2957-1)*(1/Q2957)))))/Inputs!$B$44),IF(Inputs!$B$39="pvp",MIN((Skills!T14*(1+Inputs!$B$35/100)),15)/15,MIN(1,(Skills!T14*(1+Inputs!$B$35/100))/(1/Q2957)))))+((C2956=TRUE)*IF(Inputs!$B$3&gt;=82,IF(Inputs!$B$39="pvp",20,(1-Summary!$B$11)*(20)+Summary!$B$11*(0)),0)*IF(AND(Inputs!$B$39&lt;&gt;"pvp",Inputs!$B$44&gt;0),(((R2956-1)*MIN((Skills!T13*(1+Inputs!$B$35/100)),(1/Q2956))+MIN((Skills!T13*(1+Inputs!$B$35/100)),MAX(0,Inputs!$B$44-((R2956-1)*(1/Q2956)))))/Inputs!$B$44),IF(Inputs!$B$39="pvp",MIN((Skills!T13*(1+Inputs!$B$35/100)),15)/15,MIN(1,(Skills!T13*(1+Inputs!$B$35/100))/(1/Q2956)))))+(IF(AND(ArtifactsInput!$M$35,Inputs!$B$4&lt;&gt;"Chapter Hunt"),CHOOSE(ArtifactsInput!$N$35+1,15,18,21,24,27,30)*(1-EXP(-(0.2*B2974)*5)),0)+IF(AND(ArtifactsInput!$M$22,Inputs!$B$4&lt;&gt;"Chapter Hunt"),CHOOSE(ArtifactsInput!$N$22+1,10,12,14,16,18,20)*((0*(((0.15*B2974*5))^0/1)+1*(((0.15*B2974*5))^1/1)+2*(((0.15*B2974*5))^2/2)+3*(((0.15*B2974*5))^3/6)+4*(((0.15*B2974*5))^4/24)+5*(((0.15*B2974*5))^5/120))/((((0.15*B2974*5))^0/1)+(((0.15*B2974*5))^1/1)+(((0.15*B2974*5))^2/2)+(((0.15*B2974*5))^3/6)+(((0.15*B2974*5))^4/24)+(((0.15*B2974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2945*(1-MIN(100,(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2945*(MIN(100,(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2945*(1-MIN(100,(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2945*(MIN(100,(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945">
        <f>MAX(0,(Inputs!$B$3-100)*3)+Inputs!$B$29+Inputs!$B$30</f>
        <v/>
      </c>
      <c r="V2945">
        <f>IF(C2945,(Skills!G2*N2945*B2976)*IF(Inputs!$B$39="pvp",1,(1+(Inputs!$B$22+Skills!Q2+((C2960=TRUE)*F2960*IF(AND(Inputs!$B$39&lt;&gt;"pvp",Inputs!$B$44&gt;0),(((R2960-1)*MIN((Skills!T17*(1+Inputs!$B$35/100)),(1/Q2960))+MIN((Skills!T17*(1+Inputs!$B$35/100)),MAX(0,Inputs!$B$44-((R2960-1)*(1/Q2960)))))/Inputs!$B$44),IF(Inputs!$B$39="pvp",MIN((Skills!T17*(1+Inputs!$B$35/100)),15)/15,MIN(1,(Skills!T17*(1+Inputs!$B$35/100))/(1/Q2960)))))+((C2948=TRUE)*IF(Inputs!$B$3&gt;=126,10*MIN(1,15*Q2948),0))+((C2957=TRUE)*IF(Inputs!$B$39="pvp",20,(1-Summary!$B$11)*(20)+Summary!$B$11*(0))*IF(AND(Inputs!$B$39&lt;&gt;"pvp",Inputs!$B$44&gt;0),(((R2957-1)*MIN((Skills!T14*(1+Inputs!$B$35/100)),(1/Q2957))+MIN((Skills!T14*(1+Inputs!$B$35/100)),MAX(0,Inputs!$B$44-((R2957-1)*(1/Q2957)))))/Inputs!$B$44),IF(Inputs!$B$39="pvp",MIN((Skills!T14*(1+Inputs!$B$35/100)),15)/15,MIN(1,(Skills!T14*(1+Inputs!$B$35/100))/(1/Q2957)))))+((C2956=TRUE)*IF(Inputs!$B$3&gt;=82,IF(Inputs!$B$39="pvp",20,(1-Summary!$B$11)*(20)+Summary!$B$11*(0)),0)*IF(AND(Inputs!$B$39&lt;&gt;"pvp",Inputs!$B$44&gt;0),(((R2956-1)*MIN((Skills!T13*(1+Inputs!$B$35/100)),(1/Q2956))+MIN((Skills!T13*(1+Inputs!$B$35/100)),MAX(0,Inputs!$B$44-((R2956-1)*(1/Q2956)))))/Inputs!$B$44),IF(Inputs!$B$39="pvp",MIN((Skills!T13*(1+Inputs!$B$35/100)),15)/15,MIN(1,(Skills!T13*(1+Inputs!$B$35/100))/(1/Q2956)))))+(IF(AND(ArtifactsInput!$M$35,Inputs!$B$4&lt;&gt;"Chapter Hunt"),CHOOSE(ArtifactsInput!$N$35+1,15,18,21,24,27,30)*(1-EXP(-(0.2*B2974)*5)),0)+IF(AND(ArtifactsInput!$M$22,Inputs!$B$4&lt;&gt;"Chapter Hunt"),CHOOSE(ArtifactsInput!$N$22+1,10,12,14,16,18,20)*((0*(((0.15*B2974*5))^0/1)+1*(((0.15*B2974*5))^1/1)+2*(((0.15*B2974*5))^2/2)+3*(((0.15*B2974*5))^3/6)+4*(((0.15*B2974*5))^4/24)+5*(((0.15*B2974*5))^5/120))/((((0.15*B2974*5))^0/1)+(((0.15*B2974*5))^1/1)+(((0.15*B2974*5))^2/2)+(((0.15*B2974*5))^3/6)+(((0.15*B2974*5))^4/24)+(((0.15*B2974*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46">
      <c r="A2946">
        <f>Skills!A3</f>
        <v/>
      </c>
      <c r="B2946">
        <f>Skills!B3</f>
        <v/>
      </c>
      <c r="C2946">
        <f>Inputs!$B$3&gt;=50</f>
        <v/>
      </c>
      <c r="D2946">
        <f>IF(Skills!C3=1,60+Inputs!$B$26+Inputs!$B$30,IF(Skills!C3=2,90+Inputs!$B$27+Inputs!$B$30,IF(Skills!C3=3,120+Inputs!$B$28+Inputs!$B$30,MAX(0,(Inputs!$B$3-100)*3)+Inputs!$B$29+Inputs!$B$30)))</f>
        <v/>
      </c>
      <c r="E2946">
        <f>INDEX(FactorTable!$B$2:$Y$301, MATCH(ROUND(MIN(300,MAX(1,D2946)),0), FactorTable!$A$2:$A$301,0), Skills!M3+1)</f>
        <v/>
      </c>
      <c r="F2946">
        <f>IF(Skills!N3=TRUE,(Skills!L3/10)*(E2946/1000),Skills!L3/10)+Skills!O3</f>
        <v/>
      </c>
      <c r="G2946" t="inlineStr"/>
      <c r="H2946" t="inlineStr"/>
      <c r="I2946" t="inlineStr">
        <is>
          <t>1</t>
        </is>
      </c>
      <c r="J2946" t="inlineStr"/>
      <c r="K2946" t="inlineStr"/>
      <c r="L2946" t="inlineStr"/>
      <c r="M2946" t="inlineStr"/>
      <c r="N2946" t="inlineStr"/>
      <c r="O2946" t="inlineStr"/>
      <c r="P2946" t="inlineStr"/>
      <c r="Q2946" t="inlineStr"/>
      <c r="R2946" t="inlineStr"/>
      <c r="S2946" t="inlineStr"/>
      <c r="U2946">
        <f>INDEX(FactorTable!$B$2:$Y$301, MATCH(ROUND(MIN(300,MAX(1,U2945)),0), FactorTable!$A$2:$A$301,0), 22)</f>
        <v/>
      </c>
    </row>
    <row r="2947">
      <c r="A2947">
        <f>Skills!A4</f>
        <v/>
      </c>
      <c r="B2947">
        <f>Skills!B4</f>
        <v/>
      </c>
      <c r="C2947">
        <f>Inputs!$B$3&gt;=105</f>
        <v/>
      </c>
      <c r="D2947">
        <f>IF(Skills!C4=1,60+Inputs!$B$26+Inputs!$B$30,IF(Skills!C4=2,90+Inputs!$B$27+Inputs!$B$30,IF(Skills!C4=3,120+Inputs!$B$28+Inputs!$B$30,MAX(0,(Inputs!$B$3-100)*3)+Inputs!$B$29+Inputs!$B$30)))</f>
        <v/>
      </c>
      <c r="E2947">
        <f>INDEX(FactorTable!$B$2:$Y$301, MATCH(ROUND(MIN(300,MAX(1,D2947)),0), FactorTable!$A$2:$A$301,0), Skills!M4+1)</f>
        <v/>
      </c>
      <c r="F2947">
        <f>IF(Skills!N4=TRUE,(Skills!L4/10)*(E2947/1000),Skills!L4/10)+Skills!O4</f>
        <v/>
      </c>
      <c r="G2947" t="inlineStr"/>
      <c r="H2947" t="inlineStr"/>
      <c r="I2947" t="inlineStr">
        <is>
          <t>1</t>
        </is>
      </c>
      <c r="J2947" t="inlineStr"/>
      <c r="K2947" t="inlineStr"/>
      <c r="L2947" t="inlineStr"/>
      <c r="M2947" t="inlineStr"/>
      <c r="N2947" t="inlineStr"/>
      <c r="O2947" t="inlineStr"/>
      <c r="P2947" t="inlineStr"/>
      <c r="Q2947" t="inlineStr"/>
      <c r="R2947" t="inlineStr"/>
      <c r="S2947" t="inlineStr"/>
      <c r="U2947">
        <f>290*U2946/1000</f>
        <v/>
      </c>
    </row>
    <row r="2948">
      <c r="A2948">
        <f>Skills!A5</f>
        <v/>
      </c>
      <c r="B2948">
        <f>Skills!B5</f>
        <v/>
      </c>
      <c r="C2948">
        <f>Inputs!$B$3&gt;=117</f>
        <v/>
      </c>
      <c r="D2948">
        <f>IF(Skills!C5=1,60+Inputs!$B$26+Inputs!$B$30,IF(Skills!C5=2,90+Inputs!$B$27+Inputs!$B$30,IF(Skills!C5=3,120+Inputs!$B$28+Inputs!$B$30,MAX(0,(Inputs!$B$3-100)*3)+Inputs!$B$29+Inputs!$B$30)))</f>
        <v/>
      </c>
      <c r="E2948">
        <f>INDEX(FactorTable!$B$2:$Y$301, MATCH(ROUND(MIN(300,MAX(1,D2948)),0), FactorTable!$A$2:$A$301,0), Skills!M5+1)</f>
        <v/>
      </c>
      <c r="F2948">
        <f>IF(Skills!N5=TRUE,(Skills!L5/10)*(E2948/1000),Skills!L5/10)+Skills!O5</f>
        <v/>
      </c>
      <c r="G2948">
        <f>Skills!G5*IF(Skills!H5&gt;0,INT(IF(Inputs!$B$39="pvp",MIN(Skills!I5,15),Skills!I5)/Skills!H5+0.000000001),1)</f>
        <v/>
      </c>
      <c r="H2948">
        <f>1-(1-Skills!J5/100)^Skills!K5</f>
        <v/>
      </c>
      <c r="I2948" t="inlineStr">
        <is>
          <t>1</t>
        </is>
      </c>
      <c r="J2948">
        <f>((Inputs!$B$6*(1+Inputs!$B$7/100))+(((Inputs!$B$13*(1+Inputs!$B$14/100))-(Inputs!$B$13*(1+Inputs!$B$14/100)))+0.25*(Inputs!$B$15-Inputs!$B$15))*(1+Inputs!$B$7/100))*(F2948/100)</f>
        <v/>
      </c>
      <c r="K2948">
        <f>J2948*(1+(((Inputs!$B$13+IF(Inputs!$B$3&gt;=38,(10*INDEX(FactorTable!$B$2:$Y$301, MATCH(ROUND(MIN(300,MAX(1,Inputs!$B$3)),0), FactorTable!$A$2:$A$301,0), 23)/1000)/100*(Inputs!$B$8*(1+Inputs!$B$9/100)),0))*(1+Inputs!$B$14/100))*0.01+Inputs!$B$15*0.0025)/100)*(1+Inputs!$B$16/100)*(1+Inputs!$B$17/100)*(5000/(6000+Inputs!$B$43*(1-(Inputs!$B$20+0)/100)))*(1+(Inputs!$B$25+((C2968=TRUE)*(F2968-Calc!F25))+((C2969=TRUE)*(F2969-Calc!F26))+B2978)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gt;=100),MIN(100,((Inputs!$B$10+0+B2972+(ArtifactsInput!$M$24-ArtifactsInput!$M$24)*CHOOSE(ArtifactsInput!$N$24+1,10,12,14,16,18,20)+IF(ArtifactsInput!$M$10,CHOOSE(ArtifactsInput!$N$10+1,15,18,21,24,27,30)*(IF(Inputs!$B$39="pvp",MIN(15,15)/15,IF(AND(Inputs!$B$39&lt;&gt;"pvp",Inputs!$B$44&gt;0),MIN(15,Inputs!$B$44)/(Inputs!$B$44),0))),0)))-100),0))*CHOOSE(ArtifactsInput!$N$42+1,0.6,0.72,0.84,0.96,1.08,1.2))),Inputs!$B$19+((C2966=TRUE)*(F2966-Calc!F23))+(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gt;=100),CHOOSE(ArtifactsInput!$N$42+1,40,48,56,64,72,80),0))))/100)*((1+(((C2956=TRUE)*F2956*IF(AND(Inputs!$B$39&lt;&gt;"pvp",Inputs!$B$44&gt;0),(((R2956-1)*MIN((Skills!T13*(1+Inputs!$B$35/100)),(1/Q2956))+MIN((Skills!T13*(1+Inputs!$B$35/100)),MAX(0,Inputs!$B$44-((R2956-1)*(1/Q2956)))))/Inputs!$B$44),IF(Inputs!$B$39="pvp",MIN((Skills!T13*(1+Inputs!$B$35/100)),15)/15,MIN(1,(Skills!T13*(1+Inputs!$B$35/100))/(1/Q2956)))))+((C2957=TRUE)*F2957*IF(AND(Inputs!$B$39&lt;&gt;"pvp",Inputs!$B$44&gt;0),(((R2957-1)*MIN((Skills!T14*(1+Inputs!$B$35/100)),(1/Q2957))+MIN((Skills!T14*(1+Inputs!$B$35/100)),MAX(0,Inputs!$B$44-((R2957-1)*(1/Q2957)))))/Inputs!$B$44),IF(Inputs!$B$39="pvp",MIN((Skills!T14*(1+Inputs!$B$35/100)),15)/15,MIN(1,(Skills!T14*(1+Inputs!$B$35/100))/(1/Q2957)))))+((C2958=TRUE)*F2958*IF(AND(Inputs!$B$39&lt;&gt;"pvp",Inputs!$B$44&gt;0),(((R2958-1)*MIN((Skills!T15*(1+Inputs!$B$35/100)),(1/Q2958))+MIN((Skills!T15*(1+Inputs!$B$35/100)),MAX(0,Inputs!$B$44-((R2958-1)*(1/Q2958)))))/Inputs!$B$44),IF(Inputs!$B$39="pvp",MIN((Skills!T15*(1+Inputs!$B$35/100)),15)/15,MIN(1,(Skills!T15*(1+Inputs!$B$35/100))/(1/Q2958)))))+((C2959=TRUE)*F2959*IF(AND(Inputs!$B$39&lt;&gt;"pvp",Inputs!$B$44&gt;0),(((R2959-1)*MIN((Skills!T16*(1+Inputs!$B$35/100)),(1/Q2959))+MIN((Skills!T16*(1+Inputs!$B$35/100)),MAX(0,Inputs!$B$44-((R2959-1)*(1/Q2959)))))/Inputs!$B$44),IF(Inputs!$B$39="pvp",MIN((Skills!T16*(1+Inputs!$B$35/100)),15)/15,MIN(1,(Skills!T16*(1+Inputs!$B$35/100))/(1/Q2959)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2948)</f>
        <v/>
      </c>
      <c r="L2948">
        <f>K2948*(MIN(Inputs!$B$23+((C2965=TRUE)*(F2965-Calc!F22)),(Inputs!$B$24+((C2967=TRUE)*(F2967-Calc!F24))+(IF(ArtifactsInput!$M$15,CHOOSE(ArtifactsInput!$N$15+1,25,30,35,40,45,50)/100*(Inputs!$B$12-Inputs!$B$12),0))))/100+(Inputs!$B$24+((C2967=TRUE)*(F2967-Calc!F24))+(IF(ArtifactsInput!$M$15,CHOOSE(ArtifactsInput!$N$15+1,25,30,35,40,45,50)/100*(Inputs!$B$12-Inputs!$B$12),0)))/100)/2</f>
        <v/>
      </c>
      <c r="M2948">
        <f>L2948*(1+(Inputs!$B$11+0+B2977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948">
        <f>L2948*(1-MIN((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2948*(MIN((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48">
        <f>(1-Summary!$B$11)*T2948+Summary!$B$11*V2948</f>
        <v/>
      </c>
      <c r="P2948">
        <f>IF(B2982=0,0,O2948/B2982)</f>
        <v/>
      </c>
      <c r="Q2948">
        <f>IFERROR(1/IF(Inputs!$B$39="pvp",15,MAX(0.1,Skills!D5-IF(TRUE=TRUE,2.5,0))),0)</f>
        <v/>
      </c>
      <c r="R2948">
        <f>IF(AND(Inputs!$B$39&lt;&gt;"pvp",Inputs!$B$44&gt;0),IF(MAX(0,Inputs!$B$44-B2979)&lt;=0,0,(INT(MAX(0,Inputs!$B$44-B2979)/IF(Inputs!$B$39="pvp",15,MAX(0.1,Skills!D5-IF(TRUE=TRUE,2.5,0))))+1)),0)</f>
        <v/>
      </c>
      <c r="S2948">
        <f>IFERROR(O2948/N2948,0)</f>
        <v/>
      </c>
      <c r="T2948">
        <f>IF(C2948,(H2948*N2948*IF(AND(Inputs!$B$39&lt;&gt;"pvp",Inputs!$B$44&gt;0),((Skills!G5*((R2948-1)*IF(Skills!H5&gt;0,INT(Skills!I5/Skills!H5+0.000000001),1)+IF(Skills!H5&gt;0,INT(MIN(Skills!I5,MAX(0,MAX(0,Inputs!$B$44-B2979)-((R2948-1)*IF(Inputs!$B$39="pvp",15,MAX(0.1,Skills!D5-IF(TRUE=TRUE,2.5,0))))))/Skills!H5+0.000000001),1)))/Inputs!$B$44),G2948*Q2948))*IF(Inputs!$B$39="pvp",1,1+(Inputs!$B$21+0+Skills!P5+((C2960=TRUE)*F2960*IF(AND(Inputs!$B$39&lt;&gt;"pvp",Inputs!$B$44&gt;0),(((R2960-1)*MIN((Skills!T17*(1+Inputs!$B$35/100)),(1/Q2960))+MIN((Skills!T17*(1+Inputs!$B$35/100)),MAX(0,Inputs!$B$44-((R2960-1)*(1/Q2960)))))/Inputs!$B$44),IF(Inputs!$B$39="pvp",MIN((Skills!T17*(1+Inputs!$B$35/100)),15)/15,MIN(1,(Skills!T17*(1+Inputs!$B$35/100))/(1/Q2960)))))+((C2948=TRUE)*IF(Inputs!$B$3&gt;=126,10*MIN(1,15*Q2948),0))+((C2957=TRUE)*IF(Inputs!$B$39="pvp",20,(1-Summary!$B$11)*(20)+Summary!$B$11*(0))*IF(AND(Inputs!$B$39&lt;&gt;"pvp",Inputs!$B$44&gt;0),(((R2957-1)*MIN((Skills!T14*(1+Inputs!$B$35/100)),(1/Q2957))+MIN((Skills!T14*(1+Inputs!$B$35/100)),MAX(0,Inputs!$B$44-((R2957-1)*(1/Q2957)))))/Inputs!$B$44),IF(Inputs!$B$39="pvp",MIN((Skills!T14*(1+Inputs!$B$35/100)),15)/15,MIN(1,(Skills!T14*(1+Inputs!$B$35/100))/(1/Q2957)))))+((C2956=TRUE)*IF(Inputs!$B$3&gt;=82,IF(Inputs!$B$39="pvp",20,(1-Summary!$B$11)*(20)+Summary!$B$11*(0)),0)*IF(AND(Inputs!$B$39&lt;&gt;"pvp",Inputs!$B$44&gt;0),(((R2956-1)*MIN((Skills!T13*(1+Inputs!$B$35/100)),(1/Q2956))+MIN((Skills!T13*(1+Inputs!$B$35/100)),MAX(0,Inputs!$B$44-((R2956-1)*(1/Q2956)))))/Inputs!$B$44),IF(Inputs!$B$39="pvp",MIN((Skills!T13*(1+Inputs!$B$35/100)),15)/15,MIN(1,(Skills!T13*(1+Inputs!$B$35/100))/(1/Q2956)))))+(IF(AND(ArtifactsInput!$M$35,Inputs!$B$4&lt;&gt;"Chapter Hunt"),CHOOSE(ArtifactsInput!$N$35+1,15,18,21,24,27,30)*(1-EXP(-(0.2*B2974)*5)),0)+IF(AND(ArtifactsInput!$M$22,Inputs!$B$4&lt;&gt;"Chapter Hunt"),CHOOSE(ArtifactsInput!$N$22+1,10,12,14,16,18,20)*((0*(((0.15*B2974*5))^0/1)+1*(((0.15*B2974*5))^1/1)+2*(((0.15*B2974*5))^2/2)+3*(((0.15*B2974*5))^3/6)+4*(((0.15*B2974*5))^4/24)+5*(((0.15*B2974*5))^5/120))/((((0.15*B2974*5))^0/1)+(((0.15*B2974*5))^1/1)+(((0.15*B2974*5))^2/2)+(((0.15*B2974*5))^3/6)+(((0.15*B2974*5))^4/24)+(((0.15*B2974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2948*(1-MIN(100,(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2948*(MIN(100,(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2948*(1-MIN(100,(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2948*(MIN(100,(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48">
        <f>IF(C2948,(H2948*N2948*IF(AND(Inputs!$B$39&lt;&gt;"pvp",Inputs!$B$44&gt;0),((Skills!G5*((R2948-1)*IF(Skills!H5&gt;0,INT(Skills!I5/Skills!H5+0.000000001),1)+IF(Skills!H5&gt;0,INT(MIN(Skills!I5,MAX(0,MAX(0,Inputs!$B$44-B2979)-((R2948-1)*IF(Inputs!$B$39="pvp",15,MAX(0.1,Skills!D5-IF(TRUE=TRUE,2.5,0))))))/Skills!H5+0.000000001),1)))/Inputs!$B$44),G2948*Q2948))*IF(Inputs!$B$39="pvp",1,(1+(Inputs!$B$22+Skills!Q5+((C2960=TRUE)*F2960*IF(AND(Inputs!$B$39&lt;&gt;"pvp",Inputs!$B$44&gt;0),(((R2960-1)*MIN((Skills!T17*(1+Inputs!$B$35/100)),(1/Q2960))+MIN((Skills!T17*(1+Inputs!$B$35/100)),MAX(0,Inputs!$B$44-((R2960-1)*(1/Q2960)))))/Inputs!$B$44),IF(Inputs!$B$39="pvp",MIN((Skills!T17*(1+Inputs!$B$35/100)),15)/15,MIN(1,(Skills!T17*(1+Inputs!$B$35/100))/(1/Q2960)))))+((C2948=TRUE)*IF(Inputs!$B$3&gt;=126,10*MIN(1,15*Q2948),0))+((C2957=TRUE)*IF(Inputs!$B$39="pvp",20,(1-Summary!$B$11)*(20)+Summary!$B$11*(0))*IF(AND(Inputs!$B$39&lt;&gt;"pvp",Inputs!$B$44&gt;0),(((R2957-1)*MIN((Skills!T14*(1+Inputs!$B$35/100)),(1/Q2957))+MIN((Skills!T14*(1+Inputs!$B$35/100)),MAX(0,Inputs!$B$44-((R2957-1)*(1/Q2957)))))/Inputs!$B$44),IF(Inputs!$B$39="pvp",MIN((Skills!T14*(1+Inputs!$B$35/100)),15)/15,MIN(1,(Skills!T14*(1+Inputs!$B$35/100))/(1/Q2957)))))+((C2956=TRUE)*IF(Inputs!$B$3&gt;=82,IF(Inputs!$B$39="pvp",20,(1-Summary!$B$11)*(20)+Summary!$B$11*(0)),0)*IF(AND(Inputs!$B$39&lt;&gt;"pvp",Inputs!$B$44&gt;0),(((R2956-1)*MIN((Skills!T13*(1+Inputs!$B$35/100)),(1/Q2956))+MIN((Skills!T13*(1+Inputs!$B$35/100)),MAX(0,Inputs!$B$44-((R2956-1)*(1/Q2956)))))/Inputs!$B$44),IF(Inputs!$B$39="pvp",MIN((Skills!T13*(1+Inputs!$B$35/100)),15)/15,MIN(1,(Skills!T13*(1+Inputs!$B$35/100))/(1/Q2956)))))+(IF(AND(ArtifactsInput!$M$35,Inputs!$B$4&lt;&gt;"Chapter Hunt"),CHOOSE(ArtifactsInput!$N$35+1,15,18,21,24,27,30)*(1-EXP(-(0.2*B2974)*5)),0)+IF(AND(ArtifactsInput!$M$22,Inputs!$B$4&lt;&gt;"Chapter Hunt"),CHOOSE(ArtifactsInput!$N$22+1,10,12,14,16,18,20)*((0*(((0.15*B2974*5))^0/1)+1*(((0.15*B2974*5))^1/1)+2*(((0.15*B2974*5))^2/2)+3*(((0.15*B2974*5))^3/6)+4*(((0.15*B2974*5))^4/24)+5*(((0.15*B2974*5))^5/120))/((((0.15*B2974*5))^0/1)+(((0.15*B2974*5))^1/1)+(((0.15*B2974*5))^2/2)+(((0.15*B2974*5))^3/6)+(((0.15*B2974*5))^4/24)+(((0.15*B2974*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49">
      <c r="A2949">
        <f>Skills!A6</f>
        <v/>
      </c>
      <c r="B2949">
        <f>Skills!B6</f>
        <v/>
      </c>
      <c r="C2949">
        <f>Inputs!$B$3&gt;=103</f>
        <v/>
      </c>
      <c r="D2949">
        <f>IF(Skills!C6=1,60+Inputs!$B$26+Inputs!$B$30,IF(Skills!C6=2,90+Inputs!$B$27+Inputs!$B$30,IF(Skills!C6=3,120+Inputs!$B$28+Inputs!$B$30,MAX(0,(Inputs!$B$3-100)*3)+Inputs!$B$29+Inputs!$B$30)))</f>
        <v/>
      </c>
      <c r="E2949">
        <f>INDEX(FactorTable!$B$2:$Y$301, MATCH(ROUND(MIN(300,MAX(1,D2949)),0), FactorTable!$A$2:$A$301,0), Skills!M6+1)</f>
        <v/>
      </c>
      <c r="F2949">
        <f>IF(Skills!N6=TRUE,(Skills!L6/10)*(E2949/1000),Skills!L6/10)+Skills!O6</f>
        <v/>
      </c>
      <c r="G2949">
        <f>Skills!G6*IF(Skills!H6&gt;0,INT(IF(Inputs!$B$39="pvp",MIN(Skills!I6,15),Skills!I6)/Skills!H6+0.000000001),1)</f>
        <v/>
      </c>
      <c r="H2949">
        <f>1-(1-Skills!J6/100)^Skills!K6</f>
        <v/>
      </c>
      <c r="I2949" t="inlineStr">
        <is>
          <t>1</t>
        </is>
      </c>
      <c r="J2949">
        <f>((Inputs!$B$6*(1+Inputs!$B$7/100))+(((Inputs!$B$13*(1+Inputs!$B$14/100))-(Inputs!$B$13*(1+Inputs!$B$14/100)))+0.25*(Inputs!$B$15-Inputs!$B$15))*(1+Inputs!$B$7/100))*(F2949/100)</f>
        <v/>
      </c>
      <c r="K2949">
        <f>J2949*(1+(((Inputs!$B$13+IF(Inputs!$B$3&gt;=38,(10*INDEX(FactorTable!$B$2:$Y$301, MATCH(ROUND(MIN(300,MAX(1,Inputs!$B$3)),0), FactorTable!$A$2:$A$301,0), 23)/1000)/100*(Inputs!$B$8*(1+Inputs!$B$9/100)),0))*(1+Inputs!$B$14/100))*0.01+Inputs!$B$15*0.0025)/100)*(1+Inputs!$B$16/100)*(1+Inputs!$B$17/100)*(5000/(6000+Inputs!$B$43*(1-(Inputs!$B$20+0)/100)))*(1+(Inputs!$B$25+((C2968=TRUE)*(F2968-Calc!F25))+((C2969=TRUE)*(F2969-Calc!F26))+B2978)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gt;=100),MIN(100,((Inputs!$B$10+0+B2972+(ArtifactsInput!$M$24-ArtifactsInput!$M$24)*CHOOSE(ArtifactsInput!$N$24+1,10,12,14,16,18,20)+IF(ArtifactsInput!$M$10,CHOOSE(ArtifactsInput!$N$10+1,15,18,21,24,27,30)*(IF(Inputs!$B$39="pvp",MIN(15,15)/15,IF(AND(Inputs!$B$39&lt;&gt;"pvp",Inputs!$B$44&gt;0),MIN(15,Inputs!$B$44)/(Inputs!$B$44),0))),0)))-100),0))*CHOOSE(ArtifactsInput!$N$42+1,0.6,0.72,0.84,0.96,1.08,1.2))),Inputs!$B$19+((C2966=TRUE)*(F2966-Calc!F23))+(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gt;=100),CHOOSE(ArtifactsInput!$N$42+1,40,48,56,64,72,80),0))))/100)*((1+(((C2956=TRUE)*F2956*IF(AND(Inputs!$B$39&lt;&gt;"pvp",Inputs!$B$44&gt;0),(((R2956-1)*MIN((Skills!T13*(1+Inputs!$B$35/100)),(1/Q2956))+MIN((Skills!T13*(1+Inputs!$B$35/100)),MAX(0,Inputs!$B$44-((R2956-1)*(1/Q2956)))))/Inputs!$B$44),IF(Inputs!$B$39="pvp",MIN((Skills!T13*(1+Inputs!$B$35/100)),15)/15,MIN(1,(Skills!T13*(1+Inputs!$B$35/100))/(1/Q2956)))))+((C2957=TRUE)*F2957*IF(AND(Inputs!$B$39&lt;&gt;"pvp",Inputs!$B$44&gt;0),(((R2957-1)*MIN((Skills!T14*(1+Inputs!$B$35/100)),(1/Q2957))+MIN((Skills!T14*(1+Inputs!$B$35/100)),MAX(0,Inputs!$B$44-((R2957-1)*(1/Q2957)))))/Inputs!$B$44),IF(Inputs!$B$39="pvp",MIN((Skills!T14*(1+Inputs!$B$35/100)),15)/15,MIN(1,(Skills!T14*(1+Inputs!$B$35/100))/(1/Q2957)))))+((C2958=TRUE)*F2958*IF(AND(Inputs!$B$39&lt;&gt;"pvp",Inputs!$B$44&gt;0),(((R2958-1)*MIN((Skills!T15*(1+Inputs!$B$35/100)),(1/Q2958))+MIN((Skills!T15*(1+Inputs!$B$35/100)),MAX(0,Inputs!$B$44-((R2958-1)*(1/Q2958)))))/Inputs!$B$44),IF(Inputs!$B$39="pvp",MIN((Skills!T15*(1+Inputs!$B$35/100)),15)/15,MIN(1,(Skills!T15*(1+Inputs!$B$35/100))/(1/Q2958)))))+((C2959=TRUE)*F2959*IF(AND(Inputs!$B$39&lt;&gt;"pvp",Inputs!$B$44&gt;0),(((R2959-1)*MIN((Skills!T16*(1+Inputs!$B$35/100)),(1/Q2959))+MIN((Skills!T16*(1+Inputs!$B$35/100)),MAX(0,Inputs!$B$44-((R2959-1)*(1/Q2959)))))/Inputs!$B$44),IF(Inputs!$B$39="pvp",MIN((Skills!T16*(1+Inputs!$B$35/100)),15)/15,MIN(1,(Skills!T16*(1+Inputs!$B$35/100))/(1/Q2959)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2949)</f>
        <v/>
      </c>
      <c r="L2949">
        <f>K2949*(MIN(Inputs!$B$23+((C2965=TRUE)*(F2965-Calc!F22)),(Inputs!$B$24+((C2967=TRUE)*(F2967-Calc!F24))+(IF(ArtifactsInput!$M$15,CHOOSE(ArtifactsInput!$N$15+1,25,30,35,40,45,50)/100*(Inputs!$B$12-Inputs!$B$12),0))))/100+(Inputs!$B$24+((C2967=TRUE)*(F2967-Calc!F24))+(IF(ArtifactsInput!$M$15,CHOOSE(ArtifactsInput!$N$15+1,25,30,35,40,45,50)/100*(Inputs!$B$12-Inputs!$B$12),0)))/100)/2</f>
        <v/>
      </c>
      <c r="M2949">
        <f>L2949*(1+(Inputs!$B$11+0+B2977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949">
        <f>L2949*(1-MIN((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2949*(MIN((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49">
        <f>(1-Summary!$B$11)*T2949+Summary!$B$11*V2949</f>
        <v/>
      </c>
      <c r="P2949">
        <f>IF(B2982=0,0,O2949/B2982)</f>
        <v/>
      </c>
      <c r="Q2949">
        <f>IFERROR(1/IF(Inputs!$B$39="pvp",15,MAX(0.1,Skills!D6-IF(TRUE=TRUE,2.5,0))),0)</f>
        <v/>
      </c>
      <c r="R2949">
        <f>IF(AND(Inputs!$B$39&lt;&gt;"pvp",Inputs!$B$44&gt;0),IF(MAX(0,Inputs!$B$44-B2979)&lt;=0,0,(INT(MAX(0,Inputs!$B$44-B2979)/IF(Inputs!$B$39="pvp",15,MAX(0.1,Skills!D6-IF(TRUE=TRUE,2.5,0))))+1)),0)</f>
        <v/>
      </c>
      <c r="S2949">
        <f>IFERROR(O2949/N2949,0)</f>
        <v/>
      </c>
      <c r="T2949">
        <f>IF(C2949,(H2949*N2949*IF(AND(Inputs!$B$39&lt;&gt;"pvp",Inputs!$B$44&gt;0),((Skills!G6*((R2949-1)*IF(Skills!H6&gt;0,INT(Skills!I6/Skills!H6+0.000000001),1)+IF(Skills!H6&gt;0,INT(MIN(Skills!I6,MAX(0,MAX(0,Inputs!$B$44-B2979)-((R2949-1)*IF(Inputs!$B$39="pvp",15,MAX(0.1,Skills!D6-IF(TRUE=TRUE,2.5,0))))))/Skills!H6+0.000000001),1)))/Inputs!$B$44),G2949*Q2949))*IF(Inputs!$B$39="pvp",1,1+(Inputs!$B$21+0+Skills!P6+((C2960=TRUE)*F2960*IF(AND(Inputs!$B$39&lt;&gt;"pvp",Inputs!$B$44&gt;0),(((R2960-1)*MIN((Skills!T17*(1+Inputs!$B$35/100)),(1/Q2960))+MIN((Skills!T17*(1+Inputs!$B$35/100)),MAX(0,Inputs!$B$44-((R2960-1)*(1/Q2960)))))/Inputs!$B$44),IF(Inputs!$B$39="pvp",MIN((Skills!T17*(1+Inputs!$B$35/100)),15)/15,MIN(1,(Skills!T17*(1+Inputs!$B$35/100))/(1/Q2960)))))+((C2948=TRUE)*IF(Inputs!$B$3&gt;=126,10*MIN(1,15*Q2948),0))+((C2957=TRUE)*IF(Inputs!$B$39="pvp",20,(1-Summary!$B$11)*(20)+Summary!$B$11*(0))*IF(AND(Inputs!$B$39&lt;&gt;"pvp",Inputs!$B$44&gt;0),(((R2957-1)*MIN((Skills!T14*(1+Inputs!$B$35/100)),(1/Q2957))+MIN((Skills!T14*(1+Inputs!$B$35/100)),MAX(0,Inputs!$B$44-((R2957-1)*(1/Q2957)))))/Inputs!$B$44),IF(Inputs!$B$39="pvp",MIN((Skills!T14*(1+Inputs!$B$35/100)),15)/15,MIN(1,(Skills!T14*(1+Inputs!$B$35/100))/(1/Q2957)))))+((C2956=TRUE)*IF(Inputs!$B$3&gt;=82,IF(Inputs!$B$39="pvp",20,(1-Summary!$B$11)*(20)+Summary!$B$11*(0)),0)*IF(AND(Inputs!$B$39&lt;&gt;"pvp",Inputs!$B$44&gt;0),(((R2956-1)*MIN((Skills!T13*(1+Inputs!$B$35/100)),(1/Q2956))+MIN((Skills!T13*(1+Inputs!$B$35/100)),MAX(0,Inputs!$B$44-((R2956-1)*(1/Q2956)))))/Inputs!$B$44),IF(Inputs!$B$39="pvp",MIN((Skills!T13*(1+Inputs!$B$35/100)),15)/15,MIN(1,(Skills!T13*(1+Inputs!$B$35/100))/(1/Q2956)))))+(IF(AND(ArtifactsInput!$M$35,Inputs!$B$4&lt;&gt;"Chapter Hunt"),CHOOSE(ArtifactsInput!$N$35+1,15,18,21,24,27,30)*(1-EXP(-(0.2*B2974)*5)),0)+IF(AND(ArtifactsInput!$M$22,Inputs!$B$4&lt;&gt;"Chapter Hunt"),CHOOSE(ArtifactsInput!$N$22+1,10,12,14,16,18,20)*((0*(((0.15*B2974*5))^0/1)+1*(((0.15*B2974*5))^1/1)+2*(((0.15*B2974*5))^2/2)+3*(((0.15*B2974*5))^3/6)+4*(((0.15*B2974*5))^4/24)+5*(((0.15*B2974*5))^5/120))/((((0.15*B2974*5))^0/1)+(((0.15*B2974*5))^1/1)+(((0.15*B2974*5))^2/2)+(((0.15*B2974*5))^3/6)+(((0.15*B2974*5))^4/24)+(((0.15*B2974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2949*(1-MIN(100,(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2949*(MIN(100,(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2949*(1-MIN(100,(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2949*(MIN(100,(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49">
        <f>IF(C2949,(H2949*N2949*IF(AND(Inputs!$B$39&lt;&gt;"pvp",Inputs!$B$44&gt;0),((Skills!G6*((R2949-1)*IF(Skills!H6&gt;0,INT(Skills!I6/Skills!H6+0.000000001),1)+IF(Skills!H6&gt;0,INT(MIN(Skills!I6,MAX(0,MAX(0,Inputs!$B$44-B2979)-((R2949-1)*IF(Inputs!$B$39="pvp",15,MAX(0.1,Skills!D6-IF(TRUE=TRUE,2.5,0))))))/Skills!H6+0.000000001),1)))/Inputs!$B$44),G2949*Q2949))*IF(Inputs!$B$39="pvp",1,(1+(Inputs!$B$22+Skills!Q6+((C2960=TRUE)*F2960*IF(AND(Inputs!$B$39&lt;&gt;"pvp",Inputs!$B$44&gt;0),(((R2960-1)*MIN((Skills!T17*(1+Inputs!$B$35/100)),(1/Q2960))+MIN((Skills!T17*(1+Inputs!$B$35/100)),MAX(0,Inputs!$B$44-((R2960-1)*(1/Q2960)))))/Inputs!$B$44),IF(Inputs!$B$39="pvp",MIN((Skills!T17*(1+Inputs!$B$35/100)),15)/15,MIN(1,(Skills!T17*(1+Inputs!$B$35/100))/(1/Q2960)))))+((C2948=TRUE)*IF(Inputs!$B$3&gt;=126,10*MIN(1,15*Q2948),0))+((C2957=TRUE)*IF(Inputs!$B$39="pvp",20,(1-Summary!$B$11)*(20)+Summary!$B$11*(0))*IF(AND(Inputs!$B$39&lt;&gt;"pvp",Inputs!$B$44&gt;0),(((R2957-1)*MIN((Skills!T14*(1+Inputs!$B$35/100)),(1/Q2957))+MIN((Skills!T14*(1+Inputs!$B$35/100)),MAX(0,Inputs!$B$44-((R2957-1)*(1/Q2957)))))/Inputs!$B$44),IF(Inputs!$B$39="pvp",MIN((Skills!T14*(1+Inputs!$B$35/100)),15)/15,MIN(1,(Skills!T14*(1+Inputs!$B$35/100))/(1/Q2957)))))+((C2956=TRUE)*IF(Inputs!$B$3&gt;=82,IF(Inputs!$B$39="pvp",20,(1-Summary!$B$11)*(20)+Summary!$B$11*(0)),0)*IF(AND(Inputs!$B$39&lt;&gt;"pvp",Inputs!$B$44&gt;0),(((R2956-1)*MIN((Skills!T13*(1+Inputs!$B$35/100)),(1/Q2956))+MIN((Skills!T13*(1+Inputs!$B$35/100)),MAX(0,Inputs!$B$44-((R2956-1)*(1/Q2956)))))/Inputs!$B$44),IF(Inputs!$B$39="pvp",MIN((Skills!T13*(1+Inputs!$B$35/100)),15)/15,MIN(1,(Skills!T13*(1+Inputs!$B$35/100))/(1/Q2956)))))+(IF(AND(ArtifactsInput!$M$35,Inputs!$B$4&lt;&gt;"Chapter Hunt"),CHOOSE(ArtifactsInput!$N$35+1,15,18,21,24,27,30)*(1-EXP(-(0.2*B2974)*5)),0)+IF(AND(ArtifactsInput!$M$22,Inputs!$B$4&lt;&gt;"Chapter Hunt"),CHOOSE(ArtifactsInput!$N$22+1,10,12,14,16,18,20)*((0*(((0.15*B2974*5))^0/1)+1*(((0.15*B2974*5))^1/1)+2*(((0.15*B2974*5))^2/2)+3*(((0.15*B2974*5))^3/6)+4*(((0.15*B2974*5))^4/24)+5*(((0.15*B2974*5))^5/120))/((((0.15*B2974*5))^0/1)+(((0.15*B2974*5))^1/1)+(((0.15*B2974*5))^2/2)+(((0.15*B2974*5))^3/6)+(((0.15*B2974*5))^4/24)+(((0.15*B2974*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50">
      <c r="A2950">
        <f>Skills!A7</f>
        <v/>
      </c>
      <c r="B2950">
        <f>Skills!B7</f>
        <v/>
      </c>
      <c r="C2950">
        <f>Inputs!$B$3&gt;=40</f>
        <v/>
      </c>
      <c r="D2950">
        <f>IF(Skills!C7=1,60+Inputs!$B$26+Inputs!$B$30,IF(Skills!C7=2,90+Inputs!$B$27+Inputs!$B$30,IF(Skills!C7=3,120+Inputs!$B$28+Inputs!$B$30,MAX(0,(Inputs!$B$3-100)*3)+Inputs!$B$29+Inputs!$B$30)))</f>
        <v/>
      </c>
      <c r="E2950">
        <f>INDEX(FactorTable!$B$2:$Y$301, MATCH(ROUND(MIN(300,MAX(1,D2950)),0), FactorTable!$A$2:$A$301,0), Skills!M7+1)</f>
        <v/>
      </c>
      <c r="F2950">
        <f>IF(Skills!N7=TRUE,(Skills!L7/10)*(E2950/1000),Skills!L7/10)+Skills!O7</f>
        <v/>
      </c>
      <c r="G2950">
        <f>Skills!G7*IF(Skills!H7&gt;0,INT(IF(Inputs!$B$39="pvp",MIN(Skills!I7,15),Skills!I7)/Skills!H7+0.000000001),1)</f>
        <v/>
      </c>
      <c r="H2950">
        <f>1-(1-Skills!J7/100)^Skills!K7</f>
        <v/>
      </c>
      <c r="I2950" t="inlineStr">
        <is>
          <t>1</t>
        </is>
      </c>
      <c r="J2950">
        <f>((Inputs!$B$6*(1+Inputs!$B$7/100))+(((Inputs!$B$13*(1+Inputs!$B$14/100))-(Inputs!$B$13*(1+Inputs!$B$14/100)))+0.25*(Inputs!$B$15-Inputs!$B$15))*(1+Inputs!$B$7/100))*(F2950/100)</f>
        <v/>
      </c>
      <c r="K2950">
        <f>J2950*(1+(((Inputs!$B$13+IF(Inputs!$B$3&gt;=38,(10*INDEX(FactorTable!$B$2:$Y$301, MATCH(ROUND(MIN(300,MAX(1,Inputs!$B$3)),0), FactorTable!$A$2:$A$301,0), 23)/1000)/100*(Inputs!$B$8*(1+Inputs!$B$9/100)),0))*(1+Inputs!$B$14/100))*0.01+Inputs!$B$15*0.0025)/100)*(1+Inputs!$B$16/100)*(1+Inputs!$B$17/100)*(5000/(6000+Inputs!$B$43*(1-(Inputs!$B$20+0)/100)))*(1+(Inputs!$B$25+((C2968=TRUE)*(F2968-Calc!F25))+((C2969=TRUE)*(F2969-Calc!F26))+B2978)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2954=TRUE,F2954,0)/100)*(1+(IF(Skills!A7="DARK_IMPALE",Inputs!$B$18+0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gt;=100),MIN(100,((Inputs!$B$10+0+B2972+(ArtifactsInput!$M$24-ArtifactsInput!$M$24)*CHOOSE(ArtifactsInput!$N$24+1,10,12,14,16,18,20)+IF(ArtifactsInput!$M$10,CHOOSE(ArtifactsInput!$N$10+1,15,18,21,24,27,30)*(IF(Inputs!$B$39="pvp",MIN(15,15)/15,IF(AND(Inputs!$B$39&lt;&gt;"pvp",Inputs!$B$44&gt;0),MIN(15,Inputs!$B$44)/(Inputs!$B$44),0))),0)))-100),0))*CHOOSE(ArtifactsInput!$N$42+1,0.6,0.72,0.84,0.96,1.08,1.2))),Inputs!$B$19+((C2966=TRUE)*(F2966-Calc!F23))+(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gt;=100),CHOOSE(ArtifactsInput!$N$42+1,40,48,56,64,72,80),0))))/100)*((1+(((C2956=TRUE)*F2956*IF(AND(Inputs!$B$39&lt;&gt;"pvp",Inputs!$B$44&gt;0),(((R2956-1)*MIN((Skills!T13*(1+Inputs!$B$35/100)),(1/Q2956))+MIN((Skills!T13*(1+Inputs!$B$35/100)),MAX(0,Inputs!$B$44-((R2956-1)*(1/Q2956)))))/Inputs!$B$44),IF(Inputs!$B$39="pvp",MIN((Skills!T13*(1+Inputs!$B$35/100)),15)/15,MIN(1,(Skills!T13*(1+Inputs!$B$35/100))/(1/Q2956)))))+((C2957=TRUE)*F2957*IF(AND(Inputs!$B$39&lt;&gt;"pvp",Inputs!$B$44&gt;0),(((R2957-1)*MIN((Skills!T14*(1+Inputs!$B$35/100)),(1/Q2957))+MIN((Skills!T14*(1+Inputs!$B$35/100)),MAX(0,Inputs!$B$44-((R2957-1)*(1/Q2957)))))/Inputs!$B$44),IF(Inputs!$B$39="pvp",MIN((Skills!T14*(1+Inputs!$B$35/100)),15)/15,MIN(1,(Skills!T14*(1+Inputs!$B$35/100))/(1/Q2957)))))+((C2958=TRUE)*F2958*IF(AND(Inputs!$B$39&lt;&gt;"pvp",Inputs!$B$44&gt;0),(((R2958-1)*MIN((Skills!T15*(1+Inputs!$B$35/100)),(1/Q2958))+MIN((Skills!T15*(1+Inputs!$B$35/100)),MAX(0,Inputs!$B$44-((R2958-1)*(1/Q2958)))))/Inputs!$B$44),IF(Inputs!$B$39="pvp",MIN((Skills!T15*(1+Inputs!$B$35/100)),15)/15,MIN(1,(Skills!T15*(1+Inputs!$B$35/100))/(1/Q2958)))))+((C2959=TRUE)*F2959*IF(AND(Inputs!$B$39&lt;&gt;"pvp",Inputs!$B$44&gt;0),(((R2959-1)*MIN((Skills!T16*(1+Inputs!$B$35/100)),(1/Q2959))+MIN((Skills!T16*(1+Inputs!$B$35/100)),MAX(0,Inputs!$B$44-((R2959-1)*(1/Q2959)))))/Inputs!$B$44),IF(Inputs!$B$39="pvp",MIN((Skills!T16*(1+Inputs!$B$35/100)),15)/15,MIN(1,(Skills!T16*(1+Inputs!$B$35/100))/(1/Q2959)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2950)</f>
        <v/>
      </c>
      <c r="L2950">
        <f>K2950*(MIN(Inputs!$B$23+((C2965=TRUE)*(F2965-Calc!F22)),(Inputs!$B$24+((C2967=TRUE)*(F2967-Calc!F24))+(IF(ArtifactsInput!$M$15,CHOOSE(ArtifactsInput!$N$15+1,25,30,35,40,45,50)/100*(Inputs!$B$12-Inputs!$B$12),0))))/100+(Inputs!$B$24+((C2967=TRUE)*(F2967-Calc!F24))+(IF(ArtifactsInput!$M$15,CHOOSE(ArtifactsInput!$N$15+1,25,30,35,40,45,50)/100*(Inputs!$B$12-Inputs!$B$12),0)))/100)/2</f>
        <v/>
      </c>
      <c r="M2950">
        <f>L2950*(1+(Inputs!$B$11+0+B2977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950">
        <f>L2950*(1-MIN((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2950*(MIN((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50">
        <f>(1-Summary!$B$11)*T2950+Summary!$B$11*V2950</f>
        <v/>
      </c>
      <c r="P2950">
        <f>IF(B2982=0,0,O2950/B2982)</f>
        <v/>
      </c>
      <c r="Q2950">
        <f>IFERROR(1/IF(Inputs!$B$39="pvp",15,MAX(0.1,Skills!D7-IF(TRUE=TRUE,2.5,0))),0)</f>
        <v/>
      </c>
      <c r="R2950">
        <f>IF(AND(Inputs!$B$39&lt;&gt;"pvp",Inputs!$B$44&gt;0),IF(MAX(0,Inputs!$B$44-B2979)&lt;=0,0,(INT(MAX(0,Inputs!$B$44-B2979)/IF(Inputs!$B$39="pvp",15,MAX(0.1,Skills!D7-IF(TRUE=TRUE,2.5,0))))+1)),0)</f>
        <v/>
      </c>
      <c r="S2950">
        <f>IFERROR(O2950/N2950,0)</f>
        <v/>
      </c>
      <c r="T2950">
        <f>IF(C2950,(H2950*N2950*IF(AND(Inputs!$B$39&lt;&gt;"pvp",Inputs!$B$44&gt;0),((Skills!G7*((R2950-1)*IF(Skills!H7&gt;0,INT(Skills!I7/Skills!H7+0.000000001),1)+IF(Skills!H7&gt;0,INT(MIN(Skills!I7,MAX(0,MAX(0,Inputs!$B$44-B2979)-((R2950-1)*IF(Inputs!$B$39="pvp",15,MAX(0.1,Skills!D7-IF(TRUE=TRUE,2.5,0))))))/Skills!H7+0.000000001),1)))/Inputs!$B$44),G2950*Q2950))*IF(Inputs!$B$39="pvp",1,1+(Inputs!$B$21+0+Skills!P7+((C2960=TRUE)*F2960*IF(AND(Inputs!$B$39&lt;&gt;"pvp",Inputs!$B$44&gt;0),(((R2960-1)*MIN((Skills!T17*(1+Inputs!$B$35/100)),(1/Q2960))+MIN((Skills!T17*(1+Inputs!$B$35/100)),MAX(0,Inputs!$B$44-((R2960-1)*(1/Q2960)))))/Inputs!$B$44),IF(Inputs!$B$39="pvp",MIN((Skills!T17*(1+Inputs!$B$35/100)),15)/15,MIN(1,(Skills!T17*(1+Inputs!$B$35/100))/(1/Q2960)))))+((C2948=TRUE)*IF(Inputs!$B$3&gt;=126,10*MIN(1,15*Q2948),0))+((C2957=TRUE)*IF(Inputs!$B$39="pvp",20,(1-Summary!$B$11)*(20)+Summary!$B$11*(0))*IF(AND(Inputs!$B$39&lt;&gt;"pvp",Inputs!$B$44&gt;0),(((R2957-1)*MIN((Skills!T14*(1+Inputs!$B$35/100)),(1/Q2957))+MIN((Skills!T14*(1+Inputs!$B$35/100)),MAX(0,Inputs!$B$44-((R2957-1)*(1/Q2957)))))/Inputs!$B$44),IF(Inputs!$B$39="pvp",MIN((Skills!T14*(1+Inputs!$B$35/100)),15)/15,MIN(1,(Skills!T14*(1+Inputs!$B$35/100))/(1/Q2957)))))+((C2956=TRUE)*IF(Inputs!$B$3&gt;=82,IF(Inputs!$B$39="pvp",20,(1-Summary!$B$11)*(20)+Summary!$B$11*(0)),0)*IF(AND(Inputs!$B$39&lt;&gt;"pvp",Inputs!$B$44&gt;0),(((R2956-1)*MIN((Skills!T13*(1+Inputs!$B$35/100)),(1/Q2956))+MIN((Skills!T13*(1+Inputs!$B$35/100)),MAX(0,Inputs!$B$44-((R2956-1)*(1/Q2956)))))/Inputs!$B$44),IF(Inputs!$B$39="pvp",MIN((Skills!T13*(1+Inputs!$B$35/100)),15)/15,MIN(1,(Skills!T13*(1+Inputs!$B$35/100))/(1/Q2956)))))+(IF(AND(ArtifactsInput!$M$35,Inputs!$B$4&lt;&gt;"Chapter Hunt"),CHOOSE(ArtifactsInput!$N$35+1,15,18,21,24,27,30)*(1-EXP(-(0.2*B2974)*5)),0)+IF(AND(ArtifactsInput!$M$22,Inputs!$B$4&lt;&gt;"Chapter Hunt"),CHOOSE(ArtifactsInput!$N$22+1,10,12,14,16,18,20)*((0*(((0.15*B2974*5))^0/1)+1*(((0.15*B2974*5))^1/1)+2*(((0.15*B2974*5))^2/2)+3*(((0.15*B2974*5))^3/6)+4*(((0.15*B2974*5))^4/24)+5*(((0.15*B2974*5))^5/120))/((((0.15*B2974*5))^0/1)+(((0.15*B2974*5))^1/1)+(((0.15*B2974*5))^2/2)+(((0.15*B2974*5))^3/6)+(((0.15*B2974*5))^4/24)+(((0.15*B2974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2950*(1-MIN(100,(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2950*(MIN(100,(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2950*(1-MIN(100,(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2950*(MIN(100,(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50">
        <f>IF(C2950,(H2950*N2950*IF(AND(Inputs!$B$39&lt;&gt;"pvp",Inputs!$B$44&gt;0),((Skills!G7*((R2950-1)*IF(Skills!H7&gt;0,INT(Skills!I7/Skills!H7+0.000000001),1)+IF(Skills!H7&gt;0,INT(MIN(Skills!I7,MAX(0,MAX(0,Inputs!$B$44-B2979)-((R2950-1)*IF(Inputs!$B$39="pvp",15,MAX(0.1,Skills!D7-IF(TRUE=TRUE,2.5,0))))))/Skills!H7+0.000000001),1)))/Inputs!$B$44),G2950*Q2950))*IF(Inputs!$B$39="pvp",1,(1+(Inputs!$B$22+Skills!Q7+((C2960=TRUE)*F2960*IF(AND(Inputs!$B$39&lt;&gt;"pvp",Inputs!$B$44&gt;0),(((R2960-1)*MIN((Skills!T17*(1+Inputs!$B$35/100)),(1/Q2960))+MIN((Skills!T17*(1+Inputs!$B$35/100)),MAX(0,Inputs!$B$44-((R2960-1)*(1/Q2960)))))/Inputs!$B$44),IF(Inputs!$B$39="pvp",MIN((Skills!T17*(1+Inputs!$B$35/100)),15)/15,MIN(1,(Skills!T17*(1+Inputs!$B$35/100))/(1/Q2960)))))+((C2948=TRUE)*IF(Inputs!$B$3&gt;=126,10*MIN(1,15*Q2948),0))+((C2957=TRUE)*IF(Inputs!$B$39="pvp",20,(1-Summary!$B$11)*(20)+Summary!$B$11*(0))*IF(AND(Inputs!$B$39&lt;&gt;"pvp",Inputs!$B$44&gt;0),(((R2957-1)*MIN((Skills!T14*(1+Inputs!$B$35/100)),(1/Q2957))+MIN((Skills!T14*(1+Inputs!$B$35/100)),MAX(0,Inputs!$B$44-((R2957-1)*(1/Q2957)))))/Inputs!$B$44),IF(Inputs!$B$39="pvp",MIN((Skills!T14*(1+Inputs!$B$35/100)),15)/15,MIN(1,(Skills!T14*(1+Inputs!$B$35/100))/(1/Q2957)))))+((C2956=TRUE)*IF(Inputs!$B$3&gt;=82,IF(Inputs!$B$39="pvp",20,(1-Summary!$B$11)*(20)+Summary!$B$11*(0)),0)*IF(AND(Inputs!$B$39&lt;&gt;"pvp",Inputs!$B$44&gt;0),(((R2956-1)*MIN((Skills!T13*(1+Inputs!$B$35/100)),(1/Q2956))+MIN((Skills!T13*(1+Inputs!$B$35/100)),MAX(0,Inputs!$B$44-((R2956-1)*(1/Q2956)))))/Inputs!$B$44),IF(Inputs!$B$39="pvp",MIN((Skills!T13*(1+Inputs!$B$35/100)),15)/15,MIN(1,(Skills!T13*(1+Inputs!$B$35/100))/(1/Q2956)))))+(IF(AND(ArtifactsInput!$M$35,Inputs!$B$4&lt;&gt;"Chapter Hunt"),CHOOSE(ArtifactsInput!$N$35+1,15,18,21,24,27,30)*(1-EXP(-(0.2*B2974)*5)),0)+IF(AND(ArtifactsInput!$M$22,Inputs!$B$4&lt;&gt;"Chapter Hunt"),CHOOSE(ArtifactsInput!$N$22+1,10,12,14,16,18,20)*((0*(((0.15*B2974*5))^0/1)+1*(((0.15*B2974*5))^1/1)+2*(((0.15*B2974*5))^2/2)+3*(((0.15*B2974*5))^3/6)+4*(((0.15*B2974*5))^4/24)+5*(((0.15*B2974*5))^5/120))/((((0.15*B2974*5))^0/1)+(((0.15*B2974*5))^1/1)+(((0.15*B2974*5))^2/2)+(((0.15*B2974*5))^3/6)+(((0.15*B2974*5))^4/24)+(((0.15*B2974*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51">
      <c r="A2951">
        <f>Skills!A8</f>
        <v/>
      </c>
      <c r="B2951">
        <f>Skills!B8</f>
        <v/>
      </c>
      <c r="C2951">
        <f>Inputs!$B$3&gt;=75</f>
        <v/>
      </c>
      <c r="D2951">
        <f>IF(Skills!C8=1,60+Inputs!$B$26+Inputs!$B$30,IF(Skills!C8=2,90+Inputs!$B$27+Inputs!$B$30,IF(Skills!C8=3,120+Inputs!$B$28+Inputs!$B$30,MAX(0,(Inputs!$B$3-100)*3)+Inputs!$B$29+Inputs!$B$30)))</f>
        <v/>
      </c>
      <c r="E2951">
        <f>INDEX(FactorTable!$B$2:$Y$301, MATCH(ROUND(MIN(300,MAX(1,D2951)),0), FactorTable!$A$2:$A$301,0), Skills!M8+1)</f>
        <v/>
      </c>
      <c r="F2951">
        <f>IF(Skills!N8=TRUE,(Skills!L8/10)*(E2951/1000),Skills!L8/10)+Skills!O8</f>
        <v/>
      </c>
      <c r="G2951" t="inlineStr"/>
      <c r="H2951" t="inlineStr"/>
      <c r="I2951" t="inlineStr">
        <is>
          <t>1</t>
        </is>
      </c>
      <c r="J2951" t="inlineStr"/>
      <c r="K2951" t="inlineStr"/>
      <c r="L2951" t="inlineStr"/>
      <c r="M2951" t="inlineStr"/>
      <c r="N2951" t="inlineStr"/>
      <c r="O2951" t="inlineStr"/>
      <c r="P2951" t="inlineStr"/>
      <c r="Q2951" t="inlineStr"/>
      <c r="R2951" t="inlineStr"/>
      <c r="S2951" t="inlineStr"/>
    </row>
    <row r="2952">
      <c r="A2952">
        <f>Skills!A9</f>
        <v/>
      </c>
      <c r="B2952">
        <f>Skills!B9</f>
        <v/>
      </c>
      <c r="C2952">
        <f>Inputs!$B$3&gt;=60</f>
        <v/>
      </c>
      <c r="D2952">
        <f>IF(Skills!C9=1,60+Inputs!$B$26+Inputs!$B$30,IF(Skills!C9=2,90+Inputs!$B$27+Inputs!$B$30,IF(Skills!C9=3,120+Inputs!$B$28+Inputs!$B$30,MAX(0,(Inputs!$B$3-100)*3)+Inputs!$B$29+Inputs!$B$30)))</f>
        <v/>
      </c>
      <c r="E2952">
        <f>INDEX(FactorTable!$B$2:$Y$301, MATCH(ROUND(MIN(300,MAX(1,D2952)),0), FactorTable!$A$2:$A$301,0), Skills!M9+1)</f>
        <v/>
      </c>
      <c r="F2952">
        <f>IF(Skills!N9=TRUE,(Skills!L9/10)*(E2952/1000),Skills!L9/10)+Skills!O9</f>
        <v/>
      </c>
      <c r="G2952">
        <f>Skills!G9*IF(Skills!H9&gt;0,INT(IF(Inputs!$B$39="pvp",MIN(Skills!I9,15),Skills!I9)/Skills!H9+0.000000001),1)</f>
        <v/>
      </c>
      <c r="H2952">
        <f>1-(1-Skills!J9/100)^Skills!K9</f>
        <v/>
      </c>
      <c r="I2952" t="inlineStr">
        <is>
          <t>1</t>
        </is>
      </c>
      <c r="J2952">
        <f>((Inputs!$B$6*(1+Inputs!$B$7/100))+(((Inputs!$B$13*(1+Inputs!$B$14/100))-(Inputs!$B$13*(1+Inputs!$B$14/100)))+0.25*(Inputs!$B$15-Inputs!$B$15))*(1+Inputs!$B$7/100))*(F2952/100)</f>
        <v/>
      </c>
      <c r="K2952">
        <f>J2952*(1+(((Inputs!$B$13+IF(Inputs!$B$3&gt;=38,(10*INDEX(FactorTable!$B$2:$Y$301, MATCH(ROUND(MIN(300,MAX(1,Inputs!$B$3)),0), FactorTable!$A$2:$A$301,0), 23)/1000)/100*(Inputs!$B$8*(1+Inputs!$B$9/100)),0))*(1+Inputs!$B$14/100))*0.01+Inputs!$B$15*0.0025)/100)*(1+Inputs!$B$16/100)*(1+Inputs!$B$17/100)*(5000/(6000+Inputs!$B$43*(1-(Inputs!$B$20+0)/100)))*(1+(Inputs!$B$25+((C2968=TRUE)*(F2968-Calc!F25))+((C2969=TRUE)*(F2969-Calc!F26))+B2978)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2954=TRUE,F2954,0)/100)*(1+(IF(Skills!A9="DARK_IMPALE",Inputs!$B$18+0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gt;=100),MIN(100,((Inputs!$B$10+0+B2972+(ArtifactsInput!$M$24-ArtifactsInput!$M$24)*CHOOSE(ArtifactsInput!$N$24+1,10,12,14,16,18,20)+IF(ArtifactsInput!$M$10,CHOOSE(ArtifactsInput!$N$10+1,15,18,21,24,27,30)*(IF(Inputs!$B$39="pvp",MIN(15,15)/15,IF(AND(Inputs!$B$39&lt;&gt;"pvp",Inputs!$B$44&gt;0),MIN(15,Inputs!$B$44)/(Inputs!$B$44),0))),0)))-100),0))*CHOOSE(ArtifactsInput!$N$42+1,0.6,0.72,0.84,0.96,1.08,1.2))),Inputs!$B$19+((C2966=TRUE)*(F2966-Calc!F23))+(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gt;=100),CHOOSE(ArtifactsInput!$N$42+1,40,48,56,64,72,80),0))))/100)*((1+(((C2956=TRUE)*F2956*IF(AND(Inputs!$B$39&lt;&gt;"pvp",Inputs!$B$44&gt;0),(((R2956-1)*MIN((Skills!T13*(1+Inputs!$B$35/100)),(1/Q2956))+MIN((Skills!T13*(1+Inputs!$B$35/100)),MAX(0,Inputs!$B$44-((R2956-1)*(1/Q2956)))))/Inputs!$B$44),IF(Inputs!$B$39="pvp",MIN((Skills!T13*(1+Inputs!$B$35/100)),15)/15,MIN(1,(Skills!T13*(1+Inputs!$B$35/100))/(1/Q2956)))))+((C2957=TRUE)*F2957*IF(AND(Inputs!$B$39&lt;&gt;"pvp",Inputs!$B$44&gt;0),(((R2957-1)*MIN((Skills!T14*(1+Inputs!$B$35/100)),(1/Q2957))+MIN((Skills!T14*(1+Inputs!$B$35/100)),MAX(0,Inputs!$B$44-((R2957-1)*(1/Q2957)))))/Inputs!$B$44),IF(Inputs!$B$39="pvp",MIN((Skills!T14*(1+Inputs!$B$35/100)),15)/15,MIN(1,(Skills!T14*(1+Inputs!$B$35/100))/(1/Q2957)))))+((C2958=TRUE)*F2958*IF(AND(Inputs!$B$39&lt;&gt;"pvp",Inputs!$B$44&gt;0),(((R2958-1)*MIN((Skills!T15*(1+Inputs!$B$35/100)),(1/Q2958))+MIN((Skills!T15*(1+Inputs!$B$35/100)),MAX(0,Inputs!$B$44-((R2958-1)*(1/Q2958)))))/Inputs!$B$44),IF(Inputs!$B$39="pvp",MIN((Skills!T15*(1+Inputs!$B$35/100)),15)/15,MIN(1,(Skills!T15*(1+Inputs!$B$35/100))/(1/Q2958)))))+((C2959=TRUE)*F2959*IF(AND(Inputs!$B$39&lt;&gt;"pvp",Inputs!$B$44&gt;0),(((R2959-1)*MIN((Skills!T16*(1+Inputs!$B$35/100)),(1/Q2959))+MIN((Skills!T16*(1+Inputs!$B$35/100)),MAX(0,Inputs!$B$44-((R2959-1)*(1/Q2959)))))/Inputs!$B$44),IF(Inputs!$B$39="pvp",MIN((Skills!T16*(1+Inputs!$B$35/100)),15)/15,MIN(1,(Skills!T16*(1+Inputs!$B$35/100))/(1/Q2959)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2952)</f>
        <v/>
      </c>
      <c r="L2952">
        <f>K2952*(MIN(Inputs!$B$23+((C2965=TRUE)*(F2965-Calc!F22)),(Inputs!$B$24+((C2967=TRUE)*(F2967-Calc!F24))+(IF(ArtifactsInput!$M$15,CHOOSE(ArtifactsInput!$N$15+1,25,30,35,40,45,50)/100*(Inputs!$B$12-Inputs!$B$12),0))))/100+(Inputs!$B$24+((C2967=TRUE)*(F2967-Calc!F24))+(IF(ArtifactsInput!$M$15,CHOOSE(ArtifactsInput!$N$15+1,25,30,35,40,45,50)/100*(Inputs!$B$12-Inputs!$B$12),0)))/100)/2</f>
        <v/>
      </c>
      <c r="M2952">
        <f>L2952*(1+(Inputs!$B$11+0+B2977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952">
        <f>L2952*(1-MIN((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2952*(MIN((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52">
        <f>(1-Summary!$B$11)*T2952+Summary!$B$11*V2952</f>
        <v/>
      </c>
      <c r="P2952">
        <f>IF(B2982=0,0,O2952/B2982)</f>
        <v/>
      </c>
      <c r="Q2952">
        <f>IFERROR(1/IF(Inputs!$B$39="pvp",15,MAX(0.1,Skills!D9-IF(TRUE=TRUE,2.5,0))),0)</f>
        <v/>
      </c>
      <c r="R2952">
        <f>IF(AND(Inputs!$B$39&lt;&gt;"pvp",Inputs!$B$44&gt;0),IF(MAX(0,Inputs!$B$44-B2979)&lt;=0,0,(INT(MAX(0,Inputs!$B$44-B2979)/IF(Inputs!$B$39="pvp",15,MAX(0.1,Skills!D9-IF(TRUE=TRUE,2.5,0))))+1)),0)</f>
        <v/>
      </c>
      <c r="S2952">
        <f>IFERROR(O2952/N2952,0)</f>
        <v/>
      </c>
      <c r="T2952">
        <f>IF(C2952,(H2952*N2952*IF(AND(Inputs!$B$39&lt;&gt;"pvp",Inputs!$B$44&gt;0),((Skills!G9*((R2952-1)*IF(Skills!H9&gt;0,INT(Skills!I9/Skills!H9+0.000000001),1)+IF(Skills!H9&gt;0,INT(MIN(Skills!I9,MAX(0,MAX(0,Inputs!$B$44-B2979)-((R2952-1)*IF(Inputs!$B$39="pvp",15,MAX(0.1,Skills!D9-IF(TRUE=TRUE,2.5,0))))))/Skills!H9+0.000000001),1)))/Inputs!$B$44),G2952*Q2952))*IF(Inputs!$B$39="pvp",1,1+(Inputs!$B$21+0+Skills!P9+((C2960=TRUE)*F2960*IF(AND(Inputs!$B$39&lt;&gt;"pvp",Inputs!$B$44&gt;0),(((R2960-1)*MIN((Skills!T17*(1+Inputs!$B$35/100)),(1/Q2960))+MIN((Skills!T17*(1+Inputs!$B$35/100)),MAX(0,Inputs!$B$44-((R2960-1)*(1/Q2960)))))/Inputs!$B$44),IF(Inputs!$B$39="pvp",MIN((Skills!T17*(1+Inputs!$B$35/100)),15)/15,MIN(1,(Skills!T17*(1+Inputs!$B$35/100))/(1/Q2960)))))+((C2948=TRUE)*IF(Inputs!$B$3&gt;=126,10*MIN(1,15*Q2948),0))+((C2957=TRUE)*IF(Inputs!$B$39="pvp",20,(1-Summary!$B$11)*(20)+Summary!$B$11*(0))*IF(AND(Inputs!$B$39&lt;&gt;"pvp",Inputs!$B$44&gt;0),(((R2957-1)*MIN((Skills!T14*(1+Inputs!$B$35/100)),(1/Q2957))+MIN((Skills!T14*(1+Inputs!$B$35/100)),MAX(0,Inputs!$B$44-((R2957-1)*(1/Q2957)))))/Inputs!$B$44),IF(Inputs!$B$39="pvp",MIN((Skills!T14*(1+Inputs!$B$35/100)),15)/15,MIN(1,(Skills!T14*(1+Inputs!$B$35/100))/(1/Q2957)))))+((C2956=TRUE)*IF(Inputs!$B$3&gt;=82,IF(Inputs!$B$39="pvp",20,(1-Summary!$B$11)*(20)+Summary!$B$11*(0)),0)*IF(AND(Inputs!$B$39&lt;&gt;"pvp",Inputs!$B$44&gt;0),(((R2956-1)*MIN((Skills!T13*(1+Inputs!$B$35/100)),(1/Q2956))+MIN((Skills!T13*(1+Inputs!$B$35/100)),MAX(0,Inputs!$B$44-((R2956-1)*(1/Q2956)))))/Inputs!$B$44),IF(Inputs!$B$39="pvp",MIN((Skills!T13*(1+Inputs!$B$35/100)),15)/15,MIN(1,(Skills!T13*(1+Inputs!$B$35/100))/(1/Q2956)))))+(IF(AND(ArtifactsInput!$M$35,Inputs!$B$4&lt;&gt;"Chapter Hunt"),CHOOSE(ArtifactsInput!$N$35+1,15,18,21,24,27,30)*(1-EXP(-(0.2*B2974)*5)),0)+IF(AND(ArtifactsInput!$M$22,Inputs!$B$4&lt;&gt;"Chapter Hunt"),CHOOSE(ArtifactsInput!$N$22+1,10,12,14,16,18,20)*((0*(((0.15*B2974*5))^0/1)+1*(((0.15*B2974*5))^1/1)+2*(((0.15*B2974*5))^2/2)+3*(((0.15*B2974*5))^3/6)+4*(((0.15*B2974*5))^4/24)+5*(((0.15*B2974*5))^5/120))/((((0.15*B2974*5))^0/1)+(((0.15*B2974*5))^1/1)+(((0.15*B2974*5))^2/2)+(((0.15*B2974*5))^3/6)+(((0.15*B2974*5))^4/24)+(((0.15*B2974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2952*(1-MIN(100,(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2952*(MIN(100,(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2952*(1-MIN(100,(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2952*(MIN(100,(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52">
        <f>IF(C2952,(H2952*N2952*IF(AND(Inputs!$B$39&lt;&gt;"pvp",Inputs!$B$44&gt;0),((Skills!G9*((R2952-1)*IF(Skills!H9&gt;0,INT(Skills!I9/Skills!H9+0.000000001),1)+IF(Skills!H9&gt;0,INT(MIN(Skills!I9,MAX(0,MAX(0,Inputs!$B$44-B2979)-((R2952-1)*IF(Inputs!$B$39="pvp",15,MAX(0.1,Skills!D9-IF(TRUE=TRUE,2.5,0))))))/Skills!H9+0.000000001),1)))/Inputs!$B$44),G2952*Q2952))*IF(Inputs!$B$39="pvp",1,(1+(Inputs!$B$22+Skills!Q9+((C2960=TRUE)*F2960*IF(AND(Inputs!$B$39&lt;&gt;"pvp",Inputs!$B$44&gt;0),(((R2960-1)*MIN((Skills!T17*(1+Inputs!$B$35/100)),(1/Q2960))+MIN((Skills!T17*(1+Inputs!$B$35/100)),MAX(0,Inputs!$B$44-((R2960-1)*(1/Q2960)))))/Inputs!$B$44),IF(Inputs!$B$39="pvp",MIN((Skills!T17*(1+Inputs!$B$35/100)),15)/15,MIN(1,(Skills!T17*(1+Inputs!$B$35/100))/(1/Q2960)))))+((C2948=TRUE)*IF(Inputs!$B$3&gt;=126,10*MIN(1,15*Q2948),0))+((C2957=TRUE)*IF(Inputs!$B$39="pvp",20,(1-Summary!$B$11)*(20)+Summary!$B$11*(0))*IF(AND(Inputs!$B$39&lt;&gt;"pvp",Inputs!$B$44&gt;0),(((R2957-1)*MIN((Skills!T14*(1+Inputs!$B$35/100)),(1/Q2957))+MIN((Skills!T14*(1+Inputs!$B$35/100)),MAX(0,Inputs!$B$44-((R2957-1)*(1/Q2957)))))/Inputs!$B$44),IF(Inputs!$B$39="pvp",MIN((Skills!T14*(1+Inputs!$B$35/100)),15)/15,MIN(1,(Skills!T14*(1+Inputs!$B$35/100))/(1/Q2957)))))+((C2956=TRUE)*IF(Inputs!$B$3&gt;=82,IF(Inputs!$B$39="pvp",20,(1-Summary!$B$11)*(20)+Summary!$B$11*(0)),0)*IF(AND(Inputs!$B$39&lt;&gt;"pvp",Inputs!$B$44&gt;0),(((R2956-1)*MIN((Skills!T13*(1+Inputs!$B$35/100)),(1/Q2956))+MIN((Skills!T13*(1+Inputs!$B$35/100)),MAX(0,Inputs!$B$44-((R2956-1)*(1/Q2956)))))/Inputs!$B$44),IF(Inputs!$B$39="pvp",MIN((Skills!T13*(1+Inputs!$B$35/100)),15)/15,MIN(1,(Skills!T13*(1+Inputs!$B$35/100))/(1/Q2956)))))+(IF(AND(ArtifactsInput!$M$35,Inputs!$B$4&lt;&gt;"Chapter Hunt"),CHOOSE(ArtifactsInput!$N$35+1,15,18,21,24,27,30)*(1-EXP(-(0.2*B2974)*5)),0)+IF(AND(ArtifactsInput!$M$22,Inputs!$B$4&lt;&gt;"Chapter Hunt"),CHOOSE(ArtifactsInput!$N$22+1,10,12,14,16,18,20)*((0*(((0.15*B2974*5))^0/1)+1*(((0.15*B2974*5))^1/1)+2*(((0.15*B2974*5))^2/2)+3*(((0.15*B2974*5))^3/6)+4*(((0.15*B2974*5))^4/24)+5*(((0.15*B2974*5))^5/120))/((((0.15*B2974*5))^0/1)+(((0.15*B2974*5))^1/1)+(((0.15*B2974*5))^2/2)+(((0.15*B2974*5))^3/6)+(((0.15*B2974*5))^4/24)+(((0.15*B2974*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53">
      <c r="A2953">
        <f>Skills!A10</f>
        <v/>
      </c>
      <c r="B2953">
        <f>Skills!B10</f>
        <v/>
      </c>
      <c r="C2953">
        <f>Inputs!$B$3&gt;=110</f>
        <v/>
      </c>
      <c r="D2953">
        <f>IF(Skills!C10=1,60+Inputs!$B$26+Inputs!$B$30,IF(Skills!C10=2,90+Inputs!$B$27+Inputs!$B$30,IF(Skills!C10=3,120+Inputs!$B$28+Inputs!$B$30,MAX(0,(Inputs!$B$3-100)*3)+Inputs!$B$29+Inputs!$B$30)))</f>
        <v/>
      </c>
      <c r="E2953">
        <f>INDEX(FactorTable!$B$2:$Y$301, MATCH(ROUND(MIN(300,MAX(1,D2953)),0), FactorTable!$A$2:$A$301,0), Skills!M10+1)</f>
        <v/>
      </c>
      <c r="F2953">
        <f>IF(Skills!N10=TRUE,(Skills!L10/10)*(E2953/1000),Skills!L10/10)+Skills!O10</f>
        <v/>
      </c>
      <c r="G2953">
        <f>Skills!G10*IF(Skills!H10&gt;0,INT(IF(Inputs!$B$39="pvp",MIN(Skills!I10,15),Skills!I10)/Skills!H10+0.000000001),1)</f>
        <v/>
      </c>
      <c r="H2953">
        <f>1-(1-Skills!J10/100)^Skills!K10</f>
        <v/>
      </c>
      <c r="I2953" t="inlineStr">
        <is>
          <t>1</t>
        </is>
      </c>
      <c r="J2953">
        <f>((Inputs!$B$6*(1+Inputs!$B$7/100))+(((Inputs!$B$13*(1+Inputs!$B$14/100))-(Inputs!$B$13*(1+Inputs!$B$14/100)))+0.25*(Inputs!$B$15-Inputs!$B$15))*(1+Inputs!$B$7/100))*(F2953/100)</f>
        <v/>
      </c>
      <c r="K2953">
        <f>J2953*(1+(((Inputs!$B$13+IF(Inputs!$B$3&gt;=38,(10*INDEX(FactorTable!$B$2:$Y$301, MATCH(ROUND(MIN(300,MAX(1,Inputs!$B$3)),0), FactorTable!$A$2:$A$301,0), 23)/1000)/100*(Inputs!$B$8*(1+Inputs!$B$9/100)),0))*(1+Inputs!$B$14/100))*0.01+Inputs!$B$15*0.0025)/100)*(1+Inputs!$B$16/100)*(1+Inputs!$B$17/100)*(5000/(6000+Inputs!$B$43*(1-(Inputs!$B$20+0)/100)))*(1+(Inputs!$B$25+((C2968=TRUE)*(F2968-Calc!F25))+((C2969=TRUE)*(F2969-Calc!F26))+B2978)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gt;=100),MIN(100,((Inputs!$B$10+0+B2972+(ArtifactsInput!$M$24-ArtifactsInput!$M$24)*CHOOSE(ArtifactsInput!$N$24+1,10,12,14,16,18,20)+IF(ArtifactsInput!$M$10,CHOOSE(ArtifactsInput!$N$10+1,15,18,21,24,27,30)*(IF(Inputs!$B$39="pvp",MIN(15,15)/15,IF(AND(Inputs!$B$39&lt;&gt;"pvp",Inputs!$B$44&gt;0),MIN(15,Inputs!$B$44)/(Inputs!$B$44),0))),0)))-100),0))*CHOOSE(ArtifactsInput!$N$42+1,0.6,0.72,0.84,0.96,1.08,1.2))),Inputs!$B$19+((C2966=TRUE)*(F2966-Calc!F23))+(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gt;=100),CHOOSE(ArtifactsInput!$N$42+1,40,48,56,64,72,80),0))))/100)*((1+(((C2956=TRUE)*F2956*IF(AND(Inputs!$B$39&lt;&gt;"pvp",Inputs!$B$44&gt;0),(((R2956-1)*MIN((Skills!T13*(1+Inputs!$B$35/100)),(1/Q2956))+MIN((Skills!T13*(1+Inputs!$B$35/100)),MAX(0,Inputs!$B$44-((R2956-1)*(1/Q2956)))))/Inputs!$B$44),IF(Inputs!$B$39="pvp",MIN((Skills!T13*(1+Inputs!$B$35/100)),15)/15,MIN(1,(Skills!T13*(1+Inputs!$B$35/100))/(1/Q2956)))))+((C2957=TRUE)*F2957*IF(AND(Inputs!$B$39&lt;&gt;"pvp",Inputs!$B$44&gt;0),(((R2957-1)*MIN((Skills!T14*(1+Inputs!$B$35/100)),(1/Q2957))+MIN((Skills!T14*(1+Inputs!$B$35/100)),MAX(0,Inputs!$B$44-((R2957-1)*(1/Q2957)))))/Inputs!$B$44),IF(Inputs!$B$39="pvp",MIN((Skills!T14*(1+Inputs!$B$35/100)),15)/15,MIN(1,(Skills!T14*(1+Inputs!$B$35/100))/(1/Q2957)))))+((C2958=TRUE)*F2958*IF(AND(Inputs!$B$39&lt;&gt;"pvp",Inputs!$B$44&gt;0),(((R2958-1)*MIN((Skills!T15*(1+Inputs!$B$35/100)),(1/Q2958))+MIN((Skills!T15*(1+Inputs!$B$35/100)),MAX(0,Inputs!$B$44-((R2958-1)*(1/Q2958)))))/Inputs!$B$44),IF(Inputs!$B$39="pvp",MIN((Skills!T15*(1+Inputs!$B$35/100)),15)/15,MIN(1,(Skills!T15*(1+Inputs!$B$35/100))/(1/Q2958)))))+((C2959=TRUE)*F2959*IF(AND(Inputs!$B$39&lt;&gt;"pvp",Inputs!$B$44&gt;0),(((R2959-1)*MIN((Skills!T16*(1+Inputs!$B$35/100)),(1/Q2959))+MIN((Skills!T16*(1+Inputs!$B$35/100)),MAX(0,Inputs!$B$44-((R2959-1)*(1/Q2959)))))/Inputs!$B$44),IF(Inputs!$B$39="pvp",MIN((Skills!T16*(1+Inputs!$B$35/100)),15)/15,MIN(1,(Skills!T16*(1+Inputs!$B$35/100))/(1/Q2959)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2953)</f>
        <v/>
      </c>
      <c r="L2953">
        <f>K2953*(MIN(Inputs!$B$23+((C2965=TRUE)*(F2965-Calc!F22)),(Inputs!$B$24+((C2967=TRUE)*(F2967-Calc!F24))+(IF(ArtifactsInput!$M$15,CHOOSE(ArtifactsInput!$N$15+1,25,30,35,40,45,50)/100*(Inputs!$B$12-Inputs!$B$12),0))))/100+(Inputs!$B$24+((C2967=TRUE)*(F2967-Calc!F24))+(IF(ArtifactsInput!$M$15,CHOOSE(ArtifactsInput!$N$15+1,25,30,35,40,45,50)/100*(Inputs!$B$12-Inputs!$B$12),0)))/100)/2</f>
        <v/>
      </c>
      <c r="M2953">
        <f>L2953*(1+(Inputs!$B$11+0+B2977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953">
        <f>L2953*(1-MIN((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2953*(MIN((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53">
        <f>(1-Summary!$B$11)*T2953+Summary!$B$11*V2953</f>
        <v/>
      </c>
      <c r="P2953">
        <f>IF(B2982=0,0,O2953/B2982)</f>
        <v/>
      </c>
      <c r="Q2953">
        <f>IFERROR(1/IF(Inputs!$B$39="pvp",15,MAX(0.1,Skills!D10-IF(TRUE=TRUE,2.5,0))),0)</f>
        <v/>
      </c>
      <c r="R2953">
        <f>IF(AND(Inputs!$B$39&lt;&gt;"pvp",Inputs!$B$44&gt;0),IF(MAX(0,Inputs!$B$44-B2979)&lt;=0,0,(INT(MAX(0,Inputs!$B$44-B2979)/IF(Inputs!$B$39="pvp",15,MAX(0.1,Skills!D10-IF(TRUE=TRUE,2.5,0))))+1)),0)</f>
        <v/>
      </c>
      <c r="S2953">
        <f>IFERROR(O2953/N2953,0)</f>
        <v/>
      </c>
      <c r="T2953">
        <f>IF(C2953,(H2953*N2953*IF(AND(Inputs!$B$39&lt;&gt;"pvp",Inputs!$B$44&gt;0),((Skills!G10*((R2953-1)*IF(Skills!H10&gt;0,INT(Skills!I10/Skills!H10+0.000000001),1)+IF(Skills!H10&gt;0,INT(MIN(Skills!I10,MAX(0,MAX(0,Inputs!$B$44-B2979)-((R2953-1)*IF(Inputs!$B$39="pvp",15,MAX(0.1,Skills!D10-IF(TRUE=TRUE,2.5,0))))))/Skills!H10+0.000000001),1)))/Inputs!$B$44),G2953*Q2953))*IF(Inputs!$B$39="pvp",1,1+(Inputs!$B$21+0+Skills!P10+((C2960=TRUE)*F2960*IF(AND(Inputs!$B$39&lt;&gt;"pvp",Inputs!$B$44&gt;0),(((R2960-1)*MIN((Skills!T17*(1+Inputs!$B$35/100)),(1/Q2960))+MIN((Skills!T17*(1+Inputs!$B$35/100)),MAX(0,Inputs!$B$44-((R2960-1)*(1/Q2960)))))/Inputs!$B$44),IF(Inputs!$B$39="pvp",MIN((Skills!T17*(1+Inputs!$B$35/100)),15)/15,MIN(1,(Skills!T17*(1+Inputs!$B$35/100))/(1/Q2960)))))+((C2948=TRUE)*IF(Inputs!$B$3&gt;=126,10*MIN(1,15*Q2948),0))+((C2957=TRUE)*IF(Inputs!$B$39="pvp",20,(1-Summary!$B$11)*(20)+Summary!$B$11*(0))*IF(AND(Inputs!$B$39&lt;&gt;"pvp",Inputs!$B$44&gt;0),(((R2957-1)*MIN((Skills!T14*(1+Inputs!$B$35/100)),(1/Q2957))+MIN((Skills!T14*(1+Inputs!$B$35/100)),MAX(0,Inputs!$B$44-((R2957-1)*(1/Q2957)))))/Inputs!$B$44),IF(Inputs!$B$39="pvp",MIN((Skills!T14*(1+Inputs!$B$35/100)),15)/15,MIN(1,(Skills!T14*(1+Inputs!$B$35/100))/(1/Q2957)))))+((C2956=TRUE)*IF(Inputs!$B$3&gt;=82,IF(Inputs!$B$39="pvp",20,(1-Summary!$B$11)*(20)+Summary!$B$11*(0)),0)*IF(AND(Inputs!$B$39&lt;&gt;"pvp",Inputs!$B$44&gt;0),(((R2956-1)*MIN((Skills!T13*(1+Inputs!$B$35/100)),(1/Q2956))+MIN((Skills!T13*(1+Inputs!$B$35/100)),MAX(0,Inputs!$B$44-((R2956-1)*(1/Q2956)))))/Inputs!$B$44),IF(Inputs!$B$39="pvp",MIN((Skills!T13*(1+Inputs!$B$35/100)),15)/15,MIN(1,(Skills!T13*(1+Inputs!$B$35/100))/(1/Q2956)))))+(IF(AND(ArtifactsInput!$M$35,Inputs!$B$4&lt;&gt;"Chapter Hunt"),CHOOSE(ArtifactsInput!$N$35+1,15,18,21,24,27,30)*(1-EXP(-(0.2*B2974)*5)),0)+IF(AND(ArtifactsInput!$M$22,Inputs!$B$4&lt;&gt;"Chapter Hunt"),CHOOSE(ArtifactsInput!$N$22+1,10,12,14,16,18,20)*((0*(((0.15*B2974*5))^0/1)+1*(((0.15*B2974*5))^1/1)+2*(((0.15*B2974*5))^2/2)+3*(((0.15*B2974*5))^3/6)+4*(((0.15*B2974*5))^4/24)+5*(((0.15*B2974*5))^5/120))/((((0.15*B2974*5))^0/1)+(((0.15*B2974*5))^1/1)+(((0.15*B2974*5))^2/2)+(((0.15*B2974*5))^3/6)+(((0.15*B2974*5))^4/24)+(((0.15*B2974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2953*(1-MIN(100,(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2953*(MIN(100,(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2953*(1-MIN(100,(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2953*(MIN(100,(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53">
        <f>IF(C2953,(H2953*N2953*IF(AND(Inputs!$B$39&lt;&gt;"pvp",Inputs!$B$44&gt;0),((Skills!G10*((R2953-1)*IF(Skills!H10&gt;0,INT(Skills!I10/Skills!H10+0.000000001),1)+IF(Skills!H10&gt;0,INT(MIN(Skills!I10,MAX(0,MAX(0,Inputs!$B$44-B2979)-((R2953-1)*IF(Inputs!$B$39="pvp",15,MAX(0.1,Skills!D10-IF(TRUE=TRUE,2.5,0))))))/Skills!H10+0.000000001),1)))/Inputs!$B$44),G2953*Q2953))*IF(Inputs!$B$39="pvp",1,(1+(Inputs!$B$22+Skills!Q10+((C2960=TRUE)*F2960*IF(AND(Inputs!$B$39&lt;&gt;"pvp",Inputs!$B$44&gt;0),(((R2960-1)*MIN((Skills!T17*(1+Inputs!$B$35/100)),(1/Q2960))+MIN((Skills!T17*(1+Inputs!$B$35/100)),MAX(0,Inputs!$B$44-((R2960-1)*(1/Q2960)))))/Inputs!$B$44),IF(Inputs!$B$39="pvp",MIN((Skills!T17*(1+Inputs!$B$35/100)),15)/15,MIN(1,(Skills!T17*(1+Inputs!$B$35/100))/(1/Q2960)))))+((C2948=TRUE)*IF(Inputs!$B$3&gt;=126,10*MIN(1,15*Q2948),0))+((C2957=TRUE)*IF(Inputs!$B$39="pvp",20,(1-Summary!$B$11)*(20)+Summary!$B$11*(0))*IF(AND(Inputs!$B$39&lt;&gt;"pvp",Inputs!$B$44&gt;0),(((R2957-1)*MIN((Skills!T14*(1+Inputs!$B$35/100)),(1/Q2957))+MIN((Skills!T14*(1+Inputs!$B$35/100)),MAX(0,Inputs!$B$44-((R2957-1)*(1/Q2957)))))/Inputs!$B$44),IF(Inputs!$B$39="pvp",MIN((Skills!T14*(1+Inputs!$B$35/100)),15)/15,MIN(1,(Skills!T14*(1+Inputs!$B$35/100))/(1/Q2957)))))+((C2956=TRUE)*IF(Inputs!$B$3&gt;=82,IF(Inputs!$B$39="pvp",20,(1-Summary!$B$11)*(20)+Summary!$B$11*(0)),0)*IF(AND(Inputs!$B$39&lt;&gt;"pvp",Inputs!$B$44&gt;0),(((R2956-1)*MIN((Skills!T13*(1+Inputs!$B$35/100)),(1/Q2956))+MIN((Skills!T13*(1+Inputs!$B$35/100)),MAX(0,Inputs!$B$44-((R2956-1)*(1/Q2956)))))/Inputs!$B$44),IF(Inputs!$B$39="pvp",MIN((Skills!T13*(1+Inputs!$B$35/100)),15)/15,MIN(1,(Skills!T13*(1+Inputs!$B$35/100))/(1/Q2956)))))+(IF(AND(ArtifactsInput!$M$35,Inputs!$B$4&lt;&gt;"Chapter Hunt"),CHOOSE(ArtifactsInput!$N$35+1,15,18,21,24,27,30)*(1-EXP(-(0.2*B2974)*5)),0)+IF(AND(ArtifactsInput!$M$22,Inputs!$B$4&lt;&gt;"Chapter Hunt"),CHOOSE(ArtifactsInput!$N$22+1,10,12,14,16,18,20)*((0*(((0.15*B2974*5))^0/1)+1*(((0.15*B2974*5))^1/1)+2*(((0.15*B2974*5))^2/2)+3*(((0.15*B2974*5))^3/6)+4*(((0.15*B2974*5))^4/24)+5*(((0.15*B2974*5))^5/120))/((((0.15*B2974*5))^0/1)+(((0.15*B2974*5))^1/1)+(((0.15*B2974*5))^2/2)+(((0.15*B2974*5))^3/6)+(((0.15*B2974*5))^4/24)+(((0.15*B2974*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54">
      <c r="A2954">
        <f>Skills!A11</f>
        <v/>
      </c>
      <c r="B2954">
        <f>Skills!B11</f>
        <v/>
      </c>
      <c r="C2954">
        <f>Inputs!$B$3&gt;=100</f>
        <v/>
      </c>
      <c r="D2954">
        <f>IF(Skills!C11=1,60+Inputs!$B$26+Inputs!$B$30,IF(Skills!C11=2,90+Inputs!$B$27+Inputs!$B$30,IF(Skills!C11=3,120+Inputs!$B$28+Inputs!$B$30,MAX(0,(Inputs!$B$3-100)*3)+Inputs!$B$29+Inputs!$B$30)))</f>
        <v/>
      </c>
      <c r="E2954">
        <f>INDEX(FactorTable!$B$2:$Y$301, MATCH(ROUND(MIN(300,MAX(1,D2954)),0), FactorTable!$A$2:$A$301,0), Skills!M11+1)</f>
        <v/>
      </c>
      <c r="F2954">
        <f>IF(Skills!N11=TRUE,(Skills!L11/10)*(E2954/1000),Skills!L11/10)+Skills!O11</f>
        <v/>
      </c>
      <c r="G2954" t="inlineStr"/>
      <c r="H2954" t="inlineStr"/>
      <c r="I2954" t="inlineStr">
        <is>
          <t>1</t>
        </is>
      </c>
      <c r="J2954" t="inlineStr"/>
      <c r="K2954" t="inlineStr"/>
      <c r="L2954" t="inlineStr"/>
      <c r="M2954" t="inlineStr"/>
      <c r="N2954" t="inlineStr"/>
      <c r="O2954" t="inlineStr"/>
      <c r="P2954" t="inlineStr"/>
      <c r="Q2954" t="inlineStr"/>
      <c r="R2954" t="inlineStr"/>
      <c r="S2954" t="inlineStr"/>
    </row>
    <row r="2955">
      <c r="A2955">
        <f>Skills!A12</f>
        <v/>
      </c>
      <c r="B2955">
        <f>Skills!B12</f>
        <v/>
      </c>
      <c r="C2955">
        <f>Inputs!$B$3&gt;=63</f>
        <v/>
      </c>
      <c r="D2955">
        <f>IF(Skills!C12=1,60+Inputs!$B$26+Inputs!$B$30,IF(Skills!C12=2,90+Inputs!$B$27+Inputs!$B$30,IF(Skills!C12=3,120+Inputs!$B$28+Inputs!$B$30,MAX(0,(Inputs!$B$3-100)*3)+Inputs!$B$29+Inputs!$B$30)))</f>
        <v/>
      </c>
      <c r="E2955">
        <f>INDEX(FactorTable!$B$2:$Y$301, MATCH(ROUND(MIN(300,MAX(1,D2955)),0), FactorTable!$A$2:$A$301,0), Skills!M12+1)</f>
        <v/>
      </c>
      <c r="F2955">
        <f>IF(Skills!N12=TRUE,(Skills!L12/10)*(E2955/1000),Skills!L12/10)+Skills!O12</f>
        <v/>
      </c>
      <c r="G2955">
        <f>Skills!G12*IF(Skills!H12&gt;0,INT(IF(Inputs!$B$39="pvp",MIN(Skills!I12,15),Skills!I12)/Skills!H12+0.000000001),1)</f>
        <v/>
      </c>
      <c r="H2955">
        <f>1-(1-Skills!J12/100)^Skills!K12</f>
        <v/>
      </c>
      <c r="I2955" t="inlineStr">
        <is>
          <t>1</t>
        </is>
      </c>
      <c r="J2955">
        <f>((Inputs!$B$6*(1+Inputs!$B$7/100))+(((Inputs!$B$13*(1+Inputs!$B$14/100))-(Inputs!$B$13*(1+Inputs!$B$14/100)))+0.25*(Inputs!$B$15-Inputs!$B$15))*(1+Inputs!$B$7/100))*(F2955/100)</f>
        <v/>
      </c>
      <c r="K2955">
        <f>J2955*(1+(((Inputs!$B$13+IF(Inputs!$B$3&gt;=38,(10*INDEX(FactorTable!$B$2:$Y$301, MATCH(ROUND(MIN(300,MAX(1,Inputs!$B$3)),0), FactorTable!$A$2:$A$301,0), 23)/1000)/100*(Inputs!$B$8*(1+Inputs!$B$9/100)),0))*(1+Inputs!$B$14/100))*0.01+Inputs!$B$15*0.0025)/100)*(1+Inputs!$B$16/100)*(1+Inputs!$B$17/100)*(5000/(6000+Inputs!$B$43*(1-(Inputs!$B$20+0)/100)))*(1+(Inputs!$B$25+((C2968=TRUE)*(F2968-Calc!F25))+((C2969=TRUE)*(F2969-Calc!F26))+B2978)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2954=TRUE,F2954,0)/100)*(1+(IF(Skills!A12="DARK_IMPALE",Inputs!$B$18+0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gt;=100),MIN(100,((Inputs!$B$10+0+B2972+(ArtifactsInput!$M$24-ArtifactsInput!$M$24)*CHOOSE(ArtifactsInput!$N$24+1,10,12,14,16,18,20)+IF(ArtifactsInput!$M$10,CHOOSE(ArtifactsInput!$N$10+1,15,18,21,24,27,30)*(IF(Inputs!$B$39="pvp",MIN(15,15)/15,IF(AND(Inputs!$B$39&lt;&gt;"pvp",Inputs!$B$44&gt;0),MIN(15,Inputs!$B$44)/(Inputs!$B$44),0))),0)))-100),0))*CHOOSE(ArtifactsInput!$N$42+1,0.6,0.72,0.84,0.96,1.08,1.2))),Inputs!$B$19+((C2966=TRUE)*(F2966-Calc!F23))+(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gt;=100),CHOOSE(ArtifactsInput!$N$42+1,40,48,56,64,72,80),0))))/100)*((1+(((C2956=TRUE)*F2956*IF(AND(Inputs!$B$39&lt;&gt;"pvp",Inputs!$B$44&gt;0),(((R2956-1)*MIN((Skills!T13*(1+Inputs!$B$35/100)),(1/Q2956))+MIN((Skills!T13*(1+Inputs!$B$35/100)),MAX(0,Inputs!$B$44-((R2956-1)*(1/Q2956)))))/Inputs!$B$44),IF(Inputs!$B$39="pvp",MIN((Skills!T13*(1+Inputs!$B$35/100)),15)/15,MIN(1,(Skills!T13*(1+Inputs!$B$35/100))/(1/Q2956)))))+((C2957=TRUE)*F2957*IF(AND(Inputs!$B$39&lt;&gt;"pvp",Inputs!$B$44&gt;0),(((R2957-1)*MIN((Skills!T14*(1+Inputs!$B$35/100)),(1/Q2957))+MIN((Skills!T14*(1+Inputs!$B$35/100)),MAX(0,Inputs!$B$44-((R2957-1)*(1/Q2957)))))/Inputs!$B$44),IF(Inputs!$B$39="pvp",MIN((Skills!T14*(1+Inputs!$B$35/100)),15)/15,MIN(1,(Skills!T14*(1+Inputs!$B$35/100))/(1/Q2957)))))+((C2958=TRUE)*F2958*IF(AND(Inputs!$B$39&lt;&gt;"pvp",Inputs!$B$44&gt;0),(((R2958-1)*MIN((Skills!T15*(1+Inputs!$B$35/100)),(1/Q2958))+MIN((Skills!T15*(1+Inputs!$B$35/100)),MAX(0,Inputs!$B$44-((R2958-1)*(1/Q2958)))))/Inputs!$B$44),IF(Inputs!$B$39="pvp",MIN((Skills!T15*(1+Inputs!$B$35/100)),15)/15,MIN(1,(Skills!T15*(1+Inputs!$B$35/100))/(1/Q2958)))))+((C2959=TRUE)*F2959*IF(AND(Inputs!$B$39&lt;&gt;"pvp",Inputs!$B$44&gt;0),(((R2959-1)*MIN((Skills!T16*(1+Inputs!$B$35/100)),(1/Q2959))+MIN((Skills!T16*(1+Inputs!$B$35/100)),MAX(0,Inputs!$B$44-((R2959-1)*(1/Q2959)))))/Inputs!$B$44),IF(Inputs!$B$39="pvp",MIN((Skills!T16*(1+Inputs!$B$35/100)),15)/15,MIN(1,(Skills!T16*(1+Inputs!$B$35/100))/(1/Q2959)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2955)</f>
        <v/>
      </c>
      <c r="L2955">
        <f>K2955*(MIN(Inputs!$B$23+((C2965=TRUE)*(F2965-Calc!F22)),(Inputs!$B$24+((C2967=TRUE)*(F2967-Calc!F24))+(IF(ArtifactsInput!$M$15,CHOOSE(ArtifactsInput!$N$15+1,25,30,35,40,45,50)/100*(Inputs!$B$12-Inputs!$B$12),0))))/100+(Inputs!$B$24+((C2967=TRUE)*(F2967-Calc!F24))+(IF(ArtifactsInput!$M$15,CHOOSE(ArtifactsInput!$N$15+1,25,30,35,40,45,50)/100*(Inputs!$B$12-Inputs!$B$12),0)))/100)/2</f>
        <v/>
      </c>
      <c r="M2955">
        <f>L2955*(1+(Inputs!$B$11+0+B2977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955">
        <f>L2955*(1-MIN((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2955*(MIN((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55">
        <f>(1-Summary!$B$11)*T2955+Summary!$B$11*V2955</f>
        <v/>
      </c>
      <c r="P2955">
        <f>IF(B2982=0,0,O2955/B2982)</f>
        <v/>
      </c>
      <c r="Q2955">
        <f>IFERROR(1/IF(Inputs!$B$39="pvp",15,MAX(0.1,Skills!D12-IF(TRUE=TRUE,2.5,0))),0)</f>
        <v/>
      </c>
      <c r="R2955">
        <f>IF(AND(Inputs!$B$39&lt;&gt;"pvp",Inputs!$B$44&gt;0),IF(MAX(0,Inputs!$B$44-B2979)&lt;=0,0,(INT(MAX(0,Inputs!$B$44-B2979)/IF(Inputs!$B$39="pvp",15,MAX(0.1,Skills!D12-IF(TRUE=TRUE,2.5,0))))+1)),0)</f>
        <v/>
      </c>
      <c r="S2955">
        <f>IFERROR(O2955/N2955,0)</f>
        <v/>
      </c>
      <c r="T2955">
        <f>IF(C2955,(H2955*N2955*IF(AND(Inputs!$B$39&lt;&gt;"pvp",Inputs!$B$44&gt;0),((Skills!G12*((R2955-1)*IF(Skills!H12&gt;0,INT(Skills!I12/Skills!H12+0.000000001),1)+IF(Skills!H12&gt;0,INT(MIN(Skills!I12,MAX(0,MAX(0,Inputs!$B$44-B2979)-((R2955-1)*IF(Inputs!$B$39="pvp",15,MAX(0.1,Skills!D12-IF(TRUE=TRUE,2.5,0))))))/Skills!H12+0.000000001),1)))/Inputs!$B$44),G2955*Q2955))*IF(Inputs!$B$39="pvp",1,1+(Inputs!$B$21+0+Skills!P12+((C2960=TRUE)*F2960*IF(AND(Inputs!$B$39&lt;&gt;"pvp",Inputs!$B$44&gt;0),(((R2960-1)*MIN((Skills!T17*(1+Inputs!$B$35/100)),(1/Q2960))+MIN((Skills!T17*(1+Inputs!$B$35/100)),MAX(0,Inputs!$B$44-((R2960-1)*(1/Q2960)))))/Inputs!$B$44),IF(Inputs!$B$39="pvp",MIN((Skills!T17*(1+Inputs!$B$35/100)),15)/15,MIN(1,(Skills!T17*(1+Inputs!$B$35/100))/(1/Q2960)))))+((C2948=TRUE)*IF(Inputs!$B$3&gt;=126,10*MIN(1,15*Q2948),0))+((C2957=TRUE)*IF(Inputs!$B$39="pvp",20,(1-Summary!$B$11)*(20)+Summary!$B$11*(0))*IF(AND(Inputs!$B$39&lt;&gt;"pvp",Inputs!$B$44&gt;0),(((R2957-1)*MIN((Skills!T14*(1+Inputs!$B$35/100)),(1/Q2957))+MIN((Skills!T14*(1+Inputs!$B$35/100)),MAX(0,Inputs!$B$44-((R2957-1)*(1/Q2957)))))/Inputs!$B$44),IF(Inputs!$B$39="pvp",MIN((Skills!T14*(1+Inputs!$B$35/100)),15)/15,MIN(1,(Skills!T14*(1+Inputs!$B$35/100))/(1/Q2957)))))+((C2956=TRUE)*IF(Inputs!$B$3&gt;=82,IF(Inputs!$B$39="pvp",20,(1-Summary!$B$11)*(20)+Summary!$B$11*(0)),0)*IF(AND(Inputs!$B$39&lt;&gt;"pvp",Inputs!$B$44&gt;0),(((R2956-1)*MIN((Skills!T13*(1+Inputs!$B$35/100)),(1/Q2956))+MIN((Skills!T13*(1+Inputs!$B$35/100)),MAX(0,Inputs!$B$44-((R2956-1)*(1/Q2956)))))/Inputs!$B$44),IF(Inputs!$B$39="pvp",MIN((Skills!T13*(1+Inputs!$B$35/100)),15)/15,MIN(1,(Skills!T13*(1+Inputs!$B$35/100))/(1/Q2956)))))+(IF(AND(ArtifactsInput!$M$35,Inputs!$B$4&lt;&gt;"Chapter Hunt"),CHOOSE(ArtifactsInput!$N$35+1,15,18,21,24,27,30)*(1-EXP(-(0.2*B2974)*5)),0)+IF(AND(ArtifactsInput!$M$22,Inputs!$B$4&lt;&gt;"Chapter Hunt"),CHOOSE(ArtifactsInput!$N$22+1,10,12,14,16,18,20)*((0*(((0.15*B2974*5))^0/1)+1*(((0.15*B2974*5))^1/1)+2*(((0.15*B2974*5))^2/2)+3*(((0.15*B2974*5))^3/6)+4*(((0.15*B2974*5))^4/24)+5*(((0.15*B2974*5))^5/120))/((((0.15*B2974*5))^0/1)+(((0.15*B2974*5))^1/1)+(((0.15*B2974*5))^2/2)+(((0.15*B2974*5))^3/6)+(((0.15*B2974*5))^4/24)+(((0.15*B2974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2955*(1-MIN(100,(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2955*(MIN(100,(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2955*(1-MIN(100,(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2955*(MIN(100,(Inputs!$B$10+0+B2972+(ArtifactsInput!$M$24-ArtifactsInput!$M$24)*CHOOSE(ArtifactsInput!$N$24+1,10,12,14,16,18,20)+(IF(AND(Inputs!$B$39&lt;&gt;"pvp",Inputs!$B$44=0),1,IF(IF(Inputs!$B$39="pvp",15,Inputs!$B$44)-(B2979)&lt;=0,1,MAX(0,IF(Inputs!$B$39="pvp",15,Inputs!$B$44)-MAX(5,B2979))/(IF(Inputs!$B$39="pvp",15,Inputs!$B$44)-(B2979))))*IF(AND(ArtifactsInput!$M$42,((Inputs!$B$10+0+B2972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55">
        <f>IF(C2955,(H2955*N2955*IF(AND(Inputs!$B$39&lt;&gt;"pvp",Inputs!$B$44&gt;0),((Skills!G12*((R2955-1)*IF(Skills!H12&gt;0,INT(Skills!I12/Skills!H12+0.000000001),1)+IF(Skills!H12&gt;0,INT(MIN(Skills!I12,MAX(0,MAX(0,Inputs!$B$44-B2979)-((R2955-1)*IF(Inputs!$B$39="pvp",15,MAX(0.1,Skills!D12-IF(TRUE=TRUE,2.5,0))))))/Skills!H12+0.000000001),1)))/Inputs!$B$44),G2955*Q2955))*IF(Inputs!$B$39="pvp",1,(1+(Inputs!$B$22+Skills!Q12+((C2960=TRUE)*F2960*IF(AND(Inputs!$B$39&lt;&gt;"pvp",Inputs!$B$44&gt;0),(((R2960-1)*MIN((Skills!T17*(1+Inputs!$B$35/100)),(1/Q2960))+MIN((Skills!T17*(1+Inputs!$B$35/100)),MAX(0,Inputs!$B$44-((R2960-1)*(1/Q2960)))))/Inputs!$B$44),IF(Inputs!$B$39="pvp",MIN((Skills!T17*(1+Inputs!$B$35/100)),15)/15,MIN(1,(Skills!T17*(1+Inputs!$B$35/100))/(1/Q2960)))))+((C2948=TRUE)*IF(Inputs!$B$3&gt;=126,10*MIN(1,15*Q2948),0))+((C2957=TRUE)*IF(Inputs!$B$39="pvp",20,(1-Summary!$B$11)*(20)+Summary!$B$11*(0))*IF(AND(Inputs!$B$39&lt;&gt;"pvp",Inputs!$B$44&gt;0),(((R2957-1)*MIN((Skills!T14*(1+Inputs!$B$35/100)),(1/Q2957))+MIN((Skills!T14*(1+Inputs!$B$35/100)),MAX(0,Inputs!$B$44-((R2957-1)*(1/Q2957)))))/Inputs!$B$44),IF(Inputs!$B$39="pvp",MIN((Skills!T14*(1+Inputs!$B$35/100)),15)/15,MIN(1,(Skills!T14*(1+Inputs!$B$35/100))/(1/Q2957)))))+((C2956=TRUE)*IF(Inputs!$B$3&gt;=82,IF(Inputs!$B$39="pvp",20,(1-Summary!$B$11)*(20)+Summary!$B$11*(0)),0)*IF(AND(Inputs!$B$39&lt;&gt;"pvp",Inputs!$B$44&gt;0),(((R2956-1)*MIN((Skills!T13*(1+Inputs!$B$35/100)),(1/Q2956))+MIN((Skills!T13*(1+Inputs!$B$35/100)),MAX(0,Inputs!$B$44-((R2956-1)*(1/Q2956)))))/Inputs!$B$44),IF(Inputs!$B$39="pvp",MIN((Skills!T13*(1+Inputs!$B$35/100)),15)/15,MIN(1,(Skills!T13*(1+Inputs!$B$35/100))/(1/Q2956)))))+(IF(AND(ArtifactsInput!$M$35,Inputs!$B$4&lt;&gt;"Chapter Hunt"),CHOOSE(ArtifactsInput!$N$35+1,15,18,21,24,27,30)*(1-EXP(-(0.2*B2974)*5)),0)+IF(AND(ArtifactsInput!$M$22,Inputs!$B$4&lt;&gt;"Chapter Hunt"),CHOOSE(ArtifactsInput!$N$22+1,10,12,14,16,18,20)*((0*(((0.15*B2974*5))^0/1)+1*(((0.15*B2974*5))^1/1)+2*(((0.15*B2974*5))^2/2)+3*(((0.15*B2974*5))^3/6)+4*(((0.15*B2974*5))^4/24)+5*(((0.15*B2974*5))^5/120))/((((0.15*B2974*5))^0/1)+(((0.15*B2974*5))^1/1)+(((0.15*B2974*5))^2/2)+(((0.15*B2974*5))^3/6)+(((0.15*B2974*5))^4/24)+(((0.15*B2974*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56">
      <c r="A2956">
        <f>Skills!A13</f>
        <v/>
      </c>
      <c r="B2956">
        <f>Skills!B13</f>
        <v/>
      </c>
      <c r="C2956">
        <f>Inputs!$B$3&gt;=69</f>
        <v/>
      </c>
      <c r="D2956">
        <f>IF(Skills!C13=1,60+Inputs!$B$26+Inputs!$B$30,IF(Skills!C13=2,90+Inputs!$B$27+Inputs!$B$30,IF(Skills!C13=3,120+Inputs!$B$28+Inputs!$B$30,MAX(0,(Inputs!$B$3-100)*3)+Inputs!$B$29+Inputs!$B$30)))</f>
        <v/>
      </c>
      <c r="E2956">
        <f>INDEX(FactorTable!$B$2:$Y$301, MATCH(ROUND(MIN(300,MAX(1,D2956)),0), FactorTable!$A$2:$A$301,0), Skills!M13+1)</f>
        <v/>
      </c>
      <c r="F2956">
        <f>IF(Skills!N13=TRUE,(Skills!L13/10)*(E2956/1000),Skills!L13/10)+Skills!O13</f>
        <v/>
      </c>
      <c r="G2956">
        <f>Skills!G13*IF(Skills!H13&gt;0,INT(IF(Inputs!$B$39="pvp",MIN(Skills!I13,15),Skills!I13)/Skills!H13+0.000000001),1)</f>
        <v/>
      </c>
      <c r="H2956">
        <f>1-(1-Skills!J13/100)^Skills!K13</f>
        <v/>
      </c>
      <c r="I2956" t="inlineStr">
        <is>
          <t>1</t>
        </is>
      </c>
      <c r="J2956" t="inlineStr"/>
      <c r="K2956" t="inlineStr"/>
      <c r="L2956" t="inlineStr"/>
      <c r="M2956" t="inlineStr"/>
      <c r="N2956" t="inlineStr"/>
      <c r="O2956">
        <f>(1-Summary!$B$11)*T2956+Summary!$B$11*V2956</f>
        <v/>
      </c>
      <c r="P2956">
        <f>IF(B2982=0,0,O2956/B2982)</f>
        <v/>
      </c>
      <c r="Q2956">
        <f>IFERROR(1/IF(Inputs!$B$39="pvp",15,MAX(0.1,Skills!D13-IF(TRUE=TRUE,2.5,0))),0)</f>
        <v/>
      </c>
      <c r="R2956">
        <f>IF(AND(Inputs!$B$39&lt;&gt;"pvp",Inputs!$B$44&gt;0),IF(Inputs!$B$44&lt;=0,0,(INT(Inputs!$B$44/IF(Inputs!$B$39="pvp",15,MAX(0.1,Skills!D13-IF(TRUE=TRUE,2.5,0))))+1)),0)</f>
        <v/>
      </c>
      <c r="S2956">
        <f>IFERROR(O2956/N2956,0)</f>
        <v/>
      </c>
      <c r="T2956" t="n">
        <v>0</v>
      </c>
      <c r="V2956" t="n">
        <v>0</v>
      </c>
    </row>
    <row r="2957">
      <c r="A2957">
        <f>Skills!A14</f>
        <v/>
      </c>
      <c r="B2957">
        <f>Skills!B14</f>
        <v/>
      </c>
      <c r="C2957">
        <f>Inputs!$B$3&gt;=115</f>
        <v/>
      </c>
      <c r="D2957">
        <f>IF(Skills!C14=1,60+Inputs!$B$26+Inputs!$B$30,IF(Skills!C14=2,90+Inputs!$B$27+Inputs!$B$30,IF(Skills!C14=3,120+Inputs!$B$28+Inputs!$B$30,MAX(0,(Inputs!$B$3-100)*3)+Inputs!$B$29+Inputs!$B$30)))</f>
        <v/>
      </c>
      <c r="E2957">
        <f>INDEX(FactorTable!$B$2:$Y$301, MATCH(ROUND(MIN(300,MAX(1,D2957)),0), FactorTable!$A$2:$A$301,0), Skills!M14+1)</f>
        <v/>
      </c>
      <c r="F2957">
        <f>IF(Skills!N14=TRUE,(Skills!L14/10)*(E2957/1000),Skills!L14/10)+Skills!O14</f>
        <v/>
      </c>
      <c r="G2957">
        <f>Skills!G14*IF(Skills!H14&gt;0,INT(IF(Inputs!$B$39="pvp",MIN(Skills!I14,15),Skills!I14)/Skills!H14+0.000000001),1)</f>
        <v/>
      </c>
      <c r="H2957">
        <f>1-(1-Skills!J14/100)^Skills!K14</f>
        <v/>
      </c>
      <c r="I2957" t="inlineStr">
        <is>
          <t>1</t>
        </is>
      </c>
      <c r="J2957" t="inlineStr"/>
      <c r="K2957" t="inlineStr"/>
      <c r="L2957" t="inlineStr"/>
      <c r="M2957" t="inlineStr"/>
      <c r="N2957" t="inlineStr"/>
      <c r="O2957">
        <f>(1-Summary!$B$11)*T2957+Summary!$B$11*V2957</f>
        <v/>
      </c>
      <c r="P2957">
        <f>IF(B2982=0,0,O2957/B2982)</f>
        <v/>
      </c>
      <c r="Q2957">
        <f>IFERROR(1/IF(Inputs!$B$39="pvp",15,MAX(0.1,Skills!D14-IF(TRUE=TRUE,2.5,0))),0)</f>
        <v/>
      </c>
      <c r="R2957">
        <f>IF(AND(Inputs!$B$39&lt;&gt;"pvp",Inputs!$B$44&gt;0),IF(Inputs!$B$44&lt;=0,0,(INT(Inputs!$B$44/IF(Inputs!$B$39="pvp",15,MAX(0.1,Skills!D14-IF(TRUE=TRUE,2.5,0))))+1)),0)</f>
        <v/>
      </c>
      <c r="S2957">
        <f>IFERROR(O2957/N2957,0)</f>
        <v/>
      </c>
      <c r="T2957" t="n">
        <v>0</v>
      </c>
      <c r="V2957" t="n">
        <v>0</v>
      </c>
    </row>
    <row r="2958">
      <c r="A2958">
        <f>Skills!A15</f>
        <v/>
      </c>
      <c r="B2958">
        <f>Skills!B15</f>
        <v/>
      </c>
      <c r="C2958">
        <f>Inputs!$B$3&gt;=66</f>
        <v/>
      </c>
      <c r="D2958">
        <f>IF(Skills!C15=1,60+Inputs!$B$26+Inputs!$B$30,IF(Skills!C15=2,90+Inputs!$B$27+Inputs!$B$30,IF(Skills!C15=3,120+Inputs!$B$28+Inputs!$B$30,MAX(0,(Inputs!$B$3-100)*3)+Inputs!$B$29+Inputs!$B$30)))</f>
        <v/>
      </c>
      <c r="E2958">
        <f>INDEX(FactorTable!$B$2:$Y$301, MATCH(ROUND(MIN(300,MAX(1,D2958)),0), FactorTable!$A$2:$A$301,0), Skills!M15+1)</f>
        <v/>
      </c>
      <c r="F2958">
        <f>IF(Skills!N15=TRUE,(Skills!L15/10)*(E2958/1000),Skills!L15/10)+Skills!O15</f>
        <v/>
      </c>
      <c r="G2958">
        <f>Skills!G15*IF(Skills!H15&gt;0,INT(IF(Inputs!$B$39="pvp",MIN(Skills!I15,15),Skills!I15)/Skills!H15+0.000000001),1)</f>
        <v/>
      </c>
      <c r="H2958">
        <f>1-(1-Skills!J15/100)^Skills!K15</f>
        <v/>
      </c>
      <c r="I2958" t="inlineStr">
        <is>
          <t>1</t>
        </is>
      </c>
      <c r="J2958" t="inlineStr"/>
      <c r="K2958" t="inlineStr"/>
      <c r="L2958" t="inlineStr"/>
      <c r="M2958" t="inlineStr"/>
      <c r="N2958" t="inlineStr"/>
      <c r="O2958">
        <f>(1-Summary!$B$11)*T2958+Summary!$B$11*V2958</f>
        <v/>
      </c>
      <c r="P2958">
        <f>IF(B2982=0,0,O2958/B2982)</f>
        <v/>
      </c>
      <c r="Q2958">
        <f>IFERROR(1/IF(Inputs!$B$39="pvp",15,MAX(0.1,Skills!D15-IF(TRUE=TRUE,2.5,0))),0)</f>
        <v/>
      </c>
      <c r="R2958">
        <f>IF(AND(Inputs!$B$39&lt;&gt;"pvp",Inputs!$B$44&gt;0),IF(Inputs!$B$44&lt;=0,0,(INT(Inputs!$B$44/IF(Inputs!$B$39="pvp",15,MAX(0.1,Skills!D15-IF(TRUE=TRUE,2.5,0))))+1)),0)</f>
        <v/>
      </c>
      <c r="S2958">
        <f>IFERROR(O2958/N2958,0)</f>
        <v/>
      </c>
      <c r="T2958" t="n">
        <v>0</v>
      </c>
      <c r="V2958" t="n">
        <v>0</v>
      </c>
    </row>
    <row r="2959">
      <c r="A2959">
        <f>Skills!A16</f>
        <v/>
      </c>
      <c r="B2959">
        <f>Skills!B16</f>
        <v/>
      </c>
      <c r="C2959">
        <f>Inputs!$B$3&gt;=45</f>
        <v/>
      </c>
      <c r="D2959">
        <f>IF(Skills!C16=1,60+Inputs!$B$26+Inputs!$B$30,IF(Skills!C16=2,90+Inputs!$B$27+Inputs!$B$30,IF(Skills!C16=3,120+Inputs!$B$28+Inputs!$B$30,MAX(0,(Inputs!$B$3-100)*3)+Inputs!$B$29+Inputs!$B$30)))</f>
        <v/>
      </c>
      <c r="E2959">
        <f>INDEX(FactorTable!$B$2:$Y$301, MATCH(ROUND(MIN(300,MAX(1,D2959)),0), FactorTable!$A$2:$A$301,0), Skills!M16+1)</f>
        <v/>
      </c>
      <c r="F2959">
        <f>IF(Skills!N16=TRUE,(Skills!L16/10)*(E2959/1000),Skills!L16/10)+Skills!O16</f>
        <v/>
      </c>
      <c r="G2959">
        <f>Skills!G16*IF(Skills!H16&gt;0,INT(IF(Inputs!$B$39="pvp",MIN(Skills!I16,15),Skills!I16)/Skills!H16+0.000000001),1)</f>
        <v/>
      </c>
      <c r="H2959">
        <f>1-(1-Skills!J16/100)^Skills!K16</f>
        <v/>
      </c>
      <c r="I2959" t="inlineStr">
        <is>
          <t>1</t>
        </is>
      </c>
      <c r="J2959" t="inlineStr"/>
      <c r="K2959" t="inlineStr"/>
      <c r="L2959" t="inlineStr"/>
      <c r="M2959" t="inlineStr"/>
      <c r="N2959" t="inlineStr"/>
      <c r="O2959">
        <f>(1-Summary!$B$11)*T2959+Summary!$B$11*V2959</f>
        <v/>
      </c>
      <c r="P2959">
        <f>IF(B2982=0,0,O2959/B2982)</f>
        <v/>
      </c>
      <c r="Q2959">
        <f>IFERROR(1/IF(Inputs!$B$39="pvp",15,MAX(0.1,Skills!D16-IF(TRUE=TRUE,2.5,0))),0)</f>
        <v/>
      </c>
      <c r="R2959">
        <f>IF(AND(Inputs!$B$39&lt;&gt;"pvp",Inputs!$B$44&gt;0),IF(Inputs!$B$44&lt;=0,0,(INT(Inputs!$B$44/IF(Inputs!$B$39="pvp",15,MAX(0.1,Skills!D16-IF(TRUE=TRUE,2.5,0))))+1)),0)</f>
        <v/>
      </c>
      <c r="S2959">
        <f>IFERROR(O2959/N2959,0)</f>
        <v/>
      </c>
      <c r="T2959" t="n">
        <v>0</v>
      </c>
      <c r="V2959" t="n">
        <v>0</v>
      </c>
    </row>
    <row r="2960">
      <c r="A2960">
        <f>Skills!A17</f>
        <v/>
      </c>
      <c r="B2960">
        <f>Skills!B17</f>
        <v/>
      </c>
      <c r="C2960">
        <f>Inputs!$B$3&gt;=35</f>
        <v/>
      </c>
      <c r="D2960">
        <f>IF(Skills!C17=1,60+Inputs!$B$26+Inputs!$B$30,IF(Skills!C17=2,90+Inputs!$B$27+Inputs!$B$30,IF(Skills!C17=3,120+Inputs!$B$28+Inputs!$B$30,MAX(0,(Inputs!$B$3-100)*3)+Inputs!$B$29+Inputs!$B$30)))</f>
        <v/>
      </c>
      <c r="E2960">
        <f>INDEX(FactorTable!$B$2:$Y$301, MATCH(ROUND(MIN(300,MAX(1,D2960)),0), FactorTable!$A$2:$A$301,0), Skills!M17+1)</f>
        <v/>
      </c>
      <c r="F2960">
        <f>IF(Skills!N17=TRUE,(Skills!L17/10)*(E2960/1000),Skills!L17/10)+Skills!O17</f>
        <v/>
      </c>
      <c r="G2960">
        <f>Skills!G17*IF(Skills!H17&gt;0,INT(IF(Inputs!$B$39="pvp",MIN(Skills!I17,15),Skills!I17)/Skills!H17+0.000000001),1)</f>
        <v/>
      </c>
      <c r="H2960">
        <f>1-(1-Skills!J17/100)^Skills!K17</f>
        <v/>
      </c>
      <c r="I2960" t="inlineStr">
        <is>
          <t>1</t>
        </is>
      </c>
      <c r="J2960" t="inlineStr"/>
      <c r="K2960" t="inlineStr"/>
      <c r="L2960" t="inlineStr"/>
      <c r="M2960" t="inlineStr"/>
      <c r="N2960" t="inlineStr"/>
      <c r="O2960">
        <f>(1-Summary!$B$11)*T2960+Summary!$B$11*V2960</f>
        <v/>
      </c>
      <c r="P2960">
        <f>IF(B2982=0,0,O2960/B2982)</f>
        <v/>
      </c>
      <c r="Q2960">
        <f>IFERROR(1/IF(Inputs!$B$39="pvp",15,MAX(0.1,Skills!D17-IF(TRUE=TRUE,2.5,0))),0)</f>
        <v/>
      </c>
      <c r="R2960">
        <f>IF(AND(Inputs!$B$39&lt;&gt;"pvp",Inputs!$B$44&gt;0),IF(Inputs!$B$44&lt;=0,0,(INT(Inputs!$B$44/IF(Inputs!$B$39="pvp",15,MAX(0.1,Skills!D17-IF(TRUE=TRUE,2.5,0))))+1)),0)</f>
        <v/>
      </c>
      <c r="S2960">
        <f>IFERROR(O2960/N2960,0)</f>
        <v/>
      </c>
      <c r="T2960" t="n">
        <v>0</v>
      </c>
      <c r="V2960" t="n">
        <v>0</v>
      </c>
    </row>
    <row r="2961">
      <c r="A2961">
        <f>Skills!A18</f>
        <v/>
      </c>
      <c r="B2961">
        <f>Skills!B18</f>
        <v/>
      </c>
      <c r="C2961">
        <f>Inputs!$B$3&gt;=72</f>
        <v/>
      </c>
      <c r="D2961">
        <f>IF(Skills!C18=1,60+Inputs!$B$26+Inputs!$B$30,IF(Skills!C18=2,90+Inputs!$B$27+Inputs!$B$30,IF(Skills!C18=3,120+Inputs!$B$28+Inputs!$B$30,MAX(0,(Inputs!$B$3-100)*3)+Inputs!$B$29+Inputs!$B$30)))</f>
        <v/>
      </c>
      <c r="E2961">
        <f>INDEX(FactorTable!$B$2:$Y$301, MATCH(ROUND(MIN(300,MAX(1,D2961)),0), FactorTable!$A$2:$A$301,0), Skills!M18+1)</f>
        <v/>
      </c>
      <c r="F2961">
        <f>IF(Skills!N18=TRUE,(Skills!L18/10)*(E2961/1000),Skills!L18/10)+Skills!O18</f>
        <v/>
      </c>
      <c r="G2961">
        <f>Skills!G18*IF(Skills!H18&gt;0,INT(IF(Inputs!$B$39="pvp",MIN(Skills!I18,15),Skills!I18)/Skills!H18+0.000000001),1)</f>
        <v/>
      </c>
      <c r="H2961">
        <f>1-(1-Skills!J18/100)^Skills!K18</f>
        <v/>
      </c>
      <c r="I2961" t="inlineStr">
        <is>
          <t>1</t>
        </is>
      </c>
      <c r="J2961" t="inlineStr"/>
      <c r="K2961" t="inlineStr"/>
      <c r="L2961" t="inlineStr"/>
      <c r="M2961" t="inlineStr"/>
      <c r="N2961" t="inlineStr"/>
      <c r="O2961">
        <f>(1-Summary!$B$11)*T2961+Summary!$B$11*V2961</f>
        <v/>
      </c>
      <c r="P2961">
        <f>IF(B2982=0,0,O2961/B2982)</f>
        <v/>
      </c>
      <c r="Q2961">
        <f>IFERROR(1/IF(Inputs!$B$39="pvp",15,MAX(0.1,Skills!D18-IF(TRUE=TRUE,2.5,0))),0)</f>
        <v/>
      </c>
      <c r="R2961">
        <f>IF(AND(Inputs!$B$39&lt;&gt;"pvp",Inputs!$B$44&gt;0),IF(Inputs!$B$44&lt;=0,0,(INT(Inputs!$B$44/IF(Inputs!$B$39="pvp",15,MAX(0.1,Skills!D18-IF(TRUE=TRUE,2.5,0))))+1)),0)</f>
        <v/>
      </c>
      <c r="S2961">
        <f>IFERROR(O2961/N2961,0)</f>
        <v/>
      </c>
      <c r="T2961" t="n">
        <v>0</v>
      </c>
      <c r="V2961" t="n">
        <v>0</v>
      </c>
    </row>
    <row r="2962">
      <c r="A2962">
        <f>Skills!A19</f>
        <v/>
      </c>
      <c r="B2962">
        <f>Skills!B19</f>
        <v/>
      </c>
      <c r="C2962">
        <f>Inputs!$B$3&gt;=72</f>
        <v/>
      </c>
      <c r="D2962">
        <f>IF(Skills!C19=1,60+Inputs!$B$26+Inputs!$B$30,IF(Skills!C19=2,90+Inputs!$B$27+Inputs!$B$30,IF(Skills!C19=3,120+Inputs!$B$28+Inputs!$B$30,MAX(0,(Inputs!$B$3-100)*3)+Inputs!$B$29+Inputs!$B$30)))</f>
        <v/>
      </c>
      <c r="E2962">
        <f>INDEX(FactorTable!$B$2:$Y$301, MATCH(ROUND(MIN(300,MAX(1,D2962)),0), FactorTable!$A$2:$A$301,0), Skills!M19+1)</f>
        <v/>
      </c>
      <c r="F2962">
        <f>IF(Skills!N19=TRUE,(Skills!L19/10)*(E2962/1000),Skills!L19/10)+Skills!O19</f>
        <v/>
      </c>
      <c r="G2962">
        <f>Skills!G19*IF(Skills!H19&gt;0,INT(IF(Inputs!$B$39="pvp",MIN(Skills!I19,15),Skills!I19)/Skills!H19+0.000000001),1)</f>
        <v/>
      </c>
      <c r="H2962">
        <f>1-(1-Skills!J19/100)^Skills!K19</f>
        <v/>
      </c>
      <c r="I2962" t="inlineStr">
        <is>
          <t>1</t>
        </is>
      </c>
      <c r="J2962" t="inlineStr"/>
      <c r="K2962" t="inlineStr"/>
      <c r="L2962" t="inlineStr"/>
      <c r="M2962" t="inlineStr"/>
      <c r="N2962" t="inlineStr"/>
      <c r="O2962">
        <f>(1-Summary!$B$11)*T2962+Summary!$B$11*V2962</f>
        <v/>
      </c>
      <c r="P2962">
        <f>IF(B2982=0,0,O2962/B2982)</f>
        <v/>
      </c>
      <c r="Q2962">
        <f>IFERROR(1/IF(Inputs!$B$39="pvp",15,MAX(0.1,Skills!D19-IF(TRUE=TRUE,2.5,0))),0)</f>
        <v/>
      </c>
      <c r="R2962">
        <f>IF(AND(Inputs!$B$39&lt;&gt;"pvp",Inputs!$B$44&gt;0),IF(Inputs!$B$44&lt;=0,0,(INT(Inputs!$B$44/IF(Inputs!$B$39="pvp",15,MAX(0.1,Skills!D19-IF(TRUE=TRUE,2.5,0))))+1)),0)</f>
        <v/>
      </c>
      <c r="S2962">
        <f>IFERROR(O2962/N2962,0)</f>
        <v/>
      </c>
      <c r="T2962" t="n">
        <v>0</v>
      </c>
      <c r="V2962" t="n">
        <v>0</v>
      </c>
    </row>
    <row r="2963">
      <c r="A2963">
        <f>Skills!A20</f>
        <v/>
      </c>
      <c r="B2963">
        <f>Skills!B20</f>
        <v/>
      </c>
      <c r="C2963">
        <f>TRUE</f>
        <v/>
      </c>
      <c r="D2963">
        <f>IF(Skills!C20=1,60+Inputs!$B$26+Inputs!$B$30,IF(Skills!C20=2,90+Inputs!$B$27+Inputs!$B$30,IF(Skills!C20=3,120+Inputs!$B$28+Inputs!$B$30,MAX(0,(Inputs!$B$3-100)*3)+Inputs!$B$29+Inputs!$B$30)))</f>
        <v/>
      </c>
      <c r="E2963">
        <f>INDEX(FactorTable!$B$2:$Y$301, MATCH(ROUND(MIN(300,MAX(1,D2963)),0), FactorTable!$A$2:$A$301,0), Skills!M20+1)</f>
        <v/>
      </c>
      <c r="F2963">
        <f>IF(Skills!N20=TRUE,(Skills!L20/10)*(E2963/1000),Skills!L20/10)+Skills!O20</f>
        <v/>
      </c>
      <c r="G2963">
        <f>Skills!G20*IF(Skills!H20&gt;0,INT(IF(Inputs!$B$39="pvp",MIN(Skills!I20,15),Skills!I20)/Skills!H20+0.000000001),1)</f>
        <v/>
      </c>
      <c r="H2963">
        <f>1-(1-Skills!J20/100)^Skills!K20</f>
        <v/>
      </c>
      <c r="I2963" t="inlineStr">
        <is>
          <t>1</t>
        </is>
      </c>
      <c r="J2963" t="inlineStr"/>
      <c r="K2963" t="inlineStr"/>
      <c r="L2963" t="inlineStr"/>
      <c r="M2963" t="inlineStr"/>
      <c r="N2963" t="inlineStr"/>
      <c r="O2963">
        <f>(1-Summary!$B$11)*T2963+Summary!$B$11*V2963</f>
        <v/>
      </c>
      <c r="P2963">
        <f>IF(B2982=0,0,O2963/B2982)</f>
        <v/>
      </c>
      <c r="Q2963">
        <f>IFERROR(1/IF(Inputs!$B$39="pvp",15,MAX(0.1,Skills!D20-IF(TRUE=TRUE,2.5,0))),0)</f>
        <v/>
      </c>
      <c r="R2963">
        <f>IF(AND(Inputs!$B$39&lt;&gt;"pvp",Inputs!$B$44&gt;0),IF(Inputs!$B$44&lt;=0,0,(INT(Inputs!$B$44/IF(Inputs!$B$39="pvp",15,MAX(0.1,Skills!D20-IF(TRUE=TRUE,2.5,0))))+1)),0)</f>
        <v/>
      </c>
      <c r="S2963">
        <f>IFERROR(O2963/N2963,0)</f>
        <v/>
      </c>
      <c r="T2963" t="n">
        <v>0</v>
      </c>
      <c r="V2963" t="n">
        <v>0</v>
      </c>
    </row>
    <row r="2964">
      <c r="A2964">
        <f>Skills!A21</f>
        <v/>
      </c>
      <c r="B2964">
        <f>Skills!B21</f>
        <v/>
      </c>
      <c r="C2964">
        <f>Inputs!$B$3&gt;=33</f>
        <v/>
      </c>
      <c r="D2964">
        <f>IF(Skills!C21=1,60+Inputs!$B$26+Inputs!$B$30,IF(Skills!C21=2,90+Inputs!$B$27+Inputs!$B$30,IF(Skills!C21=3,120+Inputs!$B$28+Inputs!$B$30,MAX(0,(Inputs!$B$3-100)*3)+Inputs!$B$29+Inputs!$B$30)))</f>
        <v/>
      </c>
      <c r="E2964">
        <f>INDEX(FactorTable!$B$2:$Y$301, MATCH(ROUND(MIN(300,MAX(1,D2964)),0), FactorTable!$A$2:$A$301,0), Skills!M21+1)</f>
        <v/>
      </c>
      <c r="F2964">
        <f>IF(Skills!N21=TRUE,(Skills!L21/10)*(E2964/1000),Skills!L21/10)+Skills!O21</f>
        <v/>
      </c>
      <c r="G2964">
        <f>Skills!G21*IF(Skills!H21&gt;0,INT(IF(Inputs!$B$39="pvp",MIN(Skills!I21,15),Skills!I21)/Skills!H21+0.000000001),1)</f>
        <v/>
      </c>
      <c r="H2964">
        <f>1-(1-Skills!J21/100)^Skills!K21</f>
        <v/>
      </c>
      <c r="I2964" t="inlineStr">
        <is>
          <t>1</t>
        </is>
      </c>
      <c r="J2964" t="inlineStr"/>
      <c r="K2964" t="inlineStr"/>
      <c r="L2964" t="inlineStr"/>
      <c r="M2964" t="inlineStr"/>
      <c r="N2964" t="inlineStr"/>
      <c r="O2964">
        <f>(1-Summary!$B$11)*T2964+Summary!$B$11*V2964</f>
        <v/>
      </c>
      <c r="P2964">
        <f>IF(B2982=0,0,O2964/B2982)</f>
        <v/>
      </c>
      <c r="Q2964" t="n">
        <v>0</v>
      </c>
      <c r="R2964" t="n">
        <v>0</v>
      </c>
      <c r="S2964">
        <f>IFERROR(O2964/N2964,0)</f>
        <v/>
      </c>
      <c r="T2964" t="n">
        <v>0</v>
      </c>
      <c r="V2964" t="n">
        <v>0</v>
      </c>
    </row>
    <row r="2965">
      <c r="A2965">
        <f>Skills!A22</f>
        <v/>
      </c>
      <c r="B2965">
        <f>Skills!B22</f>
        <v/>
      </c>
      <c r="C2965">
        <f>Inputs!$B$3&gt;=43</f>
        <v/>
      </c>
      <c r="D2965">
        <f>IF(Skills!C22=1,60+Inputs!$B$26+Inputs!$B$30,IF(Skills!C22=2,90+Inputs!$B$27+Inputs!$B$30,IF(Skills!C22=3,120+Inputs!$B$28+Inputs!$B$30,MAX(0,(Inputs!$B$3-100)*3)+Inputs!$B$29+Inputs!$B$30)))</f>
        <v/>
      </c>
      <c r="E2965">
        <f>INDEX(FactorTable!$B$2:$Y$301, MATCH(ROUND(MIN(300,MAX(1,D2965)),0), FactorTable!$A$2:$A$301,0), Skills!M22+1)</f>
        <v/>
      </c>
      <c r="F2965">
        <f>IF(Skills!N22=TRUE,(Skills!L22/10)*(E2965/1000),Skills!L22/10)+Skills!O22</f>
        <v/>
      </c>
      <c r="G2965">
        <f>Skills!G22*IF(Skills!H22&gt;0,INT(IF(Inputs!$B$39="pvp",MIN(Skills!I22,15),Skills!I22)/Skills!H22+0.000000001),1)</f>
        <v/>
      </c>
      <c r="H2965">
        <f>1-(1-Skills!J22/100)^Skills!K22</f>
        <v/>
      </c>
      <c r="I2965" t="inlineStr">
        <is>
          <t>1</t>
        </is>
      </c>
      <c r="J2965" t="inlineStr"/>
      <c r="K2965" t="inlineStr"/>
      <c r="L2965" t="inlineStr"/>
      <c r="M2965" t="inlineStr"/>
      <c r="N2965" t="inlineStr"/>
      <c r="O2965">
        <f>(1-Summary!$B$11)*T2965+Summary!$B$11*V2965</f>
        <v/>
      </c>
      <c r="P2965">
        <f>IF(B2982=0,0,O2965/B2982)</f>
        <v/>
      </c>
      <c r="Q2965" t="n">
        <v>0</v>
      </c>
      <c r="R2965" t="n">
        <v>0</v>
      </c>
      <c r="S2965">
        <f>IFERROR(O2965/N2965,0)</f>
        <v/>
      </c>
      <c r="T2965" t="n">
        <v>0</v>
      </c>
      <c r="V2965" t="n">
        <v>0</v>
      </c>
    </row>
    <row r="2966">
      <c r="A2966">
        <f>Skills!A23</f>
        <v/>
      </c>
      <c r="B2966">
        <f>Skills!B23</f>
        <v/>
      </c>
      <c r="C2966">
        <f>Inputs!$B$3&gt;=120</f>
        <v/>
      </c>
      <c r="D2966">
        <f>IF(Skills!C23=1,60+Inputs!$B$26+Inputs!$B$30,IF(Skills!C23=2,90+Inputs!$B$27+Inputs!$B$30,IF(Skills!C23=3,120+Inputs!$B$28+Inputs!$B$30,MAX(0,(Inputs!$B$3-100)*3)+Inputs!$B$29+Inputs!$B$30)))</f>
        <v/>
      </c>
      <c r="E2966">
        <f>INDEX(FactorTable!$B$2:$Y$301, MATCH(ROUND(MIN(300,MAX(1,D2966)),0), FactorTable!$A$2:$A$301,0), Skills!M23+1)</f>
        <v/>
      </c>
      <c r="F2966">
        <f>IF(Skills!N23=TRUE,(Skills!L23/10)*(E2966/1000),Skills!L23/10)+Skills!O23</f>
        <v/>
      </c>
      <c r="G2966">
        <f>Skills!G23*IF(Skills!H23&gt;0,INT(IF(Inputs!$B$39="pvp",MIN(Skills!I23,15),Skills!I23)/Skills!H23+0.000000001),1)</f>
        <v/>
      </c>
      <c r="H2966">
        <f>1-(1-Skills!J23/100)^Skills!K23</f>
        <v/>
      </c>
      <c r="I2966" t="inlineStr">
        <is>
          <t>1</t>
        </is>
      </c>
      <c r="J2966" t="inlineStr"/>
      <c r="K2966" t="inlineStr"/>
      <c r="L2966" t="inlineStr"/>
      <c r="M2966" t="inlineStr"/>
      <c r="N2966" t="inlineStr"/>
      <c r="O2966">
        <f>(1-Summary!$B$11)*T2966+Summary!$B$11*V2966</f>
        <v/>
      </c>
      <c r="P2966">
        <f>IF(B2982=0,0,O2966/B2982)</f>
        <v/>
      </c>
      <c r="Q2966" t="n">
        <v>0</v>
      </c>
      <c r="R2966" t="n">
        <v>0</v>
      </c>
      <c r="S2966">
        <f>IFERROR(O2966/N2966,0)</f>
        <v/>
      </c>
      <c r="T2966" t="n">
        <v>0</v>
      </c>
      <c r="V2966" t="n">
        <v>0</v>
      </c>
    </row>
    <row r="2967">
      <c r="A2967">
        <f>Skills!A24</f>
        <v/>
      </c>
      <c r="B2967">
        <f>Skills!B24</f>
        <v/>
      </c>
      <c r="C2967">
        <f>Inputs!$B$3&gt;=120</f>
        <v/>
      </c>
      <c r="D2967">
        <f>IF(Skills!C24=1,60+Inputs!$B$26+Inputs!$B$30,IF(Skills!C24=2,90+Inputs!$B$27+Inputs!$B$30,IF(Skills!C24=3,120+Inputs!$B$28+Inputs!$B$30,MAX(0,(Inputs!$B$3-100)*3)+Inputs!$B$29+Inputs!$B$30)))</f>
        <v/>
      </c>
      <c r="E2967">
        <f>INDEX(FactorTable!$B$2:$Y$301, MATCH(ROUND(MIN(300,MAX(1,D2967)),0), FactorTable!$A$2:$A$301,0), Skills!M24+1)</f>
        <v/>
      </c>
      <c r="F2967">
        <f>IF(Skills!N24=TRUE,(Skills!L24/10)*(E2967/1000),Skills!L24/10)+Skills!O24</f>
        <v/>
      </c>
      <c r="G2967">
        <f>Skills!G24*IF(Skills!H24&gt;0,INT(IF(Inputs!$B$39="pvp",MIN(Skills!I24,15),Skills!I24)/Skills!H24+0.000000001),1)</f>
        <v/>
      </c>
      <c r="H2967">
        <f>1-(1-Skills!J24/100)^Skills!K24</f>
        <v/>
      </c>
      <c r="I2967" t="inlineStr">
        <is>
          <t>1</t>
        </is>
      </c>
      <c r="J2967" t="inlineStr"/>
      <c r="K2967" t="inlineStr"/>
      <c r="L2967" t="inlineStr"/>
      <c r="M2967" t="inlineStr"/>
      <c r="N2967" t="inlineStr"/>
      <c r="O2967">
        <f>(1-Summary!$B$11)*T2967+Summary!$B$11*V2967</f>
        <v/>
      </c>
      <c r="P2967">
        <f>IF(B2982=0,0,O2967/B2982)</f>
        <v/>
      </c>
      <c r="Q2967" t="n">
        <v>0</v>
      </c>
      <c r="R2967" t="n">
        <v>0</v>
      </c>
      <c r="S2967">
        <f>IFERROR(O2967/N2967,0)</f>
        <v/>
      </c>
      <c r="T2967" t="n">
        <v>0</v>
      </c>
      <c r="V2967" t="n">
        <v>0</v>
      </c>
    </row>
    <row r="2968">
      <c r="A2968">
        <f>Skills!A25</f>
        <v/>
      </c>
      <c r="B2968">
        <f>Skills!B25</f>
        <v/>
      </c>
      <c r="C2968">
        <f>Inputs!$B$3&gt;=125</f>
        <v/>
      </c>
      <c r="D2968">
        <f>IF(Skills!C25=1,60+Inputs!$B$26+Inputs!$B$30,IF(Skills!C25=2,90+Inputs!$B$27+Inputs!$B$30,IF(Skills!C25=3,120+Inputs!$B$28+Inputs!$B$30,MAX(0,(Inputs!$B$3-100)*3)+Inputs!$B$29+Inputs!$B$30)))</f>
        <v/>
      </c>
      <c r="E2968">
        <f>INDEX(FactorTable!$B$2:$Y$301, MATCH(ROUND(MIN(300,MAX(1,D2968)),0), FactorTable!$A$2:$A$301,0), Skills!M25+1)</f>
        <v/>
      </c>
      <c r="F2968">
        <f>IF(Skills!N25=TRUE,(Skills!L25/10)*(E2968/1000),Skills!L25/10)+Skills!O25</f>
        <v/>
      </c>
      <c r="G2968">
        <f>Skills!G25*IF(Skills!H25&gt;0,INT(IF(Inputs!$B$39="pvp",MIN(Skills!I25,15),Skills!I25)/Skills!H25+0.000000001),1)</f>
        <v/>
      </c>
      <c r="H2968">
        <f>1-(1-Skills!J25/100)^Skills!K25</f>
        <v/>
      </c>
      <c r="I2968" t="inlineStr">
        <is>
          <t>1</t>
        </is>
      </c>
      <c r="J2968" t="inlineStr"/>
      <c r="K2968" t="inlineStr"/>
      <c r="L2968" t="inlineStr"/>
      <c r="M2968" t="inlineStr"/>
      <c r="N2968" t="inlineStr"/>
      <c r="O2968">
        <f>(1-Summary!$B$11)*T2968+Summary!$B$11*V2968</f>
        <v/>
      </c>
      <c r="P2968">
        <f>IF(B2982=0,0,O2968/B2982)</f>
        <v/>
      </c>
      <c r="Q2968" t="n">
        <v>0</v>
      </c>
      <c r="R2968" t="n">
        <v>0</v>
      </c>
      <c r="S2968">
        <f>IFERROR(O2968/N2968,0)</f>
        <v/>
      </c>
      <c r="T2968" t="n">
        <v>0</v>
      </c>
      <c r="V2968" t="n">
        <v>0</v>
      </c>
    </row>
    <row r="2969">
      <c r="A2969">
        <f>Skills!A26</f>
        <v/>
      </c>
      <c r="B2969">
        <f>Skills!B26</f>
        <v/>
      </c>
      <c r="C2969">
        <f>Inputs!$B$3&gt;=107</f>
        <v/>
      </c>
      <c r="D2969">
        <f>IF(Skills!C26=1,60+Inputs!$B$26+Inputs!$B$30,IF(Skills!C26=2,90+Inputs!$B$27+Inputs!$B$30,IF(Skills!C26=3,120+Inputs!$B$28+Inputs!$B$30,MAX(0,(Inputs!$B$3-100)*3)+Inputs!$B$29+Inputs!$B$30)))</f>
        <v/>
      </c>
      <c r="E2969">
        <f>INDEX(FactorTable!$B$2:$Y$301, MATCH(ROUND(MIN(300,MAX(1,D2969)),0), FactorTable!$A$2:$A$301,0), Skills!M26+1)</f>
        <v/>
      </c>
      <c r="F2969">
        <f>IF(Skills!N26=TRUE,(Skills!L26/10)*(E2969/1000),Skills!L26/10)+Skills!O26</f>
        <v/>
      </c>
      <c r="G2969">
        <f>Skills!G26*IF(Skills!H26&gt;0,INT(IF(Inputs!$B$39="pvp",MIN(Skills!I26,15),Skills!I26)/Skills!H26+0.000000001),1)</f>
        <v/>
      </c>
      <c r="H2969">
        <f>1-(1-Skills!J26/100)^Skills!K26</f>
        <v/>
      </c>
      <c r="I2969" t="inlineStr">
        <is>
          <t>1</t>
        </is>
      </c>
      <c r="J2969" t="inlineStr"/>
      <c r="K2969" t="inlineStr"/>
      <c r="L2969" t="inlineStr"/>
      <c r="M2969" t="inlineStr"/>
      <c r="N2969" t="inlineStr"/>
      <c r="O2969">
        <f>(1-Summary!$B$11)*T2969+Summary!$B$11*V2969</f>
        <v/>
      </c>
      <c r="P2969">
        <f>IF(B2982=0,0,O2969/B2982)</f>
        <v/>
      </c>
      <c r="Q2969" t="n">
        <v>0</v>
      </c>
      <c r="R2969" t="n">
        <v>0</v>
      </c>
      <c r="S2969">
        <f>IFERROR(O2969/N2969,0)</f>
        <v/>
      </c>
      <c r="T2969" t="n">
        <v>0</v>
      </c>
      <c r="V2969" t="n">
        <v>0</v>
      </c>
    </row>
    <row r="2971">
      <c r="A2971" t="inlineStr">
        <is>
          <t>Attack% Bucket Multiplier</t>
        </is>
      </c>
      <c r="B2971">
        <f>(1+(((C2956=TRUE)*F2956*IF(AND(Inputs!$B$39&lt;&gt;"pvp",Inputs!$B$44&gt;0),(((R2956-1)*MIN((Skills!T13*(1+Inputs!$B$35/100)),(1/Q2956))+MIN((Skills!T13*(1+Inputs!$B$35/100)),MAX(0,Inputs!$B$44-((R2956-1)*(1/Q2956)))))/Inputs!$B$44),IF(Inputs!$B$39="pvp",MIN((Skills!T13*(1+Inputs!$B$35/100)),15)/15,MIN(1,(Skills!T13*(1+Inputs!$B$35/100))/(1/Q2956)))))+((C2957=TRUE)*F2957*IF(AND(Inputs!$B$39&lt;&gt;"pvp",Inputs!$B$44&gt;0),(((R2957-1)*MIN((Skills!T14*(1+Inputs!$B$35/100)),(1/Q2957))+MIN((Skills!T14*(1+Inputs!$B$35/100)),MAX(0,Inputs!$B$44-((R2957-1)*(1/Q2957)))))/Inputs!$B$44),IF(Inputs!$B$39="pvp",MIN((Skills!T14*(1+Inputs!$B$35/100)),15)/15,MIN(1,(Skills!T14*(1+Inputs!$B$35/100))/(1/Q2957)))))+((C2958=TRUE)*F2958*IF(AND(Inputs!$B$39&lt;&gt;"pvp",Inputs!$B$44&gt;0),(((R2958-1)*MIN((Skills!T15*(1+Inputs!$B$35/100)),(1/Q2958))+MIN((Skills!T15*(1+Inputs!$B$35/100)),MAX(0,Inputs!$B$44-((R2958-1)*(1/Q2958)))))/Inputs!$B$44),IF(Inputs!$B$39="pvp",MIN((Skills!T15*(1+Inputs!$B$35/100)),15)/15,MIN(1,(Skills!T15*(1+Inputs!$B$35/100))/(1/Q2958)))))+((C2959=TRUE)*F2959*IF(AND(Inputs!$B$39&lt;&gt;"pvp",Inputs!$B$44&gt;0),(((R2959-1)*MIN((Skills!T16*(1+Inputs!$B$35/100)),(1/Q2959))+MIN((Skills!T16*(1+Inputs!$B$35/100)),MAX(0,Inputs!$B$44-((R2959-1)*(1/Q2959)))))/Inputs!$B$44),IF(Inputs!$B$39="pvp",MIN((Skills!T16*(1+Inputs!$B$35/100)),15)/15,MIN(1,(Skills!T16*(1+Inputs!$B$35/100))/(1/Q2959)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2972">
      <c r="A2972" t="inlineStr">
        <is>
          <t>Global Crit Rate Bonus % (Lord of Darkness)</t>
        </is>
      </c>
      <c r="B2972">
        <f>((C2961=TRUE)*F2961*(Skills!J18/100)*IF(AND(Inputs!$B$39&lt;&gt;"pvp",Inputs!$B$44&gt;0),(((R2961-1)*MIN((Skills!T18*(1+Inputs!$B$35/100)),(1/Q2961))+MIN((Skills!T18*(1+Inputs!$B$35/100)),MAX(0,Inputs!$B$44-((R2961-1)*(1/Q2961)))))/Inputs!$B$44),IF(Inputs!$B$39="pvp",MIN((Skills!T18*(1+Inputs!$B$35/100)),15)/15,MIN(1,(Skills!T18*(1+Inputs!$B$35/100))/(1/Q2961)))))</f>
        <v/>
      </c>
    </row>
    <row r="2973">
      <c r="A2973" t="inlineStr">
        <is>
          <t>Attack Speed Buff Bonus %</t>
        </is>
      </c>
      <c r="B2973">
        <f>((C2963=TRUE)*F2963*IF(AND(Inputs!$B$39&lt;&gt;"pvp",Inputs!$B$44&gt;0),(((R2963-1)*MIN((Skills!T20*(1+Inputs!$B$35/100)),(1/Q2963))+MIN((Skills!T20*(1+Inputs!$B$35/100)),MAX(0,Inputs!$B$44-((R2963-1)*(1/Q2963)))))/Inputs!$B$44),IF(Inputs!$B$39="pvp",MIN((Skills!T20*(1+Inputs!$B$35/100)),15)/15,MIN(1,(Skills!T20*(1+Inputs!$B$35/100))/(1/Q2963)))))</f>
        <v/>
      </c>
    </row>
    <row r="2974">
      <c r="A2974" t="inlineStr">
        <is>
          <t>Actions Per Second</t>
        </is>
      </c>
      <c r="B2974">
        <f>1+MIN(150,150*(1-(1-(Inputs!$B$12+((C2964=TRUE)*(F2964-Calc!F21)))/150)*(1-B2973/150)))/100</f>
        <v/>
      </c>
    </row>
    <row r="2975">
      <c r="A2975" t="inlineStr">
        <is>
          <t>Skill + Buff Cast Rate</t>
        </is>
      </c>
      <c r="B2975">
        <f>IF(AND(Inputs!$B$39&lt;&gt;"pvp",Inputs!$B$44&gt;0),SUMPRODUCT((Skills!E2:E26=TRUE)*(C2945:C2969=TRUE)*R2945:R2969*Skills!F2:F26)/Inputs!$B$44,SUMPRODUCT((Skills!E2:E26=TRUE)*(C2945:C2969=TRUE)*Q2945:Q2969*Skills!F2:F26))</f>
        <v/>
      </c>
    </row>
    <row r="2976">
      <c r="A2976" t="inlineStr">
        <is>
          <t>Dark Impale Casts Per Second</t>
        </is>
      </c>
      <c r="B2976">
        <f>MAX(0,B2974-B2975)</f>
        <v/>
      </c>
    </row>
    <row r="2977">
      <c r="A2977" t="inlineStr">
        <is>
          <t>Global Critical Damage Bonus % (Lord of Darkness)</t>
        </is>
      </c>
      <c r="B2977">
        <f>((C2962=TRUE)*F2962*(Skills!J19/100)*IF(AND(Inputs!$B$39&lt;&gt;"pvp",Inputs!$B$44&gt;0),(((R2962-1)*MIN((Skills!T19*(1+Inputs!$B$35/100)),(1/Q2962))+MIN((Skills!T19*(1+Inputs!$B$35/100)),MAX(0,Inputs!$B$44-((R2962-1)*(1/Q2962)))))/Inputs!$B$44),IF(Inputs!$B$39="pvp",MIN((Skills!T19*(1+Inputs!$B$35/100)),15)/15,MIN(1,(Skills!T19*(1+Inputs!$B$35/100))/(1/Q2962)))))</f>
        <v/>
      </c>
    </row>
    <row r="2978">
      <c r="A2978" t="inlineStr">
        <is>
          <t>Global Final Damage Bonus % (unused)</t>
        </is>
      </c>
      <c r="B2978" t="n">
        <v>0</v>
      </c>
    </row>
    <row r="2979">
      <c r="A2979" t="inlineStr">
        <is>
          <t>Buff-Casting Startup Delay (s, fixed-duration only)</t>
        </is>
      </c>
      <c r="B2979">
        <f>IF(AND(Inputs!$B$39&lt;&gt;"pvp",Inputs!$B$44&gt;0),SUMPRODUCT((Skills!T2:T26&gt;0)*(Skills!E2:E26=TRUE)*(C2945:C2969=TRUE))/B2974,0)</f>
        <v/>
      </c>
    </row>
    <row r="2980">
      <c r="A2980" t="inlineStr">
        <is>
          <t>Boss-Only Total DPS (this block's swept value)</t>
        </is>
      </c>
      <c r="B2980">
        <f>SUM(T2945:T2969)</f>
        <v/>
      </c>
    </row>
    <row r="2981">
      <c r="A2981" t="inlineStr">
        <is>
          <t>Normal-Only Total DPS (this block's swept value)</t>
        </is>
      </c>
      <c r="B2981">
        <f>SUM(V2945:V2969)</f>
        <v/>
      </c>
    </row>
    <row r="2982">
      <c r="A2982" s="6" t="inlineStr">
        <is>
          <t>TOTAL DPS</t>
        </is>
      </c>
      <c r="B2982" s="6">
        <f>SUM(O2945:O2969)</f>
        <v/>
      </c>
    </row>
    <row r="2985">
      <c r="A2985" s="6" t="inlineStr">
        <is>
          <t>Stat: CDR = 3.0s</t>
        </is>
      </c>
    </row>
    <row r="2986">
      <c r="A2986" s="5" t="inlineStr">
        <is>
          <t>Key</t>
        </is>
      </c>
      <c r="B2986" s="5" t="inlineStr">
        <is>
          <t>Name</t>
        </is>
      </c>
      <c r="C2986" s="5" t="inlineStr">
        <is>
          <t>Unlocked</t>
        </is>
      </c>
      <c r="D2986" s="5" t="inlineStr">
        <is>
          <t>InputLevel</t>
        </is>
      </c>
      <c r="E2986" s="5" t="inlineStr">
        <is>
          <t>Factor</t>
        </is>
      </c>
      <c r="F2986" s="5" t="inlineStr">
        <is>
          <t>CoefficientPercent</t>
        </is>
      </c>
      <c r="G2986" s="5" t="inlineStr">
        <is>
          <t>EffectiveHits</t>
        </is>
      </c>
      <c r="H2986" s="5" t="inlineStr">
        <is>
          <t>ProcProbability</t>
        </is>
      </c>
      <c r="I2986" s="5" t="inlineStr">
        <is>
          <t>MapleHeroMultiplier</t>
        </is>
      </c>
      <c r="J2986" s="5" t="inlineStr">
        <is>
          <t>BaseDamage</t>
        </is>
      </c>
      <c r="K2986" s="5" t="inlineStr">
        <is>
          <t>BaseHitDamage</t>
        </is>
      </c>
      <c r="L2986" s="5" t="inlineStr">
        <is>
          <t>NonCritAvg</t>
        </is>
      </c>
      <c r="M2986" s="5" t="inlineStr">
        <is>
          <t>CritAvg</t>
        </is>
      </c>
      <c r="N2986" s="5" t="inlineStr">
        <is>
          <t>ExpectedDamage(perHit)</t>
        </is>
      </c>
      <c r="O2986" s="5" t="inlineStr">
        <is>
          <t>DPS</t>
        </is>
      </c>
      <c r="P2986" s="5" t="inlineStr">
        <is>
          <t>% of Total</t>
        </is>
      </c>
      <c r="Q2986" s="5" t="inlineStr">
        <is>
          <t>InvCooldown</t>
        </is>
      </c>
      <c r="R2986" s="5" t="inlineStr">
        <is>
          <t>CastsInFight</t>
        </is>
      </c>
      <c r="S2986" s="5" t="inlineStr">
        <is>
          <t>HitRate(perSec)</t>
        </is>
      </c>
      <c r="U2986" t="inlineStr">
        <is>
          <t>helpers</t>
        </is>
      </c>
    </row>
    <row r="2987">
      <c r="A2987">
        <f>Skills!A2</f>
        <v/>
      </c>
      <c r="B2987">
        <f>Skills!B2</f>
        <v/>
      </c>
      <c r="C2987">
        <f>Inputs!$B$3&gt;=100</f>
        <v/>
      </c>
      <c r="D2987" t="inlineStr"/>
      <c r="E2987" t="inlineStr"/>
      <c r="F2987">
        <f>U2989+Skills!O2</f>
        <v/>
      </c>
      <c r="G2987">
        <f>Skills!G2*IF(Skills!H2&gt;0,INT(IF(Inputs!$B$39="pvp",MIN(Skills!I2,15),Skills!I2)/Skills!H2+0.000000001),1)</f>
        <v/>
      </c>
      <c r="H2987">
        <f>1-(1-Skills!J2/100)^Skills!K2</f>
        <v/>
      </c>
      <c r="I2987" t="inlineStr">
        <is>
          <t>1</t>
        </is>
      </c>
      <c r="J2987">
        <f>((Inputs!$B$6*(1+Inputs!$B$7/100))+(((Inputs!$B$13*(1+Inputs!$B$14/100))-(Inputs!$B$13*(1+Inputs!$B$14/100)))+0.25*(Inputs!$B$15-Inputs!$B$15))*(1+Inputs!$B$7/100))*(F2987/100)</f>
        <v/>
      </c>
      <c r="K2987">
        <f>J2987*(1+(((Inputs!$B$13+IF(Inputs!$B$3&gt;=38,(10*INDEX(FactorTable!$B$2:$Y$301, MATCH(ROUND(MIN(300,MAX(1,Inputs!$B$3)),0), FactorTable!$A$2:$A$301,0), 23)/1000)/100*(Inputs!$B$8*(1+Inputs!$B$9/100)),0))*(1+Inputs!$B$14/100))*0.01+Inputs!$B$15*0.0025)/100)*(1+Inputs!$B$16/100)*(1+Inputs!$B$17/100)*(5000/(6000+Inputs!$B$43*(1-(Inputs!$B$20+0)/100)))*(1+(Inputs!$B$25+((C3010=TRUE)*(F3010-Calc!F25))+((C3011=TRUE)*(F3011-Calc!F26))+B3020)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gt;=100),MIN(100,((Inputs!$B$10+0+B3014+(ArtifactsInput!$M$24-ArtifactsInput!$M$24)*CHOOSE(ArtifactsInput!$N$24+1,10,12,14,16,18,20)+IF(ArtifactsInput!$M$10,CHOOSE(ArtifactsInput!$N$10+1,15,18,21,24,27,30)*(IF(Inputs!$B$39="pvp",MIN(15,15)/15,IF(AND(Inputs!$B$39&lt;&gt;"pvp",Inputs!$B$44&gt;0),MIN(15,Inputs!$B$44)/(Inputs!$B$44),0))),0)))-100),0))*CHOOSE(ArtifactsInput!$N$42+1,0.6,0.72,0.84,0.96,1.08,1.2))),Inputs!$B$19+((C3008=TRUE)*(F3008-Calc!F23))+(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gt;=100),CHOOSE(ArtifactsInput!$N$42+1,40,48,56,64,72,80),0))))/100)*((1+(((C2998=TRUE)*F2998*IF(AND(Inputs!$B$39&lt;&gt;"pvp",Inputs!$B$44&gt;0),(((R2998-1)*MIN((Skills!T13*(1+Inputs!$B$35/100)),(1/Q2998))+MIN((Skills!T13*(1+Inputs!$B$35/100)),MAX(0,Inputs!$B$44-((R2998-1)*(1/Q2998)))))/Inputs!$B$44),IF(Inputs!$B$39="pvp",MIN((Skills!T13*(1+Inputs!$B$35/100)),15)/15,MIN(1,(Skills!T13*(1+Inputs!$B$35/100))/(1/Q2998)))))+((C2999=TRUE)*F2999*IF(AND(Inputs!$B$39&lt;&gt;"pvp",Inputs!$B$44&gt;0),(((R2999-1)*MIN((Skills!T14*(1+Inputs!$B$35/100)),(1/Q2999))+MIN((Skills!T14*(1+Inputs!$B$35/100)),MAX(0,Inputs!$B$44-((R2999-1)*(1/Q2999)))))/Inputs!$B$44),IF(Inputs!$B$39="pvp",MIN((Skills!T14*(1+Inputs!$B$35/100)),15)/15,MIN(1,(Skills!T14*(1+Inputs!$B$35/100))/(1/Q2999)))))+((C3000=TRUE)*F3000*IF(AND(Inputs!$B$39&lt;&gt;"pvp",Inputs!$B$44&gt;0),(((R3000-1)*MIN((Skills!T15*(1+Inputs!$B$35/100)),(1/Q3000))+MIN((Skills!T15*(1+Inputs!$B$35/100)),MAX(0,Inputs!$B$44-((R3000-1)*(1/Q3000)))))/Inputs!$B$44),IF(Inputs!$B$39="pvp",MIN((Skills!T15*(1+Inputs!$B$35/100)),15)/15,MIN(1,(Skills!T15*(1+Inputs!$B$35/100))/(1/Q3000)))))+((C3001=TRUE)*F3001*IF(AND(Inputs!$B$39&lt;&gt;"pvp",Inputs!$B$44&gt;0),(((R3001-1)*MIN((Skills!T16*(1+Inputs!$B$35/100)),(1/Q3001))+MIN((Skills!T16*(1+Inputs!$B$35/100)),MAX(0,Inputs!$B$44-((R3001-1)*(1/Q3001)))))/Inputs!$B$44),IF(Inputs!$B$39="pvp",MIN((Skills!T16*(1+Inputs!$B$35/100)),15)/15,MIN(1,(Skills!T16*(1+Inputs!$B$35/100))/(1/Q3001)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2987)</f>
        <v/>
      </c>
      <c r="L2987">
        <f>K2987*(MIN(Inputs!$B$23+((C3007=TRUE)*(F3007-Calc!F22)),(Inputs!$B$24+((C3009=TRUE)*(F3009-Calc!F24))+(IF(ArtifactsInput!$M$15,CHOOSE(ArtifactsInput!$N$15+1,25,30,35,40,45,50)/100*(Inputs!$B$12-Inputs!$B$12),0))))/100+(Inputs!$B$24+((C3009=TRUE)*(F3009-Calc!F24))+(IF(ArtifactsInput!$M$15,CHOOSE(ArtifactsInput!$N$15+1,25,30,35,40,45,50)/100*(Inputs!$B$12-Inputs!$B$12),0)))/100)/2</f>
        <v/>
      </c>
      <c r="M2987">
        <f>L2987*(1+(Inputs!$B$11+0+B3019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987">
        <f>L2987*(1-MIN((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2987*(MIN((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87">
        <f>(1-Summary!$B$11)*T2987+Summary!$B$11*V2987</f>
        <v/>
      </c>
      <c r="P2987">
        <f>IF(B3024=0,0,O2987/B3024)</f>
        <v/>
      </c>
      <c r="Q2987" t="n">
        <v>0</v>
      </c>
      <c r="R2987" t="n">
        <v>0</v>
      </c>
      <c r="S2987">
        <f>IFERROR(O2987/N2987,0)</f>
        <v/>
      </c>
      <c r="T2987">
        <f>IF(C2987,(Skills!G2*N2987*B3018)*IF(Inputs!$B$39="pvp",1,1+(Inputs!$B$21+0+Skills!P2+((C3002=TRUE)*F3002*IF(AND(Inputs!$B$39&lt;&gt;"pvp",Inputs!$B$44&gt;0),(((R3002-1)*MIN((Skills!T17*(1+Inputs!$B$35/100)),(1/Q3002))+MIN((Skills!T17*(1+Inputs!$B$35/100)),MAX(0,Inputs!$B$44-((R3002-1)*(1/Q3002)))))/Inputs!$B$44),IF(Inputs!$B$39="pvp",MIN((Skills!T17*(1+Inputs!$B$35/100)),15)/15,MIN(1,(Skills!T17*(1+Inputs!$B$35/100))/(1/Q3002)))))+((C2990=TRUE)*IF(Inputs!$B$3&gt;=126,10*MIN(1,15*Q2990),0))+((C2999=TRUE)*IF(Inputs!$B$39="pvp",20,(1-Summary!$B$11)*(20)+Summary!$B$11*(0))*IF(AND(Inputs!$B$39&lt;&gt;"pvp",Inputs!$B$44&gt;0),(((R2999-1)*MIN((Skills!T14*(1+Inputs!$B$35/100)),(1/Q2999))+MIN((Skills!T14*(1+Inputs!$B$35/100)),MAX(0,Inputs!$B$44-((R2999-1)*(1/Q2999)))))/Inputs!$B$44),IF(Inputs!$B$39="pvp",MIN((Skills!T14*(1+Inputs!$B$35/100)),15)/15,MIN(1,(Skills!T14*(1+Inputs!$B$35/100))/(1/Q2999)))))+((C2998=TRUE)*IF(Inputs!$B$3&gt;=82,IF(Inputs!$B$39="pvp",20,(1-Summary!$B$11)*(20)+Summary!$B$11*(0)),0)*IF(AND(Inputs!$B$39&lt;&gt;"pvp",Inputs!$B$44&gt;0),(((R2998-1)*MIN((Skills!T13*(1+Inputs!$B$35/100)),(1/Q2998))+MIN((Skills!T13*(1+Inputs!$B$35/100)),MAX(0,Inputs!$B$44-((R2998-1)*(1/Q2998)))))/Inputs!$B$44),IF(Inputs!$B$39="pvp",MIN((Skills!T13*(1+Inputs!$B$35/100)),15)/15,MIN(1,(Skills!T13*(1+Inputs!$B$35/100))/(1/Q2998)))))+(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2987*(1-MIN(100,(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2987*(MIN(100,(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2987*(1-MIN(100,(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2987*(MIN(100,(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987">
        <f>MAX(0,(Inputs!$B$3-100)*3)+Inputs!$B$29+Inputs!$B$30</f>
        <v/>
      </c>
      <c r="V2987">
        <f>IF(C2987,(Skills!G2*N2987*B3018)*IF(Inputs!$B$39="pvp",1,(1+(Inputs!$B$22+Skills!Q2+((C3002=TRUE)*F3002*IF(AND(Inputs!$B$39&lt;&gt;"pvp",Inputs!$B$44&gt;0),(((R3002-1)*MIN((Skills!T17*(1+Inputs!$B$35/100)),(1/Q3002))+MIN((Skills!T17*(1+Inputs!$B$35/100)),MAX(0,Inputs!$B$44-((R3002-1)*(1/Q3002)))))/Inputs!$B$44),IF(Inputs!$B$39="pvp",MIN((Skills!T17*(1+Inputs!$B$35/100)),15)/15,MIN(1,(Skills!T17*(1+Inputs!$B$35/100))/(1/Q3002)))))+((C2990=TRUE)*IF(Inputs!$B$3&gt;=126,10*MIN(1,15*Q2990),0))+((C2999=TRUE)*IF(Inputs!$B$39="pvp",20,(1-Summary!$B$11)*(20)+Summary!$B$11*(0))*IF(AND(Inputs!$B$39&lt;&gt;"pvp",Inputs!$B$44&gt;0),(((R2999-1)*MIN((Skills!T14*(1+Inputs!$B$35/100)),(1/Q2999))+MIN((Skills!T14*(1+Inputs!$B$35/100)),MAX(0,Inputs!$B$44-((R2999-1)*(1/Q2999)))))/Inputs!$B$44),IF(Inputs!$B$39="pvp",MIN((Skills!T14*(1+Inputs!$B$35/100)),15)/15,MIN(1,(Skills!T14*(1+Inputs!$B$35/100))/(1/Q2999)))))+((C2998=TRUE)*IF(Inputs!$B$3&gt;=82,IF(Inputs!$B$39="pvp",20,(1-Summary!$B$11)*(20)+Summary!$B$11*(0)),0)*IF(AND(Inputs!$B$39&lt;&gt;"pvp",Inputs!$B$44&gt;0),(((R2998-1)*MIN((Skills!T13*(1+Inputs!$B$35/100)),(1/Q2998))+MIN((Skills!T13*(1+Inputs!$B$35/100)),MAX(0,Inputs!$B$44-((R2998-1)*(1/Q2998)))))/Inputs!$B$44),IF(Inputs!$B$39="pvp",MIN((Skills!T13*(1+Inputs!$B$35/100)),15)/15,MIN(1,(Skills!T13*(1+Inputs!$B$35/100))/(1/Q2998)))))+(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88">
      <c r="A2988">
        <f>Skills!A3</f>
        <v/>
      </c>
      <c r="B2988">
        <f>Skills!B3</f>
        <v/>
      </c>
      <c r="C2988">
        <f>Inputs!$B$3&gt;=50</f>
        <v/>
      </c>
      <c r="D2988">
        <f>IF(Skills!C3=1,60+Inputs!$B$26+Inputs!$B$30,IF(Skills!C3=2,90+Inputs!$B$27+Inputs!$B$30,IF(Skills!C3=3,120+Inputs!$B$28+Inputs!$B$30,MAX(0,(Inputs!$B$3-100)*3)+Inputs!$B$29+Inputs!$B$30)))</f>
        <v/>
      </c>
      <c r="E2988">
        <f>INDEX(FactorTable!$B$2:$Y$301, MATCH(ROUND(MIN(300,MAX(1,D2988)),0), FactorTable!$A$2:$A$301,0), Skills!M3+1)</f>
        <v/>
      </c>
      <c r="F2988">
        <f>IF(Skills!N3=TRUE,(Skills!L3/10)*(E2988/1000),Skills!L3/10)+Skills!O3</f>
        <v/>
      </c>
      <c r="G2988" t="inlineStr"/>
      <c r="H2988" t="inlineStr"/>
      <c r="I2988" t="inlineStr">
        <is>
          <t>1</t>
        </is>
      </c>
      <c r="J2988" t="inlineStr"/>
      <c r="K2988" t="inlineStr"/>
      <c r="L2988" t="inlineStr"/>
      <c r="M2988" t="inlineStr"/>
      <c r="N2988" t="inlineStr"/>
      <c r="O2988" t="inlineStr"/>
      <c r="P2988" t="inlineStr"/>
      <c r="Q2988" t="inlineStr"/>
      <c r="R2988" t="inlineStr"/>
      <c r="S2988" t="inlineStr"/>
      <c r="U2988">
        <f>INDEX(FactorTable!$B$2:$Y$301, MATCH(ROUND(MIN(300,MAX(1,U2987)),0), FactorTable!$A$2:$A$301,0), 22)</f>
        <v/>
      </c>
    </row>
    <row r="2989">
      <c r="A2989">
        <f>Skills!A4</f>
        <v/>
      </c>
      <c r="B2989">
        <f>Skills!B4</f>
        <v/>
      </c>
      <c r="C2989">
        <f>Inputs!$B$3&gt;=105</f>
        <v/>
      </c>
      <c r="D2989">
        <f>IF(Skills!C4=1,60+Inputs!$B$26+Inputs!$B$30,IF(Skills!C4=2,90+Inputs!$B$27+Inputs!$B$30,IF(Skills!C4=3,120+Inputs!$B$28+Inputs!$B$30,MAX(0,(Inputs!$B$3-100)*3)+Inputs!$B$29+Inputs!$B$30)))</f>
        <v/>
      </c>
      <c r="E2989">
        <f>INDEX(FactorTable!$B$2:$Y$301, MATCH(ROUND(MIN(300,MAX(1,D2989)),0), FactorTable!$A$2:$A$301,0), Skills!M4+1)</f>
        <v/>
      </c>
      <c r="F2989">
        <f>IF(Skills!N4=TRUE,(Skills!L4/10)*(E2989/1000),Skills!L4/10)+Skills!O4</f>
        <v/>
      </c>
      <c r="G2989" t="inlineStr"/>
      <c r="H2989" t="inlineStr"/>
      <c r="I2989" t="inlineStr">
        <is>
          <t>1</t>
        </is>
      </c>
      <c r="J2989" t="inlineStr"/>
      <c r="K2989" t="inlineStr"/>
      <c r="L2989" t="inlineStr"/>
      <c r="M2989" t="inlineStr"/>
      <c r="N2989" t="inlineStr"/>
      <c r="O2989" t="inlineStr"/>
      <c r="P2989" t="inlineStr"/>
      <c r="Q2989" t="inlineStr"/>
      <c r="R2989" t="inlineStr"/>
      <c r="S2989" t="inlineStr"/>
      <c r="U2989">
        <f>290*U2988/1000</f>
        <v/>
      </c>
    </row>
    <row r="2990">
      <c r="A2990">
        <f>Skills!A5</f>
        <v/>
      </c>
      <c r="B2990">
        <f>Skills!B5</f>
        <v/>
      </c>
      <c r="C2990">
        <f>Inputs!$B$3&gt;=117</f>
        <v/>
      </c>
      <c r="D2990">
        <f>IF(Skills!C5=1,60+Inputs!$B$26+Inputs!$B$30,IF(Skills!C5=2,90+Inputs!$B$27+Inputs!$B$30,IF(Skills!C5=3,120+Inputs!$B$28+Inputs!$B$30,MAX(0,(Inputs!$B$3-100)*3)+Inputs!$B$29+Inputs!$B$30)))</f>
        <v/>
      </c>
      <c r="E2990">
        <f>INDEX(FactorTable!$B$2:$Y$301, MATCH(ROUND(MIN(300,MAX(1,D2990)),0), FactorTable!$A$2:$A$301,0), Skills!M5+1)</f>
        <v/>
      </c>
      <c r="F2990">
        <f>IF(Skills!N5=TRUE,(Skills!L5/10)*(E2990/1000),Skills!L5/10)+Skills!O5</f>
        <v/>
      </c>
      <c r="G2990">
        <f>Skills!G5*IF(Skills!H5&gt;0,INT(IF(Inputs!$B$39="pvp",MIN(Skills!I5,15),Skills!I5)/Skills!H5+0.000000001),1)</f>
        <v/>
      </c>
      <c r="H2990">
        <f>1-(1-Skills!J5/100)^Skills!K5</f>
        <v/>
      </c>
      <c r="I2990" t="inlineStr">
        <is>
          <t>1</t>
        </is>
      </c>
      <c r="J2990">
        <f>((Inputs!$B$6*(1+Inputs!$B$7/100))+(((Inputs!$B$13*(1+Inputs!$B$14/100))-(Inputs!$B$13*(1+Inputs!$B$14/100)))+0.25*(Inputs!$B$15-Inputs!$B$15))*(1+Inputs!$B$7/100))*(F2990/100)</f>
        <v/>
      </c>
      <c r="K2990">
        <f>J2990*(1+(((Inputs!$B$13+IF(Inputs!$B$3&gt;=38,(10*INDEX(FactorTable!$B$2:$Y$301, MATCH(ROUND(MIN(300,MAX(1,Inputs!$B$3)),0), FactorTable!$A$2:$A$301,0), 23)/1000)/100*(Inputs!$B$8*(1+Inputs!$B$9/100)),0))*(1+Inputs!$B$14/100))*0.01+Inputs!$B$15*0.0025)/100)*(1+Inputs!$B$16/100)*(1+Inputs!$B$17/100)*(5000/(6000+Inputs!$B$43*(1-(Inputs!$B$20+0)/100)))*(1+(Inputs!$B$25+((C3010=TRUE)*(F3010-Calc!F25))+((C3011=TRUE)*(F3011-Calc!F26))+B3020)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gt;=100),MIN(100,((Inputs!$B$10+0+B3014+(ArtifactsInput!$M$24-ArtifactsInput!$M$24)*CHOOSE(ArtifactsInput!$N$24+1,10,12,14,16,18,20)+IF(ArtifactsInput!$M$10,CHOOSE(ArtifactsInput!$N$10+1,15,18,21,24,27,30)*(IF(Inputs!$B$39="pvp",MIN(15,15)/15,IF(AND(Inputs!$B$39&lt;&gt;"pvp",Inputs!$B$44&gt;0),MIN(15,Inputs!$B$44)/(Inputs!$B$44),0))),0)))-100),0))*CHOOSE(ArtifactsInput!$N$42+1,0.6,0.72,0.84,0.96,1.08,1.2))),Inputs!$B$19+((C3008=TRUE)*(F3008-Calc!F23))+(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gt;=100),CHOOSE(ArtifactsInput!$N$42+1,40,48,56,64,72,80),0))))/100)*((1+(((C2998=TRUE)*F2998*IF(AND(Inputs!$B$39&lt;&gt;"pvp",Inputs!$B$44&gt;0),(((R2998-1)*MIN((Skills!T13*(1+Inputs!$B$35/100)),(1/Q2998))+MIN((Skills!T13*(1+Inputs!$B$35/100)),MAX(0,Inputs!$B$44-((R2998-1)*(1/Q2998)))))/Inputs!$B$44),IF(Inputs!$B$39="pvp",MIN((Skills!T13*(1+Inputs!$B$35/100)),15)/15,MIN(1,(Skills!T13*(1+Inputs!$B$35/100))/(1/Q2998)))))+((C2999=TRUE)*F2999*IF(AND(Inputs!$B$39&lt;&gt;"pvp",Inputs!$B$44&gt;0),(((R2999-1)*MIN((Skills!T14*(1+Inputs!$B$35/100)),(1/Q2999))+MIN((Skills!T14*(1+Inputs!$B$35/100)),MAX(0,Inputs!$B$44-((R2999-1)*(1/Q2999)))))/Inputs!$B$44),IF(Inputs!$B$39="pvp",MIN((Skills!T14*(1+Inputs!$B$35/100)),15)/15,MIN(1,(Skills!T14*(1+Inputs!$B$35/100))/(1/Q2999)))))+((C3000=TRUE)*F3000*IF(AND(Inputs!$B$39&lt;&gt;"pvp",Inputs!$B$44&gt;0),(((R3000-1)*MIN((Skills!T15*(1+Inputs!$B$35/100)),(1/Q3000))+MIN((Skills!T15*(1+Inputs!$B$35/100)),MAX(0,Inputs!$B$44-((R3000-1)*(1/Q3000)))))/Inputs!$B$44),IF(Inputs!$B$39="pvp",MIN((Skills!T15*(1+Inputs!$B$35/100)),15)/15,MIN(1,(Skills!T15*(1+Inputs!$B$35/100))/(1/Q3000)))))+((C3001=TRUE)*F3001*IF(AND(Inputs!$B$39&lt;&gt;"pvp",Inputs!$B$44&gt;0),(((R3001-1)*MIN((Skills!T16*(1+Inputs!$B$35/100)),(1/Q3001))+MIN((Skills!T16*(1+Inputs!$B$35/100)),MAX(0,Inputs!$B$44-((R3001-1)*(1/Q3001)))))/Inputs!$B$44),IF(Inputs!$B$39="pvp",MIN((Skills!T16*(1+Inputs!$B$35/100)),15)/15,MIN(1,(Skills!T16*(1+Inputs!$B$35/100))/(1/Q3001)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2990)</f>
        <v/>
      </c>
      <c r="L2990">
        <f>K2990*(MIN(Inputs!$B$23+((C3007=TRUE)*(F3007-Calc!F22)),(Inputs!$B$24+((C3009=TRUE)*(F3009-Calc!F24))+(IF(ArtifactsInput!$M$15,CHOOSE(ArtifactsInput!$N$15+1,25,30,35,40,45,50)/100*(Inputs!$B$12-Inputs!$B$12),0))))/100+(Inputs!$B$24+((C3009=TRUE)*(F3009-Calc!F24))+(IF(ArtifactsInput!$M$15,CHOOSE(ArtifactsInput!$N$15+1,25,30,35,40,45,50)/100*(Inputs!$B$12-Inputs!$B$12),0)))/100)/2</f>
        <v/>
      </c>
      <c r="M2990">
        <f>L2990*(1+(Inputs!$B$11+0+B3019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990">
        <f>L2990*(1-MIN((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2990*(MIN((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90">
        <f>(1-Summary!$B$11)*T2990+Summary!$B$11*V2990</f>
        <v/>
      </c>
      <c r="P2990">
        <f>IF(B3024=0,0,O2990/B3024)</f>
        <v/>
      </c>
      <c r="Q2990">
        <f>IFERROR(1/IF(Inputs!$B$39="pvp",15,MAX(0.1,Skills!D5-IF(TRUE=TRUE,3.0,0))),0)</f>
        <v/>
      </c>
      <c r="R2990">
        <f>IF(AND(Inputs!$B$39&lt;&gt;"pvp",Inputs!$B$44&gt;0),IF(MAX(0,Inputs!$B$44-B3021)&lt;=0,0,(INT(MAX(0,Inputs!$B$44-B3021)/IF(Inputs!$B$39="pvp",15,MAX(0.1,Skills!D5-IF(TRUE=TRUE,3.0,0))))+1)),0)</f>
        <v/>
      </c>
      <c r="S2990">
        <f>IFERROR(O2990/N2990,0)</f>
        <v/>
      </c>
      <c r="T2990">
        <f>IF(C2990,(H2990*N2990*IF(AND(Inputs!$B$39&lt;&gt;"pvp",Inputs!$B$44&gt;0),((Skills!G5*((R2990-1)*IF(Skills!H5&gt;0,INT(Skills!I5/Skills!H5+0.000000001),1)+IF(Skills!H5&gt;0,INT(MIN(Skills!I5,MAX(0,MAX(0,Inputs!$B$44-B3021)-((R2990-1)*IF(Inputs!$B$39="pvp",15,MAX(0.1,Skills!D5-IF(TRUE=TRUE,3.0,0))))))/Skills!H5+0.000000001),1)))/Inputs!$B$44),G2990*Q2990))*IF(Inputs!$B$39="pvp",1,1+(Inputs!$B$21+0+Skills!P5+((C3002=TRUE)*F3002*IF(AND(Inputs!$B$39&lt;&gt;"pvp",Inputs!$B$44&gt;0),(((R3002-1)*MIN((Skills!T17*(1+Inputs!$B$35/100)),(1/Q3002))+MIN((Skills!T17*(1+Inputs!$B$35/100)),MAX(0,Inputs!$B$44-((R3002-1)*(1/Q3002)))))/Inputs!$B$44),IF(Inputs!$B$39="pvp",MIN((Skills!T17*(1+Inputs!$B$35/100)),15)/15,MIN(1,(Skills!T17*(1+Inputs!$B$35/100))/(1/Q3002)))))+((C2990=TRUE)*IF(Inputs!$B$3&gt;=126,10*MIN(1,15*Q2990),0))+((C2999=TRUE)*IF(Inputs!$B$39="pvp",20,(1-Summary!$B$11)*(20)+Summary!$B$11*(0))*IF(AND(Inputs!$B$39&lt;&gt;"pvp",Inputs!$B$44&gt;0),(((R2999-1)*MIN((Skills!T14*(1+Inputs!$B$35/100)),(1/Q2999))+MIN((Skills!T14*(1+Inputs!$B$35/100)),MAX(0,Inputs!$B$44-((R2999-1)*(1/Q2999)))))/Inputs!$B$44),IF(Inputs!$B$39="pvp",MIN((Skills!T14*(1+Inputs!$B$35/100)),15)/15,MIN(1,(Skills!T14*(1+Inputs!$B$35/100))/(1/Q2999)))))+((C2998=TRUE)*IF(Inputs!$B$3&gt;=82,IF(Inputs!$B$39="pvp",20,(1-Summary!$B$11)*(20)+Summary!$B$11*(0)),0)*IF(AND(Inputs!$B$39&lt;&gt;"pvp",Inputs!$B$44&gt;0),(((R2998-1)*MIN((Skills!T13*(1+Inputs!$B$35/100)),(1/Q2998))+MIN((Skills!T13*(1+Inputs!$B$35/100)),MAX(0,Inputs!$B$44-((R2998-1)*(1/Q2998)))))/Inputs!$B$44),IF(Inputs!$B$39="pvp",MIN((Skills!T13*(1+Inputs!$B$35/100)),15)/15,MIN(1,(Skills!T13*(1+Inputs!$B$35/100))/(1/Q2998)))))+(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2990*(1-MIN(100,(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2990*(MIN(100,(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2990*(1-MIN(100,(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2990*(MIN(100,(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90">
        <f>IF(C2990,(H2990*N2990*IF(AND(Inputs!$B$39&lt;&gt;"pvp",Inputs!$B$44&gt;0),((Skills!G5*((R2990-1)*IF(Skills!H5&gt;0,INT(Skills!I5/Skills!H5+0.000000001),1)+IF(Skills!H5&gt;0,INT(MIN(Skills!I5,MAX(0,MAX(0,Inputs!$B$44-B3021)-((R2990-1)*IF(Inputs!$B$39="pvp",15,MAX(0.1,Skills!D5-IF(TRUE=TRUE,3.0,0))))))/Skills!H5+0.000000001),1)))/Inputs!$B$44),G2990*Q2990))*IF(Inputs!$B$39="pvp",1,(1+(Inputs!$B$22+Skills!Q5+((C3002=TRUE)*F3002*IF(AND(Inputs!$B$39&lt;&gt;"pvp",Inputs!$B$44&gt;0),(((R3002-1)*MIN((Skills!T17*(1+Inputs!$B$35/100)),(1/Q3002))+MIN((Skills!T17*(1+Inputs!$B$35/100)),MAX(0,Inputs!$B$44-((R3002-1)*(1/Q3002)))))/Inputs!$B$44),IF(Inputs!$B$39="pvp",MIN((Skills!T17*(1+Inputs!$B$35/100)),15)/15,MIN(1,(Skills!T17*(1+Inputs!$B$35/100))/(1/Q3002)))))+((C2990=TRUE)*IF(Inputs!$B$3&gt;=126,10*MIN(1,15*Q2990),0))+((C2999=TRUE)*IF(Inputs!$B$39="pvp",20,(1-Summary!$B$11)*(20)+Summary!$B$11*(0))*IF(AND(Inputs!$B$39&lt;&gt;"pvp",Inputs!$B$44&gt;0),(((R2999-1)*MIN((Skills!T14*(1+Inputs!$B$35/100)),(1/Q2999))+MIN((Skills!T14*(1+Inputs!$B$35/100)),MAX(0,Inputs!$B$44-((R2999-1)*(1/Q2999)))))/Inputs!$B$44),IF(Inputs!$B$39="pvp",MIN((Skills!T14*(1+Inputs!$B$35/100)),15)/15,MIN(1,(Skills!T14*(1+Inputs!$B$35/100))/(1/Q2999)))))+((C2998=TRUE)*IF(Inputs!$B$3&gt;=82,IF(Inputs!$B$39="pvp",20,(1-Summary!$B$11)*(20)+Summary!$B$11*(0)),0)*IF(AND(Inputs!$B$39&lt;&gt;"pvp",Inputs!$B$44&gt;0),(((R2998-1)*MIN((Skills!T13*(1+Inputs!$B$35/100)),(1/Q2998))+MIN((Skills!T13*(1+Inputs!$B$35/100)),MAX(0,Inputs!$B$44-((R2998-1)*(1/Q2998)))))/Inputs!$B$44),IF(Inputs!$B$39="pvp",MIN((Skills!T13*(1+Inputs!$B$35/100)),15)/15,MIN(1,(Skills!T13*(1+Inputs!$B$35/100))/(1/Q2998)))))+(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91">
      <c r="A2991">
        <f>Skills!A6</f>
        <v/>
      </c>
      <c r="B2991">
        <f>Skills!B6</f>
        <v/>
      </c>
      <c r="C2991">
        <f>Inputs!$B$3&gt;=103</f>
        <v/>
      </c>
      <c r="D2991">
        <f>IF(Skills!C6=1,60+Inputs!$B$26+Inputs!$B$30,IF(Skills!C6=2,90+Inputs!$B$27+Inputs!$B$30,IF(Skills!C6=3,120+Inputs!$B$28+Inputs!$B$30,MAX(0,(Inputs!$B$3-100)*3)+Inputs!$B$29+Inputs!$B$30)))</f>
        <v/>
      </c>
      <c r="E2991">
        <f>INDEX(FactorTable!$B$2:$Y$301, MATCH(ROUND(MIN(300,MAX(1,D2991)),0), FactorTable!$A$2:$A$301,0), Skills!M6+1)</f>
        <v/>
      </c>
      <c r="F2991">
        <f>IF(Skills!N6=TRUE,(Skills!L6/10)*(E2991/1000),Skills!L6/10)+Skills!O6</f>
        <v/>
      </c>
      <c r="G2991">
        <f>Skills!G6*IF(Skills!H6&gt;0,INT(IF(Inputs!$B$39="pvp",MIN(Skills!I6,15),Skills!I6)/Skills!H6+0.000000001),1)</f>
        <v/>
      </c>
      <c r="H2991">
        <f>1-(1-Skills!J6/100)^Skills!K6</f>
        <v/>
      </c>
      <c r="I2991" t="inlineStr">
        <is>
          <t>1</t>
        </is>
      </c>
      <c r="J2991">
        <f>((Inputs!$B$6*(1+Inputs!$B$7/100))+(((Inputs!$B$13*(1+Inputs!$B$14/100))-(Inputs!$B$13*(1+Inputs!$B$14/100)))+0.25*(Inputs!$B$15-Inputs!$B$15))*(1+Inputs!$B$7/100))*(F2991/100)</f>
        <v/>
      </c>
      <c r="K2991">
        <f>J2991*(1+(((Inputs!$B$13+IF(Inputs!$B$3&gt;=38,(10*INDEX(FactorTable!$B$2:$Y$301, MATCH(ROUND(MIN(300,MAX(1,Inputs!$B$3)),0), FactorTable!$A$2:$A$301,0), 23)/1000)/100*(Inputs!$B$8*(1+Inputs!$B$9/100)),0))*(1+Inputs!$B$14/100))*0.01+Inputs!$B$15*0.0025)/100)*(1+Inputs!$B$16/100)*(1+Inputs!$B$17/100)*(5000/(6000+Inputs!$B$43*(1-(Inputs!$B$20+0)/100)))*(1+(Inputs!$B$25+((C3010=TRUE)*(F3010-Calc!F25))+((C3011=TRUE)*(F3011-Calc!F26))+B3020)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gt;=100),MIN(100,((Inputs!$B$10+0+B3014+(ArtifactsInput!$M$24-ArtifactsInput!$M$24)*CHOOSE(ArtifactsInput!$N$24+1,10,12,14,16,18,20)+IF(ArtifactsInput!$M$10,CHOOSE(ArtifactsInput!$N$10+1,15,18,21,24,27,30)*(IF(Inputs!$B$39="pvp",MIN(15,15)/15,IF(AND(Inputs!$B$39&lt;&gt;"pvp",Inputs!$B$44&gt;0),MIN(15,Inputs!$B$44)/(Inputs!$B$44),0))),0)))-100),0))*CHOOSE(ArtifactsInput!$N$42+1,0.6,0.72,0.84,0.96,1.08,1.2))),Inputs!$B$19+((C3008=TRUE)*(F3008-Calc!F23))+(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gt;=100),CHOOSE(ArtifactsInput!$N$42+1,40,48,56,64,72,80),0))))/100)*((1+(((C2998=TRUE)*F2998*IF(AND(Inputs!$B$39&lt;&gt;"pvp",Inputs!$B$44&gt;0),(((R2998-1)*MIN((Skills!T13*(1+Inputs!$B$35/100)),(1/Q2998))+MIN((Skills!T13*(1+Inputs!$B$35/100)),MAX(0,Inputs!$B$44-((R2998-1)*(1/Q2998)))))/Inputs!$B$44),IF(Inputs!$B$39="pvp",MIN((Skills!T13*(1+Inputs!$B$35/100)),15)/15,MIN(1,(Skills!T13*(1+Inputs!$B$35/100))/(1/Q2998)))))+((C2999=TRUE)*F2999*IF(AND(Inputs!$B$39&lt;&gt;"pvp",Inputs!$B$44&gt;0),(((R2999-1)*MIN((Skills!T14*(1+Inputs!$B$35/100)),(1/Q2999))+MIN((Skills!T14*(1+Inputs!$B$35/100)),MAX(0,Inputs!$B$44-((R2999-1)*(1/Q2999)))))/Inputs!$B$44),IF(Inputs!$B$39="pvp",MIN((Skills!T14*(1+Inputs!$B$35/100)),15)/15,MIN(1,(Skills!T14*(1+Inputs!$B$35/100))/(1/Q2999)))))+((C3000=TRUE)*F3000*IF(AND(Inputs!$B$39&lt;&gt;"pvp",Inputs!$B$44&gt;0),(((R3000-1)*MIN((Skills!T15*(1+Inputs!$B$35/100)),(1/Q3000))+MIN((Skills!T15*(1+Inputs!$B$35/100)),MAX(0,Inputs!$B$44-((R3000-1)*(1/Q3000)))))/Inputs!$B$44),IF(Inputs!$B$39="pvp",MIN((Skills!T15*(1+Inputs!$B$35/100)),15)/15,MIN(1,(Skills!T15*(1+Inputs!$B$35/100))/(1/Q3000)))))+((C3001=TRUE)*F3001*IF(AND(Inputs!$B$39&lt;&gt;"pvp",Inputs!$B$44&gt;0),(((R3001-1)*MIN((Skills!T16*(1+Inputs!$B$35/100)),(1/Q3001))+MIN((Skills!T16*(1+Inputs!$B$35/100)),MAX(0,Inputs!$B$44-((R3001-1)*(1/Q3001)))))/Inputs!$B$44),IF(Inputs!$B$39="pvp",MIN((Skills!T16*(1+Inputs!$B$35/100)),15)/15,MIN(1,(Skills!T16*(1+Inputs!$B$35/100))/(1/Q3001)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2991)</f>
        <v/>
      </c>
      <c r="L2991">
        <f>K2991*(MIN(Inputs!$B$23+((C3007=TRUE)*(F3007-Calc!F22)),(Inputs!$B$24+((C3009=TRUE)*(F3009-Calc!F24))+(IF(ArtifactsInput!$M$15,CHOOSE(ArtifactsInput!$N$15+1,25,30,35,40,45,50)/100*(Inputs!$B$12-Inputs!$B$12),0))))/100+(Inputs!$B$24+((C3009=TRUE)*(F3009-Calc!F24))+(IF(ArtifactsInput!$M$15,CHOOSE(ArtifactsInput!$N$15+1,25,30,35,40,45,50)/100*(Inputs!$B$12-Inputs!$B$12),0)))/100)/2</f>
        <v/>
      </c>
      <c r="M2991">
        <f>L2991*(1+(Inputs!$B$11+0+B3019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991">
        <f>L2991*(1-MIN((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2991*(MIN((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91">
        <f>(1-Summary!$B$11)*T2991+Summary!$B$11*V2991</f>
        <v/>
      </c>
      <c r="P2991">
        <f>IF(B3024=0,0,O2991/B3024)</f>
        <v/>
      </c>
      <c r="Q2991">
        <f>IFERROR(1/IF(Inputs!$B$39="pvp",15,MAX(0.1,Skills!D6-IF(TRUE=TRUE,3.0,0))),0)</f>
        <v/>
      </c>
      <c r="R2991">
        <f>IF(AND(Inputs!$B$39&lt;&gt;"pvp",Inputs!$B$44&gt;0),IF(MAX(0,Inputs!$B$44-B3021)&lt;=0,0,(INT(MAX(0,Inputs!$B$44-B3021)/IF(Inputs!$B$39="pvp",15,MAX(0.1,Skills!D6-IF(TRUE=TRUE,3.0,0))))+1)),0)</f>
        <v/>
      </c>
      <c r="S2991">
        <f>IFERROR(O2991/N2991,0)</f>
        <v/>
      </c>
      <c r="T2991">
        <f>IF(C2991,(H2991*N2991*IF(AND(Inputs!$B$39&lt;&gt;"pvp",Inputs!$B$44&gt;0),((Skills!G6*((R2991-1)*IF(Skills!H6&gt;0,INT(Skills!I6/Skills!H6+0.000000001),1)+IF(Skills!H6&gt;0,INT(MIN(Skills!I6,MAX(0,MAX(0,Inputs!$B$44-B3021)-((R2991-1)*IF(Inputs!$B$39="pvp",15,MAX(0.1,Skills!D6-IF(TRUE=TRUE,3.0,0))))))/Skills!H6+0.000000001),1)))/Inputs!$B$44),G2991*Q2991))*IF(Inputs!$B$39="pvp",1,1+(Inputs!$B$21+0+Skills!P6+((C3002=TRUE)*F3002*IF(AND(Inputs!$B$39&lt;&gt;"pvp",Inputs!$B$44&gt;0),(((R3002-1)*MIN((Skills!T17*(1+Inputs!$B$35/100)),(1/Q3002))+MIN((Skills!T17*(1+Inputs!$B$35/100)),MAX(0,Inputs!$B$44-((R3002-1)*(1/Q3002)))))/Inputs!$B$44),IF(Inputs!$B$39="pvp",MIN((Skills!T17*(1+Inputs!$B$35/100)),15)/15,MIN(1,(Skills!T17*(1+Inputs!$B$35/100))/(1/Q3002)))))+((C2990=TRUE)*IF(Inputs!$B$3&gt;=126,10*MIN(1,15*Q2990),0))+((C2999=TRUE)*IF(Inputs!$B$39="pvp",20,(1-Summary!$B$11)*(20)+Summary!$B$11*(0))*IF(AND(Inputs!$B$39&lt;&gt;"pvp",Inputs!$B$44&gt;0),(((R2999-1)*MIN((Skills!T14*(1+Inputs!$B$35/100)),(1/Q2999))+MIN((Skills!T14*(1+Inputs!$B$35/100)),MAX(0,Inputs!$B$44-((R2999-1)*(1/Q2999)))))/Inputs!$B$44),IF(Inputs!$B$39="pvp",MIN((Skills!T14*(1+Inputs!$B$35/100)),15)/15,MIN(1,(Skills!T14*(1+Inputs!$B$35/100))/(1/Q2999)))))+((C2998=TRUE)*IF(Inputs!$B$3&gt;=82,IF(Inputs!$B$39="pvp",20,(1-Summary!$B$11)*(20)+Summary!$B$11*(0)),0)*IF(AND(Inputs!$B$39&lt;&gt;"pvp",Inputs!$B$44&gt;0),(((R2998-1)*MIN((Skills!T13*(1+Inputs!$B$35/100)),(1/Q2998))+MIN((Skills!T13*(1+Inputs!$B$35/100)),MAX(0,Inputs!$B$44-((R2998-1)*(1/Q2998)))))/Inputs!$B$44),IF(Inputs!$B$39="pvp",MIN((Skills!T13*(1+Inputs!$B$35/100)),15)/15,MIN(1,(Skills!T13*(1+Inputs!$B$35/100))/(1/Q2998)))))+(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2991*(1-MIN(100,(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2991*(MIN(100,(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2991*(1-MIN(100,(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2991*(MIN(100,(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91">
        <f>IF(C2991,(H2991*N2991*IF(AND(Inputs!$B$39&lt;&gt;"pvp",Inputs!$B$44&gt;0),((Skills!G6*((R2991-1)*IF(Skills!H6&gt;0,INT(Skills!I6/Skills!H6+0.000000001),1)+IF(Skills!H6&gt;0,INT(MIN(Skills!I6,MAX(0,MAX(0,Inputs!$B$44-B3021)-((R2991-1)*IF(Inputs!$B$39="pvp",15,MAX(0.1,Skills!D6-IF(TRUE=TRUE,3.0,0))))))/Skills!H6+0.000000001),1)))/Inputs!$B$44),G2991*Q2991))*IF(Inputs!$B$39="pvp",1,(1+(Inputs!$B$22+Skills!Q6+((C3002=TRUE)*F3002*IF(AND(Inputs!$B$39&lt;&gt;"pvp",Inputs!$B$44&gt;0),(((R3002-1)*MIN((Skills!T17*(1+Inputs!$B$35/100)),(1/Q3002))+MIN((Skills!T17*(1+Inputs!$B$35/100)),MAX(0,Inputs!$B$44-((R3002-1)*(1/Q3002)))))/Inputs!$B$44),IF(Inputs!$B$39="pvp",MIN((Skills!T17*(1+Inputs!$B$35/100)),15)/15,MIN(1,(Skills!T17*(1+Inputs!$B$35/100))/(1/Q3002)))))+((C2990=TRUE)*IF(Inputs!$B$3&gt;=126,10*MIN(1,15*Q2990),0))+((C2999=TRUE)*IF(Inputs!$B$39="pvp",20,(1-Summary!$B$11)*(20)+Summary!$B$11*(0))*IF(AND(Inputs!$B$39&lt;&gt;"pvp",Inputs!$B$44&gt;0),(((R2999-1)*MIN((Skills!T14*(1+Inputs!$B$35/100)),(1/Q2999))+MIN((Skills!T14*(1+Inputs!$B$35/100)),MAX(0,Inputs!$B$44-((R2999-1)*(1/Q2999)))))/Inputs!$B$44),IF(Inputs!$B$39="pvp",MIN((Skills!T14*(1+Inputs!$B$35/100)),15)/15,MIN(1,(Skills!T14*(1+Inputs!$B$35/100))/(1/Q2999)))))+((C2998=TRUE)*IF(Inputs!$B$3&gt;=82,IF(Inputs!$B$39="pvp",20,(1-Summary!$B$11)*(20)+Summary!$B$11*(0)),0)*IF(AND(Inputs!$B$39&lt;&gt;"pvp",Inputs!$B$44&gt;0),(((R2998-1)*MIN((Skills!T13*(1+Inputs!$B$35/100)),(1/Q2998))+MIN((Skills!T13*(1+Inputs!$B$35/100)),MAX(0,Inputs!$B$44-((R2998-1)*(1/Q2998)))))/Inputs!$B$44),IF(Inputs!$B$39="pvp",MIN((Skills!T13*(1+Inputs!$B$35/100)),15)/15,MIN(1,(Skills!T13*(1+Inputs!$B$35/100))/(1/Q2998)))))+(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92">
      <c r="A2992">
        <f>Skills!A7</f>
        <v/>
      </c>
      <c r="B2992">
        <f>Skills!B7</f>
        <v/>
      </c>
      <c r="C2992">
        <f>Inputs!$B$3&gt;=40</f>
        <v/>
      </c>
      <c r="D2992">
        <f>IF(Skills!C7=1,60+Inputs!$B$26+Inputs!$B$30,IF(Skills!C7=2,90+Inputs!$B$27+Inputs!$B$30,IF(Skills!C7=3,120+Inputs!$B$28+Inputs!$B$30,MAX(0,(Inputs!$B$3-100)*3)+Inputs!$B$29+Inputs!$B$30)))</f>
        <v/>
      </c>
      <c r="E2992">
        <f>INDEX(FactorTable!$B$2:$Y$301, MATCH(ROUND(MIN(300,MAX(1,D2992)),0), FactorTable!$A$2:$A$301,0), Skills!M7+1)</f>
        <v/>
      </c>
      <c r="F2992">
        <f>IF(Skills!N7=TRUE,(Skills!L7/10)*(E2992/1000),Skills!L7/10)+Skills!O7</f>
        <v/>
      </c>
      <c r="G2992">
        <f>Skills!G7*IF(Skills!H7&gt;0,INT(IF(Inputs!$B$39="pvp",MIN(Skills!I7,15),Skills!I7)/Skills!H7+0.000000001),1)</f>
        <v/>
      </c>
      <c r="H2992">
        <f>1-(1-Skills!J7/100)^Skills!K7</f>
        <v/>
      </c>
      <c r="I2992" t="inlineStr">
        <is>
          <t>1</t>
        </is>
      </c>
      <c r="J2992">
        <f>((Inputs!$B$6*(1+Inputs!$B$7/100))+(((Inputs!$B$13*(1+Inputs!$B$14/100))-(Inputs!$B$13*(1+Inputs!$B$14/100)))+0.25*(Inputs!$B$15-Inputs!$B$15))*(1+Inputs!$B$7/100))*(F2992/100)</f>
        <v/>
      </c>
      <c r="K2992">
        <f>J2992*(1+(((Inputs!$B$13+IF(Inputs!$B$3&gt;=38,(10*INDEX(FactorTable!$B$2:$Y$301, MATCH(ROUND(MIN(300,MAX(1,Inputs!$B$3)),0), FactorTable!$A$2:$A$301,0), 23)/1000)/100*(Inputs!$B$8*(1+Inputs!$B$9/100)),0))*(1+Inputs!$B$14/100))*0.01+Inputs!$B$15*0.0025)/100)*(1+Inputs!$B$16/100)*(1+Inputs!$B$17/100)*(5000/(6000+Inputs!$B$43*(1-(Inputs!$B$20+0)/100)))*(1+(Inputs!$B$25+((C3010=TRUE)*(F3010-Calc!F25))+((C3011=TRUE)*(F3011-Calc!F26))+B3020)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2996=TRUE,F2996,0)/100)*(1+(IF(Skills!A7="DARK_IMPALE",Inputs!$B$18+0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gt;=100),MIN(100,((Inputs!$B$10+0+B3014+(ArtifactsInput!$M$24-ArtifactsInput!$M$24)*CHOOSE(ArtifactsInput!$N$24+1,10,12,14,16,18,20)+IF(ArtifactsInput!$M$10,CHOOSE(ArtifactsInput!$N$10+1,15,18,21,24,27,30)*(IF(Inputs!$B$39="pvp",MIN(15,15)/15,IF(AND(Inputs!$B$39&lt;&gt;"pvp",Inputs!$B$44&gt;0),MIN(15,Inputs!$B$44)/(Inputs!$B$44),0))),0)))-100),0))*CHOOSE(ArtifactsInput!$N$42+1,0.6,0.72,0.84,0.96,1.08,1.2))),Inputs!$B$19+((C3008=TRUE)*(F3008-Calc!F23))+(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gt;=100),CHOOSE(ArtifactsInput!$N$42+1,40,48,56,64,72,80),0))))/100)*((1+(((C2998=TRUE)*F2998*IF(AND(Inputs!$B$39&lt;&gt;"pvp",Inputs!$B$44&gt;0),(((R2998-1)*MIN((Skills!T13*(1+Inputs!$B$35/100)),(1/Q2998))+MIN((Skills!T13*(1+Inputs!$B$35/100)),MAX(0,Inputs!$B$44-((R2998-1)*(1/Q2998)))))/Inputs!$B$44),IF(Inputs!$B$39="pvp",MIN((Skills!T13*(1+Inputs!$B$35/100)),15)/15,MIN(1,(Skills!T13*(1+Inputs!$B$35/100))/(1/Q2998)))))+((C2999=TRUE)*F2999*IF(AND(Inputs!$B$39&lt;&gt;"pvp",Inputs!$B$44&gt;0),(((R2999-1)*MIN((Skills!T14*(1+Inputs!$B$35/100)),(1/Q2999))+MIN((Skills!T14*(1+Inputs!$B$35/100)),MAX(0,Inputs!$B$44-((R2999-1)*(1/Q2999)))))/Inputs!$B$44),IF(Inputs!$B$39="pvp",MIN((Skills!T14*(1+Inputs!$B$35/100)),15)/15,MIN(1,(Skills!T14*(1+Inputs!$B$35/100))/(1/Q2999)))))+((C3000=TRUE)*F3000*IF(AND(Inputs!$B$39&lt;&gt;"pvp",Inputs!$B$44&gt;0),(((R3000-1)*MIN((Skills!T15*(1+Inputs!$B$35/100)),(1/Q3000))+MIN((Skills!T15*(1+Inputs!$B$35/100)),MAX(0,Inputs!$B$44-((R3000-1)*(1/Q3000)))))/Inputs!$B$44),IF(Inputs!$B$39="pvp",MIN((Skills!T15*(1+Inputs!$B$35/100)),15)/15,MIN(1,(Skills!T15*(1+Inputs!$B$35/100))/(1/Q3000)))))+((C3001=TRUE)*F3001*IF(AND(Inputs!$B$39&lt;&gt;"pvp",Inputs!$B$44&gt;0),(((R3001-1)*MIN((Skills!T16*(1+Inputs!$B$35/100)),(1/Q3001))+MIN((Skills!T16*(1+Inputs!$B$35/100)),MAX(0,Inputs!$B$44-((R3001-1)*(1/Q3001)))))/Inputs!$B$44),IF(Inputs!$B$39="pvp",MIN((Skills!T16*(1+Inputs!$B$35/100)),15)/15,MIN(1,(Skills!T16*(1+Inputs!$B$35/100))/(1/Q3001)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2992)</f>
        <v/>
      </c>
      <c r="L2992">
        <f>K2992*(MIN(Inputs!$B$23+((C3007=TRUE)*(F3007-Calc!F22)),(Inputs!$B$24+((C3009=TRUE)*(F3009-Calc!F24))+(IF(ArtifactsInput!$M$15,CHOOSE(ArtifactsInput!$N$15+1,25,30,35,40,45,50)/100*(Inputs!$B$12-Inputs!$B$12),0))))/100+(Inputs!$B$24+((C3009=TRUE)*(F3009-Calc!F24))+(IF(ArtifactsInput!$M$15,CHOOSE(ArtifactsInput!$N$15+1,25,30,35,40,45,50)/100*(Inputs!$B$12-Inputs!$B$12),0)))/100)/2</f>
        <v/>
      </c>
      <c r="M2992">
        <f>L2992*(1+(Inputs!$B$11+0+B3019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992">
        <f>L2992*(1-MIN((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2992*(MIN((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92">
        <f>(1-Summary!$B$11)*T2992+Summary!$B$11*V2992</f>
        <v/>
      </c>
      <c r="P2992">
        <f>IF(B3024=0,0,O2992/B3024)</f>
        <v/>
      </c>
      <c r="Q2992">
        <f>IFERROR(1/IF(Inputs!$B$39="pvp",15,MAX(0.1,Skills!D7-IF(TRUE=TRUE,3.0,0))),0)</f>
        <v/>
      </c>
      <c r="R2992">
        <f>IF(AND(Inputs!$B$39&lt;&gt;"pvp",Inputs!$B$44&gt;0),IF(MAX(0,Inputs!$B$44-B3021)&lt;=0,0,(INT(MAX(0,Inputs!$B$44-B3021)/IF(Inputs!$B$39="pvp",15,MAX(0.1,Skills!D7-IF(TRUE=TRUE,3.0,0))))+1)),0)</f>
        <v/>
      </c>
      <c r="S2992">
        <f>IFERROR(O2992/N2992,0)</f>
        <v/>
      </c>
      <c r="T2992">
        <f>IF(C2992,(H2992*N2992*IF(AND(Inputs!$B$39&lt;&gt;"pvp",Inputs!$B$44&gt;0),((Skills!G7*((R2992-1)*IF(Skills!H7&gt;0,INT(Skills!I7/Skills!H7+0.000000001),1)+IF(Skills!H7&gt;0,INT(MIN(Skills!I7,MAX(0,MAX(0,Inputs!$B$44-B3021)-((R2992-1)*IF(Inputs!$B$39="pvp",15,MAX(0.1,Skills!D7-IF(TRUE=TRUE,3.0,0))))))/Skills!H7+0.000000001),1)))/Inputs!$B$44),G2992*Q2992))*IF(Inputs!$B$39="pvp",1,1+(Inputs!$B$21+0+Skills!P7+((C3002=TRUE)*F3002*IF(AND(Inputs!$B$39&lt;&gt;"pvp",Inputs!$B$44&gt;0),(((R3002-1)*MIN((Skills!T17*(1+Inputs!$B$35/100)),(1/Q3002))+MIN((Skills!T17*(1+Inputs!$B$35/100)),MAX(0,Inputs!$B$44-((R3002-1)*(1/Q3002)))))/Inputs!$B$44),IF(Inputs!$B$39="pvp",MIN((Skills!T17*(1+Inputs!$B$35/100)),15)/15,MIN(1,(Skills!T17*(1+Inputs!$B$35/100))/(1/Q3002)))))+((C2990=TRUE)*IF(Inputs!$B$3&gt;=126,10*MIN(1,15*Q2990),0))+((C2999=TRUE)*IF(Inputs!$B$39="pvp",20,(1-Summary!$B$11)*(20)+Summary!$B$11*(0))*IF(AND(Inputs!$B$39&lt;&gt;"pvp",Inputs!$B$44&gt;0),(((R2999-1)*MIN((Skills!T14*(1+Inputs!$B$35/100)),(1/Q2999))+MIN((Skills!T14*(1+Inputs!$B$35/100)),MAX(0,Inputs!$B$44-((R2999-1)*(1/Q2999)))))/Inputs!$B$44),IF(Inputs!$B$39="pvp",MIN((Skills!T14*(1+Inputs!$B$35/100)),15)/15,MIN(1,(Skills!T14*(1+Inputs!$B$35/100))/(1/Q2999)))))+((C2998=TRUE)*IF(Inputs!$B$3&gt;=82,IF(Inputs!$B$39="pvp",20,(1-Summary!$B$11)*(20)+Summary!$B$11*(0)),0)*IF(AND(Inputs!$B$39&lt;&gt;"pvp",Inputs!$B$44&gt;0),(((R2998-1)*MIN((Skills!T13*(1+Inputs!$B$35/100)),(1/Q2998))+MIN((Skills!T13*(1+Inputs!$B$35/100)),MAX(0,Inputs!$B$44-((R2998-1)*(1/Q2998)))))/Inputs!$B$44),IF(Inputs!$B$39="pvp",MIN((Skills!T13*(1+Inputs!$B$35/100)),15)/15,MIN(1,(Skills!T13*(1+Inputs!$B$35/100))/(1/Q2998)))))+(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2992*(1-MIN(100,(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2992*(MIN(100,(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2992*(1-MIN(100,(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2992*(MIN(100,(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92">
        <f>IF(C2992,(H2992*N2992*IF(AND(Inputs!$B$39&lt;&gt;"pvp",Inputs!$B$44&gt;0),((Skills!G7*((R2992-1)*IF(Skills!H7&gt;0,INT(Skills!I7/Skills!H7+0.000000001),1)+IF(Skills!H7&gt;0,INT(MIN(Skills!I7,MAX(0,MAX(0,Inputs!$B$44-B3021)-((R2992-1)*IF(Inputs!$B$39="pvp",15,MAX(0.1,Skills!D7-IF(TRUE=TRUE,3.0,0))))))/Skills!H7+0.000000001),1)))/Inputs!$B$44),G2992*Q2992))*IF(Inputs!$B$39="pvp",1,(1+(Inputs!$B$22+Skills!Q7+((C3002=TRUE)*F3002*IF(AND(Inputs!$B$39&lt;&gt;"pvp",Inputs!$B$44&gt;0),(((R3002-1)*MIN((Skills!T17*(1+Inputs!$B$35/100)),(1/Q3002))+MIN((Skills!T17*(1+Inputs!$B$35/100)),MAX(0,Inputs!$B$44-((R3002-1)*(1/Q3002)))))/Inputs!$B$44),IF(Inputs!$B$39="pvp",MIN((Skills!T17*(1+Inputs!$B$35/100)),15)/15,MIN(1,(Skills!T17*(1+Inputs!$B$35/100))/(1/Q3002)))))+((C2990=TRUE)*IF(Inputs!$B$3&gt;=126,10*MIN(1,15*Q2990),0))+((C2999=TRUE)*IF(Inputs!$B$39="pvp",20,(1-Summary!$B$11)*(20)+Summary!$B$11*(0))*IF(AND(Inputs!$B$39&lt;&gt;"pvp",Inputs!$B$44&gt;0),(((R2999-1)*MIN((Skills!T14*(1+Inputs!$B$35/100)),(1/Q2999))+MIN((Skills!T14*(1+Inputs!$B$35/100)),MAX(0,Inputs!$B$44-((R2999-1)*(1/Q2999)))))/Inputs!$B$44),IF(Inputs!$B$39="pvp",MIN((Skills!T14*(1+Inputs!$B$35/100)),15)/15,MIN(1,(Skills!T14*(1+Inputs!$B$35/100))/(1/Q2999)))))+((C2998=TRUE)*IF(Inputs!$B$3&gt;=82,IF(Inputs!$B$39="pvp",20,(1-Summary!$B$11)*(20)+Summary!$B$11*(0)),0)*IF(AND(Inputs!$B$39&lt;&gt;"pvp",Inputs!$B$44&gt;0),(((R2998-1)*MIN((Skills!T13*(1+Inputs!$B$35/100)),(1/Q2998))+MIN((Skills!T13*(1+Inputs!$B$35/100)),MAX(0,Inputs!$B$44-((R2998-1)*(1/Q2998)))))/Inputs!$B$44),IF(Inputs!$B$39="pvp",MIN((Skills!T13*(1+Inputs!$B$35/100)),15)/15,MIN(1,(Skills!T13*(1+Inputs!$B$35/100))/(1/Q2998)))))+(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93">
      <c r="A2993">
        <f>Skills!A8</f>
        <v/>
      </c>
      <c r="B2993">
        <f>Skills!B8</f>
        <v/>
      </c>
      <c r="C2993">
        <f>Inputs!$B$3&gt;=75</f>
        <v/>
      </c>
      <c r="D2993">
        <f>IF(Skills!C8=1,60+Inputs!$B$26+Inputs!$B$30,IF(Skills!C8=2,90+Inputs!$B$27+Inputs!$B$30,IF(Skills!C8=3,120+Inputs!$B$28+Inputs!$B$30,MAX(0,(Inputs!$B$3-100)*3)+Inputs!$B$29+Inputs!$B$30)))</f>
        <v/>
      </c>
      <c r="E2993">
        <f>INDEX(FactorTable!$B$2:$Y$301, MATCH(ROUND(MIN(300,MAX(1,D2993)),0), FactorTable!$A$2:$A$301,0), Skills!M8+1)</f>
        <v/>
      </c>
      <c r="F2993">
        <f>IF(Skills!N8=TRUE,(Skills!L8/10)*(E2993/1000),Skills!L8/10)+Skills!O8</f>
        <v/>
      </c>
      <c r="G2993" t="inlineStr"/>
      <c r="H2993" t="inlineStr"/>
      <c r="I2993" t="inlineStr">
        <is>
          <t>1</t>
        </is>
      </c>
      <c r="J2993" t="inlineStr"/>
      <c r="K2993" t="inlineStr"/>
      <c r="L2993" t="inlineStr"/>
      <c r="M2993" t="inlineStr"/>
      <c r="N2993" t="inlineStr"/>
      <c r="O2993" t="inlineStr"/>
      <c r="P2993" t="inlineStr"/>
      <c r="Q2993" t="inlineStr"/>
      <c r="R2993" t="inlineStr"/>
      <c r="S2993" t="inlineStr"/>
    </row>
    <row r="2994">
      <c r="A2994">
        <f>Skills!A9</f>
        <v/>
      </c>
      <c r="B2994">
        <f>Skills!B9</f>
        <v/>
      </c>
      <c r="C2994">
        <f>Inputs!$B$3&gt;=60</f>
        <v/>
      </c>
      <c r="D2994">
        <f>IF(Skills!C9=1,60+Inputs!$B$26+Inputs!$B$30,IF(Skills!C9=2,90+Inputs!$B$27+Inputs!$B$30,IF(Skills!C9=3,120+Inputs!$B$28+Inputs!$B$30,MAX(0,(Inputs!$B$3-100)*3)+Inputs!$B$29+Inputs!$B$30)))</f>
        <v/>
      </c>
      <c r="E2994">
        <f>INDEX(FactorTable!$B$2:$Y$301, MATCH(ROUND(MIN(300,MAX(1,D2994)),0), FactorTable!$A$2:$A$301,0), Skills!M9+1)</f>
        <v/>
      </c>
      <c r="F2994">
        <f>IF(Skills!N9=TRUE,(Skills!L9/10)*(E2994/1000),Skills!L9/10)+Skills!O9</f>
        <v/>
      </c>
      <c r="G2994">
        <f>Skills!G9*IF(Skills!H9&gt;0,INT(IF(Inputs!$B$39="pvp",MIN(Skills!I9,15),Skills!I9)/Skills!H9+0.000000001),1)</f>
        <v/>
      </c>
      <c r="H2994">
        <f>1-(1-Skills!J9/100)^Skills!K9</f>
        <v/>
      </c>
      <c r="I2994" t="inlineStr">
        <is>
          <t>1</t>
        </is>
      </c>
      <c r="J2994">
        <f>((Inputs!$B$6*(1+Inputs!$B$7/100))+(((Inputs!$B$13*(1+Inputs!$B$14/100))-(Inputs!$B$13*(1+Inputs!$B$14/100)))+0.25*(Inputs!$B$15-Inputs!$B$15))*(1+Inputs!$B$7/100))*(F2994/100)</f>
        <v/>
      </c>
      <c r="K2994">
        <f>J2994*(1+(((Inputs!$B$13+IF(Inputs!$B$3&gt;=38,(10*INDEX(FactorTable!$B$2:$Y$301, MATCH(ROUND(MIN(300,MAX(1,Inputs!$B$3)),0), FactorTable!$A$2:$A$301,0), 23)/1000)/100*(Inputs!$B$8*(1+Inputs!$B$9/100)),0))*(1+Inputs!$B$14/100))*0.01+Inputs!$B$15*0.0025)/100)*(1+Inputs!$B$16/100)*(1+Inputs!$B$17/100)*(5000/(6000+Inputs!$B$43*(1-(Inputs!$B$20+0)/100)))*(1+(Inputs!$B$25+((C3010=TRUE)*(F3010-Calc!F25))+((C3011=TRUE)*(F3011-Calc!F26))+B3020)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2996=TRUE,F2996,0)/100)*(1+(IF(Skills!A9="DARK_IMPALE",Inputs!$B$18+0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gt;=100),MIN(100,((Inputs!$B$10+0+B3014+(ArtifactsInput!$M$24-ArtifactsInput!$M$24)*CHOOSE(ArtifactsInput!$N$24+1,10,12,14,16,18,20)+IF(ArtifactsInput!$M$10,CHOOSE(ArtifactsInput!$N$10+1,15,18,21,24,27,30)*(IF(Inputs!$B$39="pvp",MIN(15,15)/15,IF(AND(Inputs!$B$39&lt;&gt;"pvp",Inputs!$B$44&gt;0),MIN(15,Inputs!$B$44)/(Inputs!$B$44),0))),0)))-100),0))*CHOOSE(ArtifactsInput!$N$42+1,0.6,0.72,0.84,0.96,1.08,1.2))),Inputs!$B$19+((C3008=TRUE)*(F3008-Calc!F23))+(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gt;=100),CHOOSE(ArtifactsInput!$N$42+1,40,48,56,64,72,80),0))))/100)*((1+(((C2998=TRUE)*F2998*IF(AND(Inputs!$B$39&lt;&gt;"pvp",Inputs!$B$44&gt;0),(((R2998-1)*MIN((Skills!T13*(1+Inputs!$B$35/100)),(1/Q2998))+MIN((Skills!T13*(1+Inputs!$B$35/100)),MAX(0,Inputs!$B$44-((R2998-1)*(1/Q2998)))))/Inputs!$B$44),IF(Inputs!$B$39="pvp",MIN((Skills!T13*(1+Inputs!$B$35/100)),15)/15,MIN(1,(Skills!T13*(1+Inputs!$B$35/100))/(1/Q2998)))))+((C2999=TRUE)*F2999*IF(AND(Inputs!$B$39&lt;&gt;"pvp",Inputs!$B$44&gt;0),(((R2999-1)*MIN((Skills!T14*(1+Inputs!$B$35/100)),(1/Q2999))+MIN((Skills!T14*(1+Inputs!$B$35/100)),MAX(0,Inputs!$B$44-((R2999-1)*(1/Q2999)))))/Inputs!$B$44),IF(Inputs!$B$39="pvp",MIN((Skills!T14*(1+Inputs!$B$35/100)),15)/15,MIN(1,(Skills!T14*(1+Inputs!$B$35/100))/(1/Q2999)))))+((C3000=TRUE)*F3000*IF(AND(Inputs!$B$39&lt;&gt;"pvp",Inputs!$B$44&gt;0),(((R3000-1)*MIN((Skills!T15*(1+Inputs!$B$35/100)),(1/Q3000))+MIN((Skills!T15*(1+Inputs!$B$35/100)),MAX(0,Inputs!$B$44-((R3000-1)*(1/Q3000)))))/Inputs!$B$44),IF(Inputs!$B$39="pvp",MIN((Skills!T15*(1+Inputs!$B$35/100)),15)/15,MIN(1,(Skills!T15*(1+Inputs!$B$35/100))/(1/Q3000)))))+((C3001=TRUE)*F3001*IF(AND(Inputs!$B$39&lt;&gt;"pvp",Inputs!$B$44&gt;0),(((R3001-1)*MIN((Skills!T16*(1+Inputs!$B$35/100)),(1/Q3001))+MIN((Skills!T16*(1+Inputs!$B$35/100)),MAX(0,Inputs!$B$44-((R3001-1)*(1/Q3001)))))/Inputs!$B$44),IF(Inputs!$B$39="pvp",MIN((Skills!T16*(1+Inputs!$B$35/100)),15)/15,MIN(1,(Skills!T16*(1+Inputs!$B$35/100))/(1/Q3001)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2994)</f>
        <v/>
      </c>
      <c r="L2994">
        <f>K2994*(MIN(Inputs!$B$23+((C3007=TRUE)*(F3007-Calc!F22)),(Inputs!$B$24+((C3009=TRUE)*(F3009-Calc!F24))+(IF(ArtifactsInput!$M$15,CHOOSE(ArtifactsInput!$N$15+1,25,30,35,40,45,50)/100*(Inputs!$B$12-Inputs!$B$12),0))))/100+(Inputs!$B$24+((C3009=TRUE)*(F3009-Calc!F24))+(IF(ArtifactsInput!$M$15,CHOOSE(ArtifactsInput!$N$15+1,25,30,35,40,45,50)/100*(Inputs!$B$12-Inputs!$B$12),0)))/100)/2</f>
        <v/>
      </c>
      <c r="M2994">
        <f>L2994*(1+(Inputs!$B$11+0+B3019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994">
        <f>L2994*(1-MIN((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2994*(MIN((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94">
        <f>(1-Summary!$B$11)*T2994+Summary!$B$11*V2994</f>
        <v/>
      </c>
      <c r="P2994">
        <f>IF(B3024=0,0,O2994/B3024)</f>
        <v/>
      </c>
      <c r="Q2994">
        <f>IFERROR(1/IF(Inputs!$B$39="pvp",15,MAX(0.1,Skills!D9-IF(TRUE=TRUE,3.0,0))),0)</f>
        <v/>
      </c>
      <c r="R2994">
        <f>IF(AND(Inputs!$B$39&lt;&gt;"pvp",Inputs!$B$44&gt;0),IF(MAX(0,Inputs!$B$44-B3021)&lt;=0,0,(INT(MAX(0,Inputs!$B$44-B3021)/IF(Inputs!$B$39="pvp",15,MAX(0.1,Skills!D9-IF(TRUE=TRUE,3.0,0))))+1)),0)</f>
        <v/>
      </c>
      <c r="S2994">
        <f>IFERROR(O2994/N2994,0)</f>
        <v/>
      </c>
      <c r="T2994">
        <f>IF(C2994,(H2994*N2994*IF(AND(Inputs!$B$39&lt;&gt;"pvp",Inputs!$B$44&gt;0),((Skills!G9*((R2994-1)*IF(Skills!H9&gt;0,INT(Skills!I9/Skills!H9+0.000000001),1)+IF(Skills!H9&gt;0,INT(MIN(Skills!I9,MAX(0,MAX(0,Inputs!$B$44-B3021)-((R2994-1)*IF(Inputs!$B$39="pvp",15,MAX(0.1,Skills!D9-IF(TRUE=TRUE,3.0,0))))))/Skills!H9+0.000000001),1)))/Inputs!$B$44),G2994*Q2994))*IF(Inputs!$B$39="pvp",1,1+(Inputs!$B$21+0+Skills!P9+((C3002=TRUE)*F3002*IF(AND(Inputs!$B$39&lt;&gt;"pvp",Inputs!$B$44&gt;0),(((R3002-1)*MIN((Skills!T17*(1+Inputs!$B$35/100)),(1/Q3002))+MIN((Skills!T17*(1+Inputs!$B$35/100)),MAX(0,Inputs!$B$44-((R3002-1)*(1/Q3002)))))/Inputs!$B$44),IF(Inputs!$B$39="pvp",MIN((Skills!T17*(1+Inputs!$B$35/100)),15)/15,MIN(1,(Skills!T17*(1+Inputs!$B$35/100))/(1/Q3002)))))+((C2990=TRUE)*IF(Inputs!$B$3&gt;=126,10*MIN(1,15*Q2990),0))+((C2999=TRUE)*IF(Inputs!$B$39="pvp",20,(1-Summary!$B$11)*(20)+Summary!$B$11*(0))*IF(AND(Inputs!$B$39&lt;&gt;"pvp",Inputs!$B$44&gt;0),(((R2999-1)*MIN((Skills!T14*(1+Inputs!$B$35/100)),(1/Q2999))+MIN((Skills!T14*(1+Inputs!$B$35/100)),MAX(0,Inputs!$B$44-((R2999-1)*(1/Q2999)))))/Inputs!$B$44),IF(Inputs!$B$39="pvp",MIN((Skills!T14*(1+Inputs!$B$35/100)),15)/15,MIN(1,(Skills!T14*(1+Inputs!$B$35/100))/(1/Q2999)))))+((C2998=TRUE)*IF(Inputs!$B$3&gt;=82,IF(Inputs!$B$39="pvp",20,(1-Summary!$B$11)*(20)+Summary!$B$11*(0)),0)*IF(AND(Inputs!$B$39&lt;&gt;"pvp",Inputs!$B$44&gt;0),(((R2998-1)*MIN((Skills!T13*(1+Inputs!$B$35/100)),(1/Q2998))+MIN((Skills!T13*(1+Inputs!$B$35/100)),MAX(0,Inputs!$B$44-((R2998-1)*(1/Q2998)))))/Inputs!$B$44),IF(Inputs!$B$39="pvp",MIN((Skills!T13*(1+Inputs!$B$35/100)),15)/15,MIN(1,(Skills!T13*(1+Inputs!$B$35/100))/(1/Q2998)))))+(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2994*(1-MIN(100,(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2994*(MIN(100,(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2994*(1-MIN(100,(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2994*(MIN(100,(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94">
        <f>IF(C2994,(H2994*N2994*IF(AND(Inputs!$B$39&lt;&gt;"pvp",Inputs!$B$44&gt;0),((Skills!G9*((R2994-1)*IF(Skills!H9&gt;0,INT(Skills!I9/Skills!H9+0.000000001),1)+IF(Skills!H9&gt;0,INT(MIN(Skills!I9,MAX(0,MAX(0,Inputs!$B$44-B3021)-((R2994-1)*IF(Inputs!$B$39="pvp",15,MAX(0.1,Skills!D9-IF(TRUE=TRUE,3.0,0))))))/Skills!H9+0.000000001),1)))/Inputs!$B$44),G2994*Q2994))*IF(Inputs!$B$39="pvp",1,(1+(Inputs!$B$22+Skills!Q9+((C3002=TRUE)*F3002*IF(AND(Inputs!$B$39&lt;&gt;"pvp",Inputs!$B$44&gt;0),(((R3002-1)*MIN((Skills!T17*(1+Inputs!$B$35/100)),(1/Q3002))+MIN((Skills!T17*(1+Inputs!$B$35/100)),MAX(0,Inputs!$B$44-((R3002-1)*(1/Q3002)))))/Inputs!$B$44),IF(Inputs!$B$39="pvp",MIN((Skills!T17*(1+Inputs!$B$35/100)),15)/15,MIN(1,(Skills!T17*(1+Inputs!$B$35/100))/(1/Q3002)))))+((C2990=TRUE)*IF(Inputs!$B$3&gt;=126,10*MIN(1,15*Q2990),0))+((C2999=TRUE)*IF(Inputs!$B$39="pvp",20,(1-Summary!$B$11)*(20)+Summary!$B$11*(0))*IF(AND(Inputs!$B$39&lt;&gt;"pvp",Inputs!$B$44&gt;0),(((R2999-1)*MIN((Skills!T14*(1+Inputs!$B$35/100)),(1/Q2999))+MIN((Skills!T14*(1+Inputs!$B$35/100)),MAX(0,Inputs!$B$44-((R2999-1)*(1/Q2999)))))/Inputs!$B$44),IF(Inputs!$B$39="pvp",MIN((Skills!T14*(1+Inputs!$B$35/100)),15)/15,MIN(1,(Skills!T14*(1+Inputs!$B$35/100))/(1/Q2999)))))+((C2998=TRUE)*IF(Inputs!$B$3&gt;=82,IF(Inputs!$B$39="pvp",20,(1-Summary!$B$11)*(20)+Summary!$B$11*(0)),0)*IF(AND(Inputs!$B$39&lt;&gt;"pvp",Inputs!$B$44&gt;0),(((R2998-1)*MIN((Skills!T13*(1+Inputs!$B$35/100)),(1/Q2998))+MIN((Skills!T13*(1+Inputs!$B$35/100)),MAX(0,Inputs!$B$44-((R2998-1)*(1/Q2998)))))/Inputs!$B$44),IF(Inputs!$B$39="pvp",MIN((Skills!T13*(1+Inputs!$B$35/100)),15)/15,MIN(1,(Skills!T13*(1+Inputs!$B$35/100))/(1/Q2998)))))+(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95">
      <c r="A2995">
        <f>Skills!A10</f>
        <v/>
      </c>
      <c r="B2995">
        <f>Skills!B10</f>
        <v/>
      </c>
      <c r="C2995">
        <f>Inputs!$B$3&gt;=110</f>
        <v/>
      </c>
      <c r="D2995">
        <f>IF(Skills!C10=1,60+Inputs!$B$26+Inputs!$B$30,IF(Skills!C10=2,90+Inputs!$B$27+Inputs!$B$30,IF(Skills!C10=3,120+Inputs!$B$28+Inputs!$B$30,MAX(0,(Inputs!$B$3-100)*3)+Inputs!$B$29+Inputs!$B$30)))</f>
        <v/>
      </c>
      <c r="E2995">
        <f>INDEX(FactorTable!$B$2:$Y$301, MATCH(ROUND(MIN(300,MAX(1,D2995)),0), FactorTable!$A$2:$A$301,0), Skills!M10+1)</f>
        <v/>
      </c>
      <c r="F2995">
        <f>IF(Skills!N10=TRUE,(Skills!L10/10)*(E2995/1000),Skills!L10/10)+Skills!O10</f>
        <v/>
      </c>
      <c r="G2995">
        <f>Skills!G10*IF(Skills!H10&gt;0,INT(IF(Inputs!$B$39="pvp",MIN(Skills!I10,15),Skills!I10)/Skills!H10+0.000000001),1)</f>
        <v/>
      </c>
      <c r="H2995">
        <f>1-(1-Skills!J10/100)^Skills!K10</f>
        <v/>
      </c>
      <c r="I2995" t="inlineStr">
        <is>
          <t>1</t>
        </is>
      </c>
      <c r="J2995">
        <f>((Inputs!$B$6*(1+Inputs!$B$7/100))+(((Inputs!$B$13*(1+Inputs!$B$14/100))-(Inputs!$B$13*(1+Inputs!$B$14/100)))+0.25*(Inputs!$B$15-Inputs!$B$15))*(1+Inputs!$B$7/100))*(F2995/100)</f>
        <v/>
      </c>
      <c r="K2995">
        <f>J2995*(1+(((Inputs!$B$13+IF(Inputs!$B$3&gt;=38,(10*INDEX(FactorTable!$B$2:$Y$301, MATCH(ROUND(MIN(300,MAX(1,Inputs!$B$3)),0), FactorTable!$A$2:$A$301,0), 23)/1000)/100*(Inputs!$B$8*(1+Inputs!$B$9/100)),0))*(1+Inputs!$B$14/100))*0.01+Inputs!$B$15*0.0025)/100)*(1+Inputs!$B$16/100)*(1+Inputs!$B$17/100)*(5000/(6000+Inputs!$B$43*(1-(Inputs!$B$20+0)/100)))*(1+(Inputs!$B$25+((C3010=TRUE)*(F3010-Calc!F25))+((C3011=TRUE)*(F3011-Calc!F26))+B3020)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gt;=100),MIN(100,((Inputs!$B$10+0+B3014+(ArtifactsInput!$M$24-ArtifactsInput!$M$24)*CHOOSE(ArtifactsInput!$N$24+1,10,12,14,16,18,20)+IF(ArtifactsInput!$M$10,CHOOSE(ArtifactsInput!$N$10+1,15,18,21,24,27,30)*(IF(Inputs!$B$39="pvp",MIN(15,15)/15,IF(AND(Inputs!$B$39&lt;&gt;"pvp",Inputs!$B$44&gt;0),MIN(15,Inputs!$B$44)/(Inputs!$B$44),0))),0)))-100),0))*CHOOSE(ArtifactsInput!$N$42+1,0.6,0.72,0.84,0.96,1.08,1.2))),Inputs!$B$19+((C3008=TRUE)*(F3008-Calc!F23))+(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gt;=100),CHOOSE(ArtifactsInput!$N$42+1,40,48,56,64,72,80),0))))/100)*((1+(((C2998=TRUE)*F2998*IF(AND(Inputs!$B$39&lt;&gt;"pvp",Inputs!$B$44&gt;0),(((R2998-1)*MIN((Skills!T13*(1+Inputs!$B$35/100)),(1/Q2998))+MIN((Skills!T13*(1+Inputs!$B$35/100)),MAX(0,Inputs!$B$44-((R2998-1)*(1/Q2998)))))/Inputs!$B$44),IF(Inputs!$B$39="pvp",MIN((Skills!T13*(1+Inputs!$B$35/100)),15)/15,MIN(1,(Skills!T13*(1+Inputs!$B$35/100))/(1/Q2998)))))+((C2999=TRUE)*F2999*IF(AND(Inputs!$B$39&lt;&gt;"pvp",Inputs!$B$44&gt;0),(((R2999-1)*MIN((Skills!T14*(1+Inputs!$B$35/100)),(1/Q2999))+MIN((Skills!T14*(1+Inputs!$B$35/100)),MAX(0,Inputs!$B$44-((R2999-1)*(1/Q2999)))))/Inputs!$B$44),IF(Inputs!$B$39="pvp",MIN((Skills!T14*(1+Inputs!$B$35/100)),15)/15,MIN(1,(Skills!T14*(1+Inputs!$B$35/100))/(1/Q2999)))))+((C3000=TRUE)*F3000*IF(AND(Inputs!$B$39&lt;&gt;"pvp",Inputs!$B$44&gt;0),(((R3000-1)*MIN((Skills!T15*(1+Inputs!$B$35/100)),(1/Q3000))+MIN((Skills!T15*(1+Inputs!$B$35/100)),MAX(0,Inputs!$B$44-((R3000-1)*(1/Q3000)))))/Inputs!$B$44),IF(Inputs!$B$39="pvp",MIN((Skills!T15*(1+Inputs!$B$35/100)),15)/15,MIN(1,(Skills!T15*(1+Inputs!$B$35/100))/(1/Q3000)))))+((C3001=TRUE)*F3001*IF(AND(Inputs!$B$39&lt;&gt;"pvp",Inputs!$B$44&gt;0),(((R3001-1)*MIN((Skills!T16*(1+Inputs!$B$35/100)),(1/Q3001))+MIN((Skills!T16*(1+Inputs!$B$35/100)),MAX(0,Inputs!$B$44-((R3001-1)*(1/Q3001)))))/Inputs!$B$44),IF(Inputs!$B$39="pvp",MIN((Skills!T16*(1+Inputs!$B$35/100)),15)/15,MIN(1,(Skills!T16*(1+Inputs!$B$35/100))/(1/Q3001)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2995)</f>
        <v/>
      </c>
      <c r="L2995">
        <f>K2995*(MIN(Inputs!$B$23+((C3007=TRUE)*(F3007-Calc!F22)),(Inputs!$B$24+((C3009=TRUE)*(F3009-Calc!F24))+(IF(ArtifactsInput!$M$15,CHOOSE(ArtifactsInput!$N$15+1,25,30,35,40,45,50)/100*(Inputs!$B$12-Inputs!$B$12),0))))/100+(Inputs!$B$24+((C3009=TRUE)*(F3009-Calc!F24))+(IF(ArtifactsInput!$M$15,CHOOSE(ArtifactsInput!$N$15+1,25,30,35,40,45,50)/100*(Inputs!$B$12-Inputs!$B$12),0)))/100)/2</f>
        <v/>
      </c>
      <c r="M2995">
        <f>L2995*(1+(Inputs!$B$11+0+B3019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995">
        <f>L2995*(1-MIN((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2995*(MIN((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95">
        <f>(1-Summary!$B$11)*T2995+Summary!$B$11*V2995</f>
        <v/>
      </c>
      <c r="P2995">
        <f>IF(B3024=0,0,O2995/B3024)</f>
        <v/>
      </c>
      <c r="Q2995">
        <f>IFERROR(1/IF(Inputs!$B$39="pvp",15,MAX(0.1,Skills!D10-IF(TRUE=TRUE,3.0,0))),0)</f>
        <v/>
      </c>
      <c r="R2995">
        <f>IF(AND(Inputs!$B$39&lt;&gt;"pvp",Inputs!$B$44&gt;0),IF(MAX(0,Inputs!$B$44-B3021)&lt;=0,0,(INT(MAX(0,Inputs!$B$44-B3021)/IF(Inputs!$B$39="pvp",15,MAX(0.1,Skills!D10-IF(TRUE=TRUE,3.0,0))))+1)),0)</f>
        <v/>
      </c>
      <c r="S2995">
        <f>IFERROR(O2995/N2995,0)</f>
        <v/>
      </c>
      <c r="T2995">
        <f>IF(C2995,(H2995*N2995*IF(AND(Inputs!$B$39&lt;&gt;"pvp",Inputs!$B$44&gt;0),((Skills!G10*((R2995-1)*IF(Skills!H10&gt;0,INT(Skills!I10/Skills!H10+0.000000001),1)+IF(Skills!H10&gt;0,INT(MIN(Skills!I10,MAX(0,MAX(0,Inputs!$B$44-B3021)-((R2995-1)*IF(Inputs!$B$39="pvp",15,MAX(0.1,Skills!D10-IF(TRUE=TRUE,3.0,0))))))/Skills!H10+0.000000001),1)))/Inputs!$B$44),G2995*Q2995))*IF(Inputs!$B$39="pvp",1,1+(Inputs!$B$21+0+Skills!P10+((C3002=TRUE)*F3002*IF(AND(Inputs!$B$39&lt;&gt;"pvp",Inputs!$B$44&gt;0),(((R3002-1)*MIN((Skills!T17*(1+Inputs!$B$35/100)),(1/Q3002))+MIN((Skills!T17*(1+Inputs!$B$35/100)),MAX(0,Inputs!$B$44-((R3002-1)*(1/Q3002)))))/Inputs!$B$44),IF(Inputs!$B$39="pvp",MIN((Skills!T17*(1+Inputs!$B$35/100)),15)/15,MIN(1,(Skills!T17*(1+Inputs!$B$35/100))/(1/Q3002)))))+((C2990=TRUE)*IF(Inputs!$B$3&gt;=126,10*MIN(1,15*Q2990),0))+((C2999=TRUE)*IF(Inputs!$B$39="pvp",20,(1-Summary!$B$11)*(20)+Summary!$B$11*(0))*IF(AND(Inputs!$B$39&lt;&gt;"pvp",Inputs!$B$44&gt;0),(((R2999-1)*MIN((Skills!T14*(1+Inputs!$B$35/100)),(1/Q2999))+MIN((Skills!T14*(1+Inputs!$B$35/100)),MAX(0,Inputs!$B$44-((R2999-1)*(1/Q2999)))))/Inputs!$B$44),IF(Inputs!$B$39="pvp",MIN((Skills!T14*(1+Inputs!$B$35/100)),15)/15,MIN(1,(Skills!T14*(1+Inputs!$B$35/100))/(1/Q2999)))))+((C2998=TRUE)*IF(Inputs!$B$3&gt;=82,IF(Inputs!$B$39="pvp",20,(1-Summary!$B$11)*(20)+Summary!$B$11*(0)),0)*IF(AND(Inputs!$B$39&lt;&gt;"pvp",Inputs!$B$44&gt;0),(((R2998-1)*MIN((Skills!T13*(1+Inputs!$B$35/100)),(1/Q2998))+MIN((Skills!T13*(1+Inputs!$B$35/100)),MAX(0,Inputs!$B$44-((R2998-1)*(1/Q2998)))))/Inputs!$B$44),IF(Inputs!$B$39="pvp",MIN((Skills!T13*(1+Inputs!$B$35/100)),15)/15,MIN(1,(Skills!T13*(1+Inputs!$B$35/100))/(1/Q2998)))))+(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2995*(1-MIN(100,(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2995*(MIN(100,(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2995*(1-MIN(100,(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2995*(MIN(100,(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95">
        <f>IF(C2995,(H2995*N2995*IF(AND(Inputs!$B$39&lt;&gt;"pvp",Inputs!$B$44&gt;0),((Skills!G10*((R2995-1)*IF(Skills!H10&gt;0,INT(Skills!I10/Skills!H10+0.000000001),1)+IF(Skills!H10&gt;0,INT(MIN(Skills!I10,MAX(0,MAX(0,Inputs!$B$44-B3021)-((R2995-1)*IF(Inputs!$B$39="pvp",15,MAX(0.1,Skills!D10-IF(TRUE=TRUE,3.0,0))))))/Skills!H10+0.000000001),1)))/Inputs!$B$44),G2995*Q2995))*IF(Inputs!$B$39="pvp",1,(1+(Inputs!$B$22+Skills!Q10+((C3002=TRUE)*F3002*IF(AND(Inputs!$B$39&lt;&gt;"pvp",Inputs!$B$44&gt;0),(((R3002-1)*MIN((Skills!T17*(1+Inputs!$B$35/100)),(1/Q3002))+MIN((Skills!T17*(1+Inputs!$B$35/100)),MAX(0,Inputs!$B$44-((R3002-1)*(1/Q3002)))))/Inputs!$B$44),IF(Inputs!$B$39="pvp",MIN((Skills!T17*(1+Inputs!$B$35/100)),15)/15,MIN(1,(Skills!T17*(1+Inputs!$B$35/100))/(1/Q3002)))))+((C2990=TRUE)*IF(Inputs!$B$3&gt;=126,10*MIN(1,15*Q2990),0))+((C2999=TRUE)*IF(Inputs!$B$39="pvp",20,(1-Summary!$B$11)*(20)+Summary!$B$11*(0))*IF(AND(Inputs!$B$39&lt;&gt;"pvp",Inputs!$B$44&gt;0),(((R2999-1)*MIN((Skills!T14*(1+Inputs!$B$35/100)),(1/Q2999))+MIN((Skills!T14*(1+Inputs!$B$35/100)),MAX(0,Inputs!$B$44-((R2999-1)*(1/Q2999)))))/Inputs!$B$44),IF(Inputs!$B$39="pvp",MIN((Skills!T14*(1+Inputs!$B$35/100)),15)/15,MIN(1,(Skills!T14*(1+Inputs!$B$35/100))/(1/Q2999)))))+((C2998=TRUE)*IF(Inputs!$B$3&gt;=82,IF(Inputs!$B$39="pvp",20,(1-Summary!$B$11)*(20)+Summary!$B$11*(0)),0)*IF(AND(Inputs!$B$39&lt;&gt;"pvp",Inputs!$B$44&gt;0),(((R2998-1)*MIN((Skills!T13*(1+Inputs!$B$35/100)),(1/Q2998))+MIN((Skills!T13*(1+Inputs!$B$35/100)),MAX(0,Inputs!$B$44-((R2998-1)*(1/Q2998)))))/Inputs!$B$44),IF(Inputs!$B$39="pvp",MIN((Skills!T13*(1+Inputs!$B$35/100)),15)/15,MIN(1,(Skills!T13*(1+Inputs!$B$35/100))/(1/Q2998)))))+(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96">
      <c r="A2996">
        <f>Skills!A11</f>
        <v/>
      </c>
      <c r="B2996">
        <f>Skills!B11</f>
        <v/>
      </c>
      <c r="C2996">
        <f>Inputs!$B$3&gt;=100</f>
        <v/>
      </c>
      <c r="D2996">
        <f>IF(Skills!C11=1,60+Inputs!$B$26+Inputs!$B$30,IF(Skills!C11=2,90+Inputs!$B$27+Inputs!$B$30,IF(Skills!C11=3,120+Inputs!$B$28+Inputs!$B$30,MAX(0,(Inputs!$B$3-100)*3)+Inputs!$B$29+Inputs!$B$30)))</f>
        <v/>
      </c>
      <c r="E2996">
        <f>INDEX(FactorTable!$B$2:$Y$301, MATCH(ROUND(MIN(300,MAX(1,D2996)),0), FactorTable!$A$2:$A$301,0), Skills!M11+1)</f>
        <v/>
      </c>
      <c r="F2996">
        <f>IF(Skills!N11=TRUE,(Skills!L11/10)*(E2996/1000),Skills!L11/10)+Skills!O11</f>
        <v/>
      </c>
      <c r="G2996" t="inlineStr"/>
      <c r="H2996" t="inlineStr"/>
      <c r="I2996" t="inlineStr">
        <is>
          <t>1</t>
        </is>
      </c>
      <c r="J2996" t="inlineStr"/>
      <c r="K2996" t="inlineStr"/>
      <c r="L2996" t="inlineStr"/>
      <c r="M2996" t="inlineStr"/>
      <c r="N2996" t="inlineStr"/>
      <c r="O2996" t="inlineStr"/>
      <c r="P2996" t="inlineStr"/>
      <c r="Q2996" t="inlineStr"/>
      <c r="R2996" t="inlineStr"/>
      <c r="S2996" t="inlineStr"/>
    </row>
    <row r="2997">
      <c r="A2997">
        <f>Skills!A12</f>
        <v/>
      </c>
      <c r="B2997">
        <f>Skills!B12</f>
        <v/>
      </c>
      <c r="C2997">
        <f>Inputs!$B$3&gt;=63</f>
        <v/>
      </c>
      <c r="D2997">
        <f>IF(Skills!C12=1,60+Inputs!$B$26+Inputs!$B$30,IF(Skills!C12=2,90+Inputs!$B$27+Inputs!$B$30,IF(Skills!C12=3,120+Inputs!$B$28+Inputs!$B$30,MAX(0,(Inputs!$B$3-100)*3)+Inputs!$B$29+Inputs!$B$30)))</f>
        <v/>
      </c>
      <c r="E2997">
        <f>INDEX(FactorTable!$B$2:$Y$301, MATCH(ROUND(MIN(300,MAX(1,D2997)),0), FactorTable!$A$2:$A$301,0), Skills!M12+1)</f>
        <v/>
      </c>
      <c r="F2997">
        <f>IF(Skills!N12=TRUE,(Skills!L12/10)*(E2997/1000),Skills!L12/10)+Skills!O12</f>
        <v/>
      </c>
      <c r="G2997">
        <f>Skills!G12*IF(Skills!H12&gt;0,INT(IF(Inputs!$B$39="pvp",MIN(Skills!I12,15),Skills!I12)/Skills!H12+0.000000001),1)</f>
        <v/>
      </c>
      <c r="H2997">
        <f>1-(1-Skills!J12/100)^Skills!K12</f>
        <v/>
      </c>
      <c r="I2997" t="inlineStr">
        <is>
          <t>1</t>
        </is>
      </c>
      <c r="J2997">
        <f>((Inputs!$B$6*(1+Inputs!$B$7/100))+(((Inputs!$B$13*(1+Inputs!$B$14/100))-(Inputs!$B$13*(1+Inputs!$B$14/100)))+0.25*(Inputs!$B$15-Inputs!$B$15))*(1+Inputs!$B$7/100))*(F2997/100)</f>
        <v/>
      </c>
      <c r="K2997">
        <f>J2997*(1+(((Inputs!$B$13+IF(Inputs!$B$3&gt;=38,(10*INDEX(FactorTable!$B$2:$Y$301, MATCH(ROUND(MIN(300,MAX(1,Inputs!$B$3)),0), FactorTable!$A$2:$A$301,0), 23)/1000)/100*(Inputs!$B$8*(1+Inputs!$B$9/100)),0))*(1+Inputs!$B$14/100))*0.01+Inputs!$B$15*0.0025)/100)*(1+Inputs!$B$16/100)*(1+Inputs!$B$17/100)*(5000/(6000+Inputs!$B$43*(1-(Inputs!$B$20+0)/100)))*(1+(Inputs!$B$25+((C3010=TRUE)*(F3010-Calc!F25))+((C3011=TRUE)*(F3011-Calc!F26))+B3020)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2996=TRUE,F2996,0)/100)*(1+(IF(Skills!A12="DARK_IMPALE",Inputs!$B$18+0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gt;=100),MIN(100,((Inputs!$B$10+0+B3014+(ArtifactsInput!$M$24-ArtifactsInput!$M$24)*CHOOSE(ArtifactsInput!$N$24+1,10,12,14,16,18,20)+IF(ArtifactsInput!$M$10,CHOOSE(ArtifactsInput!$N$10+1,15,18,21,24,27,30)*(IF(Inputs!$B$39="pvp",MIN(15,15)/15,IF(AND(Inputs!$B$39&lt;&gt;"pvp",Inputs!$B$44&gt;0),MIN(15,Inputs!$B$44)/(Inputs!$B$44),0))),0)))-100),0))*CHOOSE(ArtifactsInput!$N$42+1,0.6,0.72,0.84,0.96,1.08,1.2))),Inputs!$B$19+((C3008=TRUE)*(F3008-Calc!F23))+(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gt;=100),CHOOSE(ArtifactsInput!$N$42+1,40,48,56,64,72,80),0))))/100)*((1+(((C2998=TRUE)*F2998*IF(AND(Inputs!$B$39&lt;&gt;"pvp",Inputs!$B$44&gt;0),(((R2998-1)*MIN((Skills!T13*(1+Inputs!$B$35/100)),(1/Q2998))+MIN((Skills!T13*(1+Inputs!$B$35/100)),MAX(0,Inputs!$B$44-((R2998-1)*(1/Q2998)))))/Inputs!$B$44),IF(Inputs!$B$39="pvp",MIN((Skills!T13*(1+Inputs!$B$35/100)),15)/15,MIN(1,(Skills!T13*(1+Inputs!$B$35/100))/(1/Q2998)))))+((C2999=TRUE)*F2999*IF(AND(Inputs!$B$39&lt;&gt;"pvp",Inputs!$B$44&gt;0),(((R2999-1)*MIN((Skills!T14*(1+Inputs!$B$35/100)),(1/Q2999))+MIN((Skills!T14*(1+Inputs!$B$35/100)),MAX(0,Inputs!$B$44-((R2999-1)*(1/Q2999)))))/Inputs!$B$44),IF(Inputs!$B$39="pvp",MIN((Skills!T14*(1+Inputs!$B$35/100)),15)/15,MIN(1,(Skills!T14*(1+Inputs!$B$35/100))/(1/Q2999)))))+((C3000=TRUE)*F3000*IF(AND(Inputs!$B$39&lt;&gt;"pvp",Inputs!$B$44&gt;0),(((R3000-1)*MIN((Skills!T15*(1+Inputs!$B$35/100)),(1/Q3000))+MIN((Skills!T15*(1+Inputs!$B$35/100)),MAX(0,Inputs!$B$44-((R3000-1)*(1/Q3000)))))/Inputs!$B$44),IF(Inputs!$B$39="pvp",MIN((Skills!T15*(1+Inputs!$B$35/100)),15)/15,MIN(1,(Skills!T15*(1+Inputs!$B$35/100))/(1/Q3000)))))+((C3001=TRUE)*F3001*IF(AND(Inputs!$B$39&lt;&gt;"pvp",Inputs!$B$44&gt;0),(((R3001-1)*MIN((Skills!T16*(1+Inputs!$B$35/100)),(1/Q3001))+MIN((Skills!T16*(1+Inputs!$B$35/100)),MAX(0,Inputs!$B$44-((R3001-1)*(1/Q3001)))))/Inputs!$B$44),IF(Inputs!$B$39="pvp",MIN((Skills!T16*(1+Inputs!$B$35/100)),15)/15,MIN(1,(Skills!T16*(1+Inputs!$B$35/100))/(1/Q3001)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2997)</f>
        <v/>
      </c>
      <c r="L2997">
        <f>K2997*(MIN(Inputs!$B$23+((C3007=TRUE)*(F3007-Calc!F22)),(Inputs!$B$24+((C3009=TRUE)*(F3009-Calc!F24))+(IF(ArtifactsInput!$M$15,CHOOSE(ArtifactsInput!$N$15+1,25,30,35,40,45,50)/100*(Inputs!$B$12-Inputs!$B$12),0))))/100+(Inputs!$B$24+((C3009=TRUE)*(F3009-Calc!F24))+(IF(ArtifactsInput!$M$15,CHOOSE(ArtifactsInput!$N$15+1,25,30,35,40,45,50)/100*(Inputs!$B$12-Inputs!$B$12),0)))/100)/2</f>
        <v/>
      </c>
      <c r="M2997">
        <f>L2997*(1+(Inputs!$B$11+0+B3019+(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2997">
        <f>L2997*(1-MIN((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2997*(MIN((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97">
        <f>(1-Summary!$B$11)*T2997+Summary!$B$11*V2997</f>
        <v/>
      </c>
      <c r="P2997">
        <f>IF(B3024=0,0,O2997/B3024)</f>
        <v/>
      </c>
      <c r="Q2997">
        <f>IFERROR(1/IF(Inputs!$B$39="pvp",15,MAX(0.1,Skills!D12-IF(TRUE=TRUE,3.0,0))),0)</f>
        <v/>
      </c>
      <c r="R2997">
        <f>IF(AND(Inputs!$B$39&lt;&gt;"pvp",Inputs!$B$44&gt;0),IF(MAX(0,Inputs!$B$44-B3021)&lt;=0,0,(INT(MAX(0,Inputs!$B$44-B3021)/IF(Inputs!$B$39="pvp",15,MAX(0.1,Skills!D12-IF(TRUE=TRUE,3.0,0))))+1)),0)</f>
        <v/>
      </c>
      <c r="S2997">
        <f>IFERROR(O2997/N2997,0)</f>
        <v/>
      </c>
      <c r="T2997">
        <f>IF(C2997,(H2997*N2997*IF(AND(Inputs!$B$39&lt;&gt;"pvp",Inputs!$B$44&gt;0),((Skills!G12*((R2997-1)*IF(Skills!H12&gt;0,INT(Skills!I12/Skills!H12+0.000000001),1)+IF(Skills!H12&gt;0,INT(MIN(Skills!I12,MAX(0,MAX(0,Inputs!$B$44-B3021)-((R2997-1)*IF(Inputs!$B$39="pvp",15,MAX(0.1,Skills!D12-IF(TRUE=TRUE,3.0,0))))))/Skills!H12+0.000000001),1)))/Inputs!$B$44),G2997*Q2997))*IF(Inputs!$B$39="pvp",1,1+(Inputs!$B$21+0+Skills!P12+((C3002=TRUE)*F3002*IF(AND(Inputs!$B$39&lt;&gt;"pvp",Inputs!$B$44&gt;0),(((R3002-1)*MIN((Skills!T17*(1+Inputs!$B$35/100)),(1/Q3002))+MIN((Skills!T17*(1+Inputs!$B$35/100)),MAX(0,Inputs!$B$44-((R3002-1)*(1/Q3002)))))/Inputs!$B$44),IF(Inputs!$B$39="pvp",MIN((Skills!T17*(1+Inputs!$B$35/100)),15)/15,MIN(1,(Skills!T17*(1+Inputs!$B$35/100))/(1/Q3002)))))+((C2990=TRUE)*IF(Inputs!$B$3&gt;=126,10*MIN(1,15*Q2990),0))+((C2999=TRUE)*IF(Inputs!$B$39="pvp",20,(1-Summary!$B$11)*(20)+Summary!$B$11*(0))*IF(AND(Inputs!$B$39&lt;&gt;"pvp",Inputs!$B$44&gt;0),(((R2999-1)*MIN((Skills!T14*(1+Inputs!$B$35/100)),(1/Q2999))+MIN((Skills!T14*(1+Inputs!$B$35/100)),MAX(0,Inputs!$B$44-((R2999-1)*(1/Q2999)))))/Inputs!$B$44),IF(Inputs!$B$39="pvp",MIN((Skills!T14*(1+Inputs!$B$35/100)),15)/15,MIN(1,(Skills!T14*(1+Inputs!$B$35/100))/(1/Q2999)))))+((C2998=TRUE)*IF(Inputs!$B$3&gt;=82,IF(Inputs!$B$39="pvp",20,(1-Summary!$B$11)*(20)+Summary!$B$11*(0)),0)*IF(AND(Inputs!$B$39&lt;&gt;"pvp",Inputs!$B$44&gt;0),(((R2998-1)*MIN((Skills!T13*(1+Inputs!$B$35/100)),(1/Q2998))+MIN((Skills!T13*(1+Inputs!$B$35/100)),MAX(0,Inputs!$B$44-((R2998-1)*(1/Q2998)))))/Inputs!$B$44),IF(Inputs!$B$39="pvp",MIN((Skills!T13*(1+Inputs!$B$35/100)),15)/15,MIN(1,(Skills!T13*(1+Inputs!$B$35/100))/(1/Q2998)))))+(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2997*(1-MIN(100,(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2997*(MIN(100,(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2997*(1-MIN(100,(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2997*(MIN(100,(Inputs!$B$10+0+B3014+(ArtifactsInput!$M$24-ArtifactsInput!$M$24)*CHOOSE(ArtifactsInput!$N$24+1,10,12,14,16,18,20)+(IF(AND(Inputs!$B$39&lt;&gt;"pvp",Inputs!$B$44=0),1,IF(IF(Inputs!$B$39="pvp",15,Inputs!$B$44)-(B3021)&lt;=0,1,MAX(0,IF(Inputs!$B$39="pvp",15,Inputs!$B$44)-MAX(5,B3021))/(IF(Inputs!$B$39="pvp",15,Inputs!$B$44)-(B3021))))*IF(AND(ArtifactsInput!$M$42,((Inputs!$B$10+0+B3014+(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2997">
        <f>IF(C2997,(H2997*N2997*IF(AND(Inputs!$B$39&lt;&gt;"pvp",Inputs!$B$44&gt;0),((Skills!G12*((R2997-1)*IF(Skills!H12&gt;0,INT(Skills!I12/Skills!H12+0.000000001),1)+IF(Skills!H12&gt;0,INT(MIN(Skills!I12,MAX(0,MAX(0,Inputs!$B$44-B3021)-((R2997-1)*IF(Inputs!$B$39="pvp",15,MAX(0.1,Skills!D12-IF(TRUE=TRUE,3.0,0))))))/Skills!H12+0.000000001),1)))/Inputs!$B$44),G2997*Q2997))*IF(Inputs!$B$39="pvp",1,(1+(Inputs!$B$22+Skills!Q12+((C3002=TRUE)*F3002*IF(AND(Inputs!$B$39&lt;&gt;"pvp",Inputs!$B$44&gt;0),(((R3002-1)*MIN((Skills!T17*(1+Inputs!$B$35/100)),(1/Q3002))+MIN((Skills!T17*(1+Inputs!$B$35/100)),MAX(0,Inputs!$B$44-((R3002-1)*(1/Q3002)))))/Inputs!$B$44),IF(Inputs!$B$39="pvp",MIN((Skills!T17*(1+Inputs!$B$35/100)),15)/15,MIN(1,(Skills!T17*(1+Inputs!$B$35/100))/(1/Q3002)))))+((C2990=TRUE)*IF(Inputs!$B$3&gt;=126,10*MIN(1,15*Q2990),0))+((C2999=TRUE)*IF(Inputs!$B$39="pvp",20,(1-Summary!$B$11)*(20)+Summary!$B$11*(0))*IF(AND(Inputs!$B$39&lt;&gt;"pvp",Inputs!$B$44&gt;0),(((R2999-1)*MIN((Skills!T14*(1+Inputs!$B$35/100)),(1/Q2999))+MIN((Skills!T14*(1+Inputs!$B$35/100)),MAX(0,Inputs!$B$44-((R2999-1)*(1/Q2999)))))/Inputs!$B$44),IF(Inputs!$B$39="pvp",MIN((Skills!T14*(1+Inputs!$B$35/100)),15)/15,MIN(1,(Skills!T14*(1+Inputs!$B$35/100))/(1/Q2999)))))+((C2998=TRUE)*IF(Inputs!$B$3&gt;=82,IF(Inputs!$B$39="pvp",20,(1-Summary!$B$11)*(20)+Summary!$B$11*(0)),0)*IF(AND(Inputs!$B$39&lt;&gt;"pvp",Inputs!$B$44&gt;0),(((R2998-1)*MIN((Skills!T13*(1+Inputs!$B$35/100)),(1/Q2998))+MIN((Skills!T13*(1+Inputs!$B$35/100)),MAX(0,Inputs!$B$44-((R2998-1)*(1/Q2998)))))/Inputs!$B$44),IF(Inputs!$B$39="pvp",MIN((Skills!T13*(1+Inputs!$B$35/100)),15)/15,MIN(1,(Skills!T13*(1+Inputs!$B$35/100))/(1/Q2998)))))+(IF(AND(ArtifactsInput!$M$35,Inputs!$B$4&lt;&gt;"Chapter Hunt"),CHOOSE(ArtifactsInput!$N$35+1,15,18,21,24,27,30)*(1-EXP(-(0.2*B3016)*5)),0)+IF(AND(ArtifactsInput!$M$22,Inputs!$B$4&lt;&gt;"Chapter Hunt"),CHOOSE(ArtifactsInput!$N$22+1,10,12,14,16,18,20)*((0*(((0.15*B3016*5))^0/1)+1*(((0.15*B3016*5))^1/1)+2*(((0.15*B3016*5))^2/2)+3*(((0.15*B3016*5))^3/6)+4*(((0.15*B3016*5))^4/24)+5*(((0.15*B3016*5))^5/120))/((((0.15*B3016*5))^0/1)+(((0.15*B3016*5))^1/1)+(((0.15*B3016*5))^2/2)+(((0.15*B3016*5))^3/6)+(((0.15*B3016*5))^4/24)+(((0.15*B3016*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98">
      <c r="A2998">
        <f>Skills!A13</f>
        <v/>
      </c>
      <c r="B2998">
        <f>Skills!B13</f>
        <v/>
      </c>
      <c r="C2998">
        <f>Inputs!$B$3&gt;=69</f>
        <v/>
      </c>
      <c r="D2998">
        <f>IF(Skills!C13=1,60+Inputs!$B$26+Inputs!$B$30,IF(Skills!C13=2,90+Inputs!$B$27+Inputs!$B$30,IF(Skills!C13=3,120+Inputs!$B$28+Inputs!$B$30,MAX(0,(Inputs!$B$3-100)*3)+Inputs!$B$29+Inputs!$B$30)))</f>
        <v/>
      </c>
      <c r="E2998">
        <f>INDEX(FactorTable!$B$2:$Y$301, MATCH(ROUND(MIN(300,MAX(1,D2998)),0), FactorTable!$A$2:$A$301,0), Skills!M13+1)</f>
        <v/>
      </c>
      <c r="F2998">
        <f>IF(Skills!N13=TRUE,(Skills!L13/10)*(E2998/1000),Skills!L13/10)+Skills!O13</f>
        <v/>
      </c>
      <c r="G2998">
        <f>Skills!G13*IF(Skills!H13&gt;0,INT(IF(Inputs!$B$39="pvp",MIN(Skills!I13,15),Skills!I13)/Skills!H13+0.000000001),1)</f>
        <v/>
      </c>
      <c r="H2998">
        <f>1-(1-Skills!J13/100)^Skills!K13</f>
        <v/>
      </c>
      <c r="I2998" t="inlineStr">
        <is>
          <t>1</t>
        </is>
      </c>
      <c r="J2998" t="inlineStr"/>
      <c r="K2998" t="inlineStr"/>
      <c r="L2998" t="inlineStr"/>
      <c r="M2998" t="inlineStr"/>
      <c r="N2998" t="inlineStr"/>
      <c r="O2998">
        <f>(1-Summary!$B$11)*T2998+Summary!$B$11*V2998</f>
        <v/>
      </c>
      <c r="P2998">
        <f>IF(B3024=0,0,O2998/B3024)</f>
        <v/>
      </c>
      <c r="Q2998">
        <f>IFERROR(1/IF(Inputs!$B$39="pvp",15,MAX(0.1,Skills!D13-IF(TRUE=TRUE,3.0,0))),0)</f>
        <v/>
      </c>
      <c r="R2998">
        <f>IF(AND(Inputs!$B$39&lt;&gt;"pvp",Inputs!$B$44&gt;0),IF(Inputs!$B$44&lt;=0,0,(INT(Inputs!$B$44/IF(Inputs!$B$39="pvp",15,MAX(0.1,Skills!D13-IF(TRUE=TRUE,3.0,0))))+1)),0)</f>
        <v/>
      </c>
      <c r="S2998">
        <f>IFERROR(O2998/N2998,0)</f>
        <v/>
      </c>
      <c r="T2998" t="n">
        <v>0</v>
      </c>
      <c r="V2998" t="n">
        <v>0</v>
      </c>
    </row>
    <row r="2999">
      <c r="A2999">
        <f>Skills!A14</f>
        <v/>
      </c>
      <c r="B2999">
        <f>Skills!B14</f>
        <v/>
      </c>
      <c r="C2999">
        <f>Inputs!$B$3&gt;=115</f>
        <v/>
      </c>
      <c r="D2999">
        <f>IF(Skills!C14=1,60+Inputs!$B$26+Inputs!$B$30,IF(Skills!C14=2,90+Inputs!$B$27+Inputs!$B$30,IF(Skills!C14=3,120+Inputs!$B$28+Inputs!$B$30,MAX(0,(Inputs!$B$3-100)*3)+Inputs!$B$29+Inputs!$B$30)))</f>
        <v/>
      </c>
      <c r="E2999">
        <f>INDEX(FactorTable!$B$2:$Y$301, MATCH(ROUND(MIN(300,MAX(1,D2999)),0), FactorTable!$A$2:$A$301,0), Skills!M14+1)</f>
        <v/>
      </c>
      <c r="F2999">
        <f>IF(Skills!N14=TRUE,(Skills!L14/10)*(E2999/1000),Skills!L14/10)+Skills!O14</f>
        <v/>
      </c>
      <c r="G2999">
        <f>Skills!G14*IF(Skills!H14&gt;0,INT(IF(Inputs!$B$39="pvp",MIN(Skills!I14,15),Skills!I14)/Skills!H14+0.000000001),1)</f>
        <v/>
      </c>
      <c r="H2999">
        <f>1-(1-Skills!J14/100)^Skills!K14</f>
        <v/>
      </c>
      <c r="I2999" t="inlineStr">
        <is>
          <t>1</t>
        </is>
      </c>
      <c r="J2999" t="inlineStr"/>
      <c r="K2999" t="inlineStr"/>
      <c r="L2999" t="inlineStr"/>
      <c r="M2999" t="inlineStr"/>
      <c r="N2999" t="inlineStr"/>
      <c r="O2999">
        <f>(1-Summary!$B$11)*T2999+Summary!$B$11*V2999</f>
        <v/>
      </c>
      <c r="P2999">
        <f>IF(B3024=0,0,O2999/B3024)</f>
        <v/>
      </c>
      <c r="Q2999">
        <f>IFERROR(1/IF(Inputs!$B$39="pvp",15,MAX(0.1,Skills!D14-IF(TRUE=TRUE,3.0,0))),0)</f>
        <v/>
      </c>
      <c r="R2999">
        <f>IF(AND(Inputs!$B$39&lt;&gt;"pvp",Inputs!$B$44&gt;0),IF(Inputs!$B$44&lt;=0,0,(INT(Inputs!$B$44/IF(Inputs!$B$39="pvp",15,MAX(0.1,Skills!D14-IF(TRUE=TRUE,3.0,0))))+1)),0)</f>
        <v/>
      </c>
      <c r="S2999">
        <f>IFERROR(O2999/N2999,0)</f>
        <v/>
      </c>
      <c r="T2999" t="n">
        <v>0</v>
      </c>
      <c r="V2999" t="n">
        <v>0</v>
      </c>
    </row>
    <row r="3000">
      <c r="A3000">
        <f>Skills!A15</f>
        <v/>
      </c>
      <c r="B3000">
        <f>Skills!B15</f>
        <v/>
      </c>
      <c r="C3000">
        <f>Inputs!$B$3&gt;=66</f>
        <v/>
      </c>
      <c r="D3000">
        <f>IF(Skills!C15=1,60+Inputs!$B$26+Inputs!$B$30,IF(Skills!C15=2,90+Inputs!$B$27+Inputs!$B$30,IF(Skills!C15=3,120+Inputs!$B$28+Inputs!$B$30,MAX(0,(Inputs!$B$3-100)*3)+Inputs!$B$29+Inputs!$B$30)))</f>
        <v/>
      </c>
      <c r="E3000">
        <f>INDEX(FactorTable!$B$2:$Y$301, MATCH(ROUND(MIN(300,MAX(1,D3000)),0), FactorTable!$A$2:$A$301,0), Skills!M15+1)</f>
        <v/>
      </c>
      <c r="F3000">
        <f>IF(Skills!N15=TRUE,(Skills!L15/10)*(E3000/1000),Skills!L15/10)+Skills!O15</f>
        <v/>
      </c>
      <c r="G3000">
        <f>Skills!G15*IF(Skills!H15&gt;0,INT(IF(Inputs!$B$39="pvp",MIN(Skills!I15,15),Skills!I15)/Skills!H15+0.000000001),1)</f>
        <v/>
      </c>
      <c r="H3000">
        <f>1-(1-Skills!J15/100)^Skills!K15</f>
        <v/>
      </c>
      <c r="I3000" t="inlineStr">
        <is>
          <t>1</t>
        </is>
      </c>
      <c r="J3000" t="inlineStr"/>
      <c r="K3000" t="inlineStr"/>
      <c r="L3000" t="inlineStr"/>
      <c r="M3000" t="inlineStr"/>
      <c r="N3000" t="inlineStr"/>
      <c r="O3000">
        <f>(1-Summary!$B$11)*T3000+Summary!$B$11*V3000</f>
        <v/>
      </c>
      <c r="P3000">
        <f>IF(B3024=0,0,O3000/B3024)</f>
        <v/>
      </c>
      <c r="Q3000">
        <f>IFERROR(1/IF(Inputs!$B$39="pvp",15,MAX(0.1,Skills!D15-IF(TRUE=TRUE,3.0,0))),0)</f>
        <v/>
      </c>
      <c r="R3000">
        <f>IF(AND(Inputs!$B$39&lt;&gt;"pvp",Inputs!$B$44&gt;0),IF(Inputs!$B$44&lt;=0,0,(INT(Inputs!$B$44/IF(Inputs!$B$39="pvp",15,MAX(0.1,Skills!D15-IF(TRUE=TRUE,3.0,0))))+1)),0)</f>
        <v/>
      </c>
      <c r="S3000">
        <f>IFERROR(O3000/N3000,0)</f>
        <v/>
      </c>
      <c r="T3000" t="n">
        <v>0</v>
      </c>
      <c r="V3000" t="n">
        <v>0</v>
      </c>
    </row>
    <row r="3001">
      <c r="A3001">
        <f>Skills!A16</f>
        <v/>
      </c>
      <c r="B3001">
        <f>Skills!B16</f>
        <v/>
      </c>
      <c r="C3001">
        <f>Inputs!$B$3&gt;=45</f>
        <v/>
      </c>
      <c r="D3001">
        <f>IF(Skills!C16=1,60+Inputs!$B$26+Inputs!$B$30,IF(Skills!C16=2,90+Inputs!$B$27+Inputs!$B$30,IF(Skills!C16=3,120+Inputs!$B$28+Inputs!$B$30,MAX(0,(Inputs!$B$3-100)*3)+Inputs!$B$29+Inputs!$B$30)))</f>
        <v/>
      </c>
      <c r="E3001">
        <f>INDEX(FactorTable!$B$2:$Y$301, MATCH(ROUND(MIN(300,MAX(1,D3001)),0), FactorTable!$A$2:$A$301,0), Skills!M16+1)</f>
        <v/>
      </c>
      <c r="F3001">
        <f>IF(Skills!N16=TRUE,(Skills!L16/10)*(E3001/1000),Skills!L16/10)+Skills!O16</f>
        <v/>
      </c>
      <c r="G3001">
        <f>Skills!G16*IF(Skills!H16&gt;0,INT(IF(Inputs!$B$39="pvp",MIN(Skills!I16,15),Skills!I16)/Skills!H16+0.000000001),1)</f>
        <v/>
      </c>
      <c r="H3001">
        <f>1-(1-Skills!J16/100)^Skills!K16</f>
        <v/>
      </c>
      <c r="I3001" t="inlineStr">
        <is>
          <t>1</t>
        </is>
      </c>
      <c r="J3001" t="inlineStr"/>
      <c r="K3001" t="inlineStr"/>
      <c r="L3001" t="inlineStr"/>
      <c r="M3001" t="inlineStr"/>
      <c r="N3001" t="inlineStr"/>
      <c r="O3001">
        <f>(1-Summary!$B$11)*T3001+Summary!$B$11*V3001</f>
        <v/>
      </c>
      <c r="P3001">
        <f>IF(B3024=0,0,O3001/B3024)</f>
        <v/>
      </c>
      <c r="Q3001">
        <f>IFERROR(1/IF(Inputs!$B$39="pvp",15,MAX(0.1,Skills!D16-IF(TRUE=TRUE,3.0,0))),0)</f>
        <v/>
      </c>
      <c r="R3001">
        <f>IF(AND(Inputs!$B$39&lt;&gt;"pvp",Inputs!$B$44&gt;0),IF(Inputs!$B$44&lt;=0,0,(INT(Inputs!$B$44/IF(Inputs!$B$39="pvp",15,MAX(0.1,Skills!D16-IF(TRUE=TRUE,3.0,0))))+1)),0)</f>
        <v/>
      </c>
      <c r="S3001">
        <f>IFERROR(O3001/N3001,0)</f>
        <v/>
      </c>
      <c r="T3001" t="n">
        <v>0</v>
      </c>
      <c r="V3001" t="n">
        <v>0</v>
      </c>
    </row>
    <row r="3002">
      <c r="A3002">
        <f>Skills!A17</f>
        <v/>
      </c>
      <c r="B3002">
        <f>Skills!B17</f>
        <v/>
      </c>
      <c r="C3002">
        <f>Inputs!$B$3&gt;=35</f>
        <v/>
      </c>
      <c r="D3002">
        <f>IF(Skills!C17=1,60+Inputs!$B$26+Inputs!$B$30,IF(Skills!C17=2,90+Inputs!$B$27+Inputs!$B$30,IF(Skills!C17=3,120+Inputs!$B$28+Inputs!$B$30,MAX(0,(Inputs!$B$3-100)*3)+Inputs!$B$29+Inputs!$B$30)))</f>
        <v/>
      </c>
      <c r="E3002">
        <f>INDEX(FactorTable!$B$2:$Y$301, MATCH(ROUND(MIN(300,MAX(1,D3002)),0), FactorTable!$A$2:$A$301,0), Skills!M17+1)</f>
        <v/>
      </c>
      <c r="F3002">
        <f>IF(Skills!N17=TRUE,(Skills!L17/10)*(E3002/1000),Skills!L17/10)+Skills!O17</f>
        <v/>
      </c>
      <c r="G3002">
        <f>Skills!G17*IF(Skills!H17&gt;0,INT(IF(Inputs!$B$39="pvp",MIN(Skills!I17,15),Skills!I17)/Skills!H17+0.000000001),1)</f>
        <v/>
      </c>
      <c r="H3002">
        <f>1-(1-Skills!J17/100)^Skills!K17</f>
        <v/>
      </c>
      <c r="I3002" t="inlineStr">
        <is>
          <t>1</t>
        </is>
      </c>
      <c r="J3002" t="inlineStr"/>
      <c r="K3002" t="inlineStr"/>
      <c r="L3002" t="inlineStr"/>
      <c r="M3002" t="inlineStr"/>
      <c r="N3002" t="inlineStr"/>
      <c r="O3002">
        <f>(1-Summary!$B$11)*T3002+Summary!$B$11*V3002</f>
        <v/>
      </c>
      <c r="P3002">
        <f>IF(B3024=0,0,O3002/B3024)</f>
        <v/>
      </c>
      <c r="Q3002">
        <f>IFERROR(1/IF(Inputs!$B$39="pvp",15,MAX(0.1,Skills!D17-IF(TRUE=TRUE,3.0,0))),0)</f>
        <v/>
      </c>
      <c r="R3002">
        <f>IF(AND(Inputs!$B$39&lt;&gt;"pvp",Inputs!$B$44&gt;0),IF(Inputs!$B$44&lt;=0,0,(INT(Inputs!$B$44/IF(Inputs!$B$39="pvp",15,MAX(0.1,Skills!D17-IF(TRUE=TRUE,3.0,0))))+1)),0)</f>
        <v/>
      </c>
      <c r="S3002">
        <f>IFERROR(O3002/N3002,0)</f>
        <v/>
      </c>
      <c r="T3002" t="n">
        <v>0</v>
      </c>
      <c r="V3002" t="n">
        <v>0</v>
      </c>
    </row>
    <row r="3003">
      <c r="A3003">
        <f>Skills!A18</f>
        <v/>
      </c>
      <c r="B3003">
        <f>Skills!B18</f>
        <v/>
      </c>
      <c r="C3003">
        <f>Inputs!$B$3&gt;=72</f>
        <v/>
      </c>
      <c r="D3003">
        <f>IF(Skills!C18=1,60+Inputs!$B$26+Inputs!$B$30,IF(Skills!C18=2,90+Inputs!$B$27+Inputs!$B$30,IF(Skills!C18=3,120+Inputs!$B$28+Inputs!$B$30,MAX(0,(Inputs!$B$3-100)*3)+Inputs!$B$29+Inputs!$B$30)))</f>
        <v/>
      </c>
      <c r="E3003">
        <f>INDEX(FactorTable!$B$2:$Y$301, MATCH(ROUND(MIN(300,MAX(1,D3003)),0), FactorTable!$A$2:$A$301,0), Skills!M18+1)</f>
        <v/>
      </c>
      <c r="F3003">
        <f>IF(Skills!N18=TRUE,(Skills!L18/10)*(E3003/1000),Skills!L18/10)+Skills!O18</f>
        <v/>
      </c>
      <c r="G3003">
        <f>Skills!G18*IF(Skills!H18&gt;0,INT(IF(Inputs!$B$39="pvp",MIN(Skills!I18,15),Skills!I18)/Skills!H18+0.000000001),1)</f>
        <v/>
      </c>
      <c r="H3003">
        <f>1-(1-Skills!J18/100)^Skills!K18</f>
        <v/>
      </c>
      <c r="I3003" t="inlineStr">
        <is>
          <t>1</t>
        </is>
      </c>
      <c r="J3003" t="inlineStr"/>
      <c r="K3003" t="inlineStr"/>
      <c r="L3003" t="inlineStr"/>
      <c r="M3003" t="inlineStr"/>
      <c r="N3003" t="inlineStr"/>
      <c r="O3003">
        <f>(1-Summary!$B$11)*T3003+Summary!$B$11*V3003</f>
        <v/>
      </c>
      <c r="P3003">
        <f>IF(B3024=0,0,O3003/B3024)</f>
        <v/>
      </c>
      <c r="Q3003">
        <f>IFERROR(1/IF(Inputs!$B$39="pvp",15,MAX(0.1,Skills!D18-IF(TRUE=TRUE,3.0,0))),0)</f>
        <v/>
      </c>
      <c r="R3003">
        <f>IF(AND(Inputs!$B$39&lt;&gt;"pvp",Inputs!$B$44&gt;0),IF(Inputs!$B$44&lt;=0,0,(INT(Inputs!$B$44/IF(Inputs!$B$39="pvp",15,MAX(0.1,Skills!D18-IF(TRUE=TRUE,3.0,0))))+1)),0)</f>
        <v/>
      </c>
      <c r="S3003">
        <f>IFERROR(O3003/N3003,0)</f>
        <v/>
      </c>
      <c r="T3003" t="n">
        <v>0</v>
      </c>
      <c r="V3003" t="n">
        <v>0</v>
      </c>
    </row>
    <row r="3004">
      <c r="A3004">
        <f>Skills!A19</f>
        <v/>
      </c>
      <c r="B3004">
        <f>Skills!B19</f>
        <v/>
      </c>
      <c r="C3004">
        <f>Inputs!$B$3&gt;=72</f>
        <v/>
      </c>
      <c r="D3004">
        <f>IF(Skills!C19=1,60+Inputs!$B$26+Inputs!$B$30,IF(Skills!C19=2,90+Inputs!$B$27+Inputs!$B$30,IF(Skills!C19=3,120+Inputs!$B$28+Inputs!$B$30,MAX(0,(Inputs!$B$3-100)*3)+Inputs!$B$29+Inputs!$B$30)))</f>
        <v/>
      </c>
      <c r="E3004">
        <f>INDEX(FactorTable!$B$2:$Y$301, MATCH(ROUND(MIN(300,MAX(1,D3004)),0), FactorTable!$A$2:$A$301,0), Skills!M19+1)</f>
        <v/>
      </c>
      <c r="F3004">
        <f>IF(Skills!N19=TRUE,(Skills!L19/10)*(E3004/1000),Skills!L19/10)+Skills!O19</f>
        <v/>
      </c>
      <c r="G3004">
        <f>Skills!G19*IF(Skills!H19&gt;0,INT(IF(Inputs!$B$39="pvp",MIN(Skills!I19,15),Skills!I19)/Skills!H19+0.000000001),1)</f>
        <v/>
      </c>
      <c r="H3004">
        <f>1-(1-Skills!J19/100)^Skills!K19</f>
        <v/>
      </c>
      <c r="I3004" t="inlineStr">
        <is>
          <t>1</t>
        </is>
      </c>
      <c r="J3004" t="inlineStr"/>
      <c r="K3004" t="inlineStr"/>
      <c r="L3004" t="inlineStr"/>
      <c r="M3004" t="inlineStr"/>
      <c r="N3004" t="inlineStr"/>
      <c r="O3004">
        <f>(1-Summary!$B$11)*T3004+Summary!$B$11*V3004</f>
        <v/>
      </c>
      <c r="P3004">
        <f>IF(B3024=0,0,O3004/B3024)</f>
        <v/>
      </c>
      <c r="Q3004">
        <f>IFERROR(1/IF(Inputs!$B$39="pvp",15,MAX(0.1,Skills!D19-IF(TRUE=TRUE,3.0,0))),0)</f>
        <v/>
      </c>
      <c r="R3004">
        <f>IF(AND(Inputs!$B$39&lt;&gt;"pvp",Inputs!$B$44&gt;0),IF(Inputs!$B$44&lt;=0,0,(INT(Inputs!$B$44/IF(Inputs!$B$39="pvp",15,MAX(0.1,Skills!D19-IF(TRUE=TRUE,3.0,0))))+1)),0)</f>
        <v/>
      </c>
      <c r="S3004">
        <f>IFERROR(O3004/N3004,0)</f>
        <v/>
      </c>
      <c r="T3004" t="n">
        <v>0</v>
      </c>
      <c r="V3004" t="n">
        <v>0</v>
      </c>
    </row>
    <row r="3005">
      <c r="A3005">
        <f>Skills!A20</f>
        <v/>
      </c>
      <c r="B3005">
        <f>Skills!B20</f>
        <v/>
      </c>
      <c r="C3005">
        <f>TRUE</f>
        <v/>
      </c>
      <c r="D3005">
        <f>IF(Skills!C20=1,60+Inputs!$B$26+Inputs!$B$30,IF(Skills!C20=2,90+Inputs!$B$27+Inputs!$B$30,IF(Skills!C20=3,120+Inputs!$B$28+Inputs!$B$30,MAX(0,(Inputs!$B$3-100)*3)+Inputs!$B$29+Inputs!$B$30)))</f>
        <v/>
      </c>
      <c r="E3005">
        <f>INDEX(FactorTable!$B$2:$Y$301, MATCH(ROUND(MIN(300,MAX(1,D3005)),0), FactorTable!$A$2:$A$301,0), Skills!M20+1)</f>
        <v/>
      </c>
      <c r="F3005">
        <f>IF(Skills!N20=TRUE,(Skills!L20/10)*(E3005/1000),Skills!L20/10)+Skills!O20</f>
        <v/>
      </c>
      <c r="G3005">
        <f>Skills!G20*IF(Skills!H20&gt;0,INT(IF(Inputs!$B$39="pvp",MIN(Skills!I20,15),Skills!I20)/Skills!H20+0.000000001),1)</f>
        <v/>
      </c>
      <c r="H3005">
        <f>1-(1-Skills!J20/100)^Skills!K20</f>
        <v/>
      </c>
      <c r="I3005" t="inlineStr">
        <is>
          <t>1</t>
        </is>
      </c>
      <c r="J3005" t="inlineStr"/>
      <c r="K3005" t="inlineStr"/>
      <c r="L3005" t="inlineStr"/>
      <c r="M3005" t="inlineStr"/>
      <c r="N3005" t="inlineStr"/>
      <c r="O3005">
        <f>(1-Summary!$B$11)*T3005+Summary!$B$11*V3005</f>
        <v/>
      </c>
      <c r="P3005">
        <f>IF(B3024=0,0,O3005/B3024)</f>
        <v/>
      </c>
      <c r="Q3005">
        <f>IFERROR(1/IF(Inputs!$B$39="pvp",15,MAX(0.1,Skills!D20-IF(TRUE=TRUE,3.0,0))),0)</f>
        <v/>
      </c>
      <c r="R3005">
        <f>IF(AND(Inputs!$B$39&lt;&gt;"pvp",Inputs!$B$44&gt;0),IF(Inputs!$B$44&lt;=0,0,(INT(Inputs!$B$44/IF(Inputs!$B$39="pvp",15,MAX(0.1,Skills!D20-IF(TRUE=TRUE,3.0,0))))+1)),0)</f>
        <v/>
      </c>
      <c r="S3005">
        <f>IFERROR(O3005/N3005,0)</f>
        <v/>
      </c>
      <c r="T3005" t="n">
        <v>0</v>
      </c>
      <c r="V3005" t="n">
        <v>0</v>
      </c>
    </row>
    <row r="3006">
      <c r="A3006">
        <f>Skills!A21</f>
        <v/>
      </c>
      <c r="B3006">
        <f>Skills!B21</f>
        <v/>
      </c>
      <c r="C3006">
        <f>Inputs!$B$3&gt;=33</f>
        <v/>
      </c>
      <c r="D3006">
        <f>IF(Skills!C21=1,60+Inputs!$B$26+Inputs!$B$30,IF(Skills!C21=2,90+Inputs!$B$27+Inputs!$B$30,IF(Skills!C21=3,120+Inputs!$B$28+Inputs!$B$30,MAX(0,(Inputs!$B$3-100)*3)+Inputs!$B$29+Inputs!$B$30)))</f>
        <v/>
      </c>
      <c r="E3006">
        <f>INDEX(FactorTable!$B$2:$Y$301, MATCH(ROUND(MIN(300,MAX(1,D3006)),0), FactorTable!$A$2:$A$301,0), Skills!M21+1)</f>
        <v/>
      </c>
      <c r="F3006">
        <f>IF(Skills!N21=TRUE,(Skills!L21/10)*(E3006/1000),Skills!L21/10)+Skills!O21</f>
        <v/>
      </c>
      <c r="G3006">
        <f>Skills!G21*IF(Skills!H21&gt;0,INT(IF(Inputs!$B$39="pvp",MIN(Skills!I21,15),Skills!I21)/Skills!H21+0.000000001),1)</f>
        <v/>
      </c>
      <c r="H3006">
        <f>1-(1-Skills!J21/100)^Skills!K21</f>
        <v/>
      </c>
      <c r="I3006" t="inlineStr">
        <is>
          <t>1</t>
        </is>
      </c>
      <c r="J3006" t="inlineStr"/>
      <c r="K3006" t="inlineStr"/>
      <c r="L3006" t="inlineStr"/>
      <c r="M3006" t="inlineStr"/>
      <c r="N3006" t="inlineStr"/>
      <c r="O3006">
        <f>(1-Summary!$B$11)*T3006+Summary!$B$11*V3006</f>
        <v/>
      </c>
      <c r="P3006">
        <f>IF(B3024=0,0,O3006/B3024)</f>
        <v/>
      </c>
      <c r="Q3006" t="n">
        <v>0</v>
      </c>
      <c r="R3006" t="n">
        <v>0</v>
      </c>
      <c r="S3006">
        <f>IFERROR(O3006/N3006,0)</f>
        <v/>
      </c>
      <c r="T3006" t="n">
        <v>0</v>
      </c>
      <c r="V3006" t="n">
        <v>0</v>
      </c>
    </row>
    <row r="3007">
      <c r="A3007">
        <f>Skills!A22</f>
        <v/>
      </c>
      <c r="B3007">
        <f>Skills!B22</f>
        <v/>
      </c>
      <c r="C3007">
        <f>Inputs!$B$3&gt;=43</f>
        <v/>
      </c>
      <c r="D3007">
        <f>IF(Skills!C22=1,60+Inputs!$B$26+Inputs!$B$30,IF(Skills!C22=2,90+Inputs!$B$27+Inputs!$B$30,IF(Skills!C22=3,120+Inputs!$B$28+Inputs!$B$30,MAX(0,(Inputs!$B$3-100)*3)+Inputs!$B$29+Inputs!$B$30)))</f>
        <v/>
      </c>
      <c r="E3007">
        <f>INDEX(FactorTable!$B$2:$Y$301, MATCH(ROUND(MIN(300,MAX(1,D3007)),0), FactorTable!$A$2:$A$301,0), Skills!M22+1)</f>
        <v/>
      </c>
      <c r="F3007">
        <f>IF(Skills!N22=TRUE,(Skills!L22/10)*(E3007/1000),Skills!L22/10)+Skills!O22</f>
        <v/>
      </c>
      <c r="G3007">
        <f>Skills!G22*IF(Skills!H22&gt;0,INT(IF(Inputs!$B$39="pvp",MIN(Skills!I22,15),Skills!I22)/Skills!H22+0.000000001),1)</f>
        <v/>
      </c>
      <c r="H3007">
        <f>1-(1-Skills!J22/100)^Skills!K22</f>
        <v/>
      </c>
      <c r="I3007" t="inlineStr">
        <is>
          <t>1</t>
        </is>
      </c>
      <c r="J3007" t="inlineStr"/>
      <c r="K3007" t="inlineStr"/>
      <c r="L3007" t="inlineStr"/>
      <c r="M3007" t="inlineStr"/>
      <c r="N3007" t="inlineStr"/>
      <c r="O3007">
        <f>(1-Summary!$B$11)*T3007+Summary!$B$11*V3007</f>
        <v/>
      </c>
      <c r="P3007">
        <f>IF(B3024=0,0,O3007/B3024)</f>
        <v/>
      </c>
      <c r="Q3007" t="n">
        <v>0</v>
      </c>
      <c r="R3007" t="n">
        <v>0</v>
      </c>
      <c r="S3007">
        <f>IFERROR(O3007/N3007,0)</f>
        <v/>
      </c>
      <c r="T3007" t="n">
        <v>0</v>
      </c>
      <c r="V3007" t="n">
        <v>0</v>
      </c>
    </row>
    <row r="3008">
      <c r="A3008">
        <f>Skills!A23</f>
        <v/>
      </c>
      <c r="B3008">
        <f>Skills!B23</f>
        <v/>
      </c>
      <c r="C3008">
        <f>Inputs!$B$3&gt;=120</f>
        <v/>
      </c>
      <c r="D3008">
        <f>IF(Skills!C23=1,60+Inputs!$B$26+Inputs!$B$30,IF(Skills!C23=2,90+Inputs!$B$27+Inputs!$B$30,IF(Skills!C23=3,120+Inputs!$B$28+Inputs!$B$30,MAX(0,(Inputs!$B$3-100)*3)+Inputs!$B$29+Inputs!$B$30)))</f>
        <v/>
      </c>
      <c r="E3008">
        <f>INDEX(FactorTable!$B$2:$Y$301, MATCH(ROUND(MIN(300,MAX(1,D3008)),0), FactorTable!$A$2:$A$301,0), Skills!M23+1)</f>
        <v/>
      </c>
      <c r="F3008">
        <f>IF(Skills!N23=TRUE,(Skills!L23/10)*(E3008/1000),Skills!L23/10)+Skills!O23</f>
        <v/>
      </c>
      <c r="G3008">
        <f>Skills!G23*IF(Skills!H23&gt;0,INT(IF(Inputs!$B$39="pvp",MIN(Skills!I23,15),Skills!I23)/Skills!H23+0.000000001),1)</f>
        <v/>
      </c>
      <c r="H3008">
        <f>1-(1-Skills!J23/100)^Skills!K23</f>
        <v/>
      </c>
      <c r="I3008" t="inlineStr">
        <is>
          <t>1</t>
        </is>
      </c>
      <c r="J3008" t="inlineStr"/>
      <c r="K3008" t="inlineStr"/>
      <c r="L3008" t="inlineStr"/>
      <c r="M3008" t="inlineStr"/>
      <c r="N3008" t="inlineStr"/>
      <c r="O3008">
        <f>(1-Summary!$B$11)*T3008+Summary!$B$11*V3008</f>
        <v/>
      </c>
      <c r="P3008">
        <f>IF(B3024=0,0,O3008/B3024)</f>
        <v/>
      </c>
      <c r="Q3008" t="n">
        <v>0</v>
      </c>
      <c r="R3008" t="n">
        <v>0</v>
      </c>
      <c r="S3008">
        <f>IFERROR(O3008/N3008,0)</f>
        <v/>
      </c>
      <c r="T3008" t="n">
        <v>0</v>
      </c>
      <c r="V3008" t="n">
        <v>0</v>
      </c>
    </row>
    <row r="3009">
      <c r="A3009">
        <f>Skills!A24</f>
        <v/>
      </c>
      <c r="B3009">
        <f>Skills!B24</f>
        <v/>
      </c>
      <c r="C3009">
        <f>Inputs!$B$3&gt;=120</f>
        <v/>
      </c>
      <c r="D3009">
        <f>IF(Skills!C24=1,60+Inputs!$B$26+Inputs!$B$30,IF(Skills!C24=2,90+Inputs!$B$27+Inputs!$B$30,IF(Skills!C24=3,120+Inputs!$B$28+Inputs!$B$30,MAX(0,(Inputs!$B$3-100)*3)+Inputs!$B$29+Inputs!$B$30)))</f>
        <v/>
      </c>
      <c r="E3009">
        <f>INDEX(FactorTable!$B$2:$Y$301, MATCH(ROUND(MIN(300,MAX(1,D3009)),0), FactorTable!$A$2:$A$301,0), Skills!M24+1)</f>
        <v/>
      </c>
      <c r="F3009">
        <f>IF(Skills!N24=TRUE,(Skills!L24/10)*(E3009/1000),Skills!L24/10)+Skills!O24</f>
        <v/>
      </c>
      <c r="G3009">
        <f>Skills!G24*IF(Skills!H24&gt;0,INT(IF(Inputs!$B$39="pvp",MIN(Skills!I24,15),Skills!I24)/Skills!H24+0.000000001),1)</f>
        <v/>
      </c>
      <c r="H3009">
        <f>1-(1-Skills!J24/100)^Skills!K24</f>
        <v/>
      </c>
      <c r="I3009" t="inlineStr">
        <is>
          <t>1</t>
        </is>
      </c>
      <c r="J3009" t="inlineStr"/>
      <c r="K3009" t="inlineStr"/>
      <c r="L3009" t="inlineStr"/>
      <c r="M3009" t="inlineStr"/>
      <c r="N3009" t="inlineStr"/>
      <c r="O3009">
        <f>(1-Summary!$B$11)*T3009+Summary!$B$11*V3009</f>
        <v/>
      </c>
      <c r="P3009">
        <f>IF(B3024=0,0,O3009/B3024)</f>
        <v/>
      </c>
      <c r="Q3009" t="n">
        <v>0</v>
      </c>
      <c r="R3009" t="n">
        <v>0</v>
      </c>
      <c r="S3009">
        <f>IFERROR(O3009/N3009,0)</f>
        <v/>
      </c>
      <c r="T3009" t="n">
        <v>0</v>
      </c>
      <c r="V3009" t="n">
        <v>0</v>
      </c>
    </row>
    <row r="3010">
      <c r="A3010">
        <f>Skills!A25</f>
        <v/>
      </c>
      <c r="B3010">
        <f>Skills!B25</f>
        <v/>
      </c>
      <c r="C3010">
        <f>Inputs!$B$3&gt;=125</f>
        <v/>
      </c>
      <c r="D3010">
        <f>IF(Skills!C25=1,60+Inputs!$B$26+Inputs!$B$30,IF(Skills!C25=2,90+Inputs!$B$27+Inputs!$B$30,IF(Skills!C25=3,120+Inputs!$B$28+Inputs!$B$30,MAX(0,(Inputs!$B$3-100)*3)+Inputs!$B$29+Inputs!$B$30)))</f>
        <v/>
      </c>
      <c r="E3010">
        <f>INDEX(FactorTable!$B$2:$Y$301, MATCH(ROUND(MIN(300,MAX(1,D3010)),0), FactorTable!$A$2:$A$301,0), Skills!M25+1)</f>
        <v/>
      </c>
      <c r="F3010">
        <f>IF(Skills!N25=TRUE,(Skills!L25/10)*(E3010/1000),Skills!L25/10)+Skills!O25</f>
        <v/>
      </c>
      <c r="G3010">
        <f>Skills!G25*IF(Skills!H25&gt;0,INT(IF(Inputs!$B$39="pvp",MIN(Skills!I25,15),Skills!I25)/Skills!H25+0.000000001),1)</f>
        <v/>
      </c>
      <c r="H3010">
        <f>1-(1-Skills!J25/100)^Skills!K25</f>
        <v/>
      </c>
      <c r="I3010" t="inlineStr">
        <is>
          <t>1</t>
        </is>
      </c>
      <c r="J3010" t="inlineStr"/>
      <c r="K3010" t="inlineStr"/>
      <c r="L3010" t="inlineStr"/>
      <c r="M3010" t="inlineStr"/>
      <c r="N3010" t="inlineStr"/>
      <c r="O3010">
        <f>(1-Summary!$B$11)*T3010+Summary!$B$11*V3010</f>
        <v/>
      </c>
      <c r="P3010">
        <f>IF(B3024=0,0,O3010/B3024)</f>
        <v/>
      </c>
      <c r="Q3010" t="n">
        <v>0</v>
      </c>
      <c r="R3010" t="n">
        <v>0</v>
      </c>
      <c r="S3010">
        <f>IFERROR(O3010/N3010,0)</f>
        <v/>
      </c>
      <c r="T3010" t="n">
        <v>0</v>
      </c>
      <c r="V3010" t="n">
        <v>0</v>
      </c>
    </row>
    <row r="3011">
      <c r="A3011">
        <f>Skills!A26</f>
        <v/>
      </c>
      <c r="B3011">
        <f>Skills!B26</f>
        <v/>
      </c>
      <c r="C3011">
        <f>Inputs!$B$3&gt;=107</f>
        <v/>
      </c>
      <c r="D3011">
        <f>IF(Skills!C26=1,60+Inputs!$B$26+Inputs!$B$30,IF(Skills!C26=2,90+Inputs!$B$27+Inputs!$B$30,IF(Skills!C26=3,120+Inputs!$B$28+Inputs!$B$30,MAX(0,(Inputs!$B$3-100)*3)+Inputs!$B$29+Inputs!$B$30)))</f>
        <v/>
      </c>
      <c r="E3011">
        <f>INDEX(FactorTable!$B$2:$Y$301, MATCH(ROUND(MIN(300,MAX(1,D3011)),0), FactorTable!$A$2:$A$301,0), Skills!M26+1)</f>
        <v/>
      </c>
      <c r="F3011">
        <f>IF(Skills!N26=TRUE,(Skills!L26/10)*(E3011/1000),Skills!L26/10)+Skills!O26</f>
        <v/>
      </c>
      <c r="G3011">
        <f>Skills!G26*IF(Skills!H26&gt;0,INT(IF(Inputs!$B$39="pvp",MIN(Skills!I26,15),Skills!I26)/Skills!H26+0.000000001),1)</f>
        <v/>
      </c>
      <c r="H3011">
        <f>1-(1-Skills!J26/100)^Skills!K26</f>
        <v/>
      </c>
      <c r="I3011" t="inlineStr">
        <is>
          <t>1</t>
        </is>
      </c>
      <c r="J3011" t="inlineStr"/>
      <c r="K3011" t="inlineStr"/>
      <c r="L3011" t="inlineStr"/>
      <c r="M3011" t="inlineStr"/>
      <c r="N3011" t="inlineStr"/>
      <c r="O3011">
        <f>(1-Summary!$B$11)*T3011+Summary!$B$11*V3011</f>
        <v/>
      </c>
      <c r="P3011">
        <f>IF(B3024=0,0,O3011/B3024)</f>
        <v/>
      </c>
      <c r="Q3011" t="n">
        <v>0</v>
      </c>
      <c r="R3011" t="n">
        <v>0</v>
      </c>
      <c r="S3011">
        <f>IFERROR(O3011/N3011,0)</f>
        <v/>
      </c>
      <c r="T3011" t="n">
        <v>0</v>
      </c>
      <c r="V3011" t="n">
        <v>0</v>
      </c>
    </row>
    <row r="3013">
      <c r="A3013" t="inlineStr">
        <is>
          <t>Attack% Bucket Multiplier</t>
        </is>
      </c>
      <c r="B3013">
        <f>(1+(((C2998=TRUE)*F2998*IF(AND(Inputs!$B$39&lt;&gt;"pvp",Inputs!$B$44&gt;0),(((R2998-1)*MIN((Skills!T13*(1+Inputs!$B$35/100)),(1/Q2998))+MIN((Skills!T13*(1+Inputs!$B$35/100)),MAX(0,Inputs!$B$44-((R2998-1)*(1/Q2998)))))/Inputs!$B$44),IF(Inputs!$B$39="pvp",MIN((Skills!T13*(1+Inputs!$B$35/100)),15)/15,MIN(1,(Skills!T13*(1+Inputs!$B$35/100))/(1/Q2998)))))+((C2999=TRUE)*F2999*IF(AND(Inputs!$B$39&lt;&gt;"pvp",Inputs!$B$44&gt;0),(((R2999-1)*MIN((Skills!T14*(1+Inputs!$B$35/100)),(1/Q2999))+MIN((Skills!T14*(1+Inputs!$B$35/100)),MAX(0,Inputs!$B$44-((R2999-1)*(1/Q2999)))))/Inputs!$B$44),IF(Inputs!$B$39="pvp",MIN((Skills!T14*(1+Inputs!$B$35/100)),15)/15,MIN(1,(Skills!T14*(1+Inputs!$B$35/100))/(1/Q2999)))))+((C3000=TRUE)*F3000*IF(AND(Inputs!$B$39&lt;&gt;"pvp",Inputs!$B$44&gt;0),(((R3000-1)*MIN((Skills!T15*(1+Inputs!$B$35/100)),(1/Q3000))+MIN((Skills!T15*(1+Inputs!$B$35/100)),MAX(0,Inputs!$B$44-((R3000-1)*(1/Q3000)))))/Inputs!$B$44),IF(Inputs!$B$39="pvp",MIN((Skills!T15*(1+Inputs!$B$35/100)),15)/15,MIN(1,(Skills!T15*(1+Inputs!$B$35/100))/(1/Q3000)))))+((C3001=TRUE)*F3001*IF(AND(Inputs!$B$39&lt;&gt;"pvp",Inputs!$B$44&gt;0),(((R3001-1)*MIN((Skills!T16*(1+Inputs!$B$35/100)),(1/Q3001))+MIN((Skills!T16*(1+Inputs!$B$35/100)),MAX(0,Inputs!$B$44-((R3001-1)*(1/Q3001)))))/Inputs!$B$44),IF(Inputs!$B$39="pvp",MIN((Skills!T16*(1+Inputs!$B$35/100)),15)/15,MIN(1,(Skills!T16*(1+Inputs!$B$35/100))/(1/Q3001)))))+0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3014">
      <c r="A3014" t="inlineStr">
        <is>
          <t>Global Crit Rate Bonus % (Lord of Darkness)</t>
        </is>
      </c>
      <c r="B3014">
        <f>((C3003=TRUE)*F3003*(Skills!J18/100)*IF(AND(Inputs!$B$39&lt;&gt;"pvp",Inputs!$B$44&gt;0),(((R3003-1)*MIN((Skills!T18*(1+Inputs!$B$35/100)),(1/Q3003))+MIN((Skills!T18*(1+Inputs!$B$35/100)),MAX(0,Inputs!$B$44-((R3003-1)*(1/Q3003)))))/Inputs!$B$44),IF(Inputs!$B$39="pvp",MIN((Skills!T18*(1+Inputs!$B$35/100)),15)/15,MIN(1,(Skills!T18*(1+Inputs!$B$35/100))/(1/Q3003)))))</f>
        <v/>
      </c>
    </row>
    <row r="3015">
      <c r="A3015" t="inlineStr">
        <is>
          <t>Attack Speed Buff Bonus %</t>
        </is>
      </c>
      <c r="B3015">
        <f>((C3005=TRUE)*F3005*IF(AND(Inputs!$B$39&lt;&gt;"pvp",Inputs!$B$44&gt;0),(((R3005-1)*MIN((Skills!T20*(1+Inputs!$B$35/100)),(1/Q3005))+MIN((Skills!T20*(1+Inputs!$B$35/100)),MAX(0,Inputs!$B$44-((R3005-1)*(1/Q3005)))))/Inputs!$B$44),IF(Inputs!$B$39="pvp",MIN((Skills!T20*(1+Inputs!$B$35/100)),15)/15,MIN(1,(Skills!T20*(1+Inputs!$B$35/100))/(1/Q3005)))))</f>
        <v/>
      </c>
    </row>
    <row r="3016">
      <c r="A3016" t="inlineStr">
        <is>
          <t>Actions Per Second</t>
        </is>
      </c>
      <c r="B3016">
        <f>1+MIN(150,150*(1-(1-(Inputs!$B$12+((C3006=TRUE)*(F3006-Calc!F21)))/150)*(1-B3015/150)))/100</f>
        <v/>
      </c>
    </row>
    <row r="3017">
      <c r="A3017" t="inlineStr">
        <is>
          <t>Skill + Buff Cast Rate</t>
        </is>
      </c>
      <c r="B3017">
        <f>IF(AND(Inputs!$B$39&lt;&gt;"pvp",Inputs!$B$44&gt;0),SUMPRODUCT((Skills!E2:E26=TRUE)*(C2987:C3011=TRUE)*R2987:R3011*Skills!F2:F26)/Inputs!$B$44,SUMPRODUCT((Skills!E2:E26=TRUE)*(C2987:C3011=TRUE)*Q2987:Q3011*Skills!F2:F26))</f>
        <v/>
      </c>
    </row>
    <row r="3018">
      <c r="A3018" t="inlineStr">
        <is>
          <t>Dark Impale Casts Per Second</t>
        </is>
      </c>
      <c r="B3018">
        <f>MAX(0,B3016-B3017)</f>
        <v/>
      </c>
    </row>
    <row r="3019">
      <c r="A3019" t="inlineStr">
        <is>
          <t>Global Critical Damage Bonus % (Lord of Darkness)</t>
        </is>
      </c>
      <c r="B3019">
        <f>((C3004=TRUE)*F3004*(Skills!J19/100)*IF(AND(Inputs!$B$39&lt;&gt;"pvp",Inputs!$B$44&gt;0),(((R3004-1)*MIN((Skills!T19*(1+Inputs!$B$35/100)),(1/Q3004))+MIN((Skills!T19*(1+Inputs!$B$35/100)),MAX(0,Inputs!$B$44-((R3004-1)*(1/Q3004)))))/Inputs!$B$44),IF(Inputs!$B$39="pvp",MIN((Skills!T19*(1+Inputs!$B$35/100)),15)/15,MIN(1,(Skills!T19*(1+Inputs!$B$35/100))/(1/Q3004)))))</f>
        <v/>
      </c>
    </row>
    <row r="3020">
      <c r="A3020" t="inlineStr">
        <is>
          <t>Global Final Damage Bonus % (unused)</t>
        </is>
      </c>
      <c r="B3020" t="n">
        <v>0</v>
      </c>
    </row>
    <row r="3021">
      <c r="A3021" t="inlineStr">
        <is>
          <t>Buff-Casting Startup Delay (s, fixed-duration only)</t>
        </is>
      </c>
      <c r="B3021">
        <f>IF(AND(Inputs!$B$39&lt;&gt;"pvp",Inputs!$B$44&gt;0),SUMPRODUCT((Skills!T2:T26&gt;0)*(Skills!E2:E26=TRUE)*(C2987:C3011=TRUE))/B3016,0)</f>
        <v/>
      </c>
    </row>
    <row r="3022">
      <c r="A3022" t="inlineStr">
        <is>
          <t>Boss-Only Total DPS (this block's swept value)</t>
        </is>
      </c>
      <c r="B3022">
        <f>SUM(T2987:T3011)</f>
        <v/>
      </c>
    </row>
    <row r="3023">
      <c r="A3023" t="inlineStr">
        <is>
          <t>Normal-Only Total DPS (this block's swept value)</t>
        </is>
      </c>
      <c r="B3023">
        <f>SUM(V2987:V3011)</f>
        <v/>
      </c>
    </row>
    <row r="3024">
      <c r="A3024" s="6" t="inlineStr">
        <is>
          <t>TOTAL DPS</t>
        </is>
      </c>
      <c r="B3024" s="6">
        <f>SUM(O2987:O3011)</f>
        <v/>
      </c>
    </row>
    <row r="3027">
      <c r="A3027" s="6" t="inlineStr">
        <is>
          <t>Stat: CDR = 3.5s</t>
        </is>
      </c>
    </row>
    <row r="3028">
      <c r="A3028" s="5" t="inlineStr">
        <is>
          <t>Key</t>
        </is>
      </c>
      <c r="B3028" s="5" t="inlineStr">
        <is>
          <t>Name</t>
        </is>
      </c>
      <c r="C3028" s="5" t="inlineStr">
        <is>
          <t>Unlocked</t>
        </is>
      </c>
      <c r="D3028" s="5" t="inlineStr">
        <is>
          <t>InputLevel</t>
        </is>
      </c>
      <c r="E3028" s="5" t="inlineStr">
        <is>
          <t>Factor</t>
        </is>
      </c>
      <c r="F3028" s="5" t="inlineStr">
        <is>
          <t>CoefficientPercent</t>
        </is>
      </c>
      <c r="G3028" s="5" t="inlineStr">
        <is>
          <t>EffectiveHits</t>
        </is>
      </c>
      <c r="H3028" s="5" t="inlineStr">
        <is>
          <t>ProcProbability</t>
        </is>
      </c>
      <c r="I3028" s="5" t="inlineStr">
        <is>
          <t>MapleHeroMultiplier</t>
        </is>
      </c>
      <c r="J3028" s="5" t="inlineStr">
        <is>
          <t>BaseDamage</t>
        </is>
      </c>
      <c r="K3028" s="5" t="inlineStr">
        <is>
          <t>BaseHitDamage</t>
        </is>
      </c>
      <c r="L3028" s="5" t="inlineStr">
        <is>
          <t>NonCritAvg</t>
        </is>
      </c>
      <c r="M3028" s="5" t="inlineStr">
        <is>
          <t>CritAvg</t>
        </is>
      </c>
      <c r="N3028" s="5" t="inlineStr">
        <is>
          <t>ExpectedDamage(perHit)</t>
        </is>
      </c>
      <c r="O3028" s="5" t="inlineStr">
        <is>
          <t>DPS</t>
        </is>
      </c>
      <c r="P3028" s="5" t="inlineStr">
        <is>
          <t>% of Total</t>
        </is>
      </c>
      <c r="Q3028" s="5" t="inlineStr">
        <is>
          <t>InvCooldown</t>
        </is>
      </c>
      <c r="R3028" s="5" t="inlineStr">
        <is>
          <t>CastsInFight</t>
        </is>
      </c>
      <c r="S3028" s="5" t="inlineStr">
        <is>
          <t>HitRate(perSec)</t>
        </is>
      </c>
      <c r="U3028" t="inlineStr">
        <is>
          <t>helpers</t>
        </is>
      </c>
    </row>
    <row r="3029">
      <c r="A3029">
        <f>Skills!A2</f>
        <v/>
      </c>
      <c r="B3029">
        <f>Skills!B2</f>
        <v/>
      </c>
      <c r="C3029">
        <f>Inputs!$B$3&gt;=100</f>
        <v/>
      </c>
      <c r="D3029" t="inlineStr"/>
      <c r="E3029" t="inlineStr"/>
      <c r="F3029">
        <f>U3031+Skills!O2</f>
        <v/>
      </c>
      <c r="G3029">
        <f>Skills!G2*IF(Skills!H2&gt;0,INT(IF(Inputs!$B$39="pvp",MIN(Skills!I2,15),Skills!I2)/Skills!H2+0.000000001),1)</f>
        <v/>
      </c>
      <c r="H3029">
        <f>1-(1-Skills!J2/100)^Skills!K2</f>
        <v/>
      </c>
      <c r="I3029" t="inlineStr">
        <is>
          <t>1</t>
        </is>
      </c>
      <c r="J3029">
        <f>((Inputs!$B$6*(1+Inputs!$B$7/100))+(((Inputs!$B$13*(1+Inputs!$B$14/100))-(Inputs!$B$13*(1+Inputs!$B$14/100)))+0.25*(Inputs!$B$15-Inputs!$B$15))*(1+Inputs!$B$7/100))*(F3029/100)</f>
        <v/>
      </c>
      <c r="K3029">
        <f>J3029*(1+(((Inputs!$B$13+IF(Inputs!$B$3&gt;=38,(10*INDEX(FactorTable!$B$2:$Y$301, MATCH(ROUND(MIN(300,MAX(1,Inputs!$B$3)),0), FactorTable!$A$2:$A$301,0), 23)/1000)/100*(Inputs!$B$8*(1+Inputs!$B$9/100)),0))*(1+Inputs!$B$14/100))*0.01+Inputs!$B$15*0.0025)/100)*(1+Inputs!$B$16/100)*(1+Inputs!$B$17/100)*(5000/(6000+Inputs!$B$43*(1-(Inputs!$B$20+0)/100)))*(1+(Inputs!$B$25+((C3052=TRUE)*(F3052-Calc!F25))+((C3053=TRUE)*(F3053-Calc!F26))+B3062)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gt;=100),MIN(100,((Inputs!$B$10+0+B3056+(ArtifactsInput!$M$24-ArtifactsInput!$M$24)*CHOOSE(ArtifactsInput!$N$24+1,10,12,14,16,18,20)+IF(ArtifactsInput!$M$10,CHOOSE(ArtifactsInput!$N$10+1,15,18,21,24,27,30)*(IF(Inputs!$B$39="pvp",MIN(15,15)/15,IF(AND(Inputs!$B$39&lt;&gt;"pvp",Inputs!$B$44&gt;0),MIN(15,Inputs!$B$44)/(Inputs!$B$44),0))),0)))-100),0))*CHOOSE(ArtifactsInput!$N$42+1,0.6,0.72,0.84,0.96,1.08,1.2))),Inputs!$B$19+((C3050=TRUE)*(F3050-Calc!F23))+(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gt;=100),CHOOSE(ArtifactsInput!$N$42+1,40,48,56,64,72,80),0))))/100)*((1+(((C3040=TRUE)*F3040*IF(AND(Inputs!$B$39&lt;&gt;"pvp",Inputs!$B$44&gt;0),(((R3040-1)*MIN((Skills!T13*(1+Inputs!$B$35/100)),(1/Q3040))+MIN((Skills!T13*(1+Inputs!$B$35/100)),MAX(0,Inputs!$B$44-((R3040-1)*(1/Q3040)))))/Inputs!$B$44),IF(Inputs!$B$39="pvp",MIN((Skills!T13*(1+Inputs!$B$35/100)),15)/15,MIN(1,(Skills!T13*(1+Inputs!$B$35/100))/(1/Q3040)))))+((C3041=TRUE)*F3041*IF(AND(Inputs!$B$39&lt;&gt;"pvp",Inputs!$B$44&gt;0),(((R3041-1)*MIN((Skills!T14*(1+Inputs!$B$35/100)),(1/Q3041))+MIN((Skills!T14*(1+Inputs!$B$35/100)),MAX(0,Inputs!$B$44-((R3041-1)*(1/Q3041)))))/Inputs!$B$44),IF(Inputs!$B$39="pvp",MIN((Skills!T14*(1+Inputs!$B$35/100)),15)/15,MIN(1,(Skills!T14*(1+Inputs!$B$35/100))/(1/Q3041)))))+((C3042=TRUE)*F3042*IF(AND(Inputs!$B$39&lt;&gt;"pvp",Inputs!$B$44&gt;0),(((R3042-1)*MIN((Skills!T15*(1+Inputs!$B$35/100)),(1/Q3042))+MIN((Skills!T15*(1+Inputs!$B$35/100)),MAX(0,Inputs!$B$44-((R3042-1)*(1/Q3042)))))/Inputs!$B$44),IF(Inputs!$B$39="pvp",MIN((Skills!T15*(1+Inputs!$B$35/100)),15)/15,MIN(1,(Skills!T15*(1+Inputs!$B$35/100))/(1/Q3042)))))+((C3043=TRUE)*F3043*IF(AND(Inputs!$B$39&lt;&gt;"pvp",Inputs!$B$44&gt;0),(((R3043-1)*MIN((Skills!T16*(1+Inputs!$B$35/100)),(1/Q3043))+MIN((Skills!T16*(1+Inputs!$B$35/100)),MAX(0,Inputs!$B$44-((R3043-1)*(1/Q3043)))))/Inputs!$B$44),IF(Inputs!$B$39="pvp",MIN((Skills!T16*(1+Inputs!$B$35/100)),15)/15,MIN(1,(Skills!T16*(1+Inputs!$B$35/100))/(1/Q3043)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3029)</f>
        <v/>
      </c>
      <c r="L3029">
        <f>K3029*(MIN(Inputs!$B$23+((C3049=TRUE)*(F3049-Calc!F22)),(Inputs!$B$24+((C3051=TRUE)*(F3051-Calc!F24))+(IF(ArtifactsInput!$M$15,CHOOSE(ArtifactsInput!$N$15+1,25,30,35,40,45,50)/100*(Inputs!$B$12-Inputs!$B$12),0))))/100+(Inputs!$B$24+((C3051=TRUE)*(F3051-Calc!F24))+(IF(ArtifactsInput!$M$15,CHOOSE(ArtifactsInput!$N$15+1,25,30,35,40,45,50)/100*(Inputs!$B$12-Inputs!$B$12),0)))/100)/2</f>
        <v/>
      </c>
      <c r="M3029">
        <f>L3029*(1+(Inputs!$B$11+0+B3061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029">
        <f>L3029*(1-MIN((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3029*(MIN((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29">
        <f>(1-Summary!$B$11)*T3029+Summary!$B$11*V3029</f>
        <v/>
      </c>
      <c r="P3029">
        <f>IF(B3066=0,0,O3029/B3066)</f>
        <v/>
      </c>
      <c r="Q3029" t="n">
        <v>0</v>
      </c>
      <c r="R3029" t="n">
        <v>0</v>
      </c>
      <c r="S3029">
        <f>IFERROR(O3029/N3029,0)</f>
        <v/>
      </c>
      <c r="T3029">
        <f>IF(C3029,(Skills!G2*N3029*B3060)*IF(Inputs!$B$39="pvp",1,1+(Inputs!$B$21+0+Skills!P2+((C3044=TRUE)*F3044*IF(AND(Inputs!$B$39&lt;&gt;"pvp",Inputs!$B$44&gt;0),(((R3044-1)*MIN((Skills!T17*(1+Inputs!$B$35/100)),(1/Q3044))+MIN((Skills!T17*(1+Inputs!$B$35/100)),MAX(0,Inputs!$B$44-((R3044-1)*(1/Q3044)))))/Inputs!$B$44),IF(Inputs!$B$39="pvp",MIN((Skills!T17*(1+Inputs!$B$35/100)),15)/15,MIN(1,(Skills!T17*(1+Inputs!$B$35/100))/(1/Q3044)))))+((C3032=TRUE)*IF(Inputs!$B$3&gt;=126,10*MIN(1,15*Q3032),0))+((C3041=TRUE)*IF(Inputs!$B$39="pvp",20,(1-Summary!$B$11)*(20)+Summary!$B$11*(0))*IF(AND(Inputs!$B$39&lt;&gt;"pvp",Inputs!$B$44&gt;0),(((R3041-1)*MIN((Skills!T14*(1+Inputs!$B$35/100)),(1/Q3041))+MIN((Skills!T14*(1+Inputs!$B$35/100)),MAX(0,Inputs!$B$44-((R3041-1)*(1/Q3041)))))/Inputs!$B$44),IF(Inputs!$B$39="pvp",MIN((Skills!T14*(1+Inputs!$B$35/100)),15)/15,MIN(1,(Skills!T14*(1+Inputs!$B$35/100))/(1/Q3041)))))+((C3040=TRUE)*IF(Inputs!$B$3&gt;=82,IF(Inputs!$B$39="pvp",20,(1-Summary!$B$11)*(20)+Summary!$B$11*(0)),0)*IF(AND(Inputs!$B$39&lt;&gt;"pvp",Inputs!$B$44&gt;0),(((R3040-1)*MIN((Skills!T13*(1+Inputs!$B$35/100)),(1/Q3040))+MIN((Skills!T13*(1+Inputs!$B$35/100)),MAX(0,Inputs!$B$44-((R3040-1)*(1/Q3040)))))/Inputs!$B$44),IF(Inputs!$B$39="pvp",MIN((Skills!T13*(1+Inputs!$B$35/100)),15)/15,MIN(1,(Skills!T13*(1+Inputs!$B$35/100))/(1/Q3040)))))+(IF(AND(ArtifactsInput!$M$35,Inputs!$B$4&lt;&gt;"Chapter Hunt"),CHOOSE(ArtifactsInput!$N$35+1,15,18,21,24,27,30)*(1-EXP(-(0.2*B3058)*5)),0)+IF(AND(ArtifactsInput!$M$22,Inputs!$B$4&lt;&gt;"Chapter Hunt"),CHOOSE(ArtifactsInput!$N$22+1,10,12,14,16,18,20)*((0*(((0.15*B3058*5))^0/1)+1*(((0.15*B3058*5))^1/1)+2*(((0.15*B3058*5))^2/2)+3*(((0.15*B3058*5))^3/6)+4*(((0.15*B3058*5))^4/24)+5*(((0.15*B3058*5))^5/120))/((((0.15*B3058*5))^0/1)+(((0.15*B3058*5))^1/1)+(((0.15*B3058*5))^2/2)+(((0.15*B3058*5))^3/6)+(((0.15*B3058*5))^4/24)+(((0.15*B3058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3029*(1-MIN(100,(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3029*(MIN(100,(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3029*(1-MIN(100,(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3029*(MIN(100,(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029">
        <f>MAX(0,(Inputs!$B$3-100)*3)+Inputs!$B$29+Inputs!$B$30</f>
        <v/>
      </c>
      <c r="V3029">
        <f>IF(C3029,(Skills!G2*N3029*B3060)*IF(Inputs!$B$39="pvp",1,(1+(Inputs!$B$22+Skills!Q2+((C3044=TRUE)*F3044*IF(AND(Inputs!$B$39&lt;&gt;"pvp",Inputs!$B$44&gt;0),(((R3044-1)*MIN((Skills!T17*(1+Inputs!$B$35/100)),(1/Q3044))+MIN((Skills!T17*(1+Inputs!$B$35/100)),MAX(0,Inputs!$B$44-((R3044-1)*(1/Q3044)))))/Inputs!$B$44),IF(Inputs!$B$39="pvp",MIN((Skills!T17*(1+Inputs!$B$35/100)),15)/15,MIN(1,(Skills!T17*(1+Inputs!$B$35/100))/(1/Q3044)))))+((C3032=TRUE)*IF(Inputs!$B$3&gt;=126,10*MIN(1,15*Q3032),0))+((C3041=TRUE)*IF(Inputs!$B$39="pvp",20,(1-Summary!$B$11)*(20)+Summary!$B$11*(0))*IF(AND(Inputs!$B$39&lt;&gt;"pvp",Inputs!$B$44&gt;0),(((R3041-1)*MIN((Skills!T14*(1+Inputs!$B$35/100)),(1/Q3041))+MIN((Skills!T14*(1+Inputs!$B$35/100)),MAX(0,Inputs!$B$44-((R3041-1)*(1/Q3041)))))/Inputs!$B$44),IF(Inputs!$B$39="pvp",MIN((Skills!T14*(1+Inputs!$B$35/100)),15)/15,MIN(1,(Skills!T14*(1+Inputs!$B$35/100))/(1/Q3041)))))+((C3040=TRUE)*IF(Inputs!$B$3&gt;=82,IF(Inputs!$B$39="pvp",20,(1-Summary!$B$11)*(20)+Summary!$B$11*(0)),0)*IF(AND(Inputs!$B$39&lt;&gt;"pvp",Inputs!$B$44&gt;0),(((R3040-1)*MIN((Skills!T13*(1+Inputs!$B$35/100)),(1/Q3040))+MIN((Skills!T13*(1+Inputs!$B$35/100)),MAX(0,Inputs!$B$44-((R3040-1)*(1/Q3040)))))/Inputs!$B$44),IF(Inputs!$B$39="pvp",MIN((Skills!T13*(1+Inputs!$B$35/100)),15)/15,MIN(1,(Skills!T13*(1+Inputs!$B$35/100))/(1/Q3040)))))+(IF(AND(ArtifactsInput!$M$35,Inputs!$B$4&lt;&gt;"Chapter Hunt"),CHOOSE(ArtifactsInput!$N$35+1,15,18,21,24,27,30)*(1-EXP(-(0.2*B3058)*5)),0)+IF(AND(ArtifactsInput!$M$22,Inputs!$B$4&lt;&gt;"Chapter Hunt"),CHOOSE(ArtifactsInput!$N$22+1,10,12,14,16,18,20)*((0*(((0.15*B3058*5))^0/1)+1*(((0.15*B3058*5))^1/1)+2*(((0.15*B3058*5))^2/2)+3*(((0.15*B3058*5))^3/6)+4*(((0.15*B3058*5))^4/24)+5*(((0.15*B3058*5))^5/120))/((((0.15*B3058*5))^0/1)+(((0.15*B3058*5))^1/1)+(((0.15*B3058*5))^2/2)+(((0.15*B3058*5))^3/6)+(((0.15*B3058*5))^4/24)+(((0.15*B3058*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30">
      <c r="A3030">
        <f>Skills!A3</f>
        <v/>
      </c>
      <c r="B3030">
        <f>Skills!B3</f>
        <v/>
      </c>
      <c r="C3030">
        <f>Inputs!$B$3&gt;=50</f>
        <v/>
      </c>
      <c r="D3030">
        <f>IF(Skills!C3=1,60+Inputs!$B$26+Inputs!$B$30,IF(Skills!C3=2,90+Inputs!$B$27+Inputs!$B$30,IF(Skills!C3=3,120+Inputs!$B$28+Inputs!$B$30,MAX(0,(Inputs!$B$3-100)*3)+Inputs!$B$29+Inputs!$B$30)))</f>
        <v/>
      </c>
      <c r="E3030">
        <f>INDEX(FactorTable!$B$2:$Y$301, MATCH(ROUND(MIN(300,MAX(1,D3030)),0), FactorTable!$A$2:$A$301,0), Skills!M3+1)</f>
        <v/>
      </c>
      <c r="F3030">
        <f>IF(Skills!N3=TRUE,(Skills!L3/10)*(E3030/1000),Skills!L3/10)+Skills!O3</f>
        <v/>
      </c>
      <c r="G3030" t="inlineStr"/>
      <c r="H3030" t="inlineStr"/>
      <c r="I3030" t="inlineStr">
        <is>
          <t>1</t>
        </is>
      </c>
      <c r="J3030" t="inlineStr"/>
      <c r="K3030" t="inlineStr"/>
      <c r="L3030" t="inlineStr"/>
      <c r="M3030" t="inlineStr"/>
      <c r="N3030" t="inlineStr"/>
      <c r="O3030" t="inlineStr"/>
      <c r="P3030" t="inlineStr"/>
      <c r="Q3030" t="inlineStr"/>
      <c r="R3030" t="inlineStr"/>
      <c r="S3030" t="inlineStr"/>
      <c r="U3030">
        <f>INDEX(FactorTable!$B$2:$Y$301, MATCH(ROUND(MIN(300,MAX(1,U3029)),0), FactorTable!$A$2:$A$301,0), 22)</f>
        <v/>
      </c>
    </row>
    <row r="3031">
      <c r="A3031">
        <f>Skills!A4</f>
        <v/>
      </c>
      <c r="B3031">
        <f>Skills!B4</f>
        <v/>
      </c>
      <c r="C3031">
        <f>Inputs!$B$3&gt;=105</f>
        <v/>
      </c>
      <c r="D3031">
        <f>IF(Skills!C4=1,60+Inputs!$B$26+Inputs!$B$30,IF(Skills!C4=2,90+Inputs!$B$27+Inputs!$B$30,IF(Skills!C4=3,120+Inputs!$B$28+Inputs!$B$30,MAX(0,(Inputs!$B$3-100)*3)+Inputs!$B$29+Inputs!$B$30)))</f>
        <v/>
      </c>
      <c r="E3031">
        <f>INDEX(FactorTable!$B$2:$Y$301, MATCH(ROUND(MIN(300,MAX(1,D3031)),0), FactorTable!$A$2:$A$301,0), Skills!M4+1)</f>
        <v/>
      </c>
      <c r="F3031">
        <f>IF(Skills!N4=TRUE,(Skills!L4/10)*(E3031/1000),Skills!L4/10)+Skills!O4</f>
        <v/>
      </c>
      <c r="G3031" t="inlineStr"/>
      <c r="H3031" t="inlineStr"/>
      <c r="I3031" t="inlineStr">
        <is>
          <t>1</t>
        </is>
      </c>
      <c r="J3031" t="inlineStr"/>
      <c r="K3031" t="inlineStr"/>
      <c r="L3031" t="inlineStr"/>
      <c r="M3031" t="inlineStr"/>
      <c r="N3031" t="inlineStr"/>
      <c r="O3031" t="inlineStr"/>
      <c r="P3031" t="inlineStr"/>
      <c r="Q3031" t="inlineStr"/>
      <c r="R3031" t="inlineStr"/>
      <c r="S3031" t="inlineStr"/>
      <c r="U3031">
        <f>290*U3030/1000</f>
        <v/>
      </c>
    </row>
    <row r="3032">
      <c r="A3032">
        <f>Skills!A5</f>
        <v/>
      </c>
      <c r="B3032">
        <f>Skills!B5</f>
        <v/>
      </c>
      <c r="C3032">
        <f>Inputs!$B$3&gt;=117</f>
        <v/>
      </c>
      <c r="D3032">
        <f>IF(Skills!C5=1,60+Inputs!$B$26+Inputs!$B$30,IF(Skills!C5=2,90+Inputs!$B$27+Inputs!$B$30,IF(Skills!C5=3,120+Inputs!$B$28+Inputs!$B$30,MAX(0,(Inputs!$B$3-100)*3)+Inputs!$B$29+Inputs!$B$30)))</f>
        <v/>
      </c>
      <c r="E3032">
        <f>INDEX(FactorTable!$B$2:$Y$301, MATCH(ROUND(MIN(300,MAX(1,D3032)),0), FactorTable!$A$2:$A$301,0), Skills!M5+1)</f>
        <v/>
      </c>
      <c r="F3032">
        <f>IF(Skills!N5=TRUE,(Skills!L5/10)*(E3032/1000),Skills!L5/10)+Skills!O5</f>
        <v/>
      </c>
      <c r="G3032">
        <f>Skills!G5*IF(Skills!H5&gt;0,INT(IF(Inputs!$B$39="pvp",MIN(Skills!I5,15),Skills!I5)/Skills!H5+0.000000001),1)</f>
        <v/>
      </c>
      <c r="H3032">
        <f>1-(1-Skills!J5/100)^Skills!K5</f>
        <v/>
      </c>
      <c r="I3032" t="inlineStr">
        <is>
          <t>1</t>
        </is>
      </c>
      <c r="J3032">
        <f>((Inputs!$B$6*(1+Inputs!$B$7/100))+(((Inputs!$B$13*(1+Inputs!$B$14/100))-(Inputs!$B$13*(1+Inputs!$B$14/100)))+0.25*(Inputs!$B$15-Inputs!$B$15))*(1+Inputs!$B$7/100))*(F3032/100)</f>
        <v/>
      </c>
      <c r="K3032">
        <f>J3032*(1+(((Inputs!$B$13+IF(Inputs!$B$3&gt;=38,(10*INDEX(FactorTable!$B$2:$Y$301, MATCH(ROUND(MIN(300,MAX(1,Inputs!$B$3)),0), FactorTable!$A$2:$A$301,0), 23)/1000)/100*(Inputs!$B$8*(1+Inputs!$B$9/100)),0))*(1+Inputs!$B$14/100))*0.01+Inputs!$B$15*0.0025)/100)*(1+Inputs!$B$16/100)*(1+Inputs!$B$17/100)*(5000/(6000+Inputs!$B$43*(1-(Inputs!$B$20+0)/100)))*(1+(Inputs!$B$25+((C3052=TRUE)*(F3052-Calc!F25))+((C3053=TRUE)*(F3053-Calc!F26))+B3062)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gt;=100),MIN(100,((Inputs!$B$10+0+B3056+(ArtifactsInput!$M$24-ArtifactsInput!$M$24)*CHOOSE(ArtifactsInput!$N$24+1,10,12,14,16,18,20)+IF(ArtifactsInput!$M$10,CHOOSE(ArtifactsInput!$N$10+1,15,18,21,24,27,30)*(IF(Inputs!$B$39="pvp",MIN(15,15)/15,IF(AND(Inputs!$B$39&lt;&gt;"pvp",Inputs!$B$44&gt;0),MIN(15,Inputs!$B$44)/(Inputs!$B$44),0))),0)))-100),0))*CHOOSE(ArtifactsInput!$N$42+1,0.6,0.72,0.84,0.96,1.08,1.2))),Inputs!$B$19+((C3050=TRUE)*(F3050-Calc!F23))+(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gt;=100),CHOOSE(ArtifactsInput!$N$42+1,40,48,56,64,72,80),0))))/100)*((1+(((C3040=TRUE)*F3040*IF(AND(Inputs!$B$39&lt;&gt;"pvp",Inputs!$B$44&gt;0),(((R3040-1)*MIN((Skills!T13*(1+Inputs!$B$35/100)),(1/Q3040))+MIN((Skills!T13*(1+Inputs!$B$35/100)),MAX(0,Inputs!$B$44-((R3040-1)*(1/Q3040)))))/Inputs!$B$44),IF(Inputs!$B$39="pvp",MIN((Skills!T13*(1+Inputs!$B$35/100)),15)/15,MIN(1,(Skills!T13*(1+Inputs!$B$35/100))/(1/Q3040)))))+((C3041=TRUE)*F3041*IF(AND(Inputs!$B$39&lt;&gt;"pvp",Inputs!$B$44&gt;0),(((R3041-1)*MIN((Skills!T14*(1+Inputs!$B$35/100)),(1/Q3041))+MIN((Skills!T14*(1+Inputs!$B$35/100)),MAX(0,Inputs!$B$44-((R3041-1)*(1/Q3041)))))/Inputs!$B$44),IF(Inputs!$B$39="pvp",MIN((Skills!T14*(1+Inputs!$B$35/100)),15)/15,MIN(1,(Skills!T14*(1+Inputs!$B$35/100))/(1/Q3041)))))+((C3042=TRUE)*F3042*IF(AND(Inputs!$B$39&lt;&gt;"pvp",Inputs!$B$44&gt;0),(((R3042-1)*MIN((Skills!T15*(1+Inputs!$B$35/100)),(1/Q3042))+MIN((Skills!T15*(1+Inputs!$B$35/100)),MAX(0,Inputs!$B$44-((R3042-1)*(1/Q3042)))))/Inputs!$B$44),IF(Inputs!$B$39="pvp",MIN((Skills!T15*(1+Inputs!$B$35/100)),15)/15,MIN(1,(Skills!T15*(1+Inputs!$B$35/100))/(1/Q3042)))))+((C3043=TRUE)*F3043*IF(AND(Inputs!$B$39&lt;&gt;"pvp",Inputs!$B$44&gt;0),(((R3043-1)*MIN((Skills!T16*(1+Inputs!$B$35/100)),(1/Q3043))+MIN((Skills!T16*(1+Inputs!$B$35/100)),MAX(0,Inputs!$B$44-((R3043-1)*(1/Q3043)))))/Inputs!$B$44),IF(Inputs!$B$39="pvp",MIN((Skills!T16*(1+Inputs!$B$35/100)),15)/15,MIN(1,(Skills!T16*(1+Inputs!$B$35/100))/(1/Q3043)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3032)</f>
        <v/>
      </c>
      <c r="L3032">
        <f>K3032*(MIN(Inputs!$B$23+((C3049=TRUE)*(F3049-Calc!F22)),(Inputs!$B$24+((C3051=TRUE)*(F3051-Calc!F24))+(IF(ArtifactsInput!$M$15,CHOOSE(ArtifactsInput!$N$15+1,25,30,35,40,45,50)/100*(Inputs!$B$12-Inputs!$B$12),0))))/100+(Inputs!$B$24+((C3051=TRUE)*(F3051-Calc!F24))+(IF(ArtifactsInput!$M$15,CHOOSE(ArtifactsInput!$N$15+1,25,30,35,40,45,50)/100*(Inputs!$B$12-Inputs!$B$12),0)))/100)/2</f>
        <v/>
      </c>
      <c r="M3032">
        <f>L3032*(1+(Inputs!$B$11+0+B3061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032">
        <f>L3032*(1-MIN((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3032*(MIN((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32">
        <f>(1-Summary!$B$11)*T3032+Summary!$B$11*V3032</f>
        <v/>
      </c>
      <c r="P3032">
        <f>IF(B3066=0,0,O3032/B3066)</f>
        <v/>
      </c>
      <c r="Q3032">
        <f>IFERROR(1/IF(Inputs!$B$39="pvp",15,MAX(0.1,Skills!D5-IF(TRUE=TRUE,3.5,0))),0)</f>
        <v/>
      </c>
      <c r="R3032">
        <f>IF(AND(Inputs!$B$39&lt;&gt;"pvp",Inputs!$B$44&gt;0),IF(MAX(0,Inputs!$B$44-B3063)&lt;=0,0,(INT(MAX(0,Inputs!$B$44-B3063)/IF(Inputs!$B$39="pvp",15,MAX(0.1,Skills!D5-IF(TRUE=TRUE,3.5,0))))+1)),0)</f>
        <v/>
      </c>
      <c r="S3032">
        <f>IFERROR(O3032/N3032,0)</f>
        <v/>
      </c>
      <c r="T3032">
        <f>IF(C3032,(H3032*N3032*IF(AND(Inputs!$B$39&lt;&gt;"pvp",Inputs!$B$44&gt;0),((Skills!G5*((R3032-1)*IF(Skills!H5&gt;0,INT(Skills!I5/Skills!H5+0.000000001),1)+IF(Skills!H5&gt;0,INT(MIN(Skills!I5,MAX(0,MAX(0,Inputs!$B$44-B3063)-((R3032-1)*IF(Inputs!$B$39="pvp",15,MAX(0.1,Skills!D5-IF(TRUE=TRUE,3.5,0))))))/Skills!H5+0.000000001),1)))/Inputs!$B$44),G3032*Q3032))*IF(Inputs!$B$39="pvp",1,1+(Inputs!$B$21+0+Skills!P5+((C3044=TRUE)*F3044*IF(AND(Inputs!$B$39&lt;&gt;"pvp",Inputs!$B$44&gt;0),(((R3044-1)*MIN((Skills!T17*(1+Inputs!$B$35/100)),(1/Q3044))+MIN((Skills!T17*(1+Inputs!$B$35/100)),MAX(0,Inputs!$B$44-((R3044-1)*(1/Q3044)))))/Inputs!$B$44),IF(Inputs!$B$39="pvp",MIN((Skills!T17*(1+Inputs!$B$35/100)),15)/15,MIN(1,(Skills!T17*(1+Inputs!$B$35/100))/(1/Q3044)))))+((C3032=TRUE)*IF(Inputs!$B$3&gt;=126,10*MIN(1,15*Q3032),0))+((C3041=TRUE)*IF(Inputs!$B$39="pvp",20,(1-Summary!$B$11)*(20)+Summary!$B$11*(0))*IF(AND(Inputs!$B$39&lt;&gt;"pvp",Inputs!$B$44&gt;0),(((R3041-1)*MIN((Skills!T14*(1+Inputs!$B$35/100)),(1/Q3041))+MIN((Skills!T14*(1+Inputs!$B$35/100)),MAX(0,Inputs!$B$44-((R3041-1)*(1/Q3041)))))/Inputs!$B$44),IF(Inputs!$B$39="pvp",MIN((Skills!T14*(1+Inputs!$B$35/100)),15)/15,MIN(1,(Skills!T14*(1+Inputs!$B$35/100))/(1/Q3041)))))+((C3040=TRUE)*IF(Inputs!$B$3&gt;=82,IF(Inputs!$B$39="pvp",20,(1-Summary!$B$11)*(20)+Summary!$B$11*(0)),0)*IF(AND(Inputs!$B$39&lt;&gt;"pvp",Inputs!$B$44&gt;0),(((R3040-1)*MIN((Skills!T13*(1+Inputs!$B$35/100)),(1/Q3040))+MIN((Skills!T13*(1+Inputs!$B$35/100)),MAX(0,Inputs!$B$44-((R3040-1)*(1/Q3040)))))/Inputs!$B$44),IF(Inputs!$B$39="pvp",MIN((Skills!T13*(1+Inputs!$B$35/100)),15)/15,MIN(1,(Skills!T13*(1+Inputs!$B$35/100))/(1/Q3040)))))+(IF(AND(ArtifactsInput!$M$35,Inputs!$B$4&lt;&gt;"Chapter Hunt"),CHOOSE(ArtifactsInput!$N$35+1,15,18,21,24,27,30)*(1-EXP(-(0.2*B3058)*5)),0)+IF(AND(ArtifactsInput!$M$22,Inputs!$B$4&lt;&gt;"Chapter Hunt"),CHOOSE(ArtifactsInput!$N$22+1,10,12,14,16,18,20)*((0*(((0.15*B3058*5))^0/1)+1*(((0.15*B3058*5))^1/1)+2*(((0.15*B3058*5))^2/2)+3*(((0.15*B3058*5))^3/6)+4*(((0.15*B3058*5))^4/24)+5*(((0.15*B3058*5))^5/120))/((((0.15*B3058*5))^0/1)+(((0.15*B3058*5))^1/1)+(((0.15*B3058*5))^2/2)+(((0.15*B3058*5))^3/6)+(((0.15*B3058*5))^4/24)+(((0.15*B3058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3032*(1-MIN(100,(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3032*(MIN(100,(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3032*(1-MIN(100,(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3032*(MIN(100,(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32">
        <f>IF(C3032,(H3032*N3032*IF(AND(Inputs!$B$39&lt;&gt;"pvp",Inputs!$B$44&gt;0),((Skills!G5*((R3032-1)*IF(Skills!H5&gt;0,INT(Skills!I5/Skills!H5+0.000000001),1)+IF(Skills!H5&gt;0,INT(MIN(Skills!I5,MAX(0,MAX(0,Inputs!$B$44-B3063)-((R3032-1)*IF(Inputs!$B$39="pvp",15,MAX(0.1,Skills!D5-IF(TRUE=TRUE,3.5,0))))))/Skills!H5+0.000000001),1)))/Inputs!$B$44),G3032*Q3032))*IF(Inputs!$B$39="pvp",1,(1+(Inputs!$B$22+Skills!Q5+((C3044=TRUE)*F3044*IF(AND(Inputs!$B$39&lt;&gt;"pvp",Inputs!$B$44&gt;0),(((R3044-1)*MIN((Skills!T17*(1+Inputs!$B$35/100)),(1/Q3044))+MIN((Skills!T17*(1+Inputs!$B$35/100)),MAX(0,Inputs!$B$44-((R3044-1)*(1/Q3044)))))/Inputs!$B$44),IF(Inputs!$B$39="pvp",MIN((Skills!T17*(1+Inputs!$B$35/100)),15)/15,MIN(1,(Skills!T17*(1+Inputs!$B$35/100))/(1/Q3044)))))+((C3032=TRUE)*IF(Inputs!$B$3&gt;=126,10*MIN(1,15*Q3032),0))+((C3041=TRUE)*IF(Inputs!$B$39="pvp",20,(1-Summary!$B$11)*(20)+Summary!$B$11*(0))*IF(AND(Inputs!$B$39&lt;&gt;"pvp",Inputs!$B$44&gt;0),(((R3041-1)*MIN((Skills!T14*(1+Inputs!$B$35/100)),(1/Q3041))+MIN((Skills!T14*(1+Inputs!$B$35/100)),MAX(0,Inputs!$B$44-((R3041-1)*(1/Q3041)))))/Inputs!$B$44),IF(Inputs!$B$39="pvp",MIN((Skills!T14*(1+Inputs!$B$35/100)),15)/15,MIN(1,(Skills!T14*(1+Inputs!$B$35/100))/(1/Q3041)))))+((C3040=TRUE)*IF(Inputs!$B$3&gt;=82,IF(Inputs!$B$39="pvp",20,(1-Summary!$B$11)*(20)+Summary!$B$11*(0)),0)*IF(AND(Inputs!$B$39&lt;&gt;"pvp",Inputs!$B$44&gt;0),(((R3040-1)*MIN((Skills!T13*(1+Inputs!$B$35/100)),(1/Q3040))+MIN((Skills!T13*(1+Inputs!$B$35/100)),MAX(0,Inputs!$B$44-((R3040-1)*(1/Q3040)))))/Inputs!$B$44),IF(Inputs!$B$39="pvp",MIN((Skills!T13*(1+Inputs!$B$35/100)),15)/15,MIN(1,(Skills!T13*(1+Inputs!$B$35/100))/(1/Q3040)))))+(IF(AND(ArtifactsInput!$M$35,Inputs!$B$4&lt;&gt;"Chapter Hunt"),CHOOSE(ArtifactsInput!$N$35+1,15,18,21,24,27,30)*(1-EXP(-(0.2*B3058)*5)),0)+IF(AND(ArtifactsInput!$M$22,Inputs!$B$4&lt;&gt;"Chapter Hunt"),CHOOSE(ArtifactsInput!$N$22+1,10,12,14,16,18,20)*((0*(((0.15*B3058*5))^0/1)+1*(((0.15*B3058*5))^1/1)+2*(((0.15*B3058*5))^2/2)+3*(((0.15*B3058*5))^3/6)+4*(((0.15*B3058*5))^4/24)+5*(((0.15*B3058*5))^5/120))/((((0.15*B3058*5))^0/1)+(((0.15*B3058*5))^1/1)+(((0.15*B3058*5))^2/2)+(((0.15*B3058*5))^3/6)+(((0.15*B3058*5))^4/24)+(((0.15*B3058*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33">
      <c r="A3033">
        <f>Skills!A6</f>
        <v/>
      </c>
      <c r="B3033">
        <f>Skills!B6</f>
        <v/>
      </c>
      <c r="C3033">
        <f>Inputs!$B$3&gt;=103</f>
        <v/>
      </c>
      <c r="D3033">
        <f>IF(Skills!C6=1,60+Inputs!$B$26+Inputs!$B$30,IF(Skills!C6=2,90+Inputs!$B$27+Inputs!$B$30,IF(Skills!C6=3,120+Inputs!$B$28+Inputs!$B$30,MAX(0,(Inputs!$B$3-100)*3)+Inputs!$B$29+Inputs!$B$30)))</f>
        <v/>
      </c>
      <c r="E3033">
        <f>INDEX(FactorTable!$B$2:$Y$301, MATCH(ROUND(MIN(300,MAX(1,D3033)),0), FactorTable!$A$2:$A$301,0), Skills!M6+1)</f>
        <v/>
      </c>
      <c r="F3033">
        <f>IF(Skills!N6=TRUE,(Skills!L6/10)*(E3033/1000),Skills!L6/10)+Skills!O6</f>
        <v/>
      </c>
      <c r="G3033">
        <f>Skills!G6*IF(Skills!H6&gt;0,INT(IF(Inputs!$B$39="pvp",MIN(Skills!I6,15),Skills!I6)/Skills!H6+0.000000001),1)</f>
        <v/>
      </c>
      <c r="H3033">
        <f>1-(1-Skills!J6/100)^Skills!K6</f>
        <v/>
      </c>
      <c r="I3033" t="inlineStr">
        <is>
          <t>1</t>
        </is>
      </c>
      <c r="J3033">
        <f>((Inputs!$B$6*(1+Inputs!$B$7/100))+(((Inputs!$B$13*(1+Inputs!$B$14/100))-(Inputs!$B$13*(1+Inputs!$B$14/100)))+0.25*(Inputs!$B$15-Inputs!$B$15))*(1+Inputs!$B$7/100))*(F3033/100)</f>
        <v/>
      </c>
      <c r="K3033">
        <f>J3033*(1+(((Inputs!$B$13+IF(Inputs!$B$3&gt;=38,(10*INDEX(FactorTable!$B$2:$Y$301, MATCH(ROUND(MIN(300,MAX(1,Inputs!$B$3)),0), FactorTable!$A$2:$A$301,0), 23)/1000)/100*(Inputs!$B$8*(1+Inputs!$B$9/100)),0))*(1+Inputs!$B$14/100))*0.01+Inputs!$B$15*0.0025)/100)*(1+Inputs!$B$16/100)*(1+Inputs!$B$17/100)*(5000/(6000+Inputs!$B$43*(1-(Inputs!$B$20+0)/100)))*(1+(Inputs!$B$25+((C3052=TRUE)*(F3052-Calc!F25))+((C3053=TRUE)*(F3053-Calc!F26))+B3062)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gt;=100),MIN(100,((Inputs!$B$10+0+B3056+(ArtifactsInput!$M$24-ArtifactsInput!$M$24)*CHOOSE(ArtifactsInput!$N$24+1,10,12,14,16,18,20)+IF(ArtifactsInput!$M$10,CHOOSE(ArtifactsInput!$N$10+1,15,18,21,24,27,30)*(IF(Inputs!$B$39="pvp",MIN(15,15)/15,IF(AND(Inputs!$B$39&lt;&gt;"pvp",Inputs!$B$44&gt;0),MIN(15,Inputs!$B$44)/(Inputs!$B$44),0))),0)))-100),0))*CHOOSE(ArtifactsInput!$N$42+1,0.6,0.72,0.84,0.96,1.08,1.2))),Inputs!$B$19+((C3050=TRUE)*(F3050-Calc!F23))+(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gt;=100),CHOOSE(ArtifactsInput!$N$42+1,40,48,56,64,72,80),0))))/100)*((1+(((C3040=TRUE)*F3040*IF(AND(Inputs!$B$39&lt;&gt;"pvp",Inputs!$B$44&gt;0),(((R3040-1)*MIN((Skills!T13*(1+Inputs!$B$35/100)),(1/Q3040))+MIN((Skills!T13*(1+Inputs!$B$35/100)),MAX(0,Inputs!$B$44-((R3040-1)*(1/Q3040)))))/Inputs!$B$44),IF(Inputs!$B$39="pvp",MIN((Skills!T13*(1+Inputs!$B$35/100)),15)/15,MIN(1,(Skills!T13*(1+Inputs!$B$35/100))/(1/Q3040)))))+((C3041=TRUE)*F3041*IF(AND(Inputs!$B$39&lt;&gt;"pvp",Inputs!$B$44&gt;0),(((R3041-1)*MIN((Skills!T14*(1+Inputs!$B$35/100)),(1/Q3041))+MIN((Skills!T14*(1+Inputs!$B$35/100)),MAX(0,Inputs!$B$44-((R3041-1)*(1/Q3041)))))/Inputs!$B$44),IF(Inputs!$B$39="pvp",MIN((Skills!T14*(1+Inputs!$B$35/100)),15)/15,MIN(1,(Skills!T14*(1+Inputs!$B$35/100))/(1/Q3041)))))+((C3042=TRUE)*F3042*IF(AND(Inputs!$B$39&lt;&gt;"pvp",Inputs!$B$44&gt;0),(((R3042-1)*MIN((Skills!T15*(1+Inputs!$B$35/100)),(1/Q3042))+MIN((Skills!T15*(1+Inputs!$B$35/100)),MAX(0,Inputs!$B$44-((R3042-1)*(1/Q3042)))))/Inputs!$B$44),IF(Inputs!$B$39="pvp",MIN((Skills!T15*(1+Inputs!$B$35/100)),15)/15,MIN(1,(Skills!T15*(1+Inputs!$B$35/100))/(1/Q3042)))))+((C3043=TRUE)*F3043*IF(AND(Inputs!$B$39&lt;&gt;"pvp",Inputs!$B$44&gt;0),(((R3043-1)*MIN((Skills!T16*(1+Inputs!$B$35/100)),(1/Q3043))+MIN((Skills!T16*(1+Inputs!$B$35/100)),MAX(0,Inputs!$B$44-((R3043-1)*(1/Q3043)))))/Inputs!$B$44),IF(Inputs!$B$39="pvp",MIN((Skills!T16*(1+Inputs!$B$35/100)),15)/15,MIN(1,(Skills!T16*(1+Inputs!$B$35/100))/(1/Q3043)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3033)</f>
        <v/>
      </c>
      <c r="L3033">
        <f>K3033*(MIN(Inputs!$B$23+((C3049=TRUE)*(F3049-Calc!F22)),(Inputs!$B$24+((C3051=TRUE)*(F3051-Calc!F24))+(IF(ArtifactsInput!$M$15,CHOOSE(ArtifactsInput!$N$15+1,25,30,35,40,45,50)/100*(Inputs!$B$12-Inputs!$B$12),0))))/100+(Inputs!$B$24+((C3051=TRUE)*(F3051-Calc!F24))+(IF(ArtifactsInput!$M$15,CHOOSE(ArtifactsInput!$N$15+1,25,30,35,40,45,50)/100*(Inputs!$B$12-Inputs!$B$12),0)))/100)/2</f>
        <v/>
      </c>
      <c r="M3033">
        <f>L3033*(1+(Inputs!$B$11+0+B3061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033">
        <f>L3033*(1-MIN((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3033*(MIN((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33">
        <f>(1-Summary!$B$11)*T3033+Summary!$B$11*V3033</f>
        <v/>
      </c>
      <c r="P3033">
        <f>IF(B3066=0,0,O3033/B3066)</f>
        <v/>
      </c>
      <c r="Q3033">
        <f>IFERROR(1/IF(Inputs!$B$39="pvp",15,MAX(0.1,Skills!D6-IF(TRUE=TRUE,3.5,0))),0)</f>
        <v/>
      </c>
      <c r="R3033">
        <f>IF(AND(Inputs!$B$39&lt;&gt;"pvp",Inputs!$B$44&gt;0),IF(MAX(0,Inputs!$B$44-B3063)&lt;=0,0,(INT(MAX(0,Inputs!$B$44-B3063)/IF(Inputs!$B$39="pvp",15,MAX(0.1,Skills!D6-IF(TRUE=TRUE,3.5,0))))+1)),0)</f>
        <v/>
      </c>
      <c r="S3033">
        <f>IFERROR(O3033/N3033,0)</f>
        <v/>
      </c>
      <c r="T3033">
        <f>IF(C3033,(H3033*N3033*IF(AND(Inputs!$B$39&lt;&gt;"pvp",Inputs!$B$44&gt;0),((Skills!G6*((R3033-1)*IF(Skills!H6&gt;0,INT(Skills!I6/Skills!H6+0.000000001),1)+IF(Skills!H6&gt;0,INT(MIN(Skills!I6,MAX(0,MAX(0,Inputs!$B$44-B3063)-((R3033-1)*IF(Inputs!$B$39="pvp",15,MAX(0.1,Skills!D6-IF(TRUE=TRUE,3.5,0))))))/Skills!H6+0.000000001),1)))/Inputs!$B$44),G3033*Q3033))*IF(Inputs!$B$39="pvp",1,1+(Inputs!$B$21+0+Skills!P6+((C3044=TRUE)*F3044*IF(AND(Inputs!$B$39&lt;&gt;"pvp",Inputs!$B$44&gt;0),(((R3044-1)*MIN((Skills!T17*(1+Inputs!$B$35/100)),(1/Q3044))+MIN((Skills!T17*(1+Inputs!$B$35/100)),MAX(0,Inputs!$B$44-((R3044-1)*(1/Q3044)))))/Inputs!$B$44),IF(Inputs!$B$39="pvp",MIN((Skills!T17*(1+Inputs!$B$35/100)),15)/15,MIN(1,(Skills!T17*(1+Inputs!$B$35/100))/(1/Q3044)))))+((C3032=TRUE)*IF(Inputs!$B$3&gt;=126,10*MIN(1,15*Q3032),0))+((C3041=TRUE)*IF(Inputs!$B$39="pvp",20,(1-Summary!$B$11)*(20)+Summary!$B$11*(0))*IF(AND(Inputs!$B$39&lt;&gt;"pvp",Inputs!$B$44&gt;0),(((R3041-1)*MIN((Skills!T14*(1+Inputs!$B$35/100)),(1/Q3041))+MIN((Skills!T14*(1+Inputs!$B$35/100)),MAX(0,Inputs!$B$44-((R3041-1)*(1/Q3041)))))/Inputs!$B$44),IF(Inputs!$B$39="pvp",MIN((Skills!T14*(1+Inputs!$B$35/100)),15)/15,MIN(1,(Skills!T14*(1+Inputs!$B$35/100))/(1/Q3041)))))+((C3040=TRUE)*IF(Inputs!$B$3&gt;=82,IF(Inputs!$B$39="pvp",20,(1-Summary!$B$11)*(20)+Summary!$B$11*(0)),0)*IF(AND(Inputs!$B$39&lt;&gt;"pvp",Inputs!$B$44&gt;0),(((R3040-1)*MIN((Skills!T13*(1+Inputs!$B$35/100)),(1/Q3040))+MIN((Skills!T13*(1+Inputs!$B$35/100)),MAX(0,Inputs!$B$44-((R3040-1)*(1/Q3040)))))/Inputs!$B$44),IF(Inputs!$B$39="pvp",MIN((Skills!T13*(1+Inputs!$B$35/100)),15)/15,MIN(1,(Skills!T13*(1+Inputs!$B$35/100))/(1/Q3040)))))+(IF(AND(ArtifactsInput!$M$35,Inputs!$B$4&lt;&gt;"Chapter Hunt"),CHOOSE(ArtifactsInput!$N$35+1,15,18,21,24,27,30)*(1-EXP(-(0.2*B3058)*5)),0)+IF(AND(ArtifactsInput!$M$22,Inputs!$B$4&lt;&gt;"Chapter Hunt"),CHOOSE(ArtifactsInput!$N$22+1,10,12,14,16,18,20)*((0*(((0.15*B3058*5))^0/1)+1*(((0.15*B3058*5))^1/1)+2*(((0.15*B3058*5))^2/2)+3*(((0.15*B3058*5))^3/6)+4*(((0.15*B3058*5))^4/24)+5*(((0.15*B3058*5))^5/120))/((((0.15*B3058*5))^0/1)+(((0.15*B3058*5))^1/1)+(((0.15*B3058*5))^2/2)+(((0.15*B3058*5))^3/6)+(((0.15*B3058*5))^4/24)+(((0.15*B3058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3033*(1-MIN(100,(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3033*(MIN(100,(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3033*(1-MIN(100,(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3033*(MIN(100,(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33">
        <f>IF(C3033,(H3033*N3033*IF(AND(Inputs!$B$39&lt;&gt;"pvp",Inputs!$B$44&gt;0),((Skills!G6*((R3033-1)*IF(Skills!H6&gt;0,INT(Skills!I6/Skills!H6+0.000000001),1)+IF(Skills!H6&gt;0,INT(MIN(Skills!I6,MAX(0,MAX(0,Inputs!$B$44-B3063)-((R3033-1)*IF(Inputs!$B$39="pvp",15,MAX(0.1,Skills!D6-IF(TRUE=TRUE,3.5,0))))))/Skills!H6+0.000000001),1)))/Inputs!$B$44),G3033*Q3033))*IF(Inputs!$B$39="pvp",1,(1+(Inputs!$B$22+Skills!Q6+((C3044=TRUE)*F3044*IF(AND(Inputs!$B$39&lt;&gt;"pvp",Inputs!$B$44&gt;0),(((R3044-1)*MIN((Skills!T17*(1+Inputs!$B$35/100)),(1/Q3044))+MIN((Skills!T17*(1+Inputs!$B$35/100)),MAX(0,Inputs!$B$44-((R3044-1)*(1/Q3044)))))/Inputs!$B$44),IF(Inputs!$B$39="pvp",MIN((Skills!T17*(1+Inputs!$B$35/100)),15)/15,MIN(1,(Skills!T17*(1+Inputs!$B$35/100))/(1/Q3044)))))+((C3032=TRUE)*IF(Inputs!$B$3&gt;=126,10*MIN(1,15*Q3032),0))+((C3041=TRUE)*IF(Inputs!$B$39="pvp",20,(1-Summary!$B$11)*(20)+Summary!$B$11*(0))*IF(AND(Inputs!$B$39&lt;&gt;"pvp",Inputs!$B$44&gt;0),(((R3041-1)*MIN((Skills!T14*(1+Inputs!$B$35/100)),(1/Q3041))+MIN((Skills!T14*(1+Inputs!$B$35/100)),MAX(0,Inputs!$B$44-((R3041-1)*(1/Q3041)))))/Inputs!$B$44),IF(Inputs!$B$39="pvp",MIN((Skills!T14*(1+Inputs!$B$35/100)),15)/15,MIN(1,(Skills!T14*(1+Inputs!$B$35/100))/(1/Q3041)))))+((C3040=TRUE)*IF(Inputs!$B$3&gt;=82,IF(Inputs!$B$39="pvp",20,(1-Summary!$B$11)*(20)+Summary!$B$11*(0)),0)*IF(AND(Inputs!$B$39&lt;&gt;"pvp",Inputs!$B$44&gt;0),(((R3040-1)*MIN((Skills!T13*(1+Inputs!$B$35/100)),(1/Q3040))+MIN((Skills!T13*(1+Inputs!$B$35/100)),MAX(0,Inputs!$B$44-((R3040-1)*(1/Q3040)))))/Inputs!$B$44),IF(Inputs!$B$39="pvp",MIN((Skills!T13*(1+Inputs!$B$35/100)),15)/15,MIN(1,(Skills!T13*(1+Inputs!$B$35/100))/(1/Q3040)))))+(IF(AND(ArtifactsInput!$M$35,Inputs!$B$4&lt;&gt;"Chapter Hunt"),CHOOSE(ArtifactsInput!$N$35+1,15,18,21,24,27,30)*(1-EXP(-(0.2*B3058)*5)),0)+IF(AND(ArtifactsInput!$M$22,Inputs!$B$4&lt;&gt;"Chapter Hunt"),CHOOSE(ArtifactsInput!$N$22+1,10,12,14,16,18,20)*((0*(((0.15*B3058*5))^0/1)+1*(((0.15*B3058*5))^1/1)+2*(((0.15*B3058*5))^2/2)+3*(((0.15*B3058*5))^3/6)+4*(((0.15*B3058*5))^4/24)+5*(((0.15*B3058*5))^5/120))/((((0.15*B3058*5))^0/1)+(((0.15*B3058*5))^1/1)+(((0.15*B3058*5))^2/2)+(((0.15*B3058*5))^3/6)+(((0.15*B3058*5))^4/24)+(((0.15*B3058*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34">
      <c r="A3034">
        <f>Skills!A7</f>
        <v/>
      </c>
      <c r="B3034">
        <f>Skills!B7</f>
        <v/>
      </c>
      <c r="C3034">
        <f>Inputs!$B$3&gt;=40</f>
        <v/>
      </c>
      <c r="D3034">
        <f>IF(Skills!C7=1,60+Inputs!$B$26+Inputs!$B$30,IF(Skills!C7=2,90+Inputs!$B$27+Inputs!$B$30,IF(Skills!C7=3,120+Inputs!$B$28+Inputs!$B$30,MAX(0,(Inputs!$B$3-100)*3)+Inputs!$B$29+Inputs!$B$30)))</f>
        <v/>
      </c>
      <c r="E3034">
        <f>INDEX(FactorTable!$B$2:$Y$301, MATCH(ROUND(MIN(300,MAX(1,D3034)),0), FactorTable!$A$2:$A$301,0), Skills!M7+1)</f>
        <v/>
      </c>
      <c r="F3034">
        <f>IF(Skills!N7=TRUE,(Skills!L7/10)*(E3034/1000),Skills!L7/10)+Skills!O7</f>
        <v/>
      </c>
      <c r="G3034">
        <f>Skills!G7*IF(Skills!H7&gt;0,INT(IF(Inputs!$B$39="pvp",MIN(Skills!I7,15),Skills!I7)/Skills!H7+0.000000001),1)</f>
        <v/>
      </c>
      <c r="H3034">
        <f>1-(1-Skills!J7/100)^Skills!K7</f>
        <v/>
      </c>
      <c r="I3034" t="inlineStr">
        <is>
          <t>1</t>
        </is>
      </c>
      <c r="J3034">
        <f>((Inputs!$B$6*(1+Inputs!$B$7/100))+(((Inputs!$B$13*(1+Inputs!$B$14/100))-(Inputs!$B$13*(1+Inputs!$B$14/100)))+0.25*(Inputs!$B$15-Inputs!$B$15))*(1+Inputs!$B$7/100))*(F3034/100)</f>
        <v/>
      </c>
      <c r="K3034">
        <f>J3034*(1+(((Inputs!$B$13+IF(Inputs!$B$3&gt;=38,(10*INDEX(FactorTable!$B$2:$Y$301, MATCH(ROUND(MIN(300,MAX(1,Inputs!$B$3)),0), FactorTable!$A$2:$A$301,0), 23)/1000)/100*(Inputs!$B$8*(1+Inputs!$B$9/100)),0))*(1+Inputs!$B$14/100))*0.01+Inputs!$B$15*0.0025)/100)*(1+Inputs!$B$16/100)*(1+Inputs!$B$17/100)*(5000/(6000+Inputs!$B$43*(1-(Inputs!$B$20+0)/100)))*(1+(Inputs!$B$25+((C3052=TRUE)*(F3052-Calc!F25))+((C3053=TRUE)*(F3053-Calc!F26))+B3062)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3038=TRUE,F3038,0)/100)*(1+(IF(Skills!A7="DARK_IMPALE",Inputs!$B$18+0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gt;=100),MIN(100,((Inputs!$B$10+0+B3056+(ArtifactsInput!$M$24-ArtifactsInput!$M$24)*CHOOSE(ArtifactsInput!$N$24+1,10,12,14,16,18,20)+IF(ArtifactsInput!$M$10,CHOOSE(ArtifactsInput!$N$10+1,15,18,21,24,27,30)*(IF(Inputs!$B$39="pvp",MIN(15,15)/15,IF(AND(Inputs!$B$39&lt;&gt;"pvp",Inputs!$B$44&gt;0),MIN(15,Inputs!$B$44)/(Inputs!$B$44),0))),0)))-100),0))*CHOOSE(ArtifactsInput!$N$42+1,0.6,0.72,0.84,0.96,1.08,1.2))),Inputs!$B$19+((C3050=TRUE)*(F3050-Calc!F23))+(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gt;=100),CHOOSE(ArtifactsInput!$N$42+1,40,48,56,64,72,80),0))))/100)*((1+(((C3040=TRUE)*F3040*IF(AND(Inputs!$B$39&lt;&gt;"pvp",Inputs!$B$44&gt;0),(((R3040-1)*MIN((Skills!T13*(1+Inputs!$B$35/100)),(1/Q3040))+MIN((Skills!T13*(1+Inputs!$B$35/100)),MAX(0,Inputs!$B$44-((R3040-1)*(1/Q3040)))))/Inputs!$B$44),IF(Inputs!$B$39="pvp",MIN((Skills!T13*(1+Inputs!$B$35/100)),15)/15,MIN(1,(Skills!T13*(1+Inputs!$B$35/100))/(1/Q3040)))))+((C3041=TRUE)*F3041*IF(AND(Inputs!$B$39&lt;&gt;"pvp",Inputs!$B$44&gt;0),(((R3041-1)*MIN((Skills!T14*(1+Inputs!$B$35/100)),(1/Q3041))+MIN((Skills!T14*(1+Inputs!$B$35/100)),MAX(0,Inputs!$B$44-((R3041-1)*(1/Q3041)))))/Inputs!$B$44),IF(Inputs!$B$39="pvp",MIN((Skills!T14*(1+Inputs!$B$35/100)),15)/15,MIN(1,(Skills!T14*(1+Inputs!$B$35/100))/(1/Q3041)))))+((C3042=TRUE)*F3042*IF(AND(Inputs!$B$39&lt;&gt;"pvp",Inputs!$B$44&gt;0),(((R3042-1)*MIN((Skills!T15*(1+Inputs!$B$35/100)),(1/Q3042))+MIN((Skills!T15*(1+Inputs!$B$35/100)),MAX(0,Inputs!$B$44-((R3042-1)*(1/Q3042)))))/Inputs!$B$44),IF(Inputs!$B$39="pvp",MIN((Skills!T15*(1+Inputs!$B$35/100)),15)/15,MIN(1,(Skills!T15*(1+Inputs!$B$35/100))/(1/Q3042)))))+((C3043=TRUE)*F3043*IF(AND(Inputs!$B$39&lt;&gt;"pvp",Inputs!$B$44&gt;0),(((R3043-1)*MIN((Skills!T16*(1+Inputs!$B$35/100)),(1/Q3043))+MIN((Skills!T16*(1+Inputs!$B$35/100)),MAX(0,Inputs!$B$44-((R3043-1)*(1/Q3043)))))/Inputs!$B$44),IF(Inputs!$B$39="pvp",MIN((Skills!T16*(1+Inputs!$B$35/100)),15)/15,MIN(1,(Skills!T16*(1+Inputs!$B$35/100))/(1/Q3043)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3034)</f>
        <v/>
      </c>
      <c r="L3034">
        <f>K3034*(MIN(Inputs!$B$23+((C3049=TRUE)*(F3049-Calc!F22)),(Inputs!$B$24+((C3051=TRUE)*(F3051-Calc!F24))+(IF(ArtifactsInput!$M$15,CHOOSE(ArtifactsInput!$N$15+1,25,30,35,40,45,50)/100*(Inputs!$B$12-Inputs!$B$12),0))))/100+(Inputs!$B$24+((C3051=TRUE)*(F3051-Calc!F24))+(IF(ArtifactsInput!$M$15,CHOOSE(ArtifactsInput!$N$15+1,25,30,35,40,45,50)/100*(Inputs!$B$12-Inputs!$B$12),0)))/100)/2</f>
        <v/>
      </c>
      <c r="M3034">
        <f>L3034*(1+(Inputs!$B$11+0+B3061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034">
        <f>L3034*(1-MIN((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3034*(MIN((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34">
        <f>(1-Summary!$B$11)*T3034+Summary!$B$11*V3034</f>
        <v/>
      </c>
      <c r="P3034">
        <f>IF(B3066=0,0,O3034/B3066)</f>
        <v/>
      </c>
      <c r="Q3034">
        <f>IFERROR(1/IF(Inputs!$B$39="pvp",15,MAX(0.1,Skills!D7-IF(TRUE=TRUE,3.5,0))),0)</f>
        <v/>
      </c>
      <c r="R3034">
        <f>IF(AND(Inputs!$B$39&lt;&gt;"pvp",Inputs!$B$44&gt;0),IF(MAX(0,Inputs!$B$44-B3063)&lt;=0,0,(INT(MAX(0,Inputs!$B$44-B3063)/IF(Inputs!$B$39="pvp",15,MAX(0.1,Skills!D7-IF(TRUE=TRUE,3.5,0))))+1)),0)</f>
        <v/>
      </c>
      <c r="S3034">
        <f>IFERROR(O3034/N3034,0)</f>
        <v/>
      </c>
      <c r="T3034">
        <f>IF(C3034,(H3034*N3034*IF(AND(Inputs!$B$39&lt;&gt;"pvp",Inputs!$B$44&gt;0),((Skills!G7*((R3034-1)*IF(Skills!H7&gt;0,INT(Skills!I7/Skills!H7+0.000000001),1)+IF(Skills!H7&gt;0,INT(MIN(Skills!I7,MAX(0,MAX(0,Inputs!$B$44-B3063)-((R3034-1)*IF(Inputs!$B$39="pvp",15,MAX(0.1,Skills!D7-IF(TRUE=TRUE,3.5,0))))))/Skills!H7+0.000000001),1)))/Inputs!$B$44),G3034*Q3034))*IF(Inputs!$B$39="pvp",1,1+(Inputs!$B$21+0+Skills!P7+((C3044=TRUE)*F3044*IF(AND(Inputs!$B$39&lt;&gt;"pvp",Inputs!$B$44&gt;0),(((R3044-1)*MIN((Skills!T17*(1+Inputs!$B$35/100)),(1/Q3044))+MIN((Skills!T17*(1+Inputs!$B$35/100)),MAX(0,Inputs!$B$44-((R3044-1)*(1/Q3044)))))/Inputs!$B$44),IF(Inputs!$B$39="pvp",MIN((Skills!T17*(1+Inputs!$B$35/100)),15)/15,MIN(1,(Skills!T17*(1+Inputs!$B$35/100))/(1/Q3044)))))+((C3032=TRUE)*IF(Inputs!$B$3&gt;=126,10*MIN(1,15*Q3032),0))+((C3041=TRUE)*IF(Inputs!$B$39="pvp",20,(1-Summary!$B$11)*(20)+Summary!$B$11*(0))*IF(AND(Inputs!$B$39&lt;&gt;"pvp",Inputs!$B$44&gt;0),(((R3041-1)*MIN((Skills!T14*(1+Inputs!$B$35/100)),(1/Q3041))+MIN((Skills!T14*(1+Inputs!$B$35/100)),MAX(0,Inputs!$B$44-((R3041-1)*(1/Q3041)))))/Inputs!$B$44),IF(Inputs!$B$39="pvp",MIN((Skills!T14*(1+Inputs!$B$35/100)),15)/15,MIN(1,(Skills!T14*(1+Inputs!$B$35/100))/(1/Q3041)))))+((C3040=TRUE)*IF(Inputs!$B$3&gt;=82,IF(Inputs!$B$39="pvp",20,(1-Summary!$B$11)*(20)+Summary!$B$11*(0)),0)*IF(AND(Inputs!$B$39&lt;&gt;"pvp",Inputs!$B$44&gt;0),(((R3040-1)*MIN((Skills!T13*(1+Inputs!$B$35/100)),(1/Q3040))+MIN((Skills!T13*(1+Inputs!$B$35/100)),MAX(0,Inputs!$B$44-((R3040-1)*(1/Q3040)))))/Inputs!$B$44),IF(Inputs!$B$39="pvp",MIN((Skills!T13*(1+Inputs!$B$35/100)),15)/15,MIN(1,(Skills!T13*(1+Inputs!$B$35/100))/(1/Q3040)))))+(IF(AND(ArtifactsInput!$M$35,Inputs!$B$4&lt;&gt;"Chapter Hunt"),CHOOSE(ArtifactsInput!$N$35+1,15,18,21,24,27,30)*(1-EXP(-(0.2*B3058)*5)),0)+IF(AND(ArtifactsInput!$M$22,Inputs!$B$4&lt;&gt;"Chapter Hunt"),CHOOSE(ArtifactsInput!$N$22+1,10,12,14,16,18,20)*((0*(((0.15*B3058*5))^0/1)+1*(((0.15*B3058*5))^1/1)+2*(((0.15*B3058*5))^2/2)+3*(((0.15*B3058*5))^3/6)+4*(((0.15*B3058*5))^4/24)+5*(((0.15*B3058*5))^5/120))/((((0.15*B3058*5))^0/1)+(((0.15*B3058*5))^1/1)+(((0.15*B3058*5))^2/2)+(((0.15*B3058*5))^3/6)+(((0.15*B3058*5))^4/24)+(((0.15*B3058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3034*(1-MIN(100,(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3034*(MIN(100,(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3034*(1-MIN(100,(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3034*(MIN(100,(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34">
        <f>IF(C3034,(H3034*N3034*IF(AND(Inputs!$B$39&lt;&gt;"pvp",Inputs!$B$44&gt;0),((Skills!G7*((R3034-1)*IF(Skills!H7&gt;0,INT(Skills!I7/Skills!H7+0.000000001),1)+IF(Skills!H7&gt;0,INT(MIN(Skills!I7,MAX(0,MAX(0,Inputs!$B$44-B3063)-((R3034-1)*IF(Inputs!$B$39="pvp",15,MAX(0.1,Skills!D7-IF(TRUE=TRUE,3.5,0))))))/Skills!H7+0.000000001),1)))/Inputs!$B$44),G3034*Q3034))*IF(Inputs!$B$39="pvp",1,(1+(Inputs!$B$22+Skills!Q7+((C3044=TRUE)*F3044*IF(AND(Inputs!$B$39&lt;&gt;"pvp",Inputs!$B$44&gt;0),(((R3044-1)*MIN((Skills!T17*(1+Inputs!$B$35/100)),(1/Q3044))+MIN((Skills!T17*(1+Inputs!$B$35/100)),MAX(0,Inputs!$B$44-((R3044-1)*(1/Q3044)))))/Inputs!$B$44),IF(Inputs!$B$39="pvp",MIN((Skills!T17*(1+Inputs!$B$35/100)),15)/15,MIN(1,(Skills!T17*(1+Inputs!$B$35/100))/(1/Q3044)))))+((C3032=TRUE)*IF(Inputs!$B$3&gt;=126,10*MIN(1,15*Q3032),0))+((C3041=TRUE)*IF(Inputs!$B$39="pvp",20,(1-Summary!$B$11)*(20)+Summary!$B$11*(0))*IF(AND(Inputs!$B$39&lt;&gt;"pvp",Inputs!$B$44&gt;0),(((R3041-1)*MIN((Skills!T14*(1+Inputs!$B$35/100)),(1/Q3041))+MIN((Skills!T14*(1+Inputs!$B$35/100)),MAX(0,Inputs!$B$44-((R3041-1)*(1/Q3041)))))/Inputs!$B$44),IF(Inputs!$B$39="pvp",MIN((Skills!T14*(1+Inputs!$B$35/100)),15)/15,MIN(1,(Skills!T14*(1+Inputs!$B$35/100))/(1/Q3041)))))+((C3040=TRUE)*IF(Inputs!$B$3&gt;=82,IF(Inputs!$B$39="pvp",20,(1-Summary!$B$11)*(20)+Summary!$B$11*(0)),0)*IF(AND(Inputs!$B$39&lt;&gt;"pvp",Inputs!$B$44&gt;0),(((R3040-1)*MIN((Skills!T13*(1+Inputs!$B$35/100)),(1/Q3040))+MIN((Skills!T13*(1+Inputs!$B$35/100)),MAX(0,Inputs!$B$44-((R3040-1)*(1/Q3040)))))/Inputs!$B$44),IF(Inputs!$B$39="pvp",MIN((Skills!T13*(1+Inputs!$B$35/100)),15)/15,MIN(1,(Skills!T13*(1+Inputs!$B$35/100))/(1/Q3040)))))+(IF(AND(ArtifactsInput!$M$35,Inputs!$B$4&lt;&gt;"Chapter Hunt"),CHOOSE(ArtifactsInput!$N$35+1,15,18,21,24,27,30)*(1-EXP(-(0.2*B3058)*5)),0)+IF(AND(ArtifactsInput!$M$22,Inputs!$B$4&lt;&gt;"Chapter Hunt"),CHOOSE(ArtifactsInput!$N$22+1,10,12,14,16,18,20)*((0*(((0.15*B3058*5))^0/1)+1*(((0.15*B3058*5))^1/1)+2*(((0.15*B3058*5))^2/2)+3*(((0.15*B3058*5))^3/6)+4*(((0.15*B3058*5))^4/24)+5*(((0.15*B3058*5))^5/120))/((((0.15*B3058*5))^0/1)+(((0.15*B3058*5))^1/1)+(((0.15*B3058*5))^2/2)+(((0.15*B3058*5))^3/6)+(((0.15*B3058*5))^4/24)+(((0.15*B3058*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35">
      <c r="A3035">
        <f>Skills!A8</f>
        <v/>
      </c>
      <c r="B3035">
        <f>Skills!B8</f>
        <v/>
      </c>
      <c r="C3035">
        <f>Inputs!$B$3&gt;=75</f>
        <v/>
      </c>
      <c r="D3035">
        <f>IF(Skills!C8=1,60+Inputs!$B$26+Inputs!$B$30,IF(Skills!C8=2,90+Inputs!$B$27+Inputs!$B$30,IF(Skills!C8=3,120+Inputs!$B$28+Inputs!$B$30,MAX(0,(Inputs!$B$3-100)*3)+Inputs!$B$29+Inputs!$B$30)))</f>
        <v/>
      </c>
      <c r="E3035">
        <f>INDEX(FactorTable!$B$2:$Y$301, MATCH(ROUND(MIN(300,MAX(1,D3035)),0), FactorTable!$A$2:$A$301,0), Skills!M8+1)</f>
        <v/>
      </c>
      <c r="F3035">
        <f>IF(Skills!N8=TRUE,(Skills!L8/10)*(E3035/1000),Skills!L8/10)+Skills!O8</f>
        <v/>
      </c>
      <c r="G3035" t="inlineStr"/>
      <c r="H3035" t="inlineStr"/>
      <c r="I3035" t="inlineStr">
        <is>
          <t>1</t>
        </is>
      </c>
      <c r="J3035" t="inlineStr"/>
      <c r="K3035" t="inlineStr"/>
      <c r="L3035" t="inlineStr"/>
      <c r="M3035" t="inlineStr"/>
      <c r="N3035" t="inlineStr"/>
      <c r="O3035" t="inlineStr"/>
      <c r="P3035" t="inlineStr"/>
      <c r="Q3035" t="inlineStr"/>
      <c r="R3035" t="inlineStr"/>
      <c r="S3035" t="inlineStr"/>
    </row>
    <row r="3036">
      <c r="A3036">
        <f>Skills!A9</f>
        <v/>
      </c>
      <c r="B3036">
        <f>Skills!B9</f>
        <v/>
      </c>
      <c r="C3036">
        <f>Inputs!$B$3&gt;=60</f>
        <v/>
      </c>
      <c r="D3036">
        <f>IF(Skills!C9=1,60+Inputs!$B$26+Inputs!$B$30,IF(Skills!C9=2,90+Inputs!$B$27+Inputs!$B$30,IF(Skills!C9=3,120+Inputs!$B$28+Inputs!$B$30,MAX(0,(Inputs!$B$3-100)*3)+Inputs!$B$29+Inputs!$B$30)))</f>
        <v/>
      </c>
      <c r="E3036">
        <f>INDEX(FactorTable!$B$2:$Y$301, MATCH(ROUND(MIN(300,MAX(1,D3036)),0), FactorTable!$A$2:$A$301,0), Skills!M9+1)</f>
        <v/>
      </c>
      <c r="F3036">
        <f>IF(Skills!N9=TRUE,(Skills!L9/10)*(E3036/1000),Skills!L9/10)+Skills!O9</f>
        <v/>
      </c>
      <c r="G3036">
        <f>Skills!G9*IF(Skills!H9&gt;0,INT(IF(Inputs!$B$39="pvp",MIN(Skills!I9,15),Skills!I9)/Skills!H9+0.000000001),1)</f>
        <v/>
      </c>
      <c r="H3036">
        <f>1-(1-Skills!J9/100)^Skills!K9</f>
        <v/>
      </c>
      <c r="I3036" t="inlineStr">
        <is>
          <t>1</t>
        </is>
      </c>
      <c r="J3036">
        <f>((Inputs!$B$6*(1+Inputs!$B$7/100))+(((Inputs!$B$13*(1+Inputs!$B$14/100))-(Inputs!$B$13*(1+Inputs!$B$14/100)))+0.25*(Inputs!$B$15-Inputs!$B$15))*(1+Inputs!$B$7/100))*(F3036/100)</f>
        <v/>
      </c>
      <c r="K3036">
        <f>J3036*(1+(((Inputs!$B$13+IF(Inputs!$B$3&gt;=38,(10*INDEX(FactorTable!$B$2:$Y$301, MATCH(ROUND(MIN(300,MAX(1,Inputs!$B$3)),0), FactorTable!$A$2:$A$301,0), 23)/1000)/100*(Inputs!$B$8*(1+Inputs!$B$9/100)),0))*(1+Inputs!$B$14/100))*0.01+Inputs!$B$15*0.0025)/100)*(1+Inputs!$B$16/100)*(1+Inputs!$B$17/100)*(5000/(6000+Inputs!$B$43*(1-(Inputs!$B$20+0)/100)))*(1+(Inputs!$B$25+((C3052=TRUE)*(F3052-Calc!F25))+((C3053=TRUE)*(F3053-Calc!F26))+B3062)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3038=TRUE,F3038,0)/100)*(1+(IF(Skills!A9="DARK_IMPALE",Inputs!$B$18+0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gt;=100),MIN(100,((Inputs!$B$10+0+B3056+(ArtifactsInput!$M$24-ArtifactsInput!$M$24)*CHOOSE(ArtifactsInput!$N$24+1,10,12,14,16,18,20)+IF(ArtifactsInput!$M$10,CHOOSE(ArtifactsInput!$N$10+1,15,18,21,24,27,30)*(IF(Inputs!$B$39="pvp",MIN(15,15)/15,IF(AND(Inputs!$B$39&lt;&gt;"pvp",Inputs!$B$44&gt;0),MIN(15,Inputs!$B$44)/(Inputs!$B$44),0))),0)))-100),0))*CHOOSE(ArtifactsInput!$N$42+1,0.6,0.72,0.84,0.96,1.08,1.2))),Inputs!$B$19+((C3050=TRUE)*(F3050-Calc!F23))+(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gt;=100),CHOOSE(ArtifactsInput!$N$42+1,40,48,56,64,72,80),0))))/100)*((1+(((C3040=TRUE)*F3040*IF(AND(Inputs!$B$39&lt;&gt;"pvp",Inputs!$B$44&gt;0),(((R3040-1)*MIN((Skills!T13*(1+Inputs!$B$35/100)),(1/Q3040))+MIN((Skills!T13*(1+Inputs!$B$35/100)),MAX(0,Inputs!$B$44-((R3040-1)*(1/Q3040)))))/Inputs!$B$44),IF(Inputs!$B$39="pvp",MIN((Skills!T13*(1+Inputs!$B$35/100)),15)/15,MIN(1,(Skills!T13*(1+Inputs!$B$35/100))/(1/Q3040)))))+((C3041=TRUE)*F3041*IF(AND(Inputs!$B$39&lt;&gt;"pvp",Inputs!$B$44&gt;0),(((R3041-1)*MIN((Skills!T14*(1+Inputs!$B$35/100)),(1/Q3041))+MIN((Skills!T14*(1+Inputs!$B$35/100)),MAX(0,Inputs!$B$44-((R3041-1)*(1/Q3041)))))/Inputs!$B$44),IF(Inputs!$B$39="pvp",MIN((Skills!T14*(1+Inputs!$B$35/100)),15)/15,MIN(1,(Skills!T14*(1+Inputs!$B$35/100))/(1/Q3041)))))+((C3042=TRUE)*F3042*IF(AND(Inputs!$B$39&lt;&gt;"pvp",Inputs!$B$44&gt;0),(((R3042-1)*MIN((Skills!T15*(1+Inputs!$B$35/100)),(1/Q3042))+MIN((Skills!T15*(1+Inputs!$B$35/100)),MAX(0,Inputs!$B$44-((R3042-1)*(1/Q3042)))))/Inputs!$B$44),IF(Inputs!$B$39="pvp",MIN((Skills!T15*(1+Inputs!$B$35/100)),15)/15,MIN(1,(Skills!T15*(1+Inputs!$B$35/100))/(1/Q3042)))))+((C3043=TRUE)*F3043*IF(AND(Inputs!$B$39&lt;&gt;"pvp",Inputs!$B$44&gt;0),(((R3043-1)*MIN((Skills!T16*(1+Inputs!$B$35/100)),(1/Q3043))+MIN((Skills!T16*(1+Inputs!$B$35/100)),MAX(0,Inputs!$B$44-((R3043-1)*(1/Q3043)))))/Inputs!$B$44),IF(Inputs!$B$39="pvp",MIN((Skills!T16*(1+Inputs!$B$35/100)),15)/15,MIN(1,(Skills!T16*(1+Inputs!$B$35/100))/(1/Q3043)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3036)</f>
        <v/>
      </c>
      <c r="L3036">
        <f>K3036*(MIN(Inputs!$B$23+((C3049=TRUE)*(F3049-Calc!F22)),(Inputs!$B$24+((C3051=TRUE)*(F3051-Calc!F24))+(IF(ArtifactsInput!$M$15,CHOOSE(ArtifactsInput!$N$15+1,25,30,35,40,45,50)/100*(Inputs!$B$12-Inputs!$B$12),0))))/100+(Inputs!$B$24+((C3051=TRUE)*(F3051-Calc!F24))+(IF(ArtifactsInput!$M$15,CHOOSE(ArtifactsInput!$N$15+1,25,30,35,40,45,50)/100*(Inputs!$B$12-Inputs!$B$12),0)))/100)/2</f>
        <v/>
      </c>
      <c r="M3036">
        <f>L3036*(1+(Inputs!$B$11+0+B3061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036">
        <f>L3036*(1-MIN((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3036*(MIN((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36">
        <f>(1-Summary!$B$11)*T3036+Summary!$B$11*V3036</f>
        <v/>
      </c>
      <c r="P3036">
        <f>IF(B3066=0,0,O3036/B3066)</f>
        <v/>
      </c>
      <c r="Q3036">
        <f>IFERROR(1/IF(Inputs!$B$39="pvp",15,MAX(0.1,Skills!D9-IF(TRUE=TRUE,3.5,0))),0)</f>
        <v/>
      </c>
      <c r="R3036">
        <f>IF(AND(Inputs!$B$39&lt;&gt;"pvp",Inputs!$B$44&gt;0),IF(MAX(0,Inputs!$B$44-B3063)&lt;=0,0,(INT(MAX(0,Inputs!$B$44-B3063)/IF(Inputs!$B$39="pvp",15,MAX(0.1,Skills!D9-IF(TRUE=TRUE,3.5,0))))+1)),0)</f>
        <v/>
      </c>
      <c r="S3036">
        <f>IFERROR(O3036/N3036,0)</f>
        <v/>
      </c>
      <c r="T3036">
        <f>IF(C3036,(H3036*N3036*IF(AND(Inputs!$B$39&lt;&gt;"pvp",Inputs!$B$44&gt;0),((Skills!G9*((R3036-1)*IF(Skills!H9&gt;0,INT(Skills!I9/Skills!H9+0.000000001),1)+IF(Skills!H9&gt;0,INT(MIN(Skills!I9,MAX(0,MAX(0,Inputs!$B$44-B3063)-((R3036-1)*IF(Inputs!$B$39="pvp",15,MAX(0.1,Skills!D9-IF(TRUE=TRUE,3.5,0))))))/Skills!H9+0.000000001),1)))/Inputs!$B$44),G3036*Q3036))*IF(Inputs!$B$39="pvp",1,1+(Inputs!$B$21+0+Skills!P9+((C3044=TRUE)*F3044*IF(AND(Inputs!$B$39&lt;&gt;"pvp",Inputs!$B$44&gt;0),(((R3044-1)*MIN((Skills!T17*(1+Inputs!$B$35/100)),(1/Q3044))+MIN((Skills!T17*(1+Inputs!$B$35/100)),MAX(0,Inputs!$B$44-((R3044-1)*(1/Q3044)))))/Inputs!$B$44),IF(Inputs!$B$39="pvp",MIN((Skills!T17*(1+Inputs!$B$35/100)),15)/15,MIN(1,(Skills!T17*(1+Inputs!$B$35/100))/(1/Q3044)))))+((C3032=TRUE)*IF(Inputs!$B$3&gt;=126,10*MIN(1,15*Q3032),0))+((C3041=TRUE)*IF(Inputs!$B$39="pvp",20,(1-Summary!$B$11)*(20)+Summary!$B$11*(0))*IF(AND(Inputs!$B$39&lt;&gt;"pvp",Inputs!$B$44&gt;0),(((R3041-1)*MIN((Skills!T14*(1+Inputs!$B$35/100)),(1/Q3041))+MIN((Skills!T14*(1+Inputs!$B$35/100)),MAX(0,Inputs!$B$44-((R3041-1)*(1/Q3041)))))/Inputs!$B$44),IF(Inputs!$B$39="pvp",MIN((Skills!T14*(1+Inputs!$B$35/100)),15)/15,MIN(1,(Skills!T14*(1+Inputs!$B$35/100))/(1/Q3041)))))+((C3040=TRUE)*IF(Inputs!$B$3&gt;=82,IF(Inputs!$B$39="pvp",20,(1-Summary!$B$11)*(20)+Summary!$B$11*(0)),0)*IF(AND(Inputs!$B$39&lt;&gt;"pvp",Inputs!$B$44&gt;0),(((R3040-1)*MIN((Skills!T13*(1+Inputs!$B$35/100)),(1/Q3040))+MIN((Skills!T13*(1+Inputs!$B$35/100)),MAX(0,Inputs!$B$44-((R3040-1)*(1/Q3040)))))/Inputs!$B$44),IF(Inputs!$B$39="pvp",MIN((Skills!T13*(1+Inputs!$B$35/100)),15)/15,MIN(1,(Skills!T13*(1+Inputs!$B$35/100))/(1/Q3040)))))+(IF(AND(ArtifactsInput!$M$35,Inputs!$B$4&lt;&gt;"Chapter Hunt"),CHOOSE(ArtifactsInput!$N$35+1,15,18,21,24,27,30)*(1-EXP(-(0.2*B3058)*5)),0)+IF(AND(ArtifactsInput!$M$22,Inputs!$B$4&lt;&gt;"Chapter Hunt"),CHOOSE(ArtifactsInput!$N$22+1,10,12,14,16,18,20)*((0*(((0.15*B3058*5))^0/1)+1*(((0.15*B3058*5))^1/1)+2*(((0.15*B3058*5))^2/2)+3*(((0.15*B3058*5))^3/6)+4*(((0.15*B3058*5))^4/24)+5*(((0.15*B3058*5))^5/120))/((((0.15*B3058*5))^0/1)+(((0.15*B3058*5))^1/1)+(((0.15*B3058*5))^2/2)+(((0.15*B3058*5))^3/6)+(((0.15*B3058*5))^4/24)+(((0.15*B3058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3036*(1-MIN(100,(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3036*(MIN(100,(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3036*(1-MIN(100,(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3036*(MIN(100,(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36">
        <f>IF(C3036,(H3036*N3036*IF(AND(Inputs!$B$39&lt;&gt;"pvp",Inputs!$B$44&gt;0),((Skills!G9*((R3036-1)*IF(Skills!H9&gt;0,INT(Skills!I9/Skills!H9+0.000000001),1)+IF(Skills!H9&gt;0,INT(MIN(Skills!I9,MAX(0,MAX(0,Inputs!$B$44-B3063)-((R3036-1)*IF(Inputs!$B$39="pvp",15,MAX(0.1,Skills!D9-IF(TRUE=TRUE,3.5,0))))))/Skills!H9+0.000000001),1)))/Inputs!$B$44),G3036*Q3036))*IF(Inputs!$B$39="pvp",1,(1+(Inputs!$B$22+Skills!Q9+((C3044=TRUE)*F3044*IF(AND(Inputs!$B$39&lt;&gt;"pvp",Inputs!$B$44&gt;0),(((R3044-1)*MIN((Skills!T17*(1+Inputs!$B$35/100)),(1/Q3044))+MIN((Skills!T17*(1+Inputs!$B$35/100)),MAX(0,Inputs!$B$44-((R3044-1)*(1/Q3044)))))/Inputs!$B$44),IF(Inputs!$B$39="pvp",MIN((Skills!T17*(1+Inputs!$B$35/100)),15)/15,MIN(1,(Skills!T17*(1+Inputs!$B$35/100))/(1/Q3044)))))+((C3032=TRUE)*IF(Inputs!$B$3&gt;=126,10*MIN(1,15*Q3032),0))+((C3041=TRUE)*IF(Inputs!$B$39="pvp",20,(1-Summary!$B$11)*(20)+Summary!$B$11*(0))*IF(AND(Inputs!$B$39&lt;&gt;"pvp",Inputs!$B$44&gt;0),(((R3041-1)*MIN((Skills!T14*(1+Inputs!$B$35/100)),(1/Q3041))+MIN((Skills!T14*(1+Inputs!$B$35/100)),MAX(0,Inputs!$B$44-((R3041-1)*(1/Q3041)))))/Inputs!$B$44),IF(Inputs!$B$39="pvp",MIN((Skills!T14*(1+Inputs!$B$35/100)),15)/15,MIN(1,(Skills!T14*(1+Inputs!$B$35/100))/(1/Q3041)))))+((C3040=TRUE)*IF(Inputs!$B$3&gt;=82,IF(Inputs!$B$39="pvp",20,(1-Summary!$B$11)*(20)+Summary!$B$11*(0)),0)*IF(AND(Inputs!$B$39&lt;&gt;"pvp",Inputs!$B$44&gt;0),(((R3040-1)*MIN((Skills!T13*(1+Inputs!$B$35/100)),(1/Q3040))+MIN((Skills!T13*(1+Inputs!$B$35/100)),MAX(0,Inputs!$B$44-((R3040-1)*(1/Q3040)))))/Inputs!$B$44),IF(Inputs!$B$39="pvp",MIN((Skills!T13*(1+Inputs!$B$35/100)),15)/15,MIN(1,(Skills!T13*(1+Inputs!$B$35/100))/(1/Q3040)))))+(IF(AND(ArtifactsInput!$M$35,Inputs!$B$4&lt;&gt;"Chapter Hunt"),CHOOSE(ArtifactsInput!$N$35+1,15,18,21,24,27,30)*(1-EXP(-(0.2*B3058)*5)),0)+IF(AND(ArtifactsInput!$M$22,Inputs!$B$4&lt;&gt;"Chapter Hunt"),CHOOSE(ArtifactsInput!$N$22+1,10,12,14,16,18,20)*((0*(((0.15*B3058*5))^0/1)+1*(((0.15*B3058*5))^1/1)+2*(((0.15*B3058*5))^2/2)+3*(((0.15*B3058*5))^3/6)+4*(((0.15*B3058*5))^4/24)+5*(((0.15*B3058*5))^5/120))/((((0.15*B3058*5))^0/1)+(((0.15*B3058*5))^1/1)+(((0.15*B3058*5))^2/2)+(((0.15*B3058*5))^3/6)+(((0.15*B3058*5))^4/24)+(((0.15*B3058*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37">
      <c r="A3037">
        <f>Skills!A10</f>
        <v/>
      </c>
      <c r="B3037">
        <f>Skills!B10</f>
        <v/>
      </c>
      <c r="C3037">
        <f>Inputs!$B$3&gt;=110</f>
        <v/>
      </c>
      <c r="D3037">
        <f>IF(Skills!C10=1,60+Inputs!$B$26+Inputs!$B$30,IF(Skills!C10=2,90+Inputs!$B$27+Inputs!$B$30,IF(Skills!C10=3,120+Inputs!$B$28+Inputs!$B$30,MAX(0,(Inputs!$B$3-100)*3)+Inputs!$B$29+Inputs!$B$30)))</f>
        <v/>
      </c>
      <c r="E3037">
        <f>INDEX(FactorTable!$B$2:$Y$301, MATCH(ROUND(MIN(300,MAX(1,D3037)),0), FactorTable!$A$2:$A$301,0), Skills!M10+1)</f>
        <v/>
      </c>
      <c r="F3037">
        <f>IF(Skills!N10=TRUE,(Skills!L10/10)*(E3037/1000),Skills!L10/10)+Skills!O10</f>
        <v/>
      </c>
      <c r="G3037">
        <f>Skills!G10*IF(Skills!H10&gt;0,INT(IF(Inputs!$B$39="pvp",MIN(Skills!I10,15),Skills!I10)/Skills!H10+0.000000001),1)</f>
        <v/>
      </c>
      <c r="H3037">
        <f>1-(1-Skills!J10/100)^Skills!K10</f>
        <v/>
      </c>
      <c r="I3037" t="inlineStr">
        <is>
          <t>1</t>
        </is>
      </c>
      <c r="J3037">
        <f>((Inputs!$B$6*(1+Inputs!$B$7/100))+(((Inputs!$B$13*(1+Inputs!$B$14/100))-(Inputs!$B$13*(1+Inputs!$B$14/100)))+0.25*(Inputs!$B$15-Inputs!$B$15))*(1+Inputs!$B$7/100))*(F3037/100)</f>
        <v/>
      </c>
      <c r="K3037">
        <f>J3037*(1+(((Inputs!$B$13+IF(Inputs!$B$3&gt;=38,(10*INDEX(FactorTable!$B$2:$Y$301, MATCH(ROUND(MIN(300,MAX(1,Inputs!$B$3)),0), FactorTable!$A$2:$A$301,0), 23)/1000)/100*(Inputs!$B$8*(1+Inputs!$B$9/100)),0))*(1+Inputs!$B$14/100))*0.01+Inputs!$B$15*0.0025)/100)*(1+Inputs!$B$16/100)*(1+Inputs!$B$17/100)*(5000/(6000+Inputs!$B$43*(1-(Inputs!$B$20+0)/100)))*(1+(Inputs!$B$25+((C3052=TRUE)*(F3052-Calc!F25))+((C3053=TRUE)*(F3053-Calc!F26))+B3062)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gt;=100),MIN(100,((Inputs!$B$10+0+B3056+(ArtifactsInput!$M$24-ArtifactsInput!$M$24)*CHOOSE(ArtifactsInput!$N$24+1,10,12,14,16,18,20)+IF(ArtifactsInput!$M$10,CHOOSE(ArtifactsInput!$N$10+1,15,18,21,24,27,30)*(IF(Inputs!$B$39="pvp",MIN(15,15)/15,IF(AND(Inputs!$B$39&lt;&gt;"pvp",Inputs!$B$44&gt;0),MIN(15,Inputs!$B$44)/(Inputs!$B$44),0))),0)))-100),0))*CHOOSE(ArtifactsInput!$N$42+1,0.6,0.72,0.84,0.96,1.08,1.2))),Inputs!$B$19+((C3050=TRUE)*(F3050-Calc!F23))+(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gt;=100),CHOOSE(ArtifactsInput!$N$42+1,40,48,56,64,72,80),0))))/100)*((1+(((C3040=TRUE)*F3040*IF(AND(Inputs!$B$39&lt;&gt;"pvp",Inputs!$B$44&gt;0),(((R3040-1)*MIN((Skills!T13*(1+Inputs!$B$35/100)),(1/Q3040))+MIN((Skills!T13*(1+Inputs!$B$35/100)),MAX(0,Inputs!$B$44-((R3040-1)*(1/Q3040)))))/Inputs!$B$44),IF(Inputs!$B$39="pvp",MIN((Skills!T13*(1+Inputs!$B$35/100)),15)/15,MIN(1,(Skills!T13*(1+Inputs!$B$35/100))/(1/Q3040)))))+((C3041=TRUE)*F3041*IF(AND(Inputs!$B$39&lt;&gt;"pvp",Inputs!$B$44&gt;0),(((R3041-1)*MIN((Skills!T14*(1+Inputs!$B$35/100)),(1/Q3041))+MIN((Skills!T14*(1+Inputs!$B$35/100)),MAX(0,Inputs!$B$44-((R3041-1)*(1/Q3041)))))/Inputs!$B$44),IF(Inputs!$B$39="pvp",MIN((Skills!T14*(1+Inputs!$B$35/100)),15)/15,MIN(1,(Skills!T14*(1+Inputs!$B$35/100))/(1/Q3041)))))+((C3042=TRUE)*F3042*IF(AND(Inputs!$B$39&lt;&gt;"pvp",Inputs!$B$44&gt;0),(((R3042-1)*MIN((Skills!T15*(1+Inputs!$B$35/100)),(1/Q3042))+MIN((Skills!T15*(1+Inputs!$B$35/100)),MAX(0,Inputs!$B$44-((R3042-1)*(1/Q3042)))))/Inputs!$B$44),IF(Inputs!$B$39="pvp",MIN((Skills!T15*(1+Inputs!$B$35/100)),15)/15,MIN(1,(Skills!T15*(1+Inputs!$B$35/100))/(1/Q3042)))))+((C3043=TRUE)*F3043*IF(AND(Inputs!$B$39&lt;&gt;"pvp",Inputs!$B$44&gt;0),(((R3043-1)*MIN((Skills!T16*(1+Inputs!$B$35/100)),(1/Q3043))+MIN((Skills!T16*(1+Inputs!$B$35/100)),MAX(0,Inputs!$B$44-((R3043-1)*(1/Q3043)))))/Inputs!$B$44),IF(Inputs!$B$39="pvp",MIN((Skills!T16*(1+Inputs!$B$35/100)),15)/15,MIN(1,(Skills!T16*(1+Inputs!$B$35/100))/(1/Q3043)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3037)</f>
        <v/>
      </c>
      <c r="L3037">
        <f>K3037*(MIN(Inputs!$B$23+((C3049=TRUE)*(F3049-Calc!F22)),(Inputs!$B$24+((C3051=TRUE)*(F3051-Calc!F24))+(IF(ArtifactsInput!$M$15,CHOOSE(ArtifactsInput!$N$15+1,25,30,35,40,45,50)/100*(Inputs!$B$12-Inputs!$B$12),0))))/100+(Inputs!$B$24+((C3051=TRUE)*(F3051-Calc!F24))+(IF(ArtifactsInput!$M$15,CHOOSE(ArtifactsInput!$N$15+1,25,30,35,40,45,50)/100*(Inputs!$B$12-Inputs!$B$12),0)))/100)/2</f>
        <v/>
      </c>
      <c r="M3037">
        <f>L3037*(1+(Inputs!$B$11+0+B3061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037">
        <f>L3037*(1-MIN((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3037*(MIN((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37">
        <f>(1-Summary!$B$11)*T3037+Summary!$B$11*V3037</f>
        <v/>
      </c>
      <c r="P3037">
        <f>IF(B3066=0,0,O3037/B3066)</f>
        <v/>
      </c>
      <c r="Q3037">
        <f>IFERROR(1/IF(Inputs!$B$39="pvp",15,MAX(0.1,Skills!D10-IF(TRUE=TRUE,3.5,0))),0)</f>
        <v/>
      </c>
      <c r="R3037">
        <f>IF(AND(Inputs!$B$39&lt;&gt;"pvp",Inputs!$B$44&gt;0),IF(MAX(0,Inputs!$B$44-B3063)&lt;=0,0,(INT(MAX(0,Inputs!$B$44-B3063)/IF(Inputs!$B$39="pvp",15,MAX(0.1,Skills!D10-IF(TRUE=TRUE,3.5,0))))+1)),0)</f>
        <v/>
      </c>
      <c r="S3037">
        <f>IFERROR(O3037/N3037,0)</f>
        <v/>
      </c>
      <c r="T3037">
        <f>IF(C3037,(H3037*N3037*IF(AND(Inputs!$B$39&lt;&gt;"pvp",Inputs!$B$44&gt;0),((Skills!G10*((R3037-1)*IF(Skills!H10&gt;0,INT(Skills!I10/Skills!H10+0.000000001),1)+IF(Skills!H10&gt;0,INT(MIN(Skills!I10,MAX(0,MAX(0,Inputs!$B$44-B3063)-((R3037-1)*IF(Inputs!$B$39="pvp",15,MAX(0.1,Skills!D10-IF(TRUE=TRUE,3.5,0))))))/Skills!H10+0.000000001),1)))/Inputs!$B$44),G3037*Q3037))*IF(Inputs!$B$39="pvp",1,1+(Inputs!$B$21+0+Skills!P10+((C3044=TRUE)*F3044*IF(AND(Inputs!$B$39&lt;&gt;"pvp",Inputs!$B$44&gt;0),(((R3044-1)*MIN((Skills!T17*(1+Inputs!$B$35/100)),(1/Q3044))+MIN((Skills!T17*(1+Inputs!$B$35/100)),MAX(0,Inputs!$B$44-((R3044-1)*(1/Q3044)))))/Inputs!$B$44),IF(Inputs!$B$39="pvp",MIN((Skills!T17*(1+Inputs!$B$35/100)),15)/15,MIN(1,(Skills!T17*(1+Inputs!$B$35/100))/(1/Q3044)))))+((C3032=TRUE)*IF(Inputs!$B$3&gt;=126,10*MIN(1,15*Q3032),0))+((C3041=TRUE)*IF(Inputs!$B$39="pvp",20,(1-Summary!$B$11)*(20)+Summary!$B$11*(0))*IF(AND(Inputs!$B$39&lt;&gt;"pvp",Inputs!$B$44&gt;0),(((R3041-1)*MIN((Skills!T14*(1+Inputs!$B$35/100)),(1/Q3041))+MIN((Skills!T14*(1+Inputs!$B$35/100)),MAX(0,Inputs!$B$44-((R3041-1)*(1/Q3041)))))/Inputs!$B$44),IF(Inputs!$B$39="pvp",MIN((Skills!T14*(1+Inputs!$B$35/100)),15)/15,MIN(1,(Skills!T14*(1+Inputs!$B$35/100))/(1/Q3041)))))+((C3040=TRUE)*IF(Inputs!$B$3&gt;=82,IF(Inputs!$B$39="pvp",20,(1-Summary!$B$11)*(20)+Summary!$B$11*(0)),0)*IF(AND(Inputs!$B$39&lt;&gt;"pvp",Inputs!$B$44&gt;0),(((R3040-1)*MIN((Skills!T13*(1+Inputs!$B$35/100)),(1/Q3040))+MIN((Skills!T13*(1+Inputs!$B$35/100)),MAX(0,Inputs!$B$44-((R3040-1)*(1/Q3040)))))/Inputs!$B$44),IF(Inputs!$B$39="pvp",MIN((Skills!T13*(1+Inputs!$B$35/100)),15)/15,MIN(1,(Skills!T13*(1+Inputs!$B$35/100))/(1/Q3040)))))+(IF(AND(ArtifactsInput!$M$35,Inputs!$B$4&lt;&gt;"Chapter Hunt"),CHOOSE(ArtifactsInput!$N$35+1,15,18,21,24,27,30)*(1-EXP(-(0.2*B3058)*5)),0)+IF(AND(ArtifactsInput!$M$22,Inputs!$B$4&lt;&gt;"Chapter Hunt"),CHOOSE(ArtifactsInput!$N$22+1,10,12,14,16,18,20)*((0*(((0.15*B3058*5))^0/1)+1*(((0.15*B3058*5))^1/1)+2*(((0.15*B3058*5))^2/2)+3*(((0.15*B3058*5))^3/6)+4*(((0.15*B3058*5))^4/24)+5*(((0.15*B3058*5))^5/120))/((((0.15*B3058*5))^0/1)+(((0.15*B3058*5))^1/1)+(((0.15*B3058*5))^2/2)+(((0.15*B3058*5))^3/6)+(((0.15*B3058*5))^4/24)+(((0.15*B3058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3037*(1-MIN(100,(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3037*(MIN(100,(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3037*(1-MIN(100,(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3037*(MIN(100,(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37">
        <f>IF(C3037,(H3037*N3037*IF(AND(Inputs!$B$39&lt;&gt;"pvp",Inputs!$B$44&gt;0),((Skills!G10*((R3037-1)*IF(Skills!H10&gt;0,INT(Skills!I10/Skills!H10+0.000000001),1)+IF(Skills!H10&gt;0,INT(MIN(Skills!I10,MAX(0,MAX(0,Inputs!$B$44-B3063)-((R3037-1)*IF(Inputs!$B$39="pvp",15,MAX(0.1,Skills!D10-IF(TRUE=TRUE,3.5,0))))))/Skills!H10+0.000000001),1)))/Inputs!$B$44),G3037*Q3037))*IF(Inputs!$B$39="pvp",1,(1+(Inputs!$B$22+Skills!Q10+((C3044=TRUE)*F3044*IF(AND(Inputs!$B$39&lt;&gt;"pvp",Inputs!$B$44&gt;0),(((R3044-1)*MIN((Skills!T17*(1+Inputs!$B$35/100)),(1/Q3044))+MIN((Skills!T17*(1+Inputs!$B$35/100)),MAX(0,Inputs!$B$44-((R3044-1)*(1/Q3044)))))/Inputs!$B$44),IF(Inputs!$B$39="pvp",MIN((Skills!T17*(1+Inputs!$B$35/100)),15)/15,MIN(1,(Skills!T17*(1+Inputs!$B$35/100))/(1/Q3044)))))+((C3032=TRUE)*IF(Inputs!$B$3&gt;=126,10*MIN(1,15*Q3032),0))+((C3041=TRUE)*IF(Inputs!$B$39="pvp",20,(1-Summary!$B$11)*(20)+Summary!$B$11*(0))*IF(AND(Inputs!$B$39&lt;&gt;"pvp",Inputs!$B$44&gt;0),(((R3041-1)*MIN((Skills!T14*(1+Inputs!$B$35/100)),(1/Q3041))+MIN((Skills!T14*(1+Inputs!$B$35/100)),MAX(0,Inputs!$B$44-((R3041-1)*(1/Q3041)))))/Inputs!$B$44),IF(Inputs!$B$39="pvp",MIN((Skills!T14*(1+Inputs!$B$35/100)),15)/15,MIN(1,(Skills!T14*(1+Inputs!$B$35/100))/(1/Q3041)))))+((C3040=TRUE)*IF(Inputs!$B$3&gt;=82,IF(Inputs!$B$39="pvp",20,(1-Summary!$B$11)*(20)+Summary!$B$11*(0)),0)*IF(AND(Inputs!$B$39&lt;&gt;"pvp",Inputs!$B$44&gt;0),(((R3040-1)*MIN((Skills!T13*(1+Inputs!$B$35/100)),(1/Q3040))+MIN((Skills!T13*(1+Inputs!$B$35/100)),MAX(0,Inputs!$B$44-((R3040-1)*(1/Q3040)))))/Inputs!$B$44),IF(Inputs!$B$39="pvp",MIN((Skills!T13*(1+Inputs!$B$35/100)),15)/15,MIN(1,(Skills!T13*(1+Inputs!$B$35/100))/(1/Q3040)))))+(IF(AND(ArtifactsInput!$M$35,Inputs!$B$4&lt;&gt;"Chapter Hunt"),CHOOSE(ArtifactsInput!$N$35+1,15,18,21,24,27,30)*(1-EXP(-(0.2*B3058)*5)),0)+IF(AND(ArtifactsInput!$M$22,Inputs!$B$4&lt;&gt;"Chapter Hunt"),CHOOSE(ArtifactsInput!$N$22+1,10,12,14,16,18,20)*((0*(((0.15*B3058*5))^0/1)+1*(((0.15*B3058*5))^1/1)+2*(((0.15*B3058*5))^2/2)+3*(((0.15*B3058*5))^3/6)+4*(((0.15*B3058*5))^4/24)+5*(((0.15*B3058*5))^5/120))/((((0.15*B3058*5))^0/1)+(((0.15*B3058*5))^1/1)+(((0.15*B3058*5))^2/2)+(((0.15*B3058*5))^3/6)+(((0.15*B3058*5))^4/24)+(((0.15*B3058*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38">
      <c r="A3038">
        <f>Skills!A11</f>
        <v/>
      </c>
      <c r="B3038">
        <f>Skills!B11</f>
        <v/>
      </c>
      <c r="C3038">
        <f>Inputs!$B$3&gt;=100</f>
        <v/>
      </c>
      <c r="D3038">
        <f>IF(Skills!C11=1,60+Inputs!$B$26+Inputs!$B$30,IF(Skills!C11=2,90+Inputs!$B$27+Inputs!$B$30,IF(Skills!C11=3,120+Inputs!$B$28+Inputs!$B$30,MAX(0,(Inputs!$B$3-100)*3)+Inputs!$B$29+Inputs!$B$30)))</f>
        <v/>
      </c>
      <c r="E3038">
        <f>INDEX(FactorTable!$B$2:$Y$301, MATCH(ROUND(MIN(300,MAX(1,D3038)),0), FactorTable!$A$2:$A$301,0), Skills!M11+1)</f>
        <v/>
      </c>
      <c r="F3038">
        <f>IF(Skills!N11=TRUE,(Skills!L11/10)*(E3038/1000),Skills!L11/10)+Skills!O11</f>
        <v/>
      </c>
      <c r="G3038" t="inlineStr"/>
      <c r="H3038" t="inlineStr"/>
      <c r="I3038" t="inlineStr">
        <is>
          <t>1</t>
        </is>
      </c>
      <c r="J3038" t="inlineStr"/>
      <c r="K3038" t="inlineStr"/>
      <c r="L3038" t="inlineStr"/>
      <c r="M3038" t="inlineStr"/>
      <c r="N3038" t="inlineStr"/>
      <c r="O3038" t="inlineStr"/>
      <c r="P3038" t="inlineStr"/>
      <c r="Q3038" t="inlineStr"/>
      <c r="R3038" t="inlineStr"/>
      <c r="S3038" t="inlineStr"/>
    </row>
    <row r="3039">
      <c r="A3039">
        <f>Skills!A12</f>
        <v/>
      </c>
      <c r="B3039">
        <f>Skills!B12</f>
        <v/>
      </c>
      <c r="C3039">
        <f>Inputs!$B$3&gt;=63</f>
        <v/>
      </c>
      <c r="D3039">
        <f>IF(Skills!C12=1,60+Inputs!$B$26+Inputs!$B$30,IF(Skills!C12=2,90+Inputs!$B$27+Inputs!$B$30,IF(Skills!C12=3,120+Inputs!$B$28+Inputs!$B$30,MAX(0,(Inputs!$B$3-100)*3)+Inputs!$B$29+Inputs!$B$30)))</f>
        <v/>
      </c>
      <c r="E3039">
        <f>INDEX(FactorTable!$B$2:$Y$301, MATCH(ROUND(MIN(300,MAX(1,D3039)),0), FactorTable!$A$2:$A$301,0), Skills!M12+1)</f>
        <v/>
      </c>
      <c r="F3039">
        <f>IF(Skills!N12=TRUE,(Skills!L12/10)*(E3039/1000),Skills!L12/10)+Skills!O12</f>
        <v/>
      </c>
      <c r="G3039">
        <f>Skills!G12*IF(Skills!H12&gt;0,INT(IF(Inputs!$B$39="pvp",MIN(Skills!I12,15),Skills!I12)/Skills!H12+0.000000001),1)</f>
        <v/>
      </c>
      <c r="H3039">
        <f>1-(1-Skills!J12/100)^Skills!K12</f>
        <v/>
      </c>
      <c r="I3039" t="inlineStr">
        <is>
          <t>1</t>
        </is>
      </c>
      <c r="J3039">
        <f>((Inputs!$B$6*(1+Inputs!$B$7/100))+(((Inputs!$B$13*(1+Inputs!$B$14/100))-(Inputs!$B$13*(1+Inputs!$B$14/100)))+0.25*(Inputs!$B$15-Inputs!$B$15))*(1+Inputs!$B$7/100))*(F3039/100)</f>
        <v/>
      </c>
      <c r="K3039">
        <f>J3039*(1+(((Inputs!$B$13+IF(Inputs!$B$3&gt;=38,(10*INDEX(FactorTable!$B$2:$Y$301, MATCH(ROUND(MIN(300,MAX(1,Inputs!$B$3)),0), FactorTable!$A$2:$A$301,0), 23)/1000)/100*(Inputs!$B$8*(1+Inputs!$B$9/100)),0))*(1+Inputs!$B$14/100))*0.01+Inputs!$B$15*0.0025)/100)*(1+Inputs!$B$16/100)*(1+Inputs!$B$17/100)*(5000/(6000+Inputs!$B$43*(1-(Inputs!$B$20+0)/100)))*(1+(Inputs!$B$25+((C3052=TRUE)*(F3052-Calc!F25))+((C3053=TRUE)*(F3053-Calc!F26))+B3062)/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3038=TRUE,F3038,0)/100)*(1+(IF(Skills!A12="DARK_IMPALE",Inputs!$B$18+0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gt;=100),MIN(100,((Inputs!$B$10+0+B3056+(ArtifactsInput!$M$24-ArtifactsInput!$M$24)*CHOOSE(ArtifactsInput!$N$24+1,10,12,14,16,18,20)+IF(ArtifactsInput!$M$10,CHOOSE(ArtifactsInput!$N$10+1,15,18,21,24,27,30)*(IF(Inputs!$B$39="pvp",MIN(15,15)/15,IF(AND(Inputs!$B$39&lt;&gt;"pvp",Inputs!$B$44&gt;0),MIN(15,Inputs!$B$44)/(Inputs!$B$44),0))),0)))-100),0))*CHOOSE(ArtifactsInput!$N$42+1,0.6,0.72,0.84,0.96,1.08,1.2))),Inputs!$B$19+((C3050=TRUE)*(F3050-Calc!F23))+(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gt;=100),CHOOSE(ArtifactsInput!$N$42+1,40,48,56,64,72,80),0))))/100)*((1+(((C3040=TRUE)*F3040*IF(AND(Inputs!$B$39&lt;&gt;"pvp",Inputs!$B$44&gt;0),(((R3040-1)*MIN((Skills!T13*(1+Inputs!$B$35/100)),(1/Q3040))+MIN((Skills!T13*(1+Inputs!$B$35/100)),MAX(0,Inputs!$B$44-((R3040-1)*(1/Q3040)))))/Inputs!$B$44),IF(Inputs!$B$39="pvp",MIN((Skills!T13*(1+Inputs!$B$35/100)),15)/15,MIN(1,(Skills!T13*(1+Inputs!$B$35/100))/(1/Q3040)))))+((C3041=TRUE)*F3041*IF(AND(Inputs!$B$39&lt;&gt;"pvp",Inputs!$B$44&gt;0),(((R3041-1)*MIN((Skills!T14*(1+Inputs!$B$35/100)),(1/Q3041))+MIN((Skills!T14*(1+Inputs!$B$35/100)),MAX(0,Inputs!$B$44-((R3041-1)*(1/Q3041)))))/Inputs!$B$44),IF(Inputs!$B$39="pvp",MIN((Skills!T14*(1+Inputs!$B$35/100)),15)/15,MIN(1,(Skills!T14*(1+Inputs!$B$35/100))/(1/Q3041)))))+((C3042=TRUE)*F3042*IF(AND(Inputs!$B$39&lt;&gt;"pvp",Inputs!$B$44&gt;0),(((R3042-1)*MIN((Skills!T15*(1+Inputs!$B$35/100)),(1/Q3042))+MIN((Skills!T15*(1+Inputs!$B$35/100)),MAX(0,Inputs!$B$44-((R3042-1)*(1/Q3042)))))/Inputs!$B$44),IF(Inputs!$B$39="pvp",MIN((Skills!T15*(1+Inputs!$B$35/100)),15)/15,MIN(1,(Skills!T15*(1+Inputs!$B$35/100))/(1/Q3042)))))+((C3043=TRUE)*F3043*IF(AND(Inputs!$B$39&lt;&gt;"pvp",Inputs!$B$44&gt;0),(((R3043-1)*MIN((Skills!T16*(1+Inputs!$B$35/100)),(1/Q3043))+MIN((Skills!T16*(1+Inputs!$B$35/100)),MAX(0,Inputs!$B$44-((R3043-1)*(1/Q3043)))))/Inputs!$B$44),IF(Inputs!$B$39="pvp",MIN((Skills!T16*(1+Inputs!$B$35/100)),15)/15,MIN(1,(Skills!T16*(1+Inputs!$B$35/100))/(1/Q3043)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3039)</f>
        <v/>
      </c>
      <c r="L3039">
        <f>K3039*(MIN(Inputs!$B$23+((C3049=TRUE)*(F3049-Calc!F22)),(Inputs!$B$24+((C3051=TRUE)*(F3051-Calc!F24))+(IF(ArtifactsInput!$M$15,CHOOSE(ArtifactsInput!$N$15+1,25,30,35,40,45,50)/100*(Inputs!$B$12-Inputs!$B$12),0))))/100+(Inputs!$B$24+((C3051=TRUE)*(F3051-Calc!F24))+(IF(ArtifactsInput!$M$15,CHOOSE(ArtifactsInput!$N$15+1,25,30,35,40,45,50)/100*(Inputs!$B$12-Inputs!$B$12),0)))/100)/2</f>
        <v/>
      </c>
      <c r="M3039">
        <f>L3039*(1+(Inputs!$B$11+0+B3061+(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039">
        <f>L3039*(1-MIN((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3039*(MIN((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39">
        <f>(1-Summary!$B$11)*T3039+Summary!$B$11*V3039</f>
        <v/>
      </c>
      <c r="P3039">
        <f>IF(B3066=0,0,O3039/B3066)</f>
        <v/>
      </c>
      <c r="Q3039">
        <f>IFERROR(1/IF(Inputs!$B$39="pvp",15,MAX(0.1,Skills!D12-IF(TRUE=TRUE,3.5,0))),0)</f>
        <v/>
      </c>
      <c r="R3039">
        <f>IF(AND(Inputs!$B$39&lt;&gt;"pvp",Inputs!$B$44&gt;0),IF(MAX(0,Inputs!$B$44-B3063)&lt;=0,0,(INT(MAX(0,Inputs!$B$44-B3063)/IF(Inputs!$B$39="pvp",15,MAX(0.1,Skills!D12-IF(TRUE=TRUE,3.5,0))))+1)),0)</f>
        <v/>
      </c>
      <c r="S3039">
        <f>IFERROR(O3039/N3039,0)</f>
        <v/>
      </c>
      <c r="T3039">
        <f>IF(C3039,(H3039*N3039*IF(AND(Inputs!$B$39&lt;&gt;"pvp",Inputs!$B$44&gt;0),((Skills!G12*((R3039-1)*IF(Skills!H12&gt;0,INT(Skills!I12/Skills!H12+0.000000001),1)+IF(Skills!H12&gt;0,INT(MIN(Skills!I12,MAX(0,MAX(0,Inputs!$B$44-B3063)-((R3039-1)*IF(Inputs!$B$39="pvp",15,MAX(0.1,Skills!D12-IF(TRUE=TRUE,3.5,0))))))/Skills!H12+0.000000001),1)))/Inputs!$B$44),G3039*Q3039))*IF(Inputs!$B$39="pvp",1,1+(Inputs!$B$21+0+Skills!P12+((C3044=TRUE)*F3044*IF(AND(Inputs!$B$39&lt;&gt;"pvp",Inputs!$B$44&gt;0),(((R3044-1)*MIN((Skills!T17*(1+Inputs!$B$35/100)),(1/Q3044))+MIN((Skills!T17*(1+Inputs!$B$35/100)),MAX(0,Inputs!$B$44-((R3044-1)*(1/Q3044)))))/Inputs!$B$44),IF(Inputs!$B$39="pvp",MIN((Skills!T17*(1+Inputs!$B$35/100)),15)/15,MIN(1,(Skills!T17*(1+Inputs!$B$35/100))/(1/Q3044)))))+((C3032=TRUE)*IF(Inputs!$B$3&gt;=126,10*MIN(1,15*Q3032),0))+((C3041=TRUE)*IF(Inputs!$B$39="pvp",20,(1-Summary!$B$11)*(20)+Summary!$B$11*(0))*IF(AND(Inputs!$B$39&lt;&gt;"pvp",Inputs!$B$44&gt;0),(((R3041-1)*MIN((Skills!T14*(1+Inputs!$B$35/100)),(1/Q3041))+MIN((Skills!T14*(1+Inputs!$B$35/100)),MAX(0,Inputs!$B$44-((R3041-1)*(1/Q3041)))))/Inputs!$B$44),IF(Inputs!$B$39="pvp",MIN((Skills!T14*(1+Inputs!$B$35/100)),15)/15,MIN(1,(Skills!T14*(1+Inputs!$B$35/100))/(1/Q3041)))))+((C3040=TRUE)*IF(Inputs!$B$3&gt;=82,IF(Inputs!$B$39="pvp",20,(1-Summary!$B$11)*(20)+Summary!$B$11*(0)),0)*IF(AND(Inputs!$B$39&lt;&gt;"pvp",Inputs!$B$44&gt;0),(((R3040-1)*MIN((Skills!T13*(1+Inputs!$B$35/100)),(1/Q3040))+MIN((Skills!T13*(1+Inputs!$B$35/100)),MAX(0,Inputs!$B$44-((R3040-1)*(1/Q3040)))))/Inputs!$B$44),IF(Inputs!$B$39="pvp",MIN((Skills!T13*(1+Inputs!$B$35/100)),15)/15,MIN(1,(Skills!T13*(1+Inputs!$B$35/100))/(1/Q3040)))))+(IF(AND(ArtifactsInput!$M$35,Inputs!$B$4&lt;&gt;"Chapter Hunt"),CHOOSE(ArtifactsInput!$N$35+1,15,18,21,24,27,30)*(1-EXP(-(0.2*B3058)*5)),0)+IF(AND(ArtifactsInput!$M$22,Inputs!$B$4&lt;&gt;"Chapter Hunt"),CHOOSE(ArtifactsInput!$N$22+1,10,12,14,16,18,20)*((0*(((0.15*B3058*5))^0/1)+1*(((0.15*B3058*5))^1/1)+2*(((0.15*B3058*5))^2/2)+3*(((0.15*B3058*5))^3/6)+4*(((0.15*B3058*5))^4/24)+5*(((0.15*B3058*5))^5/120))/((((0.15*B3058*5))^0/1)+(((0.15*B3058*5))^1/1)+(((0.15*B3058*5))^2/2)+(((0.15*B3058*5))^3/6)+(((0.15*B3058*5))^4/24)+(((0.15*B3058*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3039*(1-MIN(100,(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3039*(MIN(100,(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3039*(1-MIN(100,(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3039*(MIN(100,(Inputs!$B$10+0+B3056+(ArtifactsInput!$M$24-ArtifactsInput!$M$24)*CHOOSE(ArtifactsInput!$N$24+1,10,12,14,16,18,20)+(IF(AND(Inputs!$B$39&lt;&gt;"pvp",Inputs!$B$44=0),1,IF(IF(Inputs!$B$39="pvp",15,Inputs!$B$44)-(B3063)&lt;=0,1,MAX(0,IF(Inputs!$B$39="pvp",15,Inputs!$B$44)-MAX(5,B3063))/(IF(Inputs!$B$39="pvp",15,Inputs!$B$44)-(B3063))))*IF(AND(ArtifactsInput!$M$42,((Inputs!$B$10+0+B3056+(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39">
        <f>IF(C3039,(H3039*N3039*IF(AND(Inputs!$B$39&lt;&gt;"pvp",Inputs!$B$44&gt;0),((Skills!G12*((R3039-1)*IF(Skills!H12&gt;0,INT(Skills!I12/Skills!H12+0.000000001),1)+IF(Skills!H12&gt;0,INT(MIN(Skills!I12,MAX(0,MAX(0,Inputs!$B$44-B3063)-((R3039-1)*IF(Inputs!$B$39="pvp",15,MAX(0.1,Skills!D12-IF(TRUE=TRUE,3.5,0))))))/Skills!H12+0.000000001),1)))/Inputs!$B$44),G3039*Q3039))*IF(Inputs!$B$39="pvp",1,(1+(Inputs!$B$22+Skills!Q12+((C3044=TRUE)*F3044*IF(AND(Inputs!$B$39&lt;&gt;"pvp",Inputs!$B$44&gt;0),(((R3044-1)*MIN((Skills!T17*(1+Inputs!$B$35/100)),(1/Q3044))+MIN((Skills!T17*(1+Inputs!$B$35/100)),MAX(0,Inputs!$B$44-((R3044-1)*(1/Q3044)))))/Inputs!$B$44),IF(Inputs!$B$39="pvp",MIN((Skills!T17*(1+Inputs!$B$35/100)),15)/15,MIN(1,(Skills!T17*(1+Inputs!$B$35/100))/(1/Q3044)))))+((C3032=TRUE)*IF(Inputs!$B$3&gt;=126,10*MIN(1,15*Q3032),0))+((C3041=TRUE)*IF(Inputs!$B$39="pvp",20,(1-Summary!$B$11)*(20)+Summary!$B$11*(0))*IF(AND(Inputs!$B$39&lt;&gt;"pvp",Inputs!$B$44&gt;0),(((R3041-1)*MIN((Skills!T14*(1+Inputs!$B$35/100)),(1/Q3041))+MIN((Skills!T14*(1+Inputs!$B$35/100)),MAX(0,Inputs!$B$44-((R3041-1)*(1/Q3041)))))/Inputs!$B$44),IF(Inputs!$B$39="pvp",MIN((Skills!T14*(1+Inputs!$B$35/100)),15)/15,MIN(1,(Skills!T14*(1+Inputs!$B$35/100))/(1/Q3041)))))+((C3040=TRUE)*IF(Inputs!$B$3&gt;=82,IF(Inputs!$B$39="pvp",20,(1-Summary!$B$11)*(20)+Summary!$B$11*(0)),0)*IF(AND(Inputs!$B$39&lt;&gt;"pvp",Inputs!$B$44&gt;0),(((R3040-1)*MIN((Skills!T13*(1+Inputs!$B$35/100)),(1/Q3040))+MIN((Skills!T13*(1+Inputs!$B$35/100)),MAX(0,Inputs!$B$44-((R3040-1)*(1/Q3040)))))/Inputs!$B$44),IF(Inputs!$B$39="pvp",MIN((Skills!T13*(1+Inputs!$B$35/100)),15)/15,MIN(1,(Skills!T13*(1+Inputs!$B$35/100))/(1/Q3040)))))+(IF(AND(ArtifactsInput!$M$35,Inputs!$B$4&lt;&gt;"Chapter Hunt"),CHOOSE(ArtifactsInput!$N$35+1,15,18,21,24,27,30)*(1-EXP(-(0.2*B3058)*5)),0)+IF(AND(ArtifactsInput!$M$22,Inputs!$B$4&lt;&gt;"Chapter Hunt"),CHOOSE(ArtifactsInput!$N$22+1,10,12,14,16,18,20)*((0*(((0.15*B3058*5))^0/1)+1*(((0.15*B3058*5))^1/1)+2*(((0.15*B3058*5))^2/2)+3*(((0.15*B3058*5))^3/6)+4*(((0.15*B3058*5))^4/24)+5*(((0.15*B3058*5))^5/120))/((((0.15*B3058*5))^0/1)+(((0.15*B3058*5))^1/1)+(((0.15*B3058*5))^2/2)+(((0.15*B3058*5))^3/6)+(((0.15*B3058*5))^4/24)+(((0.15*B3058*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40">
      <c r="A3040">
        <f>Skills!A13</f>
        <v/>
      </c>
      <c r="B3040">
        <f>Skills!B13</f>
        <v/>
      </c>
      <c r="C3040">
        <f>Inputs!$B$3&gt;=69</f>
        <v/>
      </c>
      <c r="D3040">
        <f>IF(Skills!C13=1,60+Inputs!$B$26+Inputs!$B$30,IF(Skills!C13=2,90+Inputs!$B$27+Inputs!$B$30,IF(Skills!C13=3,120+Inputs!$B$28+Inputs!$B$30,MAX(0,(Inputs!$B$3-100)*3)+Inputs!$B$29+Inputs!$B$30)))</f>
        <v/>
      </c>
      <c r="E3040">
        <f>INDEX(FactorTable!$B$2:$Y$301, MATCH(ROUND(MIN(300,MAX(1,D3040)),0), FactorTable!$A$2:$A$301,0), Skills!M13+1)</f>
        <v/>
      </c>
      <c r="F3040">
        <f>IF(Skills!N13=TRUE,(Skills!L13/10)*(E3040/1000),Skills!L13/10)+Skills!O13</f>
        <v/>
      </c>
      <c r="G3040">
        <f>Skills!G13*IF(Skills!H13&gt;0,INT(IF(Inputs!$B$39="pvp",MIN(Skills!I13,15),Skills!I13)/Skills!H13+0.000000001),1)</f>
        <v/>
      </c>
      <c r="H3040">
        <f>1-(1-Skills!J13/100)^Skills!K13</f>
        <v/>
      </c>
      <c r="I3040" t="inlineStr">
        <is>
          <t>1</t>
        </is>
      </c>
      <c r="J3040" t="inlineStr"/>
      <c r="K3040" t="inlineStr"/>
      <c r="L3040" t="inlineStr"/>
      <c r="M3040" t="inlineStr"/>
      <c r="N3040" t="inlineStr"/>
      <c r="O3040">
        <f>(1-Summary!$B$11)*T3040+Summary!$B$11*V3040</f>
        <v/>
      </c>
      <c r="P3040">
        <f>IF(B3066=0,0,O3040/B3066)</f>
        <v/>
      </c>
      <c r="Q3040">
        <f>IFERROR(1/IF(Inputs!$B$39="pvp",15,MAX(0.1,Skills!D13-IF(TRUE=TRUE,3.5,0))),0)</f>
        <v/>
      </c>
      <c r="R3040">
        <f>IF(AND(Inputs!$B$39&lt;&gt;"pvp",Inputs!$B$44&gt;0),IF(Inputs!$B$44&lt;=0,0,(INT(Inputs!$B$44/IF(Inputs!$B$39="pvp",15,MAX(0.1,Skills!D13-IF(TRUE=TRUE,3.5,0))))+1)),0)</f>
        <v/>
      </c>
      <c r="S3040">
        <f>IFERROR(O3040/N3040,0)</f>
        <v/>
      </c>
      <c r="T3040" t="n">
        <v>0</v>
      </c>
      <c r="V3040" t="n">
        <v>0</v>
      </c>
    </row>
    <row r="3041">
      <c r="A3041">
        <f>Skills!A14</f>
        <v/>
      </c>
      <c r="B3041">
        <f>Skills!B14</f>
        <v/>
      </c>
      <c r="C3041">
        <f>Inputs!$B$3&gt;=115</f>
        <v/>
      </c>
      <c r="D3041">
        <f>IF(Skills!C14=1,60+Inputs!$B$26+Inputs!$B$30,IF(Skills!C14=2,90+Inputs!$B$27+Inputs!$B$30,IF(Skills!C14=3,120+Inputs!$B$28+Inputs!$B$30,MAX(0,(Inputs!$B$3-100)*3)+Inputs!$B$29+Inputs!$B$30)))</f>
        <v/>
      </c>
      <c r="E3041">
        <f>INDEX(FactorTable!$B$2:$Y$301, MATCH(ROUND(MIN(300,MAX(1,D3041)),0), FactorTable!$A$2:$A$301,0), Skills!M14+1)</f>
        <v/>
      </c>
      <c r="F3041">
        <f>IF(Skills!N14=TRUE,(Skills!L14/10)*(E3041/1000),Skills!L14/10)+Skills!O14</f>
        <v/>
      </c>
      <c r="G3041">
        <f>Skills!G14*IF(Skills!H14&gt;0,INT(IF(Inputs!$B$39="pvp",MIN(Skills!I14,15),Skills!I14)/Skills!H14+0.000000001),1)</f>
        <v/>
      </c>
      <c r="H3041">
        <f>1-(1-Skills!J14/100)^Skills!K14</f>
        <v/>
      </c>
      <c r="I3041" t="inlineStr">
        <is>
          <t>1</t>
        </is>
      </c>
      <c r="J3041" t="inlineStr"/>
      <c r="K3041" t="inlineStr"/>
      <c r="L3041" t="inlineStr"/>
      <c r="M3041" t="inlineStr"/>
      <c r="N3041" t="inlineStr"/>
      <c r="O3041">
        <f>(1-Summary!$B$11)*T3041+Summary!$B$11*V3041</f>
        <v/>
      </c>
      <c r="P3041">
        <f>IF(B3066=0,0,O3041/B3066)</f>
        <v/>
      </c>
      <c r="Q3041">
        <f>IFERROR(1/IF(Inputs!$B$39="pvp",15,MAX(0.1,Skills!D14-IF(TRUE=TRUE,3.5,0))),0)</f>
        <v/>
      </c>
      <c r="R3041">
        <f>IF(AND(Inputs!$B$39&lt;&gt;"pvp",Inputs!$B$44&gt;0),IF(Inputs!$B$44&lt;=0,0,(INT(Inputs!$B$44/IF(Inputs!$B$39="pvp",15,MAX(0.1,Skills!D14-IF(TRUE=TRUE,3.5,0))))+1)),0)</f>
        <v/>
      </c>
      <c r="S3041">
        <f>IFERROR(O3041/N3041,0)</f>
        <v/>
      </c>
      <c r="T3041" t="n">
        <v>0</v>
      </c>
      <c r="V3041" t="n">
        <v>0</v>
      </c>
    </row>
    <row r="3042">
      <c r="A3042">
        <f>Skills!A15</f>
        <v/>
      </c>
      <c r="B3042">
        <f>Skills!B15</f>
        <v/>
      </c>
      <c r="C3042">
        <f>Inputs!$B$3&gt;=66</f>
        <v/>
      </c>
      <c r="D3042">
        <f>IF(Skills!C15=1,60+Inputs!$B$26+Inputs!$B$30,IF(Skills!C15=2,90+Inputs!$B$27+Inputs!$B$30,IF(Skills!C15=3,120+Inputs!$B$28+Inputs!$B$30,MAX(0,(Inputs!$B$3-100)*3)+Inputs!$B$29+Inputs!$B$30)))</f>
        <v/>
      </c>
      <c r="E3042">
        <f>INDEX(FactorTable!$B$2:$Y$301, MATCH(ROUND(MIN(300,MAX(1,D3042)),0), FactorTable!$A$2:$A$301,0), Skills!M15+1)</f>
        <v/>
      </c>
      <c r="F3042">
        <f>IF(Skills!N15=TRUE,(Skills!L15/10)*(E3042/1000),Skills!L15/10)+Skills!O15</f>
        <v/>
      </c>
      <c r="G3042">
        <f>Skills!G15*IF(Skills!H15&gt;0,INT(IF(Inputs!$B$39="pvp",MIN(Skills!I15,15),Skills!I15)/Skills!H15+0.000000001),1)</f>
        <v/>
      </c>
      <c r="H3042">
        <f>1-(1-Skills!J15/100)^Skills!K15</f>
        <v/>
      </c>
      <c r="I3042" t="inlineStr">
        <is>
          <t>1</t>
        </is>
      </c>
      <c r="J3042" t="inlineStr"/>
      <c r="K3042" t="inlineStr"/>
      <c r="L3042" t="inlineStr"/>
      <c r="M3042" t="inlineStr"/>
      <c r="N3042" t="inlineStr"/>
      <c r="O3042">
        <f>(1-Summary!$B$11)*T3042+Summary!$B$11*V3042</f>
        <v/>
      </c>
      <c r="P3042">
        <f>IF(B3066=0,0,O3042/B3066)</f>
        <v/>
      </c>
      <c r="Q3042">
        <f>IFERROR(1/IF(Inputs!$B$39="pvp",15,MAX(0.1,Skills!D15-IF(TRUE=TRUE,3.5,0))),0)</f>
        <v/>
      </c>
      <c r="R3042">
        <f>IF(AND(Inputs!$B$39&lt;&gt;"pvp",Inputs!$B$44&gt;0),IF(Inputs!$B$44&lt;=0,0,(INT(Inputs!$B$44/IF(Inputs!$B$39="pvp",15,MAX(0.1,Skills!D15-IF(TRUE=TRUE,3.5,0))))+1)),0)</f>
        <v/>
      </c>
      <c r="S3042">
        <f>IFERROR(O3042/N3042,0)</f>
        <v/>
      </c>
      <c r="T3042" t="n">
        <v>0</v>
      </c>
      <c r="V3042" t="n">
        <v>0</v>
      </c>
    </row>
    <row r="3043">
      <c r="A3043">
        <f>Skills!A16</f>
        <v/>
      </c>
      <c r="B3043">
        <f>Skills!B16</f>
        <v/>
      </c>
      <c r="C3043">
        <f>Inputs!$B$3&gt;=45</f>
        <v/>
      </c>
      <c r="D3043">
        <f>IF(Skills!C16=1,60+Inputs!$B$26+Inputs!$B$30,IF(Skills!C16=2,90+Inputs!$B$27+Inputs!$B$30,IF(Skills!C16=3,120+Inputs!$B$28+Inputs!$B$30,MAX(0,(Inputs!$B$3-100)*3)+Inputs!$B$29+Inputs!$B$30)))</f>
        <v/>
      </c>
      <c r="E3043">
        <f>INDEX(FactorTable!$B$2:$Y$301, MATCH(ROUND(MIN(300,MAX(1,D3043)),0), FactorTable!$A$2:$A$301,0), Skills!M16+1)</f>
        <v/>
      </c>
      <c r="F3043">
        <f>IF(Skills!N16=TRUE,(Skills!L16/10)*(E3043/1000),Skills!L16/10)+Skills!O16</f>
        <v/>
      </c>
      <c r="G3043">
        <f>Skills!G16*IF(Skills!H16&gt;0,INT(IF(Inputs!$B$39="pvp",MIN(Skills!I16,15),Skills!I16)/Skills!H16+0.000000001),1)</f>
        <v/>
      </c>
      <c r="H3043">
        <f>1-(1-Skills!J16/100)^Skills!K16</f>
        <v/>
      </c>
      <c r="I3043" t="inlineStr">
        <is>
          <t>1</t>
        </is>
      </c>
      <c r="J3043" t="inlineStr"/>
      <c r="K3043" t="inlineStr"/>
      <c r="L3043" t="inlineStr"/>
      <c r="M3043" t="inlineStr"/>
      <c r="N3043" t="inlineStr"/>
      <c r="O3043">
        <f>(1-Summary!$B$11)*T3043+Summary!$B$11*V3043</f>
        <v/>
      </c>
      <c r="P3043">
        <f>IF(B3066=0,0,O3043/B3066)</f>
        <v/>
      </c>
      <c r="Q3043">
        <f>IFERROR(1/IF(Inputs!$B$39="pvp",15,MAX(0.1,Skills!D16-IF(TRUE=TRUE,3.5,0))),0)</f>
        <v/>
      </c>
      <c r="R3043">
        <f>IF(AND(Inputs!$B$39&lt;&gt;"pvp",Inputs!$B$44&gt;0),IF(Inputs!$B$44&lt;=0,0,(INT(Inputs!$B$44/IF(Inputs!$B$39="pvp",15,MAX(0.1,Skills!D16-IF(TRUE=TRUE,3.5,0))))+1)),0)</f>
        <v/>
      </c>
      <c r="S3043">
        <f>IFERROR(O3043/N3043,0)</f>
        <v/>
      </c>
      <c r="T3043" t="n">
        <v>0</v>
      </c>
      <c r="V3043" t="n">
        <v>0</v>
      </c>
    </row>
    <row r="3044">
      <c r="A3044">
        <f>Skills!A17</f>
        <v/>
      </c>
      <c r="B3044">
        <f>Skills!B17</f>
        <v/>
      </c>
      <c r="C3044">
        <f>Inputs!$B$3&gt;=35</f>
        <v/>
      </c>
      <c r="D3044">
        <f>IF(Skills!C17=1,60+Inputs!$B$26+Inputs!$B$30,IF(Skills!C17=2,90+Inputs!$B$27+Inputs!$B$30,IF(Skills!C17=3,120+Inputs!$B$28+Inputs!$B$30,MAX(0,(Inputs!$B$3-100)*3)+Inputs!$B$29+Inputs!$B$30)))</f>
        <v/>
      </c>
      <c r="E3044">
        <f>INDEX(FactorTable!$B$2:$Y$301, MATCH(ROUND(MIN(300,MAX(1,D3044)),0), FactorTable!$A$2:$A$301,0), Skills!M17+1)</f>
        <v/>
      </c>
      <c r="F3044">
        <f>IF(Skills!N17=TRUE,(Skills!L17/10)*(E3044/1000),Skills!L17/10)+Skills!O17</f>
        <v/>
      </c>
      <c r="G3044">
        <f>Skills!G17*IF(Skills!H17&gt;0,INT(IF(Inputs!$B$39="pvp",MIN(Skills!I17,15),Skills!I17)/Skills!H17+0.000000001),1)</f>
        <v/>
      </c>
      <c r="H3044">
        <f>1-(1-Skills!J17/100)^Skills!K17</f>
        <v/>
      </c>
      <c r="I3044" t="inlineStr">
        <is>
          <t>1</t>
        </is>
      </c>
      <c r="J3044" t="inlineStr"/>
      <c r="K3044" t="inlineStr"/>
      <c r="L3044" t="inlineStr"/>
      <c r="M3044" t="inlineStr"/>
      <c r="N3044" t="inlineStr"/>
      <c r="O3044">
        <f>(1-Summary!$B$11)*T3044+Summary!$B$11*V3044</f>
        <v/>
      </c>
      <c r="P3044">
        <f>IF(B3066=0,0,O3044/B3066)</f>
        <v/>
      </c>
      <c r="Q3044">
        <f>IFERROR(1/IF(Inputs!$B$39="pvp",15,MAX(0.1,Skills!D17-IF(TRUE=TRUE,3.5,0))),0)</f>
        <v/>
      </c>
      <c r="R3044">
        <f>IF(AND(Inputs!$B$39&lt;&gt;"pvp",Inputs!$B$44&gt;0),IF(Inputs!$B$44&lt;=0,0,(INT(Inputs!$B$44/IF(Inputs!$B$39="pvp",15,MAX(0.1,Skills!D17-IF(TRUE=TRUE,3.5,0))))+1)),0)</f>
        <v/>
      </c>
      <c r="S3044">
        <f>IFERROR(O3044/N3044,0)</f>
        <v/>
      </c>
      <c r="T3044" t="n">
        <v>0</v>
      </c>
      <c r="V3044" t="n">
        <v>0</v>
      </c>
    </row>
    <row r="3045">
      <c r="A3045">
        <f>Skills!A18</f>
        <v/>
      </c>
      <c r="B3045">
        <f>Skills!B18</f>
        <v/>
      </c>
      <c r="C3045">
        <f>Inputs!$B$3&gt;=72</f>
        <v/>
      </c>
      <c r="D3045">
        <f>IF(Skills!C18=1,60+Inputs!$B$26+Inputs!$B$30,IF(Skills!C18=2,90+Inputs!$B$27+Inputs!$B$30,IF(Skills!C18=3,120+Inputs!$B$28+Inputs!$B$30,MAX(0,(Inputs!$B$3-100)*3)+Inputs!$B$29+Inputs!$B$30)))</f>
        <v/>
      </c>
      <c r="E3045">
        <f>INDEX(FactorTable!$B$2:$Y$301, MATCH(ROUND(MIN(300,MAX(1,D3045)),0), FactorTable!$A$2:$A$301,0), Skills!M18+1)</f>
        <v/>
      </c>
      <c r="F3045">
        <f>IF(Skills!N18=TRUE,(Skills!L18/10)*(E3045/1000),Skills!L18/10)+Skills!O18</f>
        <v/>
      </c>
      <c r="G3045">
        <f>Skills!G18*IF(Skills!H18&gt;0,INT(IF(Inputs!$B$39="pvp",MIN(Skills!I18,15),Skills!I18)/Skills!H18+0.000000001),1)</f>
        <v/>
      </c>
      <c r="H3045">
        <f>1-(1-Skills!J18/100)^Skills!K18</f>
        <v/>
      </c>
      <c r="I3045" t="inlineStr">
        <is>
          <t>1</t>
        </is>
      </c>
      <c r="J3045" t="inlineStr"/>
      <c r="K3045" t="inlineStr"/>
      <c r="L3045" t="inlineStr"/>
      <c r="M3045" t="inlineStr"/>
      <c r="N3045" t="inlineStr"/>
      <c r="O3045">
        <f>(1-Summary!$B$11)*T3045+Summary!$B$11*V3045</f>
        <v/>
      </c>
      <c r="P3045">
        <f>IF(B3066=0,0,O3045/B3066)</f>
        <v/>
      </c>
      <c r="Q3045">
        <f>IFERROR(1/IF(Inputs!$B$39="pvp",15,MAX(0.1,Skills!D18-IF(TRUE=TRUE,3.5,0))),0)</f>
        <v/>
      </c>
      <c r="R3045">
        <f>IF(AND(Inputs!$B$39&lt;&gt;"pvp",Inputs!$B$44&gt;0),IF(Inputs!$B$44&lt;=0,0,(INT(Inputs!$B$44/IF(Inputs!$B$39="pvp",15,MAX(0.1,Skills!D18-IF(TRUE=TRUE,3.5,0))))+1)),0)</f>
        <v/>
      </c>
      <c r="S3045">
        <f>IFERROR(O3045/N3045,0)</f>
        <v/>
      </c>
      <c r="T3045" t="n">
        <v>0</v>
      </c>
      <c r="V3045" t="n">
        <v>0</v>
      </c>
    </row>
    <row r="3046">
      <c r="A3046">
        <f>Skills!A19</f>
        <v/>
      </c>
      <c r="B3046">
        <f>Skills!B19</f>
        <v/>
      </c>
      <c r="C3046">
        <f>Inputs!$B$3&gt;=72</f>
        <v/>
      </c>
      <c r="D3046">
        <f>IF(Skills!C19=1,60+Inputs!$B$26+Inputs!$B$30,IF(Skills!C19=2,90+Inputs!$B$27+Inputs!$B$30,IF(Skills!C19=3,120+Inputs!$B$28+Inputs!$B$30,MAX(0,(Inputs!$B$3-100)*3)+Inputs!$B$29+Inputs!$B$30)))</f>
        <v/>
      </c>
      <c r="E3046">
        <f>INDEX(FactorTable!$B$2:$Y$301, MATCH(ROUND(MIN(300,MAX(1,D3046)),0), FactorTable!$A$2:$A$301,0), Skills!M19+1)</f>
        <v/>
      </c>
      <c r="F3046">
        <f>IF(Skills!N19=TRUE,(Skills!L19/10)*(E3046/1000),Skills!L19/10)+Skills!O19</f>
        <v/>
      </c>
      <c r="G3046">
        <f>Skills!G19*IF(Skills!H19&gt;0,INT(IF(Inputs!$B$39="pvp",MIN(Skills!I19,15),Skills!I19)/Skills!H19+0.000000001),1)</f>
        <v/>
      </c>
      <c r="H3046">
        <f>1-(1-Skills!J19/100)^Skills!K19</f>
        <v/>
      </c>
      <c r="I3046" t="inlineStr">
        <is>
          <t>1</t>
        </is>
      </c>
      <c r="J3046" t="inlineStr"/>
      <c r="K3046" t="inlineStr"/>
      <c r="L3046" t="inlineStr"/>
      <c r="M3046" t="inlineStr"/>
      <c r="N3046" t="inlineStr"/>
      <c r="O3046">
        <f>(1-Summary!$B$11)*T3046+Summary!$B$11*V3046</f>
        <v/>
      </c>
      <c r="P3046">
        <f>IF(B3066=0,0,O3046/B3066)</f>
        <v/>
      </c>
      <c r="Q3046">
        <f>IFERROR(1/IF(Inputs!$B$39="pvp",15,MAX(0.1,Skills!D19-IF(TRUE=TRUE,3.5,0))),0)</f>
        <v/>
      </c>
      <c r="R3046">
        <f>IF(AND(Inputs!$B$39&lt;&gt;"pvp",Inputs!$B$44&gt;0),IF(Inputs!$B$44&lt;=0,0,(INT(Inputs!$B$44/IF(Inputs!$B$39="pvp",15,MAX(0.1,Skills!D19-IF(TRUE=TRUE,3.5,0))))+1)),0)</f>
        <v/>
      </c>
      <c r="S3046">
        <f>IFERROR(O3046/N3046,0)</f>
        <v/>
      </c>
      <c r="T3046" t="n">
        <v>0</v>
      </c>
      <c r="V3046" t="n">
        <v>0</v>
      </c>
    </row>
    <row r="3047">
      <c r="A3047">
        <f>Skills!A20</f>
        <v/>
      </c>
      <c r="B3047">
        <f>Skills!B20</f>
        <v/>
      </c>
      <c r="C3047">
        <f>TRUE</f>
        <v/>
      </c>
      <c r="D3047">
        <f>IF(Skills!C20=1,60+Inputs!$B$26+Inputs!$B$30,IF(Skills!C20=2,90+Inputs!$B$27+Inputs!$B$30,IF(Skills!C20=3,120+Inputs!$B$28+Inputs!$B$30,MAX(0,(Inputs!$B$3-100)*3)+Inputs!$B$29+Inputs!$B$30)))</f>
        <v/>
      </c>
      <c r="E3047">
        <f>INDEX(FactorTable!$B$2:$Y$301, MATCH(ROUND(MIN(300,MAX(1,D3047)),0), FactorTable!$A$2:$A$301,0), Skills!M20+1)</f>
        <v/>
      </c>
      <c r="F3047">
        <f>IF(Skills!N20=TRUE,(Skills!L20/10)*(E3047/1000),Skills!L20/10)+Skills!O20</f>
        <v/>
      </c>
      <c r="G3047">
        <f>Skills!G20*IF(Skills!H20&gt;0,INT(IF(Inputs!$B$39="pvp",MIN(Skills!I20,15),Skills!I20)/Skills!H20+0.000000001),1)</f>
        <v/>
      </c>
      <c r="H3047">
        <f>1-(1-Skills!J20/100)^Skills!K20</f>
        <v/>
      </c>
      <c r="I3047" t="inlineStr">
        <is>
          <t>1</t>
        </is>
      </c>
      <c r="J3047" t="inlineStr"/>
      <c r="K3047" t="inlineStr"/>
      <c r="L3047" t="inlineStr"/>
      <c r="M3047" t="inlineStr"/>
      <c r="N3047" t="inlineStr"/>
      <c r="O3047">
        <f>(1-Summary!$B$11)*T3047+Summary!$B$11*V3047</f>
        <v/>
      </c>
      <c r="P3047">
        <f>IF(B3066=0,0,O3047/B3066)</f>
        <v/>
      </c>
      <c r="Q3047">
        <f>IFERROR(1/IF(Inputs!$B$39="pvp",15,MAX(0.1,Skills!D20-IF(TRUE=TRUE,3.5,0))),0)</f>
        <v/>
      </c>
      <c r="R3047">
        <f>IF(AND(Inputs!$B$39&lt;&gt;"pvp",Inputs!$B$44&gt;0),IF(Inputs!$B$44&lt;=0,0,(INT(Inputs!$B$44/IF(Inputs!$B$39="pvp",15,MAX(0.1,Skills!D20-IF(TRUE=TRUE,3.5,0))))+1)),0)</f>
        <v/>
      </c>
      <c r="S3047">
        <f>IFERROR(O3047/N3047,0)</f>
        <v/>
      </c>
      <c r="T3047" t="n">
        <v>0</v>
      </c>
      <c r="V3047" t="n">
        <v>0</v>
      </c>
    </row>
    <row r="3048">
      <c r="A3048">
        <f>Skills!A21</f>
        <v/>
      </c>
      <c r="B3048">
        <f>Skills!B21</f>
        <v/>
      </c>
      <c r="C3048">
        <f>Inputs!$B$3&gt;=33</f>
        <v/>
      </c>
      <c r="D3048">
        <f>IF(Skills!C21=1,60+Inputs!$B$26+Inputs!$B$30,IF(Skills!C21=2,90+Inputs!$B$27+Inputs!$B$30,IF(Skills!C21=3,120+Inputs!$B$28+Inputs!$B$30,MAX(0,(Inputs!$B$3-100)*3)+Inputs!$B$29+Inputs!$B$30)))</f>
        <v/>
      </c>
      <c r="E3048">
        <f>INDEX(FactorTable!$B$2:$Y$301, MATCH(ROUND(MIN(300,MAX(1,D3048)),0), FactorTable!$A$2:$A$301,0), Skills!M21+1)</f>
        <v/>
      </c>
      <c r="F3048">
        <f>IF(Skills!N21=TRUE,(Skills!L21/10)*(E3048/1000),Skills!L21/10)+Skills!O21</f>
        <v/>
      </c>
      <c r="G3048">
        <f>Skills!G21*IF(Skills!H21&gt;0,INT(IF(Inputs!$B$39="pvp",MIN(Skills!I21,15),Skills!I21)/Skills!H21+0.000000001),1)</f>
        <v/>
      </c>
      <c r="H3048">
        <f>1-(1-Skills!J21/100)^Skills!K21</f>
        <v/>
      </c>
      <c r="I3048" t="inlineStr">
        <is>
          <t>1</t>
        </is>
      </c>
      <c r="J3048" t="inlineStr"/>
      <c r="K3048" t="inlineStr"/>
      <c r="L3048" t="inlineStr"/>
      <c r="M3048" t="inlineStr"/>
      <c r="N3048" t="inlineStr"/>
      <c r="O3048">
        <f>(1-Summary!$B$11)*T3048+Summary!$B$11*V3048</f>
        <v/>
      </c>
      <c r="P3048">
        <f>IF(B3066=0,0,O3048/B3066)</f>
        <v/>
      </c>
      <c r="Q3048" t="n">
        <v>0</v>
      </c>
      <c r="R3048" t="n">
        <v>0</v>
      </c>
      <c r="S3048">
        <f>IFERROR(O3048/N3048,0)</f>
        <v/>
      </c>
      <c r="T3048" t="n">
        <v>0</v>
      </c>
      <c r="V3048" t="n">
        <v>0</v>
      </c>
    </row>
    <row r="3049">
      <c r="A3049">
        <f>Skills!A22</f>
        <v/>
      </c>
      <c r="B3049">
        <f>Skills!B22</f>
        <v/>
      </c>
      <c r="C3049">
        <f>Inputs!$B$3&gt;=43</f>
        <v/>
      </c>
      <c r="D3049">
        <f>IF(Skills!C22=1,60+Inputs!$B$26+Inputs!$B$30,IF(Skills!C22=2,90+Inputs!$B$27+Inputs!$B$30,IF(Skills!C22=3,120+Inputs!$B$28+Inputs!$B$30,MAX(0,(Inputs!$B$3-100)*3)+Inputs!$B$29+Inputs!$B$30)))</f>
        <v/>
      </c>
      <c r="E3049">
        <f>INDEX(FactorTable!$B$2:$Y$301, MATCH(ROUND(MIN(300,MAX(1,D3049)),0), FactorTable!$A$2:$A$301,0), Skills!M22+1)</f>
        <v/>
      </c>
      <c r="F3049">
        <f>IF(Skills!N22=TRUE,(Skills!L22/10)*(E3049/1000),Skills!L22/10)+Skills!O22</f>
        <v/>
      </c>
      <c r="G3049">
        <f>Skills!G22*IF(Skills!H22&gt;0,INT(IF(Inputs!$B$39="pvp",MIN(Skills!I22,15),Skills!I22)/Skills!H22+0.000000001),1)</f>
        <v/>
      </c>
      <c r="H3049">
        <f>1-(1-Skills!J22/100)^Skills!K22</f>
        <v/>
      </c>
      <c r="I3049" t="inlineStr">
        <is>
          <t>1</t>
        </is>
      </c>
      <c r="J3049" t="inlineStr"/>
      <c r="K3049" t="inlineStr"/>
      <c r="L3049" t="inlineStr"/>
      <c r="M3049" t="inlineStr"/>
      <c r="N3049" t="inlineStr"/>
      <c r="O3049">
        <f>(1-Summary!$B$11)*T3049+Summary!$B$11*V3049</f>
        <v/>
      </c>
      <c r="P3049">
        <f>IF(B3066=0,0,O3049/B3066)</f>
        <v/>
      </c>
      <c r="Q3049" t="n">
        <v>0</v>
      </c>
      <c r="R3049" t="n">
        <v>0</v>
      </c>
      <c r="S3049">
        <f>IFERROR(O3049/N3049,0)</f>
        <v/>
      </c>
      <c r="T3049" t="n">
        <v>0</v>
      </c>
      <c r="V3049" t="n">
        <v>0</v>
      </c>
    </row>
    <row r="3050">
      <c r="A3050">
        <f>Skills!A23</f>
        <v/>
      </c>
      <c r="B3050">
        <f>Skills!B23</f>
        <v/>
      </c>
      <c r="C3050">
        <f>Inputs!$B$3&gt;=120</f>
        <v/>
      </c>
      <c r="D3050">
        <f>IF(Skills!C23=1,60+Inputs!$B$26+Inputs!$B$30,IF(Skills!C23=2,90+Inputs!$B$27+Inputs!$B$30,IF(Skills!C23=3,120+Inputs!$B$28+Inputs!$B$30,MAX(0,(Inputs!$B$3-100)*3)+Inputs!$B$29+Inputs!$B$30)))</f>
        <v/>
      </c>
      <c r="E3050">
        <f>INDEX(FactorTable!$B$2:$Y$301, MATCH(ROUND(MIN(300,MAX(1,D3050)),0), FactorTable!$A$2:$A$301,0), Skills!M23+1)</f>
        <v/>
      </c>
      <c r="F3050">
        <f>IF(Skills!N23=TRUE,(Skills!L23/10)*(E3050/1000),Skills!L23/10)+Skills!O23</f>
        <v/>
      </c>
      <c r="G3050">
        <f>Skills!G23*IF(Skills!H23&gt;0,INT(IF(Inputs!$B$39="pvp",MIN(Skills!I23,15),Skills!I23)/Skills!H23+0.000000001),1)</f>
        <v/>
      </c>
      <c r="H3050">
        <f>1-(1-Skills!J23/100)^Skills!K23</f>
        <v/>
      </c>
      <c r="I3050" t="inlineStr">
        <is>
          <t>1</t>
        </is>
      </c>
      <c r="J3050" t="inlineStr"/>
      <c r="K3050" t="inlineStr"/>
      <c r="L3050" t="inlineStr"/>
      <c r="M3050" t="inlineStr"/>
      <c r="N3050" t="inlineStr"/>
      <c r="O3050">
        <f>(1-Summary!$B$11)*T3050+Summary!$B$11*V3050</f>
        <v/>
      </c>
      <c r="P3050">
        <f>IF(B3066=0,0,O3050/B3066)</f>
        <v/>
      </c>
      <c r="Q3050" t="n">
        <v>0</v>
      </c>
      <c r="R3050" t="n">
        <v>0</v>
      </c>
      <c r="S3050">
        <f>IFERROR(O3050/N3050,0)</f>
        <v/>
      </c>
      <c r="T3050" t="n">
        <v>0</v>
      </c>
      <c r="V3050" t="n">
        <v>0</v>
      </c>
    </row>
    <row r="3051">
      <c r="A3051">
        <f>Skills!A24</f>
        <v/>
      </c>
      <c r="B3051">
        <f>Skills!B24</f>
        <v/>
      </c>
      <c r="C3051">
        <f>Inputs!$B$3&gt;=120</f>
        <v/>
      </c>
      <c r="D3051">
        <f>IF(Skills!C24=1,60+Inputs!$B$26+Inputs!$B$30,IF(Skills!C24=2,90+Inputs!$B$27+Inputs!$B$30,IF(Skills!C24=3,120+Inputs!$B$28+Inputs!$B$30,MAX(0,(Inputs!$B$3-100)*3)+Inputs!$B$29+Inputs!$B$30)))</f>
        <v/>
      </c>
      <c r="E3051">
        <f>INDEX(FactorTable!$B$2:$Y$301, MATCH(ROUND(MIN(300,MAX(1,D3051)),0), FactorTable!$A$2:$A$301,0), Skills!M24+1)</f>
        <v/>
      </c>
      <c r="F3051">
        <f>IF(Skills!N24=TRUE,(Skills!L24/10)*(E3051/1000),Skills!L24/10)+Skills!O24</f>
        <v/>
      </c>
      <c r="G3051">
        <f>Skills!G24*IF(Skills!H24&gt;0,INT(IF(Inputs!$B$39="pvp",MIN(Skills!I24,15),Skills!I24)/Skills!H24+0.000000001),1)</f>
        <v/>
      </c>
      <c r="H3051">
        <f>1-(1-Skills!J24/100)^Skills!K24</f>
        <v/>
      </c>
      <c r="I3051" t="inlineStr">
        <is>
          <t>1</t>
        </is>
      </c>
      <c r="J3051" t="inlineStr"/>
      <c r="K3051" t="inlineStr"/>
      <c r="L3051" t="inlineStr"/>
      <c r="M3051" t="inlineStr"/>
      <c r="N3051" t="inlineStr"/>
      <c r="O3051">
        <f>(1-Summary!$B$11)*T3051+Summary!$B$11*V3051</f>
        <v/>
      </c>
      <c r="P3051">
        <f>IF(B3066=0,0,O3051/B3066)</f>
        <v/>
      </c>
      <c r="Q3051" t="n">
        <v>0</v>
      </c>
      <c r="R3051" t="n">
        <v>0</v>
      </c>
      <c r="S3051">
        <f>IFERROR(O3051/N3051,0)</f>
        <v/>
      </c>
      <c r="T3051" t="n">
        <v>0</v>
      </c>
      <c r="V3051" t="n">
        <v>0</v>
      </c>
    </row>
    <row r="3052">
      <c r="A3052">
        <f>Skills!A25</f>
        <v/>
      </c>
      <c r="B3052">
        <f>Skills!B25</f>
        <v/>
      </c>
      <c r="C3052">
        <f>Inputs!$B$3&gt;=125</f>
        <v/>
      </c>
      <c r="D3052">
        <f>IF(Skills!C25=1,60+Inputs!$B$26+Inputs!$B$30,IF(Skills!C25=2,90+Inputs!$B$27+Inputs!$B$30,IF(Skills!C25=3,120+Inputs!$B$28+Inputs!$B$30,MAX(0,(Inputs!$B$3-100)*3)+Inputs!$B$29+Inputs!$B$30)))</f>
        <v/>
      </c>
      <c r="E3052">
        <f>INDEX(FactorTable!$B$2:$Y$301, MATCH(ROUND(MIN(300,MAX(1,D3052)),0), FactorTable!$A$2:$A$301,0), Skills!M25+1)</f>
        <v/>
      </c>
      <c r="F3052">
        <f>IF(Skills!N25=TRUE,(Skills!L25/10)*(E3052/1000),Skills!L25/10)+Skills!O25</f>
        <v/>
      </c>
      <c r="G3052">
        <f>Skills!G25*IF(Skills!H25&gt;0,INT(IF(Inputs!$B$39="pvp",MIN(Skills!I25,15),Skills!I25)/Skills!H25+0.000000001),1)</f>
        <v/>
      </c>
      <c r="H3052">
        <f>1-(1-Skills!J25/100)^Skills!K25</f>
        <v/>
      </c>
      <c r="I3052" t="inlineStr">
        <is>
          <t>1</t>
        </is>
      </c>
      <c r="J3052" t="inlineStr"/>
      <c r="K3052" t="inlineStr"/>
      <c r="L3052" t="inlineStr"/>
      <c r="M3052" t="inlineStr"/>
      <c r="N3052" t="inlineStr"/>
      <c r="O3052">
        <f>(1-Summary!$B$11)*T3052+Summary!$B$11*V3052</f>
        <v/>
      </c>
      <c r="P3052">
        <f>IF(B3066=0,0,O3052/B3066)</f>
        <v/>
      </c>
      <c r="Q3052" t="n">
        <v>0</v>
      </c>
      <c r="R3052" t="n">
        <v>0</v>
      </c>
      <c r="S3052">
        <f>IFERROR(O3052/N3052,0)</f>
        <v/>
      </c>
      <c r="T3052" t="n">
        <v>0</v>
      </c>
      <c r="V3052" t="n">
        <v>0</v>
      </c>
    </row>
    <row r="3053">
      <c r="A3053">
        <f>Skills!A26</f>
        <v/>
      </c>
      <c r="B3053">
        <f>Skills!B26</f>
        <v/>
      </c>
      <c r="C3053">
        <f>Inputs!$B$3&gt;=107</f>
        <v/>
      </c>
      <c r="D3053">
        <f>IF(Skills!C26=1,60+Inputs!$B$26+Inputs!$B$30,IF(Skills!C26=2,90+Inputs!$B$27+Inputs!$B$30,IF(Skills!C26=3,120+Inputs!$B$28+Inputs!$B$30,MAX(0,(Inputs!$B$3-100)*3)+Inputs!$B$29+Inputs!$B$30)))</f>
        <v/>
      </c>
      <c r="E3053">
        <f>INDEX(FactorTable!$B$2:$Y$301, MATCH(ROUND(MIN(300,MAX(1,D3053)),0), FactorTable!$A$2:$A$301,0), Skills!M26+1)</f>
        <v/>
      </c>
      <c r="F3053">
        <f>IF(Skills!N26=TRUE,(Skills!L26/10)*(E3053/1000),Skills!L26/10)+Skills!O26</f>
        <v/>
      </c>
      <c r="G3053">
        <f>Skills!G26*IF(Skills!H26&gt;0,INT(IF(Inputs!$B$39="pvp",MIN(Skills!I26,15),Skills!I26)/Skills!H26+0.000000001),1)</f>
        <v/>
      </c>
      <c r="H3053">
        <f>1-(1-Skills!J26/100)^Skills!K26</f>
        <v/>
      </c>
      <c r="I3053" t="inlineStr">
        <is>
          <t>1</t>
        </is>
      </c>
      <c r="J3053" t="inlineStr"/>
      <c r="K3053" t="inlineStr"/>
      <c r="L3053" t="inlineStr"/>
      <c r="M3053" t="inlineStr"/>
      <c r="N3053" t="inlineStr"/>
      <c r="O3053">
        <f>(1-Summary!$B$11)*T3053+Summary!$B$11*V3053</f>
        <v/>
      </c>
      <c r="P3053">
        <f>IF(B3066=0,0,O3053/B3066)</f>
        <v/>
      </c>
      <c r="Q3053" t="n">
        <v>0</v>
      </c>
      <c r="R3053" t="n">
        <v>0</v>
      </c>
      <c r="S3053">
        <f>IFERROR(O3053/N3053,0)</f>
        <v/>
      </c>
      <c r="T3053" t="n">
        <v>0</v>
      </c>
      <c r="V3053" t="n">
        <v>0</v>
      </c>
    </row>
    <row r="3055">
      <c r="A3055" t="inlineStr">
        <is>
          <t>Attack% Bucket Multiplier</t>
        </is>
      </c>
      <c r="B3055">
        <f>(1+(((C3040=TRUE)*F3040*IF(AND(Inputs!$B$39&lt;&gt;"pvp",Inputs!$B$44&gt;0),(((R3040-1)*MIN((Skills!T13*(1+Inputs!$B$35/100)),(1/Q3040))+MIN((Skills!T13*(1+Inputs!$B$35/100)),MAX(0,Inputs!$B$44-((R3040-1)*(1/Q3040)))))/Inputs!$B$44),IF(Inputs!$B$39="pvp",MIN((Skills!T13*(1+Inputs!$B$35/100)),15)/15,MIN(1,(Skills!T13*(1+Inputs!$B$35/100))/(1/Q3040)))))+((C3041=TRUE)*F3041*IF(AND(Inputs!$B$39&lt;&gt;"pvp",Inputs!$B$44&gt;0),(((R3041-1)*MIN((Skills!T14*(1+Inputs!$B$35/100)),(1/Q3041))+MIN((Skills!T14*(1+Inputs!$B$35/100)),MAX(0,Inputs!$B$44-((R3041-1)*(1/Q3041)))))/Inputs!$B$44),IF(Inputs!$B$39="pvp",MIN((Skills!T14*(1+Inputs!$B$35/100)),15)/15,MIN(1,(Skills!T14*(1+Inputs!$B$35/100))/(1/Q3041)))))+((C3042=TRUE)*F3042*IF(AND(Inputs!$B$39&lt;&gt;"pvp",Inputs!$B$44&gt;0),(((R3042-1)*MIN((Skills!T15*(1+Inputs!$B$35/100)),(1/Q3042))+MIN((Skills!T15*(1+Inputs!$B$35/100)),MAX(0,Inputs!$B$44-((R3042-1)*(1/Q3042)))))/Inputs!$B$44),IF(Inputs!$B$39="pvp",MIN((Skills!T15*(1+Inputs!$B$35/100)),15)/15,MIN(1,(Skills!T15*(1+Inputs!$B$35/100))/(1/Q3042)))))+((C3043=TRUE)*F3043*IF(AND(Inputs!$B$39&lt;&gt;"pvp",Inputs!$B$44&gt;0),(((R3043-1)*MIN((Skills!T16*(1+Inputs!$B$35/100)),(1/Q3043))+MIN((Skills!T16*(1+Inputs!$B$35/100)),MAX(0,Inputs!$B$44-((R3043-1)*(1/Q3043)))))/Inputs!$B$44),IF(Inputs!$B$39="pvp",MIN((Skills!T16*(1+Inputs!$B$35/100)),15)/15,MIN(1,(Skills!T16*(1+Inputs!$B$35/100))/(1/Q3043)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3056">
      <c r="A3056" t="inlineStr">
        <is>
          <t>Global Crit Rate Bonus % (Lord of Darkness)</t>
        </is>
      </c>
      <c r="B3056">
        <f>((C3045=TRUE)*F3045*(Skills!J18/100)*IF(AND(Inputs!$B$39&lt;&gt;"pvp",Inputs!$B$44&gt;0),(((R3045-1)*MIN((Skills!T18*(1+Inputs!$B$35/100)),(1/Q3045))+MIN((Skills!T18*(1+Inputs!$B$35/100)),MAX(0,Inputs!$B$44-((R3045-1)*(1/Q3045)))))/Inputs!$B$44),IF(Inputs!$B$39="pvp",MIN((Skills!T18*(1+Inputs!$B$35/100)),15)/15,MIN(1,(Skills!T18*(1+Inputs!$B$35/100))/(1/Q3045)))))</f>
        <v/>
      </c>
    </row>
    <row r="3057">
      <c r="A3057" t="inlineStr">
        <is>
          <t>Attack Speed Buff Bonus %</t>
        </is>
      </c>
      <c r="B3057">
        <f>((C3047=TRUE)*F3047*IF(AND(Inputs!$B$39&lt;&gt;"pvp",Inputs!$B$44&gt;0),(((R3047-1)*MIN((Skills!T20*(1+Inputs!$B$35/100)),(1/Q3047))+MIN((Skills!T20*(1+Inputs!$B$35/100)),MAX(0,Inputs!$B$44-((R3047-1)*(1/Q3047)))))/Inputs!$B$44),IF(Inputs!$B$39="pvp",MIN((Skills!T20*(1+Inputs!$B$35/100)),15)/15,MIN(1,(Skills!T20*(1+Inputs!$B$35/100))/(1/Q3047)))))</f>
        <v/>
      </c>
    </row>
    <row r="3058">
      <c r="A3058" t="inlineStr">
        <is>
          <t>Actions Per Second</t>
        </is>
      </c>
      <c r="B3058">
        <f>1+MIN(150,150*(1-(1-(Inputs!$B$12+((C3048=TRUE)*(F3048-Calc!F21)))/150)*(1-B3057/150)))/100</f>
        <v/>
      </c>
    </row>
    <row r="3059">
      <c r="A3059" t="inlineStr">
        <is>
          <t>Skill + Buff Cast Rate</t>
        </is>
      </c>
      <c r="B3059">
        <f>IF(AND(Inputs!$B$39&lt;&gt;"pvp",Inputs!$B$44&gt;0),SUMPRODUCT((Skills!E2:E26=TRUE)*(C3029:C3053=TRUE)*R3029:R3053*Skills!F2:F26)/Inputs!$B$44,SUMPRODUCT((Skills!E2:E26=TRUE)*(C3029:C3053=TRUE)*Q3029:Q3053*Skills!F2:F26))</f>
        <v/>
      </c>
    </row>
    <row r="3060">
      <c r="A3060" t="inlineStr">
        <is>
          <t>Dark Impale Casts Per Second</t>
        </is>
      </c>
      <c r="B3060">
        <f>MAX(0,B3058-B3059)</f>
        <v/>
      </c>
    </row>
    <row r="3061">
      <c r="A3061" t="inlineStr">
        <is>
          <t>Global Critical Damage Bonus % (Lord of Darkness)</t>
        </is>
      </c>
      <c r="B3061">
        <f>((C3046=TRUE)*F3046*(Skills!J19/100)*IF(AND(Inputs!$B$39&lt;&gt;"pvp",Inputs!$B$44&gt;0),(((R3046-1)*MIN((Skills!T19*(1+Inputs!$B$35/100)),(1/Q3046))+MIN((Skills!T19*(1+Inputs!$B$35/100)),MAX(0,Inputs!$B$44-((R3046-1)*(1/Q3046)))))/Inputs!$B$44),IF(Inputs!$B$39="pvp",MIN((Skills!T19*(1+Inputs!$B$35/100)),15)/15,MIN(1,(Skills!T19*(1+Inputs!$B$35/100))/(1/Q3046)))))</f>
        <v/>
      </c>
    </row>
    <row r="3062">
      <c r="A3062" t="inlineStr">
        <is>
          <t>Global Final Damage Bonus % (unused)</t>
        </is>
      </c>
      <c r="B3062" t="n">
        <v>0</v>
      </c>
    </row>
    <row r="3063">
      <c r="A3063" t="inlineStr">
        <is>
          <t>Buff-Casting Startup Delay (s, fixed-duration only)</t>
        </is>
      </c>
      <c r="B3063">
        <f>IF(AND(Inputs!$B$39&lt;&gt;"pvp",Inputs!$B$44&gt;0),SUMPRODUCT((Skills!T2:T26&gt;0)*(Skills!E2:E26=TRUE)*(C3029:C3053=TRUE))/B3058,0)</f>
        <v/>
      </c>
    </row>
    <row r="3064">
      <c r="A3064" t="inlineStr">
        <is>
          <t>Boss-Only Total DPS (this block's swept value)</t>
        </is>
      </c>
      <c r="B3064">
        <f>SUM(T3029:T3053)</f>
        <v/>
      </c>
    </row>
    <row r="3065">
      <c r="A3065" t="inlineStr">
        <is>
          <t>Normal-Only Total DPS (this block's swept value)</t>
        </is>
      </c>
      <c r="B3065">
        <f>SUM(V3029:V3053)</f>
        <v/>
      </c>
    </row>
    <row r="3066">
      <c r="A3066" s="6" t="inlineStr">
        <is>
          <t>TOTAL DPS</t>
        </is>
      </c>
      <c r="B3066" s="6">
        <f>SUM(O3029:O3053)</f>
        <v/>
      </c>
    </row>
    <row r="3069">
      <c r="A3069" s="6" t="inlineStr">
        <is>
          <t>Stat: CDR = 4.0s</t>
        </is>
      </c>
    </row>
    <row r="3070">
      <c r="A3070" s="5" t="inlineStr">
        <is>
          <t>Key</t>
        </is>
      </c>
      <c r="B3070" s="5" t="inlineStr">
        <is>
          <t>Name</t>
        </is>
      </c>
      <c r="C3070" s="5" t="inlineStr">
        <is>
          <t>Unlocked</t>
        </is>
      </c>
      <c r="D3070" s="5" t="inlineStr">
        <is>
          <t>InputLevel</t>
        </is>
      </c>
      <c r="E3070" s="5" t="inlineStr">
        <is>
          <t>Factor</t>
        </is>
      </c>
      <c r="F3070" s="5" t="inlineStr">
        <is>
          <t>CoefficientPercent</t>
        </is>
      </c>
      <c r="G3070" s="5" t="inlineStr">
        <is>
          <t>EffectiveHits</t>
        </is>
      </c>
      <c r="H3070" s="5" t="inlineStr">
        <is>
          <t>ProcProbability</t>
        </is>
      </c>
      <c r="I3070" s="5" t="inlineStr">
        <is>
          <t>MapleHeroMultiplier</t>
        </is>
      </c>
      <c r="J3070" s="5" t="inlineStr">
        <is>
          <t>BaseDamage</t>
        </is>
      </c>
      <c r="K3070" s="5" t="inlineStr">
        <is>
          <t>BaseHitDamage</t>
        </is>
      </c>
      <c r="L3070" s="5" t="inlineStr">
        <is>
          <t>NonCritAvg</t>
        </is>
      </c>
      <c r="M3070" s="5" t="inlineStr">
        <is>
          <t>CritAvg</t>
        </is>
      </c>
      <c r="N3070" s="5" t="inlineStr">
        <is>
          <t>ExpectedDamage(perHit)</t>
        </is>
      </c>
      <c r="O3070" s="5" t="inlineStr">
        <is>
          <t>DPS</t>
        </is>
      </c>
      <c r="P3070" s="5" t="inlineStr">
        <is>
          <t>% of Total</t>
        </is>
      </c>
      <c r="Q3070" s="5" t="inlineStr">
        <is>
          <t>InvCooldown</t>
        </is>
      </c>
      <c r="R3070" s="5" t="inlineStr">
        <is>
          <t>CastsInFight</t>
        </is>
      </c>
      <c r="S3070" s="5" t="inlineStr">
        <is>
          <t>HitRate(perSec)</t>
        </is>
      </c>
      <c r="U3070" t="inlineStr">
        <is>
          <t>helpers</t>
        </is>
      </c>
    </row>
    <row r="3071">
      <c r="A3071">
        <f>Skills!A2</f>
        <v/>
      </c>
      <c r="B3071">
        <f>Skills!B2</f>
        <v/>
      </c>
      <c r="C3071">
        <f>Inputs!$B$3&gt;=100</f>
        <v/>
      </c>
      <c r="D3071" t="inlineStr"/>
      <c r="E3071" t="inlineStr"/>
      <c r="F3071">
        <f>U3073+Skills!O2</f>
        <v/>
      </c>
      <c r="G3071">
        <f>Skills!G2*IF(Skills!H2&gt;0,INT(IF(Inputs!$B$39="pvp",MIN(Skills!I2,15),Skills!I2)/Skills!H2+0.000000001),1)</f>
        <v/>
      </c>
      <c r="H3071">
        <f>1-(1-Skills!J2/100)^Skills!K2</f>
        <v/>
      </c>
      <c r="I3071" t="inlineStr">
        <is>
          <t>1</t>
        </is>
      </c>
      <c r="J3071">
        <f>((Inputs!$B$6*(1+Inputs!$B$7/100))+(((Inputs!$B$13*(1+Inputs!$B$14/100))-(Inputs!$B$13*(1+Inputs!$B$14/100)))+0.25*(Inputs!$B$15-Inputs!$B$15))*(1+Inputs!$B$7/100))*(F3071/100)</f>
        <v/>
      </c>
      <c r="K3071">
        <f>J3071*(1+(((Inputs!$B$13+IF(Inputs!$B$3&gt;=38,(10*INDEX(FactorTable!$B$2:$Y$301, MATCH(ROUND(MIN(300,MAX(1,Inputs!$B$3)),0), FactorTable!$A$2:$A$301,0), 23)/1000)/100*(Inputs!$B$8*(1+Inputs!$B$9/100)),0))*(1+Inputs!$B$14/100))*0.01+Inputs!$B$15*0.0025)/100)*(1+Inputs!$B$16/100)*(1+Inputs!$B$17/100)*(5000/(6000+Inputs!$B$43*(1-(Inputs!$B$20+0)/100)))*(1+(Inputs!$B$25+((C3094=TRUE)*(F3094-Calc!F25))+((C3095=TRUE)*(F3095-Calc!F26))+B3104)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gt;=100),MIN(100,((Inputs!$B$10+0+B3098+(ArtifactsInput!$M$24-ArtifactsInput!$M$24)*CHOOSE(ArtifactsInput!$N$24+1,10,12,14,16,18,20)+IF(ArtifactsInput!$M$10,CHOOSE(ArtifactsInput!$N$10+1,15,18,21,24,27,30)*(IF(Inputs!$B$39="pvp",MIN(15,15)/15,IF(AND(Inputs!$B$39&lt;&gt;"pvp",Inputs!$B$44&gt;0),MIN(15,Inputs!$B$44)/(Inputs!$B$44),0))),0)))-100),0))*CHOOSE(ArtifactsInput!$N$42+1,0.6,0.72,0.84,0.96,1.08,1.2))),Inputs!$B$19+((C3092=TRUE)*(F3092-Calc!F23))+(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gt;=100),CHOOSE(ArtifactsInput!$N$42+1,40,48,56,64,72,80),0))))/100)*((1+(((C3082=TRUE)*F3082*IF(AND(Inputs!$B$39&lt;&gt;"pvp",Inputs!$B$44&gt;0),(((R3082-1)*MIN((Skills!T13*(1+Inputs!$B$35/100)),(1/Q3082))+MIN((Skills!T13*(1+Inputs!$B$35/100)),MAX(0,Inputs!$B$44-((R3082-1)*(1/Q3082)))))/Inputs!$B$44),IF(Inputs!$B$39="pvp",MIN((Skills!T13*(1+Inputs!$B$35/100)),15)/15,MIN(1,(Skills!T13*(1+Inputs!$B$35/100))/(1/Q3082)))))+((C3083=TRUE)*F3083*IF(AND(Inputs!$B$39&lt;&gt;"pvp",Inputs!$B$44&gt;0),(((R3083-1)*MIN((Skills!T14*(1+Inputs!$B$35/100)),(1/Q3083))+MIN((Skills!T14*(1+Inputs!$B$35/100)),MAX(0,Inputs!$B$44-((R3083-1)*(1/Q3083)))))/Inputs!$B$44),IF(Inputs!$B$39="pvp",MIN((Skills!T14*(1+Inputs!$B$35/100)),15)/15,MIN(1,(Skills!T14*(1+Inputs!$B$35/100))/(1/Q3083)))))+((C3084=TRUE)*F3084*IF(AND(Inputs!$B$39&lt;&gt;"pvp",Inputs!$B$44&gt;0),(((R3084-1)*MIN((Skills!T15*(1+Inputs!$B$35/100)),(1/Q3084))+MIN((Skills!T15*(1+Inputs!$B$35/100)),MAX(0,Inputs!$B$44-((R3084-1)*(1/Q3084)))))/Inputs!$B$44),IF(Inputs!$B$39="pvp",MIN((Skills!T15*(1+Inputs!$B$35/100)),15)/15,MIN(1,(Skills!T15*(1+Inputs!$B$35/100))/(1/Q3084)))))+((C3085=TRUE)*F3085*IF(AND(Inputs!$B$39&lt;&gt;"pvp",Inputs!$B$44&gt;0),(((R3085-1)*MIN((Skills!T16*(1+Inputs!$B$35/100)),(1/Q3085))+MIN((Skills!T16*(1+Inputs!$B$35/100)),MAX(0,Inputs!$B$44-((R3085-1)*(1/Q3085)))))/Inputs!$B$44),IF(Inputs!$B$39="pvp",MIN((Skills!T16*(1+Inputs!$B$35/100)),15)/15,MIN(1,(Skills!T16*(1+Inputs!$B$35/100))/(1/Q3085)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3071)</f>
        <v/>
      </c>
      <c r="L3071">
        <f>K3071*(MIN(Inputs!$B$23+((C3091=TRUE)*(F3091-Calc!F22)),(Inputs!$B$24+((C3093=TRUE)*(F3093-Calc!F24))+(IF(ArtifactsInput!$M$15,CHOOSE(ArtifactsInput!$N$15+1,25,30,35,40,45,50)/100*(Inputs!$B$12-Inputs!$B$12),0))))/100+(Inputs!$B$24+((C3093=TRUE)*(F3093-Calc!F24))+(IF(ArtifactsInput!$M$15,CHOOSE(ArtifactsInput!$N$15+1,25,30,35,40,45,50)/100*(Inputs!$B$12-Inputs!$B$12),0)))/100)/2</f>
        <v/>
      </c>
      <c r="M3071">
        <f>L3071*(1+(Inputs!$B$11+0+B3103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071">
        <f>L3071*(1-MIN((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3071*(MIN((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71">
        <f>(1-Summary!$B$11)*T3071+Summary!$B$11*V3071</f>
        <v/>
      </c>
      <c r="P3071">
        <f>IF(B3108=0,0,O3071/B3108)</f>
        <v/>
      </c>
      <c r="Q3071" t="n">
        <v>0</v>
      </c>
      <c r="R3071" t="n">
        <v>0</v>
      </c>
      <c r="S3071">
        <f>IFERROR(O3071/N3071,0)</f>
        <v/>
      </c>
      <c r="T3071">
        <f>IF(C3071,(Skills!G2*N3071*B3102)*IF(Inputs!$B$39="pvp",1,1+(Inputs!$B$21+0+Skills!P2+((C3086=TRUE)*F3086*IF(AND(Inputs!$B$39&lt;&gt;"pvp",Inputs!$B$44&gt;0),(((R3086-1)*MIN((Skills!T17*(1+Inputs!$B$35/100)),(1/Q3086))+MIN((Skills!T17*(1+Inputs!$B$35/100)),MAX(0,Inputs!$B$44-((R3086-1)*(1/Q3086)))))/Inputs!$B$44),IF(Inputs!$B$39="pvp",MIN((Skills!T17*(1+Inputs!$B$35/100)),15)/15,MIN(1,(Skills!T17*(1+Inputs!$B$35/100))/(1/Q3086)))))+((C3074=TRUE)*IF(Inputs!$B$3&gt;=126,10*MIN(1,15*Q3074),0))+((C3083=TRUE)*IF(Inputs!$B$39="pvp",20,(1-Summary!$B$11)*(20)+Summary!$B$11*(0))*IF(AND(Inputs!$B$39&lt;&gt;"pvp",Inputs!$B$44&gt;0),(((R3083-1)*MIN((Skills!T14*(1+Inputs!$B$35/100)),(1/Q3083))+MIN((Skills!T14*(1+Inputs!$B$35/100)),MAX(0,Inputs!$B$44-((R3083-1)*(1/Q3083)))))/Inputs!$B$44),IF(Inputs!$B$39="pvp",MIN((Skills!T14*(1+Inputs!$B$35/100)),15)/15,MIN(1,(Skills!T14*(1+Inputs!$B$35/100))/(1/Q3083)))))+((C3082=TRUE)*IF(Inputs!$B$3&gt;=82,IF(Inputs!$B$39="pvp",20,(1-Summary!$B$11)*(20)+Summary!$B$11*(0)),0)*IF(AND(Inputs!$B$39&lt;&gt;"pvp",Inputs!$B$44&gt;0),(((R3082-1)*MIN((Skills!T13*(1+Inputs!$B$35/100)),(1/Q3082))+MIN((Skills!T13*(1+Inputs!$B$35/100)),MAX(0,Inputs!$B$44-((R3082-1)*(1/Q3082)))))/Inputs!$B$44),IF(Inputs!$B$39="pvp",MIN((Skills!T13*(1+Inputs!$B$35/100)),15)/15,MIN(1,(Skills!T13*(1+Inputs!$B$35/100))/(1/Q3082)))))+(IF(AND(ArtifactsInput!$M$35,Inputs!$B$4&lt;&gt;"Chapter Hunt"),CHOOSE(ArtifactsInput!$N$35+1,15,18,21,24,27,30)*(1-EXP(-(0.2*B3100)*5)),0)+IF(AND(ArtifactsInput!$M$22,Inputs!$B$4&lt;&gt;"Chapter Hunt"),CHOOSE(ArtifactsInput!$N$22+1,10,12,14,16,18,20)*((0*(((0.15*B3100*5))^0/1)+1*(((0.15*B3100*5))^1/1)+2*(((0.15*B3100*5))^2/2)+3*(((0.15*B3100*5))^3/6)+4*(((0.15*B3100*5))^4/24)+5*(((0.15*B3100*5))^5/120))/((((0.15*B3100*5))^0/1)+(((0.15*B3100*5))^1/1)+(((0.15*B3100*5))^2/2)+(((0.15*B3100*5))^3/6)+(((0.15*B3100*5))^4/24)+(((0.15*B3100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3071*(1-MIN(100,(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3071*(MIN(100,(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3071*(1-MIN(100,(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3071*(MIN(100,(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071">
        <f>MAX(0,(Inputs!$B$3-100)*3)+Inputs!$B$29+Inputs!$B$30</f>
        <v/>
      </c>
      <c r="V3071">
        <f>IF(C3071,(Skills!G2*N3071*B3102)*IF(Inputs!$B$39="pvp",1,(1+(Inputs!$B$22+Skills!Q2+((C3086=TRUE)*F3086*IF(AND(Inputs!$B$39&lt;&gt;"pvp",Inputs!$B$44&gt;0),(((R3086-1)*MIN((Skills!T17*(1+Inputs!$B$35/100)),(1/Q3086))+MIN((Skills!T17*(1+Inputs!$B$35/100)),MAX(0,Inputs!$B$44-((R3086-1)*(1/Q3086)))))/Inputs!$B$44),IF(Inputs!$B$39="pvp",MIN((Skills!T17*(1+Inputs!$B$35/100)),15)/15,MIN(1,(Skills!T17*(1+Inputs!$B$35/100))/(1/Q3086)))))+((C3074=TRUE)*IF(Inputs!$B$3&gt;=126,10*MIN(1,15*Q3074),0))+((C3083=TRUE)*IF(Inputs!$B$39="pvp",20,(1-Summary!$B$11)*(20)+Summary!$B$11*(0))*IF(AND(Inputs!$B$39&lt;&gt;"pvp",Inputs!$B$44&gt;0),(((R3083-1)*MIN((Skills!T14*(1+Inputs!$B$35/100)),(1/Q3083))+MIN((Skills!T14*(1+Inputs!$B$35/100)),MAX(0,Inputs!$B$44-((R3083-1)*(1/Q3083)))))/Inputs!$B$44),IF(Inputs!$B$39="pvp",MIN((Skills!T14*(1+Inputs!$B$35/100)),15)/15,MIN(1,(Skills!T14*(1+Inputs!$B$35/100))/(1/Q3083)))))+((C3082=TRUE)*IF(Inputs!$B$3&gt;=82,IF(Inputs!$B$39="pvp",20,(1-Summary!$B$11)*(20)+Summary!$B$11*(0)),0)*IF(AND(Inputs!$B$39&lt;&gt;"pvp",Inputs!$B$44&gt;0),(((R3082-1)*MIN((Skills!T13*(1+Inputs!$B$35/100)),(1/Q3082))+MIN((Skills!T13*(1+Inputs!$B$35/100)),MAX(0,Inputs!$B$44-((R3082-1)*(1/Q3082)))))/Inputs!$B$44),IF(Inputs!$B$39="pvp",MIN((Skills!T13*(1+Inputs!$B$35/100)),15)/15,MIN(1,(Skills!T13*(1+Inputs!$B$35/100))/(1/Q3082)))))+(IF(AND(ArtifactsInput!$M$35,Inputs!$B$4&lt;&gt;"Chapter Hunt"),CHOOSE(ArtifactsInput!$N$35+1,15,18,21,24,27,30)*(1-EXP(-(0.2*B3100)*5)),0)+IF(AND(ArtifactsInput!$M$22,Inputs!$B$4&lt;&gt;"Chapter Hunt"),CHOOSE(ArtifactsInput!$N$22+1,10,12,14,16,18,20)*((0*(((0.15*B3100*5))^0/1)+1*(((0.15*B3100*5))^1/1)+2*(((0.15*B3100*5))^2/2)+3*(((0.15*B3100*5))^3/6)+4*(((0.15*B3100*5))^4/24)+5*(((0.15*B3100*5))^5/120))/((((0.15*B3100*5))^0/1)+(((0.15*B3100*5))^1/1)+(((0.15*B3100*5))^2/2)+(((0.15*B3100*5))^3/6)+(((0.15*B3100*5))^4/24)+(((0.15*B3100*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72">
      <c r="A3072">
        <f>Skills!A3</f>
        <v/>
      </c>
      <c r="B3072">
        <f>Skills!B3</f>
        <v/>
      </c>
      <c r="C3072">
        <f>Inputs!$B$3&gt;=50</f>
        <v/>
      </c>
      <c r="D3072">
        <f>IF(Skills!C3=1,60+Inputs!$B$26+Inputs!$B$30,IF(Skills!C3=2,90+Inputs!$B$27+Inputs!$B$30,IF(Skills!C3=3,120+Inputs!$B$28+Inputs!$B$30,MAX(0,(Inputs!$B$3-100)*3)+Inputs!$B$29+Inputs!$B$30)))</f>
        <v/>
      </c>
      <c r="E3072">
        <f>INDEX(FactorTable!$B$2:$Y$301, MATCH(ROUND(MIN(300,MAX(1,D3072)),0), FactorTable!$A$2:$A$301,0), Skills!M3+1)</f>
        <v/>
      </c>
      <c r="F3072">
        <f>IF(Skills!N3=TRUE,(Skills!L3/10)*(E3072/1000),Skills!L3/10)+Skills!O3</f>
        <v/>
      </c>
      <c r="G3072" t="inlineStr"/>
      <c r="H3072" t="inlineStr"/>
      <c r="I3072" t="inlineStr">
        <is>
          <t>1</t>
        </is>
      </c>
      <c r="J3072" t="inlineStr"/>
      <c r="K3072" t="inlineStr"/>
      <c r="L3072" t="inlineStr"/>
      <c r="M3072" t="inlineStr"/>
      <c r="N3072" t="inlineStr"/>
      <c r="O3072" t="inlineStr"/>
      <c r="P3072" t="inlineStr"/>
      <c r="Q3072" t="inlineStr"/>
      <c r="R3072" t="inlineStr"/>
      <c r="S3072" t="inlineStr"/>
      <c r="U3072">
        <f>INDEX(FactorTable!$B$2:$Y$301, MATCH(ROUND(MIN(300,MAX(1,U3071)),0), FactorTable!$A$2:$A$301,0), 22)</f>
        <v/>
      </c>
    </row>
    <row r="3073">
      <c r="A3073">
        <f>Skills!A4</f>
        <v/>
      </c>
      <c r="B3073">
        <f>Skills!B4</f>
        <v/>
      </c>
      <c r="C3073">
        <f>Inputs!$B$3&gt;=105</f>
        <v/>
      </c>
      <c r="D3073">
        <f>IF(Skills!C4=1,60+Inputs!$B$26+Inputs!$B$30,IF(Skills!C4=2,90+Inputs!$B$27+Inputs!$B$30,IF(Skills!C4=3,120+Inputs!$B$28+Inputs!$B$30,MAX(0,(Inputs!$B$3-100)*3)+Inputs!$B$29+Inputs!$B$30)))</f>
        <v/>
      </c>
      <c r="E3073">
        <f>INDEX(FactorTable!$B$2:$Y$301, MATCH(ROUND(MIN(300,MAX(1,D3073)),0), FactorTable!$A$2:$A$301,0), Skills!M4+1)</f>
        <v/>
      </c>
      <c r="F3073">
        <f>IF(Skills!N4=TRUE,(Skills!L4/10)*(E3073/1000),Skills!L4/10)+Skills!O4</f>
        <v/>
      </c>
      <c r="G3073" t="inlineStr"/>
      <c r="H3073" t="inlineStr"/>
      <c r="I3073" t="inlineStr">
        <is>
          <t>1</t>
        </is>
      </c>
      <c r="J3073" t="inlineStr"/>
      <c r="K3073" t="inlineStr"/>
      <c r="L3073" t="inlineStr"/>
      <c r="M3073" t="inlineStr"/>
      <c r="N3073" t="inlineStr"/>
      <c r="O3073" t="inlineStr"/>
      <c r="P3073" t="inlineStr"/>
      <c r="Q3073" t="inlineStr"/>
      <c r="R3073" t="inlineStr"/>
      <c r="S3073" t="inlineStr"/>
      <c r="U3073">
        <f>290*U3072/1000</f>
        <v/>
      </c>
    </row>
    <row r="3074">
      <c r="A3074">
        <f>Skills!A5</f>
        <v/>
      </c>
      <c r="B3074">
        <f>Skills!B5</f>
        <v/>
      </c>
      <c r="C3074">
        <f>Inputs!$B$3&gt;=117</f>
        <v/>
      </c>
      <c r="D3074">
        <f>IF(Skills!C5=1,60+Inputs!$B$26+Inputs!$B$30,IF(Skills!C5=2,90+Inputs!$B$27+Inputs!$B$30,IF(Skills!C5=3,120+Inputs!$B$28+Inputs!$B$30,MAX(0,(Inputs!$B$3-100)*3)+Inputs!$B$29+Inputs!$B$30)))</f>
        <v/>
      </c>
      <c r="E3074">
        <f>INDEX(FactorTable!$B$2:$Y$301, MATCH(ROUND(MIN(300,MAX(1,D3074)),0), FactorTable!$A$2:$A$301,0), Skills!M5+1)</f>
        <v/>
      </c>
      <c r="F3074">
        <f>IF(Skills!N5=TRUE,(Skills!L5/10)*(E3074/1000),Skills!L5/10)+Skills!O5</f>
        <v/>
      </c>
      <c r="G3074">
        <f>Skills!G5*IF(Skills!H5&gt;0,INT(IF(Inputs!$B$39="pvp",MIN(Skills!I5,15),Skills!I5)/Skills!H5+0.000000001),1)</f>
        <v/>
      </c>
      <c r="H3074">
        <f>1-(1-Skills!J5/100)^Skills!K5</f>
        <v/>
      </c>
      <c r="I3074" t="inlineStr">
        <is>
          <t>1</t>
        </is>
      </c>
      <c r="J3074">
        <f>((Inputs!$B$6*(1+Inputs!$B$7/100))+(((Inputs!$B$13*(1+Inputs!$B$14/100))-(Inputs!$B$13*(1+Inputs!$B$14/100)))+0.25*(Inputs!$B$15-Inputs!$B$15))*(1+Inputs!$B$7/100))*(F3074/100)</f>
        <v/>
      </c>
      <c r="K3074">
        <f>J3074*(1+(((Inputs!$B$13+IF(Inputs!$B$3&gt;=38,(10*INDEX(FactorTable!$B$2:$Y$301, MATCH(ROUND(MIN(300,MAX(1,Inputs!$B$3)),0), FactorTable!$A$2:$A$301,0), 23)/1000)/100*(Inputs!$B$8*(1+Inputs!$B$9/100)),0))*(1+Inputs!$B$14/100))*0.01+Inputs!$B$15*0.0025)/100)*(1+Inputs!$B$16/100)*(1+Inputs!$B$17/100)*(5000/(6000+Inputs!$B$43*(1-(Inputs!$B$20+0)/100)))*(1+(Inputs!$B$25+((C3094=TRUE)*(F3094-Calc!F25))+((C3095=TRUE)*(F3095-Calc!F26))+B3104)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gt;=100),MIN(100,((Inputs!$B$10+0+B3098+(ArtifactsInput!$M$24-ArtifactsInput!$M$24)*CHOOSE(ArtifactsInput!$N$24+1,10,12,14,16,18,20)+IF(ArtifactsInput!$M$10,CHOOSE(ArtifactsInput!$N$10+1,15,18,21,24,27,30)*(IF(Inputs!$B$39="pvp",MIN(15,15)/15,IF(AND(Inputs!$B$39&lt;&gt;"pvp",Inputs!$B$44&gt;0),MIN(15,Inputs!$B$44)/(Inputs!$B$44),0))),0)))-100),0))*CHOOSE(ArtifactsInput!$N$42+1,0.6,0.72,0.84,0.96,1.08,1.2))),Inputs!$B$19+((C3092=TRUE)*(F3092-Calc!F23))+(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gt;=100),CHOOSE(ArtifactsInput!$N$42+1,40,48,56,64,72,80),0))))/100)*((1+(((C3082=TRUE)*F3082*IF(AND(Inputs!$B$39&lt;&gt;"pvp",Inputs!$B$44&gt;0),(((R3082-1)*MIN((Skills!T13*(1+Inputs!$B$35/100)),(1/Q3082))+MIN((Skills!T13*(1+Inputs!$B$35/100)),MAX(0,Inputs!$B$44-((R3082-1)*(1/Q3082)))))/Inputs!$B$44),IF(Inputs!$B$39="pvp",MIN((Skills!T13*(1+Inputs!$B$35/100)),15)/15,MIN(1,(Skills!T13*(1+Inputs!$B$35/100))/(1/Q3082)))))+((C3083=TRUE)*F3083*IF(AND(Inputs!$B$39&lt;&gt;"pvp",Inputs!$B$44&gt;0),(((R3083-1)*MIN((Skills!T14*(1+Inputs!$B$35/100)),(1/Q3083))+MIN((Skills!T14*(1+Inputs!$B$35/100)),MAX(0,Inputs!$B$44-((R3083-1)*(1/Q3083)))))/Inputs!$B$44),IF(Inputs!$B$39="pvp",MIN((Skills!T14*(1+Inputs!$B$35/100)),15)/15,MIN(1,(Skills!T14*(1+Inputs!$B$35/100))/(1/Q3083)))))+((C3084=TRUE)*F3084*IF(AND(Inputs!$B$39&lt;&gt;"pvp",Inputs!$B$44&gt;0),(((R3084-1)*MIN((Skills!T15*(1+Inputs!$B$35/100)),(1/Q3084))+MIN((Skills!T15*(1+Inputs!$B$35/100)),MAX(0,Inputs!$B$44-((R3084-1)*(1/Q3084)))))/Inputs!$B$44),IF(Inputs!$B$39="pvp",MIN((Skills!T15*(1+Inputs!$B$35/100)),15)/15,MIN(1,(Skills!T15*(1+Inputs!$B$35/100))/(1/Q3084)))))+((C3085=TRUE)*F3085*IF(AND(Inputs!$B$39&lt;&gt;"pvp",Inputs!$B$44&gt;0),(((R3085-1)*MIN((Skills!T16*(1+Inputs!$B$35/100)),(1/Q3085))+MIN((Skills!T16*(1+Inputs!$B$35/100)),MAX(0,Inputs!$B$44-((R3085-1)*(1/Q3085)))))/Inputs!$B$44),IF(Inputs!$B$39="pvp",MIN((Skills!T16*(1+Inputs!$B$35/100)),15)/15,MIN(1,(Skills!T16*(1+Inputs!$B$35/100))/(1/Q3085)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3074)</f>
        <v/>
      </c>
      <c r="L3074">
        <f>K3074*(MIN(Inputs!$B$23+((C3091=TRUE)*(F3091-Calc!F22)),(Inputs!$B$24+((C3093=TRUE)*(F3093-Calc!F24))+(IF(ArtifactsInput!$M$15,CHOOSE(ArtifactsInput!$N$15+1,25,30,35,40,45,50)/100*(Inputs!$B$12-Inputs!$B$12),0))))/100+(Inputs!$B$24+((C3093=TRUE)*(F3093-Calc!F24))+(IF(ArtifactsInput!$M$15,CHOOSE(ArtifactsInput!$N$15+1,25,30,35,40,45,50)/100*(Inputs!$B$12-Inputs!$B$12),0)))/100)/2</f>
        <v/>
      </c>
      <c r="M3074">
        <f>L3074*(1+(Inputs!$B$11+0+B3103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074">
        <f>L3074*(1-MIN((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3074*(MIN((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74">
        <f>(1-Summary!$B$11)*T3074+Summary!$B$11*V3074</f>
        <v/>
      </c>
      <c r="P3074">
        <f>IF(B3108=0,0,O3074/B3108)</f>
        <v/>
      </c>
      <c r="Q3074">
        <f>IFERROR(1/IF(Inputs!$B$39="pvp",15,MAX(0.1,Skills!D5-IF(TRUE=TRUE,4.0,0))),0)</f>
        <v/>
      </c>
      <c r="R3074">
        <f>IF(AND(Inputs!$B$39&lt;&gt;"pvp",Inputs!$B$44&gt;0),IF(MAX(0,Inputs!$B$44-B3105)&lt;=0,0,(INT(MAX(0,Inputs!$B$44-B3105)/IF(Inputs!$B$39="pvp",15,MAX(0.1,Skills!D5-IF(TRUE=TRUE,4.0,0))))+1)),0)</f>
        <v/>
      </c>
      <c r="S3074">
        <f>IFERROR(O3074/N3074,0)</f>
        <v/>
      </c>
      <c r="T3074">
        <f>IF(C3074,(H3074*N3074*IF(AND(Inputs!$B$39&lt;&gt;"pvp",Inputs!$B$44&gt;0),((Skills!G5*((R3074-1)*IF(Skills!H5&gt;0,INT(Skills!I5/Skills!H5+0.000000001),1)+IF(Skills!H5&gt;0,INT(MIN(Skills!I5,MAX(0,MAX(0,Inputs!$B$44-B3105)-((R3074-1)*IF(Inputs!$B$39="pvp",15,MAX(0.1,Skills!D5-IF(TRUE=TRUE,4.0,0))))))/Skills!H5+0.000000001),1)))/Inputs!$B$44),G3074*Q3074))*IF(Inputs!$B$39="pvp",1,1+(Inputs!$B$21+0+Skills!P5+((C3086=TRUE)*F3086*IF(AND(Inputs!$B$39&lt;&gt;"pvp",Inputs!$B$44&gt;0),(((R3086-1)*MIN((Skills!T17*(1+Inputs!$B$35/100)),(1/Q3086))+MIN((Skills!T17*(1+Inputs!$B$35/100)),MAX(0,Inputs!$B$44-((R3086-1)*(1/Q3086)))))/Inputs!$B$44),IF(Inputs!$B$39="pvp",MIN((Skills!T17*(1+Inputs!$B$35/100)),15)/15,MIN(1,(Skills!T17*(1+Inputs!$B$35/100))/(1/Q3086)))))+((C3074=TRUE)*IF(Inputs!$B$3&gt;=126,10*MIN(1,15*Q3074),0))+((C3083=TRUE)*IF(Inputs!$B$39="pvp",20,(1-Summary!$B$11)*(20)+Summary!$B$11*(0))*IF(AND(Inputs!$B$39&lt;&gt;"pvp",Inputs!$B$44&gt;0),(((R3083-1)*MIN((Skills!T14*(1+Inputs!$B$35/100)),(1/Q3083))+MIN((Skills!T14*(1+Inputs!$B$35/100)),MAX(0,Inputs!$B$44-((R3083-1)*(1/Q3083)))))/Inputs!$B$44),IF(Inputs!$B$39="pvp",MIN((Skills!T14*(1+Inputs!$B$35/100)),15)/15,MIN(1,(Skills!T14*(1+Inputs!$B$35/100))/(1/Q3083)))))+((C3082=TRUE)*IF(Inputs!$B$3&gt;=82,IF(Inputs!$B$39="pvp",20,(1-Summary!$B$11)*(20)+Summary!$B$11*(0)),0)*IF(AND(Inputs!$B$39&lt;&gt;"pvp",Inputs!$B$44&gt;0),(((R3082-1)*MIN((Skills!T13*(1+Inputs!$B$35/100)),(1/Q3082))+MIN((Skills!T13*(1+Inputs!$B$35/100)),MAX(0,Inputs!$B$44-((R3082-1)*(1/Q3082)))))/Inputs!$B$44),IF(Inputs!$B$39="pvp",MIN((Skills!T13*(1+Inputs!$B$35/100)),15)/15,MIN(1,(Skills!T13*(1+Inputs!$B$35/100))/(1/Q3082)))))+(IF(AND(ArtifactsInput!$M$35,Inputs!$B$4&lt;&gt;"Chapter Hunt"),CHOOSE(ArtifactsInput!$N$35+1,15,18,21,24,27,30)*(1-EXP(-(0.2*B3100)*5)),0)+IF(AND(ArtifactsInput!$M$22,Inputs!$B$4&lt;&gt;"Chapter Hunt"),CHOOSE(ArtifactsInput!$N$22+1,10,12,14,16,18,20)*((0*(((0.15*B3100*5))^0/1)+1*(((0.15*B3100*5))^1/1)+2*(((0.15*B3100*5))^2/2)+3*(((0.15*B3100*5))^3/6)+4*(((0.15*B3100*5))^4/24)+5*(((0.15*B3100*5))^5/120))/((((0.15*B3100*5))^0/1)+(((0.15*B3100*5))^1/1)+(((0.15*B3100*5))^2/2)+(((0.15*B3100*5))^3/6)+(((0.15*B3100*5))^4/24)+(((0.15*B3100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3074*(1-MIN(100,(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3074*(MIN(100,(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3074*(1-MIN(100,(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3074*(MIN(100,(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74">
        <f>IF(C3074,(H3074*N3074*IF(AND(Inputs!$B$39&lt;&gt;"pvp",Inputs!$B$44&gt;0),((Skills!G5*((R3074-1)*IF(Skills!H5&gt;0,INT(Skills!I5/Skills!H5+0.000000001),1)+IF(Skills!H5&gt;0,INT(MIN(Skills!I5,MAX(0,MAX(0,Inputs!$B$44-B3105)-((R3074-1)*IF(Inputs!$B$39="pvp",15,MAX(0.1,Skills!D5-IF(TRUE=TRUE,4.0,0))))))/Skills!H5+0.000000001),1)))/Inputs!$B$44),G3074*Q3074))*IF(Inputs!$B$39="pvp",1,(1+(Inputs!$B$22+Skills!Q5+((C3086=TRUE)*F3086*IF(AND(Inputs!$B$39&lt;&gt;"pvp",Inputs!$B$44&gt;0),(((R3086-1)*MIN((Skills!T17*(1+Inputs!$B$35/100)),(1/Q3086))+MIN((Skills!T17*(1+Inputs!$B$35/100)),MAX(0,Inputs!$B$44-((R3086-1)*(1/Q3086)))))/Inputs!$B$44),IF(Inputs!$B$39="pvp",MIN((Skills!T17*(1+Inputs!$B$35/100)),15)/15,MIN(1,(Skills!T17*(1+Inputs!$B$35/100))/(1/Q3086)))))+((C3074=TRUE)*IF(Inputs!$B$3&gt;=126,10*MIN(1,15*Q3074),0))+((C3083=TRUE)*IF(Inputs!$B$39="pvp",20,(1-Summary!$B$11)*(20)+Summary!$B$11*(0))*IF(AND(Inputs!$B$39&lt;&gt;"pvp",Inputs!$B$44&gt;0),(((R3083-1)*MIN((Skills!T14*(1+Inputs!$B$35/100)),(1/Q3083))+MIN((Skills!T14*(1+Inputs!$B$35/100)),MAX(0,Inputs!$B$44-((R3083-1)*(1/Q3083)))))/Inputs!$B$44),IF(Inputs!$B$39="pvp",MIN((Skills!T14*(1+Inputs!$B$35/100)),15)/15,MIN(1,(Skills!T14*(1+Inputs!$B$35/100))/(1/Q3083)))))+((C3082=TRUE)*IF(Inputs!$B$3&gt;=82,IF(Inputs!$B$39="pvp",20,(1-Summary!$B$11)*(20)+Summary!$B$11*(0)),0)*IF(AND(Inputs!$B$39&lt;&gt;"pvp",Inputs!$B$44&gt;0),(((R3082-1)*MIN((Skills!T13*(1+Inputs!$B$35/100)),(1/Q3082))+MIN((Skills!T13*(1+Inputs!$B$35/100)),MAX(0,Inputs!$B$44-((R3082-1)*(1/Q3082)))))/Inputs!$B$44),IF(Inputs!$B$39="pvp",MIN((Skills!T13*(1+Inputs!$B$35/100)),15)/15,MIN(1,(Skills!T13*(1+Inputs!$B$35/100))/(1/Q3082)))))+(IF(AND(ArtifactsInput!$M$35,Inputs!$B$4&lt;&gt;"Chapter Hunt"),CHOOSE(ArtifactsInput!$N$35+1,15,18,21,24,27,30)*(1-EXP(-(0.2*B3100)*5)),0)+IF(AND(ArtifactsInput!$M$22,Inputs!$B$4&lt;&gt;"Chapter Hunt"),CHOOSE(ArtifactsInput!$N$22+1,10,12,14,16,18,20)*((0*(((0.15*B3100*5))^0/1)+1*(((0.15*B3100*5))^1/1)+2*(((0.15*B3100*5))^2/2)+3*(((0.15*B3100*5))^3/6)+4*(((0.15*B3100*5))^4/24)+5*(((0.15*B3100*5))^5/120))/((((0.15*B3100*5))^0/1)+(((0.15*B3100*5))^1/1)+(((0.15*B3100*5))^2/2)+(((0.15*B3100*5))^3/6)+(((0.15*B3100*5))^4/24)+(((0.15*B3100*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75">
      <c r="A3075">
        <f>Skills!A6</f>
        <v/>
      </c>
      <c r="B3075">
        <f>Skills!B6</f>
        <v/>
      </c>
      <c r="C3075">
        <f>Inputs!$B$3&gt;=103</f>
        <v/>
      </c>
      <c r="D3075">
        <f>IF(Skills!C6=1,60+Inputs!$B$26+Inputs!$B$30,IF(Skills!C6=2,90+Inputs!$B$27+Inputs!$B$30,IF(Skills!C6=3,120+Inputs!$B$28+Inputs!$B$30,MAX(0,(Inputs!$B$3-100)*3)+Inputs!$B$29+Inputs!$B$30)))</f>
        <v/>
      </c>
      <c r="E3075">
        <f>INDEX(FactorTable!$B$2:$Y$301, MATCH(ROUND(MIN(300,MAX(1,D3075)),0), FactorTable!$A$2:$A$301,0), Skills!M6+1)</f>
        <v/>
      </c>
      <c r="F3075">
        <f>IF(Skills!N6=TRUE,(Skills!L6/10)*(E3075/1000),Skills!L6/10)+Skills!O6</f>
        <v/>
      </c>
      <c r="G3075">
        <f>Skills!G6*IF(Skills!H6&gt;0,INT(IF(Inputs!$B$39="pvp",MIN(Skills!I6,15),Skills!I6)/Skills!H6+0.000000001),1)</f>
        <v/>
      </c>
      <c r="H3075">
        <f>1-(1-Skills!J6/100)^Skills!K6</f>
        <v/>
      </c>
      <c r="I3075" t="inlineStr">
        <is>
          <t>1</t>
        </is>
      </c>
      <c r="J3075">
        <f>((Inputs!$B$6*(1+Inputs!$B$7/100))+(((Inputs!$B$13*(1+Inputs!$B$14/100))-(Inputs!$B$13*(1+Inputs!$B$14/100)))+0.25*(Inputs!$B$15-Inputs!$B$15))*(1+Inputs!$B$7/100))*(F3075/100)</f>
        <v/>
      </c>
      <c r="K3075">
        <f>J3075*(1+(((Inputs!$B$13+IF(Inputs!$B$3&gt;=38,(10*INDEX(FactorTable!$B$2:$Y$301, MATCH(ROUND(MIN(300,MAX(1,Inputs!$B$3)),0), FactorTable!$A$2:$A$301,0), 23)/1000)/100*(Inputs!$B$8*(1+Inputs!$B$9/100)),0))*(1+Inputs!$B$14/100))*0.01+Inputs!$B$15*0.0025)/100)*(1+Inputs!$B$16/100)*(1+Inputs!$B$17/100)*(5000/(6000+Inputs!$B$43*(1-(Inputs!$B$20+0)/100)))*(1+(Inputs!$B$25+((C3094=TRUE)*(F3094-Calc!F25))+((C3095=TRUE)*(F3095-Calc!F26))+B3104)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gt;=100),MIN(100,((Inputs!$B$10+0+B3098+(ArtifactsInput!$M$24-ArtifactsInput!$M$24)*CHOOSE(ArtifactsInput!$N$24+1,10,12,14,16,18,20)+IF(ArtifactsInput!$M$10,CHOOSE(ArtifactsInput!$N$10+1,15,18,21,24,27,30)*(IF(Inputs!$B$39="pvp",MIN(15,15)/15,IF(AND(Inputs!$B$39&lt;&gt;"pvp",Inputs!$B$44&gt;0),MIN(15,Inputs!$B$44)/(Inputs!$B$44),0))),0)))-100),0))*CHOOSE(ArtifactsInput!$N$42+1,0.6,0.72,0.84,0.96,1.08,1.2))),Inputs!$B$19+((C3092=TRUE)*(F3092-Calc!F23))+(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gt;=100),CHOOSE(ArtifactsInput!$N$42+1,40,48,56,64,72,80),0))))/100)*((1+(((C3082=TRUE)*F3082*IF(AND(Inputs!$B$39&lt;&gt;"pvp",Inputs!$B$44&gt;0),(((R3082-1)*MIN((Skills!T13*(1+Inputs!$B$35/100)),(1/Q3082))+MIN((Skills!T13*(1+Inputs!$B$35/100)),MAX(0,Inputs!$B$44-((R3082-1)*(1/Q3082)))))/Inputs!$B$44),IF(Inputs!$B$39="pvp",MIN((Skills!T13*(1+Inputs!$B$35/100)),15)/15,MIN(1,(Skills!T13*(1+Inputs!$B$35/100))/(1/Q3082)))))+((C3083=TRUE)*F3083*IF(AND(Inputs!$B$39&lt;&gt;"pvp",Inputs!$B$44&gt;0),(((R3083-1)*MIN((Skills!T14*(1+Inputs!$B$35/100)),(1/Q3083))+MIN((Skills!T14*(1+Inputs!$B$35/100)),MAX(0,Inputs!$B$44-((R3083-1)*(1/Q3083)))))/Inputs!$B$44),IF(Inputs!$B$39="pvp",MIN((Skills!T14*(1+Inputs!$B$35/100)),15)/15,MIN(1,(Skills!T14*(1+Inputs!$B$35/100))/(1/Q3083)))))+((C3084=TRUE)*F3084*IF(AND(Inputs!$B$39&lt;&gt;"pvp",Inputs!$B$44&gt;0),(((R3084-1)*MIN((Skills!T15*(1+Inputs!$B$35/100)),(1/Q3084))+MIN((Skills!T15*(1+Inputs!$B$35/100)),MAX(0,Inputs!$B$44-((R3084-1)*(1/Q3084)))))/Inputs!$B$44),IF(Inputs!$B$39="pvp",MIN((Skills!T15*(1+Inputs!$B$35/100)),15)/15,MIN(1,(Skills!T15*(1+Inputs!$B$35/100))/(1/Q3084)))))+((C3085=TRUE)*F3085*IF(AND(Inputs!$B$39&lt;&gt;"pvp",Inputs!$B$44&gt;0),(((R3085-1)*MIN((Skills!T16*(1+Inputs!$B$35/100)),(1/Q3085))+MIN((Skills!T16*(1+Inputs!$B$35/100)),MAX(0,Inputs!$B$44-((R3085-1)*(1/Q3085)))))/Inputs!$B$44),IF(Inputs!$B$39="pvp",MIN((Skills!T16*(1+Inputs!$B$35/100)),15)/15,MIN(1,(Skills!T16*(1+Inputs!$B$35/100))/(1/Q3085)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3075)</f>
        <v/>
      </c>
      <c r="L3075">
        <f>K3075*(MIN(Inputs!$B$23+((C3091=TRUE)*(F3091-Calc!F22)),(Inputs!$B$24+((C3093=TRUE)*(F3093-Calc!F24))+(IF(ArtifactsInput!$M$15,CHOOSE(ArtifactsInput!$N$15+1,25,30,35,40,45,50)/100*(Inputs!$B$12-Inputs!$B$12),0))))/100+(Inputs!$B$24+((C3093=TRUE)*(F3093-Calc!F24))+(IF(ArtifactsInput!$M$15,CHOOSE(ArtifactsInput!$N$15+1,25,30,35,40,45,50)/100*(Inputs!$B$12-Inputs!$B$12),0)))/100)/2</f>
        <v/>
      </c>
      <c r="M3075">
        <f>L3075*(1+(Inputs!$B$11+0+B3103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075">
        <f>L3075*(1-MIN((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3075*(MIN((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75">
        <f>(1-Summary!$B$11)*T3075+Summary!$B$11*V3075</f>
        <v/>
      </c>
      <c r="P3075">
        <f>IF(B3108=0,0,O3075/B3108)</f>
        <v/>
      </c>
      <c r="Q3075">
        <f>IFERROR(1/IF(Inputs!$B$39="pvp",15,MAX(0.1,Skills!D6-IF(TRUE=TRUE,4.0,0))),0)</f>
        <v/>
      </c>
      <c r="R3075">
        <f>IF(AND(Inputs!$B$39&lt;&gt;"pvp",Inputs!$B$44&gt;0),IF(MAX(0,Inputs!$B$44-B3105)&lt;=0,0,(INT(MAX(0,Inputs!$B$44-B3105)/IF(Inputs!$B$39="pvp",15,MAX(0.1,Skills!D6-IF(TRUE=TRUE,4.0,0))))+1)),0)</f>
        <v/>
      </c>
      <c r="S3075">
        <f>IFERROR(O3075/N3075,0)</f>
        <v/>
      </c>
      <c r="T3075">
        <f>IF(C3075,(H3075*N3075*IF(AND(Inputs!$B$39&lt;&gt;"pvp",Inputs!$B$44&gt;0),((Skills!G6*((R3075-1)*IF(Skills!H6&gt;0,INT(Skills!I6/Skills!H6+0.000000001),1)+IF(Skills!H6&gt;0,INT(MIN(Skills!I6,MAX(0,MAX(0,Inputs!$B$44-B3105)-((R3075-1)*IF(Inputs!$B$39="pvp",15,MAX(0.1,Skills!D6-IF(TRUE=TRUE,4.0,0))))))/Skills!H6+0.000000001),1)))/Inputs!$B$44),G3075*Q3075))*IF(Inputs!$B$39="pvp",1,1+(Inputs!$B$21+0+Skills!P6+((C3086=TRUE)*F3086*IF(AND(Inputs!$B$39&lt;&gt;"pvp",Inputs!$B$44&gt;0),(((R3086-1)*MIN((Skills!T17*(1+Inputs!$B$35/100)),(1/Q3086))+MIN((Skills!T17*(1+Inputs!$B$35/100)),MAX(0,Inputs!$B$44-((R3086-1)*(1/Q3086)))))/Inputs!$B$44),IF(Inputs!$B$39="pvp",MIN((Skills!T17*(1+Inputs!$B$35/100)),15)/15,MIN(1,(Skills!T17*(1+Inputs!$B$35/100))/(1/Q3086)))))+((C3074=TRUE)*IF(Inputs!$B$3&gt;=126,10*MIN(1,15*Q3074),0))+((C3083=TRUE)*IF(Inputs!$B$39="pvp",20,(1-Summary!$B$11)*(20)+Summary!$B$11*(0))*IF(AND(Inputs!$B$39&lt;&gt;"pvp",Inputs!$B$44&gt;0),(((R3083-1)*MIN((Skills!T14*(1+Inputs!$B$35/100)),(1/Q3083))+MIN((Skills!T14*(1+Inputs!$B$35/100)),MAX(0,Inputs!$B$44-((R3083-1)*(1/Q3083)))))/Inputs!$B$44),IF(Inputs!$B$39="pvp",MIN((Skills!T14*(1+Inputs!$B$35/100)),15)/15,MIN(1,(Skills!T14*(1+Inputs!$B$35/100))/(1/Q3083)))))+((C3082=TRUE)*IF(Inputs!$B$3&gt;=82,IF(Inputs!$B$39="pvp",20,(1-Summary!$B$11)*(20)+Summary!$B$11*(0)),0)*IF(AND(Inputs!$B$39&lt;&gt;"pvp",Inputs!$B$44&gt;0),(((R3082-1)*MIN((Skills!T13*(1+Inputs!$B$35/100)),(1/Q3082))+MIN((Skills!T13*(1+Inputs!$B$35/100)),MAX(0,Inputs!$B$44-((R3082-1)*(1/Q3082)))))/Inputs!$B$44),IF(Inputs!$B$39="pvp",MIN((Skills!T13*(1+Inputs!$B$35/100)),15)/15,MIN(1,(Skills!T13*(1+Inputs!$B$35/100))/(1/Q3082)))))+(IF(AND(ArtifactsInput!$M$35,Inputs!$B$4&lt;&gt;"Chapter Hunt"),CHOOSE(ArtifactsInput!$N$35+1,15,18,21,24,27,30)*(1-EXP(-(0.2*B3100)*5)),0)+IF(AND(ArtifactsInput!$M$22,Inputs!$B$4&lt;&gt;"Chapter Hunt"),CHOOSE(ArtifactsInput!$N$22+1,10,12,14,16,18,20)*((0*(((0.15*B3100*5))^0/1)+1*(((0.15*B3100*5))^1/1)+2*(((0.15*B3100*5))^2/2)+3*(((0.15*B3100*5))^3/6)+4*(((0.15*B3100*5))^4/24)+5*(((0.15*B3100*5))^5/120))/((((0.15*B3100*5))^0/1)+(((0.15*B3100*5))^1/1)+(((0.15*B3100*5))^2/2)+(((0.15*B3100*5))^3/6)+(((0.15*B3100*5))^4/24)+(((0.15*B3100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3075*(1-MIN(100,(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3075*(MIN(100,(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3075*(1-MIN(100,(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3075*(MIN(100,(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75">
        <f>IF(C3075,(H3075*N3075*IF(AND(Inputs!$B$39&lt;&gt;"pvp",Inputs!$B$44&gt;0),((Skills!G6*((R3075-1)*IF(Skills!H6&gt;0,INT(Skills!I6/Skills!H6+0.000000001),1)+IF(Skills!H6&gt;0,INT(MIN(Skills!I6,MAX(0,MAX(0,Inputs!$B$44-B3105)-((R3075-1)*IF(Inputs!$B$39="pvp",15,MAX(0.1,Skills!D6-IF(TRUE=TRUE,4.0,0))))))/Skills!H6+0.000000001),1)))/Inputs!$B$44),G3075*Q3075))*IF(Inputs!$B$39="pvp",1,(1+(Inputs!$B$22+Skills!Q6+((C3086=TRUE)*F3086*IF(AND(Inputs!$B$39&lt;&gt;"pvp",Inputs!$B$44&gt;0),(((R3086-1)*MIN((Skills!T17*(1+Inputs!$B$35/100)),(1/Q3086))+MIN((Skills!T17*(1+Inputs!$B$35/100)),MAX(0,Inputs!$B$44-((R3086-1)*(1/Q3086)))))/Inputs!$B$44),IF(Inputs!$B$39="pvp",MIN((Skills!T17*(1+Inputs!$B$35/100)),15)/15,MIN(1,(Skills!T17*(1+Inputs!$B$35/100))/(1/Q3086)))))+((C3074=TRUE)*IF(Inputs!$B$3&gt;=126,10*MIN(1,15*Q3074),0))+((C3083=TRUE)*IF(Inputs!$B$39="pvp",20,(1-Summary!$B$11)*(20)+Summary!$B$11*(0))*IF(AND(Inputs!$B$39&lt;&gt;"pvp",Inputs!$B$44&gt;0),(((R3083-1)*MIN((Skills!T14*(1+Inputs!$B$35/100)),(1/Q3083))+MIN((Skills!T14*(1+Inputs!$B$35/100)),MAX(0,Inputs!$B$44-((R3083-1)*(1/Q3083)))))/Inputs!$B$44),IF(Inputs!$B$39="pvp",MIN((Skills!T14*(1+Inputs!$B$35/100)),15)/15,MIN(1,(Skills!T14*(1+Inputs!$B$35/100))/(1/Q3083)))))+((C3082=TRUE)*IF(Inputs!$B$3&gt;=82,IF(Inputs!$B$39="pvp",20,(1-Summary!$B$11)*(20)+Summary!$B$11*(0)),0)*IF(AND(Inputs!$B$39&lt;&gt;"pvp",Inputs!$B$44&gt;0),(((R3082-1)*MIN((Skills!T13*(1+Inputs!$B$35/100)),(1/Q3082))+MIN((Skills!T13*(1+Inputs!$B$35/100)),MAX(0,Inputs!$B$44-((R3082-1)*(1/Q3082)))))/Inputs!$B$44),IF(Inputs!$B$39="pvp",MIN((Skills!T13*(1+Inputs!$B$35/100)),15)/15,MIN(1,(Skills!T13*(1+Inputs!$B$35/100))/(1/Q3082)))))+(IF(AND(ArtifactsInput!$M$35,Inputs!$B$4&lt;&gt;"Chapter Hunt"),CHOOSE(ArtifactsInput!$N$35+1,15,18,21,24,27,30)*(1-EXP(-(0.2*B3100)*5)),0)+IF(AND(ArtifactsInput!$M$22,Inputs!$B$4&lt;&gt;"Chapter Hunt"),CHOOSE(ArtifactsInput!$N$22+1,10,12,14,16,18,20)*((0*(((0.15*B3100*5))^0/1)+1*(((0.15*B3100*5))^1/1)+2*(((0.15*B3100*5))^2/2)+3*(((0.15*B3100*5))^3/6)+4*(((0.15*B3100*5))^4/24)+5*(((0.15*B3100*5))^5/120))/((((0.15*B3100*5))^0/1)+(((0.15*B3100*5))^1/1)+(((0.15*B3100*5))^2/2)+(((0.15*B3100*5))^3/6)+(((0.15*B3100*5))^4/24)+(((0.15*B3100*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76">
      <c r="A3076">
        <f>Skills!A7</f>
        <v/>
      </c>
      <c r="B3076">
        <f>Skills!B7</f>
        <v/>
      </c>
      <c r="C3076">
        <f>Inputs!$B$3&gt;=40</f>
        <v/>
      </c>
      <c r="D3076">
        <f>IF(Skills!C7=1,60+Inputs!$B$26+Inputs!$B$30,IF(Skills!C7=2,90+Inputs!$B$27+Inputs!$B$30,IF(Skills!C7=3,120+Inputs!$B$28+Inputs!$B$30,MAX(0,(Inputs!$B$3-100)*3)+Inputs!$B$29+Inputs!$B$30)))</f>
        <v/>
      </c>
      <c r="E3076">
        <f>INDEX(FactorTable!$B$2:$Y$301, MATCH(ROUND(MIN(300,MAX(1,D3076)),0), FactorTable!$A$2:$A$301,0), Skills!M7+1)</f>
        <v/>
      </c>
      <c r="F3076">
        <f>IF(Skills!N7=TRUE,(Skills!L7/10)*(E3076/1000),Skills!L7/10)+Skills!O7</f>
        <v/>
      </c>
      <c r="G3076">
        <f>Skills!G7*IF(Skills!H7&gt;0,INT(IF(Inputs!$B$39="pvp",MIN(Skills!I7,15),Skills!I7)/Skills!H7+0.000000001),1)</f>
        <v/>
      </c>
      <c r="H3076">
        <f>1-(1-Skills!J7/100)^Skills!K7</f>
        <v/>
      </c>
      <c r="I3076" t="inlineStr">
        <is>
          <t>1</t>
        </is>
      </c>
      <c r="J3076">
        <f>((Inputs!$B$6*(1+Inputs!$B$7/100))+(((Inputs!$B$13*(1+Inputs!$B$14/100))-(Inputs!$B$13*(1+Inputs!$B$14/100)))+0.25*(Inputs!$B$15-Inputs!$B$15))*(1+Inputs!$B$7/100))*(F3076/100)</f>
        <v/>
      </c>
      <c r="K3076">
        <f>J3076*(1+(((Inputs!$B$13+IF(Inputs!$B$3&gt;=38,(10*INDEX(FactorTable!$B$2:$Y$301, MATCH(ROUND(MIN(300,MAX(1,Inputs!$B$3)),0), FactorTable!$A$2:$A$301,0), 23)/1000)/100*(Inputs!$B$8*(1+Inputs!$B$9/100)),0))*(1+Inputs!$B$14/100))*0.01+Inputs!$B$15*0.0025)/100)*(1+Inputs!$B$16/100)*(1+Inputs!$B$17/100)*(5000/(6000+Inputs!$B$43*(1-(Inputs!$B$20+0)/100)))*(1+(Inputs!$B$25+((C3094=TRUE)*(F3094-Calc!F25))+((C3095=TRUE)*(F3095-Calc!F26))+B3104)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3080=TRUE,F3080,0)/100)*(1+(IF(Skills!A7="DARK_IMPALE",Inputs!$B$18+0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gt;=100),MIN(100,((Inputs!$B$10+0+B3098+(ArtifactsInput!$M$24-ArtifactsInput!$M$24)*CHOOSE(ArtifactsInput!$N$24+1,10,12,14,16,18,20)+IF(ArtifactsInput!$M$10,CHOOSE(ArtifactsInput!$N$10+1,15,18,21,24,27,30)*(IF(Inputs!$B$39="pvp",MIN(15,15)/15,IF(AND(Inputs!$B$39&lt;&gt;"pvp",Inputs!$B$44&gt;0),MIN(15,Inputs!$B$44)/(Inputs!$B$44),0))),0)))-100),0))*CHOOSE(ArtifactsInput!$N$42+1,0.6,0.72,0.84,0.96,1.08,1.2))),Inputs!$B$19+((C3092=TRUE)*(F3092-Calc!F23))+(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gt;=100),CHOOSE(ArtifactsInput!$N$42+1,40,48,56,64,72,80),0))))/100)*((1+(((C3082=TRUE)*F3082*IF(AND(Inputs!$B$39&lt;&gt;"pvp",Inputs!$B$44&gt;0),(((R3082-1)*MIN((Skills!T13*(1+Inputs!$B$35/100)),(1/Q3082))+MIN((Skills!T13*(1+Inputs!$B$35/100)),MAX(0,Inputs!$B$44-((R3082-1)*(1/Q3082)))))/Inputs!$B$44),IF(Inputs!$B$39="pvp",MIN((Skills!T13*(1+Inputs!$B$35/100)),15)/15,MIN(1,(Skills!T13*(1+Inputs!$B$35/100))/(1/Q3082)))))+((C3083=TRUE)*F3083*IF(AND(Inputs!$B$39&lt;&gt;"pvp",Inputs!$B$44&gt;0),(((R3083-1)*MIN((Skills!T14*(1+Inputs!$B$35/100)),(1/Q3083))+MIN((Skills!T14*(1+Inputs!$B$35/100)),MAX(0,Inputs!$B$44-((R3083-1)*(1/Q3083)))))/Inputs!$B$44),IF(Inputs!$B$39="pvp",MIN((Skills!T14*(1+Inputs!$B$35/100)),15)/15,MIN(1,(Skills!T14*(1+Inputs!$B$35/100))/(1/Q3083)))))+((C3084=TRUE)*F3084*IF(AND(Inputs!$B$39&lt;&gt;"pvp",Inputs!$B$44&gt;0),(((R3084-1)*MIN((Skills!T15*(1+Inputs!$B$35/100)),(1/Q3084))+MIN((Skills!T15*(1+Inputs!$B$35/100)),MAX(0,Inputs!$B$44-((R3084-1)*(1/Q3084)))))/Inputs!$B$44),IF(Inputs!$B$39="pvp",MIN((Skills!T15*(1+Inputs!$B$35/100)),15)/15,MIN(1,(Skills!T15*(1+Inputs!$B$35/100))/(1/Q3084)))))+((C3085=TRUE)*F3085*IF(AND(Inputs!$B$39&lt;&gt;"pvp",Inputs!$B$44&gt;0),(((R3085-1)*MIN((Skills!T16*(1+Inputs!$B$35/100)),(1/Q3085))+MIN((Skills!T16*(1+Inputs!$B$35/100)),MAX(0,Inputs!$B$44-((R3085-1)*(1/Q3085)))))/Inputs!$B$44),IF(Inputs!$B$39="pvp",MIN((Skills!T16*(1+Inputs!$B$35/100)),15)/15,MIN(1,(Skills!T16*(1+Inputs!$B$35/100))/(1/Q3085)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3076)</f>
        <v/>
      </c>
      <c r="L3076">
        <f>K3076*(MIN(Inputs!$B$23+((C3091=TRUE)*(F3091-Calc!F22)),(Inputs!$B$24+((C3093=TRUE)*(F3093-Calc!F24))+(IF(ArtifactsInput!$M$15,CHOOSE(ArtifactsInput!$N$15+1,25,30,35,40,45,50)/100*(Inputs!$B$12-Inputs!$B$12),0))))/100+(Inputs!$B$24+((C3093=TRUE)*(F3093-Calc!F24))+(IF(ArtifactsInput!$M$15,CHOOSE(ArtifactsInput!$N$15+1,25,30,35,40,45,50)/100*(Inputs!$B$12-Inputs!$B$12),0)))/100)/2</f>
        <v/>
      </c>
      <c r="M3076">
        <f>L3076*(1+(Inputs!$B$11+0+B3103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076">
        <f>L3076*(1-MIN((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3076*(MIN((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76">
        <f>(1-Summary!$B$11)*T3076+Summary!$B$11*V3076</f>
        <v/>
      </c>
      <c r="P3076">
        <f>IF(B3108=0,0,O3076/B3108)</f>
        <v/>
      </c>
      <c r="Q3076">
        <f>IFERROR(1/IF(Inputs!$B$39="pvp",15,MAX(0.1,Skills!D7-IF(TRUE=TRUE,4.0,0))),0)</f>
        <v/>
      </c>
      <c r="R3076">
        <f>IF(AND(Inputs!$B$39&lt;&gt;"pvp",Inputs!$B$44&gt;0),IF(MAX(0,Inputs!$B$44-B3105)&lt;=0,0,(INT(MAX(0,Inputs!$B$44-B3105)/IF(Inputs!$B$39="pvp",15,MAX(0.1,Skills!D7-IF(TRUE=TRUE,4.0,0))))+1)),0)</f>
        <v/>
      </c>
      <c r="S3076">
        <f>IFERROR(O3076/N3076,0)</f>
        <v/>
      </c>
      <c r="T3076">
        <f>IF(C3076,(H3076*N3076*IF(AND(Inputs!$B$39&lt;&gt;"pvp",Inputs!$B$44&gt;0),((Skills!G7*((R3076-1)*IF(Skills!H7&gt;0,INT(Skills!I7/Skills!H7+0.000000001),1)+IF(Skills!H7&gt;0,INT(MIN(Skills!I7,MAX(0,MAX(0,Inputs!$B$44-B3105)-((R3076-1)*IF(Inputs!$B$39="pvp",15,MAX(0.1,Skills!D7-IF(TRUE=TRUE,4.0,0))))))/Skills!H7+0.000000001),1)))/Inputs!$B$44),G3076*Q3076))*IF(Inputs!$B$39="pvp",1,1+(Inputs!$B$21+0+Skills!P7+((C3086=TRUE)*F3086*IF(AND(Inputs!$B$39&lt;&gt;"pvp",Inputs!$B$44&gt;0),(((R3086-1)*MIN((Skills!T17*(1+Inputs!$B$35/100)),(1/Q3086))+MIN((Skills!T17*(1+Inputs!$B$35/100)),MAX(0,Inputs!$B$44-((R3086-1)*(1/Q3086)))))/Inputs!$B$44),IF(Inputs!$B$39="pvp",MIN((Skills!T17*(1+Inputs!$B$35/100)),15)/15,MIN(1,(Skills!T17*(1+Inputs!$B$35/100))/(1/Q3086)))))+((C3074=TRUE)*IF(Inputs!$B$3&gt;=126,10*MIN(1,15*Q3074),0))+((C3083=TRUE)*IF(Inputs!$B$39="pvp",20,(1-Summary!$B$11)*(20)+Summary!$B$11*(0))*IF(AND(Inputs!$B$39&lt;&gt;"pvp",Inputs!$B$44&gt;0),(((R3083-1)*MIN((Skills!T14*(1+Inputs!$B$35/100)),(1/Q3083))+MIN((Skills!T14*(1+Inputs!$B$35/100)),MAX(0,Inputs!$B$44-((R3083-1)*(1/Q3083)))))/Inputs!$B$44),IF(Inputs!$B$39="pvp",MIN((Skills!T14*(1+Inputs!$B$35/100)),15)/15,MIN(1,(Skills!T14*(1+Inputs!$B$35/100))/(1/Q3083)))))+((C3082=TRUE)*IF(Inputs!$B$3&gt;=82,IF(Inputs!$B$39="pvp",20,(1-Summary!$B$11)*(20)+Summary!$B$11*(0)),0)*IF(AND(Inputs!$B$39&lt;&gt;"pvp",Inputs!$B$44&gt;0),(((R3082-1)*MIN((Skills!T13*(1+Inputs!$B$35/100)),(1/Q3082))+MIN((Skills!T13*(1+Inputs!$B$35/100)),MAX(0,Inputs!$B$44-((R3082-1)*(1/Q3082)))))/Inputs!$B$44),IF(Inputs!$B$39="pvp",MIN((Skills!T13*(1+Inputs!$B$35/100)),15)/15,MIN(1,(Skills!T13*(1+Inputs!$B$35/100))/(1/Q3082)))))+(IF(AND(ArtifactsInput!$M$35,Inputs!$B$4&lt;&gt;"Chapter Hunt"),CHOOSE(ArtifactsInput!$N$35+1,15,18,21,24,27,30)*(1-EXP(-(0.2*B3100)*5)),0)+IF(AND(ArtifactsInput!$M$22,Inputs!$B$4&lt;&gt;"Chapter Hunt"),CHOOSE(ArtifactsInput!$N$22+1,10,12,14,16,18,20)*((0*(((0.15*B3100*5))^0/1)+1*(((0.15*B3100*5))^1/1)+2*(((0.15*B3100*5))^2/2)+3*(((0.15*B3100*5))^3/6)+4*(((0.15*B3100*5))^4/24)+5*(((0.15*B3100*5))^5/120))/((((0.15*B3100*5))^0/1)+(((0.15*B3100*5))^1/1)+(((0.15*B3100*5))^2/2)+(((0.15*B3100*5))^3/6)+(((0.15*B3100*5))^4/24)+(((0.15*B3100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3076*(1-MIN(100,(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3076*(MIN(100,(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3076*(1-MIN(100,(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3076*(MIN(100,(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76">
        <f>IF(C3076,(H3076*N3076*IF(AND(Inputs!$B$39&lt;&gt;"pvp",Inputs!$B$44&gt;0),((Skills!G7*((R3076-1)*IF(Skills!H7&gt;0,INT(Skills!I7/Skills!H7+0.000000001),1)+IF(Skills!H7&gt;0,INT(MIN(Skills!I7,MAX(0,MAX(0,Inputs!$B$44-B3105)-((R3076-1)*IF(Inputs!$B$39="pvp",15,MAX(0.1,Skills!D7-IF(TRUE=TRUE,4.0,0))))))/Skills!H7+0.000000001),1)))/Inputs!$B$44),G3076*Q3076))*IF(Inputs!$B$39="pvp",1,(1+(Inputs!$B$22+Skills!Q7+((C3086=TRUE)*F3086*IF(AND(Inputs!$B$39&lt;&gt;"pvp",Inputs!$B$44&gt;0),(((R3086-1)*MIN((Skills!T17*(1+Inputs!$B$35/100)),(1/Q3086))+MIN((Skills!T17*(1+Inputs!$B$35/100)),MAX(0,Inputs!$B$44-((R3086-1)*(1/Q3086)))))/Inputs!$B$44),IF(Inputs!$B$39="pvp",MIN((Skills!T17*(1+Inputs!$B$35/100)),15)/15,MIN(1,(Skills!T17*(1+Inputs!$B$35/100))/(1/Q3086)))))+((C3074=TRUE)*IF(Inputs!$B$3&gt;=126,10*MIN(1,15*Q3074),0))+((C3083=TRUE)*IF(Inputs!$B$39="pvp",20,(1-Summary!$B$11)*(20)+Summary!$B$11*(0))*IF(AND(Inputs!$B$39&lt;&gt;"pvp",Inputs!$B$44&gt;0),(((R3083-1)*MIN((Skills!T14*(1+Inputs!$B$35/100)),(1/Q3083))+MIN((Skills!T14*(1+Inputs!$B$35/100)),MAX(0,Inputs!$B$44-((R3083-1)*(1/Q3083)))))/Inputs!$B$44),IF(Inputs!$B$39="pvp",MIN((Skills!T14*(1+Inputs!$B$35/100)),15)/15,MIN(1,(Skills!T14*(1+Inputs!$B$35/100))/(1/Q3083)))))+((C3082=TRUE)*IF(Inputs!$B$3&gt;=82,IF(Inputs!$B$39="pvp",20,(1-Summary!$B$11)*(20)+Summary!$B$11*(0)),0)*IF(AND(Inputs!$B$39&lt;&gt;"pvp",Inputs!$B$44&gt;0),(((R3082-1)*MIN((Skills!T13*(1+Inputs!$B$35/100)),(1/Q3082))+MIN((Skills!T13*(1+Inputs!$B$35/100)),MAX(0,Inputs!$B$44-((R3082-1)*(1/Q3082)))))/Inputs!$B$44),IF(Inputs!$B$39="pvp",MIN((Skills!T13*(1+Inputs!$B$35/100)),15)/15,MIN(1,(Skills!T13*(1+Inputs!$B$35/100))/(1/Q3082)))))+(IF(AND(ArtifactsInput!$M$35,Inputs!$B$4&lt;&gt;"Chapter Hunt"),CHOOSE(ArtifactsInput!$N$35+1,15,18,21,24,27,30)*(1-EXP(-(0.2*B3100)*5)),0)+IF(AND(ArtifactsInput!$M$22,Inputs!$B$4&lt;&gt;"Chapter Hunt"),CHOOSE(ArtifactsInput!$N$22+1,10,12,14,16,18,20)*((0*(((0.15*B3100*5))^0/1)+1*(((0.15*B3100*5))^1/1)+2*(((0.15*B3100*5))^2/2)+3*(((0.15*B3100*5))^3/6)+4*(((0.15*B3100*5))^4/24)+5*(((0.15*B3100*5))^5/120))/((((0.15*B3100*5))^0/1)+(((0.15*B3100*5))^1/1)+(((0.15*B3100*5))^2/2)+(((0.15*B3100*5))^3/6)+(((0.15*B3100*5))^4/24)+(((0.15*B3100*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77">
      <c r="A3077">
        <f>Skills!A8</f>
        <v/>
      </c>
      <c r="B3077">
        <f>Skills!B8</f>
        <v/>
      </c>
      <c r="C3077">
        <f>Inputs!$B$3&gt;=75</f>
        <v/>
      </c>
      <c r="D3077">
        <f>IF(Skills!C8=1,60+Inputs!$B$26+Inputs!$B$30,IF(Skills!C8=2,90+Inputs!$B$27+Inputs!$B$30,IF(Skills!C8=3,120+Inputs!$B$28+Inputs!$B$30,MAX(0,(Inputs!$B$3-100)*3)+Inputs!$B$29+Inputs!$B$30)))</f>
        <v/>
      </c>
      <c r="E3077">
        <f>INDEX(FactorTable!$B$2:$Y$301, MATCH(ROUND(MIN(300,MAX(1,D3077)),0), FactorTable!$A$2:$A$301,0), Skills!M8+1)</f>
        <v/>
      </c>
      <c r="F3077">
        <f>IF(Skills!N8=TRUE,(Skills!L8/10)*(E3077/1000),Skills!L8/10)+Skills!O8</f>
        <v/>
      </c>
      <c r="G3077" t="inlineStr"/>
      <c r="H3077" t="inlineStr"/>
      <c r="I3077" t="inlineStr">
        <is>
          <t>1</t>
        </is>
      </c>
      <c r="J3077" t="inlineStr"/>
      <c r="K3077" t="inlineStr"/>
      <c r="L3077" t="inlineStr"/>
      <c r="M3077" t="inlineStr"/>
      <c r="N3077" t="inlineStr"/>
      <c r="O3077" t="inlineStr"/>
      <c r="P3077" t="inlineStr"/>
      <c r="Q3077" t="inlineStr"/>
      <c r="R3077" t="inlineStr"/>
      <c r="S3077" t="inlineStr"/>
    </row>
    <row r="3078">
      <c r="A3078">
        <f>Skills!A9</f>
        <v/>
      </c>
      <c r="B3078">
        <f>Skills!B9</f>
        <v/>
      </c>
      <c r="C3078">
        <f>Inputs!$B$3&gt;=60</f>
        <v/>
      </c>
      <c r="D3078">
        <f>IF(Skills!C9=1,60+Inputs!$B$26+Inputs!$B$30,IF(Skills!C9=2,90+Inputs!$B$27+Inputs!$B$30,IF(Skills!C9=3,120+Inputs!$B$28+Inputs!$B$30,MAX(0,(Inputs!$B$3-100)*3)+Inputs!$B$29+Inputs!$B$30)))</f>
        <v/>
      </c>
      <c r="E3078">
        <f>INDEX(FactorTable!$B$2:$Y$301, MATCH(ROUND(MIN(300,MAX(1,D3078)),0), FactorTable!$A$2:$A$301,0), Skills!M9+1)</f>
        <v/>
      </c>
      <c r="F3078">
        <f>IF(Skills!N9=TRUE,(Skills!L9/10)*(E3078/1000),Skills!L9/10)+Skills!O9</f>
        <v/>
      </c>
      <c r="G3078">
        <f>Skills!G9*IF(Skills!H9&gt;0,INT(IF(Inputs!$B$39="pvp",MIN(Skills!I9,15),Skills!I9)/Skills!H9+0.000000001),1)</f>
        <v/>
      </c>
      <c r="H3078">
        <f>1-(1-Skills!J9/100)^Skills!K9</f>
        <v/>
      </c>
      <c r="I3078" t="inlineStr">
        <is>
          <t>1</t>
        </is>
      </c>
      <c r="J3078">
        <f>((Inputs!$B$6*(1+Inputs!$B$7/100))+(((Inputs!$B$13*(1+Inputs!$B$14/100))-(Inputs!$B$13*(1+Inputs!$B$14/100)))+0.25*(Inputs!$B$15-Inputs!$B$15))*(1+Inputs!$B$7/100))*(F3078/100)</f>
        <v/>
      </c>
      <c r="K3078">
        <f>J3078*(1+(((Inputs!$B$13+IF(Inputs!$B$3&gt;=38,(10*INDEX(FactorTable!$B$2:$Y$301, MATCH(ROUND(MIN(300,MAX(1,Inputs!$B$3)),0), FactorTable!$A$2:$A$301,0), 23)/1000)/100*(Inputs!$B$8*(1+Inputs!$B$9/100)),0))*(1+Inputs!$B$14/100))*0.01+Inputs!$B$15*0.0025)/100)*(1+Inputs!$B$16/100)*(1+Inputs!$B$17/100)*(5000/(6000+Inputs!$B$43*(1-(Inputs!$B$20+0)/100)))*(1+(Inputs!$B$25+((C3094=TRUE)*(F3094-Calc!F25))+((C3095=TRUE)*(F3095-Calc!F26))+B3104)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3080=TRUE,F3080,0)/100)*(1+(IF(Skills!A9="DARK_IMPALE",Inputs!$B$18+0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gt;=100),MIN(100,((Inputs!$B$10+0+B3098+(ArtifactsInput!$M$24-ArtifactsInput!$M$24)*CHOOSE(ArtifactsInput!$N$24+1,10,12,14,16,18,20)+IF(ArtifactsInput!$M$10,CHOOSE(ArtifactsInput!$N$10+1,15,18,21,24,27,30)*(IF(Inputs!$B$39="pvp",MIN(15,15)/15,IF(AND(Inputs!$B$39&lt;&gt;"pvp",Inputs!$B$44&gt;0),MIN(15,Inputs!$B$44)/(Inputs!$B$44),0))),0)))-100),0))*CHOOSE(ArtifactsInput!$N$42+1,0.6,0.72,0.84,0.96,1.08,1.2))),Inputs!$B$19+((C3092=TRUE)*(F3092-Calc!F23))+(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gt;=100),CHOOSE(ArtifactsInput!$N$42+1,40,48,56,64,72,80),0))))/100)*((1+(((C3082=TRUE)*F3082*IF(AND(Inputs!$B$39&lt;&gt;"pvp",Inputs!$B$44&gt;0),(((R3082-1)*MIN((Skills!T13*(1+Inputs!$B$35/100)),(1/Q3082))+MIN((Skills!T13*(1+Inputs!$B$35/100)),MAX(0,Inputs!$B$44-((R3082-1)*(1/Q3082)))))/Inputs!$B$44),IF(Inputs!$B$39="pvp",MIN((Skills!T13*(1+Inputs!$B$35/100)),15)/15,MIN(1,(Skills!T13*(1+Inputs!$B$35/100))/(1/Q3082)))))+((C3083=TRUE)*F3083*IF(AND(Inputs!$B$39&lt;&gt;"pvp",Inputs!$B$44&gt;0),(((R3083-1)*MIN((Skills!T14*(1+Inputs!$B$35/100)),(1/Q3083))+MIN((Skills!T14*(1+Inputs!$B$35/100)),MAX(0,Inputs!$B$44-((R3083-1)*(1/Q3083)))))/Inputs!$B$44),IF(Inputs!$B$39="pvp",MIN((Skills!T14*(1+Inputs!$B$35/100)),15)/15,MIN(1,(Skills!T14*(1+Inputs!$B$35/100))/(1/Q3083)))))+((C3084=TRUE)*F3084*IF(AND(Inputs!$B$39&lt;&gt;"pvp",Inputs!$B$44&gt;0),(((R3084-1)*MIN((Skills!T15*(1+Inputs!$B$35/100)),(1/Q3084))+MIN((Skills!T15*(1+Inputs!$B$35/100)),MAX(0,Inputs!$B$44-((R3084-1)*(1/Q3084)))))/Inputs!$B$44),IF(Inputs!$B$39="pvp",MIN((Skills!T15*(1+Inputs!$B$35/100)),15)/15,MIN(1,(Skills!T15*(1+Inputs!$B$35/100))/(1/Q3084)))))+((C3085=TRUE)*F3085*IF(AND(Inputs!$B$39&lt;&gt;"pvp",Inputs!$B$44&gt;0),(((R3085-1)*MIN((Skills!T16*(1+Inputs!$B$35/100)),(1/Q3085))+MIN((Skills!T16*(1+Inputs!$B$35/100)),MAX(0,Inputs!$B$44-((R3085-1)*(1/Q3085)))))/Inputs!$B$44),IF(Inputs!$B$39="pvp",MIN((Skills!T16*(1+Inputs!$B$35/100)),15)/15,MIN(1,(Skills!T16*(1+Inputs!$B$35/100))/(1/Q3085)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3078)</f>
        <v/>
      </c>
      <c r="L3078">
        <f>K3078*(MIN(Inputs!$B$23+((C3091=TRUE)*(F3091-Calc!F22)),(Inputs!$B$24+((C3093=TRUE)*(F3093-Calc!F24))+(IF(ArtifactsInput!$M$15,CHOOSE(ArtifactsInput!$N$15+1,25,30,35,40,45,50)/100*(Inputs!$B$12-Inputs!$B$12),0))))/100+(Inputs!$B$24+((C3093=TRUE)*(F3093-Calc!F24))+(IF(ArtifactsInput!$M$15,CHOOSE(ArtifactsInput!$N$15+1,25,30,35,40,45,50)/100*(Inputs!$B$12-Inputs!$B$12),0)))/100)/2</f>
        <v/>
      </c>
      <c r="M3078">
        <f>L3078*(1+(Inputs!$B$11+0+B3103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078">
        <f>L3078*(1-MIN((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3078*(MIN((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78">
        <f>(1-Summary!$B$11)*T3078+Summary!$B$11*V3078</f>
        <v/>
      </c>
      <c r="P3078">
        <f>IF(B3108=0,0,O3078/B3108)</f>
        <v/>
      </c>
      <c r="Q3078">
        <f>IFERROR(1/IF(Inputs!$B$39="pvp",15,MAX(0.1,Skills!D9-IF(TRUE=TRUE,4.0,0))),0)</f>
        <v/>
      </c>
      <c r="R3078">
        <f>IF(AND(Inputs!$B$39&lt;&gt;"pvp",Inputs!$B$44&gt;0),IF(MAX(0,Inputs!$B$44-B3105)&lt;=0,0,(INT(MAX(0,Inputs!$B$44-B3105)/IF(Inputs!$B$39="pvp",15,MAX(0.1,Skills!D9-IF(TRUE=TRUE,4.0,0))))+1)),0)</f>
        <v/>
      </c>
      <c r="S3078">
        <f>IFERROR(O3078/N3078,0)</f>
        <v/>
      </c>
      <c r="T3078">
        <f>IF(C3078,(H3078*N3078*IF(AND(Inputs!$B$39&lt;&gt;"pvp",Inputs!$B$44&gt;0),((Skills!G9*((R3078-1)*IF(Skills!H9&gt;0,INT(Skills!I9/Skills!H9+0.000000001),1)+IF(Skills!H9&gt;0,INT(MIN(Skills!I9,MAX(0,MAX(0,Inputs!$B$44-B3105)-((R3078-1)*IF(Inputs!$B$39="pvp",15,MAX(0.1,Skills!D9-IF(TRUE=TRUE,4.0,0))))))/Skills!H9+0.000000001),1)))/Inputs!$B$44),G3078*Q3078))*IF(Inputs!$B$39="pvp",1,1+(Inputs!$B$21+0+Skills!P9+((C3086=TRUE)*F3086*IF(AND(Inputs!$B$39&lt;&gt;"pvp",Inputs!$B$44&gt;0),(((R3086-1)*MIN((Skills!T17*(1+Inputs!$B$35/100)),(1/Q3086))+MIN((Skills!T17*(1+Inputs!$B$35/100)),MAX(0,Inputs!$B$44-((R3086-1)*(1/Q3086)))))/Inputs!$B$44),IF(Inputs!$B$39="pvp",MIN((Skills!T17*(1+Inputs!$B$35/100)),15)/15,MIN(1,(Skills!T17*(1+Inputs!$B$35/100))/(1/Q3086)))))+((C3074=TRUE)*IF(Inputs!$B$3&gt;=126,10*MIN(1,15*Q3074),0))+((C3083=TRUE)*IF(Inputs!$B$39="pvp",20,(1-Summary!$B$11)*(20)+Summary!$B$11*(0))*IF(AND(Inputs!$B$39&lt;&gt;"pvp",Inputs!$B$44&gt;0),(((R3083-1)*MIN((Skills!T14*(1+Inputs!$B$35/100)),(1/Q3083))+MIN((Skills!T14*(1+Inputs!$B$35/100)),MAX(0,Inputs!$B$44-((R3083-1)*(1/Q3083)))))/Inputs!$B$44),IF(Inputs!$B$39="pvp",MIN((Skills!T14*(1+Inputs!$B$35/100)),15)/15,MIN(1,(Skills!T14*(1+Inputs!$B$35/100))/(1/Q3083)))))+((C3082=TRUE)*IF(Inputs!$B$3&gt;=82,IF(Inputs!$B$39="pvp",20,(1-Summary!$B$11)*(20)+Summary!$B$11*(0)),0)*IF(AND(Inputs!$B$39&lt;&gt;"pvp",Inputs!$B$44&gt;0),(((R3082-1)*MIN((Skills!T13*(1+Inputs!$B$35/100)),(1/Q3082))+MIN((Skills!T13*(1+Inputs!$B$35/100)),MAX(0,Inputs!$B$44-((R3082-1)*(1/Q3082)))))/Inputs!$B$44),IF(Inputs!$B$39="pvp",MIN((Skills!T13*(1+Inputs!$B$35/100)),15)/15,MIN(1,(Skills!T13*(1+Inputs!$B$35/100))/(1/Q3082)))))+(IF(AND(ArtifactsInput!$M$35,Inputs!$B$4&lt;&gt;"Chapter Hunt"),CHOOSE(ArtifactsInput!$N$35+1,15,18,21,24,27,30)*(1-EXP(-(0.2*B3100)*5)),0)+IF(AND(ArtifactsInput!$M$22,Inputs!$B$4&lt;&gt;"Chapter Hunt"),CHOOSE(ArtifactsInput!$N$22+1,10,12,14,16,18,20)*((0*(((0.15*B3100*5))^0/1)+1*(((0.15*B3100*5))^1/1)+2*(((0.15*B3100*5))^2/2)+3*(((0.15*B3100*5))^3/6)+4*(((0.15*B3100*5))^4/24)+5*(((0.15*B3100*5))^5/120))/((((0.15*B3100*5))^0/1)+(((0.15*B3100*5))^1/1)+(((0.15*B3100*5))^2/2)+(((0.15*B3100*5))^3/6)+(((0.15*B3100*5))^4/24)+(((0.15*B3100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3078*(1-MIN(100,(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3078*(MIN(100,(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3078*(1-MIN(100,(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3078*(MIN(100,(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78">
        <f>IF(C3078,(H3078*N3078*IF(AND(Inputs!$B$39&lt;&gt;"pvp",Inputs!$B$44&gt;0),((Skills!G9*((R3078-1)*IF(Skills!H9&gt;0,INT(Skills!I9/Skills!H9+0.000000001),1)+IF(Skills!H9&gt;0,INT(MIN(Skills!I9,MAX(0,MAX(0,Inputs!$B$44-B3105)-((R3078-1)*IF(Inputs!$B$39="pvp",15,MAX(0.1,Skills!D9-IF(TRUE=TRUE,4.0,0))))))/Skills!H9+0.000000001),1)))/Inputs!$B$44),G3078*Q3078))*IF(Inputs!$B$39="pvp",1,(1+(Inputs!$B$22+Skills!Q9+((C3086=TRUE)*F3086*IF(AND(Inputs!$B$39&lt;&gt;"pvp",Inputs!$B$44&gt;0),(((R3086-1)*MIN((Skills!T17*(1+Inputs!$B$35/100)),(1/Q3086))+MIN((Skills!T17*(1+Inputs!$B$35/100)),MAX(0,Inputs!$B$44-((R3086-1)*(1/Q3086)))))/Inputs!$B$44),IF(Inputs!$B$39="pvp",MIN((Skills!T17*(1+Inputs!$B$35/100)),15)/15,MIN(1,(Skills!T17*(1+Inputs!$B$35/100))/(1/Q3086)))))+((C3074=TRUE)*IF(Inputs!$B$3&gt;=126,10*MIN(1,15*Q3074),0))+((C3083=TRUE)*IF(Inputs!$B$39="pvp",20,(1-Summary!$B$11)*(20)+Summary!$B$11*(0))*IF(AND(Inputs!$B$39&lt;&gt;"pvp",Inputs!$B$44&gt;0),(((R3083-1)*MIN((Skills!T14*(1+Inputs!$B$35/100)),(1/Q3083))+MIN((Skills!T14*(1+Inputs!$B$35/100)),MAX(0,Inputs!$B$44-((R3083-1)*(1/Q3083)))))/Inputs!$B$44),IF(Inputs!$B$39="pvp",MIN((Skills!T14*(1+Inputs!$B$35/100)),15)/15,MIN(1,(Skills!T14*(1+Inputs!$B$35/100))/(1/Q3083)))))+((C3082=TRUE)*IF(Inputs!$B$3&gt;=82,IF(Inputs!$B$39="pvp",20,(1-Summary!$B$11)*(20)+Summary!$B$11*(0)),0)*IF(AND(Inputs!$B$39&lt;&gt;"pvp",Inputs!$B$44&gt;0),(((R3082-1)*MIN((Skills!T13*(1+Inputs!$B$35/100)),(1/Q3082))+MIN((Skills!T13*(1+Inputs!$B$35/100)),MAX(0,Inputs!$B$44-((R3082-1)*(1/Q3082)))))/Inputs!$B$44),IF(Inputs!$B$39="pvp",MIN((Skills!T13*(1+Inputs!$B$35/100)),15)/15,MIN(1,(Skills!T13*(1+Inputs!$B$35/100))/(1/Q3082)))))+(IF(AND(ArtifactsInput!$M$35,Inputs!$B$4&lt;&gt;"Chapter Hunt"),CHOOSE(ArtifactsInput!$N$35+1,15,18,21,24,27,30)*(1-EXP(-(0.2*B3100)*5)),0)+IF(AND(ArtifactsInput!$M$22,Inputs!$B$4&lt;&gt;"Chapter Hunt"),CHOOSE(ArtifactsInput!$N$22+1,10,12,14,16,18,20)*((0*(((0.15*B3100*5))^0/1)+1*(((0.15*B3100*5))^1/1)+2*(((0.15*B3100*5))^2/2)+3*(((0.15*B3100*5))^3/6)+4*(((0.15*B3100*5))^4/24)+5*(((0.15*B3100*5))^5/120))/((((0.15*B3100*5))^0/1)+(((0.15*B3100*5))^1/1)+(((0.15*B3100*5))^2/2)+(((0.15*B3100*5))^3/6)+(((0.15*B3100*5))^4/24)+(((0.15*B3100*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79">
      <c r="A3079">
        <f>Skills!A10</f>
        <v/>
      </c>
      <c r="B3079">
        <f>Skills!B10</f>
        <v/>
      </c>
      <c r="C3079">
        <f>Inputs!$B$3&gt;=110</f>
        <v/>
      </c>
      <c r="D3079">
        <f>IF(Skills!C10=1,60+Inputs!$B$26+Inputs!$B$30,IF(Skills!C10=2,90+Inputs!$B$27+Inputs!$B$30,IF(Skills!C10=3,120+Inputs!$B$28+Inputs!$B$30,MAX(0,(Inputs!$B$3-100)*3)+Inputs!$B$29+Inputs!$B$30)))</f>
        <v/>
      </c>
      <c r="E3079">
        <f>INDEX(FactorTable!$B$2:$Y$301, MATCH(ROUND(MIN(300,MAX(1,D3079)),0), FactorTable!$A$2:$A$301,0), Skills!M10+1)</f>
        <v/>
      </c>
      <c r="F3079">
        <f>IF(Skills!N10=TRUE,(Skills!L10/10)*(E3079/1000),Skills!L10/10)+Skills!O10</f>
        <v/>
      </c>
      <c r="G3079">
        <f>Skills!G10*IF(Skills!H10&gt;0,INT(IF(Inputs!$B$39="pvp",MIN(Skills!I10,15),Skills!I10)/Skills!H10+0.000000001),1)</f>
        <v/>
      </c>
      <c r="H3079">
        <f>1-(1-Skills!J10/100)^Skills!K10</f>
        <v/>
      </c>
      <c r="I3079" t="inlineStr">
        <is>
          <t>1</t>
        </is>
      </c>
      <c r="J3079">
        <f>((Inputs!$B$6*(1+Inputs!$B$7/100))+(((Inputs!$B$13*(1+Inputs!$B$14/100))-(Inputs!$B$13*(1+Inputs!$B$14/100)))+0.25*(Inputs!$B$15-Inputs!$B$15))*(1+Inputs!$B$7/100))*(F3079/100)</f>
        <v/>
      </c>
      <c r="K3079">
        <f>J3079*(1+(((Inputs!$B$13+IF(Inputs!$B$3&gt;=38,(10*INDEX(FactorTable!$B$2:$Y$301, MATCH(ROUND(MIN(300,MAX(1,Inputs!$B$3)),0), FactorTable!$A$2:$A$301,0), 23)/1000)/100*(Inputs!$B$8*(1+Inputs!$B$9/100)),0))*(1+Inputs!$B$14/100))*0.01+Inputs!$B$15*0.0025)/100)*(1+Inputs!$B$16/100)*(1+Inputs!$B$17/100)*(5000/(6000+Inputs!$B$43*(1-(Inputs!$B$20+0)/100)))*(1+(Inputs!$B$25+((C3094=TRUE)*(F3094-Calc!F25))+((C3095=TRUE)*(F3095-Calc!F26))+B3104)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gt;=100),MIN(100,((Inputs!$B$10+0+B3098+(ArtifactsInput!$M$24-ArtifactsInput!$M$24)*CHOOSE(ArtifactsInput!$N$24+1,10,12,14,16,18,20)+IF(ArtifactsInput!$M$10,CHOOSE(ArtifactsInput!$N$10+1,15,18,21,24,27,30)*(IF(Inputs!$B$39="pvp",MIN(15,15)/15,IF(AND(Inputs!$B$39&lt;&gt;"pvp",Inputs!$B$44&gt;0),MIN(15,Inputs!$B$44)/(Inputs!$B$44),0))),0)))-100),0))*CHOOSE(ArtifactsInput!$N$42+1,0.6,0.72,0.84,0.96,1.08,1.2))),Inputs!$B$19+((C3092=TRUE)*(F3092-Calc!F23))+(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gt;=100),CHOOSE(ArtifactsInput!$N$42+1,40,48,56,64,72,80),0))))/100)*((1+(((C3082=TRUE)*F3082*IF(AND(Inputs!$B$39&lt;&gt;"pvp",Inputs!$B$44&gt;0),(((R3082-1)*MIN((Skills!T13*(1+Inputs!$B$35/100)),(1/Q3082))+MIN((Skills!T13*(1+Inputs!$B$35/100)),MAX(0,Inputs!$B$44-((R3082-1)*(1/Q3082)))))/Inputs!$B$44),IF(Inputs!$B$39="pvp",MIN((Skills!T13*(1+Inputs!$B$35/100)),15)/15,MIN(1,(Skills!T13*(1+Inputs!$B$35/100))/(1/Q3082)))))+((C3083=TRUE)*F3083*IF(AND(Inputs!$B$39&lt;&gt;"pvp",Inputs!$B$44&gt;0),(((R3083-1)*MIN((Skills!T14*(1+Inputs!$B$35/100)),(1/Q3083))+MIN((Skills!T14*(1+Inputs!$B$35/100)),MAX(0,Inputs!$B$44-((R3083-1)*(1/Q3083)))))/Inputs!$B$44),IF(Inputs!$B$39="pvp",MIN((Skills!T14*(1+Inputs!$B$35/100)),15)/15,MIN(1,(Skills!T14*(1+Inputs!$B$35/100))/(1/Q3083)))))+((C3084=TRUE)*F3084*IF(AND(Inputs!$B$39&lt;&gt;"pvp",Inputs!$B$44&gt;0),(((R3084-1)*MIN((Skills!T15*(1+Inputs!$B$35/100)),(1/Q3084))+MIN((Skills!T15*(1+Inputs!$B$35/100)),MAX(0,Inputs!$B$44-((R3084-1)*(1/Q3084)))))/Inputs!$B$44),IF(Inputs!$B$39="pvp",MIN((Skills!T15*(1+Inputs!$B$35/100)),15)/15,MIN(1,(Skills!T15*(1+Inputs!$B$35/100))/(1/Q3084)))))+((C3085=TRUE)*F3085*IF(AND(Inputs!$B$39&lt;&gt;"pvp",Inputs!$B$44&gt;0),(((R3085-1)*MIN((Skills!T16*(1+Inputs!$B$35/100)),(1/Q3085))+MIN((Skills!T16*(1+Inputs!$B$35/100)),MAX(0,Inputs!$B$44-((R3085-1)*(1/Q3085)))))/Inputs!$B$44),IF(Inputs!$B$39="pvp",MIN((Skills!T16*(1+Inputs!$B$35/100)),15)/15,MIN(1,(Skills!T16*(1+Inputs!$B$35/100))/(1/Q3085)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3079)</f>
        <v/>
      </c>
      <c r="L3079">
        <f>K3079*(MIN(Inputs!$B$23+((C3091=TRUE)*(F3091-Calc!F22)),(Inputs!$B$24+((C3093=TRUE)*(F3093-Calc!F24))+(IF(ArtifactsInput!$M$15,CHOOSE(ArtifactsInput!$N$15+1,25,30,35,40,45,50)/100*(Inputs!$B$12-Inputs!$B$12),0))))/100+(Inputs!$B$24+((C3093=TRUE)*(F3093-Calc!F24))+(IF(ArtifactsInput!$M$15,CHOOSE(ArtifactsInput!$N$15+1,25,30,35,40,45,50)/100*(Inputs!$B$12-Inputs!$B$12),0)))/100)/2</f>
        <v/>
      </c>
      <c r="M3079">
        <f>L3079*(1+(Inputs!$B$11+0+B3103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079">
        <f>L3079*(1-MIN((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3079*(MIN((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79">
        <f>(1-Summary!$B$11)*T3079+Summary!$B$11*V3079</f>
        <v/>
      </c>
      <c r="P3079">
        <f>IF(B3108=0,0,O3079/B3108)</f>
        <v/>
      </c>
      <c r="Q3079">
        <f>IFERROR(1/IF(Inputs!$B$39="pvp",15,MAX(0.1,Skills!D10-IF(TRUE=TRUE,4.0,0))),0)</f>
        <v/>
      </c>
      <c r="R3079">
        <f>IF(AND(Inputs!$B$39&lt;&gt;"pvp",Inputs!$B$44&gt;0),IF(MAX(0,Inputs!$B$44-B3105)&lt;=0,0,(INT(MAX(0,Inputs!$B$44-B3105)/IF(Inputs!$B$39="pvp",15,MAX(0.1,Skills!D10-IF(TRUE=TRUE,4.0,0))))+1)),0)</f>
        <v/>
      </c>
      <c r="S3079">
        <f>IFERROR(O3079/N3079,0)</f>
        <v/>
      </c>
      <c r="T3079">
        <f>IF(C3079,(H3079*N3079*IF(AND(Inputs!$B$39&lt;&gt;"pvp",Inputs!$B$44&gt;0),((Skills!G10*((R3079-1)*IF(Skills!H10&gt;0,INT(Skills!I10/Skills!H10+0.000000001),1)+IF(Skills!H10&gt;0,INT(MIN(Skills!I10,MAX(0,MAX(0,Inputs!$B$44-B3105)-((R3079-1)*IF(Inputs!$B$39="pvp",15,MAX(0.1,Skills!D10-IF(TRUE=TRUE,4.0,0))))))/Skills!H10+0.000000001),1)))/Inputs!$B$44),G3079*Q3079))*IF(Inputs!$B$39="pvp",1,1+(Inputs!$B$21+0+Skills!P10+((C3086=TRUE)*F3086*IF(AND(Inputs!$B$39&lt;&gt;"pvp",Inputs!$B$44&gt;0),(((R3086-1)*MIN((Skills!T17*(1+Inputs!$B$35/100)),(1/Q3086))+MIN((Skills!T17*(1+Inputs!$B$35/100)),MAX(0,Inputs!$B$44-((R3086-1)*(1/Q3086)))))/Inputs!$B$44),IF(Inputs!$B$39="pvp",MIN((Skills!T17*(1+Inputs!$B$35/100)),15)/15,MIN(1,(Skills!T17*(1+Inputs!$B$35/100))/(1/Q3086)))))+((C3074=TRUE)*IF(Inputs!$B$3&gt;=126,10*MIN(1,15*Q3074),0))+((C3083=TRUE)*IF(Inputs!$B$39="pvp",20,(1-Summary!$B$11)*(20)+Summary!$B$11*(0))*IF(AND(Inputs!$B$39&lt;&gt;"pvp",Inputs!$B$44&gt;0),(((R3083-1)*MIN((Skills!T14*(1+Inputs!$B$35/100)),(1/Q3083))+MIN((Skills!T14*(1+Inputs!$B$35/100)),MAX(0,Inputs!$B$44-((R3083-1)*(1/Q3083)))))/Inputs!$B$44),IF(Inputs!$B$39="pvp",MIN((Skills!T14*(1+Inputs!$B$35/100)),15)/15,MIN(1,(Skills!T14*(1+Inputs!$B$35/100))/(1/Q3083)))))+((C3082=TRUE)*IF(Inputs!$B$3&gt;=82,IF(Inputs!$B$39="pvp",20,(1-Summary!$B$11)*(20)+Summary!$B$11*(0)),0)*IF(AND(Inputs!$B$39&lt;&gt;"pvp",Inputs!$B$44&gt;0),(((R3082-1)*MIN((Skills!T13*(1+Inputs!$B$35/100)),(1/Q3082))+MIN((Skills!T13*(1+Inputs!$B$35/100)),MAX(0,Inputs!$B$44-((R3082-1)*(1/Q3082)))))/Inputs!$B$44),IF(Inputs!$B$39="pvp",MIN((Skills!T13*(1+Inputs!$B$35/100)),15)/15,MIN(1,(Skills!T13*(1+Inputs!$B$35/100))/(1/Q3082)))))+(IF(AND(ArtifactsInput!$M$35,Inputs!$B$4&lt;&gt;"Chapter Hunt"),CHOOSE(ArtifactsInput!$N$35+1,15,18,21,24,27,30)*(1-EXP(-(0.2*B3100)*5)),0)+IF(AND(ArtifactsInput!$M$22,Inputs!$B$4&lt;&gt;"Chapter Hunt"),CHOOSE(ArtifactsInput!$N$22+1,10,12,14,16,18,20)*((0*(((0.15*B3100*5))^0/1)+1*(((0.15*B3100*5))^1/1)+2*(((0.15*B3100*5))^2/2)+3*(((0.15*B3100*5))^3/6)+4*(((0.15*B3100*5))^4/24)+5*(((0.15*B3100*5))^5/120))/((((0.15*B3100*5))^0/1)+(((0.15*B3100*5))^1/1)+(((0.15*B3100*5))^2/2)+(((0.15*B3100*5))^3/6)+(((0.15*B3100*5))^4/24)+(((0.15*B3100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3079*(1-MIN(100,(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3079*(MIN(100,(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3079*(1-MIN(100,(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3079*(MIN(100,(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79">
        <f>IF(C3079,(H3079*N3079*IF(AND(Inputs!$B$39&lt;&gt;"pvp",Inputs!$B$44&gt;0),((Skills!G10*((R3079-1)*IF(Skills!H10&gt;0,INT(Skills!I10/Skills!H10+0.000000001),1)+IF(Skills!H10&gt;0,INT(MIN(Skills!I10,MAX(0,MAX(0,Inputs!$B$44-B3105)-((R3079-1)*IF(Inputs!$B$39="pvp",15,MAX(0.1,Skills!D10-IF(TRUE=TRUE,4.0,0))))))/Skills!H10+0.000000001),1)))/Inputs!$B$44),G3079*Q3079))*IF(Inputs!$B$39="pvp",1,(1+(Inputs!$B$22+Skills!Q10+((C3086=TRUE)*F3086*IF(AND(Inputs!$B$39&lt;&gt;"pvp",Inputs!$B$44&gt;0),(((R3086-1)*MIN((Skills!T17*(1+Inputs!$B$35/100)),(1/Q3086))+MIN((Skills!T17*(1+Inputs!$B$35/100)),MAX(0,Inputs!$B$44-((R3086-1)*(1/Q3086)))))/Inputs!$B$44),IF(Inputs!$B$39="pvp",MIN((Skills!T17*(1+Inputs!$B$35/100)),15)/15,MIN(1,(Skills!T17*(1+Inputs!$B$35/100))/(1/Q3086)))))+((C3074=TRUE)*IF(Inputs!$B$3&gt;=126,10*MIN(1,15*Q3074),0))+((C3083=TRUE)*IF(Inputs!$B$39="pvp",20,(1-Summary!$B$11)*(20)+Summary!$B$11*(0))*IF(AND(Inputs!$B$39&lt;&gt;"pvp",Inputs!$B$44&gt;0),(((R3083-1)*MIN((Skills!T14*(1+Inputs!$B$35/100)),(1/Q3083))+MIN((Skills!T14*(1+Inputs!$B$35/100)),MAX(0,Inputs!$B$44-((R3083-1)*(1/Q3083)))))/Inputs!$B$44),IF(Inputs!$B$39="pvp",MIN((Skills!T14*(1+Inputs!$B$35/100)),15)/15,MIN(1,(Skills!T14*(1+Inputs!$B$35/100))/(1/Q3083)))))+((C3082=TRUE)*IF(Inputs!$B$3&gt;=82,IF(Inputs!$B$39="pvp",20,(1-Summary!$B$11)*(20)+Summary!$B$11*(0)),0)*IF(AND(Inputs!$B$39&lt;&gt;"pvp",Inputs!$B$44&gt;0),(((R3082-1)*MIN((Skills!T13*(1+Inputs!$B$35/100)),(1/Q3082))+MIN((Skills!T13*(1+Inputs!$B$35/100)),MAX(0,Inputs!$B$44-((R3082-1)*(1/Q3082)))))/Inputs!$B$44),IF(Inputs!$B$39="pvp",MIN((Skills!T13*(1+Inputs!$B$35/100)),15)/15,MIN(1,(Skills!T13*(1+Inputs!$B$35/100))/(1/Q3082)))))+(IF(AND(ArtifactsInput!$M$35,Inputs!$B$4&lt;&gt;"Chapter Hunt"),CHOOSE(ArtifactsInput!$N$35+1,15,18,21,24,27,30)*(1-EXP(-(0.2*B3100)*5)),0)+IF(AND(ArtifactsInput!$M$22,Inputs!$B$4&lt;&gt;"Chapter Hunt"),CHOOSE(ArtifactsInput!$N$22+1,10,12,14,16,18,20)*((0*(((0.15*B3100*5))^0/1)+1*(((0.15*B3100*5))^1/1)+2*(((0.15*B3100*5))^2/2)+3*(((0.15*B3100*5))^3/6)+4*(((0.15*B3100*5))^4/24)+5*(((0.15*B3100*5))^5/120))/((((0.15*B3100*5))^0/1)+(((0.15*B3100*5))^1/1)+(((0.15*B3100*5))^2/2)+(((0.15*B3100*5))^3/6)+(((0.15*B3100*5))^4/24)+(((0.15*B3100*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80">
      <c r="A3080">
        <f>Skills!A11</f>
        <v/>
      </c>
      <c r="B3080">
        <f>Skills!B11</f>
        <v/>
      </c>
      <c r="C3080">
        <f>Inputs!$B$3&gt;=100</f>
        <v/>
      </c>
      <c r="D3080">
        <f>IF(Skills!C11=1,60+Inputs!$B$26+Inputs!$B$30,IF(Skills!C11=2,90+Inputs!$B$27+Inputs!$B$30,IF(Skills!C11=3,120+Inputs!$B$28+Inputs!$B$30,MAX(0,(Inputs!$B$3-100)*3)+Inputs!$B$29+Inputs!$B$30)))</f>
        <v/>
      </c>
      <c r="E3080">
        <f>INDEX(FactorTable!$B$2:$Y$301, MATCH(ROUND(MIN(300,MAX(1,D3080)),0), FactorTable!$A$2:$A$301,0), Skills!M11+1)</f>
        <v/>
      </c>
      <c r="F3080">
        <f>IF(Skills!N11=TRUE,(Skills!L11/10)*(E3080/1000),Skills!L11/10)+Skills!O11</f>
        <v/>
      </c>
      <c r="G3080" t="inlineStr"/>
      <c r="H3080" t="inlineStr"/>
      <c r="I3080" t="inlineStr">
        <is>
          <t>1</t>
        </is>
      </c>
      <c r="J3080" t="inlineStr"/>
      <c r="K3080" t="inlineStr"/>
      <c r="L3080" t="inlineStr"/>
      <c r="M3080" t="inlineStr"/>
      <c r="N3080" t="inlineStr"/>
      <c r="O3080" t="inlineStr"/>
      <c r="P3080" t="inlineStr"/>
      <c r="Q3080" t="inlineStr"/>
      <c r="R3080" t="inlineStr"/>
      <c r="S3080" t="inlineStr"/>
    </row>
    <row r="3081">
      <c r="A3081">
        <f>Skills!A12</f>
        <v/>
      </c>
      <c r="B3081">
        <f>Skills!B12</f>
        <v/>
      </c>
      <c r="C3081">
        <f>Inputs!$B$3&gt;=63</f>
        <v/>
      </c>
      <c r="D3081">
        <f>IF(Skills!C12=1,60+Inputs!$B$26+Inputs!$B$30,IF(Skills!C12=2,90+Inputs!$B$27+Inputs!$B$30,IF(Skills!C12=3,120+Inputs!$B$28+Inputs!$B$30,MAX(0,(Inputs!$B$3-100)*3)+Inputs!$B$29+Inputs!$B$30)))</f>
        <v/>
      </c>
      <c r="E3081">
        <f>INDEX(FactorTable!$B$2:$Y$301, MATCH(ROUND(MIN(300,MAX(1,D3081)),0), FactorTable!$A$2:$A$301,0), Skills!M12+1)</f>
        <v/>
      </c>
      <c r="F3081">
        <f>IF(Skills!N12=TRUE,(Skills!L12/10)*(E3081/1000),Skills!L12/10)+Skills!O12</f>
        <v/>
      </c>
      <c r="G3081">
        <f>Skills!G12*IF(Skills!H12&gt;0,INT(IF(Inputs!$B$39="pvp",MIN(Skills!I12,15),Skills!I12)/Skills!H12+0.000000001),1)</f>
        <v/>
      </c>
      <c r="H3081">
        <f>1-(1-Skills!J12/100)^Skills!K12</f>
        <v/>
      </c>
      <c r="I3081" t="inlineStr">
        <is>
          <t>1</t>
        </is>
      </c>
      <c r="J3081">
        <f>((Inputs!$B$6*(1+Inputs!$B$7/100))+(((Inputs!$B$13*(1+Inputs!$B$14/100))-(Inputs!$B$13*(1+Inputs!$B$14/100)))+0.25*(Inputs!$B$15-Inputs!$B$15))*(1+Inputs!$B$7/100))*(F3081/100)</f>
        <v/>
      </c>
      <c r="K3081">
        <f>J3081*(1+(((Inputs!$B$13+IF(Inputs!$B$3&gt;=38,(10*INDEX(FactorTable!$B$2:$Y$301, MATCH(ROUND(MIN(300,MAX(1,Inputs!$B$3)),0), FactorTable!$A$2:$A$301,0), 23)/1000)/100*(Inputs!$B$8*(1+Inputs!$B$9/100)),0))*(1+Inputs!$B$14/100))*0.01+Inputs!$B$15*0.0025)/100)*(1+Inputs!$B$16/100)*(1+Inputs!$B$17/100)*(5000/(6000+Inputs!$B$43*(1-(Inputs!$B$20+0)/100)))*(1+(Inputs!$B$25+((C3094=TRUE)*(F3094-Calc!F25))+((C3095=TRUE)*(F3095-Calc!F26))+B3104)/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3080=TRUE,F3080,0)/100)*(1+(IF(Skills!A12="DARK_IMPALE",Inputs!$B$18+0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gt;=100),MIN(100,((Inputs!$B$10+0+B3098+(ArtifactsInput!$M$24-ArtifactsInput!$M$24)*CHOOSE(ArtifactsInput!$N$24+1,10,12,14,16,18,20)+IF(ArtifactsInput!$M$10,CHOOSE(ArtifactsInput!$N$10+1,15,18,21,24,27,30)*(IF(Inputs!$B$39="pvp",MIN(15,15)/15,IF(AND(Inputs!$B$39&lt;&gt;"pvp",Inputs!$B$44&gt;0),MIN(15,Inputs!$B$44)/(Inputs!$B$44),0))),0)))-100),0))*CHOOSE(ArtifactsInput!$N$42+1,0.6,0.72,0.84,0.96,1.08,1.2))),Inputs!$B$19+((C3092=TRUE)*(F3092-Calc!F23))+(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gt;=100),CHOOSE(ArtifactsInput!$N$42+1,40,48,56,64,72,80),0))))/100)*((1+(((C3082=TRUE)*F3082*IF(AND(Inputs!$B$39&lt;&gt;"pvp",Inputs!$B$44&gt;0),(((R3082-1)*MIN((Skills!T13*(1+Inputs!$B$35/100)),(1/Q3082))+MIN((Skills!T13*(1+Inputs!$B$35/100)),MAX(0,Inputs!$B$44-((R3082-1)*(1/Q3082)))))/Inputs!$B$44),IF(Inputs!$B$39="pvp",MIN((Skills!T13*(1+Inputs!$B$35/100)),15)/15,MIN(1,(Skills!T13*(1+Inputs!$B$35/100))/(1/Q3082)))))+((C3083=TRUE)*F3083*IF(AND(Inputs!$B$39&lt;&gt;"pvp",Inputs!$B$44&gt;0),(((R3083-1)*MIN((Skills!T14*(1+Inputs!$B$35/100)),(1/Q3083))+MIN((Skills!T14*(1+Inputs!$B$35/100)),MAX(0,Inputs!$B$44-((R3083-1)*(1/Q3083)))))/Inputs!$B$44),IF(Inputs!$B$39="pvp",MIN((Skills!T14*(1+Inputs!$B$35/100)),15)/15,MIN(1,(Skills!T14*(1+Inputs!$B$35/100))/(1/Q3083)))))+((C3084=TRUE)*F3084*IF(AND(Inputs!$B$39&lt;&gt;"pvp",Inputs!$B$44&gt;0),(((R3084-1)*MIN((Skills!T15*(1+Inputs!$B$35/100)),(1/Q3084))+MIN((Skills!T15*(1+Inputs!$B$35/100)),MAX(0,Inputs!$B$44-((R3084-1)*(1/Q3084)))))/Inputs!$B$44),IF(Inputs!$B$39="pvp",MIN((Skills!T15*(1+Inputs!$B$35/100)),15)/15,MIN(1,(Skills!T15*(1+Inputs!$B$35/100))/(1/Q3084)))))+((C3085=TRUE)*F3085*IF(AND(Inputs!$B$39&lt;&gt;"pvp",Inputs!$B$44&gt;0),(((R3085-1)*MIN((Skills!T16*(1+Inputs!$B$35/100)),(1/Q3085))+MIN((Skills!T16*(1+Inputs!$B$35/100)),MAX(0,Inputs!$B$44-((R3085-1)*(1/Q3085)))))/Inputs!$B$44),IF(Inputs!$B$39="pvp",MIN((Skills!T16*(1+Inputs!$B$35/100)),15)/15,MIN(1,(Skills!T16*(1+Inputs!$B$35/100))/(1/Q3085)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3081)</f>
        <v/>
      </c>
      <c r="L3081">
        <f>K3081*(MIN(Inputs!$B$23+((C3091=TRUE)*(F3091-Calc!F22)),(Inputs!$B$24+((C3093=TRUE)*(F3093-Calc!F24))+(IF(ArtifactsInput!$M$15,CHOOSE(ArtifactsInput!$N$15+1,25,30,35,40,45,50)/100*(Inputs!$B$12-Inputs!$B$12),0))))/100+(Inputs!$B$24+((C3093=TRUE)*(F3093-Calc!F24))+(IF(ArtifactsInput!$M$15,CHOOSE(ArtifactsInput!$N$15+1,25,30,35,40,45,50)/100*(Inputs!$B$12-Inputs!$B$12),0)))/100)/2</f>
        <v/>
      </c>
      <c r="M3081">
        <f>L3081*(1+(Inputs!$B$11+0+B3103+(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081">
        <f>L3081*(1-MIN((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3081*(MIN((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81">
        <f>(1-Summary!$B$11)*T3081+Summary!$B$11*V3081</f>
        <v/>
      </c>
      <c r="P3081">
        <f>IF(B3108=0,0,O3081/B3108)</f>
        <v/>
      </c>
      <c r="Q3081">
        <f>IFERROR(1/IF(Inputs!$B$39="pvp",15,MAX(0.1,Skills!D12-IF(TRUE=TRUE,4.0,0))),0)</f>
        <v/>
      </c>
      <c r="R3081">
        <f>IF(AND(Inputs!$B$39&lt;&gt;"pvp",Inputs!$B$44&gt;0),IF(MAX(0,Inputs!$B$44-B3105)&lt;=0,0,(INT(MAX(0,Inputs!$B$44-B3105)/IF(Inputs!$B$39="pvp",15,MAX(0.1,Skills!D12-IF(TRUE=TRUE,4.0,0))))+1)),0)</f>
        <v/>
      </c>
      <c r="S3081">
        <f>IFERROR(O3081/N3081,0)</f>
        <v/>
      </c>
      <c r="T3081">
        <f>IF(C3081,(H3081*N3081*IF(AND(Inputs!$B$39&lt;&gt;"pvp",Inputs!$B$44&gt;0),((Skills!G12*((R3081-1)*IF(Skills!H12&gt;0,INT(Skills!I12/Skills!H12+0.000000001),1)+IF(Skills!H12&gt;0,INT(MIN(Skills!I12,MAX(0,MAX(0,Inputs!$B$44-B3105)-((R3081-1)*IF(Inputs!$B$39="pvp",15,MAX(0.1,Skills!D12-IF(TRUE=TRUE,4.0,0))))))/Skills!H12+0.000000001),1)))/Inputs!$B$44),G3081*Q3081))*IF(Inputs!$B$39="pvp",1,1+(Inputs!$B$21+0+Skills!P12+((C3086=TRUE)*F3086*IF(AND(Inputs!$B$39&lt;&gt;"pvp",Inputs!$B$44&gt;0),(((R3086-1)*MIN((Skills!T17*(1+Inputs!$B$35/100)),(1/Q3086))+MIN((Skills!T17*(1+Inputs!$B$35/100)),MAX(0,Inputs!$B$44-((R3086-1)*(1/Q3086)))))/Inputs!$B$44),IF(Inputs!$B$39="pvp",MIN((Skills!T17*(1+Inputs!$B$35/100)),15)/15,MIN(1,(Skills!T17*(1+Inputs!$B$35/100))/(1/Q3086)))))+((C3074=TRUE)*IF(Inputs!$B$3&gt;=126,10*MIN(1,15*Q3074),0))+((C3083=TRUE)*IF(Inputs!$B$39="pvp",20,(1-Summary!$B$11)*(20)+Summary!$B$11*(0))*IF(AND(Inputs!$B$39&lt;&gt;"pvp",Inputs!$B$44&gt;0),(((R3083-1)*MIN((Skills!T14*(1+Inputs!$B$35/100)),(1/Q3083))+MIN((Skills!T14*(1+Inputs!$B$35/100)),MAX(0,Inputs!$B$44-((R3083-1)*(1/Q3083)))))/Inputs!$B$44),IF(Inputs!$B$39="pvp",MIN((Skills!T14*(1+Inputs!$B$35/100)),15)/15,MIN(1,(Skills!T14*(1+Inputs!$B$35/100))/(1/Q3083)))))+((C3082=TRUE)*IF(Inputs!$B$3&gt;=82,IF(Inputs!$B$39="pvp",20,(1-Summary!$B$11)*(20)+Summary!$B$11*(0)),0)*IF(AND(Inputs!$B$39&lt;&gt;"pvp",Inputs!$B$44&gt;0),(((R3082-1)*MIN((Skills!T13*(1+Inputs!$B$35/100)),(1/Q3082))+MIN((Skills!T13*(1+Inputs!$B$35/100)),MAX(0,Inputs!$B$44-((R3082-1)*(1/Q3082)))))/Inputs!$B$44),IF(Inputs!$B$39="pvp",MIN((Skills!T13*(1+Inputs!$B$35/100)),15)/15,MIN(1,(Skills!T13*(1+Inputs!$B$35/100))/(1/Q3082)))))+(IF(AND(ArtifactsInput!$M$35,Inputs!$B$4&lt;&gt;"Chapter Hunt"),CHOOSE(ArtifactsInput!$N$35+1,15,18,21,24,27,30)*(1-EXP(-(0.2*B3100)*5)),0)+IF(AND(ArtifactsInput!$M$22,Inputs!$B$4&lt;&gt;"Chapter Hunt"),CHOOSE(ArtifactsInput!$N$22+1,10,12,14,16,18,20)*((0*(((0.15*B3100*5))^0/1)+1*(((0.15*B3100*5))^1/1)+2*(((0.15*B3100*5))^2/2)+3*(((0.15*B3100*5))^3/6)+4*(((0.15*B3100*5))^4/24)+5*(((0.15*B3100*5))^5/120))/((((0.15*B3100*5))^0/1)+(((0.15*B3100*5))^1/1)+(((0.15*B3100*5))^2/2)+(((0.15*B3100*5))^3/6)+(((0.15*B3100*5))^4/24)+(((0.15*B3100*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3081*(1-MIN(100,(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3081*(MIN(100,(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3081*(1-MIN(100,(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3081*(MIN(100,(Inputs!$B$10+0+B3098+(ArtifactsInput!$M$24-ArtifactsInput!$M$24)*CHOOSE(ArtifactsInput!$N$24+1,10,12,14,16,18,20)+(IF(AND(Inputs!$B$39&lt;&gt;"pvp",Inputs!$B$44=0),1,IF(IF(Inputs!$B$39="pvp",15,Inputs!$B$44)-(B3105)&lt;=0,1,MAX(0,IF(Inputs!$B$39="pvp",15,Inputs!$B$44)-MAX(5,B3105))/(IF(Inputs!$B$39="pvp",15,Inputs!$B$44)-(B3105))))*IF(AND(ArtifactsInput!$M$42,((Inputs!$B$10+0+B3098+(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081">
        <f>IF(C3081,(H3081*N3081*IF(AND(Inputs!$B$39&lt;&gt;"pvp",Inputs!$B$44&gt;0),((Skills!G12*((R3081-1)*IF(Skills!H12&gt;0,INT(Skills!I12/Skills!H12+0.000000001),1)+IF(Skills!H12&gt;0,INT(MIN(Skills!I12,MAX(0,MAX(0,Inputs!$B$44-B3105)-((R3081-1)*IF(Inputs!$B$39="pvp",15,MAX(0.1,Skills!D12-IF(TRUE=TRUE,4.0,0))))))/Skills!H12+0.000000001),1)))/Inputs!$B$44),G3081*Q3081))*IF(Inputs!$B$39="pvp",1,(1+(Inputs!$B$22+Skills!Q12+((C3086=TRUE)*F3086*IF(AND(Inputs!$B$39&lt;&gt;"pvp",Inputs!$B$44&gt;0),(((R3086-1)*MIN((Skills!T17*(1+Inputs!$B$35/100)),(1/Q3086))+MIN((Skills!T17*(1+Inputs!$B$35/100)),MAX(0,Inputs!$B$44-((R3086-1)*(1/Q3086)))))/Inputs!$B$44),IF(Inputs!$B$39="pvp",MIN((Skills!T17*(1+Inputs!$B$35/100)),15)/15,MIN(1,(Skills!T17*(1+Inputs!$B$35/100))/(1/Q3086)))))+((C3074=TRUE)*IF(Inputs!$B$3&gt;=126,10*MIN(1,15*Q3074),0))+((C3083=TRUE)*IF(Inputs!$B$39="pvp",20,(1-Summary!$B$11)*(20)+Summary!$B$11*(0))*IF(AND(Inputs!$B$39&lt;&gt;"pvp",Inputs!$B$44&gt;0),(((R3083-1)*MIN((Skills!T14*(1+Inputs!$B$35/100)),(1/Q3083))+MIN((Skills!T14*(1+Inputs!$B$35/100)),MAX(0,Inputs!$B$44-((R3083-1)*(1/Q3083)))))/Inputs!$B$44),IF(Inputs!$B$39="pvp",MIN((Skills!T14*(1+Inputs!$B$35/100)),15)/15,MIN(1,(Skills!T14*(1+Inputs!$B$35/100))/(1/Q3083)))))+((C3082=TRUE)*IF(Inputs!$B$3&gt;=82,IF(Inputs!$B$39="pvp",20,(1-Summary!$B$11)*(20)+Summary!$B$11*(0)),0)*IF(AND(Inputs!$B$39&lt;&gt;"pvp",Inputs!$B$44&gt;0),(((R3082-1)*MIN((Skills!T13*(1+Inputs!$B$35/100)),(1/Q3082))+MIN((Skills!T13*(1+Inputs!$B$35/100)),MAX(0,Inputs!$B$44-((R3082-1)*(1/Q3082)))))/Inputs!$B$44),IF(Inputs!$B$39="pvp",MIN((Skills!T13*(1+Inputs!$B$35/100)),15)/15,MIN(1,(Skills!T13*(1+Inputs!$B$35/100))/(1/Q3082)))))+(IF(AND(ArtifactsInput!$M$35,Inputs!$B$4&lt;&gt;"Chapter Hunt"),CHOOSE(ArtifactsInput!$N$35+1,15,18,21,24,27,30)*(1-EXP(-(0.2*B3100)*5)),0)+IF(AND(ArtifactsInput!$M$22,Inputs!$B$4&lt;&gt;"Chapter Hunt"),CHOOSE(ArtifactsInput!$N$22+1,10,12,14,16,18,20)*((0*(((0.15*B3100*5))^0/1)+1*(((0.15*B3100*5))^1/1)+2*(((0.15*B3100*5))^2/2)+3*(((0.15*B3100*5))^3/6)+4*(((0.15*B3100*5))^4/24)+5*(((0.15*B3100*5))^5/120))/((((0.15*B3100*5))^0/1)+(((0.15*B3100*5))^1/1)+(((0.15*B3100*5))^2/2)+(((0.15*B3100*5))^3/6)+(((0.15*B3100*5))^4/24)+(((0.15*B3100*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82">
      <c r="A3082">
        <f>Skills!A13</f>
        <v/>
      </c>
      <c r="B3082">
        <f>Skills!B13</f>
        <v/>
      </c>
      <c r="C3082">
        <f>Inputs!$B$3&gt;=69</f>
        <v/>
      </c>
      <c r="D3082">
        <f>IF(Skills!C13=1,60+Inputs!$B$26+Inputs!$B$30,IF(Skills!C13=2,90+Inputs!$B$27+Inputs!$B$30,IF(Skills!C13=3,120+Inputs!$B$28+Inputs!$B$30,MAX(0,(Inputs!$B$3-100)*3)+Inputs!$B$29+Inputs!$B$30)))</f>
        <v/>
      </c>
      <c r="E3082">
        <f>INDEX(FactorTable!$B$2:$Y$301, MATCH(ROUND(MIN(300,MAX(1,D3082)),0), FactorTable!$A$2:$A$301,0), Skills!M13+1)</f>
        <v/>
      </c>
      <c r="F3082">
        <f>IF(Skills!N13=TRUE,(Skills!L13/10)*(E3082/1000),Skills!L13/10)+Skills!O13</f>
        <v/>
      </c>
      <c r="G3082">
        <f>Skills!G13*IF(Skills!H13&gt;0,INT(IF(Inputs!$B$39="pvp",MIN(Skills!I13,15),Skills!I13)/Skills!H13+0.000000001),1)</f>
        <v/>
      </c>
      <c r="H3082">
        <f>1-(1-Skills!J13/100)^Skills!K13</f>
        <v/>
      </c>
      <c r="I3082" t="inlineStr">
        <is>
          <t>1</t>
        </is>
      </c>
      <c r="J3082" t="inlineStr"/>
      <c r="K3082" t="inlineStr"/>
      <c r="L3082" t="inlineStr"/>
      <c r="M3082" t="inlineStr"/>
      <c r="N3082" t="inlineStr"/>
      <c r="O3082">
        <f>(1-Summary!$B$11)*T3082+Summary!$B$11*V3082</f>
        <v/>
      </c>
      <c r="P3082">
        <f>IF(B3108=0,0,O3082/B3108)</f>
        <v/>
      </c>
      <c r="Q3082">
        <f>IFERROR(1/IF(Inputs!$B$39="pvp",15,MAX(0.1,Skills!D13-IF(TRUE=TRUE,4.0,0))),0)</f>
        <v/>
      </c>
      <c r="R3082">
        <f>IF(AND(Inputs!$B$39&lt;&gt;"pvp",Inputs!$B$44&gt;0),IF(Inputs!$B$44&lt;=0,0,(INT(Inputs!$B$44/IF(Inputs!$B$39="pvp",15,MAX(0.1,Skills!D13-IF(TRUE=TRUE,4.0,0))))+1)),0)</f>
        <v/>
      </c>
      <c r="S3082">
        <f>IFERROR(O3082/N3082,0)</f>
        <v/>
      </c>
      <c r="T3082" t="n">
        <v>0</v>
      </c>
      <c r="V3082" t="n">
        <v>0</v>
      </c>
    </row>
    <row r="3083">
      <c r="A3083">
        <f>Skills!A14</f>
        <v/>
      </c>
      <c r="B3083">
        <f>Skills!B14</f>
        <v/>
      </c>
      <c r="C3083">
        <f>Inputs!$B$3&gt;=115</f>
        <v/>
      </c>
      <c r="D3083">
        <f>IF(Skills!C14=1,60+Inputs!$B$26+Inputs!$B$30,IF(Skills!C14=2,90+Inputs!$B$27+Inputs!$B$30,IF(Skills!C14=3,120+Inputs!$B$28+Inputs!$B$30,MAX(0,(Inputs!$B$3-100)*3)+Inputs!$B$29+Inputs!$B$30)))</f>
        <v/>
      </c>
      <c r="E3083">
        <f>INDEX(FactorTable!$B$2:$Y$301, MATCH(ROUND(MIN(300,MAX(1,D3083)),0), FactorTable!$A$2:$A$301,0), Skills!M14+1)</f>
        <v/>
      </c>
      <c r="F3083">
        <f>IF(Skills!N14=TRUE,(Skills!L14/10)*(E3083/1000),Skills!L14/10)+Skills!O14</f>
        <v/>
      </c>
      <c r="G3083">
        <f>Skills!G14*IF(Skills!H14&gt;0,INT(IF(Inputs!$B$39="pvp",MIN(Skills!I14,15),Skills!I14)/Skills!H14+0.000000001),1)</f>
        <v/>
      </c>
      <c r="H3083">
        <f>1-(1-Skills!J14/100)^Skills!K14</f>
        <v/>
      </c>
      <c r="I3083" t="inlineStr">
        <is>
          <t>1</t>
        </is>
      </c>
      <c r="J3083" t="inlineStr"/>
      <c r="K3083" t="inlineStr"/>
      <c r="L3083" t="inlineStr"/>
      <c r="M3083" t="inlineStr"/>
      <c r="N3083" t="inlineStr"/>
      <c r="O3083">
        <f>(1-Summary!$B$11)*T3083+Summary!$B$11*V3083</f>
        <v/>
      </c>
      <c r="P3083">
        <f>IF(B3108=0,0,O3083/B3108)</f>
        <v/>
      </c>
      <c r="Q3083">
        <f>IFERROR(1/IF(Inputs!$B$39="pvp",15,MAX(0.1,Skills!D14-IF(TRUE=TRUE,4.0,0))),0)</f>
        <v/>
      </c>
      <c r="R3083">
        <f>IF(AND(Inputs!$B$39&lt;&gt;"pvp",Inputs!$B$44&gt;0),IF(Inputs!$B$44&lt;=0,0,(INT(Inputs!$B$44/IF(Inputs!$B$39="pvp",15,MAX(0.1,Skills!D14-IF(TRUE=TRUE,4.0,0))))+1)),0)</f>
        <v/>
      </c>
      <c r="S3083">
        <f>IFERROR(O3083/N3083,0)</f>
        <v/>
      </c>
      <c r="T3083" t="n">
        <v>0</v>
      </c>
      <c r="V3083" t="n">
        <v>0</v>
      </c>
    </row>
    <row r="3084">
      <c r="A3084">
        <f>Skills!A15</f>
        <v/>
      </c>
      <c r="B3084">
        <f>Skills!B15</f>
        <v/>
      </c>
      <c r="C3084">
        <f>Inputs!$B$3&gt;=66</f>
        <v/>
      </c>
      <c r="D3084">
        <f>IF(Skills!C15=1,60+Inputs!$B$26+Inputs!$B$30,IF(Skills!C15=2,90+Inputs!$B$27+Inputs!$B$30,IF(Skills!C15=3,120+Inputs!$B$28+Inputs!$B$30,MAX(0,(Inputs!$B$3-100)*3)+Inputs!$B$29+Inputs!$B$30)))</f>
        <v/>
      </c>
      <c r="E3084">
        <f>INDEX(FactorTable!$B$2:$Y$301, MATCH(ROUND(MIN(300,MAX(1,D3084)),0), FactorTable!$A$2:$A$301,0), Skills!M15+1)</f>
        <v/>
      </c>
      <c r="F3084">
        <f>IF(Skills!N15=TRUE,(Skills!L15/10)*(E3084/1000),Skills!L15/10)+Skills!O15</f>
        <v/>
      </c>
      <c r="G3084">
        <f>Skills!G15*IF(Skills!H15&gt;0,INT(IF(Inputs!$B$39="pvp",MIN(Skills!I15,15),Skills!I15)/Skills!H15+0.000000001),1)</f>
        <v/>
      </c>
      <c r="H3084">
        <f>1-(1-Skills!J15/100)^Skills!K15</f>
        <v/>
      </c>
      <c r="I3084" t="inlineStr">
        <is>
          <t>1</t>
        </is>
      </c>
      <c r="J3084" t="inlineStr"/>
      <c r="K3084" t="inlineStr"/>
      <c r="L3084" t="inlineStr"/>
      <c r="M3084" t="inlineStr"/>
      <c r="N3084" t="inlineStr"/>
      <c r="O3084">
        <f>(1-Summary!$B$11)*T3084+Summary!$B$11*V3084</f>
        <v/>
      </c>
      <c r="P3084">
        <f>IF(B3108=0,0,O3084/B3108)</f>
        <v/>
      </c>
      <c r="Q3084">
        <f>IFERROR(1/IF(Inputs!$B$39="pvp",15,MAX(0.1,Skills!D15-IF(TRUE=TRUE,4.0,0))),0)</f>
        <v/>
      </c>
      <c r="R3084">
        <f>IF(AND(Inputs!$B$39&lt;&gt;"pvp",Inputs!$B$44&gt;0),IF(Inputs!$B$44&lt;=0,0,(INT(Inputs!$B$44/IF(Inputs!$B$39="pvp",15,MAX(0.1,Skills!D15-IF(TRUE=TRUE,4.0,0))))+1)),0)</f>
        <v/>
      </c>
      <c r="S3084">
        <f>IFERROR(O3084/N3084,0)</f>
        <v/>
      </c>
      <c r="T3084" t="n">
        <v>0</v>
      </c>
      <c r="V3084" t="n">
        <v>0</v>
      </c>
    </row>
    <row r="3085">
      <c r="A3085">
        <f>Skills!A16</f>
        <v/>
      </c>
      <c r="B3085">
        <f>Skills!B16</f>
        <v/>
      </c>
      <c r="C3085">
        <f>Inputs!$B$3&gt;=45</f>
        <v/>
      </c>
      <c r="D3085">
        <f>IF(Skills!C16=1,60+Inputs!$B$26+Inputs!$B$30,IF(Skills!C16=2,90+Inputs!$B$27+Inputs!$B$30,IF(Skills!C16=3,120+Inputs!$B$28+Inputs!$B$30,MAX(0,(Inputs!$B$3-100)*3)+Inputs!$B$29+Inputs!$B$30)))</f>
        <v/>
      </c>
      <c r="E3085">
        <f>INDEX(FactorTable!$B$2:$Y$301, MATCH(ROUND(MIN(300,MAX(1,D3085)),0), FactorTable!$A$2:$A$301,0), Skills!M16+1)</f>
        <v/>
      </c>
      <c r="F3085">
        <f>IF(Skills!N16=TRUE,(Skills!L16/10)*(E3085/1000),Skills!L16/10)+Skills!O16</f>
        <v/>
      </c>
      <c r="G3085">
        <f>Skills!G16*IF(Skills!H16&gt;0,INT(IF(Inputs!$B$39="pvp",MIN(Skills!I16,15),Skills!I16)/Skills!H16+0.000000001),1)</f>
        <v/>
      </c>
      <c r="H3085">
        <f>1-(1-Skills!J16/100)^Skills!K16</f>
        <v/>
      </c>
      <c r="I3085" t="inlineStr">
        <is>
          <t>1</t>
        </is>
      </c>
      <c r="J3085" t="inlineStr"/>
      <c r="K3085" t="inlineStr"/>
      <c r="L3085" t="inlineStr"/>
      <c r="M3085" t="inlineStr"/>
      <c r="N3085" t="inlineStr"/>
      <c r="O3085">
        <f>(1-Summary!$B$11)*T3085+Summary!$B$11*V3085</f>
        <v/>
      </c>
      <c r="P3085">
        <f>IF(B3108=0,0,O3085/B3108)</f>
        <v/>
      </c>
      <c r="Q3085">
        <f>IFERROR(1/IF(Inputs!$B$39="pvp",15,MAX(0.1,Skills!D16-IF(TRUE=TRUE,4.0,0))),0)</f>
        <v/>
      </c>
      <c r="R3085">
        <f>IF(AND(Inputs!$B$39&lt;&gt;"pvp",Inputs!$B$44&gt;0),IF(Inputs!$B$44&lt;=0,0,(INT(Inputs!$B$44/IF(Inputs!$B$39="pvp",15,MAX(0.1,Skills!D16-IF(TRUE=TRUE,4.0,0))))+1)),0)</f>
        <v/>
      </c>
      <c r="S3085">
        <f>IFERROR(O3085/N3085,0)</f>
        <v/>
      </c>
      <c r="T3085" t="n">
        <v>0</v>
      </c>
      <c r="V3085" t="n">
        <v>0</v>
      </c>
    </row>
    <row r="3086">
      <c r="A3086">
        <f>Skills!A17</f>
        <v/>
      </c>
      <c r="B3086">
        <f>Skills!B17</f>
        <v/>
      </c>
      <c r="C3086">
        <f>Inputs!$B$3&gt;=35</f>
        <v/>
      </c>
      <c r="D3086">
        <f>IF(Skills!C17=1,60+Inputs!$B$26+Inputs!$B$30,IF(Skills!C17=2,90+Inputs!$B$27+Inputs!$B$30,IF(Skills!C17=3,120+Inputs!$B$28+Inputs!$B$30,MAX(0,(Inputs!$B$3-100)*3)+Inputs!$B$29+Inputs!$B$30)))</f>
        <v/>
      </c>
      <c r="E3086">
        <f>INDEX(FactorTable!$B$2:$Y$301, MATCH(ROUND(MIN(300,MAX(1,D3086)),0), FactorTable!$A$2:$A$301,0), Skills!M17+1)</f>
        <v/>
      </c>
      <c r="F3086">
        <f>IF(Skills!N17=TRUE,(Skills!L17/10)*(E3086/1000),Skills!L17/10)+Skills!O17</f>
        <v/>
      </c>
      <c r="G3086">
        <f>Skills!G17*IF(Skills!H17&gt;0,INT(IF(Inputs!$B$39="pvp",MIN(Skills!I17,15),Skills!I17)/Skills!H17+0.000000001),1)</f>
        <v/>
      </c>
      <c r="H3086">
        <f>1-(1-Skills!J17/100)^Skills!K17</f>
        <v/>
      </c>
      <c r="I3086" t="inlineStr">
        <is>
          <t>1</t>
        </is>
      </c>
      <c r="J3086" t="inlineStr"/>
      <c r="K3086" t="inlineStr"/>
      <c r="L3086" t="inlineStr"/>
      <c r="M3086" t="inlineStr"/>
      <c r="N3086" t="inlineStr"/>
      <c r="O3086">
        <f>(1-Summary!$B$11)*T3086+Summary!$B$11*V3086</f>
        <v/>
      </c>
      <c r="P3086">
        <f>IF(B3108=0,0,O3086/B3108)</f>
        <v/>
      </c>
      <c r="Q3086">
        <f>IFERROR(1/IF(Inputs!$B$39="pvp",15,MAX(0.1,Skills!D17-IF(TRUE=TRUE,4.0,0))),0)</f>
        <v/>
      </c>
      <c r="R3086">
        <f>IF(AND(Inputs!$B$39&lt;&gt;"pvp",Inputs!$B$44&gt;0),IF(Inputs!$B$44&lt;=0,0,(INT(Inputs!$B$44/IF(Inputs!$B$39="pvp",15,MAX(0.1,Skills!D17-IF(TRUE=TRUE,4.0,0))))+1)),0)</f>
        <v/>
      </c>
      <c r="S3086">
        <f>IFERROR(O3086/N3086,0)</f>
        <v/>
      </c>
      <c r="T3086" t="n">
        <v>0</v>
      </c>
      <c r="V3086" t="n">
        <v>0</v>
      </c>
    </row>
    <row r="3087">
      <c r="A3087">
        <f>Skills!A18</f>
        <v/>
      </c>
      <c r="B3087">
        <f>Skills!B18</f>
        <v/>
      </c>
      <c r="C3087">
        <f>Inputs!$B$3&gt;=72</f>
        <v/>
      </c>
      <c r="D3087">
        <f>IF(Skills!C18=1,60+Inputs!$B$26+Inputs!$B$30,IF(Skills!C18=2,90+Inputs!$B$27+Inputs!$B$30,IF(Skills!C18=3,120+Inputs!$B$28+Inputs!$B$30,MAX(0,(Inputs!$B$3-100)*3)+Inputs!$B$29+Inputs!$B$30)))</f>
        <v/>
      </c>
      <c r="E3087">
        <f>INDEX(FactorTable!$B$2:$Y$301, MATCH(ROUND(MIN(300,MAX(1,D3087)),0), FactorTable!$A$2:$A$301,0), Skills!M18+1)</f>
        <v/>
      </c>
      <c r="F3087">
        <f>IF(Skills!N18=TRUE,(Skills!L18/10)*(E3087/1000),Skills!L18/10)+Skills!O18</f>
        <v/>
      </c>
      <c r="G3087">
        <f>Skills!G18*IF(Skills!H18&gt;0,INT(IF(Inputs!$B$39="pvp",MIN(Skills!I18,15),Skills!I18)/Skills!H18+0.000000001),1)</f>
        <v/>
      </c>
      <c r="H3087">
        <f>1-(1-Skills!J18/100)^Skills!K18</f>
        <v/>
      </c>
      <c r="I3087" t="inlineStr">
        <is>
          <t>1</t>
        </is>
      </c>
      <c r="J3087" t="inlineStr"/>
      <c r="K3087" t="inlineStr"/>
      <c r="L3087" t="inlineStr"/>
      <c r="M3087" t="inlineStr"/>
      <c r="N3087" t="inlineStr"/>
      <c r="O3087">
        <f>(1-Summary!$B$11)*T3087+Summary!$B$11*V3087</f>
        <v/>
      </c>
      <c r="P3087">
        <f>IF(B3108=0,0,O3087/B3108)</f>
        <v/>
      </c>
      <c r="Q3087">
        <f>IFERROR(1/IF(Inputs!$B$39="pvp",15,MAX(0.1,Skills!D18-IF(TRUE=TRUE,4.0,0))),0)</f>
        <v/>
      </c>
      <c r="R3087">
        <f>IF(AND(Inputs!$B$39&lt;&gt;"pvp",Inputs!$B$44&gt;0),IF(Inputs!$B$44&lt;=0,0,(INT(Inputs!$B$44/IF(Inputs!$B$39="pvp",15,MAX(0.1,Skills!D18-IF(TRUE=TRUE,4.0,0))))+1)),0)</f>
        <v/>
      </c>
      <c r="S3087">
        <f>IFERROR(O3087/N3087,0)</f>
        <v/>
      </c>
      <c r="T3087" t="n">
        <v>0</v>
      </c>
      <c r="V3087" t="n">
        <v>0</v>
      </c>
    </row>
    <row r="3088">
      <c r="A3088">
        <f>Skills!A19</f>
        <v/>
      </c>
      <c r="B3088">
        <f>Skills!B19</f>
        <v/>
      </c>
      <c r="C3088">
        <f>Inputs!$B$3&gt;=72</f>
        <v/>
      </c>
      <c r="D3088">
        <f>IF(Skills!C19=1,60+Inputs!$B$26+Inputs!$B$30,IF(Skills!C19=2,90+Inputs!$B$27+Inputs!$B$30,IF(Skills!C19=3,120+Inputs!$B$28+Inputs!$B$30,MAX(0,(Inputs!$B$3-100)*3)+Inputs!$B$29+Inputs!$B$30)))</f>
        <v/>
      </c>
      <c r="E3088">
        <f>INDEX(FactorTable!$B$2:$Y$301, MATCH(ROUND(MIN(300,MAX(1,D3088)),0), FactorTable!$A$2:$A$301,0), Skills!M19+1)</f>
        <v/>
      </c>
      <c r="F3088">
        <f>IF(Skills!N19=TRUE,(Skills!L19/10)*(E3088/1000),Skills!L19/10)+Skills!O19</f>
        <v/>
      </c>
      <c r="G3088">
        <f>Skills!G19*IF(Skills!H19&gt;0,INT(IF(Inputs!$B$39="pvp",MIN(Skills!I19,15),Skills!I19)/Skills!H19+0.000000001),1)</f>
        <v/>
      </c>
      <c r="H3088">
        <f>1-(1-Skills!J19/100)^Skills!K19</f>
        <v/>
      </c>
      <c r="I3088" t="inlineStr">
        <is>
          <t>1</t>
        </is>
      </c>
      <c r="J3088" t="inlineStr"/>
      <c r="K3088" t="inlineStr"/>
      <c r="L3088" t="inlineStr"/>
      <c r="M3088" t="inlineStr"/>
      <c r="N3088" t="inlineStr"/>
      <c r="O3088">
        <f>(1-Summary!$B$11)*T3088+Summary!$B$11*V3088</f>
        <v/>
      </c>
      <c r="P3088">
        <f>IF(B3108=0,0,O3088/B3108)</f>
        <v/>
      </c>
      <c r="Q3088">
        <f>IFERROR(1/IF(Inputs!$B$39="pvp",15,MAX(0.1,Skills!D19-IF(TRUE=TRUE,4.0,0))),0)</f>
        <v/>
      </c>
      <c r="R3088">
        <f>IF(AND(Inputs!$B$39&lt;&gt;"pvp",Inputs!$B$44&gt;0),IF(Inputs!$B$44&lt;=0,0,(INT(Inputs!$B$44/IF(Inputs!$B$39="pvp",15,MAX(0.1,Skills!D19-IF(TRUE=TRUE,4.0,0))))+1)),0)</f>
        <v/>
      </c>
      <c r="S3088">
        <f>IFERROR(O3088/N3088,0)</f>
        <v/>
      </c>
      <c r="T3088" t="n">
        <v>0</v>
      </c>
      <c r="V3088" t="n">
        <v>0</v>
      </c>
    </row>
    <row r="3089">
      <c r="A3089">
        <f>Skills!A20</f>
        <v/>
      </c>
      <c r="B3089">
        <f>Skills!B20</f>
        <v/>
      </c>
      <c r="C3089">
        <f>TRUE</f>
        <v/>
      </c>
      <c r="D3089">
        <f>IF(Skills!C20=1,60+Inputs!$B$26+Inputs!$B$30,IF(Skills!C20=2,90+Inputs!$B$27+Inputs!$B$30,IF(Skills!C20=3,120+Inputs!$B$28+Inputs!$B$30,MAX(0,(Inputs!$B$3-100)*3)+Inputs!$B$29+Inputs!$B$30)))</f>
        <v/>
      </c>
      <c r="E3089">
        <f>INDEX(FactorTable!$B$2:$Y$301, MATCH(ROUND(MIN(300,MAX(1,D3089)),0), FactorTable!$A$2:$A$301,0), Skills!M20+1)</f>
        <v/>
      </c>
      <c r="F3089">
        <f>IF(Skills!N20=TRUE,(Skills!L20/10)*(E3089/1000),Skills!L20/10)+Skills!O20</f>
        <v/>
      </c>
      <c r="G3089">
        <f>Skills!G20*IF(Skills!H20&gt;0,INT(IF(Inputs!$B$39="pvp",MIN(Skills!I20,15),Skills!I20)/Skills!H20+0.000000001),1)</f>
        <v/>
      </c>
      <c r="H3089">
        <f>1-(1-Skills!J20/100)^Skills!K20</f>
        <v/>
      </c>
      <c r="I3089" t="inlineStr">
        <is>
          <t>1</t>
        </is>
      </c>
      <c r="J3089" t="inlineStr"/>
      <c r="K3089" t="inlineStr"/>
      <c r="L3089" t="inlineStr"/>
      <c r="M3089" t="inlineStr"/>
      <c r="N3089" t="inlineStr"/>
      <c r="O3089">
        <f>(1-Summary!$B$11)*T3089+Summary!$B$11*V3089</f>
        <v/>
      </c>
      <c r="P3089">
        <f>IF(B3108=0,0,O3089/B3108)</f>
        <v/>
      </c>
      <c r="Q3089">
        <f>IFERROR(1/IF(Inputs!$B$39="pvp",15,MAX(0.1,Skills!D20-IF(TRUE=TRUE,4.0,0))),0)</f>
        <v/>
      </c>
      <c r="R3089">
        <f>IF(AND(Inputs!$B$39&lt;&gt;"pvp",Inputs!$B$44&gt;0),IF(Inputs!$B$44&lt;=0,0,(INT(Inputs!$B$44/IF(Inputs!$B$39="pvp",15,MAX(0.1,Skills!D20-IF(TRUE=TRUE,4.0,0))))+1)),0)</f>
        <v/>
      </c>
      <c r="S3089">
        <f>IFERROR(O3089/N3089,0)</f>
        <v/>
      </c>
      <c r="T3089" t="n">
        <v>0</v>
      </c>
      <c r="V3089" t="n">
        <v>0</v>
      </c>
    </row>
    <row r="3090">
      <c r="A3090">
        <f>Skills!A21</f>
        <v/>
      </c>
      <c r="B3090">
        <f>Skills!B21</f>
        <v/>
      </c>
      <c r="C3090">
        <f>Inputs!$B$3&gt;=33</f>
        <v/>
      </c>
      <c r="D3090">
        <f>IF(Skills!C21=1,60+Inputs!$B$26+Inputs!$B$30,IF(Skills!C21=2,90+Inputs!$B$27+Inputs!$B$30,IF(Skills!C21=3,120+Inputs!$B$28+Inputs!$B$30,MAX(0,(Inputs!$B$3-100)*3)+Inputs!$B$29+Inputs!$B$30)))</f>
        <v/>
      </c>
      <c r="E3090">
        <f>INDEX(FactorTable!$B$2:$Y$301, MATCH(ROUND(MIN(300,MAX(1,D3090)),0), FactorTable!$A$2:$A$301,0), Skills!M21+1)</f>
        <v/>
      </c>
      <c r="F3090">
        <f>IF(Skills!N21=TRUE,(Skills!L21/10)*(E3090/1000),Skills!L21/10)+Skills!O21</f>
        <v/>
      </c>
      <c r="G3090">
        <f>Skills!G21*IF(Skills!H21&gt;0,INT(IF(Inputs!$B$39="pvp",MIN(Skills!I21,15),Skills!I21)/Skills!H21+0.000000001),1)</f>
        <v/>
      </c>
      <c r="H3090">
        <f>1-(1-Skills!J21/100)^Skills!K21</f>
        <v/>
      </c>
      <c r="I3090" t="inlineStr">
        <is>
          <t>1</t>
        </is>
      </c>
      <c r="J3090" t="inlineStr"/>
      <c r="K3090" t="inlineStr"/>
      <c r="L3090" t="inlineStr"/>
      <c r="M3090" t="inlineStr"/>
      <c r="N3090" t="inlineStr"/>
      <c r="O3090">
        <f>(1-Summary!$B$11)*T3090+Summary!$B$11*V3090</f>
        <v/>
      </c>
      <c r="P3090">
        <f>IF(B3108=0,0,O3090/B3108)</f>
        <v/>
      </c>
      <c r="Q3090" t="n">
        <v>0</v>
      </c>
      <c r="R3090" t="n">
        <v>0</v>
      </c>
      <c r="S3090">
        <f>IFERROR(O3090/N3090,0)</f>
        <v/>
      </c>
      <c r="T3090" t="n">
        <v>0</v>
      </c>
      <c r="V3090" t="n">
        <v>0</v>
      </c>
    </row>
    <row r="3091">
      <c r="A3091">
        <f>Skills!A22</f>
        <v/>
      </c>
      <c r="B3091">
        <f>Skills!B22</f>
        <v/>
      </c>
      <c r="C3091">
        <f>Inputs!$B$3&gt;=43</f>
        <v/>
      </c>
      <c r="D3091">
        <f>IF(Skills!C22=1,60+Inputs!$B$26+Inputs!$B$30,IF(Skills!C22=2,90+Inputs!$B$27+Inputs!$B$30,IF(Skills!C22=3,120+Inputs!$B$28+Inputs!$B$30,MAX(0,(Inputs!$B$3-100)*3)+Inputs!$B$29+Inputs!$B$30)))</f>
        <v/>
      </c>
      <c r="E3091">
        <f>INDEX(FactorTable!$B$2:$Y$301, MATCH(ROUND(MIN(300,MAX(1,D3091)),0), FactorTable!$A$2:$A$301,0), Skills!M22+1)</f>
        <v/>
      </c>
      <c r="F3091">
        <f>IF(Skills!N22=TRUE,(Skills!L22/10)*(E3091/1000),Skills!L22/10)+Skills!O22</f>
        <v/>
      </c>
      <c r="G3091">
        <f>Skills!G22*IF(Skills!H22&gt;0,INT(IF(Inputs!$B$39="pvp",MIN(Skills!I22,15),Skills!I22)/Skills!H22+0.000000001),1)</f>
        <v/>
      </c>
      <c r="H3091">
        <f>1-(1-Skills!J22/100)^Skills!K22</f>
        <v/>
      </c>
      <c r="I3091" t="inlineStr">
        <is>
          <t>1</t>
        </is>
      </c>
      <c r="J3091" t="inlineStr"/>
      <c r="K3091" t="inlineStr"/>
      <c r="L3091" t="inlineStr"/>
      <c r="M3091" t="inlineStr"/>
      <c r="N3091" t="inlineStr"/>
      <c r="O3091">
        <f>(1-Summary!$B$11)*T3091+Summary!$B$11*V3091</f>
        <v/>
      </c>
      <c r="P3091">
        <f>IF(B3108=0,0,O3091/B3108)</f>
        <v/>
      </c>
      <c r="Q3091" t="n">
        <v>0</v>
      </c>
      <c r="R3091" t="n">
        <v>0</v>
      </c>
      <c r="S3091">
        <f>IFERROR(O3091/N3091,0)</f>
        <v/>
      </c>
      <c r="T3091" t="n">
        <v>0</v>
      </c>
      <c r="V3091" t="n">
        <v>0</v>
      </c>
    </row>
    <row r="3092">
      <c r="A3092">
        <f>Skills!A23</f>
        <v/>
      </c>
      <c r="B3092">
        <f>Skills!B23</f>
        <v/>
      </c>
      <c r="C3092">
        <f>Inputs!$B$3&gt;=120</f>
        <v/>
      </c>
      <c r="D3092">
        <f>IF(Skills!C23=1,60+Inputs!$B$26+Inputs!$B$30,IF(Skills!C23=2,90+Inputs!$B$27+Inputs!$B$30,IF(Skills!C23=3,120+Inputs!$B$28+Inputs!$B$30,MAX(0,(Inputs!$B$3-100)*3)+Inputs!$B$29+Inputs!$B$30)))</f>
        <v/>
      </c>
      <c r="E3092">
        <f>INDEX(FactorTable!$B$2:$Y$301, MATCH(ROUND(MIN(300,MAX(1,D3092)),0), FactorTable!$A$2:$A$301,0), Skills!M23+1)</f>
        <v/>
      </c>
      <c r="F3092">
        <f>IF(Skills!N23=TRUE,(Skills!L23/10)*(E3092/1000),Skills!L23/10)+Skills!O23</f>
        <v/>
      </c>
      <c r="G3092">
        <f>Skills!G23*IF(Skills!H23&gt;0,INT(IF(Inputs!$B$39="pvp",MIN(Skills!I23,15),Skills!I23)/Skills!H23+0.000000001),1)</f>
        <v/>
      </c>
      <c r="H3092">
        <f>1-(1-Skills!J23/100)^Skills!K23</f>
        <v/>
      </c>
      <c r="I3092" t="inlineStr">
        <is>
          <t>1</t>
        </is>
      </c>
      <c r="J3092" t="inlineStr"/>
      <c r="K3092" t="inlineStr"/>
      <c r="L3092" t="inlineStr"/>
      <c r="M3092" t="inlineStr"/>
      <c r="N3092" t="inlineStr"/>
      <c r="O3092">
        <f>(1-Summary!$B$11)*T3092+Summary!$B$11*V3092</f>
        <v/>
      </c>
      <c r="P3092">
        <f>IF(B3108=0,0,O3092/B3108)</f>
        <v/>
      </c>
      <c r="Q3092" t="n">
        <v>0</v>
      </c>
      <c r="R3092" t="n">
        <v>0</v>
      </c>
      <c r="S3092">
        <f>IFERROR(O3092/N3092,0)</f>
        <v/>
      </c>
      <c r="T3092" t="n">
        <v>0</v>
      </c>
      <c r="V3092" t="n">
        <v>0</v>
      </c>
    </row>
    <row r="3093">
      <c r="A3093">
        <f>Skills!A24</f>
        <v/>
      </c>
      <c r="B3093">
        <f>Skills!B24</f>
        <v/>
      </c>
      <c r="C3093">
        <f>Inputs!$B$3&gt;=120</f>
        <v/>
      </c>
      <c r="D3093">
        <f>IF(Skills!C24=1,60+Inputs!$B$26+Inputs!$B$30,IF(Skills!C24=2,90+Inputs!$B$27+Inputs!$B$30,IF(Skills!C24=3,120+Inputs!$B$28+Inputs!$B$30,MAX(0,(Inputs!$B$3-100)*3)+Inputs!$B$29+Inputs!$B$30)))</f>
        <v/>
      </c>
      <c r="E3093">
        <f>INDEX(FactorTable!$B$2:$Y$301, MATCH(ROUND(MIN(300,MAX(1,D3093)),0), FactorTable!$A$2:$A$301,0), Skills!M24+1)</f>
        <v/>
      </c>
      <c r="F3093">
        <f>IF(Skills!N24=TRUE,(Skills!L24/10)*(E3093/1000),Skills!L24/10)+Skills!O24</f>
        <v/>
      </c>
      <c r="G3093">
        <f>Skills!G24*IF(Skills!H24&gt;0,INT(IF(Inputs!$B$39="pvp",MIN(Skills!I24,15),Skills!I24)/Skills!H24+0.000000001),1)</f>
        <v/>
      </c>
      <c r="H3093">
        <f>1-(1-Skills!J24/100)^Skills!K24</f>
        <v/>
      </c>
      <c r="I3093" t="inlineStr">
        <is>
          <t>1</t>
        </is>
      </c>
      <c r="J3093" t="inlineStr"/>
      <c r="K3093" t="inlineStr"/>
      <c r="L3093" t="inlineStr"/>
      <c r="M3093" t="inlineStr"/>
      <c r="N3093" t="inlineStr"/>
      <c r="O3093">
        <f>(1-Summary!$B$11)*T3093+Summary!$B$11*V3093</f>
        <v/>
      </c>
      <c r="P3093">
        <f>IF(B3108=0,0,O3093/B3108)</f>
        <v/>
      </c>
      <c r="Q3093" t="n">
        <v>0</v>
      </c>
      <c r="R3093" t="n">
        <v>0</v>
      </c>
      <c r="S3093">
        <f>IFERROR(O3093/N3093,0)</f>
        <v/>
      </c>
      <c r="T3093" t="n">
        <v>0</v>
      </c>
      <c r="V3093" t="n">
        <v>0</v>
      </c>
    </row>
    <row r="3094">
      <c r="A3094">
        <f>Skills!A25</f>
        <v/>
      </c>
      <c r="B3094">
        <f>Skills!B25</f>
        <v/>
      </c>
      <c r="C3094">
        <f>Inputs!$B$3&gt;=125</f>
        <v/>
      </c>
      <c r="D3094">
        <f>IF(Skills!C25=1,60+Inputs!$B$26+Inputs!$B$30,IF(Skills!C25=2,90+Inputs!$B$27+Inputs!$B$30,IF(Skills!C25=3,120+Inputs!$B$28+Inputs!$B$30,MAX(0,(Inputs!$B$3-100)*3)+Inputs!$B$29+Inputs!$B$30)))</f>
        <v/>
      </c>
      <c r="E3094">
        <f>INDEX(FactorTable!$B$2:$Y$301, MATCH(ROUND(MIN(300,MAX(1,D3094)),0), FactorTable!$A$2:$A$301,0), Skills!M25+1)</f>
        <v/>
      </c>
      <c r="F3094">
        <f>IF(Skills!N25=TRUE,(Skills!L25/10)*(E3094/1000),Skills!L25/10)+Skills!O25</f>
        <v/>
      </c>
      <c r="G3094">
        <f>Skills!G25*IF(Skills!H25&gt;0,INT(IF(Inputs!$B$39="pvp",MIN(Skills!I25,15),Skills!I25)/Skills!H25+0.000000001),1)</f>
        <v/>
      </c>
      <c r="H3094">
        <f>1-(1-Skills!J25/100)^Skills!K25</f>
        <v/>
      </c>
      <c r="I3094" t="inlineStr">
        <is>
          <t>1</t>
        </is>
      </c>
      <c r="J3094" t="inlineStr"/>
      <c r="K3094" t="inlineStr"/>
      <c r="L3094" t="inlineStr"/>
      <c r="M3094" t="inlineStr"/>
      <c r="N3094" t="inlineStr"/>
      <c r="O3094">
        <f>(1-Summary!$B$11)*T3094+Summary!$B$11*V3094</f>
        <v/>
      </c>
      <c r="P3094">
        <f>IF(B3108=0,0,O3094/B3108)</f>
        <v/>
      </c>
      <c r="Q3094" t="n">
        <v>0</v>
      </c>
      <c r="R3094" t="n">
        <v>0</v>
      </c>
      <c r="S3094">
        <f>IFERROR(O3094/N3094,0)</f>
        <v/>
      </c>
      <c r="T3094" t="n">
        <v>0</v>
      </c>
      <c r="V3094" t="n">
        <v>0</v>
      </c>
    </row>
    <row r="3095">
      <c r="A3095">
        <f>Skills!A26</f>
        <v/>
      </c>
      <c r="B3095">
        <f>Skills!B26</f>
        <v/>
      </c>
      <c r="C3095">
        <f>Inputs!$B$3&gt;=107</f>
        <v/>
      </c>
      <c r="D3095">
        <f>IF(Skills!C26=1,60+Inputs!$B$26+Inputs!$B$30,IF(Skills!C26=2,90+Inputs!$B$27+Inputs!$B$30,IF(Skills!C26=3,120+Inputs!$B$28+Inputs!$B$30,MAX(0,(Inputs!$B$3-100)*3)+Inputs!$B$29+Inputs!$B$30)))</f>
        <v/>
      </c>
      <c r="E3095">
        <f>INDEX(FactorTable!$B$2:$Y$301, MATCH(ROUND(MIN(300,MAX(1,D3095)),0), FactorTable!$A$2:$A$301,0), Skills!M26+1)</f>
        <v/>
      </c>
      <c r="F3095">
        <f>IF(Skills!N26=TRUE,(Skills!L26/10)*(E3095/1000),Skills!L26/10)+Skills!O26</f>
        <v/>
      </c>
      <c r="G3095">
        <f>Skills!G26*IF(Skills!H26&gt;0,INT(IF(Inputs!$B$39="pvp",MIN(Skills!I26,15),Skills!I26)/Skills!H26+0.000000001),1)</f>
        <v/>
      </c>
      <c r="H3095">
        <f>1-(1-Skills!J26/100)^Skills!K26</f>
        <v/>
      </c>
      <c r="I3095" t="inlineStr">
        <is>
          <t>1</t>
        </is>
      </c>
      <c r="J3095" t="inlineStr"/>
      <c r="K3095" t="inlineStr"/>
      <c r="L3095" t="inlineStr"/>
      <c r="M3095" t="inlineStr"/>
      <c r="N3095" t="inlineStr"/>
      <c r="O3095">
        <f>(1-Summary!$B$11)*T3095+Summary!$B$11*V3095</f>
        <v/>
      </c>
      <c r="P3095">
        <f>IF(B3108=0,0,O3095/B3108)</f>
        <v/>
      </c>
      <c r="Q3095" t="n">
        <v>0</v>
      </c>
      <c r="R3095" t="n">
        <v>0</v>
      </c>
      <c r="S3095">
        <f>IFERROR(O3095/N3095,0)</f>
        <v/>
      </c>
      <c r="T3095" t="n">
        <v>0</v>
      </c>
      <c r="V3095" t="n">
        <v>0</v>
      </c>
    </row>
    <row r="3097">
      <c r="A3097" t="inlineStr">
        <is>
          <t>Attack% Bucket Multiplier</t>
        </is>
      </c>
      <c r="B3097">
        <f>(1+(((C3082=TRUE)*F3082*IF(AND(Inputs!$B$39&lt;&gt;"pvp",Inputs!$B$44&gt;0),(((R3082-1)*MIN((Skills!T13*(1+Inputs!$B$35/100)),(1/Q3082))+MIN((Skills!T13*(1+Inputs!$B$35/100)),MAX(0,Inputs!$B$44-((R3082-1)*(1/Q3082)))))/Inputs!$B$44),IF(Inputs!$B$39="pvp",MIN((Skills!T13*(1+Inputs!$B$35/100)),15)/15,MIN(1,(Skills!T13*(1+Inputs!$B$35/100))/(1/Q3082)))))+((C3083=TRUE)*F3083*IF(AND(Inputs!$B$39&lt;&gt;"pvp",Inputs!$B$44&gt;0),(((R3083-1)*MIN((Skills!T14*(1+Inputs!$B$35/100)),(1/Q3083))+MIN((Skills!T14*(1+Inputs!$B$35/100)),MAX(0,Inputs!$B$44-((R3083-1)*(1/Q3083)))))/Inputs!$B$44),IF(Inputs!$B$39="pvp",MIN((Skills!T14*(1+Inputs!$B$35/100)),15)/15,MIN(1,(Skills!T14*(1+Inputs!$B$35/100))/(1/Q3083)))))+((C3084=TRUE)*F3084*IF(AND(Inputs!$B$39&lt;&gt;"pvp",Inputs!$B$44&gt;0),(((R3084-1)*MIN((Skills!T15*(1+Inputs!$B$35/100)),(1/Q3084))+MIN((Skills!T15*(1+Inputs!$B$35/100)),MAX(0,Inputs!$B$44-((R3084-1)*(1/Q3084)))))/Inputs!$B$44),IF(Inputs!$B$39="pvp",MIN((Skills!T15*(1+Inputs!$B$35/100)),15)/15,MIN(1,(Skills!T15*(1+Inputs!$B$35/100))/(1/Q3084)))))+((C3085=TRUE)*F3085*IF(AND(Inputs!$B$39&lt;&gt;"pvp",Inputs!$B$44&gt;0),(((R3085-1)*MIN((Skills!T16*(1+Inputs!$B$35/100)),(1/Q3085))+MIN((Skills!T16*(1+Inputs!$B$35/100)),MAX(0,Inputs!$B$44-((R3085-1)*(1/Q3085)))))/Inputs!$B$44),IF(Inputs!$B$39="pvp",MIN((Skills!T16*(1+Inputs!$B$35/100)),15)/15,MIN(1,(Skills!T16*(1+Inputs!$B$35/100))/(1/Q3085)))))+0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3098">
      <c r="A3098" t="inlineStr">
        <is>
          <t>Global Crit Rate Bonus % (Lord of Darkness)</t>
        </is>
      </c>
      <c r="B3098">
        <f>((C3087=TRUE)*F3087*(Skills!J18/100)*IF(AND(Inputs!$B$39&lt;&gt;"pvp",Inputs!$B$44&gt;0),(((R3087-1)*MIN((Skills!T18*(1+Inputs!$B$35/100)),(1/Q3087))+MIN((Skills!T18*(1+Inputs!$B$35/100)),MAX(0,Inputs!$B$44-((R3087-1)*(1/Q3087)))))/Inputs!$B$44),IF(Inputs!$B$39="pvp",MIN((Skills!T18*(1+Inputs!$B$35/100)),15)/15,MIN(1,(Skills!T18*(1+Inputs!$B$35/100))/(1/Q3087)))))</f>
        <v/>
      </c>
    </row>
    <row r="3099">
      <c r="A3099" t="inlineStr">
        <is>
          <t>Attack Speed Buff Bonus %</t>
        </is>
      </c>
      <c r="B3099">
        <f>((C3089=TRUE)*F3089*IF(AND(Inputs!$B$39&lt;&gt;"pvp",Inputs!$B$44&gt;0),(((R3089-1)*MIN((Skills!T20*(1+Inputs!$B$35/100)),(1/Q3089))+MIN((Skills!T20*(1+Inputs!$B$35/100)),MAX(0,Inputs!$B$44-((R3089-1)*(1/Q3089)))))/Inputs!$B$44),IF(Inputs!$B$39="pvp",MIN((Skills!T20*(1+Inputs!$B$35/100)),15)/15,MIN(1,(Skills!T20*(1+Inputs!$B$35/100))/(1/Q3089)))))</f>
        <v/>
      </c>
    </row>
    <row r="3100">
      <c r="A3100" t="inlineStr">
        <is>
          <t>Actions Per Second</t>
        </is>
      </c>
      <c r="B3100">
        <f>1+MIN(150,150*(1-(1-(Inputs!$B$12+((C3090=TRUE)*(F3090-Calc!F21)))/150)*(1-B3099/150)))/100</f>
        <v/>
      </c>
    </row>
    <row r="3101">
      <c r="A3101" t="inlineStr">
        <is>
          <t>Skill + Buff Cast Rate</t>
        </is>
      </c>
      <c r="B3101">
        <f>IF(AND(Inputs!$B$39&lt;&gt;"pvp",Inputs!$B$44&gt;0),SUMPRODUCT((Skills!E2:E26=TRUE)*(C3071:C3095=TRUE)*R3071:R3095*Skills!F2:F26)/Inputs!$B$44,SUMPRODUCT((Skills!E2:E26=TRUE)*(C3071:C3095=TRUE)*Q3071:Q3095*Skills!F2:F26))</f>
        <v/>
      </c>
    </row>
    <row r="3102">
      <c r="A3102" t="inlineStr">
        <is>
          <t>Dark Impale Casts Per Second</t>
        </is>
      </c>
      <c r="B3102">
        <f>MAX(0,B3100-B3101)</f>
        <v/>
      </c>
    </row>
    <row r="3103">
      <c r="A3103" t="inlineStr">
        <is>
          <t>Global Critical Damage Bonus % (Lord of Darkness)</t>
        </is>
      </c>
      <c r="B3103">
        <f>((C3088=TRUE)*F3088*(Skills!J19/100)*IF(AND(Inputs!$B$39&lt;&gt;"pvp",Inputs!$B$44&gt;0),(((R3088-1)*MIN((Skills!T19*(1+Inputs!$B$35/100)),(1/Q3088))+MIN((Skills!T19*(1+Inputs!$B$35/100)),MAX(0,Inputs!$B$44-((R3088-1)*(1/Q3088)))))/Inputs!$B$44),IF(Inputs!$B$39="pvp",MIN((Skills!T19*(1+Inputs!$B$35/100)),15)/15,MIN(1,(Skills!T19*(1+Inputs!$B$35/100))/(1/Q3088)))))</f>
        <v/>
      </c>
    </row>
    <row r="3104">
      <c r="A3104" t="inlineStr">
        <is>
          <t>Global Final Damage Bonus % (unused)</t>
        </is>
      </c>
      <c r="B3104" t="n">
        <v>0</v>
      </c>
    </row>
    <row r="3105">
      <c r="A3105" t="inlineStr">
        <is>
          <t>Buff-Casting Startup Delay (s, fixed-duration only)</t>
        </is>
      </c>
      <c r="B3105">
        <f>IF(AND(Inputs!$B$39&lt;&gt;"pvp",Inputs!$B$44&gt;0),SUMPRODUCT((Skills!T2:T26&gt;0)*(Skills!E2:E26=TRUE)*(C3071:C3095=TRUE))/B3100,0)</f>
        <v/>
      </c>
    </row>
    <row r="3106">
      <c r="A3106" t="inlineStr">
        <is>
          <t>Boss-Only Total DPS (this block's swept value)</t>
        </is>
      </c>
      <c r="B3106">
        <f>SUM(T3071:T3095)</f>
        <v/>
      </c>
    </row>
    <row r="3107">
      <c r="A3107" t="inlineStr">
        <is>
          <t>Normal-Only Total DPS (this block's swept value)</t>
        </is>
      </c>
      <c r="B3107">
        <f>SUM(V3071:V3095)</f>
        <v/>
      </c>
    </row>
    <row r="3108">
      <c r="A3108" s="6" t="inlineStr">
        <is>
          <t>TOTAL DPS</t>
        </is>
      </c>
      <c r="B3108" s="6">
        <f>SUM(O3071:O3095)</f>
        <v/>
      </c>
    </row>
    <row r="3111">
      <c r="A3111" s="6" t="inlineStr">
        <is>
          <t>Stat: CDR = 4.5s</t>
        </is>
      </c>
    </row>
    <row r="3112">
      <c r="A3112" s="5" t="inlineStr">
        <is>
          <t>Key</t>
        </is>
      </c>
      <c r="B3112" s="5" t="inlineStr">
        <is>
          <t>Name</t>
        </is>
      </c>
      <c r="C3112" s="5" t="inlineStr">
        <is>
          <t>Unlocked</t>
        </is>
      </c>
      <c r="D3112" s="5" t="inlineStr">
        <is>
          <t>InputLevel</t>
        </is>
      </c>
      <c r="E3112" s="5" t="inlineStr">
        <is>
          <t>Factor</t>
        </is>
      </c>
      <c r="F3112" s="5" t="inlineStr">
        <is>
          <t>CoefficientPercent</t>
        </is>
      </c>
      <c r="G3112" s="5" t="inlineStr">
        <is>
          <t>EffectiveHits</t>
        </is>
      </c>
      <c r="H3112" s="5" t="inlineStr">
        <is>
          <t>ProcProbability</t>
        </is>
      </c>
      <c r="I3112" s="5" t="inlineStr">
        <is>
          <t>MapleHeroMultiplier</t>
        </is>
      </c>
      <c r="J3112" s="5" t="inlineStr">
        <is>
          <t>BaseDamage</t>
        </is>
      </c>
      <c r="K3112" s="5" t="inlineStr">
        <is>
          <t>BaseHitDamage</t>
        </is>
      </c>
      <c r="L3112" s="5" t="inlineStr">
        <is>
          <t>NonCritAvg</t>
        </is>
      </c>
      <c r="M3112" s="5" t="inlineStr">
        <is>
          <t>CritAvg</t>
        </is>
      </c>
      <c r="N3112" s="5" t="inlineStr">
        <is>
          <t>ExpectedDamage(perHit)</t>
        </is>
      </c>
      <c r="O3112" s="5" t="inlineStr">
        <is>
          <t>DPS</t>
        </is>
      </c>
      <c r="P3112" s="5" t="inlineStr">
        <is>
          <t>% of Total</t>
        </is>
      </c>
      <c r="Q3112" s="5" t="inlineStr">
        <is>
          <t>InvCooldown</t>
        </is>
      </c>
      <c r="R3112" s="5" t="inlineStr">
        <is>
          <t>CastsInFight</t>
        </is>
      </c>
      <c r="S3112" s="5" t="inlineStr">
        <is>
          <t>HitRate(perSec)</t>
        </is>
      </c>
      <c r="U3112" t="inlineStr">
        <is>
          <t>helpers</t>
        </is>
      </c>
    </row>
    <row r="3113">
      <c r="A3113">
        <f>Skills!A2</f>
        <v/>
      </c>
      <c r="B3113">
        <f>Skills!B2</f>
        <v/>
      </c>
      <c r="C3113">
        <f>Inputs!$B$3&gt;=100</f>
        <v/>
      </c>
      <c r="D3113" t="inlineStr"/>
      <c r="E3113" t="inlineStr"/>
      <c r="F3113">
        <f>U3115+Skills!O2</f>
        <v/>
      </c>
      <c r="G3113">
        <f>Skills!G2*IF(Skills!H2&gt;0,INT(IF(Inputs!$B$39="pvp",MIN(Skills!I2,15),Skills!I2)/Skills!H2+0.000000001),1)</f>
        <v/>
      </c>
      <c r="H3113">
        <f>1-(1-Skills!J2/100)^Skills!K2</f>
        <v/>
      </c>
      <c r="I3113" t="inlineStr">
        <is>
          <t>1</t>
        </is>
      </c>
      <c r="J3113">
        <f>((Inputs!$B$6*(1+Inputs!$B$7/100))+(((Inputs!$B$13*(1+Inputs!$B$14/100))-(Inputs!$B$13*(1+Inputs!$B$14/100)))+0.25*(Inputs!$B$15-Inputs!$B$15))*(1+Inputs!$B$7/100))*(F3113/100)</f>
        <v/>
      </c>
      <c r="K3113">
        <f>J3113*(1+(((Inputs!$B$13+IF(Inputs!$B$3&gt;=38,(10*INDEX(FactorTable!$B$2:$Y$301, MATCH(ROUND(MIN(300,MAX(1,Inputs!$B$3)),0), FactorTable!$A$2:$A$301,0), 23)/1000)/100*(Inputs!$B$8*(1+Inputs!$B$9/100)),0))*(1+Inputs!$B$14/100))*0.01+Inputs!$B$15*0.0025)/100)*(1+Inputs!$B$16/100)*(1+Inputs!$B$17/100)*(5000/(6000+Inputs!$B$43*(1-(Inputs!$B$20+0)/100)))*(1+(Inputs!$B$25+((C3136=TRUE)*(F3136-Calc!F25))+((C3137=TRUE)*(F3137-Calc!F26))+B3146)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gt;=100),MIN(100,((Inputs!$B$10+0+B3140+(ArtifactsInput!$M$24-ArtifactsInput!$M$24)*CHOOSE(ArtifactsInput!$N$24+1,10,12,14,16,18,20)+IF(ArtifactsInput!$M$10,CHOOSE(ArtifactsInput!$N$10+1,15,18,21,24,27,30)*(IF(Inputs!$B$39="pvp",MIN(15,15)/15,IF(AND(Inputs!$B$39&lt;&gt;"pvp",Inputs!$B$44&gt;0),MIN(15,Inputs!$B$44)/(Inputs!$B$44),0))),0)))-100),0))*CHOOSE(ArtifactsInput!$N$42+1,0.6,0.72,0.84,0.96,1.08,1.2))),Inputs!$B$19+((C3134=TRUE)*(F3134-Calc!F23))+(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gt;=100),CHOOSE(ArtifactsInput!$N$42+1,40,48,56,64,72,80),0))))/100)*((1+(((C3124=TRUE)*F3124*IF(AND(Inputs!$B$39&lt;&gt;"pvp",Inputs!$B$44&gt;0),(((R3124-1)*MIN((Skills!T13*(1+Inputs!$B$35/100)),(1/Q3124))+MIN((Skills!T13*(1+Inputs!$B$35/100)),MAX(0,Inputs!$B$44-((R3124-1)*(1/Q3124)))))/Inputs!$B$44),IF(Inputs!$B$39="pvp",MIN((Skills!T13*(1+Inputs!$B$35/100)),15)/15,MIN(1,(Skills!T13*(1+Inputs!$B$35/100))/(1/Q3124)))))+((C3125=TRUE)*F3125*IF(AND(Inputs!$B$39&lt;&gt;"pvp",Inputs!$B$44&gt;0),(((R3125-1)*MIN((Skills!T14*(1+Inputs!$B$35/100)),(1/Q3125))+MIN((Skills!T14*(1+Inputs!$B$35/100)),MAX(0,Inputs!$B$44-((R3125-1)*(1/Q3125)))))/Inputs!$B$44),IF(Inputs!$B$39="pvp",MIN((Skills!T14*(1+Inputs!$B$35/100)),15)/15,MIN(1,(Skills!T14*(1+Inputs!$B$35/100))/(1/Q3125)))))+((C3126=TRUE)*F3126*IF(AND(Inputs!$B$39&lt;&gt;"pvp",Inputs!$B$44&gt;0),(((R3126-1)*MIN((Skills!T15*(1+Inputs!$B$35/100)),(1/Q3126))+MIN((Skills!T15*(1+Inputs!$B$35/100)),MAX(0,Inputs!$B$44-((R3126-1)*(1/Q3126)))))/Inputs!$B$44),IF(Inputs!$B$39="pvp",MIN((Skills!T15*(1+Inputs!$B$35/100)),15)/15,MIN(1,(Skills!T15*(1+Inputs!$B$35/100))/(1/Q3126)))))+((C3127=TRUE)*F3127*IF(AND(Inputs!$B$39&lt;&gt;"pvp",Inputs!$B$44&gt;0),(((R3127-1)*MIN((Skills!T16*(1+Inputs!$B$35/100)),(1/Q3127))+MIN((Skills!T16*(1+Inputs!$B$35/100)),MAX(0,Inputs!$B$44-((R3127-1)*(1/Q3127)))))/Inputs!$B$44),IF(Inputs!$B$39="pvp",MIN((Skills!T16*(1+Inputs!$B$35/100)),15)/15,MIN(1,(Skills!T16*(1+Inputs!$B$35/100))/(1/Q3127)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3113)</f>
        <v/>
      </c>
      <c r="L3113">
        <f>K3113*(MIN(Inputs!$B$23+((C3133=TRUE)*(F3133-Calc!F22)),(Inputs!$B$24+((C3135=TRUE)*(F3135-Calc!F24))+(IF(ArtifactsInput!$M$15,CHOOSE(ArtifactsInput!$N$15+1,25,30,35,40,45,50)/100*(Inputs!$B$12-Inputs!$B$12),0))))/100+(Inputs!$B$24+((C3135=TRUE)*(F3135-Calc!F24))+(IF(ArtifactsInput!$M$15,CHOOSE(ArtifactsInput!$N$15+1,25,30,35,40,45,50)/100*(Inputs!$B$12-Inputs!$B$12),0)))/100)/2</f>
        <v/>
      </c>
      <c r="M3113">
        <f>L3113*(1+(Inputs!$B$11+0+B3145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113">
        <f>L3113*(1-MIN((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3113*(MIN((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13">
        <f>(1-Summary!$B$11)*T3113+Summary!$B$11*V3113</f>
        <v/>
      </c>
      <c r="P3113">
        <f>IF(B3150=0,0,O3113/B3150)</f>
        <v/>
      </c>
      <c r="Q3113" t="n">
        <v>0</v>
      </c>
      <c r="R3113" t="n">
        <v>0</v>
      </c>
      <c r="S3113">
        <f>IFERROR(O3113/N3113,0)</f>
        <v/>
      </c>
      <c r="T3113">
        <f>IF(C3113,(Skills!G2*N3113*B3144)*IF(Inputs!$B$39="pvp",1,1+(Inputs!$B$21+0+Skills!P2+((C3128=TRUE)*F3128*IF(AND(Inputs!$B$39&lt;&gt;"pvp",Inputs!$B$44&gt;0),(((R3128-1)*MIN((Skills!T17*(1+Inputs!$B$35/100)),(1/Q3128))+MIN((Skills!T17*(1+Inputs!$B$35/100)),MAX(0,Inputs!$B$44-((R3128-1)*(1/Q3128)))))/Inputs!$B$44),IF(Inputs!$B$39="pvp",MIN((Skills!T17*(1+Inputs!$B$35/100)),15)/15,MIN(1,(Skills!T17*(1+Inputs!$B$35/100))/(1/Q3128)))))+((C3116=TRUE)*IF(Inputs!$B$3&gt;=126,10*MIN(1,15*Q3116),0))+((C3125=TRUE)*IF(Inputs!$B$39="pvp",20,(1-Summary!$B$11)*(20)+Summary!$B$11*(0))*IF(AND(Inputs!$B$39&lt;&gt;"pvp",Inputs!$B$44&gt;0),(((R3125-1)*MIN((Skills!T14*(1+Inputs!$B$35/100)),(1/Q3125))+MIN((Skills!T14*(1+Inputs!$B$35/100)),MAX(0,Inputs!$B$44-((R3125-1)*(1/Q3125)))))/Inputs!$B$44),IF(Inputs!$B$39="pvp",MIN((Skills!T14*(1+Inputs!$B$35/100)),15)/15,MIN(1,(Skills!T14*(1+Inputs!$B$35/100))/(1/Q3125)))))+((C3124=TRUE)*IF(Inputs!$B$3&gt;=82,IF(Inputs!$B$39="pvp",20,(1-Summary!$B$11)*(20)+Summary!$B$11*(0)),0)*IF(AND(Inputs!$B$39&lt;&gt;"pvp",Inputs!$B$44&gt;0),(((R3124-1)*MIN((Skills!T13*(1+Inputs!$B$35/100)),(1/Q3124))+MIN((Skills!T13*(1+Inputs!$B$35/100)),MAX(0,Inputs!$B$44-((R3124-1)*(1/Q3124)))))/Inputs!$B$44),IF(Inputs!$B$39="pvp",MIN((Skills!T13*(1+Inputs!$B$35/100)),15)/15,MIN(1,(Skills!T13*(1+Inputs!$B$35/100))/(1/Q3124)))))+(IF(AND(ArtifactsInput!$M$35,Inputs!$B$4&lt;&gt;"Chapter Hunt"),CHOOSE(ArtifactsInput!$N$35+1,15,18,21,24,27,30)*(1-EXP(-(0.2*B3142)*5)),0)+IF(AND(ArtifactsInput!$M$22,Inputs!$B$4&lt;&gt;"Chapter Hunt"),CHOOSE(ArtifactsInput!$N$22+1,10,12,14,16,18,20)*((0*(((0.15*B3142*5))^0/1)+1*(((0.15*B3142*5))^1/1)+2*(((0.15*B3142*5))^2/2)+3*(((0.15*B3142*5))^3/6)+4*(((0.15*B3142*5))^4/24)+5*(((0.15*B3142*5))^5/120))/((((0.15*B3142*5))^0/1)+(((0.15*B3142*5))^1/1)+(((0.15*B3142*5))^2/2)+(((0.15*B3142*5))^3/6)+(((0.15*B3142*5))^4/24)+(((0.15*B3142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3113*(1-MIN(100,(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3113*(MIN(100,(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3113*(1-MIN(100,(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3113*(MIN(100,(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113">
        <f>MAX(0,(Inputs!$B$3-100)*3)+Inputs!$B$29+Inputs!$B$30</f>
        <v/>
      </c>
      <c r="V3113">
        <f>IF(C3113,(Skills!G2*N3113*B3144)*IF(Inputs!$B$39="pvp",1,(1+(Inputs!$B$22+Skills!Q2+((C3128=TRUE)*F3128*IF(AND(Inputs!$B$39&lt;&gt;"pvp",Inputs!$B$44&gt;0),(((R3128-1)*MIN((Skills!T17*(1+Inputs!$B$35/100)),(1/Q3128))+MIN((Skills!T17*(1+Inputs!$B$35/100)),MAX(0,Inputs!$B$44-((R3128-1)*(1/Q3128)))))/Inputs!$B$44),IF(Inputs!$B$39="pvp",MIN((Skills!T17*(1+Inputs!$B$35/100)),15)/15,MIN(1,(Skills!T17*(1+Inputs!$B$35/100))/(1/Q3128)))))+((C3116=TRUE)*IF(Inputs!$B$3&gt;=126,10*MIN(1,15*Q3116),0))+((C3125=TRUE)*IF(Inputs!$B$39="pvp",20,(1-Summary!$B$11)*(20)+Summary!$B$11*(0))*IF(AND(Inputs!$B$39&lt;&gt;"pvp",Inputs!$B$44&gt;0),(((R3125-1)*MIN((Skills!T14*(1+Inputs!$B$35/100)),(1/Q3125))+MIN((Skills!T14*(1+Inputs!$B$35/100)),MAX(0,Inputs!$B$44-((R3125-1)*(1/Q3125)))))/Inputs!$B$44),IF(Inputs!$B$39="pvp",MIN((Skills!T14*(1+Inputs!$B$35/100)),15)/15,MIN(1,(Skills!T14*(1+Inputs!$B$35/100))/(1/Q3125)))))+((C3124=TRUE)*IF(Inputs!$B$3&gt;=82,IF(Inputs!$B$39="pvp",20,(1-Summary!$B$11)*(20)+Summary!$B$11*(0)),0)*IF(AND(Inputs!$B$39&lt;&gt;"pvp",Inputs!$B$44&gt;0),(((R3124-1)*MIN((Skills!T13*(1+Inputs!$B$35/100)),(1/Q3124))+MIN((Skills!T13*(1+Inputs!$B$35/100)),MAX(0,Inputs!$B$44-((R3124-1)*(1/Q3124)))))/Inputs!$B$44),IF(Inputs!$B$39="pvp",MIN((Skills!T13*(1+Inputs!$B$35/100)),15)/15,MIN(1,(Skills!T13*(1+Inputs!$B$35/100))/(1/Q3124)))))+(IF(AND(ArtifactsInput!$M$35,Inputs!$B$4&lt;&gt;"Chapter Hunt"),CHOOSE(ArtifactsInput!$N$35+1,15,18,21,24,27,30)*(1-EXP(-(0.2*B3142)*5)),0)+IF(AND(ArtifactsInput!$M$22,Inputs!$B$4&lt;&gt;"Chapter Hunt"),CHOOSE(ArtifactsInput!$N$22+1,10,12,14,16,18,20)*((0*(((0.15*B3142*5))^0/1)+1*(((0.15*B3142*5))^1/1)+2*(((0.15*B3142*5))^2/2)+3*(((0.15*B3142*5))^3/6)+4*(((0.15*B3142*5))^4/24)+5*(((0.15*B3142*5))^5/120))/((((0.15*B3142*5))^0/1)+(((0.15*B3142*5))^1/1)+(((0.15*B3142*5))^2/2)+(((0.15*B3142*5))^3/6)+(((0.15*B3142*5))^4/24)+(((0.15*B3142*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14">
      <c r="A3114">
        <f>Skills!A3</f>
        <v/>
      </c>
      <c r="B3114">
        <f>Skills!B3</f>
        <v/>
      </c>
      <c r="C3114">
        <f>Inputs!$B$3&gt;=50</f>
        <v/>
      </c>
      <c r="D3114">
        <f>IF(Skills!C3=1,60+Inputs!$B$26+Inputs!$B$30,IF(Skills!C3=2,90+Inputs!$B$27+Inputs!$B$30,IF(Skills!C3=3,120+Inputs!$B$28+Inputs!$B$30,MAX(0,(Inputs!$B$3-100)*3)+Inputs!$B$29+Inputs!$B$30)))</f>
        <v/>
      </c>
      <c r="E3114">
        <f>INDEX(FactorTable!$B$2:$Y$301, MATCH(ROUND(MIN(300,MAX(1,D3114)),0), FactorTable!$A$2:$A$301,0), Skills!M3+1)</f>
        <v/>
      </c>
      <c r="F3114">
        <f>IF(Skills!N3=TRUE,(Skills!L3/10)*(E3114/1000),Skills!L3/10)+Skills!O3</f>
        <v/>
      </c>
      <c r="G3114" t="inlineStr"/>
      <c r="H3114" t="inlineStr"/>
      <c r="I3114" t="inlineStr">
        <is>
          <t>1</t>
        </is>
      </c>
      <c r="J3114" t="inlineStr"/>
      <c r="K3114" t="inlineStr"/>
      <c r="L3114" t="inlineStr"/>
      <c r="M3114" t="inlineStr"/>
      <c r="N3114" t="inlineStr"/>
      <c r="O3114" t="inlineStr"/>
      <c r="P3114" t="inlineStr"/>
      <c r="Q3114" t="inlineStr"/>
      <c r="R3114" t="inlineStr"/>
      <c r="S3114" t="inlineStr"/>
      <c r="U3114">
        <f>INDEX(FactorTable!$B$2:$Y$301, MATCH(ROUND(MIN(300,MAX(1,U3113)),0), FactorTable!$A$2:$A$301,0), 22)</f>
        <v/>
      </c>
    </row>
    <row r="3115">
      <c r="A3115">
        <f>Skills!A4</f>
        <v/>
      </c>
      <c r="B3115">
        <f>Skills!B4</f>
        <v/>
      </c>
      <c r="C3115">
        <f>Inputs!$B$3&gt;=105</f>
        <v/>
      </c>
      <c r="D3115">
        <f>IF(Skills!C4=1,60+Inputs!$B$26+Inputs!$B$30,IF(Skills!C4=2,90+Inputs!$B$27+Inputs!$B$30,IF(Skills!C4=3,120+Inputs!$B$28+Inputs!$B$30,MAX(0,(Inputs!$B$3-100)*3)+Inputs!$B$29+Inputs!$B$30)))</f>
        <v/>
      </c>
      <c r="E3115">
        <f>INDEX(FactorTable!$B$2:$Y$301, MATCH(ROUND(MIN(300,MAX(1,D3115)),0), FactorTable!$A$2:$A$301,0), Skills!M4+1)</f>
        <v/>
      </c>
      <c r="F3115">
        <f>IF(Skills!N4=TRUE,(Skills!L4/10)*(E3115/1000),Skills!L4/10)+Skills!O4</f>
        <v/>
      </c>
      <c r="G3115" t="inlineStr"/>
      <c r="H3115" t="inlineStr"/>
      <c r="I3115" t="inlineStr">
        <is>
          <t>1</t>
        </is>
      </c>
      <c r="J3115" t="inlineStr"/>
      <c r="K3115" t="inlineStr"/>
      <c r="L3115" t="inlineStr"/>
      <c r="M3115" t="inlineStr"/>
      <c r="N3115" t="inlineStr"/>
      <c r="O3115" t="inlineStr"/>
      <c r="P3115" t="inlineStr"/>
      <c r="Q3115" t="inlineStr"/>
      <c r="R3115" t="inlineStr"/>
      <c r="S3115" t="inlineStr"/>
      <c r="U3115">
        <f>290*U3114/1000</f>
        <v/>
      </c>
    </row>
    <row r="3116">
      <c r="A3116">
        <f>Skills!A5</f>
        <v/>
      </c>
      <c r="B3116">
        <f>Skills!B5</f>
        <v/>
      </c>
      <c r="C3116">
        <f>Inputs!$B$3&gt;=117</f>
        <v/>
      </c>
      <c r="D3116">
        <f>IF(Skills!C5=1,60+Inputs!$B$26+Inputs!$B$30,IF(Skills!C5=2,90+Inputs!$B$27+Inputs!$B$30,IF(Skills!C5=3,120+Inputs!$B$28+Inputs!$B$30,MAX(0,(Inputs!$B$3-100)*3)+Inputs!$B$29+Inputs!$B$30)))</f>
        <v/>
      </c>
      <c r="E3116">
        <f>INDEX(FactorTable!$B$2:$Y$301, MATCH(ROUND(MIN(300,MAX(1,D3116)),0), FactorTable!$A$2:$A$301,0), Skills!M5+1)</f>
        <v/>
      </c>
      <c r="F3116">
        <f>IF(Skills!N5=TRUE,(Skills!L5/10)*(E3116/1000),Skills!L5/10)+Skills!O5</f>
        <v/>
      </c>
      <c r="G3116">
        <f>Skills!G5*IF(Skills!H5&gt;0,INT(IF(Inputs!$B$39="pvp",MIN(Skills!I5,15),Skills!I5)/Skills!H5+0.000000001),1)</f>
        <v/>
      </c>
      <c r="H3116">
        <f>1-(1-Skills!J5/100)^Skills!K5</f>
        <v/>
      </c>
      <c r="I3116" t="inlineStr">
        <is>
          <t>1</t>
        </is>
      </c>
      <c r="J3116">
        <f>((Inputs!$B$6*(1+Inputs!$B$7/100))+(((Inputs!$B$13*(1+Inputs!$B$14/100))-(Inputs!$B$13*(1+Inputs!$B$14/100)))+0.25*(Inputs!$B$15-Inputs!$B$15))*(1+Inputs!$B$7/100))*(F3116/100)</f>
        <v/>
      </c>
      <c r="K3116">
        <f>J3116*(1+(((Inputs!$B$13+IF(Inputs!$B$3&gt;=38,(10*INDEX(FactorTable!$B$2:$Y$301, MATCH(ROUND(MIN(300,MAX(1,Inputs!$B$3)),0), FactorTable!$A$2:$A$301,0), 23)/1000)/100*(Inputs!$B$8*(1+Inputs!$B$9/100)),0))*(1+Inputs!$B$14/100))*0.01+Inputs!$B$15*0.0025)/100)*(1+Inputs!$B$16/100)*(1+Inputs!$B$17/100)*(5000/(6000+Inputs!$B$43*(1-(Inputs!$B$20+0)/100)))*(1+(Inputs!$B$25+((C3136=TRUE)*(F3136-Calc!F25))+((C3137=TRUE)*(F3137-Calc!F26))+B3146)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gt;=100),MIN(100,((Inputs!$B$10+0+B3140+(ArtifactsInput!$M$24-ArtifactsInput!$M$24)*CHOOSE(ArtifactsInput!$N$24+1,10,12,14,16,18,20)+IF(ArtifactsInput!$M$10,CHOOSE(ArtifactsInput!$N$10+1,15,18,21,24,27,30)*(IF(Inputs!$B$39="pvp",MIN(15,15)/15,IF(AND(Inputs!$B$39&lt;&gt;"pvp",Inputs!$B$44&gt;0),MIN(15,Inputs!$B$44)/(Inputs!$B$44),0))),0)))-100),0))*CHOOSE(ArtifactsInput!$N$42+1,0.6,0.72,0.84,0.96,1.08,1.2))),Inputs!$B$19+((C3134=TRUE)*(F3134-Calc!F23))+(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gt;=100),CHOOSE(ArtifactsInput!$N$42+1,40,48,56,64,72,80),0))))/100)*((1+(((C3124=TRUE)*F3124*IF(AND(Inputs!$B$39&lt;&gt;"pvp",Inputs!$B$44&gt;0),(((R3124-1)*MIN((Skills!T13*(1+Inputs!$B$35/100)),(1/Q3124))+MIN((Skills!T13*(1+Inputs!$B$35/100)),MAX(0,Inputs!$B$44-((R3124-1)*(1/Q3124)))))/Inputs!$B$44),IF(Inputs!$B$39="pvp",MIN((Skills!T13*(1+Inputs!$B$35/100)),15)/15,MIN(1,(Skills!T13*(1+Inputs!$B$35/100))/(1/Q3124)))))+((C3125=TRUE)*F3125*IF(AND(Inputs!$B$39&lt;&gt;"pvp",Inputs!$B$44&gt;0),(((R3125-1)*MIN((Skills!T14*(1+Inputs!$B$35/100)),(1/Q3125))+MIN((Skills!T14*(1+Inputs!$B$35/100)),MAX(0,Inputs!$B$44-((R3125-1)*(1/Q3125)))))/Inputs!$B$44),IF(Inputs!$B$39="pvp",MIN((Skills!T14*(1+Inputs!$B$35/100)),15)/15,MIN(1,(Skills!T14*(1+Inputs!$B$35/100))/(1/Q3125)))))+((C3126=TRUE)*F3126*IF(AND(Inputs!$B$39&lt;&gt;"pvp",Inputs!$B$44&gt;0),(((R3126-1)*MIN((Skills!T15*(1+Inputs!$B$35/100)),(1/Q3126))+MIN((Skills!T15*(1+Inputs!$B$35/100)),MAX(0,Inputs!$B$44-((R3126-1)*(1/Q3126)))))/Inputs!$B$44),IF(Inputs!$B$39="pvp",MIN((Skills!T15*(1+Inputs!$B$35/100)),15)/15,MIN(1,(Skills!T15*(1+Inputs!$B$35/100))/(1/Q3126)))))+((C3127=TRUE)*F3127*IF(AND(Inputs!$B$39&lt;&gt;"pvp",Inputs!$B$44&gt;0),(((R3127-1)*MIN((Skills!T16*(1+Inputs!$B$35/100)),(1/Q3127))+MIN((Skills!T16*(1+Inputs!$B$35/100)),MAX(0,Inputs!$B$44-((R3127-1)*(1/Q3127)))))/Inputs!$B$44),IF(Inputs!$B$39="pvp",MIN((Skills!T16*(1+Inputs!$B$35/100)),15)/15,MIN(1,(Skills!T16*(1+Inputs!$B$35/100))/(1/Q3127)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3116)</f>
        <v/>
      </c>
      <c r="L3116">
        <f>K3116*(MIN(Inputs!$B$23+((C3133=TRUE)*(F3133-Calc!F22)),(Inputs!$B$24+((C3135=TRUE)*(F3135-Calc!F24))+(IF(ArtifactsInput!$M$15,CHOOSE(ArtifactsInput!$N$15+1,25,30,35,40,45,50)/100*(Inputs!$B$12-Inputs!$B$12),0))))/100+(Inputs!$B$24+((C3135=TRUE)*(F3135-Calc!F24))+(IF(ArtifactsInput!$M$15,CHOOSE(ArtifactsInput!$N$15+1,25,30,35,40,45,50)/100*(Inputs!$B$12-Inputs!$B$12),0)))/100)/2</f>
        <v/>
      </c>
      <c r="M3116">
        <f>L3116*(1+(Inputs!$B$11+0+B3145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116">
        <f>L3116*(1-MIN((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3116*(MIN((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16">
        <f>(1-Summary!$B$11)*T3116+Summary!$B$11*V3116</f>
        <v/>
      </c>
      <c r="P3116">
        <f>IF(B3150=0,0,O3116/B3150)</f>
        <v/>
      </c>
      <c r="Q3116">
        <f>IFERROR(1/IF(Inputs!$B$39="pvp",15,MAX(0.1,Skills!D5-IF(TRUE=TRUE,4.5,0))),0)</f>
        <v/>
      </c>
      <c r="R3116">
        <f>IF(AND(Inputs!$B$39&lt;&gt;"pvp",Inputs!$B$44&gt;0),IF(MAX(0,Inputs!$B$44-B3147)&lt;=0,0,(INT(MAX(0,Inputs!$B$44-B3147)/IF(Inputs!$B$39="pvp",15,MAX(0.1,Skills!D5-IF(TRUE=TRUE,4.5,0))))+1)),0)</f>
        <v/>
      </c>
      <c r="S3116">
        <f>IFERROR(O3116/N3116,0)</f>
        <v/>
      </c>
      <c r="T3116">
        <f>IF(C3116,(H3116*N3116*IF(AND(Inputs!$B$39&lt;&gt;"pvp",Inputs!$B$44&gt;0),((Skills!G5*((R3116-1)*IF(Skills!H5&gt;0,INT(Skills!I5/Skills!H5+0.000000001),1)+IF(Skills!H5&gt;0,INT(MIN(Skills!I5,MAX(0,MAX(0,Inputs!$B$44-B3147)-((R3116-1)*IF(Inputs!$B$39="pvp",15,MAX(0.1,Skills!D5-IF(TRUE=TRUE,4.5,0))))))/Skills!H5+0.000000001),1)))/Inputs!$B$44),G3116*Q3116))*IF(Inputs!$B$39="pvp",1,1+(Inputs!$B$21+0+Skills!P5+((C3128=TRUE)*F3128*IF(AND(Inputs!$B$39&lt;&gt;"pvp",Inputs!$B$44&gt;0),(((R3128-1)*MIN((Skills!T17*(1+Inputs!$B$35/100)),(1/Q3128))+MIN((Skills!T17*(1+Inputs!$B$35/100)),MAX(0,Inputs!$B$44-((R3128-1)*(1/Q3128)))))/Inputs!$B$44),IF(Inputs!$B$39="pvp",MIN((Skills!T17*(1+Inputs!$B$35/100)),15)/15,MIN(1,(Skills!T17*(1+Inputs!$B$35/100))/(1/Q3128)))))+((C3116=TRUE)*IF(Inputs!$B$3&gt;=126,10*MIN(1,15*Q3116),0))+((C3125=TRUE)*IF(Inputs!$B$39="pvp",20,(1-Summary!$B$11)*(20)+Summary!$B$11*(0))*IF(AND(Inputs!$B$39&lt;&gt;"pvp",Inputs!$B$44&gt;0),(((R3125-1)*MIN((Skills!T14*(1+Inputs!$B$35/100)),(1/Q3125))+MIN((Skills!T14*(1+Inputs!$B$35/100)),MAX(0,Inputs!$B$44-((R3125-1)*(1/Q3125)))))/Inputs!$B$44),IF(Inputs!$B$39="pvp",MIN((Skills!T14*(1+Inputs!$B$35/100)),15)/15,MIN(1,(Skills!T14*(1+Inputs!$B$35/100))/(1/Q3125)))))+((C3124=TRUE)*IF(Inputs!$B$3&gt;=82,IF(Inputs!$B$39="pvp",20,(1-Summary!$B$11)*(20)+Summary!$B$11*(0)),0)*IF(AND(Inputs!$B$39&lt;&gt;"pvp",Inputs!$B$44&gt;0),(((R3124-1)*MIN((Skills!T13*(1+Inputs!$B$35/100)),(1/Q3124))+MIN((Skills!T13*(1+Inputs!$B$35/100)),MAX(0,Inputs!$B$44-((R3124-1)*(1/Q3124)))))/Inputs!$B$44),IF(Inputs!$B$39="pvp",MIN((Skills!T13*(1+Inputs!$B$35/100)),15)/15,MIN(1,(Skills!T13*(1+Inputs!$B$35/100))/(1/Q3124)))))+(IF(AND(ArtifactsInput!$M$35,Inputs!$B$4&lt;&gt;"Chapter Hunt"),CHOOSE(ArtifactsInput!$N$35+1,15,18,21,24,27,30)*(1-EXP(-(0.2*B3142)*5)),0)+IF(AND(ArtifactsInput!$M$22,Inputs!$B$4&lt;&gt;"Chapter Hunt"),CHOOSE(ArtifactsInput!$N$22+1,10,12,14,16,18,20)*((0*(((0.15*B3142*5))^0/1)+1*(((0.15*B3142*5))^1/1)+2*(((0.15*B3142*5))^2/2)+3*(((0.15*B3142*5))^3/6)+4*(((0.15*B3142*5))^4/24)+5*(((0.15*B3142*5))^5/120))/((((0.15*B3142*5))^0/1)+(((0.15*B3142*5))^1/1)+(((0.15*B3142*5))^2/2)+(((0.15*B3142*5))^3/6)+(((0.15*B3142*5))^4/24)+(((0.15*B3142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3116*(1-MIN(100,(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3116*(MIN(100,(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3116*(1-MIN(100,(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3116*(MIN(100,(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16">
        <f>IF(C3116,(H3116*N3116*IF(AND(Inputs!$B$39&lt;&gt;"pvp",Inputs!$B$44&gt;0),((Skills!G5*((R3116-1)*IF(Skills!H5&gt;0,INT(Skills!I5/Skills!H5+0.000000001),1)+IF(Skills!H5&gt;0,INT(MIN(Skills!I5,MAX(0,MAX(0,Inputs!$B$44-B3147)-((R3116-1)*IF(Inputs!$B$39="pvp",15,MAX(0.1,Skills!D5-IF(TRUE=TRUE,4.5,0))))))/Skills!H5+0.000000001),1)))/Inputs!$B$44),G3116*Q3116))*IF(Inputs!$B$39="pvp",1,(1+(Inputs!$B$22+Skills!Q5+((C3128=TRUE)*F3128*IF(AND(Inputs!$B$39&lt;&gt;"pvp",Inputs!$B$44&gt;0),(((R3128-1)*MIN((Skills!T17*(1+Inputs!$B$35/100)),(1/Q3128))+MIN((Skills!T17*(1+Inputs!$B$35/100)),MAX(0,Inputs!$B$44-((R3128-1)*(1/Q3128)))))/Inputs!$B$44),IF(Inputs!$B$39="pvp",MIN((Skills!T17*(1+Inputs!$B$35/100)),15)/15,MIN(1,(Skills!T17*(1+Inputs!$B$35/100))/(1/Q3128)))))+((C3116=TRUE)*IF(Inputs!$B$3&gt;=126,10*MIN(1,15*Q3116),0))+((C3125=TRUE)*IF(Inputs!$B$39="pvp",20,(1-Summary!$B$11)*(20)+Summary!$B$11*(0))*IF(AND(Inputs!$B$39&lt;&gt;"pvp",Inputs!$B$44&gt;0),(((R3125-1)*MIN((Skills!T14*(1+Inputs!$B$35/100)),(1/Q3125))+MIN((Skills!T14*(1+Inputs!$B$35/100)),MAX(0,Inputs!$B$44-((R3125-1)*(1/Q3125)))))/Inputs!$B$44),IF(Inputs!$B$39="pvp",MIN((Skills!T14*(1+Inputs!$B$35/100)),15)/15,MIN(1,(Skills!T14*(1+Inputs!$B$35/100))/(1/Q3125)))))+((C3124=TRUE)*IF(Inputs!$B$3&gt;=82,IF(Inputs!$B$39="pvp",20,(1-Summary!$B$11)*(20)+Summary!$B$11*(0)),0)*IF(AND(Inputs!$B$39&lt;&gt;"pvp",Inputs!$B$44&gt;0),(((R3124-1)*MIN((Skills!T13*(1+Inputs!$B$35/100)),(1/Q3124))+MIN((Skills!T13*(1+Inputs!$B$35/100)),MAX(0,Inputs!$B$44-((R3124-1)*(1/Q3124)))))/Inputs!$B$44),IF(Inputs!$B$39="pvp",MIN((Skills!T13*(1+Inputs!$B$35/100)),15)/15,MIN(1,(Skills!T13*(1+Inputs!$B$35/100))/(1/Q3124)))))+(IF(AND(ArtifactsInput!$M$35,Inputs!$B$4&lt;&gt;"Chapter Hunt"),CHOOSE(ArtifactsInput!$N$35+1,15,18,21,24,27,30)*(1-EXP(-(0.2*B3142)*5)),0)+IF(AND(ArtifactsInput!$M$22,Inputs!$B$4&lt;&gt;"Chapter Hunt"),CHOOSE(ArtifactsInput!$N$22+1,10,12,14,16,18,20)*((0*(((0.15*B3142*5))^0/1)+1*(((0.15*B3142*5))^1/1)+2*(((0.15*B3142*5))^2/2)+3*(((0.15*B3142*5))^3/6)+4*(((0.15*B3142*5))^4/24)+5*(((0.15*B3142*5))^5/120))/((((0.15*B3142*5))^0/1)+(((0.15*B3142*5))^1/1)+(((0.15*B3142*5))^2/2)+(((0.15*B3142*5))^3/6)+(((0.15*B3142*5))^4/24)+(((0.15*B3142*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17">
      <c r="A3117">
        <f>Skills!A6</f>
        <v/>
      </c>
      <c r="B3117">
        <f>Skills!B6</f>
        <v/>
      </c>
      <c r="C3117">
        <f>Inputs!$B$3&gt;=103</f>
        <v/>
      </c>
      <c r="D3117">
        <f>IF(Skills!C6=1,60+Inputs!$B$26+Inputs!$B$30,IF(Skills!C6=2,90+Inputs!$B$27+Inputs!$B$30,IF(Skills!C6=3,120+Inputs!$B$28+Inputs!$B$30,MAX(0,(Inputs!$B$3-100)*3)+Inputs!$B$29+Inputs!$B$30)))</f>
        <v/>
      </c>
      <c r="E3117">
        <f>INDEX(FactorTable!$B$2:$Y$301, MATCH(ROUND(MIN(300,MAX(1,D3117)),0), FactorTable!$A$2:$A$301,0), Skills!M6+1)</f>
        <v/>
      </c>
      <c r="F3117">
        <f>IF(Skills!N6=TRUE,(Skills!L6/10)*(E3117/1000),Skills!L6/10)+Skills!O6</f>
        <v/>
      </c>
      <c r="G3117">
        <f>Skills!G6*IF(Skills!H6&gt;0,INT(IF(Inputs!$B$39="pvp",MIN(Skills!I6,15),Skills!I6)/Skills!H6+0.000000001),1)</f>
        <v/>
      </c>
      <c r="H3117">
        <f>1-(1-Skills!J6/100)^Skills!K6</f>
        <v/>
      </c>
      <c r="I3117" t="inlineStr">
        <is>
          <t>1</t>
        </is>
      </c>
      <c r="J3117">
        <f>((Inputs!$B$6*(1+Inputs!$B$7/100))+(((Inputs!$B$13*(1+Inputs!$B$14/100))-(Inputs!$B$13*(1+Inputs!$B$14/100)))+0.25*(Inputs!$B$15-Inputs!$B$15))*(1+Inputs!$B$7/100))*(F3117/100)</f>
        <v/>
      </c>
      <c r="K3117">
        <f>J3117*(1+(((Inputs!$B$13+IF(Inputs!$B$3&gt;=38,(10*INDEX(FactorTable!$B$2:$Y$301, MATCH(ROUND(MIN(300,MAX(1,Inputs!$B$3)),0), FactorTable!$A$2:$A$301,0), 23)/1000)/100*(Inputs!$B$8*(1+Inputs!$B$9/100)),0))*(1+Inputs!$B$14/100))*0.01+Inputs!$B$15*0.0025)/100)*(1+Inputs!$B$16/100)*(1+Inputs!$B$17/100)*(5000/(6000+Inputs!$B$43*(1-(Inputs!$B$20+0)/100)))*(1+(Inputs!$B$25+((C3136=TRUE)*(F3136-Calc!F25))+((C3137=TRUE)*(F3137-Calc!F26))+B3146)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gt;=100),MIN(100,((Inputs!$B$10+0+B3140+(ArtifactsInput!$M$24-ArtifactsInput!$M$24)*CHOOSE(ArtifactsInput!$N$24+1,10,12,14,16,18,20)+IF(ArtifactsInput!$M$10,CHOOSE(ArtifactsInput!$N$10+1,15,18,21,24,27,30)*(IF(Inputs!$B$39="pvp",MIN(15,15)/15,IF(AND(Inputs!$B$39&lt;&gt;"pvp",Inputs!$B$44&gt;0),MIN(15,Inputs!$B$44)/(Inputs!$B$44),0))),0)))-100),0))*CHOOSE(ArtifactsInput!$N$42+1,0.6,0.72,0.84,0.96,1.08,1.2))),Inputs!$B$19+((C3134=TRUE)*(F3134-Calc!F23))+(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gt;=100),CHOOSE(ArtifactsInput!$N$42+1,40,48,56,64,72,80),0))))/100)*((1+(((C3124=TRUE)*F3124*IF(AND(Inputs!$B$39&lt;&gt;"pvp",Inputs!$B$44&gt;0),(((R3124-1)*MIN((Skills!T13*(1+Inputs!$B$35/100)),(1/Q3124))+MIN((Skills!T13*(1+Inputs!$B$35/100)),MAX(0,Inputs!$B$44-((R3124-1)*(1/Q3124)))))/Inputs!$B$44),IF(Inputs!$B$39="pvp",MIN((Skills!T13*(1+Inputs!$B$35/100)),15)/15,MIN(1,(Skills!T13*(1+Inputs!$B$35/100))/(1/Q3124)))))+((C3125=TRUE)*F3125*IF(AND(Inputs!$B$39&lt;&gt;"pvp",Inputs!$B$44&gt;0),(((R3125-1)*MIN((Skills!T14*(1+Inputs!$B$35/100)),(1/Q3125))+MIN((Skills!T14*(1+Inputs!$B$35/100)),MAX(0,Inputs!$B$44-((R3125-1)*(1/Q3125)))))/Inputs!$B$44),IF(Inputs!$B$39="pvp",MIN((Skills!T14*(1+Inputs!$B$35/100)),15)/15,MIN(1,(Skills!T14*(1+Inputs!$B$35/100))/(1/Q3125)))))+((C3126=TRUE)*F3126*IF(AND(Inputs!$B$39&lt;&gt;"pvp",Inputs!$B$44&gt;0),(((R3126-1)*MIN((Skills!T15*(1+Inputs!$B$35/100)),(1/Q3126))+MIN((Skills!T15*(1+Inputs!$B$35/100)),MAX(0,Inputs!$B$44-((R3126-1)*(1/Q3126)))))/Inputs!$B$44),IF(Inputs!$B$39="pvp",MIN((Skills!T15*(1+Inputs!$B$35/100)),15)/15,MIN(1,(Skills!T15*(1+Inputs!$B$35/100))/(1/Q3126)))))+((C3127=TRUE)*F3127*IF(AND(Inputs!$B$39&lt;&gt;"pvp",Inputs!$B$44&gt;0),(((R3127-1)*MIN((Skills!T16*(1+Inputs!$B$35/100)),(1/Q3127))+MIN((Skills!T16*(1+Inputs!$B$35/100)),MAX(0,Inputs!$B$44-((R3127-1)*(1/Q3127)))))/Inputs!$B$44),IF(Inputs!$B$39="pvp",MIN((Skills!T16*(1+Inputs!$B$35/100)),15)/15,MIN(1,(Skills!T16*(1+Inputs!$B$35/100))/(1/Q3127)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3117)</f>
        <v/>
      </c>
      <c r="L3117">
        <f>K3117*(MIN(Inputs!$B$23+((C3133=TRUE)*(F3133-Calc!F22)),(Inputs!$B$24+((C3135=TRUE)*(F3135-Calc!F24))+(IF(ArtifactsInput!$M$15,CHOOSE(ArtifactsInput!$N$15+1,25,30,35,40,45,50)/100*(Inputs!$B$12-Inputs!$B$12),0))))/100+(Inputs!$B$24+((C3135=TRUE)*(F3135-Calc!F24))+(IF(ArtifactsInput!$M$15,CHOOSE(ArtifactsInput!$N$15+1,25,30,35,40,45,50)/100*(Inputs!$B$12-Inputs!$B$12),0)))/100)/2</f>
        <v/>
      </c>
      <c r="M3117">
        <f>L3117*(1+(Inputs!$B$11+0+B3145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117">
        <f>L3117*(1-MIN((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3117*(MIN((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17">
        <f>(1-Summary!$B$11)*T3117+Summary!$B$11*V3117</f>
        <v/>
      </c>
      <c r="P3117">
        <f>IF(B3150=0,0,O3117/B3150)</f>
        <v/>
      </c>
      <c r="Q3117">
        <f>IFERROR(1/IF(Inputs!$B$39="pvp",15,MAX(0.1,Skills!D6-IF(TRUE=TRUE,4.5,0))),0)</f>
        <v/>
      </c>
      <c r="R3117">
        <f>IF(AND(Inputs!$B$39&lt;&gt;"pvp",Inputs!$B$44&gt;0),IF(MAX(0,Inputs!$B$44-B3147)&lt;=0,0,(INT(MAX(0,Inputs!$B$44-B3147)/IF(Inputs!$B$39="pvp",15,MAX(0.1,Skills!D6-IF(TRUE=TRUE,4.5,0))))+1)),0)</f>
        <v/>
      </c>
      <c r="S3117">
        <f>IFERROR(O3117/N3117,0)</f>
        <v/>
      </c>
      <c r="T3117">
        <f>IF(C3117,(H3117*N3117*IF(AND(Inputs!$B$39&lt;&gt;"pvp",Inputs!$B$44&gt;0),((Skills!G6*((R3117-1)*IF(Skills!H6&gt;0,INT(Skills!I6/Skills!H6+0.000000001),1)+IF(Skills!H6&gt;0,INT(MIN(Skills!I6,MAX(0,MAX(0,Inputs!$B$44-B3147)-((R3117-1)*IF(Inputs!$B$39="pvp",15,MAX(0.1,Skills!D6-IF(TRUE=TRUE,4.5,0))))))/Skills!H6+0.000000001),1)))/Inputs!$B$44),G3117*Q3117))*IF(Inputs!$B$39="pvp",1,1+(Inputs!$B$21+0+Skills!P6+((C3128=TRUE)*F3128*IF(AND(Inputs!$B$39&lt;&gt;"pvp",Inputs!$B$44&gt;0),(((R3128-1)*MIN((Skills!T17*(1+Inputs!$B$35/100)),(1/Q3128))+MIN((Skills!T17*(1+Inputs!$B$35/100)),MAX(0,Inputs!$B$44-((R3128-1)*(1/Q3128)))))/Inputs!$B$44),IF(Inputs!$B$39="pvp",MIN((Skills!T17*(1+Inputs!$B$35/100)),15)/15,MIN(1,(Skills!T17*(1+Inputs!$B$35/100))/(1/Q3128)))))+((C3116=TRUE)*IF(Inputs!$B$3&gt;=126,10*MIN(1,15*Q3116),0))+((C3125=TRUE)*IF(Inputs!$B$39="pvp",20,(1-Summary!$B$11)*(20)+Summary!$B$11*(0))*IF(AND(Inputs!$B$39&lt;&gt;"pvp",Inputs!$B$44&gt;0),(((R3125-1)*MIN((Skills!T14*(1+Inputs!$B$35/100)),(1/Q3125))+MIN((Skills!T14*(1+Inputs!$B$35/100)),MAX(0,Inputs!$B$44-((R3125-1)*(1/Q3125)))))/Inputs!$B$44),IF(Inputs!$B$39="pvp",MIN((Skills!T14*(1+Inputs!$B$35/100)),15)/15,MIN(1,(Skills!T14*(1+Inputs!$B$35/100))/(1/Q3125)))))+((C3124=TRUE)*IF(Inputs!$B$3&gt;=82,IF(Inputs!$B$39="pvp",20,(1-Summary!$B$11)*(20)+Summary!$B$11*(0)),0)*IF(AND(Inputs!$B$39&lt;&gt;"pvp",Inputs!$B$44&gt;0),(((R3124-1)*MIN((Skills!T13*(1+Inputs!$B$35/100)),(1/Q3124))+MIN((Skills!T13*(1+Inputs!$B$35/100)),MAX(0,Inputs!$B$44-((R3124-1)*(1/Q3124)))))/Inputs!$B$44),IF(Inputs!$B$39="pvp",MIN((Skills!T13*(1+Inputs!$B$35/100)),15)/15,MIN(1,(Skills!T13*(1+Inputs!$B$35/100))/(1/Q3124)))))+(IF(AND(ArtifactsInput!$M$35,Inputs!$B$4&lt;&gt;"Chapter Hunt"),CHOOSE(ArtifactsInput!$N$35+1,15,18,21,24,27,30)*(1-EXP(-(0.2*B3142)*5)),0)+IF(AND(ArtifactsInput!$M$22,Inputs!$B$4&lt;&gt;"Chapter Hunt"),CHOOSE(ArtifactsInput!$N$22+1,10,12,14,16,18,20)*((0*(((0.15*B3142*5))^0/1)+1*(((0.15*B3142*5))^1/1)+2*(((0.15*B3142*5))^2/2)+3*(((0.15*B3142*5))^3/6)+4*(((0.15*B3142*5))^4/24)+5*(((0.15*B3142*5))^5/120))/((((0.15*B3142*5))^0/1)+(((0.15*B3142*5))^1/1)+(((0.15*B3142*5))^2/2)+(((0.15*B3142*5))^3/6)+(((0.15*B3142*5))^4/24)+(((0.15*B3142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3117*(1-MIN(100,(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3117*(MIN(100,(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3117*(1-MIN(100,(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3117*(MIN(100,(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17">
        <f>IF(C3117,(H3117*N3117*IF(AND(Inputs!$B$39&lt;&gt;"pvp",Inputs!$B$44&gt;0),((Skills!G6*((R3117-1)*IF(Skills!H6&gt;0,INT(Skills!I6/Skills!H6+0.000000001),1)+IF(Skills!H6&gt;0,INT(MIN(Skills!I6,MAX(0,MAX(0,Inputs!$B$44-B3147)-((R3117-1)*IF(Inputs!$B$39="pvp",15,MAX(0.1,Skills!D6-IF(TRUE=TRUE,4.5,0))))))/Skills!H6+0.000000001),1)))/Inputs!$B$44),G3117*Q3117))*IF(Inputs!$B$39="pvp",1,(1+(Inputs!$B$22+Skills!Q6+((C3128=TRUE)*F3128*IF(AND(Inputs!$B$39&lt;&gt;"pvp",Inputs!$B$44&gt;0),(((R3128-1)*MIN((Skills!T17*(1+Inputs!$B$35/100)),(1/Q3128))+MIN((Skills!T17*(1+Inputs!$B$35/100)),MAX(0,Inputs!$B$44-((R3128-1)*(1/Q3128)))))/Inputs!$B$44),IF(Inputs!$B$39="pvp",MIN((Skills!T17*(1+Inputs!$B$35/100)),15)/15,MIN(1,(Skills!T17*(1+Inputs!$B$35/100))/(1/Q3128)))))+((C3116=TRUE)*IF(Inputs!$B$3&gt;=126,10*MIN(1,15*Q3116),0))+((C3125=TRUE)*IF(Inputs!$B$39="pvp",20,(1-Summary!$B$11)*(20)+Summary!$B$11*(0))*IF(AND(Inputs!$B$39&lt;&gt;"pvp",Inputs!$B$44&gt;0),(((R3125-1)*MIN((Skills!T14*(1+Inputs!$B$35/100)),(1/Q3125))+MIN((Skills!T14*(1+Inputs!$B$35/100)),MAX(0,Inputs!$B$44-((R3125-1)*(1/Q3125)))))/Inputs!$B$44),IF(Inputs!$B$39="pvp",MIN((Skills!T14*(1+Inputs!$B$35/100)),15)/15,MIN(1,(Skills!T14*(1+Inputs!$B$35/100))/(1/Q3125)))))+((C3124=TRUE)*IF(Inputs!$B$3&gt;=82,IF(Inputs!$B$39="pvp",20,(1-Summary!$B$11)*(20)+Summary!$B$11*(0)),0)*IF(AND(Inputs!$B$39&lt;&gt;"pvp",Inputs!$B$44&gt;0),(((R3124-1)*MIN((Skills!T13*(1+Inputs!$B$35/100)),(1/Q3124))+MIN((Skills!T13*(1+Inputs!$B$35/100)),MAX(0,Inputs!$B$44-((R3124-1)*(1/Q3124)))))/Inputs!$B$44),IF(Inputs!$B$39="pvp",MIN((Skills!T13*(1+Inputs!$B$35/100)),15)/15,MIN(1,(Skills!T13*(1+Inputs!$B$35/100))/(1/Q3124)))))+(IF(AND(ArtifactsInput!$M$35,Inputs!$B$4&lt;&gt;"Chapter Hunt"),CHOOSE(ArtifactsInput!$N$35+1,15,18,21,24,27,30)*(1-EXP(-(0.2*B3142)*5)),0)+IF(AND(ArtifactsInput!$M$22,Inputs!$B$4&lt;&gt;"Chapter Hunt"),CHOOSE(ArtifactsInput!$N$22+1,10,12,14,16,18,20)*((0*(((0.15*B3142*5))^0/1)+1*(((0.15*B3142*5))^1/1)+2*(((0.15*B3142*5))^2/2)+3*(((0.15*B3142*5))^3/6)+4*(((0.15*B3142*5))^4/24)+5*(((0.15*B3142*5))^5/120))/((((0.15*B3142*5))^0/1)+(((0.15*B3142*5))^1/1)+(((0.15*B3142*5))^2/2)+(((0.15*B3142*5))^3/6)+(((0.15*B3142*5))^4/24)+(((0.15*B3142*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18">
      <c r="A3118">
        <f>Skills!A7</f>
        <v/>
      </c>
      <c r="B3118">
        <f>Skills!B7</f>
        <v/>
      </c>
      <c r="C3118">
        <f>Inputs!$B$3&gt;=40</f>
        <v/>
      </c>
      <c r="D3118">
        <f>IF(Skills!C7=1,60+Inputs!$B$26+Inputs!$B$30,IF(Skills!C7=2,90+Inputs!$B$27+Inputs!$B$30,IF(Skills!C7=3,120+Inputs!$B$28+Inputs!$B$30,MAX(0,(Inputs!$B$3-100)*3)+Inputs!$B$29+Inputs!$B$30)))</f>
        <v/>
      </c>
      <c r="E3118">
        <f>INDEX(FactorTable!$B$2:$Y$301, MATCH(ROUND(MIN(300,MAX(1,D3118)),0), FactorTable!$A$2:$A$301,0), Skills!M7+1)</f>
        <v/>
      </c>
      <c r="F3118">
        <f>IF(Skills!N7=TRUE,(Skills!L7/10)*(E3118/1000),Skills!L7/10)+Skills!O7</f>
        <v/>
      </c>
      <c r="G3118">
        <f>Skills!G7*IF(Skills!H7&gt;0,INT(IF(Inputs!$B$39="pvp",MIN(Skills!I7,15),Skills!I7)/Skills!H7+0.000000001),1)</f>
        <v/>
      </c>
      <c r="H3118">
        <f>1-(1-Skills!J7/100)^Skills!K7</f>
        <v/>
      </c>
      <c r="I3118" t="inlineStr">
        <is>
          <t>1</t>
        </is>
      </c>
      <c r="J3118">
        <f>((Inputs!$B$6*(1+Inputs!$B$7/100))+(((Inputs!$B$13*(1+Inputs!$B$14/100))-(Inputs!$B$13*(1+Inputs!$B$14/100)))+0.25*(Inputs!$B$15-Inputs!$B$15))*(1+Inputs!$B$7/100))*(F3118/100)</f>
        <v/>
      </c>
      <c r="K3118">
        <f>J3118*(1+(((Inputs!$B$13+IF(Inputs!$B$3&gt;=38,(10*INDEX(FactorTable!$B$2:$Y$301, MATCH(ROUND(MIN(300,MAX(1,Inputs!$B$3)),0), FactorTable!$A$2:$A$301,0), 23)/1000)/100*(Inputs!$B$8*(1+Inputs!$B$9/100)),0))*(1+Inputs!$B$14/100))*0.01+Inputs!$B$15*0.0025)/100)*(1+Inputs!$B$16/100)*(1+Inputs!$B$17/100)*(5000/(6000+Inputs!$B$43*(1-(Inputs!$B$20+0)/100)))*(1+(Inputs!$B$25+((C3136=TRUE)*(F3136-Calc!F25))+((C3137=TRUE)*(F3137-Calc!F26))+B3146)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3122=TRUE,F3122,0)/100)*(1+(IF(Skills!A7="DARK_IMPALE",Inputs!$B$18+0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gt;=100),MIN(100,((Inputs!$B$10+0+B3140+(ArtifactsInput!$M$24-ArtifactsInput!$M$24)*CHOOSE(ArtifactsInput!$N$24+1,10,12,14,16,18,20)+IF(ArtifactsInput!$M$10,CHOOSE(ArtifactsInput!$N$10+1,15,18,21,24,27,30)*(IF(Inputs!$B$39="pvp",MIN(15,15)/15,IF(AND(Inputs!$B$39&lt;&gt;"pvp",Inputs!$B$44&gt;0),MIN(15,Inputs!$B$44)/(Inputs!$B$44),0))),0)))-100),0))*CHOOSE(ArtifactsInput!$N$42+1,0.6,0.72,0.84,0.96,1.08,1.2))),Inputs!$B$19+((C3134=TRUE)*(F3134-Calc!F23))+(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gt;=100),CHOOSE(ArtifactsInput!$N$42+1,40,48,56,64,72,80),0))))/100)*((1+(((C3124=TRUE)*F3124*IF(AND(Inputs!$B$39&lt;&gt;"pvp",Inputs!$B$44&gt;0),(((R3124-1)*MIN((Skills!T13*(1+Inputs!$B$35/100)),(1/Q3124))+MIN((Skills!T13*(1+Inputs!$B$35/100)),MAX(0,Inputs!$B$44-((R3124-1)*(1/Q3124)))))/Inputs!$B$44),IF(Inputs!$B$39="pvp",MIN((Skills!T13*(1+Inputs!$B$35/100)),15)/15,MIN(1,(Skills!T13*(1+Inputs!$B$35/100))/(1/Q3124)))))+((C3125=TRUE)*F3125*IF(AND(Inputs!$B$39&lt;&gt;"pvp",Inputs!$B$44&gt;0),(((R3125-1)*MIN((Skills!T14*(1+Inputs!$B$35/100)),(1/Q3125))+MIN((Skills!T14*(1+Inputs!$B$35/100)),MAX(0,Inputs!$B$44-((R3125-1)*(1/Q3125)))))/Inputs!$B$44),IF(Inputs!$B$39="pvp",MIN((Skills!T14*(1+Inputs!$B$35/100)),15)/15,MIN(1,(Skills!T14*(1+Inputs!$B$35/100))/(1/Q3125)))))+((C3126=TRUE)*F3126*IF(AND(Inputs!$B$39&lt;&gt;"pvp",Inputs!$B$44&gt;0),(((R3126-1)*MIN((Skills!T15*(1+Inputs!$B$35/100)),(1/Q3126))+MIN((Skills!T15*(1+Inputs!$B$35/100)),MAX(0,Inputs!$B$44-((R3126-1)*(1/Q3126)))))/Inputs!$B$44),IF(Inputs!$B$39="pvp",MIN((Skills!T15*(1+Inputs!$B$35/100)),15)/15,MIN(1,(Skills!T15*(1+Inputs!$B$35/100))/(1/Q3126)))))+((C3127=TRUE)*F3127*IF(AND(Inputs!$B$39&lt;&gt;"pvp",Inputs!$B$44&gt;0),(((R3127-1)*MIN((Skills!T16*(1+Inputs!$B$35/100)),(1/Q3127))+MIN((Skills!T16*(1+Inputs!$B$35/100)),MAX(0,Inputs!$B$44-((R3127-1)*(1/Q3127)))))/Inputs!$B$44),IF(Inputs!$B$39="pvp",MIN((Skills!T16*(1+Inputs!$B$35/100)),15)/15,MIN(1,(Skills!T16*(1+Inputs!$B$35/100))/(1/Q3127)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3118)</f>
        <v/>
      </c>
      <c r="L3118">
        <f>K3118*(MIN(Inputs!$B$23+((C3133=TRUE)*(F3133-Calc!F22)),(Inputs!$B$24+((C3135=TRUE)*(F3135-Calc!F24))+(IF(ArtifactsInput!$M$15,CHOOSE(ArtifactsInput!$N$15+1,25,30,35,40,45,50)/100*(Inputs!$B$12-Inputs!$B$12),0))))/100+(Inputs!$B$24+((C3135=TRUE)*(F3135-Calc!F24))+(IF(ArtifactsInput!$M$15,CHOOSE(ArtifactsInput!$N$15+1,25,30,35,40,45,50)/100*(Inputs!$B$12-Inputs!$B$12),0)))/100)/2</f>
        <v/>
      </c>
      <c r="M3118">
        <f>L3118*(1+(Inputs!$B$11+0+B3145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118">
        <f>L3118*(1-MIN((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3118*(MIN((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18">
        <f>(1-Summary!$B$11)*T3118+Summary!$B$11*V3118</f>
        <v/>
      </c>
      <c r="P3118">
        <f>IF(B3150=0,0,O3118/B3150)</f>
        <v/>
      </c>
      <c r="Q3118">
        <f>IFERROR(1/IF(Inputs!$B$39="pvp",15,MAX(0.1,Skills!D7-IF(TRUE=TRUE,4.5,0))),0)</f>
        <v/>
      </c>
      <c r="R3118">
        <f>IF(AND(Inputs!$B$39&lt;&gt;"pvp",Inputs!$B$44&gt;0),IF(MAX(0,Inputs!$B$44-B3147)&lt;=0,0,(INT(MAX(0,Inputs!$B$44-B3147)/IF(Inputs!$B$39="pvp",15,MAX(0.1,Skills!D7-IF(TRUE=TRUE,4.5,0))))+1)),0)</f>
        <v/>
      </c>
      <c r="S3118">
        <f>IFERROR(O3118/N3118,0)</f>
        <v/>
      </c>
      <c r="T3118">
        <f>IF(C3118,(H3118*N3118*IF(AND(Inputs!$B$39&lt;&gt;"pvp",Inputs!$B$44&gt;0),((Skills!G7*((R3118-1)*IF(Skills!H7&gt;0,INT(Skills!I7/Skills!H7+0.000000001),1)+IF(Skills!H7&gt;0,INT(MIN(Skills!I7,MAX(0,MAX(0,Inputs!$B$44-B3147)-((R3118-1)*IF(Inputs!$B$39="pvp",15,MAX(0.1,Skills!D7-IF(TRUE=TRUE,4.5,0))))))/Skills!H7+0.000000001),1)))/Inputs!$B$44),G3118*Q3118))*IF(Inputs!$B$39="pvp",1,1+(Inputs!$B$21+0+Skills!P7+((C3128=TRUE)*F3128*IF(AND(Inputs!$B$39&lt;&gt;"pvp",Inputs!$B$44&gt;0),(((R3128-1)*MIN((Skills!T17*(1+Inputs!$B$35/100)),(1/Q3128))+MIN((Skills!T17*(1+Inputs!$B$35/100)),MAX(0,Inputs!$B$44-((R3128-1)*(1/Q3128)))))/Inputs!$B$44),IF(Inputs!$B$39="pvp",MIN((Skills!T17*(1+Inputs!$B$35/100)),15)/15,MIN(1,(Skills!T17*(1+Inputs!$B$35/100))/(1/Q3128)))))+((C3116=TRUE)*IF(Inputs!$B$3&gt;=126,10*MIN(1,15*Q3116),0))+((C3125=TRUE)*IF(Inputs!$B$39="pvp",20,(1-Summary!$B$11)*(20)+Summary!$B$11*(0))*IF(AND(Inputs!$B$39&lt;&gt;"pvp",Inputs!$B$44&gt;0),(((R3125-1)*MIN((Skills!T14*(1+Inputs!$B$35/100)),(1/Q3125))+MIN((Skills!T14*(1+Inputs!$B$35/100)),MAX(0,Inputs!$B$44-((R3125-1)*(1/Q3125)))))/Inputs!$B$44),IF(Inputs!$B$39="pvp",MIN((Skills!T14*(1+Inputs!$B$35/100)),15)/15,MIN(1,(Skills!T14*(1+Inputs!$B$35/100))/(1/Q3125)))))+((C3124=TRUE)*IF(Inputs!$B$3&gt;=82,IF(Inputs!$B$39="pvp",20,(1-Summary!$B$11)*(20)+Summary!$B$11*(0)),0)*IF(AND(Inputs!$B$39&lt;&gt;"pvp",Inputs!$B$44&gt;0),(((R3124-1)*MIN((Skills!T13*(1+Inputs!$B$35/100)),(1/Q3124))+MIN((Skills!T13*(1+Inputs!$B$35/100)),MAX(0,Inputs!$B$44-((R3124-1)*(1/Q3124)))))/Inputs!$B$44),IF(Inputs!$B$39="pvp",MIN((Skills!T13*(1+Inputs!$B$35/100)),15)/15,MIN(1,(Skills!T13*(1+Inputs!$B$35/100))/(1/Q3124)))))+(IF(AND(ArtifactsInput!$M$35,Inputs!$B$4&lt;&gt;"Chapter Hunt"),CHOOSE(ArtifactsInput!$N$35+1,15,18,21,24,27,30)*(1-EXP(-(0.2*B3142)*5)),0)+IF(AND(ArtifactsInput!$M$22,Inputs!$B$4&lt;&gt;"Chapter Hunt"),CHOOSE(ArtifactsInput!$N$22+1,10,12,14,16,18,20)*((0*(((0.15*B3142*5))^0/1)+1*(((0.15*B3142*5))^1/1)+2*(((0.15*B3142*5))^2/2)+3*(((0.15*B3142*5))^3/6)+4*(((0.15*B3142*5))^4/24)+5*(((0.15*B3142*5))^5/120))/((((0.15*B3142*5))^0/1)+(((0.15*B3142*5))^1/1)+(((0.15*B3142*5))^2/2)+(((0.15*B3142*5))^3/6)+(((0.15*B3142*5))^4/24)+(((0.15*B3142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3118*(1-MIN(100,(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3118*(MIN(100,(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3118*(1-MIN(100,(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3118*(MIN(100,(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18">
        <f>IF(C3118,(H3118*N3118*IF(AND(Inputs!$B$39&lt;&gt;"pvp",Inputs!$B$44&gt;0),((Skills!G7*((R3118-1)*IF(Skills!H7&gt;0,INT(Skills!I7/Skills!H7+0.000000001),1)+IF(Skills!H7&gt;0,INT(MIN(Skills!I7,MAX(0,MAX(0,Inputs!$B$44-B3147)-((R3118-1)*IF(Inputs!$B$39="pvp",15,MAX(0.1,Skills!D7-IF(TRUE=TRUE,4.5,0))))))/Skills!H7+0.000000001),1)))/Inputs!$B$44),G3118*Q3118))*IF(Inputs!$B$39="pvp",1,(1+(Inputs!$B$22+Skills!Q7+((C3128=TRUE)*F3128*IF(AND(Inputs!$B$39&lt;&gt;"pvp",Inputs!$B$44&gt;0),(((R3128-1)*MIN((Skills!T17*(1+Inputs!$B$35/100)),(1/Q3128))+MIN((Skills!T17*(1+Inputs!$B$35/100)),MAX(0,Inputs!$B$44-((R3128-1)*(1/Q3128)))))/Inputs!$B$44),IF(Inputs!$B$39="pvp",MIN((Skills!T17*(1+Inputs!$B$35/100)),15)/15,MIN(1,(Skills!T17*(1+Inputs!$B$35/100))/(1/Q3128)))))+((C3116=TRUE)*IF(Inputs!$B$3&gt;=126,10*MIN(1,15*Q3116),0))+((C3125=TRUE)*IF(Inputs!$B$39="pvp",20,(1-Summary!$B$11)*(20)+Summary!$B$11*(0))*IF(AND(Inputs!$B$39&lt;&gt;"pvp",Inputs!$B$44&gt;0),(((R3125-1)*MIN((Skills!T14*(1+Inputs!$B$35/100)),(1/Q3125))+MIN((Skills!T14*(1+Inputs!$B$35/100)),MAX(0,Inputs!$B$44-((R3125-1)*(1/Q3125)))))/Inputs!$B$44),IF(Inputs!$B$39="pvp",MIN((Skills!T14*(1+Inputs!$B$35/100)),15)/15,MIN(1,(Skills!T14*(1+Inputs!$B$35/100))/(1/Q3125)))))+((C3124=TRUE)*IF(Inputs!$B$3&gt;=82,IF(Inputs!$B$39="pvp",20,(1-Summary!$B$11)*(20)+Summary!$B$11*(0)),0)*IF(AND(Inputs!$B$39&lt;&gt;"pvp",Inputs!$B$44&gt;0),(((R3124-1)*MIN((Skills!T13*(1+Inputs!$B$35/100)),(1/Q3124))+MIN((Skills!T13*(1+Inputs!$B$35/100)),MAX(0,Inputs!$B$44-((R3124-1)*(1/Q3124)))))/Inputs!$B$44),IF(Inputs!$B$39="pvp",MIN((Skills!T13*(1+Inputs!$B$35/100)),15)/15,MIN(1,(Skills!T13*(1+Inputs!$B$35/100))/(1/Q3124)))))+(IF(AND(ArtifactsInput!$M$35,Inputs!$B$4&lt;&gt;"Chapter Hunt"),CHOOSE(ArtifactsInput!$N$35+1,15,18,21,24,27,30)*(1-EXP(-(0.2*B3142)*5)),0)+IF(AND(ArtifactsInput!$M$22,Inputs!$B$4&lt;&gt;"Chapter Hunt"),CHOOSE(ArtifactsInput!$N$22+1,10,12,14,16,18,20)*((0*(((0.15*B3142*5))^0/1)+1*(((0.15*B3142*5))^1/1)+2*(((0.15*B3142*5))^2/2)+3*(((0.15*B3142*5))^3/6)+4*(((0.15*B3142*5))^4/24)+5*(((0.15*B3142*5))^5/120))/((((0.15*B3142*5))^0/1)+(((0.15*B3142*5))^1/1)+(((0.15*B3142*5))^2/2)+(((0.15*B3142*5))^3/6)+(((0.15*B3142*5))^4/24)+(((0.15*B3142*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19">
      <c r="A3119">
        <f>Skills!A8</f>
        <v/>
      </c>
      <c r="B3119">
        <f>Skills!B8</f>
        <v/>
      </c>
      <c r="C3119">
        <f>Inputs!$B$3&gt;=75</f>
        <v/>
      </c>
      <c r="D3119">
        <f>IF(Skills!C8=1,60+Inputs!$B$26+Inputs!$B$30,IF(Skills!C8=2,90+Inputs!$B$27+Inputs!$B$30,IF(Skills!C8=3,120+Inputs!$B$28+Inputs!$B$30,MAX(0,(Inputs!$B$3-100)*3)+Inputs!$B$29+Inputs!$B$30)))</f>
        <v/>
      </c>
      <c r="E3119">
        <f>INDEX(FactorTable!$B$2:$Y$301, MATCH(ROUND(MIN(300,MAX(1,D3119)),0), FactorTable!$A$2:$A$301,0), Skills!M8+1)</f>
        <v/>
      </c>
      <c r="F3119">
        <f>IF(Skills!N8=TRUE,(Skills!L8/10)*(E3119/1000),Skills!L8/10)+Skills!O8</f>
        <v/>
      </c>
      <c r="G3119" t="inlineStr"/>
      <c r="H3119" t="inlineStr"/>
      <c r="I3119" t="inlineStr">
        <is>
          <t>1</t>
        </is>
      </c>
      <c r="J3119" t="inlineStr"/>
      <c r="K3119" t="inlineStr"/>
      <c r="L3119" t="inlineStr"/>
      <c r="M3119" t="inlineStr"/>
      <c r="N3119" t="inlineStr"/>
      <c r="O3119" t="inlineStr"/>
      <c r="P3119" t="inlineStr"/>
      <c r="Q3119" t="inlineStr"/>
      <c r="R3119" t="inlineStr"/>
      <c r="S3119" t="inlineStr"/>
    </row>
    <row r="3120">
      <c r="A3120">
        <f>Skills!A9</f>
        <v/>
      </c>
      <c r="B3120">
        <f>Skills!B9</f>
        <v/>
      </c>
      <c r="C3120">
        <f>Inputs!$B$3&gt;=60</f>
        <v/>
      </c>
      <c r="D3120">
        <f>IF(Skills!C9=1,60+Inputs!$B$26+Inputs!$B$30,IF(Skills!C9=2,90+Inputs!$B$27+Inputs!$B$30,IF(Skills!C9=3,120+Inputs!$B$28+Inputs!$B$30,MAX(0,(Inputs!$B$3-100)*3)+Inputs!$B$29+Inputs!$B$30)))</f>
        <v/>
      </c>
      <c r="E3120">
        <f>INDEX(FactorTable!$B$2:$Y$301, MATCH(ROUND(MIN(300,MAX(1,D3120)),0), FactorTable!$A$2:$A$301,0), Skills!M9+1)</f>
        <v/>
      </c>
      <c r="F3120">
        <f>IF(Skills!N9=TRUE,(Skills!L9/10)*(E3120/1000),Skills!L9/10)+Skills!O9</f>
        <v/>
      </c>
      <c r="G3120">
        <f>Skills!G9*IF(Skills!H9&gt;0,INT(IF(Inputs!$B$39="pvp",MIN(Skills!I9,15),Skills!I9)/Skills!H9+0.000000001),1)</f>
        <v/>
      </c>
      <c r="H3120">
        <f>1-(1-Skills!J9/100)^Skills!K9</f>
        <v/>
      </c>
      <c r="I3120" t="inlineStr">
        <is>
          <t>1</t>
        </is>
      </c>
      <c r="J3120">
        <f>((Inputs!$B$6*(1+Inputs!$B$7/100))+(((Inputs!$B$13*(1+Inputs!$B$14/100))-(Inputs!$B$13*(1+Inputs!$B$14/100)))+0.25*(Inputs!$B$15-Inputs!$B$15))*(1+Inputs!$B$7/100))*(F3120/100)</f>
        <v/>
      </c>
      <c r="K3120">
        <f>J3120*(1+(((Inputs!$B$13+IF(Inputs!$B$3&gt;=38,(10*INDEX(FactorTable!$B$2:$Y$301, MATCH(ROUND(MIN(300,MAX(1,Inputs!$B$3)),0), FactorTable!$A$2:$A$301,0), 23)/1000)/100*(Inputs!$B$8*(1+Inputs!$B$9/100)),0))*(1+Inputs!$B$14/100))*0.01+Inputs!$B$15*0.0025)/100)*(1+Inputs!$B$16/100)*(1+Inputs!$B$17/100)*(5000/(6000+Inputs!$B$43*(1-(Inputs!$B$20+0)/100)))*(1+(Inputs!$B$25+((C3136=TRUE)*(F3136-Calc!F25))+((C3137=TRUE)*(F3137-Calc!F26))+B3146)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3122=TRUE,F3122,0)/100)*(1+(IF(Skills!A9="DARK_IMPALE",Inputs!$B$18+0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gt;=100),MIN(100,((Inputs!$B$10+0+B3140+(ArtifactsInput!$M$24-ArtifactsInput!$M$24)*CHOOSE(ArtifactsInput!$N$24+1,10,12,14,16,18,20)+IF(ArtifactsInput!$M$10,CHOOSE(ArtifactsInput!$N$10+1,15,18,21,24,27,30)*(IF(Inputs!$B$39="pvp",MIN(15,15)/15,IF(AND(Inputs!$B$39&lt;&gt;"pvp",Inputs!$B$44&gt;0),MIN(15,Inputs!$B$44)/(Inputs!$B$44),0))),0)))-100),0))*CHOOSE(ArtifactsInput!$N$42+1,0.6,0.72,0.84,0.96,1.08,1.2))),Inputs!$B$19+((C3134=TRUE)*(F3134-Calc!F23))+(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gt;=100),CHOOSE(ArtifactsInput!$N$42+1,40,48,56,64,72,80),0))))/100)*((1+(((C3124=TRUE)*F3124*IF(AND(Inputs!$B$39&lt;&gt;"pvp",Inputs!$B$44&gt;0),(((R3124-1)*MIN((Skills!T13*(1+Inputs!$B$35/100)),(1/Q3124))+MIN((Skills!T13*(1+Inputs!$B$35/100)),MAX(0,Inputs!$B$44-((R3124-1)*(1/Q3124)))))/Inputs!$B$44),IF(Inputs!$B$39="pvp",MIN((Skills!T13*(1+Inputs!$B$35/100)),15)/15,MIN(1,(Skills!T13*(1+Inputs!$B$35/100))/(1/Q3124)))))+((C3125=TRUE)*F3125*IF(AND(Inputs!$B$39&lt;&gt;"pvp",Inputs!$B$44&gt;0),(((R3125-1)*MIN((Skills!T14*(1+Inputs!$B$35/100)),(1/Q3125))+MIN((Skills!T14*(1+Inputs!$B$35/100)),MAX(0,Inputs!$B$44-((R3125-1)*(1/Q3125)))))/Inputs!$B$44),IF(Inputs!$B$39="pvp",MIN((Skills!T14*(1+Inputs!$B$35/100)),15)/15,MIN(1,(Skills!T14*(1+Inputs!$B$35/100))/(1/Q3125)))))+((C3126=TRUE)*F3126*IF(AND(Inputs!$B$39&lt;&gt;"pvp",Inputs!$B$44&gt;0),(((R3126-1)*MIN((Skills!T15*(1+Inputs!$B$35/100)),(1/Q3126))+MIN((Skills!T15*(1+Inputs!$B$35/100)),MAX(0,Inputs!$B$44-((R3126-1)*(1/Q3126)))))/Inputs!$B$44),IF(Inputs!$B$39="pvp",MIN((Skills!T15*(1+Inputs!$B$35/100)),15)/15,MIN(1,(Skills!T15*(1+Inputs!$B$35/100))/(1/Q3126)))))+((C3127=TRUE)*F3127*IF(AND(Inputs!$B$39&lt;&gt;"pvp",Inputs!$B$44&gt;0),(((R3127-1)*MIN((Skills!T16*(1+Inputs!$B$35/100)),(1/Q3127))+MIN((Skills!T16*(1+Inputs!$B$35/100)),MAX(0,Inputs!$B$44-((R3127-1)*(1/Q3127)))))/Inputs!$B$44),IF(Inputs!$B$39="pvp",MIN((Skills!T16*(1+Inputs!$B$35/100)),15)/15,MIN(1,(Skills!T16*(1+Inputs!$B$35/100))/(1/Q3127)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3120)</f>
        <v/>
      </c>
      <c r="L3120">
        <f>K3120*(MIN(Inputs!$B$23+((C3133=TRUE)*(F3133-Calc!F22)),(Inputs!$B$24+((C3135=TRUE)*(F3135-Calc!F24))+(IF(ArtifactsInput!$M$15,CHOOSE(ArtifactsInput!$N$15+1,25,30,35,40,45,50)/100*(Inputs!$B$12-Inputs!$B$12),0))))/100+(Inputs!$B$24+((C3135=TRUE)*(F3135-Calc!F24))+(IF(ArtifactsInput!$M$15,CHOOSE(ArtifactsInput!$N$15+1,25,30,35,40,45,50)/100*(Inputs!$B$12-Inputs!$B$12),0)))/100)/2</f>
        <v/>
      </c>
      <c r="M3120">
        <f>L3120*(1+(Inputs!$B$11+0+B3145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120">
        <f>L3120*(1-MIN((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3120*(MIN((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20">
        <f>(1-Summary!$B$11)*T3120+Summary!$B$11*V3120</f>
        <v/>
      </c>
      <c r="P3120">
        <f>IF(B3150=0,0,O3120/B3150)</f>
        <v/>
      </c>
      <c r="Q3120">
        <f>IFERROR(1/IF(Inputs!$B$39="pvp",15,MAX(0.1,Skills!D9-IF(TRUE=TRUE,4.5,0))),0)</f>
        <v/>
      </c>
      <c r="R3120">
        <f>IF(AND(Inputs!$B$39&lt;&gt;"pvp",Inputs!$B$44&gt;0),IF(MAX(0,Inputs!$B$44-B3147)&lt;=0,0,(INT(MAX(0,Inputs!$B$44-B3147)/IF(Inputs!$B$39="pvp",15,MAX(0.1,Skills!D9-IF(TRUE=TRUE,4.5,0))))+1)),0)</f>
        <v/>
      </c>
      <c r="S3120">
        <f>IFERROR(O3120/N3120,0)</f>
        <v/>
      </c>
      <c r="T3120">
        <f>IF(C3120,(H3120*N3120*IF(AND(Inputs!$B$39&lt;&gt;"pvp",Inputs!$B$44&gt;0),((Skills!G9*((R3120-1)*IF(Skills!H9&gt;0,INT(Skills!I9/Skills!H9+0.000000001),1)+IF(Skills!H9&gt;0,INT(MIN(Skills!I9,MAX(0,MAX(0,Inputs!$B$44-B3147)-((R3120-1)*IF(Inputs!$B$39="pvp",15,MAX(0.1,Skills!D9-IF(TRUE=TRUE,4.5,0))))))/Skills!H9+0.000000001),1)))/Inputs!$B$44),G3120*Q3120))*IF(Inputs!$B$39="pvp",1,1+(Inputs!$B$21+0+Skills!P9+((C3128=TRUE)*F3128*IF(AND(Inputs!$B$39&lt;&gt;"pvp",Inputs!$B$44&gt;0),(((R3128-1)*MIN((Skills!T17*(1+Inputs!$B$35/100)),(1/Q3128))+MIN((Skills!T17*(1+Inputs!$B$35/100)),MAX(0,Inputs!$B$44-((R3128-1)*(1/Q3128)))))/Inputs!$B$44),IF(Inputs!$B$39="pvp",MIN((Skills!T17*(1+Inputs!$B$35/100)),15)/15,MIN(1,(Skills!T17*(1+Inputs!$B$35/100))/(1/Q3128)))))+((C3116=TRUE)*IF(Inputs!$B$3&gt;=126,10*MIN(1,15*Q3116),0))+((C3125=TRUE)*IF(Inputs!$B$39="pvp",20,(1-Summary!$B$11)*(20)+Summary!$B$11*(0))*IF(AND(Inputs!$B$39&lt;&gt;"pvp",Inputs!$B$44&gt;0),(((R3125-1)*MIN((Skills!T14*(1+Inputs!$B$35/100)),(1/Q3125))+MIN((Skills!T14*(1+Inputs!$B$35/100)),MAX(0,Inputs!$B$44-((R3125-1)*(1/Q3125)))))/Inputs!$B$44),IF(Inputs!$B$39="pvp",MIN((Skills!T14*(1+Inputs!$B$35/100)),15)/15,MIN(1,(Skills!T14*(1+Inputs!$B$35/100))/(1/Q3125)))))+((C3124=TRUE)*IF(Inputs!$B$3&gt;=82,IF(Inputs!$B$39="pvp",20,(1-Summary!$B$11)*(20)+Summary!$B$11*(0)),0)*IF(AND(Inputs!$B$39&lt;&gt;"pvp",Inputs!$B$44&gt;0),(((R3124-1)*MIN((Skills!T13*(1+Inputs!$B$35/100)),(1/Q3124))+MIN((Skills!T13*(1+Inputs!$B$35/100)),MAX(0,Inputs!$B$44-((R3124-1)*(1/Q3124)))))/Inputs!$B$44),IF(Inputs!$B$39="pvp",MIN((Skills!T13*(1+Inputs!$B$35/100)),15)/15,MIN(1,(Skills!T13*(1+Inputs!$B$35/100))/(1/Q3124)))))+(IF(AND(ArtifactsInput!$M$35,Inputs!$B$4&lt;&gt;"Chapter Hunt"),CHOOSE(ArtifactsInput!$N$35+1,15,18,21,24,27,30)*(1-EXP(-(0.2*B3142)*5)),0)+IF(AND(ArtifactsInput!$M$22,Inputs!$B$4&lt;&gt;"Chapter Hunt"),CHOOSE(ArtifactsInput!$N$22+1,10,12,14,16,18,20)*((0*(((0.15*B3142*5))^0/1)+1*(((0.15*B3142*5))^1/1)+2*(((0.15*B3142*5))^2/2)+3*(((0.15*B3142*5))^3/6)+4*(((0.15*B3142*5))^4/24)+5*(((0.15*B3142*5))^5/120))/((((0.15*B3142*5))^0/1)+(((0.15*B3142*5))^1/1)+(((0.15*B3142*5))^2/2)+(((0.15*B3142*5))^3/6)+(((0.15*B3142*5))^4/24)+(((0.15*B3142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3120*(1-MIN(100,(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3120*(MIN(100,(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3120*(1-MIN(100,(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3120*(MIN(100,(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20">
        <f>IF(C3120,(H3120*N3120*IF(AND(Inputs!$B$39&lt;&gt;"pvp",Inputs!$B$44&gt;0),((Skills!G9*((R3120-1)*IF(Skills!H9&gt;0,INT(Skills!I9/Skills!H9+0.000000001),1)+IF(Skills!H9&gt;0,INT(MIN(Skills!I9,MAX(0,MAX(0,Inputs!$B$44-B3147)-((R3120-1)*IF(Inputs!$B$39="pvp",15,MAX(0.1,Skills!D9-IF(TRUE=TRUE,4.5,0))))))/Skills!H9+0.000000001),1)))/Inputs!$B$44),G3120*Q3120))*IF(Inputs!$B$39="pvp",1,(1+(Inputs!$B$22+Skills!Q9+((C3128=TRUE)*F3128*IF(AND(Inputs!$B$39&lt;&gt;"pvp",Inputs!$B$44&gt;0),(((R3128-1)*MIN((Skills!T17*(1+Inputs!$B$35/100)),(1/Q3128))+MIN((Skills!T17*(1+Inputs!$B$35/100)),MAX(0,Inputs!$B$44-((R3128-1)*(1/Q3128)))))/Inputs!$B$44),IF(Inputs!$B$39="pvp",MIN((Skills!T17*(1+Inputs!$B$35/100)),15)/15,MIN(1,(Skills!T17*(1+Inputs!$B$35/100))/(1/Q3128)))))+((C3116=TRUE)*IF(Inputs!$B$3&gt;=126,10*MIN(1,15*Q3116),0))+((C3125=TRUE)*IF(Inputs!$B$39="pvp",20,(1-Summary!$B$11)*(20)+Summary!$B$11*(0))*IF(AND(Inputs!$B$39&lt;&gt;"pvp",Inputs!$B$44&gt;0),(((R3125-1)*MIN((Skills!T14*(1+Inputs!$B$35/100)),(1/Q3125))+MIN((Skills!T14*(1+Inputs!$B$35/100)),MAX(0,Inputs!$B$44-((R3125-1)*(1/Q3125)))))/Inputs!$B$44),IF(Inputs!$B$39="pvp",MIN((Skills!T14*(1+Inputs!$B$35/100)),15)/15,MIN(1,(Skills!T14*(1+Inputs!$B$35/100))/(1/Q3125)))))+((C3124=TRUE)*IF(Inputs!$B$3&gt;=82,IF(Inputs!$B$39="pvp",20,(1-Summary!$B$11)*(20)+Summary!$B$11*(0)),0)*IF(AND(Inputs!$B$39&lt;&gt;"pvp",Inputs!$B$44&gt;0),(((R3124-1)*MIN((Skills!T13*(1+Inputs!$B$35/100)),(1/Q3124))+MIN((Skills!T13*(1+Inputs!$B$35/100)),MAX(0,Inputs!$B$44-((R3124-1)*(1/Q3124)))))/Inputs!$B$44),IF(Inputs!$B$39="pvp",MIN((Skills!T13*(1+Inputs!$B$35/100)),15)/15,MIN(1,(Skills!T13*(1+Inputs!$B$35/100))/(1/Q3124)))))+(IF(AND(ArtifactsInput!$M$35,Inputs!$B$4&lt;&gt;"Chapter Hunt"),CHOOSE(ArtifactsInput!$N$35+1,15,18,21,24,27,30)*(1-EXP(-(0.2*B3142)*5)),0)+IF(AND(ArtifactsInput!$M$22,Inputs!$B$4&lt;&gt;"Chapter Hunt"),CHOOSE(ArtifactsInput!$N$22+1,10,12,14,16,18,20)*((0*(((0.15*B3142*5))^0/1)+1*(((0.15*B3142*5))^1/1)+2*(((0.15*B3142*5))^2/2)+3*(((0.15*B3142*5))^3/6)+4*(((0.15*B3142*5))^4/24)+5*(((0.15*B3142*5))^5/120))/((((0.15*B3142*5))^0/1)+(((0.15*B3142*5))^1/1)+(((0.15*B3142*5))^2/2)+(((0.15*B3142*5))^3/6)+(((0.15*B3142*5))^4/24)+(((0.15*B3142*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21">
      <c r="A3121">
        <f>Skills!A10</f>
        <v/>
      </c>
      <c r="B3121">
        <f>Skills!B10</f>
        <v/>
      </c>
      <c r="C3121">
        <f>Inputs!$B$3&gt;=110</f>
        <v/>
      </c>
      <c r="D3121">
        <f>IF(Skills!C10=1,60+Inputs!$B$26+Inputs!$B$30,IF(Skills!C10=2,90+Inputs!$B$27+Inputs!$B$30,IF(Skills!C10=3,120+Inputs!$B$28+Inputs!$B$30,MAX(0,(Inputs!$B$3-100)*3)+Inputs!$B$29+Inputs!$B$30)))</f>
        <v/>
      </c>
      <c r="E3121">
        <f>INDEX(FactorTable!$B$2:$Y$301, MATCH(ROUND(MIN(300,MAX(1,D3121)),0), FactorTable!$A$2:$A$301,0), Skills!M10+1)</f>
        <v/>
      </c>
      <c r="F3121">
        <f>IF(Skills!N10=TRUE,(Skills!L10/10)*(E3121/1000),Skills!L10/10)+Skills!O10</f>
        <v/>
      </c>
      <c r="G3121">
        <f>Skills!G10*IF(Skills!H10&gt;0,INT(IF(Inputs!$B$39="pvp",MIN(Skills!I10,15),Skills!I10)/Skills!H10+0.000000001),1)</f>
        <v/>
      </c>
      <c r="H3121">
        <f>1-(1-Skills!J10/100)^Skills!K10</f>
        <v/>
      </c>
      <c r="I3121" t="inlineStr">
        <is>
          <t>1</t>
        </is>
      </c>
      <c r="J3121">
        <f>((Inputs!$B$6*(1+Inputs!$B$7/100))+(((Inputs!$B$13*(1+Inputs!$B$14/100))-(Inputs!$B$13*(1+Inputs!$B$14/100)))+0.25*(Inputs!$B$15-Inputs!$B$15))*(1+Inputs!$B$7/100))*(F3121/100)</f>
        <v/>
      </c>
      <c r="K3121">
        <f>J3121*(1+(((Inputs!$B$13+IF(Inputs!$B$3&gt;=38,(10*INDEX(FactorTable!$B$2:$Y$301, MATCH(ROUND(MIN(300,MAX(1,Inputs!$B$3)),0), FactorTable!$A$2:$A$301,0), 23)/1000)/100*(Inputs!$B$8*(1+Inputs!$B$9/100)),0))*(1+Inputs!$B$14/100))*0.01+Inputs!$B$15*0.0025)/100)*(1+Inputs!$B$16/100)*(1+Inputs!$B$17/100)*(5000/(6000+Inputs!$B$43*(1-(Inputs!$B$20+0)/100)))*(1+(Inputs!$B$25+((C3136=TRUE)*(F3136-Calc!F25))+((C3137=TRUE)*(F3137-Calc!F26))+B3146)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gt;=100),MIN(100,((Inputs!$B$10+0+B3140+(ArtifactsInput!$M$24-ArtifactsInput!$M$24)*CHOOSE(ArtifactsInput!$N$24+1,10,12,14,16,18,20)+IF(ArtifactsInput!$M$10,CHOOSE(ArtifactsInput!$N$10+1,15,18,21,24,27,30)*(IF(Inputs!$B$39="pvp",MIN(15,15)/15,IF(AND(Inputs!$B$39&lt;&gt;"pvp",Inputs!$B$44&gt;0),MIN(15,Inputs!$B$44)/(Inputs!$B$44),0))),0)))-100),0))*CHOOSE(ArtifactsInput!$N$42+1,0.6,0.72,0.84,0.96,1.08,1.2))),Inputs!$B$19+((C3134=TRUE)*(F3134-Calc!F23))+(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gt;=100),CHOOSE(ArtifactsInput!$N$42+1,40,48,56,64,72,80),0))))/100)*((1+(((C3124=TRUE)*F3124*IF(AND(Inputs!$B$39&lt;&gt;"pvp",Inputs!$B$44&gt;0),(((R3124-1)*MIN((Skills!T13*(1+Inputs!$B$35/100)),(1/Q3124))+MIN((Skills!T13*(1+Inputs!$B$35/100)),MAX(0,Inputs!$B$44-((R3124-1)*(1/Q3124)))))/Inputs!$B$44),IF(Inputs!$B$39="pvp",MIN((Skills!T13*(1+Inputs!$B$35/100)),15)/15,MIN(1,(Skills!T13*(1+Inputs!$B$35/100))/(1/Q3124)))))+((C3125=TRUE)*F3125*IF(AND(Inputs!$B$39&lt;&gt;"pvp",Inputs!$B$44&gt;0),(((R3125-1)*MIN((Skills!T14*(1+Inputs!$B$35/100)),(1/Q3125))+MIN((Skills!T14*(1+Inputs!$B$35/100)),MAX(0,Inputs!$B$44-((R3125-1)*(1/Q3125)))))/Inputs!$B$44),IF(Inputs!$B$39="pvp",MIN((Skills!T14*(1+Inputs!$B$35/100)),15)/15,MIN(1,(Skills!T14*(1+Inputs!$B$35/100))/(1/Q3125)))))+((C3126=TRUE)*F3126*IF(AND(Inputs!$B$39&lt;&gt;"pvp",Inputs!$B$44&gt;0),(((R3126-1)*MIN((Skills!T15*(1+Inputs!$B$35/100)),(1/Q3126))+MIN((Skills!T15*(1+Inputs!$B$35/100)),MAX(0,Inputs!$B$44-((R3126-1)*(1/Q3126)))))/Inputs!$B$44),IF(Inputs!$B$39="pvp",MIN((Skills!T15*(1+Inputs!$B$35/100)),15)/15,MIN(1,(Skills!T15*(1+Inputs!$B$35/100))/(1/Q3126)))))+((C3127=TRUE)*F3127*IF(AND(Inputs!$B$39&lt;&gt;"pvp",Inputs!$B$44&gt;0),(((R3127-1)*MIN((Skills!T16*(1+Inputs!$B$35/100)),(1/Q3127))+MIN((Skills!T16*(1+Inputs!$B$35/100)),MAX(0,Inputs!$B$44-((R3127-1)*(1/Q3127)))))/Inputs!$B$44),IF(Inputs!$B$39="pvp",MIN((Skills!T16*(1+Inputs!$B$35/100)),15)/15,MIN(1,(Skills!T16*(1+Inputs!$B$35/100))/(1/Q3127)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3121)</f>
        <v/>
      </c>
      <c r="L3121">
        <f>K3121*(MIN(Inputs!$B$23+((C3133=TRUE)*(F3133-Calc!F22)),(Inputs!$B$24+((C3135=TRUE)*(F3135-Calc!F24))+(IF(ArtifactsInput!$M$15,CHOOSE(ArtifactsInput!$N$15+1,25,30,35,40,45,50)/100*(Inputs!$B$12-Inputs!$B$12),0))))/100+(Inputs!$B$24+((C3135=TRUE)*(F3135-Calc!F24))+(IF(ArtifactsInput!$M$15,CHOOSE(ArtifactsInput!$N$15+1,25,30,35,40,45,50)/100*(Inputs!$B$12-Inputs!$B$12),0)))/100)/2</f>
        <v/>
      </c>
      <c r="M3121">
        <f>L3121*(1+(Inputs!$B$11+0+B3145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121">
        <f>L3121*(1-MIN((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3121*(MIN((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21">
        <f>(1-Summary!$B$11)*T3121+Summary!$B$11*V3121</f>
        <v/>
      </c>
      <c r="P3121">
        <f>IF(B3150=0,0,O3121/B3150)</f>
        <v/>
      </c>
      <c r="Q3121">
        <f>IFERROR(1/IF(Inputs!$B$39="pvp",15,MAX(0.1,Skills!D10-IF(TRUE=TRUE,4.5,0))),0)</f>
        <v/>
      </c>
      <c r="R3121">
        <f>IF(AND(Inputs!$B$39&lt;&gt;"pvp",Inputs!$B$44&gt;0),IF(MAX(0,Inputs!$B$44-B3147)&lt;=0,0,(INT(MAX(0,Inputs!$B$44-B3147)/IF(Inputs!$B$39="pvp",15,MAX(0.1,Skills!D10-IF(TRUE=TRUE,4.5,0))))+1)),0)</f>
        <v/>
      </c>
      <c r="S3121">
        <f>IFERROR(O3121/N3121,0)</f>
        <v/>
      </c>
      <c r="T3121">
        <f>IF(C3121,(H3121*N3121*IF(AND(Inputs!$B$39&lt;&gt;"pvp",Inputs!$B$44&gt;0),((Skills!G10*((R3121-1)*IF(Skills!H10&gt;0,INT(Skills!I10/Skills!H10+0.000000001),1)+IF(Skills!H10&gt;0,INT(MIN(Skills!I10,MAX(0,MAX(0,Inputs!$B$44-B3147)-((R3121-1)*IF(Inputs!$B$39="pvp",15,MAX(0.1,Skills!D10-IF(TRUE=TRUE,4.5,0))))))/Skills!H10+0.000000001),1)))/Inputs!$B$44),G3121*Q3121))*IF(Inputs!$B$39="pvp",1,1+(Inputs!$B$21+0+Skills!P10+((C3128=TRUE)*F3128*IF(AND(Inputs!$B$39&lt;&gt;"pvp",Inputs!$B$44&gt;0),(((R3128-1)*MIN((Skills!T17*(1+Inputs!$B$35/100)),(1/Q3128))+MIN((Skills!T17*(1+Inputs!$B$35/100)),MAX(0,Inputs!$B$44-((R3128-1)*(1/Q3128)))))/Inputs!$B$44),IF(Inputs!$B$39="pvp",MIN((Skills!T17*(1+Inputs!$B$35/100)),15)/15,MIN(1,(Skills!T17*(1+Inputs!$B$35/100))/(1/Q3128)))))+((C3116=TRUE)*IF(Inputs!$B$3&gt;=126,10*MIN(1,15*Q3116),0))+((C3125=TRUE)*IF(Inputs!$B$39="pvp",20,(1-Summary!$B$11)*(20)+Summary!$B$11*(0))*IF(AND(Inputs!$B$39&lt;&gt;"pvp",Inputs!$B$44&gt;0),(((R3125-1)*MIN((Skills!T14*(1+Inputs!$B$35/100)),(1/Q3125))+MIN((Skills!T14*(1+Inputs!$B$35/100)),MAX(0,Inputs!$B$44-((R3125-1)*(1/Q3125)))))/Inputs!$B$44),IF(Inputs!$B$39="pvp",MIN((Skills!T14*(1+Inputs!$B$35/100)),15)/15,MIN(1,(Skills!T14*(1+Inputs!$B$35/100))/(1/Q3125)))))+((C3124=TRUE)*IF(Inputs!$B$3&gt;=82,IF(Inputs!$B$39="pvp",20,(1-Summary!$B$11)*(20)+Summary!$B$11*(0)),0)*IF(AND(Inputs!$B$39&lt;&gt;"pvp",Inputs!$B$44&gt;0),(((R3124-1)*MIN((Skills!T13*(1+Inputs!$B$35/100)),(1/Q3124))+MIN((Skills!T13*(1+Inputs!$B$35/100)),MAX(0,Inputs!$B$44-((R3124-1)*(1/Q3124)))))/Inputs!$B$44),IF(Inputs!$B$39="pvp",MIN((Skills!T13*(1+Inputs!$B$35/100)),15)/15,MIN(1,(Skills!T13*(1+Inputs!$B$35/100))/(1/Q3124)))))+(IF(AND(ArtifactsInput!$M$35,Inputs!$B$4&lt;&gt;"Chapter Hunt"),CHOOSE(ArtifactsInput!$N$35+1,15,18,21,24,27,30)*(1-EXP(-(0.2*B3142)*5)),0)+IF(AND(ArtifactsInput!$M$22,Inputs!$B$4&lt;&gt;"Chapter Hunt"),CHOOSE(ArtifactsInput!$N$22+1,10,12,14,16,18,20)*((0*(((0.15*B3142*5))^0/1)+1*(((0.15*B3142*5))^1/1)+2*(((0.15*B3142*5))^2/2)+3*(((0.15*B3142*5))^3/6)+4*(((0.15*B3142*5))^4/24)+5*(((0.15*B3142*5))^5/120))/((((0.15*B3142*5))^0/1)+(((0.15*B3142*5))^1/1)+(((0.15*B3142*5))^2/2)+(((0.15*B3142*5))^3/6)+(((0.15*B3142*5))^4/24)+(((0.15*B3142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3121*(1-MIN(100,(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3121*(MIN(100,(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3121*(1-MIN(100,(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3121*(MIN(100,(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21">
        <f>IF(C3121,(H3121*N3121*IF(AND(Inputs!$B$39&lt;&gt;"pvp",Inputs!$B$44&gt;0),((Skills!G10*((R3121-1)*IF(Skills!H10&gt;0,INT(Skills!I10/Skills!H10+0.000000001),1)+IF(Skills!H10&gt;0,INT(MIN(Skills!I10,MAX(0,MAX(0,Inputs!$B$44-B3147)-((R3121-1)*IF(Inputs!$B$39="pvp",15,MAX(0.1,Skills!D10-IF(TRUE=TRUE,4.5,0))))))/Skills!H10+0.000000001),1)))/Inputs!$B$44),G3121*Q3121))*IF(Inputs!$B$39="pvp",1,(1+(Inputs!$B$22+Skills!Q10+((C3128=TRUE)*F3128*IF(AND(Inputs!$B$39&lt;&gt;"pvp",Inputs!$B$44&gt;0),(((R3128-1)*MIN((Skills!T17*(1+Inputs!$B$35/100)),(1/Q3128))+MIN((Skills!T17*(1+Inputs!$B$35/100)),MAX(0,Inputs!$B$44-((R3128-1)*(1/Q3128)))))/Inputs!$B$44),IF(Inputs!$B$39="pvp",MIN((Skills!T17*(1+Inputs!$B$35/100)),15)/15,MIN(1,(Skills!T17*(1+Inputs!$B$35/100))/(1/Q3128)))))+((C3116=TRUE)*IF(Inputs!$B$3&gt;=126,10*MIN(1,15*Q3116),0))+((C3125=TRUE)*IF(Inputs!$B$39="pvp",20,(1-Summary!$B$11)*(20)+Summary!$B$11*(0))*IF(AND(Inputs!$B$39&lt;&gt;"pvp",Inputs!$B$44&gt;0),(((R3125-1)*MIN((Skills!T14*(1+Inputs!$B$35/100)),(1/Q3125))+MIN((Skills!T14*(1+Inputs!$B$35/100)),MAX(0,Inputs!$B$44-((R3125-1)*(1/Q3125)))))/Inputs!$B$44),IF(Inputs!$B$39="pvp",MIN((Skills!T14*(1+Inputs!$B$35/100)),15)/15,MIN(1,(Skills!T14*(1+Inputs!$B$35/100))/(1/Q3125)))))+((C3124=TRUE)*IF(Inputs!$B$3&gt;=82,IF(Inputs!$B$39="pvp",20,(1-Summary!$B$11)*(20)+Summary!$B$11*(0)),0)*IF(AND(Inputs!$B$39&lt;&gt;"pvp",Inputs!$B$44&gt;0),(((R3124-1)*MIN((Skills!T13*(1+Inputs!$B$35/100)),(1/Q3124))+MIN((Skills!T13*(1+Inputs!$B$35/100)),MAX(0,Inputs!$B$44-((R3124-1)*(1/Q3124)))))/Inputs!$B$44),IF(Inputs!$B$39="pvp",MIN((Skills!T13*(1+Inputs!$B$35/100)),15)/15,MIN(1,(Skills!T13*(1+Inputs!$B$35/100))/(1/Q3124)))))+(IF(AND(ArtifactsInput!$M$35,Inputs!$B$4&lt;&gt;"Chapter Hunt"),CHOOSE(ArtifactsInput!$N$35+1,15,18,21,24,27,30)*(1-EXP(-(0.2*B3142)*5)),0)+IF(AND(ArtifactsInput!$M$22,Inputs!$B$4&lt;&gt;"Chapter Hunt"),CHOOSE(ArtifactsInput!$N$22+1,10,12,14,16,18,20)*((0*(((0.15*B3142*5))^0/1)+1*(((0.15*B3142*5))^1/1)+2*(((0.15*B3142*5))^2/2)+3*(((0.15*B3142*5))^3/6)+4*(((0.15*B3142*5))^4/24)+5*(((0.15*B3142*5))^5/120))/((((0.15*B3142*5))^0/1)+(((0.15*B3142*5))^1/1)+(((0.15*B3142*5))^2/2)+(((0.15*B3142*5))^3/6)+(((0.15*B3142*5))^4/24)+(((0.15*B3142*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22">
      <c r="A3122">
        <f>Skills!A11</f>
        <v/>
      </c>
      <c r="B3122">
        <f>Skills!B11</f>
        <v/>
      </c>
      <c r="C3122">
        <f>Inputs!$B$3&gt;=100</f>
        <v/>
      </c>
      <c r="D3122">
        <f>IF(Skills!C11=1,60+Inputs!$B$26+Inputs!$B$30,IF(Skills!C11=2,90+Inputs!$B$27+Inputs!$B$30,IF(Skills!C11=3,120+Inputs!$B$28+Inputs!$B$30,MAX(0,(Inputs!$B$3-100)*3)+Inputs!$B$29+Inputs!$B$30)))</f>
        <v/>
      </c>
      <c r="E3122">
        <f>INDEX(FactorTable!$B$2:$Y$301, MATCH(ROUND(MIN(300,MAX(1,D3122)),0), FactorTable!$A$2:$A$301,0), Skills!M11+1)</f>
        <v/>
      </c>
      <c r="F3122">
        <f>IF(Skills!N11=TRUE,(Skills!L11/10)*(E3122/1000),Skills!L11/10)+Skills!O11</f>
        <v/>
      </c>
      <c r="G3122" t="inlineStr"/>
      <c r="H3122" t="inlineStr"/>
      <c r="I3122" t="inlineStr">
        <is>
          <t>1</t>
        </is>
      </c>
      <c r="J3122" t="inlineStr"/>
      <c r="K3122" t="inlineStr"/>
      <c r="L3122" t="inlineStr"/>
      <c r="M3122" t="inlineStr"/>
      <c r="N3122" t="inlineStr"/>
      <c r="O3122" t="inlineStr"/>
      <c r="P3122" t="inlineStr"/>
      <c r="Q3122" t="inlineStr"/>
      <c r="R3122" t="inlineStr"/>
      <c r="S3122" t="inlineStr"/>
    </row>
    <row r="3123">
      <c r="A3123">
        <f>Skills!A12</f>
        <v/>
      </c>
      <c r="B3123">
        <f>Skills!B12</f>
        <v/>
      </c>
      <c r="C3123">
        <f>Inputs!$B$3&gt;=63</f>
        <v/>
      </c>
      <c r="D3123">
        <f>IF(Skills!C12=1,60+Inputs!$B$26+Inputs!$B$30,IF(Skills!C12=2,90+Inputs!$B$27+Inputs!$B$30,IF(Skills!C12=3,120+Inputs!$B$28+Inputs!$B$30,MAX(0,(Inputs!$B$3-100)*3)+Inputs!$B$29+Inputs!$B$30)))</f>
        <v/>
      </c>
      <c r="E3123">
        <f>INDEX(FactorTable!$B$2:$Y$301, MATCH(ROUND(MIN(300,MAX(1,D3123)),0), FactorTable!$A$2:$A$301,0), Skills!M12+1)</f>
        <v/>
      </c>
      <c r="F3123">
        <f>IF(Skills!N12=TRUE,(Skills!L12/10)*(E3123/1000),Skills!L12/10)+Skills!O12</f>
        <v/>
      </c>
      <c r="G3123">
        <f>Skills!G12*IF(Skills!H12&gt;0,INT(IF(Inputs!$B$39="pvp",MIN(Skills!I12,15),Skills!I12)/Skills!H12+0.000000001),1)</f>
        <v/>
      </c>
      <c r="H3123">
        <f>1-(1-Skills!J12/100)^Skills!K12</f>
        <v/>
      </c>
      <c r="I3123" t="inlineStr">
        <is>
          <t>1</t>
        </is>
      </c>
      <c r="J3123">
        <f>((Inputs!$B$6*(1+Inputs!$B$7/100))+(((Inputs!$B$13*(1+Inputs!$B$14/100))-(Inputs!$B$13*(1+Inputs!$B$14/100)))+0.25*(Inputs!$B$15-Inputs!$B$15))*(1+Inputs!$B$7/100))*(F3123/100)</f>
        <v/>
      </c>
      <c r="K3123">
        <f>J3123*(1+(((Inputs!$B$13+IF(Inputs!$B$3&gt;=38,(10*INDEX(FactorTable!$B$2:$Y$301, MATCH(ROUND(MIN(300,MAX(1,Inputs!$B$3)),0), FactorTable!$A$2:$A$301,0), 23)/1000)/100*(Inputs!$B$8*(1+Inputs!$B$9/100)),0))*(1+Inputs!$B$14/100))*0.01+Inputs!$B$15*0.0025)/100)*(1+Inputs!$B$16/100)*(1+Inputs!$B$17/100)*(5000/(6000+Inputs!$B$43*(1-(Inputs!$B$20+0)/100)))*(1+(Inputs!$B$25+((C3136=TRUE)*(F3136-Calc!F25))+((C3137=TRUE)*(F3137-Calc!F26))+B3146)/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3122=TRUE,F3122,0)/100)*(1+(IF(Skills!A12="DARK_IMPALE",Inputs!$B$18+0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gt;=100),MIN(100,((Inputs!$B$10+0+B3140+(ArtifactsInput!$M$24-ArtifactsInput!$M$24)*CHOOSE(ArtifactsInput!$N$24+1,10,12,14,16,18,20)+IF(ArtifactsInput!$M$10,CHOOSE(ArtifactsInput!$N$10+1,15,18,21,24,27,30)*(IF(Inputs!$B$39="pvp",MIN(15,15)/15,IF(AND(Inputs!$B$39&lt;&gt;"pvp",Inputs!$B$44&gt;0),MIN(15,Inputs!$B$44)/(Inputs!$B$44),0))),0)))-100),0))*CHOOSE(ArtifactsInput!$N$42+1,0.6,0.72,0.84,0.96,1.08,1.2))),Inputs!$B$19+((C3134=TRUE)*(F3134-Calc!F23))+(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gt;=100),CHOOSE(ArtifactsInput!$N$42+1,40,48,56,64,72,80),0))))/100)*((1+(((C3124=TRUE)*F3124*IF(AND(Inputs!$B$39&lt;&gt;"pvp",Inputs!$B$44&gt;0),(((R3124-1)*MIN((Skills!T13*(1+Inputs!$B$35/100)),(1/Q3124))+MIN((Skills!T13*(1+Inputs!$B$35/100)),MAX(0,Inputs!$B$44-((R3124-1)*(1/Q3124)))))/Inputs!$B$44),IF(Inputs!$B$39="pvp",MIN((Skills!T13*(1+Inputs!$B$35/100)),15)/15,MIN(1,(Skills!T13*(1+Inputs!$B$35/100))/(1/Q3124)))))+((C3125=TRUE)*F3125*IF(AND(Inputs!$B$39&lt;&gt;"pvp",Inputs!$B$44&gt;0),(((R3125-1)*MIN((Skills!T14*(1+Inputs!$B$35/100)),(1/Q3125))+MIN((Skills!T14*(1+Inputs!$B$35/100)),MAX(0,Inputs!$B$44-((R3125-1)*(1/Q3125)))))/Inputs!$B$44),IF(Inputs!$B$39="pvp",MIN((Skills!T14*(1+Inputs!$B$35/100)),15)/15,MIN(1,(Skills!T14*(1+Inputs!$B$35/100))/(1/Q3125)))))+((C3126=TRUE)*F3126*IF(AND(Inputs!$B$39&lt;&gt;"pvp",Inputs!$B$44&gt;0),(((R3126-1)*MIN((Skills!T15*(1+Inputs!$B$35/100)),(1/Q3126))+MIN((Skills!T15*(1+Inputs!$B$35/100)),MAX(0,Inputs!$B$44-((R3126-1)*(1/Q3126)))))/Inputs!$B$44),IF(Inputs!$B$39="pvp",MIN((Skills!T15*(1+Inputs!$B$35/100)),15)/15,MIN(1,(Skills!T15*(1+Inputs!$B$35/100))/(1/Q3126)))))+((C3127=TRUE)*F3127*IF(AND(Inputs!$B$39&lt;&gt;"pvp",Inputs!$B$44&gt;0),(((R3127-1)*MIN((Skills!T16*(1+Inputs!$B$35/100)),(1/Q3127))+MIN((Skills!T16*(1+Inputs!$B$35/100)),MAX(0,Inputs!$B$44-((R3127-1)*(1/Q3127)))))/Inputs!$B$44),IF(Inputs!$B$39="pvp",MIN((Skills!T16*(1+Inputs!$B$35/100)),15)/15,MIN(1,(Skills!T16*(1+Inputs!$B$35/100))/(1/Q3127)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3123)</f>
        <v/>
      </c>
      <c r="L3123">
        <f>K3123*(MIN(Inputs!$B$23+((C3133=TRUE)*(F3133-Calc!F22)),(Inputs!$B$24+((C3135=TRUE)*(F3135-Calc!F24))+(IF(ArtifactsInput!$M$15,CHOOSE(ArtifactsInput!$N$15+1,25,30,35,40,45,50)/100*(Inputs!$B$12-Inputs!$B$12),0))))/100+(Inputs!$B$24+((C3135=TRUE)*(F3135-Calc!F24))+(IF(ArtifactsInput!$M$15,CHOOSE(ArtifactsInput!$N$15+1,25,30,35,40,45,50)/100*(Inputs!$B$12-Inputs!$B$12),0)))/100)/2</f>
        <v/>
      </c>
      <c r="M3123">
        <f>L3123*(1+(Inputs!$B$11+0+B3145+(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123">
        <f>L3123*(1-MIN((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3123*(MIN((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23">
        <f>(1-Summary!$B$11)*T3123+Summary!$B$11*V3123</f>
        <v/>
      </c>
      <c r="P3123">
        <f>IF(B3150=0,0,O3123/B3150)</f>
        <v/>
      </c>
      <c r="Q3123">
        <f>IFERROR(1/IF(Inputs!$B$39="pvp",15,MAX(0.1,Skills!D12-IF(TRUE=TRUE,4.5,0))),0)</f>
        <v/>
      </c>
      <c r="R3123">
        <f>IF(AND(Inputs!$B$39&lt;&gt;"pvp",Inputs!$B$44&gt;0),IF(MAX(0,Inputs!$B$44-B3147)&lt;=0,0,(INT(MAX(0,Inputs!$B$44-B3147)/IF(Inputs!$B$39="pvp",15,MAX(0.1,Skills!D12-IF(TRUE=TRUE,4.5,0))))+1)),0)</f>
        <v/>
      </c>
      <c r="S3123">
        <f>IFERROR(O3123/N3123,0)</f>
        <v/>
      </c>
      <c r="T3123">
        <f>IF(C3123,(H3123*N3123*IF(AND(Inputs!$B$39&lt;&gt;"pvp",Inputs!$B$44&gt;0),((Skills!G12*((R3123-1)*IF(Skills!H12&gt;0,INT(Skills!I12/Skills!H12+0.000000001),1)+IF(Skills!H12&gt;0,INT(MIN(Skills!I12,MAX(0,MAX(0,Inputs!$B$44-B3147)-((R3123-1)*IF(Inputs!$B$39="pvp",15,MAX(0.1,Skills!D12-IF(TRUE=TRUE,4.5,0))))))/Skills!H12+0.000000001),1)))/Inputs!$B$44),G3123*Q3123))*IF(Inputs!$B$39="pvp",1,1+(Inputs!$B$21+0+Skills!P12+((C3128=TRUE)*F3128*IF(AND(Inputs!$B$39&lt;&gt;"pvp",Inputs!$B$44&gt;0),(((R3128-1)*MIN((Skills!T17*(1+Inputs!$B$35/100)),(1/Q3128))+MIN((Skills!T17*(1+Inputs!$B$35/100)),MAX(0,Inputs!$B$44-((R3128-1)*(1/Q3128)))))/Inputs!$B$44),IF(Inputs!$B$39="pvp",MIN((Skills!T17*(1+Inputs!$B$35/100)),15)/15,MIN(1,(Skills!T17*(1+Inputs!$B$35/100))/(1/Q3128)))))+((C3116=TRUE)*IF(Inputs!$B$3&gt;=126,10*MIN(1,15*Q3116),0))+((C3125=TRUE)*IF(Inputs!$B$39="pvp",20,(1-Summary!$B$11)*(20)+Summary!$B$11*(0))*IF(AND(Inputs!$B$39&lt;&gt;"pvp",Inputs!$B$44&gt;0),(((R3125-1)*MIN((Skills!T14*(1+Inputs!$B$35/100)),(1/Q3125))+MIN((Skills!T14*(1+Inputs!$B$35/100)),MAX(0,Inputs!$B$44-((R3125-1)*(1/Q3125)))))/Inputs!$B$44),IF(Inputs!$B$39="pvp",MIN((Skills!T14*(1+Inputs!$B$35/100)),15)/15,MIN(1,(Skills!T14*(1+Inputs!$B$35/100))/(1/Q3125)))))+((C3124=TRUE)*IF(Inputs!$B$3&gt;=82,IF(Inputs!$B$39="pvp",20,(1-Summary!$B$11)*(20)+Summary!$B$11*(0)),0)*IF(AND(Inputs!$B$39&lt;&gt;"pvp",Inputs!$B$44&gt;0),(((R3124-1)*MIN((Skills!T13*(1+Inputs!$B$35/100)),(1/Q3124))+MIN((Skills!T13*(1+Inputs!$B$35/100)),MAX(0,Inputs!$B$44-((R3124-1)*(1/Q3124)))))/Inputs!$B$44),IF(Inputs!$B$39="pvp",MIN((Skills!T13*(1+Inputs!$B$35/100)),15)/15,MIN(1,(Skills!T13*(1+Inputs!$B$35/100))/(1/Q3124)))))+(IF(AND(ArtifactsInput!$M$35,Inputs!$B$4&lt;&gt;"Chapter Hunt"),CHOOSE(ArtifactsInput!$N$35+1,15,18,21,24,27,30)*(1-EXP(-(0.2*B3142)*5)),0)+IF(AND(ArtifactsInput!$M$22,Inputs!$B$4&lt;&gt;"Chapter Hunt"),CHOOSE(ArtifactsInput!$N$22+1,10,12,14,16,18,20)*((0*(((0.15*B3142*5))^0/1)+1*(((0.15*B3142*5))^1/1)+2*(((0.15*B3142*5))^2/2)+3*(((0.15*B3142*5))^3/6)+4*(((0.15*B3142*5))^4/24)+5*(((0.15*B3142*5))^5/120))/((((0.15*B3142*5))^0/1)+(((0.15*B3142*5))^1/1)+(((0.15*B3142*5))^2/2)+(((0.15*B3142*5))^3/6)+(((0.15*B3142*5))^4/24)+(((0.15*B3142*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3123*(1-MIN(100,(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3123*(MIN(100,(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3123*(1-MIN(100,(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3123*(MIN(100,(Inputs!$B$10+0+B3140+(ArtifactsInput!$M$24-ArtifactsInput!$M$24)*CHOOSE(ArtifactsInput!$N$24+1,10,12,14,16,18,20)+(IF(AND(Inputs!$B$39&lt;&gt;"pvp",Inputs!$B$44=0),1,IF(IF(Inputs!$B$39="pvp",15,Inputs!$B$44)-(B3147)&lt;=0,1,MAX(0,IF(Inputs!$B$39="pvp",15,Inputs!$B$44)-MAX(5,B3147))/(IF(Inputs!$B$39="pvp",15,Inputs!$B$44)-(B3147))))*IF(AND(ArtifactsInput!$M$42,((Inputs!$B$10+0+B3140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23">
        <f>IF(C3123,(H3123*N3123*IF(AND(Inputs!$B$39&lt;&gt;"pvp",Inputs!$B$44&gt;0),((Skills!G12*((R3123-1)*IF(Skills!H12&gt;0,INT(Skills!I12/Skills!H12+0.000000001),1)+IF(Skills!H12&gt;0,INT(MIN(Skills!I12,MAX(0,MAX(0,Inputs!$B$44-B3147)-((R3123-1)*IF(Inputs!$B$39="pvp",15,MAX(0.1,Skills!D12-IF(TRUE=TRUE,4.5,0))))))/Skills!H12+0.000000001),1)))/Inputs!$B$44),G3123*Q3123))*IF(Inputs!$B$39="pvp",1,(1+(Inputs!$B$22+Skills!Q12+((C3128=TRUE)*F3128*IF(AND(Inputs!$B$39&lt;&gt;"pvp",Inputs!$B$44&gt;0),(((R3128-1)*MIN((Skills!T17*(1+Inputs!$B$35/100)),(1/Q3128))+MIN((Skills!T17*(1+Inputs!$B$35/100)),MAX(0,Inputs!$B$44-((R3128-1)*(1/Q3128)))))/Inputs!$B$44),IF(Inputs!$B$39="pvp",MIN((Skills!T17*(1+Inputs!$B$35/100)),15)/15,MIN(1,(Skills!T17*(1+Inputs!$B$35/100))/(1/Q3128)))))+((C3116=TRUE)*IF(Inputs!$B$3&gt;=126,10*MIN(1,15*Q3116),0))+((C3125=TRUE)*IF(Inputs!$B$39="pvp",20,(1-Summary!$B$11)*(20)+Summary!$B$11*(0))*IF(AND(Inputs!$B$39&lt;&gt;"pvp",Inputs!$B$44&gt;0),(((R3125-1)*MIN((Skills!T14*(1+Inputs!$B$35/100)),(1/Q3125))+MIN((Skills!T14*(1+Inputs!$B$35/100)),MAX(0,Inputs!$B$44-((R3125-1)*(1/Q3125)))))/Inputs!$B$44),IF(Inputs!$B$39="pvp",MIN((Skills!T14*(1+Inputs!$B$35/100)),15)/15,MIN(1,(Skills!T14*(1+Inputs!$B$35/100))/(1/Q3125)))))+((C3124=TRUE)*IF(Inputs!$B$3&gt;=82,IF(Inputs!$B$39="pvp",20,(1-Summary!$B$11)*(20)+Summary!$B$11*(0)),0)*IF(AND(Inputs!$B$39&lt;&gt;"pvp",Inputs!$B$44&gt;0),(((R3124-1)*MIN((Skills!T13*(1+Inputs!$B$35/100)),(1/Q3124))+MIN((Skills!T13*(1+Inputs!$B$35/100)),MAX(0,Inputs!$B$44-((R3124-1)*(1/Q3124)))))/Inputs!$B$44),IF(Inputs!$B$39="pvp",MIN((Skills!T13*(1+Inputs!$B$35/100)),15)/15,MIN(1,(Skills!T13*(1+Inputs!$B$35/100))/(1/Q3124)))))+(IF(AND(ArtifactsInput!$M$35,Inputs!$B$4&lt;&gt;"Chapter Hunt"),CHOOSE(ArtifactsInput!$N$35+1,15,18,21,24,27,30)*(1-EXP(-(0.2*B3142)*5)),0)+IF(AND(ArtifactsInput!$M$22,Inputs!$B$4&lt;&gt;"Chapter Hunt"),CHOOSE(ArtifactsInput!$N$22+1,10,12,14,16,18,20)*((0*(((0.15*B3142*5))^0/1)+1*(((0.15*B3142*5))^1/1)+2*(((0.15*B3142*5))^2/2)+3*(((0.15*B3142*5))^3/6)+4*(((0.15*B3142*5))^4/24)+5*(((0.15*B3142*5))^5/120))/((((0.15*B3142*5))^0/1)+(((0.15*B3142*5))^1/1)+(((0.15*B3142*5))^2/2)+(((0.15*B3142*5))^3/6)+(((0.15*B3142*5))^4/24)+(((0.15*B3142*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24">
      <c r="A3124">
        <f>Skills!A13</f>
        <v/>
      </c>
      <c r="B3124">
        <f>Skills!B13</f>
        <v/>
      </c>
      <c r="C3124">
        <f>Inputs!$B$3&gt;=69</f>
        <v/>
      </c>
      <c r="D3124">
        <f>IF(Skills!C13=1,60+Inputs!$B$26+Inputs!$B$30,IF(Skills!C13=2,90+Inputs!$B$27+Inputs!$B$30,IF(Skills!C13=3,120+Inputs!$B$28+Inputs!$B$30,MAX(0,(Inputs!$B$3-100)*3)+Inputs!$B$29+Inputs!$B$30)))</f>
        <v/>
      </c>
      <c r="E3124">
        <f>INDEX(FactorTable!$B$2:$Y$301, MATCH(ROUND(MIN(300,MAX(1,D3124)),0), FactorTable!$A$2:$A$301,0), Skills!M13+1)</f>
        <v/>
      </c>
      <c r="F3124">
        <f>IF(Skills!N13=TRUE,(Skills!L13/10)*(E3124/1000),Skills!L13/10)+Skills!O13</f>
        <v/>
      </c>
      <c r="G3124">
        <f>Skills!G13*IF(Skills!H13&gt;0,INT(IF(Inputs!$B$39="pvp",MIN(Skills!I13,15),Skills!I13)/Skills!H13+0.000000001),1)</f>
        <v/>
      </c>
      <c r="H3124">
        <f>1-(1-Skills!J13/100)^Skills!K13</f>
        <v/>
      </c>
      <c r="I3124" t="inlineStr">
        <is>
          <t>1</t>
        </is>
      </c>
      <c r="J3124" t="inlineStr"/>
      <c r="K3124" t="inlineStr"/>
      <c r="L3124" t="inlineStr"/>
      <c r="M3124" t="inlineStr"/>
      <c r="N3124" t="inlineStr"/>
      <c r="O3124">
        <f>(1-Summary!$B$11)*T3124+Summary!$B$11*V3124</f>
        <v/>
      </c>
      <c r="P3124">
        <f>IF(B3150=0,0,O3124/B3150)</f>
        <v/>
      </c>
      <c r="Q3124">
        <f>IFERROR(1/IF(Inputs!$B$39="pvp",15,MAX(0.1,Skills!D13-IF(TRUE=TRUE,4.5,0))),0)</f>
        <v/>
      </c>
      <c r="R3124">
        <f>IF(AND(Inputs!$B$39&lt;&gt;"pvp",Inputs!$B$44&gt;0),IF(Inputs!$B$44&lt;=0,0,(INT(Inputs!$B$44/IF(Inputs!$B$39="pvp",15,MAX(0.1,Skills!D13-IF(TRUE=TRUE,4.5,0))))+1)),0)</f>
        <v/>
      </c>
      <c r="S3124">
        <f>IFERROR(O3124/N3124,0)</f>
        <v/>
      </c>
      <c r="T3124" t="n">
        <v>0</v>
      </c>
      <c r="V3124" t="n">
        <v>0</v>
      </c>
    </row>
    <row r="3125">
      <c r="A3125">
        <f>Skills!A14</f>
        <v/>
      </c>
      <c r="B3125">
        <f>Skills!B14</f>
        <v/>
      </c>
      <c r="C3125">
        <f>Inputs!$B$3&gt;=115</f>
        <v/>
      </c>
      <c r="D3125">
        <f>IF(Skills!C14=1,60+Inputs!$B$26+Inputs!$B$30,IF(Skills!C14=2,90+Inputs!$B$27+Inputs!$B$30,IF(Skills!C14=3,120+Inputs!$B$28+Inputs!$B$30,MAX(0,(Inputs!$B$3-100)*3)+Inputs!$B$29+Inputs!$B$30)))</f>
        <v/>
      </c>
      <c r="E3125">
        <f>INDEX(FactorTable!$B$2:$Y$301, MATCH(ROUND(MIN(300,MAX(1,D3125)),0), FactorTable!$A$2:$A$301,0), Skills!M14+1)</f>
        <v/>
      </c>
      <c r="F3125">
        <f>IF(Skills!N14=TRUE,(Skills!L14/10)*(E3125/1000),Skills!L14/10)+Skills!O14</f>
        <v/>
      </c>
      <c r="G3125">
        <f>Skills!G14*IF(Skills!H14&gt;0,INT(IF(Inputs!$B$39="pvp",MIN(Skills!I14,15),Skills!I14)/Skills!H14+0.000000001),1)</f>
        <v/>
      </c>
      <c r="H3125">
        <f>1-(1-Skills!J14/100)^Skills!K14</f>
        <v/>
      </c>
      <c r="I3125" t="inlineStr">
        <is>
          <t>1</t>
        </is>
      </c>
      <c r="J3125" t="inlineStr"/>
      <c r="K3125" t="inlineStr"/>
      <c r="L3125" t="inlineStr"/>
      <c r="M3125" t="inlineStr"/>
      <c r="N3125" t="inlineStr"/>
      <c r="O3125">
        <f>(1-Summary!$B$11)*T3125+Summary!$B$11*V3125</f>
        <v/>
      </c>
      <c r="P3125">
        <f>IF(B3150=0,0,O3125/B3150)</f>
        <v/>
      </c>
      <c r="Q3125">
        <f>IFERROR(1/IF(Inputs!$B$39="pvp",15,MAX(0.1,Skills!D14-IF(TRUE=TRUE,4.5,0))),0)</f>
        <v/>
      </c>
      <c r="R3125">
        <f>IF(AND(Inputs!$B$39&lt;&gt;"pvp",Inputs!$B$44&gt;0),IF(Inputs!$B$44&lt;=0,0,(INT(Inputs!$B$44/IF(Inputs!$B$39="pvp",15,MAX(0.1,Skills!D14-IF(TRUE=TRUE,4.5,0))))+1)),0)</f>
        <v/>
      </c>
      <c r="S3125">
        <f>IFERROR(O3125/N3125,0)</f>
        <v/>
      </c>
      <c r="T3125" t="n">
        <v>0</v>
      </c>
      <c r="V3125" t="n">
        <v>0</v>
      </c>
    </row>
    <row r="3126">
      <c r="A3126">
        <f>Skills!A15</f>
        <v/>
      </c>
      <c r="B3126">
        <f>Skills!B15</f>
        <v/>
      </c>
      <c r="C3126">
        <f>Inputs!$B$3&gt;=66</f>
        <v/>
      </c>
      <c r="D3126">
        <f>IF(Skills!C15=1,60+Inputs!$B$26+Inputs!$B$30,IF(Skills!C15=2,90+Inputs!$B$27+Inputs!$B$30,IF(Skills!C15=3,120+Inputs!$B$28+Inputs!$B$30,MAX(0,(Inputs!$B$3-100)*3)+Inputs!$B$29+Inputs!$B$30)))</f>
        <v/>
      </c>
      <c r="E3126">
        <f>INDEX(FactorTable!$B$2:$Y$301, MATCH(ROUND(MIN(300,MAX(1,D3126)),0), FactorTable!$A$2:$A$301,0), Skills!M15+1)</f>
        <v/>
      </c>
      <c r="F3126">
        <f>IF(Skills!N15=TRUE,(Skills!L15/10)*(E3126/1000),Skills!L15/10)+Skills!O15</f>
        <v/>
      </c>
      <c r="G3126">
        <f>Skills!G15*IF(Skills!H15&gt;0,INT(IF(Inputs!$B$39="pvp",MIN(Skills!I15,15),Skills!I15)/Skills!H15+0.000000001),1)</f>
        <v/>
      </c>
      <c r="H3126">
        <f>1-(1-Skills!J15/100)^Skills!K15</f>
        <v/>
      </c>
      <c r="I3126" t="inlineStr">
        <is>
          <t>1</t>
        </is>
      </c>
      <c r="J3126" t="inlineStr"/>
      <c r="K3126" t="inlineStr"/>
      <c r="L3126" t="inlineStr"/>
      <c r="M3126" t="inlineStr"/>
      <c r="N3126" t="inlineStr"/>
      <c r="O3126">
        <f>(1-Summary!$B$11)*T3126+Summary!$B$11*V3126</f>
        <v/>
      </c>
      <c r="P3126">
        <f>IF(B3150=0,0,O3126/B3150)</f>
        <v/>
      </c>
      <c r="Q3126">
        <f>IFERROR(1/IF(Inputs!$B$39="pvp",15,MAX(0.1,Skills!D15-IF(TRUE=TRUE,4.5,0))),0)</f>
        <v/>
      </c>
      <c r="R3126">
        <f>IF(AND(Inputs!$B$39&lt;&gt;"pvp",Inputs!$B$44&gt;0),IF(Inputs!$B$44&lt;=0,0,(INT(Inputs!$B$44/IF(Inputs!$B$39="pvp",15,MAX(0.1,Skills!D15-IF(TRUE=TRUE,4.5,0))))+1)),0)</f>
        <v/>
      </c>
      <c r="S3126">
        <f>IFERROR(O3126/N3126,0)</f>
        <v/>
      </c>
      <c r="T3126" t="n">
        <v>0</v>
      </c>
      <c r="V3126" t="n">
        <v>0</v>
      </c>
    </row>
    <row r="3127">
      <c r="A3127">
        <f>Skills!A16</f>
        <v/>
      </c>
      <c r="B3127">
        <f>Skills!B16</f>
        <v/>
      </c>
      <c r="C3127">
        <f>Inputs!$B$3&gt;=45</f>
        <v/>
      </c>
      <c r="D3127">
        <f>IF(Skills!C16=1,60+Inputs!$B$26+Inputs!$B$30,IF(Skills!C16=2,90+Inputs!$B$27+Inputs!$B$30,IF(Skills!C16=3,120+Inputs!$B$28+Inputs!$B$30,MAX(0,(Inputs!$B$3-100)*3)+Inputs!$B$29+Inputs!$B$30)))</f>
        <v/>
      </c>
      <c r="E3127">
        <f>INDEX(FactorTable!$B$2:$Y$301, MATCH(ROUND(MIN(300,MAX(1,D3127)),0), FactorTable!$A$2:$A$301,0), Skills!M16+1)</f>
        <v/>
      </c>
      <c r="F3127">
        <f>IF(Skills!N16=TRUE,(Skills!L16/10)*(E3127/1000),Skills!L16/10)+Skills!O16</f>
        <v/>
      </c>
      <c r="G3127">
        <f>Skills!G16*IF(Skills!H16&gt;0,INT(IF(Inputs!$B$39="pvp",MIN(Skills!I16,15),Skills!I16)/Skills!H16+0.000000001),1)</f>
        <v/>
      </c>
      <c r="H3127">
        <f>1-(1-Skills!J16/100)^Skills!K16</f>
        <v/>
      </c>
      <c r="I3127" t="inlineStr">
        <is>
          <t>1</t>
        </is>
      </c>
      <c r="J3127" t="inlineStr"/>
      <c r="K3127" t="inlineStr"/>
      <c r="L3127" t="inlineStr"/>
      <c r="M3127" t="inlineStr"/>
      <c r="N3127" t="inlineStr"/>
      <c r="O3127">
        <f>(1-Summary!$B$11)*T3127+Summary!$B$11*V3127</f>
        <v/>
      </c>
      <c r="P3127">
        <f>IF(B3150=0,0,O3127/B3150)</f>
        <v/>
      </c>
      <c r="Q3127">
        <f>IFERROR(1/IF(Inputs!$B$39="pvp",15,MAX(0.1,Skills!D16-IF(TRUE=TRUE,4.5,0))),0)</f>
        <v/>
      </c>
      <c r="R3127">
        <f>IF(AND(Inputs!$B$39&lt;&gt;"pvp",Inputs!$B$44&gt;0),IF(Inputs!$B$44&lt;=0,0,(INT(Inputs!$B$44/IF(Inputs!$B$39="pvp",15,MAX(0.1,Skills!D16-IF(TRUE=TRUE,4.5,0))))+1)),0)</f>
        <v/>
      </c>
      <c r="S3127">
        <f>IFERROR(O3127/N3127,0)</f>
        <v/>
      </c>
      <c r="T3127" t="n">
        <v>0</v>
      </c>
      <c r="V3127" t="n">
        <v>0</v>
      </c>
    </row>
    <row r="3128">
      <c r="A3128">
        <f>Skills!A17</f>
        <v/>
      </c>
      <c r="B3128">
        <f>Skills!B17</f>
        <v/>
      </c>
      <c r="C3128">
        <f>Inputs!$B$3&gt;=35</f>
        <v/>
      </c>
      <c r="D3128">
        <f>IF(Skills!C17=1,60+Inputs!$B$26+Inputs!$B$30,IF(Skills!C17=2,90+Inputs!$B$27+Inputs!$B$30,IF(Skills!C17=3,120+Inputs!$B$28+Inputs!$B$30,MAX(0,(Inputs!$B$3-100)*3)+Inputs!$B$29+Inputs!$B$30)))</f>
        <v/>
      </c>
      <c r="E3128">
        <f>INDEX(FactorTable!$B$2:$Y$301, MATCH(ROUND(MIN(300,MAX(1,D3128)),0), FactorTable!$A$2:$A$301,0), Skills!M17+1)</f>
        <v/>
      </c>
      <c r="F3128">
        <f>IF(Skills!N17=TRUE,(Skills!L17/10)*(E3128/1000),Skills!L17/10)+Skills!O17</f>
        <v/>
      </c>
      <c r="G3128">
        <f>Skills!G17*IF(Skills!H17&gt;0,INT(IF(Inputs!$B$39="pvp",MIN(Skills!I17,15),Skills!I17)/Skills!H17+0.000000001),1)</f>
        <v/>
      </c>
      <c r="H3128">
        <f>1-(1-Skills!J17/100)^Skills!K17</f>
        <v/>
      </c>
      <c r="I3128" t="inlineStr">
        <is>
          <t>1</t>
        </is>
      </c>
      <c r="J3128" t="inlineStr"/>
      <c r="K3128" t="inlineStr"/>
      <c r="L3128" t="inlineStr"/>
      <c r="M3128" t="inlineStr"/>
      <c r="N3128" t="inlineStr"/>
      <c r="O3128">
        <f>(1-Summary!$B$11)*T3128+Summary!$B$11*V3128</f>
        <v/>
      </c>
      <c r="P3128">
        <f>IF(B3150=0,0,O3128/B3150)</f>
        <v/>
      </c>
      <c r="Q3128">
        <f>IFERROR(1/IF(Inputs!$B$39="pvp",15,MAX(0.1,Skills!D17-IF(TRUE=TRUE,4.5,0))),0)</f>
        <v/>
      </c>
      <c r="R3128">
        <f>IF(AND(Inputs!$B$39&lt;&gt;"pvp",Inputs!$B$44&gt;0),IF(Inputs!$B$44&lt;=0,0,(INT(Inputs!$B$44/IF(Inputs!$B$39="pvp",15,MAX(0.1,Skills!D17-IF(TRUE=TRUE,4.5,0))))+1)),0)</f>
        <v/>
      </c>
      <c r="S3128">
        <f>IFERROR(O3128/N3128,0)</f>
        <v/>
      </c>
      <c r="T3128" t="n">
        <v>0</v>
      </c>
      <c r="V3128" t="n">
        <v>0</v>
      </c>
    </row>
    <row r="3129">
      <c r="A3129">
        <f>Skills!A18</f>
        <v/>
      </c>
      <c r="B3129">
        <f>Skills!B18</f>
        <v/>
      </c>
      <c r="C3129">
        <f>Inputs!$B$3&gt;=72</f>
        <v/>
      </c>
      <c r="D3129">
        <f>IF(Skills!C18=1,60+Inputs!$B$26+Inputs!$B$30,IF(Skills!C18=2,90+Inputs!$B$27+Inputs!$B$30,IF(Skills!C18=3,120+Inputs!$B$28+Inputs!$B$30,MAX(0,(Inputs!$B$3-100)*3)+Inputs!$B$29+Inputs!$B$30)))</f>
        <v/>
      </c>
      <c r="E3129">
        <f>INDEX(FactorTable!$B$2:$Y$301, MATCH(ROUND(MIN(300,MAX(1,D3129)),0), FactorTable!$A$2:$A$301,0), Skills!M18+1)</f>
        <v/>
      </c>
      <c r="F3129">
        <f>IF(Skills!N18=TRUE,(Skills!L18/10)*(E3129/1000),Skills!L18/10)+Skills!O18</f>
        <v/>
      </c>
      <c r="G3129">
        <f>Skills!G18*IF(Skills!H18&gt;0,INT(IF(Inputs!$B$39="pvp",MIN(Skills!I18,15),Skills!I18)/Skills!H18+0.000000001),1)</f>
        <v/>
      </c>
      <c r="H3129">
        <f>1-(1-Skills!J18/100)^Skills!K18</f>
        <v/>
      </c>
      <c r="I3129" t="inlineStr">
        <is>
          <t>1</t>
        </is>
      </c>
      <c r="J3129" t="inlineStr"/>
      <c r="K3129" t="inlineStr"/>
      <c r="L3129" t="inlineStr"/>
      <c r="M3129" t="inlineStr"/>
      <c r="N3129" t="inlineStr"/>
      <c r="O3129">
        <f>(1-Summary!$B$11)*T3129+Summary!$B$11*V3129</f>
        <v/>
      </c>
      <c r="P3129">
        <f>IF(B3150=0,0,O3129/B3150)</f>
        <v/>
      </c>
      <c r="Q3129">
        <f>IFERROR(1/IF(Inputs!$B$39="pvp",15,MAX(0.1,Skills!D18-IF(TRUE=TRUE,4.5,0))),0)</f>
        <v/>
      </c>
      <c r="R3129">
        <f>IF(AND(Inputs!$B$39&lt;&gt;"pvp",Inputs!$B$44&gt;0),IF(Inputs!$B$44&lt;=0,0,(INT(Inputs!$B$44/IF(Inputs!$B$39="pvp",15,MAX(0.1,Skills!D18-IF(TRUE=TRUE,4.5,0))))+1)),0)</f>
        <v/>
      </c>
      <c r="S3129">
        <f>IFERROR(O3129/N3129,0)</f>
        <v/>
      </c>
      <c r="T3129" t="n">
        <v>0</v>
      </c>
      <c r="V3129" t="n">
        <v>0</v>
      </c>
    </row>
    <row r="3130">
      <c r="A3130">
        <f>Skills!A19</f>
        <v/>
      </c>
      <c r="B3130">
        <f>Skills!B19</f>
        <v/>
      </c>
      <c r="C3130">
        <f>Inputs!$B$3&gt;=72</f>
        <v/>
      </c>
      <c r="D3130">
        <f>IF(Skills!C19=1,60+Inputs!$B$26+Inputs!$B$30,IF(Skills!C19=2,90+Inputs!$B$27+Inputs!$B$30,IF(Skills!C19=3,120+Inputs!$B$28+Inputs!$B$30,MAX(0,(Inputs!$B$3-100)*3)+Inputs!$B$29+Inputs!$B$30)))</f>
        <v/>
      </c>
      <c r="E3130">
        <f>INDEX(FactorTable!$B$2:$Y$301, MATCH(ROUND(MIN(300,MAX(1,D3130)),0), FactorTable!$A$2:$A$301,0), Skills!M19+1)</f>
        <v/>
      </c>
      <c r="F3130">
        <f>IF(Skills!N19=TRUE,(Skills!L19/10)*(E3130/1000),Skills!L19/10)+Skills!O19</f>
        <v/>
      </c>
      <c r="G3130">
        <f>Skills!G19*IF(Skills!H19&gt;0,INT(IF(Inputs!$B$39="pvp",MIN(Skills!I19,15),Skills!I19)/Skills!H19+0.000000001),1)</f>
        <v/>
      </c>
      <c r="H3130">
        <f>1-(1-Skills!J19/100)^Skills!K19</f>
        <v/>
      </c>
      <c r="I3130" t="inlineStr">
        <is>
          <t>1</t>
        </is>
      </c>
      <c r="J3130" t="inlineStr"/>
      <c r="K3130" t="inlineStr"/>
      <c r="L3130" t="inlineStr"/>
      <c r="M3130" t="inlineStr"/>
      <c r="N3130" t="inlineStr"/>
      <c r="O3130">
        <f>(1-Summary!$B$11)*T3130+Summary!$B$11*V3130</f>
        <v/>
      </c>
      <c r="P3130">
        <f>IF(B3150=0,0,O3130/B3150)</f>
        <v/>
      </c>
      <c r="Q3130">
        <f>IFERROR(1/IF(Inputs!$B$39="pvp",15,MAX(0.1,Skills!D19-IF(TRUE=TRUE,4.5,0))),0)</f>
        <v/>
      </c>
      <c r="R3130">
        <f>IF(AND(Inputs!$B$39&lt;&gt;"pvp",Inputs!$B$44&gt;0),IF(Inputs!$B$44&lt;=0,0,(INT(Inputs!$B$44/IF(Inputs!$B$39="pvp",15,MAX(0.1,Skills!D19-IF(TRUE=TRUE,4.5,0))))+1)),0)</f>
        <v/>
      </c>
      <c r="S3130">
        <f>IFERROR(O3130/N3130,0)</f>
        <v/>
      </c>
      <c r="T3130" t="n">
        <v>0</v>
      </c>
      <c r="V3130" t="n">
        <v>0</v>
      </c>
    </row>
    <row r="3131">
      <c r="A3131">
        <f>Skills!A20</f>
        <v/>
      </c>
      <c r="B3131">
        <f>Skills!B20</f>
        <v/>
      </c>
      <c r="C3131">
        <f>TRUE</f>
        <v/>
      </c>
      <c r="D3131">
        <f>IF(Skills!C20=1,60+Inputs!$B$26+Inputs!$B$30,IF(Skills!C20=2,90+Inputs!$B$27+Inputs!$B$30,IF(Skills!C20=3,120+Inputs!$B$28+Inputs!$B$30,MAX(0,(Inputs!$B$3-100)*3)+Inputs!$B$29+Inputs!$B$30)))</f>
        <v/>
      </c>
      <c r="E3131">
        <f>INDEX(FactorTable!$B$2:$Y$301, MATCH(ROUND(MIN(300,MAX(1,D3131)),0), FactorTable!$A$2:$A$301,0), Skills!M20+1)</f>
        <v/>
      </c>
      <c r="F3131">
        <f>IF(Skills!N20=TRUE,(Skills!L20/10)*(E3131/1000),Skills!L20/10)+Skills!O20</f>
        <v/>
      </c>
      <c r="G3131">
        <f>Skills!G20*IF(Skills!H20&gt;0,INT(IF(Inputs!$B$39="pvp",MIN(Skills!I20,15),Skills!I20)/Skills!H20+0.000000001),1)</f>
        <v/>
      </c>
      <c r="H3131">
        <f>1-(1-Skills!J20/100)^Skills!K20</f>
        <v/>
      </c>
      <c r="I3131" t="inlineStr">
        <is>
          <t>1</t>
        </is>
      </c>
      <c r="J3131" t="inlineStr"/>
      <c r="K3131" t="inlineStr"/>
      <c r="L3131" t="inlineStr"/>
      <c r="M3131" t="inlineStr"/>
      <c r="N3131" t="inlineStr"/>
      <c r="O3131">
        <f>(1-Summary!$B$11)*T3131+Summary!$B$11*V3131</f>
        <v/>
      </c>
      <c r="P3131">
        <f>IF(B3150=0,0,O3131/B3150)</f>
        <v/>
      </c>
      <c r="Q3131">
        <f>IFERROR(1/IF(Inputs!$B$39="pvp",15,MAX(0.1,Skills!D20-IF(TRUE=TRUE,4.5,0))),0)</f>
        <v/>
      </c>
      <c r="R3131">
        <f>IF(AND(Inputs!$B$39&lt;&gt;"pvp",Inputs!$B$44&gt;0),IF(Inputs!$B$44&lt;=0,0,(INT(Inputs!$B$44/IF(Inputs!$B$39="pvp",15,MAX(0.1,Skills!D20-IF(TRUE=TRUE,4.5,0))))+1)),0)</f>
        <v/>
      </c>
      <c r="S3131">
        <f>IFERROR(O3131/N3131,0)</f>
        <v/>
      </c>
      <c r="T3131" t="n">
        <v>0</v>
      </c>
      <c r="V3131" t="n">
        <v>0</v>
      </c>
    </row>
    <row r="3132">
      <c r="A3132">
        <f>Skills!A21</f>
        <v/>
      </c>
      <c r="B3132">
        <f>Skills!B21</f>
        <v/>
      </c>
      <c r="C3132">
        <f>Inputs!$B$3&gt;=33</f>
        <v/>
      </c>
      <c r="D3132">
        <f>IF(Skills!C21=1,60+Inputs!$B$26+Inputs!$B$30,IF(Skills!C21=2,90+Inputs!$B$27+Inputs!$B$30,IF(Skills!C21=3,120+Inputs!$B$28+Inputs!$B$30,MAX(0,(Inputs!$B$3-100)*3)+Inputs!$B$29+Inputs!$B$30)))</f>
        <v/>
      </c>
      <c r="E3132">
        <f>INDEX(FactorTable!$B$2:$Y$301, MATCH(ROUND(MIN(300,MAX(1,D3132)),0), FactorTable!$A$2:$A$301,0), Skills!M21+1)</f>
        <v/>
      </c>
      <c r="F3132">
        <f>IF(Skills!N21=TRUE,(Skills!L21/10)*(E3132/1000),Skills!L21/10)+Skills!O21</f>
        <v/>
      </c>
      <c r="G3132">
        <f>Skills!G21*IF(Skills!H21&gt;0,INT(IF(Inputs!$B$39="pvp",MIN(Skills!I21,15),Skills!I21)/Skills!H21+0.000000001),1)</f>
        <v/>
      </c>
      <c r="H3132">
        <f>1-(1-Skills!J21/100)^Skills!K21</f>
        <v/>
      </c>
      <c r="I3132" t="inlineStr">
        <is>
          <t>1</t>
        </is>
      </c>
      <c r="J3132" t="inlineStr"/>
      <c r="K3132" t="inlineStr"/>
      <c r="L3132" t="inlineStr"/>
      <c r="M3132" t="inlineStr"/>
      <c r="N3132" t="inlineStr"/>
      <c r="O3132">
        <f>(1-Summary!$B$11)*T3132+Summary!$B$11*V3132</f>
        <v/>
      </c>
      <c r="P3132">
        <f>IF(B3150=0,0,O3132/B3150)</f>
        <v/>
      </c>
      <c r="Q3132" t="n">
        <v>0</v>
      </c>
      <c r="R3132" t="n">
        <v>0</v>
      </c>
      <c r="S3132">
        <f>IFERROR(O3132/N3132,0)</f>
        <v/>
      </c>
      <c r="T3132" t="n">
        <v>0</v>
      </c>
      <c r="V3132" t="n">
        <v>0</v>
      </c>
    </row>
    <row r="3133">
      <c r="A3133">
        <f>Skills!A22</f>
        <v/>
      </c>
      <c r="B3133">
        <f>Skills!B22</f>
        <v/>
      </c>
      <c r="C3133">
        <f>Inputs!$B$3&gt;=43</f>
        <v/>
      </c>
      <c r="D3133">
        <f>IF(Skills!C22=1,60+Inputs!$B$26+Inputs!$B$30,IF(Skills!C22=2,90+Inputs!$B$27+Inputs!$B$30,IF(Skills!C22=3,120+Inputs!$B$28+Inputs!$B$30,MAX(0,(Inputs!$B$3-100)*3)+Inputs!$B$29+Inputs!$B$30)))</f>
        <v/>
      </c>
      <c r="E3133">
        <f>INDEX(FactorTable!$B$2:$Y$301, MATCH(ROUND(MIN(300,MAX(1,D3133)),0), FactorTable!$A$2:$A$301,0), Skills!M22+1)</f>
        <v/>
      </c>
      <c r="F3133">
        <f>IF(Skills!N22=TRUE,(Skills!L22/10)*(E3133/1000),Skills!L22/10)+Skills!O22</f>
        <v/>
      </c>
      <c r="G3133">
        <f>Skills!G22*IF(Skills!H22&gt;0,INT(IF(Inputs!$B$39="pvp",MIN(Skills!I22,15),Skills!I22)/Skills!H22+0.000000001),1)</f>
        <v/>
      </c>
      <c r="H3133">
        <f>1-(1-Skills!J22/100)^Skills!K22</f>
        <v/>
      </c>
      <c r="I3133" t="inlineStr">
        <is>
          <t>1</t>
        </is>
      </c>
      <c r="J3133" t="inlineStr"/>
      <c r="K3133" t="inlineStr"/>
      <c r="L3133" t="inlineStr"/>
      <c r="M3133" t="inlineStr"/>
      <c r="N3133" t="inlineStr"/>
      <c r="O3133">
        <f>(1-Summary!$B$11)*T3133+Summary!$B$11*V3133</f>
        <v/>
      </c>
      <c r="P3133">
        <f>IF(B3150=0,0,O3133/B3150)</f>
        <v/>
      </c>
      <c r="Q3133" t="n">
        <v>0</v>
      </c>
      <c r="R3133" t="n">
        <v>0</v>
      </c>
      <c r="S3133">
        <f>IFERROR(O3133/N3133,0)</f>
        <v/>
      </c>
      <c r="T3133" t="n">
        <v>0</v>
      </c>
      <c r="V3133" t="n">
        <v>0</v>
      </c>
    </row>
    <row r="3134">
      <c r="A3134">
        <f>Skills!A23</f>
        <v/>
      </c>
      <c r="B3134">
        <f>Skills!B23</f>
        <v/>
      </c>
      <c r="C3134">
        <f>Inputs!$B$3&gt;=120</f>
        <v/>
      </c>
      <c r="D3134">
        <f>IF(Skills!C23=1,60+Inputs!$B$26+Inputs!$B$30,IF(Skills!C23=2,90+Inputs!$B$27+Inputs!$B$30,IF(Skills!C23=3,120+Inputs!$B$28+Inputs!$B$30,MAX(0,(Inputs!$B$3-100)*3)+Inputs!$B$29+Inputs!$B$30)))</f>
        <v/>
      </c>
      <c r="E3134">
        <f>INDEX(FactorTable!$B$2:$Y$301, MATCH(ROUND(MIN(300,MAX(1,D3134)),0), FactorTable!$A$2:$A$301,0), Skills!M23+1)</f>
        <v/>
      </c>
      <c r="F3134">
        <f>IF(Skills!N23=TRUE,(Skills!L23/10)*(E3134/1000),Skills!L23/10)+Skills!O23</f>
        <v/>
      </c>
      <c r="G3134">
        <f>Skills!G23*IF(Skills!H23&gt;0,INT(IF(Inputs!$B$39="pvp",MIN(Skills!I23,15),Skills!I23)/Skills!H23+0.000000001),1)</f>
        <v/>
      </c>
      <c r="H3134">
        <f>1-(1-Skills!J23/100)^Skills!K23</f>
        <v/>
      </c>
      <c r="I3134" t="inlineStr">
        <is>
          <t>1</t>
        </is>
      </c>
      <c r="J3134" t="inlineStr"/>
      <c r="K3134" t="inlineStr"/>
      <c r="L3134" t="inlineStr"/>
      <c r="M3134" t="inlineStr"/>
      <c r="N3134" t="inlineStr"/>
      <c r="O3134">
        <f>(1-Summary!$B$11)*T3134+Summary!$B$11*V3134</f>
        <v/>
      </c>
      <c r="P3134">
        <f>IF(B3150=0,0,O3134/B3150)</f>
        <v/>
      </c>
      <c r="Q3134" t="n">
        <v>0</v>
      </c>
      <c r="R3134" t="n">
        <v>0</v>
      </c>
      <c r="S3134">
        <f>IFERROR(O3134/N3134,0)</f>
        <v/>
      </c>
      <c r="T3134" t="n">
        <v>0</v>
      </c>
      <c r="V3134" t="n">
        <v>0</v>
      </c>
    </row>
    <row r="3135">
      <c r="A3135">
        <f>Skills!A24</f>
        <v/>
      </c>
      <c r="B3135">
        <f>Skills!B24</f>
        <v/>
      </c>
      <c r="C3135">
        <f>Inputs!$B$3&gt;=120</f>
        <v/>
      </c>
      <c r="D3135">
        <f>IF(Skills!C24=1,60+Inputs!$B$26+Inputs!$B$30,IF(Skills!C24=2,90+Inputs!$B$27+Inputs!$B$30,IF(Skills!C24=3,120+Inputs!$B$28+Inputs!$B$30,MAX(0,(Inputs!$B$3-100)*3)+Inputs!$B$29+Inputs!$B$30)))</f>
        <v/>
      </c>
      <c r="E3135">
        <f>INDEX(FactorTable!$B$2:$Y$301, MATCH(ROUND(MIN(300,MAX(1,D3135)),0), FactorTable!$A$2:$A$301,0), Skills!M24+1)</f>
        <v/>
      </c>
      <c r="F3135">
        <f>IF(Skills!N24=TRUE,(Skills!L24/10)*(E3135/1000),Skills!L24/10)+Skills!O24</f>
        <v/>
      </c>
      <c r="G3135">
        <f>Skills!G24*IF(Skills!H24&gt;0,INT(IF(Inputs!$B$39="pvp",MIN(Skills!I24,15),Skills!I24)/Skills!H24+0.000000001),1)</f>
        <v/>
      </c>
      <c r="H3135">
        <f>1-(1-Skills!J24/100)^Skills!K24</f>
        <v/>
      </c>
      <c r="I3135" t="inlineStr">
        <is>
          <t>1</t>
        </is>
      </c>
      <c r="J3135" t="inlineStr"/>
      <c r="K3135" t="inlineStr"/>
      <c r="L3135" t="inlineStr"/>
      <c r="M3135" t="inlineStr"/>
      <c r="N3135" t="inlineStr"/>
      <c r="O3135">
        <f>(1-Summary!$B$11)*T3135+Summary!$B$11*V3135</f>
        <v/>
      </c>
      <c r="P3135">
        <f>IF(B3150=0,0,O3135/B3150)</f>
        <v/>
      </c>
      <c r="Q3135" t="n">
        <v>0</v>
      </c>
      <c r="R3135" t="n">
        <v>0</v>
      </c>
      <c r="S3135">
        <f>IFERROR(O3135/N3135,0)</f>
        <v/>
      </c>
      <c r="T3135" t="n">
        <v>0</v>
      </c>
      <c r="V3135" t="n">
        <v>0</v>
      </c>
    </row>
    <row r="3136">
      <c r="A3136">
        <f>Skills!A25</f>
        <v/>
      </c>
      <c r="B3136">
        <f>Skills!B25</f>
        <v/>
      </c>
      <c r="C3136">
        <f>Inputs!$B$3&gt;=125</f>
        <v/>
      </c>
      <c r="D3136">
        <f>IF(Skills!C25=1,60+Inputs!$B$26+Inputs!$B$30,IF(Skills!C25=2,90+Inputs!$B$27+Inputs!$B$30,IF(Skills!C25=3,120+Inputs!$B$28+Inputs!$B$30,MAX(0,(Inputs!$B$3-100)*3)+Inputs!$B$29+Inputs!$B$30)))</f>
        <v/>
      </c>
      <c r="E3136">
        <f>INDEX(FactorTable!$B$2:$Y$301, MATCH(ROUND(MIN(300,MAX(1,D3136)),0), FactorTable!$A$2:$A$301,0), Skills!M25+1)</f>
        <v/>
      </c>
      <c r="F3136">
        <f>IF(Skills!N25=TRUE,(Skills!L25/10)*(E3136/1000),Skills!L25/10)+Skills!O25</f>
        <v/>
      </c>
      <c r="G3136">
        <f>Skills!G25*IF(Skills!H25&gt;0,INT(IF(Inputs!$B$39="pvp",MIN(Skills!I25,15),Skills!I25)/Skills!H25+0.000000001),1)</f>
        <v/>
      </c>
      <c r="H3136">
        <f>1-(1-Skills!J25/100)^Skills!K25</f>
        <v/>
      </c>
      <c r="I3136" t="inlineStr">
        <is>
          <t>1</t>
        </is>
      </c>
      <c r="J3136" t="inlineStr"/>
      <c r="K3136" t="inlineStr"/>
      <c r="L3136" t="inlineStr"/>
      <c r="M3136" t="inlineStr"/>
      <c r="N3136" t="inlineStr"/>
      <c r="O3136">
        <f>(1-Summary!$B$11)*T3136+Summary!$B$11*V3136</f>
        <v/>
      </c>
      <c r="P3136">
        <f>IF(B3150=0,0,O3136/B3150)</f>
        <v/>
      </c>
      <c r="Q3136" t="n">
        <v>0</v>
      </c>
      <c r="R3136" t="n">
        <v>0</v>
      </c>
      <c r="S3136">
        <f>IFERROR(O3136/N3136,0)</f>
        <v/>
      </c>
      <c r="T3136" t="n">
        <v>0</v>
      </c>
      <c r="V3136" t="n">
        <v>0</v>
      </c>
    </row>
    <row r="3137">
      <c r="A3137">
        <f>Skills!A26</f>
        <v/>
      </c>
      <c r="B3137">
        <f>Skills!B26</f>
        <v/>
      </c>
      <c r="C3137">
        <f>Inputs!$B$3&gt;=107</f>
        <v/>
      </c>
      <c r="D3137">
        <f>IF(Skills!C26=1,60+Inputs!$B$26+Inputs!$B$30,IF(Skills!C26=2,90+Inputs!$B$27+Inputs!$B$30,IF(Skills!C26=3,120+Inputs!$B$28+Inputs!$B$30,MAX(0,(Inputs!$B$3-100)*3)+Inputs!$B$29+Inputs!$B$30)))</f>
        <v/>
      </c>
      <c r="E3137">
        <f>INDEX(FactorTable!$B$2:$Y$301, MATCH(ROUND(MIN(300,MAX(1,D3137)),0), FactorTable!$A$2:$A$301,0), Skills!M26+1)</f>
        <v/>
      </c>
      <c r="F3137">
        <f>IF(Skills!N26=TRUE,(Skills!L26/10)*(E3137/1000),Skills!L26/10)+Skills!O26</f>
        <v/>
      </c>
      <c r="G3137">
        <f>Skills!G26*IF(Skills!H26&gt;0,INT(IF(Inputs!$B$39="pvp",MIN(Skills!I26,15),Skills!I26)/Skills!H26+0.000000001),1)</f>
        <v/>
      </c>
      <c r="H3137">
        <f>1-(1-Skills!J26/100)^Skills!K26</f>
        <v/>
      </c>
      <c r="I3137" t="inlineStr">
        <is>
          <t>1</t>
        </is>
      </c>
      <c r="J3137" t="inlineStr"/>
      <c r="K3137" t="inlineStr"/>
      <c r="L3137" t="inlineStr"/>
      <c r="M3137" t="inlineStr"/>
      <c r="N3137" t="inlineStr"/>
      <c r="O3137">
        <f>(1-Summary!$B$11)*T3137+Summary!$B$11*V3137</f>
        <v/>
      </c>
      <c r="P3137">
        <f>IF(B3150=0,0,O3137/B3150)</f>
        <v/>
      </c>
      <c r="Q3137" t="n">
        <v>0</v>
      </c>
      <c r="R3137" t="n">
        <v>0</v>
      </c>
      <c r="S3137">
        <f>IFERROR(O3137/N3137,0)</f>
        <v/>
      </c>
      <c r="T3137" t="n">
        <v>0</v>
      </c>
      <c r="V3137" t="n">
        <v>0</v>
      </c>
    </row>
    <row r="3139">
      <c r="A3139" t="inlineStr">
        <is>
          <t>Attack% Bucket Multiplier</t>
        </is>
      </c>
      <c r="B3139">
        <f>(1+(((C3124=TRUE)*F3124*IF(AND(Inputs!$B$39&lt;&gt;"pvp",Inputs!$B$44&gt;0),(((R3124-1)*MIN((Skills!T13*(1+Inputs!$B$35/100)),(1/Q3124))+MIN((Skills!T13*(1+Inputs!$B$35/100)),MAX(0,Inputs!$B$44-((R3124-1)*(1/Q3124)))))/Inputs!$B$44),IF(Inputs!$B$39="pvp",MIN((Skills!T13*(1+Inputs!$B$35/100)),15)/15,MIN(1,(Skills!T13*(1+Inputs!$B$35/100))/(1/Q3124)))))+((C3125=TRUE)*F3125*IF(AND(Inputs!$B$39&lt;&gt;"pvp",Inputs!$B$44&gt;0),(((R3125-1)*MIN((Skills!T14*(1+Inputs!$B$35/100)),(1/Q3125))+MIN((Skills!T14*(1+Inputs!$B$35/100)),MAX(0,Inputs!$B$44-((R3125-1)*(1/Q3125)))))/Inputs!$B$44),IF(Inputs!$B$39="pvp",MIN((Skills!T14*(1+Inputs!$B$35/100)),15)/15,MIN(1,(Skills!T14*(1+Inputs!$B$35/100))/(1/Q3125)))))+((C3126=TRUE)*F3126*IF(AND(Inputs!$B$39&lt;&gt;"pvp",Inputs!$B$44&gt;0),(((R3126-1)*MIN((Skills!T15*(1+Inputs!$B$35/100)),(1/Q3126))+MIN((Skills!T15*(1+Inputs!$B$35/100)),MAX(0,Inputs!$B$44-((R3126-1)*(1/Q3126)))))/Inputs!$B$44),IF(Inputs!$B$39="pvp",MIN((Skills!T15*(1+Inputs!$B$35/100)),15)/15,MIN(1,(Skills!T15*(1+Inputs!$B$35/100))/(1/Q3126)))))+((C3127=TRUE)*F3127*IF(AND(Inputs!$B$39&lt;&gt;"pvp",Inputs!$B$44&gt;0),(((R3127-1)*MIN((Skills!T16*(1+Inputs!$B$35/100)),(1/Q3127))+MIN((Skills!T16*(1+Inputs!$B$35/100)),MAX(0,Inputs!$B$44-((R3127-1)*(1/Q3127)))))/Inputs!$B$44),IF(Inputs!$B$39="pvp",MIN((Skills!T16*(1+Inputs!$B$35/100)),15)/15,MIN(1,(Skills!T16*(1+Inputs!$B$35/100))/(1/Q3127)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3140">
      <c r="A3140" t="inlineStr">
        <is>
          <t>Global Crit Rate Bonus % (Lord of Darkness)</t>
        </is>
      </c>
      <c r="B3140">
        <f>((C3129=TRUE)*F3129*(Skills!J18/100)*IF(AND(Inputs!$B$39&lt;&gt;"pvp",Inputs!$B$44&gt;0),(((R3129-1)*MIN((Skills!T18*(1+Inputs!$B$35/100)),(1/Q3129))+MIN((Skills!T18*(1+Inputs!$B$35/100)),MAX(0,Inputs!$B$44-((R3129-1)*(1/Q3129)))))/Inputs!$B$44),IF(Inputs!$B$39="pvp",MIN((Skills!T18*(1+Inputs!$B$35/100)),15)/15,MIN(1,(Skills!T18*(1+Inputs!$B$35/100))/(1/Q3129)))))</f>
        <v/>
      </c>
    </row>
    <row r="3141">
      <c r="A3141" t="inlineStr">
        <is>
          <t>Attack Speed Buff Bonus %</t>
        </is>
      </c>
      <c r="B3141">
        <f>((C3131=TRUE)*F3131*IF(AND(Inputs!$B$39&lt;&gt;"pvp",Inputs!$B$44&gt;0),(((R3131-1)*MIN((Skills!T20*(1+Inputs!$B$35/100)),(1/Q3131))+MIN((Skills!T20*(1+Inputs!$B$35/100)),MAX(0,Inputs!$B$44-((R3131-1)*(1/Q3131)))))/Inputs!$B$44),IF(Inputs!$B$39="pvp",MIN((Skills!T20*(1+Inputs!$B$35/100)),15)/15,MIN(1,(Skills!T20*(1+Inputs!$B$35/100))/(1/Q3131)))))</f>
        <v/>
      </c>
    </row>
    <row r="3142">
      <c r="A3142" t="inlineStr">
        <is>
          <t>Actions Per Second</t>
        </is>
      </c>
      <c r="B3142">
        <f>1+MIN(150,150*(1-(1-(Inputs!$B$12+((C3132=TRUE)*(F3132-Calc!F21)))/150)*(1-B3141/150)))/100</f>
        <v/>
      </c>
    </row>
    <row r="3143">
      <c r="A3143" t="inlineStr">
        <is>
          <t>Skill + Buff Cast Rate</t>
        </is>
      </c>
      <c r="B3143">
        <f>IF(AND(Inputs!$B$39&lt;&gt;"pvp",Inputs!$B$44&gt;0),SUMPRODUCT((Skills!E2:E26=TRUE)*(C3113:C3137=TRUE)*R3113:R3137*Skills!F2:F26)/Inputs!$B$44,SUMPRODUCT((Skills!E2:E26=TRUE)*(C3113:C3137=TRUE)*Q3113:Q3137*Skills!F2:F26))</f>
        <v/>
      </c>
    </row>
    <row r="3144">
      <c r="A3144" t="inlineStr">
        <is>
          <t>Dark Impale Casts Per Second</t>
        </is>
      </c>
      <c r="B3144">
        <f>MAX(0,B3142-B3143)</f>
        <v/>
      </c>
    </row>
    <row r="3145">
      <c r="A3145" t="inlineStr">
        <is>
          <t>Global Critical Damage Bonus % (Lord of Darkness)</t>
        </is>
      </c>
      <c r="B3145">
        <f>((C3130=TRUE)*F3130*(Skills!J19/100)*IF(AND(Inputs!$B$39&lt;&gt;"pvp",Inputs!$B$44&gt;0),(((R3130-1)*MIN((Skills!T19*(1+Inputs!$B$35/100)),(1/Q3130))+MIN((Skills!T19*(1+Inputs!$B$35/100)),MAX(0,Inputs!$B$44-((R3130-1)*(1/Q3130)))))/Inputs!$B$44),IF(Inputs!$B$39="pvp",MIN((Skills!T19*(1+Inputs!$B$35/100)),15)/15,MIN(1,(Skills!T19*(1+Inputs!$B$35/100))/(1/Q3130)))))</f>
        <v/>
      </c>
    </row>
    <row r="3146">
      <c r="A3146" t="inlineStr">
        <is>
          <t>Global Final Damage Bonus % (unused)</t>
        </is>
      </c>
      <c r="B3146" t="n">
        <v>0</v>
      </c>
    </row>
    <row r="3147">
      <c r="A3147" t="inlineStr">
        <is>
          <t>Buff-Casting Startup Delay (s, fixed-duration only)</t>
        </is>
      </c>
      <c r="B3147">
        <f>IF(AND(Inputs!$B$39&lt;&gt;"pvp",Inputs!$B$44&gt;0),SUMPRODUCT((Skills!T2:T26&gt;0)*(Skills!E2:E26=TRUE)*(C3113:C3137=TRUE))/B3142,0)</f>
        <v/>
      </c>
    </row>
    <row r="3148">
      <c r="A3148" t="inlineStr">
        <is>
          <t>Boss-Only Total DPS (this block's swept value)</t>
        </is>
      </c>
      <c r="B3148">
        <f>SUM(T3113:T3137)</f>
        <v/>
      </c>
    </row>
    <row r="3149">
      <c r="A3149" t="inlineStr">
        <is>
          <t>Normal-Only Total DPS (this block's swept value)</t>
        </is>
      </c>
      <c r="B3149">
        <f>SUM(V3113:V3137)</f>
        <v/>
      </c>
    </row>
    <row r="3150">
      <c r="A3150" s="6" t="inlineStr">
        <is>
          <t>TOTAL DPS</t>
        </is>
      </c>
      <c r="B3150" s="6">
        <f>SUM(O3113:O3137)</f>
        <v/>
      </c>
    </row>
    <row r="3153">
      <c r="A3153" s="6" t="inlineStr">
        <is>
          <t>Stat: CDR = 5.0s</t>
        </is>
      </c>
    </row>
    <row r="3154">
      <c r="A3154" s="5" t="inlineStr">
        <is>
          <t>Key</t>
        </is>
      </c>
      <c r="B3154" s="5" t="inlineStr">
        <is>
          <t>Name</t>
        </is>
      </c>
      <c r="C3154" s="5" t="inlineStr">
        <is>
          <t>Unlocked</t>
        </is>
      </c>
      <c r="D3154" s="5" t="inlineStr">
        <is>
          <t>InputLevel</t>
        </is>
      </c>
      <c r="E3154" s="5" t="inlineStr">
        <is>
          <t>Factor</t>
        </is>
      </c>
      <c r="F3154" s="5" t="inlineStr">
        <is>
          <t>CoefficientPercent</t>
        </is>
      </c>
      <c r="G3154" s="5" t="inlineStr">
        <is>
          <t>EffectiveHits</t>
        </is>
      </c>
      <c r="H3154" s="5" t="inlineStr">
        <is>
          <t>ProcProbability</t>
        </is>
      </c>
      <c r="I3154" s="5" t="inlineStr">
        <is>
          <t>MapleHeroMultiplier</t>
        </is>
      </c>
      <c r="J3154" s="5" t="inlineStr">
        <is>
          <t>BaseDamage</t>
        </is>
      </c>
      <c r="K3154" s="5" t="inlineStr">
        <is>
          <t>BaseHitDamage</t>
        </is>
      </c>
      <c r="L3154" s="5" t="inlineStr">
        <is>
          <t>NonCritAvg</t>
        </is>
      </c>
      <c r="M3154" s="5" t="inlineStr">
        <is>
          <t>CritAvg</t>
        </is>
      </c>
      <c r="N3154" s="5" t="inlineStr">
        <is>
          <t>ExpectedDamage(perHit)</t>
        </is>
      </c>
      <c r="O3154" s="5" t="inlineStr">
        <is>
          <t>DPS</t>
        </is>
      </c>
      <c r="P3154" s="5" t="inlineStr">
        <is>
          <t>% of Total</t>
        </is>
      </c>
      <c r="Q3154" s="5" t="inlineStr">
        <is>
          <t>InvCooldown</t>
        </is>
      </c>
      <c r="R3154" s="5" t="inlineStr">
        <is>
          <t>CastsInFight</t>
        </is>
      </c>
      <c r="S3154" s="5" t="inlineStr">
        <is>
          <t>HitRate(perSec)</t>
        </is>
      </c>
      <c r="U3154" t="inlineStr">
        <is>
          <t>helpers</t>
        </is>
      </c>
    </row>
    <row r="3155">
      <c r="A3155">
        <f>Skills!A2</f>
        <v/>
      </c>
      <c r="B3155">
        <f>Skills!B2</f>
        <v/>
      </c>
      <c r="C3155">
        <f>Inputs!$B$3&gt;=100</f>
        <v/>
      </c>
      <c r="D3155" t="inlineStr"/>
      <c r="E3155" t="inlineStr"/>
      <c r="F3155">
        <f>U3157+Skills!O2</f>
        <v/>
      </c>
      <c r="G3155">
        <f>Skills!G2*IF(Skills!H2&gt;0,INT(IF(Inputs!$B$39="pvp",MIN(Skills!I2,15),Skills!I2)/Skills!H2+0.000000001),1)</f>
        <v/>
      </c>
      <c r="H3155">
        <f>1-(1-Skills!J2/100)^Skills!K2</f>
        <v/>
      </c>
      <c r="I3155" t="inlineStr">
        <is>
          <t>1</t>
        </is>
      </c>
      <c r="J3155">
        <f>((Inputs!$B$6*(1+Inputs!$B$7/100))+(((Inputs!$B$13*(1+Inputs!$B$14/100))-(Inputs!$B$13*(1+Inputs!$B$14/100)))+0.25*(Inputs!$B$15-Inputs!$B$15))*(1+Inputs!$B$7/100))*(F3155/100)</f>
        <v/>
      </c>
      <c r="K3155">
        <f>J3155*(1+(((Inputs!$B$13+IF(Inputs!$B$3&gt;=38,(10*INDEX(FactorTable!$B$2:$Y$301, MATCH(ROUND(MIN(300,MAX(1,Inputs!$B$3)),0), FactorTable!$A$2:$A$301,0), 23)/1000)/100*(Inputs!$B$8*(1+Inputs!$B$9/100)),0))*(1+Inputs!$B$14/100))*0.01+Inputs!$B$15*0.0025)/100)*(1+Inputs!$B$16/100)*(1+Inputs!$B$17/100)*(5000/(6000+Inputs!$B$43*(1-(Inputs!$B$20+0)/100)))*(1+(Inputs!$B$25+((C3178=TRUE)*(F3178-Calc!F25))+((C3179=TRUE)*(F3179-Calc!F26))+B3188)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2="DARK_IMPALE",Inputs!$B$18+0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gt;=100),MIN(100,((Inputs!$B$10+0+B3182+(ArtifactsInput!$M$24-ArtifactsInput!$M$24)*CHOOSE(ArtifactsInput!$N$24+1,10,12,14,16,18,20)+IF(ArtifactsInput!$M$10,CHOOSE(ArtifactsInput!$N$10+1,15,18,21,24,27,30)*(IF(Inputs!$B$39="pvp",MIN(15,15)/15,IF(AND(Inputs!$B$39&lt;&gt;"pvp",Inputs!$B$44&gt;0),MIN(15,Inputs!$B$44)/(Inputs!$B$44),0))),0)))-100),0))*CHOOSE(ArtifactsInput!$N$42+1,0.6,0.72,0.84,0.96,1.08,1.2))),Inputs!$B$19+((C3176=TRUE)*(F3176-Calc!F23))+(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gt;=100),CHOOSE(ArtifactsInput!$N$42+1,40,48,56,64,72,80),0))))/100)*((1+(((C3166=TRUE)*F3166*IF(AND(Inputs!$B$39&lt;&gt;"pvp",Inputs!$B$44&gt;0),(((R3166-1)*MIN((Skills!T13*(1+Inputs!$B$35/100)),(1/Q3166))+MIN((Skills!T13*(1+Inputs!$B$35/100)),MAX(0,Inputs!$B$44-((R3166-1)*(1/Q3166)))))/Inputs!$B$44),IF(Inputs!$B$39="pvp",MIN((Skills!T13*(1+Inputs!$B$35/100)),15)/15,MIN(1,(Skills!T13*(1+Inputs!$B$35/100))/(1/Q3166)))))+((C3167=TRUE)*F3167*IF(AND(Inputs!$B$39&lt;&gt;"pvp",Inputs!$B$44&gt;0),(((R3167-1)*MIN((Skills!T14*(1+Inputs!$B$35/100)),(1/Q3167))+MIN((Skills!T14*(1+Inputs!$B$35/100)),MAX(0,Inputs!$B$44-((R3167-1)*(1/Q3167)))))/Inputs!$B$44),IF(Inputs!$B$39="pvp",MIN((Skills!T14*(1+Inputs!$B$35/100)),15)/15,MIN(1,(Skills!T14*(1+Inputs!$B$35/100))/(1/Q3167)))))+((C3168=TRUE)*F3168*IF(AND(Inputs!$B$39&lt;&gt;"pvp",Inputs!$B$44&gt;0),(((R3168-1)*MIN((Skills!T15*(1+Inputs!$B$35/100)),(1/Q3168))+MIN((Skills!T15*(1+Inputs!$B$35/100)),MAX(0,Inputs!$B$44-((R3168-1)*(1/Q3168)))))/Inputs!$B$44),IF(Inputs!$B$39="pvp",MIN((Skills!T15*(1+Inputs!$B$35/100)),15)/15,MIN(1,(Skills!T15*(1+Inputs!$B$35/100))/(1/Q3168)))))+((C3169=TRUE)*F3169*IF(AND(Inputs!$B$39&lt;&gt;"pvp",Inputs!$B$44&gt;0),(((R3169-1)*MIN((Skills!T16*(1+Inputs!$B$35/100)),(1/Q3169))+MIN((Skills!T16*(1+Inputs!$B$35/100)),MAX(0,Inputs!$B$44-((R3169-1)*(1/Q3169)))))/Inputs!$B$44),IF(Inputs!$B$39="pvp",MIN((Skills!T16*(1+Inputs!$B$35/100)),15)/15,MIN(1,(Skills!T16*(1+Inputs!$B$35/100))/(1/Q3169)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3155)</f>
        <v/>
      </c>
      <c r="L3155">
        <f>K3155*(MIN(Inputs!$B$23+((C3175=TRUE)*(F3175-Calc!F22)),(Inputs!$B$24+((C3177=TRUE)*(F3177-Calc!F24))+(IF(ArtifactsInput!$M$15,CHOOSE(ArtifactsInput!$N$15+1,25,30,35,40,45,50)/100*(Inputs!$B$12-Inputs!$B$12),0))))/100+(Inputs!$B$24+((C3177=TRUE)*(F3177-Calc!F24))+(IF(ArtifactsInput!$M$15,CHOOSE(ArtifactsInput!$N$15+1,25,30,35,40,45,50)/100*(Inputs!$B$12-Inputs!$B$12),0)))/100)/2</f>
        <v/>
      </c>
      <c r="M3155">
        <f>L3155*(1+(Inputs!$B$11+0+B3187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155">
        <f>L3155*(1-MIN((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3155*(MIN((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55">
        <f>(1-Summary!$B$11)*T3155+Summary!$B$11*V3155</f>
        <v/>
      </c>
      <c r="P3155">
        <f>IF(B3192=0,0,O3155/B3192)</f>
        <v/>
      </c>
      <c r="Q3155" t="n">
        <v>0</v>
      </c>
      <c r="R3155" t="n">
        <v>0</v>
      </c>
      <c r="S3155">
        <f>IFERROR(O3155/N3155,0)</f>
        <v/>
      </c>
      <c r="T3155">
        <f>IF(C3155,(Skills!G2*N3155*B3186)*IF(Inputs!$B$39="pvp",1,1+(Inputs!$B$21+0+Skills!P2+((C3170=TRUE)*F3170*IF(AND(Inputs!$B$39&lt;&gt;"pvp",Inputs!$B$44&gt;0),(((R3170-1)*MIN((Skills!T17*(1+Inputs!$B$35/100)),(1/Q3170))+MIN((Skills!T17*(1+Inputs!$B$35/100)),MAX(0,Inputs!$B$44-((R3170-1)*(1/Q3170)))))/Inputs!$B$44),IF(Inputs!$B$39="pvp",MIN((Skills!T17*(1+Inputs!$B$35/100)),15)/15,MIN(1,(Skills!T17*(1+Inputs!$B$35/100))/(1/Q3170)))))+((C3158=TRUE)*IF(Inputs!$B$3&gt;=126,10*MIN(1,15*Q3158),0))+((C3167=TRUE)*IF(Inputs!$B$39="pvp",20,(1-Summary!$B$11)*(20)+Summary!$B$11*(0))*IF(AND(Inputs!$B$39&lt;&gt;"pvp",Inputs!$B$44&gt;0),(((R3167-1)*MIN((Skills!T14*(1+Inputs!$B$35/100)),(1/Q3167))+MIN((Skills!T14*(1+Inputs!$B$35/100)),MAX(0,Inputs!$B$44-((R3167-1)*(1/Q3167)))))/Inputs!$B$44),IF(Inputs!$B$39="pvp",MIN((Skills!T14*(1+Inputs!$B$35/100)),15)/15,MIN(1,(Skills!T14*(1+Inputs!$B$35/100))/(1/Q3167)))))+((C3166=TRUE)*IF(Inputs!$B$3&gt;=82,IF(Inputs!$B$39="pvp",20,(1-Summary!$B$11)*(20)+Summary!$B$11*(0)),0)*IF(AND(Inputs!$B$39&lt;&gt;"pvp",Inputs!$B$44&gt;0),(((R3166-1)*MIN((Skills!T13*(1+Inputs!$B$35/100)),(1/Q3166))+MIN((Skills!T13*(1+Inputs!$B$35/100)),MAX(0,Inputs!$B$44-((R3166-1)*(1/Q3166)))))/Inputs!$B$44),IF(Inputs!$B$39="pvp",MIN((Skills!T13*(1+Inputs!$B$35/100)),15)/15,MIN(1,(Skills!T13*(1+Inputs!$B$35/100))/(1/Q3166)))))+(IF(AND(ArtifactsInput!$M$35,Inputs!$B$4&lt;&gt;"Chapter Hunt"),CHOOSE(ArtifactsInput!$N$35+1,15,18,21,24,27,30)*(1-EXP(-(0.2*B3184)*5)),0)+IF(AND(ArtifactsInput!$M$22,Inputs!$B$4&lt;&gt;"Chapter Hunt"),CHOOSE(ArtifactsInput!$N$22+1,10,12,14,16,18,20)*((0*(((0.15*B3184*5))^0/1)+1*(((0.15*B3184*5))^1/1)+2*(((0.15*B3184*5))^2/2)+3*(((0.15*B3184*5))^3/6)+4*(((0.15*B3184*5))^4/24)+5*(((0.15*B3184*5))^5/120))/((((0.15*B3184*5))^0/1)+(((0.15*B3184*5))^1/1)+(((0.15*B3184*5))^2/2)+(((0.15*B3184*5))^3/6)+(((0.15*B3184*5))^4/24)+(((0.15*B3184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3155*(1-MIN(100,(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3155*(MIN(100,(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3155*(1-MIN(100,(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3155*(MIN(100,(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155">
        <f>MAX(0,(Inputs!$B$3-100)*3)+Inputs!$B$29+Inputs!$B$30</f>
        <v/>
      </c>
      <c r="V3155">
        <f>IF(C3155,(Skills!G2*N3155*B3186)*IF(Inputs!$B$39="pvp",1,(1+(Inputs!$B$22+Skills!Q2+((C3170=TRUE)*F3170*IF(AND(Inputs!$B$39&lt;&gt;"pvp",Inputs!$B$44&gt;0),(((R3170-1)*MIN((Skills!T17*(1+Inputs!$B$35/100)),(1/Q3170))+MIN((Skills!T17*(1+Inputs!$B$35/100)),MAX(0,Inputs!$B$44-((R3170-1)*(1/Q3170)))))/Inputs!$B$44),IF(Inputs!$B$39="pvp",MIN((Skills!T17*(1+Inputs!$B$35/100)),15)/15,MIN(1,(Skills!T17*(1+Inputs!$B$35/100))/(1/Q3170)))))+((C3158=TRUE)*IF(Inputs!$B$3&gt;=126,10*MIN(1,15*Q3158),0))+((C3167=TRUE)*IF(Inputs!$B$39="pvp",20,(1-Summary!$B$11)*(20)+Summary!$B$11*(0))*IF(AND(Inputs!$B$39&lt;&gt;"pvp",Inputs!$B$44&gt;0),(((R3167-1)*MIN((Skills!T14*(1+Inputs!$B$35/100)),(1/Q3167))+MIN((Skills!T14*(1+Inputs!$B$35/100)),MAX(0,Inputs!$B$44-((R3167-1)*(1/Q3167)))))/Inputs!$B$44),IF(Inputs!$B$39="pvp",MIN((Skills!T14*(1+Inputs!$B$35/100)),15)/15,MIN(1,(Skills!T14*(1+Inputs!$B$35/100))/(1/Q3167)))))+((C3166=TRUE)*IF(Inputs!$B$3&gt;=82,IF(Inputs!$B$39="pvp",20,(1-Summary!$B$11)*(20)+Summary!$B$11*(0)),0)*IF(AND(Inputs!$B$39&lt;&gt;"pvp",Inputs!$B$44&gt;0),(((R3166-1)*MIN((Skills!T13*(1+Inputs!$B$35/100)),(1/Q3166))+MIN((Skills!T13*(1+Inputs!$B$35/100)),MAX(0,Inputs!$B$44-((R3166-1)*(1/Q3166)))))/Inputs!$B$44),IF(Inputs!$B$39="pvp",MIN((Skills!T13*(1+Inputs!$B$35/100)),15)/15,MIN(1,(Skills!T13*(1+Inputs!$B$35/100))/(1/Q3166)))))+(IF(AND(ArtifactsInput!$M$35,Inputs!$B$4&lt;&gt;"Chapter Hunt"),CHOOSE(ArtifactsInput!$N$35+1,15,18,21,24,27,30)*(1-EXP(-(0.2*B3184)*5)),0)+IF(AND(ArtifactsInput!$M$22,Inputs!$B$4&lt;&gt;"Chapter Hunt"),CHOOSE(ArtifactsInput!$N$22+1,10,12,14,16,18,20)*((0*(((0.15*B3184*5))^0/1)+1*(((0.15*B3184*5))^1/1)+2*(((0.15*B3184*5))^2/2)+3*(((0.15*B3184*5))^3/6)+4*(((0.15*B3184*5))^4/24)+5*(((0.15*B3184*5))^5/120))/((((0.15*B3184*5))^0/1)+(((0.15*B3184*5))^1/1)+(((0.15*B3184*5))^2/2)+(((0.15*B3184*5))^3/6)+(((0.15*B3184*5))^4/24)+(((0.15*B3184*5))^5/120))),0))+(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56">
      <c r="A3156">
        <f>Skills!A3</f>
        <v/>
      </c>
      <c r="B3156">
        <f>Skills!B3</f>
        <v/>
      </c>
      <c r="C3156">
        <f>Inputs!$B$3&gt;=50</f>
        <v/>
      </c>
      <c r="D3156">
        <f>IF(Skills!C3=1,60+Inputs!$B$26+Inputs!$B$30,IF(Skills!C3=2,90+Inputs!$B$27+Inputs!$B$30,IF(Skills!C3=3,120+Inputs!$B$28+Inputs!$B$30,MAX(0,(Inputs!$B$3-100)*3)+Inputs!$B$29+Inputs!$B$30)))</f>
        <v/>
      </c>
      <c r="E3156">
        <f>INDEX(FactorTable!$B$2:$Y$301, MATCH(ROUND(MIN(300,MAX(1,D3156)),0), FactorTable!$A$2:$A$301,0), Skills!M3+1)</f>
        <v/>
      </c>
      <c r="F3156">
        <f>IF(Skills!N3=TRUE,(Skills!L3/10)*(E3156/1000),Skills!L3/10)+Skills!O3</f>
        <v/>
      </c>
      <c r="G3156" t="inlineStr"/>
      <c r="H3156" t="inlineStr"/>
      <c r="I3156" t="inlineStr">
        <is>
          <t>1</t>
        </is>
      </c>
      <c r="J3156" t="inlineStr"/>
      <c r="K3156" t="inlineStr"/>
      <c r="L3156" t="inlineStr"/>
      <c r="M3156" t="inlineStr"/>
      <c r="N3156" t="inlineStr"/>
      <c r="O3156" t="inlineStr"/>
      <c r="P3156" t="inlineStr"/>
      <c r="Q3156" t="inlineStr"/>
      <c r="R3156" t="inlineStr"/>
      <c r="S3156" t="inlineStr"/>
      <c r="U3156">
        <f>INDEX(FactorTable!$B$2:$Y$301, MATCH(ROUND(MIN(300,MAX(1,U3155)),0), FactorTable!$A$2:$A$301,0), 22)</f>
        <v/>
      </c>
    </row>
    <row r="3157">
      <c r="A3157">
        <f>Skills!A4</f>
        <v/>
      </c>
      <c r="B3157">
        <f>Skills!B4</f>
        <v/>
      </c>
      <c r="C3157">
        <f>Inputs!$B$3&gt;=105</f>
        <v/>
      </c>
      <c r="D3157">
        <f>IF(Skills!C4=1,60+Inputs!$B$26+Inputs!$B$30,IF(Skills!C4=2,90+Inputs!$B$27+Inputs!$B$30,IF(Skills!C4=3,120+Inputs!$B$28+Inputs!$B$30,MAX(0,(Inputs!$B$3-100)*3)+Inputs!$B$29+Inputs!$B$30)))</f>
        <v/>
      </c>
      <c r="E3157">
        <f>INDEX(FactorTable!$B$2:$Y$301, MATCH(ROUND(MIN(300,MAX(1,D3157)),0), FactorTable!$A$2:$A$301,0), Skills!M4+1)</f>
        <v/>
      </c>
      <c r="F3157">
        <f>IF(Skills!N4=TRUE,(Skills!L4/10)*(E3157/1000),Skills!L4/10)+Skills!O4</f>
        <v/>
      </c>
      <c r="G3157" t="inlineStr"/>
      <c r="H3157" t="inlineStr"/>
      <c r="I3157" t="inlineStr">
        <is>
          <t>1</t>
        </is>
      </c>
      <c r="J3157" t="inlineStr"/>
      <c r="K3157" t="inlineStr"/>
      <c r="L3157" t="inlineStr"/>
      <c r="M3157" t="inlineStr"/>
      <c r="N3157" t="inlineStr"/>
      <c r="O3157" t="inlineStr"/>
      <c r="P3157" t="inlineStr"/>
      <c r="Q3157" t="inlineStr"/>
      <c r="R3157" t="inlineStr"/>
      <c r="S3157" t="inlineStr"/>
      <c r="U3157">
        <f>290*U3156/1000</f>
        <v/>
      </c>
    </row>
    <row r="3158">
      <c r="A3158">
        <f>Skills!A5</f>
        <v/>
      </c>
      <c r="B3158">
        <f>Skills!B5</f>
        <v/>
      </c>
      <c r="C3158">
        <f>Inputs!$B$3&gt;=117</f>
        <v/>
      </c>
      <c r="D3158">
        <f>IF(Skills!C5=1,60+Inputs!$B$26+Inputs!$B$30,IF(Skills!C5=2,90+Inputs!$B$27+Inputs!$B$30,IF(Skills!C5=3,120+Inputs!$B$28+Inputs!$B$30,MAX(0,(Inputs!$B$3-100)*3)+Inputs!$B$29+Inputs!$B$30)))</f>
        <v/>
      </c>
      <c r="E3158">
        <f>INDEX(FactorTable!$B$2:$Y$301, MATCH(ROUND(MIN(300,MAX(1,D3158)),0), FactorTable!$A$2:$A$301,0), Skills!M5+1)</f>
        <v/>
      </c>
      <c r="F3158">
        <f>IF(Skills!N5=TRUE,(Skills!L5/10)*(E3158/1000),Skills!L5/10)+Skills!O5</f>
        <v/>
      </c>
      <c r="G3158">
        <f>Skills!G5*IF(Skills!H5&gt;0,INT(IF(Inputs!$B$39="pvp",MIN(Skills!I5,15),Skills!I5)/Skills!H5+0.000000001),1)</f>
        <v/>
      </c>
      <c r="H3158">
        <f>1-(1-Skills!J5/100)^Skills!K5</f>
        <v/>
      </c>
      <c r="I3158" t="inlineStr">
        <is>
          <t>1</t>
        </is>
      </c>
      <c r="J3158">
        <f>((Inputs!$B$6*(1+Inputs!$B$7/100))+(((Inputs!$B$13*(1+Inputs!$B$14/100))-(Inputs!$B$13*(1+Inputs!$B$14/100)))+0.25*(Inputs!$B$15-Inputs!$B$15))*(1+Inputs!$B$7/100))*(F3158/100)</f>
        <v/>
      </c>
      <c r="K3158">
        <f>J3158*(1+(((Inputs!$B$13+IF(Inputs!$B$3&gt;=38,(10*INDEX(FactorTable!$B$2:$Y$301, MATCH(ROUND(MIN(300,MAX(1,Inputs!$B$3)),0), FactorTable!$A$2:$A$301,0), 23)/1000)/100*(Inputs!$B$8*(1+Inputs!$B$9/100)),0))*(1+Inputs!$B$14/100))*0.01+Inputs!$B$15*0.0025)/100)*(1+Inputs!$B$16/100)*(1+Inputs!$B$17/100)*(5000/(6000+Inputs!$B$43*(1-(Inputs!$B$20+0)/100)))*(1+(Inputs!$B$25+((C3178=TRUE)*(F3178-Calc!F25))+((C3179=TRUE)*(F3179-Calc!F26))+B3188)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5="DARK_IMPALE",Inputs!$B$18+0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gt;=100),MIN(100,((Inputs!$B$10+0+B3182+(ArtifactsInput!$M$24-ArtifactsInput!$M$24)*CHOOSE(ArtifactsInput!$N$24+1,10,12,14,16,18,20)+IF(ArtifactsInput!$M$10,CHOOSE(ArtifactsInput!$N$10+1,15,18,21,24,27,30)*(IF(Inputs!$B$39="pvp",MIN(15,15)/15,IF(AND(Inputs!$B$39&lt;&gt;"pvp",Inputs!$B$44&gt;0),MIN(15,Inputs!$B$44)/(Inputs!$B$44),0))),0)))-100),0))*CHOOSE(ArtifactsInput!$N$42+1,0.6,0.72,0.84,0.96,1.08,1.2))),Inputs!$B$19+((C3176=TRUE)*(F3176-Calc!F23))+(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gt;=100),CHOOSE(ArtifactsInput!$N$42+1,40,48,56,64,72,80),0))))/100)*((1+(((C3166=TRUE)*F3166*IF(AND(Inputs!$B$39&lt;&gt;"pvp",Inputs!$B$44&gt;0),(((R3166-1)*MIN((Skills!T13*(1+Inputs!$B$35/100)),(1/Q3166))+MIN((Skills!T13*(1+Inputs!$B$35/100)),MAX(0,Inputs!$B$44-((R3166-1)*(1/Q3166)))))/Inputs!$B$44),IF(Inputs!$B$39="pvp",MIN((Skills!T13*(1+Inputs!$B$35/100)),15)/15,MIN(1,(Skills!T13*(1+Inputs!$B$35/100))/(1/Q3166)))))+((C3167=TRUE)*F3167*IF(AND(Inputs!$B$39&lt;&gt;"pvp",Inputs!$B$44&gt;0),(((R3167-1)*MIN((Skills!T14*(1+Inputs!$B$35/100)),(1/Q3167))+MIN((Skills!T14*(1+Inputs!$B$35/100)),MAX(0,Inputs!$B$44-((R3167-1)*(1/Q3167)))))/Inputs!$B$44),IF(Inputs!$B$39="pvp",MIN((Skills!T14*(1+Inputs!$B$35/100)),15)/15,MIN(1,(Skills!T14*(1+Inputs!$B$35/100))/(1/Q3167)))))+((C3168=TRUE)*F3168*IF(AND(Inputs!$B$39&lt;&gt;"pvp",Inputs!$B$44&gt;0),(((R3168-1)*MIN((Skills!T15*(1+Inputs!$B$35/100)),(1/Q3168))+MIN((Skills!T15*(1+Inputs!$B$35/100)),MAX(0,Inputs!$B$44-((R3168-1)*(1/Q3168)))))/Inputs!$B$44),IF(Inputs!$B$39="pvp",MIN((Skills!T15*(1+Inputs!$B$35/100)),15)/15,MIN(1,(Skills!T15*(1+Inputs!$B$35/100))/(1/Q3168)))))+((C3169=TRUE)*F3169*IF(AND(Inputs!$B$39&lt;&gt;"pvp",Inputs!$B$44&gt;0),(((R3169-1)*MIN((Skills!T16*(1+Inputs!$B$35/100)),(1/Q3169))+MIN((Skills!T16*(1+Inputs!$B$35/100)),MAX(0,Inputs!$B$44-((R3169-1)*(1/Q3169)))))/Inputs!$B$44),IF(Inputs!$B$39="pvp",MIN((Skills!T16*(1+Inputs!$B$35/100)),15)/15,MIN(1,(Skills!T16*(1+Inputs!$B$35/100))/(1/Q3169)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3158)</f>
        <v/>
      </c>
      <c r="L3158">
        <f>K3158*(MIN(Inputs!$B$23+((C3175=TRUE)*(F3175-Calc!F22)),(Inputs!$B$24+((C3177=TRUE)*(F3177-Calc!F24))+(IF(ArtifactsInput!$M$15,CHOOSE(ArtifactsInput!$N$15+1,25,30,35,40,45,50)/100*(Inputs!$B$12-Inputs!$B$12),0))))/100+(Inputs!$B$24+((C3177=TRUE)*(F3177-Calc!F24))+(IF(ArtifactsInput!$M$15,CHOOSE(ArtifactsInput!$N$15+1,25,30,35,40,45,50)/100*(Inputs!$B$12-Inputs!$B$12),0)))/100)/2</f>
        <v/>
      </c>
      <c r="M3158">
        <f>L3158*(1+(Inputs!$B$11+0+B3187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158">
        <f>L3158*(1-MIN((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3158*(MIN((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58">
        <f>(1-Summary!$B$11)*T3158+Summary!$B$11*V3158</f>
        <v/>
      </c>
      <c r="P3158">
        <f>IF(B3192=0,0,O3158/B3192)</f>
        <v/>
      </c>
      <c r="Q3158">
        <f>IFERROR(1/IF(Inputs!$B$39="pvp",15,MAX(0.1,Skills!D5-IF(TRUE=TRUE,5.0,0))),0)</f>
        <v/>
      </c>
      <c r="R3158">
        <f>IF(AND(Inputs!$B$39&lt;&gt;"pvp",Inputs!$B$44&gt;0),IF(MAX(0,Inputs!$B$44-B3189)&lt;=0,0,(INT(MAX(0,Inputs!$B$44-B3189)/IF(Inputs!$B$39="pvp",15,MAX(0.1,Skills!D5-IF(TRUE=TRUE,5.0,0))))+1)),0)</f>
        <v/>
      </c>
      <c r="S3158">
        <f>IFERROR(O3158/N3158,0)</f>
        <v/>
      </c>
      <c r="T3158">
        <f>IF(C3158,(H3158*N3158*IF(AND(Inputs!$B$39&lt;&gt;"pvp",Inputs!$B$44&gt;0),((Skills!G5*((R3158-1)*IF(Skills!H5&gt;0,INT(Skills!I5/Skills!H5+0.000000001),1)+IF(Skills!H5&gt;0,INT(MIN(Skills!I5,MAX(0,MAX(0,Inputs!$B$44-B3189)-((R3158-1)*IF(Inputs!$B$39="pvp",15,MAX(0.1,Skills!D5-IF(TRUE=TRUE,5.0,0))))))/Skills!H5+0.000000001),1)))/Inputs!$B$44),G3158*Q3158))*IF(Inputs!$B$39="pvp",1,1+(Inputs!$B$21+0+Skills!P5+((C3170=TRUE)*F3170*IF(AND(Inputs!$B$39&lt;&gt;"pvp",Inputs!$B$44&gt;0),(((R3170-1)*MIN((Skills!T17*(1+Inputs!$B$35/100)),(1/Q3170))+MIN((Skills!T17*(1+Inputs!$B$35/100)),MAX(0,Inputs!$B$44-((R3170-1)*(1/Q3170)))))/Inputs!$B$44),IF(Inputs!$B$39="pvp",MIN((Skills!T17*(1+Inputs!$B$35/100)),15)/15,MIN(1,(Skills!T17*(1+Inputs!$B$35/100))/(1/Q3170)))))+((C3158=TRUE)*IF(Inputs!$B$3&gt;=126,10*MIN(1,15*Q3158),0))+((C3167=TRUE)*IF(Inputs!$B$39="pvp",20,(1-Summary!$B$11)*(20)+Summary!$B$11*(0))*IF(AND(Inputs!$B$39&lt;&gt;"pvp",Inputs!$B$44&gt;0),(((R3167-1)*MIN((Skills!T14*(1+Inputs!$B$35/100)),(1/Q3167))+MIN((Skills!T14*(1+Inputs!$B$35/100)),MAX(0,Inputs!$B$44-((R3167-1)*(1/Q3167)))))/Inputs!$B$44),IF(Inputs!$B$39="pvp",MIN((Skills!T14*(1+Inputs!$B$35/100)),15)/15,MIN(1,(Skills!T14*(1+Inputs!$B$35/100))/(1/Q3167)))))+((C3166=TRUE)*IF(Inputs!$B$3&gt;=82,IF(Inputs!$B$39="pvp",20,(1-Summary!$B$11)*(20)+Summary!$B$11*(0)),0)*IF(AND(Inputs!$B$39&lt;&gt;"pvp",Inputs!$B$44&gt;0),(((R3166-1)*MIN((Skills!T13*(1+Inputs!$B$35/100)),(1/Q3166))+MIN((Skills!T13*(1+Inputs!$B$35/100)),MAX(0,Inputs!$B$44-((R3166-1)*(1/Q3166)))))/Inputs!$B$44),IF(Inputs!$B$39="pvp",MIN((Skills!T13*(1+Inputs!$B$35/100)),15)/15,MIN(1,(Skills!T13*(1+Inputs!$B$35/100))/(1/Q3166)))))+(IF(AND(ArtifactsInput!$M$35,Inputs!$B$4&lt;&gt;"Chapter Hunt"),CHOOSE(ArtifactsInput!$N$35+1,15,18,21,24,27,30)*(1-EXP(-(0.2*B3184)*5)),0)+IF(AND(ArtifactsInput!$M$22,Inputs!$B$4&lt;&gt;"Chapter Hunt"),CHOOSE(ArtifactsInput!$N$22+1,10,12,14,16,18,20)*((0*(((0.15*B3184*5))^0/1)+1*(((0.15*B3184*5))^1/1)+2*(((0.15*B3184*5))^2/2)+3*(((0.15*B3184*5))^3/6)+4*(((0.15*B3184*5))^4/24)+5*(((0.15*B3184*5))^5/120))/((((0.15*B3184*5))^0/1)+(((0.15*B3184*5))^1/1)+(((0.15*B3184*5))^2/2)+(((0.15*B3184*5))^3/6)+(((0.15*B3184*5))^4/24)+(((0.15*B3184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3158*(1-MIN(100,(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3158*(MIN(100,(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3158*(1-MIN(100,(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3158*(MIN(100,(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58">
        <f>IF(C3158,(H3158*N3158*IF(AND(Inputs!$B$39&lt;&gt;"pvp",Inputs!$B$44&gt;0),((Skills!G5*((R3158-1)*IF(Skills!H5&gt;0,INT(Skills!I5/Skills!H5+0.000000001),1)+IF(Skills!H5&gt;0,INT(MIN(Skills!I5,MAX(0,MAX(0,Inputs!$B$44-B3189)-((R3158-1)*IF(Inputs!$B$39="pvp",15,MAX(0.1,Skills!D5-IF(TRUE=TRUE,5.0,0))))))/Skills!H5+0.000000001),1)))/Inputs!$B$44),G3158*Q3158))*IF(Inputs!$B$39="pvp",1,(1+(Inputs!$B$22+Skills!Q5+((C3170=TRUE)*F3170*IF(AND(Inputs!$B$39&lt;&gt;"pvp",Inputs!$B$44&gt;0),(((R3170-1)*MIN((Skills!T17*(1+Inputs!$B$35/100)),(1/Q3170))+MIN((Skills!T17*(1+Inputs!$B$35/100)),MAX(0,Inputs!$B$44-((R3170-1)*(1/Q3170)))))/Inputs!$B$44),IF(Inputs!$B$39="pvp",MIN((Skills!T17*(1+Inputs!$B$35/100)),15)/15,MIN(1,(Skills!T17*(1+Inputs!$B$35/100))/(1/Q3170)))))+((C3158=TRUE)*IF(Inputs!$B$3&gt;=126,10*MIN(1,15*Q3158),0))+((C3167=TRUE)*IF(Inputs!$B$39="pvp",20,(1-Summary!$B$11)*(20)+Summary!$B$11*(0))*IF(AND(Inputs!$B$39&lt;&gt;"pvp",Inputs!$B$44&gt;0),(((R3167-1)*MIN((Skills!T14*(1+Inputs!$B$35/100)),(1/Q3167))+MIN((Skills!T14*(1+Inputs!$B$35/100)),MAX(0,Inputs!$B$44-((R3167-1)*(1/Q3167)))))/Inputs!$B$44),IF(Inputs!$B$39="pvp",MIN((Skills!T14*(1+Inputs!$B$35/100)),15)/15,MIN(1,(Skills!T14*(1+Inputs!$B$35/100))/(1/Q3167)))))+((C3166=TRUE)*IF(Inputs!$B$3&gt;=82,IF(Inputs!$B$39="pvp",20,(1-Summary!$B$11)*(20)+Summary!$B$11*(0)),0)*IF(AND(Inputs!$B$39&lt;&gt;"pvp",Inputs!$B$44&gt;0),(((R3166-1)*MIN((Skills!T13*(1+Inputs!$B$35/100)),(1/Q3166))+MIN((Skills!T13*(1+Inputs!$B$35/100)),MAX(0,Inputs!$B$44-((R3166-1)*(1/Q3166)))))/Inputs!$B$44),IF(Inputs!$B$39="pvp",MIN((Skills!T13*(1+Inputs!$B$35/100)),15)/15,MIN(1,(Skills!T13*(1+Inputs!$B$35/100))/(1/Q3166)))))+(IF(AND(ArtifactsInput!$M$35,Inputs!$B$4&lt;&gt;"Chapter Hunt"),CHOOSE(ArtifactsInput!$N$35+1,15,18,21,24,27,30)*(1-EXP(-(0.2*B3184)*5)),0)+IF(AND(ArtifactsInput!$M$22,Inputs!$B$4&lt;&gt;"Chapter Hunt"),CHOOSE(ArtifactsInput!$N$22+1,10,12,14,16,18,20)*((0*(((0.15*B3184*5))^0/1)+1*(((0.15*B3184*5))^1/1)+2*(((0.15*B3184*5))^2/2)+3*(((0.15*B3184*5))^3/6)+4*(((0.15*B3184*5))^4/24)+5*(((0.15*B3184*5))^5/120))/((((0.15*B3184*5))^0/1)+(((0.15*B3184*5))^1/1)+(((0.15*B3184*5))^2/2)+(((0.15*B3184*5))^3/6)+(((0.15*B3184*5))^4/24)+(((0.15*B3184*5))^5/120))),0))+(IF(ArtifactsInput!$M$33,CHOOSE(ArtifactsInput!$N$33+1,30,36,42,48,54,60),0)))/100)*(MIN(Skills!R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59">
      <c r="A3159">
        <f>Skills!A6</f>
        <v/>
      </c>
      <c r="B3159">
        <f>Skills!B6</f>
        <v/>
      </c>
      <c r="C3159">
        <f>Inputs!$B$3&gt;=103</f>
        <v/>
      </c>
      <c r="D3159">
        <f>IF(Skills!C6=1,60+Inputs!$B$26+Inputs!$B$30,IF(Skills!C6=2,90+Inputs!$B$27+Inputs!$B$30,IF(Skills!C6=3,120+Inputs!$B$28+Inputs!$B$30,MAX(0,(Inputs!$B$3-100)*3)+Inputs!$B$29+Inputs!$B$30)))</f>
        <v/>
      </c>
      <c r="E3159">
        <f>INDEX(FactorTable!$B$2:$Y$301, MATCH(ROUND(MIN(300,MAX(1,D3159)),0), FactorTable!$A$2:$A$301,0), Skills!M6+1)</f>
        <v/>
      </c>
      <c r="F3159">
        <f>IF(Skills!N6=TRUE,(Skills!L6/10)*(E3159/1000),Skills!L6/10)+Skills!O6</f>
        <v/>
      </c>
      <c r="G3159">
        <f>Skills!G6*IF(Skills!H6&gt;0,INT(IF(Inputs!$B$39="pvp",MIN(Skills!I6,15),Skills!I6)/Skills!H6+0.000000001),1)</f>
        <v/>
      </c>
      <c r="H3159">
        <f>1-(1-Skills!J6/100)^Skills!K6</f>
        <v/>
      </c>
      <c r="I3159" t="inlineStr">
        <is>
          <t>1</t>
        </is>
      </c>
      <c r="J3159">
        <f>((Inputs!$B$6*(1+Inputs!$B$7/100))+(((Inputs!$B$13*(1+Inputs!$B$14/100))-(Inputs!$B$13*(1+Inputs!$B$14/100)))+0.25*(Inputs!$B$15-Inputs!$B$15))*(1+Inputs!$B$7/100))*(F3159/100)</f>
        <v/>
      </c>
      <c r="K3159">
        <f>J3159*(1+(((Inputs!$B$13+IF(Inputs!$B$3&gt;=38,(10*INDEX(FactorTable!$B$2:$Y$301, MATCH(ROUND(MIN(300,MAX(1,Inputs!$B$3)),0), FactorTable!$A$2:$A$301,0), 23)/1000)/100*(Inputs!$B$8*(1+Inputs!$B$9/100)),0))*(1+Inputs!$B$14/100))*0.01+Inputs!$B$15*0.0025)/100)*(1+Inputs!$B$16/100)*(1+Inputs!$B$17/100)*(5000/(6000+Inputs!$B$43*(1-(Inputs!$B$20+0)/100)))*(1+(Inputs!$B$25+((C3178=TRUE)*(F3178-Calc!F25))+((C3179=TRUE)*(F3179-Calc!F26))+B3188)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6="DARK_IMPALE",Inputs!$B$18+0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gt;=100),MIN(100,((Inputs!$B$10+0+B3182+(ArtifactsInput!$M$24-ArtifactsInput!$M$24)*CHOOSE(ArtifactsInput!$N$24+1,10,12,14,16,18,20)+IF(ArtifactsInput!$M$10,CHOOSE(ArtifactsInput!$N$10+1,15,18,21,24,27,30)*(IF(Inputs!$B$39="pvp",MIN(15,15)/15,IF(AND(Inputs!$B$39&lt;&gt;"pvp",Inputs!$B$44&gt;0),MIN(15,Inputs!$B$44)/(Inputs!$B$44),0))),0)))-100),0))*CHOOSE(ArtifactsInput!$N$42+1,0.6,0.72,0.84,0.96,1.08,1.2))),Inputs!$B$19+((C3176=TRUE)*(F3176-Calc!F23))+(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gt;=100),CHOOSE(ArtifactsInput!$N$42+1,40,48,56,64,72,80),0))))/100)*((1+(((C3166=TRUE)*F3166*IF(AND(Inputs!$B$39&lt;&gt;"pvp",Inputs!$B$44&gt;0),(((R3166-1)*MIN((Skills!T13*(1+Inputs!$B$35/100)),(1/Q3166))+MIN((Skills!T13*(1+Inputs!$B$35/100)),MAX(0,Inputs!$B$44-((R3166-1)*(1/Q3166)))))/Inputs!$B$44),IF(Inputs!$B$39="pvp",MIN((Skills!T13*(1+Inputs!$B$35/100)),15)/15,MIN(1,(Skills!T13*(1+Inputs!$B$35/100))/(1/Q3166)))))+((C3167=TRUE)*F3167*IF(AND(Inputs!$B$39&lt;&gt;"pvp",Inputs!$B$44&gt;0),(((R3167-1)*MIN((Skills!T14*(1+Inputs!$B$35/100)),(1/Q3167))+MIN((Skills!T14*(1+Inputs!$B$35/100)),MAX(0,Inputs!$B$44-((R3167-1)*(1/Q3167)))))/Inputs!$B$44),IF(Inputs!$B$39="pvp",MIN((Skills!T14*(1+Inputs!$B$35/100)),15)/15,MIN(1,(Skills!T14*(1+Inputs!$B$35/100))/(1/Q3167)))))+((C3168=TRUE)*F3168*IF(AND(Inputs!$B$39&lt;&gt;"pvp",Inputs!$B$44&gt;0),(((R3168-1)*MIN((Skills!T15*(1+Inputs!$B$35/100)),(1/Q3168))+MIN((Skills!T15*(1+Inputs!$B$35/100)),MAX(0,Inputs!$B$44-((R3168-1)*(1/Q3168)))))/Inputs!$B$44),IF(Inputs!$B$39="pvp",MIN((Skills!T15*(1+Inputs!$B$35/100)),15)/15,MIN(1,(Skills!T15*(1+Inputs!$B$35/100))/(1/Q3168)))))+((C3169=TRUE)*F3169*IF(AND(Inputs!$B$39&lt;&gt;"pvp",Inputs!$B$44&gt;0),(((R3169-1)*MIN((Skills!T16*(1+Inputs!$B$35/100)),(1/Q3169))+MIN((Skills!T16*(1+Inputs!$B$35/100)),MAX(0,Inputs!$B$44-((R3169-1)*(1/Q3169)))))/Inputs!$B$44),IF(Inputs!$B$39="pvp",MIN((Skills!T16*(1+Inputs!$B$35/100)),15)/15,MIN(1,(Skills!T16*(1+Inputs!$B$35/100))/(1/Q3169)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3159)</f>
        <v/>
      </c>
      <c r="L3159">
        <f>K3159*(MIN(Inputs!$B$23+((C3175=TRUE)*(F3175-Calc!F22)),(Inputs!$B$24+((C3177=TRUE)*(F3177-Calc!F24))+(IF(ArtifactsInput!$M$15,CHOOSE(ArtifactsInput!$N$15+1,25,30,35,40,45,50)/100*(Inputs!$B$12-Inputs!$B$12),0))))/100+(Inputs!$B$24+((C3177=TRUE)*(F3177-Calc!F24))+(IF(ArtifactsInput!$M$15,CHOOSE(ArtifactsInput!$N$15+1,25,30,35,40,45,50)/100*(Inputs!$B$12-Inputs!$B$12),0)))/100)/2</f>
        <v/>
      </c>
      <c r="M3159">
        <f>L3159*(1+(Inputs!$B$11+0+B3187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159">
        <f>L3159*(1-MIN((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3159*(MIN((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59">
        <f>(1-Summary!$B$11)*T3159+Summary!$B$11*V3159</f>
        <v/>
      </c>
      <c r="P3159">
        <f>IF(B3192=0,0,O3159/B3192)</f>
        <v/>
      </c>
      <c r="Q3159">
        <f>IFERROR(1/IF(Inputs!$B$39="pvp",15,MAX(0.1,Skills!D6-IF(TRUE=TRUE,5.0,0))),0)</f>
        <v/>
      </c>
      <c r="R3159">
        <f>IF(AND(Inputs!$B$39&lt;&gt;"pvp",Inputs!$B$44&gt;0),IF(MAX(0,Inputs!$B$44-B3189)&lt;=0,0,(INT(MAX(0,Inputs!$B$44-B3189)/IF(Inputs!$B$39="pvp",15,MAX(0.1,Skills!D6-IF(TRUE=TRUE,5.0,0))))+1)),0)</f>
        <v/>
      </c>
      <c r="S3159">
        <f>IFERROR(O3159/N3159,0)</f>
        <v/>
      </c>
      <c r="T3159">
        <f>IF(C3159,(H3159*N3159*IF(AND(Inputs!$B$39&lt;&gt;"pvp",Inputs!$B$44&gt;0),((Skills!G6*((R3159-1)*IF(Skills!H6&gt;0,INT(Skills!I6/Skills!H6+0.000000001),1)+IF(Skills!H6&gt;0,INT(MIN(Skills!I6,MAX(0,MAX(0,Inputs!$B$44-B3189)-((R3159-1)*IF(Inputs!$B$39="pvp",15,MAX(0.1,Skills!D6-IF(TRUE=TRUE,5.0,0))))))/Skills!H6+0.000000001),1)))/Inputs!$B$44),G3159*Q3159))*IF(Inputs!$B$39="pvp",1,1+(Inputs!$B$21+0+Skills!P6+((C3170=TRUE)*F3170*IF(AND(Inputs!$B$39&lt;&gt;"pvp",Inputs!$B$44&gt;0),(((R3170-1)*MIN((Skills!T17*(1+Inputs!$B$35/100)),(1/Q3170))+MIN((Skills!T17*(1+Inputs!$B$35/100)),MAX(0,Inputs!$B$44-((R3170-1)*(1/Q3170)))))/Inputs!$B$44),IF(Inputs!$B$39="pvp",MIN((Skills!T17*(1+Inputs!$B$35/100)),15)/15,MIN(1,(Skills!T17*(1+Inputs!$B$35/100))/(1/Q3170)))))+((C3158=TRUE)*IF(Inputs!$B$3&gt;=126,10*MIN(1,15*Q3158),0))+((C3167=TRUE)*IF(Inputs!$B$39="pvp",20,(1-Summary!$B$11)*(20)+Summary!$B$11*(0))*IF(AND(Inputs!$B$39&lt;&gt;"pvp",Inputs!$B$44&gt;0),(((R3167-1)*MIN((Skills!T14*(1+Inputs!$B$35/100)),(1/Q3167))+MIN((Skills!T14*(1+Inputs!$B$35/100)),MAX(0,Inputs!$B$44-((R3167-1)*(1/Q3167)))))/Inputs!$B$44),IF(Inputs!$B$39="pvp",MIN((Skills!T14*(1+Inputs!$B$35/100)),15)/15,MIN(1,(Skills!T14*(1+Inputs!$B$35/100))/(1/Q3167)))))+((C3166=TRUE)*IF(Inputs!$B$3&gt;=82,IF(Inputs!$B$39="pvp",20,(1-Summary!$B$11)*(20)+Summary!$B$11*(0)),0)*IF(AND(Inputs!$B$39&lt;&gt;"pvp",Inputs!$B$44&gt;0),(((R3166-1)*MIN((Skills!T13*(1+Inputs!$B$35/100)),(1/Q3166))+MIN((Skills!T13*(1+Inputs!$B$35/100)),MAX(0,Inputs!$B$44-((R3166-1)*(1/Q3166)))))/Inputs!$B$44),IF(Inputs!$B$39="pvp",MIN((Skills!T13*(1+Inputs!$B$35/100)),15)/15,MIN(1,(Skills!T13*(1+Inputs!$B$35/100))/(1/Q3166)))))+(IF(AND(ArtifactsInput!$M$35,Inputs!$B$4&lt;&gt;"Chapter Hunt"),CHOOSE(ArtifactsInput!$N$35+1,15,18,21,24,27,30)*(1-EXP(-(0.2*B3184)*5)),0)+IF(AND(ArtifactsInput!$M$22,Inputs!$B$4&lt;&gt;"Chapter Hunt"),CHOOSE(ArtifactsInput!$N$22+1,10,12,14,16,18,20)*((0*(((0.15*B3184*5))^0/1)+1*(((0.15*B3184*5))^1/1)+2*(((0.15*B3184*5))^2/2)+3*(((0.15*B3184*5))^3/6)+4*(((0.15*B3184*5))^4/24)+5*(((0.15*B3184*5))^5/120))/((((0.15*B3184*5))^0/1)+(((0.15*B3184*5))^1/1)+(((0.15*B3184*5))^2/2)+(((0.15*B3184*5))^3/6)+(((0.15*B3184*5))^4/24)+(((0.15*B3184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3159*(1-MIN(100,(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3159*(MIN(100,(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3159*(1-MIN(100,(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3159*(MIN(100,(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59">
        <f>IF(C3159,(H3159*N3159*IF(AND(Inputs!$B$39&lt;&gt;"pvp",Inputs!$B$44&gt;0),((Skills!G6*((R3159-1)*IF(Skills!H6&gt;0,INT(Skills!I6/Skills!H6+0.000000001),1)+IF(Skills!H6&gt;0,INT(MIN(Skills!I6,MAX(0,MAX(0,Inputs!$B$44-B3189)-((R3159-1)*IF(Inputs!$B$39="pvp",15,MAX(0.1,Skills!D6-IF(TRUE=TRUE,5.0,0))))))/Skills!H6+0.000000001),1)))/Inputs!$B$44),G3159*Q3159))*IF(Inputs!$B$39="pvp",1,(1+(Inputs!$B$22+Skills!Q6+((C3170=TRUE)*F3170*IF(AND(Inputs!$B$39&lt;&gt;"pvp",Inputs!$B$44&gt;0),(((R3170-1)*MIN((Skills!T17*(1+Inputs!$B$35/100)),(1/Q3170))+MIN((Skills!T17*(1+Inputs!$B$35/100)),MAX(0,Inputs!$B$44-((R3170-1)*(1/Q3170)))))/Inputs!$B$44),IF(Inputs!$B$39="pvp",MIN((Skills!T17*(1+Inputs!$B$35/100)),15)/15,MIN(1,(Skills!T17*(1+Inputs!$B$35/100))/(1/Q3170)))))+((C3158=TRUE)*IF(Inputs!$B$3&gt;=126,10*MIN(1,15*Q3158),0))+((C3167=TRUE)*IF(Inputs!$B$39="pvp",20,(1-Summary!$B$11)*(20)+Summary!$B$11*(0))*IF(AND(Inputs!$B$39&lt;&gt;"pvp",Inputs!$B$44&gt;0),(((R3167-1)*MIN((Skills!T14*(1+Inputs!$B$35/100)),(1/Q3167))+MIN((Skills!T14*(1+Inputs!$B$35/100)),MAX(0,Inputs!$B$44-((R3167-1)*(1/Q3167)))))/Inputs!$B$44),IF(Inputs!$B$39="pvp",MIN((Skills!T14*(1+Inputs!$B$35/100)),15)/15,MIN(1,(Skills!T14*(1+Inputs!$B$35/100))/(1/Q3167)))))+((C3166=TRUE)*IF(Inputs!$B$3&gt;=82,IF(Inputs!$B$39="pvp",20,(1-Summary!$B$11)*(20)+Summary!$B$11*(0)),0)*IF(AND(Inputs!$B$39&lt;&gt;"pvp",Inputs!$B$44&gt;0),(((R3166-1)*MIN((Skills!T13*(1+Inputs!$B$35/100)),(1/Q3166))+MIN((Skills!T13*(1+Inputs!$B$35/100)),MAX(0,Inputs!$B$44-((R3166-1)*(1/Q3166)))))/Inputs!$B$44),IF(Inputs!$B$39="pvp",MIN((Skills!T13*(1+Inputs!$B$35/100)),15)/15,MIN(1,(Skills!T13*(1+Inputs!$B$35/100))/(1/Q3166)))))+(IF(AND(ArtifactsInput!$M$35,Inputs!$B$4&lt;&gt;"Chapter Hunt"),CHOOSE(ArtifactsInput!$N$35+1,15,18,21,24,27,30)*(1-EXP(-(0.2*B3184)*5)),0)+IF(AND(ArtifactsInput!$M$22,Inputs!$B$4&lt;&gt;"Chapter Hunt"),CHOOSE(ArtifactsInput!$N$22+1,10,12,14,16,18,20)*((0*(((0.15*B3184*5))^0/1)+1*(((0.15*B3184*5))^1/1)+2*(((0.15*B3184*5))^2/2)+3*(((0.15*B3184*5))^3/6)+4*(((0.15*B3184*5))^4/24)+5*(((0.15*B3184*5))^5/120))/((((0.15*B3184*5))^0/1)+(((0.15*B3184*5))^1/1)+(((0.15*B3184*5))^2/2)+(((0.15*B3184*5))^3/6)+(((0.15*B3184*5))^4/24)+(((0.15*B3184*5))^5/120))),0))+(IF(ArtifactsInput!$M$33,CHOOSE(ArtifactsInput!$N$33+1,30,36,42,48,54,60),0)))/100)*(MIN(Skills!R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60">
      <c r="A3160">
        <f>Skills!A7</f>
        <v/>
      </c>
      <c r="B3160">
        <f>Skills!B7</f>
        <v/>
      </c>
      <c r="C3160">
        <f>Inputs!$B$3&gt;=40</f>
        <v/>
      </c>
      <c r="D3160">
        <f>IF(Skills!C7=1,60+Inputs!$B$26+Inputs!$B$30,IF(Skills!C7=2,90+Inputs!$B$27+Inputs!$B$30,IF(Skills!C7=3,120+Inputs!$B$28+Inputs!$B$30,MAX(0,(Inputs!$B$3-100)*3)+Inputs!$B$29+Inputs!$B$30)))</f>
        <v/>
      </c>
      <c r="E3160">
        <f>INDEX(FactorTable!$B$2:$Y$301, MATCH(ROUND(MIN(300,MAX(1,D3160)),0), FactorTable!$A$2:$A$301,0), Skills!M7+1)</f>
        <v/>
      </c>
      <c r="F3160">
        <f>IF(Skills!N7=TRUE,(Skills!L7/10)*(E3160/1000),Skills!L7/10)+Skills!O7</f>
        <v/>
      </c>
      <c r="G3160">
        <f>Skills!G7*IF(Skills!H7&gt;0,INT(IF(Inputs!$B$39="pvp",MIN(Skills!I7,15),Skills!I7)/Skills!H7+0.000000001),1)</f>
        <v/>
      </c>
      <c r="H3160">
        <f>1-(1-Skills!J7/100)^Skills!K7</f>
        <v/>
      </c>
      <c r="I3160" t="inlineStr">
        <is>
          <t>1</t>
        </is>
      </c>
      <c r="J3160">
        <f>((Inputs!$B$6*(1+Inputs!$B$7/100))+(((Inputs!$B$13*(1+Inputs!$B$14/100))-(Inputs!$B$13*(1+Inputs!$B$14/100)))+0.25*(Inputs!$B$15-Inputs!$B$15))*(1+Inputs!$B$7/100))*(F3160/100)</f>
        <v/>
      </c>
      <c r="K3160">
        <f>J3160*(1+(((Inputs!$B$13+IF(Inputs!$B$3&gt;=38,(10*INDEX(FactorTable!$B$2:$Y$301, MATCH(ROUND(MIN(300,MAX(1,Inputs!$B$3)),0), FactorTable!$A$2:$A$301,0), 23)/1000)/100*(Inputs!$B$8*(1+Inputs!$B$9/100)),0))*(1+Inputs!$B$14/100))*0.01+Inputs!$B$15*0.0025)/100)*(1+Inputs!$B$16/100)*(1+Inputs!$B$17/100)*(5000/(6000+Inputs!$B$43*(1-(Inputs!$B$20+0)/100)))*(1+(Inputs!$B$25+((C3178=TRUE)*(F3178-Calc!F25))+((C3179=TRUE)*(F3179-Calc!F26))+B3188)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3164=TRUE,F3164,0)/100)*(1+(IF(Skills!A7="DARK_IMPALE",Inputs!$B$18+0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gt;=100),MIN(100,((Inputs!$B$10+0+B3182+(ArtifactsInput!$M$24-ArtifactsInput!$M$24)*CHOOSE(ArtifactsInput!$N$24+1,10,12,14,16,18,20)+IF(ArtifactsInput!$M$10,CHOOSE(ArtifactsInput!$N$10+1,15,18,21,24,27,30)*(IF(Inputs!$B$39="pvp",MIN(15,15)/15,IF(AND(Inputs!$B$39&lt;&gt;"pvp",Inputs!$B$44&gt;0),MIN(15,Inputs!$B$44)/(Inputs!$B$44),0))),0)))-100),0))*CHOOSE(ArtifactsInput!$N$42+1,0.6,0.72,0.84,0.96,1.08,1.2))),Inputs!$B$19+((C3176=TRUE)*(F3176-Calc!F23))+(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gt;=100),CHOOSE(ArtifactsInput!$N$42+1,40,48,56,64,72,80),0))))/100)*((1+(((C3166=TRUE)*F3166*IF(AND(Inputs!$B$39&lt;&gt;"pvp",Inputs!$B$44&gt;0),(((R3166-1)*MIN((Skills!T13*(1+Inputs!$B$35/100)),(1/Q3166))+MIN((Skills!T13*(1+Inputs!$B$35/100)),MAX(0,Inputs!$B$44-((R3166-1)*(1/Q3166)))))/Inputs!$B$44),IF(Inputs!$B$39="pvp",MIN((Skills!T13*(1+Inputs!$B$35/100)),15)/15,MIN(1,(Skills!T13*(1+Inputs!$B$35/100))/(1/Q3166)))))+((C3167=TRUE)*F3167*IF(AND(Inputs!$B$39&lt;&gt;"pvp",Inputs!$B$44&gt;0),(((R3167-1)*MIN((Skills!T14*(1+Inputs!$B$35/100)),(1/Q3167))+MIN((Skills!T14*(1+Inputs!$B$35/100)),MAX(0,Inputs!$B$44-((R3167-1)*(1/Q3167)))))/Inputs!$B$44),IF(Inputs!$B$39="pvp",MIN((Skills!T14*(1+Inputs!$B$35/100)),15)/15,MIN(1,(Skills!T14*(1+Inputs!$B$35/100))/(1/Q3167)))))+((C3168=TRUE)*F3168*IF(AND(Inputs!$B$39&lt;&gt;"pvp",Inputs!$B$44&gt;0),(((R3168-1)*MIN((Skills!T15*(1+Inputs!$B$35/100)),(1/Q3168))+MIN((Skills!T15*(1+Inputs!$B$35/100)),MAX(0,Inputs!$B$44-((R3168-1)*(1/Q3168)))))/Inputs!$B$44),IF(Inputs!$B$39="pvp",MIN((Skills!T15*(1+Inputs!$B$35/100)),15)/15,MIN(1,(Skills!T15*(1+Inputs!$B$35/100))/(1/Q3168)))))+((C3169=TRUE)*F3169*IF(AND(Inputs!$B$39&lt;&gt;"pvp",Inputs!$B$44&gt;0),(((R3169-1)*MIN((Skills!T16*(1+Inputs!$B$35/100)),(1/Q3169))+MIN((Skills!T16*(1+Inputs!$B$35/100)),MAX(0,Inputs!$B$44-((R3169-1)*(1/Q3169)))))/Inputs!$B$44),IF(Inputs!$B$39="pvp",MIN((Skills!T16*(1+Inputs!$B$35/100)),15)/15,MIN(1,(Skills!T16*(1+Inputs!$B$35/100))/(1/Q3169)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3160)</f>
        <v/>
      </c>
      <c r="L3160">
        <f>K3160*(MIN(Inputs!$B$23+((C3175=TRUE)*(F3175-Calc!F22)),(Inputs!$B$24+((C3177=TRUE)*(F3177-Calc!F24))+(IF(ArtifactsInput!$M$15,CHOOSE(ArtifactsInput!$N$15+1,25,30,35,40,45,50)/100*(Inputs!$B$12-Inputs!$B$12),0))))/100+(Inputs!$B$24+((C3177=TRUE)*(F3177-Calc!F24))+(IF(ArtifactsInput!$M$15,CHOOSE(ArtifactsInput!$N$15+1,25,30,35,40,45,50)/100*(Inputs!$B$12-Inputs!$B$12),0)))/100)/2</f>
        <v/>
      </c>
      <c r="M3160">
        <f>L3160*(1+(Inputs!$B$11+0+B3187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160">
        <f>L3160*(1-MIN((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3160*(MIN((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60">
        <f>(1-Summary!$B$11)*T3160+Summary!$B$11*V3160</f>
        <v/>
      </c>
      <c r="P3160">
        <f>IF(B3192=0,0,O3160/B3192)</f>
        <v/>
      </c>
      <c r="Q3160">
        <f>IFERROR(1/IF(Inputs!$B$39="pvp",15,MAX(0.1,Skills!D7-IF(TRUE=TRUE,5.0,0))),0)</f>
        <v/>
      </c>
      <c r="R3160">
        <f>IF(AND(Inputs!$B$39&lt;&gt;"pvp",Inputs!$B$44&gt;0),IF(MAX(0,Inputs!$B$44-B3189)&lt;=0,0,(INT(MAX(0,Inputs!$B$44-B3189)/IF(Inputs!$B$39="pvp",15,MAX(0.1,Skills!D7-IF(TRUE=TRUE,5.0,0))))+1)),0)</f>
        <v/>
      </c>
      <c r="S3160">
        <f>IFERROR(O3160/N3160,0)</f>
        <v/>
      </c>
      <c r="T3160">
        <f>IF(C3160,(H3160*N3160*IF(AND(Inputs!$B$39&lt;&gt;"pvp",Inputs!$B$44&gt;0),((Skills!G7*((R3160-1)*IF(Skills!H7&gt;0,INT(Skills!I7/Skills!H7+0.000000001),1)+IF(Skills!H7&gt;0,INT(MIN(Skills!I7,MAX(0,MAX(0,Inputs!$B$44-B3189)-((R3160-1)*IF(Inputs!$B$39="pvp",15,MAX(0.1,Skills!D7-IF(TRUE=TRUE,5.0,0))))))/Skills!H7+0.000000001),1)))/Inputs!$B$44),G3160*Q3160))*IF(Inputs!$B$39="pvp",1,1+(Inputs!$B$21+0+Skills!P7+((C3170=TRUE)*F3170*IF(AND(Inputs!$B$39&lt;&gt;"pvp",Inputs!$B$44&gt;0),(((R3170-1)*MIN((Skills!T17*(1+Inputs!$B$35/100)),(1/Q3170))+MIN((Skills!T17*(1+Inputs!$B$35/100)),MAX(0,Inputs!$B$44-((R3170-1)*(1/Q3170)))))/Inputs!$B$44),IF(Inputs!$B$39="pvp",MIN((Skills!T17*(1+Inputs!$B$35/100)),15)/15,MIN(1,(Skills!T17*(1+Inputs!$B$35/100))/(1/Q3170)))))+((C3158=TRUE)*IF(Inputs!$B$3&gt;=126,10*MIN(1,15*Q3158),0))+((C3167=TRUE)*IF(Inputs!$B$39="pvp",20,(1-Summary!$B$11)*(20)+Summary!$B$11*(0))*IF(AND(Inputs!$B$39&lt;&gt;"pvp",Inputs!$B$44&gt;0),(((R3167-1)*MIN((Skills!T14*(1+Inputs!$B$35/100)),(1/Q3167))+MIN((Skills!T14*(1+Inputs!$B$35/100)),MAX(0,Inputs!$B$44-((R3167-1)*(1/Q3167)))))/Inputs!$B$44),IF(Inputs!$B$39="pvp",MIN((Skills!T14*(1+Inputs!$B$35/100)),15)/15,MIN(1,(Skills!T14*(1+Inputs!$B$35/100))/(1/Q3167)))))+((C3166=TRUE)*IF(Inputs!$B$3&gt;=82,IF(Inputs!$B$39="pvp",20,(1-Summary!$B$11)*(20)+Summary!$B$11*(0)),0)*IF(AND(Inputs!$B$39&lt;&gt;"pvp",Inputs!$B$44&gt;0),(((R3166-1)*MIN((Skills!T13*(1+Inputs!$B$35/100)),(1/Q3166))+MIN((Skills!T13*(1+Inputs!$B$35/100)),MAX(0,Inputs!$B$44-((R3166-1)*(1/Q3166)))))/Inputs!$B$44),IF(Inputs!$B$39="pvp",MIN((Skills!T13*(1+Inputs!$B$35/100)),15)/15,MIN(1,(Skills!T13*(1+Inputs!$B$35/100))/(1/Q3166)))))+(IF(AND(ArtifactsInput!$M$35,Inputs!$B$4&lt;&gt;"Chapter Hunt"),CHOOSE(ArtifactsInput!$N$35+1,15,18,21,24,27,30)*(1-EXP(-(0.2*B3184)*5)),0)+IF(AND(ArtifactsInput!$M$22,Inputs!$B$4&lt;&gt;"Chapter Hunt"),CHOOSE(ArtifactsInput!$N$22+1,10,12,14,16,18,20)*((0*(((0.15*B3184*5))^0/1)+1*(((0.15*B3184*5))^1/1)+2*(((0.15*B3184*5))^2/2)+3*(((0.15*B3184*5))^3/6)+4*(((0.15*B3184*5))^4/24)+5*(((0.15*B3184*5))^5/120))/((((0.15*B3184*5))^0/1)+(((0.15*B3184*5))^1/1)+(((0.15*B3184*5))^2/2)+(((0.15*B3184*5))^3/6)+(((0.15*B3184*5))^4/24)+(((0.15*B3184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3160*(1-MIN(100,(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3160*(MIN(100,(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3160*(1-MIN(100,(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3160*(MIN(100,(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60">
        <f>IF(C3160,(H3160*N3160*IF(AND(Inputs!$B$39&lt;&gt;"pvp",Inputs!$B$44&gt;0),((Skills!G7*((R3160-1)*IF(Skills!H7&gt;0,INT(Skills!I7/Skills!H7+0.000000001),1)+IF(Skills!H7&gt;0,INT(MIN(Skills!I7,MAX(0,MAX(0,Inputs!$B$44-B3189)-((R3160-1)*IF(Inputs!$B$39="pvp",15,MAX(0.1,Skills!D7-IF(TRUE=TRUE,5.0,0))))))/Skills!H7+0.000000001),1)))/Inputs!$B$44),G3160*Q3160))*IF(Inputs!$B$39="pvp",1,(1+(Inputs!$B$22+Skills!Q7+((C3170=TRUE)*F3170*IF(AND(Inputs!$B$39&lt;&gt;"pvp",Inputs!$B$44&gt;0),(((R3170-1)*MIN((Skills!T17*(1+Inputs!$B$35/100)),(1/Q3170))+MIN((Skills!T17*(1+Inputs!$B$35/100)),MAX(0,Inputs!$B$44-((R3170-1)*(1/Q3170)))))/Inputs!$B$44),IF(Inputs!$B$39="pvp",MIN((Skills!T17*(1+Inputs!$B$35/100)),15)/15,MIN(1,(Skills!T17*(1+Inputs!$B$35/100))/(1/Q3170)))))+((C3158=TRUE)*IF(Inputs!$B$3&gt;=126,10*MIN(1,15*Q3158),0))+((C3167=TRUE)*IF(Inputs!$B$39="pvp",20,(1-Summary!$B$11)*(20)+Summary!$B$11*(0))*IF(AND(Inputs!$B$39&lt;&gt;"pvp",Inputs!$B$44&gt;0),(((R3167-1)*MIN((Skills!T14*(1+Inputs!$B$35/100)),(1/Q3167))+MIN((Skills!T14*(1+Inputs!$B$35/100)),MAX(0,Inputs!$B$44-((R3167-1)*(1/Q3167)))))/Inputs!$B$44),IF(Inputs!$B$39="pvp",MIN((Skills!T14*(1+Inputs!$B$35/100)),15)/15,MIN(1,(Skills!T14*(1+Inputs!$B$35/100))/(1/Q3167)))))+((C3166=TRUE)*IF(Inputs!$B$3&gt;=82,IF(Inputs!$B$39="pvp",20,(1-Summary!$B$11)*(20)+Summary!$B$11*(0)),0)*IF(AND(Inputs!$B$39&lt;&gt;"pvp",Inputs!$B$44&gt;0),(((R3166-1)*MIN((Skills!T13*(1+Inputs!$B$35/100)),(1/Q3166))+MIN((Skills!T13*(1+Inputs!$B$35/100)),MAX(0,Inputs!$B$44-((R3166-1)*(1/Q3166)))))/Inputs!$B$44),IF(Inputs!$B$39="pvp",MIN((Skills!T13*(1+Inputs!$B$35/100)),15)/15,MIN(1,(Skills!T13*(1+Inputs!$B$35/100))/(1/Q3166)))))+(IF(AND(ArtifactsInput!$M$35,Inputs!$B$4&lt;&gt;"Chapter Hunt"),CHOOSE(ArtifactsInput!$N$35+1,15,18,21,24,27,30)*(1-EXP(-(0.2*B3184)*5)),0)+IF(AND(ArtifactsInput!$M$22,Inputs!$B$4&lt;&gt;"Chapter Hunt"),CHOOSE(ArtifactsInput!$N$22+1,10,12,14,16,18,20)*((0*(((0.15*B3184*5))^0/1)+1*(((0.15*B3184*5))^1/1)+2*(((0.15*B3184*5))^2/2)+3*(((0.15*B3184*5))^3/6)+4*(((0.15*B3184*5))^4/24)+5*(((0.15*B3184*5))^5/120))/((((0.15*B3184*5))^0/1)+(((0.15*B3184*5))^1/1)+(((0.15*B3184*5))^2/2)+(((0.15*B3184*5))^3/6)+(((0.15*B3184*5))^4/24)+(((0.15*B3184*5))^5/120))),0))+(IF(ArtifactsInput!$M$33,CHOOSE(ArtifactsInput!$N$33+1,30,36,42,48,54,60),0)))/100)*(MIN(Skills!R7,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61">
      <c r="A3161">
        <f>Skills!A8</f>
        <v/>
      </c>
      <c r="B3161">
        <f>Skills!B8</f>
        <v/>
      </c>
      <c r="C3161">
        <f>Inputs!$B$3&gt;=75</f>
        <v/>
      </c>
      <c r="D3161">
        <f>IF(Skills!C8=1,60+Inputs!$B$26+Inputs!$B$30,IF(Skills!C8=2,90+Inputs!$B$27+Inputs!$B$30,IF(Skills!C8=3,120+Inputs!$B$28+Inputs!$B$30,MAX(0,(Inputs!$B$3-100)*3)+Inputs!$B$29+Inputs!$B$30)))</f>
        <v/>
      </c>
      <c r="E3161">
        <f>INDEX(FactorTable!$B$2:$Y$301, MATCH(ROUND(MIN(300,MAX(1,D3161)),0), FactorTable!$A$2:$A$301,0), Skills!M8+1)</f>
        <v/>
      </c>
      <c r="F3161">
        <f>IF(Skills!N8=TRUE,(Skills!L8/10)*(E3161/1000),Skills!L8/10)+Skills!O8</f>
        <v/>
      </c>
      <c r="G3161" t="inlineStr"/>
      <c r="H3161" t="inlineStr"/>
      <c r="I3161" t="inlineStr">
        <is>
          <t>1</t>
        </is>
      </c>
      <c r="J3161" t="inlineStr"/>
      <c r="K3161" t="inlineStr"/>
      <c r="L3161" t="inlineStr"/>
      <c r="M3161" t="inlineStr"/>
      <c r="N3161" t="inlineStr"/>
      <c r="O3161" t="inlineStr"/>
      <c r="P3161" t="inlineStr"/>
      <c r="Q3161" t="inlineStr"/>
      <c r="R3161" t="inlineStr"/>
      <c r="S3161" t="inlineStr"/>
    </row>
    <row r="3162">
      <c r="A3162">
        <f>Skills!A9</f>
        <v/>
      </c>
      <c r="B3162">
        <f>Skills!B9</f>
        <v/>
      </c>
      <c r="C3162">
        <f>Inputs!$B$3&gt;=60</f>
        <v/>
      </c>
      <c r="D3162">
        <f>IF(Skills!C9=1,60+Inputs!$B$26+Inputs!$B$30,IF(Skills!C9=2,90+Inputs!$B$27+Inputs!$B$30,IF(Skills!C9=3,120+Inputs!$B$28+Inputs!$B$30,MAX(0,(Inputs!$B$3-100)*3)+Inputs!$B$29+Inputs!$B$30)))</f>
        <v/>
      </c>
      <c r="E3162">
        <f>INDEX(FactorTable!$B$2:$Y$301, MATCH(ROUND(MIN(300,MAX(1,D3162)),0), FactorTable!$A$2:$A$301,0), Skills!M9+1)</f>
        <v/>
      </c>
      <c r="F3162">
        <f>IF(Skills!N9=TRUE,(Skills!L9/10)*(E3162/1000),Skills!L9/10)+Skills!O9</f>
        <v/>
      </c>
      <c r="G3162">
        <f>Skills!G9*IF(Skills!H9&gt;0,INT(IF(Inputs!$B$39="pvp",MIN(Skills!I9,15),Skills!I9)/Skills!H9+0.000000001),1)</f>
        <v/>
      </c>
      <c r="H3162">
        <f>1-(1-Skills!J9/100)^Skills!K9</f>
        <v/>
      </c>
      <c r="I3162" t="inlineStr">
        <is>
          <t>1</t>
        </is>
      </c>
      <c r="J3162">
        <f>((Inputs!$B$6*(1+Inputs!$B$7/100))+(((Inputs!$B$13*(1+Inputs!$B$14/100))-(Inputs!$B$13*(1+Inputs!$B$14/100)))+0.25*(Inputs!$B$15-Inputs!$B$15))*(1+Inputs!$B$7/100))*(F3162/100)</f>
        <v/>
      </c>
      <c r="K3162">
        <f>J3162*(1+(((Inputs!$B$13+IF(Inputs!$B$3&gt;=38,(10*INDEX(FactorTable!$B$2:$Y$301, MATCH(ROUND(MIN(300,MAX(1,Inputs!$B$3)),0), FactorTable!$A$2:$A$301,0), 23)/1000)/100*(Inputs!$B$8*(1+Inputs!$B$9/100)),0))*(1+Inputs!$B$14/100))*0.01+Inputs!$B$15*0.0025)/100)*(1+Inputs!$B$16/100)*(1+Inputs!$B$17/100)*(5000/(6000+Inputs!$B$43*(1-(Inputs!$B$20+0)/100)))*(1+(Inputs!$B$25+((C3178=TRUE)*(F3178-Calc!F25))+((C3179=TRUE)*(F3179-Calc!F26))+B3188)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+1.0*IF(C3164=TRUE,F3164,0)/100)*(1+(IF(Skills!A9="DARK_IMPALE",Inputs!$B$18+0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gt;=100),MIN(100,((Inputs!$B$10+0+B3182+(ArtifactsInput!$M$24-ArtifactsInput!$M$24)*CHOOSE(ArtifactsInput!$N$24+1,10,12,14,16,18,20)+IF(ArtifactsInput!$M$10,CHOOSE(ArtifactsInput!$N$10+1,15,18,21,24,27,30)*(IF(Inputs!$B$39="pvp",MIN(15,15)/15,IF(AND(Inputs!$B$39&lt;&gt;"pvp",Inputs!$B$44&gt;0),MIN(15,Inputs!$B$44)/(Inputs!$B$44),0))),0)))-100),0))*CHOOSE(ArtifactsInput!$N$42+1,0.6,0.72,0.84,0.96,1.08,1.2))),Inputs!$B$19+((C3176=TRUE)*(F3176-Calc!F23))+(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gt;=100),CHOOSE(ArtifactsInput!$N$42+1,40,48,56,64,72,80),0))))/100)*((1+(((C3166=TRUE)*F3166*IF(AND(Inputs!$B$39&lt;&gt;"pvp",Inputs!$B$44&gt;0),(((R3166-1)*MIN((Skills!T13*(1+Inputs!$B$35/100)),(1/Q3166))+MIN((Skills!T13*(1+Inputs!$B$35/100)),MAX(0,Inputs!$B$44-((R3166-1)*(1/Q3166)))))/Inputs!$B$44),IF(Inputs!$B$39="pvp",MIN((Skills!T13*(1+Inputs!$B$35/100)),15)/15,MIN(1,(Skills!T13*(1+Inputs!$B$35/100))/(1/Q3166)))))+((C3167=TRUE)*F3167*IF(AND(Inputs!$B$39&lt;&gt;"pvp",Inputs!$B$44&gt;0),(((R3167-1)*MIN((Skills!T14*(1+Inputs!$B$35/100)),(1/Q3167))+MIN((Skills!T14*(1+Inputs!$B$35/100)),MAX(0,Inputs!$B$44-((R3167-1)*(1/Q3167)))))/Inputs!$B$44),IF(Inputs!$B$39="pvp",MIN((Skills!T14*(1+Inputs!$B$35/100)),15)/15,MIN(1,(Skills!T14*(1+Inputs!$B$35/100))/(1/Q3167)))))+((C3168=TRUE)*F3168*IF(AND(Inputs!$B$39&lt;&gt;"pvp",Inputs!$B$44&gt;0),(((R3168-1)*MIN((Skills!T15*(1+Inputs!$B$35/100)),(1/Q3168))+MIN((Skills!T15*(1+Inputs!$B$35/100)),MAX(0,Inputs!$B$44-((R3168-1)*(1/Q3168)))))/Inputs!$B$44),IF(Inputs!$B$39="pvp",MIN((Skills!T15*(1+Inputs!$B$35/100)),15)/15,MIN(1,(Skills!T15*(1+Inputs!$B$35/100))/(1/Q3168)))))+((C3169=TRUE)*F3169*IF(AND(Inputs!$B$39&lt;&gt;"pvp",Inputs!$B$44&gt;0),(((R3169-1)*MIN((Skills!T16*(1+Inputs!$B$35/100)),(1/Q3169))+MIN((Skills!T16*(1+Inputs!$B$35/100)),MAX(0,Inputs!$B$44-((R3169-1)*(1/Q3169)))))/Inputs!$B$44),IF(Inputs!$B$39="pvp",MIN((Skills!T16*(1+Inputs!$B$35/100)),15)/15,MIN(1,(Skills!T16*(1+Inputs!$B$35/100))/(1/Q3169)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3162)</f>
        <v/>
      </c>
      <c r="L3162">
        <f>K3162*(MIN(Inputs!$B$23+((C3175=TRUE)*(F3175-Calc!F22)),(Inputs!$B$24+((C3177=TRUE)*(F3177-Calc!F24))+(IF(ArtifactsInput!$M$15,CHOOSE(ArtifactsInput!$N$15+1,25,30,35,40,45,50)/100*(Inputs!$B$12-Inputs!$B$12),0))))/100+(Inputs!$B$24+((C3177=TRUE)*(F3177-Calc!F24))+(IF(ArtifactsInput!$M$15,CHOOSE(ArtifactsInput!$N$15+1,25,30,35,40,45,50)/100*(Inputs!$B$12-Inputs!$B$12),0)))/100)/2</f>
        <v/>
      </c>
      <c r="M3162">
        <f>L3162*(1+(Inputs!$B$11+0+B3187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162">
        <f>L3162*(1-MIN((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3162*(MIN((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62">
        <f>(1-Summary!$B$11)*T3162+Summary!$B$11*V3162</f>
        <v/>
      </c>
      <c r="P3162">
        <f>IF(B3192=0,0,O3162/B3192)</f>
        <v/>
      </c>
      <c r="Q3162">
        <f>IFERROR(1/IF(Inputs!$B$39="pvp",15,MAX(0.1,Skills!D9-IF(TRUE=TRUE,5.0,0))),0)</f>
        <v/>
      </c>
      <c r="R3162">
        <f>IF(AND(Inputs!$B$39&lt;&gt;"pvp",Inputs!$B$44&gt;0),IF(MAX(0,Inputs!$B$44-B3189)&lt;=0,0,(INT(MAX(0,Inputs!$B$44-B3189)/IF(Inputs!$B$39="pvp",15,MAX(0.1,Skills!D9-IF(TRUE=TRUE,5.0,0))))+1)),0)</f>
        <v/>
      </c>
      <c r="S3162">
        <f>IFERROR(O3162/N3162,0)</f>
        <v/>
      </c>
      <c r="T3162">
        <f>IF(C3162,(H3162*N3162*IF(AND(Inputs!$B$39&lt;&gt;"pvp",Inputs!$B$44&gt;0),((Skills!G9*((R3162-1)*IF(Skills!H9&gt;0,INT(Skills!I9/Skills!H9+0.000000001),1)+IF(Skills!H9&gt;0,INT(MIN(Skills!I9,MAX(0,MAX(0,Inputs!$B$44-B3189)-((R3162-1)*IF(Inputs!$B$39="pvp",15,MAX(0.1,Skills!D9-IF(TRUE=TRUE,5.0,0))))))/Skills!H9+0.000000001),1)))/Inputs!$B$44),G3162*Q3162))*IF(Inputs!$B$39="pvp",1,1+(Inputs!$B$21+0+Skills!P9+((C3170=TRUE)*F3170*IF(AND(Inputs!$B$39&lt;&gt;"pvp",Inputs!$B$44&gt;0),(((R3170-1)*MIN((Skills!T17*(1+Inputs!$B$35/100)),(1/Q3170))+MIN((Skills!T17*(1+Inputs!$B$35/100)),MAX(0,Inputs!$B$44-((R3170-1)*(1/Q3170)))))/Inputs!$B$44),IF(Inputs!$B$39="pvp",MIN((Skills!T17*(1+Inputs!$B$35/100)),15)/15,MIN(1,(Skills!T17*(1+Inputs!$B$35/100))/(1/Q3170)))))+((C3158=TRUE)*IF(Inputs!$B$3&gt;=126,10*MIN(1,15*Q3158),0))+((C3167=TRUE)*IF(Inputs!$B$39="pvp",20,(1-Summary!$B$11)*(20)+Summary!$B$11*(0))*IF(AND(Inputs!$B$39&lt;&gt;"pvp",Inputs!$B$44&gt;0),(((R3167-1)*MIN((Skills!T14*(1+Inputs!$B$35/100)),(1/Q3167))+MIN((Skills!T14*(1+Inputs!$B$35/100)),MAX(0,Inputs!$B$44-((R3167-1)*(1/Q3167)))))/Inputs!$B$44),IF(Inputs!$B$39="pvp",MIN((Skills!T14*(1+Inputs!$B$35/100)),15)/15,MIN(1,(Skills!T14*(1+Inputs!$B$35/100))/(1/Q3167)))))+((C3166=TRUE)*IF(Inputs!$B$3&gt;=82,IF(Inputs!$B$39="pvp",20,(1-Summary!$B$11)*(20)+Summary!$B$11*(0)),0)*IF(AND(Inputs!$B$39&lt;&gt;"pvp",Inputs!$B$44&gt;0),(((R3166-1)*MIN((Skills!T13*(1+Inputs!$B$35/100)),(1/Q3166))+MIN((Skills!T13*(1+Inputs!$B$35/100)),MAX(0,Inputs!$B$44-((R3166-1)*(1/Q3166)))))/Inputs!$B$44),IF(Inputs!$B$39="pvp",MIN((Skills!T13*(1+Inputs!$B$35/100)),15)/15,MIN(1,(Skills!T13*(1+Inputs!$B$35/100))/(1/Q3166)))))+(IF(AND(ArtifactsInput!$M$35,Inputs!$B$4&lt;&gt;"Chapter Hunt"),CHOOSE(ArtifactsInput!$N$35+1,15,18,21,24,27,30)*(1-EXP(-(0.2*B3184)*5)),0)+IF(AND(ArtifactsInput!$M$22,Inputs!$B$4&lt;&gt;"Chapter Hunt"),CHOOSE(ArtifactsInput!$N$22+1,10,12,14,16,18,20)*((0*(((0.15*B3184*5))^0/1)+1*(((0.15*B3184*5))^1/1)+2*(((0.15*B3184*5))^2/2)+3*(((0.15*B3184*5))^3/6)+4*(((0.15*B3184*5))^4/24)+5*(((0.15*B3184*5))^5/120))/((((0.15*B3184*5))^0/1)+(((0.15*B3184*5))^1/1)+(((0.15*B3184*5))^2/2)+(((0.15*B3184*5))^3/6)+(((0.15*B3184*5))^4/24)+(((0.15*B3184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3162*(1-MIN(100,(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3162*(MIN(100,(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3162*(1-MIN(100,(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3162*(MIN(100,(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62">
        <f>IF(C3162,(H3162*N3162*IF(AND(Inputs!$B$39&lt;&gt;"pvp",Inputs!$B$44&gt;0),((Skills!G9*((R3162-1)*IF(Skills!H9&gt;0,INT(Skills!I9/Skills!H9+0.000000001),1)+IF(Skills!H9&gt;0,INT(MIN(Skills!I9,MAX(0,MAX(0,Inputs!$B$44-B3189)-((R3162-1)*IF(Inputs!$B$39="pvp",15,MAX(0.1,Skills!D9-IF(TRUE=TRUE,5.0,0))))))/Skills!H9+0.000000001),1)))/Inputs!$B$44),G3162*Q3162))*IF(Inputs!$B$39="pvp",1,(1+(Inputs!$B$22+Skills!Q9+((C3170=TRUE)*F3170*IF(AND(Inputs!$B$39&lt;&gt;"pvp",Inputs!$B$44&gt;0),(((R3170-1)*MIN((Skills!T17*(1+Inputs!$B$35/100)),(1/Q3170))+MIN((Skills!T17*(1+Inputs!$B$35/100)),MAX(0,Inputs!$B$44-((R3170-1)*(1/Q3170)))))/Inputs!$B$44),IF(Inputs!$B$39="pvp",MIN((Skills!T17*(1+Inputs!$B$35/100)),15)/15,MIN(1,(Skills!T17*(1+Inputs!$B$35/100))/(1/Q3170)))))+((C3158=TRUE)*IF(Inputs!$B$3&gt;=126,10*MIN(1,15*Q3158),0))+((C3167=TRUE)*IF(Inputs!$B$39="pvp",20,(1-Summary!$B$11)*(20)+Summary!$B$11*(0))*IF(AND(Inputs!$B$39&lt;&gt;"pvp",Inputs!$B$44&gt;0),(((R3167-1)*MIN((Skills!T14*(1+Inputs!$B$35/100)),(1/Q3167))+MIN((Skills!T14*(1+Inputs!$B$35/100)),MAX(0,Inputs!$B$44-((R3167-1)*(1/Q3167)))))/Inputs!$B$44),IF(Inputs!$B$39="pvp",MIN((Skills!T14*(1+Inputs!$B$35/100)),15)/15,MIN(1,(Skills!T14*(1+Inputs!$B$35/100))/(1/Q3167)))))+((C3166=TRUE)*IF(Inputs!$B$3&gt;=82,IF(Inputs!$B$39="pvp",20,(1-Summary!$B$11)*(20)+Summary!$B$11*(0)),0)*IF(AND(Inputs!$B$39&lt;&gt;"pvp",Inputs!$B$44&gt;0),(((R3166-1)*MIN((Skills!T13*(1+Inputs!$B$35/100)),(1/Q3166))+MIN((Skills!T13*(1+Inputs!$B$35/100)),MAX(0,Inputs!$B$44-((R3166-1)*(1/Q3166)))))/Inputs!$B$44),IF(Inputs!$B$39="pvp",MIN((Skills!T13*(1+Inputs!$B$35/100)),15)/15,MIN(1,(Skills!T13*(1+Inputs!$B$35/100))/(1/Q3166)))))+(IF(AND(ArtifactsInput!$M$35,Inputs!$B$4&lt;&gt;"Chapter Hunt"),CHOOSE(ArtifactsInput!$N$35+1,15,18,21,24,27,30)*(1-EXP(-(0.2*B3184)*5)),0)+IF(AND(ArtifactsInput!$M$22,Inputs!$B$4&lt;&gt;"Chapter Hunt"),CHOOSE(ArtifactsInput!$N$22+1,10,12,14,16,18,20)*((0*(((0.15*B3184*5))^0/1)+1*(((0.15*B3184*5))^1/1)+2*(((0.15*B3184*5))^2/2)+3*(((0.15*B3184*5))^3/6)+4*(((0.15*B3184*5))^4/24)+5*(((0.15*B3184*5))^5/120))/((((0.15*B3184*5))^0/1)+(((0.15*B3184*5))^1/1)+(((0.15*B3184*5))^2/2)+(((0.15*B3184*5))^3/6)+(((0.15*B3184*5))^4/24)+(((0.15*B3184*5))^5/120))),0))+(IF(ArtifactsInput!$M$33,CHOOSE(ArtifactsInput!$N$33+1,30,36,42,48,54,60),0)))/100)*(MIN(Skills!R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63">
      <c r="A3163">
        <f>Skills!A10</f>
        <v/>
      </c>
      <c r="B3163">
        <f>Skills!B10</f>
        <v/>
      </c>
      <c r="C3163">
        <f>Inputs!$B$3&gt;=110</f>
        <v/>
      </c>
      <c r="D3163">
        <f>IF(Skills!C10=1,60+Inputs!$B$26+Inputs!$B$30,IF(Skills!C10=2,90+Inputs!$B$27+Inputs!$B$30,IF(Skills!C10=3,120+Inputs!$B$28+Inputs!$B$30,MAX(0,(Inputs!$B$3-100)*3)+Inputs!$B$29+Inputs!$B$30)))</f>
        <v/>
      </c>
      <c r="E3163">
        <f>INDEX(FactorTable!$B$2:$Y$301, MATCH(ROUND(MIN(300,MAX(1,D3163)),0), FactorTable!$A$2:$A$301,0), Skills!M10+1)</f>
        <v/>
      </c>
      <c r="F3163">
        <f>IF(Skills!N10=TRUE,(Skills!L10/10)*(E3163/1000),Skills!L10/10)+Skills!O10</f>
        <v/>
      </c>
      <c r="G3163">
        <f>Skills!G10*IF(Skills!H10&gt;0,INT(IF(Inputs!$B$39="pvp",MIN(Skills!I10,15),Skills!I10)/Skills!H10+0.000000001),1)</f>
        <v/>
      </c>
      <c r="H3163">
        <f>1-(1-Skills!J10/100)^Skills!K10</f>
        <v/>
      </c>
      <c r="I3163" t="inlineStr">
        <is>
          <t>1</t>
        </is>
      </c>
      <c r="J3163">
        <f>((Inputs!$B$6*(1+Inputs!$B$7/100))+(((Inputs!$B$13*(1+Inputs!$B$14/100))-(Inputs!$B$13*(1+Inputs!$B$14/100)))+0.25*(Inputs!$B$15-Inputs!$B$15))*(1+Inputs!$B$7/100))*(F3163/100)</f>
        <v/>
      </c>
      <c r="K3163">
        <f>J3163*(1+(((Inputs!$B$13+IF(Inputs!$B$3&gt;=38,(10*INDEX(FactorTable!$B$2:$Y$301, MATCH(ROUND(MIN(300,MAX(1,Inputs!$B$3)),0), FactorTable!$A$2:$A$301,0), 23)/1000)/100*(Inputs!$B$8*(1+Inputs!$B$9/100)),0))*(1+Inputs!$B$14/100))*0.01+Inputs!$B$15*0.0025)/100)*(1+Inputs!$B$16/100)*(1+Inputs!$B$17/100)*(5000/(6000+Inputs!$B$43*(1-(Inputs!$B$20+0)/100)))*(1+(Inputs!$B$25+((C3178=TRUE)*(F3178-Calc!F25))+((C3179=TRUE)*(F3179-Calc!F26))+B3188)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Skills!A10="DARK_IMPALE",Inputs!$B$18+0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gt;=100),MIN(100,((Inputs!$B$10+0+B3182+(ArtifactsInput!$M$24-ArtifactsInput!$M$24)*CHOOSE(ArtifactsInput!$N$24+1,10,12,14,16,18,20)+IF(ArtifactsInput!$M$10,CHOOSE(ArtifactsInput!$N$10+1,15,18,21,24,27,30)*(IF(Inputs!$B$39="pvp",MIN(15,15)/15,IF(AND(Inputs!$B$39&lt;&gt;"pvp",Inputs!$B$44&gt;0),MIN(15,Inputs!$B$44)/(Inputs!$B$44),0))),0)))-100),0))*CHOOSE(ArtifactsInput!$N$42+1,0.6,0.72,0.84,0.96,1.08,1.2))),Inputs!$B$19+((C3176=TRUE)*(F3176-Calc!F23))+(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gt;=100),CHOOSE(ArtifactsInput!$N$42+1,40,48,56,64,72,80),0))))/100)*((1+(((C3166=TRUE)*F3166*IF(AND(Inputs!$B$39&lt;&gt;"pvp",Inputs!$B$44&gt;0),(((R3166-1)*MIN((Skills!T13*(1+Inputs!$B$35/100)),(1/Q3166))+MIN((Skills!T13*(1+Inputs!$B$35/100)),MAX(0,Inputs!$B$44-((R3166-1)*(1/Q3166)))))/Inputs!$B$44),IF(Inputs!$B$39="pvp",MIN((Skills!T13*(1+Inputs!$B$35/100)),15)/15,MIN(1,(Skills!T13*(1+Inputs!$B$35/100))/(1/Q3166)))))+((C3167=TRUE)*F3167*IF(AND(Inputs!$B$39&lt;&gt;"pvp",Inputs!$B$44&gt;0),(((R3167-1)*MIN((Skills!T14*(1+Inputs!$B$35/100)),(1/Q3167))+MIN((Skills!T14*(1+Inputs!$B$35/100)),MAX(0,Inputs!$B$44-((R3167-1)*(1/Q3167)))))/Inputs!$B$44),IF(Inputs!$B$39="pvp",MIN((Skills!T14*(1+Inputs!$B$35/100)),15)/15,MIN(1,(Skills!T14*(1+Inputs!$B$35/100))/(1/Q3167)))))+((C3168=TRUE)*F3168*IF(AND(Inputs!$B$39&lt;&gt;"pvp",Inputs!$B$44&gt;0),(((R3168-1)*MIN((Skills!T15*(1+Inputs!$B$35/100)),(1/Q3168))+MIN((Skills!T15*(1+Inputs!$B$35/100)),MAX(0,Inputs!$B$44-((R3168-1)*(1/Q3168)))))/Inputs!$B$44),IF(Inputs!$B$39="pvp",MIN((Skills!T15*(1+Inputs!$B$35/100)),15)/15,MIN(1,(Skills!T15*(1+Inputs!$B$35/100))/(1/Q3168)))))+((C3169=TRUE)*F3169*IF(AND(Inputs!$B$39&lt;&gt;"pvp",Inputs!$B$44&gt;0),(((R3169-1)*MIN((Skills!T16*(1+Inputs!$B$35/100)),(1/Q3169))+MIN((Skills!T16*(1+Inputs!$B$35/100)),MAX(0,Inputs!$B$44-((R3169-1)*(1/Q3169)))))/Inputs!$B$44),IF(Inputs!$B$39="pvp",MIN((Skills!T16*(1+Inputs!$B$35/100)),15)/15,MIN(1,(Skills!T16*(1+Inputs!$B$35/100))/(1/Q3169)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3163)</f>
        <v/>
      </c>
      <c r="L3163">
        <f>K3163*(MIN(Inputs!$B$23+((C3175=TRUE)*(F3175-Calc!F22)),(Inputs!$B$24+((C3177=TRUE)*(F3177-Calc!F24))+(IF(ArtifactsInput!$M$15,CHOOSE(ArtifactsInput!$N$15+1,25,30,35,40,45,50)/100*(Inputs!$B$12-Inputs!$B$12),0))))/100+(Inputs!$B$24+((C3177=TRUE)*(F3177-Calc!F24))+(IF(ArtifactsInput!$M$15,CHOOSE(ArtifactsInput!$N$15+1,25,30,35,40,45,50)/100*(Inputs!$B$12-Inputs!$B$12),0)))/100)/2</f>
        <v/>
      </c>
      <c r="M3163">
        <f>L3163*(1+(Inputs!$B$11+0+B3187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163">
        <f>L3163*(1-MIN((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3163*(MIN((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63">
        <f>(1-Summary!$B$11)*T3163+Summary!$B$11*V3163</f>
        <v/>
      </c>
      <c r="P3163">
        <f>IF(B3192=0,0,O3163/B3192)</f>
        <v/>
      </c>
      <c r="Q3163">
        <f>IFERROR(1/IF(Inputs!$B$39="pvp",15,MAX(0.1,Skills!D10-IF(TRUE=TRUE,5.0,0))),0)</f>
        <v/>
      </c>
      <c r="R3163">
        <f>IF(AND(Inputs!$B$39&lt;&gt;"pvp",Inputs!$B$44&gt;0),IF(MAX(0,Inputs!$B$44-B3189)&lt;=0,0,(INT(MAX(0,Inputs!$B$44-B3189)/IF(Inputs!$B$39="pvp",15,MAX(0.1,Skills!D10-IF(TRUE=TRUE,5.0,0))))+1)),0)</f>
        <v/>
      </c>
      <c r="S3163">
        <f>IFERROR(O3163/N3163,0)</f>
        <v/>
      </c>
      <c r="T3163">
        <f>IF(C3163,(H3163*N3163*IF(AND(Inputs!$B$39&lt;&gt;"pvp",Inputs!$B$44&gt;0),((Skills!G10*((R3163-1)*IF(Skills!H10&gt;0,INT(Skills!I10/Skills!H10+0.000000001),1)+IF(Skills!H10&gt;0,INT(MIN(Skills!I10,MAX(0,MAX(0,Inputs!$B$44-B3189)-((R3163-1)*IF(Inputs!$B$39="pvp",15,MAX(0.1,Skills!D10-IF(TRUE=TRUE,5.0,0))))))/Skills!H10+0.000000001),1)))/Inputs!$B$44),G3163*Q3163))*IF(Inputs!$B$39="pvp",1,1+(Inputs!$B$21+0+Skills!P10+((C3170=TRUE)*F3170*IF(AND(Inputs!$B$39&lt;&gt;"pvp",Inputs!$B$44&gt;0),(((R3170-1)*MIN((Skills!T17*(1+Inputs!$B$35/100)),(1/Q3170))+MIN((Skills!T17*(1+Inputs!$B$35/100)),MAX(0,Inputs!$B$44-((R3170-1)*(1/Q3170)))))/Inputs!$B$44),IF(Inputs!$B$39="pvp",MIN((Skills!T17*(1+Inputs!$B$35/100)),15)/15,MIN(1,(Skills!T17*(1+Inputs!$B$35/100))/(1/Q3170)))))+((C3158=TRUE)*IF(Inputs!$B$3&gt;=126,10*MIN(1,15*Q3158),0))+((C3167=TRUE)*IF(Inputs!$B$39="pvp",20,(1-Summary!$B$11)*(20)+Summary!$B$11*(0))*IF(AND(Inputs!$B$39&lt;&gt;"pvp",Inputs!$B$44&gt;0),(((R3167-1)*MIN((Skills!T14*(1+Inputs!$B$35/100)),(1/Q3167))+MIN((Skills!T14*(1+Inputs!$B$35/100)),MAX(0,Inputs!$B$44-((R3167-1)*(1/Q3167)))))/Inputs!$B$44),IF(Inputs!$B$39="pvp",MIN((Skills!T14*(1+Inputs!$B$35/100)),15)/15,MIN(1,(Skills!T14*(1+Inputs!$B$35/100))/(1/Q3167)))))+((C3166=TRUE)*IF(Inputs!$B$3&gt;=82,IF(Inputs!$B$39="pvp",20,(1-Summary!$B$11)*(20)+Summary!$B$11*(0)),0)*IF(AND(Inputs!$B$39&lt;&gt;"pvp",Inputs!$B$44&gt;0),(((R3166-1)*MIN((Skills!T13*(1+Inputs!$B$35/100)),(1/Q3166))+MIN((Skills!T13*(1+Inputs!$B$35/100)),MAX(0,Inputs!$B$44-((R3166-1)*(1/Q3166)))))/Inputs!$B$44),IF(Inputs!$B$39="pvp",MIN((Skills!T13*(1+Inputs!$B$35/100)),15)/15,MIN(1,(Skills!T13*(1+Inputs!$B$35/100))/(1/Q3166)))))+(IF(AND(ArtifactsInput!$M$35,Inputs!$B$4&lt;&gt;"Chapter Hunt"),CHOOSE(ArtifactsInput!$N$35+1,15,18,21,24,27,30)*(1-EXP(-(0.2*B3184)*5)),0)+IF(AND(ArtifactsInput!$M$22,Inputs!$B$4&lt;&gt;"Chapter Hunt"),CHOOSE(ArtifactsInput!$N$22+1,10,12,14,16,18,20)*((0*(((0.15*B3184*5))^0/1)+1*(((0.15*B3184*5))^1/1)+2*(((0.15*B3184*5))^2/2)+3*(((0.15*B3184*5))^3/6)+4*(((0.15*B3184*5))^4/24)+5*(((0.15*B3184*5))^5/120))/((((0.15*B3184*5))^0/1)+(((0.15*B3184*5))^1/1)+(((0.15*B3184*5))^2/2)+(((0.15*B3184*5))^3/6)+(((0.15*B3184*5))^4/24)+(((0.15*B3184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3163*(1-MIN(100,(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3163*(MIN(100,(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3163*(1-MIN(100,(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3163*(MIN(100,(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63">
        <f>IF(C3163,(H3163*N3163*IF(AND(Inputs!$B$39&lt;&gt;"pvp",Inputs!$B$44&gt;0),((Skills!G10*((R3163-1)*IF(Skills!H10&gt;0,INT(Skills!I10/Skills!H10+0.000000001),1)+IF(Skills!H10&gt;0,INT(MIN(Skills!I10,MAX(0,MAX(0,Inputs!$B$44-B3189)-((R3163-1)*IF(Inputs!$B$39="pvp",15,MAX(0.1,Skills!D10-IF(TRUE=TRUE,5.0,0))))))/Skills!H10+0.000000001),1)))/Inputs!$B$44),G3163*Q3163))*IF(Inputs!$B$39="pvp",1,(1+(Inputs!$B$22+Skills!Q10+((C3170=TRUE)*F3170*IF(AND(Inputs!$B$39&lt;&gt;"pvp",Inputs!$B$44&gt;0),(((R3170-1)*MIN((Skills!T17*(1+Inputs!$B$35/100)),(1/Q3170))+MIN((Skills!T17*(1+Inputs!$B$35/100)),MAX(0,Inputs!$B$44-((R3170-1)*(1/Q3170)))))/Inputs!$B$44),IF(Inputs!$B$39="pvp",MIN((Skills!T17*(1+Inputs!$B$35/100)),15)/15,MIN(1,(Skills!T17*(1+Inputs!$B$35/100))/(1/Q3170)))))+((C3158=TRUE)*IF(Inputs!$B$3&gt;=126,10*MIN(1,15*Q3158),0))+((C3167=TRUE)*IF(Inputs!$B$39="pvp",20,(1-Summary!$B$11)*(20)+Summary!$B$11*(0))*IF(AND(Inputs!$B$39&lt;&gt;"pvp",Inputs!$B$44&gt;0),(((R3167-1)*MIN((Skills!T14*(1+Inputs!$B$35/100)),(1/Q3167))+MIN((Skills!T14*(1+Inputs!$B$35/100)),MAX(0,Inputs!$B$44-((R3167-1)*(1/Q3167)))))/Inputs!$B$44),IF(Inputs!$B$39="pvp",MIN((Skills!T14*(1+Inputs!$B$35/100)),15)/15,MIN(1,(Skills!T14*(1+Inputs!$B$35/100))/(1/Q3167)))))+((C3166=TRUE)*IF(Inputs!$B$3&gt;=82,IF(Inputs!$B$39="pvp",20,(1-Summary!$B$11)*(20)+Summary!$B$11*(0)),0)*IF(AND(Inputs!$B$39&lt;&gt;"pvp",Inputs!$B$44&gt;0),(((R3166-1)*MIN((Skills!T13*(1+Inputs!$B$35/100)),(1/Q3166))+MIN((Skills!T13*(1+Inputs!$B$35/100)),MAX(0,Inputs!$B$44-((R3166-1)*(1/Q3166)))))/Inputs!$B$44),IF(Inputs!$B$39="pvp",MIN((Skills!T13*(1+Inputs!$B$35/100)),15)/15,MIN(1,(Skills!T13*(1+Inputs!$B$35/100))/(1/Q3166)))))+(IF(AND(ArtifactsInput!$M$35,Inputs!$B$4&lt;&gt;"Chapter Hunt"),CHOOSE(ArtifactsInput!$N$35+1,15,18,21,24,27,30)*(1-EXP(-(0.2*B3184)*5)),0)+IF(AND(ArtifactsInput!$M$22,Inputs!$B$4&lt;&gt;"Chapter Hunt"),CHOOSE(ArtifactsInput!$N$22+1,10,12,14,16,18,20)*((0*(((0.15*B3184*5))^0/1)+1*(((0.15*B3184*5))^1/1)+2*(((0.15*B3184*5))^2/2)+3*(((0.15*B3184*5))^3/6)+4*(((0.15*B3184*5))^4/24)+5*(((0.15*B3184*5))^5/120))/((((0.15*B3184*5))^0/1)+(((0.15*B3184*5))^1/1)+(((0.15*B3184*5))^2/2)+(((0.15*B3184*5))^3/6)+(((0.15*B3184*5))^4/24)+(((0.15*B3184*5))^5/120))),0))+(IF(ArtifactsInput!$M$33,CHOOSE(ArtifactsInput!$N$33+1,30,36,42,48,54,60),0)))/100)*(MIN(Skills!R10,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64">
      <c r="A3164">
        <f>Skills!A11</f>
        <v/>
      </c>
      <c r="B3164">
        <f>Skills!B11</f>
        <v/>
      </c>
      <c r="C3164">
        <f>Inputs!$B$3&gt;=100</f>
        <v/>
      </c>
      <c r="D3164">
        <f>IF(Skills!C11=1,60+Inputs!$B$26+Inputs!$B$30,IF(Skills!C11=2,90+Inputs!$B$27+Inputs!$B$30,IF(Skills!C11=3,120+Inputs!$B$28+Inputs!$B$30,MAX(0,(Inputs!$B$3-100)*3)+Inputs!$B$29+Inputs!$B$30)))</f>
        <v/>
      </c>
      <c r="E3164">
        <f>INDEX(FactorTable!$B$2:$Y$301, MATCH(ROUND(MIN(300,MAX(1,D3164)),0), FactorTable!$A$2:$A$301,0), Skills!M11+1)</f>
        <v/>
      </c>
      <c r="F3164">
        <f>IF(Skills!N11=TRUE,(Skills!L11/10)*(E3164/1000),Skills!L11/10)+Skills!O11</f>
        <v/>
      </c>
      <c r="G3164" t="inlineStr"/>
      <c r="H3164" t="inlineStr"/>
      <c r="I3164" t="inlineStr">
        <is>
          <t>1</t>
        </is>
      </c>
      <c r="J3164" t="inlineStr"/>
      <c r="K3164" t="inlineStr"/>
      <c r="L3164" t="inlineStr"/>
      <c r="M3164" t="inlineStr"/>
      <c r="N3164" t="inlineStr"/>
      <c r="O3164" t="inlineStr"/>
      <c r="P3164" t="inlineStr"/>
      <c r="Q3164" t="inlineStr"/>
      <c r="R3164" t="inlineStr"/>
      <c r="S3164" t="inlineStr"/>
    </row>
    <row r="3165">
      <c r="A3165">
        <f>Skills!A12</f>
        <v/>
      </c>
      <c r="B3165">
        <f>Skills!B12</f>
        <v/>
      </c>
      <c r="C3165">
        <f>Inputs!$B$3&gt;=63</f>
        <v/>
      </c>
      <c r="D3165">
        <f>IF(Skills!C12=1,60+Inputs!$B$26+Inputs!$B$30,IF(Skills!C12=2,90+Inputs!$B$27+Inputs!$B$30,IF(Skills!C12=3,120+Inputs!$B$28+Inputs!$B$30,MAX(0,(Inputs!$B$3-100)*3)+Inputs!$B$29+Inputs!$B$30)))</f>
        <v/>
      </c>
      <c r="E3165">
        <f>INDEX(FactorTable!$B$2:$Y$301, MATCH(ROUND(MIN(300,MAX(1,D3165)),0), FactorTable!$A$2:$A$301,0), Skills!M12+1)</f>
        <v/>
      </c>
      <c r="F3165">
        <f>IF(Skills!N12=TRUE,(Skills!L12/10)*(E3165/1000),Skills!L12/10)+Skills!O12</f>
        <v/>
      </c>
      <c r="G3165">
        <f>Skills!G12*IF(Skills!H12&gt;0,INT(IF(Inputs!$B$39="pvp",MIN(Skills!I12,15),Skills!I12)/Skills!H12+0.000000001),1)</f>
        <v/>
      </c>
      <c r="H3165">
        <f>1-(1-Skills!J12/100)^Skills!K12</f>
        <v/>
      </c>
      <c r="I3165" t="inlineStr">
        <is>
          <t>1</t>
        </is>
      </c>
      <c r="J3165">
        <f>((Inputs!$B$6*(1+Inputs!$B$7/100))+(((Inputs!$B$13*(1+Inputs!$B$14/100))-(Inputs!$B$13*(1+Inputs!$B$14/100)))+0.25*(Inputs!$B$15-Inputs!$B$15))*(1+Inputs!$B$7/100))*(F3165/100)</f>
        <v/>
      </c>
      <c r="K3165">
        <f>J3165*(1+(((Inputs!$B$13+IF(Inputs!$B$3&gt;=38,(10*INDEX(FactorTable!$B$2:$Y$301, MATCH(ROUND(MIN(300,MAX(1,Inputs!$B$3)),0), FactorTable!$A$2:$A$301,0), 23)/1000)/100*(Inputs!$B$8*(1+Inputs!$B$9/100)),0))*(1+Inputs!$B$14/100))*0.01+Inputs!$B$15*0.0025)/100)*(1+Inputs!$B$16/100)*(1+Inputs!$B$17/100)*(5000/(6000+Inputs!$B$43*(1-(Inputs!$B$20+0)/100)))*(1+(Inputs!$B$25+((C3178=TRUE)*(F3178-Calc!F25))+((C3179=TRUE)*(F3179-Calc!F26))+B3188)/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+0.75*IF(C3164=TRUE,F3164,0)/100)*(1+(IF(Skills!A12="DARK_IMPALE",Inputs!$B$18+0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gt;=100),MIN(100,((Inputs!$B$10+0+B3182+(ArtifactsInput!$M$24-ArtifactsInput!$M$24)*CHOOSE(ArtifactsInput!$N$24+1,10,12,14,16,18,20)+IF(ArtifactsInput!$M$10,CHOOSE(ArtifactsInput!$N$10+1,15,18,21,24,27,30)*(IF(Inputs!$B$39="pvp",MIN(15,15)/15,IF(AND(Inputs!$B$39&lt;&gt;"pvp",Inputs!$B$44&gt;0),MIN(15,Inputs!$B$44)/(Inputs!$B$44),0))),0)))-100),0))*CHOOSE(ArtifactsInput!$N$42+1,0.6,0.72,0.84,0.96,1.08,1.2))),Inputs!$B$19+((C3176=TRUE)*(F3176-Calc!F23))+(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gt;=100),CHOOSE(ArtifactsInput!$N$42+1,40,48,56,64,72,80),0))))/100)*((1+(((C3166=TRUE)*F3166*IF(AND(Inputs!$B$39&lt;&gt;"pvp",Inputs!$B$44&gt;0),(((R3166-1)*MIN((Skills!T13*(1+Inputs!$B$35/100)),(1/Q3166))+MIN((Skills!T13*(1+Inputs!$B$35/100)),MAX(0,Inputs!$B$44-((R3166-1)*(1/Q3166)))))/Inputs!$B$44),IF(Inputs!$B$39="pvp",MIN((Skills!T13*(1+Inputs!$B$35/100)),15)/15,MIN(1,(Skills!T13*(1+Inputs!$B$35/100))/(1/Q3166)))))+((C3167=TRUE)*F3167*IF(AND(Inputs!$B$39&lt;&gt;"pvp",Inputs!$B$44&gt;0),(((R3167-1)*MIN((Skills!T14*(1+Inputs!$B$35/100)),(1/Q3167))+MIN((Skills!T14*(1+Inputs!$B$35/100)),MAX(0,Inputs!$B$44-((R3167-1)*(1/Q3167)))))/Inputs!$B$44),IF(Inputs!$B$39="pvp",MIN((Skills!T14*(1+Inputs!$B$35/100)),15)/15,MIN(1,(Skills!T14*(1+Inputs!$B$35/100))/(1/Q3167)))))+((C3168=TRUE)*F3168*IF(AND(Inputs!$B$39&lt;&gt;"pvp",Inputs!$B$44&gt;0),(((R3168-1)*MIN((Skills!T15*(1+Inputs!$B$35/100)),(1/Q3168))+MIN((Skills!T15*(1+Inputs!$B$35/100)),MAX(0,Inputs!$B$44-((R3168-1)*(1/Q3168)))))/Inputs!$B$44),IF(Inputs!$B$39="pvp",MIN((Skills!T15*(1+Inputs!$B$35/100)),15)/15,MIN(1,(Skills!T15*(1+Inputs!$B$35/100))/(1/Q3168)))))+((C3169=TRUE)*F3169*IF(AND(Inputs!$B$39&lt;&gt;"pvp",Inputs!$B$44&gt;0),(((R3169-1)*MIN((Skills!T16*(1+Inputs!$B$35/100)),(1/Q3169))+MIN((Skills!T16*(1+Inputs!$B$35/100)),MAX(0,Inputs!$B$44-((R3169-1)*(1/Q3169)))))/Inputs!$B$44),IF(Inputs!$B$39="pvp",MIN((Skills!T16*(1+Inputs!$B$35/100)),15)/15,MIN(1,(Skills!T16*(1+Inputs!$B$35/100))/(1/Q3169)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(1+(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100)*I3165)</f>
        <v/>
      </c>
      <c r="L3165">
        <f>K3165*(MIN(Inputs!$B$23+((C3175=TRUE)*(F3175-Calc!F22)),(Inputs!$B$24+((C3177=TRUE)*(F3177-Calc!F24))+(IF(ArtifactsInput!$M$15,CHOOSE(ArtifactsInput!$N$15+1,25,30,35,40,45,50)/100*(Inputs!$B$12-Inputs!$B$12),0))))/100+(Inputs!$B$24+((C3177=TRUE)*(F3177-Calc!F24))+(IF(ArtifactsInput!$M$15,CHOOSE(ArtifactsInput!$N$15+1,25,30,35,40,45,50)/100*(Inputs!$B$12-Inputs!$B$12),0)))/100)/2</f>
        <v/>
      </c>
      <c r="M3165">
        <f>L3165*(1+(Inputs!$B$11+0+B3187+(IF(ArtifactsInput!$M$24,CHOOSE(ArtifactsInput!$N$24+1,30,36,42,48,54,60)/100*(Inputs!$B$10-Inputs!$B$10),0)+IF(ArtifactsInput!$M$10,CHOOSE(ArtifactsInput!$N$10+1,20,24,28,32,36,40)*(IF(Inputs!$B$39="pvp",MIN(15,15)/15,IF(AND(Inputs!$B$39&lt;&gt;"pvp",Inputs!$B$44&gt;0),MIN(15,Inputs!$B$44)/(Inputs!$B$44),0))),0)+IF(ArtifactsInput!$M$31,1.5*CHOOSE(ArtifactsInput!$N$31+1,20,24,28,32,36,40),0)))/100)</f>
        <v/>
      </c>
      <c r="N3165">
        <f>L3165*(1-MIN((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3165*(MIN((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65">
        <f>(1-Summary!$B$11)*T3165+Summary!$B$11*V3165</f>
        <v/>
      </c>
      <c r="P3165">
        <f>IF(B3192=0,0,O3165/B3192)</f>
        <v/>
      </c>
      <c r="Q3165">
        <f>IFERROR(1/IF(Inputs!$B$39="pvp",15,MAX(0.1,Skills!D12-IF(TRUE=TRUE,5.0,0))),0)</f>
        <v/>
      </c>
      <c r="R3165">
        <f>IF(AND(Inputs!$B$39&lt;&gt;"pvp",Inputs!$B$44&gt;0),IF(MAX(0,Inputs!$B$44-B3189)&lt;=0,0,(INT(MAX(0,Inputs!$B$44-B3189)/IF(Inputs!$B$39="pvp",15,MAX(0.1,Skills!D12-IF(TRUE=TRUE,5.0,0))))+1)),0)</f>
        <v/>
      </c>
      <c r="S3165">
        <f>IFERROR(O3165/N3165,0)</f>
        <v/>
      </c>
      <c r="T3165">
        <f>IF(C3165,(H3165*N3165*IF(AND(Inputs!$B$39&lt;&gt;"pvp",Inputs!$B$44&gt;0),((Skills!G12*((R3165-1)*IF(Skills!H12&gt;0,INT(Skills!I12/Skills!H12+0.000000001),1)+IF(Skills!H12&gt;0,INT(MIN(Skills!I12,MAX(0,MAX(0,Inputs!$B$44-B3189)-((R3165-1)*IF(Inputs!$B$39="pvp",15,MAX(0.1,Skills!D12-IF(TRUE=TRUE,5.0,0))))))/Skills!H12+0.000000001),1)))/Inputs!$B$44),G3165*Q3165))*IF(Inputs!$B$39="pvp",1,1+(Inputs!$B$21+0+Skills!P12+((C3170=TRUE)*F3170*IF(AND(Inputs!$B$39&lt;&gt;"pvp",Inputs!$B$44&gt;0),(((R3170-1)*MIN((Skills!T17*(1+Inputs!$B$35/100)),(1/Q3170))+MIN((Skills!T17*(1+Inputs!$B$35/100)),MAX(0,Inputs!$B$44-((R3170-1)*(1/Q3170)))))/Inputs!$B$44),IF(Inputs!$B$39="pvp",MIN((Skills!T17*(1+Inputs!$B$35/100)),15)/15,MIN(1,(Skills!T17*(1+Inputs!$B$35/100))/(1/Q3170)))))+((C3158=TRUE)*IF(Inputs!$B$3&gt;=126,10*MIN(1,15*Q3158),0))+((C3167=TRUE)*IF(Inputs!$B$39="pvp",20,(1-Summary!$B$11)*(20)+Summary!$B$11*(0))*IF(AND(Inputs!$B$39&lt;&gt;"pvp",Inputs!$B$44&gt;0),(((R3167-1)*MIN((Skills!T14*(1+Inputs!$B$35/100)),(1/Q3167))+MIN((Skills!T14*(1+Inputs!$B$35/100)),MAX(0,Inputs!$B$44-((R3167-1)*(1/Q3167)))))/Inputs!$B$44),IF(Inputs!$B$39="pvp",MIN((Skills!T14*(1+Inputs!$B$35/100)),15)/15,MIN(1,(Skills!T14*(1+Inputs!$B$35/100))/(1/Q3167)))))+((C3166=TRUE)*IF(Inputs!$B$3&gt;=82,IF(Inputs!$B$39="pvp",20,(1-Summary!$B$11)*(20)+Summary!$B$11*(0)),0)*IF(AND(Inputs!$B$39&lt;&gt;"pvp",Inputs!$B$44&gt;0),(((R3166-1)*MIN((Skills!T13*(1+Inputs!$B$35/100)),(1/Q3166))+MIN((Skills!T13*(1+Inputs!$B$35/100)),MAX(0,Inputs!$B$44-((R3166-1)*(1/Q3166)))))/Inputs!$B$44),IF(Inputs!$B$39="pvp",MIN((Skills!T13*(1+Inputs!$B$35/100)),15)/15,MIN(1,(Skills!T13*(1+Inputs!$B$35/100))/(1/Q3166)))))+(IF(AND(ArtifactsInput!$M$35,Inputs!$B$4&lt;&gt;"Chapter Hunt"),CHOOSE(ArtifactsInput!$N$35+1,15,18,21,24,27,30)*(1-EXP(-(0.2*B3184)*5)),0)+IF(AND(ArtifactsInput!$M$22,Inputs!$B$4&lt;&gt;"Chapter Hunt"),CHOOSE(ArtifactsInput!$N$22+1,10,12,14,16,18,20)*((0*(((0.15*B3184*5))^0/1)+1*(((0.15*B3184*5))^1/1)+2*(((0.15*B3184*5))^2/2)+3*(((0.15*B3184*5))^3/6)+4*(((0.15*B3184*5))^4/24)+5*(((0.15*B3184*5))^5/120))/((((0.15*B3184*5))^0/1)+(((0.15*B3184*5))^1/1)+(((0.15*B3184*5))^2/2)+(((0.15*B3184*5))^3/6)+(((0.15*B3184*5))^4/24)+(((0.15*B3184*5))^5/120))),0))+(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+0)/100)*(1-CHOOSE(ArtifactsInput!$N$40+1,5,6,7,8,9,10)/100)^(ArtifactsInput!$M$40-ArtifactsInput!$M$40)))/100)*(1-IF(ArtifactsInput!$M$40,CHOOSE(ArtifactsInput!$N$40+1,5,6,7,8,9,10),0)/100)^IF(Inputs!$B$39="pvp",1,2)))/100)))/(5000/(6000+Inputs!$B$43*(1-(100*(1-(1-(Inputs!$B$20+0)/100)*(1-CHOOSE(ArtifactsInput!$N$40+1,5,6,7,8,9,10)/100)^(ArtifactsInput!$M$40-ArtifactsInput!$M$40)))/100))))*((L3165*(1-MIN(100,(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3165*(MIN(100,(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3165*(1-MIN(100,(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3165*(MIN(100,(Inputs!$B$10+0+B3182+(ArtifactsInput!$M$24-ArtifactsInput!$M$24)*CHOOSE(ArtifactsInput!$N$24+1,10,12,14,16,18,20)+(IF(AND(Inputs!$B$39&lt;&gt;"pvp",Inputs!$B$44=0),1,IF(IF(Inputs!$B$39="pvp",15,Inputs!$B$44)-(B3189)&lt;=0,1,MAX(0,IF(Inputs!$B$39="pvp",15,Inputs!$B$44)-MAX(5,B3189))/(IF(Inputs!$B$39="pvp",15,Inputs!$B$44)-(B3189))))*IF(AND(ArtifactsInput!$M$42,((Inputs!$B$10+0+B3182+(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V3165">
        <f>IF(C3165,(H3165*N3165*IF(AND(Inputs!$B$39&lt;&gt;"pvp",Inputs!$B$44&gt;0),((Skills!G12*((R3165-1)*IF(Skills!H12&gt;0,INT(Skills!I12/Skills!H12+0.000000001),1)+IF(Skills!H12&gt;0,INT(MIN(Skills!I12,MAX(0,MAX(0,Inputs!$B$44-B3189)-((R3165-1)*IF(Inputs!$B$39="pvp",15,MAX(0.1,Skills!D12-IF(TRUE=TRUE,5.0,0))))))/Skills!H12+0.000000001),1)))/Inputs!$B$44),G3165*Q3165))*IF(Inputs!$B$39="pvp",1,(1+(Inputs!$B$22+Skills!Q12+((C3170=TRUE)*F3170*IF(AND(Inputs!$B$39&lt;&gt;"pvp",Inputs!$B$44&gt;0),(((R3170-1)*MIN((Skills!T17*(1+Inputs!$B$35/100)),(1/Q3170))+MIN((Skills!T17*(1+Inputs!$B$35/100)),MAX(0,Inputs!$B$44-((R3170-1)*(1/Q3170)))))/Inputs!$B$44),IF(Inputs!$B$39="pvp",MIN((Skills!T17*(1+Inputs!$B$35/100)),15)/15,MIN(1,(Skills!T17*(1+Inputs!$B$35/100))/(1/Q3170)))))+((C3158=TRUE)*IF(Inputs!$B$3&gt;=126,10*MIN(1,15*Q3158),0))+((C3167=TRUE)*IF(Inputs!$B$39="pvp",20,(1-Summary!$B$11)*(20)+Summary!$B$11*(0))*IF(AND(Inputs!$B$39&lt;&gt;"pvp",Inputs!$B$44&gt;0),(((R3167-1)*MIN((Skills!T14*(1+Inputs!$B$35/100)),(1/Q3167))+MIN((Skills!T14*(1+Inputs!$B$35/100)),MAX(0,Inputs!$B$44-((R3167-1)*(1/Q3167)))))/Inputs!$B$44),IF(Inputs!$B$39="pvp",MIN((Skills!T14*(1+Inputs!$B$35/100)),15)/15,MIN(1,(Skills!T14*(1+Inputs!$B$35/100))/(1/Q3167)))))+((C3166=TRUE)*IF(Inputs!$B$3&gt;=82,IF(Inputs!$B$39="pvp",20,(1-Summary!$B$11)*(20)+Summary!$B$11*(0)),0)*IF(AND(Inputs!$B$39&lt;&gt;"pvp",Inputs!$B$44&gt;0),(((R3166-1)*MIN((Skills!T13*(1+Inputs!$B$35/100)),(1/Q3166))+MIN((Skills!T13*(1+Inputs!$B$35/100)),MAX(0,Inputs!$B$44-((R3166-1)*(1/Q3166)))))/Inputs!$B$44),IF(Inputs!$B$39="pvp",MIN((Skills!T13*(1+Inputs!$B$35/100)),15)/15,MIN(1,(Skills!T13*(1+Inputs!$B$35/100))/(1/Q3166)))))+(IF(AND(ArtifactsInput!$M$35,Inputs!$B$4&lt;&gt;"Chapter Hunt"),CHOOSE(ArtifactsInput!$N$35+1,15,18,21,24,27,30)*(1-EXP(-(0.2*B3184)*5)),0)+IF(AND(ArtifactsInput!$M$22,Inputs!$B$4&lt;&gt;"Chapter Hunt"),CHOOSE(ArtifactsInput!$N$22+1,10,12,14,16,18,20)*((0*(((0.15*B3184*5))^0/1)+1*(((0.15*B3184*5))^1/1)+2*(((0.15*B3184*5))^2/2)+3*(((0.15*B3184*5))^3/6)+4*(((0.15*B3184*5))^4/24)+5*(((0.15*B3184*5))^5/120))/((((0.15*B3184*5))^0/1)+(((0.15*B3184*5))^1/1)+(((0.15*B3184*5))^2/2)+(((0.15*B3184*5))^3/6)+(((0.15*B3184*5))^4/24)+(((0.15*B3184*5))^5/120))),0))+(IF(ArtifactsInput!$M$33,CHOOSE(ArtifactsInput!$N$33+1,30,36,42,48,54,60),0)))/100)*(MIN(Skills!R12,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66">
      <c r="A3166">
        <f>Skills!A13</f>
        <v/>
      </c>
      <c r="B3166">
        <f>Skills!B13</f>
        <v/>
      </c>
      <c r="C3166">
        <f>Inputs!$B$3&gt;=69</f>
        <v/>
      </c>
      <c r="D3166">
        <f>IF(Skills!C13=1,60+Inputs!$B$26+Inputs!$B$30,IF(Skills!C13=2,90+Inputs!$B$27+Inputs!$B$30,IF(Skills!C13=3,120+Inputs!$B$28+Inputs!$B$30,MAX(0,(Inputs!$B$3-100)*3)+Inputs!$B$29+Inputs!$B$30)))</f>
        <v/>
      </c>
      <c r="E3166">
        <f>INDEX(FactorTable!$B$2:$Y$301, MATCH(ROUND(MIN(300,MAX(1,D3166)),0), FactorTable!$A$2:$A$301,0), Skills!M13+1)</f>
        <v/>
      </c>
      <c r="F3166">
        <f>IF(Skills!N13=TRUE,(Skills!L13/10)*(E3166/1000),Skills!L13/10)+Skills!O13</f>
        <v/>
      </c>
      <c r="G3166">
        <f>Skills!G13*IF(Skills!H13&gt;0,INT(IF(Inputs!$B$39="pvp",MIN(Skills!I13,15),Skills!I13)/Skills!H13+0.000000001),1)</f>
        <v/>
      </c>
      <c r="H3166">
        <f>1-(1-Skills!J13/100)^Skills!K13</f>
        <v/>
      </c>
      <c r="I3166" t="inlineStr">
        <is>
          <t>1</t>
        </is>
      </c>
      <c r="J3166" t="inlineStr"/>
      <c r="K3166" t="inlineStr"/>
      <c r="L3166" t="inlineStr"/>
      <c r="M3166" t="inlineStr"/>
      <c r="N3166" t="inlineStr"/>
      <c r="O3166">
        <f>(1-Summary!$B$11)*T3166+Summary!$B$11*V3166</f>
        <v/>
      </c>
      <c r="P3166">
        <f>IF(B3192=0,0,O3166/B3192)</f>
        <v/>
      </c>
      <c r="Q3166">
        <f>IFERROR(1/IF(Inputs!$B$39="pvp",15,MAX(0.1,Skills!D13-IF(TRUE=TRUE,5.0,0))),0)</f>
        <v/>
      </c>
      <c r="R3166">
        <f>IF(AND(Inputs!$B$39&lt;&gt;"pvp",Inputs!$B$44&gt;0),IF(Inputs!$B$44&lt;=0,0,(INT(Inputs!$B$44/IF(Inputs!$B$39="pvp",15,MAX(0.1,Skills!D13-IF(TRUE=TRUE,5.0,0))))+1)),0)</f>
        <v/>
      </c>
      <c r="S3166">
        <f>IFERROR(O3166/N3166,0)</f>
        <v/>
      </c>
      <c r="T3166" t="n">
        <v>0</v>
      </c>
      <c r="V3166" t="n">
        <v>0</v>
      </c>
    </row>
    <row r="3167">
      <c r="A3167">
        <f>Skills!A14</f>
        <v/>
      </c>
      <c r="B3167">
        <f>Skills!B14</f>
        <v/>
      </c>
      <c r="C3167">
        <f>Inputs!$B$3&gt;=115</f>
        <v/>
      </c>
      <c r="D3167">
        <f>IF(Skills!C14=1,60+Inputs!$B$26+Inputs!$B$30,IF(Skills!C14=2,90+Inputs!$B$27+Inputs!$B$30,IF(Skills!C14=3,120+Inputs!$B$28+Inputs!$B$30,MAX(0,(Inputs!$B$3-100)*3)+Inputs!$B$29+Inputs!$B$30)))</f>
        <v/>
      </c>
      <c r="E3167">
        <f>INDEX(FactorTable!$B$2:$Y$301, MATCH(ROUND(MIN(300,MAX(1,D3167)),0), FactorTable!$A$2:$A$301,0), Skills!M14+1)</f>
        <v/>
      </c>
      <c r="F3167">
        <f>IF(Skills!N14=TRUE,(Skills!L14/10)*(E3167/1000),Skills!L14/10)+Skills!O14</f>
        <v/>
      </c>
      <c r="G3167">
        <f>Skills!G14*IF(Skills!H14&gt;0,INT(IF(Inputs!$B$39="pvp",MIN(Skills!I14,15),Skills!I14)/Skills!H14+0.000000001),1)</f>
        <v/>
      </c>
      <c r="H3167">
        <f>1-(1-Skills!J14/100)^Skills!K14</f>
        <v/>
      </c>
      <c r="I3167" t="inlineStr">
        <is>
          <t>1</t>
        </is>
      </c>
      <c r="J3167" t="inlineStr"/>
      <c r="K3167" t="inlineStr"/>
      <c r="L3167" t="inlineStr"/>
      <c r="M3167" t="inlineStr"/>
      <c r="N3167" t="inlineStr"/>
      <c r="O3167">
        <f>(1-Summary!$B$11)*T3167+Summary!$B$11*V3167</f>
        <v/>
      </c>
      <c r="P3167">
        <f>IF(B3192=0,0,O3167/B3192)</f>
        <v/>
      </c>
      <c r="Q3167">
        <f>IFERROR(1/IF(Inputs!$B$39="pvp",15,MAX(0.1,Skills!D14-IF(TRUE=TRUE,5.0,0))),0)</f>
        <v/>
      </c>
      <c r="R3167">
        <f>IF(AND(Inputs!$B$39&lt;&gt;"pvp",Inputs!$B$44&gt;0),IF(Inputs!$B$44&lt;=0,0,(INT(Inputs!$B$44/IF(Inputs!$B$39="pvp",15,MAX(0.1,Skills!D14-IF(TRUE=TRUE,5.0,0))))+1)),0)</f>
        <v/>
      </c>
      <c r="S3167">
        <f>IFERROR(O3167/N3167,0)</f>
        <v/>
      </c>
      <c r="T3167" t="n">
        <v>0</v>
      </c>
      <c r="V3167" t="n">
        <v>0</v>
      </c>
    </row>
    <row r="3168">
      <c r="A3168">
        <f>Skills!A15</f>
        <v/>
      </c>
      <c r="B3168">
        <f>Skills!B15</f>
        <v/>
      </c>
      <c r="C3168">
        <f>Inputs!$B$3&gt;=66</f>
        <v/>
      </c>
      <c r="D3168">
        <f>IF(Skills!C15=1,60+Inputs!$B$26+Inputs!$B$30,IF(Skills!C15=2,90+Inputs!$B$27+Inputs!$B$30,IF(Skills!C15=3,120+Inputs!$B$28+Inputs!$B$30,MAX(0,(Inputs!$B$3-100)*3)+Inputs!$B$29+Inputs!$B$30)))</f>
        <v/>
      </c>
      <c r="E3168">
        <f>INDEX(FactorTable!$B$2:$Y$301, MATCH(ROUND(MIN(300,MAX(1,D3168)),0), FactorTable!$A$2:$A$301,0), Skills!M15+1)</f>
        <v/>
      </c>
      <c r="F3168">
        <f>IF(Skills!N15=TRUE,(Skills!L15/10)*(E3168/1000),Skills!L15/10)+Skills!O15</f>
        <v/>
      </c>
      <c r="G3168">
        <f>Skills!G15*IF(Skills!H15&gt;0,INT(IF(Inputs!$B$39="pvp",MIN(Skills!I15,15),Skills!I15)/Skills!H15+0.000000001),1)</f>
        <v/>
      </c>
      <c r="H3168">
        <f>1-(1-Skills!J15/100)^Skills!K15</f>
        <v/>
      </c>
      <c r="I3168" t="inlineStr">
        <is>
          <t>1</t>
        </is>
      </c>
      <c r="J3168" t="inlineStr"/>
      <c r="K3168" t="inlineStr"/>
      <c r="L3168" t="inlineStr"/>
      <c r="M3168" t="inlineStr"/>
      <c r="N3168" t="inlineStr"/>
      <c r="O3168">
        <f>(1-Summary!$B$11)*T3168+Summary!$B$11*V3168</f>
        <v/>
      </c>
      <c r="P3168">
        <f>IF(B3192=0,0,O3168/B3192)</f>
        <v/>
      </c>
      <c r="Q3168">
        <f>IFERROR(1/IF(Inputs!$B$39="pvp",15,MAX(0.1,Skills!D15-IF(TRUE=TRUE,5.0,0))),0)</f>
        <v/>
      </c>
      <c r="R3168">
        <f>IF(AND(Inputs!$B$39&lt;&gt;"pvp",Inputs!$B$44&gt;0),IF(Inputs!$B$44&lt;=0,0,(INT(Inputs!$B$44/IF(Inputs!$B$39="pvp",15,MAX(0.1,Skills!D15-IF(TRUE=TRUE,5.0,0))))+1)),0)</f>
        <v/>
      </c>
      <c r="S3168">
        <f>IFERROR(O3168/N3168,0)</f>
        <v/>
      </c>
      <c r="T3168" t="n">
        <v>0</v>
      </c>
      <c r="V3168" t="n">
        <v>0</v>
      </c>
    </row>
    <row r="3169">
      <c r="A3169">
        <f>Skills!A16</f>
        <v/>
      </c>
      <c r="B3169">
        <f>Skills!B16</f>
        <v/>
      </c>
      <c r="C3169">
        <f>Inputs!$B$3&gt;=45</f>
        <v/>
      </c>
      <c r="D3169">
        <f>IF(Skills!C16=1,60+Inputs!$B$26+Inputs!$B$30,IF(Skills!C16=2,90+Inputs!$B$27+Inputs!$B$30,IF(Skills!C16=3,120+Inputs!$B$28+Inputs!$B$30,MAX(0,(Inputs!$B$3-100)*3)+Inputs!$B$29+Inputs!$B$30)))</f>
        <v/>
      </c>
      <c r="E3169">
        <f>INDEX(FactorTable!$B$2:$Y$301, MATCH(ROUND(MIN(300,MAX(1,D3169)),0), FactorTable!$A$2:$A$301,0), Skills!M16+1)</f>
        <v/>
      </c>
      <c r="F3169">
        <f>IF(Skills!N16=TRUE,(Skills!L16/10)*(E3169/1000),Skills!L16/10)+Skills!O16</f>
        <v/>
      </c>
      <c r="G3169">
        <f>Skills!G16*IF(Skills!H16&gt;0,INT(IF(Inputs!$B$39="pvp",MIN(Skills!I16,15),Skills!I16)/Skills!H16+0.000000001),1)</f>
        <v/>
      </c>
      <c r="H3169">
        <f>1-(1-Skills!J16/100)^Skills!K16</f>
        <v/>
      </c>
      <c r="I3169" t="inlineStr">
        <is>
          <t>1</t>
        </is>
      </c>
      <c r="J3169" t="inlineStr"/>
      <c r="K3169" t="inlineStr"/>
      <c r="L3169" t="inlineStr"/>
      <c r="M3169" t="inlineStr"/>
      <c r="N3169" t="inlineStr"/>
      <c r="O3169">
        <f>(1-Summary!$B$11)*T3169+Summary!$B$11*V3169</f>
        <v/>
      </c>
      <c r="P3169">
        <f>IF(B3192=0,0,O3169/B3192)</f>
        <v/>
      </c>
      <c r="Q3169">
        <f>IFERROR(1/IF(Inputs!$B$39="pvp",15,MAX(0.1,Skills!D16-IF(TRUE=TRUE,5.0,0))),0)</f>
        <v/>
      </c>
      <c r="R3169">
        <f>IF(AND(Inputs!$B$39&lt;&gt;"pvp",Inputs!$B$44&gt;0),IF(Inputs!$B$44&lt;=0,0,(INT(Inputs!$B$44/IF(Inputs!$B$39="pvp",15,MAX(0.1,Skills!D16-IF(TRUE=TRUE,5.0,0))))+1)),0)</f>
        <v/>
      </c>
      <c r="S3169">
        <f>IFERROR(O3169/N3169,0)</f>
        <v/>
      </c>
      <c r="T3169" t="n">
        <v>0</v>
      </c>
      <c r="V3169" t="n">
        <v>0</v>
      </c>
    </row>
    <row r="3170">
      <c r="A3170">
        <f>Skills!A17</f>
        <v/>
      </c>
      <c r="B3170">
        <f>Skills!B17</f>
        <v/>
      </c>
      <c r="C3170">
        <f>Inputs!$B$3&gt;=35</f>
        <v/>
      </c>
      <c r="D3170">
        <f>IF(Skills!C17=1,60+Inputs!$B$26+Inputs!$B$30,IF(Skills!C17=2,90+Inputs!$B$27+Inputs!$B$30,IF(Skills!C17=3,120+Inputs!$B$28+Inputs!$B$30,MAX(0,(Inputs!$B$3-100)*3)+Inputs!$B$29+Inputs!$B$30)))</f>
        <v/>
      </c>
      <c r="E3170">
        <f>INDEX(FactorTable!$B$2:$Y$301, MATCH(ROUND(MIN(300,MAX(1,D3170)),0), FactorTable!$A$2:$A$301,0), Skills!M17+1)</f>
        <v/>
      </c>
      <c r="F3170">
        <f>IF(Skills!N17=TRUE,(Skills!L17/10)*(E3170/1000),Skills!L17/10)+Skills!O17</f>
        <v/>
      </c>
      <c r="G3170">
        <f>Skills!G17*IF(Skills!H17&gt;0,INT(IF(Inputs!$B$39="pvp",MIN(Skills!I17,15),Skills!I17)/Skills!H17+0.000000001),1)</f>
        <v/>
      </c>
      <c r="H3170">
        <f>1-(1-Skills!J17/100)^Skills!K17</f>
        <v/>
      </c>
      <c r="I3170" t="inlineStr">
        <is>
          <t>1</t>
        </is>
      </c>
      <c r="J3170" t="inlineStr"/>
      <c r="K3170" t="inlineStr"/>
      <c r="L3170" t="inlineStr"/>
      <c r="M3170" t="inlineStr"/>
      <c r="N3170" t="inlineStr"/>
      <c r="O3170">
        <f>(1-Summary!$B$11)*T3170+Summary!$B$11*V3170</f>
        <v/>
      </c>
      <c r="P3170">
        <f>IF(B3192=0,0,O3170/B3192)</f>
        <v/>
      </c>
      <c r="Q3170">
        <f>IFERROR(1/IF(Inputs!$B$39="pvp",15,MAX(0.1,Skills!D17-IF(TRUE=TRUE,5.0,0))),0)</f>
        <v/>
      </c>
      <c r="R3170">
        <f>IF(AND(Inputs!$B$39&lt;&gt;"pvp",Inputs!$B$44&gt;0),IF(Inputs!$B$44&lt;=0,0,(INT(Inputs!$B$44/IF(Inputs!$B$39="pvp",15,MAX(0.1,Skills!D17-IF(TRUE=TRUE,5.0,0))))+1)),0)</f>
        <v/>
      </c>
      <c r="S3170">
        <f>IFERROR(O3170/N3170,0)</f>
        <v/>
      </c>
      <c r="T3170" t="n">
        <v>0</v>
      </c>
      <c r="V3170" t="n">
        <v>0</v>
      </c>
    </row>
    <row r="3171">
      <c r="A3171">
        <f>Skills!A18</f>
        <v/>
      </c>
      <c r="B3171">
        <f>Skills!B18</f>
        <v/>
      </c>
      <c r="C3171">
        <f>Inputs!$B$3&gt;=72</f>
        <v/>
      </c>
      <c r="D3171">
        <f>IF(Skills!C18=1,60+Inputs!$B$26+Inputs!$B$30,IF(Skills!C18=2,90+Inputs!$B$27+Inputs!$B$30,IF(Skills!C18=3,120+Inputs!$B$28+Inputs!$B$30,MAX(0,(Inputs!$B$3-100)*3)+Inputs!$B$29+Inputs!$B$30)))</f>
        <v/>
      </c>
      <c r="E3171">
        <f>INDEX(FactorTable!$B$2:$Y$301, MATCH(ROUND(MIN(300,MAX(1,D3171)),0), FactorTable!$A$2:$A$301,0), Skills!M18+1)</f>
        <v/>
      </c>
      <c r="F3171">
        <f>IF(Skills!N18=TRUE,(Skills!L18/10)*(E3171/1000),Skills!L18/10)+Skills!O18</f>
        <v/>
      </c>
      <c r="G3171">
        <f>Skills!G18*IF(Skills!H18&gt;0,INT(IF(Inputs!$B$39="pvp",MIN(Skills!I18,15),Skills!I18)/Skills!H18+0.000000001),1)</f>
        <v/>
      </c>
      <c r="H3171">
        <f>1-(1-Skills!J18/100)^Skills!K18</f>
        <v/>
      </c>
      <c r="I3171" t="inlineStr">
        <is>
          <t>1</t>
        </is>
      </c>
      <c r="J3171" t="inlineStr"/>
      <c r="K3171" t="inlineStr"/>
      <c r="L3171" t="inlineStr"/>
      <c r="M3171" t="inlineStr"/>
      <c r="N3171" t="inlineStr"/>
      <c r="O3171">
        <f>(1-Summary!$B$11)*T3171+Summary!$B$11*V3171</f>
        <v/>
      </c>
      <c r="P3171">
        <f>IF(B3192=0,0,O3171/B3192)</f>
        <v/>
      </c>
      <c r="Q3171">
        <f>IFERROR(1/IF(Inputs!$B$39="pvp",15,MAX(0.1,Skills!D18-IF(TRUE=TRUE,5.0,0))),0)</f>
        <v/>
      </c>
      <c r="R3171">
        <f>IF(AND(Inputs!$B$39&lt;&gt;"pvp",Inputs!$B$44&gt;0),IF(Inputs!$B$44&lt;=0,0,(INT(Inputs!$B$44/IF(Inputs!$B$39="pvp",15,MAX(0.1,Skills!D18-IF(TRUE=TRUE,5.0,0))))+1)),0)</f>
        <v/>
      </c>
      <c r="S3171">
        <f>IFERROR(O3171/N3171,0)</f>
        <v/>
      </c>
      <c r="T3171" t="n">
        <v>0</v>
      </c>
      <c r="V3171" t="n">
        <v>0</v>
      </c>
    </row>
    <row r="3172">
      <c r="A3172">
        <f>Skills!A19</f>
        <v/>
      </c>
      <c r="B3172">
        <f>Skills!B19</f>
        <v/>
      </c>
      <c r="C3172">
        <f>Inputs!$B$3&gt;=72</f>
        <v/>
      </c>
      <c r="D3172">
        <f>IF(Skills!C19=1,60+Inputs!$B$26+Inputs!$B$30,IF(Skills!C19=2,90+Inputs!$B$27+Inputs!$B$30,IF(Skills!C19=3,120+Inputs!$B$28+Inputs!$B$30,MAX(0,(Inputs!$B$3-100)*3)+Inputs!$B$29+Inputs!$B$30)))</f>
        <v/>
      </c>
      <c r="E3172">
        <f>INDEX(FactorTable!$B$2:$Y$301, MATCH(ROUND(MIN(300,MAX(1,D3172)),0), FactorTable!$A$2:$A$301,0), Skills!M19+1)</f>
        <v/>
      </c>
      <c r="F3172">
        <f>IF(Skills!N19=TRUE,(Skills!L19/10)*(E3172/1000),Skills!L19/10)+Skills!O19</f>
        <v/>
      </c>
      <c r="G3172">
        <f>Skills!G19*IF(Skills!H19&gt;0,INT(IF(Inputs!$B$39="pvp",MIN(Skills!I19,15),Skills!I19)/Skills!H19+0.000000001),1)</f>
        <v/>
      </c>
      <c r="H3172">
        <f>1-(1-Skills!J19/100)^Skills!K19</f>
        <v/>
      </c>
      <c r="I3172" t="inlineStr">
        <is>
          <t>1</t>
        </is>
      </c>
      <c r="J3172" t="inlineStr"/>
      <c r="K3172" t="inlineStr"/>
      <c r="L3172" t="inlineStr"/>
      <c r="M3172" t="inlineStr"/>
      <c r="N3172" t="inlineStr"/>
      <c r="O3172">
        <f>(1-Summary!$B$11)*T3172+Summary!$B$11*V3172</f>
        <v/>
      </c>
      <c r="P3172">
        <f>IF(B3192=0,0,O3172/B3192)</f>
        <v/>
      </c>
      <c r="Q3172">
        <f>IFERROR(1/IF(Inputs!$B$39="pvp",15,MAX(0.1,Skills!D19-IF(TRUE=TRUE,5.0,0))),0)</f>
        <v/>
      </c>
      <c r="R3172">
        <f>IF(AND(Inputs!$B$39&lt;&gt;"pvp",Inputs!$B$44&gt;0),IF(Inputs!$B$44&lt;=0,0,(INT(Inputs!$B$44/IF(Inputs!$B$39="pvp",15,MAX(0.1,Skills!D19-IF(TRUE=TRUE,5.0,0))))+1)),0)</f>
        <v/>
      </c>
      <c r="S3172">
        <f>IFERROR(O3172/N3172,0)</f>
        <v/>
      </c>
      <c r="T3172" t="n">
        <v>0</v>
      </c>
      <c r="V3172" t="n">
        <v>0</v>
      </c>
    </row>
    <row r="3173">
      <c r="A3173">
        <f>Skills!A20</f>
        <v/>
      </c>
      <c r="B3173">
        <f>Skills!B20</f>
        <v/>
      </c>
      <c r="C3173">
        <f>TRUE</f>
        <v/>
      </c>
      <c r="D3173">
        <f>IF(Skills!C20=1,60+Inputs!$B$26+Inputs!$B$30,IF(Skills!C20=2,90+Inputs!$B$27+Inputs!$B$30,IF(Skills!C20=3,120+Inputs!$B$28+Inputs!$B$30,MAX(0,(Inputs!$B$3-100)*3)+Inputs!$B$29+Inputs!$B$30)))</f>
        <v/>
      </c>
      <c r="E3173">
        <f>INDEX(FactorTable!$B$2:$Y$301, MATCH(ROUND(MIN(300,MAX(1,D3173)),0), FactorTable!$A$2:$A$301,0), Skills!M20+1)</f>
        <v/>
      </c>
      <c r="F3173">
        <f>IF(Skills!N20=TRUE,(Skills!L20/10)*(E3173/1000),Skills!L20/10)+Skills!O20</f>
        <v/>
      </c>
      <c r="G3173">
        <f>Skills!G20*IF(Skills!H20&gt;0,INT(IF(Inputs!$B$39="pvp",MIN(Skills!I20,15),Skills!I20)/Skills!H20+0.000000001),1)</f>
        <v/>
      </c>
      <c r="H3173">
        <f>1-(1-Skills!J20/100)^Skills!K20</f>
        <v/>
      </c>
      <c r="I3173" t="inlineStr">
        <is>
          <t>1</t>
        </is>
      </c>
      <c r="J3173" t="inlineStr"/>
      <c r="K3173" t="inlineStr"/>
      <c r="L3173" t="inlineStr"/>
      <c r="M3173" t="inlineStr"/>
      <c r="N3173" t="inlineStr"/>
      <c r="O3173">
        <f>(1-Summary!$B$11)*T3173+Summary!$B$11*V3173</f>
        <v/>
      </c>
      <c r="P3173">
        <f>IF(B3192=0,0,O3173/B3192)</f>
        <v/>
      </c>
      <c r="Q3173">
        <f>IFERROR(1/IF(Inputs!$B$39="pvp",15,MAX(0.1,Skills!D20-IF(TRUE=TRUE,5.0,0))),0)</f>
        <v/>
      </c>
      <c r="R3173">
        <f>IF(AND(Inputs!$B$39&lt;&gt;"pvp",Inputs!$B$44&gt;0),IF(Inputs!$B$44&lt;=0,0,(INT(Inputs!$B$44/IF(Inputs!$B$39="pvp",15,MAX(0.1,Skills!D20-IF(TRUE=TRUE,5.0,0))))+1)),0)</f>
        <v/>
      </c>
      <c r="S3173">
        <f>IFERROR(O3173/N3173,0)</f>
        <v/>
      </c>
      <c r="T3173" t="n">
        <v>0</v>
      </c>
      <c r="V3173" t="n">
        <v>0</v>
      </c>
    </row>
    <row r="3174">
      <c r="A3174">
        <f>Skills!A21</f>
        <v/>
      </c>
      <c r="B3174">
        <f>Skills!B21</f>
        <v/>
      </c>
      <c r="C3174">
        <f>Inputs!$B$3&gt;=33</f>
        <v/>
      </c>
      <c r="D3174">
        <f>IF(Skills!C21=1,60+Inputs!$B$26+Inputs!$B$30,IF(Skills!C21=2,90+Inputs!$B$27+Inputs!$B$30,IF(Skills!C21=3,120+Inputs!$B$28+Inputs!$B$30,MAX(0,(Inputs!$B$3-100)*3)+Inputs!$B$29+Inputs!$B$30)))</f>
        <v/>
      </c>
      <c r="E3174">
        <f>INDEX(FactorTable!$B$2:$Y$301, MATCH(ROUND(MIN(300,MAX(1,D3174)),0), FactorTable!$A$2:$A$301,0), Skills!M21+1)</f>
        <v/>
      </c>
      <c r="F3174">
        <f>IF(Skills!N21=TRUE,(Skills!L21/10)*(E3174/1000),Skills!L21/10)+Skills!O21</f>
        <v/>
      </c>
      <c r="G3174">
        <f>Skills!G21*IF(Skills!H21&gt;0,INT(IF(Inputs!$B$39="pvp",MIN(Skills!I21,15),Skills!I21)/Skills!H21+0.000000001),1)</f>
        <v/>
      </c>
      <c r="H3174">
        <f>1-(1-Skills!J21/100)^Skills!K21</f>
        <v/>
      </c>
      <c r="I3174" t="inlineStr">
        <is>
          <t>1</t>
        </is>
      </c>
      <c r="J3174" t="inlineStr"/>
      <c r="K3174" t="inlineStr"/>
      <c r="L3174" t="inlineStr"/>
      <c r="M3174" t="inlineStr"/>
      <c r="N3174" t="inlineStr"/>
      <c r="O3174">
        <f>(1-Summary!$B$11)*T3174+Summary!$B$11*V3174</f>
        <v/>
      </c>
      <c r="P3174">
        <f>IF(B3192=0,0,O3174/B3192)</f>
        <v/>
      </c>
      <c r="Q3174" t="n">
        <v>0</v>
      </c>
      <c r="R3174" t="n">
        <v>0</v>
      </c>
      <c r="S3174">
        <f>IFERROR(O3174/N3174,0)</f>
        <v/>
      </c>
      <c r="T3174" t="n">
        <v>0</v>
      </c>
      <c r="V3174" t="n">
        <v>0</v>
      </c>
    </row>
    <row r="3175">
      <c r="A3175">
        <f>Skills!A22</f>
        <v/>
      </c>
      <c r="B3175">
        <f>Skills!B22</f>
        <v/>
      </c>
      <c r="C3175">
        <f>Inputs!$B$3&gt;=43</f>
        <v/>
      </c>
      <c r="D3175">
        <f>IF(Skills!C22=1,60+Inputs!$B$26+Inputs!$B$30,IF(Skills!C22=2,90+Inputs!$B$27+Inputs!$B$30,IF(Skills!C22=3,120+Inputs!$B$28+Inputs!$B$30,MAX(0,(Inputs!$B$3-100)*3)+Inputs!$B$29+Inputs!$B$30)))</f>
        <v/>
      </c>
      <c r="E3175">
        <f>INDEX(FactorTable!$B$2:$Y$301, MATCH(ROUND(MIN(300,MAX(1,D3175)),0), FactorTable!$A$2:$A$301,0), Skills!M22+1)</f>
        <v/>
      </c>
      <c r="F3175">
        <f>IF(Skills!N22=TRUE,(Skills!L22/10)*(E3175/1000),Skills!L22/10)+Skills!O22</f>
        <v/>
      </c>
      <c r="G3175">
        <f>Skills!G22*IF(Skills!H22&gt;0,INT(IF(Inputs!$B$39="pvp",MIN(Skills!I22,15),Skills!I22)/Skills!H22+0.000000001),1)</f>
        <v/>
      </c>
      <c r="H3175">
        <f>1-(1-Skills!J22/100)^Skills!K22</f>
        <v/>
      </c>
      <c r="I3175" t="inlineStr">
        <is>
          <t>1</t>
        </is>
      </c>
      <c r="J3175" t="inlineStr"/>
      <c r="K3175" t="inlineStr"/>
      <c r="L3175" t="inlineStr"/>
      <c r="M3175" t="inlineStr"/>
      <c r="N3175" t="inlineStr"/>
      <c r="O3175">
        <f>(1-Summary!$B$11)*T3175+Summary!$B$11*V3175</f>
        <v/>
      </c>
      <c r="P3175">
        <f>IF(B3192=0,0,O3175/B3192)</f>
        <v/>
      </c>
      <c r="Q3175" t="n">
        <v>0</v>
      </c>
      <c r="R3175" t="n">
        <v>0</v>
      </c>
      <c r="S3175">
        <f>IFERROR(O3175/N3175,0)</f>
        <v/>
      </c>
      <c r="T3175" t="n">
        <v>0</v>
      </c>
      <c r="V3175" t="n">
        <v>0</v>
      </c>
    </row>
    <row r="3176">
      <c r="A3176">
        <f>Skills!A23</f>
        <v/>
      </c>
      <c r="B3176">
        <f>Skills!B23</f>
        <v/>
      </c>
      <c r="C3176">
        <f>Inputs!$B$3&gt;=120</f>
        <v/>
      </c>
      <c r="D3176">
        <f>IF(Skills!C23=1,60+Inputs!$B$26+Inputs!$B$30,IF(Skills!C23=2,90+Inputs!$B$27+Inputs!$B$30,IF(Skills!C23=3,120+Inputs!$B$28+Inputs!$B$30,MAX(0,(Inputs!$B$3-100)*3)+Inputs!$B$29+Inputs!$B$30)))</f>
        <v/>
      </c>
      <c r="E3176">
        <f>INDEX(FactorTable!$B$2:$Y$301, MATCH(ROUND(MIN(300,MAX(1,D3176)),0), FactorTable!$A$2:$A$301,0), Skills!M23+1)</f>
        <v/>
      </c>
      <c r="F3176">
        <f>IF(Skills!N23=TRUE,(Skills!L23/10)*(E3176/1000),Skills!L23/10)+Skills!O23</f>
        <v/>
      </c>
      <c r="G3176">
        <f>Skills!G23*IF(Skills!H23&gt;0,INT(IF(Inputs!$B$39="pvp",MIN(Skills!I23,15),Skills!I23)/Skills!H23+0.000000001),1)</f>
        <v/>
      </c>
      <c r="H3176">
        <f>1-(1-Skills!J23/100)^Skills!K23</f>
        <v/>
      </c>
      <c r="I3176" t="inlineStr">
        <is>
          <t>1</t>
        </is>
      </c>
      <c r="J3176" t="inlineStr"/>
      <c r="K3176" t="inlineStr"/>
      <c r="L3176" t="inlineStr"/>
      <c r="M3176" t="inlineStr"/>
      <c r="N3176" t="inlineStr"/>
      <c r="O3176">
        <f>(1-Summary!$B$11)*T3176+Summary!$B$11*V3176</f>
        <v/>
      </c>
      <c r="P3176">
        <f>IF(B3192=0,0,O3176/B3192)</f>
        <v/>
      </c>
      <c r="Q3176" t="n">
        <v>0</v>
      </c>
      <c r="R3176" t="n">
        <v>0</v>
      </c>
      <c r="S3176">
        <f>IFERROR(O3176/N3176,0)</f>
        <v/>
      </c>
      <c r="T3176" t="n">
        <v>0</v>
      </c>
      <c r="V3176" t="n">
        <v>0</v>
      </c>
    </row>
    <row r="3177">
      <c r="A3177">
        <f>Skills!A24</f>
        <v/>
      </c>
      <c r="B3177">
        <f>Skills!B24</f>
        <v/>
      </c>
      <c r="C3177">
        <f>Inputs!$B$3&gt;=120</f>
        <v/>
      </c>
      <c r="D3177">
        <f>IF(Skills!C24=1,60+Inputs!$B$26+Inputs!$B$30,IF(Skills!C24=2,90+Inputs!$B$27+Inputs!$B$30,IF(Skills!C24=3,120+Inputs!$B$28+Inputs!$B$30,MAX(0,(Inputs!$B$3-100)*3)+Inputs!$B$29+Inputs!$B$30)))</f>
        <v/>
      </c>
      <c r="E3177">
        <f>INDEX(FactorTable!$B$2:$Y$301, MATCH(ROUND(MIN(300,MAX(1,D3177)),0), FactorTable!$A$2:$A$301,0), Skills!M24+1)</f>
        <v/>
      </c>
      <c r="F3177">
        <f>IF(Skills!N24=TRUE,(Skills!L24/10)*(E3177/1000),Skills!L24/10)+Skills!O24</f>
        <v/>
      </c>
      <c r="G3177">
        <f>Skills!G24*IF(Skills!H24&gt;0,INT(IF(Inputs!$B$39="pvp",MIN(Skills!I24,15),Skills!I24)/Skills!H24+0.000000001),1)</f>
        <v/>
      </c>
      <c r="H3177">
        <f>1-(1-Skills!J24/100)^Skills!K24</f>
        <v/>
      </c>
      <c r="I3177" t="inlineStr">
        <is>
          <t>1</t>
        </is>
      </c>
      <c r="J3177" t="inlineStr"/>
      <c r="K3177" t="inlineStr"/>
      <c r="L3177" t="inlineStr"/>
      <c r="M3177" t="inlineStr"/>
      <c r="N3177" t="inlineStr"/>
      <c r="O3177">
        <f>(1-Summary!$B$11)*T3177+Summary!$B$11*V3177</f>
        <v/>
      </c>
      <c r="P3177">
        <f>IF(B3192=0,0,O3177/B3192)</f>
        <v/>
      </c>
      <c r="Q3177" t="n">
        <v>0</v>
      </c>
      <c r="R3177" t="n">
        <v>0</v>
      </c>
      <c r="S3177">
        <f>IFERROR(O3177/N3177,0)</f>
        <v/>
      </c>
      <c r="T3177" t="n">
        <v>0</v>
      </c>
      <c r="V3177" t="n">
        <v>0</v>
      </c>
    </row>
    <row r="3178">
      <c r="A3178">
        <f>Skills!A25</f>
        <v/>
      </c>
      <c r="B3178">
        <f>Skills!B25</f>
        <v/>
      </c>
      <c r="C3178">
        <f>Inputs!$B$3&gt;=125</f>
        <v/>
      </c>
      <c r="D3178">
        <f>IF(Skills!C25=1,60+Inputs!$B$26+Inputs!$B$30,IF(Skills!C25=2,90+Inputs!$B$27+Inputs!$B$30,IF(Skills!C25=3,120+Inputs!$B$28+Inputs!$B$30,MAX(0,(Inputs!$B$3-100)*3)+Inputs!$B$29+Inputs!$B$30)))</f>
        <v/>
      </c>
      <c r="E3178">
        <f>INDEX(FactorTable!$B$2:$Y$301, MATCH(ROUND(MIN(300,MAX(1,D3178)),0), FactorTable!$A$2:$A$301,0), Skills!M25+1)</f>
        <v/>
      </c>
      <c r="F3178">
        <f>IF(Skills!N25=TRUE,(Skills!L25/10)*(E3178/1000),Skills!L25/10)+Skills!O25</f>
        <v/>
      </c>
      <c r="G3178">
        <f>Skills!G25*IF(Skills!H25&gt;0,INT(IF(Inputs!$B$39="pvp",MIN(Skills!I25,15),Skills!I25)/Skills!H25+0.000000001),1)</f>
        <v/>
      </c>
      <c r="H3178">
        <f>1-(1-Skills!J25/100)^Skills!K25</f>
        <v/>
      </c>
      <c r="I3178" t="inlineStr">
        <is>
          <t>1</t>
        </is>
      </c>
      <c r="J3178" t="inlineStr"/>
      <c r="K3178" t="inlineStr"/>
      <c r="L3178" t="inlineStr"/>
      <c r="M3178" t="inlineStr"/>
      <c r="N3178" t="inlineStr"/>
      <c r="O3178">
        <f>(1-Summary!$B$11)*T3178+Summary!$B$11*V3178</f>
        <v/>
      </c>
      <c r="P3178">
        <f>IF(B3192=0,0,O3178/B3192)</f>
        <v/>
      </c>
      <c r="Q3178" t="n">
        <v>0</v>
      </c>
      <c r="R3178" t="n">
        <v>0</v>
      </c>
      <c r="S3178">
        <f>IFERROR(O3178/N3178,0)</f>
        <v/>
      </c>
      <c r="T3178" t="n">
        <v>0</v>
      </c>
      <c r="V3178" t="n">
        <v>0</v>
      </c>
    </row>
    <row r="3179">
      <c r="A3179">
        <f>Skills!A26</f>
        <v/>
      </c>
      <c r="B3179">
        <f>Skills!B26</f>
        <v/>
      </c>
      <c r="C3179">
        <f>Inputs!$B$3&gt;=107</f>
        <v/>
      </c>
      <c r="D3179">
        <f>IF(Skills!C26=1,60+Inputs!$B$26+Inputs!$B$30,IF(Skills!C26=2,90+Inputs!$B$27+Inputs!$B$30,IF(Skills!C26=3,120+Inputs!$B$28+Inputs!$B$30,MAX(0,(Inputs!$B$3-100)*3)+Inputs!$B$29+Inputs!$B$30)))</f>
        <v/>
      </c>
      <c r="E3179">
        <f>INDEX(FactorTable!$B$2:$Y$301, MATCH(ROUND(MIN(300,MAX(1,D3179)),0), FactorTable!$A$2:$A$301,0), Skills!M26+1)</f>
        <v/>
      </c>
      <c r="F3179">
        <f>IF(Skills!N26=TRUE,(Skills!L26/10)*(E3179/1000),Skills!L26/10)+Skills!O26</f>
        <v/>
      </c>
      <c r="G3179">
        <f>Skills!G26*IF(Skills!H26&gt;0,INT(IF(Inputs!$B$39="pvp",MIN(Skills!I26,15),Skills!I26)/Skills!H26+0.000000001),1)</f>
        <v/>
      </c>
      <c r="H3179">
        <f>1-(1-Skills!J26/100)^Skills!K26</f>
        <v/>
      </c>
      <c r="I3179" t="inlineStr">
        <is>
          <t>1</t>
        </is>
      </c>
      <c r="J3179" t="inlineStr"/>
      <c r="K3179" t="inlineStr"/>
      <c r="L3179" t="inlineStr"/>
      <c r="M3179" t="inlineStr"/>
      <c r="N3179" t="inlineStr"/>
      <c r="O3179">
        <f>(1-Summary!$B$11)*T3179+Summary!$B$11*V3179</f>
        <v/>
      </c>
      <c r="P3179">
        <f>IF(B3192=0,0,O3179/B3192)</f>
        <v/>
      </c>
      <c r="Q3179" t="n">
        <v>0</v>
      </c>
      <c r="R3179" t="n">
        <v>0</v>
      </c>
      <c r="S3179">
        <f>IFERROR(O3179/N3179,0)</f>
        <v/>
      </c>
      <c r="T3179" t="n">
        <v>0</v>
      </c>
      <c r="V3179" t="n">
        <v>0</v>
      </c>
    </row>
    <row r="3181">
      <c r="A3181" t="inlineStr">
        <is>
          <t>Attack% Bucket Multiplier</t>
        </is>
      </c>
      <c r="B3181">
        <f>(1+(((C3166=TRUE)*F3166*IF(AND(Inputs!$B$39&lt;&gt;"pvp",Inputs!$B$44&gt;0),(((R3166-1)*MIN((Skills!T13*(1+Inputs!$B$35/100)),(1/Q3166))+MIN((Skills!T13*(1+Inputs!$B$35/100)),MAX(0,Inputs!$B$44-((R3166-1)*(1/Q3166)))))/Inputs!$B$44),IF(Inputs!$B$39="pvp",MIN((Skills!T13*(1+Inputs!$B$35/100)),15)/15,MIN(1,(Skills!T13*(1+Inputs!$B$35/100))/(1/Q3166)))))+((C3167=TRUE)*F3167*IF(AND(Inputs!$B$39&lt;&gt;"pvp",Inputs!$B$44&gt;0),(((R3167-1)*MIN((Skills!T14*(1+Inputs!$B$35/100)),(1/Q3167))+MIN((Skills!T14*(1+Inputs!$B$35/100)),MAX(0,Inputs!$B$44-((R3167-1)*(1/Q3167)))))/Inputs!$B$44),IF(Inputs!$B$39="pvp",MIN((Skills!T14*(1+Inputs!$B$35/100)),15)/15,MIN(1,(Skills!T14*(1+Inputs!$B$35/100))/(1/Q3167)))))+((C3168=TRUE)*F3168*IF(AND(Inputs!$B$39&lt;&gt;"pvp",Inputs!$B$44&gt;0),(((R3168-1)*MIN((Skills!T15*(1+Inputs!$B$35/100)),(1/Q3168))+MIN((Skills!T15*(1+Inputs!$B$35/100)),MAX(0,Inputs!$B$44-((R3168-1)*(1/Q3168)))))/Inputs!$B$44),IF(Inputs!$B$39="pvp",MIN((Skills!T15*(1+Inputs!$B$35/100)),15)/15,MIN(1,(Skills!T15*(1+Inputs!$B$35/100))/(1/Q3168)))))+((C3169=TRUE)*F3169*IF(AND(Inputs!$B$39&lt;&gt;"pvp",Inputs!$B$44&gt;0),(((R3169-1)*MIN((Skills!T16*(1+Inputs!$B$35/100)),(1/Q3169))+MIN((Skills!T16*(1+Inputs!$B$35/100)),MAX(0,Inputs!$B$44-((R3169-1)*(1/Q3169)))))/Inputs!$B$44),IF(Inputs!$B$39="pvp",MIN((Skills!T16*(1+Inputs!$B$35/100)),15)/15,MIN(1,(Skills!T16*(1+Inputs!$B$35/100))/(1/Q3169)))))+0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f>
        <v/>
      </c>
    </row>
    <row r="3182">
      <c r="A3182" t="inlineStr">
        <is>
          <t>Global Crit Rate Bonus % (Lord of Darkness)</t>
        </is>
      </c>
      <c r="B3182">
        <f>((C3171=TRUE)*F3171*(Skills!J18/100)*IF(AND(Inputs!$B$39&lt;&gt;"pvp",Inputs!$B$44&gt;0),(((R3171-1)*MIN((Skills!T18*(1+Inputs!$B$35/100)),(1/Q3171))+MIN((Skills!T18*(1+Inputs!$B$35/100)),MAX(0,Inputs!$B$44-((R3171-1)*(1/Q3171)))))/Inputs!$B$44),IF(Inputs!$B$39="pvp",MIN((Skills!T18*(1+Inputs!$B$35/100)),15)/15,MIN(1,(Skills!T18*(1+Inputs!$B$35/100))/(1/Q3171)))))</f>
        <v/>
      </c>
    </row>
    <row r="3183">
      <c r="A3183" t="inlineStr">
        <is>
          <t>Attack Speed Buff Bonus %</t>
        </is>
      </c>
      <c r="B3183">
        <f>((C3173=TRUE)*F3173*IF(AND(Inputs!$B$39&lt;&gt;"pvp",Inputs!$B$44&gt;0),(((R3173-1)*MIN((Skills!T20*(1+Inputs!$B$35/100)),(1/Q3173))+MIN((Skills!T20*(1+Inputs!$B$35/100)),MAX(0,Inputs!$B$44-((R3173-1)*(1/Q3173)))))/Inputs!$B$44),IF(Inputs!$B$39="pvp",MIN((Skills!T20*(1+Inputs!$B$35/100)),15)/15,MIN(1,(Skills!T20*(1+Inputs!$B$35/100))/(1/Q3173)))))</f>
        <v/>
      </c>
    </row>
    <row r="3184">
      <c r="A3184" t="inlineStr">
        <is>
          <t>Actions Per Second</t>
        </is>
      </c>
      <c r="B3184">
        <f>1+MIN(150,150*(1-(1-(Inputs!$B$12+((C3174=TRUE)*(F3174-Calc!F21)))/150)*(1-B3183/150)))/100</f>
        <v/>
      </c>
    </row>
    <row r="3185">
      <c r="A3185" t="inlineStr">
        <is>
          <t>Skill + Buff Cast Rate</t>
        </is>
      </c>
      <c r="B3185">
        <f>IF(AND(Inputs!$B$39&lt;&gt;"pvp",Inputs!$B$44&gt;0),SUMPRODUCT((Skills!E2:E26=TRUE)*(C3155:C3179=TRUE)*R3155:R3179*Skills!F2:F26)/Inputs!$B$44,SUMPRODUCT((Skills!E2:E26=TRUE)*(C3155:C3179=TRUE)*Q3155:Q3179*Skills!F2:F26))</f>
        <v/>
      </c>
    </row>
    <row r="3186">
      <c r="A3186" t="inlineStr">
        <is>
          <t>Dark Impale Casts Per Second</t>
        </is>
      </c>
      <c r="B3186">
        <f>MAX(0,B3184-B3185)</f>
        <v/>
      </c>
    </row>
    <row r="3187">
      <c r="A3187" t="inlineStr">
        <is>
          <t>Global Critical Damage Bonus % (Lord of Darkness)</t>
        </is>
      </c>
      <c r="B3187">
        <f>((C3172=TRUE)*F3172*(Skills!J19/100)*IF(AND(Inputs!$B$39&lt;&gt;"pvp",Inputs!$B$44&gt;0),(((R3172-1)*MIN((Skills!T19*(1+Inputs!$B$35/100)),(1/Q3172))+MIN((Skills!T19*(1+Inputs!$B$35/100)),MAX(0,Inputs!$B$44-((R3172-1)*(1/Q3172)))))/Inputs!$B$44),IF(Inputs!$B$39="pvp",MIN((Skills!T19*(1+Inputs!$B$35/100)),15)/15,MIN(1,(Skills!T19*(1+Inputs!$B$35/100))/(1/Q3172)))))</f>
        <v/>
      </c>
    </row>
    <row r="3188">
      <c r="A3188" t="inlineStr">
        <is>
          <t>Global Final Damage Bonus % (unused)</t>
        </is>
      </c>
      <c r="B3188" t="n">
        <v>0</v>
      </c>
    </row>
    <row r="3189">
      <c r="A3189" t="inlineStr">
        <is>
          <t>Buff-Casting Startup Delay (s, fixed-duration only)</t>
        </is>
      </c>
      <c r="B3189">
        <f>IF(AND(Inputs!$B$39&lt;&gt;"pvp",Inputs!$B$44&gt;0),SUMPRODUCT((Skills!T2:T26&gt;0)*(Skills!E2:E26=TRUE)*(C3155:C3179=TRUE))/B3184,0)</f>
        <v/>
      </c>
    </row>
    <row r="3190">
      <c r="A3190" t="inlineStr">
        <is>
          <t>Boss-Only Total DPS (this block's swept value)</t>
        </is>
      </c>
      <c r="B3190">
        <f>SUM(T3155:T3179)</f>
        <v/>
      </c>
    </row>
    <row r="3191">
      <c r="A3191" t="inlineStr">
        <is>
          <t>Normal-Only Total DPS (this block's swept value)</t>
        </is>
      </c>
      <c r="B3191">
        <f>SUM(V3155:V3179)</f>
        <v/>
      </c>
    </row>
    <row r="3192">
      <c r="A3192" s="6" t="inlineStr">
        <is>
          <t>TOTAL DPS</t>
        </is>
      </c>
      <c r="B3192" s="6">
        <f>SUM(O3155:O3179)</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21"/>
  <sheetViews>
    <sheetView workbookViewId="0">
      <pane ySplit="4" topLeftCell="A5" activePane="bottomLeft" state="frozen"/>
      <selection pane="bottomLeft" activeCell="A1" sqref="A1"/>
    </sheetView>
  </sheetViews>
  <sheetFormatPr baseColWidth="8" defaultRowHeight="15"/>
  <cols>
    <col width="26" customWidth="1" min="1" max="1"/>
    <col width="22" customWidth="1" min="2" max="2"/>
    <col width="12" customWidth="1" min="3" max="3"/>
    <col hidden="1" width="13" customWidth="1" min="5" max="5"/>
    <col hidden="1" width="13" customWidth="1" min="6" max="6"/>
    <col hidden="1" width="13" customWidth="1" min="7" max="7"/>
    <col width="22" customWidth="1" min="9" max="9"/>
    <col width="12" customWidth="1" min="10" max="10"/>
    <col hidden="1" width="13" customWidth="1" min="12" max="12"/>
    <col hidden="1" width="13" customWidth="1" min="13" max="13"/>
    <col hidden="1" width="13" customWidth="1" min="14" max="14"/>
    <col hidden="1" width="13" customWidth="1" min="17" max="17"/>
  </cols>
  <sheetData>
    <row r="1">
      <c r="A1" s="4" t="inlineStr">
        <is>
          <t>Dark Knight — Equipment Compare</t>
        </is>
      </c>
      <c r="Q1" t="inlineStr">
        <is>
          <t>Main Stat (flat)</t>
        </is>
      </c>
    </row>
    <row r="2">
      <c r="A2" t="inlineStr">
        <is>
          <t>Compare a candidate replacement equip against what you currently have, one Attack line plus up to 5 more stat lines each. Uses the same $/unit marginal-DPS values as Potential Cubes/Artifact Potentials: two lines of the SAME stat correctly add (two 5% Max Damage lines = one 10% Max Damage bucket), but two DIFFERENT stats correctly compound multiplicatively rather than just summing (two independent 1% gains combine to 1.01x1.01-1=2.0201%, not a naive 2%) — exact, not an approximation, since both equips are concrete/fixed sets of lines rather than an open-ended reroll search.</t>
        </is>
      </c>
      <c r="Q2" t="inlineStr">
        <is>
          <t>Main Stat %</t>
        </is>
      </c>
    </row>
    <row r="3">
      <c r="Q3" t="inlineStr">
        <is>
          <t>Attack (flat)</t>
        </is>
      </c>
    </row>
    <row r="4">
      <c r="B4" s="11" t="inlineStr">
        <is>
          <t>Current Equip</t>
        </is>
      </c>
      <c r="C4" s="12" t="n"/>
      <c r="D4" s="12" t="n"/>
      <c r="E4" s="12" t="n"/>
      <c r="F4" s="12" t="n"/>
      <c r="G4" s="12" t="n"/>
      <c r="I4" s="11" t="inlineStr">
        <is>
          <t>New Equip</t>
        </is>
      </c>
      <c r="J4" s="12" t="n"/>
      <c r="K4" s="12" t="n"/>
      <c r="L4" s="12" t="n"/>
      <c r="M4" s="12" t="n"/>
      <c r="N4" s="12" t="n"/>
      <c r="Q4" t="inlineStr">
        <is>
          <t>Min Damage %</t>
        </is>
      </c>
    </row>
    <row r="5">
      <c r="A5" s="6" t="inlineStr">
        <is>
          <t>Attack (flat)</t>
        </is>
      </c>
      <c r="B5" s="8" t="inlineStr">
        <is>
          <t>Attack (flat)</t>
        </is>
      </c>
      <c r="C5" s="7" t="n">
        <v>0</v>
      </c>
      <c r="D5">
        <f>C5*Sensitivity!H28</f>
        <v/>
      </c>
      <c r="E5">
        <f>SUMIF($B$5:$B$10,B5,$D$5:$D$10)</f>
        <v/>
      </c>
      <c r="F5">
        <f>TRUE</f>
        <v/>
      </c>
      <c r="G5">
        <f>IF(NOT(F5),1,1+E5/Summary!$B$3)</f>
        <v/>
      </c>
      <c r="I5" s="8" t="inlineStr">
        <is>
          <t>Attack (flat)</t>
        </is>
      </c>
      <c r="J5" s="7" t="n">
        <v>0</v>
      </c>
      <c r="K5">
        <f>J5*Sensitivity!H28</f>
        <v/>
      </c>
      <c r="L5">
        <f>SUMIF($I$5:$I$10,I5,$K$5:$K$10)</f>
        <v/>
      </c>
      <c r="M5">
        <f>TRUE</f>
        <v/>
      </c>
      <c r="N5">
        <f>IF(NOT(M5),1,1+L5/Summary!$B$3)</f>
        <v/>
      </c>
      <c r="Q5" t="inlineStr">
        <is>
          <t>Max Damage %</t>
        </is>
      </c>
    </row>
    <row r="6">
      <c r="A6" s="6" t="inlineStr">
        <is>
          <t>Line 2</t>
        </is>
      </c>
      <c r="B6" s="7" t="inlineStr">
        <is>
          <t>(none)</t>
        </is>
      </c>
      <c r="C6" s="7" t="n">
        <v>0</v>
      </c>
      <c r="D6">
        <f>IF(B6="(none)",0,C6*(IF(B6="Main Stat (flat)",Sensitivity!H5,IF(B6="Main Stat %",Sensitivity!H6,IF(B6="Attack (flat)",Sensitivity!H28,IF(B6="Min Damage %",Sensitivity!H15,IF(B6="Max Damage %",Sensitivity!H16,IF(B6="Damage %",Sensitivity!H10,IF(B6="Critical Rate %",IF(AND(Inputs!$B$10+Summary!$B$14+Artifacts!$B$32&gt;=100,NOT(ArtifactsInput!$M$42),NOT(ArtifactsInput!$M$24)),Sensitivity!H18,Sensitivity!H17),IF(B6="Critical Damage %",Sensitivity!H18,IF(B6="Boss Monster Damage %",Sensitivity!H12,IF(B6="Normal Monster Damage %",Sensitivity!H13,IF(B6="Defense Penetration %",Sensitivity!H20,IF(B6="Defense (flat)",Sensitivity!H8,IF(B6="Skill Level Bonus — 1st Job",Sensitivity!H23,IF(B6="Skill Level Bonus — 2nd Job",Sensitivity!H24,IF(B6="Skill Level Bonus — 3rd Job",Sensitivity!H25,IF(B6="Skill Level Bonus — 4th Job",Sensitivity!H26,IF(B6="Skill Level Bonus — All Skills",Sensitivity!H27,IF(B6="Final Damage %",Sensitivity!H14,IF(B6="Basic Attack Damage %",Sensitivity!H21,IF(B6="Skill Damage %",Sensitivity!H22,IF(B6="Attack Speed %",Sensitivity!H19,0)))))))))))))))))))))))</f>
        <v/>
      </c>
      <c r="E6">
        <f>SUMIF($B$5:$B$10,B6,$D$5:$D$10)</f>
        <v/>
      </c>
      <c r="F6">
        <f>AND(B6&lt;&gt;"(none)",COUNTIF($B$5:B5,B6)=0)</f>
        <v/>
      </c>
      <c r="G6">
        <f>IF(NOT(F6),1,1+E6/Summary!$B$3)</f>
        <v/>
      </c>
      <c r="I6" s="7" t="inlineStr">
        <is>
          <t>(none)</t>
        </is>
      </c>
      <c r="J6" s="7" t="n">
        <v>0</v>
      </c>
      <c r="K6">
        <f>IF(I6="(none)",0,J6*(IF(I6="Main Stat (flat)",Sensitivity!H5,IF(I6="Main Stat %",Sensitivity!H6,IF(I6="Attack (flat)",Sensitivity!H28,IF(I6="Min Damage %",Sensitivity!H15,IF(I6="Max Damage %",Sensitivity!H16,IF(I6="Damage %",Sensitivity!H10,IF(I6="Critical Rate %",IF(AND(Inputs!$B$10+Summary!$B$14+Artifacts!$B$32&gt;=100,NOT(ArtifactsInput!$M$42),NOT(ArtifactsInput!$M$24)),Sensitivity!H18,Sensitivity!H17),IF(I6="Critical Damage %",Sensitivity!H18,IF(I6="Boss Monster Damage %",Sensitivity!H12,IF(I6="Normal Monster Damage %",Sensitivity!H13,IF(I6="Defense Penetration %",Sensitivity!H20,IF(I6="Defense (flat)",Sensitivity!H8,IF(I6="Skill Level Bonus — 1st Job",Sensitivity!H23,IF(I6="Skill Level Bonus — 2nd Job",Sensitivity!H24,IF(I6="Skill Level Bonus — 3rd Job",Sensitivity!H25,IF(I6="Skill Level Bonus — 4th Job",Sensitivity!H26,IF(I6="Skill Level Bonus — All Skills",Sensitivity!H27,IF(I6="Final Damage %",Sensitivity!H14,IF(I6="Basic Attack Damage %",Sensitivity!H21,IF(I6="Skill Damage %",Sensitivity!H22,IF(I6="Attack Speed %",Sensitivity!H19,0)))))))))))))))))))))))</f>
        <v/>
      </c>
      <c r="L6">
        <f>SUMIF($I$5:$I$10,I6,$K$5:$K$10)</f>
        <v/>
      </c>
      <c r="M6">
        <f>AND(I6&lt;&gt;"(none)",COUNTIF($I$5:I5,I6)=0)</f>
        <v/>
      </c>
      <c r="N6">
        <f>IF(NOT(M6),1,1+L6/Summary!$B$3)</f>
        <v/>
      </c>
      <c r="Q6" t="inlineStr">
        <is>
          <t>Damage %</t>
        </is>
      </c>
    </row>
    <row r="7">
      <c r="A7" s="6" t="inlineStr">
        <is>
          <t>Line 3</t>
        </is>
      </c>
      <c r="B7" s="7" t="inlineStr">
        <is>
          <t>(none)</t>
        </is>
      </c>
      <c r="C7" s="7" t="n">
        <v>0</v>
      </c>
      <c r="D7">
        <f>IF(B7="(none)",0,C7*(IF(B7="Main Stat (flat)",Sensitivity!H5,IF(B7="Main Stat %",Sensitivity!H6,IF(B7="Attack (flat)",Sensitivity!H28,IF(B7="Min Damage %",Sensitivity!H15,IF(B7="Max Damage %",Sensitivity!H16,IF(B7="Damage %",Sensitivity!H10,IF(B7="Critical Rate %",IF(AND(Inputs!$B$10+Summary!$B$14+Artifacts!$B$32&gt;=100,NOT(ArtifactsInput!$M$42),NOT(ArtifactsInput!$M$24)),Sensitivity!H18,Sensitivity!H17),IF(B7="Critical Damage %",Sensitivity!H18,IF(B7="Boss Monster Damage %",Sensitivity!H12,IF(B7="Normal Monster Damage %",Sensitivity!H13,IF(B7="Defense Penetration %",Sensitivity!H20,IF(B7="Defense (flat)",Sensitivity!H8,IF(B7="Skill Level Bonus — 1st Job",Sensitivity!H23,IF(B7="Skill Level Bonus — 2nd Job",Sensitivity!H24,IF(B7="Skill Level Bonus — 3rd Job",Sensitivity!H25,IF(B7="Skill Level Bonus — 4th Job",Sensitivity!H26,IF(B7="Skill Level Bonus — All Skills",Sensitivity!H27,IF(B7="Final Damage %",Sensitivity!H14,IF(B7="Basic Attack Damage %",Sensitivity!H21,IF(B7="Skill Damage %",Sensitivity!H22,IF(B7="Attack Speed %",Sensitivity!H19,0)))))))))))))))))))))))</f>
        <v/>
      </c>
      <c r="E7">
        <f>SUMIF($B$5:$B$10,B7,$D$5:$D$10)</f>
        <v/>
      </c>
      <c r="F7">
        <f>AND(B7&lt;&gt;"(none)",COUNTIF($B$5:B6,B7)=0)</f>
        <v/>
      </c>
      <c r="G7">
        <f>IF(NOT(F7),1,1+E7/Summary!$B$3)</f>
        <v/>
      </c>
      <c r="I7" s="7" t="inlineStr">
        <is>
          <t>(none)</t>
        </is>
      </c>
      <c r="J7" s="7" t="n">
        <v>0</v>
      </c>
      <c r="K7">
        <f>IF(I7="(none)",0,J7*(IF(I7="Main Stat (flat)",Sensitivity!H5,IF(I7="Main Stat %",Sensitivity!H6,IF(I7="Attack (flat)",Sensitivity!H28,IF(I7="Min Damage %",Sensitivity!H15,IF(I7="Max Damage %",Sensitivity!H16,IF(I7="Damage %",Sensitivity!H10,IF(I7="Critical Rate %",IF(AND(Inputs!$B$10+Summary!$B$14+Artifacts!$B$32&gt;=100,NOT(ArtifactsInput!$M$42),NOT(ArtifactsInput!$M$24)),Sensitivity!H18,Sensitivity!H17),IF(I7="Critical Damage %",Sensitivity!H18,IF(I7="Boss Monster Damage %",Sensitivity!H12,IF(I7="Normal Monster Damage %",Sensitivity!H13,IF(I7="Defense Penetration %",Sensitivity!H20,IF(I7="Defense (flat)",Sensitivity!H8,IF(I7="Skill Level Bonus — 1st Job",Sensitivity!H23,IF(I7="Skill Level Bonus — 2nd Job",Sensitivity!H24,IF(I7="Skill Level Bonus — 3rd Job",Sensitivity!H25,IF(I7="Skill Level Bonus — 4th Job",Sensitivity!H26,IF(I7="Skill Level Bonus — All Skills",Sensitivity!H27,IF(I7="Final Damage %",Sensitivity!H14,IF(I7="Basic Attack Damage %",Sensitivity!H21,IF(I7="Skill Damage %",Sensitivity!H22,IF(I7="Attack Speed %",Sensitivity!H19,0)))))))))))))))))))))))</f>
        <v/>
      </c>
      <c r="L7">
        <f>SUMIF($I$5:$I$10,I7,$K$5:$K$10)</f>
        <v/>
      </c>
      <c r="M7">
        <f>AND(I7&lt;&gt;"(none)",COUNTIF($I$5:I6,I7)=0)</f>
        <v/>
      </c>
      <c r="N7">
        <f>IF(NOT(M7),1,1+L7/Summary!$B$3)</f>
        <v/>
      </c>
      <c r="Q7" t="inlineStr">
        <is>
          <t>Critical Rate %</t>
        </is>
      </c>
    </row>
    <row r="8">
      <c r="A8" s="6" t="inlineStr">
        <is>
          <t>Line 4</t>
        </is>
      </c>
      <c r="B8" s="7" t="inlineStr">
        <is>
          <t>(none)</t>
        </is>
      </c>
      <c r="C8" s="7" t="n">
        <v>0</v>
      </c>
      <c r="D8">
        <f>IF(B8="(none)",0,C8*(IF(B8="Main Stat (flat)",Sensitivity!H5,IF(B8="Main Stat %",Sensitivity!H6,IF(B8="Attack (flat)",Sensitivity!H28,IF(B8="Min Damage %",Sensitivity!H15,IF(B8="Max Damage %",Sensitivity!H16,IF(B8="Damage %",Sensitivity!H10,IF(B8="Critical Rate %",IF(AND(Inputs!$B$10+Summary!$B$14+Artifacts!$B$32&gt;=100,NOT(ArtifactsInput!$M$42),NOT(ArtifactsInput!$M$24)),Sensitivity!H18,Sensitivity!H17),IF(B8="Critical Damage %",Sensitivity!H18,IF(B8="Boss Monster Damage %",Sensitivity!H12,IF(B8="Normal Monster Damage %",Sensitivity!H13,IF(B8="Defense Penetration %",Sensitivity!H20,IF(B8="Defense (flat)",Sensitivity!H8,IF(B8="Skill Level Bonus — 1st Job",Sensitivity!H23,IF(B8="Skill Level Bonus — 2nd Job",Sensitivity!H24,IF(B8="Skill Level Bonus — 3rd Job",Sensitivity!H25,IF(B8="Skill Level Bonus — 4th Job",Sensitivity!H26,IF(B8="Skill Level Bonus — All Skills",Sensitivity!H27,IF(B8="Final Damage %",Sensitivity!H14,IF(B8="Basic Attack Damage %",Sensitivity!H21,IF(B8="Skill Damage %",Sensitivity!H22,IF(B8="Attack Speed %",Sensitivity!H19,0)))))))))))))))))))))))</f>
        <v/>
      </c>
      <c r="E8">
        <f>SUMIF($B$5:$B$10,B8,$D$5:$D$10)</f>
        <v/>
      </c>
      <c r="F8">
        <f>AND(B8&lt;&gt;"(none)",COUNTIF($B$5:B7,B8)=0)</f>
        <v/>
      </c>
      <c r="G8">
        <f>IF(NOT(F8),1,1+E8/Summary!$B$3)</f>
        <v/>
      </c>
      <c r="I8" s="7" t="inlineStr">
        <is>
          <t>(none)</t>
        </is>
      </c>
      <c r="J8" s="7" t="n">
        <v>0</v>
      </c>
      <c r="K8">
        <f>IF(I8="(none)",0,J8*(IF(I8="Main Stat (flat)",Sensitivity!H5,IF(I8="Main Stat %",Sensitivity!H6,IF(I8="Attack (flat)",Sensitivity!H28,IF(I8="Min Damage %",Sensitivity!H15,IF(I8="Max Damage %",Sensitivity!H16,IF(I8="Damage %",Sensitivity!H10,IF(I8="Critical Rate %",IF(AND(Inputs!$B$10+Summary!$B$14+Artifacts!$B$32&gt;=100,NOT(ArtifactsInput!$M$42),NOT(ArtifactsInput!$M$24)),Sensitivity!H18,Sensitivity!H17),IF(I8="Critical Damage %",Sensitivity!H18,IF(I8="Boss Monster Damage %",Sensitivity!H12,IF(I8="Normal Monster Damage %",Sensitivity!H13,IF(I8="Defense Penetration %",Sensitivity!H20,IF(I8="Defense (flat)",Sensitivity!H8,IF(I8="Skill Level Bonus — 1st Job",Sensitivity!H23,IF(I8="Skill Level Bonus — 2nd Job",Sensitivity!H24,IF(I8="Skill Level Bonus — 3rd Job",Sensitivity!H25,IF(I8="Skill Level Bonus — 4th Job",Sensitivity!H26,IF(I8="Skill Level Bonus — All Skills",Sensitivity!H27,IF(I8="Final Damage %",Sensitivity!H14,IF(I8="Basic Attack Damage %",Sensitivity!H21,IF(I8="Skill Damage %",Sensitivity!H22,IF(I8="Attack Speed %",Sensitivity!H19,0)))))))))))))))))))))))</f>
        <v/>
      </c>
      <c r="L8">
        <f>SUMIF($I$5:$I$10,I8,$K$5:$K$10)</f>
        <v/>
      </c>
      <c r="M8">
        <f>AND(I8&lt;&gt;"(none)",COUNTIF($I$5:I7,I8)=0)</f>
        <v/>
      </c>
      <c r="N8">
        <f>IF(NOT(M8),1,1+L8/Summary!$B$3)</f>
        <v/>
      </c>
      <c r="Q8" t="inlineStr">
        <is>
          <t>Critical Damage %</t>
        </is>
      </c>
    </row>
    <row r="9">
      <c r="A9" s="6" t="inlineStr">
        <is>
          <t>Line 5</t>
        </is>
      </c>
      <c r="B9" s="7" t="inlineStr">
        <is>
          <t>(none)</t>
        </is>
      </c>
      <c r="C9" s="7" t="n">
        <v>0</v>
      </c>
      <c r="D9">
        <f>IF(B9="(none)",0,C9*(IF(B9="Main Stat (flat)",Sensitivity!H5,IF(B9="Main Stat %",Sensitivity!H6,IF(B9="Attack (flat)",Sensitivity!H28,IF(B9="Min Damage %",Sensitivity!H15,IF(B9="Max Damage %",Sensitivity!H16,IF(B9="Damage %",Sensitivity!H10,IF(B9="Critical Rate %",IF(AND(Inputs!$B$10+Summary!$B$14+Artifacts!$B$32&gt;=100,NOT(ArtifactsInput!$M$42),NOT(ArtifactsInput!$M$24)),Sensitivity!H18,Sensitivity!H17),IF(B9="Critical Damage %",Sensitivity!H18,IF(B9="Boss Monster Damage %",Sensitivity!H12,IF(B9="Normal Monster Damage %",Sensitivity!H13,IF(B9="Defense Penetration %",Sensitivity!H20,IF(B9="Defense (flat)",Sensitivity!H8,IF(B9="Skill Level Bonus — 1st Job",Sensitivity!H23,IF(B9="Skill Level Bonus — 2nd Job",Sensitivity!H24,IF(B9="Skill Level Bonus — 3rd Job",Sensitivity!H25,IF(B9="Skill Level Bonus — 4th Job",Sensitivity!H26,IF(B9="Skill Level Bonus — All Skills",Sensitivity!H27,IF(B9="Final Damage %",Sensitivity!H14,IF(B9="Basic Attack Damage %",Sensitivity!H21,IF(B9="Skill Damage %",Sensitivity!H22,IF(B9="Attack Speed %",Sensitivity!H19,0)))))))))))))))))))))))</f>
        <v/>
      </c>
      <c r="E9">
        <f>SUMIF($B$5:$B$10,B9,$D$5:$D$10)</f>
        <v/>
      </c>
      <c r="F9">
        <f>AND(B9&lt;&gt;"(none)",COUNTIF($B$5:B8,B9)=0)</f>
        <v/>
      </c>
      <c r="G9">
        <f>IF(NOT(F9),1,1+E9/Summary!$B$3)</f>
        <v/>
      </c>
      <c r="I9" s="7" t="inlineStr">
        <is>
          <t>(none)</t>
        </is>
      </c>
      <c r="J9" s="7" t="n">
        <v>0</v>
      </c>
      <c r="K9">
        <f>IF(I9="(none)",0,J9*(IF(I9="Main Stat (flat)",Sensitivity!H5,IF(I9="Main Stat %",Sensitivity!H6,IF(I9="Attack (flat)",Sensitivity!H28,IF(I9="Min Damage %",Sensitivity!H15,IF(I9="Max Damage %",Sensitivity!H16,IF(I9="Damage %",Sensitivity!H10,IF(I9="Critical Rate %",IF(AND(Inputs!$B$10+Summary!$B$14+Artifacts!$B$32&gt;=100,NOT(ArtifactsInput!$M$42),NOT(ArtifactsInput!$M$24)),Sensitivity!H18,Sensitivity!H17),IF(I9="Critical Damage %",Sensitivity!H18,IF(I9="Boss Monster Damage %",Sensitivity!H12,IF(I9="Normal Monster Damage %",Sensitivity!H13,IF(I9="Defense Penetration %",Sensitivity!H20,IF(I9="Defense (flat)",Sensitivity!H8,IF(I9="Skill Level Bonus — 1st Job",Sensitivity!H23,IF(I9="Skill Level Bonus — 2nd Job",Sensitivity!H24,IF(I9="Skill Level Bonus — 3rd Job",Sensitivity!H25,IF(I9="Skill Level Bonus — 4th Job",Sensitivity!H26,IF(I9="Skill Level Bonus — All Skills",Sensitivity!H27,IF(I9="Final Damage %",Sensitivity!H14,IF(I9="Basic Attack Damage %",Sensitivity!H21,IF(I9="Skill Damage %",Sensitivity!H22,IF(I9="Attack Speed %",Sensitivity!H19,0)))))))))))))))))))))))</f>
        <v/>
      </c>
      <c r="L9">
        <f>SUMIF($I$5:$I$10,I9,$K$5:$K$10)</f>
        <v/>
      </c>
      <c r="M9">
        <f>AND(I9&lt;&gt;"(none)",COUNTIF($I$5:I8,I9)=0)</f>
        <v/>
      </c>
      <c r="N9">
        <f>IF(NOT(M9),1,1+L9/Summary!$B$3)</f>
        <v/>
      </c>
      <c r="Q9" t="inlineStr">
        <is>
          <t>Boss Monster Damage %</t>
        </is>
      </c>
    </row>
    <row r="10">
      <c r="A10" s="6" t="inlineStr">
        <is>
          <t>Line 6</t>
        </is>
      </c>
      <c r="B10" s="7" t="inlineStr">
        <is>
          <t>(none)</t>
        </is>
      </c>
      <c r="C10" s="7" t="n">
        <v>0</v>
      </c>
      <c r="D10">
        <f>IF(B10="(none)",0,C10*(IF(B10="Main Stat (flat)",Sensitivity!H5,IF(B10="Main Stat %",Sensitivity!H6,IF(B10="Attack (flat)",Sensitivity!H28,IF(B10="Min Damage %",Sensitivity!H15,IF(B10="Max Damage %",Sensitivity!H16,IF(B10="Damage %",Sensitivity!H10,IF(B10="Critical Rate %",IF(AND(Inputs!$B$10+Summary!$B$14+Artifacts!$B$32&gt;=100,NOT(ArtifactsInput!$M$42),NOT(ArtifactsInput!$M$24)),Sensitivity!H18,Sensitivity!H17),IF(B10="Critical Damage %",Sensitivity!H18,IF(B10="Boss Monster Damage %",Sensitivity!H12,IF(B10="Normal Monster Damage %",Sensitivity!H13,IF(B10="Defense Penetration %",Sensitivity!H20,IF(B10="Defense (flat)",Sensitivity!H8,IF(B10="Skill Level Bonus — 1st Job",Sensitivity!H23,IF(B10="Skill Level Bonus — 2nd Job",Sensitivity!H24,IF(B10="Skill Level Bonus — 3rd Job",Sensitivity!H25,IF(B10="Skill Level Bonus — 4th Job",Sensitivity!H26,IF(B10="Skill Level Bonus — All Skills",Sensitivity!H27,IF(B10="Final Damage %",Sensitivity!H14,IF(B10="Basic Attack Damage %",Sensitivity!H21,IF(B10="Skill Damage %",Sensitivity!H22,IF(B10="Attack Speed %",Sensitivity!H19,0)))))))))))))))))))))))</f>
        <v/>
      </c>
      <c r="E10">
        <f>SUMIF($B$5:$B$10,B10,$D$5:$D$10)</f>
        <v/>
      </c>
      <c r="F10">
        <f>AND(B10&lt;&gt;"(none)",COUNTIF($B$5:B9,B10)=0)</f>
        <v/>
      </c>
      <c r="G10">
        <f>IF(NOT(F10),1,1+E10/Summary!$B$3)</f>
        <v/>
      </c>
      <c r="I10" s="7" t="inlineStr">
        <is>
          <t>(none)</t>
        </is>
      </c>
      <c r="J10" s="7" t="n">
        <v>0</v>
      </c>
      <c r="K10">
        <f>IF(I10="(none)",0,J10*(IF(I10="Main Stat (flat)",Sensitivity!H5,IF(I10="Main Stat %",Sensitivity!H6,IF(I10="Attack (flat)",Sensitivity!H28,IF(I10="Min Damage %",Sensitivity!H15,IF(I10="Max Damage %",Sensitivity!H16,IF(I10="Damage %",Sensitivity!H10,IF(I10="Critical Rate %",IF(AND(Inputs!$B$10+Summary!$B$14+Artifacts!$B$32&gt;=100,NOT(ArtifactsInput!$M$42),NOT(ArtifactsInput!$M$24)),Sensitivity!H18,Sensitivity!H17),IF(I10="Critical Damage %",Sensitivity!H18,IF(I10="Boss Monster Damage %",Sensitivity!H12,IF(I10="Normal Monster Damage %",Sensitivity!H13,IF(I10="Defense Penetration %",Sensitivity!H20,IF(I10="Defense (flat)",Sensitivity!H8,IF(I10="Skill Level Bonus — 1st Job",Sensitivity!H23,IF(I10="Skill Level Bonus — 2nd Job",Sensitivity!H24,IF(I10="Skill Level Bonus — 3rd Job",Sensitivity!H25,IF(I10="Skill Level Bonus — 4th Job",Sensitivity!H26,IF(I10="Skill Level Bonus — All Skills",Sensitivity!H27,IF(I10="Final Damage %",Sensitivity!H14,IF(I10="Basic Attack Damage %",Sensitivity!H21,IF(I10="Skill Damage %",Sensitivity!H22,IF(I10="Attack Speed %",Sensitivity!H19,0)))))))))))))))))))))))</f>
        <v/>
      </c>
      <c r="L10">
        <f>SUMIF($I$5:$I$10,I10,$K$5:$K$10)</f>
        <v/>
      </c>
      <c r="M10">
        <f>AND(I10&lt;&gt;"(none)",COUNTIF($I$5:I9,I10)=0)</f>
        <v/>
      </c>
      <c r="N10">
        <f>IF(NOT(M10),1,1+L10/Summary!$B$3)</f>
        <v/>
      </c>
      <c r="Q10" t="inlineStr">
        <is>
          <t>Normal Monster Damage %</t>
        </is>
      </c>
    </row>
    <row r="11">
      <c r="Q11" t="inlineStr">
        <is>
          <t>Defense Penetration %</t>
        </is>
      </c>
    </row>
    <row r="12">
      <c r="A12" s="6" t="inlineStr">
        <is>
          <t>Total DPS Gain</t>
        </is>
      </c>
      <c r="D12">
        <f>Summary!$B$3*(PRODUCT($G$5:$G$10)-1)</f>
        <v/>
      </c>
      <c r="K12">
        <f>Summary!$B$3*(PRODUCT($N$5:$N$10)-1)</f>
        <v/>
      </c>
      <c r="Q12" t="inlineStr">
        <is>
          <t>Defense (flat)</t>
        </is>
      </c>
    </row>
    <row r="13">
      <c r="A13" s="6" t="inlineStr">
        <is>
          <t>% of Total DPS</t>
        </is>
      </c>
      <c r="D13" s="13">
        <f>D12/Summary!$B$3*100</f>
        <v/>
      </c>
      <c r="K13" s="13">
        <f>K12/Summary!$B$3*100</f>
        <v/>
      </c>
      <c r="Q13" t="inlineStr">
        <is>
          <t>Skill Level Bonus — 1st Job</t>
        </is>
      </c>
    </row>
    <row r="14">
      <c r="Q14" t="inlineStr">
        <is>
          <t>Skill Level Bonus — 2nd Job</t>
        </is>
      </c>
    </row>
    <row r="15">
      <c r="A15" s="9" t="inlineStr">
        <is>
          <t>New vs Current — DPS % Delta</t>
        </is>
      </c>
      <c r="D15" s="14">
        <f>K13-D13</f>
        <v/>
      </c>
      <c r="Q15" t="inlineStr">
        <is>
          <t>Skill Level Bonus — 3rd Job</t>
        </is>
      </c>
    </row>
    <row r="16">
      <c r="Q16" t="inlineStr">
        <is>
          <t>Skill Level Bonus — 4th Job</t>
        </is>
      </c>
    </row>
    <row r="17">
      <c r="Q17" t="inlineStr">
        <is>
          <t>Skill Level Bonus — All Skills</t>
        </is>
      </c>
    </row>
    <row r="18">
      <c r="Q18" t="inlineStr">
        <is>
          <t>Final Damage %</t>
        </is>
      </c>
    </row>
    <row r="19">
      <c r="Q19" t="inlineStr">
        <is>
          <t>Basic Attack Damage %</t>
        </is>
      </c>
    </row>
    <row r="20">
      <c r="Q20" t="inlineStr">
        <is>
          <t>Skill Damage %</t>
        </is>
      </c>
    </row>
    <row r="21">
      <c r="Q21" t="inlineStr">
        <is>
          <t>Attack Speed %</t>
        </is>
      </c>
    </row>
  </sheetData>
  <dataValidations count="1">
    <dataValidation sqref="B6 B7 B8 B9 B10 I6 I7 I8 I9 I10" showDropDown="0" showInputMessage="0" showErrorMessage="0" allowBlank="0" type="list">
      <formula1>=$Q$1:$Q$21</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70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6" customWidth="1" min="3" max="3"/>
    <col width="26" customWidth="1" min="4" max="4"/>
    <col width="9" customWidth="1" min="5" max="5"/>
    <col width="9" customWidth="1" min="6" max="6"/>
    <col width="8" customWidth="1" min="7" max="7"/>
    <col width="13" customWidth="1" min="8" max="8"/>
    <col width="2" customWidth="1" min="9" max="9"/>
    <col width="26" customWidth="1" min="10" max="10"/>
    <col width="13" customWidth="1" min="11" max="11"/>
    <col width="2" customWidth="1" min="12" max="12"/>
    <col width="12" customWidth="1" min="13" max="13"/>
    <col width="10" customWidth="1" min="14" max="14"/>
    <col width="9" customWidth="1" min="15" max="15"/>
    <col width="15" customWidth="1" min="16" max="16"/>
    <col width="14" customWidth="1" min="17" max="17"/>
  </cols>
  <sheetData>
    <row r="1">
      <c r="A1" s="5" t="inlineStr">
        <is>
          <t>Slot</t>
        </is>
      </c>
      <c r="B1" s="5" t="inlineStr">
        <is>
          <t>Rarity</t>
        </is>
      </c>
      <c r="C1" s="5" t="inlineStr">
        <is>
          <t>Line</t>
        </is>
      </c>
      <c r="D1" s="5" t="inlineStr">
        <is>
          <t>Stat</t>
        </is>
      </c>
      <c r="E1" s="5" t="inlineStr">
        <is>
          <t>Value</t>
        </is>
      </c>
      <c r="F1" s="5" t="inlineStr">
        <is>
          <t>Weight</t>
        </is>
      </c>
      <c r="G1" s="5" t="inlineStr">
        <is>
          <t>Prime</t>
        </is>
      </c>
      <c r="H1" s="5" t="inlineStr">
        <is>
          <t>DPSPerUnit</t>
        </is>
      </c>
      <c r="J1" s="11" t="inlineStr">
        <is>
          <t>Stat</t>
        </is>
      </c>
      <c r="K1" s="11" t="inlineStr">
        <is>
          <t>DPSPerUnit</t>
        </is>
      </c>
      <c r="M1" s="11" t="inlineStr">
        <is>
          <t>Rarity</t>
        </is>
      </c>
      <c r="N1" s="11" t="inlineStr">
        <is>
          <t>Rate</t>
        </is>
      </c>
      <c r="O1" s="11" t="inlineStr">
        <is>
          <t>MaxPity</t>
        </is>
      </c>
      <c r="P1" s="11" t="inlineStr">
        <is>
          <t>PotentialType</t>
        </is>
      </c>
      <c r="Q1" s="11" t="inlineStr">
        <is>
          <t>SlotList</t>
        </is>
      </c>
    </row>
    <row r="2">
      <c r="A2" t="inlineStr">
        <is>
          <t>ALL</t>
        </is>
      </c>
      <c r="B2" t="inlineStr">
        <is>
          <t>normal</t>
        </is>
      </c>
      <c r="C2" t="n">
        <v>1</v>
      </c>
      <c r="D2" t="inlineStr">
        <is>
          <t>Critical Rate %</t>
        </is>
      </c>
      <c r="E2" t="n">
        <v>3</v>
      </c>
      <c r="F2" t="n">
        <v>2.5</v>
      </c>
      <c r="G2" t="b">
        <v>0</v>
      </c>
      <c r="H2">
        <f>IF(AND(Inputs!$B$10+Summary!$B$14+Artifacts!$B$32&gt;=100,NOT(ArtifactsInput!$M$42),NOT(ArtifactsInput!$M$24)),Sensitivity!H18,Sensitivity!H17)</f>
        <v/>
      </c>
      <c r="J2" t="inlineStr">
        <is>
          <t>(none)</t>
        </is>
      </c>
      <c r="K2" t="n">
        <v>0</v>
      </c>
      <c r="M2" t="inlineStr">
        <is>
          <t>normal</t>
        </is>
      </c>
      <c r="N2" t="n">
        <v>0.06</v>
      </c>
      <c r="O2" t="n">
        <v>30</v>
      </c>
      <c r="P2" t="inlineStr">
        <is>
          <t>Potential</t>
        </is>
      </c>
      <c r="Q2" t="inlineStr">
        <is>
          <t>head</t>
        </is>
      </c>
    </row>
    <row r="3">
      <c r="A3" t="inlineStr">
        <is>
          <t>ALL</t>
        </is>
      </c>
      <c r="B3" t="inlineStr">
        <is>
          <t>normal</t>
        </is>
      </c>
      <c r="C3" t="n">
        <v>1</v>
      </c>
      <c r="D3" t="inlineStr">
        <is>
          <t>Attack Speed %</t>
        </is>
      </c>
      <c r="E3" t="n">
        <v>3</v>
      </c>
      <c r="F3" t="n">
        <v>2.5</v>
      </c>
      <c r="G3" t="b">
        <v>0</v>
      </c>
      <c r="H3">
        <f>Sensitivity!H19</f>
        <v/>
      </c>
      <c r="J3" t="inlineStr">
        <is>
          <t>All Skill Level</t>
        </is>
      </c>
      <c r="K3">
        <f>Sensitivity!H27</f>
        <v/>
      </c>
      <c r="M3" t="inlineStr">
        <is>
          <t>rare</t>
        </is>
      </c>
      <c r="N3" t="n">
        <v>0.03333</v>
      </c>
      <c r="O3" t="n">
        <v>60</v>
      </c>
      <c r="P3" t="inlineStr">
        <is>
          <t>Potential</t>
        </is>
      </c>
      <c r="Q3" t="inlineStr">
        <is>
          <t>cape</t>
        </is>
      </c>
    </row>
    <row r="4">
      <c r="A4" t="inlineStr">
        <is>
          <t>ALL</t>
        </is>
      </c>
      <c r="B4" t="inlineStr">
        <is>
          <t>normal</t>
        </is>
      </c>
      <c r="C4" t="n">
        <v>1</v>
      </c>
      <c r="D4" t="inlineStr">
        <is>
          <t>Damage %</t>
        </is>
      </c>
      <c r="E4" t="n">
        <v>5</v>
      </c>
      <c r="F4" t="n">
        <v>4</v>
      </c>
      <c r="G4" t="b">
        <v>0</v>
      </c>
      <c r="H4">
        <f>Sensitivity!H10</f>
        <v/>
      </c>
      <c r="J4" t="inlineStr">
        <is>
          <t>Attack Speed %</t>
        </is>
      </c>
      <c r="K4">
        <f>Sensitivity!H19</f>
        <v/>
      </c>
      <c r="M4" t="inlineStr">
        <is>
          <t>epic</t>
        </is>
      </c>
      <c r="N4" t="n">
        <v>0.0167</v>
      </c>
      <c r="O4" t="n">
        <v>120</v>
      </c>
      <c r="P4" t="inlineStr">
        <is>
          <t>Potential</t>
        </is>
      </c>
      <c r="Q4" t="inlineStr">
        <is>
          <t>chest</t>
        </is>
      </c>
    </row>
    <row r="5">
      <c r="A5" t="inlineStr">
        <is>
          <t>ALL</t>
        </is>
      </c>
      <c r="B5" t="inlineStr">
        <is>
          <t>normal</t>
        </is>
      </c>
      <c r="C5" t="n">
        <v>1</v>
      </c>
      <c r="D5" t="inlineStr">
        <is>
          <t>Min Damage Multiplier %</t>
        </is>
      </c>
      <c r="E5" t="n">
        <v>3</v>
      </c>
      <c r="F5" t="n">
        <v>4</v>
      </c>
      <c r="G5" t="b">
        <v>0</v>
      </c>
      <c r="H5">
        <f>Sensitivity!H15</f>
        <v/>
      </c>
      <c r="J5" t="inlineStr">
        <is>
          <t>Basic Attack Damage %</t>
        </is>
      </c>
      <c r="K5">
        <f>Sensitivity!H21</f>
        <v/>
      </c>
      <c r="M5" t="inlineStr">
        <is>
          <t>unique</t>
        </is>
      </c>
      <c r="N5" t="n">
        <v>0.006</v>
      </c>
      <c r="O5" t="n">
        <v>333</v>
      </c>
      <c r="P5" t="inlineStr">
        <is>
          <t>Potential</t>
        </is>
      </c>
      <c r="Q5" t="inlineStr">
        <is>
          <t>shoulders</t>
        </is>
      </c>
    </row>
    <row r="6">
      <c r="A6" t="inlineStr">
        <is>
          <t>ALL</t>
        </is>
      </c>
      <c r="B6" t="inlineStr">
        <is>
          <t>normal</t>
        </is>
      </c>
      <c r="C6" t="n">
        <v>1</v>
      </c>
      <c r="D6" t="inlineStr">
        <is>
          <t>Max Damage Multiplier %</t>
        </is>
      </c>
      <c r="E6" t="n">
        <v>3</v>
      </c>
      <c r="F6" t="n">
        <v>4</v>
      </c>
      <c r="G6" t="b">
        <v>0</v>
      </c>
      <c r="H6">
        <f>Sensitivity!H16</f>
        <v/>
      </c>
      <c r="J6" t="inlineStr">
        <is>
          <t>Basic Attack Target Increase</t>
        </is>
      </c>
      <c r="K6">
        <f>Sensitivity!H31</f>
        <v/>
      </c>
      <c r="M6" t="inlineStr">
        <is>
          <t>legendary</t>
        </is>
      </c>
      <c r="N6" t="n">
        <v>0.0021</v>
      </c>
      <c r="O6" t="n">
        <v>714</v>
      </c>
      <c r="P6" t="inlineStr">
        <is>
          <t>Potential</t>
        </is>
      </c>
      <c r="Q6" t="inlineStr">
        <is>
          <t>legs</t>
        </is>
      </c>
    </row>
    <row r="7">
      <c r="A7" t="inlineStr">
        <is>
          <t>ALL</t>
        </is>
      </c>
      <c r="B7" t="inlineStr">
        <is>
          <t>normal</t>
        </is>
      </c>
      <c r="C7" t="n">
        <v>1</v>
      </c>
      <c r="D7" t="inlineStr">
        <is>
          <t>Str %</t>
        </is>
      </c>
      <c r="E7" t="n">
        <v>3</v>
      </c>
      <c r="F7" t="n">
        <v>4.5</v>
      </c>
      <c r="G7" t="b">
        <v>0</v>
      </c>
      <c r="H7">
        <f>Sensitivity!H6</f>
        <v/>
      </c>
      <c r="J7" t="inlineStr">
        <is>
          <t>Buff Duration Increase %</t>
        </is>
      </c>
      <c r="K7">
        <f>Sensitivity!H32</f>
        <v/>
      </c>
      <c r="M7" t="inlineStr">
        <is>
          <t>mystic</t>
        </is>
      </c>
      <c r="N7" t="n">
        <v>0</v>
      </c>
      <c r="O7" t="n">
        <v>0</v>
      </c>
      <c r="P7" t="inlineStr">
        <is>
          <t>Potential</t>
        </is>
      </c>
      <c r="Q7" t="inlineStr">
        <is>
          <t>belt</t>
        </is>
      </c>
    </row>
    <row r="8">
      <c r="A8" t="inlineStr">
        <is>
          <t>ALL</t>
        </is>
      </c>
      <c r="B8" t="inlineStr">
        <is>
          <t>normal</t>
        </is>
      </c>
      <c r="C8" t="n">
        <v>1</v>
      </c>
      <c r="D8" t="inlineStr">
        <is>
          <t>Dex %</t>
        </is>
      </c>
      <c r="E8" t="n">
        <v>3</v>
      </c>
      <c r="F8" t="n">
        <v>4.5</v>
      </c>
      <c r="G8" t="b">
        <v>0</v>
      </c>
      <c r="H8">
        <f>Sensitivity!H7*Inputs!$B$15/100</f>
        <v/>
      </c>
      <c r="J8" t="inlineStr">
        <is>
          <t>Companion Summoning Time Increase %</t>
        </is>
      </c>
      <c r="K8">
        <f>Sensitivity!H18</f>
        <v/>
      </c>
      <c r="M8" t="inlineStr">
        <is>
          <t>normal</t>
        </is>
      </c>
      <c r="N8" t="n">
        <v>0.06</v>
      </c>
      <c r="O8" t="n">
        <v>42</v>
      </c>
      <c r="P8" t="inlineStr">
        <is>
          <t>Bonus Potential</t>
        </is>
      </c>
      <c r="Q8" t="inlineStr">
        <is>
          <t>gloves</t>
        </is>
      </c>
    </row>
    <row r="9">
      <c r="A9" t="inlineStr">
        <is>
          <t>ALL</t>
        </is>
      </c>
      <c r="B9" t="inlineStr">
        <is>
          <t>normal</t>
        </is>
      </c>
      <c r="C9" t="n">
        <v>1</v>
      </c>
      <c r="D9" t="inlineStr">
        <is>
          <t>Int %</t>
        </is>
      </c>
      <c r="E9" t="n">
        <v>3</v>
      </c>
      <c r="F9" t="n">
        <v>4.5</v>
      </c>
      <c r="G9" t="b">
        <v>0</v>
      </c>
      <c r="H9" t="inlineStr">
        <is>
          <t>0</t>
        </is>
      </c>
      <c r="J9" t="inlineStr">
        <is>
          <t>Critical Damage %</t>
        </is>
      </c>
      <c r="K9">
        <f>Sensitivity!H18</f>
        <v/>
      </c>
      <c r="M9" t="inlineStr">
        <is>
          <t>rare</t>
        </is>
      </c>
      <c r="N9" t="n">
        <v>0.03333</v>
      </c>
      <c r="O9" t="n">
        <v>75</v>
      </c>
      <c r="P9" t="inlineStr">
        <is>
          <t>Bonus Potential</t>
        </is>
      </c>
      <c r="Q9" t="inlineStr">
        <is>
          <t>boots</t>
        </is>
      </c>
    </row>
    <row r="10">
      <c r="A10" t="inlineStr">
        <is>
          <t>ALL</t>
        </is>
      </c>
      <c r="B10" t="inlineStr">
        <is>
          <t>normal</t>
        </is>
      </c>
      <c r="C10" t="n">
        <v>1</v>
      </c>
      <c r="D10" t="inlineStr">
        <is>
          <t>Luk %</t>
        </is>
      </c>
      <c r="E10" t="n">
        <v>3</v>
      </c>
      <c r="F10" t="n">
        <v>4.5</v>
      </c>
      <c r="G10" t="b">
        <v>0</v>
      </c>
      <c r="H10" t="inlineStr">
        <is>
          <t>0</t>
        </is>
      </c>
      <c r="J10" t="inlineStr">
        <is>
          <t>Critical Rate %</t>
        </is>
      </c>
      <c r="K10">
        <f>IF(AND(Inputs!$B$10+Summary!$B$14+Artifacts!$B$32&gt;=100,NOT(ArtifactsInput!$M$42),NOT(ArtifactsInput!$M$24)),Sensitivity!H18,Sensitivity!H17)</f>
        <v/>
      </c>
      <c r="M10" t="inlineStr">
        <is>
          <t>epic</t>
        </is>
      </c>
      <c r="N10" t="n">
        <v>0.0167</v>
      </c>
      <c r="O10" t="n">
        <v>150</v>
      </c>
      <c r="P10" t="inlineStr">
        <is>
          <t>Bonus Potential</t>
        </is>
      </c>
      <c r="Q10" t="inlineStr">
        <is>
          <t>ring</t>
        </is>
      </c>
    </row>
    <row r="11">
      <c r="A11" t="inlineStr">
        <is>
          <t>ALL</t>
        </is>
      </c>
      <c r="B11" t="inlineStr">
        <is>
          <t>normal</t>
        </is>
      </c>
      <c r="C11" t="n">
        <v>1</v>
      </c>
      <c r="D11" t="inlineStr">
        <is>
          <t>Defense %</t>
        </is>
      </c>
      <c r="E11" t="n">
        <v>3</v>
      </c>
      <c r="F11" t="n">
        <v>9</v>
      </c>
      <c r="G11" t="b">
        <v>0</v>
      </c>
      <c r="H11">
        <f>Sensitivity!H9</f>
        <v/>
      </c>
      <c r="J11" t="inlineStr">
        <is>
          <t>Damage %</t>
        </is>
      </c>
      <c r="K11">
        <f>Sensitivity!H10</f>
        <v/>
      </c>
      <c r="M11" t="inlineStr">
        <is>
          <t>unique</t>
        </is>
      </c>
      <c r="N11" t="n">
        <v>0.006</v>
      </c>
      <c r="O11" t="n">
        <v>417</v>
      </c>
      <c r="P11" t="inlineStr">
        <is>
          <t>Bonus Potential</t>
        </is>
      </c>
      <c r="Q11" t="inlineStr">
        <is>
          <t>neck</t>
        </is>
      </c>
    </row>
    <row r="12">
      <c r="A12" t="inlineStr">
        <is>
          <t>ALL</t>
        </is>
      </c>
      <c r="B12" t="inlineStr">
        <is>
          <t>normal</t>
        </is>
      </c>
      <c r="C12" t="n">
        <v>1</v>
      </c>
      <c r="D12" t="inlineStr">
        <is>
          <t>Max HP %</t>
        </is>
      </c>
      <c r="E12" t="n">
        <v>6</v>
      </c>
      <c r="F12" t="n">
        <v>9</v>
      </c>
      <c r="G12" t="b">
        <v>0</v>
      </c>
      <c r="H12" t="inlineStr">
        <is>
          <t>0</t>
        </is>
      </c>
      <c r="J12" t="inlineStr">
        <is>
          <t>Defense %</t>
        </is>
      </c>
      <c r="K12">
        <f>Sensitivity!H9</f>
        <v/>
      </c>
      <c r="M12" t="inlineStr">
        <is>
          <t>legendary</t>
        </is>
      </c>
      <c r="N12" t="n">
        <v>0.0021</v>
      </c>
      <c r="O12" t="n">
        <v>714</v>
      </c>
      <c r="P12" t="inlineStr">
        <is>
          <t>Bonus Potential</t>
        </is>
      </c>
      <c r="Q12" t="inlineStr">
        <is>
          <t>eye-accessory</t>
        </is>
      </c>
    </row>
    <row r="13">
      <c r="A13" t="inlineStr">
        <is>
          <t>ALL</t>
        </is>
      </c>
      <c r="B13" t="inlineStr">
        <is>
          <t>normal</t>
        </is>
      </c>
      <c r="C13" t="n">
        <v>1</v>
      </c>
      <c r="D13" t="inlineStr">
        <is>
          <t>Max MP %</t>
        </is>
      </c>
      <c r="E13" t="n">
        <v>3</v>
      </c>
      <c r="F13" t="n">
        <v>9</v>
      </c>
      <c r="G13" t="b">
        <v>0</v>
      </c>
      <c r="H13" t="inlineStr">
        <is>
          <t>0</t>
        </is>
      </c>
      <c r="J13" t="inlineStr">
        <is>
          <t>Defense Penetration</t>
        </is>
      </c>
      <c r="K13">
        <f>Sensitivity!H20</f>
        <v/>
      </c>
      <c r="M13" t="inlineStr">
        <is>
          <t>mystic</t>
        </is>
      </c>
      <c r="N13" t="n">
        <v>0</v>
      </c>
      <c r="O13" t="n">
        <v>0</v>
      </c>
      <c r="P13" t="inlineStr">
        <is>
          <t>Bonus Potential</t>
        </is>
      </c>
      <c r="Q13" t="inlineStr">
        <is>
          <t>ring2</t>
        </is>
      </c>
    </row>
    <row r="14">
      <c r="A14" t="inlineStr">
        <is>
          <t>ALL</t>
        </is>
      </c>
      <c r="B14" t="inlineStr">
        <is>
          <t>normal</t>
        </is>
      </c>
      <c r="C14" t="n">
        <v>1</v>
      </c>
      <c r="D14" t="inlineStr">
        <is>
          <t>Str</t>
        </is>
      </c>
      <c r="E14" t="n">
        <v>50</v>
      </c>
      <c r="F14" t="n">
        <v>9.5</v>
      </c>
      <c r="G14" t="b">
        <v>0</v>
      </c>
      <c r="H14">
        <f>Sensitivity!H5</f>
        <v/>
      </c>
      <c r="J14" t="inlineStr">
        <is>
          <t>Dex</t>
        </is>
      </c>
      <c r="K14">
        <f>Sensitivity!H7</f>
        <v/>
      </c>
      <c r="Q14" t="inlineStr">
        <is>
          <t>face</t>
        </is>
      </c>
    </row>
    <row r="15">
      <c r="A15" t="inlineStr">
        <is>
          <t>ALL</t>
        </is>
      </c>
      <c r="B15" t="inlineStr">
        <is>
          <t>normal</t>
        </is>
      </c>
      <c r="C15" t="n">
        <v>1</v>
      </c>
      <c r="D15" t="inlineStr">
        <is>
          <t>Dex</t>
        </is>
      </c>
      <c r="E15" t="n">
        <v>50</v>
      </c>
      <c r="F15" t="n">
        <v>9.5</v>
      </c>
      <c r="G15" t="b">
        <v>0</v>
      </c>
      <c r="H15">
        <f>Sensitivity!H7</f>
        <v/>
      </c>
      <c r="J15" t="inlineStr">
        <is>
          <t>Dex %</t>
        </is>
      </c>
      <c r="K15">
        <f>Sensitivity!H7*Inputs!$B$15/100</f>
        <v/>
      </c>
      <c r="Q15" t="inlineStr">
        <is>
          <t>earrings</t>
        </is>
      </c>
    </row>
    <row r="16">
      <c r="A16" t="inlineStr">
        <is>
          <t>ALL</t>
        </is>
      </c>
      <c r="B16" t="inlineStr">
        <is>
          <t>normal</t>
        </is>
      </c>
      <c r="C16" t="n">
        <v>1</v>
      </c>
      <c r="D16" t="inlineStr">
        <is>
          <t>Int</t>
        </is>
      </c>
      <c r="E16" t="n">
        <v>50</v>
      </c>
      <c r="F16" t="n">
        <v>9.5</v>
      </c>
      <c r="G16" t="b">
        <v>0</v>
      </c>
      <c r="H16" t="inlineStr">
        <is>
          <t>0</t>
        </is>
      </c>
      <c r="J16" t="inlineStr">
        <is>
          <t>Final Damage %</t>
        </is>
      </c>
      <c r="K16">
        <f>Sensitivity!H14</f>
        <v/>
      </c>
      <c r="Q16" t="inlineStr">
        <is>
          <t>pocket</t>
        </is>
      </c>
    </row>
    <row r="17">
      <c r="A17" t="inlineStr">
        <is>
          <t>ALL</t>
        </is>
      </c>
      <c r="B17" t="inlineStr">
        <is>
          <t>normal</t>
        </is>
      </c>
      <c r="C17" t="n">
        <v>1</v>
      </c>
      <c r="D17" t="inlineStr">
        <is>
          <t>Luk</t>
        </is>
      </c>
      <c r="E17" t="n">
        <v>50</v>
      </c>
      <c r="F17" t="n">
        <v>9.5</v>
      </c>
      <c r="G17" t="b">
        <v>0</v>
      </c>
      <c r="H17" t="inlineStr">
        <is>
          <t>0</t>
        </is>
      </c>
      <c r="J17" t="inlineStr">
        <is>
          <t>Int</t>
        </is>
      </c>
      <c r="K17" t="inlineStr">
        <is>
          <t>0</t>
        </is>
      </c>
    </row>
    <row r="18">
      <c r="A18" t="inlineStr">
        <is>
          <t>ALL</t>
        </is>
      </c>
      <c r="B18" t="inlineStr">
        <is>
          <t>normal</t>
        </is>
      </c>
      <c r="C18" t="n">
        <v>2</v>
      </c>
      <c r="D18" t="inlineStr">
        <is>
          <t>Critical Rate %</t>
        </is>
      </c>
      <c r="E18" t="n">
        <v>3</v>
      </c>
      <c r="F18" t="n">
        <v>2.5</v>
      </c>
      <c r="G18" t="b">
        <v>0</v>
      </c>
      <c r="H18">
        <f>IF(AND(Inputs!$B$10+Summary!$B$14+Artifacts!$B$32&gt;=100,NOT(ArtifactsInput!$M$42),NOT(ArtifactsInput!$M$24)),Sensitivity!H18,Sensitivity!H17)</f>
        <v/>
      </c>
      <c r="J18" t="inlineStr">
        <is>
          <t>Int %</t>
        </is>
      </c>
      <c r="K18" t="inlineStr">
        <is>
          <t>0</t>
        </is>
      </c>
    </row>
    <row r="19">
      <c r="A19" t="inlineStr">
        <is>
          <t>ALL</t>
        </is>
      </c>
      <c r="B19" t="inlineStr">
        <is>
          <t>normal</t>
        </is>
      </c>
      <c r="C19" t="n">
        <v>2</v>
      </c>
      <c r="D19" t="inlineStr">
        <is>
          <t>Attack Speed %</t>
        </is>
      </c>
      <c r="E19" t="n">
        <v>3</v>
      </c>
      <c r="F19" t="n">
        <v>2.5</v>
      </c>
      <c r="G19" t="b">
        <v>0</v>
      </c>
      <c r="H19">
        <f>Sensitivity!H19</f>
        <v/>
      </c>
      <c r="J19" t="inlineStr">
        <is>
          <t>Luk</t>
        </is>
      </c>
      <c r="K19" t="inlineStr">
        <is>
          <t>0</t>
        </is>
      </c>
    </row>
    <row r="20">
      <c r="A20" t="inlineStr">
        <is>
          <t>ALL</t>
        </is>
      </c>
      <c r="B20" t="inlineStr">
        <is>
          <t>normal</t>
        </is>
      </c>
      <c r="C20" t="n">
        <v>2</v>
      </c>
      <c r="D20" t="inlineStr">
        <is>
          <t>Damage %</t>
        </is>
      </c>
      <c r="E20" t="n">
        <v>5</v>
      </c>
      <c r="F20" t="n">
        <v>4</v>
      </c>
      <c r="G20" t="b">
        <v>0</v>
      </c>
      <c r="H20">
        <f>Sensitivity!H10</f>
        <v/>
      </c>
      <c r="J20" t="inlineStr">
        <is>
          <t>Luk %</t>
        </is>
      </c>
      <c r="K20" t="inlineStr">
        <is>
          <t>0</t>
        </is>
      </c>
    </row>
    <row r="21">
      <c r="A21" t="inlineStr">
        <is>
          <t>ALL</t>
        </is>
      </c>
      <c r="B21" t="inlineStr">
        <is>
          <t>normal</t>
        </is>
      </c>
      <c r="C21" t="n">
        <v>2</v>
      </c>
      <c r="D21" t="inlineStr">
        <is>
          <t>Min Damage Multiplier %</t>
        </is>
      </c>
      <c r="E21" t="n">
        <v>3</v>
      </c>
      <c r="F21" t="n">
        <v>4</v>
      </c>
      <c r="G21" t="b">
        <v>0</v>
      </c>
      <c r="H21">
        <f>Sensitivity!H15</f>
        <v/>
      </c>
      <c r="J21" t="inlineStr">
        <is>
          <t>Main Stat % per 4 Levels</t>
        </is>
      </c>
      <c r="K21">
        <f>Sensitivity!H6*INT(Inputs!$B$3/4)</f>
        <v/>
      </c>
    </row>
    <row r="22">
      <c r="A22" t="inlineStr">
        <is>
          <t>ALL</t>
        </is>
      </c>
      <c r="B22" t="inlineStr">
        <is>
          <t>normal</t>
        </is>
      </c>
      <c r="C22" t="n">
        <v>2</v>
      </c>
      <c r="D22" t="inlineStr">
        <is>
          <t>Max Damage Multiplier %</t>
        </is>
      </c>
      <c r="E22" t="n">
        <v>3</v>
      </c>
      <c r="F22" t="n">
        <v>4</v>
      </c>
      <c r="G22" t="b">
        <v>0</v>
      </c>
      <c r="H22">
        <f>Sensitivity!H16</f>
        <v/>
      </c>
      <c r="J22" t="inlineStr">
        <is>
          <t>Main Stat Per Level</t>
        </is>
      </c>
      <c r="K22">
        <f>Sensitivity!H5*Inputs!$B$3</f>
        <v/>
      </c>
    </row>
    <row r="23">
      <c r="A23" t="inlineStr">
        <is>
          <t>ALL</t>
        </is>
      </c>
      <c r="B23" t="inlineStr">
        <is>
          <t>normal</t>
        </is>
      </c>
      <c r="C23" t="n">
        <v>2</v>
      </c>
      <c r="D23" t="inlineStr">
        <is>
          <t>Str %</t>
        </is>
      </c>
      <c r="E23" t="n">
        <v>3</v>
      </c>
      <c r="F23" t="n">
        <v>4.5</v>
      </c>
      <c r="G23" t="b">
        <v>0</v>
      </c>
      <c r="H23">
        <f>Sensitivity!H6</f>
        <v/>
      </c>
      <c r="J23" t="inlineStr">
        <is>
          <t>Max Damage Multiplier %</t>
        </is>
      </c>
      <c r="K23">
        <f>Sensitivity!H16</f>
        <v/>
      </c>
    </row>
    <row r="24">
      <c r="A24" t="inlineStr">
        <is>
          <t>ALL</t>
        </is>
      </c>
      <c r="B24" t="inlineStr">
        <is>
          <t>normal</t>
        </is>
      </c>
      <c r="C24" t="n">
        <v>2</v>
      </c>
      <c r="D24" t="inlineStr">
        <is>
          <t>Dex %</t>
        </is>
      </c>
      <c r="E24" t="n">
        <v>3</v>
      </c>
      <c r="F24" t="n">
        <v>4.5</v>
      </c>
      <c r="G24" t="b">
        <v>0</v>
      </c>
      <c r="H24">
        <f>Sensitivity!H7*Inputs!$B$15/100</f>
        <v/>
      </c>
      <c r="J24" t="inlineStr">
        <is>
          <t>Max HP %</t>
        </is>
      </c>
      <c r="K24" t="inlineStr">
        <is>
          <t>0</t>
        </is>
      </c>
    </row>
    <row r="25">
      <c r="A25" t="inlineStr">
        <is>
          <t>ALL</t>
        </is>
      </c>
      <c r="B25" t="inlineStr">
        <is>
          <t>normal</t>
        </is>
      </c>
      <c r="C25" t="n">
        <v>2</v>
      </c>
      <c r="D25" t="inlineStr">
        <is>
          <t>Int %</t>
        </is>
      </c>
      <c r="E25" t="n">
        <v>3</v>
      </c>
      <c r="F25" t="n">
        <v>4.5</v>
      </c>
      <c r="G25" t="b">
        <v>0</v>
      </c>
      <c r="H25" t="inlineStr">
        <is>
          <t>0</t>
        </is>
      </c>
      <c r="J25" t="inlineStr">
        <is>
          <t>Max MP %</t>
        </is>
      </c>
      <c r="K25" t="inlineStr">
        <is>
          <t>0</t>
        </is>
      </c>
    </row>
    <row r="26">
      <c r="A26" t="inlineStr">
        <is>
          <t>ALL</t>
        </is>
      </c>
      <c r="B26" t="inlineStr">
        <is>
          <t>normal</t>
        </is>
      </c>
      <c r="C26" t="n">
        <v>2</v>
      </c>
      <c r="D26" t="inlineStr">
        <is>
          <t>Luk %</t>
        </is>
      </c>
      <c r="E26" t="n">
        <v>3</v>
      </c>
      <c r="F26" t="n">
        <v>4.5</v>
      </c>
      <c r="G26" t="b">
        <v>0</v>
      </c>
      <c r="H26" t="inlineStr">
        <is>
          <t>0</t>
        </is>
      </c>
      <c r="J26" t="inlineStr">
        <is>
          <t>Min Damage Multiplier %</t>
        </is>
      </c>
      <c r="K26">
        <f>Sensitivity!H15</f>
        <v/>
      </c>
    </row>
    <row r="27">
      <c r="A27" t="inlineStr">
        <is>
          <t>ALL</t>
        </is>
      </c>
      <c r="B27" t="inlineStr">
        <is>
          <t>normal</t>
        </is>
      </c>
      <c r="C27" t="n">
        <v>2</v>
      </c>
      <c r="D27" t="inlineStr">
        <is>
          <t>Defense %</t>
        </is>
      </c>
      <c r="E27" t="n">
        <v>3</v>
      </c>
      <c r="F27" t="n">
        <v>9</v>
      </c>
      <c r="G27" t="b">
        <v>0</v>
      </c>
      <c r="H27">
        <f>Sensitivity!H9</f>
        <v/>
      </c>
      <c r="J27" t="inlineStr">
        <is>
          <t>Skill Cooldown Decrease (seconds)</t>
        </is>
      </c>
      <c r="K27">
        <f>Sensitivity!H30</f>
        <v/>
      </c>
    </row>
    <row r="28">
      <c r="A28" t="inlineStr">
        <is>
          <t>ALL</t>
        </is>
      </c>
      <c r="B28" t="inlineStr">
        <is>
          <t>normal</t>
        </is>
      </c>
      <c r="C28" t="n">
        <v>2</v>
      </c>
      <c r="D28" t="inlineStr">
        <is>
          <t>Max HP %</t>
        </is>
      </c>
      <c r="E28" t="n">
        <v>6</v>
      </c>
      <c r="F28" t="n">
        <v>9</v>
      </c>
      <c r="G28" t="b">
        <v>0</v>
      </c>
      <c r="H28" t="inlineStr">
        <is>
          <t>0</t>
        </is>
      </c>
      <c r="J28" t="inlineStr">
        <is>
          <t>Skill Damage %</t>
        </is>
      </c>
      <c r="K28">
        <f>Sensitivity!H22</f>
        <v/>
      </c>
    </row>
    <row r="29">
      <c r="A29" t="inlineStr">
        <is>
          <t>ALL</t>
        </is>
      </c>
      <c r="B29" t="inlineStr">
        <is>
          <t>normal</t>
        </is>
      </c>
      <c r="C29" t="n">
        <v>2</v>
      </c>
      <c r="D29" t="inlineStr">
        <is>
          <t>Max MP %</t>
        </is>
      </c>
      <c r="E29" t="n">
        <v>3</v>
      </c>
      <c r="F29" t="n">
        <v>9</v>
      </c>
      <c r="G29" t="b">
        <v>0</v>
      </c>
      <c r="H29" t="inlineStr">
        <is>
          <t>0</t>
        </is>
      </c>
      <c r="J29" t="inlineStr">
        <is>
          <t>Str</t>
        </is>
      </c>
      <c r="K29">
        <f>Sensitivity!H5</f>
        <v/>
      </c>
    </row>
    <row r="30">
      <c r="A30" t="inlineStr">
        <is>
          <t>ALL</t>
        </is>
      </c>
      <c r="B30" t="inlineStr">
        <is>
          <t>normal</t>
        </is>
      </c>
      <c r="C30" t="n">
        <v>2</v>
      </c>
      <c r="D30" t="inlineStr">
        <is>
          <t>Str</t>
        </is>
      </c>
      <c r="E30" t="n">
        <v>50</v>
      </c>
      <c r="F30" t="n">
        <v>9.5</v>
      </c>
      <c r="G30" t="b">
        <v>0</v>
      </c>
      <c r="H30">
        <f>Sensitivity!H5</f>
        <v/>
      </c>
      <c r="J30" t="inlineStr">
        <is>
          <t>Str %</t>
        </is>
      </c>
      <c r="K30">
        <f>Sensitivity!H6</f>
        <v/>
      </c>
    </row>
    <row r="31">
      <c r="A31" t="inlineStr">
        <is>
          <t>ALL</t>
        </is>
      </c>
      <c r="B31" t="inlineStr">
        <is>
          <t>normal</t>
        </is>
      </c>
      <c r="C31" t="n">
        <v>2</v>
      </c>
      <c r="D31" t="inlineStr">
        <is>
          <t>Dex</t>
        </is>
      </c>
      <c r="E31" t="n">
        <v>50</v>
      </c>
      <c r="F31" t="n">
        <v>9.5</v>
      </c>
      <c r="G31" t="b">
        <v>0</v>
      </c>
      <c r="H31">
        <f>Sensitivity!H7</f>
        <v/>
      </c>
    </row>
    <row r="32">
      <c r="A32" t="inlineStr">
        <is>
          <t>ALL</t>
        </is>
      </c>
      <c r="B32" t="inlineStr">
        <is>
          <t>normal</t>
        </is>
      </c>
      <c r="C32" t="n">
        <v>2</v>
      </c>
      <c r="D32" t="inlineStr">
        <is>
          <t>Int</t>
        </is>
      </c>
      <c r="E32" t="n">
        <v>50</v>
      </c>
      <c r="F32" t="n">
        <v>9.5</v>
      </c>
      <c r="G32" t="b">
        <v>0</v>
      </c>
      <c r="H32" t="inlineStr">
        <is>
          <t>0</t>
        </is>
      </c>
    </row>
    <row r="33">
      <c r="A33" t="inlineStr">
        <is>
          <t>ALL</t>
        </is>
      </c>
      <c r="B33" t="inlineStr">
        <is>
          <t>normal</t>
        </is>
      </c>
      <c r="C33" t="n">
        <v>2</v>
      </c>
      <c r="D33" t="inlineStr">
        <is>
          <t>Luk</t>
        </is>
      </c>
      <c r="E33" t="n">
        <v>50</v>
      </c>
      <c r="F33" t="n">
        <v>9.5</v>
      </c>
      <c r="G33" t="b">
        <v>0</v>
      </c>
      <c r="H33" t="inlineStr">
        <is>
          <t>0</t>
        </is>
      </c>
    </row>
    <row r="34">
      <c r="A34" t="inlineStr">
        <is>
          <t>ALL</t>
        </is>
      </c>
      <c r="B34" t="inlineStr">
        <is>
          <t>normal</t>
        </is>
      </c>
      <c r="C34" t="n">
        <v>3</v>
      </c>
      <c r="D34" t="inlineStr">
        <is>
          <t>Critical Rate %</t>
        </is>
      </c>
      <c r="E34" t="n">
        <v>3</v>
      </c>
      <c r="F34" t="n">
        <v>2.5</v>
      </c>
      <c r="G34" t="b">
        <v>0</v>
      </c>
      <c r="H34">
        <f>IF(AND(Inputs!$B$10+Summary!$B$14+Artifacts!$B$32&gt;=100,NOT(ArtifactsInput!$M$42),NOT(ArtifactsInput!$M$24)),Sensitivity!H18,Sensitivity!H17)</f>
        <v/>
      </c>
    </row>
    <row r="35">
      <c r="A35" t="inlineStr">
        <is>
          <t>ALL</t>
        </is>
      </c>
      <c r="B35" t="inlineStr">
        <is>
          <t>normal</t>
        </is>
      </c>
      <c r="C35" t="n">
        <v>3</v>
      </c>
      <c r="D35" t="inlineStr">
        <is>
          <t>Attack Speed %</t>
        </is>
      </c>
      <c r="E35" t="n">
        <v>3</v>
      </c>
      <c r="F35" t="n">
        <v>2.5</v>
      </c>
      <c r="G35" t="b">
        <v>0</v>
      </c>
      <c r="H35">
        <f>Sensitivity!H19</f>
        <v/>
      </c>
    </row>
    <row r="36">
      <c r="A36" t="inlineStr">
        <is>
          <t>ALL</t>
        </is>
      </c>
      <c r="B36" t="inlineStr">
        <is>
          <t>normal</t>
        </is>
      </c>
      <c r="C36" t="n">
        <v>3</v>
      </c>
      <c r="D36" t="inlineStr">
        <is>
          <t>Damage %</t>
        </is>
      </c>
      <c r="E36" t="n">
        <v>5</v>
      </c>
      <c r="F36" t="n">
        <v>4</v>
      </c>
      <c r="G36" t="b">
        <v>0</v>
      </c>
      <c r="H36">
        <f>Sensitivity!H10</f>
        <v/>
      </c>
    </row>
    <row r="37">
      <c r="A37" t="inlineStr">
        <is>
          <t>ALL</t>
        </is>
      </c>
      <c r="B37" t="inlineStr">
        <is>
          <t>normal</t>
        </is>
      </c>
      <c r="C37" t="n">
        <v>3</v>
      </c>
      <c r="D37" t="inlineStr">
        <is>
          <t>Min Damage Multiplier %</t>
        </is>
      </c>
      <c r="E37" t="n">
        <v>3</v>
      </c>
      <c r="F37" t="n">
        <v>4</v>
      </c>
      <c r="G37" t="b">
        <v>0</v>
      </c>
      <c r="H37">
        <f>Sensitivity!H15</f>
        <v/>
      </c>
    </row>
    <row r="38">
      <c r="A38" t="inlineStr">
        <is>
          <t>ALL</t>
        </is>
      </c>
      <c r="B38" t="inlineStr">
        <is>
          <t>normal</t>
        </is>
      </c>
      <c r="C38" t="n">
        <v>3</v>
      </c>
      <c r="D38" t="inlineStr">
        <is>
          <t>Max Damage Multiplier %</t>
        </is>
      </c>
      <c r="E38" t="n">
        <v>3</v>
      </c>
      <c r="F38" t="n">
        <v>4</v>
      </c>
      <c r="G38" t="b">
        <v>0</v>
      </c>
      <c r="H38">
        <f>Sensitivity!H16</f>
        <v/>
      </c>
    </row>
    <row r="39">
      <c r="A39" t="inlineStr">
        <is>
          <t>ALL</t>
        </is>
      </c>
      <c r="B39" t="inlineStr">
        <is>
          <t>normal</t>
        </is>
      </c>
      <c r="C39" t="n">
        <v>3</v>
      </c>
      <c r="D39" t="inlineStr">
        <is>
          <t>Str %</t>
        </is>
      </c>
      <c r="E39" t="n">
        <v>3</v>
      </c>
      <c r="F39" t="n">
        <v>4.5</v>
      </c>
      <c r="G39" t="b">
        <v>0</v>
      </c>
      <c r="H39">
        <f>Sensitivity!H6</f>
        <v/>
      </c>
    </row>
    <row r="40">
      <c r="A40" t="inlineStr">
        <is>
          <t>ALL</t>
        </is>
      </c>
      <c r="B40" t="inlineStr">
        <is>
          <t>normal</t>
        </is>
      </c>
      <c r="C40" t="n">
        <v>3</v>
      </c>
      <c r="D40" t="inlineStr">
        <is>
          <t>Dex %</t>
        </is>
      </c>
      <c r="E40" t="n">
        <v>3</v>
      </c>
      <c r="F40" t="n">
        <v>4.5</v>
      </c>
      <c r="G40" t="b">
        <v>0</v>
      </c>
      <c r="H40">
        <f>Sensitivity!H7*Inputs!$B$15/100</f>
        <v/>
      </c>
    </row>
    <row r="41">
      <c r="A41" t="inlineStr">
        <is>
          <t>ALL</t>
        </is>
      </c>
      <c r="B41" t="inlineStr">
        <is>
          <t>normal</t>
        </is>
      </c>
      <c r="C41" t="n">
        <v>3</v>
      </c>
      <c r="D41" t="inlineStr">
        <is>
          <t>Int %</t>
        </is>
      </c>
      <c r="E41" t="n">
        <v>3</v>
      </c>
      <c r="F41" t="n">
        <v>4.5</v>
      </c>
      <c r="G41" t="b">
        <v>0</v>
      </c>
      <c r="H41" t="inlineStr">
        <is>
          <t>0</t>
        </is>
      </c>
    </row>
    <row r="42">
      <c r="A42" t="inlineStr">
        <is>
          <t>ALL</t>
        </is>
      </c>
      <c r="B42" t="inlineStr">
        <is>
          <t>normal</t>
        </is>
      </c>
      <c r="C42" t="n">
        <v>3</v>
      </c>
      <c r="D42" t="inlineStr">
        <is>
          <t>Luk %</t>
        </is>
      </c>
      <c r="E42" t="n">
        <v>3</v>
      </c>
      <c r="F42" t="n">
        <v>4.5</v>
      </c>
      <c r="G42" t="b">
        <v>0</v>
      </c>
      <c r="H42" t="inlineStr">
        <is>
          <t>0</t>
        </is>
      </c>
    </row>
    <row r="43">
      <c r="A43" t="inlineStr">
        <is>
          <t>ALL</t>
        </is>
      </c>
      <c r="B43" t="inlineStr">
        <is>
          <t>normal</t>
        </is>
      </c>
      <c r="C43" t="n">
        <v>3</v>
      </c>
      <c r="D43" t="inlineStr">
        <is>
          <t>Defense %</t>
        </is>
      </c>
      <c r="E43" t="n">
        <v>3</v>
      </c>
      <c r="F43" t="n">
        <v>9</v>
      </c>
      <c r="G43" t="b">
        <v>0</v>
      </c>
      <c r="H43">
        <f>Sensitivity!H9</f>
        <v/>
      </c>
    </row>
    <row r="44">
      <c r="A44" t="inlineStr">
        <is>
          <t>ALL</t>
        </is>
      </c>
      <c r="B44" t="inlineStr">
        <is>
          <t>normal</t>
        </is>
      </c>
      <c r="C44" t="n">
        <v>3</v>
      </c>
      <c r="D44" t="inlineStr">
        <is>
          <t>Max HP %</t>
        </is>
      </c>
      <c r="E44" t="n">
        <v>6</v>
      </c>
      <c r="F44" t="n">
        <v>9</v>
      </c>
      <c r="G44" t="b">
        <v>0</v>
      </c>
      <c r="H44" t="inlineStr">
        <is>
          <t>0</t>
        </is>
      </c>
    </row>
    <row r="45">
      <c r="A45" t="inlineStr">
        <is>
          <t>ALL</t>
        </is>
      </c>
      <c r="B45" t="inlineStr">
        <is>
          <t>normal</t>
        </is>
      </c>
      <c r="C45" t="n">
        <v>3</v>
      </c>
      <c r="D45" t="inlineStr">
        <is>
          <t>Max MP %</t>
        </is>
      </c>
      <c r="E45" t="n">
        <v>3</v>
      </c>
      <c r="F45" t="n">
        <v>9</v>
      </c>
      <c r="G45" t="b">
        <v>0</v>
      </c>
      <c r="H45" t="inlineStr">
        <is>
          <t>0</t>
        </is>
      </c>
    </row>
    <row r="46">
      <c r="A46" t="inlineStr">
        <is>
          <t>ALL</t>
        </is>
      </c>
      <c r="B46" t="inlineStr">
        <is>
          <t>normal</t>
        </is>
      </c>
      <c r="C46" t="n">
        <v>3</v>
      </c>
      <c r="D46" t="inlineStr">
        <is>
          <t>Str</t>
        </is>
      </c>
      <c r="E46" t="n">
        <v>50</v>
      </c>
      <c r="F46" t="n">
        <v>9.5</v>
      </c>
      <c r="G46" t="b">
        <v>0</v>
      </c>
      <c r="H46">
        <f>Sensitivity!H5</f>
        <v/>
      </c>
    </row>
    <row r="47">
      <c r="A47" t="inlineStr">
        <is>
          <t>ALL</t>
        </is>
      </c>
      <c r="B47" t="inlineStr">
        <is>
          <t>normal</t>
        </is>
      </c>
      <c r="C47" t="n">
        <v>3</v>
      </c>
      <c r="D47" t="inlineStr">
        <is>
          <t>Dex</t>
        </is>
      </c>
      <c r="E47" t="n">
        <v>50</v>
      </c>
      <c r="F47" t="n">
        <v>9.5</v>
      </c>
      <c r="G47" t="b">
        <v>0</v>
      </c>
      <c r="H47">
        <f>Sensitivity!H7</f>
        <v/>
      </c>
    </row>
    <row r="48">
      <c r="A48" t="inlineStr">
        <is>
          <t>ALL</t>
        </is>
      </c>
      <c r="B48" t="inlineStr">
        <is>
          <t>normal</t>
        </is>
      </c>
      <c r="C48" t="n">
        <v>3</v>
      </c>
      <c r="D48" t="inlineStr">
        <is>
          <t>Int</t>
        </is>
      </c>
      <c r="E48" t="n">
        <v>50</v>
      </c>
      <c r="F48" t="n">
        <v>9.5</v>
      </c>
      <c r="G48" t="b">
        <v>0</v>
      </c>
      <c r="H48" t="inlineStr">
        <is>
          <t>0</t>
        </is>
      </c>
    </row>
    <row r="49">
      <c r="A49" t="inlineStr">
        <is>
          <t>ALL</t>
        </is>
      </c>
      <c r="B49" t="inlineStr">
        <is>
          <t>normal</t>
        </is>
      </c>
      <c r="C49" t="n">
        <v>3</v>
      </c>
      <c r="D49" t="inlineStr">
        <is>
          <t>Luk</t>
        </is>
      </c>
      <c r="E49" t="n">
        <v>50</v>
      </c>
      <c r="F49" t="n">
        <v>9.5</v>
      </c>
      <c r="G49" t="b">
        <v>0</v>
      </c>
      <c r="H49" t="inlineStr">
        <is>
          <t>0</t>
        </is>
      </c>
    </row>
    <row r="50">
      <c r="A50" t="inlineStr">
        <is>
          <t>ALL</t>
        </is>
      </c>
      <c r="B50" t="inlineStr">
        <is>
          <t>rare</t>
        </is>
      </c>
      <c r="C50" t="n">
        <v>1</v>
      </c>
      <c r="D50" t="inlineStr">
        <is>
          <t>Critical Rate %</t>
        </is>
      </c>
      <c r="E50" t="n">
        <v>4.5</v>
      </c>
      <c r="F50" t="n">
        <v>2.5</v>
      </c>
      <c r="G50" t="b">
        <v>1</v>
      </c>
      <c r="H50">
        <f>IF(AND(Inputs!$B$10+Summary!$B$14+Artifacts!$B$32&gt;=100,NOT(ArtifactsInput!$M$42),NOT(ArtifactsInput!$M$24)),Sensitivity!H18,Sensitivity!H17)</f>
        <v/>
      </c>
    </row>
    <row r="51">
      <c r="A51" t="inlineStr">
        <is>
          <t>ALL</t>
        </is>
      </c>
      <c r="B51" t="inlineStr">
        <is>
          <t>rare</t>
        </is>
      </c>
      <c r="C51" t="n">
        <v>1</v>
      </c>
      <c r="D51" t="inlineStr">
        <is>
          <t>Attack Speed %</t>
        </is>
      </c>
      <c r="E51" t="n">
        <v>3.5</v>
      </c>
      <c r="F51" t="n">
        <v>2.5</v>
      </c>
      <c r="G51" t="b">
        <v>1</v>
      </c>
      <c r="H51">
        <f>Sensitivity!H19</f>
        <v/>
      </c>
    </row>
    <row r="52">
      <c r="A52" t="inlineStr">
        <is>
          <t>ALL</t>
        </is>
      </c>
      <c r="B52" t="inlineStr">
        <is>
          <t>rare</t>
        </is>
      </c>
      <c r="C52" t="n">
        <v>1</v>
      </c>
      <c r="D52" t="inlineStr">
        <is>
          <t>Damage %</t>
        </is>
      </c>
      <c r="E52" t="n">
        <v>8</v>
      </c>
      <c r="F52" t="n">
        <v>4</v>
      </c>
      <c r="G52" t="b">
        <v>1</v>
      </c>
      <c r="H52">
        <f>Sensitivity!H10</f>
        <v/>
      </c>
    </row>
    <row r="53">
      <c r="A53" t="inlineStr">
        <is>
          <t>ALL</t>
        </is>
      </c>
      <c r="B53" t="inlineStr">
        <is>
          <t>rare</t>
        </is>
      </c>
      <c r="C53" t="n">
        <v>1</v>
      </c>
      <c r="D53" t="inlineStr">
        <is>
          <t>Min Damage Multiplier %</t>
        </is>
      </c>
      <c r="E53" t="n">
        <v>6</v>
      </c>
      <c r="F53" t="n">
        <v>4</v>
      </c>
      <c r="G53" t="b">
        <v>1</v>
      </c>
      <c r="H53">
        <f>Sensitivity!H15</f>
        <v/>
      </c>
    </row>
    <row r="54">
      <c r="A54" t="inlineStr">
        <is>
          <t>ALL</t>
        </is>
      </c>
      <c r="B54" t="inlineStr">
        <is>
          <t>rare</t>
        </is>
      </c>
      <c r="C54" t="n">
        <v>1</v>
      </c>
      <c r="D54" t="inlineStr">
        <is>
          <t>Max Damage Multiplier %</t>
        </is>
      </c>
      <c r="E54" t="n">
        <v>6</v>
      </c>
      <c r="F54" t="n">
        <v>4</v>
      </c>
      <c r="G54" t="b">
        <v>1</v>
      </c>
      <c r="H54">
        <f>Sensitivity!H16</f>
        <v/>
      </c>
    </row>
    <row r="55">
      <c r="A55" t="inlineStr">
        <is>
          <t>ALL</t>
        </is>
      </c>
      <c r="B55" t="inlineStr">
        <is>
          <t>rare</t>
        </is>
      </c>
      <c r="C55" t="n">
        <v>1</v>
      </c>
      <c r="D55" t="inlineStr">
        <is>
          <t>Str %</t>
        </is>
      </c>
      <c r="E55" t="n">
        <v>4.5</v>
      </c>
      <c r="F55" t="n">
        <v>4.5</v>
      </c>
      <c r="G55" t="b">
        <v>1</v>
      </c>
      <c r="H55">
        <f>Sensitivity!H6</f>
        <v/>
      </c>
    </row>
    <row r="56">
      <c r="A56" t="inlineStr">
        <is>
          <t>ALL</t>
        </is>
      </c>
      <c r="B56" t="inlineStr">
        <is>
          <t>rare</t>
        </is>
      </c>
      <c r="C56" t="n">
        <v>1</v>
      </c>
      <c r="D56" t="inlineStr">
        <is>
          <t>Dex %</t>
        </is>
      </c>
      <c r="E56" t="n">
        <v>4.5</v>
      </c>
      <c r="F56" t="n">
        <v>4.5</v>
      </c>
      <c r="G56" t="b">
        <v>1</v>
      </c>
      <c r="H56">
        <f>Sensitivity!H7*Inputs!$B$15/100</f>
        <v/>
      </c>
    </row>
    <row r="57">
      <c r="A57" t="inlineStr">
        <is>
          <t>ALL</t>
        </is>
      </c>
      <c r="B57" t="inlineStr">
        <is>
          <t>rare</t>
        </is>
      </c>
      <c r="C57" t="n">
        <v>1</v>
      </c>
      <c r="D57" t="inlineStr">
        <is>
          <t>Int %</t>
        </is>
      </c>
      <c r="E57" t="n">
        <v>4.5</v>
      </c>
      <c r="F57" t="n">
        <v>4.5</v>
      </c>
      <c r="G57" t="b">
        <v>1</v>
      </c>
      <c r="H57" t="inlineStr">
        <is>
          <t>0</t>
        </is>
      </c>
    </row>
    <row r="58">
      <c r="A58" t="inlineStr">
        <is>
          <t>ALL</t>
        </is>
      </c>
      <c r="B58" t="inlineStr">
        <is>
          <t>rare</t>
        </is>
      </c>
      <c r="C58" t="n">
        <v>1</v>
      </c>
      <c r="D58" t="inlineStr">
        <is>
          <t>Luk %</t>
        </is>
      </c>
      <c r="E58" t="n">
        <v>4.5</v>
      </c>
      <c r="F58" t="n">
        <v>4.5</v>
      </c>
      <c r="G58" t="b">
        <v>1</v>
      </c>
      <c r="H58" t="inlineStr">
        <is>
          <t>0</t>
        </is>
      </c>
    </row>
    <row r="59">
      <c r="A59" t="inlineStr">
        <is>
          <t>ALL</t>
        </is>
      </c>
      <c r="B59" t="inlineStr">
        <is>
          <t>rare</t>
        </is>
      </c>
      <c r="C59" t="n">
        <v>1</v>
      </c>
      <c r="D59" t="inlineStr">
        <is>
          <t>Defense %</t>
        </is>
      </c>
      <c r="E59" t="n">
        <v>4.5</v>
      </c>
      <c r="F59" t="n">
        <v>9</v>
      </c>
      <c r="G59" t="b">
        <v>1</v>
      </c>
      <c r="H59">
        <f>Sensitivity!H9</f>
        <v/>
      </c>
    </row>
    <row r="60">
      <c r="A60" t="inlineStr">
        <is>
          <t>ALL</t>
        </is>
      </c>
      <c r="B60" t="inlineStr">
        <is>
          <t>rare</t>
        </is>
      </c>
      <c r="C60" t="n">
        <v>1</v>
      </c>
      <c r="D60" t="inlineStr">
        <is>
          <t>Max HP %</t>
        </is>
      </c>
      <c r="E60" t="n">
        <v>9</v>
      </c>
      <c r="F60" t="n">
        <v>9</v>
      </c>
      <c r="G60" t="b">
        <v>1</v>
      </c>
      <c r="H60" t="inlineStr">
        <is>
          <t>0</t>
        </is>
      </c>
    </row>
    <row r="61">
      <c r="A61" t="inlineStr">
        <is>
          <t>ALL</t>
        </is>
      </c>
      <c r="B61" t="inlineStr">
        <is>
          <t>rare</t>
        </is>
      </c>
      <c r="C61" t="n">
        <v>1</v>
      </c>
      <c r="D61" t="inlineStr">
        <is>
          <t>Max MP %</t>
        </is>
      </c>
      <c r="E61" t="n">
        <v>4.5</v>
      </c>
      <c r="F61" t="n">
        <v>9</v>
      </c>
      <c r="G61" t="b">
        <v>1</v>
      </c>
      <c r="H61" t="inlineStr">
        <is>
          <t>0</t>
        </is>
      </c>
    </row>
    <row r="62">
      <c r="A62" t="inlineStr">
        <is>
          <t>ALL</t>
        </is>
      </c>
      <c r="B62" t="inlineStr">
        <is>
          <t>rare</t>
        </is>
      </c>
      <c r="C62" t="n">
        <v>1</v>
      </c>
      <c r="D62" t="inlineStr">
        <is>
          <t>Str</t>
        </is>
      </c>
      <c r="E62" t="n">
        <v>100</v>
      </c>
      <c r="F62" t="n">
        <v>9.5</v>
      </c>
      <c r="G62" t="b">
        <v>1</v>
      </c>
      <c r="H62">
        <f>Sensitivity!H5</f>
        <v/>
      </c>
    </row>
    <row r="63">
      <c r="A63" t="inlineStr">
        <is>
          <t>ALL</t>
        </is>
      </c>
      <c r="B63" t="inlineStr">
        <is>
          <t>rare</t>
        </is>
      </c>
      <c r="C63" t="n">
        <v>1</v>
      </c>
      <c r="D63" t="inlineStr">
        <is>
          <t>Dex</t>
        </is>
      </c>
      <c r="E63" t="n">
        <v>100</v>
      </c>
      <c r="F63" t="n">
        <v>9.5</v>
      </c>
      <c r="G63" t="b">
        <v>1</v>
      </c>
      <c r="H63">
        <f>Sensitivity!H7</f>
        <v/>
      </c>
    </row>
    <row r="64">
      <c r="A64" t="inlineStr">
        <is>
          <t>ALL</t>
        </is>
      </c>
      <c r="B64" t="inlineStr">
        <is>
          <t>rare</t>
        </is>
      </c>
      <c r="C64" t="n">
        <v>1</v>
      </c>
      <c r="D64" t="inlineStr">
        <is>
          <t>Int</t>
        </is>
      </c>
      <c r="E64" t="n">
        <v>100</v>
      </c>
      <c r="F64" t="n">
        <v>9.5</v>
      </c>
      <c r="G64" t="b">
        <v>1</v>
      </c>
      <c r="H64" t="inlineStr">
        <is>
          <t>0</t>
        </is>
      </c>
    </row>
    <row r="65">
      <c r="A65" t="inlineStr">
        <is>
          <t>ALL</t>
        </is>
      </c>
      <c r="B65" t="inlineStr">
        <is>
          <t>rare</t>
        </is>
      </c>
      <c r="C65" t="n">
        <v>1</v>
      </c>
      <c r="D65" t="inlineStr">
        <is>
          <t>Luk</t>
        </is>
      </c>
      <c r="E65" t="n">
        <v>100</v>
      </c>
      <c r="F65" t="n">
        <v>9.5</v>
      </c>
      <c r="G65" t="b">
        <v>1</v>
      </c>
      <c r="H65" t="inlineStr">
        <is>
          <t>0</t>
        </is>
      </c>
    </row>
    <row r="66">
      <c r="A66" t="inlineStr">
        <is>
          <t>ALL</t>
        </is>
      </c>
      <c r="B66" t="inlineStr">
        <is>
          <t>rare</t>
        </is>
      </c>
      <c r="C66" t="n">
        <v>2</v>
      </c>
      <c r="D66" t="inlineStr">
        <is>
          <t>Critical Rate %</t>
        </is>
      </c>
      <c r="E66" t="n">
        <v>3</v>
      </c>
      <c r="F66" t="n">
        <v>1.9</v>
      </c>
      <c r="G66" t="b">
        <v>0</v>
      </c>
      <c r="H66">
        <f>IF(AND(Inputs!$B$10+Summary!$B$14+Artifacts!$B$32&gt;=100,NOT(ArtifactsInput!$M$42),NOT(ArtifactsInput!$M$24)),Sensitivity!H18,Sensitivity!H17)</f>
        <v/>
      </c>
    </row>
    <row r="67">
      <c r="A67" t="inlineStr">
        <is>
          <t>ALL</t>
        </is>
      </c>
      <c r="B67" t="inlineStr">
        <is>
          <t>rare</t>
        </is>
      </c>
      <c r="C67" t="n">
        <v>2</v>
      </c>
      <c r="D67" t="inlineStr">
        <is>
          <t>Critical Rate %</t>
        </is>
      </c>
      <c r="E67" t="n">
        <v>4.5</v>
      </c>
      <c r="F67" t="n">
        <v>0.6</v>
      </c>
      <c r="G67" t="b">
        <v>1</v>
      </c>
      <c r="H67">
        <f>IF(AND(Inputs!$B$10+Summary!$B$14+Artifacts!$B$32&gt;=100,NOT(ArtifactsInput!$M$42),NOT(ArtifactsInput!$M$24)),Sensitivity!H18,Sensitivity!H17)</f>
        <v/>
      </c>
    </row>
    <row r="68">
      <c r="A68" t="inlineStr">
        <is>
          <t>ALL</t>
        </is>
      </c>
      <c r="B68" t="inlineStr">
        <is>
          <t>rare</t>
        </is>
      </c>
      <c r="C68" t="n">
        <v>2</v>
      </c>
      <c r="D68" t="inlineStr">
        <is>
          <t>Attack Speed %</t>
        </is>
      </c>
      <c r="E68" t="n">
        <v>3</v>
      </c>
      <c r="F68" t="n">
        <v>1.9</v>
      </c>
      <c r="G68" t="b">
        <v>0</v>
      </c>
      <c r="H68">
        <f>Sensitivity!H19</f>
        <v/>
      </c>
    </row>
    <row r="69">
      <c r="A69" t="inlineStr">
        <is>
          <t>ALL</t>
        </is>
      </c>
      <c r="B69" t="inlineStr">
        <is>
          <t>rare</t>
        </is>
      </c>
      <c r="C69" t="n">
        <v>2</v>
      </c>
      <c r="D69" t="inlineStr">
        <is>
          <t>Attack Speed %</t>
        </is>
      </c>
      <c r="E69" t="n">
        <v>3.5</v>
      </c>
      <c r="F69" t="n">
        <v>0.6</v>
      </c>
      <c r="G69" t="b">
        <v>1</v>
      </c>
      <c r="H69">
        <f>Sensitivity!H19</f>
        <v/>
      </c>
    </row>
    <row r="70">
      <c r="A70" t="inlineStr">
        <is>
          <t>ALL</t>
        </is>
      </c>
      <c r="B70" t="inlineStr">
        <is>
          <t>rare</t>
        </is>
      </c>
      <c r="C70" t="n">
        <v>2</v>
      </c>
      <c r="D70" t="inlineStr">
        <is>
          <t>Damage %</t>
        </is>
      </c>
      <c r="E70" t="n">
        <v>5</v>
      </c>
      <c r="F70" t="n">
        <v>3.04</v>
      </c>
      <c r="G70" t="b">
        <v>0</v>
      </c>
      <c r="H70">
        <f>Sensitivity!H10</f>
        <v/>
      </c>
    </row>
    <row r="71">
      <c r="A71" t="inlineStr">
        <is>
          <t>ALL</t>
        </is>
      </c>
      <c r="B71" t="inlineStr">
        <is>
          <t>rare</t>
        </is>
      </c>
      <c r="C71" t="n">
        <v>2</v>
      </c>
      <c r="D71" t="inlineStr">
        <is>
          <t>Damage %</t>
        </is>
      </c>
      <c r="E71" t="n">
        <v>8</v>
      </c>
      <c r="F71" t="n">
        <v>0.96</v>
      </c>
      <c r="G71" t="b">
        <v>1</v>
      </c>
      <c r="H71">
        <f>Sensitivity!H10</f>
        <v/>
      </c>
    </row>
    <row r="72">
      <c r="A72" t="inlineStr">
        <is>
          <t>ALL</t>
        </is>
      </c>
      <c r="B72" t="inlineStr">
        <is>
          <t>rare</t>
        </is>
      </c>
      <c r="C72" t="n">
        <v>2</v>
      </c>
      <c r="D72" t="inlineStr">
        <is>
          <t>Min Damage Multiplier %</t>
        </is>
      </c>
      <c r="E72" t="n">
        <v>3</v>
      </c>
      <c r="F72" t="n">
        <v>3.04</v>
      </c>
      <c r="G72" t="b">
        <v>0</v>
      </c>
      <c r="H72">
        <f>Sensitivity!H15</f>
        <v/>
      </c>
    </row>
    <row r="73">
      <c r="A73" t="inlineStr">
        <is>
          <t>ALL</t>
        </is>
      </c>
      <c r="B73" t="inlineStr">
        <is>
          <t>rare</t>
        </is>
      </c>
      <c r="C73" t="n">
        <v>2</v>
      </c>
      <c r="D73" t="inlineStr">
        <is>
          <t>Min Damage Multiplier %</t>
        </is>
      </c>
      <c r="E73" t="n">
        <v>6</v>
      </c>
      <c r="F73" t="n">
        <v>0.96</v>
      </c>
      <c r="G73" t="b">
        <v>1</v>
      </c>
      <c r="H73">
        <f>Sensitivity!H15</f>
        <v/>
      </c>
    </row>
    <row r="74">
      <c r="A74" t="inlineStr">
        <is>
          <t>ALL</t>
        </is>
      </c>
      <c r="B74" t="inlineStr">
        <is>
          <t>rare</t>
        </is>
      </c>
      <c r="C74" t="n">
        <v>2</v>
      </c>
      <c r="D74" t="inlineStr">
        <is>
          <t>Max Damage Multiplier %</t>
        </is>
      </c>
      <c r="E74" t="n">
        <v>3</v>
      </c>
      <c r="F74" t="n">
        <v>3.04</v>
      </c>
      <c r="G74" t="b">
        <v>0</v>
      </c>
      <c r="H74">
        <f>Sensitivity!H16</f>
        <v/>
      </c>
    </row>
    <row r="75">
      <c r="A75" t="inlineStr">
        <is>
          <t>ALL</t>
        </is>
      </c>
      <c r="B75" t="inlineStr">
        <is>
          <t>rare</t>
        </is>
      </c>
      <c r="C75" t="n">
        <v>2</v>
      </c>
      <c r="D75" t="inlineStr">
        <is>
          <t>Max Damage Multiplier %</t>
        </is>
      </c>
      <c r="E75" t="n">
        <v>6</v>
      </c>
      <c r="F75" t="n">
        <v>0.96</v>
      </c>
      <c r="G75" t="b">
        <v>1</v>
      </c>
      <c r="H75">
        <f>Sensitivity!H16</f>
        <v/>
      </c>
    </row>
    <row r="76">
      <c r="A76" t="inlineStr">
        <is>
          <t>ALL</t>
        </is>
      </c>
      <c r="B76" t="inlineStr">
        <is>
          <t>rare</t>
        </is>
      </c>
      <c r="C76" t="n">
        <v>2</v>
      </c>
      <c r="D76" t="inlineStr">
        <is>
          <t>Str %</t>
        </is>
      </c>
      <c r="E76" t="n">
        <v>3</v>
      </c>
      <c r="F76" t="n">
        <v>3.42</v>
      </c>
      <c r="G76" t="b">
        <v>0</v>
      </c>
      <c r="H76">
        <f>Sensitivity!H6</f>
        <v/>
      </c>
    </row>
    <row r="77">
      <c r="A77" t="inlineStr">
        <is>
          <t>ALL</t>
        </is>
      </c>
      <c r="B77" t="inlineStr">
        <is>
          <t>rare</t>
        </is>
      </c>
      <c r="C77" t="n">
        <v>2</v>
      </c>
      <c r="D77" t="inlineStr">
        <is>
          <t>Str %</t>
        </is>
      </c>
      <c r="E77" t="n">
        <v>4.5</v>
      </c>
      <c r="F77" t="n">
        <v>1.08</v>
      </c>
      <c r="G77" t="b">
        <v>1</v>
      </c>
      <c r="H77">
        <f>Sensitivity!H6</f>
        <v/>
      </c>
    </row>
    <row r="78">
      <c r="A78" t="inlineStr">
        <is>
          <t>ALL</t>
        </is>
      </c>
      <c r="B78" t="inlineStr">
        <is>
          <t>rare</t>
        </is>
      </c>
      <c r="C78" t="n">
        <v>2</v>
      </c>
      <c r="D78" t="inlineStr">
        <is>
          <t>Dex %</t>
        </is>
      </c>
      <c r="E78" t="n">
        <v>3</v>
      </c>
      <c r="F78" t="n">
        <v>3.42</v>
      </c>
      <c r="G78" t="b">
        <v>0</v>
      </c>
      <c r="H78">
        <f>Sensitivity!H7*Inputs!$B$15/100</f>
        <v/>
      </c>
    </row>
    <row r="79">
      <c r="A79" t="inlineStr">
        <is>
          <t>ALL</t>
        </is>
      </c>
      <c r="B79" t="inlineStr">
        <is>
          <t>rare</t>
        </is>
      </c>
      <c r="C79" t="n">
        <v>2</v>
      </c>
      <c r="D79" t="inlineStr">
        <is>
          <t>Dex %</t>
        </is>
      </c>
      <c r="E79" t="n">
        <v>4.5</v>
      </c>
      <c r="F79" t="n">
        <v>1.08</v>
      </c>
      <c r="G79" t="b">
        <v>1</v>
      </c>
      <c r="H79">
        <f>Sensitivity!H7*Inputs!$B$15/100</f>
        <v/>
      </c>
    </row>
    <row r="80">
      <c r="A80" t="inlineStr">
        <is>
          <t>ALL</t>
        </is>
      </c>
      <c r="B80" t="inlineStr">
        <is>
          <t>rare</t>
        </is>
      </c>
      <c r="C80" t="n">
        <v>2</v>
      </c>
      <c r="D80" t="inlineStr">
        <is>
          <t>Int %</t>
        </is>
      </c>
      <c r="E80" t="n">
        <v>3</v>
      </c>
      <c r="F80" t="n">
        <v>3.42</v>
      </c>
      <c r="G80" t="b">
        <v>0</v>
      </c>
      <c r="H80" t="inlineStr">
        <is>
          <t>0</t>
        </is>
      </c>
    </row>
    <row r="81">
      <c r="A81" t="inlineStr">
        <is>
          <t>ALL</t>
        </is>
      </c>
      <c r="B81" t="inlineStr">
        <is>
          <t>rare</t>
        </is>
      </c>
      <c r="C81" t="n">
        <v>2</v>
      </c>
      <c r="D81" t="inlineStr">
        <is>
          <t>Int %</t>
        </is>
      </c>
      <c r="E81" t="n">
        <v>4.5</v>
      </c>
      <c r="F81" t="n">
        <v>1.08</v>
      </c>
      <c r="G81" t="b">
        <v>1</v>
      </c>
      <c r="H81" t="inlineStr">
        <is>
          <t>0</t>
        </is>
      </c>
    </row>
    <row r="82">
      <c r="A82" t="inlineStr">
        <is>
          <t>ALL</t>
        </is>
      </c>
      <c r="B82" t="inlineStr">
        <is>
          <t>rare</t>
        </is>
      </c>
      <c r="C82" t="n">
        <v>2</v>
      </c>
      <c r="D82" t="inlineStr">
        <is>
          <t>Luk %</t>
        </is>
      </c>
      <c r="E82" t="n">
        <v>3</v>
      </c>
      <c r="F82" t="n">
        <v>3.42</v>
      </c>
      <c r="G82" t="b">
        <v>0</v>
      </c>
      <c r="H82" t="inlineStr">
        <is>
          <t>0</t>
        </is>
      </c>
    </row>
    <row r="83">
      <c r="A83" t="inlineStr">
        <is>
          <t>ALL</t>
        </is>
      </c>
      <c r="B83" t="inlineStr">
        <is>
          <t>rare</t>
        </is>
      </c>
      <c r="C83" t="n">
        <v>2</v>
      </c>
      <c r="D83" t="inlineStr">
        <is>
          <t>Luk %</t>
        </is>
      </c>
      <c r="E83" t="n">
        <v>4.5</v>
      </c>
      <c r="F83" t="n">
        <v>1.08</v>
      </c>
      <c r="G83" t="b">
        <v>1</v>
      </c>
      <c r="H83" t="inlineStr">
        <is>
          <t>0</t>
        </is>
      </c>
    </row>
    <row r="84">
      <c r="A84" t="inlineStr">
        <is>
          <t>ALL</t>
        </is>
      </c>
      <c r="B84" t="inlineStr">
        <is>
          <t>rare</t>
        </is>
      </c>
      <c r="C84" t="n">
        <v>2</v>
      </c>
      <c r="D84" t="inlineStr">
        <is>
          <t>Defense %</t>
        </is>
      </c>
      <c r="E84" t="n">
        <v>3</v>
      </c>
      <c r="F84" t="n">
        <v>6.84</v>
      </c>
      <c r="G84" t="b">
        <v>0</v>
      </c>
      <c r="H84">
        <f>Sensitivity!H9</f>
        <v/>
      </c>
    </row>
    <row r="85">
      <c r="A85" t="inlineStr">
        <is>
          <t>ALL</t>
        </is>
      </c>
      <c r="B85" t="inlineStr">
        <is>
          <t>rare</t>
        </is>
      </c>
      <c r="C85" t="n">
        <v>2</v>
      </c>
      <c r="D85" t="inlineStr">
        <is>
          <t>Defense %</t>
        </is>
      </c>
      <c r="E85" t="n">
        <v>4.5</v>
      </c>
      <c r="F85" t="n">
        <v>2.16</v>
      </c>
      <c r="G85" t="b">
        <v>1</v>
      </c>
      <c r="H85">
        <f>Sensitivity!H9</f>
        <v/>
      </c>
    </row>
    <row r="86">
      <c r="A86" t="inlineStr">
        <is>
          <t>ALL</t>
        </is>
      </c>
      <c r="B86" t="inlineStr">
        <is>
          <t>rare</t>
        </is>
      </c>
      <c r="C86" t="n">
        <v>2</v>
      </c>
      <c r="D86" t="inlineStr">
        <is>
          <t>Max HP %</t>
        </is>
      </c>
      <c r="E86" t="n">
        <v>6</v>
      </c>
      <c r="F86" t="n">
        <v>6.84</v>
      </c>
      <c r="G86" t="b">
        <v>0</v>
      </c>
      <c r="H86" t="inlineStr">
        <is>
          <t>0</t>
        </is>
      </c>
    </row>
    <row r="87">
      <c r="A87" t="inlineStr">
        <is>
          <t>ALL</t>
        </is>
      </c>
      <c r="B87" t="inlineStr">
        <is>
          <t>rare</t>
        </is>
      </c>
      <c r="C87" t="n">
        <v>2</v>
      </c>
      <c r="D87" t="inlineStr">
        <is>
          <t>Max HP %</t>
        </is>
      </c>
      <c r="E87" t="n">
        <v>9</v>
      </c>
      <c r="F87" t="n">
        <v>2.16</v>
      </c>
      <c r="G87" t="b">
        <v>1</v>
      </c>
      <c r="H87" t="inlineStr">
        <is>
          <t>0</t>
        </is>
      </c>
    </row>
    <row r="88">
      <c r="A88" t="inlineStr">
        <is>
          <t>ALL</t>
        </is>
      </c>
      <c r="B88" t="inlineStr">
        <is>
          <t>rare</t>
        </is>
      </c>
      <c r="C88" t="n">
        <v>2</v>
      </c>
      <c r="D88" t="inlineStr">
        <is>
          <t>Max MP %</t>
        </is>
      </c>
      <c r="E88" t="n">
        <v>3</v>
      </c>
      <c r="F88" t="n">
        <v>6.84</v>
      </c>
      <c r="G88" t="b">
        <v>0</v>
      </c>
      <c r="H88" t="inlineStr">
        <is>
          <t>0</t>
        </is>
      </c>
    </row>
    <row r="89">
      <c r="A89" t="inlineStr">
        <is>
          <t>ALL</t>
        </is>
      </c>
      <c r="B89" t="inlineStr">
        <is>
          <t>rare</t>
        </is>
      </c>
      <c r="C89" t="n">
        <v>2</v>
      </c>
      <c r="D89" t="inlineStr">
        <is>
          <t>Max MP %</t>
        </is>
      </c>
      <c r="E89" t="n">
        <v>4.5</v>
      </c>
      <c r="F89" t="n">
        <v>2.16</v>
      </c>
      <c r="G89" t="b">
        <v>1</v>
      </c>
      <c r="H89" t="inlineStr">
        <is>
          <t>0</t>
        </is>
      </c>
    </row>
    <row r="90">
      <c r="A90" t="inlineStr">
        <is>
          <t>ALL</t>
        </is>
      </c>
      <c r="B90" t="inlineStr">
        <is>
          <t>rare</t>
        </is>
      </c>
      <c r="C90" t="n">
        <v>2</v>
      </c>
      <c r="D90" t="inlineStr">
        <is>
          <t>Str</t>
        </is>
      </c>
      <c r="E90" t="n">
        <v>50</v>
      </c>
      <c r="F90" t="n">
        <v>7.22</v>
      </c>
      <c r="G90" t="b">
        <v>0</v>
      </c>
      <c r="H90">
        <f>Sensitivity!H5</f>
        <v/>
      </c>
    </row>
    <row r="91">
      <c r="A91" t="inlineStr">
        <is>
          <t>ALL</t>
        </is>
      </c>
      <c r="B91" t="inlineStr">
        <is>
          <t>rare</t>
        </is>
      </c>
      <c r="C91" t="n">
        <v>2</v>
      </c>
      <c r="D91" t="inlineStr">
        <is>
          <t>Str</t>
        </is>
      </c>
      <c r="E91" t="n">
        <v>100</v>
      </c>
      <c r="F91" t="n">
        <v>2.28</v>
      </c>
      <c r="G91" t="b">
        <v>1</v>
      </c>
      <c r="H91">
        <f>Sensitivity!H5</f>
        <v/>
      </c>
    </row>
    <row r="92">
      <c r="A92" t="inlineStr">
        <is>
          <t>ALL</t>
        </is>
      </c>
      <c r="B92" t="inlineStr">
        <is>
          <t>rare</t>
        </is>
      </c>
      <c r="C92" t="n">
        <v>2</v>
      </c>
      <c r="D92" t="inlineStr">
        <is>
          <t>Dex</t>
        </is>
      </c>
      <c r="E92" t="n">
        <v>50</v>
      </c>
      <c r="F92" t="n">
        <v>7.22</v>
      </c>
      <c r="G92" t="b">
        <v>0</v>
      </c>
      <c r="H92">
        <f>Sensitivity!H7</f>
        <v/>
      </c>
    </row>
    <row r="93">
      <c r="A93" t="inlineStr">
        <is>
          <t>ALL</t>
        </is>
      </c>
      <c r="B93" t="inlineStr">
        <is>
          <t>rare</t>
        </is>
      </c>
      <c r="C93" t="n">
        <v>2</v>
      </c>
      <c r="D93" t="inlineStr">
        <is>
          <t>Dex</t>
        </is>
      </c>
      <c r="E93" t="n">
        <v>100</v>
      </c>
      <c r="F93" t="n">
        <v>2.28</v>
      </c>
      <c r="G93" t="b">
        <v>1</v>
      </c>
      <c r="H93">
        <f>Sensitivity!H7</f>
        <v/>
      </c>
    </row>
    <row r="94">
      <c r="A94" t="inlineStr">
        <is>
          <t>ALL</t>
        </is>
      </c>
      <c r="B94" t="inlineStr">
        <is>
          <t>rare</t>
        </is>
      </c>
      <c r="C94" t="n">
        <v>2</v>
      </c>
      <c r="D94" t="inlineStr">
        <is>
          <t>Int</t>
        </is>
      </c>
      <c r="E94" t="n">
        <v>50</v>
      </c>
      <c r="F94" t="n">
        <v>7.22</v>
      </c>
      <c r="G94" t="b">
        <v>0</v>
      </c>
      <c r="H94" t="inlineStr">
        <is>
          <t>0</t>
        </is>
      </c>
    </row>
    <row r="95">
      <c r="A95" t="inlineStr">
        <is>
          <t>ALL</t>
        </is>
      </c>
      <c r="B95" t="inlineStr">
        <is>
          <t>rare</t>
        </is>
      </c>
      <c r="C95" t="n">
        <v>2</v>
      </c>
      <c r="D95" t="inlineStr">
        <is>
          <t>Int</t>
        </is>
      </c>
      <c r="E95" t="n">
        <v>100</v>
      </c>
      <c r="F95" t="n">
        <v>2.28</v>
      </c>
      <c r="G95" t="b">
        <v>1</v>
      </c>
      <c r="H95" t="inlineStr">
        <is>
          <t>0</t>
        </is>
      </c>
    </row>
    <row r="96">
      <c r="A96" t="inlineStr">
        <is>
          <t>ALL</t>
        </is>
      </c>
      <c r="B96" t="inlineStr">
        <is>
          <t>rare</t>
        </is>
      </c>
      <c r="C96" t="n">
        <v>2</v>
      </c>
      <c r="D96" t="inlineStr">
        <is>
          <t>Luk</t>
        </is>
      </c>
      <c r="E96" t="n">
        <v>50</v>
      </c>
      <c r="F96" t="n">
        <v>7.22</v>
      </c>
      <c r="G96" t="b">
        <v>0</v>
      </c>
      <c r="H96" t="inlineStr">
        <is>
          <t>0</t>
        </is>
      </c>
    </row>
    <row r="97">
      <c r="A97" t="inlineStr">
        <is>
          <t>ALL</t>
        </is>
      </c>
      <c r="B97" t="inlineStr">
        <is>
          <t>rare</t>
        </is>
      </c>
      <c r="C97" t="n">
        <v>2</v>
      </c>
      <c r="D97" t="inlineStr">
        <is>
          <t>Luk</t>
        </is>
      </c>
      <c r="E97" t="n">
        <v>100</v>
      </c>
      <c r="F97" t="n">
        <v>2.28</v>
      </c>
      <c r="G97" t="b">
        <v>1</v>
      </c>
      <c r="H97" t="inlineStr">
        <is>
          <t>0</t>
        </is>
      </c>
    </row>
    <row r="98">
      <c r="A98" t="inlineStr">
        <is>
          <t>ALL</t>
        </is>
      </c>
      <c r="B98" t="inlineStr">
        <is>
          <t>rare</t>
        </is>
      </c>
      <c r="C98" t="n">
        <v>3</v>
      </c>
      <c r="D98" t="inlineStr">
        <is>
          <t>Critical Rate %</t>
        </is>
      </c>
      <c r="E98" t="n">
        <v>3</v>
      </c>
      <c r="F98" t="n">
        <v>2.3</v>
      </c>
      <c r="G98" t="b">
        <v>0</v>
      </c>
      <c r="H98">
        <f>IF(AND(Inputs!$B$10+Summary!$B$14+Artifacts!$B$32&gt;=100,NOT(ArtifactsInput!$M$42),NOT(ArtifactsInput!$M$24)),Sensitivity!H18,Sensitivity!H17)</f>
        <v/>
      </c>
    </row>
    <row r="99">
      <c r="A99" t="inlineStr">
        <is>
          <t>ALL</t>
        </is>
      </c>
      <c r="B99" t="inlineStr">
        <is>
          <t>rare</t>
        </is>
      </c>
      <c r="C99" t="n">
        <v>3</v>
      </c>
      <c r="D99" t="inlineStr">
        <is>
          <t>Critical Rate %</t>
        </is>
      </c>
      <c r="E99" t="n">
        <v>4.5</v>
      </c>
      <c r="F99" t="n">
        <v>0.2</v>
      </c>
      <c r="G99" t="b">
        <v>1</v>
      </c>
      <c r="H99">
        <f>IF(AND(Inputs!$B$10+Summary!$B$14+Artifacts!$B$32&gt;=100,NOT(ArtifactsInput!$M$42),NOT(ArtifactsInput!$M$24)),Sensitivity!H18,Sensitivity!H17)</f>
        <v/>
      </c>
    </row>
    <row r="100">
      <c r="A100" t="inlineStr">
        <is>
          <t>ALL</t>
        </is>
      </c>
      <c r="B100" t="inlineStr">
        <is>
          <t>rare</t>
        </is>
      </c>
      <c r="C100" t="n">
        <v>3</v>
      </c>
      <c r="D100" t="inlineStr">
        <is>
          <t>Attack Speed %</t>
        </is>
      </c>
      <c r="E100" t="n">
        <v>3</v>
      </c>
      <c r="F100" t="n">
        <v>2.3</v>
      </c>
      <c r="G100" t="b">
        <v>0</v>
      </c>
      <c r="H100">
        <f>Sensitivity!H19</f>
        <v/>
      </c>
    </row>
    <row r="101">
      <c r="A101" t="inlineStr">
        <is>
          <t>ALL</t>
        </is>
      </c>
      <c r="B101" t="inlineStr">
        <is>
          <t>rare</t>
        </is>
      </c>
      <c r="C101" t="n">
        <v>3</v>
      </c>
      <c r="D101" t="inlineStr">
        <is>
          <t>Attack Speed %</t>
        </is>
      </c>
      <c r="E101" t="n">
        <v>3.5</v>
      </c>
      <c r="F101" t="n">
        <v>0.2</v>
      </c>
      <c r="G101" t="b">
        <v>1</v>
      </c>
      <c r="H101">
        <f>Sensitivity!H19</f>
        <v/>
      </c>
    </row>
    <row r="102">
      <c r="A102" t="inlineStr">
        <is>
          <t>ALL</t>
        </is>
      </c>
      <c r="B102" t="inlineStr">
        <is>
          <t>rare</t>
        </is>
      </c>
      <c r="C102" t="n">
        <v>3</v>
      </c>
      <c r="D102" t="inlineStr">
        <is>
          <t>Damage %</t>
        </is>
      </c>
      <c r="E102" t="n">
        <v>5</v>
      </c>
      <c r="F102" t="n">
        <v>3.68</v>
      </c>
      <c r="G102" t="b">
        <v>0</v>
      </c>
      <c r="H102">
        <f>Sensitivity!H10</f>
        <v/>
      </c>
    </row>
    <row r="103">
      <c r="A103" t="inlineStr">
        <is>
          <t>ALL</t>
        </is>
      </c>
      <c r="B103" t="inlineStr">
        <is>
          <t>rare</t>
        </is>
      </c>
      <c r="C103" t="n">
        <v>3</v>
      </c>
      <c r="D103" t="inlineStr">
        <is>
          <t>Damage %</t>
        </is>
      </c>
      <c r="E103" t="n">
        <v>8</v>
      </c>
      <c r="F103" t="n">
        <v>0.32</v>
      </c>
      <c r="G103" t="b">
        <v>1</v>
      </c>
      <c r="H103">
        <f>Sensitivity!H10</f>
        <v/>
      </c>
    </row>
    <row r="104">
      <c r="A104" t="inlineStr">
        <is>
          <t>ALL</t>
        </is>
      </c>
      <c r="B104" t="inlineStr">
        <is>
          <t>rare</t>
        </is>
      </c>
      <c r="C104" t="n">
        <v>3</v>
      </c>
      <c r="D104" t="inlineStr">
        <is>
          <t>Min Damage Multiplier %</t>
        </is>
      </c>
      <c r="E104" t="n">
        <v>3</v>
      </c>
      <c r="F104" t="n">
        <v>3.68</v>
      </c>
      <c r="G104" t="b">
        <v>0</v>
      </c>
      <c r="H104">
        <f>Sensitivity!H15</f>
        <v/>
      </c>
    </row>
    <row r="105">
      <c r="A105" t="inlineStr">
        <is>
          <t>ALL</t>
        </is>
      </c>
      <c r="B105" t="inlineStr">
        <is>
          <t>rare</t>
        </is>
      </c>
      <c r="C105" t="n">
        <v>3</v>
      </c>
      <c r="D105" t="inlineStr">
        <is>
          <t>Min Damage Multiplier %</t>
        </is>
      </c>
      <c r="E105" t="n">
        <v>6</v>
      </c>
      <c r="F105" t="n">
        <v>0.32</v>
      </c>
      <c r="G105" t="b">
        <v>1</v>
      </c>
      <c r="H105">
        <f>Sensitivity!H15</f>
        <v/>
      </c>
    </row>
    <row r="106">
      <c r="A106" t="inlineStr">
        <is>
          <t>ALL</t>
        </is>
      </c>
      <c r="B106" t="inlineStr">
        <is>
          <t>rare</t>
        </is>
      </c>
      <c r="C106" t="n">
        <v>3</v>
      </c>
      <c r="D106" t="inlineStr">
        <is>
          <t>Max Damage Multiplier %</t>
        </is>
      </c>
      <c r="E106" t="n">
        <v>3</v>
      </c>
      <c r="F106" t="n">
        <v>3.68</v>
      </c>
      <c r="G106" t="b">
        <v>0</v>
      </c>
      <c r="H106">
        <f>Sensitivity!H16</f>
        <v/>
      </c>
    </row>
    <row r="107">
      <c r="A107" t="inlineStr">
        <is>
          <t>ALL</t>
        </is>
      </c>
      <c r="B107" t="inlineStr">
        <is>
          <t>rare</t>
        </is>
      </c>
      <c r="C107" t="n">
        <v>3</v>
      </c>
      <c r="D107" t="inlineStr">
        <is>
          <t>Max Damage Multiplier %</t>
        </is>
      </c>
      <c r="E107" t="n">
        <v>6</v>
      </c>
      <c r="F107" t="n">
        <v>0.32</v>
      </c>
      <c r="G107" t="b">
        <v>1</v>
      </c>
      <c r="H107">
        <f>Sensitivity!H16</f>
        <v/>
      </c>
    </row>
    <row r="108">
      <c r="A108" t="inlineStr">
        <is>
          <t>ALL</t>
        </is>
      </c>
      <c r="B108" t="inlineStr">
        <is>
          <t>rare</t>
        </is>
      </c>
      <c r="C108" t="n">
        <v>3</v>
      </c>
      <c r="D108" t="inlineStr">
        <is>
          <t>Str %</t>
        </is>
      </c>
      <c r="E108" t="n">
        <v>3</v>
      </c>
      <c r="F108" t="n">
        <v>4.14</v>
      </c>
      <c r="G108" t="b">
        <v>0</v>
      </c>
      <c r="H108">
        <f>Sensitivity!H6</f>
        <v/>
      </c>
    </row>
    <row r="109">
      <c r="A109" t="inlineStr">
        <is>
          <t>ALL</t>
        </is>
      </c>
      <c r="B109" t="inlineStr">
        <is>
          <t>rare</t>
        </is>
      </c>
      <c r="C109" t="n">
        <v>3</v>
      </c>
      <c r="D109" t="inlineStr">
        <is>
          <t>Str %</t>
        </is>
      </c>
      <c r="E109" t="n">
        <v>4.5</v>
      </c>
      <c r="F109" t="n">
        <v>0.36</v>
      </c>
      <c r="G109" t="b">
        <v>1</v>
      </c>
      <c r="H109">
        <f>Sensitivity!H6</f>
        <v/>
      </c>
    </row>
    <row r="110">
      <c r="A110" t="inlineStr">
        <is>
          <t>ALL</t>
        </is>
      </c>
      <c r="B110" t="inlineStr">
        <is>
          <t>rare</t>
        </is>
      </c>
      <c r="C110" t="n">
        <v>3</v>
      </c>
      <c r="D110" t="inlineStr">
        <is>
          <t>Dex %</t>
        </is>
      </c>
      <c r="E110" t="n">
        <v>3</v>
      </c>
      <c r="F110" t="n">
        <v>4.14</v>
      </c>
      <c r="G110" t="b">
        <v>0</v>
      </c>
      <c r="H110">
        <f>Sensitivity!H7*Inputs!$B$15/100</f>
        <v/>
      </c>
    </row>
    <row r="111">
      <c r="A111" t="inlineStr">
        <is>
          <t>ALL</t>
        </is>
      </c>
      <c r="B111" t="inlineStr">
        <is>
          <t>rare</t>
        </is>
      </c>
      <c r="C111" t="n">
        <v>3</v>
      </c>
      <c r="D111" t="inlineStr">
        <is>
          <t>Dex %</t>
        </is>
      </c>
      <c r="E111" t="n">
        <v>4.5</v>
      </c>
      <c r="F111" t="n">
        <v>0.36</v>
      </c>
      <c r="G111" t="b">
        <v>1</v>
      </c>
      <c r="H111">
        <f>Sensitivity!H7*Inputs!$B$15/100</f>
        <v/>
      </c>
    </row>
    <row r="112">
      <c r="A112" t="inlineStr">
        <is>
          <t>ALL</t>
        </is>
      </c>
      <c r="B112" t="inlineStr">
        <is>
          <t>rare</t>
        </is>
      </c>
      <c r="C112" t="n">
        <v>3</v>
      </c>
      <c r="D112" t="inlineStr">
        <is>
          <t>Int %</t>
        </is>
      </c>
      <c r="E112" t="n">
        <v>3</v>
      </c>
      <c r="F112" t="n">
        <v>4.14</v>
      </c>
      <c r="G112" t="b">
        <v>0</v>
      </c>
      <c r="H112" t="inlineStr">
        <is>
          <t>0</t>
        </is>
      </c>
    </row>
    <row r="113">
      <c r="A113" t="inlineStr">
        <is>
          <t>ALL</t>
        </is>
      </c>
      <c r="B113" t="inlineStr">
        <is>
          <t>rare</t>
        </is>
      </c>
      <c r="C113" t="n">
        <v>3</v>
      </c>
      <c r="D113" t="inlineStr">
        <is>
          <t>Int %</t>
        </is>
      </c>
      <c r="E113" t="n">
        <v>4.5</v>
      </c>
      <c r="F113" t="n">
        <v>0.36</v>
      </c>
      <c r="G113" t="b">
        <v>1</v>
      </c>
      <c r="H113" t="inlineStr">
        <is>
          <t>0</t>
        </is>
      </c>
    </row>
    <row r="114">
      <c r="A114" t="inlineStr">
        <is>
          <t>ALL</t>
        </is>
      </c>
      <c r="B114" t="inlineStr">
        <is>
          <t>rare</t>
        </is>
      </c>
      <c r="C114" t="n">
        <v>3</v>
      </c>
      <c r="D114" t="inlineStr">
        <is>
          <t>Luk %</t>
        </is>
      </c>
      <c r="E114" t="n">
        <v>3</v>
      </c>
      <c r="F114" t="n">
        <v>4.14</v>
      </c>
      <c r="G114" t="b">
        <v>0</v>
      </c>
      <c r="H114" t="inlineStr">
        <is>
          <t>0</t>
        </is>
      </c>
    </row>
    <row r="115">
      <c r="A115" t="inlineStr">
        <is>
          <t>ALL</t>
        </is>
      </c>
      <c r="B115" t="inlineStr">
        <is>
          <t>rare</t>
        </is>
      </c>
      <c r="C115" t="n">
        <v>3</v>
      </c>
      <c r="D115" t="inlineStr">
        <is>
          <t>Luk %</t>
        </is>
      </c>
      <c r="E115" t="n">
        <v>4.5</v>
      </c>
      <c r="F115" t="n">
        <v>0.36</v>
      </c>
      <c r="G115" t="b">
        <v>1</v>
      </c>
      <c r="H115" t="inlineStr">
        <is>
          <t>0</t>
        </is>
      </c>
    </row>
    <row r="116">
      <c r="A116" t="inlineStr">
        <is>
          <t>ALL</t>
        </is>
      </c>
      <c r="B116" t="inlineStr">
        <is>
          <t>rare</t>
        </is>
      </c>
      <c r="C116" t="n">
        <v>3</v>
      </c>
      <c r="D116" t="inlineStr">
        <is>
          <t>Defense %</t>
        </is>
      </c>
      <c r="E116" t="n">
        <v>3</v>
      </c>
      <c r="F116" t="n">
        <v>8.279999999999999</v>
      </c>
      <c r="G116" t="b">
        <v>0</v>
      </c>
      <c r="H116">
        <f>Sensitivity!H9</f>
        <v/>
      </c>
    </row>
    <row r="117">
      <c r="A117" t="inlineStr">
        <is>
          <t>ALL</t>
        </is>
      </c>
      <c r="B117" t="inlineStr">
        <is>
          <t>rare</t>
        </is>
      </c>
      <c r="C117" t="n">
        <v>3</v>
      </c>
      <c r="D117" t="inlineStr">
        <is>
          <t>Defense %</t>
        </is>
      </c>
      <c r="E117" t="n">
        <v>4.5</v>
      </c>
      <c r="F117" t="n">
        <v>0.72</v>
      </c>
      <c r="G117" t="b">
        <v>1</v>
      </c>
      <c r="H117">
        <f>Sensitivity!H9</f>
        <v/>
      </c>
    </row>
    <row r="118">
      <c r="A118" t="inlineStr">
        <is>
          <t>ALL</t>
        </is>
      </c>
      <c r="B118" t="inlineStr">
        <is>
          <t>rare</t>
        </is>
      </c>
      <c r="C118" t="n">
        <v>3</v>
      </c>
      <c r="D118" t="inlineStr">
        <is>
          <t>Max HP %</t>
        </is>
      </c>
      <c r="E118" t="n">
        <v>6</v>
      </c>
      <c r="F118" t="n">
        <v>8.279999999999999</v>
      </c>
      <c r="G118" t="b">
        <v>0</v>
      </c>
      <c r="H118" t="inlineStr">
        <is>
          <t>0</t>
        </is>
      </c>
    </row>
    <row r="119">
      <c r="A119" t="inlineStr">
        <is>
          <t>ALL</t>
        </is>
      </c>
      <c r="B119" t="inlineStr">
        <is>
          <t>rare</t>
        </is>
      </c>
      <c r="C119" t="n">
        <v>3</v>
      </c>
      <c r="D119" t="inlineStr">
        <is>
          <t>Max HP %</t>
        </is>
      </c>
      <c r="E119" t="n">
        <v>9</v>
      </c>
      <c r="F119" t="n">
        <v>0.72</v>
      </c>
      <c r="G119" t="b">
        <v>1</v>
      </c>
      <c r="H119" t="inlineStr">
        <is>
          <t>0</t>
        </is>
      </c>
    </row>
    <row r="120">
      <c r="A120" t="inlineStr">
        <is>
          <t>ALL</t>
        </is>
      </c>
      <c r="B120" t="inlineStr">
        <is>
          <t>rare</t>
        </is>
      </c>
      <c r="C120" t="n">
        <v>3</v>
      </c>
      <c r="D120" t="inlineStr">
        <is>
          <t>Max MP %</t>
        </is>
      </c>
      <c r="E120" t="n">
        <v>3</v>
      </c>
      <c r="F120" t="n">
        <v>8.279999999999999</v>
      </c>
      <c r="G120" t="b">
        <v>0</v>
      </c>
      <c r="H120" t="inlineStr">
        <is>
          <t>0</t>
        </is>
      </c>
    </row>
    <row r="121">
      <c r="A121" t="inlineStr">
        <is>
          <t>ALL</t>
        </is>
      </c>
      <c r="B121" t="inlineStr">
        <is>
          <t>rare</t>
        </is>
      </c>
      <c r="C121" t="n">
        <v>3</v>
      </c>
      <c r="D121" t="inlineStr">
        <is>
          <t>Max MP %</t>
        </is>
      </c>
      <c r="E121" t="n">
        <v>4.5</v>
      </c>
      <c r="F121" t="n">
        <v>0.72</v>
      </c>
      <c r="G121" t="b">
        <v>1</v>
      </c>
      <c r="H121" t="inlineStr">
        <is>
          <t>0</t>
        </is>
      </c>
    </row>
    <row r="122">
      <c r="A122" t="inlineStr">
        <is>
          <t>ALL</t>
        </is>
      </c>
      <c r="B122" t="inlineStr">
        <is>
          <t>rare</t>
        </is>
      </c>
      <c r="C122" t="n">
        <v>3</v>
      </c>
      <c r="D122" t="inlineStr">
        <is>
          <t>Str</t>
        </is>
      </c>
      <c r="E122" t="n">
        <v>50</v>
      </c>
      <c r="F122" t="n">
        <v>8.74</v>
      </c>
      <c r="G122" t="b">
        <v>0</v>
      </c>
      <c r="H122">
        <f>Sensitivity!H5</f>
        <v/>
      </c>
    </row>
    <row r="123">
      <c r="A123" t="inlineStr">
        <is>
          <t>ALL</t>
        </is>
      </c>
      <c r="B123" t="inlineStr">
        <is>
          <t>rare</t>
        </is>
      </c>
      <c r="C123" t="n">
        <v>3</v>
      </c>
      <c r="D123" t="inlineStr">
        <is>
          <t>Str</t>
        </is>
      </c>
      <c r="E123" t="n">
        <v>100</v>
      </c>
      <c r="F123" t="n">
        <v>0.76</v>
      </c>
      <c r="G123" t="b">
        <v>1</v>
      </c>
      <c r="H123">
        <f>Sensitivity!H5</f>
        <v/>
      </c>
    </row>
    <row r="124">
      <c r="A124" t="inlineStr">
        <is>
          <t>ALL</t>
        </is>
      </c>
      <c r="B124" t="inlineStr">
        <is>
          <t>rare</t>
        </is>
      </c>
      <c r="C124" t="n">
        <v>3</v>
      </c>
      <c r="D124" t="inlineStr">
        <is>
          <t>Dex</t>
        </is>
      </c>
      <c r="E124" t="n">
        <v>50</v>
      </c>
      <c r="F124" t="n">
        <v>8.74</v>
      </c>
      <c r="G124" t="b">
        <v>0</v>
      </c>
      <c r="H124">
        <f>Sensitivity!H7</f>
        <v/>
      </c>
    </row>
    <row r="125">
      <c r="A125" t="inlineStr">
        <is>
          <t>ALL</t>
        </is>
      </c>
      <c r="B125" t="inlineStr">
        <is>
          <t>rare</t>
        </is>
      </c>
      <c r="C125" t="n">
        <v>3</v>
      </c>
      <c r="D125" t="inlineStr">
        <is>
          <t>Dex</t>
        </is>
      </c>
      <c r="E125" t="n">
        <v>100</v>
      </c>
      <c r="F125" t="n">
        <v>0.76</v>
      </c>
      <c r="G125" t="b">
        <v>1</v>
      </c>
      <c r="H125">
        <f>Sensitivity!H7</f>
        <v/>
      </c>
    </row>
    <row r="126">
      <c r="A126" t="inlineStr">
        <is>
          <t>ALL</t>
        </is>
      </c>
      <c r="B126" t="inlineStr">
        <is>
          <t>rare</t>
        </is>
      </c>
      <c r="C126" t="n">
        <v>3</v>
      </c>
      <c r="D126" t="inlineStr">
        <is>
          <t>Int</t>
        </is>
      </c>
      <c r="E126" t="n">
        <v>50</v>
      </c>
      <c r="F126" t="n">
        <v>8.74</v>
      </c>
      <c r="G126" t="b">
        <v>0</v>
      </c>
      <c r="H126" t="inlineStr">
        <is>
          <t>0</t>
        </is>
      </c>
    </row>
    <row r="127">
      <c r="A127" t="inlineStr">
        <is>
          <t>ALL</t>
        </is>
      </c>
      <c r="B127" t="inlineStr">
        <is>
          <t>rare</t>
        </is>
      </c>
      <c r="C127" t="n">
        <v>3</v>
      </c>
      <c r="D127" t="inlineStr">
        <is>
          <t>Int</t>
        </is>
      </c>
      <c r="E127" t="n">
        <v>100</v>
      </c>
      <c r="F127" t="n">
        <v>0.76</v>
      </c>
      <c r="G127" t="b">
        <v>1</v>
      </c>
      <c r="H127" t="inlineStr">
        <is>
          <t>0</t>
        </is>
      </c>
    </row>
    <row r="128">
      <c r="A128" t="inlineStr">
        <is>
          <t>ALL</t>
        </is>
      </c>
      <c r="B128" t="inlineStr">
        <is>
          <t>rare</t>
        </is>
      </c>
      <c r="C128" t="n">
        <v>3</v>
      </c>
      <c r="D128" t="inlineStr">
        <is>
          <t>Luk</t>
        </is>
      </c>
      <c r="E128" t="n">
        <v>50</v>
      </c>
      <c r="F128" t="n">
        <v>8.74</v>
      </c>
      <c r="G128" t="b">
        <v>0</v>
      </c>
      <c r="H128" t="inlineStr">
        <is>
          <t>0</t>
        </is>
      </c>
    </row>
    <row r="129">
      <c r="A129" t="inlineStr">
        <is>
          <t>ALL</t>
        </is>
      </c>
      <c r="B129" t="inlineStr">
        <is>
          <t>rare</t>
        </is>
      </c>
      <c r="C129" t="n">
        <v>3</v>
      </c>
      <c r="D129" t="inlineStr">
        <is>
          <t>Luk</t>
        </is>
      </c>
      <c r="E129" t="n">
        <v>100</v>
      </c>
      <c r="F129" t="n">
        <v>0.76</v>
      </c>
      <c r="G129" t="b">
        <v>1</v>
      </c>
      <c r="H129" t="inlineStr">
        <is>
          <t>0</t>
        </is>
      </c>
    </row>
    <row r="130">
      <c r="A130" t="inlineStr">
        <is>
          <t>ALL</t>
        </is>
      </c>
      <c r="B130" t="inlineStr">
        <is>
          <t>epic</t>
        </is>
      </c>
      <c r="C130" t="n">
        <v>1</v>
      </c>
      <c r="D130" t="inlineStr">
        <is>
          <t>Critical Rate %</t>
        </is>
      </c>
      <c r="E130" t="n">
        <v>6</v>
      </c>
      <c r="F130" t="n">
        <v>2.5</v>
      </c>
      <c r="G130" t="b">
        <v>1</v>
      </c>
      <c r="H130">
        <f>IF(AND(Inputs!$B$10+Summary!$B$14+Artifacts!$B$32&gt;=100,NOT(ArtifactsInput!$M$42),NOT(ArtifactsInput!$M$24)),Sensitivity!H18,Sensitivity!H17)</f>
        <v/>
      </c>
    </row>
    <row r="131">
      <c r="A131" t="inlineStr">
        <is>
          <t>ALL</t>
        </is>
      </c>
      <c r="B131" t="inlineStr">
        <is>
          <t>epic</t>
        </is>
      </c>
      <c r="C131" t="n">
        <v>1</v>
      </c>
      <c r="D131" t="inlineStr">
        <is>
          <t>Attack Speed %</t>
        </is>
      </c>
      <c r="E131" t="n">
        <v>4</v>
      </c>
      <c r="F131" t="n">
        <v>2.5</v>
      </c>
      <c r="G131" t="b">
        <v>1</v>
      </c>
      <c r="H131">
        <f>Sensitivity!H19</f>
        <v/>
      </c>
    </row>
    <row r="132">
      <c r="A132" t="inlineStr">
        <is>
          <t>ALL</t>
        </is>
      </c>
      <c r="B132" t="inlineStr">
        <is>
          <t>epic</t>
        </is>
      </c>
      <c r="C132" t="n">
        <v>1</v>
      </c>
      <c r="D132" t="inlineStr">
        <is>
          <t>Damage %</t>
        </is>
      </c>
      <c r="E132" t="n">
        <v>12</v>
      </c>
      <c r="F132" t="n">
        <v>4</v>
      </c>
      <c r="G132" t="b">
        <v>1</v>
      </c>
      <c r="H132">
        <f>Sensitivity!H10</f>
        <v/>
      </c>
    </row>
    <row r="133">
      <c r="A133" t="inlineStr">
        <is>
          <t>ALL</t>
        </is>
      </c>
      <c r="B133" t="inlineStr">
        <is>
          <t>epic</t>
        </is>
      </c>
      <c r="C133" t="n">
        <v>1</v>
      </c>
      <c r="D133" t="inlineStr">
        <is>
          <t>Min Damage Multiplier %</t>
        </is>
      </c>
      <c r="E133" t="n">
        <v>8</v>
      </c>
      <c r="F133" t="n">
        <v>4</v>
      </c>
      <c r="G133" t="b">
        <v>1</v>
      </c>
      <c r="H133">
        <f>Sensitivity!H15</f>
        <v/>
      </c>
    </row>
    <row r="134">
      <c r="A134" t="inlineStr">
        <is>
          <t>ALL</t>
        </is>
      </c>
      <c r="B134" t="inlineStr">
        <is>
          <t>epic</t>
        </is>
      </c>
      <c r="C134" t="n">
        <v>1</v>
      </c>
      <c r="D134" t="inlineStr">
        <is>
          <t>Max Damage Multiplier %</t>
        </is>
      </c>
      <c r="E134" t="n">
        <v>8</v>
      </c>
      <c r="F134" t="n">
        <v>4</v>
      </c>
      <c r="G134" t="b">
        <v>1</v>
      </c>
      <c r="H134">
        <f>Sensitivity!H16</f>
        <v/>
      </c>
    </row>
    <row r="135">
      <c r="A135" t="inlineStr">
        <is>
          <t>ALL</t>
        </is>
      </c>
      <c r="B135" t="inlineStr">
        <is>
          <t>epic</t>
        </is>
      </c>
      <c r="C135" t="n">
        <v>1</v>
      </c>
      <c r="D135" t="inlineStr">
        <is>
          <t>Str %</t>
        </is>
      </c>
      <c r="E135" t="n">
        <v>6</v>
      </c>
      <c r="F135" t="n">
        <v>4.5</v>
      </c>
      <c r="G135" t="b">
        <v>1</v>
      </c>
      <c r="H135">
        <f>Sensitivity!H6</f>
        <v/>
      </c>
    </row>
    <row r="136">
      <c r="A136" t="inlineStr">
        <is>
          <t>ALL</t>
        </is>
      </c>
      <c r="B136" t="inlineStr">
        <is>
          <t>epic</t>
        </is>
      </c>
      <c r="C136" t="n">
        <v>1</v>
      </c>
      <c r="D136" t="inlineStr">
        <is>
          <t>Dex %</t>
        </is>
      </c>
      <c r="E136" t="n">
        <v>6</v>
      </c>
      <c r="F136" t="n">
        <v>4.5</v>
      </c>
      <c r="G136" t="b">
        <v>1</v>
      </c>
      <c r="H136">
        <f>Sensitivity!H7*Inputs!$B$15/100</f>
        <v/>
      </c>
    </row>
    <row r="137">
      <c r="A137" t="inlineStr">
        <is>
          <t>ALL</t>
        </is>
      </c>
      <c r="B137" t="inlineStr">
        <is>
          <t>epic</t>
        </is>
      </c>
      <c r="C137" t="n">
        <v>1</v>
      </c>
      <c r="D137" t="inlineStr">
        <is>
          <t>Int %</t>
        </is>
      </c>
      <c r="E137" t="n">
        <v>6</v>
      </c>
      <c r="F137" t="n">
        <v>4.5</v>
      </c>
      <c r="G137" t="b">
        <v>1</v>
      </c>
      <c r="H137" t="inlineStr">
        <is>
          <t>0</t>
        </is>
      </c>
    </row>
    <row r="138">
      <c r="A138" t="inlineStr">
        <is>
          <t>ALL</t>
        </is>
      </c>
      <c r="B138" t="inlineStr">
        <is>
          <t>epic</t>
        </is>
      </c>
      <c r="C138" t="n">
        <v>1</v>
      </c>
      <c r="D138" t="inlineStr">
        <is>
          <t>Luk %</t>
        </is>
      </c>
      <c r="E138" t="n">
        <v>6</v>
      </c>
      <c r="F138" t="n">
        <v>4.5</v>
      </c>
      <c r="G138" t="b">
        <v>1</v>
      </c>
      <c r="H138" t="inlineStr">
        <is>
          <t>0</t>
        </is>
      </c>
    </row>
    <row r="139">
      <c r="A139" t="inlineStr">
        <is>
          <t>ALL</t>
        </is>
      </c>
      <c r="B139" t="inlineStr">
        <is>
          <t>epic</t>
        </is>
      </c>
      <c r="C139" t="n">
        <v>1</v>
      </c>
      <c r="D139" t="inlineStr">
        <is>
          <t>Defense %</t>
        </is>
      </c>
      <c r="E139" t="n">
        <v>6</v>
      </c>
      <c r="F139" t="n">
        <v>9</v>
      </c>
      <c r="G139" t="b">
        <v>1</v>
      </c>
      <c r="H139">
        <f>Sensitivity!H9</f>
        <v/>
      </c>
    </row>
    <row r="140">
      <c r="A140" t="inlineStr">
        <is>
          <t>ALL</t>
        </is>
      </c>
      <c r="B140" t="inlineStr">
        <is>
          <t>epic</t>
        </is>
      </c>
      <c r="C140" t="n">
        <v>1</v>
      </c>
      <c r="D140" t="inlineStr">
        <is>
          <t>Max HP %</t>
        </is>
      </c>
      <c r="E140" t="n">
        <v>12</v>
      </c>
      <c r="F140" t="n">
        <v>9</v>
      </c>
      <c r="G140" t="b">
        <v>1</v>
      </c>
      <c r="H140" t="inlineStr">
        <is>
          <t>0</t>
        </is>
      </c>
    </row>
    <row r="141">
      <c r="A141" t="inlineStr">
        <is>
          <t>ALL</t>
        </is>
      </c>
      <c r="B141" t="inlineStr">
        <is>
          <t>epic</t>
        </is>
      </c>
      <c r="C141" t="n">
        <v>1</v>
      </c>
      <c r="D141" t="inlineStr">
        <is>
          <t>Max MP %</t>
        </is>
      </c>
      <c r="E141" t="n">
        <v>6</v>
      </c>
      <c r="F141" t="n">
        <v>9</v>
      </c>
      <c r="G141" t="b">
        <v>1</v>
      </c>
      <c r="H141" t="inlineStr">
        <is>
          <t>0</t>
        </is>
      </c>
    </row>
    <row r="142">
      <c r="A142" t="inlineStr">
        <is>
          <t>ALL</t>
        </is>
      </c>
      <c r="B142" t="inlineStr">
        <is>
          <t>epic</t>
        </is>
      </c>
      <c r="C142" t="n">
        <v>1</v>
      </c>
      <c r="D142" t="inlineStr">
        <is>
          <t>Str</t>
        </is>
      </c>
      <c r="E142" t="n">
        <v>200</v>
      </c>
      <c r="F142" t="n">
        <v>9.25</v>
      </c>
      <c r="G142" t="b">
        <v>1</v>
      </c>
      <c r="H142">
        <f>Sensitivity!H5</f>
        <v/>
      </c>
    </row>
    <row r="143">
      <c r="A143" t="inlineStr">
        <is>
          <t>ALL</t>
        </is>
      </c>
      <c r="B143" t="inlineStr">
        <is>
          <t>epic</t>
        </is>
      </c>
      <c r="C143" t="n">
        <v>1</v>
      </c>
      <c r="D143" t="inlineStr">
        <is>
          <t>Dex</t>
        </is>
      </c>
      <c r="E143" t="n">
        <v>200</v>
      </c>
      <c r="F143" t="n">
        <v>9.25</v>
      </c>
      <c r="G143" t="b">
        <v>1</v>
      </c>
      <c r="H143">
        <f>Sensitivity!H7</f>
        <v/>
      </c>
    </row>
    <row r="144">
      <c r="A144" t="inlineStr">
        <is>
          <t>ALL</t>
        </is>
      </c>
      <c r="B144" t="inlineStr">
        <is>
          <t>epic</t>
        </is>
      </c>
      <c r="C144" t="n">
        <v>1</v>
      </c>
      <c r="D144" t="inlineStr">
        <is>
          <t>Int</t>
        </is>
      </c>
      <c r="E144" t="n">
        <v>200</v>
      </c>
      <c r="F144" t="n">
        <v>9.25</v>
      </c>
      <c r="G144" t="b">
        <v>1</v>
      </c>
      <c r="H144" t="inlineStr">
        <is>
          <t>0</t>
        </is>
      </c>
    </row>
    <row r="145">
      <c r="A145" t="inlineStr">
        <is>
          <t>ALL</t>
        </is>
      </c>
      <c r="B145" t="inlineStr">
        <is>
          <t>epic</t>
        </is>
      </c>
      <c r="C145" t="n">
        <v>1</v>
      </c>
      <c r="D145" t="inlineStr">
        <is>
          <t>Luk</t>
        </is>
      </c>
      <c r="E145" t="n">
        <v>200</v>
      </c>
      <c r="F145" t="n">
        <v>9.25</v>
      </c>
      <c r="G145" t="b">
        <v>1</v>
      </c>
      <c r="H145" t="inlineStr">
        <is>
          <t>0</t>
        </is>
      </c>
    </row>
    <row r="146">
      <c r="A146" t="inlineStr">
        <is>
          <t>ALL</t>
        </is>
      </c>
      <c r="B146" t="inlineStr">
        <is>
          <t>epic</t>
        </is>
      </c>
      <c r="C146" t="n">
        <v>2</v>
      </c>
      <c r="D146" t="inlineStr">
        <is>
          <t>Critical Rate %</t>
        </is>
      </c>
      <c r="E146" t="n">
        <v>4.5</v>
      </c>
      <c r="F146" t="n">
        <v>1.9</v>
      </c>
      <c r="G146" t="b">
        <v>0</v>
      </c>
      <c r="H146">
        <f>IF(AND(Inputs!$B$10+Summary!$B$14+Artifacts!$B$32&gt;=100,NOT(ArtifactsInput!$M$42),NOT(ArtifactsInput!$M$24)),Sensitivity!H18,Sensitivity!H17)</f>
        <v/>
      </c>
    </row>
    <row r="147">
      <c r="A147" t="inlineStr">
        <is>
          <t>ALL</t>
        </is>
      </c>
      <c r="B147" t="inlineStr">
        <is>
          <t>epic</t>
        </is>
      </c>
      <c r="C147" t="n">
        <v>2</v>
      </c>
      <c r="D147" t="inlineStr">
        <is>
          <t>Critical Rate %</t>
        </is>
      </c>
      <c r="E147" t="n">
        <v>6</v>
      </c>
      <c r="F147" t="n">
        <v>0.6</v>
      </c>
      <c r="G147" t="b">
        <v>1</v>
      </c>
      <c r="H147">
        <f>IF(AND(Inputs!$B$10+Summary!$B$14+Artifacts!$B$32&gt;=100,NOT(ArtifactsInput!$M$42),NOT(ArtifactsInput!$M$24)),Sensitivity!H18,Sensitivity!H17)</f>
        <v/>
      </c>
    </row>
    <row r="148">
      <c r="A148" t="inlineStr">
        <is>
          <t>ALL</t>
        </is>
      </c>
      <c r="B148" t="inlineStr">
        <is>
          <t>epic</t>
        </is>
      </c>
      <c r="C148" t="n">
        <v>2</v>
      </c>
      <c r="D148" t="inlineStr">
        <is>
          <t>Attack Speed %</t>
        </is>
      </c>
      <c r="E148" t="n">
        <v>3.5</v>
      </c>
      <c r="F148" t="n">
        <v>1.9</v>
      </c>
      <c r="G148" t="b">
        <v>0</v>
      </c>
      <c r="H148">
        <f>Sensitivity!H19</f>
        <v/>
      </c>
    </row>
    <row r="149">
      <c r="A149" t="inlineStr">
        <is>
          <t>ALL</t>
        </is>
      </c>
      <c r="B149" t="inlineStr">
        <is>
          <t>epic</t>
        </is>
      </c>
      <c r="C149" t="n">
        <v>2</v>
      </c>
      <c r="D149" t="inlineStr">
        <is>
          <t>Attack Speed %</t>
        </is>
      </c>
      <c r="E149" t="n">
        <v>4</v>
      </c>
      <c r="F149" t="n">
        <v>0.6</v>
      </c>
      <c r="G149" t="b">
        <v>1</v>
      </c>
      <c r="H149">
        <f>Sensitivity!H19</f>
        <v/>
      </c>
    </row>
    <row r="150">
      <c r="A150" t="inlineStr">
        <is>
          <t>ALL</t>
        </is>
      </c>
      <c r="B150" t="inlineStr">
        <is>
          <t>epic</t>
        </is>
      </c>
      <c r="C150" t="n">
        <v>2</v>
      </c>
      <c r="D150" t="inlineStr">
        <is>
          <t>Damage %</t>
        </is>
      </c>
      <c r="E150" t="n">
        <v>8</v>
      </c>
      <c r="F150" t="n">
        <v>3.04</v>
      </c>
      <c r="G150" t="b">
        <v>0</v>
      </c>
      <c r="H150">
        <f>Sensitivity!H10</f>
        <v/>
      </c>
    </row>
    <row r="151">
      <c r="A151" t="inlineStr">
        <is>
          <t>ALL</t>
        </is>
      </c>
      <c r="B151" t="inlineStr">
        <is>
          <t>epic</t>
        </is>
      </c>
      <c r="C151" t="n">
        <v>2</v>
      </c>
      <c r="D151" t="inlineStr">
        <is>
          <t>Damage %</t>
        </is>
      </c>
      <c r="E151" t="n">
        <v>12</v>
      </c>
      <c r="F151" t="n">
        <v>0.96</v>
      </c>
      <c r="G151" t="b">
        <v>1</v>
      </c>
      <c r="H151">
        <f>Sensitivity!H10</f>
        <v/>
      </c>
    </row>
    <row r="152">
      <c r="A152" t="inlineStr">
        <is>
          <t>ALL</t>
        </is>
      </c>
      <c r="B152" t="inlineStr">
        <is>
          <t>epic</t>
        </is>
      </c>
      <c r="C152" t="n">
        <v>2</v>
      </c>
      <c r="D152" t="inlineStr">
        <is>
          <t>Min Damage Multiplier %</t>
        </is>
      </c>
      <c r="E152" t="n">
        <v>6</v>
      </c>
      <c r="F152" t="n">
        <v>3.04</v>
      </c>
      <c r="G152" t="b">
        <v>0</v>
      </c>
      <c r="H152">
        <f>Sensitivity!H15</f>
        <v/>
      </c>
    </row>
    <row r="153">
      <c r="A153" t="inlineStr">
        <is>
          <t>ALL</t>
        </is>
      </c>
      <c r="B153" t="inlineStr">
        <is>
          <t>epic</t>
        </is>
      </c>
      <c r="C153" t="n">
        <v>2</v>
      </c>
      <c r="D153" t="inlineStr">
        <is>
          <t>Min Damage Multiplier %</t>
        </is>
      </c>
      <c r="E153" t="n">
        <v>8</v>
      </c>
      <c r="F153" t="n">
        <v>0.96</v>
      </c>
      <c r="G153" t="b">
        <v>1</v>
      </c>
      <c r="H153">
        <f>Sensitivity!H15</f>
        <v/>
      </c>
    </row>
    <row r="154">
      <c r="A154" t="inlineStr">
        <is>
          <t>ALL</t>
        </is>
      </c>
      <c r="B154" t="inlineStr">
        <is>
          <t>epic</t>
        </is>
      </c>
      <c r="C154" t="n">
        <v>2</v>
      </c>
      <c r="D154" t="inlineStr">
        <is>
          <t>Max Damage Multiplier %</t>
        </is>
      </c>
      <c r="E154" t="n">
        <v>6</v>
      </c>
      <c r="F154" t="n">
        <v>3.04</v>
      </c>
      <c r="G154" t="b">
        <v>0</v>
      </c>
      <c r="H154">
        <f>Sensitivity!H16</f>
        <v/>
      </c>
    </row>
    <row r="155">
      <c r="A155" t="inlineStr">
        <is>
          <t>ALL</t>
        </is>
      </c>
      <c r="B155" t="inlineStr">
        <is>
          <t>epic</t>
        </is>
      </c>
      <c r="C155" t="n">
        <v>2</v>
      </c>
      <c r="D155" t="inlineStr">
        <is>
          <t>Max Damage Multiplier %</t>
        </is>
      </c>
      <c r="E155" t="n">
        <v>8</v>
      </c>
      <c r="F155" t="n">
        <v>0.96</v>
      </c>
      <c r="G155" t="b">
        <v>1</v>
      </c>
      <c r="H155">
        <f>Sensitivity!H16</f>
        <v/>
      </c>
    </row>
    <row r="156">
      <c r="A156" t="inlineStr">
        <is>
          <t>ALL</t>
        </is>
      </c>
      <c r="B156" t="inlineStr">
        <is>
          <t>epic</t>
        </is>
      </c>
      <c r="C156" t="n">
        <v>2</v>
      </c>
      <c r="D156" t="inlineStr">
        <is>
          <t>Str %</t>
        </is>
      </c>
      <c r="E156" t="n">
        <v>4.5</v>
      </c>
      <c r="F156" t="n">
        <v>3.42</v>
      </c>
      <c r="G156" t="b">
        <v>0</v>
      </c>
      <c r="H156">
        <f>Sensitivity!H6</f>
        <v/>
      </c>
    </row>
    <row r="157">
      <c r="A157" t="inlineStr">
        <is>
          <t>ALL</t>
        </is>
      </c>
      <c r="B157" t="inlineStr">
        <is>
          <t>epic</t>
        </is>
      </c>
      <c r="C157" t="n">
        <v>2</v>
      </c>
      <c r="D157" t="inlineStr">
        <is>
          <t>Str %</t>
        </is>
      </c>
      <c r="E157" t="n">
        <v>6</v>
      </c>
      <c r="F157" t="n">
        <v>1.08</v>
      </c>
      <c r="G157" t="b">
        <v>1</v>
      </c>
      <c r="H157">
        <f>Sensitivity!H6</f>
        <v/>
      </c>
    </row>
    <row r="158">
      <c r="A158" t="inlineStr">
        <is>
          <t>ALL</t>
        </is>
      </c>
      <c r="B158" t="inlineStr">
        <is>
          <t>epic</t>
        </is>
      </c>
      <c r="C158" t="n">
        <v>2</v>
      </c>
      <c r="D158" t="inlineStr">
        <is>
          <t>Dex %</t>
        </is>
      </c>
      <c r="E158" t="n">
        <v>4.5</v>
      </c>
      <c r="F158" t="n">
        <v>3.42</v>
      </c>
      <c r="G158" t="b">
        <v>0</v>
      </c>
      <c r="H158">
        <f>Sensitivity!H7*Inputs!$B$15/100</f>
        <v/>
      </c>
    </row>
    <row r="159">
      <c r="A159" t="inlineStr">
        <is>
          <t>ALL</t>
        </is>
      </c>
      <c r="B159" t="inlineStr">
        <is>
          <t>epic</t>
        </is>
      </c>
      <c r="C159" t="n">
        <v>2</v>
      </c>
      <c r="D159" t="inlineStr">
        <is>
          <t>Dex %</t>
        </is>
      </c>
      <c r="E159" t="n">
        <v>6</v>
      </c>
      <c r="F159" t="n">
        <v>1.08</v>
      </c>
      <c r="G159" t="b">
        <v>1</v>
      </c>
      <c r="H159">
        <f>Sensitivity!H7*Inputs!$B$15/100</f>
        <v/>
      </c>
    </row>
    <row r="160">
      <c r="A160" t="inlineStr">
        <is>
          <t>ALL</t>
        </is>
      </c>
      <c r="B160" t="inlineStr">
        <is>
          <t>epic</t>
        </is>
      </c>
      <c r="C160" t="n">
        <v>2</v>
      </c>
      <c r="D160" t="inlineStr">
        <is>
          <t>Int %</t>
        </is>
      </c>
      <c r="E160" t="n">
        <v>4.5</v>
      </c>
      <c r="F160" t="n">
        <v>3.42</v>
      </c>
      <c r="G160" t="b">
        <v>0</v>
      </c>
      <c r="H160" t="inlineStr">
        <is>
          <t>0</t>
        </is>
      </c>
    </row>
    <row r="161">
      <c r="A161" t="inlineStr">
        <is>
          <t>ALL</t>
        </is>
      </c>
      <c r="B161" t="inlineStr">
        <is>
          <t>epic</t>
        </is>
      </c>
      <c r="C161" t="n">
        <v>2</v>
      </c>
      <c r="D161" t="inlineStr">
        <is>
          <t>Int %</t>
        </is>
      </c>
      <c r="E161" t="n">
        <v>6</v>
      </c>
      <c r="F161" t="n">
        <v>1.08</v>
      </c>
      <c r="G161" t="b">
        <v>1</v>
      </c>
      <c r="H161" t="inlineStr">
        <is>
          <t>0</t>
        </is>
      </c>
    </row>
    <row r="162">
      <c r="A162" t="inlineStr">
        <is>
          <t>ALL</t>
        </is>
      </c>
      <c r="B162" t="inlineStr">
        <is>
          <t>epic</t>
        </is>
      </c>
      <c r="C162" t="n">
        <v>2</v>
      </c>
      <c r="D162" t="inlineStr">
        <is>
          <t>Luk %</t>
        </is>
      </c>
      <c r="E162" t="n">
        <v>4.5</v>
      </c>
      <c r="F162" t="n">
        <v>3.42</v>
      </c>
      <c r="G162" t="b">
        <v>0</v>
      </c>
      <c r="H162" t="inlineStr">
        <is>
          <t>0</t>
        </is>
      </c>
    </row>
    <row r="163">
      <c r="A163" t="inlineStr">
        <is>
          <t>ALL</t>
        </is>
      </c>
      <c r="B163" t="inlineStr">
        <is>
          <t>epic</t>
        </is>
      </c>
      <c r="C163" t="n">
        <v>2</v>
      </c>
      <c r="D163" t="inlineStr">
        <is>
          <t>Luk %</t>
        </is>
      </c>
      <c r="E163" t="n">
        <v>6</v>
      </c>
      <c r="F163" t="n">
        <v>1.08</v>
      </c>
      <c r="G163" t="b">
        <v>1</v>
      </c>
      <c r="H163" t="inlineStr">
        <is>
          <t>0</t>
        </is>
      </c>
    </row>
    <row r="164">
      <c r="A164" t="inlineStr">
        <is>
          <t>ALL</t>
        </is>
      </c>
      <c r="B164" t="inlineStr">
        <is>
          <t>epic</t>
        </is>
      </c>
      <c r="C164" t="n">
        <v>2</v>
      </c>
      <c r="D164" t="inlineStr">
        <is>
          <t>Defense %</t>
        </is>
      </c>
      <c r="E164" t="n">
        <v>4.5</v>
      </c>
      <c r="F164" t="n">
        <v>6.84</v>
      </c>
      <c r="G164" t="b">
        <v>0</v>
      </c>
      <c r="H164">
        <f>Sensitivity!H9</f>
        <v/>
      </c>
    </row>
    <row r="165">
      <c r="A165" t="inlineStr">
        <is>
          <t>ALL</t>
        </is>
      </c>
      <c r="B165" t="inlineStr">
        <is>
          <t>epic</t>
        </is>
      </c>
      <c r="C165" t="n">
        <v>2</v>
      </c>
      <c r="D165" t="inlineStr">
        <is>
          <t>Defense %</t>
        </is>
      </c>
      <c r="E165" t="n">
        <v>6</v>
      </c>
      <c r="F165" t="n">
        <v>2.16</v>
      </c>
      <c r="G165" t="b">
        <v>1</v>
      </c>
      <c r="H165">
        <f>Sensitivity!H9</f>
        <v/>
      </c>
    </row>
    <row r="166">
      <c r="A166" t="inlineStr">
        <is>
          <t>ALL</t>
        </is>
      </c>
      <c r="B166" t="inlineStr">
        <is>
          <t>epic</t>
        </is>
      </c>
      <c r="C166" t="n">
        <v>2</v>
      </c>
      <c r="D166" t="inlineStr">
        <is>
          <t>Max HP %</t>
        </is>
      </c>
      <c r="E166" t="n">
        <v>9</v>
      </c>
      <c r="F166" t="n">
        <v>6.84</v>
      </c>
      <c r="G166" t="b">
        <v>0</v>
      </c>
      <c r="H166" t="inlineStr">
        <is>
          <t>0</t>
        </is>
      </c>
    </row>
    <row r="167">
      <c r="A167" t="inlineStr">
        <is>
          <t>ALL</t>
        </is>
      </c>
      <c r="B167" t="inlineStr">
        <is>
          <t>epic</t>
        </is>
      </c>
      <c r="C167" t="n">
        <v>2</v>
      </c>
      <c r="D167" t="inlineStr">
        <is>
          <t>Max HP %</t>
        </is>
      </c>
      <c r="E167" t="n">
        <v>12</v>
      </c>
      <c r="F167" t="n">
        <v>2.16</v>
      </c>
      <c r="G167" t="b">
        <v>1</v>
      </c>
      <c r="H167" t="inlineStr">
        <is>
          <t>0</t>
        </is>
      </c>
    </row>
    <row r="168">
      <c r="A168" t="inlineStr">
        <is>
          <t>ALL</t>
        </is>
      </c>
      <c r="B168" t="inlineStr">
        <is>
          <t>epic</t>
        </is>
      </c>
      <c r="C168" t="n">
        <v>2</v>
      </c>
      <c r="D168" t="inlineStr">
        <is>
          <t>Max MP %</t>
        </is>
      </c>
      <c r="E168" t="n">
        <v>4.5</v>
      </c>
      <c r="F168" t="n">
        <v>6.84</v>
      </c>
      <c r="G168" t="b">
        <v>0</v>
      </c>
      <c r="H168" t="inlineStr">
        <is>
          <t>0</t>
        </is>
      </c>
    </row>
    <row r="169">
      <c r="A169" t="inlineStr">
        <is>
          <t>ALL</t>
        </is>
      </c>
      <c r="B169" t="inlineStr">
        <is>
          <t>epic</t>
        </is>
      </c>
      <c r="C169" t="n">
        <v>2</v>
      </c>
      <c r="D169" t="inlineStr">
        <is>
          <t>Max MP %</t>
        </is>
      </c>
      <c r="E169" t="n">
        <v>6</v>
      </c>
      <c r="F169" t="n">
        <v>2.16</v>
      </c>
      <c r="G169" t="b">
        <v>1</v>
      </c>
      <c r="H169" t="inlineStr">
        <is>
          <t>0</t>
        </is>
      </c>
    </row>
    <row r="170">
      <c r="A170" t="inlineStr">
        <is>
          <t>ALL</t>
        </is>
      </c>
      <c r="B170" t="inlineStr">
        <is>
          <t>epic</t>
        </is>
      </c>
      <c r="C170" t="n">
        <v>2</v>
      </c>
      <c r="D170" t="inlineStr">
        <is>
          <t>Str</t>
        </is>
      </c>
      <c r="E170" t="n">
        <v>100</v>
      </c>
      <c r="F170" t="n">
        <v>7.22</v>
      </c>
      <c r="G170" t="b">
        <v>0</v>
      </c>
      <c r="H170">
        <f>Sensitivity!H5</f>
        <v/>
      </c>
    </row>
    <row r="171">
      <c r="A171" t="inlineStr">
        <is>
          <t>ALL</t>
        </is>
      </c>
      <c r="B171" t="inlineStr">
        <is>
          <t>epic</t>
        </is>
      </c>
      <c r="C171" t="n">
        <v>2</v>
      </c>
      <c r="D171" t="inlineStr">
        <is>
          <t>Str</t>
        </is>
      </c>
      <c r="E171" t="n">
        <v>200</v>
      </c>
      <c r="F171" t="n">
        <v>2.22</v>
      </c>
      <c r="G171" t="b">
        <v>1</v>
      </c>
      <c r="H171">
        <f>Sensitivity!H5</f>
        <v/>
      </c>
    </row>
    <row r="172">
      <c r="A172" t="inlineStr">
        <is>
          <t>ALL</t>
        </is>
      </c>
      <c r="B172" t="inlineStr">
        <is>
          <t>epic</t>
        </is>
      </c>
      <c r="C172" t="n">
        <v>2</v>
      </c>
      <c r="D172" t="inlineStr">
        <is>
          <t>Dex</t>
        </is>
      </c>
      <c r="E172" t="n">
        <v>100</v>
      </c>
      <c r="F172" t="n">
        <v>7.22</v>
      </c>
      <c r="G172" t="b">
        <v>0</v>
      </c>
      <c r="H172">
        <f>Sensitivity!H7</f>
        <v/>
      </c>
    </row>
    <row r="173">
      <c r="A173" t="inlineStr">
        <is>
          <t>ALL</t>
        </is>
      </c>
      <c r="B173" t="inlineStr">
        <is>
          <t>epic</t>
        </is>
      </c>
      <c r="C173" t="n">
        <v>2</v>
      </c>
      <c r="D173" t="inlineStr">
        <is>
          <t>Dex</t>
        </is>
      </c>
      <c r="E173" t="n">
        <v>200</v>
      </c>
      <c r="F173" t="n">
        <v>2.22</v>
      </c>
      <c r="G173" t="b">
        <v>1</v>
      </c>
      <c r="H173">
        <f>Sensitivity!H7</f>
        <v/>
      </c>
    </row>
    <row r="174">
      <c r="A174" t="inlineStr">
        <is>
          <t>ALL</t>
        </is>
      </c>
      <c r="B174" t="inlineStr">
        <is>
          <t>epic</t>
        </is>
      </c>
      <c r="C174" t="n">
        <v>2</v>
      </c>
      <c r="D174" t="inlineStr">
        <is>
          <t>Int</t>
        </is>
      </c>
      <c r="E174" t="n">
        <v>100</v>
      </c>
      <c r="F174" t="n">
        <v>7.22</v>
      </c>
      <c r="G174" t="b">
        <v>0</v>
      </c>
      <c r="H174" t="inlineStr">
        <is>
          <t>0</t>
        </is>
      </c>
    </row>
    <row r="175">
      <c r="A175" t="inlineStr">
        <is>
          <t>ALL</t>
        </is>
      </c>
      <c r="B175" t="inlineStr">
        <is>
          <t>epic</t>
        </is>
      </c>
      <c r="C175" t="n">
        <v>2</v>
      </c>
      <c r="D175" t="inlineStr">
        <is>
          <t>Int</t>
        </is>
      </c>
      <c r="E175" t="n">
        <v>200</v>
      </c>
      <c r="F175" t="n">
        <v>2.22</v>
      </c>
      <c r="G175" t="b">
        <v>1</v>
      </c>
      <c r="H175" t="inlineStr">
        <is>
          <t>0</t>
        </is>
      </c>
    </row>
    <row r="176">
      <c r="A176" t="inlineStr">
        <is>
          <t>ALL</t>
        </is>
      </c>
      <c r="B176" t="inlineStr">
        <is>
          <t>epic</t>
        </is>
      </c>
      <c r="C176" t="n">
        <v>2</v>
      </c>
      <c r="D176" t="inlineStr">
        <is>
          <t>Luk</t>
        </is>
      </c>
      <c r="E176" t="n">
        <v>100</v>
      </c>
      <c r="F176" t="n">
        <v>7.22</v>
      </c>
      <c r="G176" t="b">
        <v>0</v>
      </c>
      <c r="H176" t="inlineStr">
        <is>
          <t>0</t>
        </is>
      </c>
    </row>
    <row r="177">
      <c r="A177" t="inlineStr">
        <is>
          <t>ALL</t>
        </is>
      </c>
      <c r="B177" t="inlineStr">
        <is>
          <t>epic</t>
        </is>
      </c>
      <c r="C177" t="n">
        <v>2</v>
      </c>
      <c r="D177" t="inlineStr">
        <is>
          <t>Luk</t>
        </is>
      </c>
      <c r="E177" t="n">
        <v>200</v>
      </c>
      <c r="F177" t="n">
        <v>2.22</v>
      </c>
      <c r="G177" t="b">
        <v>1</v>
      </c>
      <c r="H177" t="inlineStr">
        <is>
          <t>0</t>
        </is>
      </c>
    </row>
    <row r="178">
      <c r="A178" t="inlineStr">
        <is>
          <t>ALL</t>
        </is>
      </c>
      <c r="B178" t="inlineStr">
        <is>
          <t>epic</t>
        </is>
      </c>
      <c r="C178" t="n">
        <v>3</v>
      </c>
      <c r="D178" t="inlineStr">
        <is>
          <t>Critical Rate %</t>
        </is>
      </c>
      <c r="E178" t="n">
        <v>4.5</v>
      </c>
      <c r="F178" t="n">
        <v>2.3</v>
      </c>
      <c r="G178" t="b">
        <v>0</v>
      </c>
      <c r="H178">
        <f>IF(AND(Inputs!$B$10+Summary!$B$14+Artifacts!$B$32&gt;=100,NOT(ArtifactsInput!$M$42),NOT(ArtifactsInput!$M$24)),Sensitivity!H18,Sensitivity!H17)</f>
        <v/>
      </c>
    </row>
    <row r="179">
      <c r="A179" t="inlineStr">
        <is>
          <t>ALL</t>
        </is>
      </c>
      <c r="B179" t="inlineStr">
        <is>
          <t>epic</t>
        </is>
      </c>
      <c r="C179" t="n">
        <v>3</v>
      </c>
      <c r="D179" t="inlineStr">
        <is>
          <t>Critical Rate %</t>
        </is>
      </c>
      <c r="E179" t="n">
        <v>6</v>
      </c>
      <c r="F179" t="n">
        <v>0.2</v>
      </c>
      <c r="G179" t="b">
        <v>1</v>
      </c>
      <c r="H179">
        <f>IF(AND(Inputs!$B$10+Summary!$B$14+Artifacts!$B$32&gt;=100,NOT(ArtifactsInput!$M$42),NOT(ArtifactsInput!$M$24)),Sensitivity!H18,Sensitivity!H17)</f>
        <v/>
      </c>
    </row>
    <row r="180">
      <c r="A180" t="inlineStr">
        <is>
          <t>ALL</t>
        </is>
      </c>
      <c r="B180" t="inlineStr">
        <is>
          <t>epic</t>
        </is>
      </c>
      <c r="C180" t="n">
        <v>3</v>
      </c>
      <c r="D180" t="inlineStr">
        <is>
          <t>Attack Speed %</t>
        </is>
      </c>
      <c r="E180" t="n">
        <v>3.5</v>
      </c>
      <c r="F180" t="n">
        <v>2.3</v>
      </c>
      <c r="G180" t="b">
        <v>0</v>
      </c>
      <c r="H180">
        <f>Sensitivity!H19</f>
        <v/>
      </c>
    </row>
    <row r="181">
      <c r="A181" t="inlineStr">
        <is>
          <t>ALL</t>
        </is>
      </c>
      <c r="B181" t="inlineStr">
        <is>
          <t>epic</t>
        </is>
      </c>
      <c r="C181" t="n">
        <v>3</v>
      </c>
      <c r="D181" t="inlineStr">
        <is>
          <t>Attack Speed %</t>
        </is>
      </c>
      <c r="E181" t="n">
        <v>4</v>
      </c>
      <c r="F181" t="n">
        <v>0.2</v>
      </c>
      <c r="G181" t="b">
        <v>1</v>
      </c>
      <c r="H181">
        <f>Sensitivity!H19</f>
        <v/>
      </c>
    </row>
    <row r="182">
      <c r="A182" t="inlineStr">
        <is>
          <t>ALL</t>
        </is>
      </c>
      <c r="B182" t="inlineStr">
        <is>
          <t>epic</t>
        </is>
      </c>
      <c r="C182" t="n">
        <v>3</v>
      </c>
      <c r="D182" t="inlineStr">
        <is>
          <t>Damage %</t>
        </is>
      </c>
      <c r="E182" t="n">
        <v>8</v>
      </c>
      <c r="F182" t="n">
        <v>3.68</v>
      </c>
      <c r="G182" t="b">
        <v>0</v>
      </c>
      <c r="H182">
        <f>Sensitivity!H10</f>
        <v/>
      </c>
    </row>
    <row r="183">
      <c r="A183" t="inlineStr">
        <is>
          <t>ALL</t>
        </is>
      </c>
      <c r="B183" t="inlineStr">
        <is>
          <t>epic</t>
        </is>
      </c>
      <c r="C183" t="n">
        <v>3</v>
      </c>
      <c r="D183" t="inlineStr">
        <is>
          <t>Damage %</t>
        </is>
      </c>
      <c r="E183" t="n">
        <v>12</v>
      </c>
      <c r="F183" t="n">
        <v>0.32</v>
      </c>
      <c r="G183" t="b">
        <v>1</v>
      </c>
      <c r="H183">
        <f>Sensitivity!H10</f>
        <v/>
      </c>
    </row>
    <row r="184">
      <c r="A184" t="inlineStr">
        <is>
          <t>ALL</t>
        </is>
      </c>
      <c r="B184" t="inlineStr">
        <is>
          <t>epic</t>
        </is>
      </c>
      <c r="C184" t="n">
        <v>3</v>
      </c>
      <c r="D184" t="inlineStr">
        <is>
          <t>Min Damage Multiplier %</t>
        </is>
      </c>
      <c r="E184" t="n">
        <v>6</v>
      </c>
      <c r="F184" t="n">
        <v>3.68</v>
      </c>
      <c r="G184" t="b">
        <v>0</v>
      </c>
      <c r="H184">
        <f>Sensitivity!H15</f>
        <v/>
      </c>
    </row>
    <row r="185">
      <c r="A185" t="inlineStr">
        <is>
          <t>ALL</t>
        </is>
      </c>
      <c r="B185" t="inlineStr">
        <is>
          <t>epic</t>
        </is>
      </c>
      <c r="C185" t="n">
        <v>3</v>
      </c>
      <c r="D185" t="inlineStr">
        <is>
          <t>Min Damage Multiplier %</t>
        </is>
      </c>
      <c r="E185" t="n">
        <v>8</v>
      </c>
      <c r="F185" t="n">
        <v>0.32</v>
      </c>
      <c r="G185" t="b">
        <v>1</v>
      </c>
      <c r="H185">
        <f>Sensitivity!H15</f>
        <v/>
      </c>
    </row>
    <row r="186">
      <c r="A186" t="inlineStr">
        <is>
          <t>ALL</t>
        </is>
      </c>
      <c r="B186" t="inlineStr">
        <is>
          <t>epic</t>
        </is>
      </c>
      <c r="C186" t="n">
        <v>3</v>
      </c>
      <c r="D186" t="inlineStr">
        <is>
          <t>Max Damage Multiplier %</t>
        </is>
      </c>
      <c r="E186" t="n">
        <v>6</v>
      </c>
      <c r="F186" t="n">
        <v>3.68</v>
      </c>
      <c r="G186" t="b">
        <v>0</v>
      </c>
      <c r="H186">
        <f>Sensitivity!H16</f>
        <v/>
      </c>
    </row>
    <row r="187">
      <c r="A187" t="inlineStr">
        <is>
          <t>ALL</t>
        </is>
      </c>
      <c r="B187" t="inlineStr">
        <is>
          <t>epic</t>
        </is>
      </c>
      <c r="C187" t="n">
        <v>3</v>
      </c>
      <c r="D187" t="inlineStr">
        <is>
          <t>Max Damage Multiplier %</t>
        </is>
      </c>
      <c r="E187" t="n">
        <v>8</v>
      </c>
      <c r="F187" t="n">
        <v>0.32</v>
      </c>
      <c r="G187" t="b">
        <v>1</v>
      </c>
      <c r="H187">
        <f>Sensitivity!H16</f>
        <v/>
      </c>
    </row>
    <row r="188">
      <c r="A188" t="inlineStr">
        <is>
          <t>ALL</t>
        </is>
      </c>
      <c r="B188" t="inlineStr">
        <is>
          <t>epic</t>
        </is>
      </c>
      <c r="C188" t="n">
        <v>3</v>
      </c>
      <c r="D188" t="inlineStr">
        <is>
          <t>Str %</t>
        </is>
      </c>
      <c r="E188" t="n">
        <v>4.5</v>
      </c>
      <c r="F188" t="n">
        <v>4.14</v>
      </c>
      <c r="G188" t="b">
        <v>0</v>
      </c>
      <c r="H188">
        <f>Sensitivity!H6</f>
        <v/>
      </c>
    </row>
    <row r="189">
      <c r="A189" t="inlineStr">
        <is>
          <t>ALL</t>
        </is>
      </c>
      <c r="B189" t="inlineStr">
        <is>
          <t>epic</t>
        </is>
      </c>
      <c r="C189" t="n">
        <v>3</v>
      </c>
      <c r="D189" t="inlineStr">
        <is>
          <t>Str %</t>
        </is>
      </c>
      <c r="E189" t="n">
        <v>6</v>
      </c>
      <c r="F189" t="n">
        <v>0.36</v>
      </c>
      <c r="G189" t="b">
        <v>1</v>
      </c>
      <c r="H189">
        <f>Sensitivity!H6</f>
        <v/>
      </c>
    </row>
    <row r="190">
      <c r="A190" t="inlineStr">
        <is>
          <t>ALL</t>
        </is>
      </c>
      <c r="B190" t="inlineStr">
        <is>
          <t>epic</t>
        </is>
      </c>
      <c r="C190" t="n">
        <v>3</v>
      </c>
      <c r="D190" t="inlineStr">
        <is>
          <t>Dex %</t>
        </is>
      </c>
      <c r="E190" t="n">
        <v>4.5</v>
      </c>
      <c r="F190" t="n">
        <v>4.14</v>
      </c>
      <c r="G190" t="b">
        <v>0</v>
      </c>
      <c r="H190">
        <f>Sensitivity!H7*Inputs!$B$15/100</f>
        <v/>
      </c>
    </row>
    <row r="191">
      <c r="A191" t="inlineStr">
        <is>
          <t>ALL</t>
        </is>
      </c>
      <c r="B191" t="inlineStr">
        <is>
          <t>epic</t>
        </is>
      </c>
      <c r="C191" t="n">
        <v>3</v>
      </c>
      <c r="D191" t="inlineStr">
        <is>
          <t>Dex %</t>
        </is>
      </c>
      <c r="E191" t="n">
        <v>6</v>
      </c>
      <c r="F191" t="n">
        <v>0.36</v>
      </c>
      <c r="G191" t="b">
        <v>1</v>
      </c>
      <c r="H191">
        <f>Sensitivity!H7*Inputs!$B$15/100</f>
        <v/>
      </c>
    </row>
    <row r="192">
      <c r="A192" t="inlineStr">
        <is>
          <t>ALL</t>
        </is>
      </c>
      <c r="B192" t="inlineStr">
        <is>
          <t>epic</t>
        </is>
      </c>
      <c r="C192" t="n">
        <v>3</v>
      </c>
      <c r="D192" t="inlineStr">
        <is>
          <t>Int %</t>
        </is>
      </c>
      <c r="E192" t="n">
        <v>4.5</v>
      </c>
      <c r="F192" t="n">
        <v>4.14</v>
      </c>
      <c r="G192" t="b">
        <v>0</v>
      </c>
      <c r="H192" t="inlineStr">
        <is>
          <t>0</t>
        </is>
      </c>
    </row>
    <row r="193">
      <c r="A193" t="inlineStr">
        <is>
          <t>ALL</t>
        </is>
      </c>
      <c r="B193" t="inlineStr">
        <is>
          <t>epic</t>
        </is>
      </c>
      <c r="C193" t="n">
        <v>3</v>
      </c>
      <c r="D193" t="inlineStr">
        <is>
          <t>Int %</t>
        </is>
      </c>
      <c r="E193" t="n">
        <v>6</v>
      </c>
      <c r="F193" t="n">
        <v>0.36</v>
      </c>
      <c r="G193" t="b">
        <v>1</v>
      </c>
      <c r="H193" t="inlineStr">
        <is>
          <t>0</t>
        </is>
      </c>
    </row>
    <row r="194">
      <c r="A194" t="inlineStr">
        <is>
          <t>ALL</t>
        </is>
      </c>
      <c r="B194" t="inlineStr">
        <is>
          <t>epic</t>
        </is>
      </c>
      <c r="C194" t="n">
        <v>3</v>
      </c>
      <c r="D194" t="inlineStr">
        <is>
          <t>Luk %</t>
        </is>
      </c>
      <c r="E194" t="n">
        <v>4.5</v>
      </c>
      <c r="F194" t="n">
        <v>4.14</v>
      </c>
      <c r="G194" t="b">
        <v>0</v>
      </c>
      <c r="H194" t="inlineStr">
        <is>
          <t>0</t>
        </is>
      </c>
    </row>
    <row r="195">
      <c r="A195" t="inlineStr">
        <is>
          <t>ALL</t>
        </is>
      </c>
      <c r="B195" t="inlineStr">
        <is>
          <t>epic</t>
        </is>
      </c>
      <c r="C195" t="n">
        <v>3</v>
      </c>
      <c r="D195" t="inlineStr">
        <is>
          <t>Luk %</t>
        </is>
      </c>
      <c r="E195" t="n">
        <v>6</v>
      </c>
      <c r="F195" t="n">
        <v>0.36</v>
      </c>
      <c r="G195" t="b">
        <v>1</v>
      </c>
      <c r="H195" t="inlineStr">
        <is>
          <t>0</t>
        </is>
      </c>
    </row>
    <row r="196">
      <c r="A196" t="inlineStr">
        <is>
          <t>ALL</t>
        </is>
      </c>
      <c r="B196" t="inlineStr">
        <is>
          <t>epic</t>
        </is>
      </c>
      <c r="C196" t="n">
        <v>3</v>
      </c>
      <c r="D196" t="inlineStr">
        <is>
          <t>Defense %</t>
        </is>
      </c>
      <c r="E196" t="n">
        <v>4.5</v>
      </c>
      <c r="F196" t="n">
        <v>8.279999999999999</v>
      </c>
      <c r="G196" t="b">
        <v>0</v>
      </c>
      <c r="H196">
        <f>Sensitivity!H9</f>
        <v/>
      </c>
    </row>
    <row r="197">
      <c r="A197" t="inlineStr">
        <is>
          <t>ALL</t>
        </is>
      </c>
      <c r="B197" t="inlineStr">
        <is>
          <t>epic</t>
        </is>
      </c>
      <c r="C197" t="n">
        <v>3</v>
      </c>
      <c r="D197" t="inlineStr">
        <is>
          <t>Defense %</t>
        </is>
      </c>
      <c r="E197" t="n">
        <v>6</v>
      </c>
      <c r="F197" t="n">
        <v>0.72</v>
      </c>
      <c r="G197" t="b">
        <v>1</v>
      </c>
      <c r="H197">
        <f>Sensitivity!H9</f>
        <v/>
      </c>
    </row>
    <row r="198">
      <c r="A198" t="inlineStr">
        <is>
          <t>ALL</t>
        </is>
      </c>
      <c r="B198" t="inlineStr">
        <is>
          <t>epic</t>
        </is>
      </c>
      <c r="C198" t="n">
        <v>3</v>
      </c>
      <c r="D198" t="inlineStr">
        <is>
          <t>Max HP %</t>
        </is>
      </c>
      <c r="E198" t="n">
        <v>9</v>
      </c>
      <c r="F198" t="n">
        <v>8.279999999999999</v>
      </c>
      <c r="G198" t="b">
        <v>0</v>
      </c>
      <c r="H198" t="inlineStr">
        <is>
          <t>0</t>
        </is>
      </c>
    </row>
    <row r="199">
      <c r="A199" t="inlineStr">
        <is>
          <t>ALL</t>
        </is>
      </c>
      <c r="B199" t="inlineStr">
        <is>
          <t>epic</t>
        </is>
      </c>
      <c r="C199" t="n">
        <v>3</v>
      </c>
      <c r="D199" t="inlineStr">
        <is>
          <t>Max HP %</t>
        </is>
      </c>
      <c r="E199" t="n">
        <v>12</v>
      </c>
      <c r="F199" t="n">
        <v>0.72</v>
      </c>
      <c r="G199" t="b">
        <v>1</v>
      </c>
      <c r="H199" t="inlineStr">
        <is>
          <t>0</t>
        </is>
      </c>
    </row>
    <row r="200">
      <c r="A200" t="inlineStr">
        <is>
          <t>ALL</t>
        </is>
      </c>
      <c r="B200" t="inlineStr">
        <is>
          <t>epic</t>
        </is>
      </c>
      <c r="C200" t="n">
        <v>3</v>
      </c>
      <c r="D200" t="inlineStr">
        <is>
          <t>Max MP %</t>
        </is>
      </c>
      <c r="E200" t="n">
        <v>4.5</v>
      </c>
      <c r="F200" t="n">
        <v>8.279999999999999</v>
      </c>
      <c r="G200" t="b">
        <v>0</v>
      </c>
      <c r="H200" t="inlineStr">
        <is>
          <t>0</t>
        </is>
      </c>
    </row>
    <row r="201">
      <c r="A201" t="inlineStr">
        <is>
          <t>ALL</t>
        </is>
      </c>
      <c r="B201" t="inlineStr">
        <is>
          <t>epic</t>
        </is>
      </c>
      <c r="C201" t="n">
        <v>3</v>
      </c>
      <c r="D201" t="inlineStr">
        <is>
          <t>Max MP %</t>
        </is>
      </c>
      <c r="E201" t="n">
        <v>6</v>
      </c>
      <c r="F201" t="n">
        <v>0.72</v>
      </c>
      <c r="G201" t="b">
        <v>1</v>
      </c>
      <c r="H201" t="inlineStr">
        <is>
          <t>0</t>
        </is>
      </c>
    </row>
    <row r="202">
      <c r="A202" t="inlineStr">
        <is>
          <t>ALL</t>
        </is>
      </c>
      <c r="B202" t="inlineStr">
        <is>
          <t>epic</t>
        </is>
      </c>
      <c r="C202" t="n">
        <v>3</v>
      </c>
      <c r="D202" t="inlineStr">
        <is>
          <t>Str</t>
        </is>
      </c>
      <c r="E202" t="n">
        <v>100</v>
      </c>
      <c r="F202" t="n">
        <v>8.74</v>
      </c>
      <c r="G202" t="b">
        <v>0</v>
      </c>
      <c r="H202">
        <f>Sensitivity!H5</f>
        <v/>
      </c>
    </row>
    <row r="203">
      <c r="A203" t="inlineStr">
        <is>
          <t>ALL</t>
        </is>
      </c>
      <c r="B203" t="inlineStr">
        <is>
          <t>epic</t>
        </is>
      </c>
      <c r="C203" t="n">
        <v>3</v>
      </c>
      <c r="D203" t="inlineStr">
        <is>
          <t>Str</t>
        </is>
      </c>
      <c r="E203" t="n">
        <v>200</v>
      </c>
      <c r="F203" t="n">
        <v>0.74</v>
      </c>
      <c r="G203" t="b">
        <v>1</v>
      </c>
      <c r="H203">
        <f>Sensitivity!H5</f>
        <v/>
      </c>
    </row>
    <row r="204">
      <c r="A204" t="inlineStr">
        <is>
          <t>ALL</t>
        </is>
      </c>
      <c r="B204" t="inlineStr">
        <is>
          <t>epic</t>
        </is>
      </c>
      <c r="C204" t="n">
        <v>3</v>
      </c>
      <c r="D204" t="inlineStr">
        <is>
          <t>Dex</t>
        </is>
      </c>
      <c r="E204" t="n">
        <v>100</v>
      </c>
      <c r="F204" t="n">
        <v>8.74</v>
      </c>
      <c r="G204" t="b">
        <v>0</v>
      </c>
      <c r="H204">
        <f>Sensitivity!H7</f>
        <v/>
      </c>
    </row>
    <row r="205">
      <c r="A205" t="inlineStr">
        <is>
          <t>ALL</t>
        </is>
      </c>
      <c r="B205" t="inlineStr">
        <is>
          <t>epic</t>
        </is>
      </c>
      <c r="C205" t="n">
        <v>3</v>
      </c>
      <c r="D205" t="inlineStr">
        <is>
          <t>Dex</t>
        </is>
      </c>
      <c r="E205" t="n">
        <v>200</v>
      </c>
      <c r="F205" t="n">
        <v>0.74</v>
      </c>
      <c r="G205" t="b">
        <v>1</v>
      </c>
      <c r="H205">
        <f>Sensitivity!H7</f>
        <v/>
      </c>
    </row>
    <row r="206">
      <c r="A206" t="inlineStr">
        <is>
          <t>ALL</t>
        </is>
      </c>
      <c r="B206" t="inlineStr">
        <is>
          <t>epic</t>
        </is>
      </c>
      <c r="C206" t="n">
        <v>3</v>
      </c>
      <c r="D206" t="inlineStr">
        <is>
          <t>Int</t>
        </is>
      </c>
      <c r="E206" t="n">
        <v>100</v>
      </c>
      <c r="F206" t="n">
        <v>8.74</v>
      </c>
      <c r="G206" t="b">
        <v>0</v>
      </c>
      <c r="H206" t="inlineStr">
        <is>
          <t>0</t>
        </is>
      </c>
    </row>
    <row r="207">
      <c r="A207" t="inlineStr">
        <is>
          <t>ALL</t>
        </is>
      </c>
      <c r="B207" t="inlineStr">
        <is>
          <t>epic</t>
        </is>
      </c>
      <c r="C207" t="n">
        <v>3</v>
      </c>
      <c r="D207" t="inlineStr">
        <is>
          <t>Int</t>
        </is>
      </c>
      <c r="E207" t="n">
        <v>200</v>
      </c>
      <c r="F207" t="n">
        <v>0.74</v>
      </c>
      <c r="G207" t="b">
        <v>1</v>
      </c>
      <c r="H207" t="inlineStr">
        <is>
          <t>0</t>
        </is>
      </c>
    </row>
    <row r="208">
      <c r="A208" t="inlineStr">
        <is>
          <t>ALL</t>
        </is>
      </c>
      <c r="B208" t="inlineStr">
        <is>
          <t>epic</t>
        </is>
      </c>
      <c r="C208" t="n">
        <v>3</v>
      </c>
      <c r="D208" t="inlineStr">
        <is>
          <t>Luk</t>
        </is>
      </c>
      <c r="E208" t="n">
        <v>100</v>
      </c>
      <c r="F208" t="n">
        <v>8.74</v>
      </c>
      <c r="G208" t="b">
        <v>0</v>
      </c>
      <c r="H208" t="inlineStr">
        <is>
          <t>0</t>
        </is>
      </c>
    </row>
    <row r="209">
      <c r="A209" t="inlineStr">
        <is>
          <t>ALL</t>
        </is>
      </c>
      <c r="B209" t="inlineStr">
        <is>
          <t>epic</t>
        </is>
      </c>
      <c r="C209" t="n">
        <v>3</v>
      </c>
      <c r="D209" t="inlineStr">
        <is>
          <t>Luk</t>
        </is>
      </c>
      <c r="E209" t="n">
        <v>200</v>
      </c>
      <c r="F209" t="n">
        <v>0.74</v>
      </c>
      <c r="G209" t="b">
        <v>1</v>
      </c>
      <c r="H209" t="inlineStr">
        <is>
          <t>0</t>
        </is>
      </c>
    </row>
    <row r="210">
      <c r="A210" t="inlineStr">
        <is>
          <t>ALL</t>
        </is>
      </c>
      <c r="B210" t="inlineStr">
        <is>
          <t>unique</t>
        </is>
      </c>
      <c r="C210" t="n">
        <v>1</v>
      </c>
      <c r="D210" t="inlineStr">
        <is>
          <t>Critical Rate %</t>
        </is>
      </c>
      <c r="E210" t="n">
        <v>9</v>
      </c>
      <c r="F210" t="n">
        <v>2.5</v>
      </c>
      <c r="G210" t="b">
        <v>1</v>
      </c>
      <c r="H210">
        <f>IF(AND(Inputs!$B$10+Summary!$B$14+Artifacts!$B$32&gt;=100,NOT(ArtifactsInput!$M$42),NOT(ArtifactsInput!$M$24)),Sensitivity!H18,Sensitivity!H17)</f>
        <v/>
      </c>
    </row>
    <row r="211">
      <c r="A211" t="inlineStr">
        <is>
          <t>ALL</t>
        </is>
      </c>
      <c r="B211" t="inlineStr">
        <is>
          <t>unique</t>
        </is>
      </c>
      <c r="C211" t="n">
        <v>1</v>
      </c>
      <c r="D211" t="inlineStr">
        <is>
          <t>Attack Speed %</t>
        </is>
      </c>
      <c r="E211" t="n">
        <v>5</v>
      </c>
      <c r="F211" t="n">
        <v>2.5</v>
      </c>
      <c r="G211" t="b">
        <v>1</v>
      </c>
      <c r="H211">
        <f>Sensitivity!H19</f>
        <v/>
      </c>
    </row>
    <row r="212">
      <c r="A212" t="inlineStr">
        <is>
          <t>ALL</t>
        </is>
      </c>
      <c r="B212" t="inlineStr">
        <is>
          <t>unique</t>
        </is>
      </c>
      <c r="C212" t="n">
        <v>1</v>
      </c>
      <c r="D212" t="inlineStr">
        <is>
          <t>Damage %</t>
        </is>
      </c>
      <c r="E212" t="n">
        <v>18</v>
      </c>
      <c r="F212" t="n">
        <v>4</v>
      </c>
      <c r="G212" t="b">
        <v>1</v>
      </c>
      <c r="H212">
        <f>Sensitivity!H10</f>
        <v/>
      </c>
    </row>
    <row r="213">
      <c r="A213" t="inlineStr">
        <is>
          <t>ALL</t>
        </is>
      </c>
      <c r="B213" t="inlineStr">
        <is>
          <t>unique</t>
        </is>
      </c>
      <c r="C213" t="n">
        <v>1</v>
      </c>
      <c r="D213" t="inlineStr">
        <is>
          <t>Min Damage Multiplier %</t>
        </is>
      </c>
      <c r="E213" t="n">
        <v>10</v>
      </c>
      <c r="F213" t="n">
        <v>4</v>
      </c>
      <c r="G213" t="b">
        <v>1</v>
      </c>
      <c r="H213">
        <f>Sensitivity!H15</f>
        <v/>
      </c>
    </row>
    <row r="214">
      <c r="A214" t="inlineStr">
        <is>
          <t>ALL</t>
        </is>
      </c>
      <c r="B214" t="inlineStr">
        <is>
          <t>unique</t>
        </is>
      </c>
      <c r="C214" t="n">
        <v>1</v>
      </c>
      <c r="D214" t="inlineStr">
        <is>
          <t>Max Damage Multiplier %</t>
        </is>
      </c>
      <c r="E214" t="n">
        <v>10</v>
      </c>
      <c r="F214" t="n">
        <v>4</v>
      </c>
      <c r="G214" t="b">
        <v>1</v>
      </c>
      <c r="H214">
        <f>Sensitivity!H16</f>
        <v/>
      </c>
    </row>
    <row r="215">
      <c r="A215" t="inlineStr">
        <is>
          <t>ALL</t>
        </is>
      </c>
      <c r="B215" t="inlineStr">
        <is>
          <t>unique</t>
        </is>
      </c>
      <c r="C215" t="n">
        <v>1</v>
      </c>
      <c r="D215" t="inlineStr">
        <is>
          <t>Str %</t>
        </is>
      </c>
      <c r="E215" t="n">
        <v>9</v>
      </c>
      <c r="F215" t="n">
        <v>4.5</v>
      </c>
      <c r="G215" t="b">
        <v>1</v>
      </c>
      <c r="H215">
        <f>Sensitivity!H6</f>
        <v/>
      </c>
    </row>
    <row r="216">
      <c r="A216" t="inlineStr">
        <is>
          <t>ALL</t>
        </is>
      </c>
      <c r="B216" t="inlineStr">
        <is>
          <t>unique</t>
        </is>
      </c>
      <c r="C216" t="n">
        <v>1</v>
      </c>
      <c r="D216" t="inlineStr">
        <is>
          <t>Dex %</t>
        </is>
      </c>
      <c r="E216" t="n">
        <v>9</v>
      </c>
      <c r="F216" t="n">
        <v>4.5</v>
      </c>
      <c r="G216" t="b">
        <v>1</v>
      </c>
      <c r="H216">
        <f>Sensitivity!H7*Inputs!$B$15/100</f>
        <v/>
      </c>
    </row>
    <row r="217">
      <c r="A217" t="inlineStr">
        <is>
          <t>ALL</t>
        </is>
      </c>
      <c r="B217" t="inlineStr">
        <is>
          <t>unique</t>
        </is>
      </c>
      <c r="C217" t="n">
        <v>1</v>
      </c>
      <c r="D217" t="inlineStr">
        <is>
          <t>Int %</t>
        </is>
      </c>
      <c r="E217" t="n">
        <v>9</v>
      </c>
      <c r="F217" t="n">
        <v>4.5</v>
      </c>
      <c r="G217" t="b">
        <v>1</v>
      </c>
      <c r="H217" t="inlineStr">
        <is>
          <t>0</t>
        </is>
      </c>
    </row>
    <row r="218">
      <c r="A218" t="inlineStr">
        <is>
          <t>ALL</t>
        </is>
      </c>
      <c r="B218" t="inlineStr">
        <is>
          <t>unique</t>
        </is>
      </c>
      <c r="C218" t="n">
        <v>1</v>
      </c>
      <c r="D218" t="inlineStr">
        <is>
          <t>Luk %</t>
        </is>
      </c>
      <c r="E218" t="n">
        <v>9</v>
      </c>
      <c r="F218" t="n">
        <v>4.5</v>
      </c>
      <c r="G218" t="b">
        <v>1</v>
      </c>
      <c r="H218" t="inlineStr">
        <is>
          <t>0</t>
        </is>
      </c>
    </row>
    <row r="219">
      <c r="A219" t="inlineStr">
        <is>
          <t>ALL</t>
        </is>
      </c>
      <c r="B219" t="inlineStr">
        <is>
          <t>unique</t>
        </is>
      </c>
      <c r="C219" t="n">
        <v>1</v>
      </c>
      <c r="D219" t="inlineStr">
        <is>
          <t>Defense %</t>
        </is>
      </c>
      <c r="E219" t="n">
        <v>9</v>
      </c>
      <c r="F219" t="n">
        <v>9</v>
      </c>
      <c r="G219" t="b">
        <v>1</v>
      </c>
      <c r="H219">
        <f>Sensitivity!H9</f>
        <v/>
      </c>
    </row>
    <row r="220">
      <c r="A220" t="inlineStr">
        <is>
          <t>ALL</t>
        </is>
      </c>
      <c r="B220" t="inlineStr">
        <is>
          <t>unique</t>
        </is>
      </c>
      <c r="C220" t="n">
        <v>1</v>
      </c>
      <c r="D220" t="inlineStr">
        <is>
          <t>Max HP %</t>
        </is>
      </c>
      <c r="E220" t="n">
        <v>15</v>
      </c>
      <c r="F220" t="n">
        <v>9</v>
      </c>
      <c r="G220" t="b">
        <v>1</v>
      </c>
      <c r="H220" t="inlineStr">
        <is>
          <t>0</t>
        </is>
      </c>
    </row>
    <row r="221">
      <c r="A221" t="inlineStr">
        <is>
          <t>ALL</t>
        </is>
      </c>
      <c r="B221" t="inlineStr">
        <is>
          <t>unique</t>
        </is>
      </c>
      <c r="C221" t="n">
        <v>1</v>
      </c>
      <c r="D221" t="inlineStr">
        <is>
          <t>Max MP %</t>
        </is>
      </c>
      <c r="E221" t="n">
        <v>9</v>
      </c>
      <c r="F221" t="n">
        <v>9</v>
      </c>
      <c r="G221" t="b">
        <v>1</v>
      </c>
      <c r="H221" t="inlineStr">
        <is>
          <t>0</t>
        </is>
      </c>
    </row>
    <row r="222">
      <c r="A222" t="inlineStr">
        <is>
          <t>ALL</t>
        </is>
      </c>
      <c r="B222" t="inlineStr">
        <is>
          <t>unique</t>
        </is>
      </c>
      <c r="C222" t="n">
        <v>1</v>
      </c>
      <c r="D222" t="inlineStr">
        <is>
          <t>Str</t>
        </is>
      </c>
      <c r="E222" t="n">
        <v>400</v>
      </c>
      <c r="F222" t="n">
        <v>9.25</v>
      </c>
      <c r="G222" t="b">
        <v>1</v>
      </c>
      <c r="H222">
        <f>Sensitivity!H5</f>
        <v/>
      </c>
    </row>
    <row r="223">
      <c r="A223" t="inlineStr">
        <is>
          <t>ALL</t>
        </is>
      </c>
      <c r="B223" t="inlineStr">
        <is>
          <t>unique</t>
        </is>
      </c>
      <c r="C223" t="n">
        <v>1</v>
      </c>
      <c r="D223" t="inlineStr">
        <is>
          <t>Dex</t>
        </is>
      </c>
      <c r="E223" t="n">
        <v>400</v>
      </c>
      <c r="F223" t="n">
        <v>9.25</v>
      </c>
      <c r="G223" t="b">
        <v>1</v>
      </c>
      <c r="H223">
        <f>Sensitivity!H7</f>
        <v/>
      </c>
    </row>
    <row r="224">
      <c r="A224" t="inlineStr">
        <is>
          <t>ALL</t>
        </is>
      </c>
      <c r="B224" t="inlineStr">
        <is>
          <t>unique</t>
        </is>
      </c>
      <c r="C224" t="n">
        <v>1</v>
      </c>
      <c r="D224" t="inlineStr">
        <is>
          <t>Int</t>
        </is>
      </c>
      <c r="E224" t="n">
        <v>400</v>
      </c>
      <c r="F224" t="n">
        <v>9.25</v>
      </c>
      <c r="G224" t="b">
        <v>1</v>
      </c>
      <c r="H224" t="inlineStr">
        <is>
          <t>0</t>
        </is>
      </c>
    </row>
    <row r="225">
      <c r="A225" t="inlineStr">
        <is>
          <t>ALL</t>
        </is>
      </c>
      <c r="B225" t="inlineStr">
        <is>
          <t>unique</t>
        </is>
      </c>
      <c r="C225" t="n">
        <v>1</v>
      </c>
      <c r="D225" t="inlineStr">
        <is>
          <t>Luk</t>
        </is>
      </c>
      <c r="E225" t="n">
        <v>400</v>
      </c>
      <c r="F225" t="n">
        <v>9.25</v>
      </c>
      <c r="G225" t="b">
        <v>1</v>
      </c>
      <c r="H225" t="inlineStr">
        <is>
          <t>0</t>
        </is>
      </c>
    </row>
    <row r="226">
      <c r="A226" t="inlineStr">
        <is>
          <t>ALL</t>
        </is>
      </c>
      <c r="B226" t="inlineStr">
        <is>
          <t>unique</t>
        </is>
      </c>
      <c r="C226" t="n">
        <v>2</v>
      </c>
      <c r="D226" t="inlineStr">
        <is>
          <t>Critical Rate %</t>
        </is>
      </c>
      <c r="E226" t="n">
        <v>6</v>
      </c>
      <c r="F226" t="n">
        <v>1.9</v>
      </c>
      <c r="G226" t="b">
        <v>0</v>
      </c>
      <c r="H226">
        <f>IF(AND(Inputs!$B$10+Summary!$B$14+Artifacts!$B$32&gt;=100,NOT(ArtifactsInput!$M$42),NOT(ArtifactsInput!$M$24)),Sensitivity!H18,Sensitivity!H17)</f>
        <v/>
      </c>
    </row>
    <row r="227">
      <c r="A227" t="inlineStr">
        <is>
          <t>ALL</t>
        </is>
      </c>
      <c r="B227" t="inlineStr">
        <is>
          <t>unique</t>
        </is>
      </c>
      <c r="C227" t="n">
        <v>2</v>
      </c>
      <c r="D227" t="inlineStr">
        <is>
          <t>Critical Rate %</t>
        </is>
      </c>
      <c r="E227" t="n">
        <v>9</v>
      </c>
      <c r="F227" t="n">
        <v>0.6</v>
      </c>
      <c r="G227" t="b">
        <v>1</v>
      </c>
      <c r="H227">
        <f>IF(AND(Inputs!$B$10+Summary!$B$14+Artifacts!$B$32&gt;=100,NOT(ArtifactsInput!$M$42),NOT(ArtifactsInput!$M$24)),Sensitivity!H18,Sensitivity!H17)</f>
        <v/>
      </c>
    </row>
    <row r="228">
      <c r="A228" t="inlineStr">
        <is>
          <t>ALL</t>
        </is>
      </c>
      <c r="B228" t="inlineStr">
        <is>
          <t>unique</t>
        </is>
      </c>
      <c r="C228" t="n">
        <v>2</v>
      </c>
      <c r="D228" t="inlineStr">
        <is>
          <t>Attack Speed %</t>
        </is>
      </c>
      <c r="E228" t="n">
        <v>4</v>
      </c>
      <c r="F228" t="n">
        <v>1.9</v>
      </c>
      <c r="G228" t="b">
        <v>0</v>
      </c>
      <c r="H228">
        <f>Sensitivity!H19</f>
        <v/>
      </c>
    </row>
    <row r="229">
      <c r="A229" t="inlineStr">
        <is>
          <t>ALL</t>
        </is>
      </c>
      <c r="B229" t="inlineStr">
        <is>
          <t>unique</t>
        </is>
      </c>
      <c r="C229" t="n">
        <v>2</v>
      </c>
      <c r="D229" t="inlineStr">
        <is>
          <t>Attack Speed %</t>
        </is>
      </c>
      <c r="E229" t="n">
        <v>5</v>
      </c>
      <c r="F229" t="n">
        <v>0.6</v>
      </c>
      <c r="G229" t="b">
        <v>1</v>
      </c>
      <c r="H229">
        <f>Sensitivity!H19</f>
        <v/>
      </c>
    </row>
    <row r="230">
      <c r="A230" t="inlineStr">
        <is>
          <t>ALL</t>
        </is>
      </c>
      <c r="B230" t="inlineStr">
        <is>
          <t>unique</t>
        </is>
      </c>
      <c r="C230" t="n">
        <v>2</v>
      </c>
      <c r="D230" t="inlineStr">
        <is>
          <t>Damage %</t>
        </is>
      </c>
      <c r="E230" t="n">
        <v>12</v>
      </c>
      <c r="F230" t="n">
        <v>3.04</v>
      </c>
      <c r="G230" t="b">
        <v>0</v>
      </c>
      <c r="H230">
        <f>Sensitivity!H10</f>
        <v/>
      </c>
    </row>
    <row r="231">
      <c r="A231" t="inlineStr">
        <is>
          <t>ALL</t>
        </is>
      </c>
      <c r="B231" t="inlineStr">
        <is>
          <t>unique</t>
        </is>
      </c>
      <c r="C231" t="n">
        <v>2</v>
      </c>
      <c r="D231" t="inlineStr">
        <is>
          <t>Damage %</t>
        </is>
      </c>
      <c r="E231" t="n">
        <v>18</v>
      </c>
      <c r="F231" t="n">
        <v>0.96</v>
      </c>
      <c r="G231" t="b">
        <v>1</v>
      </c>
      <c r="H231">
        <f>Sensitivity!H10</f>
        <v/>
      </c>
    </row>
    <row r="232">
      <c r="A232" t="inlineStr">
        <is>
          <t>ALL</t>
        </is>
      </c>
      <c r="B232" t="inlineStr">
        <is>
          <t>unique</t>
        </is>
      </c>
      <c r="C232" t="n">
        <v>2</v>
      </c>
      <c r="D232" t="inlineStr">
        <is>
          <t>Min Damage Multiplier %</t>
        </is>
      </c>
      <c r="E232" t="n">
        <v>8</v>
      </c>
      <c r="F232" t="n">
        <v>3.04</v>
      </c>
      <c r="G232" t="b">
        <v>0</v>
      </c>
      <c r="H232">
        <f>Sensitivity!H15</f>
        <v/>
      </c>
    </row>
    <row r="233">
      <c r="A233" t="inlineStr">
        <is>
          <t>ALL</t>
        </is>
      </c>
      <c r="B233" t="inlineStr">
        <is>
          <t>unique</t>
        </is>
      </c>
      <c r="C233" t="n">
        <v>2</v>
      </c>
      <c r="D233" t="inlineStr">
        <is>
          <t>Min Damage Multiplier %</t>
        </is>
      </c>
      <c r="E233" t="n">
        <v>10</v>
      </c>
      <c r="F233" t="n">
        <v>0.96</v>
      </c>
      <c r="G233" t="b">
        <v>1</v>
      </c>
      <c r="H233">
        <f>Sensitivity!H15</f>
        <v/>
      </c>
    </row>
    <row r="234">
      <c r="A234" t="inlineStr">
        <is>
          <t>ALL</t>
        </is>
      </c>
      <c r="B234" t="inlineStr">
        <is>
          <t>unique</t>
        </is>
      </c>
      <c r="C234" t="n">
        <v>2</v>
      </c>
      <c r="D234" t="inlineStr">
        <is>
          <t>Max Damage Multiplier %</t>
        </is>
      </c>
      <c r="E234" t="n">
        <v>8</v>
      </c>
      <c r="F234" t="n">
        <v>3.04</v>
      </c>
      <c r="G234" t="b">
        <v>0</v>
      </c>
      <c r="H234">
        <f>Sensitivity!H16</f>
        <v/>
      </c>
    </row>
    <row r="235">
      <c r="A235" t="inlineStr">
        <is>
          <t>ALL</t>
        </is>
      </c>
      <c r="B235" t="inlineStr">
        <is>
          <t>unique</t>
        </is>
      </c>
      <c r="C235" t="n">
        <v>2</v>
      </c>
      <c r="D235" t="inlineStr">
        <is>
          <t>Max Damage Multiplier %</t>
        </is>
      </c>
      <c r="E235" t="n">
        <v>10</v>
      </c>
      <c r="F235" t="n">
        <v>0.96</v>
      </c>
      <c r="G235" t="b">
        <v>1</v>
      </c>
      <c r="H235">
        <f>Sensitivity!H16</f>
        <v/>
      </c>
    </row>
    <row r="236">
      <c r="A236" t="inlineStr">
        <is>
          <t>ALL</t>
        </is>
      </c>
      <c r="B236" t="inlineStr">
        <is>
          <t>unique</t>
        </is>
      </c>
      <c r="C236" t="n">
        <v>2</v>
      </c>
      <c r="D236" t="inlineStr">
        <is>
          <t>Str %</t>
        </is>
      </c>
      <c r="E236" t="n">
        <v>6</v>
      </c>
      <c r="F236" t="n">
        <v>3.42</v>
      </c>
      <c r="G236" t="b">
        <v>0</v>
      </c>
      <c r="H236">
        <f>Sensitivity!H6</f>
        <v/>
      </c>
    </row>
    <row r="237">
      <c r="A237" t="inlineStr">
        <is>
          <t>ALL</t>
        </is>
      </c>
      <c r="B237" t="inlineStr">
        <is>
          <t>unique</t>
        </is>
      </c>
      <c r="C237" t="n">
        <v>2</v>
      </c>
      <c r="D237" t="inlineStr">
        <is>
          <t>Str %</t>
        </is>
      </c>
      <c r="E237" t="n">
        <v>9</v>
      </c>
      <c r="F237" t="n">
        <v>1.08</v>
      </c>
      <c r="G237" t="b">
        <v>1</v>
      </c>
      <c r="H237">
        <f>Sensitivity!H6</f>
        <v/>
      </c>
    </row>
    <row r="238">
      <c r="A238" t="inlineStr">
        <is>
          <t>ALL</t>
        </is>
      </c>
      <c r="B238" t="inlineStr">
        <is>
          <t>unique</t>
        </is>
      </c>
      <c r="C238" t="n">
        <v>2</v>
      </c>
      <c r="D238" t="inlineStr">
        <is>
          <t>Dex %</t>
        </is>
      </c>
      <c r="E238" t="n">
        <v>6</v>
      </c>
      <c r="F238" t="n">
        <v>3.42</v>
      </c>
      <c r="G238" t="b">
        <v>0</v>
      </c>
      <c r="H238">
        <f>Sensitivity!H7*Inputs!$B$15/100</f>
        <v/>
      </c>
    </row>
    <row r="239">
      <c r="A239" t="inlineStr">
        <is>
          <t>ALL</t>
        </is>
      </c>
      <c r="B239" t="inlineStr">
        <is>
          <t>unique</t>
        </is>
      </c>
      <c r="C239" t="n">
        <v>2</v>
      </c>
      <c r="D239" t="inlineStr">
        <is>
          <t>Dex %</t>
        </is>
      </c>
      <c r="E239" t="n">
        <v>9</v>
      </c>
      <c r="F239" t="n">
        <v>1.08</v>
      </c>
      <c r="G239" t="b">
        <v>1</v>
      </c>
      <c r="H239">
        <f>Sensitivity!H7*Inputs!$B$15/100</f>
        <v/>
      </c>
    </row>
    <row r="240">
      <c r="A240" t="inlineStr">
        <is>
          <t>ALL</t>
        </is>
      </c>
      <c r="B240" t="inlineStr">
        <is>
          <t>unique</t>
        </is>
      </c>
      <c r="C240" t="n">
        <v>2</v>
      </c>
      <c r="D240" t="inlineStr">
        <is>
          <t>Int %</t>
        </is>
      </c>
      <c r="E240" t="n">
        <v>6</v>
      </c>
      <c r="F240" t="n">
        <v>3.42</v>
      </c>
      <c r="G240" t="b">
        <v>0</v>
      </c>
      <c r="H240" t="inlineStr">
        <is>
          <t>0</t>
        </is>
      </c>
    </row>
    <row r="241">
      <c r="A241" t="inlineStr">
        <is>
          <t>ALL</t>
        </is>
      </c>
      <c r="B241" t="inlineStr">
        <is>
          <t>unique</t>
        </is>
      </c>
      <c r="C241" t="n">
        <v>2</v>
      </c>
      <c r="D241" t="inlineStr">
        <is>
          <t>Int %</t>
        </is>
      </c>
      <c r="E241" t="n">
        <v>9</v>
      </c>
      <c r="F241" t="n">
        <v>1.08</v>
      </c>
      <c r="G241" t="b">
        <v>1</v>
      </c>
      <c r="H241" t="inlineStr">
        <is>
          <t>0</t>
        </is>
      </c>
    </row>
    <row r="242">
      <c r="A242" t="inlineStr">
        <is>
          <t>ALL</t>
        </is>
      </c>
      <c r="B242" t="inlineStr">
        <is>
          <t>unique</t>
        </is>
      </c>
      <c r="C242" t="n">
        <v>2</v>
      </c>
      <c r="D242" t="inlineStr">
        <is>
          <t>Luk %</t>
        </is>
      </c>
      <c r="E242" t="n">
        <v>6</v>
      </c>
      <c r="F242" t="n">
        <v>3.42</v>
      </c>
      <c r="G242" t="b">
        <v>0</v>
      </c>
      <c r="H242" t="inlineStr">
        <is>
          <t>0</t>
        </is>
      </c>
    </row>
    <row r="243">
      <c r="A243" t="inlineStr">
        <is>
          <t>ALL</t>
        </is>
      </c>
      <c r="B243" t="inlineStr">
        <is>
          <t>unique</t>
        </is>
      </c>
      <c r="C243" t="n">
        <v>2</v>
      </c>
      <c r="D243" t="inlineStr">
        <is>
          <t>Luk %</t>
        </is>
      </c>
      <c r="E243" t="n">
        <v>9</v>
      </c>
      <c r="F243" t="n">
        <v>1.08</v>
      </c>
      <c r="G243" t="b">
        <v>1</v>
      </c>
      <c r="H243" t="inlineStr">
        <is>
          <t>0</t>
        </is>
      </c>
    </row>
    <row r="244">
      <c r="A244" t="inlineStr">
        <is>
          <t>ALL</t>
        </is>
      </c>
      <c r="B244" t="inlineStr">
        <is>
          <t>unique</t>
        </is>
      </c>
      <c r="C244" t="n">
        <v>2</v>
      </c>
      <c r="D244" t="inlineStr">
        <is>
          <t>Defense %</t>
        </is>
      </c>
      <c r="E244" t="n">
        <v>6</v>
      </c>
      <c r="F244" t="n">
        <v>6.84</v>
      </c>
      <c r="G244" t="b">
        <v>0</v>
      </c>
      <c r="H244">
        <f>Sensitivity!H9</f>
        <v/>
      </c>
    </row>
    <row r="245">
      <c r="A245" t="inlineStr">
        <is>
          <t>ALL</t>
        </is>
      </c>
      <c r="B245" t="inlineStr">
        <is>
          <t>unique</t>
        </is>
      </c>
      <c r="C245" t="n">
        <v>2</v>
      </c>
      <c r="D245" t="inlineStr">
        <is>
          <t>Defense %</t>
        </is>
      </c>
      <c r="E245" t="n">
        <v>9</v>
      </c>
      <c r="F245" t="n">
        <v>2.16</v>
      </c>
      <c r="G245" t="b">
        <v>1</v>
      </c>
      <c r="H245">
        <f>Sensitivity!H9</f>
        <v/>
      </c>
    </row>
    <row r="246">
      <c r="A246" t="inlineStr">
        <is>
          <t>ALL</t>
        </is>
      </c>
      <c r="B246" t="inlineStr">
        <is>
          <t>unique</t>
        </is>
      </c>
      <c r="C246" t="n">
        <v>2</v>
      </c>
      <c r="D246" t="inlineStr">
        <is>
          <t>Max HP %</t>
        </is>
      </c>
      <c r="E246" t="n">
        <v>12</v>
      </c>
      <c r="F246" t="n">
        <v>6.84</v>
      </c>
      <c r="G246" t="b">
        <v>0</v>
      </c>
      <c r="H246" t="inlineStr">
        <is>
          <t>0</t>
        </is>
      </c>
    </row>
    <row r="247">
      <c r="A247" t="inlineStr">
        <is>
          <t>ALL</t>
        </is>
      </c>
      <c r="B247" t="inlineStr">
        <is>
          <t>unique</t>
        </is>
      </c>
      <c r="C247" t="n">
        <v>2</v>
      </c>
      <c r="D247" t="inlineStr">
        <is>
          <t>Max HP %</t>
        </is>
      </c>
      <c r="E247" t="n">
        <v>15</v>
      </c>
      <c r="F247" t="n">
        <v>2.16</v>
      </c>
      <c r="G247" t="b">
        <v>1</v>
      </c>
      <c r="H247" t="inlineStr">
        <is>
          <t>0</t>
        </is>
      </c>
    </row>
    <row r="248">
      <c r="A248" t="inlineStr">
        <is>
          <t>ALL</t>
        </is>
      </c>
      <c r="B248" t="inlineStr">
        <is>
          <t>unique</t>
        </is>
      </c>
      <c r="C248" t="n">
        <v>2</v>
      </c>
      <c r="D248" t="inlineStr">
        <is>
          <t>Max MP %</t>
        </is>
      </c>
      <c r="E248" t="n">
        <v>6</v>
      </c>
      <c r="F248" t="n">
        <v>6.84</v>
      </c>
      <c r="G248" t="b">
        <v>0</v>
      </c>
      <c r="H248" t="inlineStr">
        <is>
          <t>0</t>
        </is>
      </c>
    </row>
    <row r="249">
      <c r="A249" t="inlineStr">
        <is>
          <t>ALL</t>
        </is>
      </c>
      <c r="B249" t="inlineStr">
        <is>
          <t>unique</t>
        </is>
      </c>
      <c r="C249" t="n">
        <v>2</v>
      </c>
      <c r="D249" t="inlineStr">
        <is>
          <t>Max MP %</t>
        </is>
      </c>
      <c r="E249" t="n">
        <v>9</v>
      </c>
      <c r="F249" t="n">
        <v>2.16</v>
      </c>
      <c r="G249" t="b">
        <v>1</v>
      </c>
      <c r="H249" t="inlineStr">
        <is>
          <t>0</t>
        </is>
      </c>
    </row>
    <row r="250">
      <c r="A250" t="inlineStr">
        <is>
          <t>ALL</t>
        </is>
      </c>
      <c r="B250" t="inlineStr">
        <is>
          <t>unique</t>
        </is>
      </c>
      <c r="C250" t="n">
        <v>2</v>
      </c>
      <c r="D250" t="inlineStr">
        <is>
          <t>Str</t>
        </is>
      </c>
      <c r="E250" t="n">
        <v>200</v>
      </c>
      <c r="F250" t="n">
        <v>7.03</v>
      </c>
      <c r="G250" t="b">
        <v>0</v>
      </c>
      <c r="H250">
        <f>Sensitivity!H5</f>
        <v/>
      </c>
    </row>
    <row r="251">
      <c r="A251" t="inlineStr">
        <is>
          <t>ALL</t>
        </is>
      </c>
      <c r="B251" t="inlineStr">
        <is>
          <t>unique</t>
        </is>
      </c>
      <c r="C251" t="n">
        <v>2</v>
      </c>
      <c r="D251" t="inlineStr">
        <is>
          <t>Str</t>
        </is>
      </c>
      <c r="E251" t="n">
        <v>400</v>
      </c>
      <c r="F251" t="n">
        <v>2.22</v>
      </c>
      <c r="G251" t="b">
        <v>1</v>
      </c>
      <c r="H251">
        <f>Sensitivity!H5</f>
        <v/>
      </c>
    </row>
    <row r="252">
      <c r="A252" t="inlineStr">
        <is>
          <t>ALL</t>
        </is>
      </c>
      <c r="B252" t="inlineStr">
        <is>
          <t>unique</t>
        </is>
      </c>
      <c r="C252" t="n">
        <v>2</v>
      </c>
      <c r="D252" t="inlineStr">
        <is>
          <t>Dex</t>
        </is>
      </c>
      <c r="E252" t="n">
        <v>200</v>
      </c>
      <c r="F252" t="n">
        <v>7.03</v>
      </c>
      <c r="G252" t="b">
        <v>0</v>
      </c>
      <c r="H252">
        <f>Sensitivity!H7</f>
        <v/>
      </c>
    </row>
    <row r="253">
      <c r="A253" t="inlineStr">
        <is>
          <t>ALL</t>
        </is>
      </c>
      <c r="B253" t="inlineStr">
        <is>
          <t>unique</t>
        </is>
      </c>
      <c r="C253" t="n">
        <v>2</v>
      </c>
      <c r="D253" t="inlineStr">
        <is>
          <t>Dex</t>
        </is>
      </c>
      <c r="E253" t="n">
        <v>400</v>
      </c>
      <c r="F253" t="n">
        <v>2.22</v>
      </c>
      <c r="G253" t="b">
        <v>1</v>
      </c>
      <c r="H253">
        <f>Sensitivity!H7</f>
        <v/>
      </c>
    </row>
    <row r="254">
      <c r="A254" t="inlineStr">
        <is>
          <t>ALL</t>
        </is>
      </c>
      <c r="B254" t="inlineStr">
        <is>
          <t>unique</t>
        </is>
      </c>
      <c r="C254" t="n">
        <v>2</v>
      </c>
      <c r="D254" t="inlineStr">
        <is>
          <t>Int</t>
        </is>
      </c>
      <c r="E254" t="n">
        <v>200</v>
      </c>
      <c r="F254" t="n">
        <v>7.03</v>
      </c>
      <c r="G254" t="b">
        <v>0</v>
      </c>
      <c r="H254" t="inlineStr">
        <is>
          <t>0</t>
        </is>
      </c>
    </row>
    <row r="255">
      <c r="A255" t="inlineStr">
        <is>
          <t>ALL</t>
        </is>
      </c>
      <c r="B255" t="inlineStr">
        <is>
          <t>unique</t>
        </is>
      </c>
      <c r="C255" t="n">
        <v>2</v>
      </c>
      <c r="D255" t="inlineStr">
        <is>
          <t>Int</t>
        </is>
      </c>
      <c r="E255" t="n">
        <v>400</v>
      </c>
      <c r="F255" t="n">
        <v>2.22</v>
      </c>
      <c r="G255" t="b">
        <v>1</v>
      </c>
      <c r="H255" t="inlineStr">
        <is>
          <t>0</t>
        </is>
      </c>
    </row>
    <row r="256">
      <c r="A256" t="inlineStr">
        <is>
          <t>ALL</t>
        </is>
      </c>
      <c r="B256" t="inlineStr">
        <is>
          <t>unique</t>
        </is>
      </c>
      <c r="C256" t="n">
        <v>2</v>
      </c>
      <c r="D256" t="inlineStr">
        <is>
          <t>Luk</t>
        </is>
      </c>
      <c r="E256" t="n">
        <v>200</v>
      </c>
      <c r="F256" t="n">
        <v>7.03</v>
      </c>
      <c r="G256" t="b">
        <v>0</v>
      </c>
      <c r="H256" t="inlineStr">
        <is>
          <t>0</t>
        </is>
      </c>
    </row>
    <row r="257">
      <c r="A257" t="inlineStr">
        <is>
          <t>ALL</t>
        </is>
      </c>
      <c r="B257" t="inlineStr">
        <is>
          <t>unique</t>
        </is>
      </c>
      <c r="C257" t="n">
        <v>2</v>
      </c>
      <c r="D257" t="inlineStr">
        <is>
          <t>Luk</t>
        </is>
      </c>
      <c r="E257" t="n">
        <v>400</v>
      </c>
      <c r="F257" t="n">
        <v>2.22</v>
      </c>
      <c r="G257" t="b">
        <v>1</v>
      </c>
      <c r="H257" t="inlineStr">
        <is>
          <t>0</t>
        </is>
      </c>
    </row>
    <row r="258">
      <c r="A258" t="inlineStr">
        <is>
          <t>ALL</t>
        </is>
      </c>
      <c r="B258" t="inlineStr">
        <is>
          <t>unique</t>
        </is>
      </c>
      <c r="C258" t="n">
        <v>3</v>
      </c>
      <c r="D258" t="inlineStr">
        <is>
          <t>Critical Rate %</t>
        </is>
      </c>
      <c r="E258" t="n">
        <v>6</v>
      </c>
      <c r="F258" t="n">
        <v>2.3</v>
      </c>
      <c r="G258" t="b">
        <v>0</v>
      </c>
      <c r="H258">
        <f>IF(AND(Inputs!$B$10+Summary!$B$14+Artifacts!$B$32&gt;=100,NOT(ArtifactsInput!$M$42),NOT(ArtifactsInput!$M$24)),Sensitivity!H18,Sensitivity!H17)</f>
        <v/>
      </c>
    </row>
    <row r="259">
      <c r="A259" t="inlineStr">
        <is>
          <t>ALL</t>
        </is>
      </c>
      <c r="B259" t="inlineStr">
        <is>
          <t>unique</t>
        </is>
      </c>
      <c r="C259" t="n">
        <v>3</v>
      </c>
      <c r="D259" t="inlineStr">
        <is>
          <t>Critical Rate %</t>
        </is>
      </c>
      <c r="E259" t="n">
        <v>9</v>
      </c>
      <c r="F259" t="n">
        <v>0.2</v>
      </c>
      <c r="G259" t="b">
        <v>1</v>
      </c>
      <c r="H259">
        <f>IF(AND(Inputs!$B$10+Summary!$B$14+Artifacts!$B$32&gt;=100,NOT(ArtifactsInput!$M$42),NOT(ArtifactsInput!$M$24)),Sensitivity!H18,Sensitivity!H17)</f>
        <v/>
      </c>
    </row>
    <row r="260">
      <c r="A260" t="inlineStr">
        <is>
          <t>ALL</t>
        </is>
      </c>
      <c r="B260" t="inlineStr">
        <is>
          <t>unique</t>
        </is>
      </c>
      <c r="C260" t="n">
        <v>3</v>
      </c>
      <c r="D260" t="inlineStr">
        <is>
          <t>Attack Speed %</t>
        </is>
      </c>
      <c r="E260" t="n">
        <v>4</v>
      </c>
      <c r="F260" t="n">
        <v>2.3</v>
      </c>
      <c r="G260" t="b">
        <v>0</v>
      </c>
      <c r="H260">
        <f>Sensitivity!H19</f>
        <v/>
      </c>
    </row>
    <row r="261">
      <c r="A261" t="inlineStr">
        <is>
          <t>ALL</t>
        </is>
      </c>
      <c r="B261" t="inlineStr">
        <is>
          <t>unique</t>
        </is>
      </c>
      <c r="C261" t="n">
        <v>3</v>
      </c>
      <c r="D261" t="inlineStr">
        <is>
          <t>Attack Speed %</t>
        </is>
      </c>
      <c r="E261" t="n">
        <v>5</v>
      </c>
      <c r="F261" t="n">
        <v>0.2</v>
      </c>
      <c r="G261" t="b">
        <v>1</v>
      </c>
      <c r="H261">
        <f>Sensitivity!H19</f>
        <v/>
      </c>
    </row>
    <row r="262">
      <c r="A262" t="inlineStr">
        <is>
          <t>ALL</t>
        </is>
      </c>
      <c r="B262" t="inlineStr">
        <is>
          <t>unique</t>
        </is>
      </c>
      <c r="C262" t="n">
        <v>3</v>
      </c>
      <c r="D262" t="inlineStr">
        <is>
          <t>Damage %</t>
        </is>
      </c>
      <c r="E262" t="n">
        <v>12</v>
      </c>
      <c r="F262" t="n">
        <v>3.68</v>
      </c>
      <c r="G262" t="b">
        <v>0</v>
      </c>
      <c r="H262">
        <f>Sensitivity!H10</f>
        <v/>
      </c>
    </row>
    <row r="263">
      <c r="A263" t="inlineStr">
        <is>
          <t>ALL</t>
        </is>
      </c>
      <c r="B263" t="inlineStr">
        <is>
          <t>unique</t>
        </is>
      </c>
      <c r="C263" t="n">
        <v>3</v>
      </c>
      <c r="D263" t="inlineStr">
        <is>
          <t>Damage %</t>
        </is>
      </c>
      <c r="E263" t="n">
        <v>18</v>
      </c>
      <c r="F263" t="n">
        <v>0.32</v>
      </c>
      <c r="G263" t="b">
        <v>1</v>
      </c>
      <c r="H263">
        <f>Sensitivity!H10</f>
        <v/>
      </c>
    </row>
    <row r="264">
      <c r="A264" t="inlineStr">
        <is>
          <t>ALL</t>
        </is>
      </c>
      <c r="B264" t="inlineStr">
        <is>
          <t>unique</t>
        </is>
      </c>
      <c r="C264" t="n">
        <v>3</v>
      </c>
      <c r="D264" t="inlineStr">
        <is>
          <t>Min Damage Multiplier %</t>
        </is>
      </c>
      <c r="E264" t="n">
        <v>8</v>
      </c>
      <c r="F264" t="n">
        <v>3.68</v>
      </c>
      <c r="G264" t="b">
        <v>0</v>
      </c>
      <c r="H264">
        <f>Sensitivity!H15</f>
        <v/>
      </c>
    </row>
    <row r="265">
      <c r="A265" t="inlineStr">
        <is>
          <t>ALL</t>
        </is>
      </c>
      <c r="B265" t="inlineStr">
        <is>
          <t>unique</t>
        </is>
      </c>
      <c r="C265" t="n">
        <v>3</v>
      </c>
      <c r="D265" t="inlineStr">
        <is>
          <t>Min Damage Multiplier %</t>
        </is>
      </c>
      <c r="E265" t="n">
        <v>10</v>
      </c>
      <c r="F265" t="n">
        <v>0.32</v>
      </c>
      <c r="G265" t="b">
        <v>1</v>
      </c>
      <c r="H265">
        <f>Sensitivity!H15</f>
        <v/>
      </c>
    </row>
    <row r="266">
      <c r="A266" t="inlineStr">
        <is>
          <t>ALL</t>
        </is>
      </c>
      <c r="B266" t="inlineStr">
        <is>
          <t>unique</t>
        </is>
      </c>
      <c r="C266" t="n">
        <v>3</v>
      </c>
      <c r="D266" t="inlineStr">
        <is>
          <t>Max Damage Multiplier %</t>
        </is>
      </c>
      <c r="E266" t="n">
        <v>8</v>
      </c>
      <c r="F266" t="n">
        <v>3.68</v>
      </c>
      <c r="G266" t="b">
        <v>0</v>
      </c>
      <c r="H266">
        <f>Sensitivity!H16</f>
        <v/>
      </c>
    </row>
    <row r="267">
      <c r="A267" t="inlineStr">
        <is>
          <t>ALL</t>
        </is>
      </c>
      <c r="B267" t="inlineStr">
        <is>
          <t>unique</t>
        </is>
      </c>
      <c r="C267" t="n">
        <v>3</v>
      </c>
      <c r="D267" t="inlineStr">
        <is>
          <t>Max Damage Multiplier %</t>
        </is>
      </c>
      <c r="E267" t="n">
        <v>10</v>
      </c>
      <c r="F267" t="n">
        <v>0.32</v>
      </c>
      <c r="G267" t="b">
        <v>1</v>
      </c>
      <c r="H267">
        <f>Sensitivity!H16</f>
        <v/>
      </c>
    </row>
    <row r="268">
      <c r="A268" t="inlineStr">
        <is>
          <t>ALL</t>
        </is>
      </c>
      <c r="B268" t="inlineStr">
        <is>
          <t>unique</t>
        </is>
      </c>
      <c r="C268" t="n">
        <v>3</v>
      </c>
      <c r="D268" t="inlineStr">
        <is>
          <t>Str %</t>
        </is>
      </c>
      <c r="E268" t="n">
        <v>6</v>
      </c>
      <c r="F268" t="n">
        <v>4.14</v>
      </c>
      <c r="G268" t="b">
        <v>0</v>
      </c>
      <c r="H268">
        <f>Sensitivity!H6</f>
        <v/>
      </c>
    </row>
    <row r="269">
      <c r="A269" t="inlineStr">
        <is>
          <t>ALL</t>
        </is>
      </c>
      <c r="B269" t="inlineStr">
        <is>
          <t>unique</t>
        </is>
      </c>
      <c r="C269" t="n">
        <v>3</v>
      </c>
      <c r="D269" t="inlineStr">
        <is>
          <t>Str %</t>
        </is>
      </c>
      <c r="E269" t="n">
        <v>9</v>
      </c>
      <c r="F269" t="n">
        <v>0.36</v>
      </c>
      <c r="G269" t="b">
        <v>1</v>
      </c>
      <c r="H269">
        <f>Sensitivity!H6</f>
        <v/>
      </c>
    </row>
    <row r="270">
      <c r="A270" t="inlineStr">
        <is>
          <t>ALL</t>
        </is>
      </c>
      <c r="B270" t="inlineStr">
        <is>
          <t>unique</t>
        </is>
      </c>
      <c r="C270" t="n">
        <v>3</v>
      </c>
      <c r="D270" t="inlineStr">
        <is>
          <t>Dex %</t>
        </is>
      </c>
      <c r="E270" t="n">
        <v>6</v>
      </c>
      <c r="F270" t="n">
        <v>4.14</v>
      </c>
      <c r="G270" t="b">
        <v>0</v>
      </c>
      <c r="H270">
        <f>Sensitivity!H7*Inputs!$B$15/100</f>
        <v/>
      </c>
    </row>
    <row r="271">
      <c r="A271" t="inlineStr">
        <is>
          <t>ALL</t>
        </is>
      </c>
      <c r="B271" t="inlineStr">
        <is>
          <t>unique</t>
        </is>
      </c>
      <c r="C271" t="n">
        <v>3</v>
      </c>
      <c r="D271" t="inlineStr">
        <is>
          <t>Dex %</t>
        </is>
      </c>
      <c r="E271" t="n">
        <v>9</v>
      </c>
      <c r="F271" t="n">
        <v>0.36</v>
      </c>
      <c r="G271" t="b">
        <v>1</v>
      </c>
      <c r="H271">
        <f>Sensitivity!H7*Inputs!$B$15/100</f>
        <v/>
      </c>
    </row>
    <row r="272">
      <c r="A272" t="inlineStr">
        <is>
          <t>ALL</t>
        </is>
      </c>
      <c r="B272" t="inlineStr">
        <is>
          <t>unique</t>
        </is>
      </c>
      <c r="C272" t="n">
        <v>3</v>
      </c>
      <c r="D272" t="inlineStr">
        <is>
          <t>Int %</t>
        </is>
      </c>
      <c r="E272" t="n">
        <v>6</v>
      </c>
      <c r="F272" t="n">
        <v>4.14</v>
      </c>
      <c r="G272" t="b">
        <v>0</v>
      </c>
      <c r="H272" t="inlineStr">
        <is>
          <t>0</t>
        </is>
      </c>
    </row>
    <row r="273">
      <c r="A273" t="inlineStr">
        <is>
          <t>ALL</t>
        </is>
      </c>
      <c r="B273" t="inlineStr">
        <is>
          <t>unique</t>
        </is>
      </c>
      <c r="C273" t="n">
        <v>3</v>
      </c>
      <c r="D273" t="inlineStr">
        <is>
          <t>Int %</t>
        </is>
      </c>
      <c r="E273" t="n">
        <v>9</v>
      </c>
      <c r="F273" t="n">
        <v>0.36</v>
      </c>
      <c r="G273" t="b">
        <v>1</v>
      </c>
      <c r="H273" t="inlineStr">
        <is>
          <t>0</t>
        </is>
      </c>
    </row>
    <row r="274">
      <c r="A274" t="inlineStr">
        <is>
          <t>ALL</t>
        </is>
      </c>
      <c r="B274" t="inlineStr">
        <is>
          <t>unique</t>
        </is>
      </c>
      <c r="C274" t="n">
        <v>3</v>
      </c>
      <c r="D274" t="inlineStr">
        <is>
          <t>Luk %</t>
        </is>
      </c>
      <c r="E274" t="n">
        <v>6</v>
      </c>
      <c r="F274" t="n">
        <v>4.14</v>
      </c>
      <c r="G274" t="b">
        <v>0</v>
      </c>
      <c r="H274" t="inlineStr">
        <is>
          <t>0</t>
        </is>
      </c>
    </row>
    <row r="275">
      <c r="A275" t="inlineStr">
        <is>
          <t>ALL</t>
        </is>
      </c>
      <c r="B275" t="inlineStr">
        <is>
          <t>unique</t>
        </is>
      </c>
      <c r="C275" t="n">
        <v>3</v>
      </c>
      <c r="D275" t="inlineStr">
        <is>
          <t>Luk %</t>
        </is>
      </c>
      <c r="E275" t="n">
        <v>9</v>
      </c>
      <c r="F275" t="n">
        <v>0.36</v>
      </c>
      <c r="G275" t="b">
        <v>1</v>
      </c>
      <c r="H275" t="inlineStr">
        <is>
          <t>0</t>
        </is>
      </c>
    </row>
    <row r="276">
      <c r="A276" t="inlineStr">
        <is>
          <t>ALL</t>
        </is>
      </c>
      <c r="B276" t="inlineStr">
        <is>
          <t>unique</t>
        </is>
      </c>
      <c r="C276" t="n">
        <v>3</v>
      </c>
      <c r="D276" t="inlineStr">
        <is>
          <t>Defense %</t>
        </is>
      </c>
      <c r="E276" t="n">
        <v>6</v>
      </c>
      <c r="F276" t="n">
        <v>8.279999999999999</v>
      </c>
      <c r="G276" t="b">
        <v>0</v>
      </c>
      <c r="H276">
        <f>Sensitivity!H9</f>
        <v/>
      </c>
    </row>
    <row r="277">
      <c r="A277" t="inlineStr">
        <is>
          <t>ALL</t>
        </is>
      </c>
      <c r="B277" t="inlineStr">
        <is>
          <t>unique</t>
        </is>
      </c>
      <c r="C277" t="n">
        <v>3</v>
      </c>
      <c r="D277" t="inlineStr">
        <is>
          <t>Defense %</t>
        </is>
      </c>
      <c r="E277" t="n">
        <v>9</v>
      </c>
      <c r="F277" t="n">
        <v>0.72</v>
      </c>
      <c r="G277" t="b">
        <v>1</v>
      </c>
      <c r="H277">
        <f>Sensitivity!H9</f>
        <v/>
      </c>
    </row>
    <row r="278">
      <c r="A278" t="inlineStr">
        <is>
          <t>ALL</t>
        </is>
      </c>
      <c r="B278" t="inlineStr">
        <is>
          <t>unique</t>
        </is>
      </c>
      <c r="C278" t="n">
        <v>3</v>
      </c>
      <c r="D278" t="inlineStr">
        <is>
          <t>Max HP %</t>
        </is>
      </c>
      <c r="E278" t="n">
        <v>12</v>
      </c>
      <c r="F278" t="n">
        <v>8.279999999999999</v>
      </c>
      <c r="G278" t="b">
        <v>0</v>
      </c>
      <c r="H278" t="inlineStr">
        <is>
          <t>0</t>
        </is>
      </c>
    </row>
    <row r="279">
      <c r="A279" t="inlineStr">
        <is>
          <t>ALL</t>
        </is>
      </c>
      <c r="B279" t="inlineStr">
        <is>
          <t>unique</t>
        </is>
      </c>
      <c r="C279" t="n">
        <v>3</v>
      </c>
      <c r="D279" t="inlineStr">
        <is>
          <t>Max HP %</t>
        </is>
      </c>
      <c r="E279" t="n">
        <v>15</v>
      </c>
      <c r="F279" t="n">
        <v>0.72</v>
      </c>
      <c r="G279" t="b">
        <v>1</v>
      </c>
      <c r="H279" t="inlineStr">
        <is>
          <t>0</t>
        </is>
      </c>
    </row>
    <row r="280">
      <c r="A280" t="inlineStr">
        <is>
          <t>ALL</t>
        </is>
      </c>
      <c r="B280" t="inlineStr">
        <is>
          <t>unique</t>
        </is>
      </c>
      <c r="C280" t="n">
        <v>3</v>
      </c>
      <c r="D280" t="inlineStr">
        <is>
          <t>Max MP %</t>
        </is>
      </c>
      <c r="E280" t="n">
        <v>6</v>
      </c>
      <c r="F280" t="n">
        <v>8.279999999999999</v>
      </c>
      <c r="G280" t="b">
        <v>0</v>
      </c>
      <c r="H280" t="inlineStr">
        <is>
          <t>0</t>
        </is>
      </c>
    </row>
    <row r="281">
      <c r="A281" t="inlineStr">
        <is>
          <t>ALL</t>
        </is>
      </c>
      <c r="B281" t="inlineStr">
        <is>
          <t>unique</t>
        </is>
      </c>
      <c r="C281" t="n">
        <v>3</v>
      </c>
      <c r="D281" t="inlineStr">
        <is>
          <t>Max MP %</t>
        </is>
      </c>
      <c r="E281" t="n">
        <v>9</v>
      </c>
      <c r="F281" t="n">
        <v>0.72</v>
      </c>
      <c r="G281" t="b">
        <v>1</v>
      </c>
      <c r="H281" t="inlineStr">
        <is>
          <t>0</t>
        </is>
      </c>
    </row>
    <row r="282">
      <c r="A282" t="inlineStr">
        <is>
          <t>ALL</t>
        </is>
      </c>
      <c r="B282" t="inlineStr">
        <is>
          <t>unique</t>
        </is>
      </c>
      <c r="C282" t="n">
        <v>3</v>
      </c>
      <c r="D282" t="inlineStr">
        <is>
          <t>Str</t>
        </is>
      </c>
      <c r="E282" t="n">
        <v>200</v>
      </c>
      <c r="F282" t="n">
        <v>8.51</v>
      </c>
      <c r="G282" t="b">
        <v>0</v>
      </c>
      <c r="H282">
        <f>Sensitivity!H5</f>
        <v/>
      </c>
    </row>
    <row r="283">
      <c r="A283" t="inlineStr">
        <is>
          <t>ALL</t>
        </is>
      </c>
      <c r="B283" t="inlineStr">
        <is>
          <t>unique</t>
        </is>
      </c>
      <c r="C283" t="n">
        <v>3</v>
      </c>
      <c r="D283" t="inlineStr">
        <is>
          <t>Str</t>
        </is>
      </c>
      <c r="E283" t="n">
        <v>400</v>
      </c>
      <c r="F283" t="n">
        <v>0.74</v>
      </c>
      <c r="G283" t="b">
        <v>1</v>
      </c>
      <c r="H283">
        <f>Sensitivity!H5</f>
        <v/>
      </c>
    </row>
    <row r="284">
      <c r="A284" t="inlineStr">
        <is>
          <t>ALL</t>
        </is>
      </c>
      <c r="B284" t="inlineStr">
        <is>
          <t>unique</t>
        </is>
      </c>
      <c r="C284" t="n">
        <v>3</v>
      </c>
      <c r="D284" t="inlineStr">
        <is>
          <t>Dex</t>
        </is>
      </c>
      <c r="E284" t="n">
        <v>200</v>
      </c>
      <c r="F284" t="n">
        <v>8.51</v>
      </c>
      <c r="G284" t="b">
        <v>0</v>
      </c>
      <c r="H284">
        <f>Sensitivity!H7</f>
        <v/>
      </c>
    </row>
    <row r="285">
      <c r="A285" t="inlineStr">
        <is>
          <t>ALL</t>
        </is>
      </c>
      <c r="B285" t="inlineStr">
        <is>
          <t>unique</t>
        </is>
      </c>
      <c r="C285" t="n">
        <v>3</v>
      </c>
      <c r="D285" t="inlineStr">
        <is>
          <t>Dex</t>
        </is>
      </c>
      <c r="E285" t="n">
        <v>400</v>
      </c>
      <c r="F285" t="n">
        <v>0.74</v>
      </c>
      <c r="G285" t="b">
        <v>1</v>
      </c>
      <c r="H285">
        <f>Sensitivity!H7</f>
        <v/>
      </c>
    </row>
    <row r="286">
      <c r="A286" t="inlineStr">
        <is>
          <t>ALL</t>
        </is>
      </c>
      <c r="B286" t="inlineStr">
        <is>
          <t>unique</t>
        </is>
      </c>
      <c r="C286" t="n">
        <v>3</v>
      </c>
      <c r="D286" t="inlineStr">
        <is>
          <t>Int</t>
        </is>
      </c>
      <c r="E286" t="n">
        <v>200</v>
      </c>
      <c r="F286" t="n">
        <v>8.51</v>
      </c>
      <c r="G286" t="b">
        <v>0</v>
      </c>
      <c r="H286" t="inlineStr">
        <is>
          <t>0</t>
        </is>
      </c>
    </row>
    <row r="287">
      <c r="A287" t="inlineStr">
        <is>
          <t>ALL</t>
        </is>
      </c>
      <c r="B287" t="inlineStr">
        <is>
          <t>unique</t>
        </is>
      </c>
      <c r="C287" t="n">
        <v>3</v>
      </c>
      <c r="D287" t="inlineStr">
        <is>
          <t>Int</t>
        </is>
      </c>
      <c r="E287" t="n">
        <v>400</v>
      </c>
      <c r="F287" t="n">
        <v>0.74</v>
      </c>
      <c r="G287" t="b">
        <v>1</v>
      </c>
      <c r="H287" t="inlineStr">
        <is>
          <t>0</t>
        </is>
      </c>
    </row>
    <row r="288">
      <c r="A288" t="inlineStr">
        <is>
          <t>ALL</t>
        </is>
      </c>
      <c r="B288" t="inlineStr">
        <is>
          <t>unique</t>
        </is>
      </c>
      <c r="C288" t="n">
        <v>3</v>
      </c>
      <c r="D288" t="inlineStr">
        <is>
          <t>Luk</t>
        </is>
      </c>
      <c r="E288" t="n">
        <v>200</v>
      </c>
      <c r="F288" t="n">
        <v>8.51</v>
      </c>
      <c r="G288" t="b">
        <v>0</v>
      </c>
      <c r="H288" t="inlineStr">
        <is>
          <t>0</t>
        </is>
      </c>
    </row>
    <row r="289">
      <c r="A289" t="inlineStr">
        <is>
          <t>ALL</t>
        </is>
      </c>
      <c r="B289" t="inlineStr">
        <is>
          <t>unique</t>
        </is>
      </c>
      <c r="C289" t="n">
        <v>3</v>
      </c>
      <c r="D289" t="inlineStr">
        <is>
          <t>Luk</t>
        </is>
      </c>
      <c r="E289" t="n">
        <v>400</v>
      </c>
      <c r="F289" t="n">
        <v>0.74</v>
      </c>
      <c r="G289" t="b">
        <v>1</v>
      </c>
      <c r="H289" t="inlineStr">
        <is>
          <t>0</t>
        </is>
      </c>
    </row>
    <row r="290">
      <c r="A290" t="inlineStr">
        <is>
          <t>ALL</t>
        </is>
      </c>
      <c r="B290" t="inlineStr">
        <is>
          <t>legendary</t>
        </is>
      </c>
      <c r="C290" t="n">
        <v>1</v>
      </c>
      <c r="D290" t="inlineStr">
        <is>
          <t>Critical Rate %</t>
        </is>
      </c>
      <c r="E290" t="n">
        <v>12</v>
      </c>
      <c r="F290" t="n">
        <v>2.5</v>
      </c>
      <c r="G290" t="b">
        <v>0</v>
      </c>
      <c r="H290">
        <f>IF(AND(Inputs!$B$10+Summary!$B$14+Artifacts!$B$32&gt;=100,NOT(ArtifactsInput!$M$42),NOT(ArtifactsInput!$M$24)),Sensitivity!H18,Sensitivity!H17)</f>
        <v/>
      </c>
    </row>
    <row r="291">
      <c r="A291" t="inlineStr">
        <is>
          <t>ALL</t>
        </is>
      </c>
      <c r="B291" t="inlineStr">
        <is>
          <t>legendary</t>
        </is>
      </c>
      <c r="C291" t="n">
        <v>1</v>
      </c>
      <c r="D291" t="inlineStr">
        <is>
          <t>Attack Speed %</t>
        </is>
      </c>
      <c r="E291" t="n">
        <v>7</v>
      </c>
      <c r="F291" t="n">
        <v>2.5</v>
      </c>
      <c r="G291" t="b">
        <v>0</v>
      </c>
      <c r="H291">
        <f>Sensitivity!H19</f>
        <v/>
      </c>
    </row>
    <row r="292">
      <c r="A292" t="inlineStr">
        <is>
          <t>ALL</t>
        </is>
      </c>
      <c r="B292" t="inlineStr">
        <is>
          <t>legendary</t>
        </is>
      </c>
      <c r="C292" t="n">
        <v>1</v>
      </c>
      <c r="D292" t="inlineStr">
        <is>
          <t>Damage %</t>
        </is>
      </c>
      <c r="E292" t="n">
        <v>25</v>
      </c>
      <c r="F292" t="n">
        <v>4</v>
      </c>
      <c r="G292" t="b">
        <v>0</v>
      </c>
      <c r="H292">
        <f>Sensitivity!H10</f>
        <v/>
      </c>
    </row>
    <row r="293">
      <c r="A293" t="inlineStr">
        <is>
          <t>ALL</t>
        </is>
      </c>
      <c r="B293" t="inlineStr">
        <is>
          <t>legendary</t>
        </is>
      </c>
      <c r="C293" t="n">
        <v>1</v>
      </c>
      <c r="D293" t="inlineStr">
        <is>
          <t>Min Damage Multiplier %</t>
        </is>
      </c>
      <c r="E293" t="n">
        <v>15</v>
      </c>
      <c r="F293" t="n">
        <v>4</v>
      </c>
      <c r="G293" t="b">
        <v>0</v>
      </c>
      <c r="H293">
        <f>Sensitivity!H15</f>
        <v/>
      </c>
    </row>
    <row r="294">
      <c r="A294" t="inlineStr">
        <is>
          <t>ALL</t>
        </is>
      </c>
      <c r="B294" t="inlineStr">
        <is>
          <t>legendary</t>
        </is>
      </c>
      <c r="C294" t="n">
        <v>1</v>
      </c>
      <c r="D294" t="inlineStr">
        <is>
          <t>Max Damage Multiplier %</t>
        </is>
      </c>
      <c r="E294" t="n">
        <v>15</v>
      </c>
      <c r="F294" t="n">
        <v>4</v>
      </c>
      <c r="G294" t="b">
        <v>0</v>
      </c>
      <c r="H294">
        <f>Sensitivity!H16</f>
        <v/>
      </c>
    </row>
    <row r="295">
      <c r="A295" t="inlineStr">
        <is>
          <t>ALL</t>
        </is>
      </c>
      <c r="B295" t="inlineStr">
        <is>
          <t>legendary</t>
        </is>
      </c>
      <c r="C295" t="n">
        <v>1</v>
      </c>
      <c r="D295" t="inlineStr">
        <is>
          <t>Str %</t>
        </is>
      </c>
      <c r="E295" t="n">
        <v>12</v>
      </c>
      <c r="F295" t="n">
        <v>4.5</v>
      </c>
      <c r="G295" t="b">
        <v>0</v>
      </c>
      <c r="H295">
        <f>Sensitivity!H6</f>
        <v/>
      </c>
    </row>
    <row r="296">
      <c r="A296" t="inlineStr">
        <is>
          <t>ALL</t>
        </is>
      </c>
      <c r="B296" t="inlineStr">
        <is>
          <t>legendary</t>
        </is>
      </c>
      <c r="C296" t="n">
        <v>1</v>
      </c>
      <c r="D296" t="inlineStr">
        <is>
          <t>Dex %</t>
        </is>
      </c>
      <c r="E296" t="n">
        <v>12</v>
      </c>
      <c r="F296" t="n">
        <v>4.5</v>
      </c>
      <c r="G296" t="b">
        <v>0</v>
      </c>
      <c r="H296">
        <f>Sensitivity!H7*Inputs!$B$15/100</f>
        <v/>
      </c>
    </row>
    <row r="297">
      <c r="A297" t="inlineStr">
        <is>
          <t>ALL</t>
        </is>
      </c>
      <c r="B297" t="inlineStr">
        <is>
          <t>legendary</t>
        </is>
      </c>
      <c r="C297" t="n">
        <v>1</v>
      </c>
      <c r="D297" t="inlineStr">
        <is>
          <t>Int %</t>
        </is>
      </c>
      <c r="E297" t="n">
        <v>12</v>
      </c>
      <c r="F297" t="n">
        <v>4.5</v>
      </c>
      <c r="G297" t="b">
        <v>0</v>
      </c>
      <c r="H297" t="inlineStr">
        <is>
          <t>0</t>
        </is>
      </c>
    </row>
    <row r="298">
      <c r="A298" t="inlineStr">
        <is>
          <t>ALL</t>
        </is>
      </c>
      <c r="B298" t="inlineStr">
        <is>
          <t>legendary</t>
        </is>
      </c>
      <c r="C298" t="n">
        <v>1</v>
      </c>
      <c r="D298" t="inlineStr">
        <is>
          <t>Luk %</t>
        </is>
      </c>
      <c r="E298" t="n">
        <v>12</v>
      </c>
      <c r="F298" t="n">
        <v>4.5</v>
      </c>
      <c r="G298" t="b">
        <v>0</v>
      </c>
      <c r="H298" t="inlineStr">
        <is>
          <t>0</t>
        </is>
      </c>
    </row>
    <row r="299">
      <c r="A299" t="inlineStr">
        <is>
          <t>ALL</t>
        </is>
      </c>
      <c r="B299" t="inlineStr">
        <is>
          <t>legendary</t>
        </is>
      </c>
      <c r="C299" t="n">
        <v>1</v>
      </c>
      <c r="D299" t="inlineStr">
        <is>
          <t>Defense %</t>
        </is>
      </c>
      <c r="E299" t="n">
        <v>12</v>
      </c>
      <c r="F299" t="n">
        <v>9</v>
      </c>
      <c r="G299" t="b">
        <v>0</v>
      </c>
      <c r="H299">
        <f>Sensitivity!H9</f>
        <v/>
      </c>
    </row>
    <row r="300">
      <c r="A300" t="inlineStr">
        <is>
          <t>ALL</t>
        </is>
      </c>
      <c r="B300" t="inlineStr">
        <is>
          <t>legendary</t>
        </is>
      </c>
      <c r="C300" t="n">
        <v>1</v>
      </c>
      <c r="D300" t="inlineStr">
        <is>
          <t>Max HP %</t>
        </is>
      </c>
      <c r="E300" t="n">
        <v>20</v>
      </c>
      <c r="F300" t="n">
        <v>9</v>
      </c>
      <c r="G300" t="b">
        <v>0</v>
      </c>
      <c r="H300" t="inlineStr">
        <is>
          <t>0</t>
        </is>
      </c>
    </row>
    <row r="301">
      <c r="A301" t="inlineStr">
        <is>
          <t>ALL</t>
        </is>
      </c>
      <c r="B301" t="inlineStr">
        <is>
          <t>legendary</t>
        </is>
      </c>
      <c r="C301" t="n">
        <v>1</v>
      </c>
      <c r="D301" t="inlineStr">
        <is>
          <t>Max MP %</t>
        </is>
      </c>
      <c r="E301" t="n">
        <v>12</v>
      </c>
      <c r="F301" t="n">
        <v>9</v>
      </c>
      <c r="G301" t="b">
        <v>0</v>
      </c>
      <c r="H301" t="inlineStr">
        <is>
          <t>0</t>
        </is>
      </c>
    </row>
    <row r="302">
      <c r="A302" t="inlineStr">
        <is>
          <t>ALL</t>
        </is>
      </c>
      <c r="B302" t="inlineStr">
        <is>
          <t>legendary</t>
        </is>
      </c>
      <c r="C302" t="n">
        <v>1</v>
      </c>
      <c r="D302" t="inlineStr">
        <is>
          <t>Str</t>
        </is>
      </c>
      <c r="E302" t="n">
        <v>600</v>
      </c>
      <c r="F302" t="n">
        <v>9.25</v>
      </c>
      <c r="G302" t="b">
        <v>0</v>
      </c>
      <c r="H302">
        <f>Sensitivity!H5</f>
        <v/>
      </c>
    </row>
    <row r="303">
      <c r="A303" t="inlineStr">
        <is>
          <t>ALL</t>
        </is>
      </c>
      <c r="B303" t="inlineStr">
        <is>
          <t>legendary</t>
        </is>
      </c>
      <c r="C303" t="n">
        <v>1</v>
      </c>
      <c r="D303" t="inlineStr">
        <is>
          <t>Dex</t>
        </is>
      </c>
      <c r="E303" t="n">
        <v>600</v>
      </c>
      <c r="F303" t="n">
        <v>9.25</v>
      </c>
      <c r="G303" t="b">
        <v>0</v>
      </c>
      <c r="H303">
        <f>Sensitivity!H7</f>
        <v/>
      </c>
    </row>
    <row r="304">
      <c r="A304" t="inlineStr">
        <is>
          <t>ALL</t>
        </is>
      </c>
      <c r="B304" t="inlineStr">
        <is>
          <t>legendary</t>
        </is>
      </c>
      <c r="C304" t="n">
        <v>1</v>
      </c>
      <c r="D304" t="inlineStr">
        <is>
          <t>Int</t>
        </is>
      </c>
      <c r="E304" t="n">
        <v>600</v>
      </c>
      <c r="F304" t="n">
        <v>9.25</v>
      </c>
      <c r="G304" t="b">
        <v>0</v>
      </c>
      <c r="H304" t="inlineStr">
        <is>
          <t>0</t>
        </is>
      </c>
    </row>
    <row r="305">
      <c r="A305" t="inlineStr">
        <is>
          <t>ALL</t>
        </is>
      </c>
      <c r="B305" t="inlineStr">
        <is>
          <t>legendary</t>
        </is>
      </c>
      <c r="C305" t="n">
        <v>1</v>
      </c>
      <c r="D305" t="inlineStr">
        <is>
          <t>Luk</t>
        </is>
      </c>
      <c r="E305" t="n">
        <v>600</v>
      </c>
      <c r="F305" t="n">
        <v>9.25</v>
      </c>
      <c r="G305" t="b">
        <v>0</v>
      </c>
      <c r="H305" t="inlineStr">
        <is>
          <t>0</t>
        </is>
      </c>
    </row>
    <row r="306">
      <c r="A306" t="inlineStr">
        <is>
          <t>ALL</t>
        </is>
      </c>
      <c r="B306" t="inlineStr">
        <is>
          <t>legendary</t>
        </is>
      </c>
      <c r="C306" t="n">
        <v>2</v>
      </c>
      <c r="D306" t="inlineStr">
        <is>
          <t>Critical Rate %</t>
        </is>
      </c>
      <c r="E306" t="n">
        <v>9</v>
      </c>
      <c r="F306" t="n">
        <v>1.9</v>
      </c>
      <c r="G306" t="b">
        <v>0</v>
      </c>
      <c r="H306">
        <f>IF(AND(Inputs!$B$10+Summary!$B$14+Artifacts!$B$32&gt;=100,NOT(ArtifactsInput!$M$42),NOT(ArtifactsInput!$M$24)),Sensitivity!H18,Sensitivity!H17)</f>
        <v/>
      </c>
    </row>
    <row r="307">
      <c r="A307" t="inlineStr">
        <is>
          <t>ALL</t>
        </is>
      </c>
      <c r="B307" t="inlineStr">
        <is>
          <t>legendary</t>
        </is>
      </c>
      <c r="C307" t="n">
        <v>2</v>
      </c>
      <c r="D307" t="inlineStr">
        <is>
          <t>Critical Rate %</t>
        </is>
      </c>
      <c r="E307" t="n">
        <v>12</v>
      </c>
      <c r="F307" t="n">
        <v>0.6</v>
      </c>
      <c r="G307" t="b">
        <v>1</v>
      </c>
      <c r="H307">
        <f>IF(AND(Inputs!$B$10+Summary!$B$14+Artifacts!$B$32&gt;=100,NOT(ArtifactsInput!$M$42),NOT(ArtifactsInput!$M$24)),Sensitivity!H18,Sensitivity!H17)</f>
        <v/>
      </c>
    </row>
    <row r="308">
      <c r="A308" t="inlineStr">
        <is>
          <t>ALL</t>
        </is>
      </c>
      <c r="B308" t="inlineStr">
        <is>
          <t>legendary</t>
        </is>
      </c>
      <c r="C308" t="n">
        <v>2</v>
      </c>
      <c r="D308" t="inlineStr">
        <is>
          <t>Attack Speed %</t>
        </is>
      </c>
      <c r="E308" t="n">
        <v>5</v>
      </c>
      <c r="F308" t="n">
        <v>1.9</v>
      </c>
      <c r="G308" t="b">
        <v>0</v>
      </c>
      <c r="H308">
        <f>Sensitivity!H19</f>
        <v/>
      </c>
    </row>
    <row r="309">
      <c r="A309" t="inlineStr">
        <is>
          <t>ALL</t>
        </is>
      </c>
      <c r="B309" t="inlineStr">
        <is>
          <t>legendary</t>
        </is>
      </c>
      <c r="C309" t="n">
        <v>2</v>
      </c>
      <c r="D309" t="inlineStr">
        <is>
          <t>Attack Speed %</t>
        </is>
      </c>
      <c r="E309" t="n">
        <v>7</v>
      </c>
      <c r="F309" t="n">
        <v>0.6</v>
      </c>
      <c r="G309" t="b">
        <v>1</v>
      </c>
      <c r="H309">
        <f>Sensitivity!H19</f>
        <v/>
      </c>
    </row>
    <row r="310">
      <c r="A310" t="inlineStr">
        <is>
          <t>ALL</t>
        </is>
      </c>
      <c r="B310" t="inlineStr">
        <is>
          <t>legendary</t>
        </is>
      </c>
      <c r="C310" t="n">
        <v>2</v>
      </c>
      <c r="D310" t="inlineStr">
        <is>
          <t>Damage %</t>
        </is>
      </c>
      <c r="E310" t="n">
        <v>18</v>
      </c>
      <c r="F310" t="n">
        <v>3.04</v>
      </c>
      <c r="G310" t="b">
        <v>0</v>
      </c>
      <c r="H310">
        <f>Sensitivity!H10</f>
        <v/>
      </c>
    </row>
    <row r="311">
      <c r="A311" t="inlineStr">
        <is>
          <t>ALL</t>
        </is>
      </c>
      <c r="B311" t="inlineStr">
        <is>
          <t>legendary</t>
        </is>
      </c>
      <c r="C311" t="n">
        <v>2</v>
      </c>
      <c r="D311" t="inlineStr">
        <is>
          <t>Damage %</t>
        </is>
      </c>
      <c r="E311" t="n">
        <v>25</v>
      </c>
      <c r="F311" t="n">
        <v>0.96</v>
      </c>
      <c r="G311" t="b">
        <v>1</v>
      </c>
      <c r="H311">
        <f>Sensitivity!H10</f>
        <v/>
      </c>
    </row>
    <row r="312">
      <c r="A312" t="inlineStr">
        <is>
          <t>ALL</t>
        </is>
      </c>
      <c r="B312" t="inlineStr">
        <is>
          <t>legendary</t>
        </is>
      </c>
      <c r="C312" t="n">
        <v>2</v>
      </c>
      <c r="D312" t="inlineStr">
        <is>
          <t>Min Damage Multiplier %</t>
        </is>
      </c>
      <c r="E312" t="n">
        <v>10</v>
      </c>
      <c r="F312" t="n">
        <v>3.04</v>
      </c>
      <c r="G312" t="b">
        <v>0</v>
      </c>
      <c r="H312">
        <f>Sensitivity!H15</f>
        <v/>
      </c>
    </row>
    <row r="313">
      <c r="A313" t="inlineStr">
        <is>
          <t>ALL</t>
        </is>
      </c>
      <c r="B313" t="inlineStr">
        <is>
          <t>legendary</t>
        </is>
      </c>
      <c r="C313" t="n">
        <v>2</v>
      </c>
      <c r="D313" t="inlineStr">
        <is>
          <t>Min Damage Multiplier %</t>
        </is>
      </c>
      <c r="E313" t="n">
        <v>15</v>
      </c>
      <c r="F313" t="n">
        <v>0.96</v>
      </c>
      <c r="G313" t="b">
        <v>1</v>
      </c>
      <c r="H313">
        <f>Sensitivity!H15</f>
        <v/>
      </c>
    </row>
    <row r="314">
      <c r="A314" t="inlineStr">
        <is>
          <t>ALL</t>
        </is>
      </c>
      <c r="B314" t="inlineStr">
        <is>
          <t>legendary</t>
        </is>
      </c>
      <c r="C314" t="n">
        <v>2</v>
      </c>
      <c r="D314" t="inlineStr">
        <is>
          <t>Max Damage Multiplier %</t>
        </is>
      </c>
      <c r="E314" t="n">
        <v>10</v>
      </c>
      <c r="F314" t="n">
        <v>3.04</v>
      </c>
      <c r="G314" t="b">
        <v>0</v>
      </c>
      <c r="H314">
        <f>Sensitivity!H16</f>
        <v/>
      </c>
    </row>
    <row r="315">
      <c r="A315" t="inlineStr">
        <is>
          <t>ALL</t>
        </is>
      </c>
      <c r="B315" t="inlineStr">
        <is>
          <t>legendary</t>
        </is>
      </c>
      <c r="C315" t="n">
        <v>2</v>
      </c>
      <c r="D315" t="inlineStr">
        <is>
          <t>Max Damage Multiplier %</t>
        </is>
      </c>
      <c r="E315" t="n">
        <v>15</v>
      </c>
      <c r="F315" t="n">
        <v>0.96</v>
      </c>
      <c r="G315" t="b">
        <v>1</v>
      </c>
      <c r="H315">
        <f>Sensitivity!H16</f>
        <v/>
      </c>
    </row>
    <row r="316">
      <c r="A316" t="inlineStr">
        <is>
          <t>ALL</t>
        </is>
      </c>
      <c r="B316" t="inlineStr">
        <is>
          <t>legendary</t>
        </is>
      </c>
      <c r="C316" t="n">
        <v>2</v>
      </c>
      <c r="D316" t="inlineStr">
        <is>
          <t>Str %</t>
        </is>
      </c>
      <c r="E316" t="n">
        <v>9</v>
      </c>
      <c r="F316" t="n">
        <v>3.42</v>
      </c>
      <c r="G316" t="b">
        <v>0</v>
      </c>
      <c r="H316">
        <f>Sensitivity!H6</f>
        <v/>
      </c>
    </row>
    <row r="317">
      <c r="A317" t="inlineStr">
        <is>
          <t>ALL</t>
        </is>
      </c>
      <c r="B317" t="inlineStr">
        <is>
          <t>legendary</t>
        </is>
      </c>
      <c r="C317" t="n">
        <v>2</v>
      </c>
      <c r="D317" t="inlineStr">
        <is>
          <t>Str %</t>
        </is>
      </c>
      <c r="E317" t="n">
        <v>12</v>
      </c>
      <c r="F317" t="n">
        <v>1.08</v>
      </c>
      <c r="G317" t="b">
        <v>1</v>
      </c>
      <c r="H317">
        <f>Sensitivity!H6</f>
        <v/>
      </c>
    </row>
    <row r="318">
      <c r="A318" t="inlineStr">
        <is>
          <t>ALL</t>
        </is>
      </c>
      <c r="B318" t="inlineStr">
        <is>
          <t>legendary</t>
        </is>
      </c>
      <c r="C318" t="n">
        <v>2</v>
      </c>
      <c r="D318" t="inlineStr">
        <is>
          <t>Dex %</t>
        </is>
      </c>
      <c r="E318" t="n">
        <v>9</v>
      </c>
      <c r="F318" t="n">
        <v>3.42</v>
      </c>
      <c r="G318" t="b">
        <v>0</v>
      </c>
      <c r="H318">
        <f>Sensitivity!H7*Inputs!$B$15/100</f>
        <v/>
      </c>
    </row>
    <row r="319">
      <c r="A319" t="inlineStr">
        <is>
          <t>ALL</t>
        </is>
      </c>
      <c r="B319" t="inlineStr">
        <is>
          <t>legendary</t>
        </is>
      </c>
      <c r="C319" t="n">
        <v>2</v>
      </c>
      <c r="D319" t="inlineStr">
        <is>
          <t>Dex %</t>
        </is>
      </c>
      <c r="E319" t="n">
        <v>12</v>
      </c>
      <c r="F319" t="n">
        <v>1.08</v>
      </c>
      <c r="G319" t="b">
        <v>1</v>
      </c>
      <c r="H319">
        <f>Sensitivity!H7*Inputs!$B$15/100</f>
        <v/>
      </c>
    </row>
    <row r="320">
      <c r="A320" t="inlineStr">
        <is>
          <t>ALL</t>
        </is>
      </c>
      <c r="B320" t="inlineStr">
        <is>
          <t>legendary</t>
        </is>
      </c>
      <c r="C320" t="n">
        <v>2</v>
      </c>
      <c r="D320" t="inlineStr">
        <is>
          <t>Int %</t>
        </is>
      </c>
      <c r="E320" t="n">
        <v>9</v>
      </c>
      <c r="F320" t="n">
        <v>3.42</v>
      </c>
      <c r="G320" t="b">
        <v>0</v>
      </c>
      <c r="H320" t="inlineStr">
        <is>
          <t>0</t>
        </is>
      </c>
    </row>
    <row r="321">
      <c r="A321" t="inlineStr">
        <is>
          <t>ALL</t>
        </is>
      </c>
      <c r="B321" t="inlineStr">
        <is>
          <t>legendary</t>
        </is>
      </c>
      <c r="C321" t="n">
        <v>2</v>
      </c>
      <c r="D321" t="inlineStr">
        <is>
          <t>Int %</t>
        </is>
      </c>
      <c r="E321" t="n">
        <v>12</v>
      </c>
      <c r="F321" t="n">
        <v>1.08</v>
      </c>
      <c r="G321" t="b">
        <v>1</v>
      </c>
      <c r="H321" t="inlineStr">
        <is>
          <t>0</t>
        </is>
      </c>
    </row>
    <row r="322">
      <c r="A322" t="inlineStr">
        <is>
          <t>ALL</t>
        </is>
      </c>
      <c r="B322" t="inlineStr">
        <is>
          <t>legendary</t>
        </is>
      </c>
      <c r="C322" t="n">
        <v>2</v>
      </c>
      <c r="D322" t="inlineStr">
        <is>
          <t>Luk %</t>
        </is>
      </c>
      <c r="E322" t="n">
        <v>9</v>
      </c>
      <c r="F322" t="n">
        <v>3.42</v>
      </c>
      <c r="G322" t="b">
        <v>0</v>
      </c>
      <c r="H322" t="inlineStr">
        <is>
          <t>0</t>
        </is>
      </c>
    </row>
    <row r="323">
      <c r="A323" t="inlineStr">
        <is>
          <t>ALL</t>
        </is>
      </c>
      <c r="B323" t="inlineStr">
        <is>
          <t>legendary</t>
        </is>
      </c>
      <c r="C323" t="n">
        <v>2</v>
      </c>
      <c r="D323" t="inlineStr">
        <is>
          <t>Luk %</t>
        </is>
      </c>
      <c r="E323" t="n">
        <v>12</v>
      </c>
      <c r="F323" t="n">
        <v>1.08</v>
      </c>
      <c r="G323" t="b">
        <v>1</v>
      </c>
      <c r="H323" t="inlineStr">
        <is>
          <t>0</t>
        </is>
      </c>
    </row>
    <row r="324">
      <c r="A324" t="inlineStr">
        <is>
          <t>ALL</t>
        </is>
      </c>
      <c r="B324" t="inlineStr">
        <is>
          <t>legendary</t>
        </is>
      </c>
      <c r="C324" t="n">
        <v>2</v>
      </c>
      <c r="D324" t="inlineStr">
        <is>
          <t>Defense %</t>
        </is>
      </c>
      <c r="E324" t="n">
        <v>9</v>
      </c>
      <c r="F324" t="n">
        <v>6.84</v>
      </c>
      <c r="G324" t="b">
        <v>0</v>
      </c>
      <c r="H324">
        <f>Sensitivity!H9</f>
        <v/>
      </c>
    </row>
    <row r="325">
      <c r="A325" t="inlineStr">
        <is>
          <t>ALL</t>
        </is>
      </c>
      <c r="B325" t="inlineStr">
        <is>
          <t>legendary</t>
        </is>
      </c>
      <c r="C325" t="n">
        <v>2</v>
      </c>
      <c r="D325" t="inlineStr">
        <is>
          <t>Defense %</t>
        </is>
      </c>
      <c r="E325" t="n">
        <v>12</v>
      </c>
      <c r="F325" t="n">
        <v>2.16</v>
      </c>
      <c r="G325" t="b">
        <v>1</v>
      </c>
      <c r="H325">
        <f>Sensitivity!H9</f>
        <v/>
      </c>
    </row>
    <row r="326">
      <c r="A326" t="inlineStr">
        <is>
          <t>ALL</t>
        </is>
      </c>
      <c r="B326" t="inlineStr">
        <is>
          <t>legendary</t>
        </is>
      </c>
      <c r="C326" t="n">
        <v>2</v>
      </c>
      <c r="D326" t="inlineStr">
        <is>
          <t>Max HP %</t>
        </is>
      </c>
      <c r="E326" t="n">
        <v>15</v>
      </c>
      <c r="F326" t="n">
        <v>6.84</v>
      </c>
      <c r="G326" t="b">
        <v>0</v>
      </c>
      <c r="H326" t="inlineStr">
        <is>
          <t>0</t>
        </is>
      </c>
    </row>
    <row r="327">
      <c r="A327" t="inlineStr">
        <is>
          <t>ALL</t>
        </is>
      </c>
      <c r="B327" t="inlineStr">
        <is>
          <t>legendary</t>
        </is>
      </c>
      <c r="C327" t="n">
        <v>2</v>
      </c>
      <c r="D327" t="inlineStr">
        <is>
          <t>Max HP %</t>
        </is>
      </c>
      <c r="E327" t="n">
        <v>20</v>
      </c>
      <c r="F327" t="n">
        <v>2.16</v>
      </c>
      <c r="G327" t="b">
        <v>1</v>
      </c>
      <c r="H327" t="inlineStr">
        <is>
          <t>0</t>
        </is>
      </c>
    </row>
    <row r="328">
      <c r="A328" t="inlineStr">
        <is>
          <t>ALL</t>
        </is>
      </c>
      <c r="B328" t="inlineStr">
        <is>
          <t>legendary</t>
        </is>
      </c>
      <c r="C328" t="n">
        <v>2</v>
      </c>
      <c r="D328" t="inlineStr">
        <is>
          <t>Max MP %</t>
        </is>
      </c>
      <c r="E328" t="n">
        <v>9</v>
      </c>
      <c r="F328" t="n">
        <v>6.84</v>
      </c>
      <c r="G328" t="b">
        <v>0</v>
      </c>
      <c r="H328" t="inlineStr">
        <is>
          <t>0</t>
        </is>
      </c>
    </row>
    <row r="329">
      <c r="A329" t="inlineStr">
        <is>
          <t>ALL</t>
        </is>
      </c>
      <c r="B329" t="inlineStr">
        <is>
          <t>legendary</t>
        </is>
      </c>
      <c r="C329" t="n">
        <v>2</v>
      </c>
      <c r="D329" t="inlineStr">
        <is>
          <t>Max MP %</t>
        </is>
      </c>
      <c r="E329" t="n">
        <v>12</v>
      </c>
      <c r="F329" t="n">
        <v>2.16</v>
      </c>
      <c r="G329" t="b">
        <v>1</v>
      </c>
      <c r="H329" t="inlineStr">
        <is>
          <t>0</t>
        </is>
      </c>
    </row>
    <row r="330">
      <c r="A330" t="inlineStr">
        <is>
          <t>ALL</t>
        </is>
      </c>
      <c r="B330" t="inlineStr">
        <is>
          <t>legendary</t>
        </is>
      </c>
      <c r="C330" t="n">
        <v>2</v>
      </c>
      <c r="D330" t="inlineStr">
        <is>
          <t>Str</t>
        </is>
      </c>
      <c r="E330" t="n">
        <v>400</v>
      </c>
      <c r="F330" t="n">
        <v>7.03</v>
      </c>
      <c r="G330" t="b">
        <v>0</v>
      </c>
      <c r="H330">
        <f>Sensitivity!H5</f>
        <v/>
      </c>
    </row>
    <row r="331">
      <c r="A331" t="inlineStr">
        <is>
          <t>ALL</t>
        </is>
      </c>
      <c r="B331" t="inlineStr">
        <is>
          <t>legendary</t>
        </is>
      </c>
      <c r="C331" t="n">
        <v>2</v>
      </c>
      <c r="D331" t="inlineStr">
        <is>
          <t>Str</t>
        </is>
      </c>
      <c r="E331" t="n">
        <v>600</v>
      </c>
      <c r="F331" t="n">
        <v>2.22</v>
      </c>
      <c r="G331" t="b">
        <v>1</v>
      </c>
      <c r="H331">
        <f>Sensitivity!H5</f>
        <v/>
      </c>
    </row>
    <row r="332">
      <c r="A332" t="inlineStr">
        <is>
          <t>ALL</t>
        </is>
      </c>
      <c r="B332" t="inlineStr">
        <is>
          <t>legendary</t>
        </is>
      </c>
      <c r="C332" t="n">
        <v>2</v>
      </c>
      <c r="D332" t="inlineStr">
        <is>
          <t>Dex</t>
        </is>
      </c>
      <c r="E332" t="n">
        <v>400</v>
      </c>
      <c r="F332" t="n">
        <v>7.03</v>
      </c>
      <c r="G332" t="b">
        <v>0</v>
      </c>
      <c r="H332">
        <f>Sensitivity!H7</f>
        <v/>
      </c>
    </row>
    <row r="333">
      <c r="A333" t="inlineStr">
        <is>
          <t>ALL</t>
        </is>
      </c>
      <c r="B333" t="inlineStr">
        <is>
          <t>legendary</t>
        </is>
      </c>
      <c r="C333" t="n">
        <v>2</v>
      </c>
      <c r="D333" t="inlineStr">
        <is>
          <t>Dex</t>
        </is>
      </c>
      <c r="E333" t="n">
        <v>600</v>
      </c>
      <c r="F333" t="n">
        <v>2.22</v>
      </c>
      <c r="G333" t="b">
        <v>1</v>
      </c>
      <c r="H333">
        <f>Sensitivity!H7</f>
        <v/>
      </c>
    </row>
    <row r="334">
      <c r="A334" t="inlineStr">
        <is>
          <t>ALL</t>
        </is>
      </c>
      <c r="B334" t="inlineStr">
        <is>
          <t>legendary</t>
        </is>
      </c>
      <c r="C334" t="n">
        <v>2</v>
      </c>
      <c r="D334" t="inlineStr">
        <is>
          <t>Int</t>
        </is>
      </c>
      <c r="E334" t="n">
        <v>400</v>
      </c>
      <c r="F334" t="n">
        <v>7.03</v>
      </c>
      <c r="G334" t="b">
        <v>0</v>
      </c>
      <c r="H334" t="inlineStr">
        <is>
          <t>0</t>
        </is>
      </c>
    </row>
    <row r="335">
      <c r="A335" t="inlineStr">
        <is>
          <t>ALL</t>
        </is>
      </c>
      <c r="B335" t="inlineStr">
        <is>
          <t>legendary</t>
        </is>
      </c>
      <c r="C335" t="n">
        <v>2</v>
      </c>
      <c r="D335" t="inlineStr">
        <is>
          <t>Int</t>
        </is>
      </c>
      <c r="E335" t="n">
        <v>600</v>
      </c>
      <c r="F335" t="n">
        <v>2.22</v>
      </c>
      <c r="G335" t="b">
        <v>1</v>
      </c>
      <c r="H335" t="inlineStr">
        <is>
          <t>0</t>
        </is>
      </c>
    </row>
    <row r="336">
      <c r="A336" t="inlineStr">
        <is>
          <t>ALL</t>
        </is>
      </c>
      <c r="B336" t="inlineStr">
        <is>
          <t>legendary</t>
        </is>
      </c>
      <c r="C336" t="n">
        <v>2</v>
      </c>
      <c r="D336" t="inlineStr">
        <is>
          <t>Luk</t>
        </is>
      </c>
      <c r="E336" t="n">
        <v>400</v>
      </c>
      <c r="F336" t="n">
        <v>7.03</v>
      </c>
      <c r="G336" t="b">
        <v>0</v>
      </c>
      <c r="H336" t="inlineStr">
        <is>
          <t>0</t>
        </is>
      </c>
    </row>
    <row r="337">
      <c r="A337" t="inlineStr">
        <is>
          <t>ALL</t>
        </is>
      </c>
      <c r="B337" t="inlineStr">
        <is>
          <t>legendary</t>
        </is>
      </c>
      <c r="C337" t="n">
        <v>2</v>
      </c>
      <c r="D337" t="inlineStr">
        <is>
          <t>Luk</t>
        </is>
      </c>
      <c r="E337" t="n">
        <v>600</v>
      </c>
      <c r="F337" t="n">
        <v>2.22</v>
      </c>
      <c r="G337" t="b">
        <v>1</v>
      </c>
      <c r="H337" t="inlineStr">
        <is>
          <t>0</t>
        </is>
      </c>
    </row>
    <row r="338">
      <c r="A338" t="inlineStr">
        <is>
          <t>ALL</t>
        </is>
      </c>
      <c r="B338" t="inlineStr">
        <is>
          <t>legendary</t>
        </is>
      </c>
      <c r="C338" t="n">
        <v>3</v>
      </c>
      <c r="D338" t="inlineStr">
        <is>
          <t>Critical Rate %</t>
        </is>
      </c>
      <c r="E338" t="n">
        <v>9</v>
      </c>
      <c r="F338" t="n">
        <v>2.3</v>
      </c>
      <c r="G338" t="b">
        <v>0</v>
      </c>
      <c r="H338">
        <f>IF(AND(Inputs!$B$10+Summary!$B$14+Artifacts!$B$32&gt;=100,NOT(ArtifactsInput!$M$42),NOT(ArtifactsInput!$M$24)),Sensitivity!H18,Sensitivity!H17)</f>
        <v/>
      </c>
    </row>
    <row r="339">
      <c r="A339" t="inlineStr">
        <is>
          <t>ALL</t>
        </is>
      </c>
      <c r="B339" t="inlineStr">
        <is>
          <t>legendary</t>
        </is>
      </c>
      <c r="C339" t="n">
        <v>3</v>
      </c>
      <c r="D339" t="inlineStr">
        <is>
          <t>Critical Rate %</t>
        </is>
      </c>
      <c r="E339" t="n">
        <v>12</v>
      </c>
      <c r="F339" t="n">
        <v>0.2</v>
      </c>
      <c r="G339" t="b">
        <v>1</v>
      </c>
      <c r="H339">
        <f>IF(AND(Inputs!$B$10+Summary!$B$14+Artifacts!$B$32&gt;=100,NOT(ArtifactsInput!$M$42),NOT(ArtifactsInput!$M$24)),Sensitivity!H18,Sensitivity!H17)</f>
        <v/>
      </c>
    </row>
    <row r="340">
      <c r="A340" t="inlineStr">
        <is>
          <t>ALL</t>
        </is>
      </c>
      <c r="B340" t="inlineStr">
        <is>
          <t>legendary</t>
        </is>
      </c>
      <c r="C340" t="n">
        <v>3</v>
      </c>
      <c r="D340" t="inlineStr">
        <is>
          <t>Attack Speed %</t>
        </is>
      </c>
      <c r="E340" t="n">
        <v>5</v>
      </c>
      <c r="F340" t="n">
        <v>2.3</v>
      </c>
      <c r="G340" t="b">
        <v>0</v>
      </c>
      <c r="H340">
        <f>Sensitivity!H19</f>
        <v/>
      </c>
    </row>
    <row r="341">
      <c r="A341" t="inlineStr">
        <is>
          <t>ALL</t>
        </is>
      </c>
      <c r="B341" t="inlineStr">
        <is>
          <t>legendary</t>
        </is>
      </c>
      <c r="C341" t="n">
        <v>3</v>
      </c>
      <c r="D341" t="inlineStr">
        <is>
          <t>Attack Speed %</t>
        </is>
      </c>
      <c r="E341" t="n">
        <v>7</v>
      </c>
      <c r="F341" t="n">
        <v>0.2</v>
      </c>
      <c r="G341" t="b">
        <v>1</v>
      </c>
      <c r="H341">
        <f>Sensitivity!H19</f>
        <v/>
      </c>
    </row>
    <row r="342">
      <c r="A342" t="inlineStr">
        <is>
          <t>ALL</t>
        </is>
      </c>
      <c r="B342" t="inlineStr">
        <is>
          <t>legendary</t>
        </is>
      </c>
      <c r="C342" t="n">
        <v>3</v>
      </c>
      <c r="D342" t="inlineStr">
        <is>
          <t>Damage %</t>
        </is>
      </c>
      <c r="E342" t="n">
        <v>18</v>
      </c>
      <c r="F342" t="n">
        <v>3.68</v>
      </c>
      <c r="G342" t="b">
        <v>0</v>
      </c>
      <c r="H342">
        <f>Sensitivity!H10</f>
        <v/>
      </c>
    </row>
    <row r="343">
      <c r="A343" t="inlineStr">
        <is>
          <t>ALL</t>
        </is>
      </c>
      <c r="B343" t="inlineStr">
        <is>
          <t>legendary</t>
        </is>
      </c>
      <c r="C343" t="n">
        <v>3</v>
      </c>
      <c r="D343" t="inlineStr">
        <is>
          <t>Damage %</t>
        </is>
      </c>
      <c r="E343" t="n">
        <v>25</v>
      </c>
      <c r="F343" t="n">
        <v>0.32</v>
      </c>
      <c r="G343" t="b">
        <v>1</v>
      </c>
      <c r="H343">
        <f>Sensitivity!H10</f>
        <v/>
      </c>
    </row>
    <row r="344">
      <c r="A344" t="inlineStr">
        <is>
          <t>ALL</t>
        </is>
      </c>
      <c r="B344" t="inlineStr">
        <is>
          <t>legendary</t>
        </is>
      </c>
      <c r="C344" t="n">
        <v>3</v>
      </c>
      <c r="D344" t="inlineStr">
        <is>
          <t>Min Damage Multiplier %</t>
        </is>
      </c>
      <c r="E344" t="n">
        <v>10</v>
      </c>
      <c r="F344" t="n">
        <v>3.68</v>
      </c>
      <c r="G344" t="b">
        <v>0</v>
      </c>
      <c r="H344">
        <f>Sensitivity!H15</f>
        <v/>
      </c>
    </row>
    <row r="345">
      <c r="A345" t="inlineStr">
        <is>
          <t>ALL</t>
        </is>
      </c>
      <c r="B345" t="inlineStr">
        <is>
          <t>legendary</t>
        </is>
      </c>
      <c r="C345" t="n">
        <v>3</v>
      </c>
      <c r="D345" t="inlineStr">
        <is>
          <t>Min Damage Multiplier %</t>
        </is>
      </c>
      <c r="E345" t="n">
        <v>15</v>
      </c>
      <c r="F345" t="n">
        <v>0.32</v>
      </c>
      <c r="G345" t="b">
        <v>1</v>
      </c>
      <c r="H345">
        <f>Sensitivity!H15</f>
        <v/>
      </c>
    </row>
    <row r="346">
      <c r="A346" t="inlineStr">
        <is>
          <t>ALL</t>
        </is>
      </c>
      <c r="B346" t="inlineStr">
        <is>
          <t>legendary</t>
        </is>
      </c>
      <c r="C346" t="n">
        <v>3</v>
      </c>
      <c r="D346" t="inlineStr">
        <is>
          <t>Max Damage Multiplier %</t>
        </is>
      </c>
      <c r="E346" t="n">
        <v>10</v>
      </c>
      <c r="F346" t="n">
        <v>3.68</v>
      </c>
      <c r="G346" t="b">
        <v>0</v>
      </c>
      <c r="H346">
        <f>Sensitivity!H16</f>
        <v/>
      </c>
    </row>
    <row r="347">
      <c r="A347" t="inlineStr">
        <is>
          <t>ALL</t>
        </is>
      </c>
      <c r="B347" t="inlineStr">
        <is>
          <t>legendary</t>
        </is>
      </c>
      <c r="C347" t="n">
        <v>3</v>
      </c>
      <c r="D347" t="inlineStr">
        <is>
          <t>Max Damage Multiplier %</t>
        </is>
      </c>
      <c r="E347" t="n">
        <v>15</v>
      </c>
      <c r="F347" t="n">
        <v>0.32</v>
      </c>
      <c r="G347" t="b">
        <v>1</v>
      </c>
      <c r="H347">
        <f>Sensitivity!H16</f>
        <v/>
      </c>
    </row>
    <row r="348">
      <c r="A348" t="inlineStr">
        <is>
          <t>ALL</t>
        </is>
      </c>
      <c r="B348" t="inlineStr">
        <is>
          <t>legendary</t>
        </is>
      </c>
      <c r="C348" t="n">
        <v>3</v>
      </c>
      <c r="D348" t="inlineStr">
        <is>
          <t>Str %</t>
        </is>
      </c>
      <c r="E348" t="n">
        <v>9</v>
      </c>
      <c r="F348" t="n">
        <v>4.14</v>
      </c>
      <c r="G348" t="b">
        <v>0</v>
      </c>
      <c r="H348">
        <f>Sensitivity!H6</f>
        <v/>
      </c>
    </row>
    <row r="349">
      <c r="A349" t="inlineStr">
        <is>
          <t>ALL</t>
        </is>
      </c>
      <c r="B349" t="inlineStr">
        <is>
          <t>legendary</t>
        </is>
      </c>
      <c r="C349" t="n">
        <v>3</v>
      </c>
      <c r="D349" t="inlineStr">
        <is>
          <t>Str %</t>
        </is>
      </c>
      <c r="E349" t="n">
        <v>12</v>
      </c>
      <c r="F349" t="n">
        <v>0.36</v>
      </c>
      <c r="G349" t="b">
        <v>1</v>
      </c>
      <c r="H349">
        <f>Sensitivity!H6</f>
        <v/>
      </c>
    </row>
    <row r="350">
      <c r="A350" t="inlineStr">
        <is>
          <t>ALL</t>
        </is>
      </c>
      <c r="B350" t="inlineStr">
        <is>
          <t>legendary</t>
        </is>
      </c>
      <c r="C350" t="n">
        <v>3</v>
      </c>
      <c r="D350" t="inlineStr">
        <is>
          <t>Dex %</t>
        </is>
      </c>
      <c r="E350" t="n">
        <v>9</v>
      </c>
      <c r="F350" t="n">
        <v>4.14</v>
      </c>
      <c r="G350" t="b">
        <v>0</v>
      </c>
      <c r="H350">
        <f>Sensitivity!H7*Inputs!$B$15/100</f>
        <v/>
      </c>
    </row>
    <row r="351">
      <c r="A351" t="inlineStr">
        <is>
          <t>ALL</t>
        </is>
      </c>
      <c r="B351" t="inlineStr">
        <is>
          <t>legendary</t>
        </is>
      </c>
      <c r="C351" t="n">
        <v>3</v>
      </c>
      <c r="D351" t="inlineStr">
        <is>
          <t>Dex %</t>
        </is>
      </c>
      <c r="E351" t="n">
        <v>12</v>
      </c>
      <c r="F351" t="n">
        <v>0.36</v>
      </c>
      <c r="G351" t="b">
        <v>1</v>
      </c>
      <c r="H351">
        <f>Sensitivity!H7*Inputs!$B$15/100</f>
        <v/>
      </c>
    </row>
    <row r="352">
      <c r="A352" t="inlineStr">
        <is>
          <t>ALL</t>
        </is>
      </c>
      <c r="B352" t="inlineStr">
        <is>
          <t>legendary</t>
        </is>
      </c>
      <c r="C352" t="n">
        <v>3</v>
      </c>
      <c r="D352" t="inlineStr">
        <is>
          <t>Int %</t>
        </is>
      </c>
      <c r="E352" t="n">
        <v>9</v>
      </c>
      <c r="F352" t="n">
        <v>4.14</v>
      </c>
      <c r="G352" t="b">
        <v>0</v>
      </c>
      <c r="H352" t="inlineStr">
        <is>
          <t>0</t>
        </is>
      </c>
    </row>
    <row r="353">
      <c r="A353" t="inlineStr">
        <is>
          <t>ALL</t>
        </is>
      </c>
      <c r="B353" t="inlineStr">
        <is>
          <t>legendary</t>
        </is>
      </c>
      <c r="C353" t="n">
        <v>3</v>
      </c>
      <c r="D353" t="inlineStr">
        <is>
          <t>Int %</t>
        </is>
      </c>
      <c r="E353" t="n">
        <v>12</v>
      </c>
      <c r="F353" t="n">
        <v>0.36</v>
      </c>
      <c r="G353" t="b">
        <v>1</v>
      </c>
      <c r="H353" t="inlineStr">
        <is>
          <t>0</t>
        </is>
      </c>
    </row>
    <row r="354">
      <c r="A354" t="inlineStr">
        <is>
          <t>ALL</t>
        </is>
      </c>
      <c r="B354" t="inlineStr">
        <is>
          <t>legendary</t>
        </is>
      </c>
      <c r="C354" t="n">
        <v>3</v>
      </c>
      <c r="D354" t="inlineStr">
        <is>
          <t>Luk %</t>
        </is>
      </c>
      <c r="E354" t="n">
        <v>9</v>
      </c>
      <c r="F354" t="n">
        <v>4.14</v>
      </c>
      <c r="G354" t="b">
        <v>0</v>
      </c>
      <c r="H354" t="inlineStr">
        <is>
          <t>0</t>
        </is>
      </c>
    </row>
    <row r="355">
      <c r="A355" t="inlineStr">
        <is>
          <t>ALL</t>
        </is>
      </c>
      <c r="B355" t="inlineStr">
        <is>
          <t>legendary</t>
        </is>
      </c>
      <c r="C355" t="n">
        <v>3</v>
      </c>
      <c r="D355" t="inlineStr">
        <is>
          <t>Luk %</t>
        </is>
      </c>
      <c r="E355" t="n">
        <v>12</v>
      </c>
      <c r="F355" t="n">
        <v>0.36</v>
      </c>
      <c r="G355" t="b">
        <v>1</v>
      </c>
      <c r="H355" t="inlineStr">
        <is>
          <t>0</t>
        </is>
      </c>
    </row>
    <row r="356">
      <c r="A356" t="inlineStr">
        <is>
          <t>ALL</t>
        </is>
      </c>
      <c r="B356" t="inlineStr">
        <is>
          <t>legendary</t>
        </is>
      </c>
      <c r="C356" t="n">
        <v>3</v>
      </c>
      <c r="D356" t="inlineStr">
        <is>
          <t>Defense %</t>
        </is>
      </c>
      <c r="E356" t="n">
        <v>9</v>
      </c>
      <c r="F356" t="n">
        <v>8.279999999999999</v>
      </c>
      <c r="G356" t="b">
        <v>0</v>
      </c>
      <c r="H356">
        <f>Sensitivity!H9</f>
        <v/>
      </c>
    </row>
    <row r="357">
      <c r="A357" t="inlineStr">
        <is>
          <t>ALL</t>
        </is>
      </c>
      <c r="B357" t="inlineStr">
        <is>
          <t>legendary</t>
        </is>
      </c>
      <c r="C357" t="n">
        <v>3</v>
      </c>
      <c r="D357" t="inlineStr">
        <is>
          <t>Defense %</t>
        </is>
      </c>
      <c r="E357" t="n">
        <v>12</v>
      </c>
      <c r="F357" t="n">
        <v>0.72</v>
      </c>
      <c r="G357" t="b">
        <v>1</v>
      </c>
      <c r="H357">
        <f>Sensitivity!H9</f>
        <v/>
      </c>
    </row>
    <row r="358">
      <c r="A358" t="inlineStr">
        <is>
          <t>ALL</t>
        </is>
      </c>
      <c r="B358" t="inlineStr">
        <is>
          <t>legendary</t>
        </is>
      </c>
      <c r="C358" t="n">
        <v>3</v>
      </c>
      <c r="D358" t="inlineStr">
        <is>
          <t>Max HP %</t>
        </is>
      </c>
      <c r="E358" t="n">
        <v>15</v>
      </c>
      <c r="F358" t="n">
        <v>8.279999999999999</v>
      </c>
      <c r="G358" t="b">
        <v>0</v>
      </c>
      <c r="H358" t="inlineStr">
        <is>
          <t>0</t>
        </is>
      </c>
    </row>
    <row r="359">
      <c r="A359" t="inlineStr">
        <is>
          <t>ALL</t>
        </is>
      </c>
      <c r="B359" t="inlineStr">
        <is>
          <t>legendary</t>
        </is>
      </c>
      <c r="C359" t="n">
        <v>3</v>
      </c>
      <c r="D359" t="inlineStr">
        <is>
          <t>Max HP %</t>
        </is>
      </c>
      <c r="E359" t="n">
        <v>20</v>
      </c>
      <c r="F359" t="n">
        <v>0.72</v>
      </c>
      <c r="G359" t="b">
        <v>1</v>
      </c>
      <c r="H359" t="inlineStr">
        <is>
          <t>0</t>
        </is>
      </c>
    </row>
    <row r="360">
      <c r="A360" t="inlineStr">
        <is>
          <t>ALL</t>
        </is>
      </c>
      <c r="B360" t="inlineStr">
        <is>
          <t>legendary</t>
        </is>
      </c>
      <c r="C360" t="n">
        <v>3</v>
      </c>
      <c r="D360" t="inlineStr">
        <is>
          <t>Max MP %</t>
        </is>
      </c>
      <c r="E360" t="n">
        <v>9</v>
      </c>
      <c r="F360" t="n">
        <v>8.279999999999999</v>
      </c>
      <c r="G360" t="b">
        <v>0</v>
      </c>
      <c r="H360" t="inlineStr">
        <is>
          <t>0</t>
        </is>
      </c>
    </row>
    <row r="361">
      <c r="A361" t="inlineStr">
        <is>
          <t>ALL</t>
        </is>
      </c>
      <c r="B361" t="inlineStr">
        <is>
          <t>legendary</t>
        </is>
      </c>
      <c r="C361" t="n">
        <v>3</v>
      </c>
      <c r="D361" t="inlineStr">
        <is>
          <t>Max MP %</t>
        </is>
      </c>
      <c r="E361" t="n">
        <v>12</v>
      </c>
      <c r="F361" t="n">
        <v>0.72</v>
      </c>
      <c r="G361" t="b">
        <v>1</v>
      </c>
      <c r="H361" t="inlineStr">
        <is>
          <t>0</t>
        </is>
      </c>
    </row>
    <row r="362">
      <c r="A362" t="inlineStr">
        <is>
          <t>ALL</t>
        </is>
      </c>
      <c r="B362" t="inlineStr">
        <is>
          <t>legendary</t>
        </is>
      </c>
      <c r="C362" t="n">
        <v>3</v>
      </c>
      <c r="D362" t="inlineStr">
        <is>
          <t>Str</t>
        </is>
      </c>
      <c r="E362" t="n">
        <v>400</v>
      </c>
      <c r="F362" t="n">
        <v>8.51</v>
      </c>
      <c r="G362" t="b">
        <v>0</v>
      </c>
      <c r="H362">
        <f>Sensitivity!H5</f>
        <v/>
      </c>
    </row>
    <row r="363">
      <c r="A363" t="inlineStr">
        <is>
          <t>ALL</t>
        </is>
      </c>
      <c r="B363" t="inlineStr">
        <is>
          <t>legendary</t>
        </is>
      </c>
      <c r="C363" t="n">
        <v>3</v>
      </c>
      <c r="D363" t="inlineStr">
        <is>
          <t>Str</t>
        </is>
      </c>
      <c r="E363" t="n">
        <v>600</v>
      </c>
      <c r="F363" t="n">
        <v>0.74</v>
      </c>
      <c r="G363" t="b">
        <v>1</v>
      </c>
      <c r="H363">
        <f>Sensitivity!H5</f>
        <v/>
      </c>
    </row>
    <row r="364">
      <c r="A364" t="inlineStr">
        <is>
          <t>ALL</t>
        </is>
      </c>
      <c r="B364" t="inlineStr">
        <is>
          <t>legendary</t>
        </is>
      </c>
      <c r="C364" t="n">
        <v>3</v>
      </c>
      <c r="D364" t="inlineStr">
        <is>
          <t>Dex</t>
        </is>
      </c>
      <c r="E364" t="n">
        <v>400</v>
      </c>
      <c r="F364" t="n">
        <v>8.51</v>
      </c>
      <c r="G364" t="b">
        <v>0</v>
      </c>
      <c r="H364">
        <f>Sensitivity!H7</f>
        <v/>
      </c>
    </row>
    <row r="365">
      <c r="A365" t="inlineStr">
        <is>
          <t>ALL</t>
        </is>
      </c>
      <c r="B365" t="inlineStr">
        <is>
          <t>legendary</t>
        </is>
      </c>
      <c r="C365" t="n">
        <v>3</v>
      </c>
      <c r="D365" t="inlineStr">
        <is>
          <t>Dex</t>
        </is>
      </c>
      <c r="E365" t="n">
        <v>600</v>
      </c>
      <c r="F365" t="n">
        <v>0.74</v>
      </c>
      <c r="G365" t="b">
        <v>1</v>
      </c>
      <c r="H365">
        <f>Sensitivity!H7</f>
        <v/>
      </c>
    </row>
    <row r="366">
      <c r="A366" t="inlineStr">
        <is>
          <t>ALL</t>
        </is>
      </c>
      <c r="B366" t="inlineStr">
        <is>
          <t>legendary</t>
        </is>
      </c>
      <c r="C366" t="n">
        <v>3</v>
      </c>
      <c r="D366" t="inlineStr">
        <is>
          <t>Int</t>
        </is>
      </c>
      <c r="E366" t="n">
        <v>400</v>
      </c>
      <c r="F366" t="n">
        <v>8.51</v>
      </c>
      <c r="G366" t="b">
        <v>0</v>
      </c>
      <c r="H366" t="inlineStr">
        <is>
          <t>0</t>
        </is>
      </c>
    </row>
    <row r="367">
      <c r="A367" t="inlineStr">
        <is>
          <t>ALL</t>
        </is>
      </c>
      <c r="B367" t="inlineStr">
        <is>
          <t>legendary</t>
        </is>
      </c>
      <c r="C367" t="n">
        <v>3</v>
      </c>
      <c r="D367" t="inlineStr">
        <is>
          <t>Int</t>
        </is>
      </c>
      <c r="E367" t="n">
        <v>600</v>
      </c>
      <c r="F367" t="n">
        <v>0.74</v>
      </c>
      <c r="G367" t="b">
        <v>1</v>
      </c>
      <c r="H367" t="inlineStr">
        <is>
          <t>0</t>
        </is>
      </c>
    </row>
    <row r="368">
      <c r="A368" t="inlineStr">
        <is>
          <t>ALL</t>
        </is>
      </c>
      <c r="B368" t="inlineStr">
        <is>
          <t>legendary</t>
        </is>
      </c>
      <c r="C368" t="n">
        <v>3</v>
      </c>
      <c r="D368" t="inlineStr">
        <is>
          <t>Luk</t>
        </is>
      </c>
      <c r="E368" t="n">
        <v>400</v>
      </c>
      <c r="F368" t="n">
        <v>8.51</v>
      </c>
      <c r="G368" t="b">
        <v>0</v>
      </c>
      <c r="H368" t="inlineStr">
        <is>
          <t>0</t>
        </is>
      </c>
    </row>
    <row r="369">
      <c r="A369" t="inlineStr">
        <is>
          <t>ALL</t>
        </is>
      </c>
      <c r="B369" t="inlineStr">
        <is>
          <t>legendary</t>
        </is>
      </c>
      <c r="C369" t="n">
        <v>3</v>
      </c>
      <c r="D369" t="inlineStr">
        <is>
          <t>Luk</t>
        </is>
      </c>
      <c r="E369" t="n">
        <v>600</v>
      </c>
      <c r="F369" t="n">
        <v>0.74</v>
      </c>
      <c r="G369" t="b">
        <v>1</v>
      </c>
      <c r="H369" t="inlineStr">
        <is>
          <t>0</t>
        </is>
      </c>
    </row>
    <row r="370">
      <c r="A370" t="inlineStr">
        <is>
          <t>ALL</t>
        </is>
      </c>
      <c r="B370" t="inlineStr">
        <is>
          <t>mystic</t>
        </is>
      </c>
      <c r="C370" t="n">
        <v>1</v>
      </c>
      <c r="D370" t="inlineStr">
        <is>
          <t>Critical Rate %</t>
        </is>
      </c>
      <c r="E370" t="n">
        <v>15</v>
      </c>
      <c r="F370" t="n">
        <v>2.5</v>
      </c>
      <c r="G370" t="b">
        <v>0</v>
      </c>
      <c r="H370">
        <f>IF(AND(Inputs!$B$10+Summary!$B$14+Artifacts!$B$32&gt;=100,NOT(ArtifactsInput!$M$42),NOT(ArtifactsInput!$M$24)),Sensitivity!H18,Sensitivity!H17)</f>
        <v/>
      </c>
    </row>
    <row r="371">
      <c r="A371" t="inlineStr">
        <is>
          <t>ALL</t>
        </is>
      </c>
      <c r="B371" t="inlineStr">
        <is>
          <t>mystic</t>
        </is>
      </c>
      <c r="C371" t="n">
        <v>1</v>
      </c>
      <c r="D371" t="inlineStr">
        <is>
          <t>Attack Speed %</t>
        </is>
      </c>
      <c r="E371" t="n">
        <v>10</v>
      </c>
      <c r="F371" t="n">
        <v>2.5</v>
      </c>
      <c r="G371" t="b">
        <v>0</v>
      </c>
      <c r="H371">
        <f>Sensitivity!H19</f>
        <v/>
      </c>
    </row>
    <row r="372">
      <c r="A372" t="inlineStr">
        <is>
          <t>ALL</t>
        </is>
      </c>
      <c r="B372" t="inlineStr">
        <is>
          <t>mystic</t>
        </is>
      </c>
      <c r="C372" t="n">
        <v>1</v>
      </c>
      <c r="D372" t="inlineStr">
        <is>
          <t>Damage %</t>
        </is>
      </c>
      <c r="E372" t="n">
        <v>35</v>
      </c>
      <c r="F372" t="n">
        <v>4</v>
      </c>
      <c r="G372" t="b">
        <v>0</v>
      </c>
      <c r="H372">
        <f>Sensitivity!H10</f>
        <v/>
      </c>
    </row>
    <row r="373">
      <c r="A373" t="inlineStr">
        <is>
          <t>ALL</t>
        </is>
      </c>
      <c r="B373" t="inlineStr">
        <is>
          <t>mystic</t>
        </is>
      </c>
      <c r="C373" t="n">
        <v>1</v>
      </c>
      <c r="D373" t="inlineStr">
        <is>
          <t>Min Damage Multiplier %</t>
        </is>
      </c>
      <c r="E373" t="n">
        <v>25</v>
      </c>
      <c r="F373" t="n">
        <v>4</v>
      </c>
      <c r="G373" t="b">
        <v>0</v>
      </c>
      <c r="H373">
        <f>Sensitivity!H15</f>
        <v/>
      </c>
    </row>
    <row r="374">
      <c r="A374" t="inlineStr">
        <is>
          <t>ALL</t>
        </is>
      </c>
      <c r="B374" t="inlineStr">
        <is>
          <t>mystic</t>
        </is>
      </c>
      <c r="C374" t="n">
        <v>1</v>
      </c>
      <c r="D374" t="inlineStr">
        <is>
          <t>Max Damage Multiplier %</t>
        </is>
      </c>
      <c r="E374" t="n">
        <v>25</v>
      </c>
      <c r="F374" t="n">
        <v>4</v>
      </c>
      <c r="G374" t="b">
        <v>0</v>
      </c>
      <c r="H374">
        <f>Sensitivity!H16</f>
        <v/>
      </c>
    </row>
    <row r="375">
      <c r="A375" t="inlineStr">
        <is>
          <t>ALL</t>
        </is>
      </c>
      <c r="B375" t="inlineStr">
        <is>
          <t>mystic</t>
        </is>
      </c>
      <c r="C375" t="n">
        <v>1</v>
      </c>
      <c r="D375" t="inlineStr">
        <is>
          <t>Str %</t>
        </is>
      </c>
      <c r="E375" t="n">
        <v>15</v>
      </c>
      <c r="F375" t="n">
        <v>4.5</v>
      </c>
      <c r="G375" t="b">
        <v>0</v>
      </c>
      <c r="H375">
        <f>Sensitivity!H6</f>
        <v/>
      </c>
    </row>
    <row r="376">
      <c r="A376" t="inlineStr">
        <is>
          <t>ALL</t>
        </is>
      </c>
      <c r="B376" t="inlineStr">
        <is>
          <t>mystic</t>
        </is>
      </c>
      <c r="C376" t="n">
        <v>1</v>
      </c>
      <c r="D376" t="inlineStr">
        <is>
          <t>Dex %</t>
        </is>
      </c>
      <c r="E376" t="n">
        <v>15</v>
      </c>
      <c r="F376" t="n">
        <v>4.5</v>
      </c>
      <c r="G376" t="b">
        <v>0</v>
      </c>
      <c r="H376">
        <f>Sensitivity!H7*Inputs!$B$15/100</f>
        <v/>
      </c>
    </row>
    <row r="377">
      <c r="A377" t="inlineStr">
        <is>
          <t>ALL</t>
        </is>
      </c>
      <c r="B377" t="inlineStr">
        <is>
          <t>mystic</t>
        </is>
      </c>
      <c r="C377" t="n">
        <v>1</v>
      </c>
      <c r="D377" t="inlineStr">
        <is>
          <t>Int %</t>
        </is>
      </c>
      <c r="E377" t="n">
        <v>15</v>
      </c>
      <c r="F377" t="n">
        <v>4.5</v>
      </c>
      <c r="G377" t="b">
        <v>0</v>
      </c>
      <c r="H377" t="inlineStr">
        <is>
          <t>0</t>
        </is>
      </c>
    </row>
    <row r="378">
      <c r="A378" t="inlineStr">
        <is>
          <t>ALL</t>
        </is>
      </c>
      <c r="B378" t="inlineStr">
        <is>
          <t>mystic</t>
        </is>
      </c>
      <c r="C378" t="n">
        <v>1</v>
      </c>
      <c r="D378" t="inlineStr">
        <is>
          <t>Luk %</t>
        </is>
      </c>
      <c r="E378" t="n">
        <v>15</v>
      </c>
      <c r="F378" t="n">
        <v>4.5</v>
      </c>
      <c r="G378" t="b">
        <v>0</v>
      </c>
      <c r="H378" t="inlineStr">
        <is>
          <t>0</t>
        </is>
      </c>
    </row>
    <row r="379">
      <c r="A379" t="inlineStr">
        <is>
          <t>ALL</t>
        </is>
      </c>
      <c r="B379" t="inlineStr">
        <is>
          <t>mystic</t>
        </is>
      </c>
      <c r="C379" t="n">
        <v>1</v>
      </c>
      <c r="D379" t="inlineStr">
        <is>
          <t>Defense %</t>
        </is>
      </c>
      <c r="E379" t="n">
        <v>15</v>
      </c>
      <c r="F379" t="n">
        <v>9</v>
      </c>
      <c r="G379" t="b">
        <v>0</v>
      </c>
      <c r="H379">
        <f>Sensitivity!H9</f>
        <v/>
      </c>
    </row>
    <row r="380">
      <c r="A380" t="inlineStr">
        <is>
          <t>ALL</t>
        </is>
      </c>
      <c r="B380" t="inlineStr">
        <is>
          <t>mystic</t>
        </is>
      </c>
      <c r="C380" t="n">
        <v>1</v>
      </c>
      <c r="D380" t="inlineStr">
        <is>
          <t>Max HP %</t>
        </is>
      </c>
      <c r="E380" t="n">
        <v>25</v>
      </c>
      <c r="F380" t="n">
        <v>9</v>
      </c>
      <c r="G380" t="b">
        <v>0</v>
      </c>
      <c r="H380" t="inlineStr">
        <is>
          <t>0</t>
        </is>
      </c>
    </row>
    <row r="381">
      <c r="A381" t="inlineStr">
        <is>
          <t>ALL</t>
        </is>
      </c>
      <c r="B381" t="inlineStr">
        <is>
          <t>mystic</t>
        </is>
      </c>
      <c r="C381" t="n">
        <v>1</v>
      </c>
      <c r="D381" t="inlineStr">
        <is>
          <t>Max MP %</t>
        </is>
      </c>
      <c r="E381" t="n">
        <v>15</v>
      </c>
      <c r="F381" t="n">
        <v>9</v>
      </c>
      <c r="G381" t="b">
        <v>0</v>
      </c>
      <c r="H381" t="inlineStr">
        <is>
          <t>0</t>
        </is>
      </c>
    </row>
    <row r="382">
      <c r="A382" t="inlineStr">
        <is>
          <t>ALL</t>
        </is>
      </c>
      <c r="B382" t="inlineStr">
        <is>
          <t>mystic</t>
        </is>
      </c>
      <c r="C382" t="n">
        <v>1</v>
      </c>
      <c r="D382" t="inlineStr">
        <is>
          <t>Str</t>
        </is>
      </c>
      <c r="E382" t="n">
        <v>1000</v>
      </c>
      <c r="F382" t="n">
        <v>9.25</v>
      </c>
      <c r="G382" t="b">
        <v>0</v>
      </c>
      <c r="H382">
        <f>Sensitivity!H5</f>
        <v/>
      </c>
    </row>
    <row r="383">
      <c r="A383" t="inlineStr">
        <is>
          <t>ALL</t>
        </is>
      </c>
      <c r="B383" t="inlineStr">
        <is>
          <t>mystic</t>
        </is>
      </c>
      <c r="C383" t="n">
        <v>1</v>
      </c>
      <c r="D383" t="inlineStr">
        <is>
          <t>Dex</t>
        </is>
      </c>
      <c r="E383" t="n">
        <v>1000</v>
      </c>
      <c r="F383" t="n">
        <v>9.25</v>
      </c>
      <c r="G383" t="b">
        <v>0</v>
      </c>
      <c r="H383">
        <f>Sensitivity!H7</f>
        <v/>
      </c>
    </row>
    <row r="384">
      <c r="A384" t="inlineStr">
        <is>
          <t>ALL</t>
        </is>
      </c>
      <c r="B384" t="inlineStr">
        <is>
          <t>mystic</t>
        </is>
      </c>
      <c r="C384" t="n">
        <v>1</v>
      </c>
      <c r="D384" t="inlineStr">
        <is>
          <t>Int</t>
        </is>
      </c>
      <c r="E384" t="n">
        <v>1000</v>
      </c>
      <c r="F384" t="n">
        <v>9.25</v>
      </c>
      <c r="G384" t="b">
        <v>0</v>
      </c>
      <c r="H384" t="inlineStr">
        <is>
          <t>0</t>
        </is>
      </c>
    </row>
    <row r="385">
      <c r="A385" t="inlineStr">
        <is>
          <t>ALL</t>
        </is>
      </c>
      <c r="B385" t="inlineStr">
        <is>
          <t>mystic</t>
        </is>
      </c>
      <c r="C385" t="n">
        <v>1</v>
      </c>
      <c r="D385" t="inlineStr">
        <is>
          <t>Luk</t>
        </is>
      </c>
      <c r="E385" t="n">
        <v>1000</v>
      </c>
      <c r="F385" t="n">
        <v>9.25</v>
      </c>
      <c r="G385" t="b">
        <v>0</v>
      </c>
      <c r="H385" t="inlineStr">
        <is>
          <t>0</t>
        </is>
      </c>
    </row>
    <row r="386">
      <c r="A386" t="inlineStr">
        <is>
          <t>ALL</t>
        </is>
      </c>
      <c r="B386" t="inlineStr">
        <is>
          <t>mystic</t>
        </is>
      </c>
      <c r="C386" t="n">
        <v>2</v>
      </c>
      <c r="D386" t="inlineStr">
        <is>
          <t>Critical Rate %</t>
        </is>
      </c>
      <c r="E386" t="n">
        <v>12</v>
      </c>
      <c r="F386" t="n">
        <v>1.9</v>
      </c>
      <c r="G386" t="b">
        <v>0</v>
      </c>
      <c r="H386">
        <f>IF(AND(Inputs!$B$10+Summary!$B$14+Artifacts!$B$32&gt;=100,NOT(ArtifactsInput!$M$42),NOT(ArtifactsInput!$M$24)),Sensitivity!H18,Sensitivity!H17)</f>
        <v/>
      </c>
    </row>
    <row r="387">
      <c r="A387" t="inlineStr">
        <is>
          <t>ALL</t>
        </is>
      </c>
      <c r="B387" t="inlineStr">
        <is>
          <t>mystic</t>
        </is>
      </c>
      <c r="C387" t="n">
        <v>2</v>
      </c>
      <c r="D387" t="inlineStr">
        <is>
          <t>Critical Rate %</t>
        </is>
      </c>
      <c r="E387" t="n">
        <v>15</v>
      </c>
      <c r="F387" t="n">
        <v>0.6</v>
      </c>
      <c r="G387" t="b">
        <v>1</v>
      </c>
      <c r="H387">
        <f>IF(AND(Inputs!$B$10+Summary!$B$14+Artifacts!$B$32&gt;=100,NOT(ArtifactsInput!$M$42),NOT(ArtifactsInput!$M$24)),Sensitivity!H18,Sensitivity!H17)</f>
        <v/>
      </c>
    </row>
    <row r="388">
      <c r="A388" t="inlineStr">
        <is>
          <t>ALL</t>
        </is>
      </c>
      <c r="B388" t="inlineStr">
        <is>
          <t>mystic</t>
        </is>
      </c>
      <c r="C388" t="n">
        <v>2</v>
      </c>
      <c r="D388" t="inlineStr">
        <is>
          <t>Attack Speed %</t>
        </is>
      </c>
      <c r="E388" t="n">
        <v>7</v>
      </c>
      <c r="F388" t="n">
        <v>1.9</v>
      </c>
      <c r="G388" t="b">
        <v>0</v>
      </c>
      <c r="H388">
        <f>Sensitivity!H19</f>
        <v/>
      </c>
    </row>
    <row r="389">
      <c r="A389" t="inlineStr">
        <is>
          <t>ALL</t>
        </is>
      </c>
      <c r="B389" t="inlineStr">
        <is>
          <t>mystic</t>
        </is>
      </c>
      <c r="C389" t="n">
        <v>2</v>
      </c>
      <c r="D389" t="inlineStr">
        <is>
          <t>Attack Speed %</t>
        </is>
      </c>
      <c r="E389" t="n">
        <v>10</v>
      </c>
      <c r="F389" t="n">
        <v>0.6</v>
      </c>
      <c r="G389" t="b">
        <v>1</v>
      </c>
      <c r="H389">
        <f>Sensitivity!H19</f>
        <v/>
      </c>
    </row>
    <row r="390">
      <c r="A390" t="inlineStr">
        <is>
          <t>ALL</t>
        </is>
      </c>
      <c r="B390" t="inlineStr">
        <is>
          <t>mystic</t>
        </is>
      </c>
      <c r="C390" t="n">
        <v>2</v>
      </c>
      <c r="D390" t="inlineStr">
        <is>
          <t>Damage %</t>
        </is>
      </c>
      <c r="E390" t="n">
        <v>25</v>
      </c>
      <c r="F390" t="n">
        <v>3.04</v>
      </c>
      <c r="G390" t="b">
        <v>0</v>
      </c>
      <c r="H390">
        <f>Sensitivity!H10</f>
        <v/>
      </c>
    </row>
    <row r="391">
      <c r="A391" t="inlineStr">
        <is>
          <t>ALL</t>
        </is>
      </c>
      <c r="B391" t="inlineStr">
        <is>
          <t>mystic</t>
        </is>
      </c>
      <c r="C391" t="n">
        <v>2</v>
      </c>
      <c r="D391" t="inlineStr">
        <is>
          <t>Damage %</t>
        </is>
      </c>
      <c r="E391" t="n">
        <v>35</v>
      </c>
      <c r="F391" t="n">
        <v>0.96</v>
      </c>
      <c r="G391" t="b">
        <v>1</v>
      </c>
      <c r="H391">
        <f>Sensitivity!H10</f>
        <v/>
      </c>
    </row>
    <row r="392">
      <c r="A392" t="inlineStr">
        <is>
          <t>ALL</t>
        </is>
      </c>
      <c r="B392" t="inlineStr">
        <is>
          <t>mystic</t>
        </is>
      </c>
      <c r="C392" t="n">
        <v>2</v>
      </c>
      <c r="D392" t="inlineStr">
        <is>
          <t>Min Damage Multiplier %</t>
        </is>
      </c>
      <c r="E392" t="n">
        <v>15</v>
      </c>
      <c r="F392" t="n">
        <v>3.04</v>
      </c>
      <c r="G392" t="b">
        <v>0</v>
      </c>
      <c r="H392">
        <f>Sensitivity!H15</f>
        <v/>
      </c>
    </row>
    <row r="393">
      <c r="A393" t="inlineStr">
        <is>
          <t>ALL</t>
        </is>
      </c>
      <c r="B393" t="inlineStr">
        <is>
          <t>mystic</t>
        </is>
      </c>
      <c r="C393" t="n">
        <v>2</v>
      </c>
      <c r="D393" t="inlineStr">
        <is>
          <t>Min Damage Multiplier %</t>
        </is>
      </c>
      <c r="E393" t="n">
        <v>25</v>
      </c>
      <c r="F393" t="n">
        <v>0.96</v>
      </c>
      <c r="G393" t="b">
        <v>1</v>
      </c>
      <c r="H393">
        <f>Sensitivity!H15</f>
        <v/>
      </c>
    </row>
    <row r="394">
      <c r="A394" t="inlineStr">
        <is>
          <t>ALL</t>
        </is>
      </c>
      <c r="B394" t="inlineStr">
        <is>
          <t>mystic</t>
        </is>
      </c>
      <c r="C394" t="n">
        <v>2</v>
      </c>
      <c r="D394" t="inlineStr">
        <is>
          <t>Max Damage Multiplier %</t>
        </is>
      </c>
      <c r="E394" t="n">
        <v>15</v>
      </c>
      <c r="F394" t="n">
        <v>3.04</v>
      </c>
      <c r="G394" t="b">
        <v>0</v>
      </c>
      <c r="H394">
        <f>Sensitivity!H16</f>
        <v/>
      </c>
    </row>
    <row r="395">
      <c r="A395" t="inlineStr">
        <is>
          <t>ALL</t>
        </is>
      </c>
      <c r="B395" t="inlineStr">
        <is>
          <t>mystic</t>
        </is>
      </c>
      <c r="C395" t="n">
        <v>2</v>
      </c>
      <c r="D395" t="inlineStr">
        <is>
          <t>Max Damage Multiplier %</t>
        </is>
      </c>
      <c r="E395" t="n">
        <v>25</v>
      </c>
      <c r="F395" t="n">
        <v>0.96</v>
      </c>
      <c r="G395" t="b">
        <v>1</v>
      </c>
      <c r="H395">
        <f>Sensitivity!H16</f>
        <v/>
      </c>
    </row>
    <row r="396">
      <c r="A396" t="inlineStr">
        <is>
          <t>ALL</t>
        </is>
      </c>
      <c r="B396" t="inlineStr">
        <is>
          <t>mystic</t>
        </is>
      </c>
      <c r="C396" t="n">
        <v>2</v>
      </c>
      <c r="D396" t="inlineStr">
        <is>
          <t>Str %</t>
        </is>
      </c>
      <c r="E396" t="n">
        <v>12</v>
      </c>
      <c r="F396" t="n">
        <v>3.42</v>
      </c>
      <c r="G396" t="b">
        <v>0</v>
      </c>
      <c r="H396">
        <f>Sensitivity!H6</f>
        <v/>
      </c>
    </row>
    <row r="397">
      <c r="A397" t="inlineStr">
        <is>
          <t>ALL</t>
        </is>
      </c>
      <c r="B397" t="inlineStr">
        <is>
          <t>mystic</t>
        </is>
      </c>
      <c r="C397" t="n">
        <v>2</v>
      </c>
      <c r="D397" t="inlineStr">
        <is>
          <t>Str %</t>
        </is>
      </c>
      <c r="E397" t="n">
        <v>15</v>
      </c>
      <c r="F397" t="n">
        <v>1.08</v>
      </c>
      <c r="G397" t="b">
        <v>1</v>
      </c>
      <c r="H397">
        <f>Sensitivity!H6</f>
        <v/>
      </c>
    </row>
    <row r="398">
      <c r="A398" t="inlineStr">
        <is>
          <t>ALL</t>
        </is>
      </c>
      <c r="B398" t="inlineStr">
        <is>
          <t>mystic</t>
        </is>
      </c>
      <c r="C398" t="n">
        <v>2</v>
      </c>
      <c r="D398" t="inlineStr">
        <is>
          <t>Dex %</t>
        </is>
      </c>
      <c r="E398" t="n">
        <v>12</v>
      </c>
      <c r="F398" t="n">
        <v>3.42</v>
      </c>
      <c r="G398" t="b">
        <v>0</v>
      </c>
      <c r="H398">
        <f>Sensitivity!H7*Inputs!$B$15/100</f>
        <v/>
      </c>
    </row>
    <row r="399">
      <c r="A399" t="inlineStr">
        <is>
          <t>ALL</t>
        </is>
      </c>
      <c r="B399" t="inlineStr">
        <is>
          <t>mystic</t>
        </is>
      </c>
      <c r="C399" t="n">
        <v>2</v>
      </c>
      <c r="D399" t="inlineStr">
        <is>
          <t>Dex %</t>
        </is>
      </c>
      <c r="E399" t="n">
        <v>15</v>
      </c>
      <c r="F399" t="n">
        <v>1.08</v>
      </c>
      <c r="G399" t="b">
        <v>1</v>
      </c>
      <c r="H399">
        <f>Sensitivity!H7*Inputs!$B$15/100</f>
        <v/>
      </c>
    </row>
    <row r="400">
      <c r="A400" t="inlineStr">
        <is>
          <t>ALL</t>
        </is>
      </c>
      <c r="B400" t="inlineStr">
        <is>
          <t>mystic</t>
        </is>
      </c>
      <c r="C400" t="n">
        <v>2</v>
      </c>
      <c r="D400" t="inlineStr">
        <is>
          <t>Int %</t>
        </is>
      </c>
      <c r="E400" t="n">
        <v>12</v>
      </c>
      <c r="F400" t="n">
        <v>3.42</v>
      </c>
      <c r="G400" t="b">
        <v>0</v>
      </c>
      <c r="H400" t="inlineStr">
        <is>
          <t>0</t>
        </is>
      </c>
    </row>
    <row r="401">
      <c r="A401" t="inlineStr">
        <is>
          <t>ALL</t>
        </is>
      </c>
      <c r="B401" t="inlineStr">
        <is>
          <t>mystic</t>
        </is>
      </c>
      <c r="C401" t="n">
        <v>2</v>
      </c>
      <c r="D401" t="inlineStr">
        <is>
          <t>Int %</t>
        </is>
      </c>
      <c r="E401" t="n">
        <v>15</v>
      </c>
      <c r="F401" t="n">
        <v>1.08</v>
      </c>
      <c r="G401" t="b">
        <v>1</v>
      </c>
      <c r="H401" t="inlineStr">
        <is>
          <t>0</t>
        </is>
      </c>
    </row>
    <row r="402">
      <c r="A402" t="inlineStr">
        <is>
          <t>ALL</t>
        </is>
      </c>
      <c r="B402" t="inlineStr">
        <is>
          <t>mystic</t>
        </is>
      </c>
      <c r="C402" t="n">
        <v>2</v>
      </c>
      <c r="D402" t="inlineStr">
        <is>
          <t>Luk %</t>
        </is>
      </c>
      <c r="E402" t="n">
        <v>12</v>
      </c>
      <c r="F402" t="n">
        <v>3.42</v>
      </c>
      <c r="G402" t="b">
        <v>0</v>
      </c>
      <c r="H402" t="inlineStr">
        <is>
          <t>0</t>
        </is>
      </c>
    </row>
    <row r="403">
      <c r="A403" t="inlineStr">
        <is>
          <t>ALL</t>
        </is>
      </c>
      <c r="B403" t="inlineStr">
        <is>
          <t>mystic</t>
        </is>
      </c>
      <c r="C403" t="n">
        <v>2</v>
      </c>
      <c r="D403" t="inlineStr">
        <is>
          <t>Luk %</t>
        </is>
      </c>
      <c r="E403" t="n">
        <v>15</v>
      </c>
      <c r="F403" t="n">
        <v>1.08</v>
      </c>
      <c r="G403" t="b">
        <v>1</v>
      </c>
      <c r="H403" t="inlineStr">
        <is>
          <t>0</t>
        </is>
      </c>
    </row>
    <row r="404">
      <c r="A404" t="inlineStr">
        <is>
          <t>ALL</t>
        </is>
      </c>
      <c r="B404" t="inlineStr">
        <is>
          <t>mystic</t>
        </is>
      </c>
      <c r="C404" t="n">
        <v>2</v>
      </c>
      <c r="D404" t="inlineStr">
        <is>
          <t>Defense %</t>
        </is>
      </c>
      <c r="E404" t="n">
        <v>12</v>
      </c>
      <c r="F404" t="n">
        <v>6.84</v>
      </c>
      <c r="G404" t="b">
        <v>0</v>
      </c>
      <c r="H404">
        <f>Sensitivity!H9</f>
        <v/>
      </c>
    </row>
    <row r="405">
      <c r="A405" t="inlineStr">
        <is>
          <t>ALL</t>
        </is>
      </c>
      <c r="B405" t="inlineStr">
        <is>
          <t>mystic</t>
        </is>
      </c>
      <c r="C405" t="n">
        <v>2</v>
      </c>
      <c r="D405" t="inlineStr">
        <is>
          <t>Defense %</t>
        </is>
      </c>
      <c r="E405" t="n">
        <v>15</v>
      </c>
      <c r="F405" t="n">
        <v>2.16</v>
      </c>
      <c r="G405" t="b">
        <v>1</v>
      </c>
      <c r="H405">
        <f>Sensitivity!H9</f>
        <v/>
      </c>
    </row>
    <row r="406">
      <c r="A406" t="inlineStr">
        <is>
          <t>ALL</t>
        </is>
      </c>
      <c r="B406" t="inlineStr">
        <is>
          <t>mystic</t>
        </is>
      </c>
      <c r="C406" t="n">
        <v>2</v>
      </c>
      <c r="D406" t="inlineStr">
        <is>
          <t>Max HP %</t>
        </is>
      </c>
      <c r="E406" t="n">
        <v>20</v>
      </c>
      <c r="F406" t="n">
        <v>6.84</v>
      </c>
      <c r="G406" t="b">
        <v>0</v>
      </c>
      <c r="H406" t="inlineStr">
        <is>
          <t>0</t>
        </is>
      </c>
    </row>
    <row r="407">
      <c r="A407" t="inlineStr">
        <is>
          <t>ALL</t>
        </is>
      </c>
      <c r="B407" t="inlineStr">
        <is>
          <t>mystic</t>
        </is>
      </c>
      <c r="C407" t="n">
        <v>2</v>
      </c>
      <c r="D407" t="inlineStr">
        <is>
          <t>Max HP %</t>
        </is>
      </c>
      <c r="E407" t="n">
        <v>25</v>
      </c>
      <c r="F407" t="n">
        <v>2.16</v>
      </c>
      <c r="G407" t="b">
        <v>1</v>
      </c>
      <c r="H407" t="inlineStr">
        <is>
          <t>0</t>
        </is>
      </c>
    </row>
    <row r="408">
      <c r="A408" t="inlineStr">
        <is>
          <t>ALL</t>
        </is>
      </c>
      <c r="B408" t="inlineStr">
        <is>
          <t>mystic</t>
        </is>
      </c>
      <c r="C408" t="n">
        <v>2</v>
      </c>
      <c r="D408" t="inlineStr">
        <is>
          <t>Max MP %</t>
        </is>
      </c>
      <c r="E408" t="n">
        <v>12</v>
      </c>
      <c r="F408" t="n">
        <v>6.84</v>
      </c>
      <c r="G408" t="b">
        <v>0</v>
      </c>
      <c r="H408" t="inlineStr">
        <is>
          <t>0</t>
        </is>
      </c>
    </row>
    <row r="409">
      <c r="A409" t="inlineStr">
        <is>
          <t>ALL</t>
        </is>
      </c>
      <c r="B409" t="inlineStr">
        <is>
          <t>mystic</t>
        </is>
      </c>
      <c r="C409" t="n">
        <v>2</v>
      </c>
      <c r="D409" t="inlineStr">
        <is>
          <t>Max MP %</t>
        </is>
      </c>
      <c r="E409" t="n">
        <v>15</v>
      </c>
      <c r="F409" t="n">
        <v>2.16</v>
      </c>
      <c r="G409" t="b">
        <v>1</v>
      </c>
      <c r="H409" t="inlineStr">
        <is>
          <t>0</t>
        </is>
      </c>
    </row>
    <row r="410">
      <c r="A410" t="inlineStr">
        <is>
          <t>ALL</t>
        </is>
      </c>
      <c r="B410" t="inlineStr">
        <is>
          <t>mystic</t>
        </is>
      </c>
      <c r="C410" t="n">
        <v>2</v>
      </c>
      <c r="D410" t="inlineStr">
        <is>
          <t>Str</t>
        </is>
      </c>
      <c r="E410" t="n">
        <v>600</v>
      </c>
      <c r="F410" t="n">
        <v>7.03</v>
      </c>
      <c r="G410" t="b">
        <v>0</v>
      </c>
      <c r="H410">
        <f>Sensitivity!H5</f>
        <v/>
      </c>
    </row>
    <row r="411">
      <c r="A411" t="inlineStr">
        <is>
          <t>ALL</t>
        </is>
      </c>
      <c r="B411" t="inlineStr">
        <is>
          <t>mystic</t>
        </is>
      </c>
      <c r="C411" t="n">
        <v>2</v>
      </c>
      <c r="D411" t="inlineStr">
        <is>
          <t>Str</t>
        </is>
      </c>
      <c r="E411" t="n">
        <v>1000</v>
      </c>
      <c r="F411" t="n">
        <v>2.22</v>
      </c>
      <c r="G411" t="b">
        <v>1</v>
      </c>
      <c r="H411">
        <f>Sensitivity!H5</f>
        <v/>
      </c>
    </row>
    <row r="412">
      <c r="A412" t="inlineStr">
        <is>
          <t>ALL</t>
        </is>
      </c>
      <c r="B412" t="inlineStr">
        <is>
          <t>mystic</t>
        </is>
      </c>
      <c r="C412" t="n">
        <v>2</v>
      </c>
      <c r="D412" t="inlineStr">
        <is>
          <t>Dex</t>
        </is>
      </c>
      <c r="E412" t="n">
        <v>600</v>
      </c>
      <c r="F412" t="n">
        <v>7.03</v>
      </c>
      <c r="G412" t="b">
        <v>0</v>
      </c>
      <c r="H412">
        <f>Sensitivity!H7</f>
        <v/>
      </c>
    </row>
    <row r="413">
      <c r="A413" t="inlineStr">
        <is>
          <t>ALL</t>
        </is>
      </c>
      <c r="B413" t="inlineStr">
        <is>
          <t>mystic</t>
        </is>
      </c>
      <c r="C413" t="n">
        <v>2</v>
      </c>
      <c r="D413" t="inlineStr">
        <is>
          <t>Dex</t>
        </is>
      </c>
      <c r="E413" t="n">
        <v>1000</v>
      </c>
      <c r="F413" t="n">
        <v>2.22</v>
      </c>
      <c r="G413" t="b">
        <v>1</v>
      </c>
      <c r="H413">
        <f>Sensitivity!H7</f>
        <v/>
      </c>
    </row>
    <row r="414">
      <c r="A414" t="inlineStr">
        <is>
          <t>ALL</t>
        </is>
      </c>
      <c r="B414" t="inlineStr">
        <is>
          <t>mystic</t>
        </is>
      </c>
      <c r="C414" t="n">
        <v>2</v>
      </c>
      <c r="D414" t="inlineStr">
        <is>
          <t>Int</t>
        </is>
      </c>
      <c r="E414" t="n">
        <v>600</v>
      </c>
      <c r="F414" t="n">
        <v>7.03</v>
      </c>
      <c r="G414" t="b">
        <v>0</v>
      </c>
      <c r="H414" t="inlineStr">
        <is>
          <t>0</t>
        </is>
      </c>
    </row>
    <row r="415">
      <c r="A415" t="inlineStr">
        <is>
          <t>ALL</t>
        </is>
      </c>
      <c r="B415" t="inlineStr">
        <is>
          <t>mystic</t>
        </is>
      </c>
      <c r="C415" t="n">
        <v>2</v>
      </c>
      <c r="D415" t="inlineStr">
        <is>
          <t>Int</t>
        </is>
      </c>
      <c r="E415" t="n">
        <v>1000</v>
      </c>
      <c r="F415" t="n">
        <v>2.22</v>
      </c>
      <c r="G415" t="b">
        <v>1</v>
      </c>
      <c r="H415" t="inlineStr">
        <is>
          <t>0</t>
        </is>
      </c>
    </row>
    <row r="416">
      <c r="A416" t="inlineStr">
        <is>
          <t>ALL</t>
        </is>
      </c>
      <c r="B416" t="inlineStr">
        <is>
          <t>mystic</t>
        </is>
      </c>
      <c r="C416" t="n">
        <v>2</v>
      </c>
      <c r="D416" t="inlineStr">
        <is>
          <t>Luk</t>
        </is>
      </c>
      <c r="E416" t="n">
        <v>600</v>
      </c>
      <c r="F416" t="n">
        <v>7.03</v>
      </c>
      <c r="G416" t="b">
        <v>0</v>
      </c>
      <c r="H416" t="inlineStr">
        <is>
          <t>0</t>
        </is>
      </c>
    </row>
    <row r="417">
      <c r="A417" t="inlineStr">
        <is>
          <t>ALL</t>
        </is>
      </c>
      <c r="B417" t="inlineStr">
        <is>
          <t>mystic</t>
        </is>
      </c>
      <c r="C417" t="n">
        <v>2</v>
      </c>
      <c r="D417" t="inlineStr">
        <is>
          <t>Luk</t>
        </is>
      </c>
      <c r="E417" t="n">
        <v>1000</v>
      </c>
      <c r="F417" t="n">
        <v>2.22</v>
      </c>
      <c r="G417" t="b">
        <v>1</v>
      </c>
      <c r="H417" t="inlineStr">
        <is>
          <t>0</t>
        </is>
      </c>
    </row>
    <row r="418">
      <c r="A418" t="inlineStr">
        <is>
          <t>ALL</t>
        </is>
      </c>
      <c r="B418" t="inlineStr">
        <is>
          <t>mystic</t>
        </is>
      </c>
      <c r="C418" t="n">
        <v>3</v>
      </c>
      <c r="D418" t="inlineStr">
        <is>
          <t>Critical Rate %</t>
        </is>
      </c>
      <c r="E418" t="n">
        <v>12</v>
      </c>
      <c r="F418" t="n">
        <v>2.3</v>
      </c>
      <c r="G418" t="b">
        <v>0</v>
      </c>
      <c r="H418">
        <f>IF(AND(Inputs!$B$10+Summary!$B$14+Artifacts!$B$32&gt;=100,NOT(ArtifactsInput!$M$42),NOT(ArtifactsInput!$M$24)),Sensitivity!H18,Sensitivity!H17)</f>
        <v/>
      </c>
    </row>
    <row r="419">
      <c r="A419" t="inlineStr">
        <is>
          <t>ALL</t>
        </is>
      </c>
      <c r="B419" t="inlineStr">
        <is>
          <t>mystic</t>
        </is>
      </c>
      <c r="C419" t="n">
        <v>3</v>
      </c>
      <c r="D419" t="inlineStr">
        <is>
          <t>Critical Rate %</t>
        </is>
      </c>
      <c r="E419" t="n">
        <v>15</v>
      </c>
      <c r="F419" t="n">
        <v>0.2</v>
      </c>
      <c r="G419" t="b">
        <v>1</v>
      </c>
      <c r="H419">
        <f>IF(AND(Inputs!$B$10+Summary!$B$14+Artifacts!$B$32&gt;=100,NOT(ArtifactsInput!$M$42),NOT(ArtifactsInput!$M$24)),Sensitivity!H18,Sensitivity!H17)</f>
        <v/>
      </c>
    </row>
    <row r="420">
      <c r="A420" t="inlineStr">
        <is>
          <t>ALL</t>
        </is>
      </c>
      <c r="B420" t="inlineStr">
        <is>
          <t>mystic</t>
        </is>
      </c>
      <c r="C420" t="n">
        <v>3</v>
      </c>
      <c r="D420" t="inlineStr">
        <is>
          <t>Attack Speed %</t>
        </is>
      </c>
      <c r="E420" t="n">
        <v>7</v>
      </c>
      <c r="F420" t="n">
        <v>2.3</v>
      </c>
      <c r="G420" t="b">
        <v>0</v>
      </c>
      <c r="H420">
        <f>Sensitivity!H19</f>
        <v/>
      </c>
    </row>
    <row r="421">
      <c r="A421" t="inlineStr">
        <is>
          <t>ALL</t>
        </is>
      </c>
      <c r="B421" t="inlineStr">
        <is>
          <t>mystic</t>
        </is>
      </c>
      <c r="C421" t="n">
        <v>3</v>
      </c>
      <c r="D421" t="inlineStr">
        <is>
          <t>Attack Speed %</t>
        </is>
      </c>
      <c r="E421" t="n">
        <v>10</v>
      </c>
      <c r="F421" t="n">
        <v>0.2</v>
      </c>
      <c r="G421" t="b">
        <v>1</v>
      </c>
      <c r="H421">
        <f>Sensitivity!H19</f>
        <v/>
      </c>
    </row>
    <row r="422">
      <c r="A422" t="inlineStr">
        <is>
          <t>ALL</t>
        </is>
      </c>
      <c r="B422" t="inlineStr">
        <is>
          <t>mystic</t>
        </is>
      </c>
      <c r="C422" t="n">
        <v>3</v>
      </c>
      <c r="D422" t="inlineStr">
        <is>
          <t>Damage %</t>
        </is>
      </c>
      <c r="E422" t="n">
        <v>25</v>
      </c>
      <c r="F422" t="n">
        <v>3.68</v>
      </c>
      <c r="G422" t="b">
        <v>0</v>
      </c>
      <c r="H422">
        <f>Sensitivity!H10</f>
        <v/>
      </c>
    </row>
    <row r="423">
      <c r="A423" t="inlineStr">
        <is>
          <t>ALL</t>
        </is>
      </c>
      <c r="B423" t="inlineStr">
        <is>
          <t>mystic</t>
        </is>
      </c>
      <c r="C423" t="n">
        <v>3</v>
      </c>
      <c r="D423" t="inlineStr">
        <is>
          <t>Damage %</t>
        </is>
      </c>
      <c r="E423" t="n">
        <v>35</v>
      </c>
      <c r="F423" t="n">
        <v>0.32</v>
      </c>
      <c r="G423" t="b">
        <v>1</v>
      </c>
      <c r="H423">
        <f>Sensitivity!H10</f>
        <v/>
      </c>
    </row>
    <row r="424">
      <c r="A424" t="inlineStr">
        <is>
          <t>ALL</t>
        </is>
      </c>
      <c r="B424" t="inlineStr">
        <is>
          <t>mystic</t>
        </is>
      </c>
      <c r="C424" t="n">
        <v>3</v>
      </c>
      <c r="D424" t="inlineStr">
        <is>
          <t>Min Damage Multiplier %</t>
        </is>
      </c>
      <c r="E424" t="n">
        <v>15</v>
      </c>
      <c r="F424" t="n">
        <v>3.68</v>
      </c>
      <c r="G424" t="b">
        <v>0</v>
      </c>
      <c r="H424">
        <f>Sensitivity!H15</f>
        <v/>
      </c>
    </row>
    <row r="425">
      <c r="A425" t="inlineStr">
        <is>
          <t>ALL</t>
        </is>
      </c>
      <c r="B425" t="inlineStr">
        <is>
          <t>mystic</t>
        </is>
      </c>
      <c r="C425" t="n">
        <v>3</v>
      </c>
      <c r="D425" t="inlineStr">
        <is>
          <t>Min Damage Multiplier %</t>
        </is>
      </c>
      <c r="E425" t="n">
        <v>25</v>
      </c>
      <c r="F425" t="n">
        <v>0.32</v>
      </c>
      <c r="G425" t="b">
        <v>1</v>
      </c>
      <c r="H425">
        <f>Sensitivity!H15</f>
        <v/>
      </c>
    </row>
    <row r="426">
      <c r="A426" t="inlineStr">
        <is>
          <t>ALL</t>
        </is>
      </c>
      <c r="B426" t="inlineStr">
        <is>
          <t>mystic</t>
        </is>
      </c>
      <c r="C426" t="n">
        <v>3</v>
      </c>
      <c r="D426" t="inlineStr">
        <is>
          <t>Max Damage Multiplier %</t>
        </is>
      </c>
      <c r="E426" t="n">
        <v>15</v>
      </c>
      <c r="F426" t="n">
        <v>3.68</v>
      </c>
      <c r="G426" t="b">
        <v>0</v>
      </c>
      <c r="H426">
        <f>Sensitivity!H16</f>
        <v/>
      </c>
    </row>
    <row r="427">
      <c r="A427" t="inlineStr">
        <is>
          <t>ALL</t>
        </is>
      </c>
      <c r="B427" t="inlineStr">
        <is>
          <t>mystic</t>
        </is>
      </c>
      <c r="C427" t="n">
        <v>3</v>
      </c>
      <c r="D427" t="inlineStr">
        <is>
          <t>Max Damage Multiplier %</t>
        </is>
      </c>
      <c r="E427" t="n">
        <v>25</v>
      </c>
      <c r="F427" t="n">
        <v>0.32</v>
      </c>
      <c r="G427" t="b">
        <v>1</v>
      </c>
      <c r="H427">
        <f>Sensitivity!H16</f>
        <v/>
      </c>
    </row>
    <row r="428">
      <c r="A428" t="inlineStr">
        <is>
          <t>ALL</t>
        </is>
      </c>
      <c r="B428" t="inlineStr">
        <is>
          <t>mystic</t>
        </is>
      </c>
      <c r="C428" t="n">
        <v>3</v>
      </c>
      <c r="D428" t="inlineStr">
        <is>
          <t>Str %</t>
        </is>
      </c>
      <c r="E428" t="n">
        <v>12</v>
      </c>
      <c r="F428" t="n">
        <v>4.14</v>
      </c>
      <c r="G428" t="b">
        <v>0</v>
      </c>
      <c r="H428">
        <f>Sensitivity!H6</f>
        <v/>
      </c>
    </row>
    <row r="429">
      <c r="A429" t="inlineStr">
        <is>
          <t>ALL</t>
        </is>
      </c>
      <c r="B429" t="inlineStr">
        <is>
          <t>mystic</t>
        </is>
      </c>
      <c r="C429" t="n">
        <v>3</v>
      </c>
      <c r="D429" t="inlineStr">
        <is>
          <t>Str %</t>
        </is>
      </c>
      <c r="E429" t="n">
        <v>15</v>
      </c>
      <c r="F429" t="n">
        <v>0.36</v>
      </c>
      <c r="G429" t="b">
        <v>1</v>
      </c>
      <c r="H429">
        <f>Sensitivity!H6</f>
        <v/>
      </c>
    </row>
    <row r="430">
      <c r="A430" t="inlineStr">
        <is>
          <t>ALL</t>
        </is>
      </c>
      <c r="B430" t="inlineStr">
        <is>
          <t>mystic</t>
        </is>
      </c>
      <c r="C430" t="n">
        <v>3</v>
      </c>
      <c r="D430" t="inlineStr">
        <is>
          <t>Dex %</t>
        </is>
      </c>
      <c r="E430" t="n">
        <v>12</v>
      </c>
      <c r="F430" t="n">
        <v>4.14</v>
      </c>
      <c r="G430" t="b">
        <v>0</v>
      </c>
      <c r="H430">
        <f>Sensitivity!H7*Inputs!$B$15/100</f>
        <v/>
      </c>
    </row>
    <row r="431">
      <c r="A431" t="inlineStr">
        <is>
          <t>ALL</t>
        </is>
      </c>
      <c r="B431" t="inlineStr">
        <is>
          <t>mystic</t>
        </is>
      </c>
      <c r="C431" t="n">
        <v>3</v>
      </c>
      <c r="D431" t="inlineStr">
        <is>
          <t>Dex %</t>
        </is>
      </c>
      <c r="E431" t="n">
        <v>15</v>
      </c>
      <c r="F431" t="n">
        <v>0.36</v>
      </c>
      <c r="G431" t="b">
        <v>1</v>
      </c>
      <c r="H431">
        <f>Sensitivity!H7*Inputs!$B$15/100</f>
        <v/>
      </c>
    </row>
    <row r="432">
      <c r="A432" t="inlineStr">
        <is>
          <t>ALL</t>
        </is>
      </c>
      <c r="B432" t="inlineStr">
        <is>
          <t>mystic</t>
        </is>
      </c>
      <c r="C432" t="n">
        <v>3</v>
      </c>
      <c r="D432" t="inlineStr">
        <is>
          <t>Int %</t>
        </is>
      </c>
      <c r="E432" t="n">
        <v>12</v>
      </c>
      <c r="F432" t="n">
        <v>4.14</v>
      </c>
      <c r="G432" t="b">
        <v>0</v>
      </c>
      <c r="H432" t="inlineStr">
        <is>
          <t>0</t>
        </is>
      </c>
    </row>
    <row r="433">
      <c r="A433" t="inlineStr">
        <is>
          <t>ALL</t>
        </is>
      </c>
      <c r="B433" t="inlineStr">
        <is>
          <t>mystic</t>
        </is>
      </c>
      <c r="C433" t="n">
        <v>3</v>
      </c>
      <c r="D433" t="inlineStr">
        <is>
          <t>Int %</t>
        </is>
      </c>
      <c r="E433" t="n">
        <v>15</v>
      </c>
      <c r="F433" t="n">
        <v>0.36</v>
      </c>
      <c r="G433" t="b">
        <v>1</v>
      </c>
      <c r="H433" t="inlineStr">
        <is>
          <t>0</t>
        </is>
      </c>
    </row>
    <row r="434">
      <c r="A434" t="inlineStr">
        <is>
          <t>ALL</t>
        </is>
      </c>
      <c r="B434" t="inlineStr">
        <is>
          <t>mystic</t>
        </is>
      </c>
      <c r="C434" t="n">
        <v>3</v>
      </c>
      <c r="D434" t="inlineStr">
        <is>
          <t>Luk %</t>
        </is>
      </c>
      <c r="E434" t="n">
        <v>12</v>
      </c>
      <c r="F434" t="n">
        <v>4.14</v>
      </c>
      <c r="G434" t="b">
        <v>0</v>
      </c>
      <c r="H434" t="inlineStr">
        <is>
          <t>0</t>
        </is>
      </c>
    </row>
    <row r="435">
      <c r="A435" t="inlineStr">
        <is>
          <t>ALL</t>
        </is>
      </c>
      <c r="B435" t="inlineStr">
        <is>
          <t>mystic</t>
        </is>
      </c>
      <c r="C435" t="n">
        <v>3</v>
      </c>
      <c r="D435" t="inlineStr">
        <is>
          <t>Luk %</t>
        </is>
      </c>
      <c r="E435" t="n">
        <v>15</v>
      </c>
      <c r="F435" t="n">
        <v>0.36</v>
      </c>
      <c r="G435" t="b">
        <v>1</v>
      </c>
      <c r="H435" t="inlineStr">
        <is>
          <t>0</t>
        </is>
      </c>
    </row>
    <row r="436">
      <c r="A436" t="inlineStr">
        <is>
          <t>ALL</t>
        </is>
      </c>
      <c r="B436" t="inlineStr">
        <is>
          <t>mystic</t>
        </is>
      </c>
      <c r="C436" t="n">
        <v>3</v>
      </c>
      <c r="D436" t="inlineStr">
        <is>
          <t>Defense %</t>
        </is>
      </c>
      <c r="E436" t="n">
        <v>12</v>
      </c>
      <c r="F436" t="n">
        <v>8.279999999999999</v>
      </c>
      <c r="G436" t="b">
        <v>0</v>
      </c>
      <c r="H436">
        <f>Sensitivity!H9</f>
        <v/>
      </c>
    </row>
    <row r="437">
      <c r="A437" t="inlineStr">
        <is>
          <t>ALL</t>
        </is>
      </c>
      <c r="B437" t="inlineStr">
        <is>
          <t>mystic</t>
        </is>
      </c>
      <c r="C437" t="n">
        <v>3</v>
      </c>
      <c r="D437" t="inlineStr">
        <is>
          <t>Defense %</t>
        </is>
      </c>
      <c r="E437" t="n">
        <v>15</v>
      </c>
      <c r="F437" t="n">
        <v>0.72</v>
      </c>
      <c r="G437" t="b">
        <v>1</v>
      </c>
      <c r="H437">
        <f>Sensitivity!H9</f>
        <v/>
      </c>
    </row>
    <row r="438">
      <c r="A438" t="inlineStr">
        <is>
          <t>ALL</t>
        </is>
      </c>
      <c r="B438" t="inlineStr">
        <is>
          <t>mystic</t>
        </is>
      </c>
      <c r="C438" t="n">
        <v>3</v>
      </c>
      <c r="D438" t="inlineStr">
        <is>
          <t>Max HP %</t>
        </is>
      </c>
      <c r="E438" t="n">
        <v>20</v>
      </c>
      <c r="F438" t="n">
        <v>8.279999999999999</v>
      </c>
      <c r="G438" t="b">
        <v>0</v>
      </c>
      <c r="H438" t="inlineStr">
        <is>
          <t>0</t>
        </is>
      </c>
    </row>
    <row r="439">
      <c r="A439" t="inlineStr">
        <is>
          <t>ALL</t>
        </is>
      </c>
      <c r="B439" t="inlineStr">
        <is>
          <t>mystic</t>
        </is>
      </c>
      <c r="C439" t="n">
        <v>3</v>
      </c>
      <c r="D439" t="inlineStr">
        <is>
          <t>Max HP %</t>
        </is>
      </c>
      <c r="E439" t="n">
        <v>25</v>
      </c>
      <c r="F439" t="n">
        <v>0.72</v>
      </c>
      <c r="G439" t="b">
        <v>1</v>
      </c>
      <c r="H439" t="inlineStr">
        <is>
          <t>0</t>
        </is>
      </c>
    </row>
    <row r="440">
      <c r="A440" t="inlineStr">
        <is>
          <t>ALL</t>
        </is>
      </c>
      <c r="B440" t="inlineStr">
        <is>
          <t>mystic</t>
        </is>
      </c>
      <c r="C440" t="n">
        <v>3</v>
      </c>
      <c r="D440" t="inlineStr">
        <is>
          <t>Max MP %</t>
        </is>
      </c>
      <c r="E440" t="n">
        <v>12</v>
      </c>
      <c r="F440" t="n">
        <v>8.279999999999999</v>
      </c>
      <c r="G440" t="b">
        <v>0</v>
      </c>
      <c r="H440" t="inlineStr">
        <is>
          <t>0</t>
        </is>
      </c>
    </row>
    <row r="441">
      <c r="A441" t="inlineStr">
        <is>
          <t>ALL</t>
        </is>
      </c>
      <c r="B441" t="inlineStr">
        <is>
          <t>mystic</t>
        </is>
      </c>
      <c r="C441" t="n">
        <v>3</v>
      </c>
      <c r="D441" t="inlineStr">
        <is>
          <t>Max MP %</t>
        </is>
      </c>
      <c r="E441" t="n">
        <v>15</v>
      </c>
      <c r="F441" t="n">
        <v>0.72</v>
      </c>
      <c r="G441" t="b">
        <v>1</v>
      </c>
      <c r="H441" t="inlineStr">
        <is>
          <t>0</t>
        </is>
      </c>
    </row>
    <row r="442">
      <c r="A442" t="inlineStr">
        <is>
          <t>ALL</t>
        </is>
      </c>
      <c r="B442" t="inlineStr">
        <is>
          <t>mystic</t>
        </is>
      </c>
      <c r="C442" t="n">
        <v>3</v>
      </c>
      <c r="D442" t="inlineStr">
        <is>
          <t>Str</t>
        </is>
      </c>
      <c r="E442" t="n">
        <v>600</v>
      </c>
      <c r="F442" t="n">
        <v>8.51</v>
      </c>
      <c r="G442" t="b">
        <v>0</v>
      </c>
      <c r="H442">
        <f>Sensitivity!H5</f>
        <v/>
      </c>
    </row>
    <row r="443">
      <c r="A443" t="inlineStr">
        <is>
          <t>ALL</t>
        </is>
      </c>
      <c r="B443" t="inlineStr">
        <is>
          <t>mystic</t>
        </is>
      </c>
      <c r="C443" t="n">
        <v>3</v>
      </c>
      <c r="D443" t="inlineStr">
        <is>
          <t>Str</t>
        </is>
      </c>
      <c r="E443" t="n">
        <v>1000</v>
      </c>
      <c r="F443" t="n">
        <v>0.74</v>
      </c>
      <c r="G443" t="b">
        <v>1</v>
      </c>
      <c r="H443">
        <f>Sensitivity!H5</f>
        <v/>
      </c>
    </row>
    <row r="444">
      <c r="A444" t="inlineStr">
        <is>
          <t>ALL</t>
        </is>
      </c>
      <c r="B444" t="inlineStr">
        <is>
          <t>mystic</t>
        </is>
      </c>
      <c r="C444" t="n">
        <v>3</v>
      </c>
      <c r="D444" t="inlineStr">
        <is>
          <t>Dex</t>
        </is>
      </c>
      <c r="E444" t="n">
        <v>600</v>
      </c>
      <c r="F444" t="n">
        <v>8.51</v>
      </c>
      <c r="G444" t="b">
        <v>0</v>
      </c>
      <c r="H444">
        <f>Sensitivity!H7</f>
        <v/>
      </c>
    </row>
    <row r="445">
      <c r="A445" t="inlineStr">
        <is>
          <t>ALL</t>
        </is>
      </c>
      <c r="B445" t="inlineStr">
        <is>
          <t>mystic</t>
        </is>
      </c>
      <c r="C445" t="n">
        <v>3</v>
      </c>
      <c r="D445" t="inlineStr">
        <is>
          <t>Dex</t>
        </is>
      </c>
      <c r="E445" t="n">
        <v>1000</v>
      </c>
      <c r="F445" t="n">
        <v>0.74</v>
      </c>
      <c r="G445" t="b">
        <v>1</v>
      </c>
      <c r="H445">
        <f>Sensitivity!H7</f>
        <v/>
      </c>
    </row>
    <row r="446">
      <c r="A446" t="inlineStr">
        <is>
          <t>ALL</t>
        </is>
      </c>
      <c r="B446" t="inlineStr">
        <is>
          <t>mystic</t>
        </is>
      </c>
      <c r="C446" t="n">
        <v>3</v>
      </c>
      <c r="D446" t="inlineStr">
        <is>
          <t>Int</t>
        </is>
      </c>
      <c r="E446" t="n">
        <v>600</v>
      </c>
      <c r="F446" t="n">
        <v>8.51</v>
      </c>
      <c r="G446" t="b">
        <v>0</v>
      </c>
      <c r="H446" t="inlineStr">
        <is>
          <t>0</t>
        </is>
      </c>
    </row>
    <row r="447">
      <c r="A447" t="inlineStr">
        <is>
          <t>ALL</t>
        </is>
      </c>
      <c r="B447" t="inlineStr">
        <is>
          <t>mystic</t>
        </is>
      </c>
      <c r="C447" t="n">
        <v>3</v>
      </c>
      <c r="D447" t="inlineStr">
        <is>
          <t>Int</t>
        </is>
      </c>
      <c r="E447" t="n">
        <v>1000</v>
      </c>
      <c r="F447" t="n">
        <v>0.74</v>
      </c>
      <c r="G447" t="b">
        <v>1</v>
      </c>
      <c r="H447" t="inlineStr">
        <is>
          <t>0</t>
        </is>
      </c>
    </row>
    <row r="448">
      <c r="A448" t="inlineStr">
        <is>
          <t>ALL</t>
        </is>
      </c>
      <c r="B448" t="inlineStr">
        <is>
          <t>mystic</t>
        </is>
      </c>
      <c r="C448" t="n">
        <v>3</v>
      </c>
      <c r="D448" t="inlineStr">
        <is>
          <t>Luk</t>
        </is>
      </c>
      <c r="E448" t="n">
        <v>600</v>
      </c>
      <c r="F448" t="n">
        <v>8.51</v>
      </c>
      <c r="G448" t="b">
        <v>0</v>
      </c>
      <c r="H448" t="inlineStr">
        <is>
          <t>0</t>
        </is>
      </c>
    </row>
    <row r="449">
      <c r="A449" t="inlineStr">
        <is>
          <t>ALL</t>
        </is>
      </c>
      <c r="B449" t="inlineStr">
        <is>
          <t>mystic</t>
        </is>
      </c>
      <c r="C449" t="n">
        <v>3</v>
      </c>
      <c r="D449" t="inlineStr">
        <is>
          <t>Luk</t>
        </is>
      </c>
      <c r="E449" t="n">
        <v>1000</v>
      </c>
      <c r="F449" t="n">
        <v>0.74</v>
      </c>
      <c r="G449" t="b">
        <v>1</v>
      </c>
      <c r="H449" t="inlineStr">
        <is>
          <t>0</t>
        </is>
      </c>
    </row>
    <row r="450">
      <c r="A450" t="inlineStr">
        <is>
          <t>head</t>
        </is>
      </c>
      <c r="B450" t="inlineStr">
        <is>
          <t>epic</t>
        </is>
      </c>
      <c r="C450" t="n">
        <v>1</v>
      </c>
      <c r="D450" t="inlineStr">
        <is>
          <t>Skill Cooldown Decrease (seconds)</t>
        </is>
      </c>
      <c r="E450" t="n">
        <v>0.5</v>
      </c>
      <c r="F450" t="n">
        <v>1</v>
      </c>
      <c r="G450" t="b">
        <v>1</v>
      </c>
      <c r="H450">
        <f>Sensitivity!H30</f>
        <v/>
      </c>
    </row>
    <row r="451">
      <c r="A451" t="inlineStr">
        <is>
          <t>head</t>
        </is>
      </c>
      <c r="B451" t="inlineStr">
        <is>
          <t>epic</t>
        </is>
      </c>
      <c r="C451" t="n">
        <v>2</v>
      </c>
      <c r="D451" t="inlineStr">
        <is>
          <t>Skill Cooldown Decrease (seconds)</t>
        </is>
      </c>
      <c r="E451" t="n">
        <v>0.5</v>
      </c>
      <c r="F451" t="n">
        <v>0.24</v>
      </c>
      <c r="G451" t="b">
        <v>1</v>
      </c>
      <c r="H451">
        <f>Sensitivity!H30</f>
        <v/>
      </c>
    </row>
    <row r="452">
      <c r="A452" t="inlineStr">
        <is>
          <t>head</t>
        </is>
      </c>
      <c r="B452" t="inlineStr">
        <is>
          <t>epic</t>
        </is>
      </c>
      <c r="C452" t="n">
        <v>3</v>
      </c>
      <c r="D452" t="inlineStr">
        <is>
          <t>Skill Cooldown Decrease (seconds)</t>
        </is>
      </c>
      <c r="E452" t="n">
        <v>0.5</v>
      </c>
      <c r="F452" t="n">
        <v>0.08</v>
      </c>
      <c r="G452" t="b">
        <v>1</v>
      </c>
      <c r="H452">
        <f>Sensitivity!H30</f>
        <v/>
      </c>
    </row>
    <row r="453">
      <c r="A453" t="inlineStr">
        <is>
          <t>head</t>
        </is>
      </c>
      <c r="B453" t="inlineStr">
        <is>
          <t>unique</t>
        </is>
      </c>
      <c r="C453" t="n">
        <v>1</v>
      </c>
      <c r="D453" t="inlineStr">
        <is>
          <t>Skill Cooldown Decrease (seconds)</t>
        </is>
      </c>
      <c r="E453" t="n">
        <v>1</v>
      </c>
      <c r="F453" t="n">
        <v>1</v>
      </c>
      <c r="G453" t="b">
        <v>1</v>
      </c>
      <c r="H453">
        <f>Sensitivity!H30</f>
        <v/>
      </c>
    </row>
    <row r="454">
      <c r="A454" t="inlineStr">
        <is>
          <t>head</t>
        </is>
      </c>
      <c r="B454" t="inlineStr">
        <is>
          <t>unique</t>
        </is>
      </c>
      <c r="C454" t="n">
        <v>2</v>
      </c>
      <c r="D454" t="inlineStr">
        <is>
          <t>Skill Cooldown Decrease (seconds)</t>
        </is>
      </c>
      <c r="E454" t="n">
        <v>1</v>
      </c>
      <c r="F454" t="n">
        <v>0.24</v>
      </c>
      <c r="G454" t="b">
        <v>1</v>
      </c>
      <c r="H454">
        <f>Sensitivity!H30</f>
        <v/>
      </c>
    </row>
    <row r="455">
      <c r="A455" t="inlineStr">
        <is>
          <t>head</t>
        </is>
      </c>
      <c r="B455" t="inlineStr">
        <is>
          <t>unique</t>
        </is>
      </c>
      <c r="C455" t="n">
        <v>2</v>
      </c>
      <c r="D455" t="inlineStr">
        <is>
          <t>Skill Cooldown Decrease (seconds)</t>
        </is>
      </c>
      <c r="E455" t="n">
        <v>0.5</v>
      </c>
      <c r="F455" t="n">
        <v>0.76</v>
      </c>
      <c r="G455" t="b">
        <v>0</v>
      </c>
      <c r="H455">
        <f>Sensitivity!H30</f>
        <v/>
      </c>
    </row>
    <row r="456">
      <c r="A456" t="inlineStr">
        <is>
          <t>head</t>
        </is>
      </c>
      <c r="B456" t="inlineStr">
        <is>
          <t>unique</t>
        </is>
      </c>
      <c r="C456" t="n">
        <v>3</v>
      </c>
      <c r="D456" t="inlineStr">
        <is>
          <t>Skill Cooldown Decrease (seconds)</t>
        </is>
      </c>
      <c r="E456" t="n">
        <v>1</v>
      </c>
      <c r="F456" t="n">
        <v>0.08</v>
      </c>
      <c r="G456" t="b">
        <v>1</v>
      </c>
      <c r="H456">
        <f>Sensitivity!H30</f>
        <v/>
      </c>
    </row>
    <row r="457">
      <c r="A457" t="inlineStr">
        <is>
          <t>head</t>
        </is>
      </c>
      <c r="B457" t="inlineStr">
        <is>
          <t>unique</t>
        </is>
      </c>
      <c r="C457" t="n">
        <v>3</v>
      </c>
      <c r="D457" t="inlineStr">
        <is>
          <t>Skill Cooldown Decrease (seconds)</t>
        </is>
      </c>
      <c r="E457" t="n">
        <v>0.5</v>
      </c>
      <c r="F457" t="n">
        <v>0.92</v>
      </c>
      <c r="G457" t="b">
        <v>0</v>
      </c>
      <c r="H457">
        <f>Sensitivity!H30</f>
        <v/>
      </c>
    </row>
    <row r="458">
      <c r="A458" t="inlineStr">
        <is>
          <t>head</t>
        </is>
      </c>
      <c r="B458" t="inlineStr">
        <is>
          <t>legendary</t>
        </is>
      </c>
      <c r="C458" t="n">
        <v>1</v>
      </c>
      <c r="D458" t="inlineStr">
        <is>
          <t>Skill Cooldown Decrease (seconds)</t>
        </is>
      </c>
      <c r="E458" t="n">
        <v>1.5</v>
      </c>
      <c r="F458" t="n">
        <v>1</v>
      </c>
      <c r="G458" t="b">
        <v>1</v>
      </c>
      <c r="H458">
        <f>Sensitivity!H30</f>
        <v/>
      </c>
    </row>
    <row r="459">
      <c r="A459" t="inlineStr">
        <is>
          <t>head</t>
        </is>
      </c>
      <c r="B459" t="inlineStr">
        <is>
          <t>legendary</t>
        </is>
      </c>
      <c r="C459" t="n">
        <v>2</v>
      </c>
      <c r="D459" t="inlineStr">
        <is>
          <t>Skill Cooldown Decrease (seconds)</t>
        </is>
      </c>
      <c r="E459" t="n">
        <v>1.5</v>
      </c>
      <c r="F459" t="n">
        <v>0.24</v>
      </c>
      <c r="G459" t="b">
        <v>1</v>
      </c>
      <c r="H459">
        <f>Sensitivity!H30</f>
        <v/>
      </c>
    </row>
    <row r="460">
      <c r="A460" t="inlineStr">
        <is>
          <t>head</t>
        </is>
      </c>
      <c r="B460" t="inlineStr">
        <is>
          <t>legendary</t>
        </is>
      </c>
      <c r="C460" t="n">
        <v>2</v>
      </c>
      <c r="D460" t="inlineStr">
        <is>
          <t>Skill Cooldown Decrease (seconds)</t>
        </is>
      </c>
      <c r="E460" t="n">
        <v>1</v>
      </c>
      <c r="F460" t="n">
        <v>0.76</v>
      </c>
      <c r="G460" t="b">
        <v>0</v>
      </c>
      <c r="H460">
        <f>Sensitivity!H30</f>
        <v/>
      </c>
    </row>
    <row r="461">
      <c r="A461" t="inlineStr">
        <is>
          <t>head</t>
        </is>
      </c>
      <c r="B461" t="inlineStr">
        <is>
          <t>legendary</t>
        </is>
      </c>
      <c r="C461" t="n">
        <v>3</v>
      </c>
      <c r="D461" t="inlineStr">
        <is>
          <t>Skill Cooldown Decrease (seconds)</t>
        </is>
      </c>
      <c r="E461" t="n">
        <v>1.5</v>
      </c>
      <c r="F461" t="n">
        <v>0.08</v>
      </c>
      <c r="G461" t="b">
        <v>1</v>
      </c>
      <c r="H461">
        <f>Sensitivity!H30</f>
        <v/>
      </c>
    </row>
    <row r="462">
      <c r="A462" t="inlineStr">
        <is>
          <t>head</t>
        </is>
      </c>
      <c r="B462" t="inlineStr">
        <is>
          <t>legendary</t>
        </is>
      </c>
      <c r="C462" t="n">
        <v>3</v>
      </c>
      <c r="D462" t="inlineStr">
        <is>
          <t>Skill Cooldown Decrease (seconds)</t>
        </is>
      </c>
      <c r="E462" t="n">
        <v>1</v>
      </c>
      <c r="F462" t="n">
        <v>0.92</v>
      </c>
      <c r="G462" t="b">
        <v>0</v>
      </c>
      <c r="H462">
        <f>Sensitivity!H30</f>
        <v/>
      </c>
    </row>
    <row r="463">
      <c r="A463" t="inlineStr">
        <is>
          <t>head</t>
        </is>
      </c>
      <c r="B463" t="inlineStr">
        <is>
          <t>mystic</t>
        </is>
      </c>
      <c r="C463" t="n">
        <v>1</v>
      </c>
      <c r="D463" t="inlineStr">
        <is>
          <t>Skill Cooldown Decrease (seconds)</t>
        </is>
      </c>
      <c r="E463" t="n">
        <v>2</v>
      </c>
      <c r="F463" t="n">
        <v>1</v>
      </c>
      <c r="G463" t="b">
        <v>1</v>
      </c>
      <c r="H463">
        <f>Sensitivity!H30</f>
        <v/>
      </c>
    </row>
    <row r="464">
      <c r="A464" t="inlineStr">
        <is>
          <t>head</t>
        </is>
      </c>
      <c r="B464" t="inlineStr">
        <is>
          <t>mystic</t>
        </is>
      </c>
      <c r="C464" t="n">
        <v>2</v>
      </c>
      <c r="D464" t="inlineStr">
        <is>
          <t>Skill Cooldown Decrease (seconds)</t>
        </is>
      </c>
      <c r="E464" t="n">
        <v>2</v>
      </c>
      <c r="F464" t="n">
        <v>0.24</v>
      </c>
      <c r="G464" t="b">
        <v>1</v>
      </c>
      <c r="H464">
        <f>Sensitivity!H30</f>
        <v/>
      </c>
    </row>
    <row r="465">
      <c r="A465" t="inlineStr">
        <is>
          <t>head</t>
        </is>
      </c>
      <c r="B465" t="inlineStr">
        <is>
          <t>mystic</t>
        </is>
      </c>
      <c r="C465" t="n">
        <v>2</v>
      </c>
      <c r="D465" t="inlineStr">
        <is>
          <t>Skill Cooldown Decrease (seconds)</t>
        </is>
      </c>
      <c r="E465" t="n">
        <v>1.5</v>
      </c>
      <c r="F465" t="n">
        <v>0.76</v>
      </c>
      <c r="G465" t="b">
        <v>0</v>
      </c>
      <c r="H465">
        <f>Sensitivity!H30</f>
        <v/>
      </c>
    </row>
    <row r="466">
      <c r="A466" t="inlineStr">
        <is>
          <t>head</t>
        </is>
      </c>
      <c r="B466" t="inlineStr">
        <is>
          <t>mystic</t>
        </is>
      </c>
      <c r="C466" t="n">
        <v>3</v>
      </c>
      <c r="D466" t="inlineStr">
        <is>
          <t>Skill Cooldown Decrease (seconds)</t>
        </is>
      </c>
      <c r="E466" t="n">
        <v>2</v>
      </c>
      <c r="F466" t="n">
        <v>0.08</v>
      </c>
      <c r="G466" t="b">
        <v>1</v>
      </c>
      <c r="H466">
        <f>Sensitivity!H30</f>
        <v/>
      </c>
    </row>
    <row r="467">
      <c r="A467" t="inlineStr">
        <is>
          <t>head</t>
        </is>
      </c>
      <c r="B467" t="inlineStr">
        <is>
          <t>mystic</t>
        </is>
      </c>
      <c r="C467" t="n">
        <v>3</v>
      </c>
      <c r="D467" t="inlineStr">
        <is>
          <t>Skill Cooldown Decrease (seconds)</t>
        </is>
      </c>
      <c r="E467" t="n">
        <v>1.5</v>
      </c>
      <c r="F467" t="n">
        <v>0.92</v>
      </c>
      <c r="G467" t="b">
        <v>0</v>
      </c>
      <c r="H467">
        <f>Sensitivity!H30</f>
        <v/>
      </c>
    </row>
    <row r="468">
      <c r="A468" t="inlineStr">
        <is>
          <t>cape</t>
        </is>
      </c>
      <c r="B468" t="inlineStr">
        <is>
          <t>epic</t>
        </is>
      </c>
      <c r="C468" t="n">
        <v>1</v>
      </c>
      <c r="D468" t="inlineStr">
        <is>
          <t>Final Damage %</t>
        </is>
      </c>
      <c r="E468" t="n">
        <v>3</v>
      </c>
      <c r="F468" t="n">
        <v>1</v>
      </c>
      <c r="G468" t="b">
        <v>1</v>
      </c>
      <c r="H468">
        <f>Sensitivity!H14</f>
        <v/>
      </c>
    </row>
    <row r="469">
      <c r="A469" t="inlineStr">
        <is>
          <t>cape</t>
        </is>
      </c>
      <c r="B469" t="inlineStr">
        <is>
          <t>epic</t>
        </is>
      </c>
      <c r="C469" t="n">
        <v>2</v>
      </c>
      <c r="D469" t="inlineStr">
        <is>
          <t>Final Damage %</t>
        </is>
      </c>
      <c r="E469" t="n">
        <v>3</v>
      </c>
      <c r="F469" t="n">
        <v>0.24</v>
      </c>
      <c r="G469" t="b">
        <v>1</v>
      </c>
      <c r="H469">
        <f>Sensitivity!H14</f>
        <v/>
      </c>
    </row>
    <row r="470">
      <c r="A470" t="inlineStr">
        <is>
          <t>cape</t>
        </is>
      </c>
      <c r="B470" t="inlineStr">
        <is>
          <t>epic</t>
        </is>
      </c>
      <c r="C470" t="n">
        <v>3</v>
      </c>
      <c r="D470" t="inlineStr">
        <is>
          <t>Final Damage %</t>
        </is>
      </c>
      <c r="E470" t="n">
        <v>3</v>
      </c>
      <c r="F470" t="n">
        <v>0.08</v>
      </c>
      <c r="G470" t="b">
        <v>1</v>
      </c>
      <c r="H470">
        <f>Sensitivity!H14</f>
        <v/>
      </c>
    </row>
    <row r="471">
      <c r="A471" t="inlineStr">
        <is>
          <t>cape</t>
        </is>
      </c>
      <c r="B471" t="inlineStr">
        <is>
          <t>unique</t>
        </is>
      </c>
      <c r="C471" t="n">
        <v>1</v>
      </c>
      <c r="D471" t="inlineStr">
        <is>
          <t>Final Damage %</t>
        </is>
      </c>
      <c r="E471" t="n">
        <v>5</v>
      </c>
      <c r="F471" t="n">
        <v>1</v>
      </c>
      <c r="G471" t="b">
        <v>1</v>
      </c>
      <c r="H471">
        <f>Sensitivity!H14</f>
        <v/>
      </c>
    </row>
    <row r="472">
      <c r="A472" t="inlineStr">
        <is>
          <t>cape</t>
        </is>
      </c>
      <c r="B472" t="inlineStr">
        <is>
          <t>unique</t>
        </is>
      </c>
      <c r="C472" t="n">
        <v>2</v>
      </c>
      <c r="D472" t="inlineStr">
        <is>
          <t>Final Damage %</t>
        </is>
      </c>
      <c r="E472" t="n">
        <v>5</v>
      </c>
      <c r="F472" t="n">
        <v>0.24</v>
      </c>
      <c r="G472" t="b">
        <v>1</v>
      </c>
      <c r="H472">
        <f>Sensitivity!H14</f>
        <v/>
      </c>
    </row>
    <row r="473">
      <c r="A473" t="inlineStr">
        <is>
          <t>cape</t>
        </is>
      </c>
      <c r="B473" t="inlineStr">
        <is>
          <t>unique</t>
        </is>
      </c>
      <c r="C473" t="n">
        <v>2</v>
      </c>
      <c r="D473" t="inlineStr">
        <is>
          <t>Final Damage %</t>
        </is>
      </c>
      <c r="E473" t="n">
        <v>3</v>
      </c>
      <c r="F473" t="n">
        <v>0.76</v>
      </c>
      <c r="G473" t="b">
        <v>0</v>
      </c>
      <c r="H473">
        <f>Sensitivity!H14</f>
        <v/>
      </c>
    </row>
    <row r="474">
      <c r="A474" t="inlineStr">
        <is>
          <t>cape</t>
        </is>
      </c>
      <c r="B474" t="inlineStr">
        <is>
          <t>unique</t>
        </is>
      </c>
      <c r="C474" t="n">
        <v>3</v>
      </c>
      <c r="D474" t="inlineStr">
        <is>
          <t>Final Damage %</t>
        </is>
      </c>
      <c r="E474" t="n">
        <v>5</v>
      </c>
      <c r="F474" t="n">
        <v>0.08</v>
      </c>
      <c r="G474" t="b">
        <v>1</v>
      </c>
      <c r="H474">
        <f>Sensitivity!H14</f>
        <v/>
      </c>
    </row>
    <row r="475">
      <c r="A475" t="inlineStr">
        <is>
          <t>cape</t>
        </is>
      </c>
      <c r="B475" t="inlineStr">
        <is>
          <t>unique</t>
        </is>
      </c>
      <c r="C475" t="n">
        <v>3</v>
      </c>
      <c r="D475" t="inlineStr">
        <is>
          <t>Final Damage %</t>
        </is>
      </c>
      <c r="E475" t="n">
        <v>3</v>
      </c>
      <c r="F475" t="n">
        <v>0.92</v>
      </c>
      <c r="G475" t="b">
        <v>0</v>
      </c>
      <c r="H475">
        <f>Sensitivity!H14</f>
        <v/>
      </c>
    </row>
    <row r="476">
      <c r="A476" t="inlineStr">
        <is>
          <t>cape</t>
        </is>
      </c>
      <c r="B476" t="inlineStr">
        <is>
          <t>legendary</t>
        </is>
      </c>
      <c r="C476" t="n">
        <v>1</v>
      </c>
      <c r="D476" t="inlineStr">
        <is>
          <t>Final Damage %</t>
        </is>
      </c>
      <c r="E476" t="n">
        <v>8</v>
      </c>
      <c r="F476" t="n">
        <v>1</v>
      </c>
      <c r="G476" t="b">
        <v>1</v>
      </c>
      <c r="H476">
        <f>Sensitivity!H14</f>
        <v/>
      </c>
    </row>
    <row r="477">
      <c r="A477" t="inlineStr">
        <is>
          <t>cape</t>
        </is>
      </c>
      <c r="B477" t="inlineStr">
        <is>
          <t>legendary</t>
        </is>
      </c>
      <c r="C477" t="n">
        <v>2</v>
      </c>
      <c r="D477" t="inlineStr">
        <is>
          <t>Final Damage %</t>
        </is>
      </c>
      <c r="E477" t="n">
        <v>8</v>
      </c>
      <c r="F477" t="n">
        <v>0.24</v>
      </c>
      <c r="G477" t="b">
        <v>1</v>
      </c>
      <c r="H477">
        <f>Sensitivity!H14</f>
        <v/>
      </c>
    </row>
    <row r="478">
      <c r="A478" t="inlineStr">
        <is>
          <t>cape</t>
        </is>
      </c>
      <c r="B478" t="inlineStr">
        <is>
          <t>legendary</t>
        </is>
      </c>
      <c r="C478" t="n">
        <v>2</v>
      </c>
      <c r="D478" t="inlineStr">
        <is>
          <t>Final Damage %</t>
        </is>
      </c>
      <c r="E478" t="n">
        <v>5</v>
      </c>
      <c r="F478" t="n">
        <v>0.76</v>
      </c>
      <c r="G478" t="b">
        <v>0</v>
      </c>
      <c r="H478">
        <f>Sensitivity!H14</f>
        <v/>
      </c>
    </row>
    <row r="479">
      <c r="A479" t="inlineStr">
        <is>
          <t>cape</t>
        </is>
      </c>
      <c r="B479" t="inlineStr">
        <is>
          <t>legendary</t>
        </is>
      </c>
      <c r="C479" t="n">
        <v>3</v>
      </c>
      <c r="D479" t="inlineStr">
        <is>
          <t>Final Damage %</t>
        </is>
      </c>
      <c r="E479" t="n">
        <v>8</v>
      </c>
      <c r="F479" t="n">
        <v>0.08</v>
      </c>
      <c r="G479" t="b">
        <v>1</v>
      </c>
      <c r="H479">
        <f>Sensitivity!H14</f>
        <v/>
      </c>
    </row>
    <row r="480">
      <c r="A480" t="inlineStr">
        <is>
          <t>cape</t>
        </is>
      </c>
      <c r="B480" t="inlineStr">
        <is>
          <t>legendary</t>
        </is>
      </c>
      <c r="C480" t="n">
        <v>3</v>
      </c>
      <c r="D480" t="inlineStr">
        <is>
          <t>Final Damage %</t>
        </is>
      </c>
      <c r="E480" t="n">
        <v>5</v>
      </c>
      <c r="F480" t="n">
        <v>0.92</v>
      </c>
      <c r="G480" t="b">
        <v>0</v>
      </c>
      <c r="H480">
        <f>Sensitivity!H14</f>
        <v/>
      </c>
    </row>
    <row r="481">
      <c r="A481" t="inlineStr">
        <is>
          <t>cape</t>
        </is>
      </c>
      <c r="B481" t="inlineStr">
        <is>
          <t>mystic</t>
        </is>
      </c>
      <c r="C481" t="n">
        <v>1</v>
      </c>
      <c r="D481" t="inlineStr">
        <is>
          <t>Final Damage %</t>
        </is>
      </c>
      <c r="E481" t="n">
        <v>12</v>
      </c>
      <c r="F481" t="n">
        <v>1</v>
      </c>
      <c r="G481" t="b">
        <v>1</v>
      </c>
      <c r="H481">
        <f>Sensitivity!H14</f>
        <v/>
      </c>
    </row>
    <row r="482">
      <c r="A482" t="inlineStr">
        <is>
          <t>cape</t>
        </is>
      </c>
      <c r="B482" t="inlineStr">
        <is>
          <t>mystic</t>
        </is>
      </c>
      <c r="C482" t="n">
        <v>2</v>
      </c>
      <c r="D482" t="inlineStr">
        <is>
          <t>Final Damage %</t>
        </is>
      </c>
      <c r="E482" t="n">
        <v>12</v>
      </c>
      <c r="F482" t="n">
        <v>0.24</v>
      </c>
      <c r="G482" t="b">
        <v>1</v>
      </c>
      <c r="H482">
        <f>Sensitivity!H14</f>
        <v/>
      </c>
    </row>
    <row r="483">
      <c r="A483" t="inlineStr">
        <is>
          <t>cape</t>
        </is>
      </c>
      <c r="B483" t="inlineStr">
        <is>
          <t>mystic</t>
        </is>
      </c>
      <c r="C483" t="n">
        <v>2</v>
      </c>
      <c r="D483" t="inlineStr">
        <is>
          <t>Final Damage %</t>
        </is>
      </c>
      <c r="E483" t="n">
        <v>8</v>
      </c>
      <c r="F483" t="n">
        <v>0.76</v>
      </c>
      <c r="G483" t="b">
        <v>0</v>
      </c>
      <c r="H483">
        <f>Sensitivity!H14</f>
        <v/>
      </c>
    </row>
    <row r="484">
      <c r="A484" t="inlineStr">
        <is>
          <t>cape</t>
        </is>
      </c>
      <c r="B484" t="inlineStr">
        <is>
          <t>mystic</t>
        </is>
      </c>
      <c r="C484" t="n">
        <v>3</v>
      </c>
      <c r="D484" t="inlineStr">
        <is>
          <t>Final Damage %</t>
        </is>
      </c>
      <c r="E484" t="n">
        <v>12</v>
      </c>
      <c r="F484" t="n">
        <v>0.08</v>
      </c>
      <c r="G484" t="b">
        <v>1</v>
      </c>
      <c r="H484">
        <f>Sensitivity!H14</f>
        <v/>
      </c>
    </row>
    <row r="485">
      <c r="A485" t="inlineStr">
        <is>
          <t>cape</t>
        </is>
      </c>
      <c r="B485" t="inlineStr">
        <is>
          <t>mystic</t>
        </is>
      </c>
      <c r="C485" t="n">
        <v>3</v>
      </c>
      <c r="D485" t="inlineStr">
        <is>
          <t>Final Damage %</t>
        </is>
      </c>
      <c r="E485" t="n">
        <v>8</v>
      </c>
      <c r="F485" t="n">
        <v>0.92</v>
      </c>
      <c r="G485" t="b">
        <v>0</v>
      </c>
      <c r="H485">
        <f>Sensitivity!H14</f>
        <v/>
      </c>
    </row>
    <row r="486">
      <c r="A486" t="inlineStr">
        <is>
          <t>chest</t>
        </is>
      </c>
      <c r="B486" t="inlineStr">
        <is>
          <t>unique</t>
        </is>
      </c>
      <c r="C486" t="n">
        <v>1</v>
      </c>
      <c r="D486" t="inlineStr">
        <is>
          <t>Basic Attack Target Increase</t>
        </is>
      </c>
      <c r="E486" t="n">
        <v>1</v>
      </c>
      <c r="F486" t="n">
        <v>1</v>
      </c>
      <c r="G486" t="b">
        <v>1</v>
      </c>
      <c r="H486">
        <f>Sensitivity!H31</f>
        <v/>
      </c>
    </row>
    <row r="487">
      <c r="A487" t="inlineStr">
        <is>
          <t>chest</t>
        </is>
      </c>
      <c r="B487" t="inlineStr">
        <is>
          <t>unique</t>
        </is>
      </c>
      <c r="C487" t="n">
        <v>2</v>
      </c>
      <c r="D487" t="inlineStr">
        <is>
          <t>Basic Attack Target Increase</t>
        </is>
      </c>
      <c r="E487" t="n">
        <v>1</v>
      </c>
      <c r="F487" t="n">
        <v>0.24</v>
      </c>
      <c r="G487" t="b">
        <v>1</v>
      </c>
      <c r="H487">
        <f>Sensitivity!H31</f>
        <v/>
      </c>
    </row>
    <row r="488">
      <c r="A488" t="inlineStr">
        <is>
          <t>chest</t>
        </is>
      </c>
      <c r="B488" t="inlineStr">
        <is>
          <t>unique</t>
        </is>
      </c>
      <c r="C488" t="n">
        <v>3</v>
      </c>
      <c r="D488" t="inlineStr">
        <is>
          <t>Basic Attack Target Increase</t>
        </is>
      </c>
      <c r="E488" t="n">
        <v>1</v>
      </c>
      <c r="F488" t="n">
        <v>0.08</v>
      </c>
      <c r="G488" t="b">
        <v>1</v>
      </c>
      <c r="H488">
        <f>Sensitivity!H31</f>
        <v/>
      </c>
    </row>
    <row r="489">
      <c r="A489" t="inlineStr">
        <is>
          <t>chest</t>
        </is>
      </c>
      <c r="B489" t="inlineStr">
        <is>
          <t>legendary</t>
        </is>
      </c>
      <c r="C489" t="n">
        <v>1</v>
      </c>
      <c r="D489" t="inlineStr">
        <is>
          <t>Basic Attack Target Increase</t>
        </is>
      </c>
      <c r="E489" t="n">
        <v>2</v>
      </c>
      <c r="F489" t="n">
        <v>1</v>
      </c>
      <c r="G489" t="b">
        <v>1</v>
      </c>
      <c r="H489">
        <f>Sensitivity!H31</f>
        <v/>
      </c>
    </row>
    <row r="490">
      <c r="A490" t="inlineStr">
        <is>
          <t>chest</t>
        </is>
      </c>
      <c r="B490" t="inlineStr">
        <is>
          <t>legendary</t>
        </is>
      </c>
      <c r="C490" t="n">
        <v>2</v>
      </c>
      <c r="D490" t="inlineStr">
        <is>
          <t>Basic Attack Target Increase</t>
        </is>
      </c>
      <c r="E490" t="n">
        <v>2</v>
      </c>
      <c r="F490" t="n">
        <v>0.24</v>
      </c>
      <c r="G490" t="b">
        <v>1</v>
      </c>
      <c r="H490">
        <f>Sensitivity!H31</f>
        <v/>
      </c>
    </row>
    <row r="491">
      <c r="A491" t="inlineStr">
        <is>
          <t>chest</t>
        </is>
      </c>
      <c r="B491" t="inlineStr">
        <is>
          <t>legendary</t>
        </is>
      </c>
      <c r="C491" t="n">
        <v>2</v>
      </c>
      <c r="D491" t="inlineStr">
        <is>
          <t>Basic Attack Target Increase</t>
        </is>
      </c>
      <c r="E491" t="n">
        <v>1</v>
      </c>
      <c r="F491" t="n">
        <v>0.76</v>
      </c>
      <c r="G491" t="b">
        <v>0</v>
      </c>
      <c r="H491">
        <f>Sensitivity!H31</f>
        <v/>
      </c>
    </row>
    <row r="492">
      <c r="A492" t="inlineStr">
        <is>
          <t>chest</t>
        </is>
      </c>
      <c r="B492" t="inlineStr">
        <is>
          <t>legendary</t>
        </is>
      </c>
      <c r="C492" t="n">
        <v>3</v>
      </c>
      <c r="D492" t="inlineStr">
        <is>
          <t>Basic Attack Target Increase</t>
        </is>
      </c>
      <c r="E492" t="n">
        <v>2</v>
      </c>
      <c r="F492" t="n">
        <v>0.08</v>
      </c>
      <c r="G492" t="b">
        <v>1</v>
      </c>
      <c r="H492">
        <f>Sensitivity!H31</f>
        <v/>
      </c>
    </row>
    <row r="493">
      <c r="A493" t="inlineStr">
        <is>
          <t>chest</t>
        </is>
      </c>
      <c r="B493" t="inlineStr">
        <is>
          <t>legendary</t>
        </is>
      </c>
      <c r="C493" t="n">
        <v>3</v>
      </c>
      <c r="D493" t="inlineStr">
        <is>
          <t>Basic Attack Target Increase</t>
        </is>
      </c>
      <c r="E493" t="n">
        <v>1</v>
      </c>
      <c r="F493" t="n">
        <v>0.92</v>
      </c>
      <c r="G493" t="b">
        <v>0</v>
      </c>
      <c r="H493">
        <f>Sensitivity!H31</f>
        <v/>
      </c>
    </row>
    <row r="494">
      <c r="A494" t="inlineStr">
        <is>
          <t>chest</t>
        </is>
      </c>
      <c r="B494" t="inlineStr">
        <is>
          <t>mystic</t>
        </is>
      </c>
      <c r="C494" t="n">
        <v>1</v>
      </c>
      <c r="D494" t="inlineStr">
        <is>
          <t>Basic Attack Target Increase</t>
        </is>
      </c>
      <c r="E494" t="n">
        <v>3</v>
      </c>
      <c r="F494" t="n">
        <v>1</v>
      </c>
      <c r="G494" t="b">
        <v>1</v>
      </c>
      <c r="H494">
        <f>Sensitivity!H31</f>
        <v/>
      </c>
    </row>
    <row r="495">
      <c r="A495" t="inlineStr">
        <is>
          <t>chest</t>
        </is>
      </c>
      <c r="B495" t="inlineStr">
        <is>
          <t>mystic</t>
        </is>
      </c>
      <c r="C495" t="n">
        <v>2</v>
      </c>
      <c r="D495" t="inlineStr">
        <is>
          <t>Basic Attack Target Increase</t>
        </is>
      </c>
      <c r="E495" t="n">
        <v>3</v>
      </c>
      <c r="F495" t="n">
        <v>0.24</v>
      </c>
      <c r="G495" t="b">
        <v>1</v>
      </c>
      <c r="H495">
        <f>Sensitivity!H31</f>
        <v/>
      </c>
    </row>
    <row r="496">
      <c r="A496" t="inlineStr">
        <is>
          <t>chest</t>
        </is>
      </c>
      <c r="B496" t="inlineStr">
        <is>
          <t>mystic</t>
        </is>
      </c>
      <c r="C496" t="n">
        <v>2</v>
      </c>
      <c r="D496" t="inlineStr">
        <is>
          <t>Basic Attack Target Increase</t>
        </is>
      </c>
      <c r="E496" t="n">
        <v>2</v>
      </c>
      <c r="F496" t="n">
        <v>0.76</v>
      </c>
      <c r="G496" t="b">
        <v>0</v>
      </c>
      <c r="H496">
        <f>Sensitivity!H31</f>
        <v/>
      </c>
    </row>
    <row r="497">
      <c r="A497" t="inlineStr">
        <is>
          <t>chest</t>
        </is>
      </c>
      <c r="B497" t="inlineStr">
        <is>
          <t>mystic</t>
        </is>
      </c>
      <c r="C497" t="n">
        <v>3</v>
      </c>
      <c r="D497" t="inlineStr">
        <is>
          <t>Basic Attack Target Increase</t>
        </is>
      </c>
      <c r="E497" t="n">
        <v>3</v>
      </c>
      <c r="F497" t="n">
        <v>0.08</v>
      </c>
      <c r="G497" t="b">
        <v>1</v>
      </c>
      <c r="H497">
        <f>Sensitivity!H31</f>
        <v/>
      </c>
    </row>
    <row r="498">
      <c r="A498" t="inlineStr">
        <is>
          <t>chest</t>
        </is>
      </c>
      <c r="B498" t="inlineStr">
        <is>
          <t>mystic</t>
        </is>
      </c>
      <c r="C498" t="n">
        <v>3</v>
      </c>
      <c r="D498" t="inlineStr">
        <is>
          <t>Basic Attack Target Increase</t>
        </is>
      </c>
      <c r="E498" t="n">
        <v>2</v>
      </c>
      <c r="F498" t="n">
        <v>0.92</v>
      </c>
      <c r="G498" t="b">
        <v>0</v>
      </c>
      <c r="H498">
        <f>Sensitivity!H31</f>
        <v/>
      </c>
    </row>
    <row r="499">
      <c r="A499" t="inlineStr">
        <is>
          <t>shoulders</t>
        </is>
      </c>
      <c r="B499" t="inlineStr">
        <is>
          <t>unique</t>
        </is>
      </c>
      <c r="C499" t="n">
        <v>1</v>
      </c>
      <c r="D499" t="inlineStr">
        <is>
          <t>Defense Penetration</t>
        </is>
      </c>
      <c r="E499" t="n">
        <v>8</v>
      </c>
      <c r="F499" t="n">
        <v>1</v>
      </c>
      <c r="G499" t="b">
        <v>1</v>
      </c>
      <c r="H499">
        <f>Sensitivity!H20</f>
        <v/>
      </c>
    </row>
    <row r="500">
      <c r="A500" t="inlineStr">
        <is>
          <t>shoulders</t>
        </is>
      </c>
      <c r="B500" t="inlineStr">
        <is>
          <t>unique</t>
        </is>
      </c>
      <c r="C500" t="n">
        <v>2</v>
      </c>
      <c r="D500" t="inlineStr">
        <is>
          <t>Defense Penetration</t>
        </is>
      </c>
      <c r="E500" t="n">
        <v>8</v>
      </c>
      <c r="F500" t="n">
        <v>0.24</v>
      </c>
      <c r="G500" t="b">
        <v>1</v>
      </c>
      <c r="H500">
        <f>Sensitivity!H20</f>
        <v/>
      </c>
    </row>
    <row r="501">
      <c r="A501" t="inlineStr">
        <is>
          <t>shoulders</t>
        </is>
      </c>
      <c r="B501" t="inlineStr">
        <is>
          <t>unique</t>
        </is>
      </c>
      <c r="C501" t="n">
        <v>3</v>
      </c>
      <c r="D501" t="inlineStr">
        <is>
          <t>Defense Penetration</t>
        </is>
      </c>
      <c r="E501" t="n">
        <v>8</v>
      </c>
      <c r="F501" t="n">
        <v>0.08</v>
      </c>
      <c r="G501" t="b">
        <v>1</v>
      </c>
      <c r="H501">
        <f>Sensitivity!H20</f>
        <v/>
      </c>
    </row>
    <row r="502">
      <c r="A502" t="inlineStr">
        <is>
          <t>shoulders</t>
        </is>
      </c>
      <c r="B502" t="inlineStr">
        <is>
          <t>legendary</t>
        </is>
      </c>
      <c r="C502" t="n">
        <v>1</v>
      </c>
      <c r="D502" t="inlineStr">
        <is>
          <t>Defense Penetration</t>
        </is>
      </c>
      <c r="E502" t="n">
        <v>12</v>
      </c>
      <c r="F502" t="n">
        <v>1</v>
      </c>
      <c r="G502" t="b">
        <v>1</v>
      </c>
      <c r="H502">
        <f>Sensitivity!H20</f>
        <v/>
      </c>
    </row>
    <row r="503">
      <c r="A503" t="inlineStr">
        <is>
          <t>shoulders</t>
        </is>
      </c>
      <c r="B503" t="inlineStr">
        <is>
          <t>legendary</t>
        </is>
      </c>
      <c r="C503" t="n">
        <v>2</v>
      </c>
      <c r="D503" t="inlineStr">
        <is>
          <t>Defense Penetration</t>
        </is>
      </c>
      <c r="E503" t="n">
        <v>12</v>
      </c>
      <c r="F503" t="n">
        <v>0.24</v>
      </c>
      <c r="G503" t="b">
        <v>1</v>
      </c>
      <c r="H503">
        <f>Sensitivity!H20</f>
        <v/>
      </c>
    </row>
    <row r="504">
      <c r="A504" t="inlineStr">
        <is>
          <t>shoulders</t>
        </is>
      </c>
      <c r="B504" t="inlineStr">
        <is>
          <t>legendary</t>
        </is>
      </c>
      <c r="C504" t="n">
        <v>2</v>
      </c>
      <c r="D504" t="inlineStr">
        <is>
          <t>Defense Penetration</t>
        </is>
      </c>
      <c r="E504" t="n">
        <v>8</v>
      </c>
      <c r="F504" t="n">
        <v>0.76</v>
      </c>
      <c r="G504" t="b">
        <v>0</v>
      </c>
      <c r="H504">
        <f>Sensitivity!H20</f>
        <v/>
      </c>
    </row>
    <row r="505">
      <c r="A505" t="inlineStr">
        <is>
          <t>shoulders</t>
        </is>
      </c>
      <c r="B505" t="inlineStr">
        <is>
          <t>legendary</t>
        </is>
      </c>
      <c r="C505" t="n">
        <v>3</v>
      </c>
      <c r="D505" t="inlineStr">
        <is>
          <t>Defense Penetration</t>
        </is>
      </c>
      <c r="E505" t="n">
        <v>12</v>
      </c>
      <c r="F505" t="n">
        <v>0.08</v>
      </c>
      <c r="G505" t="b">
        <v>1</v>
      </c>
      <c r="H505">
        <f>Sensitivity!H20</f>
        <v/>
      </c>
    </row>
    <row r="506">
      <c r="A506" t="inlineStr">
        <is>
          <t>shoulders</t>
        </is>
      </c>
      <c r="B506" t="inlineStr">
        <is>
          <t>legendary</t>
        </is>
      </c>
      <c r="C506" t="n">
        <v>3</v>
      </c>
      <c r="D506" t="inlineStr">
        <is>
          <t>Defense Penetration</t>
        </is>
      </c>
      <c r="E506" t="n">
        <v>8</v>
      </c>
      <c r="F506" t="n">
        <v>0.92</v>
      </c>
      <c r="G506" t="b">
        <v>0</v>
      </c>
      <c r="H506">
        <f>Sensitivity!H20</f>
        <v/>
      </c>
    </row>
    <row r="507">
      <c r="A507" t="inlineStr">
        <is>
          <t>shoulders</t>
        </is>
      </c>
      <c r="B507" t="inlineStr">
        <is>
          <t>mystic</t>
        </is>
      </c>
      <c r="C507" t="n">
        <v>1</v>
      </c>
      <c r="D507" t="inlineStr">
        <is>
          <t>Defense Penetration</t>
        </is>
      </c>
      <c r="E507" t="n">
        <v>20</v>
      </c>
      <c r="F507" t="n">
        <v>1</v>
      </c>
      <c r="G507" t="b">
        <v>1</v>
      </c>
      <c r="H507">
        <f>Sensitivity!H20</f>
        <v/>
      </c>
    </row>
    <row r="508">
      <c r="A508" t="inlineStr">
        <is>
          <t>shoulders</t>
        </is>
      </c>
      <c r="B508" t="inlineStr">
        <is>
          <t>mystic</t>
        </is>
      </c>
      <c r="C508" t="n">
        <v>2</v>
      </c>
      <c r="D508" t="inlineStr">
        <is>
          <t>Defense Penetration</t>
        </is>
      </c>
      <c r="E508" t="n">
        <v>20</v>
      </c>
      <c r="F508" t="n">
        <v>0.24</v>
      </c>
      <c r="G508" t="b">
        <v>1</v>
      </c>
      <c r="H508">
        <f>Sensitivity!H20</f>
        <v/>
      </c>
    </row>
    <row r="509">
      <c r="A509" t="inlineStr">
        <is>
          <t>shoulders</t>
        </is>
      </c>
      <c r="B509" t="inlineStr">
        <is>
          <t>mystic</t>
        </is>
      </c>
      <c r="C509" t="n">
        <v>2</v>
      </c>
      <c r="D509" t="inlineStr">
        <is>
          <t>Defense Penetration</t>
        </is>
      </c>
      <c r="E509" t="n">
        <v>12</v>
      </c>
      <c r="F509" t="n">
        <v>0.76</v>
      </c>
      <c r="G509" t="b">
        <v>0</v>
      </c>
      <c r="H509">
        <f>Sensitivity!H20</f>
        <v/>
      </c>
    </row>
    <row r="510">
      <c r="A510" t="inlineStr">
        <is>
          <t>shoulders</t>
        </is>
      </c>
      <c r="B510" t="inlineStr">
        <is>
          <t>mystic</t>
        </is>
      </c>
      <c r="C510" t="n">
        <v>3</v>
      </c>
      <c r="D510" t="inlineStr">
        <is>
          <t>Defense Penetration</t>
        </is>
      </c>
      <c r="E510" t="n">
        <v>20</v>
      </c>
      <c r="F510" t="n">
        <v>0.08</v>
      </c>
      <c r="G510" t="b">
        <v>1</v>
      </c>
      <c r="H510">
        <f>Sensitivity!H20</f>
        <v/>
      </c>
    </row>
    <row r="511">
      <c r="A511" t="inlineStr">
        <is>
          <t>shoulders</t>
        </is>
      </c>
      <c r="B511" t="inlineStr">
        <is>
          <t>mystic</t>
        </is>
      </c>
      <c r="C511" t="n">
        <v>3</v>
      </c>
      <c r="D511" t="inlineStr">
        <is>
          <t>Defense Penetration</t>
        </is>
      </c>
      <c r="E511" t="n">
        <v>12</v>
      </c>
      <c r="F511" t="n">
        <v>0.92</v>
      </c>
      <c r="G511" t="b">
        <v>0</v>
      </c>
      <c r="H511">
        <f>Sensitivity!H20</f>
        <v/>
      </c>
    </row>
    <row r="512">
      <c r="A512" t="inlineStr">
        <is>
          <t>legs</t>
        </is>
      </c>
      <c r="B512" t="inlineStr">
        <is>
          <t>epic</t>
        </is>
      </c>
      <c r="C512" t="n">
        <v>1</v>
      </c>
      <c r="D512" t="inlineStr">
        <is>
          <t>Final Damage %</t>
        </is>
      </c>
      <c r="E512" t="n">
        <v>3</v>
      </c>
      <c r="F512" t="n">
        <v>1</v>
      </c>
      <c r="G512" t="b">
        <v>1</v>
      </c>
      <c r="H512">
        <f>Sensitivity!H14</f>
        <v/>
      </c>
    </row>
    <row r="513">
      <c r="A513" t="inlineStr">
        <is>
          <t>legs</t>
        </is>
      </c>
      <c r="B513" t="inlineStr">
        <is>
          <t>epic</t>
        </is>
      </c>
      <c r="C513" t="n">
        <v>2</v>
      </c>
      <c r="D513" t="inlineStr">
        <is>
          <t>Final Damage %</t>
        </is>
      </c>
      <c r="E513" t="n">
        <v>3</v>
      </c>
      <c r="F513" t="n">
        <v>0.24</v>
      </c>
      <c r="G513" t="b">
        <v>1</v>
      </c>
      <c r="H513">
        <f>Sensitivity!H14</f>
        <v/>
      </c>
    </row>
    <row r="514">
      <c r="A514" t="inlineStr">
        <is>
          <t>legs</t>
        </is>
      </c>
      <c r="B514" t="inlineStr">
        <is>
          <t>epic</t>
        </is>
      </c>
      <c r="C514" t="n">
        <v>3</v>
      </c>
      <c r="D514" t="inlineStr">
        <is>
          <t>Final Damage %</t>
        </is>
      </c>
      <c r="E514" t="n">
        <v>3</v>
      </c>
      <c r="F514" t="n">
        <v>0.08</v>
      </c>
      <c r="G514" t="b">
        <v>1</v>
      </c>
      <c r="H514">
        <f>Sensitivity!H14</f>
        <v/>
      </c>
    </row>
    <row r="515">
      <c r="A515" t="inlineStr">
        <is>
          <t>legs</t>
        </is>
      </c>
      <c r="B515" t="inlineStr">
        <is>
          <t>unique</t>
        </is>
      </c>
      <c r="C515" t="n">
        <v>1</v>
      </c>
      <c r="D515" t="inlineStr">
        <is>
          <t>Final Damage %</t>
        </is>
      </c>
      <c r="E515" t="n">
        <v>5</v>
      </c>
      <c r="F515" t="n">
        <v>1</v>
      </c>
      <c r="G515" t="b">
        <v>1</v>
      </c>
      <c r="H515">
        <f>Sensitivity!H14</f>
        <v/>
      </c>
    </row>
    <row r="516">
      <c r="A516" t="inlineStr">
        <is>
          <t>legs</t>
        </is>
      </c>
      <c r="B516" t="inlineStr">
        <is>
          <t>unique</t>
        </is>
      </c>
      <c r="C516" t="n">
        <v>2</v>
      </c>
      <c r="D516" t="inlineStr">
        <is>
          <t>Final Damage %</t>
        </is>
      </c>
      <c r="E516" t="n">
        <v>5</v>
      </c>
      <c r="F516" t="n">
        <v>0.24</v>
      </c>
      <c r="G516" t="b">
        <v>1</v>
      </c>
      <c r="H516">
        <f>Sensitivity!H14</f>
        <v/>
      </c>
    </row>
    <row r="517">
      <c r="A517" t="inlineStr">
        <is>
          <t>legs</t>
        </is>
      </c>
      <c r="B517" t="inlineStr">
        <is>
          <t>unique</t>
        </is>
      </c>
      <c r="C517" t="n">
        <v>2</v>
      </c>
      <c r="D517" t="inlineStr">
        <is>
          <t>Final Damage %</t>
        </is>
      </c>
      <c r="E517" t="n">
        <v>3</v>
      </c>
      <c r="F517" t="n">
        <v>0.76</v>
      </c>
      <c r="G517" t="b">
        <v>0</v>
      </c>
      <c r="H517">
        <f>Sensitivity!H14</f>
        <v/>
      </c>
    </row>
    <row r="518">
      <c r="A518" t="inlineStr">
        <is>
          <t>legs</t>
        </is>
      </c>
      <c r="B518" t="inlineStr">
        <is>
          <t>unique</t>
        </is>
      </c>
      <c r="C518" t="n">
        <v>3</v>
      </c>
      <c r="D518" t="inlineStr">
        <is>
          <t>Final Damage %</t>
        </is>
      </c>
      <c r="E518" t="n">
        <v>5</v>
      </c>
      <c r="F518" t="n">
        <v>0.08</v>
      </c>
      <c r="G518" t="b">
        <v>1</v>
      </c>
      <c r="H518">
        <f>Sensitivity!H14</f>
        <v/>
      </c>
    </row>
    <row r="519">
      <c r="A519" t="inlineStr">
        <is>
          <t>legs</t>
        </is>
      </c>
      <c r="B519" t="inlineStr">
        <is>
          <t>unique</t>
        </is>
      </c>
      <c r="C519" t="n">
        <v>3</v>
      </c>
      <c r="D519" t="inlineStr">
        <is>
          <t>Final Damage %</t>
        </is>
      </c>
      <c r="E519" t="n">
        <v>3</v>
      </c>
      <c r="F519" t="n">
        <v>0.92</v>
      </c>
      <c r="G519" t="b">
        <v>0</v>
      </c>
      <c r="H519">
        <f>Sensitivity!H14</f>
        <v/>
      </c>
    </row>
    <row r="520">
      <c r="A520" t="inlineStr">
        <is>
          <t>legs</t>
        </is>
      </c>
      <c r="B520" t="inlineStr">
        <is>
          <t>legendary</t>
        </is>
      </c>
      <c r="C520" t="n">
        <v>1</v>
      </c>
      <c r="D520" t="inlineStr">
        <is>
          <t>Final Damage %</t>
        </is>
      </c>
      <c r="E520" t="n">
        <v>8</v>
      </c>
      <c r="F520" t="n">
        <v>1</v>
      </c>
      <c r="G520" t="b">
        <v>1</v>
      </c>
      <c r="H520">
        <f>Sensitivity!H14</f>
        <v/>
      </c>
    </row>
    <row r="521">
      <c r="A521" t="inlineStr">
        <is>
          <t>legs</t>
        </is>
      </c>
      <c r="B521" t="inlineStr">
        <is>
          <t>legendary</t>
        </is>
      </c>
      <c r="C521" t="n">
        <v>2</v>
      </c>
      <c r="D521" t="inlineStr">
        <is>
          <t>Final Damage %</t>
        </is>
      </c>
      <c r="E521" t="n">
        <v>8</v>
      </c>
      <c r="F521" t="n">
        <v>0.24</v>
      </c>
      <c r="G521" t="b">
        <v>1</v>
      </c>
      <c r="H521">
        <f>Sensitivity!H14</f>
        <v/>
      </c>
    </row>
    <row r="522">
      <c r="A522" t="inlineStr">
        <is>
          <t>legs</t>
        </is>
      </c>
      <c r="B522" t="inlineStr">
        <is>
          <t>legendary</t>
        </is>
      </c>
      <c r="C522" t="n">
        <v>2</v>
      </c>
      <c r="D522" t="inlineStr">
        <is>
          <t>Final Damage %</t>
        </is>
      </c>
      <c r="E522" t="n">
        <v>5</v>
      </c>
      <c r="F522" t="n">
        <v>0.76</v>
      </c>
      <c r="G522" t="b">
        <v>0</v>
      </c>
      <c r="H522">
        <f>Sensitivity!H14</f>
        <v/>
      </c>
    </row>
    <row r="523">
      <c r="A523" t="inlineStr">
        <is>
          <t>legs</t>
        </is>
      </c>
      <c r="B523" t="inlineStr">
        <is>
          <t>legendary</t>
        </is>
      </c>
      <c r="C523" t="n">
        <v>3</v>
      </c>
      <c r="D523" t="inlineStr">
        <is>
          <t>Final Damage %</t>
        </is>
      </c>
      <c r="E523" t="n">
        <v>8</v>
      </c>
      <c r="F523" t="n">
        <v>0.08</v>
      </c>
      <c r="G523" t="b">
        <v>1</v>
      </c>
      <c r="H523">
        <f>Sensitivity!H14</f>
        <v/>
      </c>
    </row>
    <row r="524">
      <c r="A524" t="inlineStr">
        <is>
          <t>legs</t>
        </is>
      </c>
      <c r="B524" t="inlineStr">
        <is>
          <t>legendary</t>
        </is>
      </c>
      <c r="C524" t="n">
        <v>3</v>
      </c>
      <c r="D524" t="inlineStr">
        <is>
          <t>Final Damage %</t>
        </is>
      </c>
      <c r="E524" t="n">
        <v>5</v>
      </c>
      <c r="F524" t="n">
        <v>0.92</v>
      </c>
      <c r="G524" t="b">
        <v>0</v>
      </c>
      <c r="H524">
        <f>Sensitivity!H14</f>
        <v/>
      </c>
    </row>
    <row r="525">
      <c r="A525" t="inlineStr">
        <is>
          <t>legs</t>
        </is>
      </c>
      <c r="B525" t="inlineStr">
        <is>
          <t>mystic</t>
        </is>
      </c>
      <c r="C525" t="n">
        <v>1</v>
      </c>
      <c r="D525" t="inlineStr">
        <is>
          <t>Final Damage %</t>
        </is>
      </c>
      <c r="E525" t="n">
        <v>12</v>
      </c>
      <c r="F525" t="n">
        <v>1</v>
      </c>
      <c r="G525" t="b">
        <v>1</v>
      </c>
      <c r="H525">
        <f>Sensitivity!H14</f>
        <v/>
      </c>
    </row>
    <row r="526">
      <c r="A526" t="inlineStr">
        <is>
          <t>legs</t>
        </is>
      </c>
      <c r="B526" t="inlineStr">
        <is>
          <t>mystic</t>
        </is>
      </c>
      <c r="C526" t="n">
        <v>2</v>
      </c>
      <c r="D526" t="inlineStr">
        <is>
          <t>Final Damage %</t>
        </is>
      </c>
      <c r="E526" t="n">
        <v>12</v>
      </c>
      <c r="F526" t="n">
        <v>0.24</v>
      </c>
      <c r="G526" t="b">
        <v>1</v>
      </c>
      <c r="H526">
        <f>Sensitivity!H14</f>
        <v/>
      </c>
    </row>
    <row r="527">
      <c r="A527" t="inlineStr">
        <is>
          <t>legs</t>
        </is>
      </c>
      <c r="B527" t="inlineStr">
        <is>
          <t>mystic</t>
        </is>
      </c>
      <c r="C527" t="n">
        <v>2</v>
      </c>
      <c r="D527" t="inlineStr">
        <is>
          <t>Final Damage %</t>
        </is>
      </c>
      <c r="E527" t="n">
        <v>8</v>
      </c>
      <c r="F527" t="n">
        <v>0.76</v>
      </c>
      <c r="G527" t="b">
        <v>0</v>
      </c>
      <c r="H527">
        <f>Sensitivity!H14</f>
        <v/>
      </c>
    </row>
    <row r="528">
      <c r="A528" t="inlineStr">
        <is>
          <t>legs</t>
        </is>
      </c>
      <c r="B528" t="inlineStr">
        <is>
          <t>mystic</t>
        </is>
      </c>
      <c r="C528" t="n">
        <v>3</v>
      </c>
      <c r="D528" t="inlineStr">
        <is>
          <t>Final Damage %</t>
        </is>
      </c>
      <c r="E528" t="n">
        <v>12</v>
      </c>
      <c r="F528" t="n">
        <v>0.08</v>
      </c>
      <c r="G528" t="b">
        <v>1</v>
      </c>
      <c r="H528">
        <f>Sensitivity!H14</f>
        <v/>
      </c>
    </row>
    <row r="529">
      <c r="A529" t="inlineStr">
        <is>
          <t>legs</t>
        </is>
      </c>
      <c r="B529" t="inlineStr">
        <is>
          <t>mystic</t>
        </is>
      </c>
      <c r="C529" t="n">
        <v>3</v>
      </c>
      <c r="D529" t="inlineStr">
        <is>
          <t>Final Damage %</t>
        </is>
      </c>
      <c r="E529" t="n">
        <v>8</v>
      </c>
      <c r="F529" t="n">
        <v>0.92</v>
      </c>
      <c r="G529" t="b">
        <v>0</v>
      </c>
      <c r="H529">
        <f>Sensitivity!H14</f>
        <v/>
      </c>
    </row>
    <row r="530">
      <c r="A530" t="inlineStr">
        <is>
          <t>belt</t>
        </is>
      </c>
      <c r="B530" t="inlineStr">
        <is>
          <t>epic</t>
        </is>
      </c>
      <c r="C530" t="n">
        <v>1</v>
      </c>
      <c r="D530" t="inlineStr">
        <is>
          <t>Buff Duration Increase %</t>
        </is>
      </c>
      <c r="E530" t="n">
        <v>5</v>
      </c>
      <c r="F530" t="n">
        <v>1</v>
      </c>
      <c r="G530" t="b">
        <v>1</v>
      </c>
      <c r="H530">
        <f>Sensitivity!H32</f>
        <v/>
      </c>
    </row>
    <row r="531">
      <c r="A531" t="inlineStr">
        <is>
          <t>belt</t>
        </is>
      </c>
      <c r="B531" t="inlineStr">
        <is>
          <t>epic</t>
        </is>
      </c>
      <c r="C531" t="n">
        <v>2</v>
      </c>
      <c r="D531" t="inlineStr">
        <is>
          <t>Buff Duration Increase %</t>
        </is>
      </c>
      <c r="E531" t="n">
        <v>5</v>
      </c>
      <c r="F531" t="n">
        <v>0.24</v>
      </c>
      <c r="G531" t="b">
        <v>1</v>
      </c>
      <c r="H531">
        <f>Sensitivity!H32</f>
        <v/>
      </c>
    </row>
    <row r="532">
      <c r="A532" t="inlineStr">
        <is>
          <t>belt</t>
        </is>
      </c>
      <c r="B532" t="inlineStr">
        <is>
          <t>epic</t>
        </is>
      </c>
      <c r="C532" t="n">
        <v>3</v>
      </c>
      <c r="D532" t="inlineStr">
        <is>
          <t>Buff Duration Increase %</t>
        </is>
      </c>
      <c r="E532" t="n">
        <v>5</v>
      </c>
      <c r="F532" t="n">
        <v>0.08</v>
      </c>
      <c r="G532" t="b">
        <v>1</v>
      </c>
      <c r="H532">
        <f>Sensitivity!H32</f>
        <v/>
      </c>
    </row>
    <row r="533">
      <c r="A533" t="inlineStr">
        <is>
          <t>belt</t>
        </is>
      </c>
      <c r="B533" t="inlineStr">
        <is>
          <t>unique</t>
        </is>
      </c>
      <c r="C533" t="n">
        <v>1</v>
      </c>
      <c r="D533" t="inlineStr">
        <is>
          <t>Buff Duration Increase %</t>
        </is>
      </c>
      <c r="E533" t="n">
        <v>8</v>
      </c>
      <c r="F533" t="n">
        <v>1</v>
      </c>
      <c r="G533" t="b">
        <v>1</v>
      </c>
      <c r="H533">
        <f>Sensitivity!H32</f>
        <v/>
      </c>
    </row>
    <row r="534">
      <c r="A534" t="inlineStr">
        <is>
          <t>belt</t>
        </is>
      </c>
      <c r="B534" t="inlineStr">
        <is>
          <t>unique</t>
        </is>
      </c>
      <c r="C534" t="n">
        <v>2</v>
      </c>
      <c r="D534" t="inlineStr">
        <is>
          <t>Buff Duration Increase %</t>
        </is>
      </c>
      <c r="E534" t="n">
        <v>8</v>
      </c>
      <c r="F534" t="n">
        <v>0.24</v>
      </c>
      <c r="G534" t="b">
        <v>1</v>
      </c>
      <c r="H534">
        <f>Sensitivity!H32</f>
        <v/>
      </c>
    </row>
    <row r="535">
      <c r="A535" t="inlineStr">
        <is>
          <t>belt</t>
        </is>
      </c>
      <c r="B535" t="inlineStr">
        <is>
          <t>unique</t>
        </is>
      </c>
      <c r="C535" t="n">
        <v>2</v>
      </c>
      <c r="D535" t="inlineStr">
        <is>
          <t>Buff Duration Increase %</t>
        </is>
      </c>
      <c r="E535" t="n">
        <v>5</v>
      </c>
      <c r="F535" t="n">
        <v>0.76</v>
      </c>
      <c r="G535" t="b">
        <v>0</v>
      </c>
      <c r="H535">
        <f>Sensitivity!H32</f>
        <v/>
      </c>
    </row>
    <row r="536">
      <c r="A536" t="inlineStr">
        <is>
          <t>belt</t>
        </is>
      </c>
      <c r="B536" t="inlineStr">
        <is>
          <t>unique</t>
        </is>
      </c>
      <c r="C536" t="n">
        <v>3</v>
      </c>
      <c r="D536" t="inlineStr">
        <is>
          <t>Buff Duration Increase %</t>
        </is>
      </c>
      <c r="E536" t="n">
        <v>8</v>
      </c>
      <c r="F536" t="n">
        <v>0.08</v>
      </c>
      <c r="G536" t="b">
        <v>1</v>
      </c>
      <c r="H536">
        <f>Sensitivity!H32</f>
        <v/>
      </c>
    </row>
    <row r="537">
      <c r="A537" t="inlineStr">
        <is>
          <t>belt</t>
        </is>
      </c>
      <c r="B537" t="inlineStr">
        <is>
          <t>unique</t>
        </is>
      </c>
      <c r="C537" t="n">
        <v>3</v>
      </c>
      <c r="D537" t="inlineStr">
        <is>
          <t>Buff Duration Increase %</t>
        </is>
      </c>
      <c r="E537" t="n">
        <v>5</v>
      </c>
      <c r="F537" t="n">
        <v>0.92</v>
      </c>
      <c r="G537" t="b">
        <v>0</v>
      </c>
      <c r="H537">
        <f>Sensitivity!H32</f>
        <v/>
      </c>
    </row>
    <row r="538">
      <c r="A538" t="inlineStr">
        <is>
          <t>belt</t>
        </is>
      </c>
      <c r="B538" t="inlineStr">
        <is>
          <t>legendary</t>
        </is>
      </c>
      <c r="C538" t="n">
        <v>1</v>
      </c>
      <c r="D538" t="inlineStr">
        <is>
          <t>Buff Duration Increase %</t>
        </is>
      </c>
      <c r="E538" t="n">
        <v>12</v>
      </c>
      <c r="F538" t="n">
        <v>1</v>
      </c>
      <c r="G538" t="b">
        <v>1</v>
      </c>
      <c r="H538">
        <f>Sensitivity!H32</f>
        <v/>
      </c>
    </row>
    <row r="539">
      <c r="A539" t="inlineStr">
        <is>
          <t>belt</t>
        </is>
      </c>
      <c r="B539" t="inlineStr">
        <is>
          <t>legendary</t>
        </is>
      </c>
      <c r="C539" t="n">
        <v>2</v>
      </c>
      <c r="D539" t="inlineStr">
        <is>
          <t>Buff Duration Increase %</t>
        </is>
      </c>
      <c r="E539" t="n">
        <v>12</v>
      </c>
      <c r="F539" t="n">
        <v>0.24</v>
      </c>
      <c r="G539" t="b">
        <v>1</v>
      </c>
      <c r="H539">
        <f>Sensitivity!H32</f>
        <v/>
      </c>
    </row>
    <row r="540">
      <c r="A540" t="inlineStr">
        <is>
          <t>belt</t>
        </is>
      </c>
      <c r="B540" t="inlineStr">
        <is>
          <t>legendary</t>
        </is>
      </c>
      <c r="C540" t="n">
        <v>2</v>
      </c>
      <c r="D540" t="inlineStr">
        <is>
          <t>Buff Duration Increase %</t>
        </is>
      </c>
      <c r="E540" t="n">
        <v>8</v>
      </c>
      <c r="F540" t="n">
        <v>0.76</v>
      </c>
      <c r="G540" t="b">
        <v>0</v>
      </c>
      <c r="H540">
        <f>Sensitivity!H32</f>
        <v/>
      </c>
    </row>
    <row r="541">
      <c r="A541" t="inlineStr">
        <is>
          <t>belt</t>
        </is>
      </c>
      <c r="B541" t="inlineStr">
        <is>
          <t>legendary</t>
        </is>
      </c>
      <c r="C541" t="n">
        <v>3</v>
      </c>
      <c r="D541" t="inlineStr">
        <is>
          <t>Buff Duration Increase %</t>
        </is>
      </c>
      <c r="E541" t="n">
        <v>12</v>
      </c>
      <c r="F541" t="n">
        <v>0.08</v>
      </c>
      <c r="G541" t="b">
        <v>1</v>
      </c>
      <c r="H541">
        <f>Sensitivity!H32</f>
        <v/>
      </c>
    </row>
    <row r="542">
      <c r="A542" t="inlineStr">
        <is>
          <t>belt</t>
        </is>
      </c>
      <c r="B542" t="inlineStr">
        <is>
          <t>legendary</t>
        </is>
      </c>
      <c r="C542" t="n">
        <v>3</v>
      </c>
      <c r="D542" t="inlineStr">
        <is>
          <t>Buff Duration Increase %</t>
        </is>
      </c>
      <c r="E542" t="n">
        <v>8</v>
      </c>
      <c r="F542" t="n">
        <v>0.92</v>
      </c>
      <c r="G542" t="b">
        <v>0</v>
      </c>
      <c r="H542">
        <f>Sensitivity!H32</f>
        <v/>
      </c>
    </row>
    <row r="543">
      <c r="A543" t="inlineStr">
        <is>
          <t>belt</t>
        </is>
      </c>
      <c r="B543" t="inlineStr">
        <is>
          <t>mystic</t>
        </is>
      </c>
      <c r="C543" t="n">
        <v>1</v>
      </c>
      <c r="D543" t="inlineStr">
        <is>
          <t>Buff Duration Increase %</t>
        </is>
      </c>
      <c r="E543" t="n">
        <v>20</v>
      </c>
      <c r="F543" t="n">
        <v>1</v>
      </c>
      <c r="G543" t="b">
        <v>1</v>
      </c>
      <c r="H543">
        <f>Sensitivity!H32</f>
        <v/>
      </c>
    </row>
    <row r="544">
      <c r="A544" t="inlineStr">
        <is>
          <t>belt</t>
        </is>
      </c>
      <c r="B544" t="inlineStr">
        <is>
          <t>mystic</t>
        </is>
      </c>
      <c r="C544" t="n">
        <v>2</v>
      </c>
      <c r="D544" t="inlineStr">
        <is>
          <t>Buff Duration Increase %</t>
        </is>
      </c>
      <c r="E544" t="n">
        <v>20</v>
      </c>
      <c r="F544" t="n">
        <v>0.24</v>
      </c>
      <c r="G544" t="b">
        <v>1</v>
      </c>
      <c r="H544">
        <f>Sensitivity!H32</f>
        <v/>
      </c>
    </row>
    <row r="545">
      <c r="A545" t="inlineStr">
        <is>
          <t>belt</t>
        </is>
      </c>
      <c r="B545" t="inlineStr">
        <is>
          <t>mystic</t>
        </is>
      </c>
      <c r="C545" t="n">
        <v>2</v>
      </c>
      <c r="D545" t="inlineStr">
        <is>
          <t>Buff Duration Increase %</t>
        </is>
      </c>
      <c r="E545" t="n">
        <v>12</v>
      </c>
      <c r="F545" t="n">
        <v>0.76</v>
      </c>
      <c r="G545" t="b">
        <v>0</v>
      </c>
      <c r="H545">
        <f>Sensitivity!H32</f>
        <v/>
      </c>
    </row>
    <row r="546">
      <c r="A546" t="inlineStr">
        <is>
          <t>belt</t>
        </is>
      </c>
      <c r="B546" t="inlineStr">
        <is>
          <t>mystic</t>
        </is>
      </c>
      <c r="C546" t="n">
        <v>3</v>
      </c>
      <c r="D546" t="inlineStr">
        <is>
          <t>Buff Duration Increase %</t>
        </is>
      </c>
      <c r="E546" t="n">
        <v>20</v>
      </c>
      <c r="F546" t="n">
        <v>0.08</v>
      </c>
      <c r="G546" t="b">
        <v>1</v>
      </c>
      <c r="H546">
        <f>Sensitivity!H32</f>
        <v/>
      </c>
    </row>
    <row r="547">
      <c r="A547" t="inlineStr">
        <is>
          <t>belt</t>
        </is>
      </c>
      <c r="B547" t="inlineStr">
        <is>
          <t>mystic</t>
        </is>
      </c>
      <c r="C547" t="n">
        <v>3</v>
      </c>
      <c r="D547" t="inlineStr">
        <is>
          <t>Buff Duration Increase %</t>
        </is>
      </c>
      <c r="E547" t="n">
        <v>12</v>
      </c>
      <c r="F547" t="n">
        <v>0.92</v>
      </c>
      <c r="G547" t="b">
        <v>0</v>
      </c>
      <c r="H547">
        <f>Sensitivity!H32</f>
        <v/>
      </c>
    </row>
    <row r="548">
      <c r="A548" t="inlineStr">
        <is>
          <t>gloves</t>
        </is>
      </c>
      <c r="B548" t="inlineStr">
        <is>
          <t>epic</t>
        </is>
      </c>
      <c r="C548" t="n">
        <v>1</v>
      </c>
      <c r="D548" t="inlineStr">
        <is>
          <t>Critical Damage %</t>
        </is>
      </c>
      <c r="E548" t="n">
        <v>10</v>
      </c>
      <c r="F548" t="n">
        <v>1</v>
      </c>
      <c r="G548" t="b">
        <v>1</v>
      </c>
      <c r="H548">
        <f>Sensitivity!H18</f>
        <v/>
      </c>
    </row>
    <row r="549">
      <c r="A549" t="inlineStr">
        <is>
          <t>gloves</t>
        </is>
      </c>
      <c r="B549" t="inlineStr">
        <is>
          <t>epic</t>
        </is>
      </c>
      <c r="C549" t="n">
        <v>2</v>
      </c>
      <c r="D549" t="inlineStr">
        <is>
          <t>Critical Damage %</t>
        </is>
      </c>
      <c r="E549" t="n">
        <v>10</v>
      </c>
      <c r="F549" t="n">
        <v>0.24</v>
      </c>
      <c r="G549" t="b">
        <v>1</v>
      </c>
      <c r="H549">
        <f>Sensitivity!H18</f>
        <v/>
      </c>
    </row>
    <row r="550">
      <c r="A550" t="inlineStr">
        <is>
          <t>gloves</t>
        </is>
      </c>
      <c r="B550" t="inlineStr">
        <is>
          <t>epic</t>
        </is>
      </c>
      <c r="C550" t="n">
        <v>3</v>
      </c>
      <c r="D550" t="inlineStr">
        <is>
          <t>Critical Damage %</t>
        </is>
      </c>
      <c r="E550" t="n">
        <v>10</v>
      </c>
      <c r="F550" t="n">
        <v>0.08</v>
      </c>
      <c r="G550" t="b">
        <v>1</v>
      </c>
      <c r="H550">
        <f>Sensitivity!H18</f>
        <v/>
      </c>
    </row>
    <row r="551">
      <c r="A551" t="inlineStr">
        <is>
          <t>gloves</t>
        </is>
      </c>
      <c r="B551" t="inlineStr">
        <is>
          <t>unique</t>
        </is>
      </c>
      <c r="C551" t="n">
        <v>1</v>
      </c>
      <c r="D551" t="inlineStr">
        <is>
          <t>Critical Damage %</t>
        </is>
      </c>
      <c r="E551" t="n">
        <v>20</v>
      </c>
      <c r="F551" t="n">
        <v>1</v>
      </c>
      <c r="G551" t="b">
        <v>1</v>
      </c>
      <c r="H551">
        <f>Sensitivity!H18</f>
        <v/>
      </c>
    </row>
    <row r="552">
      <c r="A552" t="inlineStr">
        <is>
          <t>gloves</t>
        </is>
      </c>
      <c r="B552" t="inlineStr">
        <is>
          <t>unique</t>
        </is>
      </c>
      <c r="C552" t="n">
        <v>2</v>
      </c>
      <c r="D552" t="inlineStr">
        <is>
          <t>Critical Damage %</t>
        </is>
      </c>
      <c r="E552" t="n">
        <v>20</v>
      </c>
      <c r="F552" t="n">
        <v>0.24</v>
      </c>
      <c r="G552" t="b">
        <v>1</v>
      </c>
      <c r="H552">
        <f>Sensitivity!H18</f>
        <v/>
      </c>
    </row>
    <row r="553">
      <c r="A553" t="inlineStr">
        <is>
          <t>gloves</t>
        </is>
      </c>
      <c r="B553" t="inlineStr">
        <is>
          <t>unique</t>
        </is>
      </c>
      <c r="C553" t="n">
        <v>2</v>
      </c>
      <c r="D553" t="inlineStr">
        <is>
          <t>Critical Damage %</t>
        </is>
      </c>
      <c r="E553" t="n">
        <v>10</v>
      </c>
      <c r="F553" t="n">
        <v>0.76</v>
      </c>
      <c r="G553" t="b">
        <v>0</v>
      </c>
      <c r="H553">
        <f>Sensitivity!H18</f>
        <v/>
      </c>
    </row>
    <row r="554">
      <c r="A554" t="inlineStr">
        <is>
          <t>gloves</t>
        </is>
      </c>
      <c r="B554" t="inlineStr">
        <is>
          <t>unique</t>
        </is>
      </c>
      <c r="C554" t="n">
        <v>3</v>
      </c>
      <c r="D554" t="inlineStr">
        <is>
          <t>Critical Damage %</t>
        </is>
      </c>
      <c r="E554" t="n">
        <v>20</v>
      </c>
      <c r="F554" t="n">
        <v>0.08</v>
      </c>
      <c r="G554" t="b">
        <v>1</v>
      </c>
      <c r="H554">
        <f>Sensitivity!H18</f>
        <v/>
      </c>
    </row>
    <row r="555">
      <c r="A555" t="inlineStr">
        <is>
          <t>gloves</t>
        </is>
      </c>
      <c r="B555" t="inlineStr">
        <is>
          <t>unique</t>
        </is>
      </c>
      <c r="C555" t="n">
        <v>3</v>
      </c>
      <c r="D555" t="inlineStr">
        <is>
          <t>Critical Damage %</t>
        </is>
      </c>
      <c r="E555" t="n">
        <v>10</v>
      </c>
      <c r="F555" t="n">
        <v>0.92</v>
      </c>
      <c r="G555" t="b">
        <v>0</v>
      </c>
      <c r="H555">
        <f>Sensitivity!H18</f>
        <v/>
      </c>
    </row>
    <row r="556">
      <c r="A556" t="inlineStr">
        <is>
          <t>gloves</t>
        </is>
      </c>
      <c r="B556" t="inlineStr">
        <is>
          <t>legendary</t>
        </is>
      </c>
      <c r="C556" t="n">
        <v>1</v>
      </c>
      <c r="D556" t="inlineStr">
        <is>
          <t>Critical Damage %</t>
        </is>
      </c>
      <c r="E556" t="n">
        <v>30</v>
      </c>
      <c r="F556" t="n">
        <v>1</v>
      </c>
      <c r="G556" t="b">
        <v>1</v>
      </c>
      <c r="H556">
        <f>Sensitivity!H18</f>
        <v/>
      </c>
    </row>
    <row r="557">
      <c r="A557" t="inlineStr">
        <is>
          <t>gloves</t>
        </is>
      </c>
      <c r="B557" t="inlineStr">
        <is>
          <t>legendary</t>
        </is>
      </c>
      <c r="C557" t="n">
        <v>2</v>
      </c>
      <c r="D557" t="inlineStr">
        <is>
          <t>Critical Damage %</t>
        </is>
      </c>
      <c r="E557" t="n">
        <v>30</v>
      </c>
      <c r="F557" t="n">
        <v>0.24</v>
      </c>
      <c r="G557" t="b">
        <v>1</v>
      </c>
      <c r="H557">
        <f>Sensitivity!H18</f>
        <v/>
      </c>
    </row>
    <row r="558">
      <c r="A558" t="inlineStr">
        <is>
          <t>gloves</t>
        </is>
      </c>
      <c r="B558" t="inlineStr">
        <is>
          <t>legendary</t>
        </is>
      </c>
      <c r="C558" t="n">
        <v>2</v>
      </c>
      <c r="D558" t="inlineStr">
        <is>
          <t>Critical Damage %</t>
        </is>
      </c>
      <c r="E558" t="n">
        <v>20</v>
      </c>
      <c r="F558" t="n">
        <v>0.76</v>
      </c>
      <c r="G558" t="b">
        <v>0</v>
      </c>
      <c r="H558">
        <f>Sensitivity!H18</f>
        <v/>
      </c>
    </row>
    <row r="559">
      <c r="A559" t="inlineStr">
        <is>
          <t>gloves</t>
        </is>
      </c>
      <c r="B559" t="inlineStr">
        <is>
          <t>legendary</t>
        </is>
      </c>
      <c r="C559" t="n">
        <v>3</v>
      </c>
      <c r="D559" t="inlineStr">
        <is>
          <t>Critical Damage %</t>
        </is>
      </c>
      <c r="E559" t="n">
        <v>30</v>
      </c>
      <c r="F559" t="n">
        <v>0.08</v>
      </c>
      <c r="G559" t="b">
        <v>1</v>
      </c>
      <c r="H559">
        <f>Sensitivity!H18</f>
        <v/>
      </c>
    </row>
    <row r="560">
      <c r="A560" t="inlineStr">
        <is>
          <t>gloves</t>
        </is>
      </c>
      <c r="B560" t="inlineStr">
        <is>
          <t>legendary</t>
        </is>
      </c>
      <c r="C560" t="n">
        <v>3</v>
      </c>
      <c r="D560" t="inlineStr">
        <is>
          <t>Critical Damage %</t>
        </is>
      </c>
      <c r="E560" t="n">
        <v>20</v>
      </c>
      <c r="F560" t="n">
        <v>0.92</v>
      </c>
      <c r="G560" t="b">
        <v>0</v>
      </c>
      <c r="H560">
        <f>Sensitivity!H18</f>
        <v/>
      </c>
    </row>
    <row r="561">
      <c r="A561" t="inlineStr">
        <is>
          <t>gloves</t>
        </is>
      </c>
      <c r="B561" t="inlineStr">
        <is>
          <t>mystic</t>
        </is>
      </c>
      <c r="C561" t="n">
        <v>1</v>
      </c>
      <c r="D561" t="inlineStr">
        <is>
          <t>Critical Damage %</t>
        </is>
      </c>
      <c r="E561" t="n">
        <v>50</v>
      </c>
      <c r="F561" t="n">
        <v>1</v>
      </c>
      <c r="G561" t="b">
        <v>1</v>
      </c>
      <c r="H561">
        <f>Sensitivity!H18</f>
        <v/>
      </c>
    </row>
    <row r="562">
      <c r="A562" t="inlineStr">
        <is>
          <t>gloves</t>
        </is>
      </c>
      <c r="B562" t="inlineStr">
        <is>
          <t>mystic</t>
        </is>
      </c>
      <c r="C562" t="n">
        <v>2</v>
      </c>
      <c r="D562" t="inlineStr">
        <is>
          <t>Critical Damage %</t>
        </is>
      </c>
      <c r="E562" t="n">
        <v>50</v>
      </c>
      <c r="F562" t="n">
        <v>0.24</v>
      </c>
      <c r="G562" t="b">
        <v>1</v>
      </c>
      <c r="H562">
        <f>Sensitivity!H18</f>
        <v/>
      </c>
    </row>
    <row r="563">
      <c r="A563" t="inlineStr">
        <is>
          <t>gloves</t>
        </is>
      </c>
      <c r="B563" t="inlineStr">
        <is>
          <t>mystic</t>
        </is>
      </c>
      <c r="C563" t="n">
        <v>2</v>
      </c>
      <c r="D563" t="inlineStr">
        <is>
          <t>Critical Damage %</t>
        </is>
      </c>
      <c r="E563" t="n">
        <v>30</v>
      </c>
      <c r="F563" t="n">
        <v>0.76</v>
      </c>
      <c r="G563" t="b">
        <v>0</v>
      </c>
      <c r="H563">
        <f>Sensitivity!H18</f>
        <v/>
      </c>
    </row>
    <row r="564">
      <c r="A564" t="inlineStr">
        <is>
          <t>gloves</t>
        </is>
      </c>
      <c r="B564" t="inlineStr">
        <is>
          <t>mystic</t>
        </is>
      </c>
      <c r="C564" t="n">
        <v>3</v>
      </c>
      <c r="D564" t="inlineStr">
        <is>
          <t>Critical Damage %</t>
        </is>
      </c>
      <c r="E564" t="n">
        <v>50</v>
      </c>
      <c r="F564" t="n">
        <v>0.08</v>
      </c>
      <c r="G564" t="b">
        <v>1</v>
      </c>
      <c r="H564">
        <f>Sensitivity!H18</f>
        <v/>
      </c>
    </row>
    <row r="565">
      <c r="A565" t="inlineStr">
        <is>
          <t>gloves</t>
        </is>
      </c>
      <c r="B565" t="inlineStr">
        <is>
          <t>mystic</t>
        </is>
      </c>
      <c r="C565" t="n">
        <v>3</v>
      </c>
      <c r="D565" t="inlineStr">
        <is>
          <t>Critical Damage %</t>
        </is>
      </c>
      <c r="E565" t="n">
        <v>30</v>
      </c>
      <c r="F565" t="n">
        <v>0.92</v>
      </c>
      <c r="G565" t="b">
        <v>0</v>
      </c>
      <c r="H565">
        <f>Sensitivity!H18</f>
        <v/>
      </c>
    </row>
    <row r="566">
      <c r="A566" t="inlineStr">
        <is>
          <t>boots</t>
        </is>
      </c>
      <c r="B566" t="inlineStr">
        <is>
          <t>epic</t>
        </is>
      </c>
      <c r="C566" t="n">
        <v>1</v>
      </c>
      <c r="D566" t="inlineStr">
        <is>
          <t>Companion Summoning Time Increase %</t>
        </is>
      </c>
      <c r="E566" t="n">
        <v>5</v>
      </c>
      <c r="F566" t="n">
        <v>1</v>
      </c>
      <c r="G566" t="b">
        <v>1</v>
      </c>
      <c r="H566">
        <f>Sensitivity!H18</f>
        <v/>
      </c>
    </row>
    <row r="567">
      <c r="A567" t="inlineStr">
        <is>
          <t>boots</t>
        </is>
      </c>
      <c r="B567" t="inlineStr">
        <is>
          <t>epic</t>
        </is>
      </c>
      <c r="C567" t="n">
        <v>2</v>
      </c>
      <c r="D567" t="inlineStr">
        <is>
          <t>Companion Summoning Time Increase %</t>
        </is>
      </c>
      <c r="E567" t="n">
        <v>5</v>
      </c>
      <c r="F567" t="n">
        <v>0.24</v>
      </c>
      <c r="G567" t="b">
        <v>1</v>
      </c>
      <c r="H567">
        <f>Sensitivity!H18</f>
        <v/>
      </c>
    </row>
    <row r="568">
      <c r="A568" t="inlineStr">
        <is>
          <t>boots</t>
        </is>
      </c>
      <c r="B568" t="inlineStr">
        <is>
          <t>epic</t>
        </is>
      </c>
      <c r="C568" t="n">
        <v>3</v>
      </c>
      <c r="D568" t="inlineStr">
        <is>
          <t>Companion Summoning Time Increase %</t>
        </is>
      </c>
      <c r="E568" t="n">
        <v>5</v>
      </c>
      <c r="F568" t="n">
        <v>0.08</v>
      </c>
      <c r="G568" t="b">
        <v>1</v>
      </c>
      <c r="H568">
        <f>Sensitivity!H18</f>
        <v/>
      </c>
    </row>
    <row r="569">
      <c r="A569" t="inlineStr">
        <is>
          <t>boots</t>
        </is>
      </c>
      <c r="B569" t="inlineStr">
        <is>
          <t>unique</t>
        </is>
      </c>
      <c r="C569" t="n">
        <v>1</v>
      </c>
      <c r="D569" t="inlineStr">
        <is>
          <t>Companion Summoning Time Increase %</t>
        </is>
      </c>
      <c r="E569" t="n">
        <v>8</v>
      </c>
      <c r="F569" t="n">
        <v>1</v>
      </c>
      <c r="G569" t="b">
        <v>1</v>
      </c>
      <c r="H569">
        <f>Sensitivity!H18</f>
        <v/>
      </c>
    </row>
    <row r="570">
      <c r="A570" t="inlineStr">
        <is>
          <t>boots</t>
        </is>
      </c>
      <c r="B570" t="inlineStr">
        <is>
          <t>unique</t>
        </is>
      </c>
      <c r="C570" t="n">
        <v>2</v>
      </c>
      <c r="D570" t="inlineStr">
        <is>
          <t>Companion Summoning Time Increase %</t>
        </is>
      </c>
      <c r="E570" t="n">
        <v>8</v>
      </c>
      <c r="F570" t="n">
        <v>0.24</v>
      </c>
      <c r="G570" t="b">
        <v>1</v>
      </c>
      <c r="H570">
        <f>Sensitivity!H18</f>
        <v/>
      </c>
    </row>
    <row r="571">
      <c r="A571" t="inlineStr">
        <is>
          <t>boots</t>
        </is>
      </c>
      <c r="B571" t="inlineStr">
        <is>
          <t>unique</t>
        </is>
      </c>
      <c r="C571" t="n">
        <v>2</v>
      </c>
      <c r="D571" t="inlineStr">
        <is>
          <t>Companion Summoning Time Increase %</t>
        </is>
      </c>
      <c r="E571" t="n">
        <v>5</v>
      </c>
      <c r="F571" t="n">
        <v>0.76</v>
      </c>
      <c r="G571" t="b">
        <v>0</v>
      </c>
      <c r="H571">
        <f>Sensitivity!H18</f>
        <v/>
      </c>
    </row>
    <row r="572">
      <c r="A572" t="inlineStr">
        <is>
          <t>boots</t>
        </is>
      </c>
      <c r="B572" t="inlineStr">
        <is>
          <t>unique</t>
        </is>
      </c>
      <c r="C572" t="n">
        <v>3</v>
      </c>
      <c r="D572" t="inlineStr">
        <is>
          <t>Companion Summoning Time Increase %</t>
        </is>
      </c>
      <c r="E572" t="n">
        <v>8</v>
      </c>
      <c r="F572" t="n">
        <v>0.08</v>
      </c>
      <c r="G572" t="b">
        <v>1</v>
      </c>
      <c r="H572">
        <f>Sensitivity!H18</f>
        <v/>
      </c>
    </row>
    <row r="573">
      <c r="A573" t="inlineStr">
        <is>
          <t>boots</t>
        </is>
      </c>
      <c r="B573" t="inlineStr">
        <is>
          <t>unique</t>
        </is>
      </c>
      <c r="C573" t="n">
        <v>3</v>
      </c>
      <c r="D573" t="inlineStr">
        <is>
          <t>Companion Summoning Time Increase %</t>
        </is>
      </c>
      <c r="E573" t="n">
        <v>5</v>
      </c>
      <c r="F573" t="n">
        <v>0.92</v>
      </c>
      <c r="G573" t="b">
        <v>0</v>
      </c>
      <c r="H573">
        <f>Sensitivity!H18</f>
        <v/>
      </c>
    </row>
    <row r="574">
      <c r="A574" t="inlineStr">
        <is>
          <t>boots</t>
        </is>
      </c>
      <c r="B574" t="inlineStr">
        <is>
          <t>legendary</t>
        </is>
      </c>
      <c r="C574" t="n">
        <v>1</v>
      </c>
      <c r="D574" t="inlineStr">
        <is>
          <t>Companion Summoning Time Increase %</t>
        </is>
      </c>
      <c r="E574" t="n">
        <v>12</v>
      </c>
      <c r="F574" t="n">
        <v>1</v>
      </c>
      <c r="G574" t="b">
        <v>1</v>
      </c>
      <c r="H574">
        <f>Sensitivity!H18</f>
        <v/>
      </c>
    </row>
    <row r="575">
      <c r="A575" t="inlineStr">
        <is>
          <t>boots</t>
        </is>
      </c>
      <c r="B575" t="inlineStr">
        <is>
          <t>legendary</t>
        </is>
      </c>
      <c r="C575" t="n">
        <v>2</v>
      </c>
      <c r="D575" t="inlineStr">
        <is>
          <t>Companion Summoning Time Increase %</t>
        </is>
      </c>
      <c r="E575" t="n">
        <v>12</v>
      </c>
      <c r="F575" t="n">
        <v>0.24</v>
      </c>
      <c r="G575" t="b">
        <v>1</v>
      </c>
      <c r="H575">
        <f>Sensitivity!H18</f>
        <v/>
      </c>
    </row>
    <row r="576">
      <c r="A576" t="inlineStr">
        <is>
          <t>boots</t>
        </is>
      </c>
      <c r="B576" t="inlineStr">
        <is>
          <t>legendary</t>
        </is>
      </c>
      <c r="C576" t="n">
        <v>2</v>
      </c>
      <c r="D576" t="inlineStr">
        <is>
          <t>Companion Summoning Time Increase %</t>
        </is>
      </c>
      <c r="E576" t="n">
        <v>8</v>
      </c>
      <c r="F576" t="n">
        <v>0.76</v>
      </c>
      <c r="G576" t="b">
        <v>0</v>
      </c>
      <c r="H576">
        <f>Sensitivity!H18</f>
        <v/>
      </c>
    </row>
    <row r="577">
      <c r="A577" t="inlineStr">
        <is>
          <t>boots</t>
        </is>
      </c>
      <c r="B577" t="inlineStr">
        <is>
          <t>legendary</t>
        </is>
      </c>
      <c r="C577" t="n">
        <v>3</v>
      </c>
      <c r="D577" t="inlineStr">
        <is>
          <t>Companion Summoning Time Increase %</t>
        </is>
      </c>
      <c r="E577" t="n">
        <v>12</v>
      </c>
      <c r="F577" t="n">
        <v>0.08</v>
      </c>
      <c r="G577" t="b">
        <v>1</v>
      </c>
      <c r="H577">
        <f>Sensitivity!H18</f>
        <v/>
      </c>
    </row>
    <row r="578">
      <c r="A578" t="inlineStr">
        <is>
          <t>boots</t>
        </is>
      </c>
      <c r="B578" t="inlineStr">
        <is>
          <t>legendary</t>
        </is>
      </c>
      <c r="C578" t="n">
        <v>3</v>
      </c>
      <c r="D578" t="inlineStr">
        <is>
          <t>Companion Summoning Time Increase %</t>
        </is>
      </c>
      <c r="E578" t="n">
        <v>8</v>
      </c>
      <c r="F578" t="n">
        <v>0.92</v>
      </c>
      <c r="G578" t="b">
        <v>0</v>
      </c>
      <c r="H578">
        <f>Sensitivity!H18</f>
        <v/>
      </c>
    </row>
    <row r="579">
      <c r="A579" t="inlineStr">
        <is>
          <t>boots</t>
        </is>
      </c>
      <c r="B579" t="inlineStr">
        <is>
          <t>mystic</t>
        </is>
      </c>
      <c r="C579" t="n">
        <v>1</v>
      </c>
      <c r="D579" t="inlineStr">
        <is>
          <t>Companion Summoning Time Increase %</t>
        </is>
      </c>
      <c r="E579" t="n">
        <v>20</v>
      </c>
      <c r="F579" t="n">
        <v>1</v>
      </c>
      <c r="G579" t="b">
        <v>1</v>
      </c>
      <c r="H579">
        <f>Sensitivity!H18</f>
        <v/>
      </c>
    </row>
    <row r="580">
      <c r="A580" t="inlineStr">
        <is>
          <t>boots</t>
        </is>
      </c>
      <c r="B580" t="inlineStr">
        <is>
          <t>mystic</t>
        </is>
      </c>
      <c r="C580" t="n">
        <v>2</v>
      </c>
      <c r="D580" t="inlineStr">
        <is>
          <t>Companion Summoning Time Increase %</t>
        </is>
      </c>
      <c r="E580" t="n">
        <v>20</v>
      </c>
      <c r="F580" t="n">
        <v>0.24</v>
      </c>
      <c r="G580" t="b">
        <v>1</v>
      </c>
      <c r="H580">
        <f>Sensitivity!H18</f>
        <v/>
      </c>
    </row>
    <row r="581">
      <c r="A581" t="inlineStr">
        <is>
          <t>boots</t>
        </is>
      </c>
      <c r="B581" t="inlineStr">
        <is>
          <t>mystic</t>
        </is>
      </c>
      <c r="C581" t="n">
        <v>2</v>
      </c>
      <c r="D581" t="inlineStr">
        <is>
          <t>Companion Summoning Time Increase %</t>
        </is>
      </c>
      <c r="E581" t="n">
        <v>12</v>
      </c>
      <c r="F581" t="n">
        <v>0.76</v>
      </c>
      <c r="G581" t="b">
        <v>0</v>
      </c>
      <c r="H581">
        <f>Sensitivity!H18</f>
        <v/>
      </c>
    </row>
    <row r="582">
      <c r="A582" t="inlineStr">
        <is>
          <t>boots</t>
        </is>
      </c>
      <c r="B582" t="inlineStr">
        <is>
          <t>mystic</t>
        </is>
      </c>
      <c r="C582" t="n">
        <v>3</v>
      </c>
      <c r="D582" t="inlineStr">
        <is>
          <t>Companion Summoning Time Increase %</t>
        </is>
      </c>
      <c r="E582" t="n">
        <v>20</v>
      </c>
      <c r="F582" t="n">
        <v>0.08</v>
      </c>
      <c r="G582" t="b">
        <v>1</v>
      </c>
      <c r="H582">
        <f>Sensitivity!H18</f>
        <v/>
      </c>
    </row>
    <row r="583">
      <c r="A583" t="inlineStr">
        <is>
          <t>boots</t>
        </is>
      </c>
      <c r="B583" t="inlineStr">
        <is>
          <t>mystic</t>
        </is>
      </c>
      <c r="C583" t="n">
        <v>3</v>
      </c>
      <c r="D583" t="inlineStr">
        <is>
          <t>Companion Summoning Time Increase %</t>
        </is>
      </c>
      <c r="E583" t="n">
        <v>12</v>
      </c>
      <c r="F583" t="n">
        <v>0.92</v>
      </c>
      <c r="G583" t="b">
        <v>0</v>
      </c>
      <c r="H583">
        <f>Sensitivity!H18</f>
        <v/>
      </c>
    </row>
    <row r="584">
      <c r="A584" t="inlineStr">
        <is>
          <t>ring</t>
        </is>
      </c>
      <c r="B584" t="inlineStr">
        <is>
          <t>epic</t>
        </is>
      </c>
      <c r="C584" t="n">
        <v>1</v>
      </c>
      <c r="D584" t="inlineStr">
        <is>
          <t>All Skill Level</t>
        </is>
      </c>
      <c r="E584" t="n">
        <v>5</v>
      </c>
      <c r="F584" t="n">
        <v>1</v>
      </c>
      <c r="G584" t="b">
        <v>1</v>
      </c>
      <c r="H584">
        <f>Sensitivity!H27</f>
        <v/>
      </c>
    </row>
    <row r="585">
      <c r="A585" t="inlineStr">
        <is>
          <t>ring</t>
        </is>
      </c>
      <c r="B585" t="inlineStr">
        <is>
          <t>epic</t>
        </is>
      </c>
      <c r="C585" t="n">
        <v>2</v>
      </c>
      <c r="D585" t="inlineStr">
        <is>
          <t>All Skill Level</t>
        </is>
      </c>
      <c r="E585" t="n">
        <v>5</v>
      </c>
      <c r="F585" t="n">
        <v>0.24</v>
      </c>
      <c r="G585" t="b">
        <v>1</v>
      </c>
      <c r="H585">
        <f>Sensitivity!H27</f>
        <v/>
      </c>
    </row>
    <row r="586">
      <c r="A586" t="inlineStr">
        <is>
          <t>ring</t>
        </is>
      </c>
      <c r="B586" t="inlineStr">
        <is>
          <t>epic</t>
        </is>
      </c>
      <c r="C586" t="n">
        <v>3</v>
      </c>
      <c r="D586" t="inlineStr">
        <is>
          <t>All Skill Level</t>
        </is>
      </c>
      <c r="E586" t="n">
        <v>5</v>
      </c>
      <c r="F586" t="n">
        <v>0.08</v>
      </c>
      <c r="G586" t="b">
        <v>1</v>
      </c>
      <c r="H586">
        <f>Sensitivity!H27</f>
        <v/>
      </c>
    </row>
    <row r="587">
      <c r="A587" t="inlineStr">
        <is>
          <t>ring</t>
        </is>
      </c>
      <c r="B587" t="inlineStr">
        <is>
          <t>unique</t>
        </is>
      </c>
      <c r="C587" t="n">
        <v>1</v>
      </c>
      <c r="D587" t="inlineStr">
        <is>
          <t>All Skill Level</t>
        </is>
      </c>
      <c r="E587" t="n">
        <v>8</v>
      </c>
      <c r="F587" t="n">
        <v>1</v>
      </c>
      <c r="G587" t="b">
        <v>1</v>
      </c>
      <c r="H587">
        <f>Sensitivity!H27</f>
        <v/>
      </c>
    </row>
    <row r="588">
      <c r="A588" t="inlineStr">
        <is>
          <t>ring</t>
        </is>
      </c>
      <c r="B588" t="inlineStr">
        <is>
          <t>unique</t>
        </is>
      </c>
      <c r="C588" t="n">
        <v>2</v>
      </c>
      <c r="D588" t="inlineStr">
        <is>
          <t>All Skill Level</t>
        </is>
      </c>
      <c r="E588" t="n">
        <v>8</v>
      </c>
      <c r="F588" t="n">
        <v>0.24</v>
      </c>
      <c r="G588" t="b">
        <v>1</v>
      </c>
      <c r="H588">
        <f>Sensitivity!H27</f>
        <v/>
      </c>
    </row>
    <row r="589">
      <c r="A589" t="inlineStr">
        <is>
          <t>ring</t>
        </is>
      </c>
      <c r="B589" t="inlineStr">
        <is>
          <t>unique</t>
        </is>
      </c>
      <c r="C589" t="n">
        <v>2</v>
      </c>
      <c r="D589" t="inlineStr">
        <is>
          <t>All Skill Level</t>
        </is>
      </c>
      <c r="E589" t="n">
        <v>5</v>
      </c>
      <c r="F589" t="n">
        <v>0.76</v>
      </c>
      <c r="G589" t="b">
        <v>0</v>
      </c>
      <c r="H589">
        <f>Sensitivity!H27</f>
        <v/>
      </c>
    </row>
    <row r="590">
      <c r="A590" t="inlineStr">
        <is>
          <t>ring</t>
        </is>
      </c>
      <c r="B590" t="inlineStr">
        <is>
          <t>unique</t>
        </is>
      </c>
      <c r="C590" t="n">
        <v>3</v>
      </c>
      <c r="D590" t="inlineStr">
        <is>
          <t>All Skill Level</t>
        </is>
      </c>
      <c r="E590" t="n">
        <v>8</v>
      </c>
      <c r="F590" t="n">
        <v>0.08</v>
      </c>
      <c r="G590" t="b">
        <v>1</v>
      </c>
      <c r="H590">
        <f>Sensitivity!H27</f>
        <v/>
      </c>
    </row>
    <row r="591">
      <c r="A591" t="inlineStr">
        <is>
          <t>ring</t>
        </is>
      </c>
      <c r="B591" t="inlineStr">
        <is>
          <t>unique</t>
        </is>
      </c>
      <c r="C591" t="n">
        <v>3</v>
      </c>
      <c r="D591" t="inlineStr">
        <is>
          <t>All Skill Level</t>
        </is>
      </c>
      <c r="E591" t="n">
        <v>5</v>
      </c>
      <c r="F591" t="n">
        <v>0.92</v>
      </c>
      <c r="G591" t="b">
        <v>0</v>
      </c>
      <c r="H591">
        <f>Sensitivity!H27</f>
        <v/>
      </c>
    </row>
    <row r="592">
      <c r="A592" t="inlineStr">
        <is>
          <t>ring</t>
        </is>
      </c>
      <c r="B592" t="inlineStr">
        <is>
          <t>legendary</t>
        </is>
      </c>
      <c r="C592" t="n">
        <v>1</v>
      </c>
      <c r="D592" t="inlineStr">
        <is>
          <t>All Skill Level</t>
        </is>
      </c>
      <c r="E592" t="n">
        <v>12</v>
      </c>
      <c r="F592" t="n">
        <v>1</v>
      </c>
      <c r="G592" t="b">
        <v>1</v>
      </c>
      <c r="H592">
        <f>Sensitivity!H27</f>
        <v/>
      </c>
    </row>
    <row r="593">
      <c r="A593" t="inlineStr">
        <is>
          <t>ring</t>
        </is>
      </c>
      <c r="B593" t="inlineStr">
        <is>
          <t>legendary</t>
        </is>
      </c>
      <c r="C593" t="n">
        <v>2</v>
      </c>
      <c r="D593" t="inlineStr">
        <is>
          <t>All Skill Level</t>
        </is>
      </c>
      <c r="E593" t="n">
        <v>12</v>
      </c>
      <c r="F593" t="n">
        <v>0.24</v>
      </c>
      <c r="G593" t="b">
        <v>1</v>
      </c>
      <c r="H593">
        <f>Sensitivity!H27</f>
        <v/>
      </c>
    </row>
    <row r="594">
      <c r="A594" t="inlineStr">
        <is>
          <t>ring</t>
        </is>
      </c>
      <c r="B594" t="inlineStr">
        <is>
          <t>legendary</t>
        </is>
      </c>
      <c r="C594" t="n">
        <v>2</v>
      </c>
      <c r="D594" t="inlineStr">
        <is>
          <t>All Skill Level</t>
        </is>
      </c>
      <c r="E594" t="n">
        <v>8</v>
      </c>
      <c r="F594" t="n">
        <v>0.76</v>
      </c>
      <c r="G594" t="b">
        <v>0</v>
      </c>
      <c r="H594">
        <f>Sensitivity!H27</f>
        <v/>
      </c>
    </row>
    <row r="595">
      <c r="A595" t="inlineStr">
        <is>
          <t>ring</t>
        </is>
      </c>
      <c r="B595" t="inlineStr">
        <is>
          <t>legendary</t>
        </is>
      </c>
      <c r="C595" t="n">
        <v>3</v>
      </c>
      <c r="D595" t="inlineStr">
        <is>
          <t>All Skill Level</t>
        </is>
      </c>
      <c r="E595" t="n">
        <v>12</v>
      </c>
      <c r="F595" t="n">
        <v>0.08</v>
      </c>
      <c r="G595" t="b">
        <v>1</v>
      </c>
      <c r="H595">
        <f>Sensitivity!H27</f>
        <v/>
      </c>
    </row>
    <row r="596">
      <c r="A596" t="inlineStr">
        <is>
          <t>ring</t>
        </is>
      </c>
      <c r="B596" t="inlineStr">
        <is>
          <t>legendary</t>
        </is>
      </c>
      <c r="C596" t="n">
        <v>3</v>
      </c>
      <c r="D596" t="inlineStr">
        <is>
          <t>All Skill Level</t>
        </is>
      </c>
      <c r="E596" t="n">
        <v>8</v>
      </c>
      <c r="F596" t="n">
        <v>0.92</v>
      </c>
      <c r="G596" t="b">
        <v>0</v>
      </c>
      <c r="H596">
        <f>Sensitivity!H27</f>
        <v/>
      </c>
    </row>
    <row r="597">
      <c r="A597" t="inlineStr">
        <is>
          <t>ring</t>
        </is>
      </c>
      <c r="B597" t="inlineStr">
        <is>
          <t>mystic</t>
        </is>
      </c>
      <c r="C597" t="n">
        <v>1</v>
      </c>
      <c r="D597" t="inlineStr">
        <is>
          <t>All Skill Level</t>
        </is>
      </c>
      <c r="E597" t="n">
        <v>16</v>
      </c>
      <c r="F597" t="n">
        <v>1</v>
      </c>
      <c r="G597" t="b">
        <v>1</v>
      </c>
      <c r="H597">
        <f>Sensitivity!H27</f>
        <v/>
      </c>
    </row>
    <row r="598">
      <c r="A598" t="inlineStr">
        <is>
          <t>ring</t>
        </is>
      </c>
      <c r="B598" t="inlineStr">
        <is>
          <t>mystic</t>
        </is>
      </c>
      <c r="C598" t="n">
        <v>2</v>
      </c>
      <c r="D598" t="inlineStr">
        <is>
          <t>All Skill Level</t>
        </is>
      </c>
      <c r="E598" t="n">
        <v>16</v>
      </c>
      <c r="F598" t="n">
        <v>0.24</v>
      </c>
      <c r="G598" t="b">
        <v>1</v>
      </c>
      <c r="H598">
        <f>Sensitivity!H27</f>
        <v/>
      </c>
    </row>
    <row r="599">
      <c r="A599" t="inlineStr">
        <is>
          <t>ring</t>
        </is>
      </c>
      <c r="B599" t="inlineStr">
        <is>
          <t>mystic</t>
        </is>
      </c>
      <c r="C599" t="n">
        <v>2</v>
      </c>
      <c r="D599" t="inlineStr">
        <is>
          <t>All Skill Level</t>
        </is>
      </c>
      <c r="E599" t="n">
        <v>12</v>
      </c>
      <c r="F599" t="n">
        <v>0.76</v>
      </c>
      <c r="G599" t="b">
        <v>0</v>
      </c>
      <c r="H599">
        <f>Sensitivity!H27</f>
        <v/>
      </c>
    </row>
    <row r="600">
      <c r="A600" t="inlineStr">
        <is>
          <t>ring</t>
        </is>
      </c>
      <c r="B600" t="inlineStr">
        <is>
          <t>mystic</t>
        </is>
      </c>
      <c r="C600" t="n">
        <v>3</v>
      </c>
      <c r="D600" t="inlineStr">
        <is>
          <t>All Skill Level</t>
        </is>
      </c>
      <c r="E600" t="n">
        <v>16</v>
      </c>
      <c r="F600" t="n">
        <v>0.08</v>
      </c>
      <c r="G600" t="b">
        <v>1</v>
      </c>
      <c r="H600">
        <f>Sensitivity!H27</f>
        <v/>
      </c>
    </row>
    <row r="601">
      <c r="A601" t="inlineStr">
        <is>
          <t>ring</t>
        </is>
      </c>
      <c r="B601" t="inlineStr">
        <is>
          <t>mystic</t>
        </is>
      </c>
      <c r="C601" t="n">
        <v>3</v>
      </c>
      <c r="D601" t="inlineStr">
        <is>
          <t>All Skill Level</t>
        </is>
      </c>
      <c r="E601" t="n">
        <v>12</v>
      </c>
      <c r="F601" t="n">
        <v>0.92</v>
      </c>
      <c r="G601" t="b">
        <v>0</v>
      </c>
      <c r="H601">
        <f>Sensitivity!H27</f>
        <v/>
      </c>
    </row>
    <row r="602">
      <c r="A602" t="inlineStr">
        <is>
          <t>neck</t>
        </is>
      </c>
      <c r="B602" t="inlineStr">
        <is>
          <t>epic</t>
        </is>
      </c>
      <c r="C602" t="n">
        <v>1</v>
      </c>
      <c r="D602" t="inlineStr">
        <is>
          <t>All Skill Level</t>
        </is>
      </c>
      <c r="E602" t="n">
        <v>5</v>
      </c>
      <c r="F602" t="n">
        <v>1</v>
      </c>
      <c r="G602" t="b">
        <v>1</v>
      </c>
      <c r="H602">
        <f>Sensitivity!H27</f>
        <v/>
      </c>
    </row>
    <row r="603">
      <c r="A603" t="inlineStr">
        <is>
          <t>neck</t>
        </is>
      </c>
      <c r="B603" t="inlineStr">
        <is>
          <t>epic</t>
        </is>
      </c>
      <c r="C603" t="n">
        <v>2</v>
      </c>
      <c r="D603" t="inlineStr">
        <is>
          <t>All Skill Level</t>
        </is>
      </c>
      <c r="E603" t="n">
        <v>5</v>
      </c>
      <c r="F603" t="n">
        <v>0.24</v>
      </c>
      <c r="G603" t="b">
        <v>1</v>
      </c>
      <c r="H603">
        <f>Sensitivity!H27</f>
        <v/>
      </c>
    </row>
    <row r="604">
      <c r="A604" t="inlineStr">
        <is>
          <t>neck</t>
        </is>
      </c>
      <c r="B604" t="inlineStr">
        <is>
          <t>epic</t>
        </is>
      </c>
      <c r="C604" t="n">
        <v>3</v>
      </c>
      <c r="D604" t="inlineStr">
        <is>
          <t>All Skill Level</t>
        </is>
      </c>
      <c r="E604" t="n">
        <v>5</v>
      </c>
      <c r="F604" t="n">
        <v>0.08</v>
      </c>
      <c r="G604" t="b">
        <v>1</v>
      </c>
      <c r="H604">
        <f>Sensitivity!H27</f>
        <v/>
      </c>
    </row>
    <row r="605">
      <c r="A605" t="inlineStr">
        <is>
          <t>neck</t>
        </is>
      </c>
      <c r="B605" t="inlineStr">
        <is>
          <t>unique</t>
        </is>
      </c>
      <c r="C605" t="n">
        <v>1</v>
      </c>
      <c r="D605" t="inlineStr">
        <is>
          <t>All Skill Level</t>
        </is>
      </c>
      <c r="E605" t="n">
        <v>8</v>
      </c>
      <c r="F605" t="n">
        <v>1</v>
      </c>
      <c r="G605" t="b">
        <v>1</v>
      </c>
      <c r="H605">
        <f>Sensitivity!H27</f>
        <v/>
      </c>
    </row>
    <row r="606">
      <c r="A606" t="inlineStr">
        <is>
          <t>neck</t>
        </is>
      </c>
      <c r="B606" t="inlineStr">
        <is>
          <t>unique</t>
        </is>
      </c>
      <c r="C606" t="n">
        <v>2</v>
      </c>
      <c r="D606" t="inlineStr">
        <is>
          <t>All Skill Level</t>
        </is>
      </c>
      <c r="E606" t="n">
        <v>8</v>
      </c>
      <c r="F606" t="n">
        <v>0.24</v>
      </c>
      <c r="G606" t="b">
        <v>1</v>
      </c>
      <c r="H606">
        <f>Sensitivity!H27</f>
        <v/>
      </c>
    </row>
    <row r="607">
      <c r="A607" t="inlineStr">
        <is>
          <t>neck</t>
        </is>
      </c>
      <c r="B607" t="inlineStr">
        <is>
          <t>unique</t>
        </is>
      </c>
      <c r="C607" t="n">
        <v>2</v>
      </c>
      <c r="D607" t="inlineStr">
        <is>
          <t>All Skill Level</t>
        </is>
      </c>
      <c r="E607" t="n">
        <v>5</v>
      </c>
      <c r="F607" t="n">
        <v>0.76</v>
      </c>
      <c r="G607" t="b">
        <v>0</v>
      </c>
      <c r="H607">
        <f>Sensitivity!H27</f>
        <v/>
      </c>
    </row>
    <row r="608">
      <c r="A608" t="inlineStr">
        <is>
          <t>neck</t>
        </is>
      </c>
      <c r="B608" t="inlineStr">
        <is>
          <t>unique</t>
        </is>
      </c>
      <c r="C608" t="n">
        <v>3</v>
      </c>
      <c r="D608" t="inlineStr">
        <is>
          <t>All Skill Level</t>
        </is>
      </c>
      <c r="E608" t="n">
        <v>8</v>
      </c>
      <c r="F608" t="n">
        <v>0.08</v>
      </c>
      <c r="G608" t="b">
        <v>1</v>
      </c>
      <c r="H608">
        <f>Sensitivity!H27</f>
        <v/>
      </c>
    </row>
    <row r="609">
      <c r="A609" t="inlineStr">
        <is>
          <t>neck</t>
        </is>
      </c>
      <c r="B609" t="inlineStr">
        <is>
          <t>unique</t>
        </is>
      </c>
      <c r="C609" t="n">
        <v>3</v>
      </c>
      <c r="D609" t="inlineStr">
        <is>
          <t>All Skill Level</t>
        </is>
      </c>
      <c r="E609" t="n">
        <v>5</v>
      </c>
      <c r="F609" t="n">
        <v>0.92</v>
      </c>
      <c r="G609" t="b">
        <v>0</v>
      </c>
      <c r="H609">
        <f>Sensitivity!H27</f>
        <v/>
      </c>
    </row>
    <row r="610">
      <c r="A610" t="inlineStr">
        <is>
          <t>neck</t>
        </is>
      </c>
      <c r="B610" t="inlineStr">
        <is>
          <t>legendary</t>
        </is>
      </c>
      <c r="C610" t="n">
        <v>1</v>
      </c>
      <c r="D610" t="inlineStr">
        <is>
          <t>All Skill Level</t>
        </is>
      </c>
      <c r="E610" t="n">
        <v>12</v>
      </c>
      <c r="F610" t="n">
        <v>1</v>
      </c>
      <c r="G610" t="b">
        <v>1</v>
      </c>
      <c r="H610">
        <f>Sensitivity!H27</f>
        <v/>
      </c>
    </row>
    <row r="611">
      <c r="A611" t="inlineStr">
        <is>
          <t>neck</t>
        </is>
      </c>
      <c r="B611" t="inlineStr">
        <is>
          <t>legendary</t>
        </is>
      </c>
      <c r="C611" t="n">
        <v>2</v>
      </c>
      <c r="D611" t="inlineStr">
        <is>
          <t>All Skill Level</t>
        </is>
      </c>
      <c r="E611" t="n">
        <v>12</v>
      </c>
      <c r="F611" t="n">
        <v>0.24</v>
      </c>
      <c r="G611" t="b">
        <v>1</v>
      </c>
      <c r="H611">
        <f>Sensitivity!H27</f>
        <v/>
      </c>
    </row>
    <row r="612">
      <c r="A612" t="inlineStr">
        <is>
          <t>neck</t>
        </is>
      </c>
      <c r="B612" t="inlineStr">
        <is>
          <t>legendary</t>
        </is>
      </c>
      <c r="C612" t="n">
        <v>2</v>
      </c>
      <c r="D612" t="inlineStr">
        <is>
          <t>All Skill Level</t>
        </is>
      </c>
      <c r="E612" t="n">
        <v>8</v>
      </c>
      <c r="F612" t="n">
        <v>0.76</v>
      </c>
      <c r="G612" t="b">
        <v>0</v>
      </c>
      <c r="H612">
        <f>Sensitivity!H27</f>
        <v/>
      </c>
    </row>
    <row r="613">
      <c r="A613" t="inlineStr">
        <is>
          <t>neck</t>
        </is>
      </c>
      <c r="B613" t="inlineStr">
        <is>
          <t>legendary</t>
        </is>
      </c>
      <c r="C613" t="n">
        <v>3</v>
      </c>
      <c r="D613" t="inlineStr">
        <is>
          <t>All Skill Level</t>
        </is>
      </c>
      <c r="E613" t="n">
        <v>12</v>
      </c>
      <c r="F613" t="n">
        <v>0.08</v>
      </c>
      <c r="G613" t="b">
        <v>1</v>
      </c>
      <c r="H613">
        <f>Sensitivity!H27</f>
        <v/>
      </c>
    </row>
    <row r="614">
      <c r="A614" t="inlineStr">
        <is>
          <t>neck</t>
        </is>
      </c>
      <c r="B614" t="inlineStr">
        <is>
          <t>legendary</t>
        </is>
      </c>
      <c r="C614" t="n">
        <v>3</v>
      </c>
      <c r="D614" t="inlineStr">
        <is>
          <t>All Skill Level</t>
        </is>
      </c>
      <c r="E614" t="n">
        <v>8</v>
      </c>
      <c r="F614" t="n">
        <v>0.92</v>
      </c>
      <c r="G614" t="b">
        <v>0</v>
      </c>
      <c r="H614">
        <f>Sensitivity!H27</f>
        <v/>
      </c>
    </row>
    <row r="615">
      <c r="A615" t="inlineStr">
        <is>
          <t>neck</t>
        </is>
      </c>
      <c r="B615" t="inlineStr">
        <is>
          <t>mystic</t>
        </is>
      </c>
      <c r="C615" t="n">
        <v>1</v>
      </c>
      <c r="D615" t="inlineStr">
        <is>
          <t>All Skill Level</t>
        </is>
      </c>
      <c r="E615" t="n">
        <v>16</v>
      </c>
      <c r="F615" t="n">
        <v>1</v>
      </c>
      <c r="G615" t="b">
        <v>1</v>
      </c>
      <c r="H615">
        <f>Sensitivity!H27</f>
        <v/>
      </c>
    </row>
    <row r="616">
      <c r="A616" t="inlineStr">
        <is>
          <t>neck</t>
        </is>
      </c>
      <c r="B616" t="inlineStr">
        <is>
          <t>mystic</t>
        </is>
      </c>
      <c r="C616" t="n">
        <v>2</v>
      </c>
      <c r="D616" t="inlineStr">
        <is>
          <t>All Skill Level</t>
        </is>
      </c>
      <c r="E616" t="n">
        <v>16</v>
      </c>
      <c r="F616" t="n">
        <v>0.24</v>
      </c>
      <c r="G616" t="b">
        <v>1</v>
      </c>
      <c r="H616">
        <f>Sensitivity!H27</f>
        <v/>
      </c>
    </row>
    <row r="617">
      <c r="A617" t="inlineStr">
        <is>
          <t>neck</t>
        </is>
      </c>
      <c r="B617" t="inlineStr">
        <is>
          <t>mystic</t>
        </is>
      </c>
      <c r="C617" t="n">
        <v>2</v>
      </c>
      <c r="D617" t="inlineStr">
        <is>
          <t>All Skill Level</t>
        </is>
      </c>
      <c r="E617" t="n">
        <v>12</v>
      </c>
      <c r="F617" t="n">
        <v>0.76</v>
      </c>
      <c r="G617" t="b">
        <v>0</v>
      </c>
      <c r="H617">
        <f>Sensitivity!H27</f>
        <v/>
      </c>
    </row>
    <row r="618">
      <c r="A618" t="inlineStr">
        <is>
          <t>neck</t>
        </is>
      </c>
      <c r="B618" t="inlineStr">
        <is>
          <t>mystic</t>
        </is>
      </c>
      <c r="C618" t="n">
        <v>3</v>
      </c>
      <c r="D618" t="inlineStr">
        <is>
          <t>All Skill Level</t>
        </is>
      </c>
      <c r="E618" t="n">
        <v>16</v>
      </c>
      <c r="F618" t="n">
        <v>0.08</v>
      </c>
      <c r="G618" t="b">
        <v>1</v>
      </c>
      <c r="H618">
        <f>Sensitivity!H27</f>
        <v/>
      </c>
    </row>
    <row r="619">
      <c r="A619" t="inlineStr">
        <is>
          <t>neck</t>
        </is>
      </c>
      <c r="B619" t="inlineStr">
        <is>
          <t>mystic</t>
        </is>
      </c>
      <c r="C619" t="n">
        <v>3</v>
      </c>
      <c r="D619" t="inlineStr">
        <is>
          <t>All Skill Level</t>
        </is>
      </c>
      <c r="E619" t="n">
        <v>12</v>
      </c>
      <c r="F619" t="n">
        <v>0.92</v>
      </c>
      <c r="G619" t="b">
        <v>0</v>
      </c>
      <c r="H619">
        <f>Sensitivity!H27</f>
        <v/>
      </c>
    </row>
    <row r="620">
      <c r="A620" t="inlineStr">
        <is>
          <t>eye-accessory</t>
        </is>
      </c>
      <c r="B620" t="inlineStr">
        <is>
          <t>epic</t>
        </is>
      </c>
      <c r="C620" t="n">
        <v>1</v>
      </c>
      <c r="D620" t="inlineStr">
        <is>
          <t>Main Stat Per Level</t>
        </is>
      </c>
      <c r="E620" t="n">
        <v>10</v>
      </c>
      <c r="F620" t="n">
        <v>1</v>
      </c>
      <c r="G620" t="b">
        <v>1</v>
      </c>
      <c r="H620">
        <f>Sensitivity!H5*Inputs!$B$3</f>
        <v/>
      </c>
    </row>
    <row r="621">
      <c r="A621" t="inlineStr">
        <is>
          <t>eye-accessory</t>
        </is>
      </c>
      <c r="B621" t="inlineStr">
        <is>
          <t>epic</t>
        </is>
      </c>
      <c r="C621" t="n">
        <v>2</v>
      </c>
      <c r="D621" t="inlineStr">
        <is>
          <t>Main Stat Per Level</t>
        </is>
      </c>
      <c r="E621" t="n">
        <v>10</v>
      </c>
      <c r="F621" t="n">
        <v>0.24</v>
      </c>
      <c r="G621" t="b">
        <v>1</v>
      </c>
      <c r="H621">
        <f>Sensitivity!H5*Inputs!$B$3</f>
        <v/>
      </c>
    </row>
    <row r="622">
      <c r="A622" t="inlineStr">
        <is>
          <t>eye-accessory</t>
        </is>
      </c>
      <c r="B622" t="inlineStr">
        <is>
          <t>epic</t>
        </is>
      </c>
      <c r="C622" t="n">
        <v>3</v>
      </c>
      <c r="D622" t="inlineStr">
        <is>
          <t>Main Stat Per Level</t>
        </is>
      </c>
      <c r="E622" t="n">
        <v>10</v>
      </c>
      <c r="F622" t="n">
        <v>0.08</v>
      </c>
      <c r="G622" t="b">
        <v>1</v>
      </c>
      <c r="H622">
        <f>Sensitivity!H5*Inputs!$B$3</f>
        <v/>
      </c>
    </row>
    <row r="623">
      <c r="A623" t="inlineStr">
        <is>
          <t>eye-accessory</t>
        </is>
      </c>
      <c r="B623" t="inlineStr">
        <is>
          <t>unique</t>
        </is>
      </c>
      <c r="C623" t="n">
        <v>1</v>
      </c>
      <c r="D623" t="inlineStr">
        <is>
          <t>Main Stat Per Level</t>
        </is>
      </c>
      <c r="E623" t="n">
        <v>20</v>
      </c>
      <c r="F623" t="n">
        <v>1</v>
      </c>
      <c r="G623" t="b">
        <v>1</v>
      </c>
      <c r="H623">
        <f>Sensitivity!H5*Inputs!$B$3</f>
        <v/>
      </c>
    </row>
    <row r="624">
      <c r="A624" t="inlineStr">
        <is>
          <t>eye-accessory</t>
        </is>
      </c>
      <c r="B624" t="inlineStr">
        <is>
          <t>unique</t>
        </is>
      </c>
      <c r="C624" t="n">
        <v>2</v>
      </c>
      <c r="D624" t="inlineStr">
        <is>
          <t>Main Stat Per Level</t>
        </is>
      </c>
      <c r="E624" t="n">
        <v>20</v>
      </c>
      <c r="F624" t="n">
        <v>0.24</v>
      </c>
      <c r="G624" t="b">
        <v>1</v>
      </c>
      <c r="H624">
        <f>Sensitivity!H5*Inputs!$B$3</f>
        <v/>
      </c>
    </row>
    <row r="625">
      <c r="A625" t="inlineStr">
        <is>
          <t>eye-accessory</t>
        </is>
      </c>
      <c r="B625" t="inlineStr">
        <is>
          <t>unique</t>
        </is>
      </c>
      <c r="C625" t="n">
        <v>2</v>
      </c>
      <c r="D625" t="inlineStr">
        <is>
          <t>Main Stat Per Level</t>
        </is>
      </c>
      <c r="E625" t="n">
        <v>10</v>
      </c>
      <c r="F625" t="n">
        <v>0.76</v>
      </c>
      <c r="G625" t="b">
        <v>0</v>
      </c>
      <c r="H625">
        <f>Sensitivity!H5*Inputs!$B$3</f>
        <v/>
      </c>
    </row>
    <row r="626">
      <c r="A626" t="inlineStr">
        <is>
          <t>eye-accessory</t>
        </is>
      </c>
      <c r="B626" t="inlineStr">
        <is>
          <t>unique</t>
        </is>
      </c>
      <c r="C626" t="n">
        <v>3</v>
      </c>
      <c r="D626" t="inlineStr">
        <is>
          <t>Main Stat Per Level</t>
        </is>
      </c>
      <c r="E626" t="n">
        <v>20</v>
      </c>
      <c r="F626" t="n">
        <v>0.08</v>
      </c>
      <c r="G626" t="b">
        <v>1</v>
      </c>
      <c r="H626">
        <f>Sensitivity!H5*Inputs!$B$3</f>
        <v/>
      </c>
    </row>
    <row r="627">
      <c r="A627" t="inlineStr">
        <is>
          <t>eye-accessory</t>
        </is>
      </c>
      <c r="B627" t="inlineStr">
        <is>
          <t>unique</t>
        </is>
      </c>
      <c r="C627" t="n">
        <v>3</v>
      </c>
      <c r="D627" t="inlineStr">
        <is>
          <t>Main Stat Per Level</t>
        </is>
      </c>
      <c r="E627" t="n">
        <v>10</v>
      </c>
      <c r="F627" t="n">
        <v>0.92</v>
      </c>
      <c r="G627" t="b">
        <v>0</v>
      </c>
      <c r="H627">
        <f>Sensitivity!H5*Inputs!$B$3</f>
        <v/>
      </c>
    </row>
    <row r="628">
      <c r="A628" t="inlineStr">
        <is>
          <t>eye-accessory</t>
        </is>
      </c>
      <c r="B628" t="inlineStr">
        <is>
          <t>legendary</t>
        </is>
      </c>
      <c r="C628" t="n">
        <v>1</v>
      </c>
      <c r="D628" t="inlineStr">
        <is>
          <t>Main Stat Per Level</t>
        </is>
      </c>
      <c r="E628" t="n">
        <v>35</v>
      </c>
      <c r="F628" t="n">
        <v>1</v>
      </c>
      <c r="G628" t="b">
        <v>1</v>
      </c>
      <c r="H628">
        <f>Sensitivity!H5*Inputs!$B$3</f>
        <v/>
      </c>
    </row>
    <row r="629">
      <c r="A629" t="inlineStr">
        <is>
          <t>eye-accessory</t>
        </is>
      </c>
      <c r="B629" t="inlineStr">
        <is>
          <t>legendary</t>
        </is>
      </c>
      <c r="C629" t="n">
        <v>2</v>
      </c>
      <c r="D629" t="inlineStr">
        <is>
          <t>Main Stat Per Level</t>
        </is>
      </c>
      <c r="E629" t="n">
        <v>35</v>
      </c>
      <c r="F629" t="n">
        <v>0.24</v>
      </c>
      <c r="G629" t="b">
        <v>1</v>
      </c>
      <c r="H629">
        <f>Sensitivity!H5*Inputs!$B$3</f>
        <v/>
      </c>
    </row>
    <row r="630">
      <c r="A630" t="inlineStr">
        <is>
          <t>eye-accessory</t>
        </is>
      </c>
      <c r="B630" t="inlineStr">
        <is>
          <t>legendary</t>
        </is>
      </c>
      <c r="C630" t="n">
        <v>2</v>
      </c>
      <c r="D630" t="inlineStr">
        <is>
          <t>Main Stat Per Level</t>
        </is>
      </c>
      <c r="E630" t="n">
        <v>20</v>
      </c>
      <c r="F630" t="n">
        <v>0.76</v>
      </c>
      <c r="G630" t="b">
        <v>0</v>
      </c>
      <c r="H630">
        <f>Sensitivity!H5*Inputs!$B$3</f>
        <v/>
      </c>
    </row>
    <row r="631">
      <c r="A631" t="inlineStr">
        <is>
          <t>eye-accessory</t>
        </is>
      </c>
      <c r="B631" t="inlineStr">
        <is>
          <t>legendary</t>
        </is>
      </c>
      <c r="C631" t="n">
        <v>3</v>
      </c>
      <c r="D631" t="inlineStr">
        <is>
          <t>Main Stat Per Level</t>
        </is>
      </c>
      <c r="E631" t="n">
        <v>35</v>
      </c>
      <c r="F631" t="n">
        <v>0.08</v>
      </c>
      <c r="G631" t="b">
        <v>1</v>
      </c>
      <c r="H631">
        <f>Sensitivity!H5*Inputs!$B$3</f>
        <v/>
      </c>
    </row>
    <row r="632">
      <c r="A632" t="inlineStr">
        <is>
          <t>eye-accessory</t>
        </is>
      </c>
      <c r="B632" t="inlineStr">
        <is>
          <t>legendary</t>
        </is>
      </c>
      <c r="C632" t="n">
        <v>3</v>
      </c>
      <c r="D632" t="inlineStr">
        <is>
          <t>Main Stat Per Level</t>
        </is>
      </c>
      <c r="E632" t="n">
        <v>20</v>
      </c>
      <c r="F632" t="n">
        <v>0.92</v>
      </c>
      <c r="G632" t="b">
        <v>0</v>
      </c>
      <c r="H632">
        <f>Sensitivity!H5*Inputs!$B$3</f>
        <v/>
      </c>
    </row>
    <row r="633">
      <c r="A633" t="inlineStr">
        <is>
          <t>eye-accessory</t>
        </is>
      </c>
      <c r="B633" t="inlineStr">
        <is>
          <t>mystic</t>
        </is>
      </c>
      <c r="C633" t="n">
        <v>1</v>
      </c>
      <c r="D633" t="inlineStr">
        <is>
          <t>Main Stat Per Level</t>
        </is>
      </c>
      <c r="E633" t="n">
        <v>50</v>
      </c>
      <c r="F633" t="n">
        <v>1</v>
      </c>
      <c r="G633" t="b">
        <v>1</v>
      </c>
      <c r="H633">
        <f>Sensitivity!H5*Inputs!$B$3</f>
        <v/>
      </c>
    </row>
    <row r="634">
      <c r="A634" t="inlineStr">
        <is>
          <t>eye-accessory</t>
        </is>
      </c>
      <c r="B634" t="inlineStr">
        <is>
          <t>mystic</t>
        </is>
      </c>
      <c r="C634" t="n">
        <v>2</v>
      </c>
      <c r="D634" t="inlineStr">
        <is>
          <t>Main Stat Per Level</t>
        </is>
      </c>
      <c r="E634" t="n">
        <v>50</v>
      </c>
      <c r="F634" t="n">
        <v>0.24</v>
      </c>
      <c r="G634" t="b">
        <v>1</v>
      </c>
      <c r="H634">
        <f>Sensitivity!H5*Inputs!$B$3</f>
        <v/>
      </c>
    </row>
    <row r="635">
      <c r="A635" t="inlineStr">
        <is>
          <t>eye-accessory</t>
        </is>
      </c>
      <c r="B635" t="inlineStr">
        <is>
          <t>mystic</t>
        </is>
      </c>
      <c r="C635" t="n">
        <v>2</v>
      </c>
      <c r="D635" t="inlineStr">
        <is>
          <t>Main Stat Per Level</t>
        </is>
      </c>
      <c r="E635" t="n">
        <v>35</v>
      </c>
      <c r="F635" t="n">
        <v>0.76</v>
      </c>
      <c r="G635" t="b">
        <v>0</v>
      </c>
      <c r="H635">
        <f>Sensitivity!H5*Inputs!$B$3</f>
        <v/>
      </c>
    </row>
    <row r="636">
      <c r="A636" t="inlineStr">
        <is>
          <t>eye-accessory</t>
        </is>
      </c>
      <c r="B636" t="inlineStr">
        <is>
          <t>mystic</t>
        </is>
      </c>
      <c r="C636" t="n">
        <v>3</v>
      </c>
      <c r="D636" t="inlineStr">
        <is>
          <t>Main Stat Per Level</t>
        </is>
      </c>
      <c r="E636" t="n">
        <v>50</v>
      </c>
      <c r="F636" t="n">
        <v>0.08</v>
      </c>
      <c r="G636" t="b">
        <v>1</v>
      </c>
      <c r="H636">
        <f>Sensitivity!H5*Inputs!$B$3</f>
        <v/>
      </c>
    </row>
    <row r="637">
      <c r="A637" t="inlineStr">
        <is>
          <t>eye-accessory</t>
        </is>
      </c>
      <c r="B637" t="inlineStr">
        <is>
          <t>mystic</t>
        </is>
      </c>
      <c r="C637" t="n">
        <v>3</v>
      </c>
      <c r="D637" t="inlineStr">
        <is>
          <t>Main Stat Per Level</t>
        </is>
      </c>
      <c r="E637" t="n">
        <v>35</v>
      </c>
      <c r="F637" t="n">
        <v>0.92</v>
      </c>
      <c r="G637" t="b">
        <v>0</v>
      </c>
      <c r="H637">
        <f>Sensitivity!H5*Inputs!$B$3</f>
        <v/>
      </c>
    </row>
    <row r="638">
      <c r="A638" t="inlineStr">
        <is>
          <t>ring2</t>
        </is>
      </c>
      <c r="B638" t="inlineStr">
        <is>
          <t>epic</t>
        </is>
      </c>
      <c r="C638" t="n">
        <v>1</v>
      </c>
      <c r="D638" t="inlineStr">
        <is>
          <t>Basic Attack Damage %</t>
        </is>
      </c>
      <c r="E638" t="n">
        <v>8</v>
      </c>
      <c r="F638" t="n">
        <v>1</v>
      </c>
      <c r="G638" t="b">
        <v>1</v>
      </c>
      <c r="H638">
        <f>Sensitivity!H21</f>
        <v/>
      </c>
    </row>
    <row r="639">
      <c r="A639" t="inlineStr">
        <is>
          <t>ring2</t>
        </is>
      </c>
      <c r="B639" t="inlineStr">
        <is>
          <t>epic</t>
        </is>
      </c>
      <c r="C639" t="n">
        <v>2</v>
      </c>
      <c r="D639" t="inlineStr">
        <is>
          <t>Basic Attack Damage %</t>
        </is>
      </c>
      <c r="E639" t="n">
        <v>8</v>
      </c>
      <c r="F639" t="n">
        <v>0.24</v>
      </c>
      <c r="G639" t="b">
        <v>1</v>
      </c>
      <c r="H639">
        <f>Sensitivity!H21</f>
        <v/>
      </c>
    </row>
    <row r="640">
      <c r="A640" t="inlineStr">
        <is>
          <t>ring2</t>
        </is>
      </c>
      <c r="B640" t="inlineStr">
        <is>
          <t>epic</t>
        </is>
      </c>
      <c r="C640" t="n">
        <v>3</v>
      </c>
      <c r="D640" t="inlineStr">
        <is>
          <t>Basic Attack Damage %</t>
        </is>
      </c>
      <c r="E640" t="n">
        <v>8</v>
      </c>
      <c r="F640" t="n">
        <v>0.08</v>
      </c>
      <c r="G640" t="b">
        <v>1</v>
      </c>
      <c r="H640">
        <f>Sensitivity!H21</f>
        <v/>
      </c>
    </row>
    <row r="641">
      <c r="A641" t="inlineStr">
        <is>
          <t>ring2</t>
        </is>
      </c>
      <c r="B641" t="inlineStr">
        <is>
          <t>unique</t>
        </is>
      </c>
      <c r="C641" t="n">
        <v>1</v>
      </c>
      <c r="D641" t="inlineStr">
        <is>
          <t>Basic Attack Damage %</t>
        </is>
      </c>
      <c r="E641" t="n">
        <v>14</v>
      </c>
      <c r="F641" t="n">
        <v>1</v>
      </c>
      <c r="G641" t="b">
        <v>1</v>
      </c>
      <c r="H641">
        <f>Sensitivity!H21</f>
        <v/>
      </c>
    </row>
    <row r="642">
      <c r="A642" t="inlineStr">
        <is>
          <t>ring2</t>
        </is>
      </c>
      <c r="B642" t="inlineStr">
        <is>
          <t>unique</t>
        </is>
      </c>
      <c r="C642" t="n">
        <v>2</v>
      </c>
      <c r="D642" t="inlineStr">
        <is>
          <t>Basic Attack Damage %</t>
        </is>
      </c>
      <c r="E642" t="n">
        <v>14</v>
      </c>
      <c r="F642" t="n">
        <v>0.24</v>
      </c>
      <c r="G642" t="b">
        <v>1</v>
      </c>
      <c r="H642">
        <f>Sensitivity!H21</f>
        <v/>
      </c>
    </row>
    <row r="643">
      <c r="A643" t="inlineStr">
        <is>
          <t>ring2</t>
        </is>
      </c>
      <c r="B643" t="inlineStr">
        <is>
          <t>unique</t>
        </is>
      </c>
      <c r="C643" t="n">
        <v>2</v>
      </c>
      <c r="D643" t="inlineStr">
        <is>
          <t>Basic Attack Damage %</t>
        </is>
      </c>
      <c r="E643" t="n">
        <v>8</v>
      </c>
      <c r="F643" t="n">
        <v>0.76</v>
      </c>
      <c r="G643" t="b">
        <v>0</v>
      </c>
      <c r="H643">
        <f>Sensitivity!H21</f>
        <v/>
      </c>
    </row>
    <row r="644">
      <c r="A644" t="inlineStr">
        <is>
          <t>ring2</t>
        </is>
      </c>
      <c r="B644" t="inlineStr">
        <is>
          <t>unique</t>
        </is>
      </c>
      <c r="C644" t="n">
        <v>3</v>
      </c>
      <c r="D644" t="inlineStr">
        <is>
          <t>Basic Attack Damage %</t>
        </is>
      </c>
      <c r="E644" t="n">
        <v>14</v>
      </c>
      <c r="F644" t="n">
        <v>0.08</v>
      </c>
      <c r="G644" t="b">
        <v>1</v>
      </c>
      <c r="H644">
        <f>Sensitivity!H21</f>
        <v/>
      </c>
    </row>
    <row r="645">
      <c r="A645" t="inlineStr">
        <is>
          <t>ring2</t>
        </is>
      </c>
      <c r="B645" t="inlineStr">
        <is>
          <t>unique</t>
        </is>
      </c>
      <c r="C645" t="n">
        <v>3</v>
      </c>
      <c r="D645" t="inlineStr">
        <is>
          <t>Basic Attack Damage %</t>
        </is>
      </c>
      <c r="E645" t="n">
        <v>8</v>
      </c>
      <c r="F645" t="n">
        <v>0.92</v>
      </c>
      <c r="G645" t="b">
        <v>0</v>
      </c>
      <c r="H645">
        <f>Sensitivity!H21</f>
        <v/>
      </c>
    </row>
    <row r="646">
      <c r="A646" t="inlineStr">
        <is>
          <t>ring2</t>
        </is>
      </c>
      <c r="B646" t="inlineStr">
        <is>
          <t>legendary</t>
        </is>
      </c>
      <c r="C646" t="n">
        <v>1</v>
      </c>
      <c r="D646" t="inlineStr">
        <is>
          <t>Basic Attack Damage %</t>
        </is>
      </c>
      <c r="E646" t="n">
        <v>21</v>
      </c>
      <c r="F646" t="n">
        <v>1</v>
      </c>
      <c r="G646" t="b">
        <v>1</v>
      </c>
      <c r="H646">
        <f>Sensitivity!H21</f>
        <v/>
      </c>
    </row>
    <row r="647">
      <c r="A647" t="inlineStr">
        <is>
          <t>ring2</t>
        </is>
      </c>
      <c r="B647" t="inlineStr">
        <is>
          <t>legendary</t>
        </is>
      </c>
      <c r="C647" t="n">
        <v>2</v>
      </c>
      <c r="D647" t="inlineStr">
        <is>
          <t>Basic Attack Damage %</t>
        </is>
      </c>
      <c r="E647" t="n">
        <v>21</v>
      </c>
      <c r="F647" t="n">
        <v>0.24</v>
      </c>
      <c r="G647" t="b">
        <v>1</v>
      </c>
      <c r="H647">
        <f>Sensitivity!H21</f>
        <v/>
      </c>
    </row>
    <row r="648">
      <c r="A648" t="inlineStr">
        <is>
          <t>ring2</t>
        </is>
      </c>
      <c r="B648" t="inlineStr">
        <is>
          <t>legendary</t>
        </is>
      </c>
      <c r="C648" t="n">
        <v>2</v>
      </c>
      <c r="D648" t="inlineStr">
        <is>
          <t>Basic Attack Damage %</t>
        </is>
      </c>
      <c r="E648" t="n">
        <v>14</v>
      </c>
      <c r="F648" t="n">
        <v>0.76</v>
      </c>
      <c r="G648" t="b">
        <v>0</v>
      </c>
      <c r="H648">
        <f>Sensitivity!H21</f>
        <v/>
      </c>
    </row>
    <row r="649">
      <c r="A649" t="inlineStr">
        <is>
          <t>ring2</t>
        </is>
      </c>
      <c r="B649" t="inlineStr">
        <is>
          <t>legendary</t>
        </is>
      </c>
      <c r="C649" t="n">
        <v>3</v>
      </c>
      <c r="D649" t="inlineStr">
        <is>
          <t>Basic Attack Damage %</t>
        </is>
      </c>
      <c r="E649" t="n">
        <v>21</v>
      </c>
      <c r="F649" t="n">
        <v>0.08</v>
      </c>
      <c r="G649" t="b">
        <v>1</v>
      </c>
      <c r="H649">
        <f>Sensitivity!H21</f>
        <v/>
      </c>
    </row>
    <row r="650">
      <c r="A650" t="inlineStr">
        <is>
          <t>ring2</t>
        </is>
      </c>
      <c r="B650" t="inlineStr">
        <is>
          <t>legendary</t>
        </is>
      </c>
      <c r="C650" t="n">
        <v>3</v>
      </c>
      <c r="D650" t="inlineStr">
        <is>
          <t>Basic Attack Damage %</t>
        </is>
      </c>
      <c r="E650" t="n">
        <v>14</v>
      </c>
      <c r="F650" t="n">
        <v>0.92</v>
      </c>
      <c r="G650" t="b">
        <v>0</v>
      </c>
      <c r="H650">
        <f>Sensitivity!H21</f>
        <v/>
      </c>
    </row>
    <row r="651">
      <c r="A651" t="inlineStr">
        <is>
          <t>ring2</t>
        </is>
      </c>
      <c r="B651" t="inlineStr">
        <is>
          <t>mystic</t>
        </is>
      </c>
      <c r="C651" t="n">
        <v>1</v>
      </c>
      <c r="D651" t="inlineStr">
        <is>
          <t>Basic Attack Damage %</t>
        </is>
      </c>
      <c r="E651" t="n">
        <v>30</v>
      </c>
      <c r="F651" t="n">
        <v>1</v>
      </c>
      <c r="G651" t="b">
        <v>1</v>
      </c>
      <c r="H651">
        <f>Sensitivity!H21</f>
        <v/>
      </c>
    </row>
    <row r="652">
      <c r="A652" t="inlineStr">
        <is>
          <t>ring2</t>
        </is>
      </c>
      <c r="B652" t="inlineStr">
        <is>
          <t>mystic</t>
        </is>
      </c>
      <c r="C652" t="n">
        <v>2</v>
      </c>
      <c r="D652" t="inlineStr">
        <is>
          <t>Basic Attack Damage %</t>
        </is>
      </c>
      <c r="E652" t="n">
        <v>30</v>
      </c>
      <c r="F652" t="n">
        <v>0.24</v>
      </c>
      <c r="G652" t="b">
        <v>1</v>
      </c>
      <c r="H652">
        <f>Sensitivity!H21</f>
        <v/>
      </c>
    </row>
    <row r="653">
      <c r="A653" t="inlineStr">
        <is>
          <t>ring2</t>
        </is>
      </c>
      <c r="B653" t="inlineStr">
        <is>
          <t>mystic</t>
        </is>
      </c>
      <c r="C653" t="n">
        <v>2</v>
      </c>
      <c r="D653" t="inlineStr">
        <is>
          <t>Basic Attack Damage %</t>
        </is>
      </c>
      <c r="E653" t="n">
        <v>21</v>
      </c>
      <c r="F653" t="n">
        <v>0.76</v>
      </c>
      <c r="G653" t="b">
        <v>0</v>
      </c>
      <c r="H653">
        <f>Sensitivity!H21</f>
        <v/>
      </c>
    </row>
    <row r="654">
      <c r="A654" t="inlineStr">
        <is>
          <t>ring2</t>
        </is>
      </c>
      <c r="B654" t="inlineStr">
        <is>
          <t>mystic</t>
        </is>
      </c>
      <c r="C654" t="n">
        <v>3</v>
      </c>
      <c r="D654" t="inlineStr">
        <is>
          <t>Basic Attack Damage %</t>
        </is>
      </c>
      <c r="E654" t="n">
        <v>30</v>
      </c>
      <c r="F654" t="n">
        <v>0.08</v>
      </c>
      <c r="G654" t="b">
        <v>1</v>
      </c>
      <c r="H654">
        <f>Sensitivity!H21</f>
        <v/>
      </c>
    </row>
    <row r="655">
      <c r="A655" t="inlineStr">
        <is>
          <t>ring2</t>
        </is>
      </c>
      <c r="B655" t="inlineStr">
        <is>
          <t>mystic</t>
        </is>
      </c>
      <c r="C655" t="n">
        <v>3</v>
      </c>
      <c r="D655" t="inlineStr">
        <is>
          <t>Basic Attack Damage %</t>
        </is>
      </c>
      <c r="E655" t="n">
        <v>21</v>
      </c>
      <c r="F655" t="n">
        <v>0.92</v>
      </c>
      <c r="G655" t="b">
        <v>0</v>
      </c>
      <c r="H655">
        <f>Sensitivity!H21</f>
        <v/>
      </c>
    </row>
    <row r="656">
      <c r="A656" t="inlineStr">
        <is>
          <t>face</t>
        </is>
      </c>
      <c r="B656" t="inlineStr">
        <is>
          <t>epic</t>
        </is>
      </c>
      <c r="C656" t="n">
        <v>1</v>
      </c>
      <c r="D656" t="inlineStr">
        <is>
          <t>Final Damage %</t>
        </is>
      </c>
      <c r="E656" t="n">
        <v>3</v>
      </c>
      <c r="F656" t="n">
        <v>1</v>
      </c>
      <c r="G656" t="b">
        <v>1</v>
      </c>
      <c r="H656">
        <f>Sensitivity!H14</f>
        <v/>
      </c>
    </row>
    <row r="657">
      <c r="A657" t="inlineStr">
        <is>
          <t>face</t>
        </is>
      </c>
      <c r="B657" t="inlineStr">
        <is>
          <t>epic</t>
        </is>
      </c>
      <c r="C657" t="n">
        <v>2</v>
      </c>
      <c r="D657" t="inlineStr">
        <is>
          <t>Final Damage %</t>
        </is>
      </c>
      <c r="E657" t="n">
        <v>3</v>
      </c>
      <c r="F657" t="n">
        <v>0.24</v>
      </c>
      <c r="G657" t="b">
        <v>1</v>
      </c>
      <c r="H657">
        <f>Sensitivity!H14</f>
        <v/>
      </c>
    </row>
    <row r="658">
      <c r="A658" t="inlineStr">
        <is>
          <t>face</t>
        </is>
      </c>
      <c r="B658" t="inlineStr">
        <is>
          <t>epic</t>
        </is>
      </c>
      <c r="C658" t="n">
        <v>3</v>
      </c>
      <c r="D658" t="inlineStr">
        <is>
          <t>Final Damage %</t>
        </is>
      </c>
      <c r="E658" t="n">
        <v>3</v>
      </c>
      <c r="F658" t="n">
        <v>0.08</v>
      </c>
      <c r="G658" t="b">
        <v>1</v>
      </c>
      <c r="H658">
        <f>Sensitivity!H14</f>
        <v/>
      </c>
    </row>
    <row r="659">
      <c r="A659" t="inlineStr">
        <is>
          <t>face</t>
        </is>
      </c>
      <c r="B659" t="inlineStr">
        <is>
          <t>unique</t>
        </is>
      </c>
      <c r="C659" t="n">
        <v>1</v>
      </c>
      <c r="D659" t="inlineStr">
        <is>
          <t>Final Damage %</t>
        </is>
      </c>
      <c r="E659" t="n">
        <v>5</v>
      </c>
      <c r="F659" t="n">
        <v>1</v>
      </c>
      <c r="G659" t="b">
        <v>1</v>
      </c>
      <c r="H659">
        <f>Sensitivity!H14</f>
        <v/>
      </c>
    </row>
    <row r="660">
      <c r="A660" t="inlineStr">
        <is>
          <t>face</t>
        </is>
      </c>
      <c r="B660" t="inlineStr">
        <is>
          <t>unique</t>
        </is>
      </c>
      <c r="C660" t="n">
        <v>2</v>
      </c>
      <c r="D660" t="inlineStr">
        <is>
          <t>Final Damage %</t>
        </is>
      </c>
      <c r="E660" t="n">
        <v>5</v>
      </c>
      <c r="F660" t="n">
        <v>0.24</v>
      </c>
      <c r="G660" t="b">
        <v>1</v>
      </c>
      <c r="H660">
        <f>Sensitivity!H14</f>
        <v/>
      </c>
    </row>
    <row r="661">
      <c r="A661" t="inlineStr">
        <is>
          <t>face</t>
        </is>
      </c>
      <c r="B661" t="inlineStr">
        <is>
          <t>unique</t>
        </is>
      </c>
      <c r="C661" t="n">
        <v>2</v>
      </c>
      <c r="D661" t="inlineStr">
        <is>
          <t>Final Damage %</t>
        </is>
      </c>
      <c r="E661" t="n">
        <v>3</v>
      </c>
      <c r="F661" t="n">
        <v>0.76</v>
      </c>
      <c r="G661" t="b">
        <v>0</v>
      </c>
      <c r="H661">
        <f>Sensitivity!H14</f>
        <v/>
      </c>
    </row>
    <row r="662">
      <c r="A662" t="inlineStr">
        <is>
          <t>face</t>
        </is>
      </c>
      <c r="B662" t="inlineStr">
        <is>
          <t>unique</t>
        </is>
      </c>
      <c r="C662" t="n">
        <v>3</v>
      </c>
      <c r="D662" t="inlineStr">
        <is>
          <t>Final Damage %</t>
        </is>
      </c>
      <c r="E662" t="n">
        <v>5</v>
      </c>
      <c r="F662" t="n">
        <v>0.08</v>
      </c>
      <c r="G662" t="b">
        <v>1</v>
      </c>
      <c r="H662">
        <f>Sensitivity!H14</f>
        <v/>
      </c>
    </row>
    <row r="663">
      <c r="A663" t="inlineStr">
        <is>
          <t>face</t>
        </is>
      </c>
      <c r="B663" t="inlineStr">
        <is>
          <t>unique</t>
        </is>
      </c>
      <c r="C663" t="n">
        <v>3</v>
      </c>
      <c r="D663" t="inlineStr">
        <is>
          <t>Final Damage %</t>
        </is>
      </c>
      <c r="E663" t="n">
        <v>3</v>
      </c>
      <c r="F663" t="n">
        <v>0.92</v>
      </c>
      <c r="G663" t="b">
        <v>0</v>
      </c>
      <c r="H663">
        <f>Sensitivity!H14</f>
        <v/>
      </c>
    </row>
    <row r="664">
      <c r="A664" t="inlineStr">
        <is>
          <t>face</t>
        </is>
      </c>
      <c r="B664" t="inlineStr">
        <is>
          <t>legendary</t>
        </is>
      </c>
      <c r="C664" t="n">
        <v>1</v>
      </c>
      <c r="D664" t="inlineStr">
        <is>
          <t>Final Damage %</t>
        </is>
      </c>
      <c r="E664" t="n">
        <v>8</v>
      </c>
      <c r="F664" t="n">
        <v>1</v>
      </c>
      <c r="G664" t="b">
        <v>1</v>
      </c>
      <c r="H664">
        <f>Sensitivity!H14</f>
        <v/>
      </c>
    </row>
    <row r="665">
      <c r="A665" t="inlineStr">
        <is>
          <t>face</t>
        </is>
      </c>
      <c r="B665" t="inlineStr">
        <is>
          <t>legendary</t>
        </is>
      </c>
      <c r="C665" t="n">
        <v>2</v>
      </c>
      <c r="D665" t="inlineStr">
        <is>
          <t>Final Damage %</t>
        </is>
      </c>
      <c r="E665" t="n">
        <v>8</v>
      </c>
      <c r="F665" t="n">
        <v>0.24</v>
      </c>
      <c r="G665" t="b">
        <v>1</v>
      </c>
      <c r="H665">
        <f>Sensitivity!H14</f>
        <v/>
      </c>
    </row>
    <row r="666">
      <c r="A666" t="inlineStr">
        <is>
          <t>face</t>
        </is>
      </c>
      <c r="B666" t="inlineStr">
        <is>
          <t>legendary</t>
        </is>
      </c>
      <c r="C666" t="n">
        <v>2</v>
      </c>
      <c r="D666" t="inlineStr">
        <is>
          <t>Final Damage %</t>
        </is>
      </c>
      <c r="E666" t="n">
        <v>5</v>
      </c>
      <c r="F666" t="n">
        <v>0.76</v>
      </c>
      <c r="G666" t="b">
        <v>0</v>
      </c>
      <c r="H666">
        <f>Sensitivity!H14</f>
        <v/>
      </c>
    </row>
    <row r="667">
      <c r="A667" t="inlineStr">
        <is>
          <t>face</t>
        </is>
      </c>
      <c r="B667" t="inlineStr">
        <is>
          <t>legendary</t>
        </is>
      </c>
      <c r="C667" t="n">
        <v>3</v>
      </c>
      <c r="D667" t="inlineStr">
        <is>
          <t>Final Damage %</t>
        </is>
      </c>
      <c r="E667" t="n">
        <v>8</v>
      </c>
      <c r="F667" t="n">
        <v>0.08</v>
      </c>
      <c r="G667" t="b">
        <v>1</v>
      </c>
      <c r="H667">
        <f>Sensitivity!H14</f>
        <v/>
      </c>
    </row>
    <row r="668">
      <c r="A668" t="inlineStr">
        <is>
          <t>face</t>
        </is>
      </c>
      <c r="B668" t="inlineStr">
        <is>
          <t>legendary</t>
        </is>
      </c>
      <c r="C668" t="n">
        <v>3</v>
      </c>
      <c r="D668" t="inlineStr">
        <is>
          <t>Final Damage %</t>
        </is>
      </c>
      <c r="E668" t="n">
        <v>5</v>
      </c>
      <c r="F668" t="n">
        <v>0.92</v>
      </c>
      <c r="G668" t="b">
        <v>0</v>
      </c>
      <c r="H668">
        <f>Sensitivity!H14</f>
        <v/>
      </c>
    </row>
    <row r="669">
      <c r="A669" t="inlineStr">
        <is>
          <t>face</t>
        </is>
      </c>
      <c r="B669" t="inlineStr">
        <is>
          <t>mystic</t>
        </is>
      </c>
      <c r="C669" t="n">
        <v>1</v>
      </c>
      <c r="D669" t="inlineStr">
        <is>
          <t>Final Damage %</t>
        </is>
      </c>
      <c r="E669" t="n">
        <v>12</v>
      </c>
      <c r="F669" t="n">
        <v>1</v>
      </c>
      <c r="G669" t="b">
        <v>1</v>
      </c>
      <c r="H669">
        <f>Sensitivity!H14</f>
        <v/>
      </c>
    </row>
    <row r="670">
      <c r="A670" t="inlineStr">
        <is>
          <t>face</t>
        </is>
      </c>
      <c r="B670" t="inlineStr">
        <is>
          <t>mystic</t>
        </is>
      </c>
      <c r="C670" t="n">
        <v>2</v>
      </c>
      <c r="D670" t="inlineStr">
        <is>
          <t>Final Damage %</t>
        </is>
      </c>
      <c r="E670" t="n">
        <v>12</v>
      </c>
      <c r="F670" t="n">
        <v>0.24</v>
      </c>
      <c r="G670" t="b">
        <v>1</v>
      </c>
      <c r="H670">
        <f>Sensitivity!H14</f>
        <v/>
      </c>
    </row>
    <row r="671">
      <c r="A671" t="inlineStr">
        <is>
          <t>face</t>
        </is>
      </c>
      <c r="B671" t="inlineStr">
        <is>
          <t>mystic</t>
        </is>
      </c>
      <c r="C671" t="n">
        <v>2</v>
      </c>
      <c r="D671" t="inlineStr">
        <is>
          <t>Final Damage %</t>
        </is>
      </c>
      <c r="E671" t="n">
        <v>8</v>
      </c>
      <c r="F671" t="n">
        <v>0.76</v>
      </c>
      <c r="G671" t="b">
        <v>0</v>
      </c>
      <c r="H671">
        <f>Sensitivity!H14</f>
        <v/>
      </c>
    </row>
    <row r="672">
      <c r="A672" t="inlineStr">
        <is>
          <t>face</t>
        </is>
      </c>
      <c r="B672" t="inlineStr">
        <is>
          <t>mystic</t>
        </is>
      </c>
      <c r="C672" t="n">
        <v>3</v>
      </c>
      <c r="D672" t="inlineStr">
        <is>
          <t>Final Damage %</t>
        </is>
      </c>
      <c r="E672" t="n">
        <v>12</v>
      </c>
      <c r="F672" t="n">
        <v>0.08</v>
      </c>
      <c r="G672" t="b">
        <v>1</v>
      </c>
      <c r="H672">
        <f>Sensitivity!H14</f>
        <v/>
      </c>
    </row>
    <row r="673">
      <c r="A673" t="inlineStr">
        <is>
          <t>face</t>
        </is>
      </c>
      <c r="B673" t="inlineStr">
        <is>
          <t>mystic</t>
        </is>
      </c>
      <c r="C673" t="n">
        <v>3</v>
      </c>
      <c r="D673" t="inlineStr">
        <is>
          <t>Final Damage %</t>
        </is>
      </c>
      <c r="E673" t="n">
        <v>8</v>
      </c>
      <c r="F673" t="n">
        <v>0.92</v>
      </c>
      <c r="G673" t="b">
        <v>0</v>
      </c>
      <c r="H673">
        <f>Sensitivity!H14</f>
        <v/>
      </c>
    </row>
    <row r="674">
      <c r="A674" t="inlineStr">
        <is>
          <t>earrings</t>
        </is>
      </c>
      <c r="B674" t="inlineStr">
        <is>
          <t>epic</t>
        </is>
      </c>
      <c r="C674" t="n">
        <v>1</v>
      </c>
      <c r="D674" t="inlineStr">
        <is>
          <t>Skill Damage %</t>
        </is>
      </c>
      <c r="E674" t="n">
        <v>8</v>
      </c>
      <c r="F674" t="n">
        <v>1</v>
      </c>
      <c r="G674" t="b">
        <v>1</v>
      </c>
      <c r="H674">
        <f>Sensitivity!H22</f>
        <v/>
      </c>
    </row>
    <row r="675">
      <c r="A675" t="inlineStr">
        <is>
          <t>earrings</t>
        </is>
      </c>
      <c r="B675" t="inlineStr">
        <is>
          <t>epic</t>
        </is>
      </c>
      <c r="C675" t="n">
        <v>2</v>
      </c>
      <c r="D675" t="inlineStr">
        <is>
          <t>Skill Damage %</t>
        </is>
      </c>
      <c r="E675" t="n">
        <v>8</v>
      </c>
      <c r="F675" t="n">
        <v>0.24</v>
      </c>
      <c r="G675" t="b">
        <v>1</v>
      </c>
      <c r="H675">
        <f>Sensitivity!H22</f>
        <v/>
      </c>
    </row>
    <row r="676">
      <c r="A676" t="inlineStr">
        <is>
          <t>earrings</t>
        </is>
      </c>
      <c r="B676" t="inlineStr">
        <is>
          <t>epic</t>
        </is>
      </c>
      <c r="C676" t="n">
        <v>3</v>
      </c>
      <c r="D676" t="inlineStr">
        <is>
          <t>Skill Damage %</t>
        </is>
      </c>
      <c r="E676" t="n">
        <v>8</v>
      </c>
      <c r="F676" t="n">
        <v>0.08</v>
      </c>
      <c r="G676" t="b">
        <v>1</v>
      </c>
      <c r="H676">
        <f>Sensitivity!H22</f>
        <v/>
      </c>
    </row>
    <row r="677">
      <c r="A677" t="inlineStr">
        <is>
          <t>earrings</t>
        </is>
      </c>
      <c r="B677" t="inlineStr">
        <is>
          <t>unique</t>
        </is>
      </c>
      <c r="C677" t="n">
        <v>1</v>
      </c>
      <c r="D677" t="inlineStr">
        <is>
          <t>Skill Damage %</t>
        </is>
      </c>
      <c r="E677" t="n">
        <v>14</v>
      </c>
      <c r="F677" t="n">
        <v>1</v>
      </c>
      <c r="G677" t="b">
        <v>1</v>
      </c>
      <c r="H677">
        <f>Sensitivity!H22</f>
        <v/>
      </c>
    </row>
    <row r="678">
      <c r="A678" t="inlineStr">
        <is>
          <t>earrings</t>
        </is>
      </c>
      <c r="B678" t="inlineStr">
        <is>
          <t>unique</t>
        </is>
      </c>
      <c r="C678" t="n">
        <v>2</v>
      </c>
      <c r="D678" t="inlineStr">
        <is>
          <t>Skill Damage %</t>
        </is>
      </c>
      <c r="E678" t="n">
        <v>14</v>
      </c>
      <c r="F678" t="n">
        <v>0.24</v>
      </c>
      <c r="G678" t="b">
        <v>1</v>
      </c>
      <c r="H678">
        <f>Sensitivity!H22</f>
        <v/>
      </c>
    </row>
    <row r="679">
      <c r="A679" t="inlineStr">
        <is>
          <t>earrings</t>
        </is>
      </c>
      <c r="B679" t="inlineStr">
        <is>
          <t>unique</t>
        </is>
      </c>
      <c r="C679" t="n">
        <v>2</v>
      </c>
      <c r="D679" t="inlineStr">
        <is>
          <t>Skill Damage %</t>
        </is>
      </c>
      <c r="E679" t="n">
        <v>8</v>
      </c>
      <c r="F679" t="n">
        <v>0.76</v>
      </c>
      <c r="G679" t="b">
        <v>0</v>
      </c>
      <c r="H679">
        <f>Sensitivity!H22</f>
        <v/>
      </c>
    </row>
    <row r="680">
      <c r="A680" t="inlineStr">
        <is>
          <t>earrings</t>
        </is>
      </c>
      <c r="B680" t="inlineStr">
        <is>
          <t>unique</t>
        </is>
      </c>
      <c r="C680" t="n">
        <v>3</v>
      </c>
      <c r="D680" t="inlineStr">
        <is>
          <t>Skill Damage %</t>
        </is>
      </c>
      <c r="E680" t="n">
        <v>14</v>
      </c>
      <c r="F680" t="n">
        <v>0.08</v>
      </c>
      <c r="G680" t="b">
        <v>1</v>
      </c>
      <c r="H680">
        <f>Sensitivity!H22</f>
        <v/>
      </c>
    </row>
    <row r="681">
      <c r="A681" t="inlineStr">
        <is>
          <t>earrings</t>
        </is>
      </c>
      <c r="B681" t="inlineStr">
        <is>
          <t>unique</t>
        </is>
      </c>
      <c r="C681" t="n">
        <v>3</v>
      </c>
      <c r="D681" t="inlineStr">
        <is>
          <t>Skill Damage %</t>
        </is>
      </c>
      <c r="E681" t="n">
        <v>8</v>
      </c>
      <c r="F681" t="n">
        <v>0.92</v>
      </c>
      <c r="G681" t="b">
        <v>0</v>
      </c>
      <c r="H681">
        <f>Sensitivity!H22</f>
        <v/>
      </c>
    </row>
    <row r="682">
      <c r="A682" t="inlineStr">
        <is>
          <t>earrings</t>
        </is>
      </c>
      <c r="B682" t="inlineStr">
        <is>
          <t>legendary</t>
        </is>
      </c>
      <c r="C682" t="n">
        <v>1</v>
      </c>
      <c r="D682" t="inlineStr">
        <is>
          <t>Skill Damage %</t>
        </is>
      </c>
      <c r="E682" t="n">
        <v>21</v>
      </c>
      <c r="F682" t="n">
        <v>1</v>
      </c>
      <c r="G682" t="b">
        <v>1</v>
      </c>
      <c r="H682">
        <f>Sensitivity!H22</f>
        <v/>
      </c>
    </row>
    <row r="683">
      <c r="A683" t="inlineStr">
        <is>
          <t>earrings</t>
        </is>
      </c>
      <c r="B683" t="inlineStr">
        <is>
          <t>legendary</t>
        </is>
      </c>
      <c r="C683" t="n">
        <v>2</v>
      </c>
      <c r="D683" t="inlineStr">
        <is>
          <t>Skill Damage %</t>
        </is>
      </c>
      <c r="E683" t="n">
        <v>21</v>
      </c>
      <c r="F683" t="n">
        <v>0.24</v>
      </c>
      <c r="G683" t="b">
        <v>1</v>
      </c>
      <c r="H683">
        <f>Sensitivity!H22</f>
        <v/>
      </c>
    </row>
    <row r="684">
      <c r="A684" t="inlineStr">
        <is>
          <t>earrings</t>
        </is>
      </c>
      <c r="B684" t="inlineStr">
        <is>
          <t>legendary</t>
        </is>
      </c>
      <c r="C684" t="n">
        <v>2</v>
      </c>
      <c r="D684" t="inlineStr">
        <is>
          <t>Skill Damage %</t>
        </is>
      </c>
      <c r="E684" t="n">
        <v>14</v>
      </c>
      <c r="F684" t="n">
        <v>0.76</v>
      </c>
      <c r="G684" t="b">
        <v>0</v>
      </c>
      <c r="H684">
        <f>Sensitivity!H22</f>
        <v/>
      </c>
    </row>
    <row r="685">
      <c r="A685" t="inlineStr">
        <is>
          <t>earrings</t>
        </is>
      </c>
      <c r="B685" t="inlineStr">
        <is>
          <t>legendary</t>
        </is>
      </c>
      <c r="C685" t="n">
        <v>3</v>
      </c>
      <c r="D685" t="inlineStr">
        <is>
          <t>Skill Damage %</t>
        </is>
      </c>
      <c r="E685" t="n">
        <v>21</v>
      </c>
      <c r="F685" t="n">
        <v>0.08</v>
      </c>
      <c r="G685" t="b">
        <v>1</v>
      </c>
      <c r="H685">
        <f>Sensitivity!H22</f>
        <v/>
      </c>
    </row>
    <row r="686">
      <c r="A686" t="inlineStr">
        <is>
          <t>earrings</t>
        </is>
      </c>
      <c r="B686" t="inlineStr">
        <is>
          <t>legendary</t>
        </is>
      </c>
      <c r="C686" t="n">
        <v>3</v>
      </c>
      <c r="D686" t="inlineStr">
        <is>
          <t>Skill Damage %</t>
        </is>
      </c>
      <c r="E686" t="n">
        <v>14</v>
      </c>
      <c r="F686" t="n">
        <v>0.92</v>
      </c>
      <c r="G686" t="b">
        <v>0</v>
      </c>
      <c r="H686">
        <f>Sensitivity!H22</f>
        <v/>
      </c>
    </row>
    <row r="687">
      <c r="A687" t="inlineStr">
        <is>
          <t>earrings</t>
        </is>
      </c>
      <c r="B687" t="inlineStr">
        <is>
          <t>mystic</t>
        </is>
      </c>
      <c r="C687" t="n">
        <v>1</v>
      </c>
      <c r="D687" t="inlineStr">
        <is>
          <t>Skill Damage %</t>
        </is>
      </c>
      <c r="E687" t="n">
        <v>30</v>
      </c>
      <c r="F687" t="n">
        <v>1</v>
      </c>
      <c r="G687" t="b">
        <v>1</v>
      </c>
      <c r="H687">
        <f>Sensitivity!H22</f>
        <v/>
      </c>
    </row>
    <row r="688">
      <c r="A688" t="inlineStr">
        <is>
          <t>earrings</t>
        </is>
      </c>
      <c r="B688" t="inlineStr">
        <is>
          <t>mystic</t>
        </is>
      </c>
      <c r="C688" t="n">
        <v>2</v>
      </c>
      <c r="D688" t="inlineStr">
        <is>
          <t>Skill Damage %</t>
        </is>
      </c>
      <c r="E688" t="n">
        <v>30</v>
      </c>
      <c r="F688" t="n">
        <v>0.24</v>
      </c>
      <c r="G688" t="b">
        <v>1</v>
      </c>
      <c r="H688">
        <f>Sensitivity!H22</f>
        <v/>
      </c>
    </row>
    <row r="689">
      <c r="A689" t="inlineStr">
        <is>
          <t>earrings</t>
        </is>
      </c>
      <c r="B689" t="inlineStr">
        <is>
          <t>mystic</t>
        </is>
      </c>
      <c r="C689" t="n">
        <v>2</v>
      </c>
      <c r="D689" t="inlineStr">
        <is>
          <t>Skill Damage %</t>
        </is>
      </c>
      <c r="E689" t="n">
        <v>21</v>
      </c>
      <c r="F689" t="n">
        <v>0.76</v>
      </c>
      <c r="G689" t="b">
        <v>0</v>
      </c>
      <c r="H689">
        <f>Sensitivity!H22</f>
        <v/>
      </c>
    </row>
    <row r="690">
      <c r="A690" t="inlineStr">
        <is>
          <t>earrings</t>
        </is>
      </c>
      <c r="B690" t="inlineStr">
        <is>
          <t>mystic</t>
        </is>
      </c>
      <c r="C690" t="n">
        <v>3</v>
      </c>
      <c r="D690" t="inlineStr">
        <is>
          <t>Skill Damage %</t>
        </is>
      </c>
      <c r="E690" t="n">
        <v>30</v>
      </c>
      <c r="F690" t="n">
        <v>0.08</v>
      </c>
      <c r="G690" t="b">
        <v>1</v>
      </c>
      <c r="H690">
        <f>Sensitivity!H22</f>
        <v/>
      </c>
    </row>
    <row r="691">
      <c r="A691" t="inlineStr">
        <is>
          <t>earrings</t>
        </is>
      </c>
      <c r="B691" t="inlineStr">
        <is>
          <t>mystic</t>
        </is>
      </c>
      <c r="C691" t="n">
        <v>3</v>
      </c>
      <c r="D691" t="inlineStr">
        <is>
          <t>Skill Damage %</t>
        </is>
      </c>
      <c r="E691" t="n">
        <v>21</v>
      </c>
      <c r="F691" t="n">
        <v>0.92</v>
      </c>
      <c r="G691" t="b">
        <v>0</v>
      </c>
      <c r="H691">
        <f>Sensitivity!H22</f>
        <v/>
      </c>
    </row>
    <row r="692">
      <c r="A692" t="inlineStr">
        <is>
          <t>pocket</t>
        </is>
      </c>
      <c r="B692" t="inlineStr">
        <is>
          <t>epic</t>
        </is>
      </c>
      <c r="C692" t="n">
        <v>1</v>
      </c>
      <c r="D692" t="inlineStr">
        <is>
          <t>Main Stat % per 4 Levels</t>
        </is>
      </c>
      <c r="E692" t="n">
        <v>0.4</v>
      </c>
      <c r="F692" t="n">
        <v>1</v>
      </c>
      <c r="G692" t="b">
        <v>1</v>
      </c>
      <c r="H692">
        <f>Sensitivity!H6*INT(Inputs!$B$3/4)</f>
        <v/>
      </c>
    </row>
    <row r="693">
      <c r="A693" t="inlineStr">
        <is>
          <t>pocket</t>
        </is>
      </c>
      <c r="B693" t="inlineStr">
        <is>
          <t>epic</t>
        </is>
      </c>
      <c r="C693" t="n">
        <v>2</v>
      </c>
      <c r="D693" t="inlineStr">
        <is>
          <t>Main Stat % per 4 Levels</t>
        </is>
      </c>
      <c r="E693" t="n">
        <v>0.4</v>
      </c>
      <c r="F693" t="n">
        <v>0.24</v>
      </c>
      <c r="G693" t="b">
        <v>1</v>
      </c>
      <c r="H693">
        <f>Sensitivity!H6*INT(Inputs!$B$3/4)</f>
        <v/>
      </c>
    </row>
    <row r="694">
      <c r="A694" t="inlineStr">
        <is>
          <t>pocket</t>
        </is>
      </c>
      <c r="B694" t="inlineStr">
        <is>
          <t>epic</t>
        </is>
      </c>
      <c r="C694" t="n">
        <v>3</v>
      </c>
      <c r="D694" t="inlineStr">
        <is>
          <t>Main Stat % per 4 Levels</t>
        </is>
      </c>
      <c r="E694" t="n">
        <v>0.4</v>
      </c>
      <c r="F694" t="n">
        <v>0.08</v>
      </c>
      <c r="G694" t="b">
        <v>1</v>
      </c>
      <c r="H694">
        <f>Sensitivity!H6*INT(Inputs!$B$3/4)</f>
        <v/>
      </c>
    </row>
    <row r="695">
      <c r="A695" t="inlineStr">
        <is>
          <t>pocket</t>
        </is>
      </c>
      <c r="B695" t="inlineStr">
        <is>
          <t>unique</t>
        </is>
      </c>
      <c r="C695" t="n">
        <v>1</v>
      </c>
      <c r="D695" t="inlineStr">
        <is>
          <t>Main Stat % per 4 Levels</t>
        </is>
      </c>
      <c r="E695" t="n">
        <v>0.6</v>
      </c>
      <c r="F695" t="n">
        <v>1</v>
      </c>
      <c r="G695" t="b">
        <v>1</v>
      </c>
      <c r="H695">
        <f>Sensitivity!H6*INT(Inputs!$B$3/4)</f>
        <v/>
      </c>
    </row>
    <row r="696">
      <c r="A696" t="inlineStr">
        <is>
          <t>pocket</t>
        </is>
      </c>
      <c r="B696" t="inlineStr">
        <is>
          <t>unique</t>
        </is>
      </c>
      <c r="C696" t="n">
        <v>2</v>
      </c>
      <c r="D696" t="inlineStr">
        <is>
          <t>Main Stat % per 4 Levels</t>
        </is>
      </c>
      <c r="E696" t="n">
        <v>0.6</v>
      </c>
      <c r="F696" t="n">
        <v>0.24</v>
      </c>
      <c r="G696" t="b">
        <v>1</v>
      </c>
      <c r="H696">
        <f>Sensitivity!H6*INT(Inputs!$B$3/4)</f>
        <v/>
      </c>
    </row>
    <row r="697">
      <c r="A697" t="inlineStr">
        <is>
          <t>pocket</t>
        </is>
      </c>
      <c r="B697" t="inlineStr">
        <is>
          <t>unique</t>
        </is>
      </c>
      <c r="C697" t="n">
        <v>2</v>
      </c>
      <c r="D697" t="inlineStr">
        <is>
          <t>Main Stat % per 4 Levels</t>
        </is>
      </c>
      <c r="E697" t="n">
        <v>0.4</v>
      </c>
      <c r="F697" t="n">
        <v>0.76</v>
      </c>
      <c r="G697" t="b">
        <v>0</v>
      </c>
      <c r="H697">
        <f>Sensitivity!H6*INT(Inputs!$B$3/4)</f>
        <v/>
      </c>
    </row>
    <row r="698">
      <c r="A698" t="inlineStr">
        <is>
          <t>pocket</t>
        </is>
      </c>
      <c r="B698" t="inlineStr">
        <is>
          <t>unique</t>
        </is>
      </c>
      <c r="C698" t="n">
        <v>3</v>
      </c>
      <c r="D698" t="inlineStr">
        <is>
          <t>Main Stat % per 4 Levels</t>
        </is>
      </c>
      <c r="E698" t="n">
        <v>0.6</v>
      </c>
      <c r="F698" t="n">
        <v>0.08</v>
      </c>
      <c r="G698" t="b">
        <v>1</v>
      </c>
      <c r="H698">
        <f>Sensitivity!H6*INT(Inputs!$B$3/4)</f>
        <v/>
      </c>
    </row>
    <row r="699">
      <c r="A699" t="inlineStr">
        <is>
          <t>pocket</t>
        </is>
      </c>
      <c r="B699" t="inlineStr">
        <is>
          <t>unique</t>
        </is>
      </c>
      <c r="C699" t="n">
        <v>3</v>
      </c>
      <c r="D699" t="inlineStr">
        <is>
          <t>Main Stat % per 4 Levels</t>
        </is>
      </c>
      <c r="E699" t="n">
        <v>0.4</v>
      </c>
      <c r="F699" t="n">
        <v>0.92</v>
      </c>
      <c r="G699" t="b">
        <v>0</v>
      </c>
      <c r="H699">
        <f>Sensitivity!H6*INT(Inputs!$B$3/4)</f>
        <v/>
      </c>
    </row>
    <row r="700">
      <c r="A700" t="inlineStr">
        <is>
          <t>pocket</t>
        </is>
      </c>
      <c r="B700" t="inlineStr">
        <is>
          <t>legendary</t>
        </is>
      </c>
      <c r="C700" t="n">
        <v>1</v>
      </c>
      <c r="D700" t="inlineStr">
        <is>
          <t>Main Stat % per 4 Levels</t>
        </is>
      </c>
      <c r="E700" t="n">
        <v>0.8</v>
      </c>
      <c r="F700" t="n">
        <v>1</v>
      </c>
      <c r="G700" t="b">
        <v>1</v>
      </c>
      <c r="H700">
        <f>Sensitivity!H6*INT(Inputs!$B$3/4)</f>
        <v/>
      </c>
    </row>
    <row r="701">
      <c r="A701" t="inlineStr">
        <is>
          <t>pocket</t>
        </is>
      </c>
      <c r="B701" t="inlineStr">
        <is>
          <t>legendary</t>
        </is>
      </c>
      <c r="C701" t="n">
        <v>2</v>
      </c>
      <c r="D701" t="inlineStr">
        <is>
          <t>Main Stat % per 4 Levels</t>
        </is>
      </c>
      <c r="E701" t="n">
        <v>0.8</v>
      </c>
      <c r="F701" t="n">
        <v>0.24</v>
      </c>
      <c r="G701" t="b">
        <v>1</v>
      </c>
      <c r="H701">
        <f>Sensitivity!H6*INT(Inputs!$B$3/4)</f>
        <v/>
      </c>
    </row>
    <row r="702">
      <c r="A702" t="inlineStr">
        <is>
          <t>pocket</t>
        </is>
      </c>
      <c r="B702" t="inlineStr">
        <is>
          <t>legendary</t>
        </is>
      </c>
      <c r="C702" t="n">
        <v>2</v>
      </c>
      <c r="D702" t="inlineStr">
        <is>
          <t>Main Stat % per 4 Levels</t>
        </is>
      </c>
      <c r="E702" t="n">
        <v>0.6</v>
      </c>
      <c r="F702" t="n">
        <v>0.76</v>
      </c>
      <c r="G702" t="b">
        <v>0</v>
      </c>
      <c r="H702">
        <f>Sensitivity!H6*INT(Inputs!$B$3/4)</f>
        <v/>
      </c>
    </row>
    <row r="703">
      <c r="A703" t="inlineStr">
        <is>
          <t>pocket</t>
        </is>
      </c>
      <c r="B703" t="inlineStr">
        <is>
          <t>legendary</t>
        </is>
      </c>
      <c r="C703" t="n">
        <v>3</v>
      </c>
      <c r="D703" t="inlineStr">
        <is>
          <t>Main Stat % per 4 Levels</t>
        </is>
      </c>
      <c r="E703" t="n">
        <v>0.8</v>
      </c>
      <c r="F703" t="n">
        <v>0.08</v>
      </c>
      <c r="G703" t="b">
        <v>1</v>
      </c>
      <c r="H703">
        <f>Sensitivity!H6*INT(Inputs!$B$3/4)</f>
        <v/>
      </c>
    </row>
    <row r="704">
      <c r="A704" t="inlineStr">
        <is>
          <t>pocket</t>
        </is>
      </c>
      <c r="B704" t="inlineStr">
        <is>
          <t>legendary</t>
        </is>
      </c>
      <c r="C704" t="n">
        <v>3</v>
      </c>
      <c r="D704" t="inlineStr">
        <is>
          <t>Main Stat % per 4 Levels</t>
        </is>
      </c>
      <c r="E704" t="n">
        <v>0.6</v>
      </c>
      <c r="F704" t="n">
        <v>0.92</v>
      </c>
      <c r="G704" t="b">
        <v>0</v>
      </c>
      <c r="H704">
        <f>Sensitivity!H6*INT(Inputs!$B$3/4)</f>
        <v/>
      </c>
    </row>
    <row r="705">
      <c r="A705" t="inlineStr">
        <is>
          <t>pocket</t>
        </is>
      </c>
      <c r="B705" t="inlineStr">
        <is>
          <t>mystic</t>
        </is>
      </c>
      <c r="C705" t="n">
        <v>1</v>
      </c>
      <c r="D705" t="inlineStr">
        <is>
          <t>Main Stat % per 4 Levels</t>
        </is>
      </c>
      <c r="E705" t="n">
        <v>1.2</v>
      </c>
      <c r="F705" t="n">
        <v>1</v>
      </c>
      <c r="G705" t="b">
        <v>1</v>
      </c>
      <c r="H705">
        <f>Sensitivity!H6*INT(Inputs!$B$3/4)</f>
        <v/>
      </c>
    </row>
    <row r="706">
      <c r="A706" t="inlineStr">
        <is>
          <t>pocket</t>
        </is>
      </c>
      <c r="B706" t="inlineStr">
        <is>
          <t>mystic</t>
        </is>
      </c>
      <c r="C706" t="n">
        <v>2</v>
      </c>
      <c r="D706" t="inlineStr">
        <is>
          <t>Main Stat % per 4 Levels</t>
        </is>
      </c>
      <c r="E706" t="n">
        <v>1.2</v>
      </c>
      <c r="F706" t="n">
        <v>0.24</v>
      </c>
      <c r="G706" t="b">
        <v>1</v>
      </c>
      <c r="H706">
        <f>Sensitivity!H6*INT(Inputs!$B$3/4)</f>
        <v/>
      </c>
    </row>
    <row r="707">
      <c r="A707" t="inlineStr">
        <is>
          <t>pocket</t>
        </is>
      </c>
      <c r="B707" t="inlineStr">
        <is>
          <t>mystic</t>
        </is>
      </c>
      <c r="C707" t="n">
        <v>2</v>
      </c>
      <c r="D707" t="inlineStr">
        <is>
          <t>Main Stat % per 4 Levels</t>
        </is>
      </c>
      <c r="E707" t="n">
        <v>0.8</v>
      </c>
      <c r="F707" t="n">
        <v>0.76</v>
      </c>
      <c r="G707" t="b">
        <v>0</v>
      </c>
      <c r="H707">
        <f>Sensitivity!H6*INT(Inputs!$B$3/4)</f>
        <v/>
      </c>
    </row>
    <row r="708">
      <c r="A708" t="inlineStr">
        <is>
          <t>pocket</t>
        </is>
      </c>
      <c r="B708" t="inlineStr">
        <is>
          <t>mystic</t>
        </is>
      </c>
      <c r="C708" t="n">
        <v>3</v>
      </c>
      <c r="D708" t="inlineStr">
        <is>
          <t>Main Stat % per 4 Levels</t>
        </is>
      </c>
      <c r="E708" t="n">
        <v>1.2</v>
      </c>
      <c r="F708" t="n">
        <v>0.08</v>
      </c>
      <c r="G708" t="b">
        <v>1</v>
      </c>
      <c r="H708">
        <f>Sensitivity!H6*INT(Inputs!$B$3/4)</f>
        <v/>
      </c>
    </row>
    <row r="709">
      <c r="A709" t="inlineStr">
        <is>
          <t>pocket</t>
        </is>
      </c>
      <c r="B709" t="inlineStr">
        <is>
          <t>mystic</t>
        </is>
      </c>
      <c r="C709" t="n">
        <v>3</v>
      </c>
      <c r="D709" t="inlineStr">
        <is>
          <t>Main Stat % per 4 Levels</t>
        </is>
      </c>
      <c r="E709" t="n">
        <v>0.8</v>
      </c>
      <c r="F709" t="n">
        <v>0.92</v>
      </c>
      <c r="G709" t="b">
        <v>0</v>
      </c>
      <c r="H709">
        <f>Sensitivity!H6*INT(Inputs!$B$3/4)</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42"/>
  <sheetViews>
    <sheetView workbookViewId="0">
      <pane ySplit="4" topLeftCell="A5" activePane="bottomLeft" state="frozen"/>
      <selection pane="bottomLeft" activeCell="A1" sqref="A1"/>
    </sheetView>
  </sheetViews>
  <sheetFormatPr baseColWidth="8" defaultRowHeight="15"/>
  <cols>
    <col width="42" customWidth="1" min="1" max="1"/>
    <col width="12" customWidth="1" min="2" max="2"/>
    <col width="12" customWidth="1" min="3" max="3"/>
    <col width="26" customWidth="1" min="4" max="4"/>
    <col width="14" customWidth="1" min="5" max="5"/>
    <col width="12" customWidth="1" min="6" max="6"/>
    <col width="26" customWidth="1" min="7" max="7"/>
    <col width="14" customWidth="1" min="8" max="8"/>
    <col width="12" customWidth="1" min="9" max="9"/>
    <col width="26" customWidth="1" min="10" max="10"/>
    <col width="14" customWidth="1" min="11" max="11"/>
    <col width="16" customWidth="1" min="12" max="12"/>
    <col width="18" customWidth="1" min="13" max="13"/>
    <col width="20" customWidth="1" min="14" max="14"/>
  </cols>
  <sheetData>
    <row r="1">
      <c r="A1" s="4" t="inlineStr">
        <is>
          <t>Dark Knight — Artifacts (Star Level + Potentials)</t>
        </is>
      </c>
    </row>
    <row r="2">
      <c r="A2" t="inlineStr">
        <is>
          <t>Equipped artifacts are picked on the Inputs sheet now (Equipped Artifacts section, per content type). Every artifact's Star Level (or "Not Unlocked") and Potential lines are tracked separately regardless of whether it's currently equipped, so swapping gear doesn't lose your progress. Potential lines are reference-only (their DPS Gain is NOT added to live Total DPS) — the assumption is the same as Book of Ancient etc.: once you decide to keep a roll, fold its value into your own Inputs manually. Sensitivity's Artifact Equip-Toggle table DOES include each artifact's current potential-line DPS Gain, since potentials only apply while the artifact is actually equipped.</t>
        </is>
      </c>
    </row>
    <row r="3">
      <c r="A3" s="9" t="inlineStr">
        <is>
          <t>All Artifacts — Star Level + Potentials</t>
        </is>
      </c>
    </row>
    <row r="4">
      <c r="A4" s="5" t="inlineStr">
        <is>
          <t>Artifact</t>
        </is>
      </c>
      <c r="B4" s="5" t="inlineStr">
        <is>
          <t>Star Level</t>
        </is>
      </c>
      <c r="C4" s="5" t="inlineStr">
        <is>
          <t>Line 1 Rarity</t>
        </is>
      </c>
      <c r="D4" s="5" t="inlineStr">
        <is>
          <t>Line 1 Stat</t>
        </is>
      </c>
      <c r="E4" s="5" t="inlineStr">
        <is>
          <t>Line 1 DPS Gain</t>
        </is>
      </c>
      <c r="F4" s="5" t="inlineStr">
        <is>
          <t>Line 2 Rarity</t>
        </is>
      </c>
      <c r="G4" s="5" t="inlineStr">
        <is>
          <t>Line 2 Stat</t>
        </is>
      </c>
      <c r="H4" s="5" t="inlineStr">
        <is>
          <t>Line 2 DPS Gain</t>
        </is>
      </c>
      <c r="I4" s="5" t="inlineStr">
        <is>
          <t>Line 3 Rarity (Legendary only)</t>
        </is>
      </c>
      <c r="J4" s="5" t="inlineStr">
        <is>
          <t>Line 3 Stat (Legendary only)</t>
        </is>
      </c>
      <c r="K4" s="5" t="inlineStr">
        <is>
          <t>Line 3 DPS Gain</t>
        </is>
      </c>
      <c r="L4" s="5" t="inlineStr">
        <is>
          <t>Total Potential DPS Gain</t>
        </is>
      </c>
      <c r="M4" s="5" t="inlineStr">
        <is>
          <t>Equipped? (computed)</t>
        </is>
      </c>
      <c r="N4" s="5" t="inlineStr">
        <is>
          <t>Star Level, resolved (computed)</t>
        </is>
      </c>
    </row>
    <row r="5">
      <c r="A5" s="6" t="inlineStr">
        <is>
          <t>Charm of the Undead</t>
        </is>
      </c>
      <c r="B5" s="7" t="n">
        <v>5</v>
      </c>
      <c r="C5" s="7" t="inlineStr">
        <is>
          <t>Rare</t>
        </is>
      </c>
      <c r="D5" s="7" t="inlineStr">
        <is>
          <t>(none)</t>
        </is>
      </c>
      <c r="E5">
        <f>IF($N$5&gt;=1,IF($D$5="Main Stat %",(CHOOSE(MATCH($C$5,{"Rare","Epic","Unique","Legendary","Mystic","Mystic (Prime)"},0),2,3,4.5,7,10,12))*Sensitivity!$H$6,IF($D$5="Damage Taken Decrease %",0,IF($D$5="Defense %",0,IF($D$5="Accuracy",0,IF($D$5="Critical Rate %",(CHOOSE(MATCH($C$5,{"Rare","Epic","Unique","Legendary","Mystic","Mystic (Prime)"},0),2,3,4.5,7,10,12))*Sensitivity!$H$17,IF($D$5="Min Damage Multiplier %",(CHOOSE(MATCH($C$5,{"Rare","Epic","Unique","Legendary","Mystic","Mystic (Prime)"},0),2,3,4.5,7,10,12))*Sensitivity!$H$15,IF($D$5="Max Damage Multiplier %",(CHOOSE(MATCH($C$5,{"Rare","Epic","Unique","Legendary","Mystic","Mystic (Prime)"},0),2,3,4.5,7,10,12))*Sensitivity!$H$16,IF($D$5="Boss Monster Damage %",(CHOOSE(MATCH($C$5,{"Rare","Epic","Unique","Legendary","Mystic","Mystic (Prime)"},0),4,6,9,14,20,24))*Sensitivity!$H$12,IF($D$5="Normal Monster Damage %",(CHOOSE(MATCH($C$5,{"Rare","Epic","Unique","Legendary","Mystic","Mystic (Prime)"},0),4,6,9,14,20,24))*Sensitivity!$H$13,IF($D$5="Status Effect Damage %",0,IF($D$5="Damage %",(CHOOSE(MATCH($C$5,{"Rare","Epic","Unique","Legendary","Mystic","Mystic (Prime)"},0),4,6,9,14,20,24))*Sensitivity!$H$10,IF($D$5="Defense Penetration %",(CHOOSE(MATCH($C$5,{"Rare","Epic","Unique","Legendary","Mystic","Mystic (Prime)"},0),2,3,4.5,7,10,12))*Sensitivity!$H$20,0)))))))))))),0)</f>
        <v/>
      </c>
      <c r="F5" s="7" t="inlineStr">
        <is>
          <t>Rare</t>
        </is>
      </c>
      <c r="G5" s="7" t="inlineStr">
        <is>
          <t>(none)</t>
        </is>
      </c>
      <c r="H5">
        <f>IF($N$5&gt;=2,IF($G$5="Main Stat %",(CHOOSE(MATCH($F$5,{"Rare","Epic","Unique","Legendary","Mystic","Mystic (Prime)"},0),2,3,4.5,7,10,12))*Sensitivity!$H$6,IF($G$5="Damage Taken Decrease %",0,IF($G$5="Defense %",0,IF($G$5="Accuracy",0,IF($G$5="Critical Rate %",(CHOOSE(MATCH($F$5,{"Rare","Epic","Unique","Legendary","Mystic","Mystic (Prime)"},0),2,3,4.5,7,10,12))*Sensitivity!$H$17,IF($G$5="Min Damage Multiplier %",(CHOOSE(MATCH($F$5,{"Rare","Epic","Unique","Legendary","Mystic","Mystic (Prime)"},0),2,3,4.5,7,10,12))*Sensitivity!$H$15,IF($G$5="Max Damage Multiplier %",(CHOOSE(MATCH($F$5,{"Rare","Epic","Unique","Legendary","Mystic","Mystic (Prime)"},0),2,3,4.5,7,10,12))*Sensitivity!$H$16,IF($G$5="Boss Monster Damage %",(CHOOSE(MATCH($F$5,{"Rare","Epic","Unique","Legendary","Mystic","Mystic (Prime)"},0),4,6,9,14,20,24))*Sensitivity!$H$12,IF($G$5="Normal Monster Damage %",(CHOOSE(MATCH($F$5,{"Rare","Epic","Unique","Legendary","Mystic","Mystic (Prime)"},0),4,6,9,14,20,24))*Sensitivity!$H$13,IF($G$5="Status Effect Damage %",0,IF($G$5="Damage %",(CHOOSE(MATCH($F$5,{"Rare","Epic","Unique","Legendary","Mystic","Mystic (Prime)"},0),4,6,9,14,20,24))*Sensitivity!$H$10,IF($G$5="Defense Penetration %",(CHOOSE(MATCH($F$5,{"Rare","Epic","Unique","Legendary","Mystic","Mystic (Prime)"},0),2,3,4.5,7,10,12))*Sensitivity!$H$20,0)))))))))))),0)</f>
        <v/>
      </c>
      <c r="L5">
        <f>Summary!$B$3*((IF(D5="(none)",1,1+(E5+IF(G5=D5,H5,0)+IF(J5=D5,K5,0))/Summary!$B$3))*(IF(OR(G5="(none)",G5=D5),1,1+(H5+IF(D5=G5,E5,0)+IF(J5=G5,K5,0))/Summary!$B$3))*(IF(OR(J5="",J5="(none)",J5=D5,J5=G5),1,1+(K5+IF(D5=J5,E5,0)+IF(G5=J5,H5,0))/Summary!$B$3))-1)</f>
        <v/>
      </c>
      <c r="M5">
        <f>OR(Inputs!$B$48="Charm of the Undead",Inputs!$B$49="Charm of the Undead",Inputs!$B$50="Charm of the Undead",Inputs!$B$51="Charm of the Undead")</f>
        <v/>
      </c>
      <c r="N5">
        <f>IF(B5="Not Unlocked",0,B5)</f>
        <v/>
      </c>
    </row>
    <row r="6">
      <c r="A6" s="6" t="inlineStr">
        <is>
          <t>Pig's Ribbon</t>
        </is>
      </c>
      <c r="B6" s="7" t="n">
        <v>5</v>
      </c>
      <c r="C6" s="7" t="inlineStr">
        <is>
          <t>Rare</t>
        </is>
      </c>
      <c r="D6" s="7" t="inlineStr">
        <is>
          <t>(none)</t>
        </is>
      </c>
      <c r="E6">
        <f>IF($N$6&gt;=1,IF($D$6="Main Stat %",(CHOOSE(MATCH($C$6,{"Rare","Epic","Unique","Legendary","Mystic","Mystic (Prime)"},0),2,3,4.5,7,10,12))*Sensitivity!$H$6,IF($D$6="Damage Taken Decrease %",0,IF($D$6="Defense %",0,IF($D$6="Accuracy",0,IF($D$6="Critical Rate %",(CHOOSE(MATCH($C$6,{"Rare","Epic","Unique","Legendary","Mystic","Mystic (Prime)"},0),2,3,4.5,7,10,12))*Sensitivity!$H$17,IF($D$6="Min Damage Multiplier %",(CHOOSE(MATCH($C$6,{"Rare","Epic","Unique","Legendary","Mystic","Mystic (Prime)"},0),2,3,4.5,7,10,12))*Sensitivity!$H$15,IF($D$6="Max Damage Multiplier %",(CHOOSE(MATCH($C$6,{"Rare","Epic","Unique","Legendary","Mystic","Mystic (Prime)"},0),2,3,4.5,7,10,12))*Sensitivity!$H$16,IF($D$6="Boss Monster Damage %",(CHOOSE(MATCH($C$6,{"Rare","Epic","Unique","Legendary","Mystic","Mystic (Prime)"},0),4,6,9,14,20,24))*Sensitivity!$H$12,IF($D$6="Normal Monster Damage %",(CHOOSE(MATCH($C$6,{"Rare","Epic","Unique","Legendary","Mystic","Mystic (Prime)"},0),4,6,9,14,20,24))*Sensitivity!$H$13,IF($D$6="Status Effect Damage %",0,IF($D$6="Damage %",(CHOOSE(MATCH($C$6,{"Rare","Epic","Unique","Legendary","Mystic","Mystic (Prime)"},0),4,6,9,14,20,24))*Sensitivity!$H$10,IF($D$6="Defense Penetration %",(CHOOSE(MATCH($C$6,{"Rare","Epic","Unique","Legendary","Mystic","Mystic (Prime)"},0),2,3,4.5,7,10,12))*Sensitivity!$H$20,0)))))))))))),0)</f>
        <v/>
      </c>
      <c r="F6" s="7" t="inlineStr">
        <is>
          <t>Rare</t>
        </is>
      </c>
      <c r="G6" s="7" t="inlineStr">
        <is>
          <t>(none)</t>
        </is>
      </c>
      <c r="H6">
        <f>IF($N$6&gt;=2,IF($G$6="Main Stat %",(CHOOSE(MATCH($F$6,{"Rare","Epic","Unique","Legendary","Mystic","Mystic (Prime)"},0),2,3,4.5,7,10,12))*Sensitivity!$H$6,IF($G$6="Damage Taken Decrease %",0,IF($G$6="Defense %",0,IF($G$6="Accuracy",0,IF($G$6="Critical Rate %",(CHOOSE(MATCH($F$6,{"Rare","Epic","Unique","Legendary","Mystic","Mystic (Prime)"},0),2,3,4.5,7,10,12))*Sensitivity!$H$17,IF($G$6="Min Damage Multiplier %",(CHOOSE(MATCH($F$6,{"Rare","Epic","Unique","Legendary","Mystic","Mystic (Prime)"},0),2,3,4.5,7,10,12))*Sensitivity!$H$15,IF($G$6="Max Damage Multiplier %",(CHOOSE(MATCH($F$6,{"Rare","Epic","Unique","Legendary","Mystic","Mystic (Prime)"},0),2,3,4.5,7,10,12))*Sensitivity!$H$16,IF($G$6="Boss Monster Damage %",(CHOOSE(MATCH($F$6,{"Rare","Epic","Unique","Legendary","Mystic","Mystic (Prime)"},0),4,6,9,14,20,24))*Sensitivity!$H$12,IF($G$6="Normal Monster Damage %",(CHOOSE(MATCH($F$6,{"Rare","Epic","Unique","Legendary","Mystic","Mystic (Prime)"},0),4,6,9,14,20,24))*Sensitivity!$H$13,IF($G$6="Status Effect Damage %",0,IF($G$6="Damage %",(CHOOSE(MATCH($F$6,{"Rare","Epic","Unique","Legendary","Mystic","Mystic (Prime)"},0),4,6,9,14,20,24))*Sensitivity!$H$10,IF($G$6="Defense Penetration %",(CHOOSE(MATCH($F$6,{"Rare","Epic","Unique","Legendary","Mystic","Mystic (Prime)"},0),2,3,4.5,7,10,12))*Sensitivity!$H$20,0)))))))))))),0)</f>
        <v/>
      </c>
      <c r="L6">
        <f>Summary!$B$3*((IF(D6="(none)",1,1+(E6+IF(G6=D6,H6,0)+IF(J6=D6,K6,0))/Summary!$B$3))*(IF(OR(G6="(none)",G6=D6),1,1+(H6+IF(D6=G6,E6,0)+IF(J6=G6,K6,0))/Summary!$B$3))*(IF(OR(J6="",J6="(none)",J6=D6,J6=G6),1,1+(K6+IF(D6=J6,E6,0)+IF(G6=J6,H6,0))/Summary!$B$3))-1)</f>
        <v/>
      </c>
      <c r="M6">
        <f>OR(Inputs!$B$48="Pig's Ribbon",Inputs!$B$49="Pig's Ribbon",Inputs!$B$50="Pig's Ribbon",Inputs!$B$51="Pig's Ribbon")</f>
        <v/>
      </c>
      <c r="N6">
        <f>IF(B6="Not Unlocked",0,B6)</f>
        <v/>
      </c>
    </row>
    <row r="7">
      <c r="A7" s="6" t="inlineStr">
        <is>
          <t>Shamaness Marble</t>
        </is>
      </c>
      <c r="B7" s="7" t="n">
        <v>5</v>
      </c>
      <c r="C7" s="7" t="inlineStr">
        <is>
          <t>Rare</t>
        </is>
      </c>
      <c r="D7" s="7" t="inlineStr">
        <is>
          <t>(none)</t>
        </is>
      </c>
      <c r="E7">
        <f>IF($N$7&gt;=1,IF($D$7="Main Stat %",(CHOOSE(MATCH($C$7,{"Rare","Epic","Unique","Legendary","Mystic","Mystic (Prime)"},0),2,3,4.5,7,10,12))*Sensitivity!$H$6,IF($D$7="Damage Taken Decrease %",0,IF($D$7="Defense %",0,IF($D$7="Accuracy",0,IF($D$7="Critical Rate %",(CHOOSE(MATCH($C$7,{"Rare","Epic","Unique","Legendary","Mystic","Mystic (Prime)"},0),2,3,4.5,7,10,12))*Sensitivity!$H$17,IF($D$7="Min Damage Multiplier %",(CHOOSE(MATCH($C$7,{"Rare","Epic","Unique","Legendary","Mystic","Mystic (Prime)"},0),2,3,4.5,7,10,12))*Sensitivity!$H$15,IF($D$7="Max Damage Multiplier %",(CHOOSE(MATCH($C$7,{"Rare","Epic","Unique","Legendary","Mystic","Mystic (Prime)"},0),2,3,4.5,7,10,12))*Sensitivity!$H$16,IF($D$7="Boss Monster Damage %",(CHOOSE(MATCH($C$7,{"Rare","Epic","Unique","Legendary","Mystic","Mystic (Prime)"},0),4,6,9,14,20,24))*Sensitivity!$H$12,IF($D$7="Normal Monster Damage %",(CHOOSE(MATCH($C$7,{"Rare","Epic","Unique","Legendary","Mystic","Mystic (Prime)"},0),4,6,9,14,20,24))*Sensitivity!$H$13,IF($D$7="Status Effect Damage %",0,IF($D$7="Damage %",(CHOOSE(MATCH($C$7,{"Rare","Epic","Unique","Legendary","Mystic","Mystic (Prime)"},0),4,6,9,14,20,24))*Sensitivity!$H$10,IF($D$7="Defense Penetration %",(CHOOSE(MATCH($C$7,{"Rare","Epic","Unique","Legendary","Mystic","Mystic (Prime)"},0),2,3,4.5,7,10,12))*Sensitivity!$H$20,0)))))))))))),0)</f>
        <v/>
      </c>
      <c r="F7" s="7" t="inlineStr">
        <is>
          <t>Rare</t>
        </is>
      </c>
      <c r="G7" s="7" t="inlineStr">
        <is>
          <t>(none)</t>
        </is>
      </c>
      <c r="H7">
        <f>IF($N$7&gt;=2,IF($G$7="Main Stat %",(CHOOSE(MATCH($F$7,{"Rare","Epic","Unique","Legendary","Mystic","Mystic (Prime)"},0),2,3,4.5,7,10,12))*Sensitivity!$H$6,IF($G$7="Damage Taken Decrease %",0,IF($G$7="Defense %",0,IF($G$7="Accuracy",0,IF($G$7="Critical Rate %",(CHOOSE(MATCH($F$7,{"Rare","Epic","Unique","Legendary","Mystic","Mystic (Prime)"},0),2,3,4.5,7,10,12))*Sensitivity!$H$17,IF($G$7="Min Damage Multiplier %",(CHOOSE(MATCH($F$7,{"Rare","Epic","Unique","Legendary","Mystic","Mystic (Prime)"},0),2,3,4.5,7,10,12))*Sensitivity!$H$15,IF($G$7="Max Damage Multiplier %",(CHOOSE(MATCH($F$7,{"Rare","Epic","Unique","Legendary","Mystic","Mystic (Prime)"},0),2,3,4.5,7,10,12))*Sensitivity!$H$16,IF($G$7="Boss Monster Damage %",(CHOOSE(MATCH($F$7,{"Rare","Epic","Unique","Legendary","Mystic","Mystic (Prime)"},0),4,6,9,14,20,24))*Sensitivity!$H$12,IF($G$7="Normal Monster Damage %",(CHOOSE(MATCH($F$7,{"Rare","Epic","Unique","Legendary","Mystic","Mystic (Prime)"},0),4,6,9,14,20,24))*Sensitivity!$H$13,IF($G$7="Status Effect Damage %",0,IF($G$7="Damage %",(CHOOSE(MATCH($F$7,{"Rare","Epic","Unique","Legendary","Mystic","Mystic (Prime)"},0),4,6,9,14,20,24))*Sensitivity!$H$10,IF($G$7="Defense Penetration %",(CHOOSE(MATCH($F$7,{"Rare","Epic","Unique","Legendary","Mystic","Mystic (Prime)"},0),2,3,4.5,7,10,12))*Sensitivity!$H$20,0)))))))))))),0)</f>
        <v/>
      </c>
      <c r="L7">
        <f>Summary!$B$3*((IF(D7="(none)",1,1+(E7+IF(G7=D7,H7,0)+IF(J7=D7,K7,0))/Summary!$B$3))*(IF(OR(G7="(none)",G7=D7),1,1+(H7+IF(D7=G7,E7,0)+IF(J7=G7,K7,0))/Summary!$B$3))*(IF(OR(J7="",J7="(none)",J7=D7,J7=G7),1,1+(K7+IF(D7=J7,E7,0)+IF(G7=J7,H7,0))/Summary!$B$3))-1)</f>
        <v/>
      </c>
      <c r="M7">
        <f>OR(Inputs!$B$48="Shamaness Marble",Inputs!$B$49="Shamaness Marble",Inputs!$B$50="Shamaness Marble",Inputs!$B$51="Shamaness Marble")</f>
        <v/>
      </c>
      <c r="N7">
        <f>IF(B7="Not Unlocked",0,B7)</f>
        <v/>
      </c>
    </row>
    <row r="8">
      <c r="A8" s="6" t="inlineStr">
        <is>
          <t>The Contract of Darkness</t>
        </is>
      </c>
      <c r="B8" s="7" t="n">
        <v>5</v>
      </c>
      <c r="C8" s="7" t="inlineStr">
        <is>
          <t>Rare</t>
        </is>
      </c>
      <c r="D8" s="7" t="inlineStr">
        <is>
          <t>(none)</t>
        </is>
      </c>
      <c r="E8">
        <f>IF($N$8&gt;=1,IF($D$8="Main Stat %",(CHOOSE(MATCH($C$8,{"Rare","Epic","Unique","Legendary","Mystic","Mystic (Prime)"},0),2,3,4.5,7,10,12))*Sensitivity!$H$6,IF($D$8="Damage Taken Decrease %",0,IF($D$8="Defense %",0,IF($D$8="Accuracy",0,IF($D$8="Critical Rate %",(CHOOSE(MATCH($C$8,{"Rare","Epic","Unique","Legendary","Mystic","Mystic (Prime)"},0),2,3,4.5,7,10,12))*Sensitivity!$H$17,IF($D$8="Min Damage Multiplier %",(CHOOSE(MATCH($C$8,{"Rare","Epic","Unique","Legendary","Mystic","Mystic (Prime)"},0),2,3,4.5,7,10,12))*Sensitivity!$H$15,IF($D$8="Max Damage Multiplier %",(CHOOSE(MATCH($C$8,{"Rare","Epic","Unique","Legendary","Mystic","Mystic (Prime)"},0),2,3,4.5,7,10,12))*Sensitivity!$H$16,IF($D$8="Boss Monster Damage %",(CHOOSE(MATCH($C$8,{"Rare","Epic","Unique","Legendary","Mystic","Mystic (Prime)"},0),4,6,9,14,20,24))*Sensitivity!$H$12,IF($D$8="Normal Monster Damage %",(CHOOSE(MATCH($C$8,{"Rare","Epic","Unique","Legendary","Mystic","Mystic (Prime)"},0),4,6,9,14,20,24))*Sensitivity!$H$13,IF($D$8="Status Effect Damage %",0,IF($D$8="Damage %",(CHOOSE(MATCH($C$8,{"Rare","Epic","Unique","Legendary","Mystic","Mystic (Prime)"},0),4,6,9,14,20,24))*Sensitivity!$H$10,IF($D$8="Defense Penetration %",(CHOOSE(MATCH($C$8,{"Rare","Epic","Unique","Legendary","Mystic","Mystic (Prime)"},0),2,3,4.5,7,10,12))*Sensitivity!$H$20,0)))))))))))),0)</f>
        <v/>
      </c>
      <c r="F8" s="7" t="inlineStr">
        <is>
          <t>Rare</t>
        </is>
      </c>
      <c r="G8" s="7" t="inlineStr">
        <is>
          <t>(none)</t>
        </is>
      </c>
      <c r="H8">
        <f>IF($N$8&gt;=2,IF($G$8="Main Stat %",(CHOOSE(MATCH($F$8,{"Rare","Epic","Unique","Legendary","Mystic","Mystic (Prime)"},0),2,3,4.5,7,10,12))*Sensitivity!$H$6,IF($G$8="Damage Taken Decrease %",0,IF($G$8="Defense %",0,IF($G$8="Accuracy",0,IF($G$8="Critical Rate %",(CHOOSE(MATCH($F$8,{"Rare","Epic","Unique","Legendary","Mystic","Mystic (Prime)"},0),2,3,4.5,7,10,12))*Sensitivity!$H$17,IF($G$8="Min Damage Multiplier %",(CHOOSE(MATCH($F$8,{"Rare","Epic","Unique","Legendary","Mystic","Mystic (Prime)"},0),2,3,4.5,7,10,12))*Sensitivity!$H$15,IF($G$8="Max Damage Multiplier %",(CHOOSE(MATCH($F$8,{"Rare","Epic","Unique","Legendary","Mystic","Mystic (Prime)"},0),2,3,4.5,7,10,12))*Sensitivity!$H$16,IF($G$8="Boss Monster Damage %",(CHOOSE(MATCH($F$8,{"Rare","Epic","Unique","Legendary","Mystic","Mystic (Prime)"},0),4,6,9,14,20,24))*Sensitivity!$H$12,IF($G$8="Normal Monster Damage %",(CHOOSE(MATCH($F$8,{"Rare","Epic","Unique","Legendary","Mystic","Mystic (Prime)"},0),4,6,9,14,20,24))*Sensitivity!$H$13,IF($G$8="Status Effect Damage %",0,IF($G$8="Damage %",(CHOOSE(MATCH($F$8,{"Rare","Epic","Unique","Legendary","Mystic","Mystic (Prime)"},0),4,6,9,14,20,24))*Sensitivity!$H$10,IF($G$8="Defense Penetration %",(CHOOSE(MATCH($F$8,{"Rare","Epic","Unique","Legendary","Mystic","Mystic (Prime)"},0),2,3,4.5,7,10,12))*Sensitivity!$H$20,0)))))))))))),0)</f>
        <v/>
      </c>
      <c r="L8">
        <f>Summary!$B$3*((IF(D8="(none)",1,1+(E8+IF(G8=D8,H8,0)+IF(J8=D8,K8,0))/Summary!$B$3))*(IF(OR(G8="(none)",G8=D8),1,1+(H8+IF(D8=G8,E8,0)+IF(J8=G8,K8,0))/Summary!$B$3))*(IF(OR(J8="",J8="(none)",J8=D8,J8=G8),1,1+(K8+IF(D8=J8,E8,0)+IF(G8=J8,H8,0))/Summary!$B$3))-1)</f>
        <v/>
      </c>
      <c r="M8">
        <f>OR(Inputs!$B$48="The Contract of Darkness",Inputs!$B$49="The Contract of Darkness",Inputs!$B$50="The Contract of Darkness",Inputs!$B$51="The Contract of Darkness")</f>
        <v/>
      </c>
      <c r="N8">
        <f>IF(B8="Not Unlocked",0,B8)</f>
        <v/>
      </c>
    </row>
    <row r="10">
      <c r="A10" s="6" t="inlineStr">
        <is>
          <t>Rainbow-colored Snail Shell</t>
        </is>
      </c>
      <c r="B10" s="7" t="n">
        <v>3</v>
      </c>
      <c r="C10" s="7" t="inlineStr">
        <is>
          <t>Rare</t>
        </is>
      </c>
      <c r="D10" s="7" t="inlineStr">
        <is>
          <t>(none)</t>
        </is>
      </c>
      <c r="E10">
        <f>IF($N$10&gt;=1,IF($D$10="Main Stat %",(CHOOSE(MATCH($C$10,{"Rare","Epic","Unique","Legendary","Mystic","Mystic (Prime)"},0),2,3,4.5,7,10,12))*Sensitivity!$H$6,IF($D$10="Damage Taken Decrease %",0,IF($D$10="Defense %",0,IF($D$10="Accuracy",0,IF($D$10="Critical Rate %",(CHOOSE(MATCH($C$10,{"Rare","Epic","Unique","Legendary","Mystic","Mystic (Prime)"},0),2,3,4.5,7,10,12))*Sensitivity!$H$17,IF($D$10="Min Damage Multiplier %",(CHOOSE(MATCH($C$10,{"Rare","Epic","Unique","Legendary","Mystic","Mystic (Prime)"},0),2,3,4.5,7,10,12))*Sensitivity!$H$15,IF($D$10="Max Damage Multiplier %",(CHOOSE(MATCH($C$10,{"Rare","Epic","Unique","Legendary","Mystic","Mystic (Prime)"},0),2,3,4.5,7,10,12))*Sensitivity!$H$16,IF($D$10="Boss Monster Damage %",(CHOOSE(MATCH($C$10,{"Rare","Epic","Unique","Legendary","Mystic","Mystic (Prime)"},0),4,6,9,14,20,24))*Sensitivity!$H$12,IF($D$10="Normal Monster Damage %",(CHOOSE(MATCH($C$10,{"Rare","Epic","Unique","Legendary","Mystic","Mystic (Prime)"},0),4,6,9,14,20,24))*Sensitivity!$H$13,IF($D$10="Status Effect Damage %",0,IF($D$10="Damage %",(CHOOSE(MATCH($C$10,{"Rare","Epic","Unique","Legendary","Mystic","Mystic (Prime)"},0),4,6,9,14,20,24))*Sensitivity!$H$10,IF($D$10="Defense Penetration %",(CHOOSE(MATCH($C$10,{"Rare","Epic","Unique","Legendary","Mystic","Mystic (Prime)"},0),2,3,4.5,7,10,12))*Sensitivity!$H$20,0)))))))))))),0)</f>
        <v/>
      </c>
      <c r="F10" s="7" t="inlineStr">
        <is>
          <t>Rare</t>
        </is>
      </c>
      <c r="G10" s="7" t="inlineStr">
        <is>
          <t>(none)</t>
        </is>
      </c>
      <c r="H10">
        <f>IF($N$10&gt;=2,IF($G$10="Main Stat %",(CHOOSE(MATCH($F$10,{"Rare","Epic","Unique","Legendary","Mystic","Mystic (Prime)"},0),2,3,4.5,7,10,12))*Sensitivity!$H$6,IF($G$10="Damage Taken Decrease %",0,IF($G$10="Defense %",0,IF($G$10="Accuracy",0,IF($G$10="Critical Rate %",(CHOOSE(MATCH($F$10,{"Rare","Epic","Unique","Legendary","Mystic","Mystic (Prime)"},0),2,3,4.5,7,10,12))*Sensitivity!$H$17,IF($G$10="Min Damage Multiplier %",(CHOOSE(MATCH($F$10,{"Rare","Epic","Unique","Legendary","Mystic","Mystic (Prime)"},0),2,3,4.5,7,10,12))*Sensitivity!$H$15,IF($G$10="Max Damage Multiplier %",(CHOOSE(MATCH($F$10,{"Rare","Epic","Unique","Legendary","Mystic","Mystic (Prime)"},0),2,3,4.5,7,10,12))*Sensitivity!$H$16,IF($G$10="Boss Monster Damage %",(CHOOSE(MATCH($F$10,{"Rare","Epic","Unique","Legendary","Mystic","Mystic (Prime)"},0),4,6,9,14,20,24))*Sensitivity!$H$12,IF($G$10="Normal Monster Damage %",(CHOOSE(MATCH($F$10,{"Rare","Epic","Unique","Legendary","Mystic","Mystic (Prime)"},0),4,6,9,14,20,24))*Sensitivity!$H$13,IF($G$10="Status Effect Damage %",0,IF($G$10="Damage %",(CHOOSE(MATCH($F$10,{"Rare","Epic","Unique","Legendary","Mystic","Mystic (Prime)"},0),4,6,9,14,20,24))*Sensitivity!$H$10,IF($G$10="Defense Penetration %",(CHOOSE(MATCH($F$10,{"Rare","Epic","Unique","Legendary","Mystic","Mystic (Prime)"},0),2,3,4.5,7,10,12))*Sensitivity!$H$20,0)))))))))))),0)</f>
        <v/>
      </c>
      <c r="L10">
        <f>Summary!$B$3*((IF(D10="(none)",1,1+(E10+IF(G10=D10,H10,0)+IF(J10=D10,K10,0))/Summary!$B$3))*(IF(OR(G10="(none)",G10=D10),1,1+(H10+IF(D10=G10,E10,0)+IF(J10=G10,K10,0))/Summary!$B$3))*(IF(OR(J10="",J10="(none)",J10=D10,J10=G10),1,1+(K10+IF(D10=J10,E10,0)+IF(G10=J10,H10,0))/Summary!$B$3))-1)</f>
        <v/>
      </c>
      <c r="M10">
        <f>OR(Inputs!$B$48="Rainbow-colored Snail Shell",Inputs!$B$49="Rainbow-colored Snail Shell",Inputs!$B$50="Rainbow-colored Snail Shell",Inputs!$B$51="Rainbow-colored Snail Shell")</f>
        <v/>
      </c>
      <c r="N10">
        <f>IF(B10="Not Unlocked",0,B10)</f>
        <v/>
      </c>
    </row>
    <row r="11">
      <c r="A11" s="6" t="inlineStr">
        <is>
          <t>Hexagon Necklace</t>
        </is>
      </c>
      <c r="B11" s="7" t="n">
        <v>3</v>
      </c>
      <c r="C11" s="7" t="inlineStr">
        <is>
          <t>Rare</t>
        </is>
      </c>
      <c r="D11" s="7" t="inlineStr">
        <is>
          <t>(none)</t>
        </is>
      </c>
      <c r="E11">
        <f>IF($N$11&gt;=1,IF($D$11="Main Stat %",(CHOOSE(MATCH($C$11,{"Rare","Epic","Unique","Legendary","Mystic","Mystic (Prime)"},0),2,3,4.5,7,10,12))*Sensitivity!$H$6,IF($D$11="Damage Taken Decrease %",0,IF($D$11="Defense %",0,IF($D$11="Accuracy",0,IF($D$11="Critical Rate %",(CHOOSE(MATCH($C$11,{"Rare","Epic","Unique","Legendary","Mystic","Mystic (Prime)"},0),2,3,4.5,7,10,12))*Sensitivity!$H$17,IF($D$11="Min Damage Multiplier %",(CHOOSE(MATCH($C$11,{"Rare","Epic","Unique","Legendary","Mystic","Mystic (Prime)"},0),2,3,4.5,7,10,12))*Sensitivity!$H$15,IF($D$11="Max Damage Multiplier %",(CHOOSE(MATCH($C$11,{"Rare","Epic","Unique","Legendary","Mystic","Mystic (Prime)"},0),2,3,4.5,7,10,12))*Sensitivity!$H$16,IF($D$11="Boss Monster Damage %",(CHOOSE(MATCH($C$11,{"Rare","Epic","Unique","Legendary","Mystic","Mystic (Prime)"},0),4,6,9,14,20,24))*Sensitivity!$H$12,IF($D$11="Normal Monster Damage %",(CHOOSE(MATCH($C$11,{"Rare","Epic","Unique","Legendary","Mystic","Mystic (Prime)"},0),4,6,9,14,20,24))*Sensitivity!$H$13,IF($D$11="Status Effect Damage %",0,IF($D$11="Damage %",(CHOOSE(MATCH($C$11,{"Rare","Epic","Unique","Legendary","Mystic","Mystic (Prime)"},0),4,6,9,14,20,24))*Sensitivity!$H$10,IF($D$11="Defense Penetration %",(CHOOSE(MATCH($C$11,{"Rare","Epic","Unique","Legendary","Mystic","Mystic (Prime)"},0),2,3,4.5,7,10,12))*Sensitivity!$H$20,0)))))))))))),0)</f>
        <v/>
      </c>
      <c r="F11" s="7" t="inlineStr">
        <is>
          <t>Rare</t>
        </is>
      </c>
      <c r="G11" s="7" t="inlineStr">
        <is>
          <t>(none)</t>
        </is>
      </c>
      <c r="H11">
        <f>IF($N$11&gt;=2,IF($G$11="Main Stat %",(CHOOSE(MATCH($F$11,{"Rare","Epic","Unique","Legendary","Mystic","Mystic (Prime)"},0),2,3,4.5,7,10,12))*Sensitivity!$H$6,IF($G$11="Damage Taken Decrease %",0,IF($G$11="Defense %",0,IF($G$11="Accuracy",0,IF($G$11="Critical Rate %",(CHOOSE(MATCH($F$11,{"Rare","Epic","Unique","Legendary","Mystic","Mystic (Prime)"},0),2,3,4.5,7,10,12))*Sensitivity!$H$17,IF($G$11="Min Damage Multiplier %",(CHOOSE(MATCH($F$11,{"Rare","Epic","Unique","Legendary","Mystic","Mystic (Prime)"},0),2,3,4.5,7,10,12))*Sensitivity!$H$15,IF($G$11="Max Damage Multiplier %",(CHOOSE(MATCH($F$11,{"Rare","Epic","Unique","Legendary","Mystic","Mystic (Prime)"},0),2,3,4.5,7,10,12))*Sensitivity!$H$16,IF($G$11="Boss Monster Damage %",(CHOOSE(MATCH($F$11,{"Rare","Epic","Unique","Legendary","Mystic","Mystic (Prime)"},0),4,6,9,14,20,24))*Sensitivity!$H$12,IF($G$11="Normal Monster Damage %",(CHOOSE(MATCH($F$11,{"Rare","Epic","Unique","Legendary","Mystic","Mystic (Prime)"},0),4,6,9,14,20,24))*Sensitivity!$H$13,IF($G$11="Status Effect Damage %",0,IF($G$11="Damage %",(CHOOSE(MATCH($F$11,{"Rare","Epic","Unique","Legendary","Mystic","Mystic (Prime)"},0),4,6,9,14,20,24))*Sensitivity!$H$10,IF($G$11="Defense Penetration %",(CHOOSE(MATCH($F$11,{"Rare","Epic","Unique","Legendary","Mystic","Mystic (Prime)"},0),2,3,4.5,7,10,12))*Sensitivity!$H$20,0)))))))))))),0)</f>
        <v/>
      </c>
      <c r="L11">
        <f>Summary!$B$3*((IF(D11="(none)",1,1+(E11+IF(G11=D11,H11,0)+IF(J11=D11,K11,0))/Summary!$B$3))*(IF(OR(G11="(none)",G11=D11),1,1+(H11+IF(D11=G11,E11,0)+IF(J11=G11,K11,0))/Summary!$B$3))*(IF(OR(J11="",J11="(none)",J11=D11,J11=G11),1,1+(K11+IF(D11=J11,E11,0)+IF(G11=J11,H11,0))/Summary!$B$3))-1)</f>
        <v/>
      </c>
      <c r="M11">
        <f>OR(Inputs!$B$48="Hexagon Necklace",Inputs!$B$49="Hexagon Necklace",Inputs!$B$50="Hexagon Necklace",Inputs!$B$51="Hexagon Necklace")</f>
        <v/>
      </c>
      <c r="N11">
        <f>IF(B11="Not Unlocked",0,B11)</f>
        <v/>
      </c>
    </row>
    <row r="12">
      <c r="A12" s="6" t="inlineStr">
        <is>
          <t>Arwen's Glass Shoes</t>
        </is>
      </c>
      <c r="B12" s="7" t="n">
        <v>3</v>
      </c>
      <c r="C12" s="7" t="inlineStr">
        <is>
          <t>Rare</t>
        </is>
      </c>
      <c r="D12" s="7" t="inlineStr">
        <is>
          <t>(none)</t>
        </is>
      </c>
      <c r="E12">
        <f>IF($N$12&gt;=1,IF($D$12="Main Stat %",(CHOOSE(MATCH($C$12,{"Rare","Epic","Unique","Legendary","Mystic","Mystic (Prime)"},0),2,3,4.5,7,10,12))*Sensitivity!$H$6,IF($D$12="Damage Taken Decrease %",0,IF($D$12="Defense %",0,IF($D$12="Accuracy",0,IF($D$12="Critical Rate %",(CHOOSE(MATCH($C$12,{"Rare","Epic","Unique","Legendary","Mystic","Mystic (Prime)"},0),2,3,4.5,7,10,12))*Sensitivity!$H$17,IF($D$12="Min Damage Multiplier %",(CHOOSE(MATCH($C$12,{"Rare","Epic","Unique","Legendary","Mystic","Mystic (Prime)"},0),2,3,4.5,7,10,12))*Sensitivity!$H$15,IF($D$12="Max Damage Multiplier %",(CHOOSE(MATCH($C$12,{"Rare","Epic","Unique","Legendary","Mystic","Mystic (Prime)"},0),2,3,4.5,7,10,12))*Sensitivity!$H$16,IF($D$12="Boss Monster Damage %",(CHOOSE(MATCH($C$12,{"Rare","Epic","Unique","Legendary","Mystic","Mystic (Prime)"},0),4,6,9,14,20,24))*Sensitivity!$H$12,IF($D$12="Normal Monster Damage %",(CHOOSE(MATCH($C$12,{"Rare","Epic","Unique","Legendary","Mystic","Mystic (Prime)"},0),4,6,9,14,20,24))*Sensitivity!$H$13,IF($D$12="Status Effect Damage %",0,IF($D$12="Damage %",(CHOOSE(MATCH($C$12,{"Rare","Epic","Unique","Legendary","Mystic","Mystic (Prime)"},0),4,6,9,14,20,24))*Sensitivity!$H$10,IF($D$12="Defense Penetration %",(CHOOSE(MATCH($C$12,{"Rare","Epic","Unique","Legendary","Mystic","Mystic (Prime)"},0),2,3,4.5,7,10,12))*Sensitivity!$H$20,0)))))))))))),0)</f>
        <v/>
      </c>
      <c r="F12" s="7" t="inlineStr">
        <is>
          <t>Rare</t>
        </is>
      </c>
      <c r="G12" s="7" t="inlineStr">
        <is>
          <t>(none)</t>
        </is>
      </c>
      <c r="H12">
        <f>IF($N$12&gt;=2,IF($G$12="Main Stat %",(CHOOSE(MATCH($F$12,{"Rare","Epic","Unique","Legendary","Mystic","Mystic (Prime)"},0),2,3,4.5,7,10,12))*Sensitivity!$H$6,IF($G$12="Damage Taken Decrease %",0,IF($G$12="Defense %",0,IF($G$12="Accuracy",0,IF($G$12="Critical Rate %",(CHOOSE(MATCH($F$12,{"Rare","Epic","Unique","Legendary","Mystic","Mystic (Prime)"},0),2,3,4.5,7,10,12))*Sensitivity!$H$17,IF($G$12="Min Damage Multiplier %",(CHOOSE(MATCH($F$12,{"Rare","Epic","Unique","Legendary","Mystic","Mystic (Prime)"},0),2,3,4.5,7,10,12))*Sensitivity!$H$15,IF($G$12="Max Damage Multiplier %",(CHOOSE(MATCH($F$12,{"Rare","Epic","Unique","Legendary","Mystic","Mystic (Prime)"},0),2,3,4.5,7,10,12))*Sensitivity!$H$16,IF($G$12="Boss Monster Damage %",(CHOOSE(MATCH($F$12,{"Rare","Epic","Unique","Legendary","Mystic","Mystic (Prime)"},0),4,6,9,14,20,24))*Sensitivity!$H$12,IF($G$12="Normal Monster Damage %",(CHOOSE(MATCH($F$12,{"Rare","Epic","Unique","Legendary","Mystic","Mystic (Prime)"},0),4,6,9,14,20,24))*Sensitivity!$H$13,IF($G$12="Status Effect Damage %",0,IF($G$12="Damage %",(CHOOSE(MATCH($F$12,{"Rare","Epic","Unique","Legendary","Mystic","Mystic (Prime)"},0),4,6,9,14,20,24))*Sensitivity!$H$10,IF($G$12="Defense Penetration %",(CHOOSE(MATCH($F$12,{"Rare","Epic","Unique","Legendary","Mystic","Mystic (Prime)"},0),2,3,4.5,7,10,12))*Sensitivity!$H$20,0)))))))))))),0)</f>
        <v/>
      </c>
      <c r="L12">
        <f>Summary!$B$3*((IF(D12="(none)",1,1+(E12+IF(G12=D12,H12,0)+IF(J12=D12,K12,0))/Summary!$B$3))*(IF(OR(G12="(none)",G12=D12),1,1+(H12+IF(D12=G12,E12,0)+IF(J12=G12,K12,0))/Summary!$B$3))*(IF(OR(J12="",J12="(none)",J12=D12,J12=G12),1,1+(K12+IF(D12=J12,E12,0)+IF(G12=J12,H12,0))/Summary!$B$3))-1)</f>
        <v/>
      </c>
      <c r="M12">
        <f>OR(Inputs!$B$48="Arwen's Glass Shoes",Inputs!$B$49="Arwen's Glass Shoes",Inputs!$B$50="Arwen's Glass Shoes",Inputs!$B$51="Arwen's Glass Shoes")</f>
        <v/>
      </c>
      <c r="N12">
        <f>IF(B12="Not Unlocked",0,B12)</f>
        <v/>
      </c>
    </row>
    <row r="13">
      <c r="A13" s="6" t="inlineStr">
        <is>
          <t>Mushmom's Cap</t>
        </is>
      </c>
      <c r="B13" s="7" t="n">
        <v>3</v>
      </c>
      <c r="C13" s="7" t="inlineStr">
        <is>
          <t>Rare</t>
        </is>
      </c>
      <c r="D13" s="7" t="inlineStr">
        <is>
          <t>(none)</t>
        </is>
      </c>
      <c r="E13">
        <f>IF($N$13&gt;=1,IF($D$13="Main Stat %",(CHOOSE(MATCH($C$13,{"Rare","Epic","Unique","Legendary","Mystic","Mystic (Prime)"},0),2,3,4.5,7,10,12))*Sensitivity!$H$6,IF($D$13="Damage Taken Decrease %",0,IF($D$13="Defense %",0,IF($D$13="Accuracy",0,IF($D$13="Critical Rate %",(CHOOSE(MATCH($C$13,{"Rare","Epic","Unique","Legendary","Mystic","Mystic (Prime)"},0),2,3,4.5,7,10,12))*Sensitivity!$H$17,IF($D$13="Min Damage Multiplier %",(CHOOSE(MATCH($C$13,{"Rare","Epic","Unique","Legendary","Mystic","Mystic (Prime)"},0),2,3,4.5,7,10,12))*Sensitivity!$H$15,IF($D$13="Max Damage Multiplier %",(CHOOSE(MATCH($C$13,{"Rare","Epic","Unique","Legendary","Mystic","Mystic (Prime)"},0),2,3,4.5,7,10,12))*Sensitivity!$H$16,IF($D$13="Boss Monster Damage %",(CHOOSE(MATCH($C$13,{"Rare","Epic","Unique","Legendary","Mystic","Mystic (Prime)"},0),4,6,9,14,20,24))*Sensitivity!$H$12,IF($D$13="Normal Monster Damage %",(CHOOSE(MATCH($C$13,{"Rare","Epic","Unique","Legendary","Mystic","Mystic (Prime)"},0),4,6,9,14,20,24))*Sensitivity!$H$13,IF($D$13="Status Effect Damage %",0,IF($D$13="Damage %",(CHOOSE(MATCH($C$13,{"Rare","Epic","Unique","Legendary","Mystic","Mystic (Prime)"},0),4,6,9,14,20,24))*Sensitivity!$H$10,IF($D$13="Defense Penetration %",(CHOOSE(MATCH($C$13,{"Rare","Epic","Unique","Legendary","Mystic","Mystic (Prime)"},0),2,3,4.5,7,10,12))*Sensitivity!$H$20,0)))))))))))),0)</f>
        <v/>
      </c>
      <c r="F13" s="7" t="inlineStr">
        <is>
          <t>Rare</t>
        </is>
      </c>
      <c r="G13" s="7" t="inlineStr">
        <is>
          <t>(none)</t>
        </is>
      </c>
      <c r="H13">
        <f>IF($N$13&gt;=2,IF($G$13="Main Stat %",(CHOOSE(MATCH($F$13,{"Rare","Epic","Unique","Legendary","Mystic","Mystic (Prime)"},0),2,3,4.5,7,10,12))*Sensitivity!$H$6,IF($G$13="Damage Taken Decrease %",0,IF($G$13="Defense %",0,IF($G$13="Accuracy",0,IF($G$13="Critical Rate %",(CHOOSE(MATCH($F$13,{"Rare","Epic","Unique","Legendary","Mystic","Mystic (Prime)"},0),2,3,4.5,7,10,12))*Sensitivity!$H$17,IF($G$13="Min Damage Multiplier %",(CHOOSE(MATCH($F$13,{"Rare","Epic","Unique","Legendary","Mystic","Mystic (Prime)"},0),2,3,4.5,7,10,12))*Sensitivity!$H$15,IF($G$13="Max Damage Multiplier %",(CHOOSE(MATCH($F$13,{"Rare","Epic","Unique","Legendary","Mystic","Mystic (Prime)"},0),2,3,4.5,7,10,12))*Sensitivity!$H$16,IF($G$13="Boss Monster Damage %",(CHOOSE(MATCH($F$13,{"Rare","Epic","Unique","Legendary","Mystic","Mystic (Prime)"},0),4,6,9,14,20,24))*Sensitivity!$H$12,IF($G$13="Normal Monster Damage %",(CHOOSE(MATCH($F$13,{"Rare","Epic","Unique","Legendary","Mystic","Mystic (Prime)"},0),4,6,9,14,20,24))*Sensitivity!$H$13,IF($G$13="Status Effect Damage %",0,IF($G$13="Damage %",(CHOOSE(MATCH($F$13,{"Rare","Epic","Unique","Legendary","Mystic","Mystic (Prime)"},0),4,6,9,14,20,24))*Sensitivity!$H$10,IF($G$13="Defense Penetration %",(CHOOSE(MATCH($F$13,{"Rare","Epic","Unique","Legendary","Mystic","Mystic (Prime)"},0),2,3,4.5,7,10,12))*Sensitivity!$H$20,0)))))))))))),0)</f>
        <v/>
      </c>
      <c r="L13">
        <f>Summary!$B$3*((IF(D13="(none)",1,1+(E13+IF(G13=D13,H13,0)+IF(J13=D13,K13,0))/Summary!$B$3))*(IF(OR(G13="(none)",G13=D13),1,1+(H13+IF(D13=G13,E13,0)+IF(J13=G13,K13,0))/Summary!$B$3))*(IF(OR(J13="",J13="(none)",J13=D13,J13=G13),1,1+(K13+IF(D13=J13,E13,0)+IF(G13=J13,H13,0))/Summary!$B$3))-1)</f>
        <v/>
      </c>
      <c r="M13">
        <f>OR(Inputs!$B$48="Mushmom's Cap",Inputs!$B$49="Mushmom's Cap",Inputs!$B$50="Mushmom's Cap",Inputs!$B$51="Mushmom's Cap")</f>
        <v/>
      </c>
      <c r="N13">
        <f>IF(B13="Not Unlocked",0,B13)</f>
        <v/>
      </c>
    </row>
    <row r="14">
      <c r="A14" s="6" t="inlineStr">
        <is>
          <t>Clear Spring Water</t>
        </is>
      </c>
      <c r="B14" s="7" t="n">
        <v>3</v>
      </c>
      <c r="C14" s="7" t="inlineStr">
        <is>
          <t>Rare</t>
        </is>
      </c>
      <c r="D14" s="7" t="inlineStr">
        <is>
          <t>(none)</t>
        </is>
      </c>
      <c r="E14">
        <f>IF($N$14&gt;=1,IF($D$14="Main Stat %",(CHOOSE(MATCH($C$14,{"Rare","Epic","Unique","Legendary","Mystic","Mystic (Prime)"},0),2,3,4.5,7,10,12))*Sensitivity!$H$6,IF($D$14="Damage Taken Decrease %",0,IF($D$14="Defense %",0,IF($D$14="Accuracy",0,IF($D$14="Critical Rate %",(CHOOSE(MATCH($C$14,{"Rare","Epic","Unique","Legendary","Mystic","Mystic (Prime)"},0),2,3,4.5,7,10,12))*Sensitivity!$H$17,IF($D$14="Min Damage Multiplier %",(CHOOSE(MATCH($C$14,{"Rare","Epic","Unique","Legendary","Mystic","Mystic (Prime)"},0),2,3,4.5,7,10,12))*Sensitivity!$H$15,IF($D$14="Max Damage Multiplier %",(CHOOSE(MATCH($C$14,{"Rare","Epic","Unique","Legendary","Mystic","Mystic (Prime)"},0),2,3,4.5,7,10,12))*Sensitivity!$H$16,IF($D$14="Boss Monster Damage %",(CHOOSE(MATCH($C$14,{"Rare","Epic","Unique","Legendary","Mystic","Mystic (Prime)"},0),4,6,9,14,20,24))*Sensitivity!$H$12,IF($D$14="Normal Monster Damage %",(CHOOSE(MATCH($C$14,{"Rare","Epic","Unique","Legendary","Mystic","Mystic (Prime)"},0),4,6,9,14,20,24))*Sensitivity!$H$13,IF($D$14="Status Effect Damage %",0,IF($D$14="Damage %",(CHOOSE(MATCH($C$14,{"Rare","Epic","Unique","Legendary","Mystic","Mystic (Prime)"},0),4,6,9,14,20,24))*Sensitivity!$H$10,IF($D$14="Defense Penetration %",(CHOOSE(MATCH($C$14,{"Rare","Epic","Unique","Legendary","Mystic","Mystic (Prime)"},0),2,3,4.5,7,10,12))*Sensitivity!$H$20,0)))))))))))),0)</f>
        <v/>
      </c>
      <c r="F14" s="7" t="inlineStr">
        <is>
          <t>Rare</t>
        </is>
      </c>
      <c r="G14" s="7" t="inlineStr">
        <is>
          <t>(none)</t>
        </is>
      </c>
      <c r="H14">
        <f>IF($N$14&gt;=2,IF($G$14="Main Stat %",(CHOOSE(MATCH($F$14,{"Rare","Epic","Unique","Legendary","Mystic","Mystic (Prime)"},0),2,3,4.5,7,10,12))*Sensitivity!$H$6,IF($G$14="Damage Taken Decrease %",0,IF($G$14="Defense %",0,IF($G$14="Accuracy",0,IF($G$14="Critical Rate %",(CHOOSE(MATCH($F$14,{"Rare","Epic","Unique","Legendary","Mystic","Mystic (Prime)"},0),2,3,4.5,7,10,12))*Sensitivity!$H$17,IF($G$14="Min Damage Multiplier %",(CHOOSE(MATCH($F$14,{"Rare","Epic","Unique","Legendary","Mystic","Mystic (Prime)"},0),2,3,4.5,7,10,12))*Sensitivity!$H$15,IF($G$14="Max Damage Multiplier %",(CHOOSE(MATCH($F$14,{"Rare","Epic","Unique","Legendary","Mystic","Mystic (Prime)"},0),2,3,4.5,7,10,12))*Sensitivity!$H$16,IF($G$14="Boss Monster Damage %",(CHOOSE(MATCH($F$14,{"Rare","Epic","Unique","Legendary","Mystic","Mystic (Prime)"},0),4,6,9,14,20,24))*Sensitivity!$H$12,IF($G$14="Normal Monster Damage %",(CHOOSE(MATCH($F$14,{"Rare","Epic","Unique","Legendary","Mystic","Mystic (Prime)"},0),4,6,9,14,20,24))*Sensitivity!$H$13,IF($G$14="Status Effect Damage %",0,IF($G$14="Damage %",(CHOOSE(MATCH($F$14,{"Rare","Epic","Unique","Legendary","Mystic","Mystic (Prime)"},0),4,6,9,14,20,24))*Sensitivity!$H$10,IF($G$14="Defense Penetration %",(CHOOSE(MATCH($F$14,{"Rare","Epic","Unique","Legendary","Mystic","Mystic (Prime)"},0),2,3,4.5,7,10,12))*Sensitivity!$H$20,0)))))))))))),0)</f>
        <v/>
      </c>
      <c r="L14">
        <f>Summary!$B$3*((IF(D14="(none)",1,1+(E14+IF(G14=D14,H14,0)+IF(J14=D14,K14,0))/Summary!$B$3))*(IF(OR(G14="(none)",G14=D14),1,1+(H14+IF(D14=G14,E14,0)+IF(J14=G14,K14,0))/Summary!$B$3))*(IF(OR(J14="",J14="(none)",J14=D14,J14=G14),1,1+(K14+IF(D14=J14,E14,0)+IF(G14=J14,H14,0))/Summary!$B$3))-1)</f>
        <v/>
      </c>
      <c r="M14">
        <f>OR(Inputs!$B$48="Clear Spring Water",Inputs!$B$49="Clear Spring Water",Inputs!$B$50="Clear Spring Water",Inputs!$B$51="Clear Spring Water")</f>
        <v/>
      </c>
      <c r="N14">
        <f>IF(B14="Not Unlocked",0,B14)</f>
        <v/>
      </c>
    </row>
    <row r="15">
      <c r="A15" s="6" t="inlineStr">
        <is>
          <t>Athena Pierce's Old Gloves</t>
        </is>
      </c>
      <c r="B15" s="7" t="n">
        <v>3</v>
      </c>
      <c r="C15" s="7" t="inlineStr">
        <is>
          <t>Rare</t>
        </is>
      </c>
      <c r="D15" s="7" t="inlineStr">
        <is>
          <t>(none)</t>
        </is>
      </c>
      <c r="E15">
        <f>IF($N$15&gt;=1,IF($D$15="Main Stat %",(CHOOSE(MATCH($C$15,{"Rare","Epic","Unique","Legendary","Mystic","Mystic (Prime)"},0),2,3,4.5,7,10,12))*Sensitivity!$H$6,IF($D$15="Damage Taken Decrease %",0,IF($D$15="Defense %",0,IF($D$15="Accuracy",0,IF($D$15="Critical Rate %",(CHOOSE(MATCH($C$15,{"Rare","Epic","Unique","Legendary","Mystic","Mystic (Prime)"},0),2,3,4.5,7,10,12))*Sensitivity!$H$17,IF($D$15="Min Damage Multiplier %",(CHOOSE(MATCH($C$15,{"Rare","Epic","Unique","Legendary","Mystic","Mystic (Prime)"},0),2,3,4.5,7,10,12))*Sensitivity!$H$15,IF($D$15="Max Damage Multiplier %",(CHOOSE(MATCH($C$15,{"Rare","Epic","Unique","Legendary","Mystic","Mystic (Prime)"},0),2,3,4.5,7,10,12))*Sensitivity!$H$16,IF($D$15="Boss Monster Damage %",(CHOOSE(MATCH($C$15,{"Rare","Epic","Unique","Legendary","Mystic","Mystic (Prime)"},0),4,6,9,14,20,24))*Sensitivity!$H$12,IF($D$15="Normal Monster Damage %",(CHOOSE(MATCH($C$15,{"Rare","Epic","Unique","Legendary","Mystic","Mystic (Prime)"},0),4,6,9,14,20,24))*Sensitivity!$H$13,IF($D$15="Status Effect Damage %",0,IF($D$15="Damage %",(CHOOSE(MATCH($C$15,{"Rare","Epic","Unique","Legendary","Mystic","Mystic (Prime)"},0),4,6,9,14,20,24))*Sensitivity!$H$10,IF($D$15="Defense Penetration %",(CHOOSE(MATCH($C$15,{"Rare","Epic","Unique","Legendary","Mystic","Mystic (Prime)"},0),2,3,4.5,7,10,12))*Sensitivity!$H$20,0)))))))))))),0)</f>
        <v/>
      </c>
      <c r="F15" s="7" t="inlineStr">
        <is>
          <t>Rare</t>
        </is>
      </c>
      <c r="G15" s="7" t="inlineStr">
        <is>
          <t>(none)</t>
        </is>
      </c>
      <c r="H15">
        <f>IF($N$15&gt;=2,IF($G$15="Main Stat %",(CHOOSE(MATCH($F$15,{"Rare","Epic","Unique","Legendary","Mystic","Mystic (Prime)"},0),2,3,4.5,7,10,12))*Sensitivity!$H$6,IF($G$15="Damage Taken Decrease %",0,IF($G$15="Defense %",0,IF($G$15="Accuracy",0,IF($G$15="Critical Rate %",(CHOOSE(MATCH($F$15,{"Rare","Epic","Unique","Legendary","Mystic","Mystic (Prime)"},0),2,3,4.5,7,10,12))*Sensitivity!$H$17,IF($G$15="Min Damage Multiplier %",(CHOOSE(MATCH($F$15,{"Rare","Epic","Unique","Legendary","Mystic","Mystic (Prime)"},0),2,3,4.5,7,10,12))*Sensitivity!$H$15,IF($G$15="Max Damage Multiplier %",(CHOOSE(MATCH($F$15,{"Rare","Epic","Unique","Legendary","Mystic","Mystic (Prime)"},0),2,3,4.5,7,10,12))*Sensitivity!$H$16,IF($G$15="Boss Monster Damage %",(CHOOSE(MATCH($F$15,{"Rare","Epic","Unique","Legendary","Mystic","Mystic (Prime)"},0),4,6,9,14,20,24))*Sensitivity!$H$12,IF($G$15="Normal Monster Damage %",(CHOOSE(MATCH($F$15,{"Rare","Epic","Unique","Legendary","Mystic","Mystic (Prime)"},0),4,6,9,14,20,24))*Sensitivity!$H$13,IF($G$15="Status Effect Damage %",0,IF($G$15="Damage %",(CHOOSE(MATCH($F$15,{"Rare","Epic","Unique","Legendary","Mystic","Mystic (Prime)"},0),4,6,9,14,20,24))*Sensitivity!$H$10,IF($G$15="Defense Penetration %",(CHOOSE(MATCH($F$15,{"Rare","Epic","Unique","Legendary","Mystic","Mystic (Prime)"},0),2,3,4.5,7,10,12))*Sensitivity!$H$20,0)))))))))))),0)</f>
        <v/>
      </c>
      <c r="L15">
        <f>Summary!$B$3*((IF(D15="(none)",1,1+(E15+IF(G15=D15,H15,0)+IF(J15=D15,K15,0))/Summary!$B$3))*(IF(OR(G15="(none)",G15=D15),1,1+(H15+IF(D15=G15,E15,0)+IF(J15=G15,K15,0))/Summary!$B$3))*(IF(OR(J15="",J15="(none)",J15=D15,J15=G15),1,1+(K15+IF(D15=J15,E15,0)+IF(G15=J15,H15,0))/Summary!$B$3))-1)</f>
        <v/>
      </c>
      <c r="M15">
        <f>OR(Inputs!$B$48="Athena Pierce's Old Gloves",Inputs!$B$49="Athena Pierce's Old Gloves",Inputs!$B$50="Athena Pierce's Old Gloves",Inputs!$B$51="Athena Pierce's Old Gloves")</f>
        <v/>
      </c>
      <c r="N15">
        <f>IF(B15="Not Unlocked",0,B15)</f>
        <v/>
      </c>
    </row>
    <row r="16">
      <c r="A16" s="6" t="inlineStr">
        <is>
          <t>Zakum's Stone Piece</t>
        </is>
      </c>
      <c r="B16" s="7" t="n">
        <v>3</v>
      </c>
      <c r="C16" s="7" t="inlineStr">
        <is>
          <t>Rare</t>
        </is>
      </c>
      <c r="D16" s="7" t="inlineStr">
        <is>
          <t>(none)</t>
        </is>
      </c>
      <c r="E16">
        <f>IF($N$16&gt;=1,IF($D$16="Main Stat %",(CHOOSE(MATCH($C$16,{"Rare","Epic","Unique","Legendary","Mystic","Mystic (Prime)"},0),2,3,4.5,7,10,12))*Sensitivity!$H$6,IF($D$16="Damage Taken Decrease %",0,IF($D$16="Defense %",0,IF($D$16="Accuracy",0,IF($D$16="Critical Rate %",(CHOOSE(MATCH($C$16,{"Rare","Epic","Unique","Legendary","Mystic","Mystic (Prime)"},0),2,3,4.5,7,10,12))*Sensitivity!$H$17,IF($D$16="Min Damage Multiplier %",(CHOOSE(MATCH($C$16,{"Rare","Epic","Unique","Legendary","Mystic","Mystic (Prime)"},0),2,3,4.5,7,10,12))*Sensitivity!$H$15,IF($D$16="Max Damage Multiplier %",(CHOOSE(MATCH($C$16,{"Rare","Epic","Unique","Legendary","Mystic","Mystic (Prime)"},0),2,3,4.5,7,10,12))*Sensitivity!$H$16,IF($D$16="Boss Monster Damage %",(CHOOSE(MATCH($C$16,{"Rare","Epic","Unique","Legendary","Mystic","Mystic (Prime)"},0),4,6,9,14,20,24))*Sensitivity!$H$12,IF($D$16="Normal Monster Damage %",(CHOOSE(MATCH($C$16,{"Rare","Epic","Unique","Legendary","Mystic","Mystic (Prime)"},0),4,6,9,14,20,24))*Sensitivity!$H$13,IF($D$16="Status Effect Damage %",0,IF($D$16="Damage %",(CHOOSE(MATCH($C$16,{"Rare","Epic","Unique","Legendary","Mystic","Mystic (Prime)"},0),4,6,9,14,20,24))*Sensitivity!$H$10,IF($D$16="Defense Penetration %",(CHOOSE(MATCH($C$16,{"Rare","Epic","Unique","Legendary","Mystic","Mystic (Prime)"},0),2,3,4.5,7,10,12))*Sensitivity!$H$20,0)))))))))))),0)</f>
        <v/>
      </c>
      <c r="F16" s="7" t="inlineStr">
        <is>
          <t>Rare</t>
        </is>
      </c>
      <c r="G16" s="7" t="inlineStr">
        <is>
          <t>(none)</t>
        </is>
      </c>
      <c r="H16">
        <f>IF($N$16&gt;=2,IF($G$16="Main Stat %",(CHOOSE(MATCH($F$16,{"Rare","Epic","Unique","Legendary","Mystic","Mystic (Prime)"},0),2,3,4.5,7,10,12))*Sensitivity!$H$6,IF($G$16="Damage Taken Decrease %",0,IF($G$16="Defense %",0,IF($G$16="Accuracy",0,IF($G$16="Critical Rate %",(CHOOSE(MATCH($F$16,{"Rare","Epic","Unique","Legendary","Mystic","Mystic (Prime)"},0),2,3,4.5,7,10,12))*Sensitivity!$H$17,IF($G$16="Min Damage Multiplier %",(CHOOSE(MATCH($F$16,{"Rare","Epic","Unique","Legendary","Mystic","Mystic (Prime)"},0),2,3,4.5,7,10,12))*Sensitivity!$H$15,IF($G$16="Max Damage Multiplier %",(CHOOSE(MATCH($F$16,{"Rare","Epic","Unique","Legendary","Mystic","Mystic (Prime)"},0),2,3,4.5,7,10,12))*Sensitivity!$H$16,IF($G$16="Boss Monster Damage %",(CHOOSE(MATCH($F$16,{"Rare","Epic","Unique","Legendary","Mystic","Mystic (Prime)"},0),4,6,9,14,20,24))*Sensitivity!$H$12,IF($G$16="Normal Monster Damage %",(CHOOSE(MATCH($F$16,{"Rare","Epic","Unique","Legendary","Mystic","Mystic (Prime)"},0),4,6,9,14,20,24))*Sensitivity!$H$13,IF($G$16="Status Effect Damage %",0,IF($G$16="Damage %",(CHOOSE(MATCH($F$16,{"Rare","Epic","Unique","Legendary","Mystic","Mystic (Prime)"},0),4,6,9,14,20,24))*Sensitivity!$H$10,IF($G$16="Defense Penetration %",(CHOOSE(MATCH($F$16,{"Rare","Epic","Unique","Legendary","Mystic","Mystic (Prime)"},0),2,3,4.5,7,10,12))*Sensitivity!$H$20,0)))))))))))),0)</f>
        <v/>
      </c>
      <c r="L16">
        <f>Summary!$B$3*((IF(D16="(none)",1,1+(E16+IF(G16=D16,H16,0)+IF(J16=D16,K16,0))/Summary!$B$3))*(IF(OR(G16="(none)",G16=D16),1,1+(H16+IF(D16=G16,E16,0)+IF(J16=G16,K16,0))/Summary!$B$3))*(IF(OR(J16="",J16="(none)",J16=D16,J16=G16),1,1+(K16+IF(D16=J16,E16,0)+IF(G16=J16,H16,0))/Summary!$B$3))-1)</f>
        <v/>
      </c>
      <c r="M16">
        <f>OR(Inputs!$B$48="Zakum's Stone Piece",Inputs!$B$49="Zakum's Stone Piece",Inputs!$B$50="Zakum's Stone Piece",Inputs!$B$51="Zakum's Stone Piece")</f>
        <v/>
      </c>
      <c r="N16">
        <f>IF(B16="Not Unlocked",0,B16)</f>
        <v/>
      </c>
    </row>
    <row r="17">
      <c r="A17" s="6" t="inlineStr">
        <is>
          <t>Horntail's Scale</t>
        </is>
      </c>
      <c r="B17" s="7" t="n">
        <v>3</v>
      </c>
      <c r="C17" s="7" t="inlineStr">
        <is>
          <t>Rare</t>
        </is>
      </c>
      <c r="D17" s="7" t="inlineStr">
        <is>
          <t>(none)</t>
        </is>
      </c>
      <c r="E17">
        <f>IF($N$17&gt;=1,IF($D$17="Main Stat %",(CHOOSE(MATCH($C$17,{"Rare","Epic","Unique","Legendary","Mystic","Mystic (Prime)"},0),2,3,4.5,7,10,12))*Sensitivity!$H$6,IF($D$17="Damage Taken Decrease %",0,IF($D$17="Defense %",0,IF($D$17="Accuracy",0,IF($D$17="Critical Rate %",(CHOOSE(MATCH($C$17,{"Rare","Epic","Unique","Legendary","Mystic","Mystic (Prime)"},0),2,3,4.5,7,10,12))*Sensitivity!$H$17,IF($D$17="Min Damage Multiplier %",(CHOOSE(MATCH($C$17,{"Rare","Epic","Unique","Legendary","Mystic","Mystic (Prime)"},0),2,3,4.5,7,10,12))*Sensitivity!$H$15,IF($D$17="Max Damage Multiplier %",(CHOOSE(MATCH($C$17,{"Rare","Epic","Unique","Legendary","Mystic","Mystic (Prime)"},0),2,3,4.5,7,10,12))*Sensitivity!$H$16,IF($D$17="Boss Monster Damage %",(CHOOSE(MATCH($C$17,{"Rare","Epic","Unique","Legendary","Mystic","Mystic (Prime)"},0),4,6,9,14,20,24))*Sensitivity!$H$12,IF($D$17="Normal Monster Damage %",(CHOOSE(MATCH($C$17,{"Rare","Epic","Unique","Legendary","Mystic","Mystic (Prime)"},0),4,6,9,14,20,24))*Sensitivity!$H$13,IF($D$17="Status Effect Damage %",0,IF($D$17="Damage %",(CHOOSE(MATCH($C$17,{"Rare","Epic","Unique","Legendary","Mystic","Mystic (Prime)"},0),4,6,9,14,20,24))*Sensitivity!$H$10,IF($D$17="Defense Penetration %",(CHOOSE(MATCH($C$17,{"Rare","Epic","Unique","Legendary","Mystic","Mystic (Prime)"},0),2,3,4.5,7,10,12))*Sensitivity!$H$20,0)))))))))))),0)</f>
        <v/>
      </c>
      <c r="F17" s="7" t="inlineStr">
        <is>
          <t>Rare</t>
        </is>
      </c>
      <c r="G17" s="7" t="inlineStr">
        <is>
          <t>(none)</t>
        </is>
      </c>
      <c r="H17">
        <f>IF($N$17&gt;=2,IF($G$17="Main Stat %",(CHOOSE(MATCH($F$17,{"Rare","Epic","Unique","Legendary","Mystic","Mystic (Prime)"},0),2,3,4.5,7,10,12))*Sensitivity!$H$6,IF($G$17="Damage Taken Decrease %",0,IF($G$17="Defense %",0,IF($G$17="Accuracy",0,IF($G$17="Critical Rate %",(CHOOSE(MATCH($F$17,{"Rare","Epic","Unique","Legendary","Mystic","Mystic (Prime)"},0),2,3,4.5,7,10,12))*Sensitivity!$H$17,IF($G$17="Min Damage Multiplier %",(CHOOSE(MATCH($F$17,{"Rare","Epic","Unique","Legendary","Mystic","Mystic (Prime)"},0),2,3,4.5,7,10,12))*Sensitivity!$H$15,IF($G$17="Max Damage Multiplier %",(CHOOSE(MATCH($F$17,{"Rare","Epic","Unique","Legendary","Mystic","Mystic (Prime)"},0),2,3,4.5,7,10,12))*Sensitivity!$H$16,IF($G$17="Boss Monster Damage %",(CHOOSE(MATCH($F$17,{"Rare","Epic","Unique","Legendary","Mystic","Mystic (Prime)"},0),4,6,9,14,20,24))*Sensitivity!$H$12,IF($G$17="Normal Monster Damage %",(CHOOSE(MATCH($F$17,{"Rare","Epic","Unique","Legendary","Mystic","Mystic (Prime)"},0),4,6,9,14,20,24))*Sensitivity!$H$13,IF($G$17="Status Effect Damage %",0,IF($G$17="Damage %",(CHOOSE(MATCH($F$17,{"Rare","Epic","Unique","Legendary","Mystic","Mystic (Prime)"},0),4,6,9,14,20,24))*Sensitivity!$H$10,IF($G$17="Defense Penetration %",(CHOOSE(MATCH($F$17,{"Rare","Epic","Unique","Legendary","Mystic","Mystic (Prime)"},0),2,3,4.5,7,10,12))*Sensitivity!$H$20,0)))))))))))),0)</f>
        <v/>
      </c>
      <c r="L17">
        <f>Summary!$B$3*((IF(D17="(none)",1,1+(E17+IF(G17=D17,H17,0)+IF(J17=D17,K17,0))/Summary!$B$3))*(IF(OR(G17="(none)",G17=D17),1,1+(H17+IF(D17=G17,E17,0)+IF(J17=G17,K17,0))/Summary!$B$3))*(IF(OR(J17="",J17="(none)",J17=D17,J17=G17),1,1+(K17+IF(D17=J17,E17,0)+IF(G17=J17,H17,0))/Summary!$B$3))-1)</f>
        <v/>
      </c>
      <c r="M17">
        <f>OR(Inputs!$B$48="Horntail's Scale",Inputs!$B$49="Horntail's Scale",Inputs!$B$50="Horntail's Scale",Inputs!$B$51="Horntail's Scale")</f>
        <v/>
      </c>
      <c r="N17">
        <f>IF(B17="Not Unlocked",0,B17)</f>
        <v/>
      </c>
    </row>
    <row r="18">
      <c r="A18" s="6" t="inlineStr">
        <is>
          <t>Pink Bean's Giant Rib</t>
        </is>
      </c>
      <c r="B18" s="7" t="n">
        <v>3</v>
      </c>
      <c r="C18" s="7" t="inlineStr">
        <is>
          <t>Rare</t>
        </is>
      </c>
      <c r="D18" s="7" t="inlineStr">
        <is>
          <t>(none)</t>
        </is>
      </c>
      <c r="E18">
        <f>IF($N$18&gt;=1,IF($D$18="Main Stat %",(CHOOSE(MATCH($C$18,{"Rare","Epic","Unique","Legendary","Mystic","Mystic (Prime)"},0),2,3,4.5,7,10,12))*Sensitivity!$H$6,IF($D$18="Damage Taken Decrease %",0,IF($D$18="Defense %",0,IF($D$18="Accuracy",0,IF($D$18="Critical Rate %",(CHOOSE(MATCH($C$18,{"Rare","Epic","Unique","Legendary","Mystic","Mystic (Prime)"},0),2,3,4.5,7,10,12))*Sensitivity!$H$17,IF($D$18="Min Damage Multiplier %",(CHOOSE(MATCH($C$18,{"Rare","Epic","Unique","Legendary","Mystic","Mystic (Prime)"},0),2,3,4.5,7,10,12))*Sensitivity!$H$15,IF($D$18="Max Damage Multiplier %",(CHOOSE(MATCH($C$18,{"Rare","Epic","Unique","Legendary","Mystic","Mystic (Prime)"},0),2,3,4.5,7,10,12))*Sensitivity!$H$16,IF($D$18="Boss Monster Damage %",(CHOOSE(MATCH($C$18,{"Rare","Epic","Unique","Legendary","Mystic","Mystic (Prime)"},0),4,6,9,14,20,24))*Sensitivity!$H$12,IF($D$18="Normal Monster Damage %",(CHOOSE(MATCH($C$18,{"Rare","Epic","Unique","Legendary","Mystic","Mystic (Prime)"},0),4,6,9,14,20,24))*Sensitivity!$H$13,IF($D$18="Status Effect Damage %",0,IF($D$18="Damage %",(CHOOSE(MATCH($C$18,{"Rare","Epic","Unique","Legendary","Mystic","Mystic (Prime)"},0),4,6,9,14,20,24))*Sensitivity!$H$10,IF($D$18="Defense Penetration %",(CHOOSE(MATCH($C$18,{"Rare","Epic","Unique","Legendary","Mystic","Mystic (Prime)"},0),2,3,4.5,7,10,12))*Sensitivity!$H$20,0)))))))))))),0)</f>
        <v/>
      </c>
      <c r="F18" s="7" t="inlineStr">
        <is>
          <t>Rare</t>
        </is>
      </c>
      <c r="G18" s="7" t="inlineStr">
        <is>
          <t>(none)</t>
        </is>
      </c>
      <c r="H18">
        <f>IF($N$18&gt;=2,IF($G$18="Main Stat %",(CHOOSE(MATCH($F$18,{"Rare","Epic","Unique","Legendary","Mystic","Mystic (Prime)"},0),2,3,4.5,7,10,12))*Sensitivity!$H$6,IF($G$18="Damage Taken Decrease %",0,IF($G$18="Defense %",0,IF($G$18="Accuracy",0,IF($G$18="Critical Rate %",(CHOOSE(MATCH($F$18,{"Rare","Epic","Unique","Legendary","Mystic","Mystic (Prime)"},0),2,3,4.5,7,10,12))*Sensitivity!$H$17,IF($G$18="Min Damage Multiplier %",(CHOOSE(MATCH($F$18,{"Rare","Epic","Unique","Legendary","Mystic","Mystic (Prime)"},0),2,3,4.5,7,10,12))*Sensitivity!$H$15,IF($G$18="Max Damage Multiplier %",(CHOOSE(MATCH($F$18,{"Rare","Epic","Unique","Legendary","Mystic","Mystic (Prime)"},0),2,3,4.5,7,10,12))*Sensitivity!$H$16,IF($G$18="Boss Monster Damage %",(CHOOSE(MATCH($F$18,{"Rare","Epic","Unique","Legendary","Mystic","Mystic (Prime)"},0),4,6,9,14,20,24))*Sensitivity!$H$12,IF($G$18="Normal Monster Damage %",(CHOOSE(MATCH($F$18,{"Rare","Epic","Unique","Legendary","Mystic","Mystic (Prime)"},0),4,6,9,14,20,24))*Sensitivity!$H$13,IF($G$18="Status Effect Damage %",0,IF($G$18="Damage %",(CHOOSE(MATCH($F$18,{"Rare","Epic","Unique","Legendary","Mystic","Mystic (Prime)"},0),4,6,9,14,20,24))*Sensitivity!$H$10,IF($G$18="Defense Penetration %",(CHOOSE(MATCH($F$18,{"Rare","Epic","Unique","Legendary","Mystic","Mystic (Prime)"},0),2,3,4.5,7,10,12))*Sensitivity!$H$20,0)))))))))))),0)</f>
        <v/>
      </c>
      <c r="L18">
        <f>Summary!$B$3*((IF(D18="(none)",1,1+(E18+IF(G18=D18,H18,0)+IF(J18=D18,K18,0))/Summary!$B$3))*(IF(OR(G18="(none)",G18=D18),1,1+(H18+IF(D18=G18,E18,0)+IF(J18=G18,K18,0))/Summary!$B$3))*(IF(OR(J18="",J18="(none)",J18=D18,J18=G18),1,1+(K18+IF(D18=J18,E18,0)+IF(G18=J18,H18,0))/Summary!$B$3))-1)</f>
        <v/>
      </c>
      <c r="M18">
        <f>OR(Inputs!$B$48="Pink Bean's Giant Rib",Inputs!$B$49="Pink Bean's Giant Rib",Inputs!$B$50="Pink Bean's Giant Rib",Inputs!$B$51="Pink Bean's Giant Rib")</f>
        <v/>
      </c>
      <c r="N18">
        <f>IF(B18="Not Unlocked",0,B18)</f>
        <v/>
      </c>
    </row>
    <row r="20">
      <c r="A20" s="6" t="inlineStr">
        <is>
          <t>Chalice</t>
        </is>
      </c>
      <c r="B20" s="7" t="inlineStr">
        <is>
          <t>Not Unlocked</t>
        </is>
      </c>
      <c r="C20" s="7" t="inlineStr">
        <is>
          <t>Rare</t>
        </is>
      </c>
      <c r="D20" s="7" t="inlineStr">
        <is>
          <t>(none)</t>
        </is>
      </c>
      <c r="E20">
        <f>IF($N$20&gt;=1,IF($D$20="Main Stat %",(CHOOSE(MATCH($C$20,{"Rare","Epic","Unique","Legendary","Mystic","Mystic (Prime)"},0),2,3,4.5,7,10,12))*Sensitivity!$H$6,IF($D$20="Damage Taken Decrease %",0,IF($D$20="Defense %",0,IF($D$20="Accuracy",0,IF($D$20="Critical Rate %",(CHOOSE(MATCH($C$20,{"Rare","Epic","Unique","Legendary","Mystic","Mystic (Prime)"},0),2,3,4.5,7,10,12))*Sensitivity!$H$17,IF($D$20="Min Damage Multiplier %",(CHOOSE(MATCH($C$20,{"Rare","Epic","Unique","Legendary","Mystic","Mystic (Prime)"},0),2,3,4.5,7,10,12))*Sensitivity!$H$15,IF($D$20="Max Damage Multiplier %",(CHOOSE(MATCH($C$20,{"Rare","Epic","Unique","Legendary","Mystic","Mystic (Prime)"},0),2,3,4.5,7,10,12))*Sensitivity!$H$16,IF($D$20="Boss Monster Damage %",(CHOOSE(MATCH($C$20,{"Rare","Epic","Unique","Legendary","Mystic","Mystic (Prime)"},0),4,6,9,14,20,24))*Sensitivity!$H$12,IF($D$20="Normal Monster Damage %",(CHOOSE(MATCH($C$20,{"Rare","Epic","Unique","Legendary","Mystic","Mystic (Prime)"},0),4,6,9,14,20,24))*Sensitivity!$H$13,IF($D$20="Status Effect Damage %",0,IF($D$20="Damage %",(CHOOSE(MATCH($C$20,{"Rare","Epic","Unique","Legendary","Mystic","Mystic (Prime)"},0),4,6,9,14,20,24))*Sensitivity!$H$10,IF($D$20="Defense Penetration %",(CHOOSE(MATCH($C$20,{"Rare","Epic","Unique","Legendary","Mystic","Mystic (Prime)"},0),2,3,4.5,7,10,12))*Sensitivity!$H$20,0)))))))))))),0)</f>
        <v/>
      </c>
      <c r="F20" s="7" t="inlineStr">
        <is>
          <t>Rare</t>
        </is>
      </c>
      <c r="G20" s="7" t="inlineStr">
        <is>
          <t>(none)</t>
        </is>
      </c>
      <c r="H20">
        <f>IF($N$20&gt;=2,IF($G$20="Main Stat %",(CHOOSE(MATCH($F$20,{"Rare","Epic","Unique","Legendary","Mystic","Mystic (Prime)"},0),2,3,4.5,7,10,12))*Sensitivity!$H$6,IF($G$20="Damage Taken Decrease %",0,IF($G$20="Defense %",0,IF($G$20="Accuracy",0,IF($G$20="Critical Rate %",(CHOOSE(MATCH($F$20,{"Rare","Epic","Unique","Legendary","Mystic","Mystic (Prime)"},0),2,3,4.5,7,10,12))*Sensitivity!$H$17,IF($G$20="Min Damage Multiplier %",(CHOOSE(MATCH($F$20,{"Rare","Epic","Unique","Legendary","Mystic","Mystic (Prime)"},0),2,3,4.5,7,10,12))*Sensitivity!$H$15,IF($G$20="Max Damage Multiplier %",(CHOOSE(MATCH($F$20,{"Rare","Epic","Unique","Legendary","Mystic","Mystic (Prime)"},0),2,3,4.5,7,10,12))*Sensitivity!$H$16,IF($G$20="Boss Monster Damage %",(CHOOSE(MATCH($F$20,{"Rare","Epic","Unique","Legendary","Mystic","Mystic (Prime)"},0),4,6,9,14,20,24))*Sensitivity!$H$12,IF($G$20="Normal Monster Damage %",(CHOOSE(MATCH($F$20,{"Rare","Epic","Unique","Legendary","Mystic","Mystic (Prime)"},0),4,6,9,14,20,24))*Sensitivity!$H$13,IF($G$20="Status Effect Damage %",0,IF($G$20="Damage %",(CHOOSE(MATCH($F$20,{"Rare","Epic","Unique","Legendary","Mystic","Mystic (Prime)"},0),4,6,9,14,20,24))*Sensitivity!$H$10,IF($G$20="Defense Penetration %",(CHOOSE(MATCH($F$20,{"Rare","Epic","Unique","Legendary","Mystic","Mystic (Prime)"},0),2,3,4.5,7,10,12))*Sensitivity!$H$20,0)))))))))))),0)</f>
        <v/>
      </c>
      <c r="I20" s="7" t="inlineStr">
        <is>
          <t>Rare</t>
        </is>
      </c>
      <c r="J20" s="7" t="inlineStr">
        <is>
          <t>(none)</t>
        </is>
      </c>
      <c r="K20">
        <f>IF($N$20&gt;=5,IF($J$20="Main Stat %",(CHOOSE(MATCH($I$20,{"Rare","Epic","Unique","Legendary","Mystic","Mystic (Prime)"},0),2,3,4.5,7,10,12))*Sensitivity!$H$6,IF($J$20="Damage Taken Decrease %",0,IF($J$20="Defense %",0,IF($J$20="Accuracy",0,IF($J$20="Critical Rate %",(CHOOSE(MATCH($I$20,{"Rare","Epic","Unique","Legendary","Mystic","Mystic (Prime)"},0),2,3,4.5,7,10,12))*Sensitivity!$H$17,IF($J$20="Min Damage Multiplier %",(CHOOSE(MATCH($I$20,{"Rare","Epic","Unique","Legendary","Mystic","Mystic (Prime)"},0),2,3,4.5,7,10,12))*Sensitivity!$H$15,IF($J$20="Max Damage Multiplier %",(CHOOSE(MATCH($I$20,{"Rare","Epic","Unique","Legendary","Mystic","Mystic (Prime)"},0),2,3,4.5,7,10,12))*Sensitivity!$H$16,IF($J$20="Boss Monster Damage %",(CHOOSE(MATCH($I$20,{"Rare","Epic","Unique","Legendary","Mystic","Mystic (Prime)"},0),4,6,9,14,20,24))*Sensitivity!$H$12,IF($J$20="Normal Monster Damage %",(CHOOSE(MATCH($I$20,{"Rare","Epic","Unique","Legendary","Mystic","Mystic (Prime)"},0),4,6,9,14,20,24))*Sensitivity!$H$13,IF($J$20="Status Effect Damage %",0,IF($J$20="Damage %",(CHOOSE(MATCH($I$20,{"Rare","Epic","Unique","Legendary","Mystic","Mystic (Prime)"},0),4,6,9,14,20,24))*Sensitivity!$H$10,IF($J$20="Defense Penetration %",(CHOOSE(MATCH($I$20,{"Rare","Epic","Unique","Legendary","Mystic","Mystic (Prime)"},0),2,3,4.5,7,10,12))*Sensitivity!$H$20,0)))))))))))),0)</f>
        <v/>
      </c>
      <c r="L20">
        <f>Summary!$B$3*((IF(D20="(none)",1,1+(E20+IF(G20=D20,H20,0)+IF(J20=D20,K20,0))/Summary!$B$3))*(IF(OR(G20="(none)",G20=D20),1,1+(H20+IF(D20=G20,E20,0)+IF(J20=G20,K20,0))/Summary!$B$3))*(IF(OR(J20="",J20="(none)",J20=D20,J20=G20),1,1+(K20+IF(D20=J20,E20,0)+IF(G20=J20,H20,0))/Summary!$B$3))-1)</f>
        <v/>
      </c>
      <c r="M20">
        <f>OR(Inputs!$B$48="Chalice",Inputs!$B$49="Chalice",Inputs!$B$50="Chalice",Inputs!$B$51="Chalice")</f>
        <v/>
      </c>
      <c r="N20">
        <f>IF(B20="Not Unlocked",0,B20)</f>
        <v/>
      </c>
    </row>
    <row r="21">
      <c r="A21" s="6" t="inlineStr">
        <is>
          <t>Old Music Box</t>
        </is>
      </c>
      <c r="B21" s="7" t="inlineStr">
        <is>
          <t>Not Unlocked</t>
        </is>
      </c>
      <c r="C21" s="7" t="inlineStr">
        <is>
          <t>Rare</t>
        </is>
      </c>
      <c r="D21" s="7" t="inlineStr">
        <is>
          <t>(none)</t>
        </is>
      </c>
      <c r="E21">
        <f>IF($N$21&gt;=1,IF($D$21="Main Stat %",(CHOOSE(MATCH($C$21,{"Rare","Epic","Unique","Legendary","Mystic","Mystic (Prime)"},0),2,3,4.5,7,10,12))*Sensitivity!$H$6,IF($D$21="Damage Taken Decrease %",0,IF($D$21="Defense %",0,IF($D$21="Accuracy",0,IF($D$21="Critical Rate %",(CHOOSE(MATCH($C$21,{"Rare","Epic","Unique","Legendary","Mystic","Mystic (Prime)"},0),2,3,4.5,7,10,12))*Sensitivity!$H$17,IF($D$21="Min Damage Multiplier %",(CHOOSE(MATCH($C$21,{"Rare","Epic","Unique","Legendary","Mystic","Mystic (Prime)"},0),2,3,4.5,7,10,12))*Sensitivity!$H$15,IF($D$21="Max Damage Multiplier %",(CHOOSE(MATCH($C$21,{"Rare","Epic","Unique","Legendary","Mystic","Mystic (Prime)"},0),2,3,4.5,7,10,12))*Sensitivity!$H$16,IF($D$21="Boss Monster Damage %",(CHOOSE(MATCH($C$21,{"Rare","Epic","Unique","Legendary","Mystic","Mystic (Prime)"},0),4,6,9,14,20,24))*Sensitivity!$H$12,IF($D$21="Normal Monster Damage %",(CHOOSE(MATCH($C$21,{"Rare","Epic","Unique","Legendary","Mystic","Mystic (Prime)"},0),4,6,9,14,20,24))*Sensitivity!$H$13,IF($D$21="Status Effect Damage %",0,IF($D$21="Damage %",(CHOOSE(MATCH($C$21,{"Rare","Epic","Unique","Legendary","Mystic","Mystic (Prime)"},0),4,6,9,14,20,24))*Sensitivity!$H$10,IF($D$21="Defense Penetration %",(CHOOSE(MATCH($C$21,{"Rare","Epic","Unique","Legendary","Mystic","Mystic (Prime)"},0),2,3,4.5,7,10,12))*Sensitivity!$H$20,0)))))))))))),0)</f>
        <v/>
      </c>
      <c r="F21" s="7" t="inlineStr">
        <is>
          <t>Rare</t>
        </is>
      </c>
      <c r="G21" s="7" t="inlineStr">
        <is>
          <t>(none)</t>
        </is>
      </c>
      <c r="H21">
        <f>IF($N$21&gt;=2,IF($G$21="Main Stat %",(CHOOSE(MATCH($F$21,{"Rare","Epic","Unique","Legendary","Mystic","Mystic (Prime)"},0),2,3,4.5,7,10,12))*Sensitivity!$H$6,IF($G$21="Damage Taken Decrease %",0,IF($G$21="Defense %",0,IF($G$21="Accuracy",0,IF($G$21="Critical Rate %",(CHOOSE(MATCH($F$21,{"Rare","Epic","Unique","Legendary","Mystic","Mystic (Prime)"},0),2,3,4.5,7,10,12))*Sensitivity!$H$17,IF($G$21="Min Damage Multiplier %",(CHOOSE(MATCH($F$21,{"Rare","Epic","Unique","Legendary","Mystic","Mystic (Prime)"},0),2,3,4.5,7,10,12))*Sensitivity!$H$15,IF($G$21="Max Damage Multiplier %",(CHOOSE(MATCH($F$21,{"Rare","Epic","Unique","Legendary","Mystic","Mystic (Prime)"},0),2,3,4.5,7,10,12))*Sensitivity!$H$16,IF($G$21="Boss Monster Damage %",(CHOOSE(MATCH($F$21,{"Rare","Epic","Unique","Legendary","Mystic","Mystic (Prime)"},0),4,6,9,14,20,24))*Sensitivity!$H$12,IF($G$21="Normal Monster Damage %",(CHOOSE(MATCH($F$21,{"Rare","Epic","Unique","Legendary","Mystic","Mystic (Prime)"},0),4,6,9,14,20,24))*Sensitivity!$H$13,IF($G$21="Status Effect Damage %",0,IF($G$21="Damage %",(CHOOSE(MATCH($F$21,{"Rare","Epic","Unique","Legendary","Mystic","Mystic (Prime)"},0),4,6,9,14,20,24))*Sensitivity!$H$10,IF($G$21="Defense Penetration %",(CHOOSE(MATCH($F$21,{"Rare","Epic","Unique","Legendary","Mystic","Mystic (Prime)"},0),2,3,4.5,7,10,12))*Sensitivity!$H$20,0)))))))))))),0)</f>
        <v/>
      </c>
      <c r="I21" s="7" t="inlineStr">
        <is>
          <t>Rare</t>
        </is>
      </c>
      <c r="J21" s="7" t="inlineStr">
        <is>
          <t>(none)</t>
        </is>
      </c>
      <c r="K21">
        <f>IF($N$21&gt;=5,IF($J$21="Main Stat %",(CHOOSE(MATCH($I$21,{"Rare","Epic","Unique","Legendary","Mystic","Mystic (Prime)"},0),2,3,4.5,7,10,12))*Sensitivity!$H$6,IF($J$21="Damage Taken Decrease %",0,IF($J$21="Defense %",0,IF($J$21="Accuracy",0,IF($J$21="Critical Rate %",(CHOOSE(MATCH($I$21,{"Rare","Epic","Unique","Legendary","Mystic","Mystic (Prime)"},0),2,3,4.5,7,10,12))*Sensitivity!$H$17,IF($J$21="Min Damage Multiplier %",(CHOOSE(MATCH($I$21,{"Rare","Epic","Unique","Legendary","Mystic","Mystic (Prime)"},0),2,3,4.5,7,10,12))*Sensitivity!$H$15,IF($J$21="Max Damage Multiplier %",(CHOOSE(MATCH($I$21,{"Rare","Epic","Unique","Legendary","Mystic","Mystic (Prime)"},0),2,3,4.5,7,10,12))*Sensitivity!$H$16,IF($J$21="Boss Monster Damage %",(CHOOSE(MATCH($I$21,{"Rare","Epic","Unique","Legendary","Mystic","Mystic (Prime)"},0),4,6,9,14,20,24))*Sensitivity!$H$12,IF($J$21="Normal Monster Damage %",(CHOOSE(MATCH($I$21,{"Rare","Epic","Unique","Legendary","Mystic","Mystic (Prime)"},0),4,6,9,14,20,24))*Sensitivity!$H$13,IF($J$21="Status Effect Damage %",0,IF($J$21="Damage %",(CHOOSE(MATCH($I$21,{"Rare","Epic","Unique","Legendary","Mystic","Mystic (Prime)"},0),4,6,9,14,20,24))*Sensitivity!$H$10,IF($J$21="Defense Penetration %",(CHOOSE(MATCH($I$21,{"Rare","Epic","Unique","Legendary","Mystic","Mystic (Prime)"},0),2,3,4.5,7,10,12))*Sensitivity!$H$20,0)))))))))))),0)</f>
        <v/>
      </c>
      <c r="L21">
        <f>Summary!$B$3*((IF(D21="(none)",1,1+(E21+IF(G21=D21,H21,0)+IF(J21=D21,K21,0))/Summary!$B$3))*(IF(OR(G21="(none)",G21=D21),1,1+(H21+IF(D21=G21,E21,0)+IF(J21=G21,K21,0))/Summary!$B$3))*(IF(OR(J21="",J21="(none)",J21=D21,J21=G21),1,1+(K21+IF(D21=J21,E21,0)+IF(G21=J21,H21,0))/Summary!$B$3))-1)</f>
        <v/>
      </c>
      <c r="M21">
        <f>OR(Inputs!$B$48="Old Music Box",Inputs!$B$49="Old Music Box",Inputs!$B$50="Old Music Box",Inputs!$B$51="Old Music Box")</f>
        <v/>
      </c>
      <c r="N21">
        <f>IF(B21="Not Unlocked",0,B21)</f>
        <v/>
      </c>
    </row>
    <row r="22">
      <c r="A22" s="6" t="inlineStr">
        <is>
          <t>Silver Pendant</t>
        </is>
      </c>
      <c r="B22" s="7" t="inlineStr">
        <is>
          <t>Not Unlocked</t>
        </is>
      </c>
      <c r="C22" s="7" t="inlineStr">
        <is>
          <t>Rare</t>
        </is>
      </c>
      <c r="D22" s="7" t="inlineStr">
        <is>
          <t>(none)</t>
        </is>
      </c>
      <c r="E22">
        <f>IF($N$22&gt;=1,IF($D$22="Main Stat %",(CHOOSE(MATCH($C$22,{"Rare","Epic","Unique","Legendary","Mystic","Mystic (Prime)"},0),2,3,4.5,7,10,12))*Sensitivity!$H$6,IF($D$22="Damage Taken Decrease %",0,IF($D$22="Defense %",0,IF($D$22="Accuracy",0,IF($D$22="Critical Rate %",(CHOOSE(MATCH($C$22,{"Rare","Epic","Unique","Legendary","Mystic","Mystic (Prime)"},0),2,3,4.5,7,10,12))*Sensitivity!$H$17,IF($D$22="Min Damage Multiplier %",(CHOOSE(MATCH($C$22,{"Rare","Epic","Unique","Legendary","Mystic","Mystic (Prime)"},0),2,3,4.5,7,10,12))*Sensitivity!$H$15,IF($D$22="Max Damage Multiplier %",(CHOOSE(MATCH($C$22,{"Rare","Epic","Unique","Legendary","Mystic","Mystic (Prime)"},0),2,3,4.5,7,10,12))*Sensitivity!$H$16,IF($D$22="Boss Monster Damage %",(CHOOSE(MATCH($C$22,{"Rare","Epic","Unique","Legendary","Mystic","Mystic (Prime)"},0),4,6,9,14,20,24))*Sensitivity!$H$12,IF($D$22="Normal Monster Damage %",(CHOOSE(MATCH($C$22,{"Rare","Epic","Unique","Legendary","Mystic","Mystic (Prime)"},0),4,6,9,14,20,24))*Sensitivity!$H$13,IF($D$22="Status Effect Damage %",0,IF($D$22="Damage %",(CHOOSE(MATCH($C$22,{"Rare","Epic","Unique","Legendary","Mystic","Mystic (Prime)"},0),4,6,9,14,20,24))*Sensitivity!$H$10,IF($D$22="Defense Penetration %",(CHOOSE(MATCH($C$22,{"Rare","Epic","Unique","Legendary","Mystic","Mystic (Prime)"},0),2,3,4.5,7,10,12))*Sensitivity!$H$20,0)))))))))))),0)</f>
        <v/>
      </c>
      <c r="F22" s="7" t="inlineStr">
        <is>
          <t>Rare</t>
        </is>
      </c>
      <c r="G22" s="7" t="inlineStr">
        <is>
          <t>(none)</t>
        </is>
      </c>
      <c r="H22">
        <f>IF($N$22&gt;=2,IF($G$22="Main Stat %",(CHOOSE(MATCH($F$22,{"Rare","Epic","Unique","Legendary","Mystic","Mystic (Prime)"},0),2,3,4.5,7,10,12))*Sensitivity!$H$6,IF($G$22="Damage Taken Decrease %",0,IF($G$22="Defense %",0,IF($G$22="Accuracy",0,IF($G$22="Critical Rate %",(CHOOSE(MATCH($F$22,{"Rare","Epic","Unique","Legendary","Mystic","Mystic (Prime)"},0),2,3,4.5,7,10,12))*Sensitivity!$H$17,IF($G$22="Min Damage Multiplier %",(CHOOSE(MATCH($F$22,{"Rare","Epic","Unique","Legendary","Mystic","Mystic (Prime)"},0),2,3,4.5,7,10,12))*Sensitivity!$H$15,IF($G$22="Max Damage Multiplier %",(CHOOSE(MATCH($F$22,{"Rare","Epic","Unique","Legendary","Mystic","Mystic (Prime)"},0),2,3,4.5,7,10,12))*Sensitivity!$H$16,IF($G$22="Boss Monster Damage %",(CHOOSE(MATCH($F$22,{"Rare","Epic","Unique","Legendary","Mystic","Mystic (Prime)"},0),4,6,9,14,20,24))*Sensitivity!$H$12,IF($G$22="Normal Monster Damage %",(CHOOSE(MATCH($F$22,{"Rare","Epic","Unique","Legendary","Mystic","Mystic (Prime)"},0),4,6,9,14,20,24))*Sensitivity!$H$13,IF($G$22="Status Effect Damage %",0,IF($G$22="Damage %",(CHOOSE(MATCH($F$22,{"Rare","Epic","Unique","Legendary","Mystic","Mystic (Prime)"},0),4,6,9,14,20,24))*Sensitivity!$H$10,IF($G$22="Defense Penetration %",(CHOOSE(MATCH($F$22,{"Rare","Epic","Unique","Legendary","Mystic","Mystic (Prime)"},0),2,3,4.5,7,10,12))*Sensitivity!$H$20,0)))))))))))),0)</f>
        <v/>
      </c>
      <c r="I22" s="7" t="inlineStr">
        <is>
          <t>Rare</t>
        </is>
      </c>
      <c r="J22" s="7" t="inlineStr">
        <is>
          <t>(none)</t>
        </is>
      </c>
      <c r="K22">
        <f>IF($N$22&gt;=5,IF($J$22="Main Stat %",(CHOOSE(MATCH($I$22,{"Rare","Epic","Unique","Legendary","Mystic","Mystic (Prime)"},0),2,3,4.5,7,10,12))*Sensitivity!$H$6,IF($J$22="Damage Taken Decrease %",0,IF($J$22="Defense %",0,IF($J$22="Accuracy",0,IF($J$22="Critical Rate %",(CHOOSE(MATCH($I$22,{"Rare","Epic","Unique","Legendary","Mystic","Mystic (Prime)"},0),2,3,4.5,7,10,12))*Sensitivity!$H$17,IF($J$22="Min Damage Multiplier %",(CHOOSE(MATCH($I$22,{"Rare","Epic","Unique","Legendary","Mystic","Mystic (Prime)"},0),2,3,4.5,7,10,12))*Sensitivity!$H$15,IF($J$22="Max Damage Multiplier %",(CHOOSE(MATCH($I$22,{"Rare","Epic","Unique","Legendary","Mystic","Mystic (Prime)"},0),2,3,4.5,7,10,12))*Sensitivity!$H$16,IF($J$22="Boss Monster Damage %",(CHOOSE(MATCH($I$22,{"Rare","Epic","Unique","Legendary","Mystic","Mystic (Prime)"},0),4,6,9,14,20,24))*Sensitivity!$H$12,IF($J$22="Normal Monster Damage %",(CHOOSE(MATCH($I$22,{"Rare","Epic","Unique","Legendary","Mystic","Mystic (Prime)"},0),4,6,9,14,20,24))*Sensitivity!$H$13,IF($J$22="Status Effect Damage %",0,IF($J$22="Damage %",(CHOOSE(MATCH($I$22,{"Rare","Epic","Unique","Legendary","Mystic","Mystic (Prime)"},0),4,6,9,14,20,24))*Sensitivity!$H$10,IF($J$22="Defense Penetration %",(CHOOSE(MATCH($I$22,{"Rare","Epic","Unique","Legendary","Mystic","Mystic (Prime)"},0),2,3,4.5,7,10,12))*Sensitivity!$H$20,0)))))))))))),0)</f>
        <v/>
      </c>
      <c r="L22">
        <f>Summary!$B$3*((IF(D22="(none)",1,1+(E22+IF(G22=D22,H22,0)+IF(J22=D22,K22,0))/Summary!$B$3))*(IF(OR(G22="(none)",G22=D22),1,1+(H22+IF(D22=G22,E22,0)+IF(J22=G22,K22,0))/Summary!$B$3))*(IF(OR(J22="",J22="(none)",J22=D22,J22=G22),1,1+(K22+IF(D22=J22,E22,0)+IF(G22=J22,H22,0))/Summary!$B$3))-1)</f>
        <v/>
      </c>
      <c r="M22">
        <f>OR(Inputs!$B$48="Silver Pendant",Inputs!$B$49="Silver Pendant",Inputs!$B$50="Silver Pendant",Inputs!$B$51="Silver Pendant")</f>
        <v/>
      </c>
      <c r="N22">
        <f>IF(B22="Not Unlocked",0,B22)</f>
        <v/>
      </c>
    </row>
    <row r="23">
      <c r="A23" s="6" t="inlineStr">
        <is>
          <t>Star Rock</t>
        </is>
      </c>
      <c r="B23" s="7" t="inlineStr">
        <is>
          <t>Not Unlocked</t>
        </is>
      </c>
      <c r="C23" s="7" t="inlineStr">
        <is>
          <t>Rare</t>
        </is>
      </c>
      <c r="D23" s="7" t="inlineStr">
        <is>
          <t>(none)</t>
        </is>
      </c>
      <c r="E23">
        <f>IF($N$23&gt;=1,IF($D$23="Main Stat %",(CHOOSE(MATCH($C$23,{"Rare","Epic","Unique","Legendary","Mystic","Mystic (Prime)"},0),2,3,4.5,7,10,12))*Sensitivity!$H$6,IF($D$23="Damage Taken Decrease %",0,IF($D$23="Defense %",0,IF($D$23="Accuracy",0,IF($D$23="Critical Rate %",(CHOOSE(MATCH($C$23,{"Rare","Epic","Unique","Legendary","Mystic","Mystic (Prime)"},0),2,3,4.5,7,10,12))*Sensitivity!$H$17,IF($D$23="Min Damage Multiplier %",(CHOOSE(MATCH($C$23,{"Rare","Epic","Unique","Legendary","Mystic","Mystic (Prime)"},0),2,3,4.5,7,10,12))*Sensitivity!$H$15,IF($D$23="Max Damage Multiplier %",(CHOOSE(MATCH($C$23,{"Rare","Epic","Unique","Legendary","Mystic","Mystic (Prime)"},0),2,3,4.5,7,10,12))*Sensitivity!$H$16,IF($D$23="Boss Monster Damage %",(CHOOSE(MATCH($C$23,{"Rare","Epic","Unique","Legendary","Mystic","Mystic (Prime)"},0),4,6,9,14,20,24))*Sensitivity!$H$12,IF($D$23="Normal Monster Damage %",(CHOOSE(MATCH($C$23,{"Rare","Epic","Unique","Legendary","Mystic","Mystic (Prime)"},0),4,6,9,14,20,24))*Sensitivity!$H$13,IF($D$23="Status Effect Damage %",0,IF($D$23="Damage %",(CHOOSE(MATCH($C$23,{"Rare","Epic","Unique","Legendary","Mystic","Mystic (Prime)"},0),4,6,9,14,20,24))*Sensitivity!$H$10,IF($D$23="Defense Penetration %",(CHOOSE(MATCH($C$23,{"Rare","Epic","Unique","Legendary","Mystic","Mystic (Prime)"},0),2,3,4.5,7,10,12))*Sensitivity!$H$20,0)))))))))))),0)</f>
        <v/>
      </c>
      <c r="F23" s="7" t="inlineStr">
        <is>
          <t>Rare</t>
        </is>
      </c>
      <c r="G23" s="7" t="inlineStr">
        <is>
          <t>(none)</t>
        </is>
      </c>
      <c r="H23">
        <f>IF($N$23&gt;=2,IF($G$23="Main Stat %",(CHOOSE(MATCH($F$23,{"Rare","Epic","Unique","Legendary","Mystic","Mystic (Prime)"},0),2,3,4.5,7,10,12))*Sensitivity!$H$6,IF($G$23="Damage Taken Decrease %",0,IF($G$23="Defense %",0,IF($G$23="Accuracy",0,IF($G$23="Critical Rate %",(CHOOSE(MATCH($F$23,{"Rare","Epic","Unique","Legendary","Mystic","Mystic (Prime)"},0),2,3,4.5,7,10,12))*Sensitivity!$H$17,IF($G$23="Min Damage Multiplier %",(CHOOSE(MATCH($F$23,{"Rare","Epic","Unique","Legendary","Mystic","Mystic (Prime)"},0),2,3,4.5,7,10,12))*Sensitivity!$H$15,IF($G$23="Max Damage Multiplier %",(CHOOSE(MATCH($F$23,{"Rare","Epic","Unique","Legendary","Mystic","Mystic (Prime)"},0),2,3,4.5,7,10,12))*Sensitivity!$H$16,IF($G$23="Boss Monster Damage %",(CHOOSE(MATCH($F$23,{"Rare","Epic","Unique","Legendary","Mystic","Mystic (Prime)"},0),4,6,9,14,20,24))*Sensitivity!$H$12,IF($G$23="Normal Monster Damage %",(CHOOSE(MATCH($F$23,{"Rare","Epic","Unique","Legendary","Mystic","Mystic (Prime)"},0),4,6,9,14,20,24))*Sensitivity!$H$13,IF($G$23="Status Effect Damage %",0,IF($G$23="Damage %",(CHOOSE(MATCH($F$23,{"Rare","Epic","Unique","Legendary","Mystic","Mystic (Prime)"},0),4,6,9,14,20,24))*Sensitivity!$H$10,IF($G$23="Defense Penetration %",(CHOOSE(MATCH($F$23,{"Rare","Epic","Unique","Legendary","Mystic","Mystic (Prime)"},0),2,3,4.5,7,10,12))*Sensitivity!$H$20,0)))))))))))),0)</f>
        <v/>
      </c>
      <c r="I23" s="7" t="inlineStr">
        <is>
          <t>Rare</t>
        </is>
      </c>
      <c r="J23" s="7" t="inlineStr">
        <is>
          <t>(none)</t>
        </is>
      </c>
      <c r="K23">
        <f>IF($N$23&gt;=5,IF($J$23="Main Stat %",(CHOOSE(MATCH($I$23,{"Rare","Epic","Unique","Legendary","Mystic","Mystic (Prime)"},0),2,3,4.5,7,10,12))*Sensitivity!$H$6,IF($J$23="Damage Taken Decrease %",0,IF($J$23="Defense %",0,IF($J$23="Accuracy",0,IF($J$23="Critical Rate %",(CHOOSE(MATCH($I$23,{"Rare","Epic","Unique","Legendary","Mystic","Mystic (Prime)"},0),2,3,4.5,7,10,12))*Sensitivity!$H$17,IF($J$23="Min Damage Multiplier %",(CHOOSE(MATCH($I$23,{"Rare","Epic","Unique","Legendary","Mystic","Mystic (Prime)"},0),2,3,4.5,7,10,12))*Sensitivity!$H$15,IF($J$23="Max Damage Multiplier %",(CHOOSE(MATCH($I$23,{"Rare","Epic","Unique","Legendary","Mystic","Mystic (Prime)"},0),2,3,4.5,7,10,12))*Sensitivity!$H$16,IF($J$23="Boss Monster Damage %",(CHOOSE(MATCH($I$23,{"Rare","Epic","Unique","Legendary","Mystic","Mystic (Prime)"},0),4,6,9,14,20,24))*Sensitivity!$H$12,IF($J$23="Normal Monster Damage %",(CHOOSE(MATCH($I$23,{"Rare","Epic","Unique","Legendary","Mystic","Mystic (Prime)"},0),4,6,9,14,20,24))*Sensitivity!$H$13,IF($J$23="Status Effect Damage %",0,IF($J$23="Damage %",(CHOOSE(MATCH($I$23,{"Rare","Epic","Unique","Legendary","Mystic","Mystic (Prime)"},0),4,6,9,14,20,24))*Sensitivity!$H$10,IF($J$23="Defense Penetration %",(CHOOSE(MATCH($I$23,{"Rare","Epic","Unique","Legendary","Mystic","Mystic (Prime)"},0),2,3,4.5,7,10,12))*Sensitivity!$H$20,0)))))))))))),0)</f>
        <v/>
      </c>
      <c r="L23">
        <f>Summary!$B$3*((IF(D23="(none)",1,1+(E23+IF(G23=D23,H23,0)+IF(J23=D23,K23,0))/Summary!$B$3))*(IF(OR(G23="(none)",G23=D23),1,1+(H23+IF(D23=G23,E23,0)+IF(J23=G23,K23,0))/Summary!$B$3))*(IF(OR(J23="",J23="(none)",J23=D23,J23=G23),1,1+(K23+IF(D23=J23,E23,0)+IF(G23=J23,H23,0))/Summary!$B$3))-1)</f>
        <v/>
      </c>
      <c r="M23">
        <f>OR(Inputs!$B$48="Star Rock",Inputs!$B$49="Star Rock",Inputs!$B$50="Star Rock",Inputs!$B$51="Star Rock")</f>
        <v/>
      </c>
      <c r="N23">
        <f>IF(B23="Not Unlocked",0,B23)</f>
        <v/>
      </c>
    </row>
    <row r="24">
      <c r="A24" s="6" t="inlineStr">
        <is>
          <t>Book of Ancient</t>
        </is>
      </c>
      <c r="B24" s="7" t="inlineStr">
        <is>
          <t>Not Unlocked</t>
        </is>
      </c>
      <c r="C24" s="7" t="inlineStr">
        <is>
          <t>Rare</t>
        </is>
      </c>
      <c r="D24" s="7" t="inlineStr">
        <is>
          <t>(none)</t>
        </is>
      </c>
      <c r="E24">
        <f>IF($N$24&gt;=1,IF($D$24="Main Stat %",(CHOOSE(MATCH($C$24,{"Rare","Epic","Unique","Legendary","Mystic","Mystic (Prime)"},0),2,3,4.5,7,10,12))*Sensitivity!$H$6,IF($D$24="Damage Taken Decrease %",0,IF($D$24="Defense %",0,IF($D$24="Accuracy",0,IF($D$24="Critical Rate %",(CHOOSE(MATCH($C$24,{"Rare","Epic","Unique","Legendary","Mystic","Mystic (Prime)"},0),2,3,4.5,7,10,12))*Sensitivity!$H$17,IF($D$24="Min Damage Multiplier %",(CHOOSE(MATCH($C$24,{"Rare","Epic","Unique","Legendary","Mystic","Mystic (Prime)"},0),2,3,4.5,7,10,12))*Sensitivity!$H$15,IF($D$24="Max Damage Multiplier %",(CHOOSE(MATCH($C$24,{"Rare","Epic","Unique","Legendary","Mystic","Mystic (Prime)"},0),2,3,4.5,7,10,12))*Sensitivity!$H$16,IF($D$24="Boss Monster Damage %",(CHOOSE(MATCH($C$24,{"Rare","Epic","Unique","Legendary","Mystic","Mystic (Prime)"},0),4,6,9,14,20,24))*Sensitivity!$H$12,IF($D$24="Normal Monster Damage %",(CHOOSE(MATCH($C$24,{"Rare","Epic","Unique","Legendary","Mystic","Mystic (Prime)"},0),4,6,9,14,20,24))*Sensitivity!$H$13,IF($D$24="Status Effect Damage %",0,IF($D$24="Damage %",(CHOOSE(MATCH($C$24,{"Rare","Epic","Unique","Legendary","Mystic","Mystic (Prime)"},0),4,6,9,14,20,24))*Sensitivity!$H$10,IF($D$24="Defense Penetration %",(CHOOSE(MATCH($C$24,{"Rare","Epic","Unique","Legendary","Mystic","Mystic (Prime)"},0),2,3,4.5,7,10,12))*Sensitivity!$H$20,0)))))))))))),0)</f>
        <v/>
      </c>
      <c r="F24" s="7" t="inlineStr">
        <is>
          <t>Rare</t>
        </is>
      </c>
      <c r="G24" s="7" t="inlineStr">
        <is>
          <t>(none)</t>
        </is>
      </c>
      <c r="H24">
        <f>IF($N$24&gt;=2,IF($G$24="Main Stat %",(CHOOSE(MATCH($F$24,{"Rare","Epic","Unique","Legendary","Mystic","Mystic (Prime)"},0),2,3,4.5,7,10,12))*Sensitivity!$H$6,IF($G$24="Damage Taken Decrease %",0,IF($G$24="Defense %",0,IF($G$24="Accuracy",0,IF($G$24="Critical Rate %",(CHOOSE(MATCH($F$24,{"Rare","Epic","Unique","Legendary","Mystic","Mystic (Prime)"},0),2,3,4.5,7,10,12))*Sensitivity!$H$17,IF($G$24="Min Damage Multiplier %",(CHOOSE(MATCH($F$24,{"Rare","Epic","Unique","Legendary","Mystic","Mystic (Prime)"},0),2,3,4.5,7,10,12))*Sensitivity!$H$15,IF($G$24="Max Damage Multiplier %",(CHOOSE(MATCH($F$24,{"Rare","Epic","Unique","Legendary","Mystic","Mystic (Prime)"},0),2,3,4.5,7,10,12))*Sensitivity!$H$16,IF($G$24="Boss Monster Damage %",(CHOOSE(MATCH($F$24,{"Rare","Epic","Unique","Legendary","Mystic","Mystic (Prime)"},0),4,6,9,14,20,24))*Sensitivity!$H$12,IF($G$24="Normal Monster Damage %",(CHOOSE(MATCH($F$24,{"Rare","Epic","Unique","Legendary","Mystic","Mystic (Prime)"},0),4,6,9,14,20,24))*Sensitivity!$H$13,IF($G$24="Status Effect Damage %",0,IF($G$24="Damage %",(CHOOSE(MATCH($F$24,{"Rare","Epic","Unique","Legendary","Mystic","Mystic (Prime)"},0),4,6,9,14,20,24))*Sensitivity!$H$10,IF($G$24="Defense Penetration %",(CHOOSE(MATCH($F$24,{"Rare","Epic","Unique","Legendary","Mystic","Mystic (Prime)"},0),2,3,4.5,7,10,12))*Sensitivity!$H$20,0)))))))))))),0)</f>
        <v/>
      </c>
      <c r="I24" s="7" t="inlineStr">
        <is>
          <t>Rare</t>
        </is>
      </c>
      <c r="J24" s="7" t="inlineStr">
        <is>
          <t>(none)</t>
        </is>
      </c>
      <c r="K24">
        <f>IF($N$24&gt;=5,IF($J$24="Main Stat %",(CHOOSE(MATCH($I$24,{"Rare","Epic","Unique","Legendary","Mystic","Mystic (Prime)"},0),2,3,4.5,7,10,12))*Sensitivity!$H$6,IF($J$24="Damage Taken Decrease %",0,IF($J$24="Defense %",0,IF($J$24="Accuracy",0,IF($J$24="Critical Rate %",(CHOOSE(MATCH($I$24,{"Rare","Epic","Unique","Legendary","Mystic","Mystic (Prime)"},0),2,3,4.5,7,10,12))*Sensitivity!$H$17,IF($J$24="Min Damage Multiplier %",(CHOOSE(MATCH($I$24,{"Rare","Epic","Unique","Legendary","Mystic","Mystic (Prime)"},0),2,3,4.5,7,10,12))*Sensitivity!$H$15,IF($J$24="Max Damage Multiplier %",(CHOOSE(MATCH($I$24,{"Rare","Epic","Unique","Legendary","Mystic","Mystic (Prime)"},0),2,3,4.5,7,10,12))*Sensitivity!$H$16,IF($J$24="Boss Monster Damage %",(CHOOSE(MATCH($I$24,{"Rare","Epic","Unique","Legendary","Mystic","Mystic (Prime)"},0),4,6,9,14,20,24))*Sensitivity!$H$12,IF($J$24="Normal Monster Damage %",(CHOOSE(MATCH($I$24,{"Rare","Epic","Unique","Legendary","Mystic","Mystic (Prime)"},0),4,6,9,14,20,24))*Sensitivity!$H$13,IF($J$24="Status Effect Damage %",0,IF($J$24="Damage %",(CHOOSE(MATCH($I$24,{"Rare","Epic","Unique","Legendary","Mystic","Mystic (Prime)"},0),4,6,9,14,20,24))*Sensitivity!$H$10,IF($J$24="Defense Penetration %",(CHOOSE(MATCH($I$24,{"Rare","Epic","Unique","Legendary","Mystic","Mystic (Prime)"},0),2,3,4.5,7,10,12))*Sensitivity!$H$20,0)))))))))))),0)</f>
        <v/>
      </c>
      <c r="L24">
        <f>Summary!$B$3*((IF(D24="(none)",1,1+(E24+IF(G24=D24,H24,0)+IF(J24=D24,K24,0))/Summary!$B$3))*(IF(OR(G24="(none)",G24=D24),1,1+(H24+IF(D24=G24,E24,0)+IF(J24=G24,K24,0))/Summary!$B$3))*(IF(OR(J24="",J24="(none)",J24=D24,J24=G24),1,1+(K24+IF(D24=J24,E24,0)+IF(G24=J24,H24,0))/Summary!$B$3))-1)</f>
        <v/>
      </c>
      <c r="M24">
        <f>OR(Inputs!$B$48="Book of Ancient",Inputs!$B$49="Book of Ancient",Inputs!$B$50="Book of Ancient",Inputs!$B$51="Book of Ancient")</f>
        <v/>
      </c>
      <c r="N24">
        <f>IF(B24="Not Unlocked",0,B24)</f>
        <v/>
      </c>
    </row>
    <row r="25">
      <c r="A25" s="6" t="inlineStr">
        <is>
          <t>Lunar Dew</t>
        </is>
      </c>
      <c r="B25" s="7" t="inlineStr">
        <is>
          <t>Not Unlocked</t>
        </is>
      </c>
      <c r="C25" s="7" t="inlineStr">
        <is>
          <t>Rare</t>
        </is>
      </c>
      <c r="D25" s="7" t="inlineStr">
        <is>
          <t>(none)</t>
        </is>
      </c>
      <c r="E25">
        <f>IF($N$25&gt;=1,IF($D$25="Main Stat %",(CHOOSE(MATCH($C$25,{"Rare","Epic","Unique","Legendary","Mystic","Mystic (Prime)"},0),2,3,4.5,7,10,12))*Sensitivity!$H$6,IF($D$25="Damage Taken Decrease %",0,IF($D$25="Defense %",0,IF($D$25="Accuracy",0,IF($D$25="Critical Rate %",(CHOOSE(MATCH($C$25,{"Rare","Epic","Unique","Legendary","Mystic","Mystic (Prime)"},0),2,3,4.5,7,10,12))*Sensitivity!$H$17,IF($D$25="Min Damage Multiplier %",(CHOOSE(MATCH($C$25,{"Rare","Epic","Unique","Legendary","Mystic","Mystic (Prime)"},0),2,3,4.5,7,10,12))*Sensitivity!$H$15,IF($D$25="Max Damage Multiplier %",(CHOOSE(MATCH($C$25,{"Rare","Epic","Unique","Legendary","Mystic","Mystic (Prime)"},0),2,3,4.5,7,10,12))*Sensitivity!$H$16,IF($D$25="Boss Monster Damage %",(CHOOSE(MATCH($C$25,{"Rare","Epic","Unique","Legendary","Mystic","Mystic (Prime)"},0),4,6,9,14,20,24))*Sensitivity!$H$12,IF($D$25="Normal Monster Damage %",(CHOOSE(MATCH($C$25,{"Rare","Epic","Unique","Legendary","Mystic","Mystic (Prime)"},0),4,6,9,14,20,24))*Sensitivity!$H$13,IF($D$25="Status Effect Damage %",0,IF($D$25="Damage %",(CHOOSE(MATCH($C$25,{"Rare","Epic","Unique","Legendary","Mystic","Mystic (Prime)"},0),4,6,9,14,20,24))*Sensitivity!$H$10,IF($D$25="Defense Penetration %",(CHOOSE(MATCH($C$25,{"Rare","Epic","Unique","Legendary","Mystic","Mystic (Prime)"},0),2,3,4.5,7,10,12))*Sensitivity!$H$20,0)))))))))))),0)</f>
        <v/>
      </c>
      <c r="F25" s="7" t="inlineStr">
        <is>
          <t>Rare</t>
        </is>
      </c>
      <c r="G25" s="7" t="inlineStr">
        <is>
          <t>(none)</t>
        </is>
      </c>
      <c r="H25">
        <f>IF($N$25&gt;=2,IF($G$25="Main Stat %",(CHOOSE(MATCH($F$25,{"Rare","Epic","Unique","Legendary","Mystic","Mystic (Prime)"},0),2,3,4.5,7,10,12))*Sensitivity!$H$6,IF($G$25="Damage Taken Decrease %",0,IF($G$25="Defense %",0,IF($G$25="Accuracy",0,IF($G$25="Critical Rate %",(CHOOSE(MATCH($F$25,{"Rare","Epic","Unique","Legendary","Mystic","Mystic (Prime)"},0),2,3,4.5,7,10,12))*Sensitivity!$H$17,IF($G$25="Min Damage Multiplier %",(CHOOSE(MATCH($F$25,{"Rare","Epic","Unique","Legendary","Mystic","Mystic (Prime)"},0),2,3,4.5,7,10,12))*Sensitivity!$H$15,IF($G$25="Max Damage Multiplier %",(CHOOSE(MATCH($F$25,{"Rare","Epic","Unique","Legendary","Mystic","Mystic (Prime)"},0),2,3,4.5,7,10,12))*Sensitivity!$H$16,IF($G$25="Boss Monster Damage %",(CHOOSE(MATCH($F$25,{"Rare","Epic","Unique","Legendary","Mystic","Mystic (Prime)"},0),4,6,9,14,20,24))*Sensitivity!$H$12,IF($G$25="Normal Monster Damage %",(CHOOSE(MATCH($F$25,{"Rare","Epic","Unique","Legendary","Mystic","Mystic (Prime)"},0),4,6,9,14,20,24))*Sensitivity!$H$13,IF($G$25="Status Effect Damage %",0,IF($G$25="Damage %",(CHOOSE(MATCH($F$25,{"Rare","Epic","Unique","Legendary","Mystic","Mystic (Prime)"},0),4,6,9,14,20,24))*Sensitivity!$H$10,IF($G$25="Defense Penetration %",(CHOOSE(MATCH($F$25,{"Rare","Epic","Unique","Legendary","Mystic","Mystic (Prime)"},0),2,3,4.5,7,10,12))*Sensitivity!$H$20,0)))))))))))),0)</f>
        <v/>
      </c>
      <c r="I25" s="7" t="inlineStr">
        <is>
          <t>Rare</t>
        </is>
      </c>
      <c r="J25" s="7" t="inlineStr">
        <is>
          <t>(none)</t>
        </is>
      </c>
      <c r="K25">
        <f>IF($N$25&gt;=5,IF($J$25="Main Stat %",(CHOOSE(MATCH($I$25,{"Rare","Epic","Unique","Legendary","Mystic","Mystic (Prime)"},0),2,3,4.5,7,10,12))*Sensitivity!$H$6,IF($J$25="Damage Taken Decrease %",0,IF($J$25="Defense %",0,IF($J$25="Accuracy",0,IF($J$25="Critical Rate %",(CHOOSE(MATCH($I$25,{"Rare","Epic","Unique","Legendary","Mystic","Mystic (Prime)"},0),2,3,4.5,7,10,12))*Sensitivity!$H$17,IF($J$25="Min Damage Multiplier %",(CHOOSE(MATCH($I$25,{"Rare","Epic","Unique","Legendary","Mystic","Mystic (Prime)"},0),2,3,4.5,7,10,12))*Sensitivity!$H$15,IF($J$25="Max Damage Multiplier %",(CHOOSE(MATCH($I$25,{"Rare","Epic","Unique","Legendary","Mystic","Mystic (Prime)"},0),2,3,4.5,7,10,12))*Sensitivity!$H$16,IF($J$25="Boss Monster Damage %",(CHOOSE(MATCH($I$25,{"Rare","Epic","Unique","Legendary","Mystic","Mystic (Prime)"},0),4,6,9,14,20,24))*Sensitivity!$H$12,IF($J$25="Normal Monster Damage %",(CHOOSE(MATCH($I$25,{"Rare","Epic","Unique","Legendary","Mystic","Mystic (Prime)"},0),4,6,9,14,20,24))*Sensitivity!$H$13,IF($J$25="Status Effect Damage %",0,IF($J$25="Damage %",(CHOOSE(MATCH($I$25,{"Rare","Epic","Unique","Legendary","Mystic","Mystic (Prime)"},0),4,6,9,14,20,24))*Sensitivity!$H$10,IF($J$25="Defense Penetration %",(CHOOSE(MATCH($I$25,{"Rare","Epic","Unique","Legendary","Mystic","Mystic (Prime)"},0),2,3,4.5,7,10,12))*Sensitivity!$H$20,0)))))))))))),0)</f>
        <v/>
      </c>
      <c r="L25">
        <f>Summary!$B$3*((IF(D25="(none)",1,1+(E25+IF(G25=D25,H25,0)+IF(J25=D25,K25,0))/Summary!$B$3))*(IF(OR(G25="(none)",G25=D25),1,1+(H25+IF(D25=G25,E25,0)+IF(J25=G25,K25,0))/Summary!$B$3))*(IF(OR(J25="",J25="(none)",J25=D25,J25=G25),1,1+(K25+IF(D25=J25,E25,0)+IF(G25=J25,H25,0))/Summary!$B$3))-1)</f>
        <v/>
      </c>
      <c r="M25">
        <f>OR(Inputs!$B$48="Lunar Dew",Inputs!$B$49="Lunar Dew",Inputs!$B$50="Lunar Dew",Inputs!$B$51="Lunar Dew")</f>
        <v/>
      </c>
      <c r="N25">
        <f>IF(B25="Not Unlocked",0,B25)</f>
        <v/>
      </c>
    </row>
    <row r="26">
      <c r="A26" s="6" t="inlineStr">
        <is>
          <t>Fire Flower</t>
        </is>
      </c>
      <c r="B26" s="7" t="inlineStr">
        <is>
          <t>Not Unlocked</t>
        </is>
      </c>
      <c r="C26" s="7" t="inlineStr">
        <is>
          <t>Rare</t>
        </is>
      </c>
      <c r="D26" s="7" t="inlineStr">
        <is>
          <t>(none)</t>
        </is>
      </c>
      <c r="E26">
        <f>IF($N$26&gt;=1,IF($D$26="Main Stat %",(CHOOSE(MATCH($C$26,{"Rare","Epic","Unique","Legendary","Mystic","Mystic (Prime)"},0),2,3,4.5,7,10,12))*Sensitivity!$H$6,IF($D$26="Damage Taken Decrease %",0,IF($D$26="Defense %",0,IF($D$26="Accuracy",0,IF($D$26="Critical Rate %",(CHOOSE(MATCH($C$26,{"Rare","Epic","Unique","Legendary","Mystic","Mystic (Prime)"},0),2,3,4.5,7,10,12))*Sensitivity!$H$17,IF($D$26="Min Damage Multiplier %",(CHOOSE(MATCH($C$26,{"Rare","Epic","Unique","Legendary","Mystic","Mystic (Prime)"},0),2,3,4.5,7,10,12))*Sensitivity!$H$15,IF($D$26="Max Damage Multiplier %",(CHOOSE(MATCH($C$26,{"Rare","Epic","Unique","Legendary","Mystic","Mystic (Prime)"},0),2,3,4.5,7,10,12))*Sensitivity!$H$16,IF($D$26="Boss Monster Damage %",(CHOOSE(MATCH($C$26,{"Rare","Epic","Unique","Legendary","Mystic","Mystic (Prime)"},0),4,6,9,14,20,24))*Sensitivity!$H$12,IF($D$26="Normal Monster Damage %",(CHOOSE(MATCH($C$26,{"Rare","Epic","Unique","Legendary","Mystic","Mystic (Prime)"},0),4,6,9,14,20,24))*Sensitivity!$H$13,IF($D$26="Status Effect Damage %",0,IF($D$26="Damage %",(CHOOSE(MATCH($C$26,{"Rare","Epic","Unique","Legendary","Mystic","Mystic (Prime)"},0),4,6,9,14,20,24))*Sensitivity!$H$10,IF($D$26="Defense Penetration %",(CHOOSE(MATCH($C$26,{"Rare","Epic","Unique","Legendary","Mystic","Mystic (Prime)"},0),2,3,4.5,7,10,12))*Sensitivity!$H$20,0)))))))))))),0)</f>
        <v/>
      </c>
      <c r="F26" s="7" t="inlineStr">
        <is>
          <t>Rare</t>
        </is>
      </c>
      <c r="G26" s="7" t="inlineStr">
        <is>
          <t>(none)</t>
        </is>
      </c>
      <c r="H26">
        <f>IF($N$26&gt;=2,IF($G$26="Main Stat %",(CHOOSE(MATCH($F$26,{"Rare","Epic","Unique","Legendary","Mystic","Mystic (Prime)"},0),2,3,4.5,7,10,12))*Sensitivity!$H$6,IF($G$26="Damage Taken Decrease %",0,IF($G$26="Defense %",0,IF($G$26="Accuracy",0,IF($G$26="Critical Rate %",(CHOOSE(MATCH($F$26,{"Rare","Epic","Unique","Legendary","Mystic","Mystic (Prime)"},0),2,3,4.5,7,10,12))*Sensitivity!$H$17,IF($G$26="Min Damage Multiplier %",(CHOOSE(MATCH($F$26,{"Rare","Epic","Unique","Legendary","Mystic","Mystic (Prime)"},0),2,3,4.5,7,10,12))*Sensitivity!$H$15,IF($G$26="Max Damage Multiplier %",(CHOOSE(MATCH($F$26,{"Rare","Epic","Unique","Legendary","Mystic","Mystic (Prime)"},0),2,3,4.5,7,10,12))*Sensitivity!$H$16,IF($G$26="Boss Monster Damage %",(CHOOSE(MATCH($F$26,{"Rare","Epic","Unique","Legendary","Mystic","Mystic (Prime)"},0),4,6,9,14,20,24))*Sensitivity!$H$12,IF($G$26="Normal Monster Damage %",(CHOOSE(MATCH($F$26,{"Rare","Epic","Unique","Legendary","Mystic","Mystic (Prime)"},0),4,6,9,14,20,24))*Sensitivity!$H$13,IF($G$26="Status Effect Damage %",0,IF($G$26="Damage %",(CHOOSE(MATCH($F$26,{"Rare","Epic","Unique","Legendary","Mystic","Mystic (Prime)"},0),4,6,9,14,20,24))*Sensitivity!$H$10,IF($G$26="Defense Penetration %",(CHOOSE(MATCH($F$26,{"Rare","Epic","Unique","Legendary","Mystic","Mystic (Prime)"},0),2,3,4.5,7,10,12))*Sensitivity!$H$20,0)))))))))))),0)</f>
        <v/>
      </c>
      <c r="I26" s="7" t="inlineStr">
        <is>
          <t>Rare</t>
        </is>
      </c>
      <c r="J26" s="7" t="inlineStr">
        <is>
          <t>(none)</t>
        </is>
      </c>
      <c r="K26">
        <f>IF($N$26&gt;=5,IF($J$26="Main Stat %",(CHOOSE(MATCH($I$26,{"Rare","Epic","Unique","Legendary","Mystic","Mystic (Prime)"},0),2,3,4.5,7,10,12))*Sensitivity!$H$6,IF($J$26="Damage Taken Decrease %",0,IF($J$26="Defense %",0,IF($J$26="Accuracy",0,IF($J$26="Critical Rate %",(CHOOSE(MATCH($I$26,{"Rare","Epic","Unique","Legendary","Mystic","Mystic (Prime)"},0),2,3,4.5,7,10,12))*Sensitivity!$H$17,IF($J$26="Min Damage Multiplier %",(CHOOSE(MATCH($I$26,{"Rare","Epic","Unique","Legendary","Mystic","Mystic (Prime)"},0),2,3,4.5,7,10,12))*Sensitivity!$H$15,IF($J$26="Max Damage Multiplier %",(CHOOSE(MATCH($I$26,{"Rare","Epic","Unique","Legendary","Mystic","Mystic (Prime)"},0),2,3,4.5,7,10,12))*Sensitivity!$H$16,IF($J$26="Boss Monster Damage %",(CHOOSE(MATCH($I$26,{"Rare","Epic","Unique","Legendary","Mystic","Mystic (Prime)"},0),4,6,9,14,20,24))*Sensitivity!$H$12,IF($J$26="Normal Monster Damage %",(CHOOSE(MATCH($I$26,{"Rare","Epic","Unique","Legendary","Mystic","Mystic (Prime)"},0),4,6,9,14,20,24))*Sensitivity!$H$13,IF($J$26="Status Effect Damage %",0,IF($J$26="Damage %",(CHOOSE(MATCH($I$26,{"Rare","Epic","Unique","Legendary","Mystic","Mystic (Prime)"},0),4,6,9,14,20,24))*Sensitivity!$H$10,IF($J$26="Defense Penetration %",(CHOOSE(MATCH($I$26,{"Rare","Epic","Unique","Legendary","Mystic","Mystic (Prime)"},0),2,3,4.5,7,10,12))*Sensitivity!$H$20,0)))))))))))),0)</f>
        <v/>
      </c>
      <c r="L26">
        <f>Summary!$B$3*((IF(D26="(none)",1,1+(E26+IF(G26=D26,H26,0)+IF(J26=D26,K26,0))/Summary!$B$3))*(IF(OR(G26="(none)",G26=D26),1,1+(H26+IF(D26=G26,E26,0)+IF(J26=G26,K26,0))/Summary!$B$3))*(IF(OR(J26="",J26="(none)",J26=D26,J26=G26),1,1+(K26+IF(D26=J26,E26,0)+IF(G26=J26,H26,0))/Summary!$B$3))-1)</f>
        <v/>
      </c>
      <c r="M26">
        <f>OR(Inputs!$B$48="Fire Flower",Inputs!$B$49="Fire Flower",Inputs!$B$50="Fire Flower",Inputs!$B$51="Fire Flower")</f>
        <v/>
      </c>
      <c r="N26">
        <f>IF(B26="Not Unlocked",0,B26)</f>
        <v/>
      </c>
    </row>
    <row r="27">
      <c r="A27" s="6" t="inlineStr">
        <is>
          <t>Soul Contract</t>
        </is>
      </c>
      <c r="B27" s="7" t="inlineStr">
        <is>
          <t>Not Unlocked</t>
        </is>
      </c>
      <c r="C27" s="7" t="inlineStr">
        <is>
          <t>Rare</t>
        </is>
      </c>
      <c r="D27" s="7" t="inlineStr">
        <is>
          <t>(none)</t>
        </is>
      </c>
      <c r="E27">
        <f>IF($N$27&gt;=1,IF($D$27="Main Stat %",(CHOOSE(MATCH($C$27,{"Rare","Epic","Unique","Legendary","Mystic","Mystic (Prime)"},0),2,3,4.5,7,10,12))*Sensitivity!$H$6,IF($D$27="Damage Taken Decrease %",0,IF($D$27="Defense %",0,IF($D$27="Accuracy",0,IF($D$27="Critical Rate %",(CHOOSE(MATCH($C$27,{"Rare","Epic","Unique","Legendary","Mystic","Mystic (Prime)"},0),2,3,4.5,7,10,12))*Sensitivity!$H$17,IF($D$27="Min Damage Multiplier %",(CHOOSE(MATCH($C$27,{"Rare","Epic","Unique","Legendary","Mystic","Mystic (Prime)"},0),2,3,4.5,7,10,12))*Sensitivity!$H$15,IF($D$27="Max Damage Multiplier %",(CHOOSE(MATCH($C$27,{"Rare","Epic","Unique","Legendary","Mystic","Mystic (Prime)"},0),2,3,4.5,7,10,12))*Sensitivity!$H$16,IF($D$27="Boss Monster Damage %",(CHOOSE(MATCH($C$27,{"Rare","Epic","Unique","Legendary","Mystic","Mystic (Prime)"},0),4,6,9,14,20,24))*Sensitivity!$H$12,IF($D$27="Normal Monster Damage %",(CHOOSE(MATCH($C$27,{"Rare","Epic","Unique","Legendary","Mystic","Mystic (Prime)"},0),4,6,9,14,20,24))*Sensitivity!$H$13,IF($D$27="Status Effect Damage %",0,IF($D$27="Damage %",(CHOOSE(MATCH($C$27,{"Rare","Epic","Unique","Legendary","Mystic","Mystic (Prime)"},0),4,6,9,14,20,24))*Sensitivity!$H$10,IF($D$27="Defense Penetration %",(CHOOSE(MATCH($C$27,{"Rare","Epic","Unique","Legendary","Mystic","Mystic (Prime)"},0),2,3,4.5,7,10,12))*Sensitivity!$H$20,0)))))))))))),0)</f>
        <v/>
      </c>
      <c r="F27" s="7" t="inlineStr">
        <is>
          <t>Rare</t>
        </is>
      </c>
      <c r="G27" s="7" t="inlineStr">
        <is>
          <t>(none)</t>
        </is>
      </c>
      <c r="H27">
        <f>IF($N$27&gt;=2,IF($G$27="Main Stat %",(CHOOSE(MATCH($F$27,{"Rare","Epic","Unique","Legendary","Mystic","Mystic (Prime)"},0),2,3,4.5,7,10,12))*Sensitivity!$H$6,IF($G$27="Damage Taken Decrease %",0,IF($G$27="Defense %",0,IF($G$27="Accuracy",0,IF($G$27="Critical Rate %",(CHOOSE(MATCH($F$27,{"Rare","Epic","Unique","Legendary","Mystic","Mystic (Prime)"},0),2,3,4.5,7,10,12))*Sensitivity!$H$17,IF($G$27="Min Damage Multiplier %",(CHOOSE(MATCH($F$27,{"Rare","Epic","Unique","Legendary","Mystic","Mystic (Prime)"},0),2,3,4.5,7,10,12))*Sensitivity!$H$15,IF($G$27="Max Damage Multiplier %",(CHOOSE(MATCH($F$27,{"Rare","Epic","Unique","Legendary","Mystic","Mystic (Prime)"},0),2,3,4.5,7,10,12))*Sensitivity!$H$16,IF($G$27="Boss Monster Damage %",(CHOOSE(MATCH($F$27,{"Rare","Epic","Unique","Legendary","Mystic","Mystic (Prime)"},0),4,6,9,14,20,24))*Sensitivity!$H$12,IF($G$27="Normal Monster Damage %",(CHOOSE(MATCH($F$27,{"Rare","Epic","Unique","Legendary","Mystic","Mystic (Prime)"},0),4,6,9,14,20,24))*Sensitivity!$H$13,IF($G$27="Status Effect Damage %",0,IF($G$27="Damage %",(CHOOSE(MATCH($F$27,{"Rare","Epic","Unique","Legendary","Mystic","Mystic (Prime)"},0),4,6,9,14,20,24))*Sensitivity!$H$10,IF($G$27="Defense Penetration %",(CHOOSE(MATCH($F$27,{"Rare","Epic","Unique","Legendary","Mystic","Mystic (Prime)"},0),2,3,4.5,7,10,12))*Sensitivity!$H$20,0)))))))))))),0)</f>
        <v/>
      </c>
      <c r="I27" s="7" t="inlineStr">
        <is>
          <t>Rare</t>
        </is>
      </c>
      <c r="J27" s="7" t="inlineStr">
        <is>
          <t>(none)</t>
        </is>
      </c>
      <c r="K27">
        <f>IF($N$27&gt;=5,IF($J$27="Main Stat %",(CHOOSE(MATCH($I$27,{"Rare","Epic","Unique","Legendary","Mystic","Mystic (Prime)"},0),2,3,4.5,7,10,12))*Sensitivity!$H$6,IF($J$27="Damage Taken Decrease %",0,IF($J$27="Defense %",0,IF($J$27="Accuracy",0,IF($J$27="Critical Rate %",(CHOOSE(MATCH($I$27,{"Rare","Epic","Unique","Legendary","Mystic","Mystic (Prime)"},0),2,3,4.5,7,10,12))*Sensitivity!$H$17,IF($J$27="Min Damage Multiplier %",(CHOOSE(MATCH($I$27,{"Rare","Epic","Unique","Legendary","Mystic","Mystic (Prime)"},0),2,3,4.5,7,10,12))*Sensitivity!$H$15,IF($J$27="Max Damage Multiplier %",(CHOOSE(MATCH($I$27,{"Rare","Epic","Unique","Legendary","Mystic","Mystic (Prime)"},0),2,3,4.5,7,10,12))*Sensitivity!$H$16,IF($J$27="Boss Monster Damage %",(CHOOSE(MATCH($I$27,{"Rare","Epic","Unique","Legendary","Mystic","Mystic (Prime)"},0),4,6,9,14,20,24))*Sensitivity!$H$12,IF($J$27="Normal Monster Damage %",(CHOOSE(MATCH($I$27,{"Rare","Epic","Unique","Legendary","Mystic","Mystic (Prime)"},0),4,6,9,14,20,24))*Sensitivity!$H$13,IF($J$27="Status Effect Damage %",0,IF($J$27="Damage %",(CHOOSE(MATCH($I$27,{"Rare","Epic","Unique","Legendary","Mystic","Mystic (Prime)"},0),4,6,9,14,20,24))*Sensitivity!$H$10,IF($J$27="Defense Penetration %",(CHOOSE(MATCH($I$27,{"Rare","Epic","Unique","Legendary","Mystic","Mystic (Prime)"},0),2,3,4.5,7,10,12))*Sensitivity!$H$20,0)))))))))))),0)</f>
        <v/>
      </c>
      <c r="L27">
        <f>Summary!$B$3*((IF(D27="(none)",1,1+(E27+IF(G27=D27,H27,0)+IF(J27=D27,K27,0))/Summary!$B$3))*(IF(OR(G27="(none)",G27=D27),1,1+(H27+IF(D27=G27,E27,0)+IF(J27=G27,K27,0))/Summary!$B$3))*(IF(OR(J27="",J27="(none)",J27=D27,J27=G27),1,1+(K27+IF(D27=J27,E27,0)+IF(G27=J27,H27,0))/Summary!$B$3))-1)</f>
        <v/>
      </c>
      <c r="M27">
        <f>OR(Inputs!$B$48="Soul Contract",Inputs!$B$49="Soul Contract",Inputs!$B$50="Soul Contract",Inputs!$B$51="Soul Contract")</f>
        <v/>
      </c>
      <c r="N27">
        <f>IF(B27="Not Unlocked",0,B27)</f>
        <v/>
      </c>
    </row>
    <row r="28">
      <c r="A28" s="6" t="inlineStr">
        <is>
          <t>Lit Lamp</t>
        </is>
      </c>
      <c r="B28" s="7" t="inlineStr">
        <is>
          <t>Not Unlocked</t>
        </is>
      </c>
      <c r="C28" s="7" t="inlineStr">
        <is>
          <t>Rare</t>
        </is>
      </c>
      <c r="D28" s="7" t="inlineStr">
        <is>
          <t>(none)</t>
        </is>
      </c>
      <c r="E28">
        <f>IF($N$28&gt;=1,IF($D$28="Main Stat %",(CHOOSE(MATCH($C$28,{"Rare","Epic","Unique","Legendary","Mystic","Mystic (Prime)"},0),2,3,4.5,7,10,12))*Sensitivity!$H$6,IF($D$28="Damage Taken Decrease %",0,IF($D$28="Defense %",0,IF($D$28="Accuracy",0,IF($D$28="Critical Rate %",(CHOOSE(MATCH($C$28,{"Rare","Epic","Unique","Legendary","Mystic","Mystic (Prime)"},0),2,3,4.5,7,10,12))*Sensitivity!$H$17,IF($D$28="Min Damage Multiplier %",(CHOOSE(MATCH($C$28,{"Rare","Epic","Unique","Legendary","Mystic","Mystic (Prime)"},0),2,3,4.5,7,10,12))*Sensitivity!$H$15,IF($D$28="Max Damage Multiplier %",(CHOOSE(MATCH($C$28,{"Rare","Epic","Unique","Legendary","Mystic","Mystic (Prime)"},0),2,3,4.5,7,10,12))*Sensitivity!$H$16,IF($D$28="Boss Monster Damage %",(CHOOSE(MATCH($C$28,{"Rare","Epic","Unique","Legendary","Mystic","Mystic (Prime)"},0),4,6,9,14,20,24))*Sensitivity!$H$12,IF($D$28="Normal Monster Damage %",(CHOOSE(MATCH($C$28,{"Rare","Epic","Unique","Legendary","Mystic","Mystic (Prime)"},0),4,6,9,14,20,24))*Sensitivity!$H$13,IF($D$28="Status Effect Damage %",0,IF($D$28="Damage %",(CHOOSE(MATCH($C$28,{"Rare","Epic","Unique","Legendary","Mystic","Mystic (Prime)"},0),4,6,9,14,20,24))*Sensitivity!$H$10,IF($D$28="Defense Penetration %",(CHOOSE(MATCH($C$28,{"Rare","Epic","Unique","Legendary","Mystic","Mystic (Prime)"},0),2,3,4.5,7,10,12))*Sensitivity!$H$20,0)))))))))))),0)</f>
        <v/>
      </c>
      <c r="F28" s="7" t="inlineStr">
        <is>
          <t>Rare</t>
        </is>
      </c>
      <c r="G28" s="7" t="inlineStr">
        <is>
          <t>(none)</t>
        </is>
      </c>
      <c r="H28">
        <f>IF($N$28&gt;=2,IF($G$28="Main Stat %",(CHOOSE(MATCH($F$28,{"Rare","Epic","Unique","Legendary","Mystic","Mystic (Prime)"},0),2,3,4.5,7,10,12))*Sensitivity!$H$6,IF($G$28="Damage Taken Decrease %",0,IF($G$28="Defense %",0,IF($G$28="Accuracy",0,IF($G$28="Critical Rate %",(CHOOSE(MATCH($F$28,{"Rare","Epic","Unique","Legendary","Mystic","Mystic (Prime)"},0),2,3,4.5,7,10,12))*Sensitivity!$H$17,IF($G$28="Min Damage Multiplier %",(CHOOSE(MATCH($F$28,{"Rare","Epic","Unique","Legendary","Mystic","Mystic (Prime)"},0),2,3,4.5,7,10,12))*Sensitivity!$H$15,IF($G$28="Max Damage Multiplier %",(CHOOSE(MATCH($F$28,{"Rare","Epic","Unique","Legendary","Mystic","Mystic (Prime)"},0),2,3,4.5,7,10,12))*Sensitivity!$H$16,IF($G$28="Boss Monster Damage %",(CHOOSE(MATCH($F$28,{"Rare","Epic","Unique","Legendary","Mystic","Mystic (Prime)"},0),4,6,9,14,20,24))*Sensitivity!$H$12,IF($G$28="Normal Monster Damage %",(CHOOSE(MATCH($F$28,{"Rare","Epic","Unique","Legendary","Mystic","Mystic (Prime)"},0),4,6,9,14,20,24))*Sensitivity!$H$13,IF($G$28="Status Effect Damage %",0,IF($G$28="Damage %",(CHOOSE(MATCH($F$28,{"Rare","Epic","Unique","Legendary","Mystic","Mystic (Prime)"},0),4,6,9,14,20,24))*Sensitivity!$H$10,IF($G$28="Defense Penetration %",(CHOOSE(MATCH($F$28,{"Rare","Epic","Unique","Legendary","Mystic","Mystic (Prime)"},0),2,3,4.5,7,10,12))*Sensitivity!$H$20,0)))))))))))),0)</f>
        <v/>
      </c>
      <c r="I28" s="7" t="inlineStr">
        <is>
          <t>Rare</t>
        </is>
      </c>
      <c r="J28" s="7" t="inlineStr">
        <is>
          <t>(none)</t>
        </is>
      </c>
      <c r="K28">
        <f>IF($N$28&gt;=5,IF($J$28="Main Stat %",(CHOOSE(MATCH($I$28,{"Rare","Epic","Unique","Legendary","Mystic","Mystic (Prime)"},0),2,3,4.5,7,10,12))*Sensitivity!$H$6,IF($J$28="Damage Taken Decrease %",0,IF($J$28="Defense %",0,IF($J$28="Accuracy",0,IF($J$28="Critical Rate %",(CHOOSE(MATCH($I$28,{"Rare","Epic","Unique","Legendary","Mystic","Mystic (Prime)"},0),2,3,4.5,7,10,12))*Sensitivity!$H$17,IF($J$28="Min Damage Multiplier %",(CHOOSE(MATCH($I$28,{"Rare","Epic","Unique","Legendary","Mystic","Mystic (Prime)"},0),2,3,4.5,7,10,12))*Sensitivity!$H$15,IF($J$28="Max Damage Multiplier %",(CHOOSE(MATCH($I$28,{"Rare","Epic","Unique","Legendary","Mystic","Mystic (Prime)"},0),2,3,4.5,7,10,12))*Sensitivity!$H$16,IF($J$28="Boss Monster Damage %",(CHOOSE(MATCH($I$28,{"Rare","Epic","Unique","Legendary","Mystic","Mystic (Prime)"},0),4,6,9,14,20,24))*Sensitivity!$H$12,IF($J$28="Normal Monster Damage %",(CHOOSE(MATCH($I$28,{"Rare","Epic","Unique","Legendary","Mystic","Mystic (Prime)"},0),4,6,9,14,20,24))*Sensitivity!$H$13,IF($J$28="Status Effect Damage %",0,IF($J$28="Damage %",(CHOOSE(MATCH($I$28,{"Rare","Epic","Unique","Legendary","Mystic","Mystic (Prime)"},0),4,6,9,14,20,24))*Sensitivity!$H$10,IF($J$28="Defense Penetration %",(CHOOSE(MATCH($I$28,{"Rare","Epic","Unique","Legendary","Mystic","Mystic (Prime)"},0),2,3,4.5,7,10,12))*Sensitivity!$H$20,0)))))))))))),0)</f>
        <v/>
      </c>
      <c r="L28">
        <f>Summary!$B$3*((IF(D28="(none)",1,1+(E28+IF(G28=D28,H28,0)+IF(J28=D28,K28,0))/Summary!$B$3))*(IF(OR(G28="(none)",G28=D28),1,1+(H28+IF(D28=G28,E28,0)+IF(J28=G28,K28,0))/Summary!$B$3))*(IF(OR(J28="",J28="(none)",J28=D28,J28=G28),1,1+(K28+IF(D28=J28,E28,0)+IF(G28=J28,H28,0))/Summary!$B$3))-1)</f>
        <v/>
      </c>
      <c r="M28">
        <f>OR(Inputs!$B$48="Lit Lamp",Inputs!$B$49="Lit Lamp",Inputs!$B$50="Lit Lamp",Inputs!$B$51="Lit Lamp")</f>
        <v/>
      </c>
      <c r="N28">
        <f>IF(B28="Not Unlocked",0,B28)</f>
        <v/>
      </c>
    </row>
    <row r="29">
      <c r="A29" s="6" t="inlineStr">
        <is>
          <t>Soul Pouch</t>
        </is>
      </c>
      <c r="B29" s="7" t="inlineStr">
        <is>
          <t>Not Unlocked</t>
        </is>
      </c>
      <c r="C29" s="7" t="inlineStr">
        <is>
          <t>Rare</t>
        </is>
      </c>
      <c r="D29" s="7" t="inlineStr">
        <is>
          <t>(none)</t>
        </is>
      </c>
      <c r="E29">
        <f>IF($N$29&gt;=1,IF($D$29="Main Stat %",(CHOOSE(MATCH($C$29,{"Rare","Epic","Unique","Legendary","Mystic","Mystic (Prime)"},0),2,3,4.5,7,10,12))*Sensitivity!$H$6,IF($D$29="Damage Taken Decrease %",0,IF($D$29="Defense %",0,IF($D$29="Accuracy",0,IF($D$29="Critical Rate %",(CHOOSE(MATCH($C$29,{"Rare","Epic","Unique","Legendary","Mystic","Mystic (Prime)"},0),2,3,4.5,7,10,12))*Sensitivity!$H$17,IF($D$29="Min Damage Multiplier %",(CHOOSE(MATCH($C$29,{"Rare","Epic","Unique","Legendary","Mystic","Mystic (Prime)"},0),2,3,4.5,7,10,12))*Sensitivity!$H$15,IF($D$29="Max Damage Multiplier %",(CHOOSE(MATCH($C$29,{"Rare","Epic","Unique","Legendary","Mystic","Mystic (Prime)"},0),2,3,4.5,7,10,12))*Sensitivity!$H$16,IF($D$29="Boss Monster Damage %",(CHOOSE(MATCH($C$29,{"Rare","Epic","Unique","Legendary","Mystic","Mystic (Prime)"},0),4,6,9,14,20,24))*Sensitivity!$H$12,IF($D$29="Normal Monster Damage %",(CHOOSE(MATCH($C$29,{"Rare","Epic","Unique","Legendary","Mystic","Mystic (Prime)"},0),4,6,9,14,20,24))*Sensitivity!$H$13,IF($D$29="Status Effect Damage %",0,IF($D$29="Damage %",(CHOOSE(MATCH($C$29,{"Rare","Epic","Unique","Legendary","Mystic","Mystic (Prime)"},0),4,6,9,14,20,24))*Sensitivity!$H$10,IF($D$29="Defense Penetration %",(CHOOSE(MATCH($C$29,{"Rare","Epic","Unique","Legendary","Mystic","Mystic (Prime)"},0),2,3,4.5,7,10,12))*Sensitivity!$H$20,0)))))))))))),0)</f>
        <v/>
      </c>
      <c r="F29" s="7" t="inlineStr">
        <is>
          <t>Rare</t>
        </is>
      </c>
      <c r="G29" s="7" t="inlineStr">
        <is>
          <t>(none)</t>
        </is>
      </c>
      <c r="H29">
        <f>IF($N$29&gt;=2,IF($G$29="Main Stat %",(CHOOSE(MATCH($F$29,{"Rare","Epic","Unique","Legendary","Mystic","Mystic (Prime)"},0),2,3,4.5,7,10,12))*Sensitivity!$H$6,IF($G$29="Damage Taken Decrease %",0,IF($G$29="Defense %",0,IF($G$29="Accuracy",0,IF($G$29="Critical Rate %",(CHOOSE(MATCH($F$29,{"Rare","Epic","Unique","Legendary","Mystic","Mystic (Prime)"},0),2,3,4.5,7,10,12))*Sensitivity!$H$17,IF($G$29="Min Damage Multiplier %",(CHOOSE(MATCH($F$29,{"Rare","Epic","Unique","Legendary","Mystic","Mystic (Prime)"},0),2,3,4.5,7,10,12))*Sensitivity!$H$15,IF($G$29="Max Damage Multiplier %",(CHOOSE(MATCH($F$29,{"Rare","Epic","Unique","Legendary","Mystic","Mystic (Prime)"},0),2,3,4.5,7,10,12))*Sensitivity!$H$16,IF($G$29="Boss Monster Damage %",(CHOOSE(MATCH($F$29,{"Rare","Epic","Unique","Legendary","Mystic","Mystic (Prime)"},0),4,6,9,14,20,24))*Sensitivity!$H$12,IF($G$29="Normal Monster Damage %",(CHOOSE(MATCH($F$29,{"Rare","Epic","Unique","Legendary","Mystic","Mystic (Prime)"},0),4,6,9,14,20,24))*Sensitivity!$H$13,IF($G$29="Status Effect Damage %",0,IF($G$29="Damage %",(CHOOSE(MATCH($F$29,{"Rare","Epic","Unique","Legendary","Mystic","Mystic (Prime)"},0),4,6,9,14,20,24))*Sensitivity!$H$10,IF($G$29="Defense Penetration %",(CHOOSE(MATCH($F$29,{"Rare","Epic","Unique","Legendary","Mystic","Mystic (Prime)"},0),2,3,4.5,7,10,12))*Sensitivity!$H$20,0)))))))))))),0)</f>
        <v/>
      </c>
      <c r="I29" s="7" t="inlineStr">
        <is>
          <t>Rare</t>
        </is>
      </c>
      <c r="J29" s="7" t="inlineStr">
        <is>
          <t>(none)</t>
        </is>
      </c>
      <c r="K29">
        <f>IF($N$29&gt;=5,IF($J$29="Main Stat %",(CHOOSE(MATCH($I$29,{"Rare","Epic","Unique","Legendary","Mystic","Mystic (Prime)"},0),2,3,4.5,7,10,12))*Sensitivity!$H$6,IF($J$29="Damage Taken Decrease %",0,IF($J$29="Defense %",0,IF($J$29="Accuracy",0,IF($J$29="Critical Rate %",(CHOOSE(MATCH($I$29,{"Rare","Epic","Unique","Legendary","Mystic","Mystic (Prime)"},0),2,3,4.5,7,10,12))*Sensitivity!$H$17,IF($J$29="Min Damage Multiplier %",(CHOOSE(MATCH($I$29,{"Rare","Epic","Unique","Legendary","Mystic","Mystic (Prime)"},0),2,3,4.5,7,10,12))*Sensitivity!$H$15,IF($J$29="Max Damage Multiplier %",(CHOOSE(MATCH($I$29,{"Rare","Epic","Unique","Legendary","Mystic","Mystic (Prime)"},0),2,3,4.5,7,10,12))*Sensitivity!$H$16,IF($J$29="Boss Monster Damage %",(CHOOSE(MATCH($I$29,{"Rare","Epic","Unique","Legendary","Mystic","Mystic (Prime)"},0),4,6,9,14,20,24))*Sensitivity!$H$12,IF($J$29="Normal Monster Damage %",(CHOOSE(MATCH($I$29,{"Rare","Epic","Unique","Legendary","Mystic","Mystic (Prime)"},0),4,6,9,14,20,24))*Sensitivity!$H$13,IF($J$29="Status Effect Damage %",0,IF($J$29="Damage %",(CHOOSE(MATCH($I$29,{"Rare","Epic","Unique","Legendary","Mystic","Mystic (Prime)"},0),4,6,9,14,20,24))*Sensitivity!$H$10,IF($J$29="Defense Penetration %",(CHOOSE(MATCH($I$29,{"Rare","Epic","Unique","Legendary","Mystic","Mystic (Prime)"},0),2,3,4.5,7,10,12))*Sensitivity!$H$20,0)))))))))))),0)</f>
        <v/>
      </c>
      <c r="L29">
        <f>Summary!$B$3*((IF(D29="(none)",1,1+(E29+IF(G29=D29,H29,0)+IF(J29=D29,K29,0))/Summary!$B$3))*(IF(OR(G29="(none)",G29=D29),1,1+(H29+IF(D29=G29,E29,0)+IF(J29=G29,K29,0))/Summary!$B$3))*(IF(OR(J29="",J29="(none)",J29=D29,J29=G29),1,1+(K29+IF(D29=J29,E29,0)+IF(G29=J29,H29,0))/Summary!$B$3))-1)</f>
        <v/>
      </c>
      <c r="M29">
        <f>OR(Inputs!$B$48="Soul Pouch",Inputs!$B$49="Soul Pouch",Inputs!$B$50="Soul Pouch",Inputs!$B$51="Soul Pouch")</f>
        <v/>
      </c>
      <c r="N29">
        <f>IF(B29="Not Unlocked",0,B29)</f>
        <v/>
      </c>
    </row>
    <row r="30">
      <c r="A30" s="6" t="inlineStr">
        <is>
          <t>Ancient Text Piece</t>
        </is>
      </c>
      <c r="B30" s="7" t="inlineStr">
        <is>
          <t>Not Unlocked</t>
        </is>
      </c>
      <c r="C30" s="7" t="inlineStr">
        <is>
          <t>Rare</t>
        </is>
      </c>
      <c r="D30" s="7" t="inlineStr">
        <is>
          <t>(none)</t>
        </is>
      </c>
      <c r="E30">
        <f>IF($N$30&gt;=1,IF($D$30="Main Stat %",(CHOOSE(MATCH($C$30,{"Rare","Epic","Unique","Legendary","Mystic","Mystic (Prime)"},0),2,3,4.5,7,10,12))*Sensitivity!$H$6,IF($D$30="Damage Taken Decrease %",0,IF($D$30="Defense %",0,IF($D$30="Accuracy",0,IF($D$30="Critical Rate %",(CHOOSE(MATCH($C$30,{"Rare","Epic","Unique","Legendary","Mystic","Mystic (Prime)"},0),2,3,4.5,7,10,12))*Sensitivity!$H$17,IF($D$30="Min Damage Multiplier %",(CHOOSE(MATCH($C$30,{"Rare","Epic","Unique","Legendary","Mystic","Mystic (Prime)"},0),2,3,4.5,7,10,12))*Sensitivity!$H$15,IF($D$30="Max Damage Multiplier %",(CHOOSE(MATCH($C$30,{"Rare","Epic","Unique","Legendary","Mystic","Mystic (Prime)"},0),2,3,4.5,7,10,12))*Sensitivity!$H$16,IF($D$30="Boss Monster Damage %",(CHOOSE(MATCH($C$30,{"Rare","Epic","Unique","Legendary","Mystic","Mystic (Prime)"},0),4,6,9,14,20,24))*Sensitivity!$H$12,IF($D$30="Normal Monster Damage %",(CHOOSE(MATCH($C$30,{"Rare","Epic","Unique","Legendary","Mystic","Mystic (Prime)"},0),4,6,9,14,20,24))*Sensitivity!$H$13,IF($D$30="Status Effect Damage %",0,IF($D$30="Damage %",(CHOOSE(MATCH($C$30,{"Rare","Epic","Unique","Legendary","Mystic","Mystic (Prime)"},0),4,6,9,14,20,24))*Sensitivity!$H$10,IF($D$30="Defense Penetration %",(CHOOSE(MATCH($C$30,{"Rare","Epic","Unique","Legendary","Mystic","Mystic (Prime)"},0),2,3,4.5,7,10,12))*Sensitivity!$H$20,0)))))))))))),0)</f>
        <v/>
      </c>
      <c r="F30" s="7" t="inlineStr">
        <is>
          <t>Rare</t>
        </is>
      </c>
      <c r="G30" s="7" t="inlineStr">
        <is>
          <t>(none)</t>
        </is>
      </c>
      <c r="H30">
        <f>IF($N$30&gt;=2,IF($G$30="Main Stat %",(CHOOSE(MATCH($F$30,{"Rare","Epic","Unique","Legendary","Mystic","Mystic (Prime)"},0),2,3,4.5,7,10,12))*Sensitivity!$H$6,IF($G$30="Damage Taken Decrease %",0,IF($G$30="Defense %",0,IF($G$30="Accuracy",0,IF($G$30="Critical Rate %",(CHOOSE(MATCH($F$30,{"Rare","Epic","Unique","Legendary","Mystic","Mystic (Prime)"},0),2,3,4.5,7,10,12))*Sensitivity!$H$17,IF($G$30="Min Damage Multiplier %",(CHOOSE(MATCH($F$30,{"Rare","Epic","Unique","Legendary","Mystic","Mystic (Prime)"},0),2,3,4.5,7,10,12))*Sensitivity!$H$15,IF($G$30="Max Damage Multiplier %",(CHOOSE(MATCH($F$30,{"Rare","Epic","Unique","Legendary","Mystic","Mystic (Prime)"},0),2,3,4.5,7,10,12))*Sensitivity!$H$16,IF($G$30="Boss Monster Damage %",(CHOOSE(MATCH($F$30,{"Rare","Epic","Unique","Legendary","Mystic","Mystic (Prime)"},0),4,6,9,14,20,24))*Sensitivity!$H$12,IF($G$30="Normal Monster Damage %",(CHOOSE(MATCH($F$30,{"Rare","Epic","Unique","Legendary","Mystic","Mystic (Prime)"},0),4,6,9,14,20,24))*Sensitivity!$H$13,IF($G$30="Status Effect Damage %",0,IF($G$30="Damage %",(CHOOSE(MATCH($F$30,{"Rare","Epic","Unique","Legendary","Mystic","Mystic (Prime)"},0),4,6,9,14,20,24))*Sensitivity!$H$10,IF($G$30="Defense Penetration %",(CHOOSE(MATCH($F$30,{"Rare","Epic","Unique","Legendary","Mystic","Mystic (Prime)"},0),2,3,4.5,7,10,12))*Sensitivity!$H$20,0)))))))))))),0)</f>
        <v/>
      </c>
      <c r="I30" s="7" t="inlineStr">
        <is>
          <t>Rare</t>
        </is>
      </c>
      <c r="J30" s="7" t="inlineStr">
        <is>
          <t>(none)</t>
        </is>
      </c>
      <c r="K30">
        <f>IF($N$30&gt;=5,IF($J$30="Main Stat %",(CHOOSE(MATCH($I$30,{"Rare","Epic","Unique","Legendary","Mystic","Mystic (Prime)"},0),2,3,4.5,7,10,12))*Sensitivity!$H$6,IF($J$30="Damage Taken Decrease %",0,IF($J$30="Defense %",0,IF($J$30="Accuracy",0,IF($J$30="Critical Rate %",(CHOOSE(MATCH($I$30,{"Rare","Epic","Unique","Legendary","Mystic","Mystic (Prime)"},0),2,3,4.5,7,10,12))*Sensitivity!$H$17,IF($J$30="Min Damage Multiplier %",(CHOOSE(MATCH($I$30,{"Rare","Epic","Unique","Legendary","Mystic","Mystic (Prime)"},0),2,3,4.5,7,10,12))*Sensitivity!$H$15,IF($J$30="Max Damage Multiplier %",(CHOOSE(MATCH($I$30,{"Rare","Epic","Unique","Legendary","Mystic","Mystic (Prime)"},0),2,3,4.5,7,10,12))*Sensitivity!$H$16,IF($J$30="Boss Monster Damage %",(CHOOSE(MATCH($I$30,{"Rare","Epic","Unique","Legendary","Mystic","Mystic (Prime)"},0),4,6,9,14,20,24))*Sensitivity!$H$12,IF($J$30="Normal Monster Damage %",(CHOOSE(MATCH($I$30,{"Rare","Epic","Unique","Legendary","Mystic","Mystic (Prime)"},0),4,6,9,14,20,24))*Sensitivity!$H$13,IF($J$30="Status Effect Damage %",0,IF($J$30="Damage %",(CHOOSE(MATCH($I$30,{"Rare","Epic","Unique","Legendary","Mystic","Mystic (Prime)"},0),4,6,9,14,20,24))*Sensitivity!$H$10,IF($J$30="Defense Penetration %",(CHOOSE(MATCH($I$30,{"Rare","Epic","Unique","Legendary","Mystic","Mystic (Prime)"},0),2,3,4.5,7,10,12))*Sensitivity!$H$20,0)))))))))))),0)</f>
        <v/>
      </c>
      <c r="L30">
        <f>Summary!$B$3*((IF(D30="(none)",1,1+(E30+IF(G30=D30,H30,0)+IF(J30=D30,K30,0))/Summary!$B$3))*(IF(OR(G30="(none)",G30=D30),1,1+(H30+IF(D30=G30,E30,0)+IF(J30=G30,K30,0))/Summary!$B$3))*(IF(OR(J30="",J30="(none)",J30=D30,J30=G30),1,1+(K30+IF(D30=J30,E30,0)+IF(G30=J30,H30,0))/Summary!$B$3))-1)</f>
        <v/>
      </c>
      <c r="M30">
        <f>OR(Inputs!$B$48="Ancient Text Piece",Inputs!$B$49="Ancient Text Piece",Inputs!$B$50="Ancient Text Piece",Inputs!$B$51="Ancient Text Piece")</f>
        <v/>
      </c>
      <c r="N30">
        <f>IF(B30="Not Unlocked",0,B30)</f>
        <v/>
      </c>
    </row>
    <row r="31">
      <c r="A31" s="6" t="inlineStr">
        <is>
          <t>Icy Soul Rock</t>
        </is>
      </c>
      <c r="B31" s="7" t="inlineStr">
        <is>
          <t>Not Unlocked</t>
        </is>
      </c>
      <c r="C31" s="7" t="inlineStr">
        <is>
          <t>Rare</t>
        </is>
      </c>
      <c r="D31" s="7" t="inlineStr">
        <is>
          <t>(none)</t>
        </is>
      </c>
      <c r="E31">
        <f>IF($N$31&gt;=1,IF($D$31="Main Stat %",(CHOOSE(MATCH($C$31,{"Rare","Epic","Unique","Legendary","Mystic","Mystic (Prime)"},0),2,3,4.5,7,10,12))*Sensitivity!$H$6,IF($D$31="Damage Taken Decrease %",0,IF($D$31="Defense %",0,IF($D$31="Accuracy",0,IF($D$31="Critical Rate %",(CHOOSE(MATCH($C$31,{"Rare","Epic","Unique","Legendary","Mystic","Mystic (Prime)"},0),2,3,4.5,7,10,12))*Sensitivity!$H$17,IF($D$31="Min Damage Multiplier %",(CHOOSE(MATCH($C$31,{"Rare","Epic","Unique","Legendary","Mystic","Mystic (Prime)"},0),2,3,4.5,7,10,12))*Sensitivity!$H$15,IF($D$31="Max Damage Multiplier %",(CHOOSE(MATCH($C$31,{"Rare","Epic","Unique","Legendary","Mystic","Mystic (Prime)"},0),2,3,4.5,7,10,12))*Sensitivity!$H$16,IF($D$31="Boss Monster Damage %",(CHOOSE(MATCH($C$31,{"Rare","Epic","Unique","Legendary","Mystic","Mystic (Prime)"},0),4,6,9,14,20,24))*Sensitivity!$H$12,IF($D$31="Normal Monster Damage %",(CHOOSE(MATCH($C$31,{"Rare","Epic","Unique","Legendary","Mystic","Mystic (Prime)"},0),4,6,9,14,20,24))*Sensitivity!$H$13,IF($D$31="Status Effect Damage %",0,IF($D$31="Damage %",(CHOOSE(MATCH($C$31,{"Rare","Epic","Unique","Legendary","Mystic","Mystic (Prime)"},0),4,6,9,14,20,24))*Sensitivity!$H$10,IF($D$31="Defense Penetration %",(CHOOSE(MATCH($C$31,{"Rare","Epic","Unique","Legendary","Mystic","Mystic (Prime)"},0),2,3,4.5,7,10,12))*Sensitivity!$H$20,0)))))))))))),0)</f>
        <v/>
      </c>
      <c r="F31" s="7" t="inlineStr">
        <is>
          <t>Rare</t>
        </is>
      </c>
      <c r="G31" s="7" t="inlineStr">
        <is>
          <t>(none)</t>
        </is>
      </c>
      <c r="H31">
        <f>IF($N$31&gt;=2,IF($G$31="Main Stat %",(CHOOSE(MATCH($F$31,{"Rare","Epic","Unique","Legendary","Mystic","Mystic (Prime)"},0),2,3,4.5,7,10,12))*Sensitivity!$H$6,IF($G$31="Damage Taken Decrease %",0,IF($G$31="Defense %",0,IF($G$31="Accuracy",0,IF($G$31="Critical Rate %",(CHOOSE(MATCH($F$31,{"Rare","Epic","Unique","Legendary","Mystic","Mystic (Prime)"},0),2,3,4.5,7,10,12))*Sensitivity!$H$17,IF($G$31="Min Damage Multiplier %",(CHOOSE(MATCH($F$31,{"Rare","Epic","Unique","Legendary","Mystic","Mystic (Prime)"},0),2,3,4.5,7,10,12))*Sensitivity!$H$15,IF($G$31="Max Damage Multiplier %",(CHOOSE(MATCH($F$31,{"Rare","Epic","Unique","Legendary","Mystic","Mystic (Prime)"},0),2,3,4.5,7,10,12))*Sensitivity!$H$16,IF($G$31="Boss Monster Damage %",(CHOOSE(MATCH($F$31,{"Rare","Epic","Unique","Legendary","Mystic","Mystic (Prime)"},0),4,6,9,14,20,24))*Sensitivity!$H$12,IF($G$31="Normal Monster Damage %",(CHOOSE(MATCH($F$31,{"Rare","Epic","Unique","Legendary","Mystic","Mystic (Prime)"},0),4,6,9,14,20,24))*Sensitivity!$H$13,IF($G$31="Status Effect Damage %",0,IF($G$31="Damage %",(CHOOSE(MATCH($F$31,{"Rare","Epic","Unique","Legendary","Mystic","Mystic (Prime)"},0),4,6,9,14,20,24))*Sensitivity!$H$10,IF($G$31="Defense Penetration %",(CHOOSE(MATCH($F$31,{"Rare","Epic","Unique","Legendary","Mystic","Mystic (Prime)"},0),2,3,4.5,7,10,12))*Sensitivity!$H$20,0)))))))))))),0)</f>
        <v/>
      </c>
      <c r="I31" s="7" t="inlineStr">
        <is>
          <t>Rare</t>
        </is>
      </c>
      <c r="J31" s="7" t="inlineStr">
        <is>
          <t>(none)</t>
        </is>
      </c>
      <c r="K31">
        <f>IF($N$31&gt;=5,IF($J$31="Main Stat %",(CHOOSE(MATCH($I$31,{"Rare","Epic","Unique","Legendary","Mystic","Mystic (Prime)"},0),2,3,4.5,7,10,12))*Sensitivity!$H$6,IF($J$31="Damage Taken Decrease %",0,IF($J$31="Defense %",0,IF($J$31="Accuracy",0,IF($J$31="Critical Rate %",(CHOOSE(MATCH($I$31,{"Rare","Epic","Unique","Legendary","Mystic","Mystic (Prime)"},0),2,3,4.5,7,10,12))*Sensitivity!$H$17,IF($J$31="Min Damage Multiplier %",(CHOOSE(MATCH($I$31,{"Rare","Epic","Unique","Legendary","Mystic","Mystic (Prime)"},0),2,3,4.5,7,10,12))*Sensitivity!$H$15,IF($J$31="Max Damage Multiplier %",(CHOOSE(MATCH($I$31,{"Rare","Epic","Unique","Legendary","Mystic","Mystic (Prime)"},0),2,3,4.5,7,10,12))*Sensitivity!$H$16,IF($J$31="Boss Monster Damage %",(CHOOSE(MATCH($I$31,{"Rare","Epic","Unique","Legendary","Mystic","Mystic (Prime)"},0),4,6,9,14,20,24))*Sensitivity!$H$12,IF($J$31="Normal Monster Damage %",(CHOOSE(MATCH($I$31,{"Rare","Epic","Unique","Legendary","Mystic","Mystic (Prime)"},0),4,6,9,14,20,24))*Sensitivity!$H$13,IF($J$31="Status Effect Damage %",0,IF($J$31="Damage %",(CHOOSE(MATCH($I$31,{"Rare","Epic","Unique","Legendary","Mystic","Mystic (Prime)"},0),4,6,9,14,20,24))*Sensitivity!$H$10,IF($J$31="Defense Penetration %",(CHOOSE(MATCH($I$31,{"Rare","Epic","Unique","Legendary","Mystic","Mystic (Prime)"},0),2,3,4.5,7,10,12))*Sensitivity!$H$20,0)))))))))))),0)</f>
        <v/>
      </c>
      <c r="L31">
        <f>Summary!$B$3*((IF(D31="(none)",1,1+(E31+IF(G31=D31,H31,0)+IF(J31=D31,K31,0))/Summary!$B$3))*(IF(OR(G31="(none)",G31=D31),1,1+(H31+IF(D31=G31,E31,0)+IF(J31=G31,K31,0))/Summary!$B$3))*(IF(OR(J31="",J31="(none)",J31=D31,J31=G31),1,1+(K31+IF(D31=J31,E31,0)+IF(G31=J31,H31,0))/Summary!$B$3))-1)</f>
        <v/>
      </c>
      <c r="M31">
        <f>OR(Inputs!$B$48="Icy Soul Rock",Inputs!$B$49="Icy Soul Rock",Inputs!$B$50="Icy Soul Rock",Inputs!$B$51="Icy Soul Rock")</f>
        <v/>
      </c>
      <c r="N31">
        <f>IF(B31="Not Unlocked",0,B31)</f>
        <v/>
      </c>
    </row>
    <row r="32">
      <c r="A32" s="6" t="inlineStr">
        <is>
          <t>Flaming Lava</t>
        </is>
      </c>
      <c r="B32" s="7" t="inlineStr">
        <is>
          <t>Not Unlocked</t>
        </is>
      </c>
      <c r="C32" s="7" t="inlineStr">
        <is>
          <t>Rare</t>
        </is>
      </c>
      <c r="D32" s="7" t="inlineStr">
        <is>
          <t>(none)</t>
        </is>
      </c>
      <c r="E32">
        <f>IF($N$32&gt;=1,IF($D$32="Main Stat %",(CHOOSE(MATCH($C$32,{"Rare","Epic","Unique","Legendary","Mystic","Mystic (Prime)"},0),2,3,4.5,7,10,12))*Sensitivity!$H$6,IF($D$32="Damage Taken Decrease %",0,IF($D$32="Defense %",0,IF($D$32="Accuracy",0,IF($D$32="Critical Rate %",(CHOOSE(MATCH($C$32,{"Rare","Epic","Unique","Legendary","Mystic","Mystic (Prime)"},0),2,3,4.5,7,10,12))*Sensitivity!$H$17,IF($D$32="Min Damage Multiplier %",(CHOOSE(MATCH($C$32,{"Rare","Epic","Unique","Legendary","Mystic","Mystic (Prime)"},0),2,3,4.5,7,10,12))*Sensitivity!$H$15,IF($D$32="Max Damage Multiplier %",(CHOOSE(MATCH($C$32,{"Rare","Epic","Unique","Legendary","Mystic","Mystic (Prime)"},0),2,3,4.5,7,10,12))*Sensitivity!$H$16,IF($D$32="Boss Monster Damage %",(CHOOSE(MATCH($C$32,{"Rare","Epic","Unique","Legendary","Mystic","Mystic (Prime)"},0),4,6,9,14,20,24))*Sensitivity!$H$12,IF($D$32="Normal Monster Damage %",(CHOOSE(MATCH($C$32,{"Rare","Epic","Unique","Legendary","Mystic","Mystic (Prime)"},0),4,6,9,14,20,24))*Sensitivity!$H$13,IF($D$32="Status Effect Damage %",0,IF($D$32="Damage %",(CHOOSE(MATCH($C$32,{"Rare","Epic","Unique","Legendary","Mystic","Mystic (Prime)"},0),4,6,9,14,20,24))*Sensitivity!$H$10,IF($D$32="Defense Penetration %",(CHOOSE(MATCH($C$32,{"Rare","Epic","Unique","Legendary","Mystic","Mystic (Prime)"},0),2,3,4.5,7,10,12))*Sensitivity!$H$20,0)))))))))))),0)</f>
        <v/>
      </c>
      <c r="F32" s="7" t="inlineStr">
        <is>
          <t>Rare</t>
        </is>
      </c>
      <c r="G32" s="7" t="inlineStr">
        <is>
          <t>(none)</t>
        </is>
      </c>
      <c r="H32">
        <f>IF($N$32&gt;=2,IF($G$32="Main Stat %",(CHOOSE(MATCH($F$32,{"Rare","Epic","Unique","Legendary","Mystic","Mystic (Prime)"},0),2,3,4.5,7,10,12))*Sensitivity!$H$6,IF($G$32="Damage Taken Decrease %",0,IF($G$32="Defense %",0,IF($G$32="Accuracy",0,IF($G$32="Critical Rate %",(CHOOSE(MATCH($F$32,{"Rare","Epic","Unique","Legendary","Mystic","Mystic (Prime)"},0),2,3,4.5,7,10,12))*Sensitivity!$H$17,IF($G$32="Min Damage Multiplier %",(CHOOSE(MATCH($F$32,{"Rare","Epic","Unique","Legendary","Mystic","Mystic (Prime)"},0),2,3,4.5,7,10,12))*Sensitivity!$H$15,IF($G$32="Max Damage Multiplier %",(CHOOSE(MATCH($F$32,{"Rare","Epic","Unique","Legendary","Mystic","Mystic (Prime)"},0),2,3,4.5,7,10,12))*Sensitivity!$H$16,IF($G$32="Boss Monster Damage %",(CHOOSE(MATCH($F$32,{"Rare","Epic","Unique","Legendary","Mystic","Mystic (Prime)"},0),4,6,9,14,20,24))*Sensitivity!$H$12,IF($G$32="Normal Monster Damage %",(CHOOSE(MATCH($F$32,{"Rare","Epic","Unique","Legendary","Mystic","Mystic (Prime)"},0),4,6,9,14,20,24))*Sensitivity!$H$13,IF($G$32="Status Effect Damage %",0,IF($G$32="Damage %",(CHOOSE(MATCH($F$32,{"Rare","Epic","Unique","Legendary","Mystic","Mystic (Prime)"},0),4,6,9,14,20,24))*Sensitivity!$H$10,IF($G$32="Defense Penetration %",(CHOOSE(MATCH($F$32,{"Rare","Epic","Unique","Legendary","Mystic","Mystic (Prime)"},0),2,3,4.5,7,10,12))*Sensitivity!$H$20,0)))))))))))),0)</f>
        <v/>
      </c>
      <c r="I32" s="7" t="inlineStr">
        <is>
          <t>Rare</t>
        </is>
      </c>
      <c r="J32" s="7" t="inlineStr">
        <is>
          <t>(none)</t>
        </is>
      </c>
      <c r="K32">
        <f>IF($N$32&gt;=5,IF($J$32="Main Stat %",(CHOOSE(MATCH($I$32,{"Rare","Epic","Unique","Legendary","Mystic","Mystic (Prime)"},0),2,3,4.5,7,10,12))*Sensitivity!$H$6,IF($J$32="Damage Taken Decrease %",0,IF($J$32="Defense %",0,IF($J$32="Accuracy",0,IF($J$32="Critical Rate %",(CHOOSE(MATCH($I$32,{"Rare","Epic","Unique","Legendary","Mystic","Mystic (Prime)"},0),2,3,4.5,7,10,12))*Sensitivity!$H$17,IF($J$32="Min Damage Multiplier %",(CHOOSE(MATCH($I$32,{"Rare","Epic","Unique","Legendary","Mystic","Mystic (Prime)"},0),2,3,4.5,7,10,12))*Sensitivity!$H$15,IF($J$32="Max Damage Multiplier %",(CHOOSE(MATCH($I$32,{"Rare","Epic","Unique","Legendary","Mystic","Mystic (Prime)"},0),2,3,4.5,7,10,12))*Sensitivity!$H$16,IF($J$32="Boss Monster Damage %",(CHOOSE(MATCH($I$32,{"Rare","Epic","Unique","Legendary","Mystic","Mystic (Prime)"},0),4,6,9,14,20,24))*Sensitivity!$H$12,IF($J$32="Normal Monster Damage %",(CHOOSE(MATCH($I$32,{"Rare","Epic","Unique","Legendary","Mystic","Mystic (Prime)"},0),4,6,9,14,20,24))*Sensitivity!$H$13,IF($J$32="Status Effect Damage %",0,IF($J$32="Damage %",(CHOOSE(MATCH($I$32,{"Rare","Epic","Unique","Legendary","Mystic","Mystic (Prime)"},0),4,6,9,14,20,24))*Sensitivity!$H$10,IF($J$32="Defense Penetration %",(CHOOSE(MATCH($I$32,{"Rare","Epic","Unique","Legendary","Mystic","Mystic (Prime)"},0),2,3,4.5,7,10,12))*Sensitivity!$H$20,0)))))))))))),0)</f>
        <v/>
      </c>
      <c r="L32">
        <f>Summary!$B$3*((IF(D32="(none)",1,1+(E32+IF(G32=D32,H32,0)+IF(J32=D32,K32,0))/Summary!$B$3))*(IF(OR(G32="(none)",G32=D32),1,1+(H32+IF(D32=G32,E32,0)+IF(J32=G32,K32,0))/Summary!$B$3))*(IF(OR(J32="",J32="(none)",J32=D32,J32=G32),1,1+(K32+IF(D32=J32,E32,0)+IF(G32=J32,H32,0))/Summary!$B$3))-1)</f>
        <v/>
      </c>
      <c r="M32">
        <f>OR(Inputs!$B$48="Flaming Lava",Inputs!$B$49="Flaming Lava",Inputs!$B$50="Flaming Lava",Inputs!$B$51="Flaming Lava")</f>
        <v/>
      </c>
      <c r="N32">
        <f>IF(B32="Not Unlocked",0,B32)</f>
        <v/>
      </c>
    </row>
    <row r="33">
      <c r="A33" s="6" t="inlineStr">
        <is>
          <t>Sayram's Necklace</t>
        </is>
      </c>
      <c r="B33" s="7" t="inlineStr">
        <is>
          <t>Not Unlocked</t>
        </is>
      </c>
      <c r="C33" s="7" t="inlineStr">
        <is>
          <t>Rare</t>
        </is>
      </c>
      <c r="D33" s="7" t="inlineStr">
        <is>
          <t>(none)</t>
        </is>
      </c>
      <c r="E33">
        <f>IF($N$33&gt;=1,IF($D$33="Main Stat %",(CHOOSE(MATCH($C$33,{"Rare","Epic","Unique","Legendary","Mystic","Mystic (Prime)"},0),2,3,4.5,7,10,12))*Sensitivity!$H$6,IF($D$33="Damage Taken Decrease %",0,IF($D$33="Defense %",0,IF($D$33="Accuracy",0,IF($D$33="Critical Rate %",(CHOOSE(MATCH($C$33,{"Rare","Epic","Unique","Legendary","Mystic","Mystic (Prime)"},0),2,3,4.5,7,10,12))*Sensitivity!$H$17,IF($D$33="Min Damage Multiplier %",(CHOOSE(MATCH($C$33,{"Rare","Epic","Unique","Legendary","Mystic","Mystic (Prime)"},0),2,3,4.5,7,10,12))*Sensitivity!$H$15,IF($D$33="Max Damage Multiplier %",(CHOOSE(MATCH($C$33,{"Rare","Epic","Unique","Legendary","Mystic","Mystic (Prime)"},0),2,3,4.5,7,10,12))*Sensitivity!$H$16,IF($D$33="Boss Monster Damage %",(CHOOSE(MATCH($C$33,{"Rare","Epic","Unique","Legendary","Mystic","Mystic (Prime)"},0),4,6,9,14,20,24))*Sensitivity!$H$12,IF($D$33="Normal Monster Damage %",(CHOOSE(MATCH($C$33,{"Rare","Epic","Unique","Legendary","Mystic","Mystic (Prime)"},0),4,6,9,14,20,24))*Sensitivity!$H$13,IF($D$33="Status Effect Damage %",0,IF($D$33="Damage %",(CHOOSE(MATCH($C$33,{"Rare","Epic","Unique","Legendary","Mystic","Mystic (Prime)"},0),4,6,9,14,20,24))*Sensitivity!$H$10,IF($D$33="Defense Penetration %",(CHOOSE(MATCH($C$33,{"Rare","Epic","Unique","Legendary","Mystic","Mystic (Prime)"},0),2,3,4.5,7,10,12))*Sensitivity!$H$20,0)))))))))))),0)</f>
        <v/>
      </c>
      <c r="F33" s="7" t="inlineStr">
        <is>
          <t>Rare</t>
        </is>
      </c>
      <c r="G33" s="7" t="inlineStr">
        <is>
          <t>(none)</t>
        </is>
      </c>
      <c r="H33">
        <f>IF($N$33&gt;=2,IF($G$33="Main Stat %",(CHOOSE(MATCH($F$33,{"Rare","Epic","Unique","Legendary","Mystic","Mystic (Prime)"},0),2,3,4.5,7,10,12))*Sensitivity!$H$6,IF($G$33="Damage Taken Decrease %",0,IF($G$33="Defense %",0,IF($G$33="Accuracy",0,IF($G$33="Critical Rate %",(CHOOSE(MATCH($F$33,{"Rare","Epic","Unique","Legendary","Mystic","Mystic (Prime)"},0),2,3,4.5,7,10,12))*Sensitivity!$H$17,IF($G$33="Min Damage Multiplier %",(CHOOSE(MATCH($F$33,{"Rare","Epic","Unique","Legendary","Mystic","Mystic (Prime)"},0),2,3,4.5,7,10,12))*Sensitivity!$H$15,IF($G$33="Max Damage Multiplier %",(CHOOSE(MATCH($F$33,{"Rare","Epic","Unique","Legendary","Mystic","Mystic (Prime)"},0),2,3,4.5,7,10,12))*Sensitivity!$H$16,IF($G$33="Boss Monster Damage %",(CHOOSE(MATCH($F$33,{"Rare","Epic","Unique","Legendary","Mystic","Mystic (Prime)"},0),4,6,9,14,20,24))*Sensitivity!$H$12,IF($G$33="Normal Monster Damage %",(CHOOSE(MATCH($F$33,{"Rare","Epic","Unique","Legendary","Mystic","Mystic (Prime)"},0),4,6,9,14,20,24))*Sensitivity!$H$13,IF($G$33="Status Effect Damage %",0,IF($G$33="Damage %",(CHOOSE(MATCH($F$33,{"Rare","Epic","Unique","Legendary","Mystic","Mystic (Prime)"},0),4,6,9,14,20,24))*Sensitivity!$H$10,IF($G$33="Defense Penetration %",(CHOOSE(MATCH($F$33,{"Rare","Epic","Unique","Legendary","Mystic","Mystic (Prime)"},0),2,3,4.5,7,10,12))*Sensitivity!$H$20,0)))))))))))),0)</f>
        <v/>
      </c>
      <c r="I33" s="7" t="inlineStr">
        <is>
          <t>Rare</t>
        </is>
      </c>
      <c r="J33" s="7" t="inlineStr">
        <is>
          <t>(none)</t>
        </is>
      </c>
      <c r="K33">
        <f>IF($N$33&gt;=5,IF($J$33="Main Stat %",(CHOOSE(MATCH($I$33,{"Rare","Epic","Unique","Legendary","Mystic","Mystic (Prime)"},0),2,3,4.5,7,10,12))*Sensitivity!$H$6,IF($J$33="Damage Taken Decrease %",0,IF($J$33="Defense %",0,IF($J$33="Accuracy",0,IF($J$33="Critical Rate %",(CHOOSE(MATCH($I$33,{"Rare","Epic","Unique","Legendary","Mystic","Mystic (Prime)"},0),2,3,4.5,7,10,12))*Sensitivity!$H$17,IF($J$33="Min Damage Multiplier %",(CHOOSE(MATCH($I$33,{"Rare","Epic","Unique","Legendary","Mystic","Mystic (Prime)"},0),2,3,4.5,7,10,12))*Sensitivity!$H$15,IF($J$33="Max Damage Multiplier %",(CHOOSE(MATCH($I$33,{"Rare","Epic","Unique","Legendary","Mystic","Mystic (Prime)"},0),2,3,4.5,7,10,12))*Sensitivity!$H$16,IF($J$33="Boss Monster Damage %",(CHOOSE(MATCH($I$33,{"Rare","Epic","Unique","Legendary","Mystic","Mystic (Prime)"},0),4,6,9,14,20,24))*Sensitivity!$H$12,IF($J$33="Normal Monster Damage %",(CHOOSE(MATCH($I$33,{"Rare","Epic","Unique","Legendary","Mystic","Mystic (Prime)"},0),4,6,9,14,20,24))*Sensitivity!$H$13,IF($J$33="Status Effect Damage %",0,IF($J$33="Damage %",(CHOOSE(MATCH($I$33,{"Rare","Epic","Unique","Legendary","Mystic","Mystic (Prime)"},0),4,6,9,14,20,24))*Sensitivity!$H$10,IF($J$33="Defense Penetration %",(CHOOSE(MATCH($I$33,{"Rare","Epic","Unique","Legendary","Mystic","Mystic (Prime)"},0),2,3,4.5,7,10,12))*Sensitivity!$H$20,0)))))))))))),0)</f>
        <v/>
      </c>
      <c r="L33">
        <f>Summary!$B$3*((IF(D33="(none)",1,1+(E33+IF(G33=D33,H33,0)+IF(J33=D33,K33,0))/Summary!$B$3))*(IF(OR(G33="(none)",G33=D33),1,1+(H33+IF(D33=G33,E33,0)+IF(J33=G33,K33,0))/Summary!$B$3))*(IF(OR(J33="",J33="(none)",J33=D33,J33=G33),1,1+(K33+IF(D33=J33,E33,0)+IF(G33=J33,H33,0))/Summary!$B$3))-1)</f>
        <v/>
      </c>
      <c r="M33">
        <f>OR(Inputs!$B$48="Sayram's Necklace",Inputs!$B$49="Sayram's Necklace",Inputs!$B$50="Sayram's Necklace",Inputs!$B$51="Sayram's Necklace")</f>
        <v/>
      </c>
      <c r="N33">
        <f>IF(B33="Not Unlocked",0,B33)</f>
        <v/>
      </c>
    </row>
    <row r="34">
      <c r="A34" s="6" t="inlineStr">
        <is>
          <t>Bottle of Emotion</t>
        </is>
      </c>
      <c r="B34" s="7" t="inlineStr">
        <is>
          <t>Not Unlocked</t>
        </is>
      </c>
      <c r="C34" s="7" t="inlineStr">
        <is>
          <t>Rare</t>
        </is>
      </c>
      <c r="D34" s="7" t="inlineStr">
        <is>
          <t>(none)</t>
        </is>
      </c>
      <c r="E34">
        <f>IF($N$34&gt;=1,IF($D$34="Main Stat %",(CHOOSE(MATCH($C$34,{"Rare","Epic","Unique","Legendary","Mystic","Mystic (Prime)"},0),2,3,4.5,7,10,12))*Sensitivity!$H$6,IF($D$34="Damage Taken Decrease %",0,IF($D$34="Defense %",0,IF($D$34="Accuracy",0,IF($D$34="Critical Rate %",(CHOOSE(MATCH($C$34,{"Rare","Epic","Unique","Legendary","Mystic","Mystic (Prime)"},0),2,3,4.5,7,10,12))*Sensitivity!$H$17,IF($D$34="Min Damage Multiplier %",(CHOOSE(MATCH($C$34,{"Rare","Epic","Unique","Legendary","Mystic","Mystic (Prime)"},0),2,3,4.5,7,10,12))*Sensitivity!$H$15,IF($D$34="Max Damage Multiplier %",(CHOOSE(MATCH($C$34,{"Rare","Epic","Unique","Legendary","Mystic","Mystic (Prime)"},0),2,3,4.5,7,10,12))*Sensitivity!$H$16,IF($D$34="Boss Monster Damage %",(CHOOSE(MATCH($C$34,{"Rare","Epic","Unique","Legendary","Mystic","Mystic (Prime)"},0),4,6,9,14,20,24))*Sensitivity!$H$12,IF($D$34="Normal Monster Damage %",(CHOOSE(MATCH($C$34,{"Rare","Epic","Unique","Legendary","Mystic","Mystic (Prime)"},0),4,6,9,14,20,24))*Sensitivity!$H$13,IF($D$34="Status Effect Damage %",0,IF($D$34="Damage %",(CHOOSE(MATCH($C$34,{"Rare","Epic","Unique","Legendary","Mystic","Mystic (Prime)"},0),4,6,9,14,20,24))*Sensitivity!$H$10,IF($D$34="Defense Penetration %",(CHOOSE(MATCH($C$34,{"Rare","Epic","Unique","Legendary","Mystic","Mystic (Prime)"},0),2,3,4.5,7,10,12))*Sensitivity!$H$20,0)))))))))))),0)</f>
        <v/>
      </c>
      <c r="F34" s="7" t="inlineStr">
        <is>
          <t>Rare</t>
        </is>
      </c>
      <c r="G34" s="7" t="inlineStr">
        <is>
          <t>(none)</t>
        </is>
      </c>
      <c r="H34">
        <f>IF($N$34&gt;=2,IF($G$34="Main Stat %",(CHOOSE(MATCH($F$34,{"Rare","Epic","Unique","Legendary","Mystic","Mystic (Prime)"},0),2,3,4.5,7,10,12))*Sensitivity!$H$6,IF($G$34="Damage Taken Decrease %",0,IF($G$34="Defense %",0,IF($G$34="Accuracy",0,IF($G$34="Critical Rate %",(CHOOSE(MATCH($F$34,{"Rare","Epic","Unique","Legendary","Mystic","Mystic (Prime)"},0),2,3,4.5,7,10,12))*Sensitivity!$H$17,IF($G$34="Min Damage Multiplier %",(CHOOSE(MATCH($F$34,{"Rare","Epic","Unique","Legendary","Mystic","Mystic (Prime)"},0),2,3,4.5,7,10,12))*Sensitivity!$H$15,IF($G$34="Max Damage Multiplier %",(CHOOSE(MATCH($F$34,{"Rare","Epic","Unique","Legendary","Mystic","Mystic (Prime)"},0),2,3,4.5,7,10,12))*Sensitivity!$H$16,IF($G$34="Boss Monster Damage %",(CHOOSE(MATCH($F$34,{"Rare","Epic","Unique","Legendary","Mystic","Mystic (Prime)"},0),4,6,9,14,20,24))*Sensitivity!$H$12,IF($G$34="Normal Monster Damage %",(CHOOSE(MATCH($F$34,{"Rare","Epic","Unique","Legendary","Mystic","Mystic (Prime)"},0),4,6,9,14,20,24))*Sensitivity!$H$13,IF($G$34="Status Effect Damage %",0,IF($G$34="Damage %",(CHOOSE(MATCH($F$34,{"Rare","Epic","Unique","Legendary","Mystic","Mystic (Prime)"},0),4,6,9,14,20,24))*Sensitivity!$H$10,IF($G$34="Defense Penetration %",(CHOOSE(MATCH($F$34,{"Rare","Epic","Unique","Legendary","Mystic","Mystic (Prime)"},0),2,3,4.5,7,10,12))*Sensitivity!$H$20,0)))))))))))),0)</f>
        <v/>
      </c>
      <c r="I34" s="7" t="inlineStr">
        <is>
          <t>Rare</t>
        </is>
      </c>
      <c r="J34" s="7" t="inlineStr">
        <is>
          <t>(none)</t>
        </is>
      </c>
      <c r="K34">
        <f>IF($N$34&gt;=5,IF($J$34="Main Stat %",(CHOOSE(MATCH($I$34,{"Rare","Epic","Unique","Legendary","Mystic","Mystic (Prime)"},0),2,3,4.5,7,10,12))*Sensitivity!$H$6,IF($J$34="Damage Taken Decrease %",0,IF($J$34="Defense %",0,IF($J$34="Accuracy",0,IF($J$34="Critical Rate %",(CHOOSE(MATCH($I$34,{"Rare","Epic","Unique","Legendary","Mystic","Mystic (Prime)"},0),2,3,4.5,7,10,12))*Sensitivity!$H$17,IF($J$34="Min Damage Multiplier %",(CHOOSE(MATCH($I$34,{"Rare","Epic","Unique","Legendary","Mystic","Mystic (Prime)"},0),2,3,4.5,7,10,12))*Sensitivity!$H$15,IF($J$34="Max Damage Multiplier %",(CHOOSE(MATCH($I$34,{"Rare","Epic","Unique","Legendary","Mystic","Mystic (Prime)"},0),2,3,4.5,7,10,12))*Sensitivity!$H$16,IF($J$34="Boss Monster Damage %",(CHOOSE(MATCH($I$34,{"Rare","Epic","Unique","Legendary","Mystic","Mystic (Prime)"},0),4,6,9,14,20,24))*Sensitivity!$H$12,IF($J$34="Normal Monster Damage %",(CHOOSE(MATCH($I$34,{"Rare","Epic","Unique","Legendary","Mystic","Mystic (Prime)"},0),4,6,9,14,20,24))*Sensitivity!$H$13,IF($J$34="Status Effect Damage %",0,IF($J$34="Damage %",(CHOOSE(MATCH($I$34,{"Rare","Epic","Unique","Legendary","Mystic","Mystic (Prime)"},0),4,6,9,14,20,24))*Sensitivity!$H$10,IF($J$34="Defense Penetration %",(CHOOSE(MATCH($I$34,{"Rare","Epic","Unique","Legendary","Mystic","Mystic (Prime)"},0),2,3,4.5,7,10,12))*Sensitivity!$H$20,0)))))))))))),0)</f>
        <v/>
      </c>
      <c r="L34">
        <f>Summary!$B$3*((IF(D34="(none)",1,1+(E34+IF(G34=D34,H34,0)+IF(J34=D34,K34,0))/Summary!$B$3))*(IF(OR(G34="(none)",G34=D34),1,1+(H34+IF(D34=G34,E34,0)+IF(J34=G34,K34,0))/Summary!$B$3))*(IF(OR(J34="",J34="(none)",J34=D34,J34=G34),1,1+(K34+IF(D34=J34,E34,0)+IF(G34=J34,H34,0))/Summary!$B$3))-1)</f>
        <v/>
      </c>
      <c r="M34">
        <f>OR(Inputs!$B$48="Bottle of Emotion",Inputs!$B$49="Bottle of Emotion",Inputs!$B$50="Bottle of Emotion",Inputs!$B$51="Bottle of Emotion")</f>
        <v/>
      </c>
      <c r="N34">
        <f>IF(B34="Not Unlocked",0,B34)</f>
        <v/>
      </c>
    </row>
    <row r="35">
      <c r="A35" s="6" t="inlineStr">
        <is>
          <t>Peach Tree Herb Pouch</t>
        </is>
      </c>
      <c r="B35" s="7" t="inlineStr">
        <is>
          <t>Not Unlocked</t>
        </is>
      </c>
      <c r="C35" s="7" t="inlineStr">
        <is>
          <t>Rare</t>
        </is>
      </c>
      <c r="D35" s="7" t="inlineStr">
        <is>
          <t>(none)</t>
        </is>
      </c>
      <c r="E35">
        <f>IF($N$35&gt;=1,IF($D$35="Main Stat %",(CHOOSE(MATCH($C$35,{"Rare","Epic","Unique","Legendary","Mystic","Mystic (Prime)"},0),2,3,4.5,7,10,12))*Sensitivity!$H$6,IF($D$35="Damage Taken Decrease %",0,IF($D$35="Defense %",0,IF($D$35="Accuracy",0,IF($D$35="Critical Rate %",(CHOOSE(MATCH($C$35,{"Rare","Epic","Unique","Legendary","Mystic","Mystic (Prime)"},0),2,3,4.5,7,10,12))*Sensitivity!$H$17,IF($D$35="Min Damage Multiplier %",(CHOOSE(MATCH($C$35,{"Rare","Epic","Unique","Legendary","Mystic","Mystic (Prime)"},0),2,3,4.5,7,10,12))*Sensitivity!$H$15,IF($D$35="Max Damage Multiplier %",(CHOOSE(MATCH($C$35,{"Rare","Epic","Unique","Legendary","Mystic","Mystic (Prime)"},0),2,3,4.5,7,10,12))*Sensitivity!$H$16,IF($D$35="Boss Monster Damage %",(CHOOSE(MATCH($C$35,{"Rare","Epic","Unique","Legendary","Mystic","Mystic (Prime)"},0),4,6,9,14,20,24))*Sensitivity!$H$12,IF($D$35="Normal Monster Damage %",(CHOOSE(MATCH($C$35,{"Rare","Epic","Unique","Legendary","Mystic","Mystic (Prime)"},0),4,6,9,14,20,24))*Sensitivity!$H$13,IF($D$35="Status Effect Damage %",0,IF($D$35="Damage %",(CHOOSE(MATCH($C$35,{"Rare","Epic","Unique","Legendary","Mystic","Mystic (Prime)"},0),4,6,9,14,20,24))*Sensitivity!$H$10,IF($D$35="Defense Penetration %",(CHOOSE(MATCH($C$35,{"Rare","Epic","Unique","Legendary","Mystic","Mystic (Prime)"},0),2,3,4.5,7,10,12))*Sensitivity!$H$20,0)))))))))))),0)</f>
        <v/>
      </c>
      <c r="F35" s="7" t="inlineStr">
        <is>
          <t>Rare</t>
        </is>
      </c>
      <c r="G35" s="7" t="inlineStr">
        <is>
          <t>(none)</t>
        </is>
      </c>
      <c r="H35">
        <f>IF($N$35&gt;=2,IF($G$35="Main Stat %",(CHOOSE(MATCH($F$35,{"Rare","Epic","Unique","Legendary","Mystic","Mystic (Prime)"},0),2,3,4.5,7,10,12))*Sensitivity!$H$6,IF($G$35="Damage Taken Decrease %",0,IF($G$35="Defense %",0,IF($G$35="Accuracy",0,IF($G$35="Critical Rate %",(CHOOSE(MATCH($F$35,{"Rare","Epic","Unique","Legendary","Mystic","Mystic (Prime)"},0),2,3,4.5,7,10,12))*Sensitivity!$H$17,IF($G$35="Min Damage Multiplier %",(CHOOSE(MATCH($F$35,{"Rare","Epic","Unique","Legendary","Mystic","Mystic (Prime)"},0),2,3,4.5,7,10,12))*Sensitivity!$H$15,IF($G$35="Max Damage Multiplier %",(CHOOSE(MATCH($F$35,{"Rare","Epic","Unique","Legendary","Mystic","Mystic (Prime)"},0),2,3,4.5,7,10,12))*Sensitivity!$H$16,IF($G$35="Boss Monster Damage %",(CHOOSE(MATCH($F$35,{"Rare","Epic","Unique","Legendary","Mystic","Mystic (Prime)"},0),4,6,9,14,20,24))*Sensitivity!$H$12,IF($G$35="Normal Monster Damage %",(CHOOSE(MATCH($F$35,{"Rare","Epic","Unique","Legendary","Mystic","Mystic (Prime)"},0),4,6,9,14,20,24))*Sensitivity!$H$13,IF($G$35="Status Effect Damage %",0,IF($G$35="Damage %",(CHOOSE(MATCH($F$35,{"Rare","Epic","Unique","Legendary","Mystic","Mystic (Prime)"},0),4,6,9,14,20,24))*Sensitivity!$H$10,IF($G$35="Defense Penetration %",(CHOOSE(MATCH($F$35,{"Rare","Epic","Unique","Legendary","Mystic","Mystic (Prime)"},0),2,3,4.5,7,10,12))*Sensitivity!$H$20,0)))))))))))),0)</f>
        <v/>
      </c>
      <c r="I35" s="7" t="inlineStr">
        <is>
          <t>Rare</t>
        </is>
      </c>
      <c r="J35" s="7" t="inlineStr">
        <is>
          <t>(none)</t>
        </is>
      </c>
      <c r="K35">
        <f>IF($N$35&gt;=5,IF($J$35="Main Stat %",(CHOOSE(MATCH($I$35,{"Rare","Epic","Unique","Legendary","Mystic","Mystic (Prime)"},0),2,3,4.5,7,10,12))*Sensitivity!$H$6,IF($J$35="Damage Taken Decrease %",0,IF($J$35="Defense %",0,IF($J$35="Accuracy",0,IF($J$35="Critical Rate %",(CHOOSE(MATCH($I$35,{"Rare","Epic","Unique","Legendary","Mystic","Mystic (Prime)"},0),2,3,4.5,7,10,12))*Sensitivity!$H$17,IF($J$35="Min Damage Multiplier %",(CHOOSE(MATCH($I$35,{"Rare","Epic","Unique","Legendary","Mystic","Mystic (Prime)"},0),2,3,4.5,7,10,12))*Sensitivity!$H$15,IF($J$35="Max Damage Multiplier %",(CHOOSE(MATCH($I$35,{"Rare","Epic","Unique","Legendary","Mystic","Mystic (Prime)"},0),2,3,4.5,7,10,12))*Sensitivity!$H$16,IF($J$35="Boss Monster Damage %",(CHOOSE(MATCH($I$35,{"Rare","Epic","Unique","Legendary","Mystic","Mystic (Prime)"},0),4,6,9,14,20,24))*Sensitivity!$H$12,IF($J$35="Normal Monster Damage %",(CHOOSE(MATCH($I$35,{"Rare","Epic","Unique","Legendary","Mystic","Mystic (Prime)"},0),4,6,9,14,20,24))*Sensitivity!$H$13,IF($J$35="Status Effect Damage %",0,IF($J$35="Damage %",(CHOOSE(MATCH($I$35,{"Rare","Epic","Unique","Legendary","Mystic","Mystic (Prime)"},0),4,6,9,14,20,24))*Sensitivity!$H$10,IF($J$35="Defense Penetration %",(CHOOSE(MATCH($I$35,{"Rare","Epic","Unique","Legendary","Mystic","Mystic (Prime)"},0),2,3,4.5,7,10,12))*Sensitivity!$H$20,0)))))))))))),0)</f>
        <v/>
      </c>
      <c r="L35">
        <f>Summary!$B$3*((IF(D35="(none)",1,1+(E35+IF(G35=D35,H35,0)+IF(J35=D35,K35,0))/Summary!$B$3))*(IF(OR(G35="(none)",G35=D35),1,1+(H35+IF(D35=G35,E35,0)+IF(J35=G35,K35,0))/Summary!$B$3))*(IF(OR(J35="",J35="(none)",J35=D35,J35=G35),1,1+(K35+IF(D35=J35,E35,0)+IF(G35=J35,H35,0))/Summary!$B$3))-1)</f>
        <v/>
      </c>
      <c r="M35">
        <f>OR(Inputs!$B$48="Peach Tree Herb Pouch",Inputs!$B$49="Peach Tree Herb Pouch",Inputs!$B$50="Peach Tree Herb Pouch",Inputs!$B$51="Peach Tree Herb Pouch")</f>
        <v/>
      </c>
      <c r="N35">
        <f>IF(B35="Not Unlocked",0,B35)</f>
        <v/>
      </c>
    </row>
    <row r="36">
      <c r="A36" s="6" t="inlineStr">
        <is>
          <t>Candle</t>
        </is>
      </c>
      <c r="B36" s="7" t="inlineStr">
        <is>
          <t>Not Unlocked</t>
        </is>
      </c>
      <c r="C36" s="7" t="inlineStr">
        <is>
          <t>Rare</t>
        </is>
      </c>
      <c r="D36" s="7" t="inlineStr">
        <is>
          <t>(none)</t>
        </is>
      </c>
      <c r="E36">
        <f>IF($N$36&gt;=1,IF($D$36="Main Stat %",(CHOOSE(MATCH($C$36,{"Rare","Epic","Unique","Legendary","Mystic","Mystic (Prime)"},0),2,3,4.5,7,10,12))*Sensitivity!$H$6,IF($D$36="Damage Taken Decrease %",0,IF($D$36="Defense %",0,IF($D$36="Accuracy",0,IF($D$36="Critical Rate %",(CHOOSE(MATCH($C$36,{"Rare","Epic","Unique","Legendary","Mystic","Mystic (Prime)"},0),2,3,4.5,7,10,12))*Sensitivity!$H$17,IF($D$36="Min Damage Multiplier %",(CHOOSE(MATCH($C$36,{"Rare","Epic","Unique","Legendary","Mystic","Mystic (Prime)"},0),2,3,4.5,7,10,12))*Sensitivity!$H$15,IF($D$36="Max Damage Multiplier %",(CHOOSE(MATCH($C$36,{"Rare","Epic","Unique","Legendary","Mystic","Mystic (Prime)"},0),2,3,4.5,7,10,12))*Sensitivity!$H$16,IF($D$36="Boss Monster Damage %",(CHOOSE(MATCH($C$36,{"Rare","Epic","Unique","Legendary","Mystic","Mystic (Prime)"},0),4,6,9,14,20,24))*Sensitivity!$H$12,IF($D$36="Normal Monster Damage %",(CHOOSE(MATCH($C$36,{"Rare","Epic","Unique","Legendary","Mystic","Mystic (Prime)"},0),4,6,9,14,20,24))*Sensitivity!$H$13,IF($D$36="Status Effect Damage %",0,IF($D$36="Damage %",(CHOOSE(MATCH($C$36,{"Rare","Epic","Unique","Legendary","Mystic","Mystic (Prime)"},0),4,6,9,14,20,24))*Sensitivity!$H$10,IF($D$36="Defense Penetration %",(CHOOSE(MATCH($C$36,{"Rare","Epic","Unique","Legendary","Mystic","Mystic (Prime)"},0),2,3,4.5,7,10,12))*Sensitivity!$H$20,0)))))))))))),0)</f>
        <v/>
      </c>
      <c r="F36" s="7" t="inlineStr">
        <is>
          <t>Rare</t>
        </is>
      </c>
      <c r="G36" s="7" t="inlineStr">
        <is>
          <t>(none)</t>
        </is>
      </c>
      <c r="H36">
        <f>IF($N$36&gt;=2,IF($G$36="Main Stat %",(CHOOSE(MATCH($F$36,{"Rare","Epic","Unique","Legendary","Mystic","Mystic (Prime)"},0),2,3,4.5,7,10,12))*Sensitivity!$H$6,IF($G$36="Damage Taken Decrease %",0,IF($G$36="Defense %",0,IF($G$36="Accuracy",0,IF($G$36="Critical Rate %",(CHOOSE(MATCH($F$36,{"Rare","Epic","Unique","Legendary","Mystic","Mystic (Prime)"},0),2,3,4.5,7,10,12))*Sensitivity!$H$17,IF($G$36="Min Damage Multiplier %",(CHOOSE(MATCH($F$36,{"Rare","Epic","Unique","Legendary","Mystic","Mystic (Prime)"},0),2,3,4.5,7,10,12))*Sensitivity!$H$15,IF($G$36="Max Damage Multiplier %",(CHOOSE(MATCH($F$36,{"Rare","Epic","Unique","Legendary","Mystic","Mystic (Prime)"},0),2,3,4.5,7,10,12))*Sensitivity!$H$16,IF($G$36="Boss Monster Damage %",(CHOOSE(MATCH($F$36,{"Rare","Epic","Unique","Legendary","Mystic","Mystic (Prime)"},0),4,6,9,14,20,24))*Sensitivity!$H$12,IF($G$36="Normal Monster Damage %",(CHOOSE(MATCH($F$36,{"Rare","Epic","Unique","Legendary","Mystic","Mystic (Prime)"},0),4,6,9,14,20,24))*Sensitivity!$H$13,IF($G$36="Status Effect Damage %",0,IF($G$36="Damage %",(CHOOSE(MATCH($F$36,{"Rare","Epic","Unique","Legendary","Mystic","Mystic (Prime)"},0),4,6,9,14,20,24))*Sensitivity!$H$10,IF($G$36="Defense Penetration %",(CHOOSE(MATCH($F$36,{"Rare","Epic","Unique","Legendary","Mystic","Mystic (Prime)"},0),2,3,4.5,7,10,12))*Sensitivity!$H$20,0)))))))))))),0)</f>
        <v/>
      </c>
      <c r="I36" s="7" t="inlineStr">
        <is>
          <t>Rare</t>
        </is>
      </c>
      <c r="J36" s="7" t="inlineStr">
        <is>
          <t>(none)</t>
        </is>
      </c>
      <c r="K36">
        <f>IF($N$36&gt;=5,IF($J$36="Main Stat %",(CHOOSE(MATCH($I$36,{"Rare","Epic","Unique","Legendary","Mystic","Mystic (Prime)"},0),2,3,4.5,7,10,12))*Sensitivity!$H$6,IF($J$36="Damage Taken Decrease %",0,IF($J$36="Defense %",0,IF($J$36="Accuracy",0,IF($J$36="Critical Rate %",(CHOOSE(MATCH($I$36,{"Rare","Epic","Unique","Legendary","Mystic","Mystic (Prime)"},0),2,3,4.5,7,10,12))*Sensitivity!$H$17,IF($J$36="Min Damage Multiplier %",(CHOOSE(MATCH($I$36,{"Rare","Epic","Unique","Legendary","Mystic","Mystic (Prime)"},0),2,3,4.5,7,10,12))*Sensitivity!$H$15,IF($J$36="Max Damage Multiplier %",(CHOOSE(MATCH($I$36,{"Rare","Epic","Unique","Legendary","Mystic","Mystic (Prime)"},0),2,3,4.5,7,10,12))*Sensitivity!$H$16,IF($J$36="Boss Monster Damage %",(CHOOSE(MATCH($I$36,{"Rare","Epic","Unique","Legendary","Mystic","Mystic (Prime)"},0),4,6,9,14,20,24))*Sensitivity!$H$12,IF($J$36="Normal Monster Damage %",(CHOOSE(MATCH($I$36,{"Rare","Epic","Unique","Legendary","Mystic","Mystic (Prime)"},0),4,6,9,14,20,24))*Sensitivity!$H$13,IF($J$36="Status Effect Damage %",0,IF($J$36="Damage %",(CHOOSE(MATCH($I$36,{"Rare","Epic","Unique","Legendary","Mystic","Mystic (Prime)"},0),4,6,9,14,20,24))*Sensitivity!$H$10,IF($J$36="Defense Penetration %",(CHOOSE(MATCH($I$36,{"Rare","Epic","Unique","Legendary","Mystic","Mystic (Prime)"},0),2,3,4.5,7,10,12))*Sensitivity!$H$20,0)))))))))))),0)</f>
        <v/>
      </c>
      <c r="L36">
        <f>Summary!$B$3*((IF(D36="(none)",1,1+(E36+IF(G36=D36,H36,0)+IF(J36=D36,K36,0))/Summary!$B$3))*(IF(OR(G36="(none)",G36=D36),1,1+(H36+IF(D36=G36,E36,0)+IF(J36=G36,K36,0))/Summary!$B$3))*(IF(OR(J36="",J36="(none)",J36=D36,J36=G36),1,1+(K36+IF(D36=J36,E36,0)+IF(G36=J36,H36,0))/Summary!$B$3))-1)</f>
        <v/>
      </c>
      <c r="M36">
        <f>OR(Inputs!$B$48="Candle",Inputs!$B$49="Candle",Inputs!$B$50="Candle",Inputs!$B$51="Candle")</f>
        <v/>
      </c>
      <c r="N36">
        <f>IF(B36="Not Unlocked",0,B36)</f>
        <v/>
      </c>
    </row>
    <row r="37">
      <c r="A37" s="6" t="inlineStr">
        <is>
          <t>Alliance Badge</t>
        </is>
      </c>
      <c r="B37" s="7" t="inlineStr">
        <is>
          <t>Not Unlocked</t>
        </is>
      </c>
      <c r="C37" s="7" t="inlineStr">
        <is>
          <t>Rare</t>
        </is>
      </c>
      <c r="D37" s="7" t="inlineStr">
        <is>
          <t>(none)</t>
        </is>
      </c>
      <c r="E37">
        <f>IF($N$37&gt;=1,IF($D$37="Main Stat %",(CHOOSE(MATCH($C$37,{"Rare","Epic","Unique","Legendary","Mystic","Mystic (Prime)"},0),2,3,4.5,7,10,12))*Sensitivity!$H$6,IF($D$37="Damage Taken Decrease %",0,IF($D$37="Defense %",0,IF($D$37="Accuracy",0,IF($D$37="Critical Rate %",(CHOOSE(MATCH($C$37,{"Rare","Epic","Unique","Legendary","Mystic","Mystic (Prime)"},0),2,3,4.5,7,10,12))*Sensitivity!$H$17,IF($D$37="Min Damage Multiplier %",(CHOOSE(MATCH($C$37,{"Rare","Epic","Unique","Legendary","Mystic","Mystic (Prime)"},0),2,3,4.5,7,10,12))*Sensitivity!$H$15,IF($D$37="Max Damage Multiplier %",(CHOOSE(MATCH($C$37,{"Rare","Epic","Unique","Legendary","Mystic","Mystic (Prime)"},0),2,3,4.5,7,10,12))*Sensitivity!$H$16,IF($D$37="Boss Monster Damage %",(CHOOSE(MATCH($C$37,{"Rare","Epic","Unique","Legendary","Mystic","Mystic (Prime)"},0),4,6,9,14,20,24))*Sensitivity!$H$12,IF($D$37="Normal Monster Damage %",(CHOOSE(MATCH($C$37,{"Rare","Epic","Unique","Legendary","Mystic","Mystic (Prime)"},0),4,6,9,14,20,24))*Sensitivity!$H$13,IF($D$37="Status Effect Damage %",0,IF($D$37="Damage %",(CHOOSE(MATCH($C$37,{"Rare","Epic","Unique","Legendary","Mystic","Mystic (Prime)"},0),4,6,9,14,20,24))*Sensitivity!$H$10,IF($D$37="Defense Penetration %",(CHOOSE(MATCH($C$37,{"Rare","Epic","Unique","Legendary","Mystic","Mystic (Prime)"},0),2,3,4.5,7,10,12))*Sensitivity!$H$20,0)))))))))))),0)</f>
        <v/>
      </c>
      <c r="F37" s="7" t="inlineStr">
        <is>
          <t>Rare</t>
        </is>
      </c>
      <c r="G37" s="7" t="inlineStr">
        <is>
          <t>(none)</t>
        </is>
      </c>
      <c r="H37">
        <f>IF($N$37&gt;=2,IF($G$37="Main Stat %",(CHOOSE(MATCH($F$37,{"Rare","Epic","Unique","Legendary","Mystic","Mystic (Prime)"},0),2,3,4.5,7,10,12))*Sensitivity!$H$6,IF($G$37="Damage Taken Decrease %",0,IF($G$37="Defense %",0,IF($G$37="Accuracy",0,IF($G$37="Critical Rate %",(CHOOSE(MATCH($F$37,{"Rare","Epic","Unique","Legendary","Mystic","Mystic (Prime)"},0),2,3,4.5,7,10,12))*Sensitivity!$H$17,IF($G$37="Min Damage Multiplier %",(CHOOSE(MATCH($F$37,{"Rare","Epic","Unique","Legendary","Mystic","Mystic (Prime)"},0),2,3,4.5,7,10,12))*Sensitivity!$H$15,IF($G$37="Max Damage Multiplier %",(CHOOSE(MATCH($F$37,{"Rare","Epic","Unique","Legendary","Mystic","Mystic (Prime)"},0),2,3,4.5,7,10,12))*Sensitivity!$H$16,IF($G$37="Boss Monster Damage %",(CHOOSE(MATCH($F$37,{"Rare","Epic","Unique","Legendary","Mystic","Mystic (Prime)"},0),4,6,9,14,20,24))*Sensitivity!$H$12,IF($G$37="Normal Monster Damage %",(CHOOSE(MATCH($F$37,{"Rare","Epic","Unique","Legendary","Mystic","Mystic (Prime)"},0),4,6,9,14,20,24))*Sensitivity!$H$13,IF($G$37="Status Effect Damage %",0,IF($G$37="Damage %",(CHOOSE(MATCH($F$37,{"Rare","Epic","Unique","Legendary","Mystic","Mystic (Prime)"},0),4,6,9,14,20,24))*Sensitivity!$H$10,IF($G$37="Defense Penetration %",(CHOOSE(MATCH($F$37,{"Rare","Epic","Unique","Legendary","Mystic","Mystic (Prime)"},0),2,3,4.5,7,10,12))*Sensitivity!$H$20,0)))))))))))),0)</f>
        <v/>
      </c>
      <c r="I37" s="7" t="inlineStr">
        <is>
          <t>Rare</t>
        </is>
      </c>
      <c r="J37" s="7" t="inlineStr">
        <is>
          <t>(none)</t>
        </is>
      </c>
      <c r="K37">
        <f>IF($N$37&gt;=5,IF($J$37="Main Stat %",(CHOOSE(MATCH($I$37,{"Rare","Epic","Unique","Legendary","Mystic","Mystic (Prime)"},0),2,3,4.5,7,10,12))*Sensitivity!$H$6,IF($J$37="Damage Taken Decrease %",0,IF($J$37="Defense %",0,IF($J$37="Accuracy",0,IF($J$37="Critical Rate %",(CHOOSE(MATCH($I$37,{"Rare","Epic","Unique","Legendary","Mystic","Mystic (Prime)"},0),2,3,4.5,7,10,12))*Sensitivity!$H$17,IF($J$37="Min Damage Multiplier %",(CHOOSE(MATCH($I$37,{"Rare","Epic","Unique","Legendary","Mystic","Mystic (Prime)"},0),2,3,4.5,7,10,12))*Sensitivity!$H$15,IF($J$37="Max Damage Multiplier %",(CHOOSE(MATCH($I$37,{"Rare","Epic","Unique","Legendary","Mystic","Mystic (Prime)"},0),2,3,4.5,7,10,12))*Sensitivity!$H$16,IF($J$37="Boss Monster Damage %",(CHOOSE(MATCH($I$37,{"Rare","Epic","Unique","Legendary","Mystic","Mystic (Prime)"},0),4,6,9,14,20,24))*Sensitivity!$H$12,IF($J$37="Normal Monster Damage %",(CHOOSE(MATCH($I$37,{"Rare","Epic","Unique","Legendary","Mystic","Mystic (Prime)"},0),4,6,9,14,20,24))*Sensitivity!$H$13,IF($J$37="Status Effect Damage %",0,IF($J$37="Damage %",(CHOOSE(MATCH($I$37,{"Rare","Epic","Unique","Legendary","Mystic","Mystic (Prime)"},0),4,6,9,14,20,24))*Sensitivity!$H$10,IF($J$37="Defense Penetration %",(CHOOSE(MATCH($I$37,{"Rare","Epic","Unique","Legendary","Mystic","Mystic (Prime)"},0),2,3,4.5,7,10,12))*Sensitivity!$H$20,0)))))))))))),0)</f>
        <v/>
      </c>
      <c r="L37">
        <f>Summary!$B$3*((IF(D37="(none)",1,1+(E37+IF(G37=D37,H37,0)+IF(J37=D37,K37,0))/Summary!$B$3))*(IF(OR(G37="(none)",G37=D37),1,1+(H37+IF(D37=G37,E37,0)+IF(J37=G37,K37,0))/Summary!$B$3))*(IF(OR(J37="",J37="(none)",J37=D37,J37=G37),1,1+(K37+IF(D37=J37,E37,0)+IF(G37=J37,H37,0))/Summary!$B$3))-1)</f>
        <v/>
      </c>
      <c r="M37">
        <f>OR(Inputs!$B$48="Alliance Badge",Inputs!$B$49="Alliance Badge",Inputs!$B$50="Alliance Badge",Inputs!$B$51="Alliance Badge")</f>
        <v/>
      </c>
      <c r="N37">
        <f>IF(B37="Not Unlocked",0,B37)</f>
        <v/>
      </c>
    </row>
    <row r="38">
      <c r="A38" s="6" t="inlineStr">
        <is>
          <t>Horn Flute</t>
        </is>
      </c>
      <c r="B38" s="7" t="inlineStr">
        <is>
          <t>Not Unlocked</t>
        </is>
      </c>
      <c r="C38" s="7" t="inlineStr">
        <is>
          <t>Rare</t>
        </is>
      </c>
      <c r="D38" s="7" t="inlineStr">
        <is>
          <t>(none)</t>
        </is>
      </c>
      <c r="E38">
        <f>IF($N$38&gt;=1,IF($D$38="Main Stat %",(CHOOSE(MATCH($C$38,{"Rare","Epic","Unique","Legendary","Mystic","Mystic (Prime)"},0),2,3,4.5,7,10,12))*Sensitivity!$H$6,IF($D$38="Damage Taken Decrease %",0,IF($D$38="Defense %",0,IF($D$38="Accuracy",0,IF($D$38="Critical Rate %",(CHOOSE(MATCH($C$38,{"Rare","Epic","Unique","Legendary","Mystic","Mystic (Prime)"},0),2,3,4.5,7,10,12))*Sensitivity!$H$17,IF($D$38="Min Damage Multiplier %",(CHOOSE(MATCH($C$38,{"Rare","Epic","Unique","Legendary","Mystic","Mystic (Prime)"},0),2,3,4.5,7,10,12))*Sensitivity!$H$15,IF($D$38="Max Damage Multiplier %",(CHOOSE(MATCH($C$38,{"Rare","Epic","Unique","Legendary","Mystic","Mystic (Prime)"},0),2,3,4.5,7,10,12))*Sensitivity!$H$16,IF($D$38="Boss Monster Damage %",(CHOOSE(MATCH($C$38,{"Rare","Epic","Unique","Legendary","Mystic","Mystic (Prime)"},0),4,6,9,14,20,24))*Sensitivity!$H$12,IF($D$38="Normal Monster Damage %",(CHOOSE(MATCH($C$38,{"Rare","Epic","Unique","Legendary","Mystic","Mystic (Prime)"},0),4,6,9,14,20,24))*Sensitivity!$H$13,IF($D$38="Status Effect Damage %",0,IF($D$38="Damage %",(CHOOSE(MATCH($C$38,{"Rare","Epic","Unique","Legendary","Mystic","Mystic (Prime)"},0),4,6,9,14,20,24))*Sensitivity!$H$10,IF($D$38="Defense Penetration %",(CHOOSE(MATCH($C$38,{"Rare","Epic","Unique","Legendary","Mystic","Mystic (Prime)"},0),2,3,4.5,7,10,12))*Sensitivity!$H$20,0)))))))))))),0)</f>
        <v/>
      </c>
      <c r="F38" s="7" t="inlineStr">
        <is>
          <t>Rare</t>
        </is>
      </c>
      <c r="G38" s="7" t="inlineStr">
        <is>
          <t>(none)</t>
        </is>
      </c>
      <c r="H38">
        <f>IF($N$38&gt;=2,IF($G$38="Main Stat %",(CHOOSE(MATCH($F$38,{"Rare","Epic","Unique","Legendary","Mystic","Mystic (Prime)"},0),2,3,4.5,7,10,12))*Sensitivity!$H$6,IF($G$38="Damage Taken Decrease %",0,IF($G$38="Defense %",0,IF($G$38="Accuracy",0,IF($G$38="Critical Rate %",(CHOOSE(MATCH($F$38,{"Rare","Epic","Unique","Legendary","Mystic","Mystic (Prime)"},0),2,3,4.5,7,10,12))*Sensitivity!$H$17,IF($G$38="Min Damage Multiplier %",(CHOOSE(MATCH($F$38,{"Rare","Epic","Unique","Legendary","Mystic","Mystic (Prime)"},0),2,3,4.5,7,10,12))*Sensitivity!$H$15,IF($G$38="Max Damage Multiplier %",(CHOOSE(MATCH($F$38,{"Rare","Epic","Unique","Legendary","Mystic","Mystic (Prime)"},0),2,3,4.5,7,10,12))*Sensitivity!$H$16,IF($G$38="Boss Monster Damage %",(CHOOSE(MATCH($F$38,{"Rare","Epic","Unique","Legendary","Mystic","Mystic (Prime)"},0),4,6,9,14,20,24))*Sensitivity!$H$12,IF($G$38="Normal Monster Damage %",(CHOOSE(MATCH($F$38,{"Rare","Epic","Unique","Legendary","Mystic","Mystic (Prime)"},0),4,6,9,14,20,24))*Sensitivity!$H$13,IF($G$38="Status Effect Damage %",0,IF($G$38="Damage %",(CHOOSE(MATCH($F$38,{"Rare","Epic","Unique","Legendary","Mystic","Mystic (Prime)"},0),4,6,9,14,20,24))*Sensitivity!$H$10,IF($G$38="Defense Penetration %",(CHOOSE(MATCH($F$38,{"Rare","Epic","Unique","Legendary","Mystic","Mystic (Prime)"},0),2,3,4.5,7,10,12))*Sensitivity!$H$20,0)))))))))))),0)</f>
        <v/>
      </c>
      <c r="I38" s="7" t="inlineStr">
        <is>
          <t>Rare</t>
        </is>
      </c>
      <c r="J38" s="7" t="inlineStr">
        <is>
          <t>(none)</t>
        </is>
      </c>
      <c r="K38">
        <f>IF($N$38&gt;=5,IF($J$38="Main Stat %",(CHOOSE(MATCH($I$38,{"Rare","Epic","Unique","Legendary","Mystic","Mystic (Prime)"},0),2,3,4.5,7,10,12))*Sensitivity!$H$6,IF($J$38="Damage Taken Decrease %",0,IF($J$38="Defense %",0,IF($J$38="Accuracy",0,IF($J$38="Critical Rate %",(CHOOSE(MATCH($I$38,{"Rare","Epic","Unique","Legendary","Mystic","Mystic (Prime)"},0),2,3,4.5,7,10,12))*Sensitivity!$H$17,IF($J$38="Min Damage Multiplier %",(CHOOSE(MATCH($I$38,{"Rare","Epic","Unique","Legendary","Mystic","Mystic (Prime)"},0),2,3,4.5,7,10,12))*Sensitivity!$H$15,IF($J$38="Max Damage Multiplier %",(CHOOSE(MATCH($I$38,{"Rare","Epic","Unique","Legendary","Mystic","Mystic (Prime)"},0),2,3,4.5,7,10,12))*Sensitivity!$H$16,IF($J$38="Boss Monster Damage %",(CHOOSE(MATCH($I$38,{"Rare","Epic","Unique","Legendary","Mystic","Mystic (Prime)"},0),4,6,9,14,20,24))*Sensitivity!$H$12,IF($J$38="Normal Monster Damage %",(CHOOSE(MATCH($I$38,{"Rare","Epic","Unique","Legendary","Mystic","Mystic (Prime)"},0),4,6,9,14,20,24))*Sensitivity!$H$13,IF($J$38="Status Effect Damage %",0,IF($J$38="Damage %",(CHOOSE(MATCH($I$38,{"Rare","Epic","Unique","Legendary","Mystic","Mystic (Prime)"},0),4,6,9,14,20,24))*Sensitivity!$H$10,IF($J$38="Defense Penetration %",(CHOOSE(MATCH($I$38,{"Rare","Epic","Unique","Legendary","Mystic","Mystic (Prime)"},0),2,3,4.5,7,10,12))*Sensitivity!$H$20,0)))))))))))),0)</f>
        <v/>
      </c>
      <c r="L38">
        <f>Summary!$B$3*((IF(D38="(none)",1,1+(E38+IF(G38=D38,H38,0)+IF(J38=D38,K38,0))/Summary!$B$3))*(IF(OR(G38="(none)",G38=D38),1,1+(H38+IF(D38=G38,E38,0)+IF(J38=G38,K38,0))/Summary!$B$3))*(IF(OR(J38="",J38="(none)",J38=D38,J38=G38),1,1+(K38+IF(D38=J38,E38,0)+IF(G38=J38,H38,0))/Summary!$B$3))-1)</f>
        <v/>
      </c>
      <c r="M38">
        <f>OR(Inputs!$B$48="Horn Flute",Inputs!$B$49="Horn Flute",Inputs!$B$50="Horn Flute",Inputs!$B$51="Horn Flute")</f>
        <v/>
      </c>
      <c r="N38">
        <f>IF(B38="Not Unlocked",0,B38)</f>
        <v/>
      </c>
    </row>
    <row r="39">
      <c r="A39" s="6" t="inlineStr">
        <is>
          <t>Cursed Doll</t>
        </is>
      </c>
      <c r="B39" s="7" t="inlineStr">
        <is>
          <t>Not Unlocked</t>
        </is>
      </c>
      <c r="C39" s="7" t="inlineStr">
        <is>
          <t>Rare</t>
        </is>
      </c>
      <c r="D39" s="7" t="inlineStr">
        <is>
          <t>(none)</t>
        </is>
      </c>
      <c r="E39">
        <f>IF($N$39&gt;=1,IF($D$39="Main Stat %",(CHOOSE(MATCH($C$39,{"Rare","Epic","Unique","Legendary","Mystic","Mystic (Prime)"},0),2,3,4.5,7,10,12))*Sensitivity!$H$6,IF($D$39="Damage Taken Decrease %",0,IF($D$39="Defense %",0,IF($D$39="Accuracy",0,IF($D$39="Critical Rate %",(CHOOSE(MATCH($C$39,{"Rare","Epic","Unique","Legendary","Mystic","Mystic (Prime)"},0),2,3,4.5,7,10,12))*Sensitivity!$H$17,IF($D$39="Min Damage Multiplier %",(CHOOSE(MATCH($C$39,{"Rare","Epic","Unique","Legendary","Mystic","Mystic (Prime)"},0),2,3,4.5,7,10,12))*Sensitivity!$H$15,IF($D$39="Max Damage Multiplier %",(CHOOSE(MATCH($C$39,{"Rare","Epic","Unique","Legendary","Mystic","Mystic (Prime)"},0),2,3,4.5,7,10,12))*Sensitivity!$H$16,IF($D$39="Boss Monster Damage %",(CHOOSE(MATCH($C$39,{"Rare","Epic","Unique","Legendary","Mystic","Mystic (Prime)"},0),4,6,9,14,20,24))*Sensitivity!$H$12,IF($D$39="Normal Monster Damage %",(CHOOSE(MATCH($C$39,{"Rare","Epic","Unique","Legendary","Mystic","Mystic (Prime)"},0),4,6,9,14,20,24))*Sensitivity!$H$13,IF($D$39="Status Effect Damage %",0,IF($D$39="Damage %",(CHOOSE(MATCH($C$39,{"Rare","Epic","Unique","Legendary","Mystic","Mystic (Prime)"},0),4,6,9,14,20,24))*Sensitivity!$H$10,IF($D$39="Defense Penetration %",(CHOOSE(MATCH($C$39,{"Rare","Epic","Unique","Legendary","Mystic","Mystic (Prime)"},0),2,3,4.5,7,10,12))*Sensitivity!$H$20,0)))))))))))),0)</f>
        <v/>
      </c>
      <c r="F39" s="7" t="inlineStr">
        <is>
          <t>Rare</t>
        </is>
      </c>
      <c r="G39" s="7" t="inlineStr">
        <is>
          <t>(none)</t>
        </is>
      </c>
      <c r="H39">
        <f>IF($N$39&gt;=2,IF($G$39="Main Stat %",(CHOOSE(MATCH($F$39,{"Rare","Epic","Unique","Legendary","Mystic","Mystic (Prime)"},0),2,3,4.5,7,10,12))*Sensitivity!$H$6,IF($G$39="Damage Taken Decrease %",0,IF($G$39="Defense %",0,IF($G$39="Accuracy",0,IF($G$39="Critical Rate %",(CHOOSE(MATCH($F$39,{"Rare","Epic","Unique","Legendary","Mystic","Mystic (Prime)"},0),2,3,4.5,7,10,12))*Sensitivity!$H$17,IF($G$39="Min Damage Multiplier %",(CHOOSE(MATCH($F$39,{"Rare","Epic","Unique","Legendary","Mystic","Mystic (Prime)"},0),2,3,4.5,7,10,12))*Sensitivity!$H$15,IF($G$39="Max Damage Multiplier %",(CHOOSE(MATCH($F$39,{"Rare","Epic","Unique","Legendary","Mystic","Mystic (Prime)"},0),2,3,4.5,7,10,12))*Sensitivity!$H$16,IF($G$39="Boss Monster Damage %",(CHOOSE(MATCH($F$39,{"Rare","Epic","Unique","Legendary","Mystic","Mystic (Prime)"},0),4,6,9,14,20,24))*Sensitivity!$H$12,IF($G$39="Normal Monster Damage %",(CHOOSE(MATCH($F$39,{"Rare","Epic","Unique","Legendary","Mystic","Mystic (Prime)"},0),4,6,9,14,20,24))*Sensitivity!$H$13,IF($G$39="Status Effect Damage %",0,IF($G$39="Damage %",(CHOOSE(MATCH($F$39,{"Rare","Epic","Unique","Legendary","Mystic","Mystic (Prime)"},0),4,6,9,14,20,24))*Sensitivity!$H$10,IF($G$39="Defense Penetration %",(CHOOSE(MATCH($F$39,{"Rare","Epic","Unique","Legendary","Mystic","Mystic (Prime)"},0),2,3,4.5,7,10,12))*Sensitivity!$H$20,0)))))))))))),0)</f>
        <v/>
      </c>
      <c r="I39" s="7" t="inlineStr">
        <is>
          <t>Rare</t>
        </is>
      </c>
      <c r="J39" s="7" t="inlineStr">
        <is>
          <t>(none)</t>
        </is>
      </c>
      <c r="K39">
        <f>IF($N$39&gt;=5,IF($J$39="Main Stat %",(CHOOSE(MATCH($I$39,{"Rare","Epic","Unique","Legendary","Mystic","Mystic (Prime)"},0),2,3,4.5,7,10,12))*Sensitivity!$H$6,IF($J$39="Damage Taken Decrease %",0,IF($J$39="Defense %",0,IF($J$39="Accuracy",0,IF($J$39="Critical Rate %",(CHOOSE(MATCH($I$39,{"Rare","Epic","Unique","Legendary","Mystic","Mystic (Prime)"},0),2,3,4.5,7,10,12))*Sensitivity!$H$17,IF($J$39="Min Damage Multiplier %",(CHOOSE(MATCH($I$39,{"Rare","Epic","Unique","Legendary","Mystic","Mystic (Prime)"},0),2,3,4.5,7,10,12))*Sensitivity!$H$15,IF($J$39="Max Damage Multiplier %",(CHOOSE(MATCH($I$39,{"Rare","Epic","Unique","Legendary","Mystic","Mystic (Prime)"},0),2,3,4.5,7,10,12))*Sensitivity!$H$16,IF($J$39="Boss Monster Damage %",(CHOOSE(MATCH($I$39,{"Rare","Epic","Unique","Legendary","Mystic","Mystic (Prime)"},0),4,6,9,14,20,24))*Sensitivity!$H$12,IF($J$39="Normal Monster Damage %",(CHOOSE(MATCH($I$39,{"Rare","Epic","Unique","Legendary","Mystic","Mystic (Prime)"},0),4,6,9,14,20,24))*Sensitivity!$H$13,IF($J$39="Status Effect Damage %",0,IF($J$39="Damage %",(CHOOSE(MATCH($I$39,{"Rare","Epic","Unique","Legendary","Mystic","Mystic (Prime)"},0),4,6,9,14,20,24))*Sensitivity!$H$10,IF($J$39="Defense Penetration %",(CHOOSE(MATCH($I$39,{"Rare","Epic","Unique","Legendary","Mystic","Mystic (Prime)"},0),2,3,4.5,7,10,12))*Sensitivity!$H$20,0)))))))))))),0)</f>
        <v/>
      </c>
      <c r="L39">
        <f>Summary!$B$3*((IF(D39="(none)",1,1+(E39+IF(G39=D39,H39,0)+IF(J39=D39,K39,0))/Summary!$B$3))*(IF(OR(G39="(none)",G39=D39),1,1+(H39+IF(D39=G39,E39,0)+IF(J39=G39,K39,0))/Summary!$B$3))*(IF(OR(J39="",J39="(none)",J39=D39,J39=G39),1,1+(K39+IF(D39=J39,E39,0)+IF(G39=J39,H39,0))/Summary!$B$3))-1)</f>
        <v/>
      </c>
      <c r="M39">
        <f>OR(Inputs!$B$48="Cursed Doll",Inputs!$B$49="Cursed Doll",Inputs!$B$50="Cursed Doll",Inputs!$B$51="Cursed Doll")</f>
        <v/>
      </c>
      <c r="N39">
        <f>IF(B39="Not Unlocked",0,B39)</f>
        <v/>
      </c>
    </row>
    <row r="40">
      <c r="A40" s="6" t="inlineStr">
        <is>
          <t>Reindeer's Spear</t>
        </is>
      </c>
      <c r="B40" s="7" t="inlineStr">
        <is>
          <t>Not Unlocked</t>
        </is>
      </c>
      <c r="C40" s="7" t="inlineStr">
        <is>
          <t>Rare</t>
        </is>
      </c>
      <c r="D40" s="7" t="inlineStr">
        <is>
          <t>(none)</t>
        </is>
      </c>
      <c r="E40">
        <f>IF($N$40&gt;=1,IF($D$40="Main Stat %",(CHOOSE(MATCH($C$40,{"Rare","Epic","Unique","Legendary","Mystic","Mystic (Prime)"},0),2,3,4.5,7,10,12))*Sensitivity!$H$6,IF($D$40="Damage Taken Decrease %",0,IF($D$40="Defense %",0,IF($D$40="Accuracy",0,IF($D$40="Critical Rate %",(CHOOSE(MATCH($C$40,{"Rare","Epic","Unique","Legendary","Mystic","Mystic (Prime)"},0),2,3,4.5,7,10,12))*Sensitivity!$H$17,IF($D$40="Min Damage Multiplier %",(CHOOSE(MATCH($C$40,{"Rare","Epic","Unique","Legendary","Mystic","Mystic (Prime)"},0),2,3,4.5,7,10,12))*Sensitivity!$H$15,IF($D$40="Max Damage Multiplier %",(CHOOSE(MATCH($C$40,{"Rare","Epic","Unique","Legendary","Mystic","Mystic (Prime)"},0),2,3,4.5,7,10,12))*Sensitivity!$H$16,IF($D$40="Boss Monster Damage %",(CHOOSE(MATCH($C$40,{"Rare","Epic","Unique","Legendary","Mystic","Mystic (Prime)"},0),4,6,9,14,20,24))*Sensitivity!$H$12,IF($D$40="Normal Monster Damage %",(CHOOSE(MATCH($C$40,{"Rare","Epic","Unique","Legendary","Mystic","Mystic (Prime)"},0),4,6,9,14,20,24))*Sensitivity!$H$13,IF($D$40="Status Effect Damage %",0,IF($D$40="Damage %",(CHOOSE(MATCH($C$40,{"Rare","Epic","Unique","Legendary","Mystic","Mystic (Prime)"},0),4,6,9,14,20,24))*Sensitivity!$H$10,IF($D$40="Defense Penetration %",(CHOOSE(MATCH($C$40,{"Rare","Epic","Unique","Legendary","Mystic","Mystic (Prime)"},0),2,3,4.5,7,10,12))*Sensitivity!$H$20,0)))))))))))),0)</f>
        <v/>
      </c>
      <c r="F40" s="7" t="inlineStr">
        <is>
          <t>Rare</t>
        </is>
      </c>
      <c r="G40" s="7" t="inlineStr">
        <is>
          <t>(none)</t>
        </is>
      </c>
      <c r="H40">
        <f>IF($N$40&gt;=2,IF($G$40="Main Stat %",(CHOOSE(MATCH($F$40,{"Rare","Epic","Unique","Legendary","Mystic","Mystic (Prime)"},0),2,3,4.5,7,10,12))*Sensitivity!$H$6,IF($G$40="Damage Taken Decrease %",0,IF($G$40="Defense %",0,IF($G$40="Accuracy",0,IF($G$40="Critical Rate %",(CHOOSE(MATCH($F$40,{"Rare","Epic","Unique","Legendary","Mystic","Mystic (Prime)"},0),2,3,4.5,7,10,12))*Sensitivity!$H$17,IF($G$40="Min Damage Multiplier %",(CHOOSE(MATCH($F$40,{"Rare","Epic","Unique","Legendary","Mystic","Mystic (Prime)"},0),2,3,4.5,7,10,12))*Sensitivity!$H$15,IF($G$40="Max Damage Multiplier %",(CHOOSE(MATCH($F$40,{"Rare","Epic","Unique","Legendary","Mystic","Mystic (Prime)"},0),2,3,4.5,7,10,12))*Sensitivity!$H$16,IF($G$40="Boss Monster Damage %",(CHOOSE(MATCH($F$40,{"Rare","Epic","Unique","Legendary","Mystic","Mystic (Prime)"},0),4,6,9,14,20,24))*Sensitivity!$H$12,IF($G$40="Normal Monster Damage %",(CHOOSE(MATCH($F$40,{"Rare","Epic","Unique","Legendary","Mystic","Mystic (Prime)"},0),4,6,9,14,20,24))*Sensitivity!$H$13,IF($G$40="Status Effect Damage %",0,IF($G$40="Damage %",(CHOOSE(MATCH($F$40,{"Rare","Epic","Unique","Legendary","Mystic","Mystic (Prime)"},0),4,6,9,14,20,24))*Sensitivity!$H$10,IF($G$40="Defense Penetration %",(CHOOSE(MATCH($F$40,{"Rare","Epic","Unique","Legendary","Mystic","Mystic (Prime)"},0),2,3,4.5,7,10,12))*Sensitivity!$H$20,0)))))))))))),0)</f>
        <v/>
      </c>
      <c r="I40" s="7" t="inlineStr">
        <is>
          <t>Rare</t>
        </is>
      </c>
      <c r="J40" s="7" t="inlineStr">
        <is>
          <t>(none)</t>
        </is>
      </c>
      <c r="K40">
        <f>IF($N$40&gt;=5,IF($J$40="Main Stat %",(CHOOSE(MATCH($I$40,{"Rare","Epic","Unique","Legendary","Mystic","Mystic (Prime)"},0),2,3,4.5,7,10,12))*Sensitivity!$H$6,IF($J$40="Damage Taken Decrease %",0,IF($J$40="Defense %",0,IF($J$40="Accuracy",0,IF($J$40="Critical Rate %",(CHOOSE(MATCH($I$40,{"Rare","Epic","Unique","Legendary","Mystic","Mystic (Prime)"},0),2,3,4.5,7,10,12))*Sensitivity!$H$17,IF($J$40="Min Damage Multiplier %",(CHOOSE(MATCH($I$40,{"Rare","Epic","Unique","Legendary","Mystic","Mystic (Prime)"},0),2,3,4.5,7,10,12))*Sensitivity!$H$15,IF($J$40="Max Damage Multiplier %",(CHOOSE(MATCH($I$40,{"Rare","Epic","Unique","Legendary","Mystic","Mystic (Prime)"},0),2,3,4.5,7,10,12))*Sensitivity!$H$16,IF($J$40="Boss Monster Damage %",(CHOOSE(MATCH($I$40,{"Rare","Epic","Unique","Legendary","Mystic","Mystic (Prime)"},0),4,6,9,14,20,24))*Sensitivity!$H$12,IF($J$40="Normal Monster Damage %",(CHOOSE(MATCH($I$40,{"Rare","Epic","Unique","Legendary","Mystic","Mystic (Prime)"},0),4,6,9,14,20,24))*Sensitivity!$H$13,IF($J$40="Status Effect Damage %",0,IF($J$40="Damage %",(CHOOSE(MATCH($I$40,{"Rare","Epic","Unique","Legendary","Mystic","Mystic (Prime)"},0),4,6,9,14,20,24))*Sensitivity!$H$10,IF($J$40="Defense Penetration %",(CHOOSE(MATCH($I$40,{"Rare","Epic","Unique","Legendary","Mystic","Mystic (Prime)"},0),2,3,4.5,7,10,12))*Sensitivity!$H$20,0)))))))))))),0)</f>
        <v/>
      </c>
      <c r="L40">
        <f>Summary!$B$3*((IF(D40="(none)",1,1+(E40+IF(G40=D40,H40,0)+IF(J40=D40,K40,0))/Summary!$B$3))*(IF(OR(G40="(none)",G40=D40),1,1+(H40+IF(D40=G40,E40,0)+IF(J40=G40,K40,0))/Summary!$B$3))*(IF(OR(J40="",J40="(none)",J40=D40,J40=G40),1,1+(K40+IF(D40=J40,E40,0)+IF(G40=J40,H40,0))/Summary!$B$3))-1)</f>
        <v/>
      </c>
      <c r="M40">
        <f>OR(Inputs!$B$48="Reindeer's Spear",Inputs!$B$49="Reindeer's Spear",Inputs!$B$50="Reindeer's Spear",Inputs!$B$51="Reindeer's Spear")</f>
        <v/>
      </c>
      <c r="N40">
        <f>IF(B40="Not Unlocked",0,B40)</f>
        <v/>
      </c>
    </row>
    <row r="41">
      <c r="A41" s="6" t="inlineStr">
        <is>
          <t>Secret Map</t>
        </is>
      </c>
      <c r="B41" s="7" t="inlineStr">
        <is>
          <t>Not Unlocked</t>
        </is>
      </c>
      <c r="C41" s="7" t="inlineStr">
        <is>
          <t>Rare</t>
        </is>
      </c>
      <c r="D41" s="7" t="inlineStr">
        <is>
          <t>(none)</t>
        </is>
      </c>
      <c r="E41">
        <f>IF($N$41&gt;=1,IF($D$41="Main Stat %",(CHOOSE(MATCH($C$41,{"Rare","Epic","Unique","Legendary","Mystic","Mystic (Prime)"},0),2,3,4.5,7,10,12))*Sensitivity!$H$6,IF($D$41="Damage Taken Decrease %",0,IF($D$41="Defense %",0,IF($D$41="Accuracy",0,IF($D$41="Critical Rate %",(CHOOSE(MATCH($C$41,{"Rare","Epic","Unique","Legendary","Mystic","Mystic (Prime)"},0),2,3,4.5,7,10,12))*Sensitivity!$H$17,IF($D$41="Min Damage Multiplier %",(CHOOSE(MATCH($C$41,{"Rare","Epic","Unique","Legendary","Mystic","Mystic (Prime)"},0),2,3,4.5,7,10,12))*Sensitivity!$H$15,IF($D$41="Max Damage Multiplier %",(CHOOSE(MATCH($C$41,{"Rare","Epic","Unique","Legendary","Mystic","Mystic (Prime)"},0),2,3,4.5,7,10,12))*Sensitivity!$H$16,IF($D$41="Boss Monster Damage %",(CHOOSE(MATCH($C$41,{"Rare","Epic","Unique","Legendary","Mystic","Mystic (Prime)"},0),4,6,9,14,20,24))*Sensitivity!$H$12,IF($D$41="Normal Monster Damage %",(CHOOSE(MATCH($C$41,{"Rare","Epic","Unique","Legendary","Mystic","Mystic (Prime)"},0),4,6,9,14,20,24))*Sensitivity!$H$13,IF($D$41="Status Effect Damage %",0,IF($D$41="Damage %",(CHOOSE(MATCH($C$41,{"Rare","Epic","Unique","Legendary","Mystic","Mystic (Prime)"},0),4,6,9,14,20,24))*Sensitivity!$H$10,IF($D$41="Defense Penetration %",(CHOOSE(MATCH($C$41,{"Rare","Epic","Unique","Legendary","Mystic","Mystic (Prime)"},0),2,3,4.5,7,10,12))*Sensitivity!$H$20,0)))))))))))),0)</f>
        <v/>
      </c>
      <c r="F41" s="7" t="inlineStr">
        <is>
          <t>Rare</t>
        </is>
      </c>
      <c r="G41" s="7" t="inlineStr">
        <is>
          <t>(none)</t>
        </is>
      </c>
      <c r="H41">
        <f>IF($N$41&gt;=2,IF($G$41="Main Stat %",(CHOOSE(MATCH($F$41,{"Rare","Epic","Unique","Legendary","Mystic","Mystic (Prime)"},0),2,3,4.5,7,10,12))*Sensitivity!$H$6,IF($G$41="Damage Taken Decrease %",0,IF($G$41="Defense %",0,IF($G$41="Accuracy",0,IF($G$41="Critical Rate %",(CHOOSE(MATCH($F$41,{"Rare","Epic","Unique","Legendary","Mystic","Mystic (Prime)"},0),2,3,4.5,7,10,12))*Sensitivity!$H$17,IF($G$41="Min Damage Multiplier %",(CHOOSE(MATCH($F$41,{"Rare","Epic","Unique","Legendary","Mystic","Mystic (Prime)"},0),2,3,4.5,7,10,12))*Sensitivity!$H$15,IF($G$41="Max Damage Multiplier %",(CHOOSE(MATCH($F$41,{"Rare","Epic","Unique","Legendary","Mystic","Mystic (Prime)"},0),2,3,4.5,7,10,12))*Sensitivity!$H$16,IF($G$41="Boss Monster Damage %",(CHOOSE(MATCH($F$41,{"Rare","Epic","Unique","Legendary","Mystic","Mystic (Prime)"},0),4,6,9,14,20,24))*Sensitivity!$H$12,IF($G$41="Normal Monster Damage %",(CHOOSE(MATCH($F$41,{"Rare","Epic","Unique","Legendary","Mystic","Mystic (Prime)"},0),4,6,9,14,20,24))*Sensitivity!$H$13,IF($G$41="Status Effect Damage %",0,IF($G$41="Damage %",(CHOOSE(MATCH($F$41,{"Rare","Epic","Unique","Legendary","Mystic","Mystic (Prime)"},0),4,6,9,14,20,24))*Sensitivity!$H$10,IF($G$41="Defense Penetration %",(CHOOSE(MATCH($F$41,{"Rare","Epic","Unique","Legendary","Mystic","Mystic (Prime)"},0),2,3,4.5,7,10,12))*Sensitivity!$H$20,0)))))))))))),0)</f>
        <v/>
      </c>
      <c r="I41" s="7" t="inlineStr">
        <is>
          <t>Rare</t>
        </is>
      </c>
      <c r="J41" s="7" t="inlineStr">
        <is>
          <t>(none)</t>
        </is>
      </c>
      <c r="K41">
        <f>IF($N$41&gt;=5,IF($J$41="Main Stat %",(CHOOSE(MATCH($I$41,{"Rare","Epic","Unique","Legendary","Mystic","Mystic (Prime)"},0),2,3,4.5,7,10,12))*Sensitivity!$H$6,IF($J$41="Damage Taken Decrease %",0,IF($J$41="Defense %",0,IF($J$41="Accuracy",0,IF($J$41="Critical Rate %",(CHOOSE(MATCH($I$41,{"Rare","Epic","Unique","Legendary","Mystic","Mystic (Prime)"},0),2,3,4.5,7,10,12))*Sensitivity!$H$17,IF($J$41="Min Damage Multiplier %",(CHOOSE(MATCH($I$41,{"Rare","Epic","Unique","Legendary","Mystic","Mystic (Prime)"},0),2,3,4.5,7,10,12))*Sensitivity!$H$15,IF($J$41="Max Damage Multiplier %",(CHOOSE(MATCH($I$41,{"Rare","Epic","Unique","Legendary","Mystic","Mystic (Prime)"},0),2,3,4.5,7,10,12))*Sensitivity!$H$16,IF($J$41="Boss Monster Damage %",(CHOOSE(MATCH($I$41,{"Rare","Epic","Unique","Legendary","Mystic","Mystic (Prime)"},0),4,6,9,14,20,24))*Sensitivity!$H$12,IF($J$41="Normal Monster Damage %",(CHOOSE(MATCH($I$41,{"Rare","Epic","Unique","Legendary","Mystic","Mystic (Prime)"},0),4,6,9,14,20,24))*Sensitivity!$H$13,IF($J$41="Status Effect Damage %",0,IF($J$41="Damage %",(CHOOSE(MATCH($I$41,{"Rare","Epic","Unique","Legendary","Mystic","Mystic (Prime)"},0),4,6,9,14,20,24))*Sensitivity!$H$10,IF($J$41="Defense Penetration %",(CHOOSE(MATCH($I$41,{"Rare","Epic","Unique","Legendary","Mystic","Mystic (Prime)"},0),2,3,4.5,7,10,12))*Sensitivity!$H$20,0)))))))))))),0)</f>
        <v/>
      </c>
      <c r="L41">
        <f>Summary!$B$3*((IF(D41="(none)",1,1+(E41+IF(G41=D41,H41,0)+IF(J41=D41,K41,0))/Summary!$B$3))*(IF(OR(G41="(none)",G41=D41),1,1+(H41+IF(D41=G41,E41,0)+IF(J41=G41,K41,0))/Summary!$B$3))*(IF(OR(J41="",J41="(none)",J41=D41,J41=G41),1,1+(K41+IF(D41=J41,E41,0)+IF(G41=J41,H41,0))/Summary!$B$3))-1)</f>
        <v/>
      </c>
      <c r="M41">
        <f>OR(Inputs!$B$48="Secret Map",Inputs!$B$49="Secret Map",Inputs!$B$50="Secret Map",Inputs!$B$51="Secret Map")</f>
        <v/>
      </c>
      <c r="N41">
        <f>IF(B41="Not Unlocked",0,B41)</f>
        <v/>
      </c>
    </row>
    <row r="42">
      <c r="A42" s="6" t="inlineStr">
        <is>
          <t>Ring of Cycles</t>
        </is>
      </c>
      <c r="B42" s="7" t="inlineStr">
        <is>
          <t>Not Unlocked</t>
        </is>
      </c>
      <c r="C42" s="7" t="inlineStr">
        <is>
          <t>Rare</t>
        </is>
      </c>
      <c r="D42" s="7" t="inlineStr">
        <is>
          <t>(none)</t>
        </is>
      </c>
      <c r="E42">
        <f>IF($N$42&gt;=1,IF($D$42="Main Stat %",(CHOOSE(MATCH($C$42,{"Rare","Epic","Unique","Legendary","Mystic","Mystic (Prime)"},0),2,3,4.5,7,10,12))*Sensitivity!$H$6,IF($D$42="Damage Taken Decrease %",0,IF($D$42="Defense %",0,IF($D$42="Accuracy",0,IF($D$42="Critical Rate %",(CHOOSE(MATCH($C$42,{"Rare","Epic","Unique","Legendary","Mystic","Mystic (Prime)"},0),2,3,4.5,7,10,12))*Sensitivity!$H$17,IF($D$42="Min Damage Multiplier %",(CHOOSE(MATCH($C$42,{"Rare","Epic","Unique","Legendary","Mystic","Mystic (Prime)"},0),2,3,4.5,7,10,12))*Sensitivity!$H$15,IF($D$42="Max Damage Multiplier %",(CHOOSE(MATCH($C$42,{"Rare","Epic","Unique","Legendary","Mystic","Mystic (Prime)"},0),2,3,4.5,7,10,12))*Sensitivity!$H$16,IF($D$42="Boss Monster Damage %",(CHOOSE(MATCH($C$42,{"Rare","Epic","Unique","Legendary","Mystic","Mystic (Prime)"},0),4,6,9,14,20,24))*Sensitivity!$H$12,IF($D$42="Normal Monster Damage %",(CHOOSE(MATCH($C$42,{"Rare","Epic","Unique","Legendary","Mystic","Mystic (Prime)"},0),4,6,9,14,20,24))*Sensitivity!$H$13,IF($D$42="Status Effect Damage %",0,IF($D$42="Damage %",(CHOOSE(MATCH($C$42,{"Rare","Epic","Unique","Legendary","Mystic","Mystic (Prime)"},0),4,6,9,14,20,24))*Sensitivity!$H$10,IF($D$42="Defense Penetration %",(CHOOSE(MATCH($C$42,{"Rare","Epic","Unique","Legendary","Mystic","Mystic (Prime)"},0),2,3,4.5,7,10,12))*Sensitivity!$H$20,0)))))))))))),0)</f>
        <v/>
      </c>
      <c r="F42" s="7" t="inlineStr">
        <is>
          <t>Rare</t>
        </is>
      </c>
      <c r="G42" s="7" t="inlineStr">
        <is>
          <t>(none)</t>
        </is>
      </c>
      <c r="H42">
        <f>IF($N$42&gt;=2,IF($G$42="Main Stat %",(CHOOSE(MATCH($F$42,{"Rare","Epic","Unique","Legendary","Mystic","Mystic (Prime)"},0),2,3,4.5,7,10,12))*Sensitivity!$H$6,IF($G$42="Damage Taken Decrease %",0,IF($G$42="Defense %",0,IF($G$42="Accuracy",0,IF($G$42="Critical Rate %",(CHOOSE(MATCH($F$42,{"Rare","Epic","Unique","Legendary","Mystic","Mystic (Prime)"},0),2,3,4.5,7,10,12))*Sensitivity!$H$17,IF($G$42="Min Damage Multiplier %",(CHOOSE(MATCH($F$42,{"Rare","Epic","Unique","Legendary","Mystic","Mystic (Prime)"},0),2,3,4.5,7,10,12))*Sensitivity!$H$15,IF($G$42="Max Damage Multiplier %",(CHOOSE(MATCH($F$42,{"Rare","Epic","Unique","Legendary","Mystic","Mystic (Prime)"},0),2,3,4.5,7,10,12))*Sensitivity!$H$16,IF($G$42="Boss Monster Damage %",(CHOOSE(MATCH($F$42,{"Rare","Epic","Unique","Legendary","Mystic","Mystic (Prime)"},0),4,6,9,14,20,24))*Sensitivity!$H$12,IF($G$42="Normal Monster Damage %",(CHOOSE(MATCH($F$42,{"Rare","Epic","Unique","Legendary","Mystic","Mystic (Prime)"},0),4,6,9,14,20,24))*Sensitivity!$H$13,IF($G$42="Status Effect Damage %",0,IF($G$42="Damage %",(CHOOSE(MATCH($F$42,{"Rare","Epic","Unique","Legendary","Mystic","Mystic (Prime)"},0),4,6,9,14,20,24))*Sensitivity!$H$10,IF($G$42="Defense Penetration %",(CHOOSE(MATCH($F$42,{"Rare","Epic","Unique","Legendary","Mystic","Mystic (Prime)"},0),2,3,4.5,7,10,12))*Sensitivity!$H$20,0)))))))))))),0)</f>
        <v/>
      </c>
      <c r="I42" s="7" t="inlineStr">
        <is>
          <t>Rare</t>
        </is>
      </c>
      <c r="J42" s="7" t="inlineStr">
        <is>
          <t>(none)</t>
        </is>
      </c>
      <c r="K42">
        <f>IF($N$42&gt;=5,IF($J$42="Main Stat %",(CHOOSE(MATCH($I$42,{"Rare","Epic","Unique","Legendary","Mystic","Mystic (Prime)"},0),2,3,4.5,7,10,12))*Sensitivity!$H$6,IF($J$42="Damage Taken Decrease %",0,IF($J$42="Defense %",0,IF($J$42="Accuracy",0,IF($J$42="Critical Rate %",(CHOOSE(MATCH($I$42,{"Rare","Epic","Unique","Legendary","Mystic","Mystic (Prime)"},0),2,3,4.5,7,10,12))*Sensitivity!$H$17,IF($J$42="Min Damage Multiplier %",(CHOOSE(MATCH($I$42,{"Rare","Epic","Unique","Legendary","Mystic","Mystic (Prime)"},0),2,3,4.5,7,10,12))*Sensitivity!$H$15,IF($J$42="Max Damage Multiplier %",(CHOOSE(MATCH($I$42,{"Rare","Epic","Unique","Legendary","Mystic","Mystic (Prime)"},0),2,3,4.5,7,10,12))*Sensitivity!$H$16,IF($J$42="Boss Monster Damage %",(CHOOSE(MATCH($I$42,{"Rare","Epic","Unique","Legendary","Mystic","Mystic (Prime)"},0),4,6,9,14,20,24))*Sensitivity!$H$12,IF($J$42="Normal Monster Damage %",(CHOOSE(MATCH($I$42,{"Rare","Epic","Unique","Legendary","Mystic","Mystic (Prime)"},0),4,6,9,14,20,24))*Sensitivity!$H$13,IF($J$42="Status Effect Damage %",0,IF($J$42="Damage %",(CHOOSE(MATCH($I$42,{"Rare","Epic","Unique","Legendary","Mystic","Mystic (Prime)"},0),4,6,9,14,20,24))*Sensitivity!$H$10,IF($J$42="Defense Penetration %",(CHOOSE(MATCH($I$42,{"Rare","Epic","Unique","Legendary","Mystic","Mystic (Prime)"},0),2,3,4.5,7,10,12))*Sensitivity!$H$20,0)))))))))))),0)</f>
        <v/>
      </c>
      <c r="L42">
        <f>Summary!$B$3*((IF(D42="(none)",1,1+(E42+IF(G42=D42,H42,0)+IF(J42=D42,K42,0))/Summary!$B$3))*(IF(OR(G42="(none)",G42=D42),1,1+(H42+IF(D42=G42,E42,0)+IF(J42=G42,K42,0))/Summary!$B$3))*(IF(OR(J42="",J42="(none)",J42=D42,J42=G42),1,1+(K42+IF(D42=J42,E42,0)+IF(G42=J42,H42,0))/Summary!$B$3))-1)</f>
        <v/>
      </c>
      <c r="M42">
        <f>OR(Inputs!$B$48="Ring of Cycles",Inputs!$B$49="Ring of Cycles",Inputs!$B$50="Ring of Cycles",Inputs!$B$51="Ring of Cycles")</f>
        <v/>
      </c>
      <c r="N42">
        <f>IF(B42="Not Unlocked",0,B42)</f>
        <v/>
      </c>
    </row>
  </sheetData>
  <dataValidations count="3">
    <dataValidation sqref="B5 B6 B7 B8 B10 B11 B12 B13 B14 B15 B16 B17 B18 B20 B21 B22 B23 B24 B25 B26 B27 B28 B29 B30 B31 B32 B33 B34 B35 B36 B37 B38 B39 B40 B41 B42" showDropDown="0" showInputMessage="0" showErrorMessage="0" allowBlank="0" type="list">
      <formula1>"Not Unlocked,0,1,2,3,4,5"</formula1>
    </dataValidation>
    <dataValidation sqref="C5 C6 C7 C8 C10 C11 C12 C13 C14 C15 C16 C17 C18 C20 C21 C22 C23 C24 C25 C26 C27 C28 C29 C30 C31 C32 C33 C34 C35 C36 C37 C38 C39 C40 C41 C42 F5 F6 F7 F8 F10 F11 F12 F13 F14 F15 F16 F17 F18 F20 F21 F22 F23 F24 F25 F26 F27 F28 F29 F30 F31 F32 F33 F34 F35 F36 F37 F38 F39 F40 F41 F42 I20 I21 I22 I23 I24 I25 I26 I27 I28 I29 I30 I31 I32 I33 I34 I35 I36 I37 I38 I39 I40 I41 I42" showDropDown="0" showInputMessage="0" showErrorMessage="0" allowBlank="0" type="list">
      <formula1>"Rare,Epic,Unique,Legendary,Mystic,Mystic (Prime)"</formula1>
    </dataValidation>
    <dataValidation sqref="D5 D6 D7 D8 D10 D11 D12 D13 D14 D15 D16 D17 D18 D20 D21 D22 D23 D24 D25 D26 D27 D28 D29 D30 D31 D32 D33 D34 D35 D36 D37 D38 D39 D40 D41 D42 G5 G6 G7 G8 G10 G11 G12 G13 G14 G15 G16 G17 G18 G20 G21 G22 G23 G24 G25 G26 G27 G28 G29 G30 G31 G32 G33 G34 G35 G36 G37 G38 G39 G40 G41 G42 J20 J21 J22 J23 J24 J25 J26 J27 J28 J29 J30 J31 J32 J33 J34 J35 J36 J37 J38 J39 J40 J41 J42" showDropDown="0" showInputMessage="0" showErrorMessage="0" allowBlank="0" type="list">
      <formula1>"(none),Main Stat %,Damage Taken Decrease %,Defense %,Accuracy,Critical Rate %,Min Damage Multiplier %,Max Damage Multiplier %,Boss Monster Damage %,Normal Monster Damage %,Status Effect Damage %,Damage %,Defense Penetration %"</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5"/>
  <sheetViews>
    <sheetView workbookViewId="0">
      <pane ySplit="5" topLeftCell="A6" activePane="bottomLeft" state="frozen"/>
      <selection pane="bottomLeft" activeCell="A1" sqref="A1"/>
    </sheetView>
  </sheetViews>
  <sheetFormatPr baseColWidth="8" defaultRowHeight="15"/>
  <cols>
    <col width="12" customWidth="1" min="1" max="1"/>
    <col width="15" customWidth="1" min="2" max="2"/>
    <col width="13" customWidth="1" min="3" max="3"/>
    <col width="18" customWidth="1" min="4" max="4"/>
    <col width="26" customWidth="1" min="5" max="5"/>
    <col width="11" customWidth="1" min="6" max="6"/>
    <col width="26" customWidth="1" min="7" max="7"/>
    <col width="11" customWidth="1" min="8" max="8"/>
    <col width="26" customWidth="1" min="9" max="9"/>
    <col width="11" customWidth="1" min="10" max="10"/>
  </cols>
  <sheetData>
    <row r="1">
      <c r="A1" s="4" t="inlineStr">
        <is>
          <t>Potential Cubes — Current Gear State</t>
        </is>
      </c>
    </row>
    <row r="2">
      <c r="A2" t="inlineStr">
        <is>
          <t>Fill in your actual current gear for every slot/potential-type you want EV results for, then run `python3 tools/potential_cubes_ev.py` — it reads this table plus the live CubeData sheet and computes exact 'expected value of the best roll kept after N rerolls' for all 30 rows (printed + written to a CSV), via a full line1 x line2 x line3 enumeration per rarity/slot rather than a single-roll average.</t>
        </is>
      </c>
    </row>
    <row r="3">
      <c r="A3" t="inlineStr">
        <is>
          <t>Leave a line's Stat as "(none)" if that line isn't rolled yet / doesn't matter.</t>
        </is>
      </c>
    </row>
    <row r="5">
      <c r="A5" s="5" t="inlineStr">
        <is>
          <t>Slot</t>
        </is>
      </c>
      <c r="B5" s="5" t="inlineStr">
        <is>
          <t>Potential Type</t>
        </is>
      </c>
      <c r="C5" s="5" t="inlineStr">
        <is>
          <t>Current Rarity</t>
        </is>
      </c>
      <c r="D5" s="5" t="inlineStr">
        <is>
          <t>Current Pity Count</t>
        </is>
      </c>
      <c r="E5" s="5" t="inlineStr">
        <is>
          <t>Line 1 Stat</t>
        </is>
      </c>
      <c r="F5" s="5" t="inlineStr">
        <is>
          <t>Line 1 Value</t>
        </is>
      </c>
      <c r="G5" s="5" t="inlineStr">
        <is>
          <t>Line 2 Stat</t>
        </is>
      </c>
      <c r="H5" s="5" t="inlineStr">
        <is>
          <t>Line 2 Value</t>
        </is>
      </c>
      <c r="I5" s="5" t="inlineStr">
        <is>
          <t>Line 3 Stat</t>
        </is>
      </c>
      <c r="J5" s="5" t="inlineStr">
        <is>
          <t>Line 3 Value</t>
        </is>
      </c>
    </row>
    <row r="6">
      <c r="A6" t="inlineStr">
        <is>
          <t>head</t>
        </is>
      </c>
      <c r="B6" t="inlineStr">
        <is>
          <t>Potential</t>
        </is>
      </c>
      <c r="C6" t="inlineStr">
        <is>
          <t>normal</t>
        </is>
      </c>
      <c r="D6" t="n">
        <v>0</v>
      </c>
      <c r="E6" t="inlineStr">
        <is>
          <t>(none)</t>
        </is>
      </c>
      <c r="F6" t="n">
        <v>0</v>
      </c>
      <c r="G6" t="inlineStr">
        <is>
          <t>(none)</t>
        </is>
      </c>
      <c r="H6" t="n">
        <v>0</v>
      </c>
      <c r="I6" t="inlineStr">
        <is>
          <t>(none)</t>
        </is>
      </c>
      <c r="J6" t="n">
        <v>0</v>
      </c>
    </row>
    <row r="7">
      <c r="A7" t="inlineStr">
        <is>
          <t>head</t>
        </is>
      </c>
      <c r="B7" t="inlineStr">
        <is>
          <t>Bonus Potential</t>
        </is>
      </c>
      <c r="C7" t="inlineStr">
        <is>
          <t>normal</t>
        </is>
      </c>
      <c r="D7" t="n">
        <v>0</v>
      </c>
      <c r="E7" t="inlineStr">
        <is>
          <t>(none)</t>
        </is>
      </c>
      <c r="F7" t="n">
        <v>0</v>
      </c>
      <c r="G7" t="inlineStr">
        <is>
          <t>(none)</t>
        </is>
      </c>
      <c r="H7" t="n">
        <v>0</v>
      </c>
      <c r="I7" t="inlineStr">
        <is>
          <t>(none)</t>
        </is>
      </c>
      <c r="J7" t="n">
        <v>0</v>
      </c>
    </row>
    <row r="8">
      <c r="A8" t="inlineStr">
        <is>
          <t>cape</t>
        </is>
      </c>
      <c r="B8" t="inlineStr">
        <is>
          <t>Potential</t>
        </is>
      </c>
      <c r="C8" t="inlineStr">
        <is>
          <t>normal</t>
        </is>
      </c>
      <c r="D8" t="n">
        <v>0</v>
      </c>
      <c r="E8" t="inlineStr">
        <is>
          <t>(none)</t>
        </is>
      </c>
      <c r="F8" t="n">
        <v>0</v>
      </c>
      <c r="G8" t="inlineStr">
        <is>
          <t>(none)</t>
        </is>
      </c>
      <c r="H8" t="n">
        <v>0</v>
      </c>
      <c r="I8" t="inlineStr">
        <is>
          <t>(none)</t>
        </is>
      </c>
      <c r="J8" t="n">
        <v>0</v>
      </c>
    </row>
    <row r="9">
      <c r="A9" t="inlineStr">
        <is>
          <t>cape</t>
        </is>
      </c>
      <c r="B9" t="inlineStr">
        <is>
          <t>Bonus Potential</t>
        </is>
      </c>
      <c r="C9" t="inlineStr">
        <is>
          <t>normal</t>
        </is>
      </c>
      <c r="D9" t="n">
        <v>0</v>
      </c>
      <c r="E9" t="inlineStr">
        <is>
          <t>(none)</t>
        </is>
      </c>
      <c r="F9" t="n">
        <v>0</v>
      </c>
      <c r="G9" t="inlineStr">
        <is>
          <t>(none)</t>
        </is>
      </c>
      <c r="H9" t="n">
        <v>0</v>
      </c>
      <c r="I9" t="inlineStr">
        <is>
          <t>(none)</t>
        </is>
      </c>
      <c r="J9" t="n">
        <v>0</v>
      </c>
    </row>
    <row r="10">
      <c r="A10" t="inlineStr">
        <is>
          <t>chest</t>
        </is>
      </c>
      <c r="B10" t="inlineStr">
        <is>
          <t>Potential</t>
        </is>
      </c>
      <c r="C10" t="inlineStr">
        <is>
          <t>normal</t>
        </is>
      </c>
      <c r="D10" t="n">
        <v>0</v>
      </c>
      <c r="E10" t="inlineStr">
        <is>
          <t>(none)</t>
        </is>
      </c>
      <c r="F10" t="n">
        <v>0</v>
      </c>
      <c r="G10" t="inlineStr">
        <is>
          <t>(none)</t>
        </is>
      </c>
      <c r="H10" t="n">
        <v>0</v>
      </c>
      <c r="I10" t="inlineStr">
        <is>
          <t>(none)</t>
        </is>
      </c>
      <c r="J10" t="n">
        <v>0</v>
      </c>
    </row>
    <row r="11">
      <c r="A11" t="inlineStr">
        <is>
          <t>chest</t>
        </is>
      </c>
      <c r="B11" t="inlineStr">
        <is>
          <t>Bonus Potential</t>
        </is>
      </c>
      <c r="C11" t="inlineStr">
        <is>
          <t>normal</t>
        </is>
      </c>
      <c r="D11" t="n">
        <v>0</v>
      </c>
      <c r="E11" t="inlineStr">
        <is>
          <t>(none)</t>
        </is>
      </c>
      <c r="F11" t="n">
        <v>0</v>
      </c>
      <c r="G11" t="inlineStr">
        <is>
          <t>(none)</t>
        </is>
      </c>
      <c r="H11" t="n">
        <v>0</v>
      </c>
      <c r="I11" t="inlineStr">
        <is>
          <t>(none)</t>
        </is>
      </c>
      <c r="J11" t="n">
        <v>0</v>
      </c>
    </row>
    <row r="12">
      <c r="A12" t="inlineStr">
        <is>
          <t>shoulders</t>
        </is>
      </c>
      <c r="B12" t="inlineStr">
        <is>
          <t>Potential</t>
        </is>
      </c>
      <c r="C12" t="inlineStr">
        <is>
          <t>normal</t>
        </is>
      </c>
      <c r="D12" t="n">
        <v>0</v>
      </c>
      <c r="E12" t="inlineStr">
        <is>
          <t>(none)</t>
        </is>
      </c>
      <c r="F12" t="n">
        <v>0</v>
      </c>
      <c r="G12" t="inlineStr">
        <is>
          <t>(none)</t>
        </is>
      </c>
      <c r="H12" t="n">
        <v>0</v>
      </c>
      <c r="I12" t="inlineStr">
        <is>
          <t>(none)</t>
        </is>
      </c>
      <c r="J12" t="n">
        <v>0</v>
      </c>
    </row>
    <row r="13">
      <c r="A13" t="inlineStr">
        <is>
          <t>shoulders</t>
        </is>
      </c>
      <c r="B13" t="inlineStr">
        <is>
          <t>Bonus Potential</t>
        </is>
      </c>
      <c r="C13" t="inlineStr">
        <is>
          <t>normal</t>
        </is>
      </c>
      <c r="D13" t="n">
        <v>0</v>
      </c>
      <c r="E13" t="inlineStr">
        <is>
          <t>(none)</t>
        </is>
      </c>
      <c r="F13" t="n">
        <v>0</v>
      </c>
      <c r="G13" t="inlineStr">
        <is>
          <t>(none)</t>
        </is>
      </c>
      <c r="H13" t="n">
        <v>0</v>
      </c>
      <c r="I13" t="inlineStr">
        <is>
          <t>(none)</t>
        </is>
      </c>
      <c r="J13" t="n">
        <v>0</v>
      </c>
    </row>
    <row r="14">
      <c r="A14" t="inlineStr">
        <is>
          <t>legs</t>
        </is>
      </c>
      <c r="B14" t="inlineStr">
        <is>
          <t>Potential</t>
        </is>
      </c>
      <c r="C14" t="inlineStr">
        <is>
          <t>normal</t>
        </is>
      </c>
      <c r="D14" t="n">
        <v>0</v>
      </c>
      <c r="E14" t="inlineStr">
        <is>
          <t>(none)</t>
        </is>
      </c>
      <c r="F14" t="n">
        <v>0</v>
      </c>
      <c r="G14" t="inlineStr">
        <is>
          <t>(none)</t>
        </is>
      </c>
      <c r="H14" t="n">
        <v>0</v>
      </c>
      <c r="I14" t="inlineStr">
        <is>
          <t>(none)</t>
        </is>
      </c>
      <c r="J14" t="n">
        <v>0</v>
      </c>
    </row>
    <row r="15">
      <c r="A15" t="inlineStr">
        <is>
          <t>legs</t>
        </is>
      </c>
      <c r="B15" t="inlineStr">
        <is>
          <t>Bonus Potential</t>
        </is>
      </c>
      <c r="C15" t="inlineStr">
        <is>
          <t>normal</t>
        </is>
      </c>
      <c r="D15" t="n">
        <v>0</v>
      </c>
      <c r="E15" t="inlineStr">
        <is>
          <t>(none)</t>
        </is>
      </c>
      <c r="F15" t="n">
        <v>0</v>
      </c>
      <c r="G15" t="inlineStr">
        <is>
          <t>(none)</t>
        </is>
      </c>
      <c r="H15" t="n">
        <v>0</v>
      </c>
      <c r="I15" t="inlineStr">
        <is>
          <t>(none)</t>
        </is>
      </c>
      <c r="J15" t="n">
        <v>0</v>
      </c>
    </row>
    <row r="16">
      <c r="A16" t="inlineStr">
        <is>
          <t>belt</t>
        </is>
      </c>
      <c r="B16" t="inlineStr">
        <is>
          <t>Potential</t>
        </is>
      </c>
      <c r="C16" t="inlineStr">
        <is>
          <t>normal</t>
        </is>
      </c>
      <c r="D16" t="n">
        <v>0</v>
      </c>
      <c r="E16" t="inlineStr">
        <is>
          <t>(none)</t>
        </is>
      </c>
      <c r="F16" t="n">
        <v>0</v>
      </c>
      <c r="G16" t="inlineStr">
        <is>
          <t>(none)</t>
        </is>
      </c>
      <c r="H16" t="n">
        <v>0</v>
      </c>
      <c r="I16" t="inlineStr">
        <is>
          <t>(none)</t>
        </is>
      </c>
      <c r="J16" t="n">
        <v>0</v>
      </c>
    </row>
    <row r="17">
      <c r="A17" t="inlineStr">
        <is>
          <t>belt</t>
        </is>
      </c>
      <c r="B17" t="inlineStr">
        <is>
          <t>Bonus Potential</t>
        </is>
      </c>
      <c r="C17" t="inlineStr">
        <is>
          <t>normal</t>
        </is>
      </c>
      <c r="D17" t="n">
        <v>0</v>
      </c>
      <c r="E17" t="inlineStr">
        <is>
          <t>(none)</t>
        </is>
      </c>
      <c r="F17" t="n">
        <v>0</v>
      </c>
      <c r="G17" t="inlineStr">
        <is>
          <t>(none)</t>
        </is>
      </c>
      <c r="H17" t="n">
        <v>0</v>
      </c>
      <c r="I17" t="inlineStr">
        <is>
          <t>(none)</t>
        </is>
      </c>
      <c r="J17" t="n">
        <v>0</v>
      </c>
    </row>
    <row r="18">
      <c r="A18" t="inlineStr">
        <is>
          <t>gloves</t>
        </is>
      </c>
      <c r="B18" t="inlineStr">
        <is>
          <t>Potential</t>
        </is>
      </c>
      <c r="C18" t="inlineStr">
        <is>
          <t>normal</t>
        </is>
      </c>
      <c r="D18" t="n">
        <v>0</v>
      </c>
      <c r="E18" t="inlineStr">
        <is>
          <t>(none)</t>
        </is>
      </c>
      <c r="F18" t="n">
        <v>0</v>
      </c>
      <c r="G18" t="inlineStr">
        <is>
          <t>(none)</t>
        </is>
      </c>
      <c r="H18" t="n">
        <v>0</v>
      </c>
      <c r="I18" t="inlineStr">
        <is>
          <t>(none)</t>
        </is>
      </c>
      <c r="J18" t="n">
        <v>0</v>
      </c>
    </row>
    <row r="19">
      <c r="A19" t="inlineStr">
        <is>
          <t>gloves</t>
        </is>
      </c>
      <c r="B19" t="inlineStr">
        <is>
          <t>Bonus Potential</t>
        </is>
      </c>
      <c r="C19" t="inlineStr">
        <is>
          <t>normal</t>
        </is>
      </c>
      <c r="D19" t="n">
        <v>0</v>
      </c>
      <c r="E19" t="inlineStr">
        <is>
          <t>(none)</t>
        </is>
      </c>
      <c r="F19" t="n">
        <v>0</v>
      </c>
      <c r="G19" t="inlineStr">
        <is>
          <t>(none)</t>
        </is>
      </c>
      <c r="H19" t="n">
        <v>0</v>
      </c>
      <c r="I19" t="inlineStr">
        <is>
          <t>(none)</t>
        </is>
      </c>
      <c r="J19" t="n">
        <v>0</v>
      </c>
    </row>
    <row r="20">
      <c r="A20" t="inlineStr">
        <is>
          <t>boots</t>
        </is>
      </c>
      <c r="B20" t="inlineStr">
        <is>
          <t>Potential</t>
        </is>
      </c>
      <c r="C20" t="inlineStr">
        <is>
          <t>normal</t>
        </is>
      </c>
      <c r="D20" t="n">
        <v>0</v>
      </c>
      <c r="E20" t="inlineStr">
        <is>
          <t>(none)</t>
        </is>
      </c>
      <c r="F20" t="n">
        <v>0</v>
      </c>
      <c r="G20" t="inlineStr">
        <is>
          <t>(none)</t>
        </is>
      </c>
      <c r="H20" t="n">
        <v>0</v>
      </c>
      <c r="I20" t="inlineStr">
        <is>
          <t>(none)</t>
        </is>
      </c>
      <c r="J20" t="n">
        <v>0</v>
      </c>
    </row>
    <row r="21">
      <c r="A21" t="inlineStr">
        <is>
          <t>boots</t>
        </is>
      </c>
      <c r="B21" t="inlineStr">
        <is>
          <t>Bonus Potential</t>
        </is>
      </c>
      <c r="C21" t="inlineStr">
        <is>
          <t>normal</t>
        </is>
      </c>
      <c r="D21" t="n">
        <v>0</v>
      </c>
      <c r="E21" t="inlineStr">
        <is>
          <t>(none)</t>
        </is>
      </c>
      <c r="F21" t="n">
        <v>0</v>
      </c>
      <c r="G21" t="inlineStr">
        <is>
          <t>(none)</t>
        </is>
      </c>
      <c r="H21" t="n">
        <v>0</v>
      </c>
      <c r="I21" t="inlineStr">
        <is>
          <t>(none)</t>
        </is>
      </c>
      <c r="J21" t="n">
        <v>0</v>
      </c>
    </row>
    <row r="22">
      <c r="A22" t="inlineStr">
        <is>
          <t>ring</t>
        </is>
      </c>
      <c r="B22" t="inlineStr">
        <is>
          <t>Potential</t>
        </is>
      </c>
      <c r="C22" t="inlineStr">
        <is>
          <t>normal</t>
        </is>
      </c>
      <c r="D22" t="n">
        <v>0</v>
      </c>
      <c r="E22" t="inlineStr">
        <is>
          <t>(none)</t>
        </is>
      </c>
      <c r="F22" t="n">
        <v>0</v>
      </c>
      <c r="G22" t="inlineStr">
        <is>
          <t>(none)</t>
        </is>
      </c>
      <c r="H22" t="n">
        <v>0</v>
      </c>
      <c r="I22" t="inlineStr">
        <is>
          <t>(none)</t>
        </is>
      </c>
      <c r="J22" t="n">
        <v>0</v>
      </c>
    </row>
    <row r="23">
      <c r="A23" t="inlineStr">
        <is>
          <t>ring</t>
        </is>
      </c>
      <c r="B23" t="inlineStr">
        <is>
          <t>Bonus Potential</t>
        </is>
      </c>
      <c r="C23" t="inlineStr">
        <is>
          <t>normal</t>
        </is>
      </c>
      <c r="D23" t="n">
        <v>0</v>
      </c>
      <c r="E23" t="inlineStr">
        <is>
          <t>(none)</t>
        </is>
      </c>
      <c r="F23" t="n">
        <v>0</v>
      </c>
      <c r="G23" t="inlineStr">
        <is>
          <t>(none)</t>
        </is>
      </c>
      <c r="H23" t="n">
        <v>0</v>
      </c>
      <c r="I23" t="inlineStr">
        <is>
          <t>(none)</t>
        </is>
      </c>
      <c r="J23" t="n">
        <v>0</v>
      </c>
    </row>
    <row r="24">
      <c r="A24" t="inlineStr">
        <is>
          <t>neck</t>
        </is>
      </c>
      <c r="B24" t="inlineStr">
        <is>
          <t>Potential</t>
        </is>
      </c>
      <c r="C24" t="inlineStr">
        <is>
          <t>normal</t>
        </is>
      </c>
      <c r="D24" t="n">
        <v>0</v>
      </c>
      <c r="E24" t="inlineStr">
        <is>
          <t>(none)</t>
        </is>
      </c>
      <c r="F24" t="n">
        <v>0</v>
      </c>
      <c r="G24" t="inlineStr">
        <is>
          <t>(none)</t>
        </is>
      </c>
      <c r="H24" t="n">
        <v>0</v>
      </c>
      <c r="I24" t="inlineStr">
        <is>
          <t>(none)</t>
        </is>
      </c>
      <c r="J24" t="n">
        <v>0</v>
      </c>
    </row>
    <row r="25">
      <c r="A25" t="inlineStr">
        <is>
          <t>neck</t>
        </is>
      </c>
      <c r="B25" t="inlineStr">
        <is>
          <t>Bonus Potential</t>
        </is>
      </c>
      <c r="C25" t="inlineStr">
        <is>
          <t>normal</t>
        </is>
      </c>
      <c r="D25" t="n">
        <v>0</v>
      </c>
      <c r="E25" t="inlineStr">
        <is>
          <t>(none)</t>
        </is>
      </c>
      <c r="F25" t="n">
        <v>0</v>
      </c>
      <c r="G25" t="inlineStr">
        <is>
          <t>(none)</t>
        </is>
      </c>
      <c r="H25" t="n">
        <v>0</v>
      </c>
      <c r="I25" t="inlineStr">
        <is>
          <t>(none)</t>
        </is>
      </c>
      <c r="J25" t="n">
        <v>0</v>
      </c>
    </row>
    <row r="26">
      <c r="A26" t="inlineStr">
        <is>
          <t>eye-accessory</t>
        </is>
      </c>
      <c r="B26" t="inlineStr">
        <is>
          <t>Potential</t>
        </is>
      </c>
      <c r="C26" t="inlineStr">
        <is>
          <t>normal</t>
        </is>
      </c>
      <c r="D26" t="n">
        <v>0</v>
      </c>
      <c r="E26" t="inlineStr">
        <is>
          <t>(none)</t>
        </is>
      </c>
      <c r="F26" t="n">
        <v>0</v>
      </c>
      <c r="G26" t="inlineStr">
        <is>
          <t>(none)</t>
        </is>
      </c>
      <c r="H26" t="n">
        <v>0</v>
      </c>
      <c r="I26" t="inlineStr">
        <is>
          <t>(none)</t>
        </is>
      </c>
      <c r="J26" t="n">
        <v>0</v>
      </c>
    </row>
    <row r="27">
      <c r="A27" t="inlineStr">
        <is>
          <t>eye-accessory</t>
        </is>
      </c>
      <c r="B27" t="inlineStr">
        <is>
          <t>Bonus Potential</t>
        </is>
      </c>
      <c r="C27" t="inlineStr">
        <is>
          <t>normal</t>
        </is>
      </c>
      <c r="D27" t="n">
        <v>0</v>
      </c>
      <c r="E27" t="inlineStr">
        <is>
          <t>(none)</t>
        </is>
      </c>
      <c r="F27" t="n">
        <v>0</v>
      </c>
      <c r="G27" t="inlineStr">
        <is>
          <t>(none)</t>
        </is>
      </c>
      <c r="H27" t="n">
        <v>0</v>
      </c>
      <c r="I27" t="inlineStr">
        <is>
          <t>(none)</t>
        </is>
      </c>
      <c r="J27" t="n">
        <v>0</v>
      </c>
    </row>
    <row r="28">
      <c r="A28" t="inlineStr">
        <is>
          <t>ring2</t>
        </is>
      </c>
      <c r="B28" t="inlineStr">
        <is>
          <t>Potential</t>
        </is>
      </c>
      <c r="C28" t="inlineStr">
        <is>
          <t>normal</t>
        </is>
      </c>
      <c r="D28" t="n">
        <v>0</v>
      </c>
      <c r="E28" t="inlineStr">
        <is>
          <t>(none)</t>
        </is>
      </c>
      <c r="F28" t="n">
        <v>0</v>
      </c>
      <c r="G28" t="inlineStr">
        <is>
          <t>(none)</t>
        </is>
      </c>
      <c r="H28" t="n">
        <v>0</v>
      </c>
      <c r="I28" t="inlineStr">
        <is>
          <t>(none)</t>
        </is>
      </c>
      <c r="J28" t="n">
        <v>0</v>
      </c>
    </row>
    <row r="29">
      <c r="A29" t="inlineStr">
        <is>
          <t>ring2</t>
        </is>
      </c>
      <c r="B29" t="inlineStr">
        <is>
          <t>Bonus Potential</t>
        </is>
      </c>
      <c r="C29" t="inlineStr">
        <is>
          <t>normal</t>
        </is>
      </c>
      <c r="D29" t="n">
        <v>0</v>
      </c>
      <c r="E29" t="inlineStr">
        <is>
          <t>(none)</t>
        </is>
      </c>
      <c r="F29" t="n">
        <v>0</v>
      </c>
      <c r="G29" t="inlineStr">
        <is>
          <t>(none)</t>
        </is>
      </c>
      <c r="H29" t="n">
        <v>0</v>
      </c>
      <c r="I29" t="inlineStr">
        <is>
          <t>(none)</t>
        </is>
      </c>
      <c r="J29" t="n">
        <v>0</v>
      </c>
    </row>
    <row r="30">
      <c r="A30" t="inlineStr">
        <is>
          <t>face</t>
        </is>
      </c>
      <c r="B30" t="inlineStr">
        <is>
          <t>Potential</t>
        </is>
      </c>
      <c r="C30" t="inlineStr">
        <is>
          <t>normal</t>
        </is>
      </c>
      <c r="D30" t="n">
        <v>0</v>
      </c>
      <c r="E30" t="inlineStr">
        <is>
          <t>(none)</t>
        </is>
      </c>
      <c r="F30" t="n">
        <v>0</v>
      </c>
      <c r="G30" t="inlineStr">
        <is>
          <t>(none)</t>
        </is>
      </c>
      <c r="H30" t="n">
        <v>0</v>
      </c>
      <c r="I30" t="inlineStr">
        <is>
          <t>(none)</t>
        </is>
      </c>
      <c r="J30" t="n">
        <v>0</v>
      </c>
    </row>
    <row r="31">
      <c r="A31" t="inlineStr">
        <is>
          <t>face</t>
        </is>
      </c>
      <c r="B31" t="inlineStr">
        <is>
          <t>Bonus Potential</t>
        </is>
      </c>
      <c r="C31" t="inlineStr">
        <is>
          <t>normal</t>
        </is>
      </c>
      <c r="D31" t="n">
        <v>0</v>
      </c>
      <c r="E31" t="inlineStr">
        <is>
          <t>(none)</t>
        </is>
      </c>
      <c r="F31" t="n">
        <v>0</v>
      </c>
      <c r="G31" t="inlineStr">
        <is>
          <t>(none)</t>
        </is>
      </c>
      <c r="H31" t="n">
        <v>0</v>
      </c>
      <c r="I31" t="inlineStr">
        <is>
          <t>(none)</t>
        </is>
      </c>
      <c r="J31" t="n">
        <v>0</v>
      </c>
    </row>
    <row r="32">
      <c r="A32" t="inlineStr">
        <is>
          <t>earrings</t>
        </is>
      </c>
      <c r="B32" t="inlineStr">
        <is>
          <t>Potential</t>
        </is>
      </c>
      <c r="C32" t="inlineStr">
        <is>
          <t>normal</t>
        </is>
      </c>
      <c r="D32" t="n">
        <v>0</v>
      </c>
      <c r="E32" t="inlineStr">
        <is>
          <t>(none)</t>
        </is>
      </c>
      <c r="F32" t="n">
        <v>0</v>
      </c>
      <c r="G32" t="inlineStr">
        <is>
          <t>(none)</t>
        </is>
      </c>
      <c r="H32" t="n">
        <v>0</v>
      </c>
      <c r="I32" t="inlineStr">
        <is>
          <t>(none)</t>
        </is>
      </c>
      <c r="J32" t="n">
        <v>0</v>
      </c>
    </row>
    <row r="33">
      <c r="A33" t="inlineStr">
        <is>
          <t>earrings</t>
        </is>
      </c>
      <c r="B33" t="inlineStr">
        <is>
          <t>Bonus Potential</t>
        </is>
      </c>
      <c r="C33" t="inlineStr">
        <is>
          <t>normal</t>
        </is>
      </c>
      <c r="D33" t="n">
        <v>0</v>
      </c>
      <c r="E33" t="inlineStr">
        <is>
          <t>(none)</t>
        </is>
      </c>
      <c r="F33" t="n">
        <v>0</v>
      </c>
      <c r="G33" t="inlineStr">
        <is>
          <t>(none)</t>
        </is>
      </c>
      <c r="H33" t="n">
        <v>0</v>
      </c>
      <c r="I33" t="inlineStr">
        <is>
          <t>(none)</t>
        </is>
      </c>
      <c r="J33" t="n">
        <v>0</v>
      </c>
    </row>
    <row r="34">
      <c r="A34" t="inlineStr">
        <is>
          <t>pocket</t>
        </is>
      </c>
      <c r="B34" t="inlineStr">
        <is>
          <t>Potential</t>
        </is>
      </c>
      <c r="C34" t="inlineStr">
        <is>
          <t>normal</t>
        </is>
      </c>
      <c r="D34" t="n">
        <v>0</v>
      </c>
      <c r="E34" t="inlineStr">
        <is>
          <t>(none)</t>
        </is>
      </c>
      <c r="F34" t="n">
        <v>0</v>
      </c>
      <c r="G34" t="inlineStr">
        <is>
          <t>(none)</t>
        </is>
      </c>
      <c r="H34" t="n">
        <v>0</v>
      </c>
      <c r="I34" t="inlineStr">
        <is>
          <t>(none)</t>
        </is>
      </c>
      <c r="J34" t="n">
        <v>0</v>
      </c>
    </row>
    <row r="35">
      <c r="A35" t="inlineStr">
        <is>
          <t>pocket</t>
        </is>
      </c>
      <c r="B35" t="inlineStr">
        <is>
          <t>Bonus Potential</t>
        </is>
      </c>
      <c r="C35" t="inlineStr">
        <is>
          <t>normal</t>
        </is>
      </c>
      <c r="D35" t="n">
        <v>0</v>
      </c>
      <c r="E35" t="inlineStr">
        <is>
          <t>(none)</t>
        </is>
      </c>
      <c r="F35" t="n">
        <v>0</v>
      </c>
      <c r="G35" t="inlineStr">
        <is>
          <t>(none)</t>
        </is>
      </c>
      <c r="H35" t="n">
        <v>0</v>
      </c>
      <c r="I35" t="inlineStr">
        <is>
          <t>(none)</t>
        </is>
      </c>
      <c r="J35" t="n">
        <v>0</v>
      </c>
    </row>
  </sheetData>
  <dataValidations count="2">
    <dataValidation sqref="C6 C7 C8 C9 C10 C11 C12 C13 C14 C15 C16 C17 C18 C19 C20 C21 C22 C23 C24 C25 C26 C27 C28 C29 C30 C31 C32 C33 C34 C35" showDropDown="0" showInputMessage="0" showErrorMessage="0" allowBlank="0" type="list">
      <formula1>"normal,rare,epic,unique,legendary,mystic"</formula1>
    </dataValidation>
    <dataValidation sqref="E6 E7 E8 E9 E10 E11 E12 E13 E14 E15 E16 E17 E18 E19 E20 E21 E22 E23 E24 E25 E26 E27 E28 E29 E30 E31 E32 E33 E34 E35 G6 G7 G8 G9 G10 G11 G12 G13 G14 G15 G16 G17 G18 G19 G20 G21 G22 G23 G24 G25 G26 G27 G28 G29 G30 G31 G32 G33 G34 G35 I6 I7 I8 I9 I10 I11 I12 I13 I14 I15 I16 I17 I18 I19 I20 I21 I22 I23 I24 I25 I26 I27 I28 I29 I30 I31 I32 I33 I34 I35" showDropDown="0" showInputMessage="0" showErrorMessage="0" allowBlank="0" type="list">
      <formula1>=CubeData!$J$2:$J$30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2026-10-22T16:26:46Z</dcterms:created>
  <dcterms:modified xsi:type="dcterms:W3CDTF">2026-10-22T16:26:46Z</dcterms:modified>
</cp:coreProperties>
</file>